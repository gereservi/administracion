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i unidad\INFO\ALMACENES\"/>
    </mc:Choice>
  </mc:AlternateContent>
  <xr:revisionPtr revIDLastSave="0" documentId="13_ncr:1_{323A0FCA-547E-4191-9466-8CD5102AD08A}" xr6:coauthVersionLast="47" xr6:coauthVersionMax="47" xr10:uidLastSave="{00000000-0000-0000-0000-000000000000}"/>
  <bookViews>
    <workbookView xWindow="-120" yWindow="-120" windowWidth="24240" windowHeight="13740" tabRatio="673" activeTab="5" xr2:uid="{DDE6F83F-1172-4430-A2AC-82100DC7114F}"/>
  </bookViews>
  <sheets>
    <sheet name="inicio" sheetId="64" r:id="rId1"/>
    <sheet name="pagos" sheetId="127" r:id="rId2"/>
    <sheet name="Fecha de hoy" sheetId="12" state="hidden" r:id="rId3"/>
    <sheet name="Retenciones" sheetId="11" state="hidden" r:id="rId4"/>
    <sheet name="Terceros" sheetId="10" r:id="rId5"/>
    <sheet name="F.Proveedores" sheetId="1" r:id="rId6"/>
    <sheet name="USD" sheetId="104" r:id="rId7"/>
    <sheet name="Reporte" sheetId="16" r:id="rId8"/>
    <sheet name="Financiación" sheetId="6" r:id="rId9"/>
    <sheet name="Financiadores" sheetId="15" r:id="rId10"/>
    <sheet name="Hoja1" sheetId="109" r:id="rId11"/>
  </sheets>
  <externalReferences>
    <externalReference r:id="rId12"/>
  </externalReferences>
  <definedNames>
    <definedName name="_xlnm._FilterDatabase" localSheetId="5" hidden="1">F.Proveedores!$A$1:$Y$1473</definedName>
    <definedName name="_xlnm._FilterDatabase" localSheetId="7" hidden="1">Reporte!$R$33:$V$40</definedName>
    <definedName name="_xlnm._FilterDatabase" localSheetId="6" hidden="1">USD!$C$1:$I$31</definedName>
    <definedName name="area" localSheetId="6">#REF!</definedName>
    <definedName name="area">#REF!</definedName>
    <definedName name="_xlnm.Extract" localSheetId="1">pagos!$A$1:$M$1</definedName>
    <definedName name="Correo" localSheetId="6">#REF!</definedName>
    <definedName name="Correo">#REF!</definedName>
    <definedName name="Criteria" localSheetId="5">F.Proveedores!#REF!</definedName>
    <definedName name="Criteria" localSheetId="6">USD!#REF!</definedName>
    <definedName name="_xlnm.Criteria" localSheetId="1">pagos!#REF!</definedName>
    <definedName name="depend">[1]vicep!$B$2:$B$3100</definedName>
    <definedName name="Extract" localSheetId="5">F.Proveedores!#REF!</definedName>
    <definedName name="Extract" localSheetId="6">USD!#REF!</definedName>
    <definedName name="info">pagos!$A$1:$M$37</definedName>
    <definedName name="VICEP">'[1]vicep ppto'!$B$2:$B$23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473" i="1" l="1"/>
  <c r="C1473" i="1"/>
  <c r="B1473" i="1" s="1"/>
  <c r="F1473" i="1"/>
  <c r="M1473" i="1"/>
  <c r="O1473" i="1"/>
  <c r="T1473" i="1"/>
  <c r="U1473" i="1"/>
  <c r="V1473" i="1"/>
  <c r="W1473" i="1" s="1"/>
  <c r="A1472" i="1"/>
  <c r="C1472" i="1"/>
  <c r="B1472" i="1" s="1"/>
  <c r="F1472" i="1"/>
  <c r="M1472" i="1"/>
  <c r="O1472" i="1"/>
  <c r="T1472" i="1"/>
  <c r="U1472" i="1"/>
  <c r="Y1472" i="1" s="1"/>
  <c r="V1472" i="1"/>
  <c r="W1472" i="1" s="1"/>
  <c r="I31" i="104"/>
  <c r="H31" i="104"/>
  <c r="A31" i="104"/>
  <c r="B31" i="104"/>
  <c r="C31" i="104"/>
  <c r="K1471" i="1"/>
  <c r="A1471" i="1"/>
  <c r="C1471" i="1"/>
  <c r="B1471" i="1" s="1"/>
  <c r="F1471" i="1"/>
  <c r="M1471" i="1"/>
  <c r="O1471" i="1"/>
  <c r="T1471" i="1"/>
  <c r="U1471" i="1"/>
  <c r="Y1471" i="1" s="1"/>
  <c r="V1471" i="1"/>
  <c r="W1471" i="1" s="1"/>
  <c r="A1470" i="1"/>
  <c r="C1470" i="1"/>
  <c r="B1470" i="1" s="1"/>
  <c r="F1470" i="1"/>
  <c r="M1470" i="1"/>
  <c r="O1470" i="1"/>
  <c r="T1470" i="1"/>
  <c r="U1470" i="1"/>
  <c r="Y1470" i="1" s="1"/>
  <c r="V1470" i="1"/>
  <c r="W1470" i="1" s="1"/>
  <c r="A1469" i="1"/>
  <c r="C1469" i="1"/>
  <c r="B1469" i="1" s="1"/>
  <c r="F1469" i="1"/>
  <c r="M1469" i="1"/>
  <c r="O1469" i="1"/>
  <c r="U1469" i="1"/>
  <c r="Y1469" i="1" s="1"/>
  <c r="V1469" i="1"/>
  <c r="W1469" i="1" s="1"/>
  <c r="A1468" i="1"/>
  <c r="C1468" i="1"/>
  <c r="B1468" i="1" s="1"/>
  <c r="F1468" i="1"/>
  <c r="M1468" i="1"/>
  <c r="O1468" i="1"/>
  <c r="T1468" i="1"/>
  <c r="U1468" i="1"/>
  <c r="Y1468" i="1" s="1"/>
  <c r="V1468" i="1"/>
  <c r="W1468" i="1" s="1"/>
  <c r="A1467" i="1"/>
  <c r="C1467" i="1"/>
  <c r="B1467" i="1" s="1"/>
  <c r="F1467" i="1"/>
  <c r="M1467" i="1"/>
  <c r="O1467" i="1"/>
  <c r="T1467" i="1"/>
  <c r="U1467" i="1"/>
  <c r="Y1467" i="1" s="1"/>
  <c r="V1467" i="1"/>
  <c r="W1467" i="1" s="1"/>
  <c r="A1466" i="1"/>
  <c r="C1466" i="1"/>
  <c r="B1466" i="1" s="1"/>
  <c r="F1466" i="1"/>
  <c r="M1466" i="1"/>
  <c r="O1466" i="1"/>
  <c r="T1466" i="1"/>
  <c r="U1466" i="1"/>
  <c r="Y1466" i="1" s="1"/>
  <c r="V1466" i="1"/>
  <c r="W1466" i="1" s="1"/>
  <c r="A1465" i="1"/>
  <c r="C1465" i="1"/>
  <c r="B1465" i="1" s="1"/>
  <c r="F1465" i="1"/>
  <c r="M1465" i="1"/>
  <c r="O1465" i="1"/>
  <c r="U1465" i="1"/>
  <c r="Y1465" i="1" s="1"/>
  <c r="V1465" i="1"/>
  <c r="W1465" i="1" s="1"/>
  <c r="A1464" i="1"/>
  <c r="C1464" i="1"/>
  <c r="B1464" i="1" s="1"/>
  <c r="F1464" i="1"/>
  <c r="M1464" i="1"/>
  <c r="O1464" i="1"/>
  <c r="U1464" i="1"/>
  <c r="V1464" i="1"/>
  <c r="W1464" i="1" s="1"/>
  <c r="A1463" i="1"/>
  <c r="C1463" i="1"/>
  <c r="B1463" i="1" s="1"/>
  <c r="F1463" i="1"/>
  <c r="M1463" i="1"/>
  <c r="O1463" i="1"/>
  <c r="U1463" i="1"/>
  <c r="Y1463" i="1" s="1"/>
  <c r="V1463" i="1"/>
  <c r="W1463" i="1" s="1"/>
  <c r="A1462" i="1"/>
  <c r="C1462" i="1"/>
  <c r="B1462" i="1" s="1"/>
  <c r="F1462" i="1"/>
  <c r="M1462" i="1"/>
  <c r="O1462" i="1"/>
  <c r="U1462" i="1"/>
  <c r="Y1462" i="1" s="1"/>
  <c r="V1462" i="1"/>
  <c r="W1462" i="1" s="1"/>
  <c r="A1461" i="1"/>
  <c r="C1461" i="1"/>
  <c r="B1461" i="1" s="1"/>
  <c r="F1461" i="1"/>
  <c r="M1461" i="1"/>
  <c r="O1461" i="1"/>
  <c r="U1461" i="1"/>
  <c r="Y1461" i="1" s="1"/>
  <c r="V1461" i="1"/>
  <c r="W1461" i="1" s="1"/>
  <c r="A1460" i="1"/>
  <c r="C1460" i="1"/>
  <c r="B1460" i="1" s="1"/>
  <c r="F1460" i="1"/>
  <c r="M1460" i="1"/>
  <c r="U1460" i="1"/>
  <c r="Y1460" i="1" s="1"/>
  <c r="V1460" i="1"/>
  <c r="W1460" i="1" s="1"/>
  <c r="A1459" i="1"/>
  <c r="C1459" i="1"/>
  <c r="B1459" i="1" s="1"/>
  <c r="F1459" i="1"/>
  <c r="M1459" i="1"/>
  <c r="O1459" i="1"/>
  <c r="U1459" i="1"/>
  <c r="Y1459" i="1" s="1"/>
  <c r="V1459" i="1"/>
  <c r="W1459" i="1" s="1"/>
  <c r="A1458" i="1"/>
  <c r="C1458" i="1"/>
  <c r="T1458" i="1" s="1"/>
  <c r="F1458" i="1"/>
  <c r="M1458" i="1"/>
  <c r="O1458" i="1"/>
  <c r="U1458" i="1"/>
  <c r="Y1458" i="1" s="1"/>
  <c r="V1458" i="1"/>
  <c r="W1458" i="1" s="1"/>
  <c r="A1456" i="1"/>
  <c r="A1457" i="1"/>
  <c r="C1456" i="1"/>
  <c r="B1456" i="1" s="1"/>
  <c r="C1457" i="1"/>
  <c r="B1457" i="1" s="1"/>
  <c r="F1456" i="1"/>
  <c r="F1457" i="1"/>
  <c r="M1456" i="1"/>
  <c r="M1457" i="1"/>
  <c r="O1456" i="1"/>
  <c r="O1457" i="1"/>
  <c r="U1456" i="1"/>
  <c r="Y1456" i="1" s="1"/>
  <c r="U1457" i="1"/>
  <c r="Y1457" i="1" s="1"/>
  <c r="V1456" i="1"/>
  <c r="W1456" i="1" s="1"/>
  <c r="V1457" i="1"/>
  <c r="W1457" i="1" s="1"/>
  <c r="A1455" i="1"/>
  <c r="C1455" i="1"/>
  <c r="B1455" i="1" s="1"/>
  <c r="F1455" i="1"/>
  <c r="M1455" i="1"/>
  <c r="O1455" i="1"/>
  <c r="U1455" i="1"/>
  <c r="Y1455" i="1" s="1"/>
  <c r="V1455" i="1"/>
  <c r="W1455" i="1" s="1"/>
  <c r="A1454" i="1"/>
  <c r="B1454" i="1"/>
  <c r="F1454" i="1"/>
  <c r="O1454" i="1"/>
  <c r="T1454" i="1"/>
  <c r="U1454" i="1"/>
  <c r="V1454" i="1"/>
  <c r="W1454" i="1" s="1"/>
  <c r="A1453" i="1"/>
  <c r="C1453" i="1"/>
  <c r="B1453" i="1" s="1"/>
  <c r="F1453" i="1"/>
  <c r="M1453" i="1"/>
  <c r="O1453" i="1"/>
  <c r="U1453" i="1"/>
  <c r="Y1453" i="1" s="1"/>
  <c r="V1453" i="1"/>
  <c r="W1453" i="1" s="1"/>
  <c r="A1452" i="1"/>
  <c r="C1452" i="1"/>
  <c r="B1452" i="1" s="1"/>
  <c r="F1452" i="1"/>
  <c r="M1452" i="1"/>
  <c r="O1452" i="1"/>
  <c r="S1452" i="1"/>
  <c r="T1452" i="1"/>
  <c r="U1452" i="1"/>
  <c r="Y1452" i="1" s="1"/>
  <c r="V1452" i="1"/>
  <c r="W1452" i="1" s="1"/>
  <c r="A1451" i="1"/>
  <c r="C1451" i="1"/>
  <c r="B1451" i="1" s="1"/>
  <c r="F1451" i="1"/>
  <c r="M1451" i="1"/>
  <c r="O1451" i="1"/>
  <c r="S1451" i="1"/>
  <c r="T1451" i="1"/>
  <c r="U1451" i="1"/>
  <c r="Y1451" i="1" s="1"/>
  <c r="V1451" i="1"/>
  <c r="W1451" i="1" s="1"/>
  <c r="N42" i="127"/>
  <c r="M41" i="127"/>
  <c r="M42" i="127"/>
  <c r="A1450" i="1"/>
  <c r="C1450" i="1"/>
  <c r="B1450" i="1" s="1"/>
  <c r="F1450" i="1"/>
  <c r="M1450" i="1"/>
  <c r="O1450" i="1"/>
  <c r="S1450" i="1"/>
  <c r="T1450" i="1"/>
  <c r="U1450" i="1"/>
  <c r="V1450" i="1"/>
  <c r="W1450" i="1" s="1"/>
  <c r="S1250" i="1"/>
  <c r="S1360" i="1"/>
  <c r="S1373" i="1"/>
  <c r="S1359" i="1"/>
  <c r="S1353" i="1"/>
  <c r="S1339" i="1"/>
  <c r="S1348" i="1"/>
  <c r="S1337" i="1"/>
  <c r="I21" i="104"/>
  <c r="I30" i="104"/>
  <c r="I29" i="104"/>
  <c r="I27" i="104"/>
  <c r="I26" i="104"/>
  <c r="I25" i="104"/>
  <c r="I24" i="104"/>
  <c r="I23" i="104"/>
  <c r="I22" i="104"/>
  <c r="F1002" i="6"/>
  <c r="F1003" i="6"/>
  <c r="F1004" i="6"/>
  <c r="I1002" i="6"/>
  <c r="I1003" i="6"/>
  <c r="I1004" i="6"/>
  <c r="J1002" i="6"/>
  <c r="J1003" i="6"/>
  <c r="J1004" i="6"/>
  <c r="F999" i="6"/>
  <c r="F1000" i="6"/>
  <c r="F1001" i="6"/>
  <c r="I999" i="6"/>
  <c r="I1000" i="6"/>
  <c r="I1001" i="6"/>
  <c r="J999" i="6"/>
  <c r="J1000" i="6"/>
  <c r="J1001" i="6"/>
  <c r="Q47" i="15"/>
  <c r="R47" i="15" s="1"/>
  <c r="Q48" i="15"/>
  <c r="Q49" i="15"/>
  <c r="R49" i="15" s="1"/>
  <c r="S30" i="15"/>
  <c r="S31" i="15"/>
  <c r="S48" i="15"/>
  <c r="S32" i="15"/>
  <c r="D998" i="6"/>
  <c r="E998" i="6" s="1"/>
  <c r="F998" i="6"/>
  <c r="I998" i="6"/>
  <c r="F997" i="6"/>
  <c r="I997" i="6"/>
  <c r="J997" i="6"/>
  <c r="F995" i="6"/>
  <c r="F996" i="6"/>
  <c r="I995" i="6"/>
  <c r="I996" i="6"/>
  <c r="J995" i="6"/>
  <c r="J996" i="6"/>
  <c r="X1473" i="1" l="1"/>
  <c r="Y1473" i="1"/>
  <c r="X1472" i="1"/>
  <c r="P1472" i="1" s="1"/>
  <c r="Q1472" i="1" s="1"/>
  <c r="R1472" i="1" s="1"/>
  <c r="X1471" i="1"/>
  <c r="P1471" i="1" s="1"/>
  <c r="Q1471" i="1" s="1"/>
  <c r="R1471" i="1" s="1"/>
  <c r="T1469" i="1"/>
  <c r="X1469" i="1"/>
  <c r="P1469" i="1" s="1"/>
  <c r="Q1469" i="1" s="1"/>
  <c r="R1469" i="1" s="1"/>
  <c r="D1469" i="1" s="1"/>
  <c r="T1465" i="1"/>
  <c r="X1470" i="1"/>
  <c r="P1470" i="1" s="1"/>
  <c r="Q1470" i="1" s="1"/>
  <c r="R1470" i="1" s="1"/>
  <c r="X1466" i="1"/>
  <c r="X1467" i="1"/>
  <c r="P1467" i="1" s="1"/>
  <c r="Q1467" i="1" s="1"/>
  <c r="R1467" i="1" s="1"/>
  <c r="D1467" i="1" s="1"/>
  <c r="X1462" i="1"/>
  <c r="P1462" i="1" s="1"/>
  <c r="Q1462" i="1" s="1"/>
  <c r="R1462" i="1" s="1"/>
  <c r="D1462" i="1" s="1"/>
  <c r="X1468" i="1"/>
  <c r="P1468" i="1" s="1"/>
  <c r="Q1468" i="1" s="1"/>
  <c r="R1468" i="1" s="1"/>
  <c r="D1468" i="1" s="1"/>
  <c r="P1466" i="1"/>
  <c r="Q1466" i="1" s="1"/>
  <c r="R1466" i="1" s="1"/>
  <c r="D1466" i="1" s="1"/>
  <c r="T1464" i="1"/>
  <c r="X1465" i="1"/>
  <c r="P1465" i="1" s="1"/>
  <c r="Q1465" i="1" s="1"/>
  <c r="R1465" i="1" s="1"/>
  <c r="X1464" i="1"/>
  <c r="P1464" i="1" s="1"/>
  <c r="Q1464" i="1" s="1"/>
  <c r="R1464" i="1" s="1"/>
  <c r="D1464" i="1" s="1"/>
  <c r="Y1464" i="1"/>
  <c r="X1463" i="1"/>
  <c r="P1463" i="1" s="1"/>
  <c r="Q1463" i="1" s="1"/>
  <c r="R1463" i="1" s="1"/>
  <c r="D1463" i="1" s="1"/>
  <c r="T1463" i="1"/>
  <c r="T1459" i="1"/>
  <c r="T1462" i="1"/>
  <c r="T1461" i="1"/>
  <c r="X1461" i="1"/>
  <c r="P1461" i="1" s="1"/>
  <c r="Q1461" i="1" s="1"/>
  <c r="R1461" i="1" s="1"/>
  <c r="X1459" i="1"/>
  <c r="P1459" i="1" s="1"/>
  <c r="Q1459" i="1" s="1"/>
  <c r="R1459" i="1" s="1"/>
  <c r="T1457" i="1"/>
  <c r="X1460" i="1"/>
  <c r="P1460" i="1" s="1"/>
  <c r="Q1460" i="1" s="1"/>
  <c r="R1460" i="1" s="1"/>
  <c r="D1460" i="1" s="1"/>
  <c r="T1460" i="1"/>
  <c r="X1458" i="1"/>
  <c r="P1458" i="1" s="1"/>
  <c r="Q1458" i="1" s="1"/>
  <c r="R1458" i="1" s="1"/>
  <c r="D1458" i="1" s="1"/>
  <c r="T1456" i="1"/>
  <c r="B1458" i="1"/>
  <c r="X1456" i="1"/>
  <c r="P1456" i="1" s="1"/>
  <c r="Q1456" i="1" s="1"/>
  <c r="R1456" i="1" s="1"/>
  <c r="X1457" i="1"/>
  <c r="P1457" i="1" s="1"/>
  <c r="Q1457" i="1" s="1"/>
  <c r="R1457" i="1" s="1"/>
  <c r="X1455" i="1"/>
  <c r="P1455" i="1" s="1"/>
  <c r="Q1455" i="1" s="1"/>
  <c r="R1455" i="1" s="1"/>
  <c r="D1455" i="1" s="1"/>
  <c r="T1455" i="1"/>
  <c r="X1454" i="1"/>
  <c r="Y1454" i="1"/>
  <c r="T1453" i="1"/>
  <c r="X1453" i="1"/>
  <c r="P1453" i="1" s="1"/>
  <c r="Q1453" i="1" s="1"/>
  <c r="R1453" i="1" s="1"/>
  <c r="X1452" i="1"/>
  <c r="P1452" i="1" s="1"/>
  <c r="Q1452" i="1" s="1"/>
  <c r="R1452" i="1" s="1"/>
  <c r="D1452" i="1" s="1"/>
  <c r="X1451" i="1"/>
  <c r="P1451" i="1" s="1"/>
  <c r="Q1451" i="1" s="1"/>
  <c r="R1451" i="1" s="1"/>
  <c r="D1451" i="1" s="1"/>
  <c r="X1450" i="1"/>
  <c r="P1450" i="1" s="1"/>
  <c r="Q1450" i="1" s="1"/>
  <c r="Y1450" i="1"/>
  <c r="R48" i="15"/>
  <c r="J998" i="6"/>
  <c r="AC20" i="16"/>
  <c r="AC22" i="16"/>
  <c r="O1409" i="1"/>
  <c r="P1473" i="1" l="1"/>
  <c r="Q1473" i="1" s="1"/>
  <c r="R1473" i="1" s="1"/>
  <c r="D1459" i="1"/>
  <c r="D1461" i="1"/>
  <c r="P1454" i="1"/>
  <c r="Q1454" i="1" s="1"/>
  <c r="R1454" i="1" s="1"/>
  <c r="D1454" i="1" s="1"/>
  <c r="A1449" i="1"/>
  <c r="C1449" i="1"/>
  <c r="B1449" i="1" s="1"/>
  <c r="F1449" i="1"/>
  <c r="M1449" i="1"/>
  <c r="O1449" i="1"/>
  <c r="T1449" i="1"/>
  <c r="U1449" i="1"/>
  <c r="Y1449" i="1" s="1"/>
  <c r="V1449" i="1"/>
  <c r="W1449" i="1" s="1"/>
  <c r="M1402" i="1"/>
  <c r="K1448" i="1"/>
  <c r="O1448" i="1" s="1"/>
  <c r="A1448" i="1"/>
  <c r="C1448" i="1"/>
  <c r="B1448" i="1" s="1"/>
  <c r="F1448" i="1"/>
  <c r="M1448" i="1"/>
  <c r="U1448" i="1"/>
  <c r="Y1448" i="1" s="1"/>
  <c r="V1448" i="1"/>
  <c r="W1448" i="1" s="1"/>
  <c r="A30" i="104"/>
  <c r="B30" i="104"/>
  <c r="C30" i="104"/>
  <c r="A1447" i="1"/>
  <c r="C1447" i="1"/>
  <c r="B1447" i="1" s="1"/>
  <c r="F1447" i="1"/>
  <c r="M1447" i="1"/>
  <c r="O1447" i="1"/>
  <c r="U1447" i="1"/>
  <c r="Y1447" i="1" s="1"/>
  <c r="V1447" i="1"/>
  <c r="W1447" i="1" s="1"/>
  <c r="A1446" i="1"/>
  <c r="C1446" i="1"/>
  <c r="B1446" i="1" s="1"/>
  <c r="F1446" i="1"/>
  <c r="M1446" i="1"/>
  <c r="O1446" i="1"/>
  <c r="U1446" i="1"/>
  <c r="Y1446" i="1" s="1"/>
  <c r="V1446" i="1"/>
  <c r="W1446" i="1" s="1"/>
  <c r="A1445" i="1"/>
  <c r="C1445" i="1"/>
  <c r="B1445" i="1" s="1"/>
  <c r="F1445" i="1"/>
  <c r="M1445" i="1"/>
  <c r="O1445" i="1"/>
  <c r="U1445" i="1"/>
  <c r="Y1445" i="1" s="1"/>
  <c r="V1445" i="1"/>
  <c r="W1445" i="1" s="1"/>
  <c r="A1444" i="1"/>
  <c r="C1444" i="1"/>
  <c r="B1444" i="1" s="1"/>
  <c r="F1444" i="1"/>
  <c r="M1444" i="1"/>
  <c r="O1444" i="1"/>
  <c r="U1444" i="1"/>
  <c r="V1444" i="1"/>
  <c r="W1444" i="1" s="1"/>
  <c r="A1443" i="1"/>
  <c r="C1443" i="1"/>
  <c r="B1443" i="1" s="1"/>
  <c r="F1443" i="1"/>
  <c r="M1443" i="1"/>
  <c r="O1443" i="1"/>
  <c r="U1443" i="1"/>
  <c r="Y1443" i="1" s="1"/>
  <c r="V1443" i="1"/>
  <c r="W1443" i="1" s="1"/>
  <c r="A1442" i="1"/>
  <c r="C1442" i="1"/>
  <c r="B1442" i="1" s="1"/>
  <c r="F1442" i="1"/>
  <c r="M1442" i="1"/>
  <c r="O1442" i="1"/>
  <c r="U1442" i="1"/>
  <c r="Y1442" i="1" s="1"/>
  <c r="V1442" i="1"/>
  <c r="W1442" i="1" s="1"/>
  <c r="A1441" i="1"/>
  <c r="C1441" i="1"/>
  <c r="B1441" i="1" s="1"/>
  <c r="F1441" i="1"/>
  <c r="M1441" i="1"/>
  <c r="O1441" i="1"/>
  <c r="U1441" i="1"/>
  <c r="Y1441" i="1" s="1"/>
  <c r="V1441" i="1"/>
  <c r="W1441" i="1" s="1"/>
  <c r="A1440" i="1"/>
  <c r="C1440" i="1"/>
  <c r="B1440" i="1" s="1"/>
  <c r="F1440" i="1"/>
  <c r="M1440" i="1"/>
  <c r="O1440" i="1"/>
  <c r="U1440" i="1"/>
  <c r="V1440" i="1"/>
  <c r="W1440" i="1" s="1"/>
  <c r="A1439" i="1"/>
  <c r="C1439" i="1"/>
  <c r="B1439" i="1" s="1"/>
  <c r="F1439" i="1"/>
  <c r="M1439" i="1"/>
  <c r="O1439" i="1"/>
  <c r="U1439" i="1"/>
  <c r="Y1439" i="1" s="1"/>
  <c r="V1439" i="1"/>
  <c r="W1439" i="1" s="1"/>
  <c r="A1438" i="1"/>
  <c r="C1438" i="1"/>
  <c r="B1438" i="1" s="1"/>
  <c r="F1438" i="1"/>
  <c r="M1438" i="1"/>
  <c r="O1438" i="1"/>
  <c r="U1438" i="1"/>
  <c r="Y1438" i="1" s="1"/>
  <c r="V1438" i="1"/>
  <c r="W1438" i="1" s="1"/>
  <c r="A1437" i="1"/>
  <c r="C1437" i="1"/>
  <c r="T1437" i="1" s="1"/>
  <c r="F1437" i="1"/>
  <c r="M1437" i="1"/>
  <c r="O1437" i="1"/>
  <c r="U1437" i="1"/>
  <c r="V1437" i="1"/>
  <c r="W1437" i="1" s="1"/>
  <c r="A1436" i="1"/>
  <c r="B1436" i="1"/>
  <c r="F1436" i="1"/>
  <c r="M1436" i="1"/>
  <c r="O1436" i="1"/>
  <c r="T1436" i="1"/>
  <c r="U1436" i="1"/>
  <c r="Y1436" i="1" s="1"/>
  <c r="V1436" i="1"/>
  <c r="W1436" i="1" s="1"/>
  <c r="A1435" i="1"/>
  <c r="C1435" i="1"/>
  <c r="B1435" i="1" s="1"/>
  <c r="F1435" i="1"/>
  <c r="M1435" i="1"/>
  <c r="O1435" i="1"/>
  <c r="U1435" i="1"/>
  <c r="Y1435" i="1" s="1"/>
  <c r="V1435" i="1"/>
  <c r="W1435" i="1" s="1"/>
  <c r="A1434" i="1"/>
  <c r="C1434" i="1"/>
  <c r="B1434" i="1" s="1"/>
  <c r="F1434" i="1"/>
  <c r="M1434" i="1"/>
  <c r="O1434" i="1"/>
  <c r="T1434" i="1"/>
  <c r="U1434" i="1"/>
  <c r="Y1434" i="1" s="1"/>
  <c r="V1434" i="1"/>
  <c r="W1434" i="1" s="1"/>
  <c r="A1433" i="1"/>
  <c r="C1433" i="1"/>
  <c r="B1433" i="1" s="1"/>
  <c r="F1433" i="1"/>
  <c r="M1433" i="1"/>
  <c r="O1433" i="1"/>
  <c r="T1433" i="1"/>
  <c r="U1433" i="1"/>
  <c r="Y1433" i="1" s="1"/>
  <c r="V1433" i="1"/>
  <c r="W1433" i="1" s="1"/>
  <c r="A1432" i="1"/>
  <c r="C1432" i="1"/>
  <c r="B1432" i="1" s="1"/>
  <c r="F1432" i="1"/>
  <c r="M1432" i="1"/>
  <c r="O1432" i="1"/>
  <c r="U1432" i="1"/>
  <c r="V1432" i="1"/>
  <c r="W1432" i="1" s="1"/>
  <c r="A1431" i="1"/>
  <c r="C1431" i="1"/>
  <c r="B1431" i="1" s="1"/>
  <c r="F1431" i="1"/>
  <c r="M1431" i="1"/>
  <c r="O1431" i="1"/>
  <c r="U1431" i="1"/>
  <c r="V1431" i="1"/>
  <c r="W1431" i="1" s="1"/>
  <c r="A1430" i="1"/>
  <c r="C1430" i="1"/>
  <c r="B1430" i="1" s="1"/>
  <c r="F1430" i="1"/>
  <c r="M1430" i="1"/>
  <c r="O1430" i="1"/>
  <c r="U1430" i="1"/>
  <c r="Y1430" i="1" s="1"/>
  <c r="V1430" i="1"/>
  <c r="W1430" i="1" s="1"/>
  <c r="A1360" i="1"/>
  <c r="C1360" i="1"/>
  <c r="B1360" i="1" s="1"/>
  <c r="F1360" i="1"/>
  <c r="M1360" i="1"/>
  <c r="O1360" i="1"/>
  <c r="U1360" i="1"/>
  <c r="V1360" i="1"/>
  <c r="W1360" i="1" s="1"/>
  <c r="F994" i="6"/>
  <c r="I994" i="6"/>
  <c r="J994" i="6"/>
  <c r="A1428" i="1"/>
  <c r="C1428" i="1"/>
  <c r="B1428" i="1" s="1"/>
  <c r="F1428" i="1"/>
  <c r="M1428" i="1"/>
  <c r="O1428" i="1"/>
  <c r="U1428" i="1"/>
  <c r="Y1428" i="1" s="1"/>
  <c r="V1428" i="1"/>
  <c r="W1428" i="1" s="1"/>
  <c r="A1427" i="1"/>
  <c r="C1427" i="1"/>
  <c r="B1427" i="1" s="1"/>
  <c r="F1427" i="1"/>
  <c r="M1427" i="1"/>
  <c r="O1427" i="1"/>
  <c r="U1427" i="1"/>
  <c r="V1427" i="1"/>
  <c r="W1427" i="1" s="1"/>
  <c r="A1426" i="1"/>
  <c r="C1426" i="1"/>
  <c r="B1426" i="1" s="1"/>
  <c r="F1426" i="1"/>
  <c r="M1426" i="1"/>
  <c r="O1426" i="1"/>
  <c r="U1426" i="1"/>
  <c r="V1426" i="1"/>
  <c r="W1426" i="1" s="1"/>
  <c r="F986" i="6"/>
  <c r="F987" i="6"/>
  <c r="F988" i="6"/>
  <c r="F989" i="6"/>
  <c r="F990" i="6"/>
  <c r="F991" i="6"/>
  <c r="F992" i="6"/>
  <c r="F993" i="6"/>
  <c r="I986" i="6"/>
  <c r="I987" i="6"/>
  <c r="I988" i="6"/>
  <c r="I989" i="6"/>
  <c r="I990" i="6"/>
  <c r="I991" i="6"/>
  <c r="I992" i="6"/>
  <c r="I993" i="6"/>
  <c r="J986" i="6"/>
  <c r="J987" i="6"/>
  <c r="J988" i="6"/>
  <c r="J989" i="6"/>
  <c r="J990" i="6"/>
  <c r="J991" i="6"/>
  <c r="J992" i="6"/>
  <c r="J993" i="6"/>
  <c r="X1449" i="1" l="1"/>
  <c r="P1449" i="1" s="1"/>
  <c r="Q1449" i="1" s="1"/>
  <c r="R1449" i="1" s="1"/>
  <c r="D1449" i="1" s="1"/>
  <c r="T1447" i="1"/>
  <c r="T1446" i="1"/>
  <c r="X1448" i="1"/>
  <c r="P1448" i="1" s="1"/>
  <c r="Q1448" i="1" s="1"/>
  <c r="R1448" i="1" s="1"/>
  <c r="T1448" i="1"/>
  <c r="X1447" i="1"/>
  <c r="P1447" i="1" s="1"/>
  <c r="Q1447" i="1" s="1"/>
  <c r="R1447" i="1" s="1"/>
  <c r="D1447" i="1" s="1"/>
  <c r="X1446" i="1"/>
  <c r="P1446" i="1" s="1"/>
  <c r="Q1446" i="1" s="1"/>
  <c r="R1446" i="1" s="1"/>
  <c r="D1472" i="1" s="1"/>
  <c r="T1445" i="1"/>
  <c r="X1445" i="1"/>
  <c r="P1445" i="1" s="1"/>
  <c r="Q1445" i="1" s="1"/>
  <c r="R1445" i="1" s="1"/>
  <c r="D1445" i="1" s="1"/>
  <c r="T1440" i="1"/>
  <c r="T1442" i="1"/>
  <c r="T1444" i="1"/>
  <c r="T1439" i="1"/>
  <c r="T1441" i="1"/>
  <c r="T1443" i="1"/>
  <c r="X1444" i="1"/>
  <c r="X1443" i="1"/>
  <c r="P1443" i="1" s="1"/>
  <c r="Q1443" i="1" s="1"/>
  <c r="R1443" i="1" s="1"/>
  <c r="D1443" i="1" s="1"/>
  <c r="Y1444" i="1"/>
  <c r="X1441" i="1"/>
  <c r="P1441" i="1" s="1"/>
  <c r="Q1441" i="1" s="1"/>
  <c r="R1441" i="1" s="1"/>
  <c r="X1442" i="1"/>
  <c r="P1442" i="1" s="1"/>
  <c r="Q1442" i="1" s="1"/>
  <c r="R1442" i="1" s="1"/>
  <c r="X1440" i="1"/>
  <c r="P1440" i="1" s="1"/>
  <c r="Q1440" i="1" s="1"/>
  <c r="R1440" i="1" s="1"/>
  <c r="D1440" i="1" s="1"/>
  <c r="Y1440" i="1"/>
  <c r="X1439" i="1"/>
  <c r="P1439" i="1" s="1"/>
  <c r="Q1439" i="1" s="1"/>
  <c r="R1439" i="1" s="1"/>
  <c r="T1435" i="1"/>
  <c r="T1438" i="1"/>
  <c r="X1438" i="1"/>
  <c r="P1438" i="1" s="1"/>
  <c r="Q1438" i="1" s="1"/>
  <c r="R1438" i="1" s="1"/>
  <c r="X1437" i="1"/>
  <c r="Y1437" i="1"/>
  <c r="X1436" i="1"/>
  <c r="P1436" i="1" s="1"/>
  <c r="Q1436" i="1" s="1"/>
  <c r="R1436" i="1" s="1"/>
  <c r="B1437" i="1"/>
  <c r="X1435" i="1"/>
  <c r="P1435" i="1" s="1"/>
  <c r="Q1435" i="1" s="1"/>
  <c r="R1435" i="1" s="1"/>
  <c r="D1435" i="1" s="1"/>
  <c r="T1432" i="1"/>
  <c r="X1434" i="1"/>
  <c r="P1434" i="1" s="1"/>
  <c r="Q1434" i="1" s="1"/>
  <c r="R1434" i="1" s="1"/>
  <c r="D1434" i="1" s="1"/>
  <c r="X1433" i="1"/>
  <c r="P1433" i="1" s="1"/>
  <c r="Q1433" i="1" s="1"/>
  <c r="R1433" i="1" s="1"/>
  <c r="T1428" i="1"/>
  <c r="X1432" i="1"/>
  <c r="Y1432" i="1"/>
  <c r="T1431" i="1"/>
  <c r="X1431" i="1"/>
  <c r="Y1431" i="1"/>
  <c r="T1360" i="1"/>
  <c r="T1430" i="1"/>
  <c r="X1430" i="1"/>
  <c r="P1430" i="1" s="1"/>
  <c r="Q1430" i="1" s="1"/>
  <c r="R1430" i="1" s="1"/>
  <c r="X1360" i="1"/>
  <c r="Y1360" i="1"/>
  <c r="X1428" i="1"/>
  <c r="P1428" i="1" s="1"/>
  <c r="Q1428" i="1" s="1"/>
  <c r="R1428" i="1" s="1"/>
  <c r="X1427" i="1"/>
  <c r="Y1427" i="1"/>
  <c r="T1426" i="1"/>
  <c r="T1427" i="1"/>
  <c r="X1426" i="1"/>
  <c r="Y1426" i="1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2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2" i="6"/>
  <c r="D1473" i="1" l="1"/>
  <c r="P1444" i="1"/>
  <c r="Q1444" i="1" s="1"/>
  <c r="R1444" i="1" s="1"/>
  <c r="D1433" i="1"/>
  <c r="P1437" i="1"/>
  <c r="Q1437" i="1" s="1"/>
  <c r="R1437" i="1" s="1"/>
  <c r="D1437" i="1" s="1"/>
  <c r="P1432" i="1"/>
  <c r="Q1432" i="1" s="1"/>
  <c r="R1432" i="1" s="1"/>
  <c r="P1431" i="1"/>
  <c r="Q1431" i="1" s="1"/>
  <c r="R1431" i="1" s="1"/>
  <c r="P1360" i="1"/>
  <c r="Q1360" i="1" s="1"/>
  <c r="R1360" i="1" s="1"/>
  <c r="P1427" i="1"/>
  <c r="Q1427" i="1" s="1"/>
  <c r="R1427" i="1" s="1"/>
  <c r="P1426" i="1"/>
  <c r="Q1426" i="1" s="1"/>
  <c r="R1426" i="1" s="1"/>
  <c r="I977" i="6"/>
  <c r="I978" i="6"/>
  <c r="I979" i="6"/>
  <c r="I980" i="6"/>
  <c r="I981" i="6"/>
  <c r="I982" i="6"/>
  <c r="I983" i="6"/>
  <c r="I984" i="6"/>
  <c r="I985" i="6"/>
  <c r="J977" i="6"/>
  <c r="J978" i="6"/>
  <c r="J979" i="6"/>
  <c r="J980" i="6"/>
  <c r="J981" i="6"/>
  <c r="J982" i="6"/>
  <c r="J983" i="6"/>
  <c r="J984" i="6"/>
  <c r="J985" i="6"/>
  <c r="Q46" i="15"/>
  <c r="R46" i="15" s="1"/>
  <c r="Q45" i="15"/>
  <c r="R45" i="15" s="1"/>
  <c r="Q44" i="15"/>
  <c r="R44" i="15" s="1"/>
  <c r="Q43" i="15"/>
  <c r="R43" i="15" s="1"/>
  <c r="Q42" i="15"/>
  <c r="R42" i="15" s="1"/>
  <c r="Q41" i="15"/>
  <c r="R41" i="15" s="1"/>
  <c r="Q40" i="15"/>
  <c r="R40" i="15" s="1"/>
  <c r="Q39" i="15"/>
  <c r="R39" i="15" s="1"/>
  <c r="Q38" i="15"/>
  <c r="R38" i="15" s="1"/>
  <c r="Q37" i="15"/>
  <c r="R37" i="15" s="1"/>
  <c r="Q36" i="15"/>
  <c r="R36" i="15" s="1"/>
  <c r="Q35" i="15"/>
  <c r="R35" i="15" s="1"/>
  <c r="Q34" i="15"/>
  <c r="R34" i="15" s="1"/>
  <c r="Q33" i="15"/>
  <c r="R33" i="15" s="1"/>
  <c r="Q32" i="15"/>
  <c r="R32" i="15" s="1"/>
  <c r="Q31" i="15"/>
  <c r="R31" i="15" s="1"/>
  <c r="Q30" i="15"/>
  <c r="R30" i="15" s="1"/>
  <c r="Q29" i="15"/>
  <c r="R29" i="15" s="1"/>
  <c r="Q28" i="15"/>
  <c r="R28" i="15" s="1"/>
  <c r="Q27" i="15"/>
  <c r="R27" i="15" s="1"/>
  <c r="Q26" i="15"/>
  <c r="R26" i="15" s="1"/>
  <c r="Q25" i="15"/>
  <c r="R25" i="15" s="1"/>
  <c r="Q24" i="15"/>
  <c r="R24" i="15" s="1"/>
  <c r="Q23" i="15"/>
  <c r="R23" i="15" s="1"/>
  <c r="Q22" i="15"/>
  <c r="R22" i="15" s="1"/>
  <c r="Q21" i="15"/>
  <c r="R21" i="15" s="1"/>
  <c r="Q20" i="15"/>
  <c r="R20" i="15" s="1"/>
  <c r="Q19" i="15"/>
  <c r="R19" i="15" s="1"/>
  <c r="Q18" i="15"/>
  <c r="R18" i="15" s="1"/>
  <c r="Q17" i="15"/>
  <c r="R17" i="15" s="1"/>
  <c r="Q16" i="15"/>
  <c r="R16" i="15" s="1"/>
  <c r="Q15" i="15"/>
  <c r="R15" i="15" s="1"/>
  <c r="Q14" i="15"/>
  <c r="R14" i="15" s="1"/>
  <c r="Q13" i="15"/>
  <c r="R13" i="15" s="1"/>
  <c r="Q12" i="15"/>
  <c r="R12" i="15" s="1"/>
  <c r="Q11" i="15"/>
  <c r="R11" i="15" s="1"/>
  <c r="Q10" i="15"/>
  <c r="R10" i="15" s="1"/>
  <c r="Q9" i="15"/>
  <c r="R9" i="15" s="1"/>
  <c r="Q8" i="15"/>
  <c r="R8" i="15" s="1"/>
  <c r="Q7" i="15"/>
  <c r="R7" i="15" s="1"/>
  <c r="Q6" i="15"/>
  <c r="R6" i="15" s="1"/>
  <c r="Q5" i="15"/>
  <c r="R5" i="15" s="1"/>
  <c r="Q4" i="15"/>
  <c r="R4" i="15" s="1"/>
  <c r="Q3" i="15"/>
  <c r="R3" i="15" s="1"/>
  <c r="Q2" i="15"/>
  <c r="R2" i="15" s="1"/>
  <c r="P16" i="15"/>
  <c r="D1427" i="1" l="1"/>
  <c r="D1453" i="1"/>
  <c r="D1436" i="1"/>
  <c r="D1426" i="1"/>
  <c r="D1428" i="1"/>
  <c r="A1424" i="1"/>
  <c r="A1425" i="1"/>
  <c r="C1424" i="1"/>
  <c r="B1424" i="1" s="1"/>
  <c r="C1425" i="1"/>
  <c r="B1425" i="1" s="1"/>
  <c r="F1424" i="1"/>
  <c r="F1425" i="1"/>
  <c r="M1424" i="1"/>
  <c r="M1425" i="1"/>
  <c r="O1424" i="1"/>
  <c r="O1425" i="1"/>
  <c r="U1424" i="1"/>
  <c r="Y1424" i="1" s="1"/>
  <c r="U1425" i="1"/>
  <c r="Y1425" i="1" s="1"/>
  <c r="V1424" i="1"/>
  <c r="W1424" i="1" s="1"/>
  <c r="V1425" i="1"/>
  <c r="W1425" i="1" s="1"/>
  <c r="A1050" i="1"/>
  <c r="C1050" i="1"/>
  <c r="B1050" i="1" s="1"/>
  <c r="F1050" i="1"/>
  <c r="M1050" i="1"/>
  <c r="O1050" i="1"/>
  <c r="U1050" i="1"/>
  <c r="Y1050" i="1" s="1"/>
  <c r="V1050" i="1"/>
  <c r="W1050" i="1" s="1"/>
  <c r="AC13" i="16"/>
  <c r="T1424" i="1" l="1"/>
  <c r="T1425" i="1"/>
  <c r="X1425" i="1"/>
  <c r="P1425" i="1" s="1"/>
  <c r="Q1425" i="1" s="1"/>
  <c r="R1425" i="1" s="1"/>
  <c r="D1425" i="1" s="1"/>
  <c r="X1424" i="1"/>
  <c r="P1424" i="1" s="1"/>
  <c r="Q1424" i="1" s="1"/>
  <c r="R1424" i="1" s="1"/>
  <c r="D1424" i="1" s="1"/>
  <c r="T1050" i="1"/>
  <c r="X1050" i="1"/>
  <c r="P1050" i="1" s="1"/>
  <c r="Q1050" i="1" s="1"/>
  <c r="R1050" i="1" s="1"/>
  <c r="D1050" i="1" s="1"/>
  <c r="I956" i="6"/>
  <c r="I940" i="6"/>
  <c r="I935" i="6"/>
  <c r="J956" i="6"/>
  <c r="J940" i="6"/>
  <c r="J935" i="6"/>
  <c r="I943" i="6"/>
  <c r="I948" i="6"/>
  <c r="I949" i="6"/>
  <c r="J943" i="6"/>
  <c r="J948" i="6"/>
  <c r="J949" i="6"/>
  <c r="P49" i="15"/>
  <c r="P48" i="15"/>
  <c r="P47" i="15"/>
  <c r="P46" i="15"/>
  <c r="P45" i="15"/>
  <c r="P37" i="15"/>
  <c r="P44" i="15"/>
  <c r="P43" i="15"/>
  <c r="P42" i="15"/>
  <c r="P41" i="15"/>
  <c r="P40" i="15"/>
  <c r="P39" i="15"/>
  <c r="P38" i="15"/>
  <c r="P36" i="15"/>
  <c r="P35" i="15"/>
  <c r="P34" i="15"/>
  <c r="P33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P17" i="15"/>
  <c r="P15" i="15"/>
  <c r="P14" i="15"/>
  <c r="P13" i="15"/>
  <c r="P12" i="15"/>
  <c r="P11" i="15"/>
  <c r="P10" i="15"/>
  <c r="P9" i="15"/>
  <c r="P8" i="15"/>
  <c r="P7" i="15"/>
  <c r="P6" i="15"/>
  <c r="P5" i="15"/>
  <c r="P4" i="15"/>
  <c r="P3" i="15"/>
  <c r="P2" i="15"/>
  <c r="B2" i="15"/>
  <c r="O49" i="15"/>
  <c r="O48" i="15"/>
  <c r="O47" i="15"/>
  <c r="O46" i="15"/>
  <c r="O45" i="15"/>
  <c r="O37" i="15"/>
  <c r="O44" i="15"/>
  <c r="O43" i="15"/>
  <c r="O42" i="15"/>
  <c r="O41" i="15"/>
  <c r="O40" i="15"/>
  <c r="O39" i="15"/>
  <c r="O38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2" i="15"/>
  <c r="O11" i="15"/>
  <c r="O10" i="15"/>
  <c r="O9" i="15"/>
  <c r="O8" i="15"/>
  <c r="O7" i="15"/>
  <c r="O6" i="15"/>
  <c r="O5" i="15"/>
  <c r="O4" i="15"/>
  <c r="O3" i="15"/>
  <c r="O2" i="15"/>
  <c r="N49" i="15"/>
  <c r="N48" i="15"/>
  <c r="N47" i="15"/>
  <c r="N46" i="15"/>
  <c r="N45" i="15"/>
  <c r="N37" i="15"/>
  <c r="N44" i="15"/>
  <c r="N43" i="15"/>
  <c r="N42" i="15"/>
  <c r="N41" i="15"/>
  <c r="N40" i="15"/>
  <c r="N39" i="15"/>
  <c r="N38" i="15"/>
  <c r="N36" i="15"/>
  <c r="N35" i="15"/>
  <c r="N34" i="15"/>
  <c r="N33" i="15"/>
  <c r="N32" i="15"/>
  <c r="N31" i="15"/>
  <c r="N30" i="15"/>
  <c r="N29" i="15"/>
  <c r="N28" i="15"/>
  <c r="N27" i="15"/>
  <c r="N26" i="15"/>
  <c r="N25" i="15"/>
  <c r="N24" i="15"/>
  <c r="N23" i="15"/>
  <c r="N22" i="15"/>
  <c r="N21" i="15"/>
  <c r="N20" i="15"/>
  <c r="N19" i="15"/>
  <c r="N18" i="15"/>
  <c r="N17" i="15"/>
  <c r="N16" i="15"/>
  <c r="N15" i="15"/>
  <c r="N14" i="15"/>
  <c r="N13" i="15"/>
  <c r="N12" i="15"/>
  <c r="N11" i="15"/>
  <c r="N10" i="15"/>
  <c r="N9" i="15"/>
  <c r="N8" i="15"/>
  <c r="N7" i="15"/>
  <c r="N6" i="15"/>
  <c r="N5" i="15"/>
  <c r="N4" i="15"/>
  <c r="N3" i="15"/>
  <c r="N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8" i="15"/>
  <c r="B39" i="15"/>
  <c r="B40" i="15"/>
  <c r="B41" i="15"/>
  <c r="B42" i="15"/>
  <c r="B43" i="15"/>
  <c r="B44" i="15"/>
  <c r="B37" i="15"/>
  <c r="B45" i="15"/>
  <c r="B46" i="15"/>
  <c r="B47" i="15"/>
  <c r="B48" i="15"/>
  <c r="B49" i="15"/>
  <c r="O1423" i="1"/>
  <c r="M1423" i="1"/>
  <c r="O1422" i="1"/>
  <c r="M1422" i="1"/>
  <c r="O1429" i="1"/>
  <c r="M1429" i="1"/>
  <c r="O1419" i="1"/>
  <c r="M1419" i="1"/>
  <c r="O1418" i="1"/>
  <c r="M1418" i="1"/>
  <c r="O1417" i="1"/>
  <c r="M1417" i="1"/>
  <c r="O1415" i="1"/>
  <c r="M1415" i="1"/>
  <c r="O1411" i="1"/>
  <c r="M1411" i="1"/>
  <c r="O1410" i="1"/>
  <c r="M1410" i="1"/>
  <c r="O1412" i="1"/>
  <c r="M1412" i="1"/>
  <c r="O1407" i="1"/>
  <c r="M1407" i="1"/>
  <c r="O1406" i="1"/>
  <c r="M1406" i="1"/>
  <c r="M1409" i="1"/>
  <c r="O1405" i="1"/>
  <c r="M1405" i="1"/>
  <c r="O1404" i="1"/>
  <c r="M1404" i="1"/>
  <c r="O1387" i="1"/>
  <c r="M1387" i="1"/>
  <c r="O1386" i="1"/>
  <c r="M1386" i="1"/>
  <c r="O1385" i="1"/>
  <c r="M1385" i="1"/>
  <c r="O1382" i="1"/>
  <c r="M1382" i="1"/>
  <c r="O1381" i="1"/>
  <c r="M1381" i="1"/>
  <c r="O1380" i="1"/>
  <c r="M1380" i="1"/>
  <c r="O1377" i="1"/>
  <c r="M1377" i="1"/>
  <c r="O1376" i="1"/>
  <c r="M1376" i="1"/>
  <c r="O1375" i="1"/>
  <c r="M1375" i="1"/>
  <c r="O1374" i="1"/>
  <c r="M1374" i="1"/>
  <c r="O1373" i="1"/>
  <c r="M1373" i="1"/>
  <c r="O1372" i="1"/>
  <c r="M1372" i="1"/>
  <c r="O1371" i="1"/>
  <c r="M1371" i="1"/>
  <c r="O1370" i="1"/>
  <c r="M1370" i="1"/>
  <c r="O1369" i="1"/>
  <c r="M1369" i="1"/>
  <c r="O1421" i="1"/>
  <c r="M1421" i="1"/>
  <c r="O1361" i="1"/>
  <c r="M1361" i="1"/>
  <c r="O1359" i="1"/>
  <c r="M1359" i="1"/>
  <c r="O1358" i="1"/>
  <c r="M1358" i="1"/>
  <c r="O1356" i="1"/>
  <c r="M1356" i="1"/>
  <c r="O1355" i="1"/>
  <c r="M1355" i="1"/>
  <c r="O1353" i="1"/>
  <c r="M1353" i="1"/>
  <c r="O1351" i="1"/>
  <c r="M1351" i="1"/>
  <c r="O1350" i="1"/>
  <c r="M1350" i="1"/>
  <c r="O1349" i="1"/>
  <c r="M1349" i="1"/>
  <c r="O1348" i="1"/>
  <c r="M1348" i="1"/>
  <c r="O1347" i="1"/>
  <c r="M1347" i="1"/>
  <c r="O1344" i="1"/>
  <c r="M1344" i="1"/>
  <c r="O1339" i="1"/>
  <c r="M1339" i="1"/>
  <c r="O1337" i="1"/>
  <c r="M1337" i="1"/>
  <c r="O1334" i="1"/>
  <c r="M1334" i="1"/>
  <c r="O1330" i="1"/>
  <c r="M1330" i="1"/>
  <c r="O1329" i="1"/>
  <c r="M1329" i="1"/>
  <c r="O1305" i="1"/>
  <c r="M1305" i="1"/>
  <c r="O1298" i="1"/>
  <c r="M1298" i="1"/>
  <c r="O1297" i="1"/>
  <c r="M1297" i="1"/>
  <c r="O1285" i="1"/>
  <c r="M1285" i="1"/>
  <c r="O1280" i="1"/>
  <c r="M1280" i="1"/>
  <c r="O1275" i="1"/>
  <c r="M1275" i="1"/>
  <c r="O1400" i="1"/>
  <c r="M1400" i="1"/>
  <c r="O1258" i="1"/>
  <c r="M1258" i="1"/>
  <c r="O1250" i="1"/>
  <c r="M1250" i="1"/>
  <c r="O1247" i="1"/>
  <c r="M1247" i="1"/>
  <c r="O1226" i="1"/>
  <c r="M1226" i="1"/>
  <c r="O1225" i="1"/>
  <c r="M1225" i="1"/>
  <c r="O1205" i="1"/>
  <c r="M1205" i="1"/>
  <c r="M1206" i="1"/>
  <c r="F2" i="1" l="1"/>
  <c r="F3" i="1"/>
  <c r="F4" i="1"/>
  <c r="F5" i="1"/>
  <c r="F6" i="1"/>
  <c r="F7" i="1"/>
  <c r="F8" i="1"/>
  <c r="F9" i="1"/>
  <c r="F10" i="1"/>
  <c r="F11" i="1"/>
  <c r="F12" i="1"/>
  <c r="F15" i="1"/>
  <c r="F13" i="1"/>
  <c r="F14" i="1"/>
  <c r="F16" i="1"/>
  <c r="F17" i="1"/>
  <c r="F19" i="1"/>
  <c r="F18" i="1"/>
  <c r="F23" i="1"/>
  <c r="F21" i="1"/>
  <c r="F22" i="1"/>
  <c r="F20" i="1"/>
  <c r="F24" i="1"/>
  <c r="F25" i="1"/>
  <c r="F26" i="1"/>
  <c r="F27" i="1"/>
  <c r="F28" i="1"/>
  <c r="F29" i="1"/>
  <c r="F30" i="1"/>
  <c r="F31" i="1"/>
  <c r="F32" i="1"/>
  <c r="F34" i="1"/>
  <c r="F33" i="1"/>
  <c r="F36" i="1"/>
  <c r="F35" i="1"/>
  <c r="F37" i="1"/>
  <c r="F39" i="1"/>
  <c r="F41" i="1"/>
  <c r="F38" i="1"/>
  <c r="F42" i="1"/>
  <c r="F40" i="1"/>
  <c r="F44" i="1"/>
  <c r="F43" i="1"/>
  <c r="F46" i="1"/>
  <c r="F45" i="1"/>
  <c r="F47" i="1"/>
  <c r="F49" i="1"/>
  <c r="F48" i="1"/>
  <c r="F50" i="1"/>
  <c r="F53" i="1"/>
  <c r="F54" i="1"/>
  <c r="F52" i="1"/>
  <c r="F51" i="1"/>
  <c r="F56" i="1"/>
  <c r="F55" i="1"/>
  <c r="F57" i="1"/>
  <c r="F58" i="1"/>
  <c r="F59" i="1"/>
  <c r="F60" i="1"/>
  <c r="F61" i="1"/>
  <c r="F62" i="1"/>
  <c r="F63" i="1"/>
  <c r="F64" i="1"/>
  <c r="F67" i="1"/>
  <c r="F65" i="1"/>
  <c r="F66" i="1"/>
  <c r="F68" i="1"/>
  <c r="F70" i="1"/>
  <c r="F69" i="1"/>
  <c r="F71" i="1"/>
  <c r="F72" i="1"/>
  <c r="F73" i="1"/>
  <c r="F75" i="1"/>
  <c r="F74" i="1"/>
  <c r="F76" i="1"/>
  <c r="F77" i="1"/>
  <c r="F80" i="1"/>
  <c r="F79" i="1"/>
  <c r="F78" i="1"/>
  <c r="F81" i="1"/>
  <c r="F82" i="1"/>
  <c r="F83" i="1"/>
  <c r="F84" i="1"/>
  <c r="F86" i="1"/>
  <c r="F85" i="1"/>
  <c r="F87" i="1"/>
  <c r="F90" i="1"/>
  <c r="F89" i="1"/>
  <c r="F88" i="1"/>
  <c r="F91" i="1"/>
  <c r="F92" i="1"/>
  <c r="F97" i="1"/>
  <c r="F94" i="1"/>
  <c r="F95" i="1"/>
  <c r="F98" i="1"/>
  <c r="F99" i="1"/>
  <c r="F93" i="1"/>
  <c r="F96" i="1"/>
  <c r="F102" i="1"/>
  <c r="F103" i="1"/>
  <c r="F101" i="1"/>
  <c r="F100" i="1"/>
  <c r="F105" i="1"/>
  <c r="F104" i="1"/>
  <c r="F106" i="1"/>
  <c r="F107" i="1"/>
  <c r="F109" i="1"/>
  <c r="F108" i="1"/>
  <c r="F110" i="1"/>
  <c r="F112" i="1"/>
  <c r="F111" i="1"/>
  <c r="F113" i="1"/>
  <c r="F115" i="1"/>
  <c r="F114" i="1"/>
  <c r="F116" i="1"/>
  <c r="F117" i="1"/>
  <c r="F118" i="1"/>
  <c r="F119" i="1"/>
  <c r="F120" i="1"/>
  <c r="F121" i="1"/>
  <c r="F122" i="1"/>
  <c r="F124" i="1"/>
  <c r="F123" i="1"/>
  <c r="F125" i="1"/>
  <c r="F137" i="1"/>
  <c r="F127" i="1"/>
  <c r="F132" i="1"/>
  <c r="F130" i="1"/>
  <c r="F128" i="1"/>
  <c r="F133" i="1"/>
  <c r="F136" i="1"/>
  <c r="F134" i="1"/>
  <c r="F129" i="1"/>
  <c r="F135" i="1"/>
  <c r="F131" i="1"/>
  <c r="F138" i="1"/>
  <c r="F126" i="1"/>
  <c r="F142" i="1"/>
  <c r="F140" i="1"/>
  <c r="F141" i="1"/>
  <c r="F139" i="1"/>
  <c r="F147" i="1"/>
  <c r="F144" i="1"/>
  <c r="F146" i="1"/>
  <c r="F145" i="1"/>
  <c r="F143" i="1"/>
  <c r="F148" i="1"/>
  <c r="F149" i="1"/>
  <c r="F151" i="1"/>
  <c r="F150" i="1"/>
  <c r="F152" i="1"/>
  <c r="F154" i="1"/>
  <c r="F153" i="1"/>
  <c r="F155" i="1"/>
  <c r="F158" i="1"/>
  <c r="F156" i="1"/>
  <c r="F157" i="1"/>
  <c r="F159" i="1"/>
  <c r="F161" i="1"/>
  <c r="F162" i="1"/>
  <c r="F160" i="1"/>
  <c r="F163" i="1"/>
  <c r="F164" i="1"/>
  <c r="F165" i="1"/>
  <c r="F166" i="1"/>
  <c r="F167" i="1"/>
  <c r="F171" i="1"/>
  <c r="F170" i="1"/>
  <c r="F169" i="1"/>
  <c r="F168" i="1"/>
  <c r="F173" i="1"/>
  <c r="F174" i="1"/>
  <c r="F172" i="1"/>
  <c r="F175" i="1"/>
  <c r="F176" i="1"/>
  <c r="F177" i="1"/>
  <c r="F182" i="1"/>
  <c r="F179" i="1"/>
  <c r="F181" i="1"/>
  <c r="F178" i="1"/>
  <c r="F180" i="1"/>
  <c r="F183" i="1"/>
  <c r="F184" i="1"/>
  <c r="F186" i="1"/>
  <c r="F185" i="1"/>
  <c r="F192" i="1"/>
  <c r="F189" i="1"/>
  <c r="F188" i="1"/>
  <c r="F190" i="1"/>
  <c r="F191" i="1"/>
  <c r="F196" i="1"/>
  <c r="F199" i="1"/>
  <c r="F200" i="1"/>
  <c r="F187" i="1"/>
  <c r="F197" i="1"/>
  <c r="F198" i="1"/>
  <c r="F195" i="1"/>
  <c r="F193" i="1"/>
  <c r="F194" i="1"/>
  <c r="F203" i="1"/>
  <c r="F204" i="1"/>
  <c r="F201" i="1"/>
  <c r="F202" i="1"/>
  <c r="F207" i="1"/>
  <c r="F205" i="1"/>
  <c r="F206" i="1"/>
  <c r="F208" i="1"/>
  <c r="F209" i="1"/>
  <c r="F210" i="1"/>
  <c r="F212" i="1"/>
  <c r="F211" i="1"/>
  <c r="F214" i="1"/>
  <c r="F213" i="1"/>
  <c r="F215" i="1"/>
  <c r="F216" i="1"/>
  <c r="F218" i="1"/>
  <c r="F219" i="1"/>
  <c r="F217" i="1"/>
  <c r="F220" i="1"/>
  <c r="F221" i="1"/>
  <c r="F223" i="1"/>
  <c r="F222" i="1"/>
  <c r="F226" i="1"/>
  <c r="F224" i="1"/>
  <c r="F225" i="1"/>
  <c r="F230" i="1"/>
  <c r="F227" i="1"/>
  <c r="F232" i="1"/>
  <c r="F228" i="1"/>
  <c r="F231" i="1"/>
  <c r="F229" i="1"/>
  <c r="F235" i="1"/>
  <c r="F233" i="1"/>
  <c r="F234" i="1"/>
  <c r="F236" i="1"/>
  <c r="F238" i="1"/>
  <c r="F237" i="1"/>
  <c r="F242" i="1"/>
  <c r="F241" i="1"/>
  <c r="F239" i="1"/>
  <c r="F240" i="1"/>
  <c r="F244" i="1"/>
  <c r="F245" i="1"/>
  <c r="F243" i="1"/>
  <c r="F246" i="1"/>
  <c r="F248" i="1"/>
  <c r="F247" i="1"/>
  <c r="F250" i="1"/>
  <c r="F251" i="1"/>
  <c r="F249" i="1"/>
  <c r="F310" i="1"/>
  <c r="F266" i="1"/>
  <c r="F316" i="1"/>
  <c r="F255" i="1"/>
  <c r="F257" i="1"/>
  <c r="F256" i="1"/>
  <c r="F258" i="1"/>
  <c r="F259" i="1"/>
  <c r="F260" i="1"/>
  <c r="F262" i="1"/>
  <c r="F261" i="1"/>
  <c r="F263" i="1"/>
  <c r="F264" i="1"/>
  <c r="F319" i="1"/>
  <c r="F317" i="1"/>
  <c r="F265" i="1"/>
  <c r="F252" i="1"/>
  <c r="F272" i="1"/>
  <c r="F539" i="1"/>
  <c r="F318" i="1"/>
  <c r="F253" i="1"/>
  <c r="F254" i="1"/>
  <c r="F829" i="1"/>
  <c r="F275" i="1"/>
  <c r="F277" i="1"/>
  <c r="F276" i="1"/>
  <c r="F279" i="1"/>
  <c r="F278" i="1"/>
  <c r="F280" i="1"/>
  <c r="F273" i="1"/>
  <c r="F274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6" i="1"/>
  <c r="F295" i="1"/>
  <c r="F298" i="1"/>
  <c r="F297" i="1"/>
  <c r="F301" i="1"/>
  <c r="F299" i="1"/>
  <c r="F300" i="1"/>
  <c r="F302" i="1"/>
  <c r="F305" i="1"/>
  <c r="F303" i="1"/>
  <c r="F304" i="1"/>
  <c r="F306" i="1"/>
  <c r="F308" i="1"/>
  <c r="F845" i="1"/>
  <c r="F309" i="1"/>
  <c r="F312" i="1"/>
  <c r="F313" i="1"/>
  <c r="F314" i="1"/>
  <c r="F311" i="1"/>
  <c r="F315" i="1"/>
  <c r="F267" i="1"/>
  <c r="F321" i="1"/>
  <c r="F733" i="1"/>
  <c r="F413" i="1"/>
  <c r="F322" i="1"/>
  <c r="F268" i="1"/>
  <c r="F323" i="1"/>
  <c r="F281" i="1"/>
  <c r="F282" i="1"/>
  <c r="F324" i="1"/>
  <c r="F320" i="1"/>
  <c r="F271" i="1"/>
  <c r="F330" i="1"/>
  <c r="F270" i="1"/>
  <c r="F269" i="1"/>
  <c r="F325" i="1"/>
  <c r="F331" i="1"/>
  <c r="F332" i="1"/>
  <c r="F334" i="1"/>
  <c r="F336" i="1"/>
  <c r="F333" i="1"/>
  <c r="F335" i="1"/>
  <c r="F338" i="1"/>
  <c r="F339" i="1"/>
  <c r="F340" i="1"/>
  <c r="F337" i="1"/>
  <c r="F341" i="1"/>
  <c r="F343" i="1"/>
  <c r="F342" i="1"/>
  <c r="F344" i="1"/>
  <c r="F346" i="1"/>
  <c r="F348" i="1"/>
  <c r="F347" i="1"/>
  <c r="F345" i="1"/>
  <c r="F349" i="1"/>
  <c r="F351" i="1"/>
  <c r="F350" i="1"/>
  <c r="F352" i="1"/>
  <c r="F357" i="1"/>
  <c r="F354" i="1"/>
  <c r="F356" i="1"/>
  <c r="F353" i="1"/>
  <c r="F355" i="1"/>
  <c r="F358" i="1"/>
  <c r="F359" i="1"/>
  <c r="F361" i="1"/>
  <c r="F307" i="1"/>
  <c r="F363" i="1"/>
  <c r="F362" i="1"/>
  <c r="F367" i="1"/>
  <c r="F364" i="1"/>
  <c r="F366" i="1"/>
  <c r="F365" i="1"/>
  <c r="F370" i="1"/>
  <c r="F371" i="1"/>
  <c r="F368" i="1"/>
  <c r="F373" i="1"/>
  <c r="F327" i="1"/>
  <c r="F372" i="1"/>
  <c r="F369" i="1"/>
  <c r="F375" i="1"/>
  <c r="F376" i="1"/>
  <c r="F377" i="1"/>
  <c r="F379" i="1"/>
  <c r="F378" i="1"/>
  <c r="F380" i="1"/>
  <c r="F381" i="1"/>
  <c r="F383" i="1"/>
  <c r="F384" i="1"/>
  <c r="F326" i="1"/>
  <c r="F385" i="1"/>
  <c r="F386" i="1"/>
  <c r="F389" i="1"/>
  <c r="F387" i="1"/>
  <c r="F388" i="1"/>
  <c r="F390" i="1"/>
  <c r="F392" i="1"/>
  <c r="F393" i="1"/>
  <c r="F394" i="1"/>
  <c r="F391" i="1"/>
  <c r="F395" i="1"/>
  <c r="F396" i="1"/>
  <c r="F404" i="1"/>
  <c r="F401" i="1"/>
  <c r="F400" i="1"/>
  <c r="F406" i="1"/>
  <c r="F398" i="1"/>
  <c r="F399" i="1"/>
  <c r="F328" i="1"/>
  <c r="F402" i="1"/>
  <c r="F403" i="1"/>
  <c r="F405" i="1"/>
  <c r="F410" i="1"/>
  <c r="F420" i="1"/>
  <c r="F415" i="1"/>
  <c r="F414" i="1"/>
  <c r="F422" i="1"/>
  <c r="F424" i="1"/>
  <c r="F374" i="1"/>
  <c r="F412" i="1"/>
  <c r="F416" i="1"/>
  <c r="F408" i="1"/>
  <c r="F411" i="1"/>
  <c r="F418" i="1"/>
  <c r="F397" i="1"/>
  <c r="F382" i="1"/>
  <c r="F423" i="1"/>
  <c r="F409" i="1"/>
  <c r="F421" i="1"/>
  <c r="F417" i="1"/>
  <c r="F419" i="1"/>
  <c r="F427" i="1"/>
  <c r="F430" i="1"/>
  <c r="F426" i="1"/>
  <c r="F429" i="1"/>
  <c r="F428" i="1"/>
  <c r="F433" i="1"/>
  <c r="F431" i="1"/>
  <c r="F432" i="1"/>
  <c r="F435" i="1"/>
  <c r="F434" i="1"/>
  <c r="F437" i="1"/>
  <c r="F436" i="1"/>
  <c r="F438" i="1"/>
  <c r="F442" i="1"/>
  <c r="F439" i="1"/>
  <c r="F329" i="1"/>
  <c r="F443" i="1"/>
  <c r="F441" i="1"/>
  <c r="F444" i="1"/>
  <c r="F446" i="1"/>
  <c r="F445" i="1"/>
  <c r="F447" i="1"/>
  <c r="F448" i="1"/>
  <c r="F449" i="1"/>
  <c r="F453" i="1"/>
  <c r="F450" i="1"/>
  <c r="F452" i="1"/>
  <c r="F451" i="1"/>
  <c r="F454" i="1"/>
  <c r="F463" i="1"/>
  <c r="F462" i="1"/>
  <c r="F460" i="1"/>
  <c r="F459" i="1"/>
  <c r="F458" i="1"/>
  <c r="F455" i="1"/>
  <c r="F461" i="1"/>
  <c r="F457" i="1"/>
  <c r="F465" i="1"/>
  <c r="F464" i="1"/>
  <c r="F456" i="1"/>
  <c r="F470" i="1"/>
  <c r="F467" i="1"/>
  <c r="F468" i="1"/>
  <c r="F469" i="1"/>
  <c r="F472" i="1"/>
  <c r="F471" i="1"/>
  <c r="F466" i="1"/>
  <c r="F473" i="1"/>
  <c r="F475" i="1"/>
  <c r="F476" i="1"/>
  <c r="F474" i="1"/>
  <c r="F480" i="1"/>
  <c r="F529" i="1"/>
  <c r="F425" i="1"/>
  <c r="F407" i="1"/>
  <c r="F360" i="1"/>
  <c r="F483" i="1"/>
  <c r="F484" i="1"/>
  <c r="F482" i="1"/>
  <c r="F487" i="1"/>
  <c r="F486" i="1"/>
  <c r="F485" i="1"/>
  <c r="F493" i="1"/>
  <c r="F495" i="1"/>
  <c r="F490" i="1"/>
  <c r="F492" i="1"/>
  <c r="F494" i="1"/>
  <c r="F570" i="1"/>
  <c r="F830" i="1"/>
  <c r="F491" i="1"/>
  <c r="F499" i="1"/>
  <c r="F497" i="1"/>
  <c r="F496" i="1"/>
  <c r="F498" i="1"/>
  <c r="F501" i="1"/>
  <c r="F503" i="1"/>
  <c r="F500" i="1"/>
  <c r="F502" i="1"/>
  <c r="F506" i="1"/>
  <c r="F508" i="1"/>
  <c r="F479" i="1"/>
  <c r="F505" i="1"/>
  <c r="F507" i="1"/>
  <c r="F509" i="1"/>
  <c r="F510" i="1"/>
  <c r="F481" i="1"/>
  <c r="F513" i="1"/>
  <c r="F514" i="1"/>
  <c r="F512" i="1"/>
  <c r="F515" i="1"/>
  <c r="F516" i="1"/>
  <c r="F518" i="1"/>
  <c r="F517" i="1"/>
  <c r="F521" i="1"/>
  <c r="F519" i="1"/>
  <c r="F520" i="1"/>
  <c r="F535" i="1"/>
  <c r="F489" i="1"/>
  <c r="F525" i="1"/>
  <c r="F522" i="1"/>
  <c r="F440" i="1"/>
  <c r="F617" i="1"/>
  <c r="F618" i="1"/>
  <c r="F523" i="1"/>
  <c r="F504" i="1"/>
  <c r="F511" i="1"/>
  <c r="F524" i="1"/>
  <c r="F488" i="1"/>
  <c r="F477" i="1"/>
  <c r="F478" i="1"/>
  <c r="F528" i="1"/>
  <c r="F526" i="1"/>
  <c r="F534" i="1"/>
  <c r="F533" i="1"/>
  <c r="F540" i="1"/>
  <c r="F541" i="1"/>
  <c r="F542" i="1"/>
  <c r="F543" i="1"/>
  <c r="F545" i="1"/>
  <c r="F546" i="1"/>
  <c r="F544" i="1"/>
  <c r="F547" i="1"/>
  <c r="F548" i="1"/>
  <c r="F549" i="1"/>
  <c r="F550" i="1"/>
  <c r="F551" i="1"/>
  <c r="F552" i="1"/>
  <c r="F553" i="1"/>
  <c r="F554" i="1"/>
  <c r="F555" i="1"/>
  <c r="F556" i="1"/>
  <c r="F561" i="1"/>
  <c r="F560" i="1"/>
  <c r="F558" i="1"/>
  <c r="F562" i="1"/>
  <c r="F559" i="1"/>
  <c r="F563" i="1"/>
  <c r="F557" i="1"/>
  <c r="F564" i="1"/>
  <c r="F567" i="1"/>
  <c r="F566" i="1"/>
  <c r="F565" i="1"/>
  <c r="F568" i="1"/>
  <c r="F527" i="1"/>
  <c r="F571" i="1"/>
  <c r="F569" i="1"/>
  <c r="F573" i="1"/>
  <c r="F1040" i="1"/>
  <c r="F574" i="1"/>
  <c r="F575" i="1"/>
  <c r="F576" i="1"/>
  <c r="F580" i="1"/>
  <c r="F581" i="1"/>
  <c r="F572" i="1"/>
  <c r="F831" i="1"/>
  <c r="F577" i="1"/>
  <c r="F584" i="1"/>
  <c r="F583" i="1"/>
  <c r="F585" i="1"/>
  <c r="F582" i="1"/>
  <c r="F586" i="1"/>
  <c r="F588" i="1"/>
  <c r="F587" i="1"/>
  <c r="F590" i="1"/>
  <c r="F589" i="1"/>
  <c r="F591" i="1"/>
  <c r="F592" i="1"/>
  <c r="F593" i="1"/>
  <c r="F597" i="1"/>
  <c r="F598" i="1"/>
  <c r="F595" i="1"/>
  <c r="F596" i="1"/>
  <c r="F594" i="1"/>
  <c r="F600" i="1"/>
  <c r="F599" i="1"/>
  <c r="F605" i="1"/>
  <c r="F601" i="1"/>
  <c r="F602" i="1"/>
  <c r="F606" i="1"/>
  <c r="F603" i="1"/>
  <c r="F608" i="1"/>
  <c r="F604" i="1"/>
  <c r="F607" i="1"/>
  <c r="F579" i="1"/>
  <c r="F612" i="1"/>
  <c r="F609" i="1"/>
  <c r="F538" i="1"/>
  <c r="F610" i="1"/>
  <c r="F532" i="1"/>
  <c r="F536" i="1"/>
  <c r="F611" i="1"/>
  <c r="F578" i="1"/>
  <c r="F530" i="1"/>
  <c r="F537" i="1"/>
  <c r="F531" i="1"/>
  <c r="F614" i="1"/>
  <c r="F613" i="1"/>
  <c r="F628" i="1"/>
  <c r="F629" i="1"/>
  <c r="F625" i="1"/>
  <c r="F626" i="1"/>
  <c r="F627" i="1"/>
  <c r="F623" i="1"/>
  <c r="F624" i="1"/>
  <c r="F631" i="1"/>
  <c r="F632" i="1"/>
  <c r="F630" i="1"/>
  <c r="F634" i="1"/>
  <c r="F635" i="1"/>
  <c r="F633" i="1"/>
  <c r="F636" i="1"/>
  <c r="F639" i="1"/>
  <c r="F637" i="1"/>
  <c r="F638" i="1"/>
  <c r="F640" i="1"/>
  <c r="F646" i="1"/>
  <c r="F641" i="1"/>
  <c r="F643" i="1"/>
  <c r="F644" i="1"/>
  <c r="F647" i="1"/>
  <c r="F645" i="1"/>
  <c r="F648" i="1"/>
  <c r="F642" i="1"/>
  <c r="F649" i="1"/>
  <c r="F653" i="1"/>
  <c r="F651" i="1"/>
  <c r="F650" i="1"/>
  <c r="F652" i="1"/>
  <c r="F654" i="1"/>
  <c r="F660" i="1"/>
  <c r="F655" i="1"/>
  <c r="F659" i="1"/>
  <c r="F658" i="1"/>
  <c r="F657" i="1"/>
  <c r="F661" i="1"/>
  <c r="F656" i="1"/>
  <c r="F662" i="1"/>
  <c r="F663" i="1"/>
  <c r="F664" i="1"/>
  <c r="F665" i="1"/>
  <c r="F671" i="1"/>
  <c r="F667" i="1"/>
  <c r="F669" i="1"/>
  <c r="F672" i="1"/>
  <c r="F666" i="1"/>
  <c r="F670" i="1"/>
  <c r="F668" i="1"/>
  <c r="F674" i="1"/>
  <c r="F673" i="1"/>
  <c r="F676" i="1"/>
  <c r="F675" i="1"/>
  <c r="F683" i="1"/>
  <c r="F684" i="1"/>
  <c r="F682" i="1"/>
  <c r="F680" i="1"/>
  <c r="F677" i="1"/>
  <c r="F678" i="1"/>
  <c r="F679" i="1"/>
  <c r="F681" i="1"/>
  <c r="F686" i="1"/>
  <c r="F685" i="1"/>
  <c r="F687" i="1"/>
  <c r="F688" i="1"/>
  <c r="F689" i="1"/>
  <c r="F693" i="1"/>
  <c r="F691" i="1"/>
  <c r="F692" i="1"/>
  <c r="F1130" i="1"/>
  <c r="F701" i="1"/>
  <c r="F698" i="1"/>
  <c r="F615" i="1"/>
  <c r="F832" i="1"/>
  <c r="F702" i="1"/>
  <c r="F696" i="1"/>
  <c r="F700" i="1"/>
  <c r="F699" i="1"/>
  <c r="F697" i="1"/>
  <c r="F706" i="1"/>
  <c r="F703" i="1"/>
  <c r="F707" i="1"/>
  <c r="F705" i="1"/>
  <c r="F704" i="1"/>
  <c r="F709" i="1"/>
  <c r="F708" i="1"/>
  <c r="F710" i="1"/>
  <c r="F713" i="1"/>
  <c r="F714" i="1"/>
  <c r="F716" i="1"/>
  <c r="F616" i="1"/>
  <c r="F715" i="1"/>
  <c r="F717" i="1"/>
  <c r="F712" i="1"/>
  <c r="F719" i="1"/>
  <c r="F718" i="1"/>
  <c r="F720" i="1"/>
  <c r="F721" i="1"/>
  <c r="F725" i="1"/>
  <c r="F724" i="1"/>
  <c r="F723" i="1"/>
  <c r="F727" i="1"/>
  <c r="F726" i="1"/>
  <c r="F722" i="1"/>
  <c r="F728" i="1"/>
  <c r="F730" i="1"/>
  <c r="F729" i="1"/>
  <c r="F731" i="1"/>
  <c r="F737" i="1"/>
  <c r="F732" i="1"/>
  <c r="F744" i="1"/>
  <c r="F735" i="1"/>
  <c r="F740" i="1"/>
  <c r="F736" i="1"/>
  <c r="F620" i="1"/>
  <c r="F738" i="1"/>
  <c r="F690" i="1"/>
  <c r="F694" i="1"/>
  <c r="F739" i="1"/>
  <c r="F734" i="1"/>
  <c r="F621" i="1"/>
  <c r="F695" i="1"/>
  <c r="F622" i="1"/>
  <c r="F741" i="1"/>
  <c r="F743" i="1"/>
  <c r="F749" i="1"/>
  <c r="F751" i="1"/>
  <c r="F750" i="1"/>
  <c r="F754" i="1"/>
  <c r="F619" i="1"/>
  <c r="F753" i="1"/>
  <c r="F758" i="1"/>
  <c r="F760" i="1"/>
  <c r="F762" i="1"/>
  <c r="F759" i="1"/>
  <c r="F763" i="1"/>
  <c r="F761" i="1"/>
  <c r="F755" i="1"/>
  <c r="F756" i="1"/>
  <c r="F757" i="1"/>
  <c r="F764" i="1"/>
  <c r="F765" i="1"/>
  <c r="F768" i="1"/>
  <c r="F767" i="1"/>
  <c r="F766" i="1"/>
  <c r="F769" i="1"/>
  <c r="F770" i="1"/>
  <c r="F773" i="1"/>
  <c r="F772" i="1"/>
  <c r="F771" i="1"/>
  <c r="F775" i="1"/>
  <c r="F774" i="1"/>
  <c r="F776" i="1"/>
  <c r="F777" i="1"/>
  <c r="F778" i="1"/>
  <c r="F779" i="1"/>
  <c r="F780" i="1"/>
  <c r="F782" i="1"/>
  <c r="F781" i="1"/>
  <c r="F783" i="1"/>
  <c r="F785" i="1"/>
  <c r="F784" i="1"/>
  <c r="F787" i="1"/>
  <c r="F711" i="1"/>
  <c r="F792" i="1"/>
  <c r="F790" i="1"/>
  <c r="F789" i="1"/>
  <c r="F788" i="1"/>
  <c r="F791" i="1"/>
  <c r="F793" i="1"/>
  <c r="F796" i="1"/>
  <c r="F794" i="1"/>
  <c r="F795" i="1"/>
  <c r="F798" i="1"/>
  <c r="F797" i="1"/>
  <c r="F799" i="1"/>
  <c r="F801" i="1"/>
  <c r="F802" i="1"/>
  <c r="F800" i="1"/>
  <c r="F803" i="1"/>
  <c r="F833" i="1"/>
  <c r="F807" i="1"/>
  <c r="F806" i="1"/>
  <c r="F805" i="1"/>
  <c r="F808" i="1"/>
  <c r="F809" i="1"/>
  <c r="F813" i="1"/>
  <c r="F812" i="1"/>
  <c r="F810" i="1"/>
  <c r="F811" i="1"/>
  <c r="F815" i="1"/>
  <c r="F814" i="1"/>
  <c r="F817" i="1"/>
  <c r="F819" i="1"/>
  <c r="F820" i="1"/>
  <c r="F818" i="1"/>
  <c r="F816" i="1"/>
  <c r="F822" i="1"/>
  <c r="F821" i="1"/>
  <c r="F823" i="1"/>
  <c r="F827" i="1"/>
  <c r="F838" i="1"/>
  <c r="F825" i="1"/>
  <c r="F841" i="1"/>
  <c r="F742" i="1"/>
  <c r="F835" i="1"/>
  <c r="F839" i="1"/>
  <c r="F836" i="1"/>
  <c r="F746" i="1"/>
  <c r="F745" i="1"/>
  <c r="F748" i="1"/>
  <c r="F1042" i="1"/>
  <c r="F1043" i="1"/>
  <c r="F837" i="1"/>
  <c r="F786" i="1"/>
  <c r="F804" i="1"/>
  <c r="F840" i="1"/>
  <c r="F834" i="1"/>
  <c r="F747" i="1"/>
  <c r="F824" i="1"/>
  <c r="F752" i="1"/>
  <c r="F842" i="1"/>
  <c r="F847" i="1"/>
  <c r="F846" i="1"/>
  <c r="F848" i="1"/>
  <c r="F826" i="1"/>
  <c r="F853" i="1"/>
  <c r="F854" i="1"/>
  <c r="F852" i="1"/>
  <c r="F851" i="1"/>
  <c r="F850" i="1"/>
  <c r="F857" i="1"/>
  <c r="F856" i="1"/>
  <c r="F855" i="1"/>
  <c r="F858" i="1"/>
  <c r="F860" i="1"/>
  <c r="F859" i="1"/>
  <c r="F861" i="1"/>
  <c r="F862" i="1"/>
  <c r="F863" i="1"/>
  <c r="F864" i="1"/>
  <c r="F865" i="1"/>
  <c r="F866" i="1"/>
  <c r="F867" i="1"/>
  <c r="F869" i="1"/>
  <c r="F843" i="1"/>
  <c r="F871" i="1"/>
  <c r="F870" i="1"/>
  <c r="F872" i="1"/>
  <c r="F874" i="1"/>
  <c r="F828" i="1"/>
  <c r="F875" i="1"/>
  <c r="F876" i="1"/>
  <c r="F877" i="1"/>
  <c r="F883" i="1"/>
  <c r="F881" i="1"/>
  <c r="F880" i="1"/>
  <c r="F879" i="1"/>
  <c r="F882" i="1"/>
  <c r="F878" i="1"/>
  <c r="F885" i="1"/>
  <c r="F889" i="1"/>
  <c r="F868" i="1"/>
  <c r="F887" i="1"/>
  <c r="F884" i="1"/>
  <c r="F886" i="1"/>
  <c r="F892" i="1"/>
  <c r="F891" i="1"/>
  <c r="F890" i="1"/>
  <c r="F893" i="1"/>
  <c r="F894" i="1"/>
  <c r="F896" i="1"/>
  <c r="F895" i="1"/>
  <c r="F849" i="1"/>
  <c r="F898" i="1"/>
  <c r="F900" i="1"/>
  <c r="F899" i="1"/>
  <c r="F909" i="1"/>
  <c r="F908" i="1"/>
  <c r="F905" i="1"/>
  <c r="F903" i="1"/>
  <c r="F907" i="1"/>
  <c r="F904" i="1"/>
  <c r="F902" i="1"/>
  <c r="F901" i="1"/>
  <c r="F906" i="1"/>
  <c r="F913" i="1"/>
  <c r="F912" i="1"/>
  <c r="F911" i="1"/>
  <c r="F914" i="1"/>
  <c r="F910" i="1"/>
  <c r="F917" i="1"/>
  <c r="F916" i="1"/>
  <c r="F844" i="1"/>
  <c r="F918" i="1"/>
  <c r="F920" i="1"/>
  <c r="F921" i="1"/>
  <c r="F919" i="1"/>
  <c r="F924" i="1"/>
  <c r="F925" i="1"/>
  <c r="F923" i="1"/>
  <c r="F926" i="1"/>
  <c r="F922" i="1"/>
  <c r="F929" i="1"/>
  <c r="F928" i="1"/>
  <c r="F927" i="1"/>
  <c r="F930" i="1"/>
  <c r="F931" i="1"/>
  <c r="F933" i="1"/>
  <c r="F932" i="1"/>
  <c r="F935" i="1"/>
  <c r="F940" i="1"/>
  <c r="F943" i="1"/>
  <c r="F941" i="1"/>
  <c r="F897" i="1"/>
  <c r="F942" i="1"/>
  <c r="F936" i="1"/>
  <c r="F937" i="1"/>
  <c r="F945" i="1"/>
  <c r="F939" i="1"/>
  <c r="F915" i="1"/>
  <c r="F888" i="1"/>
  <c r="F938" i="1"/>
  <c r="F934" i="1"/>
  <c r="F946" i="1"/>
  <c r="F950" i="1"/>
  <c r="F944" i="1"/>
  <c r="F952" i="1"/>
  <c r="F954" i="1"/>
  <c r="F951" i="1"/>
  <c r="F953" i="1"/>
  <c r="F956" i="1"/>
  <c r="F873" i="1"/>
  <c r="F957" i="1"/>
  <c r="F958" i="1"/>
  <c r="F960" i="1"/>
  <c r="F959" i="1"/>
  <c r="F961" i="1"/>
  <c r="F962" i="1"/>
  <c r="F963" i="1"/>
  <c r="F964" i="1"/>
  <c r="F965" i="1"/>
  <c r="F967" i="1"/>
  <c r="F968" i="1"/>
  <c r="F966" i="1"/>
  <c r="F969" i="1"/>
  <c r="F972" i="1"/>
  <c r="F971" i="1"/>
  <c r="F970" i="1"/>
  <c r="F973" i="1"/>
  <c r="F976" i="1"/>
  <c r="F977" i="1"/>
  <c r="F978" i="1"/>
  <c r="F975" i="1"/>
  <c r="F974" i="1"/>
  <c r="F980" i="1"/>
  <c r="F982" i="1"/>
  <c r="F981" i="1"/>
  <c r="F979" i="1"/>
  <c r="F983" i="1"/>
  <c r="F986" i="1"/>
  <c r="F985" i="1"/>
  <c r="F984" i="1"/>
  <c r="F992" i="1"/>
  <c r="F987" i="1"/>
  <c r="F991" i="1"/>
  <c r="F989" i="1"/>
  <c r="F990" i="1"/>
  <c r="F988" i="1"/>
  <c r="F993" i="1"/>
  <c r="F994" i="1"/>
  <c r="F996" i="1"/>
  <c r="F995" i="1"/>
  <c r="F998" i="1"/>
  <c r="F997" i="1"/>
  <c r="F999" i="1"/>
  <c r="F1000" i="1"/>
  <c r="F1001" i="1"/>
  <c r="F1006" i="1"/>
  <c r="F1005" i="1"/>
  <c r="F947" i="1"/>
  <c r="F1004" i="1"/>
  <c r="F1003" i="1"/>
  <c r="F1002" i="1"/>
  <c r="F1010" i="1"/>
  <c r="F1008" i="1"/>
  <c r="F1009" i="1"/>
  <c r="F1014" i="1"/>
  <c r="F1013" i="1"/>
  <c r="F1011" i="1"/>
  <c r="F1015" i="1"/>
  <c r="F1016" i="1"/>
  <c r="F1012" i="1"/>
  <c r="F1017" i="1"/>
  <c r="F1018" i="1"/>
  <c r="F1019" i="1"/>
  <c r="F1023" i="1"/>
  <c r="F1020" i="1"/>
  <c r="F1022" i="1"/>
  <c r="F1021" i="1"/>
  <c r="F1026" i="1"/>
  <c r="F1024" i="1"/>
  <c r="F1030" i="1"/>
  <c r="F1029" i="1"/>
  <c r="F1025" i="1"/>
  <c r="F1032" i="1"/>
  <c r="F1033" i="1"/>
  <c r="F1027" i="1"/>
  <c r="F1028" i="1"/>
  <c r="F1031" i="1"/>
  <c r="F1100" i="1"/>
  <c r="F1044" i="1"/>
  <c r="F1036" i="1"/>
  <c r="F1046" i="1"/>
  <c r="F1051" i="1"/>
  <c r="F1047" i="1"/>
  <c r="F1007" i="1"/>
  <c r="F1048" i="1"/>
  <c r="F1034" i="1"/>
  <c r="F1035" i="1"/>
  <c r="F1071" i="1"/>
  <c r="F1037" i="1"/>
  <c r="F955" i="1"/>
  <c r="F948" i="1"/>
  <c r="F1045" i="1"/>
  <c r="F1077" i="1"/>
  <c r="F1038" i="1"/>
  <c r="F1054" i="1"/>
  <c r="F1053" i="1"/>
  <c r="F1049" i="1"/>
  <c r="F1052" i="1"/>
  <c r="F1055" i="1"/>
  <c r="F1056" i="1"/>
  <c r="F1057" i="1"/>
  <c r="F1059" i="1"/>
  <c r="F1060" i="1"/>
  <c r="F1058" i="1"/>
  <c r="F1066" i="1"/>
  <c r="F1068" i="1"/>
  <c r="F1067" i="1"/>
  <c r="F1064" i="1"/>
  <c r="F1070" i="1"/>
  <c r="F1061" i="1"/>
  <c r="F1063" i="1"/>
  <c r="F1062" i="1"/>
  <c r="F1065" i="1"/>
  <c r="F1069" i="1"/>
  <c r="F1041" i="1"/>
  <c r="F1074" i="1"/>
  <c r="F1072" i="1"/>
  <c r="F1073" i="1"/>
  <c r="F1075" i="1"/>
  <c r="F1076" i="1"/>
  <c r="F1083" i="1"/>
  <c r="F1084" i="1"/>
  <c r="F1078" i="1"/>
  <c r="F1082" i="1"/>
  <c r="F1080" i="1"/>
  <c r="F1081" i="1"/>
  <c r="F949" i="1"/>
  <c r="F1085" i="1"/>
  <c r="F1079" i="1"/>
  <c r="F1086" i="1"/>
  <c r="F1089" i="1"/>
  <c r="F1087" i="1"/>
  <c r="F1090" i="1"/>
  <c r="F1088" i="1"/>
  <c r="F1092" i="1"/>
  <c r="F1095" i="1"/>
  <c r="F1093" i="1"/>
  <c r="F1091" i="1"/>
  <c r="F1094" i="1"/>
  <c r="F1097" i="1"/>
  <c r="F1096" i="1"/>
  <c r="F1098" i="1"/>
  <c r="F1039" i="1"/>
  <c r="F1108" i="1"/>
  <c r="F1102" i="1"/>
  <c r="F1101" i="1"/>
  <c r="F1104" i="1"/>
  <c r="F1103" i="1"/>
  <c r="F1105" i="1"/>
  <c r="F1106" i="1"/>
  <c r="F1107" i="1"/>
  <c r="F1109" i="1"/>
  <c r="F1172" i="1"/>
  <c r="F1111" i="1"/>
  <c r="F1110" i="1"/>
  <c r="F1112" i="1"/>
  <c r="F1114" i="1"/>
  <c r="F1113" i="1"/>
  <c r="F1115" i="1"/>
  <c r="F1116" i="1"/>
  <c r="F1119" i="1"/>
  <c r="F1117" i="1"/>
  <c r="F1120" i="1"/>
  <c r="F1118" i="1"/>
  <c r="F1125" i="1"/>
  <c r="F1124" i="1"/>
  <c r="F1122" i="1"/>
  <c r="F1126" i="1"/>
  <c r="F1121" i="1"/>
  <c r="F1123" i="1"/>
  <c r="F1127" i="1"/>
  <c r="F1128" i="1"/>
  <c r="F1131" i="1"/>
  <c r="F1132" i="1"/>
  <c r="F1133" i="1"/>
  <c r="F1129" i="1"/>
  <c r="F1099" i="1"/>
  <c r="F1134" i="1"/>
  <c r="F1137" i="1"/>
  <c r="F1136" i="1"/>
  <c r="F1140" i="1"/>
  <c r="F1138" i="1"/>
  <c r="F1139" i="1"/>
  <c r="F1141" i="1"/>
  <c r="F1135" i="1"/>
  <c r="F1153" i="1"/>
  <c r="F1148" i="1"/>
  <c r="F1154" i="1"/>
  <c r="F1152" i="1"/>
  <c r="F1157" i="1"/>
  <c r="F1155" i="1"/>
  <c r="F1143" i="1"/>
  <c r="F1274" i="1"/>
  <c r="F1279" i="1"/>
  <c r="F1156" i="1"/>
  <c r="F1144" i="1"/>
  <c r="F1146" i="1"/>
  <c r="F1158" i="1"/>
  <c r="F1150" i="1"/>
  <c r="F1151" i="1"/>
  <c r="F1142" i="1"/>
  <c r="F1147" i="1"/>
  <c r="F1159" i="1"/>
  <c r="F1145" i="1"/>
  <c r="F1163" i="1"/>
  <c r="F1161" i="1"/>
  <c r="F1162" i="1"/>
  <c r="F1164" i="1"/>
  <c r="F1165" i="1"/>
  <c r="F1166" i="1"/>
  <c r="F1169" i="1"/>
  <c r="F1170" i="1"/>
  <c r="F1167" i="1"/>
  <c r="F1168" i="1"/>
  <c r="F1171" i="1"/>
  <c r="F1173" i="1"/>
  <c r="F1175" i="1"/>
  <c r="F1201" i="1"/>
  <c r="F1174" i="1"/>
  <c r="F1176" i="1"/>
  <c r="F1149" i="1"/>
  <c r="F1180" i="1"/>
  <c r="F1182" i="1"/>
  <c r="F1179" i="1"/>
  <c r="F1178" i="1"/>
  <c r="F1181" i="1"/>
  <c r="F1183" i="1"/>
  <c r="F1184" i="1"/>
  <c r="F1185" i="1"/>
  <c r="F1186" i="1"/>
  <c r="F1188" i="1"/>
  <c r="F1187" i="1"/>
  <c r="F1191" i="1"/>
  <c r="F1189" i="1"/>
  <c r="F1190" i="1"/>
  <c r="F1192" i="1"/>
  <c r="F1193" i="1"/>
  <c r="F1195" i="1"/>
  <c r="F1194" i="1"/>
  <c r="F1197" i="1"/>
  <c r="F1198" i="1"/>
  <c r="F1196" i="1"/>
  <c r="F1199" i="1"/>
  <c r="F1204" i="1"/>
  <c r="F1200" i="1"/>
  <c r="F1202" i="1"/>
  <c r="F1203" i="1"/>
  <c r="F1207" i="1"/>
  <c r="F1205" i="1"/>
  <c r="F1206" i="1"/>
  <c r="F1210" i="1"/>
  <c r="F1208" i="1"/>
  <c r="F1209" i="1"/>
  <c r="F1214" i="1"/>
  <c r="F1212" i="1"/>
  <c r="F1213" i="1"/>
  <c r="F1215" i="1"/>
  <c r="F1211" i="1"/>
  <c r="F1225" i="1"/>
  <c r="F1217" i="1"/>
  <c r="F1218" i="1"/>
  <c r="F1216" i="1"/>
  <c r="F1219" i="1"/>
  <c r="F1220" i="1"/>
  <c r="F1222" i="1"/>
  <c r="F1223" i="1"/>
  <c r="F1224" i="1"/>
  <c r="F1221" i="1"/>
  <c r="F1226" i="1"/>
  <c r="F1228" i="1"/>
  <c r="F1227" i="1"/>
  <c r="F1246" i="1"/>
  <c r="F1240" i="1"/>
  <c r="F1239" i="1"/>
  <c r="F1243" i="1"/>
  <c r="F1241" i="1"/>
  <c r="F1231" i="1"/>
  <c r="F1242" i="1"/>
  <c r="F1236" i="1"/>
  <c r="F1237" i="1"/>
  <c r="F1244" i="1"/>
  <c r="F1238" i="1"/>
  <c r="F1160" i="1"/>
  <c r="F1232" i="1"/>
  <c r="F1177" i="1"/>
  <c r="F1233" i="1"/>
  <c r="F1245" i="1"/>
  <c r="F1247" i="1"/>
  <c r="F1229" i="1"/>
  <c r="F1230" i="1"/>
  <c r="F1251" i="1"/>
  <c r="F1250" i="1"/>
  <c r="F1248" i="1"/>
  <c r="F1252" i="1"/>
  <c r="F1249" i="1"/>
  <c r="F1256" i="1"/>
  <c r="F1253" i="1"/>
  <c r="F1234" i="1"/>
  <c r="F1254" i="1"/>
  <c r="F1257" i="1"/>
  <c r="F1259" i="1"/>
  <c r="F1258" i="1"/>
  <c r="F1260" i="1"/>
  <c r="F1267" i="1"/>
  <c r="F1262" i="1"/>
  <c r="F1261" i="1"/>
  <c r="F1263" i="1"/>
  <c r="F1265" i="1"/>
  <c r="F1264" i="1"/>
  <c r="F1266" i="1"/>
  <c r="F1268" i="1"/>
  <c r="F1272" i="1"/>
  <c r="F1270" i="1"/>
  <c r="F1269" i="1"/>
  <c r="F1255" i="1"/>
  <c r="F1400" i="1"/>
  <c r="F1276" i="1"/>
  <c r="F1280" i="1"/>
  <c r="F1275" i="1"/>
  <c r="F1293" i="1"/>
  <c r="F1278" i="1"/>
  <c r="F1277" i="1"/>
  <c r="F1284" i="1"/>
  <c r="F1281" i="1"/>
  <c r="F1235" i="1"/>
  <c r="F1283" i="1"/>
  <c r="F1289" i="1"/>
  <c r="F1282" i="1"/>
  <c r="F1285" i="1"/>
  <c r="F1286" i="1"/>
  <c r="F1287" i="1"/>
  <c r="F1288" i="1"/>
  <c r="F1292" i="1"/>
  <c r="F1291" i="1"/>
  <c r="F1271" i="1"/>
  <c r="F1296" i="1"/>
  <c r="F1290" i="1"/>
  <c r="F1298" i="1"/>
  <c r="F1297" i="1"/>
  <c r="F1314" i="1"/>
  <c r="F1315" i="1"/>
  <c r="F1305" i="1"/>
  <c r="F1299" i="1"/>
  <c r="F1300" i="1"/>
  <c r="F1301" i="1"/>
  <c r="F1303" i="1"/>
  <c r="F1302" i="1"/>
  <c r="F1307" i="1"/>
  <c r="F1304" i="1"/>
  <c r="F1306" i="1"/>
  <c r="F1308" i="1"/>
  <c r="F1317" i="1"/>
  <c r="F1318" i="1"/>
  <c r="F1321" i="1"/>
  <c r="F1319" i="1"/>
  <c r="F1295" i="1"/>
  <c r="F1320" i="1"/>
  <c r="F1310" i="1"/>
  <c r="F1309" i="1"/>
  <c r="F1313" i="1"/>
  <c r="F1316" i="1"/>
  <c r="F1294" i="1"/>
  <c r="F1311" i="1"/>
  <c r="F1312" i="1"/>
  <c r="F1322" i="1"/>
  <c r="F1323" i="1"/>
  <c r="F1324" i="1"/>
  <c r="F1325" i="1"/>
  <c r="F1273" i="1"/>
  <c r="F1326" i="1"/>
  <c r="F1328" i="1"/>
  <c r="F1329" i="1"/>
  <c r="F1330" i="1"/>
  <c r="F1333" i="1"/>
  <c r="F1331" i="1"/>
  <c r="F1332" i="1"/>
  <c r="F1334" i="1"/>
  <c r="F1337" i="1"/>
  <c r="F1335" i="1"/>
  <c r="F1339" i="1"/>
  <c r="F1338" i="1"/>
  <c r="F1344" i="1"/>
  <c r="F1336" i="1"/>
  <c r="F1341" i="1"/>
  <c r="F1340" i="1"/>
  <c r="F1342" i="1"/>
  <c r="F1343" i="1"/>
  <c r="F1347" i="1"/>
  <c r="F1345" i="1"/>
  <c r="F1346" i="1"/>
  <c r="F1349" i="1"/>
  <c r="F1348" i="1"/>
  <c r="F1353" i="1"/>
  <c r="F1351" i="1"/>
  <c r="F1350" i="1"/>
  <c r="F1355" i="1"/>
  <c r="F1352" i="1"/>
  <c r="F1354" i="1"/>
  <c r="F1358" i="1"/>
  <c r="F1356" i="1"/>
  <c r="F1357" i="1"/>
  <c r="F1359" i="1"/>
  <c r="F1421" i="1"/>
  <c r="F1361" i="1"/>
  <c r="F1369" i="1"/>
  <c r="F1362" i="1"/>
  <c r="F1364" i="1"/>
  <c r="F1363" i="1"/>
  <c r="F1365" i="1"/>
  <c r="F1367" i="1"/>
  <c r="F1366" i="1"/>
  <c r="F1368" i="1"/>
  <c r="F1371" i="1"/>
  <c r="F1370" i="1"/>
  <c r="F1372" i="1"/>
  <c r="F1373" i="1"/>
  <c r="F1374" i="1"/>
  <c r="F1377" i="1"/>
  <c r="F1376" i="1"/>
  <c r="F1375" i="1"/>
  <c r="F1381" i="1"/>
  <c r="F1378" i="1"/>
  <c r="F1380" i="1"/>
  <c r="F1382" i="1"/>
  <c r="F1379" i="1"/>
  <c r="F1384" i="1"/>
  <c r="F1401" i="1"/>
  <c r="F1386" i="1"/>
  <c r="F1387" i="1"/>
  <c r="F1385" i="1"/>
  <c r="F1393" i="1"/>
  <c r="F1388" i="1"/>
  <c r="F1391" i="1"/>
  <c r="F1390" i="1"/>
  <c r="F1392" i="1"/>
  <c r="F1389" i="1"/>
  <c r="F1394" i="1"/>
  <c r="F1405" i="1"/>
  <c r="F1406" i="1"/>
  <c r="F1409" i="1"/>
  <c r="F1383" i="1"/>
  <c r="F1398" i="1"/>
  <c r="F1397" i="1"/>
  <c r="F1404" i="1"/>
  <c r="F1396" i="1"/>
  <c r="F1402" i="1"/>
  <c r="F1407" i="1"/>
  <c r="F1327" i="1"/>
  <c r="F1399" i="1"/>
  <c r="F1395" i="1"/>
  <c r="F1403" i="1"/>
  <c r="F1408" i="1"/>
  <c r="F1412" i="1"/>
  <c r="F1415" i="1"/>
  <c r="F1414" i="1"/>
  <c r="F1413" i="1"/>
  <c r="F1416" i="1"/>
  <c r="F1429" i="1"/>
  <c r="F1420" i="1"/>
  <c r="F1417" i="1"/>
  <c r="F1418" i="1"/>
  <c r="F1419" i="1"/>
  <c r="F1423" i="1"/>
  <c r="F1410" i="1"/>
  <c r="F1411" i="1"/>
  <c r="F1422" i="1"/>
  <c r="U2" i="1"/>
  <c r="V2" i="1"/>
  <c r="W2" i="1" s="1"/>
  <c r="U3" i="1"/>
  <c r="Y3" i="1" s="1"/>
  <c r="V3" i="1"/>
  <c r="W3" i="1" s="1"/>
  <c r="U4" i="1"/>
  <c r="V4" i="1"/>
  <c r="W4" i="1" s="1"/>
  <c r="U5" i="1"/>
  <c r="V5" i="1"/>
  <c r="W5" i="1" s="1"/>
  <c r="U6" i="1"/>
  <c r="Y6" i="1" s="1"/>
  <c r="V6" i="1"/>
  <c r="W6" i="1" s="1"/>
  <c r="U7" i="1"/>
  <c r="Y7" i="1" s="1"/>
  <c r="V7" i="1"/>
  <c r="W7" i="1" s="1"/>
  <c r="U8" i="1"/>
  <c r="V8" i="1"/>
  <c r="W8" i="1" s="1"/>
  <c r="U9" i="1"/>
  <c r="V9" i="1"/>
  <c r="W9" i="1" s="1"/>
  <c r="U10" i="1"/>
  <c r="Y10" i="1" s="1"/>
  <c r="V10" i="1"/>
  <c r="W10" i="1" s="1"/>
  <c r="U11" i="1"/>
  <c r="V11" i="1"/>
  <c r="W11" i="1" s="1"/>
  <c r="U12" i="1"/>
  <c r="Y12" i="1" s="1"/>
  <c r="V12" i="1"/>
  <c r="W12" i="1" s="1"/>
  <c r="U15" i="1"/>
  <c r="V15" i="1"/>
  <c r="W15" i="1" s="1"/>
  <c r="U13" i="1"/>
  <c r="Y13" i="1" s="1"/>
  <c r="V13" i="1"/>
  <c r="W13" i="1" s="1"/>
  <c r="U14" i="1"/>
  <c r="Y14" i="1" s="1"/>
  <c r="V14" i="1"/>
  <c r="W14" i="1" s="1"/>
  <c r="U16" i="1"/>
  <c r="Y16" i="1" s="1"/>
  <c r="V16" i="1"/>
  <c r="W16" i="1" s="1"/>
  <c r="U17" i="1"/>
  <c r="Y17" i="1" s="1"/>
  <c r="V17" i="1"/>
  <c r="W17" i="1" s="1"/>
  <c r="U19" i="1"/>
  <c r="Y19" i="1" s="1"/>
  <c r="V19" i="1"/>
  <c r="W19" i="1" s="1"/>
  <c r="U18" i="1"/>
  <c r="V18" i="1"/>
  <c r="W18" i="1" s="1"/>
  <c r="U23" i="1"/>
  <c r="Y23" i="1" s="1"/>
  <c r="V23" i="1"/>
  <c r="W23" i="1" s="1"/>
  <c r="U21" i="1"/>
  <c r="V21" i="1"/>
  <c r="W21" i="1" s="1"/>
  <c r="U22" i="1"/>
  <c r="Y22" i="1" s="1"/>
  <c r="V22" i="1"/>
  <c r="W22" i="1" s="1"/>
  <c r="U20" i="1"/>
  <c r="Y20" i="1" s="1"/>
  <c r="V20" i="1"/>
  <c r="W20" i="1" s="1"/>
  <c r="U24" i="1"/>
  <c r="Y24" i="1" s="1"/>
  <c r="V24" i="1"/>
  <c r="W24" i="1" s="1"/>
  <c r="U25" i="1"/>
  <c r="Y25" i="1" s="1"/>
  <c r="V25" i="1"/>
  <c r="W25" i="1" s="1"/>
  <c r="U26" i="1"/>
  <c r="Y26" i="1" s="1"/>
  <c r="V26" i="1"/>
  <c r="W26" i="1" s="1"/>
  <c r="U27" i="1"/>
  <c r="V27" i="1"/>
  <c r="W27" i="1" s="1"/>
  <c r="U28" i="1"/>
  <c r="Y28" i="1" s="1"/>
  <c r="V28" i="1"/>
  <c r="W28" i="1" s="1"/>
  <c r="U29" i="1"/>
  <c r="V29" i="1"/>
  <c r="W29" i="1" s="1"/>
  <c r="U30" i="1"/>
  <c r="Y30" i="1" s="1"/>
  <c r="V30" i="1"/>
  <c r="W30" i="1" s="1"/>
  <c r="U31" i="1"/>
  <c r="V31" i="1"/>
  <c r="W31" i="1" s="1"/>
  <c r="U32" i="1"/>
  <c r="Y32" i="1" s="1"/>
  <c r="V32" i="1"/>
  <c r="W32" i="1" s="1"/>
  <c r="U34" i="1"/>
  <c r="Y34" i="1" s="1"/>
  <c r="V34" i="1"/>
  <c r="W34" i="1" s="1"/>
  <c r="U33" i="1"/>
  <c r="Y33" i="1" s="1"/>
  <c r="V33" i="1"/>
  <c r="W33" i="1" s="1"/>
  <c r="U36" i="1"/>
  <c r="Y36" i="1" s="1"/>
  <c r="V36" i="1"/>
  <c r="W36" i="1" s="1"/>
  <c r="U35" i="1"/>
  <c r="Y35" i="1" s="1"/>
  <c r="V35" i="1"/>
  <c r="W35" i="1" s="1"/>
  <c r="U37" i="1"/>
  <c r="V37" i="1"/>
  <c r="W37" i="1" s="1"/>
  <c r="U39" i="1"/>
  <c r="Y39" i="1" s="1"/>
  <c r="V39" i="1"/>
  <c r="W39" i="1" s="1"/>
  <c r="U41" i="1"/>
  <c r="V41" i="1"/>
  <c r="W41" i="1" s="1"/>
  <c r="U38" i="1"/>
  <c r="Y38" i="1" s="1"/>
  <c r="V38" i="1"/>
  <c r="W38" i="1" s="1"/>
  <c r="U42" i="1"/>
  <c r="Y42" i="1" s="1"/>
  <c r="V42" i="1"/>
  <c r="W42" i="1" s="1"/>
  <c r="U40" i="1"/>
  <c r="V40" i="1"/>
  <c r="W40" i="1" s="1"/>
  <c r="U44" i="1"/>
  <c r="V44" i="1"/>
  <c r="W44" i="1" s="1"/>
  <c r="U43" i="1"/>
  <c r="Y43" i="1" s="1"/>
  <c r="V43" i="1"/>
  <c r="W43" i="1" s="1"/>
  <c r="U46" i="1"/>
  <c r="V46" i="1"/>
  <c r="W46" i="1" s="1"/>
  <c r="U45" i="1"/>
  <c r="Y45" i="1" s="1"/>
  <c r="V45" i="1"/>
  <c r="W45" i="1" s="1"/>
  <c r="U47" i="1"/>
  <c r="V47" i="1"/>
  <c r="W47" i="1" s="1"/>
  <c r="U49" i="1"/>
  <c r="Y49" i="1" s="1"/>
  <c r="V49" i="1"/>
  <c r="W49" i="1" s="1"/>
  <c r="U48" i="1"/>
  <c r="Y48" i="1" s="1"/>
  <c r="V48" i="1"/>
  <c r="W48" i="1" s="1"/>
  <c r="U50" i="1"/>
  <c r="Y50" i="1" s="1"/>
  <c r="V50" i="1"/>
  <c r="W50" i="1" s="1"/>
  <c r="U53" i="1"/>
  <c r="Y53" i="1" s="1"/>
  <c r="V53" i="1"/>
  <c r="W53" i="1" s="1"/>
  <c r="U54" i="1"/>
  <c r="V54" i="1"/>
  <c r="W54" i="1" s="1"/>
  <c r="U52" i="1"/>
  <c r="V52" i="1"/>
  <c r="W52" i="1" s="1"/>
  <c r="U51" i="1"/>
  <c r="Y51" i="1" s="1"/>
  <c r="V51" i="1"/>
  <c r="W51" i="1" s="1"/>
  <c r="U56" i="1"/>
  <c r="V56" i="1"/>
  <c r="W56" i="1" s="1"/>
  <c r="U55" i="1"/>
  <c r="Y55" i="1" s="1"/>
  <c r="V55" i="1"/>
  <c r="W55" i="1" s="1"/>
  <c r="U57" i="1"/>
  <c r="Y57" i="1" s="1"/>
  <c r="V57" i="1"/>
  <c r="W57" i="1" s="1"/>
  <c r="U58" i="1"/>
  <c r="Y58" i="1" s="1"/>
  <c r="V58" i="1"/>
  <c r="W58" i="1" s="1"/>
  <c r="U59" i="1"/>
  <c r="Y59" i="1" s="1"/>
  <c r="V59" i="1"/>
  <c r="W59" i="1" s="1"/>
  <c r="U60" i="1"/>
  <c r="Y60" i="1" s="1"/>
  <c r="V60" i="1"/>
  <c r="W60" i="1" s="1"/>
  <c r="U61" i="1"/>
  <c r="V61" i="1"/>
  <c r="W61" i="1" s="1"/>
  <c r="U62" i="1"/>
  <c r="Y62" i="1" s="1"/>
  <c r="V62" i="1"/>
  <c r="W62" i="1" s="1"/>
  <c r="U63" i="1"/>
  <c r="V63" i="1"/>
  <c r="W63" i="1" s="1"/>
  <c r="U64" i="1"/>
  <c r="Y64" i="1" s="1"/>
  <c r="V64" i="1"/>
  <c r="W64" i="1" s="1"/>
  <c r="U67" i="1"/>
  <c r="Y67" i="1" s="1"/>
  <c r="V67" i="1"/>
  <c r="W67" i="1" s="1"/>
  <c r="U65" i="1"/>
  <c r="Y65" i="1" s="1"/>
  <c r="V65" i="1"/>
  <c r="W65" i="1" s="1"/>
  <c r="U66" i="1"/>
  <c r="Y66" i="1" s="1"/>
  <c r="V66" i="1"/>
  <c r="W66" i="1" s="1"/>
  <c r="U68" i="1"/>
  <c r="Y68" i="1" s="1"/>
  <c r="V68" i="1"/>
  <c r="W68" i="1" s="1"/>
  <c r="U70" i="1"/>
  <c r="V70" i="1"/>
  <c r="W70" i="1" s="1"/>
  <c r="U69" i="1"/>
  <c r="Y69" i="1" s="1"/>
  <c r="V69" i="1"/>
  <c r="W69" i="1" s="1"/>
  <c r="U71" i="1"/>
  <c r="V71" i="1"/>
  <c r="W71" i="1" s="1"/>
  <c r="U72" i="1"/>
  <c r="Y72" i="1" s="1"/>
  <c r="V72" i="1"/>
  <c r="W72" i="1" s="1"/>
  <c r="U73" i="1"/>
  <c r="V73" i="1"/>
  <c r="W73" i="1" s="1"/>
  <c r="U75" i="1"/>
  <c r="Y75" i="1" s="1"/>
  <c r="V75" i="1"/>
  <c r="W75" i="1" s="1"/>
  <c r="U74" i="1"/>
  <c r="Y74" i="1" s="1"/>
  <c r="V74" i="1"/>
  <c r="W74" i="1" s="1"/>
  <c r="U76" i="1"/>
  <c r="V76" i="1"/>
  <c r="W76" i="1" s="1"/>
  <c r="U77" i="1"/>
  <c r="V77" i="1"/>
  <c r="W77" i="1" s="1"/>
  <c r="U80" i="1"/>
  <c r="Y80" i="1" s="1"/>
  <c r="V80" i="1"/>
  <c r="W80" i="1" s="1"/>
  <c r="U79" i="1"/>
  <c r="V79" i="1"/>
  <c r="W79" i="1" s="1"/>
  <c r="U78" i="1"/>
  <c r="Y78" i="1" s="1"/>
  <c r="V78" i="1"/>
  <c r="W78" i="1" s="1"/>
  <c r="U81" i="1"/>
  <c r="V81" i="1"/>
  <c r="W81" i="1" s="1"/>
  <c r="U82" i="1"/>
  <c r="Y82" i="1" s="1"/>
  <c r="V82" i="1"/>
  <c r="W82" i="1" s="1"/>
  <c r="U83" i="1"/>
  <c r="Y83" i="1" s="1"/>
  <c r="V83" i="1"/>
  <c r="W83" i="1" s="1"/>
  <c r="U84" i="1"/>
  <c r="V84" i="1"/>
  <c r="W84" i="1" s="1"/>
  <c r="U86" i="1"/>
  <c r="V86" i="1"/>
  <c r="W86" i="1" s="1"/>
  <c r="U85" i="1"/>
  <c r="Y85" i="1" s="1"/>
  <c r="V85" i="1"/>
  <c r="W85" i="1" s="1"/>
  <c r="U87" i="1"/>
  <c r="V87" i="1"/>
  <c r="W87" i="1" s="1"/>
  <c r="U90" i="1"/>
  <c r="Y90" i="1" s="1"/>
  <c r="V90" i="1"/>
  <c r="W90" i="1" s="1"/>
  <c r="U89" i="1"/>
  <c r="Y89" i="1" s="1"/>
  <c r="V89" i="1"/>
  <c r="W89" i="1" s="1"/>
  <c r="U88" i="1"/>
  <c r="Y88" i="1" s="1"/>
  <c r="V88" i="1"/>
  <c r="W88" i="1" s="1"/>
  <c r="U91" i="1"/>
  <c r="Y91" i="1" s="1"/>
  <c r="V91" i="1"/>
  <c r="W91" i="1" s="1"/>
  <c r="U92" i="1"/>
  <c r="V92" i="1"/>
  <c r="W92" i="1" s="1"/>
  <c r="U97" i="1"/>
  <c r="V97" i="1"/>
  <c r="W97" i="1" s="1"/>
  <c r="U94" i="1"/>
  <c r="Y94" i="1" s="1"/>
  <c r="V94" i="1"/>
  <c r="W94" i="1" s="1"/>
  <c r="U95" i="1"/>
  <c r="V95" i="1"/>
  <c r="W95" i="1" s="1"/>
  <c r="U98" i="1"/>
  <c r="Y98" i="1" s="1"/>
  <c r="V98" i="1"/>
  <c r="W98" i="1" s="1"/>
  <c r="U99" i="1"/>
  <c r="V99" i="1"/>
  <c r="W99" i="1" s="1"/>
  <c r="U93" i="1"/>
  <c r="Y93" i="1" s="1"/>
  <c r="V93" i="1"/>
  <c r="W93" i="1" s="1"/>
  <c r="U96" i="1"/>
  <c r="Y96" i="1" s="1"/>
  <c r="V96" i="1"/>
  <c r="W96" i="1" s="1"/>
  <c r="U102" i="1"/>
  <c r="V102" i="1"/>
  <c r="W102" i="1" s="1"/>
  <c r="U103" i="1"/>
  <c r="V103" i="1"/>
  <c r="W103" i="1" s="1"/>
  <c r="U101" i="1"/>
  <c r="Y101" i="1" s="1"/>
  <c r="V101" i="1"/>
  <c r="W101" i="1" s="1"/>
  <c r="U100" i="1"/>
  <c r="V100" i="1"/>
  <c r="W100" i="1" s="1"/>
  <c r="U105" i="1"/>
  <c r="Y105" i="1" s="1"/>
  <c r="V105" i="1"/>
  <c r="W105" i="1" s="1"/>
  <c r="U104" i="1"/>
  <c r="Y104" i="1" s="1"/>
  <c r="V104" i="1"/>
  <c r="W104" i="1" s="1"/>
  <c r="U106" i="1"/>
  <c r="Y106" i="1" s="1"/>
  <c r="V106" i="1"/>
  <c r="W106" i="1" s="1"/>
  <c r="U107" i="1"/>
  <c r="Y107" i="1" s="1"/>
  <c r="V107" i="1"/>
  <c r="W107" i="1" s="1"/>
  <c r="U109" i="1"/>
  <c r="V109" i="1"/>
  <c r="W109" i="1" s="1"/>
  <c r="U108" i="1"/>
  <c r="V108" i="1"/>
  <c r="W108" i="1" s="1"/>
  <c r="U110" i="1"/>
  <c r="Y110" i="1" s="1"/>
  <c r="V110" i="1"/>
  <c r="W110" i="1" s="1"/>
  <c r="U112" i="1"/>
  <c r="V112" i="1"/>
  <c r="W112" i="1" s="1"/>
  <c r="U111" i="1"/>
  <c r="Y111" i="1" s="1"/>
  <c r="V111" i="1"/>
  <c r="W111" i="1" s="1"/>
  <c r="U113" i="1"/>
  <c r="V113" i="1"/>
  <c r="W113" i="1" s="1"/>
  <c r="U115" i="1"/>
  <c r="Y115" i="1" s="1"/>
  <c r="V115" i="1"/>
  <c r="W115" i="1" s="1"/>
  <c r="U114" i="1"/>
  <c r="Y114" i="1" s="1"/>
  <c r="V114" i="1"/>
  <c r="W114" i="1" s="1"/>
  <c r="U116" i="1"/>
  <c r="V116" i="1"/>
  <c r="W116" i="1" s="1"/>
  <c r="U117" i="1"/>
  <c r="V117" i="1"/>
  <c r="W117" i="1" s="1"/>
  <c r="U118" i="1"/>
  <c r="Y118" i="1" s="1"/>
  <c r="V118" i="1"/>
  <c r="W118" i="1" s="1"/>
  <c r="U119" i="1"/>
  <c r="V119" i="1"/>
  <c r="W119" i="1" s="1"/>
  <c r="U120" i="1"/>
  <c r="Y120" i="1" s="1"/>
  <c r="V120" i="1"/>
  <c r="W120" i="1" s="1"/>
  <c r="U121" i="1"/>
  <c r="Y121" i="1" s="1"/>
  <c r="V121" i="1"/>
  <c r="W121" i="1" s="1"/>
  <c r="U122" i="1"/>
  <c r="Y122" i="1" s="1"/>
  <c r="V122" i="1"/>
  <c r="W122" i="1" s="1"/>
  <c r="U124" i="1"/>
  <c r="V124" i="1"/>
  <c r="W124" i="1" s="1"/>
  <c r="U123" i="1"/>
  <c r="V123" i="1"/>
  <c r="W123" i="1" s="1"/>
  <c r="U125" i="1"/>
  <c r="V125" i="1"/>
  <c r="W125" i="1" s="1"/>
  <c r="U137" i="1"/>
  <c r="Y137" i="1" s="1"/>
  <c r="V137" i="1"/>
  <c r="W137" i="1" s="1"/>
  <c r="U127" i="1"/>
  <c r="V127" i="1"/>
  <c r="W127" i="1" s="1"/>
  <c r="U132" i="1"/>
  <c r="Y132" i="1" s="1"/>
  <c r="V132" i="1"/>
  <c r="W132" i="1" s="1"/>
  <c r="U130" i="1"/>
  <c r="Y130" i="1" s="1"/>
  <c r="V130" i="1"/>
  <c r="W130" i="1" s="1"/>
  <c r="U128" i="1"/>
  <c r="Y128" i="1" s="1"/>
  <c r="V128" i="1"/>
  <c r="W128" i="1" s="1"/>
  <c r="U133" i="1"/>
  <c r="Y133" i="1" s="1"/>
  <c r="V133" i="1"/>
  <c r="W133" i="1" s="1"/>
  <c r="U136" i="1"/>
  <c r="V136" i="1"/>
  <c r="W136" i="1" s="1"/>
  <c r="U134" i="1"/>
  <c r="V134" i="1"/>
  <c r="W134" i="1" s="1"/>
  <c r="U129" i="1"/>
  <c r="Y129" i="1" s="1"/>
  <c r="V129" i="1"/>
  <c r="W129" i="1" s="1"/>
  <c r="U135" i="1"/>
  <c r="V135" i="1"/>
  <c r="W135" i="1" s="1"/>
  <c r="U131" i="1"/>
  <c r="Y131" i="1" s="1"/>
  <c r="V131" i="1"/>
  <c r="W131" i="1" s="1"/>
  <c r="U138" i="1"/>
  <c r="Y138" i="1" s="1"/>
  <c r="V138" i="1"/>
  <c r="W138" i="1" s="1"/>
  <c r="U126" i="1"/>
  <c r="Y126" i="1" s="1"/>
  <c r="V126" i="1"/>
  <c r="W126" i="1" s="1"/>
  <c r="U142" i="1"/>
  <c r="Y142" i="1" s="1"/>
  <c r="V142" i="1"/>
  <c r="W142" i="1" s="1"/>
  <c r="U140" i="1"/>
  <c r="V140" i="1"/>
  <c r="W140" i="1" s="1"/>
  <c r="U141" i="1"/>
  <c r="V141" i="1"/>
  <c r="W141" i="1" s="1"/>
  <c r="U139" i="1"/>
  <c r="Y139" i="1" s="1"/>
  <c r="V139" i="1"/>
  <c r="W139" i="1" s="1"/>
  <c r="U147" i="1"/>
  <c r="V147" i="1"/>
  <c r="W147" i="1" s="1"/>
  <c r="U144" i="1"/>
  <c r="Y144" i="1" s="1"/>
  <c r="V144" i="1"/>
  <c r="W144" i="1" s="1"/>
  <c r="U146" i="1"/>
  <c r="Y146" i="1" s="1"/>
  <c r="V146" i="1"/>
  <c r="W146" i="1" s="1"/>
  <c r="U145" i="1"/>
  <c r="Y145" i="1" s="1"/>
  <c r="V145" i="1"/>
  <c r="W145" i="1" s="1"/>
  <c r="U143" i="1"/>
  <c r="Y143" i="1" s="1"/>
  <c r="V143" i="1"/>
  <c r="W143" i="1" s="1"/>
  <c r="U148" i="1"/>
  <c r="V148" i="1"/>
  <c r="W148" i="1" s="1"/>
  <c r="U149" i="1"/>
  <c r="V149" i="1"/>
  <c r="W149" i="1" s="1"/>
  <c r="U151" i="1"/>
  <c r="Y151" i="1" s="1"/>
  <c r="V151" i="1"/>
  <c r="W151" i="1" s="1"/>
  <c r="U150" i="1"/>
  <c r="V150" i="1"/>
  <c r="W150" i="1" s="1"/>
  <c r="U152" i="1"/>
  <c r="Y152" i="1" s="1"/>
  <c r="V152" i="1"/>
  <c r="W152" i="1" s="1"/>
  <c r="U154" i="1"/>
  <c r="Y154" i="1" s="1"/>
  <c r="V154" i="1"/>
  <c r="W154" i="1" s="1"/>
  <c r="U153" i="1"/>
  <c r="Y153" i="1" s="1"/>
  <c r="V153" i="1"/>
  <c r="W153" i="1" s="1"/>
  <c r="U155" i="1"/>
  <c r="Y155" i="1" s="1"/>
  <c r="V155" i="1"/>
  <c r="W155" i="1" s="1"/>
  <c r="U158" i="1"/>
  <c r="V158" i="1"/>
  <c r="W158" i="1" s="1"/>
  <c r="U156" i="1"/>
  <c r="V156" i="1"/>
  <c r="W156" i="1" s="1"/>
  <c r="U157" i="1"/>
  <c r="Y157" i="1" s="1"/>
  <c r="V157" i="1"/>
  <c r="W157" i="1" s="1"/>
  <c r="U159" i="1"/>
  <c r="V159" i="1"/>
  <c r="W159" i="1" s="1"/>
  <c r="U161" i="1"/>
  <c r="Y161" i="1" s="1"/>
  <c r="V161" i="1"/>
  <c r="W161" i="1" s="1"/>
  <c r="U162" i="1"/>
  <c r="Y162" i="1" s="1"/>
  <c r="V162" i="1"/>
  <c r="W162" i="1" s="1"/>
  <c r="U160" i="1"/>
  <c r="Y160" i="1" s="1"/>
  <c r="V160" i="1"/>
  <c r="W160" i="1" s="1"/>
  <c r="U163" i="1"/>
  <c r="Y163" i="1" s="1"/>
  <c r="V163" i="1"/>
  <c r="W163" i="1" s="1"/>
  <c r="U164" i="1"/>
  <c r="V164" i="1"/>
  <c r="W164" i="1" s="1"/>
  <c r="U165" i="1"/>
  <c r="V165" i="1"/>
  <c r="W165" i="1" s="1"/>
  <c r="U166" i="1"/>
  <c r="Y166" i="1" s="1"/>
  <c r="V166" i="1"/>
  <c r="W166" i="1" s="1"/>
  <c r="U167" i="1"/>
  <c r="V167" i="1"/>
  <c r="W167" i="1" s="1"/>
  <c r="U171" i="1"/>
  <c r="V171" i="1"/>
  <c r="W171" i="1" s="1"/>
  <c r="U170" i="1"/>
  <c r="Y170" i="1" s="1"/>
  <c r="V170" i="1"/>
  <c r="W170" i="1" s="1"/>
  <c r="U169" i="1"/>
  <c r="Y169" i="1" s="1"/>
  <c r="V169" i="1"/>
  <c r="W169" i="1" s="1"/>
  <c r="U168" i="1"/>
  <c r="Y168" i="1" s="1"/>
  <c r="V168" i="1"/>
  <c r="W168" i="1" s="1"/>
  <c r="U173" i="1"/>
  <c r="V173" i="1"/>
  <c r="W173" i="1" s="1"/>
  <c r="U174" i="1"/>
  <c r="V174" i="1"/>
  <c r="W174" i="1" s="1"/>
  <c r="U172" i="1"/>
  <c r="Y172" i="1" s="1"/>
  <c r="V172" i="1"/>
  <c r="W172" i="1" s="1"/>
  <c r="U175" i="1"/>
  <c r="Y175" i="1" s="1"/>
  <c r="V175" i="1"/>
  <c r="W175" i="1" s="1"/>
  <c r="U176" i="1"/>
  <c r="Y176" i="1" s="1"/>
  <c r="V176" i="1"/>
  <c r="W176" i="1" s="1"/>
  <c r="U177" i="1"/>
  <c r="Y177" i="1" s="1"/>
  <c r="V177" i="1"/>
  <c r="W177" i="1" s="1"/>
  <c r="U182" i="1"/>
  <c r="Y182" i="1" s="1"/>
  <c r="V182" i="1"/>
  <c r="W182" i="1" s="1"/>
  <c r="U179" i="1"/>
  <c r="Y179" i="1" s="1"/>
  <c r="V179" i="1"/>
  <c r="W179" i="1" s="1"/>
  <c r="U181" i="1"/>
  <c r="V181" i="1"/>
  <c r="W181" i="1" s="1"/>
  <c r="U178" i="1"/>
  <c r="V178" i="1"/>
  <c r="W178" i="1" s="1"/>
  <c r="U180" i="1"/>
  <c r="Y180" i="1" s="1"/>
  <c r="V180" i="1"/>
  <c r="W180" i="1" s="1"/>
  <c r="U183" i="1"/>
  <c r="V183" i="1"/>
  <c r="W183" i="1" s="1"/>
  <c r="U184" i="1"/>
  <c r="Y184" i="1" s="1"/>
  <c r="V184" i="1"/>
  <c r="W184" i="1" s="1"/>
  <c r="U186" i="1"/>
  <c r="V186" i="1"/>
  <c r="W186" i="1" s="1"/>
  <c r="U185" i="1"/>
  <c r="Y185" i="1" s="1"/>
  <c r="V185" i="1"/>
  <c r="W185" i="1" s="1"/>
  <c r="U192" i="1"/>
  <c r="Y192" i="1" s="1"/>
  <c r="V192" i="1"/>
  <c r="W192" i="1" s="1"/>
  <c r="U189" i="1"/>
  <c r="V189" i="1"/>
  <c r="W189" i="1" s="1"/>
  <c r="U188" i="1"/>
  <c r="V188" i="1"/>
  <c r="W188" i="1" s="1"/>
  <c r="U190" i="1"/>
  <c r="Y190" i="1" s="1"/>
  <c r="V190" i="1"/>
  <c r="W190" i="1" s="1"/>
  <c r="U191" i="1"/>
  <c r="Y191" i="1" s="1"/>
  <c r="V191" i="1"/>
  <c r="W191" i="1" s="1"/>
  <c r="U196" i="1"/>
  <c r="Y196" i="1" s="1"/>
  <c r="V196" i="1"/>
  <c r="W196" i="1" s="1"/>
  <c r="U199" i="1"/>
  <c r="Y199" i="1" s="1"/>
  <c r="V199" i="1"/>
  <c r="W199" i="1" s="1"/>
  <c r="U200" i="1"/>
  <c r="Y200" i="1" s="1"/>
  <c r="V200" i="1"/>
  <c r="W200" i="1" s="1"/>
  <c r="U187" i="1"/>
  <c r="Y187" i="1" s="1"/>
  <c r="V187" i="1"/>
  <c r="W187" i="1" s="1"/>
  <c r="U197" i="1"/>
  <c r="V197" i="1"/>
  <c r="W197" i="1" s="1"/>
  <c r="U198" i="1"/>
  <c r="Y198" i="1" s="1"/>
  <c r="V198" i="1"/>
  <c r="W198" i="1" s="1"/>
  <c r="U195" i="1"/>
  <c r="Y195" i="1" s="1"/>
  <c r="V195" i="1"/>
  <c r="W195" i="1" s="1"/>
  <c r="U193" i="1"/>
  <c r="Y193" i="1" s="1"/>
  <c r="V193" i="1"/>
  <c r="W193" i="1" s="1"/>
  <c r="U194" i="1"/>
  <c r="V194" i="1"/>
  <c r="W194" i="1" s="1"/>
  <c r="U203" i="1"/>
  <c r="V203" i="1"/>
  <c r="W203" i="1" s="1"/>
  <c r="U204" i="1"/>
  <c r="Y204" i="1" s="1"/>
  <c r="V204" i="1"/>
  <c r="W204" i="1" s="1"/>
  <c r="U201" i="1"/>
  <c r="Y201" i="1" s="1"/>
  <c r="V201" i="1"/>
  <c r="W201" i="1" s="1"/>
  <c r="U202" i="1"/>
  <c r="V202" i="1"/>
  <c r="W202" i="1" s="1"/>
  <c r="U207" i="1"/>
  <c r="V207" i="1"/>
  <c r="W207" i="1" s="1"/>
  <c r="U205" i="1"/>
  <c r="Y205" i="1" s="1"/>
  <c r="V205" i="1"/>
  <c r="W205" i="1" s="1"/>
  <c r="U206" i="1"/>
  <c r="V206" i="1"/>
  <c r="W206" i="1" s="1"/>
  <c r="U208" i="1"/>
  <c r="Y208" i="1" s="1"/>
  <c r="V208" i="1"/>
  <c r="W208" i="1" s="1"/>
  <c r="U209" i="1"/>
  <c r="Y209" i="1" s="1"/>
  <c r="V209" i="1"/>
  <c r="W209" i="1" s="1"/>
  <c r="U210" i="1"/>
  <c r="V210" i="1"/>
  <c r="W210" i="1" s="1"/>
  <c r="U212" i="1"/>
  <c r="Y212" i="1" s="1"/>
  <c r="V212" i="1"/>
  <c r="W212" i="1" s="1"/>
  <c r="U211" i="1"/>
  <c r="Y211" i="1" s="1"/>
  <c r="V211" i="1"/>
  <c r="W211" i="1" s="1"/>
  <c r="U214" i="1"/>
  <c r="V214" i="1"/>
  <c r="W214" i="1" s="1"/>
  <c r="U213" i="1"/>
  <c r="Y213" i="1" s="1"/>
  <c r="V213" i="1"/>
  <c r="W213" i="1" s="1"/>
  <c r="U215" i="1"/>
  <c r="V215" i="1"/>
  <c r="W215" i="1" s="1"/>
  <c r="U216" i="1"/>
  <c r="V216" i="1"/>
  <c r="W216" i="1" s="1"/>
  <c r="U218" i="1"/>
  <c r="Y218" i="1" s="1"/>
  <c r="V218" i="1"/>
  <c r="W218" i="1" s="1"/>
  <c r="U219" i="1"/>
  <c r="Y219" i="1" s="1"/>
  <c r="V219" i="1"/>
  <c r="W219" i="1" s="1"/>
  <c r="U217" i="1"/>
  <c r="V217" i="1"/>
  <c r="W217" i="1" s="1"/>
  <c r="U220" i="1"/>
  <c r="Y220" i="1" s="1"/>
  <c r="V220" i="1"/>
  <c r="W220" i="1" s="1"/>
  <c r="U221" i="1"/>
  <c r="V221" i="1"/>
  <c r="W221" i="1" s="1"/>
  <c r="U223" i="1"/>
  <c r="Y223" i="1" s="1"/>
  <c r="V223" i="1"/>
  <c r="W223" i="1" s="1"/>
  <c r="U222" i="1"/>
  <c r="V222" i="1"/>
  <c r="W222" i="1" s="1"/>
  <c r="U226" i="1"/>
  <c r="Y226" i="1" s="1"/>
  <c r="V226" i="1"/>
  <c r="W226" i="1" s="1"/>
  <c r="U224" i="1"/>
  <c r="Y224" i="1" s="1"/>
  <c r="V224" i="1"/>
  <c r="W224" i="1" s="1"/>
  <c r="U225" i="1"/>
  <c r="Y225" i="1" s="1"/>
  <c r="V225" i="1"/>
  <c r="W225" i="1" s="1"/>
  <c r="U230" i="1"/>
  <c r="Y230" i="1" s="1"/>
  <c r="V230" i="1"/>
  <c r="W230" i="1" s="1"/>
  <c r="U227" i="1"/>
  <c r="Y227" i="1" s="1"/>
  <c r="V227" i="1"/>
  <c r="W227" i="1" s="1"/>
  <c r="U232" i="1"/>
  <c r="Y232" i="1" s="1"/>
  <c r="V232" i="1"/>
  <c r="W232" i="1" s="1"/>
  <c r="U228" i="1"/>
  <c r="V228" i="1"/>
  <c r="W228" i="1" s="1"/>
  <c r="U231" i="1"/>
  <c r="V231" i="1"/>
  <c r="W231" i="1" s="1"/>
  <c r="U229" i="1"/>
  <c r="V229" i="1"/>
  <c r="W229" i="1" s="1"/>
  <c r="U235" i="1"/>
  <c r="V235" i="1"/>
  <c r="W235" i="1" s="1"/>
  <c r="U233" i="1"/>
  <c r="Y233" i="1" s="1"/>
  <c r="V233" i="1"/>
  <c r="W233" i="1" s="1"/>
  <c r="U234" i="1"/>
  <c r="V234" i="1"/>
  <c r="W234" i="1" s="1"/>
  <c r="U236" i="1"/>
  <c r="Y236" i="1" s="1"/>
  <c r="V236" i="1"/>
  <c r="W236" i="1" s="1"/>
  <c r="U238" i="1"/>
  <c r="V238" i="1"/>
  <c r="W238" i="1" s="1"/>
  <c r="U237" i="1"/>
  <c r="V237" i="1"/>
  <c r="W237" i="1" s="1"/>
  <c r="U242" i="1"/>
  <c r="V242" i="1"/>
  <c r="W242" i="1" s="1"/>
  <c r="U241" i="1"/>
  <c r="Y241" i="1" s="1"/>
  <c r="V241" i="1"/>
  <c r="W241" i="1" s="1"/>
  <c r="U239" i="1"/>
  <c r="V239" i="1"/>
  <c r="W239" i="1" s="1"/>
  <c r="U240" i="1"/>
  <c r="Y240" i="1" s="1"/>
  <c r="V240" i="1"/>
  <c r="W240" i="1" s="1"/>
  <c r="U244" i="1"/>
  <c r="V244" i="1"/>
  <c r="W244" i="1" s="1"/>
  <c r="U245" i="1"/>
  <c r="Y245" i="1" s="1"/>
  <c r="V245" i="1"/>
  <c r="W245" i="1" s="1"/>
  <c r="U243" i="1"/>
  <c r="V243" i="1"/>
  <c r="W243" i="1" s="1"/>
  <c r="U246" i="1"/>
  <c r="Y246" i="1" s="1"/>
  <c r="V246" i="1"/>
  <c r="W246" i="1" s="1"/>
  <c r="U248" i="1"/>
  <c r="V248" i="1"/>
  <c r="W248" i="1" s="1"/>
  <c r="U247" i="1"/>
  <c r="V247" i="1"/>
  <c r="W247" i="1" s="1"/>
  <c r="U250" i="1"/>
  <c r="V250" i="1"/>
  <c r="W250" i="1" s="1"/>
  <c r="U251" i="1"/>
  <c r="Y251" i="1" s="1"/>
  <c r="V251" i="1"/>
  <c r="W251" i="1" s="1"/>
  <c r="U249" i="1"/>
  <c r="Y249" i="1" s="1"/>
  <c r="V249" i="1"/>
  <c r="W249" i="1" s="1"/>
  <c r="U310" i="1"/>
  <c r="Y310" i="1" s="1"/>
  <c r="V310" i="1"/>
  <c r="W310" i="1" s="1"/>
  <c r="U266" i="1"/>
  <c r="V266" i="1"/>
  <c r="W266" i="1" s="1"/>
  <c r="U316" i="1"/>
  <c r="Y316" i="1" s="1"/>
  <c r="V316" i="1"/>
  <c r="W316" i="1" s="1"/>
  <c r="U255" i="1"/>
  <c r="V255" i="1"/>
  <c r="W255" i="1" s="1"/>
  <c r="U257" i="1"/>
  <c r="Y257" i="1" s="1"/>
  <c r="V257" i="1"/>
  <c r="W257" i="1" s="1"/>
  <c r="U256" i="1"/>
  <c r="V256" i="1"/>
  <c r="W256" i="1" s="1"/>
  <c r="U258" i="1"/>
  <c r="Y258" i="1" s="1"/>
  <c r="V258" i="1"/>
  <c r="W258" i="1" s="1"/>
  <c r="U259" i="1"/>
  <c r="Y259" i="1" s="1"/>
  <c r="V259" i="1"/>
  <c r="W259" i="1" s="1"/>
  <c r="U260" i="1"/>
  <c r="Y260" i="1" s="1"/>
  <c r="V260" i="1"/>
  <c r="W260" i="1" s="1"/>
  <c r="U262" i="1"/>
  <c r="Y262" i="1" s="1"/>
  <c r="V262" i="1"/>
  <c r="W262" i="1" s="1"/>
  <c r="U261" i="1"/>
  <c r="Y261" i="1" s="1"/>
  <c r="V261" i="1"/>
  <c r="W261" i="1" s="1"/>
  <c r="U263" i="1"/>
  <c r="V263" i="1"/>
  <c r="W263" i="1" s="1"/>
  <c r="U264" i="1"/>
  <c r="Y264" i="1" s="1"/>
  <c r="V264" i="1"/>
  <c r="W264" i="1" s="1"/>
  <c r="U319" i="1"/>
  <c r="V319" i="1"/>
  <c r="W319" i="1" s="1"/>
  <c r="U317" i="1"/>
  <c r="Y317" i="1" s="1"/>
  <c r="V317" i="1"/>
  <c r="W317" i="1" s="1"/>
  <c r="U265" i="1"/>
  <c r="V265" i="1"/>
  <c r="W265" i="1" s="1"/>
  <c r="U252" i="1"/>
  <c r="Y252" i="1" s="1"/>
  <c r="V252" i="1"/>
  <c r="W252" i="1" s="1"/>
  <c r="U272" i="1"/>
  <c r="Y272" i="1" s="1"/>
  <c r="V272" i="1"/>
  <c r="W272" i="1" s="1"/>
  <c r="U539" i="1"/>
  <c r="Y539" i="1" s="1"/>
  <c r="V539" i="1"/>
  <c r="W539" i="1" s="1"/>
  <c r="U318" i="1"/>
  <c r="V318" i="1"/>
  <c r="W318" i="1" s="1"/>
  <c r="U253" i="1"/>
  <c r="Y253" i="1" s="1"/>
  <c r="V253" i="1"/>
  <c r="W253" i="1" s="1"/>
  <c r="U254" i="1"/>
  <c r="V254" i="1"/>
  <c r="W254" i="1" s="1"/>
  <c r="U829" i="1"/>
  <c r="Y829" i="1" s="1"/>
  <c r="V829" i="1"/>
  <c r="W829" i="1" s="1"/>
  <c r="U275" i="1"/>
  <c r="V275" i="1"/>
  <c r="W275" i="1" s="1"/>
  <c r="U277" i="1"/>
  <c r="Y277" i="1" s="1"/>
  <c r="V277" i="1"/>
  <c r="W277" i="1" s="1"/>
  <c r="U276" i="1"/>
  <c r="Y276" i="1" s="1"/>
  <c r="V276" i="1"/>
  <c r="W276" i="1" s="1"/>
  <c r="U279" i="1"/>
  <c r="V279" i="1"/>
  <c r="W279" i="1" s="1"/>
  <c r="U278" i="1"/>
  <c r="V278" i="1"/>
  <c r="W278" i="1" s="1"/>
  <c r="U280" i="1"/>
  <c r="Y280" i="1" s="1"/>
  <c r="V280" i="1"/>
  <c r="W280" i="1" s="1"/>
  <c r="U273" i="1"/>
  <c r="V273" i="1"/>
  <c r="W273" i="1" s="1"/>
  <c r="U274" i="1"/>
  <c r="Y274" i="1" s="1"/>
  <c r="V274" i="1"/>
  <c r="W274" i="1" s="1"/>
  <c r="U283" i="1"/>
  <c r="Y283" i="1" s="1"/>
  <c r="V283" i="1"/>
  <c r="W283" i="1" s="1"/>
  <c r="U284" i="1"/>
  <c r="Y284" i="1" s="1"/>
  <c r="V284" i="1"/>
  <c r="W284" i="1" s="1"/>
  <c r="U285" i="1"/>
  <c r="Y285" i="1" s="1"/>
  <c r="V285" i="1"/>
  <c r="W285" i="1" s="1"/>
  <c r="U286" i="1"/>
  <c r="Y286" i="1" s="1"/>
  <c r="V286" i="1"/>
  <c r="W286" i="1" s="1"/>
  <c r="U287" i="1"/>
  <c r="V287" i="1"/>
  <c r="W287" i="1" s="1"/>
  <c r="U288" i="1"/>
  <c r="Y288" i="1" s="1"/>
  <c r="V288" i="1"/>
  <c r="W288" i="1" s="1"/>
  <c r="U289" i="1"/>
  <c r="V289" i="1"/>
  <c r="W289" i="1" s="1"/>
  <c r="U290" i="1"/>
  <c r="Y290" i="1" s="1"/>
  <c r="V290" i="1"/>
  <c r="W290" i="1" s="1"/>
  <c r="U291" i="1"/>
  <c r="Y291" i="1" s="1"/>
  <c r="V291" i="1"/>
  <c r="W291" i="1" s="1"/>
  <c r="U292" i="1"/>
  <c r="Y292" i="1" s="1"/>
  <c r="V292" i="1"/>
  <c r="W292" i="1" s="1"/>
  <c r="U293" i="1"/>
  <c r="Y293" i="1" s="1"/>
  <c r="V293" i="1"/>
  <c r="W293" i="1" s="1"/>
  <c r="U294" i="1"/>
  <c r="Y294" i="1" s="1"/>
  <c r="V294" i="1"/>
  <c r="W294" i="1" s="1"/>
  <c r="U296" i="1"/>
  <c r="V296" i="1"/>
  <c r="W296" i="1" s="1"/>
  <c r="U295" i="1"/>
  <c r="Y295" i="1" s="1"/>
  <c r="V295" i="1"/>
  <c r="W295" i="1" s="1"/>
  <c r="U298" i="1"/>
  <c r="V298" i="1"/>
  <c r="W298" i="1" s="1"/>
  <c r="U297" i="1"/>
  <c r="Y297" i="1" s="1"/>
  <c r="V297" i="1"/>
  <c r="W297" i="1" s="1"/>
  <c r="U301" i="1"/>
  <c r="V301" i="1"/>
  <c r="W301" i="1" s="1"/>
  <c r="U299" i="1"/>
  <c r="Y299" i="1" s="1"/>
  <c r="V299" i="1"/>
  <c r="W299" i="1" s="1"/>
  <c r="U300" i="1"/>
  <c r="Y300" i="1" s="1"/>
  <c r="V300" i="1"/>
  <c r="W300" i="1" s="1"/>
  <c r="U302" i="1"/>
  <c r="Y302" i="1" s="1"/>
  <c r="V302" i="1"/>
  <c r="W302" i="1" s="1"/>
  <c r="U305" i="1"/>
  <c r="V305" i="1"/>
  <c r="W305" i="1" s="1"/>
  <c r="U303" i="1"/>
  <c r="Y303" i="1" s="1"/>
  <c r="V303" i="1"/>
  <c r="W303" i="1" s="1"/>
  <c r="U304" i="1"/>
  <c r="V304" i="1"/>
  <c r="W304" i="1" s="1"/>
  <c r="U306" i="1"/>
  <c r="V306" i="1"/>
  <c r="W306" i="1" s="1"/>
  <c r="U308" i="1"/>
  <c r="V308" i="1"/>
  <c r="W308" i="1" s="1"/>
  <c r="U845" i="1"/>
  <c r="Y845" i="1" s="1"/>
  <c r="V845" i="1"/>
  <c r="W845" i="1" s="1"/>
  <c r="U309" i="1"/>
  <c r="Y309" i="1" s="1"/>
  <c r="V309" i="1"/>
  <c r="W309" i="1" s="1"/>
  <c r="U312" i="1"/>
  <c r="Y312" i="1" s="1"/>
  <c r="V312" i="1"/>
  <c r="W312" i="1" s="1"/>
  <c r="U313" i="1"/>
  <c r="V313" i="1"/>
  <c r="W313" i="1" s="1"/>
  <c r="U314" i="1"/>
  <c r="Y314" i="1" s="1"/>
  <c r="V314" i="1"/>
  <c r="W314" i="1" s="1"/>
  <c r="U311" i="1"/>
  <c r="V311" i="1"/>
  <c r="W311" i="1" s="1"/>
  <c r="U315" i="1"/>
  <c r="Y315" i="1" s="1"/>
  <c r="V315" i="1"/>
  <c r="W315" i="1" s="1"/>
  <c r="U267" i="1"/>
  <c r="Y267" i="1" s="1"/>
  <c r="V267" i="1"/>
  <c r="W267" i="1" s="1"/>
  <c r="U321" i="1"/>
  <c r="Y321" i="1" s="1"/>
  <c r="V321" i="1"/>
  <c r="W321" i="1" s="1"/>
  <c r="U733" i="1"/>
  <c r="Y733" i="1" s="1"/>
  <c r="V733" i="1"/>
  <c r="W733" i="1" s="1"/>
  <c r="U413" i="1"/>
  <c r="Y413" i="1" s="1"/>
  <c r="V413" i="1"/>
  <c r="W413" i="1" s="1"/>
  <c r="U322" i="1"/>
  <c r="V322" i="1"/>
  <c r="W322" i="1" s="1"/>
  <c r="U268" i="1"/>
  <c r="V268" i="1"/>
  <c r="W268" i="1" s="1"/>
  <c r="U323" i="1"/>
  <c r="V323" i="1"/>
  <c r="W323" i="1" s="1"/>
  <c r="U281" i="1"/>
  <c r="Y281" i="1" s="1"/>
  <c r="V281" i="1"/>
  <c r="W281" i="1" s="1"/>
  <c r="U282" i="1"/>
  <c r="Y282" i="1" s="1"/>
  <c r="V282" i="1"/>
  <c r="W282" i="1" s="1"/>
  <c r="U324" i="1"/>
  <c r="Y324" i="1" s="1"/>
  <c r="V324" i="1"/>
  <c r="W324" i="1" s="1"/>
  <c r="U320" i="1"/>
  <c r="Y320" i="1" s="1"/>
  <c r="V320" i="1"/>
  <c r="W320" i="1" s="1"/>
  <c r="U271" i="1"/>
  <c r="Y271" i="1" s="1"/>
  <c r="V271" i="1"/>
  <c r="W271" i="1" s="1"/>
  <c r="U330" i="1"/>
  <c r="V330" i="1"/>
  <c r="W330" i="1" s="1"/>
  <c r="U270" i="1"/>
  <c r="Y270" i="1" s="1"/>
  <c r="V270" i="1"/>
  <c r="W270" i="1" s="1"/>
  <c r="U269" i="1"/>
  <c r="V269" i="1"/>
  <c r="W269" i="1" s="1"/>
  <c r="U325" i="1"/>
  <c r="Y325" i="1" s="1"/>
  <c r="V325" i="1"/>
  <c r="W325" i="1" s="1"/>
  <c r="U331" i="1"/>
  <c r="Y331" i="1" s="1"/>
  <c r="V331" i="1"/>
  <c r="W331" i="1" s="1"/>
  <c r="U332" i="1"/>
  <c r="Y332" i="1" s="1"/>
  <c r="V332" i="1"/>
  <c r="W332" i="1" s="1"/>
  <c r="U334" i="1"/>
  <c r="Y334" i="1" s="1"/>
  <c r="V334" i="1"/>
  <c r="W334" i="1" s="1"/>
  <c r="U336" i="1"/>
  <c r="Y336" i="1" s="1"/>
  <c r="V336" i="1"/>
  <c r="W336" i="1" s="1"/>
  <c r="U333" i="1"/>
  <c r="V333" i="1"/>
  <c r="W333" i="1" s="1"/>
  <c r="U335" i="1"/>
  <c r="Y335" i="1" s="1"/>
  <c r="V335" i="1"/>
  <c r="W335" i="1" s="1"/>
  <c r="U338" i="1"/>
  <c r="V338" i="1"/>
  <c r="W338" i="1" s="1"/>
  <c r="U339" i="1"/>
  <c r="Y339" i="1" s="1"/>
  <c r="V339" i="1"/>
  <c r="W339" i="1" s="1"/>
  <c r="U340" i="1"/>
  <c r="Y340" i="1" s="1"/>
  <c r="V340" i="1"/>
  <c r="W340" i="1" s="1"/>
  <c r="U337" i="1"/>
  <c r="Y337" i="1" s="1"/>
  <c r="V337" i="1"/>
  <c r="W337" i="1" s="1"/>
  <c r="U341" i="1"/>
  <c r="Y341" i="1" s="1"/>
  <c r="V341" i="1"/>
  <c r="W341" i="1" s="1"/>
  <c r="U343" i="1"/>
  <c r="Y343" i="1" s="1"/>
  <c r="V343" i="1"/>
  <c r="W343" i="1" s="1"/>
  <c r="U342" i="1"/>
  <c r="Y342" i="1" s="1"/>
  <c r="V342" i="1"/>
  <c r="W342" i="1" s="1"/>
  <c r="U344" i="1"/>
  <c r="Y344" i="1" s="1"/>
  <c r="V344" i="1"/>
  <c r="W344" i="1" s="1"/>
  <c r="U346" i="1"/>
  <c r="V346" i="1"/>
  <c r="W346" i="1" s="1"/>
  <c r="U348" i="1"/>
  <c r="Y348" i="1" s="1"/>
  <c r="V348" i="1"/>
  <c r="W348" i="1" s="1"/>
  <c r="U347" i="1"/>
  <c r="V347" i="1"/>
  <c r="W347" i="1" s="1"/>
  <c r="U345" i="1"/>
  <c r="Y345" i="1" s="1"/>
  <c r="V345" i="1"/>
  <c r="W345" i="1" s="1"/>
  <c r="U349" i="1"/>
  <c r="Y349" i="1" s="1"/>
  <c r="V349" i="1"/>
  <c r="W349" i="1" s="1"/>
  <c r="U351" i="1"/>
  <c r="Y351" i="1" s="1"/>
  <c r="V351" i="1"/>
  <c r="W351" i="1" s="1"/>
  <c r="U350" i="1"/>
  <c r="Y350" i="1" s="1"/>
  <c r="V350" i="1"/>
  <c r="W350" i="1" s="1"/>
  <c r="U352" i="1"/>
  <c r="Y352" i="1" s="1"/>
  <c r="V352" i="1"/>
  <c r="W352" i="1" s="1"/>
  <c r="U357" i="1"/>
  <c r="V357" i="1"/>
  <c r="W357" i="1" s="1"/>
  <c r="U354" i="1"/>
  <c r="Y354" i="1" s="1"/>
  <c r="V354" i="1"/>
  <c r="W354" i="1" s="1"/>
  <c r="U356" i="1"/>
  <c r="V356" i="1"/>
  <c r="W356" i="1" s="1"/>
  <c r="U353" i="1"/>
  <c r="Y353" i="1" s="1"/>
  <c r="V353" i="1"/>
  <c r="W353" i="1" s="1"/>
  <c r="U355" i="1"/>
  <c r="Y355" i="1" s="1"/>
  <c r="V355" i="1"/>
  <c r="W355" i="1" s="1"/>
  <c r="U358" i="1"/>
  <c r="Y358" i="1" s="1"/>
  <c r="V358" i="1"/>
  <c r="W358" i="1" s="1"/>
  <c r="U359" i="1"/>
  <c r="Y359" i="1" s="1"/>
  <c r="V359" i="1"/>
  <c r="W359" i="1" s="1"/>
  <c r="U361" i="1"/>
  <c r="V361" i="1"/>
  <c r="W361" i="1" s="1"/>
  <c r="U307" i="1"/>
  <c r="V307" i="1"/>
  <c r="W307" i="1" s="1"/>
  <c r="U363" i="1"/>
  <c r="Y363" i="1" s="1"/>
  <c r="V363" i="1"/>
  <c r="W363" i="1" s="1"/>
  <c r="U362" i="1"/>
  <c r="V362" i="1"/>
  <c r="W362" i="1" s="1"/>
  <c r="U367" i="1"/>
  <c r="Y367" i="1" s="1"/>
  <c r="V367" i="1"/>
  <c r="W367" i="1" s="1"/>
  <c r="U364" i="1"/>
  <c r="Y364" i="1" s="1"/>
  <c r="V364" i="1"/>
  <c r="W364" i="1" s="1"/>
  <c r="U366" i="1"/>
  <c r="Y366" i="1" s="1"/>
  <c r="V366" i="1"/>
  <c r="W366" i="1" s="1"/>
  <c r="U365" i="1"/>
  <c r="Y365" i="1" s="1"/>
  <c r="V365" i="1"/>
  <c r="W365" i="1" s="1"/>
  <c r="U370" i="1"/>
  <c r="Y370" i="1" s="1"/>
  <c r="V370" i="1"/>
  <c r="W370" i="1" s="1"/>
  <c r="U371" i="1"/>
  <c r="V371" i="1"/>
  <c r="W371" i="1" s="1"/>
  <c r="U368" i="1"/>
  <c r="Y368" i="1" s="1"/>
  <c r="V368" i="1"/>
  <c r="W368" i="1" s="1"/>
  <c r="U373" i="1"/>
  <c r="V373" i="1"/>
  <c r="W373" i="1" s="1"/>
  <c r="U327" i="1"/>
  <c r="Y327" i="1" s="1"/>
  <c r="V327" i="1"/>
  <c r="W327" i="1" s="1"/>
  <c r="U372" i="1"/>
  <c r="Y372" i="1" s="1"/>
  <c r="V372" i="1"/>
  <c r="W372" i="1" s="1"/>
  <c r="U369" i="1"/>
  <c r="Y369" i="1" s="1"/>
  <c r="V369" i="1"/>
  <c r="W369" i="1" s="1"/>
  <c r="U375" i="1"/>
  <c r="V375" i="1"/>
  <c r="W375" i="1" s="1"/>
  <c r="U376" i="1"/>
  <c r="Y376" i="1" s="1"/>
  <c r="V376" i="1"/>
  <c r="W376" i="1" s="1"/>
  <c r="U377" i="1"/>
  <c r="V377" i="1"/>
  <c r="W377" i="1" s="1"/>
  <c r="U379" i="1"/>
  <c r="Y379" i="1" s="1"/>
  <c r="V379" i="1"/>
  <c r="W379" i="1" s="1"/>
  <c r="U378" i="1"/>
  <c r="V378" i="1"/>
  <c r="W378" i="1" s="1"/>
  <c r="U380" i="1"/>
  <c r="Y380" i="1" s="1"/>
  <c r="V380" i="1"/>
  <c r="W380" i="1" s="1"/>
  <c r="U381" i="1"/>
  <c r="V381" i="1"/>
  <c r="W381" i="1" s="1"/>
  <c r="U383" i="1"/>
  <c r="Y383" i="1" s="1"/>
  <c r="V383" i="1"/>
  <c r="W383" i="1" s="1"/>
  <c r="U384" i="1"/>
  <c r="V384" i="1"/>
  <c r="W384" i="1" s="1"/>
  <c r="U326" i="1"/>
  <c r="Y326" i="1" s="1"/>
  <c r="V326" i="1"/>
  <c r="W326" i="1" s="1"/>
  <c r="U385" i="1"/>
  <c r="V385" i="1"/>
  <c r="W385" i="1" s="1"/>
  <c r="U386" i="1"/>
  <c r="Y386" i="1" s="1"/>
  <c r="V386" i="1"/>
  <c r="W386" i="1" s="1"/>
  <c r="U389" i="1"/>
  <c r="V389" i="1"/>
  <c r="W389" i="1" s="1"/>
  <c r="U387" i="1"/>
  <c r="Y387" i="1" s="1"/>
  <c r="V387" i="1"/>
  <c r="W387" i="1" s="1"/>
  <c r="U388" i="1"/>
  <c r="V388" i="1"/>
  <c r="W388" i="1" s="1"/>
  <c r="U390" i="1"/>
  <c r="Y390" i="1" s="1"/>
  <c r="V390" i="1"/>
  <c r="W390" i="1" s="1"/>
  <c r="U392" i="1"/>
  <c r="V392" i="1"/>
  <c r="W392" i="1" s="1"/>
  <c r="U393" i="1"/>
  <c r="Y393" i="1" s="1"/>
  <c r="V393" i="1"/>
  <c r="W393" i="1" s="1"/>
  <c r="U394" i="1"/>
  <c r="V394" i="1"/>
  <c r="W394" i="1" s="1"/>
  <c r="U391" i="1"/>
  <c r="Y391" i="1" s="1"/>
  <c r="V391" i="1"/>
  <c r="W391" i="1" s="1"/>
  <c r="U395" i="1"/>
  <c r="V395" i="1"/>
  <c r="W395" i="1" s="1"/>
  <c r="U396" i="1"/>
  <c r="Y396" i="1" s="1"/>
  <c r="V396" i="1"/>
  <c r="W396" i="1" s="1"/>
  <c r="U404" i="1"/>
  <c r="V404" i="1"/>
  <c r="W404" i="1" s="1"/>
  <c r="U401" i="1"/>
  <c r="V401" i="1"/>
  <c r="W401" i="1" s="1"/>
  <c r="U400" i="1"/>
  <c r="V400" i="1"/>
  <c r="W400" i="1" s="1"/>
  <c r="U406" i="1"/>
  <c r="Y406" i="1" s="1"/>
  <c r="V406" i="1"/>
  <c r="W406" i="1" s="1"/>
  <c r="U398" i="1"/>
  <c r="V398" i="1"/>
  <c r="W398" i="1" s="1"/>
  <c r="U399" i="1"/>
  <c r="V399" i="1"/>
  <c r="W399" i="1" s="1"/>
  <c r="U328" i="1"/>
  <c r="Y328" i="1" s="1"/>
  <c r="V328" i="1"/>
  <c r="W328" i="1" s="1"/>
  <c r="U402" i="1"/>
  <c r="V402" i="1"/>
  <c r="W402" i="1" s="1"/>
  <c r="U403" i="1"/>
  <c r="Y403" i="1" s="1"/>
  <c r="V403" i="1"/>
  <c r="W403" i="1" s="1"/>
  <c r="U405" i="1"/>
  <c r="Y405" i="1" s="1"/>
  <c r="V405" i="1"/>
  <c r="W405" i="1" s="1"/>
  <c r="U410" i="1"/>
  <c r="Y410" i="1" s="1"/>
  <c r="V410" i="1"/>
  <c r="W410" i="1" s="1"/>
  <c r="U420" i="1"/>
  <c r="Y420" i="1" s="1"/>
  <c r="V420" i="1"/>
  <c r="W420" i="1" s="1"/>
  <c r="U415" i="1"/>
  <c r="V415" i="1"/>
  <c r="W415" i="1" s="1"/>
  <c r="U414" i="1"/>
  <c r="Y414" i="1" s="1"/>
  <c r="V414" i="1"/>
  <c r="W414" i="1" s="1"/>
  <c r="U422" i="1"/>
  <c r="Y422" i="1" s="1"/>
  <c r="V422" i="1"/>
  <c r="W422" i="1" s="1"/>
  <c r="U424" i="1"/>
  <c r="Y424" i="1" s="1"/>
  <c r="V424" i="1"/>
  <c r="W424" i="1" s="1"/>
  <c r="U374" i="1"/>
  <c r="Y374" i="1" s="1"/>
  <c r="V374" i="1"/>
  <c r="W374" i="1" s="1"/>
  <c r="U412" i="1"/>
  <c r="Y412" i="1" s="1"/>
  <c r="V412" i="1"/>
  <c r="W412" i="1" s="1"/>
  <c r="U416" i="1"/>
  <c r="Y416" i="1" s="1"/>
  <c r="V416" i="1"/>
  <c r="W416" i="1" s="1"/>
  <c r="U408" i="1"/>
  <c r="Y408" i="1" s="1"/>
  <c r="V408" i="1"/>
  <c r="W408" i="1" s="1"/>
  <c r="U411" i="1"/>
  <c r="V411" i="1"/>
  <c r="W411" i="1" s="1"/>
  <c r="U418" i="1"/>
  <c r="Y418" i="1" s="1"/>
  <c r="V418" i="1"/>
  <c r="W418" i="1" s="1"/>
  <c r="U397" i="1"/>
  <c r="V397" i="1"/>
  <c r="W397" i="1" s="1"/>
  <c r="U382" i="1"/>
  <c r="Y382" i="1" s="1"/>
  <c r="V382" i="1"/>
  <c r="W382" i="1" s="1"/>
  <c r="U423" i="1"/>
  <c r="V423" i="1"/>
  <c r="W423" i="1" s="1"/>
  <c r="U409" i="1"/>
  <c r="Y409" i="1" s="1"/>
  <c r="V409" i="1"/>
  <c r="W409" i="1" s="1"/>
  <c r="U421" i="1"/>
  <c r="Y421" i="1" s="1"/>
  <c r="V421" i="1"/>
  <c r="W421" i="1" s="1"/>
  <c r="U417" i="1"/>
  <c r="Y417" i="1" s="1"/>
  <c r="V417" i="1"/>
  <c r="W417" i="1" s="1"/>
  <c r="U419" i="1"/>
  <c r="Y419" i="1" s="1"/>
  <c r="V419" i="1"/>
  <c r="W419" i="1" s="1"/>
  <c r="U427" i="1"/>
  <c r="V427" i="1"/>
  <c r="W427" i="1" s="1"/>
  <c r="U430" i="1"/>
  <c r="V430" i="1"/>
  <c r="W430" i="1" s="1"/>
  <c r="U426" i="1"/>
  <c r="Y426" i="1" s="1"/>
  <c r="V426" i="1"/>
  <c r="W426" i="1" s="1"/>
  <c r="U429" i="1"/>
  <c r="V429" i="1"/>
  <c r="W429" i="1" s="1"/>
  <c r="U428" i="1"/>
  <c r="Y428" i="1" s="1"/>
  <c r="V428" i="1"/>
  <c r="W428" i="1" s="1"/>
  <c r="U433" i="1"/>
  <c r="Y433" i="1" s="1"/>
  <c r="V433" i="1"/>
  <c r="W433" i="1" s="1"/>
  <c r="U431" i="1"/>
  <c r="V431" i="1"/>
  <c r="W431" i="1" s="1"/>
  <c r="U432" i="1"/>
  <c r="V432" i="1"/>
  <c r="W432" i="1" s="1"/>
  <c r="U435" i="1"/>
  <c r="V435" i="1"/>
  <c r="W435" i="1" s="1"/>
  <c r="U434" i="1"/>
  <c r="V434" i="1"/>
  <c r="W434" i="1" s="1"/>
  <c r="U437" i="1"/>
  <c r="Y437" i="1" s="1"/>
  <c r="V437" i="1"/>
  <c r="W437" i="1" s="1"/>
  <c r="U436" i="1"/>
  <c r="V436" i="1"/>
  <c r="W436" i="1" s="1"/>
  <c r="U438" i="1"/>
  <c r="Y438" i="1" s="1"/>
  <c r="V438" i="1"/>
  <c r="W438" i="1" s="1"/>
  <c r="U442" i="1"/>
  <c r="Y442" i="1" s="1"/>
  <c r="V442" i="1"/>
  <c r="W442" i="1" s="1"/>
  <c r="U439" i="1"/>
  <c r="V439" i="1"/>
  <c r="W439" i="1" s="1"/>
  <c r="U329" i="1"/>
  <c r="V329" i="1"/>
  <c r="W329" i="1" s="1"/>
  <c r="U443" i="1"/>
  <c r="V443" i="1"/>
  <c r="W443" i="1" s="1"/>
  <c r="U441" i="1"/>
  <c r="V441" i="1"/>
  <c r="W441" i="1" s="1"/>
  <c r="U444" i="1"/>
  <c r="Y444" i="1" s="1"/>
  <c r="V444" i="1"/>
  <c r="W444" i="1" s="1"/>
  <c r="U446" i="1"/>
  <c r="V446" i="1"/>
  <c r="W446" i="1" s="1"/>
  <c r="U445" i="1"/>
  <c r="V445" i="1"/>
  <c r="W445" i="1" s="1"/>
  <c r="U447" i="1"/>
  <c r="Y447" i="1" s="1"/>
  <c r="V447" i="1"/>
  <c r="W447" i="1" s="1"/>
  <c r="U448" i="1"/>
  <c r="Y448" i="1" s="1"/>
  <c r="V448" i="1"/>
  <c r="W448" i="1" s="1"/>
  <c r="U449" i="1"/>
  <c r="Y449" i="1" s="1"/>
  <c r="V449" i="1"/>
  <c r="W449" i="1" s="1"/>
  <c r="U453" i="1"/>
  <c r="Y453" i="1" s="1"/>
  <c r="V453" i="1"/>
  <c r="W453" i="1" s="1"/>
  <c r="U450" i="1"/>
  <c r="V450" i="1"/>
  <c r="W450" i="1" s="1"/>
  <c r="U452" i="1"/>
  <c r="Y452" i="1" s="1"/>
  <c r="V452" i="1"/>
  <c r="W452" i="1" s="1"/>
  <c r="U451" i="1"/>
  <c r="V451" i="1"/>
  <c r="W451" i="1" s="1"/>
  <c r="U454" i="1"/>
  <c r="Y454" i="1" s="1"/>
  <c r="V454" i="1"/>
  <c r="W454" i="1" s="1"/>
  <c r="U463" i="1"/>
  <c r="Y463" i="1" s="1"/>
  <c r="V463" i="1"/>
  <c r="W463" i="1" s="1"/>
  <c r="U462" i="1"/>
  <c r="Y462" i="1" s="1"/>
  <c r="V462" i="1"/>
  <c r="W462" i="1" s="1"/>
  <c r="U460" i="1"/>
  <c r="Y460" i="1" s="1"/>
  <c r="V460" i="1"/>
  <c r="W460" i="1" s="1"/>
  <c r="U459" i="1"/>
  <c r="Y459" i="1" s="1"/>
  <c r="V459" i="1"/>
  <c r="W459" i="1" s="1"/>
  <c r="U458" i="1"/>
  <c r="V458" i="1"/>
  <c r="W458" i="1" s="1"/>
  <c r="U455" i="1"/>
  <c r="Y455" i="1" s="1"/>
  <c r="V455" i="1"/>
  <c r="W455" i="1" s="1"/>
  <c r="U461" i="1"/>
  <c r="V461" i="1"/>
  <c r="W461" i="1" s="1"/>
  <c r="U457" i="1"/>
  <c r="Y457" i="1" s="1"/>
  <c r="V457" i="1"/>
  <c r="W457" i="1" s="1"/>
  <c r="U465" i="1"/>
  <c r="Y465" i="1" s="1"/>
  <c r="V465" i="1"/>
  <c r="W465" i="1" s="1"/>
  <c r="U464" i="1"/>
  <c r="Y464" i="1" s="1"/>
  <c r="V464" i="1"/>
  <c r="W464" i="1" s="1"/>
  <c r="U456" i="1"/>
  <c r="Y456" i="1" s="1"/>
  <c r="V456" i="1"/>
  <c r="W456" i="1" s="1"/>
  <c r="U470" i="1"/>
  <c r="Y470" i="1" s="1"/>
  <c r="V470" i="1"/>
  <c r="W470" i="1" s="1"/>
  <c r="U467" i="1"/>
  <c r="V467" i="1"/>
  <c r="W467" i="1" s="1"/>
  <c r="U468" i="1"/>
  <c r="Y468" i="1" s="1"/>
  <c r="V468" i="1"/>
  <c r="W468" i="1" s="1"/>
  <c r="U469" i="1"/>
  <c r="V469" i="1"/>
  <c r="W469" i="1" s="1"/>
  <c r="U472" i="1"/>
  <c r="Y472" i="1" s="1"/>
  <c r="V472" i="1"/>
  <c r="W472" i="1" s="1"/>
  <c r="U471" i="1"/>
  <c r="Y471" i="1" s="1"/>
  <c r="V471" i="1"/>
  <c r="W471" i="1" s="1"/>
  <c r="U466" i="1"/>
  <c r="V466" i="1"/>
  <c r="W466" i="1" s="1"/>
  <c r="U473" i="1"/>
  <c r="Y473" i="1" s="1"/>
  <c r="V473" i="1"/>
  <c r="W473" i="1" s="1"/>
  <c r="U475" i="1"/>
  <c r="Y475" i="1" s="1"/>
  <c r="V475" i="1"/>
  <c r="W475" i="1" s="1"/>
  <c r="U476" i="1"/>
  <c r="V476" i="1"/>
  <c r="W476" i="1" s="1"/>
  <c r="U474" i="1"/>
  <c r="Y474" i="1" s="1"/>
  <c r="V474" i="1"/>
  <c r="W474" i="1" s="1"/>
  <c r="U480" i="1"/>
  <c r="V480" i="1"/>
  <c r="W480" i="1" s="1"/>
  <c r="U529" i="1"/>
  <c r="Y529" i="1" s="1"/>
  <c r="V529" i="1"/>
  <c r="W529" i="1" s="1"/>
  <c r="U425" i="1"/>
  <c r="Y425" i="1" s="1"/>
  <c r="V425" i="1"/>
  <c r="W425" i="1" s="1"/>
  <c r="U407" i="1"/>
  <c r="V407" i="1"/>
  <c r="W407" i="1" s="1"/>
  <c r="U360" i="1"/>
  <c r="Y360" i="1" s="1"/>
  <c r="V360" i="1"/>
  <c r="W360" i="1" s="1"/>
  <c r="U483" i="1"/>
  <c r="Y483" i="1" s="1"/>
  <c r="V483" i="1"/>
  <c r="W483" i="1" s="1"/>
  <c r="U484" i="1"/>
  <c r="V484" i="1"/>
  <c r="W484" i="1" s="1"/>
  <c r="U482" i="1"/>
  <c r="Y482" i="1" s="1"/>
  <c r="V482" i="1"/>
  <c r="W482" i="1" s="1"/>
  <c r="U487" i="1"/>
  <c r="V487" i="1"/>
  <c r="W487" i="1" s="1"/>
  <c r="U486" i="1"/>
  <c r="Y486" i="1" s="1"/>
  <c r="V486" i="1"/>
  <c r="W486" i="1" s="1"/>
  <c r="U485" i="1"/>
  <c r="Y485" i="1" s="1"/>
  <c r="V485" i="1"/>
  <c r="W485" i="1" s="1"/>
  <c r="U493" i="1"/>
  <c r="Y493" i="1" s="1"/>
  <c r="V493" i="1"/>
  <c r="W493" i="1" s="1"/>
  <c r="U495" i="1"/>
  <c r="Y495" i="1" s="1"/>
  <c r="V495" i="1"/>
  <c r="W495" i="1" s="1"/>
  <c r="U490" i="1"/>
  <c r="Y490" i="1" s="1"/>
  <c r="V490" i="1"/>
  <c r="W490" i="1" s="1"/>
  <c r="U492" i="1"/>
  <c r="V492" i="1"/>
  <c r="W492" i="1" s="1"/>
  <c r="U494" i="1"/>
  <c r="V494" i="1"/>
  <c r="W494" i="1" s="1"/>
  <c r="U570" i="1"/>
  <c r="V570" i="1"/>
  <c r="W570" i="1" s="1"/>
  <c r="U830" i="1"/>
  <c r="Y830" i="1" s="1"/>
  <c r="V830" i="1"/>
  <c r="W830" i="1" s="1"/>
  <c r="U491" i="1"/>
  <c r="Y491" i="1" s="1"/>
  <c r="V491" i="1"/>
  <c r="W491" i="1" s="1"/>
  <c r="U499" i="1"/>
  <c r="Y499" i="1" s="1"/>
  <c r="V499" i="1"/>
  <c r="W499" i="1" s="1"/>
  <c r="U497" i="1"/>
  <c r="Y497" i="1" s="1"/>
  <c r="V497" i="1"/>
  <c r="W497" i="1" s="1"/>
  <c r="U496" i="1"/>
  <c r="Y496" i="1" s="1"/>
  <c r="V496" i="1"/>
  <c r="W496" i="1" s="1"/>
  <c r="U498" i="1"/>
  <c r="V498" i="1"/>
  <c r="W498" i="1" s="1"/>
  <c r="U501" i="1"/>
  <c r="Y501" i="1" s="1"/>
  <c r="V501" i="1"/>
  <c r="W501" i="1" s="1"/>
  <c r="U503" i="1"/>
  <c r="V503" i="1"/>
  <c r="W503" i="1" s="1"/>
  <c r="U500" i="1"/>
  <c r="Y500" i="1" s="1"/>
  <c r="V500" i="1"/>
  <c r="W500" i="1" s="1"/>
  <c r="U502" i="1"/>
  <c r="Y502" i="1" s="1"/>
  <c r="V502" i="1"/>
  <c r="W502" i="1" s="1"/>
  <c r="U506" i="1"/>
  <c r="Y506" i="1" s="1"/>
  <c r="V506" i="1"/>
  <c r="W506" i="1" s="1"/>
  <c r="U508" i="1"/>
  <c r="V508" i="1"/>
  <c r="W508" i="1" s="1"/>
  <c r="U479" i="1"/>
  <c r="Y479" i="1" s="1"/>
  <c r="V479" i="1"/>
  <c r="W479" i="1" s="1"/>
  <c r="U505" i="1"/>
  <c r="V505" i="1"/>
  <c r="W505" i="1" s="1"/>
  <c r="U507" i="1"/>
  <c r="Y507" i="1" s="1"/>
  <c r="V507" i="1"/>
  <c r="W507" i="1" s="1"/>
  <c r="U509" i="1"/>
  <c r="Y509" i="1" s="1"/>
  <c r="V509" i="1"/>
  <c r="W509" i="1" s="1"/>
  <c r="U510" i="1"/>
  <c r="Y510" i="1" s="1"/>
  <c r="V510" i="1"/>
  <c r="W510" i="1" s="1"/>
  <c r="U481" i="1"/>
  <c r="Y481" i="1" s="1"/>
  <c r="V481" i="1"/>
  <c r="W481" i="1" s="1"/>
  <c r="U513" i="1"/>
  <c r="Y513" i="1" s="1"/>
  <c r="V513" i="1"/>
  <c r="W513" i="1" s="1"/>
  <c r="U514" i="1"/>
  <c r="V514" i="1"/>
  <c r="W514" i="1" s="1"/>
  <c r="U512" i="1"/>
  <c r="Y512" i="1" s="1"/>
  <c r="V512" i="1"/>
  <c r="W512" i="1" s="1"/>
  <c r="U515" i="1"/>
  <c r="V515" i="1"/>
  <c r="W515" i="1" s="1"/>
  <c r="U516" i="1"/>
  <c r="Y516" i="1" s="1"/>
  <c r="V516" i="1"/>
  <c r="W516" i="1" s="1"/>
  <c r="U518" i="1"/>
  <c r="Y518" i="1" s="1"/>
  <c r="V518" i="1"/>
  <c r="W518" i="1" s="1"/>
  <c r="U517" i="1"/>
  <c r="Y517" i="1" s="1"/>
  <c r="V517" i="1"/>
  <c r="W517" i="1" s="1"/>
  <c r="U521" i="1"/>
  <c r="Y521" i="1" s="1"/>
  <c r="V521" i="1"/>
  <c r="W521" i="1" s="1"/>
  <c r="U519" i="1"/>
  <c r="Y519" i="1" s="1"/>
  <c r="V519" i="1"/>
  <c r="W519" i="1" s="1"/>
  <c r="U520" i="1"/>
  <c r="Y520" i="1" s="1"/>
  <c r="V520" i="1"/>
  <c r="W520" i="1" s="1"/>
  <c r="U535" i="1"/>
  <c r="Y535" i="1" s="1"/>
  <c r="V535" i="1"/>
  <c r="W535" i="1" s="1"/>
  <c r="U489" i="1"/>
  <c r="V489" i="1"/>
  <c r="W489" i="1" s="1"/>
  <c r="U525" i="1"/>
  <c r="Y525" i="1" s="1"/>
  <c r="V525" i="1"/>
  <c r="W525" i="1" s="1"/>
  <c r="U522" i="1"/>
  <c r="V522" i="1"/>
  <c r="W522" i="1" s="1"/>
  <c r="U440" i="1"/>
  <c r="Y440" i="1" s="1"/>
  <c r="V440" i="1"/>
  <c r="W440" i="1" s="1"/>
  <c r="U617" i="1"/>
  <c r="Y617" i="1" s="1"/>
  <c r="V617" i="1"/>
  <c r="W617" i="1" s="1"/>
  <c r="U618" i="1"/>
  <c r="Y618" i="1" s="1"/>
  <c r="V618" i="1"/>
  <c r="W618" i="1" s="1"/>
  <c r="U523" i="1"/>
  <c r="V523" i="1"/>
  <c r="W523" i="1" s="1"/>
  <c r="U504" i="1"/>
  <c r="V504" i="1"/>
  <c r="W504" i="1" s="1"/>
  <c r="U511" i="1"/>
  <c r="V511" i="1"/>
  <c r="W511" i="1" s="1"/>
  <c r="U524" i="1"/>
  <c r="Y524" i="1" s="1"/>
  <c r="V524" i="1"/>
  <c r="W524" i="1" s="1"/>
  <c r="U488" i="1"/>
  <c r="V488" i="1"/>
  <c r="W488" i="1" s="1"/>
  <c r="U477" i="1"/>
  <c r="Y477" i="1" s="1"/>
  <c r="V477" i="1"/>
  <c r="W477" i="1" s="1"/>
  <c r="U478" i="1"/>
  <c r="Y478" i="1" s="1"/>
  <c r="V478" i="1"/>
  <c r="W478" i="1" s="1"/>
  <c r="U528" i="1"/>
  <c r="Y528" i="1" s="1"/>
  <c r="V528" i="1"/>
  <c r="W528" i="1" s="1"/>
  <c r="U526" i="1"/>
  <c r="Y526" i="1" s="1"/>
  <c r="V526" i="1"/>
  <c r="W526" i="1" s="1"/>
  <c r="U534" i="1"/>
  <c r="Y534" i="1" s="1"/>
  <c r="V534" i="1"/>
  <c r="W534" i="1" s="1"/>
  <c r="U533" i="1"/>
  <c r="Y533" i="1" s="1"/>
  <c r="V533" i="1"/>
  <c r="W533" i="1" s="1"/>
  <c r="U540" i="1"/>
  <c r="Y540" i="1" s="1"/>
  <c r="V540" i="1"/>
  <c r="W540" i="1" s="1"/>
  <c r="U541" i="1"/>
  <c r="Y541" i="1" s="1"/>
  <c r="V541" i="1"/>
  <c r="W541" i="1" s="1"/>
  <c r="U542" i="1"/>
  <c r="V542" i="1"/>
  <c r="W542" i="1" s="1"/>
  <c r="U543" i="1"/>
  <c r="Y543" i="1" s="1"/>
  <c r="V543" i="1"/>
  <c r="W543" i="1" s="1"/>
  <c r="U545" i="1"/>
  <c r="Y545" i="1" s="1"/>
  <c r="V545" i="1"/>
  <c r="W545" i="1" s="1"/>
  <c r="U546" i="1"/>
  <c r="Y546" i="1" s="1"/>
  <c r="V546" i="1"/>
  <c r="W546" i="1" s="1"/>
  <c r="U544" i="1"/>
  <c r="Y544" i="1" s="1"/>
  <c r="V544" i="1"/>
  <c r="W544" i="1" s="1"/>
  <c r="U547" i="1"/>
  <c r="Y547" i="1" s="1"/>
  <c r="V547" i="1"/>
  <c r="W547" i="1" s="1"/>
  <c r="U548" i="1"/>
  <c r="Y548" i="1" s="1"/>
  <c r="V548" i="1"/>
  <c r="W548" i="1" s="1"/>
  <c r="U549" i="1"/>
  <c r="V549" i="1"/>
  <c r="W549" i="1" s="1"/>
  <c r="U550" i="1"/>
  <c r="V550" i="1"/>
  <c r="W550" i="1" s="1"/>
  <c r="U551" i="1"/>
  <c r="Y551" i="1" s="1"/>
  <c r="V551" i="1"/>
  <c r="W551" i="1" s="1"/>
  <c r="U552" i="1"/>
  <c r="Y552" i="1" s="1"/>
  <c r="V552" i="1"/>
  <c r="W552" i="1" s="1"/>
  <c r="U553" i="1"/>
  <c r="V553" i="1"/>
  <c r="W553" i="1" s="1"/>
  <c r="U554" i="1"/>
  <c r="Y554" i="1" s="1"/>
  <c r="V554" i="1"/>
  <c r="W554" i="1" s="1"/>
  <c r="U555" i="1"/>
  <c r="V555" i="1"/>
  <c r="W555" i="1" s="1"/>
  <c r="U556" i="1"/>
  <c r="Y556" i="1" s="1"/>
  <c r="V556" i="1"/>
  <c r="W556" i="1" s="1"/>
  <c r="U561" i="1"/>
  <c r="Y561" i="1" s="1"/>
  <c r="V561" i="1"/>
  <c r="W561" i="1" s="1"/>
  <c r="U560" i="1"/>
  <c r="V560" i="1"/>
  <c r="W560" i="1" s="1"/>
  <c r="U558" i="1"/>
  <c r="Y558" i="1" s="1"/>
  <c r="V558" i="1"/>
  <c r="W558" i="1" s="1"/>
  <c r="U562" i="1"/>
  <c r="Y562" i="1" s="1"/>
  <c r="V562" i="1"/>
  <c r="W562" i="1" s="1"/>
  <c r="U559" i="1"/>
  <c r="Y559" i="1" s="1"/>
  <c r="V559" i="1"/>
  <c r="W559" i="1" s="1"/>
  <c r="U563" i="1"/>
  <c r="Y563" i="1" s="1"/>
  <c r="V563" i="1"/>
  <c r="W563" i="1" s="1"/>
  <c r="U557" i="1"/>
  <c r="Y557" i="1" s="1"/>
  <c r="V557" i="1"/>
  <c r="W557" i="1" s="1"/>
  <c r="U564" i="1"/>
  <c r="Y564" i="1" s="1"/>
  <c r="V564" i="1"/>
  <c r="W564" i="1" s="1"/>
  <c r="U567" i="1"/>
  <c r="Y567" i="1" s="1"/>
  <c r="V567" i="1"/>
  <c r="W567" i="1" s="1"/>
  <c r="U566" i="1"/>
  <c r="Y566" i="1" s="1"/>
  <c r="V566" i="1"/>
  <c r="W566" i="1" s="1"/>
  <c r="U565" i="1"/>
  <c r="V565" i="1"/>
  <c r="W565" i="1" s="1"/>
  <c r="U568" i="1"/>
  <c r="Y568" i="1" s="1"/>
  <c r="V568" i="1"/>
  <c r="W568" i="1" s="1"/>
  <c r="U527" i="1"/>
  <c r="V527" i="1"/>
  <c r="W527" i="1" s="1"/>
  <c r="U571" i="1"/>
  <c r="Y571" i="1" s="1"/>
  <c r="V571" i="1"/>
  <c r="W571" i="1" s="1"/>
  <c r="U569" i="1"/>
  <c r="V569" i="1"/>
  <c r="W569" i="1" s="1"/>
  <c r="U573" i="1"/>
  <c r="Y573" i="1" s="1"/>
  <c r="V573" i="1"/>
  <c r="W573" i="1" s="1"/>
  <c r="U1040" i="1"/>
  <c r="V1040" i="1"/>
  <c r="W1040" i="1" s="1"/>
  <c r="U574" i="1"/>
  <c r="Y574" i="1" s="1"/>
  <c r="V574" i="1"/>
  <c r="W574" i="1" s="1"/>
  <c r="U575" i="1"/>
  <c r="V575" i="1"/>
  <c r="W575" i="1" s="1"/>
  <c r="U576" i="1"/>
  <c r="Y576" i="1" s="1"/>
  <c r="V576" i="1"/>
  <c r="W576" i="1" s="1"/>
  <c r="U580" i="1"/>
  <c r="Y580" i="1" s="1"/>
  <c r="V580" i="1"/>
  <c r="W580" i="1" s="1"/>
  <c r="U581" i="1"/>
  <c r="V581" i="1"/>
  <c r="W581" i="1" s="1"/>
  <c r="U572" i="1"/>
  <c r="V572" i="1"/>
  <c r="W572" i="1" s="1"/>
  <c r="U831" i="1"/>
  <c r="Y831" i="1" s="1"/>
  <c r="V831" i="1"/>
  <c r="W831" i="1" s="1"/>
  <c r="U577" i="1"/>
  <c r="V577" i="1"/>
  <c r="W577" i="1" s="1"/>
  <c r="U584" i="1"/>
  <c r="V584" i="1"/>
  <c r="W584" i="1" s="1"/>
  <c r="U583" i="1"/>
  <c r="Y583" i="1" s="1"/>
  <c r="V583" i="1"/>
  <c r="W583" i="1" s="1"/>
  <c r="U585" i="1"/>
  <c r="Y585" i="1" s="1"/>
  <c r="V585" i="1"/>
  <c r="W585" i="1" s="1"/>
  <c r="U582" i="1"/>
  <c r="Y582" i="1" s="1"/>
  <c r="V582" i="1"/>
  <c r="W582" i="1" s="1"/>
  <c r="U586" i="1"/>
  <c r="V586" i="1"/>
  <c r="W586" i="1" s="1"/>
  <c r="U588" i="1"/>
  <c r="Y588" i="1" s="1"/>
  <c r="V588" i="1"/>
  <c r="W588" i="1" s="1"/>
  <c r="U587" i="1"/>
  <c r="Y587" i="1" s="1"/>
  <c r="V587" i="1"/>
  <c r="W587" i="1" s="1"/>
  <c r="U590" i="1"/>
  <c r="Y590" i="1" s="1"/>
  <c r="V590" i="1"/>
  <c r="W590" i="1" s="1"/>
  <c r="U589" i="1"/>
  <c r="Y589" i="1" s="1"/>
  <c r="V589" i="1"/>
  <c r="W589" i="1" s="1"/>
  <c r="U591" i="1"/>
  <c r="V591" i="1"/>
  <c r="W591" i="1" s="1"/>
  <c r="U592" i="1"/>
  <c r="Y592" i="1" s="1"/>
  <c r="V592" i="1"/>
  <c r="W592" i="1" s="1"/>
  <c r="U593" i="1"/>
  <c r="V593" i="1"/>
  <c r="W593" i="1" s="1"/>
  <c r="U597" i="1"/>
  <c r="Y597" i="1" s="1"/>
  <c r="V597" i="1"/>
  <c r="W597" i="1" s="1"/>
  <c r="U598" i="1"/>
  <c r="Y598" i="1" s="1"/>
  <c r="V598" i="1"/>
  <c r="W598" i="1" s="1"/>
  <c r="U595" i="1"/>
  <c r="Y595" i="1" s="1"/>
  <c r="V595" i="1"/>
  <c r="W595" i="1" s="1"/>
  <c r="U596" i="1"/>
  <c r="Y596" i="1" s="1"/>
  <c r="V596" i="1"/>
  <c r="W596" i="1" s="1"/>
  <c r="U594" i="1"/>
  <c r="Y594" i="1" s="1"/>
  <c r="V594" i="1"/>
  <c r="W594" i="1" s="1"/>
  <c r="U600" i="1"/>
  <c r="Y600" i="1" s="1"/>
  <c r="V600" i="1"/>
  <c r="W600" i="1" s="1"/>
  <c r="U599" i="1"/>
  <c r="V599" i="1"/>
  <c r="W599" i="1" s="1"/>
  <c r="U605" i="1"/>
  <c r="V605" i="1"/>
  <c r="W605" i="1" s="1"/>
  <c r="U601" i="1"/>
  <c r="Y601" i="1" s="1"/>
  <c r="V601" i="1"/>
  <c r="W601" i="1" s="1"/>
  <c r="U602" i="1"/>
  <c r="Y602" i="1" s="1"/>
  <c r="V602" i="1"/>
  <c r="W602" i="1" s="1"/>
  <c r="U606" i="1"/>
  <c r="Y606" i="1" s="1"/>
  <c r="V606" i="1"/>
  <c r="W606" i="1" s="1"/>
  <c r="U603" i="1"/>
  <c r="Y603" i="1" s="1"/>
  <c r="V603" i="1"/>
  <c r="W603" i="1" s="1"/>
  <c r="U608" i="1"/>
  <c r="Y608" i="1" s="1"/>
  <c r="V608" i="1"/>
  <c r="W608" i="1" s="1"/>
  <c r="U604" i="1"/>
  <c r="Y604" i="1" s="1"/>
  <c r="V604" i="1"/>
  <c r="W604" i="1" s="1"/>
  <c r="U607" i="1"/>
  <c r="V607" i="1"/>
  <c r="W607" i="1" s="1"/>
  <c r="U579" i="1"/>
  <c r="V579" i="1"/>
  <c r="W579" i="1" s="1"/>
  <c r="U612" i="1"/>
  <c r="Y612" i="1" s="1"/>
  <c r="V612" i="1"/>
  <c r="W612" i="1" s="1"/>
  <c r="U609" i="1"/>
  <c r="Y609" i="1" s="1"/>
  <c r="V609" i="1"/>
  <c r="W609" i="1" s="1"/>
  <c r="U538" i="1"/>
  <c r="V538" i="1"/>
  <c r="W538" i="1" s="1"/>
  <c r="U610" i="1"/>
  <c r="Y610" i="1" s="1"/>
  <c r="V610" i="1"/>
  <c r="W610" i="1" s="1"/>
  <c r="U532" i="1"/>
  <c r="Y532" i="1" s="1"/>
  <c r="V532" i="1"/>
  <c r="W532" i="1" s="1"/>
  <c r="U536" i="1"/>
  <c r="Y536" i="1" s="1"/>
  <c r="V536" i="1"/>
  <c r="W536" i="1" s="1"/>
  <c r="U611" i="1"/>
  <c r="V611" i="1"/>
  <c r="W611" i="1" s="1"/>
  <c r="U578" i="1"/>
  <c r="V578" i="1"/>
  <c r="W578" i="1" s="1"/>
  <c r="U530" i="1"/>
  <c r="Y530" i="1" s="1"/>
  <c r="V530" i="1"/>
  <c r="W530" i="1" s="1"/>
  <c r="U537" i="1"/>
  <c r="Y537" i="1" s="1"/>
  <c r="V537" i="1"/>
  <c r="W537" i="1" s="1"/>
  <c r="U531" i="1"/>
  <c r="Y531" i="1" s="1"/>
  <c r="V531" i="1"/>
  <c r="W531" i="1" s="1"/>
  <c r="U614" i="1"/>
  <c r="Y614" i="1" s="1"/>
  <c r="V614" i="1"/>
  <c r="W614" i="1" s="1"/>
  <c r="U613" i="1"/>
  <c r="Y613" i="1" s="1"/>
  <c r="V613" i="1"/>
  <c r="W613" i="1" s="1"/>
  <c r="U628" i="1"/>
  <c r="Y628" i="1" s="1"/>
  <c r="V628" i="1"/>
  <c r="W628" i="1" s="1"/>
  <c r="U629" i="1"/>
  <c r="V629" i="1"/>
  <c r="W629" i="1" s="1"/>
  <c r="U625" i="1"/>
  <c r="V625" i="1"/>
  <c r="W625" i="1" s="1"/>
  <c r="U626" i="1"/>
  <c r="Y626" i="1" s="1"/>
  <c r="V626" i="1"/>
  <c r="W626" i="1" s="1"/>
  <c r="U627" i="1"/>
  <c r="Y627" i="1" s="1"/>
  <c r="V627" i="1"/>
  <c r="W627" i="1" s="1"/>
  <c r="U623" i="1"/>
  <c r="Y623" i="1" s="1"/>
  <c r="V623" i="1"/>
  <c r="W623" i="1" s="1"/>
  <c r="U624" i="1"/>
  <c r="Y624" i="1" s="1"/>
  <c r="V624" i="1"/>
  <c r="W624" i="1" s="1"/>
  <c r="U631" i="1"/>
  <c r="Y631" i="1" s="1"/>
  <c r="V631" i="1"/>
  <c r="W631" i="1" s="1"/>
  <c r="U632" i="1"/>
  <c r="Y632" i="1" s="1"/>
  <c r="V632" i="1"/>
  <c r="W632" i="1" s="1"/>
  <c r="U630" i="1"/>
  <c r="V630" i="1"/>
  <c r="W630" i="1" s="1"/>
  <c r="U634" i="1"/>
  <c r="V634" i="1"/>
  <c r="W634" i="1" s="1"/>
  <c r="U635" i="1"/>
  <c r="Y635" i="1" s="1"/>
  <c r="V635" i="1"/>
  <c r="W635" i="1" s="1"/>
  <c r="U633" i="1"/>
  <c r="Y633" i="1" s="1"/>
  <c r="V633" i="1"/>
  <c r="W633" i="1" s="1"/>
  <c r="U636" i="1"/>
  <c r="Y636" i="1" s="1"/>
  <c r="V636" i="1"/>
  <c r="W636" i="1" s="1"/>
  <c r="U639" i="1"/>
  <c r="Y639" i="1" s="1"/>
  <c r="V639" i="1"/>
  <c r="W639" i="1" s="1"/>
  <c r="U637" i="1"/>
  <c r="Y637" i="1" s="1"/>
  <c r="V637" i="1"/>
  <c r="W637" i="1" s="1"/>
  <c r="U638" i="1"/>
  <c r="Y638" i="1" s="1"/>
  <c r="V638" i="1"/>
  <c r="W638" i="1" s="1"/>
  <c r="U640" i="1"/>
  <c r="V640" i="1"/>
  <c r="W640" i="1" s="1"/>
  <c r="U646" i="1"/>
  <c r="V646" i="1"/>
  <c r="W646" i="1" s="1"/>
  <c r="U641" i="1"/>
  <c r="Y641" i="1" s="1"/>
  <c r="V641" i="1"/>
  <c r="W641" i="1" s="1"/>
  <c r="U643" i="1"/>
  <c r="Y643" i="1" s="1"/>
  <c r="V643" i="1"/>
  <c r="W643" i="1" s="1"/>
  <c r="U644" i="1"/>
  <c r="Y644" i="1" s="1"/>
  <c r="V644" i="1"/>
  <c r="W644" i="1" s="1"/>
  <c r="U647" i="1"/>
  <c r="Y647" i="1" s="1"/>
  <c r="V647" i="1"/>
  <c r="W647" i="1" s="1"/>
  <c r="U645" i="1"/>
  <c r="Y645" i="1" s="1"/>
  <c r="V645" i="1"/>
  <c r="W645" i="1" s="1"/>
  <c r="U648" i="1"/>
  <c r="Y648" i="1" s="1"/>
  <c r="V648" i="1"/>
  <c r="W648" i="1" s="1"/>
  <c r="U642" i="1"/>
  <c r="V642" i="1"/>
  <c r="W642" i="1" s="1"/>
  <c r="U649" i="1"/>
  <c r="V649" i="1"/>
  <c r="W649" i="1" s="1"/>
  <c r="U653" i="1"/>
  <c r="Y653" i="1" s="1"/>
  <c r="V653" i="1"/>
  <c r="W653" i="1" s="1"/>
  <c r="U651" i="1"/>
  <c r="Y651" i="1" s="1"/>
  <c r="V651" i="1"/>
  <c r="W651" i="1" s="1"/>
  <c r="U650" i="1"/>
  <c r="Y650" i="1" s="1"/>
  <c r="V650" i="1"/>
  <c r="W650" i="1" s="1"/>
  <c r="U652" i="1"/>
  <c r="Y652" i="1" s="1"/>
  <c r="V652" i="1"/>
  <c r="W652" i="1" s="1"/>
  <c r="U654" i="1"/>
  <c r="V654" i="1"/>
  <c r="W654" i="1" s="1"/>
  <c r="U660" i="1"/>
  <c r="Y660" i="1" s="1"/>
  <c r="V660" i="1"/>
  <c r="W660" i="1" s="1"/>
  <c r="U655" i="1"/>
  <c r="V655" i="1"/>
  <c r="W655" i="1" s="1"/>
  <c r="U659" i="1"/>
  <c r="V659" i="1"/>
  <c r="W659" i="1" s="1"/>
  <c r="U658" i="1"/>
  <c r="Y658" i="1" s="1"/>
  <c r="V658" i="1"/>
  <c r="W658" i="1" s="1"/>
  <c r="U657" i="1"/>
  <c r="Y657" i="1" s="1"/>
  <c r="V657" i="1"/>
  <c r="W657" i="1" s="1"/>
  <c r="U661" i="1"/>
  <c r="Y661" i="1" s="1"/>
  <c r="V661" i="1"/>
  <c r="W661" i="1" s="1"/>
  <c r="U656" i="1"/>
  <c r="Y656" i="1" s="1"/>
  <c r="V656" i="1"/>
  <c r="W656" i="1" s="1"/>
  <c r="U662" i="1"/>
  <c r="Y662" i="1" s="1"/>
  <c r="V662" i="1"/>
  <c r="W662" i="1" s="1"/>
  <c r="U663" i="1"/>
  <c r="Y663" i="1" s="1"/>
  <c r="V663" i="1"/>
  <c r="W663" i="1" s="1"/>
  <c r="U664" i="1"/>
  <c r="V664" i="1"/>
  <c r="W664" i="1" s="1"/>
  <c r="U665" i="1"/>
  <c r="V665" i="1"/>
  <c r="W665" i="1" s="1"/>
  <c r="U671" i="1"/>
  <c r="Y671" i="1" s="1"/>
  <c r="V671" i="1"/>
  <c r="W671" i="1" s="1"/>
  <c r="U667" i="1"/>
  <c r="Y667" i="1" s="1"/>
  <c r="V667" i="1"/>
  <c r="W667" i="1" s="1"/>
  <c r="U669" i="1"/>
  <c r="Y669" i="1" s="1"/>
  <c r="V669" i="1"/>
  <c r="W669" i="1" s="1"/>
  <c r="U672" i="1"/>
  <c r="Y672" i="1" s="1"/>
  <c r="V672" i="1"/>
  <c r="W672" i="1" s="1"/>
  <c r="U666" i="1"/>
  <c r="Y666" i="1" s="1"/>
  <c r="V666" i="1"/>
  <c r="W666" i="1" s="1"/>
  <c r="U670" i="1"/>
  <c r="Y670" i="1" s="1"/>
  <c r="V670" i="1"/>
  <c r="W670" i="1" s="1"/>
  <c r="U668" i="1"/>
  <c r="V668" i="1"/>
  <c r="W668" i="1" s="1"/>
  <c r="U674" i="1"/>
  <c r="V674" i="1"/>
  <c r="W674" i="1" s="1"/>
  <c r="U673" i="1"/>
  <c r="Y673" i="1" s="1"/>
  <c r="V673" i="1"/>
  <c r="W673" i="1" s="1"/>
  <c r="U676" i="1"/>
  <c r="Y676" i="1" s="1"/>
  <c r="V676" i="1"/>
  <c r="W676" i="1" s="1"/>
  <c r="U675" i="1"/>
  <c r="Y675" i="1" s="1"/>
  <c r="V675" i="1"/>
  <c r="W675" i="1" s="1"/>
  <c r="U683" i="1"/>
  <c r="Y683" i="1" s="1"/>
  <c r="V683" i="1"/>
  <c r="W683" i="1" s="1"/>
  <c r="U684" i="1"/>
  <c r="V684" i="1"/>
  <c r="W684" i="1" s="1"/>
  <c r="U682" i="1"/>
  <c r="Y682" i="1" s="1"/>
  <c r="V682" i="1"/>
  <c r="W682" i="1" s="1"/>
  <c r="U680" i="1"/>
  <c r="V680" i="1"/>
  <c r="W680" i="1" s="1"/>
  <c r="U677" i="1"/>
  <c r="V677" i="1"/>
  <c r="W677" i="1" s="1"/>
  <c r="U678" i="1"/>
  <c r="Y678" i="1" s="1"/>
  <c r="V678" i="1"/>
  <c r="W678" i="1" s="1"/>
  <c r="U679" i="1"/>
  <c r="Y679" i="1" s="1"/>
  <c r="V679" i="1"/>
  <c r="W679" i="1" s="1"/>
  <c r="U681" i="1"/>
  <c r="Y681" i="1" s="1"/>
  <c r="V681" i="1"/>
  <c r="W681" i="1" s="1"/>
  <c r="U686" i="1"/>
  <c r="Y686" i="1" s="1"/>
  <c r="V686" i="1"/>
  <c r="W686" i="1" s="1"/>
  <c r="U685" i="1"/>
  <c r="V685" i="1"/>
  <c r="W685" i="1" s="1"/>
  <c r="U687" i="1"/>
  <c r="Y687" i="1" s="1"/>
  <c r="V687" i="1"/>
  <c r="W687" i="1" s="1"/>
  <c r="U688" i="1"/>
  <c r="V688" i="1"/>
  <c r="W688" i="1" s="1"/>
  <c r="U689" i="1"/>
  <c r="V689" i="1"/>
  <c r="W689" i="1" s="1"/>
  <c r="U693" i="1"/>
  <c r="Y693" i="1" s="1"/>
  <c r="V693" i="1"/>
  <c r="W693" i="1" s="1"/>
  <c r="U691" i="1"/>
  <c r="Y691" i="1" s="1"/>
  <c r="V691" i="1"/>
  <c r="W691" i="1" s="1"/>
  <c r="U692" i="1"/>
  <c r="Y692" i="1" s="1"/>
  <c r="V692" i="1"/>
  <c r="W692" i="1" s="1"/>
  <c r="U1130" i="1"/>
  <c r="Y1130" i="1" s="1"/>
  <c r="V1130" i="1"/>
  <c r="W1130" i="1" s="1"/>
  <c r="U701" i="1"/>
  <c r="Y701" i="1" s="1"/>
  <c r="V701" i="1"/>
  <c r="W701" i="1" s="1"/>
  <c r="U698" i="1"/>
  <c r="Y698" i="1" s="1"/>
  <c r="V698" i="1"/>
  <c r="W698" i="1" s="1"/>
  <c r="U615" i="1"/>
  <c r="V615" i="1"/>
  <c r="W615" i="1" s="1"/>
  <c r="U832" i="1"/>
  <c r="V832" i="1"/>
  <c r="W832" i="1" s="1"/>
  <c r="U702" i="1"/>
  <c r="Y702" i="1" s="1"/>
  <c r="V702" i="1"/>
  <c r="W702" i="1" s="1"/>
  <c r="U696" i="1"/>
  <c r="Y696" i="1" s="1"/>
  <c r="V696" i="1"/>
  <c r="W696" i="1" s="1"/>
  <c r="U700" i="1"/>
  <c r="Y700" i="1" s="1"/>
  <c r="V700" i="1"/>
  <c r="W700" i="1" s="1"/>
  <c r="U699" i="1"/>
  <c r="Y699" i="1" s="1"/>
  <c r="V699" i="1"/>
  <c r="W699" i="1" s="1"/>
  <c r="U697" i="1"/>
  <c r="V697" i="1"/>
  <c r="W697" i="1" s="1"/>
  <c r="U706" i="1"/>
  <c r="Y706" i="1" s="1"/>
  <c r="V706" i="1"/>
  <c r="W706" i="1" s="1"/>
  <c r="U703" i="1"/>
  <c r="V703" i="1"/>
  <c r="W703" i="1" s="1"/>
  <c r="U707" i="1"/>
  <c r="V707" i="1"/>
  <c r="W707" i="1" s="1"/>
  <c r="U705" i="1"/>
  <c r="Y705" i="1" s="1"/>
  <c r="V705" i="1"/>
  <c r="W705" i="1" s="1"/>
  <c r="U704" i="1"/>
  <c r="Y704" i="1" s="1"/>
  <c r="V704" i="1"/>
  <c r="W704" i="1" s="1"/>
  <c r="U709" i="1"/>
  <c r="Y709" i="1" s="1"/>
  <c r="V709" i="1"/>
  <c r="W709" i="1" s="1"/>
  <c r="U708" i="1"/>
  <c r="Y708" i="1" s="1"/>
  <c r="V708" i="1"/>
  <c r="W708" i="1" s="1"/>
  <c r="U710" i="1"/>
  <c r="Y710" i="1" s="1"/>
  <c r="V710" i="1"/>
  <c r="W710" i="1" s="1"/>
  <c r="U713" i="1"/>
  <c r="Y713" i="1" s="1"/>
  <c r="V713" i="1"/>
  <c r="W713" i="1" s="1"/>
  <c r="U714" i="1"/>
  <c r="V714" i="1"/>
  <c r="W714" i="1" s="1"/>
  <c r="U716" i="1"/>
  <c r="V716" i="1"/>
  <c r="W716" i="1" s="1"/>
  <c r="U616" i="1"/>
  <c r="Y616" i="1" s="1"/>
  <c r="V616" i="1"/>
  <c r="W616" i="1" s="1"/>
  <c r="U715" i="1"/>
  <c r="Y715" i="1" s="1"/>
  <c r="V715" i="1"/>
  <c r="W715" i="1" s="1"/>
  <c r="U717" i="1"/>
  <c r="V717" i="1"/>
  <c r="W717" i="1" s="1"/>
  <c r="U712" i="1"/>
  <c r="Y712" i="1" s="1"/>
  <c r="V712" i="1"/>
  <c r="W712" i="1" s="1"/>
  <c r="U719" i="1"/>
  <c r="Y719" i="1" s="1"/>
  <c r="V719" i="1"/>
  <c r="W719" i="1" s="1"/>
  <c r="U718" i="1"/>
  <c r="Y718" i="1" s="1"/>
  <c r="V718" i="1"/>
  <c r="W718" i="1" s="1"/>
  <c r="U720" i="1"/>
  <c r="Y720" i="1" s="1"/>
  <c r="V720" i="1"/>
  <c r="W720" i="1" s="1"/>
  <c r="U721" i="1"/>
  <c r="V721" i="1"/>
  <c r="W721" i="1" s="1"/>
  <c r="U725" i="1"/>
  <c r="Y725" i="1" s="1"/>
  <c r="V725" i="1"/>
  <c r="W725" i="1" s="1"/>
  <c r="U724" i="1"/>
  <c r="Y724" i="1" s="1"/>
  <c r="V724" i="1"/>
  <c r="W724" i="1" s="1"/>
  <c r="U723" i="1"/>
  <c r="V723" i="1"/>
  <c r="W723" i="1" s="1"/>
  <c r="U727" i="1"/>
  <c r="Y727" i="1" s="1"/>
  <c r="V727" i="1"/>
  <c r="W727" i="1" s="1"/>
  <c r="U726" i="1"/>
  <c r="Y726" i="1" s="1"/>
  <c r="V726" i="1"/>
  <c r="W726" i="1" s="1"/>
  <c r="U722" i="1"/>
  <c r="Y722" i="1" s="1"/>
  <c r="V722" i="1"/>
  <c r="W722" i="1" s="1"/>
  <c r="U728" i="1"/>
  <c r="Y728" i="1" s="1"/>
  <c r="V728" i="1"/>
  <c r="W728" i="1" s="1"/>
  <c r="U730" i="1"/>
  <c r="V730" i="1"/>
  <c r="W730" i="1" s="1"/>
  <c r="U729" i="1"/>
  <c r="Y729" i="1" s="1"/>
  <c r="V729" i="1"/>
  <c r="W729" i="1" s="1"/>
  <c r="U731" i="1"/>
  <c r="Y731" i="1" s="1"/>
  <c r="V731" i="1"/>
  <c r="W731" i="1" s="1"/>
  <c r="U737" i="1"/>
  <c r="V737" i="1"/>
  <c r="W737" i="1" s="1"/>
  <c r="U732" i="1"/>
  <c r="Y732" i="1" s="1"/>
  <c r="V732" i="1"/>
  <c r="W732" i="1" s="1"/>
  <c r="U744" i="1"/>
  <c r="Y744" i="1" s="1"/>
  <c r="V744" i="1"/>
  <c r="W744" i="1" s="1"/>
  <c r="U735" i="1"/>
  <c r="Y735" i="1" s="1"/>
  <c r="V735" i="1"/>
  <c r="W735" i="1" s="1"/>
  <c r="U740" i="1"/>
  <c r="Y740" i="1" s="1"/>
  <c r="V740" i="1"/>
  <c r="W740" i="1" s="1"/>
  <c r="U736" i="1"/>
  <c r="V736" i="1"/>
  <c r="W736" i="1" s="1"/>
  <c r="U620" i="1"/>
  <c r="Y620" i="1" s="1"/>
  <c r="V620" i="1"/>
  <c r="W620" i="1" s="1"/>
  <c r="U738" i="1"/>
  <c r="Y738" i="1" s="1"/>
  <c r="V738" i="1"/>
  <c r="W738" i="1" s="1"/>
  <c r="U690" i="1"/>
  <c r="V690" i="1"/>
  <c r="W690" i="1" s="1"/>
  <c r="U694" i="1"/>
  <c r="Y694" i="1" s="1"/>
  <c r="V694" i="1"/>
  <c r="W694" i="1" s="1"/>
  <c r="U739" i="1"/>
  <c r="Y739" i="1" s="1"/>
  <c r="V739" i="1"/>
  <c r="W739" i="1" s="1"/>
  <c r="U734" i="1"/>
  <c r="Y734" i="1" s="1"/>
  <c r="V734" i="1"/>
  <c r="W734" i="1" s="1"/>
  <c r="U621" i="1"/>
  <c r="Y621" i="1" s="1"/>
  <c r="V621" i="1"/>
  <c r="W621" i="1" s="1"/>
  <c r="U695" i="1"/>
  <c r="V695" i="1"/>
  <c r="W695" i="1" s="1"/>
  <c r="U622" i="1"/>
  <c r="Y622" i="1" s="1"/>
  <c r="V622" i="1"/>
  <c r="W622" i="1" s="1"/>
  <c r="U741" i="1"/>
  <c r="Y741" i="1" s="1"/>
  <c r="V741" i="1"/>
  <c r="W741" i="1" s="1"/>
  <c r="U743" i="1"/>
  <c r="V743" i="1"/>
  <c r="W743" i="1" s="1"/>
  <c r="U749" i="1"/>
  <c r="Y749" i="1" s="1"/>
  <c r="V749" i="1"/>
  <c r="W749" i="1" s="1"/>
  <c r="U751" i="1"/>
  <c r="V751" i="1"/>
  <c r="W751" i="1" s="1"/>
  <c r="U750" i="1"/>
  <c r="Y750" i="1" s="1"/>
  <c r="V750" i="1"/>
  <c r="W750" i="1" s="1"/>
  <c r="U754" i="1"/>
  <c r="Y754" i="1" s="1"/>
  <c r="V754" i="1"/>
  <c r="W754" i="1" s="1"/>
  <c r="U619" i="1"/>
  <c r="V619" i="1"/>
  <c r="W619" i="1" s="1"/>
  <c r="U753" i="1"/>
  <c r="Y753" i="1" s="1"/>
  <c r="V753" i="1"/>
  <c r="W753" i="1" s="1"/>
  <c r="U758" i="1"/>
  <c r="Y758" i="1" s="1"/>
  <c r="V758" i="1"/>
  <c r="W758" i="1" s="1"/>
  <c r="U760" i="1"/>
  <c r="V760" i="1"/>
  <c r="W760" i="1" s="1"/>
  <c r="U762" i="1"/>
  <c r="Y762" i="1" s="1"/>
  <c r="V762" i="1"/>
  <c r="W762" i="1" s="1"/>
  <c r="U759" i="1"/>
  <c r="Y759" i="1" s="1"/>
  <c r="V759" i="1"/>
  <c r="W759" i="1" s="1"/>
  <c r="U763" i="1"/>
  <c r="Y763" i="1" s="1"/>
  <c r="V763" i="1"/>
  <c r="W763" i="1" s="1"/>
  <c r="U761" i="1"/>
  <c r="Y761" i="1" s="1"/>
  <c r="V761" i="1"/>
  <c r="W761" i="1" s="1"/>
  <c r="U755" i="1"/>
  <c r="V755" i="1"/>
  <c r="W755" i="1" s="1"/>
  <c r="U756" i="1"/>
  <c r="V756" i="1"/>
  <c r="W756" i="1" s="1"/>
  <c r="U757" i="1"/>
  <c r="Y757" i="1" s="1"/>
  <c r="V757" i="1"/>
  <c r="W757" i="1" s="1"/>
  <c r="U764" i="1"/>
  <c r="V764" i="1"/>
  <c r="W764" i="1" s="1"/>
  <c r="U765" i="1"/>
  <c r="Y765" i="1" s="1"/>
  <c r="V765" i="1"/>
  <c r="W765" i="1" s="1"/>
  <c r="U768" i="1"/>
  <c r="V768" i="1"/>
  <c r="W768" i="1" s="1"/>
  <c r="U767" i="1"/>
  <c r="Y767" i="1" s="1"/>
  <c r="V767" i="1"/>
  <c r="W767" i="1" s="1"/>
  <c r="U766" i="1"/>
  <c r="Y766" i="1" s="1"/>
  <c r="V766" i="1"/>
  <c r="W766" i="1" s="1"/>
  <c r="U769" i="1"/>
  <c r="V769" i="1"/>
  <c r="W769" i="1" s="1"/>
  <c r="U770" i="1"/>
  <c r="Y770" i="1" s="1"/>
  <c r="V770" i="1"/>
  <c r="W770" i="1" s="1"/>
  <c r="U773" i="1"/>
  <c r="Y773" i="1" s="1"/>
  <c r="V773" i="1"/>
  <c r="W773" i="1" s="1"/>
  <c r="U772" i="1"/>
  <c r="V772" i="1"/>
  <c r="W772" i="1" s="1"/>
  <c r="U771" i="1"/>
  <c r="Y771" i="1" s="1"/>
  <c r="V771" i="1"/>
  <c r="W771" i="1" s="1"/>
  <c r="U775" i="1"/>
  <c r="V775" i="1"/>
  <c r="W775" i="1" s="1"/>
  <c r="U774" i="1"/>
  <c r="Y774" i="1" s="1"/>
  <c r="V774" i="1"/>
  <c r="W774" i="1" s="1"/>
  <c r="U776" i="1"/>
  <c r="Y776" i="1" s="1"/>
  <c r="V776" i="1"/>
  <c r="W776" i="1" s="1"/>
  <c r="U777" i="1"/>
  <c r="Y777" i="1" s="1"/>
  <c r="V777" i="1"/>
  <c r="W777" i="1" s="1"/>
  <c r="U778" i="1"/>
  <c r="Y778" i="1" s="1"/>
  <c r="V778" i="1"/>
  <c r="W778" i="1" s="1"/>
  <c r="U779" i="1"/>
  <c r="Y779" i="1" s="1"/>
  <c r="V779" i="1"/>
  <c r="W779" i="1" s="1"/>
  <c r="U780" i="1"/>
  <c r="Y780" i="1" s="1"/>
  <c r="V780" i="1"/>
  <c r="W780" i="1" s="1"/>
  <c r="U782" i="1"/>
  <c r="Y782" i="1" s="1"/>
  <c r="V782" i="1"/>
  <c r="W782" i="1" s="1"/>
  <c r="U781" i="1"/>
  <c r="V781" i="1"/>
  <c r="W781" i="1" s="1"/>
  <c r="U783" i="1"/>
  <c r="Y783" i="1" s="1"/>
  <c r="V783" i="1"/>
  <c r="W783" i="1" s="1"/>
  <c r="U785" i="1"/>
  <c r="V785" i="1"/>
  <c r="W785" i="1" s="1"/>
  <c r="U784" i="1"/>
  <c r="V784" i="1"/>
  <c r="W784" i="1" s="1"/>
  <c r="U787" i="1"/>
  <c r="V787" i="1"/>
  <c r="W787" i="1" s="1"/>
  <c r="U711" i="1"/>
  <c r="Y711" i="1" s="1"/>
  <c r="V711" i="1"/>
  <c r="W711" i="1" s="1"/>
  <c r="U792" i="1"/>
  <c r="V792" i="1"/>
  <c r="W792" i="1" s="1"/>
  <c r="U790" i="1"/>
  <c r="Y790" i="1" s="1"/>
  <c r="V790" i="1"/>
  <c r="W790" i="1" s="1"/>
  <c r="U789" i="1"/>
  <c r="V789" i="1"/>
  <c r="W789" i="1" s="1"/>
  <c r="U788" i="1"/>
  <c r="Y788" i="1" s="1"/>
  <c r="V788" i="1"/>
  <c r="W788" i="1" s="1"/>
  <c r="U791" i="1"/>
  <c r="V791" i="1"/>
  <c r="W791" i="1" s="1"/>
  <c r="U793" i="1"/>
  <c r="V793" i="1"/>
  <c r="W793" i="1" s="1"/>
  <c r="U796" i="1"/>
  <c r="Y796" i="1" s="1"/>
  <c r="V796" i="1"/>
  <c r="W796" i="1" s="1"/>
  <c r="U794" i="1"/>
  <c r="Y794" i="1" s="1"/>
  <c r="V794" i="1"/>
  <c r="W794" i="1" s="1"/>
  <c r="U795" i="1"/>
  <c r="Y795" i="1" s="1"/>
  <c r="V795" i="1"/>
  <c r="W795" i="1" s="1"/>
  <c r="U798" i="1"/>
  <c r="Y798" i="1" s="1"/>
  <c r="V798" i="1"/>
  <c r="W798" i="1" s="1"/>
  <c r="U797" i="1"/>
  <c r="Y797" i="1" s="1"/>
  <c r="V797" i="1"/>
  <c r="W797" i="1" s="1"/>
  <c r="U799" i="1"/>
  <c r="Y799" i="1" s="1"/>
  <c r="V799" i="1"/>
  <c r="W799" i="1" s="1"/>
  <c r="U801" i="1"/>
  <c r="Y801" i="1" s="1"/>
  <c r="V801" i="1"/>
  <c r="W801" i="1" s="1"/>
  <c r="U802" i="1"/>
  <c r="V802" i="1"/>
  <c r="W802" i="1" s="1"/>
  <c r="U800" i="1"/>
  <c r="V800" i="1"/>
  <c r="W800" i="1" s="1"/>
  <c r="U803" i="1"/>
  <c r="V803" i="1"/>
  <c r="W803" i="1" s="1"/>
  <c r="U833" i="1"/>
  <c r="V833" i="1"/>
  <c r="W833" i="1" s="1"/>
  <c r="U807" i="1"/>
  <c r="Y807" i="1" s="1"/>
  <c r="V807" i="1"/>
  <c r="W807" i="1" s="1"/>
  <c r="U806" i="1"/>
  <c r="Y806" i="1" s="1"/>
  <c r="V806" i="1"/>
  <c r="W806" i="1" s="1"/>
  <c r="U805" i="1"/>
  <c r="Y805" i="1" s="1"/>
  <c r="V805" i="1"/>
  <c r="W805" i="1" s="1"/>
  <c r="U808" i="1"/>
  <c r="V808" i="1"/>
  <c r="W808" i="1" s="1"/>
  <c r="U809" i="1"/>
  <c r="Y809" i="1" s="1"/>
  <c r="V809" i="1"/>
  <c r="W809" i="1" s="1"/>
  <c r="U813" i="1"/>
  <c r="V813" i="1"/>
  <c r="W813" i="1" s="1"/>
  <c r="U812" i="1"/>
  <c r="V812" i="1"/>
  <c r="W812" i="1" s="1"/>
  <c r="U810" i="1"/>
  <c r="Y810" i="1" s="1"/>
  <c r="V810" i="1"/>
  <c r="W810" i="1" s="1"/>
  <c r="U811" i="1"/>
  <c r="Y811" i="1" s="1"/>
  <c r="V811" i="1"/>
  <c r="W811" i="1" s="1"/>
  <c r="U815" i="1"/>
  <c r="Y815" i="1" s="1"/>
  <c r="V815" i="1"/>
  <c r="W815" i="1" s="1"/>
  <c r="U814" i="1"/>
  <c r="V814" i="1"/>
  <c r="W814" i="1" s="1"/>
  <c r="U817" i="1"/>
  <c r="V817" i="1"/>
  <c r="W817" i="1" s="1"/>
  <c r="U819" i="1"/>
  <c r="Y819" i="1" s="1"/>
  <c r="V819" i="1"/>
  <c r="W819" i="1" s="1"/>
  <c r="U820" i="1"/>
  <c r="V820" i="1"/>
  <c r="W820" i="1" s="1"/>
  <c r="U818" i="1"/>
  <c r="V818" i="1"/>
  <c r="W818" i="1" s="1"/>
  <c r="U816" i="1"/>
  <c r="V816" i="1"/>
  <c r="W816" i="1" s="1"/>
  <c r="U822" i="1"/>
  <c r="Y822" i="1" s="1"/>
  <c r="V822" i="1"/>
  <c r="W822" i="1" s="1"/>
  <c r="U821" i="1"/>
  <c r="Y821" i="1" s="1"/>
  <c r="V821" i="1"/>
  <c r="W821" i="1" s="1"/>
  <c r="U823" i="1"/>
  <c r="Y823" i="1" s="1"/>
  <c r="V823" i="1"/>
  <c r="W823" i="1" s="1"/>
  <c r="U827" i="1"/>
  <c r="V827" i="1"/>
  <c r="W827" i="1" s="1"/>
  <c r="U838" i="1"/>
  <c r="Y838" i="1" s="1"/>
  <c r="V838" i="1"/>
  <c r="W838" i="1" s="1"/>
  <c r="U825" i="1"/>
  <c r="V825" i="1"/>
  <c r="W825" i="1" s="1"/>
  <c r="U841" i="1"/>
  <c r="V841" i="1"/>
  <c r="W841" i="1" s="1"/>
  <c r="U742" i="1"/>
  <c r="Y742" i="1" s="1"/>
  <c r="V742" i="1"/>
  <c r="W742" i="1" s="1"/>
  <c r="U835" i="1"/>
  <c r="Y835" i="1" s="1"/>
  <c r="V835" i="1"/>
  <c r="W835" i="1" s="1"/>
  <c r="U839" i="1"/>
  <c r="V839" i="1"/>
  <c r="W839" i="1" s="1"/>
  <c r="U836" i="1"/>
  <c r="Y836" i="1" s="1"/>
  <c r="V836" i="1"/>
  <c r="W836" i="1" s="1"/>
  <c r="U746" i="1"/>
  <c r="V746" i="1"/>
  <c r="W746" i="1" s="1"/>
  <c r="U745" i="1"/>
  <c r="Y745" i="1" s="1"/>
  <c r="V745" i="1"/>
  <c r="W745" i="1" s="1"/>
  <c r="U748" i="1"/>
  <c r="V748" i="1"/>
  <c r="W748" i="1" s="1"/>
  <c r="U1042" i="1"/>
  <c r="V1042" i="1"/>
  <c r="W1042" i="1" s="1"/>
  <c r="U1043" i="1"/>
  <c r="V1043" i="1"/>
  <c r="W1043" i="1" s="1"/>
  <c r="U837" i="1"/>
  <c r="Y837" i="1" s="1"/>
  <c r="V837" i="1"/>
  <c r="W837" i="1" s="1"/>
  <c r="U786" i="1"/>
  <c r="Y786" i="1" s="1"/>
  <c r="V786" i="1"/>
  <c r="W786" i="1" s="1"/>
  <c r="U804" i="1"/>
  <c r="V804" i="1"/>
  <c r="W804" i="1" s="1"/>
  <c r="U840" i="1"/>
  <c r="V840" i="1"/>
  <c r="W840" i="1" s="1"/>
  <c r="U834" i="1"/>
  <c r="Y834" i="1" s="1"/>
  <c r="V834" i="1"/>
  <c r="W834" i="1" s="1"/>
  <c r="U747" i="1"/>
  <c r="V747" i="1"/>
  <c r="W747" i="1" s="1"/>
  <c r="U824" i="1"/>
  <c r="V824" i="1"/>
  <c r="W824" i="1" s="1"/>
  <c r="U752" i="1"/>
  <c r="Y752" i="1" s="1"/>
  <c r="V752" i="1"/>
  <c r="W752" i="1" s="1"/>
  <c r="U842" i="1"/>
  <c r="Y842" i="1" s="1"/>
  <c r="V842" i="1"/>
  <c r="W842" i="1" s="1"/>
  <c r="U847" i="1"/>
  <c r="Y847" i="1" s="1"/>
  <c r="V847" i="1"/>
  <c r="W847" i="1" s="1"/>
  <c r="U846" i="1"/>
  <c r="Y846" i="1" s="1"/>
  <c r="V846" i="1"/>
  <c r="W846" i="1" s="1"/>
  <c r="U848" i="1"/>
  <c r="Y848" i="1" s="1"/>
  <c r="V848" i="1"/>
  <c r="W848" i="1" s="1"/>
  <c r="U826" i="1"/>
  <c r="Y826" i="1" s="1"/>
  <c r="V826" i="1"/>
  <c r="W826" i="1" s="1"/>
  <c r="U853" i="1"/>
  <c r="V853" i="1"/>
  <c r="W853" i="1" s="1"/>
  <c r="U854" i="1"/>
  <c r="V854" i="1"/>
  <c r="W854" i="1" s="1"/>
  <c r="U852" i="1"/>
  <c r="V852" i="1"/>
  <c r="W852" i="1" s="1"/>
  <c r="U851" i="1"/>
  <c r="Y851" i="1" s="1"/>
  <c r="V851" i="1"/>
  <c r="W851" i="1" s="1"/>
  <c r="U850" i="1"/>
  <c r="V850" i="1"/>
  <c r="W850" i="1" s="1"/>
  <c r="U857" i="1"/>
  <c r="V857" i="1"/>
  <c r="W857" i="1" s="1"/>
  <c r="U856" i="1"/>
  <c r="V856" i="1"/>
  <c r="W856" i="1" s="1"/>
  <c r="U855" i="1"/>
  <c r="Y855" i="1" s="1"/>
  <c r="V855" i="1"/>
  <c r="W855" i="1" s="1"/>
  <c r="U858" i="1"/>
  <c r="V858" i="1"/>
  <c r="W858" i="1" s="1"/>
  <c r="U860" i="1"/>
  <c r="V860" i="1"/>
  <c r="W860" i="1" s="1"/>
  <c r="U859" i="1"/>
  <c r="Y859" i="1" s="1"/>
  <c r="V859" i="1"/>
  <c r="W859" i="1" s="1"/>
  <c r="U861" i="1"/>
  <c r="Y861" i="1" s="1"/>
  <c r="V861" i="1"/>
  <c r="W861" i="1" s="1"/>
  <c r="U862" i="1"/>
  <c r="Y862" i="1" s="1"/>
  <c r="V862" i="1"/>
  <c r="W862" i="1" s="1"/>
  <c r="U863" i="1"/>
  <c r="Y863" i="1" s="1"/>
  <c r="V863" i="1"/>
  <c r="W863" i="1" s="1"/>
  <c r="U864" i="1"/>
  <c r="V864" i="1"/>
  <c r="W864" i="1" s="1"/>
  <c r="U865" i="1"/>
  <c r="Y865" i="1" s="1"/>
  <c r="V865" i="1"/>
  <c r="W865" i="1" s="1"/>
  <c r="U866" i="1"/>
  <c r="V866" i="1"/>
  <c r="W866" i="1" s="1"/>
  <c r="U867" i="1"/>
  <c r="V867" i="1"/>
  <c r="W867" i="1" s="1"/>
  <c r="U869" i="1"/>
  <c r="Y869" i="1" s="1"/>
  <c r="V869" i="1"/>
  <c r="W869" i="1" s="1"/>
  <c r="U843" i="1"/>
  <c r="Y843" i="1" s="1"/>
  <c r="V843" i="1"/>
  <c r="W843" i="1" s="1"/>
  <c r="U871" i="1"/>
  <c r="V871" i="1"/>
  <c r="W871" i="1" s="1"/>
  <c r="U870" i="1"/>
  <c r="Y870" i="1" s="1"/>
  <c r="V870" i="1"/>
  <c r="W870" i="1" s="1"/>
  <c r="U872" i="1"/>
  <c r="V872" i="1"/>
  <c r="W872" i="1" s="1"/>
  <c r="U874" i="1"/>
  <c r="Y874" i="1" s="1"/>
  <c r="V874" i="1"/>
  <c r="W874" i="1" s="1"/>
  <c r="U828" i="1"/>
  <c r="V828" i="1"/>
  <c r="W828" i="1" s="1"/>
  <c r="U875" i="1"/>
  <c r="V875" i="1"/>
  <c r="W875" i="1" s="1"/>
  <c r="U876" i="1"/>
  <c r="V876" i="1"/>
  <c r="W876" i="1" s="1"/>
  <c r="U877" i="1"/>
  <c r="Y877" i="1" s="1"/>
  <c r="V877" i="1"/>
  <c r="W877" i="1" s="1"/>
  <c r="U883" i="1"/>
  <c r="Y883" i="1" s="1"/>
  <c r="V883" i="1"/>
  <c r="W883" i="1" s="1"/>
  <c r="U881" i="1"/>
  <c r="V881" i="1"/>
  <c r="W881" i="1" s="1"/>
  <c r="U880" i="1"/>
  <c r="V880" i="1"/>
  <c r="W880" i="1" s="1"/>
  <c r="U879" i="1"/>
  <c r="Y879" i="1" s="1"/>
  <c r="V879" i="1"/>
  <c r="W879" i="1" s="1"/>
  <c r="U882" i="1"/>
  <c r="V882" i="1"/>
  <c r="W882" i="1" s="1"/>
  <c r="U878" i="1"/>
  <c r="V878" i="1"/>
  <c r="W878" i="1" s="1"/>
  <c r="U885" i="1"/>
  <c r="Y885" i="1" s="1"/>
  <c r="V885" i="1"/>
  <c r="W885" i="1" s="1"/>
  <c r="U889" i="1"/>
  <c r="Y889" i="1" s="1"/>
  <c r="V889" i="1"/>
  <c r="W889" i="1" s="1"/>
  <c r="U868" i="1"/>
  <c r="Y868" i="1" s="1"/>
  <c r="V868" i="1"/>
  <c r="W868" i="1" s="1"/>
  <c r="U887" i="1"/>
  <c r="V887" i="1"/>
  <c r="W887" i="1" s="1"/>
  <c r="U884" i="1"/>
  <c r="V884" i="1"/>
  <c r="W884" i="1" s="1"/>
  <c r="U886" i="1"/>
  <c r="Y886" i="1" s="1"/>
  <c r="V886" i="1"/>
  <c r="W886" i="1" s="1"/>
  <c r="U892" i="1"/>
  <c r="V892" i="1"/>
  <c r="W892" i="1" s="1"/>
  <c r="U891" i="1"/>
  <c r="V891" i="1"/>
  <c r="W891" i="1" s="1"/>
  <c r="U890" i="1"/>
  <c r="V890" i="1"/>
  <c r="W890" i="1" s="1"/>
  <c r="U893" i="1"/>
  <c r="Y893" i="1" s="1"/>
  <c r="V893" i="1"/>
  <c r="W893" i="1" s="1"/>
  <c r="U894" i="1"/>
  <c r="Y894" i="1" s="1"/>
  <c r="V894" i="1"/>
  <c r="W894" i="1" s="1"/>
  <c r="U896" i="1"/>
  <c r="Y896" i="1" s="1"/>
  <c r="V896" i="1"/>
  <c r="W896" i="1" s="1"/>
  <c r="U895" i="1"/>
  <c r="V895" i="1"/>
  <c r="W895" i="1" s="1"/>
  <c r="U849" i="1"/>
  <c r="Y849" i="1" s="1"/>
  <c r="V849" i="1"/>
  <c r="W849" i="1" s="1"/>
  <c r="U898" i="1"/>
  <c r="V898" i="1"/>
  <c r="W898" i="1" s="1"/>
  <c r="U900" i="1"/>
  <c r="V900" i="1"/>
  <c r="W900" i="1" s="1"/>
  <c r="U899" i="1"/>
  <c r="V899" i="1"/>
  <c r="W899" i="1" s="1"/>
  <c r="U909" i="1"/>
  <c r="Y909" i="1" s="1"/>
  <c r="V909" i="1"/>
  <c r="W909" i="1" s="1"/>
  <c r="U908" i="1"/>
  <c r="Y908" i="1" s="1"/>
  <c r="V908" i="1"/>
  <c r="W908" i="1" s="1"/>
  <c r="U905" i="1"/>
  <c r="V905" i="1"/>
  <c r="W905" i="1" s="1"/>
  <c r="U903" i="1"/>
  <c r="V903" i="1"/>
  <c r="W903" i="1" s="1"/>
  <c r="U907" i="1"/>
  <c r="Y907" i="1" s="1"/>
  <c r="V907" i="1"/>
  <c r="W907" i="1" s="1"/>
  <c r="U904" i="1"/>
  <c r="V904" i="1"/>
  <c r="W904" i="1" s="1"/>
  <c r="U902" i="1"/>
  <c r="V902" i="1"/>
  <c r="W902" i="1" s="1"/>
  <c r="U901" i="1"/>
  <c r="Y901" i="1" s="1"/>
  <c r="V901" i="1"/>
  <c r="W901" i="1" s="1"/>
  <c r="U906" i="1"/>
  <c r="Y906" i="1" s="1"/>
  <c r="V906" i="1"/>
  <c r="W906" i="1" s="1"/>
  <c r="U913" i="1"/>
  <c r="Y913" i="1" s="1"/>
  <c r="V913" i="1"/>
  <c r="W913" i="1" s="1"/>
  <c r="U912" i="1"/>
  <c r="V912" i="1"/>
  <c r="W912" i="1" s="1"/>
  <c r="U911" i="1"/>
  <c r="V911" i="1"/>
  <c r="W911" i="1" s="1"/>
  <c r="U914" i="1"/>
  <c r="Y914" i="1" s="1"/>
  <c r="V914" i="1"/>
  <c r="W914" i="1" s="1"/>
  <c r="U910" i="1"/>
  <c r="V910" i="1"/>
  <c r="W910" i="1" s="1"/>
  <c r="U917" i="1"/>
  <c r="V917" i="1"/>
  <c r="W917" i="1" s="1"/>
  <c r="U916" i="1"/>
  <c r="V916" i="1"/>
  <c r="W916" i="1" s="1"/>
  <c r="U844" i="1"/>
  <c r="Y844" i="1" s="1"/>
  <c r="V844" i="1"/>
  <c r="W844" i="1" s="1"/>
  <c r="U918" i="1"/>
  <c r="Y918" i="1" s="1"/>
  <c r="V918" i="1"/>
  <c r="W918" i="1" s="1"/>
  <c r="U920" i="1"/>
  <c r="V920" i="1"/>
  <c r="W920" i="1" s="1"/>
  <c r="U921" i="1"/>
  <c r="V921" i="1"/>
  <c r="W921" i="1" s="1"/>
  <c r="U919" i="1"/>
  <c r="Y919" i="1" s="1"/>
  <c r="V919" i="1"/>
  <c r="W919" i="1" s="1"/>
  <c r="U924" i="1"/>
  <c r="V924" i="1"/>
  <c r="W924" i="1" s="1"/>
  <c r="U925" i="1"/>
  <c r="V925" i="1"/>
  <c r="W925" i="1" s="1"/>
  <c r="U923" i="1"/>
  <c r="V923" i="1"/>
  <c r="W923" i="1" s="1"/>
  <c r="U926" i="1"/>
  <c r="Y926" i="1" s="1"/>
  <c r="V926" i="1"/>
  <c r="W926" i="1" s="1"/>
  <c r="U922" i="1"/>
  <c r="Y922" i="1" s="1"/>
  <c r="V922" i="1"/>
  <c r="W922" i="1" s="1"/>
  <c r="U929" i="1"/>
  <c r="V929" i="1"/>
  <c r="W929" i="1" s="1"/>
  <c r="U928" i="1"/>
  <c r="V928" i="1"/>
  <c r="W928" i="1" s="1"/>
  <c r="U927" i="1"/>
  <c r="Y927" i="1" s="1"/>
  <c r="V927" i="1"/>
  <c r="W927" i="1" s="1"/>
  <c r="U930" i="1"/>
  <c r="V930" i="1"/>
  <c r="W930" i="1" s="1"/>
  <c r="U931" i="1"/>
  <c r="V931" i="1"/>
  <c r="W931" i="1" s="1"/>
  <c r="U933" i="1"/>
  <c r="Y933" i="1" s="1"/>
  <c r="V933" i="1"/>
  <c r="W933" i="1" s="1"/>
  <c r="U932" i="1"/>
  <c r="Y932" i="1" s="1"/>
  <c r="V932" i="1"/>
  <c r="W932" i="1" s="1"/>
  <c r="U935" i="1"/>
  <c r="Y935" i="1" s="1"/>
  <c r="V935" i="1"/>
  <c r="W935" i="1" s="1"/>
  <c r="U940" i="1"/>
  <c r="Y940" i="1" s="1"/>
  <c r="V940" i="1"/>
  <c r="W940" i="1" s="1"/>
  <c r="U943" i="1"/>
  <c r="V943" i="1"/>
  <c r="W943" i="1" s="1"/>
  <c r="U941" i="1"/>
  <c r="Y941" i="1" s="1"/>
  <c r="V941" i="1"/>
  <c r="W941" i="1" s="1"/>
  <c r="U897" i="1"/>
  <c r="V897" i="1"/>
  <c r="W897" i="1" s="1"/>
  <c r="U942" i="1"/>
  <c r="V942" i="1"/>
  <c r="W942" i="1" s="1"/>
  <c r="U936" i="1"/>
  <c r="Y936" i="1" s="1"/>
  <c r="V936" i="1"/>
  <c r="W936" i="1" s="1"/>
  <c r="U937" i="1"/>
  <c r="Y937" i="1" s="1"/>
  <c r="V937" i="1"/>
  <c r="W937" i="1" s="1"/>
  <c r="U945" i="1"/>
  <c r="Y945" i="1" s="1"/>
  <c r="V945" i="1"/>
  <c r="W945" i="1" s="1"/>
  <c r="U939" i="1"/>
  <c r="V939" i="1"/>
  <c r="W939" i="1" s="1"/>
  <c r="U915" i="1"/>
  <c r="V915" i="1"/>
  <c r="W915" i="1" s="1"/>
  <c r="U888" i="1"/>
  <c r="Y888" i="1" s="1"/>
  <c r="V888" i="1"/>
  <c r="W888" i="1" s="1"/>
  <c r="U938" i="1"/>
  <c r="V938" i="1"/>
  <c r="W938" i="1" s="1"/>
  <c r="U934" i="1"/>
  <c r="V934" i="1"/>
  <c r="W934" i="1" s="1"/>
  <c r="U946" i="1"/>
  <c r="Y946" i="1" s="1"/>
  <c r="V946" i="1"/>
  <c r="W946" i="1" s="1"/>
  <c r="U950" i="1"/>
  <c r="Y950" i="1" s="1"/>
  <c r="V950" i="1"/>
  <c r="W950" i="1" s="1"/>
  <c r="U944" i="1"/>
  <c r="Y944" i="1" s="1"/>
  <c r="V944" i="1"/>
  <c r="W944" i="1" s="1"/>
  <c r="U952" i="1"/>
  <c r="V952" i="1"/>
  <c r="W952" i="1" s="1"/>
  <c r="U954" i="1"/>
  <c r="V954" i="1"/>
  <c r="W954" i="1" s="1"/>
  <c r="U951" i="1"/>
  <c r="Y951" i="1" s="1"/>
  <c r="V951" i="1"/>
  <c r="W951" i="1" s="1"/>
  <c r="U953" i="1"/>
  <c r="V953" i="1"/>
  <c r="W953" i="1" s="1"/>
  <c r="U956" i="1"/>
  <c r="Y956" i="1" s="1"/>
  <c r="V956" i="1"/>
  <c r="W956" i="1" s="1"/>
  <c r="U873" i="1"/>
  <c r="Y873" i="1" s="1"/>
  <c r="V873" i="1"/>
  <c r="W873" i="1" s="1"/>
  <c r="U957" i="1"/>
  <c r="Y957" i="1" s="1"/>
  <c r="V957" i="1"/>
  <c r="W957" i="1" s="1"/>
  <c r="U958" i="1"/>
  <c r="Y958" i="1" s="1"/>
  <c r="V958" i="1"/>
  <c r="W958" i="1" s="1"/>
  <c r="U960" i="1"/>
  <c r="V960" i="1"/>
  <c r="W960" i="1" s="1"/>
  <c r="U959" i="1"/>
  <c r="V959" i="1"/>
  <c r="W959" i="1" s="1"/>
  <c r="U961" i="1"/>
  <c r="Y961" i="1" s="1"/>
  <c r="V961" i="1"/>
  <c r="W961" i="1" s="1"/>
  <c r="U962" i="1"/>
  <c r="Y962" i="1" s="1"/>
  <c r="V962" i="1"/>
  <c r="W962" i="1" s="1"/>
  <c r="U963" i="1"/>
  <c r="Y963" i="1" s="1"/>
  <c r="V963" i="1"/>
  <c r="W963" i="1" s="1"/>
  <c r="U964" i="1"/>
  <c r="Y964" i="1" s="1"/>
  <c r="V964" i="1"/>
  <c r="W964" i="1" s="1"/>
  <c r="U965" i="1"/>
  <c r="Y965" i="1" s="1"/>
  <c r="V965" i="1"/>
  <c r="W965" i="1" s="1"/>
  <c r="U967" i="1"/>
  <c r="V967" i="1"/>
  <c r="W967" i="1" s="1"/>
  <c r="U968" i="1"/>
  <c r="V968" i="1"/>
  <c r="W968" i="1" s="1"/>
  <c r="U966" i="1"/>
  <c r="Y966" i="1" s="1"/>
  <c r="V966" i="1"/>
  <c r="W966" i="1" s="1"/>
  <c r="U969" i="1"/>
  <c r="Y969" i="1" s="1"/>
  <c r="V969" i="1"/>
  <c r="W969" i="1" s="1"/>
  <c r="U972" i="1"/>
  <c r="V972" i="1"/>
  <c r="W972" i="1" s="1"/>
  <c r="U971" i="1"/>
  <c r="V971" i="1"/>
  <c r="W971" i="1" s="1"/>
  <c r="U970" i="1"/>
  <c r="Y970" i="1" s="1"/>
  <c r="V970" i="1"/>
  <c r="W970" i="1" s="1"/>
  <c r="U973" i="1"/>
  <c r="Y973" i="1" s="1"/>
  <c r="V973" i="1"/>
  <c r="W973" i="1" s="1"/>
  <c r="U976" i="1"/>
  <c r="Y976" i="1" s="1"/>
  <c r="V976" i="1"/>
  <c r="W976" i="1" s="1"/>
  <c r="U977" i="1"/>
  <c r="Y977" i="1" s="1"/>
  <c r="V977" i="1"/>
  <c r="W977" i="1" s="1"/>
  <c r="U978" i="1"/>
  <c r="Y978" i="1" s="1"/>
  <c r="V978" i="1"/>
  <c r="W978" i="1" s="1"/>
  <c r="U975" i="1"/>
  <c r="Y975" i="1" s="1"/>
  <c r="V975" i="1"/>
  <c r="W975" i="1" s="1"/>
  <c r="U974" i="1"/>
  <c r="Y974" i="1" s="1"/>
  <c r="V974" i="1"/>
  <c r="W974" i="1" s="1"/>
  <c r="U980" i="1"/>
  <c r="Y980" i="1" s="1"/>
  <c r="V980" i="1"/>
  <c r="W980" i="1" s="1"/>
  <c r="U982" i="1"/>
  <c r="Y982" i="1" s="1"/>
  <c r="V982" i="1"/>
  <c r="W982" i="1" s="1"/>
  <c r="U981" i="1"/>
  <c r="Y981" i="1" s="1"/>
  <c r="V981" i="1"/>
  <c r="W981" i="1" s="1"/>
  <c r="U979" i="1"/>
  <c r="Y979" i="1" s="1"/>
  <c r="V979" i="1"/>
  <c r="W979" i="1" s="1"/>
  <c r="U983" i="1"/>
  <c r="V983" i="1"/>
  <c r="W983" i="1" s="1"/>
  <c r="U986" i="1"/>
  <c r="Y986" i="1" s="1"/>
  <c r="V986" i="1"/>
  <c r="W986" i="1" s="1"/>
  <c r="U985" i="1"/>
  <c r="Y985" i="1" s="1"/>
  <c r="V985" i="1"/>
  <c r="W985" i="1" s="1"/>
  <c r="U984" i="1"/>
  <c r="V984" i="1"/>
  <c r="W984" i="1" s="1"/>
  <c r="U992" i="1"/>
  <c r="V992" i="1"/>
  <c r="W992" i="1" s="1"/>
  <c r="U987" i="1"/>
  <c r="Y987" i="1" s="1"/>
  <c r="V987" i="1"/>
  <c r="W987" i="1" s="1"/>
  <c r="U991" i="1"/>
  <c r="Y991" i="1" s="1"/>
  <c r="V991" i="1"/>
  <c r="W991" i="1" s="1"/>
  <c r="U989" i="1"/>
  <c r="Y989" i="1" s="1"/>
  <c r="V989" i="1"/>
  <c r="W989" i="1" s="1"/>
  <c r="U990" i="1"/>
  <c r="V990" i="1"/>
  <c r="W990" i="1" s="1"/>
  <c r="U988" i="1"/>
  <c r="Y988" i="1" s="1"/>
  <c r="V988" i="1"/>
  <c r="W988" i="1" s="1"/>
  <c r="U993" i="1"/>
  <c r="Y993" i="1" s="1"/>
  <c r="V993" i="1"/>
  <c r="W993" i="1" s="1"/>
  <c r="U994" i="1"/>
  <c r="V994" i="1"/>
  <c r="W994" i="1" s="1"/>
  <c r="U996" i="1"/>
  <c r="V996" i="1"/>
  <c r="W996" i="1" s="1"/>
  <c r="U995" i="1"/>
  <c r="Y995" i="1" s="1"/>
  <c r="V995" i="1"/>
  <c r="W995" i="1" s="1"/>
  <c r="U998" i="1"/>
  <c r="Y998" i="1" s="1"/>
  <c r="V998" i="1"/>
  <c r="W998" i="1" s="1"/>
  <c r="U997" i="1"/>
  <c r="V997" i="1"/>
  <c r="W997" i="1" s="1"/>
  <c r="U999" i="1"/>
  <c r="Y999" i="1" s="1"/>
  <c r="V999" i="1"/>
  <c r="W999" i="1" s="1"/>
  <c r="U1000" i="1"/>
  <c r="Y1000" i="1" s="1"/>
  <c r="V1000" i="1"/>
  <c r="W1000" i="1" s="1"/>
  <c r="U1001" i="1"/>
  <c r="Y1001" i="1" s="1"/>
  <c r="V1001" i="1"/>
  <c r="W1001" i="1" s="1"/>
  <c r="U1006" i="1"/>
  <c r="Y1006" i="1" s="1"/>
  <c r="V1006" i="1"/>
  <c r="W1006" i="1" s="1"/>
  <c r="U1005" i="1"/>
  <c r="V1005" i="1"/>
  <c r="W1005" i="1" s="1"/>
  <c r="U947" i="1"/>
  <c r="V947" i="1"/>
  <c r="W947" i="1" s="1"/>
  <c r="U1004" i="1"/>
  <c r="V1004" i="1"/>
  <c r="W1004" i="1" s="1"/>
  <c r="U1003" i="1"/>
  <c r="Y1003" i="1" s="1"/>
  <c r="V1003" i="1"/>
  <c r="W1003" i="1" s="1"/>
  <c r="U1002" i="1"/>
  <c r="Y1002" i="1" s="1"/>
  <c r="V1002" i="1"/>
  <c r="W1002" i="1" s="1"/>
  <c r="U1010" i="1"/>
  <c r="Y1010" i="1" s="1"/>
  <c r="V1010" i="1"/>
  <c r="W1010" i="1" s="1"/>
  <c r="U1008" i="1"/>
  <c r="V1008" i="1"/>
  <c r="W1008" i="1" s="1"/>
  <c r="U1009" i="1"/>
  <c r="Y1009" i="1" s="1"/>
  <c r="V1009" i="1"/>
  <c r="W1009" i="1" s="1"/>
  <c r="U1014" i="1"/>
  <c r="V1014" i="1"/>
  <c r="W1014" i="1" s="1"/>
  <c r="U1013" i="1"/>
  <c r="V1013" i="1"/>
  <c r="W1013" i="1" s="1"/>
  <c r="U1011" i="1"/>
  <c r="V1011" i="1"/>
  <c r="W1011" i="1" s="1"/>
  <c r="U1015" i="1"/>
  <c r="Y1015" i="1" s="1"/>
  <c r="V1015" i="1"/>
  <c r="W1015" i="1" s="1"/>
  <c r="U1016" i="1"/>
  <c r="Y1016" i="1" s="1"/>
  <c r="V1016" i="1"/>
  <c r="W1016" i="1" s="1"/>
  <c r="U1012" i="1"/>
  <c r="Y1012" i="1" s="1"/>
  <c r="V1012" i="1"/>
  <c r="W1012" i="1" s="1"/>
  <c r="U1017" i="1"/>
  <c r="V1017" i="1"/>
  <c r="W1017" i="1" s="1"/>
  <c r="U1018" i="1"/>
  <c r="Y1018" i="1" s="1"/>
  <c r="V1018" i="1"/>
  <c r="W1018" i="1" s="1"/>
  <c r="U1019" i="1"/>
  <c r="V1019" i="1"/>
  <c r="W1019" i="1" s="1"/>
  <c r="U1023" i="1"/>
  <c r="V1023" i="1"/>
  <c r="W1023" i="1" s="1"/>
  <c r="U1020" i="1"/>
  <c r="V1020" i="1"/>
  <c r="W1020" i="1" s="1"/>
  <c r="U1022" i="1"/>
  <c r="Y1022" i="1" s="1"/>
  <c r="V1022" i="1"/>
  <c r="W1022" i="1" s="1"/>
  <c r="U1021" i="1"/>
  <c r="Y1021" i="1" s="1"/>
  <c r="V1021" i="1"/>
  <c r="W1021" i="1" s="1"/>
  <c r="U1026" i="1"/>
  <c r="Y1026" i="1" s="1"/>
  <c r="V1026" i="1"/>
  <c r="W1026" i="1" s="1"/>
  <c r="U1024" i="1"/>
  <c r="Y1024" i="1" s="1"/>
  <c r="V1024" i="1"/>
  <c r="W1024" i="1" s="1"/>
  <c r="U1030" i="1"/>
  <c r="Y1030" i="1" s="1"/>
  <c r="V1030" i="1"/>
  <c r="W1030" i="1" s="1"/>
  <c r="U1029" i="1"/>
  <c r="V1029" i="1"/>
  <c r="W1029" i="1" s="1"/>
  <c r="U1025" i="1"/>
  <c r="V1025" i="1"/>
  <c r="W1025" i="1" s="1"/>
  <c r="U1032" i="1"/>
  <c r="V1032" i="1"/>
  <c r="W1032" i="1" s="1"/>
  <c r="U1033" i="1"/>
  <c r="Y1033" i="1" s="1"/>
  <c r="V1033" i="1"/>
  <c r="W1033" i="1" s="1"/>
  <c r="U1027" i="1"/>
  <c r="Y1027" i="1" s="1"/>
  <c r="V1027" i="1"/>
  <c r="W1027" i="1" s="1"/>
  <c r="U1028" i="1"/>
  <c r="Y1028" i="1" s="1"/>
  <c r="V1028" i="1"/>
  <c r="W1028" i="1" s="1"/>
  <c r="U1031" i="1"/>
  <c r="V1031" i="1"/>
  <c r="W1031" i="1" s="1"/>
  <c r="U1100" i="1"/>
  <c r="Y1100" i="1" s="1"/>
  <c r="V1100" i="1"/>
  <c r="W1100" i="1" s="1"/>
  <c r="U1044" i="1"/>
  <c r="V1044" i="1"/>
  <c r="W1044" i="1" s="1"/>
  <c r="U1036" i="1"/>
  <c r="Y1036" i="1" s="1"/>
  <c r="V1036" i="1"/>
  <c r="W1036" i="1" s="1"/>
  <c r="U1046" i="1"/>
  <c r="Y1046" i="1" s="1"/>
  <c r="V1046" i="1"/>
  <c r="W1046" i="1" s="1"/>
  <c r="U1051" i="1"/>
  <c r="Y1051" i="1" s="1"/>
  <c r="V1051" i="1"/>
  <c r="W1051" i="1" s="1"/>
  <c r="U1047" i="1"/>
  <c r="V1047" i="1"/>
  <c r="W1047" i="1" s="1"/>
  <c r="U1007" i="1"/>
  <c r="Y1007" i="1" s="1"/>
  <c r="V1007" i="1"/>
  <c r="W1007" i="1" s="1"/>
  <c r="U1048" i="1"/>
  <c r="V1048" i="1"/>
  <c r="W1048" i="1" s="1"/>
  <c r="U1034" i="1"/>
  <c r="Y1034" i="1" s="1"/>
  <c r="V1034" i="1"/>
  <c r="W1034" i="1" s="1"/>
  <c r="U1035" i="1"/>
  <c r="V1035" i="1"/>
  <c r="W1035" i="1" s="1"/>
  <c r="U1071" i="1"/>
  <c r="Y1071" i="1" s="1"/>
  <c r="V1071" i="1"/>
  <c r="W1071" i="1" s="1"/>
  <c r="U1037" i="1"/>
  <c r="V1037" i="1"/>
  <c r="W1037" i="1" s="1"/>
  <c r="U955" i="1"/>
  <c r="Y955" i="1" s="1"/>
  <c r="V955" i="1"/>
  <c r="W955" i="1" s="1"/>
  <c r="U948" i="1"/>
  <c r="V948" i="1"/>
  <c r="W948" i="1" s="1"/>
  <c r="U1045" i="1"/>
  <c r="Y1045" i="1" s="1"/>
  <c r="V1045" i="1"/>
  <c r="W1045" i="1" s="1"/>
  <c r="U1077" i="1"/>
  <c r="V1077" i="1"/>
  <c r="W1077" i="1" s="1"/>
  <c r="U1038" i="1"/>
  <c r="Y1038" i="1" s="1"/>
  <c r="V1038" i="1"/>
  <c r="W1038" i="1" s="1"/>
  <c r="U1054" i="1"/>
  <c r="V1054" i="1"/>
  <c r="W1054" i="1" s="1"/>
  <c r="U1053" i="1"/>
  <c r="Y1053" i="1" s="1"/>
  <c r="V1053" i="1"/>
  <c r="W1053" i="1" s="1"/>
  <c r="U1049" i="1"/>
  <c r="V1049" i="1"/>
  <c r="W1049" i="1" s="1"/>
  <c r="U1052" i="1"/>
  <c r="Y1052" i="1" s="1"/>
  <c r="V1052" i="1"/>
  <c r="W1052" i="1" s="1"/>
  <c r="U1055" i="1"/>
  <c r="V1055" i="1"/>
  <c r="W1055" i="1" s="1"/>
  <c r="U1056" i="1"/>
  <c r="Y1056" i="1" s="1"/>
  <c r="V1056" i="1"/>
  <c r="W1056" i="1" s="1"/>
  <c r="U1057" i="1"/>
  <c r="V1057" i="1"/>
  <c r="W1057" i="1" s="1"/>
  <c r="U1059" i="1"/>
  <c r="Y1059" i="1" s="1"/>
  <c r="V1059" i="1"/>
  <c r="W1059" i="1" s="1"/>
  <c r="U1060" i="1"/>
  <c r="V1060" i="1"/>
  <c r="W1060" i="1" s="1"/>
  <c r="U1058" i="1"/>
  <c r="Y1058" i="1" s="1"/>
  <c r="V1058" i="1"/>
  <c r="W1058" i="1" s="1"/>
  <c r="U1066" i="1"/>
  <c r="Y1066" i="1" s="1"/>
  <c r="V1066" i="1"/>
  <c r="W1066" i="1" s="1"/>
  <c r="U1068" i="1"/>
  <c r="Y1068" i="1" s="1"/>
  <c r="V1068" i="1"/>
  <c r="W1068" i="1" s="1"/>
  <c r="U1067" i="1"/>
  <c r="Y1067" i="1" s="1"/>
  <c r="V1067" i="1"/>
  <c r="W1067" i="1" s="1"/>
  <c r="U1064" i="1"/>
  <c r="V1064" i="1"/>
  <c r="W1064" i="1" s="1"/>
  <c r="U1070" i="1"/>
  <c r="V1070" i="1"/>
  <c r="W1070" i="1" s="1"/>
  <c r="U1061" i="1"/>
  <c r="Y1061" i="1" s="1"/>
  <c r="V1061" i="1"/>
  <c r="W1061" i="1" s="1"/>
  <c r="U1063" i="1"/>
  <c r="V1063" i="1"/>
  <c r="W1063" i="1" s="1"/>
  <c r="U1062" i="1"/>
  <c r="Y1062" i="1" s="1"/>
  <c r="V1062" i="1"/>
  <c r="W1062" i="1" s="1"/>
  <c r="U1065" i="1"/>
  <c r="V1065" i="1"/>
  <c r="W1065" i="1" s="1"/>
  <c r="U1069" i="1"/>
  <c r="Y1069" i="1" s="1"/>
  <c r="V1069" i="1"/>
  <c r="W1069" i="1" s="1"/>
  <c r="U1041" i="1"/>
  <c r="Y1041" i="1" s="1"/>
  <c r="V1041" i="1"/>
  <c r="W1041" i="1" s="1"/>
  <c r="U1074" i="1"/>
  <c r="V1074" i="1"/>
  <c r="W1074" i="1" s="1"/>
  <c r="U1072" i="1"/>
  <c r="V1072" i="1"/>
  <c r="W1072" i="1" s="1"/>
  <c r="U1073" i="1"/>
  <c r="Y1073" i="1" s="1"/>
  <c r="V1073" i="1"/>
  <c r="W1073" i="1" s="1"/>
  <c r="U1075" i="1"/>
  <c r="V1075" i="1"/>
  <c r="W1075" i="1" s="1"/>
  <c r="U1076" i="1"/>
  <c r="Y1076" i="1" s="1"/>
  <c r="V1076" i="1"/>
  <c r="W1076" i="1" s="1"/>
  <c r="U1083" i="1"/>
  <c r="Y1083" i="1" s="1"/>
  <c r="V1083" i="1"/>
  <c r="W1083" i="1" s="1"/>
  <c r="U1084" i="1"/>
  <c r="Y1084" i="1" s="1"/>
  <c r="V1084" i="1"/>
  <c r="W1084" i="1" s="1"/>
  <c r="U1078" i="1"/>
  <c r="V1078" i="1"/>
  <c r="W1078" i="1" s="1"/>
  <c r="U1082" i="1"/>
  <c r="Y1082" i="1" s="1"/>
  <c r="V1082" i="1"/>
  <c r="W1082" i="1" s="1"/>
  <c r="U1080" i="1"/>
  <c r="V1080" i="1"/>
  <c r="W1080" i="1" s="1"/>
  <c r="U1081" i="1"/>
  <c r="Y1081" i="1" s="1"/>
  <c r="V1081" i="1"/>
  <c r="W1081" i="1" s="1"/>
  <c r="U949" i="1"/>
  <c r="V949" i="1"/>
  <c r="W949" i="1" s="1"/>
  <c r="U1085" i="1"/>
  <c r="Y1085" i="1" s="1"/>
  <c r="V1085" i="1"/>
  <c r="W1085" i="1" s="1"/>
  <c r="U1079" i="1"/>
  <c r="V1079" i="1"/>
  <c r="W1079" i="1" s="1"/>
  <c r="U1086" i="1"/>
  <c r="Y1086" i="1" s="1"/>
  <c r="V1086" i="1"/>
  <c r="W1086" i="1" s="1"/>
  <c r="U1089" i="1"/>
  <c r="Y1089" i="1" s="1"/>
  <c r="V1089" i="1"/>
  <c r="W1089" i="1" s="1"/>
  <c r="U1087" i="1"/>
  <c r="Y1087" i="1" s="1"/>
  <c r="V1087" i="1"/>
  <c r="W1087" i="1" s="1"/>
  <c r="U1090" i="1"/>
  <c r="V1090" i="1"/>
  <c r="W1090" i="1" s="1"/>
  <c r="U1088" i="1"/>
  <c r="Y1088" i="1" s="1"/>
  <c r="V1088" i="1"/>
  <c r="W1088" i="1" s="1"/>
  <c r="U1092" i="1"/>
  <c r="V1092" i="1"/>
  <c r="W1092" i="1" s="1"/>
  <c r="U1095" i="1"/>
  <c r="Y1095" i="1" s="1"/>
  <c r="V1095" i="1"/>
  <c r="W1095" i="1" s="1"/>
  <c r="U1093" i="1"/>
  <c r="V1093" i="1"/>
  <c r="W1093" i="1" s="1"/>
  <c r="U1091" i="1"/>
  <c r="Y1091" i="1" s="1"/>
  <c r="V1091" i="1"/>
  <c r="W1091" i="1" s="1"/>
  <c r="U1094" i="1"/>
  <c r="Y1094" i="1" s="1"/>
  <c r="V1094" i="1"/>
  <c r="W1094" i="1" s="1"/>
  <c r="U1097" i="1"/>
  <c r="V1097" i="1"/>
  <c r="W1097" i="1" s="1"/>
  <c r="U1096" i="1"/>
  <c r="V1096" i="1"/>
  <c r="W1096" i="1" s="1"/>
  <c r="U1098" i="1"/>
  <c r="V1098" i="1"/>
  <c r="W1098" i="1" s="1"/>
  <c r="U1039" i="1"/>
  <c r="V1039" i="1"/>
  <c r="W1039" i="1" s="1"/>
  <c r="U1108" i="1"/>
  <c r="Y1108" i="1" s="1"/>
  <c r="V1108" i="1"/>
  <c r="W1108" i="1" s="1"/>
  <c r="U1102" i="1"/>
  <c r="V1102" i="1"/>
  <c r="W1102" i="1" s="1"/>
  <c r="U1101" i="1"/>
  <c r="Y1101" i="1" s="1"/>
  <c r="V1101" i="1"/>
  <c r="W1101" i="1" s="1"/>
  <c r="U1104" i="1"/>
  <c r="Y1104" i="1" s="1"/>
  <c r="V1104" i="1"/>
  <c r="W1104" i="1" s="1"/>
  <c r="U1103" i="1"/>
  <c r="Y1103" i="1" s="1"/>
  <c r="V1103" i="1"/>
  <c r="W1103" i="1" s="1"/>
  <c r="U1105" i="1"/>
  <c r="V1105" i="1"/>
  <c r="W1105" i="1" s="1"/>
  <c r="U1106" i="1"/>
  <c r="V1106" i="1"/>
  <c r="W1106" i="1" s="1"/>
  <c r="U1107" i="1"/>
  <c r="V1107" i="1"/>
  <c r="W1107" i="1" s="1"/>
  <c r="U1109" i="1"/>
  <c r="Y1109" i="1" s="1"/>
  <c r="V1109" i="1"/>
  <c r="W1109" i="1" s="1"/>
  <c r="U1172" i="1"/>
  <c r="Y1172" i="1" s="1"/>
  <c r="V1172" i="1"/>
  <c r="W1172" i="1" s="1"/>
  <c r="U1111" i="1"/>
  <c r="Y1111" i="1" s="1"/>
  <c r="V1111" i="1"/>
  <c r="W1111" i="1" s="1"/>
  <c r="U1110" i="1"/>
  <c r="Y1110" i="1" s="1"/>
  <c r="V1110" i="1"/>
  <c r="W1110" i="1" s="1"/>
  <c r="U1112" i="1"/>
  <c r="V1112" i="1"/>
  <c r="W1112" i="1" s="1"/>
  <c r="U1114" i="1"/>
  <c r="V1114" i="1"/>
  <c r="W1114" i="1" s="1"/>
  <c r="U1113" i="1"/>
  <c r="Y1113" i="1" s="1"/>
  <c r="V1113" i="1"/>
  <c r="W1113" i="1" s="1"/>
  <c r="U1115" i="1"/>
  <c r="Y1115" i="1" s="1"/>
  <c r="V1115" i="1"/>
  <c r="W1115" i="1" s="1"/>
  <c r="U1116" i="1"/>
  <c r="Y1116" i="1" s="1"/>
  <c r="V1116" i="1"/>
  <c r="W1116" i="1" s="1"/>
  <c r="U1119" i="1"/>
  <c r="Y1119" i="1" s="1"/>
  <c r="V1119" i="1"/>
  <c r="W1119" i="1" s="1"/>
  <c r="U1117" i="1"/>
  <c r="Y1117" i="1" s="1"/>
  <c r="V1117" i="1"/>
  <c r="W1117" i="1" s="1"/>
  <c r="U1120" i="1"/>
  <c r="Y1120" i="1" s="1"/>
  <c r="V1120" i="1"/>
  <c r="W1120" i="1" s="1"/>
  <c r="U1118" i="1"/>
  <c r="V1118" i="1"/>
  <c r="W1118" i="1" s="1"/>
  <c r="U1125" i="1"/>
  <c r="V1125" i="1"/>
  <c r="W1125" i="1" s="1"/>
  <c r="U1124" i="1"/>
  <c r="V1124" i="1"/>
  <c r="W1124" i="1" s="1"/>
  <c r="U1122" i="1"/>
  <c r="V1122" i="1"/>
  <c r="W1122" i="1" s="1"/>
  <c r="U1126" i="1"/>
  <c r="V1126" i="1"/>
  <c r="W1126" i="1" s="1"/>
  <c r="U1121" i="1"/>
  <c r="V1121" i="1"/>
  <c r="W1121" i="1" s="1"/>
  <c r="U1123" i="1"/>
  <c r="Y1123" i="1" s="1"/>
  <c r="V1123" i="1"/>
  <c r="W1123" i="1" s="1"/>
  <c r="U1127" i="1"/>
  <c r="Y1127" i="1" s="1"/>
  <c r="V1127" i="1"/>
  <c r="W1127" i="1" s="1"/>
  <c r="U1128" i="1"/>
  <c r="Y1128" i="1" s="1"/>
  <c r="V1128" i="1"/>
  <c r="W1128" i="1" s="1"/>
  <c r="U1131" i="1"/>
  <c r="Y1131" i="1" s="1"/>
  <c r="V1131" i="1"/>
  <c r="W1131" i="1" s="1"/>
  <c r="U1132" i="1"/>
  <c r="Y1132" i="1" s="1"/>
  <c r="V1132" i="1"/>
  <c r="W1132" i="1" s="1"/>
  <c r="U1133" i="1"/>
  <c r="V1133" i="1"/>
  <c r="W1133" i="1" s="1"/>
  <c r="U1129" i="1"/>
  <c r="V1129" i="1"/>
  <c r="W1129" i="1" s="1"/>
  <c r="U1099" i="1"/>
  <c r="V1099" i="1"/>
  <c r="W1099" i="1" s="1"/>
  <c r="U1134" i="1"/>
  <c r="Y1134" i="1" s="1"/>
  <c r="V1134" i="1"/>
  <c r="W1134" i="1" s="1"/>
  <c r="U1137" i="1"/>
  <c r="Y1137" i="1" s="1"/>
  <c r="V1137" i="1"/>
  <c r="W1137" i="1" s="1"/>
  <c r="U1136" i="1"/>
  <c r="Y1136" i="1" s="1"/>
  <c r="V1136" i="1"/>
  <c r="W1136" i="1" s="1"/>
  <c r="U1140" i="1"/>
  <c r="Y1140" i="1" s="1"/>
  <c r="V1140" i="1"/>
  <c r="W1140" i="1" s="1"/>
  <c r="U1138" i="1"/>
  <c r="Y1138" i="1" s="1"/>
  <c r="V1138" i="1"/>
  <c r="W1138" i="1" s="1"/>
  <c r="U1139" i="1"/>
  <c r="V1139" i="1"/>
  <c r="W1139" i="1" s="1"/>
  <c r="U1141" i="1"/>
  <c r="V1141" i="1"/>
  <c r="W1141" i="1" s="1"/>
  <c r="U1135" i="1"/>
  <c r="Y1135" i="1" s="1"/>
  <c r="V1135" i="1"/>
  <c r="W1135" i="1" s="1"/>
  <c r="U1153" i="1"/>
  <c r="V1153" i="1"/>
  <c r="W1153" i="1" s="1"/>
  <c r="U1148" i="1"/>
  <c r="Y1148" i="1" s="1"/>
  <c r="V1148" i="1"/>
  <c r="W1148" i="1" s="1"/>
  <c r="U1154" i="1"/>
  <c r="Y1154" i="1" s="1"/>
  <c r="V1154" i="1"/>
  <c r="W1154" i="1" s="1"/>
  <c r="U1152" i="1"/>
  <c r="V1152" i="1"/>
  <c r="W1152" i="1" s="1"/>
  <c r="U1157" i="1"/>
  <c r="Y1157" i="1" s="1"/>
  <c r="V1157" i="1"/>
  <c r="W1157" i="1" s="1"/>
  <c r="U1155" i="1"/>
  <c r="V1155" i="1"/>
  <c r="W1155" i="1" s="1"/>
  <c r="U1143" i="1"/>
  <c r="V1143" i="1"/>
  <c r="W1143" i="1" s="1"/>
  <c r="U1274" i="1"/>
  <c r="Y1274" i="1" s="1"/>
  <c r="V1274" i="1"/>
  <c r="W1274" i="1" s="1"/>
  <c r="U1279" i="1"/>
  <c r="Y1279" i="1" s="1"/>
  <c r="V1279" i="1"/>
  <c r="W1279" i="1" s="1"/>
  <c r="U1156" i="1"/>
  <c r="Y1156" i="1" s="1"/>
  <c r="V1156" i="1"/>
  <c r="W1156" i="1" s="1"/>
  <c r="U1144" i="1"/>
  <c r="V1144" i="1"/>
  <c r="W1144" i="1" s="1"/>
  <c r="U1146" i="1"/>
  <c r="V1146" i="1"/>
  <c r="W1146" i="1" s="1"/>
  <c r="U1158" i="1"/>
  <c r="Y1158" i="1" s="1"/>
  <c r="V1158" i="1"/>
  <c r="W1158" i="1" s="1"/>
  <c r="U1150" i="1"/>
  <c r="V1150" i="1"/>
  <c r="W1150" i="1" s="1"/>
  <c r="U1151" i="1"/>
  <c r="V1151" i="1"/>
  <c r="W1151" i="1" s="1"/>
  <c r="U1142" i="1"/>
  <c r="Y1142" i="1" s="1"/>
  <c r="V1142" i="1"/>
  <c r="W1142" i="1" s="1"/>
  <c r="U1147" i="1"/>
  <c r="Y1147" i="1" s="1"/>
  <c r="V1147" i="1"/>
  <c r="W1147" i="1" s="1"/>
  <c r="U1159" i="1"/>
  <c r="Y1159" i="1" s="1"/>
  <c r="V1159" i="1"/>
  <c r="W1159" i="1" s="1"/>
  <c r="U1145" i="1"/>
  <c r="V1145" i="1"/>
  <c r="W1145" i="1" s="1"/>
  <c r="U1163" i="1"/>
  <c r="V1163" i="1"/>
  <c r="W1163" i="1" s="1"/>
  <c r="U1161" i="1"/>
  <c r="Y1161" i="1" s="1"/>
  <c r="V1161" i="1"/>
  <c r="W1161" i="1" s="1"/>
  <c r="U1162" i="1"/>
  <c r="V1162" i="1"/>
  <c r="W1162" i="1" s="1"/>
  <c r="U1164" i="1"/>
  <c r="Y1164" i="1" s="1"/>
  <c r="V1164" i="1"/>
  <c r="W1164" i="1" s="1"/>
  <c r="U1165" i="1"/>
  <c r="Y1165" i="1" s="1"/>
  <c r="V1165" i="1"/>
  <c r="W1165" i="1" s="1"/>
  <c r="U1166" i="1"/>
  <c r="V1166" i="1"/>
  <c r="W1166" i="1" s="1"/>
  <c r="U1169" i="1"/>
  <c r="Y1169" i="1" s="1"/>
  <c r="V1169" i="1"/>
  <c r="W1169" i="1" s="1"/>
  <c r="U1170" i="1"/>
  <c r="Y1170" i="1" s="1"/>
  <c r="V1170" i="1"/>
  <c r="W1170" i="1" s="1"/>
  <c r="U1167" i="1"/>
  <c r="V1167" i="1"/>
  <c r="W1167" i="1" s="1"/>
  <c r="U1168" i="1"/>
  <c r="Y1168" i="1" s="1"/>
  <c r="V1168" i="1"/>
  <c r="W1168" i="1" s="1"/>
  <c r="U1171" i="1"/>
  <c r="Y1171" i="1" s="1"/>
  <c r="V1171" i="1"/>
  <c r="W1171" i="1" s="1"/>
  <c r="U1173" i="1"/>
  <c r="V1173" i="1"/>
  <c r="W1173" i="1" s="1"/>
  <c r="U1175" i="1"/>
  <c r="V1175" i="1"/>
  <c r="W1175" i="1" s="1"/>
  <c r="U1201" i="1"/>
  <c r="Y1201" i="1" s="1"/>
  <c r="V1201" i="1"/>
  <c r="W1201" i="1" s="1"/>
  <c r="U1174" i="1"/>
  <c r="Y1174" i="1" s="1"/>
  <c r="V1174" i="1"/>
  <c r="W1174" i="1" s="1"/>
  <c r="U1176" i="1"/>
  <c r="Y1176" i="1" s="1"/>
  <c r="V1176" i="1"/>
  <c r="W1176" i="1" s="1"/>
  <c r="U1149" i="1"/>
  <c r="Y1149" i="1" s="1"/>
  <c r="V1149" i="1"/>
  <c r="W1149" i="1" s="1"/>
  <c r="U1180" i="1"/>
  <c r="Y1180" i="1" s="1"/>
  <c r="V1180" i="1"/>
  <c r="W1180" i="1" s="1"/>
  <c r="U1182" i="1"/>
  <c r="Y1182" i="1" s="1"/>
  <c r="V1182" i="1"/>
  <c r="W1182" i="1" s="1"/>
  <c r="U1179" i="1"/>
  <c r="V1179" i="1"/>
  <c r="W1179" i="1" s="1"/>
  <c r="U1178" i="1"/>
  <c r="V1178" i="1"/>
  <c r="W1178" i="1" s="1"/>
  <c r="U1181" i="1"/>
  <c r="Y1181" i="1" s="1"/>
  <c r="V1181" i="1"/>
  <c r="W1181" i="1" s="1"/>
  <c r="U1183" i="1"/>
  <c r="Y1183" i="1" s="1"/>
  <c r="V1183" i="1"/>
  <c r="W1183" i="1" s="1"/>
  <c r="U1184" i="1"/>
  <c r="Y1184" i="1" s="1"/>
  <c r="V1184" i="1"/>
  <c r="W1184" i="1" s="1"/>
  <c r="U1185" i="1"/>
  <c r="Y1185" i="1" s="1"/>
  <c r="V1185" i="1"/>
  <c r="W1185" i="1" s="1"/>
  <c r="U1186" i="1"/>
  <c r="Y1186" i="1" s="1"/>
  <c r="V1186" i="1"/>
  <c r="W1186" i="1" s="1"/>
  <c r="U1188" i="1"/>
  <c r="Y1188" i="1" s="1"/>
  <c r="V1188" i="1"/>
  <c r="W1188" i="1" s="1"/>
  <c r="U1187" i="1"/>
  <c r="Y1187" i="1" s="1"/>
  <c r="V1187" i="1"/>
  <c r="W1187" i="1" s="1"/>
  <c r="U1191" i="1"/>
  <c r="V1191" i="1"/>
  <c r="W1191" i="1" s="1"/>
  <c r="U1189" i="1"/>
  <c r="Y1189" i="1" s="1"/>
  <c r="V1189" i="1"/>
  <c r="W1189" i="1" s="1"/>
  <c r="U1190" i="1"/>
  <c r="Y1190" i="1" s="1"/>
  <c r="V1190" i="1"/>
  <c r="W1190" i="1" s="1"/>
  <c r="U1192" i="1"/>
  <c r="V1192" i="1"/>
  <c r="W1192" i="1" s="1"/>
  <c r="U1193" i="1"/>
  <c r="Y1193" i="1" s="1"/>
  <c r="V1193" i="1"/>
  <c r="W1193" i="1" s="1"/>
  <c r="U1195" i="1"/>
  <c r="Y1195" i="1" s="1"/>
  <c r="V1195" i="1"/>
  <c r="W1195" i="1" s="1"/>
  <c r="U1194" i="1"/>
  <c r="Y1194" i="1" s="1"/>
  <c r="V1194" i="1"/>
  <c r="W1194" i="1" s="1"/>
  <c r="U1197" i="1"/>
  <c r="Y1197" i="1" s="1"/>
  <c r="V1197" i="1"/>
  <c r="W1197" i="1" s="1"/>
  <c r="U1198" i="1"/>
  <c r="Y1198" i="1" s="1"/>
  <c r="V1198" i="1"/>
  <c r="W1198" i="1" s="1"/>
  <c r="U1196" i="1"/>
  <c r="Y1196" i="1" s="1"/>
  <c r="V1196" i="1"/>
  <c r="W1196" i="1" s="1"/>
  <c r="U1199" i="1"/>
  <c r="Y1199" i="1" s="1"/>
  <c r="V1199" i="1"/>
  <c r="W1199" i="1" s="1"/>
  <c r="U1204" i="1"/>
  <c r="Y1204" i="1" s="1"/>
  <c r="V1204" i="1"/>
  <c r="W1204" i="1" s="1"/>
  <c r="U1200" i="1"/>
  <c r="Y1200" i="1" s="1"/>
  <c r="V1200" i="1"/>
  <c r="W1200" i="1" s="1"/>
  <c r="U1202" i="1"/>
  <c r="Y1202" i="1" s="1"/>
  <c r="V1202" i="1"/>
  <c r="W1202" i="1" s="1"/>
  <c r="U1203" i="1"/>
  <c r="Y1203" i="1" s="1"/>
  <c r="V1203" i="1"/>
  <c r="W1203" i="1" s="1"/>
  <c r="U1207" i="1"/>
  <c r="V1207" i="1"/>
  <c r="W1207" i="1" s="1"/>
  <c r="U1205" i="1"/>
  <c r="V1205" i="1"/>
  <c r="W1205" i="1" s="1"/>
  <c r="U1206" i="1"/>
  <c r="Y1206" i="1" s="1"/>
  <c r="V1206" i="1"/>
  <c r="W1206" i="1" s="1"/>
  <c r="U1210" i="1"/>
  <c r="Y1210" i="1" s="1"/>
  <c r="V1210" i="1"/>
  <c r="W1210" i="1" s="1"/>
  <c r="U1208" i="1"/>
  <c r="Y1208" i="1" s="1"/>
  <c r="V1208" i="1"/>
  <c r="W1208" i="1" s="1"/>
  <c r="U1209" i="1"/>
  <c r="Y1209" i="1" s="1"/>
  <c r="V1209" i="1"/>
  <c r="W1209" i="1" s="1"/>
  <c r="U1214" i="1"/>
  <c r="Y1214" i="1" s="1"/>
  <c r="V1214" i="1"/>
  <c r="W1214" i="1" s="1"/>
  <c r="U1212" i="1"/>
  <c r="Y1212" i="1" s="1"/>
  <c r="V1212" i="1"/>
  <c r="W1212" i="1" s="1"/>
  <c r="U1213" i="1"/>
  <c r="V1213" i="1"/>
  <c r="W1213" i="1" s="1"/>
  <c r="U1215" i="1"/>
  <c r="V1215" i="1"/>
  <c r="W1215" i="1" s="1"/>
  <c r="U1211" i="1"/>
  <c r="Y1211" i="1" s="1"/>
  <c r="V1211" i="1"/>
  <c r="W1211" i="1" s="1"/>
  <c r="U1225" i="1"/>
  <c r="Y1225" i="1" s="1"/>
  <c r="V1225" i="1"/>
  <c r="W1225" i="1" s="1"/>
  <c r="U1217" i="1"/>
  <c r="Y1217" i="1" s="1"/>
  <c r="V1217" i="1"/>
  <c r="W1217" i="1" s="1"/>
  <c r="U1218" i="1"/>
  <c r="Y1218" i="1" s="1"/>
  <c r="V1218" i="1"/>
  <c r="W1218" i="1" s="1"/>
  <c r="U1216" i="1"/>
  <c r="Y1216" i="1" s="1"/>
  <c r="V1216" i="1"/>
  <c r="W1216" i="1" s="1"/>
  <c r="U1219" i="1"/>
  <c r="Y1219" i="1" s="1"/>
  <c r="V1219" i="1"/>
  <c r="W1219" i="1" s="1"/>
  <c r="U1220" i="1"/>
  <c r="V1220" i="1"/>
  <c r="W1220" i="1" s="1"/>
  <c r="U1222" i="1"/>
  <c r="V1222" i="1"/>
  <c r="W1222" i="1" s="1"/>
  <c r="U1223" i="1"/>
  <c r="Y1223" i="1" s="1"/>
  <c r="V1223" i="1"/>
  <c r="W1223" i="1" s="1"/>
  <c r="U1224" i="1"/>
  <c r="Y1224" i="1" s="1"/>
  <c r="V1224" i="1"/>
  <c r="W1224" i="1" s="1"/>
  <c r="U1221" i="1"/>
  <c r="Y1221" i="1" s="1"/>
  <c r="V1221" i="1"/>
  <c r="W1221" i="1" s="1"/>
  <c r="U1226" i="1"/>
  <c r="V1226" i="1"/>
  <c r="W1226" i="1" s="1"/>
  <c r="U1228" i="1"/>
  <c r="Y1228" i="1" s="1"/>
  <c r="V1228" i="1"/>
  <c r="W1228" i="1" s="1"/>
  <c r="U1227" i="1"/>
  <c r="V1227" i="1"/>
  <c r="W1227" i="1" s="1"/>
  <c r="U1246" i="1"/>
  <c r="V1246" i="1"/>
  <c r="W1246" i="1" s="1"/>
  <c r="U1240" i="1"/>
  <c r="V1240" i="1"/>
  <c r="W1240" i="1" s="1"/>
  <c r="U1239" i="1"/>
  <c r="Y1239" i="1" s="1"/>
  <c r="V1239" i="1"/>
  <c r="W1239" i="1" s="1"/>
  <c r="U1243" i="1"/>
  <c r="Y1243" i="1" s="1"/>
  <c r="V1243" i="1"/>
  <c r="W1243" i="1" s="1"/>
  <c r="U1241" i="1"/>
  <c r="Y1241" i="1" s="1"/>
  <c r="V1241" i="1"/>
  <c r="W1241" i="1" s="1"/>
  <c r="U1231" i="1"/>
  <c r="Y1231" i="1" s="1"/>
  <c r="V1231" i="1"/>
  <c r="W1231" i="1" s="1"/>
  <c r="U1242" i="1"/>
  <c r="Y1242" i="1" s="1"/>
  <c r="V1242" i="1"/>
  <c r="W1242" i="1" s="1"/>
  <c r="U1236" i="1"/>
  <c r="V1236" i="1"/>
  <c r="W1236" i="1" s="1"/>
  <c r="U1237" i="1"/>
  <c r="V1237" i="1"/>
  <c r="W1237" i="1" s="1"/>
  <c r="U1244" i="1"/>
  <c r="Y1244" i="1" s="1"/>
  <c r="V1244" i="1"/>
  <c r="W1244" i="1" s="1"/>
  <c r="U1238" i="1"/>
  <c r="Y1238" i="1" s="1"/>
  <c r="V1238" i="1"/>
  <c r="W1238" i="1" s="1"/>
  <c r="U1160" i="1"/>
  <c r="Y1160" i="1" s="1"/>
  <c r="V1160" i="1"/>
  <c r="W1160" i="1" s="1"/>
  <c r="U1232" i="1"/>
  <c r="Y1232" i="1" s="1"/>
  <c r="V1232" i="1"/>
  <c r="W1232" i="1" s="1"/>
  <c r="U1177" i="1"/>
  <c r="Y1177" i="1" s="1"/>
  <c r="V1177" i="1"/>
  <c r="W1177" i="1" s="1"/>
  <c r="U1233" i="1"/>
  <c r="Y1233" i="1" s="1"/>
  <c r="V1233" i="1"/>
  <c r="W1233" i="1" s="1"/>
  <c r="U1245" i="1"/>
  <c r="V1245" i="1"/>
  <c r="W1245" i="1" s="1"/>
  <c r="U1247" i="1"/>
  <c r="V1247" i="1"/>
  <c r="W1247" i="1" s="1"/>
  <c r="U1229" i="1"/>
  <c r="Y1229" i="1" s="1"/>
  <c r="V1229" i="1"/>
  <c r="W1229" i="1" s="1"/>
  <c r="U1230" i="1"/>
  <c r="Y1230" i="1" s="1"/>
  <c r="V1230" i="1"/>
  <c r="W1230" i="1" s="1"/>
  <c r="U1251" i="1"/>
  <c r="Y1251" i="1" s="1"/>
  <c r="V1251" i="1"/>
  <c r="W1251" i="1" s="1"/>
  <c r="U1250" i="1"/>
  <c r="Y1250" i="1" s="1"/>
  <c r="V1250" i="1"/>
  <c r="W1250" i="1" s="1"/>
  <c r="U1248" i="1"/>
  <c r="Y1248" i="1" s="1"/>
  <c r="V1248" i="1"/>
  <c r="W1248" i="1" s="1"/>
  <c r="U1252" i="1"/>
  <c r="V1252" i="1"/>
  <c r="W1252" i="1" s="1"/>
  <c r="U1249" i="1"/>
  <c r="V1249" i="1"/>
  <c r="W1249" i="1" s="1"/>
  <c r="U1256" i="1"/>
  <c r="V1256" i="1"/>
  <c r="W1256" i="1" s="1"/>
  <c r="U1253" i="1"/>
  <c r="Y1253" i="1" s="1"/>
  <c r="V1253" i="1"/>
  <c r="W1253" i="1" s="1"/>
  <c r="U1234" i="1"/>
  <c r="Y1234" i="1" s="1"/>
  <c r="V1234" i="1"/>
  <c r="W1234" i="1" s="1"/>
  <c r="U1254" i="1"/>
  <c r="Y1254" i="1" s="1"/>
  <c r="V1254" i="1"/>
  <c r="W1254" i="1" s="1"/>
  <c r="U1257" i="1"/>
  <c r="Y1257" i="1" s="1"/>
  <c r="V1257" i="1"/>
  <c r="W1257" i="1" s="1"/>
  <c r="U1259" i="1"/>
  <c r="Y1259" i="1" s="1"/>
  <c r="V1259" i="1"/>
  <c r="W1259" i="1" s="1"/>
  <c r="U1258" i="1"/>
  <c r="V1258" i="1"/>
  <c r="W1258" i="1" s="1"/>
  <c r="U1260" i="1"/>
  <c r="V1260" i="1"/>
  <c r="W1260" i="1" s="1"/>
  <c r="U1267" i="1"/>
  <c r="V1267" i="1"/>
  <c r="W1267" i="1" s="1"/>
  <c r="U1262" i="1"/>
  <c r="Y1262" i="1" s="1"/>
  <c r="V1262" i="1"/>
  <c r="W1262" i="1" s="1"/>
  <c r="U1261" i="1"/>
  <c r="Y1261" i="1" s="1"/>
  <c r="V1261" i="1"/>
  <c r="W1261" i="1" s="1"/>
  <c r="U1263" i="1"/>
  <c r="Y1263" i="1" s="1"/>
  <c r="V1263" i="1"/>
  <c r="W1263" i="1" s="1"/>
  <c r="U1265" i="1"/>
  <c r="V1265" i="1"/>
  <c r="W1265" i="1" s="1"/>
  <c r="U1264" i="1"/>
  <c r="Y1264" i="1" s="1"/>
  <c r="V1264" i="1"/>
  <c r="W1264" i="1" s="1"/>
  <c r="U1266" i="1"/>
  <c r="V1266" i="1"/>
  <c r="W1266" i="1" s="1"/>
  <c r="U1268" i="1"/>
  <c r="V1268" i="1"/>
  <c r="W1268" i="1" s="1"/>
  <c r="U1272" i="1"/>
  <c r="V1272" i="1"/>
  <c r="W1272" i="1" s="1"/>
  <c r="U1270" i="1"/>
  <c r="Y1270" i="1" s="1"/>
  <c r="V1270" i="1"/>
  <c r="W1270" i="1" s="1"/>
  <c r="U1269" i="1"/>
  <c r="Y1269" i="1" s="1"/>
  <c r="V1269" i="1"/>
  <c r="W1269" i="1" s="1"/>
  <c r="U1255" i="1"/>
  <c r="Y1255" i="1" s="1"/>
  <c r="V1255" i="1"/>
  <c r="W1255" i="1" s="1"/>
  <c r="U1400" i="1"/>
  <c r="Y1400" i="1" s="1"/>
  <c r="V1400" i="1"/>
  <c r="W1400" i="1" s="1"/>
  <c r="U1276" i="1"/>
  <c r="Y1276" i="1" s="1"/>
  <c r="V1276" i="1"/>
  <c r="W1276" i="1" s="1"/>
  <c r="U1280" i="1"/>
  <c r="V1280" i="1"/>
  <c r="W1280" i="1" s="1"/>
  <c r="U1275" i="1"/>
  <c r="V1275" i="1"/>
  <c r="W1275" i="1" s="1"/>
  <c r="U1293" i="1"/>
  <c r="V1293" i="1"/>
  <c r="W1293" i="1" s="1"/>
  <c r="U1278" i="1"/>
  <c r="Y1278" i="1" s="1"/>
  <c r="V1278" i="1"/>
  <c r="W1278" i="1" s="1"/>
  <c r="U1277" i="1"/>
  <c r="Y1277" i="1" s="1"/>
  <c r="V1277" i="1"/>
  <c r="W1277" i="1" s="1"/>
  <c r="U1284" i="1"/>
  <c r="Y1284" i="1" s="1"/>
  <c r="V1284" i="1"/>
  <c r="W1284" i="1" s="1"/>
  <c r="U1281" i="1"/>
  <c r="Y1281" i="1" s="1"/>
  <c r="V1281" i="1"/>
  <c r="W1281" i="1" s="1"/>
  <c r="U1235" i="1"/>
  <c r="Y1235" i="1" s="1"/>
  <c r="V1235" i="1"/>
  <c r="W1235" i="1" s="1"/>
  <c r="U1283" i="1"/>
  <c r="Y1283" i="1" s="1"/>
  <c r="V1283" i="1"/>
  <c r="W1283" i="1" s="1"/>
  <c r="U1289" i="1"/>
  <c r="V1289" i="1"/>
  <c r="W1289" i="1" s="1"/>
  <c r="U1282" i="1"/>
  <c r="V1282" i="1"/>
  <c r="W1282" i="1" s="1"/>
  <c r="U1285" i="1"/>
  <c r="Y1285" i="1" s="1"/>
  <c r="V1285" i="1"/>
  <c r="W1285" i="1" s="1"/>
  <c r="U1286" i="1"/>
  <c r="Y1286" i="1" s="1"/>
  <c r="V1286" i="1"/>
  <c r="W1286" i="1" s="1"/>
  <c r="U1287" i="1"/>
  <c r="Y1287" i="1" s="1"/>
  <c r="V1287" i="1"/>
  <c r="W1287" i="1" s="1"/>
  <c r="U1288" i="1"/>
  <c r="Y1288" i="1" s="1"/>
  <c r="V1288" i="1"/>
  <c r="W1288" i="1" s="1"/>
  <c r="U1292" i="1"/>
  <c r="Y1292" i="1" s="1"/>
  <c r="V1292" i="1"/>
  <c r="W1292" i="1" s="1"/>
  <c r="U1291" i="1"/>
  <c r="Y1291" i="1" s="1"/>
  <c r="V1291" i="1"/>
  <c r="W1291" i="1" s="1"/>
  <c r="U1271" i="1"/>
  <c r="V1271" i="1"/>
  <c r="W1271" i="1" s="1"/>
  <c r="U1296" i="1"/>
  <c r="V1296" i="1"/>
  <c r="W1296" i="1" s="1"/>
  <c r="U1290" i="1"/>
  <c r="Y1290" i="1" s="1"/>
  <c r="V1290" i="1"/>
  <c r="W1290" i="1" s="1"/>
  <c r="U1298" i="1"/>
  <c r="Y1298" i="1" s="1"/>
  <c r="V1298" i="1"/>
  <c r="W1298" i="1" s="1"/>
  <c r="U1297" i="1"/>
  <c r="Y1297" i="1" s="1"/>
  <c r="V1297" i="1"/>
  <c r="W1297" i="1" s="1"/>
  <c r="U1314" i="1"/>
  <c r="Y1314" i="1" s="1"/>
  <c r="V1314" i="1"/>
  <c r="W1314" i="1" s="1"/>
  <c r="U1315" i="1"/>
  <c r="Y1315" i="1" s="1"/>
  <c r="V1315" i="1"/>
  <c r="W1315" i="1" s="1"/>
  <c r="U1305" i="1"/>
  <c r="Y1305" i="1" s="1"/>
  <c r="V1305" i="1"/>
  <c r="W1305" i="1" s="1"/>
  <c r="U1299" i="1"/>
  <c r="V1299" i="1"/>
  <c r="W1299" i="1" s="1"/>
  <c r="U1300" i="1"/>
  <c r="V1300" i="1"/>
  <c r="W1300" i="1" s="1"/>
  <c r="U1301" i="1"/>
  <c r="Y1301" i="1" s="1"/>
  <c r="V1301" i="1"/>
  <c r="W1301" i="1" s="1"/>
  <c r="U1303" i="1"/>
  <c r="Y1303" i="1" s="1"/>
  <c r="V1303" i="1"/>
  <c r="W1303" i="1" s="1"/>
  <c r="U1302" i="1"/>
  <c r="Y1302" i="1" s="1"/>
  <c r="V1302" i="1"/>
  <c r="W1302" i="1" s="1"/>
  <c r="U1307" i="1"/>
  <c r="Y1307" i="1" s="1"/>
  <c r="V1307" i="1"/>
  <c r="W1307" i="1" s="1"/>
  <c r="U1304" i="1"/>
  <c r="Y1304" i="1" s="1"/>
  <c r="V1304" i="1"/>
  <c r="W1304" i="1" s="1"/>
  <c r="U1306" i="1"/>
  <c r="Y1306" i="1" s="1"/>
  <c r="V1306" i="1"/>
  <c r="W1306" i="1" s="1"/>
  <c r="U1308" i="1"/>
  <c r="V1308" i="1"/>
  <c r="W1308" i="1" s="1"/>
  <c r="U1317" i="1"/>
  <c r="V1317" i="1"/>
  <c r="W1317" i="1" s="1"/>
  <c r="U1318" i="1"/>
  <c r="Y1318" i="1" s="1"/>
  <c r="V1318" i="1"/>
  <c r="W1318" i="1" s="1"/>
  <c r="U1321" i="1"/>
  <c r="Y1321" i="1" s="1"/>
  <c r="V1321" i="1"/>
  <c r="W1321" i="1" s="1"/>
  <c r="U1319" i="1"/>
  <c r="Y1319" i="1" s="1"/>
  <c r="V1319" i="1"/>
  <c r="W1319" i="1" s="1"/>
  <c r="U1295" i="1"/>
  <c r="Y1295" i="1" s="1"/>
  <c r="V1295" i="1"/>
  <c r="W1295" i="1" s="1"/>
  <c r="U1320" i="1"/>
  <c r="Y1320" i="1" s="1"/>
  <c r="V1320" i="1"/>
  <c r="W1320" i="1" s="1"/>
  <c r="U1310" i="1"/>
  <c r="V1310" i="1"/>
  <c r="W1310" i="1" s="1"/>
  <c r="U1309" i="1"/>
  <c r="V1309" i="1"/>
  <c r="W1309" i="1" s="1"/>
  <c r="U1313" i="1"/>
  <c r="Y1313" i="1" s="1"/>
  <c r="V1313" i="1"/>
  <c r="W1313" i="1" s="1"/>
  <c r="U1316" i="1"/>
  <c r="Y1316" i="1" s="1"/>
  <c r="V1316" i="1"/>
  <c r="W1316" i="1" s="1"/>
  <c r="U1294" i="1"/>
  <c r="Y1294" i="1" s="1"/>
  <c r="V1294" i="1"/>
  <c r="W1294" i="1" s="1"/>
  <c r="U1311" i="1"/>
  <c r="Y1311" i="1" s="1"/>
  <c r="V1311" i="1"/>
  <c r="W1311" i="1" s="1"/>
  <c r="U1312" i="1"/>
  <c r="Y1312" i="1" s="1"/>
  <c r="V1312" i="1"/>
  <c r="W1312" i="1" s="1"/>
  <c r="U1322" i="1"/>
  <c r="Y1322" i="1" s="1"/>
  <c r="V1322" i="1"/>
  <c r="W1322" i="1" s="1"/>
  <c r="U1323" i="1"/>
  <c r="V1323" i="1"/>
  <c r="W1323" i="1" s="1"/>
  <c r="U1324" i="1"/>
  <c r="V1324" i="1"/>
  <c r="W1324" i="1" s="1"/>
  <c r="U1325" i="1"/>
  <c r="Y1325" i="1" s="1"/>
  <c r="V1325" i="1"/>
  <c r="W1325" i="1" s="1"/>
  <c r="U1273" i="1"/>
  <c r="Y1273" i="1" s="1"/>
  <c r="V1273" i="1"/>
  <c r="W1273" i="1" s="1"/>
  <c r="U1326" i="1"/>
  <c r="Y1326" i="1" s="1"/>
  <c r="V1326" i="1"/>
  <c r="W1326" i="1" s="1"/>
  <c r="U1328" i="1"/>
  <c r="Y1328" i="1" s="1"/>
  <c r="V1328" i="1"/>
  <c r="W1328" i="1" s="1"/>
  <c r="U1329" i="1"/>
  <c r="Y1329" i="1" s="1"/>
  <c r="V1329" i="1"/>
  <c r="W1329" i="1" s="1"/>
  <c r="U1330" i="1"/>
  <c r="Y1330" i="1" s="1"/>
  <c r="V1330" i="1"/>
  <c r="W1330" i="1" s="1"/>
  <c r="U1333" i="1"/>
  <c r="V1333" i="1"/>
  <c r="W1333" i="1" s="1"/>
  <c r="U1331" i="1"/>
  <c r="V1331" i="1"/>
  <c r="W1331" i="1" s="1"/>
  <c r="U1332" i="1"/>
  <c r="V1332" i="1"/>
  <c r="W1332" i="1" s="1"/>
  <c r="U1334" i="1"/>
  <c r="Y1334" i="1" s="1"/>
  <c r="V1334" i="1"/>
  <c r="W1334" i="1" s="1"/>
  <c r="U1337" i="1"/>
  <c r="V1337" i="1"/>
  <c r="W1337" i="1" s="1"/>
  <c r="U1335" i="1"/>
  <c r="Y1335" i="1" s="1"/>
  <c r="V1335" i="1"/>
  <c r="W1335" i="1" s="1"/>
  <c r="U1339" i="1"/>
  <c r="Y1339" i="1" s="1"/>
  <c r="V1339" i="1"/>
  <c r="W1339" i="1" s="1"/>
  <c r="U1338" i="1"/>
  <c r="Y1338" i="1" s="1"/>
  <c r="V1338" i="1"/>
  <c r="W1338" i="1" s="1"/>
  <c r="U1344" i="1"/>
  <c r="V1344" i="1"/>
  <c r="W1344" i="1" s="1"/>
  <c r="U1336" i="1"/>
  <c r="V1336" i="1"/>
  <c r="W1336" i="1" s="1"/>
  <c r="U1341" i="1"/>
  <c r="Y1341" i="1" s="1"/>
  <c r="V1341" i="1"/>
  <c r="W1341" i="1" s="1"/>
  <c r="U1340" i="1"/>
  <c r="Y1340" i="1" s="1"/>
  <c r="V1340" i="1"/>
  <c r="W1340" i="1" s="1"/>
  <c r="U1342" i="1"/>
  <c r="V1342" i="1"/>
  <c r="W1342" i="1" s="1"/>
  <c r="U1343" i="1"/>
  <c r="Y1343" i="1" s="1"/>
  <c r="V1343" i="1"/>
  <c r="W1343" i="1" s="1"/>
  <c r="U1347" i="1"/>
  <c r="Y1347" i="1" s="1"/>
  <c r="V1347" i="1"/>
  <c r="W1347" i="1" s="1"/>
  <c r="U1345" i="1"/>
  <c r="Y1345" i="1" s="1"/>
  <c r="V1345" i="1"/>
  <c r="W1345" i="1" s="1"/>
  <c r="U1346" i="1"/>
  <c r="Y1346" i="1" s="1"/>
  <c r="V1346" i="1"/>
  <c r="W1346" i="1" s="1"/>
  <c r="U1349" i="1"/>
  <c r="V1349" i="1"/>
  <c r="W1349" i="1" s="1"/>
  <c r="U1348" i="1"/>
  <c r="Y1348" i="1" s="1"/>
  <c r="V1348" i="1"/>
  <c r="W1348" i="1" s="1"/>
  <c r="U1353" i="1"/>
  <c r="Y1353" i="1" s="1"/>
  <c r="V1353" i="1"/>
  <c r="W1353" i="1" s="1"/>
  <c r="U1351" i="1"/>
  <c r="V1351" i="1"/>
  <c r="W1351" i="1" s="1"/>
  <c r="U1350" i="1"/>
  <c r="Y1350" i="1" s="1"/>
  <c r="V1350" i="1"/>
  <c r="W1350" i="1" s="1"/>
  <c r="U1355" i="1"/>
  <c r="Y1355" i="1" s="1"/>
  <c r="V1355" i="1"/>
  <c r="W1355" i="1" s="1"/>
  <c r="U1352" i="1"/>
  <c r="Y1352" i="1" s="1"/>
  <c r="V1352" i="1"/>
  <c r="W1352" i="1" s="1"/>
  <c r="U1354" i="1"/>
  <c r="Y1354" i="1" s="1"/>
  <c r="V1354" i="1"/>
  <c r="W1354" i="1" s="1"/>
  <c r="U1358" i="1"/>
  <c r="V1358" i="1"/>
  <c r="W1358" i="1" s="1"/>
  <c r="U1356" i="1"/>
  <c r="Y1356" i="1" s="1"/>
  <c r="V1356" i="1"/>
  <c r="W1356" i="1" s="1"/>
  <c r="U1357" i="1"/>
  <c r="Y1357" i="1" s="1"/>
  <c r="V1357" i="1"/>
  <c r="W1357" i="1" s="1"/>
  <c r="U1359" i="1"/>
  <c r="V1359" i="1"/>
  <c r="W1359" i="1" s="1"/>
  <c r="U1421" i="1"/>
  <c r="Y1421" i="1" s="1"/>
  <c r="V1421" i="1"/>
  <c r="W1421" i="1" s="1"/>
  <c r="U1361" i="1"/>
  <c r="Y1361" i="1" s="1"/>
  <c r="V1361" i="1"/>
  <c r="W1361" i="1" s="1"/>
  <c r="U1369" i="1"/>
  <c r="Y1369" i="1" s="1"/>
  <c r="V1369" i="1"/>
  <c r="W1369" i="1" s="1"/>
  <c r="U1362" i="1"/>
  <c r="V1362" i="1"/>
  <c r="W1362" i="1" s="1"/>
  <c r="U1364" i="1"/>
  <c r="V1364" i="1"/>
  <c r="W1364" i="1" s="1"/>
  <c r="U1363" i="1"/>
  <c r="Y1363" i="1" s="1"/>
  <c r="V1363" i="1"/>
  <c r="W1363" i="1" s="1"/>
  <c r="U1365" i="1"/>
  <c r="Y1365" i="1" s="1"/>
  <c r="V1365" i="1"/>
  <c r="W1365" i="1" s="1"/>
  <c r="U1367" i="1"/>
  <c r="V1367" i="1"/>
  <c r="W1367" i="1" s="1"/>
  <c r="U1366" i="1"/>
  <c r="Y1366" i="1" s="1"/>
  <c r="V1366" i="1"/>
  <c r="W1366" i="1" s="1"/>
  <c r="U1368" i="1"/>
  <c r="Y1368" i="1" s="1"/>
  <c r="V1368" i="1"/>
  <c r="W1368" i="1" s="1"/>
  <c r="U1371" i="1"/>
  <c r="Y1371" i="1" s="1"/>
  <c r="V1371" i="1"/>
  <c r="W1371" i="1" s="1"/>
  <c r="U1370" i="1"/>
  <c r="V1370" i="1"/>
  <c r="W1370" i="1" s="1"/>
  <c r="U1372" i="1"/>
  <c r="V1372" i="1"/>
  <c r="W1372" i="1" s="1"/>
  <c r="U1373" i="1"/>
  <c r="V1373" i="1"/>
  <c r="W1373" i="1"/>
  <c r="U1374" i="1"/>
  <c r="Y1374" i="1" s="1"/>
  <c r="V1374" i="1"/>
  <c r="W1374" i="1" s="1"/>
  <c r="U1377" i="1"/>
  <c r="V1377" i="1"/>
  <c r="W1377" i="1" s="1"/>
  <c r="U1376" i="1"/>
  <c r="Y1376" i="1" s="1"/>
  <c r="V1376" i="1"/>
  <c r="W1376" i="1" s="1"/>
  <c r="U1375" i="1"/>
  <c r="V1375" i="1"/>
  <c r="W1375" i="1" s="1"/>
  <c r="U1381" i="1"/>
  <c r="Y1381" i="1" s="1"/>
  <c r="V1381" i="1"/>
  <c r="W1381" i="1" s="1"/>
  <c r="U1378" i="1"/>
  <c r="V1378" i="1"/>
  <c r="W1378" i="1" s="1"/>
  <c r="U1380" i="1"/>
  <c r="V1380" i="1"/>
  <c r="W1380" i="1" s="1"/>
  <c r="U1382" i="1"/>
  <c r="V1382" i="1"/>
  <c r="W1382" i="1" s="1"/>
  <c r="U1379" i="1"/>
  <c r="Y1379" i="1" s="1"/>
  <c r="V1379" i="1"/>
  <c r="W1379" i="1" s="1"/>
  <c r="U1384" i="1"/>
  <c r="V1384" i="1"/>
  <c r="W1384" i="1" s="1"/>
  <c r="U1401" i="1"/>
  <c r="Y1401" i="1" s="1"/>
  <c r="V1401" i="1"/>
  <c r="W1401" i="1" s="1"/>
  <c r="U1386" i="1"/>
  <c r="V1386" i="1"/>
  <c r="W1386" i="1" s="1"/>
  <c r="U1387" i="1"/>
  <c r="Y1387" i="1" s="1"/>
  <c r="V1387" i="1"/>
  <c r="W1387" i="1" s="1"/>
  <c r="U1385" i="1"/>
  <c r="V1385" i="1"/>
  <c r="W1385" i="1" s="1"/>
  <c r="U1393" i="1"/>
  <c r="V1393" i="1"/>
  <c r="W1393" i="1" s="1"/>
  <c r="U1388" i="1"/>
  <c r="V1388" i="1"/>
  <c r="W1388" i="1" s="1"/>
  <c r="U1391" i="1"/>
  <c r="Y1391" i="1" s="1"/>
  <c r="V1391" i="1"/>
  <c r="W1391" i="1" s="1"/>
  <c r="U1390" i="1"/>
  <c r="V1390" i="1"/>
  <c r="W1390" i="1" s="1"/>
  <c r="U1392" i="1"/>
  <c r="Y1392" i="1" s="1"/>
  <c r="V1392" i="1"/>
  <c r="W1392" i="1" s="1"/>
  <c r="U1389" i="1"/>
  <c r="V1389" i="1"/>
  <c r="W1389" i="1" s="1"/>
  <c r="U1394" i="1"/>
  <c r="Y1394" i="1" s="1"/>
  <c r="V1394" i="1"/>
  <c r="W1394" i="1" s="1"/>
  <c r="U1405" i="1"/>
  <c r="V1405" i="1"/>
  <c r="W1405" i="1" s="1"/>
  <c r="U1406" i="1"/>
  <c r="V1406" i="1"/>
  <c r="W1406" i="1" s="1"/>
  <c r="U1409" i="1"/>
  <c r="V1409" i="1"/>
  <c r="W1409" i="1" s="1"/>
  <c r="U1383" i="1"/>
  <c r="Y1383" i="1" s="1"/>
  <c r="V1383" i="1"/>
  <c r="W1383" i="1" s="1"/>
  <c r="U1398" i="1"/>
  <c r="V1398" i="1"/>
  <c r="W1398" i="1" s="1"/>
  <c r="U1397" i="1"/>
  <c r="Y1397" i="1" s="1"/>
  <c r="V1397" i="1"/>
  <c r="W1397" i="1" s="1"/>
  <c r="U1404" i="1"/>
  <c r="V1404" i="1"/>
  <c r="W1404" i="1" s="1"/>
  <c r="U1396" i="1"/>
  <c r="Y1396" i="1" s="1"/>
  <c r="V1396" i="1"/>
  <c r="W1396" i="1" s="1"/>
  <c r="U1402" i="1"/>
  <c r="V1402" i="1"/>
  <c r="W1402" i="1" s="1"/>
  <c r="U1407" i="1"/>
  <c r="V1407" i="1"/>
  <c r="W1407" i="1" s="1"/>
  <c r="U1327" i="1"/>
  <c r="Y1327" i="1" s="1"/>
  <c r="V1327" i="1"/>
  <c r="W1327" i="1" s="1"/>
  <c r="U1399" i="1"/>
  <c r="Y1399" i="1" s="1"/>
  <c r="V1399" i="1"/>
  <c r="W1399" i="1" s="1"/>
  <c r="U1395" i="1"/>
  <c r="Y1395" i="1" s="1"/>
  <c r="V1395" i="1"/>
  <c r="W1395" i="1" s="1"/>
  <c r="U1403" i="1"/>
  <c r="Y1403" i="1" s="1"/>
  <c r="V1403" i="1"/>
  <c r="W1403" i="1" s="1"/>
  <c r="U1408" i="1"/>
  <c r="Y1408" i="1" s="1"/>
  <c r="V1408" i="1"/>
  <c r="W1408" i="1" s="1"/>
  <c r="U1412" i="1"/>
  <c r="Y1412" i="1" s="1"/>
  <c r="V1412" i="1"/>
  <c r="W1412" i="1" s="1"/>
  <c r="U1415" i="1"/>
  <c r="V1415" i="1"/>
  <c r="W1415" i="1" s="1"/>
  <c r="U1414" i="1"/>
  <c r="V1414" i="1"/>
  <c r="W1414" i="1" s="1"/>
  <c r="U1413" i="1"/>
  <c r="Y1413" i="1" s="1"/>
  <c r="V1413" i="1"/>
  <c r="W1413" i="1" s="1"/>
  <c r="U1416" i="1"/>
  <c r="Y1416" i="1" s="1"/>
  <c r="V1416" i="1"/>
  <c r="W1416" i="1" s="1"/>
  <c r="U1429" i="1"/>
  <c r="Y1429" i="1" s="1"/>
  <c r="V1429" i="1"/>
  <c r="W1429" i="1" s="1"/>
  <c r="U1420" i="1"/>
  <c r="Y1420" i="1" s="1"/>
  <c r="V1420" i="1"/>
  <c r="W1420" i="1" s="1"/>
  <c r="U1417" i="1"/>
  <c r="Y1417" i="1" s="1"/>
  <c r="V1417" i="1"/>
  <c r="W1417" i="1" s="1"/>
  <c r="U1418" i="1"/>
  <c r="Y1418" i="1" s="1"/>
  <c r="V1418" i="1"/>
  <c r="W1418" i="1" s="1"/>
  <c r="U1419" i="1"/>
  <c r="V1419" i="1"/>
  <c r="W1419" i="1" s="1"/>
  <c r="U1423" i="1"/>
  <c r="Y1423" i="1" s="1"/>
  <c r="V1423" i="1"/>
  <c r="W1423" i="1" s="1"/>
  <c r="U1410" i="1"/>
  <c r="V1410" i="1"/>
  <c r="W1410" i="1" s="1"/>
  <c r="U1411" i="1"/>
  <c r="Y1411" i="1" s="1"/>
  <c r="V1411" i="1"/>
  <c r="W1411" i="1" s="1"/>
  <c r="U1422" i="1"/>
  <c r="Y1422" i="1" s="1"/>
  <c r="V1422" i="1"/>
  <c r="W1422" i="1" s="1"/>
  <c r="X771" i="1" l="1"/>
  <c r="P771" i="1" s="1"/>
  <c r="X39" i="1"/>
  <c r="P39" i="1" s="1"/>
  <c r="X750" i="1"/>
  <c r="P750" i="1" s="1"/>
  <c r="X1127" i="1"/>
  <c r="P1127" i="1" s="1"/>
  <c r="X810" i="1"/>
  <c r="P810" i="1" s="1"/>
  <c r="X1188" i="1"/>
  <c r="P1188" i="1" s="1"/>
  <c r="X1183" i="1"/>
  <c r="P1183" i="1" s="1"/>
  <c r="X182" i="1"/>
  <c r="P182" i="1" s="1"/>
  <c r="X172" i="1"/>
  <c r="P172" i="1" s="1"/>
  <c r="X1211" i="1"/>
  <c r="X745" i="1"/>
  <c r="P745" i="1" s="1"/>
  <c r="X241" i="1"/>
  <c r="P241" i="1" s="1"/>
  <c r="X1352" i="1"/>
  <c r="P1352" i="1" s="1"/>
  <c r="X504" i="1"/>
  <c r="X1058" i="1"/>
  <c r="P1058" i="1" s="1"/>
  <c r="X687" i="1"/>
  <c r="P687" i="1" s="1"/>
  <c r="X537" i="1"/>
  <c r="P537" i="1" s="1"/>
  <c r="X831" i="1"/>
  <c r="X63" i="1"/>
  <c r="P63" i="1" s="1"/>
  <c r="X814" i="1"/>
  <c r="X1006" i="1"/>
  <c r="P1006" i="1" s="1"/>
  <c r="X774" i="1"/>
  <c r="P774" i="1" s="1"/>
  <c r="X32" i="1"/>
  <c r="P32" i="1" s="1"/>
  <c r="X465" i="1"/>
  <c r="P465" i="1" s="1"/>
  <c r="X219" i="1"/>
  <c r="P219" i="1" s="1"/>
  <c r="X1137" i="1"/>
  <c r="P1137" i="1" s="1"/>
  <c r="X1038" i="1"/>
  <c r="P1038" i="1" s="1"/>
  <c r="X742" i="1"/>
  <c r="P742" i="1" s="1"/>
  <c r="X767" i="1"/>
  <c r="P767" i="1" s="1"/>
  <c r="X702" i="1"/>
  <c r="P702" i="1" s="1"/>
  <c r="X893" i="1"/>
  <c r="P893" i="1" s="1"/>
  <c r="X499" i="1"/>
  <c r="P499" i="1" s="1"/>
  <c r="X226" i="1"/>
  <c r="P226" i="1" s="1"/>
  <c r="X220" i="1"/>
  <c r="P220" i="1" s="1"/>
  <c r="X1376" i="1"/>
  <c r="P1376" i="1" s="1"/>
  <c r="Q1376" i="1" s="1"/>
  <c r="R1376" i="1" s="1"/>
  <c r="X738" i="1"/>
  <c r="P738" i="1" s="1"/>
  <c r="X686" i="1"/>
  <c r="P686" i="1" s="1"/>
  <c r="X1418" i="1"/>
  <c r="P1418" i="1" s="1"/>
  <c r="Q1418" i="1" s="1"/>
  <c r="R1418" i="1" s="1"/>
  <c r="X1123" i="1"/>
  <c r="P1123" i="1" s="1"/>
  <c r="X1089" i="1"/>
  <c r="P1089" i="1" s="1"/>
  <c r="X550" i="1"/>
  <c r="X491" i="1"/>
  <c r="P491" i="1" s="1"/>
  <c r="X191" i="1"/>
  <c r="P191" i="1" s="1"/>
  <c r="X1396" i="1"/>
  <c r="P1396" i="1" s="1"/>
  <c r="X855" i="1"/>
  <c r="P855" i="1" s="1"/>
  <c r="X102" i="1"/>
  <c r="X1369" i="1"/>
  <c r="P1369" i="1" s="1"/>
  <c r="Q1369" i="1" s="1"/>
  <c r="R1369" i="1" s="1"/>
  <c r="X1276" i="1"/>
  <c r="P1276" i="1" s="1"/>
  <c r="X1195" i="1"/>
  <c r="P1195" i="1" s="1"/>
  <c r="X1033" i="1"/>
  <c r="P1033" i="1" s="1"/>
  <c r="X1030" i="1"/>
  <c r="P1030" i="1" s="1"/>
  <c r="X962" i="1"/>
  <c r="P962" i="1" s="1"/>
  <c r="X936" i="1"/>
  <c r="P936" i="1" s="1"/>
  <c r="X808" i="1"/>
  <c r="X671" i="1"/>
  <c r="P671" i="1" s="1"/>
  <c r="X545" i="1"/>
  <c r="P545" i="1" s="1"/>
  <c r="X455" i="1"/>
  <c r="P455" i="1" s="1"/>
  <c r="X204" i="1"/>
  <c r="P204" i="1" s="1"/>
  <c r="X126" i="1"/>
  <c r="P126" i="1" s="1"/>
  <c r="X1394" i="1"/>
  <c r="X1234" i="1"/>
  <c r="P1234" i="1" s="1"/>
  <c r="X1022" i="1"/>
  <c r="P1022" i="1" s="1"/>
  <c r="X794" i="1"/>
  <c r="P794" i="1" s="1"/>
  <c r="X658" i="1"/>
  <c r="P658" i="1" s="1"/>
  <c r="X600" i="1"/>
  <c r="P600" i="1" s="1"/>
  <c r="X463" i="1"/>
  <c r="X375" i="1"/>
  <c r="X277" i="1"/>
  <c r="P277" i="1" s="1"/>
  <c r="X1387" i="1"/>
  <c r="P1387" i="1" s="1"/>
  <c r="Q1387" i="1" s="1"/>
  <c r="R1387" i="1" s="1"/>
  <c r="D1441" i="1" s="1"/>
  <c r="X1420" i="1"/>
  <c r="P1420" i="1" s="1"/>
  <c r="X1379" i="1"/>
  <c r="P1379" i="1" s="1"/>
  <c r="X1292" i="1"/>
  <c r="P1292" i="1" s="1"/>
  <c r="X1285" i="1"/>
  <c r="P1285" i="1" s="1"/>
  <c r="Q1285" i="1" s="1"/>
  <c r="R1285" i="1" s="1"/>
  <c r="X1259" i="1"/>
  <c r="X1238" i="1"/>
  <c r="P1238" i="1" s="1"/>
  <c r="X909" i="1"/>
  <c r="P909" i="1" s="1"/>
  <c r="X811" i="1"/>
  <c r="P811" i="1" s="1"/>
  <c r="X693" i="1"/>
  <c r="P693" i="1" s="1"/>
  <c r="X676" i="1"/>
  <c r="P676" i="1" s="1"/>
  <c r="X670" i="1"/>
  <c r="P670" i="1" s="1"/>
  <c r="X583" i="1"/>
  <c r="P583" i="1" s="1"/>
  <c r="X573" i="1"/>
  <c r="P573" i="1" s="1"/>
  <c r="X521" i="1"/>
  <c r="P521" i="1" s="1"/>
  <c r="X421" i="1"/>
  <c r="P421" i="1" s="1"/>
  <c r="X416" i="1"/>
  <c r="P416" i="1" s="1"/>
  <c r="X310" i="1"/>
  <c r="P310" i="1" s="1"/>
  <c r="X131" i="1"/>
  <c r="P131" i="1" s="1"/>
  <c r="X1244" i="1"/>
  <c r="P1244" i="1" s="1"/>
  <c r="X963" i="1"/>
  <c r="P963" i="1" s="1"/>
  <c r="X729" i="1"/>
  <c r="P729" i="1" s="1"/>
  <c r="X663" i="1"/>
  <c r="P663" i="1" s="1"/>
  <c r="X548" i="1"/>
  <c r="P548" i="1" s="1"/>
  <c r="X500" i="1"/>
  <c r="P500" i="1" s="1"/>
  <c r="X485" i="1"/>
  <c r="P485" i="1" s="1"/>
  <c r="X466" i="1"/>
  <c r="P466" i="1" s="1"/>
  <c r="X464" i="1"/>
  <c r="P464" i="1" s="1"/>
  <c r="X409" i="1"/>
  <c r="P409" i="1" s="1"/>
  <c r="X418" i="1"/>
  <c r="P418" i="1" s="1"/>
  <c r="X271" i="1"/>
  <c r="P271" i="1" s="1"/>
  <c r="X299" i="1"/>
  <c r="P299" i="1" s="1"/>
  <c r="X245" i="1"/>
  <c r="P245" i="1" s="1"/>
  <c r="X79" i="1"/>
  <c r="X1343" i="1"/>
  <c r="P1343" i="1" s="1"/>
  <c r="X1166" i="1"/>
  <c r="P1166" i="1" s="1"/>
  <c r="X1153" i="1"/>
  <c r="X970" i="1"/>
  <c r="P970" i="1" s="1"/>
  <c r="X874" i="1"/>
  <c r="P874" i="1" s="1"/>
  <c r="X835" i="1"/>
  <c r="P835" i="1" s="1"/>
  <c r="X756" i="1"/>
  <c r="P756" i="1" s="1"/>
  <c r="X731" i="1"/>
  <c r="P731" i="1" s="1"/>
  <c r="X632" i="1"/>
  <c r="P632" i="1" s="1"/>
  <c r="X628" i="1"/>
  <c r="P628" i="1" s="1"/>
  <c r="X603" i="1"/>
  <c r="P603" i="1" s="1"/>
  <c r="X588" i="1"/>
  <c r="P588" i="1" s="1"/>
  <c r="X560" i="1"/>
  <c r="X554" i="1"/>
  <c r="P554" i="1" s="1"/>
  <c r="Y550" i="1"/>
  <c r="X440" i="1"/>
  <c r="P440" i="1" s="1"/>
  <c r="X470" i="1"/>
  <c r="P470" i="1" s="1"/>
  <c r="X424" i="1"/>
  <c r="P424" i="1" s="1"/>
  <c r="X406" i="1"/>
  <c r="P406" i="1" s="1"/>
  <c r="X371" i="1"/>
  <c r="X340" i="1"/>
  <c r="P340" i="1" s="1"/>
  <c r="X200" i="1"/>
  <c r="P200" i="1" s="1"/>
  <c r="X166" i="1"/>
  <c r="P166" i="1" s="1"/>
  <c r="X160" i="1"/>
  <c r="P160" i="1" s="1"/>
  <c r="X23" i="1"/>
  <c r="P23" i="1" s="1"/>
  <c r="X12" i="1"/>
  <c r="P12" i="1" s="1"/>
  <c r="X1034" i="1"/>
  <c r="P1034" i="1" s="1"/>
  <c r="X857" i="1"/>
  <c r="X547" i="1"/>
  <c r="P547" i="1" s="1"/>
  <c r="X4" i="1"/>
  <c r="X1229" i="1"/>
  <c r="P1229" i="1" s="1"/>
  <c r="X1399" i="1"/>
  <c r="P1399" i="1" s="1"/>
  <c r="X1392" i="1"/>
  <c r="P1392" i="1" s="1"/>
  <c r="X1381" i="1"/>
  <c r="P1381" i="1" s="1"/>
  <c r="Q1381" i="1" s="1"/>
  <c r="R1381" i="1" s="1"/>
  <c r="X1353" i="1"/>
  <c r="P1353" i="1" s="1"/>
  <c r="Q1353" i="1" s="1"/>
  <c r="R1353" i="1" s="1"/>
  <c r="X1250" i="1"/>
  <c r="P1250" i="1" s="1"/>
  <c r="Q1250" i="1" s="1"/>
  <c r="R1250" i="1" s="1"/>
  <c r="X1233" i="1"/>
  <c r="P1233" i="1" s="1"/>
  <c r="X1197" i="1"/>
  <c r="P1197" i="1" s="1"/>
  <c r="X1111" i="1"/>
  <c r="P1111" i="1" s="1"/>
  <c r="X1095" i="1"/>
  <c r="P1095" i="1" s="1"/>
  <c r="X1061" i="1"/>
  <c r="P1061" i="1" s="1"/>
  <c r="X1015" i="1"/>
  <c r="P1015" i="1" s="1"/>
  <c r="X932" i="1"/>
  <c r="P932" i="1" s="1"/>
  <c r="X927" i="1"/>
  <c r="P927" i="1" s="1"/>
  <c r="X833" i="1"/>
  <c r="P833" i="1" s="1"/>
  <c r="X773" i="1"/>
  <c r="P773" i="1" s="1"/>
  <c r="X722" i="1"/>
  <c r="P722" i="1" s="1"/>
  <c r="X706" i="1"/>
  <c r="P706" i="1" s="1"/>
  <c r="X678" i="1"/>
  <c r="P678" i="1" s="1"/>
  <c r="X652" i="1"/>
  <c r="P652" i="1" s="1"/>
  <c r="X589" i="1"/>
  <c r="P589" i="1" s="1"/>
  <c r="X564" i="1"/>
  <c r="P564" i="1" s="1"/>
  <c r="X428" i="1"/>
  <c r="P428" i="1" s="1"/>
  <c r="X393" i="1"/>
  <c r="P393" i="1" s="1"/>
  <c r="X345" i="1"/>
  <c r="P345" i="1" s="1"/>
  <c r="X339" i="1"/>
  <c r="P339" i="1" s="1"/>
  <c r="X292" i="1"/>
  <c r="P292" i="1" s="1"/>
  <c r="X279" i="1"/>
  <c r="X236" i="1"/>
  <c r="P236" i="1" s="1"/>
  <c r="X208" i="1"/>
  <c r="P208" i="1" s="1"/>
  <c r="X137" i="1"/>
  <c r="P137" i="1" s="1"/>
  <c r="X88" i="1"/>
  <c r="P88" i="1" s="1"/>
  <c r="X50" i="1"/>
  <c r="P50" i="1" s="1"/>
  <c r="X45" i="1"/>
  <c r="P45" i="1" s="1"/>
  <c r="X14" i="1"/>
  <c r="P14" i="1" s="1"/>
  <c r="X757" i="1"/>
  <c r="P757" i="1" s="1"/>
  <c r="X543" i="1"/>
  <c r="P543" i="1" s="1"/>
  <c r="X1383" i="1"/>
  <c r="P1383" i="1" s="1"/>
  <c r="X1348" i="1"/>
  <c r="P1348" i="1" s="1"/>
  <c r="Q1348" i="1" s="1"/>
  <c r="R1348" i="1" s="1"/>
  <c r="X1345" i="1"/>
  <c r="P1345" i="1" s="1"/>
  <c r="X1185" i="1"/>
  <c r="P1185" i="1" s="1"/>
  <c r="X1201" i="1"/>
  <c r="P1201" i="1" s="1"/>
  <c r="X1156" i="1"/>
  <c r="P1156" i="1" s="1"/>
  <c r="X1101" i="1"/>
  <c r="P1101" i="1" s="1"/>
  <c r="X1094" i="1"/>
  <c r="P1094" i="1" s="1"/>
  <c r="X1059" i="1"/>
  <c r="P1059" i="1" s="1"/>
  <c r="X873" i="1"/>
  <c r="P873" i="1" s="1"/>
  <c r="X933" i="1"/>
  <c r="P933" i="1" s="1"/>
  <c r="X919" i="1"/>
  <c r="P919" i="1" s="1"/>
  <c r="X912" i="1"/>
  <c r="X826" i="1"/>
  <c r="P826" i="1" s="1"/>
  <c r="X834" i="1"/>
  <c r="P834" i="1" s="1"/>
  <c r="X827" i="1"/>
  <c r="X718" i="1"/>
  <c r="P718" i="1" s="1"/>
  <c r="X708" i="1"/>
  <c r="P708" i="1" s="1"/>
  <c r="X602" i="1"/>
  <c r="P602" i="1" s="1"/>
  <c r="X557" i="1"/>
  <c r="P557" i="1" s="1"/>
  <c r="X544" i="1"/>
  <c r="P544" i="1" s="1"/>
  <c r="X524" i="1"/>
  <c r="P524" i="1" s="1"/>
  <c r="X490" i="1"/>
  <c r="P490" i="1" s="1"/>
  <c r="X425" i="1"/>
  <c r="P425" i="1" s="1"/>
  <c r="X471" i="1"/>
  <c r="P471" i="1" s="1"/>
  <c r="X459" i="1"/>
  <c r="P459" i="1" s="1"/>
  <c r="X437" i="1"/>
  <c r="P437" i="1" s="1"/>
  <c r="X387" i="1"/>
  <c r="P387" i="1" s="1"/>
  <c r="X314" i="1"/>
  <c r="P314" i="1" s="1"/>
  <c r="X68" i="1"/>
  <c r="P68" i="1" s="1"/>
  <c r="X57" i="1"/>
  <c r="P57" i="1" s="1"/>
  <c r="X1311" i="1"/>
  <c r="P1311" i="1" s="1"/>
  <c r="X1149" i="1"/>
  <c r="P1149" i="1" s="1"/>
  <c r="X1099" i="1"/>
  <c r="X978" i="1"/>
  <c r="P978" i="1" s="1"/>
  <c r="X956" i="1"/>
  <c r="P956" i="1" s="1"/>
  <c r="X888" i="1"/>
  <c r="P888" i="1" s="1"/>
  <c r="X914" i="1"/>
  <c r="P914" i="1" s="1"/>
  <c r="X889" i="1"/>
  <c r="P889" i="1" s="1"/>
  <c r="X752" i="1"/>
  <c r="P752" i="1" s="1"/>
  <c r="X788" i="1"/>
  <c r="P788" i="1" s="1"/>
  <c r="X749" i="1"/>
  <c r="X715" i="1"/>
  <c r="P715" i="1" s="1"/>
  <c r="X660" i="1"/>
  <c r="P660" i="1" s="1"/>
  <c r="X578" i="1"/>
  <c r="X587" i="1"/>
  <c r="P587" i="1" s="1"/>
  <c r="X551" i="1"/>
  <c r="P551" i="1" s="1"/>
  <c r="X533" i="1"/>
  <c r="P533" i="1" s="1"/>
  <c r="X326" i="1"/>
  <c r="P326" i="1" s="1"/>
  <c r="X142" i="1"/>
  <c r="P142" i="1" s="1"/>
  <c r="X101" i="1"/>
  <c r="P101" i="1" s="1"/>
  <c r="X817" i="1"/>
  <c r="X54" i="1"/>
  <c r="X1371" i="1"/>
  <c r="P1371" i="1" s="1"/>
  <c r="Q1371" i="1" s="1"/>
  <c r="R1371" i="1" s="1"/>
  <c r="D1465" i="1" s="1"/>
  <c r="X1232" i="1"/>
  <c r="P1232" i="1" s="1"/>
  <c r="X1246" i="1"/>
  <c r="P1246" i="1" s="1"/>
  <c r="X1208" i="1"/>
  <c r="P1208" i="1" s="1"/>
  <c r="X999" i="1"/>
  <c r="P999" i="1" s="1"/>
  <c r="X995" i="1"/>
  <c r="P995" i="1" s="1"/>
  <c r="X1319" i="1"/>
  <c r="P1319" i="1" s="1"/>
  <c r="X1281" i="1"/>
  <c r="P1281" i="1" s="1"/>
  <c r="X1269" i="1"/>
  <c r="P1269" i="1" s="1"/>
  <c r="X1263" i="1"/>
  <c r="P1263" i="1" s="1"/>
  <c r="X1214" i="1"/>
  <c r="P1214" i="1" s="1"/>
  <c r="X1189" i="1"/>
  <c r="P1189" i="1" s="1"/>
  <c r="X1147" i="1"/>
  <c r="P1147" i="1" s="1"/>
  <c r="X1144" i="1"/>
  <c r="X1143" i="1"/>
  <c r="X1116" i="1"/>
  <c r="P1116" i="1" s="1"/>
  <c r="X1053" i="1"/>
  <c r="P1053" i="1" s="1"/>
  <c r="Y1166" i="1"/>
  <c r="X1340" i="1"/>
  <c r="P1340" i="1" s="1"/>
  <c r="X1251" i="1"/>
  <c r="P1251" i="1" s="1"/>
  <c r="X1217" i="1"/>
  <c r="P1217" i="1" s="1"/>
  <c r="X1202" i="1"/>
  <c r="P1202" i="1" s="1"/>
  <c r="X1115" i="1"/>
  <c r="P1115" i="1" s="1"/>
  <c r="X1073" i="1"/>
  <c r="P1073" i="1" s="1"/>
  <c r="X1411" i="1"/>
  <c r="P1411" i="1" s="1"/>
  <c r="Q1411" i="1" s="1"/>
  <c r="R1411" i="1" s="1"/>
  <c r="X1412" i="1"/>
  <c r="P1412" i="1" s="1"/>
  <c r="Q1412" i="1" s="1"/>
  <c r="R1412" i="1" s="1"/>
  <c r="D1470" i="1" s="1"/>
  <c r="X1315" i="1"/>
  <c r="P1315" i="1" s="1"/>
  <c r="X1235" i="1"/>
  <c r="P1235" i="1" s="1"/>
  <c r="X1174" i="1"/>
  <c r="P1174" i="1" s="1"/>
  <c r="X1134" i="1"/>
  <c r="P1134" i="1" s="1"/>
  <c r="X1109" i="1"/>
  <c r="P1109" i="1" s="1"/>
  <c r="X1041" i="1"/>
  <c r="P1041" i="1" s="1"/>
  <c r="X1397" i="1"/>
  <c r="P1397" i="1" s="1"/>
  <c r="X1391" i="1"/>
  <c r="P1391" i="1" s="1"/>
  <c r="X1401" i="1"/>
  <c r="P1401" i="1" s="1"/>
  <c r="X1374" i="1"/>
  <c r="P1374" i="1" s="1"/>
  <c r="Q1374" i="1" s="1"/>
  <c r="R1374" i="1" s="1"/>
  <c r="X1341" i="1"/>
  <c r="P1341" i="1" s="1"/>
  <c r="X1302" i="1"/>
  <c r="P1302" i="1" s="1"/>
  <c r="X1277" i="1"/>
  <c r="P1277" i="1" s="1"/>
  <c r="X1230" i="1"/>
  <c r="P1230" i="1" s="1"/>
  <c r="X1242" i="1"/>
  <c r="P1242" i="1" s="1"/>
  <c r="Y1153" i="1"/>
  <c r="X885" i="1"/>
  <c r="P885" i="1" s="1"/>
  <c r="X994" i="1"/>
  <c r="X951" i="1"/>
  <c r="P951" i="1" s="1"/>
  <c r="X901" i="1"/>
  <c r="P901" i="1" s="1"/>
  <c r="X907" i="1"/>
  <c r="P907" i="1" s="1"/>
  <c r="X879" i="1"/>
  <c r="P879" i="1" s="1"/>
  <c r="X568" i="1"/>
  <c r="P568" i="1" s="1"/>
  <c r="X525" i="1"/>
  <c r="P525" i="1" s="1"/>
  <c r="X512" i="1"/>
  <c r="P512" i="1" s="1"/>
  <c r="X502" i="1"/>
  <c r="P502" i="1" s="1"/>
  <c r="X407" i="1"/>
  <c r="X438" i="1"/>
  <c r="P438" i="1" s="1"/>
  <c r="X414" i="1"/>
  <c r="P414" i="1" s="1"/>
  <c r="X390" i="1"/>
  <c r="P390" i="1" s="1"/>
  <c r="X337" i="1"/>
  <c r="P337" i="1" s="1"/>
  <c r="X335" i="1"/>
  <c r="P335" i="1" s="1"/>
  <c r="X325" i="1"/>
  <c r="P325" i="1" s="1"/>
  <c r="X315" i="1"/>
  <c r="P315" i="1" s="1"/>
  <c r="X312" i="1"/>
  <c r="P312" i="1" s="1"/>
  <c r="Y279" i="1"/>
  <c r="X317" i="1"/>
  <c r="P317" i="1" s="1"/>
  <c r="X185" i="1"/>
  <c r="P185" i="1" s="1"/>
  <c r="X140" i="1"/>
  <c r="P140" i="1" s="1"/>
  <c r="X120" i="1"/>
  <c r="P120" i="1" s="1"/>
  <c r="X99" i="1"/>
  <c r="P99" i="1" s="1"/>
  <c r="X30" i="1"/>
  <c r="P30" i="1" s="1"/>
  <c r="X1085" i="1"/>
  <c r="P1085" i="1" s="1"/>
  <c r="X1084" i="1"/>
  <c r="P1084" i="1" s="1"/>
  <c r="X920" i="1"/>
  <c r="X899" i="1"/>
  <c r="X869" i="1"/>
  <c r="P869" i="1" s="1"/>
  <c r="X848" i="1"/>
  <c r="P848" i="1" s="1"/>
  <c r="X842" i="1"/>
  <c r="P842" i="1" s="1"/>
  <c r="X809" i="1"/>
  <c r="P809" i="1" s="1"/>
  <c r="X795" i="1"/>
  <c r="P795" i="1" s="1"/>
  <c r="X783" i="1"/>
  <c r="P783" i="1" s="1"/>
  <c r="X770" i="1"/>
  <c r="P770" i="1" s="1"/>
  <c r="X704" i="1"/>
  <c r="P704" i="1" s="1"/>
  <c r="X673" i="1"/>
  <c r="P673" i="1" s="1"/>
  <c r="X648" i="1"/>
  <c r="P648" i="1" s="1"/>
  <c r="X519" i="1"/>
  <c r="P519" i="1" s="1"/>
  <c r="X510" i="1"/>
  <c r="P510" i="1" s="1"/>
  <c r="X486" i="1"/>
  <c r="P486" i="1" s="1"/>
  <c r="X474" i="1"/>
  <c r="P474" i="1" s="1"/>
  <c r="X328" i="1"/>
  <c r="P328" i="1" s="1"/>
  <c r="X380" i="1"/>
  <c r="P380" i="1" s="1"/>
  <c r="X363" i="1"/>
  <c r="P363" i="1" s="1"/>
  <c r="X352" i="1"/>
  <c r="P352" i="1" s="1"/>
  <c r="X260" i="1"/>
  <c r="P260" i="1" s="1"/>
  <c r="X155" i="1"/>
  <c r="P155" i="1" s="1"/>
  <c r="X152" i="1"/>
  <c r="P152" i="1" s="1"/>
  <c r="X145" i="1"/>
  <c r="P145" i="1" s="1"/>
  <c r="X128" i="1"/>
  <c r="P128" i="1" s="1"/>
  <c r="X35" i="1"/>
  <c r="P35" i="1" s="1"/>
  <c r="X34" i="1"/>
  <c r="P34" i="1" s="1"/>
  <c r="X26" i="1"/>
  <c r="P26" i="1" s="1"/>
  <c r="X20" i="1"/>
  <c r="P20" i="1" s="1"/>
  <c r="X555" i="1"/>
  <c r="X329" i="1"/>
  <c r="X234" i="1"/>
  <c r="X229" i="1"/>
  <c r="X941" i="1"/>
  <c r="P941" i="1" s="1"/>
  <c r="X877" i="1"/>
  <c r="P877" i="1" s="1"/>
  <c r="X807" i="1"/>
  <c r="P807" i="1" s="1"/>
  <c r="X762" i="1"/>
  <c r="P762" i="1" s="1"/>
  <c r="X741" i="1"/>
  <c r="P741" i="1" s="1"/>
  <c r="X735" i="1"/>
  <c r="P735" i="1" s="1"/>
  <c r="X653" i="1"/>
  <c r="P653" i="1" s="1"/>
  <c r="X638" i="1"/>
  <c r="P638" i="1" s="1"/>
  <c r="X636" i="1"/>
  <c r="P636" i="1" s="1"/>
  <c r="X536" i="1"/>
  <c r="P536" i="1" s="1"/>
  <c r="X549" i="1"/>
  <c r="X540" i="1"/>
  <c r="P540" i="1" s="1"/>
  <c r="X516" i="1"/>
  <c r="P516" i="1" s="1"/>
  <c r="X453" i="1"/>
  <c r="P453" i="1" s="1"/>
  <c r="X447" i="1"/>
  <c r="P447" i="1" s="1"/>
  <c r="X382" i="1"/>
  <c r="P382" i="1" s="1"/>
  <c r="X408" i="1"/>
  <c r="P408" i="1" s="1"/>
  <c r="X376" i="1"/>
  <c r="P376" i="1" s="1"/>
  <c r="X368" i="1"/>
  <c r="P368" i="1" s="1"/>
  <c r="X281" i="1"/>
  <c r="P281" i="1" s="1"/>
  <c r="X252" i="1"/>
  <c r="P252" i="1" s="1"/>
  <c r="X257" i="1"/>
  <c r="P257" i="1" s="1"/>
  <c r="X432" i="1"/>
  <c r="X367" i="1"/>
  <c r="P367" i="1" s="1"/>
  <c r="X186" i="1"/>
  <c r="P186" i="1" s="1"/>
  <c r="X163" i="1"/>
  <c r="P163" i="1" s="1"/>
  <c r="X161" i="1"/>
  <c r="P161" i="1" s="1"/>
  <c r="X153" i="1"/>
  <c r="P153" i="1" s="1"/>
  <c r="X28" i="1"/>
  <c r="P28" i="1" s="1"/>
  <c r="X880" i="1"/>
  <c r="P880" i="1" s="1"/>
  <c r="X822" i="1"/>
  <c r="P822" i="1" s="1"/>
  <c r="X622" i="1"/>
  <c r="P622" i="1" s="1"/>
  <c r="X698" i="1"/>
  <c r="P698" i="1" s="1"/>
  <c r="X679" i="1"/>
  <c r="P679" i="1" s="1"/>
  <c r="X586" i="1"/>
  <c r="P586" i="1" s="1"/>
  <c r="X535" i="1"/>
  <c r="P535" i="1" s="1"/>
  <c r="X507" i="1"/>
  <c r="P507" i="1" s="1"/>
  <c r="X493" i="1"/>
  <c r="P493" i="1" s="1"/>
  <c r="X482" i="1"/>
  <c r="P482" i="1" s="1"/>
  <c r="X468" i="1"/>
  <c r="P468" i="1" s="1"/>
  <c r="X1071" i="1"/>
  <c r="P1071" i="1" s="1"/>
  <c r="X1100" i="1"/>
  <c r="P1100" i="1" s="1"/>
  <c r="X961" i="1"/>
  <c r="P961" i="1" s="1"/>
  <c r="X849" i="1"/>
  <c r="P849" i="1" s="1"/>
  <c r="X843" i="1"/>
  <c r="P843" i="1" s="1"/>
  <c r="X851" i="1"/>
  <c r="P851" i="1" s="1"/>
  <c r="X819" i="1"/>
  <c r="P819" i="1" s="1"/>
  <c r="X798" i="1"/>
  <c r="P798" i="1" s="1"/>
  <c r="X778" i="1"/>
  <c r="P778" i="1" s="1"/>
  <c r="X765" i="1"/>
  <c r="P765" i="1" s="1"/>
  <c r="X734" i="1"/>
  <c r="P734" i="1" s="1"/>
  <c r="X682" i="1"/>
  <c r="P682" i="1" s="1"/>
  <c r="X517" i="1"/>
  <c r="P517" i="1" s="1"/>
  <c r="X506" i="1"/>
  <c r="P506" i="1" s="1"/>
  <c r="X830" i="1"/>
  <c r="P830" i="1" s="1"/>
  <c r="X452" i="1"/>
  <c r="P452" i="1" s="1"/>
  <c r="X445" i="1"/>
  <c r="X426" i="1"/>
  <c r="P426" i="1" s="1"/>
  <c r="X379" i="1"/>
  <c r="P379" i="1" s="1"/>
  <c r="X327" i="1"/>
  <c r="P327" i="1" s="1"/>
  <c r="X366" i="1"/>
  <c r="P366" i="1" s="1"/>
  <c r="X351" i="1"/>
  <c r="P351" i="1" s="1"/>
  <c r="X336" i="1"/>
  <c r="P336" i="1" s="1"/>
  <c r="X264" i="1"/>
  <c r="P264" i="1" s="1"/>
  <c r="X258" i="1"/>
  <c r="P258" i="1" s="1"/>
  <c r="X210" i="1"/>
  <c r="X184" i="1"/>
  <c r="P184" i="1" s="1"/>
  <c r="X143" i="1"/>
  <c r="P143" i="1" s="1"/>
  <c r="X144" i="1"/>
  <c r="P144" i="1" s="1"/>
  <c r="X115" i="1"/>
  <c r="P115" i="1" s="1"/>
  <c r="X105" i="1"/>
  <c r="P105" i="1" s="1"/>
  <c r="Y99" i="1"/>
  <c r="X49" i="1"/>
  <c r="P49" i="1" s="1"/>
  <c r="X3" i="1"/>
  <c r="P3" i="1" s="1"/>
  <c r="Y234" i="1"/>
  <c r="X13" i="1"/>
  <c r="P13" i="1" s="1"/>
  <c r="X10" i="1"/>
  <c r="P10" i="1" s="1"/>
  <c r="X1178" i="1"/>
  <c r="X1093" i="1"/>
  <c r="X984" i="1"/>
  <c r="P984" i="1" s="1"/>
  <c r="X697" i="1"/>
  <c r="P697" i="1" s="1"/>
  <c r="X1336" i="1"/>
  <c r="P1336" i="1" s="1"/>
  <c r="X1237" i="1"/>
  <c r="X231" i="1"/>
  <c r="X1373" i="1"/>
  <c r="P1373" i="1" s="1"/>
  <c r="Q1373" i="1" s="1"/>
  <c r="R1373" i="1" s="1"/>
  <c r="X1310" i="1"/>
  <c r="X1179" i="1"/>
  <c r="X347" i="1"/>
  <c r="X40" i="1"/>
  <c r="X1078" i="1"/>
  <c r="X866" i="1"/>
  <c r="X1388" i="1"/>
  <c r="X1344" i="1"/>
  <c r="X1323" i="1"/>
  <c r="P1323" i="1" s="1"/>
  <c r="X1112" i="1"/>
  <c r="X1072" i="1"/>
  <c r="X997" i="1"/>
  <c r="X990" i="1"/>
  <c r="X666" i="1"/>
  <c r="P666" i="1" s="1"/>
  <c r="X494" i="1"/>
  <c r="X194" i="1"/>
  <c r="X158" i="1"/>
  <c r="X56" i="1"/>
  <c r="X1337" i="1"/>
  <c r="X1060" i="1"/>
  <c r="P1060" i="1" s="1"/>
  <c r="X496" i="1"/>
  <c r="P496" i="1" s="1"/>
  <c r="X1409" i="1"/>
  <c r="X1382" i="1"/>
  <c r="X1331" i="1"/>
  <c r="X1226" i="1"/>
  <c r="X1173" i="1"/>
  <c r="X1097" i="1"/>
  <c r="X887" i="1"/>
  <c r="P887" i="1" s="1"/>
  <c r="X872" i="1"/>
  <c r="P872" i="1" s="1"/>
  <c r="X823" i="1"/>
  <c r="P823" i="1" s="1"/>
  <c r="X703" i="1"/>
  <c r="P703" i="1" s="1"/>
  <c r="X701" i="1"/>
  <c r="P701" i="1" s="1"/>
  <c r="X383" i="1"/>
  <c r="P383" i="1" s="1"/>
  <c r="X307" i="1"/>
  <c r="X238" i="1"/>
  <c r="X81" i="1"/>
  <c r="X44" i="1"/>
  <c r="X9" i="1"/>
  <c r="P9" i="1" s="1"/>
  <c r="X946" i="1"/>
  <c r="P946" i="1" s="1"/>
  <c r="X852" i="1"/>
  <c r="X737" i="1"/>
  <c r="X148" i="1"/>
  <c r="X136" i="1"/>
  <c r="X1265" i="1"/>
  <c r="X1121" i="1"/>
  <c r="X1333" i="1"/>
  <c r="X1004" i="1"/>
  <c r="X960" i="1"/>
  <c r="X940" i="1"/>
  <c r="P940" i="1" s="1"/>
  <c r="X868" i="1"/>
  <c r="P868" i="1" s="1"/>
  <c r="X821" i="1"/>
  <c r="P821" i="1" s="1"/>
  <c r="X534" i="1"/>
  <c r="P534" i="1" s="1"/>
  <c r="X444" i="1"/>
  <c r="P444" i="1" s="1"/>
  <c r="X73" i="1"/>
  <c r="P73" i="1" s="1"/>
  <c r="X538" i="1"/>
  <c r="X571" i="1"/>
  <c r="P571" i="1" s="1"/>
  <c r="X308" i="1"/>
  <c r="X1118" i="1"/>
  <c r="X1025" i="1"/>
  <c r="X971" i="1"/>
  <c r="X923" i="1"/>
  <c r="X840" i="1"/>
  <c r="X1308" i="1"/>
  <c r="X1271" i="1"/>
  <c r="X1070" i="1"/>
  <c r="X171" i="1"/>
  <c r="X116" i="1"/>
  <c r="X113" i="1"/>
  <c r="X1288" i="1"/>
  <c r="P1288" i="1" s="1"/>
  <c r="X1260" i="1"/>
  <c r="P1260" i="1" s="1"/>
  <c r="X1247" i="1"/>
  <c r="X1191" i="1"/>
  <c r="X1090" i="1"/>
  <c r="X968" i="1"/>
  <c r="P968" i="1" s="1"/>
  <c r="X930" i="1"/>
  <c r="X929" i="1"/>
  <c r="X882" i="1"/>
  <c r="X876" i="1"/>
  <c r="X859" i="1"/>
  <c r="P859" i="1" s="1"/>
  <c r="X1043" i="1"/>
  <c r="X805" i="1"/>
  <c r="P805" i="1" s="1"/>
  <c r="X650" i="1"/>
  <c r="P650" i="1" s="1"/>
  <c r="X563" i="1"/>
  <c r="P563" i="1" s="1"/>
  <c r="X542" i="1"/>
  <c r="X488" i="1"/>
  <c r="X443" i="1"/>
  <c r="X401" i="1"/>
  <c r="X71" i="1"/>
  <c r="X1410" i="1"/>
  <c r="X1370" i="1"/>
  <c r="P1370" i="1" s="1"/>
  <c r="Q1370" i="1" s="1"/>
  <c r="R1370" i="1" s="1"/>
  <c r="X1368" i="1"/>
  <c r="P1368" i="1" s="1"/>
  <c r="X1363" i="1"/>
  <c r="P1363" i="1" s="1"/>
  <c r="X1356" i="1"/>
  <c r="P1356" i="1" s="1"/>
  <c r="Q1356" i="1" s="1"/>
  <c r="R1356" i="1" s="1"/>
  <c r="Y1344" i="1"/>
  <c r="X1334" i="1"/>
  <c r="P1334" i="1" s="1"/>
  <c r="Q1334" i="1" s="1"/>
  <c r="R1334" i="1" s="1"/>
  <c r="Y1333" i="1"/>
  <c r="X1273" i="1"/>
  <c r="P1273" i="1" s="1"/>
  <c r="X1324" i="1"/>
  <c r="P1324" i="1" s="1"/>
  <c r="X1316" i="1"/>
  <c r="P1316" i="1" s="1"/>
  <c r="X1309" i="1"/>
  <c r="X1318" i="1"/>
  <c r="P1318" i="1" s="1"/>
  <c r="X1301" i="1"/>
  <c r="P1301" i="1" s="1"/>
  <c r="X1298" i="1"/>
  <c r="P1298" i="1" s="1"/>
  <c r="Q1298" i="1" s="1"/>
  <c r="R1298" i="1" s="1"/>
  <c r="X1296" i="1"/>
  <c r="X1287" i="1"/>
  <c r="P1287" i="1" s="1"/>
  <c r="X1282" i="1"/>
  <c r="X1284" i="1"/>
  <c r="P1284" i="1" s="1"/>
  <c r="X1266" i="1"/>
  <c r="X1227" i="1"/>
  <c r="X1215" i="1"/>
  <c r="X1167" i="1"/>
  <c r="P1167" i="1" s="1"/>
  <c r="X1152" i="1"/>
  <c r="X1141" i="1"/>
  <c r="X1413" i="1"/>
  <c r="P1413" i="1" s="1"/>
  <c r="X1408" i="1"/>
  <c r="P1408" i="1" s="1"/>
  <c r="X1327" i="1"/>
  <c r="X1404" i="1"/>
  <c r="X1405" i="1"/>
  <c r="X1389" i="1"/>
  <c r="X1386" i="1"/>
  <c r="X1378" i="1"/>
  <c r="X1362" i="1"/>
  <c r="X1299" i="1"/>
  <c r="X1280" i="1"/>
  <c r="X1267" i="1"/>
  <c r="P1267" i="1" s="1"/>
  <c r="X1252" i="1"/>
  <c r="X1241" i="1"/>
  <c r="P1241" i="1" s="1"/>
  <c r="X1240" i="1"/>
  <c r="X1221" i="1"/>
  <c r="P1221" i="1" s="1"/>
  <c r="X1222" i="1"/>
  <c r="X1216" i="1"/>
  <c r="P1216" i="1" s="1"/>
  <c r="X1199" i="1"/>
  <c r="P1199" i="1" s="1"/>
  <c r="X1192" i="1"/>
  <c r="Y1191" i="1"/>
  <c r="X1181" i="1"/>
  <c r="P1181" i="1" s="1"/>
  <c r="X1163" i="1"/>
  <c r="X1279" i="1"/>
  <c r="P1279" i="1" s="1"/>
  <c r="X1155" i="1"/>
  <c r="X1117" i="1"/>
  <c r="P1117" i="1" s="1"/>
  <c r="X1055" i="1"/>
  <c r="Y1055" i="1"/>
  <c r="X1415" i="1"/>
  <c r="X1402" i="1"/>
  <c r="P1402" i="1" s="1"/>
  <c r="Q1402" i="1" s="1"/>
  <c r="X1385" i="1"/>
  <c r="X1375" i="1"/>
  <c r="P1375" i="1" s="1"/>
  <c r="Q1375" i="1" s="1"/>
  <c r="R1375" i="1" s="1"/>
  <c r="X1403" i="1"/>
  <c r="P1403" i="1" s="1"/>
  <c r="X1366" i="1"/>
  <c r="P1366" i="1" s="1"/>
  <c r="X1421" i="1"/>
  <c r="P1421" i="1" s="1"/>
  <c r="Q1421" i="1" s="1"/>
  <c r="R1421" i="1" s="1"/>
  <c r="X1354" i="1"/>
  <c r="P1354" i="1" s="1"/>
  <c r="X1346" i="1"/>
  <c r="P1346" i="1" s="1"/>
  <c r="X1339" i="1"/>
  <c r="P1339" i="1" s="1"/>
  <c r="Q1339" i="1" s="1"/>
  <c r="R1339" i="1" s="1"/>
  <c r="X1329" i="1"/>
  <c r="P1329" i="1" s="1"/>
  <c r="Q1329" i="1" s="1"/>
  <c r="R1329" i="1" s="1"/>
  <c r="X1325" i="1"/>
  <c r="P1325" i="1" s="1"/>
  <c r="X1312" i="1"/>
  <c r="P1312" i="1" s="1"/>
  <c r="X1313" i="1"/>
  <c r="P1313" i="1" s="1"/>
  <c r="X1295" i="1"/>
  <c r="P1295" i="1" s="1"/>
  <c r="X1307" i="1"/>
  <c r="P1307" i="1" s="1"/>
  <c r="X1290" i="1"/>
  <c r="P1290" i="1" s="1"/>
  <c r="X1286" i="1"/>
  <c r="P1286" i="1" s="1"/>
  <c r="X1293" i="1"/>
  <c r="P1293" i="1" s="1"/>
  <c r="X1272" i="1"/>
  <c r="X1264" i="1"/>
  <c r="P1264" i="1" s="1"/>
  <c r="X1256" i="1"/>
  <c r="X1228" i="1"/>
  <c r="P1228" i="1" s="1"/>
  <c r="X1200" i="1"/>
  <c r="P1200" i="1" s="1"/>
  <c r="X1168" i="1"/>
  <c r="P1168" i="1" s="1"/>
  <c r="X1150" i="1"/>
  <c r="Y1144" i="1"/>
  <c r="X1157" i="1"/>
  <c r="P1157" i="1" s="1"/>
  <c r="Y1118" i="1"/>
  <c r="Y1112" i="1"/>
  <c r="Y1098" i="1"/>
  <c r="X1098" i="1"/>
  <c r="X1074" i="1"/>
  <c r="Y1074" i="1"/>
  <c r="X1350" i="1"/>
  <c r="P1350" i="1" s="1"/>
  <c r="Q1350" i="1" s="1"/>
  <c r="R1350" i="1" s="1"/>
  <c r="X1306" i="1"/>
  <c r="P1306" i="1" s="1"/>
  <c r="X1289" i="1"/>
  <c r="X1255" i="1"/>
  <c r="P1255" i="1" s="1"/>
  <c r="X1261" i="1"/>
  <c r="P1261" i="1" s="1"/>
  <c r="X1220" i="1"/>
  <c r="X1206" i="1"/>
  <c r="P1206" i="1" s="1"/>
  <c r="X1196" i="1"/>
  <c r="P1196" i="1" s="1"/>
  <c r="X1190" i="1"/>
  <c r="X1175" i="1"/>
  <c r="X1170" i="1"/>
  <c r="P1170" i="1" s="1"/>
  <c r="X1165" i="1"/>
  <c r="P1165" i="1" s="1"/>
  <c r="X1161" i="1"/>
  <c r="P1161" i="1" s="1"/>
  <c r="X1145" i="1"/>
  <c r="Y1145" i="1"/>
  <c r="X1158" i="1"/>
  <c r="P1158" i="1" s="1"/>
  <c r="X1140" i="1"/>
  <c r="P1140" i="1" s="1"/>
  <c r="X1131" i="1"/>
  <c r="P1131" i="1" s="1"/>
  <c r="X1108" i="1"/>
  <c r="P1108" i="1" s="1"/>
  <c r="X949" i="1"/>
  <c r="X1047" i="1"/>
  <c r="Y1047" i="1"/>
  <c r="X1335" i="1"/>
  <c r="P1335" i="1" s="1"/>
  <c r="X1332" i="1"/>
  <c r="X1328" i="1"/>
  <c r="P1328" i="1" s="1"/>
  <c r="X1317" i="1"/>
  <c r="X1278" i="1"/>
  <c r="P1278" i="1" s="1"/>
  <c r="X1253" i="1"/>
  <c r="P1253" i="1" s="1"/>
  <c r="Y1173" i="1"/>
  <c r="X1169" i="1"/>
  <c r="P1169" i="1" s="1"/>
  <c r="X1138" i="1"/>
  <c r="P1138" i="1" s="1"/>
  <c r="X1113" i="1"/>
  <c r="P1113" i="1" s="1"/>
  <c r="Y1106" i="1"/>
  <c r="X1106" i="1"/>
  <c r="X1104" i="1"/>
  <c r="P1104" i="1" s="1"/>
  <c r="X1091" i="1"/>
  <c r="P1091" i="1" s="1"/>
  <c r="Y1078" i="1"/>
  <c r="X1416" i="1"/>
  <c r="P1416" i="1" s="1"/>
  <c r="X1338" i="1"/>
  <c r="P1338" i="1" s="1"/>
  <c r="X1330" i="1"/>
  <c r="P1330" i="1" s="1"/>
  <c r="Q1330" i="1" s="1"/>
  <c r="R1330" i="1" s="1"/>
  <c r="X1322" i="1"/>
  <c r="P1322" i="1" s="1"/>
  <c r="X1320" i="1"/>
  <c r="P1320" i="1" s="1"/>
  <c r="X1304" i="1"/>
  <c r="P1304" i="1" s="1"/>
  <c r="X1305" i="1"/>
  <c r="P1305" i="1" s="1"/>
  <c r="Q1305" i="1" s="1"/>
  <c r="R1305" i="1" s="1"/>
  <c r="X1275" i="1"/>
  <c r="X1268" i="1"/>
  <c r="Y1265" i="1"/>
  <c r="X1262" i="1"/>
  <c r="P1262" i="1" s="1"/>
  <c r="X1257" i="1"/>
  <c r="P1257" i="1" s="1"/>
  <c r="X1249" i="1"/>
  <c r="X1248" i="1"/>
  <c r="P1248" i="1" s="1"/>
  <c r="X1239" i="1"/>
  <c r="P1239" i="1" s="1"/>
  <c r="Y1227" i="1"/>
  <c r="Y1226" i="1"/>
  <c r="X1223" i="1"/>
  <c r="P1223" i="1" s="1"/>
  <c r="X1209" i="1"/>
  <c r="P1209" i="1" s="1"/>
  <c r="X1203" i="1"/>
  <c r="P1203" i="1" s="1"/>
  <c r="X1187" i="1"/>
  <c r="P1187" i="1" s="1"/>
  <c r="X1159" i="1"/>
  <c r="P1159" i="1" s="1"/>
  <c r="X1142" i="1"/>
  <c r="P1142" i="1" s="1"/>
  <c r="X1274" i="1"/>
  <c r="P1274" i="1" s="1"/>
  <c r="X1148" i="1"/>
  <c r="P1148" i="1" s="1"/>
  <c r="X1132" i="1"/>
  <c r="P1132" i="1" s="1"/>
  <c r="X1110" i="1"/>
  <c r="P1110" i="1" s="1"/>
  <c r="X1088" i="1"/>
  <c r="P1088" i="1" s="1"/>
  <c r="X890" i="1"/>
  <c r="X1395" i="1"/>
  <c r="X1407" i="1"/>
  <c r="Y1404" i="1"/>
  <c r="X1398" i="1"/>
  <c r="Y1405" i="1"/>
  <c r="Y1389" i="1"/>
  <c r="X1390" i="1"/>
  <c r="Y1385" i="1"/>
  <c r="Y1386" i="1"/>
  <c r="X1384" i="1"/>
  <c r="Y1378" i="1"/>
  <c r="Y1375" i="1"/>
  <c r="X1377" i="1"/>
  <c r="X1365" i="1"/>
  <c r="P1365" i="1" s="1"/>
  <c r="Y1362" i="1"/>
  <c r="X1357" i="1"/>
  <c r="P1357" i="1" s="1"/>
  <c r="X1358" i="1"/>
  <c r="X1351" i="1"/>
  <c r="X1349" i="1"/>
  <c r="X1342" i="1"/>
  <c r="X1326" i="1"/>
  <c r="P1326" i="1" s="1"/>
  <c r="X1294" i="1"/>
  <c r="P1294" i="1" s="1"/>
  <c r="X1321" i="1"/>
  <c r="P1321" i="1" s="1"/>
  <c r="X1303" i="1"/>
  <c r="P1303" i="1" s="1"/>
  <c r="X1300" i="1"/>
  <c r="X1297" i="1"/>
  <c r="P1297" i="1" s="1"/>
  <c r="Q1297" i="1" s="1"/>
  <c r="R1297" i="1" s="1"/>
  <c r="Y1280" i="1"/>
  <c r="X1270" i="1"/>
  <c r="P1270" i="1" s="1"/>
  <c r="Y1252" i="1"/>
  <c r="X1218" i="1"/>
  <c r="P1218" i="1" s="1"/>
  <c r="X1212" i="1"/>
  <c r="P1212" i="1" s="1"/>
  <c r="X1204" i="1"/>
  <c r="P1204" i="1" s="1"/>
  <c r="X1198" i="1"/>
  <c r="P1198" i="1" s="1"/>
  <c r="X1193" i="1"/>
  <c r="P1193" i="1" s="1"/>
  <c r="X1164" i="1"/>
  <c r="P1164" i="1" s="1"/>
  <c r="Y1152" i="1"/>
  <c r="X1120" i="1"/>
  <c r="P1120" i="1" s="1"/>
  <c r="Y1097" i="1"/>
  <c r="X1079" i="1"/>
  <c r="Y1079" i="1"/>
  <c r="X948" i="1"/>
  <c r="Y948" i="1"/>
  <c r="X1291" i="1"/>
  <c r="P1291" i="1" s="1"/>
  <c r="X1283" i="1"/>
  <c r="P1283" i="1" s="1"/>
  <c r="X1258" i="1"/>
  <c r="P1258" i="1" s="1"/>
  <c r="Q1258" i="1" s="1"/>
  <c r="R1258" i="1" s="1"/>
  <c r="X1245" i="1"/>
  <c r="X1236" i="1"/>
  <c r="X1231" i="1"/>
  <c r="P1231" i="1" s="1"/>
  <c r="X1219" i="1"/>
  <c r="P1219" i="1" s="1"/>
  <c r="X1205" i="1"/>
  <c r="Y1124" i="1"/>
  <c r="X1124" i="1"/>
  <c r="X1105" i="1"/>
  <c r="Y1105" i="1"/>
  <c r="X1064" i="1"/>
  <c r="Y1064" i="1"/>
  <c r="X916" i="1"/>
  <c r="X1019" i="1"/>
  <c r="X1014" i="1"/>
  <c r="X1008" i="1"/>
  <c r="X992" i="1"/>
  <c r="X974" i="1"/>
  <c r="P974" i="1" s="1"/>
  <c r="X967" i="1"/>
  <c r="X952" i="1"/>
  <c r="P952" i="1" s="1"/>
  <c r="X939" i="1"/>
  <c r="X905" i="1"/>
  <c r="Y899" i="1"/>
  <c r="X898" i="1"/>
  <c r="X881" i="1"/>
  <c r="Y876" i="1"/>
  <c r="X861" i="1"/>
  <c r="P861" i="1" s="1"/>
  <c r="X856" i="1"/>
  <c r="X1119" i="1"/>
  <c r="P1119" i="1" s="1"/>
  <c r="X1096" i="1"/>
  <c r="X1076" i="1"/>
  <c r="P1076" i="1" s="1"/>
  <c r="X1062" i="1"/>
  <c r="P1062" i="1" s="1"/>
  <c r="X1066" i="1"/>
  <c r="P1066" i="1" s="1"/>
  <c r="X1049" i="1"/>
  <c r="X1037" i="1"/>
  <c r="X1028" i="1"/>
  <c r="P1028" i="1" s="1"/>
  <c r="X1026" i="1"/>
  <c r="P1026" i="1" s="1"/>
  <c r="X1018" i="1"/>
  <c r="P1018" i="1" s="1"/>
  <c r="X1009" i="1"/>
  <c r="P1009" i="1" s="1"/>
  <c r="X1003" i="1"/>
  <c r="P1003" i="1" s="1"/>
  <c r="X1005" i="1"/>
  <c r="X1001" i="1"/>
  <c r="P1001" i="1" s="1"/>
  <c r="X977" i="1"/>
  <c r="P977" i="1" s="1"/>
  <c r="Y968" i="1"/>
  <c r="Y929" i="1"/>
  <c r="X926" i="1"/>
  <c r="P926" i="1" s="1"/>
  <c r="Y920" i="1"/>
  <c r="X844" i="1"/>
  <c r="P844" i="1" s="1"/>
  <c r="Y857" i="1"/>
  <c r="X801" i="1"/>
  <c r="P801" i="1" s="1"/>
  <c r="X982" i="1"/>
  <c r="P982" i="1" s="1"/>
  <c r="X896" i="1"/>
  <c r="P896" i="1" s="1"/>
  <c r="X884" i="1"/>
  <c r="P884" i="1" s="1"/>
  <c r="X870" i="1"/>
  <c r="P870" i="1" s="1"/>
  <c r="X865" i="1"/>
  <c r="P865" i="1" s="1"/>
  <c r="X751" i="1"/>
  <c r="Y751" i="1"/>
  <c r="X1125" i="1"/>
  <c r="X1172" i="1"/>
  <c r="P1172" i="1" s="1"/>
  <c r="X1103" i="1"/>
  <c r="P1103" i="1" s="1"/>
  <c r="X1092" i="1"/>
  <c r="X1086" i="1"/>
  <c r="P1086" i="1" s="1"/>
  <c r="X1080" i="1"/>
  <c r="X1067" i="1"/>
  <c r="P1067" i="1" s="1"/>
  <c r="X1036" i="1"/>
  <c r="P1036" i="1" s="1"/>
  <c r="X1020" i="1"/>
  <c r="X1011" i="1"/>
  <c r="X1010" i="1"/>
  <c r="P1010" i="1" s="1"/>
  <c r="X983" i="1"/>
  <c r="X972" i="1"/>
  <c r="X965" i="1"/>
  <c r="P965" i="1" s="1"/>
  <c r="Y960" i="1"/>
  <c r="Y923" i="1"/>
  <c r="Y916" i="1"/>
  <c r="Y912" i="1"/>
  <c r="X906" i="1"/>
  <c r="P906" i="1" s="1"/>
  <c r="Y890" i="1"/>
  <c r="X892" i="1"/>
  <c r="Y887" i="1"/>
  <c r="X883" i="1"/>
  <c r="P883" i="1" s="1"/>
  <c r="X863" i="1"/>
  <c r="P863" i="1" s="1"/>
  <c r="Y852" i="1"/>
  <c r="X853" i="1"/>
  <c r="Y1043" i="1"/>
  <c r="X838" i="1"/>
  <c r="P838" i="1" s="1"/>
  <c r="X816" i="1"/>
  <c r="Y816" i="1"/>
  <c r="X758" i="1"/>
  <c r="P758" i="1" s="1"/>
  <c r="X886" i="1"/>
  <c r="P886" i="1" s="1"/>
  <c r="X804" i="1"/>
  <c r="Y804" i="1"/>
  <c r="X1162" i="1"/>
  <c r="X1146" i="1"/>
  <c r="X1114" i="1"/>
  <c r="X1102" i="1"/>
  <c r="X1087" i="1"/>
  <c r="P1087" i="1" s="1"/>
  <c r="X1081" i="1"/>
  <c r="P1081" i="1" s="1"/>
  <c r="X1075" i="1"/>
  <c r="X1069" i="1"/>
  <c r="P1069" i="1" s="1"/>
  <c r="X1063" i="1"/>
  <c r="P1063" i="1" s="1"/>
  <c r="X1068" i="1"/>
  <c r="P1068" i="1" s="1"/>
  <c r="X1057" i="1"/>
  <c r="X1077" i="1"/>
  <c r="X1048" i="1"/>
  <c r="X1027" i="1"/>
  <c r="P1027" i="1" s="1"/>
  <c r="X1023" i="1"/>
  <c r="X1013" i="1"/>
  <c r="Y1008" i="1"/>
  <c r="X989" i="1"/>
  <c r="P989" i="1" s="1"/>
  <c r="X987" i="1"/>
  <c r="P987" i="1" s="1"/>
  <c r="X980" i="1"/>
  <c r="P980" i="1" s="1"/>
  <c r="Y967" i="1"/>
  <c r="X964" i="1"/>
  <c r="P964" i="1" s="1"/>
  <c r="X953" i="1"/>
  <c r="Y952" i="1"/>
  <c r="X950" i="1"/>
  <c r="P950" i="1" s="1"/>
  <c r="Y939" i="1"/>
  <c r="X937" i="1"/>
  <c r="P937" i="1" s="1"/>
  <c r="X904" i="1"/>
  <c r="Y905" i="1"/>
  <c r="Y881" i="1"/>
  <c r="X846" i="1"/>
  <c r="P846" i="1" s="1"/>
  <c r="X836" i="1"/>
  <c r="P836" i="1" s="1"/>
  <c r="Y814" i="1"/>
  <c r="X785" i="1"/>
  <c r="X572" i="1"/>
  <c r="P572" i="1" s="1"/>
  <c r="X1052" i="1"/>
  <c r="P1052" i="1" s="1"/>
  <c r="X1054" i="1"/>
  <c r="X955" i="1"/>
  <c r="P955" i="1" s="1"/>
  <c r="X1035" i="1"/>
  <c r="X1051" i="1"/>
  <c r="P1051" i="1" s="1"/>
  <c r="X1031" i="1"/>
  <c r="X1021" i="1"/>
  <c r="P1021" i="1" s="1"/>
  <c r="X1016" i="1"/>
  <c r="P1016" i="1" s="1"/>
  <c r="X775" i="1"/>
  <c r="Y775" i="1"/>
  <c r="X1044" i="1"/>
  <c r="X1029" i="1"/>
  <c r="X1024" i="1"/>
  <c r="P1024" i="1" s="1"/>
  <c r="X1017" i="1"/>
  <c r="X1002" i="1"/>
  <c r="P1002" i="1" s="1"/>
  <c r="X993" i="1"/>
  <c r="P993" i="1" s="1"/>
  <c r="X864" i="1"/>
  <c r="X839" i="1"/>
  <c r="Y839" i="1"/>
  <c r="X789" i="1"/>
  <c r="P789" i="1" s="1"/>
  <c r="X712" i="1"/>
  <c r="P712" i="1" s="1"/>
  <c r="X713" i="1"/>
  <c r="P713" i="1" s="1"/>
  <c r="X615" i="1"/>
  <c r="P615" i="1" s="1"/>
  <c r="X685" i="1"/>
  <c r="X668" i="1"/>
  <c r="P668" i="1" s="1"/>
  <c r="X664" i="1"/>
  <c r="X655" i="1"/>
  <c r="P655" i="1" s="1"/>
  <c r="X654" i="1"/>
  <c r="P654" i="1" s="1"/>
  <c r="X647" i="1"/>
  <c r="P647" i="1" s="1"/>
  <c r="X420" i="1"/>
  <c r="P420" i="1" s="1"/>
  <c r="Y361" i="1"/>
  <c r="X361" i="1"/>
  <c r="X699" i="1"/>
  <c r="P699" i="1" s="1"/>
  <c r="X1130" i="1"/>
  <c r="P1130" i="1" s="1"/>
  <c r="X688" i="1"/>
  <c r="X684" i="1"/>
  <c r="X672" i="1"/>
  <c r="P672" i="1" s="1"/>
  <c r="X656" i="1"/>
  <c r="P656" i="1" s="1"/>
  <c r="X577" i="1"/>
  <c r="P577" i="1" s="1"/>
  <c r="X569" i="1"/>
  <c r="P569" i="1" s="1"/>
  <c r="X562" i="1"/>
  <c r="P562" i="1" s="1"/>
  <c r="X552" i="1"/>
  <c r="P552" i="1" s="1"/>
  <c r="X301" i="1"/>
  <c r="Y301" i="1"/>
  <c r="X244" i="1"/>
  <c r="Y244" i="1"/>
  <c r="X680" i="1"/>
  <c r="P680" i="1" s="1"/>
  <c r="X591" i="1"/>
  <c r="X523" i="1"/>
  <c r="X441" i="1"/>
  <c r="X439" i="1"/>
  <c r="X434" i="1"/>
  <c r="P434" i="1" s="1"/>
  <c r="X431" i="1"/>
  <c r="X430" i="1"/>
  <c r="X417" i="1"/>
  <c r="P417" i="1" s="1"/>
  <c r="X813" i="1"/>
  <c r="X800" i="1"/>
  <c r="X790" i="1"/>
  <c r="P790" i="1" s="1"/>
  <c r="X787" i="1"/>
  <c r="X766" i="1"/>
  <c r="P766" i="1" s="1"/>
  <c r="X759" i="1"/>
  <c r="P759" i="1" s="1"/>
  <c r="X754" i="1"/>
  <c r="P754" i="1" s="1"/>
  <c r="X724" i="1"/>
  <c r="P724" i="1" s="1"/>
  <c r="X683" i="1"/>
  <c r="P683" i="1" s="1"/>
  <c r="X633" i="1"/>
  <c r="P633" i="1" s="1"/>
  <c r="X627" i="1"/>
  <c r="P627" i="1" s="1"/>
  <c r="X532" i="1"/>
  <c r="P532" i="1" s="1"/>
  <c r="X609" i="1"/>
  <c r="P609" i="1" s="1"/>
  <c r="X581" i="1"/>
  <c r="X575" i="1"/>
  <c r="X558" i="1"/>
  <c r="P558" i="1" s="1"/>
  <c r="X541" i="1"/>
  <c r="P541" i="1" s="1"/>
  <c r="X528" i="1"/>
  <c r="P528" i="1" s="1"/>
  <c r="Y504" i="1"/>
  <c r="X618" i="1"/>
  <c r="P618" i="1" s="1"/>
  <c r="X513" i="1"/>
  <c r="P513" i="1" s="1"/>
  <c r="X508" i="1"/>
  <c r="P508" i="1" s="1"/>
  <c r="X497" i="1"/>
  <c r="P497" i="1" s="1"/>
  <c r="X495" i="1"/>
  <c r="P495" i="1" s="1"/>
  <c r="X529" i="1"/>
  <c r="P529" i="1" s="1"/>
  <c r="X472" i="1"/>
  <c r="P472" i="1" s="1"/>
  <c r="Y307" i="1"/>
  <c r="Y268" i="1"/>
  <c r="X268" i="1"/>
  <c r="Y206" i="1"/>
  <c r="X206" i="1"/>
  <c r="Y833" i="1"/>
  <c r="X791" i="1"/>
  <c r="X739" i="1"/>
  <c r="P739" i="1" s="1"/>
  <c r="X740" i="1"/>
  <c r="P740" i="1" s="1"/>
  <c r="X744" i="1"/>
  <c r="P744" i="1" s="1"/>
  <c r="Y697" i="1"/>
  <c r="X637" i="1"/>
  <c r="P637" i="1" s="1"/>
  <c r="X631" i="1"/>
  <c r="P631" i="1" s="1"/>
  <c r="X613" i="1"/>
  <c r="P613" i="1" s="1"/>
  <c r="X611" i="1"/>
  <c r="X608" i="1"/>
  <c r="P608" i="1" s="1"/>
  <c r="X565" i="1"/>
  <c r="P565" i="1" s="1"/>
  <c r="X561" i="1"/>
  <c r="P561" i="1" s="1"/>
  <c r="Y549" i="1"/>
  <c r="X442" i="1"/>
  <c r="P442" i="1" s="1"/>
  <c r="X435" i="1"/>
  <c r="P435" i="1" s="1"/>
  <c r="X433" i="1"/>
  <c r="P433" i="1" s="1"/>
  <c r="Y399" i="1"/>
  <c r="X399" i="1"/>
  <c r="X396" i="1"/>
  <c r="P396" i="1" s="1"/>
  <c r="Y371" i="1"/>
  <c r="X247" i="1"/>
  <c r="Y247" i="1"/>
  <c r="X216" i="1"/>
  <c r="Y216" i="1"/>
  <c r="X799" i="1"/>
  <c r="P799" i="1" s="1"/>
  <c r="X781" i="1"/>
  <c r="X779" i="1"/>
  <c r="P779" i="1" s="1"/>
  <c r="X761" i="1"/>
  <c r="P761" i="1" s="1"/>
  <c r="X728" i="1"/>
  <c r="P728" i="1" s="1"/>
  <c r="X726" i="1"/>
  <c r="P726" i="1" s="1"/>
  <c r="X725" i="1"/>
  <c r="P725" i="1" s="1"/>
  <c r="X700" i="1"/>
  <c r="P700" i="1" s="1"/>
  <c r="X832" i="1"/>
  <c r="P832" i="1" s="1"/>
  <c r="X692" i="1"/>
  <c r="P692" i="1" s="1"/>
  <c r="Y685" i="1"/>
  <c r="X674" i="1"/>
  <c r="X669" i="1"/>
  <c r="P669" i="1" s="1"/>
  <c r="X665" i="1"/>
  <c r="X661" i="1"/>
  <c r="P661" i="1" s="1"/>
  <c r="X659" i="1"/>
  <c r="Y654" i="1"/>
  <c r="X643" i="1"/>
  <c r="P643" i="1" s="1"/>
  <c r="X640" i="1"/>
  <c r="X635" i="1"/>
  <c r="P635" i="1" s="1"/>
  <c r="X630" i="1"/>
  <c r="X626" i="1"/>
  <c r="P626" i="1" s="1"/>
  <c r="X629" i="1"/>
  <c r="X610" i="1"/>
  <c r="P610" i="1" s="1"/>
  <c r="X612" i="1"/>
  <c r="P612" i="1" s="1"/>
  <c r="X607" i="1"/>
  <c r="P607" i="1" s="1"/>
  <c r="X594" i="1"/>
  <c r="P594" i="1" s="1"/>
  <c r="X598" i="1"/>
  <c r="P598" i="1" s="1"/>
  <c r="X592" i="1"/>
  <c r="P592" i="1" s="1"/>
  <c r="X584" i="1"/>
  <c r="Y572" i="1"/>
  <c r="X574" i="1"/>
  <c r="P574" i="1" s="1"/>
  <c r="Y542" i="1"/>
  <c r="X522" i="1"/>
  <c r="X518" i="1"/>
  <c r="P518" i="1" s="1"/>
  <c r="X456" i="1"/>
  <c r="P456" i="1" s="1"/>
  <c r="X457" i="1"/>
  <c r="P457" i="1" s="1"/>
  <c r="Y329" i="1"/>
  <c r="Y432" i="1"/>
  <c r="Y402" i="1"/>
  <c r="X402" i="1"/>
  <c r="X389" i="1"/>
  <c r="X837" i="1"/>
  <c r="P837" i="1" s="1"/>
  <c r="X746" i="1"/>
  <c r="X802" i="1"/>
  <c r="X763" i="1"/>
  <c r="P763" i="1" s="1"/>
  <c r="X694" i="1"/>
  <c r="P694" i="1" s="1"/>
  <c r="X732" i="1"/>
  <c r="P732" i="1" s="1"/>
  <c r="X720" i="1"/>
  <c r="P720" i="1" s="1"/>
  <c r="X719" i="1"/>
  <c r="P719" i="1" s="1"/>
  <c r="X616" i="1"/>
  <c r="P616" i="1" s="1"/>
  <c r="X714" i="1"/>
  <c r="X710" i="1"/>
  <c r="P710" i="1" s="1"/>
  <c r="X696" i="1"/>
  <c r="P696" i="1" s="1"/>
  <c r="X689" i="1"/>
  <c r="X681" i="1"/>
  <c r="P681" i="1" s="1"/>
  <c r="Y684" i="1"/>
  <c r="X667" i="1"/>
  <c r="P667" i="1" s="1"/>
  <c r="X657" i="1"/>
  <c r="P657" i="1" s="1"/>
  <c r="X645" i="1"/>
  <c r="P645" i="1" s="1"/>
  <c r="X639" i="1"/>
  <c r="P639" i="1" s="1"/>
  <c r="X624" i="1"/>
  <c r="P624" i="1" s="1"/>
  <c r="X614" i="1"/>
  <c r="P614" i="1" s="1"/>
  <c r="X530" i="1"/>
  <c r="P530" i="1" s="1"/>
  <c r="X604" i="1"/>
  <c r="P604" i="1" s="1"/>
  <c r="X601" i="1"/>
  <c r="P601" i="1" s="1"/>
  <c r="X599" i="1"/>
  <c r="X585" i="1"/>
  <c r="P585" i="1" s="1"/>
  <c r="Y577" i="1"/>
  <c r="Y569" i="1"/>
  <c r="X566" i="1"/>
  <c r="P566" i="1" s="1"/>
  <c r="X556" i="1"/>
  <c r="P556" i="1" s="1"/>
  <c r="X478" i="1"/>
  <c r="P478" i="1" s="1"/>
  <c r="X617" i="1"/>
  <c r="P617" i="1" s="1"/>
  <c r="X481" i="1"/>
  <c r="P481" i="1" s="1"/>
  <c r="Y494" i="1"/>
  <c r="X454" i="1"/>
  <c r="P454" i="1" s="1"/>
  <c r="Y445" i="1"/>
  <c r="X422" i="1"/>
  <c r="P422" i="1" s="1"/>
  <c r="Y401" i="1"/>
  <c r="X386" i="1"/>
  <c r="P386" i="1" s="1"/>
  <c r="Y306" i="1"/>
  <c r="X306" i="1"/>
  <c r="X275" i="1"/>
  <c r="Y275" i="1"/>
  <c r="X796" i="1"/>
  <c r="P796" i="1" s="1"/>
  <c r="X711" i="1"/>
  <c r="P711" i="1" s="1"/>
  <c r="X782" i="1"/>
  <c r="P782" i="1" s="1"/>
  <c r="X727" i="1"/>
  <c r="P727" i="1" s="1"/>
  <c r="X705" i="1"/>
  <c r="P705" i="1" s="1"/>
  <c r="X691" i="1"/>
  <c r="P691" i="1" s="1"/>
  <c r="X662" i="1"/>
  <c r="P662" i="1" s="1"/>
  <c r="X651" i="1"/>
  <c r="P651" i="1" s="1"/>
  <c r="X642" i="1"/>
  <c r="P642" i="1" s="1"/>
  <c r="X641" i="1"/>
  <c r="P641" i="1" s="1"/>
  <c r="Y538" i="1"/>
  <c r="X596" i="1"/>
  <c r="P596" i="1" s="1"/>
  <c r="X597" i="1"/>
  <c r="P597" i="1" s="1"/>
  <c r="Y591" i="1"/>
  <c r="Y586" i="1"/>
  <c r="X576" i="1"/>
  <c r="P576" i="1" s="1"/>
  <c r="X527" i="1"/>
  <c r="Y523" i="1"/>
  <c r="X479" i="1"/>
  <c r="P479" i="1" s="1"/>
  <c r="X501" i="1"/>
  <c r="P501" i="1" s="1"/>
  <c r="X483" i="1"/>
  <c r="P483" i="1" s="1"/>
  <c r="X475" i="1"/>
  <c r="P475" i="1" s="1"/>
  <c r="X462" i="1"/>
  <c r="P462" i="1" s="1"/>
  <c r="X448" i="1"/>
  <c r="P448" i="1" s="1"/>
  <c r="X405" i="1"/>
  <c r="P405" i="1" s="1"/>
  <c r="X266" i="1"/>
  <c r="P266" i="1" s="1"/>
  <c r="Y266" i="1"/>
  <c r="X124" i="1"/>
  <c r="X365" i="1"/>
  <c r="P365" i="1" s="1"/>
  <c r="X267" i="1"/>
  <c r="P267" i="1" s="1"/>
  <c r="Y308" i="1"/>
  <c r="X300" i="1"/>
  <c r="P300" i="1" s="1"/>
  <c r="X297" i="1"/>
  <c r="P297" i="1" s="1"/>
  <c r="X284" i="1"/>
  <c r="P284" i="1" s="1"/>
  <c r="X276" i="1"/>
  <c r="P276" i="1" s="1"/>
  <c r="X829" i="1"/>
  <c r="P829" i="1" s="1"/>
  <c r="X240" i="1"/>
  <c r="P240" i="1" s="1"/>
  <c r="X237" i="1"/>
  <c r="Y229" i="1"/>
  <c r="X214" i="1"/>
  <c r="X205" i="1"/>
  <c r="P205" i="1" s="1"/>
  <c r="X203" i="1"/>
  <c r="X195" i="1"/>
  <c r="P195" i="1" s="1"/>
  <c r="X197" i="1"/>
  <c r="X179" i="1"/>
  <c r="P179" i="1" s="1"/>
  <c r="X176" i="1"/>
  <c r="P176" i="1" s="1"/>
  <c r="X170" i="1"/>
  <c r="P170" i="1" s="1"/>
  <c r="X150" i="1"/>
  <c r="X147" i="1"/>
  <c r="X135" i="1"/>
  <c r="X111" i="1"/>
  <c r="P111" i="1" s="1"/>
  <c r="X93" i="1"/>
  <c r="P93" i="1" s="1"/>
  <c r="X91" i="1"/>
  <c r="P91" i="1" s="1"/>
  <c r="X90" i="1"/>
  <c r="P90" i="1" s="1"/>
  <c r="X53" i="1"/>
  <c r="P53" i="1" s="1"/>
  <c r="X43" i="1"/>
  <c r="P43" i="1" s="1"/>
  <c r="Y40" i="1"/>
  <c r="X33" i="1"/>
  <c r="P33" i="1" s="1"/>
  <c r="X19" i="1"/>
  <c r="P19" i="1" s="1"/>
  <c r="X8" i="1"/>
  <c r="X353" i="1"/>
  <c r="P353" i="1" s="1"/>
  <c r="X324" i="1"/>
  <c r="P324" i="1" s="1"/>
  <c r="X288" i="1"/>
  <c r="P288" i="1" s="1"/>
  <c r="X286" i="1"/>
  <c r="P286" i="1" s="1"/>
  <c r="X265" i="1"/>
  <c r="X243" i="1"/>
  <c r="P243" i="1" s="1"/>
  <c r="Y238" i="1"/>
  <c r="X211" i="1"/>
  <c r="P211" i="1" s="1"/>
  <c r="Y210" i="1"/>
  <c r="Y194" i="1"/>
  <c r="Y171" i="1"/>
  <c r="X164" i="1"/>
  <c r="X157" i="1"/>
  <c r="P157" i="1" s="1"/>
  <c r="X151" i="1"/>
  <c r="P151" i="1" s="1"/>
  <c r="X139" i="1"/>
  <c r="P139" i="1" s="1"/>
  <c r="X129" i="1"/>
  <c r="P129" i="1" s="1"/>
  <c r="X127" i="1"/>
  <c r="X122" i="1"/>
  <c r="P122" i="1" s="1"/>
  <c r="X106" i="1"/>
  <c r="P106" i="1" s="1"/>
  <c r="X78" i="1"/>
  <c r="P78" i="1" s="1"/>
  <c r="X72" i="1"/>
  <c r="P72" i="1" s="1"/>
  <c r="X64" i="1"/>
  <c r="P64" i="1" s="1"/>
  <c r="X55" i="1"/>
  <c r="P55" i="1" s="1"/>
  <c r="X31" i="1"/>
  <c r="P31" i="1" s="1"/>
  <c r="Y347" i="1"/>
  <c r="X270" i="1"/>
  <c r="P270" i="1" s="1"/>
  <c r="X291" i="1"/>
  <c r="P291" i="1" s="1"/>
  <c r="Y186" i="1"/>
  <c r="X95" i="1"/>
  <c r="X7" i="1"/>
  <c r="P7" i="1" s="1"/>
  <c r="X419" i="1"/>
  <c r="P419" i="1" s="1"/>
  <c r="X412" i="1"/>
  <c r="P412" i="1" s="1"/>
  <c r="X391" i="1"/>
  <c r="P391" i="1" s="1"/>
  <c r="X377" i="1"/>
  <c r="X369" i="1"/>
  <c r="P369" i="1" s="1"/>
  <c r="X370" i="1"/>
  <c r="P370" i="1" s="1"/>
  <c r="X358" i="1"/>
  <c r="P358" i="1" s="1"/>
  <c r="X344" i="1"/>
  <c r="P344" i="1" s="1"/>
  <c r="X343" i="1"/>
  <c r="P343" i="1" s="1"/>
  <c r="X331" i="1"/>
  <c r="P331" i="1" s="1"/>
  <c r="X321" i="1"/>
  <c r="P321" i="1" s="1"/>
  <c r="X303" i="1"/>
  <c r="P303" i="1" s="1"/>
  <c r="X302" i="1"/>
  <c r="P302" i="1" s="1"/>
  <c r="X293" i="1"/>
  <c r="P293" i="1" s="1"/>
  <c r="X290" i="1"/>
  <c r="P290" i="1" s="1"/>
  <c r="X280" i="1"/>
  <c r="P280" i="1" s="1"/>
  <c r="X272" i="1"/>
  <c r="P272" i="1" s="1"/>
  <c r="X316" i="1"/>
  <c r="P316" i="1" s="1"/>
  <c r="X233" i="1"/>
  <c r="P233" i="1" s="1"/>
  <c r="X213" i="1"/>
  <c r="P213" i="1" s="1"/>
  <c r="X201" i="1"/>
  <c r="P201" i="1" s="1"/>
  <c r="X123" i="1"/>
  <c r="X119" i="1"/>
  <c r="X109" i="1"/>
  <c r="X100" i="1"/>
  <c r="P100" i="1" s="1"/>
  <c r="X94" i="1"/>
  <c r="P94" i="1" s="1"/>
  <c r="X82" i="1"/>
  <c r="P82" i="1" s="1"/>
  <c r="X75" i="1"/>
  <c r="P75" i="1" s="1"/>
  <c r="X65" i="1"/>
  <c r="P65" i="1" s="1"/>
  <c r="X60" i="1"/>
  <c r="P60" i="1" s="1"/>
  <c r="X22" i="1"/>
  <c r="P22" i="1" s="1"/>
  <c r="Y9" i="1"/>
  <c r="X334" i="1"/>
  <c r="P334" i="1" s="1"/>
  <c r="X413" i="1"/>
  <c r="P413" i="1" s="1"/>
  <c r="X309" i="1"/>
  <c r="P309" i="1" s="1"/>
  <c r="X259" i="1"/>
  <c r="P259" i="1" s="1"/>
  <c r="X196" i="1"/>
  <c r="P196" i="1" s="1"/>
  <c r="X169" i="1"/>
  <c r="P169" i="1" s="1"/>
  <c r="Y124" i="1"/>
  <c r="X118" i="1"/>
  <c r="P118" i="1" s="1"/>
  <c r="Y113" i="1"/>
  <c r="X112" i="1"/>
  <c r="X92" i="1"/>
  <c r="X87" i="1"/>
  <c r="X58" i="1"/>
  <c r="P58" i="1" s="1"/>
  <c r="Y44" i="1"/>
  <c r="X42" i="1"/>
  <c r="P42" i="1" s="1"/>
  <c r="X24" i="1"/>
  <c r="P24" i="1" s="1"/>
  <c r="X6" i="1"/>
  <c r="P6" i="1" s="1"/>
  <c r="X283" i="1"/>
  <c r="P283" i="1" s="1"/>
  <c r="X262" i="1"/>
  <c r="P262" i="1" s="1"/>
  <c r="X249" i="1"/>
  <c r="P249" i="1" s="1"/>
  <c r="X232" i="1"/>
  <c r="P232" i="1" s="1"/>
  <c r="X225" i="1"/>
  <c r="P225" i="1" s="1"/>
  <c r="X133" i="1"/>
  <c r="P133" i="1" s="1"/>
  <c r="X132" i="1"/>
  <c r="P132" i="1" s="1"/>
  <c r="X110" i="1"/>
  <c r="P110" i="1" s="1"/>
  <c r="X104" i="1"/>
  <c r="P104" i="1" s="1"/>
  <c r="X85" i="1"/>
  <c r="P85" i="1" s="1"/>
  <c r="X84" i="1"/>
  <c r="Y81" i="1"/>
  <c r="X80" i="1"/>
  <c r="P80" i="1" s="1"/>
  <c r="X76" i="1"/>
  <c r="Y73" i="1"/>
  <c r="X69" i="1"/>
  <c r="P69" i="1" s="1"/>
  <c r="X62" i="1"/>
  <c r="P62" i="1" s="1"/>
  <c r="X51" i="1"/>
  <c r="P51" i="1" s="1"/>
  <c r="X27" i="1"/>
  <c r="X354" i="1"/>
  <c r="P354" i="1" s="1"/>
  <c r="X332" i="1"/>
  <c r="P332" i="1" s="1"/>
  <c r="X282" i="1"/>
  <c r="P282" i="1" s="1"/>
  <c r="X845" i="1"/>
  <c r="P845" i="1" s="1"/>
  <c r="X295" i="1"/>
  <c r="P295" i="1" s="1"/>
  <c r="X294" i="1"/>
  <c r="P294" i="1" s="1"/>
  <c r="X274" i="1"/>
  <c r="P274" i="1" s="1"/>
  <c r="X253" i="1"/>
  <c r="P253" i="1" s="1"/>
  <c r="Y265" i="1"/>
  <c r="X251" i="1"/>
  <c r="P251" i="1" s="1"/>
  <c r="Y243" i="1"/>
  <c r="Y237" i="1"/>
  <c r="X227" i="1"/>
  <c r="P227" i="1" s="1"/>
  <c r="X173" i="1"/>
  <c r="X98" i="1"/>
  <c r="P98" i="1" s="1"/>
  <c r="X67" i="1"/>
  <c r="P67" i="1" s="1"/>
  <c r="X38" i="1"/>
  <c r="P38" i="1" s="1"/>
  <c r="X36" i="1"/>
  <c r="P36" i="1" s="1"/>
  <c r="X18" i="1"/>
  <c r="X16" i="1"/>
  <c r="P16" i="1" s="1"/>
  <c r="Y8" i="1"/>
  <c r="X2" i="1"/>
  <c r="X1414" i="1"/>
  <c r="Y1414" i="1"/>
  <c r="X1406" i="1"/>
  <c r="X1393" i="1"/>
  <c r="X1380" i="1"/>
  <c r="X1372" i="1"/>
  <c r="X1367" i="1"/>
  <c r="X1364" i="1"/>
  <c r="X1359" i="1"/>
  <c r="P1359" i="1" s="1"/>
  <c r="Q1359" i="1" s="1"/>
  <c r="R1359" i="1" s="1"/>
  <c r="X1419" i="1"/>
  <c r="P1419" i="1" s="1"/>
  <c r="Q1419" i="1" s="1"/>
  <c r="R1419" i="1" s="1"/>
  <c r="Y1419" i="1"/>
  <c r="X1417" i="1"/>
  <c r="P1417" i="1" s="1"/>
  <c r="Q1417" i="1" s="1"/>
  <c r="R1417" i="1" s="1"/>
  <c r="X1177" i="1"/>
  <c r="P1177" i="1" s="1"/>
  <c r="Y1410" i="1"/>
  <c r="X1422" i="1"/>
  <c r="P1422" i="1" s="1"/>
  <c r="Q1422" i="1" s="1"/>
  <c r="R1422" i="1" s="1"/>
  <c r="X1361" i="1"/>
  <c r="P1361" i="1" s="1"/>
  <c r="Q1361" i="1" s="1"/>
  <c r="R1361" i="1" s="1"/>
  <c r="X1400" i="1"/>
  <c r="P1400" i="1" s="1"/>
  <c r="Q1400" i="1" s="1"/>
  <c r="R1400" i="1" s="1"/>
  <c r="X1423" i="1"/>
  <c r="P1423" i="1" s="1"/>
  <c r="Q1423" i="1" s="1"/>
  <c r="R1423" i="1" s="1"/>
  <c r="X1355" i="1"/>
  <c r="P1355" i="1" s="1"/>
  <c r="Q1355" i="1" s="1"/>
  <c r="R1355" i="1" s="1"/>
  <c r="X1347" i="1"/>
  <c r="P1347" i="1" s="1"/>
  <c r="Q1347" i="1" s="1"/>
  <c r="R1347" i="1" s="1"/>
  <c r="X1254" i="1"/>
  <c r="P1254" i="1" s="1"/>
  <c r="X1207" i="1"/>
  <c r="X1213" i="1"/>
  <c r="X1429" i="1"/>
  <c r="P1429" i="1" s="1"/>
  <c r="Q1429" i="1" s="1"/>
  <c r="R1429" i="1" s="1"/>
  <c r="X1314" i="1"/>
  <c r="P1314" i="1" s="1"/>
  <c r="Y1370" i="1"/>
  <c r="Y1323" i="1"/>
  <c r="Y1310" i="1"/>
  <c r="Y1266" i="1"/>
  <c r="Y1258" i="1"/>
  <c r="X1160" i="1"/>
  <c r="P1160" i="1" s="1"/>
  <c r="X1243" i="1"/>
  <c r="P1243" i="1" s="1"/>
  <c r="X1224" i="1"/>
  <c r="P1224" i="1" s="1"/>
  <c r="X1225" i="1"/>
  <c r="P1225" i="1" s="1"/>
  <c r="Q1225" i="1" s="1"/>
  <c r="R1225" i="1" s="1"/>
  <c r="X1210" i="1"/>
  <c r="P1210" i="1" s="1"/>
  <c r="Y1192" i="1"/>
  <c r="Y1178" i="1"/>
  <c r="X1182" i="1"/>
  <c r="P1182" i="1" s="1"/>
  <c r="X1176" i="1"/>
  <c r="P1176" i="1" s="1"/>
  <c r="Y1163" i="1"/>
  <c r="X1135" i="1"/>
  <c r="P1135" i="1" s="1"/>
  <c r="X1136" i="1"/>
  <c r="P1136" i="1" s="1"/>
  <c r="X1133" i="1"/>
  <c r="X1126" i="1"/>
  <c r="Y1125" i="1"/>
  <c r="Y1093" i="1"/>
  <c r="X1046" i="1"/>
  <c r="P1046" i="1" s="1"/>
  <c r="X1032" i="1"/>
  <c r="X1012" i="1"/>
  <c r="P1012" i="1" s="1"/>
  <c r="X996" i="1"/>
  <c r="Y1415" i="1"/>
  <c r="Y1402" i="1"/>
  <c r="Y1240" i="1"/>
  <c r="Y1222" i="1"/>
  <c r="Y1215" i="1"/>
  <c r="Y1205" i="1"/>
  <c r="Y1099" i="1"/>
  <c r="X1107" i="1"/>
  <c r="Y1096" i="1"/>
  <c r="X1194" i="1"/>
  <c r="P1194" i="1" s="1"/>
  <c r="X1186" i="1"/>
  <c r="P1186" i="1" s="1"/>
  <c r="Y1175" i="1"/>
  <c r="P1175" i="1" s="1"/>
  <c r="X1171" i="1"/>
  <c r="P1171" i="1" s="1"/>
  <c r="Y1167" i="1"/>
  <c r="Y1407" i="1"/>
  <c r="Y1406" i="1"/>
  <c r="Y1393" i="1"/>
  <c r="Y1380" i="1"/>
  <c r="Y1372" i="1"/>
  <c r="Y1364" i="1"/>
  <c r="Y1358" i="1"/>
  <c r="Y1349" i="1"/>
  <c r="Y1336" i="1"/>
  <c r="Y1331" i="1"/>
  <c r="Y1324" i="1"/>
  <c r="Y1309" i="1"/>
  <c r="Y1308" i="1"/>
  <c r="Y1299" i="1"/>
  <c r="Y1271" i="1"/>
  <c r="Y1289" i="1"/>
  <c r="Y1275" i="1"/>
  <c r="Y1268" i="1"/>
  <c r="P1268" i="1" s="1"/>
  <c r="Y1260" i="1"/>
  <c r="Y1249" i="1"/>
  <c r="Y1245" i="1"/>
  <c r="Y1236" i="1"/>
  <c r="X1128" i="1"/>
  <c r="P1128" i="1" s="1"/>
  <c r="X1122" i="1"/>
  <c r="Y1114" i="1"/>
  <c r="Y1398" i="1"/>
  <c r="Y1390" i="1"/>
  <c r="Y1384" i="1"/>
  <c r="Y1377" i="1"/>
  <c r="Y1367" i="1"/>
  <c r="Y1359" i="1"/>
  <c r="Y1351" i="1"/>
  <c r="Y1342" i="1"/>
  <c r="Y1337" i="1"/>
  <c r="Y1179" i="1"/>
  <c r="X1180" i="1"/>
  <c r="P1180" i="1" s="1"/>
  <c r="X1151" i="1"/>
  <c r="Y1146" i="1"/>
  <c r="Y1121" i="1"/>
  <c r="X1039" i="1"/>
  <c r="P1039" i="1" s="1"/>
  <c r="Y1090" i="1"/>
  <c r="X1082" i="1"/>
  <c r="P1082" i="1" s="1"/>
  <c r="X947" i="1"/>
  <c r="X1154" i="1"/>
  <c r="P1154" i="1" s="1"/>
  <c r="X1139" i="1"/>
  <c r="X1129" i="1"/>
  <c r="P1129" i="1" s="1"/>
  <c r="Y1102" i="1"/>
  <c r="Y1409" i="1"/>
  <c r="Y1388" i="1"/>
  <c r="Y1382" i="1"/>
  <c r="Y1373" i="1"/>
  <c r="Y1332" i="1"/>
  <c r="P1332" i="1" s="1"/>
  <c r="Y1317" i="1"/>
  <c r="Y1300" i="1"/>
  <c r="Y1296" i="1"/>
  <c r="Y1282" i="1"/>
  <c r="Y1293" i="1"/>
  <c r="Y1272" i="1"/>
  <c r="Y1267" i="1"/>
  <c r="Y1256" i="1"/>
  <c r="Y1247" i="1"/>
  <c r="Y1237" i="1"/>
  <c r="Y1246" i="1"/>
  <c r="Y1220" i="1"/>
  <c r="Y1213" i="1"/>
  <c r="Y1207" i="1"/>
  <c r="X1184" i="1"/>
  <c r="P1184" i="1" s="1"/>
  <c r="X1083" i="1"/>
  <c r="P1083" i="1" s="1"/>
  <c r="X1065" i="1"/>
  <c r="P1065" i="1" s="1"/>
  <c r="X1056" i="1"/>
  <c r="P1056" i="1" s="1"/>
  <c r="X1045" i="1"/>
  <c r="P1045" i="1" s="1"/>
  <c r="X1007" i="1"/>
  <c r="P1007" i="1" s="1"/>
  <c r="X991" i="1"/>
  <c r="P991" i="1" s="1"/>
  <c r="X975" i="1"/>
  <c r="P975" i="1" s="1"/>
  <c r="X976" i="1"/>
  <c r="P976" i="1" s="1"/>
  <c r="X957" i="1"/>
  <c r="P957" i="1" s="1"/>
  <c r="X954" i="1"/>
  <c r="Y954" i="1"/>
  <c r="X944" i="1"/>
  <c r="P944" i="1" s="1"/>
  <c r="X928" i="1"/>
  <c r="Y928" i="1"/>
  <c r="X922" i="1"/>
  <c r="P922" i="1" s="1"/>
  <c r="X903" i="1"/>
  <c r="Y903" i="1"/>
  <c r="X908" i="1"/>
  <c r="P908" i="1" s="1"/>
  <c r="X858" i="1"/>
  <c r="X786" i="1"/>
  <c r="P786" i="1" s="1"/>
  <c r="Y1065" i="1"/>
  <c r="Y1049" i="1"/>
  <c r="Y1037" i="1"/>
  <c r="Y1032" i="1"/>
  <c r="Y1020" i="1"/>
  <c r="Y1011" i="1"/>
  <c r="Y1004" i="1"/>
  <c r="Y996" i="1"/>
  <c r="X934" i="1"/>
  <c r="Y934" i="1"/>
  <c r="X925" i="1"/>
  <c r="Y925" i="1"/>
  <c r="X824" i="1"/>
  <c r="Y824" i="1"/>
  <c r="Y784" i="1"/>
  <c r="X784" i="1"/>
  <c r="X1000" i="1"/>
  <c r="P1000" i="1" s="1"/>
  <c r="Y984" i="1"/>
  <c r="X986" i="1"/>
  <c r="P986" i="1" s="1"/>
  <c r="X981" i="1"/>
  <c r="P981" i="1" s="1"/>
  <c r="Y971" i="1"/>
  <c r="X969" i="1"/>
  <c r="P969" i="1" s="1"/>
  <c r="X915" i="1"/>
  <c r="Y915" i="1"/>
  <c r="X945" i="1"/>
  <c r="P945" i="1" s="1"/>
  <c r="X921" i="1"/>
  <c r="Y921" i="1"/>
  <c r="X918" i="1"/>
  <c r="P918" i="1" s="1"/>
  <c r="X878" i="1"/>
  <c r="Y878" i="1"/>
  <c r="X871" i="1"/>
  <c r="X1042" i="1"/>
  <c r="Y1042" i="1"/>
  <c r="Y1162" i="1"/>
  <c r="Y1150" i="1"/>
  <c r="Y1155" i="1"/>
  <c r="P1155" i="1" s="1"/>
  <c r="Y1139" i="1"/>
  <c r="Y1133" i="1"/>
  <c r="Y1122" i="1"/>
  <c r="Y1107" i="1"/>
  <c r="Y1039" i="1"/>
  <c r="Y1092" i="1"/>
  <c r="Y949" i="1"/>
  <c r="Y1075" i="1"/>
  <c r="Y1063" i="1"/>
  <c r="Y1060" i="1"/>
  <c r="Y1054" i="1"/>
  <c r="Y1035" i="1"/>
  <c r="Y1044" i="1"/>
  <c r="Y1029" i="1"/>
  <c r="Y1019" i="1"/>
  <c r="Y1014" i="1"/>
  <c r="Y1005" i="1"/>
  <c r="Y997" i="1"/>
  <c r="X998" i="1"/>
  <c r="P998" i="1" s="1"/>
  <c r="Y990" i="1"/>
  <c r="X938" i="1"/>
  <c r="X924" i="1"/>
  <c r="X900" i="1"/>
  <c r="Y900" i="1"/>
  <c r="X747" i="1"/>
  <c r="X973" i="1"/>
  <c r="P973" i="1" s="1"/>
  <c r="X942" i="1"/>
  <c r="Y942" i="1"/>
  <c r="X917" i="1"/>
  <c r="Y917" i="1"/>
  <c r="X895" i="1"/>
  <c r="P895" i="1" s="1"/>
  <c r="Y895" i="1"/>
  <c r="X894" i="1"/>
  <c r="P894" i="1" s="1"/>
  <c r="X875" i="1"/>
  <c r="Y875" i="1"/>
  <c r="X862" i="1"/>
  <c r="P862" i="1" s="1"/>
  <c r="X850" i="1"/>
  <c r="X748" i="1"/>
  <c r="X841" i="1"/>
  <c r="Y841" i="1"/>
  <c r="X815" i="1"/>
  <c r="P815" i="1" s="1"/>
  <c r="X806" i="1"/>
  <c r="P806" i="1" s="1"/>
  <c r="X797" i="1"/>
  <c r="P797" i="1" s="1"/>
  <c r="Y1080" i="1"/>
  <c r="Y1072" i="1"/>
  <c r="Y1070" i="1"/>
  <c r="Y1057" i="1"/>
  <c r="Y1077" i="1"/>
  <c r="Y1048" i="1"/>
  <c r="Y1031" i="1"/>
  <c r="Y1017" i="1"/>
  <c r="P1017" i="1" s="1"/>
  <c r="X959" i="1"/>
  <c r="Y959" i="1"/>
  <c r="X958" i="1"/>
  <c r="P958" i="1" s="1"/>
  <c r="X943" i="1"/>
  <c r="Y943" i="1"/>
  <c r="X935" i="1"/>
  <c r="P935" i="1" s="1"/>
  <c r="X911" i="1"/>
  <c r="Y911" i="1"/>
  <c r="X913" i="1"/>
  <c r="P913" i="1" s="1"/>
  <c r="X867" i="1"/>
  <c r="Y867" i="1"/>
  <c r="X818" i="1"/>
  <c r="Y818" i="1"/>
  <c r="X812" i="1"/>
  <c r="Y812" i="1"/>
  <c r="X803" i="1"/>
  <c r="Y803" i="1"/>
  <c r="Y793" i="1"/>
  <c r="X793" i="1"/>
  <c r="X730" i="1"/>
  <c r="Y730" i="1"/>
  <c r="Y1151" i="1"/>
  <c r="Y1143" i="1"/>
  <c r="Y1141" i="1"/>
  <c r="P1141" i="1" s="1"/>
  <c r="Y1129" i="1"/>
  <c r="Y1126" i="1"/>
  <c r="Y1025" i="1"/>
  <c r="Y1023" i="1"/>
  <c r="Y1013" i="1"/>
  <c r="Y947" i="1"/>
  <c r="Y994" i="1"/>
  <c r="P994" i="1" s="1"/>
  <c r="Y992" i="1"/>
  <c r="X985" i="1"/>
  <c r="P985" i="1" s="1"/>
  <c r="Y983" i="1"/>
  <c r="X979" i="1"/>
  <c r="P979" i="1" s="1"/>
  <c r="Y972" i="1"/>
  <c r="X966" i="1"/>
  <c r="P966" i="1" s="1"/>
  <c r="X897" i="1"/>
  <c r="X910" i="1"/>
  <c r="P910" i="1" s="1"/>
  <c r="X828" i="1"/>
  <c r="X860" i="1"/>
  <c r="Y860" i="1"/>
  <c r="X825" i="1"/>
  <c r="X768" i="1"/>
  <c r="Y768" i="1"/>
  <c r="X988" i="1"/>
  <c r="P988" i="1" s="1"/>
  <c r="X931" i="1"/>
  <c r="Y931" i="1"/>
  <c r="X902" i="1"/>
  <c r="P902" i="1" s="1"/>
  <c r="Y902" i="1"/>
  <c r="X891" i="1"/>
  <c r="Y891" i="1"/>
  <c r="X854" i="1"/>
  <c r="Y854" i="1"/>
  <c r="X847" i="1"/>
  <c r="P847" i="1" s="1"/>
  <c r="X820" i="1"/>
  <c r="Y884" i="1"/>
  <c r="Y880" i="1"/>
  <c r="Y872" i="1"/>
  <c r="Y864" i="1"/>
  <c r="Y856" i="1"/>
  <c r="Y840" i="1"/>
  <c r="Y746" i="1"/>
  <c r="Y827" i="1"/>
  <c r="Y817" i="1"/>
  <c r="Y808" i="1"/>
  <c r="X776" i="1"/>
  <c r="P776" i="1" s="1"/>
  <c r="Y756" i="1"/>
  <c r="X760" i="1"/>
  <c r="X709" i="1"/>
  <c r="P709" i="1" s="1"/>
  <c r="X707" i="1"/>
  <c r="P707" i="1" s="1"/>
  <c r="Y707" i="1"/>
  <c r="X649" i="1"/>
  <c r="X644" i="1"/>
  <c r="P644" i="1" s="1"/>
  <c r="X593" i="1"/>
  <c r="P593" i="1" s="1"/>
  <c r="X780" i="1"/>
  <c r="P780" i="1" s="1"/>
  <c r="X769" i="1"/>
  <c r="Y769" i="1"/>
  <c r="X619" i="1"/>
  <c r="P619" i="1" s="1"/>
  <c r="Y619" i="1"/>
  <c r="X743" i="1"/>
  <c r="Y871" i="1"/>
  <c r="Y850" i="1"/>
  <c r="X792" i="1"/>
  <c r="X777" i="1"/>
  <c r="P777" i="1" s="1"/>
  <c r="X695" i="1"/>
  <c r="Y695" i="1"/>
  <c r="Y802" i="1"/>
  <c r="X690" i="1"/>
  <c r="X677" i="1"/>
  <c r="P677" i="1" s="1"/>
  <c r="X675" i="1"/>
  <c r="P675" i="1" s="1"/>
  <c r="X764" i="1"/>
  <c r="P764" i="1" s="1"/>
  <c r="Y764" i="1"/>
  <c r="X753" i="1"/>
  <c r="P753" i="1" s="1"/>
  <c r="X736" i="1"/>
  <c r="Y736" i="1"/>
  <c r="Y953" i="1"/>
  <c r="Y938" i="1"/>
  <c r="Y897" i="1"/>
  <c r="Y930" i="1"/>
  <c r="Y924" i="1"/>
  <c r="Y910" i="1"/>
  <c r="Y904" i="1"/>
  <c r="Y898" i="1"/>
  <c r="Y892" i="1"/>
  <c r="Y882" i="1"/>
  <c r="Y828" i="1"/>
  <c r="Y866" i="1"/>
  <c r="Y858" i="1"/>
  <c r="Y853" i="1"/>
  <c r="Y747" i="1"/>
  <c r="Y748" i="1"/>
  <c r="Y825" i="1"/>
  <c r="Y820" i="1"/>
  <c r="Y813" i="1"/>
  <c r="Y800" i="1"/>
  <c r="Y791" i="1"/>
  <c r="Y787" i="1"/>
  <c r="Y785" i="1"/>
  <c r="Y781" i="1"/>
  <c r="X755" i="1"/>
  <c r="P755" i="1" s="1"/>
  <c r="Y755" i="1"/>
  <c r="X621" i="1"/>
  <c r="P621" i="1" s="1"/>
  <c r="X723" i="1"/>
  <c r="X721" i="1"/>
  <c r="Y721" i="1"/>
  <c r="X646" i="1"/>
  <c r="X634" i="1"/>
  <c r="X623" i="1"/>
  <c r="P623" i="1" s="1"/>
  <c r="X625" i="1"/>
  <c r="X531" i="1"/>
  <c r="P531" i="1" s="1"/>
  <c r="X579" i="1"/>
  <c r="X606" i="1"/>
  <c r="P606" i="1" s="1"/>
  <c r="Y789" i="1"/>
  <c r="Y792" i="1"/>
  <c r="X772" i="1"/>
  <c r="Y772" i="1"/>
  <c r="X620" i="1"/>
  <c r="P620" i="1" s="1"/>
  <c r="X717" i="1"/>
  <c r="X716" i="1"/>
  <c r="Y716" i="1"/>
  <c r="X605" i="1"/>
  <c r="X595" i="1"/>
  <c r="P595" i="1" s="1"/>
  <c r="X511" i="1"/>
  <c r="Y511" i="1"/>
  <c r="X498" i="1"/>
  <c r="Y498" i="1"/>
  <c r="X461" i="1"/>
  <c r="Y461" i="1"/>
  <c r="X235" i="1"/>
  <c r="Y235" i="1"/>
  <c r="X156" i="1"/>
  <c r="Y156" i="1"/>
  <c r="X149" i="1"/>
  <c r="Y149" i="1"/>
  <c r="X141" i="1"/>
  <c r="P141" i="1" s="1"/>
  <c r="Y141" i="1"/>
  <c r="X134" i="1"/>
  <c r="Y134" i="1"/>
  <c r="X5" i="1"/>
  <c r="Y5" i="1"/>
  <c r="Y832" i="1"/>
  <c r="Y689" i="1"/>
  <c r="Y677" i="1"/>
  <c r="Y674" i="1"/>
  <c r="Y665" i="1"/>
  <c r="Y659" i="1"/>
  <c r="Y649" i="1"/>
  <c r="Y646" i="1"/>
  <c r="Y634" i="1"/>
  <c r="Y625" i="1"/>
  <c r="Y578" i="1"/>
  <c r="Y579" i="1"/>
  <c r="Y605" i="1"/>
  <c r="Y593" i="1"/>
  <c r="Y584" i="1"/>
  <c r="X580" i="1"/>
  <c r="P580" i="1" s="1"/>
  <c r="Y527" i="1"/>
  <c r="Y565" i="1"/>
  <c r="Y560" i="1"/>
  <c r="P560" i="1" s="1"/>
  <c r="X503" i="1"/>
  <c r="X450" i="1"/>
  <c r="Y450" i="1"/>
  <c r="X381" i="1"/>
  <c r="Y381" i="1"/>
  <c r="Y760" i="1"/>
  <c r="Y743" i="1"/>
  <c r="Y690" i="1"/>
  <c r="Y737" i="1"/>
  <c r="Y723" i="1"/>
  <c r="Y717" i="1"/>
  <c r="Y581" i="1"/>
  <c r="X1040" i="1"/>
  <c r="P1040" i="1" s="1"/>
  <c r="X553" i="1"/>
  <c r="X515" i="1"/>
  <c r="Y515" i="1"/>
  <c r="X514" i="1"/>
  <c r="Y508" i="1"/>
  <c r="X492" i="1"/>
  <c r="Y492" i="1"/>
  <c r="X360" i="1"/>
  <c r="P360" i="1" s="1"/>
  <c r="X451" i="1"/>
  <c r="Y451" i="1"/>
  <c r="X395" i="1"/>
  <c r="P395" i="1" s="1"/>
  <c r="X256" i="1"/>
  <c r="Y256" i="1"/>
  <c r="X546" i="1"/>
  <c r="P546" i="1" s="1"/>
  <c r="X526" i="1"/>
  <c r="P526" i="1" s="1"/>
  <c r="X477" i="1"/>
  <c r="P477" i="1" s="1"/>
  <c r="Y522" i="1"/>
  <c r="X570" i="1"/>
  <c r="P570" i="1" s="1"/>
  <c r="Y570" i="1"/>
  <c r="X484" i="1"/>
  <c r="Y484" i="1"/>
  <c r="X473" i="1"/>
  <c r="P473" i="1" s="1"/>
  <c r="X384" i="1"/>
  <c r="Y384" i="1"/>
  <c r="X273" i="1"/>
  <c r="Y273" i="1"/>
  <c r="X487" i="1"/>
  <c r="Y487" i="1"/>
  <c r="X476" i="1"/>
  <c r="Y476" i="1"/>
  <c r="X446" i="1"/>
  <c r="Y446" i="1"/>
  <c r="X397" i="1"/>
  <c r="Y397" i="1"/>
  <c r="X373" i="1"/>
  <c r="Y373" i="1"/>
  <c r="X323" i="1"/>
  <c r="Y323" i="1"/>
  <c r="X567" i="1"/>
  <c r="P567" i="1" s="1"/>
  <c r="X489" i="1"/>
  <c r="Y489" i="1"/>
  <c r="X520" i="1"/>
  <c r="P520" i="1" s="1"/>
  <c r="X505" i="1"/>
  <c r="Y505" i="1"/>
  <c r="X480" i="1"/>
  <c r="Y480" i="1"/>
  <c r="X467" i="1"/>
  <c r="Y467" i="1"/>
  <c r="X436" i="1"/>
  <c r="Y436" i="1"/>
  <c r="X429" i="1"/>
  <c r="Y429" i="1"/>
  <c r="X427" i="1"/>
  <c r="X385" i="1"/>
  <c r="P385" i="1" s="1"/>
  <c r="Y385" i="1"/>
  <c r="X362" i="1"/>
  <c r="Y362" i="1"/>
  <c r="Y714" i="1"/>
  <c r="Y703" i="1"/>
  <c r="Y615" i="1"/>
  <c r="Y688" i="1"/>
  <c r="Y680" i="1"/>
  <c r="Y668" i="1"/>
  <c r="Y664" i="1"/>
  <c r="Y655" i="1"/>
  <c r="Y642" i="1"/>
  <c r="Y640" i="1"/>
  <c r="Y630" i="1"/>
  <c r="Y629" i="1"/>
  <c r="Y611" i="1"/>
  <c r="Y607" i="1"/>
  <c r="Y599" i="1"/>
  <c r="X590" i="1"/>
  <c r="P590" i="1" s="1"/>
  <c r="Y575" i="1"/>
  <c r="Y555" i="1"/>
  <c r="Y488" i="1"/>
  <c r="X509" i="1"/>
  <c r="P509" i="1" s="1"/>
  <c r="X469" i="1"/>
  <c r="Y469" i="1"/>
  <c r="X460" i="1"/>
  <c r="P460" i="1" s="1"/>
  <c r="X423" i="1"/>
  <c r="X378" i="1"/>
  <c r="P378" i="1" s="1"/>
  <c r="Y378" i="1"/>
  <c r="X356" i="1"/>
  <c r="Y356" i="1"/>
  <c r="X582" i="1"/>
  <c r="P582" i="1" s="1"/>
  <c r="Y1040" i="1"/>
  <c r="X559" i="1"/>
  <c r="P559" i="1" s="1"/>
  <c r="Y553" i="1"/>
  <c r="Y514" i="1"/>
  <c r="Y503" i="1"/>
  <c r="X458" i="1"/>
  <c r="P458" i="1" s="1"/>
  <c r="Y458" i="1"/>
  <c r="X449" i="1"/>
  <c r="P449" i="1" s="1"/>
  <c r="X411" i="1"/>
  <c r="X394" i="1"/>
  <c r="X392" i="1"/>
  <c r="X388" i="1"/>
  <c r="X333" i="1"/>
  <c r="Y333" i="1"/>
  <c r="X296" i="1"/>
  <c r="Y296" i="1"/>
  <c r="X222" i="1"/>
  <c r="Y222" i="1"/>
  <c r="X15" i="1"/>
  <c r="Y15" i="1"/>
  <c r="X415" i="1"/>
  <c r="X398" i="1"/>
  <c r="X400" i="1"/>
  <c r="X404" i="1"/>
  <c r="X338" i="1"/>
  <c r="Y338" i="1"/>
  <c r="X313" i="1"/>
  <c r="Y313" i="1"/>
  <c r="X298" i="1"/>
  <c r="Y298" i="1"/>
  <c r="X318" i="1"/>
  <c r="X250" i="1"/>
  <c r="Y250" i="1"/>
  <c r="X248" i="1"/>
  <c r="P248" i="1" s="1"/>
  <c r="X228" i="1"/>
  <c r="Y443" i="1"/>
  <c r="Y435" i="1"/>
  <c r="Y427" i="1"/>
  <c r="Y423" i="1"/>
  <c r="X374" i="1"/>
  <c r="P374" i="1" s="1"/>
  <c r="X410" i="1"/>
  <c r="P410" i="1" s="1"/>
  <c r="X403" i="1"/>
  <c r="P403" i="1" s="1"/>
  <c r="X341" i="1"/>
  <c r="P341" i="1" s="1"/>
  <c r="X320" i="1"/>
  <c r="P320" i="1" s="1"/>
  <c r="X311" i="1"/>
  <c r="Y311" i="1"/>
  <c r="X285" i="1"/>
  <c r="P285" i="1" s="1"/>
  <c r="X254" i="1"/>
  <c r="Y254" i="1"/>
  <c r="X224" i="1"/>
  <c r="P224" i="1" s="1"/>
  <c r="X215" i="1"/>
  <c r="Y377" i="1"/>
  <c r="Y375" i="1"/>
  <c r="P375" i="1" s="1"/>
  <c r="X346" i="1"/>
  <c r="Y346" i="1"/>
  <c r="X342" i="1"/>
  <c r="P342" i="1" s="1"/>
  <c r="X330" i="1"/>
  <c r="Y330" i="1"/>
  <c r="X287" i="1"/>
  <c r="Y287" i="1"/>
  <c r="X263" i="1"/>
  <c r="X217" i="1"/>
  <c r="P217" i="1" s="1"/>
  <c r="Y217" i="1"/>
  <c r="Y183" i="1"/>
  <c r="X183" i="1"/>
  <c r="Y407" i="1"/>
  <c r="Y466" i="1"/>
  <c r="Y439" i="1"/>
  <c r="Y431" i="1"/>
  <c r="Y389" i="1"/>
  <c r="X349" i="1"/>
  <c r="P349" i="1" s="1"/>
  <c r="X269" i="1"/>
  <c r="Y269" i="1"/>
  <c r="X289" i="1"/>
  <c r="Y289" i="1"/>
  <c r="X539" i="1"/>
  <c r="P539" i="1" s="1"/>
  <c r="X319" i="1"/>
  <c r="Y319" i="1"/>
  <c r="X246" i="1"/>
  <c r="P246" i="1" s="1"/>
  <c r="X239" i="1"/>
  <c r="P239" i="1" s="1"/>
  <c r="Y239" i="1"/>
  <c r="X242" i="1"/>
  <c r="Y441" i="1"/>
  <c r="Y434" i="1"/>
  <c r="Y430" i="1"/>
  <c r="Y411" i="1"/>
  <c r="Y395" i="1"/>
  <c r="Y394" i="1"/>
  <c r="Y392" i="1"/>
  <c r="Y388" i="1"/>
  <c r="X357" i="1"/>
  <c r="Y357" i="1"/>
  <c r="X350" i="1"/>
  <c r="P350" i="1" s="1"/>
  <c r="X733" i="1"/>
  <c r="P733" i="1" s="1"/>
  <c r="X305" i="1"/>
  <c r="Y305" i="1"/>
  <c r="X221" i="1"/>
  <c r="P221" i="1" s="1"/>
  <c r="Y221" i="1"/>
  <c r="X207" i="1"/>
  <c r="Y207" i="1"/>
  <c r="Y415" i="1"/>
  <c r="Y398" i="1"/>
  <c r="Y400" i="1"/>
  <c r="Y404" i="1"/>
  <c r="X372" i="1"/>
  <c r="P372" i="1" s="1"/>
  <c r="X364" i="1"/>
  <c r="P364" i="1" s="1"/>
  <c r="X359" i="1"/>
  <c r="P359" i="1" s="1"/>
  <c r="X355" i="1"/>
  <c r="P355" i="1" s="1"/>
  <c r="X348" i="1"/>
  <c r="P348" i="1" s="1"/>
  <c r="X322" i="1"/>
  <c r="Y322" i="1"/>
  <c r="X304" i="1"/>
  <c r="Y304" i="1"/>
  <c r="X278" i="1"/>
  <c r="X261" i="1"/>
  <c r="P261" i="1" s="1"/>
  <c r="X255" i="1"/>
  <c r="X223" i="1"/>
  <c r="P223" i="1" s="1"/>
  <c r="X218" i="1"/>
  <c r="P218" i="1" s="1"/>
  <c r="X209" i="1"/>
  <c r="P209" i="1" s="1"/>
  <c r="X192" i="1"/>
  <c r="P192" i="1" s="1"/>
  <c r="X180" i="1"/>
  <c r="P180" i="1" s="1"/>
  <c r="X175" i="1"/>
  <c r="P175" i="1" s="1"/>
  <c r="X159" i="1"/>
  <c r="Y159" i="1"/>
  <c r="X125" i="1"/>
  <c r="Y125" i="1"/>
  <c r="X114" i="1"/>
  <c r="P114" i="1" s="1"/>
  <c r="X107" i="1"/>
  <c r="P107" i="1" s="1"/>
  <c r="X96" i="1"/>
  <c r="P96" i="1" s="1"/>
  <c r="X89" i="1"/>
  <c r="P89" i="1" s="1"/>
  <c r="X48" i="1"/>
  <c r="P48" i="1" s="1"/>
  <c r="X25" i="1"/>
  <c r="P25" i="1" s="1"/>
  <c r="X212" i="1"/>
  <c r="P212" i="1" s="1"/>
  <c r="X188" i="1"/>
  <c r="P188" i="1" s="1"/>
  <c r="X181" i="1"/>
  <c r="X168" i="1"/>
  <c r="P168" i="1" s="1"/>
  <c r="Y228" i="1"/>
  <c r="X202" i="1"/>
  <c r="X193" i="1"/>
  <c r="P193" i="1" s="1"/>
  <c r="X199" i="1"/>
  <c r="P199" i="1" s="1"/>
  <c r="X174" i="1"/>
  <c r="Y174" i="1"/>
  <c r="X162" i="1"/>
  <c r="P162" i="1" s="1"/>
  <c r="X117" i="1"/>
  <c r="P117" i="1" s="1"/>
  <c r="Y117" i="1"/>
  <c r="X108" i="1"/>
  <c r="Y108" i="1"/>
  <c r="X103" i="1"/>
  <c r="Y103" i="1"/>
  <c r="X46" i="1"/>
  <c r="Y46" i="1"/>
  <c r="X37" i="1"/>
  <c r="Y37" i="1"/>
  <c r="X17" i="1"/>
  <c r="P17" i="1" s="1"/>
  <c r="Y203" i="1"/>
  <c r="X187" i="1"/>
  <c r="P187" i="1" s="1"/>
  <c r="X190" i="1"/>
  <c r="P190" i="1" s="1"/>
  <c r="X177" i="1"/>
  <c r="P177" i="1" s="1"/>
  <c r="X154" i="1"/>
  <c r="P154" i="1" s="1"/>
  <c r="X146" i="1"/>
  <c r="P146" i="1" s="1"/>
  <c r="X138" i="1"/>
  <c r="P138" i="1" s="1"/>
  <c r="X130" i="1"/>
  <c r="P130" i="1" s="1"/>
  <c r="X97" i="1"/>
  <c r="Y97" i="1"/>
  <c r="X83" i="1"/>
  <c r="P83" i="1" s="1"/>
  <c r="X74" i="1"/>
  <c r="P74" i="1" s="1"/>
  <c r="X66" i="1"/>
  <c r="P66" i="1" s="1"/>
  <c r="X29" i="1"/>
  <c r="Y29" i="1"/>
  <c r="X230" i="1"/>
  <c r="P230" i="1" s="1"/>
  <c r="X198" i="1"/>
  <c r="P198" i="1" s="1"/>
  <c r="X189" i="1"/>
  <c r="P189" i="1" s="1"/>
  <c r="X86" i="1"/>
  <c r="P86" i="1" s="1"/>
  <c r="Y86" i="1"/>
  <c r="X77" i="1"/>
  <c r="Y77" i="1"/>
  <c r="X70" i="1"/>
  <c r="Y70" i="1"/>
  <c r="X61" i="1"/>
  <c r="Y61" i="1"/>
  <c r="X59" i="1"/>
  <c r="P59" i="1" s="1"/>
  <c r="X52" i="1"/>
  <c r="Y52" i="1"/>
  <c r="X47" i="1"/>
  <c r="X41" i="1"/>
  <c r="X11" i="1"/>
  <c r="Y278" i="1"/>
  <c r="Y318" i="1"/>
  <c r="Y263" i="1"/>
  <c r="Y255" i="1"/>
  <c r="Y248" i="1"/>
  <c r="Y242" i="1"/>
  <c r="Y231" i="1"/>
  <c r="Y215" i="1"/>
  <c r="Y214" i="1"/>
  <c r="X165" i="1"/>
  <c r="Y165" i="1"/>
  <c r="X121" i="1"/>
  <c r="P121" i="1" s="1"/>
  <c r="X21" i="1"/>
  <c r="Y21" i="1"/>
  <c r="Y188" i="1"/>
  <c r="X178" i="1"/>
  <c r="P178" i="1" s="1"/>
  <c r="Y178" i="1"/>
  <c r="X167" i="1"/>
  <c r="Y167" i="1"/>
  <c r="Y202" i="1"/>
  <c r="Y197" i="1"/>
  <c r="Y189" i="1"/>
  <c r="Y181" i="1"/>
  <c r="Y173" i="1"/>
  <c r="Y164" i="1"/>
  <c r="Y158" i="1"/>
  <c r="Y148" i="1"/>
  <c r="Y140" i="1"/>
  <c r="Y136" i="1"/>
  <c r="Y123" i="1"/>
  <c r="Y116" i="1"/>
  <c r="Y109" i="1"/>
  <c r="Y102" i="1"/>
  <c r="Y92" i="1"/>
  <c r="P92" i="1" s="1"/>
  <c r="Y84" i="1"/>
  <c r="Y76" i="1"/>
  <c r="Y54" i="1"/>
  <c r="Y4" i="1"/>
  <c r="Y150" i="1"/>
  <c r="Y147" i="1"/>
  <c r="Y135" i="1"/>
  <c r="Y127" i="1"/>
  <c r="P127" i="1" s="1"/>
  <c r="Y119" i="1"/>
  <c r="Y112" i="1"/>
  <c r="Y100" i="1"/>
  <c r="Y95" i="1"/>
  <c r="P95" i="1" s="1"/>
  <c r="Y87" i="1"/>
  <c r="Y79" i="1"/>
  <c r="Y71" i="1"/>
  <c r="Y63" i="1"/>
  <c r="Y56" i="1"/>
  <c r="Y47" i="1"/>
  <c r="Y41" i="1"/>
  <c r="Y31" i="1"/>
  <c r="Y2" i="1"/>
  <c r="Y27" i="1"/>
  <c r="Y18" i="1"/>
  <c r="Y11" i="1"/>
  <c r="P1378" i="1"/>
  <c r="P1259" i="1"/>
  <c r="P630" i="1"/>
  <c r="P1190" i="1"/>
  <c r="P1211" i="1"/>
  <c r="P749" i="1"/>
  <c r="P463" i="1"/>
  <c r="P831" i="1"/>
  <c r="I936" i="6"/>
  <c r="J936" i="6"/>
  <c r="A1422" i="1"/>
  <c r="C1422" i="1"/>
  <c r="B1422" i="1" s="1"/>
  <c r="A1410" i="1"/>
  <c r="A1411" i="1"/>
  <c r="C1410" i="1"/>
  <c r="B1410" i="1" s="1"/>
  <c r="C1411" i="1"/>
  <c r="B1411" i="1" s="1"/>
  <c r="A1423" i="1"/>
  <c r="C1423" i="1"/>
  <c r="B1423" i="1" s="1"/>
  <c r="A1419" i="1"/>
  <c r="C1419" i="1"/>
  <c r="B1419" i="1" s="1"/>
  <c r="A1418" i="1"/>
  <c r="C1418" i="1"/>
  <c r="B1418" i="1" s="1"/>
  <c r="A1417" i="1"/>
  <c r="C1417" i="1"/>
  <c r="B1417" i="1" s="1"/>
  <c r="A1429" i="1"/>
  <c r="C1429" i="1"/>
  <c r="B1429" i="1" s="1"/>
  <c r="A1379" i="1"/>
  <c r="C1379" i="1"/>
  <c r="B1379" i="1" s="1"/>
  <c r="O1379" i="1"/>
  <c r="A1394" i="1"/>
  <c r="C1394" i="1"/>
  <c r="B1394" i="1" s="1"/>
  <c r="M1394" i="1"/>
  <c r="O1394" i="1"/>
  <c r="A1403" i="1"/>
  <c r="C1403" i="1"/>
  <c r="B1403" i="1" s="1"/>
  <c r="M1403" i="1"/>
  <c r="O1403" i="1"/>
  <c r="T1403" i="1"/>
  <c r="K1395" i="1"/>
  <c r="M1395" i="1" s="1"/>
  <c r="A1395" i="1"/>
  <c r="C1395" i="1"/>
  <c r="B1395" i="1" s="1"/>
  <c r="T1395" i="1"/>
  <c r="A1408" i="1"/>
  <c r="C1408" i="1"/>
  <c r="B1408" i="1" s="1"/>
  <c r="M1408" i="1"/>
  <c r="O1408" i="1"/>
  <c r="T1408" i="1"/>
  <c r="A1420" i="1"/>
  <c r="C1420" i="1"/>
  <c r="B1420" i="1" s="1"/>
  <c r="M1420" i="1"/>
  <c r="O1420" i="1"/>
  <c r="T1420" i="1"/>
  <c r="A1399" i="1"/>
  <c r="C1399" i="1"/>
  <c r="B1399" i="1" s="1"/>
  <c r="M1399" i="1"/>
  <c r="O1399" i="1"/>
  <c r="T1399" i="1"/>
  <c r="S1399" i="1"/>
  <c r="K1327" i="1"/>
  <c r="M1327" i="1" s="1"/>
  <c r="A1327" i="1"/>
  <c r="C1327" i="1"/>
  <c r="B1327" i="1" s="1"/>
  <c r="T1327" i="1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C19" i="16"/>
  <c r="B19" i="16"/>
  <c r="K16" i="16"/>
  <c r="J16" i="16"/>
  <c r="I16" i="16"/>
  <c r="H16" i="16"/>
  <c r="G16" i="16"/>
  <c r="F16" i="16"/>
  <c r="E16" i="16"/>
  <c r="D16" i="16"/>
  <c r="C16" i="16"/>
  <c r="B16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C15" i="16"/>
  <c r="B15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C11" i="16"/>
  <c r="B11" i="16"/>
  <c r="AC10" i="16"/>
  <c r="AC9" i="16" s="1"/>
  <c r="AB10" i="16"/>
  <c r="AA10" i="16"/>
  <c r="Z10" i="16"/>
  <c r="Z9" i="16" s="1"/>
  <c r="Y10" i="16"/>
  <c r="X10" i="16"/>
  <c r="W10" i="16"/>
  <c r="W9" i="16" s="1"/>
  <c r="V10" i="16"/>
  <c r="U10" i="16"/>
  <c r="T10" i="16"/>
  <c r="S10" i="16"/>
  <c r="R10" i="16"/>
  <c r="R9" i="16" s="1"/>
  <c r="Q10" i="16"/>
  <c r="P10" i="16"/>
  <c r="O10" i="16"/>
  <c r="N10" i="16"/>
  <c r="M10" i="16"/>
  <c r="L10" i="16"/>
  <c r="K10" i="16"/>
  <c r="J10" i="16"/>
  <c r="J9" i="16" s="1"/>
  <c r="I10" i="16"/>
  <c r="H10" i="16"/>
  <c r="G10" i="16"/>
  <c r="F10" i="16"/>
  <c r="E10" i="16"/>
  <c r="D10" i="16"/>
  <c r="C10" i="16"/>
  <c r="B10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C5" i="16"/>
  <c r="B5" i="16"/>
  <c r="C29" i="104"/>
  <c r="C28" i="104"/>
  <c r="C27" i="104"/>
  <c r="C26" i="104"/>
  <c r="C25" i="104"/>
  <c r="C24" i="104"/>
  <c r="C23" i="104"/>
  <c r="C22" i="104"/>
  <c r="C21" i="104"/>
  <c r="C20" i="104"/>
  <c r="C19" i="104"/>
  <c r="C18" i="104"/>
  <c r="C17" i="104"/>
  <c r="C16" i="104"/>
  <c r="C15" i="104"/>
  <c r="C14" i="104"/>
  <c r="C13" i="104"/>
  <c r="C12" i="104"/>
  <c r="C11" i="104"/>
  <c r="C10" i="104"/>
  <c r="C9" i="104"/>
  <c r="C8" i="104"/>
  <c r="C7" i="104"/>
  <c r="C6" i="104"/>
  <c r="C5" i="104"/>
  <c r="C4" i="104"/>
  <c r="C3" i="104"/>
  <c r="C2" i="104"/>
  <c r="AB27" i="16"/>
  <c r="Z27" i="16"/>
  <c r="Y27" i="16"/>
  <c r="AB22" i="16"/>
  <c r="AA22" i="16"/>
  <c r="Z22" i="16"/>
  <c r="Y22" i="16"/>
  <c r="X22" i="16"/>
  <c r="W22" i="16"/>
  <c r="V22" i="16"/>
  <c r="U22" i="16"/>
  <c r="U13" i="16" s="1"/>
  <c r="T22" i="16"/>
  <c r="T13" i="16" s="1"/>
  <c r="S22" i="16"/>
  <c r="S13" i="16" s="1"/>
  <c r="R22" i="16"/>
  <c r="R13" i="16" s="1"/>
  <c r="Q22" i="16"/>
  <c r="Q13" i="16" s="1"/>
  <c r="P22" i="16"/>
  <c r="P13" i="16" s="1"/>
  <c r="O22" i="16"/>
  <c r="O13" i="16" s="1"/>
  <c r="N22" i="16"/>
  <c r="N13" i="16" s="1"/>
  <c r="AB20" i="16"/>
  <c r="AA20" i="16"/>
  <c r="Z20" i="16"/>
  <c r="Y20" i="16"/>
  <c r="X20" i="16"/>
  <c r="W20" i="16"/>
  <c r="V20" i="16"/>
  <c r="M13" i="16"/>
  <c r="L13" i="16"/>
  <c r="K13" i="16"/>
  <c r="J13" i="16"/>
  <c r="I13" i="16"/>
  <c r="H13" i="16"/>
  <c r="G13" i="16"/>
  <c r="F13" i="16"/>
  <c r="E13" i="16"/>
  <c r="D13" i="16"/>
  <c r="C13" i="16"/>
  <c r="B13" i="16"/>
  <c r="AC12" i="16"/>
  <c r="M12" i="16"/>
  <c r="L12" i="16"/>
  <c r="K12" i="16"/>
  <c r="J12" i="16"/>
  <c r="I12" i="16"/>
  <c r="H12" i="16"/>
  <c r="G12" i="16"/>
  <c r="F12" i="16"/>
  <c r="E12" i="16"/>
  <c r="D12" i="16"/>
  <c r="C12" i="16"/>
  <c r="B12" i="1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4" i="6"/>
  <c r="I957" i="6"/>
  <c r="I952" i="6"/>
  <c r="I970" i="6"/>
  <c r="I971" i="6"/>
  <c r="I972" i="6"/>
  <c r="I944" i="6"/>
  <c r="I941" i="6"/>
  <c r="I973" i="6"/>
  <c r="I954" i="6"/>
  <c r="I953" i="6"/>
  <c r="I974" i="6"/>
  <c r="I950" i="6"/>
  <c r="I947" i="6"/>
  <c r="I955" i="6"/>
  <c r="I958" i="6"/>
  <c r="I945" i="6"/>
  <c r="I946" i="6"/>
  <c r="I942" i="6"/>
  <c r="I959" i="6"/>
  <c r="I933" i="6"/>
  <c r="I937" i="6"/>
  <c r="I961" i="6"/>
  <c r="I938" i="6"/>
  <c r="I975" i="6"/>
  <c r="I976" i="6"/>
  <c r="I960" i="6"/>
  <c r="I951" i="6"/>
  <c r="I939" i="6"/>
  <c r="I962" i="6"/>
  <c r="I963" i="6"/>
  <c r="I964" i="6"/>
  <c r="I965" i="6"/>
  <c r="I966" i="6"/>
  <c r="I967" i="6"/>
  <c r="I968" i="6"/>
  <c r="I96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4" i="6"/>
  <c r="J957" i="6"/>
  <c r="J952" i="6"/>
  <c r="J970" i="6"/>
  <c r="J971" i="6"/>
  <c r="J972" i="6"/>
  <c r="J944" i="6"/>
  <c r="J941" i="6"/>
  <c r="J973" i="6"/>
  <c r="J954" i="6"/>
  <c r="J953" i="6"/>
  <c r="J974" i="6"/>
  <c r="J950" i="6"/>
  <c r="J947" i="6"/>
  <c r="J955" i="6"/>
  <c r="J958" i="6"/>
  <c r="J945" i="6"/>
  <c r="J946" i="6"/>
  <c r="J942" i="6"/>
  <c r="J959" i="6"/>
  <c r="J933" i="6"/>
  <c r="J937" i="6"/>
  <c r="J961" i="6"/>
  <c r="J938" i="6"/>
  <c r="J975" i="6"/>
  <c r="J976" i="6"/>
  <c r="J960" i="6"/>
  <c r="J951" i="6"/>
  <c r="J939" i="6"/>
  <c r="J962" i="6"/>
  <c r="J963" i="6"/>
  <c r="J964" i="6"/>
  <c r="J965" i="6"/>
  <c r="J966" i="6"/>
  <c r="J967" i="6"/>
  <c r="J968" i="6"/>
  <c r="J969" i="6"/>
  <c r="B29" i="104"/>
  <c r="A29" i="104"/>
  <c r="I28" i="104"/>
  <c r="B28" i="104"/>
  <c r="A28" i="104"/>
  <c r="B27" i="104"/>
  <c r="A27" i="104"/>
  <c r="B26" i="104"/>
  <c r="A26" i="104"/>
  <c r="B25" i="104"/>
  <c r="A25" i="104"/>
  <c r="B24" i="104"/>
  <c r="A24" i="104"/>
  <c r="B23" i="104"/>
  <c r="A23" i="104"/>
  <c r="B22" i="104"/>
  <c r="A22" i="104"/>
  <c r="B21" i="104"/>
  <c r="A21" i="104"/>
  <c r="I20" i="104"/>
  <c r="B20" i="104"/>
  <c r="A20" i="104"/>
  <c r="H19" i="104"/>
  <c r="B19" i="104"/>
  <c r="A19" i="104"/>
  <c r="H18" i="104"/>
  <c r="I18" i="104" s="1"/>
  <c r="B18" i="104"/>
  <c r="A18" i="104"/>
  <c r="H17" i="104"/>
  <c r="I17" i="104" s="1"/>
  <c r="B17" i="104"/>
  <c r="A17" i="104"/>
  <c r="H16" i="104"/>
  <c r="I16" i="104" s="1"/>
  <c r="B16" i="104"/>
  <c r="A16" i="104"/>
  <c r="I15" i="104"/>
  <c r="B15" i="104"/>
  <c r="A15" i="104"/>
  <c r="H14" i="104"/>
  <c r="B14" i="104"/>
  <c r="A14" i="104"/>
  <c r="H13" i="104"/>
  <c r="B13" i="104"/>
  <c r="A13" i="104"/>
  <c r="H12" i="104"/>
  <c r="B12" i="104"/>
  <c r="A12" i="104"/>
  <c r="H11" i="104"/>
  <c r="B11" i="104"/>
  <c r="A11" i="104"/>
  <c r="H10" i="104"/>
  <c r="B10" i="104"/>
  <c r="A10" i="104"/>
  <c r="H9" i="104"/>
  <c r="B9" i="104"/>
  <c r="A9" i="104"/>
  <c r="H8" i="104"/>
  <c r="B8" i="104"/>
  <c r="A8" i="104"/>
  <c r="H7" i="104"/>
  <c r="B7" i="104"/>
  <c r="A7" i="104"/>
  <c r="H6" i="104"/>
  <c r="B6" i="104"/>
  <c r="A6" i="104"/>
  <c r="H5" i="104"/>
  <c r="B5" i="104"/>
  <c r="A5" i="104"/>
  <c r="H4" i="104"/>
  <c r="B4" i="104"/>
  <c r="A4" i="104"/>
  <c r="H3" i="104"/>
  <c r="B3" i="104"/>
  <c r="A3" i="104"/>
  <c r="H2" i="104"/>
  <c r="B2" i="104"/>
  <c r="A2" i="104"/>
  <c r="T1014" i="1"/>
  <c r="T5" i="1"/>
  <c r="T39" i="1"/>
  <c r="T41" i="1"/>
  <c r="T286" i="1"/>
  <c r="T287" i="1"/>
  <c r="T383" i="1"/>
  <c r="T547" i="1"/>
  <c r="T660" i="1"/>
  <c r="T913" i="1"/>
  <c r="T1175" i="1"/>
  <c r="T1201" i="1"/>
  <c r="T171" i="1"/>
  <c r="T493" i="1"/>
  <c r="T506" i="1"/>
  <c r="T597" i="1"/>
  <c r="T768" i="1"/>
  <c r="T918" i="1"/>
  <c r="T924" i="1"/>
  <c r="T1006" i="1"/>
  <c r="T1199" i="1"/>
  <c r="T1341" i="1"/>
  <c r="T909" i="1"/>
  <c r="T908" i="1"/>
  <c r="T905" i="1"/>
  <c r="T470" i="1"/>
  <c r="T467" i="1"/>
  <c r="T793" i="1"/>
  <c r="T358" i="1"/>
  <c r="T7" i="1"/>
  <c r="T12" i="1"/>
  <c r="T34" i="1"/>
  <c r="T83" i="1"/>
  <c r="T102" i="1"/>
  <c r="T182" i="1"/>
  <c r="T207" i="1"/>
  <c r="T279" i="1"/>
  <c r="T305" i="1"/>
  <c r="T389" i="1"/>
  <c r="T463" i="1"/>
  <c r="T513" i="1"/>
  <c r="T553" i="1"/>
  <c r="T628" i="1"/>
  <c r="T629" i="1"/>
  <c r="T671" i="1"/>
  <c r="T758" i="1"/>
  <c r="T792" i="1"/>
  <c r="T813" i="1"/>
  <c r="T917" i="1"/>
  <c r="T1111" i="1"/>
  <c r="T1125" i="1"/>
  <c r="T1184" i="1"/>
  <c r="T1185" i="1"/>
  <c r="T1251" i="1"/>
  <c r="T38" i="1"/>
  <c r="T543" i="1"/>
  <c r="T545" i="1"/>
  <c r="T903" i="1"/>
  <c r="T925" i="1"/>
  <c r="T1210" i="1"/>
  <c r="T17" i="1"/>
  <c r="T149" i="1"/>
  <c r="T183" i="1"/>
  <c r="T427" i="1"/>
  <c r="T483" i="1"/>
  <c r="T605" i="1"/>
  <c r="T767" i="1"/>
  <c r="T865" i="1"/>
  <c r="T980" i="1"/>
  <c r="T1110" i="1"/>
  <c r="T1202" i="1"/>
  <c r="T26" i="1"/>
  <c r="T50" i="1"/>
  <c r="T57" i="1"/>
  <c r="T142" i="1"/>
  <c r="T1153" i="1"/>
  <c r="T115" i="1"/>
  <c r="T137" i="1"/>
  <c r="T203" i="1"/>
  <c r="T242" i="1"/>
  <c r="T292" i="1"/>
  <c r="T367" i="1"/>
  <c r="T499" i="1"/>
  <c r="T561" i="1"/>
  <c r="T646" i="1"/>
  <c r="T693" i="1"/>
  <c r="T782" i="1"/>
  <c r="T812" i="1"/>
  <c r="T920" i="1"/>
  <c r="T972" i="1"/>
  <c r="T1013" i="1"/>
  <c r="T1083" i="1"/>
  <c r="T1089" i="1"/>
  <c r="T1148" i="1"/>
  <c r="T1186" i="1"/>
  <c r="T1197" i="1"/>
  <c r="T1276" i="1"/>
  <c r="T1317" i="1"/>
  <c r="T1365" i="1"/>
  <c r="T1105" i="1"/>
  <c r="T1106" i="1"/>
  <c r="T1357" i="1"/>
  <c r="T1368" i="1"/>
  <c r="T121" i="1"/>
  <c r="T122" i="1"/>
  <c r="T124" i="1"/>
  <c r="T123" i="1"/>
  <c r="T125" i="1"/>
  <c r="T468" i="1"/>
  <c r="T568" i="1"/>
  <c r="T598" i="1"/>
  <c r="T595" i="1"/>
  <c r="T596" i="1"/>
  <c r="T636" i="1"/>
  <c r="T641" i="1"/>
  <c r="T667" i="1"/>
  <c r="T719" i="1"/>
  <c r="T718" i="1"/>
  <c r="T720" i="1"/>
  <c r="T721" i="1"/>
  <c r="T725" i="1"/>
  <c r="T731" i="1"/>
  <c r="T799" i="1"/>
  <c r="T817" i="1"/>
  <c r="T819" i="1"/>
  <c r="T820" i="1"/>
  <c r="T818" i="1"/>
  <c r="T816" i="1"/>
  <c r="T822" i="1"/>
  <c r="T916" i="1"/>
  <c r="T923" i="1"/>
  <c r="T929" i="1"/>
  <c r="T928" i="1"/>
  <c r="T927" i="1"/>
  <c r="T930" i="1"/>
  <c r="T931" i="1"/>
  <c r="T933" i="1"/>
  <c r="T963" i="1"/>
  <c r="T999" i="1"/>
  <c r="T1005" i="1"/>
  <c r="T1026" i="1"/>
  <c r="T1024" i="1"/>
  <c r="T1030" i="1"/>
  <c r="T1029" i="1"/>
  <c r="T1025" i="1"/>
  <c r="T1032" i="1"/>
  <c r="T1055" i="1"/>
  <c r="T1115" i="1"/>
  <c r="T1137" i="1"/>
  <c r="T1136" i="1"/>
  <c r="T1140" i="1"/>
  <c r="T1138" i="1"/>
  <c r="T1139" i="1"/>
  <c r="T1141" i="1"/>
  <c r="T1300" i="1"/>
  <c r="T1301" i="1"/>
  <c r="T1303" i="1"/>
  <c r="T1302" i="1"/>
  <c r="T1307" i="1"/>
  <c r="T1304" i="1"/>
  <c r="T706" i="1"/>
  <c r="T410" i="1"/>
  <c r="T1011" i="1"/>
  <c r="T230" i="1"/>
  <c r="T2" i="1"/>
  <c r="T19" i="1"/>
  <c r="T23" i="1"/>
  <c r="T420" i="1"/>
  <c r="T540" i="1"/>
  <c r="T639" i="1"/>
  <c r="T728" i="1"/>
  <c r="T992" i="1"/>
  <c r="T1164" i="1"/>
  <c r="T1173" i="1"/>
  <c r="T1204" i="1"/>
  <c r="T331" i="1"/>
  <c r="T1217" i="1"/>
  <c r="T1299" i="1"/>
  <c r="T42" i="1"/>
  <c r="T1149" i="1"/>
  <c r="T1273" i="1"/>
  <c r="T703" i="1"/>
  <c r="T737" i="1"/>
  <c r="T848" i="1"/>
  <c r="T15" i="1"/>
  <c r="T63" i="1"/>
  <c r="T72" i="1"/>
  <c r="T1135" i="1"/>
  <c r="T1166" i="1"/>
  <c r="T303" i="1"/>
  <c r="T1100" i="1"/>
  <c r="T70" i="1"/>
  <c r="T91" i="1"/>
  <c r="T114" i="1"/>
  <c r="T148" i="1"/>
  <c r="T346" i="1"/>
  <c r="T363" i="1"/>
  <c r="T398" i="1"/>
  <c r="T448" i="1"/>
  <c r="T510" i="1"/>
  <c r="T573" i="1"/>
  <c r="T686" i="1"/>
  <c r="T866" i="1"/>
  <c r="T1066" i="1"/>
  <c r="T1124" i="1"/>
  <c r="T1262" i="1"/>
  <c r="T1333" i="1"/>
  <c r="T1345" i="1"/>
  <c r="T1366" i="1"/>
  <c r="T501" i="1"/>
  <c r="T1098" i="1"/>
  <c r="T105" i="1"/>
  <c r="T170" i="1"/>
  <c r="T796" i="1"/>
  <c r="T993" i="1"/>
  <c r="T604" i="1"/>
  <c r="T80" i="1"/>
  <c r="T97" i="1"/>
  <c r="T127" i="1"/>
  <c r="T227" i="1"/>
  <c r="T275" i="1"/>
  <c r="T1122" i="1"/>
  <c r="T1163" i="1"/>
  <c r="T1261" i="1"/>
  <c r="T1331" i="1"/>
  <c r="T691" i="1"/>
  <c r="T732" i="1"/>
  <c r="T64" i="1"/>
  <c r="T132" i="1"/>
  <c r="T472" i="1"/>
  <c r="T471" i="1"/>
  <c r="T475" i="1"/>
  <c r="T576" i="1"/>
  <c r="T631" i="1"/>
  <c r="T669" i="1"/>
  <c r="T1084" i="1"/>
  <c r="T1085" i="1"/>
  <c r="T384" i="1"/>
  <c r="T495" i="1"/>
  <c r="T775" i="1"/>
  <c r="T785" i="1"/>
  <c r="T1102" i="1"/>
  <c r="T1126" i="1"/>
  <c r="T259" i="1"/>
  <c r="T312" i="1"/>
  <c r="T396" i="1"/>
  <c r="T515" i="1"/>
  <c r="T601" i="1"/>
  <c r="T462" i="1"/>
  <c r="T584" i="1"/>
  <c r="T260" i="1"/>
  <c r="T313" i="1"/>
  <c r="T404" i="1"/>
  <c r="T516" i="1"/>
  <c r="T602" i="1"/>
  <c r="T103" i="1"/>
  <c r="T147" i="1"/>
  <c r="T173" i="1"/>
  <c r="T176" i="1"/>
  <c r="T205" i="1"/>
  <c r="T216" i="1"/>
  <c r="T226" i="1"/>
  <c r="T258" i="1"/>
  <c r="T277" i="1"/>
  <c r="T296" i="1"/>
  <c r="T308" i="1"/>
  <c r="T334" i="1"/>
  <c r="T351" i="1"/>
  <c r="T361" i="1"/>
  <c r="T379" i="1"/>
  <c r="T392" i="1"/>
  <c r="T399" i="1"/>
  <c r="T433" i="1"/>
  <c r="T453" i="1"/>
  <c r="T497" i="1"/>
  <c r="T546" i="1"/>
  <c r="T574" i="1"/>
  <c r="T588" i="1"/>
  <c r="T632" i="1"/>
  <c r="T643" i="1"/>
  <c r="T664" i="1"/>
  <c r="T709" i="1"/>
  <c r="T708" i="1"/>
  <c r="T754" i="1"/>
  <c r="T787" i="1"/>
  <c r="T794" i="1"/>
  <c r="T821" i="1"/>
  <c r="T860" i="1"/>
  <c r="T874" i="1"/>
  <c r="T892" i="1"/>
  <c r="T926" i="1"/>
  <c r="T956" i="1"/>
  <c r="T976" i="1"/>
  <c r="T1000" i="1"/>
  <c r="T1015" i="1"/>
  <c r="T1068" i="1"/>
  <c r="T1092" i="1"/>
  <c r="T1107" i="1"/>
  <c r="T1127" i="1"/>
  <c r="T1169" i="1"/>
  <c r="T1183" i="1"/>
  <c r="T1200" i="1"/>
  <c r="T1240" i="1"/>
  <c r="T1263" i="1"/>
  <c r="T1278" i="1"/>
  <c r="T1291" i="1"/>
  <c r="T1326" i="1"/>
  <c r="T1346" i="1"/>
  <c r="T1384" i="1"/>
  <c r="T490" i="1"/>
  <c r="T492" i="1"/>
  <c r="T770" i="1"/>
  <c r="T778" i="1"/>
  <c r="T809" i="1"/>
  <c r="T885" i="1"/>
  <c r="T1075" i="1"/>
  <c r="T1208" i="1"/>
  <c r="T1270" i="1"/>
  <c r="T1340" i="1"/>
  <c r="T58" i="1"/>
  <c r="T343" i="1"/>
  <c r="T541" i="1"/>
  <c r="T594" i="1"/>
  <c r="T630" i="1"/>
  <c r="T683" i="1"/>
  <c r="T773" i="1"/>
  <c r="T795" i="1"/>
  <c r="T869" i="1"/>
  <c r="T1154" i="1"/>
  <c r="T1170" i="1"/>
  <c r="T1203" i="1"/>
  <c r="T244" i="1"/>
  <c r="T262" i="1"/>
  <c r="T314" i="1"/>
  <c r="T401" i="1"/>
  <c r="T518" i="1"/>
  <c r="T606" i="1"/>
  <c r="T53" i="1"/>
  <c r="T144" i="1"/>
  <c r="T1121" i="1"/>
  <c r="T1266" i="1"/>
  <c r="T1335" i="1"/>
  <c r="T210" i="1"/>
  <c r="T777" i="1"/>
  <c r="T1165" i="1"/>
  <c r="T94" i="1"/>
  <c r="T109" i="1"/>
  <c r="T179" i="1"/>
  <c r="T304" i="1"/>
  <c r="T338" i="1"/>
  <c r="T387" i="1"/>
  <c r="T444" i="1"/>
  <c r="T550" i="1"/>
  <c r="T827" i="1"/>
  <c r="T261" i="1"/>
  <c r="T311" i="1"/>
  <c r="T400" i="1"/>
  <c r="T517" i="1"/>
  <c r="T603" i="1"/>
  <c r="T95" i="1"/>
  <c r="T98" i="1"/>
  <c r="T309" i="1"/>
  <c r="T370" i="1"/>
  <c r="T415" i="1"/>
  <c r="T535" i="1"/>
  <c r="T713" i="1"/>
  <c r="T982" i="1"/>
  <c r="T983" i="1"/>
  <c r="T1016" i="1"/>
  <c r="T1023" i="1"/>
  <c r="T1116" i="1"/>
  <c r="T1128" i="1"/>
  <c r="T1134" i="1"/>
  <c r="T1268" i="1"/>
  <c r="T84" i="1"/>
  <c r="T364" i="1"/>
  <c r="T484" i="1"/>
  <c r="T580" i="1"/>
  <c r="T625" i="1"/>
  <c r="T772" i="1"/>
  <c r="T801" i="1"/>
  <c r="T960" i="1"/>
  <c r="T1012" i="1"/>
  <c r="T1193" i="1"/>
  <c r="T1222" i="1"/>
  <c r="T263" i="1"/>
  <c r="T315" i="1"/>
  <c r="T406" i="1"/>
  <c r="T521" i="1"/>
  <c r="T608" i="1"/>
  <c r="T701" i="1"/>
  <c r="T964" i="1"/>
  <c r="T971" i="1"/>
  <c r="T987" i="1"/>
  <c r="T1087" i="1"/>
  <c r="T1259" i="1"/>
  <c r="T1378" i="1"/>
  <c r="T366" i="1"/>
  <c r="T480" i="1"/>
  <c r="T644" i="1"/>
  <c r="T896" i="1"/>
  <c r="T1044" i="1"/>
  <c r="T1284" i="1"/>
  <c r="T3" i="1"/>
  <c r="T61" i="1"/>
  <c r="T92" i="1"/>
  <c r="T146" i="1"/>
  <c r="T145" i="1"/>
  <c r="T143" i="1"/>
  <c r="T151" i="1"/>
  <c r="T154" i="1"/>
  <c r="T371" i="1"/>
  <c r="T442" i="1"/>
  <c r="T439" i="1"/>
  <c r="T590" i="1"/>
  <c r="T698" i="1"/>
  <c r="T790" i="1"/>
  <c r="T891" i="1"/>
  <c r="T890" i="1"/>
  <c r="T1109" i="1"/>
  <c r="T1172" i="1"/>
  <c r="T246" i="1"/>
  <c r="T867" i="1"/>
  <c r="T79" i="1"/>
  <c r="T766" i="1"/>
  <c r="T482" i="1"/>
  <c r="T665" i="1"/>
  <c r="T959" i="1"/>
  <c r="T1036" i="1"/>
  <c r="T1343" i="1"/>
  <c r="T368" i="1"/>
  <c r="T634" i="1"/>
  <c r="T649" i="1"/>
  <c r="T685" i="1"/>
  <c r="T11" i="1"/>
  <c r="T27" i="1"/>
  <c r="T46" i="1"/>
  <c r="T45" i="1"/>
  <c r="T47" i="1"/>
  <c r="T130" i="1"/>
  <c r="T339" i="1"/>
  <c r="T106" i="1"/>
  <c r="T234" i="1"/>
  <c r="T372" i="1"/>
  <c r="T365" i="1"/>
  <c r="T450" i="1"/>
  <c r="T452" i="1"/>
  <c r="T560" i="1"/>
  <c r="T655" i="1"/>
  <c r="T838" i="1"/>
  <c r="T862" i="1"/>
  <c r="T1078" i="1"/>
  <c r="T1112" i="1"/>
  <c r="T1223" i="1"/>
  <c r="T1286" i="1"/>
  <c r="T1056" i="1"/>
  <c r="T289" i="1"/>
  <c r="T558" i="1"/>
  <c r="T907" i="1"/>
  <c r="T1082" i="1"/>
  <c r="T1342" i="1"/>
  <c r="T469" i="1"/>
  <c r="T662" i="1"/>
  <c r="T248" i="1"/>
  <c r="T883" i="1"/>
  <c r="T759" i="1"/>
  <c r="T774" i="1"/>
  <c r="T977" i="1"/>
  <c r="T16" i="1"/>
  <c r="T56" i="1"/>
  <c r="T99" i="1"/>
  <c r="T140" i="1"/>
  <c r="T161" i="1"/>
  <c r="T218" i="1"/>
  <c r="T293" i="1"/>
  <c r="T373" i="1"/>
  <c r="T659" i="1"/>
  <c r="T714" i="1"/>
  <c r="T763" i="1"/>
  <c r="T761" i="1"/>
  <c r="T810" i="1"/>
  <c r="T859" i="1"/>
  <c r="T863" i="1"/>
  <c r="T994" i="1"/>
  <c r="T1080" i="1"/>
  <c r="T1218" i="1"/>
  <c r="T1207" i="1"/>
  <c r="T1216" i="1"/>
  <c r="T1292" i="1"/>
  <c r="T825" i="1"/>
  <c r="T932" i="1"/>
  <c r="T935" i="1"/>
  <c r="T967" i="1"/>
  <c r="T1067" i="1"/>
  <c r="T1064" i="1"/>
  <c r="T1076" i="1"/>
  <c r="T1123" i="1"/>
  <c r="T1131" i="1"/>
  <c r="T1132" i="1"/>
  <c r="T1206" i="1"/>
  <c r="T991" i="1"/>
  <c r="T1214" i="1"/>
  <c r="T1133" i="1"/>
  <c r="T893" i="1"/>
  <c r="T912" i="1"/>
  <c r="T1081" i="1"/>
  <c r="T684" i="1"/>
  <c r="T853" i="1"/>
  <c r="T904" i="1"/>
  <c r="T1033" i="1"/>
  <c r="T494" i="1"/>
  <c r="T514" i="1"/>
  <c r="T542" i="1"/>
  <c r="T600" i="1"/>
  <c r="T647" i="1"/>
  <c r="T645" i="1"/>
  <c r="T744" i="1"/>
  <c r="T841" i="1"/>
  <c r="T889" i="1"/>
  <c r="T986" i="1"/>
  <c r="T998" i="1"/>
  <c r="T1219" i="1"/>
  <c r="T911" i="1"/>
  <c r="T968" i="1"/>
  <c r="T1180" i="1"/>
  <c r="T1352" i="1"/>
  <c r="T724" i="1"/>
  <c r="T1101" i="1"/>
  <c r="T13" i="1"/>
  <c r="T162" i="1"/>
  <c r="T166" i="1"/>
  <c r="T241" i="1"/>
  <c r="T288" i="1"/>
  <c r="T388" i="1"/>
  <c r="T393" i="1"/>
  <c r="T446" i="1"/>
  <c r="T764" i="1"/>
  <c r="T854" i="1"/>
  <c r="T902" i="1"/>
  <c r="T952" i="1"/>
  <c r="T996" i="1"/>
  <c r="T1281" i="1"/>
  <c r="T447" i="1"/>
  <c r="T672" i="1"/>
  <c r="T581" i="1"/>
  <c r="T29" i="1"/>
  <c r="T86" i="1"/>
  <c r="T150" i="1"/>
  <c r="T186" i="1"/>
  <c r="T232" i="1"/>
  <c r="T357" i="1"/>
  <c r="T390" i="1"/>
  <c r="T431" i="1"/>
  <c r="T583" i="1"/>
  <c r="T586" i="1"/>
  <c r="T607" i="1"/>
  <c r="T658" i="1"/>
  <c r="T716" i="1"/>
  <c r="T978" i="1"/>
  <c r="T1027" i="1"/>
  <c r="T1070" i="1"/>
  <c r="T8" i="1"/>
  <c r="T44" i="1"/>
  <c r="T43" i="1"/>
  <c r="T60" i="1"/>
  <c r="T62" i="1"/>
  <c r="T219" i="1"/>
  <c r="T359" i="1"/>
  <c r="T378" i="1"/>
  <c r="T460" i="1"/>
  <c r="T548" i="1"/>
  <c r="T562" i="1"/>
  <c r="T657" i="1"/>
  <c r="T692" i="1"/>
  <c r="T707" i="1"/>
  <c r="T723" i="1"/>
  <c r="T755" i="1"/>
  <c r="T756" i="1"/>
  <c r="T757" i="1"/>
  <c r="T807" i="1"/>
  <c r="T806" i="1"/>
  <c r="T914" i="1"/>
  <c r="T910" i="1"/>
  <c r="T1095" i="1"/>
  <c r="T1093" i="1"/>
  <c r="T1119" i="1"/>
  <c r="T104" i="1"/>
  <c r="T141" i="1"/>
  <c r="T73" i="1"/>
  <c r="T117" i="1"/>
  <c r="T350" i="1"/>
  <c r="T459" i="1"/>
  <c r="T458" i="1"/>
  <c r="T508" i="1"/>
  <c r="T1129" i="1"/>
  <c r="T1161" i="1"/>
  <c r="T36" i="1"/>
  <c r="T169" i="1"/>
  <c r="T238" i="1"/>
  <c r="T245" i="1"/>
  <c r="T247" i="1"/>
  <c r="T348" i="1"/>
  <c r="T487" i="1"/>
  <c r="T503" i="1"/>
  <c r="T177" i="1"/>
  <c r="T68" i="1"/>
  <c r="T101" i="1"/>
  <c r="T110" i="1"/>
  <c r="T185" i="1"/>
  <c r="T224" i="1"/>
  <c r="T112" i="1"/>
  <c r="T225" i="1"/>
  <c r="T75" i="1"/>
  <c r="T74" i="1"/>
  <c r="T174" i="1"/>
  <c r="T93" i="1"/>
  <c r="T107" i="1"/>
  <c r="T181" i="1"/>
  <c r="T237" i="1"/>
  <c r="T78" i="1"/>
  <c r="T742" i="1"/>
  <c r="T826" i="1"/>
  <c r="T947" i="1"/>
  <c r="T949" i="1"/>
  <c r="T527" i="1"/>
  <c r="T1255" i="1"/>
  <c r="T329" i="1"/>
  <c r="T67" i="1"/>
  <c r="T128" i="1"/>
  <c r="T1040" i="1"/>
  <c r="T1041" i="1"/>
  <c r="T1234" i="1"/>
  <c r="T133" i="1"/>
  <c r="T136" i="1"/>
  <c r="T196" i="1"/>
  <c r="T199" i="1"/>
  <c r="T310" i="1"/>
  <c r="T264" i="1"/>
  <c r="T319" i="1"/>
  <c r="T317" i="1"/>
  <c r="T321" i="1"/>
  <c r="T733" i="1"/>
  <c r="T413" i="1"/>
  <c r="T414" i="1"/>
  <c r="T422" i="1"/>
  <c r="T489" i="1"/>
  <c r="T525" i="1"/>
  <c r="T579" i="1"/>
  <c r="T612" i="1"/>
  <c r="T735" i="1"/>
  <c r="T740" i="1"/>
  <c r="T835" i="1"/>
  <c r="T839" i="1"/>
  <c r="T940" i="1"/>
  <c r="T943" i="1"/>
  <c r="T1046" i="1"/>
  <c r="T1051" i="1"/>
  <c r="T1152" i="1"/>
  <c r="T1157" i="1"/>
  <c r="T1239" i="1"/>
  <c r="T1243" i="1"/>
  <c r="T1314" i="1"/>
  <c r="T1318" i="1"/>
  <c r="T1321" i="1"/>
  <c r="T512" i="1"/>
  <c r="T873" i="1"/>
  <c r="T616" i="1"/>
  <c r="T849" i="1"/>
  <c r="T711" i="1"/>
  <c r="T134" i="1"/>
  <c r="T200" i="1"/>
  <c r="T265" i="1"/>
  <c r="T845" i="1"/>
  <c r="T322" i="1"/>
  <c r="T424" i="1"/>
  <c r="T522" i="1"/>
  <c r="T609" i="1"/>
  <c r="T736" i="1"/>
  <c r="T836" i="1"/>
  <c r="T941" i="1"/>
  <c r="T1047" i="1"/>
  <c r="T1155" i="1"/>
  <c r="T1241" i="1"/>
  <c r="T1319" i="1"/>
  <c r="T529" i="1"/>
  <c r="T1271" i="1"/>
  <c r="T868" i="1"/>
  <c r="T129" i="1"/>
  <c r="T187" i="1"/>
  <c r="T252" i="1"/>
  <c r="T268" i="1"/>
  <c r="T374" i="1"/>
  <c r="T440" i="1"/>
  <c r="T538" i="1"/>
  <c r="T620" i="1"/>
  <c r="T746" i="1"/>
  <c r="T745" i="1"/>
  <c r="T897" i="1"/>
  <c r="T1007" i="1"/>
  <c r="T1143" i="1"/>
  <c r="T1231" i="1"/>
  <c r="T1293" i="1"/>
  <c r="T1295" i="1"/>
  <c r="T21" i="1"/>
  <c r="T748" i="1"/>
  <c r="T272" i="1"/>
  <c r="T273" i="1"/>
  <c r="T274" i="1"/>
  <c r="T412" i="1"/>
  <c r="T617" i="1"/>
  <c r="T618" i="1"/>
  <c r="T1042" i="1"/>
  <c r="T1043" i="1"/>
  <c r="T1274" i="1"/>
  <c r="T1279" i="1"/>
  <c r="T266" i="1"/>
  <c r="T267" i="1"/>
  <c r="T1130" i="1"/>
  <c r="T135" i="1"/>
  <c r="T197" i="1"/>
  <c r="T539" i="1"/>
  <c r="T323" i="1"/>
  <c r="T416" i="1"/>
  <c r="T570" i="1"/>
  <c r="T523" i="1"/>
  <c r="T572" i="1"/>
  <c r="T610" i="1"/>
  <c r="T615" i="1"/>
  <c r="T738" i="1"/>
  <c r="T837" i="1"/>
  <c r="T942" i="1"/>
  <c r="T1048" i="1"/>
  <c r="T1156" i="1"/>
  <c r="T1242" i="1"/>
  <c r="T1320" i="1"/>
  <c r="T327" i="1"/>
  <c r="T281" i="1"/>
  <c r="T282" i="1"/>
  <c r="T408" i="1"/>
  <c r="T411" i="1"/>
  <c r="T504" i="1"/>
  <c r="T511" i="1"/>
  <c r="T532" i="1"/>
  <c r="T536" i="1"/>
  <c r="T690" i="1"/>
  <c r="T694" i="1"/>
  <c r="T786" i="1"/>
  <c r="T804" i="1"/>
  <c r="T936" i="1"/>
  <c r="T937" i="1"/>
  <c r="T1034" i="1"/>
  <c r="T1035" i="1"/>
  <c r="T1144" i="1"/>
  <c r="T1146" i="1"/>
  <c r="T1236" i="1"/>
  <c r="T1237" i="1"/>
  <c r="T1310" i="1"/>
  <c r="T1309" i="1"/>
  <c r="T184" i="1"/>
  <c r="T198" i="1"/>
  <c r="T318" i="1"/>
  <c r="T324" i="1"/>
  <c r="T326" i="1"/>
  <c r="T418" i="1"/>
  <c r="T479" i="1"/>
  <c r="T524" i="1"/>
  <c r="T611" i="1"/>
  <c r="T739" i="1"/>
  <c r="T840" i="1"/>
  <c r="T843" i="1"/>
  <c r="T945" i="1"/>
  <c r="T1071" i="1"/>
  <c r="T1158" i="1"/>
  <c r="T1150" i="1"/>
  <c r="T1244" i="1"/>
  <c r="T1313" i="1"/>
  <c r="T131" i="1"/>
  <c r="T195" i="1"/>
  <c r="T316" i="1"/>
  <c r="T253" i="1"/>
  <c r="T254" i="1"/>
  <c r="T320" i="1"/>
  <c r="T425" i="1"/>
  <c r="T488" i="1"/>
  <c r="T578" i="1"/>
  <c r="T734" i="1"/>
  <c r="T834" i="1"/>
  <c r="T939" i="1"/>
  <c r="T1099" i="1"/>
  <c r="T1151" i="1"/>
  <c r="T1238" i="1"/>
  <c r="T1316" i="1"/>
  <c r="T65" i="1"/>
  <c r="T328" i="1"/>
  <c r="T619" i="1"/>
  <c r="T1039" i="1"/>
  <c r="T1160" i="1"/>
  <c r="T271" i="1"/>
  <c r="T828" i="1"/>
  <c r="T1235" i="1"/>
  <c r="T330" i="1"/>
  <c r="T307" i="1"/>
  <c r="T407" i="1"/>
  <c r="T360" i="1"/>
  <c r="T477" i="1"/>
  <c r="T530" i="1"/>
  <c r="T621" i="1"/>
  <c r="T747" i="1"/>
  <c r="T915" i="1"/>
  <c r="T888" i="1"/>
  <c r="T1037" i="1"/>
  <c r="T955" i="1"/>
  <c r="T1142" i="1"/>
  <c r="T1232" i="1"/>
  <c r="T1294" i="1"/>
  <c r="T66" i="1"/>
  <c r="T270" i="1"/>
  <c r="T397" i="1"/>
  <c r="T478" i="1"/>
  <c r="T537" i="1"/>
  <c r="T695" i="1"/>
  <c r="T824" i="1"/>
  <c r="T938" i="1"/>
  <c r="T948" i="1"/>
  <c r="T1147" i="1"/>
  <c r="T1177" i="1"/>
  <c r="T1311" i="1"/>
  <c r="T269" i="1"/>
  <c r="T382" i="1"/>
  <c r="T528" i="1"/>
  <c r="T531" i="1"/>
  <c r="T622" i="1"/>
  <c r="T752" i="1"/>
  <c r="T934" i="1"/>
  <c r="T1045" i="1"/>
  <c r="T1233" i="1"/>
  <c r="T1312" i="1"/>
  <c r="T138" i="1"/>
  <c r="T192" i="1"/>
  <c r="T193" i="1"/>
  <c r="T829" i="1"/>
  <c r="T325" i="1"/>
  <c r="T423" i="1"/>
  <c r="T830" i="1"/>
  <c r="T481" i="1"/>
  <c r="T526" i="1"/>
  <c r="T831" i="1"/>
  <c r="T577" i="1"/>
  <c r="T614" i="1"/>
  <c r="T832" i="1"/>
  <c r="T741" i="1"/>
  <c r="T833" i="1"/>
  <c r="T842" i="1"/>
  <c r="T844" i="1"/>
  <c r="T946" i="1"/>
  <c r="T1077" i="1"/>
  <c r="T1159" i="1"/>
  <c r="T1245" i="1"/>
  <c r="T1315" i="1"/>
  <c r="T1322" i="1"/>
  <c r="T682" i="1"/>
  <c r="T687" i="1"/>
  <c r="T688" i="1"/>
  <c r="T1104" i="1"/>
  <c r="T1114" i="1"/>
  <c r="T59" i="1"/>
  <c r="T77" i="1"/>
  <c r="T87" i="1"/>
  <c r="T153" i="1"/>
  <c r="T164" i="1"/>
  <c r="T178" i="1"/>
  <c r="T206" i="1"/>
  <c r="T212" i="1"/>
  <c r="T214" i="1"/>
  <c r="T217" i="1"/>
  <c r="T235" i="1"/>
  <c r="T301" i="1"/>
  <c r="T340" i="1"/>
  <c r="T347" i="1"/>
  <c r="T376" i="1"/>
  <c r="T430" i="1"/>
  <c r="T476" i="1"/>
  <c r="T519" i="1"/>
  <c r="T559" i="1"/>
  <c r="T637" i="1"/>
  <c r="T640" i="1"/>
  <c r="T702" i="1"/>
  <c r="T715" i="1"/>
  <c r="T730" i="1"/>
  <c r="T749" i="1"/>
  <c r="T789" i="1"/>
  <c r="T805" i="1"/>
  <c r="T811" i="1"/>
  <c r="T876" i="1"/>
  <c r="T921" i="1"/>
  <c r="T997" i="1"/>
  <c r="T1022" i="1"/>
  <c r="T1057" i="1"/>
  <c r="T1059" i="1"/>
  <c r="T1060" i="1"/>
  <c r="T1090" i="1"/>
  <c r="T1182" i="1"/>
  <c r="T1283" i="1"/>
  <c r="T1296" i="1"/>
  <c r="T1324" i="1"/>
  <c r="T1325" i="1"/>
  <c r="T565" i="1"/>
  <c r="T1179" i="1"/>
  <c r="T120" i="1"/>
  <c r="T239" i="1"/>
  <c r="T593" i="1"/>
  <c r="T705" i="1"/>
  <c r="T626" i="1"/>
  <c r="T1212" i="1"/>
  <c r="T255" i="1"/>
  <c r="T1188" i="1"/>
  <c r="T437" i="1"/>
  <c r="T534" i="1"/>
  <c r="T291" i="1"/>
  <c r="T567" i="1"/>
  <c r="T950" i="1"/>
  <c r="T1097" i="1"/>
  <c r="T1364" i="1"/>
  <c r="T798" i="1"/>
  <c r="T881" i="1"/>
  <c r="T900" i="1"/>
  <c r="T1074" i="1"/>
  <c r="T111" i="1"/>
  <c r="T208" i="1"/>
  <c r="T236" i="1"/>
  <c r="T257" i="1"/>
  <c r="T394" i="1"/>
  <c r="T563" i="1"/>
  <c r="T557" i="1"/>
  <c r="T575" i="1"/>
  <c r="T635" i="1"/>
  <c r="T663" i="1"/>
  <c r="T689" i="1"/>
  <c r="T765" i="1"/>
  <c r="T847" i="1"/>
  <c r="T857" i="1"/>
  <c r="T880" i="1"/>
  <c r="T965" i="1"/>
  <c r="T975" i="1"/>
  <c r="T981" i="1"/>
  <c r="T1224" i="1"/>
  <c r="T1265" i="1"/>
  <c r="T1289" i="1"/>
  <c r="T486" i="1"/>
  <c r="T96" i="1"/>
  <c r="T126" i="1"/>
  <c r="T228" i="1"/>
  <c r="T276" i="1"/>
  <c r="T332" i="1"/>
  <c r="T381" i="1"/>
  <c r="T449" i="1"/>
  <c r="T544" i="1"/>
  <c r="T613" i="1"/>
  <c r="T781" i="1"/>
  <c r="T879" i="1"/>
  <c r="T961" i="1"/>
  <c r="T1072" i="1"/>
  <c r="T1117" i="1"/>
  <c r="T1162" i="1"/>
  <c r="T1167" i="1"/>
  <c r="T1168" i="1"/>
  <c r="T1264" i="1"/>
  <c r="T1332" i="1"/>
  <c r="T155" i="1"/>
  <c r="T189" i="1"/>
  <c r="T221" i="1"/>
  <c r="T354" i="1"/>
  <c r="T435" i="1"/>
  <c r="T434" i="1"/>
  <c r="T653" i="1"/>
  <c r="T852" i="1"/>
  <c r="T1018" i="1"/>
  <c r="T1091" i="1"/>
  <c r="T1228" i="1"/>
  <c r="T1260" i="1"/>
  <c r="T1267" i="1"/>
  <c r="T1338" i="1"/>
  <c r="T1108" i="1"/>
  <c r="T1174" i="1"/>
  <c r="T1176" i="1"/>
  <c r="T729" i="1"/>
  <c r="T979" i="1"/>
  <c r="T1178" i="1"/>
  <c r="T1306" i="1"/>
  <c r="T113" i="1"/>
  <c r="T28" i="1"/>
  <c r="T283" i="1"/>
  <c r="T564" i="1"/>
  <c r="T877" i="1"/>
  <c r="T1038" i="1"/>
  <c r="T1054" i="1"/>
  <c r="T554" i="1"/>
  <c r="T769" i="1"/>
  <c r="T1019" i="1"/>
  <c r="T299" i="1"/>
  <c r="T566" i="1"/>
  <c r="T592" i="1"/>
  <c r="T944" i="1"/>
  <c r="T1096" i="1"/>
  <c r="T1103" i="1"/>
  <c r="T1363" i="1"/>
  <c r="T627" i="1"/>
  <c r="T696" i="1"/>
  <c r="T1213" i="1"/>
  <c r="T1254" i="1"/>
  <c r="T1187" i="1"/>
  <c r="T1227" i="1"/>
  <c r="T1269" i="1"/>
  <c r="T436" i="1"/>
  <c r="T500" i="1"/>
  <c r="T505" i="1"/>
  <c r="T533" i="1"/>
  <c r="T555" i="1"/>
  <c r="T779" i="1"/>
  <c r="T797" i="1"/>
  <c r="T815" i="1"/>
  <c r="T814" i="1"/>
  <c r="T882" i="1"/>
  <c r="T899" i="1"/>
  <c r="T958" i="1"/>
  <c r="T1004" i="1"/>
  <c r="T1073" i="1"/>
  <c r="T1229" i="1"/>
  <c r="T49" i="1"/>
  <c r="T48" i="1"/>
  <c r="T55" i="1"/>
  <c r="T294" i="1"/>
  <c r="T648" i="1"/>
  <c r="T642" i="1"/>
  <c r="T966" i="1"/>
  <c r="T973" i="1"/>
  <c r="T974" i="1"/>
  <c r="T1003" i="1"/>
  <c r="T1061" i="1"/>
  <c r="T14" i="1"/>
  <c r="T356" i="1"/>
  <c r="T700" i="1"/>
  <c r="T969" i="1"/>
  <c r="T1191" i="1"/>
  <c r="T1248" i="1"/>
  <c r="T507" i="1"/>
  <c r="T587" i="1"/>
  <c r="T22" i="1"/>
  <c r="T31" i="1"/>
  <c r="T100" i="1"/>
  <c r="T119" i="1"/>
  <c r="T168" i="1"/>
  <c r="T172" i="1"/>
  <c r="T377" i="1"/>
  <c r="T385" i="1"/>
  <c r="T395" i="1"/>
  <c r="T445" i="1"/>
  <c r="T466" i="1"/>
  <c r="T571" i="1"/>
  <c r="T638" i="1"/>
  <c r="T704" i="1"/>
  <c r="T802" i="1"/>
  <c r="T846" i="1"/>
  <c r="T599" i="1"/>
  <c r="T962" i="1"/>
  <c r="T1290" i="1"/>
  <c r="T158" i="1"/>
  <c r="T336" i="1"/>
  <c r="T585" i="1"/>
  <c r="T957" i="1"/>
  <c r="T1195" i="1"/>
  <c r="T352" i="1"/>
  <c r="T509" i="1"/>
  <c r="T24" i="1"/>
  <c r="T69" i="1"/>
  <c r="T108" i="1"/>
  <c r="T167" i="1"/>
  <c r="T194" i="1"/>
  <c r="T250" i="1"/>
  <c r="T295" i="1"/>
  <c r="T333" i="1"/>
  <c r="T402" i="1"/>
  <c r="T426" i="1"/>
  <c r="T451" i="1"/>
  <c r="T549" i="1"/>
  <c r="T633" i="1"/>
  <c r="T651" i="1"/>
  <c r="T674" i="1"/>
  <c r="T673" i="1"/>
  <c r="T699" i="1"/>
  <c r="T788" i="1"/>
  <c r="T800" i="1"/>
  <c r="T851" i="1"/>
  <c r="T850" i="1"/>
  <c r="T856" i="1"/>
  <c r="T875" i="1"/>
  <c r="T989" i="1"/>
  <c r="T990" i="1"/>
  <c r="T988" i="1"/>
  <c r="T1010" i="1"/>
  <c r="T1008" i="1"/>
  <c r="T1021" i="1"/>
  <c r="T1079" i="1"/>
  <c r="T1145" i="1"/>
  <c r="T1194" i="1"/>
  <c r="T1282" i="1"/>
  <c r="T1308" i="1"/>
  <c r="T1323" i="1"/>
  <c r="T1328" i="1"/>
  <c r="T335" i="1"/>
  <c r="T337" i="1"/>
  <c r="T180" i="1"/>
  <c r="T403" i="1"/>
  <c r="T589" i="1"/>
  <c r="T697" i="1"/>
  <c r="T895" i="1"/>
  <c r="T1094" i="1"/>
  <c r="T71" i="1"/>
  <c r="T85" i="1"/>
  <c r="T90" i="1"/>
  <c r="T89" i="1"/>
  <c r="T118" i="1"/>
  <c r="T160" i="1"/>
  <c r="T209" i="1"/>
  <c r="T223" i="1"/>
  <c r="T306" i="1"/>
  <c r="T432" i="1"/>
  <c r="T727" i="1"/>
  <c r="T751" i="1"/>
  <c r="T750" i="1"/>
  <c r="T803" i="1"/>
  <c r="T823" i="1"/>
  <c r="T871" i="1"/>
  <c r="T1120" i="1"/>
  <c r="T1198" i="1"/>
  <c r="T1220" i="1"/>
  <c r="T1257" i="1"/>
  <c r="T9" i="1"/>
  <c r="T10" i="1"/>
  <c r="T251" i="1"/>
  <c r="T256" i="1"/>
  <c r="T4" i="1"/>
  <c r="T30" i="1"/>
  <c r="T33" i="1"/>
  <c r="T40" i="1"/>
  <c r="T152" i="1"/>
  <c r="T190" i="1"/>
  <c r="T213" i="1"/>
  <c r="T240" i="1"/>
  <c r="T243" i="1"/>
  <c r="T298" i="1"/>
  <c r="T391" i="1"/>
  <c r="T429" i="1"/>
  <c r="T582" i="1"/>
  <c r="T650" i="1"/>
  <c r="T680" i="1"/>
  <c r="T710" i="1"/>
  <c r="T855" i="1"/>
  <c r="T872" i="1"/>
  <c r="T894" i="1"/>
  <c r="T1001" i="1"/>
  <c r="T1028" i="1"/>
  <c r="T1113" i="1"/>
  <c r="T1189" i="1"/>
  <c r="T1221" i="1"/>
  <c r="T1288" i="1"/>
  <c r="T204" i="1"/>
  <c r="T1053" i="1"/>
  <c r="T1049" i="1"/>
  <c r="T284" i="1"/>
  <c r="T362" i="1"/>
  <c r="T474" i="1"/>
  <c r="T623" i="1"/>
  <c r="T677" i="1"/>
  <c r="T678" i="1"/>
  <c r="T679" i="1"/>
  <c r="T1230" i="1"/>
  <c r="T552" i="1"/>
  <c r="T624" i="1"/>
  <c r="T743" i="1"/>
  <c r="T443" i="1"/>
  <c r="T302" i="1"/>
  <c r="T405" i="1"/>
  <c r="T455" i="1"/>
  <c r="T520" i="1"/>
  <c r="T780" i="1"/>
  <c r="T791" i="1"/>
  <c r="T661" i="1"/>
  <c r="T656" i="1"/>
  <c r="T808" i="1"/>
  <c r="T898" i="1"/>
  <c r="T901" i="1"/>
  <c r="T1063" i="1"/>
  <c r="T1181" i="1"/>
  <c r="T175" i="1"/>
  <c r="T233" i="1"/>
  <c r="T776" i="1"/>
  <c r="T1354" i="1"/>
  <c r="T249" i="1"/>
  <c r="T654" i="1"/>
  <c r="T760" i="1"/>
  <c r="T762" i="1"/>
  <c r="T906" i="1"/>
  <c r="T1031" i="1"/>
  <c r="T970" i="1"/>
  <c r="T1020" i="1"/>
  <c r="T1118" i="1"/>
  <c r="T278" i="1"/>
  <c r="T116" i="1"/>
  <c r="T25" i="1"/>
  <c r="T88" i="1"/>
  <c r="T188" i="1"/>
  <c r="T201" i="1"/>
  <c r="T349" i="1"/>
  <c r="T491" i="1"/>
  <c r="T753" i="1"/>
  <c r="T870" i="1"/>
  <c r="T1009" i="1"/>
  <c r="T54" i="1"/>
  <c r="T380" i="1"/>
  <c r="T717" i="1"/>
  <c r="T712" i="1"/>
  <c r="T922" i="1"/>
  <c r="T1002" i="1"/>
  <c r="T1062" i="1"/>
  <c r="T1086" i="1"/>
  <c r="T1277" i="1"/>
  <c r="T1336" i="1"/>
  <c r="T681" i="1"/>
  <c r="T670" i="1"/>
  <c r="T887" i="1"/>
  <c r="T919" i="1"/>
  <c r="T995" i="1"/>
  <c r="T652" i="1"/>
  <c r="T76" i="1"/>
  <c r="T165" i="1"/>
  <c r="T220" i="1"/>
  <c r="T285" i="1"/>
  <c r="T386" i="1"/>
  <c r="T473" i="1"/>
  <c r="T676" i="1"/>
  <c r="T726" i="1"/>
  <c r="T783" i="1"/>
  <c r="T858" i="1"/>
  <c r="T861" i="1"/>
  <c r="T1052" i="1"/>
  <c r="T1362" i="1"/>
  <c r="T6" i="1"/>
  <c r="T18" i="1"/>
  <c r="T20" i="1"/>
  <c r="T35" i="1"/>
  <c r="T52" i="1"/>
  <c r="T51" i="1"/>
  <c r="T81" i="1"/>
  <c r="T139" i="1"/>
  <c r="T156" i="1"/>
  <c r="T157" i="1"/>
  <c r="T202" i="1"/>
  <c r="T211" i="1"/>
  <c r="T222" i="1"/>
  <c r="T231" i="1"/>
  <c r="T290" i="1"/>
  <c r="T297" i="1"/>
  <c r="T341" i="1"/>
  <c r="T345" i="1"/>
  <c r="T353" i="1"/>
  <c r="T355" i="1"/>
  <c r="T409" i="1"/>
  <c r="T421" i="1"/>
  <c r="T417" i="1"/>
  <c r="T428" i="1"/>
  <c r="T441" i="1"/>
  <c r="T461" i="1"/>
  <c r="T457" i="1"/>
  <c r="T465" i="1"/>
  <c r="T464" i="1"/>
  <c r="T485" i="1"/>
  <c r="T496" i="1"/>
  <c r="T502" i="1"/>
  <c r="T556" i="1"/>
  <c r="T722" i="1"/>
  <c r="T771" i="1"/>
  <c r="T878" i="1"/>
  <c r="T954" i="1"/>
  <c r="T951" i="1"/>
  <c r="T985" i="1"/>
  <c r="T1058" i="1"/>
  <c r="T1088" i="1"/>
  <c r="T1190" i="1"/>
  <c r="T1215" i="1"/>
  <c r="T1211" i="1"/>
  <c r="T1252" i="1"/>
  <c r="T1249" i="1"/>
  <c r="T1256" i="1"/>
  <c r="T342" i="1"/>
  <c r="T369" i="1"/>
  <c r="T884" i="1"/>
  <c r="T886" i="1"/>
  <c r="T1065" i="1"/>
  <c r="T1287" i="1"/>
  <c r="T163" i="1"/>
  <c r="T191" i="1"/>
  <c r="T300" i="1"/>
  <c r="T456" i="1"/>
  <c r="T498" i="1"/>
  <c r="T569" i="1"/>
  <c r="T668" i="1"/>
  <c r="T984" i="1"/>
  <c r="T1196" i="1"/>
  <c r="T32" i="1"/>
  <c r="T37" i="1"/>
  <c r="T82" i="1"/>
  <c r="T159" i="1"/>
  <c r="T215" i="1"/>
  <c r="T229" i="1"/>
  <c r="T280" i="1"/>
  <c r="T344" i="1"/>
  <c r="T375" i="1"/>
  <c r="T419" i="1"/>
  <c r="T438" i="1"/>
  <c r="T454" i="1"/>
  <c r="T551" i="1"/>
  <c r="T591" i="1"/>
  <c r="T675" i="1"/>
  <c r="T784" i="1"/>
  <c r="T864" i="1"/>
  <c r="T953" i="1"/>
  <c r="T1017" i="1"/>
  <c r="T1069" i="1"/>
  <c r="T1171" i="1"/>
  <c r="T1192" i="1"/>
  <c r="T1272" i="1"/>
  <c r="T1253" i="1"/>
  <c r="T1393" i="1"/>
  <c r="T1388" i="1"/>
  <c r="T1391" i="1"/>
  <c r="T1390" i="1"/>
  <c r="T1392" i="1"/>
  <c r="T1389" i="1"/>
  <c r="T1414" i="1"/>
  <c r="T1413" i="1"/>
  <c r="T1416" i="1"/>
  <c r="D1209" i="1"/>
  <c r="A1014" i="1"/>
  <c r="A5" i="1"/>
  <c r="A39" i="1"/>
  <c r="A41" i="1"/>
  <c r="A286" i="1"/>
  <c r="A287" i="1"/>
  <c r="A383" i="1"/>
  <c r="A547" i="1"/>
  <c r="A660" i="1"/>
  <c r="A913" i="1"/>
  <c r="A1175" i="1"/>
  <c r="A1201" i="1"/>
  <c r="A171" i="1"/>
  <c r="A493" i="1"/>
  <c r="A506" i="1"/>
  <c r="A597" i="1"/>
  <c r="A768" i="1"/>
  <c r="A918" i="1"/>
  <c r="A924" i="1"/>
  <c r="A1006" i="1"/>
  <c r="A1199" i="1"/>
  <c r="A1341" i="1"/>
  <c r="A909" i="1"/>
  <c r="A908" i="1"/>
  <c r="A905" i="1"/>
  <c r="A470" i="1"/>
  <c r="A467" i="1"/>
  <c r="A793" i="1"/>
  <c r="A358" i="1"/>
  <c r="A7" i="1"/>
  <c r="A12" i="1"/>
  <c r="A34" i="1"/>
  <c r="A83" i="1"/>
  <c r="A102" i="1"/>
  <c r="A182" i="1"/>
  <c r="A207" i="1"/>
  <c r="A279" i="1"/>
  <c r="A305" i="1"/>
  <c r="A389" i="1"/>
  <c r="A463" i="1"/>
  <c r="A513" i="1"/>
  <c r="A553" i="1"/>
  <c r="A628" i="1"/>
  <c r="A629" i="1"/>
  <c r="A671" i="1"/>
  <c r="A758" i="1"/>
  <c r="A792" i="1"/>
  <c r="A813" i="1"/>
  <c r="A917" i="1"/>
  <c r="A1111" i="1"/>
  <c r="A1125" i="1"/>
  <c r="A1184" i="1"/>
  <c r="A1185" i="1"/>
  <c r="A1251" i="1"/>
  <c r="A1415" i="1"/>
  <c r="A38" i="1"/>
  <c r="A543" i="1"/>
  <c r="A545" i="1"/>
  <c r="A903" i="1"/>
  <c r="A925" i="1"/>
  <c r="A1210" i="1"/>
  <c r="A17" i="1"/>
  <c r="A149" i="1"/>
  <c r="A183" i="1"/>
  <c r="A427" i="1"/>
  <c r="A483" i="1"/>
  <c r="A605" i="1"/>
  <c r="A767" i="1"/>
  <c r="A865" i="1"/>
  <c r="A980" i="1"/>
  <c r="A1110" i="1"/>
  <c r="A1202" i="1"/>
  <c r="A26" i="1"/>
  <c r="A50" i="1"/>
  <c r="A57" i="1"/>
  <c r="A142" i="1"/>
  <c r="A1153" i="1"/>
  <c r="A115" i="1"/>
  <c r="A137" i="1"/>
  <c r="A203" i="1"/>
  <c r="A242" i="1"/>
  <c r="A292" i="1"/>
  <c r="A367" i="1"/>
  <c r="A499" i="1"/>
  <c r="A561" i="1"/>
  <c r="A646" i="1"/>
  <c r="A693" i="1"/>
  <c r="A782" i="1"/>
  <c r="A812" i="1"/>
  <c r="A920" i="1"/>
  <c r="A972" i="1"/>
  <c r="A1013" i="1"/>
  <c r="A1083" i="1"/>
  <c r="A1089" i="1"/>
  <c r="A1148" i="1"/>
  <c r="A1186" i="1"/>
  <c r="A1197" i="1"/>
  <c r="A1276" i="1"/>
  <c r="A1317" i="1"/>
  <c r="A1365" i="1"/>
  <c r="A1412" i="1"/>
  <c r="A1105" i="1"/>
  <c r="A1106" i="1"/>
  <c r="A1357" i="1"/>
  <c r="A1368" i="1"/>
  <c r="A121" i="1"/>
  <c r="A122" i="1"/>
  <c r="A124" i="1"/>
  <c r="A123" i="1"/>
  <c r="A125" i="1"/>
  <c r="A468" i="1"/>
  <c r="A568" i="1"/>
  <c r="A598" i="1"/>
  <c r="A595" i="1"/>
  <c r="A596" i="1"/>
  <c r="A636" i="1"/>
  <c r="A641" i="1"/>
  <c r="A667" i="1"/>
  <c r="A719" i="1"/>
  <c r="A718" i="1"/>
  <c r="A720" i="1"/>
  <c r="A721" i="1"/>
  <c r="A725" i="1"/>
  <c r="A731" i="1"/>
  <c r="A799" i="1"/>
  <c r="A817" i="1"/>
  <c r="A819" i="1"/>
  <c r="A820" i="1"/>
  <c r="A818" i="1"/>
  <c r="A816" i="1"/>
  <c r="A822" i="1"/>
  <c r="A916" i="1"/>
  <c r="A923" i="1"/>
  <c r="A929" i="1"/>
  <c r="A928" i="1"/>
  <c r="A927" i="1"/>
  <c r="A930" i="1"/>
  <c r="A931" i="1"/>
  <c r="A933" i="1"/>
  <c r="A963" i="1"/>
  <c r="A999" i="1"/>
  <c r="A1005" i="1"/>
  <c r="A1026" i="1"/>
  <c r="A1024" i="1"/>
  <c r="A1030" i="1"/>
  <c r="A1029" i="1"/>
  <c r="A1025" i="1"/>
  <c r="A1032" i="1"/>
  <c r="A1055" i="1"/>
  <c r="A1115" i="1"/>
  <c r="A1137" i="1"/>
  <c r="A1136" i="1"/>
  <c r="A1140" i="1"/>
  <c r="A1138" i="1"/>
  <c r="A1139" i="1"/>
  <c r="A1141" i="1"/>
  <c r="A1300" i="1"/>
  <c r="A1301" i="1"/>
  <c r="A1303" i="1"/>
  <c r="A1302" i="1"/>
  <c r="A1307" i="1"/>
  <c r="A1304" i="1"/>
  <c r="A706" i="1"/>
  <c r="A410" i="1"/>
  <c r="A1011" i="1"/>
  <c r="A230" i="1"/>
  <c r="A1405" i="1"/>
  <c r="A2" i="1"/>
  <c r="A19" i="1"/>
  <c r="A23" i="1"/>
  <c r="A420" i="1"/>
  <c r="A540" i="1"/>
  <c r="A639" i="1"/>
  <c r="A728" i="1"/>
  <c r="A992" i="1"/>
  <c r="A1164" i="1"/>
  <c r="A1173" i="1"/>
  <c r="A1204" i="1"/>
  <c r="A1225" i="1"/>
  <c r="A331" i="1"/>
  <c r="A1217" i="1"/>
  <c r="A1299" i="1"/>
  <c r="A42" i="1"/>
  <c r="A1149" i="1"/>
  <c r="A1273" i="1"/>
  <c r="A703" i="1"/>
  <c r="A737" i="1"/>
  <c r="A848" i="1"/>
  <c r="A15" i="1"/>
  <c r="A63" i="1"/>
  <c r="A72" i="1"/>
  <c r="A1135" i="1"/>
  <c r="A1166" i="1"/>
  <c r="A303" i="1"/>
  <c r="A1100" i="1"/>
  <c r="A70" i="1"/>
  <c r="A91" i="1"/>
  <c r="A114" i="1"/>
  <c r="A148" i="1"/>
  <c r="A346" i="1"/>
  <c r="A363" i="1"/>
  <c r="A398" i="1"/>
  <c r="A448" i="1"/>
  <c r="A510" i="1"/>
  <c r="A573" i="1"/>
  <c r="A686" i="1"/>
  <c r="A866" i="1"/>
  <c r="A1066" i="1"/>
  <c r="A1124" i="1"/>
  <c r="A1262" i="1"/>
  <c r="A1333" i="1"/>
  <c r="A1345" i="1"/>
  <c r="A1366" i="1"/>
  <c r="A501" i="1"/>
  <c r="A1098" i="1"/>
  <c r="A105" i="1"/>
  <c r="A170" i="1"/>
  <c r="A796" i="1"/>
  <c r="A993" i="1"/>
  <c r="A604" i="1"/>
  <c r="A80" i="1"/>
  <c r="A97" i="1"/>
  <c r="A127" i="1"/>
  <c r="A227" i="1"/>
  <c r="A275" i="1"/>
  <c r="A1122" i="1"/>
  <c r="A1163" i="1"/>
  <c r="A1261" i="1"/>
  <c r="A1331" i="1"/>
  <c r="A691" i="1"/>
  <c r="A732" i="1"/>
  <c r="A64" i="1"/>
  <c r="A132" i="1"/>
  <c r="A472" i="1"/>
  <c r="A471" i="1"/>
  <c r="A475" i="1"/>
  <c r="A576" i="1"/>
  <c r="A631" i="1"/>
  <c r="A669" i="1"/>
  <c r="A1084" i="1"/>
  <c r="A1085" i="1"/>
  <c r="A384" i="1"/>
  <c r="A495" i="1"/>
  <c r="A775" i="1"/>
  <c r="A785" i="1"/>
  <c r="A1102" i="1"/>
  <c r="A1126" i="1"/>
  <c r="A1406" i="1"/>
  <c r="A1409" i="1"/>
  <c r="A259" i="1"/>
  <c r="A312" i="1"/>
  <c r="A396" i="1"/>
  <c r="A515" i="1"/>
  <c r="A601" i="1"/>
  <c r="A462" i="1"/>
  <c r="A584" i="1"/>
  <c r="A260" i="1"/>
  <c r="A313" i="1"/>
  <c r="A404" i="1"/>
  <c r="A516" i="1"/>
  <c r="A602" i="1"/>
  <c r="A103" i="1"/>
  <c r="A147" i="1"/>
  <c r="A173" i="1"/>
  <c r="A176" i="1"/>
  <c r="A205" i="1"/>
  <c r="A216" i="1"/>
  <c r="A226" i="1"/>
  <c r="A258" i="1"/>
  <c r="A277" i="1"/>
  <c r="A296" i="1"/>
  <c r="A308" i="1"/>
  <c r="A334" i="1"/>
  <c r="A351" i="1"/>
  <c r="A361" i="1"/>
  <c r="A379" i="1"/>
  <c r="A392" i="1"/>
  <c r="A399" i="1"/>
  <c r="A433" i="1"/>
  <c r="A453" i="1"/>
  <c r="A497" i="1"/>
  <c r="A546" i="1"/>
  <c r="A574" i="1"/>
  <c r="A588" i="1"/>
  <c r="A632" i="1"/>
  <c r="A643" i="1"/>
  <c r="A664" i="1"/>
  <c r="A709" i="1"/>
  <c r="A708" i="1"/>
  <c r="A754" i="1"/>
  <c r="A787" i="1"/>
  <c r="A794" i="1"/>
  <c r="A821" i="1"/>
  <c r="A860" i="1"/>
  <c r="A874" i="1"/>
  <c r="A892" i="1"/>
  <c r="A926" i="1"/>
  <c r="A956" i="1"/>
  <c r="A976" i="1"/>
  <c r="A1000" i="1"/>
  <c r="A1015" i="1"/>
  <c r="A1068" i="1"/>
  <c r="A1092" i="1"/>
  <c r="A1107" i="1"/>
  <c r="A1127" i="1"/>
  <c r="A1169" i="1"/>
  <c r="A1183" i="1"/>
  <c r="A1200" i="1"/>
  <c r="A1240" i="1"/>
  <c r="A1263" i="1"/>
  <c r="A1278" i="1"/>
  <c r="A1291" i="1"/>
  <c r="A1326" i="1"/>
  <c r="A1346" i="1"/>
  <c r="A1384" i="1"/>
  <c r="A490" i="1"/>
  <c r="A492" i="1"/>
  <c r="A770" i="1"/>
  <c r="A778" i="1"/>
  <c r="A809" i="1"/>
  <c r="A885" i="1"/>
  <c r="A1075" i="1"/>
  <c r="A1208" i="1"/>
  <c r="A1270" i="1"/>
  <c r="A1340" i="1"/>
  <c r="A1383" i="1"/>
  <c r="A1398" i="1"/>
  <c r="A58" i="1"/>
  <c r="A343" i="1"/>
  <c r="A541" i="1"/>
  <c r="A594" i="1"/>
  <c r="A630" i="1"/>
  <c r="A683" i="1"/>
  <c r="A773" i="1"/>
  <c r="A795" i="1"/>
  <c r="A869" i="1"/>
  <c r="A1154" i="1"/>
  <c r="A1170" i="1"/>
  <c r="A1203" i="1"/>
  <c r="A244" i="1"/>
  <c r="A262" i="1"/>
  <c r="A314" i="1"/>
  <c r="A401" i="1"/>
  <c r="A518" i="1"/>
  <c r="A606" i="1"/>
  <c r="A53" i="1"/>
  <c r="A144" i="1"/>
  <c r="A1121" i="1"/>
  <c r="A1266" i="1"/>
  <c r="A1335" i="1"/>
  <c r="A210" i="1"/>
  <c r="A777" i="1"/>
  <c r="A1165" i="1"/>
  <c r="A94" i="1"/>
  <c r="A109" i="1"/>
  <c r="A179" i="1"/>
  <c r="A304" i="1"/>
  <c r="A338" i="1"/>
  <c r="A387" i="1"/>
  <c r="A444" i="1"/>
  <c r="A550" i="1"/>
  <c r="A827" i="1"/>
  <c r="A261" i="1"/>
  <c r="A311" i="1"/>
  <c r="A400" i="1"/>
  <c r="A517" i="1"/>
  <c r="A603" i="1"/>
  <c r="A95" i="1"/>
  <c r="A98" i="1"/>
  <c r="A309" i="1"/>
  <c r="A370" i="1"/>
  <c r="A415" i="1"/>
  <c r="A535" i="1"/>
  <c r="A713" i="1"/>
  <c r="A982" i="1"/>
  <c r="A983" i="1"/>
  <c r="A1016" i="1"/>
  <c r="A1023" i="1"/>
  <c r="A1116" i="1"/>
  <c r="A1128" i="1"/>
  <c r="A1134" i="1"/>
  <c r="A1268" i="1"/>
  <c r="A1397" i="1"/>
  <c r="A84" i="1"/>
  <c r="A364" i="1"/>
  <c r="A484" i="1"/>
  <c r="A580" i="1"/>
  <c r="A625" i="1"/>
  <c r="A772" i="1"/>
  <c r="A801" i="1"/>
  <c r="A960" i="1"/>
  <c r="A1012" i="1"/>
  <c r="A1193" i="1"/>
  <c r="A1222" i="1"/>
  <c r="A1404" i="1"/>
  <c r="A263" i="1"/>
  <c r="A315" i="1"/>
  <c r="A406" i="1"/>
  <c r="A521" i="1"/>
  <c r="A608" i="1"/>
  <c r="A701" i="1"/>
  <c r="A964" i="1"/>
  <c r="A971" i="1"/>
  <c r="A987" i="1"/>
  <c r="A1087" i="1"/>
  <c r="A1259" i="1"/>
  <c r="A1378" i="1"/>
  <c r="A1396" i="1"/>
  <c r="A366" i="1"/>
  <c r="A480" i="1"/>
  <c r="A644" i="1"/>
  <c r="A896" i="1"/>
  <c r="A1044" i="1"/>
  <c r="A1284" i="1"/>
  <c r="A3" i="1"/>
  <c r="A61" i="1"/>
  <c r="A92" i="1"/>
  <c r="A146" i="1"/>
  <c r="A145" i="1"/>
  <c r="A143" i="1"/>
  <c r="A151" i="1"/>
  <c r="A154" i="1"/>
  <c r="A371" i="1"/>
  <c r="A442" i="1"/>
  <c r="A439" i="1"/>
  <c r="A590" i="1"/>
  <c r="A698" i="1"/>
  <c r="A790" i="1"/>
  <c r="A891" i="1"/>
  <c r="A890" i="1"/>
  <c r="A1109" i="1"/>
  <c r="A1172" i="1"/>
  <c r="A246" i="1"/>
  <c r="A867" i="1"/>
  <c r="A79" i="1"/>
  <c r="A766" i="1"/>
  <c r="A482" i="1"/>
  <c r="A665" i="1"/>
  <c r="A959" i="1"/>
  <c r="A1036" i="1"/>
  <c r="A1343" i="1"/>
  <c r="A368" i="1"/>
  <c r="A634" i="1"/>
  <c r="A649" i="1"/>
  <c r="A685" i="1"/>
  <c r="A11" i="1"/>
  <c r="A27" i="1"/>
  <c r="A46" i="1"/>
  <c r="A45" i="1"/>
  <c r="A47" i="1"/>
  <c r="A130" i="1"/>
  <c r="A339" i="1"/>
  <c r="A106" i="1"/>
  <c r="A234" i="1"/>
  <c r="A372" i="1"/>
  <c r="A365" i="1"/>
  <c r="A450" i="1"/>
  <c r="A452" i="1"/>
  <c r="A560" i="1"/>
  <c r="A655" i="1"/>
  <c r="A838" i="1"/>
  <c r="A862" i="1"/>
  <c r="A1078" i="1"/>
  <c r="A1112" i="1"/>
  <c r="A1223" i="1"/>
  <c r="A1286" i="1"/>
  <c r="A1056" i="1"/>
  <c r="A289" i="1"/>
  <c r="A558" i="1"/>
  <c r="A907" i="1"/>
  <c r="A1082" i="1"/>
  <c r="A1342" i="1"/>
  <c r="A469" i="1"/>
  <c r="A662" i="1"/>
  <c r="A248" i="1"/>
  <c r="A883" i="1"/>
  <c r="A759" i="1"/>
  <c r="A774" i="1"/>
  <c r="A977" i="1"/>
  <c r="A16" i="1"/>
  <c r="A56" i="1"/>
  <c r="A99" i="1"/>
  <c r="A140" i="1"/>
  <c r="A161" i="1"/>
  <c r="A218" i="1"/>
  <c r="A293" i="1"/>
  <c r="A373" i="1"/>
  <c r="A659" i="1"/>
  <c r="A714" i="1"/>
  <c r="A763" i="1"/>
  <c r="A761" i="1"/>
  <c r="A810" i="1"/>
  <c r="A859" i="1"/>
  <c r="A863" i="1"/>
  <c r="A994" i="1"/>
  <c r="A1080" i="1"/>
  <c r="A1218" i="1"/>
  <c r="A1207" i="1"/>
  <c r="A1216" i="1"/>
  <c r="A1292" i="1"/>
  <c r="A1402" i="1"/>
  <c r="A825" i="1"/>
  <c r="A932" i="1"/>
  <c r="A935" i="1"/>
  <c r="A967" i="1"/>
  <c r="A1067" i="1"/>
  <c r="A1064" i="1"/>
  <c r="A1076" i="1"/>
  <c r="A1123" i="1"/>
  <c r="A1131" i="1"/>
  <c r="A1132" i="1"/>
  <c r="A1206" i="1"/>
  <c r="A1407" i="1"/>
  <c r="A1401" i="1"/>
  <c r="A1386" i="1"/>
  <c r="A991" i="1"/>
  <c r="A1214" i="1"/>
  <c r="A1133" i="1"/>
  <c r="A893" i="1"/>
  <c r="A912" i="1"/>
  <c r="A1081" i="1"/>
  <c r="A684" i="1"/>
  <c r="A853" i="1"/>
  <c r="A904" i="1"/>
  <c r="A1033" i="1"/>
  <c r="A1387" i="1"/>
  <c r="A1385" i="1"/>
  <c r="A494" i="1"/>
  <c r="A514" i="1"/>
  <c r="A542" i="1"/>
  <c r="A600" i="1"/>
  <c r="A647" i="1"/>
  <c r="A645" i="1"/>
  <c r="A744" i="1"/>
  <c r="A841" i="1"/>
  <c r="A889" i="1"/>
  <c r="A986" i="1"/>
  <c r="A998" i="1"/>
  <c r="A1219" i="1"/>
  <c r="A911" i="1"/>
  <c r="A968" i="1"/>
  <c r="A1180" i="1"/>
  <c r="A1352" i="1"/>
  <c r="A724" i="1"/>
  <c r="A1101" i="1"/>
  <c r="A13" i="1"/>
  <c r="A162" i="1"/>
  <c r="A166" i="1"/>
  <c r="A241" i="1"/>
  <c r="A288" i="1"/>
  <c r="A388" i="1"/>
  <c r="A393" i="1"/>
  <c r="A446" i="1"/>
  <c r="A764" i="1"/>
  <c r="A854" i="1"/>
  <c r="A902" i="1"/>
  <c r="A952" i="1"/>
  <c r="A996" i="1"/>
  <c r="A1281" i="1"/>
  <c r="A1381" i="1"/>
  <c r="A447" i="1"/>
  <c r="A672" i="1"/>
  <c r="A581" i="1"/>
  <c r="A29" i="1"/>
  <c r="A86" i="1"/>
  <c r="A150" i="1"/>
  <c r="A186" i="1"/>
  <c r="A232" i="1"/>
  <c r="A357" i="1"/>
  <c r="A390" i="1"/>
  <c r="A431" i="1"/>
  <c r="A583" i="1"/>
  <c r="A586" i="1"/>
  <c r="A607" i="1"/>
  <c r="A658" i="1"/>
  <c r="A716" i="1"/>
  <c r="A978" i="1"/>
  <c r="A1027" i="1"/>
  <c r="A1070" i="1"/>
  <c r="A1380" i="1"/>
  <c r="A1382" i="1"/>
  <c r="A8" i="1"/>
  <c r="A44" i="1"/>
  <c r="A43" i="1"/>
  <c r="A60" i="1"/>
  <c r="A62" i="1"/>
  <c r="A219" i="1"/>
  <c r="A359" i="1"/>
  <c r="A378" i="1"/>
  <c r="A460" i="1"/>
  <c r="A548" i="1"/>
  <c r="A562" i="1"/>
  <c r="A657" i="1"/>
  <c r="A692" i="1"/>
  <c r="A707" i="1"/>
  <c r="A723" i="1"/>
  <c r="A755" i="1"/>
  <c r="A756" i="1"/>
  <c r="A757" i="1"/>
  <c r="A807" i="1"/>
  <c r="A806" i="1"/>
  <c r="A914" i="1"/>
  <c r="A910" i="1"/>
  <c r="A1095" i="1"/>
  <c r="A1093" i="1"/>
  <c r="A1119" i="1"/>
  <c r="A1377" i="1"/>
  <c r="A104" i="1"/>
  <c r="A141" i="1"/>
  <c r="A73" i="1"/>
  <c r="A117" i="1"/>
  <c r="A350" i="1"/>
  <c r="A459" i="1"/>
  <c r="A458" i="1"/>
  <c r="A508" i="1"/>
  <c r="A1129" i="1"/>
  <c r="A1161" i="1"/>
  <c r="A36" i="1"/>
  <c r="A169" i="1"/>
  <c r="A238" i="1"/>
  <c r="A245" i="1"/>
  <c r="A247" i="1"/>
  <c r="A348" i="1"/>
  <c r="A487" i="1"/>
  <c r="A503" i="1"/>
  <c r="A177" i="1"/>
  <c r="A68" i="1"/>
  <c r="A101" i="1"/>
  <c r="A110" i="1"/>
  <c r="A185" i="1"/>
  <c r="A224" i="1"/>
  <c r="A112" i="1"/>
  <c r="A225" i="1"/>
  <c r="A75" i="1"/>
  <c r="A74" i="1"/>
  <c r="A174" i="1"/>
  <c r="A93" i="1"/>
  <c r="A107" i="1"/>
  <c r="A181" i="1"/>
  <c r="A237" i="1"/>
  <c r="A78" i="1"/>
  <c r="A742" i="1"/>
  <c r="A826" i="1"/>
  <c r="A947" i="1"/>
  <c r="A949" i="1"/>
  <c r="A527" i="1"/>
  <c r="A1376" i="1"/>
  <c r="A1255" i="1"/>
  <c r="A329" i="1"/>
  <c r="A67" i="1"/>
  <c r="A128" i="1"/>
  <c r="A1040" i="1"/>
  <c r="A1041" i="1"/>
  <c r="A1234" i="1"/>
  <c r="A133" i="1"/>
  <c r="A136" i="1"/>
  <c r="A196" i="1"/>
  <c r="A199" i="1"/>
  <c r="A310" i="1"/>
  <c r="A264" i="1"/>
  <c r="A319" i="1"/>
  <c r="A317" i="1"/>
  <c r="A321" i="1"/>
  <c r="A733" i="1"/>
  <c r="A413" i="1"/>
  <c r="A414" i="1"/>
  <c r="A422" i="1"/>
  <c r="A489" i="1"/>
  <c r="A525" i="1"/>
  <c r="A579" i="1"/>
  <c r="A612" i="1"/>
  <c r="A735" i="1"/>
  <c r="A740" i="1"/>
  <c r="A835" i="1"/>
  <c r="A839" i="1"/>
  <c r="A940" i="1"/>
  <c r="A943" i="1"/>
  <c r="A1046" i="1"/>
  <c r="A1051" i="1"/>
  <c r="A1152" i="1"/>
  <c r="A1157" i="1"/>
  <c r="A1239" i="1"/>
  <c r="A1243" i="1"/>
  <c r="A1314" i="1"/>
  <c r="A1318" i="1"/>
  <c r="A1321" i="1"/>
  <c r="A512" i="1"/>
  <c r="A1374" i="1"/>
  <c r="A873" i="1"/>
  <c r="A616" i="1"/>
  <c r="A849" i="1"/>
  <c r="A711" i="1"/>
  <c r="A134" i="1"/>
  <c r="A200" i="1"/>
  <c r="A265" i="1"/>
  <c r="A845" i="1"/>
  <c r="A322" i="1"/>
  <c r="A424" i="1"/>
  <c r="A522" i="1"/>
  <c r="A609" i="1"/>
  <c r="A736" i="1"/>
  <c r="A836" i="1"/>
  <c r="A941" i="1"/>
  <c r="A1047" i="1"/>
  <c r="A1155" i="1"/>
  <c r="A1241" i="1"/>
  <c r="A1319" i="1"/>
  <c r="A1372" i="1"/>
  <c r="A529" i="1"/>
  <c r="A1271" i="1"/>
  <c r="A868" i="1"/>
  <c r="A129" i="1"/>
  <c r="A187" i="1"/>
  <c r="A252" i="1"/>
  <c r="A268" i="1"/>
  <c r="A374" i="1"/>
  <c r="A440" i="1"/>
  <c r="A538" i="1"/>
  <c r="A620" i="1"/>
  <c r="A746" i="1"/>
  <c r="A745" i="1"/>
  <c r="A897" i="1"/>
  <c r="A1007" i="1"/>
  <c r="A1143" i="1"/>
  <c r="A1231" i="1"/>
  <c r="A1293" i="1"/>
  <c r="A1295" i="1"/>
  <c r="A21" i="1"/>
  <c r="A748" i="1"/>
  <c r="A272" i="1"/>
  <c r="A273" i="1"/>
  <c r="A274" i="1"/>
  <c r="A412" i="1"/>
  <c r="A617" i="1"/>
  <c r="A618" i="1"/>
  <c r="A1042" i="1"/>
  <c r="A1043" i="1"/>
  <c r="A1274" i="1"/>
  <c r="A1279" i="1"/>
  <c r="A266" i="1"/>
  <c r="A267" i="1"/>
  <c r="A1130" i="1"/>
  <c r="A135" i="1"/>
  <c r="A197" i="1"/>
  <c r="A539" i="1"/>
  <c r="A323" i="1"/>
  <c r="A416" i="1"/>
  <c r="A570" i="1"/>
  <c r="A523" i="1"/>
  <c r="A572" i="1"/>
  <c r="A610" i="1"/>
  <c r="A615" i="1"/>
  <c r="A738" i="1"/>
  <c r="A837" i="1"/>
  <c r="A942" i="1"/>
  <c r="A1048" i="1"/>
  <c r="A1156" i="1"/>
  <c r="A1242" i="1"/>
  <c r="A1320" i="1"/>
  <c r="A327" i="1"/>
  <c r="A281" i="1"/>
  <c r="A282" i="1"/>
  <c r="A408" i="1"/>
  <c r="A411" i="1"/>
  <c r="A504" i="1"/>
  <c r="A511" i="1"/>
  <c r="A532" i="1"/>
  <c r="A536" i="1"/>
  <c r="A690" i="1"/>
  <c r="A694" i="1"/>
  <c r="A786" i="1"/>
  <c r="A804" i="1"/>
  <c r="A936" i="1"/>
  <c r="A937" i="1"/>
  <c r="A1034" i="1"/>
  <c r="A1035" i="1"/>
  <c r="A1144" i="1"/>
  <c r="A1146" i="1"/>
  <c r="A1236" i="1"/>
  <c r="A1237" i="1"/>
  <c r="A1310" i="1"/>
  <c r="A1309" i="1"/>
  <c r="A184" i="1"/>
  <c r="A198" i="1"/>
  <c r="A318" i="1"/>
  <c r="A324" i="1"/>
  <c r="A326" i="1"/>
  <c r="A418" i="1"/>
  <c r="A479" i="1"/>
  <c r="A524" i="1"/>
  <c r="A611" i="1"/>
  <c r="A739" i="1"/>
  <c r="A840" i="1"/>
  <c r="A843" i="1"/>
  <c r="A945" i="1"/>
  <c r="A1071" i="1"/>
  <c r="A1158" i="1"/>
  <c r="A1150" i="1"/>
  <c r="A1244" i="1"/>
  <c r="A1313" i="1"/>
  <c r="A1371" i="1"/>
  <c r="A131" i="1"/>
  <c r="A195" i="1"/>
  <c r="A316" i="1"/>
  <c r="A253" i="1"/>
  <c r="A254" i="1"/>
  <c r="A320" i="1"/>
  <c r="A425" i="1"/>
  <c r="A488" i="1"/>
  <c r="A578" i="1"/>
  <c r="A734" i="1"/>
  <c r="A834" i="1"/>
  <c r="A939" i="1"/>
  <c r="A1099" i="1"/>
  <c r="A1151" i="1"/>
  <c r="A1238" i="1"/>
  <c r="A1316" i="1"/>
  <c r="A65" i="1"/>
  <c r="A328" i="1"/>
  <c r="A619" i="1"/>
  <c r="A1039" i="1"/>
  <c r="A1160" i="1"/>
  <c r="A271" i="1"/>
  <c r="A828" i="1"/>
  <c r="A1235" i="1"/>
  <c r="A1370" i="1"/>
  <c r="A330" i="1"/>
  <c r="A307" i="1"/>
  <c r="A407" i="1"/>
  <c r="A360" i="1"/>
  <c r="A477" i="1"/>
  <c r="A530" i="1"/>
  <c r="A621" i="1"/>
  <c r="A747" i="1"/>
  <c r="A915" i="1"/>
  <c r="A888" i="1"/>
  <c r="A1037" i="1"/>
  <c r="A955" i="1"/>
  <c r="A1142" i="1"/>
  <c r="A1232" i="1"/>
  <c r="A1294" i="1"/>
  <c r="A66" i="1"/>
  <c r="A270" i="1"/>
  <c r="A397" i="1"/>
  <c r="A478" i="1"/>
  <c r="A537" i="1"/>
  <c r="A695" i="1"/>
  <c r="A824" i="1"/>
  <c r="A938" i="1"/>
  <c r="A948" i="1"/>
  <c r="A1147" i="1"/>
  <c r="A1177" i="1"/>
  <c r="A1311" i="1"/>
  <c r="A269" i="1"/>
  <c r="A382" i="1"/>
  <c r="A528" i="1"/>
  <c r="A531" i="1"/>
  <c r="A622" i="1"/>
  <c r="A752" i="1"/>
  <c r="A934" i="1"/>
  <c r="A1045" i="1"/>
  <c r="A1233" i="1"/>
  <c r="A1312" i="1"/>
  <c r="A138" i="1"/>
  <c r="A192" i="1"/>
  <c r="A193" i="1"/>
  <c r="A829" i="1"/>
  <c r="A325" i="1"/>
  <c r="A423" i="1"/>
  <c r="A830" i="1"/>
  <c r="A481" i="1"/>
  <c r="A526" i="1"/>
  <c r="A831" i="1"/>
  <c r="A577" i="1"/>
  <c r="A614" i="1"/>
  <c r="A832" i="1"/>
  <c r="A741" i="1"/>
  <c r="A833" i="1"/>
  <c r="A842" i="1"/>
  <c r="A844" i="1"/>
  <c r="A946" i="1"/>
  <c r="A1077" i="1"/>
  <c r="A1159" i="1"/>
  <c r="A1245" i="1"/>
  <c r="A1315" i="1"/>
  <c r="A1322" i="1"/>
  <c r="A1367" i="1"/>
  <c r="A1369" i="1"/>
  <c r="A682" i="1"/>
  <c r="A687" i="1"/>
  <c r="A688" i="1"/>
  <c r="A1104" i="1"/>
  <c r="A1114" i="1"/>
  <c r="A59" i="1"/>
  <c r="A1421" i="1"/>
  <c r="A77" i="1"/>
  <c r="A87" i="1"/>
  <c r="A153" i="1"/>
  <c r="A164" i="1"/>
  <c r="A178" i="1"/>
  <c r="A206" i="1"/>
  <c r="A212" i="1"/>
  <c r="A214" i="1"/>
  <c r="A217" i="1"/>
  <c r="A235" i="1"/>
  <c r="A301" i="1"/>
  <c r="A340" i="1"/>
  <c r="A347" i="1"/>
  <c r="A376" i="1"/>
  <c r="A430" i="1"/>
  <c r="A476" i="1"/>
  <c r="A519" i="1"/>
  <c r="A559" i="1"/>
  <c r="A637" i="1"/>
  <c r="A640" i="1"/>
  <c r="A702" i="1"/>
  <c r="A715" i="1"/>
  <c r="A730" i="1"/>
  <c r="A749" i="1"/>
  <c r="A789" i="1"/>
  <c r="A805" i="1"/>
  <c r="A811" i="1"/>
  <c r="A876" i="1"/>
  <c r="A921" i="1"/>
  <c r="A997" i="1"/>
  <c r="A1022" i="1"/>
  <c r="A1057" i="1"/>
  <c r="A1059" i="1"/>
  <c r="A1060" i="1"/>
  <c r="A1090" i="1"/>
  <c r="A1182" i="1"/>
  <c r="A1283" i="1"/>
  <c r="A1296" i="1"/>
  <c r="A1324" i="1"/>
  <c r="A1325" i="1"/>
  <c r="A1361" i="1"/>
  <c r="A1358" i="1"/>
  <c r="A565" i="1"/>
  <c r="A1355" i="1"/>
  <c r="A1339" i="1"/>
  <c r="A1351" i="1"/>
  <c r="A1179" i="1"/>
  <c r="A120" i="1"/>
  <c r="A239" i="1"/>
  <c r="A593" i="1"/>
  <c r="A705" i="1"/>
  <c r="A626" i="1"/>
  <c r="A1212" i="1"/>
  <c r="A255" i="1"/>
  <c r="A1188" i="1"/>
  <c r="A437" i="1"/>
  <c r="A534" i="1"/>
  <c r="A291" i="1"/>
  <c r="A567" i="1"/>
  <c r="A950" i="1"/>
  <c r="A1097" i="1"/>
  <c r="A1364" i="1"/>
  <c r="A798" i="1"/>
  <c r="A881" i="1"/>
  <c r="A900" i="1"/>
  <c r="A1074" i="1"/>
  <c r="A111" i="1"/>
  <c r="A208" i="1"/>
  <c r="A236" i="1"/>
  <c r="A257" i="1"/>
  <c r="A394" i="1"/>
  <c r="A563" i="1"/>
  <c r="A557" i="1"/>
  <c r="A575" i="1"/>
  <c r="A635" i="1"/>
  <c r="A663" i="1"/>
  <c r="A689" i="1"/>
  <c r="A765" i="1"/>
  <c r="A847" i="1"/>
  <c r="A857" i="1"/>
  <c r="A880" i="1"/>
  <c r="A965" i="1"/>
  <c r="A975" i="1"/>
  <c r="A981" i="1"/>
  <c r="A1224" i="1"/>
  <c r="A1265" i="1"/>
  <c r="A1289" i="1"/>
  <c r="A1350" i="1"/>
  <c r="A486" i="1"/>
  <c r="A96" i="1"/>
  <c r="A126" i="1"/>
  <c r="A228" i="1"/>
  <c r="A276" i="1"/>
  <c r="A332" i="1"/>
  <c r="A381" i="1"/>
  <c r="A449" i="1"/>
  <c r="A544" i="1"/>
  <c r="A613" i="1"/>
  <c r="A781" i="1"/>
  <c r="A879" i="1"/>
  <c r="A961" i="1"/>
  <c r="A1072" i="1"/>
  <c r="A1117" i="1"/>
  <c r="A1162" i="1"/>
  <c r="A1167" i="1"/>
  <c r="A1168" i="1"/>
  <c r="A1264" i="1"/>
  <c r="A1332" i="1"/>
  <c r="A155" i="1"/>
  <c r="A189" i="1"/>
  <c r="A221" i="1"/>
  <c r="A354" i="1"/>
  <c r="A435" i="1"/>
  <c r="A434" i="1"/>
  <c r="A653" i="1"/>
  <c r="A852" i="1"/>
  <c r="A1018" i="1"/>
  <c r="A1091" i="1"/>
  <c r="A1228" i="1"/>
  <c r="A1260" i="1"/>
  <c r="A1267" i="1"/>
  <c r="A1338" i="1"/>
  <c r="A1108" i="1"/>
  <c r="A1174" i="1"/>
  <c r="A1176" i="1"/>
  <c r="A729" i="1"/>
  <c r="A979" i="1"/>
  <c r="A1178" i="1"/>
  <c r="A1306" i="1"/>
  <c r="A1349" i="1"/>
  <c r="A113" i="1"/>
  <c r="A28" i="1"/>
  <c r="A283" i="1"/>
  <c r="A564" i="1"/>
  <c r="A877" i="1"/>
  <c r="A1038" i="1"/>
  <c r="A1054" i="1"/>
  <c r="A1348" i="1"/>
  <c r="A1347" i="1"/>
  <c r="A554" i="1"/>
  <c r="A769" i="1"/>
  <c r="A1019" i="1"/>
  <c r="A1353" i="1"/>
  <c r="A299" i="1"/>
  <c r="A566" i="1"/>
  <c r="A592" i="1"/>
  <c r="A944" i="1"/>
  <c r="A1096" i="1"/>
  <c r="A1103" i="1"/>
  <c r="A1363" i="1"/>
  <c r="A627" i="1"/>
  <c r="A696" i="1"/>
  <c r="A1213" i="1"/>
  <c r="A1254" i="1"/>
  <c r="A1187" i="1"/>
  <c r="A1227" i="1"/>
  <c r="A1269" i="1"/>
  <c r="A436" i="1"/>
  <c r="A500" i="1"/>
  <c r="A505" i="1"/>
  <c r="A533" i="1"/>
  <c r="A555" i="1"/>
  <c r="A779" i="1"/>
  <c r="A797" i="1"/>
  <c r="A815" i="1"/>
  <c r="A814" i="1"/>
  <c r="A882" i="1"/>
  <c r="A899" i="1"/>
  <c r="A958" i="1"/>
  <c r="A1004" i="1"/>
  <c r="A1073" i="1"/>
  <c r="A1229" i="1"/>
  <c r="A49" i="1"/>
  <c r="A48" i="1"/>
  <c r="A55" i="1"/>
  <c r="A294" i="1"/>
  <c r="A648" i="1"/>
  <c r="A642" i="1"/>
  <c r="A966" i="1"/>
  <c r="A973" i="1"/>
  <c r="A974" i="1"/>
  <c r="A1003" i="1"/>
  <c r="A1061" i="1"/>
  <c r="A1344" i="1"/>
  <c r="A14" i="1"/>
  <c r="A356" i="1"/>
  <c r="A700" i="1"/>
  <c r="A969" i="1"/>
  <c r="A1191" i="1"/>
  <c r="A1248" i="1"/>
  <c r="A507" i="1"/>
  <c r="A587" i="1"/>
  <c r="A1334" i="1"/>
  <c r="A22" i="1"/>
  <c r="A31" i="1"/>
  <c r="A100" i="1"/>
  <c r="A119" i="1"/>
  <c r="A168" i="1"/>
  <c r="A172" i="1"/>
  <c r="A377" i="1"/>
  <c r="A385" i="1"/>
  <c r="A395" i="1"/>
  <c r="A445" i="1"/>
  <c r="A466" i="1"/>
  <c r="A571" i="1"/>
  <c r="A638" i="1"/>
  <c r="A704" i="1"/>
  <c r="A802" i="1"/>
  <c r="A846" i="1"/>
  <c r="A599" i="1"/>
  <c r="A962" i="1"/>
  <c r="A1290" i="1"/>
  <c r="A1337" i="1"/>
  <c r="A158" i="1"/>
  <c r="A336" i="1"/>
  <c r="A585" i="1"/>
  <c r="A957" i="1"/>
  <c r="A1195" i="1"/>
  <c r="A352" i="1"/>
  <c r="A509" i="1"/>
  <c r="A24" i="1"/>
  <c r="A69" i="1"/>
  <c r="A108" i="1"/>
  <c r="A167" i="1"/>
  <c r="A194" i="1"/>
  <c r="A250" i="1"/>
  <c r="A295" i="1"/>
  <c r="A333" i="1"/>
  <c r="A402" i="1"/>
  <c r="A426" i="1"/>
  <c r="A451" i="1"/>
  <c r="A549" i="1"/>
  <c r="A633" i="1"/>
  <c r="A651" i="1"/>
  <c r="A674" i="1"/>
  <c r="A673" i="1"/>
  <c r="A699" i="1"/>
  <c r="A788" i="1"/>
  <c r="A800" i="1"/>
  <c r="A851" i="1"/>
  <c r="A850" i="1"/>
  <c r="A856" i="1"/>
  <c r="A875" i="1"/>
  <c r="A989" i="1"/>
  <c r="A990" i="1"/>
  <c r="A988" i="1"/>
  <c r="A1010" i="1"/>
  <c r="A1008" i="1"/>
  <c r="A1021" i="1"/>
  <c r="A1079" i="1"/>
  <c r="A1145" i="1"/>
  <c r="A1194" i="1"/>
  <c r="A1282" i="1"/>
  <c r="A1308" i="1"/>
  <c r="A1323" i="1"/>
  <c r="A1330" i="1"/>
  <c r="A1328" i="1"/>
  <c r="A335" i="1"/>
  <c r="A337" i="1"/>
  <c r="A180" i="1"/>
  <c r="A403" i="1"/>
  <c r="A589" i="1"/>
  <c r="A697" i="1"/>
  <c r="A895" i="1"/>
  <c r="A1094" i="1"/>
  <c r="A1329" i="1"/>
  <c r="A71" i="1"/>
  <c r="A85" i="1"/>
  <c r="A90" i="1"/>
  <c r="A89" i="1"/>
  <c r="A118" i="1"/>
  <c r="A160" i="1"/>
  <c r="A209" i="1"/>
  <c r="A223" i="1"/>
  <c r="A306" i="1"/>
  <c r="A432" i="1"/>
  <c r="A727" i="1"/>
  <c r="A751" i="1"/>
  <c r="A750" i="1"/>
  <c r="A803" i="1"/>
  <c r="A823" i="1"/>
  <c r="A871" i="1"/>
  <c r="A1120" i="1"/>
  <c r="A1198" i="1"/>
  <c r="A1220" i="1"/>
  <c r="A1257" i="1"/>
  <c r="A1359" i="1"/>
  <c r="A1373" i="1"/>
  <c r="A9" i="1"/>
  <c r="A10" i="1"/>
  <c r="A251" i="1"/>
  <c r="A256" i="1"/>
  <c r="A4" i="1"/>
  <c r="A30" i="1"/>
  <c r="A33" i="1"/>
  <c r="A40" i="1"/>
  <c r="A152" i="1"/>
  <c r="A190" i="1"/>
  <c r="A213" i="1"/>
  <c r="A240" i="1"/>
  <c r="A243" i="1"/>
  <c r="A298" i="1"/>
  <c r="A391" i="1"/>
  <c r="A429" i="1"/>
  <c r="A582" i="1"/>
  <c r="A650" i="1"/>
  <c r="A680" i="1"/>
  <c r="A710" i="1"/>
  <c r="A855" i="1"/>
  <c r="A872" i="1"/>
  <c r="A894" i="1"/>
  <c r="A1001" i="1"/>
  <c r="A1028" i="1"/>
  <c r="A1113" i="1"/>
  <c r="A1189" i="1"/>
  <c r="A1221" i="1"/>
  <c r="A1298" i="1"/>
  <c r="A1288" i="1"/>
  <c r="A1297" i="1"/>
  <c r="A1305" i="1"/>
  <c r="A204" i="1"/>
  <c r="A1053" i="1"/>
  <c r="A1049" i="1"/>
  <c r="A284" i="1"/>
  <c r="A362" i="1"/>
  <c r="A474" i="1"/>
  <c r="A623" i="1"/>
  <c r="A677" i="1"/>
  <c r="A678" i="1"/>
  <c r="A679" i="1"/>
  <c r="A1230" i="1"/>
  <c r="A552" i="1"/>
  <c r="A624" i="1"/>
  <c r="A743" i="1"/>
  <c r="A443" i="1"/>
  <c r="A302" i="1"/>
  <c r="A405" i="1"/>
  <c r="A455" i="1"/>
  <c r="A520" i="1"/>
  <c r="A780" i="1"/>
  <c r="A791" i="1"/>
  <c r="A661" i="1"/>
  <c r="A656" i="1"/>
  <c r="A808" i="1"/>
  <c r="A898" i="1"/>
  <c r="A901" i="1"/>
  <c r="A1063" i="1"/>
  <c r="A1181" i="1"/>
  <c r="A1285" i="1"/>
  <c r="A175" i="1"/>
  <c r="A233" i="1"/>
  <c r="A776" i="1"/>
  <c r="A1354" i="1"/>
  <c r="A249" i="1"/>
  <c r="A1280" i="1"/>
  <c r="A654" i="1"/>
  <c r="A760" i="1"/>
  <c r="A762" i="1"/>
  <c r="A906" i="1"/>
  <c r="A1031" i="1"/>
  <c r="A970" i="1"/>
  <c r="A1020" i="1"/>
  <c r="A1118" i="1"/>
  <c r="A1375" i="1"/>
  <c r="A1356" i="1"/>
  <c r="A1275" i="1"/>
  <c r="A1400" i="1"/>
  <c r="A278" i="1"/>
  <c r="A116" i="1"/>
  <c r="A25" i="1"/>
  <c r="A88" i="1"/>
  <c r="A188" i="1"/>
  <c r="A201" i="1"/>
  <c r="A349" i="1"/>
  <c r="A491" i="1"/>
  <c r="A753" i="1"/>
  <c r="A870" i="1"/>
  <c r="A1009" i="1"/>
  <c r="A54" i="1"/>
  <c r="A380" i="1"/>
  <c r="A717" i="1"/>
  <c r="A712" i="1"/>
  <c r="A922" i="1"/>
  <c r="A1002" i="1"/>
  <c r="A1062" i="1"/>
  <c r="A1086" i="1"/>
  <c r="A1277" i="1"/>
  <c r="A1336" i="1"/>
  <c r="A1258" i="1"/>
  <c r="A681" i="1"/>
  <c r="A670" i="1"/>
  <c r="A887" i="1"/>
  <c r="A919" i="1"/>
  <c r="A995" i="1"/>
  <c r="A652" i="1"/>
  <c r="A76" i="1"/>
  <c r="A165" i="1"/>
  <c r="A220" i="1"/>
  <c r="A285" i="1"/>
  <c r="A386" i="1"/>
  <c r="A473" i="1"/>
  <c r="A676" i="1"/>
  <c r="A726" i="1"/>
  <c r="A783" i="1"/>
  <c r="A858" i="1"/>
  <c r="A861" i="1"/>
  <c r="A1052" i="1"/>
  <c r="A1362" i="1"/>
  <c r="A6" i="1"/>
  <c r="A18" i="1"/>
  <c r="A20" i="1"/>
  <c r="A35" i="1"/>
  <c r="A52" i="1"/>
  <c r="A51" i="1"/>
  <c r="A81" i="1"/>
  <c r="A139" i="1"/>
  <c r="A156" i="1"/>
  <c r="A157" i="1"/>
  <c r="A202" i="1"/>
  <c r="A211" i="1"/>
  <c r="A222" i="1"/>
  <c r="A231" i="1"/>
  <c r="A290" i="1"/>
  <c r="A297" i="1"/>
  <c r="A341" i="1"/>
  <c r="A345" i="1"/>
  <c r="A353" i="1"/>
  <c r="A355" i="1"/>
  <c r="A409" i="1"/>
  <c r="A421" i="1"/>
  <c r="A417" i="1"/>
  <c r="A428" i="1"/>
  <c r="A441" i="1"/>
  <c r="A461" i="1"/>
  <c r="A457" i="1"/>
  <c r="A465" i="1"/>
  <c r="A464" i="1"/>
  <c r="A485" i="1"/>
  <c r="A496" i="1"/>
  <c r="A502" i="1"/>
  <c r="A556" i="1"/>
  <c r="A722" i="1"/>
  <c r="A771" i="1"/>
  <c r="A878" i="1"/>
  <c r="A954" i="1"/>
  <c r="A951" i="1"/>
  <c r="A985" i="1"/>
  <c r="A1058" i="1"/>
  <c r="A1088" i="1"/>
  <c r="A1190" i="1"/>
  <c r="A1215" i="1"/>
  <c r="A1211" i="1"/>
  <c r="A1252" i="1"/>
  <c r="A1249" i="1"/>
  <c r="A1256" i="1"/>
  <c r="A342" i="1"/>
  <c r="A369" i="1"/>
  <c r="A884" i="1"/>
  <c r="A886" i="1"/>
  <c r="A1065" i="1"/>
  <c r="A1287" i="1"/>
  <c r="A163" i="1"/>
  <c r="A191" i="1"/>
  <c r="A300" i="1"/>
  <c r="A456" i="1"/>
  <c r="A498" i="1"/>
  <c r="A569" i="1"/>
  <c r="A668" i="1"/>
  <c r="A984" i="1"/>
  <c r="A1196" i="1"/>
  <c r="A32" i="1"/>
  <c r="A37" i="1"/>
  <c r="A82" i="1"/>
  <c r="A159" i="1"/>
  <c r="A215" i="1"/>
  <c r="A229" i="1"/>
  <c r="A280" i="1"/>
  <c r="A344" i="1"/>
  <c r="A375" i="1"/>
  <c r="A419" i="1"/>
  <c r="A438" i="1"/>
  <c r="A454" i="1"/>
  <c r="A551" i="1"/>
  <c r="A591" i="1"/>
  <c r="A675" i="1"/>
  <c r="A784" i="1"/>
  <c r="A864" i="1"/>
  <c r="A953" i="1"/>
  <c r="A1017" i="1"/>
  <c r="A1069" i="1"/>
  <c r="A1171" i="1"/>
  <c r="A1192" i="1"/>
  <c r="A1272" i="1"/>
  <c r="A1253" i="1"/>
  <c r="A1250" i="1"/>
  <c r="A1393" i="1"/>
  <c r="A1388" i="1"/>
  <c r="A1391" i="1"/>
  <c r="A1390" i="1"/>
  <c r="A1392" i="1"/>
  <c r="A1389" i="1"/>
  <c r="A1247" i="1"/>
  <c r="A1246" i="1"/>
  <c r="A1226" i="1"/>
  <c r="A1209" i="1"/>
  <c r="A1205" i="1"/>
  <c r="A1414" i="1"/>
  <c r="A1413" i="1"/>
  <c r="A1416" i="1"/>
  <c r="A666" i="1"/>
  <c r="C1014" i="1"/>
  <c r="B1014" i="1" s="1"/>
  <c r="C5" i="1"/>
  <c r="B5" i="1" s="1"/>
  <c r="C39" i="1"/>
  <c r="B39" i="1" s="1"/>
  <c r="C41" i="1"/>
  <c r="B41" i="1" s="1"/>
  <c r="C286" i="1"/>
  <c r="B286" i="1" s="1"/>
  <c r="C287" i="1"/>
  <c r="B287" i="1" s="1"/>
  <c r="C383" i="1"/>
  <c r="B383" i="1" s="1"/>
  <c r="C547" i="1"/>
  <c r="B547" i="1" s="1"/>
  <c r="C660" i="1"/>
  <c r="B660" i="1" s="1"/>
  <c r="C913" i="1"/>
  <c r="B913" i="1" s="1"/>
  <c r="C1175" i="1"/>
  <c r="B1175" i="1" s="1"/>
  <c r="C1201" i="1"/>
  <c r="B1201" i="1" s="1"/>
  <c r="C171" i="1"/>
  <c r="B171" i="1" s="1"/>
  <c r="C493" i="1"/>
  <c r="B493" i="1" s="1"/>
  <c r="C506" i="1"/>
  <c r="B506" i="1" s="1"/>
  <c r="C597" i="1"/>
  <c r="B597" i="1" s="1"/>
  <c r="C768" i="1"/>
  <c r="B768" i="1" s="1"/>
  <c r="C918" i="1"/>
  <c r="B918" i="1" s="1"/>
  <c r="C924" i="1"/>
  <c r="B924" i="1" s="1"/>
  <c r="C1006" i="1"/>
  <c r="B1006" i="1" s="1"/>
  <c r="C1199" i="1"/>
  <c r="B1199" i="1" s="1"/>
  <c r="C1341" i="1"/>
  <c r="B1341" i="1" s="1"/>
  <c r="C909" i="1"/>
  <c r="B909" i="1" s="1"/>
  <c r="C908" i="1"/>
  <c r="B908" i="1" s="1"/>
  <c r="C905" i="1"/>
  <c r="B905" i="1" s="1"/>
  <c r="C470" i="1"/>
  <c r="B470" i="1" s="1"/>
  <c r="C467" i="1"/>
  <c r="B467" i="1" s="1"/>
  <c r="C793" i="1"/>
  <c r="B793" i="1" s="1"/>
  <c r="C358" i="1"/>
  <c r="B358" i="1" s="1"/>
  <c r="C7" i="1"/>
  <c r="B7" i="1" s="1"/>
  <c r="C12" i="1"/>
  <c r="B12" i="1" s="1"/>
  <c r="C34" i="1"/>
  <c r="B34" i="1" s="1"/>
  <c r="C83" i="1"/>
  <c r="B83" i="1" s="1"/>
  <c r="C102" i="1"/>
  <c r="B102" i="1" s="1"/>
  <c r="C182" i="1"/>
  <c r="B182" i="1" s="1"/>
  <c r="C207" i="1"/>
  <c r="B207" i="1" s="1"/>
  <c r="C279" i="1"/>
  <c r="B279" i="1" s="1"/>
  <c r="C305" i="1"/>
  <c r="B305" i="1" s="1"/>
  <c r="C389" i="1"/>
  <c r="B389" i="1" s="1"/>
  <c r="C463" i="1"/>
  <c r="B463" i="1" s="1"/>
  <c r="C513" i="1"/>
  <c r="B513" i="1" s="1"/>
  <c r="C553" i="1"/>
  <c r="B553" i="1" s="1"/>
  <c r="C628" i="1"/>
  <c r="B628" i="1" s="1"/>
  <c r="C629" i="1"/>
  <c r="B629" i="1" s="1"/>
  <c r="C671" i="1"/>
  <c r="B671" i="1" s="1"/>
  <c r="C758" i="1"/>
  <c r="B758" i="1" s="1"/>
  <c r="C792" i="1"/>
  <c r="B792" i="1" s="1"/>
  <c r="C813" i="1"/>
  <c r="B813" i="1" s="1"/>
  <c r="C917" i="1"/>
  <c r="B917" i="1" s="1"/>
  <c r="C1111" i="1"/>
  <c r="B1111" i="1" s="1"/>
  <c r="C1125" i="1"/>
  <c r="B1125" i="1" s="1"/>
  <c r="C1184" i="1"/>
  <c r="B1184" i="1" s="1"/>
  <c r="C1185" i="1"/>
  <c r="B1185" i="1" s="1"/>
  <c r="C1251" i="1"/>
  <c r="B1251" i="1" s="1"/>
  <c r="C1415" i="1"/>
  <c r="B1415" i="1" s="1"/>
  <c r="C38" i="1"/>
  <c r="B38" i="1" s="1"/>
  <c r="C543" i="1"/>
  <c r="B543" i="1" s="1"/>
  <c r="C545" i="1"/>
  <c r="B545" i="1" s="1"/>
  <c r="C903" i="1"/>
  <c r="B903" i="1" s="1"/>
  <c r="C925" i="1"/>
  <c r="B925" i="1" s="1"/>
  <c r="C1210" i="1"/>
  <c r="B1210" i="1" s="1"/>
  <c r="C17" i="1"/>
  <c r="B17" i="1" s="1"/>
  <c r="C149" i="1"/>
  <c r="B149" i="1" s="1"/>
  <c r="C183" i="1"/>
  <c r="B183" i="1" s="1"/>
  <c r="C427" i="1"/>
  <c r="B427" i="1" s="1"/>
  <c r="C483" i="1"/>
  <c r="B483" i="1" s="1"/>
  <c r="C605" i="1"/>
  <c r="B605" i="1" s="1"/>
  <c r="C767" i="1"/>
  <c r="B767" i="1" s="1"/>
  <c r="C865" i="1"/>
  <c r="B865" i="1" s="1"/>
  <c r="C980" i="1"/>
  <c r="B980" i="1" s="1"/>
  <c r="C1110" i="1"/>
  <c r="B1110" i="1" s="1"/>
  <c r="C1202" i="1"/>
  <c r="B1202" i="1" s="1"/>
  <c r="C26" i="1"/>
  <c r="B26" i="1" s="1"/>
  <c r="C50" i="1"/>
  <c r="B50" i="1" s="1"/>
  <c r="C57" i="1"/>
  <c r="B57" i="1" s="1"/>
  <c r="C142" i="1"/>
  <c r="B142" i="1" s="1"/>
  <c r="C1153" i="1"/>
  <c r="B1153" i="1" s="1"/>
  <c r="C115" i="1"/>
  <c r="B115" i="1" s="1"/>
  <c r="C137" i="1"/>
  <c r="B137" i="1" s="1"/>
  <c r="C203" i="1"/>
  <c r="B203" i="1" s="1"/>
  <c r="C242" i="1"/>
  <c r="B242" i="1" s="1"/>
  <c r="C292" i="1"/>
  <c r="B292" i="1" s="1"/>
  <c r="C367" i="1"/>
  <c r="B367" i="1" s="1"/>
  <c r="C499" i="1"/>
  <c r="B499" i="1" s="1"/>
  <c r="C561" i="1"/>
  <c r="B561" i="1" s="1"/>
  <c r="C646" i="1"/>
  <c r="B646" i="1" s="1"/>
  <c r="C693" i="1"/>
  <c r="B693" i="1" s="1"/>
  <c r="C782" i="1"/>
  <c r="B782" i="1" s="1"/>
  <c r="C812" i="1"/>
  <c r="B812" i="1" s="1"/>
  <c r="C920" i="1"/>
  <c r="B920" i="1" s="1"/>
  <c r="C972" i="1"/>
  <c r="B972" i="1" s="1"/>
  <c r="C1013" i="1"/>
  <c r="B1013" i="1" s="1"/>
  <c r="C1083" i="1"/>
  <c r="B1083" i="1" s="1"/>
  <c r="C1089" i="1"/>
  <c r="B1089" i="1" s="1"/>
  <c r="C1148" i="1"/>
  <c r="B1148" i="1" s="1"/>
  <c r="C1186" i="1"/>
  <c r="B1186" i="1" s="1"/>
  <c r="C1197" i="1"/>
  <c r="B1197" i="1" s="1"/>
  <c r="C1276" i="1"/>
  <c r="B1276" i="1" s="1"/>
  <c r="C1317" i="1"/>
  <c r="B1317" i="1" s="1"/>
  <c r="C1365" i="1"/>
  <c r="B1365" i="1" s="1"/>
  <c r="C1412" i="1"/>
  <c r="B1412" i="1" s="1"/>
  <c r="C1105" i="1"/>
  <c r="B1105" i="1" s="1"/>
  <c r="C1106" i="1"/>
  <c r="B1106" i="1" s="1"/>
  <c r="C1357" i="1"/>
  <c r="B1357" i="1" s="1"/>
  <c r="C1368" i="1"/>
  <c r="B1368" i="1" s="1"/>
  <c r="C121" i="1"/>
  <c r="B121" i="1" s="1"/>
  <c r="C122" i="1"/>
  <c r="B122" i="1" s="1"/>
  <c r="C124" i="1"/>
  <c r="B124" i="1" s="1"/>
  <c r="C123" i="1"/>
  <c r="B123" i="1" s="1"/>
  <c r="C125" i="1"/>
  <c r="B125" i="1" s="1"/>
  <c r="C468" i="1"/>
  <c r="B468" i="1" s="1"/>
  <c r="C568" i="1"/>
  <c r="B568" i="1" s="1"/>
  <c r="C598" i="1"/>
  <c r="B598" i="1" s="1"/>
  <c r="C595" i="1"/>
  <c r="B595" i="1" s="1"/>
  <c r="C596" i="1"/>
  <c r="B596" i="1" s="1"/>
  <c r="C636" i="1"/>
  <c r="B636" i="1" s="1"/>
  <c r="C641" i="1"/>
  <c r="B641" i="1" s="1"/>
  <c r="C667" i="1"/>
  <c r="B667" i="1" s="1"/>
  <c r="C719" i="1"/>
  <c r="B719" i="1" s="1"/>
  <c r="C718" i="1"/>
  <c r="B718" i="1" s="1"/>
  <c r="C720" i="1"/>
  <c r="B720" i="1" s="1"/>
  <c r="C721" i="1"/>
  <c r="B721" i="1" s="1"/>
  <c r="C725" i="1"/>
  <c r="B725" i="1" s="1"/>
  <c r="C731" i="1"/>
  <c r="B731" i="1" s="1"/>
  <c r="C799" i="1"/>
  <c r="B799" i="1" s="1"/>
  <c r="C817" i="1"/>
  <c r="B817" i="1" s="1"/>
  <c r="C819" i="1"/>
  <c r="B819" i="1" s="1"/>
  <c r="C820" i="1"/>
  <c r="B820" i="1" s="1"/>
  <c r="C818" i="1"/>
  <c r="B818" i="1" s="1"/>
  <c r="C816" i="1"/>
  <c r="B816" i="1" s="1"/>
  <c r="C822" i="1"/>
  <c r="B822" i="1" s="1"/>
  <c r="C916" i="1"/>
  <c r="B916" i="1" s="1"/>
  <c r="C923" i="1"/>
  <c r="B923" i="1" s="1"/>
  <c r="C929" i="1"/>
  <c r="B929" i="1" s="1"/>
  <c r="C928" i="1"/>
  <c r="B928" i="1" s="1"/>
  <c r="C927" i="1"/>
  <c r="B927" i="1" s="1"/>
  <c r="C930" i="1"/>
  <c r="B930" i="1" s="1"/>
  <c r="C931" i="1"/>
  <c r="B931" i="1" s="1"/>
  <c r="C933" i="1"/>
  <c r="B933" i="1" s="1"/>
  <c r="C963" i="1"/>
  <c r="B963" i="1" s="1"/>
  <c r="C999" i="1"/>
  <c r="B999" i="1" s="1"/>
  <c r="C1005" i="1"/>
  <c r="B1005" i="1" s="1"/>
  <c r="C1026" i="1"/>
  <c r="B1026" i="1" s="1"/>
  <c r="C1024" i="1"/>
  <c r="B1024" i="1" s="1"/>
  <c r="C1030" i="1"/>
  <c r="B1030" i="1" s="1"/>
  <c r="C1029" i="1"/>
  <c r="B1029" i="1" s="1"/>
  <c r="C1025" i="1"/>
  <c r="B1025" i="1" s="1"/>
  <c r="C1032" i="1"/>
  <c r="B1032" i="1" s="1"/>
  <c r="C1055" i="1"/>
  <c r="B1055" i="1" s="1"/>
  <c r="C1115" i="1"/>
  <c r="B1115" i="1" s="1"/>
  <c r="C1137" i="1"/>
  <c r="B1137" i="1" s="1"/>
  <c r="C1136" i="1"/>
  <c r="B1136" i="1" s="1"/>
  <c r="C1140" i="1"/>
  <c r="B1140" i="1" s="1"/>
  <c r="C1138" i="1"/>
  <c r="B1138" i="1" s="1"/>
  <c r="C1139" i="1"/>
  <c r="B1139" i="1" s="1"/>
  <c r="C1141" i="1"/>
  <c r="B1141" i="1" s="1"/>
  <c r="C1300" i="1"/>
  <c r="B1300" i="1" s="1"/>
  <c r="C1301" i="1"/>
  <c r="B1301" i="1" s="1"/>
  <c r="C1303" i="1"/>
  <c r="B1303" i="1" s="1"/>
  <c r="C1302" i="1"/>
  <c r="B1302" i="1" s="1"/>
  <c r="C1307" i="1"/>
  <c r="B1307" i="1" s="1"/>
  <c r="C1304" i="1"/>
  <c r="B1304" i="1" s="1"/>
  <c r="C706" i="1"/>
  <c r="B706" i="1" s="1"/>
  <c r="C410" i="1"/>
  <c r="B410" i="1" s="1"/>
  <c r="C1011" i="1"/>
  <c r="B1011" i="1" s="1"/>
  <c r="C230" i="1"/>
  <c r="B230" i="1" s="1"/>
  <c r="C1405" i="1"/>
  <c r="B1405" i="1" s="1"/>
  <c r="C2" i="1"/>
  <c r="B2" i="1" s="1"/>
  <c r="C19" i="1"/>
  <c r="B19" i="1" s="1"/>
  <c r="C23" i="1"/>
  <c r="B23" i="1" s="1"/>
  <c r="C420" i="1"/>
  <c r="B420" i="1" s="1"/>
  <c r="C540" i="1"/>
  <c r="B540" i="1" s="1"/>
  <c r="C639" i="1"/>
  <c r="B639" i="1" s="1"/>
  <c r="C728" i="1"/>
  <c r="B728" i="1" s="1"/>
  <c r="C992" i="1"/>
  <c r="B992" i="1" s="1"/>
  <c r="C1164" i="1"/>
  <c r="B1164" i="1" s="1"/>
  <c r="C1173" i="1"/>
  <c r="B1173" i="1" s="1"/>
  <c r="C1204" i="1"/>
  <c r="B1204" i="1" s="1"/>
  <c r="C1225" i="1"/>
  <c r="B1225" i="1" s="1"/>
  <c r="C331" i="1"/>
  <c r="B331" i="1" s="1"/>
  <c r="C1217" i="1"/>
  <c r="B1217" i="1" s="1"/>
  <c r="C1299" i="1"/>
  <c r="B1299" i="1" s="1"/>
  <c r="C42" i="1"/>
  <c r="B42" i="1" s="1"/>
  <c r="C1149" i="1"/>
  <c r="B1149" i="1" s="1"/>
  <c r="C1273" i="1"/>
  <c r="B1273" i="1" s="1"/>
  <c r="C703" i="1"/>
  <c r="B703" i="1" s="1"/>
  <c r="C737" i="1"/>
  <c r="B737" i="1" s="1"/>
  <c r="C848" i="1"/>
  <c r="B848" i="1" s="1"/>
  <c r="C15" i="1"/>
  <c r="B15" i="1" s="1"/>
  <c r="C63" i="1"/>
  <c r="B63" i="1" s="1"/>
  <c r="C72" i="1"/>
  <c r="B72" i="1" s="1"/>
  <c r="C1135" i="1"/>
  <c r="B1135" i="1" s="1"/>
  <c r="C1166" i="1"/>
  <c r="B1166" i="1" s="1"/>
  <c r="C303" i="1"/>
  <c r="B303" i="1" s="1"/>
  <c r="C1100" i="1"/>
  <c r="B1100" i="1" s="1"/>
  <c r="C70" i="1"/>
  <c r="B70" i="1" s="1"/>
  <c r="C91" i="1"/>
  <c r="B91" i="1" s="1"/>
  <c r="C114" i="1"/>
  <c r="B114" i="1" s="1"/>
  <c r="C148" i="1"/>
  <c r="B148" i="1" s="1"/>
  <c r="C346" i="1"/>
  <c r="B346" i="1" s="1"/>
  <c r="C363" i="1"/>
  <c r="B363" i="1" s="1"/>
  <c r="C398" i="1"/>
  <c r="B398" i="1" s="1"/>
  <c r="C448" i="1"/>
  <c r="B448" i="1" s="1"/>
  <c r="C510" i="1"/>
  <c r="B510" i="1" s="1"/>
  <c r="C573" i="1"/>
  <c r="B573" i="1" s="1"/>
  <c r="C686" i="1"/>
  <c r="B686" i="1" s="1"/>
  <c r="C866" i="1"/>
  <c r="B866" i="1" s="1"/>
  <c r="C1066" i="1"/>
  <c r="B1066" i="1" s="1"/>
  <c r="C1124" i="1"/>
  <c r="B1124" i="1" s="1"/>
  <c r="C1262" i="1"/>
  <c r="B1262" i="1" s="1"/>
  <c r="C1333" i="1"/>
  <c r="B1333" i="1" s="1"/>
  <c r="C1345" i="1"/>
  <c r="B1345" i="1" s="1"/>
  <c r="C1366" i="1"/>
  <c r="B1366" i="1" s="1"/>
  <c r="C501" i="1"/>
  <c r="B501" i="1" s="1"/>
  <c r="C1098" i="1"/>
  <c r="B1098" i="1" s="1"/>
  <c r="C105" i="1"/>
  <c r="B105" i="1" s="1"/>
  <c r="C170" i="1"/>
  <c r="B170" i="1" s="1"/>
  <c r="C796" i="1"/>
  <c r="B796" i="1" s="1"/>
  <c r="C993" i="1"/>
  <c r="B993" i="1" s="1"/>
  <c r="C604" i="1"/>
  <c r="B604" i="1" s="1"/>
  <c r="C80" i="1"/>
  <c r="B80" i="1" s="1"/>
  <c r="C97" i="1"/>
  <c r="B97" i="1" s="1"/>
  <c r="C127" i="1"/>
  <c r="B127" i="1" s="1"/>
  <c r="C227" i="1"/>
  <c r="B227" i="1" s="1"/>
  <c r="C275" i="1"/>
  <c r="B275" i="1" s="1"/>
  <c r="C1122" i="1"/>
  <c r="B1122" i="1" s="1"/>
  <c r="C1163" i="1"/>
  <c r="B1163" i="1" s="1"/>
  <c r="C1261" i="1"/>
  <c r="B1261" i="1" s="1"/>
  <c r="C1331" i="1"/>
  <c r="B1331" i="1" s="1"/>
  <c r="C691" i="1"/>
  <c r="B691" i="1" s="1"/>
  <c r="C732" i="1"/>
  <c r="B732" i="1" s="1"/>
  <c r="C64" i="1"/>
  <c r="B64" i="1" s="1"/>
  <c r="C132" i="1"/>
  <c r="B132" i="1" s="1"/>
  <c r="C472" i="1"/>
  <c r="B472" i="1" s="1"/>
  <c r="C471" i="1"/>
  <c r="B471" i="1" s="1"/>
  <c r="C475" i="1"/>
  <c r="B475" i="1" s="1"/>
  <c r="C576" i="1"/>
  <c r="B576" i="1" s="1"/>
  <c r="C631" i="1"/>
  <c r="B631" i="1" s="1"/>
  <c r="C669" i="1"/>
  <c r="B669" i="1" s="1"/>
  <c r="C1084" i="1"/>
  <c r="B1084" i="1" s="1"/>
  <c r="C1085" i="1"/>
  <c r="B1085" i="1" s="1"/>
  <c r="C384" i="1"/>
  <c r="B384" i="1" s="1"/>
  <c r="C495" i="1"/>
  <c r="B495" i="1" s="1"/>
  <c r="C775" i="1"/>
  <c r="B775" i="1" s="1"/>
  <c r="C785" i="1"/>
  <c r="B785" i="1" s="1"/>
  <c r="C1102" i="1"/>
  <c r="B1102" i="1" s="1"/>
  <c r="C1126" i="1"/>
  <c r="B1126" i="1" s="1"/>
  <c r="C1406" i="1"/>
  <c r="B1406" i="1" s="1"/>
  <c r="C1409" i="1"/>
  <c r="B1409" i="1" s="1"/>
  <c r="C259" i="1"/>
  <c r="B259" i="1" s="1"/>
  <c r="C312" i="1"/>
  <c r="B312" i="1" s="1"/>
  <c r="C396" i="1"/>
  <c r="B396" i="1" s="1"/>
  <c r="C515" i="1"/>
  <c r="B515" i="1" s="1"/>
  <c r="C601" i="1"/>
  <c r="B601" i="1" s="1"/>
  <c r="C462" i="1"/>
  <c r="B462" i="1" s="1"/>
  <c r="C584" i="1"/>
  <c r="B584" i="1" s="1"/>
  <c r="C260" i="1"/>
  <c r="B260" i="1" s="1"/>
  <c r="C313" i="1"/>
  <c r="B313" i="1" s="1"/>
  <c r="C404" i="1"/>
  <c r="B404" i="1" s="1"/>
  <c r="C516" i="1"/>
  <c r="B516" i="1" s="1"/>
  <c r="C602" i="1"/>
  <c r="B602" i="1" s="1"/>
  <c r="C103" i="1"/>
  <c r="B103" i="1" s="1"/>
  <c r="C147" i="1"/>
  <c r="B147" i="1" s="1"/>
  <c r="C173" i="1"/>
  <c r="B173" i="1" s="1"/>
  <c r="C176" i="1"/>
  <c r="B176" i="1" s="1"/>
  <c r="C205" i="1"/>
  <c r="B205" i="1" s="1"/>
  <c r="C216" i="1"/>
  <c r="B216" i="1" s="1"/>
  <c r="C226" i="1"/>
  <c r="B226" i="1" s="1"/>
  <c r="C258" i="1"/>
  <c r="B258" i="1" s="1"/>
  <c r="C277" i="1"/>
  <c r="B277" i="1" s="1"/>
  <c r="C296" i="1"/>
  <c r="B296" i="1" s="1"/>
  <c r="C308" i="1"/>
  <c r="B308" i="1" s="1"/>
  <c r="C334" i="1"/>
  <c r="B334" i="1" s="1"/>
  <c r="C351" i="1"/>
  <c r="B351" i="1" s="1"/>
  <c r="C361" i="1"/>
  <c r="B361" i="1" s="1"/>
  <c r="C379" i="1"/>
  <c r="B379" i="1" s="1"/>
  <c r="C392" i="1"/>
  <c r="B392" i="1" s="1"/>
  <c r="C399" i="1"/>
  <c r="B399" i="1" s="1"/>
  <c r="C433" i="1"/>
  <c r="B433" i="1" s="1"/>
  <c r="C453" i="1"/>
  <c r="B453" i="1" s="1"/>
  <c r="C497" i="1"/>
  <c r="B497" i="1" s="1"/>
  <c r="C546" i="1"/>
  <c r="B546" i="1" s="1"/>
  <c r="C574" i="1"/>
  <c r="B574" i="1" s="1"/>
  <c r="C588" i="1"/>
  <c r="B588" i="1" s="1"/>
  <c r="C632" i="1"/>
  <c r="B632" i="1" s="1"/>
  <c r="C643" i="1"/>
  <c r="B643" i="1" s="1"/>
  <c r="C664" i="1"/>
  <c r="B664" i="1" s="1"/>
  <c r="C709" i="1"/>
  <c r="B709" i="1" s="1"/>
  <c r="C708" i="1"/>
  <c r="B708" i="1" s="1"/>
  <c r="C754" i="1"/>
  <c r="B754" i="1" s="1"/>
  <c r="C787" i="1"/>
  <c r="B787" i="1" s="1"/>
  <c r="C794" i="1"/>
  <c r="B794" i="1" s="1"/>
  <c r="C821" i="1"/>
  <c r="B821" i="1" s="1"/>
  <c r="C860" i="1"/>
  <c r="B860" i="1" s="1"/>
  <c r="C874" i="1"/>
  <c r="B874" i="1" s="1"/>
  <c r="C892" i="1"/>
  <c r="B892" i="1" s="1"/>
  <c r="C926" i="1"/>
  <c r="B926" i="1" s="1"/>
  <c r="C956" i="1"/>
  <c r="B956" i="1" s="1"/>
  <c r="C976" i="1"/>
  <c r="B976" i="1" s="1"/>
  <c r="C1000" i="1"/>
  <c r="B1000" i="1" s="1"/>
  <c r="C1015" i="1"/>
  <c r="B1015" i="1" s="1"/>
  <c r="C1068" i="1"/>
  <c r="B1068" i="1" s="1"/>
  <c r="C1092" i="1"/>
  <c r="B1092" i="1" s="1"/>
  <c r="C1107" i="1"/>
  <c r="B1107" i="1" s="1"/>
  <c r="C1127" i="1"/>
  <c r="B1127" i="1" s="1"/>
  <c r="C1169" i="1"/>
  <c r="B1169" i="1" s="1"/>
  <c r="C1183" i="1"/>
  <c r="B1183" i="1" s="1"/>
  <c r="C1200" i="1"/>
  <c r="B1200" i="1" s="1"/>
  <c r="C1240" i="1"/>
  <c r="B1240" i="1" s="1"/>
  <c r="C1263" i="1"/>
  <c r="B1263" i="1" s="1"/>
  <c r="C1278" i="1"/>
  <c r="B1278" i="1" s="1"/>
  <c r="C1291" i="1"/>
  <c r="B1291" i="1" s="1"/>
  <c r="C1326" i="1"/>
  <c r="B1326" i="1" s="1"/>
  <c r="C1346" i="1"/>
  <c r="B1346" i="1" s="1"/>
  <c r="C1384" i="1"/>
  <c r="B1384" i="1" s="1"/>
  <c r="C490" i="1"/>
  <c r="B490" i="1" s="1"/>
  <c r="C492" i="1"/>
  <c r="B492" i="1" s="1"/>
  <c r="C770" i="1"/>
  <c r="B770" i="1" s="1"/>
  <c r="C778" i="1"/>
  <c r="B778" i="1" s="1"/>
  <c r="C809" i="1"/>
  <c r="B809" i="1" s="1"/>
  <c r="C885" i="1"/>
  <c r="B885" i="1" s="1"/>
  <c r="C1075" i="1"/>
  <c r="B1075" i="1" s="1"/>
  <c r="C1208" i="1"/>
  <c r="B1208" i="1" s="1"/>
  <c r="C1270" i="1"/>
  <c r="B1270" i="1" s="1"/>
  <c r="C1340" i="1"/>
  <c r="B1340" i="1" s="1"/>
  <c r="C1383" i="1"/>
  <c r="B1383" i="1" s="1"/>
  <c r="C1398" i="1"/>
  <c r="B1398" i="1" s="1"/>
  <c r="C58" i="1"/>
  <c r="B58" i="1" s="1"/>
  <c r="C343" i="1"/>
  <c r="B343" i="1" s="1"/>
  <c r="C541" i="1"/>
  <c r="B541" i="1" s="1"/>
  <c r="C594" i="1"/>
  <c r="B594" i="1" s="1"/>
  <c r="C630" i="1"/>
  <c r="B630" i="1" s="1"/>
  <c r="C683" i="1"/>
  <c r="B683" i="1" s="1"/>
  <c r="C773" i="1"/>
  <c r="B773" i="1" s="1"/>
  <c r="C795" i="1"/>
  <c r="B795" i="1" s="1"/>
  <c r="C869" i="1"/>
  <c r="B869" i="1" s="1"/>
  <c r="C1154" i="1"/>
  <c r="B1154" i="1" s="1"/>
  <c r="C1170" i="1"/>
  <c r="B1170" i="1" s="1"/>
  <c r="C1203" i="1"/>
  <c r="B1203" i="1" s="1"/>
  <c r="C244" i="1"/>
  <c r="B244" i="1" s="1"/>
  <c r="C262" i="1"/>
  <c r="B262" i="1" s="1"/>
  <c r="C314" i="1"/>
  <c r="B314" i="1" s="1"/>
  <c r="C401" i="1"/>
  <c r="B401" i="1" s="1"/>
  <c r="C518" i="1"/>
  <c r="B518" i="1" s="1"/>
  <c r="C606" i="1"/>
  <c r="B606" i="1" s="1"/>
  <c r="C53" i="1"/>
  <c r="B53" i="1" s="1"/>
  <c r="C144" i="1"/>
  <c r="B144" i="1" s="1"/>
  <c r="C1121" i="1"/>
  <c r="B1121" i="1" s="1"/>
  <c r="C1266" i="1"/>
  <c r="B1266" i="1" s="1"/>
  <c r="C1335" i="1"/>
  <c r="B1335" i="1" s="1"/>
  <c r="C210" i="1"/>
  <c r="B210" i="1" s="1"/>
  <c r="C777" i="1"/>
  <c r="B777" i="1" s="1"/>
  <c r="C1165" i="1"/>
  <c r="B1165" i="1" s="1"/>
  <c r="C94" i="1"/>
  <c r="B94" i="1" s="1"/>
  <c r="C109" i="1"/>
  <c r="B109" i="1" s="1"/>
  <c r="C179" i="1"/>
  <c r="B179" i="1" s="1"/>
  <c r="C304" i="1"/>
  <c r="B304" i="1" s="1"/>
  <c r="C338" i="1"/>
  <c r="B338" i="1" s="1"/>
  <c r="C387" i="1"/>
  <c r="B387" i="1" s="1"/>
  <c r="C444" i="1"/>
  <c r="B444" i="1" s="1"/>
  <c r="C550" i="1"/>
  <c r="B550" i="1" s="1"/>
  <c r="C827" i="1"/>
  <c r="B827" i="1" s="1"/>
  <c r="C261" i="1"/>
  <c r="B261" i="1" s="1"/>
  <c r="C311" i="1"/>
  <c r="B311" i="1" s="1"/>
  <c r="C400" i="1"/>
  <c r="B400" i="1" s="1"/>
  <c r="C517" i="1"/>
  <c r="B517" i="1" s="1"/>
  <c r="C603" i="1"/>
  <c r="B603" i="1" s="1"/>
  <c r="C95" i="1"/>
  <c r="B95" i="1" s="1"/>
  <c r="C98" i="1"/>
  <c r="B98" i="1" s="1"/>
  <c r="C309" i="1"/>
  <c r="B309" i="1" s="1"/>
  <c r="C370" i="1"/>
  <c r="B370" i="1" s="1"/>
  <c r="C415" i="1"/>
  <c r="B415" i="1" s="1"/>
  <c r="C535" i="1"/>
  <c r="B535" i="1" s="1"/>
  <c r="C713" i="1"/>
  <c r="B713" i="1" s="1"/>
  <c r="C982" i="1"/>
  <c r="B982" i="1" s="1"/>
  <c r="C983" i="1"/>
  <c r="B983" i="1" s="1"/>
  <c r="C1016" i="1"/>
  <c r="B1016" i="1" s="1"/>
  <c r="C1023" i="1"/>
  <c r="B1023" i="1" s="1"/>
  <c r="C1116" i="1"/>
  <c r="B1116" i="1" s="1"/>
  <c r="C1128" i="1"/>
  <c r="B1128" i="1" s="1"/>
  <c r="C1134" i="1"/>
  <c r="B1134" i="1" s="1"/>
  <c r="C1268" i="1"/>
  <c r="B1268" i="1" s="1"/>
  <c r="C1397" i="1"/>
  <c r="B1397" i="1" s="1"/>
  <c r="C84" i="1"/>
  <c r="B84" i="1" s="1"/>
  <c r="C364" i="1"/>
  <c r="B364" i="1" s="1"/>
  <c r="C484" i="1"/>
  <c r="B484" i="1" s="1"/>
  <c r="C580" i="1"/>
  <c r="B580" i="1" s="1"/>
  <c r="C625" i="1"/>
  <c r="B625" i="1" s="1"/>
  <c r="C772" i="1"/>
  <c r="B772" i="1" s="1"/>
  <c r="C801" i="1"/>
  <c r="B801" i="1" s="1"/>
  <c r="C960" i="1"/>
  <c r="B960" i="1" s="1"/>
  <c r="C1012" i="1"/>
  <c r="B1012" i="1" s="1"/>
  <c r="C1193" i="1"/>
  <c r="B1193" i="1" s="1"/>
  <c r="C1222" i="1"/>
  <c r="B1222" i="1" s="1"/>
  <c r="C1404" i="1"/>
  <c r="B1404" i="1" s="1"/>
  <c r="C263" i="1"/>
  <c r="B263" i="1" s="1"/>
  <c r="C315" i="1"/>
  <c r="B315" i="1" s="1"/>
  <c r="C406" i="1"/>
  <c r="B406" i="1" s="1"/>
  <c r="C521" i="1"/>
  <c r="B521" i="1" s="1"/>
  <c r="C608" i="1"/>
  <c r="B608" i="1" s="1"/>
  <c r="C701" i="1"/>
  <c r="B701" i="1" s="1"/>
  <c r="C964" i="1"/>
  <c r="B964" i="1" s="1"/>
  <c r="C971" i="1"/>
  <c r="B971" i="1" s="1"/>
  <c r="C987" i="1"/>
  <c r="B987" i="1" s="1"/>
  <c r="C1087" i="1"/>
  <c r="B1087" i="1" s="1"/>
  <c r="C1259" i="1"/>
  <c r="B1259" i="1" s="1"/>
  <c r="C1378" i="1"/>
  <c r="B1378" i="1" s="1"/>
  <c r="C1396" i="1"/>
  <c r="B1396" i="1" s="1"/>
  <c r="C366" i="1"/>
  <c r="B366" i="1" s="1"/>
  <c r="C480" i="1"/>
  <c r="B480" i="1" s="1"/>
  <c r="C644" i="1"/>
  <c r="B644" i="1" s="1"/>
  <c r="C896" i="1"/>
  <c r="B896" i="1" s="1"/>
  <c r="C1044" i="1"/>
  <c r="B1044" i="1" s="1"/>
  <c r="C1284" i="1"/>
  <c r="B1284" i="1" s="1"/>
  <c r="C3" i="1"/>
  <c r="B3" i="1" s="1"/>
  <c r="C61" i="1"/>
  <c r="B61" i="1" s="1"/>
  <c r="C92" i="1"/>
  <c r="B92" i="1" s="1"/>
  <c r="C146" i="1"/>
  <c r="B146" i="1" s="1"/>
  <c r="C145" i="1"/>
  <c r="B145" i="1" s="1"/>
  <c r="C143" i="1"/>
  <c r="B143" i="1" s="1"/>
  <c r="C151" i="1"/>
  <c r="B151" i="1" s="1"/>
  <c r="C154" i="1"/>
  <c r="B154" i="1" s="1"/>
  <c r="C371" i="1"/>
  <c r="B371" i="1" s="1"/>
  <c r="C442" i="1"/>
  <c r="B442" i="1" s="1"/>
  <c r="C439" i="1"/>
  <c r="B439" i="1" s="1"/>
  <c r="C590" i="1"/>
  <c r="B590" i="1" s="1"/>
  <c r="C698" i="1"/>
  <c r="B698" i="1" s="1"/>
  <c r="C790" i="1"/>
  <c r="B790" i="1" s="1"/>
  <c r="C891" i="1"/>
  <c r="B891" i="1" s="1"/>
  <c r="C890" i="1"/>
  <c r="B890" i="1" s="1"/>
  <c r="C1109" i="1"/>
  <c r="B1109" i="1" s="1"/>
  <c r="C1172" i="1"/>
  <c r="B1172" i="1" s="1"/>
  <c r="C246" i="1"/>
  <c r="B246" i="1" s="1"/>
  <c r="C867" i="1"/>
  <c r="B867" i="1" s="1"/>
  <c r="C79" i="1"/>
  <c r="B79" i="1" s="1"/>
  <c r="C766" i="1"/>
  <c r="B766" i="1" s="1"/>
  <c r="C482" i="1"/>
  <c r="B482" i="1" s="1"/>
  <c r="C665" i="1"/>
  <c r="B665" i="1" s="1"/>
  <c r="C959" i="1"/>
  <c r="B959" i="1" s="1"/>
  <c r="C1036" i="1"/>
  <c r="B1036" i="1" s="1"/>
  <c r="C1343" i="1"/>
  <c r="B1343" i="1" s="1"/>
  <c r="C368" i="1"/>
  <c r="B368" i="1" s="1"/>
  <c r="C634" i="1"/>
  <c r="B634" i="1" s="1"/>
  <c r="C649" i="1"/>
  <c r="B649" i="1" s="1"/>
  <c r="C685" i="1"/>
  <c r="B685" i="1" s="1"/>
  <c r="C11" i="1"/>
  <c r="B11" i="1" s="1"/>
  <c r="C27" i="1"/>
  <c r="B27" i="1" s="1"/>
  <c r="C46" i="1"/>
  <c r="B46" i="1" s="1"/>
  <c r="C45" i="1"/>
  <c r="B45" i="1" s="1"/>
  <c r="C47" i="1"/>
  <c r="B47" i="1" s="1"/>
  <c r="C130" i="1"/>
  <c r="B130" i="1" s="1"/>
  <c r="C339" i="1"/>
  <c r="B339" i="1" s="1"/>
  <c r="C106" i="1"/>
  <c r="B106" i="1" s="1"/>
  <c r="C234" i="1"/>
  <c r="B234" i="1" s="1"/>
  <c r="C372" i="1"/>
  <c r="B372" i="1" s="1"/>
  <c r="C365" i="1"/>
  <c r="B365" i="1" s="1"/>
  <c r="C450" i="1"/>
  <c r="B450" i="1" s="1"/>
  <c r="C452" i="1"/>
  <c r="B452" i="1" s="1"/>
  <c r="C560" i="1"/>
  <c r="B560" i="1" s="1"/>
  <c r="C655" i="1"/>
  <c r="B655" i="1" s="1"/>
  <c r="C838" i="1"/>
  <c r="B838" i="1" s="1"/>
  <c r="C862" i="1"/>
  <c r="B862" i="1" s="1"/>
  <c r="C1078" i="1"/>
  <c r="B1078" i="1" s="1"/>
  <c r="C1112" i="1"/>
  <c r="B1112" i="1" s="1"/>
  <c r="C1223" i="1"/>
  <c r="B1223" i="1" s="1"/>
  <c r="C1286" i="1"/>
  <c r="B1286" i="1" s="1"/>
  <c r="C1056" i="1"/>
  <c r="B1056" i="1" s="1"/>
  <c r="C289" i="1"/>
  <c r="B289" i="1" s="1"/>
  <c r="C558" i="1"/>
  <c r="B558" i="1" s="1"/>
  <c r="C907" i="1"/>
  <c r="B907" i="1" s="1"/>
  <c r="C1082" i="1"/>
  <c r="B1082" i="1" s="1"/>
  <c r="C1342" i="1"/>
  <c r="B1342" i="1" s="1"/>
  <c r="C469" i="1"/>
  <c r="B469" i="1" s="1"/>
  <c r="C662" i="1"/>
  <c r="B662" i="1" s="1"/>
  <c r="C248" i="1"/>
  <c r="B248" i="1" s="1"/>
  <c r="C883" i="1"/>
  <c r="B883" i="1" s="1"/>
  <c r="C759" i="1"/>
  <c r="B759" i="1" s="1"/>
  <c r="C774" i="1"/>
  <c r="B774" i="1" s="1"/>
  <c r="C977" i="1"/>
  <c r="B977" i="1" s="1"/>
  <c r="C16" i="1"/>
  <c r="B16" i="1" s="1"/>
  <c r="C56" i="1"/>
  <c r="B56" i="1" s="1"/>
  <c r="C99" i="1"/>
  <c r="B99" i="1" s="1"/>
  <c r="C140" i="1"/>
  <c r="B140" i="1" s="1"/>
  <c r="C161" i="1"/>
  <c r="B161" i="1" s="1"/>
  <c r="C218" i="1"/>
  <c r="B218" i="1" s="1"/>
  <c r="C293" i="1"/>
  <c r="B293" i="1" s="1"/>
  <c r="C373" i="1"/>
  <c r="B373" i="1" s="1"/>
  <c r="C659" i="1"/>
  <c r="B659" i="1" s="1"/>
  <c r="C714" i="1"/>
  <c r="B714" i="1" s="1"/>
  <c r="C763" i="1"/>
  <c r="B763" i="1" s="1"/>
  <c r="C761" i="1"/>
  <c r="B761" i="1" s="1"/>
  <c r="C810" i="1"/>
  <c r="B810" i="1" s="1"/>
  <c r="C859" i="1"/>
  <c r="B859" i="1" s="1"/>
  <c r="C863" i="1"/>
  <c r="B863" i="1" s="1"/>
  <c r="C994" i="1"/>
  <c r="B994" i="1" s="1"/>
  <c r="C1080" i="1"/>
  <c r="B1080" i="1" s="1"/>
  <c r="C1218" i="1"/>
  <c r="B1218" i="1" s="1"/>
  <c r="C1207" i="1"/>
  <c r="B1207" i="1" s="1"/>
  <c r="C1216" i="1"/>
  <c r="B1216" i="1" s="1"/>
  <c r="C1292" i="1"/>
  <c r="B1292" i="1" s="1"/>
  <c r="C1402" i="1"/>
  <c r="B1402" i="1" s="1"/>
  <c r="C825" i="1"/>
  <c r="B825" i="1" s="1"/>
  <c r="C932" i="1"/>
  <c r="B932" i="1" s="1"/>
  <c r="C935" i="1"/>
  <c r="B935" i="1" s="1"/>
  <c r="C967" i="1"/>
  <c r="B967" i="1" s="1"/>
  <c r="C1067" i="1"/>
  <c r="B1067" i="1" s="1"/>
  <c r="C1064" i="1"/>
  <c r="B1064" i="1" s="1"/>
  <c r="C1076" i="1"/>
  <c r="B1076" i="1" s="1"/>
  <c r="C1123" i="1"/>
  <c r="B1123" i="1" s="1"/>
  <c r="C1131" i="1"/>
  <c r="B1131" i="1" s="1"/>
  <c r="C1132" i="1"/>
  <c r="B1132" i="1" s="1"/>
  <c r="C1206" i="1"/>
  <c r="B1206" i="1" s="1"/>
  <c r="C1407" i="1"/>
  <c r="B1407" i="1" s="1"/>
  <c r="C1401" i="1"/>
  <c r="B1401" i="1" s="1"/>
  <c r="C1386" i="1"/>
  <c r="B1386" i="1" s="1"/>
  <c r="C991" i="1"/>
  <c r="B991" i="1" s="1"/>
  <c r="C1214" i="1"/>
  <c r="B1214" i="1" s="1"/>
  <c r="C1133" i="1"/>
  <c r="B1133" i="1" s="1"/>
  <c r="C893" i="1"/>
  <c r="B893" i="1" s="1"/>
  <c r="C912" i="1"/>
  <c r="B912" i="1" s="1"/>
  <c r="C1081" i="1"/>
  <c r="B1081" i="1" s="1"/>
  <c r="C684" i="1"/>
  <c r="B684" i="1" s="1"/>
  <c r="C853" i="1"/>
  <c r="B853" i="1" s="1"/>
  <c r="C904" i="1"/>
  <c r="B904" i="1" s="1"/>
  <c r="C1033" i="1"/>
  <c r="B1033" i="1" s="1"/>
  <c r="C1387" i="1"/>
  <c r="B1387" i="1" s="1"/>
  <c r="C1385" i="1"/>
  <c r="B1385" i="1" s="1"/>
  <c r="C494" i="1"/>
  <c r="B494" i="1" s="1"/>
  <c r="C514" i="1"/>
  <c r="B514" i="1" s="1"/>
  <c r="C542" i="1"/>
  <c r="B542" i="1" s="1"/>
  <c r="C600" i="1"/>
  <c r="B600" i="1" s="1"/>
  <c r="C647" i="1"/>
  <c r="B647" i="1" s="1"/>
  <c r="C645" i="1"/>
  <c r="B645" i="1" s="1"/>
  <c r="C744" i="1"/>
  <c r="B744" i="1" s="1"/>
  <c r="C841" i="1"/>
  <c r="B841" i="1" s="1"/>
  <c r="C889" i="1"/>
  <c r="B889" i="1" s="1"/>
  <c r="C986" i="1"/>
  <c r="B986" i="1" s="1"/>
  <c r="C998" i="1"/>
  <c r="B998" i="1" s="1"/>
  <c r="C1219" i="1"/>
  <c r="B1219" i="1" s="1"/>
  <c r="C911" i="1"/>
  <c r="B911" i="1" s="1"/>
  <c r="C968" i="1"/>
  <c r="B968" i="1" s="1"/>
  <c r="C1180" i="1"/>
  <c r="B1180" i="1" s="1"/>
  <c r="C1352" i="1"/>
  <c r="B1352" i="1" s="1"/>
  <c r="C724" i="1"/>
  <c r="B724" i="1" s="1"/>
  <c r="C1101" i="1"/>
  <c r="B1101" i="1" s="1"/>
  <c r="C13" i="1"/>
  <c r="B13" i="1" s="1"/>
  <c r="C162" i="1"/>
  <c r="B162" i="1" s="1"/>
  <c r="C166" i="1"/>
  <c r="B166" i="1" s="1"/>
  <c r="C241" i="1"/>
  <c r="B241" i="1" s="1"/>
  <c r="C288" i="1"/>
  <c r="B288" i="1" s="1"/>
  <c r="C388" i="1"/>
  <c r="B388" i="1" s="1"/>
  <c r="C393" i="1"/>
  <c r="B393" i="1" s="1"/>
  <c r="C446" i="1"/>
  <c r="B446" i="1" s="1"/>
  <c r="C764" i="1"/>
  <c r="B764" i="1" s="1"/>
  <c r="C854" i="1"/>
  <c r="B854" i="1" s="1"/>
  <c r="C902" i="1"/>
  <c r="B902" i="1" s="1"/>
  <c r="C952" i="1"/>
  <c r="B952" i="1" s="1"/>
  <c r="C996" i="1"/>
  <c r="B996" i="1" s="1"/>
  <c r="C1281" i="1"/>
  <c r="B1281" i="1" s="1"/>
  <c r="C1381" i="1"/>
  <c r="B1381" i="1" s="1"/>
  <c r="C447" i="1"/>
  <c r="B447" i="1" s="1"/>
  <c r="C672" i="1"/>
  <c r="B672" i="1" s="1"/>
  <c r="C581" i="1"/>
  <c r="B581" i="1" s="1"/>
  <c r="C29" i="1"/>
  <c r="B29" i="1" s="1"/>
  <c r="C86" i="1"/>
  <c r="B86" i="1" s="1"/>
  <c r="C150" i="1"/>
  <c r="B150" i="1" s="1"/>
  <c r="C186" i="1"/>
  <c r="B186" i="1" s="1"/>
  <c r="C232" i="1"/>
  <c r="B232" i="1" s="1"/>
  <c r="C357" i="1"/>
  <c r="B357" i="1" s="1"/>
  <c r="C390" i="1"/>
  <c r="B390" i="1" s="1"/>
  <c r="C431" i="1"/>
  <c r="B431" i="1" s="1"/>
  <c r="C583" i="1"/>
  <c r="B583" i="1" s="1"/>
  <c r="C586" i="1"/>
  <c r="B586" i="1" s="1"/>
  <c r="C607" i="1"/>
  <c r="B607" i="1" s="1"/>
  <c r="C658" i="1"/>
  <c r="B658" i="1" s="1"/>
  <c r="C716" i="1"/>
  <c r="B716" i="1" s="1"/>
  <c r="C978" i="1"/>
  <c r="B978" i="1" s="1"/>
  <c r="C1027" i="1"/>
  <c r="B1027" i="1" s="1"/>
  <c r="C1070" i="1"/>
  <c r="B1070" i="1" s="1"/>
  <c r="C1380" i="1"/>
  <c r="B1380" i="1" s="1"/>
  <c r="C1382" i="1"/>
  <c r="B1382" i="1" s="1"/>
  <c r="C8" i="1"/>
  <c r="B8" i="1" s="1"/>
  <c r="C44" i="1"/>
  <c r="B44" i="1" s="1"/>
  <c r="C43" i="1"/>
  <c r="B43" i="1" s="1"/>
  <c r="C60" i="1"/>
  <c r="B60" i="1" s="1"/>
  <c r="C62" i="1"/>
  <c r="B62" i="1" s="1"/>
  <c r="C219" i="1"/>
  <c r="B219" i="1" s="1"/>
  <c r="C359" i="1"/>
  <c r="B359" i="1" s="1"/>
  <c r="C378" i="1"/>
  <c r="B378" i="1" s="1"/>
  <c r="C460" i="1"/>
  <c r="B460" i="1" s="1"/>
  <c r="C548" i="1"/>
  <c r="B548" i="1" s="1"/>
  <c r="C562" i="1"/>
  <c r="B562" i="1" s="1"/>
  <c r="C657" i="1"/>
  <c r="B657" i="1" s="1"/>
  <c r="C692" i="1"/>
  <c r="B692" i="1" s="1"/>
  <c r="C707" i="1"/>
  <c r="B707" i="1" s="1"/>
  <c r="C723" i="1"/>
  <c r="B723" i="1" s="1"/>
  <c r="C755" i="1"/>
  <c r="B755" i="1" s="1"/>
  <c r="C756" i="1"/>
  <c r="B756" i="1" s="1"/>
  <c r="C757" i="1"/>
  <c r="B757" i="1" s="1"/>
  <c r="C807" i="1"/>
  <c r="B807" i="1" s="1"/>
  <c r="C806" i="1"/>
  <c r="B806" i="1" s="1"/>
  <c r="C914" i="1"/>
  <c r="B914" i="1" s="1"/>
  <c r="C910" i="1"/>
  <c r="B910" i="1" s="1"/>
  <c r="C1095" i="1"/>
  <c r="B1095" i="1" s="1"/>
  <c r="C1093" i="1"/>
  <c r="B1093" i="1" s="1"/>
  <c r="C1119" i="1"/>
  <c r="B1119" i="1" s="1"/>
  <c r="C1377" i="1"/>
  <c r="B1377" i="1" s="1"/>
  <c r="C104" i="1"/>
  <c r="B104" i="1" s="1"/>
  <c r="C141" i="1"/>
  <c r="B141" i="1" s="1"/>
  <c r="C73" i="1"/>
  <c r="B73" i="1" s="1"/>
  <c r="C117" i="1"/>
  <c r="B117" i="1" s="1"/>
  <c r="C350" i="1"/>
  <c r="B350" i="1" s="1"/>
  <c r="C459" i="1"/>
  <c r="B459" i="1" s="1"/>
  <c r="C458" i="1"/>
  <c r="B458" i="1" s="1"/>
  <c r="C508" i="1"/>
  <c r="B508" i="1" s="1"/>
  <c r="C1129" i="1"/>
  <c r="B1129" i="1" s="1"/>
  <c r="C1161" i="1"/>
  <c r="B1161" i="1" s="1"/>
  <c r="C36" i="1"/>
  <c r="B36" i="1" s="1"/>
  <c r="C169" i="1"/>
  <c r="B169" i="1" s="1"/>
  <c r="C238" i="1"/>
  <c r="B238" i="1" s="1"/>
  <c r="C245" i="1"/>
  <c r="B245" i="1" s="1"/>
  <c r="C247" i="1"/>
  <c r="B247" i="1" s="1"/>
  <c r="C348" i="1"/>
  <c r="B348" i="1" s="1"/>
  <c r="C487" i="1"/>
  <c r="B487" i="1" s="1"/>
  <c r="C503" i="1"/>
  <c r="B503" i="1" s="1"/>
  <c r="C177" i="1"/>
  <c r="B177" i="1" s="1"/>
  <c r="C68" i="1"/>
  <c r="B68" i="1" s="1"/>
  <c r="C101" i="1"/>
  <c r="B101" i="1" s="1"/>
  <c r="C110" i="1"/>
  <c r="B110" i="1" s="1"/>
  <c r="C185" i="1"/>
  <c r="B185" i="1" s="1"/>
  <c r="C224" i="1"/>
  <c r="B224" i="1" s="1"/>
  <c r="C112" i="1"/>
  <c r="B112" i="1" s="1"/>
  <c r="C225" i="1"/>
  <c r="B225" i="1" s="1"/>
  <c r="C75" i="1"/>
  <c r="B75" i="1" s="1"/>
  <c r="C74" i="1"/>
  <c r="B74" i="1" s="1"/>
  <c r="C174" i="1"/>
  <c r="B174" i="1" s="1"/>
  <c r="C93" i="1"/>
  <c r="B93" i="1" s="1"/>
  <c r="C107" i="1"/>
  <c r="B107" i="1" s="1"/>
  <c r="C181" i="1"/>
  <c r="B181" i="1" s="1"/>
  <c r="C237" i="1"/>
  <c r="B237" i="1" s="1"/>
  <c r="C78" i="1"/>
  <c r="B78" i="1" s="1"/>
  <c r="C742" i="1"/>
  <c r="B742" i="1" s="1"/>
  <c r="C826" i="1"/>
  <c r="B826" i="1" s="1"/>
  <c r="C947" i="1"/>
  <c r="B947" i="1" s="1"/>
  <c r="C949" i="1"/>
  <c r="B949" i="1" s="1"/>
  <c r="C527" i="1"/>
  <c r="B527" i="1" s="1"/>
  <c r="C1376" i="1"/>
  <c r="B1376" i="1" s="1"/>
  <c r="C1255" i="1"/>
  <c r="B1255" i="1" s="1"/>
  <c r="C329" i="1"/>
  <c r="B329" i="1" s="1"/>
  <c r="C67" i="1"/>
  <c r="B67" i="1" s="1"/>
  <c r="C128" i="1"/>
  <c r="B128" i="1" s="1"/>
  <c r="C1040" i="1"/>
  <c r="B1040" i="1" s="1"/>
  <c r="C1041" i="1"/>
  <c r="B1041" i="1" s="1"/>
  <c r="C1234" i="1"/>
  <c r="B1234" i="1" s="1"/>
  <c r="C133" i="1"/>
  <c r="B133" i="1" s="1"/>
  <c r="C136" i="1"/>
  <c r="B136" i="1" s="1"/>
  <c r="C196" i="1"/>
  <c r="B196" i="1" s="1"/>
  <c r="C199" i="1"/>
  <c r="B199" i="1" s="1"/>
  <c r="C310" i="1"/>
  <c r="B310" i="1" s="1"/>
  <c r="C264" i="1"/>
  <c r="B264" i="1" s="1"/>
  <c r="C319" i="1"/>
  <c r="B319" i="1" s="1"/>
  <c r="C317" i="1"/>
  <c r="B317" i="1" s="1"/>
  <c r="C321" i="1"/>
  <c r="B321" i="1" s="1"/>
  <c r="C733" i="1"/>
  <c r="B733" i="1" s="1"/>
  <c r="C413" i="1"/>
  <c r="B413" i="1" s="1"/>
  <c r="C414" i="1"/>
  <c r="B414" i="1" s="1"/>
  <c r="C422" i="1"/>
  <c r="B422" i="1" s="1"/>
  <c r="C489" i="1"/>
  <c r="B489" i="1" s="1"/>
  <c r="C525" i="1"/>
  <c r="B525" i="1" s="1"/>
  <c r="C579" i="1"/>
  <c r="B579" i="1" s="1"/>
  <c r="C612" i="1"/>
  <c r="B612" i="1" s="1"/>
  <c r="C735" i="1"/>
  <c r="B735" i="1" s="1"/>
  <c r="C740" i="1"/>
  <c r="B740" i="1" s="1"/>
  <c r="C835" i="1"/>
  <c r="B835" i="1" s="1"/>
  <c r="C839" i="1"/>
  <c r="B839" i="1" s="1"/>
  <c r="C940" i="1"/>
  <c r="B940" i="1" s="1"/>
  <c r="C943" i="1"/>
  <c r="B943" i="1" s="1"/>
  <c r="C1046" i="1"/>
  <c r="B1046" i="1" s="1"/>
  <c r="C1051" i="1"/>
  <c r="B1051" i="1" s="1"/>
  <c r="C1152" i="1"/>
  <c r="B1152" i="1" s="1"/>
  <c r="C1157" i="1"/>
  <c r="B1157" i="1" s="1"/>
  <c r="C1239" i="1"/>
  <c r="B1239" i="1" s="1"/>
  <c r="C1243" i="1"/>
  <c r="B1243" i="1" s="1"/>
  <c r="C1314" i="1"/>
  <c r="B1314" i="1" s="1"/>
  <c r="C1318" i="1"/>
  <c r="B1318" i="1" s="1"/>
  <c r="C1321" i="1"/>
  <c r="B1321" i="1" s="1"/>
  <c r="C512" i="1"/>
  <c r="B512" i="1" s="1"/>
  <c r="C1374" i="1"/>
  <c r="B1374" i="1" s="1"/>
  <c r="C873" i="1"/>
  <c r="B873" i="1" s="1"/>
  <c r="C616" i="1"/>
  <c r="B616" i="1" s="1"/>
  <c r="C849" i="1"/>
  <c r="B849" i="1" s="1"/>
  <c r="C711" i="1"/>
  <c r="B711" i="1" s="1"/>
  <c r="C134" i="1"/>
  <c r="B134" i="1" s="1"/>
  <c r="C200" i="1"/>
  <c r="B200" i="1" s="1"/>
  <c r="C265" i="1"/>
  <c r="B265" i="1" s="1"/>
  <c r="C845" i="1"/>
  <c r="B845" i="1" s="1"/>
  <c r="C322" i="1"/>
  <c r="B322" i="1" s="1"/>
  <c r="C424" i="1"/>
  <c r="B424" i="1" s="1"/>
  <c r="C522" i="1"/>
  <c r="B522" i="1" s="1"/>
  <c r="C609" i="1"/>
  <c r="B609" i="1" s="1"/>
  <c r="C736" i="1"/>
  <c r="B736" i="1" s="1"/>
  <c r="C836" i="1"/>
  <c r="B836" i="1" s="1"/>
  <c r="C941" i="1"/>
  <c r="B941" i="1" s="1"/>
  <c r="C1047" i="1"/>
  <c r="B1047" i="1" s="1"/>
  <c r="C1155" i="1"/>
  <c r="B1155" i="1" s="1"/>
  <c r="C1241" i="1"/>
  <c r="B1241" i="1" s="1"/>
  <c r="C1319" i="1"/>
  <c r="B1319" i="1" s="1"/>
  <c r="C1372" i="1"/>
  <c r="B1372" i="1" s="1"/>
  <c r="C529" i="1"/>
  <c r="B529" i="1" s="1"/>
  <c r="C1271" i="1"/>
  <c r="B1271" i="1" s="1"/>
  <c r="C868" i="1"/>
  <c r="B868" i="1" s="1"/>
  <c r="C129" i="1"/>
  <c r="B129" i="1" s="1"/>
  <c r="C187" i="1"/>
  <c r="B187" i="1" s="1"/>
  <c r="C252" i="1"/>
  <c r="B252" i="1" s="1"/>
  <c r="C268" i="1"/>
  <c r="B268" i="1" s="1"/>
  <c r="C374" i="1"/>
  <c r="B374" i="1" s="1"/>
  <c r="C440" i="1"/>
  <c r="B440" i="1" s="1"/>
  <c r="C538" i="1"/>
  <c r="B538" i="1" s="1"/>
  <c r="C620" i="1"/>
  <c r="B620" i="1" s="1"/>
  <c r="C746" i="1"/>
  <c r="B746" i="1" s="1"/>
  <c r="C745" i="1"/>
  <c r="B745" i="1" s="1"/>
  <c r="C897" i="1"/>
  <c r="B897" i="1" s="1"/>
  <c r="C1007" i="1"/>
  <c r="B1007" i="1" s="1"/>
  <c r="C1143" i="1"/>
  <c r="B1143" i="1" s="1"/>
  <c r="C1231" i="1"/>
  <c r="B1231" i="1" s="1"/>
  <c r="C1293" i="1"/>
  <c r="B1293" i="1" s="1"/>
  <c r="C1295" i="1"/>
  <c r="B1295" i="1" s="1"/>
  <c r="C21" i="1"/>
  <c r="B21" i="1" s="1"/>
  <c r="C748" i="1"/>
  <c r="B748" i="1" s="1"/>
  <c r="C272" i="1"/>
  <c r="B272" i="1" s="1"/>
  <c r="C273" i="1"/>
  <c r="B273" i="1" s="1"/>
  <c r="C274" i="1"/>
  <c r="B274" i="1" s="1"/>
  <c r="C412" i="1"/>
  <c r="B412" i="1" s="1"/>
  <c r="C617" i="1"/>
  <c r="B617" i="1" s="1"/>
  <c r="C618" i="1"/>
  <c r="B618" i="1" s="1"/>
  <c r="C1042" i="1"/>
  <c r="B1042" i="1" s="1"/>
  <c r="C1043" i="1"/>
  <c r="B1043" i="1" s="1"/>
  <c r="C1274" i="1"/>
  <c r="B1274" i="1" s="1"/>
  <c r="C1279" i="1"/>
  <c r="B1279" i="1" s="1"/>
  <c r="C266" i="1"/>
  <c r="B266" i="1" s="1"/>
  <c r="C267" i="1"/>
  <c r="B267" i="1" s="1"/>
  <c r="C1130" i="1"/>
  <c r="B1130" i="1" s="1"/>
  <c r="C135" i="1"/>
  <c r="B135" i="1" s="1"/>
  <c r="C197" i="1"/>
  <c r="B197" i="1" s="1"/>
  <c r="C539" i="1"/>
  <c r="B539" i="1" s="1"/>
  <c r="C323" i="1"/>
  <c r="B323" i="1" s="1"/>
  <c r="C416" i="1"/>
  <c r="B416" i="1" s="1"/>
  <c r="C570" i="1"/>
  <c r="B570" i="1" s="1"/>
  <c r="C523" i="1"/>
  <c r="B523" i="1" s="1"/>
  <c r="C572" i="1"/>
  <c r="B572" i="1" s="1"/>
  <c r="C610" i="1"/>
  <c r="B610" i="1" s="1"/>
  <c r="C615" i="1"/>
  <c r="B615" i="1" s="1"/>
  <c r="C738" i="1"/>
  <c r="B738" i="1" s="1"/>
  <c r="C837" i="1"/>
  <c r="B837" i="1" s="1"/>
  <c r="C942" i="1"/>
  <c r="B942" i="1" s="1"/>
  <c r="C1048" i="1"/>
  <c r="B1048" i="1" s="1"/>
  <c r="C1156" i="1"/>
  <c r="B1156" i="1" s="1"/>
  <c r="C1242" i="1"/>
  <c r="B1242" i="1" s="1"/>
  <c r="C1320" i="1"/>
  <c r="B1320" i="1" s="1"/>
  <c r="C327" i="1"/>
  <c r="B327" i="1" s="1"/>
  <c r="C281" i="1"/>
  <c r="B281" i="1" s="1"/>
  <c r="C282" i="1"/>
  <c r="B282" i="1" s="1"/>
  <c r="C408" i="1"/>
  <c r="B408" i="1" s="1"/>
  <c r="C411" i="1"/>
  <c r="B411" i="1" s="1"/>
  <c r="C504" i="1"/>
  <c r="B504" i="1" s="1"/>
  <c r="C511" i="1"/>
  <c r="B511" i="1" s="1"/>
  <c r="C532" i="1"/>
  <c r="B532" i="1" s="1"/>
  <c r="C536" i="1"/>
  <c r="B536" i="1" s="1"/>
  <c r="C690" i="1"/>
  <c r="B690" i="1" s="1"/>
  <c r="C694" i="1"/>
  <c r="B694" i="1" s="1"/>
  <c r="C786" i="1"/>
  <c r="B786" i="1" s="1"/>
  <c r="C804" i="1"/>
  <c r="B804" i="1" s="1"/>
  <c r="C936" i="1"/>
  <c r="B936" i="1" s="1"/>
  <c r="C937" i="1"/>
  <c r="B937" i="1" s="1"/>
  <c r="C1034" i="1"/>
  <c r="B1034" i="1" s="1"/>
  <c r="C1035" i="1"/>
  <c r="B1035" i="1" s="1"/>
  <c r="C1144" i="1"/>
  <c r="B1144" i="1" s="1"/>
  <c r="C1146" i="1"/>
  <c r="B1146" i="1" s="1"/>
  <c r="C1236" i="1"/>
  <c r="B1236" i="1" s="1"/>
  <c r="C1237" i="1"/>
  <c r="B1237" i="1" s="1"/>
  <c r="C1310" i="1"/>
  <c r="B1310" i="1" s="1"/>
  <c r="C1309" i="1"/>
  <c r="B1309" i="1" s="1"/>
  <c r="C184" i="1"/>
  <c r="B184" i="1" s="1"/>
  <c r="C198" i="1"/>
  <c r="B198" i="1" s="1"/>
  <c r="C318" i="1"/>
  <c r="B318" i="1" s="1"/>
  <c r="C324" i="1"/>
  <c r="B324" i="1" s="1"/>
  <c r="C326" i="1"/>
  <c r="B326" i="1" s="1"/>
  <c r="C418" i="1"/>
  <c r="B418" i="1" s="1"/>
  <c r="C479" i="1"/>
  <c r="B479" i="1" s="1"/>
  <c r="C524" i="1"/>
  <c r="B524" i="1" s="1"/>
  <c r="C611" i="1"/>
  <c r="B611" i="1" s="1"/>
  <c r="C739" i="1"/>
  <c r="B739" i="1" s="1"/>
  <c r="C840" i="1"/>
  <c r="B840" i="1" s="1"/>
  <c r="C843" i="1"/>
  <c r="B843" i="1" s="1"/>
  <c r="C945" i="1"/>
  <c r="B945" i="1" s="1"/>
  <c r="C1071" i="1"/>
  <c r="B1071" i="1" s="1"/>
  <c r="C1158" i="1"/>
  <c r="B1158" i="1" s="1"/>
  <c r="C1150" i="1"/>
  <c r="B1150" i="1" s="1"/>
  <c r="C1244" i="1"/>
  <c r="B1244" i="1" s="1"/>
  <c r="C1313" i="1"/>
  <c r="B1313" i="1" s="1"/>
  <c r="C1371" i="1"/>
  <c r="B1371" i="1" s="1"/>
  <c r="C131" i="1"/>
  <c r="B131" i="1" s="1"/>
  <c r="C195" i="1"/>
  <c r="B195" i="1" s="1"/>
  <c r="C316" i="1"/>
  <c r="B316" i="1" s="1"/>
  <c r="C253" i="1"/>
  <c r="B253" i="1" s="1"/>
  <c r="C254" i="1"/>
  <c r="B254" i="1" s="1"/>
  <c r="C320" i="1"/>
  <c r="B320" i="1" s="1"/>
  <c r="C425" i="1"/>
  <c r="B425" i="1" s="1"/>
  <c r="C488" i="1"/>
  <c r="B488" i="1" s="1"/>
  <c r="C578" i="1"/>
  <c r="B578" i="1" s="1"/>
  <c r="C734" i="1"/>
  <c r="B734" i="1" s="1"/>
  <c r="C834" i="1"/>
  <c r="B834" i="1" s="1"/>
  <c r="C939" i="1"/>
  <c r="B939" i="1" s="1"/>
  <c r="C1099" i="1"/>
  <c r="B1099" i="1" s="1"/>
  <c r="C1151" i="1"/>
  <c r="B1151" i="1" s="1"/>
  <c r="C1238" i="1"/>
  <c r="B1238" i="1" s="1"/>
  <c r="C1316" i="1"/>
  <c r="B1316" i="1" s="1"/>
  <c r="C65" i="1"/>
  <c r="B65" i="1" s="1"/>
  <c r="C328" i="1"/>
  <c r="B328" i="1" s="1"/>
  <c r="C619" i="1"/>
  <c r="B619" i="1" s="1"/>
  <c r="C1039" i="1"/>
  <c r="B1039" i="1" s="1"/>
  <c r="C1160" i="1"/>
  <c r="B1160" i="1" s="1"/>
  <c r="C271" i="1"/>
  <c r="B271" i="1" s="1"/>
  <c r="C828" i="1"/>
  <c r="B828" i="1" s="1"/>
  <c r="C1235" i="1"/>
  <c r="B1235" i="1" s="1"/>
  <c r="C1370" i="1"/>
  <c r="B1370" i="1" s="1"/>
  <c r="C330" i="1"/>
  <c r="B330" i="1" s="1"/>
  <c r="C307" i="1"/>
  <c r="B307" i="1" s="1"/>
  <c r="C407" i="1"/>
  <c r="B407" i="1" s="1"/>
  <c r="C360" i="1"/>
  <c r="B360" i="1" s="1"/>
  <c r="C477" i="1"/>
  <c r="B477" i="1" s="1"/>
  <c r="C530" i="1"/>
  <c r="B530" i="1" s="1"/>
  <c r="C621" i="1"/>
  <c r="B621" i="1" s="1"/>
  <c r="C747" i="1"/>
  <c r="B747" i="1" s="1"/>
  <c r="C915" i="1"/>
  <c r="B915" i="1" s="1"/>
  <c r="C888" i="1"/>
  <c r="B888" i="1" s="1"/>
  <c r="C1037" i="1"/>
  <c r="B1037" i="1" s="1"/>
  <c r="C955" i="1"/>
  <c r="B955" i="1" s="1"/>
  <c r="C1142" i="1"/>
  <c r="B1142" i="1" s="1"/>
  <c r="C1232" i="1"/>
  <c r="B1232" i="1" s="1"/>
  <c r="C1294" i="1"/>
  <c r="B1294" i="1" s="1"/>
  <c r="C66" i="1"/>
  <c r="B66" i="1" s="1"/>
  <c r="C270" i="1"/>
  <c r="B270" i="1" s="1"/>
  <c r="C397" i="1"/>
  <c r="B397" i="1" s="1"/>
  <c r="C478" i="1"/>
  <c r="B478" i="1" s="1"/>
  <c r="C537" i="1"/>
  <c r="B537" i="1" s="1"/>
  <c r="C695" i="1"/>
  <c r="B695" i="1" s="1"/>
  <c r="C824" i="1"/>
  <c r="B824" i="1" s="1"/>
  <c r="C938" i="1"/>
  <c r="B938" i="1" s="1"/>
  <c r="C948" i="1"/>
  <c r="B948" i="1" s="1"/>
  <c r="C1147" i="1"/>
  <c r="B1147" i="1" s="1"/>
  <c r="C1177" i="1"/>
  <c r="B1177" i="1" s="1"/>
  <c r="C1311" i="1"/>
  <c r="B1311" i="1" s="1"/>
  <c r="C269" i="1"/>
  <c r="B269" i="1" s="1"/>
  <c r="C382" i="1"/>
  <c r="B382" i="1" s="1"/>
  <c r="C528" i="1"/>
  <c r="B528" i="1" s="1"/>
  <c r="C531" i="1"/>
  <c r="B531" i="1" s="1"/>
  <c r="C622" i="1"/>
  <c r="B622" i="1" s="1"/>
  <c r="C752" i="1"/>
  <c r="B752" i="1" s="1"/>
  <c r="C934" i="1"/>
  <c r="B934" i="1" s="1"/>
  <c r="C1045" i="1"/>
  <c r="B1045" i="1" s="1"/>
  <c r="C1233" i="1"/>
  <c r="B1233" i="1" s="1"/>
  <c r="C1312" i="1"/>
  <c r="B1312" i="1" s="1"/>
  <c r="C138" i="1"/>
  <c r="B138" i="1" s="1"/>
  <c r="C192" i="1"/>
  <c r="B192" i="1" s="1"/>
  <c r="C193" i="1"/>
  <c r="B193" i="1" s="1"/>
  <c r="C829" i="1"/>
  <c r="B829" i="1" s="1"/>
  <c r="C325" i="1"/>
  <c r="B325" i="1" s="1"/>
  <c r="C423" i="1"/>
  <c r="B423" i="1" s="1"/>
  <c r="C830" i="1"/>
  <c r="B830" i="1" s="1"/>
  <c r="C481" i="1"/>
  <c r="B481" i="1" s="1"/>
  <c r="C526" i="1"/>
  <c r="B526" i="1" s="1"/>
  <c r="C831" i="1"/>
  <c r="B831" i="1" s="1"/>
  <c r="C577" i="1"/>
  <c r="B577" i="1" s="1"/>
  <c r="C614" i="1"/>
  <c r="B614" i="1" s="1"/>
  <c r="C832" i="1"/>
  <c r="B832" i="1" s="1"/>
  <c r="C741" i="1"/>
  <c r="B741" i="1" s="1"/>
  <c r="C833" i="1"/>
  <c r="B833" i="1" s="1"/>
  <c r="C842" i="1"/>
  <c r="B842" i="1" s="1"/>
  <c r="C844" i="1"/>
  <c r="B844" i="1" s="1"/>
  <c r="C946" i="1"/>
  <c r="B946" i="1" s="1"/>
  <c r="C1077" i="1"/>
  <c r="B1077" i="1" s="1"/>
  <c r="C1159" i="1"/>
  <c r="B1159" i="1" s="1"/>
  <c r="C1245" i="1"/>
  <c r="B1245" i="1" s="1"/>
  <c r="C1315" i="1"/>
  <c r="B1315" i="1" s="1"/>
  <c r="C1322" i="1"/>
  <c r="B1322" i="1" s="1"/>
  <c r="C1367" i="1"/>
  <c r="B1367" i="1" s="1"/>
  <c r="C1369" i="1"/>
  <c r="B1369" i="1" s="1"/>
  <c r="C682" i="1"/>
  <c r="B682" i="1" s="1"/>
  <c r="C687" i="1"/>
  <c r="B687" i="1" s="1"/>
  <c r="C688" i="1"/>
  <c r="B688" i="1" s="1"/>
  <c r="C1104" i="1"/>
  <c r="B1104" i="1" s="1"/>
  <c r="C1114" i="1"/>
  <c r="B1114" i="1" s="1"/>
  <c r="C59" i="1"/>
  <c r="B59" i="1" s="1"/>
  <c r="C1421" i="1"/>
  <c r="B1421" i="1" s="1"/>
  <c r="C77" i="1"/>
  <c r="B77" i="1" s="1"/>
  <c r="C87" i="1"/>
  <c r="B87" i="1" s="1"/>
  <c r="C153" i="1"/>
  <c r="B153" i="1" s="1"/>
  <c r="C164" i="1"/>
  <c r="B164" i="1" s="1"/>
  <c r="C178" i="1"/>
  <c r="B178" i="1" s="1"/>
  <c r="C206" i="1"/>
  <c r="B206" i="1" s="1"/>
  <c r="C212" i="1"/>
  <c r="B212" i="1" s="1"/>
  <c r="C214" i="1"/>
  <c r="B214" i="1" s="1"/>
  <c r="C217" i="1"/>
  <c r="B217" i="1" s="1"/>
  <c r="C235" i="1"/>
  <c r="B235" i="1" s="1"/>
  <c r="C301" i="1"/>
  <c r="B301" i="1" s="1"/>
  <c r="C340" i="1"/>
  <c r="B340" i="1" s="1"/>
  <c r="C347" i="1"/>
  <c r="B347" i="1" s="1"/>
  <c r="C376" i="1"/>
  <c r="B376" i="1" s="1"/>
  <c r="C430" i="1"/>
  <c r="B430" i="1" s="1"/>
  <c r="C476" i="1"/>
  <c r="B476" i="1" s="1"/>
  <c r="C519" i="1"/>
  <c r="B519" i="1" s="1"/>
  <c r="C559" i="1"/>
  <c r="B559" i="1" s="1"/>
  <c r="C637" i="1"/>
  <c r="B637" i="1" s="1"/>
  <c r="C640" i="1"/>
  <c r="B640" i="1" s="1"/>
  <c r="C702" i="1"/>
  <c r="B702" i="1" s="1"/>
  <c r="C715" i="1"/>
  <c r="B715" i="1" s="1"/>
  <c r="C730" i="1"/>
  <c r="B730" i="1" s="1"/>
  <c r="C749" i="1"/>
  <c r="B749" i="1" s="1"/>
  <c r="C789" i="1"/>
  <c r="B789" i="1" s="1"/>
  <c r="C805" i="1"/>
  <c r="B805" i="1" s="1"/>
  <c r="C811" i="1"/>
  <c r="B811" i="1" s="1"/>
  <c r="C876" i="1"/>
  <c r="B876" i="1" s="1"/>
  <c r="C921" i="1"/>
  <c r="B921" i="1" s="1"/>
  <c r="C997" i="1"/>
  <c r="B997" i="1" s="1"/>
  <c r="C1022" i="1"/>
  <c r="B1022" i="1" s="1"/>
  <c r="C1057" i="1"/>
  <c r="B1057" i="1" s="1"/>
  <c r="C1059" i="1"/>
  <c r="B1059" i="1" s="1"/>
  <c r="C1060" i="1"/>
  <c r="B1060" i="1" s="1"/>
  <c r="C1090" i="1"/>
  <c r="B1090" i="1" s="1"/>
  <c r="C1182" i="1"/>
  <c r="B1182" i="1" s="1"/>
  <c r="C1283" i="1"/>
  <c r="B1283" i="1" s="1"/>
  <c r="C1296" i="1"/>
  <c r="B1296" i="1" s="1"/>
  <c r="C1324" i="1"/>
  <c r="B1324" i="1" s="1"/>
  <c r="C1325" i="1"/>
  <c r="B1325" i="1" s="1"/>
  <c r="C1361" i="1"/>
  <c r="C1358" i="1"/>
  <c r="B1358" i="1" s="1"/>
  <c r="C565" i="1"/>
  <c r="B565" i="1" s="1"/>
  <c r="C1355" i="1"/>
  <c r="B1355" i="1" s="1"/>
  <c r="C1339" i="1"/>
  <c r="B1339" i="1" s="1"/>
  <c r="C1351" i="1"/>
  <c r="B1351" i="1" s="1"/>
  <c r="C1179" i="1"/>
  <c r="B1179" i="1" s="1"/>
  <c r="C120" i="1"/>
  <c r="B120" i="1" s="1"/>
  <c r="C239" i="1"/>
  <c r="B239" i="1" s="1"/>
  <c r="C593" i="1"/>
  <c r="B593" i="1" s="1"/>
  <c r="C705" i="1"/>
  <c r="B705" i="1" s="1"/>
  <c r="C626" i="1"/>
  <c r="B626" i="1" s="1"/>
  <c r="C1212" i="1"/>
  <c r="B1212" i="1" s="1"/>
  <c r="C255" i="1"/>
  <c r="B255" i="1" s="1"/>
  <c r="C1188" i="1"/>
  <c r="B1188" i="1" s="1"/>
  <c r="C437" i="1"/>
  <c r="B437" i="1" s="1"/>
  <c r="C534" i="1"/>
  <c r="B534" i="1" s="1"/>
  <c r="C291" i="1"/>
  <c r="B291" i="1" s="1"/>
  <c r="C567" i="1"/>
  <c r="B567" i="1" s="1"/>
  <c r="C950" i="1"/>
  <c r="B950" i="1" s="1"/>
  <c r="C1097" i="1"/>
  <c r="B1097" i="1" s="1"/>
  <c r="C1364" i="1"/>
  <c r="B1364" i="1" s="1"/>
  <c r="C798" i="1"/>
  <c r="B798" i="1" s="1"/>
  <c r="C881" i="1"/>
  <c r="B881" i="1" s="1"/>
  <c r="C900" i="1"/>
  <c r="B900" i="1" s="1"/>
  <c r="C1074" i="1"/>
  <c r="B1074" i="1" s="1"/>
  <c r="C111" i="1"/>
  <c r="B111" i="1" s="1"/>
  <c r="C208" i="1"/>
  <c r="B208" i="1" s="1"/>
  <c r="C236" i="1"/>
  <c r="B236" i="1" s="1"/>
  <c r="C257" i="1"/>
  <c r="B257" i="1" s="1"/>
  <c r="C394" i="1"/>
  <c r="B394" i="1" s="1"/>
  <c r="C563" i="1"/>
  <c r="B563" i="1" s="1"/>
  <c r="C557" i="1"/>
  <c r="B557" i="1" s="1"/>
  <c r="C575" i="1"/>
  <c r="B575" i="1" s="1"/>
  <c r="C635" i="1"/>
  <c r="B635" i="1" s="1"/>
  <c r="C663" i="1"/>
  <c r="B663" i="1" s="1"/>
  <c r="C689" i="1"/>
  <c r="B689" i="1" s="1"/>
  <c r="C765" i="1"/>
  <c r="B765" i="1" s="1"/>
  <c r="C847" i="1"/>
  <c r="B847" i="1" s="1"/>
  <c r="C857" i="1"/>
  <c r="B857" i="1" s="1"/>
  <c r="C880" i="1"/>
  <c r="B880" i="1" s="1"/>
  <c r="C965" i="1"/>
  <c r="B965" i="1" s="1"/>
  <c r="C975" i="1"/>
  <c r="B975" i="1" s="1"/>
  <c r="C981" i="1"/>
  <c r="B981" i="1" s="1"/>
  <c r="C1224" i="1"/>
  <c r="B1224" i="1" s="1"/>
  <c r="C1265" i="1"/>
  <c r="B1265" i="1" s="1"/>
  <c r="C1289" i="1"/>
  <c r="B1289" i="1" s="1"/>
  <c r="C1350" i="1"/>
  <c r="B1350" i="1" s="1"/>
  <c r="C486" i="1"/>
  <c r="B486" i="1" s="1"/>
  <c r="C96" i="1"/>
  <c r="B96" i="1" s="1"/>
  <c r="C126" i="1"/>
  <c r="B126" i="1" s="1"/>
  <c r="C228" i="1"/>
  <c r="B228" i="1" s="1"/>
  <c r="C276" i="1"/>
  <c r="B276" i="1" s="1"/>
  <c r="C332" i="1"/>
  <c r="B332" i="1" s="1"/>
  <c r="C381" i="1"/>
  <c r="B381" i="1" s="1"/>
  <c r="C449" i="1"/>
  <c r="B449" i="1" s="1"/>
  <c r="C544" i="1"/>
  <c r="B544" i="1" s="1"/>
  <c r="C613" i="1"/>
  <c r="B613" i="1" s="1"/>
  <c r="C781" i="1"/>
  <c r="B781" i="1" s="1"/>
  <c r="C879" i="1"/>
  <c r="B879" i="1" s="1"/>
  <c r="C961" i="1"/>
  <c r="B961" i="1" s="1"/>
  <c r="C1072" i="1"/>
  <c r="B1072" i="1" s="1"/>
  <c r="C1117" i="1"/>
  <c r="B1117" i="1" s="1"/>
  <c r="C1162" i="1"/>
  <c r="B1162" i="1" s="1"/>
  <c r="C1167" i="1"/>
  <c r="B1167" i="1" s="1"/>
  <c r="C1168" i="1"/>
  <c r="B1168" i="1" s="1"/>
  <c r="C1264" i="1"/>
  <c r="B1264" i="1" s="1"/>
  <c r="C1332" i="1"/>
  <c r="B1332" i="1" s="1"/>
  <c r="C155" i="1"/>
  <c r="B155" i="1" s="1"/>
  <c r="C189" i="1"/>
  <c r="B189" i="1" s="1"/>
  <c r="C221" i="1"/>
  <c r="B221" i="1" s="1"/>
  <c r="C354" i="1"/>
  <c r="B354" i="1" s="1"/>
  <c r="C435" i="1"/>
  <c r="B435" i="1" s="1"/>
  <c r="C434" i="1"/>
  <c r="B434" i="1" s="1"/>
  <c r="C653" i="1"/>
  <c r="B653" i="1" s="1"/>
  <c r="C852" i="1"/>
  <c r="B852" i="1" s="1"/>
  <c r="C1018" i="1"/>
  <c r="B1018" i="1" s="1"/>
  <c r="C1091" i="1"/>
  <c r="B1091" i="1" s="1"/>
  <c r="C1228" i="1"/>
  <c r="B1228" i="1" s="1"/>
  <c r="C1260" i="1"/>
  <c r="B1260" i="1" s="1"/>
  <c r="C1267" i="1"/>
  <c r="B1267" i="1" s="1"/>
  <c r="C1338" i="1"/>
  <c r="B1338" i="1" s="1"/>
  <c r="C1108" i="1"/>
  <c r="B1108" i="1" s="1"/>
  <c r="C1174" i="1"/>
  <c r="B1174" i="1" s="1"/>
  <c r="C1176" i="1"/>
  <c r="B1176" i="1" s="1"/>
  <c r="C729" i="1"/>
  <c r="B729" i="1" s="1"/>
  <c r="C979" i="1"/>
  <c r="B979" i="1" s="1"/>
  <c r="C1178" i="1"/>
  <c r="B1178" i="1" s="1"/>
  <c r="C1306" i="1"/>
  <c r="B1306" i="1" s="1"/>
  <c r="C1349" i="1"/>
  <c r="B1349" i="1" s="1"/>
  <c r="C113" i="1"/>
  <c r="B113" i="1" s="1"/>
  <c r="C28" i="1"/>
  <c r="B28" i="1" s="1"/>
  <c r="C283" i="1"/>
  <c r="B283" i="1" s="1"/>
  <c r="C564" i="1"/>
  <c r="B564" i="1" s="1"/>
  <c r="C877" i="1"/>
  <c r="B877" i="1" s="1"/>
  <c r="C1038" i="1"/>
  <c r="B1038" i="1" s="1"/>
  <c r="C1054" i="1"/>
  <c r="B1054" i="1" s="1"/>
  <c r="C1348" i="1"/>
  <c r="B1348" i="1" s="1"/>
  <c r="C1347" i="1"/>
  <c r="B1347" i="1" s="1"/>
  <c r="C554" i="1"/>
  <c r="B554" i="1" s="1"/>
  <c r="C769" i="1"/>
  <c r="B769" i="1" s="1"/>
  <c r="C1019" i="1"/>
  <c r="B1019" i="1" s="1"/>
  <c r="C1353" i="1"/>
  <c r="B1353" i="1" s="1"/>
  <c r="C299" i="1"/>
  <c r="B299" i="1" s="1"/>
  <c r="C566" i="1"/>
  <c r="B566" i="1" s="1"/>
  <c r="C592" i="1"/>
  <c r="B592" i="1" s="1"/>
  <c r="C944" i="1"/>
  <c r="B944" i="1" s="1"/>
  <c r="C1096" i="1"/>
  <c r="B1096" i="1" s="1"/>
  <c r="C1103" i="1"/>
  <c r="B1103" i="1" s="1"/>
  <c r="C1363" i="1"/>
  <c r="B1363" i="1" s="1"/>
  <c r="C627" i="1"/>
  <c r="B627" i="1" s="1"/>
  <c r="C696" i="1"/>
  <c r="B696" i="1" s="1"/>
  <c r="C1213" i="1"/>
  <c r="B1213" i="1" s="1"/>
  <c r="C1254" i="1"/>
  <c r="B1254" i="1" s="1"/>
  <c r="C1187" i="1"/>
  <c r="B1187" i="1" s="1"/>
  <c r="C1227" i="1"/>
  <c r="B1227" i="1" s="1"/>
  <c r="C1269" i="1"/>
  <c r="B1269" i="1" s="1"/>
  <c r="C436" i="1"/>
  <c r="B436" i="1" s="1"/>
  <c r="C500" i="1"/>
  <c r="B500" i="1" s="1"/>
  <c r="C505" i="1"/>
  <c r="B505" i="1" s="1"/>
  <c r="C533" i="1"/>
  <c r="B533" i="1" s="1"/>
  <c r="C555" i="1"/>
  <c r="B555" i="1" s="1"/>
  <c r="C779" i="1"/>
  <c r="B779" i="1" s="1"/>
  <c r="C797" i="1"/>
  <c r="B797" i="1" s="1"/>
  <c r="C815" i="1"/>
  <c r="B815" i="1" s="1"/>
  <c r="C814" i="1"/>
  <c r="B814" i="1" s="1"/>
  <c r="C882" i="1"/>
  <c r="B882" i="1" s="1"/>
  <c r="C899" i="1"/>
  <c r="B899" i="1" s="1"/>
  <c r="C958" i="1"/>
  <c r="B958" i="1" s="1"/>
  <c r="C1004" i="1"/>
  <c r="B1004" i="1" s="1"/>
  <c r="C1073" i="1"/>
  <c r="B1073" i="1" s="1"/>
  <c r="C1229" i="1"/>
  <c r="B1229" i="1" s="1"/>
  <c r="C49" i="1"/>
  <c r="B49" i="1" s="1"/>
  <c r="C48" i="1"/>
  <c r="B48" i="1" s="1"/>
  <c r="C55" i="1"/>
  <c r="B55" i="1" s="1"/>
  <c r="C294" i="1"/>
  <c r="B294" i="1" s="1"/>
  <c r="C648" i="1"/>
  <c r="B648" i="1" s="1"/>
  <c r="C642" i="1"/>
  <c r="B642" i="1" s="1"/>
  <c r="C966" i="1"/>
  <c r="B966" i="1" s="1"/>
  <c r="C973" i="1"/>
  <c r="B973" i="1" s="1"/>
  <c r="C974" i="1"/>
  <c r="B974" i="1" s="1"/>
  <c r="C1003" i="1"/>
  <c r="B1003" i="1" s="1"/>
  <c r="C1061" i="1"/>
  <c r="B1061" i="1" s="1"/>
  <c r="C1344" i="1"/>
  <c r="B1344" i="1" s="1"/>
  <c r="C14" i="1"/>
  <c r="B14" i="1" s="1"/>
  <c r="C356" i="1"/>
  <c r="B356" i="1" s="1"/>
  <c r="C700" i="1"/>
  <c r="B700" i="1" s="1"/>
  <c r="C969" i="1"/>
  <c r="B969" i="1" s="1"/>
  <c r="C1191" i="1"/>
  <c r="B1191" i="1" s="1"/>
  <c r="C1248" i="1"/>
  <c r="B1248" i="1" s="1"/>
  <c r="C507" i="1"/>
  <c r="B507" i="1" s="1"/>
  <c r="C587" i="1"/>
  <c r="B587" i="1" s="1"/>
  <c r="C1334" i="1"/>
  <c r="B1334" i="1" s="1"/>
  <c r="C22" i="1"/>
  <c r="B22" i="1" s="1"/>
  <c r="C31" i="1"/>
  <c r="B31" i="1" s="1"/>
  <c r="C100" i="1"/>
  <c r="B100" i="1" s="1"/>
  <c r="C119" i="1"/>
  <c r="B119" i="1" s="1"/>
  <c r="C168" i="1"/>
  <c r="B168" i="1" s="1"/>
  <c r="C172" i="1"/>
  <c r="B172" i="1" s="1"/>
  <c r="C377" i="1"/>
  <c r="B377" i="1" s="1"/>
  <c r="C385" i="1"/>
  <c r="B385" i="1" s="1"/>
  <c r="C395" i="1"/>
  <c r="B395" i="1" s="1"/>
  <c r="C445" i="1"/>
  <c r="B445" i="1" s="1"/>
  <c r="C466" i="1"/>
  <c r="B466" i="1" s="1"/>
  <c r="C571" i="1"/>
  <c r="B571" i="1" s="1"/>
  <c r="C638" i="1"/>
  <c r="B638" i="1" s="1"/>
  <c r="C704" i="1"/>
  <c r="B704" i="1" s="1"/>
  <c r="C802" i="1"/>
  <c r="B802" i="1" s="1"/>
  <c r="C846" i="1"/>
  <c r="B846" i="1" s="1"/>
  <c r="C599" i="1"/>
  <c r="B599" i="1" s="1"/>
  <c r="C962" i="1"/>
  <c r="B962" i="1" s="1"/>
  <c r="C1290" i="1"/>
  <c r="B1290" i="1" s="1"/>
  <c r="C1337" i="1"/>
  <c r="B1337" i="1" s="1"/>
  <c r="C158" i="1"/>
  <c r="B158" i="1" s="1"/>
  <c r="C336" i="1"/>
  <c r="B336" i="1" s="1"/>
  <c r="C585" i="1"/>
  <c r="B585" i="1" s="1"/>
  <c r="C957" i="1"/>
  <c r="B957" i="1" s="1"/>
  <c r="C1195" i="1"/>
  <c r="B1195" i="1" s="1"/>
  <c r="C352" i="1"/>
  <c r="B352" i="1" s="1"/>
  <c r="C509" i="1"/>
  <c r="B509" i="1" s="1"/>
  <c r="C24" i="1"/>
  <c r="B24" i="1" s="1"/>
  <c r="C69" i="1"/>
  <c r="B69" i="1" s="1"/>
  <c r="C108" i="1"/>
  <c r="B108" i="1" s="1"/>
  <c r="C167" i="1"/>
  <c r="B167" i="1" s="1"/>
  <c r="C194" i="1"/>
  <c r="B194" i="1" s="1"/>
  <c r="C250" i="1"/>
  <c r="B250" i="1" s="1"/>
  <c r="C295" i="1"/>
  <c r="B295" i="1" s="1"/>
  <c r="C333" i="1"/>
  <c r="B333" i="1" s="1"/>
  <c r="C402" i="1"/>
  <c r="B402" i="1" s="1"/>
  <c r="C426" i="1"/>
  <c r="B426" i="1" s="1"/>
  <c r="C451" i="1"/>
  <c r="B451" i="1" s="1"/>
  <c r="C549" i="1"/>
  <c r="B549" i="1" s="1"/>
  <c r="C633" i="1"/>
  <c r="B633" i="1" s="1"/>
  <c r="C651" i="1"/>
  <c r="B651" i="1" s="1"/>
  <c r="C674" i="1"/>
  <c r="B674" i="1" s="1"/>
  <c r="C673" i="1"/>
  <c r="B673" i="1" s="1"/>
  <c r="C699" i="1"/>
  <c r="B699" i="1" s="1"/>
  <c r="C788" i="1"/>
  <c r="B788" i="1" s="1"/>
  <c r="C800" i="1"/>
  <c r="B800" i="1" s="1"/>
  <c r="C851" i="1"/>
  <c r="B851" i="1" s="1"/>
  <c r="C850" i="1"/>
  <c r="B850" i="1" s="1"/>
  <c r="C856" i="1"/>
  <c r="B856" i="1" s="1"/>
  <c r="C875" i="1"/>
  <c r="B875" i="1" s="1"/>
  <c r="C989" i="1"/>
  <c r="B989" i="1" s="1"/>
  <c r="C990" i="1"/>
  <c r="B990" i="1" s="1"/>
  <c r="C988" i="1"/>
  <c r="B988" i="1" s="1"/>
  <c r="C1010" i="1"/>
  <c r="B1010" i="1" s="1"/>
  <c r="C1008" i="1"/>
  <c r="B1008" i="1" s="1"/>
  <c r="C1021" i="1"/>
  <c r="B1021" i="1" s="1"/>
  <c r="C1079" i="1"/>
  <c r="B1079" i="1" s="1"/>
  <c r="C1145" i="1"/>
  <c r="B1145" i="1" s="1"/>
  <c r="C1194" i="1"/>
  <c r="B1194" i="1" s="1"/>
  <c r="C1282" i="1"/>
  <c r="B1282" i="1" s="1"/>
  <c r="C1308" i="1"/>
  <c r="B1308" i="1" s="1"/>
  <c r="C1323" i="1"/>
  <c r="B1323" i="1" s="1"/>
  <c r="C1330" i="1"/>
  <c r="B1330" i="1" s="1"/>
  <c r="C1328" i="1"/>
  <c r="B1328" i="1" s="1"/>
  <c r="C335" i="1"/>
  <c r="B335" i="1" s="1"/>
  <c r="C337" i="1"/>
  <c r="B337" i="1" s="1"/>
  <c r="C180" i="1"/>
  <c r="B180" i="1" s="1"/>
  <c r="C403" i="1"/>
  <c r="B403" i="1" s="1"/>
  <c r="C589" i="1"/>
  <c r="B589" i="1" s="1"/>
  <c r="C697" i="1"/>
  <c r="B697" i="1" s="1"/>
  <c r="C895" i="1"/>
  <c r="B895" i="1" s="1"/>
  <c r="C1094" i="1"/>
  <c r="B1094" i="1" s="1"/>
  <c r="C1329" i="1"/>
  <c r="B1329" i="1" s="1"/>
  <c r="C71" i="1"/>
  <c r="B71" i="1" s="1"/>
  <c r="C85" i="1"/>
  <c r="B85" i="1" s="1"/>
  <c r="C90" i="1"/>
  <c r="B90" i="1" s="1"/>
  <c r="C89" i="1"/>
  <c r="B89" i="1" s="1"/>
  <c r="C118" i="1"/>
  <c r="B118" i="1" s="1"/>
  <c r="C160" i="1"/>
  <c r="B160" i="1" s="1"/>
  <c r="C209" i="1"/>
  <c r="B209" i="1" s="1"/>
  <c r="C223" i="1"/>
  <c r="B223" i="1" s="1"/>
  <c r="C306" i="1"/>
  <c r="B306" i="1" s="1"/>
  <c r="C432" i="1"/>
  <c r="B432" i="1" s="1"/>
  <c r="C727" i="1"/>
  <c r="B727" i="1" s="1"/>
  <c r="C751" i="1"/>
  <c r="B751" i="1" s="1"/>
  <c r="C750" i="1"/>
  <c r="B750" i="1" s="1"/>
  <c r="C803" i="1"/>
  <c r="B803" i="1" s="1"/>
  <c r="C823" i="1"/>
  <c r="B823" i="1" s="1"/>
  <c r="C871" i="1"/>
  <c r="B871" i="1" s="1"/>
  <c r="C1120" i="1"/>
  <c r="B1120" i="1" s="1"/>
  <c r="C1198" i="1"/>
  <c r="B1198" i="1" s="1"/>
  <c r="C1220" i="1"/>
  <c r="B1220" i="1" s="1"/>
  <c r="C1257" i="1"/>
  <c r="B1257" i="1" s="1"/>
  <c r="C1359" i="1"/>
  <c r="B1359" i="1" s="1"/>
  <c r="C1373" i="1"/>
  <c r="B1373" i="1" s="1"/>
  <c r="C9" i="1"/>
  <c r="B9" i="1" s="1"/>
  <c r="C10" i="1"/>
  <c r="B10" i="1" s="1"/>
  <c r="C251" i="1"/>
  <c r="B251" i="1" s="1"/>
  <c r="C256" i="1"/>
  <c r="B256" i="1" s="1"/>
  <c r="C4" i="1"/>
  <c r="B4" i="1" s="1"/>
  <c r="C30" i="1"/>
  <c r="B30" i="1" s="1"/>
  <c r="C33" i="1"/>
  <c r="B33" i="1" s="1"/>
  <c r="C40" i="1"/>
  <c r="B40" i="1" s="1"/>
  <c r="C152" i="1"/>
  <c r="B152" i="1" s="1"/>
  <c r="C190" i="1"/>
  <c r="B190" i="1" s="1"/>
  <c r="C213" i="1"/>
  <c r="B213" i="1" s="1"/>
  <c r="C240" i="1"/>
  <c r="B240" i="1" s="1"/>
  <c r="C243" i="1"/>
  <c r="B243" i="1" s="1"/>
  <c r="C298" i="1"/>
  <c r="B298" i="1" s="1"/>
  <c r="C391" i="1"/>
  <c r="B391" i="1" s="1"/>
  <c r="C429" i="1"/>
  <c r="B429" i="1" s="1"/>
  <c r="C582" i="1"/>
  <c r="B582" i="1" s="1"/>
  <c r="C650" i="1"/>
  <c r="B650" i="1" s="1"/>
  <c r="C680" i="1"/>
  <c r="B680" i="1" s="1"/>
  <c r="C710" i="1"/>
  <c r="B710" i="1" s="1"/>
  <c r="C855" i="1"/>
  <c r="B855" i="1" s="1"/>
  <c r="C872" i="1"/>
  <c r="B872" i="1" s="1"/>
  <c r="C894" i="1"/>
  <c r="B894" i="1" s="1"/>
  <c r="C1001" i="1"/>
  <c r="B1001" i="1" s="1"/>
  <c r="C1028" i="1"/>
  <c r="B1028" i="1" s="1"/>
  <c r="C1113" i="1"/>
  <c r="B1113" i="1" s="1"/>
  <c r="C1189" i="1"/>
  <c r="B1189" i="1" s="1"/>
  <c r="C1221" i="1"/>
  <c r="B1221" i="1" s="1"/>
  <c r="C1298" i="1"/>
  <c r="B1298" i="1" s="1"/>
  <c r="C1288" i="1"/>
  <c r="B1288" i="1" s="1"/>
  <c r="C1297" i="1"/>
  <c r="B1297" i="1" s="1"/>
  <c r="C1305" i="1"/>
  <c r="B1305" i="1" s="1"/>
  <c r="C204" i="1"/>
  <c r="B204" i="1" s="1"/>
  <c r="C1053" i="1"/>
  <c r="B1053" i="1" s="1"/>
  <c r="C1049" i="1"/>
  <c r="B1049" i="1" s="1"/>
  <c r="C284" i="1"/>
  <c r="B284" i="1" s="1"/>
  <c r="C362" i="1"/>
  <c r="B362" i="1" s="1"/>
  <c r="C474" i="1"/>
  <c r="B474" i="1" s="1"/>
  <c r="C623" i="1"/>
  <c r="B623" i="1" s="1"/>
  <c r="C677" i="1"/>
  <c r="B677" i="1" s="1"/>
  <c r="C678" i="1"/>
  <c r="B678" i="1" s="1"/>
  <c r="C679" i="1"/>
  <c r="B679" i="1" s="1"/>
  <c r="C1230" i="1"/>
  <c r="B1230" i="1" s="1"/>
  <c r="C552" i="1"/>
  <c r="B552" i="1" s="1"/>
  <c r="C624" i="1"/>
  <c r="B624" i="1" s="1"/>
  <c r="C743" i="1"/>
  <c r="B743" i="1" s="1"/>
  <c r="C443" i="1"/>
  <c r="B443" i="1" s="1"/>
  <c r="C302" i="1"/>
  <c r="B302" i="1" s="1"/>
  <c r="C405" i="1"/>
  <c r="B405" i="1" s="1"/>
  <c r="C455" i="1"/>
  <c r="B455" i="1" s="1"/>
  <c r="C520" i="1"/>
  <c r="B520" i="1" s="1"/>
  <c r="C780" i="1"/>
  <c r="B780" i="1" s="1"/>
  <c r="C791" i="1"/>
  <c r="B791" i="1" s="1"/>
  <c r="C661" i="1"/>
  <c r="B661" i="1" s="1"/>
  <c r="C656" i="1"/>
  <c r="B656" i="1" s="1"/>
  <c r="C808" i="1"/>
  <c r="B808" i="1" s="1"/>
  <c r="C898" i="1"/>
  <c r="B898" i="1" s="1"/>
  <c r="C901" i="1"/>
  <c r="B901" i="1" s="1"/>
  <c r="C1063" i="1"/>
  <c r="B1063" i="1" s="1"/>
  <c r="C1181" i="1"/>
  <c r="B1181" i="1" s="1"/>
  <c r="C1285" i="1"/>
  <c r="B1285" i="1" s="1"/>
  <c r="C175" i="1"/>
  <c r="B175" i="1" s="1"/>
  <c r="C233" i="1"/>
  <c r="B233" i="1" s="1"/>
  <c r="C776" i="1"/>
  <c r="B776" i="1" s="1"/>
  <c r="C1354" i="1"/>
  <c r="B1354" i="1" s="1"/>
  <c r="C249" i="1"/>
  <c r="B249" i="1" s="1"/>
  <c r="C1280" i="1"/>
  <c r="B1280" i="1" s="1"/>
  <c r="C654" i="1"/>
  <c r="B654" i="1" s="1"/>
  <c r="C760" i="1"/>
  <c r="B760" i="1" s="1"/>
  <c r="C762" i="1"/>
  <c r="B762" i="1" s="1"/>
  <c r="C906" i="1"/>
  <c r="B906" i="1" s="1"/>
  <c r="C1031" i="1"/>
  <c r="B1031" i="1" s="1"/>
  <c r="C970" i="1"/>
  <c r="B970" i="1" s="1"/>
  <c r="C1020" i="1"/>
  <c r="B1020" i="1" s="1"/>
  <c r="C1118" i="1"/>
  <c r="B1118" i="1" s="1"/>
  <c r="C1375" i="1"/>
  <c r="B1375" i="1" s="1"/>
  <c r="C1356" i="1"/>
  <c r="B1356" i="1" s="1"/>
  <c r="B1275" i="1"/>
  <c r="C1400" i="1"/>
  <c r="B1400" i="1" s="1"/>
  <c r="C278" i="1"/>
  <c r="B278" i="1" s="1"/>
  <c r="C116" i="1"/>
  <c r="B116" i="1" s="1"/>
  <c r="C25" i="1"/>
  <c r="B25" i="1" s="1"/>
  <c r="C88" i="1"/>
  <c r="B88" i="1" s="1"/>
  <c r="C188" i="1"/>
  <c r="B188" i="1" s="1"/>
  <c r="C201" i="1"/>
  <c r="B201" i="1" s="1"/>
  <c r="C349" i="1"/>
  <c r="B349" i="1" s="1"/>
  <c r="C491" i="1"/>
  <c r="B491" i="1" s="1"/>
  <c r="C753" i="1"/>
  <c r="B753" i="1" s="1"/>
  <c r="C870" i="1"/>
  <c r="B870" i="1" s="1"/>
  <c r="C1009" i="1"/>
  <c r="B1009" i="1" s="1"/>
  <c r="C54" i="1"/>
  <c r="B54" i="1" s="1"/>
  <c r="C380" i="1"/>
  <c r="B380" i="1" s="1"/>
  <c r="C717" i="1"/>
  <c r="B717" i="1" s="1"/>
  <c r="C712" i="1"/>
  <c r="B712" i="1" s="1"/>
  <c r="C922" i="1"/>
  <c r="B922" i="1" s="1"/>
  <c r="C1002" i="1"/>
  <c r="B1002" i="1" s="1"/>
  <c r="C1062" i="1"/>
  <c r="B1062" i="1" s="1"/>
  <c r="C1086" i="1"/>
  <c r="B1086" i="1" s="1"/>
  <c r="C1277" i="1"/>
  <c r="B1277" i="1" s="1"/>
  <c r="C1336" i="1"/>
  <c r="B1336" i="1" s="1"/>
  <c r="C1258" i="1"/>
  <c r="B1258" i="1" s="1"/>
  <c r="C681" i="1"/>
  <c r="B681" i="1" s="1"/>
  <c r="C670" i="1"/>
  <c r="B670" i="1" s="1"/>
  <c r="C887" i="1"/>
  <c r="B887" i="1" s="1"/>
  <c r="C919" i="1"/>
  <c r="B919" i="1" s="1"/>
  <c r="C995" i="1"/>
  <c r="B995" i="1" s="1"/>
  <c r="C652" i="1"/>
  <c r="B652" i="1" s="1"/>
  <c r="C76" i="1"/>
  <c r="B76" i="1" s="1"/>
  <c r="C165" i="1"/>
  <c r="B165" i="1" s="1"/>
  <c r="C220" i="1"/>
  <c r="B220" i="1" s="1"/>
  <c r="C285" i="1"/>
  <c r="B285" i="1" s="1"/>
  <c r="C386" i="1"/>
  <c r="B386" i="1" s="1"/>
  <c r="C473" i="1"/>
  <c r="B473" i="1" s="1"/>
  <c r="C676" i="1"/>
  <c r="B676" i="1" s="1"/>
  <c r="C726" i="1"/>
  <c r="B726" i="1" s="1"/>
  <c r="C783" i="1"/>
  <c r="B783" i="1" s="1"/>
  <c r="C858" i="1"/>
  <c r="B858" i="1" s="1"/>
  <c r="C861" i="1"/>
  <c r="B861" i="1" s="1"/>
  <c r="C1052" i="1"/>
  <c r="B1052" i="1" s="1"/>
  <c r="C1362" i="1"/>
  <c r="B1362" i="1" s="1"/>
  <c r="C6" i="1"/>
  <c r="B6" i="1" s="1"/>
  <c r="C18" i="1"/>
  <c r="B18" i="1" s="1"/>
  <c r="C20" i="1"/>
  <c r="B20" i="1" s="1"/>
  <c r="C35" i="1"/>
  <c r="B35" i="1" s="1"/>
  <c r="C52" i="1"/>
  <c r="B52" i="1" s="1"/>
  <c r="C51" i="1"/>
  <c r="B51" i="1" s="1"/>
  <c r="C81" i="1"/>
  <c r="B81" i="1" s="1"/>
  <c r="C139" i="1"/>
  <c r="B139" i="1" s="1"/>
  <c r="C156" i="1"/>
  <c r="B156" i="1" s="1"/>
  <c r="C157" i="1"/>
  <c r="B157" i="1" s="1"/>
  <c r="C202" i="1"/>
  <c r="B202" i="1" s="1"/>
  <c r="C211" i="1"/>
  <c r="B211" i="1" s="1"/>
  <c r="C222" i="1"/>
  <c r="B222" i="1" s="1"/>
  <c r="C231" i="1"/>
  <c r="B231" i="1" s="1"/>
  <c r="C290" i="1"/>
  <c r="B290" i="1" s="1"/>
  <c r="C297" i="1"/>
  <c r="B297" i="1" s="1"/>
  <c r="C341" i="1"/>
  <c r="B341" i="1" s="1"/>
  <c r="C345" i="1"/>
  <c r="B345" i="1" s="1"/>
  <c r="C353" i="1"/>
  <c r="B353" i="1" s="1"/>
  <c r="C355" i="1"/>
  <c r="B355" i="1" s="1"/>
  <c r="C409" i="1"/>
  <c r="B409" i="1" s="1"/>
  <c r="C421" i="1"/>
  <c r="B421" i="1" s="1"/>
  <c r="C417" i="1"/>
  <c r="B417" i="1" s="1"/>
  <c r="C428" i="1"/>
  <c r="B428" i="1" s="1"/>
  <c r="C441" i="1"/>
  <c r="B441" i="1" s="1"/>
  <c r="C461" i="1"/>
  <c r="B461" i="1" s="1"/>
  <c r="C457" i="1"/>
  <c r="B457" i="1" s="1"/>
  <c r="C465" i="1"/>
  <c r="B465" i="1" s="1"/>
  <c r="C464" i="1"/>
  <c r="B464" i="1" s="1"/>
  <c r="C485" i="1"/>
  <c r="B485" i="1" s="1"/>
  <c r="C496" i="1"/>
  <c r="B496" i="1" s="1"/>
  <c r="C502" i="1"/>
  <c r="B502" i="1" s="1"/>
  <c r="C556" i="1"/>
  <c r="B556" i="1" s="1"/>
  <c r="C722" i="1"/>
  <c r="B722" i="1" s="1"/>
  <c r="C771" i="1"/>
  <c r="B771" i="1" s="1"/>
  <c r="C878" i="1"/>
  <c r="B878" i="1" s="1"/>
  <c r="C954" i="1"/>
  <c r="B954" i="1" s="1"/>
  <c r="C951" i="1"/>
  <c r="B951" i="1" s="1"/>
  <c r="C985" i="1"/>
  <c r="B985" i="1" s="1"/>
  <c r="C1058" i="1"/>
  <c r="B1058" i="1" s="1"/>
  <c r="C1088" i="1"/>
  <c r="B1088" i="1" s="1"/>
  <c r="C1190" i="1"/>
  <c r="B1190" i="1" s="1"/>
  <c r="C1215" i="1"/>
  <c r="B1215" i="1" s="1"/>
  <c r="C1211" i="1"/>
  <c r="B1211" i="1" s="1"/>
  <c r="C1252" i="1"/>
  <c r="B1252" i="1" s="1"/>
  <c r="C1249" i="1"/>
  <c r="B1249" i="1" s="1"/>
  <c r="C1256" i="1"/>
  <c r="B1256" i="1" s="1"/>
  <c r="C342" i="1"/>
  <c r="B342" i="1" s="1"/>
  <c r="C369" i="1"/>
  <c r="B369" i="1" s="1"/>
  <c r="C884" i="1"/>
  <c r="B884" i="1" s="1"/>
  <c r="C886" i="1"/>
  <c r="B886" i="1" s="1"/>
  <c r="C1065" i="1"/>
  <c r="B1065" i="1" s="1"/>
  <c r="C1287" i="1"/>
  <c r="B1287" i="1" s="1"/>
  <c r="C163" i="1"/>
  <c r="B163" i="1" s="1"/>
  <c r="C191" i="1"/>
  <c r="B191" i="1" s="1"/>
  <c r="C300" i="1"/>
  <c r="B300" i="1" s="1"/>
  <c r="C456" i="1"/>
  <c r="B456" i="1" s="1"/>
  <c r="C498" i="1"/>
  <c r="B498" i="1" s="1"/>
  <c r="C569" i="1"/>
  <c r="B569" i="1" s="1"/>
  <c r="C668" i="1"/>
  <c r="B668" i="1" s="1"/>
  <c r="C984" i="1"/>
  <c r="B984" i="1" s="1"/>
  <c r="C1196" i="1"/>
  <c r="B1196" i="1" s="1"/>
  <c r="C32" i="1"/>
  <c r="B32" i="1" s="1"/>
  <c r="C37" i="1"/>
  <c r="B37" i="1" s="1"/>
  <c r="C82" i="1"/>
  <c r="B82" i="1" s="1"/>
  <c r="C159" i="1"/>
  <c r="B159" i="1" s="1"/>
  <c r="C215" i="1"/>
  <c r="B215" i="1" s="1"/>
  <c r="C229" i="1"/>
  <c r="B229" i="1" s="1"/>
  <c r="C280" i="1"/>
  <c r="B280" i="1" s="1"/>
  <c r="C344" i="1"/>
  <c r="B344" i="1" s="1"/>
  <c r="C375" i="1"/>
  <c r="B375" i="1" s="1"/>
  <c r="C419" i="1"/>
  <c r="B419" i="1" s="1"/>
  <c r="C438" i="1"/>
  <c r="B438" i="1" s="1"/>
  <c r="C454" i="1"/>
  <c r="B454" i="1" s="1"/>
  <c r="C551" i="1"/>
  <c r="B551" i="1" s="1"/>
  <c r="C591" i="1"/>
  <c r="B591" i="1" s="1"/>
  <c r="C675" i="1"/>
  <c r="B675" i="1" s="1"/>
  <c r="C784" i="1"/>
  <c r="B784" i="1" s="1"/>
  <c r="C864" i="1"/>
  <c r="B864" i="1" s="1"/>
  <c r="C953" i="1"/>
  <c r="B953" i="1" s="1"/>
  <c r="C1017" i="1"/>
  <c r="B1017" i="1" s="1"/>
  <c r="C1069" i="1"/>
  <c r="B1069" i="1" s="1"/>
  <c r="C1171" i="1"/>
  <c r="B1171" i="1" s="1"/>
  <c r="C1192" i="1"/>
  <c r="B1192" i="1" s="1"/>
  <c r="C1272" i="1"/>
  <c r="B1272" i="1" s="1"/>
  <c r="C1253" i="1"/>
  <c r="B1253" i="1" s="1"/>
  <c r="C1250" i="1"/>
  <c r="B1250" i="1" s="1"/>
  <c r="C1393" i="1"/>
  <c r="B1393" i="1" s="1"/>
  <c r="C1388" i="1"/>
  <c r="B1388" i="1" s="1"/>
  <c r="C1391" i="1"/>
  <c r="B1391" i="1" s="1"/>
  <c r="C1390" i="1"/>
  <c r="B1390" i="1" s="1"/>
  <c r="C1392" i="1"/>
  <c r="B1392" i="1" s="1"/>
  <c r="C1389" i="1"/>
  <c r="B1389" i="1" s="1"/>
  <c r="C1247" i="1"/>
  <c r="B1247" i="1" s="1"/>
  <c r="C1246" i="1"/>
  <c r="B1246" i="1" s="1"/>
  <c r="C1226" i="1"/>
  <c r="B1226" i="1" s="1"/>
  <c r="C1209" i="1"/>
  <c r="B1209" i="1" s="1"/>
  <c r="C1205" i="1"/>
  <c r="B1205" i="1" s="1"/>
  <c r="C1414" i="1"/>
  <c r="B1414" i="1" s="1"/>
  <c r="C1413" i="1"/>
  <c r="B1413" i="1" s="1"/>
  <c r="C1416" i="1"/>
  <c r="B1416" i="1" s="1"/>
  <c r="C666" i="1"/>
  <c r="B666" i="1" s="1"/>
  <c r="D1014" i="1"/>
  <c r="D5" i="1"/>
  <c r="D39" i="1"/>
  <c r="D41" i="1"/>
  <c r="D286" i="1"/>
  <c r="D287" i="1"/>
  <c r="D383" i="1"/>
  <c r="D547" i="1"/>
  <c r="D660" i="1"/>
  <c r="D913" i="1"/>
  <c r="D1175" i="1"/>
  <c r="D1201" i="1"/>
  <c r="D909" i="1"/>
  <c r="D908" i="1"/>
  <c r="D905" i="1"/>
  <c r="D470" i="1"/>
  <c r="D467" i="1"/>
  <c r="D793" i="1"/>
  <c r="D358" i="1"/>
  <c r="D38" i="1"/>
  <c r="D543" i="1"/>
  <c r="D545" i="1"/>
  <c r="D903" i="1"/>
  <c r="D925" i="1"/>
  <c r="D1210" i="1"/>
  <c r="D17" i="1"/>
  <c r="D149" i="1"/>
  <c r="D183" i="1"/>
  <c r="D427" i="1"/>
  <c r="D483" i="1"/>
  <c r="D605" i="1"/>
  <c r="D767" i="1"/>
  <c r="D865" i="1"/>
  <c r="D980" i="1"/>
  <c r="D1110" i="1"/>
  <c r="D1202" i="1"/>
  <c r="D26" i="1"/>
  <c r="D50" i="1"/>
  <c r="D57" i="1"/>
  <c r="D142" i="1"/>
  <c r="D1153" i="1"/>
  <c r="D1105" i="1"/>
  <c r="D1106" i="1"/>
  <c r="D1357" i="1"/>
  <c r="D1368" i="1"/>
  <c r="D121" i="1"/>
  <c r="D122" i="1"/>
  <c r="D124" i="1"/>
  <c r="D123" i="1"/>
  <c r="D125" i="1"/>
  <c r="D468" i="1"/>
  <c r="D568" i="1"/>
  <c r="D598" i="1"/>
  <c r="D595" i="1"/>
  <c r="D596" i="1"/>
  <c r="D636" i="1"/>
  <c r="D641" i="1"/>
  <c r="D667" i="1"/>
  <c r="D719" i="1"/>
  <c r="D718" i="1"/>
  <c r="D720" i="1"/>
  <c r="D721" i="1"/>
  <c r="D725" i="1"/>
  <c r="D731" i="1"/>
  <c r="D799" i="1"/>
  <c r="D817" i="1"/>
  <c r="D819" i="1"/>
  <c r="D820" i="1"/>
  <c r="D818" i="1"/>
  <c r="D816" i="1"/>
  <c r="D822" i="1"/>
  <c r="D916" i="1"/>
  <c r="D923" i="1"/>
  <c r="D929" i="1"/>
  <c r="D928" i="1"/>
  <c r="D927" i="1"/>
  <c r="D930" i="1"/>
  <c r="D931" i="1"/>
  <c r="D933" i="1"/>
  <c r="D963" i="1"/>
  <c r="D999" i="1"/>
  <c r="D1005" i="1"/>
  <c r="D1026" i="1"/>
  <c r="D1024" i="1"/>
  <c r="D1030" i="1"/>
  <c r="D1029" i="1"/>
  <c r="D1025" i="1"/>
  <c r="D1032" i="1"/>
  <c r="D1055" i="1"/>
  <c r="D1115" i="1"/>
  <c r="D1137" i="1"/>
  <c r="D1136" i="1"/>
  <c r="D1140" i="1"/>
  <c r="D1138" i="1"/>
  <c r="D1139" i="1"/>
  <c r="D1141" i="1"/>
  <c r="D1300" i="1"/>
  <c r="D1301" i="1"/>
  <c r="D1303" i="1"/>
  <c r="D1302" i="1"/>
  <c r="D1307" i="1"/>
  <c r="D1304" i="1"/>
  <c r="D706" i="1"/>
  <c r="D410" i="1"/>
  <c r="D1011" i="1"/>
  <c r="D331" i="1"/>
  <c r="D1217" i="1"/>
  <c r="D1299" i="1"/>
  <c r="D42" i="1"/>
  <c r="D1149" i="1"/>
  <c r="D1273" i="1"/>
  <c r="D703" i="1"/>
  <c r="D737" i="1"/>
  <c r="D848" i="1"/>
  <c r="D15" i="1"/>
  <c r="D63" i="1"/>
  <c r="D72" i="1"/>
  <c r="D1135" i="1"/>
  <c r="D1166" i="1"/>
  <c r="D303" i="1"/>
  <c r="D1100" i="1"/>
  <c r="D501" i="1"/>
  <c r="D1098" i="1"/>
  <c r="D105" i="1"/>
  <c r="D170" i="1"/>
  <c r="D796" i="1"/>
  <c r="D993" i="1"/>
  <c r="D604" i="1"/>
  <c r="D80" i="1"/>
  <c r="D97" i="1"/>
  <c r="D127" i="1"/>
  <c r="D227" i="1"/>
  <c r="D275" i="1"/>
  <c r="D1122" i="1"/>
  <c r="D1163" i="1"/>
  <c r="D1261" i="1"/>
  <c r="D1331" i="1"/>
  <c r="D691" i="1"/>
  <c r="D732" i="1"/>
  <c r="D64" i="1"/>
  <c r="D132" i="1"/>
  <c r="D472" i="1"/>
  <c r="D471" i="1"/>
  <c r="D475" i="1"/>
  <c r="D576" i="1"/>
  <c r="D631" i="1"/>
  <c r="D669" i="1"/>
  <c r="D1084" i="1"/>
  <c r="D1085" i="1"/>
  <c r="D259" i="1"/>
  <c r="D312" i="1"/>
  <c r="D396" i="1"/>
  <c r="D515" i="1"/>
  <c r="D601" i="1"/>
  <c r="D462" i="1"/>
  <c r="D584" i="1"/>
  <c r="D260" i="1"/>
  <c r="D313" i="1"/>
  <c r="D404" i="1"/>
  <c r="D516" i="1"/>
  <c r="D602" i="1"/>
  <c r="D103" i="1"/>
  <c r="D147" i="1"/>
  <c r="D173" i="1"/>
  <c r="D176" i="1"/>
  <c r="D205" i="1"/>
  <c r="D216" i="1"/>
  <c r="D226" i="1"/>
  <c r="D258" i="1"/>
  <c r="D277" i="1"/>
  <c r="D296" i="1"/>
  <c r="D308" i="1"/>
  <c r="D334" i="1"/>
  <c r="D351" i="1"/>
  <c r="D361" i="1"/>
  <c r="D379" i="1"/>
  <c r="D392" i="1"/>
  <c r="D399" i="1"/>
  <c r="D433" i="1"/>
  <c r="D453" i="1"/>
  <c r="D497" i="1"/>
  <c r="D546" i="1"/>
  <c r="D574" i="1"/>
  <c r="D588" i="1"/>
  <c r="D632" i="1"/>
  <c r="D643" i="1"/>
  <c r="D664" i="1"/>
  <c r="D709" i="1"/>
  <c r="D708" i="1"/>
  <c r="D754" i="1"/>
  <c r="D787" i="1"/>
  <c r="D794" i="1"/>
  <c r="D821" i="1"/>
  <c r="D860" i="1"/>
  <c r="D874" i="1"/>
  <c r="D892" i="1"/>
  <c r="D926" i="1"/>
  <c r="D956" i="1"/>
  <c r="D976" i="1"/>
  <c r="D1000" i="1"/>
  <c r="D1015" i="1"/>
  <c r="D1068" i="1"/>
  <c r="D1092" i="1"/>
  <c r="D1107" i="1"/>
  <c r="D1127" i="1"/>
  <c r="D1169" i="1"/>
  <c r="D1183" i="1"/>
  <c r="D1200" i="1"/>
  <c r="D1240" i="1"/>
  <c r="D1263" i="1"/>
  <c r="D1278" i="1"/>
  <c r="D1291" i="1"/>
  <c r="D1326" i="1"/>
  <c r="D1346" i="1"/>
  <c r="D1384" i="1"/>
  <c r="D58" i="1"/>
  <c r="D343" i="1"/>
  <c r="D541" i="1"/>
  <c r="D594" i="1"/>
  <c r="D630" i="1"/>
  <c r="D683" i="1"/>
  <c r="D773" i="1"/>
  <c r="D795" i="1"/>
  <c r="D869" i="1"/>
  <c r="D1154" i="1"/>
  <c r="D1170" i="1"/>
  <c r="D1203" i="1"/>
  <c r="D244" i="1"/>
  <c r="D262" i="1"/>
  <c r="D314" i="1"/>
  <c r="D401" i="1"/>
  <c r="D518" i="1"/>
  <c r="D606" i="1"/>
  <c r="D53" i="1"/>
  <c r="D144" i="1"/>
  <c r="D1121" i="1"/>
  <c r="D1266" i="1"/>
  <c r="D1335" i="1"/>
  <c r="D210" i="1"/>
  <c r="D777" i="1"/>
  <c r="D1165" i="1"/>
  <c r="D94" i="1"/>
  <c r="D109" i="1"/>
  <c r="D179" i="1"/>
  <c r="D304" i="1"/>
  <c r="D338" i="1"/>
  <c r="D387" i="1"/>
  <c r="D444" i="1"/>
  <c r="D550" i="1"/>
  <c r="D827" i="1"/>
  <c r="D261" i="1"/>
  <c r="D311" i="1"/>
  <c r="D400" i="1"/>
  <c r="D517" i="1"/>
  <c r="D603" i="1"/>
  <c r="D95" i="1"/>
  <c r="D98" i="1"/>
  <c r="D263" i="1"/>
  <c r="D315" i="1"/>
  <c r="D406" i="1"/>
  <c r="D521" i="1"/>
  <c r="D608" i="1"/>
  <c r="D366" i="1"/>
  <c r="D480" i="1"/>
  <c r="D644" i="1"/>
  <c r="D896" i="1"/>
  <c r="D1044" i="1"/>
  <c r="D1284" i="1"/>
  <c r="D3" i="1"/>
  <c r="D61" i="1"/>
  <c r="D92" i="1"/>
  <c r="D146" i="1"/>
  <c r="D145" i="1"/>
  <c r="D143" i="1"/>
  <c r="D151" i="1"/>
  <c r="D154" i="1"/>
  <c r="D371" i="1"/>
  <c r="D442" i="1"/>
  <c r="D439" i="1"/>
  <c r="D590" i="1"/>
  <c r="D698" i="1"/>
  <c r="D790" i="1"/>
  <c r="D891" i="1"/>
  <c r="D890" i="1"/>
  <c r="D1109" i="1"/>
  <c r="D1172" i="1"/>
  <c r="D246" i="1"/>
  <c r="D867" i="1"/>
  <c r="D79" i="1"/>
  <c r="D766" i="1"/>
  <c r="D482" i="1"/>
  <c r="D665" i="1"/>
  <c r="D959" i="1"/>
  <c r="D1036" i="1"/>
  <c r="D1343" i="1"/>
  <c r="D368" i="1"/>
  <c r="D634" i="1"/>
  <c r="D649" i="1"/>
  <c r="D685" i="1"/>
  <c r="D27" i="1"/>
  <c r="D46" i="1"/>
  <c r="D45" i="1"/>
  <c r="D47" i="1"/>
  <c r="D130" i="1"/>
  <c r="D339" i="1"/>
  <c r="D365" i="1"/>
  <c r="D450" i="1"/>
  <c r="D452" i="1"/>
  <c r="D560" i="1"/>
  <c r="D655" i="1"/>
  <c r="D1056" i="1"/>
  <c r="D289" i="1"/>
  <c r="D558" i="1"/>
  <c r="D907" i="1"/>
  <c r="D1082" i="1"/>
  <c r="D1342" i="1"/>
  <c r="D469" i="1"/>
  <c r="D662" i="1"/>
  <c r="D248" i="1"/>
  <c r="D883" i="1"/>
  <c r="D759" i="1"/>
  <c r="D774" i="1"/>
  <c r="D977" i="1"/>
  <c r="D991" i="1"/>
  <c r="D1214" i="1"/>
  <c r="D1133" i="1"/>
  <c r="D684" i="1"/>
  <c r="D853" i="1"/>
  <c r="D904" i="1"/>
  <c r="D1033" i="1"/>
  <c r="D494" i="1"/>
  <c r="D514" i="1"/>
  <c r="D542" i="1"/>
  <c r="D600" i="1"/>
  <c r="D647" i="1"/>
  <c r="D645" i="1"/>
  <c r="D744" i="1"/>
  <c r="D841" i="1"/>
  <c r="D889" i="1"/>
  <c r="D986" i="1"/>
  <c r="D998" i="1"/>
  <c r="D1219" i="1"/>
  <c r="D911" i="1"/>
  <c r="D968" i="1"/>
  <c r="D1180" i="1"/>
  <c r="D1352" i="1"/>
  <c r="D724" i="1"/>
  <c r="D1101" i="1"/>
  <c r="D13" i="1"/>
  <c r="D162" i="1"/>
  <c r="D166" i="1"/>
  <c r="D241" i="1"/>
  <c r="D288" i="1"/>
  <c r="D388" i="1"/>
  <c r="D393" i="1"/>
  <c r="D446" i="1"/>
  <c r="D764" i="1"/>
  <c r="D854" i="1"/>
  <c r="D902" i="1"/>
  <c r="D952" i="1"/>
  <c r="D996" i="1"/>
  <c r="D1281" i="1"/>
  <c r="D581" i="1"/>
  <c r="D104" i="1"/>
  <c r="D141" i="1"/>
  <c r="D73" i="1"/>
  <c r="D117" i="1"/>
  <c r="D350" i="1"/>
  <c r="D459" i="1"/>
  <c r="D458" i="1"/>
  <c r="D508" i="1"/>
  <c r="D1129" i="1"/>
  <c r="D1161" i="1"/>
  <c r="D36" i="1"/>
  <c r="D169" i="1"/>
  <c r="D238" i="1"/>
  <c r="D245" i="1"/>
  <c r="D247" i="1"/>
  <c r="D348" i="1"/>
  <c r="D487" i="1"/>
  <c r="D503" i="1"/>
  <c r="D177" i="1"/>
  <c r="D68" i="1"/>
  <c r="D101" i="1"/>
  <c r="D110" i="1"/>
  <c r="D185" i="1"/>
  <c r="D224" i="1"/>
  <c r="D112" i="1"/>
  <c r="D225" i="1"/>
  <c r="D75" i="1"/>
  <c r="D74" i="1"/>
  <c r="D174" i="1"/>
  <c r="D93" i="1"/>
  <c r="D107" i="1"/>
  <c r="D181" i="1"/>
  <c r="D237" i="1"/>
  <c r="D78" i="1"/>
  <c r="D742" i="1"/>
  <c r="D826" i="1"/>
  <c r="D947" i="1"/>
  <c r="D949" i="1"/>
  <c r="D527" i="1"/>
  <c r="D329" i="1"/>
  <c r="D67" i="1"/>
  <c r="D128" i="1"/>
  <c r="D1040" i="1"/>
  <c r="D1041" i="1"/>
  <c r="D1234" i="1"/>
  <c r="D873" i="1"/>
  <c r="D616" i="1"/>
  <c r="D849" i="1"/>
  <c r="D711" i="1"/>
  <c r="D529" i="1"/>
  <c r="D1271" i="1"/>
  <c r="D868" i="1"/>
  <c r="D748" i="1"/>
  <c r="D266" i="1"/>
  <c r="D267" i="1"/>
  <c r="D1130" i="1"/>
  <c r="D135" i="1"/>
  <c r="D197" i="1"/>
  <c r="D539" i="1"/>
  <c r="D323" i="1"/>
  <c r="D416" i="1"/>
  <c r="D570" i="1"/>
  <c r="D523" i="1"/>
  <c r="D572" i="1"/>
  <c r="D610" i="1"/>
  <c r="D615" i="1"/>
  <c r="D738" i="1"/>
  <c r="D837" i="1"/>
  <c r="D942" i="1"/>
  <c r="D1048" i="1"/>
  <c r="D1156" i="1"/>
  <c r="D1242" i="1"/>
  <c r="D1320" i="1"/>
  <c r="D327" i="1"/>
  <c r="D184" i="1"/>
  <c r="D198" i="1"/>
  <c r="D318" i="1"/>
  <c r="D324" i="1"/>
  <c r="D326" i="1"/>
  <c r="D418" i="1"/>
  <c r="D479" i="1"/>
  <c r="D524" i="1"/>
  <c r="D611" i="1"/>
  <c r="D739" i="1"/>
  <c r="D840" i="1"/>
  <c r="D843" i="1"/>
  <c r="D945" i="1"/>
  <c r="D1071" i="1"/>
  <c r="D1158" i="1"/>
  <c r="D1150" i="1"/>
  <c r="D1244" i="1"/>
  <c r="D1313" i="1"/>
  <c r="D65" i="1"/>
  <c r="D328" i="1"/>
  <c r="D619" i="1"/>
  <c r="D1039" i="1"/>
  <c r="D1160" i="1"/>
  <c r="D271" i="1"/>
  <c r="D828" i="1"/>
  <c r="D1235" i="1"/>
  <c r="D66" i="1"/>
  <c r="D269" i="1"/>
  <c r="D382" i="1"/>
  <c r="D528" i="1"/>
  <c r="D531" i="1"/>
  <c r="D622" i="1"/>
  <c r="D752" i="1"/>
  <c r="D934" i="1"/>
  <c r="D1045" i="1"/>
  <c r="D1233" i="1"/>
  <c r="D1312" i="1"/>
  <c r="D1179" i="1"/>
  <c r="D120" i="1"/>
  <c r="D239" i="1"/>
  <c r="D593" i="1"/>
  <c r="D705" i="1"/>
  <c r="D626" i="1"/>
  <c r="D1212" i="1"/>
  <c r="D255" i="1"/>
  <c r="D1188" i="1"/>
  <c r="D437" i="1"/>
  <c r="D534" i="1"/>
  <c r="D291" i="1"/>
  <c r="D567" i="1"/>
  <c r="D950" i="1"/>
  <c r="D1097" i="1"/>
  <c r="D1364" i="1"/>
  <c r="D798" i="1"/>
  <c r="D881" i="1"/>
  <c r="D900" i="1"/>
  <c r="D1074" i="1"/>
  <c r="D486" i="1"/>
  <c r="D96" i="1"/>
  <c r="D126" i="1"/>
  <c r="D228" i="1"/>
  <c r="D276" i="1"/>
  <c r="D332" i="1"/>
  <c r="D381" i="1"/>
  <c r="D449" i="1"/>
  <c r="D544" i="1"/>
  <c r="D613" i="1"/>
  <c r="D781" i="1"/>
  <c r="D879" i="1"/>
  <c r="D961" i="1"/>
  <c r="D1072" i="1"/>
  <c r="D1117" i="1"/>
  <c r="D1162" i="1"/>
  <c r="D1167" i="1"/>
  <c r="D1168" i="1"/>
  <c r="D1264" i="1"/>
  <c r="D1332" i="1"/>
  <c r="D1108" i="1"/>
  <c r="D1174" i="1"/>
  <c r="D1176" i="1"/>
  <c r="D113" i="1"/>
  <c r="D299" i="1"/>
  <c r="D566" i="1"/>
  <c r="D592" i="1"/>
  <c r="D944" i="1"/>
  <c r="D1096" i="1"/>
  <c r="D1103" i="1"/>
  <c r="D1363" i="1"/>
  <c r="D627" i="1"/>
  <c r="D696" i="1"/>
  <c r="D1213" i="1"/>
  <c r="D1254" i="1"/>
  <c r="D1187" i="1"/>
  <c r="D1227" i="1"/>
  <c r="D1269" i="1"/>
  <c r="D14" i="1"/>
  <c r="D356" i="1"/>
  <c r="D700" i="1"/>
  <c r="D969" i="1"/>
  <c r="D1191" i="1"/>
  <c r="D1248" i="1"/>
  <c r="D507" i="1"/>
  <c r="D587" i="1"/>
  <c r="D158" i="1"/>
  <c r="D336" i="1"/>
  <c r="D585" i="1"/>
  <c r="D957" i="1"/>
  <c r="D1195" i="1"/>
  <c r="D352" i="1"/>
  <c r="D509" i="1"/>
  <c r="D335" i="1"/>
  <c r="D337" i="1"/>
  <c r="D9" i="1"/>
  <c r="D10" i="1"/>
  <c r="D251" i="1"/>
  <c r="D256" i="1"/>
  <c r="D204" i="1"/>
  <c r="D1053" i="1"/>
  <c r="D1049" i="1"/>
  <c r="D284" i="1"/>
  <c r="D362" i="1"/>
  <c r="D474" i="1"/>
  <c r="D623" i="1"/>
  <c r="D677" i="1"/>
  <c r="D678" i="1"/>
  <c r="D679" i="1"/>
  <c r="D1230" i="1"/>
  <c r="D552" i="1"/>
  <c r="D624" i="1"/>
  <c r="D743" i="1"/>
  <c r="D443" i="1"/>
  <c r="D302" i="1"/>
  <c r="D405" i="1"/>
  <c r="D455" i="1"/>
  <c r="D520" i="1"/>
  <c r="D780" i="1"/>
  <c r="D791" i="1"/>
  <c r="D175" i="1"/>
  <c r="D233" i="1"/>
  <c r="D776" i="1"/>
  <c r="D1354" i="1"/>
  <c r="D760" i="1"/>
  <c r="D762" i="1"/>
  <c r="D970" i="1"/>
  <c r="D1020" i="1"/>
  <c r="D278" i="1"/>
  <c r="D116" i="1"/>
  <c r="D681" i="1"/>
  <c r="D670" i="1"/>
  <c r="D887" i="1"/>
  <c r="D919" i="1"/>
  <c r="D995" i="1"/>
  <c r="D652" i="1"/>
  <c r="D76" i="1"/>
  <c r="D165" i="1"/>
  <c r="D220" i="1"/>
  <c r="D285" i="1"/>
  <c r="D386" i="1"/>
  <c r="D473" i="1"/>
  <c r="D676" i="1"/>
  <c r="D726" i="1"/>
  <c r="D783" i="1"/>
  <c r="D858" i="1"/>
  <c r="D861" i="1"/>
  <c r="D1052" i="1"/>
  <c r="D1362" i="1"/>
  <c r="D1256" i="1"/>
  <c r="D342" i="1"/>
  <c r="D369" i="1"/>
  <c r="D884" i="1"/>
  <c r="D886" i="1"/>
  <c r="D1065" i="1"/>
  <c r="D1287" i="1"/>
  <c r="D163" i="1"/>
  <c r="D191" i="1"/>
  <c r="D300" i="1"/>
  <c r="D456" i="1"/>
  <c r="D498" i="1"/>
  <c r="D569" i="1"/>
  <c r="D668" i="1"/>
  <c r="D984" i="1"/>
  <c r="D1196" i="1"/>
  <c r="D1253" i="1"/>
  <c r="D1393" i="1"/>
  <c r="D1388" i="1"/>
  <c r="D1391" i="1"/>
  <c r="D1390" i="1"/>
  <c r="D1392" i="1"/>
  <c r="D1389" i="1"/>
  <c r="D1414" i="1"/>
  <c r="D1416" i="1"/>
  <c r="D1255" i="1"/>
  <c r="S1014" i="1"/>
  <c r="S5" i="1"/>
  <c r="S39" i="1"/>
  <c r="S41" i="1"/>
  <c r="S286" i="1"/>
  <c r="S287" i="1"/>
  <c r="S383" i="1"/>
  <c r="S547" i="1"/>
  <c r="S660" i="1"/>
  <c r="S913" i="1"/>
  <c r="S1175" i="1"/>
  <c r="S1201" i="1"/>
  <c r="S171" i="1"/>
  <c r="S493" i="1"/>
  <c r="S506" i="1"/>
  <c r="S597" i="1"/>
  <c r="S768" i="1"/>
  <c r="S918" i="1"/>
  <c r="S924" i="1"/>
  <c r="S1006" i="1"/>
  <c r="S1199" i="1"/>
  <c r="S1341" i="1"/>
  <c r="S909" i="1"/>
  <c r="S908" i="1"/>
  <c r="S905" i="1"/>
  <c r="S470" i="1"/>
  <c r="S467" i="1"/>
  <c r="S793" i="1"/>
  <c r="S358" i="1"/>
  <c r="S7" i="1"/>
  <c r="S12" i="1"/>
  <c r="S34" i="1"/>
  <c r="S83" i="1"/>
  <c r="S102" i="1"/>
  <c r="S182" i="1"/>
  <c r="S207" i="1"/>
  <c r="S279" i="1"/>
  <c r="S305" i="1"/>
  <c r="S389" i="1"/>
  <c r="S463" i="1"/>
  <c r="S513" i="1"/>
  <c r="S553" i="1"/>
  <c r="S628" i="1"/>
  <c r="S629" i="1"/>
  <c r="S671" i="1"/>
  <c r="S758" i="1"/>
  <c r="S792" i="1"/>
  <c r="S813" i="1"/>
  <c r="S917" i="1"/>
  <c r="S1111" i="1"/>
  <c r="S1125" i="1"/>
  <c r="S1184" i="1"/>
  <c r="S1185" i="1"/>
  <c r="S1251" i="1"/>
  <c r="S38" i="1"/>
  <c r="S543" i="1"/>
  <c r="S545" i="1"/>
  <c r="S903" i="1"/>
  <c r="S925" i="1"/>
  <c r="S1210" i="1"/>
  <c r="S17" i="1"/>
  <c r="S149" i="1"/>
  <c r="S183" i="1"/>
  <c r="S427" i="1"/>
  <c r="S483" i="1"/>
  <c r="S605" i="1"/>
  <c r="S767" i="1"/>
  <c r="S865" i="1"/>
  <c r="S980" i="1"/>
  <c r="S1110" i="1"/>
  <c r="S1202" i="1"/>
  <c r="S26" i="1"/>
  <c r="S50" i="1"/>
  <c r="S57" i="1"/>
  <c r="S142" i="1"/>
  <c r="S1153" i="1"/>
  <c r="S115" i="1"/>
  <c r="S137" i="1"/>
  <c r="S203" i="1"/>
  <c r="S242" i="1"/>
  <c r="S292" i="1"/>
  <c r="S367" i="1"/>
  <c r="S499" i="1"/>
  <c r="S561" i="1"/>
  <c r="S646" i="1"/>
  <c r="S693" i="1"/>
  <c r="S782" i="1"/>
  <c r="S812" i="1"/>
  <c r="S920" i="1"/>
  <c r="S972" i="1"/>
  <c r="S1013" i="1"/>
  <c r="S1083" i="1"/>
  <c r="S1089" i="1"/>
  <c r="S1148" i="1"/>
  <c r="S1186" i="1"/>
  <c r="S1197" i="1"/>
  <c r="S1276" i="1"/>
  <c r="S1317" i="1"/>
  <c r="S1365" i="1"/>
  <c r="S1105" i="1"/>
  <c r="S1106" i="1"/>
  <c r="S1357" i="1"/>
  <c r="S1368" i="1"/>
  <c r="S121" i="1"/>
  <c r="S122" i="1"/>
  <c r="S124" i="1"/>
  <c r="S123" i="1"/>
  <c r="S125" i="1"/>
  <c r="S468" i="1"/>
  <c r="S568" i="1"/>
  <c r="S598" i="1"/>
  <c r="S595" i="1"/>
  <c r="S596" i="1"/>
  <c r="S636" i="1"/>
  <c r="S641" i="1"/>
  <c r="S667" i="1"/>
  <c r="S719" i="1"/>
  <c r="S718" i="1"/>
  <c r="S720" i="1"/>
  <c r="S721" i="1"/>
  <c r="S725" i="1"/>
  <c r="S731" i="1"/>
  <c r="S799" i="1"/>
  <c r="S817" i="1"/>
  <c r="S819" i="1"/>
  <c r="S820" i="1"/>
  <c r="S818" i="1"/>
  <c r="S816" i="1"/>
  <c r="S822" i="1"/>
  <c r="S916" i="1"/>
  <c r="S923" i="1"/>
  <c r="S929" i="1"/>
  <c r="S928" i="1"/>
  <c r="S927" i="1"/>
  <c r="S930" i="1"/>
  <c r="S931" i="1"/>
  <c r="S933" i="1"/>
  <c r="S963" i="1"/>
  <c r="S999" i="1"/>
  <c r="S1005" i="1"/>
  <c r="S1026" i="1"/>
  <c r="S1024" i="1"/>
  <c r="S1030" i="1"/>
  <c r="S1029" i="1"/>
  <c r="S1025" i="1"/>
  <c r="S1032" i="1"/>
  <c r="S1055" i="1"/>
  <c r="S1115" i="1"/>
  <c r="S1137" i="1"/>
  <c r="S1136" i="1"/>
  <c r="S1140" i="1"/>
  <c r="S1138" i="1"/>
  <c r="S1139" i="1"/>
  <c r="S1141" i="1"/>
  <c r="S1300" i="1"/>
  <c r="S1301" i="1"/>
  <c r="S1303" i="1"/>
  <c r="S1302" i="1"/>
  <c r="S1307" i="1"/>
  <c r="S1304" i="1"/>
  <c r="S706" i="1"/>
  <c r="S410" i="1"/>
  <c r="S1011" i="1"/>
  <c r="S230" i="1"/>
  <c r="S2" i="1"/>
  <c r="S19" i="1"/>
  <c r="S23" i="1"/>
  <c r="S420" i="1"/>
  <c r="S540" i="1"/>
  <c r="S639" i="1"/>
  <c r="S728" i="1"/>
  <c r="S992" i="1"/>
  <c r="S1164" i="1"/>
  <c r="S1173" i="1"/>
  <c r="S1204" i="1"/>
  <c r="S331" i="1"/>
  <c r="S1217" i="1"/>
  <c r="S1299" i="1"/>
  <c r="S42" i="1"/>
  <c r="S1149" i="1"/>
  <c r="S1273" i="1"/>
  <c r="S703" i="1"/>
  <c r="S737" i="1"/>
  <c r="S848" i="1"/>
  <c r="S15" i="1"/>
  <c r="S63" i="1"/>
  <c r="S72" i="1"/>
  <c r="S1135" i="1"/>
  <c r="S1166" i="1"/>
  <c r="S303" i="1"/>
  <c r="S1100" i="1"/>
  <c r="S70" i="1"/>
  <c r="S91" i="1"/>
  <c r="S114" i="1"/>
  <c r="S148" i="1"/>
  <c r="S346" i="1"/>
  <c r="S363" i="1"/>
  <c r="S398" i="1"/>
  <c r="S448" i="1"/>
  <c r="S510" i="1"/>
  <c r="S573" i="1"/>
  <c r="S686" i="1"/>
  <c r="S866" i="1"/>
  <c r="S1066" i="1"/>
  <c r="S1124" i="1"/>
  <c r="S1262" i="1"/>
  <c r="S1333" i="1"/>
  <c r="S1345" i="1"/>
  <c r="S1366" i="1"/>
  <c r="S501" i="1"/>
  <c r="S1098" i="1"/>
  <c r="S105" i="1"/>
  <c r="S170" i="1"/>
  <c r="S796" i="1"/>
  <c r="S993" i="1"/>
  <c r="S604" i="1"/>
  <c r="S80" i="1"/>
  <c r="S97" i="1"/>
  <c r="S127" i="1"/>
  <c r="S227" i="1"/>
  <c r="S275" i="1"/>
  <c r="S1122" i="1"/>
  <c r="S1163" i="1"/>
  <c r="S1261" i="1"/>
  <c r="S1331" i="1"/>
  <c r="S691" i="1"/>
  <c r="S732" i="1"/>
  <c r="S64" i="1"/>
  <c r="S132" i="1"/>
  <c r="S472" i="1"/>
  <c r="S471" i="1"/>
  <c r="S475" i="1"/>
  <c r="S576" i="1"/>
  <c r="S631" i="1"/>
  <c r="S669" i="1"/>
  <c r="S1084" i="1"/>
  <c r="S1085" i="1"/>
  <c r="S384" i="1"/>
  <c r="S495" i="1"/>
  <c r="S775" i="1"/>
  <c r="S785" i="1"/>
  <c r="S1102" i="1"/>
  <c r="S1126" i="1"/>
  <c r="S259" i="1"/>
  <c r="S312" i="1"/>
  <c r="S396" i="1"/>
  <c r="S515" i="1"/>
  <c r="S601" i="1"/>
  <c r="S462" i="1"/>
  <c r="S584" i="1"/>
  <c r="S260" i="1"/>
  <c r="S313" i="1"/>
  <c r="S404" i="1"/>
  <c r="S516" i="1"/>
  <c r="S602" i="1"/>
  <c r="S103" i="1"/>
  <c r="S147" i="1"/>
  <c r="S173" i="1"/>
  <c r="S176" i="1"/>
  <c r="S205" i="1"/>
  <c r="S216" i="1"/>
  <c r="S226" i="1"/>
  <c r="S258" i="1"/>
  <c r="S277" i="1"/>
  <c r="S296" i="1"/>
  <c r="S308" i="1"/>
  <c r="S334" i="1"/>
  <c r="S351" i="1"/>
  <c r="S361" i="1"/>
  <c r="S379" i="1"/>
  <c r="S392" i="1"/>
  <c r="S399" i="1"/>
  <c r="S433" i="1"/>
  <c r="S453" i="1"/>
  <c r="S497" i="1"/>
  <c r="S546" i="1"/>
  <c r="S574" i="1"/>
  <c r="S588" i="1"/>
  <c r="S632" i="1"/>
  <c r="S643" i="1"/>
  <c r="S664" i="1"/>
  <c r="S709" i="1"/>
  <c r="S708" i="1"/>
  <c r="S754" i="1"/>
  <c r="S787" i="1"/>
  <c r="S794" i="1"/>
  <c r="S821" i="1"/>
  <c r="S860" i="1"/>
  <c r="S874" i="1"/>
  <c r="S892" i="1"/>
  <c r="S926" i="1"/>
  <c r="S956" i="1"/>
  <c r="S976" i="1"/>
  <c r="S1000" i="1"/>
  <c r="S1015" i="1"/>
  <c r="S1068" i="1"/>
  <c r="S1092" i="1"/>
  <c r="S1107" i="1"/>
  <c r="S1127" i="1"/>
  <c r="S1169" i="1"/>
  <c r="S1183" i="1"/>
  <c r="S1200" i="1"/>
  <c r="S1240" i="1"/>
  <c r="S1263" i="1"/>
  <c r="S1278" i="1"/>
  <c r="S1291" i="1"/>
  <c r="S1326" i="1"/>
  <c r="S1346" i="1"/>
  <c r="S1384" i="1"/>
  <c r="S490" i="1"/>
  <c r="S492" i="1"/>
  <c r="S770" i="1"/>
  <c r="S778" i="1"/>
  <c r="S809" i="1"/>
  <c r="S885" i="1"/>
  <c r="S1075" i="1"/>
  <c r="S1208" i="1"/>
  <c r="S1270" i="1"/>
  <c r="S1340" i="1"/>
  <c r="S58" i="1"/>
  <c r="S343" i="1"/>
  <c r="S541" i="1"/>
  <c r="S594" i="1"/>
  <c r="S630" i="1"/>
  <c r="S683" i="1"/>
  <c r="S773" i="1"/>
  <c r="S795" i="1"/>
  <c r="S869" i="1"/>
  <c r="S1154" i="1"/>
  <c r="S1170" i="1"/>
  <c r="S1203" i="1"/>
  <c r="S244" i="1"/>
  <c r="S262" i="1"/>
  <c r="S314" i="1"/>
  <c r="S401" i="1"/>
  <c r="S518" i="1"/>
  <c r="S606" i="1"/>
  <c r="S53" i="1"/>
  <c r="S144" i="1"/>
  <c r="S1121" i="1"/>
  <c r="S1266" i="1"/>
  <c r="S1335" i="1"/>
  <c r="S210" i="1"/>
  <c r="S777" i="1"/>
  <c r="S1165" i="1"/>
  <c r="S94" i="1"/>
  <c r="S109" i="1"/>
  <c r="S179" i="1"/>
  <c r="S304" i="1"/>
  <c r="S338" i="1"/>
  <c r="S387" i="1"/>
  <c r="S444" i="1"/>
  <c r="S550" i="1"/>
  <c r="S827" i="1"/>
  <c r="S261" i="1"/>
  <c r="S311" i="1"/>
  <c r="S400" i="1"/>
  <c r="S517" i="1"/>
  <c r="S603" i="1"/>
  <c r="S95" i="1"/>
  <c r="S98" i="1"/>
  <c r="S309" i="1"/>
  <c r="S370" i="1"/>
  <c r="S415" i="1"/>
  <c r="S535" i="1"/>
  <c r="S713" i="1"/>
  <c r="S982" i="1"/>
  <c r="S983" i="1"/>
  <c r="S1016" i="1"/>
  <c r="S1023" i="1"/>
  <c r="S1116" i="1"/>
  <c r="S1128" i="1"/>
  <c r="S1134" i="1"/>
  <c r="S1268" i="1"/>
  <c r="S84" i="1"/>
  <c r="S364" i="1"/>
  <c r="S484" i="1"/>
  <c r="S580" i="1"/>
  <c r="S625" i="1"/>
  <c r="S772" i="1"/>
  <c r="S801" i="1"/>
  <c r="S960" i="1"/>
  <c r="S1012" i="1"/>
  <c r="S1193" i="1"/>
  <c r="S1222" i="1"/>
  <c r="S263" i="1"/>
  <c r="S315" i="1"/>
  <c r="S406" i="1"/>
  <c r="S521" i="1"/>
  <c r="S608" i="1"/>
  <c r="S701" i="1"/>
  <c r="S964" i="1"/>
  <c r="S971" i="1"/>
  <c r="S987" i="1"/>
  <c r="S1087" i="1"/>
  <c r="S1259" i="1"/>
  <c r="S1378" i="1"/>
  <c r="S366" i="1"/>
  <c r="S480" i="1"/>
  <c r="S644" i="1"/>
  <c r="S896" i="1"/>
  <c r="S1044" i="1"/>
  <c r="S1284" i="1"/>
  <c r="S3" i="1"/>
  <c r="S61" i="1"/>
  <c r="S92" i="1"/>
  <c r="S146" i="1"/>
  <c r="S145" i="1"/>
  <c r="S143" i="1"/>
  <c r="S151" i="1"/>
  <c r="S154" i="1"/>
  <c r="S371" i="1"/>
  <c r="S442" i="1"/>
  <c r="S439" i="1"/>
  <c r="S590" i="1"/>
  <c r="S698" i="1"/>
  <c r="S790" i="1"/>
  <c r="S891" i="1"/>
  <c r="S890" i="1"/>
  <c r="S1109" i="1"/>
  <c r="S1172" i="1"/>
  <c r="S246" i="1"/>
  <c r="S867" i="1"/>
  <c r="S79" i="1"/>
  <c r="S766" i="1"/>
  <c r="S482" i="1"/>
  <c r="S665" i="1"/>
  <c r="S959" i="1"/>
  <c r="S1036" i="1"/>
  <c r="S1343" i="1"/>
  <c r="S368" i="1"/>
  <c r="S634" i="1"/>
  <c r="S649" i="1"/>
  <c r="S685" i="1"/>
  <c r="S11" i="1"/>
  <c r="S27" i="1"/>
  <c r="S46" i="1"/>
  <c r="S45" i="1"/>
  <c r="S47" i="1"/>
  <c r="S130" i="1"/>
  <c r="S339" i="1"/>
  <c r="S106" i="1"/>
  <c r="S234" i="1"/>
  <c r="S372" i="1"/>
  <c r="S365" i="1"/>
  <c r="S450" i="1"/>
  <c r="S452" i="1"/>
  <c r="S560" i="1"/>
  <c r="S655" i="1"/>
  <c r="S838" i="1"/>
  <c r="S862" i="1"/>
  <c r="S1078" i="1"/>
  <c r="S1112" i="1"/>
  <c r="S1223" i="1"/>
  <c r="S1286" i="1"/>
  <c r="S1056" i="1"/>
  <c r="S289" i="1"/>
  <c r="S558" i="1"/>
  <c r="S907" i="1"/>
  <c r="S1082" i="1"/>
  <c r="S1342" i="1"/>
  <c r="S469" i="1"/>
  <c r="S662" i="1"/>
  <c r="S248" i="1"/>
  <c r="S883" i="1"/>
  <c r="S759" i="1"/>
  <c r="S774" i="1"/>
  <c r="S977" i="1"/>
  <c r="S16" i="1"/>
  <c r="S56" i="1"/>
  <c r="S99" i="1"/>
  <c r="S140" i="1"/>
  <c r="S161" i="1"/>
  <c r="S218" i="1"/>
  <c r="S293" i="1"/>
  <c r="S373" i="1"/>
  <c r="S659" i="1"/>
  <c r="S714" i="1"/>
  <c r="S763" i="1"/>
  <c r="S761" i="1"/>
  <c r="S810" i="1"/>
  <c r="S859" i="1"/>
  <c r="S863" i="1"/>
  <c r="S994" i="1"/>
  <c r="S1080" i="1"/>
  <c r="S1218" i="1"/>
  <c r="S1207" i="1"/>
  <c r="S1216" i="1"/>
  <c r="S1292" i="1"/>
  <c r="S825" i="1"/>
  <c r="S932" i="1"/>
  <c r="S935" i="1"/>
  <c r="S967" i="1"/>
  <c r="S1067" i="1"/>
  <c r="S1064" i="1"/>
  <c r="S1076" i="1"/>
  <c r="S1123" i="1"/>
  <c r="S1131" i="1"/>
  <c r="S1132" i="1"/>
  <c r="S1206" i="1"/>
  <c r="S991" i="1"/>
  <c r="S1214" i="1"/>
  <c r="S1133" i="1"/>
  <c r="S893" i="1"/>
  <c r="S912" i="1"/>
  <c r="S1081" i="1"/>
  <c r="S684" i="1"/>
  <c r="S853" i="1"/>
  <c r="S904" i="1"/>
  <c r="S1033" i="1"/>
  <c r="S494" i="1"/>
  <c r="S514" i="1"/>
  <c r="S542" i="1"/>
  <c r="S600" i="1"/>
  <c r="S647" i="1"/>
  <c r="S645" i="1"/>
  <c r="S744" i="1"/>
  <c r="S841" i="1"/>
  <c r="S889" i="1"/>
  <c r="S986" i="1"/>
  <c r="S998" i="1"/>
  <c r="S1219" i="1"/>
  <c r="S911" i="1"/>
  <c r="S968" i="1"/>
  <c r="S1180" i="1"/>
  <c r="S1352" i="1"/>
  <c r="S724" i="1"/>
  <c r="S1101" i="1"/>
  <c r="S13" i="1"/>
  <c r="S162" i="1"/>
  <c r="S166" i="1"/>
  <c r="S241" i="1"/>
  <c r="S288" i="1"/>
  <c r="S388" i="1"/>
  <c r="S393" i="1"/>
  <c r="S446" i="1"/>
  <c r="S764" i="1"/>
  <c r="S854" i="1"/>
  <c r="S902" i="1"/>
  <c r="S952" i="1"/>
  <c r="S996" i="1"/>
  <c r="S1281" i="1"/>
  <c r="S447" i="1"/>
  <c r="S672" i="1"/>
  <c r="S581" i="1"/>
  <c r="S29" i="1"/>
  <c r="S86" i="1"/>
  <c r="S150" i="1"/>
  <c r="S186" i="1"/>
  <c r="S232" i="1"/>
  <c r="S357" i="1"/>
  <c r="S390" i="1"/>
  <c r="S431" i="1"/>
  <c r="S583" i="1"/>
  <c r="S586" i="1"/>
  <c r="S607" i="1"/>
  <c r="S658" i="1"/>
  <c r="S716" i="1"/>
  <c r="S978" i="1"/>
  <c r="S1027" i="1"/>
  <c r="S1070" i="1"/>
  <c r="S8" i="1"/>
  <c r="S44" i="1"/>
  <c r="S43" i="1"/>
  <c r="S60" i="1"/>
  <c r="S62" i="1"/>
  <c r="S219" i="1"/>
  <c r="S359" i="1"/>
  <c r="S378" i="1"/>
  <c r="S460" i="1"/>
  <c r="S548" i="1"/>
  <c r="S562" i="1"/>
  <c r="S657" i="1"/>
  <c r="S692" i="1"/>
  <c r="S707" i="1"/>
  <c r="S723" i="1"/>
  <c r="S755" i="1"/>
  <c r="S756" i="1"/>
  <c r="S757" i="1"/>
  <c r="S807" i="1"/>
  <c r="S806" i="1"/>
  <c r="S914" i="1"/>
  <c r="S910" i="1"/>
  <c r="S1095" i="1"/>
  <c r="S1093" i="1"/>
  <c r="S1119" i="1"/>
  <c r="S104" i="1"/>
  <c r="S141" i="1"/>
  <c r="S73" i="1"/>
  <c r="S117" i="1"/>
  <c r="S350" i="1"/>
  <c r="S459" i="1"/>
  <c r="S458" i="1"/>
  <c r="S508" i="1"/>
  <c r="S1129" i="1"/>
  <c r="S1161" i="1"/>
  <c r="S36" i="1"/>
  <c r="S169" i="1"/>
  <c r="S238" i="1"/>
  <c r="S245" i="1"/>
  <c r="S247" i="1"/>
  <c r="S348" i="1"/>
  <c r="S487" i="1"/>
  <c r="S503" i="1"/>
  <c r="S177" i="1"/>
  <c r="S68" i="1"/>
  <c r="S101" i="1"/>
  <c r="S110" i="1"/>
  <c r="S185" i="1"/>
  <c r="S224" i="1"/>
  <c r="S112" i="1"/>
  <c r="S225" i="1"/>
  <c r="S75" i="1"/>
  <c r="S74" i="1"/>
  <c r="S174" i="1"/>
  <c r="S93" i="1"/>
  <c r="S107" i="1"/>
  <c r="S181" i="1"/>
  <c r="S237" i="1"/>
  <c r="S78" i="1"/>
  <c r="S742" i="1"/>
  <c r="S826" i="1"/>
  <c r="S947" i="1"/>
  <c r="S949" i="1"/>
  <c r="S527" i="1"/>
  <c r="S1255" i="1"/>
  <c r="S329" i="1"/>
  <c r="S67" i="1"/>
  <c r="S128" i="1"/>
  <c r="S1040" i="1"/>
  <c r="S1041" i="1"/>
  <c r="S1234" i="1"/>
  <c r="S133" i="1"/>
  <c r="S136" i="1"/>
  <c r="S196" i="1"/>
  <c r="S199" i="1"/>
  <c r="S310" i="1"/>
  <c r="S264" i="1"/>
  <c r="S319" i="1"/>
  <c r="S317" i="1"/>
  <c r="S321" i="1"/>
  <c r="S733" i="1"/>
  <c r="S413" i="1"/>
  <c r="S414" i="1"/>
  <c r="S422" i="1"/>
  <c r="S489" i="1"/>
  <c r="S525" i="1"/>
  <c r="S579" i="1"/>
  <c r="S612" i="1"/>
  <c r="S735" i="1"/>
  <c r="S740" i="1"/>
  <c r="S835" i="1"/>
  <c r="S839" i="1"/>
  <c r="S940" i="1"/>
  <c r="S943" i="1"/>
  <c r="S1046" i="1"/>
  <c r="S1051" i="1"/>
  <c r="S1152" i="1"/>
  <c r="S1157" i="1"/>
  <c r="S1239" i="1"/>
  <c r="S1243" i="1"/>
  <c r="S1314" i="1"/>
  <c r="S1318" i="1"/>
  <c r="S1321" i="1"/>
  <c r="S512" i="1"/>
  <c r="S873" i="1"/>
  <c r="S616" i="1"/>
  <c r="S849" i="1"/>
  <c r="S711" i="1"/>
  <c r="S134" i="1"/>
  <c r="S200" i="1"/>
  <c r="S265" i="1"/>
  <c r="S845" i="1"/>
  <c r="S322" i="1"/>
  <c r="S424" i="1"/>
  <c r="S522" i="1"/>
  <c r="S609" i="1"/>
  <c r="S736" i="1"/>
  <c r="S836" i="1"/>
  <c r="S941" i="1"/>
  <c r="S1047" i="1"/>
  <c r="S1155" i="1"/>
  <c r="S1241" i="1"/>
  <c r="S1319" i="1"/>
  <c r="S529" i="1"/>
  <c r="S1271" i="1"/>
  <c r="S868" i="1"/>
  <c r="S129" i="1"/>
  <c r="S187" i="1"/>
  <c r="S252" i="1"/>
  <c r="S268" i="1"/>
  <c r="S374" i="1"/>
  <c r="S440" i="1"/>
  <c r="S538" i="1"/>
  <c r="S620" i="1"/>
  <c r="S746" i="1"/>
  <c r="S745" i="1"/>
  <c r="S897" i="1"/>
  <c r="S1007" i="1"/>
  <c r="S1143" i="1"/>
  <c r="S1231" i="1"/>
  <c r="S1293" i="1"/>
  <c r="S1295" i="1"/>
  <c r="S21" i="1"/>
  <c r="S748" i="1"/>
  <c r="S272" i="1"/>
  <c r="S273" i="1"/>
  <c r="S274" i="1"/>
  <c r="S412" i="1"/>
  <c r="S617" i="1"/>
  <c r="S618" i="1"/>
  <c r="S1042" i="1"/>
  <c r="S1043" i="1"/>
  <c r="S1274" i="1"/>
  <c r="S1279" i="1"/>
  <c r="S266" i="1"/>
  <c r="S267" i="1"/>
  <c r="S1130" i="1"/>
  <c r="S135" i="1"/>
  <c r="S197" i="1"/>
  <c r="S539" i="1"/>
  <c r="S323" i="1"/>
  <c r="S416" i="1"/>
  <c r="S570" i="1"/>
  <c r="S523" i="1"/>
  <c r="S572" i="1"/>
  <c r="S610" i="1"/>
  <c r="S615" i="1"/>
  <c r="S738" i="1"/>
  <c r="S837" i="1"/>
  <c r="S942" i="1"/>
  <c r="S1048" i="1"/>
  <c r="S1156" i="1"/>
  <c r="S1242" i="1"/>
  <c r="S1320" i="1"/>
  <c r="S327" i="1"/>
  <c r="S281" i="1"/>
  <c r="S282" i="1"/>
  <c r="S408" i="1"/>
  <c r="S411" i="1"/>
  <c r="S504" i="1"/>
  <c r="S511" i="1"/>
  <c r="S532" i="1"/>
  <c r="S536" i="1"/>
  <c r="S690" i="1"/>
  <c r="S694" i="1"/>
  <c r="S786" i="1"/>
  <c r="S804" i="1"/>
  <c r="S936" i="1"/>
  <c r="S937" i="1"/>
  <c r="S1034" i="1"/>
  <c r="S1035" i="1"/>
  <c r="S1144" i="1"/>
  <c r="S1146" i="1"/>
  <c r="S1236" i="1"/>
  <c r="S1237" i="1"/>
  <c r="S1310" i="1"/>
  <c r="S1309" i="1"/>
  <c r="S184" i="1"/>
  <c r="S198" i="1"/>
  <c r="S318" i="1"/>
  <c r="S324" i="1"/>
  <c r="S326" i="1"/>
  <c r="S418" i="1"/>
  <c r="S479" i="1"/>
  <c r="S524" i="1"/>
  <c r="S611" i="1"/>
  <c r="S739" i="1"/>
  <c r="S840" i="1"/>
  <c r="S843" i="1"/>
  <c r="S945" i="1"/>
  <c r="S1071" i="1"/>
  <c r="S1158" i="1"/>
  <c r="S1150" i="1"/>
  <c r="S1244" i="1"/>
  <c r="S1313" i="1"/>
  <c r="S131" i="1"/>
  <c r="S195" i="1"/>
  <c r="S316" i="1"/>
  <c r="S253" i="1"/>
  <c r="S254" i="1"/>
  <c r="S320" i="1"/>
  <c r="S425" i="1"/>
  <c r="S488" i="1"/>
  <c r="S578" i="1"/>
  <c r="S734" i="1"/>
  <c r="S834" i="1"/>
  <c r="S939" i="1"/>
  <c r="S1099" i="1"/>
  <c r="S1151" i="1"/>
  <c r="S1238" i="1"/>
  <c r="S1316" i="1"/>
  <c r="S65" i="1"/>
  <c r="S328" i="1"/>
  <c r="S619" i="1"/>
  <c r="S1039" i="1"/>
  <c r="S1160" i="1"/>
  <c r="S271" i="1"/>
  <c r="S828" i="1"/>
  <c r="S1235" i="1"/>
  <c r="S330" i="1"/>
  <c r="S307" i="1"/>
  <c r="S407" i="1"/>
  <c r="S360" i="1"/>
  <c r="S477" i="1"/>
  <c r="S530" i="1"/>
  <c r="S621" i="1"/>
  <c r="S747" i="1"/>
  <c r="S915" i="1"/>
  <c r="S888" i="1"/>
  <c r="S1037" i="1"/>
  <c r="S955" i="1"/>
  <c r="S1142" i="1"/>
  <c r="S1232" i="1"/>
  <c r="S1294" i="1"/>
  <c r="S66" i="1"/>
  <c r="S270" i="1"/>
  <c r="S397" i="1"/>
  <c r="S478" i="1"/>
  <c r="S537" i="1"/>
  <c r="S695" i="1"/>
  <c r="S824" i="1"/>
  <c r="S938" i="1"/>
  <c r="S948" i="1"/>
  <c r="S1147" i="1"/>
  <c r="S1177" i="1"/>
  <c r="S1311" i="1"/>
  <c r="S269" i="1"/>
  <c r="S382" i="1"/>
  <c r="S528" i="1"/>
  <c r="S531" i="1"/>
  <c r="S622" i="1"/>
  <c r="S752" i="1"/>
  <c r="S934" i="1"/>
  <c r="S1045" i="1"/>
  <c r="S1233" i="1"/>
  <c r="S1312" i="1"/>
  <c r="S138" i="1"/>
  <c r="S192" i="1"/>
  <c r="S193" i="1"/>
  <c r="S829" i="1"/>
  <c r="S325" i="1"/>
  <c r="S423" i="1"/>
  <c r="S830" i="1"/>
  <c r="S481" i="1"/>
  <c r="S526" i="1"/>
  <c r="S831" i="1"/>
  <c r="S577" i="1"/>
  <c r="S614" i="1"/>
  <c r="S832" i="1"/>
  <c r="S741" i="1"/>
  <c r="S833" i="1"/>
  <c r="S842" i="1"/>
  <c r="S844" i="1"/>
  <c r="S946" i="1"/>
  <c r="S1077" i="1"/>
  <c r="S1159" i="1"/>
  <c r="S1245" i="1"/>
  <c r="S1315" i="1"/>
  <c r="S1322" i="1"/>
  <c r="S682" i="1"/>
  <c r="S687" i="1"/>
  <c r="S688" i="1"/>
  <c r="S1104" i="1"/>
  <c r="S1114" i="1"/>
  <c r="S59" i="1"/>
  <c r="S77" i="1"/>
  <c r="S87" i="1"/>
  <c r="S153" i="1"/>
  <c r="S164" i="1"/>
  <c r="S178" i="1"/>
  <c r="S206" i="1"/>
  <c r="S212" i="1"/>
  <c r="S214" i="1"/>
  <c r="S217" i="1"/>
  <c r="S235" i="1"/>
  <c r="S301" i="1"/>
  <c r="S340" i="1"/>
  <c r="S347" i="1"/>
  <c r="S376" i="1"/>
  <c r="S430" i="1"/>
  <c r="S476" i="1"/>
  <c r="S519" i="1"/>
  <c r="S559" i="1"/>
  <c r="S637" i="1"/>
  <c r="S640" i="1"/>
  <c r="S702" i="1"/>
  <c r="S715" i="1"/>
  <c r="S730" i="1"/>
  <c r="S749" i="1"/>
  <c r="S789" i="1"/>
  <c r="S805" i="1"/>
  <c r="S811" i="1"/>
  <c r="S876" i="1"/>
  <c r="S921" i="1"/>
  <c r="S997" i="1"/>
  <c r="S1022" i="1"/>
  <c r="S1057" i="1"/>
  <c r="S1059" i="1"/>
  <c r="S1060" i="1"/>
  <c r="S1090" i="1"/>
  <c r="S1182" i="1"/>
  <c r="S1283" i="1"/>
  <c r="S1296" i="1"/>
  <c r="S1324" i="1"/>
  <c r="S1325" i="1"/>
  <c r="S565" i="1"/>
  <c r="S1179" i="1"/>
  <c r="S120" i="1"/>
  <c r="S239" i="1"/>
  <c r="S593" i="1"/>
  <c r="S705" i="1"/>
  <c r="S626" i="1"/>
  <c r="S1212" i="1"/>
  <c r="S255" i="1"/>
  <c r="S1188" i="1"/>
  <c r="S437" i="1"/>
  <c r="S534" i="1"/>
  <c r="S291" i="1"/>
  <c r="S567" i="1"/>
  <c r="S950" i="1"/>
  <c r="S1097" i="1"/>
  <c r="S1364" i="1"/>
  <c r="S798" i="1"/>
  <c r="S881" i="1"/>
  <c r="S900" i="1"/>
  <c r="S1074" i="1"/>
  <c r="S111" i="1"/>
  <c r="S208" i="1"/>
  <c r="S236" i="1"/>
  <c r="S257" i="1"/>
  <c r="S394" i="1"/>
  <c r="S563" i="1"/>
  <c r="S557" i="1"/>
  <c r="S575" i="1"/>
  <c r="S635" i="1"/>
  <c r="S663" i="1"/>
  <c r="S689" i="1"/>
  <c r="S765" i="1"/>
  <c r="S847" i="1"/>
  <c r="S857" i="1"/>
  <c r="S880" i="1"/>
  <c r="S965" i="1"/>
  <c r="S975" i="1"/>
  <c r="S981" i="1"/>
  <c r="S1224" i="1"/>
  <c r="S1265" i="1"/>
  <c r="S1289" i="1"/>
  <c r="S486" i="1"/>
  <c r="S96" i="1"/>
  <c r="S126" i="1"/>
  <c r="S228" i="1"/>
  <c r="S276" i="1"/>
  <c r="S332" i="1"/>
  <c r="S381" i="1"/>
  <c r="S449" i="1"/>
  <c r="S544" i="1"/>
  <c r="S613" i="1"/>
  <c r="S781" i="1"/>
  <c r="S879" i="1"/>
  <c r="S961" i="1"/>
  <c r="S1072" i="1"/>
  <c r="S1117" i="1"/>
  <c r="S1162" i="1"/>
  <c r="S1167" i="1"/>
  <c r="S1168" i="1"/>
  <c r="S1264" i="1"/>
  <c r="S1332" i="1"/>
  <c r="S155" i="1"/>
  <c r="S189" i="1"/>
  <c r="S221" i="1"/>
  <c r="S354" i="1"/>
  <c r="S435" i="1"/>
  <c r="S434" i="1"/>
  <c r="S653" i="1"/>
  <c r="S852" i="1"/>
  <c r="S1018" i="1"/>
  <c r="S1091" i="1"/>
  <c r="S1228" i="1"/>
  <c r="S1260" i="1"/>
  <c r="S1267" i="1"/>
  <c r="S1338" i="1"/>
  <c r="S1108" i="1"/>
  <c r="S1174" i="1"/>
  <c r="S1176" i="1"/>
  <c r="S729" i="1"/>
  <c r="S979" i="1"/>
  <c r="S1178" i="1"/>
  <c r="S1306" i="1"/>
  <c r="S113" i="1"/>
  <c r="S28" i="1"/>
  <c r="S283" i="1"/>
  <c r="S564" i="1"/>
  <c r="S877" i="1"/>
  <c r="S1038" i="1"/>
  <c r="S1054" i="1"/>
  <c r="S554" i="1"/>
  <c r="S769" i="1"/>
  <c r="S1019" i="1"/>
  <c r="S299" i="1"/>
  <c r="S566" i="1"/>
  <c r="S592" i="1"/>
  <c r="S944" i="1"/>
  <c r="S1096" i="1"/>
  <c r="S1103" i="1"/>
  <c r="S1363" i="1"/>
  <c r="S627" i="1"/>
  <c r="S696" i="1"/>
  <c r="S1213" i="1"/>
  <c r="S1254" i="1"/>
  <c r="S1187" i="1"/>
  <c r="S1227" i="1"/>
  <c r="S1269" i="1"/>
  <c r="S436" i="1"/>
  <c r="S500" i="1"/>
  <c r="S505" i="1"/>
  <c r="S533" i="1"/>
  <c r="S555" i="1"/>
  <c r="S779" i="1"/>
  <c r="S797" i="1"/>
  <c r="S815" i="1"/>
  <c r="S814" i="1"/>
  <c r="S882" i="1"/>
  <c r="S899" i="1"/>
  <c r="S958" i="1"/>
  <c r="S1004" i="1"/>
  <c r="S1073" i="1"/>
  <c r="S1229" i="1"/>
  <c r="S49" i="1"/>
  <c r="S48" i="1"/>
  <c r="S55" i="1"/>
  <c r="S294" i="1"/>
  <c r="S648" i="1"/>
  <c r="S642" i="1"/>
  <c r="S966" i="1"/>
  <c r="S973" i="1"/>
  <c r="S974" i="1"/>
  <c r="S1003" i="1"/>
  <c r="S1061" i="1"/>
  <c r="S14" i="1"/>
  <c r="S356" i="1"/>
  <c r="S700" i="1"/>
  <c r="S969" i="1"/>
  <c r="S1191" i="1"/>
  <c r="S1248" i="1"/>
  <c r="S507" i="1"/>
  <c r="S587" i="1"/>
  <c r="S22" i="1"/>
  <c r="S31" i="1"/>
  <c r="S100" i="1"/>
  <c r="S119" i="1"/>
  <c r="S168" i="1"/>
  <c r="S172" i="1"/>
  <c r="S377" i="1"/>
  <c r="S385" i="1"/>
  <c r="S395" i="1"/>
  <c r="S445" i="1"/>
  <c r="S466" i="1"/>
  <c r="S571" i="1"/>
  <c r="S638" i="1"/>
  <c r="S704" i="1"/>
  <c r="S802" i="1"/>
  <c r="S846" i="1"/>
  <c r="S599" i="1"/>
  <c r="S962" i="1"/>
  <c r="S1290" i="1"/>
  <c r="S158" i="1"/>
  <c r="S336" i="1"/>
  <c r="S585" i="1"/>
  <c r="S957" i="1"/>
  <c r="S1195" i="1"/>
  <c r="S352" i="1"/>
  <c r="S509" i="1"/>
  <c r="S24" i="1"/>
  <c r="S69" i="1"/>
  <c r="S108" i="1"/>
  <c r="S167" i="1"/>
  <c r="S194" i="1"/>
  <c r="S250" i="1"/>
  <c r="S295" i="1"/>
  <c r="S333" i="1"/>
  <c r="S402" i="1"/>
  <c r="S426" i="1"/>
  <c r="S451" i="1"/>
  <c r="S549" i="1"/>
  <c r="S633" i="1"/>
  <c r="S651" i="1"/>
  <c r="S674" i="1"/>
  <c r="S673" i="1"/>
  <c r="S699" i="1"/>
  <c r="S788" i="1"/>
  <c r="S800" i="1"/>
  <c r="S851" i="1"/>
  <c r="S850" i="1"/>
  <c r="S856" i="1"/>
  <c r="S875" i="1"/>
  <c r="S989" i="1"/>
  <c r="S990" i="1"/>
  <c r="S988" i="1"/>
  <c r="S1010" i="1"/>
  <c r="S1008" i="1"/>
  <c r="S1021" i="1"/>
  <c r="S1079" i="1"/>
  <c r="S1145" i="1"/>
  <c r="S1194" i="1"/>
  <c r="S1282" i="1"/>
  <c r="S1308" i="1"/>
  <c r="S1323" i="1"/>
  <c r="S1328" i="1"/>
  <c r="S335" i="1"/>
  <c r="S337" i="1"/>
  <c r="S180" i="1"/>
  <c r="S403" i="1"/>
  <c r="S589" i="1"/>
  <c r="S697" i="1"/>
  <c r="S895" i="1"/>
  <c r="S1094" i="1"/>
  <c r="S71" i="1"/>
  <c r="S85" i="1"/>
  <c r="S90" i="1"/>
  <c r="S89" i="1"/>
  <c r="S118" i="1"/>
  <c r="S160" i="1"/>
  <c r="S209" i="1"/>
  <c r="S223" i="1"/>
  <c r="S306" i="1"/>
  <c r="S432" i="1"/>
  <c r="S727" i="1"/>
  <c r="S751" i="1"/>
  <c r="S750" i="1"/>
  <c r="S803" i="1"/>
  <c r="S823" i="1"/>
  <c r="S871" i="1"/>
  <c r="S1120" i="1"/>
  <c r="S1198" i="1"/>
  <c r="S1220" i="1"/>
  <c r="S1257" i="1"/>
  <c r="S9" i="1"/>
  <c r="S10" i="1"/>
  <c r="S251" i="1"/>
  <c r="S256" i="1"/>
  <c r="S4" i="1"/>
  <c r="S30" i="1"/>
  <c r="S33" i="1"/>
  <c r="S40" i="1"/>
  <c r="S152" i="1"/>
  <c r="S190" i="1"/>
  <c r="S213" i="1"/>
  <c r="S240" i="1"/>
  <c r="S243" i="1"/>
  <c r="S298" i="1"/>
  <c r="S391" i="1"/>
  <c r="S429" i="1"/>
  <c r="S582" i="1"/>
  <c r="S650" i="1"/>
  <c r="S680" i="1"/>
  <c r="S710" i="1"/>
  <c r="S855" i="1"/>
  <c r="S872" i="1"/>
  <c r="S894" i="1"/>
  <c r="S1001" i="1"/>
  <c r="S1028" i="1"/>
  <c r="S1113" i="1"/>
  <c r="S1189" i="1"/>
  <c r="S1221" i="1"/>
  <c r="S1288" i="1"/>
  <c r="S204" i="1"/>
  <c r="S1053" i="1"/>
  <c r="S1049" i="1"/>
  <c r="S284" i="1"/>
  <c r="S362" i="1"/>
  <c r="S474" i="1"/>
  <c r="S623" i="1"/>
  <c r="S677" i="1"/>
  <c r="S678" i="1"/>
  <c r="S679" i="1"/>
  <c r="S1230" i="1"/>
  <c r="S552" i="1"/>
  <c r="S624" i="1"/>
  <c r="S743" i="1"/>
  <c r="S443" i="1"/>
  <c r="S302" i="1"/>
  <c r="S405" i="1"/>
  <c r="S455" i="1"/>
  <c r="S520" i="1"/>
  <c r="S780" i="1"/>
  <c r="S791" i="1"/>
  <c r="S661" i="1"/>
  <c r="S656" i="1"/>
  <c r="S808" i="1"/>
  <c r="S898" i="1"/>
  <c r="S901" i="1"/>
  <c r="S1063" i="1"/>
  <c r="S1181" i="1"/>
  <c r="S175" i="1"/>
  <c r="S233" i="1"/>
  <c r="S776" i="1"/>
  <c r="S1354" i="1"/>
  <c r="S249" i="1"/>
  <c r="S654" i="1"/>
  <c r="S760" i="1"/>
  <c r="S762" i="1"/>
  <c r="S906" i="1"/>
  <c r="S1031" i="1"/>
  <c r="S970" i="1"/>
  <c r="S1020" i="1"/>
  <c r="S1118" i="1"/>
  <c r="S278" i="1"/>
  <c r="S116" i="1"/>
  <c r="S25" i="1"/>
  <c r="S88" i="1"/>
  <c r="S188" i="1"/>
  <c r="S201" i="1"/>
  <c r="S349" i="1"/>
  <c r="S491" i="1"/>
  <c r="S753" i="1"/>
  <c r="S870" i="1"/>
  <c r="S1009" i="1"/>
  <c r="S54" i="1"/>
  <c r="S380" i="1"/>
  <c r="S717" i="1"/>
  <c r="S712" i="1"/>
  <c r="S922" i="1"/>
  <c r="S1002" i="1"/>
  <c r="S1062" i="1"/>
  <c r="S1086" i="1"/>
  <c r="S1277" i="1"/>
  <c r="S1336" i="1"/>
  <c r="S681" i="1"/>
  <c r="S670" i="1"/>
  <c r="S887" i="1"/>
  <c r="S919" i="1"/>
  <c r="S995" i="1"/>
  <c r="S652" i="1"/>
  <c r="S76" i="1"/>
  <c r="S165" i="1"/>
  <c r="S220" i="1"/>
  <c r="S285" i="1"/>
  <c r="S386" i="1"/>
  <c r="S473" i="1"/>
  <c r="S676" i="1"/>
  <c r="S726" i="1"/>
  <c r="S783" i="1"/>
  <c r="S858" i="1"/>
  <c r="S861" i="1"/>
  <c r="S1052" i="1"/>
  <c r="S1362" i="1"/>
  <c r="S6" i="1"/>
  <c r="S18" i="1"/>
  <c r="S20" i="1"/>
  <c r="S35" i="1"/>
  <c r="S52" i="1"/>
  <c r="S51" i="1"/>
  <c r="S81" i="1"/>
  <c r="S139" i="1"/>
  <c r="S156" i="1"/>
  <c r="S157" i="1"/>
  <c r="S202" i="1"/>
  <c r="S211" i="1"/>
  <c r="S222" i="1"/>
  <c r="S231" i="1"/>
  <c r="S290" i="1"/>
  <c r="S297" i="1"/>
  <c r="S341" i="1"/>
  <c r="S345" i="1"/>
  <c r="S353" i="1"/>
  <c r="S355" i="1"/>
  <c r="S409" i="1"/>
  <c r="S421" i="1"/>
  <c r="S417" i="1"/>
  <c r="S428" i="1"/>
  <c r="S441" i="1"/>
  <c r="S461" i="1"/>
  <c r="S457" i="1"/>
  <c r="S465" i="1"/>
  <c r="S464" i="1"/>
  <c r="S485" i="1"/>
  <c r="S496" i="1"/>
  <c r="S502" i="1"/>
  <c r="S556" i="1"/>
  <c r="S722" i="1"/>
  <c r="S771" i="1"/>
  <c r="S878" i="1"/>
  <c r="S954" i="1"/>
  <c r="S951" i="1"/>
  <c r="S985" i="1"/>
  <c r="S1058" i="1"/>
  <c r="S1088" i="1"/>
  <c r="S1190" i="1"/>
  <c r="S1215" i="1"/>
  <c r="S1211" i="1"/>
  <c r="S1252" i="1"/>
  <c r="S1249" i="1"/>
  <c r="S1256" i="1"/>
  <c r="S342" i="1"/>
  <c r="S369" i="1"/>
  <c r="S884" i="1"/>
  <c r="S886" i="1"/>
  <c r="S1065" i="1"/>
  <c r="S1287" i="1"/>
  <c r="S163" i="1"/>
  <c r="S191" i="1"/>
  <c r="S300" i="1"/>
  <c r="S456" i="1"/>
  <c r="S498" i="1"/>
  <c r="S569" i="1"/>
  <c r="S668" i="1"/>
  <c r="S984" i="1"/>
  <c r="S1196" i="1"/>
  <c r="S32" i="1"/>
  <c r="S37" i="1"/>
  <c r="S82" i="1"/>
  <c r="S159" i="1"/>
  <c r="S215" i="1"/>
  <c r="S229" i="1"/>
  <c r="S280" i="1"/>
  <c r="S344" i="1"/>
  <c r="S375" i="1"/>
  <c r="S419" i="1"/>
  <c r="S438" i="1"/>
  <c r="S454" i="1"/>
  <c r="S551" i="1"/>
  <c r="S591" i="1"/>
  <c r="S675" i="1"/>
  <c r="S784" i="1"/>
  <c r="S864" i="1"/>
  <c r="S953" i="1"/>
  <c r="S1017" i="1"/>
  <c r="S1069" i="1"/>
  <c r="S1171" i="1"/>
  <c r="S1192" i="1"/>
  <c r="S1272" i="1"/>
  <c r="S1253" i="1"/>
  <c r="S1393" i="1"/>
  <c r="S1388" i="1"/>
  <c r="S1391" i="1"/>
  <c r="S1390" i="1"/>
  <c r="S1392" i="1"/>
  <c r="S1389" i="1"/>
  <c r="S1414" i="1"/>
  <c r="S1413" i="1"/>
  <c r="S1416" i="1"/>
  <c r="D1456" i="1" l="1"/>
  <c r="D1457" i="1"/>
  <c r="B1361" i="1"/>
  <c r="T1361" i="1"/>
  <c r="D1432" i="1"/>
  <c r="D1431" i="1"/>
  <c r="D1360" i="1"/>
  <c r="Z16" i="16"/>
  <c r="Z17" i="16" s="1"/>
  <c r="AA16" i="16"/>
  <c r="AB16" i="16"/>
  <c r="AC16" i="16"/>
  <c r="P852" i="1"/>
  <c r="Q852" i="1" s="1"/>
  <c r="P1079" i="1"/>
  <c r="Q1079" i="1" s="1"/>
  <c r="P802" i="1"/>
  <c r="Q802" i="1" s="1"/>
  <c r="P1139" i="1"/>
  <c r="Q1139" i="1" s="1"/>
  <c r="P1011" i="1"/>
  <c r="Q1011" i="1" s="1"/>
  <c r="P1236" i="1"/>
  <c r="Q1236" i="1" s="1"/>
  <c r="P1240" i="1"/>
  <c r="Q1240" i="1" s="1"/>
  <c r="P1271" i="1"/>
  <c r="Q1271" i="1" s="1"/>
  <c r="P997" i="1"/>
  <c r="Q997" i="1" s="1"/>
  <c r="P147" i="1"/>
  <c r="Q147" i="1" s="1"/>
  <c r="P76" i="1"/>
  <c r="Q76" i="1" s="1"/>
  <c r="P389" i="1"/>
  <c r="Q389" i="1" s="1"/>
  <c r="P1013" i="1"/>
  <c r="Q1013" i="1" s="1"/>
  <c r="P1296" i="1"/>
  <c r="Q1296" i="1" s="1"/>
  <c r="P1390" i="1"/>
  <c r="Q1390" i="1" s="1"/>
  <c r="P265" i="1"/>
  <c r="Q265" i="1" s="1"/>
  <c r="P371" i="1"/>
  <c r="Q371" i="1" s="1"/>
  <c r="P857" i="1"/>
  <c r="Q857" i="1" s="1"/>
  <c r="P1191" i="1"/>
  <c r="Q1191" i="1" s="1"/>
  <c r="P555" i="1"/>
  <c r="Q555" i="1" s="1"/>
  <c r="P581" i="1"/>
  <c r="Q581" i="1" s="1"/>
  <c r="P954" i="1"/>
  <c r="Q954" i="1" s="1"/>
  <c r="P1331" i="1"/>
  <c r="Q1331" i="1" s="1"/>
  <c r="P194" i="1"/>
  <c r="Q194" i="1" s="1"/>
  <c r="P523" i="1"/>
  <c r="Q523" i="1" s="1"/>
  <c r="P1043" i="1"/>
  <c r="Q1043" i="1" s="1"/>
  <c r="P1106" i="1"/>
  <c r="Q1106" i="1" s="1"/>
  <c r="P18" i="1"/>
  <c r="Q18" i="1" s="1"/>
  <c r="P71" i="1"/>
  <c r="Q71" i="1" s="1"/>
  <c r="P527" i="1"/>
  <c r="Q527" i="1" s="1"/>
  <c r="P1163" i="1"/>
  <c r="Q1163" i="1" s="1"/>
  <c r="P890" i="1"/>
  <c r="Q890" i="1" s="1"/>
  <c r="P432" i="1"/>
  <c r="Q432" i="1" s="1"/>
  <c r="P1249" i="1"/>
  <c r="Q1249" i="1" s="1"/>
  <c r="P1317" i="1"/>
  <c r="Q1317" i="1" s="1"/>
  <c r="P1178" i="1"/>
  <c r="Q1178" i="1" s="1"/>
  <c r="P329" i="1"/>
  <c r="Q329" i="1" s="1"/>
  <c r="P109" i="1"/>
  <c r="Q109" i="1" s="1"/>
  <c r="P407" i="1"/>
  <c r="Q407" i="1" s="1"/>
  <c r="P737" i="1"/>
  <c r="Q737" i="1" s="1"/>
  <c r="P308" i="1"/>
  <c r="Q308" i="1" s="1"/>
  <c r="P1333" i="1"/>
  <c r="Q1333" i="1" s="1"/>
  <c r="P158" i="1"/>
  <c r="Q158" i="1" s="1"/>
  <c r="P1070" i="1"/>
  <c r="Q1070" i="1" s="1"/>
  <c r="P1090" i="1"/>
  <c r="Q1090" i="1" s="1"/>
  <c r="P1099" i="1"/>
  <c r="Q1099" i="1" s="1"/>
  <c r="P135" i="1"/>
  <c r="Q135" i="1" s="1"/>
  <c r="P203" i="1"/>
  <c r="Q203" i="1" s="1"/>
  <c r="P1310" i="1"/>
  <c r="Q1310" i="1" s="1"/>
  <c r="P484" i="1"/>
  <c r="Q484" i="1" s="1"/>
  <c r="P1133" i="1"/>
  <c r="Q1133" i="1" s="1"/>
  <c r="P1054" i="1"/>
  <c r="Q1054" i="1" s="1"/>
  <c r="P736" i="1"/>
  <c r="Q736" i="1" s="1"/>
  <c r="P181" i="1"/>
  <c r="Q181" i="1" s="1"/>
  <c r="P751" i="1"/>
  <c r="Q751" i="1" s="1"/>
  <c r="P87" i="1"/>
  <c r="Q87" i="1" s="1"/>
  <c r="P44" i="1"/>
  <c r="Q44" i="1" s="1"/>
  <c r="P503" i="1"/>
  <c r="Q503" i="1" s="1"/>
  <c r="P1406" i="1"/>
  <c r="Q1406" i="1" s="1"/>
  <c r="R1406" i="1" s="1"/>
  <c r="W12" i="16"/>
  <c r="P116" i="1"/>
  <c r="Q116" i="1" s="1"/>
  <c r="AB9" i="16"/>
  <c r="P47" i="1"/>
  <c r="Q47" i="1" s="1"/>
  <c r="P992" i="1"/>
  <c r="Q992" i="1" s="1"/>
  <c r="P480" i="1"/>
  <c r="Q480" i="1" s="1"/>
  <c r="P812" i="1"/>
  <c r="Q812" i="1" s="1"/>
  <c r="P878" i="1"/>
  <c r="Q878" i="1" s="1"/>
  <c r="P247" i="1"/>
  <c r="Q247" i="1" s="1"/>
  <c r="P876" i="1"/>
  <c r="Q876" i="1" s="1"/>
  <c r="P1237" i="1"/>
  <c r="Q1237" i="1" s="1"/>
  <c r="AB17" i="16"/>
  <c r="O12" i="16"/>
  <c r="S9" i="16"/>
  <c r="AA9" i="16"/>
  <c r="E9" i="16"/>
  <c r="M9" i="16"/>
  <c r="U9" i="16"/>
  <c r="C9" i="16"/>
  <c r="O9" i="16"/>
  <c r="P46" i="1"/>
  <c r="Q46" i="1" s="1"/>
  <c r="P400" i="1"/>
  <c r="Q400" i="1" s="1"/>
  <c r="P1393" i="1"/>
  <c r="Q1393" i="1" s="1"/>
  <c r="P150" i="1"/>
  <c r="Q150" i="1" s="1"/>
  <c r="P275" i="1"/>
  <c r="Q275" i="1" s="1"/>
  <c r="P1020" i="1"/>
  <c r="Q1020" i="1" s="1"/>
  <c r="P1125" i="1"/>
  <c r="Q1125" i="1" s="1"/>
  <c r="P1245" i="1"/>
  <c r="Q1245" i="1" s="1"/>
  <c r="P1389" i="1"/>
  <c r="P1247" i="1"/>
  <c r="Q1247" i="1" s="1"/>
  <c r="R1247" i="1" s="1"/>
  <c r="P1004" i="1"/>
  <c r="Q1004" i="1" s="1"/>
  <c r="P1382" i="1"/>
  <c r="Q1382" i="1" s="1"/>
  <c r="R1382" i="1" s="1"/>
  <c r="P1153" i="1"/>
  <c r="Q1153" i="1" s="1"/>
  <c r="P398" i="1"/>
  <c r="Q398" i="1" s="1"/>
  <c r="P674" i="1"/>
  <c r="Q674" i="1" s="1"/>
  <c r="P1377" i="1"/>
  <c r="Q1377" i="1" s="1"/>
  <c r="R1377" i="1" s="1"/>
  <c r="P1409" i="1"/>
  <c r="Q1409" i="1" s="1"/>
  <c r="R1409" i="1" s="1"/>
  <c r="P1349" i="1"/>
  <c r="Q1349" i="1" s="1"/>
  <c r="R1349" i="1" s="1"/>
  <c r="D713" i="1" s="1"/>
  <c r="P803" i="1"/>
  <c r="Q803" i="1" s="1"/>
  <c r="P911" i="1"/>
  <c r="Q911" i="1" s="1"/>
  <c r="P1372" i="1"/>
  <c r="Q1372" i="1" s="1"/>
  <c r="R1372" i="1" s="1"/>
  <c r="D1075" i="1" s="1"/>
  <c r="P629" i="1"/>
  <c r="Q629" i="1" s="1"/>
  <c r="P244" i="1"/>
  <c r="Q244" i="1" s="1"/>
  <c r="P856" i="1"/>
  <c r="Q856" i="1" s="1"/>
  <c r="P1064" i="1"/>
  <c r="Q1064" i="1" s="1"/>
  <c r="P1226" i="1"/>
  <c r="Q1226" i="1" s="1"/>
  <c r="R1226" i="1" s="1"/>
  <c r="P356" i="1"/>
  <c r="Q356" i="1" s="1"/>
  <c r="P256" i="1"/>
  <c r="Q256" i="1" s="1"/>
  <c r="P858" i="1"/>
  <c r="Q858" i="1" s="1"/>
  <c r="P854" i="1"/>
  <c r="Q854" i="1" s="1"/>
  <c r="P1075" i="1"/>
  <c r="Q1075" i="1" s="1"/>
  <c r="P947" i="1"/>
  <c r="Q947" i="1" s="1"/>
  <c r="P494" i="1"/>
  <c r="Q494" i="1" s="1"/>
  <c r="P268" i="1"/>
  <c r="Q268" i="1" s="1"/>
  <c r="P301" i="1"/>
  <c r="Q301" i="1" s="1"/>
  <c r="P1005" i="1"/>
  <c r="Q1005" i="1" s="1"/>
  <c r="P881" i="1"/>
  <c r="Q881" i="1" s="1"/>
  <c r="P1105" i="1"/>
  <c r="Q1105" i="1" s="1"/>
  <c r="P1074" i="1"/>
  <c r="Q1074" i="1" s="1"/>
  <c r="P1415" i="1"/>
  <c r="Q1415" i="1" s="1"/>
  <c r="R1415" i="1" s="1"/>
  <c r="D912" i="1" s="1"/>
  <c r="P1252" i="1"/>
  <c r="Q1252" i="1" s="1"/>
  <c r="P1405" i="1"/>
  <c r="Q1405" i="1" s="1"/>
  <c r="R1405" i="1" s="1"/>
  <c r="P549" i="1"/>
  <c r="Q549" i="1" s="1"/>
  <c r="P430" i="1"/>
  <c r="Q430" i="1" s="1"/>
  <c r="P866" i="1"/>
  <c r="Q866" i="1" s="1"/>
  <c r="P1023" i="1"/>
  <c r="Q1023" i="1" s="1"/>
  <c r="P730" i="1"/>
  <c r="Q730" i="1" s="1"/>
  <c r="P1150" i="1"/>
  <c r="Q1150" i="1" s="1"/>
  <c r="P925" i="1"/>
  <c r="Q925" i="1" s="1"/>
  <c r="P1272" i="1"/>
  <c r="Q1272" i="1" s="1"/>
  <c r="P504" i="1"/>
  <c r="Q504" i="1" s="1"/>
  <c r="P1404" i="1"/>
  <c r="Q1404" i="1" s="1"/>
  <c r="R1404" i="1" s="1"/>
  <c r="P318" i="1"/>
  <c r="Q318" i="1" s="1"/>
  <c r="P897" i="1"/>
  <c r="Q897" i="1" s="1"/>
  <c r="P1029" i="1"/>
  <c r="Q1029" i="1" s="1"/>
  <c r="P1049" i="1"/>
  <c r="Q1049" i="1" s="1"/>
  <c r="P1388" i="1"/>
  <c r="Q1388" i="1" s="1"/>
  <c r="P1275" i="1"/>
  <c r="Q1275" i="1" s="1"/>
  <c r="R1275" i="1" s="1"/>
  <c r="P1280" i="1"/>
  <c r="Q1280" i="1" s="1"/>
  <c r="R1280" i="1" s="1"/>
  <c r="N9" i="16"/>
  <c r="V9" i="16"/>
  <c r="P164" i="1"/>
  <c r="Q164" i="1" s="1"/>
  <c r="P214" i="1"/>
  <c r="Q214" i="1" s="1"/>
  <c r="P392" i="1"/>
  <c r="Q392" i="1" s="1"/>
  <c r="P423" i="1"/>
  <c r="Q423" i="1" s="1"/>
  <c r="P1126" i="1"/>
  <c r="Q1126" i="1" s="1"/>
  <c r="P684" i="1"/>
  <c r="Q684" i="1" s="1"/>
  <c r="P1205" i="1"/>
  <c r="Q1205" i="1" s="1"/>
  <c r="R1205" i="1" s="1"/>
  <c r="P1351" i="1"/>
  <c r="Q1351" i="1" s="1"/>
  <c r="R1351" i="1" s="1"/>
  <c r="D451" i="1" s="1"/>
  <c r="P1407" i="1"/>
  <c r="Q1407" i="1" s="1"/>
  <c r="R1407" i="1" s="1"/>
  <c r="P1337" i="1"/>
  <c r="Q1337" i="1" s="1"/>
  <c r="R1337" i="1" s="1"/>
  <c r="P550" i="1"/>
  <c r="Q550" i="1" s="1"/>
  <c r="P953" i="1"/>
  <c r="Q953" i="1" s="1"/>
  <c r="P1035" i="1"/>
  <c r="Q1035" i="1" s="1"/>
  <c r="P538" i="1"/>
  <c r="Q538" i="1" s="1"/>
  <c r="P401" i="1"/>
  <c r="Q401" i="1" s="1"/>
  <c r="P916" i="1"/>
  <c r="Q916" i="1" s="1"/>
  <c r="P1358" i="1"/>
  <c r="Q1358" i="1" s="1"/>
  <c r="R1358" i="1" s="1"/>
  <c r="D1216" i="1" s="1"/>
  <c r="P1362" i="1"/>
  <c r="Q1362" i="1" s="1"/>
  <c r="P231" i="1"/>
  <c r="Q231" i="1" s="1"/>
  <c r="P827" i="1"/>
  <c r="Q827" i="1" s="1"/>
  <c r="P1410" i="1"/>
  <c r="Q1410" i="1" s="1"/>
  <c r="R1410" i="1" s="1"/>
  <c r="Q9" i="16"/>
  <c r="Y9" i="16"/>
  <c r="P123" i="1"/>
  <c r="Q123" i="1" s="1"/>
  <c r="P29" i="1"/>
  <c r="Q29" i="1" s="1"/>
  <c r="P37" i="1"/>
  <c r="Q37" i="1" s="1"/>
  <c r="P304" i="1"/>
  <c r="Q304" i="1" s="1"/>
  <c r="P269" i="1"/>
  <c r="Q269" i="1" s="1"/>
  <c r="P183" i="1"/>
  <c r="Q183" i="1" s="1"/>
  <c r="P254" i="1"/>
  <c r="Q254" i="1" s="1"/>
  <c r="P250" i="1"/>
  <c r="Q250" i="1" s="1"/>
  <c r="P469" i="1"/>
  <c r="Q469" i="1" s="1"/>
  <c r="P1308" i="1"/>
  <c r="Q1308" i="1" s="1"/>
  <c r="P1380" i="1"/>
  <c r="Q1380" i="1" s="1"/>
  <c r="R1380" i="1" s="1"/>
  <c r="D971" i="1" s="1"/>
  <c r="P1385" i="1"/>
  <c r="Q1385" i="1" s="1"/>
  <c r="R1385" i="1" s="1"/>
  <c r="P1386" i="1"/>
  <c r="Q1386" i="1" s="1"/>
  <c r="R1386" i="1" s="1"/>
  <c r="P1344" i="1"/>
  <c r="Q1344" i="1" s="1"/>
  <c r="R1344" i="1" s="1"/>
  <c r="D1471" i="1" s="1"/>
  <c r="P41" i="1"/>
  <c r="Q41" i="1" s="1"/>
  <c r="P52" i="1"/>
  <c r="Q52" i="1" s="1"/>
  <c r="P322" i="1"/>
  <c r="Q322" i="1" s="1"/>
  <c r="P346" i="1"/>
  <c r="Q346" i="1" s="1"/>
  <c r="P688" i="1"/>
  <c r="Q688" i="1" s="1"/>
  <c r="P721" i="1"/>
  <c r="Q721" i="1" s="1"/>
  <c r="P787" i="1"/>
  <c r="Q787" i="1" s="1"/>
  <c r="P769" i="1"/>
  <c r="Q769" i="1" s="1"/>
  <c r="P840" i="1"/>
  <c r="Q840" i="1" s="1"/>
  <c r="P903" i="1"/>
  <c r="Q903" i="1" s="1"/>
  <c r="P1192" i="1"/>
  <c r="Q1192" i="1" s="1"/>
  <c r="P174" i="1"/>
  <c r="Q174" i="1" s="1"/>
  <c r="P125" i="1"/>
  <c r="Q125" i="1" s="1"/>
  <c r="P319" i="1"/>
  <c r="Q319" i="1" s="1"/>
  <c r="P311" i="1"/>
  <c r="Q311" i="1" s="1"/>
  <c r="P298" i="1"/>
  <c r="Q298" i="1" s="1"/>
  <c r="P333" i="1"/>
  <c r="Q333" i="1" s="1"/>
  <c r="P429" i="1"/>
  <c r="Q429" i="1" s="1"/>
  <c r="P505" i="1"/>
  <c r="Q505" i="1" s="1"/>
  <c r="P373" i="1"/>
  <c r="Q373" i="1" s="1"/>
  <c r="P487" i="1"/>
  <c r="Q487" i="1" s="1"/>
  <c r="P461" i="1"/>
  <c r="Q461" i="1" s="1"/>
  <c r="P716" i="1"/>
  <c r="Q716" i="1" s="1"/>
  <c r="P579" i="1"/>
  <c r="Q579" i="1" s="1"/>
  <c r="P768" i="1"/>
  <c r="Q768" i="1" s="1"/>
  <c r="P818" i="1"/>
  <c r="Q818" i="1" s="1"/>
  <c r="P943" i="1"/>
  <c r="Q943" i="1" s="1"/>
  <c r="P841" i="1"/>
  <c r="Q841" i="1" s="1"/>
  <c r="P900" i="1"/>
  <c r="Q900" i="1" s="1"/>
  <c r="P439" i="1"/>
  <c r="Q439" i="1" s="1"/>
  <c r="P443" i="1"/>
  <c r="Q443" i="1" s="1"/>
  <c r="P575" i="1"/>
  <c r="Q575" i="1" s="1"/>
  <c r="P714" i="1"/>
  <c r="Q714" i="1" s="1"/>
  <c r="P689" i="1"/>
  <c r="Q689" i="1" s="1"/>
  <c r="P828" i="1"/>
  <c r="Q828" i="1" s="1"/>
  <c r="P924" i="1"/>
  <c r="Q924" i="1" s="1"/>
  <c r="P1162" i="1"/>
  <c r="Q1162" i="1" s="1"/>
  <c r="P210" i="1"/>
  <c r="Q210" i="1" s="1"/>
  <c r="P1078" i="1"/>
  <c r="Q1078" i="1" s="1"/>
  <c r="P1265" i="1"/>
  <c r="Q1265" i="1" s="1"/>
  <c r="P228" i="1"/>
  <c r="Q228" i="1" s="1"/>
  <c r="P760" i="1"/>
  <c r="Q760" i="1" s="1"/>
  <c r="P634" i="1"/>
  <c r="Q634" i="1" s="1"/>
  <c r="P820" i="1"/>
  <c r="Q820" i="1" s="1"/>
  <c r="P871" i="1"/>
  <c r="Q871" i="1" s="1"/>
  <c r="P1044" i="1"/>
  <c r="Q1044" i="1" s="1"/>
  <c r="P1122" i="1"/>
  <c r="Q1122" i="1" s="1"/>
  <c r="P1032" i="1"/>
  <c r="Q1032" i="1" s="1"/>
  <c r="P1364" i="1"/>
  <c r="Q1364" i="1" s="1"/>
  <c r="P685" i="1"/>
  <c r="Q685" i="1" s="1"/>
  <c r="P70" i="1"/>
  <c r="Q70" i="1" s="1"/>
  <c r="P202" i="1"/>
  <c r="Q202" i="1" s="1"/>
  <c r="P330" i="1"/>
  <c r="Q330" i="1" s="1"/>
  <c r="P222" i="1"/>
  <c r="Q222" i="1" s="1"/>
  <c r="P467" i="1"/>
  <c r="Q467" i="1" s="1"/>
  <c r="P446" i="1"/>
  <c r="Q446" i="1" s="1"/>
  <c r="P384" i="1"/>
  <c r="Q384" i="1" s="1"/>
  <c r="P5" i="1"/>
  <c r="Q5" i="1" s="1"/>
  <c r="P156" i="1"/>
  <c r="Q156" i="1" s="1"/>
  <c r="P511" i="1"/>
  <c r="Q511" i="1" s="1"/>
  <c r="P649" i="1"/>
  <c r="Q649" i="1" s="1"/>
  <c r="P942" i="1"/>
  <c r="Q942" i="1" s="1"/>
  <c r="P990" i="1"/>
  <c r="Q990" i="1" s="1"/>
  <c r="P915" i="1"/>
  <c r="Q915" i="1" s="1"/>
  <c r="P784" i="1"/>
  <c r="Q784" i="1" s="1"/>
  <c r="P1215" i="1"/>
  <c r="Q1215" i="1" s="1"/>
  <c r="P1367" i="1"/>
  <c r="Q1367" i="1" s="1"/>
  <c r="P659" i="1"/>
  <c r="Q659" i="1" s="1"/>
  <c r="P216" i="1"/>
  <c r="Q216" i="1" s="1"/>
  <c r="P785" i="1"/>
  <c r="Q785" i="1" s="1"/>
  <c r="P1146" i="1"/>
  <c r="Q1146" i="1" s="1"/>
  <c r="P939" i="1"/>
  <c r="Q939" i="1" s="1"/>
  <c r="P1300" i="1"/>
  <c r="Q1300" i="1" s="1"/>
  <c r="P1222" i="1"/>
  <c r="Q1222" i="1" s="1"/>
  <c r="P1282" i="1"/>
  <c r="Q1282" i="1" s="1"/>
  <c r="P171" i="1"/>
  <c r="Q171" i="1" s="1"/>
  <c r="P1118" i="1"/>
  <c r="Q1118" i="1" s="1"/>
  <c r="P1173" i="1"/>
  <c r="Q1173" i="1" s="1"/>
  <c r="P1179" i="1"/>
  <c r="Q1179" i="1" s="1"/>
  <c r="P1093" i="1"/>
  <c r="Q1093" i="1" s="1"/>
  <c r="P234" i="1"/>
  <c r="Q234" i="1" s="1"/>
  <c r="P279" i="1"/>
  <c r="Q279" i="1" s="1"/>
  <c r="P1144" i="1"/>
  <c r="Q1144" i="1" s="1"/>
  <c r="P814" i="1"/>
  <c r="Q814" i="1" s="1"/>
  <c r="P492" i="1"/>
  <c r="Q492" i="1" s="1"/>
  <c r="P746" i="1"/>
  <c r="Q746" i="1" s="1"/>
  <c r="P931" i="1"/>
  <c r="Q931" i="1" s="1"/>
  <c r="P1031" i="1"/>
  <c r="Q1031" i="1" s="1"/>
  <c r="P875" i="1"/>
  <c r="Q875" i="1" s="1"/>
  <c r="P206" i="1"/>
  <c r="Q206" i="1" s="1"/>
  <c r="P278" i="1"/>
  <c r="Q278" i="1" s="1"/>
  <c r="P108" i="1"/>
  <c r="Q108" i="1" s="1"/>
  <c r="P289" i="1"/>
  <c r="Q289" i="1" s="1"/>
  <c r="P215" i="1"/>
  <c r="Q215" i="1" s="1"/>
  <c r="P362" i="1"/>
  <c r="Q362" i="1" s="1"/>
  <c r="P489" i="1"/>
  <c r="Q489" i="1" s="1"/>
  <c r="P860" i="1"/>
  <c r="Q860" i="1" s="1"/>
  <c r="P983" i="1"/>
  <c r="Q983" i="1" s="1"/>
  <c r="P959" i="1"/>
  <c r="Q959" i="1" s="1"/>
  <c r="P1042" i="1"/>
  <c r="Q1042" i="1" s="1"/>
  <c r="P1289" i="1"/>
  <c r="Q1289" i="1" s="1"/>
  <c r="P1112" i="1"/>
  <c r="Q1112" i="1" s="1"/>
  <c r="P338" i="1"/>
  <c r="Q338" i="1" s="1"/>
  <c r="P411" i="1"/>
  <c r="Q411" i="1" s="1"/>
  <c r="P381" i="1"/>
  <c r="Q381" i="1" s="1"/>
  <c r="P772" i="1"/>
  <c r="Q772" i="1" s="1"/>
  <c r="F17" i="16"/>
  <c r="P4" i="1"/>
  <c r="Q4" i="1" s="1"/>
  <c r="P242" i="1"/>
  <c r="Q242" i="1" s="1"/>
  <c r="P394" i="1"/>
  <c r="Q394" i="1" s="1"/>
  <c r="P404" i="1"/>
  <c r="Q404" i="1" s="1"/>
  <c r="P450" i="1"/>
  <c r="Q450" i="1" s="1"/>
  <c r="P134" i="1"/>
  <c r="Q134" i="1" s="1"/>
  <c r="P646" i="1"/>
  <c r="Q646" i="1" s="1"/>
  <c r="P747" i="1"/>
  <c r="Q747" i="1" s="1"/>
  <c r="P695" i="1"/>
  <c r="Q695" i="1" s="1"/>
  <c r="P584" i="1"/>
  <c r="Q584" i="1" s="1"/>
  <c r="P804" i="1"/>
  <c r="Q804" i="1" s="1"/>
  <c r="P56" i="1"/>
  <c r="Q56" i="1" s="1"/>
  <c r="P148" i="1"/>
  <c r="Q148" i="1" s="1"/>
  <c r="P690" i="1"/>
  <c r="Q690" i="1" s="1"/>
  <c r="P307" i="1"/>
  <c r="Q307" i="1" s="1"/>
  <c r="P11" i="1"/>
  <c r="Q11" i="1" s="1"/>
  <c r="P388" i="1"/>
  <c r="Q388" i="1" s="1"/>
  <c r="P825" i="1"/>
  <c r="Q825" i="1" s="1"/>
  <c r="P1092" i="1"/>
  <c r="Q1092" i="1" s="1"/>
  <c r="P1213" i="1"/>
  <c r="Q1213" i="1" s="1"/>
  <c r="P717" i="1"/>
  <c r="Q717" i="1" s="1"/>
  <c r="P793" i="1"/>
  <c r="Q793" i="1" s="1"/>
  <c r="P781" i="1"/>
  <c r="Q781" i="1" s="1"/>
  <c r="P1102" i="1"/>
  <c r="Q1102" i="1" s="1"/>
  <c r="P1014" i="1"/>
  <c r="Q1014" i="1" s="1"/>
  <c r="P1266" i="1"/>
  <c r="Q1266" i="1" s="1"/>
  <c r="P1309" i="1"/>
  <c r="Q1309" i="1" s="1"/>
  <c r="P929" i="1"/>
  <c r="Q929" i="1" s="1"/>
  <c r="P113" i="1"/>
  <c r="Q113" i="1" s="1"/>
  <c r="P971" i="1"/>
  <c r="Q971" i="1" s="1"/>
  <c r="P81" i="1"/>
  <c r="Q81" i="1" s="1"/>
  <c r="P40" i="1"/>
  <c r="Q40" i="1" s="1"/>
  <c r="P445" i="1"/>
  <c r="Q445" i="1" s="1"/>
  <c r="P899" i="1"/>
  <c r="Q899" i="1" s="1"/>
  <c r="P54" i="1"/>
  <c r="Q54" i="1" s="1"/>
  <c r="P912" i="1"/>
  <c r="Q912" i="1" s="1"/>
  <c r="P79" i="1"/>
  <c r="Q79" i="1" s="1"/>
  <c r="P124" i="1"/>
  <c r="Q124" i="1" s="1"/>
  <c r="P817" i="1"/>
  <c r="Q817" i="1" s="1"/>
  <c r="P21" i="1"/>
  <c r="Q21" i="1" s="1"/>
  <c r="P77" i="1"/>
  <c r="Q77" i="1" s="1"/>
  <c r="P305" i="1"/>
  <c r="Q305" i="1" s="1"/>
  <c r="P296" i="1"/>
  <c r="Q296" i="1" s="1"/>
  <c r="P323" i="1"/>
  <c r="Q323" i="1" s="1"/>
  <c r="P476" i="1"/>
  <c r="Q476" i="1" s="1"/>
  <c r="P665" i="1"/>
  <c r="Q665" i="1" s="1"/>
  <c r="P235" i="1"/>
  <c r="Q235" i="1" s="1"/>
  <c r="P605" i="1"/>
  <c r="Q605" i="1" s="1"/>
  <c r="P853" i="1"/>
  <c r="Q853" i="1" s="1"/>
  <c r="P1151" i="1"/>
  <c r="Q1151" i="1" s="1"/>
  <c r="P824" i="1"/>
  <c r="Q824" i="1" s="1"/>
  <c r="P119" i="1"/>
  <c r="Q119" i="1" s="1"/>
  <c r="P431" i="1"/>
  <c r="Q431" i="1" s="1"/>
  <c r="P792" i="1"/>
  <c r="Q792" i="1" s="1"/>
  <c r="P1037" i="1"/>
  <c r="Q1037" i="1" s="1"/>
  <c r="P1207" i="1"/>
  <c r="Q1207" i="1" s="1"/>
  <c r="P996" i="1"/>
  <c r="Q996" i="1" s="1"/>
  <c r="P960" i="1"/>
  <c r="Q960" i="1" s="1"/>
  <c r="P578" i="1"/>
  <c r="Q578" i="1" s="1"/>
  <c r="P723" i="1"/>
  <c r="Q723" i="1" s="1"/>
  <c r="P102" i="1"/>
  <c r="Q102" i="1" s="1"/>
  <c r="P808" i="1"/>
  <c r="Q808" i="1" s="1"/>
  <c r="P8" i="1"/>
  <c r="Q8" i="1" s="1"/>
  <c r="P402" i="1"/>
  <c r="Q402" i="1" s="1"/>
  <c r="P361" i="1"/>
  <c r="Q361" i="1" s="1"/>
  <c r="P948" i="1"/>
  <c r="Q948" i="1" s="1"/>
  <c r="P1107" i="1"/>
  <c r="Q1107" i="1" s="1"/>
  <c r="P255" i="1"/>
  <c r="Q255" i="1" s="1"/>
  <c r="P514" i="1"/>
  <c r="Q514" i="1" s="1"/>
  <c r="P397" i="1"/>
  <c r="Q397" i="1" s="1"/>
  <c r="P451" i="1"/>
  <c r="Q451" i="1" s="1"/>
  <c r="P743" i="1"/>
  <c r="Q743" i="1" s="1"/>
  <c r="P498" i="1"/>
  <c r="Q498" i="1" s="1"/>
  <c r="P748" i="1"/>
  <c r="Q748" i="1" s="1"/>
  <c r="P917" i="1"/>
  <c r="Q917" i="1" s="1"/>
  <c r="P928" i="1"/>
  <c r="Q928" i="1" s="1"/>
  <c r="P904" i="1"/>
  <c r="Q904" i="1" s="1"/>
  <c r="P1077" i="1"/>
  <c r="Q1077" i="1" s="1"/>
  <c r="P1080" i="1"/>
  <c r="Q1080" i="1" s="1"/>
  <c r="P61" i="1"/>
  <c r="Q61" i="1" s="1"/>
  <c r="P97" i="1"/>
  <c r="Q97" i="1" s="1"/>
  <c r="P159" i="1"/>
  <c r="Q159" i="1" s="1"/>
  <c r="P207" i="1"/>
  <c r="Q207" i="1" s="1"/>
  <c r="P357" i="1"/>
  <c r="Q357" i="1" s="1"/>
  <c r="P287" i="1"/>
  <c r="Q287" i="1" s="1"/>
  <c r="P313" i="1"/>
  <c r="Q313" i="1" s="1"/>
  <c r="P15" i="1"/>
  <c r="Q15" i="1" s="1"/>
  <c r="P436" i="1"/>
  <c r="Q436" i="1" s="1"/>
  <c r="P273" i="1"/>
  <c r="Q273" i="1" s="1"/>
  <c r="P522" i="1"/>
  <c r="Q522" i="1" s="1"/>
  <c r="P553" i="1"/>
  <c r="Q553" i="1" s="1"/>
  <c r="P149" i="1"/>
  <c r="Q149" i="1" s="1"/>
  <c r="P625" i="1"/>
  <c r="Q625" i="1" s="1"/>
  <c r="P867" i="1"/>
  <c r="Q867" i="1" s="1"/>
  <c r="P850" i="1"/>
  <c r="Q850" i="1" s="1"/>
  <c r="P938" i="1"/>
  <c r="Q938" i="1" s="1"/>
  <c r="P934" i="1"/>
  <c r="Q934" i="1" s="1"/>
  <c r="P2" i="1"/>
  <c r="Q2" i="1" s="1"/>
  <c r="P173" i="1"/>
  <c r="Q173" i="1" s="1"/>
  <c r="P112" i="1"/>
  <c r="Q112" i="1" s="1"/>
  <c r="P197" i="1"/>
  <c r="Q197" i="1" s="1"/>
  <c r="P542" i="1"/>
  <c r="Q542" i="1" s="1"/>
  <c r="P399" i="1"/>
  <c r="Q399" i="1" s="1"/>
  <c r="P611" i="1"/>
  <c r="Q611" i="1" s="1"/>
  <c r="P791" i="1"/>
  <c r="Q791" i="1" s="1"/>
  <c r="P813" i="1"/>
  <c r="Q813" i="1" s="1"/>
  <c r="P1114" i="1"/>
  <c r="Q1114" i="1" s="1"/>
  <c r="P816" i="1"/>
  <c r="Q816" i="1" s="1"/>
  <c r="P892" i="1"/>
  <c r="Q892" i="1" s="1"/>
  <c r="P1096" i="1"/>
  <c r="Q1096" i="1" s="1"/>
  <c r="P1384" i="1"/>
  <c r="Q1384" i="1" s="1"/>
  <c r="P1256" i="1"/>
  <c r="Q1256" i="1" s="1"/>
  <c r="P1299" i="1"/>
  <c r="Q1299" i="1" s="1"/>
  <c r="P1025" i="1"/>
  <c r="Q1025" i="1" s="1"/>
  <c r="P136" i="1"/>
  <c r="Q136" i="1" s="1"/>
  <c r="P238" i="1"/>
  <c r="Q238" i="1" s="1"/>
  <c r="P1097" i="1"/>
  <c r="Q1097" i="1" s="1"/>
  <c r="P1072" i="1"/>
  <c r="Q1072" i="1" s="1"/>
  <c r="P347" i="1"/>
  <c r="Q347" i="1" s="1"/>
  <c r="P229" i="1"/>
  <c r="Q229" i="1" s="1"/>
  <c r="P920" i="1"/>
  <c r="Q920" i="1" s="1"/>
  <c r="P1143" i="1"/>
  <c r="Q1143" i="1" s="1"/>
  <c r="P427" i="1"/>
  <c r="Q427" i="1" s="1"/>
  <c r="P167" i="1"/>
  <c r="Q167" i="1" s="1"/>
  <c r="P165" i="1"/>
  <c r="Q165" i="1" s="1"/>
  <c r="P103" i="1"/>
  <c r="Q103" i="1" s="1"/>
  <c r="P515" i="1"/>
  <c r="Q515" i="1" s="1"/>
  <c r="P800" i="1"/>
  <c r="Q800" i="1" s="1"/>
  <c r="P864" i="1"/>
  <c r="Q864" i="1" s="1"/>
  <c r="P891" i="1"/>
  <c r="Q891" i="1" s="1"/>
  <c r="P921" i="1"/>
  <c r="Q921" i="1" s="1"/>
  <c r="P1414" i="1"/>
  <c r="Q1414" i="1" s="1"/>
  <c r="P306" i="1"/>
  <c r="Q306" i="1" s="1"/>
  <c r="P775" i="1"/>
  <c r="Q775" i="1" s="1"/>
  <c r="P967" i="1"/>
  <c r="Q967" i="1" s="1"/>
  <c r="P1124" i="1"/>
  <c r="Q1124" i="1" s="1"/>
  <c r="P1152" i="1"/>
  <c r="Q1152" i="1" s="1"/>
  <c r="P1047" i="1"/>
  <c r="Q1047" i="1" s="1"/>
  <c r="P1098" i="1"/>
  <c r="Q1098" i="1" s="1"/>
  <c r="P1055" i="1"/>
  <c r="Q1055" i="1" s="1"/>
  <c r="P415" i="1"/>
  <c r="Q415" i="1" s="1"/>
  <c r="P930" i="1"/>
  <c r="Q930" i="1" s="1"/>
  <c r="P972" i="1"/>
  <c r="Q972" i="1" s="1"/>
  <c r="P1057" i="1"/>
  <c r="Q1057" i="1" s="1"/>
  <c r="P1019" i="1"/>
  <c r="Q1019" i="1" s="1"/>
  <c r="P949" i="1"/>
  <c r="Q949" i="1" s="1"/>
  <c r="P237" i="1"/>
  <c r="Q237" i="1" s="1"/>
  <c r="P591" i="1"/>
  <c r="Q591" i="1" s="1"/>
  <c r="P839" i="1"/>
  <c r="Q839" i="1" s="1"/>
  <c r="P905" i="1"/>
  <c r="Q905" i="1" s="1"/>
  <c r="P1008" i="1"/>
  <c r="Q1008" i="1" s="1"/>
  <c r="P1145" i="1"/>
  <c r="Q1145" i="1" s="1"/>
  <c r="P263" i="1"/>
  <c r="Q263" i="1" s="1"/>
  <c r="P27" i="1"/>
  <c r="Q27" i="1" s="1"/>
  <c r="P84" i="1"/>
  <c r="Q84" i="1" s="1"/>
  <c r="P377" i="1"/>
  <c r="Q377" i="1" s="1"/>
  <c r="P599" i="1"/>
  <c r="Q599" i="1" s="1"/>
  <c r="P640" i="1"/>
  <c r="Q640" i="1" s="1"/>
  <c r="P441" i="1"/>
  <c r="Q441" i="1" s="1"/>
  <c r="P664" i="1"/>
  <c r="Q664" i="1" s="1"/>
  <c r="P1048" i="1"/>
  <c r="Q1048" i="1" s="1"/>
  <c r="P898" i="1"/>
  <c r="Q898" i="1" s="1"/>
  <c r="P1342" i="1"/>
  <c r="Q1342" i="1" s="1"/>
  <c r="P1398" i="1"/>
  <c r="Q1398" i="1" s="1"/>
  <c r="P1220" i="1"/>
  <c r="Q1220" i="1" s="1"/>
  <c r="P1227" i="1"/>
  <c r="Q1227" i="1" s="1"/>
  <c r="P488" i="1"/>
  <c r="Q488" i="1" s="1"/>
  <c r="P882" i="1"/>
  <c r="Q882" i="1" s="1"/>
  <c r="P923" i="1"/>
  <c r="Q923" i="1" s="1"/>
  <c r="P1121" i="1"/>
  <c r="Q1121" i="1" s="1"/>
  <c r="G17" i="16"/>
  <c r="Q106" i="1"/>
  <c r="Q3" i="1"/>
  <c r="Q66" i="1"/>
  <c r="Q133" i="1"/>
  <c r="Q35" i="1"/>
  <c r="Q39" i="1"/>
  <c r="Q101" i="1"/>
  <c r="Q34" i="1"/>
  <c r="Q99" i="1"/>
  <c r="Q162" i="1"/>
  <c r="Q252" i="1"/>
  <c r="Q332" i="1"/>
  <c r="Q396" i="1"/>
  <c r="Q455" i="1"/>
  <c r="Q525" i="1"/>
  <c r="Q587" i="1"/>
  <c r="Q650" i="1"/>
  <c r="Q272" i="1"/>
  <c r="Q334" i="1"/>
  <c r="Q590" i="1"/>
  <c r="Q139" i="1"/>
  <c r="Q205" i="1"/>
  <c r="Q539" i="1"/>
  <c r="Q336" i="1"/>
  <c r="Q457" i="1"/>
  <c r="Q440" i="1"/>
  <c r="Q589" i="1"/>
  <c r="Q175" i="1"/>
  <c r="Q365" i="1"/>
  <c r="Q433" i="1"/>
  <c r="Q491" i="1"/>
  <c r="Q64" i="1"/>
  <c r="Q132" i="1"/>
  <c r="Q196" i="1"/>
  <c r="Q257" i="1"/>
  <c r="Q326" i="1"/>
  <c r="Q448" i="1"/>
  <c r="Q513" i="1"/>
  <c r="Q576" i="1"/>
  <c r="Q239" i="1"/>
  <c r="Q497" i="1"/>
  <c r="Q559" i="1"/>
  <c r="Q179" i="1"/>
  <c r="Q434" i="1"/>
  <c r="Q557" i="1"/>
  <c r="Q627" i="1"/>
  <c r="Q691" i="1"/>
  <c r="Q758" i="1"/>
  <c r="Q1203" i="1"/>
  <c r="Q833" i="1"/>
  <c r="Q869" i="1"/>
  <c r="Q933" i="1"/>
  <c r="Q995" i="1"/>
  <c r="Q1058" i="1"/>
  <c r="Q1187" i="1"/>
  <c r="Q1313" i="1"/>
  <c r="Q672" i="1"/>
  <c r="Q732" i="1"/>
  <c r="Q798" i="1"/>
  <c r="Q861" i="1"/>
  <c r="Q926" i="1"/>
  <c r="Q991" i="1"/>
  <c r="Q1119" i="1"/>
  <c r="Q1229" i="1"/>
  <c r="Q1318" i="1"/>
  <c r="Q637" i="1"/>
  <c r="Q697" i="1"/>
  <c r="Q894" i="1"/>
  <c r="Q958" i="1"/>
  <c r="Q1022" i="1"/>
  <c r="Q1086" i="1"/>
  <c r="Q1279" i="1"/>
  <c r="Q1211" i="1"/>
  <c r="Q1277" i="1"/>
  <c r="Q481" i="1"/>
  <c r="Q638" i="1"/>
  <c r="Q706" i="1"/>
  <c r="Q767" i="1"/>
  <c r="Q836" i="1"/>
  <c r="Q896" i="1"/>
  <c r="Q1021" i="1"/>
  <c r="Q1089" i="1"/>
  <c r="Q1156" i="1"/>
  <c r="Q630" i="1"/>
  <c r="Q615" i="1"/>
  <c r="Q761" i="1"/>
  <c r="Q884" i="1"/>
  <c r="Q1012" i="1"/>
  <c r="Q1082" i="1"/>
  <c r="Q1154" i="1"/>
  <c r="Q1208" i="1"/>
  <c r="Q755" i="1"/>
  <c r="Q838" i="1"/>
  <c r="Q886" i="1"/>
  <c r="Q951" i="1"/>
  <c r="Q1017" i="1"/>
  <c r="Q1209" i="1"/>
  <c r="Q1276" i="1"/>
  <c r="Q1338" i="1"/>
  <c r="Q1396" i="1"/>
  <c r="Q435" i="1"/>
  <c r="Q829" i="1"/>
  <c r="Q391" i="1"/>
  <c r="Q1416" i="1"/>
  <c r="Q1389" i="1"/>
  <c r="Q418" i="1"/>
  <c r="Q544" i="1"/>
  <c r="Q612" i="1"/>
  <c r="Q673" i="1"/>
  <c r="Q620" i="1"/>
  <c r="Q994" i="1"/>
  <c r="Q1059" i="1"/>
  <c r="Q1284" i="1"/>
  <c r="Q1343" i="1"/>
  <c r="Q1403" i="1"/>
  <c r="R1403" i="1" s="1"/>
  <c r="Q1242" i="1"/>
  <c r="Q50" i="1"/>
  <c r="Q115" i="1"/>
  <c r="Q74" i="1"/>
  <c r="Q142" i="1"/>
  <c r="Q43" i="1"/>
  <c r="Q141" i="1"/>
  <c r="Q45" i="1"/>
  <c r="Q110" i="1"/>
  <c r="Q42" i="1"/>
  <c r="Q104" i="1"/>
  <c r="Q170" i="1"/>
  <c r="Q211" i="1"/>
  <c r="Q277" i="1"/>
  <c r="Q337" i="1"/>
  <c r="Q468" i="1"/>
  <c r="Q524" i="1"/>
  <c r="Q595" i="1"/>
  <c r="Q661" i="1"/>
  <c r="Q276" i="1"/>
  <c r="Q341" i="1"/>
  <c r="Q403" i="1"/>
  <c r="Q596" i="1"/>
  <c r="Q151" i="1"/>
  <c r="Q213" i="1"/>
  <c r="Q343" i="1"/>
  <c r="Q405" i="1"/>
  <c r="Q472" i="1"/>
  <c r="Q477" i="1"/>
  <c r="Q594" i="1"/>
  <c r="Q248" i="1"/>
  <c r="Q375" i="1"/>
  <c r="Q442" i="1"/>
  <c r="Q72" i="1"/>
  <c r="Q131" i="1"/>
  <c r="Q264" i="1"/>
  <c r="Q270" i="1"/>
  <c r="Q393" i="1"/>
  <c r="Q462" i="1"/>
  <c r="Q519" i="1"/>
  <c r="Q186" i="1"/>
  <c r="Q508" i="1"/>
  <c r="Q832" i="1"/>
  <c r="Q192" i="1"/>
  <c r="Q249" i="1"/>
  <c r="Q267" i="1"/>
  <c r="Q378" i="1"/>
  <c r="Q569" i="1"/>
  <c r="Q633" i="1"/>
  <c r="Q696" i="1"/>
  <c r="Q757" i="1"/>
  <c r="Q956" i="1"/>
  <c r="Q1155" i="1"/>
  <c r="Q1212" i="1"/>
  <c r="Q810" i="1"/>
  <c r="Q936" i="1"/>
  <c r="Q1062" i="1"/>
  <c r="Q1129" i="1"/>
  <c r="Q1197" i="1"/>
  <c r="Q1267" i="1"/>
  <c r="Q1325" i="1"/>
  <c r="Q683" i="1"/>
  <c r="Q694" i="1"/>
  <c r="Q807" i="1"/>
  <c r="Q843" i="1"/>
  <c r="Q932" i="1"/>
  <c r="Q998" i="1"/>
  <c r="Q1066" i="1"/>
  <c r="Q1253" i="1"/>
  <c r="Q1316" i="1"/>
  <c r="Q1379" i="1"/>
  <c r="R1379" i="1" s="1"/>
  <c r="Q645" i="1"/>
  <c r="Q710" i="1"/>
  <c r="Q786" i="1"/>
  <c r="Q908" i="1"/>
  <c r="Q1033" i="1"/>
  <c r="Q1091" i="1"/>
  <c r="Q1147" i="1"/>
  <c r="Q1223" i="1"/>
  <c r="Q1286" i="1"/>
  <c r="Q521" i="1"/>
  <c r="Q583" i="1"/>
  <c r="Q648" i="1"/>
  <c r="Q713" i="1"/>
  <c r="Q774" i="1"/>
  <c r="Q968" i="1"/>
  <c r="Q1027" i="1"/>
  <c r="Q1094" i="1"/>
  <c r="Q1159" i="1"/>
  <c r="Q1224" i="1"/>
  <c r="Q703" i="1"/>
  <c r="Q766" i="1"/>
  <c r="Q895" i="1"/>
  <c r="Q1026" i="1"/>
  <c r="Q1087" i="1"/>
  <c r="Q1217" i="1"/>
  <c r="Q1281" i="1"/>
  <c r="Q745" i="1"/>
  <c r="Q849" i="1"/>
  <c r="Q961" i="1"/>
  <c r="Q1024" i="1"/>
  <c r="Q1218" i="1"/>
  <c r="Q1235" i="1"/>
  <c r="Q1345" i="1"/>
  <c r="Q475" i="1"/>
  <c r="Q219" i="1"/>
  <c r="Q274" i="1"/>
  <c r="Q554" i="1"/>
  <c r="Q530" i="1"/>
  <c r="Q678" i="1"/>
  <c r="Q622" i="1"/>
  <c r="Q1006" i="1"/>
  <c r="Q1061" i="1"/>
  <c r="Q1132" i="1"/>
  <c r="Q1287" i="1"/>
  <c r="Q1420" i="1"/>
  <c r="R1420" i="1" s="1"/>
  <c r="Q1233" i="1"/>
  <c r="Q1306" i="1"/>
  <c r="Q58" i="1"/>
  <c r="Q122" i="1"/>
  <c r="Q83" i="1"/>
  <c r="Q143" i="1"/>
  <c r="Q86" i="1"/>
  <c r="Q51" i="1"/>
  <c r="Q118" i="1"/>
  <c r="Q48" i="1"/>
  <c r="Q177" i="1"/>
  <c r="Q220" i="1"/>
  <c r="Q284" i="1"/>
  <c r="Q345" i="1"/>
  <c r="Q424" i="1"/>
  <c r="Q474" i="1"/>
  <c r="Q540" i="1"/>
  <c r="Q606" i="1"/>
  <c r="Q669" i="1"/>
  <c r="Q221" i="1"/>
  <c r="Q285" i="1"/>
  <c r="Q349" i="1"/>
  <c r="Q374" i="1"/>
  <c r="Q541" i="1"/>
  <c r="Q603" i="1"/>
  <c r="Q157" i="1"/>
  <c r="Q223" i="1"/>
  <c r="Q286" i="1"/>
  <c r="Q351" i="1"/>
  <c r="Q412" i="1"/>
  <c r="Q529" i="1"/>
  <c r="Q608" i="1"/>
  <c r="Q63" i="1"/>
  <c r="Q127" i="1"/>
  <c r="Q191" i="1"/>
  <c r="Q447" i="1"/>
  <c r="Q16" i="1"/>
  <c r="Q78" i="1"/>
  <c r="Q144" i="1"/>
  <c r="Q208" i="1"/>
  <c r="Q253" i="1"/>
  <c r="Q335" i="1"/>
  <c r="Q406" i="1"/>
  <c r="Q464" i="1"/>
  <c r="Q618" i="1"/>
  <c r="Q199" i="1"/>
  <c r="Q385" i="1"/>
  <c r="Q449" i="1"/>
  <c r="Q580" i="1"/>
  <c r="Q707" i="1"/>
  <c r="Q187" i="1"/>
  <c r="Q259" i="1"/>
  <c r="Q282" i="1"/>
  <c r="Q572" i="1"/>
  <c r="Q643" i="1"/>
  <c r="Q704" i="1"/>
  <c r="Q773" i="1"/>
  <c r="Q963" i="1"/>
  <c r="Q1219" i="1"/>
  <c r="Q885" i="1"/>
  <c r="Q946" i="1"/>
  <c r="Q1076" i="1"/>
  <c r="Q1141" i="1"/>
  <c r="Q1332" i="1"/>
  <c r="Q686" i="1"/>
  <c r="Q749" i="1"/>
  <c r="Q811" i="1"/>
  <c r="Q877" i="1"/>
  <c r="Q937" i="1"/>
  <c r="Q1065" i="1"/>
  <c r="Q1198" i="1"/>
  <c r="Q1262" i="1"/>
  <c r="Q1273" i="1"/>
  <c r="Q1391" i="1"/>
  <c r="Q654" i="1"/>
  <c r="Q719" i="1"/>
  <c r="Q847" i="1"/>
  <c r="Q913" i="1"/>
  <c r="Q976" i="1"/>
  <c r="Q1051" i="1"/>
  <c r="Q1101" i="1"/>
  <c r="Q1166" i="1"/>
  <c r="Q1239" i="1"/>
  <c r="Q617" i="1"/>
  <c r="Q660" i="1"/>
  <c r="Q718" i="1"/>
  <c r="Q783" i="1"/>
  <c r="Q846" i="1"/>
  <c r="Q977" i="1"/>
  <c r="Q1104" i="1"/>
  <c r="Q1169" i="1"/>
  <c r="Q585" i="1"/>
  <c r="Q642" i="1"/>
  <c r="Q776" i="1"/>
  <c r="Q966" i="1"/>
  <c r="Q1028" i="1"/>
  <c r="Q1221" i="1"/>
  <c r="Q1288" i="1"/>
  <c r="Q777" i="1"/>
  <c r="Q834" i="1"/>
  <c r="Q907" i="1"/>
  <c r="Q969" i="1"/>
  <c r="Q1292" i="1"/>
  <c r="Q1352" i="1"/>
  <c r="Q483" i="1"/>
  <c r="Q225" i="1"/>
  <c r="Q290" i="1"/>
  <c r="Q453" i="1"/>
  <c r="Q1408" i="1"/>
  <c r="R1408" i="1" s="1"/>
  <c r="D1408" i="1" s="1"/>
  <c r="Q459" i="1"/>
  <c r="Q563" i="1"/>
  <c r="Q626" i="1"/>
  <c r="Q693" i="1"/>
  <c r="Q753" i="1"/>
  <c r="Q1009" i="1"/>
  <c r="Q1073" i="1"/>
  <c r="Q1138" i="1"/>
  <c r="Q1243" i="1"/>
  <c r="Q1186" i="1"/>
  <c r="Q1378" i="1"/>
  <c r="Q65" i="1"/>
  <c r="Q128" i="1"/>
  <c r="Q91" i="1"/>
  <c r="Q155" i="1"/>
  <c r="Q60" i="1"/>
  <c r="Q62" i="1"/>
  <c r="Q137" i="1"/>
  <c r="Q57" i="1"/>
  <c r="Q121" i="1"/>
  <c r="Q227" i="1"/>
  <c r="Q292" i="1"/>
  <c r="Q353" i="1"/>
  <c r="Q382" i="1"/>
  <c r="Q482" i="1"/>
  <c r="Q548" i="1"/>
  <c r="Q675" i="1"/>
  <c r="Q232" i="1"/>
  <c r="Q293" i="1"/>
  <c r="Q355" i="1"/>
  <c r="Q610" i="1"/>
  <c r="Q166" i="1"/>
  <c r="Q294" i="1"/>
  <c r="Q358" i="1"/>
  <c r="Q409" i="1"/>
  <c r="Q486" i="1"/>
  <c r="Q7" i="1"/>
  <c r="Q193" i="1"/>
  <c r="Q463" i="1"/>
  <c r="Q24" i="1"/>
  <c r="Q90" i="1"/>
  <c r="Q152" i="1"/>
  <c r="Q280" i="1"/>
  <c r="Q344" i="1"/>
  <c r="Q420" i="1"/>
  <c r="Q466" i="1"/>
  <c r="Q528" i="1"/>
  <c r="Q460" i="1"/>
  <c r="Q520" i="1"/>
  <c r="Q582" i="1"/>
  <c r="Q201" i="1"/>
  <c r="Q331" i="1"/>
  <c r="Q395" i="1"/>
  <c r="Q458" i="1"/>
  <c r="Q588" i="1"/>
  <c r="Q651" i="1"/>
  <c r="Q715" i="1"/>
  <c r="Q779" i="1"/>
  <c r="Q902" i="1"/>
  <c r="Q1039" i="1"/>
  <c r="Q764" i="1"/>
  <c r="Q742" i="1"/>
  <c r="Q873" i="1"/>
  <c r="Q1085" i="1"/>
  <c r="Q1293" i="1"/>
  <c r="Q1341" i="1"/>
  <c r="Q1130" i="1"/>
  <c r="Q762" i="1"/>
  <c r="Q822" i="1"/>
  <c r="Q889" i="1"/>
  <c r="Q950" i="1"/>
  <c r="Q1083" i="1"/>
  <c r="Q1135" i="1"/>
  <c r="Q1270" i="1"/>
  <c r="Q1383" i="1"/>
  <c r="Q662" i="1"/>
  <c r="Q726" i="1"/>
  <c r="Q789" i="1"/>
  <c r="Q918" i="1"/>
  <c r="Q979" i="1"/>
  <c r="Q955" i="1"/>
  <c r="Q1111" i="1"/>
  <c r="Q1201" i="1"/>
  <c r="Q1238" i="1"/>
  <c r="Q1303" i="1"/>
  <c r="Q478" i="1"/>
  <c r="Q600" i="1"/>
  <c r="Q663" i="1"/>
  <c r="Q722" i="1"/>
  <c r="Q788" i="1"/>
  <c r="Q1110" i="1"/>
  <c r="Q1174" i="1"/>
  <c r="Q592" i="1"/>
  <c r="Q655" i="1"/>
  <c r="Q720" i="1"/>
  <c r="Q848" i="1"/>
  <c r="Q978" i="1"/>
  <c r="Q1007" i="1"/>
  <c r="Q1103" i="1"/>
  <c r="Q1170" i="1"/>
  <c r="Q1241" i="1"/>
  <c r="Q1314" i="1"/>
  <c r="Q826" i="1"/>
  <c r="Q914" i="1"/>
  <c r="Q975" i="1"/>
  <c r="Q1167" i="1"/>
  <c r="Q1231" i="1"/>
  <c r="Q1315" i="1"/>
  <c r="Q169" i="1"/>
  <c r="Q233" i="1"/>
  <c r="Q297" i="1"/>
  <c r="Q470" i="1"/>
  <c r="Q496" i="1"/>
  <c r="Q571" i="1"/>
  <c r="Q635" i="1"/>
  <c r="Q702" i="1"/>
  <c r="Q756" i="1"/>
  <c r="Q1018" i="1"/>
  <c r="Q1081" i="1"/>
  <c r="Q1157" i="1"/>
  <c r="Q1160" i="1"/>
  <c r="Q1302" i="1"/>
  <c r="Q1366" i="1"/>
  <c r="Q1195" i="1"/>
  <c r="Q1323" i="1"/>
  <c r="Q10" i="1"/>
  <c r="Q75" i="1"/>
  <c r="Q126" i="1"/>
  <c r="Q36" i="1"/>
  <c r="Q96" i="1"/>
  <c r="Q68" i="1"/>
  <c r="Q6" i="1"/>
  <c r="Q69" i="1"/>
  <c r="Q129" i="1"/>
  <c r="Q67" i="1"/>
  <c r="Q130" i="1"/>
  <c r="Q236" i="1"/>
  <c r="Q299" i="1"/>
  <c r="Q367" i="1"/>
  <c r="Q426" i="1"/>
  <c r="Q556" i="1"/>
  <c r="Q531" i="1"/>
  <c r="Q681" i="1"/>
  <c r="Q300" i="1"/>
  <c r="Q364" i="1"/>
  <c r="Q570" i="1"/>
  <c r="Q561" i="1"/>
  <c r="Q614" i="1"/>
  <c r="Q172" i="1"/>
  <c r="Q302" i="1"/>
  <c r="Q366" i="1"/>
  <c r="Q428" i="1"/>
  <c r="Q830" i="1"/>
  <c r="Q560" i="1"/>
  <c r="Q14" i="1"/>
  <c r="Q465" i="1"/>
  <c r="Q32" i="1"/>
  <c r="Q98" i="1"/>
  <c r="Q161" i="1"/>
  <c r="Q226" i="1"/>
  <c r="Q288" i="1"/>
  <c r="Q352" i="1"/>
  <c r="Q408" i="1"/>
  <c r="Q545" i="1"/>
  <c r="Q209" i="1"/>
  <c r="Q456" i="1"/>
  <c r="Q593" i="1"/>
  <c r="Q212" i="1"/>
  <c r="Q340" i="1"/>
  <c r="Q328" i="1"/>
  <c r="Q598" i="1"/>
  <c r="Q657" i="1"/>
  <c r="Q724" i="1"/>
  <c r="Q711" i="1"/>
  <c r="Q980" i="1"/>
  <c r="Q1171" i="1"/>
  <c r="Q964" i="1"/>
  <c r="Q1095" i="1"/>
  <c r="Q1413" i="1"/>
  <c r="Q699" i="1"/>
  <c r="Q765" i="1"/>
  <c r="Q835" i="1"/>
  <c r="Q893" i="1"/>
  <c r="Q957" i="1"/>
  <c r="Q1274" i="1"/>
  <c r="Q1278" i="1"/>
  <c r="Q1340" i="1"/>
  <c r="Q1399" i="1"/>
  <c r="R1399" i="1" s="1"/>
  <c r="Q666" i="1"/>
  <c r="Q744" i="1"/>
  <c r="Q797" i="1"/>
  <c r="Q862" i="1"/>
  <c r="Q922" i="1"/>
  <c r="Q989" i="1"/>
  <c r="Q1052" i="1"/>
  <c r="Q1117" i="1"/>
  <c r="Q1181" i="1"/>
  <c r="Q1230" i="1"/>
  <c r="Q1321" i="1"/>
  <c r="Q543" i="1"/>
  <c r="Q604" i="1"/>
  <c r="Q670" i="1"/>
  <c r="Q735" i="1"/>
  <c r="Q799" i="1"/>
  <c r="Q863" i="1"/>
  <c r="Q1120" i="1"/>
  <c r="Q1183" i="1"/>
  <c r="Q728" i="1"/>
  <c r="Q986" i="1"/>
  <c r="Q1045" i="1"/>
  <c r="Q1176" i="1"/>
  <c r="Q1232" i="1"/>
  <c r="Q1307" i="1"/>
  <c r="Q1368" i="1"/>
  <c r="Q855" i="1"/>
  <c r="Q919" i="1"/>
  <c r="Q985" i="1"/>
  <c r="Q1149" i="1"/>
  <c r="Q1177" i="1"/>
  <c r="Q1304" i="1"/>
  <c r="Q325" i="1"/>
  <c r="Q182" i="1"/>
  <c r="Q240" i="1"/>
  <c r="Q315" i="1"/>
  <c r="Q490" i="1"/>
  <c r="Q339" i="1"/>
  <c r="Q512" i="1"/>
  <c r="Q641" i="1"/>
  <c r="Q705" i="1"/>
  <c r="Q770" i="1"/>
  <c r="Q962" i="1"/>
  <c r="Q1030" i="1"/>
  <c r="Q1088" i="1"/>
  <c r="Q1158" i="1"/>
  <c r="Q1251" i="1"/>
  <c r="Q1319" i="1"/>
  <c r="Q1202" i="1"/>
  <c r="Q19" i="1"/>
  <c r="Q82" i="1"/>
  <c r="Q145" i="1"/>
  <c r="Q107" i="1"/>
  <c r="Q12" i="1"/>
  <c r="Q140" i="1"/>
  <c r="Q13" i="1"/>
  <c r="Q80" i="1"/>
  <c r="Q9" i="1"/>
  <c r="Q73" i="1"/>
  <c r="Q138" i="1"/>
  <c r="Q245" i="1"/>
  <c r="Q845" i="1"/>
  <c r="Q327" i="1"/>
  <c r="Q437" i="1"/>
  <c r="Q501" i="1"/>
  <c r="Q564" i="1"/>
  <c r="Q623" i="1"/>
  <c r="Q692" i="1"/>
  <c r="Q178" i="1"/>
  <c r="Q243" i="1"/>
  <c r="Q309" i="1"/>
  <c r="Q372" i="1"/>
  <c r="Q567" i="1"/>
  <c r="Q624" i="1"/>
  <c r="Q180" i="1"/>
  <c r="Q246" i="1"/>
  <c r="Q312" i="1"/>
  <c r="Q369" i="1"/>
  <c r="Q438" i="1"/>
  <c r="Q500" i="1"/>
  <c r="Q566" i="1"/>
  <c r="Q20" i="1"/>
  <c r="Q342" i="1"/>
  <c r="Q410" i="1"/>
  <c r="Q471" i="1"/>
  <c r="Q38" i="1"/>
  <c r="Q105" i="1"/>
  <c r="Q295" i="1"/>
  <c r="Q417" i="1"/>
  <c r="Q493" i="1"/>
  <c r="Q552" i="1"/>
  <c r="Q218" i="1"/>
  <c r="Q473" i="1"/>
  <c r="Q526" i="1"/>
  <c r="Q217" i="1"/>
  <c r="Q283" i="1"/>
  <c r="Q422" i="1"/>
  <c r="Q533" i="1"/>
  <c r="Q602" i="1"/>
  <c r="Q667" i="1"/>
  <c r="Q731" i="1"/>
  <c r="Q794" i="1"/>
  <c r="Q1115" i="1"/>
  <c r="Q1182" i="1"/>
  <c r="Q780" i="1"/>
  <c r="Q752" i="1"/>
  <c r="Q901" i="1"/>
  <c r="Q970" i="1"/>
  <c r="Q1036" i="1"/>
  <c r="Q1108" i="1"/>
  <c r="Q1164" i="1"/>
  <c r="Q1246" i="1"/>
  <c r="Q708" i="1"/>
  <c r="Q771" i="1"/>
  <c r="Q837" i="1"/>
  <c r="Q909" i="1"/>
  <c r="Q965" i="1"/>
  <c r="Q1142" i="1"/>
  <c r="Q532" i="1"/>
  <c r="Q739" i="1"/>
  <c r="Q806" i="1"/>
  <c r="Q935" i="1"/>
  <c r="Q1068" i="1"/>
  <c r="Q1123" i="1"/>
  <c r="Q1189" i="1"/>
  <c r="Q1234" i="1"/>
  <c r="Q1294" i="1"/>
  <c r="Q551" i="1"/>
  <c r="Q536" i="1"/>
  <c r="Q682" i="1"/>
  <c r="Q734" i="1"/>
  <c r="Q805" i="1"/>
  <c r="Q870" i="1"/>
  <c r="Q940" i="1"/>
  <c r="Q999" i="1"/>
  <c r="Q1067" i="1"/>
  <c r="Q1127" i="1"/>
  <c r="Q1190" i="1"/>
  <c r="Q607" i="1"/>
  <c r="Q668" i="1"/>
  <c r="Q740" i="1"/>
  <c r="Q801" i="1"/>
  <c r="Q988" i="1"/>
  <c r="Q1056" i="1"/>
  <c r="Q1184" i="1"/>
  <c r="Q1295" i="1"/>
  <c r="Q865" i="1"/>
  <c r="Q927" i="1"/>
  <c r="Q993" i="1"/>
  <c r="Q1185" i="1"/>
  <c r="Q1248" i="1"/>
  <c r="Q1320" i="1"/>
  <c r="Q363" i="1"/>
  <c r="Q185" i="1"/>
  <c r="Q251" i="1"/>
  <c r="Q281" i="1"/>
  <c r="Q479" i="1"/>
  <c r="Q1324" i="1"/>
  <c r="Q379" i="1"/>
  <c r="Q535" i="1"/>
  <c r="Q586" i="1"/>
  <c r="Q653" i="1"/>
  <c r="Q616" i="1"/>
  <c r="Q778" i="1"/>
  <c r="Q1100" i="1"/>
  <c r="Q1161" i="1"/>
  <c r="Q1254" i="1"/>
  <c r="Q1311" i="1"/>
  <c r="Q1401" i="1"/>
  <c r="Q1214" i="1"/>
  <c r="Q26" i="1"/>
  <c r="Q88" i="1"/>
  <c r="Q153" i="1"/>
  <c r="Q53" i="1"/>
  <c r="Q114" i="1"/>
  <c r="Q23" i="1"/>
  <c r="Q117" i="1"/>
  <c r="Q22" i="1"/>
  <c r="Q85" i="1"/>
  <c r="Q17" i="1"/>
  <c r="Q146" i="1"/>
  <c r="Q189" i="1"/>
  <c r="Q310" i="1"/>
  <c r="Q321" i="1"/>
  <c r="Q380" i="1"/>
  <c r="Q444" i="1"/>
  <c r="Q507" i="1"/>
  <c r="Q573" i="1"/>
  <c r="Q636" i="1"/>
  <c r="Q700" i="1"/>
  <c r="Q188" i="1"/>
  <c r="Q266" i="1"/>
  <c r="Q733" i="1"/>
  <c r="Q509" i="1"/>
  <c r="Q1040" i="1"/>
  <c r="Q639" i="1"/>
  <c r="Q190" i="1"/>
  <c r="Q316" i="1"/>
  <c r="Q413" i="1"/>
  <c r="Q383" i="1"/>
  <c r="Q510" i="1"/>
  <c r="Q574" i="1"/>
  <c r="Q31" i="1"/>
  <c r="Q95" i="1"/>
  <c r="Q350" i="1"/>
  <c r="Q416" i="1"/>
  <c r="Q425" i="1"/>
  <c r="Q49" i="1"/>
  <c r="Q111" i="1"/>
  <c r="Q176" i="1"/>
  <c r="Q241" i="1"/>
  <c r="Q303" i="1"/>
  <c r="Q370" i="1"/>
  <c r="Q499" i="1"/>
  <c r="Q562" i="1"/>
  <c r="Q224" i="1"/>
  <c r="Q360" i="1"/>
  <c r="Q546" i="1"/>
  <c r="Q163" i="1"/>
  <c r="Q230" i="1"/>
  <c r="Q291" i="1"/>
  <c r="Q547" i="1"/>
  <c r="Q609" i="1"/>
  <c r="Q676" i="1"/>
  <c r="Q738" i="1"/>
  <c r="Q1060" i="1"/>
  <c r="Q1188" i="1"/>
  <c r="Q982" i="1"/>
  <c r="Q1071" i="1"/>
  <c r="Q1109" i="1"/>
  <c r="Q1363" i="1"/>
  <c r="Q652" i="1"/>
  <c r="Q712" i="1"/>
  <c r="Q782" i="1"/>
  <c r="Q842" i="1"/>
  <c r="Q906" i="1"/>
  <c r="Q973" i="1"/>
  <c r="Q1046" i="1"/>
  <c r="Q1165" i="1"/>
  <c r="Q1290" i="1"/>
  <c r="Q1357" i="1"/>
  <c r="Q613" i="1"/>
  <c r="Q815" i="1"/>
  <c r="Q883" i="1"/>
  <c r="Q945" i="1"/>
  <c r="Q1003" i="1"/>
  <c r="Q1069" i="1"/>
  <c r="Q1134" i="1"/>
  <c r="Q1196" i="1"/>
  <c r="Q1261" i="1"/>
  <c r="Q1326" i="1"/>
  <c r="Q558" i="1"/>
  <c r="Q628" i="1"/>
  <c r="Q687" i="1"/>
  <c r="Q750" i="1"/>
  <c r="Q1002" i="1"/>
  <c r="Q1041" i="1"/>
  <c r="Q1137" i="1"/>
  <c r="Q1199" i="1"/>
  <c r="Q680" i="1"/>
  <c r="Q621" i="1"/>
  <c r="Q872" i="1"/>
  <c r="Q1000" i="1"/>
  <c r="Q1128" i="1"/>
  <c r="Q1257" i="1"/>
  <c r="Q1312" i="1"/>
  <c r="Q809" i="1"/>
  <c r="Q874" i="1"/>
  <c r="Q941" i="1"/>
  <c r="Q1001" i="1"/>
  <c r="Q1131" i="1"/>
  <c r="Q1193" i="1"/>
  <c r="Q1259" i="1"/>
  <c r="Q1322" i="1"/>
  <c r="Q368" i="1"/>
  <c r="Q200" i="1"/>
  <c r="Q258" i="1"/>
  <c r="Q348" i="1"/>
  <c r="Q1268" i="1"/>
  <c r="Q597" i="1"/>
  <c r="Q658" i="1"/>
  <c r="Q725" i="1"/>
  <c r="Q910" i="1"/>
  <c r="Q974" i="1"/>
  <c r="Q1034" i="1"/>
  <c r="Q1168" i="1"/>
  <c r="Q1263" i="1"/>
  <c r="Q1328" i="1"/>
  <c r="Q1392" i="1"/>
  <c r="Q1216" i="1"/>
  <c r="Q1283" i="1"/>
  <c r="Q1346" i="1"/>
  <c r="Q33" i="1"/>
  <c r="Q93" i="1"/>
  <c r="Q160" i="1"/>
  <c r="Q59" i="1"/>
  <c r="Q28" i="1"/>
  <c r="Q92" i="1"/>
  <c r="Q30" i="1"/>
  <c r="Q94" i="1"/>
  <c r="Q25" i="1"/>
  <c r="Q89" i="1"/>
  <c r="Q154" i="1"/>
  <c r="Q260" i="1"/>
  <c r="Q324" i="1"/>
  <c r="Q387" i="1"/>
  <c r="Q452" i="1"/>
  <c r="Q516" i="1"/>
  <c r="Q831" i="1"/>
  <c r="Q644" i="1"/>
  <c r="Q709" i="1"/>
  <c r="Q198" i="1"/>
  <c r="Q262" i="1"/>
  <c r="Q320" i="1"/>
  <c r="Q518" i="1"/>
  <c r="Q577" i="1"/>
  <c r="Q647" i="1"/>
  <c r="Q195" i="1"/>
  <c r="Q261" i="1"/>
  <c r="Q271" i="1"/>
  <c r="Q390" i="1"/>
  <c r="Q454" i="1"/>
  <c r="Q517" i="1"/>
  <c r="Q100" i="1"/>
  <c r="Q359" i="1"/>
  <c r="Q421" i="1"/>
  <c r="Q485" i="1"/>
  <c r="Q55" i="1"/>
  <c r="Q120" i="1"/>
  <c r="Q184" i="1"/>
  <c r="Q314" i="1"/>
  <c r="Q376" i="1"/>
  <c r="Q506" i="1"/>
  <c r="Q568" i="1"/>
  <c r="Q419" i="1"/>
  <c r="Q495" i="1"/>
  <c r="Q677" i="1"/>
  <c r="Q168" i="1"/>
  <c r="Q537" i="1"/>
  <c r="Q679" i="1"/>
  <c r="Q741" i="1"/>
  <c r="Q1063" i="1"/>
  <c r="Q1194" i="1"/>
  <c r="Q1260" i="1"/>
  <c r="Q795" i="1"/>
  <c r="Q859" i="1"/>
  <c r="Q987" i="1"/>
  <c r="Q1053" i="1"/>
  <c r="Q1116" i="1"/>
  <c r="Q656" i="1"/>
  <c r="Q727" i="1"/>
  <c r="Q790" i="1"/>
  <c r="Q851" i="1"/>
  <c r="Q844" i="1"/>
  <c r="Q981" i="1"/>
  <c r="Q1172" i="1"/>
  <c r="Q1175" i="1"/>
  <c r="Q1244" i="1"/>
  <c r="Q1301" i="1"/>
  <c r="Q1365" i="1"/>
  <c r="Q631" i="1"/>
  <c r="Q701" i="1"/>
  <c r="Q759" i="1"/>
  <c r="Q821" i="1"/>
  <c r="Q868" i="1"/>
  <c r="Q944" i="1"/>
  <c r="Q1015" i="1"/>
  <c r="Q1084" i="1"/>
  <c r="Q1206" i="1"/>
  <c r="Q1269" i="1"/>
  <c r="Q502" i="1"/>
  <c r="Q565" i="1"/>
  <c r="Q632" i="1"/>
  <c r="Q698" i="1"/>
  <c r="Q763" i="1"/>
  <c r="Q823" i="1"/>
  <c r="Q887" i="1"/>
  <c r="Q952" i="1"/>
  <c r="Q1016" i="1"/>
  <c r="Q1148" i="1"/>
  <c r="Q1210" i="1"/>
  <c r="Q754" i="1"/>
  <c r="Q880" i="1"/>
  <c r="Q1010" i="1"/>
  <c r="Q1136" i="1"/>
  <c r="Q1204" i="1"/>
  <c r="Q619" i="1"/>
  <c r="Q819" i="1"/>
  <c r="Q879" i="1"/>
  <c r="Q888" i="1"/>
  <c r="Q1140" i="1"/>
  <c r="Q1200" i="1"/>
  <c r="Q1264" i="1"/>
  <c r="Q1394" i="1"/>
  <c r="R1394" i="1" s="1"/>
  <c r="D1394" i="1" s="1"/>
  <c r="Q386" i="1"/>
  <c r="Q204" i="1"/>
  <c r="Q317" i="1"/>
  <c r="Q354" i="1"/>
  <c r="Q1336" i="1"/>
  <c r="Q414" i="1"/>
  <c r="Q534" i="1"/>
  <c r="Q601" i="1"/>
  <c r="Q671" i="1"/>
  <c r="Q729" i="1"/>
  <c r="Q796" i="1"/>
  <c r="Q984" i="1"/>
  <c r="Q1038" i="1"/>
  <c r="Q1113" i="1"/>
  <c r="Q1180" i="1"/>
  <c r="Q1255" i="1"/>
  <c r="Q1335" i="1"/>
  <c r="Q1397" i="1"/>
  <c r="Q1228" i="1"/>
  <c r="Q1291" i="1"/>
  <c r="Q1354" i="1"/>
  <c r="D88" i="1"/>
  <c r="P1327" i="1"/>
  <c r="P1395" i="1"/>
  <c r="K17" i="16"/>
  <c r="D17" i="16"/>
  <c r="I17" i="16"/>
  <c r="B17" i="16"/>
  <c r="T1379" i="1"/>
  <c r="H17" i="16"/>
  <c r="X9" i="16"/>
  <c r="O1327" i="1"/>
  <c r="O1395" i="1"/>
  <c r="J17" i="16"/>
  <c r="W13" i="16"/>
  <c r="AA13" i="16"/>
  <c r="T1422" i="1"/>
  <c r="Y13" i="16"/>
  <c r="T1411" i="1"/>
  <c r="T1225" i="1"/>
  <c r="T1410" i="1"/>
  <c r="T1419" i="1"/>
  <c r="T1423" i="1"/>
  <c r="T1417" i="1"/>
  <c r="T1418" i="1"/>
  <c r="T1429" i="1"/>
  <c r="T1394" i="1"/>
  <c r="K9" i="16"/>
  <c r="G9" i="16"/>
  <c r="D70" i="1"/>
  <c r="D346" i="1"/>
  <c r="D510" i="1"/>
  <c r="D1066" i="1"/>
  <c r="D1345" i="1"/>
  <c r="D91" i="1"/>
  <c r="D363" i="1"/>
  <c r="D573" i="1"/>
  <c r="D1124" i="1"/>
  <c r="D1366" i="1"/>
  <c r="D114" i="1"/>
  <c r="D398" i="1"/>
  <c r="D686" i="1"/>
  <c r="D1262" i="1"/>
  <c r="D1420" i="1"/>
  <c r="D148" i="1"/>
  <c r="D448" i="1"/>
  <c r="D866" i="1"/>
  <c r="D1333" i="1"/>
  <c r="C17" i="16"/>
  <c r="D478" i="1"/>
  <c r="D938" i="1"/>
  <c r="D1311" i="1"/>
  <c r="D537" i="1"/>
  <c r="D948" i="1"/>
  <c r="D270" i="1"/>
  <c r="D695" i="1"/>
  <c r="D1147" i="1"/>
  <c r="D1399" i="1"/>
  <c r="D397" i="1"/>
  <c r="D824" i="1"/>
  <c r="D1177" i="1"/>
  <c r="F9" i="16"/>
  <c r="E17" i="16"/>
  <c r="B9" i="16"/>
  <c r="I9" i="16"/>
  <c r="D1327" i="1"/>
  <c r="Q12" i="16"/>
  <c r="Y12" i="16"/>
  <c r="X13" i="16"/>
  <c r="AB13" i="16"/>
  <c r="S12" i="16"/>
  <c r="AA12" i="16"/>
  <c r="U12" i="16"/>
  <c r="V13" i="16"/>
  <c r="Z13" i="16"/>
  <c r="L16" i="16"/>
  <c r="L17" i="16" s="1"/>
  <c r="P16" i="16"/>
  <c r="P17" i="16" s="1"/>
  <c r="T16" i="16"/>
  <c r="T17" i="16" s="1"/>
  <c r="D9" i="16"/>
  <c r="H9" i="16"/>
  <c r="L9" i="16"/>
  <c r="P9" i="16"/>
  <c r="T9" i="16"/>
  <c r="N12" i="16"/>
  <c r="R12" i="16"/>
  <c r="V12" i="16"/>
  <c r="Z12" i="16"/>
  <c r="M16" i="16"/>
  <c r="M17" i="16" s="1"/>
  <c r="Q16" i="16"/>
  <c r="Q17" i="16" s="1"/>
  <c r="N16" i="16"/>
  <c r="N17" i="16" s="1"/>
  <c r="R16" i="16"/>
  <c r="R17" i="16" s="1"/>
  <c r="AA17" i="16"/>
  <c r="P12" i="16"/>
  <c r="T12" i="16"/>
  <c r="X12" i="16"/>
  <c r="AB12" i="16"/>
  <c r="O16" i="16"/>
  <c r="O17" i="16" s="1"/>
  <c r="S16" i="16"/>
  <c r="S17" i="16" s="1"/>
  <c r="T1355" i="1"/>
  <c r="T1367" i="1"/>
  <c r="T1376" i="1"/>
  <c r="T1377" i="1"/>
  <c r="T1386" i="1"/>
  <c r="T1404" i="1"/>
  <c r="T1397" i="1"/>
  <c r="T1398" i="1"/>
  <c r="T1415" i="1"/>
  <c r="T1350" i="1"/>
  <c r="T1421" i="1"/>
  <c r="T1385" i="1"/>
  <c r="T1405" i="1"/>
  <c r="T1226" i="1"/>
  <c r="T1375" i="1"/>
  <c r="T1305" i="1"/>
  <c r="T1373" i="1"/>
  <c r="T1330" i="1"/>
  <c r="T1344" i="1"/>
  <c r="T1246" i="1"/>
  <c r="T1250" i="1"/>
  <c r="T1400" i="1"/>
  <c r="T1280" i="1"/>
  <c r="T1297" i="1"/>
  <c r="T1359" i="1"/>
  <c r="T1353" i="1"/>
  <c r="T1347" i="1"/>
  <c r="T1370" i="1"/>
  <c r="T1387" i="1"/>
  <c r="T1401" i="1"/>
  <c r="T1383" i="1"/>
  <c r="T666" i="1"/>
  <c r="T1205" i="1"/>
  <c r="T1247" i="1"/>
  <c r="T1275" i="1"/>
  <c r="T1329" i="1"/>
  <c r="T1348" i="1"/>
  <c r="T1349" i="1"/>
  <c r="T1351" i="1"/>
  <c r="T1358" i="1"/>
  <c r="T1371" i="1"/>
  <c r="T1382" i="1"/>
  <c r="T1407" i="1"/>
  <c r="T1402" i="1"/>
  <c r="T1409" i="1"/>
  <c r="T1412" i="1"/>
  <c r="T1209" i="1"/>
  <c r="T1258" i="1"/>
  <c r="T1356" i="1"/>
  <c r="T1285" i="1"/>
  <c r="T1298" i="1"/>
  <c r="T1337" i="1"/>
  <c r="T1334" i="1"/>
  <c r="T1339" i="1"/>
  <c r="T1369" i="1"/>
  <c r="T1372" i="1"/>
  <c r="T1374" i="1"/>
  <c r="T1380" i="1"/>
  <c r="T1381" i="1"/>
  <c r="T1396" i="1"/>
  <c r="T1406" i="1"/>
  <c r="D180" i="1"/>
  <c r="D895" i="1"/>
  <c r="D403" i="1"/>
  <c r="D1094" i="1"/>
  <c r="D589" i="1"/>
  <c r="D1258" i="1"/>
  <c r="D697" i="1"/>
  <c r="D111" i="1"/>
  <c r="D394" i="1"/>
  <c r="D635" i="1"/>
  <c r="D847" i="1"/>
  <c r="D975" i="1"/>
  <c r="D1289" i="1"/>
  <c r="D208" i="1"/>
  <c r="D563" i="1"/>
  <c r="D663" i="1"/>
  <c r="D857" i="1"/>
  <c r="D981" i="1"/>
  <c r="D236" i="1"/>
  <c r="D557" i="1"/>
  <c r="D689" i="1"/>
  <c r="D880" i="1"/>
  <c r="D1224" i="1"/>
  <c r="D257" i="1"/>
  <c r="D575" i="1"/>
  <c r="D765" i="1"/>
  <c r="D965" i="1"/>
  <c r="D1265" i="1"/>
  <c r="D1348" i="1"/>
  <c r="D108" i="1"/>
  <c r="D800" i="1"/>
  <c r="D1350" i="1"/>
  <c r="D673" i="1"/>
  <c r="D1194" i="1"/>
  <c r="D633" i="1"/>
  <c r="D1021" i="1"/>
  <c r="D1351" i="1"/>
  <c r="D250" i="1"/>
  <c r="D426" i="1"/>
  <c r="D651" i="1"/>
  <c r="D856" i="1"/>
  <c r="D988" i="1"/>
  <c r="D1079" i="1"/>
  <c r="D1323" i="1"/>
  <c r="D1358" i="1"/>
  <c r="D484" i="1"/>
  <c r="D801" i="1"/>
  <c r="D1222" i="1"/>
  <c r="D580" i="1"/>
  <c r="D960" i="1"/>
  <c r="D84" i="1"/>
  <c r="D625" i="1"/>
  <c r="D1012" i="1"/>
  <c r="D364" i="1"/>
  <c r="D772" i="1"/>
  <c r="D1193" i="1"/>
  <c r="D1371" i="1"/>
  <c r="D672" i="1"/>
  <c r="D447" i="1"/>
  <c r="D666" i="1"/>
  <c r="D1114" i="1"/>
  <c r="D554" i="1"/>
  <c r="D769" i="1"/>
  <c r="D1334" i="1"/>
  <c r="D1019" i="1"/>
  <c r="D1329" i="1"/>
  <c r="D59" i="1"/>
  <c r="D153" i="1"/>
  <c r="D212" i="1"/>
  <c r="D301" i="1"/>
  <c r="D430" i="1"/>
  <c r="D637" i="1"/>
  <c r="D730" i="1"/>
  <c r="D811" i="1"/>
  <c r="D1022" i="1"/>
  <c r="D1090" i="1"/>
  <c r="D1324" i="1"/>
  <c r="D1353" i="1"/>
  <c r="D164" i="1"/>
  <c r="D214" i="1"/>
  <c r="D340" i="1"/>
  <c r="D476" i="1"/>
  <c r="D640" i="1"/>
  <c r="D749" i="1"/>
  <c r="D876" i="1"/>
  <c r="D1057" i="1"/>
  <c r="D1182" i="1"/>
  <c r="D1325" i="1"/>
  <c r="D1373" i="1"/>
  <c r="D21" i="1"/>
  <c r="D77" i="1"/>
  <c r="D178" i="1"/>
  <c r="D217" i="1"/>
  <c r="D347" i="1"/>
  <c r="D519" i="1"/>
  <c r="D702" i="1"/>
  <c r="D789" i="1"/>
  <c r="D921" i="1"/>
  <c r="D1059" i="1"/>
  <c r="D1283" i="1"/>
  <c r="D1339" i="1"/>
  <c r="D87" i="1"/>
  <c r="D206" i="1"/>
  <c r="D235" i="1"/>
  <c r="D376" i="1"/>
  <c r="D559" i="1"/>
  <c r="D715" i="1"/>
  <c r="D805" i="1"/>
  <c r="D997" i="1"/>
  <c r="D1060" i="1"/>
  <c r="D1296" i="1"/>
  <c r="D1359" i="1"/>
  <c r="D979" i="1"/>
  <c r="D1178" i="1"/>
  <c r="D1374" i="1"/>
  <c r="D1306" i="1"/>
  <c r="D729" i="1"/>
  <c r="D964" i="1"/>
  <c r="D1259" i="1"/>
  <c r="D1378" i="1"/>
  <c r="D987" i="1"/>
  <c r="D1380" i="1"/>
  <c r="D701" i="1"/>
  <c r="D1087" i="1"/>
  <c r="D7" i="1"/>
  <c r="D102" i="1"/>
  <c r="D305" i="1"/>
  <c r="D553" i="1"/>
  <c r="D758" i="1"/>
  <c r="D1111" i="1"/>
  <c r="D1251" i="1"/>
  <c r="D12" i="1"/>
  <c r="D182" i="1"/>
  <c r="D389" i="1"/>
  <c r="D628" i="1"/>
  <c r="D792" i="1"/>
  <c r="D1125" i="1"/>
  <c r="D34" i="1"/>
  <c r="D207" i="1"/>
  <c r="D463" i="1"/>
  <c r="D629" i="1"/>
  <c r="D813" i="1"/>
  <c r="D1184" i="1"/>
  <c r="D1381" i="1"/>
  <c r="D83" i="1"/>
  <c r="D279" i="1"/>
  <c r="D513" i="1"/>
  <c r="D671" i="1"/>
  <c r="D917" i="1"/>
  <c r="D1185" i="1"/>
  <c r="D360" i="1"/>
  <c r="D747" i="1"/>
  <c r="D955" i="1"/>
  <c r="D330" i="1"/>
  <c r="D477" i="1"/>
  <c r="D915" i="1"/>
  <c r="D1142" i="1"/>
  <c r="D1396" i="1"/>
  <c r="D307" i="1"/>
  <c r="D530" i="1"/>
  <c r="D888" i="1"/>
  <c r="D1232" i="1"/>
  <c r="D407" i="1"/>
  <c r="D621" i="1"/>
  <c r="D1037" i="1"/>
  <c r="D1294" i="1"/>
  <c r="D31" i="1"/>
  <c r="D172" i="1"/>
  <c r="D445" i="1"/>
  <c r="D704" i="1"/>
  <c r="D100" i="1"/>
  <c r="D377" i="1"/>
  <c r="D466" i="1"/>
  <c r="D802" i="1"/>
  <c r="D119" i="1"/>
  <c r="D385" i="1"/>
  <c r="D571" i="1"/>
  <c r="D846" i="1"/>
  <c r="D22" i="1"/>
  <c r="D168" i="1"/>
  <c r="D395" i="1"/>
  <c r="D638" i="1"/>
  <c r="D1246" i="1"/>
  <c r="D131" i="1"/>
  <c r="D254" i="1"/>
  <c r="D578" i="1"/>
  <c r="D1099" i="1"/>
  <c r="D1404" i="1"/>
  <c r="D195" i="1"/>
  <c r="D320" i="1"/>
  <c r="D734" i="1"/>
  <c r="D1151" i="1"/>
  <c r="D316" i="1"/>
  <c r="D425" i="1"/>
  <c r="D834" i="1"/>
  <c r="D1238" i="1"/>
  <c r="D253" i="1"/>
  <c r="D488" i="1"/>
  <c r="D939" i="1"/>
  <c r="D1316" i="1"/>
  <c r="D282" i="1"/>
  <c r="D511" i="1"/>
  <c r="D694" i="1"/>
  <c r="D937" i="1"/>
  <c r="D1146" i="1"/>
  <c r="D1309" i="1"/>
  <c r="D1398" i="1"/>
  <c r="D1397" i="1"/>
  <c r="D408" i="1"/>
  <c r="D532" i="1"/>
  <c r="D786" i="1"/>
  <c r="D1034" i="1"/>
  <c r="D1236" i="1"/>
  <c r="D411" i="1"/>
  <c r="D536" i="1"/>
  <c r="D804" i="1"/>
  <c r="D1035" i="1"/>
  <c r="D1237" i="1"/>
  <c r="D281" i="1"/>
  <c r="D504" i="1"/>
  <c r="D690" i="1"/>
  <c r="D936" i="1"/>
  <c r="D1144" i="1"/>
  <c r="D1310" i="1"/>
  <c r="D199" i="1"/>
  <c r="D317" i="1"/>
  <c r="D414" i="1"/>
  <c r="D579" i="1"/>
  <c r="D835" i="1"/>
  <c r="D1046" i="1"/>
  <c r="D1239" i="1"/>
  <c r="D1321" i="1"/>
  <c r="D1405" i="1"/>
  <c r="D133" i="1"/>
  <c r="D310" i="1"/>
  <c r="D321" i="1"/>
  <c r="D422" i="1"/>
  <c r="D612" i="1"/>
  <c r="D839" i="1"/>
  <c r="D1051" i="1"/>
  <c r="D1243" i="1"/>
  <c r="D1406" i="1"/>
  <c r="D136" i="1"/>
  <c r="D264" i="1"/>
  <c r="D733" i="1"/>
  <c r="D489" i="1"/>
  <c r="D735" i="1"/>
  <c r="D940" i="1"/>
  <c r="D1152" i="1"/>
  <c r="D1314" i="1"/>
  <c r="D196" i="1"/>
  <c r="D319" i="1"/>
  <c r="D413" i="1"/>
  <c r="D525" i="1"/>
  <c r="D740" i="1"/>
  <c r="D943" i="1"/>
  <c r="D1157" i="1"/>
  <c r="D1318" i="1"/>
  <c r="D1415" i="1"/>
  <c r="D893" i="1"/>
  <c r="D1081" i="1"/>
  <c r="D1387" i="1"/>
  <c r="D898" i="1"/>
  <c r="D661" i="1"/>
  <c r="D901" i="1"/>
  <c r="D1181" i="1"/>
  <c r="D656" i="1"/>
  <c r="D808" i="1"/>
  <c r="D1063" i="1"/>
  <c r="D1383" i="1"/>
  <c r="D252" i="1"/>
  <c r="D538" i="1"/>
  <c r="D897" i="1"/>
  <c r="D1293" i="1"/>
  <c r="D268" i="1"/>
  <c r="D620" i="1"/>
  <c r="D1007" i="1"/>
  <c r="D1295" i="1"/>
  <c r="D129" i="1"/>
  <c r="D374" i="1"/>
  <c r="D746" i="1"/>
  <c r="D1143" i="1"/>
  <c r="D187" i="1"/>
  <c r="D440" i="1"/>
  <c r="D745" i="1"/>
  <c r="D1231" i="1"/>
  <c r="D11" i="1"/>
  <c r="D234" i="1"/>
  <c r="D565" i="1"/>
  <c r="D372" i="1"/>
  <c r="D512" i="1"/>
  <c r="D106" i="1"/>
  <c r="D906" i="1"/>
  <c r="D1118" i="1"/>
  <c r="D654" i="1"/>
  <c r="D1031" i="1"/>
  <c r="D1375" i="1"/>
  <c r="D1356" i="1"/>
  <c r="D1305" i="1"/>
  <c r="D249" i="1"/>
  <c r="D877" i="1"/>
  <c r="D28" i="1"/>
  <c r="D1038" i="1"/>
  <c r="D1344" i="1"/>
  <c r="D283" i="1"/>
  <c r="D1054" i="1"/>
  <c r="D564" i="1"/>
  <c r="D115" i="1"/>
  <c r="D292" i="1"/>
  <c r="D646" i="1"/>
  <c r="D920" i="1"/>
  <c r="D1089" i="1"/>
  <c r="D1276" i="1"/>
  <c r="D137" i="1"/>
  <c r="D367" i="1"/>
  <c r="D693" i="1"/>
  <c r="D972" i="1"/>
  <c r="D1148" i="1"/>
  <c r="D1317" i="1"/>
  <c r="D1367" i="1"/>
  <c r="D203" i="1"/>
  <c r="D499" i="1"/>
  <c r="D782" i="1"/>
  <c r="D1013" i="1"/>
  <c r="D1186" i="1"/>
  <c r="D1365" i="1"/>
  <c r="D242" i="1"/>
  <c r="D561" i="1"/>
  <c r="D812" i="1"/>
  <c r="D1083" i="1"/>
  <c r="D1197" i="1"/>
  <c r="D962" i="1"/>
  <c r="D1376" i="1"/>
  <c r="D1290" i="1"/>
  <c r="D599" i="1"/>
  <c r="D8" i="1"/>
  <c r="D62" i="1"/>
  <c r="D460" i="1"/>
  <c r="D692" i="1"/>
  <c r="D756" i="1"/>
  <c r="D914" i="1"/>
  <c r="D1119" i="1"/>
  <c r="D44" i="1"/>
  <c r="D219" i="1"/>
  <c r="D548" i="1"/>
  <c r="D707" i="1"/>
  <c r="D757" i="1"/>
  <c r="D910" i="1"/>
  <c r="D1377" i="1"/>
  <c r="D43" i="1"/>
  <c r="D359" i="1"/>
  <c r="D562" i="1"/>
  <c r="D723" i="1"/>
  <c r="D807" i="1"/>
  <c r="D1095" i="1"/>
  <c r="D60" i="1"/>
  <c r="D378" i="1"/>
  <c r="D657" i="1"/>
  <c r="D755" i="1"/>
  <c r="D806" i="1"/>
  <c r="D1093" i="1"/>
  <c r="D193" i="1"/>
  <c r="D830" i="1"/>
  <c r="D577" i="1"/>
  <c r="D833" i="1"/>
  <c r="D1077" i="1"/>
  <c r="D1322" i="1"/>
  <c r="D829" i="1"/>
  <c r="D481" i="1"/>
  <c r="D614" i="1"/>
  <c r="D842" i="1"/>
  <c r="D1159" i="1"/>
  <c r="D138" i="1"/>
  <c r="D325" i="1"/>
  <c r="D526" i="1"/>
  <c r="D832" i="1"/>
  <c r="D844" i="1"/>
  <c r="D1245" i="1"/>
  <c r="D1402" i="1"/>
  <c r="D1407" i="1"/>
  <c r="D192" i="1"/>
  <c r="D423" i="1"/>
  <c r="D831" i="1"/>
  <c r="D741" i="1"/>
  <c r="D946" i="1"/>
  <c r="D1315" i="1"/>
  <c r="D1401" i="1"/>
  <c r="D200" i="1"/>
  <c r="D424" i="1"/>
  <c r="D836" i="1"/>
  <c r="D1241" i="1"/>
  <c r="D265" i="1"/>
  <c r="D522" i="1"/>
  <c r="D941" i="1"/>
  <c r="D1319" i="1"/>
  <c r="D845" i="1"/>
  <c r="D609" i="1"/>
  <c r="D1047" i="1"/>
  <c r="D1409" i="1"/>
  <c r="D134" i="1"/>
  <c r="D322" i="1"/>
  <c r="D736" i="1"/>
  <c r="D1155" i="1"/>
  <c r="D221" i="1"/>
  <c r="D653" i="1"/>
  <c r="D1228" i="1"/>
  <c r="D354" i="1"/>
  <c r="D852" i="1"/>
  <c r="D1260" i="1"/>
  <c r="D155" i="1"/>
  <c r="D435" i="1"/>
  <c r="D1018" i="1"/>
  <c r="D1267" i="1"/>
  <c r="D1412" i="1"/>
  <c r="D189" i="1"/>
  <c r="D434" i="1"/>
  <c r="D1091" i="1"/>
  <c r="D1338" i="1"/>
  <c r="D230" i="1"/>
  <c r="D1250" i="1"/>
  <c r="D1370" i="1"/>
  <c r="D1386" i="1"/>
  <c r="D40" i="1"/>
  <c r="D240" i="1"/>
  <c r="D429" i="1"/>
  <c r="D710" i="1"/>
  <c r="D1001" i="1"/>
  <c r="D1221" i="1"/>
  <c r="D4" i="1"/>
  <c r="D152" i="1"/>
  <c r="D243" i="1"/>
  <c r="D582" i="1"/>
  <c r="D855" i="1"/>
  <c r="D1028" i="1"/>
  <c r="D1285" i="1"/>
  <c r="D30" i="1"/>
  <c r="D190" i="1"/>
  <c r="D298" i="1"/>
  <c r="D650" i="1"/>
  <c r="D872" i="1"/>
  <c r="D1113" i="1"/>
  <c r="D1288" i="1"/>
  <c r="D680" i="1"/>
  <c r="D33" i="1"/>
  <c r="D894" i="1"/>
  <c r="D213" i="1"/>
  <c r="D1189" i="1"/>
  <c r="D391" i="1"/>
  <c r="D150" i="1"/>
  <c r="D390" i="1"/>
  <c r="D607" i="1"/>
  <c r="D1027" i="1"/>
  <c r="D1347" i="1"/>
  <c r="D186" i="1"/>
  <c r="D431" i="1"/>
  <c r="D658" i="1"/>
  <c r="D1070" i="1"/>
  <c r="D29" i="1"/>
  <c r="D232" i="1"/>
  <c r="D583" i="1"/>
  <c r="D716" i="1"/>
  <c r="D1328" i="1"/>
  <c r="D86" i="1"/>
  <c r="D357" i="1"/>
  <c r="D586" i="1"/>
  <c r="D978" i="1"/>
  <c r="D1400" i="1"/>
  <c r="D810" i="1" l="1"/>
  <c r="D983" i="1"/>
  <c r="D370" i="1"/>
  <c r="D1442" i="1"/>
  <c r="D1450" i="1"/>
  <c r="D1446" i="1"/>
  <c r="D809" i="1"/>
  <c r="D825" i="1"/>
  <c r="D1448" i="1"/>
  <c r="D1444" i="1"/>
  <c r="D1438" i="1"/>
  <c r="D1439" i="1"/>
  <c r="D763" i="1"/>
  <c r="D1430" i="1"/>
  <c r="D687" i="1"/>
  <c r="D140" i="1"/>
  <c r="D309" i="1"/>
  <c r="D1123" i="1"/>
  <c r="D218" i="1"/>
  <c r="D293" i="1"/>
  <c r="D1134" i="1"/>
  <c r="D1076" i="1"/>
  <c r="D932" i="1"/>
  <c r="D688" i="1"/>
  <c r="D1282" i="1"/>
  <c r="D699" i="1"/>
  <c r="D24" i="1"/>
  <c r="D851" i="1"/>
  <c r="D167" i="1"/>
  <c r="D875" i="1"/>
  <c r="D295" i="1"/>
  <c r="D885" i="1"/>
  <c r="D1308" i="1"/>
  <c r="D788" i="1"/>
  <c r="D69" i="1"/>
  <c r="D990" i="1"/>
  <c r="D402" i="1"/>
  <c r="D1008" i="1"/>
  <c r="D549" i="1"/>
  <c r="D1145" i="1"/>
  <c r="D674" i="1"/>
  <c r="D778" i="1"/>
  <c r="D850" i="1"/>
  <c r="D194" i="1"/>
  <c r="D989" i="1"/>
  <c r="D333" i="1"/>
  <c r="D1010" i="1"/>
  <c r="D1205" i="1"/>
  <c r="D682" i="1"/>
  <c r="D1218" i="1"/>
  <c r="D56" i="1"/>
  <c r="D659" i="1"/>
  <c r="D994" i="1"/>
  <c r="D1207" i="1"/>
  <c r="D99" i="1"/>
  <c r="D1016" i="1"/>
  <c r="D415" i="1"/>
  <c r="D1268" i="1"/>
  <c r="D967" i="1"/>
  <c r="D935" i="1"/>
  <c r="D1131" i="1"/>
  <c r="D1247" i="1"/>
  <c r="D1104" i="1"/>
  <c r="D859" i="1"/>
  <c r="D1292" i="1"/>
  <c r="D161" i="1"/>
  <c r="D761" i="1"/>
  <c r="D863" i="1"/>
  <c r="D535" i="1"/>
  <c r="D1116" i="1"/>
  <c r="D1023" i="1"/>
  <c r="D1297" i="1"/>
  <c r="D1298" i="1"/>
  <c r="D1132" i="1"/>
  <c r="D1067" i="1"/>
  <c r="D1226" i="1"/>
  <c r="D714" i="1"/>
  <c r="D1080" i="1"/>
  <c r="D16" i="1"/>
  <c r="D373" i="1"/>
  <c r="D1349" i="1"/>
  <c r="D1128" i="1"/>
  <c r="D982" i="1"/>
  <c r="D1275" i="1"/>
  <c r="D1206" i="1"/>
  <c r="D1064" i="1"/>
  <c r="D1372" i="1"/>
  <c r="D1355" i="1"/>
  <c r="D770" i="1"/>
  <c r="D1340" i="1"/>
  <c r="D1270" i="1"/>
  <c r="D1208" i="1"/>
  <c r="D492" i="1"/>
  <c r="D490" i="1"/>
  <c r="D1422" i="1"/>
  <c r="D1429" i="1"/>
  <c r="D85" i="1"/>
  <c r="D727" i="1"/>
  <c r="D118" i="1"/>
  <c r="D160" i="1"/>
  <c r="D823" i="1"/>
  <c r="D306" i="1"/>
  <c r="D432" i="1"/>
  <c r="D1220" i="1"/>
  <c r="D750" i="1"/>
  <c r="D803" i="1"/>
  <c r="D89" i="1"/>
  <c r="D71" i="1"/>
  <c r="D1198" i="1"/>
  <c r="D223" i="1"/>
  <c r="D1120" i="1"/>
  <c r="D1361" i="1"/>
  <c r="D751" i="1"/>
  <c r="D90" i="1"/>
  <c r="D871" i="1"/>
  <c r="D1421" i="1"/>
  <c r="D1257" i="1"/>
  <c r="D209" i="1"/>
  <c r="D1379" i="1"/>
  <c r="D922" i="1"/>
  <c r="D380" i="1"/>
  <c r="D712" i="1"/>
  <c r="D1002" i="1"/>
  <c r="D54" i="1"/>
  <c r="D1336" i="1"/>
  <c r="D1086" i="1"/>
  <c r="D1277" i="1"/>
  <c r="D1382" i="1"/>
  <c r="D717" i="1"/>
  <c r="D1062" i="1"/>
  <c r="D1417" i="1"/>
  <c r="D51" i="1"/>
  <c r="D951" i="1"/>
  <c r="D556" i="1"/>
  <c r="D464" i="1"/>
  <c r="D441" i="1"/>
  <c r="D409" i="1"/>
  <c r="D157" i="1"/>
  <c r="D1190" i="1"/>
  <c r="D985" i="1"/>
  <c r="D771" i="1"/>
  <c r="D496" i="1"/>
  <c r="D457" i="1"/>
  <c r="D231" i="1"/>
  <c r="D6" i="1"/>
  <c r="D1211" i="1"/>
  <c r="D1058" i="1"/>
  <c r="D878" i="1"/>
  <c r="D502" i="1"/>
  <c r="D345" i="1"/>
  <c r="D81" i="1"/>
  <c r="D20" i="1"/>
  <c r="D1252" i="1"/>
  <c r="D1088" i="1"/>
  <c r="D954" i="1"/>
  <c r="D421" i="1"/>
  <c r="D211" i="1"/>
  <c r="D139" i="1"/>
  <c r="D35" i="1"/>
  <c r="D1249" i="1"/>
  <c r="D1215" i="1"/>
  <c r="D461" i="1"/>
  <c r="D341" i="1"/>
  <c r="D222" i="1"/>
  <c r="D156" i="1"/>
  <c r="D52" i="1"/>
  <c r="D1385" i="1"/>
  <c r="D485" i="1"/>
  <c r="D417" i="1"/>
  <c r="D353" i="1"/>
  <c r="D290" i="1"/>
  <c r="D202" i="1"/>
  <c r="D18" i="1"/>
  <c r="D722" i="1"/>
  <c r="D465" i="1"/>
  <c r="D428" i="1"/>
  <c r="D355" i="1"/>
  <c r="D297" i="1"/>
  <c r="D1418" i="1"/>
  <c r="D953" i="1"/>
  <c r="D159" i="1"/>
  <c r="D551" i="1"/>
  <c r="D1192" i="1"/>
  <c r="D344" i="1"/>
  <c r="D864" i="1"/>
  <c r="D82" i="1"/>
  <c r="D454" i="1"/>
  <c r="D1171" i="1"/>
  <c r="D1337" i="1"/>
  <c r="D280" i="1"/>
  <c r="D784" i="1"/>
  <c r="D37" i="1"/>
  <c r="D438" i="1"/>
  <c r="D1069" i="1"/>
  <c r="D229" i="1"/>
  <c r="D675" i="1"/>
  <c r="D32" i="1"/>
  <c r="D419" i="1"/>
  <c r="D1017" i="1"/>
  <c r="D215" i="1"/>
  <c r="D591" i="1"/>
  <c r="D1272" i="1"/>
  <c r="D375" i="1"/>
  <c r="Q1395" i="1"/>
  <c r="R1395" i="1" s="1"/>
  <c r="Q1327" i="1"/>
  <c r="R1327" i="1" s="1"/>
  <c r="D1410" i="1"/>
  <c r="D648" i="1"/>
  <c r="D294" i="1"/>
  <c r="D1003" i="1"/>
  <c r="D642" i="1"/>
  <c r="D49" i="1"/>
  <c r="D1061" i="1"/>
  <c r="D48" i="1"/>
  <c r="D1369" i="1"/>
  <c r="D966" i="1"/>
  <c r="D974" i="1"/>
  <c r="D973" i="1"/>
  <c r="D55" i="1"/>
  <c r="D870" i="1"/>
  <c r="D349" i="1"/>
  <c r="D1419" i="1"/>
  <c r="D1009" i="1"/>
  <c r="D201" i="1"/>
  <c r="D753" i="1"/>
  <c r="D25" i="1"/>
  <c r="D23" i="1"/>
  <c r="D728" i="1"/>
  <c r="D1204" i="1"/>
  <c r="D420" i="1"/>
  <c r="D992" i="1"/>
  <c r="D1225" i="1"/>
  <c r="D2" i="1"/>
  <c r="D540" i="1"/>
  <c r="D1164" i="1"/>
  <c r="D19" i="1"/>
  <c r="D639" i="1"/>
  <c r="D1173" i="1"/>
  <c r="D188" i="1"/>
  <c r="D491" i="1"/>
  <c r="D1411" i="1"/>
  <c r="D274" i="1"/>
  <c r="D1042" i="1"/>
  <c r="D412" i="1"/>
  <c r="D1043" i="1"/>
  <c r="D272" i="1"/>
  <c r="D617" i="1"/>
  <c r="D1274" i="1"/>
  <c r="D273" i="1"/>
  <c r="D618" i="1"/>
  <c r="D1279" i="1"/>
  <c r="D500" i="1"/>
  <c r="D779" i="1"/>
  <c r="D882" i="1"/>
  <c r="D1073" i="1"/>
  <c r="D555" i="1"/>
  <c r="D505" i="1"/>
  <c r="D797" i="1"/>
  <c r="D899" i="1"/>
  <c r="D1229" i="1"/>
  <c r="D1413" i="1"/>
  <c r="D533" i="1"/>
  <c r="D815" i="1"/>
  <c r="D958" i="1"/>
  <c r="D814" i="1"/>
  <c r="D1004" i="1"/>
  <c r="D1423" i="1"/>
  <c r="D436" i="1"/>
  <c r="D1112" i="1"/>
  <c r="D838" i="1"/>
  <c r="D1223" i="1"/>
  <c r="D862" i="1"/>
  <c r="D1286" i="1"/>
  <c r="D1403" i="1"/>
  <c r="D1078" i="1"/>
  <c r="D597" i="1"/>
  <c r="D1006" i="1"/>
  <c r="D171" i="1"/>
  <c r="D768" i="1"/>
  <c r="D1199" i="1"/>
  <c r="D493" i="1"/>
  <c r="D918" i="1"/>
  <c r="D1341" i="1"/>
  <c r="D1395" i="1"/>
  <c r="D506" i="1"/>
  <c r="D924" i="1"/>
  <c r="D384" i="1"/>
  <c r="D1102" i="1"/>
  <c r="D495" i="1"/>
  <c r="D1126" i="1"/>
  <c r="D1330" i="1"/>
  <c r="D775" i="1"/>
  <c r="D785" i="1"/>
  <c r="D1280" i="1"/>
  <c r="V6" i="16" l="1"/>
  <c r="B7" i="16"/>
  <c r="C7" i="16"/>
  <c r="R7" i="16"/>
  <c r="S7" i="16"/>
  <c r="AB6" i="16"/>
  <c r="T7" i="16"/>
  <c r="I7" i="16"/>
  <c r="Q7" i="16"/>
  <c r="Z7" i="16"/>
  <c r="D7" i="16"/>
  <c r="AA6" i="16"/>
  <c r="T6" i="16"/>
  <c r="AB7" i="16"/>
  <c r="K6" i="16"/>
  <c r="E7" i="16"/>
  <c r="O7" i="16"/>
  <c r="F6" i="16"/>
  <c r="L6" i="16"/>
  <c r="G7" i="16"/>
  <c r="F7" i="16"/>
  <c r="Q6" i="16"/>
  <c r="X7" i="16"/>
  <c r="G6" i="16"/>
  <c r="Z6" i="16"/>
  <c r="U7" i="16"/>
  <c r="I6" i="16"/>
  <c r="H6" i="16"/>
  <c r="R6" i="16"/>
  <c r="AA7" i="16"/>
  <c r="L7" i="16"/>
  <c r="O6" i="16"/>
  <c r="V7" i="16"/>
  <c r="J6" i="16"/>
  <c r="N7" i="16"/>
  <c r="X6" i="16"/>
  <c r="E6" i="16"/>
  <c r="D6" i="16"/>
  <c r="AC6" i="16"/>
  <c r="W7" i="16"/>
  <c r="B6" i="16"/>
  <c r="S6" i="16"/>
  <c r="W6" i="16"/>
  <c r="P7" i="16"/>
  <c r="P6" i="16"/>
  <c r="Y6" i="16"/>
  <c r="U6" i="16"/>
  <c r="Y7" i="16"/>
  <c r="C6" i="16"/>
  <c r="N6" i="16"/>
  <c r="AC7" i="16"/>
  <c r="K7" i="16"/>
  <c r="J7" i="16"/>
  <c r="M6" i="16"/>
  <c r="M7" i="16"/>
  <c r="H7" i="16"/>
  <c r="J879" i="6"/>
  <c r="I879" i="6"/>
  <c r="J878" i="6"/>
  <c r="I878" i="6"/>
  <c r="J877" i="6"/>
  <c r="I877" i="6"/>
  <c r="J876" i="6"/>
  <c r="I876" i="6"/>
  <c r="J875" i="6"/>
  <c r="I875" i="6"/>
  <c r="J874" i="6"/>
  <c r="I874" i="6"/>
  <c r="J873" i="6"/>
  <c r="I873" i="6"/>
  <c r="J872" i="6"/>
  <c r="I872" i="6"/>
  <c r="J871" i="6"/>
  <c r="I871" i="6"/>
  <c r="J869" i="6"/>
  <c r="J868" i="6"/>
  <c r="I868" i="6"/>
  <c r="J867" i="6"/>
  <c r="I867" i="6"/>
  <c r="J866" i="6"/>
  <c r="I866" i="6"/>
  <c r="J865" i="6"/>
  <c r="I865" i="6"/>
  <c r="J864" i="6"/>
  <c r="I864" i="6"/>
  <c r="J863" i="6"/>
  <c r="I863" i="6"/>
  <c r="J862" i="6"/>
  <c r="I862" i="6"/>
  <c r="J861" i="6"/>
  <c r="I861" i="6"/>
  <c r="J860" i="6"/>
  <c r="I860" i="6"/>
  <c r="J859" i="6"/>
  <c r="I859" i="6"/>
  <c r="J858" i="6"/>
  <c r="I858" i="6"/>
  <c r="J857" i="6"/>
  <c r="I857" i="6"/>
  <c r="J856" i="6"/>
  <c r="I856" i="6"/>
  <c r="J855" i="6"/>
  <c r="I855" i="6"/>
  <c r="J854" i="6"/>
  <c r="I854" i="6"/>
  <c r="J853" i="6"/>
  <c r="I853" i="6"/>
  <c r="J852" i="6"/>
  <c r="I852" i="6"/>
  <c r="J851" i="6"/>
  <c r="I851" i="6"/>
  <c r="J850" i="6"/>
  <c r="I850" i="6"/>
  <c r="J849" i="6"/>
  <c r="I849" i="6"/>
  <c r="J848" i="6"/>
  <c r="I848" i="6"/>
  <c r="J847" i="6"/>
  <c r="I847" i="6"/>
  <c r="J846" i="6"/>
  <c r="I846" i="6"/>
  <c r="J845" i="6"/>
  <c r="I845" i="6"/>
  <c r="J844" i="6"/>
  <c r="I844" i="6"/>
  <c r="J843" i="6"/>
  <c r="I843" i="6"/>
  <c r="J842" i="6"/>
  <c r="I842" i="6"/>
  <c r="J841" i="6"/>
  <c r="I841" i="6"/>
  <c r="J840" i="6"/>
  <c r="I840" i="6"/>
  <c r="J839" i="6"/>
  <c r="I839" i="6"/>
  <c r="J837" i="6"/>
  <c r="I837" i="6"/>
  <c r="J834" i="6"/>
  <c r="I834" i="6"/>
  <c r="J830" i="6"/>
  <c r="I830" i="6"/>
  <c r="J829" i="6"/>
  <c r="I829" i="6"/>
  <c r="J828" i="6"/>
  <c r="I828" i="6"/>
  <c r="J825" i="6"/>
  <c r="I825" i="6"/>
  <c r="J824" i="6"/>
  <c r="I824" i="6"/>
  <c r="J823" i="6"/>
  <c r="I823" i="6"/>
  <c r="J822" i="6"/>
  <c r="I822" i="6"/>
  <c r="J821" i="6"/>
  <c r="I821" i="6"/>
  <c r="J820" i="6"/>
  <c r="I820" i="6"/>
  <c r="J819" i="6"/>
  <c r="I819" i="6"/>
  <c r="J818" i="6"/>
  <c r="I818" i="6"/>
  <c r="J817" i="6"/>
  <c r="I817" i="6"/>
  <c r="J816" i="6"/>
  <c r="I816" i="6"/>
  <c r="J815" i="6"/>
  <c r="I815" i="6"/>
  <c r="J814" i="6"/>
  <c r="I814" i="6"/>
  <c r="J813" i="6"/>
  <c r="I813" i="6"/>
  <c r="J812" i="6"/>
  <c r="I812" i="6"/>
  <c r="J811" i="6"/>
  <c r="I811" i="6"/>
  <c r="J810" i="6"/>
  <c r="I810" i="6"/>
  <c r="J809" i="6"/>
  <c r="I809" i="6"/>
  <c r="J808" i="6"/>
  <c r="I808" i="6"/>
  <c r="J807" i="6"/>
  <c r="I807" i="6"/>
  <c r="J806" i="6"/>
  <c r="I806" i="6"/>
  <c r="J805" i="6"/>
  <c r="I805" i="6"/>
  <c r="J804" i="6"/>
  <c r="I804" i="6"/>
  <c r="J803" i="6"/>
  <c r="I803" i="6"/>
  <c r="J802" i="6"/>
  <c r="I802" i="6"/>
  <c r="J801" i="6"/>
  <c r="I801" i="6"/>
  <c r="J800" i="6"/>
  <c r="I800" i="6"/>
  <c r="J799" i="6"/>
  <c r="I799" i="6"/>
  <c r="J798" i="6"/>
  <c r="I798" i="6"/>
  <c r="J797" i="6"/>
  <c r="I797" i="6"/>
  <c r="J796" i="6"/>
  <c r="I796" i="6"/>
  <c r="J795" i="6"/>
  <c r="I795" i="6"/>
  <c r="J794" i="6"/>
  <c r="I794" i="6"/>
  <c r="J793" i="6"/>
  <c r="I793" i="6"/>
  <c r="J792" i="6"/>
  <c r="I792" i="6"/>
  <c r="J791" i="6"/>
  <c r="I791" i="6"/>
  <c r="J790" i="6"/>
  <c r="I790" i="6"/>
  <c r="J789" i="6"/>
  <c r="I789" i="6"/>
  <c r="J788" i="6"/>
  <c r="I788" i="6"/>
  <c r="J787" i="6"/>
  <c r="I787" i="6"/>
  <c r="J786" i="6"/>
  <c r="I786" i="6"/>
  <c r="J785" i="6"/>
  <c r="I785" i="6"/>
  <c r="J784" i="6"/>
  <c r="I784" i="6"/>
  <c r="J783" i="6"/>
  <c r="I783" i="6"/>
  <c r="J782" i="6"/>
  <c r="I782" i="6"/>
  <c r="J781" i="6"/>
  <c r="I781" i="6"/>
  <c r="J780" i="6"/>
  <c r="I780" i="6"/>
  <c r="J779" i="6"/>
  <c r="I779" i="6"/>
  <c r="J778" i="6"/>
  <c r="I778" i="6"/>
  <c r="J777" i="6"/>
  <c r="I777" i="6"/>
  <c r="J776" i="6"/>
  <c r="I776" i="6"/>
  <c r="J775" i="6"/>
  <c r="I775" i="6"/>
  <c r="J774" i="6"/>
  <c r="I774" i="6"/>
  <c r="J773" i="6"/>
  <c r="I773" i="6"/>
  <c r="J772" i="6"/>
  <c r="I772" i="6"/>
  <c r="J771" i="6"/>
  <c r="I771" i="6"/>
  <c r="J770" i="6"/>
  <c r="I770" i="6"/>
  <c r="J769" i="6"/>
  <c r="I769" i="6"/>
  <c r="J768" i="6"/>
  <c r="I768" i="6"/>
  <c r="J767" i="6"/>
  <c r="I767" i="6"/>
  <c r="J766" i="6"/>
  <c r="I766" i="6"/>
  <c r="J765" i="6"/>
  <c r="I765" i="6"/>
  <c r="J764" i="6"/>
  <c r="I764" i="6"/>
  <c r="J763" i="6"/>
  <c r="I763" i="6"/>
  <c r="J762" i="6"/>
  <c r="I762" i="6"/>
  <c r="J761" i="6"/>
  <c r="I761" i="6"/>
  <c r="J760" i="6"/>
  <c r="I760" i="6"/>
  <c r="J759" i="6"/>
  <c r="I759" i="6"/>
  <c r="J758" i="6"/>
  <c r="I758" i="6"/>
  <c r="J757" i="6"/>
  <c r="I757" i="6"/>
  <c r="J756" i="6"/>
  <c r="I756" i="6"/>
  <c r="J755" i="6"/>
  <c r="I755" i="6"/>
  <c r="J754" i="6"/>
  <c r="I754" i="6"/>
  <c r="J753" i="6"/>
  <c r="I753" i="6"/>
  <c r="J752" i="6"/>
  <c r="I752" i="6"/>
  <c r="J751" i="6"/>
  <c r="I751" i="6"/>
  <c r="J750" i="6"/>
  <c r="I750" i="6"/>
  <c r="J749" i="6"/>
  <c r="I749" i="6"/>
  <c r="J748" i="6"/>
  <c r="I748" i="6"/>
  <c r="J747" i="6"/>
  <c r="I747" i="6"/>
  <c r="J746" i="6"/>
  <c r="I746" i="6"/>
  <c r="J745" i="6"/>
  <c r="I745" i="6"/>
  <c r="J744" i="6"/>
  <c r="I744" i="6"/>
  <c r="J743" i="6"/>
  <c r="I743" i="6"/>
  <c r="J742" i="6"/>
  <c r="I742" i="6"/>
  <c r="J741" i="6"/>
  <c r="I741" i="6"/>
  <c r="J740" i="6"/>
  <c r="I740" i="6"/>
  <c r="J739" i="6"/>
  <c r="I739" i="6"/>
  <c r="J738" i="6"/>
  <c r="I738" i="6"/>
  <c r="J737" i="6"/>
  <c r="I737" i="6"/>
  <c r="J736" i="6"/>
  <c r="I736" i="6"/>
  <c r="J735" i="6"/>
  <c r="I735" i="6"/>
  <c r="J734" i="6"/>
  <c r="I734" i="6"/>
  <c r="J733" i="6"/>
  <c r="I733" i="6"/>
  <c r="J732" i="6"/>
  <c r="I732" i="6"/>
  <c r="J731" i="6"/>
  <c r="I731" i="6"/>
  <c r="J730" i="6"/>
  <c r="I730" i="6"/>
  <c r="J729" i="6"/>
  <c r="I729" i="6"/>
  <c r="J728" i="6"/>
  <c r="I728" i="6"/>
  <c r="J727" i="6"/>
  <c r="I727" i="6"/>
  <c r="J726" i="6"/>
  <c r="I726" i="6"/>
  <c r="J725" i="6"/>
  <c r="I725" i="6"/>
  <c r="J724" i="6"/>
  <c r="I724" i="6"/>
  <c r="J723" i="6"/>
  <c r="I723" i="6"/>
  <c r="J722" i="6"/>
  <c r="I722" i="6"/>
  <c r="J721" i="6"/>
  <c r="I721" i="6"/>
  <c r="J720" i="6"/>
  <c r="I720" i="6"/>
  <c r="J719" i="6"/>
  <c r="I719" i="6"/>
  <c r="J718" i="6"/>
  <c r="I718" i="6"/>
  <c r="J717" i="6"/>
  <c r="I717" i="6"/>
  <c r="J716" i="6"/>
  <c r="I716" i="6"/>
  <c r="J715" i="6"/>
  <c r="I715" i="6"/>
  <c r="J714" i="6"/>
  <c r="I714" i="6"/>
  <c r="J713" i="6"/>
  <c r="I713" i="6"/>
  <c r="J712" i="6"/>
  <c r="I712" i="6"/>
  <c r="J711" i="6"/>
  <c r="I711" i="6"/>
  <c r="J710" i="6"/>
  <c r="I710" i="6"/>
  <c r="J709" i="6"/>
  <c r="I709" i="6"/>
  <c r="J708" i="6"/>
  <c r="I708" i="6"/>
  <c r="J707" i="6"/>
  <c r="I707" i="6"/>
  <c r="J706" i="6"/>
  <c r="I706" i="6"/>
  <c r="J705" i="6"/>
  <c r="I705" i="6"/>
  <c r="J704" i="6"/>
  <c r="I704" i="6"/>
  <c r="J703" i="6"/>
  <c r="I703" i="6"/>
  <c r="J702" i="6"/>
  <c r="I702" i="6"/>
  <c r="J701" i="6"/>
  <c r="I701" i="6"/>
  <c r="J700" i="6"/>
  <c r="I700" i="6"/>
  <c r="J699" i="6"/>
  <c r="I699" i="6"/>
  <c r="J698" i="6"/>
  <c r="I698" i="6"/>
  <c r="J697" i="6"/>
  <c r="I697" i="6"/>
  <c r="J696" i="6"/>
  <c r="I696" i="6"/>
  <c r="J695" i="6"/>
  <c r="I695" i="6"/>
  <c r="J694" i="6"/>
  <c r="I694" i="6"/>
  <c r="J693" i="6"/>
  <c r="I693" i="6"/>
  <c r="J692" i="6"/>
  <c r="I692" i="6"/>
  <c r="J691" i="6"/>
  <c r="I691" i="6"/>
  <c r="J690" i="6"/>
  <c r="I690" i="6"/>
  <c r="J689" i="6"/>
  <c r="I689" i="6"/>
  <c r="J688" i="6"/>
  <c r="I688" i="6"/>
  <c r="J687" i="6"/>
  <c r="I687" i="6"/>
  <c r="J686" i="6"/>
  <c r="I686" i="6"/>
  <c r="J685" i="6"/>
  <c r="I685" i="6"/>
  <c r="J684" i="6"/>
  <c r="I684" i="6"/>
  <c r="J683" i="6"/>
  <c r="I683" i="6"/>
  <c r="J682" i="6"/>
  <c r="I682" i="6"/>
  <c r="J681" i="6"/>
  <c r="I681" i="6"/>
  <c r="J680" i="6"/>
  <c r="I680" i="6"/>
  <c r="J679" i="6"/>
  <c r="I679" i="6"/>
  <c r="J678" i="6"/>
  <c r="I678" i="6"/>
  <c r="J677" i="6"/>
  <c r="I677" i="6"/>
  <c r="J676" i="6"/>
  <c r="I676" i="6"/>
  <c r="J675" i="6"/>
  <c r="I675" i="6"/>
  <c r="J674" i="6"/>
  <c r="I674" i="6"/>
  <c r="J673" i="6"/>
  <c r="I673" i="6"/>
  <c r="J672" i="6"/>
  <c r="I672" i="6"/>
  <c r="J671" i="6"/>
  <c r="I671" i="6"/>
  <c r="J670" i="6"/>
  <c r="I670" i="6"/>
  <c r="J669" i="6"/>
  <c r="I669" i="6"/>
  <c r="J668" i="6"/>
  <c r="I668" i="6"/>
  <c r="J667" i="6"/>
  <c r="I667" i="6"/>
  <c r="J666" i="6"/>
  <c r="I666" i="6"/>
  <c r="J665" i="6"/>
  <c r="I665" i="6"/>
  <c r="J664" i="6"/>
  <c r="I664" i="6"/>
  <c r="J663" i="6"/>
  <c r="I663" i="6"/>
  <c r="J662" i="6"/>
  <c r="I662" i="6"/>
  <c r="J661" i="6"/>
  <c r="I661" i="6"/>
  <c r="J660" i="6"/>
  <c r="I660" i="6"/>
  <c r="J659" i="6"/>
  <c r="I659" i="6"/>
  <c r="J658" i="6"/>
  <c r="I658" i="6"/>
  <c r="J657" i="6"/>
  <c r="I657" i="6"/>
  <c r="J656" i="6"/>
  <c r="I656" i="6"/>
  <c r="J655" i="6"/>
  <c r="I655" i="6"/>
  <c r="J654" i="6"/>
  <c r="I654" i="6"/>
  <c r="J653" i="6"/>
  <c r="I653" i="6"/>
  <c r="J652" i="6"/>
  <c r="I652" i="6"/>
  <c r="J651" i="6"/>
  <c r="I651" i="6"/>
  <c r="J650" i="6"/>
  <c r="I650" i="6"/>
  <c r="J649" i="6"/>
  <c r="I649" i="6"/>
  <c r="J648" i="6"/>
  <c r="I648" i="6"/>
  <c r="J647" i="6"/>
  <c r="I647" i="6"/>
  <c r="J646" i="6"/>
  <c r="I646" i="6"/>
  <c r="J645" i="6"/>
  <c r="I645" i="6"/>
  <c r="J644" i="6"/>
  <c r="I644" i="6"/>
  <c r="J643" i="6"/>
  <c r="I643" i="6"/>
  <c r="J642" i="6"/>
  <c r="I642" i="6"/>
  <c r="J641" i="6"/>
  <c r="I641" i="6"/>
  <c r="J640" i="6"/>
  <c r="I640" i="6"/>
  <c r="J639" i="6"/>
  <c r="I639" i="6"/>
  <c r="J638" i="6"/>
  <c r="I638" i="6"/>
  <c r="J637" i="6"/>
  <c r="I637" i="6"/>
  <c r="J636" i="6"/>
  <c r="I636" i="6"/>
  <c r="J635" i="6"/>
  <c r="I635" i="6"/>
  <c r="J634" i="6"/>
  <c r="I634" i="6"/>
  <c r="J633" i="6"/>
  <c r="I633" i="6"/>
  <c r="J632" i="6"/>
  <c r="I632" i="6"/>
  <c r="J631" i="6"/>
  <c r="I631" i="6"/>
  <c r="J630" i="6"/>
  <c r="I630" i="6"/>
  <c r="J629" i="6"/>
  <c r="I629" i="6"/>
  <c r="J628" i="6"/>
  <c r="I628" i="6"/>
  <c r="J627" i="6"/>
  <c r="I627" i="6"/>
  <c r="J626" i="6"/>
  <c r="I626" i="6"/>
  <c r="J625" i="6"/>
  <c r="I625" i="6"/>
  <c r="J624" i="6"/>
  <c r="I624" i="6"/>
  <c r="J623" i="6"/>
  <c r="I623" i="6"/>
  <c r="J622" i="6"/>
  <c r="I622" i="6"/>
  <c r="J621" i="6"/>
  <c r="I621" i="6"/>
  <c r="J620" i="6"/>
  <c r="I620" i="6"/>
  <c r="J619" i="6"/>
  <c r="I619" i="6"/>
  <c r="J618" i="6"/>
  <c r="I618" i="6"/>
  <c r="J617" i="6"/>
  <c r="I617" i="6"/>
  <c r="J616" i="6"/>
  <c r="I616" i="6"/>
  <c r="J615" i="6"/>
  <c r="I615" i="6"/>
  <c r="J614" i="6"/>
  <c r="I614" i="6"/>
  <c r="J613" i="6"/>
  <c r="I613" i="6"/>
  <c r="J612" i="6"/>
  <c r="I612" i="6"/>
  <c r="J611" i="6"/>
  <c r="I611" i="6"/>
  <c r="J610" i="6"/>
  <c r="I610" i="6"/>
  <c r="J609" i="6"/>
  <c r="I609" i="6"/>
  <c r="J608" i="6"/>
  <c r="I608" i="6"/>
  <c r="J607" i="6"/>
  <c r="I607" i="6"/>
  <c r="J606" i="6"/>
  <c r="I606" i="6"/>
  <c r="J605" i="6"/>
  <c r="I605" i="6"/>
  <c r="J604" i="6"/>
  <c r="I604" i="6"/>
  <c r="J603" i="6"/>
  <c r="I603" i="6"/>
  <c r="J602" i="6"/>
  <c r="I602" i="6"/>
  <c r="J601" i="6"/>
  <c r="I601" i="6"/>
  <c r="J600" i="6"/>
  <c r="I600" i="6"/>
  <c r="J599" i="6"/>
  <c r="I599" i="6"/>
  <c r="J598" i="6"/>
  <c r="I598" i="6"/>
  <c r="J597" i="6"/>
  <c r="I597" i="6"/>
  <c r="J596" i="6"/>
  <c r="I596" i="6"/>
  <c r="J595" i="6"/>
  <c r="I595" i="6"/>
  <c r="J594" i="6"/>
  <c r="I594" i="6"/>
  <c r="J593" i="6"/>
  <c r="I593" i="6"/>
  <c r="J592" i="6"/>
  <c r="I592" i="6"/>
  <c r="J591" i="6"/>
  <c r="I591" i="6"/>
  <c r="J590" i="6"/>
  <c r="I590" i="6"/>
  <c r="J589" i="6"/>
  <c r="I589" i="6"/>
  <c r="J588" i="6"/>
  <c r="I588" i="6"/>
  <c r="J587" i="6"/>
  <c r="I587" i="6"/>
  <c r="J586" i="6"/>
  <c r="I586" i="6"/>
  <c r="J585" i="6"/>
  <c r="I585" i="6"/>
  <c r="J584" i="6"/>
  <c r="I584" i="6"/>
  <c r="J583" i="6"/>
  <c r="I583" i="6"/>
  <c r="J582" i="6"/>
  <c r="I582" i="6"/>
  <c r="J581" i="6"/>
  <c r="I581" i="6"/>
  <c r="J580" i="6"/>
  <c r="I580" i="6"/>
  <c r="J579" i="6"/>
  <c r="I579" i="6"/>
  <c r="J578" i="6"/>
  <c r="I578" i="6"/>
  <c r="J577" i="6"/>
  <c r="I577" i="6"/>
  <c r="J576" i="6"/>
  <c r="I576" i="6"/>
  <c r="J575" i="6"/>
  <c r="I575" i="6"/>
  <c r="J574" i="6"/>
  <c r="I574" i="6"/>
  <c r="J573" i="6"/>
  <c r="I573" i="6"/>
  <c r="J572" i="6"/>
  <c r="I572" i="6"/>
  <c r="J571" i="6"/>
  <c r="I571" i="6"/>
  <c r="J570" i="6"/>
  <c r="I570" i="6"/>
  <c r="J569" i="6"/>
  <c r="I569" i="6"/>
  <c r="J568" i="6"/>
  <c r="I568" i="6"/>
  <c r="J567" i="6"/>
  <c r="I567" i="6"/>
  <c r="J566" i="6"/>
  <c r="I566" i="6"/>
  <c r="J565" i="6"/>
  <c r="I565" i="6"/>
  <c r="J564" i="6"/>
  <c r="I564" i="6"/>
  <c r="J563" i="6"/>
  <c r="I563" i="6"/>
  <c r="J562" i="6"/>
  <c r="I562" i="6"/>
  <c r="J561" i="6"/>
  <c r="I561" i="6"/>
  <c r="J560" i="6"/>
  <c r="I560" i="6"/>
  <c r="J559" i="6"/>
  <c r="I559" i="6"/>
  <c r="J558" i="6"/>
  <c r="I558" i="6"/>
  <c r="J557" i="6"/>
  <c r="I557" i="6"/>
  <c r="J556" i="6"/>
  <c r="I556" i="6"/>
  <c r="J555" i="6"/>
  <c r="I555" i="6"/>
  <c r="J554" i="6"/>
  <c r="I554" i="6"/>
  <c r="J553" i="6"/>
  <c r="I553" i="6"/>
  <c r="J552" i="6"/>
  <c r="I552" i="6"/>
  <c r="J551" i="6"/>
  <c r="I551" i="6"/>
  <c r="J550" i="6"/>
  <c r="I550" i="6"/>
  <c r="J549" i="6"/>
  <c r="I549" i="6"/>
  <c r="J548" i="6"/>
  <c r="I548" i="6"/>
  <c r="J547" i="6"/>
  <c r="I547" i="6"/>
  <c r="J546" i="6"/>
  <c r="I546" i="6"/>
  <c r="J545" i="6"/>
  <c r="I545" i="6"/>
  <c r="J544" i="6"/>
  <c r="I544" i="6"/>
  <c r="J543" i="6"/>
  <c r="I543" i="6"/>
  <c r="J542" i="6"/>
  <c r="I542" i="6"/>
  <c r="J541" i="6"/>
  <c r="I541" i="6"/>
  <c r="J540" i="6"/>
  <c r="I540" i="6"/>
  <c r="J539" i="6"/>
  <c r="I539" i="6"/>
  <c r="J538" i="6"/>
  <c r="I538" i="6"/>
  <c r="J537" i="6"/>
  <c r="I537" i="6"/>
  <c r="J536" i="6"/>
  <c r="I536" i="6"/>
  <c r="J535" i="6"/>
  <c r="I535" i="6"/>
  <c r="J534" i="6"/>
  <c r="I534" i="6"/>
  <c r="J533" i="6"/>
  <c r="I533" i="6"/>
  <c r="J532" i="6"/>
  <c r="I532" i="6"/>
  <c r="J531" i="6"/>
  <c r="I531" i="6"/>
  <c r="J530" i="6"/>
  <c r="I530" i="6"/>
  <c r="J529" i="6"/>
  <c r="I529" i="6"/>
  <c r="J528" i="6"/>
  <c r="I528" i="6"/>
  <c r="J527" i="6"/>
  <c r="I527" i="6"/>
  <c r="J526" i="6"/>
  <c r="I526" i="6"/>
  <c r="J525" i="6"/>
  <c r="I525" i="6"/>
  <c r="J524" i="6"/>
  <c r="I524" i="6"/>
  <c r="J523" i="6"/>
  <c r="I523" i="6"/>
  <c r="J522" i="6"/>
  <c r="I522" i="6"/>
  <c r="J521" i="6"/>
  <c r="I521" i="6"/>
  <c r="J520" i="6"/>
  <c r="I520" i="6"/>
  <c r="J519" i="6"/>
  <c r="I519" i="6"/>
  <c r="J518" i="6"/>
  <c r="I518" i="6"/>
  <c r="J517" i="6"/>
  <c r="I517" i="6"/>
  <c r="J516" i="6"/>
  <c r="I516" i="6"/>
  <c r="J515" i="6"/>
  <c r="I515" i="6"/>
  <c r="J514" i="6"/>
  <c r="I514" i="6"/>
  <c r="J513" i="6"/>
  <c r="I513" i="6"/>
  <c r="J512" i="6"/>
  <c r="I512" i="6"/>
  <c r="J511" i="6"/>
  <c r="I511" i="6"/>
  <c r="J510" i="6"/>
  <c r="I510" i="6"/>
  <c r="J509" i="6"/>
  <c r="I509" i="6"/>
  <c r="J508" i="6"/>
  <c r="I508" i="6"/>
  <c r="J507" i="6"/>
  <c r="I507" i="6"/>
  <c r="J506" i="6"/>
  <c r="I506" i="6"/>
  <c r="J505" i="6"/>
  <c r="I505" i="6"/>
  <c r="J504" i="6"/>
  <c r="I504" i="6"/>
  <c r="J503" i="6"/>
  <c r="I503" i="6"/>
  <c r="J502" i="6"/>
  <c r="I502" i="6"/>
  <c r="J501" i="6"/>
  <c r="I501" i="6"/>
  <c r="J500" i="6"/>
  <c r="I500" i="6"/>
  <c r="J499" i="6"/>
  <c r="I499" i="6"/>
  <c r="J498" i="6"/>
  <c r="I498" i="6"/>
  <c r="J497" i="6"/>
  <c r="I497" i="6"/>
  <c r="J496" i="6"/>
  <c r="I496" i="6"/>
  <c r="J495" i="6"/>
  <c r="I495" i="6"/>
  <c r="J494" i="6"/>
  <c r="I494" i="6"/>
  <c r="J493" i="6"/>
  <c r="I493" i="6"/>
  <c r="J492" i="6"/>
  <c r="I492" i="6"/>
  <c r="J491" i="6"/>
  <c r="I491" i="6"/>
  <c r="J490" i="6"/>
  <c r="I490" i="6"/>
  <c r="J489" i="6"/>
  <c r="I489" i="6"/>
  <c r="J488" i="6"/>
  <c r="I488" i="6"/>
  <c r="J487" i="6"/>
  <c r="I487" i="6"/>
  <c r="J486" i="6"/>
  <c r="I486" i="6"/>
  <c r="J485" i="6"/>
  <c r="I485" i="6"/>
  <c r="J484" i="6"/>
  <c r="I484" i="6"/>
  <c r="J483" i="6"/>
  <c r="I483" i="6"/>
  <c r="J482" i="6"/>
  <c r="I482" i="6"/>
  <c r="J481" i="6"/>
  <c r="I481" i="6"/>
  <c r="J480" i="6"/>
  <c r="I480" i="6"/>
  <c r="J479" i="6"/>
  <c r="I479" i="6"/>
  <c r="J478" i="6"/>
  <c r="I478" i="6"/>
  <c r="J477" i="6"/>
  <c r="I477" i="6"/>
  <c r="J476" i="6"/>
  <c r="I476" i="6"/>
  <c r="J475" i="6"/>
  <c r="I475" i="6"/>
  <c r="J474" i="6"/>
  <c r="I474" i="6"/>
  <c r="J473" i="6"/>
  <c r="I473" i="6"/>
  <c r="J472" i="6"/>
  <c r="I472" i="6"/>
  <c r="J471" i="6"/>
  <c r="I471" i="6"/>
  <c r="J470" i="6"/>
  <c r="I470" i="6"/>
  <c r="J469" i="6"/>
  <c r="I469" i="6"/>
  <c r="J468" i="6"/>
  <c r="I468" i="6"/>
  <c r="J467" i="6"/>
  <c r="I467" i="6"/>
  <c r="J466" i="6"/>
  <c r="I466" i="6"/>
  <c r="J465" i="6"/>
  <c r="I465" i="6"/>
  <c r="J464" i="6"/>
  <c r="I464" i="6"/>
  <c r="J463" i="6"/>
  <c r="I463" i="6"/>
  <c r="J462" i="6"/>
  <c r="I462" i="6"/>
  <c r="J461" i="6"/>
  <c r="I461" i="6"/>
  <c r="J460" i="6"/>
  <c r="I460" i="6"/>
  <c r="J459" i="6"/>
  <c r="I459" i="6"/>
  <c r="J458" i="6"/>
  <c r="I458" i="6"/>
  <c r="J457" i="6"/>
  <c r="I457" i="6"/>
  <c r="J456" i="6"/>
  <c r="I456" i="6"/>
  <c r="J455" i="6"/>
  <c r="I455" i="6"/>
  <c r="J454" i="6"/>
  <c r="I454" i="6"/>
  <c r="J453" i="6"/>
  <c r="I453" i="6"/>
  <c r="J452" i="6"/>
  <c r="I452" i="6"/>
  <c r="J451" i="6"/>
  <c r="I451" i="6"/>
  <c r="J450" i="6"/>
  <c r="I450" i="6"/>
  <c r="J449" i="6"/>
  <c r="I449" i="6"/>
  <c r="J448" i="6"/>
  <c r="I448" i="6"/>
  <c r="J447" i="6"/>
  <c r="I447" i="6"/>
  <c r="J446" i="6"/>
  <c r="I446" i="6"/>
  <c r="J445" i="6"/>
  <c r="I445" i="6"/>
  <c r="J444" i="6"/>
  <c r="I444" i="6"/>
  <c r="J443" i="6"/>
  <c r="I443" i="6"/>
  <c r="J442" i="6"/>
  <c r="I442" i="6"/>
  <c r="J441" i="6"/>
  <c r="I441" i="6"/>
  <c r="J440" i="6"/>
  <c r="I440" i="6"/>
  <c r="J439" i="6"/>
  <c r="I439" i="6"/>
  <c r="J438" i="6"/>
  <c r="I438" i="6"/>
  <c r="J437" i="6"/>
  <c r="I437" i="6"/>
  <c r="J436" i="6"/>
  <c r="I436" i="6"/>
  <c r="J435" i="6"/>
  <c r="I435" i="6"/>
  <c r="J434" i="6"/>
  <c r="I434" i="6"/>
  <c r="J433" i="6"/>
  <c r="I433" i="6"/>
  <c r="J432" i="6"/>
  <c r="I432" i="6"/>
  <c r="J431" i="6"/>
  <c r="I431" i="6"/>
  <c r="J430" i="6"/>
  <c r="I430" i="6"/>
  <c r="J429" i="6"/>
  <c r="I429" i="6"/>
  <c r="J428" i="6"/>
  <c r="I428" i="6"/>
  <c r="J427" i="6"/>
  <c r="I427" i="6"/>
  <c r="J426" i="6"/>
  <c r="I426" i="6"/>
  <c r="J425" i="6"/>
  <c r="I425" i="6"/>
  <c r="J424" i="6"/>
  <c r="I424" i="6"/>
  <c r="J423" i="6"/>
  <c r="I423" i="6"/>
  <c r="J422" i="6"/>
  <c r="I422" i="6"/>
  <c r="J421" i="6"/>
  <c r="I421" i="6"/>
  <c r="J420" i="6"/>
  <c r="I420" i="6"/>
  <c r="J419" i="6"/>
  <c r="I419" i="6"/>
  <c r="J418" i="6"/>
  <c r="I418" i="6"/>
  <c r="J417" i="6"/>
  <c r="I417" i="6"/>
  <c r="J416" i="6"/>
  <c r="I416" i="6"/>
  <c r="J415" i="6"/>
  <c r="I415" i="6"/>
  <c r="J414" i="6"/>
  <c r="I414" i="6"/>
  <c r="J413" i="6"/>
  <c r="I413" i="6"/>
  <c r="J412" i="6"/>
  <c r="I412" i="6"/>
  <c r="J411" i="6"/>
  <c r="I411" i="6"/>
  <c r="J410" i="6"/>
  <c r="I410" i="6"/>
  <c r="J409" i="6"/>
  <c r="I409" i="6"/>
  <c r="J408" i="6"/>
  <c r="I408" i="6"/>
  <c r="J407" i="6"/>
  <c r="I407" i="6"/>
  <c r="J406" i="6"/>
  <c r="I406" i="6"/>
  <c r="J405" i="6"/>
  <c r="I405" i="6"/>
  <c r="J404" i="6"/>
  <c r="I404" i="6"/>
  <c r="J403" i="6"/>
  <c r="I403" i="6"/>
  <c r="J402" i="6"/>
  <c r="I402" i="6"/>
  <c r="J401" i="6"/>
  <c r="I401" i="6"/>
  <c r="J400" i="6"/>
  <c r="I400" i="6"/>
  <c r="J399" i="6"/>
  <c r="I399" i="6"/>
  <c r="J398" i="6"/>
  <c r="I398" i="6"/>
  <c r="J397" i="6"/>
  <c r="I397" i="6"/>
  <c r="J396" i="6"/>
  <c r="I396" i="6"/>
  <c r="J395" i="6"/>
  <c r="I395" i="6"/>
  <c r="J394" i="6"/>
  <c r="I394" i="6"/>
  <c r="J393" i="6"/>
  <c r="I393" i="6"/>
  <c r="J392" i="6"/>
  <c r="I392" i="6"/>
  <c r="J391" i="6"/>
  <c r="I391" i="6"/>
  <c r="J390" i="6"/>
  <c r="I390" i="6"/>
  <c r="J389" i="6"/>
  <c r="I389" i="6"/>
  <c r="J388" i="6"/>
  <c r="I388" i="6"/>
  <c r="J387" i="6"/>
  <c r="I387" i="6"/>
  <c r="J386" i="6"/>
  <c r="I386" i="6"/>
  <c r="J385" i="6"/>
  <c r="I385" i="6"/>
  <c r="J384" i="6"/>
  <c r="I384" i="6"/>
  <c r="J383" i="6"/>
  <c r="I383" i="6"/>
  <c r="J382" i="6"/>
  <c r="I382" i="6"/>
  <c r="J381" i="6"/>
  <c r="I381" i="6"/>
  <c r="J380" i="6"/>
  <c r="I380" i="6"/>
  <c r="J379" i="6"/>
  <c r="I379" i="6"/>
  <c r="J378" i="6"/>
  <c r="I378" i="6"/>
  <c r="J377" i="6"/>
  <c r="I377" i="6"/>
  <c r="J376" i="6"/>
  <c r="I376" i="6"/>
  <c r="J375" i="6"/>
  <c r="I375" i="6"/>
  <c r="J374" i="6"/>
  <c r="I374" i="6"/>
  <c r="J373" i="6"/>
  <c r="I373" i="6"/>
  <c r="J372" i="6"/>
  <c r="I372" i="6"/>
  <c r="J371" i="6"/>
  <c r="I371" i="6"/>
  <c r="J370" i="6"/>
  <c r="I370" i="6"/>
  <c r="J369" i="6"/>
  <c r="I369" i="6"/>
  <c r="J368" i="6"/>
  <c r="I368" i="6"/>
  <c r="J367" i="6"/>
  <c r="I367" i="6"/>
  <c r="J366" i="6"/>
  <c r="I366" i="6"/>
  <c r="J365" i="6"/>
  <c r="I365" i="6"/>
  <c r="J364" i="6"/>
  <c r="I364" i="6"/>
  <c r="J363" i="6"/>
  <c r="I363" i="6"/>
  <c r="J362" i="6"/>
  <c r="I362" i="6"/>
  <c r="J361" i="6"/>
  <c r="I361" i="6"/>
  <c r="J360" i="6"/>
  <c r="I360" i="6"/>
  <c r="J359" i="6"/>
  <c r="I359" i="6"/>
  <c r="J358" i="6"/>
  <c r="I358" i="6"/>
  <c r="J357" i="6"/>
  <c r="I357" i="6"/>
  <c r="J356" i="6"/>
  <c r="I356" i="6"/>
  <c r="J355" i="6"/>
  <c r="I355" i="6"/>
  <c r="J354" i="6"/>
  <c r="I354" i="6"/>
  <c r="J353" i="6"/>
  <c r="I353" i="6"/>
  <c r="J352" i="6"/>
  <c r="I352" i="6"/>
  <c r="J351" i="6"/>
  <c r="I351" i="6"/>
  <c r="J350" i="6"/>
  <c r="I350" i="6"/>
  <c r="J349" i="6"/>
  <c r="I349" i="6"/>
  <c r="J348" i="6"/>
  <c r="I348" i="6"/>
  <c r="J347" i="6"/>
  <c r="I347" i="6"/>
  <c r="J346" i="6"/>
  <c r="I346" i="6"/>
  <c r="J345" i="6"/>
  <c r="I345" i="6"/>
  <c r="J344" i="6"/>
  <c r="I344" i="6"/>
  <c r="J343" i="6"/>
  <c r="I343" i="6"/>
  <c r="J342" i="6"/>
  <c r="I342" i="6"/>
  <c r="J341" i="6"/>
  <c r="I341" i="6"/>
  <c r="J340" i="6"/>
  <c r="I340" i="6"/>
  <c r="J339" i="6"/>
  <c r="I339" i="6"/>
  <c r="J338" i="6"/>
  <c r="I338" i="6"/>
  <c r="J337" i="6"/>
  <c r="I337" i="6"/>
  <c r="J336" i="6"/>
  <c r="I336" i="6"/>
  <c r="J335" i="6"/>
  <c r="I335" i="6"/>
  <c r="J334" i="6"/>
  <c r="I334" i="6"/>
  <c r="J333" i="6"/>
  <c r="I333" i="6"/>
  <c r="J332" i="6"/>
  <c r="I332" i="6"/>
  <c r="J331" i="6"/>
  <c r="I331" i="6"/>
  <c r="J330" i="6"/>
  <c r="I330" i="6"/>
  <c r="J329" i="6"/>
  <c r="I329" i="6"/>
  <c r="J328" i="6"/>
  <c r="I328" i="6"/>
  <c r="J327" i="6"/>
  <c r="I327" i="6"/>
  <c r="J326" i="6"/>
  <c r="I326" i="6"/>
  <c r="J325" i="6"/>
  <c r="I325" i="6"/>
  <c r="J324" i="6"/>
  <c r="I324" i="6"/>
  <c r="J323" i="6"/>
  <c r="I323" i="6"/>
  <c r="J322" i="6"/>
  <c r="I322" i="6"/>
  <c r="J321" i="6"/>
  <c r="I321" i="6"/>
  <c r="J320" i="6"/>
  <c r="I320" i="6"/>
  <c r="J319" i="6"/>
  <c r="I319" i="6"/>
  <c r="J318" i="6"/>
  <c r="I318" i="6"/>
  <c r="J317" i="6"/>
  <c r="I317" i="6"/>
  <c r="J316" i="6"/>
  <c r="I316" i="6"/>
  <c r="J315" i="6"/>
  <c r="I315" i="6"/>
  <c r="J314" i="6"/>
  <c r="I314" i="6"/>
  <c r="J313" i="6"/>
  <c r="I313" i="6"/>
  <c r="J312" i="6"/>
  <c r="I312" i="6"/>
  <c r="J311" i="6"/>
  <c r="I311" i="6"/>
  <c r="J310" i="6"/>
  <c r="I310" i="6"/>
  <c r="J309" i="6"/>
  <c r="I309" i="6"/>
  <c r="J308" i="6"/>
  <c r="I308" i="6"/>
  <c r="J307" i="6"/>
  <c r="I307" i="6"/>
  <c r="J306" i="6"/>
  <c r="I306" i="6"/>
  <c r="J305" i="6"/>
  <c r="I305" i="6"/>
  <c r="J304" i="6"/>
  <c r="I304" i="6"/>
  <c r="J303" i="6"/>
  <c r="I303" i="6"/>
  <c r="J302" i="6"/>
  <c r="I302" i="6"/>
  <c r="J301" i="6"/>
  <c r="I301" i="6"/>
  <c r="J300" i="6"/>
  <c r="I300" i="6"/>
  <c r="J299" i="6"/>
  <c r="I299" i="6"/>
  <c r="J298" i="6"/>
  <c r="I298" i="6"/>
  <c r="J297" i="6"/>
  <c r="I297" i="6"/>
  <c r="J296" i="6"/>
  <c r="I296" i="6"/>
  <c r="J295" i="6"/>
  <c r="I295" i="6"/>
  <c r="J294" i="6"/>
  <c r="I294" i="6"/>
  <c r="J293" i="6"/>
  <c r="I293" i="6"/>
  <c r="J292" i="6"/>
  <c r="I292" i="6"/>
  <c r="J291" i="6"/>
  <c r="I291" i="6"/>
  <c r="J290" i="6"/>
  <c r="I290" i="6"/>
  <c r="J289" i="6"/>
  <c r="I289" i="6"/>
  <c r="J288" i="6"/>
  <c r="I288" i="6"/>
  <c r="J287" i="6"/>
  <c r="I287" i="6"/>
  <c r="J286" i="6"/>
  <c r="I286" i="6"/>
  <c r="J285" i="6"/>
  <c r="I285" i="6"/>
  <c r="J284" i="6"/>
  <c r="I284" i="6"/>
  <c r="J283" i="6"/>
  <c r="I283" i="6"/>
  <c r="J282" i="6"/>
  <c r="I282" i="6"/>
  <c r="J281" i="6"/>
  <c r="I281" i="6"/>
  <c r="J280" i="6"/>
  <c r="I280" i="6"/>
  <c r="J278" i="6"/>
  <c r="I278" i="6"/>
  <c r="I277" i="6"/>
  <c r="J276" i="6"/>
  <c r="I276" i="6"/>
  <c r="J275" i="6"/>
  <c r="I275" i="6"/>
  <c r="J273" i="6"/>
  <c r="I273" i="6"/>
  <c r="J272" i="6"/>
  <c r="I272" i="6"/>
  <c r="J271" i="6"/>
  <c r="I271" i="6"/>
  <c r="J270" i="6"/>
  <c r="I270" i="6"/>
  <c r="J269" i="6"/>
  <c r="I269" i="6"/>
  <c r="J268" i="6"/>
  <c r="I268" i="6"/>
  <c r="J267" i="6"/>
  <c r="I267" i="6"/>
  <c r="J266" i="6"/>
  <c r="I266" i="6"/>
  <c r="J265" i="6"/>
  <c r="I265" i="6"/>
  <c r="J264" i="6"/>
  <c r="I264" i="6"/>
  <c r="J263" i="6"/>
  <c r="I263" i="6"/>
  <c r="J262" i="6"/>
  <c r="I262" i="6"/>
  <c r="J261" i="6"/>
  <c r="I261" i="6"/>
  <c r="J260" i="6"/>
  <c r="I260" i="6"/>
  <c r="J259" i="6"/>
  <c r="I259" i="6"/>
  <c r="J258" i="6"/>
  <c r="I258" i="6"/>
  <c r="J257" i="6"/>
  <c r="I257" i="6"/>
  <c r="J256" i="6"/>
  <c r="I256" i="6"/>
  <c r="J255" i="6"/>
  <c r="I255" i="6"/>
  <c r="J254" i="6"/>
  <c r="I254" i="6"/>
  <c r="J253" i="6"/>
  <c r="I253" i="6"/>
  <c r="J252" i="6"/>
  <c r="I252" i="6"/>
  <c r="J251" i="6"/>
  <c r="I251" i="6"/>
  <c r="J250" i="6"/>
  <c r="I250" i="6"/>
  <c r="J249" i="6"/>
  <c r="I249" i="6"/>
  <c r="J248" i="6"/>
  <c r="I248" i="6"/>
  <c r="J247" i="6"/>
  <c r="I247" i="6"/>
  <c r="J246" i="6"/>
  <c r="I246" i="6"/>
  <c r="J245" i="6"/>
  <c r="I245" i="6"/>
  <c r="J244" i="6"/>
  <c r="I244" i="6"/>
  <c r="J243" i="6"/>
  <c r="I243" i="6"/>
  <c r="J242" i="6"/>
  <c r="I242" i="6"/>
  <c r="J240" i="6"/>
  <c r="I240" i="6"/>
  <c r="J239" i="6"/>
  <c r="I239" i="6"/>
  <c r="J238" i="6"/>
  <c r="I238" i="6"/>
  <c r="J237" i="6"/>
  <c r="I237" i="6"/>
  <c r="J236" i="6"/>
  <c r="I236" i="6"/>
  <c r="I235" i="6"/>
  <c r="J234" i="6"/>
  <c r="I234" i="6"/>
  <c r="J233" i="6"/>
  <c r="I233" i="6"/>
  <c r="J232" i="6"/>
  <c r="I232" i="6"/>
  <c r="J231" i="6"/>
  <c r="I231" i="6"/>
  <c r="J230" i="6"/>
  <c r="I230" i="6"/>
  <c r="J229" i="6"/>
  <c r="I229" i="6"/>
  <c r="J228" i="6"/>
  <c r="I228" i="6"/>
  <c r="J227" i="6"/>
  <c r="I227" i="6"/>
  <c r="J226" i="6"/>
  <c r="I226" i="6"/>
  <c r="J225" i="6"/>
  <c r="I225" i="6"/>
  <c r="J224" i="6"/>
  <c r="I224" i="6"/>
  <c r="J223" i="6"/>
  <c r="I223" i="6"/>
  <c r="J222" i="6"/>
  <c r="I222" i="6"/>
  <c r="J221" i="6"/>
  <c r="J220" i="6"/>
  <c r="I220" i="6"/>
  <c r="J219" i="6"/>
  <c r="I219" i="6"/>
  <c r="J218" i="6"/>
  <c r="I218" i="6"/>
  <c r="J217" i="6"/>
  <c r="I217" i="6"/>
  <c r="J216" i="6"/>
  <c r="I216" i="6"/>
  <c r="J215" i="6"/>
  <c r="I215" i="6"/>
  <c r="J214" i="6"/>
  <c r="I214" i="6"/>
  <c r="J213" i="6"/>
  <c r="I213" i="6"/>
  <c r="J212" i="6"/>
  <c r="I212" i="6"/>
  <c r="J211" i="6"/>
  <c r="I211" i="6"/>
  <c r="J210" i="6"/>
  <c r="I210" i="6"/>
  <c r="J209" i="6"/>
  <c r="I209" i="6"/>
  <c r="J208" i="6"/>
  <c r="I208" i="6"/>
  <c r="J207" i="6"/>
  <c r="I207" i="6"/>
  <c r="J206" i="6"/>
  <c r="I206" i="6"/>
  <c r="J205" i="6"/>
  <c r="I205" i="6"/>
  <c r="J204" i="6"/>
  <c r="I204" i="6"/>
  <c r="J203" i="6"/>
  <c r="I203" i="6"/>
  <c r="J202" i="6"/>
  <c r="I202" i="6"/>
  <c r="J201" i="6"/>
  <c r="I201" i="6"/>
  <c r="J200" i="6"/>
  <c r="I200" i="6"/>
  <c r="J199" i="6"/>
  <c r="I199" i="6"/>
  <c r="J198" i="6"/>
  <c r="I198" i="6"/>
  <c r="J197" i="6"/>
  <c r="I197" i="6"/>
  <c r="J196" i="6"/>
  <c r="I196" i="6"/>
  <c r="J195" i="6"/>
  <c r="I195" i="6"/>
  <c r="J194" i="6"/>
  <c r="I194" i="6"/>
  <c r="J193" i="6"/>
  <c r="I193" i="6"/>
  <c r="J192" i="6"/>
  <c r="I192" i="6"/>
  <c r="J191" i="6"/>
  <c r="I191" i="6"/>
  <c r="J190" i="6"/>
  <c r="I190" i="6"/>
  <c r="J189" i="6"/>
  <c r="I189" i="6"/>
  <c r="J188" i="6"/>
  <c r="I188" i="6"/>
  <c r="J187" i="6"/>
  <c r="I187" i="6"/>
  <c r="J186" i="6"/>
  <c r="I186" i="6"/>
  <c r="J185" i="6"/>
  <c r="I185" i="6"/>
  <c r="J184" i="6"/>
  <c r="I184" i="6"/>
  <c r="J183" i="6"/>
  <c r="I183" i="6"/>
  <c r="J182" i="6"/>
  <c r="I182" i="6"/>
  <c r="J181" i="6"/>
  <c r="I181" i="6"/>
  <c r="J180" i="6"/>
  <c r="I180" i="6"/>
  <c r="J179" i="6"/>
  <c r="I179" i="6"/>
  <c r="J178" i="6"/>
  <c r="I178" i="6"/>
  <c r="J177" i="6"/>
  <c r="I177" i="6"/>
  <c r="J176" i="6"/>
  <c r="I176" i="6"/>
  <c r="J175" i="6"/>
  <c r="I175" i="6"/>
  <c r="J174" i="6"/>
  <c r="I174" i="6"/>
  <c r="J173" i="6"/>
  <c r="I173" i="6"/>
  <c r="J172" i="6"/>
  <c r="I172" i="6"/>
  <c r="J171" i="6"/>
  <c r="I171" i="6"/>
  <c r="J170" i="6"/>
  <c r="I170" i="6"/>
  <c r="J169" i="6"/>
  <c r="I169" i="6"/>
  <c r="J168" i="6"/>
  <c r="I168" i="6"/>
  <c r="J167" i="6"/>
  <c r="I167" i="6"/>
  <c r="J166" i="6"/>
  <c r="I166" i="6"/>
  <c r="J165" i="6"/>
  <c r="I165" i="6"/>
  <c r="J164" i="6"/>
  <c r="I164" i="6"/>
  <c r="J163" i="6"/>
  <c r="I163" i="6"/>
  <c r="J162" i="6"/>
  <c r="I162" i="6"/>
  <c r="J161" i="6"/>
  <c r="I161" i="6"/>
  <c r="J160" i="6"/>
  <c r="I160" i="6"/>
  <c r="J159" i="6"/>
  <c r="I159" i="6"/>
  <c r="J158" i="6"/>
  <c r="I158" i="6"/>
  <c r="J157" i="6"/>
  <c r="I157" i="6"/>
  <c r="J156" i="6"/>
  <c r="I156" i="6"/>
  <c r="J155" i="6"/>
  <c r="I155" i="6"/>
  <c r="J154" i="6"/>
  <c r="I154" i="6"/>
  <c r="J153" i="6"/>
  <c r="I153" i="6"/>
  <c r="J152" i="6"/>
  <c r="I152" i="6"/>
  <c r="J151" i="6"/>
  <c r="I151" i="6"/>
  <c r="J150" i="6"/>
  <c r="I150" i="6"/>
  <c r="J149" i="6"/>
  <c r="I149" i="6"/>
  <c r="J148" i="6"/>
  <c r="I148" i="6"/>
  <c r="J147" i="6"/>
  <c r="I147" i="6"/>
  <c r="J146" i="6"/>
  <c r="I146" i="6"/>
  <c r="J145" i="6"/>
  <c r="I145" i="6"/>
  <c r="J144" i="6"/>
  <c r="I144" i="6"/>
  <c r="J143" i="6"/>
  <c r="I143" i="6"/>
  <c r="J142" i="6"/>
  <c r="I142" i="6"/>
  <c r="J141" i="6"/>
  <c r="I141" i="6"/>
  <c r="J140" i="6"/>
  <c r="I140" i="6"/>
  <c r="J139" i="6"/>
  <c r="I139" i="6"/>
  <c r="J138" i="6"/>
  <c r="I138" i="6"/>
  <c r="J137" i="6"/>
  <c r="I137" i="6"/>
  <c r="J136" i="6"/>
  <c r="I136" i="6"/>
  <c r="J135" i="6"/>
  <c r="I135" i="6"/>
  <c r="J134" i="6"/>
  <c r="I134" i="6"/>
  <c r="J133" i="6"/>
  <c r="I133" i="6"/>
  <c r="J132" i="6"/>
  <c r="I132" i="6"/>
  <c r="J131" i="6"/>
  <c r="I131" i="6"/>
  <c r="J129" i="6"/>
  <c r="I129" i="6"/>
  <c r="J128" i="6"/>
  <c r="I128" i="6"/>
  <c r="J127" i="6"/>
  <c r="I127" i="6"/>
  <c r="J126" i="6"/>
  <c r="I126" i="6"/>
  <c r="J125" i="6"/>
  <c r="I125" i="6"/>
  <c r="J124" i="6"/>
  <c r="I124" i="6"/>
  <c r="J121" i="6"/>
  <c r="I121" i="6"/>
  <c r="J120" i="6"/>
  <c r="I120" i="6"/>
  <c r="J119" i="6"/>
  <c r="I119" i="6"/>
  <c r="J118" i="6"/>
  <c r="I118" i="6"/>
  <c r="J117" i="6"/>
  <c r="I117" i="6"/>
  <c r="J116" i="6"/>
  <c r="I116" i="6"/>
  <c r="J115" i="6"/>
  <c r="I115" i="6"/>
  <c r="J114" i="6"/>
  <c r="I114" i="6"/>
  <c r="J113" i="6"/>
  <c r="I113" i="6"/>
  <c r="J112" i="6"/>
  <c r="I112" i="6"/>
  <c r="J111" i="6"/>
  <c r="I111" i="6"/>
  <c r="J110" i="6"/>
  <c r="I110" i="6"/>
  <c r="J109" i="6"/>
  <c r="I109" i="6"/>
  <c r="J108" i="6"/>
  <c r="I108" i="6"/>
  <c r="J107" i="6"/>
  <c r="I107" i="6"/>
  <c r="J106" i="6"/>
  <c r="I106" i="6"/>
  <c r="J105" i="6"/>
  <c r="I105" i="6"/>
  <c r="J104" i="6"/>
  <c r="I104" i="6"/>
  <c r="J103" i="6"/>
  <c r="I103" i="6"/>
  <c r="J102" i="6"/>
  <c r="I102" i="6"/>
  <c r="J101" i="6"/>
  <c r="I101" i="6"/>
  <c r="J100" i="6"/>
  <c r="I100" i="6"/>
  <c r="J99" i="6"/>
  <c r="I99" i="6"/>
  <c r="J98" i="6"/>
  <c r="I98" i="6"/>
  <c r="J97" i="6"/>
  <c r="I97" i="6"/>
  <c r="J96" i="6"/>
  <c r="I96" i="6"/>
  <c r="J95" i="6"/>
  <c r="I95" i="6"/>
  <c r="J94" i="6"/>
  <c r="I94" i="6"/>
  <c r="J93" i="6"/>
  <c r="I93" i="6"/>
  <c r="J92" i="6"/>
  <c r="I92" i="6"/>
  <c r="J91" i="6"/>
  <c r="I91" i="6"/>
  <c r="J90" i="6"/>
  <c r="I90" i="6"/>
  <c r="J89" i="6"/>
  <c r="I89" i="6"/>
  <c r="J88" i="6"/>
  <c r="I88" i="6"/>
  <c r="J87" i="6"/>
  <c r="I87" i="6"/>
  <c r="J86" i="6"/>
  <c r="I86" i="6"/>
  <c r="J83" i="6"/>
  <c r="I83" i="6"/>
  <c r="J82" i="6"/>
  <c r="I82" i="6"/>
  <c r="J81" i="6"/>
  <c r="I81" i="6"/>
  <c r="J80" i="6"/>
  <c r="I80" i="6"/>
  <c r="J79" i="6"/>
  <c r="I79" i="6"/>
  <c r="J78" i="6"/>
  <c r="I78" i="6"/>
  <c r="J77" i="6"/>
  <c r="I77" i="6"/>
  <c r="J76" i="6"/>
  <c r="I76" i="6"/>
  <c r="J75" i="6"/>
  <c r="I75" i="6"/>
  <c r="J74" i="6"/>
  <c r="I74" i="6"/>
  <c r="J73" i="6"/>
  <c r="I73" i="6"/>
  <c r="J72" i="6"/>
  <c r="I72" i="6"/>
  <c r="J71" i="6"/>
  <c r="I71" i="6"/>
  <c r="J70" i="6"/>
  <c r="I70" i="6"/>
  <c r="J69" i="6"/>
  <c r="I69" i="6"/>
  <c r="J68" i="6"/>
  <c r="I68" i="6"/>
  <c r="J67" i="6"/>
  <c r="I67" i="6"/>
  <c r="J66" i="6"/>
  <c r="I66" i="6"/>
  <c r="J65" i="6"/>
  <c r="I65" i="6"/>
  <c r="J64" i="6"/>
  <c r="I64" i="6"/>
  <c r="J63" i="6"/>
  <c r="I63" i="6"/>
  <c r="J62" i="6"/>
  <c r="I62" i="6"/>
  <c r="J61" i="6"/>
  <c r="I61" i="6"/>
  <c r="J60" i="6"/>
  <c r="I60" i="6"/>
  <c r="J59" i="6"/>
  <c r="I59" i="6"/>
  <c r="J58" i="6"/>
  <c r="I58" i="6"/>
  <c r="J57" i="6"/>
  <c r="I57" i="6"/>
  <c r="J56" i="6"/>
  <c r="I56" i="6"/>
  <c r="J55" i="6"/>
  <c r="I55" i="6"/>
  <c r="J54" i="6"/>
  <c r="I54" i="6"/>
  <c r="J53" i="6"/>
  <c r="I53" i="6"/>
  <c r="J52" i="6"/>
  <c r="I52" i="6"/>
  <c r="J51" i="6"/>
  <c r="I51" i="6"/>
  <c r="J50" i="6"/>
  <c r="I50" i="6"/>
  <c r="J49" i="6"/>
  <c r="I49" i="6"/>
  <c r="J48" i="6"/>
  <c r="I48" i="6"/>
  <c r="J47" i="6"/>
  <c r="I47" i="6"/>
  <c r="J46" i="6"/>
  <c r="I46" i="6"/>
  <c r="J45" i="6"/>
  <c r="I45" i="6"/>
  <c r="J44" i="6"/>
  <c r="I44" i="6"/>
  <c r="J42" i="6"/>
  <c r="I42" i="6"/>
  <c r="J41" i="6"/>
  <c r="I41" i="6"/>
  <c r="J40" i="6"/>
  <c r="I40" i="6"/>
  <c r="J39" i="6"/>
  <c r="I39" i="6"/>
  <c r="J38" i="6"/>
  <c r="I38" i="6"/>
  <c r="J37" i="6"/>
  <c r="I37" i="6"/>
  <c r="J36" i="6"/>
  <c r="I36" i="6"/>
  <c r="J35" i="6"/>
  <c r="I35" i="6"/>
  <c r="J34" i="6"/>
  <c r="I34" i="6"/>
  <c r="J33" i="6"/>
  <c r="I33" i="6"/>
  <c r="J32" i="6"/>
  <c r="I32" i="6"/>
  <c r="J31" i="6"/>
  <c r="I31" i="6"/>
  <c r="J30" i="6"/>
  <c r="I30" i="6"/>
  <c r="J29" i="6"/>
  <c r="I29" i="6"/>
  <c r="J28" i="6"/>
  <c r="I28" i="6"/>
  <c r="J27" i="6"/>
  <c r="I27" i="6"/>
  <c r="J26" i="6"/>
  <c r="I26" i="6"/>
  <c r="J25" i="6"/>
  <c r="I25" i="6"/>
  <c r="J24" i="6"/>
  <c r="I24" i="6"/>
  <c r="J23" i="6"/>
  <c r="I23" i="6"/>
  <c r="J22" i="6"/>
  <c r="I22" i="6"/>
  <c r="J21" i="6"/>
  <c r="I21" i="6"/>
  <c r="J20" i="6"/>
  <c r="I20" i="6"/>
  <c r="J19" i="6"/>
  <c r="I19" i="6"/>
  <c r="J18" i="6"/>
  <c r="I18" i="6"/>
  <c r="J17" i="6"/>
  <c r="I17" i="6"/>
  <c r="J16" i="6"/>
  <c r="I16" i="6"/>
  <c r="J15" i="6"/>
  <c r="I15" i="6"/>
  <c r="J13" i="6"/>
  <c r="I13" i="6"/>
  <c r="J12" i="6"/>
  <c r="I12" i="6"/>
  <c r="J11" i="6"/>
  <c r="I11" i="6"/>
  <c r="J10" i="6"/>
  <c r="I10" i="6"/>
  <c r="J9" i="6"/>
  <c r="I9" i="6"/>
  <c r="J8" i="6"/>
  <c r="I8" i="6"/>
  <c r="J7" i="6"/>
  <c r="I7" i="6"/>
  <c r="J6" i="6"/>
  <c r="I6" i="6"/>
  <c r="I5" i="6"/>
  <c r="J4" i="6"/>
  <c r="I4" i="6"/>
  <c r="J3" i="6"/>
  <c r="I3" i="6"/>
  <c r="J2" i="6"/>
  <c r="I2" i="6"/>
  <c r="B1" i="12"/>
  <c r="S1473" i="1" s="1"/>
  <c r="S1471" i="1" l="1"/>
  <c r="S1472" i="1"/>
  <c r="S1469" i="1"/>
  <c r="S1470" i="1"/>
  <c r="S1467" i="1"/>
  <c r="S1468" i="1"/>
  <c r="S1465" i="1"/>
  <c r="S1466" i="1"/>
  <c r="S1463" i="1"/>
  <c r="S1464" i="1"/>
  <c r="S1461" i="1"/>
  <c r="S1462" i="1"/>
  <c r="S1459" i="1"/>
  <c r="S1460" i="1"/>
  <c r="S1457" i="1"/>
  <c r="S1458" i="1"/>
  <c r="S1455" i="1"/>
  <c r="S1456" i="1"/>
  <c r="S1453" i="1"/>
  <c r="S1454" i="1"/>
  <c r="S1449" i="1"/>
  <c r="S1432" i="1"/>
  <c r="S1431" i="1"/>
  <c r="AB8" i="16"/>
  <c r="S1447" i="1"/>
  <c r="S1448" i="1"/>
  <c r="S1445" i="1"/>
  <c r="S1446" i="1"/>
  <c r="S1443" i="1"/>
  <c r="S1444" i="1"/>
  <c r="S1441" i="1"/>
  <c r="S1442" i="1"/>
  <c r="S1439" i="1"/>
  <c r="S1440" i="1"/>
  <c r="S1437" i="1"/>
  <c r="S1438" i="1"/>
  <c r="S1435" i="1"/>
  <c r="S1436" i="1"/>
  <c r="S1433" i="1"/>
  <c r="S1434" i="1"/>
  <c r="S1430" i="1"/>
  <c r="S1427" i="1"/>
  <c r="S1428" i="1"/>
  <c r="S1425" i="1"/>
  <c r="S1426" i="1"/>
  <c r="S1050" i="1"/>
  <c r="S1424" i="1"/>
  <c r="S1422" i="1"/>
  <c r="R8" i="16"/>
  <c r="H8" i="16"/>
  <c r="S8" i="16"/>
  <c r="C8" i="16"/>
  <c r="E8" i="16"/>
  <c r="I8" i="16"/>
  <c r="D8" i="16"/>
  <c r="U8" i="16"/>
  <c r="J8" i="16"/>
  <c r="B8" i="16"/>
  <c r="Z8" i="16"/>
  <c r="N8" i="16"/>
  <c r="Q8" i="16"/>
  <c r="V8" i="16"/>
  <c r="O8" i="16"/>
  <c r="X8" i="16"/>
  <c r="K8" i="16"/>
  <c r="AC8" i="16"/>
  <c r="F8" i="16"/>
  <c r="G8" i="16"/>
  <c r="P8" i="16"/>
  <c r="T8" i="16"/>
  <c r="M8" i="16"/>
  <c r="Y8" i="16"/>
  <c r="W8" i="16"/>
  <c r="AA8" i="16"/>
  <c r="L8" i="16"/>
  <c r="S1411" i="1"/>
  <c r="S1225" i="1"/>
  <c r="S1423" i="1"/>
  <c r="S1410" i="1"/>
  <c r="S1418" i="1"/>
  <c r="S1419" i="1"/>
  <c r="S1429" i="1"/>
  <c r="S1417" i="1"/>
  <c r="S1394" i="1"/>
  <c r="S1379" i="1"/>
  <c r="S1395" i="1"/>
  <c r="S1403" i="1"/>
  <c r="S1420" i="1"/>
  <c r="S1408" i="1"/>
  <c r="S1327" i="1"/>
  <c r="S1406" i="1"/>
  <c r="S1396" i="1"/>
  <c r="S1381" i="1"/>
  <c r="S1380" i="1"/>
  <c r="S1374" i="1"/>
  <c r="S1372" i="1"/>
  <c r="S1369" i="1"/>
  <c r="S1361" i="1"/>
  <c r="S1334" i="1"/>
  <c r="S1298" i="1"/>
  <c r="S1285" i="1"/>
  <c r="S1356" i="1"/>
  <c r="S1258" i="1"/>
  <c r="S1209" i="1"/>
  <c r="S1412" i="1"/>
  <c r="S1409" i="1"/>
  <c r="S1407" i="1"/>
  <c r="S1349" i="1"/>
  <c r="S1275" i="1"/>
  <c r="S1247" i="1"/>
  <c r="S1382" i="1"/>
  <c r="S1371" i="1"/>
  <c r="S1358" i="1"/>
  <c r="S1205" i="1"/>
  <c r="S1383" i="1"/>
  <c r="S1401" i="1"/>
  <c r="S1387" i="1"/>
  <c r="S1370" i="1"/>
  <c r="S1347" i="1"/>
  <c r="S1297" i="1"/>
  <c r="S1280" i="1"/>
  <c r="S1400" i="1"/>
  <c r="S1246" i="1"/>
  <c r="S1415" i="1"/>
  <c r="S1405" i="1"/>
  <c r="S1398" i="1"/>
  <c r="S1397" i="1"/>
  <c r="S1404" i="1"/>
  <c r="S1386" i="1"/>
  <c r="S1385" i="1"/>
  <c r="S1377" i="1"/>
  <c r="S1376" i="1"/>
  <c r="S1367" i="1"/>
  <c r="S1421" i="1"/>
  <c r="S1355" i="1"/>
  <c r="S1350" i="1"/>
  <c r="S1344" i="1"/>
  <c r="S1330" i="1"/>
  <c r="S1305" i="1"/>
  <c r="S1375" i="1"/>
  <c r="S1226" i="1"/>
  <c r="S1402" i="1"/>
  <c r="S1351" i="1"/>
  <c r="S1329" i="1"/>
  <c r="S666" i="1"/>
  <c r="Y16" i="16" s="1"/>
  <c r="J235" i="6"/>
  <c r="I130" i="6"/>
  <c r="I241" i="6"/>
  <c r="J241" i="6"/>
  <c r="I221" i="6"/>
  <c r="I869" i="6"/>
  <c r="U16" i="16" l="1"/>
  <c r="X16" i="16"/>
  <c r="W16" i="16"/>
  <c r="V16" i="16"/>
  <c r="J130" i="6"/>
  <c r="J870" i="6" l="1"/>
  <c r="I870" i="6"/>
  <c r="J838" i="6" l="1"/>
  <c r="I838" i="6"/>
  <c r="J836" i="6" l="1"/>
  <c r="I836" i="6"/>
  <c r="J835" i="6" l="1"/>
  <c r="I835" i="6"/>
  <c r="J833" i="6" l="1"/>
  <c r="I833" i="6"/>
  <c r="J832" i="6" l="1"/>
  <c r="I832" i="6"/>
  <c r="J831" i="6" l="1"/>
  <c r="I831" i="6"/>
  <c r="J826" i="6" l="1"/>
  <c r="I826" i="6"/>
  <c r="J279" i="6"/>
  <c r="I279" i="6"/>
  <c r="J827" i="6"/>
  <c r="I827" i="6"/>
  <c r="J14" i="6" l="1"/>
  <c r="I14" i="6"/>
  <c r="J277" i="6" l="1"/>
  <c r="J43" i="6" l="1"/>
  <c r="I43" i="6"/>
  <c r="J84" i="6"/>
  <c r="I84" i="6"/>
  <c r="J85" i="6" l="1"/>
  <c r="I85" i="6"/>
  <c r="J5" i="6" l="1"/>
  <c r="J274" i="6" l="1"/>
  <c r="I274" i="6"/>
  <c r="J122" i="6" l="1"/>
  <c r="I122" i="6"/>
  <c r="J123" i="6" l="1"/>
  <c r="I123" i="6"/>
  <c r="AC17" i="16" l="1"/>
  <c r="V17" i="16" l="1"/>
  <c r="Y17" i="16"/>
  <c r="U17" i="16"/>
  <c r="X17" i="16"/>
  <c r="W17" i="16"/>
</calcChain>
</file>

<file path=xl/sharedStrings.xml><?xml version="1.0" encoding="utf-8"?>
<sst xmlns="http://schemas.openxmlformats.org/spreadsheetml/2006/main" count="4452" uniqueCount="1325">
  <si>
    <t>Fecha de hoy</t>
  </si>
  <si>
    <t>FECHA DE FACTURACIÓN</t>
  </si>
  <si>
    <t># DE FACTURA</t>
  </si>
  <si>
    <t>PROVEEDOR</t>
  </si>
  <si>
    <t>PLAZO Días</t>
  </si>
  <si>
    <t>NOTAS</t>
  </si>
  <si>
    <t>FECHA DE PAGO</t>
  </si>
  <si>
    <t>Estado de la factura</t>
  </si>
  <si>
    <t>Crédito / Contado</t>
  </si>
  <si>
    <t>STATUR</t>
  </si>
  <si>
    <t>TRONEX</t>
  </si>
  <si>
    <t>WIDEX</t>
  </si>
  <si>
    <t>DW</t>
  </si>
  <si>
    <t>YERMIN</t>
  </si>
  <si>
    <t>UNITEC</t>
  </si>
  <si>
    <t>SP PULSOS</t>
  </si>
  <si>
    <t>RAGO</t>
  </si>
  <si>
    <t>MPS</t>
  </si>
  <si>
    <t>HYR</t>
  </si>
  <si>
    <t>NICOMAR</t>
  </si>
  <si>
    <t>AMG</t>
  </si>
  <si>
    <t>APC</t>
  </si>
  <si>
    <t>FLASH INTERNATIONAL</t>
  </si>
  <si>
    <t>TNR</t>
  </si>
  <si>
    <t>DUNCAN</t>
  </si>
  <si>
    <t>OPELSA</t>
  </si>
  <si>
    <t>PYG</t>
  </si>
  <si>
    <t>MONTBLANC</t>
  </si>
  <si>
    <t>TENERGY</t>
  </si>
  <si>
    <t>IVA</t>
  </si>
  <si>
    <t>SISTECREDITO</t>
  </si>
  <si>
    <t>KENEX</t>
  </si>
  <si>
    <t>MAKING BUSINESS</t>
  </si>
  <si>
    <t>KINO COMPANY</t>
  </si>
  <si>
    <t>IMPORTACIONES UNIFER</t>
  </si>
  <si>
    <t>ABONOS</t>
  </si>
  <si>
    <t>$ INTERESES</t>
  </si>
  <si>
    <t>ELECTRONICAS I+D</t>
  </si>
  <si>
    <t>POWERSONIC</t>
  </si>
  <si>
    <t>SOLUENERGIA</t>
  </si>
  <si>
    <t>VALOR EN DOLARES</t>
  </si>
  <si>
    <t>Pagos del mes</t>
  </si>
  <si>
    <t>BTN</t>
  </si>
  <si>
    <t>TUS PILAS.CO</t>
  </si>
  <si>
    <t>OPELSA POWERSONIC</t>
  </si>
  <si>
    <t>OPELSA KENEX</t>
  </si>
  <si>
    <t>TERMOPAK</t>
  </si>
  <si>
    <t>ENERGIZER BRANDS</t>
  </si>
  <si>
    <t>ISMART ELECTRONICS</t>
  </si>
  <si>
    <t>ÉXITO</t>
  </si>
  <si>
    <t>COSOSTENIBLE</t>
  </si>
  <si>
    <t>ESTUCHES DE CELULAR</t>
  </si>
  <si>
    <t>BIGTRONICA</t>
  </si>
  <si>
    <t>FALABELLA</t>
  </si>
  <si>
    <t xml:space="preserve">IMPUESTOS TNR </t>
  </si>
  <si>
    <t>OPELSA TNR</t>
  </si>
  <si>
    <t>IMPUESTOS KENEX</t>
  </si>
  <si>
    <t>AEROSAN KENEX</t>
  </si>
  <si>
    <t>FLASH  - TNR</t>
  </si>
  <si>
    <t>FABRIRROLLOS</t>
  </si>
  <si>
    <t>FLASH - TNR</t>
  </si>
  <si>
    <t>FLASH - TNR - MONTBLANC</t>
  </si>
  <si>
    <t>OPELSA - TNR - MONTBLANC</t>
  </si>
  <si>
    <t>IMPUESTOS - TNR - MONTBLANC</t>
  </si>
  <si>
    <t>ROLDAN Y COMPAÑÍA - TNR - MONTBLANC</t>
  </si>
  <si>
    <t>21 GRADOS</t>
  </si>
  <si>
    <t>INNOVATECH</t>
  </si>
  <si>
    <t>IMPUESTOS  - FLASH - TNR</t>
  </si>
  <si>
    <t>abono</t>
  </si>
  <si>
    <t>FLASH - MONTBLANC</t>
  </si>
  <si>
    <t>IMPUESTOS - TENERGY</t>
  </si>
  <si>
    <t>OPELSA - TENERGY</t>
  </si>
  <si>
    <t>FLASH - TENERGY</t>
  </si>
  <si>
    <t>IMPUESTOS FLASH - MONTBLANC</t>
  </si>
  <si>
    <t>IMPUESTOS FLASH  - AMAZON</t>
  </si>
  <si>
    <t>URIEL GALLEGO</t>
  </si>
  <si>
    <t>molinos</t>
  </si>
  <si>
    <t>EMT</t>
  </si>
  <si>
    <t>LOIX</t>
  </si>
  <si>
    <t>ME475523</t>
  </si>
  <si>
    <t>DISUIZA</t>
  </si>
  <si>
    <t>FVX3989</t>
  </si>
  <si>
    <t>CASIO TIENDAS OFICIALES</t>
  </si>
  <si>
    <t>18 -  SI032764 SI033158 SI033271</t>
  </si>
  <si>
    <t>46 - 52880</t>
  </si>
  <si>
    <t>ME477383</t>
  </si>
  <si>
    <t>ME477413</t>
  </si>
  <si>
    <t>MDIS5.040.544</t>
  </si>
  <si>
    <t>MS1525</t>
  </si>
  <si>
    <t>MS1546</t>
  </si>
  <si>
    <t>ME478870</t>
  </si>
  <si>
    <t>ME478484</t>
  </si>
  <si>
    <t>ME478863</t>
  </si>
  <si>
    <t>SG365</t>
  </si>
  <si>
    <t>SG368</t>
  </si>
  <si>
    <t>SG364</t>
  </si>
  <si>
    <t>FVX4580</t>
  </si>
  <si>
    <t>FVX4581</t>
  </si>
  <si>
    <t>24791 MUÑECOS</t>
  </si>
  <si>
    <t>$ CAPITAL</t>
  </si>
  <si>
    <t>SALDO</t>
  </si>
  <si>
    <t>DETALLE</t>
  </si>
  <si>
    <t>PAGO</t>
  </si>
  <si>
    <t>MS1646</t>
  </si>
  <si>
    <t>FE24969</t>
  </si>
  <si>
    <t xml:space="preserve">2160-127620 </t>
  </si>
  <si>
    <t>ME479977</t>
  </si>
  <si>
    <t>GABRIEL JAIME BOTERO ARANGO</t>
  </si>
  <si>
    <t>SUBTOTAL</t>
  </si>
  <si>
    <t>IVA 19%</t>
  </si>
  <si>
    <t>Total</t>
  </si>
  <si>
    <t>Descuento sobre subtotal %</t>
  </si>
  <si>
    <t>Descuento sobre subtotal $</t>
  </si>
  <si>
    <t>Rete Fuente $</t>
  </si>
  <si>
    <t>Rete Fuente %</t>
  </si>
  <si>
    <t>FLASH IMPUESTOS - MONTBLANC</t>
  </si>
  <si>
    <t>FLASH IMPUESTOS - TNR</t>
  </si>
  <si>
    <t>IMPUESTOS - POWERSONIC</t>
  </si>
  <si>
    <t>IMPUESTOS FLASH - TNR</t>
  </si>
  <si>
    <t>LAURA HOYOS</t>
  </si>
  <si>
    <t>LOGIMEX KENEX</t>
  </si>
  <si>
    <t>MEGA</t>
  </si>
  <si>
    <t>NEW TIME BRIDGE</t>
  </si>
  <si>
    <t>OPELSA - KENEX</t>
  </si>
  <si>
    <t>OPELSA - POWERSONIC</t>
  </si>
  <si>
    <t>SOMOS TECNOLOGIA</t>
  </si>
  <si>
    <t>DIAS DE PLAZO</t>
  </si>
  <si>
    <t>RETENCIÓN FUENTE</t>
  </si>
  <si>
    <t>CORREO</t>
  </si>
  <si>
    <t>FLASH - Abajo</t>
  </si>
  <si>
    <t>descuento antes de IVA</t>
  </si>
  <si>
    <t>CUENTA BANCARIA</t>
  </si>
  <si>
    <t>flash - tnr</t>
  </si>
  <si>
    <t>FLASH impuestos - MONTBLANC</t>
  </si>
  <si>
    <t>flash impuestos - tnr</t>
  </si>
  <si>
    <t>new time BRIDGE</t>
  </si>
  <si>
    <t>opelsa - kenex</t>
  </si>
  <si>
    <t>opelsa - powersonic</t>
  </si>
  <si>
    <t>MDIS5.040.592</t>
  </si>
  <si>
    <t>FE25516</t>
  </si>
  <si>
    <t>FE25515</t>
  </si>
  <si>
    <t>INV ARCILA</t>
  </si>
  <si>
    <t>flash - CASILLERO</t>
  </si>
  <si>
    <t>IMPUESTOS FLASH  - CASILLERO</t>
  </si>
  <si>
    <t/>
  </si>
  <si>
    <t>AHORROS BANCOLOMBIA N° 27200000468</t>
  </si>
  <si>
    <t>PSE</t>
  </si>
  <si>
    <t>COMPRAS DE CONTADO</t>
  </si>
  <si>
    <t>FLASH - casillero</t>
  </si>
  <si>
    <t>nc</t>
  </si>
  <si>
    <t>COMPRAS A CRÉDITO</t>
  </si>
  <si>
    <t>COMPRAS</t>
  </si>
  <si>
    <t>DEUDAS PROVEEDORES</t>
  </si>
  <si>
    <t>DEUDAS A BANCOS Y NATURALES</t>
  </si>
  <si>
    <t>SALDO BANCOS</t>
  </si>
  <si>
    <t>SALDO BANCOS Y EFECTIVO</t>
  </si>
  <si>
    <t>CARTERA</t>
  </si>
  <si>
    <t>DESCUENTO</t>
  </si>
  <si>
    <t>PROVEEDORES VENCIDOS</t>
  </si>
  <si>
    <t>PROVEEDORES NO VENCIDAS</t>
  </si>
  <si>
    <t>mes</t>
  </si>
  <si>
    <t>Sinoming china</t>
  </si>
  <si>
    <t>jack@sinomingproducts.com;info@servipilas.com</t>
  </si>
  <si>
    <t>KBH metering</t>
  </si>
  <si>
    <t>fiducuenta</t>
  </si>
  <si>
    <t>fidurenta</t>
  </si>
  <si>
    <t>payu</t>
  </si>
  <si>
    <t>efectivos</t>
  </si>
  <si>
    <r>
      <t xml:space="preserve">PAGOS DEL MES
</t>
    </r>
    <r>
      <rPr>
        <sz val="9"/>
        <rFont val="Calibri"/>
        <family val="2"/>
      </rPr>
      <t>(PROV + CREDT)</t>
    </r>
  </si>
  <si>
    <t>davivienda corriente</t>
  </si>
  <si>
    <t>itau corriente</t>
  </si>
  <si>
    <t>CORRIENTE BANCOLOMBIA No. 227-000104-25</t>
  </si>
  <si>
    <t>FE26183</t>
  </si>
  <si>
    <t>kbh metering</t>
  </si>
  <si>
    <t>bancolombia ah 91215970731</t>
  </si>
  <si>
    <t>2169-279400</t>
  </si>
  <si>
    <t>contabilidad@amgimportadora.com;mcastellanos@amgimportadora.com;girlesa.ruiz@servipilas.com;joriescobar64@gmail.com</t>
  </si>
  <si>
    <t>contabilidad@comercialweb.com.co;info@servipilas.com</t>
  </si>
  <si>
    <r>
      <t xml:space="preserve">DEUDAS
</t>
    </r>
    <r>
      <rPr>
        <sz val="9"/>
        <rFont val="Calibri"/>
        <family val="2"/>
      </rPr>
      <t>PROVEEDORES + BANCOS Y NATURALES</t>
    </r>
  </si>
  <si>
    <t>bancolombia ah 237-068 558-31</t>
  </si>
  <si>
    <t>pn</t>
  </si>
  <si>
    <t>SALDO PROVEEDOR</t>
  </si>
  <si>
    <t>Electronicas canare</t>
  </si>
  <si>
    <t>BANCOLOMBIA AHORROS 10352314124</t>
  </si>
  <si>
    <t>pse</t>
  </si>
  <si>
    <t>nc 493</t>
  </si>
  <si>
    <t>nc 1001691</t>
  </si>
  <si>
    <t>ME481958</t>
  </si>
  <si>
    <t>ME481967</t>
  </si>
  <si>
    <t>MS1819</t>
  </si>
  <si>
    <t>MDIS5.040.654</t>
  </si>
  <si>
    <t>PV</t>
  </si>
  <si>
    <t>BANCO AGRARIO 6030</t>
  </si>
  <si>
    <t>BANCOLOMBIA 2478</t>
  </si>
  <si>
    <t>BANCOLOMBIA 3103</t>
  </si>
  <si>
    <t xml:space="preserve">BANCOLOMBIA USD$ </t>
  </si>
  <si>
    <t>BANCOLOMBIA USD$ 2555152482</t>
  </si>
  <si>
    <t xml:space="preserve">CAJA SOCIAL </t>
  </si>
  <si>
    <t>DAVIVIENDA *************2613</t>
  </si>
  <si>
    <t>DAVIVIENDA *************5400</t>
  </si>
  <si>
    <t xml:space="preserve">ITAU </t>
  </si>
  <si>
    <t xml:space="preserve">TC6015 </t>
  </si>
  <si>
    <t xml:space="preserve">TC7003 </t>
  </si>
  <si>
    <t xml:space="preserve">TC8338 </t>
  </si>
  <si>
    <t>Bancolombia cc 01058821343
Convenio 38847</t>
  </si>
  <si>
    <t xml:space="preserve">INVENTARIOS </t>
  </si>
  <si>
    <t>DINERO EN CAJA</t>
  </si>
  <si>
    <t>GASTOS</t>
  </si>
  <si>
    <t>VENTAS</t>
  </si>
  <si>
    <t>Coste financiero</t>
  </si>
  <si>
    <t>bcs corriente + corresponsal</t>
  </si>
  <si>
    <t>BANCOLOMBIA USD$ 2555073332</t>
  </si>
  <si>
    <t>BANCOLOMBIA USD$ 2555098242</t>
  </si>
  <si>
    <t>BANCOLOMBIA USD$ 2555115992</t>
  </si>
  <si>
    <t>BANCOLOMBIA USD$ 2555143692</t>
  </si>
  <si>
    <t>PRESTAMO</t>
  </si>
  <si>
    <t>ene-21</t>
  </si>
  <si>
    <t>feb-21</t>
  </si>
  <si>
    <t>nc 170108571</t>
  </si>
  <si>
    <t>liq. Jul 2020</t>
  </si>
  <si>
    <t>2179 - 128121</t>
  </si>
  <si>
    <t>9785 - 280191</t>
  </si>
  <si>
    <t>SAYER - YERMIN</t>
  </si>
  <si>
    <t>WILFER GOMEZ - YERMIN</t>
  </si>
  <si>
    <t>JARLY SAS - JORGE ARREDONDO</t>
  </si>
  <si>
    <t xml:space="preserve">2182 - 280191 </t>
  </si>
  <si>
    <t>FE26806</t>
  </si>
  <si>
    <t>nc 2NBV293</t>
  </si>
  <si>
    <t>FE29</t>
  </si>
  <si>
    <t>FESJ159080</t>
  </si>
  <si>
    <t>nc 2021020062</t>
  </si>
  <si>
    <t>AJUSTE FIN DE MES</t>
  </si>
  <si>
    <t>KENEX POWERSONIC oct 2020</t>
  </si>
  <si>
    <t>MDIS5.040.687</t>
  </si>
  <si>
    <t>FESJ160063</t>
  </si>
  <si>
    <t>ME483894</t>
  </si>
  <si>
    <t>FE28416</t>
  </si>
  <si>
    <t>ME483753</t>
  </si>
  <si>
    <t>fe25362</t>
  </si>
  <si>
    <t>mar-21</t>
  </si>
  <si>
    <t>MS1997</t>
  </si>
  <si>
    <t>intereses no pagados en 2020</t>
  </si>
  <si>
    <t>ajuste de cuentas con fernando</t>
  </si>
  <si>
    <t>FEN5119</t>
  </si>
  <si>
    <t>nc 119714</t>
  </si>
  <si>
    <t xml:space="preserve">Bancolombia AH 102-125 283-78 </t>
  </si>
  <si>
    <t>nc 20440</t>
  </si>
  <si>
    <t>FE1033</t>
  </si>
  <si>
    <t>ME484730</t>
  </si>
  <si>
    <t>ME485080</t>
  </si>
  <si>
    <t>MS2062</t>
  </si>
  <si>
    <t>FE28984</t>
  </si>
  <si>
    <t>FVX6131</t>
  </si>
  <si>
    <t>MDIS5.040.739</t>
  </si>
  <si>
    <t>2198 - 280663</t>
  </si>
  <si>
    <t>juan.suarez@cosostenible.com;girlesa.ruiz@servipilas.com;joriescobar64@gmail.com</t>
  </si>
  <si>
    <t>CARLOSARCILAMENSAJERIA@gmail.com;girlesa.ruiz@servipilas.com;joriescobar64@gmail.com</t>
  </si>
  <si>
    <t>yermingg@hotmail.com;girlesa.ruiz@servipilas.com;joriescobar64@gmail.com</t>
  </si>
  <si>
    <t>comercial4@apcmayorista.com;girlesa.ruiz@servipilas.com;joriescobar64@gmail.com</t>
  </si>
  <si>
    <t>inspecciones@bomberossabaneta.com;girlesa.ruiz@servipilas.com;joriescobar64@gmail.com</t>
  </si>
  <si>
    <t>javiergomez_72@hotmail.com ;girlesa.ruiz@servipilas.com;joriescobar64@gmail.com</t>
  </si>
  <si>
    <t>Fernando.Carmona@energizer.com;girlesa.ruiz@servipilas.com;joriescobar64@gmail.com</t>
  </si>
  <si>
    <t>vromero@flashinternational.us;girlesa.ruiz@servipilas.com;joriescobar64@gmail.com</t>
  </si>
  <si>
    <t>bienesymercadeo@hotmail.com;girlesa.ruiz@servipilas.com;joriescobar64@gmail.com</t>
  </si>
  <si>
    <t>angela.navas@hyrdistribuciones.com;girlesa.ruiz@servipilas.com;joriescobar64@gmail.com</t>
  </si>
  <si>
    <t>cartera@jeway.com.co;girlesa.ruiz@servipilas.com;joriescobar64@gmail.com</t>
  </si>
  <si>
    <t>BRIGHTSIDELED2019@gmail.com;girlesa.ruiz@servipilas.com;joriescobar64@gmail.com</t>
  </si>
  <si>
    <t>tesoreria@lacentral.com.co;girlesa.ruiz@servipilas.com;joriescobar64@gmail.com</t>
  </si>
  <si>
    <t>oswaldo.alvarez@logimexsas.com;girlesa.ruiz@servipilas.com;joriescobar64@gmail.com</t>
  </si>
  <si>
    <t>criszapata1234@gmail.com;girlesa.ruiz@servipilas.com;joriescobar64@gmail.com</t>
  </si>
  <si>
    <t>tesoreria@makingbusiness.com.co;girlesa.ruiz@servipilas.com;joriescobar64@gmail.com</t>
  </si>
  <si>
    <t>ventasmegamundo@yahoo.es;girlesa.ruiz@servipilas.com;joriescobar64@gmail.com</t>
  </si>
  <si>
    <t>MVALENCIA@mps.com.co;girlesa.ruiz@servipilas.com;joriescobar64@gmail.com</t>
  </si>
  <si>
    <t>financiera@nalpicentral.com;girlesa.ruiz@servipilas.com;joriescobar64@gmail.com</t>
  </si>
  <si>
    <t>cartera@ienewline.com;andres.arroyave@ienewline.com;girlesa.ruiz@servipilas.com;joriescobar64@gmail.com</t>
  </si>
  <si>
    <t>Info.patex@gmail.com;girlesa.ruiz@servipilas.com;joriescobar64@gmail.com</t>
  </si>
  <si>
    <t>ragomedellin@gmail.com;girlesa.ruiz@servipilas.com;joriescobar64@gmail.com</t>
  </si>
  <si>
    <t>administracion@sapian.com.co;girlesa.ruiz@servipilas.com;joriescobar64@gmail.com</t>
  </si>
  <si>
    <t>senalizacionyavisos@gmail.com;girlesa.ruiz@servipilas.com;joriescobar64@gmail.com</t>
  </si>
  <si>
    <t>pagos@sistecredito.com;girlesa.ruiz@servipilas.com;joriescobar64@gmail.com</t>
  </si>
  <si>
    <t>soluenergiacentro@une.net.co;girlesa.ruiz@servipilas.com;joriescobar64@gmail.com</t>
  </si>
  <si>
    <t>cartera1@grupostatur.com;girlesa.ruiz@servipilas.com;joriescobar64@gmail.com</t>
  </si>
  <si>
    <t>libardopineda@tronex.com;girlesa.ruiz@servipilas.com;joriescobar64@gmail.com</t>
  </si>
  <si>
    <t>Tuspilas.co@gmail.com;girlesa.ruiz@servipilas.com;joriescobar64@gmail.com</t>
  </si>
  <si>
    <t>cxc11@unitecusa.com.co;jefecartera@unitecusa.com.co;girlesa.ruiz@servipilas.com;joriescobar64@gmail.com</t>
  </si>
  <si>
    <t>CBastidas@vyp.com.co;girlesa.ruiz@servipilas.com;joriescobar64@gmail.com</t>
  </si>
  <si>
    <t>apresupuesto@widexcolombia.com;girlesa.ruiz@servipilas.com;joriescobar64@gmail.com</t>
  </si>
  <si>
    <t>BANCO DE BOGOTÁ cc 071-189-245</t>
  </si>
  <si>
    <t>supervisorventasbridge@gmail.com;newtimewatches1@gmail.com;girlesa.ruiz@servipilas.com;joriescobar64@gmail.com</t>
  </si>
  <si>
    <t>girlesa.ruiz@servipilas.com;joriescobar64@gmail.com</t>
  </si>
  <si>
    <t>ALEKO</t>
  </si>
  <si>
    <t>nc 1343</t>
  </si>
  <si>
    <t>256 - SO032015</t>
  </si>
  <si>
    <t>SO032015</t>
  </si>
  <si>
    <t>BANCOLOMBIA USD$ 2555170162</t>
  </si>
  <si>
    <t xml:space="preserve"> 5.278.113,67</t>
  </si>
  <si>
    <t>2.397.084,22</t>
  </si>
  <si>
    <t>2.743.726,97</t>
  </si>
  <si>
    <t>SIMH</t>
  </si>
  <si>
    <t>electronicascanaresas@gmail.com;girlesa.ruiz@servipilas.com;joriescobar64@gmail.com</t>
  </si>
  <si>
    <t>facturasimh@simh.com.co;girlesa.ruiz@servipilas.com;joriescobar64@gmail.com</t>
  </si>
  <si>
    <t>SP1764</t>
  </si>
  <si>
    <t>ventas@ismartsas.com;girlesa.ruiz@servipilas.com;joriescobar64@gmail.com</t>
  </si>
  <si>
    <t>Pygimportadora@gmail.com;girlesa.ruiz@servipilas.com;joriescobar64@gmail.com</t>
  </si>
  <si>
    <t>FESJ160887</t>
  </si>
  <si>
    <t>MS2124</t>
  </si>
  <si>
    <t>davivienda cc 456369996909</t>
  </si>
  <si>
    <t xml:space="preserve">11234 - 53922 </t>
  </si>
  <si>
    <t>ME487318</t>
  </si>
  <si>
    <t>ME486747</t>
  </si>
  <si>
    <t>SG531</t>
  </si>
  <si>
    <t>FEN10709</t>
  </si>
  <si>
    <t>ZIONE - Andres Dario Ramirez Aristizabal</t>
  </si>
  <si>
    <t>FEV31350</t>
  </si>
  <si>
    <t>92 - 53922</t>
  </si>
  <si>
    <t>MSL - Somonsing China</t>
  </si>
  <si>
    <t>asistente@mslcorporate.com.co;girlesa.ruiz@servipilas.com;joriescobar64@gmail.com</t>
  </si>
  <si>
    <t>IND Y COMERCIO</t>
  </si>
  <si>
    <t>PREDIAL 2293 TRIMESTRAL</t>
  </si>
  <si>
    <t>PREDIAL 1003 TRIMESTRAL</t>
  </si>
  <si>
    <t>ADM 255</t>
  </si>
  <si>
    <t>ARR 041</t>
  </si>
  <si>
    <t>ARR 821</t>
  </si>
  <si>
    <t>ARR 821 NC</t>
  </si>
  <si>
    <t>ARR 3956</t>
  </si>
  <si>
    <t>AMD 781</t>
  </si>
  <si>
    <t>Gasto SURA</t>
  </si>
  <si>
    <t>plan vive girlesa semestre</t>
  </si>
  <si>
    <t>seguro colectivo</t>
  </si>
  <si>
    <t>Gasto COMERCIAL WEB</t>
  </si>
  <si>
    <t>Gasto CONVERTIDORA DE PAPEL</t>
  </si>
  <si>
    <t>Gasto GB BIENES</t>
  </si>
  <si>
    <t>Gasto LA CENTRAL admistración</t>
  </si>
  <si>
    <t>Gasto MOLINOS administración</t>
  </si>
  <si>
    <t>Gasto MUNICIPIO DE MEDELLIN</t>
  </si>
  <si>
    <t>Gasto PATEX</t>
  </si>
  <si>
    <t>Gasto SANTA JUANA (jorge escobar)</t>
  </si>
  <si>
    <t>Gasto SAPIAN</t>
  </si>
  <si>
    <t>Gasto SEÑALIZACIÓN Y AVISOS</t>
  </si>
  <si>
    <t>Gasto syco y acimpro</t>
  </si>
  <si>
    <t>Gasto VYP</t>
  </si>
  <si>
    <t>Gasto comercial web</t>
  </si>
  <si>
    <t>Gasto molinos administración</t>
  </si>
  <si>
    <t>Gasto sapian</t>
  </si>
  <si>
    <t>Gasto vyp</t>
  </si>
  <si>
    <t>Gasto CONSTRUCCIONES Y BIENES</t>
  </si>
  <si>
    <t>bog.fa1@pressex.co;bog.fm1@pressex.co;kbaumgartner@pressex.co;girlesa.ruiz@servipilas.com;joriescobar64@gmail.com</t>
  </si>
  <si>
    <t>68 - 9</t>
  </si>
  <si>
    <t>abr-21</t>
  </si>
  <si>
    <t>769 - nc 29</t>
  </si>
  <si>
    <t>Gasto SANDIEGO</t>
  </si>
  <si>
    <t>L2293</t>
  </si>
  <si>
    <t>O1003</t>
  </si>
  <si>
    <t>MUNDITONNER</t>
  </si>
  <si>
    <t>comercial@munditonner.com.co;girlesa.ruiz@servipilas.com;joriescobar64@gmail.com</t>
  </si>
  <si>
    <t>FE4366</t>
  </si>
  <si>
    <t>20403 NC 247</t>
  </si>
  <si>
    <t>HyR</t>
  </si>
  <si>
    <t>FE 510</t>
  </si>
  <si>
    <t>ME488303</t>
  </si>
  <si>
    <t>ME488470</t>
  </si>
  <si>
    <t>FETU1524</t>
  </si>
  <si>
    <t>MS2273</t>
  </si>
  <si>
    <t>128666 128668</t>
  </si>
  <si>
    <t>Movecargo - Sinoming china</t>
  </si>
  <si>
    <t>judy.torres@movecargo.co;girlesa.ruiz@servipilas.com;joriescobar64@gmail.com</t>
  </si>
  <si>
    <t>FVX4580 - nc 2NV-00001344</t>
  </si>
  <si>
    <t>FVX4580 - nc</t>
  </si>
  <si>
    <t>Gasto DIAN</t>
  </si>
  <si>
    <t>Gasto SIIGO</t>
  </si>
  <si>
    <t>GASTO TIGO MOVIL</t>
  </si>
  <si>
    <t>GASTO TIGO FIJO</t>
  </si>
  <si>
    <t>ME488838</t>
  </si>
  <si>
    <t>MDIS5.040.848</t>
  </si>
  <si>
    <t>Pressex Logistics - tnr</t>
  </si>
  <si>
    <t>Gasto REMARCA</t>
  </si>
  <si>
    <t>ME488303 - NC31889</t>
  </si>
  <si>
    <t xml:space="preserve">asistente@remarcalimitada.com;girlesa.ruiz@servipilas.com;joriescobar64@gmail.com
</t>
  </si>
  <si>
    <t>GASTO Liberty seguros</t>
  </si>
  <si>
    <t>SP2196</t>
  </si>
  <si>
    <t>MS2348</t>
  </si>
  <si>
    <t>FETU1606</t>
  </si>
  <si>
    <t>MDIS5.040.880</t>
  </si>
  <si>
    <t>MS2396</t>
  </si>
  <si>
    <t>ME490111</t>
  </si>
  <si>
    <t>ME490408</t>
  </si>
  <si>
    <t>ME490110</t>
  </si>
  <si>
    <t>ME490109</t>
  </si>
  <si>
    <t>FEV32778</t>
  </si>
  <si>
    <t>MDIS5.040.901</t>
  </si>
  <si>
    <t>LOGIMEX TNR</t>
  </si>
  <si>
    <t>IMPUESTOS - TNR</t>
  </si>
  <si>
    <t>Pressex Logistics - casillero</t>
  </si>
  <si>
    <t>MS2435</t>
  </si>
  <si>
    <t>ME490748</t>
  </si>
  <si>
    <t>FEF4252</t>
  </si>
  <si>
    <t>GASTO CESDE</t>
  </si>
  <si>
    <t>Pressex Logistics - montblanc</t>
  </si>
  <si>
    <t>aguadulce - sinming china</t>
  </si>
  <si>
    <t>ME491228</t>
  </si>
  <si>
    <t>ME491231</t>
  </si>
  <si>
    <t>ME491165</t>
  </si>
  <si>
    <t>ME491257</t>
  </si>
  <si>
    <t>FEN15306</t>
  </si>
  <si>
    <t>ME491565</t>
  </si>
  <si>
    <t>ME491944</t>
  </si>
  <si>
    <t>ME491907</t>
  </si>
  <si>
    <t>FEID5127</t>
  </si>
  <si>
    <t>90437 - 114001</t>
  </si>
  <si>
    <t xml:space="preserve">28795 - NC20668 </t>
  </si>
  <si>
    <t>134 - 281564</t>
  </si>
  <si>
    <t>135 - 282538</t>
  </si>
  <si>
    <t>MAXIPILAS</t>
  </si>
  <si>
    <t>MP1131</t>
  </si>
  <si>
    <t>mcastillo@kenextrading.com;agarcia@kenextrading.com;girlesa.ruiz@servipilas.com;joriescobar64@gmail.com</t>
  </si>
  <si>
    <t>may-21</t>
  </si>
  <si>
    <t>jun-21</t>
  </si>
  <si>
    <t>FE357 - 283198</t>
  </si>
  <si>
    <t>BANCOLOMBIA USD$ 2555187392</t>
  </si>
  <si>
    <t>KENEX 53922 abr 21</t>
  </si>
  <si>
    <t>SP2420</t>
  </si>
  <si>
    <t>IMPUESTOS - 283198</t>
  </si>
  <si>
    <t>3391 - 1768</t>
  </si>
  <si>
    <t>MS2638</t>
  </si>
  <si>
    <t>FVX7905</t>
  </si>
  <si>
    <t>para pagar fossil</t>
  </si>
  <si>
    <t>cartera@aerosan.com;girlesa.ruiz@servipilas.com;joriescobar64@gmail.com</t>
  </si>
  <si>
    <t>11368 - 54504</t>
  </si>
  <si>
    <t>GASTO BOMBEROS SABANETA</t>
  </si>
  <si>
    <t>mdedcnvi@bateriasduncan.com.co;guillermo.bateriasduncan@gmail.com;girlesa.ruiz@servipilas.com;joriescobar64@gmail.com</t>
  </si>
  <si>
    <t xml:space="preserve">bancolombia cc 388-991169-88 </t>
  </si>
  <si>
    <t>ME493265</t>
  </si>
  <si>
    <t>FEN17319</t>
  </si>
  <si>
    <t>FVX8036</t>
  </si>
  <si>
    <t>FE8031 - 545054</t>
  </si>
  <si>
    <t>DMARIO</t>
  </si>
  <si>
    <t>FE892</t>
  </si>
  <si>
    <t>MDIS5.040.992</t>
  </si>
  <si>
    <t>MDIS5.040.987</t>
  </si>
  <si>
    <t>MS2757</t>
  </si>
  <si>
    <t>DIAN IVA</t>
  </si>
  <si>
    <t>MDIS5.040.999</t>
  </si>
  <si>
    <t>FE8439 - 129398</t>
  </si>
  <si>
    <t>jul-21</t>
  </si>
  <si>
    <t>1158 NC</t>
  </si>
  <si>
    <t>Pressex courier - casillero</t>
  </si>
  <si>
    <t>Pressex courier - Kenex</t>
  </si>
  <si>
    <t>Pressex courier - montblanc</t>
  </si>
  <si>
    <t>FE283 - 281564</t>
  </si>
  <si>
    <t>wruiz@tsqsa.com;venta1@disuiza.com;girlesa.ruiz@servipilas.com;joriescobar64@gmail.com</t>
  </si>
  <si>
    <t>SP2638</t>
  </si>
  <si>
    <t>swizzeraux2@gmail.com;girlesa.ruiz@servipilas.com;joriescobar64@gmail.com</t>
  </si>
  <si>
    <t>IMPUESTOS - MONTBLANC</t>
  </si>
  <si>
    <t>LOGIMEX MONTBLANC</t>
  </si>
  <si>
    <t>impuestos - 129398</t>
  </si>
  <si>
    <t>FE2311</t>
  </si>
  <si>
    <t>JORGE ARREDONDO - JARLY SAS</t>
  </si>
  <si>
    <t>PROVECOL</t>
  </si>
  <si>
    <t>SG657</t>
  </si>
  <si>
    <t>SG658</t>
  </si>
  <si>
    <t>MP1281</t>
  </si>
  <si>
    <t>MDIS5.041.013</t>
  </si>
  <si>
    <t>13E215673</t>
  </si>
  <si>
    <t>13E215568</t>
  </si>
  <si>
    <t>149 - 54504</t>
  </si>
  <si>
    <t>142 - 283198</t>
  </si>
  <si>
    <t>22 para pagar a don luciano,
8 para la cuenta corriente bancolombia,
10 para cuenta corriente davivienda</t>
  </si>
  <si>
    <t>Fecha</t>
  </si>
  <si>
    <t>carterabogota@aintercarga.com;girlesa.ruiz@servipilas.com;joriescobar64@gmail.com</t>
  </si>
  <si>
    <t>AINTERCARGA MONTBLANC</t>
  </si>
  <si>
    <t xml:space="preserve">10174 - 129398 </t>
  </si>
  <si>
    <t>TB PLUS</t>
  </si>
  <si>
    <t>??;girlesa.ruiz@servipilas.com;joriescobar64@gmail.com</t>
  </si>
  <si>
    <t>13E216791</t>
  </si>
  <si>
    <t>FVX8556</t>
  </si>
  <si>
    <t>FEF4320</t>
  </si>
  <si>
    <t>18/8/21 AJUSTE FIN DE MES</t>
  </si>
  <si>
    <t>STEREN</t>
  </si>
  <si>
    <t>MS2902</t>
  </si>
  <si>
    <t>MERCEDES PILAS</t>
  </si>
  <si>
    <t>globalpowerc2018@gmail.com;girlesa.ruiz@servipilas.com;joriescobar64@gmail.com</t>
  </si>
  <si>
    <t>admin@kinocompanysas.com.co;girlesa.ruiz@servipilas.com;joriescobar64@gmail.com</t>
  </si>
  <si>
    <t>propertymarketingsas@hotmail.com;girlesa.ruiz@servipilas.com;joriescobar64@gmail.com</t>
  </si>
  <si>
    <t>Gasto PROPERTY MARKETING</t>
  </si>
  <si>
    <t>2174 NC</t>
  </si>
  <si>
    <t>FVX8709</t>
  </si>
  <si>
    <t>FVX8751</t>
  </si>
  <si>
    <t>FEN20269</t>
  </si>
  <si>
    <t>13E210254</t>
  </si>
  <si>
    <t>13E208377</t>
  </si>
  <si>
    <t>13E211147</t>
  </si>
  <si>
    <t>13E211287</t>
  </si>
  <si>
    <t>163 - 129398</t>
  </si>
  <si>
    <t>FE332 - 128666 128668</t>
  </si>
  <si>
    <t>FE328 - 282538</t>
  </si>
  <si>
    <t>COMSISTEL</t>
  </si>
  <si>
    <t>FE3716</t>
  </si>
  <si>
    <t>BANCOLOMBIA corriente + ahorros</t>
  </si>
  <si>
    <t>ago-21</t>
  </si>
  <si>
    <t>ME496997</t>
  </si>
  <si>
    <t>FE8957 - 128666 128668</t>
  </si>
  <si>
    <t>1416 NC 82</t>
  </si>
  <si>
    <t>FEF4320 NC7110</t>
  </si>
  <si>
    <t>FEV37229</t>
  </si>
  <si>
    <t>MDIS5.041.043</t>
  </si>
  <si>
    <t>FVX8860</t>
  </si>
  <si>
    <t>SP2878</t>
  </si>
  <si>
    <t>GRUPOINTER TERCERO</t>
  </si>
  <si>
    <t>FEI100040642</t>
  </si>
  <si>
    <t>FEI100040501</t>
  </si>
  <si>
    <t>FEI100040643</t>
  </si>
  <si>
    <t>COEXITO TERCERO</t>
  </si>
  <si>
    <t>MARIA MARTHA RAMIREZ ZULUAGA - JORGE ARREDONDO</t>
  </si>
  <si>
    <t>Pressex courier - tnr</t>
  </si>
  <si>
    <t>FEV37505</t>
  </si>
  <si>
    <t>FEV37517</t>
  </si>
  <si>
    <t>FE12509</t>
  </si>
  <si>
    <t>13E217999</t>
  </si>
  <si>
    <t>ALKOMPRAR</t>
  </si>
  <si>
    <t>sep-21</t>
  </si>
  <si>
    <t>ME497815</t>
  </si>
  <si>
    <t>129428 retención</t>
  </si>
  <si>
    <t>FE429 - 284593 284796</t>
  </si>
  <si>
    <t>consignado en la cuenta de daniel escobar</t>
  </si>
  <si>
    <t>FE1632</t>
  </si>
  <si>
    <t>Gasto DUCON</t>
  </si>
  <si>
    <t>juanzuluaga@ducon.com.co;girlesa.ruiz@servipilas.com;joriescobar64@gmail.com</t>
  </si>
  <si>
    <t>MS3064</t>
  </si>
  <si>
    <t>FE447 - 284978</t>
  </si>
  <si>
    <t>jarlysas@gmail.com;o.clockinternational@gmail.com;girlesa.ruiz@servipilas.com;joriescobar64@gmail.com</t>
  </si>
  <si>
    <t>FEV38500</t>
  </si>
  <si>
    <t xml:space="preserve">Número Documento Aduanero
902020000147352 $698.85
</t>
  </si>
  <si>
    <t>FVX9289</t>
  </si>
  <si>
    <t>FVX9290</t>
  </si>
  <si>
    <t>193 - 284593 284796</t>
  </si>
  <si>
    <t>194 - 284978</t>
  </si>
  <si>
    <t>FEV39104</t>
  </si>
  <si>
    <t>1759 NC 96</t>
  </si>
  <si>
    <t>Gasto Allianz Seguros</t>
  </si>
  <si>
    <t>FE001427</t>
  </si>
  <si>
    <t>BANCOLOMBIA USD$ 2555212532</t>
  </si>
  <si>
    <t>Gasto Liberty seguros</t>
  </si>
  <si>
    <t>MS3223</t>
  </si>
  <si>
    <t>13E221646</t>
  </si>
  <si>
    <t>13E221255</t>
  </si>
  <si>
    <t>No. E-4345</t>
  </si>
  <si>
    <t>Gasto Movistar movil</t>
  </si>
  <si>
    <t>gerencia@som-tec.com</t>
  </si>
  <si>
    <t>FEV39650</t>
  </si>
  <si>
    <t>FVX7555</t>
  </si>
  <si>
    <t>FVX7905 nc 599</t>
  </si>
  <si>
    <t>FVX8036 nc 599</t>
  </si>
  <si>
    <t>FVX8556 nc 599</t>
  </si>
  <si>
    <t>ME500431</t>
  </si>
  <si>
    <t>ALEX MARINO ENRIQUEZ</t>
  </si>
  <si>
    <t>alexenriquez73.ae@gmail.com;girlesa.ruiz@servipilas.com;joriescobar64@gmail.com;info@servipilas.com</t>
  </si>
  <si>
    <t>CB 102021 - ESE QUIBDO</t>
  </si>
  <si>
    <t>FETU2282</t>
  </si>
  <si>
    <t>FETU2276</t>
  </si>
  <si>
    <t>Gasto MARIANA PELAEZ</t>
  </si>
  <si>
    <t xml:space="preserve">1234 - 285759 </t>
  </si>
  <si>
    <t>financiero@dmariocolombia.com;cartera@dmariocolombia.com.co;girlesa.ruiz@servipilas.com;joriescobar64@gmail.com</t>
  </si>
  <si>
    <t>SP3120</t>
  </si>
  <si>
    <t>aleja-1305agudelo@hotmail.com;provecol@une.net.co;girlesa.ruiz@servipilas.com;joriescobar64@gmail.com</t>
  </si>
  <si>
    <t xml:space="preserve">1236 - 285851 </t>
  </si>
  <si>
    <t>11540 - 55161</t>
  </si>
  <si>
    <t>Gasto DISANTIOQUIA</t>
  </si>
  <si>
    <t>JYN TECHNOLOGY</t>
  </si>
  <si>
    <t>ventasonline@disantioquia.com.co;girlesa.ruiz@servipilas.com;joriescobar64@gmail.com</t>
  </si>
  <si>
    <t>COEXITO servipilas</t>
  </si>
  <si>
    <t>13E223704</t>
  </si>
  <si>
    <t>COMERCIALIZADORA DEL ESTE</t>
  </si>
  <si>
    <t>13E223209</t>
  </si>
  <si>
    <t>FVX9821</t>
  </si>
  <si>
    <t>1240 -CASILLERO</t>
  </si>
  <si>
    <t>1214 - CASILLERO</t>
  </si>
  <si>
    <t>ARR 041 - nc306</t>
  </si>
  <si>
    <t>ADM 754</t>
  </si>
  <si>
    <t>ARR 999</t>
  </si>
  <si>
    <t>ADM - 180</t>
  </si>
  <si>
    <t>ARR - 481</t>
  </si>
  <si>
    <t>ADM 645</t>
  </si>
  <si>
    <t>ARR 915</t>
  </si>
  <si>
    <t>ADM 617</t>
  </si>
  <si>
    <t>ARR 880</t>
  </si>
  <si>
    <t>ADM 395</t>
  </si>
  <si>
    <t>ARR 662</t>
  </si>
  <si>
    <t>ARR 481</t>
  </si>
  <si>
    <t>ADM 211</t>
  </si>
  <si>
    <t>SP3354</t>
  </si>
  <si>
    <t>jessica.barrios@carpainternacional;girlesa.ruiz@servipilas.com;joriescobar64@gmail.com</t>
  </si>
  <si>
    <t>MS3364</t>
  </si>
  <si>
    <t>oct-21</t>
  </si>
  <si>
    <t>130239 130242</t>
  </si>
  <si>
    <t>216 - 285851</t>
  </si>
  <si>
    <t>858 859 860 861 866 867 869</t>
  </si>
  <si>
    <t>ANTICIPO - 285851</t>
  </si>
  <si>
    <t>SG657 - ABONO</t>
  </si>
  <si>
    <t>ARR 1313</t>
  </si>
  <si>
    <t>ME501626</t>
  </si>
  <si>
    <t>ME501626 - NC33887</t>
  </si>
  <si>
    <t>1249 - A2013</t>
  </si>
  <si>
    <t>MDIS5.041.165</t>
  </si>
  <si>
    <t>A2013</t>
  </si>
  <si>
    <t>CARPA - CASILLERO</t>
  </si>
  <si>
    <t>CARPA - MONTBLANC</t>
  </si>
  <si>
    <t>CARPA - TNR</t>
  </si>
  <si>
    <t>CIC304 - 130239 130242</t>
  </si>
  <si>
    <t>FE015570</t>
  </si>
  <si>
    <t>1043661 NC 122099</t>
  </si>
  <si>
    <t>94500992 ASTROSELLING</t>
  </si>
  <si>
    <t>FEN30568</t>
  </si>
  <si>
    <t>ME502310</t>
  </si>
  <si>
    <t>ALPHA</t>
  </si>
  <si>
    <t>2355 - A2020</t>
  </si>
  <si>
    <t>RELOJES BIYCLOCK</t>
  </si>
  <si>
    <t>SG831</t>
  </si>
  <si>
    <t>FE14570</t>
  </si>
  <si>
    <t>13E226510</t>
  </si>
  <si>
    <t>13E225854</t>
  </si>
  <si>
    <t>6426 - A2021</t>
  </si>
  <si>
    <t>3562 - A2019</t>
  </si>
  <si>
    <t>4366 - A2023</t>
  </si>
  <si>
    <t>SANTA BARBARA DISTRONIK</t>
  </si>
  <si>
    <t>6426 - A2021 nc258</t>
  </si>
  <si>
    <t>para pagar andres kairos</t>
  </si>
  <si>
    <t>Gasto ARCOSISTEMAS</t>
  </si>
  <si>
    <t>228 - 285759</t>
  </si>
  <si>
    <t>nov-21</t>
  </si>
  <si>
    <t>DESEMBOLSO POR 75,700,687.87  Y COBRARON SEGURO POR 1,478,400</t>
  </si>
  <si>
    <t xml:space="preserve"> bateriasindustrialesbogota2@coexito.com.co;girlesa.ruiz@servipilas.com;joriescobar64@gmail.com</t>
  </si>
  <si>
    <t>MS3505</t>
  </si>
  <si>
    <t>A2024</t>
  </si>
  <si>
    <t>625 - A2039</t>
  </si>
  <si>
    <t>ADM 004</t>
  </si>
  <si>
    <t>ARR 276</t>
  </si>
  <si>
    <t>13E227420</t>
  </si>
  <si>
    <t>MDIS5.041.192</t>
  </si>
  <si>
    <t>SP3612</t>
  </si>
  <si>
    <t>ME503622</t>
  </si>
  <si>
    <t>dic-21</t>
  </si>
  <si>
    <t>lpena@tbplusenergy.com;girlesa.ruiz@servipilas.com;joriescobar64@gmail.com</t>
  </si>
  <si>
    <t>Gasto BOMBEROS BELLOS</t>
  </si>
  <si>
    <t>FE3231</t>
  </si>
  <si>
    <t>MS3560</t>
  </si>
  <si>
    <t>FETU2562</t>
  </si>
  <si>
    <t>ARR 1577</t>
  </si>
  <si>
    <t>MDIS5.041.202</t>
  </si>
  <si>
    <t>804 - nc 071</t>
  </si>
  <si>
    <t>11640 - 55546</t>
  </si>
  <si>
    <t>643360 - A2062</t>
  </si>
  <si>
    <t>ME504135</t>
  </si>
  <si>
    <t>FE4129</t>
  </si>
  <si>
    <t>FVX10571</t>
  </si>
  <si>
    <t>FVX10572</t>
  </si>
  <si>
    <t>1272 - 286942</t>
  </si>
  <si>
    <t>245 - 55546</t>
  </si>
  <si>
    <t>9417 - A2070</t>
  </si>
  <si>
    <t>9602 - A2077</t>
  </si>
  <si>
    <t>4911 - A2067</t>
  </si>
  <si>
    <t>6952 - A2074</t>
  </si>
  <si>
    <t>A2085</t>
  </si>
  <si>
    <t>ADELANTO</t>
  </si>
  <si>
    <t>lA centrAl</t>
  </si>
  <si>
    <t>mAyorcA</t>
  </si>
  <si>
    <t>sAndiego</t>
  </si>
  <si>
    <t>A1256</t>
  </si>
  <si>
    <t>A1271 320278</t>
  </si>
  <si>
    <t>A1271 532207</t>
  </si>
  <si>
    <t>4209 - A1739 nc</t>
  </si>
  <si>
    <t>AdelAnto</t>
  </si>
  <si>
    <t>MONTBLANC 127718</t>
  </si>
  <si>
    <t>A1400</t>
  </si>
  <si>
    <t>A1450</t>
  </si>
  <si>
    <t>A1437 532664</t>
  </si>
  <si>
    <t>oficinA Arr - 330</t>
  </si>
  <si>
    <t>A1444</t>
  </si>
  <si>
    <t>35957 - A1566</t>
  </si>
  <si>
    <t>A-1455</t>
  </si>
  <si>
    <t>9800 - A1479</t>
  </si>
  <si>
    <t>A-1479</t>
  </si>
  <si>
    <t>A1491</t>
  </si>
  <si>
    <t>A1517</t>
  </si>
  <si>
    <t>A1536</t>
  </si>
  <si>
    <t>Anticipo - SO032015</t>
  </si>
  <si>
    <t>A1560</t>
  </si>
  <si>
    <t>FE6300 - cAsillero</t>
  </si>
  <si>
    <t>A1578 - 1115</t>
  </si>
  <si>
    <t>A1593</t>
  </si>
  <si>
    <t>A1590</t>
  </si>
  <si>
    <t>A1595</t>
  </si>
  <si>
    <t>A1597</t>
  </si>
  <si>
    <t>A1596</t>
  </si>
  <si>
    <t>7921 sAldo pendiente</t>
  </si>
  <si>
    <t>FE1166 IVA</t>
  </si>
  <si>
    <t>oficinA Arr - 4413</t>
  </si>
  <si>
    <t>398219 renovAción</t>
  </si>
  <si>
    <t>A1697-2704</t>
  </si>
  <si>
    <t>A1611</t>
  </si>
  <si>
    <t>A1612 - 321317</t>
  </si>
  <si>
    <t>1042 - A1616</t>
  </si>
  <si>
    <t>Anticipo - 114001</t>
  </si>
  <si>
    <t>A1632 - 3320</t>
  </si>
  <si>
    <t>A1635</t>
  </si>
  <si>
    <t>FE7050 - cAsillero</t>
  </si>
  <si>
    <t>A1634</t>
  </si>
  <si>
    <t>A1671 - 2049</t>
  </si>
  <si>
    <t>540243 - A1639</t>
  </si>
  <si>
    <t>A1641</t>
  </si>
  <si>
    <t>A1643 - 2777</t>
  </si>
  <si>
    <t>A1640</t>
  </si>
  <si>
    <t>89 registro importAdores</t>
  </si>
  <si>
    <t>FVX4580 - Abono</t>
  </si>
  <si>
    <t>A1670 - 1378</t>
  </si>
  <si>
    <t>A1660 - 7697</t>
  </si>
  <si>
    <t>A1662</t>
  </si>
  <si>
    <t>A1659 - 1190</t>
  </si>
  <si>
    <t>A1672</t>
  </si>
  <si>
    <t>A1675</t>
  </si>
  <si>
    <t>A1677 - 2881</t>
  </si>
  <si>
    <t>A1678 - 3347</t>
  </si>
  <si>
    <t>oficinA Arr - 4670</t>
  </si>
  <si>
    <t>A1679 - 2252</t>
  </si>
  <si>
    <t>2812 - A1722</t>
  </si>
  <si>
    <t>hijo AsdruAl</t>
  </si>
  <si>
    <t>A1718</t>
  </si>
  <si>
    <t>A1723</t>
  </si>
  <si>
    <t>321659 - A1725</t>
  </si>
  <si>
    <t>540494 - A1724</t>
  </si>
  <si>
    <t>A1720</t>
  </si>
  <si>
    <t>A1727</t>
  </si>
  <si>
    <t>FE357 - A fAvor por pAgo extrA en 332</t>
  </si>
  <si>
    <t>pilAs</t>
  </si>
  <si>
    <t>bodegAje - 114001</t>
  </si>
  <si>
    <t>4209 - A1739</t>
  </si>
  <si>
    <t>FE7643 - cAsillero</t>
  </si>
  <si>
    <t>A1741 - 628478</t>
  </si>
  <si>
    <t>seguir cArro nissAn</t>
  </si>
  <si>
    <t>seguro vidA jorge girlesA</t>
  </si>
  <si>
    <t>2272 - A1773</t>
  </si>
  <si>
    <t>A1738 - 2095</t>
  </si>
  <si>
    <t>38472 - A1744</t>
  </si>
  <si>
    <t>7766 - A1737</t>
  </si>
  <si>
    <t>ARR 3956 Abono</t>
  </si>
  <si>
    <t>A1743</t>
  </si>
  <si>
    <t>A1745</t>
  </si>
  <si>
    <t>38568 - A1746</t>
  </si>
  <si>
    <t>A1755</t>
  </si>
  <si>
    <t>A1757</t>
  </si>
  <si>
    <t>ARR 118</t>
  </si>
  <si>
    <t>ANTICIPO - 283198</t>
  </si>
  <si>
    <t>26770 - A1774</t>
  </si>
  <si>
    <t xml:space="preserve">1081 - A1769 </t>
  </si>
  <si>
    <t>26767 - A1770</t>
  </si>
  <si>
    <t>A1780 - 1623</t>
  </si>
  <si>
    <t>A1781</t>
  </si>
  <si>
    <t>A1793</t>
  </si>
  <si>
    <t>A1789</t>
  </si>
  <si>
    <t>540758 - A1791</t>
  </si>
  <si>
    <t>ANTICIPO  - 54504</t>
  </si>
  <si>
    <t>A1772</t>
  </si>
  <si>
    <t>A1800</t>
  </si>
  <si>
    <t>A1801</t>
  </si>
  <si>
    <t>A1788</t>
  </si>
  <si>
    <t>2897 - A1812</t>
  </si>
  <si>
    <t>39617 - A1825</t>
  </si>
  <si>
    <t>363 - A1815</t>
  </si>
  <si>
    <t>5035 - A1817</t>
  </si>
  <si>
    <t>A1818</t>
  </si>
  <si>
    <t>1158 - A1816</t>
  </si>
  <si>
    <t>2284 - A1829</t>
  </si>
  <si>
    <t>ARR 330</t>
  </si>
  <si>
    <t>A1827</t>
  </si>
  <si>
    <t>2159 - A1836</t>
  </si>
  <si>
    <t>ANTICIPO - 129398</t>
  </si>
  <si>
    <t>FE8440 - cAsillero</t>
  </si>
  <si>
    <t>4365 - A1831</t>
  </si>
  <si>
    <t>915 - A1835</t>
  </si>
  <si>
    <t>10821 - A1832</t>
  </si>
  <si>
    <t>3438 - A1843</t>
  </si>
  <si>
    <t>A1834</t>
  </si>
  <si>
    <t>motor tool DAniel mercAdo libre</t>
  </si>
  <si>
    <t>916 - A1863</t>
  </si>
  <si>
    <t>1802 - A1856</t>
  </si>
  <si>
    <t>540758 - A1791 - NC</t>
  </si>
  <si>
    <t>unificAdA</t>
  </si>
  <si>
    <t>A1859</t>
  </si>
  <si>
    <t>pilAs centro</t>
  </si>
  <si>
    <t>4414 - A1860</t>
  </si>
  <si>
    <t>1213 - A1880</t>
  </si>
  <si>
    <t>FE8766 - cAsillero A1869</t>
  </si>
  <si>
    <t>FE8767 - cAsillero A1869</t>
  </si>
  <si>
    <t>FE8770 - cAsillero A1869</t>
  </si>
  <si>
    <t>A1862</t>
  </si>
  <si>
    <t>915 - A1835 ND</t>
  </si>
  <si>
    <t>A1869</t>
  </si>
  <si>
    <t>OSSA 171</t>
  </si>
  <si>
    <t>Abono</t>
  </si>
  <si>
    <t>5336 - A1871</t>
  </si>
  <si>
    <t>2948 - A1874</t>
  </si>
  <si>
    <t>13023 - A1870</t>
  </si>
  <si>
    <t>comprA mAyorcA</t>
  </si>
  <si>
    <t>1566 IVA</t>
  </si>
  <si>
    <t>institucionAles</t>
  </si>
  <si>
    <t>3668 - A1882</t>
  </si>
  <si>
    <t>pilAs centro A1881</t>
  </si>
  <si>
    <t>ARREGLO CAMARAS MAYORCA</t>
  </si>
  <si>
    <t>FernAndo Jimenez  medio ivA pisos y pisos 379</t>
  </si>
  <si>
    <t>ARR 626</t>
  </si>
  <si>
    <t>A1890</t>
  </si>
  <si>
    <t>541242 - A1892</t>
  </si>
  <si>
    <t>322319 - A1893</t>
  </si>
  <si>
    <t>40933 - A1894</t>
  </si>
  <si>
    <t>2310 - A1896</t>
  </si>
  <si>
    <t>4408 - A1891</t>
  </si>
  <si>
    <t>dAniel ultrAsonido</t>
  </si>
  <si>
    <t>1253 - A1895</t>
  </si>
  <si>
    <t>2269 - A1911</t>
  </si>
  <si>
    <t>8546 - A1909</t>
  </si>
  <si>
    <t>dAniel linio office</t>
  </si>
  <si>
    <t xml:space="preserve">ANTICIPO - 284593 284796 </t>
  </si>
  <si>
    <t>A1907</t>
  </si>
  <si>
    <t>8546 - A1910</t>
  </si>
  <si>
    <t>A1912</t>
  </si>
  <si>
    <t>2295 - A1919</t>
  </si>
  <si>
    <t>MANILLAS</t>
  </si>
  <si>
    <t>4783 - A1925</t>
  </si>
  <si>
    <t>1272 - A1920</t>
  </si>
  <si>
    <t>ANTICIPO - 284978</t>
  </si>
  <si>
    <t>pilAs AlmAcen sotis</t>
  </si>
  <si>
    <t>2299 - A1928</t>
  </si>
  <si>
    <t>J Andres dhl impuestos reloj</t>
  </si>
  <si>
    <t>A1937</t>
  </si>
  <si>
    <t>A1936</t>
  </si>
  <si>
    <t>puertA del norte</t>
  </si>
  <si>
    <t>A1942</t>
  </si>
  <si>
    <t>217 - A1953</t>
  </si>
  <si>
    <t>AguinAldo metro</t>
  </si>
  <si>
    <t>21666 fibrA opticA</t>
  </si>
  <si>
    <t>clAusulA de permAnenciA</t>
  </si>
  <si>
    <t>ARR 889</t>
  </si>
  <si>
    <t>Arreglos mAyorcA</t>
  </si>
  <si>
    <t>cArro gloriA restrepo</t>
  </si>
  <si>
    <t>1823523 - dAyAnA pc pAgAdo por ellA</t>
  </si>
  <si>
    <t>sAldo A fAvor</t>
  </si>
  <si>
    <t>218 - A1960</t>
  </si>
  <si>
    <t>2336 - A1962</t>
  </si>
  <si>
    <t>A1959</t>
  </si>
  <si>
    <t>1316 - A1968</t>
  </si>
  <si>
    <t>1827072 PC BODEGA</t>
  </si>
  <si>
    <t xml:space="preserve">ANTICIPO -  285759 </t>
  </si>
  <si>
    <t>PC THINKPAD</t>
  </si>
  <si>
    <t>3052 - A1980</t>
  </si>
  <si>
    <t>3053 - A1979</t>
  </si>
  <si>
    <t>638783 - A1998</t>
  </si>
  <si>
    <t>3099 - A1985</t>
  </si>
  <si>
    <t>3101 - A1983</t>
  </si>
  <si>
    <t>3105 - A1984</t>
  </si>
  <si>
    <t>28234 - A1978</t>
  </si>
  <si>
    <t>2075 - A1986</t>
  </si>
  <si>
    <t>A1982</t>
  </si>
  <si>
    <t>A1997</t>
  </si>
  <si>
    <t>42762 - A1987</t>
  </si>
  <si>
    <t>A1981</t>
  </si>
  <si>
    <t>42761 - A1995</t>
  </si>
  <si>
    <t>28302 - A1994</t>
  </si>
  <si>
    <t>A1996</t>
  </si>
  <si>
    <t>71593 Abono</t>
  </si>
  <si>
    <t>1263 - A2044</t>
  </si>
  <si>
    <t>Anticipo - 55161</t>
  </si>
  <si>
    <t>2136 - A2006</t>
  </si>
  <si>
    <t>1342 - A2004</t>
  </si>
  <si>
    <t>A2005 pilAs centro</t>
  </si>
  <si>
    <t>6373 - A2010</t>
  </si>
  <si>
    <t>542117 - A2012</t>
  </si>
  <si>
    <t>4947 - A2026</t>
  </si>
  <si>
    <t>43579 - A2030</t>
  </si>
  <si>
    <t>pilAs centro - A2031</t>
  </si>
  <si>
    <t>As4424</t>
  </si>
  <si>
    <t>A2044</t>
  </si>
  <si>
    <t>3587 - A2040</t>
  </si>
  <si>
    <t>2183 - A2049</t>
  </si>
  <si>
    <t>A2046</t>
  </si>
  <si>
    <t>323017 - A2047</t>
  </si>
  <si>
    <t>institucinAles</t>
  </si>
  <si>
    <t>A2057 A2058</t>
  </si>
  <si>
    <t>pilAs centro - A2052</t>
  </si>
  <si>
    <t>A2056</t>
  </si>
  <si>
    <t>1277 - A2063</t>
  </si>
  <si>
    <t>1276 - A2063</t>
  </si>
  <si>
    <t>Anticipo - 286942</t>
  </si>
  <si>
    <t>dAniel linio office x2</t>
  </si>
  <si>
    <t>1278 - A2063</t>
  </si>
  <si>
    <t>A2063</t>
  </si>
  <si>
    <t>235 - A2065</t>
  </si>
  <si>
    <t>Anticipo - 55546</t>
  </si>
  <si>
    <t>A2029</t>
  </si>
  <si>
    <t>4729 - A2027</t>
  </si>
  <si>
    <t>pilAs centro - A2079</t>
  </si>
  <si>
    <t>239 - A2087</t>
  </si>
  <si>
    <t>A2084</t>
  </si>
  <si>
    <t>A2066</t>
  </si>
  <si>
    <t>A2086</t>
  </si>
  <si>
    <t>A2078</t>
  </si>
  <si>
    <t>4955 - A2076</t>
  </si>
  <si>
    <t>A2068</t>
  </si>
  <si>
    <t>3562 - A2019 abono</t>
  </si>
  <si>
    <t>3165 - a2089</t>
  </si>
  <si>
    <t>3164 - a2088</t>
  </si>
  <si>
    <t>A2095</t>
  </si>
  <si>
    <t>FEV43134</t>
  </si>
  <si>
    <t>FVX10882</t>
  </si>
  <si>
    <t>FEID12854</t>
  </si>
  <si>
    <t>1282 - A2095</t>
  </si>
  <si>
    <t>FVX9821 NC734</t>
  </si>
  <si>
    <t>2364 - A2105</t>
  </si>
  <si>
    <t>873+875+878</t>
  </si>
  <si>
    <t>SP3862</t>
  </si>
  <si>
    <t>SI056191</t>
  </si>
  <si>
    <t>SI054623</t>
  </si>
  <si>
    <t>seguro vida jorge girlesa</t>
  </si>
  <si>
    <t>salud prepagada jorge girlesa</t>
  </si>
  <si>
    <t>FESJ171529</t>
  </si>
  <si>
    <t>FESJ161946</t>
  </si>
  <si>
    <t>NC10354</t>
  </si>
  <si>
    <t>FESJ163560</t>
  </si>
  <si>
    <t>NC10724</t>
  </si>
  <si>
    <t>FESJ164747</t>
  </si>
  <si>
    <t>FESJ166091</t>
  </si>
  <si>
    <t>FESJ166648</t>
  </si>
  <si>
    <t>FESJ168686</t>
  </si>
  <si>
    <t>FESJ168687 Ajuste retroActivo</t>
  </si>
  <si>
    <t>FESJ169123</t>
  </si>
  <si>
    <t>FESJ170348</t>
  </si>
  <si>
    <t>38743 - Abono</t>
  </si>
  <si>
    <t>NC2021060073</t>
  </si>
  <si>
    <t>NC2021060073 reteF</t>
  </si>
  <si>
    <t>ARR FV05121</t>
  </si>
  <si>
    <t>ADM FV04843</t>
  </si>
  <si>
    <t>4366 - A2023 NC</t>
  </si>
  <si>
    <t>sd</t>
  </si>
  <si>
    <t>lc</t>
  </si>
  <si>
    <t>ml</t>
  </si>
  <si>
    <t>my</t>
  </si>
  <si>
    <t>CARPA - POWERSONIC</t>
  </si>
  <si>
    <t>1295 - SI054623 SI056191</t>
  </si>
  <si>
    <t>NC</t>
  </si>
  <si>
    <t>A2115</t>
  </si>
  <si>
    <t>ARR 1835</t>
  </si>
  <si>
    <t>192 NC</t>
  </si>
  <si>
    <t>ene-22</t>
  </si>
  <si>
    <t>bacolombia ah 01012530214</t>
  </si>
  <si>
    <t>alejovelas0426@gmail.com;girlesa.ruiz@servipilas.com;joriescobar64@gmail.com</t>
  </si>
  <si>
    <t>vcortes@power-sonic.com;alexander.baur@power-sonic.com;jirias@power-sonic.com;girlesa.ruiz@servipilas.com;joriescobar64@gmail.com;info@servipilas.com</t>
  </si>
  <si>
    <t>IMPOCARGO - POWERSONIC</t>
  </si>
  <si>
    <t>howardlondono@impocarga.com;oswaldo.alvarez@logimexsas.com;girlesa.ruiz@servipilas.com;joriescobar64@gmail.com</t>
  </si>
  <si>
    <t>282 - SI054623 SI056191</t>
  </si>
  <si>
    <t>carloseuristika@hotmail.com;girlesa.ruiz@servipilas.com;joriescobar64@gmail.com</t>
  </si>
  <si>
    <t>1424 - A2147</t>
  </si>
  <si>
    <t>BANCOLOMBIA USD$ 2555235952</t>
  </si>
  <si>
    <t>dotaciones.ohana.eu@gmail.com;girlesa.ruiz@servipilas.com;joriescobar64@gmail.com</t>
  </si>
  <si>
    <t>uniformes</t>
  </si>
  <si>
    <t>SI054623 SI056191</t>
  </si>
  <si>
    <t>LOGIMEX POWERSONIC</t>
  </si>
  <si>
    <t>ANTICIPO - SI054623 SI056191</t>
  </si>
  <si>
    <t>5051 - a2140</t>
  </si>
  <si>
    <t>5053 - a2146</t>
  </si>
  <si>
    <t>2245 - a2112</t>
  </si>
  <si>
    <t>4901 - A2143</t>
  </si>
  <si>
    <t>A2114</t>
  </si>
  <si>
    <t>A2156</t>
  </si>
  <si>
    <t>3532 - A2145</t>
  </si>
  <si>
    <t>2531 - A2145</t>
  </si>
  <si>
    <t>03MS3779</t>
  </si>
  <si>
    <t>03MS3718</t>
  </si>
  <si>
    <t>FE16558</t>
  </si>
  <si>
    <t>FE016093</t>
  </si>
  <si>
    <t>FESJ172676</t>
  </si>
  <si>
    <t>Total2</t>
  </si>
  <si>
    <t>D:\pdfs</t>
  </si>
  <si>
    <t>Abajo A TU MANO</t>
  </si>
  <si>
    <t>variedades.sfg@gmail.com;girlesa.ruiz@servipilas.com;joriescobar64@gmail.com</t>
  </si>
  <si>
    <t>Abajo ADRIANA ARISTIZABAL</t>
  </si>
  <si>
    <t>Abajo ALEKO</t>
  </si>
  <si>
    <t>45531 - A2160</t>
  </si>
  <si>
    <t>47476 - A2258</t>
  </si>
  <si>
    <t>Abajo ALEX DAVAL</t>
  </si>
  <si>
    <t>Abajo ALIEXPRESS</t>
  </si>
  <si>
    <t>Abajo ANDREA RAMIREZ</t>
  </si>
  <si>
    <t>Abajo audifonos</t>
  </si>
  <si>
    <t>Abajo AURELIO PILAS</t>
  </si>
  <si>
    <t>a2184</t>
  </si>
  <si>
    <t>jessica.barios.com@carpainternacional;girlesa.ruiz@servipilas.com;joriescobar64@gmail.com</t>
  </si>
  <si>
    <t>1373 - 289692</t>
  </si>
  <si>
    <t>Abajo AVELINA</t>
  </si>
  <si>
    <t>29746 - A2168</t>
  </si>
  <si>
    <t>Abajo billen</t>
  </si>
  <si>
    <t>Abajo CAJONES DE RELOJ</t>
  </si>
  <si>
    <t>A2161</t>
  </si>
  <si>
    <t>Abajo cajones girlesa</t>
  </si>
  <si>
    <t>Abajo CARLOS MARIO BETANCUR</t>
  </si>
  <si>
    <t>Abajo CASILLERO</t>
  </si>
  <si>
    <t>A2158</t>
  </si>
  <si>
    <t>A2159</t>
  </si>
  <si>
    <t>a2220</t>
  </si>
  <si>
    <t>a2243</t>
  </si>
  <si>
    <t>a2282</t>
  </si>
  <si>
    <t>nb 288822</t>
  </si>
  <si>
    <t>Abajo COMERCIALIZADORA BYJ</t>
  </si>
  <si>
    <t>8404 - a2271</t>
  </si>
  <si>
    <t>Abajo CONTADO</t>
  </si>
  <si>
    <t>of</t>
  </si>
  <si>
    <t>Abajo DAVID HOYOS</t>
  </si>
  <si>
    <t>Abajo DIEGO RAMIREZ</t>
  </si>
  <si>
    <t>ABAJO DIY CLOCK</t>
  </si>
  <si>
    <t>Abajo DUBAN LOPEZ</t>
  </si>
  <si>
    <t>cartera@conbienes.com;girlesa.ruiz@servipilas.com;joriescobar64@gmail.com</t>
  </si>
  <si>
    <t>FV07335</t>
  </si>
  <si>
    <t>Abajo EFREN</t>
  </si>
  <si>
    <t>4986 - A2170</t>
  </si>
  <si>
    <t>5108 - A2164</t>
  </si>
  <si>
    <t>Abajo EL PALACIO NAVIDEÑO</t>
  </si>
  <si>
    <t>3393 - A2166</t>
  </si>
  <si>
    <t>3392 - consignacion</t>
  </si>
  <si>
    <t>Abajo elite</t>
  </si>
  <si>
    <t>Abajo Gasto Dotaciones Ohana</t>
  </si>
  <si>
    <t>Abajo GERMAN PALACIOS</t>
  </si>
  <si>
    <t>Abajo gloria bello</t>
  </si>
  <si>
    <t>Abajo Gloria Estrada</t>
  </si>
  <si>
    <t>gloritasz@gmail.com;girlesa.ruiz@servipilas.com;joriescobar64@gmail.com</t>
  </si>
  <si>
    <t>Abajo GLORIA SOTO</t>
  </si>
  <si>
    <t>Abajo GUSTAVO PULSOS</t>
  </si>
  <si>
    <t>A2196</t>
  </si>
  <si>
    <t>a2257</t>
  </si>
  <si>
    <t>a2266</t>
  </si>
  <si>
    <t>a2284</t>
  </si>
  <si>
    <t>Abajo HERMANO DE KAIROS</t>
  </si>
  <si>
    <t>Abajo HUMBERTO ALVAREZ</t>
  </si>
  <si>
    <t>abajo innovatech</t>
  </si>
  <si>
    <t>Abajo INSTITUCIONALES</t>
  </si>
  <si>
    <t>Abajo INV ARCILA</t>
  </si>
  <si>
    <t>Abajo IVA</t>
  </si>
  <si>
    <t>Abajo JORGE ARREDONDO - JARLY SAS</t>
  </si>
  <si>
    <t>Abajo KAIROS</t>
  </si>
  <si>
    <t>FV07614</t>
  </si>
  <si>
    <t>Abajo LA ESQUINA DEL MACHETE</t>
  </si>
  <si>
    <t>Abajo MEGARED</t>
  </si>
  <si>
    <t>Abajo MERCADOLIBRE</t>
  </si>
  <si>
    <t>daniel linio officex3 windowsx2</t>
  </si>
  <si>
    <t>a2256</t>
  </si>
  <si>
    <t>facturacion@losmolinos.com.co</t>
  </si>
  <si>
    <t>Abajo MERCEDES PILAS</t>
  </si>
  <si>
    <t>1454 - A2163</t>
  </si>
  <si>
    <t>Abajo MODULOS</t>
  </si>
  <si>
    <t>Abajo NALPI</t>
  </si>
  <si>
    <t>04736 - a2210</t>
  </si>
  <si>
    <t>04741 - a2210</t>
  </si>
  <si>
    <t>Abajo OLGA CARDONA</t>
  </si>
  <si>
    <t>Abajo pilas</t>
  </si>
  <si>
    <t>abajo pilas</t>
  </si>
  <si>
    <t>Abajo PILAS</t>
  </si>
  <si>
    <t>Abajo pulsos</t>
  </si>
  <si>
    <t>Abajo PYG</t>
  </si>
  <si>
    <t>3713 - a2187</t>
  </si>
  <si>
    <t>Abajo REPUESTOS CALI</t>
  </si>
  <si>
    <t>stabarbaradistronik@gmail.com;girlesa.ruiz@servipilas.com;joriescobar64@gmail.com</t>
  </si>
  <si>
    <t>Abajo SANTA BARBARA DISTRONIK</t>
  </si>
  <si>
    <t>7694 - a2195</t>
  </si>
  <si>
    <t>7694 - a2195 - Abono</t>
  </si>
  <si>
    <t>Abajo STARTIME</t>
  </si>
  <si>
    <t>a2219</t>
  </si>
  <si>
    <t>Abajo SWIZZER REPUESTOS</t>
  </si>
  <si>
    <t>Abajo Tapabocas Juan Diego</t>
  </si>
  <si>
    <t>Abajo tecno manhatan</t>
  </si>
  <si>
    <t>Abajo Termopack</t>
  </si>
  <si>
    <t>Abajo UNIVERSAL TIME</t>
  </si>
  <si>
    <t>882+883+885+887+888+889+890+893+894</t>
  </si>
  <si>
    <t>abajo uriel gomez</t>
  </si>
  <si>
    <t>Abajo W CUERO</t>
  </si>
  <si>
    <t>Abajo YERMIN</t>
  </si>
  <si>
    <t>Abajo YOLANDA</t>
  </si>
  <si>
    <t>254 - A2180</t>
  </si>
  <si>
    <t>260 - A2233</t>
  </si>
  <si>
    <t>Abajo ZUMA</t>
  </si>
  <si>
    <t>11790 - 56143</t>
  </si>
  <si>
    <t>6124 - NC55</t>
  </si>
  <si>
    <t>1320 - A2158</t>
  </si>
  <si>
    <t>10117 NC</t>
  </si>
  <si>
    <t>PANASONIC</t>
  </si>
  <si>
    <t>1322 - 130713</t>
  </si>
  <si>
    <t>FI181033</t>
  </si>
  <si>
    <t>ME510858</t>
  </si>
  <si>
    <t>13E231864</t>
  </si>
  <si>
    <t>635 - nc45</t>
  </si>
  <si>
    <t>a2296</t>
  </si>
  <si>
    <t>8498 - a2297</t>
  </si>
  <si>
    <t>FVX11935</t>
  </si>
  <si>
    <t>Gasto Abajo contado</t>
  </si>
  <si>
    <t>dua@cedesistemas.edu.co;girlesa.ruiz@servipilas.com;joriescobar64@gmail.com</t>
  </si>
  <si>
    <t>Gasto CEDESISTEMAS</t>
  </si>
  <si>
    <t>556 abono</t>
  </si>
  <si>
    <t>FV05662</t>
  </si>
  <si>
    <t>FV05947</t>
  </si>
  <si>
    <t>FV06798 - nc</t>
  </si>
  <si>
    <t>FV06518</t>
  </si>
  <si>
    <t>FV06798</t>
  </si>
  <si>
    <t>sfonnegra@nanicastation.com.co;facturas@nanicastation.com.co;girlesa.ruiz@servipilas.com;joriescobar64@gmail.com</t>
  </si>
  <si>
    <t>FE18323</t>
  </si>
  <si>
    <t>daniel guantes</t>
  </si>
  <si>
    <t>mobiliariomasproyectos@gmail.com;girlesa.ruiz@servipilas.com;joriescobar64@gmail.com</t>
  </si>
  <si>
    <t xml:space="preserve">Gasto M+P </t>
  </si>
  <si>
    <t>vitrina lc</t>
  </si>
  <si>
    <t>66158 - descuento no aplicado</t>
  </si>
  <si>
    <t>FESJ173142</t>
  </si>
  <si>
    <t>FESJ174559</t>
  </si>
  <si>
    <t>a2289</t>
  </si>
  <si>
    <t>adelanto</t>
  </si>
  <si>
    <t>1363 - a2282</t>
  </si>
  <si>
    <t>SG1127</t>
  </si>
  <si>
    <t>FEI100050484</t>
  </si>
  <si>
    <t>FEI100050811</t>
  </si>
  <si>
    <t>FEV47234</t>
  </si>
  <si>
    <t>FEV47269</t>
  </si>
  <si>
    <t>daniel cintas termicas</t>
  </si>
  <si>
    <t>IND ELEC NEWLINE</t>
  </si>
  <si>
    <t>IFE34930</t>
  </si>
  <si>
    <t>IFE34930 - NC21144</t>
  </si>
  <si>
    <t>IFE34930 - NC21144 retencion por diferencia</t>
  </si>
  <si>
    <t>IFE35882</t>
  </si>
  <si>
    <t>FE17773</t>
  </si>
  <si>
    <t>a2268</t>
  </si>
  <si>
    <t>MDIS5.041.345</t>
  </si>
  <si>
    <t>anticipo - 56143</t>
  </si>
  <si>
    <t>Anticipo - 130713</t>
  </si>
  <si>
    <t>272 - 130713</t>
  </si>
  <si>
    <t>270 - SI054623 SI056191</t>
  </si>
  <si>
    <t>287 - SI054623 SI056191</t>
  </si>
  <si>
    <t>271 - 286942</t>
  </si>
  <si>
    <t>5128 - a2185</t>
  </si>
  <si>
    <t>MEGAMUNDO</t>
  </si>
  <si>
    <t>03MS4136</t>
  </si>
  <si>
    <t>1878591 - NC162178</t>
  </si>
  <si>
    <t>a2252</t>
  </si>
  <si>
    <t>MDIS5.041.328</t>
  </si>
  <si>
    <t>FEV44348</t>
  </si>
  <si>
    <t>FEV44716</t>
  </si>
  <si>
    <t>FEV45061</t>
  </si>
  <si>
    <t>24466 - nc53415</t>
  </si>
  <si>
    <t>1342 - a2243</t>
  </si>
  <si>
    <t>7889 - a2242</t>
  </si>
  <si>
    <t>FE9151</t>
  </si>
  <si>
    <t>162642 NC</t>
  </si>
  <si>
    <t>RODRIGUEZ Y URBINA</t>
  </si>
  <si>
    <t>S02943 RU1280</t>
  </si>
  <si>
    <t>a2215</t>
  </si>
  <si>
    <t>1337 - a2220</t>
  </si>
  <si>
    <t>73279 abono</t>
  </si>
  <si>
    <t>ME506093</t>
  </si>
  <si>
    <t>ME506622</t>
  </si>
  <si>
    <t>ME506623</t>
  </si>
  <si>
    <t>ME507102</t>
  </si>
  <si>
    <t>ME507295</t>
  </si>
  <si>
    <t>13E233959</t>
  </si>
  <si>
    <t>FETU3052</t>
  </si>
  <si>
    <t>FEN-37015</t>
  </si>
  <si>
    <t>03MS3968</t>
  </si>
  <si>
    <t>13E233987</t>
  </si>
  <si>
    <t>A2186</t>
  </si>
  <si>
    <t>FEI100054006</t>
  </si>
  <si>
    <t>NC119</t>
  </si>
  <si>
    <t>FEI100053907</t>
  </si>
  <si>
    <t>24007 - NC</t>
  </si>
  <si>
    <t>FEI100053411</t>
  </si>
  <si>
    <t>anticipo - 289692</t>
  </si>
  <si>
    <t>días de vencimiento</t>
  </si>
  <si>
    <t>Abajo 11 TECHNOLOGIES</t>
  </si>
  <si>
    <t>Abajo ACCESORIOS PARA CELULAR</t>
  </si>
  <si>
    <t>ABAJO ALEKO</t>
  </si>
  <si>
    <t>Abajo BILLEN</t>
  </si>
  <si>
    <t>Abajo CAJONES GIRLESA</t>
  </si>
  <si>
    <t>Abajo CARETAS</t>
  </si>
  <si>
    <t>Abajo COSOSTENIBLE</t>
  </si>
  <si>
    <t>Abajo ELITE</t>
  </si>
  <si>
    <t>Abajo ELIZABETH LOAIZA</t>
  </si>
  <si>
    <t>Abajo EN EFECTIVO</t>
  </si>
  <si>
    <t>Abajo ESTANTERIA BELLO</t>
  </si>
  <si>
    <t>Abajo ESTUCHES DE RELOJ</t>
  </si>
  <si>
    <t>Abajo GLORIA BELLO</t>
  </si>
  <si>
    <t>Abajo HAROLD BRIGHTSIDE</t>
  </si>
  <si>
    <t>Abajo INNOVATECH</t>
  </si>
  <si>
    <t>Abajo JORGE DIAMANTE</t>
  </si>
  <si>
    <t>Abajo LA CENTRAL</t>
  </si>
  <si>
    <t>Abajo LAS GORDAS</t>
  </si>
  <si>
    <t>Abajo MAKING BUSINESS</t>
  </si>
  <si>
    <t>Abajo MARTA PUNTAZO - PYG</t>
  </si>
  <si>
    <t>Abajo MAYORCA</t>
  </si>
  <si>
    <t>Abajo MOLINOS</t>
  </si>
  <si>
    <t>Abajo OFICINA</t>
  </si>
  <si>
    <t>Abajo PATRICIA SUCERQUIA</t>
  </si>
  <si>
    <t>Abajo PUERTA DEL NORTE</t>
  </si>
  <si>
    <t>Abajo PULSOS ESPECIALES</t>
  </si>
  <si>
    <t>Abajo PULSOS G SHOCK</t>
  </si>
  <si>
    <t>Abajo RACKLO</t>
  </si>
  <si>
    <t>Abajo SAN DIEGO</t>
  </si>
  <si>
    <t>Abajo SANDIEGO</t>
  </si>
  <si>
    <t>Abajo SOUND TECHNOLOGY</t>
  </si>
  <si>
    <t>Abajo SP PULSOS</t>
  </si>
  <si>
    <t>Abajo TARJETAS DE REGALO</t>
  </si>
  <si>
    <t>Abajo TECNO MANHATAN</t>
  </si>
  <si>
    <t>Abajo URIEL GALLEGO</t>
  </si>
  <si>
    <t>Abajo URIEL GOMEZ</t>
  </si>
  <si>
    <t>Abajo WILFER GOMEZ - YERMN</t>
  </si>
  <si>
    <t>Total USD</t>
  </si>
  <si>
    <t>1278 saldo pendiente</t>
  </si>
  <si>
    <t>1295 saldo pendiente</t>
  </si>
  <si>
    <t xml:space="preserve">Abajo DANIEL ESCOBAR </t>
  </si>
  <si>
    <t xml:space="preserve">Abajo FONDO </t>
  </si>
  <si>
    <t>DAVIVIENDA ************6881</t>
  </si>
  <si>
    <t>DAVIVIENDA ************7029</t>
  </si>
  <si>
    <t xml:space="preserve">Abajo FERNANDO JIMENEZ </t>
  </si>
  <si>
    <t xml:space="preserve">Abajo CATALINA SANCHEZ </t>
  </si>
  <si>
    <t>DAVIVIENDA ************6699</t>
  </si>
  <si>
    <t>DAVIVIENDA ************6723</t>
  </si>
  <si>
    <t>DAVIVIENDA ************3174</t>
  </si>
  <si>
    <t xml:space="preserve">Abajo MARIANA </t>
  </si>
  <si>
    <t>DAVIVIENDA ************5872</t>
  </si>
  <si>
    <t xml:space="preserve">Abajo ALBA  </t>
  </si>
  <si>
    <t>kenex 53263 dic 2020</t>
  </si>
  <si>
    <t>Abajo PIEDAD ESCOBAR</t>
  </si>
  <si>
    <t>DAVIVIENDA ************0957</t>
  </si>
  <si>
    <t>Abajo CLAUDIA RUIZ</t>
  </si>
  <si>
    <t>DAVIVIENDA ************5098</t>
  </si>
  <si>
    <t xml:space="preserve">Abajo DON LUCIANO </t>
  </si>
  <si>
    <t>Abajo JORGE IVAN ESCOBAR</t>
  </si>
  <si>
    <t>jorge arredondo</t>
  </si>
  <si>
    <t>BANCOLOMBIA CESANTIAS</t>
  </si>
  <si>
    <t>palacio navideño</t>
  </si>
  <si>
    <t>mueble la central</t>
  </si>
  <si>
    <t>avelina</t>
  </si>
  <si>
    <t>amdres ramirez</t>
  </si>
  <si>
    <t>120k del 4x1000</t>
  </si>
  <si>
    <t>Abajo AGRARIO JORGE</t>
  </si>
  <si>
    <t xml:space="preserve">Abajo ANIBAL  </t>
  </si>
  <si>
    <t xml:space="preserve">Abajo FAMILIA SANCHEZ </t>
  </si>
  <si>
    <t xml:space="preserve">Abajo GILBERTO </t>
  </si>
  <si>
    <t>Abajo GIRLESA</t>
  </si>
  <si>
    <t xml:space="preserve">Abajo HERNAN MARIN </t>
  </si>
  <si>
    <t>COP</t>
  </si>
  <si>
    <t>cuota extra</t>
  </si>
  <si>
    <t>a2316</t>
  </si>
  <si>
    <t>a2309</t>
  </si>
  <si>
    <t>48214 - a2298</t>
  </si>
  <si>
    <t>270 - A2300</t>
  </si>
  <si>
    <t>75600 - NC</t>
  </si>
  <si>
    <t>FEV48225</t>
  </si>
  <si>
    <t>ME511329</t>
  </si>
  <si>
    <t>03MS4371</t>
  </si>
  <si>
    <t>334 - 289692</t>
  </si>
  <si>
    <t>COMERCIALIZADORA AVELINA</t>
  </si>
  <si>
    <t>avelinacomer@gmail.com;girlesa.ruiz@servipilas.com;joriescobar64@gmail.com</t>
  </si>
  <si>
    <t>FE11073</t>
  </si>
  <si>
    <t>ID RETENCION</t>
  </si>
  <si>
    <t>1% con base</t>
  </si>
  <si>
    <t>2,5% con base</t>
  </si>
  <si>
    <t>3,5% sin base</t>
  </si>
  <si>
    <t>3,5% con base</t>
  </si>
  <si>
    <t>4% sin base</t>
  </si>
  <si>
    <t>11% sin base</t>
  </si>
  <si>
    <t>año facturado</t>
  </si>
  <si>
    <t>base retencion</t>
  </si>
  <si>
    <t>indicador de columna</t>
  </si>
  <si>
    <t>retención aplicada</t>
  </si>
  <si>
    <t>1% sin base</t>
  </si>
  <si>
    <t>feb-22</t>
  </si>
  <si>
    <t>mar-22</t>
  </si>
  <si>
    <t>abr-22</t>
  </si>
  <si>
    <t>Tipo de producto</t>
  </si>
  <si>
    <t>Pago mínimo</t>
  </si>
  <si>
    <t>322830 - A2012</t>
  </si>
  <si>
    <t>producto</t>
  </si>
  <si>
    <t>capital</t>
  </si>
  <si>
    <t>estado</t>
  </si>
  <si>
    <t>intereses</t>
  </si>
  <si>
    <t>DAVIVIENDA ************2127</t>
  </si>
  <si>
    <t>abr-23</t>
  </si>
  <si>
    <t>AJUSTE ABR20 2022</t>
  </si>
  <si>
    <t>324035 - a2323</t>
  </si>
  <si>
    <t>344381 - a2323</t>
  </si>
  <si>
    <t>344382 - a2323</t>
  </si>
  <si>
    <t>pago de los uniformes</t>
  </si>
  <si>
    <t>FEV46356</t>
  </si>
  <si>
    <t>FETU3377</t>
  </si>
  <si>
    <t xml:space="preserve">SG1127 - NCE37 </t>
  </si>
  <si>
    <t>sandra.ospina@powest.com;girlesa.ruiz@servipilas.com;joriescobar64@gmail.com</t>
  </si>
  <si>
    <t>1504 - a2246</t>
  </si>
  <si>
    <t>girlesa salud</t>
  </si>
  <si>
    <t>ME512097</t>
  </si>
  <si>
    <t>ME512055</t>
  </si>
  <si>
    <t>FETU3394</t>
  </si>
  <si>
    <t>FI184484</t>
  </si>
  <si>
    <t>SG1213</t>
  </si>
  <si>
    <t>FEI100060300</t>
  </si>
  <si>
    <t>a2331</t>
  </si>
  <si>
    <t>1387 - casillero</t>
  </si>
  <si>
    <t>42651 nd</t>
  </si>
  <si>
    <t>1.344.723,56</t>
  </si>
  <si>
    <t>2.180.522,81</t>
  </si>
  <si>
    <t> 1.761.405,65</t>
  </si>
  <si>
    <t>may-23</t>
  </si>
  <si>
    <t>FESJ174856</t>
  </si>
  <si>
    <t>A2340</t>
  </si>
  <si>
    <t>95475513 RENOVACIÓN</t>
  </si>
  <si>
    <t>FEV48949</t>
  </si>
  <si>
    <t>FEV49144</t>
  </si>
  <si>
    <t>FV08440</t>
  </si>
  <si>
    <t>FV08160</t>
  </si>
  <si>
    <t>3328 - a2343</t>
  </si>
  <si>
    <t>277 - a2342</t>
  </si>
  <si>
    <t>2146 - a2334</t>
  </si>
  <si>
    <t>3091 - a2336</t>
  </si>
  <si>
    <t>12378 a2346</t>
  </si>
  <si>
    <t>217 - 55161</t>
  </si>
  <si>
    <t>IFE37101</t>
  </si>
  <si>
    <t>FEI100061061</t>
  </si>
  <si>
    <t>FEI100060704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</si>
</sst>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6" formatCode="&quot;$&quot;\ #,##0;[Red]\-&quot;$&quot;\ #,##0"/>
    <numFmt numFmtId="8" formatCode="&quot;$&quot;\ #,##0.00;[Red]\-&quot;$&quot;\ #,##0.00"/>
    <numFmt numFmtId="44" formatCode="_-&quot;$&quot;\ * #,##0.00_-;\-&quot;$&quot;\ * #,##0.00_-;_-&quot;$&quot;\ * &quot;-&quot;??_-;_-@_-"/>
    <numFmt numFmtId="164" formatCode="&quot;$&quot;#,##0_);[Red]\(&quot;$&quot;#,##0\)"/>
    <numFmt numFmtId="165" formatCode="&quot;$&quot;#,##0.00_);[Red]\(&quot;$&quot;#,##0.00\)"/>
    <numFmt numFmtId="166" formatCode="&quot;$&quot;\ #,##0_);[Red]\(&quot;$&quot;\ #,##0\)"/>
    <numFmt numFmtId="167" formatCode="&quot;$&quot;#,##0;[Red]\-&quot;$&quot;#,##0"/>
    <numFmt numFmtId="168" formatCode="m/d/yyyy"/>
    <numFmt numFmtId="169" formatCode="0.0%"/>
    <numFmt numFmtId="170" formatCode="dd\ &quot;de&quot;\ mmmm\ &quot;de&quot;\ yyyy"/>
    <numFmt numFmtId="171" formatCode="mm/dd/yyyy"/>
    <numFmt numFmtId="172" formatCode="&quot;$&quot;#,##0.0;[Red]\-&quot;$&quot;#,##0.0"/>
  </numFmts>
  <fonts count="3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 tint="0.34998626667073579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name val="Bell MT"/>
      <family val="1"/>
    </font>
    <font>
      <sz val="12"/>
      <name val="Bell MT"/>
      <family val="1"/>
    </font>
    <font>
      <b/>
      <sz val="12"/>
      <color theme="1" tint="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1"/>
      <name val="Calibri"/>
      <family val="2"/>
    </font>
    <font>
      <sz val="9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Bell MT"/>
      <family val="1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</font>
    <font>
      <b/>
      <sz val="12"/>
      <name val="Bell MT"/>
    </font>
  </fonts>
  <fills count="1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E2F3"/>
        <bgColor rgb="FFD9E2F3"/>
      </patternFill>
    </fill>
    <fill>
      <patternFill patternType="solid">
        <fgColor rgb="FFE2EFD9"/>
        <bgColor rgb="FFE2EFD9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/>
      </patternFill>
    </fill>
    <fill>
      <patternFill patternType="solid">
        <fgColor rgb="FFD8D8D8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18" fillId="0" borderId="0" applyNumberFormat="0" applyFill="0" applyBorder="0" applyAlignment="0" applyProtection="0"/>
    <xf numFmtId="0" fontId="19" fillId="0" borderId="0"/>
    <xf numFmtId="44" fontId="21" fillId="0" borderId="0" applyFont="0" applyFill="0" applyBorder="0" applyAlignment="0" applyProtection="0"/>
  </cellStyleXfs>
  <cellXfs count="207">
    <xf numFmtId="0" fontId="0" fillId="0" borderId="0" xfId="0"/>
    <xf numFmtId="14" fontId="4" fillId="0" borderId="1" xfId="0" applyNumberFormat="1" applyFont="1" applyFill="1" applyBorder="1" applyAlignment="1" applyProtection="1">
      <alignment horizontal="center" vertical="center"/>
    </xf>
    <xf numFmtId="15" fontId="4" fillId="0" borderId="3" xfId="0" applyNumberFormat="1" applyFont="1" applyFill="1" applyBorder="1" applyAlignment="1" applyProtection="1">
      <alignment horizontal="center" vertical="center"/>
    </xf>
    <xf numFmtId="164" fontId="11" fillId="3" borderId="2" xfId="0" applyNumberFormat="1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166" fontId="12" fillId="0" borderId="0" xfId="0" applyNumberFormat="1" applyFont="1" applyFill="1" applyAlignment="1">
      <alignment vertical="center"/>
    </xf>
    <xf numFmtId="0" fontId="12" fillId="4" borderId="0" xfId="0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vertical="center"/>
    </xf>
    <xf numFmtId="164" fontId="12" fillId="4" borderId="0" xfId="0" applyNumberFormat="1" applyFont="1" applyFill="1" applyAlignment="1">
      <alignment vertical="center"/>
    </xf>
    <xf numFmtId="165" fontId="12" fillId="4" borderId="0" xfId="0" applyNumberFormat="1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0" fillId="4" borderId="0" xfId="0" applyFont="1" applyFill="1" applyAlignment="1">
      <alignment vertical="center"/>
    </xf>
    <xf numFmtId="1" fontId="5" fillId="2" borderId="0" xfId="0" applyNumberFormat="1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6" fillId="2" borderId="0" xfId="0" applyFont="1" applyFill="1" applyBorder="1" applyAlignment="1" applyProtection="1">
      <alignment horizontal="center" vertical="center" wrapText="1"/>
    </xf>
    <xf numFmtId="0" fontId="7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8" fillId="2" borderId="0" xfId="0" applyFont="1" applyFill="1" applyBorder="1" applyAlignment="1" applyProtection="1">
      <alignment horizontal="center" vertical="center" wrapText="1"/>
    </xf>
    <xf numFmtId="169" fontId="1" fillId="2" borderId="0" xfId="0" applyNumberFormat="1" applyFont="1" applyFill="1" applyBorder="1" applyAlignment="1" applyProtection="1">
      <alignment horizontal="center" vertical="center" wrapText="1"/>
    </xf>
    <xf numFmtId="0" fontId="9" fillId="2" borderId="0" xfId="0" applyFont="1" applyFill="1" applyBorder="1" applyAlignment="1" applyProtection="1">
      <alignment horizontal="center" vertical="center" wrapText="1"/>
    </xf>
    <xf numFmtId="0" fontId="1" fillId="4" borderId="0" xfId="0" applyFont="1" applyFill="1" applyBorder="1" applyAlignment="1" applyProtection="1">
      <alignment horizontal="center" vertical="center" wrapText="1"/>
    </xf>
    <xf numFmtId="1" fontId="5" fillId="0" borderId="0" xfId="0" applyNumberFormat="1" applyFont="1" applyFill="1" applyBorder="1" applyAlignment="1" applyProtection="1">
      <alignment horizontal="center" vertical="center"/>
    </xf>
    <xf numFmtId="167" fontId="7" fillId="0" borderId="0" xfId="0" applyNumberFormat="1" applyFont="1" applyFill="1" applyBorder="1" applyAlignment="1" applyProtection="1">
      <alignment vertical="center"/>
    </xf>
    <xf numFmtId="167" fontId="1" fillId="0" borderId="0" xfId="0" applyNumberFormat="1" applyFont="1" applyFill="1" applyBorder="1" applyAlignment="1" applyProtection="1">
      <alignment vertical="center"/>
    </xf>
    <xf numFmtId="169" fontId="1" fillId="0" borderId="0" xfId="0" applyNumberFormat="1" applyFont="1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165" fontId="5" fillId="0" borderId="0" xfId="0" applyNumberFormat="1" applyFont="1" applyFill="1" applyBorder="1" applyAlignment="1" applyProtection="1">
      <alignment vertical="center"/>
    </xf>
    <xf numFmtId="168" fontId="7" fillId="0" borderId="0" xfId="0" applyNumberFormat="1" applyFont="1" applyFill="1" applyBorder="1" applyAlignment="1" applyProtection="1">
      <alignment horizontal="left" vertical="center"/>
    </xf>
    <xf numFmtId="0" fontId="1" fillId="4" borderId="0" xfId="0" applyFont="1" applyFill="1" applyBorder="1"/>
    <xf numFmtId="165" fontId="1" fillId="4" borderId="0" xfId="0" applyNumberFormat="1" applyFont="1" applyFill="1" applyBorder="1" applyAlignment="1" applyProtection="1">
      <alignment vertical="center"/>
    </xf>
    <xf numFmtId="0" fontId="5" fillId="4" borderId="0" xfId="0" applyFont="1" applyFill="1" applyBorder="1" applyAlignment="1">
      <alignment vertical="center"/>
    </xf>
    <xf numFmtId="165" fontId="5" fillId="4" borderId="0" xfId="0" applyNumberFormat="1" applyFont="1" applyFill="1" applyBorder="1" applyAlignment="1" applyProtection="1">
      <alignment vertical="center"/>
    </xf>
    <xf numFmtId="165" fontId="6" fillId="4" borderId="0" xfId="0" applyNumberFormat="1" applyFont="1" applyFill="1" applyBorder="1" applyAlignment="1" applyProtection="1">
      <alignment vertical="center"/>
    </xf>
    <xf numFmtId="0" fontId="7" fillId="4" borderId="0" xfId="0" applyFont="1" applyFill="1" applyBorder="1" applyAlignment="1" applyProtection="1">
      <alignment vertical="center"/>
    </xf>
    <xf numFmtId="169" fontId="1" fillId="4" borderId="0" xfId="0" applyNumberFormat="1" applyFont="1" applyFill="1" applyBorder="1" applyAlignment="1" applyProtection="1">
      <alignment vertical="center"/>
    </xf>
    <xf numFmtId="164" fontId="12" fillId="4" borderId="0" xfId="0" applyNumberFormat="1" applyFont="1" applyFill="1" applyAlignment="1">
      <alignment horizontal="center" vertical="center"/>
    </xf>
    <xf numFmtId="0" fontId="11" fillId="4" borderId="0" xfId="0" applyFont="1" applyFill="1" applyBorder="1" applyAlignment="1">
      <alignment horizontal="center" vertical="center" wrapText="1"/>
    </xf>
    <xf numFmtId="1" fontId="7" fillId="0" borderId="0" xfId="0" applyNumberFormat="1" applyFont="1" applyFill="1" applyBorder="1" applyAlignment="1" applyProtection="1">
      <alignment horizontal="left" vertical="center"/>
    </xf>
    <xf numFmtId="1" fontId="7" fillId="2" borderId="0" xfId="0" applyNumberFormat="1" applyFont="1" applyFill="1" applyBorder="1" applyAlignment="1" applyProtection="1">
      <alignment horizontal="left" vertical="center" wrapText="1"/>
    </xf>
    <xf numFmtId="1" fontId="7" fillId="4" borderId="0" xfId="0" applyNumberFormat="1" applyFont="1" applyFill="1" applyBorder="1" applyAlignment="1" applyProtection="1">
      <alignment horizontal="right" vertical="center"/>
    </xf>
    <xf numFmtId="1" fontId="8" fillId="0" borderId="0" xfId="0" applyNumberFormat="1" applyFont="1" applyFill="1" applyBorder="1" applyAlignment="1" applyProtection="1">
      <alignment vertical="center"/>
    </xf>
    <xf numFmtId="0" fontId="13" fillId="5" borderId="4" xfId="0" applyFont="1" applyFill="1" applyBorder="1" applyAlignment="1">
      <alignment vertical="center" wrapText="1"/>
    </xf>
    <xf numFmtId="0" fontId="13" fillId="6" borderId="4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165" fontId="0" fillId="0" borderId="0" xfId="0" applyNumberFormat="1" applyAlignment="1">
      <alignment vertical="center"/>
    </xf>
    <xf numFmtId="0" fontId="15" fillId="6" borderId="0" xfId="0" applyFont="1" applyFill="1"/>
    <xf numFmtId="0" fontId="16" fillId="6" borderId="0" xfId="0" applyFont="1" applyFill="1"/>
    <xf numFmtId="0" fontId="16" fillId="5" borderId="0" xfId="0" applyFont="1" applyFill="1"/>
    <xf numFmtId="164" fontId="16" fillId="6" borderId="0" xfId="0" applyNumberFormat="1" applyFont="1" applyFill="1"/>
    <xf numFmtId="164" fontId="16" fillId="5" borderId="0" xfId="0" applyNumberFormat="1" applyFont="1" applyFill="1"/>
    <xf numFmtId="164" fontId="15" fillId="5" borderId="0" xfId="0" applyNumberFormat="1" applyFont="1" applyFill="1"/>
    <xf numFmtId="164" fontId="15" fillId="6" borderId="0" xfId="0" applyNumberFormat="1" applyFont="1" applyFill="1"/>
    <xf numFmtId="0" fontId="12" fillId="0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164" fontId="0" fillId="0" borderId="0" xfId="0" applyNumberFormat="1" applyAlignment="1">
      <alignment vertical="center"/>
    </xf>
    <xf numFmtId="165" fontId="12" fillId="0" borderId="0" xfId="0" applyNumberFormat="1" applyFont="1" applyFill="1" applyAlignment="1">
      <alignment vertical="center"/>
    </xf>
    <xf numFmtId="165" fontId="11" fillId="0" borderId="2" xfId="0" applyNumberFormat="1" applyFont="1" applyFill="1" applyBorder="1" applyAlignment="1">
      <alignment horizontal="center" vertical="center" wrapText="1"/>
    </xf>
    <xf numFmtId="165" fontId="12" fillId="4" borderId="0" xfId="0" applyNumberFormat="1" applyFont="1" applyFill="1" applyAlignment="1">
      <alignment vertical="center"/>
    </xf>
    <xf numFmtId="17" fontId="0" fillId="0" borderId="0" xfId="0" applyNumberFormat="1" applyAlignment="1">
      <alignment vertical="center"/>
    </xf>
    <xf numFmtId="0" fontId="3" fillId="8" borderId="4" xfId="0" applyFont="1" applyFill="1" applyBorder="1" applyAlignment="1">
      <alignment horizontal="left" vertical="center" wrapText="1"/>
    </xf>
    <xf numFmtId="165" fontId="0" fillId="0" borderId="0" xfId="0" applyNumberFormat="1" applyAlignment="1">
      <alignment horizontal="right" vertical="center"/>
    </xf>
    <xf numFmtId="0" fontId="5" fillId="0" borderId="0" xfId="0" applyNumberFormat="1" applyFont="1" applyFill="1" applyBorder="1" applyAlignment="1" applyProtection="1">
      <alignment vertical="center"/>
    </xf>
    <xf numFmtId="164" fontId="0" fillId="0" borderId="0" xfId="0" applyNumberFormat="1" applyAlignment="1">
      <alignment horizontal="right" vertical="center"/>
    </xf>
    <xf numFmtId="165" fontId="12" fillId="0" borderId="0" xfId="0" applyNumberFormat="1" applyFont="1" applyFill="1" applyAlignment="1">
      <alignment vertical="center" wrapText="1"/>
    </xf>
    <xf numFmtId="4" fontId="12" fillId="0" borderId="0" xfId="0" applyNumberFormat="1" applyFont="1" applyFill="1" applyAlignment="1">
      <alignment vertical="center"/>
    </xf>
    <xf numFmtId="14" fontId="0" fillId="0" borderId="0" xfId="0" applyNumberFormat="1" applyAlignment="1">
      <alignment vertical="center"/>
    </xf>
    <xf numFmtId="164" fontId="17" fillId="6" borderId="0" xfId="0" applyNumberFormat="1" applyFont="1" applyFill="1"/>
    <xf numFmtId="164" fontId="0" fillId="6" borderId="0" xfId="0" applyNumberFormat="1" applyFill="1"/>
    <xf numFmtId="168" fontId="12" fillId="0" borderId="0" xfId="0" applyNumberFormat="1" applyFont="1" applyFill="1" applyBorder="1" applyAlignment="1">
      <alignment vertical="center"/>
    </xf>
    <xf numFmtId="166" fontId="12" fillId="0" borderId="0" xfId="0" applyNumberFormat="1" applyFont="1" applyFill="1" applyBorder="1" applyAlignment="1">
      <alignment vertical="center"/>
    </xf>
    <xf numFmtId="165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164" fontId="12" fillId="4" borderId="0" xfId="0" applyNumberFormat="1" applyFont="1" applyFill="1" applyBorder="1" applyAlignment="1">
      <alignment horizontal="center" vertical="center"/>
    </xf>
    <xf numFmtId="166" fontId="12" fillId="0" borderId="0" xfId="0" applyNumberFormat="1" applyFont="1" applyAlignment="1">
      <alignment vertical="center"/>
    </xf>
    <xf numFmtId="16" fontId="0" fillId="0" borderId="0" xfId="0" applyNumberFormat="1"/>
    <xf numFmtId="170" fontId="0" fillId="0" borderId="0" xfId="0" applyNumberFormat="1"/>
    <xf numFmtId="0" fontId="0" fillId="9" borderId="0" xfId="0" applyFill="1"/>
    <xf numFmtId="0" fontId="5" fillId="9" borderId="0" xfId="0" applyNumberFormat="1" applyFont="1" applyFill="1" applyBorder="1" applyAlignment="1">
      <alignment vertical="center"/>
    </xf>
    <xf numFmtId="168" fontId="7" fillId="9" borderId="0" xfId="0" applyNumberFormat="1" applyFont="1" applyFill="1" applyBorder="1" applyAlignment="1">
      <alignment horizontal="left" vertical="center"/>
    </xf>
    <xf numFmtId="1" fontId="7" fillId="9" borderId="0" xfId="0" applyNumberFormat="1" applyFont="1" applyFill="1" applyBorder="1" applyAlignment="1">
      <alignment horizontal="left" vertical="center"/>
    </xf>
    <xf numFmtId="167" fontId="7" fillId="9" borderId="0" xfId="0" applyNumberFormat="1" applyFont="1" applyFill="1" applyBorder="1" applyAlignment="1">
      <alignment vertical="center"/>
    </xf>
    <xf numFmtId="167" fontId="1" fillId="9" borderId="0" xfId="0" applyNumberFormat="1" applyFont="1" applyFill="1" applyBorder="1" applyAlignment="1">
      <alignment vertical="center"/>
    </xf>
    <xf numFmtId="169" fontId="1" fillId="9" borderId="0" xfId="0" applyNumberFormat="1" applyFont="1" applyFill="1" applyBorder="1" applyAlignment="1">
      <alignment vertical="center"/>
    </xf>
    <xf numFmtId="0" fontId="6" fillId="10" borderId="6" xfId="0" applyFont="1" applyFill="1" applyBorder="1" applyAlignment="1">
      <alignment horizontal="center" vertical="center" wrapText="1"/>
    </xf>
    <xf numFmtId="0" fontId="7" fillId="10" borderId="6" xfId="0" applyFont="1" applyFill="1" applyBorder="1" applyAlignment="1">
      <alignment horizontal="center" vertical="center" wrapText="1"/>
    </xf>
    <xf numFmtId="1" fontId="7" fillId="10" borderId="6" xfId="0" applyNumberFormat="1" applyFont="1" applyFill="1" applyBorder="1" applyAlignment="1">
      <alignment horizontal="center" vertical="center" wrapText="1"/>
    </xf>
    <xf numFmtId="0" fontId="3" fillId="10" borderId="6" xfId="0" applyFont="1" applyFill="1" applyBorder="1" applyAlignment="1">
      <alignment horizontal="center" vertical="center" wrapText="1"/>
    </xf>
    <xf numFmtId="169" fontId="3" fillId="10" borderId="6" xfId="0" applyNumberFormat="1" applyFont="1" applyFill="1" applyBorder="1" applyAlignment="1">
      <alignment horizontal="center" vertical="center" wrapText="1"/>
    </xf>
    <xf numFmtId="0" fontId="20" fillId="10" borderId="0" xfId="0" applyFont="1" applyFill="1" applyAlignment="1">
      <alignment horizontal="center" vertical="center"/>
    </xf>
    <xf numFmtId="167" fontId="7" fillId="9" borderId="6" xfId="0" applyNumberFormat="1" applyFont="1" applyFill="1" applyBorder="1" applyAlignment="1">
      <alignment vertical="center"/>
    </xf>
    <xf numFmtId="0" fontId="20" fillId="9" borderId="0" xfId="0" applyFont="1" applyFill="1"/>
    <xf numFmtId="0" fontId="7" fillId="11" borderId="0" xfId="0" applyFont="1" applyFill="1" applyBorder="1" applyAlignment="1" applyProtection="1">
      <alignment horizontal="center" vertical="center" wrapText="1"/>
    </xf>
    <xf numFmtId="0" fontId="0" fillId="10" borderId="0" xfId="0" applyFill="1"/>
    <xf numFmtId="167" fontId="7" fillId="10" borderId="6" xfId="0" applyNumberFormat="1" applyFont="1" applyFill="1" applyBorder="1" applyAlignment="1">
      <alignment vertical="center"/>
    </xf>
    <xf numFmtId="171" fontId="6" fillId="4" borderId="0" xfId="0" applyNumberFormat="1" applyFont="1" applyFill="1" applyBorder="1" applyAlignment="1" applyProtection="1">
      <alignment vertical="center"/>
    </xf>
    <xf numFmtId="171" fontId="6" fillId="9" borderId="0" xfId="0" applyNumberFormat="1" applyFont="1" applyFill="1" applyBorder="1" applyAlignment="1">
      <alignment vertical="center"/>
    </xf>
    <xf numFmtId="0" fontId="22" fillId="0" borderId="0" xfId="0" applyNumberFormat="1" applyFont="1" applyFill="1" applyBorder="1" applyAlignment="1" applyProtection="1">
      <alignment vertical="center"/>
    </xf>
    <xf numFmtId="1" fontId="5" fillId="2" borderId="0" xfId="3" applyNumberFormat="1" applyFont="1" applyFill="1" applyBorder="1" applyAlignment="1" applyProtection="1">
      <alignment horizontal="center" vertical="center" wrapText="1"/>
    </xf>
    <xf numFmtId="1" fontId="7" fillId="0" borderId="0" xfId="0" applyNumberFormat="1" applyFont="1" applyFill="1" applyBorder="1" applyAlignment="1" applyProtection="1">
      <alignment horizontal="center" vertical="center"/>
    </xf>
    <xf numFmtId="1" fontId="1" fillId="4" borderId="0" xfId="0" applyNumberFormat="1" applyFont="1" applyFill="1" applyBorder="1" applyAlignment="1" applyProtection="1">
      <alignment horizontal="center" vertical="center"/>
    </xf>
    <xf numFmtId="1" fontId="5" fillId="2" borderId="0" xfId="0" applyNumberFormat="1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1" fontId="7" fillId="2" borderId="0" xfId="0" applyNumberFormat="1" applyFont="1" applyFill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8" fontId="1" fillId="4" borderId="0" xfId="0" applyNumberFormat="1" applyFont="1" applyFill="1" applyAlignment="1">
      <alignment horizontal="center" vertical="center" wrapText="1"/>
    </xf>
    <xf numFmtId="0" fontId="9" fillId="0" borderId="0" xfId="0" applyFont="1" applyAlignment="1">
      <alignment vertical="center"/>
    </xf>
    <xf numFmtId="1" fontId="8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68" fontId="6" fillId="4" borderId="0" xfId="0" applyNumberFormat="1" applyFont="1" applyFill="1" applyAlignment="1">
      <alignment vertical="center"/>
    </xf>
    <xf numFmtId="168" fontId="7" fillId="0" borderId="0" xfId="0" applyNumberFormat="1" applyFont="1" applyAlignment="1">
      <alignment horizontal="left" vertical="center"/>
    </xf>
    <xf numFmtId="168" fontId="6" fillId="0" borderId="0" xfId="0" applyNumberFormat="1" applyFont="1" applyAlignment="1">
      <alignment vertical="center"/>
    </xf>
    <xf numFmtId="1" fontId="7" fillId="0" borderId="0" xfId="0" applyNumberFormat="1" applyFont="1" applyAlignment="1">
      <alignment horizontal="left" vertical="center"/>
    </xf>
    <xf numFmtId="172" fontId="7" fillId="0" borderId="0" xfId="0" applyNumberFormat="1" applyFont="1" applyAlignment="1">
      <alignment vertical="center"/>
    </xf>
    <xf numFmtId="167" fontId="7" fillId="0" borderId="0" xfId="0" applyNumberFormat="1" applyFont="1" applyAlignment="1">
      <alignment vertical="center"/>
    </xf>
    <xf numFmtId="0" fontId="1" fillId="4" borderId="0" xfId="0" applyFont="1" applyFill="1"/>
    <xf numFmtId="0" fontId="1" fillId="4" borderId="0" xfId="0" applyFont="1" applyFill="1" applyAlignment="1">
      <alignment vertical="center"/>
    </xf>
    <xf numFmtId="8" fontId="1" fillId="4" borderId="0" xfId="0" applyNumberFormat="1" applyFont="1" applyFill="1" applyAlignment="1">
      <alignment vertical="center"/>
    </xf>
    <xf numFmtId="164" fontId="10" fillId="4" borderId="0" xfId="0" applyNumberFormat="1" applyFont="1" applyFill="1" applyAlignment="1">
      <alignment vertical="center"/>
    </xf>
    <xf numFmtId="168" fontId="11" fillId="0" borderId="0" xfId="0" applyNumberFormat="1" applyFont="1" applyAlignment="1">
      <alignment horizontal="left" vertical="center"/>
    </xf>
    <xf numFmtId="169" fontId="1" fillId="4" borderId="0" xfId="0" applyNumberFormat="1" applyFont="1" applyFill="1" applyAlignment="1">
      <alignment vertical="center"/>
    </xf>
    <xf numFmtId="8" fontId="5" fillId="4" borderId="0" xfId="0" applyNumberFormat="1" applyFont="1" applyFill="1" applyAlignment="1">
      <alignment vertical="center"/>
    </xf>
    <xf numFmtId="8" fontId="6" fillId="4" borderId="0" xfId="0" applyNumberFormat="1" applyFont="1" applyFill="1" applyAlignment="1">
      <alignment vertical="center"/>
    </xf>
    <xf numFmtId="1" fontId="7" fillId="4" borderId="0" xfId="0" applyNumberFormat="1" applyFont="1" applyFill="1" applyAlignment="1">
      <alignment horizontal="right" vertical="center"/>
    </xf>
    <xf numFmtId="17" fontId="0" fillId="0" borderId="5" xfId="0" applyNumberFormat="1" applyBorder="1" applyAlignment="1">
      <alignment vertical="center"/>
    </xf>
    <xf numFmtId="165" fontId="0" fillId="7" borderId="4" xfId="0" applyNumberFormat="1" applyFill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4" xfId="0" applyNumberFormat="1" applyBorder="1" applyAlignment="1">
      <alignment horizontal="right" vertical="center"/>
    </xf>
    <xf numFmtId="8" fontId="0" fillId="0" borderId="0" xfId="0" applyNumberFormat="1" applyAlignment="1">
      <alignment vertical="center"/>
    </xf>
    <xf numFmtId="168" fontId="7" fillId="0" borderId="0" xfId="0" applyNumberFormat="1" applyFont="1" applyFill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vertical="center"/>
    </xf>
    <xf numFmtId="6" fontId="0" fillId="0" borderId="0" xfId="0" applyNumberFormat="1"/>
    <xf numFmtId="1" fontId="0" fillId="4" borderId="0" xfId="0" applyNumberFormat="1" applyFont="1" applyFill="1" applyAlignment="1">
      <alignment vertical="center"/>
    </xf>
    <xf numFmtId="10" fontId="1" fillId="0" borderId="0" xfId="0" applyNumberFormat="1" applyFont="1" applyFill="1" applyBorder="1" applyAlignment="1" applyProtection="1">
      <alignment vertical="center"/>
    </xf>
    <xf numFmtId="10" fontId="7" fillId="4" borderId="0" xfId="0" applyNumberFormat="1" applyFont="1" applyFill="1" applyBorder="1" applyAlignment="1" applyProtection="1">
      <alignment vertical="center"/>
    </xf>
    <xf numFmtId="169" fontId="0" fillId="0" borderId="0" xfId="0" applyNumberFormat="1"/>
    <xf numFmtId="169" fontId="0" fillId="12" borderId="0" xfId="0" applyNumberFormat="1" applyFill="1"/>
    <xf numFmtId="0" fontId="0" fillId="12" borderId="0" xfId="0" applyFill="1"/>
    <xf numFmtId="6" fontId="0" fillId="12" borderId="0" xfId="0" applyNumberFormat="1" applyFill="1"/>
    <xf numFmtId="1" fontId="20" fillId="12" borderId="0" xfId="0" applyNumberFormat="1" applyFont="1" applyFill="1"/>
    <xf numFmtId="169" fontId="20" fillId="12" borderId="0" xfId="0" applyNumberFormat="1" applyFont="1" applyFill="1"/>
    <xf numFmtId="1" fontId="20" fillId="0" borderId="0" xfId="0" applyNumberFormat="1" applyFont="1"/>
    <xf numFmtId="1" fontId="7" fillId="12" borderId="0" xfId="0" applyNumberFormat="1" applyFont="1" applyFill="1" applyBorder="1" applyAlignment="1" applyProtection="1">
      <alignment horizontal="right" vertical="center" wrapText="1"/>
    </xf>
    <xf numFmtId="1" fontId="7" fillId="12" borderId="0" xfId="0" applyNumberFormat="1" applyFont="1" applyFill="1" applyBorder="1" applyAlignment="1" applyProtection="1">
      <alignment horizontal="center" vertical="center" wrapText="1"/>
    </xf>
    <xf numFmtId="6" fontId="7" fillId="12" borderId="0" xfId="0" applyNumberFormat="1" applyFont="1" applyFill="1" applyBorder="1" applyAlignment="1" applyProtection="1">
      <alignment horizontal="center" vertical="center" wrapText="1"/>
    </xf>
    <xf numFmtId="169" fontId="7" fillId="12" borderId="0" xfId="0" applyNumberFormat="1" applyFont="1" applyFill="1" applyBorder="1" applyAlignment="1" applyProtection="1">
      <alignment horizontal="center" vertical="center" wrapText="1"/>
    </xf>
    <xf numFmtId="1" fontId="7" fillId="12" borderId="0" xfId="0" applyNumberFormat="1" applyFont="1" applyFill="1" applyBorder="1" applyAlignment="1" applyProtection="1">
      <alignment horizontal="right" vertical="center"/>
    </xf>
    <xf numFmtId="1" fontId="7" fillId="12" borderId="0" xfId="0" applyNumberFormat="1" applyFont="1" applyFill="1" applyBorder="1" applyAlignment="1" applyProtection="1">
      <alignment vertical="center"/>
    </xf>
    <xf numFmtId="6" fontId="7" fillId="12" borderId="0" xfId="0" applyNumberFormat="1" applyFont="1" applyFill="1" applyBorder="1" applyAlignment="1" applyProtection="1">
      <alignment vertical="center"/>
    </xf>
    <xf numFmtId="169" fontId="7" fillId="12" borderId="0" xfId="0" applyNumberFormat="1" applyFont="1" applyFill="1" applyBorder="1" applyAlignment="1" applyProtection="1">
      <alignment vertical="center"/>
    </xf>
    <xf numFmtId="1" fontId="1" fillId="12" borderId="0" xfId="0" applyNumberFormat="1" applyFont="1" applyFill="1" applyBorder="1" applyAlignment="1" applyProtection="1">
      <alignment horizontal="right" vertical="center"/>
    </xf>
    <xf numFmtId="1" fontId="1" fillId="12" borderId="0" xfId="0" applyNumberFormat="1" applyFont="1" applyFill="1" applyBorder="1" applyAlignment="1" applyProtection="1">
      <alignment vertical="center"/>
    </xf>
    <xf numFmtId="6" fontId="1" fillId="12" borderId="0" xfId="0" applyNumberFormat="1" applyFont="1" applyFill="1" applyBorder="1" applyAlignment="1" applyProtection="1">
      <alignment vertical="center"/>
    </xf>
    <xf numFmtId="169" fontId="1" fillId="12" borderId="0" xfId="0" applyNumberFormat="1" applyFont="1" applyFill="1" applyBorder="1" applyAlignment="1" applyProtection="1">
      <alignment vertical="center"/>
    </xf>
    <xf numFmtId="168" fontId="23" fillId="0" borderId="0" xfId="0" applyNumberFormat="1" applyFont="1" applyFill="1" applyAlignment="1" applyProtection="1">
      <alignment horizontal="left" vertical="center"/>
    </xf>
    <xf numFmtId="0" fontId="0" fillId="0" borderId="0" xfId="0" applyFont="1" applyFill="1" applyAlignment="1">
      <alignment vertical="center" wrapText="1"/>
    </xf>
    <xf numFmtId="1" fontId="0" fillId="0" borderId="0" xfId="0" applyNumberFormat="1" applyFont="1" applyFill="1" applyAlignment="1">
      <alignment vertical="center" wrapText="1"/>
    </xf>
    <xf numFmtId="0" fontId="0" fillId="0" borderId="0" xfId="0" applyFont="1" applyFill="1" applyAlignment="1">
      <alignment vertical="center"/>
    </xf>
    <xf numFmtId="0" fontId="20" fillId="0" borderId="0" xfId="0" applyFont="1" applyFill="1" applyAlignment="1">
      <alignment vertical="center" wrapText="1"/>
    </xf>
    <xf numFmtId="0" fontId="0" fillId="4" borderId="0" xfId="0" applyFont="1" applyFill="1" applyAlignment="1">
      <alignment vertical="center" wrapText="1"/>
    </xf>
    <xf numFmtId="0" fontId="0" fillId="0" borderId="0" xfId="0" applyFont="1" applyFill="1" applyAlignment="1">
      <alignment horizontal="center" vertical="center"/>
    </xf>
    <xf numFmtId="169" fontId="0" fillId="0" borderId="0" xfId="0" applyNumberFormat="1" applyFont="1" applyFill="1" applyAlignment="1">
      <alignment vertical="center"/>
    </xf>
    <xf numFmtId="1" fontId="0" fillId="0" borderId="0" xfId="0" applyNumberFormat="1" applyFont="1" applyFill="1" applyAlignment="1">
      <alignment vertical="center"/>
    </xf>
    <xf numFmtId="0" fontId="0" fillId="0" borderId="0" xfId="0" applyFont="1" applyFill="1"/>
    <xf numFmtId="0" fontId="24" fillId="0" borderId="0" xfId="1" applyFont="1" applyFill="1" applyAlignment="1">
      <alignment vertical="center"/>
    </xf>
    <xf numFmtId="10" fontId="1" fillId="9" borderId="0" xfId="0" applyNumberFormat="1" applyFont="1" applyFill="1" applyBorder="1" applyAlignment="1">
      <alignment vertical="center"/>
    </xf>
    <xf numFmtId="166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12" fillId="0" borderId="0" xfId="0" applyFont="1" applyFill="1" applyAlignment="1">
      <alignment horizontal="left" vertical="center"/>
    </xf>
    <xf numFmtId="6" fontId="0" fillId="0" borderId="0" xfId="0" applyNumberFormat="1" applyAlignment="1">
      <alignment vertical="center"/>
    </xf>
    <xf numFmtId="17" fontId="0" fillId="0" borderId="0" xfId="0" applyNumberFormat="1" applyAlignment="1">
      <alignment vertical="center"/>
    </xf>
    <xf numFmtId="0" fontId="25" fillId="0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Alignment="1" applyProtection="1">
      <alignment horizontal="center" vertical="center"/>
    </xf>
    <xf numFmtId="0" fontId="25" fillId="0" borderId="0" xfId="0" applyNumberFormat="1" applyFont="1" applyFill="1" applyAlignment="1" applyProtection="1">
      <alignment vertical="center"/>
    </xf>
    <xf numFmtId="1" fontId="26" fillId="12" borderId="0" xfId="0" applyNumberFormat="1" applyFont="1" applyFill="1" applyAlignment="1" applyProtection="1">
      <alignment horizontal="right" vertical="center"/>
    </xf>
    <xf numFmtId="1" fontId="26" fillId="12" borderId="0" xfId="0" applyNumberFormat="1" applyFont="1" applyFill="1" applyAlignment="1" applyProtection="1">
      <alignment vertical="center"/>
    </xf>
    <xf numFmtId="6" fontId="26" fillId="12" borderId="0" xfId="0" applyNumberFormat="1" applyFont="1" applyFill="1" applyBorder="1" applyAlignment="1" applyProtection="1">
      <alignment vertical="center"/>
    </xf>
    <xf numFmtId="169" fontId="26" fillId="12" borderId="0" xfId="0" applyNumberFormat="1" applyFont="1" applyFill="1" applyBorder="1" applyAlignment="1" applyProtection="1">
      <alignment vertical="center"/>
    </xf>
    <xf numFmtId="8" fontId="0" fillId="0" borderId="0" xfId="0" applyNumberFormat="1"/>
    <xf numFmtId="0" fontId="27" fillId="0" borderId="0" xfId="0" applyNumberFormat="1" applyFont="1" applyFill="1" applyAlignment="1" applyProtection="1">
      <alignment vertical="center"/>
    </xf>
    <xf numFmtId="6" fontId="26" fillId="12" borderId="0" xfId="0" applyNumberFormat="1" applyFont="1" applyFill="1" applyAlignment="1" applyProtection="1">
      <alignment vertical="center"/>
    </xf>
    <xf numFmtId="167" fontId="3" fillId="9" borderId="0" xfId="0" applyNumberFormat="1" applyFont="1" applyFill="1" applyBorder="1" applyAlignment="1">
      <alignment vertical="center"/>
    </xf>
    <xf numFmtId="0" fontId="18" fillId="0" borderId="0" xfId="1" applyFill="1" applyAlignment="1">
      <alignment vertical="center"/>
    </xf>
    <xf numFmtId="0" fontId="28" fillId="0" borderId="0" xfId="0" applyNumberFormat="1" applyFont="1" applyFill="1" applyBorder="1" applyAlignment="1" applyProtection="1">
      <alignment vertical="center"/>
    </xf>
    <xf numFmtId="0" fontId="29" fillId="0" borderId="0" xfId="0" applyNumberFormat="1" applyFont="1" applyFill="1" applyAlignment="1" applyProtection="1">
      <alignment vertical="center"/>
    </xf>
    <xf numFmtId="168" fontId="6" fillId="4" borderId="0" xfId="0" applyNumberFormat="1" applyFont="1" applyFill="1" applyAlignment="1" applyProtection="1">
      <alignment vertical="center"/>
    </xf>
    <xf numFmtId="0" fontId="28" fillId="0" borderId="0" xfId="0" applyNumberFormat="1" applyFont="1" applyFill="1" applyAlignment="1" applyProtection="1">
      <alignment vertical="center"/>
    </xf>
    <xf numFmtId="1" fontId="8" fillId="0" borderId="0" xfId="0" applyNumberFormat="1" applyFont="1" applyFill="1" applyAlignment="1" applyProtection="1">
      <alignment vertical="center"/>
    </xf>
    <xf numFmtId="0" fontId="5" fillId="0" borderId="0" xfId="0" applyNumberFormat="1" applyFont="1" applyFill="1" applyAlignment="1" applyProtection="1">
      <alignment vertical="center"/>
    </xf>
    <xf numFmtId="168" fontId="6" fillId="0" borderId="0" xfId="0" applyNumberFormat="1" applyFont="1" applyFill="1" applyAlignment="1" applyProtection="1">
      <alignment vertical="center"/>
    </xf>
    <xf numFmtId="1" fontId="7" fillId="0" borderId="0" xfId="0" applyNumberFormat="1" applyFont="1" applyFill="1" applyAlignment="1" applyProtection="1">
      <alignment horizontal="left" vertical="center"/>
    </xf>
    <xf numFmtId="172" fontId="7" fillId="0" borderId="0" xfId="0" applyNumberFormat="1" applyFont="1" applyFill="1" applyAlignment="1" applyProtection="1">
      <alignment vertical="center"/>
    </xf>
    <xf numFmtId="167" fontId="7" fillId="0" borderId="0" xfId="0" applyNumberFormat="1" applyFont="1" applyFill="1" applyAlignment="1" applyProtection="1">
      <alignment vertical="center"/>
    </xf>
    <xf numFmtId="171" fontId="6" fillId="4" borderId="0" xfId="0" applyNumberFormat="1" applyFont="1" applyFill="1" applyAlignment="1" applyProtection="1">
      <alignment vertical="center"/>
    </xf>
    <xf numFmtId="168" fontId="12" fillId="0" borderId="0" xfId="0" applyNumberFormat="1" applyFont="1" applyFill="1" applyAlignment="1">
      <alignment horizontal="center" vertical="center" readingOrder="1"/>
    </xf>
    <xf numFmtId="0" fontId="10" fillId="0" borderId="0" xfId="0" applyNumberFormat="1" applyFont="1" applyFill="1" applyAlignment="1" applyProtection="1">
      <alignment vertical="center"/>
    </xf>
    <xf numFmtId="167" fontId="0" fillId="0" borderId="0" xfId="0" applyNumberFormat="1"/>
    <xf numFmtId="167" fontId="7" fillId="11" borderId="6" xfId="0" applyNumberFormat="1" applyFont="1" applyFill="1" applyBorder="1" applyAlignment="1">
      <alignment vertical="center"/>
    </xf>
    <xf numFmtId="0" fontId="30" fillId="0" borderId="0" xfId="0" applyNumberFormat="1" applyFont="1" applyFill="1" applyBorder="1" applyAlignment="1" applyProtection="1">
      <alignment vertical="center"/>
    </xf>
    <xf numFmtId="0" fontId="31" fillId="0" borderId="0" xfId="0" applyNumberFormat="1" applyFont="1" applyFill="1" applyAlignment="1" applyProtection="1">
      <alignment vertical="center"/>
    </xf>
    <xf numFmtId="0" fontId="30" fillId="0" borderId="0" xfId="0" applyNumberFormat="1" applyFont="1" applyFill="1" applyAlignment="1" applyProtection="1">
      <alignment vertical="center"/>
    </xf>
    <xf numFmtId="168" fontId="6" fillId="0" borderId="0" xfId="0" applyNumberFormat="1" applyFont="1" applyFill="1" applyBorder="1" applyAlignment="1" applyProtection="1">
      <alignment vertical="center"/>
    </xf>
    <xf numFmtId="172" fontId="7" fillId="0" borderId="0" xfId="0" applyNumberFormat="1" applyFont="1" applyFill="1" applyBorder="1" applyAlignment="1" applyProtection="1">
      <alignment vertical="center"/>
    </xf>
  </cellXfs>
  <cellStyles count="4">
    <cellStyle name="Hipervínculo" xfId="1" builtinId="8"/>
    <cellStyle name="Moneda" xfId="3" builtinId="4"/>
    <cellStyle name="Normal" xfId="0" builtinId="0"/>
    <cellStyle name="Normal 2" xfId="2" xr:uid="{B02E93D6-0E93-4B55-B3EA-813C71BAF781}"/>
  </cellStyles>
  <dxfs count="241"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69" formatCode="0.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0" formatCode="&quot;$&quot;\ #,##0;[Red]\-&quot;$&quot;\ #,##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2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1" formatCode="mm/dd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m/d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1" formatCode="mm/dd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numFmt numFmtId="12" formatCode="&quot;$&quot;\ #,##0.00;[Red]\-&quot;$&quot;\ #,##0.00"/>
    </dxf>
    <dxf>
      <numFmt numFmtId="12" formatCode="&quot;$&quot;\ #,##0.00;[Red]\-&quot;$&quot;\ #,##0.00"/>
    </dxf>
    <dxf>
      <numFmt numFmtId="12" formatCode="&quot;$&quot;\ #,##0.00;[Red]\-&quot;$&quot;\ #,##0.00"/>
    </dxf>
    <dxf>
      <numFmt numFmtId="12" formatCode="&quot;$&quot;\ #,##0.00;[Red]\-&quot;$&quot;\ #,##0.00"/>
    </dxf>
    <dxf>
      <numFmt numFmtId="10" formatCode="&quot;$&quot;\ #,##0;[Red]\-&quot;$&quot;\ #,##0"/>
      <alignment horizontal="general" vertical="center" textRotation="0" wrapText="0" indent="0" justifyLastLine="0" shrinkToFit="0" readingOrder="0"/>
    </dxf>
    <dxf>
      <numFmt numFmtId="10" formatCode="&quot;$&quot;\ #,##0;[Red]\-&quot;$&quot;\ #,##0"/>
      <alignment horizontal="general" vertical="center" textRotation="0" wrapText="0" indent="0" justifyLastLine="0" shrinkToFit="0" readingOrder="0"/>
    </dxf>
    <dxf>
      <numFmt numFmtId="10" formatCode="&quot;$&quot;\ #,##0;[Red]\-&quot;$&quot;\ #,##0"/>
      <alignment horizontal="general" vertical="center" textRotation="0" wrapText="0" indent="0" justifyLastLine="0" shrinkToFit="0" readingOrder="0"/>
    </dxf>
    <dxf>
      <numFmt numFmtId="10" formatCode="&quot;$&quot;\ #,##0;[Red]\-&quot;$&quot;\ #,##0"/>
      <alignment horizontal="general" vertical="center" textRotation="0" wrapText="0" indent="0" justifyLastLine="0" shrinkToFit="0" readingOrder="0"/>
    </dxf>
    <dxf>
      <numFmt numFmtId="10" formatCode="&quot;$&quot;\ #,##0;[Red]\-&quot;$&quot;\ #,##0"/>
      <alignment horizontal="general" vertical="center" textRotation="0" wrapText="0" indent="0" justifyLastLine="0" shrinkToFit="0" readingOrder="0"/>
    </dxf>
    <dxf>
      <numFmt numFmtId="10" formatCode="&quot;$&quot;\ #,##0;[Red]\-&quot;$&quot;\ #,##0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_);[Red]\(&quot;$&quot;#,##0\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_);[Red]\(&quot;$&quot;#,##0\)"/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m/d/yyyy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fgColor theme="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&quot;$&quot;#,##0.0;[Red]\-&quot;$&quot;#,##0.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8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m/d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8" formatCode="m/d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numFmt numFmtId="169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numFmt numFmtId="169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8" formatCode="m/d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color theme="1" tint="0.34998626667073579"/>
      </font>
      <fill>
        <patternFill>
          <bgColor theme="0" tint="-0.14996795556505021"/>
        </patternFill>
      </fill>
    </dxf>
  </dxfs>
  <tableStyles count="1" defaultTableStyle="TableStyleMedium2" defaultPivotStyle="PivotStyleLight16">
    <tableStyle name="Estilo de tabla 1" pivot="0" count="1" xr9:uid="{50409F57-F246-4994-A2D7-E93D33FC964C}">
      <tableStyleElement type="wholeTable" dxfId="240"/>
    </tableStyle>
  </tableStyles>
  <colors>
    <mruColors>
      <color rgb="FFE5E3E3"/>
      <color rgb="FFD8CFE3"/>
      <color rgb="FFAB6D6D"/>
      <color rgb="FF6F3505"/>
      <color rgb="FF500000"/>
      <color rgb="FF757171"/>
      <color rgb="FF860000"/>
      <color rgb="FF4D3A64"/>
      <color rgb="FF94D61E"/>
      <color rgb="FFD6CD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4</xdr:row>
      <xdr:rowOff>95250</xdr:rowOff>
    </xdr:from>
    <xdr:to>
      <xdr:col>11</xdr:col>
      <xdr:colOff>714376</xdr:colOff>
      <xdr:row>20</xdr:row>
      <xdr:rowOff>180975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7CFC031-21B1-46E6-ACD9-C3E27780F7E9}"/>
            </a:ext>
          </a:extLst>
        </xdr:cNvPr>
        <xdr:cNvGrpSpPr/>
      </xdr:nvGrpSpPr>
      <xdr:grpSpPr>
        <a:xfrm>
          <a:off x="4210050" y="785813"/>
          <a:ext cx="4886326" cy="3133725"/>
          <a:chOff x="4210050" y="771525"/>
          <a:chExt cx="4886326" cy="3133725"/>
        </a:xfrm>
      </xdr:grpSpPr>
      <xdr:sp macro="" textlink="">
        <xdr:nvSpPr>
          <xdr:cNvPr id="2" name="1 Rectángulo">
            <a:extLst>
              <a:ext uri="{FF2B5EF4-FFF2-40B4-BE49-F238E27FC236}">
                <a16:creationId xmlns:a16="http://schemas.microsoft.com/office/drawing/2014/main" id="{8AB6CF04-BE27-4755-9F12-EE6CFF60E90E}"/>
              </a:ext>
            </a:extLst>
          </xdr:cNvPr>
          <xdr:cNvSpPr/>
        </xdr:nvSpPr>
        <xdr:spPr>
          <a:xfrm>
            <a:off x="4210050" y="771525"/>
            <a:ext cx="4886326" cy="3133725"/>
          </a:xfrm>
          <a:prstGeom prst="rect">
            <a:avLst/>
          </a:prstGeom>
          <a:solidFill>
            <a:srgbClr val="E5E3E3"/>
          </a:solidFill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[0]!FORMULARIO" textlink="">
        <xdr:nvSpPr>
          <xdr:cNvPr id="3" name="2 CuadroTexto">
            <a:extLst>
              <a:ext uri="{FF2B5EF4-FFF2-40B4-BE49-F238E27FC236}">
                <a16:creationId xmlns:a16="http://schemas.microsoft.com/office/drawing/2014/main" id="{A5D548A5-0B0B-4C6E-96DF-204E06A43C0F}"/>
              </a:ext>
            </a:extLst>
          </xdr:cNvPr>
          <xdr:cNvSpPr txBox="1"/>
        </xdr:nvSpPr>
        <xdr:spPr>
          <a:xfrm>
            <a:off x="5266135" y="1800226"/>
            <a:ext cx="2801540" cy="1009650"/>
          </a:xfrm>
          <a:prstGeom prst="bevel">
            <a:avLst>
              <a:gd name="adj" fmla="val 5896"/>
            </a:avLst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600" b="1">
                <a:solidFill>
                  <a:sysClr val="windowText" lastClr="000000"/>
                </a:solidFill>
              </a:rPr>
              <a:t>MENÚ</a:t>
            </a:r>
            <a:r>
              <a:rPr lang="es-ES" sz="1600" b="1" baseline="0">
                <a:solidFill>
                  <a:sysClr val="windowText" lastClr="000000"/>
                </a:solidFill>
              </a:rPr>
              <a:t> DE TAREAS</a:t>
            </a:r>
            <a:endParaRPr lang="es-ES" sz="1600" b="1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stella\trabajo_estella\trabajo%20bancolombia\progr_ext_v7_210313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cursos_ext"/>
      <sheetName val="logistica"/>
      <sheetName val="becarios"/>
      <sheetName val="vicep"/>
      <sheetName val="vicep ppto"/>
      <sheetName val="info ejec"/>
      <sheetName val="informes"/>
      <sheetName val="info_f"/>
      <sheetName val="infoxvicep"/>
      <sheetName val="tablas"/>
      <sheetName val="info ejec Det"/>
      <sheetName val="PLANTA 2 Q FEBRERO 2013"/>
      <sheetName val="ppt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B2" t="str">
            <v>ADMINISTRACION DE ACTIVOS</v>
          </cell>
        </row>
        <row r="3">
          <cell r="B3" t="str">
            <v>APRENDIZ  BOGOTA</v>
          </cell>
        </row>
        <row r="4">
          <cell r="B4" t="str">
            <v>APRENDIZ  SUR</v>
          </cell>
        </row>
        <row r="5">
          <cell r="B5" t="str">
            <v>APRENDIZ ANTIOQUIA</v>
          </cell>
        </row>
        <row r="6">
          <cell r="B6" t="str">
            <v>APRENDIZ CARIBE</v>
          </cell>
        </row>
        <row r="7">
          <cell r="B7" t="str">
            <v>APRENDIZ CENTRO</v>
          </cell>
        </row>
        <row r="8">
          <cell r="B8" t="str">
            <v>APRENDIZ DIRECCION GENERAL</v>
          </cell>
        </row>
        <row r="9">
          <cell r="B9" t="str">
            <v>AREA  REQUERIMIENTOS CAPTACIONES  Y COL</v>
          </cell>
        </row>
        <row r="10">
          <cell r="B10" t="str">
            <v>AREA  REQUERIMIENTOS DE TARJETAS</v>
          </cell>
        </row>
        <row r="11">
          <cell r="B11" t="str">
            <v>AREA APOYO GESTION DE RO Y CONTINUIDAD</v>
          </cell>
        </row>
        <row r="12">
          <cell r="B12" t="str">
            <v>AREA JURIDICA DISTRIBUCION Y VENTAS</v>
          </cell>
        </row>
        <row r="13">
          <cell r="B13" t="str">
            <v>AREA MERCADO CAMBIARIO</v>
          </cell>
        </row>
        <row r="14">
          <cell r="B14" t="str">
            <v>AREA NOVEDADES GESTION HUMANA</v>
          </cell>
        </row>
        <row r="15">
          <cell r="B15" t="str">
            <v>AREA PROCESAMIENTO PGC</v>
          </cell>
        </row>
        <row r="16">
          <cell r="B16" t="str">
            <v>AREA REQ LINES DE NEG Y PROC DE APOYO</v>
          </cell>
        </row>
        <row r="17">
          <cell r="B17" t="str">
            <v>AREA REQUERIMIENTOS ENTES DE CONTROL</v>
          </cell>
        </row>
        <row r="18">
          <cell r="B18" t="str">
            <v>AREA REVISION S</v>
          </cell>
        </row>
        <row r="19">
          <cell r="B19" t="str">
            <v>AREA SERV INFORMACION APOYO AL NEGOCIO</v>
          </cell>
        </row>
        <row r="20">
          <cell r="B20" t="str">
            <v>AREA SERV TARJETAHABIENTES DEBITO CRED</v>
          </cell>
        </row>
        <row r="21">
          <cell r="B21" t="str">
            <v>AREA SERV TARJETAHABIENTES PERSONAL</v>
          </cell>
        </row>
        <row r="22">
          <cell r="B22" t="str">
            <v>AREA SERVICIOS CHEQUES Y AFC</v>
          </cell>
        </row>
        <row r="23">
          <cell r="B23" t="str">
            <v>AREA SERVICIOS DE PAGOS</v>
          </cell>
        </row>
        <row r="24">
          <cell r="B24" t="str">
            <v>ARQUITECTURA APLICATIVA Y TECNICA</v>
          </cell>
        </row>
        <row r="25">
          <cell r="B25" t="str">
            <v>ASESORIA MONEDA EXTRANJERA BE ANTIOQUIA</v>
          </cell>
        </row>
        <row r="26">
          <cell r="B26" t="str">
            <v>ASESORIA MONEDA EXTRANJERA BE BOGOTA</v>
          </cell>
        </row>
        <row r="27">
          <cell r="B27" t="str">
            <v>ASESORIA MONEDA EXTRANJERA BE CARIBE</v>
          </cell>
        </row>
        <row r="28">
          <cell r="B28" t="str">
            <v>ASESORIA MONEDA EXTRANJERA BE SUR</v>
          </cell>
        </row>
        <row r="29">
          <cell r="B29" t="str">
            <v>BANCA DE INVERSION</v>
          </cell>
        </row>
        <row r="30">
          <cell r="B30" t="str">
            <v>BANCA ESPECIALIZADA BUCARAMANGA DS</v>
          </cell>
        </row>
        <row r="31">
          <cell r="B31" t="str">
            <v>BANCOLOMBIA PANAMA BOGOTA</v>
          </cell>
        </row>
        <row r="32">
          <cell r="B32" t="str">
            <v>BECARIOS</v>
          </cell>
        </row>
        <row r="33">
          <cell r="B33" t="str">
            <v>CALIDAD DE VIDA BOGOTA</v>
          </cell>
        </row>
        <row r="34">
          <cell r="B34" t="str">
            <v>CALIDAD DE VIDA CARIBE</v>
          </cell>
        </row>
        <row r="35">
          <cell r="B35" t="str">
            <v>CALIDAD DE VIDA CENTRO</v>
          </cell>
        </row>
        <row r="36">
          <cell r="B36" t="str">
            <v>CELUAL CANAL SURA BOG YCENTRO</v>
          </cell>
        </row>
        <row r="37">
          <cell r="B37" t="str">
            <v>CELULA  2</v>
          </cell>
        </row>
        <row r="38">
          <cell r="B38" t="str">
            <v>CELULA  3</v>
          </cell>
        </row>
        <row r="39">
          <cell r="B39" t="str">
            <v>CELULA  4</v>
          </cell>
        </row>
        <row r="40">
          <cell r="B40" t="str">
            <v>CELULA  6</v>
          </cell>
        </row>
        <row r="41">
          <cell r="B41" t="str">
            <v>CELULA  ANTIOQUIA</v>
          </cell>
        </row>
        <row r="42">
          <cell r="B42" t="str">
            <v>CELULA  BOGOTA Y CARIBE</v>
          </cell>
        </row>
        <row r="43">
          <cell r="B43" t="str">
            <v>CELULA  BPO</v>
          </cell>
        </row>
        <row r="44">
          <cell r="B44" t="str">
            <v>CELULA  BPO 7</v>
          </cell>
        </row>
        <row r="45">
          <cell r="B45" t="str">
            <v>CELULA  CENTRO Y SUR</v>
          </cell>
        </row>
        <row r="46">
          <cell r="B46" t="str">
            <v>CELULA  EMPRENDEDOR BOGOTA</v>
          </cell>
        </row>
        <row r="47">
          <cell r="B47" t="str">
            <v>CELULA  LEGALIZACION ZONA SUR</v>
          </cell>
        </row>
        <row r="48">
          <cell r="B48" t="str">
            <v>CELULA  MASIVOS</v>
          </cell>
        </row>
        <row r="49">
          <cell r="B49" t="str">
            <v>CELULA  PROCESOS MASIVOS</v>
          </cell>
        </row>
        <row r="50">
          <cell r="B50" t="str">
            <v>CELULA  SUCURSAL 6</v>
          </cell>
        </row>
        <row r="51">
          <cell r="B51" t="str">
            <v>CELULA  SUCURSAL 7</v>
          </cell>
        </row>
        <row r="52">
          <cell r="B52" t="str">
            <v>CELULA  SUCURSAL 8</v>
          </cell>
        </row>
        <row r="53">
          <cell r="B53" t="str">
            <v>CELULA  SUCURSAL 9</v>
          </cell>
        </row>
        <row r="54">
          <cell r="B54" t="str">
            <v>CELULA  VN  3</v>
          </cell>
        </row>
        <row r="55">
          <cell r="B55" t="str">
            <v>CELULA  VN 2</v>
          </cell>
        </row>
        <row r="56">
          <cell r="B56" t="str">
            <v>CELULA  VN 4</v>
          </cell>
        </row>
        <row r="57">
          <cell r="B57" t="str">
            <v>CELULA 1</v>
          </cell>
        </row>
        <row r="58">
          <cell r="B58" t="str">
            <v>CELULA 5</v>
          </cell>
        </row>
        <row r="59">
          <cell r="B59" t="str">
            <v>CELULA BOGOTA</v>
          </cell>
        </row>
        <row r="60">
          <cell r="B60" t="str">
            <v>CELULA CALI CENTRO</v>
          </cell>
        </row>
        <row r="61">
          <cell r="B61" t="str">
            <v>CELULA CALI Y CENTRO</v>
          </cell>
        </row>
        <row r="62">
          <cell r="B62" t="str">
            <v>CELULA CANAL SURA BOG Y CENTRO</v>
          </cell>
        </row>
        <row r="63">
          <cell r="B63" t="str">
            <v>CELULA CANAL SURA BOG YCENTRO</v>
          </cell>
        </row>
        <row r="64">
          <cell r="B64" t="str">
            <v>CELULA CARIBE</v>
          </cell>
        </row>
        <row r="65">
          <cell r="B65" t="str">
            <v>CELULA COMERCIAL</v>
          </cell>
        </row>
        <row r="66">
          <cell r="B66" t="str">
            <v>CELULA CRI  BOG Y CENTRO</v>
          </cell>
        </row>
        <row r="67">
          <cell r="B67" t="str">
            <v>CELULA CRI  BOG YCENTRO</v>
          </cell>
        </row>
        <row r="68">
          <cell r="B68" t="str">
            <v>CELULA CRI CENTRO BOG YCENTRO</v>
          </cell>
        </row>
        <row r="69">
          <cell r="B69" t="str">
            <v>CELULA EJE CAFETERO SUR</v>
          </cell>
        </row>
        <row r="70">
          <cell r="B70" t="str">
            <v>CELULA EMPLEADOS 10</v>
          </cell>
        </row>
        <row r="71">
          <cell r="B71" t="str">
            <v>CELULA EMPRENDEDOR ANTIOQUIA</v>
          </cell>
        </row>
        <row r="72">
          <cell r="B72" t="str">
            <v>CELULA EMPRENDEDOR CARIBE</v>
          </cell>
        </row>
        <row r="73">
          <cell r="B73" t="str">
            <v>CELULA EMPRENDEDOR CENTRO 1</v>
          </cell>
        </row>
        <row r="74">
          <cell r="B74" t="str">
            <v>CELULA EMPRENDEDOR CENTRO 2</v>
          </cell>
        </row>
        <row r="75">
          <cell r="B75" t="str">
            <v>CELULA EMPRENDEDOR SUR</v>
          </cell>
        </row>
        <row r="76">
          <cell r="B76" t="str">
            <v>CELULA ESPECIALISTAS   9</v>
          </cell>
        </row>
        <row r="77">
          <cell r="B77" t="str">
            <v>CELULA ESPECIALISTAS  8</v>
          </cell>
        </row>
        <row r="78">
          <cell r="B78" t="str">
            <v>CELULA FOPEP</v>
          </cell>
        </row>
        <row r="79">
          <cell r="B79" t="str">
            <v>CELULA MOVILES</v>
          </cell>
        </row>
        <row r="80">
          <cell r="B80" t="str">
            <v>CELULA MOVILES  CENTRO BOG YCENTRO</v>
          </cell>
        </row>
        <row r="81">
          <cell r="B81" t="str">
            <v>CELULA MOVILES 1 BOG Y CENTRO</v>
          </cell>
        </row>
        <row r="82">
          <cell r="B82" t="str">
            <v>CELULA MOVILES 1 BOG YCENTRO</v>
          </cell>
        </row>
        <row r="83">
          <cell r="B83" t="str">
            <v>CELULA MOVILES 2 BOG Y CENTRO</v>
          </cell>
        </row>
        <row r="84">
          <cell r="B84" t="str">
            <v>CELULA MOVILES BOG Y CENTRO</v>
          </cell>
        </row>
        <row r="85">
          <cell r="B85" t="str">
            <v>CELULA MOVILES BOG YCENTRO</v>
          </cell>
        </row>
        <row r="86">
          <cell r="B86" t="str">
            <v>CELULA MOVILES SUR</v>
          </cell>
        </row>
        <row r="87">
          <cell r="B87" t="str">
            <v>CELULA PREFERENCIAL</v>
          </cell>
        </row>
        <row r="88">
          <cell r="B88" t="str">
            <v>CELULA PRESTANOMINA</v>
          </cell>
        </row>
        <row r="89">
          <cell r="B89" t="str">
            <v>CELULA RCI CENTRO  Y BOGOTA</v>
          </cell>
        </row>
        <row r="90">
          <cell r="B90" t="str">
            <v>CELULA RCI CENTRO CENTRO Y BOGOTA</v>
          </cell>
        </row>
        <row r="91">
          <cell r="B91" t="str">
            <v>CELULA RED BANCO</v>
          </cell>
        </row>
        <row r="92">
          <cell r="B92" t="str">
            <v>CELULA RED BANCO BOG Y CENTRO</v>
          </cell>
        </row>
        <row r="93">
          <cell r="B93" t="str">
            <v>CELULA RED BANCO BOG YCENTRO</v>
          </cell>
        </row>
        <row r="94">
          <cell r="B94" t="str">
            <v>CELULA RED BANCO Y SURA SUR</v>
          </cell>
        </row>
        <row r="95">
          <cell r="B95" t="str">
            <v>CELULA SUCURSAL 5</v>
          </cell>
        </row>
        <row r="96">
          <cell r="B96" t="str">
            <v>CELULA SURA CAR</v>
          </cell>
        </row>
        <row r="97">
          <cell r="B97" t="str">
            <v>CELULA VN  1</v>
          </cell>
        </row>
        <row r="98">
          <cell r="B98" t="str">
            <v>CENTRO ACTIVOS FIJOS CARIBE</v>
          </cell>
        </row>
        <row r="99">
          <cell r="B99" t="str">
            <v>CENTRO ACTIVOS FIJOS SUR</v>
          </cell>
        </row>
        <row r="100">
          <cell r="B100" t="str">
            <v>CENTRO ADMON INFORMES TESORERIA</v>
          </cell>
        </row>
        <row r="101">
          <cell r="B101" t="str">
            <v>CENTRO ASESORIA NORMATIVA ME</v>
          </cell>
        </row>
        <row r="102">
          <cell r="B102" t="str">
            <v>CENTRO CARTERA</v>
          </cell>
        </row>
        <row r="103">
          <cell r="B103" t="str">
            <v>CENTRO CCIAL SUFI CENTRO</v>
          </cell>
        </row>
        <row r="104">
          <cell r="B104" t="str">
            <v>CENTRO CONTABILIDAD PORTAFOLIO INVERSION</v>
          </cell>
        </row>
        <row r="105">
          <cell r="B105" t="str">
            <v>CENTRO CONTABLE CARTERAS COLECTIVAS</v>
          </cell>
        </row>
        <row r="106">
          <cell r="B106" t="str">
            <v>CENTRO CONTABLE PORTAFOLIOS INDIVIDUALES</v>
          </cell>
        </row>
        <row r="107">
          <cell r="B107" t="str">
            <v>CENTRO CREDITO HIPOTECARIO</v>
          </cell>
        </row>
        <row r="108">
          <cell r="B108" t="str">
            <v>CENTRO DE CONTACTO Y ATENCION DE SEGURID</v>
          </cell>
        </row>
        <row r="109">
          <cell r="B109" t="str">
            <v>CENTRO DE CONVENIOS BOGOTA</v>
          </cell>
        </row>
        <row r="110">
          <cell r="B110" t="str">
            <v>CENTRO DE CREDITOS DOCUMENTARIOS</v>
          </cell>
        </row>
        <row r="111">
          <cell r="B111" t="str">
            <v>CENTRO DE FACTURACION Y PAGOS</v>
          </cell>
        </row>
        <row r="112">
          <cell r="B112" t="str">
            <v>CENTRO DE IMPUESTOS FIDUCIARIA 1</v>
          </cell>
        </row>
        <row r="113">
          <cell r="B113" t="str">
            <v>CENTRO DE IMPUESTOS FIDUCIARIA 2</v>
          </cell>
        </row>
        <row r="114">
          <cell r="B114" t="str">
            <v>CENTRO DE LOGISTICA</v>
          </cell>
        </row>
        <row r="115">
          <cell r="B115" t="str">
            <v>CENTRO DE MANTENIMIENTO Y ABONOS DE CART</v>
          </cell>
        </row>
        <row r="116">
          <cell r="B116" t="str">
            <v>CENTRO DE PAGOS</v>
          </cell>
        </row>
        <row r="117">
          <cell r="B117" t="str">
            <v>CENTRO DE PAGOS Y RECAUDOS 1</v>
          </cell>
        </row>
        <row r="118">
          <cell r="B118" t="str">
            <v>CENTRO DE PAGOS Y RECAUDOS 2</v>
          </cell>
        </row>
        <row r="119">
          <cell r="B119" t="str">
            <v>CENTRO DE PAGOS Y RECAUDOS 3</v>
          </cell>
        </row>
        <row r="120">
          <cell r="B120" t="str">
            <v>CENTRO DE PRESELECCION Y MOVIMIENTOS</v>
          </cell>
        </row>
        <row r="121">
          <cell r="B121" t="str">
            <v>CENTRO DESEMBOLSO COMERCIAL Y CONSUMO</v>
          </cell>
        </row>
        <row r="122">
          <cell r="B122" t="str">
            <v>CENTRO GARANTIAS HIPOTECARIAS</v>
          </cell>
        </row>
        <row r="123">
          <cell r="B123" t="str">
            <v>CENTRO GARANTIAS VEHICULOS Y PRENDAS</v>
          </cell>
        </row>
        <row r="124">
          <cell r="B124" t="str">
            <v>CENTRO GESTION DOCUMENTAL ANTIOQUIA</v>
          </cell>
        </row>
        <row r="125">
          <cell r="B125" t="str">
            <v>CENTRO GESTION DOCUMENTAL BOGOTA</v>
          </cell>
        </row>
        <row r="126">
          <cell r="B126" t="str">
            <v>CENTRO IMPUESTOS CLIENTES</v>
          </cell>
        </row>
        <row r="127">
          <cell r="B127" t="str">
            <v>CENTRO OPERACIONES CONTABLES 1</v>
          </cell>
        </row>
        <row r="128">
          <cell r="B128" t="str">
            <v>CENTRO OPERACIONES CONTABLES 2</v>
          </cell>
        </row>
        <row r="129">
          <cell r="B129" t="str">
            <v>CENTRO OPERACIONES CONTABLES 3</v>
          </cell>
        </row>
        <row r="130">
          <cell r="B130" t="str">
            <v>CENTRO OPERACIONES CONTABLES 4</v>
          </cell>
        </row>
        <row r="131">
          <cell r="B131" t="str">
            <v>CENTRO OPERACIONES CONTABLES 5</v>
          </cell>
        </row>
        <row r="132">
          <cell r="B132" t="str">
            <v>CENTRO OPERACIONES SUFI ANTIOQUIA</v>
          </cell>
        </row>
        <row r="133">
          <cell r="B133" t="str">
            <v>CENTRO OPERACIONES SUFI BOGOTA</v>
          </cell>
        </row>
        <row r="134">
          <cell r="B134" t="str">
            <v>CENTRO OPERACIONES SUFI SUR</v>
          </cell>
        </row>
        <row r="135">
          <cell r="B135" t="str">
            <v>CENTRO OPERATIVO DE CAPTACIONES</v>
          </cell>
        </row>
        <row r="136">
          <cell r="B136" t="str">
            <v>CENTRO PARAMETRIZACION - RAZONB CONTABLE</v>
          </cell>
        </row>
        <row r="137">
          <cell r="B137" t="str">
            <v>CENTRO PROCESAMIENTO MEDIOS DE PAGO</v>
          </cell>
        </row>
        <row r="138">
          <cell r="B138" t="str">
            <v>CENTRO PROCESOS MIT</v>
          </cell>
        </row>
        <row r="139">
          <cell r="B139" t="str">
            <v>CENTRO RAZONABILIDAD CLIENTES</v>
          </cell>
        </row>
        <row r="140">
          <cell r="B140" t="str">
            <v>CENTRO RECEPCION GARANTIAS MEDELLIN 2</v>
          </cell>
        </row>
        <row r="141">
          <cell r="B141" t="str">
            <v>CENTRO RECUPERACION ACTIVOS SUFI ANT</v>
          </cell>
        </row>
        <row r="142">
          <cell r="B142" t="str">
            <v>CENTRO RECUPERACION ACTIVOS SUFI BOG</v>
          </cell>
        </row>
        <row r="143">
          <cell r="B143" t="str">
            <v>CENTRO REGIONAL OPERATIVO CARIBE</v>
          </cell>
        </row>
        <row r="144">
          <cell r="B144" t="str">
            <v>CENTRO REQ CSC Y PROCESOS DE APOYO</v>
          </cell>
        </row>
        <row r="145">
          <cell r="B145" t="str">
            <v>CENTRO REQUERIMIENTOS CAPTACIONES  Y COL</v>
          </cell>
        </row>
        <row r="146">
          <cell r="B146" t="str">
            <v>CENTRO REQUERIMIENTOS DE TARJETAS</v>
          </cell>
        </row>
        <row r="147">
          <cell r="B147" t="str">
            <v>CENTRO REQUERIMIENTOS ENTES DE CONTROL</v>
          </cell>
        </row>
        <row r="148">
          <cell r="B148" t="str">
            <v>CENTRO SEGUROS Y CONTABLE</v>
          </cell>
        </row>
        <row r="149">
          <cell r="B149" t="str">
            <v>CENTRO SERVICIO NEGOCIO FIDUCIARIO</v>
          </cell>
        </row>
        <row r="150">
          <cell r="B150" t="str">
            <v>CENTRO SERVICIO REDES</v>
          </cell>
        </row>
        <row r="151">
          <cell r="B151" t="str">
            <v>CENTRO SERVICIOS CHEQUES Y AFC</v>
          </cell>
        </row>
        <row r="152">
          <cell r="B152" t="str">
            <v>CENTRO SERVICIOS VINCULACION VALORES</v>
          </cell>
        </row>
        <row r="153">
          <cell r="B153" t="str">
            <v>CERTIFICACION</v>
          </cell>
        </row>
        <row r="154">
          <cell r="B154" t="str">
            <v>CERTIFICACION 2</v>
          </cell>
        </row>
        <row r="155">
          <cell r="B155" t="str">
            <v>COMERCIO EXTERIOR</v>
          </cell>
        </row>
        <row r="156">
          <cell r="B156" t="str">
            <v>COMERCIO INTERNACIONAL BARRANQUILLA</v>
          </cell>
        </row>
        <row r="157">
          <cell r="B157" t="str">
            <v>COMERCIO INTERNACIONAL BOGOTA</v>
          </cell>
        </row>
        <row r="158">
          <cell r="B158" t="str">
            <v>COMERCIO INTERNACIONAL CALI</v>
          </cell>
        </row>
        <row r="159">
          <cell r="B159" t="str">
            <v>COMERCIO INTERNACIONAL MEDELLIN</v>
          </cell>
        </row>
        <row r="160">
          <cell r="B160" t="str">
            <v>COORDINACION ADMON DE FIDEICOMISOS</v>
          </cell>
        </row>
        <row r="161">
          <cell r="B161" t="str">
            <v>COORDINACION FIDUCIA PRIVADA</v>
          </cell>
        </row>
        <row r="162">
          <cell r="B162" t="str">
            <v>COORDINACION FIDUCIA PRIVADA 1</v>
          </cell>
        </row>
        <row r="163">
          <cell r="B163" t="str">
            <v>COORDINACION FIDUCIA PRIVADA 10</v>
          </cell>
        </row>
        <row r="164">
          <cell r="B164" t="str">
            <v>COORDINACION FIDUCIA PRIVADA 12</v>
          </cell>
        </row>
        <row r="165">
          <cell r="B165" t="str">
            <v>COORDINACION FIDUCIA PRIVADA 13</v>
          </cell>
        </row>
        <row r="166">
          <cell r="B166" t="str">
            <v>COORDINACION FIDUCIA PRIVADA 2</v>
          </cell>
        </row>
        <row r="167">
          <cell r="B167" t="str">
            <v>COORDINACION FIDUCIA PRIVADA 3</v>
          </cell>
        </row>
        <row r="168">
          <cell r="B168" t="str">
            <v>COORDINACION FIDUCIA PRIVADA 4</v>
          </cell>
        </row>
        <row r="169">
          <cell r="B169" t="str">
            <v>COORDINACION FIDUCIA PRIVADA 5</v>
          </cell>
        </row>
        <row r="170">
          <cell r="B170" t="str">
            <v>COORDINACION FIDUCIA PRIVADA 6</v>
          </cell>
        </row>
        <row r="171">
          <cell r="B171" t="str">
            <v>COORDINACION FIDUCIA PRIVADA 7</v>
          </cell>
        </row>
        <row r="172">
          <cell r="B172" t="str">
            <v>COORDINACION FIDUCIA PRIVADA 8</v>
          </cell>
        </row>
        <row r="173">
          <cell r="B173" t="str">
            <v>COORDINACION FIDUCIA PRIVADA 9</v>
          </cell>
        </row>
        <row r="174">
          <cell r="B174" t="str">
            <v>COORDINACION FIDUCIA PUBLICA 1</v>
          </cell>
        </row>
        <row r="175">
          <cell r="B175" t="str">
            <v>COORDINACION FIDUCIA PUBLICA 11</v>
          </cell>
        </row>
        <row r="176">
          <cell r="B176" t="str">
            <v>COORDINACION FIDUCIA PUBLICA 2</v>
          </cell>
        </row>
        <row r="177">
          <cell r="B177" t="str">
            <v>COORDINACION FIDUCIA PUBLICA 3</v>
          </cell>
        </row>
        <row r="178">
          <cell r="B178" t="str">
            <v>COORDINACION FIDUCIA PUBLICA 4</v>
          </cell>
        </row>
        <row r="179">
          <cell r="B179" t="str">
            <v>COORDINACION FIDUCIA PUBLICA 5</v>
          </cell>
        </row>
        <row r="180">
          <cell r="B180" t="str">
            <v>COORDINACION FIDUCIA PUBLICA 6</v>
          </cell>
        </row>
        <row r="181">
          <cell r="B181" t="str">
            <v>COORDINACION FIDUCIA PUBLICA 7</v>
          </cell>
        </row>
        <row r="182">
          <cell r="B182" t="str">
            <v>COORDINACION FIDUCIA PUBLICA 8</v>
          </cell>
        </row>
        <row r="183">
          <cell r="B183" t="str">
            <v>COORDINACION FIDUCIA PUBLICA 9</v>
          </cell>
        </row>
        <row r="184">
          <cell r="B184" t="str">
            <v>COORDINACION INMOBILIARIO BTA</v>
          </cell>
        </row>
        <row r="185">
          <cell r="B185" t="str">
            <v>COORDINACION INMOBILIARIO BTA 1</v>
          </cell>
        </row>
        <row r="186">
          <cell r="B186" t="str">
            <v>COORDINACION INMOBILIARIO BTA 2</v>
          </cell>
        </row>
        <row r="187">
          <cell r="B187" t="str">
            <v>COORDINACION INMOBILIARIO BTA 3</v>
          </cell>
        </row>
        <row r="188">
          <cell r="B188" t="str">
            <v>COORDINACION INMOBILIARIO BTA 4</v>
          </cell>
        </row>
        <row r="189">
          <cell r="B189" t="str">
            <v>COORDINACION INMOBILIARIO MLLIN 1</v>
          </cell>
        </row>
        <row r="190">
          <cell r="B190" t="str">
            <v>COORDINACION INMOBILIARIO MLLIN 2</v>
          </cell>
        </row>
        <row r="191">
          <cell r="B191" t="str">
            <v>COORDINACION OPERACIONES NEGOCIOS ESP 1</v>
          </cell>
        </row>
        <row r="192">
          <cell r="B192" t="str">
            <v>COORDINACION OPERACIONES NEGOCIOS ESP 10</v>
          </cell>
        </row>
        <row r="193">
          <cell r="B193" t="str">
            <v>COORDINACION OPERACIONES NEGOCIOS ESP 11</v>
          </cell>
        </row>
        <row r="194">
          <cell r="B194" t="str">
            <v>COORDINACION OPERACIONES NEGOCIOS ESP 12</v>
          </cell>
        </row>
        <row r="195">
          <cell r="B195" t="str">
            <v>COORDINACION OPERACIONES NEGOCIOS ESP 2</v>
          </cell>
        </row>
        <row r="196">
          <cell r="B196" t="str">
            <v>COORDINACION OPERACIONES NEGOCIOS ESP 3</v>
          </cell>
        </row>
        <row r="197">
          <cell r="B197" t="str">
            <v>COORDINACION OPERACIONES NEGOCIOS ESP 5</v>
          </cell>
        </row>
        <row r="198">
          <cell r="B198" t="str">
            <v>COORDINACION OPERACIONES NEGOCIOS ESP 6</v>
          </cell>
        </row>
        <row r="199">
          <cell r="B199" t="str">
            <v>COORDINACION OPERACIONES NEGOCIOS ESP 7</v>
          </cell>
        </row>
        <row r="200">
          <cell r="B200" t="str">
            <v>COORDINACION OPERACIONES NEGOCIOS ESP 8</v>
          </cell>
        </row>
        <row r="201">
          <cell r="B201" t="str">
            <v>COORDINACION OPERACIONES NEGOCIOS ESP 9</v>
          </cell>
        </row>
        <row r="202">
          <cell r="B202" t="str">
            <v>COORDINACION RECEPCION GARANTIAS BOGOTA</v>
          </cell>
        </row>
        <row r="203">
          <cell r="B203" t="str">
            <v>CREDITO Y CARTERA</v>
          </cell>
        </row>
        <row r="204">
          <cell r="B204" t="str">
            <v>CRM PRODUCTOS</v>
          </cell>
        </row>
        <row r="205">
          <cell r="B205" t="str">
            <v>CRM SERVICIO</v>
          </cell>
        </row>
        <row r="206">
          <cell r="B206" t="str">
            <v>CRM VENTAS</v>
          </cell>
        </row>
        <row r="207">
          <cell r="B207" t="str">
            <v>CTRO DE CREDITO PYME CARIBE, CTRO Y SUR</v>
          </cell>
        </row>
        <row r="208">
          <cell r="B208" t="str">
            <v>DEFINICIONES CONTABLES</v>
          </cell>
        </row>
        <row r="209">
          <cell r="B209" t="str">
            <v>DEFINICIONES CONTABLES FILIALES</v>
          </cell>
        </row>
        <row r="210">
          <cell r="B210" t="str">
            <v>DESARROLLO DE VENDOR</v>
          </cell>
        </row>
        <row r="211">
          <cell r="B211" t="str">
            <v>DIR  BCA INTER Y DLLO DE FLIAL DEL EXT</v>
          </cell>
        </row>
        <row r="212">
          <cell r="B212" t="str">
            <v>DIR FINANCIERA ESTABLECIMIENTOS CREDITO</v>
          </cell>
        </row>
        <row r="213">
          <cell r="B213" t="str">
            <v>DIREC  JURIDICA BANCA DE INVERSION</v>
          </cell>
        </row>
        <row r="214">
          <cell r="B214" t="str">
            <v>DIRECCION  INNOVACION</v>
          </cell>
        </row>
        <row r="215">
          <cell r="B215" t="str">
            <v>DIRECCION  SEGUROS</v>
          </cell>
        </row>
        <row r="216">
          <cell r="B216" t="str">
            <v>DIRECCION ACTIVOS FIJOS E INMOBILIARIOS</v>
          </cell>
        </row>
        <row r="217">
          <cell r="B217" t="str">
            <v>DIRECCION ADMINISTRACION TI</v>
          </cell>
        </row>
        <row r="218">
          <cell r="B218" t="str">
            <v>DIRECCION AUDITORIA AREAS DE NEGOCIO</v>
          </cell>
        </row>
        <row r="219">
          <cell r="B219" t="str">
            <v>DIRECCION CADENA DE ABASTECIMIENTO</v>
          </cell>
        </row>
        <row r="220">
          <cell r="B220" t="str">
            <v>DIRECCION COMUNICACIONES CORPORATIVAS</v>
          </cell>
        </row>
        <row r="221">
          <cell r="B221" t="str">
            <v>DIRECCION CONTABILIDAD</v>
          </cell>
        </row>
        <row r="222">
          <cell r="B222" t="str">
            <v>DIRECCION CONTROL FINANCIERO</v>
          </cell>
        </row>
        <row r="223">
          <cell r="B223" t="str">
            <v>DIRECCION CUMPLIMIENTO</v>
          </cell>
        </row>
        <row r="224">
          <cell r="B224" t="str">
            <v>DIRECCION DE ALIANZAS</v>
          </cell>
        </row>
        <row r="225">
          <cell r="B225" t="str">
            <v>DIRECCION DE CULTURA ORGANIZACIONAL</v>
          </cell>
        </row>
        <row r="226">
          <cell r="B226" t="str">
            <v>DIRECCION DE ESTRATEGIA Y ARQ DE TI</v>
          </cell>
        </row>
        <row r="227">
          <cell r="B227" t="str">
            <v>DIRECCIÓN DE INFRAESTRUCTURA TECNOLOGICA</v>
          </cell>
        </row>
        <row r="228">
          <cell r="B228" t="str">
            <v>DIRECCION DE OPERACIONES FINANCIERAS</v>
          </cell>
        </row>
        <row r="229">
          <cell r="B229" t="str">
            <v>DIRECCION DE PROYECTOS</v>
          </cell>
        </row>
        <row r="230">
          <cell r="B230" t="str">
            <v>DIRECCION DE RELACIONAMIENTO HUMANO</v>
          </cell>
        </row>
        <row r="231">
          <cell r="B231" t="str">
            <v>DIRECCION DE SERVICIOS EMPRESAS Y GOB</v>
          </cell>
        </row>
        <row r="232">
          <cell r="B232" t="str">
            <v>DIRECCION DE SERVICIOS PERSONAS Y PYME</v>
          </cell>
        </row>
        <row r="233">
          <cell r="B233" t="str">
            <v>DIRECCION DE SOLUCIONES DE TI</v>
          </cell>
        </row>
        <row r="234">
          <cell r="B234" t="str">
            <v>DIRECCION DE TARJETAS</v>
          </cell>
        </row>
        <row r="235">
          <cell r="B235" t="str">
            <v>DIRECCION EFICIENCIA</v>
          </cell>
        </row>
        <row r="236">
          <cell r="B236" t="str">
            <v>DIRECCION EQUIPOS CCIALES ESPECIALIZA</v>
          </cell>
        </row>
        <row r="237">
          <cell r="B237" t="str">
            <v>DIRECCION ESTRATEGIA</v>
          </cell>
        </row>
        <row r="238">
          <cell r="B238" t="str">
            <v>DIRECCION ESTRATEGICA DE CANALES</v>
          </cell>
        </row>
        <row r="239">
          <cell r="B239" t="str">
            <v>DIRECCION FINANCIACION Y MONEDA EXTRANJE</v>
          </cell>
        </row>
        <row r="240">
          <cell r="B240" t="str">
            <v>DIRECCION GESTION DE ACTIVOS Y PASIVOS</v>
          </cell>
        </row>
        <row r="241">
          <cell r="B241" t="str">
            <v>DIRECCION GESTION DE LA DEMANDA TI</v>
          </cell>
        </row>
        <row r="242">
          <cell r="B242" t="str">
            <v>DIRECCION GESTOR INT DE SERVICIOS</v>
          </cell>
        </row>
        <row r="243">
          <cell r="B243" t="str">
            <v>DIRECCION IMPLEMENTACION DE SERV ESTRAT</v>
          </cell>
        </row>
        <row r="244">
          <cell r="B244" t="str">
            <v>DIRECCION JURIDICA DE PROCESOS</v>
          </cell>
        </row>
        <row r="245">
          <cell r="B245" t="str">
            <v>DIRECCION JURIDICA FIDU Y  ADMON ACTIVOS</v>
          </cell>
        </row>
        <row r="246">
          <cell r="B246" t="str">
            <v>DIRECCION JURIDICA FIDUCIARIA</v>
          </cell>
        </row>
        <row r="247">
          <cell r="B247" t="str">
            <v>DIRECCION JURIDICA INTERMEDIACION FCIERA</v>
          </cell>
        </row>
        <row r="248">
          <cell r="B248" t="str">
            <v>DIRECCION MANEJO INTEGRAL DE TESORERIA</v>
          </cell>
        </row>
        <row r="249">
          <cell r="B249" t="str">
            <v>DIRECCION MERCADEO INMOBILIARIA Y CONSUM</v>
          </cell>
        </row>
        <row r="250">
          <cell r="B250" t="str">
            <v>DIRECCION NEGOCIOS INTERNACIONALES</v>
          </cell>
        </row>
        <row r="251">
          <cell r="B251" t="str">
            <v>DIRECCION OPERATIVA DE CANALES</v>
          </cell>
        </row>
        <row r="252">
          <cell r="B252" t="str">
            <v>DIRECCION PDTOS MERCADEO Y CANALES MK</v>
          </cell>
        </row>
        <row r="253">
          <cell r="B253" t="str">
            <v>DIRECCION PROC DESCENTRALIZADOS Y CANALE</v>
          </cell>
        </row>
        <row r="254">
          <cell r="B254" t="str">
            <v>DIRECCION PROYECTOS ESPECIALES</v>
          </cell>
        </row>
        <row r="255">
          <cell r="B255" t="str">
            <v>DIRECCION RECUPERACION DE ACTIVOS</v>
          </cell>
        </row>
        <row r="256">
          <cell r="B256" t="str">
            <v>DIRECCION RIESGO BANCA PERSONAS Y PYME</v>
          </cell>
        </row>
        <row r="257">
          <cell r="B257" t="str">
            <v>DIRECCION RIESGO DE MERCADO Y LIQUIDEZ</v>
          </cell>
        </row>
        <row r="258">
          <cell r="B258" t="str">
            <v>DIRECCION RIESGO EMPRESAS Y GOBIERNO</v>
          </cell>
        </row>
        <row r="259">
          <cell r="B259" t="str">
            <v>DIRECCION RIESGO OPERACIONAL</v>
          </cell>
        </row>
        <row r="260">
          <cell r="B260" t="str">
            <v>DIRECCION RIESGOS INTER Y ANALISIS CUANT</v>
          </cell>
        </row>
        <row r="261">
          <cell r="B261" t="str">
            <v>DIRECCION SEG DE PERSONAS Y PYMES</v>
          </cell>
        </row>
        <row r="262">
          <cell r="B262" t="str">
            <v>DIRECCION SEGMENTO PERSONAS</v>
          </cell>
        </row>
        <row r="263">
          <cell r="B263" t="str">
            <v>DIRECCION SEGMENTO PYME GOBIERNO Y RED</v>
          </cell>
        </row>
        <row r="264">
          <cell r="B264" t="str">
            <v>DIRECCION SEGMENTO PYME Y GOBIERNO RED</v>
          </cell>
        </row>
        <row r="265">
          <cell r="B265" t="str">
            <v>DIRECCION SEGMENTOS BCA EMPRL Y GOB</v>
          </cell>
        </row>
        <row r="266">
          <cell r="B266" t="str">
            <v>DIRECCION SEGURIDAD BANCARIA</v>
          </cell>
        </row>
        <row r="267">
          <cell r="B267" t="str">
            <v>DIRECCION SEGURIDAD CORPORATIVA</v>
          </cell>
        </row>
        <row r="268">
          <cell r="B268" t="str">
            <v>DIRECCION SERV DESCENTRALIZADOS Y CANALE</v>
          </cell>
        </row>
        <row r="269">
          <cell r="B269" t="str">
            <v>DIRECCION SERV ORIGINACION CREDITOS</v>
          </cell>
        </row>
        <row r="270">
          <cell r="B270" t="str">
            <v>DIRECCION SERVICIOS DE CERTIFICACION TI</v>
          </cell>
        </row>
        <row r="271">
          <cell r="B271" t="str">
            <v>DIRECCION SERVICIOS DE DESARROLLO DE TI</v>
          </cell>
        </row>
        <row r="272">
          <cell r="B272" t="str">
            <v>DIRECCION SERVICIOS DE MERCADEO BPP</v>
          </cell>
        </row>
        <row r="273">
          <cell r="B273" t="str">
            <v>DIRECCION SERVICIOS LOGISTICOS Y ADMON</v>
          </cell>
        </row>
        <row r="274">
          <cell r="B274" t="str">
            <v>DIRECCION SERVICIOS PARA MERC CAPITALES</v>
          </cell>
        </row>
        <row r="275">
          <cell r="B275" t="str">
            <v>DIRECCION SERVS ESPECIALIZADOS DE APOYO</v>
          </cell>
        </row>
        <row r="276">
          <cell r="B276" t="str">
            <v>DIRECCION SOLUC Y CONSOLIDACION CREDICIA</v>
          </cell>
        </row>
        <row r="277">
          <cell r="B277" t="str">
            <v>DIRECCION SOLUCION ACTIVOS</v>
          </cell>
        </row>
        <row r="278">
          <cell r="B278" t="str">
            <v>DISTRIBUCION Y VENTAS</v>
          </cell>
        </row>
        <row r="279">
          <cell r="B279" t="str">
            <v>ENLACE APARTADO</v>
          </cell>
        </row>
        <row r="280">
          <cell r="B280" t="str">
            <v>ENLACE ARMENIA</v>
          </cell>
        </row>
        <row r="281">
          <cell r="B281" t="str">
            <v>ENLACE BUCARAMANGA</v>
          </cell>
        </row>
        <row r="282">
          <cell r="B282" t="str">
            <v>ENLACE CARTAGENA</v>
          </cell>
        </row>
        <row r="283">
          <cell r="B283" t="str">
            <v>ENLACE CUCUTA</v>
          </cell>
        </row>
        <row r="284">
          <cell r="B284" t="str">
            <v>ENLACE IBAGUE</v>
          </cell>
        </row>
        <row r="285">
          <cell r="B285" t="str">
            <v>ENLACE MANIZALES</v>
          </cell>
        </row>
        <row r="286">
          <cell r="B286" t="str">
            <v>ENLACE MONTERIA</v>
          </cell>
        </row>
        <row r="287">
          <cell r="B287" t="str">
            <v>ENLACE NEIVA</v>
          </cell>
        </row>
        <row r="288">
          <cell r="B288" t="str">
            <v>ENLACE PASTO</v>
          </cell>
        </row>
        <row r="289">
          <cell r="B289" t="str">
            <v>ENLACE PEREIRA</v>
          </cell>
        </row>
        <row r="290">
          <cell r="B290" t="str">
            <v>ENLACE SANTA MARTA</v>
          </cell>
        </row>
        <row r="291">
          <cell r="B291" t="str">
            <v>ENLACE VALLEDUPAR</v>
          </cell>
        </row>
        <row r="292">
          <cell r="B292" t="str">
            <v>ENLACE VILLAVICENCIO</v>
          </cell>
        </row>
        <row r="293">
          <cell r="B293" t="str">
            <v>EXPATRIADOS</v>
          </cell>
        </row>
        <row r="294">
          <cell r="B294" t="str">
            <v>EXPATRIADOS FILIALES DEL EXT BANCOLOMBIA</v>
          </cell>
        </row>
        <row r="295">
          <cell r="B295" t="str">
            <v>FACTORING</v>
          </cell>
        </row>
        <row r="296">
          <cell r="B296" t="str">
            <v>FRENTE CLIENTES</v>
          </cell>
        </row>
        <row r="297">
          <cell r="B297" t="str">
            <v>FRENTE FINANCIERO Y CONTABLE</v>
          </cell>
        </row>
        <row r="298">
          <cell r="B298" t="str">
            <v>FRENTE PRODUCTOS Y CANALES</v>
          </cell>
        </row>
        <row r="299">
          <cell r="B299" t="str">
            <v>FRENTE SOPORTE Y APOYO</v>
          </cell>
        </row>
        <row r="300">
          <cell r="B300" t="str">
            <v>FRENTE TARJETAS</v>
          </cell>
        </row>
        <row r="301">
          <cell r="B301" t="str">
            <v>GCA GESTION DE COSTOS Y GASTOS</v>
          </cell>
        </row>
        <row r="302">
          <cell r="B302" t="str">
            <v>GCIA</v>
          </cell>
        </row>
        <row r="303">
          <cell r="B303" t="str">
            <v>GCIA  AGENCIA MED BCA PYMES</v>
          </cell>
        </row>
        <row r="304">
          <cell r="B304" t="str">
            <v>GCIA  ARQ DE PROCESOS Y METODOLOGIAS</v>
          </cell>
        </row>
        <row r="305">
          <cell r="B305" t="str">
            <v>GCIA  ASIGNACION DE CAPITAL</v>
          </cell>
        </row>
        <row r="306">
          <cell r="B306" t="str">
            <v>GCIA  COMERCIAL PYME PEQUEÑO ANT</v>
          </cell>
        </row>
        <row r="307">
          <cell r="B307" t="str">
            <v>GCIA  COMERCIAL PYME PEQUEÑO BOGOTA</v>
          </cell>
        </row>
        <row r="308">
          <cell r="B308" t="str">
            <v>GCIA  DE COMPENSACION VARIABLE</v>
          </cell>
        </row>
        <row r="309">
          <cell r="B309" t="str">
            <v>GCIA  DE NEGOCIOS PRODUCTOS</v>
          </cell>
        </row>
        <row r="310">
          <cell r="B310" t="str">
            <v>GCIA  GEST INT DE SERV CONSUMO ESP</v>
          </cell>
        </row>
        <row r="311">
          <cell r="B311" t="str">
            <v>GCIA  GEST INT DE SERV PYME</v>
          </cell>
        </row>
        <row r="312">
          <cell r="B312" t="str">
            <v>GCIA  RELACIONAMIENTO HUMANO REGION BGTA</v>
          </cell>
        </row>
        <row r="313">
          <cell r="B313" t="str">
            <v>GCIA  SERVICIOS AL EMPLEADO</v>
          </cell>
        </row>
        <row r="314">
          <cell r="B314" t="str">
            <v>GCIA  SOX</v>
          </cell>
        </row>
        <row r="315">
          <cell r="B315" t="str">
            <v>GCIA 20F CONSOLIDACION Y USGAAP</v>
          </cell>
        </row>
        <row r="316">
          <cell r="B316" t="str">
            <v>GCIA ACCIONES BOGOTA</v>
          </cell>
        </row>
        <row r="317">
          <cell r="B317" t="str">
            <v>GCIA ACCIONES CARIBE</v>
          </cell>
        </row>
        <row r="318">
          <cell r="B318" t="str">
            <v>GCIA ACCIONES MEDELLIN</v>
          </cell>
        </row>
        <row r="319">
          <cell r="B319" t="str">
            <v>GCIA ACCIONES SUR</v>
          </cell>
        </row>
        <row r="320">
          <cell r="B320" t="str">
            <v>GCIA ADMINISTRACION ACTIVOS DE TESORIA</v>
          </cell>
        </row>
        <row r="321">
          <cell r="B321" t="str">
            <v>GCIA ADMINISTRACION DE ACTIVOS</v>
          </cell>
        </row>
        <row r="322">
          <cell r="B322" t="str">
            <v>GCIA ADMO NEG FIDU  BOGOTA Y CENTRO</v>
          </cell>
        </row>
        <row r="323">
          <cell r="B323" t="str">
            <v>GCIA ADMO NEG FIDU ANTIOQUIA Y SUR</v>
          </cell>
        </row>
        <row r="324">
          <cell r="B324" t="str">
            <v>GCIA ALIADOS Y DESARROLLO</v>
          </cell>
        </row>
        <row r="325">
          <cell r="B325" t="str">
            <v>GCIA ALIANZAS</v>
          </cell>
        </row>
        <row r="326">
          <cell r="B326" t="str">
            <v>GCIA ANALISIS CUANTITATIVO</v>
          </cell>
        </row>
        <row r="327">
          <cell r="B327" t="str">
            <v>GCIA ANALISIS CUANTITATIVO ADMON ACTIVOS</v>
          </cell>
        </row>
        <row r="328">
          <cell r="B328" t="str">
            <v>GCIA ANALISIS Y DESARROLLO DE SOLUCION</v>
          </cell>
        </row>
        <row r="329">
          <cell r="B329" t="str">
            <v>GCIA ANALISIS Y PROSPECCION</v>
          </cell>
        </row>
        <row r="330">
          <cell r="B330" t="str">
            <v>GCIA ANALITICO DE PERSONAS</v>
          </cell>
        </row>
        <row r="331">
          <cell r="B331" t="str">
            <v>GCIA ARQUITECTURA DE LA SOLUCION</v>
          </cell>
        </row>
        <row r="332">
          <cell r="B332" t="str">
            <v>GCIA AUDI DE PP ANTIOQUIA CARIBE SUR</v>
          </cell>
        </row>
        <row r="333">
          <cell r="B333" t="str">
            <v>GCIA AUDIT GOB DESARROLLO DE SERVICIOS T</v>
          </cell>
        </row>
        <row r="334">
          <cell r="B334" t="str">
            <v>GCIA AUDITORIA  INTERNACIONAL</v>
          </cell>
        </row>
        <row r="335">
          <cell r="B335" t="str">
            <v>GCIA AUDITORIA ADMINISTRACION DE ACTIVOS</v>
          </cell>
        </row>
        <row r="336">
          <cell r="B336" t="str">
            <v>GCIA AUDITORIA ADMON COBRZA DE CARTERA</v>
          </cell>
        </row>
        <row r="337">
          <cell r="B337" t="str">
            <v>GCIA AUDITORIA DE CRED BCA HIPT Y PNAL</v>
          </cell>
        </row>
        <row r="338">
          <cell r="B338" t="str">
            <v>GCIA AUDITORIA DE CRED CCIO INTERNACIONA</v>
          </cell>
        </row>
        <row r="339">
          <cell r="B339" t="str">
            <v>GCIA AUDITORIA DE CREDITO</v>
          </cell>
        </row>
        <row r="340">
          <cell r="B340" t="str">
            <v>GCIA AUDITORIA DE CUMPLIMIENTO</v>
          </cell>
        </row>
        <row r="341">
          <cell r="B341" t="str">
            <v>GCIA AUDITORIA DE FUNCIONES CORPORATIVAS</v>
          </cell>
        </row>
        <row r="342">
          <cell r="B342" t="str">
            <v>GCIA AUDITORIA DE GTION DE SEGURIDAD TI</v>
          </cell>
        </row>
        <row r="343">
          <cell r="B343" t="str">
            <v>GCIA AUDITORIA DE INVERSIONES</v>
          </cell>
        </row>
        <row r="344">
          <cell r="B344" t="str">
            <v>GCIA AUDITORIA DE SUCURSALES BOG Y CTRO</v>
          </cell>
        </row>
        <row r="345">
          <cell r="B345" t="str">
            <v>GCIA AUDITORIA EMPRESAS Y GOBIERNO</v>
          </cell>
        </row>
        <row r="346">
          <cell r="B346" t="str">
            <v>GCIA AUDITORIA FINANCIERA Y TRIBUTARIA</v>
          </cell>
        </row>
        <row r="347">
          <cell r="B347" t="str">
            <v>GCIA AUDITORIA INMOBILIARIA Y CONSUMO ES</v>
          </cell>
        </row>
        <row r="348">
          <cell r="B348" t="str">
            <v>GCIA AUDITORIA INTERNA FIDUCIARIA</v>
          </cell>
        </row>
        <row r="349">
          <cell r="B349" t="str">
            <v>GCIA AUDITORIA MERCADO DE CAPITALES</v>
          </cell>
        </row>
        <row r="350">
          <cell r="B350" t="str">
            <v>GCIA AUDITORIA PERSONAS Y PYMES</v>
          </cell>
        </row>
        <row r="351">
          <cell r="B351" t="str">
            <v>GCIA AUDITORIA RIESGO DE CREDITO</v>
          </cell>
        </row>
        <row r="352">
          <cell r="B352" t="str">
            <v>GCIA AUDITORIA TECNOLOGIA</v>
          </cell>
        </row>
        <row r="353">
          <cell r="B353" t="str">
            <v>GCIA BANCA COLOMBIA Y PREFERENCIAL ANT</v>
          </cell>
        </row>
        <row r="354">
          <cell r="B354" t="str">
            <v>GCIA BANCA COLOMBIA Y PREFERENCIAL BOG</v>
          </cell>
        </row>
        <row r="355">
          <cell r="B355" t="str">
            <v>GCIA BANCA COLOMBIA Y PREFERENCIAL INT</v>
          </cell>
        </row>
        <row r="356">
          <cell r="B356" t="str">
            <v>GCIA BANCA COLOMBIA Y PREFERENCIAL NORTE</v>
          </cell>
        </row>
        <row r="357">
          <cell r="B357" t="str">
            <v>GCIA BANCA COLOMBIA Y PREFERENCIAL SUR</v>
          </cell>
        </row>
        <row r="358">
          <cell r="B358" t="str">
            <v>GCIA BANCA EMPRESARIAL REGION ANTIOQUIA</v>
          </cell>
        </row>
        <row r="359">
          <cell r="B359" t="str">
            <v>GCIA BANCA EMPRESARIAL REGION CARIBE</v>
          </cell>
        </row>
        <row r="360">
          <cell r="B360" t="str">
            <v>GCIA BANCA EMPRESARIAL REGION SUR</v>
          </cell>
        </row>
        <row r="361">
          <cell r="B361" t="str">
            <v>GCIA BANCA PRIVADA CARTAGENA</v>
          </cell>
        </row>
        <row r="362">
          <cell r="B362" t="str">
            <v>GCIA BASE DE DATOS</v>
          </cell>
        </row>
        <row r="363">
          <cell r="B363" t="str">
            <v>GCIA BCA COL. PREF. CIUDADES INTERMEDIAS</v>
          </cell>
        </row>
        <row r="364">
          <cell r="B364" t="str">
            <v>GCIA BE REG BOGOTA ZONA 1</v>
          </cell>
        </row>
        <row r="365">
          <cell r="B365" t="str">
            <v>GCIA BE REG BOGOTA ZONA 2</v>
          </cell>
        </row>
        <row r="366">
          <cell r="B366" t="str">
            <v>GCIA BE REG BOGOTA ZONA 3</v>
          </cell>
        </row>
        <row r="367">
          <cell r="B367" t="str">
            <v>GCIA BE REGION ANTIOQUIA ZONA 1</v>
          </cell>
        </row>
        <row r="368">
          <cell r="B368" t="str">
            <v>GCIA BE REGION ANTIOQUIA ZONA 2</v>
          </cell>
        </row>
        <row r="369">
          <cell r="B369" t="str">
            <v>GCIA CALIDAD DE VIDA</v>
          </cell>
        </row>
        <row r="370">
          <cell r="B370" t="str">
            <v>GCIA CALIDAD DE VIDA SUR</v>
          </cell>
        </row>
        <row r="371">
          <cell r="B371" t="str">
            <v>GCIA CANALES ATENCION A DISTANCIA</v>
          </cell>
        </row>
        <row r="372">
          <cell r="B372" t="str">
            <v>GCIA CANALES EN INTERNET</v>
          </cell>
        </row>
        <row r="373">
          <cell r="B373" t="str">
            <v>GCIA CANALES INDIRECTOS</v>
          </cell>
        </row>
        <row r="374">
          <cell r="B374" t="str">
            <v>GCIA CANALES Y SERVICIOS</v>
          </cell>
        </row>
        <row r="375">
          <cell r="B375" t="str">
            <v>GCIA CCIAL COLOMBIANOS EN EL EXTERIOR</v>
          </cell>
        </row>
        <row r="376">
          <cell r="B376" t="str">
            <v>GCIA CCIAL DE COLECTIVOS</v>
          </cell>
        </row>
        <row r="377">
          <cell r="B377" t="str">
            <v>GCIA CCIAL DE PERSONAS NATURALES BOGOTA</v>
          </cell>
        </row>
        <row r="378">
          <cell r="B378" t="str">
            <v>GCIA CCIAL DE PERSONAS NATURALES MED</v>
          </cell>
        </row>
        <row r="379">
          <cell r="B379" t="str">
            <v>GCIA CCIAL EMPRESAS ANTIOQUIA Y BCA PRIV</v>
          </cell>
        </row>
        <row r="380">
          <cell r="B380" t="str">
            <v>GCIA CCIAL EMPRESAS BOGOTA Y CENTRO</v>
          </cell>
        </row>
        <row r="381">
          <cell r="B381" t="str">
            <v>GCIA CCIAL EMPRESAS CARIBE</v>
          </cell>
        </row>
        <row r="382">
          <cell r="B382" t="str">
            <v>GCIA CCIAL EMPRESAS SUR</v>
          </cell>
        </row>
        <row r="383">
          <cell r="B383" t="str">
            <v>GCIA CCIAL EQUIPOS ESPECIALIZA BOGOTA 2</v>
          </cell>
        </row>
        <row r="384">
          <cell r="B384" t="str">
            <v>GCIA CCIAL EQUIPOS ESPECIALIZADOS ANT</v>
          </cell>
        </row>
        <row r="385">
          <cell r="B385" t="str">
            <v>GCIA CCIAL EQUIPOS ESPECIALIZADOS BOGOTA</v>
          </cell>
        </row>
        <row r="386">
          <cell r="B386" t="str">
            <v>GCIA CCIAL EQUIPOS ESPECIALIZADOS CARIBE</v>
          </cell>
        </row>
        <row r="387">
          <cell r="B387" t="str">
            <v>GCIA CCIAL EQUIPOS ESPECIALIZADOS CENTRO</v>
          </cell>
        </row>
        <row r="388">
          <cell r="B388" t="str">
            <v>GCIA CCIAL EQUIPOS ESPECIALIZADOS SUR</v>
          </cell>
        </row>
        <row r="389">
          <cell r="B389" t="str">
            <v>GCIA CCIAL HIPOTECARIA ANTIOQUIA</v>
          </cell>
        </row>
        <row r="390">
          <cell r="B390" t="str">
            <v>GCIA CCIAL HIPOTECARIA BARRANQUILLA</v>
          </cell>
        </row>
        <row r="391">
          <cell r="B391" t="str">
            <v>GCIA CCIAL HIPOTECARIA BOGOTA</v>
          </cell>
        </row>
        <row r="392">
          <cell r="B392" t="str">
            <v>GCIA CCIAL HIPOTECARIA CALI</v>
          </cell>
        </row>
        <row r="393">
          <cell r="B393" t="str">
            <v>GCIA CCIAL HIPOTECARIA CENTRO</v>
          </cell>
        </row>
        <row r="394">
          <cell r="B394" t="str">
            <v>GCIA CCIAL HIPOTECARIA PERSONAS</v>
          </cell>
        </row>
        <row r="395">
          <cell r="B395" t="str">
            <v>GCIA CCIAL MI NEGOCIO</v>
          </cell>
        </row>
        <row r="396">
          <cell r="B396" t="str">
            <v>GCIA CCIAL MI NEGOCIO ANTIOQUIA Y CENTRO</v>
          </cell>
        </row>
        <row r="397">
          <cell r="B397" t="str">
            <v>GCIA CCIAL MI NEGOCIO BOGOTA</v>
          </cell>
        </row>
        <row r="398">
          <cell r="B398" t="str">
            <v>GCIA CCIAL MI NEGOCIO BOGOTA Y CENTRO</v>
          </cell>
        </row>
        <row r="399">
          <cell r="B399" t="str">
            <v>GCIA CCIAL MI NEGOCIO CARIBE</v>
          </cell>
        </row>
        <row r="400">
          <cell r="B400" t="str">
            <v>GCIA CCIAL MI NEGOCIO SUR</v>
          </cell>
        </row>
        <row r="401">
          <cell r="B401" t="str">
            <v>GCIA CCIAL PANAMA Y BRASIL</v>
          </cell>
        </row>
        <row r="402">
          <cell r="B402" t="str">
            <v>GCIA CCIAL SUFI ANTIOQUIA</v>
          </cell>
        </row>
        <row r="403">
          <cell r="B403" t="str">
            <v>GCIA CCIAL SUFI BOGOTA</v>
          </cell>
        </row>
        <row r="404">
          <cell r="B404" t="str">
            <v>GCIA CCIAL SUFI CARIBE</v>
          </cell>
        </row>
        <row r="405">
          <cell r="B405" t="str">
            <v>GCIA CCIAL SUFI CENTRO</v>
          </cell>
        </row>
        <row r="406">
          <cell r="B406" t="str">
            <v>GCIA CCIAL SUFI SUR</v>
          </cell>
        </row>
        <row r="407">
          <cell r="B407" t="str">
            <v>GCIA CLIENTES PERSONAS</v>
          </cell>
        </row>
        <row r="408">
          <cell r="B408" t="str">
            <v>GCIA COLOMBIANOS EN EL EXTER</v>
          </cell>
        </row>
        <row r="409">
          <cell r="B409" t="str">
            <v>GCIA COMERCIAL  ADMIN FONDO INMOBILIARIO</v>
          </cell>
        </row>
        <row r="410">
          <cell r="B410" t="str">
            <v>GCIA COMERCIAL  PYME ZONA NORTE</v>
          </cell>
        </row>
        <row r="411">
          <cell r="B411" t="str">
            <v>GCIA COMERCIAL ANTIOQUIA SUR Y CARIBE</v>
          </cell>
        </row>
        <row r="412">
          <cell r="B412" t="str">
            <v>GCIA COMERCIAL ANTIOQUIA ZONA CENTRO</v>
          </cell>
        </row>
        <row r="413">
          <cell r="B413" t="str">
            <v>GCIA COMERCIAL ANTIOQUIA ZONA SUR</v>
          </cell>
        </row>
        <row r="414">
          <cell r="B414" t="str">
            <v>GCIA COMERCIAL BUCARAMANGA</v>
          </cell>
        </row>
        <row r="415">
          <cell r="B415" t="str">
            <v>GCIA COMERCIAL CALI NORTE Y CALI SUR</v>
          </cell>
        </row>
        <row r="416">
          <cell r="B416" t="str">
            <v>GCIA COMERCIAL CALI SUR DEL VALLE</v>
          </cell>
        </row>
        <row r="417">
          <cell r="B417" t="str">
            <v>GCIA COMERCIAL CUCUTA</v>
          </cell>
        </row>
        <row r="418">
          <cell r="B418" t="str">
            <v>GCIA COMERCIAL DE CANALES ALTERNOS</v>
          </cell>
        </row>
        <row r="419">
          <cell r="B419" t="str">
            <v>GCIA COMERCIAL DE PERSONAS NATURALES</v>
          </cell>
        </row>
        <row r="420">
          <cell r="B420" t="str">
            <v>GCIA COMERCIAL DUITAMA</v>
          </cell>
        </row>
        <row r="421">
          <cell r="B421" t="str">
            <v>GCIA COMERCIAL IBAGUE</v>
          </cell>
        </row>
        <row r="422">
          <cell r="B422" t="str">
            <v>GCIA COMERCIAL INTERNACIONAL</v>
          </cell>
        </row>
        <row r="423">
          <cell r="B423" t="str">
            <v>GCIA COMERCIAL MANIZALEZ</v>
          </cell>
        </row>
        <row r="424">
          <cell r="B424" t="str">
            <v>GCIA COMERCIAL MEDIOS DE PAGO</v>
          </cell>
        </row>
        <row r="425">
          <cell r="B425" t="str">
            <v>GCIA COMERCIAL NEIVA</v>
          </cell>
        </row>
        <row r="426">
          <cell r="B426" t="str">
            <v>GCIA COMERCIAL NORTE</v>
          </cell>
        </row>
        <row r="427">
          <cell r="B427" t="str">
            <v>GCIA COMERCIAL PASTO</v>
          </cell>
        </row>
        <row r="428">
          <cell r="B428" t="str">
            <v>GCIA COMERCIAL PEREIRA</v>
          </cell>
        </row>
        <row r="429">
          <cell r="B429" t="str">
            <v>GCIA COMERCIAL PERIFERICA</v>
          </cell>
        </row>
        <row r="430">
          <cell r="B430" t="str">
            <v>GCIA COMERCIAL POBLADO</v>
          </cell>
        </row>
        <row r="431">
          <cell r="B431" t="str">
            <v>GCIA COMERCIAL PYME 1</v>
          </cell>
        </row>
        <row r="432">
          <cell r="B432" t="str">
            <v>GCIA COMERCIAL PYME 2</v>
          </cell>
        </row>
        <row r="433">
          <cell r="B433" t="str">
            <v>GCIA COMERCIAL PYME 3</v>
          </cell>
        </row>
        <row r="434">
          <cell r="B434" t="str">
            <v>GCIA COMERCIAL PYME 4</v>
          </cell>
        </row>
        <row r="435">
          <cell r="B435" t="str">
            <v>GCIA COMERCIAL PYME CARTAGENA</v>
          </cell>
        </row>
        <row r="436">
          <cell r="B436" t="str">
            <v>GCIA COMERCIAL PYME ESPECIALIZADO CALI</v>
          </cell>
        </row>
        <row r="437">
          <cell r="B437" t="str">
            <v>GCIA COMERCIAL PYME ZONA SINU Y SABANAS</v>
          </cell>
        </row>
        <row r="438">
          <cell r="B438" t="str">
            <v>GCIA COMERCIAL SEGUROS</v>
          </cell>
        </row>
        <row r="439">
          <cell r="B439" t="str">
            <v>GCIA COMERCIAL VILLAVICENCIO</v>
          </cell>
        </row>
        <row r="440">
          <cell r="B440" t="str">
            <v>GCIA COMPENSACION Y REGISTRO</v>
          </cell>
        </row>
        <row r="441">
          <cell r="B441" t="str">
            <v>GCIA COMPLIANCE ESTRATEGICO</v>
          </cell>
        </row>
        <row r="442">
          <cell r="B442" t="str">
            <v>GCIA COMPLIANCE MESA DE DINERO</v>
          </cell>
        </row>
        <row r="443">
          <cell r="B443" t="str">
            <v>GCIA COMUNICACIONES BOGOTA</v>
          </cell>
        </row>
        <row r="444">
          <cell r="B444" t="str">
            <v>GCIA CONOCIMIENTO DEL CLIENTE</v>
          </cell>
        </row>
        <row r="445">
          <cell r="B445" t="str">
            <v>GCIA CONOCIMIENTO SECTORIAL Y ANALITICO</v>
          </cell>
        </row>
        <row r="446">
          <cell r="B446" t="str">
            <v>GCIA CONSOLIDACION IFRS Y USGAAP</v>
          </cell>
        </row>
        <row r="447">
          <cell r="B447" t="str">
            <v>GCIA CONTABILIDAD FIDUCIARIA</v>
          </cell>
        </row>
        <row r="448">
          <cell r="B448" t="str">
            <v>GCIA CONTABLE ADMINISTRATIVA</v>
          </cell>
        </row>
        <row r="449">
          <cell r="B449" t="str">
            <v>GCIA CONTRATACION Y COMPRAS</v>
          </cell>
        </row>
        <row r="450">
          <cell r="B450" t="str">
            <v>GCIA CONTROL FINANCIERO LEASING</v>
          </cell>
        </row>
        <row r="451">
          <cell r="B451" t="str">
            <v>GCIA CORRESPONSALES</v>
          </cell>
        </row>
        <row r="452">
          <cell r="B452" t="str">
            <v>GCIA CORRESPONSALES NO BANCARIOS</v>
          </cell>
        </row>
        <row r="453">
          <cell r="B453" t="str">
            <v>GCIA CRM ANALITICO BEG</v>
          </cell>
        </row>
        <row r="454">
          <cell r="B454" t="str">
            <v>GCIA CUANTIFICACION DE RIESGO</v>
          </cell>
        </row>
        <row r="455">
          <cell r="B455" t="str">
            <v>GCIA CUMPLIMIENTO EMPRESAS Y GOBIERNO</v>
          </cell>
        </row>
        <row r="456">
          <cell r="B456" t="str">
            <v>GCIA CUMPLIMIENTO INTERNACIONAL</v>
          </cell>
        </row>
        <row r="457">
          <cell r="B457" t="str">
            <v>GCIA CUMPLIMIENTO MERCADO CAPITALES</v>
          </cell>
        </row>
        <row r="458">
          <cell r="B458" t="str">
            <v>GCIA CUMPLIMIENTO PERSONAS  Y CANALES</v>
          </cell>
        </row>
        <row r="459">
          <cell r="B459" t="str">
            <v>GCIA CUMPLIMIENTO PP INMOBILIARIO Y CONS</v>
          </cell>
        </row>
        <row r="460">
          <cell r="B460" t="str">
            <v>GCIA CUMPLIMIENTO PYMES INMOBILIARIO</v>
          </cell>
        </row>
        <row r="461">
          <cell r="B461" t="str">
            <v>GCIA DE ACEPTACION DE MEDIOS DE PAGO</v>
          </cell>
        </row>
        <row r="462">
          <cell r="B462" t="str">
            <v>GCIA DE APOYO A USUARIOS DE TI</v>
          </cell>
        </row>
        <row r="463">
          <cell r="B463" t="str">
            <v>GCIA DE APOYO AL NEGOCIO PGC</v>
          </cell>
        </row>
        <row r="464">
          <cell r="B464" t="str">
            <v>GCIA DE ARRENDAMIENTO Y RENTING</v>
          </cell>
        </row>
        <row r="465">
          <cell r="B465" t="str">
            <v>GCIA DE ASESORIA EN COMUNICACIONES</v>
          </cell>
        </row>
        <row r="466">
          <cell r="B466" t="str">
            <v>GCIA DE ATENCION AL CLIENTE</v>
          </cell>
        </row>
        <row r="467">
          <cell r="B467" t="str">
            <v>GCIA DE CANALES MERCADO DE CAPITALES</v>
          </cell>
        </row>
        <row r="468">
          <cell r="B468" t="str">
            <v>GCIA DE CANALES MOVILES</v>
          </cell>
        </row>
        <row r="469">
          <cell r="B469" t="str">
            <v>GCIA DE COMPENSACION E INCENTIVOS</v>
          </cell>
        </row>
        <row r="470">
          <cell r="B470" t="str">
            <v>GCIA DE CONTENIDOS</v>
          </cell>
        </row>
        <row r="471">
          <cell r="B471" t="str">
            <v>GCIA DE CONTINUIDAD DE TI</v>
          </cell>
        </row>
        <row r="472">
          <cell r="B472" t="str">
            <v>GCIA DE CREDITO CONSTRUCTORES</v>
          </cell>
        </row>
        <row r="473">
          <cell r="B473" t="str">
            <v>GCIA DE CREDITO EMPRENDEDOR</v>
          </cell>
        </row>
        <row r="474">
          <cell r="B474" t="str">
            <v>GCIA DE CRÉDITO EMPRENDEDOR</v>
          </cell>
        </row>
        <row r="475">
          <cell r="B475" t="str">
            <v>GCIA DE CREDITO GOBIERNO E INST</v>
          </cell>
        </row>
        <row r="476">
          <cell r="B476" t="str">
            <v>GCIA DE CREDITO HIPOTECARIO</v>
          </cell>
        </row>
        <row r="477">
          <cell r="B477" t="str">
            <v>GCIA DE CREDITO INTERNACIONAL</v>
          </cell>
        </row>
        <row r="478">
          <cell r="B478" t="str">
            <v>GCIA DE CREDITO PYME ANT Y BOG</v>
          </cell>
        </row>
        <row r="479">
          <cell r="B479" t="str">
            <v>GCIA DE CREDITO SUFI</v>
          </cell>
        </row>
        <row r="480">
          <cell r="B480" t="str">
            <v>GCIA DE DEFINICIONES CONTABLES CORPORATI</v>
          </cell>
        </row>
        <row r="481">
          <cell r="B481" t="str">
            <v>GCIA DE DISEÑO ORGANIZACIONAL</v>
          </cell>
        </row>
        <row r="482">
          <cell r="B482" t="str">
            <v>GCIA DE EJECUCION</v>
          </cell>
        </row>
        <row r="483">
          <cell r="B483" t="str">
            <v>GCIA DE EJECUCION ESTRATEGICA</v>
          </cell>
        </row>
        <row r="484">
          <cell r="B484" t="str">
            <v>GCIA DE ESTRATEGIA Y ARQ DE INF DE TI</v>
          </cell>
        </row>
        <row r="485">
          <cell r="B485" t="str">
            <v>GCIA DE ESTRATEGIA Y ARQ EMPRESARIAL</v>
          </cell>
        </row>
        <row r="486">
          <cell r="B486" t="str">
            <v>GCIA DE ESTRUCTURACION Y DLLO PDTOS SUFI</v>
          </cell>
        </row>
        <row r="487">
          <cell r="B487" t="str">
            <v>GCIA DE FONDOS E INGENIERIA FINANCIERA</v>
          </cell>
        </row>
        <row r="488">
          <cell r="B488" t="str">
            <v>GCIA DE GERENCIAMIENTO CENTRALIZADO ANT</v>
          </cell>
        </row>
        <row r="489">
          <cell r="B489" t="str">
            <v>GCIA DE GERENCIAMIENTO CENTRALIZADO ANT2</v>
          </cell>
        </row>
        <row r="490">
          <cell r="B490" t="str">
            <v>GCIA DE GERENCIAMIENTO CENTRALIZADO SUR</v>
          </cell>
        </row>
        <row r="491">
          <cell r="B491" t="str">
            <v>GCIA DE GESTION AMBIENTAL</v>
          </cell>
        </row>
        <row r="492">
          <cell r="B492" t="str">
            <v>GCIA DE GESTION DE CANALES Y SERVICIO</v>
          </cell>
        </row>
        <row r="493">
          <cell r="B493" t="str">
            <v>GCIA DE GESTION DE FORMACION Y ENTRENAM</v>
          </cell>
        </row>
        <row r="494">
          <cell r="B494" t="str">
            <v>GCIA DE GESTION DE INFRAESTRUCTURA</v>
          </cell>
        </row>
        <row r="495">
          <cell r="B495" t="str">
            <v>GCIA DE GESTION MERCADO CAPITALES</v>
          </cell>
        </row>
        <row r="496">
          <cell r="B496" t="str">
            <v>GCIA DE GOBIERNO PYME REG ANTIOQUIA</v>
          </cell>
        </row>
        <row r="497">
          <cell r="B497" t="str">
            <v>GCIA DE GOBIERNO PYME REGION CENTRO 1</v>
          </cell>
        </row>
        <row r="498">
          <cell r="B498" t="str">
            <v>GCIA DE GOBIERNO PYME REGION CENTRO 2</v>
          </cell>
        </row>
        <row r="499">
          <cell r="B499" t="str">
            <v>GCIA DE GOBIERNO PYME REGION SUR</v>
          </cell>
        </row>
        <row r="500">
          <cell r="B500" t="str">
            <v>GCIA DE IMPUESTOS CORPORATIVOS</v>
          </cell>
        </row>
        <row r="501">
          <cell r="B501" t="str">
            <v>GCIA DE INGENIERIA DE PROCS DE FILIALES</v>
          </cell>
        </row>
        <row r="502">
          <cell r="B502" t="str">
            <v>GCIA DE INICIATIVAS</v>
          </cell>
        </row>
        <row r="503">
          <cell r="B503" t="str">
            <v>GCIA DE INNOVACION Y NUEVAS TECNOLOGIAS</v>
          </cell>
        </row>
        <row r="504">
          <cell r="B504" t="str">
            <v>GCIA DE INTEGRACION DE PORTAFOLIOS</v>
          </cell>
        </row>
        <row r="505">
          <cell r="B505" t="str">
            <v>GCIA DE LIQUIDEZ</v>
          </cell>
        </row>
        <row r="506">
          <cell r="B506" t="str">
            <v>GCIA DE METODOLOGIA</v>
          </cell>
        </row>
        <row r="507">
          <cell r="B507" t="str">
            <v>GCIA DE NEGOCIOS CANALES</v>
          </cell>
        </row>
        <row r="508">
          <cell r="B508" t="str">
            <v>GCIA DE NEGOCIOS CONSUMO</v>
          </cell>
        </row>
        <row r="509">
          <cell r="B509" t="str">
            <v>GCIA DE NEGOCIOS EDUCATIVO</v>
          </cell>
        </row>
        <row r="510">
          <cell r="B510" t="str">
            <v>GCIA DE NEGOCIOS MOTOS</v>
          </cell>
        </row>
        <row r="511">
          <cell r="B511" t="str">
            <v>GCIA DE NEGOCIOS VEHICULOS 1</v>
          </cell>
        </row>
        <row r="512">
          <cell r="B512" t="str">
            <v>GCIA DE NEGOCIOS VEHICULOS 2</v>
          </cell>
        </row>
        <row r="513">
          <cell r="B513" t="str">
            <v>GCIA DE OPERACIONES DE CLIENTES</v>
          </cell>
        </row>
        <row r="514">
          <cell r="B514" t="str">
            <v>GCIA DE OPERACIONES INTERNACIONALES</v>
          </cell>
        </row>
        <row r="515">
          <cell r="B515" t="str">
            <v>GCIA DE OPERACIONES REGIONALES</v>
          </cell>
        </row>
        <row r="516">
          <cell r="B516" t="str">
            <v>GCIA DE ORIGINACION DE PRODUCTOS</v>
          </cell>
        </row>
        <row r="517">
          <cell r="B517" t="str">
            <v>GCIA DE PLATAFORMAS CENTRALES</v>
          </cell>
        </row>
        <row r="518">
          <cell r="B518" t="str">
            <v>GCIA DE PLATAFORMAS DISTRIBUIDAS</v>
          </cell>
        </row>
        <row r="519">
          <cell r="B519" t="str">
            <v>GCIA DE PROCESOS CONTABLES</v>
          </cell>
        </row>
        <row r="520">
          <cell r="B520" t="str">
            <v>GCIA DE PROCESOS CONTABLES T</v>
          </cell>
        </row>
        <row r="521">
          <cell r="B521" t="str">
            <v>GCIA DE PROCESOS PIC</v>
          </cell>
        </row>
        <row r="522">
          <cell r="B522" t="str">
            <v>GCIA DE PRODUCTO DEBITO Y PREPAGO</v>
          </cell>
        </row>
        <row r="523">
          <cell r="B523" t="str">
            <v>GCIA DE PRODUCTO TARJETA DEBITO PREPAGO</v>
          </cell>
        </row>
        <row r="524">
          <cell r="B524" t="str">
            <v>GCIA DE PRODUCTOS CAPTACIONES ME</v>
          </cell>
        </row>
        <row r="525">
          <cell r="B525" t="str">
            <v>GCIA DE PRODUCTOS DE AHORRO E INVERSION</v>
          </cell>
        </row>
        <row r="526">
          <cell r="B526" t="str">
            <v>GCIA DE PRODUCTOS DE FINANCIACION</v>
          </cell>
        </row>
        <row r="527">
          <cell r="B527" t="str">
            <v>GCIA DE PRODUCTOS HIPOTECARIOS</v>
          </cell>
        </row>
        <row r="528">
          <cell r="B528" t="str">
            <v>GCIA DE PRODUCTOS MIT</v>
          </cell>
        </row>
        <row r="529">
          <cell r="B529" t="str">
            <v>GCIA DE PRODUCTOS PYME Y GOBIERNO DE RED</v>
          </cell>
        </row>
        <row r="530">
          <cell r="B530" t="str">
            <v>GCIA DE PRODUCTOS TARJETAS DE CREDITO</v>
          </cell>
        </row>
        <row r="531">
          <cell r="B531" t="str">
            <v>GCIA DE RELACIONES LABORALES</v>
          </cell>
        </row>
        <row r="532">
          <cell r="B532" t="str">
            <v>GCIA DE REQUERIMIENTOS INSTITUCIONALES</v>
          </cell>
        </row>
        <row r="533">
          <cell r="B533" t="str">
            <v>GCIA DE RIESGO DE POSICION PROPIA</v>
          </cell>
        </row>
        <row r="534">
          <cell r="B534" t="str">
            <v>GCIA DE RIESGOS DE CREDITO ESTRUCTURADO</v>
          </cell>
        </row>
        <row r="535">
          <cell r="B535" t="str">
            <v>GCIA DE RIESGOS FACTORING</v>
          </cell>
        </row>
        <row r="536">
          <cell r="B536" t="str">
            <v>GCIA DE SEGMENTO PERSONAS</v>
          </cell>
        </row>
        <row r="537">
          <cell r="B537" t="str">
            <v>GCIA DE SEGURIDAD DE LA INFRAESTRUCTURA</v>
          </cell>
        </row>
        <row r="538">
          <cell r="B538" t="str">
            <v>GCIA DE SEGURIDAD DE TI</v>
          </cell>
        </row>
        <row r="539">
          <cell r="B539" t="str">
            <v>GCIA DE SEGURIDAD PERIMETRAL</v>
          </cell>
        </row>
        <row r="540">
          <cell r="B540" t="str">
            <v>GCIA DE SEGUROS LEASING Y RENTING</v>
          </cell>
        </row>
        <row r="541">
          <cell r="B541" t="str">
            <v>GCIA DE SELECCION Y DESARROLLO</v>
          </cell>
        </row>
        <row r="542">
          <cell r="B542" t="str">
            <v>GCIA DE SERVICIOS Y RELACIONES SUFI</v>
          </cell>
        </row>
        <row r="543">
          <cell r="B543" t="str">
            <v>GCIA DE SOLUCIONES CCIALES Y CONVENIOS</v>
          </cell>
        </row>
        <row r="544">
          <cell r="B544" t="str">
            <v>GCIA DE TELECOMUNICACIONES</v>
          </cell>
        </row>
        <row r="545">
          <cell r="B545" t="str">
            <v>GCIA DE TESORERIA</v>
          </cell>
        </row>
        <row r="546">
          <cell r="B546" t="str">
            <v>GCIA DE TRANSPORTE</v>
          </cell>
        </row>
        <row r="547">
          <cell r="B547" t="str">
            <v>GCIA DE VALORACION Y ANALISIS COMERCIAL</v>
          </cell>
        </row>
        <row r="548">
          <cell r="B548" t="str">
            <v>GCIA DE VENTAS  SUFI BOGOTA 1</v>
          </cell>
        </row>
        <row r="549">
          <cell r="B549" t="str">
            <v>GCIA DE VENTAS  SUFI BOGOTA 2</v>
          </cell>
        </row>
        <row r="550">
          <cell r="B550" t="str">
            <v>GCIA DE VENTAS  SUFI BOGOTA 3</v>
          </cell>
        </row>
        <row r="551">
          <cell r="B551" t="str">
            <v>GCIA DE VENTAS SUFI ANTIOQUIA</v>
          </cell>
        </row>
        <row r="552">
          <cell r="B552" t="str">
            <v>GCIA DE VENTAS SUFI ANTIOQUIA 2</v>
          </cell>
        </row>
        <row r="553">
          <cell r="B553" t="str">
            <v>GCIA DE VENTAS SUFI CARIBE</v>
          </cell>
        </row>
        <row r="554">
          <cell r="B554" t="str">
            <v>GCIA DE VENTAS SUFI EJE CAFETERO</v>
          </cell>
        </row>
        <row r="555">
          <cell r="B555" t="str">
            <v>GCIA DE VENTAS SUFI VALLE CAUCA Y NARIÑO</v>
          </cell>
        </row>
        <row r="556">
          <cell r="B556" t="str">
            <v>GCIA DE ZONA BARRANQUILLA Y ATLANTICO</v>
          </cell>
        </row>
        <row r="557">
          <cell r="B557" t="str">
            <v>GCIA DE ZONA BQUILLA BANCA ESPECIALIZADA</v>
          </cell>
        </row>
        <row r="558">
          <cell r="B558" t="str">
            <v>GCIA DERIVADOS</v>
          </cell>
        </row>
        <row r="559">
          <cell r="B559" t="str">
            <v>GCIA DERIVADOS Y CAMBIARIO</v>
          </cell>
        </row>
        <row r="560">
          <cell r="B560" t="str">
            <v>GCIA DESARROLLO DE CANALES</v>
          </cell>
        </row>
        <row r="561">
          <cell r="B561" t="str">
            <v>GCIA DESARROLLO DE NEGOCIOS</v>
          </cell>
        </row>
        <row r="562">
          <cell r="B562" t="str">
            <v>GCIA DESARROLLO INTERNACIONAL</v>
          </cell>
        </row>
        <row r="563">
          <cell r="B563" t="str">
            <v>GCIA DISEÑO IMPLEMENTACION DE SEGURIDAD</v>
          </cell>
        </row>
        <row r="564">
          <cell r="B564" t="str">
            <v>GCIA DISTRIBUCION COMERCIAL PYME</v>
          </cell>
        </row>
        <row r="565">
          <cell r="B565" t="str">
            <v>GCIA DLLO APLICACIONES CORPORATIVAS</v>
          </cell>
        </row>
        <row r="566">
          <cell r="B566" t="str">
            <v>GCIA DLLO CANALES DE INTERNET</v>
          </cell>
        </row>
        <row r="567">
          <cell r="B567" t="str">
            <v>GCIA DLLO CLIENTES CRM</v>
          </cell>
        </row>
        <row r="568">
          <cell r="B568" t="str">
            <v>GCIA DLLO DE CLIENTES Y ERP</v>
          </cell>
        </row>
        <row r="569">
          <cell r="B569" t="str">
            <v>GCIA DLLO DE TESORERIA</v>
          </cell>
        </row>
        <row r="570">
          <cell r="B570" t="str">
            <v>GCIA DLLO FILIALES DEL EXTERIOR</v>
          </cell>
        </row>
        <row r="571">
          <cell r="B571" t="str">
            <v>GCIA DLLO MEDIOS DE PAGO</v>
          </cell>
        </row>
        <row r="572">
          <cell r="B572" t="str">
            <v>GCIA DLLO MERCADO DE CAPITALES</v>
          </cell>
        </row>
        <row r="573">
          <cell r="B573" t="str">
            <v>GCIA DLLO NEGOCIOS DEL ACTIVO</v>
          </cell>
        </row>
        <row r="574">
          <cell r="B574" t="str">
            <v>GCIA DLLO NEGOCIOS DEL PASIVO Y ESPECIAL</v>
          </cell>
        </row>
        <row r="575">
          <cell r="B575" t="str">
            <v>GCIA DLLO SERVICIOS DE INFORMACION</v>
          </cell>
        </row>
        <row r="576">
          <cell r="B576" t="str">
            <v>GCIA DLLO SERVICIOS DE INTEGRACION BPM</v>
          </cell>
        </row>
        <row r="577">
          <cell r="B577" t="str">
            <v>GCIA ECONOMIA Y RENTA FIJA</v>
          </cell>
        </row>
        <row r="578">
          <cell r="B578" t="str">
            <v>GCIA EJECUCION DE PRUEBAS</v>
          </cell>
        </row>
        <row r="579">
          <cell r="B579" t="str">
            <v>GCIA EJECUTIVA</v>
          </cell>
        </row>
        <row r="580">
          <cell r="B580" t="str">
            <v>GCIA EJECUTIVA FACTORING</v>
          </cell>
        </row>
        <row r="581">
          <cell r="B581" t="str">
            <v>GCIA EMPRESAS Y PYME BOGOTA</v>
          </cell>
        </row>
        <row r="582">
          <cell r="B582" t="str">
            <v>GCIA ESPECIALISTAS RENTA FIJA</v>
          </cell>
        </row>
        <row r="583">
          <cell r="B583" t="str">
            <v>GCIA ESPECIALITAS FONDOS Y APT</v>
          </cell>
        </row>
        <row r="584">
          <cell r="B584" t="str">
            <v>GCIA ESPECIALIZADA RENTA VARIABLE</v>
          </cell>
        </row>
        <row r="585">
          <cell r="B585" t="str">
            <v>GCIA ESTADOS FINANCIEROS BCO Y FILIALES</v>
          </cell>
        </row>
        <row r="586">
          <cell r="B586" t="str">
            <v>GCIA ESTGIA  JURID SOLUC Y CONSOLIDACION</v>
          </cell>
        </row>
        <row r="587">
          <cell r="B587" t="str">
            <v>GCIA ESTRAT ARQ DE INFRAEST Y CONTUNIDAD</v>
          </cell>
        </row>
        <row r="588">
          <cell r="B588" t="str">
            <v>GCIA ESTRATEGIA COBERTURA DE CANALES</v>
          </cell>
        </row>
        <row r="589">
          <cell r="B589" t="str">
            <v>GCIA ESTRATEGIA COMERCIAL</v>
          </cell>
        </row>
        <row r="590">
          <cell r="B590" t="str">
            <v>GCIA ESTRATEGIA DE ABASTECIMINETO Y TERC</v>
          </cell>
        </row>
        <row r="591">
          <cell r="B591" t="str">
            <v>GCIA ESTRATEGIA DE CERTIFICACION</v>
          </cell>
        </row>
        <row r="592">
          <cell r="B592" t="str">
            <v>GCIA ESTRATEGIA DE OUTSOURCING</v>
          </cell>
        </row>
        <row r="593">
          <cell r="B593" t="str">
            <v>GCIA ESTRATEGIA DE RIESGO OPERACIONAL</v>
          </cell>
        </row>
        <row r="594">
          <cell r="B594" t="str">
            <v>GCIA ESTRATEGIA MULTICANAL DE SERVICIO</v>
          </cell>
        </row>
        <row r="595">
          <cell r="B595" t="str">
            <v>GCIA ESTRATEGIA Y GESTION ANALITICA</v>
          </cell>
        </row>
        <row r="596">
          <cell r="B596" t="str">
            <v>GCIA ESTRATEGIAS INTEGRALES DE INCLUSION</v>
          </cell>
        </row>
        <row r="597">
          <cell r="B597" t="str">
            <v>GCIA ESTRATEGICA DE COMPLIANCE</v>
          </cell>
        </row>
        <row r="598">
          <cell r="B598" t="str">
            <v>GCIA ESTRUCTURACION ADUANERA Y CAMBIARIA</v>
          </cell>
        </row>
        <row r="599">
          <cell r="B599" t="str">
            <v>GCIA ESTRUCTURACION DE NEGOCIOS</v>
          </cell>
        </row>
        <row r="600">
          <cell r="B600" t="str">
            <v>GCIA ESTRUCTURACION OPERATIVA</v>
          </cell>
        </row>
        <row r="601">
          <cell r="B601" t="str">
            <v>GCIA ESTRUCTURACION TRIBUTARIA</v>
          </cell>
        </row>
        <row r="602">
          <cell r="B602" t="str">
            <v>GCIA ESTRUCTURACIONES INTERNACIONALES</v>
          </cell>
        </row>
        <row r="603">
          <cell r="B603" t="str">
            <v>GCIA EXPERIENCIA CLIENTES</v>
          </cell>
        </row>
        <row r="604">
          <cell r="B604" t="str">
            <v>GCIA FIDUCIA EN GARANTIA</v>
          </cell>
        </row>
        <row r="605">
          <cell r="B605" t="str">
            <v>GCIA FIDUCIA PUBLICA</v>
          </cell>
        </row>
        <row r="606">
          <cell r="B606" t="str">
            <v>GCIA FINANCIERA FONDO INMOBILIARIO</v>
          </cell>
        </row>
        <row r="607">
          <cell r="B607" t="str">
            <v>GCIA FINANCIERA PERSONAS</v>
          </cell>
        </row>
        <row r="608">
          <cell r="B608" t="str">
            <v>GCIA FONDO INMOBILIARIO COLOMBIA</v>
          </cell>
        </row>
        <row r="609">
          <cell r="B609" t="str">
            <v>GCIA FORMULACION ESTRATEGICA</v>
          </cell>
        </row>
        <row r="610">
          <cell r="B610" t="str">
            <v>GCIA GERENCIAMIENTO CENTRALIZADO BOG</v>
          </cell>
        </row>
        <row r="611">
          <cell r="B611" t="str">
            <v>GCIA GERENCIAMIENTO CENTRALIZADO BOG 2</v>
          </cell>
        </row>
        <row r="612">
          <cell r="B612" t="str">
            <v>GCIA GESTION  SERVICIO VP ADMINISTRATIVA</v>
          </cell>
        </row>
        <row r="613">
          <cell r="B613" t="str">
            <v>GCIA GESTION  SERVICIOS CORPORATIVOS</v>
          </cell>
        </row>
        <row r="614">
          <cell r="B614" t="str">
            <v>GCIA GESTION COMERCIAL</v>
          </cell>
        </row>
        <row r="615">
          <cell r="B615" t="str">
            <v>GCIA GESTION CSC CANALES</v>
          </cell>
        </row>
        <row r="616">
          <cell r="B616" t="str">
            <v>GCIA GESTION DE INGRESOS</v>
          </cell>
        </row>
        <row r="617">
          <cell r="B617" t="str">
            <v>GCIA GESTION DE LA FUERZA COMERCIAL</v>
          </cell>
        </row>
        <row r="618">
          <cell r="B618" t="str">
            <v>GCIA GESTION DE PORTAFOLIO</v>
          </cell>
        </row>
        <row r="619">
          <cell r="B619" t="str">
            <v>GCIA GESTION DE PROYECTOS</v>
          </cell>
        </row>
        <row r="620">
          <cell r="B620" t="str">
            <v>GCIA GESTION DEL CAMBIO Y CULTURA</v>
          </cell>
        </row>
        <row r="621">
          <cell r="B621" t="str">
            <v>GCIA GESTION DEL CONOCIMIENTO</v>
          </cell>
        </row>
        <row r="622">
          <cell r="B622" t="str">
            <v>GCIA GESTION DEL SERVICIO VP AUDITORIA</v>
          </cell>
        </row>
        <row r="623">
          <cell r="B623" t="str">
            <v>GCIA GESTION DOCUMENTAL</v>
          </cell>
        </row>
        <row r="624">
          <cell r="B624" t="str">
            <v>GCIA GESTION FINANCIERA Y PROVEEDORES</v>
          </cell>
        </row>
        <row r="625">
          <cell r="B625" t="str">
            <v>GCIA GESTION INFORMACION DE RIESGOS</v>
          </cell>
        </row>
        <row r="626">
          <cell r="B626" t="str">
            <v>GCIA GESTION INMOBILIARIA</v>
          </cell>
        </row>
        <row r="627">
          <cell r="B627" t="str">
            <v>GCIA GESTION INMOBILIARIA</v>
          </cell>
        </row>
        <row r="628">
          <cell r="B628" t="str">
            <v>GCIA GESTION MONITOREO DE SEGURIDAD</v>
          </cell>
        </row>
        <row r="629">
          <cell r="B629" t="str">
            <v>GCIA GESTION RECUPERACION DE ACTIVOS</v>
          </cell>
        </row>
        <row r="630">
          <cell r="B630" t="str">
            <v>GCIA GESTION VICEPRESIDENCIA BCA EMP</v>
          </cell>
        </row>
        <row r="631">
          <cell r="B631" t="str">
            <v>GCIA GESTION VIP ESTRATEGIA Y FINANZ</v>
          </cell>
        </row>
        <row r="632">
          <cell r="B632" t="str">
            <v>GCIA GESTION VP BANCA HIPOTECARIA</v>
          </cell>
        </row>
        <row r="633">
          <cell r="B633" t="str">
            <v>GCIA GESTION VP INMOBILIARIA Y CONSUMO</v>
          </cell>
        </row>
        <row r="634">
          <cell r="B634" t="str">
            <v>GCIA GESTION VP SECRETARIA GENERAL</v>
          </cell>
        </row>
        <row r="635">
          <cell r="B635" t="str">
            <v>GCIA GOBIERNO PYME REGION BOGOTA</v>
          </cell>
        </row>
        <row r="636">
          <cell r="B636" t="str">
            <v>GCIA GOBIERNO PYME REGION CARIBE</v>
          </cell>
        </row>
        <row r="637">
          <cell r="B637" t="str">
            <v>GCIA GOBIERNO Y DESARROLLO DE PROVEEDORE</v>
          </cell>
        </row>
        <row r="638">
          <cell r="B638" t="str">
            <v>GCIA GOBIERNO Y ESTRATEGIA DE SEGURIDAD</v>
          </cell>
        </row>
        <row r="639">
          <cell r="B639" t="str">
            <v>GCIA GTION DEMANDA DE RIESGOS</v>
          </cell>
        </row>
        <row r="640">
          <cell r="B640" t="str">
            <v>GCIA GTION DEMANDA EMPRESAS Y GOB</v>
          </cell>
        </row>
        <row r="641">
          <cell r="B641" t="str">
            <v>GCIA GTION DEMANDA FUNCIONES CORPS</v>
          </cell>
        </row>
        <row r="642">
          <cell r="B642" t="str">
            <v>GCIA GTION DEMANDA INMOB CONS ESPECIALIZ</v>
          </cell>
        </row>
        <row r="643">
          <cell r="B643" t="str">
            <v>GCIA GTION DEMANDA INTERNACIONAL</v>
          </cell>
        </row>
        <row r="644">
          <cell r="B644" t="str">
            <v>GCIA GTION DEMANDA MERCADO CAPITALES</v>
          </cell>
        </row>
        <row r="645">
          <cell r="B645" t="str">
            <v>GCIA GTION DEMANDA OPERACIONES TI INNOVA</v>
          </cell>
        </row>
        <row r="646">
          <cell r="B646" t="str">
            <v>GCIA GTION DEMANDA PERSONAS Y PYME</v>
          </cell>
        </row>
        <row r="647">
          <cell r="B647" t="str">
            <v>GCIA GTION DEMANDA SERV PARA CLIENTES</v>
          </cell>
        </row>
        <row r="648">
          <cell r="B648" t="str">
            <v>GCIA GTION PORTAFOLIO TARJETA DE CREDITO</v>
          </cell>
        </row>
        <row r="649">
          <cell r="B649" t="str">
            <v>GCIA GTION VP  PNAS Y PYMES</v>
          </cell>
        </row>
        <row r="650">
          <cell r="B650" t="str">
            <v>GCIA GTION VP BCA PNAS Y PYMES</v>
          </cell>
        </row>
        <row r="651">
          <cell r="B651" t="str">
            <v>GCIA INFRAESTRUCTURA CENTRO OPERATIVO</v>
          </cell>
        </row>
        <row r="652">
          <cell r="B652" t="str">
            <v>GCIA INFRAESTRUCTURA DE LA SOLUCION</v>
          </cell>
        </row>
        <row r="653">
          <cell r="B653" t="str">
            <v>GCIA INFRAESTRUCTURA DE SUCURSALES Y AUT</v>
          </cell>
        </row>
        <row r="654">
          <cell r="B654" t="str">
            <v>GCIA INFRAESTRUCUTRA Y CIUDADES</v>
          </cell>
        </row>
        <row r="655">
          <cell r="B655" t="str">
            <v>GCIA INNOVACION</v>
          </cell>
        </row>
        <row r="656">
          <cell r="B656" t="str">
            <v>GCIA INSTITUCIONAL Y GOBIERNO</v>
          </cell>
        </row>
        <row r="657">
          <cell r="B657" t="str">
            <v>GCIA INTERNACIONAL Y DIVISAS</v>
          </cell>
        </row>
        <row r="658">
          <cell r="B658" t="str">
            <v>GCIA INVERSIONES INTERNACIONALES</v>
          </cell>
        </row>
        <row r="659">
          <cell r="B659" t="str">
            <v>GCIA INVESTIGACION Y DLLO DE PRODUCTOS</v>
          </cell>
        </row>
        <row r="660">
          <cell r="B660" t="str">
            <v>GCIA JURIDICA ASESORIA CAMBIARIA</v>
          </cell>
        </row>
        <row r="661">
          <cell r="B661" t="str">
            <v>GCIA JURIDICA BANCA DE INVERSION</v>
          </cell>
        </row>
        <row r="662">
          <cell r="B662" t="str">
            <v>GCIA JURIDICA CORPORATIVA</v>
          </cell>
        </row>
        <row r="663">
          <cell r="B663" t="str">
            <v>GCIA JURIDICA CORPORATIVA E INSTITUCIONA</v>
          </cell>
        </row>
        <row r="664">
          <cell r="B664" t="str">
            <v>GCIA JURIDICA DE COBRANZAS</v>
          </cell>
        </row>
        <row r="665">
          <cell r="B665" t="str">
            <v>GCIA JURIDICA DE PROCESOS ESPECIALES</v>
          </cell>
        </row>
        <row r="666">
          <cell r="B666" t="str">
            <v>GCIA JURIDICA DE REGU Y RELACIONES GUBER</v>
          </cell>
        </row>
        <row r="667">
          <cell r="B667" t="str">
            <v>GCIA JURIDICA DE TESORERIA Y ESTRUCTURAC</v>
          </cell>
        </row>
        <row r="668">
          <cell r="B668" t="str">
            <v>GCIA JURIDICA EMPRESAS Y GOB LEASING</v>
          </cell>
        </row>
        <row r="669">
          <cell r="B669" t="str">
            <v>GCIA JURIDICA ESTRUC Y PROYEC ESPEC</v>
          </cell>
        </row>
        <row r="670">
          <cell r="B670" t="str">
            <v>GCIA JURIDICA FIDU Y ADMON ACTIVOS</v>
          </cell>
        </row>
        <row r="671">
          <cell r="B671" t="str">
            <v>GCIA JURIDICA FONDO INMOBILIARIO</v>
          </cell>
        </row>
        <row r="672">
          <cell r="B672" t="str">
            <v>GCIA JURIDICA INSTITUCIONAL</v>
          </cell>
        </row>
        <row r="673">
          <cell r="B673" t="str">
            <v>GCIA JURIDICA INTERNAL Y  ESTRUCTURACION</v>
          </cell>
        </row>
        <row r="674">
          <cell r="B674" t="str">
            <v>GCIA JURIDICA LEASING</v>
          </cell>
        </row>
        <row r="675">
          <cell r="B675" t="str">
            <v>GCIA JURIDICA LEASING FINANCIERO E INTER</v>
          </cell>
        </row>
        <row r="676">
          <cell r="B676" t="str">
            <v>GCIA JURIDICA LEASING PERSONAS Y PYMES</v>
          </cell>
        </row>
        <row r="677">
          <cell r="B677" t="str">
            <v>GCIA JURIDICA NACIONAL PERSONAS  Y PYMES</v>
          </cell>
        </row>
        <row r="678">
          <cell r="B678" t="str">
            <v>GCIA JURIDICA NAL DE EMPRESAS Y GOBIERNO</v>
          </cell>
        </row>
        <row r="679">
          <cell r="B679" t="str">
            <v>GCIA JURIDICA NAL IMMOB Y CONSUMO ESPECI</v>
          </cell>
        </row>
        <row r="680">
          <cell r="B680" t="str">
            <v>GCIA JURIDICA NAL LEASING Y FACTORING</v>
          </cell>
        </row>
        <row r="681">
          <cell r="B681" t="str">
            <v>GCIA JURIDICA PERSONAS Y PYMES LEASING</v>
          </cell>
        </row>
        <row r="682">
          <cell r="B682" t="str">
            <v>GCIA JURIDICA VALORES</v>
          </cell>
        </row>
        <row r="683">
          <cell r="B683" t="str">
            <v>GCIA LIMITES DESEMBOLSOS Y GARANTIAS</v>
          </cell>
        </row>
        <row r="684">
          <cell r="B684" t="str">
            <v>GCIA LINEAS DE NEGOCIO REGION CENTRO</v>
          </cell>
        </row>
        <row r="685">
          <cell r="B685" t="str">
            <v>GCIA LOGISTICA INTEGRAL</v>
          </cell>
        </row>
        <row r="686">
          <cell r="B686" t="str">
            <v>GCIA MAQUINARIA Y OTROS ACTIVOS</v>
          </cell>
        </row>
        <row r="687">
          <cell r="B687" t="str">
            <v>GCIA MARCA Y PUBLICIDAD</v>
          </cell>
        </row>
        <row r="688">
          <cell r="B688" t="str">
            <v>GCIA ME BPP ZONA CALI SUR</v>
          </cell>
        </row>
        <row r="689">
          <cell r="B689" t="str">
            <v>GCIA ME BPP ZONA EJE CAFETERO</v>
          </cell>
        </row>
        <row r="690">
          <cell r="B690" t="str">
            <v>GCIA ME BPP ZONA GERENCIAMIENTO I ANT</v>
          </cell>
        </row>
        <row r="691">
          <cell r="B691" t="str">
            <v>GCIA ME BPP ZONA GERENCIAMIENTO I BOGT</v>
          </cell>
        </row>
        <row r="692">
          <cell r="B692" t="str">
            <v>GCIA ME BPP ZONA GERENCIAMIENTO I SUR</v>
          </cell>
        </row>
        <row r="693">
          <cell r="B693" t="str">
            <v>GCIA ME BPP ZONA GERENCIAMIENTO II ANT</v>
          </cell>
        </row>
        <row r="694">
          <cell r="B694" t="str">
            <v>GCIA ME BPP ZONA GERENCIAMIENTO II BOGT</v>
          </cell>
        </row>
        <row r="695">
          <cell r="B695" t="str">
            <v>GCIA ME BPP ZONA GERENCIAMIENTO III BOGT</v>
          </cell>
        </row>
        <row r="696">
          <cell r="B696" t="str">
            <v>GCIA ME BPP ZONA GERENCIAMIENTO IV BOGT</v>
          </cell>
        </row>
        <row r="697">
          <cell r="B697" t="str">
            <v>GCIA ME BPP ZONA INDUSTRIAL BOGT</v>
          </cell>
        </row>
        <row r="698">
          <cell r="B698" t="str">
            <v>GCIA ME BPP ZONA OCCIDENTE BOGT</v>
          </cell>
        </row>
        <row r="699">
          <cell r="B699" t="str">
            <v>GCIA ME BPP ZONA ORIENTE BOGT</v>
          </cell>
        </row>
        <row r="700">
          <cell r="B700" t="str">
            <v>GCIA ME BPP ZONA POBLADO ANT</v>
          </cell>
        </row>
        <row r="701">
          <cell r="B701" t="str">
            <v>GCIA MERCADEO MK</v>
          </cell>
        </row>
        <row r="702">
          <cell r="B702" t="str">
            <v>GCIA MERCADEO REGION ANTIOQUIA</v>
          </cell>
        </row>
        <row r="703">
          <cell r="B703" t="str">
            <v>GCIA MERCADEO REGION BOGOTA</v>
          </cell>
        </row>
        <row r="704">
          <cell r="B704" t="str">
            <v>GCIA MERCADEO REGION CARIBE</v>
          </cell>
        </row>
        <row r="705">
          <cell r="B705" t="str">
            <v>GCIA MERCADEO REGION CENTRO</v>
          </cell>
        </row>
        <row r="706">
          <cell r="B706" t="str">
            <v>GCIA MERCADEO REGION SUR</v>
          </cell>
        </row>
        <row r="707">
          <cell r="B707" t="str">
            <v>GCIA MERCADEO RELACIONAL MK</v>
          </cell>
        </row>
        <row r="708">
          <cell r="B708" t="str">
            <v>GCIA MERCADO DE CAPITALES Y MONETARIO</v>
          </cell>
        </row>
        <row r="709">
          <cell r="B709" t="str">
            <v>GCIA MET RGO CREDITO EMPRESAS Y GOBIERNO</v>
          </cell>
        </row>
        <row r="710">
          <cell r="B710" t="str">
            <v>GCIA METODOLOGIA RGO MKDO DE CAPITALES</v>
          </cell>
        </row>
        <row r="711">
          <cell r="B711" t="str">
            <v>GCIA METODOLOGIAS CREDITO PERSONAS  PYME</v>
          </cell>
        </row>
        <row r="712">
          <cell r="B712" t="str">
            <v>GCIA MIT GOBIERNO REGION BOGOTA</v>
          </cell>
        </row>
        <row r="713">
          <cell r="B713" t="str">
            <v>GCIA MIT REGION ANTIOQUIA</v>
          </cell>
        </row>
        <row r="714">
          <cell r="B714" t="str">
            <v>GCIA MIT REGION BOGOTA</v>
          </cell>
        </row>
        <row r="715">
          <cell r="B715" t="str">
            <v>GCIA MIT REGION CARIBE</v>
          </cell>
        </row>
        <row r="716">
          <cell r="B716" t="str">
            <v>GCIA MIT REGION SUR</v>
          </cell>
        </row>
        <row r="717">
          <cell r="B717" t="str">
            <v>GCIA MONEDA EXTRAENJERA BPP CARIBE SUR</v>
          </cell>
        </row>
        <row r="718">
          <cell r="B718" t="str">
            <v>GCIA MONEDA EXTRANJERA BE REGION ANT</v>
          </cell>
        </row>
        <row r="719">
          <cell r="B719" t="str">
            <v>GCIA MONEDA EXTRANJERA BE REGION BOG</v>
          </cell>
        </row>
        <row r="720">
          <cell r="B720" t="str">
            <v>GCIA MONEDA EXTRANJERA BE REGION CAR</v>
          </cell>
        </row>
        <row r="721">
          <cell r="B721" t="str">
            <v>GCIA MONEDA EXTRANJERA BE REGION SUR</v>
          </cell>
        </row>
        <row r="722">
          <cell r="B722" t="str">
            <v>GCIA MONEDA EXTRANJERA BPP CARIBE NORTE</v>
          </cell>
        </row>
        <row r="723">
          <cell r="B723" t="str">
            <v>GCIA MONEDA EXTRANJERA BPP CENTRO NORTE</v>
          </cell>
        </row>
        <row r="724">
          <cell r="B724" t="str">
            <v>GCIA MONEDA EXTRANJERA BPP CENTRO SUR</v>
          </cell>
        </row>
        <row r="725">
          <cell r="B725" t="str">
            <v>GCIA MULTICANAL VENTAS Y CANALES CCIALES</v>
          </cell>
        </row>
        <row r="726">
          <cell r="B726" t="str">
            <v>GCIA NACIONAL DE  PRODUCTOS</v>
          </cell>
        </row>
        <row r="727">
          <cell r="B727" t="str">
            <v>GCIA NACIONAL DE MONEDA EXTRANJERA BE</v>
          </cell>
        </row>
        <row r="728">
          <cell r="B728" t="str">
            <v>GCIA NACIONAL DE MONEDA EXTRANJERA BPP</v>
          </cell>
        </row>
        <row r="729">
          <cell r="B729" t="str">
            <v>GCIA NACIONAL MIT</v>
          </cell>
        </row>
        <row r="730">
          <cell r="B730" t="str">
            <v>GCIA NEGOCIOS 2 SUFI</v>
          </cell>
        </row>
        <row r="731">
          <cell r="B731" t="str">
            <v>GCIA NEGOCIOS 3 SUFI</v>
          </cell>
        </row>
        <row r="732">
          <cell r="B732" t="str">
            <v>GCIA NEGOCIOS ESTRUCTURADOS</v>
          </cell>
        </row>
        <row r="733">
          <cell r="B733" t="str">
            <v>GCIA NORMALIZACION JUDICIAL REGION CTRO</v>
          </cell>
        </row>
        <row r="734">
          <cell r="B734" t="str">
            <v>GCIA OFICINA DE PROYECTOS</v>
          </cell>
        </row>
        <row r="735">
          <cell r="B735" t="str">
            <v>GCIA OPERACION PROCESOS DE NEGOCIOS</v>
          </cell>
        </row>
        <row r="736">
          <cell r="B736" t="str">
            <v>GCIA OPERACION Y MONITOREO</v>
          </cell>
        </row>
        <row r="737">
          <cell r="B737" t="str">
            <v>GCIA OPERACIONES  LEASING</v>
          </cell>
        </row>
        <row r="738">
          <cell r="B738" t="str">
            <v>GCIA OPERACIONES CONTABLES</v>
          </cell>
        </row>
        <row r="739">
          <cell r="B739" t="str">
            <v>GCIA OPERACIONES ESTRUCTURADAS</v>
          </cell>
        </row>
        <row r="740">
          <cell r="B740" t="str">
            <v>GCIA OPERACIONES INMOBILIARIAS</v>
          </cell>
        </row>
        <row r="741">
          <cell r="B741" t="str">
            <v>GCIA OPERATIVA DE TESORERIA Y CUMPLIMIEN</v>
          </cell>
        </row>
        <row r="742">
          <cell r="B742" t="str">
            <v>GCIA ORIGINACION  CREDITO PYME</v>
          </cell>
        </row>
        <row r="743">
          <cell r="B743" t="str">
            <v>GCIA ORIGINACION CREDITO EMPRESARIAL</v>
          </cell>
        </row>
        <row r="744">
          <cell r="B744" t="str">
            <v>GCIA ORIGINACION CREDITO LEASING</v>
          </cell>
        </row>
        <row r="745">
          <cell r="B745" t="str">
            <v>GCIA ORIGINACION DE CREDITO INTERNACIONA</v>
          </cell>
        </row>
        <row r="746">
          <cell r="B746" t="str">
            <v>GCIA PERSONAS ANTIOQUIA</v>
          </cell>
        </row>
        <row r="747">
          <cell r="B747" t="str">
            <v>GCIA PERSONAS BOGOTA</v>
          </cell>
        </row>
        <row r="748">
          <cell r="B748" t="str">
            <v>GCIA PERSONAS BOGOTA Y CENTRO</v>
          </cell>
        </row>
        <row r="749">
          <cell r="B749" t="str">
            <v>GCIA PERSONAS CARIBE</v>
          </cell>
        </row>
        <row r="750">
          <cell r="B750" t="str">
            <v>GCIA PERSONAS SUR</v>
          </cell>
        </row>
        <row r="751">
          <cell r="B751" t="str">
            <v>GCIA PLANEACION DE LA CAPACIDAD</v>
          </cell>
        </row>
        <row r="752">
          <cell r="B752" t="str">
            <v>GCIA PLATAFORMAS DE INTEGRACION</v>
          </cell>
        </row>
        <row r="753">
          <cell r="B753" t="str">
            <v>GCIA PORTAFOLIOS  INSTITUCIONALES</v>
          </cell>
        </row>
        <row r="754">
          <cell r="B754" t="str">
            <v>GCIA PORTAFOLIOS PRIVADOS</v>
          </cell>
        </row>
        <row r="755">
          <cell r="B755" t="str">
            <v>GCIA PROCESOS DE CAPTACIONES Y MIT</v>
          </cell>
        </row>
        <row r="756">
          <cell r="B756" t="str">
            <v>GCIA PROCESOS INSTITUCIONALES</v>
          </cell>
        </row>
        <row r="757">
          <cell r="B757" t="str">
            <v>GCIA PRODUCTO LEASING  INTERNACIONAL</v>
          </cell>
        </row>
        <row r="758">
          <cell r="B758" t="str">
            <v>GCIA PRODUCTOS DE CONSUMO</v>
          </cell>
        </row>
        <row r="759">
          <cell r="B759" t="str">
            <v>GCIA PRODUCTOS LEASING FINANCIERO</v>
          </cell>
        </row>
        <row r="760">
          <cell r="B760" t="str">
            <v>GCIA PROGRAMAS ESTRATEGICOS  DE ALIANZAS</v>
          </cell>
        </row>
        <row r="761">
          <cell r="B761" t="str">
            <v>GCIA PROYECTOS A</v>
          </cell>
        </row>
        <row r="762">
          <cell r="B762" t="str">
            <v>GCIA PROYECTOS B</v>
          </cell>
        </row>
        <row r="763">
          <cell r="B763" t="str">
            <v>GCIA PROYECTOS C</v>
          </cell>
        </row>
        <row r="764">
          <cell r="B764" t="str">
            <v>GCIA PROYECTOS D</v>
          </cell>
        </row>
        <row r="765">
          <cell r="B765" t="str">
            <v>GCIA PROYECTOS E</v>
          </cell>
        </row>
        <row r="766">
          <cell r="B766" t="str">
            <v>GCIA PROYECTOS F</v>
          </cell>
        </row>
        <row r="767">
          <cell r="B767" t="str">
            <v>GCIA PROYECTOS G</v>
          </cell>
        </row>
        <row r="768">
          <cell r="B768" t="str">
            <v>GCIA PROYECTOS H</v>
          </cell>
        </row>
        <row r="769">
          <cell r="B769" t="str">
            <v>GCIA PROYECTOS I</v>
          </cell>
        </row>
        <row r="770">
          <cell r="B770" t="str">
            <v>GCIA PROYECTOS J</v>
          </cell>
        </row>
        <row r="771">
          <cell r="B771" t="str">
            <v>GCIA PRUEBAS ESPECIALIZADAS</v>
          </cell>
        </row>
        <row r="772">
          <cell r="B772" t="str">
            <v>GCIA PUBLICIDAD Y MERCADEO RELACIONAL</v>
          </cell>
        </row>
        <row r="773">
          <cell r="B773" t="str">
            <v>GCIA QUINDIO Y CENTRO DEL VALLE</v>
          </cell>
        </row>
        <row r="774">
          <cell r="B774" t="str">
            <v>GCIA RAZONABILIDAD CONTABLE FILIALES</v>
          </cell>
        </row>
        <row r="775">
          <cell r="B775" t="str">
            <v>GCIA RAZONABILIDAD CONTABLE Y PDTOS</v>
          </cell>
        </row>
        <row r="776">
          <cell r="B776" t="str">
            <v>GCIA RECUPERACION ACT PNAS NATURALES</v>
          </cell>
        </row>
        <row r="777">
          <cell r="B777" t="str">
            <v>GCIA RECUPERACION ACT PYMES EMP Y GOB</v>
          </cell>
        </row>
        <row r="778">
          <cell r="B778" t="str">
            <v>GCIA RECUPERACION DE ACT REGION ANT</v>
          </cell>
        </row>
        <row r="779">
          <cell r="B779" t="str">
            <v>GCIA RECUPERACION DE ACT REGION BOG</v>
          </cell>
        </row>
        <row r="780">
          <cell r="B780" t="str">
            <v>GCIA RECUPERACION DE ACT REGION CAR</v>
          </cell>
        </row>
        <row r="781">
          <cell r="B781" t="str">
            <v>GCIA RECUPERACION DE ACT REGION CTRO</v>
          </cell>
        </row>
        <row r="782">
          <cell r="B782" t="str">
            <v>GCIA RECUPERACION DE ACT REGION SUR</v>
          </cell>
        </row>
        <row r="783">
          <cell r="B783" t="str">
            <v>GCIA REG HIPOTECARIA CONSTRUCTOR ANTIOQU</v>
          </cell>
        </row>
        <row r="784">
          <cell r="B784" t="str">
            <v>GCIA REG HIPOTECARIA CONSTRUCTOR BOGOTA</v>
          </cell>
        </row>
        <row r="785">
          <cell r="B785" t="str">
            <v>GCIA REG HIPOTECARIA CONSTRUCTOR OTRAS</v>
          </cell>
        </row>
        <row r="786">
          <cell r="B786" t="str">
            <v>GCIA REGIONAL BANCA GOBIERNO</v>
          </cell>
        </row>
        <row r="787">
          <cell r="B787" t="str">
            <v>GCIA REGIONAL BPP ANTIOQUIA</v>
          </cell>
        </row>
        <row r="788">
          <cell r="B788" t="str">
            <v>GCIA REGIONAL BPP BOGOTA</v>
          </cell>
        </row>
        <row r="789">
          <cell r="B789" t="str">
            <v>GCIA REGIONAL BPP CARIBE</v>
          </cell>
        </row>
        <row r="790">
          <cell r="B790" t="str">
            <v>GCIA REGIONAL BPP CENTRO</v>
          </cell>
        </row>
        <row r="791">
          <cell r="B791" t="str">
            <v>GCIA REGIONAL BPP SUR</v>
          </cell>
        </row>
        <row r="792">
          <cell r="B792" t="str">
            <v>GCIA REGIONAL CONSTRUCTOR MEDELLIN</v>
          </cell>
        </row>
        <row r="793">
          <cell r="B793" t="str">
            <v>GCIA REGIONAL NACIONAL SUFI</v>
          </cell>
        </row>
        <row r="794">
          <cell r="B794" t="str">
            <v>GCIA REGULACION Y GESTION</v>
          </cell>
        </row>
        <row r="795">
          <cell r="B795" t="str">
            <v>GCIA RELACION CON INVERSIONISTAS</v>
          </cell>
        </row>
        <row r="796">
          <cell r="B796" t="str">
            <v>GCIA RELACIONAMIENTO HUMANO REGION ANT</v>
          </cell>
        </row>
        <row r="797">
          <cell r="B797" t="str">
            <v>GCIA RELACIONAMIENTO HUMANO REGION BGTA</v>
          </cell>
        </row>
        <row r="798">
          <cell r="B798" t="str">
            <v>GCIA RELACIONAMIENTO HUMANO REGION CARIB</v>
          </cell>
        </row>
        <row r="799">
          <cell r="B799" t="str">
            <v>GCIA RELACIONAMIENTO HUMANO REGION CENT</v>
          </cell>
        </row>
        <row r="800">
          <cell r="B800" t="str">
            <v>GCIA RELACIONAMIENTO HUMANO REGION SUR</v>
          </cell>
        </row>
        <row r="801">
          <cell r="B801" t="str">
            <v>GCIA RELACIONAMIENTO Y FIDELIZACION</v>
          </cell>
        </row>
        <row r="802">
          <cell r="B802" t="str">
            <v>GCIA RELACIONES PUBLICAS Y PROYECC INST</v>
          </cell>
        </row>
        <row r="803">
          <cell r="B803" t="str">
            <v>GCIA RENTA FIJA</v>
          </cell>
        </row>
        <row r="804">
          <cell r="B804" t="str">
            <v>GCIA RENTA VARIABLE ALTERNATIVOS E INTER</v>
          </cell>
        </row>
        <row r="805">
          <cell r="B805" t="str">
            <v>GCIA RENTA VARIABLE Y PORTAFOLIOS</v>
          </cell>
        </row>
        <row r="806">
          <cell r="B806" t="str">
            <v>GCIA RESPONSABILIDAD SOCIAL</v>
          </cell>
        </row>
        <row r="807">
          <cell r="B807" t="str">
            <v>GCIA RGO TARJETA DE CREDITO Y CONSUMO</v>
          </cell>
        </row>
        <row r="808">
          <cell r="B808" t="str">
            <v>GCIA RIESGO  EMPRESAS Y GOBIERNO</v>
          </cell>
        </row>
        <row r="809">
          <cell r="B809" t="str">
            <v>GCIA RIESGO ADMINISTRACION DE ACTIVOS</v>
          </cell>
        </row>
        <row r="810">
          <cell r="B810" t="str">
            <v>GCIA RIESGO CREDITO BANCA EMPRESAS</v>
          </cell>
        </row>
        <row r="811">
          <cell r="B811" t="str">
            <v>GCIA RIESGO CREDITO LEASING</v>
          </cell>
        </row>
        <row r="812">
          <cell r="B812" t="str">
            <v>GCIA RIESGO CREDITO MERK CAPITALES</v>
          </cell>
        </row>
        <row r="813">
          <cell r="B813" t="str">
            <v>GCIA RIESGO CREDITO TESORERIA</v>
          </cell>
        </row>
        <row r="814">
          <cell r="B814" t="str">
            <v>GCIA RIESGO DE CREDITO SUFI</v>
          </cell>
        </row>
        <row r="815">
          <cell r="B815" t="str">
            <v>GCIA RIESGO DE MERCADO  LIBRO BANCARIO</v>
          </cell>
        </row>
        <row r="816">
          <cell r="B816" t="str">
            <v>GCIA RIESGO DE MERCADO LIBRO TESORERIA</v>
          </cell>
        </row>
        <row r="817">
          <cell r="B817" t="str">
            <v>GCIA RIESGO DISTRIBUCION Y VENTAS</v>
          </cell>
        </row>
        <row r="818">
          <cell r="B818" t="str">
            <v>GCIA RIESGO LIQUIDEZ Y TASAS DE INTERES</v>
          </cell>
        </row>
        <row r="819">
          <cell r="B819" t="str">
            <v>GCIA RIESGO OPER NEGOCIO MERK CAPITALES</v>
          </cell>
        </row>
        <row r="820">
          <cell r="B820" t="str">
            <v>GCIA RIESGO OPER TESORERIA COMEX Y BANCA</v>
          </cell>
        </row>
        <row r="821">
          <cell r="B821" t="str">
            <v>GCIA RIESGO OPERACIONAL  APOYO CORP</v>
          </cell>
        </row>
        <row r="822">
          <cell r="B822" t="str">
            <v>GCIA RIESGO OPERACIONAL FIDUCIARIA</v>
          </cell>
        </row>
        <row r="823">
          <cell r="B823" t="str">
            <v>GCIA RIESGO OPERACIONAL NEGOCIO CREDITO</v>
          </cell>
        </row>
        <row r="824">
          <cell r="B824" t="str">
            <v>GCIA RIESGO OPERACIONAL NEGOCIO FIDUCIA</v>
          </cell>
        </row>
        <row r="825">
          <cell r="B825" t="str">
            <v>GCIA RIESGO VALORES</v>
          </cell>
        </row>
        <row r="826">
          <cell r="B826" t="str">
            <v>GCIA RIESGOS PYME</v>
          </cell>
        </row>
        <row r="827">
          <cell r="B827" t="str">
            <v>GCIA RO INTERMEDIACION  FINANCIERA</v>
          </cell>
        </row>
        <row r="828">
          <cell r="B828" t="str">
            <v>GCIA SEGMENTO AGROINDUSTRIA</v>
          </cell>
        </row>
        <row r="829">
          <cell r="B829" t="str">
            <v>GCIA SEGMENTO COMERCIO</v>
          </cell>
        </row>
        <row r="830">
          <cell r="B830" t="str">
            <v>GCIA SEGMENTO CONSTRUCCION</v>
          </cell>
        </row>
        <row r="831">
          <cell r="B831" t="str">
            <v>GCIA SEGMENTO CONSTRUCCION Y TRANSPORTE</v>
          </cell>
        </row>
        <row r="832">
          <cell r="B832" t="str">
            <v>GCIA SEGMENTO EMPLEADOS Y SENIOR</v>
          </cell>
        </row>
        <row r="833">
          <cell r="B833" t="str">
            <v>GCIA SEGMENTO GOBIERNO</v>
          </cell>
        </row>
        <row r="834">
          <cell r="B834" t="str">
            <v>GCIA SEGMENTO GOBIERNO DE RED</v>
          </cell>
        </row>
        <row r="835">
          <cell r="B835" t="str">
            <v>GCIA SEGMENTO MANUFACTURA INSUMOS</v>
          </cell>
        </row>
        <row r="836">
          <cell r="B836" t="str">
            <v>GCIA SEGMENTO MICRO PYME</v>
          </cell>
        </row>
        <row r="837">
          <cell r="B837" t="str">
            <v>GCIA SEGMENTO PREFERENCIAL</v>
          </cell>
        </row>
        <row r="838">
          <cell r="B838" t="str">
            <v>GCIA SEGMENTO PYME</v>
          </cell>
        </row>
        <row r="839">
          <cell r="B839" t="str">
            <v>GCIA SEGMENTO PYME MEDIANA</v>
          </cell>
        </row>
        <row r="840">
          <cell r="B840" t="str">
            <v>GCIA SEGMENTO REC NTURLES Y MED DE COM</v>
          </cell>
        </row>
        <row r="841">
          <cell r="B841" t="str">
            <v>GCIA SEGMENTO SERVICIOS FCROS Y NO FCROS</v>
          </cell>
        </row>
        <row r="842">
          <cell r="B842" t="str">
            <v>GCIA SERV ADMINISTRATIVOS A EMPLEADOS</v>
          </cell>
        </row>
        <row r="843">
          <cell r="B843" t="str">
            <v>GCIA SERV ADMON DE VALORES E INVERSIONES</v>
          </cell>
        </row>
        <row r="844">
          <cell r="B844" t="str">
            <v>GCIA SERV ADMON FONDOS Y MEDIOS DE PAGO</v>
          </cell>
        </row>
        <row r="845">
          <cell r="B845" t="str">
            <v>GCIA SERV PROCESOS ESPECIALES LEASING</v>
          </cell>
        </row>
        <row r="846">
          <cell r="B846" t="str">
            <v>GCIA SERVICIO EN SUCURSALES</v>
          </cell>
        </row>
        <row r="847">
          <cell r="B847" t="str">
            <v>GCIA SERVICIO EN SUCURSALES ANTIOQUIA</v>
          </cell>
        </row>
        <row r="848">
          <cell r="B848" t="str">
            <v>GCIA SERVICIO EN SUCURSALES BOGOTA</v>
          </cell>
        </row>
        <row r="849">
          <cell r="B849" t="str">
            <v>GCIA SERVICIO EN SUCURSALES CARIBE</v>
          </cell>
        </row>
        <row r="850">
          <cell r="B850" t="str">
            <v>GCIA SERVICIO EN SUCURSALES CENTRO</v>
          </cell>
        </row>
        <row r="851">
          <cell r="B851" t="str">
            <v>GCIA SERVICIO EN SUCURSALES SUR</v>
          </cell>
        </row>
        <row r="852">
          <cell r="B852" t="str">
            <v>GCIA SERVICIO SUCURSALES Y AUTOSERVICIO</v>
          </cell>
        </row>
        <row r="853">
          <cell r="B853" t="str">
            <v>GCIA SERVICIOS A COLOMBIANOS EN EL EXTER</v>
          </cell>
        </row>
        <row r="854">
          <cell r="B854" t="str">
            <v>GCIA SERVICIOS A PROYECTOS Y CAPACIDAD</v>
          </cell>
        </row>
        <row r="855">
          <cell r="B855" t="str">
            <v>GCIA SERVICIOS CANAL TELEFONICOS</v>
          </cell>
        </row>
        <row r="856">
          <cell r="B856" t="str">
            <v>GCIA SERVICIOS CANALES VIRTUALES Y ELECT</v>
          </cell>
        </row>
        <row r="857">
          <cell r="B857" t="str">
            <v>GCIA SERVICIOS DE ABASTECIMIENTO</v>
          </cell>
        </row>
        <row r="858">
          <cell r="B858" t="str">
            <v>GCIA SERVICIOS DE CARTERA</v>
          </cell>
        </row>
        <row r="859">
          <cell r="B859" t="str">
            <v>GCIA SERVICIOS DE MERCADEO BEG</v>
          </cell>
        </row>
        <row r="860">
          <cell r="B860" t="str">
            <v>GCIA SERVICIOS DE MERCADEO EMPR Y GOB</v>
          </cell>
        </row>
        <row r="861">
          <cell r="B861" t="str">
            <v>GCIA SERVICIOS DE MERCADEO HIPOTECARIA</v>
          </cell>
        </row>
        <row r="862">
          <cell r="B862" t="str">
            <v>GCIA SERVICIOS DE MERCADEO SUFI</v>
          </cell>
        </row>
        <row r="863">
          <cell r="B863" t="str">
            <v>GCIA SERVICIOS EN  MEDIOS DE PAGO</v>
          </cell>
        </row>
        <row r="864">
          <cell r="B864" t="str">
            <v>GCIA SERVICIOS MERCADEO MEDIOS DE PAGO</v>
          </cell>
        </row>
        <row r="865">
          <cell r="B865" t="str">
            <v>GCIA SERVICIOS PARA  MERCADO CAMBIARIO</v>
          </cell>
        </row>
        <row r="866">
          <cell r="B866" t="str">
            <v>GCIA SERVICIOS REGIONAL ANTIOQUIA</v>
          </cell>
        </row>
        <row r="867">
          <cell r="B867" t="str">
            <v>GCIA SERVICIOS Y RELACIONES HIPOTECARIA</v>
          </cell>
        </row>
        <row r="868">
          <cell r="B868" t="str">
            <v>GCIA SINERGIAS COMERCIALES</v>
          </cell>
        </row>
        <row r="869">
          <cell r="B869" t="str">
            <v>GCIA SINERGIAS INTERNACIONALES</v>
          </cell>
        </row>
        <row r="870">
          <cell r="B870" t="str">
            <v>GCIA SISTEMAS DE INFORMACION FINANCIERA</v>
          </cell>
        </row>
        <row r="871">
          <cell r="B871" t="str">
            <v>GCIA SOCIEDADES DE SERVICIOS FINANCIEROS</v>
          </cell>
        </row>
        <row r="872">
          <cell r="B872" t="str">
            <v>GCIA SOLUCIONES CANALES SUCURSALES CNB</v>
          </cell>
        </row>
        <row r="873">
          <cell r="B873" t="str">
            <v>GCIA SOLUCIONES DE PRODUCTIVIDAD</v>
          </cell>
        </row>
        <row r="874">
          <cell r="B874" t="str">
            <v>GCIA SOPORTE ESPECIALIZADO</v>
          </cell>
        </row>
        <row r="875">
          <cell r="B875" t="str">
            <v>GCIA SOSTENIBILIDAD</v>
          </cell>
        </row>
        <row r="876">
          <cell r="B876" t="str">
            <v>GCIA TACTICA URA REGION CENTRO</v>
          </cell>
        </row>
        <row r="877">
          <cell r="B877" t="str">
            <v>GCIA TECNICA FONDO INMOBILIARIO</v>
          </cell>
        </row>
        <row r="878">
          <cell r="B878" t="str">
            <v>GCIA TECNOLOGIA</v>
          </cell>
        </row>
        <row r="879">
          <cell r="B879" t="str">
            <v>GCIA TESORERIA LEASING</v>
          </cell>
        </row>
        <row r="880">
          <cell r="B880" t="str">
            <v>GCIA URA ZONA AGENCIAS</v>
          </cell>
        </row>
        <row r="881">
          <cell r="B881" t="str">
            <v>GCIA URA ZONA BUCARAMANGA</v>
          </cell>
        </row>
        <row r="882">
          <cell r="B882" t="str">
            <v>GCIA URA ZONA CALI NRT Y SUR DEL VALLE 1</v>
          </cell>
        </row>
        <row r="883">
          <cell r="B883" t="str">
            <v>GCIA URA ZONA CALI NRT Y SUR DEL VALLE 2</v>
          </cell>
        </row>
        <row r="884">
          <cell r="B884" t="str">
            <v>GCIA URA ZONA CAUCA Y NARIÑO</v>
          </cell>
        </row>
        <row r="885">
          <cell r="B885" t="str">
            <v>GCIA URA ZONA CELULA Y NUCLEO</v>
          </cell>
        </row>
        <row r="886">
          <cell r="B886" t="str">
            <v>GCIA URA ZONA EJE NORTE</v>
          </cell>
        </row>
        <row r="887">
          <cell r="B887" t="str">
            <v>GCIA URA ZONA EJE SUR</v>
          </cell>
        </row>
        <row r="888">
          <cell r="B888" t="str">
            <v>GCIA URA ZONA LEASING</v>
          </cell>
        </row>
        <row r="889">
          <cell r="B889" t="str">
            <v>GCIA URA ZONA LLANOS Y BOYACA</v>
          </cell>
        </row>
        <row r="890">
          <cell r="B890" t="str">
            <v>GCIA URA ZONA NORTE SANTANDER Y SNTANDER</v>
          </cell>
        </row>
        <row r="891">
          <cell r="B891" t="str">
            <v>GCIA URA ZONA SUR COLOMBIANA Y TOLIMA</v>
          </cell>
        </row>
        <row r="892">
          <cell r="B892" t="str">
            <v>GCIA VENDOR PROGRAM</v>
          </cell>
        </row>
        <row r="893">
          <cell r="B893" t="str">
            <v>GCIA VENTAS SUFI CENTRO</v>
          </cell>
        </row>
        <row r="894">
          <cell r="B894" t="str">
            <v>GCIA VENTAS SUFI CENTRO 2</v>
          </cell>
        </row>
        <row r="895">
          <cell r="B895" t="str">
            <v>GCIA ZONA  1 BOGOTA BCA EMPRESARIAL</v>
          </cell>
        </row>
        <row r="896">
          <cell r="B896" t="str">
            <v>GCIA ZONA  2  BOGOTA BCA EMPRESARIAL</v>
          </cell>
        </row>
        <row r="897">
          <cell r="B897" t="str">
            <v>GCIA ZONA  ANTIOQUIA</v>
          </cell>
        </row>
        <row r="898">
          <cell r="B898" t="str">
            <v>GCIA ZONA 1 ANTIOQUIA BCA EMPRESARIAL</v>
          </cell>
        </row>
        <row r="899">
          <cell r="B899" t="str">
            <v>GCIA ZONA ANTIOQUIA BCA PYMES</v>
          </cell>
        </row>
        <row r="900">
          <cell r="B900" t="str">
            <v>GCIA ZONA BANCA PRIVADA ANTIOQUIA</v>
          </cell>
        </row>
        <row r="901">
          <cell r="B901" t="str">
            <v>GCIA ZONA BANCA PRIVADA BOGOTA Y CENTRO</v>
          </cell>
        </row>
        <row r="902">
          <cell r="B902" t="str">
            <v>GCIA ZONA BANCA PRIVADA CARIBE</v>
          </cell>
        </row>
        <row r="903">
          <cell r="B903" t="str">
            <v>GCIA ZONA BANCA PRIVADA SUR</v>
          </cell>
        </row>
        <row r="904">
          <cell r="B904" t="str">
            <v>GCIA ZONA BANCA SUPERMERCADO BPP BOGOTA</v>
          </cell>
        </row>
        <row r="905">
          <cell r="B905" t="str">
            <v>GCIA ZONA BARRANQUILLA 2 BPP CARIBE</v>
          </cell>
        </row>
        <row r="906">
          <cell r="B906" t="str">
            <v>GCIA ZONA BARRANQUILLA BPP CARIBE</v>
          </cell>
        </row>
        <row r="907">
          <cell r="B907" t="str">
            <v>GCIA ZONA BOGOTA</v>
          </cell>
        </row>
        <row r="908">
          <cell r="B908" t="str">
            <v>GCIA ZONA BOGOTA BCA PYMES 1</v>
          </cell>
        </row>
        <row r="909">
          <cell r="B909" t="str">
            <v>GCIA ZONA BOGOTA BCA PYMES 2</v>
          </cell>
        </row>
        <row r="910">
          <cell r="B910" t="str">
            <v>GCIA ZONA BOYACA BPP CENTRO</v>
          </cell>
        </row>
        <row r="911">
          <cell r="B911" t="str">
            <v>GCIA ZONA BUCARAMANGA BPP CENTRO</v>
          </cell>
        </row>
        <row r="912">
          <cell r="B912" t="str">
            <v>GCIA ZONA CALI NORTE BPP SUR</v>
          </cell>
        </row>
        <row r="913">
          <cell r="B913" t="str">
            <v>GCIA ZONA CALI SUR BPP SUR</v>
          </cell>
        </row>
        <row r="914">
          <cell r="B914" t="str">
            <v>GCIA ZONA CARIBE</v>
          </cell>
        </row>
        <row r="915">
          <cell r="B915" t="str">
            <v>GCIA ZONA CARIBE BCA PYMES</v>
          </cell>
        </row>
        <row r="916">
          <cell r="B916" t="str">
            <v>GCIA ZONA CARIBE BQUILLA BCA EMPRESARIAL</v>
          </cell>
        </row>
        <row r="917">
          <cell r="B917" t="str">
            <v>GCIA ZONA CARIBE CARTAGENA BCA EMPRESARI</v>
          </cell>
        </row>
        <row r="918">
          <cell r="B918" t="str">
            <v>GCIA ZONA CARTAGENA BPP CARIBE</v>
          </cell>
        </row>
        <row r="919">
          <cell r="B919" t="str">
            <v>GCIA ZONA CENTRO</v>
          </cell>
        </row>
        <row r="920">
          <cell r="B920" t="str">
            <v>GCIA ZONA CENTRO BCA PYMES</v>
          </cell>
        </row>
        <row r="921">
          <cell r="B921" t="str">
            <v>GCIA ZONA CENTRO BPP ANTIOQUIA</v>
          </cell>
        </row>
        <row r="922">
          <cell r="B922" t="str">
            <v>GCIA ZONA CENTRO BPP BOGOTA</v>
          </cell>
        </row>
        <row r="923">
          <cell r="B923" t="str">
            <v>GCIA ZONA CUCUTA BPP CENTRO</v>
          </cell>
        </row>
        <row r="924">
          <cell r="B924" t="str">
            <v>GCIA ZONA EJE CAFETERO BPP SUR</v>
          </cell>
        </row>
        <row r="925">
          <cell r="B925" t="str">
            <v>GCIA ZONA EJE CAFETERO NORTE BPP SUR</v>
          </cell>
        </row>
        <row r="926">
          <cell r="B926" t="str">
            <v>GCIA ZONA EMPRESA SUR</v>
          </cell>
        </row>
        <row r="927">
          <cell r="B927" t="str">
            <v>GCIA ZONA EMPRESA Y GOB SUR</v>
          </cell>
        </row>
        <row r="928">
          <cell r="B928" t="str">
            <v>GCIA ZONA EMPRESAS  ANTIOQUIA</v>
          </cell>
        </row>
        <row r="929">
          <cell r="B929" t="str">
            <v>GCIA ZONA EMPRESAS  BOGOTA Y CENTRO</v>
          </cell>
        </row>
        <row r="930">
          <cell r="B930" t="str">
            <v>GCIA ZONA EMPRESAS CARIBE</v>
          </cell>
        </row>
        <row r="931">
          <cell r="B931" t="str">
            <v>GCIA ZONA EMPRESAS Y GOB ANTIOQUIA</v>
          </cell>
        </row>
        <row r="932">
          <cell r="B932" t="str">
            <v>GCIA ZONA EMPRESAS Y GOB BOGOTA</v>
          </cell>
        </row>
        <row r="933">
          <cell r="B933" t="str">
            <v>GCIA ZONA EMPRESAS Y GOBIERNO CARIBE</v>
          </cell>
        </row>
        <row r="934">
          <cell r="B934" t="str">
            <v>GCIA ZONA ESPECIALISTAS ANT BCA EMPRESA</v>
          </cell>
        </row>
        <row r="935">
          <cell r="B935" t="str">
            <v>GCIA ZONA ESPECIALISTAS BOGOTA BCA EMPRE</v>
          </cell>
        </row>
        <row r="936">
          <cell r="B936" t="str">
            <v>GCIA ZONA GCIAMTO ESPECIALIZADO PYME ANT</v>
          </cell>
        </row>
        <row r="937">
          <cell r="B937" t="str">
            <v>GCIA ZONA GERENCIAMIENTO  BPP BOGOTA</v>
          </cell>
        </row>
        <row r="938">
          <cell r="B938" t="str">
            <v>GCIA ZONA IBAGUE BPP CENTRO</v>
          </cell>
        </row>
        <row r="939">
          <cell r="B939" t="str">
            <v>GCIA ZONA INDUSTRIAL BPP BOGOTA</v>
          </cell>
        </row>
        <row r="940">
          <cell r="B940" t="str">
            <v>GCIA ZONA META BPP CENTRO</v>
          </cell>
        </row>
        <row r="941">
          <cell r="B941" t="str">
            <v>GCIA ZONA METROPOLITANA BPP ANTIOQUIA</v>
          </cell>
        </row>
        <row r="942">
          <cell r="B942" t="str">
            <v>GCIA ZONA METROPOLITANA BPP BOGOTA</v>
          </cell>
        </row>
        <row r="943">
          <cell r="B943" t="str">
            <v>GCIA ZONA NARIÑO BPP SUR</v>
          </cell>
        </row>
        <row r="944">
          <cell r="B944" t="str">
            <v>GCIA ZONA NEIVA BPP CENTRO</v>
          </cell>
        </row>
        <row r="945">
          <cell r="B945" t="str">
            <v>GCIA ZONA NOROCCIDENTE BPP BOGOTA</v>
          </cell>
        </row>
        <row r="946">
          <cell r="B946" t="str">
            <v>GCIA ZONA NORTE BPP ANTIOQUIA</v>
          </cell>
        </row>
        <row r="947">
          <cell r="B947" t="str">
            <v>GCIA ZONA NORTE BPP BOGOTA</v>
          </cell>
        </row>
        <row r="948">
          <cell r="B948" t="str">
            <v>GCIA ZONA NORTE DE SANTANDER BPP CENTRO</v>
          </cell>
        </row>
        <row r="949">
          <cell r="B949" t="str">
            <v>GCIA ZONA OCCIDENTE BPP ANTIOQUIA</v>
          </cell>
        </row>
        <row r="950">
          <cell r="B950" t="str">
            <v>GCIA ZONA OCCIDENTE BPP BOGOTA</v>
          </cell>
        </row>
        <row r="951">
          <cell r="B951" t="str">
            <v>GCIA ZONA ORIENTE BPP BOGOTA</v>
          </cell>
        </row>
        <row r="952">
          <cell r="B952" t="str">
            <v>GCIA ZONA ORINOQUIA Y AMAZONIA BPP CENTR</v>
          </cell>
        </row>
        <row r="953">
          <cell r="B953" t="str">
            <v>GCIA ZONA PERIFERICA BPP ANTIOQUIA</v>
          </cell>
        </row>
        <row r="954">
          <cell r="B954" t="str">
            <v>GCIA ZONA POBLADO BPP ANTIOQUIA</v>
          </cell>
        </row>
        <row r="955">
          <cell r="B955" t="str">
            <v>GCIA ZONA PREFERENCIAL  BPP ANTIOQUIA</v>
          </cell>
        </row>
        <row r="956">
          <cell r="B956" t="str">
            <v>GCIA ZONA PROVEEDORES ACTIVO RESTO PAIS</v>
          </cell>
        </row>
        <row r="957">
          <cell r="B957" t="str">
            <v>GCIA ZONA PYME ANTIOQUIA</v>
          </cell>
        </row>
        <row r="958">
          <cell r="B958" t="str">
            <v>GCIA ZONA PYME BOGOTA Y CENTRO</v>
          </cell>
        </row>
        <row r="959">
          <cell r="B959" t="str">
            <v>GCIA ZONA PYME CARIBE</v>
          </cell>
        </row>
        <row r="960">
          <cell r="B960" t="str">
            <v>GCIA ZONA PYME SUR Y EJE CAFETERO</v>
          </cell>
        </row>
        <row r="961">
          <cell r="B961" t="str">
            <v>GCIA ZONA QUIN Y CTRO DEL VALLE BPP SUR</v>
          </cell>
        </row>
        <row r="962">
          <cell r="B962" t="str">
            <v>GCIA ZONA SABANA BPP BOGOTA</v>
          </cell>
        </row>
        <row r="963">
          <cell r="B963" t="str">
            <v>GCIA ZONA SANTANDER BPP CENTRO</v>
          </cell>
        </row>
        <row r="964">
          <cell r="B964" t="str">
            <v>GCIA ZONA SANTANDERES</v>
          </cell>
        </row>
        <row r="965">
          <cell r="B965" t="str">
            <v>GCIA ZONA SIERRA NEVADA BPP CARIBE</v>
          </cell>
        </row>
        <row r="966">
          <cell r="B966" t="str">
            <v>GCIA ZONA SINU Y SABANAS BPP CARIBE</v>
          </cell>
        </row>
        <row r="967">
          <cell r="B967" t="str">
            <v>GCIA ZONA SUR</v>
          </cell>
        </row>
        <row r="968">
          <cell r="B968" t="str">
            <v>GCIA ZONA SUR BCA EMPRESARIAL</v>
          </cell>
        </row>
        <row r="969">
          <cell r="B969" t="str">
            <v>GCIA ZONA SUR BCA PYMES</v>
          </cell>
        </row>
        <row r="970">
          <cell r="B970" t="str">
            <v>GCIA ZONA SUR BPP ANTIOQUIA</v>
          </cell>
        </row>
        <row r="971">
          <cell r="B971" t="str">
            <v>GCIA ZONA SURCOLOMBIANA BPP CENTRO</v>
          </cell>
        </row>
        <row r="972">
          <cell r="B972" t="str">
            <v>GCIA ZONA SUROCCIDENTE BPP BOGOTA</v>
          </cell>
        </row>
        <row r="973">
          <cell r="B973" t="str">
            <v>GCIA ZONA TOLIMA BPP CENTRO</v>
          </cell>
        </row>
        <row r="974">
          <cell r="B974" t="str">
            <v>GCIA ZONA TUNJA BPP CENTRO</v>
          </cell>
        </row>
        <row r="975">
          <cell r="B975" t="str">
            <v>GCIA ZONA VALLE BPP SUR</v>
          </cell>
        </row>
        <row r="976">
          <cell r="B976" t="str">
            <v>GCIA ZONA VALLE DE ABURRA BPP ANTIOQUIA</v>
          </cell>
        </row>
        <row r="977">
          <cell r="B977" t="str">
            <v>GCIAMIENTO ESPCIALIZADO PYME BUCARAMANGA</v>
          </cell>
        </row>
        <row r="978">
          <cell r="B978" t="str">
            <v>GCIAMIENTO ESPECIALIZADO PYME B/QUILLA</v>
          </cell>
        </row>
        <row r="979">
          <cell r="B979" t="str">
            <v>GCIAMIENTO ESPECIALIZADO PYME CALI</v>
          </cell>
        </row>
        <row r="980">
          <cell r="B980" t="str">
            <v>GCIAMIENTO ESPECIALIZADO PYME CARTAGENA</v>
          </cell>
        </row>
        <row r="981">
          <cell r="B981" t="str">
            <v>GERENCIA DE DESARROLLO  DE SERVICIOS</v>
          </cell>
        </row>
        <row r="982">
          <cell r="B982" t="str">
            <v>GESTION DOCUMENTAL BARRANQUILLA</v>
          </cell>
        </row>
        <row r="983">
          <cell r="B983" t="str">
            <v>GESTION DOCUMENTAL CALI</v>
          </cell>
        </row>
        <row r="984">
          <cell r="B984" t="str">
            <v>GESTION FINANCIERA</v>
          </cell>
        </row>
        <row r="985">
          <cell r="B985" t="str">
            <v>GICA ME BPP ZONA METROPOLITANA  ANT</v>
          </cell>
        </row>
        <row r="986">
          <cell r="B986" t="str">
            <v>HUB</v>
          </cell>
        </row>
        <row r="987">
          <cell r="B987" t="str">
            <v>HUB DE INFORMACION</v>
          </cell>
        </row>
        <row r="988">
          <cell r="B988" t="str">
            <v>INTEGRACION</v>
          </cell>
        </row>
        <row r="989">
          <cell r="B989" t="str">
            <v>LEASING</v>
          </cell>
        </row>
        <row r="990">
          <cell r="B990" t="str">
            <v>MESA CAMBIOS</v>
          </cell>
        </row>
        <row r="991">
          <cell r="B991" t="str">
            <v>MESA CORPORATIVA BARRANQUILLA</v>
          </cell>
        </row>
        <row r="992">
          <cell r="B992" t="str">
            <v>MESA CORPORATIVA BOGOTA</v>
          </cell>
        </row>
        <row r="993">
          <cell r="B993" t="str">
            <v>MESA CORPORATIVA CALI</v>
          </cell>
        </row>
        <row r="994">
          <cell r="B994" t="str">
            <v>MESA CORPORATIVA MEDELLIN</v>
          </cell>
        </row>
        <row r="995">
          <cell r="B995" t="str">
            <v>MESA DERIVADOS</v>
          </cell>
        </row>
        <row r="996">
          <cell r="B996" t="str">
            <v>MESA DINERO</v>
          </cell>
        </row>
        <row r="997">
          <cell r="B997" t="str">
            <v>MESA DIVISAS</v>
          </cell>
        </row>
        <row r="998">
          <cell r="B998" t="str">
            <v>MESA INSTITUCIONAL</v>
          </cell>
        </row>
        <row r="999">
          <cell r="B999" t="str">
            <v>MESA PYME BOGOTA</v>
          </cell>
        </row>
        <row r="1000">
          <cell r="B1000" t="str">
            <v>MESA RENTA VARIABLE E INTERNAL</v>
          </cell>
        </row>
        <row r="1001">
          <cell r="B1001" t="str">
            <v>MESA SERVICIOS FINANCIERO</v>
          </cell>
        </row>
        <row r="1002">
          <cell r="B1002" t="str">
            <v>MESA TASA DE INTERES</v>
          </cell>
        </row>
        <row r="1003">
          <cell r="B1003" t="str">
            <v>MESA TASAS DE INTERES</v>
          </cell>
        </row>
        <row r="1004">
          <cell r="B1004" t="str">
            <v>MI NEGOCIO 20 DE JULIO</v>
          </cell>
        </row>
        <row r="1005">
          <cell r="B1005" t="str">
            <v>MI NEGOCIO ALCALDIA ARMENIA</v>
          </cell>
        </row>
        <row r="1006">
          <cell r="B1006" t="str">
            <v>MI NEGOCIO BOSA</v>
          </cell>
        </row>
        <row r="1007">
          <cell r="B1007" t="str">
            <v>MI NEGOCIO CARIBE</v>
          </cell>
        </row>
        <row r="1008">
          <cell r="B1008" t="str">
            <v>MI NEGOCIO CARRERA 23</v>
          </cell>
        </row>
        <row r="1009">
          <cell r="B1009" t="str">
            <v>MI NEGOCIO CARRERA OCTAVA</v>
          </cell>
        </row>
        <row r="1010">
          <cell r="B1010" t="str">
            <v>MI NEGOCIO CARRERA PRIMERA</v>
          </cell>
        </row>
        <row r="1011">
          <cell r="B1011" t="str">
            <v>MI NEGOCIO CARTAGENA</v>
          </cell>
        </row>
        <row r="1012">
          <cell r="B1012" t="str">
            <v>MI NEGOCIO EL LAGO</v>
          </cell>
        </row>
        <row r="1013">
          <cell r="B1013" t="str">
            <v>MI NEGOCIO GIRON</v>
          </cell>
        </row>
        <row r="1014">
          <cell r="B1014" t="str">
            <v>MI NEGOCIO ITAGUI</v>
          </cell>
        </row>
        <row r="1015">
          <cell r="B1015" t="str">
            <v>MI NEGOCIO LAS FERIAS</v>
          </cell>
        </row>
        <row r="1016">
          <cell r="B1016" t="str">
            <v>MI NEGOCIO LIBERTADOR</v>
          </cell>
        </row>
        <row r="1017">
          <cell r="B1017" t="str">
            <v>MI NEGOCIO MONTERIA</v>
          </cell>
        </row>
        <row r="1018">
          <cell r="B1018" t="str">
            <v>MI NEGOCIO MURILLO</v>
          </cell>
        </row>
        <row r="1019">
          <cell r="B1019" t="str">
            <v>MI NEGOCIO PALMIRA</v>
          </cell>
        </row>
        <row r="1020">
          <cell r="B1020" t="str">
            <v>MI NEGOCIO PARQUE BOLIVAR</v>
          </cell>
        </row>
        <row r="1021">
          <cell r="B1021" t="str">
            <v>MI NEGOCIO PUENTE ARANDA</v>
          </cell>
        </row>
        <row r="1022">
          <cell r="B1022" t="str">
            <v>MI NEGOCIO RIONEGRO</v>
          </cell>
        </row>
        <row r="1023">
          <cell r="B1023" t="str">
            <v>MI NEGOCIO SAN FERNANDO</v>
          </cell>
        </row>
        <row r="1024">
          <cell r="B1024" t="str">
            <v>MI NEGOCIO SANTA MARTA</v>
          </cell>
        </row>
        <row r="1025">
          <cell r="B1025" t="str">
            <v>MI NEGOCIO SOLEDAD</v>
          </cell>
        </row>
        <row r="1026">
          <cell r="B1026" t="str">
            <v>MI NEGOCIO SUBA</v>
          </cell>
        </row>
        <row r="1027">
          <cell r="B1027" t="str">
            <v>MI NEGOCIO TOBERIN</v>
          </cell>
        </row>
        <row r="1028">
          <cell r="B1028" t="str">
            <v>MI NEGOCIO TULUA</v>
          </cell>
        </row>
        <row r="1029">
          <cell r="B1029" t="str">
            <v>MI NEGOCIO VALLEDUPAR</v>
          </cell>
        </row>
        <row r="1030">
          <cell r="B1030" t="str">
            <v>MIGRACION CORE</v>
          </cell>
        </row>
        <row r="1031">
          <cell r="B1031" t="str">
            <v>MIGRACION CORE Y CRM</v>
          </cell>
        </row>
        <row r="1032">
          <cell r="B1032" t="str">
            <v>MIGRACION TARJETAS</v>
          </cell>
        </row>
        <row r="1033">
          <cell r="B1033" t="str">
            <v>MIGRACION TESORERIA</v>
          </cell>
        </row>
        <row r="1034">
          <cell r="B1034" t="str">
            <v>OFICINA IMPLEMENTACION DE ESTRUCTURA</v>
          </cell>
        </row>
        <row r="1035">
          <cell r="B1035" t="str">
            <v>OPERACIONES Y CANALES</v>
          </cell>
        </row>
        <row r="1036">
          <cell r="B1036" t="str">
            <v>PASIVOS</v>
          </cell>
        </row>
        <row r="1037">
          <cell r="B1037" t="str">
            <v>PMO INNOVA</v>
          </cell>
        </row>
        <row r="1038">
          <cell r="B1038" t="str">
            <v>PMO PRODUCTOS Y CANALES</v>
          </cell>
        </row>
        <row r="1039">
          <cell r="B1039" t="str">
            <v>POSICION PROPIA</v>
          </cell>
        </row>
        <row r="1040">
          <cell r="B1040" t="str">
            <v>PRESIDENCIA</v>
          </cell>
        </row>
        <row r="1041">
          <cell r="B1041" t="str">
            <v>PRESIDENCIA LEASING</v>
          </cell>
        </row>
        <row r="1042">
          <cell r="B1042" t="str">
            <v>PRESIDENCIA VALORES</v>
          </cell>
        </row>
        <row r="1043">
          <cell r="B1043" t="str">
            <v>PROC CCIALES DE APERT Y NOVEDADES PDTOS</v>
          </cell>
        </row>
        <row r="1044">
          <cell r="B1044" t="str">
            <v>PROCESOS</v>
          </cell>
        </row>
        <row r="1045">
          <cell r="B1045" t="str">
            <v>PROCESOS CANALES</v>
          </cell>
        </row>
        <row r="1046">
          <cell r="B1046" t="str">
            <v>PROCESOS CARTERA Y TRADE</v>
          </cell>
        </row>
        <row r="1047">
          <cell r="B1047" t="str">
            <v>PROCESOS CLIENTES</v>
          </cell>
        </row>
        <row r="1048">
          <cell r="B1048" t="str">
            <v>PROCESOS CONTABLES Y FINANCIEROS</v>
          </cell>
        </row>
        <row r="1049">
          <cell r="B1049" t="str">
            <v>PROCESOS PAGOS</v>
          </cell>
        </row>
        <row r="1050">
          <cell r="B1050" t="str">
            <v>PROCESOS PASIVOS</v>
          </cell>
        </row>
        <row r="1051">
          <cell r="B1051" t="str">
            <v>PROCESOS SOPORTE APOYO Y FINANCIERO</v>
          </cell>
        </row>
        <row r="1052">
          <cell r="B1052" t="str">
            <v>PROCESOS TARJETAS</v>
          </cell>
        </row>
        <row r="1053">
          <cell r="B1053" t="str">
            <v>PROCESOS TESORERIA</v>
          </cell>
        </row>
        <row r="1054">
          <cell r="B1054" t="str">
            <v>PROYECTO INNOVA</v>
          </cell>
        </row>
        <row r="1055">
          <cell r="B1055" t="str">
            <v>REGIONAL OPERATIVA ANTIOQUIA</v>
          </cell>
        </row>
        <row r="1056">
          <cell r="B1056" t="str">
            <v>REGIONAL OPERATIVA SUR</v>
          </cell>
        </row>
        <row r="1057">
          <cell r="B1057" t="str">
            <v>SEC DLLO BANCA ELECTRONICA</v>
          </cell>
        </row>
        <row r="1058">
          <cell r="B1058" t="str">
            <v>SEC SERVICIO Y CONOCIMIENTO DEL CLIENTE</v>
          </cell>
        </row>
        <row r="1059">
          <cell r="B1059" t="str">
            <v>SEC SOPORTE EN SITIO</v>
          </cell>
        </row>
        <row r="1060">
          <cell r="B1060" t="str">
            <v>SECC CONTROL Y ASESORIA FINANCIERA EMP</v>
          </cell>
        </row>
        <row r="1061">
          <cell r="B1061" t="str">
            <v>SECC SUCURSALES CBN</v>
          </cell>
        </row>
        <row r="1062">
          <cell r="B1062" t="str">
            <v>SECCCION SERVICIOS DEPOSITOS</v>
          </cell>
        </row>
        <row r="1063">
          <cell r="B1063" t="str">
            <v>SECCION  CONTABLE DE CARTERA</v>
          </cell>
        </row>
        <row r="1064">
          <cell r="B1064" t="str">
            <v>SECCION  EMBARGOS Y SOLIC ENTES LEG</v>
          </cell>
        </row>
        <row r="1065">
          <cell r="B1065" t="str">
            <v>SECCION  EMBARGOS Y SOLIC LEGALES</v>
          </cell>
        </row>
        <row r="1066">
          <cell r="B1066" t="str">
            <v>SECCION  FONDOS DE INVERSION</v>
          </cell>
        </row>
        <row r="1067">
          <cell r="B1067" t="str">
            <v>SECCION  INTELIGECIA  DE INFORMACION</v>
          </cell>
        </row>
        <row r="1068">
          <cell r="B1068" t="str">
            <v>SECCION  REQUERIMIENTOS ENTES Y COMEX</v>
          </cell>
        </row>
        <row r="1069">
          <cell r="B1069" t="str">
            <v>SECCION  SERVICIOS DE COMPENSACION</v>
          </cell>
        </row>
        <row r="1070">
          <cell r="B1070" t="str">
            <v>SECCION  SERVICIOS DE RECAUDOS</v>
          </cell>
        </row>
        <row r="1071">
          <cell r="B1071" t="str">
            <v>SECCION ACTIVOS FIJOS BOGOTA Y CENTRO</v>
          </cell>
        </row>
        <row r="1072">
          <cell r="B1072" t="str">
            <v>SECCION ADMINISTRACION CONFIGURACION</v>
          </cell>
        </row>
        <row r="1073">
          <cell r="B1073" t="str">
            <v>SECCION ADMINISTRACION DATOS MAESTROS</v>
          </cell>
        </row>
        <row r="1074">
          <cell r="B1074" t="str">
            <v>SECCION ADMINISTRACION DE PORTAFOLIO</v>
          </cell>
        </row>
        <row r="1075">
          <cell r="B1075" t="str">
            <v>SECCION ADMON DE FIDEICOMISOS</v>
          </cell>
        </row>
        <row r="1076">
          <cell r="B1076" t="str">
            <v>SECCION ADMON DE IDENTIDADES Y ACCESOS</v>
          </cell>
        </row>
        <row r="1077">
          <cell r="B1077" t="str">
            <v>SECCION ADQUISICION DE PORTAFOLIO</v>
          </cell>
        </row>
        <row r="1078">
          <cell r="B1078" t="str">
            <v>SECCION ALIADOS ESTRATEGICOS</v>
          </cell>
        </row>
        <row r="1079">
          <cell r="B1079" t="str">
            <v>SECCION ALIADOS SEGUROS</v>
          </cell>
        </row>
        <row r="1080">
          <cell r="B1080" t="str">
            <v>SECCION ALMACENAMIENTO Y RESPALDO</v>
          </cell>
        </row>
        <row r="1081">
          <cell r="B1081" t="str">
            <v>SECCION ANALISIS RGO DE CREDITO</v>
          </cell>
        </row>
        <row r="1082">
          <cell r="B1082" t="str">
            <v>SECCION ANALITICA Y MINERIA</v>
          </cell>
        </row>
        <row r="1083">
          <cell r="B1083" t="str">
            <v>SECCION APOYO AL TARJETAHABIENTE</v>
          </cell>
        </row>
        <row r="1084">
          <cell r="B1084" t="str">
            <v>SECCION APOYO GESTION  RO Y CONTINUIDAD</v>
          </cell>
        </row>
        <row r="1085">
          <cell r="B1085" t="str">
            <v>SECCION APOYO OPERATIVO  SUR</v>
          </cell>
        </row>
        <row r="1086">
          <cell r="B1086" t="str">
            <v>SECCION APOYO OPERATIVO CARIBE</v>
          </cell>
        </row>
        <row r="1087">
          <cell r="B1087" t="str">
            <v>SECCION APOYO OPERATIVO MEDELLIN</v>
          </cell>
        </row>
        <row r="1088">
          <cell r="B1088" t="str">
            <v>SECCION APTS</v>
          </cell>
        </row>
        <row r="1089">
          <cell r="B1089" t="str">
            <v>SECCION ARQUIT SLN PROYECTOS CORPORATIVO</v>
          </cell>
        </row>
        <row r="1090">
          <cell r="B1090" t="str">
            <v>SECCION ARQUIT SLN PROYECTOS EVOLUTIVOS</v>
          </cell>
        </row>
        <row r="1091">
          <cell r="B1091" t="str">
            <v>SECCION ASEGURAMIENTO DE CALIDAD</v>
          </cell>
        </row>
        <row r="1092">
          <cell r="B1092" t="str">
            <v>SECCION ASESORES INTEGRALES DE SEGURIDAD</v>
          </cell>
        </row>
        <row r="1093">
          <cell r="B1093" t="str">
            <v>SECCION ASIGNACION DE CAPITAL</v>
          </cell>
        </row>
        <row r="1094">
          <cell r="B1094" t="str">
            <v>SECCION AUDITORIA DE INFR E INSTALACION</v>
          </cell>
        </row>
        <row r="1095">
          <cell r="B1095" t="str">
            <v>SECCION AUDITORIA DE PDTOS Y SERVICIOS</v>
          </cell>
        </row>
        <row r="1096">
          <cell r="B1096" t="str">
            <v>SECCION BASE DE DATOS</v>
          </cell>
        </row>
        <row r="1097">
          <cell r="B1097" t="str">
            <v>SECCION CAJEROS AUTOMATICOS</v>
          </cell>
        </row>
        <row r="1098">
          <cell r="B1098" t="str">
            <v>SECCION CAJEROS ELECTRONICOS</v>
          </cell>
        </row>
        <row r="1099">
          <cell r="B1099" t="str">
            <v>SECCION CANAL VITUAL  Y TELEFONICO MK</v>
          </cell>
        </row>
        <row r="1100">
          <cell r="B1100" t="str">
            <v>SECCION CANALES</v>
          </cell>
        </row>
        <row r="1101">
          <cell r="B1101" t="str">
            <v>SECCION CANALES</v>
          </cell>
        </row>
        <row r="1102">
          <cell r="B1102" t="str">
            <v>SECCION CANALES ESPECIALIZADOS</v>
          </cell>
        </row>
        <row r="1103">
          <cell r="B1103" t="str">
            <v>SECCION CANALES INDIRECTOS ANTIOQUIA</v>
          </cell>
        </row>
        <row r="1104">
          <cell r="B1104" t="str">
            <v>SECCION CANALES INDIRECTOS BOGOTA</v>
          </cell>
        </row>
        <row r="1105">
          <cell r="B1105" t="str">
            <v>SECCION CANALES INDIRECTOS CARIBE</v>
          </cell>
        </row>
        <row r="1106">
          <cell r="B1106" t="str">
            <v>SECCION CANALES INDIRECTOS CENTRO</v>
          </cell>
        </row>
        <row r="1107">
          <cell r="B1107" t="str">
            <v>SECCION CANALES INDIRECTOS SUR</v>
          </cell>
        </row>
        <row r="1108">
          <cell r="B1108" t="str">
            <v>SECCION CANALES TRADICIONALES</v>
          </cell>
        </row>
        <row r="1109">
          <cell r="B1109" t="str">
            <v>SECCION CAPTACIONES</v>
          </cell>
        </row>
        <row r="1110">
          <cell r="B1110" t="str">
            <v>SECCION CARTERA COMERCIAL</v>
          </cell>
        </row>
        <row r="1111">
          <cell r="B1111" t="str">
            <v>SECCION CARTERA HIPOTECARIA</v>
          </cell>
        </row>
        <row r="1112">
          <cell r="B1112" t="str">
            <v>SECCION CARTERAS COLECTIVAS</v>
          </cell>
        </row>
        <row r="1113">
          <cell r="B1113" t="str">
            <v>SECCION CCIAL COLECTIVOS ANT</v>
          </cell>
        </row>
        <row r="1114">
          <cell r="B1114" t="str">
            <v>SECCION CCIAL COLECTIVOS ANT 1</v>
          </cell>
        </row>
        <row r="1115">
          <cell r="B1115" t="str">
            <v>SECCION CCIAL COLECTIVOS ANT 3</v>
          </cell>
        </row>
        <row r="1116">
          <cell r="B1116" t="str">
            <v>SECCION CCIAL COLECTIVOS BOGOTA</v>
          </cell>
        </row>
        <row r="1117">
          <cell r="B1117" t="str">
            <v>SECCION CCIAL COLECTIVOS BOGOTA 2</v>
          </cell>
        </row>
        <row r="1118">
          <cell r="B1118" t="str">
            <v>SECCION CCIAL COLECTIVOS BOGOTA 3</v>
          </cell>
        </row>
        <row r="1119">
          <cell r="B1119" t="str">
            <v>SECCION CCIAL COLECTIVOS BOGOTA 4</v>
          </cell>
        </row>
        <row r="1120">
          <cell r="B1120" t="str">
            <v>SECCION CCIAL COLECTIVOS CARIBE</v>
          </cell>
        </row>
        <row r="1121">
          <cell r="B1121" t="str">
            <v>SECCION CCIAL COLECTIVOS CARIBE 2</v>
          </cell>
        </row>
        <row r="1122">
          <cell r="B1122" t="str">
            <v>SECCION CCIAL COLECTIVOS CENTRO</v>
          </cell>
        </row>
        <row r="1123">
          <cell r="B1123" t="str">
            <v>SECCION CCIAL COLECTIVOS CENTRO 2</v>
          </cell>
        </row>
        <row r="1124">
          <cell r="B1124" t="str">
            <v>SECCION CCIAL COLECTIVOS SUR</v>
          </cell>
        </row>
        <row r="1125">
          <cell r="B1125" t="str">
            <v>SECCION CCIAL COLECTIVOS SUR 2</v>
          </cell>
        </row>
        <row r="1126">
          <cell r="B1126" t="str">
            <v>SECCION CCIAL MIT Y ADQUIRENCIA ANT</v>
          </cell>
        </row>
        <row r="1127">
          <cell r="B1127" t="str">
            <v>SECCION CCIAL MIT Y ADQUIRENCIA BOGOTA 1</v>
          </cell>
        </row>
        <row r="1128">
          <cell r="B1128" t="str">
            <v>SECCION CCIAL MIT Y ADQUIRENCIA BOGOTA 2</v>
          </cell>
        </row>
        <row r="1129">
          <cell r="B1129" t="str">
            <v>SECCION CCIAL MIT Y ADQUIRENCIA CARIBE</v>
          </cell>
        </row>
        <row r="1130">
          <cell r="B1130" t="str">
            <v>SECCION CCIAL MIT Y ADQUIRENCIA CENTRO</v>
          </cell>
        </row>
        <row r="1131">
          <cell r="B1131" t="str">
            <v>SECCION CCIAL MIT Y ADQUIRENCIA SUR</v>
          </cell>
        </row>
        <row r="1132">
          <cell r="B1132" t="str">
            <v>SECCION CENTRO DE TELECOMUNICACIONES</v>
          </cell>
        </row>
        <row r="1133">
          <cell r="B1133" t="str">
            <v>SECCION CERTF CANALES MEDIOS DE PAGO</v>
          </cell>
        </row>
        <row r="1134">
          <cell r="B1134" t="str">
            <v>SECCION CERTF INTEGRACION E INFORMACION</v>
          </cell>
        </row>
        <row r="1135">
          <cell r="B1135" t="str">
            <v>SECCION CERTF MERCADO DE CAPITALES</v>
          </cell>
        </row>
        <row r="1136">
          <cell r="B1136" t="str">
            <v>SECCION CERTF NEGOCIOS DEL ACTIVO</v>
          </cell>
        </row>
        <row r="1137">
          <cell r="B1137" t="str">
            <v>SECCION CERTF NEGOCIOS DEL PASIVO Y ESPE</v>
          </cell>
        </row>
        <row r="1138">
          <cell r="B1138" t="str">
            <v>SECCION CERTF SAP Y APLICACIONES CORPO</v>
          </cell>
        </row>
        <row r="1139">
          <cell r="B1139" t="str">
            <v>SECCION COBRANZAS CASAS EXTERNAS</v>
          </cell>
        </row>
        <row r="1140">
          <cell r="B1140" t="str">
            <v>SECCION COBRANZAS URA ANTIOQUIA</v>
          </cell>
        </row>
        <row r="1141">
          <cell r="B1141" t="str">
            <v>SECCION COBRANZAS URA BOGOTA</v>
          </cell>
        </row>
        <row r="1142">
          <cell r="B1142" t="str">
            <v>SECCION COBRANZAS URA CARIBE</v>
          </cell>
        </row>
        <row r="1143">
          <cell r="B1143" t="str">
            <v>SECCION COBRANZAS URA CENTRO</v>
          </cell>
        </row>
        <row r="1144">
          <cell r="B1144" t="str">
            <v>SECCION COBRANZAS URA SUR</v>
          </cell>
        </row>
        <row r="1145">
          <cell r="B1145" t="str">
            <v>SECCION COMERCIALIZACION DE ACT BOG</v>
          </cell>
        </row>
        <row r="1146">
          <cell r="B1146" t="str">
            <v>SECCION COMERCIALIZACION DE ACT FIJOS</v>
          </cell>
        </row>
        <row r="1147">
          <cell r="B1147" t="str">
            <v>SECCION CONCILIACIONES</v>
          </cell>
        </row>
        <row r="1148">
          <cell r="B1148" t="str">
            <v>SECCION CONCILIACIONES BANCARIAS</v>
          </cell>
        </row>
        <row r="1149">
          <cell r="B1149" t="str">
            <v>SECCION CONSOLIDACION</v>
          </cell>
        </row>
        <row r="1150">
          <cell r="B1150" t="str">
            <v>SECCION CONTABILIDAD CLIENTES</v>
          </cell>
        </row>
        <row r="1151">
          <cell r="B1151" t="str">
            <v>SECCION CONTABILIDAD FIDUCIARIA</v>
          </cell>
        </row>
        <row r="1152">
          <cell r="B1152" t="str">
            <v>SECCION CONTABL E INFORMES MEDIOS DE PAG</v>
          </cell>
        </row>
        <row r="1153">
          <cell r="B1153" t="str">
            <v>SECCION CONTABLE  ADMISTRATIVA</v>
          </cell>
        </row>
        <row r="1154">
          <cell r="B1154" t="str">
            <v>SECCION CONTABLE DEL ACTIVO FIJO</v>
          </cell>
        </row>
        <row r="1155">
          <cell r="B1155" t="str">
            <v>SECCION CONTABLE DEL GASTO Y RECAUDO</v>
          </cell>
        </row>
        <row r="1156">
          <cell r="B1156" t="str">
            <v>SECCION CONTRATACION Y COMPRAS</v>
          </cell>
        </row>
        <row r="1157">
          <cell r="B1157" t="str">
            <v>SECCION CONTROL DE ACCESOS</v>
          </cell>
        </row>
        <row r="1158">
          <cell r="B1158" t="str">
            <v>SECCION CORRETAJE Y APT</v>
          </cell>
        </row>
        <row r="1159">
          <cell r="B1159" t="str">
            <v>SECCION CREACION DE PRODUCTOS RENTING</v>
          </cell>
        </row>
        <row r="1160">
          <cell r="B1160" t="str">
            <v>SECCION CREDITO FACTORING</v>
          </cell>
        </row>
        <row r="1161">
          <cell r="B1161" t="str">
            <v>SECCION CREDITO SUFI ANTIOQUIA Y CARIBE</v>
          </cell>
        </row>
        <row r="1162">
          <cell r="B1162" t="str">
            <v>SECCION CREDITO SUFI BOGOTA Y CENTRO</v>
          </cell>
        </row>
        <row r="1163">
          <cell r="B1163" t="str">
            <v>SECCION CREDITO SUFI SUR</v>
          </cell>
        </row>
        <row r="1164">
          <cell r="B1164" t="str">
            <v>SECCION CREDITOS PASIVOS</v>
          </cell>
        </row>
        <row r="1165">
          <cell r="B1165" t="str">
            <v>SECCION CREDITOS PASIVOS Y REDESCUENTO</v>
          </cell>
        </row>
        <row r="1166">
          <cell r="B1166" t="str">
            <v>SECCION CUANTIFICACION DE RIESGO</v>
          </cell>
        </row>
        <row r="1167">
          <cell r="B1167" t="str">
            <v>SECCION DATOS MAESTROS Y OPERACIONALES</v>
          </cell>
        </row>
        <row r="1168">
          <cell r="B1168" t="str">
            <v>SECCION DE APOYO ADMINISTRATIVO PIC</v>
          </cell>
        </row>
        <row r="1169">
          <cell r="B1169" t="str">
            <v>SECCION DE CREDITO BANCA EMPRESARIAL</v>
          </cell>
        </row>
        <row r="1170">
          <cell r="B1170" t="str">
            <v>SECCION DE CREDITO BANCA PYME</v>
          </cell>
        </row>
        <row r="1171">
          <cell r="B1171" t="str">
            <v>SECCION DE ENDEUDAMIENTO E INFORMES</v>
          </cell>
        </row>
        <row r="1172">
          <cell r="B1172" t="str">
            <v>SECCION DE IMPUESTOS DE FILIALES</v>
          </cell>
        </row>
        <row r="1173">
          <cell r="B1173" t="str">
            <v>SECCION DE IMPUESTOS FIDUCIARIA</v>
          </cell>
        </row>
        <row r="1174">
          <cell r="B1174" t="str">
            <v>SECCION DE PROCESOS DE CLIENTES</v>
          </cell>
        </row>
        <row r="1175">
          <cell r="B1175" t="str">
            <v>SECCION DE REDES SOCIALES</v>
          </cell>
        </row>
        <row r="1176">
          <cell r="B1176" t="str">
            <v>SECCION DEF CONTABLES ADTIVAS Y DE CNALE</v>
          </cell>
        </row>
        <row r="1177">
          <cell r="B1177" t="str">
            <v>SECCION DEFINICIONES CONTABLES DE PDTOS</v>
          </cell>
        </row>
        <row r="1178">
          <cell r="B1178" t="str">
            <v>SECCION DEFINICIONES Y ASESORIA TRIBUTAR</v>
          </cell>
        </row>
        <row r="1179">
          <cell r="B1179" t="str">
            <v>SECCION DESARROLLO DE CANALES ALTERNOS</v>
          </cell>
        </row>
        <row r="1180">
          <cell r="B1180" t="str">
            <v>SECCION DESEMBOLSOS REDESCUENTOS</v>
          </cell>
        </row>
        <row r="1181">
          <cell r="B1181" t="str">
            <v>SECCION DESEMBOLSOS Y GARANTIAS</v>
          </cell>
        </row>
        <row r="1182">
          <cell r="B1182" t="str">
            <v>SECCION DISEÑO DE SEGURIDAD</v>
          </cell>
        </row>
        <row r="1183">
          <cell r="B1183" t="str">
            <v>SECCION DISEÑO E IMPLEMENTACION DE SEGUR</v>
          </cell>
        </row>
        <row r="1184">
          <cell r="B1184" t="str">
            <v>SECCION DISEÑOS Y ADECUACIONES</v>
          </cell>
        </row>
        <row r="1185">
          <cell r="B1185" t="str">
            <v>SECCION DLLO ADMINISTRATIVO Y GTION HUMA</v>
          </cell>
        </row>
        <row r="1186">
          <cell r="B1186" t="str">
            <v>SECCION DLLO APLICACIONES TI</v>
          </cell>
        </row>
        <row r="1187">
          <cell r="B1187" t="str">
            <v>SECCION DLLO CANALES A DISTANCIA</v>
          </cell>
        </row>
        <row r="1188">
          <cell r="B1188" t="str">
            <v>SECCION DLLO CANALES CORE</v>
          </cell>
        </row>
        <row r="1189">
          <cell r="B1189" t="str">
            <v>SECCION DLLO CANALES FISICOS</v>
          </cell>
        </row>
        <row r="1190">
          <cell r="B1190" t="str">
            <v>SECCION DLLO CARTERA COMERCIAL Y CONSUMO</v>
          </cell>
        </row>
        <row r="1191">
          <cell r="B1191" t="str">
            <v>SECCION DLLO CLIENTES LEGADOS</v>
          </cell>
        </row>
        <row r="1192">
          <cell r="B1192" t="str">
            <v>SECCION DLLO COMERCIO</v>
          </cell>
        </row>
        <row r="1193">
          <cell r="B1193" t="str">
            <v>SECCION DLLO DEL PASIVO</v>
          </cell>
        </row>
        <row r="1194">
          <cell r="B1194" t="str">
            <v>SECCION DLLO FACTORIG</v>
          </cell>
        </row>
        <row r="1195">
          <cell r="B1195" t="str">
            <v>SECCION DLLO FILIALES DEL EXTERIOR</v>
          </cell>
        </row>
        <row r="1196">
          <cell r="B1196" t="str">
            <v>SECCION DLLO FINANCIERO Y CONTABILIDAD</v>
          </cell>
        </row>
        <row r="1197">
          <cell r="B1197" t="str">
            <v>SECCION DLLO LEASING</v>
          </cell>
        </row>
        <row r="1198">
          <cell r="B1198" t="str">
            <v>SECCION DLLO PIC Y CREDITO HIPOTECARIO</v>
          </cell>
        </row>
        <row r="1199">
          <cell r="B1199" t="str">
            <v>SECCION DLLO RIESGOS</v>
          </cell>
        </row>
        <row r="1200">
          <cell r="B1200" t="str">
            <v>SECCION DLLO SEGURIDAD</v>
          </cell>
        </row>
        <row r="1201">
          <cell r="B1201" t="str">
            <v>SECCION DLLO SERVICIOS DE INTEGRACION</v>
          </cell>
        </row>
        <row r="1202">
          <cell r="B1202" t="str">
            <v>SECCION DLLO SUFI</v>
          </cell>
        </row>
        <row r="1203">
          <cell r="B1203" t="str">
            <v>SECCION DLLO TARJETA DE CREDITO Y ADQUIR</v>
          </cell>
        </row>
        <row r="1204">
          <cell r="B1204" t="str">
            <v>SECCION DLLO TARJETA DEBITO</v>
          </cell>
        </row>
        <row r="1205">
          <cell r="B1205" t="str">
            <v>SECCION DLLO TRANSVERSAL SAP</v>
          </cell>
        </row>
        <row r="1206">
          <cell r="B1206" t="str">
            <v>SECCION DLLO VISUALIZACION Y ENTREGA</v>
          </cell>
        </row>
        <row r="1207">
          <cell r="B1207" t="str">
            <v>SECCION E TRADING</v>
          </cell>
        </row>
        <row r="1208">
          <cell r="B1208" t="str">
            <v>SECCION EMISIONES  20F</v>
          </cell>
        </row>
        <row r="1209">
          <cell r="B1209" t="str">
            <v>SECCION ESTRATEGIA CLIENTES SUFI</v>
          </cell>
        </row>
        <row r="1210">
          <cell r="B1210" t="str">
            <v>SECCION ESTRATEGIA DE CONTRATACION Y COM</v>
          </cell>
        </row>
        <row r="1211">
          <cell r="B1211" t="str">
            <v>SECCION ESTRATEGIA DE CUMPLIMIENTO</v>
          </cell>
        </row>
        <row r="1212">
          <cell r="B1212" t="str">
            <v>SECCION EXPERIENCIA DEL CLIENTE</v>
          </cell>
        </row>
        <row r="1213">
          <cell r="B1213" t="str">
            <v>SECCION FALLAS DE TI</v>
          </cell>
        </row>
        <row r="1214">
          <cell r="B1214" t="str">
            <v>SECCION FIDUCIA PRIVADA 1</v>
          </cell>
        </row>
        <row r="1215">
          <cell r="B1215" t="str">
            <v>SECCION FIDUCIA PRIVADA 2</v>
          </cell>
        </row>
        <row r="1216">
          <cell r="B1216" t="str">
            <v>SECCION FIDUCIA PRIVADA 3</v>
          </cell>
        </row>
        <row r="1217">
          <cell r="B1217" t="str">
            <v>SECCION FIDUCIA PRIVADA 4</v>
          </cell>
        </row>
        <row r="1218">
          <cell r="B1218" t="str">
            <v>SECCION FIDUCIA PRIVADA 5</v>
          </cell>
        </row>
        <row r="1219">
          <cell r="B1219" t="str">
            <v>SECCION FIDUCIA PRIVADA 6</v>
          </cell>
        </row>
        <row r="1220">
          <cell r="B1220" t="str">
            <v>SECCION FIDUCIA PRIVADA 7</v>
          </cell>
        </row>
        <row r="1221">
          <cell r="B1221" t="str">
            <v>SECCION FIDUCIA PRIVADA 8</v>
          </cell>
        </row>
        <row r="1222">
          <cell r="B1222" t="str">
            <v>SECCION FIDUCIA PUBLICA 1</v>
          </cell>
        </row>
        <row r="1223">
          <cell r="B1223" t="str">
            <v>SECCION FIDUCIA PUBLICA 2</v>
          </cell>
        </row>
        <row r="1224">
          <cell r="B1224" t="str">
            <v>SECCION FIDUCIA PUBLICA 3</v>
          </cell>
        </row>
        <row r="1225">
          <cell r="B1225" t="str">
            <v>SECCION FIDUCIA PUBLICA 5</v>
          </cell>
        </row>
        <row r="1226">
          <cell r="B1226" t="str">
            <v>SECCION FIDUCIA PUBLICA 6</v>
          </cell>
        </row>
        <row r="1227">
          <cell r="B1227" t="str">
            <v>SECCION FINANCIERO Y DLLO CONTABILIDAD</v>
          </cell>
        </row>
        <row r="1228">
          <cell r="B1228" t="str">
            <v>SECCION FORMACION</v>
          </cell>
        </row>
        <row r="1229">
          <cell r="B1229" t="str">
            <v>SECCION GARANTIAS Y DESEMBOLSOS SUFI</v>
          </cell>
        </row>
        <row r="1230">
          <cell r="B1230" t="str">
            <v>SECCION GENERACION ESTADOS FCROS E INF</v>
          </cell>
        </row>
        <row r="1231">
          <cell r="B1231" t="str">
            <v>SECCION GESTION ANALITICA DE CUMPLIMIENT</v>
          </cell>
        </row>
        <row r="1232">
          <cell r="B1232" t="str">
            <v>SECCION GESTION BANCARIA</v>
          </cell>
        </row>
        <row r="1233">
          <cell r="B1233" t="str">
            <v>SECCION GESTION CONTABLE</v>
          </cell>
        </row>
        <row r="1234">
          <cell r="B1234" t="str">
            <v>SECCION GESTION CONTABLE  Y REPORTES LMC</v>
          </cell>
        </row>
        <row r="1235">
          <cell r="B1235" t="str">
            <v>SECCION GESTION CONTROLES DE SEGURIDAD</v>
          </cell>
        </row>
        <row r="1236">
          <cell r="B1236" t="str">
            <v>SECCION GESTION DE CAMBIOS</v>
          </cell>
        </row>
        <row r="1237">
          <cell r="B1237" t="str">
            <v>SECCION GESTION DE FALLAS TECNOLOGICAS</v>
          </cell>
        </row>
        <row r="1238">
          <cell r="B1238" t="str">
            <v>SECCION GESTION DE INFRAESTRUCTURA</v>
          </cell>
        </row>
        <row r="1239">
          <cell r="B1239" t="str">
            <v>SECCION GESTION DE INVERSIONES</v>
          </cell>
        </row>
        <row r="1240">
          <cell r="B1240" t="str">
            <v>SECCION GESTION DE LA DEMANDA CANALES</v>
          </cell>
        </row>
        <row r="1241">
          <cell r="B1241" t="str">
            <v>SECCION GESTION DE LA DEMANDA MIT</v>
          </cell>
        </row>
        <row r="1242">
          <cell r="B1242" t="str">
            <v>SECCION GESTION DE PROPIEDAD</v>
          </cell>
        </row>
        <row r="1243">
          <cell r="B1243" t="str">
            <v>SECCION GESTION DE SERVICIOS</v>
          </cell>
        </row>
        <row r="1244">
          <cell r="B1244" t="str">
            <v>SECCION GESTION DEL CAMBIO Y DESARROLLO</v>
          </cell>
        </row>
        <row r="1245">
          <cell r="B1245" t="str">
            <v>SECCION GESTION DEMANDA MEDIOS DE PAGO</v>
          </cell>
        </row>
        <row r="1246">
          <cell r="B1246" t="str">
            <v>SECCION GESTION DOCUMENTAL COLABORACION</v>
          </cell>
        </row>
        <row r="1247">
          <cell r="B1247" t="str">
            <v>SECCION GESTION INTERNACIONAL</v>
          </cell>
        </row>
        <row r="1248">
          <cell r="B1248" t="str">
            <v>SECCION GESTION OPERACIONES FINANCIERAS</v>
          </cell>
        </row>
        <row r="1249">
          <cell r="B1249" t="str">
            <v>SECCION GESTION PROC INTEG DE ABASTECI</v>
          </cell>
        </row>
        <row r="1250">
          <cell r="B1250" t="str">
            <v>SECCION GESTORES DE CAPACIDAD</v>
          </cell>
        </row>
        <row r="1251">
          <cell r="B1251" t="str">
            <v>SECCION GOBIERNO Y ESTRATEGIA DE SEGURID</v>
          </cell>
        </row>
        <row r="1252">
          <cell r="B1252" t="str">
            <v>SECCION GRABACION LIMITES</v>
          </cell>
        </row>
        <row r="1253">
          <cell r="B1253" t="str">
            <v>SECCION GTION ADTIVA DE ING DE PROCS</v>
          </cell>
        </row>
        <row r="1254">
          <cell r="B1254" t="str">
            <v>SECCION HERRAMIENTAS DE INTEGRACION</v>
          </cell>
        </row>
        <row r="1255">
          <cell r="B1255" t="str">
            <v>SECCION IMPORTACIONES LEASING</v>
          </cell>
        </row>
        <row r="1256">
          <cell r="B1256" t="str">
            <v>SECCION IMPUESTOS LEASING</v>
          </cell>
        </row>
        <row r="1257">
          <cell r="B1257" t="str">
            <v>SECCION IMPUESTOS RENTA</v>
          </cell>
        </row>
        <row r="1258">
          <cell r="B1258" t="str">
            <v>SECCION IMPUESTOS VALORES</v>
          </cell>
        </row>
        <row r="1259">
          <cell r="B1259" t="str">
            <v>SECCION INFORMACION CLIENTES</v>
          </cell>
        </row>
        <row r="1260">
          <cell r="B1260" t="str">
            <v>SECCION INFORMACION DE CUMPLIMIENTO</v>
          </cell>
        </row>
        <row r="1261">
          <cell r="B1261" t="str">
            <v>SECCION INFORMACION FINANCIERA EMPRESAS</v>
          </cell>
        </row>
        <row r="1262">
          <cell r="B1262" t="str">
            <v>SECCION INFORMACION Y MEDICION</v>
          </cell>
        </row>
        <row r="1263">
          <cell r="B1263" t="str">
            <v>SECCION INFORMACION Y MERCADEO</v>
          </cell>
        </row>
        <row r="1264">
          <cell r="B1264" t="str">
            <v>SECCION INFRA CAJEROS ELECTRONICOS</v>
          </cell>
        </row>
        <row r="1265">
          <cell r="B1265" t="str">
            <v>SECCION INFRAESTRUCTURA APLICATIVA</v>
          </cell>
        </row>
        <row r="1266">
          <cell r="B1266" t="str">
            <v>SECCION INFRAESTRUCTURA CANALES</v>
          </cell>
        </row>
        <row r="1267">
          <cell r="B1267" t="str">
            <v>SECCION ING DE PROCESOS ESPECIALES</v>
          </cell>
        </row>
        <row r="1268">
          <cell r="B1268" t="str">
            <v>SECCION INGENIERIA PROCESOS DE CARTERA</v>
          </cell>
        </row>
        <row r="1269">
          <cell r="B1269" t="str">
            <v>SECCION INTELIGENCIA COMERCIAL</v>
          </cell>
        </row>
        <row r="1270">
          <cell r="B1270" t="str">
            <v>SECCION INTELIGENCIA DE NEGOCIOS</v>
          </cell>
        </row>
        <row r="1271">
          <cell r="B1271" t="str">
            <v>SECCION INTERNET Y REDES EXTERNAS</v>
          </cell>
        </row>
        <row r="1272">
          <cell r="B1272" t="str">
            <v>SECCION INVESTIGACION Y DESARROLLO</v>
          </cell>
        </row>
        <row r="1273">
          <cell r="B1273" t="str">
            <v>SECCION INVESTIGACION Y MONITOREO DE SEG</v>
          </cell>
        </row>
        <row r="1274">
          <cell r="B1274" t="str">
            <v>SECCION INVESTIGACIONES ESPECIALES</v>
          </cell>
        </row>
        <row r="1275">
          <cell r="B1275" t="str">
            <v>SECCION IVA E ICA</v>
          </cell>
        </row>
        <row r="1276">
          <cell r="B1276" t="str">
            <v>SECCION JURID ANTIOQUIA BANC EMP Y GOB</v>
          </cell>
        </row>
        <row r="1277">
          <cell r="B1277" t="str">
            <v>SECCION JURID BOGOTA SABANA Y CENTRO BEG</v>
          </cell>
        </row>
        <row r="1278">
          <cell r="B1278" t="str">
            <v>SECCION JURID BPP BGTA SABANA Y CENTRO</v>
          </cell>
        </row>
        <row r="1279">
          <cell r="B1279" t="str">
            <v>SECCION JURID CARIBE BANC EMP Y GOB</v>
          </cell>
        </row>
        <row r="1280">
          <cell r="B1280" t="str">
            <v>SECCION JURID PERSONAS Y PYME ANTIOQUIA</v>
          </cell>
        </row>
        <row r="1281">
          <cell r="B1281" t="str">
            <v>SECCION JURID SUR BANC EMP Y GOB</v>
          </cell>
        </row>
        <row r="1282">
          <cell r="B1282" t="str">
            <v>SECCION JURIDICA ANTIOQUIA 2</v>
          </cell>
        </row>
        <row r="1283">
          <cell r="B1283" t="str">
            <v>SECCION JURIDICA BANCA GOBIERNO</v>
          </cell>
        </row>
        <row r="1284">
          <cell r="B1284" t="str">
            <v>SECCION JURIDICA BCA EMPRESAS Y GOBIERNO</v>
          </cell>
        </row>
        <row r="1285">
          <cell r="B1285" t="str">
            <v>SECCION JURIDICA COBRANZAS ANTIOQUIA</v>
          </cell>
        </row>
        <row r="1286">
          <cell r="B1286" t="str">
            <v>SECCION JURIDICA CONCURSALES</v>
          </cell>
        </row>
        <row r="1287">
          <cell r="B1287" t="str">
            <v>SECCION JURIDICA DE RECUPER CARTERA BOG</v>
          </cell>
        </row>
        <row r="1288">
          <cell r="B1288" t="str">
            <v>SECCION JURIDICA FACTORING</v>
          </cell>
        </row>
        <row r="1289">
          <cell r="B1289" t="str">
            <v>SECCION JURIDICA HIPOTECARIA</v>
          </cell>
        </row>
        <row r="1290">
          <cell r="B1290" t="str">
            <v>SECCION JURIDICA INMOBILIARIA</v>
          </cell>
        </row>
        <row r="1291">
          <cell r="B1291" t="str">
            <v>SECCION JURIDICA INSTITUCIONAL</v>
          </cell>
        </row>
        <row r="1292">
          <cell r="B1292" t="str">
            <v>SECCION JURIDICA INTERNACIONAL MED</v>
          </cell>
        </row>
        <row r="1293">
          <cell r="B1293" t="str">
            <v>SECCION JURIDICA MEDIOS DE PAGO</v>
          </cell>
        </row>
        <row r="1294">
          <cell r="B1294" t="str">
            <v>SECCION JURIDICA PROCS ESPECIALES ANT</v>
          </cell>
        </row>
        <row r="1295">
          <cell r="B1295" t="str">
            <v>SECCION JURIDICA PROCS ESPECIALES BOG</v>
          </cell>
        </row>
        <row r="1296">
          <cell r="B1296" t="str">
            <v>SECCION JURIDICA SUFI</v>
          </cell>
        </row>
        <row r="1297">
          <cell r="B1297" t="str">
            <v>SECCION LIBRANZA</v>
          </cell>
        </row>
        <row r="1298">
          <cell r="B1298" t="str">
            <v>SECCION LINEA DE CONOCIMIENTO 1</v>
          </cell>
        </row>
        <row r="1299">
          <cell r="B1299" t="str">
            <v>SECCION LINEA DE CONOCIMIENTO 2</v>
          </cell>
        </row>
        <row r="1300">
          <cell r="B1300" t="str">
            <v>SECCION LINEA DE CONOCIMIENTO 3</v>
          </cell>
        </row>
        <row r="1301">
          <cell r="B1301" t="str">
            <v>SECCION LIQUIDEZ</v>
          </cell>
        </row>
        <row r="1302">
          <cell r="B1302" t="str">
            <v>SECCION LOGISTICA Y DISTRIBUCION</v>
          </cell>
        </row>
        <row r="1303">
          <cell r="B1303" t="str">
            <v>SECCION MDEO ANALITICO E INF CLIENTES</v>
          </cell>
        </row>
        <row r="1304">
          <cell r="B1304" t="str">
            <v>SECCION MEDICION COMERCIAL</v>
          </cell>
        </row>
        <row r="1305">
          <cell r="B1305" t="str">
            <v>SECCION MERCADEO RELACIONAL</v>
          </cell>
        </row>
        <row r="1306">
          <cell r="B1306" t="str">
            <v>SECCION MERCADEO RELACIONAL BPP</v>
          </cell>
        </row>
        <row r="1307">
          <cell r="B1307" t="str">
            <v>SECCION MERCADO CAMBIARIO</v>
          </cell>
        </row>
        <row r="1308">
          <cell r="B1308" t="str">
            <v>SECCION MESA DE AYUDA JURIDICA</v>
          </cell>
        </row>
        <row r="1309">
          <cell r="B1309" t="str">
            <v>SECCION MESA INTEGRADA DE SERVICIOS</v>
          </cell>
        </row>
        <row r="1310">
          <cell r="B1310" t="str">
            <v>SECCION METRICAS Y DESEMPEÑO</v>
          </cell>
        </row>
        <row r="1311">
          <cell r="B1311" t="str">
            <v>SECCION MIDDLE OFFICE</v>
          </cell>
        </row>
        <row r="1312">
          <cell r="B1312" t="str">
            <v>SECCION MITIGACION RIESGO OPERACIONAL</v>
          </cell>
        </row>
        <row r="1313">
          <cell r="B1313" t="str">
            <v>SECCION MONITOREO DE COMPLIANCE</v>
          </cell>
        </row>
        <row r="1314">
          <cell r="B1314" t="str">
            <v>SECCION MONITOREO NORMAS CIERRES  FINANC</v>
          </cell>
        </row>
        <row r="1315">
          <cell r="B1315" t="str">
            <v>SECCION MONITOREO TI</v>
          </cell>
        </row>
        <row r="1316">
          <cell r="B1316" t="str">
            <v>SECCION NEGOCIOS ESPECIALES 2</v>
          </cell>
        </row>
        <row r="1317">
          <cell r="B1317" t="str">
            <v>SECCION NEGOCIOS ESPECIALES 3</v>
          </cell>
        </row>
        <row r="1318">
          <cell r="B1318" t="str">
            <v>SECCION NEGOCIOS ESPECIALES 4</v>
          </cell>
        </row>
        <row r="1319">
          <cell r="B1319" t="str">
            <v>SECCION NEGOCIOS ESPECIALES 5</v>
          </cell>
        </row>
        <row r="1320">
          <cell r="B1320" t="str">
            <v>SECCION NEGOCIOS FIDUCIARIOS</v>
          </cell>
        </row>
        <row r="1321">
          <cell r="B1321" t="str">
            <v>SECCION NOMINA</v>
          </cell>
        </row>
        <row r="1322">
          <cell r="B1322" t="str">
            <v>SECCION OPERACION DE LA MALLA</v>
          </cell>
        </row>
        <row r="1323">
          <cell r="B1323" t="str">
            <v>SECCION OPERACIONES  ESPECIALES</v>
          </cell>
        </row>
        <row r="1324">
          <cell r="B1324" t="str">
            <v>SECCION OPERACIONES CONTABLES</v>
          </cell>
        </row>
        <row r="1325">
          <cell r="B1325" t="str">
            <v>SECCION OPERACIONES DE TESORERIA</v>
          </cell>
        </row>
        <row r="1326">
          <cell r="B1326" t="str">
            <v>SECCION OPERACIONES INMOBILIARIAS 1</v>
          </cell>
        </row>
        <row r="1327">
          <cell r="B1327" t="str">
            <v>SECCION OPERACIONES INMOBILIARIAS 2</v>
          </cell>
        </row>
        <row r="1328">
          <cell r="B1328" t="str">
            <v>SECCION OPERACIONES INMOBILIARIAS 3</v>
          </cell>
        </row>
        <row r="1329">
          <cell r="B1329" t="str">
            <v>SECCION OPERACIONES INMOBILIARIAS 4</v>
          </cell>
        </row>
        <row r="1330">
          <cell r="B1330" t="str">
            <v>SECCION OPERATIVA CENTRALIZADA</v>
          </cell>
        </row>
        <row r="1331">
          <cell r="B1331" t="str">
            <v>SECCION OPERATIVA LEASING ANT</v>
          </cell>
        </row>
        <row r="1332">
          <cell r="B1332" t="str">
            <v>SECCION OPERATIVA LEASING BOG EMP</v>
          </cell>
        </row>
        <row r="1333">
          <cell r="B1333" t="str">
            <v>SECCION OPERATIVA LEASING BOG PYMES</v>
          </cell>
        </row>
        <row r="1334">
          <cell r="B1334" t="str">
            <v>SECCION OPERATIVA LEASING SUR</v>
          </cell>
        </row>
        <row r="1335">
          <cell r="B1335" t="str">
            <v>SECCION OPERATIVA SERVICIOS DE TARJETAS</v>
          </cell>
        </row>
        <row r="1336">
          <cell r="B1336" t="str">
            <v>SECCION ORIENTACION MONEDA EXTRANJERA</v>
          </cell>
        </row>
        <row r="1337">
          <cell r="B1337" t="str">
            <v>SECCION PAGOS Y RECAUDOS</v>
          </cell>
        </row>
        <row r="1338">
          <cell r="B1338" t="str">
            <v>SECCION PERSONALIZACION Y ENTREGA DE TAR</v>
          </cell>
        </row>
        <row r="1339">
          <cell r="B1339" t="str">
            <v>SECCION PLATAFORMAS DE COLABORACION</v>
          </cell>
        </row>
        <row r="1340">
          <cell r="B1340" t="str">
            <v>SECCION PLATAFORMAS ISERIES</v>
          </cell>
        </row>
        <row r="1341">
          <cell r="B1341" t="str">
            <v>SECCION PLATAFORMAS P SERIES</v>
          </cell>
        </row>
        <row r="1342">
          <cell r="B1342" t="str">
            <v>SECCION PREPARACION DE DEMANDAS</v>
          </cell>
        </row>
        <row r="1343">
          <cell r="B1343" t="str">
            <v>SECCION PROCESAMIENTO CANALES</v>
          </cell>
        </row>
        <row r="1344">
          <cell r="B1344" t="str">
            <v>SECCION PROCESAMIENTO CANJE</v>
          </cell>
        </row>
        <row r="1345">
          <cell r="B1345" t="str">
            <v>SECCION PROCESAMIENTO EFECTIVO</v>
          </cell>
        </row>
        <row r="1346">
          <cell r="B1346" t="str">
            <v>SECCION PROCESAMIENTO PGC</v>
          </cell>
        </row>
        <row r="1347">
          <cell r="B1347" t="str">
            <v>SECCION PROCESO DE CREDITO LEASING</v>
          </cell>
        </row>
        <row r="1348">
          <cell r="B1348" t="str">
            <v>SECCION PROCESOS CONTABL Y DE INF DE TAR</v>
          </cell>
        </row>
        <row r="1349">
          <cell r="B1349" t="str">
            <v>SECCION PROCESOS DE ADQUIRENCIA DE TAR</v>
          </cell>
        </row>
        <row r="1350">
          <cell r="B1350" t="str">
            <v>SECCION PROCESOS DE FONDOS</v>
          </cell>
        </row>
        <row r="1351">
          <cell r="B1351" t="str">
            <v>SECCION PROCESOS EMISOR DE TARJETAS</v>
          </cell>
        </row>
        <row r="1352">
          <cell r="B1352" t="str">
            <v>SECCION PROCESOS ESPECIALES LEASING</v>
          </cell>
        </row>
        <row r="1353">
          <cell r="B1353" t="str">
            <v>SECCION PROCMIENTO OPERS INTERNACIONALES</v>
          </cell>
        </row>
        <row r="1354">
          <cell r="B1354" t="str">
            <v>SECCION PRODUCCION CARTERA</v>
          </cell>
        </row>
        <row r="1355">
          <cell r="B1355" t="str">
            <v>SECCION PRODUCTO ARRENDAMIENTO</v>
          </cell>
        </row>
        <row r="1356">
          <cell r="B1356" t="str">
            <v>SECCION PRODUCTO COLOMBIANOS EN EL EXTER</v>
          </cell>
        </row>
        <row r="1357">
          <cell r="B1357" t="str">
            <v>SECCION PRODUCTOS DE INCLUSION</v>
          </cell>
        </row>
        <row r="1358">
          <cell r="B1358" t="str">
            <v>SECCION PRODUCTOS LEASING FINANCIERO</v>
          </cell>
        </row>
        <row r="1359">
          <cell r="B1359" t="str">
            <v>SECCION PROVISIONES NORMAS  INTER</v>
          </cell>
        </row>
        <row r="1360">
          <cell r="B1360" t="str">
            <v>SECCION PROYEC HERRAMIENTAS  MONIT TI</v>
          </cell>
        </row>
        <row r="1361">
          <cell r="B1361" t="str">
            <v>SECCION PRUEBAS DE CONTINUIDAD</v>
          </cell>
        </row>
        <row r="1362">
          <cell r="B1362" t="str">
            <v>SECCION PRUEBAS TECNICAS</v>
          </cell>
        </row>
        <row r="1363">
          <cell r="B1363" t="str">
            <v>SECCION PUBLICIDAD</v>
          </cell>
        </row>
        <row r="1364">
          <cell r="B1364" t="str">
            <v>SECCION RAZONABILIDAD FINANCIERA</v>
          </cell>
        </row>
        <row r="1365">
          <cell r="B1365" t="str">
            <v>SECCION RECEPCION Y GARANTIAS</v>
          </cell>
        </row>
        <row r="1366">
          <cell r="B1366" t="str">
            <v>SECCION RED AMEX</v>
          </cell>
        </row>
        <row r="1367">
          <cell r="B1367" t="str">
            <v>SECCION REDESCUENTOS</v>
          </cell>
        </row>
        <row r="1368">
          <cell r="B1368" t="str">
            <v>SECCION REGISTRO OPERACIONES CAMBIARIAS</v>
          </cell>
        </row>
        <row r="1369">
          <cell r="B1369" t="str">
            <v>SECCION RELACIONAMIENTO BOGOTA</v>
          </cell>
        </row>
        <row r="1370">
          <cell r="B1370" t="str">
            <v>SECCION REPORTES ADMON ACTIVOS</v>
          </cell>
        </row>
        <row r="1371">
          <cell r="B1371" t="str">
            <v>SECCION REQ LINEAS DE NEG Y PROC DE APOY</v>
          </cell>
        </row>
        <row r="1372">
          <cell r="B1372" t="str">
            <v>SECCION REQUERIMIENTOS CAPTACIONES  Y CO</v>
          </cell>
        </row>
        <row r="1373">
          <cell r="B1373" t="str">
            <v>SECCION REQUERIMIENTOS DE TARJETAS</v>
          </cell>
        </row>
        <row r="1374">
          <cell r="B1374" t="str">
            <v>SECCION REQUERIMIENTOS INSTITUCIONALES</v>
          </cell>
        </row>
        <row r="1375">
          <cell r="B1375" t="str">
            <v>SECCION RGO TARJETA DE CREDITO Y CONSUMO</v>
          </cell>
        </row>
        <row r="1376">
          <cell r="B1376" t="str">
            <v>SECCION RIESGO SUFI</v>
          </cell>
        </row>
        <row r="1377">
          <cell r="B1377" t="str">
            <v>SECCION SALA DE VENTAS</v>
          </cell>
        </row>
        <row r="1378">
          <cell r="B1378" t="str">
            <v>SECCION SALA DE VENTAS  ANTIOQUIA 1</v>
          </cell>
        </row>
        <row r="1379">
          <cell r="B1379" t="str">
            <v>SECCION SALA DE VENTAS  ANTIOQUIA 2</v>
          </cell>
        </row>
        <row r="1380">
          <cell r="B1380" t="str">
            <v>SECCION SALA DE VENTAS 1</v>
          </cell>
        </row>
        <row r="1381">
          <cell r="B1381" t="str">
            <v>SECCION SALA DE VENTAS 2</v>
          </cell>
        </row>
        <row r="1382">
          <cell r="B1382" t="str">
            <v>SECCION SALA DE VENTAS 3</v>
          </cell>
        </row>
        <row r="1383">
          <cell r="B1383" t="str">
            <v>SECCION SANEAMIENTO Y NORMALIZACION</v>
          </cell>
        </row>
        <row r="1384">
          <cell r="B1384" t="str">
            <v>SECCION SEDES Y PISOS FINANCIEROS</v>
          </cell>
        </row>
        <row r="1385">
          <cell r="B1385" t="str">
            <v>SECCION SEGMENTO COLOMBIANOS EN EL EXTER</v>
          </cell>
        </row>
        <row r="1386">
          <cell r="B1386" t="str">
            <v>SECCION SEGUIMIENTO Y MONITOREO CONTABLE</v>
          </cell>
        </row>
        <row r="1387">
          <cell r="B1387" t="str">
            <v>SECCION SEGURIDAD INTERNA</v>
          </cell>
        </row>
        <row r="1388">
          <cell r="B1388" t="str">
            <v>SECCION SEGUROS Y CONTABLE</v>
          </cell>
        </row>
        <row r="1389">
          <cell r="B1389" t="str">
            <v>SECCION SELECCCION Y DESARROLLO REGIONAL</v>
          </cell>
        </row>
        <row r="1390">
          <cell r="B1390" t="str">
            <v>SECCION SERV  RECAUDO IMPUESTOS</v>
          </cell>
        </row>
        <row r="1391">
          <cell r="B1391" t="str">
            <v>SECCION SERV ADMON  ACTIVOS,PP, INST</v>
          </cell>
        </row>
        <row r="1392">
          <cell r="B1392" t="str">
            <v>SECCION SERV CAJEROS AUTOMATICOS PAC</v>
          </cell>
        </row>
        <row r="1393">
          <cell r="B1393" t="str">
            <v>SECCION SERV DE CUSTODIA Y EMISIONES</v>
          </cell>
        </row>
        <row r="1394">
          <cell r="B1394" t="str">
            <v>SECCION SERV DISTRIBUCION Y VENTAS Y APT</v>
          </cell>
        </row>
        <row r="1395">
          <cell r="B1395" t="str">
            <v>SECCION SERV ESPECIALIZADOS</v>
          </cell>
        </row>
        <row r="1396">
          <cell r="B1396" t="str">
            <v>SECCION SERV HABILITACIONES Y PROC</v>
          </cell>
        </row>
        <row r="1397">
          <cell r="B1397" t="str">
            <v>SECCION SERV INFORMACION APOYO AL NEGOCI</v>
          </cell>
        </row>
        <row r="1398">
          <cell r="B1398" t="str">
            <v>SECCION SERV LEASING ZONA ANTIOQUIA</v>
          </cell>
        </row>
        <row r="1399">
          <cell r="B1399" t="str">
            <v>SECCION SERV LEASING ZONA BOGOTA EMP</v>
          </cell>
        </row>
        <row r="1400">
          <cell r="B1400" t="str">
            <v>SECCION SERV LEASING ZONA BOGOTA PYME</v>
          </cell>
        </row>
        <row r="1401">
          <cell r="B1401" t="str">
            <v>SECCION SERV LEASING ZONA CARIBE</v>
          </cell>
        </row>
        <row r="1402">
          <cell r="B1402" t="str">
            <v>SECCION SERV LEASING ZONA CENTRO</v>
          </cell>
        </row>
        <row r="1403">
          <cell r="B1403" t="str">
            <v>SECCION SERV LEASING ZONA SUR</v>
          </cell>
        </row>
        <row r="1404">
          <cell r="B1404" t="str">
            <v>SECCION SERV MERCADO CAMBIARIO BPP</v>
          </cell>
        </row>
        <row r="1405">
          <cell r="B1405" t="str">
            <v>SECCION SERV MERCADO CAMBIARIO EMPRESAS</v>
          </cell>
        </row>
        <row r="1406">
          <cell r="B1406" t="str">
            <v>SECCION SERV PARA COMERCIOS Y RED AMEX</v>
          </cell>
        </row>
        <row r="1407">
          <cell r="B1407" t="str">
            <v>SECCION SERV TARJETAHABIENTES DEBITO PRE</v>
          </cell>
        </row>
        <row r="1408">
          <cell r="B1408" t="str">
            <v>SECCION SERV TARJETAHABIENTES EMPRESA</v>
          </cell>
        </row>
        <row r="1409">
          <cell r="B1409" t="str">
            <v>SECCION SERV TARJETAHABIENTES PERSONAL</v>
          </cell>
        </row>
        <row r="1410">
          <cell r="B1410" t="str">
            <v>SECCION SERV VINCULACION DE CLIENTES</v>
          </cell>
        </row>
        <row r="1411">
          <cell r="B1411" t="str">
            <v>SECCION SERVICIOS  EFECTIVO</v>
          </cell>
        </row>
        <row r="1412">
          <cell r="B1412" t="str">
            <v>SECCION SERVICIOS ADMINISTRATIVOS</v>
          </cell>
        </row>
        <row r="1413">
          <cell r="B1413" t="str">
            <v>SECCION SERVICIOS CALL CENTER</v>
          </cell>
        </row>
        <row r="1414">
          <cell r="B1414" t="str">
            <v>SECCION SERVICIOS CANALES VIRTUALES</v>
          </cell>
        </row>
        <row r="1415">
          <cell r="B1415" t="str">
            <v>SECCION SERVICIOS CANJE</v>
          </cell>
        </row>
        <row r="1416">
          <cell r="B1416" t="str">
            <v>SECCION SERVICIOS CONTACT CENTER</v>
          </cell>
        </row>
        <row r="1417">
          <cell r="B1417" t="str">
            <v>SECCION SERVICIOS DE CUMPLIMIENTO</v>
          </cell>
        </row>
        <row r="1418">
          <cell r="B1418" t="str">
            <v>SECCION SERVICIOS DE IMPLEMENTACION DEMA</v>
          </cell>
        </row>
        <row r="1419">
          <cell r="B1419" t="str">
            <v>SECCION SERVICIOS DE PAGO</v>
          </cell>
        </row>
        <row r="1420">
          <cell r="B1420" t="str">
            <v>SECCION SERVICIOS DE PAGOS</v>
          </cell>
        </row>
        <row r="1421">
          <cell r="B1421" t="str">
            <v>SECCION SERVICIOS DE RECAUDO</v>
          </cell>
        </row>
        <row r="1422">
          <cell r="B1422" t="str">
            <v>SECCION SERVICIOS IMPLEMENTACIONES PROPI</v>
          </cell>
        </row>
        <row r="1423">
          <cell r="B1423" t="str">
            <v>SECCION SERVICIOS INTERNET Y MOVILIDAD</v>
          </cell>
        </row>
        <row r="1424">
          <cell r="B1424" t="str">
            <v>SECCION SERVICIOS REGIONAL  ANTIOQUIA</v>
          </cell>
        </row>
        <row r="1425">
          <cell r="B1425" t="str">
            <v>SECCION SERVICIOS REGIONAL  CARIBE</v>
          </cell>
        </row>
        <row r="1426">
          <cell r="B1426" t="str">
            <v>SECCION SERVICIOS REGIONAL BOGOTA</v>
          </cell>
        </row>
        <row r="1427">
          <cell r="B1427" t="str">
            <v>SECCION SERVICIOS REGIONAL SUR</v>
          </cell>
        </row>
        <row r="1428">
          <cell r="B1428" t="str">
            <v>SECCION SERVICIOS SE MERCADEO SUFI</v>
          </cell>
        </row>
        <row r="1429">
          <cell r="B1429" t="str">
            <v>SECCION SERVICIOS VOZ Y VIDEO</v>
          </cell>
        </row>
        <row r="1430">
          <cell r="B1430" t="str">
            <v>SECCION SERVICIOS Y RELACIONES</v>
          </cell>
        </row>
        <row r="1431">
          <cell r="B1431" t="str">
            <v>SECCION SOLUCIONES DE TI LEASING</v>
          </cell>
        </row>
        <row r="1432">
          <cell r="B1432" t="str">
            <v>SECCION SOLUCIONES DE TI MIT</v>
          </cell>
        </row>
        <row r="1433">
          <cell r="B1433" t="str">
            <v>SECCION SOLUCIONES DEL PASIVO</v>
          </cell>
        </row>
        <row r="1434">
          <cell r="B1434" t="str">
            <v>SECCION SOLUCIONES TI FONDOS INVERSION</v>
          </cell>
        </row>
        <row r="1435">
          <cell r="B1435" t="str">
            <v>SECCION SOPORTE EN SITIO</v>
          </cell>
        </row>
        <row r="1436">
          <cell r="B1436" t="str">
            <v>SECCION SOPORTE EN SITIO Y LOGISTICA</v>
          </cell>
        </row>
        <row r="1437">
          <cell r="B1437" t="str">
            <v>SECCION TELEFONICA</v>
          </cell>
        </row>
        <row r="1438">
          <cell r="B1438" t="str">
            <v>SECCION TI FACTORING</v>
          </cell>
        </row>
        <row r="1439">
          <cell r="B1439" t="str">
            <v>SECCION VALORACION</v>
          </cell>
        </row>
        <row r="1440">
          <cell r="B1440" t="str">
            <v>SEGMENTOS BANCA PERSONAS Y PYMES</v>
          </cell>
        </row>
        <row r="1441">
          <cell r="B1441" t="str">
            <v>SEGURIDAD Y CUMPLIMIENTO</v>
          </cell>
        </row>
        <row r="1442">
          <cell r="B1442" t="str">
            <v>SELECCION Y DESARROLLO BOGOTA</v>
          </cell>
        </row>
        <row r="1443">
          <cell r="B1443" t="str">
            <v>SELECCION Y DESARROLLO CARIBE</v>
          </cell>
        </row>
        <row r="1444">
          <cell r="B1444" t="str">
            <v>SELECCION Y DESARROLLO CENTRO</v>
          </cell>
        </row>
        <row r="1445">
          <cell r="B1445" t="str">
            <v>SELECCION Y DESARROLLO SUR</v>
          </cell>
        </row>
        <row r="1446">
          <cell r="B1446" t="str">
            <v>SERVICIO EN SUC CENTRO META</v>
          </cell>
        </row>
        <row r="1447">
          <cell r="B1447" t="str">
            <v>SERVICIO SUC ANT ROTATIVO BCA EMPRESAS</v>
          </cell>
        </row>
        <row r="1448">
          <cell r="B1448" t="str">
            <v>SERVICIO SUC ANT ROTATIVO BCA EMPRESAS 2</v>
          </cell>
        </row>
        <row r="1449">
          <cell r="B1449" t="str">
            <v>SERVICIO SUC ANT ROTATIVO ZONA CENTRO</v>
          </cell>
        </row>
        <row r="1450">
          <cell r="B1450" t="str">
            <v>SERVICIO SUC ANTIOQUIA  METROPOLITANA</v>
          </cell>
        </row>
        <row r="1451">
          <cell r="B1451" t="str">
            <v>SERVICIO SUC ANTIOQUIA  NORTE</v>
          </cell>
        </row>
        <row r="1452">
          <cell r="B1452" t="str">
            <v>SERVICIO SUC ANTIOQUIA  PERIFERICA</v>
          </cell>
        </row>
        <row r="1453">
          <cell r="B1453" t="str">
            <v>SERVICIO SUC ANTIOQUIA  VALLE DE ABURRA</v>
          </cell>
        </row>
        <row r="1454">
          <cell r="B1454" t="str">
            <v>SERVICIO SUC ANTIOQUIA CENTRO</v>
          </cell>
        </row>
        <row r="1455">
          <cell r="B1455" t="str">
            <v>SERVICIO SUC ANTIOQUIA GERENCIAMIENTO</v>
          </cell>
        </row>
        <row r="1456">
          <cell r="B1456" t="str">
            <v>SERVICIO SUC ANTIOQUIA OCCIDENTE</v>
          </cell>
        </row>
        <row r="1457">
          <cell r="B1457" t="str">
            <v>SERVICIO SUC ANTIOQUIA POBLADO</v>
          </cell>
        </row>
        <row r="1458">
          <cell r="B1458" t="str">
            <v>SERVICIO SUC ANTIOQUIA SUR</v>
          </cell>
        </row>
        <row r="1459">
          <cell r="B1459" t="str">
            <v>SERVICIO SUC BOGOTA  BANCA EMPRESAS</v>
          </cell>
        </row>
        <row r="1460">
          <cell r="B1460" t="str">
            <v>SERVICIO SUC BOGOTA  CENTRO</v>
          </cell>
        </row>
        <row r="1461">
          <cell r="B1461" t="str">
            <v>SERVICIO SUC BOGOTA  METROPOLITANA</v>
          </cell>
        </row>
        <row r="1462">
          <cell r="B1462" t="str">
            <v>SERVICIO SUC BOGOTA BANCA SUPEMERCADO</v>
          </cell>
        </row>
        <row r="1463">
          <cell r="B1463" t="str">
            <v>SERVICIO SUC BOGOTA INDUSTRIAL</v>
          </cell>
        </row>
        <row r="1464">
          <cell r="B1464" t="str">
            <v>SERVICIO SUC BOGOTA NOROCCIDENTE</v>
          </cell>
        </row>
        <row r="1465">
          <cell r="B1465" t="str">
            <v>SERVICIO SUC BOGOTA NORTE</v>
          </cell>
        </row>
        <row r="1466">
          <cell r="B1466" t="str">
            <v>SERVICIO SUC BOGOTA OCCIDENTE</v>
          </cell>
        </row>
        <row r="1467">
          <cell r="B1467" t="str">
            <v>SERVICIO SUC BOGOTA ORIENTE</v>
          </cell>
        </row>
        <row r="1468">
          <cell r="B1468" t="str">
            <v>SERVICIO SUC BOGOTA SABANA</v>
          </cell>
        </row>
        <row r="1469">
          <cell r="B1469" t="str">
            <v>SERVICIO SUC BOGOTA SUROCCIDENTE</v>
          </cell>
        </row>
        <row r="1470">
          <cell r="B1470" t="str">
            <v>SERVICIO SUC CARIBE ATLANTICO</v>
          </cell>
        </row>
        <row r="1471">
          <cell r="B1471" t="str">
            <v>SERVICIO SUC CARIBE BARRANQUILLA</v>
          </cell>
        </row>
        <row r="1472">
          <cell r="B1472" t="str">
            <v>SERVICIO SUC CARIBE CARTAGENA</v>
          </cell>
        </row>
        <row r="1473">
          <cell r="B1473" t="str">
            <v>SERVICIO SUC CARIBE ROTA SIERRA NEVADA</v>
          </cell>
        </row>
        <row r="1474">
          <cell r="B1474" t="str">
            <v>SERVICIO SUC CARIBE ROTATIVO ATLANTICO</v>
          </cell>
        </row>
        <row r="1475">
          <cell r="B1475" t="str">
            <v>SERVICIO SUC CARIBE ROTATIVO CARTAGENA</v>
          </cell>
        </row>
        <row r="1476">
          <cell r="B1476" t="str">
            <v>SERVICIO SUC CARIBE SIERRA NEVADA</v>
          </cell>
        </row>
        <row r="1477">
          <cell r="B1477" t="str">
            <v>SERVICIO SUC CARIBE SINU Y SABANA</v>
          </cell>
        </row>
        <row r="1478">
          <cell r="B1478" t="str">
            <v>SERVICIO SUC CENTRO BOYACA</v>
          </cell>
        </row>
        <row r="1479">
          <cell r="B1479" t="str">
            <v>SERVICIO SUC CENTRO BUCARAMANGA</v>
          </cell>
        </row>
        <row r="1480">
          <cell r="B1480" t="str">
            <v>SERVICIO SUC CENTRO NTE SANTANDER</v>
          </cell>
        </row>
        <row r="1481">
          <cell r="B1481" t="str">
            <v>SERVICIO SUC CENTRO ROTATIVO TOLIMA</v>
          </cell>
        </row>
        <row r="1482">
          <cell r="B1482" t="str">
            <v>SERVICIO SUC CENTRO SANTANDER</v>
          </cell>
        </row>
        <row r="1483">
          <cell r="B1483" t="str">
            <v>SERVICIO SUC CENTRO SURCOLOMBIANA</v>
          </cell>
        </row>
        <row r="1484">
          <cell r="B1484" t="str">
            <v>SERVICIO SUC CENTRO TOLIMA</v>
          </cell>
        </row>
        <row r="1485">
          <cell r="B1485" t="str">
            <v>SERVICIO SUC ORINOQUIA Y AMAZONIA</v>
          </cell>
        </row>
        <row r="1486">
          <cell r="B1486" t="str">
            <v>SERVICIO SUC ROTATIVO 1 BCA EMPRESA BOG</v>
          </cell>
        </row>
        <row r="1487">
          <cell r="B1487" t="str">
            <v>SERVICIO SUC ROTATIVO 2 BCA EMPRESA BOG</v>
          </cell>
        </row>
        <row r="1488">
          <cell r="B1488" t="str">
            <v>SERVICIO SUC ROTATIVO 3 BCA EMPRESA BOG</v>
          </cell>
        </row>
        <row r="1489">
          <cell r="B1489" t="str">
            <v>SERVICIO SUC ROTATIVO 4 BCA EMPRESA BOG</v>
          </cell>
        </row>
        <row r="1490">
          <cell r="B1490" t="str">
            <v>SERVICIO SUC ROTATIVO 5 BCA EMPRESA BOG</v>
          </cell>
        </row>
        <row r="1491">
          <cell r="B1491" t="str">
            <v>SERVICIO SUC ROTATIVO 6 BCA EMPRESA BOG</v>
          </cell>
        </row>
        <row r="1492">
          <cell r="B1492" t="str">
            <v>SERVICIO SUC SUR CALI NORTE</v>
          </cell>
        </row>
        <row r="1493">
          <cell r="B1493" t="str">
            <v>SERVICIO SUC SUR CALI SUR</v>
          </cell>
        </row>
        <row r="1494">
          <cell r="B1494" t="str">
            <v>SERVICIO SUC SUR CALI Y SUR DEL VALLE</v>
          </cell>
        </row>
        <row r="1495">
          <cell r="B1495" t="str">
            <v>SERVICIO SUC SUR EJE NORTE CALDAS</v>
          </cell>
        </row>
        <row r="1496">
          <cell r="B1496" t="str">
            <v>SERVICIO SUC SUR NARIÑO Y CAUCA</v>
          </cell>
        </row>
        <row r="1497">
          <cell r="B1497" t="str">
            <v>SERVICIO SUC SUR QUINDIO Y VALLE CENTRO</v>
          </cell>
        </row>
        <row r="1498">
          <cell r="B1498" t="str">
            <v>SERVICIO SUC SUR RISARALDA Y VALLE NORTE</v>
          </cell>
        </row>
        <row r="1499">
          <cell r="B1499" t="str">
            <v>SERVICIO SUC SUR ROTATIVO NARIÑO CAUCA 1</v>
          </cell>
        </row>
        <row r="1500">
          <cell r="B1500" t="str">
            <v>SERVICIO SUC SUR ROTATIVO NARIÑO CAUCA 2</v>
          </cell>
        </row>
        <row r="1501">
          <cell r="B1501" t="str">
            <v>SERVICIOS FIDUCIARIOS</v>
          </cell>
        </row>
        <row r="1502">
          <cell r="B1502" t="str">
            <v>SOCIO ESTRATEGICO VIC CONSUMO ESP</v>
          </cell>
        </row>
        <row r="1503">
          <cell r="B1503" t="str">
            <v>SOCIO ESTRATEGICO VIC G.H Y RIESGOS</v>
          </cell>
        </row>
        <row r="1504">
          <cell r="B1504" t="str">
            <v>SOCIO ESTRATEGICO VIC MERK CAPITALES</v>
          </cell>
        </row>
        <row r="1505">
          <cell r="B1505" t="str">
            <v>SOCIO ESTRATEGICO VIC SERV CLIENTES</v>
          </cell>
        </row>
        <row r="1506">
          <cell r="B1506" t="str">
            <v>SOCIO ESTRATEGICO VIC TI Y ADMON</v>
          </cell>
        </row>
        <row r="1507">
          <cell r="B1507" t="str">
            <v>SOCIO ESTRATEGICO VIC UNIDADES DE APOYO</v>
          </cell>
        </row>
        <row r="1508">
          <cell r="B1508" t="str">
            <v>SOLUCIONES CLIENTES</v>
          </cell>
        </row>
        <row r="1509">
          <cell r="B1509" t="str">
            <v>SOLUCIONES INTEGRACION</v>
          </cell>
        </row>
        <row r="1510">
          <cell r="B1510" t="str">
            <v>SOLUCIONES PRODUCTOS Y CANALES</v>
          </cell>
        </row>
        <row r="1511">
          <cell r="B1511" t="str">
            <v>SUB FRENTE FUNCIONAL DE TARJETAS</v>
          </cell>
        </row>
        <row r="1512">
          <cell r="B1512" t="str">
            <v>SUC  DORADO PLAZA DS</v>
          </cell>
        </row>
        <row r="1513">
          <cell r="B1513" t="str">
            <v>SUC 20 DE JULIO</v>
          </cell>
        </row>
        <row r="1514">
          <cell r="B1514" t="str">
            <v>SUC 20 DE JULIO DS</v>
          </cell>
        </row>
        <row r="1515">
          <cell r="B1515" t="str">
            <v>SUC 30 DE AGOSTO</v>
          </cell>
        </row>
        <row r="1516">
          <cell r="B1516" t="str">
            <v>SUC 30 DE AGOSTO DS</v>
          </cell>
        </row>
        <row r="1517">
          <cell r="B1517" t="str">
            <v>SUC 3M DS</v>
          </cell>
        </row>
        <row r="1518">
          <cell r="B1518" t="str">
            <v>SUC ABREGO  DS</v>
          </cell>
        </row>
        <row r="1519">
          <cell r="B1519" t="str">
            <v>SUC ACACIAS</v>
          </cell>
        </row>
        <row r="1520">
          <cell r="B1520" t="str">
            <v>SUC ACACIAS DS</v>
          </cell>
        </row>
        <row r="1521">
          <cell r="B1521" t="str">
            <v>SUC ACOPI CALI</v>
          </cell>
        </row>
        <row r="1522">
          <cell r="B1522" t="str">
            <v>SUC ACOPI CALI DS</v>
          </cell>
        </row>
        <row r="1523">
          <cell r="B1523" t="str">
            <v>SUC AEROPUERTO EL DORADO</v>
          </cell>
        </row>
        <row r="1524">
          <cell r="B1524" t="str">
            <v>SUC AEROPUERTO EL DORADO DS</v>
          </cell>
        </row>
        <row r="1525">
          <cell r="B1525" t="str">
            <v>SUC AEROPUERTO OLAYA</v>
          </cell>
        </row>
        <row r="1526">
          <cell r="B1526" t="str">
            <v>SUC AEROPUERTO OLAYA DS</v>
          </cell>
        </row>
        <row r="1527">
          <cell r="B1527" t="str">
            <v>SUC AEROPUERTO RAFAEL NUÑEZ DS</v>
          </cell>
        </row>
        <row r="1528">
          <cell r="B1528" t="str">
            <v>SUC AGROGRAN</v>
          </cell>
        </row>
        <row r="1529">
          <cell r="B1529" t="str">
            <v>SUC AGROGRAN DS</v>
          </cell>
        </row>
        <row r="1530">
          <cell r="B1530" t="str">
            <v>SUC AGUACHICA</v>
          </cell>
        </row>
        <row r="1531">
          <cell r="B1531" t="str">
            <v>SUC AGUACHICA DS</v>
          </cell>
        </row>
        <row r="1532">
          <cell r="B1532" t="str">
            <v>SUC AGUADAS</v>
          </cell>
        </row>
        <row r="1533">
          <cell r="B1533" t="str">
            <v>SUC AGUADAS DS</v>
          </cell>
        </row>
        <row r="1534">
          <cell r="B1534" t="str">
            <v>SUC AGUAZUL</v>
          </cell>
        </row>
        <row r="1535">
          <cell r="B1535" t="str">
            <v>SUC AGUAZUL DS</v>
          </cell>
        </row>
        <row r="1536">
          <cell r="B1536" t="str">
            <v>SUC AIPE DS</v>
          </cell>
        </row>
        <row r="1537">
          <cell r="B1537" t="str">
            <v>SUC ALAMEDA</v>
          </cell>
        </row>
        <row r="1538">
          <cell r="B1538" t="str">
            <v>SUC ALAMEDA DS</v>
          </cell>
        </row>
        <row r="1539">
          <cell r="B1539" t="str">
            <v>SUC ALAMEDAS DEL SINU</v>
          </cell>
        </row>
        <row r="1540">
          <cell r="B1540" t="str">
            <v>SUC ALAMEDAS DEL SINU DS</v>
          </cell>
        </row>
        <row r="1541">
          <cell r="B1541" t="str">
            <v>SUC ALCALA</v>
          </cell>
        </row>
        <row r="1542">
          <cell r="B1542" t="str">
            <v>SUC ALCALA DS</v>
          </cell>
        </row>
        <row r="1543">
          <cell r="B1543" t="str">
            <v>SUC ALCALDIA ARMENIA</v>
          </cell>
        </row>
        <row r="1544">
          <cell r="B1544" t="str">
            <v>SUC ALCALDIA ARMENIA DS</v>
          </cell>
        </row>
        <row r="1545">
          <cell r="B1545" t="str">
            <v>SUC ALCARAVAN</v>
          </cell>
        </row>
        <row r="1546">
          <cell r="B1546" t="str">
            <v>SUC ALCARAVAN DS</v>
          </cell>
        </row>
        <row r="1547">
          <cell r="B1547" t="str">
            <v>SUC ALIADAS</v>
          </cell>
        </row>
        <row r="1548">
          <cell r="B1548" t="str">
            <v>SUC ALIADAS DS</v>
          </cell>
        </row>
        <row r="1549">
          <cell r="B1549" t="str">
            <v>SUC ALKOSTO PASTO</v>
          </cell>
        </row>
        <row r="1550">
          <cell r="B1550" t="str">
            <v>SUC ALKOSTO PASTO DS</v>
          </cell>
        </row>
        <row r="1551">
          <cell r="B1551" t="str">
            <v>SUC ALMACENTRO</v>
          </cell>
        </row>
        <row r="1552">
          <cell r="B1552" t="str">
            <v>SUC ALMACENTRO DS</v>
          </cell>
        </row>
        <row r="1553">
          <cell r="B1553" t="str">
            <v>SUC ALTAVISTA USME</v>
          </cell>
        </row>
        <row r="1554">
          <cell r="B1554" t="str">
            <v>SUC ALTAVISTA USME DS</v>
          </cell>
        </row>
        <row r="1555">
          <cell r="B1555" t="str">
            <v>SUC ALTO PRADO</v>
          </cell>
        </row>
        <row r="1556">
          <cell r="B1556" t="str">
            <v>SUC ALTO PRADO DS</v>
          </cell>
        </row>
        <row r="1557">
          <cell r="B1557" t="str">
            <v>SUC AMAGA</v>
          </cell>
        </row>
        <row r="1558">
          <cell r="B1558" t="str">
            <v>SUC AMAGA DS</v>
          </cell>
        </row>
        <row r="1559">
          <cell r="B1559" t="str">
            <v>SUC AMBALEMA DS</v>
          </cell>
        </row>
        <row r="1560">
          <cell r="B1560" t="str">
            <v>SUC ANAPOIMA</v>
          </cell>
        </row>
        <row r="1561">
          <cell r="B1561" t="str">
            <v>SUC ANAPOIMA DS</v>
          </cell>
        </row>
        <row r="1562">
          <cell r="B1562" t="str">
            <v>SUC ANDES</v>
          </cell>
        </row>
        <row r="1563">
          <cell r="B1563" t="str">
            <v>SUC ANDES DS</v>
          </cell>
        </row>
        <row r="1564">
          <cell r="B1564" t="str">
            <v>SUC ANSERMA</v>
          </cell>
        </row>
        <row r="1565">
          <cell r="B1565" t="str">
            <v>SUC ANSERMA DS</v>
          </cell>
        </row>
        <row r="1566">
          <cell r="B1566" t="str">
            <v>SUC ANTIGUO COUNTRY</v>
          </cell>
        </row>
        <row r="1567">
          <cell r="B1567" t="str">
            <v>SUC ANTIGUO COUNTRY DS</v>
          </cell>
        </row>
        <row r="1568">
          <cell r="B1568" t="str">
            <v>SUC APARTADO</v>
          </cell>
        </row>
        <row r="1569">
          <cell r="B1569" t="str">
            <v>SUC APARTADO DS</v>
          </cell>
        </row>
        <row r="1570">
          <cell r="B1570" t="str">
            <v>SUC ARAUCA</v>
          </cell>
        </row>
        <row r="1571">
          <cell r="B1571" t="str">
            <v>SUC ARAUCA DS</v>
          </cell>
        </row>
        <row r="1572">
          <cell r="B1572" t="str">
            <v>SUC AREA ANDINA DS</v>
          </cell>
        </row>
        <row r="1573">
          <cell r="B1573" t="str">
            <v>SUC ARJONA</v>
          </cell>
        </row>
        <row r="1574">
          <cell r="B1574" t="str">
            <v>SUC ARMENIA CENTRO</v>
          </cell>
        </row>
        <row r="1575">
          <cell r="B1575" t="str">
            <v>SUC ARMENIA CENTRO DS</v>
          </cell>
        </row>
        <row r="1576">
          <cell r="B1576" t="str">
            <v>SUC ARMENIA NORTE</v>
          </cell>
        </row>
        <row r="1577">
          <cell r="B1577" t="str">
            <v>SUC ARMENIA NORTE DS</v>
          </cell>
        </row>
        <row r="1578">
          <cell r="B1578" t="str">
            <v>SUC ASESORIA Y VENTA LOS SAUCES</v>
          </cell>
        </row>
        <row r="1579">
          <cell r="B1579" t="str">
            <v>SUC ASTROCENTRO</v>
          </cell>
        </row>
        <row r="1580">
          <cell r="B1580" t="str">
            <v>SUC ASTROCENTRO DS</v>
          </cell>
        </row>
        <row r="1581">
          <cell r="B1581" t="str">
            <v>SUC AUTOBANCO CONQUISTADORES DS</v>
          </cell>
        </row>
        <row r="1582">
          <cell r="B1582" t="str">
            <v>SUC AUTOCONAVI CONQUISTADORES DS</v>
          </cell>
        </row>
        <row r="1583">
          <cell r="B1583" t="str">
            <v>SUC AUTONAL DS</v>
          </cell>
        </row>
        <row r="1584">
          <cell r="B1584" t="str">
            <v>SUC AUTOPISTA 184</v>
          </cell>
        </row>
        <row r="1585">
          <cell r="B1585" t="str">
            <v>SUC AUTOPISTA 184 DS</v>
          </cell>
        </row>
        <row r="1586">
          <cell r="B1586" t="str">
            <v>SUC AUTOPISTA 98</v>
          </cell>
        </row>
        <row r="1587">
          <cell r="B1587" t="str">
            <v>SUC AUTOPISTA 98 DS</v>
          </cell>
        </row>
        <row r="1588">
          <cell r="B1588" t="str">
            <v>SUC AUTOSERVICIOS SAN DIEGO DS</v>
          </cell>
        </row>
        <row r="1589">
          <cell r="B1589" t="str">
            <v>SUC AVENIDA 127</v>
          </cell>
        </row>
        <row r="1590">
          <cell r="B1590" t="str">
            <v>SUC AVENIDA 127 DS</v>
          </cell>
        </row>
        <row r="1591">
          <cell r="B1591" t="str">
            <v>SUC AVENIDA 19</v>
          </cell>
        </row>
        <row r="1592">
          <cell r="B1592" t="str">
            <v>SUC AVENIDA 19 DS</v>
          </cell>
        </row>
        <row r="1593">
          <cell r="B1593" t="str">
            <v>SUC AVENIDA 68</v>
          </cell>
        </row>
        <row r="1594">
          <cell r="B1594" t="str">
            <v>SUC AVENIDA 68 DS</v>
          </cell>
        </row>
        <row r="1595">
          <cell r="B1595" t="str">
            <v>SUC AVENIDA 82</v>
          </cell>
        </row>
        <row r="1596">
          <cell r="B1596" t="str">
            <v>SUC AVENIDA 82 DS</v>
          </cell>
        </row>
        <row r="1597">
          <cell r="B1597" t="str">
            <v>SUC AVENIDA BOLIVARIANA</v>
          </cell>
        </row>
        <row r="1598">
          <cell r="B1598" t="str">
            <v>SUC AVENIDA BOLIVARIANA DS</v>
          </cell>
        </row>
        <row r="1599">
          <cell r="B1599" t="str">
            <v>SUC AVENIDA CAÑAS GORDAS</v>
          </cell>
        </row>
        <row r="1600">
          <cell r="B1600" t="str">
            <v>SUC AVENIDA CAÑAS GORDAS DS</v>
          </cell>
        </row>
        <row r="1601">
          <cell r="B1601" t="str">
            <v>SUC AVENIDA CARACAS</v>
          </cell>
        </row>
        <row r="1602">
          <cell r="B1602" t="str">
            <v>SUC AVENIDA CARACAS DS</v>
          </cell>
        </row>
        <row r="1603">
          <cell r="B1603" t="str">
            <v>SUC AVENIDA CERO 2</v>
          </cell>
        </row>
        <row r="1604">
          <cell r="B1604" t="str">
            <v>SUC AVENIDA CERO 2 DS</v>
          </cell>
        </row>
        <row r="1605">
          <cell r="B1605" t="str">
            <v>SUC AVENIDA CHILE</v>
          </cell>
        </row>
        <row r="1606">
          <cell r="B1606" t="str">
            <v>SUC AVENIDA CHILE DS</v>
          </cell>
        </row>
        <row r="1607">
          <cell r="B1607" t="str">
            <v>SUC AVENIDA COLOMBIA</v>
          </cell>
        </row>
        <row r="1608">
          <cell r="B1608" t="str">
            <v>SUC AVENIDA COLOMBIA DS</v>
          </cell>
        </row>
        <row r="1609">
          <cell r="B1609" t="str">
            <v>SUC AVENIDA DE LAS AMERICAS</v>
          </cell>
        </row>
        <row r="1610">
          <cell r="B1610" t="str">
            <v>SUC AVENIDA DE LAS AMERICAS DS</v>
          </cell>
        </row>
        <row r="1611">
          <cell r="B1611" t="str">
            <v>SUC AVENIDA EL POBLADO</v>
          </cell>
        </row>
        <row r="1612">
          <cell r="B1612" t="str">
            <v>SUC AVENIDA EL POBLADO DS</v>
          </cell>
        </row>
        <row r="1613">
          <cell r="B1613" t="str">
            <v>SUC AVENIDA JUNIN</v>
          </cell>
        </row>
        <row r="1614">
          <cell r="B1614" t="str">
            <v>SUC AVENIDA JUNIN DS</v>
          </cell>
        </row>
        <row r="1615">
          <cell r="B1615" t="str">
            <v>SUC AVENIDA KENNEDY</v>
          </cell>
        </row>
        <row r="1616">
          <cell r="B1616" t="str">
            <v>SUC AVENIDA KENNEDY DS</v>
          </cell>
        </row>
        <row r="1617">
          <cell r="B1617" t="str">
            <v>SUC AVENIDA LAS VEGAS</v>
          </cell>
        </row>
        <row r="1618">
          <cell r="B1618" t="str">
            <v>SUC AVENIDA LAS VEGAS DS</v>
          </cell>
        </row>
        <row r="1619">
          <cell r="B1619" t="str">
            <v>SUC AVENIDA LIBERTADOR BUCARAMANGA</v>
          </cell>
        </row>
        <row r="1620">
          <cell r="B1620" t="str">
            <v>SUC AVENIDA LIBERTADOR BUCARAMANGA DS</v>
          </cell>
        </row>
        <row r="1621">
          <cell r="B1621" t="str">
            <v>SUC AVENIDA NUTIBARA</v>
          </cell>
        </row>
        <row r="1622">
          <cell r="B1622" t="str">
            <v>SUC AVENIDA NUTIBARA DS</v>
          </cell>
        </row>
        <row r="1623">
          <cell r="B1623" t="str">
            <v>SUC AVENIDA ORIENTAL</v>
          </cell>
        </row>
        <row r="1624">
          <cell r="B1624" t="str">
            <v>SUC AVENIDA ORIENTAL DS</v>
          </cell>
        </row>
        <row r="1625">
          <cell r="B1625" t="str">
            <v>SUC AVENIDA PEPE SIERRA</v>
          </cell>
        </row>
        <row r="1626">
          <cell r="B1626" t="str">
            <v>SUC AVENIDA PEPE SIERRA DS</v>
          </cell>
        </row>
        <row r="1627">
          <cell r="B1627" t="str">
            <v>SUC AVENIDA ROOSVELT</v>
          </cell>
        </row>
        <row r="1628">
          <cell r="B1628" t="str">
            <v>SUC AVENIDA ROOSVELT DS</v>
          </cell>
        </row>
        <row r="1629">
          <cell r="B1629" t="str">
            <v>SUC AVENIDA SAN MARTIN</v>
          </cell>
        </row>
        <row r="1630">
          <cell r="B1630" t="str">
            <v>SUC AVENIDA SAN MARTIN DS</v>
          </cell>
        </row>
        <row r="1631">
          <cell r="B1631" t="str">
            <v>SUC AVENIDA SANTANDER</v>
          </cell>
        </row>
        <row r="1632">
          <cell r="B1632" t="str">
            <v>SUC AVENIDA SANTANDER DS</v>
          </cell>
        </row>
        <row r="1633">
          <cell r="B1633" t="str">
            <v>SUC AVENIDA SEXTA BOGOTA</v>
          </cell>
        </row>
        <row r="1634">
          <cell r="B1634" t="str">
            <v>SUC AVENIDA SEXTA BOGOTA DS</v>
          </cell>
        </row>
        <row r="1635">
          <cell r="B1635" t="str">
            <v>SUC AVENIDA SUBA 106</v>
          </cell>
        </row>
        <row r="1636">
          <cell r="B1636" t="str">
            <v>SUC AVENIDA SUBA 106 DS</v>
          </cell>
        </row>
        <row r="1637">
          <cell r="B1637" t="str">
            <v>SUC AYAPEL DS</v>
          </cell>
        </row>
        <row r="1638">
          <cell r="B1638" t="str">
            <v>SUC BANCA COLOMBIA AVENIDA CHILE</v>
          </cell>
        </row>
        <row r="1639">
          <cell r="B1639" t="str">
            <v>SUC BANCA COLOMBIA AVENIDA CHILE DS</v>
          </cell>
        </row>
        <row r="1640">
          <cell r="B1640" t="str">
            <v>SUC BANCA COLOMBIA BARRANQUILLA</v>
          </cell>
        </row>
        <row r="1641">
          <cell r="B1641" t="str">
            <v>SUC BANCA COLOMBIA BARRANQUILLA DS</v>
          </cell>
        </row>
        <row r="1642">
          <cell r="B1642" t="str">
            <v>SUC BANCA COLOMBIA BUCARAMANGA</v>
          </cell>
        </row>
        <row r="1643">
          <cell r="B1643" t="str">
            <v>SUC BANCA COLOMBIA BUCARAMANGA DS</v>
          </cell>
        </row>
        <row r="1644">
          <cell r="B1644" t="str">
            <v>SUC BANCA COLOMBIA CALLE 122 DS</v>
          </cell>
        </row>
        <row r="1645">
          <cell r="B1645" t="str">
            <v>SUC BANCA COLOMBIA CAMINO REAL</v>
          </cell>
        </row>
        <row r="1646">
          <cell r="B1646" t="str">
            <v>SUC BANCA COLOMBIA CAMINO REAL DS</v>
          </cell>
        </row>
        <row r="1647">
          <cell r="B1647" t="str">
            <v>SUC BANCA COLOMBIA CARTAGENA</v>
          </cell>
        </row>
        <row r="1648">
          <cell r="B1648" t="str">
            <v>SUC BANCA COLOMBIA CARTAGENA DS</v>
          </cell>
        </row>
        <row r="1649">
          <cell r="B1649" t="str">
            <v>SUC BANCA COLOMBIA DIEZ</v>
          </cell>
        </row>
        <row r="1650">
          <cell r="B1650" t="str">
            <v>SUC BANCA COLOMBIA DIEZ DS</v>
          </cell>
        </row>
        <row r="1651">
          <cell r="B1651" t="str">
            <v>SUC BANCA COLOMBIA GRANADA CALI</v>
          </cell>
        </row>
        <row r="1652">
          <cell r="B1652" t="str">
            <v>SUC BANCA COLOMBIA GRANADA CALI DS</v>
          </cell>
        </row>
        <row r="1653">
          <cell r="B1653" t="str">
            <v>SUC BANCA COLOMBIA LA CABRERA</v>
          </cell>
        </row>
        <row r="1654">
          <cell r="B1654" t="str">
            <v>SUC BANCA COLOMBIA LA CABRERA DS</v>
          </cell>
        </row>
        <row r="1655">
          <cell r="B1655" t="str">
            <v>SUC BANCA COLOMBIA MANIZALES</v>
          </cell>
        </row>
        <row r="1656">
          <cell r="B1656" t="str">
            <v>SUC BANCA COLOMBIA MANIZALES DS</v>
          </cell>
        </row>
        <row r="1657">
          <cell r="B1657" t="str">
            <v>SUC BANCA COLOMBIA MUSEO NACIONAL</v>
          </cell>
        </row>
        <row r="1658">
          <cell r="B1658" t="str">
            <v>SUC BANCA COLOMBIA MUSEO NACIONAL DS</v>
          </cell>
        </row>
        <row r="1659">
          <cell r="B1659" t="str">
            <v>SUC BANCA COLOMBIA OVIEDO</v>
          </cell>
        </row>
        <row r="1660">
          <cell r="B1660" t="str">
            <v>SUC BANCA COLOMBIA OVIEDO  DS</v>
          </cell>
        </row>
        <row r="1661">
          <cell r="B1661" t="str">
            <v>SUC BANCA COLOMBIA PARQUE SURA</v>
          </cell>
        </row>
        <row r="1662">
          <cell r="B1662" t="str">
            <v>SUC BANCA COLOMBIA PARQUE SURA DS</v>
          </cell>
        </row>
        <row r="1663">
          <cell r="B1663" t="str">
            <v>SUC BANCA COLOMBIA PEREIRA</v>
          </cell>
        </row>
        <row r="1664">
          <cell r="B1664" t="str">
            <v>SUC BANCA COLOMBIA PEREIRA DS</v>
          </cell>
        </row>
        <row r="1665">
          <cell r="B1665" t="str">
            <v>SUC BANCA COLOMBIA SALITRE</v>
          </cell>
        </row>
        <row r="1666">
          <cell r="B1666" t="str">
            <v>SUC BANCA COLOMBIA SALITRE DS</v>
          </cell>
        </row>
        <row r="1667">
          <cell r="B1667" t="str">
            <v>SUC BANCA COLOMBIA SAN FERNANDO PLAZA</v>
          </cell>
        </row>
        <row r="1668">
          <cell r="B1668" t="str">
            <v>SUC BANCA COLOMBIA SANTA PAULA</v>
          </cell>
        </row>
        <row r="1669">
          <cell r="B1669" t="str">
            <v>SUC BANCA COLOMBIA SANTA PAULA DS</v>
          </cell>
        </row>
        <row r="1670">
          <cell r="B1670" t="str">
            <v>SUC BANCA COLOMBIA WORLD TRADE CENTER</v>
          </cell>
        </row>
        <row r="1671">
          <cell r="B1671" t="str">
            <v>SUC BANCA COLOMBIA WORLD TRADE CENTER DS</v>
          </cell>
        </row>
        <row r="1672">
          <cell r="B1672" t="str">
            <v>SUC BANCA ESPECIALIZADA ANTIOQUIA DS</v>
          </cell>
        </row>
        <row r="1673">
          <cell r="B1673" t="str">
            <v>SUC BANCA ESPECIALIZADA BARRANQUILLA DS</v>
          </cell>
        </row>
        <row r="1674">
          <cell r="B1674" t="str">
            <v>SUC BANCA ESPECIALIZADA BOGOTA DS</v>
          </cell>
        </row>
        <row r="1675">
          <cell r="B1675" t="str">
            <v>SUC BANCA ESPECIALIZADA CALI  DS</v>
          </cell>
        </row>
        <row r="1676">
          <cell r="B1676" t="str">
            <v>SUC BANCA ESPECIALIZADA CARIBE DS</v>
          </cell>
        </row>
        <row r="1677">
          <cell r="B1677" t="str">
            <v>SUC BANCA ESPECIALIZADA CARTAGENA DS</v>
          </cell>
        </row>
        <row r="1678">
          <cell r="B1678" t="str">
            <v>SUC BANCA ESPECIALIZADA SUR DS</v>
          </cell>
        </row>
        <row r="1679">
          <cell r="B1679" t="str">
            <v>SUC BANCA PREFERENCIAL AVENIDA CHILE</v>
          </cell>
        </row>
        <row r="1680">
          <cell r="B1680" t="str">
            <v>SUC BANCA PREFERENCIAL BARRANQUILLA</v>
          </cell>
        </row>
        <row r="1681">
          <cell r="B1681" t="str">
            <v>SUC BANCA PREFERENCIAL SAN FERNANDO PLAZ</v>
          </cell>
        </row>
        <row r="1682">
          <cell r="B1682" t="str">
            <v>SUC BANCA PREFERENCIAL WORLD TRADE CENTE</v>
          </cell>
        </row>
        <row r="1683">
          <cell r="B1683" t="str">
            <v>SUC BANCA PRIVADA ANTIOQUIA DS</v>
          </cell>
        </row>
        <row r="1684">
          <cell r="B1684" t="str">
            <v>SUC BANCA PRIVADA BOGOTA DS</v>
          </cell>
        </row>
        <row r="1685">
          <cell r="B1685" t="str">
            <v>SUC BANCA PRIVADA BUCARAMANGA VALORES</v>
          </cell>
        </row>
        <row r="1686">
          <cell r="B1686" t="str">
            <v>SUC BANCA PRIVADA CALI DS</v>
          </cell>
        </row>
        <row r="1687">
          <cell r="B1687" t="str">
            <v>SUC BARANOA DS</v>
          </cell>
        </row>
        <row r="1688">
          <cell r="B1688" t="str">
            <v>SUC BARBOSA</v>
          </cell>
        </row>
        <row r="1689">
          <cell r="B1689" t="str">
            <v>SUC BARBOSA DS</v>
          </cell>
        </row>
        <row r="1690">
          <cell r="B1690" t="str">
            <v>SUC BARBOSA SANTANDER</v>
          </cell>
        </row>
        <row r="1691">
          <cell r="B1691" t="str">
            <v>SUC BARBOSA SANTANDER DS</v>
          </cell>
        </row>
        <row r="1692">
          <cell r="B1692" t="str">
            <v>SUC BARRANCABERMEJA</v>
          </cell>
        </row>
        <row r="1693">
          <cell r="B1693" t="str">
            <v>SUC BARRANCABERMEJA DS</v>
          </cell>
        </row>
        <row r="1694">
          <cell r="B1694" t="str">
            <v>SUC BARRANQUILLA</v>
          </cell>
        </row>
        <row r="1695">
          <cell r="B1695" t="str">
            <v>SUC BARRANQUILLA DS</v>
          </cell>
        </row>
        <row r="1696">
          <cell r="B1696" t="str">
            <v>SUC BARRIO 7 DE AGOSTO</v>
          </cell>
        </row>
        <row r="1697">
          <cell r="B1697" t="str">
            <v>SUC BARRIO 7 DE AGOSTO DS</v>
          </cell>
        </row>
        <row r="1698">
          <cell r="B1698" t="str">
            <v>SUC BARRIO ALQUERIA</v>
          </cell>
        </row>
        <row r="1699">
          <cell r="B1699" t="str">
            <v>SUC BARRIO ALQUERIA DS</v>
          </cell>
        </row>
        <row r="1700">
          <cell r="B1700" t="str">
            <v>SUC BARRIO CUBA</v>
          </cell>
        </row>
        <row r="1701">
          <cell r="B1701" t="str">
            <v>SUC BARRIO CUBA DS</v>
          </cell>
        </row>
        <row r="1702">
          <cell r="B1702" t="str">
            <v>SUC BARRIO RESTREPO</v>
          </cell>
        </row>
        <row r="1703">
          <cell r="B1703" t="str">
            <v>SUC BARRIO RESTREPO DS</v>
          </cell>
        </row>
        <row r="1704">
          <cell r="B1704" t="str">
            <v>SUC BARRIO RICAURTE</v>
          </cell>
        </row>
        <row r="1705">
          <cell r="B1705" t="str">
            <v>SUC BARRIO RICAURTE DS</v>
          </cell>
        </row>
        <row r="1706">
          <cell r="B1706" t="str">
            <v>SUC BARRIO SANTA LUCIA</v>
          </cell>
        </row>
        <row r="1707">
          <cell r="B1707" t="str">
            <v>SUC BARRIO SANTA LUCIA DS</v>
          </cell>
        </row>
        <row r="1708">
          <cell r="B1708" t="str">
            <v>SUC BARRIO SANTANDER</v>
          </cell>
        </row>
        <row r="1709">
          <cell r="B1709" t="str">
            <v>SUC BARRIO SANTANDER DS</v>
          </cell>
        </row>
        <row r="1710">
          <cell r="B1710" t="str">
            <v>SUC BARRIO TRISTE</v>
          </cell>
        </row>
        <row r="1711">
          <cell r="B1711" t="str">
            <v>SUC BARRIO TRISTE DS</v>
          </cell>
        </row>
        <row r="1712">
          <cell r="B1712" t="str">
            <v>SUC BARRIOS UNIDOS</v>
          </cell>
        </row>
        <row r="1713">
          <cell r="B1713" t="str">
            <v>SUC BARRIOS UNIDOS DS</v>
          </cell>
        </row>
        <row r="1714">
          <cell r="B1714" t="str">
            <v>SUC BAVARIA ARMENIA DS</v>
          </cell>
        </row>
        <row r="1715">
          <cell r="B1715" t="str">
            <v>SUC BAVARIA BUCARAMANGA DS</v>
          </cell>
        </row>
        <row r="1716">
          <cell r="B1716" t="str">
            <v>SUC BAVARIA CARTAGENA DS</v>
          </cell>
        </row>
        <row r="1717">
          <cell r="B1717" t="str">
            <v>SUC BAVARIA CUCUTA DS</v>
          </cell>
        </row>
        <row r="1718">
          <cell r="B1718" t="str">
            <v>SUC BAVARIA DUITAMA DS</v>
          </cell>
        </row>
        <row r="1719">
          <cell r="B1719" t="str">
            <v>SUC BAVARIA GIRARDOT DS</v>
          </cell>
        </row>
        <row r="1720">
          <cell r="B1720" t="str">
            <v>SUC BAVARIA LEONA DS</v>
          </cell>
        </row>
        <row r="1721">
          <cell r="B1721" t="str">
            <v>SUC BAVARIA NEIVA DS</v>
          </cell>
        </row>
        <row r="1722">
          <cell r="B1722" t="str">
            <v>SUC BAVARIA SANTA MARTA DS</v>
          </cell>
        </row>
        <row r="1723">
          <cell r="B1723" t="str">
            <v>SUC BAVARIA VALLEDUPAR DS</v>
          </cell>
        </row>
        <row r="1724">
          <cell r="B1724" t="str">
            <v>SUC BAVARIA YUMBO DS</v>
          </cell>
        </row>
        <row r="1725">
          <cell r="B1725" t="str">
            <v>SUC BAYER AVENIDA LAS AMERICAS DS</v>
          </cell>
        </row>
        <row r="1726">
          <cell r="B1726" t="str">
            <v>SUC BAZAR ALSACIA</v>
          </cell>
        </row>
        <row r="1727">
          <cell r="B1727" t="str">
            <v>SUC BAZAR ALSACIA DS</v>
          </cell>
        </row>
        <row r="1728">
          <cell r="B1728" t="str">
            <v>SUC BCA PREF SAN FERNANDO PLAZA DS</v>
          </cell>
        </row>
        <row r="1729">
          <cell r="B1729" t="str">
            <v>SUC BELEN</v>
          </cell>
        </row>
        <row r="1730">
          <cell r="B1730" t="str">
            <v>SUC BELEN DE UMBRIA</v>
          </cell>
        </row>
        <row r="1731">
          <cell r="B1731" t="str">
            <v>SUC BELEN DE UMBRIA DS</v>
          </cell>
        </row>
        <row r="1732">
          <cell r="B1732" t="str">
            <v>SUC BELEN DS</v>
          </cell>
        </row>
        <row r="1733">
          <cell r="B1733" t="str">
            <v>SUC BELEN PARQUE</v>
          </cell>
        </row>
        <row r="1734">
          <cell r="B1734" t="str">
            <v>SUC BELEN PARQUE DS</v>
          </cell>
        </row>
        <row r="1735">
          <cell r="B1735" t="str">
            <v>SUC BELLA SUIZA</v>
          </cell>
        </row>
        <row r="1736">
          <cell r="B1736" t="str">
            <v>SUC BELLA SUIZA DS</v>
          </cell>
        </row>
        <row r="1737">
          <cell r="B1737" t="str">
            <v>SUC BELLO CENTRO CCIAL</v>
          </cell>
        </row>
        <row r="1738">
          <cell r="B1738" t="str">
            <v>SUC BELLO CENTRO CCIAL DS</v>
          </cell>
        </row>
        <row r="1739">
          <cell r="B1739" t="str">
            <v>SUC BETANIA DS</v>
          </cell>
        </row>
        <row r="1740">
          <cell r="B1740" t="str">
            <v>SUC BOCAGRANDE</v>
          </cell>
        </row>
        <row r="1741">
          <cell r="B1741" t="str">
            <v>SUC BOCAGRANDE DS</v>
          </cell>
        </row>
        <row r="1742">
          <cell r="B1742" t="str">
            <v>SUC BOJACA DS</v>
          </cell>
        </row>
        <row r="1743">
          <cell r="B1743" t="str">
            <v>SUC BOSA</v>
          </cell>
        </row>
        <row r="1744">
          <cell r="B1744" t="str">
            <v>SUC BOSA DS</v>
          </cell>
        </row>
        <row r="1745">
          <cell r="B1745" t="str">
            <v>SUC BOSCONIA</v>
          </cell>
        </row>
        <row r="1746">
          <cell r="B1746" t="str">
            <v>SUC BOSCONIA DS</v>
          </cell>
        </row>
        <row r="1747">
          <cell r="B1747" t="str">
            <v>SUC BOULEVAR ENVIGADO</v>
          </cell>
        </row>
        <row r="1748">
          <cell r="B1748" t="str">
            <v>SUC BOULEVAR ENVIGADO DS</v>
          </cell>
        </row>
        <row r="1749">
          <cell r="B1749" t="str">
            <v>SUC BUCARAMANGA</v>
          </cell>
        </row>
        <row r="1750">
          <cell r="B1750" t="str">
            <v>SUC BUCARAMANGA DS</v>
          </cell>
        </row>
        <row r="1751">
          <cell r="B1751" t="str">
            <v>SUC BUENAVENTURA</v>
          </cell>
        </row>
        <row r="1752">
          <cell r="B1752" t="str">
            <v>SUC BUENAVENTURA DS</v>
          </cell>
        </row>
        <row r="1753">
          <cell r="B1753" t="str">
            <v>SUC BUENAVISTA DEL SINU  DS</v>
          </cell>
        </row>
        <row r="1754">
          <cell r="B1754" t="str">
            <v>SUC BUENAVISTA DS</v>
          </cell>
        </row>
        <row r="1755">
          <cell r="B1755" t="str">
            <v>SUC BUENAVISTA II</v>
          </cell>
        </row>
        <row r="1756">
          <cell r="B1756" t="str">
            <v>SUC BUENOS AIRES</v>
          </cell>
        </row>
        <row r="1757">
          <cell r="B1757" t="str">
            <v>SUC BUENOS AIRES DS</v>
          </cell>
        </row>
        <row r="1758">
          <cell r="B1758" t="str">
            <v>SUC BUGA</v>
          </cell>
        </row>
        <row r="1759">
          <cell r="B1759" t="str">
            <v>SUC BUGA DS</v>
          </cell>
        </row>
        <row r="1760">
          <cell r="B1760" t="str">
            <v>SUC BUGALAGRANDE</v>
          </cell>
        </row>
        <row r="1761">
          <cell r="B1761" t="str">
            <v>SUC BUGALAGRANDE DS</v>
          </cell>
        </row>
        <row r="1762">
          <cell r="B1762" t="str">
            <v>SUC BUGANVILES</v>
          </cell>
        </row>
        <row r="1763">
          <cell r="B1763" t="str">
            <v>SUC BUGANVILES DS</v>
          </cell>
        </row>
        <row r="1764">
          <cell r="B1764" t="str">
            <v>SUC BULEVAR 54</v>
          </cell>
        </row>
        <row r="1765">
          <cell r="B1765" t="str">
            <v>SUC BULEVAR 54 DS</v>
          </cell>
        </row>
        <row r="1766">
          <cell r="B1766" t="str">
            <v>SUC CABECERA</v>
          </cell>
        </row>
        <row r="1767">
          <cell r="B1767" t="str">
            <v>SUC CABECERA DEL LLANO</v>
          </cell>
        </row>
        <row r="1768">
          <cell r="B1768" t="str">
            <v>SUC CABECERA DEL LLANO DS</v>
          </cell>
        </row>
        <row r="1769">
          <cell r="B1769" t="str">
            <v>SUC CABECERA DS</v>
          </cell>
        </row>
        <row r="1770">
          <cell r="B1770" t="str">
            <v>SUC CACIQUE</v>
          </cell>
        </row>
        <row r="1771">
          <cell r="B1771" t="str">
            <v>SUC CACIQUE DS</v>
          </cell>
        </row>
        <row r="1772">
          <cell r="B1772" t="str">
            <v>SUC CAICEDONIA</v>
          </cell>
        </row>
        <row r="1773">
          <cell r="B1773" t="str">
            <v>SUC CAICEDONIA DS</v>
          </cell>
        </row>
        <row r="1774">
          <cell r="B1774" t="str">
            <v>SUC CAJA RESTREPO DS</v>
          </cell>
        </row>
        <row r="1775">
          <cell r="B1775" t="str">
            <v>SUC CAJAMARCA</v>
          </cell>
        </row>
        <row r="1776">
          <cell r="B1776" t="str">
            <v>SUC CAJAMARCA DS</v>
          </cell>
        </row>
        <row r="1777">
          <cell r="B1777" t="str">
            <v>SUC CAJICA</v>
          </cell>
        </row>
        <row r="1778">
          <cell r="B1778" t="str">
            <v>SUC CAJICA DS</v>
          </cell>
        </row>
        <row r="1779">
          <cell r="B1779" t="str">
            <v>SUC CALARCA</v>
          </cell>
        </row>
        <row r="1780">
          <cell r="B1780" t="str">
            <v>SUC CALARCA DS</v>
          </cell>
        </row>
        <row r="1781">
          <cell r="B1781" t="str">
            <v>SUC CALASANZ</v>
          </cell>
        </row>
        <row r="1782">
          <cell r="B1782" t="str">
            <v>SUC CALASANZ DS</v>
          </cell>
        </row>
        <row r="1783">
          <cell r="B1783" t="str">
            <v>SUC CALDAS PARQUE</v>
          </cell>
        </row>
        <row r="1784">
          <cell r="B1784" t="str">
            <v>SUC CALDAS PARQUE DS</v>
          </cell>
        </row>
        <row r="1785">
          <cell r="B1785" t="str">
            <v>SUC CALI</v>
          </cell>
        </row>
        <row r="1786">
          <cell r="B1786" t="str">
            <v>SUC CALI DS</v>
          </cell>
        </row>
        <row r="1787">
          <cell r="B1787" t="str">
            <v>SUC CALIMA</v>
          </cell>
        </row>
        <row r="1788">
          <cell r="B1788" t="str">
            <v>SUC CALIMA DS</v>
          </cell>
        </row>
        <row r="1789">
          <cell r="B1789" t="str">
            <v>SUC CALLE  80</v>
          </cell>
        </row>
        <row r="1790">
          <cell r="B1790" t="str">
            <v>SUC CALLE 10</v>
          </cell>
        </row>
        <row r="1791">
          <cell r="B1791" t="str">
            <v>SUC CALLE 10 DS</v>
          </cell>
        </row>
        <row r="1792">
          <cell r="B1792" t="str">
            <v>SUC CALLE 100</v>
          </cell>
        </row>
        <row r="1793">
          <cell r="B1793" t="str">
            <v>SUC CALLE 100 DS</v>
          </cell>
        </row>
        <row r="1794">
          <cell r="B1794" t="str">
            <v>SUC CALLE 101</v>
          </cell>
        </row>
        <row r="1795">
          <cell r="B1795" t="str">
            <v>SUC CALLE 101 DS</v>
          </cell>
        </row>
        <row r="1796">
          <cell r="B1796" t="str">
            <v>SUC CALLE 122</v>
          </cell>
        </row>
        <row r="1797">
          <cell r="B1797" t="str">
            <v>SUC CALLE 122 DS</v>
          </cell>
        </row>
        <row r="1798">
          <cell r="B1798" t="str">
            <v>SUC CALLE 13 - 2</v>
          </cell>
        </row>
        <row r="1799">
          <cell r="B1799" t="str">
            <v>SUC CALLE 13 - 2 DS</v>
          </cell>
        </row>
        <row r="1800">
          <cell r="B1800" t="str">
            <v>SUC CALLE 140</v>
          </cell>
        </row>
        <row r="1801">
          <cell r="B1801" t="str">
            <v>SUC CALLE 140 DS</v>
          </cell>
        </row>
        <row r="1802">
          <cell r="B1802" t="str">
            <v>SUC CALLE 18</v>
          </cell>
        </row>
        <row r="1803">
          <cell r="B1803" t="str">
            <v>SUC CALLE 18 DS</v>
          </cell>
        </row>
        <row r="1804">
          <cell r="B1804" t="str">
            <v>SUC CALLE 24</v>
          </cell>
        </row>
        <row r="1805">
          <cell r="B1805" t="str">
            <v>SUC CALLE 24 DS</v>
          </cell>
        </row>
        <row r="1806">
          <cell r="B1806" t="str">
            <v>SUC CALLE 29</v>
          </cell>
        </row>
        <row r="1807">
          <cell r="B1807" t="str">
            <v>SUC CALLE 29 DS</v>
          </cell>
        </row>
        <row r="1808">
          <cell r="B1808" t="str">
            <v>SUC CALLE 53</v>
          </cell>
        </row>
        <row r="1809">
          <cell r="B1809" t="str">
            <v>SUC CALLE 53 DS</v>
          </cell>
        </row>
        <row r="1810">
          <cell r="B1810" t="str">
            <v>SUC CALLE 57</v>
          </cell>
        </row>
        <row r="1811">
          <cell r="B1811" t="str">
            <v>SUC CALLE 57 DS</v>
          </cell>
        </row>
        <row r="1812">
          <cell r="B1812" t="str">
            <v>SUC CALLE 58</v>
          </cell>
        </row>
        <row r="1813">
          <cell r="B1813" t="str">
            <v>SUC CALLE 58 DS</v>
          </cell>
        </row>
        <row r="1814">
          <cell r="B1814" t="str">
            <v>SUC CALLE 70</v>
          </cell>
        </row>
        <row r="1815">
          <cell r="B1815" t="str">
            <v>SUC CALLE 70 DS</v>
          </cell>
        </row>
        <row r="1816">
          <cell r="B1816" t="str">
            <v>SUC CALLE 76</v>
          </cell>
        </row>
        <row r="1817">
          <cell r="B1817" t="str">
            <v>SUC CALLE 76 DS</v>
          </cell>
        </row>
        <row r="1818">
          <cell r="B1818" t="str">
            <v>SUC CALLE 79</v>
          </cell>
        </row>
        <row r="1819">
          <cell r="B1819" t="str">
            <v>SUC CALLE 79 DS</v>
          </cell>
        </row>
        <row r="1820">
          <cell r="B1820" t="str">
            <v>SUC CALLE 80 DS</v>
          </cell>
        </row>
        <row r="1821">
          <cell r="B1821" t="str">
            <v>SUC CALLE 84</v>
          </cell>
        </row>
        <row r="1822">
          <cell r="B1822" t="str">
            <v>SUC CALLE 84 DS</v>
          </cell>
        </row>
        <row r="1823">
          <cell r="B1823" t="str">
            <v>SUC CALLE 87</v>
          </cell>
        </row>
        <row r="1824">
          <cell r="B1824" t="str">
            <v>SUC CALLE 87 DS</v>
          </cell>
        </row>
        <row r="1825">
          <cell r="B1825" t="str">
            <v>SUC CALLE 92</v>
          </cell>
        </row>
        <row r="1826">
          <cell r="B1826" t="str">
            <v>SUC CALLE 92 DS</v>
          </cell>
        </row>
        <row r="1827">
          <cell r="B1827" t="str">
            <v>SUC CALLE CATORCE</v>
          </cell>
        </row>
        <row r="1828">
          <cell r="B1828" t="str">
            <v>SUC CALLE CATORCE DS</v>
          </cell>
        </row>
        <row r="1829">
          <cell r="B1829" t="str">
            <v>SUC CALLE NUEVA</v>
          </cell>
        </row>
        <row r="1830">
          <cell r="B1830" t="str">
            <v>SUC CALLE NUEVA DS</v>
          </cell>
        </row>
        <row r="1831">
          <cell r="B1831" t="str">
            <v>SUC CALLE ONCE</v>
          </cell>
        </row>
        <row r="1832">
          <cell r="B1832" t="str">
            <v>SUC CALLE ONCE DS</v>
          </cell>
        </row>
        <row r="1833">
          <cell r="B1833" t="str">
            <v>SUC CALLE PRIMERA</v>
          </cell>
        </row>
        <row r="1834">
          <cell r="B1834" t="str">
            <v>SUC CALLE PRIMERA DS</v>
          </cell>
        </row>
        <row r="1835">
          <cell r="B1835" t="str">
            <v>SUC CAMINO REAL DS</v>
          </cell>
        </row>
        <row r="1836">
          <cell r="B1836" t="str">
            <v>SUC CAMPANARIO POPAYAN</v>
          </cell>
        </row>
        <row r="1837">
          <cell r="B1837" t="str">
            <v>SUC CAMPANARIO POPAYAN DS</v>
          </cell>
        </row>
        <row r="1838">
          <cell r="B1838" t="str">
            <v>SUC CAMPOALEGRE</v>
          </cell>
        </row>
        <row r="1839">
          <cell r="B1839" t="str">
            <v>SUC CAMPOALEGRE DS</v>
          </cell>
        </row>
        <row r="1840">
          <cell r="B1840" t="str">
            <v>SUC CAÑAVERAL</v>
          </cell>
        </row>
        <row r="1841">
          <cell r="B1841" t="str">
            <v>SUC CAÑAVERAL DS</v>
          </cell>
        </row>
        <row r="1842">
          <cell r="B1842" t="str">
            <v>SUC CARABOBO</v>
          </cell>
        </row>
        <row r="1843">
          <cell r="B1843" t="str">
            <v>SUC CARABOBO DS</v>
          </cell>
        </row>
        <row r="1844">
          <cell r="B1844" t="str">
            <v>SUC CAREPA</v>
          </cell>
        </row>
        <row r="1845">
          <cell r="B1845" t="str">
            <v>SUC CAREPA DS</v>
          </cell>
        </row>
        <row r="1846">
          <cell r="B1846" t="str">
            <v>SUC CARIBE</v>
          </cell>
        </row>
        <row r="1847">
          <cell r="B1847" t="str">
            <v>SUC CARIBE DS</v>
          </cell>
        </row>
        <row r="1848">
          <cell r="B1848" t="str">
            <v>SUC CARIBE PLAZA</v>
          </cell>
        </row>
        <row r="1849">
          <cell r="B1849" t="str">
            <v>SUC CARIBE PLAZA DS</v>
          </cell>
        </row>
        <row r="1850">
          <cell r="B1850" t="str">
            <v>SUC CARREFOUR BARRANQUILLA</v>
          </cell>
        </row>
        <row r="1851">
          <cell r="B1851" t="str">
            <v>SUC CARREFOUR BARRANQUILLA DS</v>
          </cell>
        </row>
        <row r="1852">
          <cell r="B1852" t="str">
            <v>SUC CARREFOUR LA 65</v>
          </cell>
        </row>
        <row r="1853">
          <cell r="B1853" t="str">
            <v>SUC CARREFOUR LA 65 DS</v>
          </cell>
        </row>
        <row r="1854">
          <cell r="B1854" t="str">
            <v>SUC CARREFOUR LAS VEGAS</v>
          </cell>
        </row>
        <row r="1855">
          <cell r="B1855" t="str">
            <v>SUC CARREFOUR LAS VEGAS DS</v>
          </cell>
        </row>
        <row r="1856">
          <cell r="B1856" t="str">
            <v>SUC CARRERA 100</v>
          </cell>
        </row>
        <row r="1857">
          <cell r="B1857" t="str">
            <v>SUC CARRERA 100 DS</v>
          </cell>
        </row>
        <row r="1858">
          <cell r="B1858" t="str">
            <v>SUC CARRERA 23</v>
          </cell>
        </row>
        <row r="1859">
          <cell r="B1859" t="str">
            <v>SUC CARRERA 23 DS</v>
          </cell>
        </row>
        <row r="1860">
          <cell r="B1860" t="str">
            <v>SUC CARRERA 26</v>
          </cell>
        </row>
        <row r="1861">
          <cell r="B1861" t="str">
            <v>SUC CARRERA 26 DS</v>
          </cell>
        </row>
        <row r="1862">
          <cell r="B1862" t="str">
            <v>SUC CARRERA 70</v>
          </cell>
        </row>
        <row r="1863">
          <cell r="B1863" t="str">
            <v>SUC CARRERA 70 DS</v>
          </cell>
        </row>
        <row r="1864">
          <cell r="B1864" t="str">
            <v>SUC CARRERA 80</v>
          </cell>
        </row>
        <row r="1865">
          <cell r="B1865" t="str">
            <v>SUC CARRERA 80 DS</v>
          </cell>
        </row>
        <row r="1866">
          <cell r="B1866" t="str">
            <v>SUC CARRERA DECIMA</v>
          </cell>
        </row>
        <row r="1867">
          <cell r="B1867" t="str">
            <v>SUC CARRERA DECIMA DS</v>
          </cell>
        </row>
        <row r="1868">
          <cell r="B1868" t="str">
            <v>SUC CARRERA OCTAVA</v>
          </cell>
        </row>
        <row r="1869">
          <cell r="B1869" t="str">
            <v>SUC CARRERA OCTAVA DS</v>
          </cell>
        </row>
        <row r="1870">
          <cell r="B1870" t="str">
            <v>SUC CARRERA PRIMERA</v>
          </cell>
        </row>
        <row r="1871">
          <cell r="B1871" t="str">
            <v>SUC CARRERA PRIMERA DS</v>
          </cell>
        </row>
        <row r="1872">
          <cell r="B1872" t="str">
            <v>SUC CARRERA TERCERA</v>
          </cell>
        </row>
        <row r="1873">
          <cell r="B1873" t="str">
            <v>SUC CARRERA TERCERA DS</v>
          </cell>
        </row>
        <row r="1874">
          <cell r="B1874" t="str">
            <v>SUC CARTAGENA</v>
          </cell>
        </row>
        <row r="1875">
          <cell r="B1875" t="str">
            <v>SUC CARTAGENA DS</v>
          </cell>
        </row>
        <row r="1876">
          <cell r="B1876" t="str">
            <v>SUC CARTAGO</v>
          </cell>
        </row>
        <row r="1877">
          <cell r="B1877" t="str">
            <v>SUC CARTAGO DS</v>
          </cell>
        </row>
        <row r="1878">
          <cell r="B1878" t="str">
            <v>SUC CARULLA ALHAMBRA</v>
          </cell>
        </row>
        <row r="1879">
          <cell r="B1879" t="str">
            <v>SUC CARULLA ALHAMBRA DS</v>
          </cell>
        </row>
        <row r="1880">
          <cell r="B1880" t="str">
            <v>SUC CARULLA CALLE 82</v>
          </cell>
        </row>
        <row r="1881">
          <cell r="B1881" t="str">
            <v>SUC CARULLA CALLE 82 DS</v>
          </cell>
        </row>
        <row r="1882">
          <cell r="B1882" t="str">
            <v>SUC CARULLA CENTRO CHIA</v>
          </cell>
        </row>
        <row r="1883">
          <cell r="B1883" t="str">
            <v>SUC CARULLA CENTRO CHIA DS</v>
          </cell>
        </row>
        <row r="1884">
          <cell r="B1884" t="str">
            <v>SUC CARULLA MALL LLANOGRANDE DS</v>
          </cell>
        </row>
        <row r="1885">
          <cell r="B1885" t="str">
            <v>SUC CARULLA PABLO VI</v>
          </cell>
        </row>
        <row r="1886">
          <cell r="B1886" t="str">
            <v>SUC CARULLA PABLO VI DS</v>
          </cell>
        </row>
        <row r="1887">
          <cell r="B1887" t="str">
            <v>SUC CARULLA PEPE SIERRA</v>
          </cell>
        </row>
        <row r="1888">
          <cell r="B1888" t="str">
            <v>SUC CARULLA PEPE SIERRA DS</v>
          </cell>
        </row>
        <row r="1889">
          <cell r="B1889" t="str">
            <v>SUC CARULLA PLAZA AMERICA DS</v>
          </cell>
        </row>
        <row r="1890">
          <cell r="B1890" t="str">
            <v>SUC CARULLA PRADO DS</v>
          </cell>
        </row>
        <row r="1891">
          <cell r="B1891" t="str">
            <v>SUC CARULLA SAN LUCAS</v>
          </cell>
        </row>
        <row r="1892">
          <cell r="B1892" t="str">
            <v>SUC CARULLA SAN LUCAS DS</v>
          </cell>
        </row>
        <row r="1893">
          <cell r="B1893" t="str">
            <v>SUC CARVAJAL BOGOTA DS</v>
          </cell>
        </row>
        <row r="1894">
          <cell r="B1894" t="str">
            <v>SUC CARVAJAL SANTA MONICA DS</v>
          </cell>
        </row>
        <row r="1895">
          <cell r="B1895" t="str">
            <v>SUC CATEDRAL</v>
          </cell>
        </row>
        <row r="1896">
          <cell r="B1896" t="str">
            <v>SUC CATEDRAL DS</v>
          </cell>
        </row>
        <row r="1897">
          <cell r="B1897" t="str">
            <v>SUC CAUCASIA</v>
          </cell>
        </row>
        <row r="1898">
          <cell r="B1898" t="str">
            <v>SUC CAUCASIA DS</v>
          </cell>
        </row>
        <row r="1899">
          <cell r="B1899" t="str">
            <v>SUC CEDRITOS</v>
          </cell>
        </row>
        <row r="1900">
          <cell r="B1900" t="str">
            <v>SUC CEDRITOS DS</v>
          </cell>
        </row>
        <row r="1901">
          <cell r="B1901" t="str">
            <v>SUC CEDRO BOLIVAR</v>
          </cell>
        </row>
        <row r="1902">
          <cell r="B1902" t="str">
            <v>SUC CEDRO BOLIVAR DS</v>
          </cell>
        </row>
        <row r="1903">
          <cell r="B1903" t="str">
            <v>SUC CENTRAL DE ABASTOS B/MANGA</v>
          </cell>
        </row>
        <row r="1904">
          <cell r="B1904" t="str">
            <v>SUC CENTRAL DE ABASTOS B/MANGA DS</v>
          </cell>
        </row>
        <row r="1905">
          <cell r="B1905" t="str">
            <v>SUC CENTRAL DE ABASTOS BARRANQUILLA DS</v>
          </cell>
        </row>
        <row r="1906">
          <cell r="B1906" t="str">
            <v>SUC CENTRAL DE ABASTOS BOGOTA DS</v>
          </cell>
        </row>
        <row r="1907">
          <cell r="B1907" t="str">
            <v>SUC CENTRAL DE ABASTOS MEDELLIN</v>
          </cell>
        </row>
        <row r="1908">
          <cell r="B1908" t="str">
            <v>SUC CENTRAL DE ABASTOS MEDELLIN DS</v>
          </cell>
        </row>
        <row r="1909">
          <cell r="B1909" t="str">
            <v>SUC CENTRO</v>
          </cell>
        </row>
        <row r="1910">
          <cell r="B1910" t="str">
            <v>SUC CENTRO 93</v>
          </cell>
        </row>
        <row r="1911">
          <cell r="B1911" t="str">
            <v>SUC CENTRO 93 DS</v>
          </cell>
        </row>
        <row r="1912">
          <cell r="B1912" t="str">
            <v>SUC CENTRO BUCARAMANGA</v>
          </cell>
        </row>
        <row r="1913">
          <cell r="B1913" t="str">
            <v>SUC CENTRO BUCARAMANGA DS</v>
          </cell>
        </row>
        <row r="1914">
          <cell r="B1914" t="str">
            <v>SUC CENTRO CCIAL ANDINO</v>
          </cell>
        </row>
        <row r="1915">
          <cell r="B1915" t="str">
            <v>SUC CENTRO CCIAL ANDINO DS</v>
          </cell>
        </row>
        <row r="1916">
          <cell r="B1916" t="str">
            <v>SUC CENTRO CCIAL ATLANTIS DS</v>
          </cell>
        </row>
        <row r="1917">
          <cell r="B1917" t="str">
            <v>SUC CENTRO CCIAL HAYUELOS</v>
          </cell>
        </row>
        <row r="1918">
          <cell r="B1918" t="str">
            <v>SUC CENTRO CCIAL HAYUELOS DS</v>
          </cell>
        </row>
        <row r="1919">
          <cell r="B1919" t="str">
            <v>SUC CENTRO CCIAL MAYORCA</v>
          </cell>
        </row>
        <row r="1920">
          <cell r="B1920" t="str">
            <v>SUC CENTRO CCIAL MAYORCA DS</v>
          </cell>
        </row>
        <row r="1921">
          <cell r="B1921" t="str">
            <v>SUC CENTRO CCIAL PALATINO</v>
          </cell>
        </row>
        <row r="1922">
          <cell r="B1922" t="str">
            <v>SUC CENTRO CCIAL PALATINO DS</v>
          </cell>
        </row>
        <row r="1923">
          <cell r="B1923" t="str">
            <v>SUC CENTRO CCIAL PLAZA DS</v>
          </cell>
        </row>
        <row r="1924">
          <cell r="B1924" t="str">
            <v>SUC CENTRO CCIAL PUENTE LARGO</v>
          </cell>
        </row>
        <row r="1925">
          <cell r="B1925" t="str">
            <v>SUC CENTRO CCIAL PUENTE LARGO DS</v>
          </cell>
        </row>
        <row r="1926">
          <cell r="B1926" t="str">
            <v>SUC CENTRO CCIAL SALITRE PLAZA DS</v>
          </cell>
        </row>
        <row r="1927">
          <cell r="B1927" t="str">
            <v>SUC CENTRO CCIAL SANTA BARBARA</v>
          </cell>
        </row>
        <row r="1928">
          <cell r="B1928" t="str">
            <v>SUC CENTRO CCIAL SANTA BARBARA DS</v>
          </cell>
        </row>
        <row r="1929">
          <cell r="B1929" t="str">
            <v>SUC CENTRO CCIAL SANTA FE BOGOTA</v>
          </cell>
        </row>
        <row r="1930">
          <cell r="B1930" t="str">
            <v>SUC CENTRO CCIAL SANTA FE BOGOTA DS</v>
          </cell>
        </row>
        <row r="1931">
          <cell r="B1931" t="str">
            <v>SUC CENTRO CCIAL UNICO</v>
          </cell>
        </row>
        <row r="1932">
          <cell r="B1932" t="str">
            <v>SUC CENTRO CCIAL UNICO DS</v>
          </cell>
        </row>
        <row r="1933">
          <cell r="B1933" t="str">
            <v>SUC CENTRO COLON</v>
          </cell>
        </row>
        <row r="1934">
          <cell r="B1934" t="str">
            <v>SUC CENTRO COLON DS</v>
          </cell>
        </row>
        <row r="1935">
          <cell r="B1935" t="str">
            <v>SUC CENTRO COLTEJER</v>
          </cell>
        </row>
        <row r="1936">
          <cell r="B1936" t="str">
            <v>SUC CENTRO COLTEJER DS</v>
          </cell>
        </row>
        <row r="1937">
          <cell r="B1937" t="str">
            <v>SUC CENTRO COMERCIAL  SAN ANTONIO</v>
          </cell>
        </row>
        <row r="1938">
          <cell r="B1938" t="str">
            <v>SUC CENTRO COMERCIAL ATLANTIS</v>
          </cell>
        </row>
        <row r="1939">
          <cell r="B1939" t="str">
            <v>SUC CENTRO COMERCIAL SAN ANTONIO DS</v>
          </cell>
        </row>
        <row r="1940">
          <cell r="B1940" t="str">
            <v>SUC CENTRO COMERCIAL SANTAFE MEDELLIN</v>
          </cell>
        </row>
        <row r="1941">
          <cell r="B1941" t="str">
            <v>SUC CENTRO COMERCIAL SANTAFE MEDELLIN DS</v>
          </cell>
        </row>
        <row r="1942">
          <cell r="B1942" t="str">
            <v>SUC CENTRO COMERCIAL UNICO PASTO</v>
          </cell>
        </row>
        <row r="1943">
          <cell r="B1943" t="str">
            <v>SUC CENTRO COMERCIAL UNICO PASTO DS</v>
          </cell>
        </row>
        <row r="1944">
          <cell r="B1944" t="str">
            <v>SUC CENTRO DE LA CONFECCION</v>
          </cell>
        </row>
        <row r="1945">
          <cell r="B1945" t="str">
            <v>SUC CENTRO DE LA CONFECCION DS</v>
          </cell>
        </row>
        <row r="1946">
          <cell r="B1946" t="str">
            <v>SUC CENTRO DE PAGOS APARTADO DS</v>
          </cell>
        </row>
        <row r="1947">
          <cell r="B1947" t="str">
            <v>SUC CENTRO DE PAGOS AVENIDA QUINTA DS</v>
          </cell>
        </row>
        <row r="1948">
          <cell r="B1948" t="str">
            <v>SUC CENTRO DE PAGOS BARRANCABERMEJA DS</v>
          </cell>
        </row>
        <row r="1949">
          <cell r="B1949" t="str">
            <v>SUC CENTRO DE PAGOS BELLO DS</v>
          </cell>
        </row>
        <row r="1950">
          <cell r="B1950" t="str">
            <v>SUC CENTRO DE PAGOS BUCARAMANGA DS</v>
          </cell>
        </row>
        <row r="1951">
          <cell r="B1951" t="str">
            <v>SUC CENTRO DE PAGOS BUENAVENTURA DS</v>
          </cell>
        </row>
        <row r="1952">
          <cell r="B1952" t="str">
            <v>SUC CENTRO DE PAGOS CABECERA DS</v>
          </cell>
        </row>
        <row r="1953">
          <cell r="B1953" t="str">
            <v>SUC CENTRO DE PAGOS CALI SUR DS</v>
          </cell>
        </row>
        <row r="1954">
          <cell r="B1954" t="str">
            <v>SUC CENTRO DE PAGOS CALLE 18 DS</v>
          </cell>
        </row>
        <row r="1955">
          <cell r="B1955" t="str">
            <v>SUC CENTRO DE PAGOS CALLE 72 DS</v>
          </cell>
        </row>
        <row r="1956">
          <cell r="B1956" t="str">
            <v>SUC CENTRO DE PAGOS CARTAGO DS</v>
          </cell>
        </row>
        <row r="1957">
          <cell r="B1957" t="str">
            <v>SUC CENTRO DE PAGOS COLTEJER DS</v>
          </cell>
        </row>
        <row r="1958">
          <cell r="B1958" t="str">
            <v>SUC CENTRO DE PAGOS CUCUTA DS</v>
          </cell>
        </row>
        <row r="1959">
          <cell r="B1959" t="str">
            <v>SUC CENTRO DE PAGOS FONTIBON DS</v>
          </cell>
        </row>
        <row r="1960">
          <cell r="B1960" t="str">
            <v>SUC CENTRO DE PAGOS GUAYABAL DS</v>
          </cell>
        </row>
        <row r="1961">
          <cell r="B1961" t="str">
            <v>SUC CENTRO DE PAGOS ISLA OVIEDO DS</v>
          </cell>
        </row>
        <row r="1962">
          <cell r="B1962" t="str">
            <v>SUC CENTRO DE PAGOS ITAGUI DS</v>
          </cell>
        </row>
        <row r="1963">
          <cell r="B1963" t="str">
            <v>SUC CENTRO DE PAGOS LA  93 DS</v>
          </cell>
        </row>
        <row r="1964">
          <cell r="B1964" t="str">
            <v>SUC CENTRO DE PAGOS LA AMERICA DS</v>
          </cell>
        </row>
        <row r="1965">
          <cell r="B1965" t="str">
            <v>SUC CENTRO DE PAGOS LA CASTELLANA DS</v>
          </cell>
        </row>
        <row r="1966">
          <cell r="B1966" t="str">
            <v>SUC CENTRO DE PAGOS MANIZALES DS</v>
          </cell>
        </row>
        <row r="1967">
          <cell r="B1967" t="str">
            <v>SUC CENTRO DE PAGOS MAYORISTA DS</v>
          </cell>
        </row>
        <row r="1968">
          <cell r="B1968" t="str">
            <v>SUC CENTRO DE PAGOS MODELIA DS</v>
          </cell>
        </row>
        <row r="1969">
          <cell r="B1969" t="str">
            <v>SUC CENTRO DE PAGOS MONTERIA DS</v>
          </cell>
        </row>
        <row r="1970">
          <cell r="B1970" t="str">
            <v>SUC CENTRO DE PAGOS MONTERREY  DS</v>
          </cell>
        </row>
        <row r="1971">
          <cell r="B1971" t="str">
            <v>SUC CENTRO DE PAGOS NEIVA DS</v>
          </cell>
        </row>
        <row r="1972">
          <cell r="B1972" t="str">
            <v>SUC CENTRO DE PAGOS OCCIDENTE DS</v>
          </cell>
        </row>
        <row r="1973">
          <cell r="B1973" t="str">
            <v>SUC CENTRO DE PAGOS PALMIRA DS</v>
          </cell>
        </row>
        <row r="1974">
          <cell r="B1974" t="str">
            <v>SUC CENTRO DE PAGOS PASTO DS</v>
          </cell>
        </row>
        <row r="1975">
          <cell r="B1975" t="str">
            <v>SUC CENTRO DE PAGOS POBLADO DS</v>
          </cell>
        </row>
        <row r="1976">
          <cell r="B1976" t="str">
            <v>SUC CENTRO DE PAGOS POPAYAN DS</v>
          </cell>
        </row>
        <row r="1977">
          <cell r="B1977" t="str">
            <v>SUC CENTRO DE PAGOS RIONEGRO DS</v>
          </cell>
        </row>
        <row r="1978">
          <cell r="B1978" t="str">
            <v>SUC CENTRO DE PAGOS SAN MARTIN DS</v>
          </cell>
        </row>
        <row r="1979">
          <cell r="B1979" t="str">
            <v>SUC CENTRO DE PAGOS SANTA MARTA DS</v>
          </cell>
        </row>
        <row r="1980">
          <cell r="B1980" t="str">
            <v>SUC CENTRO DE PAGOS SUBAZAR DS</v>
          </cell>
        </row>
        <row r="1981">
          <cell r="B1981" t="str">
            <v>SUC CENTRO DE PAGOS TEMPO DS</v>
          </cell>
        </row>
        <row r="1982">
          <cell r="B1982" t="str">
            <v>SUC CENTRO DE PAGOS UNICENTRO BOGOTA DS</v>
          </cell>
        </row>
        <row r="1983">
          <cell r="B1983" t="str">
            <v>SUC CENTRO DE PAGOS VALLEDUPAR DS</v>
          </cell>
        </row>
        <row r="1984">
          <cell r="B1984" t="str">
            <v>SUC CENTRO DE PAGOS VILLAVICENCIO DS</v>
          </cell>
        </row>
        <row r="1985">
          <cell r="B1985" t="str">
            <v>SUC CENTRO DISTRITAL</v>
          </cell>
        </row>
        <row r="1986">
          <cell r="B1986" t="str">
            <v>SUC CENTRO DISTRITAL DS</v>
          </cell>
        </row>
        <row r="1987">
          <cell r="B1987" t="str">
            <v>SUC CENTRO DS</v>
          </cell>
        </row>
        <row r="1988">
          <cell r="B1988" t="str">
            <v>SUC CENTRO FINANCIERO</v>
          </cell>
        </row>
        <row r="1989">
          <cell r="B1989" t="str">
            <v>SUC CENTRO FINANCIERO DS</v>
          </cell>
        </row>
        <row r="1990">
          <cell r="B1990" t="str">
            <v>SUC CENTRO INDUSTRIAL</v>
          </cell>
        </row>
        <row r="1991">
          <cell r="B1991" t="str">
            <v>SUC CENTRO INDUSTRIAL DS</v>
          </cell>
        </row>
        <row r="1992">
          <cell r="B1992" t="str">
            <v>SUC CENTRO INTERNACIONAL</v>
          </cell>
        </row>
        <row r="1993">
          <cell r="B1993" t="str">
            <v>SUC CENTRO INTERNACIONAL DS</v>
          </cell>
        </row>
        <row r="1994">
          <cell r="B1994" t="str">
            <v>SUC CENTRO INTERNACIONAL FIDUC DS</v>
          </cell>
        </row>
        <row r="1995">
          <cell r="B1995" t="str">
            <v>SUC CENTRO MAYOR</v>
          </cell>
        </row>
        <row r="1996">
          <cell r="B1996" t="str">
            <v>SUC CENTRO MAYOR DS</v>
          </cell>
        </row>
        <row r="1997">
          <cell r="B1997" t="str">
            <v>SUC CENTRO NACIONAL DEL AHORRO DS</v>
          </cell>
        </row>
        <row r="1998">
          <cell r="B1998" t="str">
            <v>SUC CENTROSUR</v>
          </cell>
        </row>
        <row r="1999">
          <cell r="B1999" t="str">
            <v>SUC CENTROSUR DS</v>
          </cell>
        </row>
        <row r="2000">
          <cell r="B2000" t="str">
            <v>SUC CERETE</v>
          </cell>
        </row>
        <row r="2001">
          <cell r="B2001" t="str">
            <v>SUC CERETE DS</v>
          </cell>
        </row>
        <row r="2002">
          <cell r="B2002" t="str">
            <v>SUC CERRITO</v>
          </cell>
        </row>
        <row r="2003">
          <cell r="B2003" t="str">
            <v>SUC CERRITO DS</v>
          </cell>
        </row>
        <row r="2004">
          <cell r="B2004" t="str">
            <v>SUC CERVUNION DS</v>
          </cell>
        </row>
        <row r="2005">
          <cell r="B2005" t="str">
            <v>SUC CHAPARRAL</v>
          </cell>
        </row>
        <row r="2006">
          <cell r="B2006" t="str">
            <v>SUC CHAPARRAL DS</v>
          </cell>
        </row>
        <row r="2007">
          <cell r="B2007" t="str">
            <v>SUC CHAPINERO</v>
          </cell>
        </row>
        <row r="2008">
          <cell r="B2008" t="str">
            <v>SUC CHAPINERO DS</v>
          </cell>
        </row>
        <row r="2009">
          <cell r="B2009" t="str">
            <v>SUC CHARALA</v>
          </cell>
        </row>
        <row r="2010">
          <cell r="B2010" t="str">
            <v>SUC CHARALA DS</v>
          </cell>
        </row>
        <row r="2011">
          <cell r="B2011" t="str">
            <v>SUC CHIA</v>
          </cell>
        </row>
        <row r="2012">
          <cell r="B2012" t="str">
            <v>SUC CHIA DS</v>
          </cell>
        </row>
        <row r="2013">
          <cell r="B2013" t="str">
            <v>SUC CHICO 94</v>
          </cell>
        </row>
        <row r="2014">
          <cell r="B2014" t="str">
            <v>SUC CHICO 94 DS</v>
          </cell>
        </row>
        <row r="2015">
          <cell r="B2015" t="str">
            <v>SUC CHIGORODO</v>
          </cell>
        </row>
        <row r="2016">
          <cell r="B2016" t="str">
            <v>SUC CHIGORODO DS</v>
          </cell>
        </row>
        <row r="2017">
          <cell r="B2017" t="str">
            <v>SUC CHINCHINA</v>
          </cell>
        </row>
        <row r="2018">
          <cell r="B2018" t="str">
            <v>SUC CHINCHINA DS</v>
          </cell>
        </row>
        <row r="2019">
          <cell r="B2019" t="str">
            <v>SUC CHINU</v>
          </cell>
        </row>
        <row r="2020">
          <cell r="B2020" t="str">
            <v>SUC CHIPICHAPE</v>
          </cell>
        </row>
        <row r="2021">
          <cell r="B2021" t="str">
            <v>SUC CHIPICHAPE DS</v>
          </cell>
        </row>
        <row r="2022">
          <cell r="B2022" t="str">
            <v>SUC CHIQUINQUIRA</v>
          </cell>
        </row>
        <row r="2023">
          <cell r="B2023" t="str">
            <v>SUC CHIQUINQUIRA DS</v>
          </cell>
        </row>
        <row r="2024">
          <cell r="B2024" t="str">
            <v>SUC CIENAGA</v>
          </cell>
        </row>
        <row r="2025">
          <cell r="B2025" t="str">
            <v>SUC CIENAGA DE ORO DS</v>
          </cell>
        </row>
        <row r="2026">
          <cell r="B2026" t="str">
            <v>SUC CIENAGA DS</v>
          </cell>
        </row>
        <row r="2027">
          <cell r="B2027" t="str">
            <v>SUC CIRCUNVALAR PEREIRA</v>
          </cell>
        </row>
        <row r="2028">
          <cell r="B2028" t="str">
            <v>SUC CIRCUNVALAR PEREIRA DS</v>
          </cell>
        </row>
        <row r="2029">
          <cell r="B2029" t="str">
            <v>SUC CITY PLAZA</v>
          </cell>
        </row>
        <row r="2030">
          <cell r="B2030" t="str">
            <v>SUC CITY PLAZA DS</v>
          </cell>
        </row>
        <row r="2031">
          <cell r="B2031" t="str">
            <v>SUC CIUDAD BOLIVAR</v>
          </cell>
        </row>
        <row r="2032">
          <cell r="B2032" t="str">
            <v>SUC CIUDAD BOLIVAR DS</v>
          </cell>
        </row>
        <row r="2033">
          <cell r="B2033" t="str">
            <v>SUC CIUDAD JARDIN</v>
          </cell>
        </row>
        <row r="2034">
          <cell r="B2034" t="str">
            <v>SUC CIUDAD JARDIN DS</v>
          </cell>
        </row>
        <row r="2035">
          <cell r="B2035" t="str">
            <v>SUC CIUDAD KENNEDY</v>
          </cell>
        </row>
        <row r="2036">
          <cell r="B2036" t="str">
            <v>SUC CIUDAD KENNEDY DS</v>
          </cell>
        </row>
        <row r="2037">
          <cell r="B2037" t="str">
            <v>SUC CIUDAD SALITRE 2</v>
          </cell>
        </row>
        <row r="2038">
          <cell r="B2038" t="str">
            <v>SUC CIUDAD SALITRE 2 DS</v>
          </cell>
        </row>
        <row r="2039">
          <cell r="B2039" t="str">
            <v>SUC CLINICA SOMER DS</v>
          </cell>
        </row>
        <row r="2040">
          <cell r="B2040" t="str">
            <v>SUC CODABAS</v>
          </cell>
        </row>
        <row r="2041">
          <cell r="B2041" t="str">
            <v>SUC CODABAS DS</v>
          </cell>
        </row>
        <row r="2042">
          <cell r="B2042" t="str">
            <v>SUC COLINA CAMPESTRE</v>
          </cell>
        </row>
        <row r="2043">
          <cell r="B2043" t="str">
            <v>SUC COLINA CAMPESTRE DS</v>
          </cell>
        </row>
        <row r="2044">
          <cell r="B2044" t="str">
            <v>SUC COLMOTORES DS</v>
          </cell>
        </row>
        <row r="2045">
          <cell r="B2045" t="str">
            <v>SUC COLTABACO</v>
          </cell>
        </row>
        <row r="2046">
          <cell r="B2046" t="str">
            <v>SUC COLTABACO DS</v>
          </cell>
        </row>
        <row r="2047">
          <cell r="B2047" t="str">
            <v>SUC COMPAÑIA COLOMBIANA AUTOMOTRIZ DS</v>
          </cell>
        </row>
        <row r="2048">
          <cell r="B2048" t="str">
            <v>SUC CONCORDIA</v>
          </cell>
        </row>
        <row r="2049">
          <cell r="B2049" t="str">
            <v>SUC CONCORDIA DS</v>
          </cell>
        </row>
        <row r="2050">
          <cell r="B2050" t="str">
            <v>SUC CONSUMO EL PEDREGAL DS</v>
          </cell>
        </row>
        <row r="2051">
          <cell r="B2051" t="str">
            <v>SUC CONSUMO ITAGUI DS</v>
          </cell>
        </row>
        <row r="2052">
          <cell r="B2052" t="str">
            <v>SUC CONTADOR</v>
          </cell>
        </row>
        <row r="2053">
          <cell r="B2053" t="str">
            <v>SUC CONTADOR DS</v>
          </cell>
        </row>
        <row r="2054">
          <cell r="B2054" t="str">
            <v>SUC CONTECAR DS</v>
          </cell>
        </row>
        <row r="2055">
          <cell r="B2055" t="str">
            <v>SUC COPACABANA</v>
          </cell>
        </row>
        <row r="2056">
          <cell r="B2056" t="str">
            <v>SUC COPACABANA DS</v>
          </cell>
        </row>
        <row r="2057">
          <cell r="B2057" t="str">
            <v>SUC CORABASTOS</v>
          </cell>
        </row>
        <row r="2058">
          <cell r="B2058" t="str">
            <v>SUC CORABASTOS DS</v>
          </cell>
        </row>
        <row r="2059">
          <cell r="B2059" t="str">
            <v>SUC COROZAL</v>
          </cell>
        </row>
        <row r="2060">
          <cell r="B2060" t="str">
            <v>SUC COROZAL DS</v>
          </cell>
        </row>
        <row r="2061">
          <cell r="B2061" t="str">
            <v>SUC COSMOCENTRO</v>
          </cell>
        </row>
        <row r="2062">
          <cell r="B2062" t="str">
            <v>SUC COSMOCENTRO DS</v>
          </cell>
        </row>
        <row r="2063">
          <cell r="B2063" t="str">
            <v>SUC COTA</v>
          </cell>
        </row>
        <row r="2064">
          <cell r="B2064" t="str">
            <v>SUC COTA DS</v>
          </cell>
        </row>
        <row r="2065">
          <cell r="B2065" t="str">
            <v>SUC COUNTRY PLAZA</v>
          </cell>
        </row>
        <row r="2066">
          <cell r="B2066" t="str">
            <v>SUC COUNTRY PLAZA DS</v>
          </cell>
        </row>
        <row r="2067">
          <cell r="B2067" t="str">
            <v>SUC COVEÑAS DS</v>
          </cell>
        </row>
        <row r="2068">
          <cell r="B2068" t="str">
            <v>SUC CUCUTA</v>
          </cell>
        </row>
        <row r="2069">
          <cell r="B2069" t="str">
            <v>SUC CUCUTA DS</v>
          </cell>
        </row>
        <row r="2070">
          <cell r="B2070" t="str">
            <v>SUC CUMARAL</v>
          </cell>
        </row>
        <row r="2071">
          <cell r="B2071" t="str">
            <v>SUC DANN CARLTON</v>
          </cell>
        </row>
        <row r="2072">
          <cell r="B2072" t="str">
            <v>SUC DANN CARLTON BARRANQUILLA</v>
          </cell>
        </row>
        <row r="2073">
          <cell r="B2073" t="str">
            <v>SUC DANN CARLTON BARRANQUILLA DS</v>
          </cell>
        </row>
        <row r="2074">
          <cell r="B2074" t="str">
            <v>SUC DANN CARLTON DS</v>
          </cell>
        </row>
        <row r="2075">
          <cell r="B2075" t="str">
            <v>SUC DEPARTAMENTO DE CUNDINAMARCA CTRO DS</v>
          </cell>
        </row>
        <row r="2076">
          <cell r="B2076" t="str">
            <v>SUC DEPARTAMENTO DE CUNDINAMARCA NORT DS</v>
          </cell>
        </row>
        <row r="2077">
          <cell r="B2077" t="str">
            <v>SUC DEPARTAMENTO DE CUNDINAMARCA SUR DS</v>
          </cell>
        </row>
        <row r="2078">
          <cell r="B2078" t="str">
            <v>SUC DIAGONAL SANTANDER</v>
          </cell>
        </row>
        <row r="2079">
          <cell r="B2079" t="str">
            <v>SUC DIAGONAL SANTANDER DS</v>
          </cell>
        </row>
        <row r="2080">
          <cell r="B2080" t="str">
            <v>SUC DICENTE MEDELLIN DS</v>
          </cell>
        </row>
        <row r="2081">
          <cell r="B2081" t="str">
            <v>SUC DIVER PLAZA</v>
          </cell>
        </row>
        <row r="2082">
          <cell r="B2082" t="str">
            <v>SUC DIVER PLAZA DS</v>
          </cell>
        </row>
        <row r="2083">
          <cell r="B2083" t="str">
            <v>SUC DIVISAS LEY SANTA MARTA</v>
          </cell>
        </row>
        <row r="2084">
          <cell r="B2084" t="str">
            <v>SUC DONMATIAS</v>
          </cell>
        </row>
        <row r="2085">
          <cell r="B2085" t="str">
            <v>SUC DONMATIAS DS</v>
          </cell>
        </row>
        <row r="2086">
          <cell r="B2086" t="str">
            <v>SUC DORADO PLAZA</v>
          </cell>
        </row>
        <row r="2087">
          <cell r="B2087" t="str">
            <v>SUC DOSQUEBRADAS</v>
          </cell>
        </row>
        <row r="2088">
          <cell r="B2088" t="str">
            <v>SUC DOSQUEBRADAS DS</v>
          </cell>
        </row>
        <row r="2089">
          <cell r="B2089" t="str">
            <v>SUC DUITAMA</v>
          </cell>
        </row>
        <row r="2090">
          <cell r="B2090" t="str">
            <v>SUC DUITAMA DS</v>
          </cell>
        </row>
        <row r="2091">
          <cell r="B2091" t="str">
            <v>SUC EAFIT</v>
          </cell>
        </row>
        <row r="2092">
          <cell r="B2092" t="str">
            <v>SUC EAFIT DS</v>
          </cell>
        </row>
        <row r="2093">
          <cell r="B2093" t="str">
            <v>SUC ECOPETROL</v>
          </cell>
        </row>
        <row r="2094">
          <cell r="B2094" t="str">
            <v>SUC ECOPETROL DS</v>
          </cell>
        </row>
        <row r="2095">
          <cell r="B2095" t="str">
            <v>SUC ECOPETROL NEIVA DS</v>
          </cell>
        </row>
        <row r="2096">
          <cell r="B2096" t="str">
            <v>SUC EDIFICIO COLONIAL</v>
          </cell>
        </row>
        <row r="2097">
          <cell r="B2097" t="str">
            <v>SUC EDIFICIO COLONIAL DS</v>
          </cell>
        </row>
        <row r="2098">
          <cell r="B2098" t="str">
            <v>SUC EDIFICIO EMPRESAS PUBLICAS DS</v>
          </cell>
        </row>
        <row r="2099">
          <cell r="B2099" t="str">
            <v>SUC EDIFICIO LARA</v>
          </cell>
        </row>
        <row r="2100">
          <cell r="B2100" t="str">
            <v>SUC EDIFICIO LARA DS</v>
          </cell>
        </row>
        <row r="2101">
          <cell r="B2101" t="str">
            <v>SUC EL BAGRE DS</v>
          </cell>
        </row>
        <row r="2102">
          <cell r="B2102" t="str">
            <v>SUC EL BORDO CAUCA DS</v>
          </cell>
        </row>
        <row r="2103">
          <cell r="B2103" t="str">
            <v>SUC EL BOSQUE</v>
          </cell>
        </row>
        <row r="2104">
          <cell r="B2104" t="str">
            <v>SUC EL BOSQUE DS</v>
          </cell>
        </row>
        <row r="2105">
          <cell r="B2105" t="str">
            <v>SUC EL CABLE</v>
          </cell>
        </row>
        <row r="2106">
          <cell r="B2106" t="str">
            <v>SUC EL CABLE DS</v>
          </cell>
        </row>
        <row r="2107">
          <cell r="B2107" t="str">
            <v>SUC EL CAN</v>
          </cell>
        </row>
        <row r="2108">
          <cell r="B2108" t="str">
            <v>SUC EL CAN DS</v>
          </cell>
        </row>
        <row r="2109">
          <cell r="B2109" t="str">
            <v>SUC EL CARMEN DE VIBORAL</v>
          </cell>
        </row>
        <row r="2110">
          <cell r="B2110" t="str">
            <v>SUC EL CARMEN DE VIBORAL DS</v>
          </cell>
        </row>
        <row r="2111">
          <cell r="B2111" t="str">
            <v>SUC EL CERREJON DS</v>
          </cell>
        </row>
        <row r="2112">
          <cell r="B2112" t="str">
            <v>SUC EL DIFICIL</v>
          </cell>
        </row>
        <row r="2113">
          <cell r="B2113" t="str">
            <v>SUC EL DIFICIL DS</v>
          </cell>
        </row>
        <row r="2114">
          <cell r="B2114" t="str">
            <v>SUC EL GUAMO</v>
          </cell>
        </row>
        <row r="2115">
          <cell r="B2115" t="str">
            <v>SUC EL GUAMO DS</v>
          </cell>
        </row>
        <row r="2116">
          <cell r="B2116" t="str">
            <v>SUC EL LAGO</v>
          </cell>
        </row>
        <row r="2117">
          <cell r="B2117" t="str">
            <v>SUC EL LAGO DS</v>
          </cell>
        </row>
        <row r="2118">
          <cell r="B2118" t="str">
            <v>SUC EL LIMONAR PREMIER</v>
          </cell>
        </row>
        <row r="2119">
          <cell r="B2119" t="str">
            <v>SUC EL LIMONAR PREMIER DS</v>
          </cell>
        </row>
        <row r="2120">
          <cell r="B2120" t="str">
            <v>SUC EL PEÑOL DS</v>
          </cell>
        </row>
        <row r="2121">
          <cell r="B2121" t="str">
            <v>SUC EL RODADERO</v>
          </cell>
        </row>
        <row r="2122">
          <cell r="B2122" t="str">
            <v>SUC EL RODADERO DS</v>
          </cell>
        </row>
        <row r="2123">
          <cell r="B2123" t="str">
            <v>SUC EL ROSAL</v>
          </cell>
        </row>
        <row r="2124">
          <cell r="B2124" t="str">
            <v>SUC EL ROSAL DS</v>
          </cell>
        </row>
        <row r="2125">
          <cell r="B2125" t="str">
            <v>SUC EL TESORO</v>
          </cell>
        </row>
        <row r="2126">
          <cell r="B2126" t="str">
            <v>SUC EL TESORO DS</v>
          </cell>
        </row>
        <row r="2127">
          <cell r="B2127" t="str">
            <v>SUC EL TRONCAL</v>
          </cell>
        </row>
        <row r="2128">
          <cell r="B2128" t="str">
            <v>SUC EL TRONCAL DS</v>
          </cell>
        </row>
        <row r="2129">
          <cell r="B2129" t="str">
            <v>SUC EL VIRREY</v>
          </cell>
        </row>
        <row r="2130">
          <cell r="B2130" t="str">
            <v>SUC EL VIRREY DS</v>
          </cell>
        </row>
        <row r="2131">
          <cell r="B2131" t="str">
            <v>SUC EMBOTELLADORA ROMAN MONTERIA DS</v>
          </cell>
        </row>
        <row r="2132">
          <cell r="B2132" t="str">
            <v>SUC EMCALI 14 DS</v>
          </cell>
        </row>
        <row r="2133">
          <cell r="B2133" t="str">
            <v>SUC EMCALI CENTRO DS</v>
          </cell>
        </row>
        <row r="2134">
          <cell r="B2134" t="str">
            <v>SUC EMCALI COSMOCENTRO DS</v>
          </cell>
        </row>
        <row r="2135">
          <cell r="B2135" t="str">
            <v>SUC EMCALI DS</v>
          </cell>
        </row>
        <row r="2136">
          <cell r="B2136" t="str">
            <v>SUC EMCALI LA RIVIERA</v>
          </cell>
        </row>
        <row r="2137">
          <cell r="B2137" t="str">
            <v>SUC EMCALI YUMBO DS</v>
          </cell>
        </row>
        <row r="2138">
          <cell r="B2138" t="str">
            <v>SUC ENTRERRIOS</v>
          </cell>
        </row>
        <row r="2139">
          <cell r="B2139" t="str">
            <v>SUC ENTRERRIOS DS</v>
          </cell>
        </row>
        <row r="2140">
          <cell r="B2140" t="str">
            <v>SUC ENVIGADO</v>
          </cell>
        </row>
        <row r="2141">
          <cell r="B2141" t="str">
            <v>SUC ENVIGADO DS</v>
          </cell>
        </row>
        <row r="2142">
          <cell r="B2142" t="str">
            <v>SUC ESPINAL</v>
          </cell>
        </row>
        <row r="2143">
          <cell r="B2143" t="str">
            <v>SUC ESPINAL DS</v>
          </cell>
        </row>
        <row r="2144">
          <cell r="B2144" t="str">
            <v>SUC ESTADIO</v>
          </cell>
        </row>
        <row r="2145">
          <cell r="B2145" t="str">
            <v>SUC ESTADIO DS</v>
          </cell>
        </row>
        <row r="2146">
          <cell r="B2146" t="str">
            <v>SUC ETB VILLAVICENCIO DS</v>
          </cell>
        </row>
        <row r="2147">
          <cell r="B2147" t="str">
            <v>SUC EXITO 80</v>
          </cell>
        </row>
        <row r="2148">
          <cell r="B2148" t="str">
            <v>SUC EXITO 80 DS</v>
          </cell>
        </row>
        <row r="2149">
          <cell r="B2149" t="str">
            <v>SUC EXITO BARRANQUILLA</v>
          </cell>
        </row>
        <row r="2150">
          <cell r="B2150" t="str">
            <v>SUC EXITO BARRANQUILLA DS</v>
          </cell>
        </row>
        <row r="2151">
          <cell r="B2151" t="str">
            <v>SUC EXITO BELLO</v>
          </cell>
        </row>
        <row r="2152">
          <cell r="B2152" t="str">
            <v>SUC EXITO BELLO DS</v>
          </cell>
        </row>
        <row r="2153">
          <cell r="B2153" t="str">
            <v>SUC EXITO BOSA</v>
          </cell>
        </row>
        <row r="2154">
          <cell r="B2154" t="str">
            <v>SUC EXITO BOSA DS</v>
          </cell>
        </row>
        <row r="2155">
          <cell r="B2155" t="str">
            <v>SUC EXITO BUCARAMANGA</v>
          </cell>
        </row>
        <row r="2156">
          <cell r="B2156" t="str">
            <v>SUC EXITO BUCARAMANGA 2 DS</v>
          </cell>
        </row>
        <row r="2157">
          <cell r="B2157" t="str">
            <v>SUC EXITO BUCARAMANGA DS</v>
          </cell>
        </row>
        <row r="2158">
          <cell r="B2158" t="str">
            <v>SUC EXITO CALLE 80</v>
          </cell>
        </row>
        <row r="2159">
          <cell r="B2159" t="str">
            <v>SUC EXITO CALLE 80 DS</v>
          </cell>
        </row>
        <row r="2160">
          <cell r="B2160" t="str">
            <v>SUC EXITO CAÑAVERAL</v>
          </cell>
        </row>
        <row r="2161">
          <cell r="B2161" t="str">
            <v>SUC EXITO CAÑAVERAL DS</v>
          </cell>
        </row>
        <row r="2162">
          <cell r="B2162" t="str">
            <v>SUC EXITO COLINA CAMPESTRE</v>
          </cell>
        </row>
        <row r="2163">
          <cell r="B2163" t="str">
            <v>SUC EXITO COLINA CAMPESTRE 2 DS</v>
          </cell>
        </row>
        <row r="2164">
          <cell r="B2164" t="str">
            <v>SUC EXITO COLINA CAMPESTRE DS</v>
          </cell>
        </row>
        <row r="2165">
          <cell r="B2165" t="str">
            <v>SUC EXITO COLOMBIA</v>
          </cell>
        </row>
        <row r="2166">
          <cell r="B2166" t="str">
            <v>SUC EXITO COLOMBIA 2 DS</v>
          </cell>
        </row>
        <row r="2167">
          <cell r="B2167" t="str">
            <v>SUC EXITO COLOMBIA DS</v>
          </cell>
        </row>
        <row r="2168">
          <cell r="B2168" t="str">
            <v>SUC EXITO COUNTRY</v>
          </cell>
        </row>
        <row r="2169">
          <cell r="B2169" t="str">
            <v>SUC EXITO COUNTRY 2 DS</v>
          </cell>
        </row>
        <row r="2170">
          <cell r="B2170" t="str">
            <v>SUC EXITO COUNTRY DS</v>
          </cell>
        </row>
        <row r="2171">
          <cell r="B2171" t="str">
            <v>SUC EXITO DE LAS AMERICAS</v>
          </cell>
        </row>
        <row r="2172">
          <cell r="B2172" t="str">
            <v>SUC EXITO DE LAS AMERICAS DS</v>
          </cell>
        </row>
        <row r="2173">
          <cell r="B2173" t="str">
            <v>SUC EXITO ENVIGADO</v>
          </cell>
        </row>
        <row r="2174">
          <cell r="B2174" t="str">
            <v>SUC EXITO ENVIGADO 2 DS</v>
          </cell>
        </row>
        <row r="2175">
          <cell r="B2175" t="str">
            <v>SUC EXITO ENVIGADO DS</v>
          </cell>
        </row>
        <row r="2176">
          <cell r="B2176" t="str">
            <v>SUC EXITO FONTIBON</v>
          </cell>
        </row>
        <row r="2177">
          <cell r="B2177" t="str">
            <v>SUC EXITO FONTIBON DS</v>
          </cell>
        </row>
        <row r="2178">
          <cell r="B2178" t="str">
            <v>SUC EXITO IBAGUE</v>
          </cell>
        </row>
        <row r="2179">
          <cell r="B2179" t="str">
            <v>SUC EXITO IBAGUE DS</v>
          </cell>
        </row>
        <row r="2180">
          <cell r="B2180" t="str">
            <v>SUC EXITO ITAGUI</v>
          </cell>
        </row>
        <row r="2181">
          <cell r="B2181" t="str">
            <v>SUC EXITO ITAGUI DS</v>
          </cell>
        </row>
        <row r="2182">
          <cell r="B2182" t="str">
            <v>SUC EXITO LA AMERICA DS</v>
          </cell>
        </row>
        <row r="2183">
          <cell r="B2183" t="str">
            <v>SUC EXITO LA FLORA</v>
          </cell>
        </row>
        <row r="2184">
          <cell r="B2184" t="str">
            <v>SUC EXITO LA FLORA 2</v>
          </cell>
        </row>
        <row r="2185">
          <cell r="B2185" t="str">
            <v>SUC EXITO LA FLORA 2 DS</v>
          </cell>
        </row>
        <row r="2186">
          <cell r="B2186" t="str">
            <v>SUC EXITO LA FLORA DS</v>
          </cell>
        </row>
        <row r="2187">
          <cell r="B2187" t="str">
            <v>SUC EXITO LAURELES</v>
          </cell>
        </row>
        <row r="2188">
          <cell r="B2188" t="str">
            <v>SUC EXITO LAURELES 2</v>
          </cell>
        </row>
        <row r="2189">
          <cell r="B2189" t="str">
            <v>SUC EXITO LAURELES DS</v>
          </cell>
        </row>
        <row r="2190">
          <cell r="B2190" t="str">
            <v>SUC EXITO NEIVA</v>
          </cell>
        </row>
        <row r="2191">
          <cell r="B2191" t="str">
            <v>SUC EXITO NEIVA DS</v>
          </cell>
        </row>
        <row r="2192">
          <cell r="B2192" t="str">
            <v>SUC EXITO NORTE</v>
          </cell>
        </row>
        <row r="2193">
          <cell r="B2193" t="str">
            <v>SUC EXITO NORTE DS</v>
          </cell>
        </row>
        <row r="2194">
          <cell r="B2194" t="str">
            <v>SUC EXITO PASTO</v>
          </cell>
        </row>
        <row r="2195">
          <cell r="B2195" t="str">
            <v>SUC EXITO PASTO DS</v>
          </cell>
        </row>
        <row r="2196">
          <cell r="B2196" t="str">
            <v>SUC EXITO PEREIRA</v>
          </cell>
        </row>
        <row r="2197">
          <cell r="B2197" t="str">
            <v>SUC EXITO PEREIRA DS</v>
          </cell>
        </row>
        <row r="2198">
          <cell r="B2198" t="str">
            <v>SUC EXITO POBLADO</v>
          </cell>
        </row>
        <row r="2199">
          <cell r="B2199" t="str">
            <v>SUC EXITO POBLADO 2 DS</v>
          </cell>
        </row>
        <row r="2200">
          <cell r="B2200" t="str">
            <v>SUC EXITO POBLADO DS</v>
          </cell>
        </row>
        <row r="2201">
          <cell r="B2201" t="str">
            <v>SUC EXITO POPAYAN</v>
          </cell>
        </row>
        <row r="2202">
          <cell r="B2202" t="str">
            <v>SUC EXITO POPAYAN DS</v>
          </cell>
        </row>
        <row r="2203">
          <cell r="B2203" t="str">
            <v>SUC EXITO SALITRE</v>
          </cell>
        </row>
        <row r="2204">
          <cell r="B2204" t="str">
            <v>SUC EXITO SALITRE DS</v>
          </cell>
        </row>
        <row r="2205">
          <cell r="B2205" t="str">
            <v>SUC EXITO SAN FERNANDO</v>
          </cell>
        </row>
        <row r="2206">
          <cell r="B2206" t="str">
            <v>SUC EXITO SAN FERNANDO 2</v>
          </cell>
        </row>
        <row r="2207">
          <cell r="B2207" t="str">
            <v>SUC EXITO SAN FERNANDO 2 DS</v>
          </cell>
        </row>
        <row r="2208">
          <cell r="B2208" t="str">
            <v>SUC EXITO SAN FERNANDO DS</v>
          </cell>
        </row>
        <row r="2209">
          <cell r="B2209" t="str">
            <v>SUC EXITO SAN IGNACIO DS</v>
          </cell>
        </row>
        <row r="2210">
          <cell r="B2210" t="str">
            <v>SUC EXITO SUBA</v>
          </cell>
        </row>
        <row r="2211">
          <cell r="B2211" t="str">
            <v>SUC EXITO SUBA 2 DS</v>
          </cell>
        </row>
        <row r="2212">
          <cell r="B2212" t="str">
            <v>SUC EXITO SUBA DS</v>
          </cell>
        </row>
        <row r="2213">
          <cell r="B2213" t="str">
            <v>SUC EXITO UNICENTRO</v>
          </cell>
        </row>
        <row r="2214">
          <cell r="B2214" t="str">
            <v>SUC EXITO UNICENTRO DS</v>
          </cell>
        </row>
        <row r="2215">
          <cell r="B2215" t="str">
            <v>SUC EXITO VILLAVICENCIO</v>
          </cell>
        </row>
        <row r="2216">
          <cell r="B2216" t="str">
            <v>SUC EXITO VILLAVICENCIO DS</v>
          </cell>
        </row>
        <row r="2217">
          <cell r="B2217" t="str">
            <v>SUC EXTENSION UNICENTRO BOGOTA DS</v>
          </cell>
        </row>
        <row r="2218">
          <cell r="B2218" t="str">
            <v>SUC FACATATIVA</v>
          </cell>
        </row>
        <row r="2219">
          <cell r="B2219" t="str">
            <v>SUC FACATATIVA DS</v>
          </cell>
        </row>
        <row r="2220">
          <cell r="B2220" t="str">
            <v>SUC FANALCA DS</v>
          </cell>
        </row>
        <row r="2221">
          <cell r="B2221" t="str">
            <v>SUC FIDUCIARIA BARRANQUILLA DS</v>
          </cell>
        </row>
        <row r="2222">
          <cell r="B2222" t="str">
            <v>SUC FIDUCIARIA CALI DS</v>
          </cell>
        </row>
        <row r="2223">
          <cell r="B2223" t="str">
            <v>SUC FIDUCIARIA OVIEDO DS</v>
          </cell>
        </row>
        <row r="2224">
          <cell r="B2224" t="str">
            <v>SUC FLORENCIA</v>
          </cell>
        </row>
        <row r="2225">
          <cell r="B2225" t="str">
            <v>SUC FLORENCIA DS</v>
          </cell>
        </row>
        <row r="2226">
          <cell r="B2226" t="str">
            <v>SUC FLORESTA</v>
          </cell>
        </row>
        <row r="2227">
          <cell r="B2227" t="str">
            <v>SUC FLORESTA DS</v>
          </cell>
        </row>
        <row r="2228">
          <cell r="B2228" t="str">
            <v>SUC FLORIDA</v>
          </cell>
        </row>
        <row r="2229">
          <cell r="B2229" t="str">
            <v>SUC FLORIDA BLANCA</v>
          </cell>
        </row>
        <row r="2230">
          <cell r="B2230" t="str">
            <v>SUC FLORIDA BLANCA DS</v>
          </cell>
        </row>
        <row r="2231">
          <cell r="B2231" t="str">
            <v>SUC FLORIDA DS</v>
          </cell>
        </row>
        <row r="2232">
          <cell r="B2232" t="str">
            <v>SUC FONDO NACIONAL DEL AHORRO DS</v>
          </cell>
        </row>
        <row r="2233">
          <cell r="B2233" t="str">
            <v>SUC FONSECA</v>
          </cell>
        </row>
        <row r="2234">
          <cell r="B2234" t="str">
            <v>SUC FONSECA  DS</v>
          </cell>
        </row>
        <row r="2235">
          <cell r="B2235" t="str">
            <v>SUC FONTIBON</v>
          </cell>
        </row>
        <row r="2236">
          <cell r="B2236" t="str">
            <v>SUC FONTIBON CARRERA 100</v>
          </cell>
        </row>
        <row r="2237">
          <cell r="B2237" t="str">
            <v>SUC FONTIBON CARRERA 100 DS</v>
          </cell>
        </row>
        <row r="2238">
          <cell r="B2238" t="str">
            <v>SUC FONTIBON DS</v>
          </cell>
        </row>
        <row r="2239">
          <cell r="B2239" t="str">
            <v>SUC FREDONIA</v>
          </cell>
        </row>
        <row r="2240">
          <cell r="B2240" t="str">
            <v>SUC FREDONIA DS</v>
          </cell>
        </row>
        <row r="2241">
          <cell r="B2241" t="str">
            <v>SUC FRESNO</v>
          </cell>
        </row>
        <row r="2242">
          <cell r="B2242" t="str">
            <v>SUC FRESNO DS</v>
          </cell>
        </row>
        <row r="2243">
          <cell r="B2243" t="str">
            <v>SUC FRIGORIFICO DS</v>
          </cell>
        </row>
        <row r="2244">
          <cell r="B2244" t="str">
            <v>SUC FUNDADORES MANIZALES</v>
          </cell>
        </row>
        <row r="2245">
          <cell r="B2245" t="str">
            <v>SUC FUNDADORES MANIZALES DS</v>
          </cell>
        </row>
        <row r="2246">
          <cell r="B2246" t="str">
            <v>SUC FUNZA</v>
          </cell>
        </row>
        <row r="2247">
          <cell r="B2247" t="str">
            <v>SUC FUNZA DS</v>
          </cell>
        </row>
        <row r="2248">
          <cell r="B2248" t="str">
            <v>SUC FUSAGASUGA</v>
          </cell>
        </row>
        <row r="2249">
          <cell r="B2249" t="str">
            <v>SUC FUSAGASUGA DS</v>
          </cell>
        </row>
        <row r="2250">
          <cell r="B2250" t="str">
            <v>SUC GACHANCIPA DS</v>
          </cell>
        </row>
        <row r="2251">
          <cell r="B2251" t="str">
            <v>SUC GAITAN</v>
          </cell>
        </row>
        <row r="2252">
          <cell r="B2252" t="str">
            <v>SUC GAITAN DS</v>
          </cell>
        </row>
        <row r="2253">
          <cell r="B2253" t="str">
            <v>SUC GALAPA DS</v>
          </cell>
        </row>
        <row r="2254">
          <cell r="B2254" t="str">
            <v>SUC GALERIAS</v>
          </cell>
        </row>
        <row r="2255">
          <cell r="B2255" t="str">
            <v>SUC GALERIAS DS</v>
          </cell>
        </row>
        <row r="2256">
          <cell r="B2256" t="str">
            <v>SUC GARAGOA</v>
          </cell>
        </row>
        <row r="2257">
          <cell r="B2257" t="str">
            <v>SUC GARAGOA DS</v>
          </cell>
        </row>
        <row r="2258">
          <cell r="B2258" t="str">
            <v>SUC GARZON</v>
          </cell>
        </row>
        <row r="2259">
          <cell r="B2259" t="str">
            <v>SUC GARZON DS</v>
          </cell>
        </row>
        <row r="2260">
          <cell r="B2260" t="str">
            <v>SUC GIGANTE DS</v>
          </cell>
        </row>
        <row r="2261">
          <cell r="B2261" t="str">
            <v>SUC GIRARDOT 2</v>
          </cell>
        </row>
        <row r="2262">
          <cell r="B2262" t="str">
            <v>SUC GIRARDOT 2 DS</v>
          </cell>
        </row>
        <row r="2263">
          <cell r="B2263" t="str">
            <v>SUC GIRARDOTA</v>
          </cell>
        </row>
        <row r="2264">
          <cell r="B2264" t="str">
            <v>SUC GIRARDOTA DS</v>
          </cell>
        </row>
        <row r="2265">
          <cell r="B2265" t="str">
            <v>SUC GIRON</v>
          </cell>
        </row>
        <row r="2266">
          <cell r="B2266" t="str">
            <v>SUC GIRON DS</v>
          </cell>
        </row>
        <row r="2267">
          <cell r="B2267" t="str">
            <v>SUC GRAN ESTACION</v>
          </cell>
        </row>
        <row r="2268">
          <cell r="B2268" t="str">
            <v>SUC GRAN ESTACION DS</v>
          </cell>
        </row>
        <row r="2269">
          <cell r="B2269" t="str">
            <v>SUC GRANADA CALI</v>
          </cell>
        </row>
        <row r="2270">
          <cell r="B2270" t="str">
            <v>SUC GRANADA CALI DS</v>
          </cell>
        </row>
        <row r="2271">
          <cell r="B2271" t="str">
            <v>SUC GRANADA META</v>
          </cell>
        </row>
        <row r="2272">
          <cell r="B2272" t="str">
            <v>SUC GRANADA META DS</v>
          </cell>
        </row>
        <row r="2273">
          <cell r="B2273" t="str">
            <v>SUC GRANCENTRO</v>
          </cell>
        </row>
        <row r="2274">
          <cell r="B2274" t="str">
            <v>SUC GRANCENTRO DS</v>
          </cell>
        </row>
        <row r="2275">
          <cell r="B2275" t="str">
            <v>SUC GUACHENE</v>
          </cell>
        </row>
        <row r="2276">
          <cell r="B2276" t="str">
            <v>SUC GUACHETA DS</v>
          </cell>
        </row>
        <row r="2277">
          <cell r="B2277" t="str">
            <v>SUC GUARNE</v>
          </cell>
        </row>
        <row r="2278">
          <cell r="B2278" t="str">
            <v>SUC GUARNE DS</v>
          </cell>
        </row>
        <row r="2279">
          <cell r="B2279" t="str">
            <v>SUC GUASCA DS</v>
          </cell>
        </row>
        <row r="2280">
          <cell r="B2280" t="str">
            <v>SUC GUATAPURI</v>
          </cell>
        </row>
        <row r="2281">
          <cell r="B2281" t="str">
            <v>SUC GUATAPURI DS</v>
          </cell>
        </row>
        <row r="2282">
          <cell r="B2282" t="str">
            <v>SUC GUAYABAL</v>
          </cell>
        </row>
        <row r="2283">
          <cell r="B2283" t="str">
            <v>SUC GUAYABAL DS</v>
          </cell>
        </row>
        <row r="2284">
          <cell r="B2284" t="str">
            <v>SUC GUAYAQUIL</v>
          </cell>
        </row>
        <row r="2285">
          <cell r="B2285" t="str">
            <v>SUC GUAYAQUIL DS</v>
          </cell>
        </row>
        <row r="2286">
          <cell r="B2286" t="str">
            <v>SUC HATONUEVO DS</v>
          </cell>
        </row>
        <row r="2287">
          <cell r="B2287" t="str">
            <v>SUC HINO MOTORS DS</v>
          </cell>
        </row>
        <row r="2288">
          <cell r="B2288" t="str">
            <v>SUC HONDA</v>
          </cell>
        </row>
        <row r="2289">
          <cell r="B2289" t="str">
            <v>SUC HONDA DS</v>
          </cell>
        </row>
        <row r="2290">
          <cell r="B2290" t="str">
            <v>SUC HOSPITAL GENERAL DS</v>
          </cell>
        </row>
        <row r="2291">
          <cell r="B2291" t="str">
            <v>SUC HOSPITAL PABLO TOBON URIBE</v>
          </cell>
        </row>
        <row r="2292">
          <cell r="B2292" t="str">
            <v>SUC HOSPITAL PABLO TOBON URIBE DS</v>
          </cell>
        </row>
        <row r="2293">
          <cell r="B2293" t="str">
            <v>SUC HOTEL TEQUENDAMA</v>
          </cell>
        </row>
        <row r="2294">
          <cell r="B2294" t="str">
            <v>SUC HOTEL TEQUENDAMA DS</v>
          </cell>
        </row>
        <row r="2295">
          <cell r="B2295" t="str">
            <v>SUC IBAGUE</v>
          </cell>
        </row>
        <row r="2296">
          <cell r="B2296" t="str">
            <v>SUC IBAGUE DS</v>
          </cell>
        </row>
        <row r="2297">
          <cell r="B2297" t="str">
            <v>SUC INDEGA BOGOTA NORTE DS</v>
          </cell>
        </row>
        <row r="2298">
          <cell r="B2298" t="str">
            <v>SUC INDEGA BOGOTA SUR DS</v>
          </cell>
        </row>
        <row r="2299">
          <cell r="B2299" t="str">
            <v>SUC INDEGA GIRARDOT DS</v>
          </cell>
        </row>
        <row r="2300">
          <cell r="B2300" t="str">
            <v>SUC INDEGA PASTO DS</v>
          </cell>
        </row>
        <row r="2301">
          <cell r="B2301" t="str">
            <v>SUC IPIALES</v>
          </cell>
        </row>
        <row r="2302">
          <cell r="B2302" t="str">
            <v>SUC IPIALES DS</v>
          </cell>
        </row>
        <row r="2303">
          <cell r="B2303" t="str">
            <v>SUC ISA DS</v>
          </cell>
        </row>
        <row r="2304">
          <cell r="B2304" t="str">
            <v>SUC ITAGUI</v>
          </cell>
        </row>
        <row r="2305">
          <cell r="B2305" t="str">
            <v>SUC ITAGUI DS</v>
          </cell>
        </row>
        <row r="2306">
          <cell r="B2306" t="str">
            <v>SUC ITAGUI PARQUE</v>
          </cell>
        </row>
        <row r="2307">
          <cell r="B2307" t="str">
            <v>SUC ITAGUI PARQUE DS</v>
          </cell>
        </row>
        <row r="2308">
          <cell r="B2308" t="str">
            <v>SUC IWANA</v>
          </cell>
        </row>
        <row r="2309">
          <cell r="B2309" t="str">
            <v>SUC IWANA DS</v>
          </cell>
        </row>
        <row r="2310">
          <cell r="B2310" t="str">
            <v>SUC JAMUNDI</v>
          </cell>
        </row>
        <row r="2311">
          <cell r="B2311" t="str">
            <v>SUC JAMUNDI DS</v>
          </cell>
        </row>
        <row r="2312">
          <cell r="B2312" t="str">
            <v>SUC JARDIN DS</v>
          </cell>
        </row>
        <row r="2313">
          <cell r="B2313" t="str">
            <v>SUC JARDIN PLAZA</v>
          </cell>
        </row>
        <row r="2314">
          <cell r="B2314" t="str">
            <v>SUC JARDIN PLAZA DS</v>
          </cell>
        </row>
        <row r="2315">
          <cell r="B2315" t="str">
            <v>SUC JAVERIANA DS</v>
          </cell>
        </row>
        <row r="2316">
          <cell r="B2316" t="str">
            <v>SUC JOHNSON &amp; JOHNSON YUMBO DS</v>
          </cell>
        </row>
        <row r="2317">
          <cell r="B2317" t="str">
            <v>SUC JORGE TADEO LOZANO DS</v>
          </cell>
        </row>
        <row r="2318">
          <cell r="B2318" t="str">
            <v>SUC LA 14 VALLE DEL LILI</v>
          </cell>
        </row>
        <row r="2319">
          <cell r="B2319" t="str">
            <v>SUC LA 14 VALLE DEL LILI DS</v>
          </cell>
        </row>
        <row r="2320">
          <cell r="B2320" t="str">
            <v>SUC LA AGUACATALA</v>
          </cell>
        </row>
        <row r="2321">
          <cell r="B2321" t="str">
            <v>SUC LA AGUACATALA DS</v>
          </cell>
        </row>
        <row r="2322">
          <cell r="B2322" t="str">
            <v>SUC LA AMERICA</v>
          </cell>
        </row>
        <row r="2323">
          <cell r="B2323" t="str">
            <v>SUC LA AMERICA DS</v>
          </cell>
        </row>
        <row r="2324">
          <cell r="B2324" t="str">
            <v>SUC LA CALERA</v>
          </cell>
        </row>
        <row r="2325">
          <cell r="B2325" t="str">
            <v>SUC LA CALERA DS</v>
          </cell>
        </row>
        <row r="2326">
          <cell r="B2326" t="str">
            <v>SUC LA CANDELARIA</v>
          </cell>
        </row>
        <row r="2327">
          <cell r="B2327" t="str">
            <v>SUC LA CANDELARIA DS</v>
          </cell>
        </row>
        <row r="2328">
          <cell r="B2328" t="str">
            <v>SUC LA CAROLINA  UNICENTRO</v>
          </cell>
        </row>
        <row r="2329">
          <cell r="B2329" t="str">
            <v>SUC LA CAROLINA UNICENTRO DS</v>
          </cell>
        </row>
        <row r="2330">
          <cell r="B2330" t="str">
            <v>SUC LA CEJA</v>
          </cell>
        </row>
        <row r="2331">
          <cell r="B2331" t="str">
            <v>SUC LA CEJA DS</v>
          </cell>
        </row>
        <row r="2332">
          <cell r="B2332" t="str">
            <v>SUC LA DORADA</v>
          </cell>
        </row>
        <row r="2333">
          <cell r="B2333" t="str">
            <v>SUC LA DORADA DS</v>
          </cell>
        </row>
        <row r="2334">
          <cell r="B2334" t="str">
            <v>SUC LA ERMITA</v>
          </cell>
        </row>
        <row r="2335">
          <cell r="B2335" t="str">
            <v>SUC LA ERMITA DS</v>
          </cell>
        </row>
        <row r="2336">
          <cell r="B2336" t="str">
            <v>SUC LA ESTRELLA</v>
          </cell>
        </row>
        <row r="2337">
          <cell r="B2337" t="str">
            <v>SUC LA ESTRELLA DS</v>
          </cell>
        </row>
        <row r="2338">
          <cell r="B2338" t="str">
            <v>SUC LA FLORA</v>
          </cell>
        </row>
        <row r="2339">
          <cell r="B2339" t="str">
            <v>SUC LA FLORA DS</v>
          </cell>
        </row>
        <row r="2340">
          <cell r="B2340" t="str">
            <v>SUC LA FRONTERA</v>
          </cell>
        </row>
        <row r="2341">
          <cell r="B2341" t="str">
            <v>SUC LA FRONTERA DS</v>
          </cell>
        </row>
        <row r="2342">
          <cell r="B2342" t="str">
            <v>SUC LA GUACATALA</v>
          </cell>
        </row>
        <row r="2343">
          <cell r="B2343" t="str">
            <v>SUC LA HERRADURA</v>
          </cell>
        </row>
        <row r="2344">
          <cell r="B2344" t="str">
            <v>SUC LA HERRADURA DS</v>
          </cell>
        </row>
        <row r="2345">
          <cell r="B2345" t="str">
            <v>SUC LA LOMA DS</v>
          </cell>
        </row>
        <row r="2346">
          <cell r="B2346" t="str">
            <v>SUC LA LUNA</v>
          </cell>
        </row>
        <row r="2347">
          <cell r="B2347" t="str">
            <v>SUC LA LUNA DS</v>
          </cell>
        </row>
        <row r="2348">
          <cell r="B2348" t="str">
            <v>SUC LA MESA</v>
          </cell>
        </row>
        <row r="2349">
          <cell r="B2349" t="str">
            <v>SUC LA MESA DS</v>
          </cell>
        </row>
        <row r="2350">
          <cell r="B2350" t="str">
            <v>SUC LA MOTA</v>
          </cell>
        </row>
        <row r="2351">
          <cell r="B2351" t="str">
            <v>SUC LA MOTA DS</v>
          </cell>
        </row>
        <row r="2352">
          <cell r="B2352" t="str">
            <v>SUC LA PLATA</v>
          </cell>
        </row>
        <row r="2353">
          <cell r="B2353" t="str">
            <v>SUC LA PLATA DS</v>
          </cell>
        </row>
        <row r="2354">
          <cell r="B2354" t="str">
            <v>SUC LA PLAYA</v>
          </cell>
        </row>
        <row r="2355">
          <cell r="B2355" t="str">
            <v>SUC LA PLAYA DS</v>
          </cell>
        </row>
        <row r="2356">
          <cell r="B2356" t="str">
            <v>SUC LA PORCIUNCULA</v>
          </cell>
        </row>
        <row r="2357">
          <cell r="B2357" t="str">
            <v>SUC LA PORCIUNCULA DS</v>
          </cell>
        </row>
        <row r="2358">
          <cell r="B2358" t="str">
            <v>SUC LA QUINTA</v>
          </cell>
        </row>
        <row r="2359">
          <cell r="B2359" t="str">
            <v>SUC LA QUINTA DS</v>
          </cell>
        </row>
        <row r="2360">
          <cell r="B2360" t="str">
            <v>SUC LA RIVIERA</v>
          </cell>
        </row>
        <row r="2361">
          <cell r="B2361" t="str">
            <v>SUC LA RIVIERA DS</v>
          </cell>
        </row>
        <row r="2362">
          <cell r="B2362" t="str">
            <v>SUC LA SABANA DS</v>
          </cell>
        </row>
        <row r="2363">
          <cell r="B2363" t="str">
            <v>SUC LA SALLE</v>
          </cell>
        </row>
        <row r="2364">
          <cell r="B2364" t="str">
            <v>SUC LA SALLE  DS</v>
          </cell>
        </row>
        <row r="2365">
          <cell r="B2365" t="str">
            <v>SUC LA SEVILLANA</v>
          </cell>
        </row>
        <row r="2366">
          <cell r="B2366" t="str">
            <v>SUC LA SEVILLANA DS</v>
          </cell>
        </row>
        <row r="2367">
          <cell r="B2367" t="str">
            <v>SUC LA SOLEDAD BOGOTA</v>
          </cell>
        </row>
        <row r="2368">
          <cell r="B2368" t="str">
            <v>SUC LA SOLEDAD BOGOTA DS</v>
          </cell>
        </row>
        <row r="2369">
          <cell r="B2369" t="str">
            <v>SUC LA UNION</v>
          </cell>
        </row>
        <row r="2370">
          <cell r="B2370" t="str">
            <v>SUC LA UNION ANTIOQUIA</v>
          </cell>
        </row>
        <row r="2371">
          <cell r="B2371" t="str">
            <v>SUC LA UNION ANTIOQUIA DS</v>
          </cell>
        </row>
        <row r="2372">
          <cell r="B2372" t="str">
            <v>SUC LA UNION DS</v>
          </cell>
        </row>
        <row r="2373">
          <cell r="B2373" t="str">
            <v>SUC LA UNION NARI#O</v>
          </cell>
        </row>
        <row r="2374">
          <cell r="B2374" t="str">
            <v>SUC LA UNION NARI#O DS</v>
          </cell>
        </row>
        <row r="2375">
          <cell r="B2375" t="str">
            <v>SUC LA VEGA</v>
          </cell>
        </row>
        <row r="2376">
          <cell r="B2376" t="str">
            <v>SUC LA VEGA DS</v>
          </cell>
        </row>
        <row r="2377">
          <cell r="B2377" t="str">
            <v>SUC LA VICTORIA BARRANQUILLA</v>
          </cell>
        </row>
        <row r="2378">
          <cell r="B2378" t="str">
            <v>SUC LA VICTORIA BARRANQUILLA DS</v>
          </cell>
        </row>
        <row r="2379">
          <cell r="B2379" t="str">
            <v>SUC LAS AGUAS</v>
          </cell>
        </row>
        <row r="2380">
          <cell r="B2380" t="str">
            <v>SUC LAS AGUAS DS</v>
          </cell>
        </row>
        <row r="2381">
          <cell r="B2381" t="str">
            <v>SUC LAS AMERICAS</v>
          </cell>
        </row>
        <row r="2382">
          <cell r="B2382" t="str">
            <v>SUC LAS AMERICAS DS</v>
          </cell>
        </row>
        <row r="2383">
          <cell r="B2383" t="str">
            <v>SUC LAS CRUCES</v>
          </cell>
        </row>
        <row r="2384">
          <cell r="B2384" t="str">
            <v>SUC LAS FERIAS</v>
          </cell>
        </row>
        <row r="2385">
          <cell r="B2385" t="str">
            <v>SUC LAS FERIAS DS</v>
          </cell>
        </row>
        <row r="2386">
          <cell r="B2386" t="str">
            <v>SUC LAS GRANJAS</v>
          </cell>
        </row>
        <row r="2387">
          <cell r="B2387" t="str">
            <v>SUC LAS GRANJAS DS</v>
          </cell>
        </row>
        <row r="2388">
          <cell r="B2388" t="str">
            <v>SUC LAS PALMAS</v>
          </cell>
        </row>
        <row r="2389">
          <cell r="B2389" t="str">
            <v>SUC LAS PALMAS DS</v>
          </cell>
        </row>
        <row r="2390">
          <cell r="B2390" t="str">
            <v>SUC LAS PEÑITAS SINCELEJO</v>
          </cell>
        </row>
        <row r="2391">
          <cell r="B2391" t="str">
            <v>SUC LAS PEÑITAS SINCELEJO DS</v>
          </cell>
        </row>
        <row r="2392">
          <cell r="B2392" t="str">
            <v>SUC LAURELES</v>
          </cell>
        </row>
        <row r="2393">
          <cell r="B2393" t="str">
            <v>SUC LAURELES DS</v>
          </cell>
        </row>
        <row r="2394">
          <cell r="B2394" t="str">
            <v>SUC LEBRIJA</v>
          </cell>
        </row>
        <row r="2395">
          <cell r="B2395" t="str">
            <v>SUC LEBRIJA DS</v>
          </cell>
        </row>
        <row r="2396">
          <cell r="B2396" t="str">
            <v>SUC LETICIA</v>
          </cell>
        </row>
        <row r="2397">
          <cell r="B2397" t="str">
            <v>SUC LETICIA DS</v>
          </cell>
        </row>
        <row r="2398">
          <cell r="B2398" t="str">
            <v>SUC LEY SALITRE DS</v>
          </cell>
        </row>
        <row r="2399">
          <cell r="B2399" t="str">
            <v>SUC LIBANO</v>
          </cell>
        </row>
        <row r="2400">
          <cell r="B2400" t="str">
            <v>SUC LIBANO DS</v>
          </cell>
        </row>
        <row r="2401">
          <cell r="B2401" t="str">
            <v>SUC LIBERTADORES</v>
          </cell>
        </row>
        <row r="2402">
          <cell r="B2402" t="str">
            <v>SUC LIBERTADORES DS</v>
          </cell>
        </row>
        <row r="2403">
          <cell r="B2403" t="str">
            <v>SUC LLANOGRANDE PALMIRA</v>
          </cell>
        </row>
        <row r="2404">
          <cell r="B2404" t="str">
            <v>SUC LLANOGRANDE PALMIRA DS</v>
          </cell>
        </row>
        <row r="2405">
          <cell r="B2405" t="str">
            <v>SUC LOPEZ DE GALARZA</v>
          </cell>
        </row>
        <row r="2406">
          <cell r="B2406" t="str">
            <v>SUC LOPEZ DE GALARZA DS</v>
          </cell>
        </row>
        <row r="2407">
          <cell r="B2407" t="str">
            <v>SUC LORICA</v>
          </cell>
        </row>
        <row r="2408">
          <cell r="B2408" t="str">
            <v>SUC LORICA DS</v>
          </cell>
        </row>
        <row r="2409">
          <cell r="B2409" t="str">
            <v>SUC LOS ALCAZARES</v>
          </cell>
        </row>
        <row r="2410">
          <cell r="B2410" t="str">
            <v>SUC LOS ALCAZARES DS</v>
          </cell>
        </row>
        <row r="2411">
          <cell r="B2411" t="str">
            <v>SUC LOS BONGOS</v>
          </cell>
        </row>
        <row r="2412">
          <cell r="B2412" t="str">
            <v>SUC LOS BONGOS DS</v>
          </cell>
        </row>
        <row r="2413">
          <cell r="B2413" t="str">
            <v>SUC LOS DUJOS</v>
          </cell>
        </row>
        <row r="2414">
          <cell r="B2414" t="str">
            <v>SUC LOS DUJOS DS</v>
          </cell>
        </row>
        <row r="2415">
          <cell r="B2415" t="str">
            <v>SUC LOS MOLINOS</v>
          </cell>
        </row>
        <row r="2416">
          <cell r="B2416" t="str">
            <v>SUC LOS MOLINOS DS</v>
          </cell>
        </row>
        <row r="2417">
          <cell r="B2417" t="str">
            <v>SUC LOS PATIOS</v>
          </cell>
        </row>
        <row r="2418">
          <cell r="B2418" t="str">
            <v>SUC LOURDES DS</v>
          </cell>
        </row>
        <row r="2419">
          <cell r="B2419" t="str">
            <v>SUC MADRID</v>
          </cell>
        </row>
        <row r="2420">
          <cell r="B2420" t="str">
            <v>SUC MADRID DS</v>
          </cell>
        </row>
        <row r="2421">
          <cell r="B2421" t="str">
            <v>SUC MAGANGUE</v>
          </cell>
        </row>
        <row r="2422">
          <cell r="B2422" t="str">
            <v>SUC MAGANGUE DS</v>
          </cell>
        </row>
        <row r="2423">
          <cell r="B2423" t="str">
            <v>SUC MAICAO</v>
          </cell>
        </row>
        <row r="2424">
          <cell r="B2424" t="str">
            <v>SUC MAICAO DS</v>
          </cell>
        </row>
        <row r="2425">
          <cell r="B2425" t="str">
            <v>SUC MAIZARO</v>
          </cell>
        </row>
        <row r="2426">
          <cell r="B2426" t="str">
            <v>SUC MAIZARO DS</v>
          </cell>
        </row>
        <row r="2427">
          <cell r="B2427" t="str">
            <v>SUC MALAGA</v>
          </cell>
        </row>
        <row r="2428">
          <cell r="B2428" t="str">
            <v>SUC MALAGA DS</v>
          </cell>
        </row>
        <row r="2429">
          <cell r="B2429" t="str">
            <v>SUC MALL PLAZA DEL CASTILLO</v>
          </cell>
        </row>
        <row r="2430">
          <cell r="B2430" t="str">
            <v>SUC MALL PLAZA DEL CASTILLO DS</v>
          </cell>
        </row>
        <row r="2431">
          <cell r="B2431" t="str">
            <v>SUC MANAURE DS</v>
          </cell>
        </row>
        <row r="2432">
          <cell r="B2432" t="str">
            <v>SUC MANGA</v>
          </cell>
        </row>
        <row r="2433">
          <cell r="B2433" t="str">
            <v>SUC MANGA DS</v>
          </cell>
        </row>
        <row r="2434">
          <cell r="B2434" t="str">
            <v>SUC MANI DS</v>
          </cell>
        </row>
        <row r="2435">
          <cell r="B2435" t="str">
            <v>SUC MANIZALES</v>
          </cell>
        </row>
        <row r="2436">
          <cell r="B2436" t="str">
            <v>SUC MANIZALES DS</v>
          </cell>
        </row>
        <row r="2437">
          <cell r="B2437" t="str">
            <v>SUC MANRIQUE</v>
          </cell>
        </row>
        <row r="2438">
          <cell r="B2438" t="str">
            <v>SUC MANRIQUE DS</v>
          </cell>
        </row>
        <row r="2439">
          <cell r="B2439" t="str">
            <v>SUC MANSAROVAR DS</v>
          </cell>
        </row>
        <row r="2440">
          <cell r="B2440" t="str">
            <v>SUC MARINILLA</v>
          </cell>
        </row>
        <row r="2441">
          <cell r="B2441" t="str">
            <v>SUC MARINILLA DS</v>
          </cell>
        </row>
        <row r="2442">
          <cell r="B2442" t="str">
            <v>SUC MARIQUITA</v>
          </cell>
        </row>
        <row r="2443">
          <cell r="B2443" t="str">
            <v>SUC MARIQUITA DS</v>
          </cell>
        </row>
        <row r="2444">
          <cell r="B2444" t="str">
            <v>SUC MARLY</v>
          </cell>
        </row>
        <row r="2445">
          <cell r="B2445" t="str">
            <v>SUC MARLY DS</v>
          </cell>
        </row>
        <row r="2446">
          <cell r="B2446" t="str">
            <v>SUC MEGACITY</v>
          </cell>
        </row>
        <row r="2447">
          <cell r="B2447" t="str">
            <v>SUC MEGACITY DS</v>
          </cell>
        </row>
        <row r="2448">
          <cell r="B2448" t="str">
            <v>SUC MEGAMALL</v>
          </cell>
        </row>
        <row r="2449">
          <cell r="B2449" t="str">
            <v>SUC MEGAMALL DS</v>
          </cell>
        </row>
        <row r="2450">
          <cell r="B2450" t="str">
            <v>SUC MELGAR</v>
          </cell>
        </row>
        <row r="2451">
          <cell r="B2451" t="str">
            <v>SUC MELGAR DS</v>
          </cell>
        </row>
        <row r="2452">
          <cell r="B2452" t="str">
            <v>SUC MERCANTIL</v>
          </cell>
        </row>
        <row r="2453">
          <cell r="B2453" t="str">
            <v>SUC MERCANTIL DS</v>
          </cell>
        </row>
        <row r="2454">
          <cell r="B2454" t="str">
            <v>SUC MERCURIO PLAZA</v>
          </cell>
        </row>
        <row r="2455">
          <cell r="B2455" t="str">
            <v>SUC MERCURIO PLAZA DS</v>
          </cell>
        </row>
        <row r="2456">
          <cell r="B2456" t="str">
            <v>SUC METROKIA DS</v>
          </cell>
        </row>
        <row r="2457">
          <cell r="B2457" t="str">
            <v>SUC METROPOLIS</v>
          </cell>
        </row>
        <row r="2458">
          <cell r="B2458" t="str">
            <v>SUC METROPOLIS DS</v>
          </cell>
        </row>
        <row r="2459">
          <cell r="B2459" t="str">
            <v>SUC MILENIO PLAZA</v>
          </cell>
        </row>
        <row r="2460">
          <cell r="B2460" t="str">
            <v>SUC MILENIO PLAZA DS</v>
          </cell>
        </row>
        <row r="2461">
          <cell r="B2461" t="str">
            <v>SUC MINGUEO -DIBULLA DS</v>
          </cell>
        </row>
        <row r="2462">
          <cell r="B2462" t="str">
            <v>SUC MIRAMAR</v>
          </cell>
        </row>
        <row r="2463">
          <cell r="B2463" t="str">
            <v>SUC MIRAMAR DS</v>
          </cell>
        </row>
        <row r="2464">
          <cell r="B2464" t="str">
            <v>SUC MIRANDA CAUCA DS</v>
          </cell>
        </row>
        <row r="2465">
          <cell r="B2465" t="str">
            <v>SUC MIX VIA 40</v>
          </cell>
        </row>
        <row r="2466">
          <cell r="B2466" t="str">
            <v>SUC MIX VIA 40 DS</v>
          </cell>
        </row>
        <row r="2467">
          <cell r="B2467" t="str">
            <v>SUC MODELIA</v>
          </cell>
        </row>
        <row r="2468">
          <cell r="B2468" t="str">
            <v>SUC MODELIA DS</v>
          </cell>
        </row>
        <row r="2469">
          <cell r="B2469" t="str">
            <v>SUC MONOMEROS DS</v>
          </cell>
        </row>
        <row r="2470">
          <cell r="B2470" t="str">
            <v>SUC MONTELIBANO</v>
          </cell>
        </row>
        <row r="2471">
          <cell r="B2471" t="str">
            <v>SUC MONTELIBANO DS</v>
          </cell>
        </row>
        <row r="2472">
          <cell r="B2472" t="str">
            <v>SUC MONTENEGRO</v>
          </cell>
        </row>
        <row r="2473">
          <cell r="B2473" t="str">
            <v>SUC MONTENEGRO DS</v>
          </cell>
        </row>
        <row r="2474">
          <cell r="B2474" t="str">
            <v>SUC MONTERIA</v>
          </cell>
        </row>
        <row r="2475">
          <cell r="B2475" t="str">
            <v>SUC MONTERIA DS</v>
          </cell>
        </row>
        <row r="2476">
          <cell r="B2476" t="str">
            <v>SUC MONTEVIDEO</v>
          </cell>
        </row>
        <row r="2477">
          <cell r="B2477" t="str">
            <v>SUC MONTEVIDEO DS</v>
          </cell>
        </row>
        <row r="2478">
          <cell r="B2478" t="str">
            <v>SUC MORATO</v>
          </cell>
        </row>
        <row r="2479">
          <cell r="B2479" t="str">
            <v>SUC MORATO DS</v>
          </cell>
        </row>
        <row r="2480">
          <cell r="B2480" t="str">
            <v>SUC MORICHAL DS</v>
          </cell>
        </row>
        <row r="2481">
          <cell r="B2481" t="str">
            <v>SUC MORICHAL PLAZA</v>
          </cell>
        </row>
        <row r="2482">
          <cell r="B2482" t="str">
            <v>SUC MOSQUERA</v>
          </cell>
        </row>
        <row r="2483">
          <cell r="B2483" t="str">
            <v>SUC MOSQUERA DS</v>
          </cell>
        </row>
        <row r="2484">
          <cell r="B2484" t="str">
            <v>SUC MUELLES DEL BOSQUE DS</v>
          </cell>
        </row>
        <row r="2485">
          <cell r="B2485" t="str">
            <v>SUC MULTICENTRO IBAGUE</v>
          </cell>
        </row>
        <row r="2486">
          <cell r="B2486" t="str">
            <v>SUC MULTICENTRO IBAGUE 2 DS</v>
          </cell>
        </row>
        <row r="2487">
          <cell r="B2487" t="str">
            <v>SUC MULTICENTRO IBAGUE DS</v>
          </cell>
        </row>
        <row r="2488">
          <cell r="B2488" t="str">
            <v>SUC MULTIPLAZA DRIVE</v>
          </cell>
        </row>
        <row r="2489">
          <cell r="B2489" t="str">
            <v>SUC MULTIPLAZA DRIVE DS</v>
          </cell>
        </row>
        <row r="2490">
          <cell r="B2490" t="str">
            <v>SUC MUNICIPIO DE MEDELLIN DS</v>
          </cell>
        </row>
        <row r="2491">
          <cell r="B2491" t="str">
            <v>SUC MURILLO</v>
          </cell>
        </row>
        <row r="2492">
          <cell r="B2492" t="str">
            <v>SUC MURILLO DS</v>
          </cell>
        </row>
        <row r="2493">
          <cell r="B2493" t="str">
            <v>SUC NECOCLI DS</v>
          </cell>
        </row>
        <row r="2494">
          <cell r="B2494" t="str">
            <v>SUC NEIVA</v>
          </cell>
        </row>
        <row r="2495">
          <cell r="B2495" t="str">
            <v>SUC NEIVA DS</v>
          </cell>
        </row>
        <row r="2496">
          <cell r="B2496" t="str">
            <v>SUC NEMOCON</v>
          </cell>
        </row>
        <row r="2497">
          <cell r="B2497" t="str">
            <v>SUC NEMOCON DS</v>
          </cell>
        </row>
        <row r="2498">
          <cell r="B2498" t="str">
            <v>SUC NISSAN DS</v>
          </cell>
        </row>
        <row r="2499">
          <cell r="B2499" t="str">
            <v>SUC NIZA</v>
          </cell>
        </row>
        <row r="2500">
          <cell r="B2500" t="str">
            <v>SUC NIZA DS</v>
          </cell>
        </row>
        <row r="2501">
          <cell r="B2501" t="str">
            <v>SUC NORMANDIA</v>
          </cell>
        </row>
        <row r="2502">
          <cell r="B2502" t="str">
            <v>SUC NORMANDIA DS</v>
          </cell>
        </row>
        <row r="2503">
          <cell r="B2503" t="str">
            <v>SUC OCANA</v>
          </cell>
        </row>
        <row r="2504">
          <cell r="B2504" t="str">
            <v>SUC OCANA DS</v>
          </cell>
        </row>
        <row r="2505">
          <cell r="B2505" t="str">
            <v>SUC OCEAN MALL</v>
          </cell>
        </row>
        <row r="2506">
          <cell r="B2506" t="str">
            <v>SUC OCEAN MALL DS</v>
          </cell>
        </row>
        <row r="2507">
          <cell r="B2507" t="str">
            <v>SUC OESTE</v>
          </cell>
        </row>
        <row r="2508">
          <cell r="B2508" t="str">
            <v>SUC OESTE DS</v>
          </cell>
        </row>
        <row r="2509">
          <cell r="B2509" t="str">
            <v>SUC OLAYA HERRERA B/QUILLA</v>
          </cell>
        </row>
        <row r="2510">
          <cell r="B2510" t="str">
            <v>SUC OLAYA HERRERA B/QUILLA DS</v>
          </cell>
        </row>
        <row r="2511">
          <cell r="B2511" t="str">
            <v>SUC OLIMPICA</v>
          </cell>
        </row>
        <row r="2512">
          <cell r="B2512" t="str">
            <v>SUC OLIMPICA CARABOBO DS</v>
          </cell>
        </row>
        <row r="2513">
          <cell r="B2513" t="str">
            <v>SUC OLIMPICA DS</v>
          </cell>
        </row>
        <row r="2514">
          <cell r="B2514" t="str">
            <v>SUC OLIMPICA LA 76</v>
          </cell>
        </row>
        <row r="2515">
          <cell r="B2515" t="str">
            <v>SUC OLIMPICA LA 76 DS</v>
          </cell>
        </row>
        <row r="2516">
          <cell r="B2516" t="str">
            <v>SUC OPAIN DS</v>
          </cell>
        </row>
        <row r="2517">
          <cell r="B2517" t="str">
            <v>SUC ORIP CALI DS</v>
          </cell>
        </row>
        <row r="2518">
          <cell r="B2518" t="str">
            <v>SUC ORIP MEDELLIN NORTE DS</v>
          </cell>
        </row>
        <row r="2519">
          <cell r="B2519" t="str">
            <v>SUC ORIP MEDELLIN SUR DS</v>
          </cell>
        </row>
        <row r="2520">
          <cell r="B2520" t="str">
            <v>SUC OROCUE DS</v>
          </cell>
        </row>
        <row r="2521">
          <cell r="B2521" t="str">
            <v>SUC OTRABANDA</v>
          </cell>
        </row>
        <row r="2522">
          <cell r="B2522" t="str">
            <v>SUC OTRABANDA DS</v>
          </cell>
        </row>
        <row r="2523">
          <cell r="B2523" t="str">
            <v>SUC OVIEDO</v>
          </cell>
        </row>
        <row r="2524">
          <cell r="B2524" t="str">
            <v>SUC OVIEDO CENTRO CCIAL</v>
          </cell>
        </row>
        <row r="2525">
          <cell r="B2525" t="str">
            <v>SUC OVIEDO CENTRO CCIAL DS</v>
          </cell>
        </row>
        <row r="2526">
          <cell r="B2526" t="str">
            <v>SUC OVIEDO DS</v>
          </cell>
        </row>
        <row r="2527">
          <cell r="B2527" t="str">
            <v>SUC PACHO</v>
          </cell>
        </row>
        <row r="2528">
          <cell r="B2528" t="str">
            <v>SUC PACHO DS</v>
          </cell>
        </row>
        <row r="2529">
          <cell r="B2529" t="str">
            <v>SUC PAIPA</v>
          </cell>
        </row>
        <row r="2530">
          <cell r="B2530" t="str">
            <v>SUC PAIPA DS</v>
          </cell>
        </row>
        <row r="2531">
          <cell r="B2531" t="str">
            <v>SUC PALERMO DS</v>
          </cell>
        </row>
        <row r="2532">
          <cell r="B2532" t="str">
            <v>SUC PALMETTO</v>
          </cell>
        </row>
        <row r="2533">
          <cell r="B2533" t="str">
            <v>SUC PALMETTO DS</v>
          </cell>
        </row>
        <row r="2534">
          <cell r="B2534" t="str">
            <v>SUC PALMIRA</v>
          </cell>
        </row>
        <row r="2535">
          <cell r="B2535" t="str">
            <v>SUC PALMIRA DS</v>
          </cell>
        </row>
        <row r="2536">
          <cell r="B2536" t="str">
            <v>SUC PALOQUEMAO</v>
          </cell>
        </row>
        <row r="2537">
          <cell r="B2537" t="str">
            <v>SUC PALOQUEMAO DS</v>
          </cell>
        </row>
        <row r="2538">
          <cell r="B2538" t="str">
            <v>SUC PAMPLONA SANTANDER</v>
          </cell>
        </row>
        <row r="2539">
          <cell r="B2539" t="str">
            <v>SUC PAMPLONA SANTANDER DS</v>
          </cell>
        </row>
        <row r="2540">
          <cell r="B2540" t="str">
            <v>SUC PANAMCO COLOMBIA IBAGUE DS</v>
          </cell>
        </row>
        <row r="2541">
          <cell r="B2541" t="str">
            <v>SUC PANAMCO COLOMBIA MEDELLIN DS</v>
          </cell>
        </row>
        <row r="2542">
          <cell r="B2542" t="str">
            <v>SUC PANAMERICANA</v>
          </cell>
        </row>
        <row r="2543">
          <cell r="B2543" t="str">
            <v>SUC PANAMERICANA DS</v>
          </cell>
        </row>
        <row r="2544">
          <cell r="B2544" t="str">
            <v>SUC PARALELO 108</v>
          </cell>
        </row>
        <row r="2545">
          <cell r="B2545" t="str">
            <v>SUC PARALELO 108 DS</v>
          </cell>
        </row>
        <row r="2546">
          <cell r="B2546" t="str">
            <v>SUC PARK WAY</v>
          </cell>
        </row>
        <row r="2547">
          <cell r="B2547" t="str">
            <v>SUC PARK WAY DS</v>
          </cell>
        </row>
        <row r="2548">
          <cell r="B2548" t="str">
            <v>SUC PARQUE ARBOLEDA</v>
          </cell>
        </row>
        <row r="2549">
          <cell r="B2549" t="str">
            <v>SUC PARQUE ARBOLEDA DS</v>
          </cell>
        </row>
        <row r="2550">
          <cell r="B2550" t="str">
            <v>SUC PARQUE BOLIVAR</v>
          </cell>
        </row>
        <row r="2551">
          <cell r="B2551" t="str">
            <v>SUC PARQUE BOLIVAR DS</v>
          </cell>
        </row>
        <row r="2552">
          <cell r="B2552" t="str">
            <v>SUC PARQUE CONCORDIA</v>
          </cell>
        </row>
        <row r="2553">
          <cell r="B2553" t="str">
            <v>SUC PARQUE CONCORDIA DS</v>
          </cell>
        </row>
        <row r="2554">
          <cell r="B2554" t="str">
            <v>SUC PARQUE MURILLO TORO</v>
          </cell>
        </row>
        <row r="2555">
          <cell r="B2555" t="str">
            <v>SUC PARQUE MURILLO TORO DS</v>
          </cell>
        </row>
        <row r="2556">
          <cell r="B2556" t="str">
            <v>SUC PARQUE WASHINGTON</v>
          </cell>
        </row>
        <row r="2557">
          <cell r="B2557" t="str">
            <v>SUC PARQUE WASHINGTON DS</v>
          </cell>
        </row>
        <row r="2558">
          <cell r="B2558" t="str">
            <v>SUC PASEO BOLIVAR</v>
          </cell>
        </row>
        <row r="2559">
          <cell r="B2559" t="str">
            <v>SUC PASEO BOLIVAR DS</v>
          </cell>
        </row>
        <row r="2560">
          <cell r="B2560" t="str">
            <v>SUC PASEO DEL COMERCIO</v>
          </cell>
        </row>
        <row r="2561">
          <cell r="B2561" t="str">
            <v>SUC PASEO DEL COMERCIO DS</v>
          </cell>
        </row>
        <row r="2562">
          <cell r="B2562" t="str">
            <v>SUC PASEO DEL POBLADO</v>
          </cell>
        </row>
        <row r="2563">
          <cell r="B2563" t="str">
            <v>SUC PASEO DEL POBLADO DS</v>
          </cell>
        </row>
        <row r="2564">
          <cell r="B2564" t="str">
            <v>SUC PASEO LA CASTELLANA</v>
          </cell>
        </row>
        <row r="2565">
          <cell r="B2565" t="str">
            <v>SUC PASEO LA CASTELLANA DS</v>
          </cell>
        </row>
        <row r="2566">
          <cell r="B2566" t="str">
            <v>SUC PASO ANCHO</v>
          </cell>
        </row>
        <row r="2567">
          <cell r="B2567" t="str">
            <v>SUC PASO ANCHO DS</v>
          </cell>
        </row>
        <row r="2568">
          <cell r="B2568" t="str">
            <v>SUC PASTO</v>
          </cell>
        </row>
        <row r="2569">
          <cell r="B2569" t="str">
            <v>SUC PASTO DS</v>
          </cell>
        </row>
        <row r="2570">
          <cell r="B2570" t="str">
            <v>SUC PAZ  DE ARIPORO</v>
          </cell>
        </row>
        <row r="2571">
          <cell r="B2571" t="str">
            <v>SUC PAZ  DE ARIPORO DS</v>
          </cell>
        </row>
        <row r="2572">
          <cell r="B2572" t="str">
            <v>SUC PEREIRA</v>
          </cell>
        </row>
        <row r="2573">
          <cell r="B2573" t="str">
            <v>SUC PEREIRA DS</v>
          </cell>
        </row>
        <row r="2574">
          <cell r="B2574" t="str">
            <v>SUC PIEDECUESTA</v>
          </cell>
        </row>
        <row r="2575">
          <cell r="B2575" t="str">
            <v>SUC PIEDECUESTA DS</v>
          </cell>
        </row>
        <row r="2576">
          <cell r="B2576" t="str">
            <v>SUC PITALITO</v>
          </cell>
        </row>
        <row r="2577">
          <cell r="B2577" t="str">
            <v>SUC PITALITO DS</v>
          </cell>
        </row>
        <row r="2578">
          <cell r="B2578" t="str">
            <v>SUC PLANETA RICA</v>
          </cell>
        </row>
        <row r="2579">
          <cell r="B2579" t="str">
            <v>SUC PLANETA RICA DS</v>
          </cell>
        </row>
        <row r="2580">
          <cell r="B2580" t="str">
            <v>SUC PLATO</v>
          </cell>
        </row>
        <row r="2581">
          <cell r="B2581" t="str">
            <v>SUC PLATO DS</v>
          </cell>
        </row>
        <row r="2582">
          <cell r="B2582" t="str">
            <v>SUC PLAZA CAYCEDO</v>
          </cell>
        </row>
        <row r="2583">
          <cell r="B2583" t="str">
            <v>SUC PLAZA CAYCEDO DS</v>
          </cell>
        </row>
        <row r="2584">
          <cell r="B2584" t="str">
            <v>SUC PLAZA DE BOLIVAR</v>
          </cell>
        </row>
        <row r="2585">
          <cell r="B2585" t="str">
            <v>SUC PLAZA DE BOLIVAR ARMENIA</v>
          </cell>
        </row>
        <row r="2586">
          <cell r="B2586" t="str">
            <v>SUC PLAZA DE BOLIVAR ARMENIA DS</v>
          </cell>
        </row>
        <row r="2587">
          <cell r="B2587" t="str">
            <v>SUC PLAZA DE BOLIVAR DS</v>
          </cell>
        </row>
        <row r="2588">
          <cell r="B2588" t="str">
            <v>SUC PLAZA DE BOLIVAR PEREIRA</v>
          </cell>
        </row>
        <row r="2589">
          <cell r="B2589" t="str">
            <v>SUC PLAZA DE BOLIVAR PEREIRA DS</v>
          </cell>
        </row>
        <row r="2590">
          <cell r="B2590" t="str">
            <v>SUC PLAZA DE FERIAS</v>
          </cell>
        </row>
        <row r="2591">
          <cell r="B2591" t="str">
            <v>SUC PLAZA DE FERIAS DS</v>
          </cell>
        </row>
        <row r="2592">
          <cell r="B2592" t="str">
            <v>SUC PLAZA DE FLORES</v>
          </cell>
        </row>
        <row r="2593">
          <cell r="B2593" t="str">
            <v>SUC PLAZA DE FLORES DS</v>
          </cell>
        </row>
        <row r="2594">
          <cell r="B2594" t="str">
            <v>SUC PLAZA DE LA ADUANA</v>
          </cell>
        </row>
        <row r="2595">
          <cell r="B2595" t="str">
            <v>SUC PLAZA DE LA ADUANA DS</v>
          </cell>
        </row>
        <row r="2596">
          <cell r="B2596" t="str">
            <v>SUC PLAZA DE LAS AMERICAS</v>
          </cell>
        </row>
        <row r="2597">
          <cell r="B2597" t="str">
            <v>SUC PLAZA DE LAS AMERICAS DS</v>
          </cell>
        </row>
        <row r="2598">
          <cell r="B2598" t="str">
            <v>SUC PLAZA DE MERCADO MANIZALES</v>
          </cell>
        </row>
        <row r="2599">
          <cell r="B2599" t="str">
            <v>SUC PLAZA DE MERCADO MANIZALES DS</v>
          </cell>
        </row>
        <row r="2600">
          <cell r="B2600" t="str">
            <v>SUC PLAZA DE MERCADO MONTERIA</v>
          </cell>
        </row>
        <row r="2601">
          <cell r="B2601" t="str">
            <v>SUC PLAZA DE MERCADO MONTERIA DS</v>
          </cell>
        </row>
        <row r="2602">
          <cell r="B2602" t="str">
            <v>SUC PLAZA DEL RIO</v>
          </cell>
        </row>
        <row r="2603">
          <cell r="B2603" t="str">
            <v>SUC PLAZA DEL RIO DS</v>
          </cell>
        </row>
        <row r="2604">
          <cell r="B2604" t="str">
            <v>SUC PLAZA ESPAÑA</v>
          </cell>
        </row>
        <row r="2605">
          <cell r="B2605" t="str">
            <v>SUC PLAZA ESPAÑA DS</v>
          </cell>
        </row>
        <row r="2606">
          <cell r="B2606" t="str">
            <v>SUC PLAZA MAYOR</v>
          </cell>
        </row>
        <row r="2607">
          <cell r="B2607" t="str">
            <v>SUC PLAZA MAYOR DS</v>
          </cell>
        </row>
        <row r="2608">
          <cell r="B2608" t="str">
            <v>SUC PLAZA MINORISTA</v>
          </cell>
        </row>
        <row r="2609">
          <cell r="B2609" t="str">
            <v>SUC PLAZA MINORISTA DS</v>
          </cell>
        </row>
        <row r="2610">
          <cell r="B2610" t="str">
            <v>SUC PLAZAS DEL BOSQUE</v>
          </cell>
        </row>
        <row r="2611">
          <cell r="B2611" t="str">
            <v>SUC PLAZAS DEL BOSQUE DS</v>
          </cell>
        </row>
        <row r="2612">
          <cell r="B2612" t="str">
            <v>SUC PLAZOLETA</v>
          </cell>
        </row>
        <row r="2613">
          <cell r="B2613" t="str">
            <v>SUC PLAZOLETA DS</v>
          </cell>
        </row>
        <row r="2614">
          <cell r="B2614" t="str">
            <v>SUC POLO CLUB</v>
          </cell>
        </row>
        <row r="2615">
          <cell r="B2615" t="str">
            <v>SUC POLO CLUB DS</v>
          </cell>
        </row>
        <row r="2616">
          <cell r="B2616" t="str">
            <v>SUC POMONA SAN LUCAS DS</v>
          </cell>
        </row>
        <row r="2617">
          <cell r="B2617" t="str">
            <v>SUC POPAYAN</v>
          </cell>
        </row>
        <row r="2618">
          <cell r="B2618" t="str">
            <v>SUC POPAYAN DS</v>
          </cell>
        </row>
        <row r="2619">
          <cell r="B2619" t="str">
            <v>SUC PORTAL DE LA 80 - 2</v>
          </cell>
        </row>
        <row r="2620">
          <cell r="B2620" t="str">
            <v>SUC PORTAL DE LA 80 - 2 DS</v>
          </cell>
        </row>
        <row r="2621">
          <cell r="B2621" t="str">
            <v>SUC PORTAL DEL PRADO</v>
          </cell>
        </row>
        <row r="2622">
          <cell r="B2622" t="str">
            <v>SUC PORTAL DEL PRADO DS</v>
          </cell>
        </row>
        <row r="2623">
          <cell r="B2623" t="str">
            <v>SUC PRADERA</v>
          </cell>
        </row>
        <row r="2624">
          <cell r="B2624" t="str">
            <v>SUC PRADERA DS</v>
          </cell>
        </row>
        <row r="2625">
          <cell r="B2625" t="str">
            <v>SUC PRADO PLAZA</v>
          </cell>
        </row>
        <row r="2626">
          <cell r="B2626" t="str">
            <v>SUC PRADO PLAZA DS</v>
          </cell>
        </row>
        <row r="2627">
          <cell r="B2627" t="str">
            <v>SUC PRADOS DEL NORTE</v>
          </cell>
        </row>
        <row r="2628">
          <cell r="B2628" t="str">
            <v>SUC PRADOS DEL NORTE DS</v>
          </cell>
        </row>
        <row r="2629">
          <cell r="B2629" t="str">
            <v>SUC PREMIUN PLAZA</v>
          </cell>
        </row>
        <row r="2630">
          <cell r="B2630" t="str">
            <v>SUC PREMIUN PLAZA DS</v>
          </cell>
        </row>
        <row r="2631">
          <cell r="B2631" t="str">
            <v>SUC PROFESIONALES</v>
          </cell>
        </row>
        <row r="2632">
          <cell r="B2632" t="str">
            <v>SUC PROFESIONALES DS</v>
          </cell>
        </row>
        <row r="2633">
          <cell r="B2633" t="str">
            <v>SUC PUEBLO NUEVO</v>
          </cell>
        </row>
        <row r="2634">
          <cell r="B2634" t="str">
            <v>SUC PUEBLO NUEVO DS</v>
          </cell>
        </row>
        <row r="2635">
          <cell r="B2635" t="str">
            <v>SUC PUENTE ARANDA</v>
          </cell>
        </row>
        <row r="2636">
          <cell r="B2636" t="str">
            <v>SUC PUENTE ARANDA DS</v>
          </cell>
        </row>
        <row r="2637">
          <cell r="B2637" t="str">
            <v>SUC PUENTE LARGO</v>
          </cell>
        </row>
        <row r="2638">
          <cell r="B2638" t="str">
            <v>SUC PUENTE LARGO DS</v>
          </cell>
        </row>
        <row r="2639">
          <cell r="B2639" t="str">
            <v>SUC PUERTA DEL RIO</v>
          </cell>
        </row>
        <row r="2640">
          <cell r="B2640" t="str">
            <v>SUC PUERTA DEL RIO DS</v>
          </cell>
        </row>
        <row r="2641">
          <cell r="B2641" t="str">
            <v>SUC PUERTA GRANDE</v>
          </cell>
        </row>
        <row r="2642">
          <cell r="B2642" t="str">
            <v>SUC PUERTA GRANDE DS</v>
          </cell>
        </row>
        <row r="2643">
          <cell r="B2643" t="str">
            <v>SUC PUERTO ASIS</v>
          </cell>
        </row>
        <row r="2644">
          <cell r="B2644" t="str">
            <v>SUC PUERTO ASIS DS</v>
          </cell>
        </row>
        <row r="2645">
          <cell r="B2645" t="str">
            <v>SUC PUERTO BERRIO</v>
          </cell>
        </row>
        <row r="2646">
          <cell r="B2646" t="str">
            <v>SUC PUERTO BERRIO DS</v>
          </cell>
        </row>
        <row r="2647">
          <cell r="B2647" t="str">
            <v>SUC PUERTO BOYACA</v>
          </cell>
        </row>
        <row r="2648">
          <cell r="B2648" t="str">
            <v>SUC PUERTO BOYACA DS</v>
          </cell>
        </row>
        <row r="2649">
          <cell r="B2649" t="str">
            <v>SUC PUERTO GAITAN</v>
          </cell>
        </row>
        <row r="2650">
          <cell r="B2650" t="str">
            <v>SUC PUERTO GAITAN DS</v>
          </cell>
        </row>
        <row r="2651">
          <cell r="B2651" t="str">
            <v>SUC PUERTO LOPEZ</v>
          </cell>
        </row>
        <row r="2652">
          <cell r="B2652" t="str">
            <v>SUC PUERTO LOPEZ DS</v>
          </cell>
        </row>
        <row r="2653">
          <cell r="B2653" t="str">
            <v>SUC PUERTO NARE DS</v>
          </cell>
        </row>
        <row r="2654">
          <cell r="B2654" t="str">
            <v>SUC PUERTO SALGAR</v>
          </cell>
        </row>
        <row r="2655">
          <cell r="B2655" t="str">
            <v>SUC PUERTO SALGAR DS</v>
          </cell>
        </row>
        <row r="2656">
          <cell r="B2656" t="str">
            <v>SUC PUNTO CLAVE</v>
          </cell>
        </row>
        <row r="2657">
          <cell r="B2657" t="str">
            <v>SUC PUNTO CLAVE DS</v>
          </cell>
        </row>
        <row r="2658">
          <cell r="B2658" t="str">
            <v>SUC PUNTO DE LA ORIENTAL</v>
          </cell>
        </row>
        <row r="2659">
          <cell r="B2659" t="str">
            <v>SUC PUNTO DE LA ORIENTAL DS</v>
          </cell>
        </row>
        <row r="2660">
          <cell r="B2660" t="str">
            <v>SUC PURIFICACION</v>
          </cell>
        </row>
        <row r="2661">
          <cell r="B2661" t="str">
            <v>SUC PURIFICACION DS</v>
          </cell>
        </row>
        <row r="2662">
          <cell r="B2662" t="str">
            <v>SUC QUEBRADA SECA</v>
          </cell>
        </row>
        <row r="2663">
          <cell r="B2663" t="str">
            <v>SUC QUEBRADA SECA DS</v>
          </cell>
        </row>
        <row r="2664">
          <cell r="B2664" t="str">
            <v>SUC QUIBDO</v>
          </cell>
        </row>
        <row r="2665">
          <cell r="B2665" t="str">
            <v>SUC QUIBDO DS</v>
          </cell>
        </row>
        <row r="2666">
          <cell r="B2666" t="str">
            <v>SUC QUIMBAYA</v>
          </cell>
        </row>
        <row r="2667">
          <cell r="B2667" t="str">
            <v>SUC QUIMBAYA DS</v>
          </cell>
        </row>
        <row r="2668">
          <cell r="B2668" t="str">
            <v>SUC QUINTA AVENIDA</v>
          </cell>
        </row>
        <row r="2669">
          <cell r="B2669" t="str">
            <v>SUC QUINTA AVENIDA DS</v>
          </cell>
        </row>
        <row r="2670">
          <cell r="B2670" t="str">
            <v>SUC QUINTA CAMACHO</v>
          </cell>
        </row>
        <row r="2671">
          <cell r="B2671" t="str">
            <v>SUC QUINTA CAMACHO DS</v>
          </cell>
        </row>
        <row r="2672">
          <cell r="B2672" t="str">
            <v>SUC QUIRIGUA</v>
          </cell>
        </row>
        <row r="2673">
          <cell r="B2673" t="str">
            <v>SUC QUIRIGUA DS</v>
          </cell>
        </row>
        <row r="2674">
          <cell r="B2674" t="str">
            <v>SUC RAMIRIQUI DS</v>
          </cell>
        </row>
        <row r="2675">
          <cell r="B2675" t="str">
            <v>SUC RETIRO DS</v>
          </cell>
        </row>
        <row r="2676">
          <cell r="B2676" t="str">
            <v>SUC RIOHACHA</v>
          </cell>
        </row>
        <row r="2677">
          <cell r="B2677" t="str">
            <v>SUC RIOHACHA DS</v>
          </cell>
        </row>
        <row r="2678">
          <cell r="B2678" t="str">
            <v>SUC RIONEGRO</v>
          </cell>
        </row>
        <row r="2679">
          <cell r="B2679" t="str">
            <v>SUC RIONEGRO DS</v>
          </cell>
        </row>
        <row r="2680">
          <cell r="B2680" t="str">
            <v>SUC RIONEGRO PARQUE</v>
          </cell>
        </row>
        <row r="2681">
          <cell r="B2681" t="str">
            <v>SUC RIONEGRO PARQUE DS</v>
          </cell>
        </row>
        <row r="2682">
          <cell r="B2682" t="str">
            <v>SUC RIOSUCIO</v>
          </cell>
        </row>
        <row r="2683">
          <cell r="B2683" t="str">
            <v>SUC RIOSUCIO DS</v>
          </cell>
        </row>
        <row r="2684">
          <cell r="B2684" t="str">
            <v>SUC ROCHE DS</v>
          </cell>
        </row>
        <row r="2685">
          <cell r="B2685" t="str">
            <v>SUC ROLDANILLO</v>
          </cell>
        </row>
        <row r="2686">
          <cell r="B2686" t="str">
            <v>SUC ROLDANILLO DS</v>
          </cell>
        </row>
        <row r="2687">
          <cell r="B2687" t="str">
            <v>SUC SABANA NORTE CHIA</v>
          </cell>
        </row>
        <row r="2688">
          <cell r="B2688" t="str">
            <v>SUC SABANA NORTE CHIA DS</v>
          </cell>
        </row>
        <row r="2689">
          <cell r="B2689" t="str">
            <v>SUC SABANALARGA</v>
          </cell>
        </row>
        <row r="2690">
          <cell r="B2690" t="str">
            <v>SUC SABANALARGA DS</v>
          </cell>
        </row>
        <row r="2691">
          <cell r="B2691" t="str">
            <v>SUC SABANETA</v>
          </cell>
        </row>
        <row r="2692">
          <cell r="B2692" t="str">
            <v>SUC SABANETA AVES MARIA</v>
          </cell>
        </row>
        <row r="2693">
          <cell r="B2693" t="str">
            <v>SUC SABANETA AVES MARIA DS</v>
          </cell>
        </row>
        <row r="2694">
          <cell r="B2694" t="str">
            <v>SUC SABANETA DS</v>
          </cell>
        </row>
        <row r="2695">
          <cell r="B2695" t="str">
            <v>SUC SAHAGUN</v>
          </cell>
        </row>
        <row r="2696">
          <cell r="B2696" t="str">
            <v>SUC SAHAGUN DS</v>
          </cell>
        </row>
        <row r="2697">
          <cell r="B2697" t="str">
            <v>SUC SALDANA</v>
          </cell>
        </row>
        <row r="2698">
          <cell r="B2698" t="str">
            <v>SUC SALDANA DS</v>
          </cell>
        </row>
        <row r="2699">
          <cell r="B2699" t="str">
            <v>SUC SALGAR</v>
          </cell>
        </row>
        <row r="2700">
          <cell r="B2700" t="str">
            <v>SUC SALGAR DS</v>
          </cell>
        </row>
        <row r="2701">
          <cell r="B2701" t="str">
            <v>SUC SALITRE</v>
          </cell>
        </row>
        <row r="2702">
          <cell r="B2702" t="str">
            <v>SUC SALITRE DS</v>
          </cell>
        </row>
        <row r="2703">
          <cell r="B2703" t="str">
            <v>SUC SALITRE PLAZA</v>
          </cell>
        </row>
        <row r="2704">
          <cell r="B2704" t="str">
            <v>SUC SALITRE PLAZA AUTOSERVICIOS DS</v>
          </cell>
        </row>
        <row r="2705">
          <cell r="B2705" t="str">
            <v>SUC SALITRE PLAZA DS</v>
          </cell>
        </row>
        <row r="2706">
          <cell r="B2706" t="str">
            <v>SUC SAMACA</v>
          </cell>
        </row>
        <row r="2707">
          <cell r="B2707" t="str">
            <v>SUC SAMACA DS</v>
          </cell>
        </row>
        <row r="2708">
          <cell r="B2708" t="str">
            <v>SUC SAMPER MENDOZA</v>
          </cell>
        </row>
        <row r="2709">
          <cell r="B2709" t="str">
            <v>SUC SAMPER MENDOZA DS</v>
          </cell>
        </row>
        <row r="2710">
          <cell r="B2710" t="str">
            <v>SUC SAN ANDRES</v>
          </cell>
        </row>
        <row r="2711">
          <cell r="B2711" t="str">
            <v>SUC SAN ANDRES DS</v>
          </cell>
        </row>
        <row r="2712">
          <cell r="B2712" t="str">
            <v>SUC SAN CANCIO</v>
          </cell>
        </row>
        <row r="2713">
          <cell r="B2713" t="str">
            <v>SUC SAN CANCIO DS</v>
          </cell>
        </row>
        <row r="2714">
          <cell r="B2714" t="str">
            <v>SUC SAN DIEGO</v>
          </cell>
        </row>
        <row r="2715">
          <cell r="B2715" t="str">
            <v>SUC SAN DIEGO DS</v>
          </cell>
        </row>
        <row r="2716">
          <cell r="B2716" t="str">
            <v>SUC SAN FERNANDO</v>
          </cell>
        </row>
        <row r="2717">
          <cell r="B2717" t="str">
            <v>SUC SAN FERNANDO DS</v>
          </cell>
        </row>
        <row r="2718">
          <cell r="B2718" t="str">
            <v>SUC SAN FERNANDO PLAZA</v>
          </cell>
        </row>
        <row r="2719">
          <cell r="B2719" t="str">
            <v>SUC SAN FERNANDO PLAZA DS</v>
          </cell>
        </row>
        <row r="2720">
          <cell r="B2720" t="str">
            <v>SUC SAN FRANCISCO</v>
          </cell>
        </row>
        <row r="2721">
          <cell r="B2721" t="str">
            <v>SUC SAN FRANCISCO DS</v>
          </cell>
        </row>
        <row r="2722">
          <cell r="B2722" t="str">
            <v>SUC SAN GIL</v>
          </cell>
        </row>
        <row r="2723">
          <cell r="B2723" t="str">
            <v>SUC SAN GIL DS</v>
          </cell>
        </row>
        <row r="2724">
          <cell r="B2724" t="str">
            <v>SUC SAN JOSE DEL GUAVIARE</v>
          </cell>
        </row>
        <row r="2725">
          <cell r="B2725" t="str">
            <v>SUC SAN JOSE DEL GUAVIARE DS</v>
          </cell>
        </row>
        <row r="2726">
          <cell r="B2726" t="str">
            <v>SUC SAN JUAN</v>
          </cell>
        </row>
        <row r="2727">
          <cell r="B2727" t="str">
            <v>SUC SAN JUAN DS</v>
          </cell>
        </row>
        <row r="2728">
          <cell r="B2728" t="str">
            <v>SUC SAN LUCAS PLAZA</v>
          </cell>
        </row>
        <row r="2729">
          <cell r="B2729" t="str">
            <v>SUC SAN LUCAS PLAZA DS</v>
          </cell>
        </row>
        <row r="2730">
          <cell r="B2730" t="str">
            <v>SUC SAN LUIS</v>
          </cell>
        </row>
        <row r="2731">
          <cell r="B2731" t="str">
            <v>SUC SAN LUIS DS</v>
          </cell>
        </row>
        <row r="2732">
          <cell r="B2732" t="str">
            <v>SUC SAN MARTIN DS</v>
          </cell>
        </row>
        <row r="2733">
          <cell r="B2733" t="str">
            <v>SUC SAN MATEO</v>
          </cell>
        </row>
        <row r="2734">
          <cell r="B2734" t="str">
            <v>SUC SAN MATEO DS</v>
          </cell>
        </row>
        <row r="2735">
          <cell r="B2735" t="str">
            <v>SUC SAN NICOLAS BARRANQUILLA</v>
          </cell>
        </row>
        <row r="2736">
          <cell r="B2736" t="str">
            <v>SUC SAN NICOLAS BARRANQUILLA DS</v>
          </cell>
        </row>
        <row r="2737">
          <cell r="B2737" t="str">
            <v>SUC SAN NICOLAS CALI</v>
          </cell>
        </row>
        <row r="2738">
          <cell r="B2738" t="str">
            <v>SUC SAN NICOLAS CALI DS</v>
          </cell>
        </row>
        <row r="2739">
          <cell r="B2739" t="str">
            <v>SUC SAN NICOLAS RIONEGRO</v>
          </cell>
        </row>
        <row r="2740">
          <cell r="B2740" t="str">
            <v>SUC SAN NICOLAS RIONEGRO DS</v>
          </cell>
        </row>
        <row r="2741">
          <cell r="B2741" t="str">
            <v>SUC SAN PEDRO</v>
          </cell>
        </row>
        <row r="2742">
          <cell r="B2742" t="str">
            <v>SUC SAN PEDRO DS</v>
          </cell>
        </row>
        <row r="2743">
          <cell r="B2743" t="str">
            <v>SUC SAN VICENTE DEL CAGUAN</v>
          </cell>
        </row>
        <row r="2744">
          <cell r="B2744" t="str">
            <v>SUC SAN VICENTE DEL CAGUAN DS</v>
          </cell>
        </row>
        <row r="2745">
          <cell r="B2745" t="str">
            <v>SUC SANDONA NARI#O</v>
          </cell>
        </row>
        <row r="2746">
          <cell r="B2746" t="str">
            <v>SUC SANDONA NARI#O DS</v>
          </cell>
        </row>
        <row r="2747">
          <cell r="B2747" t="str">
            <v>SUC SANOFI DS</v>
          </cell>
        </row>
        <row r="2748">
          <cell r="B2748" t="str">
            <v>SUC SANTA BARBARA</v>
          </cell>
        </row>
        <row r="2749">
          <cell r="B2749" t="str">
            <v>SUC SANTA BARBARA DS</v>
          </cell>
        </row>
        <row r="2750">
          <cell r="B2750" t="str">
            <v>SUC SANTA BEATRIZ</v>
          </cell>
        </row>
        <row r="2751">
          <cell r="B2751" t="str">
            <v>SUC SANTA BEATRIZ DS</v>
          </cell>
        </row>
        <row r="2752">
          <cell r="B2752" t="str">
            <v>SUC SANTA FE DS</v>
          </cell>
        </row>
        <row r="2753">
          <cell r="B2753" t="str">
            <v>SUC SANTA LUCIA</v>
          </cell>
        </row>
        <row r="2754">
          <cell r="B2754" t="str">
            <v>SUC SANTA LUCIA DS</v>
          </cell>
        </row>
        <row r="2755">
          <cell r="B2755" t="str">
            <v>SUC SANTA MARTA</v>
          </cell>
        </row>
        <row r="2756">
          <cell r="B2756" t="str">
            <v>SUC SANTA MARTA DS</v>
          </cell>
        </row>
        <row r="2757">
          <cell r="B2757" t="str">
            <v>SUC SANTA MONICA</v>
          </cell>
        </row>
        <row r="2758">
          <cell r="B2758" t="str">
            <v>SUC SANTA MONICA DS</v>
          </cell>
        </row>
        <row r="2759">
          <cell r="B2759" t="str">
            <v>SUC SANTA ROSA DE CABAL</v>
          </cell>
        </row>
        <row r="2760">
          <cell r="B2760" t="str">
            <v>SUC SANTA ROSA DE CABAL DS</v>
          </cell>
        </row>
        <row r="2761">
          <cell r="B2761" t="str">
            <v>SUC SANTA ROSA DE OSOS</v>
          </cell>
        </row>
        <row r="2762">
          <cell r="B2762" t="str">
            <v>SUC SANTA ROSA DE OSOS DS</v>
          </cell>
        </row>
        <row r="2763">
          <cell r="B2763" t="str">
            <v>SUC SANTA TERESITA</v>
          </cell>
        </row>
        <row r="2764">
          <cell r="B2764" t="str">
            <v>SUC SANTA TERESITA DS</v>
          </cell>
        </row>
        <row r="2765">
          <cell r="B2765" t="str">
            <v>SUC SANTAFE DE ANTIOQUIA</v>
          </cell>
        </row>
        <row r="2766">
          <cell r="B2766" t="str">
            <v>SUC SANTAFE DE ANTIOQUIA DS</v>
          </cell>
        </row>
        <row r="2767">
          <cell r="B2767" t="str">
            <v>SUC SANTANDER DE QUILICHAO</v>
          </cell>
        </row>
        <row r="2768">
          <cell r="B2768" t="str">
            <v>SUC SANTANDER DE QUILICHAO DS</v>
          </cell>
        </row>
        <row r="2769">
          <cell r="B2769" t="str">
            <v>SUC SANTIAGO DE TOLU</v>
          </cell>
        </row>
        <row r="2770">
          <cell r="B2770" t="str">
            <v>SUC SANTIAGO DE TOLU DS</v>
          </cell>
        </row>
        <row r="2771">
          <cell r="B2771" t="str">
            <v>SUC SANTILLANA</v>
          </cell>
        </row>
        <row r="2772">
          <cell r="B2772" t="str">
            <v>SUC SANTILLANA DS</v>
          </cell>
        </row>
        <row r="2773">
          <cell r="B2773" t="str">
            <v>SUC SANTUARIO</v>
          </cell>
        </row>
        <row r="2774">
          <cell r="B2774" t="str">
            <v>SUC SANTUARIO DS</v>
          </cell>
        </row>
        <row r="2775">
          <cell r="B2775" t="str">
            <v>SUC SEBASTIAN DE BELALCAZAR</v>
          </cell>
        </row>
        <row r="2776">
          <cell r="B2776" t="str">
            <v>SUC SEBASTIAN DE BELALCAZAR DS</v>
          </cell>
        </row>
        <row r="2777">
          <cell r="B2777" t="str">
            <v>SUC SEGOVIA</v>
          </cell>
        </row>
        <row r="2778">
          <cell r="B2778" t="str">
            <v>SUC SEGOVIA DS</v>
          </cell>
        </row>
        <row r="2779">
          <cell r="B2779" t="str">
            <v>SUC SESQUILE</v>
          </cell>
        </row>
        <row r="2780">
          <cell r="B2780" t="str">
            <v>SUC SESQUILE DS</v>
          </cell>
        </row>
        <row r="2781">
          <cell r="B2781" t="str">
            <v>SUC SEVILLA</v>
          </cell>
        </row>
        <row r="2782">
          <cell r="B2782" t="str">
            <v>SUC SEVILLA DS</v>
          </cell>
        </row>
        <row r="2783">
          <cell r="B2783" t="str">
            <v>SUC SIBATE</v>
          </cell>
        </row>
        <row r="2784">
          <cell r="B2784" t="str">
            <v>SUC SIBATE DS</v>
          </cell>
        </row>
        <row r="2785">
          <cell r="B2785" t="str">
            <v>SUC SIBERIA</v>
          </cell>
        </row>
        <row r="2786">
          <cell r="B2786" t="str">
            <v>SUC SIBERIA DS</v>
          </cell>
        </row>
        <row r="2787">
          <cell r="B2787" t="str">
            <v>SUC SIMIJACA</v>
          </cell>
        </row>
        <row r="2788">
          <cell r="B2788" t="str">
            <v>SUC SIMIJACA DS</v>
          </cell>
        </row>
        <row r="2789">
          <cell r="B2789" t="str">
            <v>SUC SINCE DS</v>
          </cell>
        </row>
        <row r="2790">
          <cell r="B2790" t="str">
            <v>SUC SINCELEJO</v>
          </cell>
        </row>
        <row r="2791">
          <cell r="B2791" t="str">
            <v>SUC SINCELEJO DS</v>
          </cell>
        </row>
        <row r="2792">
          <cell r="B2792" t="str">
            <v>SUC SOACHA</v>
          </cell>
        </row>
        <row r="2793">
          <cell r="B2793" t="str">
            <v>SUC SOACHA DS</v>
          </cell>
        </row>
        <row r="2794">
          <cell r="B2794" t="str">
            <v>SUC SOCHA BOYACA</v>
          </cell>
        </row>
        <row r="2795">
          <cell r="B2795" t="str">
            <v>SUC SOCHA BOYACA DS</v>
          </cell>
        </row>
        <row r="2796">
          <cell r="B2796" t="str">
            <v>SUC SOCIEDAD PORTUARIA BARRANQUILLA DS</v>
          </cell>
        </row>
        <row r="2797">
          <cell r="B2797" t="str">
            <v>SUC SOCIEDAD PORTUARIA CARTAGENA DS</v>
          </cell>
        </row>
        <row r="2798">
          <cell r="B2798" t="str">
            <v>SUC SOCIEDAD PORTUARIA SANTA MARTA DS</v>
          </cell>
        </row>
        <row r="2799">
          <cell r="B2799" t="str">
            <v>SUC SOCORRO SANTANDER</v>
          </cell>
        </row>
        <row r="2800">
          <cell r="B2800" t="str">
            <v>SUC SOCORRO SANTANDER DS</v>
          </cell>
        </row>
        <row r="2801">
          <cell r="B2801" t="str">
            <v>SUC SOFASA CHIA DS</v>
          </cell>
        </row>
        <row r="2802">
          <cell r="B2802" t="str">
            <v>SUC SOFASA ENVIGADO DS</v>
          </cell>
        </row>
        <row r="2803">
          <cell r="B2803" t="str">
            <v>SUC SOGAMOSO</v>
          </cell>
        </row>
        <row r="2804">
          <cell r="B2804" t="str">
            <v>SUC SOGAMOSO DS</v>
          </cell>
        </row>
        <row r="2805">
          <cell r="B2805" t="str">
            <v>SUC SOLEDAD</v>
          </cell>
        </row>
        <row r="2806">
          <cell r="B2806" t="str">
            <v>SUC SOLEDAD DS</v>
          </cell>
        </row>
        <row r="2807">
          <cell r="B2807" t="str">
            <v>SUC SONSON</v>
          </cell>
        </row>
        <row r="2808">
          <cell r="B2808" t="str">
            <v>SUC SONSON DS</v>
          </cell>
        </row>
        <row r="2809">
          <cell r="B2809" t="str">
            <v>SUC SOPO</v>
          </cell>
        </row>
        <row r="2810">
          <cell r="B2810" t="str">
            <v>SUC SOPO DS</v>
          </cell>
        </row>
        <row r="2811">
          <cell r="B2811" t="str">
            <v>SUC SUBA</v>
          </cell>
        </row>
        <row r="2812">
          <cell r="B2812" t="str">
            <v>SUC SUBA DS</v>
          </cell>
        </row>
        <row r="2813">
          <cell r="B2813" t="str">
            <v>SUC SUBACHOQUE</v>
          </cell>
        </row>
        <row r="2814">
          <cell r="B2814" t="str">
            <v>SUC SUBACHOQUE DS</v>
          </cell>
        </row>
        <row r="2815">
          <cell r="B2815" t="str">
            <v>SUC SUPIA</v>
          </cell>
        </row>
        <row r="2816">
          <cell r="B2816" t="str">
            <v>SUC SUPIA DS</v>
          </cell>
        </row>
        <row r="2817">
          <cell r="B2817" t="str">
            <v>SUC SURAMERICANA</v>
          </cell>
        </row>
        <row r="2818">
          <cell r="B2818" t="str">
            <v>SUC SURAMERICANA DS</v>
          </cell>
        </row>
        <row r="2819">
          <cell r="B2819" t="str">
            <v>SUC TABIO</v>
          </cell>
        </row>
        <row r="2820">
          <cell r="B2820" t="str">
            <v>SUC TABIO DS</v>
          </cell>
        </row>
        <row r="2821">
          <cell r="B2821" t="str">
            <v>SUC TEATRO AVENIDA</v>
          </cell>
        </row>
        <row r="2822">
          <cell r="B2822" t="str">
            <v>SUC TEATRO AVENIDA DS</v>
          </cell>
        </row>
        <row r="2823">
          <cell r="B2823" t="str">
            <v>SUC TELEPORT</v>
          </cell>
        </row>
        <row r="2824">
          <cell r="B2824" t="str">
            <v>SUC TELEPORT DS</v>
          </cell>
        </row>
        <row r="2825">
          <cell r="B2825" t="str">
            <v>SUC TENJO</v>
          </cell>
        </row>
        <row r="2826">
          <cell r="B2826" t="str">
            <v>SUC TENJO DS</v>
          </cell>
        </row>
        <row r="2827">
          <cell r="B2827" t="str">
            <v>SUC TEQUENDAMA</v>
          </cell>
        </row>
        <row r="2828">
          <cell r="B2828" t="str">
            <v>SUC TEQUENDAMA DS</v>
          </cell>
        </row>
        <row r="2829">
          <cell r="B2829" t="str">
            <v>SUC TERMINAL DE CARGA INTERNACIONAL </v>
          </cell>
        </row>
        <row r="2830">
          <cell r="B2830" t="str">
            <v>SUC TERMINAL DE CARGA INTERNACIONAL DS</v>
          </cell>
        </row>
        <row r="2831">
          <cell r="B2831" t="str">
            <v>SUC TERMINAL DE TRANSPORTE BOGOTA</v>
          </cell>
        </row>
        <row r="2832">
          <cell r="B2832" t="str">
            <v>SUC TERMINAL DE TRANSPORTE BOGOTA DS</v>
          </cell>
        </row>
        <row r="2833">
          <cell r="B2833" t="str">
            <v>SUC TERMINAL DE TRANSPORTE DEL SUR DS</v>
          </cell>
        </row>
        <row r="2834">
          <cell r="B2834" t="str">
            <v>SUC TERMINAL DE TRANSPORTE NORTE</v>
          </cell>
        </row>
        <row r="2835">
          <cell r="B2835" t="str">
            <v>SUC TERMINAL DE TRANSPORTE NORTE DS</v>
          </cell>
        </row>
        <row r="2836">
          <cell r="B2836" t="str">
            <v>SUC TERMINAL DEL SUR</v>
          </cell>
        </row>
        <row r="2837">
          <cell r="B2837" t="str">
            <v>SUC TERMINAL DEL SUR DS</v>
          </cell>
        </row>
        <row r="2838">
          <cell r="B2838" t="str">
            <v>SUC TERPEL DEL CENTRO DS</v>
          </cell>
        </row>
        <row r="2839">
          <cell r="B2839" t="str">
            <v>SUC TERRAZA PASTEUR</v>
          </cell>
        </row>
        <row r="2840">
          <cell r="B2840" t="str">
            <v>SUC TERRAZA PASTEUR DS</v>
          </cell>
        </row>
        <row r="2841">
          <cell r="B2841" t="str">
            <v>SUC TERTULIA</v>
          </cell>
        </row>
        <row r="2842">
          <cell r="B2842" t="str">
            <v>SUC TERTULIA DS</v>
          </cell>
        </row>
        <row r="2843">
          <cell r="B2843" t="str">
            <v>SUC TINTAL MILENIO</v>
          </cell>
        </row>
        <row r="2844">
          <cell r="B2844" t="str">
            <v>SUC TINTAL MILENIO DS</v>
          </cell>
        </row>
        <row r="2845">
          <cell r="B2845" t="str">
            <v>SUC TITAN PLAZA</v>
          </cell>
        </row>
        <row r="2846">
          <cell r="B2846" t="str">
            <v>SUC TITAN PLAZA DS</v>
          </cell>
        </row>
        <row r="2847">
          <cell r="B2847" t="str">
            <v>SUC TOBERIN</v>
          </cell>
        </row>
        <row r="2848">
          <cell r="B2848" t="str">
            <v>SUC TOBERIN DS</v>
          </cell>
        </row>
        <row r="2849">
          <cell r="B2849" t="str">
            <v>SUC TOCANCIPA</v>
          </cell>
        </row>
        <row r="2850">
          <cell r="B2850" t="str">
            <v>SUC TOCANCIPA DS</v>
          </cell>
        </row>
        <row r="2851">
          <cell r="B2851" t="str">
            <v>SUC TRINIDAD GALAN</v>
          </cell>
        </row>
        <row r="2852">
          <cell r="B2852" t="str">
            <v>SUC TRINIDAD GALAN DS</v>
          </cell>
        </row>
        <row r="2853">
          <cell r="B2853" t="str">
            <v>SUC TULUA</v>
          </cell>
        </row>
        <row r="2854">
          <cell r="B2854" t="str">
            <v>SUC TULUA DS</v>
          </cell>
        </row>
        <row r="2855">
          <cell r="B2855" t="str">
            <v>SUC TUMACO</v>
          </cell>
        </row>
        <row r="2856">
          <cell r="B2856" t="str">
            <v>SUC TUMACO DS</v>
          </cell>
        </row>
        <row r="2857">
          <cell r="B2857" t="str">
            <v>SUC TUNJA</v>
          </cell>
        </row>
        <row r="2858">
          <cell r="B2858" t="str">
            <v>SUC TUNJA DS</v>
          </cell>
        </row>
        <row r="2859">
          <cell r="B2859" t="str">
            <v>SUC TUQUERRES</v>
          </cell>
        </row>
        <row r="2860">
          <cell r="B2860" t="str">
            <v>SUC TUQUERRES DS</v>
          </cell>
        </row>
        <row r="2861">
          <cell r="B2861" t="str">
            <v>SUC TURBO</v>
          </cell>
        </row>
        <row r="2862">
          <cell r="B2862" t="str">
            <v>SUC TURBO DS</v>
          </cell>
        </row>
        <row r="2863">
          <cell r="B2863" t="str">
            <v>SUC TURIN</v>
          </cell>
        </row>
        <row r="2864">
          <cell r="B2864" t="str">
            <v>SUC TURIN DS</v>
          </cell>
        </row>
        <row r="2865">
          <cell r="B2865" t="str">
            <v>SUC UBATE</v>
          </cell>
        </row>
        <row r="2866">
          <cell r="B2866" t="str">
            <v>SUC UBATE DS</v>
          </cell>
        </row>
        <row r="2867">
          <cell r="B2867" t="str">
            <v>SUC UGI</v>
          </cell>
        </row>
        <row r="2868">
          <cell r="B2868" t="str">
            <v>SUC UGI DS</v>
          </cell>
        </row>
        <row r="2869">
          <cell r="B2869" t="str">
            <v>SUC UNICENTRO ARMENIA</v>
          </cell>
        </row>
        <row r="2870">
          <cell r="B2870" t="str">
            <v>SUC UNICENTRO ARMENIA DS</v>
          </cell>
        </row>
        <row r="2871">
          <cell r="B2871" t="str">
            <v>SUC UNICENTRO BOGOTA</v>
          </cell>
        </row>
        <row r="2872">
          <cell r="B2872" t="str">
            <v>SUC UNICENTRO BOGOTA DS</v>
          </cell>
        </row>
        <row r="2873">
          <cell r="B2873" t="str">
            <v>SUC UNICENTRO CALI</v>
          </cell>
        </row>
        <row r="2874">
          <cell r="B2874" t="str">
            <v>SUC UNICENTRO CALI DS</v>
          </cell>
        </row>
        <row r="2875">
          <cell r="B2875" t="str">
            <v>SUC UNICENTRO CENTRO CCIAL</v>
          </cell>
        </row>
        <row r="2876">
          <cell r="B2876" t="str">
            <v>SUC UNICENTRO CENTRO CCIAL DS</v>
          </cell>
        </row>
        <row r="2877">
          <cell r="B2877" t="str">
            <v>SUC UNICENTRO CUCUTA</v>
          </cell>
        </row>
        <row r="2878">
          <cell r="B2878" t="str">
            <v>SUC UNICENTRO CUCUTA DS</v>
          </cell>
        </row>
        <row r="2879">
          <cell r="B2879" t="str">
            <v>SUC UNICENTRO PEREIRA</v>
          </cell>
        </row>
        <row r="2880">
          <cell r="B2880" t="str">
            <v>SUC UNICENTRO PEREIRA DS</v>
          </cell>
        </row>
        <row r="2881">
          <cell r="B2881" t="str">
            <v>SUC UNICENTRO TUNJA</v>
          </cell>
        </row>
        <row r="2882">
          <cell r="B2882" t="str">
            <v>SUC UNICENTRO TUNJA DS</v>
          </cell>
        </row>
        <row r="2883">
          <cell r="B2883" t="str">
            <v>SUC UNICENTRO VILLAVICENCIO</v>
          </cell>
        </row>
        <row r="2884">
          <cell r="B2884" t="str">
            <v>SUC UNICENTRO VILLAVICENCIO DS</v>
          </cell>
        </row>
        <row r="2885">
          <cell r="B2885" t="str">
            <v>SUC UNICO BARRANQUILLA</v>
          </cell>
        </row>
        <row r="2886">
          <cell r="B2886" t="str">
            <v>SUC UNICO BARRANQUILLA DS</v>
          </cell>
        </row>
        <row r="2887">
          <cell r="B2887" t="str">
            <v>SUC UNISUR</v>
          </cell>
        </row>
        <row r="2888">
          <cell r="B2888" t="str">
            <v>SUC UNISUR DS</v>
          </cell>
        </row>
        <row r="2889">
          <cell r="B2889" t="str">
            <v>SUC UNIV FRANCISCO DE PAULA SANTANDER</v>
          </cell>
        </row>
        <row r="2890">
          <cell r="B2890" t="str">
            <v>SUC UNIV FRANCISCO DE PAULA SANTANDER DS</v>
          </cell>
        </row>
        <row r="2891">
          <cell r="B2891" t="str">
            <v>SUC UNIVERSIDAD  POPULAR DEL CESAR DS</v>
          </cell>
        </row>
        <row r="2892">
          <cell r="B2892" t="str">
            <v>SUC UNIVERSIDAD AUTONOMA BOGOTA DS</v>
          </cell>
        </row>
        <row r="2893">
          <cell r="B2893" t="str">
            <v>SUC UNIVERSIDAD DEL NORTE DS</v>
          </cell>
        </row>
        <row r="2894">
          <cell r="B2894" t="str">
            <v>SUC UNIVERSIDAD MEDELLIN DS</v>
          </cell>
        </row>
        <row r="2895">
          <cell r="B2895" t="str">
            <v>SUC UPB DS</v>
          </cell>
        </row>
        <row r="2896">
          <cell r="B2896" t="str">
            <v>SUC URIBIA DS</v>
          </cell>
        </row>
        <row r="2897">
          <cell r="B2897" t="str">
            <v>SUC URRAO</v>
          </cell>
        </row>
        <row r="2898">
          <cell r="B2898" t="str">
            <v>SUC URRAO DS</v>
          </cell>
        </row>
        <row r="2899">
          <cell r="B2899" t="str">
            <v>SUC USAQUEN SANTA BARBARA</v>
          </cell>
        </row>
        <row r="2900">
          <cell r="B2900" t="str">
            <v>SUC USAQUEN SANTA BARBARA DS</v>
          </cell>
        </row>
        <row r="2901">
          <cell r="B2901" t="str">
            <v>SUC VALLEDUPAR</v>
          </cell>
        </row>
        <row r="2902">
          <cell r="B2902" t="str">
            <v>SUC VALLEDUPAR DS</v>
          </cell>
        </row>
        <row r="2903">
          <cell r="B2903" t="str">
            <v>SUC VALVANERA</v>
          </cell>
        </row>
        <row r="2904">
          <cell r="B2904" t="str">
            <v>SUC VALVANERA DS</v>
          </cell>
        </row>
        <row r="2905">
          <cell r="B2905" t="str">
            <v>SUC VELEZ</v>
          </cell>
        </row>
        <row r="2906">
          <cell r="B2906" t="str">
            <v>SUC VELEZ DS</v>
          </cell>
        </row>
        <row r="2907">
          <cell r="B2907" t="str">
            <v>SUC VENECIA</v>
          </cell>
        </row>
        <row r="2908">
          <cell r="B2908" t="str">
            <v>SUC VENECIA DS</v>
          </cell>
        </row>
        <row r="2909">
          <cell r="B2909" t="str">
            <v>SUC VENTURA PLAZA</v>
          </cell>
        </row>
        <row r="2910">
          <cell r="B2910" t="str">
            <v>SUC VENTURA PLAZA DS</v>
          </cell>
        </row>
        <row r="2911">
          <cell r="B2911" t="str">
            <v>SUC VERSALLES</v>
          </cell>
        </row>
        <row r="2912">
          <cell r="B2912" t="str">
            <v>SUC VERSALLES DS</v>
          </cell>
        </row>
        <row r="2913">
          <cell r="B2913" t="str">
            <v>SUC VICTORIA PLAZA</v>
          </cell>
        </row>
        <row r="2914">
          <cell r="B2914" t="str">
            <v>SUC VICTORIA PLAZA DS</v>
          </cell>
        </row>
        <row r="2915">
          <cell r="B2915" t="str">
            <v>SUC VILLA COUNTRY</v>
          </cell>
        </row>
        <row r="2916">
          <cell r="B2916" t="str">
            <v>SUC VILLA COUNTRY DS</v>
          </cell>
        </row>
        <row r="2917">
          <cell r="B2917" t="str">
            <v>SUC VILLA DE LEYVA</v>
          </cell>
        </row>
        <row r="2918">
          <cell r="B2918" t="str">
            <v>SUC VILLA DE LEYVA DS</v>
          </cell>
        </row>
        <row r="2919">
          <cell r="B2919" t="str">
            <v>SUC VILLACENTRO</v>
          </cell>
        </row>
        <row r="2920">
          <cell r="B2920" t="str">
            <v>SUC VILLACENTRO DS</v>
          </cell>
        </row>
        <row r="2921">
          <cell r="B2921" t="str">
            <v>SUC VILLACOLOMBIA</v>
          </cell>
        </row>
        <row r="2922">
          <cell r="B2922" t="str">
            <v>SUC VILLACOLOMBIA DS</v>
          </cell>
        </row>
        <row r="2923">
          <cell r="B2923" t="str">
            <v>SUC VILLANUEVA</v>
          </cell>
        </row>
        <row r="2924">
          <cell r="B2924" t="str">
            <v>SUC VILLANUEVA  CASANARE</v>
          </cell>
        </row>
        <row r="2925">
          <cell r="B2925" t="str">
            <v>SUC VILLANUEVA CASANARE DS</v>
          </cell>
        </row>
        <row r="2926">
          <cell r="B2926" t="str">
            <v>SUC VILLANUEVA DS</v>
          </cell>
        </row>
        <row r="2927">
          <cell r="B2927" t="str">
            <v>SUC VILLAPINZON</v>
          </cell>
        </row>
        <row r="2928">
          <cell r="B2928" t="str">
            <v>SUC VILLAPINZON DS</v>
          </cell>
        </row>
        <row r="2929">
          <cell r="B2929" t="str">
            <v>SUC VILLAVICENCIO</v>
          </cell>
        </row>
        <row r="2930">
          <cell r="B2930" t="str">
            <v>SUC VILLAVICENCIO DS</v>
          </cell>
        </row>
        <row r="2931">
          <cell r="B2931" t="str">
            <v>SUC VILLETA</v>
          </cell>
        </row>
        <row r="2932">
          <cell r="B2932" t="str">
            <v>SUC VILLETA DS</v>
          </cell>
        </row>
        <row r="2933">
          <cell r="B2933" t="str">
            <v>SUC VIPASA</v>
          </cell>
        </row>
        <row r="2934">
          <cell r="B2934" t="str">
            <v>SUC VIPASA DS</v>
          </cell>
        </row>
        <row r="2935">
          <cell r="B2935" t="str">
            <v>SUC VISITACION</v>
          </cell>
        </row>
        <row r="2936">
          <cell r="B2936" t="str">
            <v>SUC VISITACION DS</v>
          </cell>
        </row>
        <row r="2937">
          <cell r="B2937" t="str">
            <v>SUC VIVA LAURELES</v>
          </cell>
        </row>
        <row r="2938">
          <cell r="B2938" t="str">
            <v>SUC VIVA LAURELES DS</v>
          </cell>
        </row>
        <row r="2939">
          <cell r="B2939" t="str">
            <v>SUC WORLD TRADE CENTER</v>
          </cell>
        </row>
        <row r="2940">
          <cell r="B2940" t="str">
            <v>SUC WORLD TRADE CENTER DS</v>
          </cell>
        </row>
        <row r="2941">
          <cell r="B2941" t="str">
            <v>SUC YAGUARA DS</v>
          </cell>
        </row>
        <row r="2942">
          <cell r="B2942" t="str">
            <v>SUC YARUMAL</v>
          </cell>
        </row>
        <row r="2943">
          <cell r="B2943" t="str">
            <v>SUC YARUMAL DS</v>
          </cell>
        </row>
        <row r="2944">
          <cell r="B2944" t="str">
            <v>SUC YOPAL</v>
          </cell>
        </row>
        <row r="2945">
          <cell r="B2945" t="str">
            <v>SUC YOPAL DS</v>
          </cell>
        </row>
        <row r="2946">
          <cell r="B2946" t="str">
            <v>SUC YOPAL OF. 88 TAURAMENA</v>
          </cell>
        </row>
        <row r="2947">
          <cell r="B2947" t="str">
            <v>SUC YOPAL OF. 88 TAURAMENA DS</v>
          </cell>
        </row>
        <row r="2948">
          <cell r="B2948" t="str">
            <v>SUC YUMBO</v>
          </cell>
        </row>
        <row r="2949">
          <cell r="B2949" t="str">
            <v>SUC YUMBO DS</v>
          </cell>
        </row>
        <row r="2950">
          <cell r="B2950" t="str">
            <v>SUC ZIPAQUIRA</v>
          </cell>
        </row>
        <row r="2951">
          <cell r="B2951" t="str">
            <v>SUC ZIPAQUIRA DS</v>
          </cell>
        </row>
        <row r="2952">
          <cell r="B2952" t="str">
            <v>SUC ZONA FRANCA DE RIONEGRO DS</v>
          </cell>
        </row>
        <row r="2953">
          <cell r="B2953" t="str">
            <v>SUC ZONA FRANCA DS</v>
          </cell>
        </row>
        <row r="2954">
          <cell r="B2954" t="str">
            <v>SUC ZONA ROSA</v>
          </cell>
        </row>
        <row r="2955">
          <cell r="B2955" t="str">
            <v>SUC ZONA ROSA DS</v>
          </cell>
        </row>
        <row r="2956">
          <cell r="B2956" t="str">
            <v>SUCBANCA COLOMBIA GRANADA CALI</v>
          </cell>
        </row>
        <row r="2957">
          <cell r="B2957" t="str">
            <v>SUFI</v>
          </cell>
        </row>
        <row r="2958">
          <cell r="B2958" t="str">
            <v>TECNOLOGIA</v>
          </cell>
        </row>
        <row r="2959">
          <cell r="B2959" t="str">
            <v>VICEPRESIDENCIA  ESTRATEGIA  Y FINANZA</v>
          </cell>
        </row>
        <row r="2960">
          <cell r="B2960" t="str">
            <v>VICEPRESIDENCIA  ESTRATEGIA Y DLLO CCIAL</v>
          </cell>
        </row>
        <row r="2961">
          <cell r="B2961" t="str">
            <v>VICEPRESIDENCIA  INMOBILIARIA Y CONSUMO</v>
          </cell>
        </row>
        <row r="2962">
          <cell r="B2962" t="str">
            <v>VICEPRESIDENCIA ADMINISTRATIVA</v>
          </cell>
        </row>
        <row r="2963">
          <cell r="B2963" t="str">
            <v>VICEPRESIDENCIA ADMON FIDEICOMISOS</v>
          </cell>
        </row>
        <row r="2964">
          <cell r="B2964" t="str">
            <v>VICEPRESIDENCIA AUDITORIA INTERNA</v>
          </cell>
        </row>
        <row r="2965">
          <cell r="B2965" t="str">
            <v>VICEPRESIDENCIA BCA DE EMPRESAS Y PYME</v>
          </cell>
        </row>
        <row r="2966">
          <cell r="B2966" t="str">
            <v>VICEPRESIDENCIA BCA DE PERSONAS Y PYMES</v>
          </cell>
        </row>
        <row r="2967">
          <cell r="B2967" t="str">
            <v>VICEPRESIDENCIA CCIAL BANCA EMPRESARIAL</v>
          </cell>
        </row>
        <row r="2968">
          <cell r="B2968" t="str">
            <v>VICEPRESIDENCIA CCIAL BANCA PYMES</v>
          </cell>
        </row>
        <row r="2969">
          <cell r="B2969" t="str">
            <v>VICEPRESIDENCIA COMERCIAL</v>
          </cell>
        </row>
        <row r="2970">
          <cell r="B2970" t="str">
            <v>VICEPRESIDENCIA COMERCIAL BANCA PRIVADA</v>
          </cell>
        </row>
        <row r="2971">
          <cell r="B2971" t="str">
            <v>VICEPRESIDENCIA COMERCIAL FAC</v>
          </cell>
        </row>
        <row r="2972">
          <cell r="B2972" t="str">
            <v>VICEPRESIDENCIA COMERCIAL GOBIERNO</v>
          </cell>
        </row>
        <row r="2973">
          <cell r="B2973" t="str">
            <v>VICEPRESIDENCIA CORPORATIVA DE SERVICIOS</v>
          </cell>
        </row>
        <row r="2974">
          <cell r="B2974" t="str">
            <v>VICEPRESIDENCIA DE DESARROLLO</v>
          </cell>
        </row>
        <row r="2975">
          <cell r="B2975" t="str">
            <v>VICEPRESIDENCIA DE RIESGOS</v>
          </cell>
        </row>
        <row r="2976">
          <cell r="B2976" t="str">
            <v>VICEPRESIDENCIA EMPRESAS Y GOB</v>
          </cell>
        </row>
        <row r="2977">
          <cell r="B2977" t="str">
            <v>VICEPRESIDENCIA ESPECIALISTAS Y ESTRUCTU</v>
          </cell>
        </row>
        <row r="2978">
          <cell r="B2978" t="str">
            <v>VICEPRESIDENCIA ESTRUCTCION MKDO CAPTALS</v>
          </cell>
        </row>
        <row r="2979">
          <cell r="B2979" t="str">
            <v>VICEPRESIDENCIA ESTRUCTURACION</v>
          </cell>
        </row>
        <row r="2980">
          <cell r="B2980" t="str">
            <v>VICEPRESIDENCIA ESTRUCTURACION FCIERA</v>
          </cell>
        </row>
        <row r="2981">
          <cell r="B2981" t="str">
            <v>VICEPRESIDENCIA ESTRUCTURACION NEGOCIOS</v>
          </cell>
        </row>
        <row r="2982">
          <cell r="B2982" t="str">
            <v>VICEPRESIDENCIA FIDUCIA PUBLICA</v>
          </cell>
        </row>
        <row r="2983">
          <cell r="B2983" t="str">
            <v>VICEPRESIDENCIA FINANCIERA</v>
          </cell>
        </row>
        <row r="2984">
          <cell r="B2984" t="str">
            <v>VICEPRESIDENCIA FINANZAS CORPORATIVAS</v>
          </cell>
        </row>
        <row r="2985">
          <cell r="B2985" t="str">
            <v>VICEPRESIDENCIA GESTION DE LO HUMANO</v>
          </cell>
        </row>
        <row r="2986">
          <cell r="B2986" t="str">
            <v>VICEPRESIDENCIA GTION CCIAL NEGOCIOS FID</v>
          </cell>
        </row>
        <row r="2987">
          <cell r="B2987" t="str">
            <v>VICEPRESIDENCIA INMOB Y CONST OTRAS CUID</v>
          </cell>
        </row>
        <row r="2988">
          <cell r="B2988" t="str">
            <v>VICEPRESIDENCIA INMOB Y CONST OTRAS REG</v>
          </cell>
        </row>
        <row r="2989">
          <cell r="B2989" t="str">
            <v>VICEPRESIDENCIA INMOBILIARIA CONST ANTIO</v>
          </cell>
        </row>
        <row r="2990">
          <cell r="B2990" t="str">
            <v>VICEPRESIDENCIA INMOBILIARIA CONST BOGOT</v>
          </cell>
        </row>
        <row r="2991">
          <cell r="B2991" t="str">
            <v>VICEPRESIDENCIA INMOBILIARIA CONSTRUCTOR</v>
          </cell>
        </row>
        <row r="2992">
          <cell r="B2992" t="str">
            <v>VICEPRESIDENCIA INMOBILIARIA CONSUMO ESP</v>
          </cell>
        </row>
        <row r="2993">
          <cell r="B2993" t="str">
            <v>VICEPRESIDENCIA INTERNACIONAL</v>
          </cell>
        </row>
        <row r="2994">
          <cell r="B2994" t="str">
            <v>VICEPRESIDENCIA INVERSIONES</v>
          </cell>
        </row>
        <row r="2995">
          <cell r="B2995" t="str">
            <v>VICEPRESIDENCIA INVERSIONES DE CAPITAL</v>
          </cell>
        </row>
        <row r="2996">
          <cell r="B2996" t="str">
            <v>VICEPRESIDENCIA JURIDICA SECRET GENERAL</v>
          </cell>
        </row>
        <row r="2997">
          <cell r="B2997" t="str">
            <v>VICEPRESIDENCIA MEDIOS DE PAGO</v>
          </cell>
        </row>
        <row r="2998">
          <cell r="B2998" t="str">
            <v>VICEPRESIDENCIA MERCADO DE CAPITALES</v>
          </cell>
        </row>
        <row r="2999">
          <cell r="B2999" t="str">
            <v>VICEPRESIDENCIA MESAS DE NEGOCIACION</v>
          </cell>
        </row>
        <row r="3000">
          <cell r="B3000" t="str">
            <v>VICEPRESIDENCIA ORIGINACION DE NEGOCIOS</v>
          </cell>
        </row>
        <row r="3001">
          <cell r="B3001" t="str">
            <v>VICEPRESIDENCIA PERSONAS Y PYME ANTIOQUI</v>
          </cell>
        </row>
        <row r="3002">
          <cell r="B3002" t="str">
            <v>VICEPRESIDENCIA PERSONAS Y PYME BOGOTA</v>
          </cell>
        </row>
        <row r="3003">
          <cell r="B3003" t="str">
            <v>VICEPRESIDENCIA PERSONAS Y PYME CARIBE</v>
          </cell>
        </row>
        <row r="3004">
          <cell r="B3004" t="str">
            <v>VICEPRESIDENCIA PERSONAS Y PYME CENTRO</v>
          </cell>
        </row>
        <row r="3005">
          <cell r="B3005" t="str">
            <v>VICEPRESIDENCIA PERSONAS Y PYME SUR</v>
          </cell>
        </row>
        <row r="3006">
          <cell r="B3006" t="str">
            <v>VICEPRESIDENCIA PERSONAS Y PYMES</v>
          </cell>
        </row>
        <row r="3007">
          <cell r="B3007" t="str">
            <v>VICEPRESIDENCIA SECRETARIA GENERAL</v>
          </cell>
        </row>
        <row r="3008">
          <cell r="B3008" t="str">
            <v>VICEPRESIDENCIA SERV ADMINISTRATIVOS</v>
          </cell>
        </row>
        <row r="3009">
          <cell r="B3009" t="str">
            <v>VICEPRESIDENCIA SERV DE TECNOLOGIA</v>
          </cell>
        </row>
        <row r="3010">
          <cell r="B3010" t="str">
            <v>VICEPRESIDENCIA SERV PARA LOS CLIENTES</v>
          </cell>
        </row>
        <row r="3011">
          <cell r="B3011" t="str">
            <v>VICEPRESIDENCIA TECNOLOGIA DE INFORMACI</v>
          </cell>
        </row>
        <row r="3012">
          <cell r="B3012" t="str">
            <v>VP BANCA EMPRESAS Y GOBIERNO ANTIOQUIA</v>
          </cell>
        </row>
        <row r="3013">
          <cell r="B3013" t="str">
            <v>VP BANCA EMPRESAS Y GOBIERNO BOGOTA</v>
          </cell>
        </row>
        <row r="3014">
          <cell r="B3014" t="str">
            <v>VP BANCA EMPRESAS Y GOBIERNO CARIBE</v>
          </cell>
        </row>
        <row r="3015">
          <cell r="B3015" t="str">
            <v>VP BANCA EMPRESAS Y GOBIERNO SUR</v>
          </cell>
        </row>
        <row r="3016">
          <cell r="B3016" t="str">
            <v>FACTORING BANCOLOMBIA</v>
          </cell>
        </row>
        <row r="3017">
          <cell r="B3017" t="str">
            <v>FIDUCIARIA BANCOLOMBIA</v>
          </cell>
        </row>
        <row r="3018">
          <cell r="B3018" t="str">
            <v>GCIA DE CONTINUIDAD DEL NEGOCIO</v>
          </cell>
        </row>
        <row r="3019">
          <cell r="B3019" t="str">
            <v>LEASING BANCOLOMBIA</v>
          </cell>
        </row>
        <row r="3020">
          <cell r="B3020" t="str">
            <v>VALORES BANCOLOMBIA</v>
          </cell>
        </row>
      </sheetData>
      <sheetData sheetId="5">
        <row r="2">
          <cell r="B2" t="str">
            <v>APRENDIZ</v>
          </cell>
        </row>
        <row r="3">
          <cell r="B3" t="str">
            <v>AREA REVISION S</v>
          </cell>
        </row>
        <row r="4">
          <cell r="B4" t="str">
            <v>BECARIOS</v>
          </cell>
        </row>
        <row r="5">
          <cell r="B5" t="str">
            <v>IDENTIDAD CORPORATIVA</v>
          </cell>
        </row>
        <row r="6">
          <cell r="B6" t="str">
            <v>PRESIDENCIA</v>
          </cell>
        </row>
        <row r="7">
          <cell r="B7" t="str">
            <v>VICEPRESIDENCIA  ESTRATEGIA  Y FINANZA</v>
          </cell>
        </row>
        <row r="8">
          <cell r="B8" t="str">
            <v>VICEPRESIDENCIA AUDITORIA INTERNA</v>
          </cell>
        </row>
        <row r="9">
          <cell r="B9" t="str">
            <v>VICEPRESIDENCIA CORPORATIVA DE SERVICIOS</v>
          </cell>
        </row>
        <row r="10">
          <cell r="B10" t="str">
            <v>VICEPRESIDENCIA DE RIESGOS</v>
          </cell>
        </row>
        <row r="11">
          <cell r="B11" t="str">
            <v>VICEPRESIDENCIA EMPRESAS Y GOB</v>
          </cell>
        </row>
        <row r="12">
          <cell r="B12" t="str">
            <v>VICEPRESIDENCIA GESTION DE LO HUMANO</v>
          </cell>
        </row>
        <row r="13">
          <cell r="B13" t="str">
            <v>VICEPRESIDENCIA INMOBILIARIA CONSUMO ESP</v>
          </cell>
        </row>
        <row r="14">
          <cell r="B14" t="str">
            <v>VICEPRESIDENCIA INTERNACIONAL</v>
          </cell>
        </row>
        <row r="15">
          <cell r="B15" t="str">
            <v>VICEPRESIDENCIA JURIDICA SECRET GENERAL</v>
          </cell>
        </row>
        <row r="16">
          <cell r="B16" t="str">
            <v>VICEPRESIDENCIA MERCADO DE CAPITALES</v>
          </cell>
        </row>
        <row r="17">
          <cell r="B17" t="str">
            <v>VICEPRESIDENCIA PERSONAS Y PYMES</v>
          </cell>
        </row>
        <row r="18">
          <cell r="B18" t="str">
            <v>LEASING BANCOLOMBIA</v>
          </cell>
        </row>
        <row r="19">
          <cell r="B19" t="str">
            <v>VALORES BANCOLOMBIA</v>
          </cell>
        </row>
        <row r="20">
          <cell r="B20" t="str">
            <v>FIDUCIARIA BANCOLOMBIA</v>
          </cell>
        </row>
        <row r="21">
          <cell r="B21" t="str">
            <v>FACTORING BANCOLOMBIA</v>
          </cell>
        </row>
        <row r="22">
          <cell r="B22" t="str">
            <v>DIRECCION DE CULTURA ORGANIZACIONAL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6D8D99-1D8D-4CD0-A62C-8DEADB187BA9}" name="TERCEROS_INFO" displayName="TERCEROS_INFO" ref="A1:G259" totalsRowShown="0" headerRowDxfId="239" dataDxfId="238">
  <autoFilter ref="A1:G259" xr:uid="{7ED95743-F75E-4CF1-ACE5-33EBA2B81EAE}">
    <filterColumn colId="0">
      <filters>
        <filter val="GRUPOINTER TERCERO"/>
      </filters>
    </filterColumn>
  </autoFilter>
  <sortState xmlns:xlrd2="http://schemas.microsoft.com/office/spreadsheetml/2017/richdata2" ref="A2:G249">
    <sortCondition ref="A1:A249"/>
  </sortState>
  <tableColumns count="7">
    <tableColumn id="1" xr3:uid="{36A50E19-DC7A-4E16-BE4C-42C64333F9EA}" name="PROVEEDOR" dataDxfId="237"/>
    <tableColumn id="2" xr3:uid="{33B16C29-2DF5-45A1-87C1-48E44DFA4D60}" name="DIAS DE PLAZO" dataDxfId="236"/>
    <tableColumn id="3" xr3:uid="{FB09C725-92D2-4DCA-AB96-E3501A05815F}" name="IVA" dataDxfId="235"/>
    <tableColumn id="4" xr3:uid="{47EE1BEF-5743-48E9-9535-8D13DB950F0E}" name="RETENCIÓN FUENTE" dataDxfId="234"/>
    <tableColumn id="7" xr3:uid="{6DF6E84E-4497-42A2-A0FF-8BB736818592}" name="ID RETENCION" dataDxfId="233"/>
    <tableColumn id="5" xr3:uid="{C601C28E-77FB-4104-BEA3-CABF7F512A2B}" name="CORREO" dataDxfId="232"/>
    <tableColumn id="6" xr3:uid="{0898AD1E-5D0B-451F-AD5F-54E60AC27BC0}" name="CUENTA BANCARIA" dataDxfId="23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VEEDORES" displayName="PROVEEDORES" ref="A1:Y1473" totalsRowShown="0" headerRowDxfId="93" dataDxfId="92" tableBorderDxfId="91">
  <autoFilter ref="A1:Y1473" xr:uid="{00000000-000C-0000-FFFF-FFFF00000000}"/>
  <sortState xmlns:xlrd2="http://schemas.microsoft.com/office/spreadsheetml/2017/richdata2" ref="A21:Y1432">
    <sortCondition ref="I1:I1449"/>
  </sortState>
  <tableColumns count="25">
    <tableColumn id="13" xr3:uid="{00000000-0010-0000-0000-00000D000000}" name="Crédito / Contado" dataDxfId="90">
      <calculatedColumnFormula>+IF(PROVEEDORES[[#This Row],[FECHA DE PAGO]]=PROVEEDORES[[#This Row],[FECHA DE FACTURACIÓN]],"DE CONTADO","CRÉDITO")</calculatedColumnFormula>
    </tableColumn>
    <tableColumn id="6" xr3:uid="{44C0B0A2-A688-4E26-A480-9B42C3EF018E}" name="PV" dataDxfId="89">
      <calculatedColumnFormula>+IF((PROVEEDORES[[#This Row],[FECHA DE PAGO]]-PROVEEDORES[[#This Row],[FECHA DE FACTURACIÓN]])&gt;PROVEEDORES[[#This Row],[PLAZO Días]],"PAGO VENCIDO")</calculatedColumnFormula>
    </tableColumn>
    <tableColumn id="23" xr3:uid="{0ADC31DF-4124-4861-B159-C371288D9CC2}" name="PLAZO Días" dataDxfId="88">
      <calculatedColumnFormula>+VLOOKUP(PROVEEDORES[[#This Row],[PROVEEDOR]],TERCEROS_INFO[#All],2,FALSE)</calculatedColumnFormula>
    </tableColumn>
    <tableColumn id="2" xr3:uid="{CA18640B-7586-4599-A1A6-79DD9C098ECB}" name="SALDO PROVEEDOR" dataDxfId="87">
      <calculatedColumnFormula>+SUMIFS(PROVEEDORES[Total],PROVEEDORES[PROVEEDOR],PROVEEDORES[[#This Row],[PROVEEDOR]],PROVEEDORES[FECHA DE PAGO],"")</calculatedColumnFormula>
    </tableColumn>
    <tableColumn id="10" xr3:uid="{00000000-0010-0000-0000-00000A000000}" name="NOTAS" dataDxfId="86"/>
    <tableColumn id="7" xr3:uid="{2C9B9FC6-B6FA-4691-B956-6773DF789E72}" name="CORREO" dataDxfId="85">
      <calculatedColumnFormula>+VLOOKUP(PROVEEDORES[[#This Row],[PROVEEDOR]],
                       Terceros!$A:$G,
                       6,
                       FALSE)</calculatedColumnFormula>
    </tableColumn>
    <tableColumn id="11" xr3:uid="{00000000-0010-0000-0000-00000B000000}" name="FECHA DE PAGO" dataDxfId="84"/>
    <tableColumn id="4" xr3:uid="{00000000-0010-0000-0000-000004000000}" name="PROVEEDOR" dataDxfId="83"/>
    <tableColumn id="1" xr3:uid="{00000000-0010-0000-0000-000001000000}" name="FECHA DE FACTURACIÓN" dataDxfId="82"/>
    <tableColumn id="3" xr3:uid="{00000000-0010-0000-0000-000003000000}" name="# DE FACTURA" dataDxfId="81"/>
    <tableColumn id="15" xr3:uid="{B1350CF4-DA6B-4294-A0DB-4FBB916B554A}" name="SUBTOTAL" dataDxfId="80"/>
    <tableColumn id="17" xr3:uid="{A79AB6A5-68EA-474F-A3FF-ABB7D1FAF67C}" name="descuento antes de IVA" dataDxfId="79"/>
    <tableColumn id="16" xr3:uid="{32787828-8C20-41E0-97DF-12438EA779B5}" name="IVA 19%" dataDxfId="78">
      <calculatedColumnFormula>(PROVEEDORES[[#This Row],[SUBTOTAL]]-PROVEEDORES[[#This Row],[descuento antes de IVA]])*VLOOKUP(PROVEEDORES[[#This Row],[PROVEEDOR]],TERCEROS_INFO[#All],3,FALSE)</calculatedColumnFormula>
    </tableColumn>
    <tableColumn id="18" xr3:uid="{810F2A6C-D445-432A-A959-F319CA671B12}" name="Descuento sobre subtotal %" dataDxfId="77"/>
    <tableColumn id="19" xr3:uid="{8E79B2DF-E4C8-4835-BA19-92575BA6D5A8}" name="Descuento sobre subtotal $" dataDxfId="76">
      <calculatedColumnFormula>+PROVEEDORES[[#This Row],[Descuento sobre subtotal %]]*(PROVEEDORES[[#This Row],[SUBTOTAL]]-PROVEEDORES[[#This Row],[descuento antes de IVA]])</calculatedColumnFormula>
    </tableColumn>
    <tableColumn id="5" xr3:uid="{509594F6-DB0D-451A-A2DA-90F348BFE23F}" name="Rete Fuente %" dataDxfId="75">
      <calculatedColumnFormula>+IF(PROVEEDORES[[#This Row],[SUBTOTAL]]&lt;PROVEEDORES[[#This Row],[base retencion]],0,PROVEEDORES[[#This Row],[retención aplicada]])</calculatedColumnFormula>
    </tableColumn>
    <tableColumn id="21" xr3:uid="{3708E46D-09DC-4E94-9398-61B753B43C10}" name="Rete Fuente $" dataDxfId="74">
      <calculatedColumnFormula>+PROVEEDORES[[#This Row],[Rete Fuente %]]*PROVEEDORES[[#This Row],[SUBTOTAL]]</calculatedColumnFormula>
    </tableColumn>
    <tableColumn id="22" xr3:uid="{BC400F1B-A204-41A6-A0A2-E831AD48252C}" name="Total" dataDxfId="73">
      <calculatedColumnFormula>+PROVEEDORES[[#This Row],[SUBTOTAL]]+PROVEEDORES[[#This Row],[IVA 19%]]-PROVEEDORES[[#This Row],[descuento antes de IVA]]-PROVEEDORES[[#This Row],[Descuento sobre subtotal $]]-PROVEEDORES[[#This Row],[Rete Fuente $]]</calculatedColumnFormula>
    </tableColumn>
    <tableColumn id="12" xr3:uid="{00000000-0010-0000-0000-00000C000000}" name="Estado de la factura" dataDxfId="72">
      <calculatedColumnFormula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calculatedColumnFormula>
    </tableColumn>
    <tableColumn id="8" xr3:uid="{BB24E7AB-03AF-45D0-8B8F-F77FB29B13AF}" name="días de vencimiento" dataDxfId="71">
      <calculatedColumnFormula>IF(PROVEEDORES[[#This Row],[FECHA DE PAGO]]=0,TODAY()-PROVEEDORES[[#This Row],[FECHA DE FACTURACIÓN]]-PROVEEDORES[[#This Row],[PLAZO Días]],0)</calculatedColumnFormula>
    </tableColumn>
    <tableColumn id="14" xr3:uid="{DD0F8145-67E4-4869-AF10-5FA647996A45}" name="ID RETENCION" dataDxfId="70">
      <calculatedColumnFormula>+VLOOKUP(PROVEEDORES[[#This Row],[PROVEEDOR]],Terceros!$A:$E,5,FALSE)</calculatedColumnFormula>
    </tableColumn>
    <tableColumn id="9" xr3:uid="{CF488130-1CA7-4C2E-A675-7C4B6C3241B2}" name="año facturado" dataDxfId="69">
      <calculatedColumnFormula>+YEAR(PROVEEDORES[[#This Row],[FECHA DE FACTURACIÓN]])</calculatedColumnFormula>
    </tableColumn>
    <tableColumn id="25" xr3:uid="{14878D9B-5127-4C97-AE59-B242D3DF8260}" name="indicador de columna" dataDxfId="68">
      <calculatedColumnFormula>+MATCH(PROVEEDORES[[#This Row],[año facturado]],Retenciones!$1:$1,0)</calculatedColumnFormula>
    </tableColumn>
    <tableColumn id="24" xr3:uid="{599BF99C-B1CB-4B80-A4D4-5CD439D15A2B}" name="base retencion" dataDxfId="67">
      <calculatedColumnFormula>+VLOOKUP(PROVEEDORES[[#This Row],[ID RETENCION]],Retenciones!$A$1:$O$24,PROVEEDORES[[#This Row],[indicador de columna]],FALSE)</calculatedColumnFormula>
    </tableColumn>
    <tableColumn id="26" xr3:uid="{0DFE0347-37D3-4F2D-A383-1AB170844AF8}" name="retención aplicada" dataDxfId="66">
      <calculatedColumnFormula>+VLOOKUP(PROVEEDORES[[#This Row],[ID RETENCION]],Retenciones!$A$1:$O$24,2,FALSE)</calculatedColumnFormula>
    </tableColumn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9C2564-C1F9-4E2E-88B6-BAEE1998EC6E}" name="PROVEEDORES3" displayName="PROVEEDORES3" ref="A1:I31" totalsRowShown="0" headerRowDxfId="230" dataDxfId="229" tableBorderDxfId="228">
  <autoFilter ref="A1:I31" xr:uid="{00000000-0009-0000-0100-000001000000}">
    <filterColumn colId="4">
      <filters>
        <filter val="KENEX"/>
      </filters>
    </filterColumn>
  </autoFilter>
  <sortState xmlns:xlrd2="http://schemas.microsoft.com/office/spreadsheetml/2017/richdata2" ref="A2:I22">
    <sortCondition ref="D1:D23"/>
  </sortState>
  <tableColumns count="9">
    <tableColumn id="13" xr3:uid="{B42BD185-3F71-4F2C-AEA4-92B1BD04B885}" name="Crédito / Contado" dataDxfId="227">
      <calculatedColumnFormula>+IF(PROVEEDORES3[[#This Row],[FECHA DE PAGO]]=PROVEEDORES3[[#This Row],[FECHA DE FACTURACIÓN]],"DE CONTADO","CRÉDITO")</calculatedColumnFormula>
    </tableColumn>
    <tableColumn id="6" xr3:uid="{39803CE2-FFBF-4D55-A688-68FD0D849FB4}" name="PV" dataDxfId="226">
      <calculatedColumnFormula>+IF((PROVEEDORES3[[#This Row],[FECHA DE PAGO]]-PROVEEDORES3[[#This Row],[FECHA DE FACTURACIÓN]])&gt;#REF!,"PAGO VENCIDO")</calculatedColumnFormula>
    </tableColumn>
    <tableColumn id="7" xr3:uid="{6B170910-AAE7-4809-9E44-4304BC1A8E64}" name="CORREO" dataDxfId="225">
      <calculatedColumnFormula>+VLOOKUP(PROVEEDORES3[[#This Row],[PROVEEDOR]],TERCEROS_INFO[[PROVEEDOR]:[CORREO]],5,FALSE)</calculatedColumnFormula>
    </tableColumn>
    <tableColumn id="11" xr3:uid="{574CCCB7-6404-4014-A7C4-E24B35C8242E}" name="FECHA DE PAGO" dataDxfId="224"/>
    <tableColumn id="4" xr3:uid="{2700B3B9-841F-4270-BE9A-B050B545D6DF}" name="PROVEEDOR" dataDxfId="223"/>
    <tableColumn id="1" xr3:uid="{B9637DF7-0F06-414E-8A02-470A0D288B88}" name="FECHA DE FACTURACIÓN" dataDxfId="222"/>
    <tableColumn id="3" xr3:uid="{10A8A101-FA0E-4186-AE5D-EF5556E9484A}" name="# DE FACTURA" dataDxfId="221"/>
    <tableColumn id="15" xr3:uid="{30CB4C40-8263-4421-A32D-17C764402102}" name="Total USD" dataDxfId="220"/>
    <tableColumn id="17" xr3:uid="{1392C75A-49B5-4F13-B7A2-4E0DF985E8DF}" name="COP" dataDxfId="219">
      <calculatedColumnFormula>+PROVEEDORES3[[#This Row],[Total USD]]*3828.5</calculatedColumnFormula>
    </tableColumn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FINANCIACION" displayName="FINANCIACION" ref="A1:J1004" totalsRowShown="0" headerRowDxfId="218" dataDxfId="217">
  <autoFilter ref="A1:J1004" xr:uid="{00000000-0009-0000-0100-000006000000}">
    <filterColumn colId="1">
      <filters>
        <filter val="ITAU"/>
      </filters>
    </filterColumn>
  </autoFilter>
  <sortState xmlns:xlrd2="http://schemas.microsoft.com/office/spreadsheetml/2017/richdata2" ref="A933:J976">
    <sortCondition ref="C1:C976"/>
  </sortState>
  <tableColumns count="10">
    <tableColumn id="1" xr3:uid="{00000000-0010-0000-0200-000001000000}" name="Fecha" dataDxfId="216" totalsRowDxfId="215"/>
    <tableColumn id="2" xr3:uid="{00000000-0010-0000-0200-000002000000}" name="PRESTAMO" dataDxfId="214" totalsRowDxfId="213"/>
    <tableColumn id="5" xr3:uid="{00000000-0010-0000-0200-000005000000}" name="$ CAPITAL" dataDxfId="212" totalsRowDxfId="211"/>
    <tableColumn id="6" xr3:uid="{00000000-0010-0000-0200-000006000000}" name="$ INTERESES" dataDxfId="210" totalsRowDxfId="209"/>
    <tableColumn id="13" xr3:uid="{AC18AAE4-5F2F-43AA-9096-028504347CEB}" name="PAGO" dataDxfId="208" totalsRowDxfId="207"/>
    <tableColumn id="16" xr3:uid="{4B8B17DE-D423-4092-ADCD-01A01AB7EA01}" name="SALDO" dataDxfId="206" totalsRowDxfId="205">
      <calculatedColumnFormula>+SUMIFS(FINANCIACION[$ CAPITAL],FINANCIACION[Fecha],"&lt;="&amp;FINANCIACION[[#This Row],[Fecha]],FINANCIACION[PRESTAMO],FINANCIACION[[#This Row],[PRESTAMO]])</calculatedColumnFormula>
    </tableColumn>
    <tableColumn id="9" xr3:uid="{00000000-0010-0000-0200-000009000000}" name="DETALLE" dataDxfId="204" totalsRowDxfId="203"/>
    <tableColumn id="10" xr3:uid="{00000000-0010-0000-0200-00000A000000}" name="VALOR EN DOLARES" dataDxfId="202" totalsRowDxfId="201"/>
    <tableColumn id="4" xr3:uid="{00000000-0010-0000-0200-000004000000}" name="ABONOS" dataDxfId="200" totalsRowDxfId="199">
      <calculatedColumnFormula>+IF(FINANCIACION[[#This Row],[$ CAPITAL]]&gt;0,FINANCIACION[[#This Row],[$ CAPITAL]])</calculatedColumnFormula>
    </tableColumn>
    <tableColumn id="11" xr3:uid="{00000000-0010-0000-0200-00000B000000}" name="Pagos del mes" dataDxfId="198" totalsRowDxfId="197">
      <calculatedColumnFormula>+IF(FINANCIACION[[#This Row],[$ CAPITAL]]&gt;=0,FINANCIACION[[#This Row],[$ CAPITAL]]+FINANCIACION[[#This Row],[$ INTERESES]],0)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1E4E5B-D41E-4DBC-BA0B-E05C8D02B861}" name="Tabla10" displayName="Tabla10" ref="A1:S49" totalsRowShown="0" headerRowDxfId="196" dataDxfId="195">
  <autoFilter ref="A1:S49" xr:uid="{0E1D4469-06DD-45C8-98F5-0FCFA256904B}"/>
  <sortState xmlns:xlrd2="http://schemas.microsoft.com/office/spreadsheetml/2017/richdata2" ref="A2:S49">
    <sortCondition ref="A1:A49"/>
  </sortState>
  <tableColumns count="19">
    <tableColumn id="1" xr3:uid="{352BFAB1-24B4-46D7-A59C-4164B96E8980}" name="PRESTAMO" dataDxfId="194"/>
    <tableColumn id="14" xr3:uid="{2B557E5C-AC27-41FE-8DFA-A7BF147C7F35}" name="ene-21" dataDxfId="193">
      <calculatedColumnFormula>-SUMIFS(FINANCIACION[$ CAPITAL],
FINANCIACION[Fecha],"&lt;="&amp;EOMONTH(B$1,0),
FINANCIACION[PRESTAMO],$A2)</calculatedColumnFormula>
    </tableColumn>
    <tableColumn id="15" xr3:uid="{8C66D401-54F2-41E3-90F1-96A5620A0982}" name="feb-21" dataDxfId="192"/>
    <tableColumn id="16" xr3:uid="{222EB924-D0AF-46A5-BF28-38F90D88C37E}" name="mar-21" dataDxfId="191"/>
    <tableColumn id="18" xr3:uid="{B17AED81-1D07-47AA-9E5B-58794FC2E557}" name="abr-21" dataDxfId="190"/>
    <tableColumn id="17" xr3:uid="{E6393113-2F4A-4D73-889E-5C45B240BF18}" name="may-21" dataDxfId="189"/>
    <tableColumn id="19" xr3:uid="{44820D18-784B-4D8E-9233-AB03131C58A9}" name="jun-21" dataDxfId="188"/>
    <tableColumn id="22" xr3:uid="{1C5C170C-82C7-4291-AF61-DCADF0749248}" name="jul-21" dataDxfId="187"/>
    <tableColumn id="23" xr3:uid="{AB4DC181-30C2-41B0-8BD5-B1D92F0B09FC}" name="ago-21" dataDxfId="186"/>
    <tableColumn id="20" xr3:uid="{AE884B4E-E55B-4BF3-B332-ECCCFB9F33ED}" name="sep-21" dataDxfId="185"/>
    <tableColumn id="25" xr3:uid="{60E44DFB-2F64-4FBB-A99F-4DE41C5C2663}" name="oct-21" dataDxfId="184"/>
    <tableColumn id="21" xr3:uid="{F2D8FFEE-DDE1-4321-8B91-585BD71174DE}" name="nov-21" dataDxfId="183"/>
    <tableColumn id="29" xr3:uid="{7D18C2CF-4C7B-446F-8DE6-53A8FB922137}" name="dic-21" dataDxfId="182"/>
    <tableColumn id="2" xr3:uid="{6EB76E51-9174-4C1E-BDF6-0A5B2C6DC493}" name="ene-22" dataDxfId="181">
      <calculatedColumnFormula>-SUMIFS(FINANCIACION[$ CAPITAL],
FINANCIACION[Fecha],"&lt;="&amp;EOMONTH(N$1,0),
FINANCIACION[PRESTAMO],$A2)</calculatedColumnFormula>
    </tableColumn>
    <tableColumn id="3" xr3:uid="{3D6D5452-192E-47A7-84EB-C9C03F4939B1}" name="feb-22" dataDxfId="180">
      <calculatedColumnFormula>-SUMIFS(FINANCIACION[$ CAPITAL],
FINANCIACION[Fecha],"&lt;="&amp;EOMONTH(O$1,0),
FINANCIACION[PRESTAMO],$A2)</calculatedColumnFormula>
    </tableColumn>
    <tableColumn id="5" xr3:uid="{F1AC7D11-29A5-4A81-A355-FA223C246E4E}" name="mar-22" dataDxfId="179">
      <calculatedColumnFormula>-SUMIFS(FINANCIACION[$ CAPITAL],
FINANCIACION[Fecha],"&lt;="&amp;EOMONTH(P$1,0),
FINANCIACION[PRESTAMO],$A2)</calculatedColumnFormula>
    </tableColumn>
    <tableColumn id="4" xr3:uid="{2474FA82-00FF-4C86-800E-0E396C761EDC}" name="abr-22" dataDxfId="178">
      <calculatedColumnFormula>-SUMIFS(FINANCIACION[$ CAPITAL],
FINANCIACION[Fecha],"&lt;="&amp;EOMONTH(Q$1,0),
FINANCIACION[PRESTAMO],$A2)</calculatedColumnFormula>
    </tableColumn>
    <tableColumn id="7" xr3:uid="{6E7F80A0-409B-4A29-927C-1D0A2B567452}" name="abr-23" dataDxfId="177">
      <calculatedColumnFormula>+Tabla10[[#This Row],[abr-22]]-Tabla10[[#This Row],[may-23]]</calculatedColumnFormula>
    </tableColumn>
    <tableColumn id="6" xr3:uid="{F227FAF6-08CB-4A1D-95D3-EF3FA1CD69EE}" name="may-23" dataDxfId="17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2F881D-D942-4136-B09E-7D70FA3418A5}" name="Tabla3" displayName="Tabla3" ref="B1:F10" totalsRowShown="0">
  <autoFilter ref="B1:F10" xr:uid="{2B2F881D-D942-4136-B09E-7D70FA3418A5}"/>
  <sortState xmlns:xlrd2="http://schemas.microsoft.com/office/spreadsheetml/2017/richdata2" ref="B2:E10">
    <sortCondition ref="B1:B10"/>
  </sortState>
  <tableColumns count="5">
    <tableColumn id="1" xr3:uid="{56C91F94-1017-43F3-A2C4-862E8ADE3C36}" name="Tipo de producto"/>
    <tableColumn id="2" xr3:uid="{5E59678E-5FE3-465A-B33E-DE786AB61B68}" name="PAGO" dataDxfId="175"/>
    <tableColumn id="5" xr3:uid="{D3D17C00-12C7-454A-B8DE-8D9588D5C2CD}" name="capital" dataDxfId="174"/>
    <tableColumn id="6" xr3:uid="{1EA34DA0-8774-4D38-B68C-E4AE025EB49A}" name="intereses" dataDxfId="173"/>
    <tableColumn id="4" xr3:uid="{38371CF2-7167-4B80-9525-D0C23B4600BD}" name="estado" dataDxfId="17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jessica.barrios@carpainternacional;girlesa.ruiz@servipilas.com;joriescobar64@gmail.com" TargetMode="External"/><Relationship Id="rId13" Type="http://schemas.openxmlformats.org/officeDocument/2006/relationships/hyperlink" Target="mailto:jarlysas@gmail.com;o.clockinternational@gmail.com;girlesa.ruiz@servipilas.com;joriescobar64@gmail.com" TargetMode="External"/><Relationship Id="rId18" Type="http://schemas.openxmlformats.org/officeDocument/2006/relationships/hyperlink" Target="mailto:propertymarketingsas@hotmail.com;girlesa.ruiz@servipilas.com;joriescobar64@gmail.com" TargetMode="External"/><Relationship Id="rId3" Type="http://schemas.openxmlformats.org/officeDocument/2006/relationships/hyperlink" Target="mailto:vcortes@power-sonic.com;alexander.baur@power-sonic.com;jirias@power-sonic.com;girlesa.ruiz@servipilas.com;joriescobar64@gmail.com;info@servipilas.com" TargetMode="External"/><Relationship Id="rId21" Type="http://schemas.openxmlformats.org/officeDocument/2006/relationships/hyperlink" Target="mailto:sandra.ospina@powest.com;girlesa.ruiz@servipilas.com;joriescobar64@gmail.com" TargetMode="External"/><Relationship Id="rId7" Type="http://schemas.openxmlformats.org/officeDocument/2006/relationships/hyperlink" Target="mailto:jmacias@nanicastation.com.co;facturas@nanicastation.com.co;girlesa.ruiz@servipilas.com;joriescobar64@gmail.com" TargetMode="External"/><Relationship Id="rId12" Type="http://schemas.openxmlformats.org/officeDocument/2006/relationships/hyperlink" Target="mailto:alexenriquez73.ae@gmail.com;girlesa.ruiz@servipilas.com;joriescobar64@gmail.com;info@servipilas.com" TargetMode="External"/><Relationship Id="rId17" Type="http://schemas.openxmlformats.org/officeDocument/2006/relationships/hyperlink" Target="mailto:globalpowerc2018@gmail.com;girlesa.ruiz@servipilas.com;joriescobar64@gmail.com" TargetMode="External"/><Relationship Id="rId2" Type="http://schemas.openxmlformats.org/officeDocument/2006/relationships/hyperlink" Target="mailto:howardlondono@impocarga.com;oswaldo.alvarez@logimexsas.com;girlesa.ruiz@servipilas.com;joriescobar64@gmail.com" TargetMode="External"/><Relationship Id="rId16" Type="http://schemas.openxmlformats.org/officeDocument/2006/relationships/hyperlink" Target="mailto:jarlysas@gmail.com;o.clockinternational@gmail.com;girlesa.ruiz@servipilas.com;joriescobar64@gmail.com" TargetMode="External"/><Relationship Id="rId20" Type="http://schemas.openxmlformats.org/officeDocument/2006/relationships/hyperlink" Target="mailto:avelinacomer@gmail.com;girlesa.ruiz@servipilas.com;joriescobar64@gmail.com" TargetMode="External"/><Relationship Id="rId1" Type="http://schemas.openxmlformats.org/officeDocument/2006/relationships/hyperlink" Target="mailto:carloseuristika@hotmail.com;girlesa.ruiz@servipilas.com;joriescobar64@gmail.com" TargetMode="External"/><Relationship Id="rId6" Type="http://schemas.openxmlformats.org/officeDocument/2006/relationships/hyperlink" Target="mailto:jessica.barrios@carpainternacional;girlesa.ruiz@servipilas.com;joriescobar64@gmail.com" TargetMode="External"/><Relationship Id="rId11" Type="http://schemas.openxmlformats.org/officeDocument/2006/relationships/hyperlink" Target="mailto:jessica.barrios@carpainternacional;girlesa.ruiz@servipilas.com;joriescobar64@gmail.com" TargetMode="External"/><Relationship Id="rId5" Type="http://schemas.openxmlformats.org/officeDocument/2006/relationships/hyperlink" Target="mailto:lpena@tbplusenergy.com;girlesa.ruiz@servipilas.com;joriescobar64@gmail.com" TargetMode="External"/><Relationship Id="rId15" Type="http://schemas.openxmlformats.org/officeDocument/2006/relationships/hyperlink" Target="mailto:jarlysas@gmail.com;o.clockinternational@gmail.com;girlesa.ruiz@servipilas.com;joriescobar64@gmail.co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mailto:financiero@dmariocolombia.com;cartera@dmariocolombia.com.co;girlesa.ruiz@servipilas.com;joriescobar64@gmail.com" TargetMode="External"/><Relationship Id="rId19" Type="http://schemas.openxmlformats.org/officeDocument/2006/relationships/hyperlink" Target="mailto:avelinacomer@gmail.com;girlesa.ruiz@servipilas.com;joriescobar64@gmail.com" TargetMode="External"/><Relationship Id="rId4" Type="http://schemas.openxmlformats.org/officeDocument/2006/relationships/hyperlink" Target="mailto:jessica.barrios@carpainternacional;girlesa.ruiz@servipilas.com;joriescobar64@gmail.com" TargetMode="External"/><Relationship Id="rId9" Type="http://schemas.openxmlformats.org/officeDocument/2006/relationships/hyperlink" Target="mailto:ventasonline@disantioquia.com.co;girlesa.ruiz@servipilas.com;joriescobar64@gmail.com" TargetMode="External"/><Relationship Id="rId14" Type="http://schemas.openxmlformats.org/officeDocument/2006/relationships/hyperlink" Target="mailto:jarlysas@gmail.com;o.clockinternational@gmail.com;girlesa.ruiz@servipilas.com;joriescobar64@gmail.com" TargetMode="External"/><Relationship Id="rId22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BD6C3-5E23-41FC-BAFD-26AEEF3E0171}">
  <sheetPr codeName="Hoja7">
    <pageSetUpPr autoPageBreaks="0"/>
  </sheetPr>
  <dimension ref="G1:S49"/>
  <sheetViews>
    <sheetView showGridLines="0" showRowColHeaders="0" zoomScale="80" zoomScaleNormal="80" workbookViewId="0"/>
  </sheetViews>
  <sheetFormatPr baseColWidth="10" defaultColWidth="0" defaultRowHeight="12.75" customHeight="1" zeroHeight="1" x14ac:dyDescent="0.25"/>
  <cols>
    <col min="1" max="17" width="11.42578125" customWidth="1"/>
    <col min="18" max="19" width="11.42578125" hidden="1" customWidth="1"/>
  </cols>
  <sheetData>
    <row r="1" spans="7:14" ht="12.75" customHeight="1" x14ac:dyDescent="0.25"/>
    <row r="2" spans="7:14" ht="12.75" customHeight="1" x14ac:dyDescent="0.25">
      <c r="N2" s="76"/>
    </row>
    <row r="3" spans="7:14" ht="12.75" customHeight="1" x14ac:dyDescent="0.25"/>
    <row r="4" spans="7:14" ht="15" x14ac:dyDescent="0.25"/>
    <row r="5" spans="7:14" ht="15" x14ac:dyDescent="0.25"/>
    <row r="6" spans="7:14" ht="15" x14ac:dyDescent="0.25">
      <c r="G6" t="s">
        <v>979</v>
      </c>
    </row>
    <row r="7" spans="7:14" ht="15" x14ac:dyDescent="0.25"/>
    <row r="8" spans="7:14" ht="15" x14ac:dyDescent="0.25"/>
    <row r="9" spans="7:14" ht="15" x14ac:dyDescent="0.25"/>
    <row r="10" spans="7:14" ht="15" x14ac:dyDescent="0.25"/>
    <row r="11" spans="7:14" ht="15" x14ac:dyDescent="0.25"/>
    <row r="12" spans="7:14" ht="15" x14ac:dyDescent="0.25"/>
    <row r="13" spans="7:14" ht="15" x14ac:dyDescent="0.25"/>
    <row r="14" spans="7:14" ht="15" x14ac:dyDescent="0.25"/>
    <row r="15" spans="7:14" ht="15" x14ac:dyDescent="0.25"/>
    <row r="16" spans="7:14" ht="15" x14ac:dyDescent="0.25"/>
    <row r="17" spans="10:10" ht="15" x14ac:dyDescent="0.25"/>
    <row r="18" spans="10:10" ht="15" x14ac:dyDescent="0.25">
      <c r="J18" s="75"/>
    </row>
    <row r="19" spans="10:10" ht="15" x14ac:dyDescent="0.25"/>
    <row r="20" spans="10:10" ht="15" x14ac:dyDescent="0.25"/>
    <row r="21" spans="10:10" ht="15" x14ac:dyDescent="0.25"/>
    <row r="22" spans="10:10" ht="15" x14ac:dyDescent="0.25"/>
    <row r="23" spans="10:10" ht="15" x14ac:dyDescent="0.25"/>
    <row r="24" spans="10:10" ht="15" x14ac:dyDescent="0.25"/>
    <row r="25" spans="10:10" ht="15" x14ac:dyDescent="0.25"/>
    <row r="26" spans="10:10" ht="15" x14ac:dyDescent="0.25"/>
    <row r="27" spans="10:10" ht="15" x14ac:dyDescent="0.25"/>
    <row r="28" spans="10:10" ht="15" x14ac:dyDescent="0.25"/>
    <row r="29" spans="10:10" ht="15" x14ac:dyDescent="0.25"/>
    <row r="30" spans="10:10" ht="15" x14ac:dyDescent="0.25"/>
    <row r="31" spans="10:10" ht="15" x14ac:dyDescent="0.25"/>
    <row r="32" spans="10:10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hidden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</sheetData>
  <pageMargins left="0.7" right="0.7" top="0.75" bottom="0.75" header="0.3" footer="0.3"/>
  <pageSetup orientation="portrait" verticalDpi="14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DF4E3-3037-4968-A3B9-377C92C3DE3C}">
  <dimension ref="A1:N42"/>
  <sheetViews>
    <sheetView topLeftCell="A19" zoomScaleNormal="100" workbookViewId="0">
      <selection activeCell="M30" sqref="M30:M31"/>
    </sheetView>
  </sheetViews>
  <sheetFormatPr baseColWidth="10" defaultRowHeight="15" x14ac:dyDescent="0.25"/>
  <cols>
    <col min="2" max="2" width="10.7109375" bestFit="1" customWidth="1"/>
    <col min="3" max="3" width="21.42578125" bestFit="1" customWidth="1"/>
    <col min="4" max="4" width="12.140625" bestFit="1" customWidth="1"/>
    <col min="5" max="5" width="15.28515625" bestFit="1" customWidth="1"/>
    <col min="6" max="6" width="11.28515625" bestFit="1" customWidth="1"/>
    <col min="7" max="7" width="10.28515625" bestFit="1" customWidth="1"/>
    <col min="8" max="8" width="8.85546875" bestFit="1" customWidth="1"/>
    <col min="9" max="10" width="10.42578125" bestFit="1" customWidth="1"/>
    <col min="11" max="11" width="9.28515625" bestFit="1" customWidth="1"/>
    <col min="12" max="12" width="8.7109375" bestFit="1" customWidth="1"/>
    <col min="13" max="13" width="12.42578125" bestFit="1" customWidth="1"/>
    <col min="14" max="14" width="9" bestFit="1" customWidth="1"/>
  </cols>
  <sheetData>
    <row r="1" spans="1:14" ht="45" x14ac:dyDescent="0.25">
      <c r="A1" s="84" t="s">
        <v>128</v>
      </c>
      <c r="B1" s="85" t="s">
        <v>6</v>
      </c>
      <c r="C1" s="85" t="s">
        <v>3</v>
      </c>
      <c r="D1" s="84" t="s">
        <v>1</v>
      </c>
      <c r="E1" s="86" t="s">
        <v>2</v>
      </c>
      <c r="F1" s="85" t="s">
        <v>108</v>
      </c>
      <c r="G1" s="87" t="s">
        <v>130</v>
      </c>
      <c r="H1" s="85" t="s">
        <v>109</v>
      </c>
      <c r="I1" s="87" t="s">
        <v>111</v>
      </c>
      <c r="J1" s="87" t="s">
        <v>112</v>
      </c>
      <c r="K1" s="88" t="s">
        <v>114</v>
      </c>
      <c r="L1" s="87" t="s">
        <v>113</v>
      </c>
      <c r="M1" s="85" t="s">
        <v>110</v>
      </c>
      <c r="N1" s="89" t="s">
        <v>978</v>
      </c>
    </row>
    <row r="2" spans="1:14" ht="15.75" x14ac:dyDescent="0.25">
      <c r="A2" s="78">
        <v>0</v>
      </c>
      <c r="B2" s="96">
        <v>44684</v>
      </c>
      <c r="C2" s="79" t="s">
        <v>1015</v>
      </c>
      <c r="D2" s="96">
        <v>44594</v>
      </c>
      <c r="E2" s="80" t="s">
        <v>1167</v>
      </c>
      <c r="F2" s="81">
        <v>1356000</v>
      </c>
      <c r="G2" s="81"/>
      <c r="H2" s="82">
        <v>0</v>
      </c>
      <c r="I2" s="83"/>
      <c r="J2" s="82">
        <v>0</v>
      </c>
      <c r="K2" s="168">
        <v>0</v>
      </c>
      <c r="L2" s="82">
        <v>0</v>
      </c>
      <c r="M2" s="81">
        <v>1356000</v>
      </c>
      <c r="N2" s="77">
        <v>1356000</v>
      </c>
    </row>
    <row r="3" spans="1:14" ht="15.75" x14ac:dyDescent="0.25">
      <c r="A3" s="78"/>
      <c r="B3" s="96"/>
      <c r="C3" s="79"/>
      <c r="D3" s="96"/>
      <c r="E3" s="80"/>
      <c r="F3" s="81"/>
      <c r="G3" s="81"/>
      <c r="H3" s="82"/>
      <c r="I3" s="83"/>
      <c r="J3" s="82"/>
      <c r="K3" s="168"/>
      <c r="L3" s="185" t="s">
        <v>110</v>
      </c>
      <c r="M3" s="90">
        <v>1356000</v>
      </c>
      <c r="N3" s="77">
        <v>1356000</v>
      </c>
    </row>
    <row r="4" spans="1:14" ht="15.75" x14ac:dyDescent="0.25">
      <c r="A4" s="78"/>
      <c r="B4" s="96"/>
      <c r="C4" s="79"/>
      <c r="D4" s="96"/>
      <c r="E4" s="80"/>
      <c r="F4" s="81"/>
      <c r="G4" s="81"/>
      <c r="H4" s="82"/>
      <c r="I4" s="83"/>
      <c r="J4" s="82"/>
      <c r="K4" s="168"/>
      <c r="L4" s="82"/>
      <c r="M4" s="81"/>
      <c r="N4" s="77"/>
    </row>
    <row r="5" spans="1:14" ht="15.75" x14ac:dyDescent="0.25">
      <c r="A5" s="78"/>
      <c r="B5" s="96"/>
      <c r="C5" s="79"/>
      <c r="D5" s="96"/>
      <c r="E5" s="80"/>
      <c r="F5" s="81"/>
      <c r="G5" s="81"/>
      <c r="H5" s="82"/>
      <c r="I5" s="83"/>
      <c r="J5" s="82"/>
      <c r="K5" s="168"/>
      <c r="L5" s="82"/>
      <c r="M5" s="81"/>
      <c r="N5" s="77"/>
    </row>
    <row r="6" spans="1:14" ht="45" x14ac:dyDescent="0.25">
      <c r="A6" s="84" t="s">
        <v>128</v>
      </c>
      <c r="B6" s="85" t="s">
        <v>6</v>
      </c>
      <c r="C6" s="85" t="s">
        <v>3</v>
      </c>
      <c r="D6" s="84" t="s">
        <v>1</v>
      </c>
      <c r="E6" s="86" t="s">
        <v>2</v>
      </c>
      <c r="F6" s="85" t="s">
        <v>108</v>
      </c>
      <c r="G6" s="87" t="s">
        <v>130</v>
      </c>
      <c r="H6" s="85" t="s">
        <v>109</v>
      </c>
      <c r="I6" s="87" t="s">
        <v>111</v>
      </c>
      <c r="J6" s="87" t="s">
        <v>112</v>
      </c>
      <c r="K6" s="88" t="s">
        <v>114</v>
      </c>
      <c r="L6" s="87" t="s">
        <v>113</v>
      </c>
      <c r="M6" s="85" t="s">
        <v>110</v>
      </c>
      <c r="N6" s="89" t="s">
        <v>978</v>
      </c>
    </row>
    <row r="7" spans="1:14" ht="15.75" x14ac:dyDescent="0.25">
      <c r="A7" s="78" t="s">
        <v>429</v>
      </c>
      <c r="B7" s="96">
        <v>44684</v>
      </c>
      <c r="C7" s="79" t="s">
        <v>24</v>
      </c>
      <c r="D7" s="96">
        <v>44631</v>
      </c>
      <c r="E7" s="80" t="s">
        <v>1131</v>
      </c>
      <c r="F7" s="81">
        <v>1995291</v>
      </c>
      <c r="G7" s="81"/>
      <c r="H7" s="82">
        <v>379105.29</v>
      </c>
      <c r="I7" s="83"/>
      <c r="J7" s="82">
        <v>0</v>
      </c>
      <c r="K7" s="168">
        <v>2.5000000000000001E-2</v>
      </c>
      <c r="L7" s="82">
        <v>49882.275000000001</v>
      </c>
      <c r="M7" s="81">
        <v>2324514.0150000001</v>
      </c>
      <c r="N7" s="77">
        <v>2324514</v>
      </c>
    </row>
    <row r="8" spans="1:14" ht="15.75" x14ac:dyDescent="0.25">
      <c r="A8" s="78"/>
      <c r="B8" s="96"/>
      <c r="C8" s="79"/>
      <c r="D8" s="96"/>
      <c r="E8" s="80"/>
      <c r="F8" s="81"/>
      <c r="G8" s="81"/>
      <c r="H8" s="82"/>
      <c r="I8" s="83"/>
      <c r="J8" s="82"/>
      <c r="K8" s="168"/>
      <c r="L8" s="185" t="s">
        <v>110</v>
      </c>
      <c r="M8" s="90">
        <v>2324514.0150000001</v>
      </c>
      <c r="N8" s="77">
        <v>2324514</v>
      </c>
    </row>
    <row r="9" spans="1:14" ht="15.75" x14ac:dyDescent="0.25">
      <c r="A9" s="78"/>
      <c r="B9" s="96"/>
      <c r="C9" s="79"/>
      <c r="D9" s="96"/>
      <c r="E9" s="80"/>
      <c r="F9" s="81"/>
      <c r="G9" s="81"/>
      <c r="H9" s="82"/>
      <c r="I9" s="83"/>
      <c r="J9" s="82"/>
      <c r="K9" s="168"/>
      <c r="L9" s="82"/>
      <c r="M9" s="81"/>
      <c r="N9" s="77"/>
    </row>
    <row r="10" spans="1:14" ht="15.75" x14ac:dyDescent="0.25">
      <c r="A10" s="78"/>
      <c r="B10" s="96"/>
      <c r="C10" s="79"/>
      <c r="D10" s="96"/>
      <c r="E10" s="80"/>
      <c r="F10" s="81"/>
      <c r="G10" s="81"/>
      <c r="H10" s="82"/>
      <c r="I10" s="83"/>
      <c r="J10" s="82"/>
      <c r="K10" s="168"/>
      <c r="L10" s="82"/>
      <c r="M10" s="81"/>
      <c r="N10" s="77"/>
    </row>
    <row r="11" spans="1:14" ht="45" x14ac:dyDescent="0.25">
      <c r="A11" s="84" t="s">
        <v>128</v>
      </c>
      <c r="B11" s="85" t="s">
        <v>6</v>
      </c>
      <c r="C11" s="85" t="s">
        <v>3</v>
      </c>
      <c r="D11" s="84" t="s">
        <v>1</v>
      </c>
      <c r="E11" s="86" t="s">
        <v>2</v>
      </c>
      <c r="F11" s="85" t="s">
        <v>108</v>
      </c>
      <c r="G11" s="87" t="s">
        <v>130</v>
      </c>
      <c r="H11" s="85" t="s">
        <v>109</v>
      </c>
      <c r="I11" s="87" t="s">
        <v>111</v>
      </c>
      <c r="J11" s="87" t="s">
        <v>112</v>
      </c>
      <c r="K11" s="88" t="s">
        <v>114</v>
      </c>
      <c r="L11" s="87" t="s">
        <v>113</v>
      </c>
      <c r="M11" s="85" t="s">
        <v>110</v>
      </c>
      <c r="N11" s="89" t="s">
        <v>978</v>
      </c>
    </row>
    <row r="12" spans="1:14" ht="15.75" x14ac:dyDescent="0.25">
      <c r="A12" s="78" t="s">
        <v>264</v>
      </c>
      <c r="B12" s="96">
        <v>44684</v>
      </c>
      <c r="C12" s="79" t="s">
        <v>18</v>
      </c>
      <c r="D12" s="96">
        <v>44629</v>
      </c>
      <c r="E12" s="80">
        <v>1050807</v>
      </c>
      <c r="F12" s="81">
        <v>850000</v>
      </c>
      <c r="G12" s="81"/>
      <c r="H12" s="82">
        <v>161500</v>
      </c>
      <c r="I12" s="83"/>
      <c r="J12" s="82">
        <v>0</v>
      </c>
      <c r="K12" s="168">
        <v>0</v>
      </c>
      <c r="L12" s="82">
        <v>0</v>
      </c>
      <c r="M12" s="81">
        <v>1011500</v>
      </c>
      <c r="N12" s="77">
        <v>1011500</v>
      </c>
    </row>
    <row r="13" spans="1:14" ht="15.75" x14ac:dyDescent="0.25">
      <c r="A13" s="78" t="s">
        <v>264</v>
      </c>
      <c r="B13" s="96">
        <v>44684</v>
      </c>
      <c r="C13" s="79" t="s">
        <v>18</v>
      </c>
      <c r="D13" s="96">
        <v>44634</v>
      </c>
      <c r="E13" s="80">
        <v>1051102</v>
      </c>
      <c r="F13" s="81">
        <v>3580988</v>
      </c>
      <c r="G13" s="81"/>
      <c r="H13" s="82">
        <v>680387.72</v>
      </c>
      <c r="I13" s="83"/>
      <c r="J13" s="82">
        <v>0</v>
      </c>
      <c r="K13" s="168">
        <v>2.5000000000000001E-2</v>
      </c>
      <c r="L13" s="82">
        <v>89524.700000000012</v>
      </c>
      <c r="M13" s="81">
        <v>4171851.0199999996</v>
      </c>
      <c r="N13" s="77">
        <v>4171851</v>
      </c>
    </row>
    <row r="14" spans="1:14" ht="15.75" x14ac:dyDescent="0.25">
      <c r="A14" s="78" t="s">
        <v>264</v>
      </c>
      <c r="B14" s="96">
        <v>44684</v>
      </c>
      <c r="C14" s="79" t="s">
        <v>18</v>
      </c>
      <c r="D14" s="96">
        <v>44638</v>
      </c>
      <c r="E14" s="80">
        <v>1051239</v>
      </c>
      <c r="F14" s="81">
        <v>378530.4</v>
      </c>
      <c r="G14" s="81"/>
      <c r="H14" s="82">
        <v>71920.775999999998</v>
      </c>
      <c r="I14" s="83"/>
      <c r="J14" s="82">
        <v>0</v>
      </c>
      <c r="K14" s="168">
        <v>0</v>
      </c>
      <c r="L14" s="82">
        <v>0</v>
      </c>
      <c r="M14" s="81">
        <v>450451.17600000004</v>
      </c>
      <c r="N14" s="77">
        <v>450451</v>
      </c>
    </row>
    <row r="15" spans="1:14" ht="15.75" x14ac:dyDescent="0.25">
      <c r="A15" s="78" t="s">
        <v>264</v>
      </c>
      <c r="B15" s="96">
        <v>44684</v>
      </c>
      <c r="C15" s="79" t="s">
        <v>18</v>
      </c>
      <c r="D15" s="96">
        <v>44645</v>
      </c>
      <c r="E15" s="80">
        <v>1051505</v>
      </c>
      <c r="F15" s="81">
        <v>713143.68</v>
      </c>
      <c r="G15" s="81"/>
      <c r="H15" s="82">
        <v>135497.29920000001</v>
      </c>
      <c r="I15" s="83"/>
      <c r="J15" s="82">
        <v>0</v>
      </c>
      <c r="K15" s="168">
        <v>0</v>
      </c>
      <c r="L15" s="82">
        <v>0</v>
      </c>
      <c r="M15" s="81">
        <v>848640.97920000006</v>
      </c>
      <c r="N15" s="77">
        <v>848641</v>
      </c>
    </row>
    <row r="16" spans="1:14" ht="15.75" x14ac:dyDescent="0.25">
      <c r="A16" s="78"/>
      <c r="B16" s="96"/>
      <c r="C16" s="79"/>
      <c r="D16" s="96"/>
      <c r="E16" s="80"/>
      <c r="F16" s="81"/>
      <c r="G16" s="81"/>
      <c r="H16" s="82"/>
      <c r="I16" s="83"/>
      <c r="J16" s="82"/>
      <c r="K16" s="168"/>
      <c r="L16" s="185" t="s">
        <v>110</v>
      </c>
      <c r="M16" s="90">
        <v>6482443.1751999995</v>
      </c>
      <c r="N16" s="77">
        <v>6482443</v>
      </c>
    </row>
    <row r="17" spans="1:14" ht="15.75" x14ac:dyDescent="0.25">
      <c r="A17" s="78"/>
      <c r="B17" s="96"/>
      <c r="C17" s="79"/>
      <c r="D17" s="96"/>
      <c r="E17" s="80"/>
      <c r="F17" s="81"/>
      <c r="G17" s="81"/>
      <c r="H17" s="82"/>
      <c r="I17" s="83"/>
      <c r="J17" s="82"/>
      <c r="K17" s="168"/>
      <c r="L17" s="82"/>
      <c r="M17" s="81"/>
      <c r="N17" s="77"/>
    </row>
    <row r="18" spans="1:14" ht="15.75" x14ac:dyDescent="0.25">
      <c r="A18" s="78"/>
      <c r="B18" s="96"/>
      <c r="C18" s="79"/>
      <c r="D18" s="96"/>
      <c r="E18" s="80"/>
      <c r="F18" s="81"/>
      <c r="G18" s="81"/>
      <c r="H18" s="82"/>
      <c r="I18" s="83"/>
      <c r="J18" s="82"/>
      <c r="K18" s="168"/>
      <c r="L18" s="82"/>
      <c r="M18" s="81"/>
      <c r="N18" s="77"/>
    </row>
    <row r="19" spans="1:14" ht="45" x14ac:dyDescent="0.25">
      <c r="A19" s="84" t="s">
        <v>128</v>
      </c>
      <c r="B19" s="85" t="s">
        <v>6</v>
      </c>
      <c r="C19" s="85" t="s">
        <v>3</v>
      </c>
      <c r="D19" s="84" t="s">
        <v>1</v>
      </c>
      <c r="E19" s="86" t="s">
        <v>2</v>
      </c>
      <c r="F19" s="85" t="s">
        <v>108</v>
      </c>
      <c r="G19" s="87" t="s">
        <v>130</v>
      </c>
      <c r="H19" s="85" t="s">
        <v>109</v>
      </c>
      <c r="I19" s="87" t="s">
        <v>111</v>
      </c>
      <c r="J19" s="87" t="s">
        <v>112</v>
      </c>
      <c r="K19" s="88" t="s">
        <v>114</v>
      </c>
      <c r="L19" s="87" t="s">
        <v>113</v>
      </c>
      <c r="M19" s="85" t="s">
        <v>110</v>
      </c>
      <c r="N19" s="89" t="s">
        <v>978</v>
      </c>
    </row>
    <row r="20" spans="1:14" ht="15.75" x14ac:dyDescent="0.25">
      <c r="A20" s="78" t="s">
        <v>274</v>
      </c>
      <c r="B20" s="96">
        <v>44684</v>
      </c>
      <c r="C20" s="79" t="s">
        <v>1124</v>
      </c>
      <c r="D20" s="96">
        <v>44632</v>
      </c>
      <c r="E20" s="80">
        <v>28365</v>
      </c>
      <c r="F20" s="81">
        <v>1246200</v>
      </c>
      <c r="G20" s="81"/>
      <c r="H20" s="82">
        <v>236778</v>
      </c>
      <c r="I20" s="83"/>
      <c r="J20" s="82">
        <v>0</v>
      </c>
      <c r="K20" s="168">
        <v>2.5000000000000001E-2</v>
      </c>
      <c r="L20" s="82">
        <v>31155</v>
      </c>
      <c r="M20" s="81">
        <v>1451823</v>
      </c>
      <c r="N20" s="77">
        <v>1451823</v>
      </c>
    </row>
    <row r="21" spans="1:14" ht="15.75" x14ac:dyDescent="0.25">
      <c r="A21" s="78"/>
      <c r="B21" s="96"/>
      <c r="C21" s="79"/>
      <c r="D21" s="96"/>
      <c r="E21" s="80"/>
      <c r="F21" s="81"/>
      <c r="G21" s="81"/>
      <c r="H21" s="82"/>
      <c r="I21" s="83"/>
      <c r="J21" s="82"/>
      <c r="K21" s="168"/>
      <c r="L21" s="185" t="s">
        <v>110</v>
      </c>
      <c r="M21" s="201">
        <v>1451823</v>
      </c>
      <c r="N21" s="77">
        <v>1451823</v>
      </c>
    </row>
    <row r="22" spans="1:14" ht="15.75" x14ac:dyDescent="0.25">
      <c r="A22" s="78"/>
      <c r="B22" s="96"/>
      <c r="C22" s="79"/>
      <c r="D22" s="96"/>
      <c r="E22" s="80"/>
      <c r="F22" s="81"/>
      <c r="G22" s="81"/>
      <c r="H22" s="82"/>
      <c r="I22" s="83"/>
      <c r="J22" s="82"/>
      <c r="K22" s="168"/>
      <c r="L22" s="82"/>
      <c r="M22" s="81"/>
      <c r="N22" s="77"/>
    </row>
    <row r="23" spans="1:14" ht="15.75" x14ac:dyDescent="0.25">
      <c r="A23" s="78"/>
      <c r="B23" s="96"/>
      <c r="C23" s="79"/>
      <c r="D23" s="96"/>
      <c r="E23" s="80"/>
      <c r="F23" s="81"/>
      <c r="G23" s="81"/>
      <c r="H23" s="82"/>
      <c r="I23" s="83"/>
      <c r="J23" s="82"/>
      <c r="K23" s="168"/>
      <c r="L23" s="82"/>
      <c r="M23" s="81"/>
      <c r="N23" s="77"/>
    </row>
    <row r="24" spans="1:14" ht="45" x14ac:dyDescent="0.25">
      <c r="A24" s="84" t="s">
        <v>128</v>
      </c>
      <c r="B24" s="85" t="s">
        <v>6</v>
      </c>
      <c r="C24" s="85" t="s">
        <v>3</v>
      </c>
      <c r="D24" s="84" t="s">
        <v>1</v>
      </c>
      <c r="E24" s="86" t="s">
        <v>2</v>
      </c>
      <c r="F24" s="85" t="s">
        <v>108</v>
      </c>
      <c r="G24" s="87" t="s">
        <v>130</v>
      </c>
      <c r="H24" s="85" t="s">
        <v>109</v>
      </c>
      <c r="I24" s="87" t="s">
        <v>111</v>
      </c>
      <c r="J24" s="87" t="s">
        <v>112</v>
      </c>
      <c r="K24" s="88" t="s">
        <v>114</v>
      </c>
      <c r="L24" s="87" t="s">
        <v>113</v>
      </c>
      <c r="M24" s="85" t="s">
        <v>110</v>
      </c>
      <c r="N24" s="89" t="s">
        <v>978</v>
      </c>
    </row>
    <row r="25" spans="1:14" ht="15.75" x14ac:dyDescent="0.25">
      <c r="A25" s="78" t="s">
        <v>288</v>
      </c>
      <c r="B25" s="96">
        <v>44684</v>
      </c>
      <c r="C25" s="79" t="s">
        <v>135</v>
      </c>
      <c r="D25" s="96">
        <v>44597</v>
      </c>
      <c r="E25" s="80">
        <v>51</v>
      </c>
      <c r="F25" s="81">
        <v>914118</v>
      </c>
      <c r="G25" s="81"/>
      <c r="H25" s="82">
        <v>173682.42</v>
      </c>
      <c r="I25" s="83"/>
      <c r="J25" s="82">
        <v>0</v>
      </c>
      <c r="K25" s="168">
        <v>0</v>
      </c>
      <c r="L25" s="82">
        <v>0</v>
      </c>
      <c r="M25" s="81">
        <v>1087800.42</v>
      </c>
      <c r="N25" s="77">
        <v>1087800</v>
      </c>
    </row>
    <row r="26" spans="1:14" ht="15.75" x14ac:dyDescent="0.25">
      <c r="A26" s="78"/>
      <c r="B26" s="96"/>
      <c r="C26" s="79"/>
      <c r="D26" s="96"/>
      <c r="E26" s="80"/>
      <c r="F26" s="81"/>
      <c r="G26" s="81"/>
      <c r="H26" s="82"/>
      <c r="I26" s="83"/>
      <c r="J26" s="82"/>
      <c r="K26" s="168"/>
      <c r="L26" s="185" t="s">
        <v>110</v>
      </c>
      <c r="M26" s="90">
        <v>1087800.42</v>
      </c>
      <c r="N26" s="77">
        <v>1087800</v>
      </c>
    </row>
    <row r="27" spans="1:14" ht="15.75" x14ac:dyDescent="0.25">
      <c r="A27" s="78"/>
      <c r="B27" s="96"/>
      <c r="C27" s="79"/>
      <c r="D27" s="96"/>
      <c r="E27" s="80"/>
      <c r="F27" s="81"/>
      <c r="G27" s="81"/>
      <c r="H27" s="82"/>
      <c r="I27" s="83"/>
      <c r="J27" s="82"/>
      <c r="K27" s="168"/>
      <c r="L27" s="82"/>
      <c r="M27" s="81"/>
      <c r="N27" s="77"/>
    </row>
    <row r="28" spans="1:14" ht="15.75" x14ac:dyDescent="0.25">
      <c r="A28" s="78"/>
      <c r="B28" s="96"/>
      <c r="C28" s="79"/>
      <c r="D28" s="96"/>
      <c r="E28" s="80"/>
      <c r="F28" s="81"/>
      <c r="G28" s="81"/>
      <c r="H28" s="82"/>
      <c r="I28" s="83"/>
      <c r="J28" s="82"/>
      <c r="K28" s="168"/>
      <c r="L28" s="82"/>
      <c r="M28" s="81"/>
      <c r="N28" s="77"/>
    </row>
    <row r="29" spans="1:14" ht="45" x14ac:dyDescent="0.25">
      <c r="A29" s="84" t="s">
        <v>128</v>
      </c>
      <c r="B29" s="85" t="s">
        <v>6</v>
      </c>
      <c r="C29" s="85" t="s">
        <v>3</v>
      </c>
      <c r="D29" s="84" t="s">
        <v>1</v>
      </c>
      <c r="E29" s="86" t="s">
        <v>2</v>
      </c>
      <c r="F29" s="85" t="s">
        <v>108</v>
      </c>
      <c r="G29" s="87" t="s">
        <v>130</v>
      </c>
      <c r="H29" s="85" t="s">
        <v>109</v>
      </c>
      <c r="I29" s="87" t="s">
        <v>111</v>
      </c>
      <c r="J29" s="87" t="s">
        <v>112</v>
      </c>
      <c r="K29" s="88" t="s">
        <v>114</v>
      </c>
      <c r="L29" s="87" t="s">
        <v>113</v>
      </c>
      <c r="M29" s="85" t="s">
        <v>110</v>
      </c>
      <c r="N29" s="89" t="s">
        <v>978</v>
      </c>
    </row>
    <row r="30" spans="1:14" ht="15.75" x14ac:dyDescent="0.25">
      <c r="A30" s="78" t="s">
        <v>273</v>
      </c>
      <c r="B30" s="96">
        <v>44684</v>
      </c>
      <c r="C30" s="79" t="s">
        <v>1088</v>
      </c>
      <c r="D30" s="96">
        <v>44610</v>
      </c>
      <c r="E30" s="80">
        <v>24751</v>
      </c>
      <c r="F30" s="81">
        <v>1656000</v>
      </c>
      <c r="G30" s="81"/>
      <c r="H30" s="82">
        <v>314640</v>
      </c>
      <c r="I30" s="83"/>
      <c r="J30" s="82">
        <v>0</v>
      </c>
      <c r="K30" s="168">
        <v>2.5000000000000001E-2</v>
      </c>
      <c r="L30" s="82">
        <v>41400</v>
      </c>
      <c r="M30" s="81">
        <v>1929240</v>
      </c>
      <c r="N30" s="77">
        <v>1929240</v>
      </c>
    </row>
    <row r="31" spans="1:14" ht="15.75" x14ac:dyDescent="0.25">
      <c r="A31" s="78" t="s">
        <v>273</v>
      </c>
      <c r="B31" s="96">
        <v>44684</v>
      </c>
      <c r="C31" s="79" t="s">
        <v>1088</v>
      </c>
      <c r="D31" s="96">
        <v>44644</v>
      </c>
      <c r="E31" s="80">
        <v>25131</v>
      </c>
      <c r="F31" s="81">
        <v>297600</v>
      </c>
      <c r="G31" s="81">
        <v>29760</v>
      </c>
      <c r="H31" s="82">
        <v>50889.599999999999</v>
      </c>
      <c r="I31" s="83"/>
      <c r="J31" s="82">
        <v>0</v>
      </c>
      <c r="K31" s="168">
        <v>0</v>
      </c>
      <c r="L31" s="82">
        <v>0</v>
      </c>
      <c r="M31" s="81">
        <v>318729.59999999998</v>
      </c>
      <c r="N31" s="77">
        <v>318730</v>
      </c>
    </row>
    <row r="32" spans="1:14" ht="15.75" x14ac:dyDescent="0.25">
      <c r="A32" s="78" t="s">
        <v>273</v>
      </c>
      <c r="B32" s="96">
        <v>44684</v>
      </c>
      <c r="C32" s="79" t="s">
        <v>1088</v>
      </c>
      <c r="D32" s="96">
        <v>44614</v>
      </c>
      <c r="E32" s="80">
        <v>53415</v>
      </c>
      <c r="F32" s="81">
        <v>0</v>
      </c>
      <c r="G32" s="81"/>
      <c r="H32" s="82">
        <v>0</v>
      </c>
      <c r="I32" s="83"/>
      <c r="J32" s="82">
        <v>0</v>
      </c>
      <c r="K32" s="168">
        <v>0</v>
      </c>
      <c r="L32" s="82">
        <v>0</v>
      </c>
      <c r="M32" s="81">
        <v>-66594</v>
      </c>
      <c r="N32" s="77">
        <v>-66594</v>
      </c>
    </row>
    <row r="33" spans="1:14" ht="15.75" x14ac:dyDescent="0.25">
      <c r="A33" s="78"/>
      <c r="B33" s="96"/>
      <c r="C33" s="79"/>
      <c r="D33" s="96"/>
      <c r="E33" s="80"/>
      <c r="F33" s="81"/>
      <c r="G33" s="81"/>
      <c r="H33" s="82"/>
      <c r="I33" s="83"/>
      <c r="J33" s="82"/>
      <c r="K33" s="168"/>
      <c r="L33" s="185" t="s">
        <v>110</v>
      </c>
      <c r="M33" s="201">
        <v>2181375.6</v>
      </c>
      <c r="N33" s="77">
        <v>2181376</v>
      </c>
    </row>
    <row r="34" spans="1:14" ht="15.75" x14ac:dyDescent="0.25">
      <c r="A34" s="78"/>
      <c r="B34" s="96"/>
      <c r="C34" s="79"/>
      <c r="D34" s="96"/>
      <c r="E34" s="80"/>
      <c r="F34" s="81"/>
      <c r="G34" s="81"/>
      <c r="H34" s="82"/>
      <c r="I34" s="83"/>
      <c r="J34" s="82"/>
      <c r="K34" s="168"/>
      <c r="L34" s="82"/>
      <c r="M34" s="81"/>
      <c r="N34" s="77"/>
    </row>
    <row r="35" spans="1:14" ht="15.75" x14ac:dyDescent="0.25">
      <c r="A35" s="78"/>
      <c r="B35" s="96"/>
      <c r="C35" s="79"/>
      <c r="D35" s="96"/>
      <c r="E35" s="80"/>
      <c r="F35" s="81"/>
      <c r="G35" s="81"/>
      <c r="H35" s="82"/>
      <c r="I35" s="83"/>
      <c r="J35" s="82"/>
      <c r="K35" s="168"/>
      <c r="L35" s="82"/>
      <c r="M35" s="81"/>
      <c r="N35" s="77"/>
    </row>
    <row r="36" spans="1:14" ht="45" x14ac:dyDescent="0.25">
      <c r="A36" s="84" t="s">
        <v>128</v>
      </c>
      <c r="B36" s="85" t="s">
        <v>6</v>
      </c>
      <c r="C36" s="85" t="s">
        <v>3</v>
      </c>
      <c r="D36" s="84" t="s">
        <v>1</v>
      </c>
      <c r="E36" s="86" t="s">
        <v>2</v>
      </c>
      <c r="F36" s="85" t="s">
        <v>108</v>
      </c>
      <c r="G36" s="87" t="s">
        <v>130</v>
      </c>
      <c r="H36" s="85" t="s">
        <v>109</v>
      </c>
      <c r="I36" s="87" t="s">
        <v>111</v>
      </c>
      <c r="J36" s="87" t="s">
        <v>112</v>
      </c>
      <c r="K36" s="88" t="s">
        <v>114</v>
      </c>
      <c r="L36" s="87" t="s">
        <v>113</v>
      </c>
      <c r="M36" s="85" t="s">
        <v>110</v>
      </c>
      <c r="N36" s="89" t="s">
        <v>978</v>
      </c>
    </row>
    <row r="37" spans="1:14" ht="15.75" x14ac:dyDescent="0.25">
      <c r="A37" s="78" t="s">
        <v>286</v>
      </c>
      <c r="B37" s="96">
        <v>44684</v>
      </c>
      <c r="C37" s="79" t="s">
        <v>11</v>
      </c>
      <c r="D37" s="96">
        <v>44627</v>
      </c>
      <c r="E37" s="80" t="s">
        <v>1140</v>
      </c>
      <c r="F37" s="81">
        <v>3960000</v>
      </c>
      <c r="G37" s="81"/>
      <c r="H37" s="82">
        <v>752400</v>
      </c>
      <c r="I37" s="83"/>
      <c r="J37" s="82">
        <v>0</v>
      </c>
      <c r="K37" s="168">
        <v>2.5000000000000001E-2</v>
      </c>
      <c r="L37" s="82">
        <v>99000</v>
      </c>
      <c r="M37" s="81">
        <v>4613400</v>
      </c>
      <c r="N37" s="77">
        <v>4613400</v>
      </c>
    </row>
    <row r="38" spans="1:14" ht="15.75" x14ac:dyDescent="0.25">
      <c r="A38" s="77"/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91" t="s">
        <v>110</v>
      </c>
      <c r="M38" s="90">
        <v>4613400</v>
      </c>
      <c r="N38" s="77">
        <v>4613400</v>
      </c>
    </row>
    <row r="41" spans="1:14" ht="15.75" x14ac:dyDescent="0.25">
      <c r="A41" s="93"/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 t="s">
        <v>110</v>
      </c>
      <c r="M41" s="94">
        <f>+M38+M26+M16+M8</f>
        <v>14508157.610199999</v>
      </c>
      <c r="N41" s="93">
        <v>19497356</v>
      </c>
    </row>
    <row r="42" spans="1:14" x14ac:dyDescent="0.25">
      <c r="M42" s="200">
        <f>+M33+M21</f>
        <v>3633198.6</v>
      </c>
      <c r="N42" s="200">
        <f>4180000-M42</f>
        <v>546801.39999999991</v>
      </c>
    </row>
  </sheetData>
  <sortState xmlns:xlrd2="http://schemas.microsoft.com/office/spreadsheetml/2017/richdata2" ref="A2:M37">
    <sortCondition ref="C1"/>
    <sortCondition ref="E1"/>
  </sortState>
  <pageMargins left="0.7" right="0.7" top="0.75" bottom="0.75" header="0.3" footer="0.3"/>
  <pageSetup paperSize="9" scale="57" orientation="portrait" r:id="rId1"/>
  <colBreaks count="1" manualBreakCount="1">
    <brk id="13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Primero crea el proveedor en la hoja &quot;Proveedores&quot;." xr:uid="{FC5CE9B2-FA24-496E-A0EF-E3FD4D592F19}">
          <x14:formula1>
            <xm:f>Terceros!$A:$A</xm:f>
          </x14:formula1>
          <xm:sqref>C1 C6 C11 C19 C24 C29 C36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0D0D9-3698-4ED1-860D-1FB619299F45}">
  <sheetPr codeName="Hoja4"/>
  <dimension ref="A1:B1"/>
  <sheetViews>
    <sheetView workbookViewId="0">
      <selection activeCell="E15" sqref="E15"/>
    </sheetView>
  </sheetViews>
  <sheetFormatPr baseColWidth="10" defaultRowHeight="15" x14ac:dyDescent="0.25"/>
  <cols>
    <col min="1" max="2" width="21.42578125" customWidth="1"/>
  </cols>
  <sheetData>
    <row r="1" spans="1:2" ht="26.25" x14ac:dyDescent="0.25">
      <c r="A1" s="1" t="s">
        <v>0</v>
      </c>
      <c r="B1" s="2">
        <f ca="1">TODAY()</f>
        <v>44684</v>
      </c>
    </row>
  </sheetData>
  <protectedRanges>
    <protectedRange sqref="B1" name="Rango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CADD-6A68-4762-9F6D-CC040449CF7B}">
  <sheetPr codeName="Hoja3"/>
  <dimension ref="A1:O24"/>
  <sheetViews>
    <sheetView workbookViewId="0">
      <selection activeCell="I6" sqref="I6"/>
    </sheetView>
  </sheetViews>
  <sheetFormatPr baseColWidth="10" defaultRowHeight="15" x14ac:dyDescent="0.25"/>
  <cols>
    <col min="2" max="2" width="11.5703125" style="138"/>
    <col min="3" max="4" width="11.7109375" style="134" bestFit="1" customWidth="1"/>
    <col min="5" max="5" width="13" style="134" bestFit="1" customWidth="1"/>
  </cols>
  <sheetData>
    <row r="1" spans="1:15" s="144" customFormat="1" x14ac:dyDescent="0.25">
      <c r="A1" s="142" t="s">
        <v>1261</v>
      </c>
      <c r="B1" s="143" t="s">
        <v>114</v>
      </c>
      <c r="C1" s="142">
        <v>2020</v>
      </c>
      <c r="D1" s="142">
        <v>2021</v>
      </c>
      <c r="E1" s="142">
        <v>2022</v>
      </c>
      <c r="F1" s="142">
        <v>2023</v>
      </c>
      <c r="G1" s="142">
        <v>2024</v>
      </c>
      <c r="H1" s="142">
        <v>2025</v>
      </c>
      <c r="I1" s="142">
        <v>2026</v>
      </c>
      <c r="J1" s="142">
        <v>2027</v>
      </c>
      <c r="K1" s="142">
        <v>2028</v>
      </c>
      <c r="L1" s="142">
        <v>2029</v>
      </c>
      <c r="M1" s="142">
        <v>2030</v>
      </c>
      <c r="N1" s="142">
        <v>2031</v>
      </c>
      <c r="O1" s="142">
        <v>2032</v>
      </c>
    </row>
    <row r="2" spans="1:15" x14ac:dyDescent="0.25">
      <c r="A2" s="140">
        <v>0</v>
      </c>
      <c r="B2" s="139">
        <v>0</v>
      </c>
      <c r="C2" s="141">
        <v>0</v>
      </c>
      <c r="D2" s="141">
        <v>0</v>
      </c>
      <c r="E2" s="141">
        <v>0</v>
      </c>
      <c r="F2" s="140"/>
      <c r="G2" s="140"/>
      <c r="H2" s="140"/>
      <c r="I2" s="140"/>
      <c r="J2" s="140"/>
      <c r="K2" s="140"/>
      <c r="L2" s="140"/>
      <c r="M2" s="140"/>
      <c r="N2" s="140"/>
      <c r="O2" s="140"/>
    </row>
    <row r="3" spans="1:15" x14ac:dyDescent="0.25">
      <c r="A3" s="140" t="s">
        <v>1272</v>
      </c>
      <c r="B3" s="139">
        <v>0.01</v>
      </c>
      <c r="C3" s="141">
        <v>0</v>
      </c>
      <c r="D3" s="141">
        <v>0</v>
      </c>
      <c r="E3" s="141">
        <v>0</v>
      </c>
      <c r="F3" s="140"/>
      <c r="G3" s="140"/>
      <c r="H3" s="140"/>
      <c r="I3" s="140"/>
      <c r="J3" s="140"/>
      <c r="K3" s="140"/>
      <c r="L3" s="140"/>
      <c r="M3" s="140"/>
      <c r="N3" s="140"/>
      <c r="O3" s="140"/>
    </row>
    <row r="4" spans="1:15" x14ac:dyDescent="0.25">
      <c r="A4" s="140" t="s">
        <v>1262</v>
      </c>
      <c r="B4" s="139">
        <v>0.01</v>
      </c>
      <c r="C4" s="141">
        <v>142000</v>
      </c>
      <c r="D4" s="141">
        <v>145000</v>
      </c>
      <c r="E4" s="141">
        <v>152000</v>
      </c>
      <c r="F4" s="140"/>
      <c r="G4" s="140"/>
      <c r="H4" s="140"/>
      <c r="I4" s="140"/>
      <c r="J4" s="140"/>
      <c r="K4" s="140"/>
      <c r="L4" s="140"/>
      <c r="M4" s="140"/>
      <c r="N4" s="140"/>
      <c r="O4" s="140"/>
    </row>
    <row r="5" spans="1:15" x14ac:dyDescent="0.25">
      <c r="A5" s="140" t="s">
        <v>1263</v>
      </c>
      <c r="B5" s="139">
        <v>2.5000000000000001E-2</v>
      </c>
      <c r="C5" s="141">
        <v>961000</v>
      </c>
      <c r="D5" s="141">
        <v>980000</v>
      </c>
      <c r="E5" s="141">
        <v>1026000</v>
      </c>
      <c r="F5" s="140"/>
      <c r="G5" s="140"/>
      <c r="H5" s="140"/>
      <c r="I5" s="140"/>
      <c r="J5" s="140"/>
      <c r="K5" s="140"/>
      <c r="L5" s="140"/>
      <c r="M5" s="140"/>
      <c r="N5" s="140"/>
      <c r="O5" s="140"/>
    </row>
    <row r="6" spans="1:15" x14ac:dyDescent="0.25">
      <c r="A6" s="140" t="s">
        <v>1264</v>
      </c>
      <c r="B6" s="139">
        <v>3.5000000000000003E-2</v>
      </c>
      <c r="C6" s="141">
        <v>0</v>
      </c>
      <c r="D6" s="141">
        <v>0</v>
      </c>
      <c r="E6" s="141">
        <v>0</v>
      </c>
      <c r="F6" s="140"/>
      <c r="G6" s="140"/>
      <c r="H6" s="140"/>
      <c r="I6" s="140"/>
      <c r="J6" s="140"/>
      <c r="K6" s="140"/>
      <c r="L6" s="140"/>
      <c r="M6" s="140"/>
      <c r="N6" s="140"/>
      <c r="O6" s="140"/>
    </row>
    <row r="7" spans="1:15" x14ac:dyDescent="0.25">
      <c r="A7" s="140" t="s">
        <v>1265</v>
      </c>
      <c r="B7" s="139">
        <v>3.5000000000000003E-2</v>
      </c>
      <c r="C7" s="141">
        <v>961000</v>
      </c>
      <c r="D7" s="141">
        <v>980000</v>
      </c>
      <c r="E7" s="141">
        <v>1026000</v>
      </c>
      <c r="F7" s="140"/>
      <c r="G7" s="140"/>
      <c r="H7" s="140"/>
      <c r="I7" s="140"/>
      <c r="J7" s="140"/>
      <c r="K7" s="140"/>
      <c r="L7" s="140"/>
      <c r="M7" s="140"/>
      <c r="N7" s="140"/>
      <c r="O7" s="140"/>
    </row>
    <row r="8" spans="1:15" x14ac:dyDescent="0.25">
      <c r="A8" s="140" t="s">
        <v>1266</v>
      </c>
      <c r="B8" s="139">
        <v>0.04</v>
      </c>
      <c r="C8" s="141">
        <v>0</v>
      </c>
      <c r="D8" s="141">
        <v>0</v>
      </c>
      <c r="E8" s="141">
        <v>0</v>
      </c>
      <c r="F8" s="140"/>
      <c r="G8" s="140"/>
      <c r="H8" s="140"/>
      <c r="I8" s="140"/>
      <c r="J8" s="140"/>
      <c r="K8" s="140"/>
      <c r="L8" s="140"/>
      <c r="M8" s="140"/>
      <c r="N8" s="140"/>
      <c r="O8" s="140"/>
    </row>
    <row r="9" spans="1:15" x14ac:dyDescent="0.25">
      <c r="A9" s="140" t="s">
        <v>1267</v>
      </c>
      <c r="B9" s="139">
        <v>0.11</v>
      </c>
      <c r="C9" s="141">
        <v>0</v>
      </c>
      <c r="D9" s="141">
        <v>0</v>
      </c>
      <c r="E9" s="141">
        <v>0</v>
      </c>
      <c r="F9" s="140"/>
      <c r="G9" s="140"/>
      <c r="H9" s="140"/>
      <c r="I9" s="140"/>
      <c r="J9" s="140"/>
      <c r="K9" s="140"/>
      <c r="L9" s="140"/>
      <c r="M9" s="140"/>
      <c r="N9" s="140"/>
      <c r="O9" s="140"/>
    </row>
    <row r="10" spans="1:15" x14ac:dyDescent="0.25">
      <c r="A10" s="140"/>
      <c r="B10" s="139"/>
      <c r="C10" s="141"/>
      <c r="D10" s="141"/>
      <c r="E10" s="141"/>
      <c r="F10" s="140"/>
      <c r="G10" s="140"/>
      <c r="H10" s="140"/>
      <c r="I10" s="140"/>
      <c r="J10" s="140"/>
      <c r="K10" s="140"/>
      <c r="L10" s="140"/>
      <c r="M10" s="140"/>
      <c r="N10" s="140"/>
      <c r="O10" s="140"/>
    </row>
    <row r="11" spans="1:15" x14ac:dyDescent="0.25">
      <c r="A11" s="140"/>
      <c r="B11" s="139"/>
      <c r="C11" s="141"/>
      <c r="D11" s="141"/>
      <c r="E11" s="141"/>
      <c r="F11" s="140"/>
      <c r="G11" s="140"/>
      <c r="H11" s="140"/>
      <c r="I11" s="140"/>
      <c r="J11" s="140"/>
      <c r="K11" s="140"/>
      <c r="L11" s="140"/>
      <c r="M11" s="140"/>
      <c r="N11" s="140"/>
      <c r="O11" s="140"/>
    </row>
    <row r="12" spans="1:15" x14ac:dyDescent="0.25">
      <c r="A12" s="140"/>
      <c r="B12" s="139"/>
      <c r="C12" s="141"/>
      <c r="D12" s="141"/>
      <c r="E12" s="141"/>
      <c r="F12" s="140"/>
      <c r="G12" s="140"/>
      <c r="H12" s="140"/>
      <c r="I12" s="140"/>
      <c r="J12" s="140"/>
      <c r="K12" s="140"/>
      <c r="L12" s="140"/>
      <c r="M12" s="140"/>
      <c r="N12" s="140"/>
      <c r="O12" s="140"/>
    </row>
    <row r="13" spans="1:15" x14ac:dyDescent="0.25">
      <c r="A13" s="140"/>
      <c r="B13" s="139"/>
      <c r="C13" s="141"/>
      <c r="D13" s="141"/>
      <c r="E13" s="141"/>
      <c r="F13" s="140"/>
      <c r="G13" s="140"/>
      <c r="H13" s="140"/>
      <c r="I13" s="140"/>
      <c r="J13" s="140"/>
      <c r="K13" s="140"/>
      <c r="L13" s="140"/>
      <c r="M13" s="140"/>
      <c r="N13" s="140"/>
      <c r="O13" s="140"/>
    </row>
    <row r="14" spans="1:15" x14ac:dyDescent="0.25">
      <c r="A14" s="140"/>
      <c r="B14" s="139"/>
      <c r="C14" s="141"/>
      <c r="D14" s="141"/>
      <c r="E14" s="141"/>
      <c r="F14" s="140"/>
      <c r="G14" s="140"/>
      <c r="H14" s="140"/>
      <c r="I14" s="140"/>
      <c r="J14" s="140"/>
      <c r="K14" s="140"/>
      <c r="L14" s="140"/>
      <c r="M14" s="140"/>
      <c r="N14" s="140"/>
      <c r="O14" s="140"/>
    </row>
    <row r="15" spans="1:15" x14ac:dyDescent="0.25">
      <c r="A15" s="140"/>
      <c r="B15" s="139"/>
      <c r="C15" s="141"/>
      <c r="D15" s="141"/>
      <c r="E15" s="141"/>
      <c r="F15" s="140"/>
      <c r="G15" s="140"/>
      <c r="H15" s="140"/>
      <c r="I15" s="140"/>
      <c r="J15" s="140"/>
      <c r="K15" s="140"/>
      <c r="L15" s="140"/>
      <c r="M15" s="140"/>
      <c r="N15" s="140"/>
      <c r="O15" s="140"/>
    </row>
    <row r="16" spans="1:15" x14ac:dyDescent="0.25">
      <c r="A16" s="140"/>
      <c r="B16" s="139"/>
      <c r="C16" s="141"/>
      <c r="D16" s="141"/>
      <c r="E16" s="141"/>
      <c r="F16" s="140"/>
      <c r="G16" s="140"/>
      <c r="H16" s="140"/>
      <c r="I16" s="140"/>
      <c r="J16" s="140"/>
      <c r="K16" s="140"/>
      <c r="L16" s="140"/>
      <c r="M16" s="140"/>
      <c r="N16" s="140"/>
      <c r="O16" s="140"/>
    </row>
    <row r="17" spans="1:15" x14ac:dyDescent="0.25">
      <c r="A17" s="140"/>
      <c r="B17" s="139"/>
      <c r="C17" s="141"/>
      <c r="D17" s="141"/>
      <c r="E17" s="141"/>
      <c r="F17" s="140"/>
      <c r="G17" s="140"/>
      <c r="H17" s="140"/>
      <c r="I17" s="140"/>
      <c r="J17" s="140"/>
      <c r="K17" s="140"/>
      <c r="L17" s="140"/>
      <c r="M17" s="140"/>
      <c r="N17" s="140"/>
      <c r="O17" s="140"/>
    </row>
    <row r="18" spans="1:15" x14ac:dyDescent="0.25">
      <c r="A18" s="140"/>
      <c r="B18" s="139"/>
      <c r="C18" s="141"/>
      <c r="D18" s="141"/>
      <c r="E18" s="141"/>
      <c r="F18" s="140"/>
      <c r="G18" s="140"/>
      <c r="H18" s="140"/>
      <c r="I18" s="140"/>
      <c r="J18" s="140"/>
      <c r="K18" s="140"/>
      <c r="L18" s="140"/>
      <c r="M18" s="140"/>
      <c r="N18" s="140"/>
      <c r="O18" s="140"/>
    </row>
    <row r="19" spans="1:15" x14ac:dyDescent="0.25">
      <c r="A19" s="140"/>
      <c r="B19" s="139"/>
      <c r="C19" s="141"/>
      <c r="D19" s="141"/>
      <c r="E19" s="141"/>
      <c r="F19" s="140"/>
      <c r="G19" s="140"/>
      <c r="H19" s="140"/>
      <c r="I19" s="140"/>
      <c r="J19" s="140"/>
      <c r="K19" s="140"/>
      <c r="L19" s="140"/>
      <c r="M19" s="140"/>
      <c r="N19" s="140"/>
      <c r="O19" s="140"/>
    </row>
    <row r="20" spans="1:15" x14ac:dyDescent="0.25">
      <c r="A20" s="140"/>
      <c r="B20" s="139"/>
      <c r="C20" s="141"/>
      <c r="D20" s="141"/>
      <c r="E20" s="141"/>
      <c r="F20" s="140"/>
      <c r="G20" s="140"/>
      <c r="H20" s="140"/>
      <c r="I20" s="140"/>
      <c r="J20" s="140"/>
      <c r="K20" s="140"/>
      <c r="L20" s="140"/>
      <c r="M20" s="140"/>
      <c r="N20" s="140"/>
      <c r="O20" s="140"/>
    </row>
    <row r="21" spans="1:15" x14ac:dyDescent="0.25">
      <c r="A21" s="140"/>
      <c r="B21" s="139"/>
      <c r="C21" s="141"/>
      <c r="D21" s="141"/>
      <c r="E21" s="141"/>
      <c r="F21" s="140"/>
      <c r="G21" s="140"/>
      <c r="H21" s="140"/>
      <c r="I21" s="140"/>
      <c r="J21" s="140"/>
      <c r="K21" s="140"/>
      <c r="L21" s="140"/>
      <c r="M21" s="140"/>
      <c r="N21" s="140"/>
      <c r="O21" s="140"/>
    </row>
    <row r="22" spans="1:15" x14ac:dyDescent="0.25">
      <c r="A22" s="140"/>
      <c r="B22" s="139"/>
      <c r="C22" s="141"/>
      <c r="D22" s="141"/>
      <c r="E22" s="141"/>
      <c r="F22" s="140"/>
      <c r="G22" s="140"/>
      <c r="H22" s="140"/>
      <c r="I22" s="140"/>
      <c r="J22" s="140"/>
      <c r="K22" s="140"/>
      <c r="L22" s="140"/>
      <c r="M22" s="140"/>
      <c r="N22" s="140"/>
      <c r="O22" s="140"/>
    </row>
    <row r="23" spans="1:15" x14ac:dyDescent="0.25">
      <c r="A23" s="140"/>
      <c r="B23" s="139"/>
      <c r="C23" s="141"/>
      <c r="D23" s="141"/>
      <c r="E23" s="141"/>
      <c r="F23" s="140"/>
      <c r="G23" s="140"/>
      <c r="H23" s="140"/>
      <c r="I23" s="140"/>
      <c r="J23" s="140"/>
      <c r="K23" s="140"/>
      <c r="L23" s="140"/>
      <c r="M23" s="140"/>
      <c r="N23" s="140"/>
      <c r="O23" s="140"/>
    </row>
    <row r="24" spans="1:15" x14ac:dyDescent="0.25">
      <c r="A24" s="140"/>
      <c r="B24" s="139"/>
      <c r="C24" s="141"/>
      <c r="D24" s="141"/>
      <c r="E24" s="141"/>
      <c r="F24" s="140"/>
      <c r="G24" s="140"/>
      <c r="H24" s="140"/>
      <c r="I24" s="140"/>
      <c r="J24" s="140"/>
      <c r="K24" s="140"/>
      <c r="L24" s="140"/>
      <c r="M24" s="140"/>
      <c r="N24" s="140"/>
      <c r="O24" s="14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056BA-D9EB-4E90-AF1E-28BABDF33B05}">
  <sheetPr codeName="Hoja5"/>
  <dimension ref="A1:G259"/>
  <sheetViews>
    <sheetView zoomScale="115" zoomScaleNormal="115" workbookViewId="0">
      <selection activeCell="B260" sqref="B260"/>
    </sheetView>
  </sheetViews>
  <sheetFormatPr baseColWidth="10" defaultColWidth="10.85546875" defaultRowHeight="21" customHeight="1" x14ac:dyDescent="0.25"/>
  <cols>
    <col min="1" max="1" width="33.42578125" style="12" customWidth="1"/>
    <col min="2" max="2" width="12.42578125" style="12" customWidth="1"/>
    <col min="3" max="3" width="9.5703125" style="12" customWidth="1"/>
    <col min="4" max="4" width="11.140625" style="12" hidden="1" customWidth="1"/>
    <col min="5" max="5" width="11.140625" style="135" customWidth="1"/>
    <col min="6" max="6" width="33.5703125" style="12" customWidth="1"/>
    <col min="7" max="7" width="27.5703125" style="12" customWidth="1"/>
    <col min="8" max="16384" width="10.85546875" style="12"/>
  </cols>
  <sheetData>
    <row r="1" spans="1:7" s="162" customFormat="1" ht="30" x14ac:dyDescent="0.25">
      <c r="A1" s="157" t="s">
        <v>3</v>
      </c>
      <c r="B1" s="158" t="s">
        <v>126</v>
      </c>
      <c r="C1" s="158" t="s">
        <v>29</v>
      </c>
      <c r="D1" s="158" t="s">
        <v>127</v>
      </c>
      <c r="E1" s="159" t="s">
        <v>1261</v>
      </c>
      <c r="F1" s="160" t="s">
        <v>128</v>
      </c>
      <c r="G1" s="161" t="s">
        <v>131</v>
      </c>
    </row>
    <row r="2" spans="1:7" ht="21" hidden="1" customHeight="1" x14ac:dyDescent="0.25">
      <c r="A2" s="157" t="s">
        <v>65</v>
      </c>
      <c r="B2" s="163">
        <v>30</v>
      </c>
      <c r="C2" s="164">
        <v>0.19</v>
      </c>
      <c r="D2" s="164">
        <v>2.5000000000000001E-2</v>
      </c>
      <c r="E2" s="165" t="s">
        <v>1263</v>
      </c>
      <c r="F2" s="160" t="s">
        <v>144</v>
      </c>
      <c r="G2" s="160"/>
    </row>
    <row r="3" spans="1:7" ht="21" hidden="1" customHeight="1" x14ac:dyDescent="0.25">
      <c r="A3" s="157" t="s">
        <v>1175</v>
      </c>
      <c r="B3" s="163">
        <v>30</v>
      </c>
      <c r="C3" s="164">
        <v>0</v>
      </c>
      <c r="D3" s="164">
        <v>0</v>
      </c>
      <c r="E3" s="165">
        <v>0</v>
      </c>
      <c r="F3" s="160" t="s">
        <v>144</v>
      </c>
      <c r="G3" s="160"/>
    </row>
    <row r="4" spans="1:7" ht="21" hidden="1" customHeight="1" x14ac:dyDescent="0.25">
      <c r="A4" s="157" t="s">
        <v>980</v>
      </c>
      <c r="B4" s="163">
        <v>30</v>
      </c>
      <c r="C4" s="164">
        <v>0</v>
      </c>
      <c r="D4" s="164">
        <v>0</v>
      </c>
      <c r="E4" s="165">
        <v>0</v>
      </c>
      <c r="F4" s="166" t="s">
        <v>952</v>
      </c>
      <c r="G4" s="160" t="s">
        <v>951</v>
      </c>
    </row>
    <row r="5" spans="1:7" ht="21" hidden="1" customHeight="1" x14ac:dyDescent="0.25">
      <c r="A5" s="157" t="s">
        <v>1176</v>
      </c>
      <c r="B5" s="163">
        <v>30</v>
      </c>
      <c r="C5" s="164">
        <v>0</v>
      </c>
      <c r="D5" s="164">
        <v>0</v>
      </c>
      <c r="E5" s="165">
        <v>0</v>
      </c>
      <c r="F5" s="160" t="s">
        <v>144</v>
      </c>
      <c r="G5" s="160"/>
    </row>
    <row r="6" spans="1:7" ht="21" hidden="1" customHeight="1" x14ac:dyDescent="0.25">
      <c r="A6" s="157" t="s">
        <v>982</v>
      </c>
      <c r="B6" s="163">
        <v>30</v>
      </c>
      <c r="C6" s="164">
        <v>0</v>
      </c>
      <c r="D6" s="164">
        <v>0</v>
      </c>
      <c r="E6" s="165">
        <v>0</v>
      </c>
      <c r="F6" s="160" t="s">
        <v>981</v>
      </c>
      <c r="G6" s="160"/>
    </row>
    <row r="7" spans="1:7" ht="21" hidden="1" customHeight="1" x14ac:dyDescent="0.25">
      <c r="A7" s="157" t="s">
        <v>1177</v>
      </c>
      <c r="B7" s="163">
        <v>30</v>
      </c>
      <c r="C7" s="164">
        <v>0</v>
      </c>
      <c r="D7" s="164">
        <v>0</v>
      </c>
      <c r="E7" s="165">
        <v>0</v>
      </c>
      <c r="F7" s="160" t="s">
        <v>144</v>
      </c>
      <c r="G7" s="160"/>
    </row>
    <row r="8" spans="1:7" ht="21" hidden="1" customHeight="1" x14ac:dyDescent="0.25">
      <c r="A8" s="157" t="s">
        <v>986</v>
      </c>
      <c r="B8" s="163">
        <v>30</v>
      </c>
      <c r="C8" s="164">
        <v>0</v>
      </c>
      <c r="D8" s="164">
        <v>0</v>
      </c>
      <c r="E8" s="165">
        <v>0</v>
      </c>
      <c r="F8" s="160" t="s">
        <v>144</v>
      </c>
      <c r="G8" s="160"/>
    </row>
    <row r="9" spans="1:7" ht="21" hidden="1" customHeight="1" x14ac:dyDescent="0.25">
      <c r="A9" s="157" t="s">
        <v>987</v>
      </c>
      <c r="B9" s="163">
        <v>0</v>
      </c>
      <c r="C9" s="164">
        <v>0</v>
      </c>
      <c r="D9" s="164">
        <v>0</v>
      </c>
      <c r="E9" s="165">
        <v>0</v>
      </c>
      <c r="F9" s="160"/>
      <c r="G9" s="160"/>
    </row>
    <row r="10" spans="1:7" ht="21" hidden="1" customHeight="1" x14ac:dyDescent="0.25">
      <c r="A10" s="157" t="s">
        <v>988</v>
      </c>
      <c r="B10" s="163">
        <v>30</v>
      </c>
      <c r="C10" s="164">
        <v>0</v>
      </c>
      <c r="D10" s="164">
        <v>0</v>
      </c>
      <c r="E10" s="165">
        <v>0</v>
      </c>
      <c r="F10" s="160"/>
      <c r="G10" s="160"/>
    </row>
    <row r="11" spans="1:7" ht="21" hidden="1" customHeight="1" x14ac:dyDescent="0.25">
      <c r="A11" s="157" t="s">
        <v>989</v>
      </c>
      <c r="B11" s="163">
        <v>30</v>
      </c>
      <c r="C11" s="164">
        <v>0</v>
      </c>
      <c r="D11" s="164">
        <v>0</v>
      </c>
      <c r="E11" s="165">
        <v>0</v>
      </c>
      <c r="F11" s="160"/>
      <c r="G11" s="160"/>
    </row>
    <row r="12" spans="1:7" ht="21" hidden="1" customHeight="1" x14ac:dyDescent="0.25">
      <c r="A12" s="157" t="s">
        <v>990</v>
      </c>
      <c r="B12" s="163">
        <v>30</v>
      </c>
      <c r="C12" s="164">
        <v>0</v>
      </c>
      <c r="D12" s="164">
        <v>0</v>
      </c>
      <c r="E12" s="165">
        <v>0</v>
      </c>
      <c r="F12" s="160" t="s">
        <v>144</v>
      </c>
      <c r="G12" s="160"/>
    </row>
    <row r="13" spans="1:7" ht="21" hidden="1" customHeight="1" x14ac:dyDescent="0.25">
      <c r="A13" s="157" t="s">
        <v>994</v>
      </c>
      <c r="B13" s="163">
        <v>30</v>
      </c>
      <c r="C13" s="164">
        <v>0</v>
      </c>
      <c r="D13" s="164">
        <v>0</v>
      </c>
      <c r="E13" s="165">
        <v>0</v>
      </c>
      <c r="F13" s="167" t="s">
        <v>1259</v>
      </c>
      <c r="G13" s="160"/>
    </row>
    <row r="14" spans="1:7" ht="21" hidden="1" customHeight="1" x14ac:dyDescent="0.25">
      <c r="A14" s="157" t="s">
        <v>1178</v>
      </c>
      <c r="B14" s="163">
        <v>30</v>
      </c>
      <c r="C14" s="164">
        <v>0</v>
      </c>
      <c r="D14" s="164">
        <v>0</v>
      </c>
      <c r="E14" s="165">
        <v>0</v>
      </c>
      <c r="F14" s="160" t="s">
        <v>144</v>
      </c>
      <c r="G14" s="160"/>
    </row>
    <row r="15" spans="1:7" ht="21" hidden="1" customHeight="1" x14ac:dyDescent="0.25">
      <c r="A15" s="157" t="s">
        <v>997</v>
      </c>
      <c r="B15" s="163">
        <v>30</v>
      </c>
      <c r="C15" s="164">
        <v>0</v>
      </c>
      <c r="D15" s="164">
        <v>0</v>
      </c>
      <c r="E15" s="165">
        <v>0</v>
      </c>
      <c r="F15" s="160" t="s">
        <v>144</v>
      </c>
      <c r="G15" s="160"/>
    </row>
    <row r="16" spans="1:7" ht="21" hidden="1" customHeight="1" x14ac:dyDescent="0.25">
      <c r="A16" s="157" t="s">
        <v>1179</v>
      </c>
      <c r="B16" s="163">
        <v>30</v>
      </c>
      <c r="C16" s="164">
        <v>0</v>
      </c>
      <c r="D16" s="164">
        <v>0</v>
      </c>
      <c r="E16" s="165">
        <v>0</v>
      </c>
      <c r="F16" s="160" t="s">
        <v>144</v>
      </c>
      <c r="G16" s="160"/>
    </row>
    <row r="17" spans="1:7" ht="21" hidden="1" customHeight="1" x14ac:dyDescent="0.25">
      <c r="A17" s="157" t="s">
        <v>1180</v>
      </c>
      <c r="B17" s="163">
        <v>30</v>
      </c>
      <c r="C17" s="164">
        <v>0</v>
      </c>
      <c r="D17" s="164">
        <v>0</v>
      </c>
      <c r="E17" s="165">
        <v>0</v>
      </c>
      <c r="F17" s="160" t="s">
        <v>144</v>
      </c>
      <c r="G17" s="160"/>
    </row>
    <row r="18" spans="1:7" ht="21" hidden="1" customHeight="1" x14ac:dyDescent="0.25">
      <c r="A18" s="157" t="s">
        <v>1000</v>
      </c>
      <c r="B18" s="163">
        <v>10</v>
      </c>
      <c r="C18" s="164">
        <v>0</v>
      </c>
      <c r="D18" s="164">
        <v>0</v>
      </c>
      <c r="E18" s="165">
        <v>0</v>
      </c>
      <c r="F18" s="160" t="s">
        <v>957</v>
      </c>
      <c r="G18" s="160"/>
    </row>
    <row r="19" spans="1:7" ht="21" hidden="1" customHeight="1" x14ac:dyDescent="0.25">
      <c r="A19" s="157" t="s">
        <v>1001</v>
      </c>
      <c r="B19" s="163">
        <v>30</v>
      </c>
      <c r="C19" s="164">
        <v>0</v>
      </c>
      <c r="D19" s="164">
        <v>0</v>
      </c>
      <c r="E19" s="165">
        <v>0</v>
      </c>
      <c r="F19" s="160" t="s">
        <v>144</v>
      </c>
      <c r="G19" s="160"/>
    </row>
    <row r="20" spans="1:7" ht="21" hidden="1" customHeight="1" x14ac:dyDescent="0.25">
      <c r="A20" s="157" t="s">
        <v>1008</v>
      </c>
      <c r="B20" s="163">
        <v>30</v>
      </c>
      <c r="C20" s="164">
        <v>0</v>
      </c>
      <c r="D20" s="164">
        <v>0</v>
      </c>
      <c r="E20" s="165">
        <v>0</v>
      </c>
      <c r="F20" s="160"/>
      <c r="G20" s="160"/>
    </row>
    <row r="21" spans="1:7" ht="21" hidden="1" customHeight="1" x14ac:dyDescent="0.25">
      <c r="A21" s="157" t="s">
        <v>1010</v>
      </c>
      <c r="B21" s="163">
        <v>30</v>
      </c>
      <c r="C21" s="164">
        <v>0</v>
      </c>
      <c r="D21" s="164">
        <v>0</v>
      </c>
      <c r="E21" s="165">
        <v>0</v>
      </c>
      <c r="F21" s="166" t="s">
        <v>144</v>
      </c>
      <c r="G21" s="160"/>
    </row>
    <row r="22" spans="1:7" ht="21" hidden="1" customHeight="1" x14ac:dyDescent="0.25">
      <c r="A22" s="157" t="s">
        <v>1181</v>
      </c>
      <c r="B22" s="163">
        <v>30</v>
      </c>
      <c r="C22" s="164">
        <v>0</v>
      </c>
      <c r="D22" s="164">
        <v>0</v>
      </c>
      <c r="E22" s="165">
        <v>0</v>
      </c>
      <c r="F22" s="160" t="s">
        <v>255</v>
      </c>
      <c r="G22" s="160"/>
    </row>
    <row r="23" spans="1:7" ht="21" hidden="1" customHeight="1" x14ac:dyDescent="0.25">
      <c r="A23" s="157" t="s">
        <v>1012</v>
      </c>
      <c r="B23" s="163">
        <v>30</v>
      </c>
      <c r="C23" s="164">
        <v>0</v>
      </c>
      <c r="D23" s="164">
        <v>0</v>
      </c>
      <c r="E23" s="165">
        <v>0</v>
      </c>
      <c r="F23" s="160" t="s">
        <v>472</v>
      </c>
      <c r="G23" s="160"/>
    </row>
    <row r="24" spans="1:7" ht="21" hidden="1" customHeight="1" x14ac:dyDescent="0.25">
      <c r="A24" s="157" t="s">
        <v>1013</v>
      </c>
      <c r="B24" s="163">
        <v>30</v>
      </c>
      <c r="C24" s="164">
        <v>0</v>
      </c>
      <c r="D24" s="164">
        <v>0</v>
      </c>
      <c r="E24" s="165">
        <v>0</v>
      </c>
      <c r="F24" s="160"/>
      <c r="G24" s="160"/>
    </row>
    <row r="25" spans="1:7" ht="21" hidden="1" customHeight="1" x14ac:dyDescent="0.25">
      <c r="A25" s="157" t="s">
        <v>1014</v>
      </c>
      <c r="B25" s="163">
        <v>30</v>
      </c>
      <c r="C25" s="164">
        <v>0</v>
      </c>
      <c r="D25" s="164">
        <v>0</v>
      </c>
      <c r="E25" s="165">
        <v>0</v>
      </c>
      <c r="F25" s="160"/>
      <c r="G25" s="160"/>
    </row>
    <row r="26" spans="1:7" ht="21" hidden="1" customHeight="1" x14ac:dyDescent="0.25">
      <c r="A26" s="157" t="s">
        <v>1015</v>
      </c>
      <c r="B26" s="163">
        <v>30</v>
      </c>
      <c r="C26" s="164">
        <v>0</v>
      </c>
      <c r="D26" s="164">
        <v>0</v>
      </c>
      <c r="E26" s="165">
        <v>0</v>
      </c>
      <c r="F26" s="160"/>
      <c r="G26" s="160"/>
    </row>
    <row r="27" spans="1:7" ht="21" hidden="1" customHeight="1" x14ac:dyDescent="0.25">
      <c r="A27" s="157" t="s">
        <v>1018</v>
      </c>
      <c r="B27" s="163">
        <v>90</v>
      </c>
      <c r="C27" s="164">
        <v>0</v>
      </c>
      <c r="D27" s="164">
        <v>0</v>
      </c>
      <c r="E27" s="165">
        <v>0</v>
      </c>
      <c r="F27" s="160" t="s">
        <v>144</v>
      </c>
      <c r="G27" s="160"/>
    </row>
    <row r="28" spans="1:7" ht="21" hidden="1" customHeight="1" x14ac:dyDescent="0.25">
      <c r="A28" s="157" t="s">
        <v>1021</v>
      </c>
      <c r="B28" s="163">
        <v>30</v>
      </c>
      <c r="C28" s="164">
        <v>0</v>
      </c>
      <c r="D28" s="164">
        <v>0</v>
      </c>
      <c r="E28" s="165">
        <v>0</v>
      </c>
      <c r="F28" s="160" t="s">
        <v>144</v>
      </c>
      <c r="G28" s="160"/>
    </row>
    <row r="29" spans="1:7" ht="21" hidden="1" customHeight="1" x14ac:dyDescent="0.25">
      <c r="A29" s="157" t="s">
        <v>1182</v>
      </c>
      <c r="B29" s="163">
        <v>30</v>
      </c>
      <c r="C29" s="164">
        <v>0</v>
      </c>
      <c r="D29" s="164">
        <v>0</v>
      </c>
      <c r="E29" s="165">
        <v>0</v>
      </c>
      <c r="F29" s="160" t="s">
        <v>144</v>
      </c>
      <c r="G29" s="160" t="s">
        <v>174</v>
      </c>
    </row>
    <row r="30" spans="1:7" ht="21" hidden="1" customHeight="1" x14ac:dyDescent="0.25">
      <c r="A30" s="157" t="s">
        <v>1183</v>
      </c>
      <c r="B30" s="163">
        <v>30</v>
      </c>
      <c r="C30" s="164">
        <v>0</v>
      </c>
      <c r="D30" s="164">
        <v>0</v>
      </c>
      <c r="E30" s="165">
        <v>0</v>
      </c>
      <c r="F30" s="160"/>
      <c r="G30" s="160"/>
    </row>
    <row r="31" spans="1:7" ht="21" hidden="1" customHeight="1" x14ac:dyDescent="0.25">
      <c r="A31" s="157" t="s">
        <v>1184</v>
      </c>
      <c r="B31" s="163">
        <v>30</v>
      </c>
      <c r="C31" s="164">
        <v>0</v>
      </c>
      <c r="D31" s="164">
        <v>0</v>
      </c>
      <c r="E31" s="165">
        <v>0</v>
      </c>
      <c r="F31" s="160" t="s">
        <v>144</v>
      </c>
      <c r="G31" s="160"/>
    </row>
    <row r="32" spans="1:7" ht="21" hidden="1" customHeight="1" x14ac:dyDescent="0.25">
      <c r="A32" s="157" t="s">
        <v>1185</v>
      </c>
      <c r="B32" s="163">
        <v>30</v>
      </c>
      <c r="C32" s="164">
        <v>0</v>
      </c>
      <c r="D32" s="164">
        <v>0</v>
      </c>
      <c r="E32" s="165">
        <v>0</v>
      </c>
      <c r="F32" s="160" t="s">
        <v>144</v>
      </c>
      <c r="G32" s="160"/>
    </row>
    <row r="33" spans="1:7" ht="21" hidden="1" customHeight="1" x14ac:dyDescent="0.25">
      <c r="A33" s="157" t="s">
        <v>1186</v>
      </c>
      <c r="B33" s="163">
        <v>30</v>
      </c>
      <c r="C33" s="164">
        <v>0</v>
      </c>
      <c r="D33" s="164">
        <v>0</v>
      </c>
      <c r="E33" s="165">
        <v>0</v>
      </c>
      <c r="F33" s="160" t="s">
        <v>144</v>
      </c>
      <c r="G33" s="160"/>
    </row>
    <row r="34" spans="1:7" ht="21" hidden="1" customHeight="1" x14ac:dyDescent="0.25">
      <c r="A34" s="157" t="s">
        <v>1025</v>
      </c>
      <c r="B34" s="163">
        <v>10</v>
      </c>
      <c r="C34" s="164">
        <v>0</v>
      </c>
      <c r="D34" s="164">
        <v>0</v>
      </c>
      <c r="E34" s="165">
        <v>0</v>
      </c>
      <c r="F34" s="160" t="s">
        <v>960</v>
      </c>
      <c r="G34" s="160"/>
    </row>
    <row r="35" spans="1:7" ht="21" hidden="1" customHeight="1" x14ac:dyDescent="0.25">
      <c r="A35" s="157" t="s">
        <v>1026</v>
      </c>
      <c r="B35" s="163">
        <v>30</v>
      </c>
      <c r="C35" s="164">
        <v>0</v>
      </c>
      <c r="D35" s="164">
        <v>0</v>
      </c>
      <c r="E35" s="165">
        <v>0</v>
      </c>
      <c r="F35" s="160" t="s">
        <v>547</v>
      </c>
      <c r="G35" s="160"/>
    </row>
    <row r="36" spans="1:7" ht="21" hidden="1" customHeight="1" x14ac:dyDescent="0.25">
      <c r="A36" s="157" t="s">
        <v>1187</v>
      </c>
      <c r="B36" s="163">
        <v>90</v>
      </c>
      <c r="C36" s="164">
        <v>0</v>
      </c>
      <c r="D36" s="164">
        <v>0</v>
      </c>
      <c r="E36" s="165">
        <v>0</v>
      </c>
      <c r="F36" s="160" t="s">
        <v>144</v>
      </c>
      <c r="G36" s="160"/>
    </row>
    <row r="37" spans="1:7" ht="21" hidden="1" customHeight="1" x14ac:dyDescent="0.25">
      <c r="A37" s="157" t="s">
        <v>1028</v>
      </c>
      <c r="B37" s="163">
        <v>30</v>
      </c>
      <c r="C37" s="164">
        <v>0</v>
      </c>
      <c r="D37" s="164">
        <v>0</v>
      </c>
      <c r="E37" s="165">
        <v>0</v>
      </c>
      <c r="F37" s="160"/>
      <c r="G37" s="160"/>
    </row>
    <row r="38" spans="1:7" ht="21" hidden="1" customHeight="1" x14ac:dyDescent="0.25">
      <c r="A38" s="157" t="s">
        <v>1030</v>
      </c>
      <c r="B38" s="163">
        <v>60</v>
      </c>
      <c r="C38" s="164">
        <v>0</v>
      </c>
      <c r="D38" s="164">
        <v>0</v>
      </c>
      <c r="E38" s="165">
        <v>0</v>
      </c>
      <c r="F38" s="160" t="s">
        <v>1029</v>
      </c>
      <c r="G38" s="160"/>
    </row>
    <row r="39" spans="1:7" ht="21" hidden="1" customHeight="1" x14ac:dyDescent="0.25">
      <c r="A39" s="157" t="s">
        <v>1031</v>
      </c>
      <c r="B39" s="163">
        <v>30</v>
      </c>
      <c r="C39" s="164">
        <v>0</v>
      </c>
      <c r="D39" s="164">
        <v>0</v>
      </c>
      <c r="E39" s="165">
        <v>0</v>
      </c>
      <c r="F39" s="160" t="s">
        <v>144</v>
      </c>
      <c r="G39" s="160"/>
    </row>
    <row r="40" spans="1:7" ht="21" hidden="1" customHeight="1" x14ac:dyDescent="0.25">
      <c r="A40" s="157" t="s">
        <v>1188</v>
      </c>
      <c r="B40" s="163">
        <v>30</v>
      </c>
      <c r="C40" s="164">
        <v>0</v>
      </c>
      <c r="D40" s="164">
        <v>0</v>
      </c>
      <c r="E40" s="165">
        <v>0</v>
      </c>
      <c r="F40" s="160"/>
      <c r="G40" s="160"/>
    </row>
    <row r="41" spans="1:7" ht="21" hidden="1" customHeight="1" x14ac:dyDescent="0.25">
      <c r="A41" s="157" t="s">
        <v>1036</v>
      </c>
      <c r="B41" s="163">
        <v>30</v>
      </c>
      <c r="C41" s="164">
        <v>0</v>
      </c>
      <c r="D41" s="164">
        <v>0</v>
      </c>
      <c r="E41" s="165">
        <v>0</v>
      </c>
      <c r="F41" s="160" t="s">
        <v>144</v>
      </c>
      <c r="G41" s="160"/>
    </row>
    <row r="42" spans="1:7" ht="21" hidden="1" customHeight="1" x14ac:dyDescent="0.25">
      <c r="A42" s="157" t="s">
        <v>1037</v>
      </c>
      <c r="B42" s="163">
        <v>30</v>
      </c>
      <c r="C42" s="164">
        <v>0</v>
      </c>
      <c r="D42" s="164">
        <v>0</v>
      </c>
      <c r="E42" s="165">
        <v>0</v>
      </c>
      <c r="F42" s="160" t="s">
        <v>144</v>
      </c>
      <c r="G42" s="160"/>
    </row>
    <row r="43" spans="1:7" ht="21" hidden="1" customHeight="1" x14ac:dyDescent="0.25">
      <c r="A43" s="157" t="s">
        <v>1189</v>
      </c>
      <c r="B43" s="163">
        <v>30</v>
      </c>
      <c r="C43" s="164">
        <v>0</v>
      </c>
      <c r="D43" s="164">
        <v>0</v>
      </c>
      <c r="E43" s="165">
        <v>0</v>
      </c>
      <c r="F43" s="160" t="s">
        <v>266</v>
      </c>
      <c r="G43" s="160" t="s">
        <v>171</v>
      </c>
    </row>
    <row r="44" spans="1:7" ht="21" hidden="1" customHeight="1" x14ac:dyDescent="0.25">
      <c r="A44" s="157" t="s">
        <v>1039</v>
      </c>
      <c r="B44" s="163">
        <v>30</v>
      </c>
      <c r="C44" s="164">
        <v>0</v>
      </c>
      <c r="D44" s="164">
        <v>0</v>
      </c>
      <c r="E44" s="165">
        <v>0</v>
      </c>
      <c r="F44" s="160"/>
      <c r="G44" s="160"/>
    </row>
    <row r="45" spans="1:7" ht="21" hidden="1" customHeight="1" x14ac:dyDescent="0.25">
      <c r="A45" s="157" t="s">
        <v>1040</v>
      </c>
      <c r="B45" s="163">
        <v>30</v>
      </c>
      <c r="C45" s="164">
        <v>0</v>
      </c>
      <c r="D45" s="164">
        <v>0</v>
      </c>
      <c r="E45" s="165">
        <v>0</v>
      </c>
      <c r="F45" s="160" t="s">
        <v>256</v>
      </c>
      <c r="G45" s="158"/>
    </row>
    <row r="46" spans="1:7" ht="21" hidden="1" customHeight="1" x14ac:dyDescent="0.25">
      <c r="A46" s="157" t="s">
        <v>1041</v>
      </c>
      <c r="B46" s="163">
        <v>30</v>
      </c>
      <c r="C46" s="164">
        <v>0</v>
      </c>
      <c r="D46" s="164">
        <v>0</v>
      </c>
      <c r="E46" s="165">
        <v>0</v>
      </c>
      <c r="F46" s="160"/>
      <c r="G46" s="160"/>
    </row>
    <row r="47" spans="1:7" ht="21" hidden="1" customHeight="1" x14ac:dyDescent="0.25">
      <c r="A47" s="157" t="s">
        <v>1042</v>
      </c>
      <c r="B47" s="163">
        <v>30</v>
      </c>
      <c r="C47" s="164">
        <v>0</v>
      </c>
      <c r="D47" s="164">
        <v>0</v>
      </c>
      <c r="E47" s="165">
        <v>0</v>
      </c>
      <c r="F47" s="160" t="s">
        <v>529</v>
      </c>
      <c r="G47" s="160" t="s">
        <v>204</v>
      </c>
    </row>
    <row r="48" spans="1:7" ht="21" hidden="1" customHeight="1" x14ac:dyDescent="0.25">
      <c r="A48" s="157" t="s">
        <v>1190</v>
      </c>
      <c r="B48" s="163">
        <v>30</v>
      </c>
      <c r="C48" s="164">
        <v>0</v>
      </c>
      <c r="D48" s="164">
        <v>0</v>
      </c>
      <c r="E48" s="165">
        <v>0</v>
      </c>
      <c r="F48" s="160" t="s">
        <v>144</v>
      </c>
      <c r="G48" s="160"/>
    </row>
    <row r="49" spans="1:7" ht="21" hidden="1" customHeight="1" x14ac:dyDescent="0.25">
      <c r="A49" s="157" t="s">
        <v>1043</v>
      </c>
      <c r="B49" s="163">
        <v>30</v>
      </c>
      <c r="C49" s="164">
        <v>0</v>
      </c>
      <c r="D49" s="164">
        <v>0</v>
      </c>
      <c r="E49" s="165">
        <v>0</v>
      </c>
      <c r="F49" s="160" t="s">
        <v>144</v>
      </c>
      <c r="G49" s="160"/>
    </row>
    <row r="50" spans="1:7" ht="21" hidden="1" customHeight="1" x14ac:dyDescent="0.25">
      <c r="A50" s="157" t="s">
        <v>1191</v>
      </c>
      <c r="B50" s="163">
        <v>30</v>
      </c>
      <c r="C50" s="164">
        <v>0</v>
      </c>
      <c r="D50" s="164">
        <v>0</v>
      </c>
      <c r="E50" s="165">
        <v>0</v>
      </c>
      <c r="F50" s="160" t="s">
        <v>144</v>
      </c>
      <c r="G50" s="160"/>
    </row>
    <row r="51" spans="1:7" ht="21" hidden="1" customHeight="1" x14ac:dyDescent="0.25">
      <c r="A51" s="157" t="s">
        <v>1045</v>
      </c>
      <c r="B51" s="163">
        <v>20</v>
      </c>
      <c r="C51" s="164">
        <v>0</v>
      </c>
      <c r="D51" s="164">
        <v>0</v>
      </c>
      <c r="E51" s="165">
        <v>0</v>
      </c>
      <c r="F51" s="160"/>
      <c r="G51" s="160"/>
    </row>
    <row r="52" spans="1:7" ht="21" hidden="1" customHeight="1" x14ac:dyDescent="0.25">
      <c r="A52" s="157" t="s">
        <v>1192</v>
      </c>
      <c r="B52" s="163">
        <v>30</v>
      </c>
      <c r="C52" s="164">
        <v>0</v>
      </c>
      <c r="D52" s="164">
        <v>0</v>
      </c>
      <c r="E52" s="165">
        <v>0</v>
      </c>
      <c r="F52" s="160" t="s">
        <v>144</v>
      </c>
      <c r="G52" s="160"/>
    </row>
    <row r="53" spans="1:7" ht="21" hidden="1" customHeight="1" x14ac:dyDescent="0.25">
      <c r="A53" s="157" t="s">
        <v>1193</v>
      </c>
      <c r="B53" s="163">
        <v>30</v>
      </c>
      <c r="C53" s="164">
        <v>0</v>
      </c>
      <c r="D53" s="164">
        <v>0</v>
      </c>
      <c r="E53" s="165">
        <v>0</v>
      </c>
      <c r="F53" s="160" t="s">
        <v>144</v>
      </c>
      <c r="G53" s="160"/>
    </row>
    <row r="54" spans="1:7" ht="21" hidden="1" customHeight="1" x14ac:dyDescent="0.25">
      <c r="A54" s="157" t="s">
        <v>1194</v>
      </c>
      <c r="B54" s="163">
        <v>30</v>
      </c>
      <c r="C54" s="164">
        <v>0</v>
      </c>
      <c r="D54" s="164">
        <v>0</v>
      </c>
      <c r="E54" s="165">
        <v>0</v>
      </c>
      <c r="F54" s="160" t="s">
        <v>144</v>
      </c>
      <c r="G54" s="160"/>
    </row>
    <row r="55" spans="1:7" ht="21" hidden="1" customHeight="1" x14ac:dyDescent="0.25">
      <c r="A55" s="157" t="s">
        <v>1195</v>
      </c>
      <c r="B55" s="163">
        <v>30</v>
      </c>
      <c r="C55" s="164">
        <v>0</v>
      </c>
      <c r="D55" s="164">
        <v>0</v>
      </c>
      <c r="E55" s="165">
        <v>0</v>
      </c>
      <c r="F55" s="160" t="s">
        <v>144</v>
      </c>
      <c r="G55" s="160"/>
    </row>
    <row r="56" spans="1:7" ht="21" hidden="1" customHeight="1" x14ac:dyDescent="0.25">
      <c r="A56" s="157" t="s">
        <v>1046</v>
      </c>
      <c r="B56" s="163">
        <v>30</v>
      </c>
      <c r="C56" s="164">
        <v>0</v>
      </c>
      <c r="D56" s="164">
        <v>0</v>
      </c>
      <c r="E56" s="165">
        <v>0</v>
      </c>
      <c r="F56" s="160" t="s">
        <v>144</v>
      </c>
      <c r="G56" s="160"/>
    </row>
    <row r="57" spans="1:7" ht="21" hidden="1" customHeight="1" x14ac:dyDescent="0.25">
      <c r="A57" s="157" t="s">
        <v>1047</v>
      </c>
      <c r="B57" s="163">
        <v>30</v>
      </c>
      <c r="C57" s="164">
        <v>0</v>
      </c>
      <c r="D57" s="164">
        <v>0</v>
      </c>
      <c r="E57" s="165">
        <v>0</v>
      </c>
      <c r="F57" s="160" t="s">
        <v>144</v>
      </c>
      <c r="G57" s="160"/>
    </row>
    <row r="58" spans="1:7" ht="21" hidden="1" customHeight="1" x14ac:dyDescent="0.25">
      <c r="A58" s="157" t="s">
        <v>1051</v>
      </c>
      <c r="B58" s="163">
        <v>30</v>
      </c>
      <c r="C58" s="164">
        <v>0</v>
      </c>
      <c r="D58" s="164">
        <v>0</v>
      </c>
      <c r="E58" s="165">
        <v>0</v>
      </c>
      <c r="F58" s="160" t="s">
        <v>480</v>
      </c>
      <c r="G58" s="160"/>
    </row>
    <row r="59" spans="1:7" ht="21" hidden="1" customHeight="1" x14ac:dyDescent="0.25">
      <c r="A59" s="157" t="s">
        <v>1053</v>
      </c>
      <c r="B59" s="163">
        <v>30</v>
      </c>
      <c r="C59" s="164">
        <v>0</v>
      </c>
      <c r="D59" s="164">
        <v>0</v>
      </c>
      <c r="E59" s="165">
        <v>0</v>
      </c>
      <c r="F59" s="160"/>
      <c r="G59" s="160"/>
    </row>
    <row r="60" spans="1:7" ht="21" hidden="1" customHeight="1" x14ac:dyDescent="0.25">
      <c r="A60" s="157" t="s">
        <v>1196</v>
      </c>
      <c r="B60" s="163">
        <v>30</v>
      </c>
      <c r="C60" s="164">
        <v>0</v>
      </c>
      <c r="D60" s="164">
        <v>0</v>
      </c>
      <c r="E60" s="165">
        <v>0</v>
      </c>
      <c r="F60" s="160" t="s">
        <v>144</v>
      </c>
      <c r="G60" s="160"/>
    </row>
    <row r="61" spans="1:7" ht="21" hidden="1" customHeight="1" x14ac:dyDescent="0.25">
      <c r="A61" s="157" t="s">
        <v>1054</v>
      </c>
      <c r="B61" s="163">
        <v>30</v>
      </c>
      <c r="C61" s="164">
        <v>0</v>
      </c>
      <c r="D61" s="164">
        <v>0</v>
      </c>
      <c r="E61" s="165">
        <v>0</v>
      </c>
      <c r="F61" s="160" t="s">
        <v>144</v>
      </c>
      <c r="G61" s="160" t="s">
        <v>179</v>
      </c>
    </row>
    <row r="62" spans="1:7" ht="21" hidden="1" customHeight="1" x14ac:dyDescent="0.25">
      <c r="A62" s="157" t="s">
        <v>1197</v>
      </c>
      <c r="B62" s="163">
        <v>30</v>
      </c>
      <c r="C62" s="164">
        <v>0</v>
      </c>
      <c r="D62" s="164">
        <v>0</v>
      </c>
      <c r="E62" s="165">
        <v>0</v>
      </c>
      <c r="F62" s="160" t="s">
        <v>144</v>
      </c>
      <c r="G62" s="160"/>
    </row>
    <row r="63" spans="1:7" ht="21" hidden="1" customHeight="1" x14ac:dyDescent="0.25">
      <c r="A63" s="157" t="s">
        <v>1057</v>
      </c>
      <c r="B63" s="163">
        <v>30</v>
      </c>
      <c r="C63" s="164">
        <v>0</v>
      </c>
      <c r="D63" s="164">
        <v>0</v>
      </c>
      <c r="E63" s="165">
        <v>0</v>
      </c>
      <c r="F63" s="160" t="s">
        <v>144</v>
      </c>
      <c r="G63" s="160"/>
    </row>
    <row r="64" spans="1:7" ht="21" hidden="1" customHeight="1" x14ac:dyDescent="0.25">
      <c r="A64" s="157" t="s">
        <v>1198</v>
      </c>
      <c r="B64" s="163">
        <v>30</v>
      </c>
      <c r="C64" s="164">
        <v>0</v>
      </c>
      <c r="D64" s="164">
        <v>0</v>
      </c>
      <c r="E64" s="165">
        <v>0</v>
      </c>
      <c r="F64" s="160" t="s">
        <v>144</v>
      </c>
      <c r="G64" s="160"/>
    </row>
    <row r="65" spans="1:7" ht="21" hidden="1" customHeight="1" x14ac:dyDescent="0.25">
      <c r="A65" s="157" t="s">
        <v>1060</v>
      </c>
      <c r="B65" s="163">
        <v>30</v>
      </c>
      <c r="C65" s="164">
        <v>0</v>
      </c>
      <c r="D65" s="164">
        <v>0</v>
      </c>
      <c r="E65" s="165">
        <v>0</v>
      </c>
      <c r="F65" s="160" t="s">
        <v>144</v>
      </c>
      <c r="G65" s="160"/>
    </row>
    <row r="66" spans="1:7" ht="21" hidden="1" customHeight="1" x14ac:dyDescent="0.25">
      <c r="A66" s="157" t="s">
        <v>1199</v>
      </c>
      <c r="B66" s="163">
        <v>30</v>
      </c>
      <c r="C66" s="164">
        <v>0</v>
      </c>
      <c r="D66" s="164">
        <v>0</v>
      </c>
      <c r="E66" s="165">
        <v>0</v>
      </c>
      <c r="F66" s="160" t="s">
        <v>144</v>
      </c>
      <c r="G66" s="160"/>
    </row>
    <row r="67" spans="1:7" ht="21" hidden="1" customHeight="1" x14ac:dyDescent="0.25">
      <c r="A67" s="157" t="s">
        <v>1061</v>
      </c>
      <c r="B67" s="163">
        <v>30</v>
      </c>
      <c r="C67" s="164">
        <v>0</v>
      </c>
      <c r="D67" s="164">
        <v>0</v>
      </c>
      <c r="E67" s="165">
        <v>0</v>
      </c>
      <c r="F67" s="160" t="s">
        <v>144</v>
      </c>
      <c r="G67" s="160"/>
    </row>
    <row r="68" spans="1:7" ht="21" hidden="1" customHeight="1" x14ac:dyDescent="0.25">
      <c r="A68" s="157" t="s">
        <v>1200</v>
      </c>
      <c r="B68" s="163">
        <v>30</v>
      </c>
      <c r="C68" s="164">
        <v>0</v>
      </c>
      <c r="D68" s="164">
        <v>0</v>
      </c>
      <c r="E68" s="165">
        <v>0</v>
      </c>
      <c r="F68" s="160" t="s">
        <v>144</v>
      </c>
      <c r="G68" s="160"/>
    </row>
    <row r="69" spans="1:7" ht="21" hidden="1" customHeight="1" x14ac:dyDescent="0.25">
      <c r="A69" s="157" t="s">
        <v>1201</v>
      </c>
      <c r="B69" s="163">
        <v>30</v>
      </c>
      <c r="C69" s="164">
        <v>0</v>
      </c>
      <c r="D69" s="164">
        <v>0</v>
      </c>
      <c r="E69" s="165">
        <v>0</v>
      </c>
      <c r="F69" s="160" t="s">
        <v>144</v>
      </c>
      <c r="G69" s="160"/>
    </row>
    <row r="70" spans="1:7" ht="21" hidden="1" customHeight="1" x14ac:dyDescent="0.25">
      <c r="A70" s="157" t="s">
        <v>1062</v>
      </c>
      <c r="B70" s="163">
        <v>30</v>
      </c>
      <c r="C70" s="164">
        <v>0</v>
      </c>
      <c r="D70" s="164">
        <v>0</v>
      </c>
      <c r="E70" s="165">
        <v>0</v>
      </c>
      <c r="F70" s="160" t="s">
        <v>303</v>
      </c>
      <c r="G70" s="160"/>
    </row>
    <row r="71" spans="1:7" ht="21" hidden="1" customHeight="1" x14ac:dyDescent="0.25">
      <c r="A71" s="157" t="s">
        <v>1202</v>
      </c>
      <c r="B71" s="163">
        <v>30</v>
      </c>
      <c r="C71" s="164">
        <v>0</v>
      </c>
      <c r="D71" s="164">
        <v>0</v>
      </c>
      <c r="E71" s="165">
        <v>0</v>
      </c>
      <c r="F71" s="160" t="s">
        <v>144</v>
      </c>
      <c r="G71" s="160"/>
    </row>
    <row r="72" spans="1:7" ht="21" hidden="1" customHeight="1" x14ac:dyDescent="0.25">
      <c r="A72" s="157" t="s">
        <v>1064</v>
      </c>
      <c r="B72" s="163">
        <v>30</v>
      </c>
      <c r="C72" s="164">
        <v>0</v>
      </c>
      <c r="D72" s="164">
        <v>0</v>
      </c>
      <c r="E72" s="165">
        <v>0</v>
      </c>
      <c r="F72" s="160" t="s">
        <v>144</v>
      </c>
      <c r="G72" s="160"/>
    </row>
    <row r="73" spans="1:7" ht="21" hidden="1" customHeight="1" x14ac:dyDescent="0.25">
      <c r="A73" s="157" t="s">
        <v>1203</v>
      </c>
      <c r="B73" s="163">
        <v>30</v>
      </c>
      <c r="C73" s="164">
        <v>0</v>
      </c>
      <c r="D73" s="164">
        <v>0</v>
      </c>
      <c r="E73" s="165">
        <v>0</v>
      </c>
      <c r="F73" s="160" t="s">
        <v>144</v>
      </c>
      <c r="G73" s="160"/>
    </row>
    <row r="74" spans="1:7" ht="21" hidden="1" customHeight="1" x14ac:dyDescent="0.25">
      <c r="A74" s="157" t="s">
        <v>1204</v>
      </c>
      <c r="B74" s="163">
        <v>30</v>
      </c>
      <c r="C74" s="164">
        <v>0</v>
      </c>
      <c r="D74" s="164">
        <v>0</v>
      </c>
      <c r="E74" s="165">
        <v>0</v>
      </c>
      <c r="F74" s="160" t="s">
        <v>144</v>
      </c>
      <c r="G74" s="160"/>
    </row>
    <row r="75" spans="1:7" ht="21" hidden="1" customHeight="1" x14ac:dyDescent="0.25">
      <c r="A75" s="157" t="s">
        <v>1066</v>
      </c>
      <c r="B75" s="163">
        <v>30</v>
      </c>
      <c r="C75" s="164">
        <v>0</v>
      </c>
      <c r="D75" s="164">
        <v>0</v>
      </c>
      <c r="E75" s="165">
        <v>0</v>
      </c>
      <c r="F75" s="160" t="s">
        <v>1065</v>
      </c>
      <c r="G75" s="160"/>
    </row>
    <row r="76" spans="1:7" ht="21" hidden="1" customHeight="1" x14ac:dyDescent="0.25">
      <c r="A76" s="157" t="s">
        <v>1205</v>
      </c>
      <c r="B76" s="163">
        <v>30</v>
      </c>
      <c r="C76" s="164">
        <v>0</v>
      </c>
      <c r="D76" s="164">
        <v>0</v>
      </c>
      <c r="E76" s="165">
        <v>0</v>
      </c>
      <c r="F76" s="160" t="s">
        <v>144</v>
      </c>
      <c r="G76" s="160"/>
    </row>
    <row r="77" spans="1:7" ht="21" hidden="1" customHeight="1" x14ac:dyDescent="0.25">
      <c r="A77" s="157" t="s">
        <v>1206</v>
      </c>
      <c r="B77" s="163">
        <v>30</v>
      </c>
      <c r="C77" s="164">
        <v>0</v>
      </c>
      <c r="D77" s="164">
        <v>0</v>
      </c>
      <c r="E77" s="165">
        <v>0</v>
      </c>
      <c r="F77" s="160" t="s">
        <v>144</v>
      </c>
      <c r="G77" s="160"/>
    </row>
    <row r="78" spans="1:7" ht="21" hidden="1" customHeight="1" x14ac:dyDescent="0.25">
      <c r="A78" s="157" t="s">
        <v>1069</v>
      </c>
      <c r="B78" s="163">
        <v>30</v>
      </c>
      <c r="C78" s="164">
        <v>0</v>
      </c>
      <c r="D78" s="164">
        <v>0</v>
      </c>
      <c r="E78" s="165">
        <v>0</v>
      </c>
      <c r="F78" s="160" t="s">
        <v>144</v>
      </c>
      <c r="G78" s="160"/>
    </row>
    <row r="79" spans="1:7" ht="21" hidden="1" customHeight="1" x14ac:dyDescent="0.25">
      <c r="A79" s="157" t="s">
        <v>1071</v>
      </c>
      <c r="B79" s="163">
        <v>30</v>
      </c>
      <c r="C79" s="164">
        <v>0</v>
      </c>
      <c r="D79" s="164">
        <v>0</v>
      </c>
      <c r="E79" s="165">
        <v>0</v>
      </c>
      <c r="F79" s="160" t="s">
        <v>451</v>
      </c>
      <c r="G79" s="160"/>
    </row>
    <row r="80" spans="1:7" ht="21" hidden="1" customHeight="1" x14ac:dyDescent="0.25">
      <c r="A80" s="157" t="s">
        <v>1072</v>
      </c>
      <c r="B80" s="163">
        <v>20</v>
      </c>
      <c r="C80" s="164">
        <v>0</v>
      </c>
      <c r="D80" s="164">
        <v>0</v>
      </c>
      <c r="E80" s="165">
        <v>0</v>
      </c>
      <c r="F80" s="160"/>
      <c r="G80" s="160"/>
    </row>
    <row r="81" spans="1:7" ht="21" hidden="1" customHeight="1" x14ac:dyDescent="0.25">
      <c r="A81" s="157" t="s">
        <v>1207</v>
      </c>
      <c r="B81" s="163">
        <v>30</v>
      </c>
      <c r="C81" s="164">
        <v>0</v>
      </c>
      <c r="D81" s="164">
        <v>0</v>
      </c>
      <c r="E81" s="165">
        <v>0</v>
      </c>
      <c r="F81" s="160" t="s">
        <v>144</v>
      </c>
      <c r="G81" s="160"/>
    </row>
    <row r="82" spans="1:7" ht="21" hidden="1" customHeight="1" x14ac:dyDescent="0.25">
      <c r="A82" s="157" t="s">
        <v>1208</v>
      </c>
      <c r="B82" s="163">
        <v>30</v>
      </c>
      <c r="C82" s="164">
        <v>0</v>
      </c>
      <c r="D82" s="164">
        <v>0</v>
      </c>
      <c r="E82" s="165">
        <v>0</v>
      </c>
      <c r="F82" s="160" t="s">
        <v>144</v>
      </c>
      <c r="G82" s="160"/>
    </row>
    <row r="83" spans="1:7" ht="21" hidden="1" customHeight="1" x14ac:dyDescent="0.25">
      <c r="A83" s="157" t="s">
        <v>1074</v>
      </c>
      <c r="B83" s="163">
        <v>30</v>
      </c>
      <c r="C83" s="164">
        <v>0</v>
      </c>
      <c r="D83" s="164">
        <v>0</v>
      </c>
      <c r="E83" s="165">
        <v>0</v>
      </c>
      <c r="F83" s="160"/>
      <c r="G83" s="160"/>
    </row>
    <row r="84" spans="1:7" ht="21" hidden="1" customHeight="1" x14ac:dyDescent="0.25">
      <c r="A84" s="157" t="s">
        <v>1075</v>
      </c>
      <c r="B84" s="163">
        <v>30</v>
      </c>
      <c r="C84" s="164">
        <v>0</v>
      </c>
      <c r="D84" s="164">
        <v>0</v>
      </c>
      <c r="E84" s="165">
        <v>0</v>
      </c>
      <c r="F84" s="160" t="s">
        <v>144</v>
      </c>
      <c r="G84" s="160"/>
    </row>
    <row r="85" spans="1:7" ht="21" hidden="1" customHeight="1" x14ac:dyDescent="0.25">
      <c r="A85" s="157" t="s">
        <v>1209</v>
      </c>
      <c r="B85" s="163">
        <v>30</v>
      </c>
      <c r="C85" s="164">
        <v>0</v>
      </c>
      <c r="D85" s="164">
        <v>0</v>
      </c>
      <c r="E85" s="165">
        <v>0</v>
      </c>
      <c r="F85" s="160" t="s">
        <v>144</v>
      </c>
      <c r="G85" s="160"/>
    </row>
    <row r="86" spans="1:7" ht="21" hidden="1" customHeight="1" x14ac:dyDescent="0.25">
      <c r="A86" s="157" t="s">
        <v>1210</v>
      </c>
      <c r="B86" s="163">
        <v>30</v>
      </c>
      <c r="C86" s="164">
        <v>0</v>
      </c>
      <c r="D86" s="164">
        <v>0</v>
      </c>
      <c r="E86" s="165">
        <v>0</v>
      </c>
      <c r="F86" s="160" t="s">
        <v>144</v>
      </c>
      <c r="G86" s="160"/>
    </row>
    <row r="87" spans="1:7" ht="21" hidden="1" customHeight="1" x14ac:dyDescent="0.25">
      <c r="A87" s="157" t="s">
        <v>1078</v>
      </c>
      <c r="B87" s="163">
        <v>30</v>
      </c>
      <c r="C87" s="164">
        <v>0</v>
      </c>
      <c r="D87" s="164">
        <v>0</v>
      </c>
      <c r="E87" s="165">
        <v>0</v>
      </c>
      <c r="F87" s="160" t="s">
        <v>472</v>
      </c>
      <c r="G87" s="160"/>
    </row>
    <row r="88" spans="1:7" ht="21" hidden="1" customHeight="1" x14ac:dyDescent="0.25">
      <c r="A88" s="157" t="s">
        <v>1211</v>
      </c>
      <c r="B88" s="163">
        <v>30</v>
      </c>
      <c r="C88" s="164">
        <v>0</v>
      </c>
      <c r="D88" s="164">
        <v>0</v>
      </c>
      <c r="E88" s="165">
        <v>0</v>
      </c>
      <c r="F88" s="160" t="s">
        <v>257</v>
      </c>
      <c r="G88" s="160"/>
    </row>
    <row r="89" spans="1:7" ht="21" hidden="1" customHeight="1" x14ac:dyDescent="0.25">
      <c r="A89" s="157" t="s">
        <v>1079</v>
      </c>
      <c r="B89" s="163">
        <v>30</v>
      </c>
      <c r="C89" s="164">
        <v>0</v>
      </c>
      <c r="D89" s="164">
        <v>0</v>
      </c>
      <c r="E89" s="165">
        <v>0</v>
      </c>
      <c r="F89" s="160" t="s">
        <v>257</v>
      </c>
      <c r="G89" s="160"/>
    </row>
    <row r="90" spans="1:7" ht="21" hidden="1" customHeight="1" x14ac:dyDescent="0.25">
      <c r="A90" s="157" t="s">
        <v>1080</v>
      </c>
      <c r="B90" s="163">
        <v>30</v>
      </c>
      <c r="C90" s="164">
        <v>0</v>
      </c>
      <c r="D90" s="164">
        <v>0</v>
      </c>
      <c r="E90" s="165">
        <v>0</v>
      </c>
      <c r="F90" s="160"/>
      <c r="G90" s="160"/>
    </row>
    <row r="91" spans="1:7" ht="21" hidden="1" customHeight="1" x14ac:dyDescent="0.25">
      <c r="A91" s="157" t="s">
        <v>1083</v>
      </c>
      <c r="B91" s="163">
        <v>30</v>
      </c>
      <c r="C91" s="164">
        <v>0.19</v>
      </c>
      <c r="D91" s="164">
        <v>2.5000000000000001E-2</v>
      </c>
      <c r="E91" s="165" t="s">
        <v>1263</v>
      </c>
      <c r="F91" s="160"/>
      <c r="G91" s="160"/>
    </row>
    <row r="92" spans="1:7" ht="21" hidden="1" customHeight="1" x14ac:dyDescent="0.25">
      <c r="A92" s="157" t="s">
        <v>57</v>
      </c>
      <c r="B92" s="163">
        <v>30</v>
      </c>
      <c r="C92" s="164">
        <v>0.19</v>
      </c>
      <c r="D92" s="164">
        <v>2.5000000000000001E-2</v>
      </c>
      <c r="E92" s="165">
        <v>0</v>
      </c>
      <c r="F92" s="160" t="s">
        <v>426</v>
      </c>
      <c r="G92" s="160"/>
    </row>
    <row r="93" spans="1:7" ht="21" hidden="1" customHeight="1" x14ac:dyDescent="0.25">
      <c r="A93" s="157" t="s">
        <v>398</v>
      </c>
      <c r="B93" s="163">
        <v>10</v>
      </c>
      <c r="C93" s="164">
        <v>0</v>
      </c>
      <c r="D93" s="164">
        <v>0</v>
      </c>
      <c r="E93" s="165">
        <v>0</v>
      </c>
      <c r="F93" s="160"/>
      <c r="G93" s="160"/>
    </row>
    <row r="94" spans="1:7" ht="21" hidden="1" customHeight="1" x14ac:dyDescent="0.25">
      <c r="A94" s="157" t="s">
        <v>469</v>
      </c>
      <c r="B94" s="163">
        <v>10</v>
      </c>
      <c r="C94" s="164">
        <v>0.19</v>
      </c>
      <c r="D94" s="164">
        <v>2.5000000000000001E-2</v>
      </c>
      <c r="E94" s="165" t="s">
        <v>1263</v>
      </c>
      <c r="F94" s="160" t="s">
        <v>468</v>
      </c>
      <c r="G94" s="160"/>
    </row>
    <row r="95" spans="1:7" ht="21" hidden="1" customHeight="1" x14ac:dyDescent="0.25">
      <c r="A95" s="157" t="s">
        <v>290</v>
      </c>
      <c r="B95" s="163">
        <v>30</v>
      </c>
      <c r="C95" s="164">
        <v>0.19</v>
      </c>
      <c r="D95" s="164">
        <v>2.5000000000000001E-2</v>
      </c>
      <c r="E95" s="165" t="s">
        <v>1263</v>
      </c>
      <c r="F95" s="160"/>
      <c r="G95" s="160"/>
    </row>
    <row r="96" spans="1:7" ht="21" hidden="1" customHeight="1" x14ac:dyDescent="0.25">
      <c r="A96" s="157" t="s">
        <v>554</v>
      </c>
      <c r="B96" s="163">
        <v>20</v>
      </c>
      <c r="C96" s="164">
        <v>0</v>
      </c>
      <c r="D96" s="164">
        <v>0.11</v>
      </c>
      <c r="E96" s="165" t="s">
        <v>1266</v>
      </c>
      <c r="F96" s="160" t="s">
        <v>555</v>
      </c>
      <c r="G96" s="160"/>
    </row>
    <row r="97" spans="1:7" ht="21" hidden="1" customHeight="1" x14ac:dyDescent="0.25">
      <c r="A97" s="157" t="s">
        <v>518</v>
      </c>
      <c r="B97" s="163">
        <v>30</v>
      </c>
      <c r="C97" s="164">
        <v>0.19</v>
      </c>
      <c r="D97" s="164">
        <v>0</v>
      </c>
      <c r="E97" s="165">
        <v>0</v>
      </c>
      <c r="F97" s="160"/>
      <c r="G97" s="160"/>
    </row>
    <row r="98" spans="1:7" ht="21" hidden="1" customHeight="1" x14ac:dyDescent="0.25">
      <c r="A98" s="157" t="s">
        <v>613</v>
      </c>
      <c r="B98" s="163">
        <v>30</v>
      </c>
      <c r="C98" s="164">
        <v>0.19</v>
      </c>
      <c r="D98" s="164">
        <v>2.5000000000000001E-2</v>
      </c>
      <c r="E98" s="165" t="s">
        <v>1263</v>
      </c>
      <c r="F98" s="160"/>
      <c r="G98" s="160"/>
    </row>
    <row r="99" spans="1:7" ht="21" hidden="1" customHeight="1" x14ac:dyDescent="0.25">
      <c r="A99" s="157" t="s">
        <v>20</v>
      </c>
      <c r="B99" s="163">
        <v>30</v>
      </c>
      <c r="C99" s="164">
        <v>0.19</v>
      </c>
      <c r="D99" s="164">
        <v>2.5000000000000001E-2</v>
      </c>
      <c r="E99" s="165" t="s">
        <v>1263</v>
      </c>
      <c r="F99" s="160" t="s">
        <v>176</v>
      </c>
      <c r="G99" s="160" t="s">
        <v>306</v>
      </c>
    </row>
    <row r="100" spans="1:7" ht="21" hidden="1" customHeight="1" x14ac:dyDescent="0.25">
      <c r="A100" s="157" t="s">
        <v>21</v>
      </c>
      <c r="B100" s="163">
        <v>30</v>
      </c>
      <c r="C100" s="164">
        <v>0.19</v>
      </c>
      <c r="D100" s="164">
        <v>2.5000000000000001E-2</v>
      </c>
      <c r="E100" s="165" t="s">
        <v>1263</v>
      </c>
      <c r="F100" s="160" t="s">
        <v>258</v>
      </c>
      <c r="G100" s="160"/>
    </row>
    <row r="101" spans="1:7" ht="21" hidden="1" customHeight="1" x14ac:dyDescent="0.25">
      <c r="A101" s="157" t="s">
        <v>52</v>
      </c>
      <c r="B101" s="163">
        <v>30</v>
      </c>
      <c r="C101" s="164">
        <v>0.19</v>
      </c>
      <c r="D101" s="164">
        <v>2.5000000000000001E-2</v>
      </c>
      <c r="E101" s="165" t="s">
        <v>1263</v>
      </c>
      <c r="F101" s="160" t="s">
        <v>144</v>
      </c>
      <c r="G101" s="160"/>
    </row>
    <row r="102" spans="1:7" ht="21" hidden="1" customHeight="1" x14ac:dyDescent="0.25">
      <c r="A102" s="157" t="s">
        <v>42</v>
      </c>
      <c r="B102" s="163">
        <v>30</v>
      </c>
      <c r="C102" s="164">
        <v>0.19</v>
      </c>
      <c r="D102" s="164">
        <v>2.5000000000000001E-2</v>
      </c>
      <c r="E102" s="165" t="s">
        <v>1263</v>
      </c>
      <c r="F102" s="160" t="s">
        <v>144</v>
      </c>
      <c r="G102" s="160"/>
    </row>
    <row r="103" spans="1:7" ht="21" hidden="1" customHeight="1" x14ac:dyDescent="0.25">
      <c r="A103" s="157" t="s">
        <v>604</v>
      </c>
      <c r="B103" s="163">
        <v>60</v>
      </c>
      <c r="C103" s="164">
        <v>0</v>
      </c>
      <c r="D103" s="164">
        <v>0</v>
      </c>
      <c r="E103" s="165">
        <v>0</v>
      </c>
      <c r="F103" s="160" t="s">
        <v>992</v>
      </c>
      <c r="G103" s="160"/>
    </row>
    <row r="104" spans="1:7" ht="21" hidden="1" customHeight="1" x14ac:dyDescent="0.25">
      <c r="A104" s="157" t="s">
        <v>605</v>
      </c>
      <c r="B104" s="163">
        <v>45</v>
      </c>
      <c r="C104" s="164">
        <v>0</v>
      </c>
      <c r="D104" s="164">
        <v>0</v>
      </c>
      <c r="E104" s="165">
        <v>0</v>
      </c>
      <c r="F104" s="160" t="s">
        <v>992</v>
      </c>
      <c r="G104" s="160"/>
    </row>
    <row r="105" spans="1:7" ht="21" hidden="1" customHeight="1" x14ac:dyDescent="0.25">
      <c r="A105" s="157" t="s">
        <v>944</v>
      </c>
      <c r="B105" s="163">
        <v>45</v>
      </c>
      <c r="C105" s="164">
        <v>0</v>
      </c>
      <c r="D105" s="164">
        <v>0</v>
      </c>
      <c r="E105" s="165">
        <v>0</v>
      </c>
      <c r="F105" s="160" t="s">
        <v>590</v>
      </c>
      <c r="G105" s="160"/>
    </row>
    <row r="106" spans="1:7" ht="21" hidden="1" customHeight="1" x14ac:dyDescent="0.25">
      <c r="A106" s="157" t="s">
        <v>606</v>
      </c>
      <c r="B106" s="163">
        <v>45</v>
      </c>
      <c r="C106" s="164">
        <v>0</v>
      </c>
      <c r="D106" s="164">
        <v>0</v>
      </c>
      <c r="E106" s="165">
        <v>0</v>
      </c>
      <c r="F106" s="160" t="s">
        <v>992</v>
      </c>
      <c r="G106" s="160"/>
    </row>
    <row r="107" spans="1:7" ht="21" hidden="1" customHeight="1" x14ac:dyDescent="0.25">
      <c r="A107" s="157" t="s">
        <v>82</v>
      </c>
      <c r="B107" s="163">
        <v>30</v>
      </c>
      <c r="C107" s="164">
        <v>0.19</v>
      </c>
      <c r="D107" s="164">
        <v>2.5000000000000001E-2</v>
      </c>
      <c r="E107" s="165" t="s">
        <v>1263</v>
      </c>
      <c r="F107" s="160" t="s">
        <v>144</v>
      </c>
      <c r="G107" s="160"/>
    </row>
    <row r="108" spans="1:7" ht="21" hidden="1" customHeight="1" x14ac:dyDescent="0.25">
      <c r="A108" s="157" t="s">
        <v>569</v>
      </c>
      <c r="B108" s="163">
        <v>30</v>
      </c>
      <c r="C108" s="164">
        <v>0.19</v>
      </c>
      <c r="D108" s="164">
        <v>0</v>
      </c>
      <c r="E108" s="165">
        <v>0</v>
      </c>
      <c r="F108" s="160" t="s">
        <v>630</v>
      </c>
      <c r="G108" s="160"/>
    </row>
    <row r="109" spans="1:7" ht="21" hidden="1" customHeight="1" x14ac:dyDescent="0.25">
      <c r="A109" s="157" t="s">
        <v>511</v>
      </c>
      <c r="B109" s="163">
        <v>30</v>
      </c>
      <c r="C109" s="164">
        <v>0.19</v>
      </c>
      <c r="D109" s="164">
        <v>0</v>
      </c>
      <c r="E109" s="165">
        <v>0</v>
      </c>
      <c r="F109" s="160" t="s">
        <v>630</v>
      </c>
      <c r="G109" s="160"/>
    </row>
    <row r="110" spans="1:7" ht="21" hidden="1" customHeight="1" x14ac:dyDescent="0.25">
      <c r="A110" s="157" t="s">
        <v>571</v>
      </c>
      <c r="B110" s="163">
        <v>30</v>
      </c>
      <c r="C110" s="164">
        <v>0.19</v>
      </c>
      <c r="D110" s="164">
        <v>2.5000000000000001E-2</v>
      </c>
      <c r="E110" s="165" t="s">
        <v>1263</v>
      </c>
      <c r="F110" s="160" t="s">
        <v>271</v>
      </c>
      <c r="G110" s="160"/>
    </row>
    <row r="111" spans="1:7" ht="21" hidden="1" customHeight="1" x14ac:dyDescent="0.25">
      <c r="A111" s="157" t="s">
        <v>495</v>
      </c>
      <c r="B111" s="163">
        <v>30</v>
      </c>
      <c r="C111" s="164">
        <v>0.19</v>
      </c>
      <c r="D111" s="164">
        <v>2.5000000000000001E-2</v>
      </c>
      <c r="E111" s="165" t="s">
        <v>1263</v>
      </c>
      <c r="F111" s="160"/>
      <c r="G111" s="160"/>
    </row>
    <row r="112" spans="1:7" ht="21" hidden="1" customHeight="1" x14ac:dyDescent="0.25">
      <c r="A112" s="157" t="s">
        <v>50</v>
      </c>
      <c r="B112" s="163">
        <v>30</v>
      </c>
      <c r="C112" s="164">
        <v>0.19</v>
      </c>
      <c r="D112" s="164">
        <v>2.5000000000000001E-2</v>
      </c>
      <c r="E112" s="165" t="s">
        <v>1263</v>
      </c>
      <c r="F112" s="160" t="s">
        <v>255</v>
      </c>
      <c r="G112" s="160" t="s">
        <v>430</v>
      </c>
    </row>
    <row r="113" spans="1:7" ht="21" hidden="1" customHeight="1" x14ac:dyDescent="0.25">
      <c r="A113" s="157" t="s">
        <v>80</v>
      </c>
      <c r="B113" s="163">
        <v>30</v>
      </c>
      <c r="C113" s="164">
        <v>0.19</v>
      </c>
      <c r="D113" s="164">
        <v>2.5000000000000001E-2</v>
      </c>
      <c r="E113" s="165" t="s">
        <v>1263</v>
      </c>
      <c r="F113" s="160" t="s">
        <v>449</v>
      </c>
      <c r="G113" s="160"/>
    </row>
    <row r="114" spans="1:7" ht="21" hidden="1" customHeight="1" x14ac:dyDescent="0.25">
      <c r="A114" s="157" t="s">
        <v>435</v>
      </c>
      <c r="B114" s="163">
        <v>90</v>
      </c>
      <c r="C114" s="164">
        <v>0.19</v>
      </c>
      <c r="D114" s="164">
        <v>2.5000000000000001E-2</v>
      </c>
      <c r="E114" s="165" t="s">
        <v>1263</v>
      </c>
      <c r="F114" s="160" t="s">
        <v>561</v>
      </c>
      <c r="G114" s="160"/>
    </row>
    <row r="115" spans="1:7" ht="21" hidden="1" customHeight="1" x14ac:dyDescent="0.25">
      <c r="A115" s="157" t="s">
        <v>24</v>
      </c>
      <c r="B115" s="163">
        <v>30</v>
      </c>
      <c r="C115" s="164">
        <v>0.19</v>
      </c>
      <c r="D115" s="164">
        <v>2.5000000000000001E-2</v>
      </c>
      <c r="E115" s="165" t="s">
        <v>1263</v>
      </c>
      <c r="F115" s="160" t="s">
        <v>429</v>
      </c>
      <c r="G115" s="160"/>
    </row>
    <row r="116" spans="1:7" ht="21" hidden="1" customHeight="1" x14ac:dyDescent="0.25">
      <c r="A116" s="157" t="s">
        <v>12</v>
      </c>
      <c r="B116" s="163">
        <v>90</v>
      </c>
      <c r="C116" s="164">
        <v>0.19</v>
      </c>
      <c r="D116" s="164">
        <v>2.5000000000000001E-2</v>
      </c>
      <c r="E116" s="165" t="s">
        <v>1263</v>
      </c>
      <c r="F116" s="160" t="s">
        <v>260</v>
      </c>
      <c r="G116" s="160"/>
    </row>
    <row r="117" spans="1:7" ht="21" hidden="1" customHeight="1" x14ac:dyDescent="0.25">
      <c r="A117" s="157" t="s">
        <v>182</v>
      </c>
      <c r="B117" s="163">
        <v>30</v>
      </c>
      <c r="C117" s="164">
        <v>0.19</v>
      </c>
      <c r="D117" s="164">
        <v>2.5000000000000001E-2</v>
      </c>
      <c r="E117" s="165" t="s">
        <v>1263</v>
      </c>
      <c r="F117" s="160" t="s">
        <v>299</v>
      </c>
      <c r="G117" s="160" t="s">
        <v>183</v>
      </c>
    </row>
    <row r="118" spans="1:7" ht="21" hidden="1" customHeight="1" x14ac:dyDescent="0.25">
      <c r="A118" s="157" t="s">
        <v>37</v>
      </c>
      <c r="B118" s="163">
        <v>30</v>
      </c>
      <c r="C118" s="164">
        <v>0.19</v>
      </c>
      <c r="D118" s="164">
        <v>2.5000000000000001E-2</v>
      </c>
      <c r="E118" s="165" t="s">
        <v>1263</v>
      </c>
      <c r="F118" s="160" t="s">
        <v>144</v>
      </c>
      <c r="G118" s="160"/>
    </row>
    <row r="119" spans="1:7" ht="21" hidden="1" customHeight="1" x14ac:dyDescent="0.25">
      <c r="A119" s="157" t="s">
        <v>77</v>
      </c>
      <c r="B119" s="163">
        <v>30</v>
      </c>
      <c r="C119" s="164">
        <v>0.19</v>
      </c>
      <c r="D119" s="164">
        <v>2.5000000000000001E-2</v>
      </c>
      <c r="E119" s="165" t="s">
        <v>1263</v>
      </c>
      <c r="F119" s="160" t="s">
        <v>144</v>
      </c>
      <c r="G119" s="160"/>
    </row>
    <row r="120" spans="1:7" ht="21" hidden="1" customHeight="1" x14ac:dyDescent="0.25">
      <c r="A120" s="157" t="s">
        <v>47</v>
      </c>
      <c r="B120" s="163">
        <v>30</v>
      </c>
      <c r="C120" s="164">
        <v>0.19</v>
      </c>
      <c r="D120" s="164">
        <v>0</v>
      </c>
      <c r="E120" s="165">
        <v>0</v>
      </c>
      <c r="F120" s="160" t="s">
        <v>261</v>
      </c>
      <c r="G120" s="160"/>
    </row>
    <row r="121" spans="1:7" ht="21" hidden="1" customHeight="1" x14ac:dyDescent="0.25">
      <c r="A121" s="157" t="s">
        <v>51</v>
      </c>
      <c r="B121" s="163">
        <v>30</v>
      </c>
      <c r="C121" s="164">
        <v>0.19</v>
      </c>
      <c r="D121" s="164">
        <v>2.5000000000000001E-2</v>
      </c>
      <c r="E121" s="165" t="s">
        <v>1263</v>
      </c>
      <c r="F121" s="160" t="s">
        <v>144</v>
      </c>
      <c r="G121" s="160"/>
    </row>
    <row r="122" spans="1:7" ht="21" hidden="1" customHeight="1" x14ac:dyDescent="0.25">
      <c r="A122" s="157" t="s">
        <v>49</v>
      </c>
      <c r="B122" s="163">
        <v>30</v>
      </c>
      <c r="C122" s="164">
        <v>0.19</v>
      </c>
      <c r="D122" s="164">
        <v>2.5000000000000001E-2</v>
      </c>
      <c r="E122" s="165" t="s">
        <v>1263</v>
      </c>
      <c r="F122" s="160" t="s">
        <v>144</v>
      </c>
      <c r="G122" s="160"/>
    </row>
    <row r="123" spans="1:7" ht="21" hidden="1" customHeight="1" x14ac:dyDescent="0.25">
      <c r="A123" s="157" t="s">
        <v>59</v>
      </c>
      <c r="B123" s="163">
        <v>30</v>
      </c>
      <c r="C123" s="164">
        <v>0.19</v>
      </c>
      <c r="D123" s="164">
        <v>2.5000000000000001E-2</v>
      </c>
      <c r="E123" s="165" t="s">
        <v>1263</v>
      </c>
      <c r="F123" s="160" t="s">
        <v>144</v>
      </c>
      <c r="G123" s="160"/>
    </row>
    <row r="124" spans="1:7" ht="21" hidden="1" customHeight="1" x14ac:dyDescent="0.25">
      <c r="A124" s="157" t="s">
        <v>53</v>
      </c>
      <c r="B124" s="163">
        <v>30</v>
      </c>
      <c r="C124" s="164">
        <v>0.19</v>
      </c>
      <c r="D124" s="164">
        <v>2.5000000000000001E-2</v>
      </c>
      <c r="E124" s="165" t="s">
        <v>1263</v>
      </c>
      <c r="F124" s="160" t="s">
        <v>144</v>
      </c>
      <c r="G124" s="160"/>
    </row>
    <row r="125" spans="1:7" ht="21" hidden="1" customHeight="1" x14ac:dyDescent="0.25">
      <c r="A125" s="157" t="s">
        <v>58</v>
      </c>
      <c r="B125" s="163">
        <v>30</v>
      </c>
      <c r="C125" s="164">
        <v>0</v>
      </c>
      <c r="D125" s="164">
        <v>0</v>
      </c>
      <c r="E125" s="165">
        <v>0</v>
      </c>
      <c r="F125" s="160" t="s">
        <v>262</v>
      </c>
      <c r="G125" s="160"/>
    </row>
    <row r="126" spans="1:7" ht="21" hidden="1" customHeight="1" x14ac:dyDescent="0.25">
      <c r="A126" s="157" t="s">
        <v>129</v>
      </c>
      <c r="B126" s="163">
        <v>30</v>
      </c>
      <c r="C126" s="164">
        <v>0</v>
      </c>
      <c r="D126" s="164">
        <v>0</v>
      </c>
      <c r="E126" s="165">
        <v>0</v>
      </c>
      <c r="F126" s="160" t="s">
        <v>262</v>
      </c>
      <c r="G126" s="160"/>
    </row>
    <row r="127" spans="1:7" ht="21" hidden="1" customHeight="1" x14ac:dyDescent="0.25">
      <c r="A127" s="157" t="s">
        <v>148</v>
      </c>
      <c r="B127" s="163">
        <v>30</v>
      </c>
      <c r="C127" s="164">
        <v>0</v>
      </c>
      <c r="D127" s="164">
        <v>0</v>
      </c>
      <c r="E127" s="165">
        <v>0</v>
      </c>
      <c r="F127" s="160" t="s">
        <v>262</v>
      </c>
      <c r="G127" s="160"/>
    </row>
    <row r="128" spans="1:7" ht="21" hidden="1" customHeight="1" x14ac:dyDescent="0.25">
      <c r="A128" s="157" t="s">
        <v>69</v>
      </c>
      <c r="B128" s="163">
        <v>30</v>
      </c>
      <c r="C128" s="164">
        <v>0</v>
      </c>
      <c r="D128" s="164">
        <v>0</v>
      </c>
      <c r="E128" s="165">
        <v>0</v>
      </c>
      <c r="F128" s="160" t="s">
        <v>262</v>
      </c>
      <c r="G128" s="160"/>
    </row>
    <row r="129" spans="1:7" ht="21" hidden="1" customHeight="1" x14ac:dyDescent="0.25">
      <c r="A129" s="157" t="s">
        <v>72</v>
      </c>
      <c r="B129" s="163">
        <v>30</v>
      </c>
      <c r="C129" s="164">
        <v>0</v>
      </c>
      <c r="D129" s="164">
        <v>0</v>
      </c>
      <c r="E129" s="165">
        <v>0</v>
      </c>
      <c r="F129" s="160" t="s">
        <v>262</v>
      </c>
      <c r="G129" s="160"/>
    </row>
    <row r="130" spans="1:7" ht="21" hidden="1" customHeight="1" x14ac:dyDescent="0.25">
      <c r="A130" s="157" t="s">
        <v>60</v>
      </c>
      <c r="B130" s="163">
        <v>30</v>
      </c>
      <c r="C130" s="164">
        <v>0</v>
      </c>
      <c r="D130" s="164">
        <v>0</v>
      </c>
      <c r="E130" s="165">
        <v>0</v>
      </c>
      <c r="F130" s="160" t="s">
        <v>262</v>
      </c>
      <c r="G130" s="160"/>
    </row>
    <row r="131" spans="1:7" ht="21" hidden="1" customHeight="1" x14ac:dyDescent="0.25">
      <c r="A131" s="157" t="s">
        <v>61</v>
      </c>
      <c r="B131" s="163">
        <v>30</v>
      </c>
      <c r="C131" s="164">
        <v>0</v>
      </c>
      <c r="D131" s="164">
        <v>0</v>
      </c>
      <c r="E131" s="165">
        <v>0</v>
      </c>
      <c r="F131" s="160" t="s">
        <v>262</v>
      </c>
      <c r="G131" s="160"/>
    </row>
    <row r="132" spans="1:7" ht="21" hidden="1" customHeight="1" x14ac:dyDescent="0.25">
      <c r="A132" s="157" t="s">
        <v>115</v>
      </c>
      <c r="B132" s="163">
        <v>30</v>
      </c>
      <c r="C132" s="164">
        <v>0</v>
      </c>
      <c r="D132" s="164">
        <v>0</v>
      </c>
      <c r="E132" s="165">
        <v>0</v>
      </c>
      <c r="F132" s="160" t="s">
        <v>262</v>
      </c>
      <c r="G132" s="160"/>
    </row>
    <row r="133" spans="1:7" ht="21" hidden="1" customHeight="1" x14ac:dyDescent="0.25">
      <c r="A133" s="157" t="s">
        <v>116</v>
      </c>
      <c r="B133" s="163">
        <v>30</v>
      </c>
      <c r="C133" s="164">
        <v>0</v>
      </c>
      <c r="D133" s="164">
        <v>0</v>
      </c>
      <c r="E133" s="165">
        <v>0</v>
      </c>
      <c r="F133" s="160" t="s">
        <v>262</v>
      </c>
      <c r="G133" s="160"/>
    </row>
    <row r="134" spans="1:7" ht="21" hidden="1" customHeight="1" x14ac:dyDescent="0.25">
      <c r="A134" s="157" t="s">
        <v>22</v>
      </c>
      <c r="B134" s="163">
        <v>30</v>
      </c>
      <c r="C134" s="164">
        <v>0</v>
      </c>
      <c r="D134" s="164">
        <v>0</v>
      </c>
      <c r="E134" s="165">
        <v>0</v>
      </c>
      <c r="F134" s="160" t="s">
        <v>262</v>
      </c>
      <c r="G134" s="160"/>
    </row>
    <row r="135" spans="1:7" ht="21" hidden="1" customHeight="1" x14ac:dyDescent="0.25">
      <c r="A135" s="157" t="s">
        <v>107</v>
      </c>
      <c r="B135" s="163">
        <v>30</v>
      </c>
      <c r="C135" s="164">
        <v>0.19</v>
      </c>
      <c r="D135" s="164">
        <v>2.5000000000000001E-2</v>
      </c>
      <c r="E135" s="165" t="s">
        <v>1263</v>
      </c>
      <c r="F135" s="160" t="s">
        <v>144</v>
      </c>
      <c r="G135" s="160"/>
    </row>
    <row r="136" spans="1:7" ht="21" hidden="1" customHeight="1" x14ac:dyDescent="0.25">
      <c r="A136" s="157" t="s">
        <v>1097</v>
      </c>
      <c r="B136" s="163">
        <v>30</v>
      </c>
      <c r="C136" s="164">
        <v>0</v>
      </c>
      <c r="D136" s="164">
        <v>0</v>
      </c>
      <c r="E136" s="165">
        <v>0</v>
      </c>
      <c r="F136" s="160"/>
      <c r="G136" s="160"/>
    </row>
    <row r="137" spans="1:7" ht="21" hidden="1" customHeight="1" x14ac:dyDescent="0.25">
      <c r="A137" s="157" t="s">
        <v>538</v>
      </c>
      <c r="B137" s="163">
        <v>30</v>
      </c>
      <c r="C137" s="164">
        <v>0.19</v>
      </c>
      <c r="D137" s="164">
        <v>0</v>
      </c>
      <c r="E137" s="165">
        <v>0</v>
      </c>
      <c r="F137" s="160" t="s">
        <v>184</v>
      </c>
      <c r="G137" s="160"/>
    </row>
    <row r="138" spans="1:7" ht="21" hidden="1" customHeight="1" x14ac:dyDescent="0.25">
      <c r="A138" s="157" t="s">
        <v>626</v>
      </c>
      <c r="B138" s="163">
        <v>30</v>
      </c>
      <c r="C138" s="164">
        <v>0.19</v>
      </c>
      <c r="D138" s="164">
        <v>0.04</v>
      </c>
      <c r="E138" s="165" t="s">
        <v>1266</v>
      </c>
      <c r="F138" s="160"/>
      <c r="G138" s="160"/>
    </row>
    <row r="139" spans="1:7" ht="21" hidden="1" customHeight="1" x14ac:dyDescent="0.25">
      <c r="A139" s="157" t="s">
        <v>642</v>
      </c>
      <c r="B139" s="163">
        <v>10</v>
      </c>
      <c r="C139" s="164">
        <v>0.19</v>
      </c>
      <c r="D139" s="164">
        <v>0</v>
      </c>
      <c r="E139" s="165">
        <v>0</v>
      </c>
      <c r="F139" s="160"/>
      <c r="G139" s="160"/>
    </row>
    <row r="140" spans="1:7" ht="21" hidden="1" customHeight="1" x14ac:dyDescent="0.25">
      <c r="A140" s="157" t="s">
        <v>428</v>
      </c>
      <c r="B140" s="163">
        <v>30</v>
      </c>
      <c r="C140" s="164">
        <v>0</v>
      </c>
      <c r="D140" s="164">
        <v>0</v>
      </c>
      <c r="E140" s="165">
        <v>0</v>
      </c>
      <c r="F140" s="160" t="s">
        <v>259</v>
      </c>
      <c r="G140" s="160"/>
    </row>
    <row r="141" spans="1:7" ht="21" hidden="1" customHeight="1" x14ac:dyDescent="0.25">
      <c r="A141" s="157" t="s">
        <v>396</v>
      </c>
      <c r="B141" s="163">
        <v>0</v>
      </c>
      <c r="C141" s="164">
        <v>0</v>
      </c>
      <c r="D141" s="164">
        <v>0</v>
      </c>
      <c r="E141" s="165">
        <v>0</v>
      </c>
      <c r="F141" s="160" t="s">
        <v>184</v>
      </c>
      <c r="G141" s="160"/>
    </row>
    <row r="142" spans="1:7" ht="21" hidden="1" customHeight="1" x14ac:dyDescent="0.25">
      <c r="A142" s="157" t="s">
        <v>329</v>
      </c>
      <c r="B142" s="163">
        <v>30</v>
      </c>
      <c r="C142" s="164">
        <v>0</v>
      </c>
      <c r="D142" s="164">
        <v>3.5000000000000003E-2</v>
      </c>
      <c r="E142" s="165" t="s">
        <v>1264</v>
      </c>
      <c r="F142" s="160" t="s">
        <v>177</v>
      </c>
      <c r="G142" s="160" t="s">
        <v>145</v>
      </c>
    </row>
    <row r="143" spans="1:7" ht="21" hidden="1" customHeight="1" x14ac:dyDescent="0.25">
      <c r="A143" s="157" t="s">
        <v>345</v>
      </c>
      <c r="B143" s="163">
        <v>30</v>
      </c>
      <c r="C143" s="164">
        <v>0.19</v>
      </c>
      <c r="D143" s="164">
        <v>0</v>
      </c>
      <c r="E143" s="165">
        <v>0</v>
      </c>
      <c r="F143" s="167" t="s">
        <v>1016</v>
      </c>
      <c r="G143" s="160"/>
    </row>
    <row r="144" spans="1:7" ht="21" hidden="1" customHeight="1" x14ac:dyDescent="0.25">
      <c r="A144" s="157" t="s">
        <v>330</v>
      </c>
      <c r="B144" s="163">
        <v>30</v>
      </c>
      <c r="C144" s="164">
        <v>0.19</v>
      </c>
      <c r="D144" s="164">
        <v>2.5000000000000001E-2</v>
      </c>
      <c r="E144" s="165" t="s">
        <v>1263</v>
      </c>
      <c r="F144" s="160" t="s">
        <v>146</v>
      </c>
      <c r="G144" s="160"/>
    </row>
    <row r="145" spans="1:7" ht="21" hidden="1" customHeight="1" x14ac:dyDescent="0.25">
      <c r="A145" s="157" t="s">
        <v>368</v>
      </c>
      <c r="B145" s="163">
        <v>180</v>
      </c>
      <c r="C145" s="164">
        <v>0</v>
      </c>
      <c r="D145" s="164">
        <v>0</v>
      </c>
      <c r="E145" s="165">
        <v>0</v>
      </c>
      <c r="F145" s="160" t="s">
        <v>184</v>
      </c>
      <c r="G145" s="160"/>
    </row>
    <row r="146" spans="1:7" ht="21" hidden="1" customHeight="1" x14ac:dyDescent="0.25">
      <c r="A146" s="157" t="s">
        <v>566</v>
      </c>
      <c r="B146" s="163">
        <v>10</v>
      </c>
      <c r="C146" s="164">
        <v>0.19</v>
      </c>
      <c r="D146" s="164">
        <v>2.5000000000000001E-2</v>
      </c>
      <c r="E146" s="165" t="s">
        <v>1263</v>
      </c>
      <c r="F146" s="160" t="s">
        <v>568</v>
      </c>
      <c r="G146" s="160"/>
    </row>
    <row r="147" spans="1:7" ht="21" hidden="1" customHeight="1" x14ac:dyDescent="0.25">
      <c r="A147" s="157" t="s">
        <v>525</v>
      </c>
      <c r="B147" s="163">
        <v>10</v>
      </c>
      <c r="C147" s="164">
        <v>0.19</v>
      </c>
      <c r="D147" s="164">
        <v>0</v>
      </c>
      <c r="E147" s="165">
        <v>0</v>
      </c>
      <c r="F147" s="160" t="s">
        <v>526</v>
      </c>
      <c r="G147" s="160"/>
    </row>
    <row r="148" spans="1:7" ht="21" hidden="1" customHeight="1" x14ac:dyDescent="0.25">
      <c r="A148" s="157" t="s">
        <v>331</v>
      </c>
      <c r="B148" s="163">
        <v>30</v>
      </c>
      <c r="C148" s="164">
        <v>0</v>
      </c>
      <c r="D148" s="164">
        <v>3.5000000000000003E-2</v>
      </c>
      <c r="E148" s="165" t="s">
        <v>1264</v>
      </c>
      <c r="F148" s="160" t="s">
        <v>263</v>
      </c>
      <c r="G148" s="160"/>
    </row>
    <row r="149" spans="1:7" ht="21" hidden="1" customHeight="1" x14ac:dyDescent="0.25">
      <c r="A149" s="157" t="s">
        <v>332</v>
      </c>
      <c r="B149" s="163">
        <v>30</v>
      </c>
      <c r="C149" s="164">
        <v>0</v>
      </c>
      <c r="D149" s="164">
        <v>0</v>
      </c>
      <c r="E149" s="165">
        <v>0</v>
      </c>
      <c r="F149" s="160" t="s">
        <v>267</v>
      </c>
      <c r="G149" s="160"/>
    </row>
    <row r="150" spans="1:7" ht="21" hidden="1" customHeight="1" x14ac:dyDescent="0.25">
      <c r="A150" s="157" t="s">
        <v>541</v>
      </c>
      <c r="B150" s="163">
        <v>60</v>
      </c>
      <c r="C150" s="164">
        <v>0</v>
      </c>
      <c r="D150" s="164">
        <v>0</v>
      </c>
      <c r="E150" s="165">
        <v>0</v>
      </c>
      <c r="F150" s="160" t="s">
        <v>184</v>
      </c>
      <c r="G150" s="160"/>
    </row>
    <row r="151" spans="1:7" ht="21" hidden="1" customHeight="1" x14ac:dyDescent="0.25">
      <c r="A151" s="157" t="s">
        <v>559</v>
      </c>
      <c r="B151" s="163">
        <v>45</v>
      </c>
      <c r="C151" s="164">
        <v>0</v>
      </c>
      <c r="D151" s="164">
        <v>0</v>
      </c>
      <c r="E151" s="165">
        <v>0</v>
      </c>
      <c r="F151" s="160"/>
      <c r="G151" s="160"/>
    </row>
    <row r="152" spans="1:7" ht="21" hidden="1" customHeight="1" x14ac:dyDescent="0.25">
      <c r="A152" s="157" t="s">
        <v>333</v>
      </c>
      <c r="B152" s="163">
        <v>30</v>
      </c>
      <c r="C152" s="164">
        <v>0</v>
      </c>
      <c r="D152" s="164">
        <v>0</v>
      </c>
      <c r="E152" s="165">
        <v>0</v>
      </c>
      <c r="F152" s="160" t="s">
        <v>1050</v>
      </c>
      <c r="G152" s="160"/>
    </row>
    <row r="153" spans="1:7" ht="21" hidden="1" customHeight="1" x14ac:dyDescent="0.25">
      <c r="A153" s="157" t="s">
        <v>546</v>
      </c>
      <c r="B153" s="163">
        <v>18</v>
      </c>
      <c r="C153" s="164">
        <v>0</v>
      </c>
      <c r="D153" s="164">
        <v>0</v>
      </c>
      <c r="E153" s="165">
        <v>0</v>
      </c>
      <c r="F153" s="160"/>
      <c r="G153" s="160"/>
    </row>
    <row r="154" spans="1:7" ht="21" hidden="1" customHeight="1" x14ac:dyDescent="0.25">
      <c r="A154" s="157" t="s">
        <v>334</v>
      </c>
      <c r="B154" s="163">
        <v>30</v>
      </c>
      <c r="C154" s="164">
        <v>0</v>
      </c>
      <c r="D154" s="164">
        <v>0</v>
      </c>
      <c r="E154" s="165">
        <v>0</v>
      </c>
      <c r="F154" s="160" t="s">
        <v>146</v>
      </c>
      <c r="G154" s="160"/>
    </row>
    <row r="155" spans="1:7" ht="21" hidden="1" customHeight="1" x14ac:dyDescent="0.25">
      <c r="A155" s="157" t="s">
        <v>335</v>
      </c>
      <c r="B155" s="163">
        <v>30</v>
      </c>
      <c r="C155" s="164">
        <v>0.19</v>
      </c>
      <c r="D155" s="164">
        <v>2.5000000000000001E-2</v>
      </c>
      <c r="E155" s="165" t="s">
        <v>1263</v>
      </c>
      <c r="F155" s="160" t="s">
        <v>275</v>
      </c>
      <c r="G155" s="160"/>
    </row>
    <row r="156" spans="1:7" ht="21" hidden="1" customHeight="1" x14ac:dyDescent="0.25">
      <c r="A156" s="157" t="s">
        <v>483</v>
      </c>
      <c r="B156" s="163">
        <v>30</v>
      </c>
      <c r="C156" s="164">
        <v>0</v>
      </c>
      <c r="D156" s="164">
        <v>3.5000000000000003E-2</v>
      </c>
      <c r="E156" s="165" t="s">
        <v>1264</v>
      </c>
      <c r="F156" s="160" t="s">
        <v>482</v>
      </c>
      <c r="G156" s="160"/>
    </row>
    <row r="157" spans="1:7" ht="21" hidden="1" customHeight="1" x14ac:dyDescent="0.25">
      <c r="A157" s="157" t="s">
        <v>375</v>
      </c>
      <c r="B157" s="163">
        <v>30</v>
      </c>
      <c r="C157" s="164">
        <v>0.19</v>
      </c>
      <c r="D157" s="164">
        <v>3.5000000000000003E-2</v>
      </c>
      <c r="E157" s="165" t="s">
        <v>1267</v>
      </c>
      <c r="F157" s="160" t="s">
        <v>377</v>
      </c>
      <c r="G157" s="160"/>
    </row>
    <row r="158" spans="1:7" ht="21" hidden="1" customHeight="1" x14ac:dyDescent="0.25">
      <c r="A158" s="157" t="s">
        <v>350</v>
      </c>
      <c r="B158" s="163">
        <v>30</v>
      </c>
      <c r="C158" s="164">
        <v>0</v>
      </c>
      <c r="D158" s="164">
        <v>0</v>
      </c>
      <c r="E158" s="165">
        <v>0</v>
      </c>
      <c r="F158" s="160" t="s">
        <v>146</v>
      </c>
      <c r="G158" s="160"/>
    </row>
    <row r="159" spans="1:7" ht="21" hidden="1" customHeight="1" x14ac:dyDescent="0.25">
      <c r="A159" s="157" t="s">
        <v>336</v>
      </c>
      <c r="B159" s="163">
        <v>30</v>
      </c>
      <c r="C159" s="164">
        <v>0</v>
      </c>
      <c r="D159" s="164">
        <v>3.5000000000000003E-2</v>
      </c>
      <c r="E159" s="165" t="s">
        <v>1264</v>
      </c>
      <c r="F159" s="160" t="s">
        <v>289</v>
      </c>
      <c r="G159" s="160"/>
    </row>
    <row r="160" spans="1:7" ht="21" hidden="1" customHeight="1" x14ac:dyDescent="0.25">
      <c r="A160" s="157" t="s">
        <v>337</v>
      </c>
      <c r="B160" s="163">
        <v>30</v>
      </c>
      <c r="C160" s="164">
        <v>0.19</v>
      </c>
      <c r="D160" s="164">
        <v>3.5000000000000003E-2</v>
      </c>
      <c r="E160" s="165" t="s">
        <v>1264</v>
      </c>
      <c r="F160" s="160" t="s">
        <v>277</v>
      </c>
      <c r="G160" s="160"/>
    </row>
    <row r="161" spans="1:7" ht="21" hidden="1" customHeight="1" x14ac:dyDescent="0.25">
      <c r="A161" s="157" t="s">
        <v>338</v>
      </c>
      <c r="B161" s="163">
        <v>30</v>
      </c>
      <c r="C161" s="164">
        <v>0.19</v>
      </c>
      <c r="D161" s="164">
        <v>2.5000000000000001E-2</v>
      </c>
      <c r="E161" s="165" t="s">
        <v>1263</v>
      </c>
      <c r="F161" s="160" t="s">
        <v>278</v>
      </c>
      <c r="G161" s="160"/>
    </row>
    <row r="162" spans="1:7" ht="21" hidden="1" customHeight="1" x14ac:dyDescent="0.25">
      <c r="A162" s="157" t="s">
        <v>369</v>
      </c>
      <c r="B162" s="163">
        <v>30</v>
      </c>
      <c r="C162" s="164">
        <v>0.19</v>
      </c>
      <c r="D162" s="164">
        <v>3.5000000000000003E-2</v>
      </c>
      <c r="E162" s="165">
        <v>0</v>
      </c>
      <c r="F162" s="160" t="s">
        <v>146</v>
      </c>
      <c r="G162" s="160"/>
    </row>
    <row r="163" spans="1:7" ht="21" hidden="1" customHeight="1" x14ac:dyDescent="0.25">
      <c r="A163" s="157" t="s">
        <v>326</v>
      </c>
      <c r="B163" s="163">
        <v>13</v>
      </c>
      <c r="C163" s="164">
        <v>0</v>
      </c>
      <c r="D163" s="164">
        <v>0</v>
      </c>
      <c r="E163" s="165">
        <v>0</v>
      </c>
      <c r="F163" s="160"/>
      <c r="G163" s="160"/>
    </row>
    <row r="164" spans="1:7" ht="21" hidden="1" customHeight="1" x14ac:dyDescent="0.25">
      <c r="A164" s="157" t="s">
        <v>339</v>
      </c>
      <c r="B164" s="163">
        <v>30</v>
      </c>
      <c r="C164" s="164">
        <v>0</v>
      </c>
      <c r="D164" s="164">
        <v>3.5000000000000003E-2</v>
      </c>
      <c r="E164" s="165">
        <v>0</v>
      </c>
      <c r="F164" s="160" t="s">
        <v>146</v>
      </c>
      <c r="G164" s="160"/>
    </row>
    <row r="165" spans="1:7" ht="21" hidden="1" customHeight="1" x14ac:dyDescent="0.25">
      <c r="A165" s="157" t="s">
        <v>371</v>
      </c>
      <c r="B165" s="163">
        <v>20</v>
      </c>
      <c r="C165" s="164">
        <v>0</v>
      </c>
      <c r="D165" s="164">
        <v>0</v>
      </c>
      <c r="E165" s="165">
        <v>0</v>
      </c>
      <c r="F165" s="160" t="s">
        <v>184</v>
      </c>
      <c r="G165" s="160"/>
    </row>
    <row r="166" spans="1:7" ht="21" hidden="1" customHeight="1" x14ac:dyDescent="0.25">
      <c r="A166" s="157" t="s">
        <v>370</v>
      </c>
      <c r="B166" s="163">
        <v>20</v>
      </c>
      <c r="C166" s="164">
        <v>0</v>
      </c>
      <c r="D166" s="164">
        <v>0</v>
      </c>
      <c r="E166" s="165">
        <v>0</v>
      </c>
      <c r="F166" s="160" t="s">
        <v>184</v>
      </c>
      <c r="G166" s="160"/>
    </row>
    <row r="167" spans="1:7" ht="21" hidden="1" customHeight="1" x14ac:dyDescent="0.25">
      <c r="A167" s="157" t="s">
        <v>340</v>
      </c>
      <c r="B167" s="163">
        <v>30</v>
      </c>
      <c r="C167" s="164">
        <v>0.19</v>
      </c>
      <c r="D167" s="164">
        <v>3.5000000000000003E-2</v>
      </c>
      <c r="E167" s="165" t="s">
        <v>1265</v>
      </c>
      <c r="F167" s="160" t="s">
        <v>285</v>
      </c>
      <c r="G167" s="160"/>
    </row>
    <row r="168" spans="1:7" ht="21" customHeight="1" x14ac:dyDescent="0.25">
      <c r="A168" s="157" t="s">
        <v>507</v>
      </c>
      <c r="B168" s="163">
        <v>60</v>
      </c>
      <c r="C168" s="164">
        <v>0.19</v>
      </c>
      <c r="D168" s="164">
        <v>2.5000000000000001E-2</v>
      </c>
      <c r="E168" s="165">
        <v>0</v>
      </c>
      <c r="F168" s="160"/>
      <c r="G168" s="160"/>
    </row>
    <row r="169" spans="1:7" ht="21" hidden="1" customHeight="1" x14ac:dyDescent="0.25">
      <c r="A169" s="157" t="s">
        <v>18</v>
      </c>
      <c r="B169" s="163">
        <v>30</v>
      </c>
      <c r="C169" s="164">
        <v>0.19</v>
      </c>
      <c r="D169" s="164">
        <v>2.5000000000000001E-2</v>
      </c>
      <c r="E169" s="165" t="s">
        <v>1263</v>
      </c>
      <c r="F169" s="160" t="s">
        <v>264</v>
      </c>
      <c r="G169" s="160"/>
    </row>
    <row r="170" spans="1:7" ht="21" hidden="1" customHeight="1" x14ac:dyDescent="0.25">
      <c r="A170" s="157" t="s">
        <v>954</v>
      </c>
      <c r="B170" s="163">
        <v>10</v>
      </c>
      <c r="C170" s="164">
        <v>0.19</v>
      </c>
      <c r="D170" s="164">
        <v>0.04</v>
      </c>
      <c r="E170" s="165" t="s">
        <v>1266</v>
      </c>
      <c r="F170" s="160" t="s">
        <v>955</v>
      </c>
      <c r="G170" s="160"/>
    </row>
    <row r="171" spans="1:7" ht="21" hidden="1" customHeight="1" x14ac:dyDescent="0.25">
      <c r="A171" s="157" t="s">
        <v>34</v>
      </c>
      <c r="B171" s="163">
        <v>30</v>
      </c>
      <c r="C171" s="164">
        <v>0.19</v>
      </c>
      <c r="D171" s="164">
        <v>2.5000000000000001E-2</v>
      </c>
      <c r="E171" s="165" t="s">
        <v>1263</v>
      </c>
      <c r="F171" s="160" t="s">
        <v>265</v>
      </c>
      <c r="G171" s="160"/>
    </row>
    <row r="172" spans="1:7" ht="21" hidden="1" customHeight="1" x14ac:dyDescent="0.25">
      <c r="A172" s="157" t="s">
        <v>67</v>
      </c>
      <c r="B172" s="163">
        <v>30</v>
      </c>
      <c r="C172" s="164">
        <v>0</v>
      </c>
      <c r="D172" s="164">
        <v>0</v>
      </c>
      <c r="E172" s="165">
        <v>0</v>
      </c>
      <c r="F172" s="160" t="s">
        <v>262</v>
      </c>
      <c r="G172" s="160"/>
    </row>
    <row r="173" spans="1:7" ht="21" hidden="1" customHeight="1" x14ac:dyDescent="0.25">
      <c r="A173" s="157" t="s">
        <v>452</v>
      </c>
      <c r="B173" s="163">
        <v>30</v>
      </c>
      <c r="C173" s="164">
        <v>0</v>
      </c>
      <c r="D173" s="164">
        <v>0</v>
      </c>
      <c r="E173" s="165">
        <v>0</v>
      </c>
      <c r="F173" s="160" t="s">
        <v>472</v>
      </c>
      <c r="G173" s="160"/>
    </row>
    <row r="174" spans="1:7" ht="21" hidden="1" customHeight="1" x14ac:dyDescent="0.25">
      <c r="A174" s="157" t="s">
        <v>117</v>
      </c>
      <c r="B174" s="163">
        <v>30</v>
      </c>
      <c r="C174" s="164">
        <v>0</v>
      </c>
      <c r="D174" s="164">
        <v>0</v>
      </c>
      <c r="E174" s="165">
        <v>0</v>
      </c>
      <c r="F174" s="160" t="s">
        <v>144</v>
      </c>
      <c r="G174" s="160"/>
    </row>
    <row r="175" spans="1:7" ht="21" hidden="1" customHeight="1" x14ac:dyDescent="0.25">
      <c r="A175" s="157" t="s">
        <v>70</v>
      </c>
      <c r="B175" s="163">
        <v>30</v>
      </c>
      <c r="C175" s="164">
        <v>0</v>
      </c>
      <c r="D175" s="164">
        <v>0</v>
      </c>
      <c r="E175" s="165">
        <v>0</v>
      </c>
      <c r="F175" s="160" t="s">
        <v>144</v>
      </c>
      <c r="G175" s="160"/>
    </row>
    <row r="176" spans="1:7" ht="21" hidden="1" customHeight="1" x14ac:dyDescent="0.25">
      <c r="A176" s="157" t="s">
        <v>391</v>
      </c>
      <c r="B176" s="163">
        <v>10</v>
      </c>
      <c r="C176" s="164">
        <v>0</v>
      </c>
      <c r="D176" s="164">
        <v>0</v>
      </c>
      <c r="E176" s="165">
        <v>0</v>
      </c>
      <c r="F176" s="160"/>
      <c r="G176" s="160"/>
    </row>
    <row r="177" spans="1:7" ht="21" hidden="1" customHeight="1" x14ac:dyDescent="0.25">
      <c r="A177" s="157" t="s">
        <v>63</v>
      </c>
      <c r="B177" s="163">
        <v>30</v>
      </c>
      <c r="C177" s="164">
        <v>0</v>
      </c>
      <c r="D177" s="164">
        <v>0</v>
      </c>
      <c r="E177" s="165">
        <v>0</v>
      </c>
      <c r="F177" s="160" t="s">
        <v>144</v>
      </c>
      <c r="G177" s="160"/>
    </row>
    <row r="178" spans="1:7" ht="21" hidden="1" customHeight="1" x14ac:dyDescent="0.25">
      <c r="A178" s="157" t="s">
        <v>74</v>
      </c>
      <c r="B178" s="163">
        <v>30</v>
      </c>
      <c r="C178" s="164">
        <v>0</v>
      </c>
      <c r="D178" s="164">
        <v>0</v>
      </c>
      <c r="E178" s="165">
        <v>0</v>
      </c>
      <c r="F178" s="160" t="s">
        <v>262</v>
      </c>
      <c r="G178" s="160"/>
    </row>
    <row r="179" spans="1:7" ht="21" hidden="1" customHeight="1" x14ac:dyDescent="0.25">
      <c r="A179" s="157" t="s">
        <v>143</v>
      </c>
      <c r="B179" s="163">
        <v>30</v>
      </c>
      <c r="C179" s="164">
        <v>0</v>
      </c>
      <c r="D179" s="164">
        <v>0</v>
      </c>
      <c r="E179" s="165">
        <v>0</v>
      </c>
      <c r="F179" s="160" t="s">
        <v>262</v>
      </c>
      <c r="G179" s="160"/>
    </row>
    <row r="180" spans="1:7" ht="21" hidden="1" customHeight="1" x14ac:dyDescent="0.25">
      <c r="A180" s="157" t="s">
        <v>73</v>
      </c>
      <c r="B180" s="163">
        <v>30</v>
      </c>
      <c r="C180" s="164">
        <v>0</v>
      </c>
      <c r="D180" s="164">
        <v>0</v>
      </c>
      <c r="E180" s="165">
        <v>0</v>
      </c>
      <c r="F180" s="160" t="s">
        <v>262</v>
      </c>
      <c r="G180" s="160"/>
    </row>
    <row r="181" spans="1:7" ht="21" hidden="1" customHeight="1" x14ac:dyDescent="0.25">
      <c r="A181" s="157" t="s">
        <v>118</v>
      </c>
      <c r="B181" s="163">
        <v>30</v>
      </c>
      <c r="C181" s="164">
        <v>0</v>
      </c>
      <c r="D181" s="164">
        <v>0</v>
      </c>
      <c r="E181" s="165">
        <v>0</v>
      </c>
      <c r="F181" s="160" t="s">
        <v>262</v>
      </c>
      <c r="G181" s="160"/>
    </row>
    <row r="182" spans="1:7" ht="21" hidden="1" customHeight="1" x14ac:dyDescent="0.25">
      <c r="A182" s="157" t="s">
        <v>56</v>
      </c>
      <c r="B182" s="163">
        <v>30</v>
      </c>
      <c r="C182" s="164">
        <v>0</v>
      </c>
      <c r="D182" s="164">
        <v>0</v>
      </c>
      <c r="E182" s="165">
        <v>0</v>
      </c>
      <c r="F182" s="160" t="s">
        <v>144</v>
      </c>
      <c r="G182" s="160"/>
    </row>
    <row r="183" spans="1:7" ht="21" hidden="1" customHeight="1" x14ac:dyDescent="0.25">
      <c r="A183" s="157" t="s">
        <v>54</v>
      </c>
      <c r="B183" s="163">
        <v>30</v>
      </c>
      <c r="C183" s="164">
        <v>0</v>
      </c>
      <c r="D183" s="164">
        <v>0</v>
      </c>
      <c r="E183" s="165">
        <v>0</v>
      </c>
      <c r="F183" s="160" t="s">
        <v>144</v>
      </c>
      <c r="G183" s="158"/>
    </row>
    <row r="184" spans="1:7" ht="21" hidden="1" customHeight="1" x14ac:dyDescent="0.25">
      <c r="A184" s="157" t="s">
        <v>66</v>
      </c>
      <c r="B184" s="163">
        <v>30</v>
      </c>
      <c r="C184" s="164">
        <v>0.19</v>
      </c>
      <c r="D184" s="164">
        <v>2.5000000000000001E-2</v>
      </c>
      <c r="E184" s="165" t="s">
        <v>1263</v>
      </c>
      <c r="F184" s="160" t="s">
        <v>266</v>
      </c>
      <c r="G184" s="158"/>
    </row>
    <row r="185" spans="1:7" ht="21" hidden="1" customHeight="1" x14ac:dyDescent="0.25">
      <c r="A185" s="157" t="s">
        <v>141</v>
      </c>
      <c r="B185" s="163">
        <v>30</v>
      </c>
      <c r="C185" s="164">
        <v>0</v>
      </c>
      <c r="D185" s="164">
        <v>0</v>
      </c>
      <c r="E185" s="165" t="s">
        <v>1262</v>
      </c>
      <c r="F185" s="160" t="s">
        <v>256</v>
      </c>
      <c r="G185" s="160"/>
    </row>
    <row r="186" spans="1:7" ht="21" hidden="1" customHeight="1" x14ac:dyDescent="0.25">
      <c r="A186" s="157" t="s">
        <v>48</v>
      </c>
      <c r="B186" s="163">
        <v>30</v>
      </c>
      <c r="C186" s="164">
        <v>0.19</v>
      </c>
      <c r="D186" s="164">
        <v>2.5000000000000001E-2</v>
      </c>
      <c r="E186" s="165" t="s">
        <v>1263</v>
      </c>
      <c r="F186" s="160" t="s">
        <v>302</v>
      </c>
      <c r="G186" s="160"/>
    </row>
    <row r="187" spans="1:7" ht="21" hidden="1" customHeight="1" x14ac:dyDescent="0.25">
      <c r="A187" s="157" t="s">
        <v>224</v>
      </c>
      <c r="B187" s="163">
        <v>30</v>
      </c>
      <c r="C187" s="164">
        <v>0.19</v>
      </c>
      <c r="D187" s="164">
        <v>2.5000000000000001E-2</v>
      </c>
      <c r="E187" s="165" t="s">
        <v>1263</v>
      </c>
      <c r="F187" s="160" t="s">
        <v>529</v>
      </c>
      <c r="G187" s="160" t="s">
        <v>204</v>
      </c>
    </row>
    <row r="188" spans="1:7" ht="21" hidden="1" customHeight="1" x14ac:dyDescent="0.25">
      <c r="A188" s="157" t="s">
        <v>456</v>
      </c>
      <c r="B188" s="163">
        <v>30</v>
      </c>
      <c r="C188" s="164">
        <v>0.19</v>
      </c>
      <c r="D188" s="164">
        <v>2.5000000000000001E-2</v>
      </c>
      <c r="E188" s="165" t="s">
        <v>1263</v>
      </c>
      <c r="F188" s="160" t="s">
        <v>529</v>
      </c>
      <c r="G188" s="160" t="s">
        <v>204</v>
      </c>
    </row>
    <row r="189" spans="1:7" ht="21" hidden="1" customHeight="1" x14ac:dyDescent="0.25">
      <c r="A189" s="157" t="s">
        <v>567</v>
      </c>
      <c r="B189" s="163">
        <v>30</v>
      </c>
      <c r="C189" s="164">
        <v>0.19</v>
      </c>
      <c r="D189" s="164">
        <v>2.5000000000000001E-2</v>
      </c>
      <c r="E189" s="165" t="s">
        <v>1263</v>
      </c>
      <c r="F189" s="160" t="s">
        <v>1106</v>
      </c>
      <c r="G189" s="160"/>
    </row>
    <row r="190" spans="1:7" ht="21" hidden="1" customHeight="1" x14ac:dyDescent="0.25">
      <c r="A190" s="157" t="s">
        <v>163</v>
      </c>
      <c r="B190" s="163">
        <v>30</v>
      </c>
      <c r="C190" s="164">
        <v>0.19</v>
      </c>
      <c r="D190" s="164">
        <v>2.5000000000000001E-2</v>
      </c>
      <c r="E190" s="165" t="s">
        <v>1263</v>
      </c>
      <c r="F190" s="160"/>
      <c r="G190" s="160"/>
    </row>
    <row r="191" spans="1:7" ht="21" hidden="1" customHeight="1" x14ac:dyDescent="0.25">
      <c r="A191" s="157" t="s">
        <v>31</v>
      </c>
      <c r="B191" s="163">
        <v>90</v>
      </c>
      <c r="C191" s="164">
        <v>0</v>
      </c>
      <c r="D191" s="164">
        <v>0</v>
      </c>
      <c r="E191" s="165">
        <v>0</v>
      </c>
      <c r="F191" s="160" t="s">
        <v>414</v>
      </c>
      <c r="G191" s="160"/>
    </row>
    <row r="192" spans="1:7" ht="21" hidden="1" customHeight="1" x14ac:dyDescent="0.25">
      <c r="A192" s="157" t="s">
        <v>33</v>
      </c>
      <c r="B192" s="163">
        <v>30</v>
      </c>
      <c r="C192" s="164">
        <v>0.19</v>
      </c>
      <c r="D192" s="164">
        <v>2.5000000000000001E-2</v>
      </c>
      <c r="E192" s="165" t="s">
        <v>1263</v>
      </c>
      <c r="F192" s="160" t="s">
        <v>481</v>
      </c>
      <c r="G192" s="160"/>
    </row>
    <row r="193" spans="1:7" ht="21" hidden="1" customHeight="1" x14ac:dyDescent="0.25">
      <c r="A193" s="157" t="s">
        <v>119</v>
      </c>
      <c r="B193" s="163">
        <v>30</v>
      </c>
      <c r="C193" s="164">
        <v>0.19</v>
      </c>
      <c r="D193" s="164">
        <v>0</v>
      </c>
      <c r="E193" s="165">
        <v>0</v>
      </c>
      <c r="F193" s="160" t="s">
        <v>144</v>
      </c>
      <c r="G193" s="160"/>
    </row>
    <row r="194" spans="1:7" ht="21" hidden="1" customHeight="1" x14ac:dyDescent="0.25">
      <c r="A194" s="157" t="s">
        <v>120</v>
      </c>
      <c r="B194" s="163">
        <v>30</v>
      </c>
      <c r="C194" s="164">
        <v>0</v>
      </c>
      <c r="D194" s="164">
        <v>0</v>
      </c>
      <c r="E194" s="165">
        <v>0</v>
      </c>
      <c r="F194" s="160" t="s">
        <v>268</v>
      </c>
      <c r="G194" s="160"/>
    </row>
    <row r="195" spans="1:7" ht="21" hidden="1" customHeight="1" x14ac:dyDescent="0.25">
      <c r="A195" s="157" t="s">
        <v>453</v>
      </c>
      <c r="B195" s="163">
        <v>30</v>
      </c>
      <c r="C195" s="164">
        <v>0</v>
      </c>
      <c r="D195" s="164">
        <v>0</v>
      </c>
      <c r="E195" s="165">
        <v>0</v>
      </c>
      <c r="F195" s="160" t="s">
        <v>268</v>
      </c>
      <c r="G195" s="160"/>
    </row>
    <row r="196" spans="1:7" ht="21" hidden="1" customHeight="1" x14ac:dyDescent="0.25">
      <c r="A196" s="157" t="s">
        <v>963</v>
      </c>
      <c r="B196" s="163">
        <v>30</v>
      </c>
      <c r="C196" s="164">
        <v>0</v>
      </c>
      <c r="D196" s="164">
        <v>0</v>
      </c>
      <c r="E196" s="165">
        <v>0</v>
      </c>
      <c r="F196" s="160" t="s">
        <v>268</v>
      </c>
      <c r="G196" s="160"/>
    </row>
    <row r="197" spans="1:7" ht="21" hidden="1" customHeight="1" x14ac:dyDescent="0.25">
      <c r="A197" s="157" t="s">
        <v>390</v>
      </c>
      <c r="B197" s="163">
        <v>30</v>
      </c>
      <c r="C197" s="164">
        <v>0</v>
      </c>
      <c r="D197" s="164">
        <v>0</v>
      </c>
      <c r="E197" s="165">
        <v>0</v>
      </c>
      <c r="F197" s="160" t="s">
        <v>268</v>
      </c>
      <c r="G197" s="160"/>
    </row>
    <row r="198" spans="1:7" ht="21" hidden="1" customHeight="1" x14ac:dyDescent="0.25">
      <c r="A198" s="157" t="s">
        <v>78</v>
      </c>
      <c r="B198" s="163">
        <v>90</v>
      </c>
      <c r="C198" s="164">
        <v>0.19</v>
      </c>
      <c r="D198" s="164">
        <v>2.5000000000000001E-2</v>
      </c>
      <c r="E198" s="165" t="s">
        <v>1263</v>
      </c>
      <c r="F198" s="160" t="s">
        <v>269</v>
      </c>
      <c r="G198" s="160"/>
    </row>
    <row r="199" spans="1:7" ht="21" hidden="1" customHeight="1" x14ac:dyDescent="0.25">
      <c r="A199" s="157" t="s">
        <v>32</v>
      </c>
      <c r="B199" s="163">
        <v>30</v>
      </c>
      <c r="C199" s="164">
        <v>0.19</v>
      </c>
      <c r="D199" s="164">
        <v>2.5000000000000001E-2</v>
      </c>
      <c r="E199" s="165" t="s">
        <v>1263</v>
      </c>
      <c r="F199" s="160" t="s">
        <v>270</v>
      </c>
      <c r="G199" s="160"/>
    </row>
    <row r="200" spans="1:7" ht="21" hidden="1" customHeight="1" x14ac:dyDescent="0.25">
      <c r="A200" s="157" t="s">
        <v>512</v>
      </c>
      <c r="B200" s="163">
        <v>30</v>
      </c>
      <c r="C200" s="164">
        <v>0.19</v>
      </c>
      <c r="D200" s="164">
        <v>2.5000000000000001E-2</v>
      </c>
      <c r="E200" s="165" t="s">
        <v>1263</v>
      </c>
      <c r="F200" s="160" t="s">
        <v>529</v>
      </c>
      <c r="G200" s="160"/>
    </row>
    <row r="201" spans="1:7" ht="21" hidden="1" customHeight="1" x14ac:dyDescent="0.25">
      <c r="A201" s="157" t="s">
        <v>412</v>
      </c>
      <c r="B201" s="163">
        <v>30</v>
      </c>
      <c r="C201" s="164">
        <v>0.19</v>
      </c>
      <c r="D201" s="164">
        <v>2.5000000000000001E-2</v>
      </c>
      <c r="E201" s="165" t="s">
        <v>1263</v>
      </c>
      <c r="F201" s="160"/>
      <c r="G201" s="160"/>
    </row>
    <row r="202" spans="1:7" ht="21" hidden="1" customHeight="1" x14ac:dyDescent="0.25">
      <c r="A202" s="157" t="s">
        <v>121</v>
      </c>
      <c r="B202" s="163">
        <v>30</v>
      </c>
      <c r="C202" s="164">
        <v>0.19</v>
      </c>
      <c r="D202" s="164">
        <v>2.5000000000000001E-2</v>
      </c>
      <c r="E202" s="165" t="s">
        <v>1263</v>
      </c>
      <c r="F202" s="160" t="s">
        <v>144</v>
      </c>
      <c r="G202" s="160"/>
    </row>
    <row r="203" spans="1:7" ht="21" hidden="1" customHeight="1" x14ac:dyDescent="0.25">
      <c r="A203" s="157" t="s">
        <v>1139</v>
      </c>
      <c r="B203" s="163">
        <v>30</v>
      </c>
      <c r="C203" s="164">
        <v>0.19</v>
      </c>
      <c r="D203" s="164">
        <v>2.5000000000000001E-2</v>
      </c>
      <c r="E203" s="165" t="s">
        <v>1263</v>
      </c>
      <c r="F203" s="160" t="s">
        <v>271</v>
      </c>
      <c r="G203" s="160"/>
    </row>
    <row r="204" spans="1:7" ht="21" hidden="1" customHeight="1" x14ac:dyDescent="0.25">
      <c r="A204" s="157" t="s">
        <v>479</v>
      </c>
      <c r="B204" s="163">
        <v>30</v>
      </c>
      <c r="C204" s="164">
        <v>0.19</v>
      </c>
      <c r="D204" s="164">
        <v>2.5000000000000001E-2</v>
      </c>
      <c r="E204" s="165" t="s">
        <v>1263</v>
      </c>
      <c r="F204" s="160" t="s">
        <v>480</v>
      </c>
      <c r="G204" s="160"/>
    </row>
    <row r="205" spans="1:7" ht="21" hidden="1" customHeight="1" x14ac:dyDescent="0.25">
      <c r="A205" s="157" t="s">
        <v>27</v>
      </c>
      <c r="B205" s="163">
        <v>30</v>
      </c>
      <c r="C205" s="164">
        <v>0</v>
      </c>
      <c r="D205" s="164">
        <v>0</v>
      </c>
      <c r="E205" s="165">
        <v>0</v>
      </c>
      <c r="F205" s="160" t="s">
        <v>144</v>
      </c>
      <c r="G205" s="160"/>
    </row>
    <row r="206" spans="1:7" ht="21" hidden="1" customHeight="1" x14ac:dyDescent="0.25">
      <c r="A206" s="157" t="s">
        <v>364</v>
      </c>
      <c r="B206" s="163">
        <v>30</v>
      </c>
      <c r="C206" s="164">
        <v>0.19</v>
      </c>
      <c r="D206" s="164">
        <v>0.01</v>
      </c>
      <c r="E206" s="165" t="s">
        <v>1272</v>
      </c>
      <c r="F206" s="160" t="s">
        <v>365</v>
      </c>
      <c r="G206" s="160"/>
    </row>
    <row r="207" spans="1:7" ht="21" hidden="1" customHeight="1" x14ac:dyDescent="0.25">
      <c r="A207" s="157" t="s">
        <v>17</v>
      </c>
      <c r="B207" s="163">
        <v>30</v>
      </c>
      <c r="C207" s="164">
        <v>0.19</v>
      </c>
      <c r="D207" s="164">
        <v>0</v>
      </c>
      <c r="E207" s="165">
        <v>0</v>
      </c>
      <c r="F207" s="160" t="s">
        <v>272</v>
      </c>
      <c r="G207" s="160"/>
    </row>
    <row r="208" spans="1:7" ht="21" hidden="1" customHeight="1" x14ac:dyDescent="0.25">
      <c r="A208" s="157" t="s">
        <v>315</v>
      </c>
      <c r="B208" s="163">
        <v>10</v>
      </c>
      <c r="C208" s="164">
        <v>0</v>
      </c>
      <c r="D208" s="164">
        <v>0</v>
      </c>
      <c r="E208" s="165">
        <v>0</v>
      </c>
      <c r="F208" s="160" t="s">
        <v>316</v>
      </c>
      <c r="G208" s="160"/>
    </row>
    <row r="209" spans="1:7" ht="21" hidden="1" customHeight="1" x14ac:dyDescent="0.25">
      <c r="A209" s="157" t="s">
        <v>353</v>
      </c>
      <c r="B209" s="163">
        <v>10</v>
      </c>
      <c r="C209" s="164">
        <v>0.19</v>
      </c>
      <c r="D209" s="164">
        <v>2.5000000000000001E-2</v>
      </c>
      <c r="E209" s="165" t="s">
        <v>1263</v>
      </c>
      <c r="F209" s="160" t="s">
        <v>354</v>
      </c>
      <c r="G209" s="160"/>
    </row>
    <row r="210" spans="1:7" ht="21" hidden="1" customHeight="1" x14ac:dyDescent="0.25">
      <c r="A210" s="157" t="s">
        <v>1088</v>
      </c>
      <c r="B210" s="163">
        <v>30</v>
      </c>
      <c r="C210" s="164">
        <v>0.19</v>
      </c>
      <c r="D210" s="164">
        <v>2.5000000000000001E-2</v>
      </c>
      <c r="E210" s="165" t="s">
        <v>1263</v>
      </c>
      <c r="F210" s="160" t="s">
        <v>273</v>
      </c>
      <c r="G210" s="160"/>
    </row>
    <row r="211" spans="1:7" ht="21" hidden="1" customHeight="1" x14ac:dyDescent="0.25">
      <c r="A211" s="157" t="s">
        <v>122</v>
      </c>
      <c r="B211" s="163">
        <v>30</v>
      </c>
      <c r="C211" s="164">
        <v>0.19</v>
      </c>
      <c r="D211" s="164">
        <v>2.5000000000000001E-2</v>
      </c>
      <c r="E211" s="165" t="s">
        <v>1263</v>
      </c>
      <c r="F211" s="160" t="s">
        <v>288</v>
      </c>
      <c r="G211" s="160" t="s">
        <v>287</v>
      </c>
    </row>
    <row r="212" spans="1:7" ht="21" hidden="1" customHeight="1" x14ac:dyDescent="0.25">
      <c r="A212" s="157" t="s">
        <v>1124</v>
      </c>
      <c r="B212" s="163">
        <v>30</v>
      </c>
      <c r="C212" s="164">
        <v>0.19</v>
      </c>
      <c r="D212" s="164">
        <v>2.5000000000000001E-2</v>
      </c>
      <c r="E212" s="165" t="s">
        <v>1263</v>
      </c>
      <c r="F212" s="160" t="s">
        <v>274</v>
      </c>
      <c r="G212" s="160"/>
    </row>
    <row r="213" spans="1:7" ht="21" hidden="1" customHeight="1" x14ac:dyDescent="0.25">
      <c r="A213" s="157" t="s">
        <v>19</v>
      </c>
      <c r="B213" s="163">
        <v>45</v>
      </c>
      <c r="C213" s="164">
        <v>0.19</v>
      </c>
      <c r="D213" s="164">
        <v>0</v>
      </c>
      <c r="E213" s="165">
        <v>0</v>
      </c>
      <c r="F213" s="186" t="s">
        <v>1293</v>
      </c>
      <c r="G213" s="160"/>
    </row>
    <row r="214" spans="1:7" ht="21" hidden="1" customHeight="1" x14ac:dyDescent="0.25">
      <c r="A214" s="157" t="s">
        <v>25</v>
      </c>
      <c r="B214" s="163">
        <v>30</v>
      </c>
      <c r="C214" s="164">
        <v>0.19</v>
      </c>
      <c r="D214" s="164">
        <v>3.5000000000000003E-2</v>
      </c>
      <c r="E214" s="165" t="s">
        <v>1265</v>
      </c>
      <c r="F214" s="160" t="s">
        <v>144</v>
      </c>
      <c r="G214" s="160"/>
    </row>
    <row r="215" spans="1:7" ht="21" hidden="1" customHeight="1" x14ac:dyDescent="0.25">
      <c r="A215" s="157" t="s">
        <v>123</v>
      </c>
      <c r="B215" s="163">
        <v>30</v>
      </c>
      <c r="C215" s="164">
        <v>0.19</v>
      </c>
      <c r="D215" s="164">
        <v>3.5000000000000003E-2</v>
      </c>
      <c r="E215" s="165" t="s">
        <v>1265</v>
      </c>
      <c r="F215" s="160" t="s">
        <v>144</v>
      </c>
      <c r="G215" s="160"/>
    </row>
    <row r="216" spans="1:7" ht="21" hidden="1" customHeight="1" x14ac:dyDescent="0.25">
      <c r="A216" s="157" t="s">
        <v>124</v>
      </c>
      <c r="B216" s="163">
        <v>30</v>
      </c>
      <c r="C216" s="164">
        <v>0.19</v>
      </c>
      <c r="D216" s="164">
        <v>3.5000000000000003E-2</v>
      </c>
      <c r="E216" s="165" t="s">
        <v>1265</v>
      </c>
      <c r="F216" s="167" t="s">
        <v>144</v>
      </c>
      <c r="G216" s="160"/>
    </row>
    <row r="217" spans="1:7" ht="21" hidden="1" customHeight="1" x14ac:dyDescent="0.25">
      <c r="A217" s="157" t="s">
        <v>71</v>
      </c>
      <c r="B217" s="163">
        <v>30</v>
      </c>
      <c r="C217" s="164">
        <v>0.19</v>
      </c>
      <c r="D217" s="164">
        <v>3.5000000000000003E-2</v>
      </c>
      <c r="E217" s="165" t="s">
        <v>1265</v>
      </c>
      <c r="F217" s="160" t="s">
        <v>144</v>
      </c>
      <c r="G217" s="160"/>
    </row>
    <row r="218" spans="1:7" ht="21" hidden="1" customHeight="1" x14ac:dyDescent="0.25">
      <c r="A218" s="157" t="s">
        <v>62</v>
      </c>
      <c r="B218" s="163">
        <v>30</v>
      </c>
      <c r="C218" s="164">
        <v>0.19</v>
      </c>
      <c r="D218" s="164">
        <v>3.5000000000000003E-2</v>
      </c>
      <c r="E218" s="165" t="s">
        <v>1265</v>
      </c>
      <c r="F218" s="160" t="s">
        <v>144</v>
      </c>
      <c r="G218" s="160"/>
    </row>
    <row r="219" spans="1:7" ht="21" hidden="1" customHeight="1" x14ac:dyDescent="0.25">
      <c r="A219" s="157" t="s">
        <v>45</v>
      </c>
      <c r="B219" s="163">
        <v>30</v>
      </c>
      <c r="C219" s="164">
        <v>0.19</v>
      </c>
      <c r="D219" s="164">
        <v>3.5000000000000003E-2</v>
      </c>
      <c r="E219" s="165" t="s">
        <v>1265</v>
      </c>
      <c r="F219" s="160" t="s">
        <v>144</v>
      </c>
      <c r="G219" s="160"/>
    </row>
    <row r="220" spans="1:7" ht="21" hidden="1" customHeight="1" x14ac:dyDescent="0.25">
      <c r="A220" s="157" t="s">
        <v>44</v>
      </c>
      <c r="B220" s="163">
        <v>30</v>
      </c>
      <c r="C220" s="164">
        <v>0.19</v>
      </c>
      <c r="D220" s="164">
        <v>3.5000000000000003E-2</v>
      </c>
      <c r="E220" s="165" t="s">
        <v>1265</v>
      </c>
      <c r="F220" s="160" t="s">
        <v>144</v>
      </c>
      <c r="G220" s="160"/>
    </row>
    <row r="221" spans="1:7" ht="21" hidden="1" customHeight="1" x14ac:dyDescent="0.25">
      <c r="A221" s="157" t="s">
        <v>55</v>
      </c>
      <c r="B221" s="163">
        <v>30</v>
      </c>
      <c r="C221" s="164">
        <v>0.19</v>
      </c>
      <c r="D221" s="164">
        <v>3.5000000000000003E-2</v>
      </c>
      <c r="E221" s="165" t="s">
        <v>1265</v>
      </c>
      <c r="F221" s="160" t="s">
        <v>144</v>
      </c>
      <c r="G221" s="160"/>
    </row>
    <row r="222" spans="1:7" ht="21" hidden="1" customHeight="1" x14ac:dyDescent="0.25">
      <c r="A222" s="157" t="s">
        <v>38</v>
      </c>
      <c r="B222" s="163">
        <v>30</v>
      </c>
      <c r="C222" s="164">
        <v>0</v>
      </c>
      <c r="D222" s="164">
        <v>0</v>
      </c>
      <c r="E222" s="165">
        <v>0</v>
      </c>
      <c r="F222" s="160" t="s">
        <v>953</v>
      </c>
      <c r="G222" s="160"/>
    </row>
    <row r="223" spans="1:7" ht="21" hidden="1" customHeight="1" x14ac:dyDescent="0.25">
      <c r="A223" s="157" t="s">
        <v>445</v>
      </c>
      <c r="B223" s="163">
        <v>20</v>
      </c>
      <c r="C223" s="164">
        <v>0</v>
      </c>
      <c r="D223" s="164">
        <v>0.01</v>
      </c>
      <c r="E223" s="165" t="s">
        <v>1262</v>
      </c>
      <c r="F223" s="160" t="s">
        <v>346</v>
      </c>
      <c r="G223" s="160"/>
    </row>
    <row r="224" spans="1:7" ht="21" hidden="1" customHeight="1" x14ac:dyDescent="0.25">
      <c r="A224" s="157" t="s">
        <v>446</v>
      </c>
      <c r="B224" s="163">
        <v>20</v>
      </c>
      <c r="C224" s="164">
        <v>0</v>
      </c>
      <c r="D224" s="164">
        <v>0.01</v>
      </c>
      <c r="E224" s="165" t="s">
        <v>1262</v>
      </c>
      <c r="F224" s="166" t="s">
        <v>346</v>
      </c>
      <c r="G224" s="160"/>
    </row>
    <row r="225" spans="1:7" ht="21" hidden="1" customHeight="1" x14ac:dyDescent="0.25">
      <c r="A225" s="157" t="s">
        <v>447</v>
      </c>
      <c r="B225" s="163">
        <v>20</v>
      </c>
      <c r="C225" s="164">
        <v>0</v>
      </c>
      <c r="D225" s="164">
        <v>0.01</v>
      </c>
      <c r="E225" s="165" t="s">
        <v>1262</v>
      </c>
      <c r="F225" s="160" t="s">
        <v>346</v>
      </c>
      <c r="G225" s="160"/>
    </row>
    <row r="226" spans="1:7" ht="21" hidden="1" customHeight="1" x14ac:dyDescent="0.25">
      <c r="A226" s="157" t="s">
        <v>513</v>
      </c>
      <c r="B226" s="163">
        <v>20</v>
      </c>
      <c r="C226" s="164">
        <v>0</v>
      </c>
      <c r="D226" s="164">
        <v>0.01</v>
      </c>
      <c r="E226" s="165" t="s">
        <v>1262</v>
      </c>
      <c r="F226" s="160" t="s">
        <v>346</v>
      </c>
      <c r="G226" s="160"/>
    </row>
    <row r="227" spans="1:7" ht="21" hidden="1" customHeight="1" x14ac:dyDescent="0.25">
      <c r="A227" s="157" t="s">
        <v>392</v>
      </c>
      <c r="B227" s="163">
        <v>20</v>
      </c>
      <c r="C227" s="164">
        <v>0.19</v>
      </c>
      <c r="D227" s="164">
        <v>0.04</v>
      </c>
      <c r="E227" s="165" t="s">
        <v>1266</v>
      </c>
      <c r="F227" s="160" t="s">
        <v>346</v>
      </c>
      <c r="G227" s="160"/>
    </row>
    <row r="228" spans="1:7" ht="21" hidden="1" customHeight="1" x14ac:dyDescent="0.25">
      <c r="A228" s="157" t="s">
        <v>397</v>
      </c>
      <c r="B228" s="163">
        <v>20</v>
      </c>
      <c r="C228" s="164">
        <v>0.19</v>
      </c>
      <c r="D228" s="164">
        <v>0.04</v>
      </c>
      <c r="E228" s="165" t="s">
        <v>1266</v>
      </c>
      <c r="F228" s="160" t="s">
        <v>346</v>
      </c>
      <c r="G228" s="160"/>
    </row>
    <row r="229" spans="1:7" ht="21" hidden="1" customHeight="1" x14ac:dyDescent="0.25">
      <c r="A229" s="157" t="s">
        <v>374</v>
      </c>
      <c r="B229" s="163">
        <v>20</v>
      </c>
      <c r="C229" s="164">
        <v>0.19</v>
      </c>
      <c r="D229" s="164">
        <v>0.04</v>
      </c>
      <c r="E229" s="165" t="s">
        <v>1266</v>
      </c>
      <c r="F229" s="160" t="s">
        <v>346</v>
      </c>
      <c r="G229" s="160"/>
    </row>
    <row r="230" spans="1:7" ht="21" hidden="1" customHeight="1" x14ac:dyDescent="0.25">
      <c r="A230" s="157" t="s">
        <v>457</v>
      </c>
      <c r="B230" s="163">
        <v>30</v>
      </c>
      <c r="C230" s="164">
        <v>0.19</v>
      </c>
      <c r="D230" s="164">
        <v>0</v>
      </c>
      <c r="E230" s="165">
        <v>0</v>
      </c>
      <c r="F230" s="160" t="s">
        <v>563</v>
      </c>
      <c r="G230" s="160"/>
    </row>
    <row r="231" spans="1:7" ht="21" hidden="1" customHeight="1" x14ac:dyDescent="0.25">
      <c r="A231" s="157" t="s">
        <v>26</v>
      </c>
      <c r="B231" s="163">
        <v>30</v>
      </c>
      <c r="C231" s="164">
        <v>0.19</v>
      </c>
      <c r="D231" s="164">
        <v>2.5000000000000001E-2</v>
      </c>
      <c r="E231" s="165" t="s">
        <v>1263</v>
      </c>
      <c r="F231" s="160" t="s">
        <v>303</v>
      </c>
      <c r="G231" s="160"/>
    </row>
    <row r="232" spans="1:7" ht="21" hidden="1" customHeight="1" x14ac:dyDescent="0.25">
      <c r="A232" s="157" t="s">
        <v>16</v>
      </c>
      <c r="B232" s="163">
        <v>30</v>
      </c>
      <c r="C232" s="164">
        <v>0.19</v>
      </c>
      <c r="D232" s="164">
        <v>2.5000000000000001E-2</v>
      </c>
      <c r="E232" s="165" t="s">
        <v>1263</v>
      </c>
      <c r="F232" s="160" t="s">
        <v>276</v>
      </c>
      <c r="G232" s="160"/>
    </row>
    <row r="233" spans="1:7" ht="21" hidden="1" customHeight="1" x14ac:dyDescent="0.25">
      <c r="A233" s="157" t="s">
        <v>64</v>
      </c>
      <c r="B233" s="163">
        <v>30</v>
      </c>
      <c r="C233" s="164">
        <v>0.19</v>
      </c>
      <c r="D233" s="164">
        <v>3.5000000000000003E-2</v>
      </c>
      <c r="E233" s="165" t="s">
        <v>1265</v>
      </c>
      <c r="F233" s="160" t="s">
        <v>144</v>
      </c>
      <c r="G233" s="160"/>
    </row>
    <row r="234" spans="1:7" ht="21" hidden="1" customHeight="1" x14ac:dyDescent="0.25">
      <c r="A234" s="157" t="s">
        <v>623</v>
      </c>
      <c r="B234" s="163">
        <v>30</v>
      </c>
      <c r="C234" s="164">
        <v>0.19</v>
      </c>
      <c r="D234" s="164">
        <v>2.5000000000000001E-2</v>
      </c>
      <c r="E234" s="165" t="s">
        <v>1263</v>
      </c>
      <c r="F234" s="160"/>
      <c r="G234" s="160"/>
    </row>
    <row r="235" spans="1:7" ht="21" hidden="1" customHeight="1" x14ac:dyDescent="0.25">
      <c r="A235" s="157" t="s">
        <v>222</v>
      </c>
      <c r="B235" s="163">
        <v>30</v>
      </c>
      <c r="C235" s="164">
        <v>0.19</v>
      </c>
      <c r="D235" s="164">
        <v>2.5000000000000001E-2</v>
      </c>
      <c r="E235" s="165" t="s">
        <v>1263</v>
      </c>
      <c r="F235" s="160" t="s">
        <v>257</v>
      </c>
      <c r="G235" s="160" t="s">
        <v>245</v>
      </c>
    </row>
    <row r="236" spans="1:7" ht="21" hidden="1" customHeight="1" x14ac:dyDescent="0.25">
      <c r="A236" s="157" t="s">
        <v>298</v>
      </c>
      <c r="B236" s="163">
        <v>20</v>
      </c>
      <c r="C236" s="164">
        <v>0</v>
      </c>
      <c r="D236" s="164">
        <v>0</v>
      </c>
      <c r="E236" s="165">
        <v>0</v>
      </c>
      <c r="F236" s="160" t="s">
        <v>300</v>
      </c>
      <c r="G236" s="160"/>
    </row>
    <row r="237" spans="1:7" ht="21" hidden="1" customHeight="1" x14ac:dyDescent="0.25">
      <c r="A237" s="157" t="s">
        <v>161</v>
      </c>
      <c r="B237" s="163">
        <v>30</v>
      </c>
      <c r="C237" s="164">
        <v>0</v>
      </c>
      <c r="D237" s="164">
        <v>0</v>
      </c>
      <c r="E237" s="165">
        <v>0</v>
      </c>
      <c r="F237" s="160" t="s">
        <v>162</v>
      </c>
      <c r="G237" s="160"/>
    </row>
    <row r="238" spans="1:7" ht="21" hidden="1" customHeight="1" x14ac:dyDescent="0.25">
      <c r="A238" s="157" t="s">
        <v>30</v>
      </c>
      <c r="B238" s="163">
        <v>30</v>
      </c>
      <c r="C238" s="164">
        <v>0</v>
      </c>
      <c r="D238" s="164">
        <v>0</v>
      </c>
      <c r="E238" s="165">
        <v>0</v>
      </c>
      <c r="F238" s="160" t="s">
        <v>279</v>
      </c>
      <c r="G238" s="160"/>
    </row>
    <row r="239" spans="1:7" ht="21" hidden="1" customHeight="1" x14ac:dyDescent="0.25">
      <c r="A239" s="157" t="s">
        <v>39</v>
      </c>
      <c r="B239" s="163">
        <v>30</v>
      </c>
      <c r="C239" s="164">
        <v>0.19</v>
      </c>
      <c r="D239" s="164">
        <v>2.5000000000000001E-2</v>
      </c>
      <c r="E239" s="165" t="s">
        <v>1263</v>
      </c>
      <c r="F239" s="160" t="s">
        <v>280</v>
      </c>
      <c r="G239" s="160"/>
    </row>
    <row r="240" spans="1:7" ht="21" hidden="1" customHeight="1" x14ac:dyDescent="0.25">
      <c r="A240" s="157" t="s">
        <v>125</v>
      </c>
      <c r="B240" s="163">
        <v>30</v>
      </c>
      <c r="C240" s="164">
        <v>0.19</v>
      </c>
      <c r="D240" s="164">
        <v>2.5000000000000001E-2</v>
      </c>
      <c r="E240" s="165" t="s">
        <v>1263</v>
      </c>
      <c r="F240" s="160" t="s">
        <v>144</v>
      </c>
      <c r="G240" s="160"/>
    </row>
    <row r="241" spans="1:7" ht="21" hidden="1" customHeight="1" x14ac:dyDescent="0.25">
      <c r="A241" s="157" t="s">
        <v>15</v>
      </c>
      <c r="B241" s="163">
        <v>10</v>
      </c>
      <c r="C241" s="164">
        <v>0.19</v>
      </c>
      <c r="D241" s="164">
        <v>2.5000000000000001E-2</v>
      </c>
      <c r="E241" s="165" t="s">
        <v>1263</v>
      </c>
      <c r="F241" s="160" t="s">
        <v>144</v>
      </c>
      <c r="G241" s="160"/>
    </row>
    <row r="242" spans="1:7" ht="21" hidden="1" customHeight="1" x14ac:dyDescent="0.25">
      <c r="A242" s="157" t="s">
        <v>9</v>
      </c>
      <c r="B242" s="163">
        <v>30</v>
      </c>
      <c r="C242" s="164">
        <v>0.19</v>
      </c>
      <c r="D242" s="164">
        <v>2.5000000000000001E-2</v>
      </c>
      <c r="E242" s="165" t="s">
        <v>1263</v>
      </c>
      <c r="F242" s="160" t="s">
        <v>281</v>
      </c>
      <c r="G242" s="160"/>
    </row>
    <row r="243" spans="1:7" ht="21" hidden="1" customHeight="1" x14ac:dyDescent="0.25">
      <c r="A243" s="157" t="s">
        <v>477</v>
      </c>
      <c r="B243" s="163">
        <v>30</v>
      </c>
      <c r="C243" s="164">
        <v>0.19</v>
      </c>
      <c r="D243" s="164">
        <v>2.5000000000000001E-2</v>
      </c>
      <c r="E243" s="165" t="s">
        <v>1263</v>
      </c>
      <c r="F243" s="160" t="s">
        <v>472</v>
      </c>
      <c r="G243" s="160"/>
    </row>
    <row r="244" spans="1:7" ht="21" hidden="1" customHeight="1" x14ac:dyDescent="0.25">
      <c r="A244" s="157" t="s">
        <v>471</v>
      </c>
      <c r="B244" s="163">
        <v>30</v>
      </c>
      <c r="C244" s="164">
        <v>0.19</v>
      </c>
      <c r="D244" s="164">
        <v>2.5000000000000001E-2</v>
      </c>
      <c r="E244" s="165" t="s">
        <v>1263</v>
      </c>
      <c r="F244" s="160" t="s">
        <v>641</v>
      </c>
      <c r="G244" s="160"/>
    </row>
    <row r="245" spans="1:7" ht="21" hidden="1" customHeight="1" x14ac:dyDescent="0.25">
      <c r="A245" s="157" t="s">
        <v>28</v>
      </c>
      <c r="B245" s="163">
        <v>30</v>
      </c>
      <c r="C245" s="164">
        <v>0</v>
      </c>
      <c r="D245" s="164">
        <v>0</v>
      </c>
      <c r="E245" s="165">
        <v>0</v>
      </c>
      <c r="F245" s="160" t="s">
        <v>144</v>
      </c>
      <c r="G245" s="160"/>
    </row>
    <row r="246" spans="1:7" ht="21" hidden="1" customHeight="1" x14ac:dyDescent="0.25">
      <c r="A246" s="157" t="s">
        <v>46</v>
      </c>
      <c r="B246" s="163">
        <v>30</v>
      </c>
      <c r="C246" s="164">
        <v>0.19</v>
      </c>
      <c r="D246" s="164">
        <v>2.5000000000000001E-2</v>
      </c>
      <c r="E246" s="165" t="s">
        <v>1263</v>
      </c>
      <c r="F246" s="160" t="s">
        <v>144</v>
      </c>
      <c r="G246" s="160"/>
    </row>
    <row r="247" spans="1:7" ht="21" hidden="1" customHeight="1" x14ac:dyDescent="0.25">
      <c r="A247" s="157" t="s">
        <v>23</v>
      </c>
      <c r="B247" s="163">
        <v>10</v>
      </c>
      <c r="C247" s="164">
        <v>0</v>
      </c>
      <c r="D247" s="164">
        <v>0</v>
      </c>
      <c r="E247" s="165">
        <v>0</v>
      </c>
      <c r="F247" s="160" t="s">
        <v>144</v>
      </c>
      <c r="G247" s="160"/>
    </row>
    <row r="248" spans="1:7" ht="21" hidden="1" customHeight="1" x14ac:dyDescent="0.25">
      <c r="A248" s="157" t="s">
        <v>10</v>
      </c>
      <c r="B248" s="163">
        <v>45</v>
      </c>
      <c r="C248" s="164">
        <v>0.19</v>
      </c>
      <c r="D248" s="164">
        <v>0</v>
      </c>
      <c r="E248" s="165">
        <v>0</v>
      </c>
      <c r="F248" s="160" t="s">
        <v>282</v>
      </c>
      <c r="G248" s="160"/>
    </row>
    <row r="249" spans="1:7" ht="21" hidden="1" customHeight="1" x14ac:dyDescent="0.25">
      <c r="A249" s="157" t="s">
        <v>43</v>
      </c>
      <c r="B249" s="163">
        <v>30</v>
      </c>
      <c r="C249" s="164">
        <v>0.19</v>
      </c>
      <c r="D249" s="164">
        <v>2.5000000000000001E-2</v>
      </c>
      <c r="E249" s="165" t="s">
        <v>1263</v>
      </c>
      <c r="F249" s="160" t="s">
        <v>283</v>
      </c>
      <c r="G249" s="160"/>
    </row>
    <row r="250" spans="1:7" ht="21" hidden="1" customHeight="1" x14ac:dyDescent="0.25">
      <c r="A250" s="157" t="s">
        <v>14</v>
      </c>
      <c r="B250" s="163">
        <v>30</v>
      </c>
      <c r="C250" s="164">
        <v>0.19</v>
      </c>
      <c r="D250" s="164">
        <v>2.5000000000000001E-2</v>
      </c>
      <c r="E250" s="165" t="s">
        <v>1263</v>
      </c>
      <c r="F250" s="160" t="s">
        <v>284</v>
      </c>
      <c r="G250" s="160"/>
    </row>
    <row r="251" spans="1:7" ht="21" hidden="1" customHeight="1" x14ac:dyDescent="0.25">
      <c r="A251" s="157" t="s">
        <v>75</v>
      </c>
      <c r="B251" s="163">
        <v>30</v>
      </c>
      <c r="C251" s="164">
        <v>0.19</v>
      </c>
      <c r="D251" s="164">
        <v>2.5000000000000001E-2</v>
      </c>
      <c r="E251" s="165" t="s">
        <v>1263</v>
      </c>
      <c r="F251" s="167" t="s">
        <v>144</v>
      </c>
      <c r="G251" s="160"/>
    </row>
    <row r="252" spans="1:7" ht="21" hidden="1" customHeight="1" x14ac:dyDescent="0.25">
      <c r="A252" s="157" t="s">
        <v>11</v>
      </c>
      <c r="B252" s="163">
        <v>30</v>
      </c>
      <c r="C252" s="164">
        <v>0.19</v>
      </c>
      <c r="D252" s="164">
        <v>2.5000000000000001E-2</v>
      </c>
      <c r="E252" s="165" t="s">
        <v>1263</v>
      </c>
      <c r="F252" s="167" t="s">
        <v>286</v>
      </c>
      <c r="G252" s="160"/>
    </row>
    <row r="253" spans="1:7" ht="21" hidden="1" customHeight="1" x14ac:dyDescent="0.25">
      <c r="A253" s="157" t="s">
        <v>223</v>
      </c>
      <c r="B253" s="163">
        <v>30</v>
      </c>
      <c r="C253" s="164">
        <v>0.19</v>
      </c>
      <c r="D253" s="164">
        <v>2.5000000000000001E-2</v>
      </c>
      <c r="E253" s="165" t="s">
        <v>1263</v>
      </c>
      <c r="F253" s="160" t="s">
        <v>257</v>
      </c>
      <c r="G253" s="160"/>
    </row>
    <row r="254" spans="1:7" ht="21" hidden="1" customHeight="1" x14ac:dyDescent="0.25">
      <c r="A254" s="157" t="s">
        <v>13</v>
      </c>
      <c r="B254" s="163">
        <v>30</v>
      </c>
      <c r="C254" s="164">
        <v>0.19</v>
      </c>
      <c r="D254" s="164">
        <v>2.5000000000000001E-2</v>
      </c>
      <c r="E254" s="165" t="s">
        <v>1263</v>
      </c>
      <c r="F254" s="160" t="s">
        <v>257</v>
      </c>
      <c r="G254" s="160"/>
    </row>
    <row r="255" spans="1:7" ht="21" hidden="1" customHeight="1" x14ac:dyDescent="0.25">
      <c r="A255" s="157" t="s">
        <v>312</v>
      </c>
      <c r="B255" s="163">
        <v>30</v>
      </c>
      <c r="C255" s="164">
        <v>0.19</v>
      </c>
      <c r="D255" s="164">
        <v>2.5000000000000001E-2</v>
      </c>
      <c r="E255" s="165" t="s">
        <v>1263</v>
      </c>
      <c r="F255" s="160" t="s">
        <v>472</v>
      </c>
      <c r="G255" s="160"/>
    </row>
    <row r="256" spans="1:7" ht="21" hidden="1" customHeight="1" x14ac:dyDescent="0.25">
      <c r="A256" s="157" t="s">
        <v>1099</v>
      </c>
      <c r="B256" s="163">
        <v>90</v>
      </c>
      <c r="C256" s="164">
        <v>0</v>
      </c>
      <c r="D256" s="164">
        <v>3.5000000000000003E-2</v>
      </c>
      <c r="E256" s="165" t="s">
        <v>1264</v>
      </c>
      <c r="F256" s="160" t="s">
        <v>1098</v>
      </c>
      <c r="G256" s="160"/>
    </row>
    <row r="257" spans="1:7" ht="21" hidden="1" customHeight="1" x14ac:dyDescent="0.25">
      <c r="A257" s="157" t="s">
        <v>1110</v>
      </c>
      <c r="B257" s="163">
        <v>30</v>
      </c>
      <c r="C257" s="164">
        <v>0</v>
      </c>
      <c r="D257" s="164">
        <v>0</v>
      </c>
      <c r="E257" s="165">
        <v>0</v>
      </c>
      <c r="F257" s="160" t="s">
        <v>1109</v>
      </c>
      <c r="G257" s="160"/>
    </row>
    <row r="258" spans="1:7" ht="21" hidden="1" customHeight="1" x14ac:dyDescent="0.25">
      <c r="A258" s="157" t="s">
        <v>1152</v>
      </c>
      <c r="B258" s="163">
        <v>30</v>
      </c>
      <c r="C258" s="164">
        <v>0.19</v>
      </c>
      <c r="D258" s="164">
        <v>2.5000000000000001E-2</v>
      </c>
      <c r="E258" s="165" t="s">
        <v>1263</v>
      </c>
      <c r="F258" s="160"/>
      <c r="G258" s="160"/>
    </row>
    <row r="259" spans="1:7" ht="21" hidden="1" customHeight="1" x14ac:dyDescent="0.25">
      <c r="A259" s="157" t="s">
        <v>1258</v>
      </c>
      <c r="B259" s="163">
        <v>30</v>
      </c>
      <c r="C259" s="164">
        <v>0.19</v>
      </c>
      <c r="D259" s="164">
        <v>0</v>
      </c>
      <c r="E259" s="165">
        <v>0</v>
      </c>
      <c r="F259" s="167" t="s">
        <v>1259</v>
      </c>
      <c r="G259" s="160"/>
    </row>
  </sheetData>
  <conditionalFormatting sqref="A1:A259">
    <cfRule type="expression" dxfId="147" priority="22">
      <formula>$T1="Por pagar"</formula>
    </cfRule>
    <cfRule type="expression" dxfId="146" priority="23">
      <formula>$T1="Vencida"</formula>
    </cfRule>
    <cfRule type="expression" dxfId="145" priority="24">
      <formula>$T1="Pagada"</formula>
    </cfRule>
  </conditionalFormatting>
  <conditionalFormatting sqref="A227">
    <cfRule type="expression" dxfId="144" priority="19">
      <formula>$T227="Por pagar"</formula>
    </cfRule>
    <cfRule type="expression" dxfId="143" priority="20">
      <formula>$T227="Vencida"</formula>
    </cfRule>
    <cfRule type="expression" dxfId="142" priority="21">
      <formula>$T227="Pagada"</formula>
    </cfRule>
  </conditionalFormatting>
  <conditionalFormatting sqref="A239">
    <cfRule type="expression" dxfId="141" priority="16">
      <formula>$T239="Por pagar"</formula>
    </cfRule>
    <cfRule type="expression" dxfId="140" priority="17">
      <formula>$T239="Vencida"</formula>
    </cfRule>
    <cfRule type="expression" dxfId="139" priority="18">
      <formula>$T239="Pagada"</formula>
    </cfRule>
  </conditionalFormatting>
  <conditionalFormatting sqref="A241">
    <cfRule type="expression" dxfId="138" priority="13">
      <formula>$T241="Por pagar"</formula>
    </cfRule>
    <cfRule type="expression" dxfId="137" priority="14">
      <formula>$T241="Vencida"</formula>
    </cfRule>
    <cfRule type="expression" dxfId="136" priority="15">
      <formula>$T241="Pagada"</formula>
    </cfRule>
  </conditionalFormatting>
  <conditionalFormatting sqref="A244">
    <cfRule type="expression" dxfId="135" priority="10">
      <formula>$T244="Por pagar"</formula>
    </cfRule>
    <cfRule type="expression" dxfId="134" priority="11">
      <formula>$T244="Vencida"</formula>
    </cfRule>
    <cfRule type="expression" dxfId="133" priority="12">
      <formula>$T244="Pagada"</formula>
    </cfRule>
  </conditionalFormatting>
  <conditionalFormatting sqref="A247">
    <cfRule type="expression" dxfId="132" priority="7">
      <formula>$T247="Por pagar"</formula>
    </cfRule>
    <cfRule type="expression" dxfId="131" priority="8">
      <formula>$T247="Vencida"</formula>
    </cfRule>
    <cfRule type="expression" dxfId="130" priority="9">
      <formula>$T247="Pagada"</formula>
    </cfRule>
  </conditionalFormatting>
  <conditionalFormatting sqref="A250">
    <cfRule type="expression" dxfId="129" priority="4">
      <formula>$T250="Por pagar"</formula>
    </cfRule>
    <cfRule type="expression" dxfId="128" priority="5">
      <formula>$T250="Vencida"</formula>
    </cfRule>
    <cfRule type="expression" dxfId="127" priority="6">
      <formula>$T250="Pagada"</formula>
    </cfRule>
  </conditionalFormatting>
  <conditionalFormatting sqref="A254">
    <cfRule type="expression" dxfId="126" priority="1">
      <formula>$T254="Por pagar"</formula>
    </cfRule>
    <cfRule type="expression" dxfId="125" priority="2">
      <formula>$T254="Vencida"</formula>
    </cfRule>
    <cfRule type="expression" dxfId="124" priority="3">
      <formula>$T254="Pagada"</formula>
    </cfRule>
  </conditionalFormatting>
  <dataValidations count="1">
    <dataValidation type="list" allowBlank="1" showInputMessage="1" showErrorMessage="1" error="Primero crea el proveedor en la hoja &quot;Proveedores&quot;." sqref="A218" xr:uid="{77572996-20EB-437C-9030-DFC47C99B2D6}">
      <formula1>$A:$A</formula1>
    </dataValidation>
  </dataValidations>
  <hyperlinks>
    <hyperlink ref="F252" r:id="rId1" display="carloseuristika@hotmail.com;girlesa.ruiz@servipilas.com;joriescobar64@gmail.com" xr:uid="{561982AE-06ED-4F50-A56D-EE26D2CC75EE}"/>
    <hyperlink ref="F251" r:id="rId2" display="howardlondono@impocarga.com;oswaldo.alvarez@logimexsas.com;girlesa.ruiz@servipilas.com;joriescobar64@gmail.com" xr:uid="{FAA7D466-4997-45EB-951F-8361C0637145}"/>
    <hyperlink ref="F216" r:id="rId3" display="vcortes@power-sonic.com;alexander.baur@power-sonic.com;jirias@power-sonic.com;girlesa.ruiz@servipilas.com;joriescobar64@gmail.com;info@servipilas.com" xr:uid="{4E77A19D-4B3C-488C-9FBA-1EF577DE97F9}"/>
    <hyperlink ref="F250" r:id="rId4" display="jessica.barrios@carpainternacional;girlesa.ruiz@servipilas.com;joriescobar64@gmail.com" xr:uid="{ED4B35BD-DD15-49F7-AE9E-CB75C4F21A5A}"/>
    <hyperlink ref="F238" r:id="rId5" display="lpena@tbplusenergy.com;girlesa.ruiz@servipilas.com;joriescobar64@gmail.com" xr:uid="{2E0BF1B0-F7E1-4748-9780-C1F63208C01D}"/>
    <hyperlink ref="F102" r:id="rId6" display="jessica.barrios@carpainternacional;girlesa.ruiz@servipilas.com;joriescobar64@gmail.com" xr:uid="{00D1BA77-5CD7-41B8-9B30-D0FD87A6EDB3}"/>
    <hyperlink ref="F185" r:id="rId7" display="jmacias@nanicastation.com.co;facturas@nanicastation.com.co;girlesa.ruiz@servipilas.com;joriescobar64@gmail.com" xr:uid="{A30216ED-A36B-42B0-BBB8-8CB32EA27205}"/>
    <hyperlink ref="F103" r:id="rId8" display="jessica.barrios@carpainternacional;girlesa.ruiz@servipilas.com;joriescobar64@gmail.com" xr:uid="{7249B88F-12EB-47AD-A1D5-CA4D648B62F8}"/>
    <hyperlink ref="F143" r:id="rId9" display="ventasonline@disantioquia.com.co;girlesa.ruiz@servipilas.com;joriescobar64@gmail.com" xr:uid="{1493E242-3F3F-44E8-9284-46B2AE0166D7}"/>
    <hyperlink ref="F111" r:id="rId10" display="financiero@dmariocolombia.com;cartera@dmariocolombia.com.co;girlesa.ruiz@servipilas.com;joriescobar64@gmail.com" xr:uid="{CE62F396-7DD1-446B-834E-847DE56C5EAE}"/>
    <hyperlink ref="F101" r:id="rId11" display="jessica.barrios@carpainternacional;girlesa.ruiz@servipilas.com;joriescobar64@gmail.com" xr:uid="{1D84D8E0-3181-4565-AA6E-87BF9B04CCB7}"/>
    <hyperlink ref="F94" r:id="rId12" display="alexenriquez73.ae@gmail.com;girlesa.ruiz@servipilas.com;joriescobar64@gmail.com;info@servipilas.com" xr:uid="{DA082B31-23E6-4BC8-A2B1-606CD8D34C75}"/>
    <hyperlink ref="F195" r:id="rId13" display="jarlysas@gmail.com;o.clockinternational@gmail.com;girlesa.ruiz@servipilas.com;joriescobar64@gmail.com" xr:uid="{8E3CC133-9FBA-4656-B5E4-26A0219F2904}"/>
    <hyperlink ref="F184" r:id="rId14" display="jarlysas@gmail.com;o.clockinternational@gmail.com;girlesa.ruiz@servipilas.com;joriescobar64@gmail.com" xr:uid="{3F18548B-0AB9-4A3D-9F35-2549ECC305BF}"/>
    <hyperlink ref="F183" r:id="rId15" display="jarlysas@gmail.com;o.clockinternational@gmail.com;girlesa.ruiz@servipilas.com;joriescobar64@gmail.com" xr:uid="{3FB427FE-00DC-4C59-9D65-121EDF91ED6B}"/>
    <hyperlink ref="F45" r:id="rId16" display="jarlysas@gmail.com;o.clockinternational@gmail.com;girlesa.ruiz@servipilas.com;joriescobar64@gmail.com" xr:uid="{A2CA6E71-6063-46BD-933B-4C714D6DAB5A}"/>
    <hyperlink ref="F198" r:id="rId17" display="globalpowerc2018@gmail.com;girlesa.ruiz@servipilas.com;joriescobar64@gmail.com" xr:uid="{01663586-B004-457E-89DB-C9F486A2F704}"/>
    <hyperlink ref="F153" r:id="rId18" display="propertymarketingsas@hotmail.com;girlesa.ruiz@servipilas.com;joriescobar64@gmail.com" xr:uid="{959A3DEC-43D0-40CE-92E7-2D93F4FDE57B}"/>
    <hyperlink ref="F259" r:id="rId19" xr:uid="{4C45EAF0-13B8-4174-AAF4-89A4F2A92339}"/>
    <hyperlink ref="F13" r:id="rId20" xr:uid="{B08EE749-2121-4642-9E43-DD9DC668BA9E}"/>
    <hyperlink ref="F213" r:id="rId21" xr:uid="{83271EF2-8058-4E07-A6EC-F6CED024CC78}"/>
  </hyperlinks>
  <pageMargins left="0.7" right="0.7" top="0.75" bottom="0.75" header="0.3" footer="0.3"/>
  <pageSetup paperSize="9" orientation="portrait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3A3E7A7-CB98-41AF-AE94-25109BF1F93E}">
          <x14:formula1>
            <xm:f>Retenciones!#REF!</xm:f>
          </x14:formula1>
          <xm:sqref>D252:D253 F260:F1048576 D260:D1048576</xm:sqref>
        </x14:dataValidation>
        <x14:dataValidation type="list" allowBlank="1" showInputMessage="1" showErrorMessage="1" xr:uid="{338FA979-4EC3-4742-8CA6-68989B60D357}">
          <x14:formula1>
            <xm:f>Retenciones!$B:$B</xm:f>
          </x14:formula1>
          <xm:sqref>D254:D259 D2:D251</xm:sqref>
        </x14:dataValidation>
        <x14:dataValidation type="list" allowBlank="1" showInputMessage="1" showErrorMessage="1" xr:uid="{0B6EC51F-C8CD-49B9-A38C-2B4CB8C3A653}">
          <x14:formula1>
            <xm:f>Retenciones!$A:$A</xm:f>
          </x14:formula1>
          <xm:sqref>E1 E260:E1048576</xm:sqref>
        </x14:dataValidation>
        <x14:dataValidation type="list" allowBlank="1" showInputMessage="1" showErrorMessage="1" error="No coincide con las lista de retenciones de la hoja oculta &quot;Retenciones&quot;" xr:uid="{7EFC60C1-3A68-4D65-BDB3-5D707C2F985A}">
          <x14:formula1>
            <xm:f>Retenciones!$A$1:$A$24</xm:f>
          </x14:formula1>
          <xm:sqref>E2:E259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AH1473"/>
  <sheetViews>
    <sheetView tabSelected="1" topLeftCell="F1462" zoomScaleNormal="100" workbookViewId="0">
      <selection activeCell="K1473" sqref="K1473"/>
    </sheetView>
  </sheetViews>
  <sheetFormatPr baseColWidth="10" defaultColWidth="0" defaultRowHeight="21.95" customHeight="1" x14ac:dyDescent="0.25"/>
  <cols>
    <col min="1" max="1" width="10" style="35" hidden="1" customWidth="1"/>
    <col min="2" max="2" width="15.5703125" style="41" hidden="1" customWidth="1"/>
    <col min="3" max="3" width="7.7109375" style="31" customWidth="1"/>
    <col min="4" max="4" width="15.85546875" style="32" hidden="1" customWidth="1"/>
    <col min="5" max="5" width="14.42578125" style="32" customWidth="1"/>
    <col min="6" max="6" width="9.5703125" style="32" customWidth="1"/>
    <col min="7" max="7" width="13.85546875" style="95" customWidth="1"/>
    <col min="8" max="8" width="39.28515625" style="32" customWidth="1"/>
    <col min="9" max="9" width="13.85546875" style="33" customWidth="1"/>
    <col min="10" max="10" width="17.28515625" style="33" customWidth="1"/>
    <col min="11" max="11" width="17.85546875" style="33" customWidth="1"/>
    <col min="12" max="12" width="9.5703125" style="40" customWidth="1"/>
    <col min="13" max="13" width="13.5703125" style="34" customWidth="1"/>
    <col min="14" max="14" width="9.7109375" style="34" customWidth="1"/>
    <col min="15" max="15" width="11.5703125" style="34" customWidth="1"/>
    <col min="16" max="16" width="10.140625" style="137" customWidth="1"/>
    <col min="17" max="17" width="9.140625" style="29" customWidth="1"/>
    <col min="18" max="18" width="14.140625" style="26" customWidth="1"/>
    <col min="19" max="20" width="11.42578125" customWidth="1"/>
    <col min="22" max="24" width="11.42578125" hidden="1" customWidth="1"/>
    <col min="25" max="25" width="14.140625" style="100" hidden="1" customWidth="1"/>
    <col min="26" max="26" width="10" style="30" hidden="1" customWidth="1"/>
    <col min="27" max="27" width="14.140625" style="153" hidden="1" customWidth="1"/>
    <col min="28" max="29" width="14.140625" style="154" hidden="1" customWidth="1"/>
    <col min="30" max="30" width="14.140625" style="155" hidden="1" customWidth="1"/>
    <col min="31" max="31" width="14.140625" style="156" hidden="1" customWidth="1"/>
    <col min="32" max="34" width="0" style="26" hidden="1" customWidth="1"/>
    <col min="35" max="16384" width="11.42578125" style="26" hidden="1"/>
  </cols>
  <sheetData>
    <row r="1" spans="1:31" s="21" customFormat="1" ht="62.25" customHeight="1" x14ac:dyDescent="0.25">
      <c r="A1" s="13" t="s">
        <v>8</v>
      </c>
      <c r="B1" s="13" t="s">
        <v>191</v>
      </c>
      <c r="C1" s="13" t="s">
        <v>4</v>
      </c>
      <c r="D1" s="14" t="s">
        <v>181</v>
      </c>
      <c r="E1" s="14" t="s">
        <v>5</v>
      </c>
      <c r="F1" s="14" t="s">
        <v>128</v>
      </c>
      <c r="G1" s="92" t="s">
        <v>6</v>
      </c>
      <c r="H1" s="16" t="s">
        <v>3</v>
      </c>
      <c r="I1" s="15" t="s">
        <v>1</v>
      </c>
      <c r="J1" s="39" t="s">
        <v>2</v>
      </c>
      <c r="K1" s="16" t="s">
        <v>108</v>
      </c>
      <c r="L1" s="17" t="s">
        <v>130</v>
      </c>
      <c r="M1" s="18" t="s">
        <v>109</v>
      </c>
      <c r="N1" s="17" t="s">
        <v>111</v>
      </c>
      <c r="O1" s="17" t="s">
        <v>112</v>
      </c>
      <c r="P1" s="19" t="s">
        <v>114</v>
      </c>
      <c r="Q1" s="17" t="s">
        <v>113</v>
      </c>
      <c r="R1" s="16" t="s">
        <v>110</v>
      </c>
      <c r="S1" s="20" t="s">
        <v>7</v>
      </c>
      <c r="T1" s="98" t="s">
        <v>1174</v>
      </c>
      <c r="U1" s="145" t="s">
        <v>1261</v>
      </c>
      <c r="V1" s="146" t="s">
        <v>1268</v>
      </c>
      <c r="W1" s="146" t="s">
        <v>1270</v>
      </c>
      <c r="X1" s="147" t="s">
        <v>1269</v>
      </c>
      <c r="Y1" s="148" t="s">
        <v>1271</v>
      </c>
    </row>
    <row r="2" spans="1:31" ht="21.95" customHeight="1" x14ac:dyDescent="0.25">
      <c r="A2" s="97" t="str">
        <f>+IF(PROVEEDORES[[#This Row],[FECHA DE PAGO]]=PROVEEDORES[[#This Row],[FECHA DE FACTURACIÓN]],"DE CONTADO","CRÉDITO")</f>
        <v>CRÉDITO</v>
      </c>
      <c r="B2" s="41" t="b">
        <f>+IF((PROVEEDORES[[#This Row],[FECHA DE PAGO]]-PROVEEDORES[[#This Row],[FECHA DE FACTURACIÓN]])&gt;PROVEEDORES[[#This Row],[PLAZO Días]],"PAGO VENCIDO")</f>
        <v>0</v>
      </c>
      <c r="C2" s="22">
        <f>+VLOOKUP(PROVEEDORES[[#This Row],[PROVEEDOR]],TERCEROS_INFO[#All],2,FALSE)</f>
        <v>90</v>
      </c>
      <c r="D2" s="27">
        <f>+SUMIFS(PROVEEDORES[Total],PROVEEDORES[PROVEEDOR],PROVEEDORES[[#This Row],[PROVEEDOR]],PROVEEDORES[FECHA DE PAGO],"")</f>
        <v>0</v>
      </c>
      <c r="E2" s="27"/>
      <c r="F2" s="62" t="str">
        <f>+VLOOKUP(PROVEEDORES[[#This Row],[PROVEEDOR]],
                       Terceros!$A:$G,
                       6,
                       FALSE)</f>
        <v/>
      </c>
      <c r="G2" s="95">
        <v>44201</v>
      </c>
      <c r="H2" s="28" t="s">
        <v>1018</v>
      </c>
      <c r="I2" s="95">
        <v>44136</v>
      </c>
      <c r="J2" s="38">
        <v>1120</v>
      </c>
      <c r="K2" s="23">
        <v>990000</v>
      </c>
      <c r="L2" s="23"/>
      <c r="M2" s="24">
        <v>0</v>
      </c>
      <c r="N2" s="25"/>
      <c r="O2" s="24">
        <v>0</v>
      </c>
      <c r="P2" s="136">
        <f>+IF(PROVEEDORES[[#This Row],[SUBTOTAL]]&lt;PROVEEDORES[[#This Row],[base retencion]],0,PROVEEDORES[[#This Row],[retención aplicada]])</f>
        <v>0</v>
      </c>
      <c r="Q2" s="24">
        <f>+PROVEEDORES[[#This Row],[Rete Fuente %]]*PROVEEDORES[[#This Row],[SUBTOTAL]]</f>
        <v>0</v>
      </c>
      <c r="R2" s="23">
        <v>990000</v>
      </c>
      <c r="S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" s="99">
        <f ca="1">IF(PROVEEDORES[[#This Row],[FECHA DE PAGO]]=0,TODAY()-PROVEEDORES[[#This Row],[FECHA DE FACTURACIÓN]]-PROVEEDORES[[#This Row],[PLAZO Días]],0)</f>
        <v>0</v>
      </c>
      <c r="U2" s="149">
        <f>+VLOOKUP(PROVEEDORES[[#This Row],[PROVEEDOR]],Terceros!$A:$E,5,FALSE)</f>
        <v>0</v>
      </c>
      <c r="V2" s="150">
        <f>+YEAR(PROVEEDORES[[#This Row],[FECHA DE FACTURACIÓN]])</f>
        <v>2020</v>
      </c>
      <c r="W2" s="150">
        <f>+MATCH(PROVEEDORES[[#This Row],[año facturado]],Retenciones!$1:$1,0)</f>
        <v>3</v>
      </c>
      <c r="X2" s="151">
        <f>+VLOOKUP(PROVEEDORES[[#This Row],[ID RETENCION]],Retenciones!$A$1:$O$24,PROVEEDORES[[#This Row],[indicador de columna]],FALSE)</f>
        <v>0</v>
      </c>
      <c r="Y2" s="152">
        <f>+VLOOKUP(PROVEEDORES[[#This Row],[ID RETENCION]],Retenciones!$A$1:$O$24,2,FALSE)</f>
        <v>0</v>
      </c>
      <c r="Z2" s="26"/>
      <c r="AA2" s="26"/>
      <c r="AB2" s="26"/>
      <c r="AC2" s="26"/>
      <c r="AD2" s="26"/>
      <c r="AE2" s="26"/>
    </row>
    <row r="3" spans="1:31" ht="21.95" customHeight="1" x14ac:dyDescent="0.25">
      <c r="A3" s="97" t="str">
        <f>+IF(PROVEEDORES[[#This Row],[FECHA DE PAGO]]=PROVEEDORES[[#This Row],[FECHA DE FACTURACIÓN]],"DE CONTADO","CRÉDITO")</f>
        <v>CRÉDITO</v>
      </c>
      <c r="B3" s="41" t="str">
        <f>+IF((PROVEEDORES[[#This Row],[FECHA DE PAGO]]-PROVEEDORES[[#This Row],[FECHA DE FACTURACIÓN]])&gt;PROVEEDORES[[#This Row],[PLAZO Días]],"PAGO VENCIDO")</f>
        <v>PAGO VENCIDO</v>
      </c>
      <c r="C3" s="22">
        <f>+VLOOKUP(PROVEEDORES[[#This Row],[PROVEEDOR]],TERCEROS_INFO[#All],2,FALSE)</f>
        <v>30</v>
      </c>
      <c r="D3" s="27">
        <f>+SUMIFS(PROVEEDORES[Total],PROVEEDORES[PROVEEDOR],PROVEEDORES[[#This Row],[PROVEEDOR]],PROVEEDORES[FECHA DE PAGO],"")</f>
        <v>144400</v>
      </c>
      <c r="E3" s="27"/>
      <c r="F3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3" s="95">
        <v>44210</v>
      </c>
      <c r="H3" s="28" t="s">
        <v>1071</v>
      </c>
      <c r="I3" s="95">
        <v>44138</v>
      </c>
      <c r="J3" s="38">
        <v>2458</v>
      </c>
      <c r="K3" s="23">
        <v>119000</v>
      </c>
      <c r="L3" s="23"/>
      <c r="M3" s="24">
        <v>0</v>
      </c>
      <c r="N3" s="25"/>
      <c r="O3" s="24">
        <v>0</v>
      </c>
      <c r="P3" s="136">
        <f>+IF(PROVEEDORES[[#This Row],[SUBTOTAL]]&lt;PROVEEDORES[[#This Row],[base retencion]],0,PROVEEDORES[[#This Row],[retención aplicada]])</f>
        <v>0</v>
      </c>
      <c r="Q3" s="24">
        <f>+PROVEEDORES[[#This Row],[Rete Fuente %]]*PROVEEDORES[[#This Row],[SUBTOTAL]]</f>
        <v>0</v>
      </c>
      <c r="R3" s="23">
        <v>119000</v>
      </c>
      <c r="S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" s="99">
        <f ca="1">IF(PROVEEDORES[[#This Row],[FECHA DE PAGO]]=0,TODAY()-PROVEEDORES[[#This Row],[FECHA DE FACTURACIÓN]]-PROVEEDORES[[#This Row],[PLAZO Días]],0)</f>
        <v>0</v>
      </c>
      <c r="U3" s="149">
        <f>+VLOOKUP(PROVEEDORES[[#This Row],[PROVEEDOR]],Terceros!$A:$E,5,FALSE)</f>
        <v>0</v>
      </c>
      <c r="V3" s="150">
        <f>+YEAR(PROVEEDORES[[#This Row],[FECHA DE FACTURACIÓN]])</f>
        <v>2020</v>
      </c>
      <c r="W3" s="150">
        <f>+MATCH(PROVEEDORES[[#This Row],[año facturado]],Retenciones!$1:$1,0)</f>
        <v>3</v>
      </c>
      <c r="X3" s="151">
        <f>+VLOOKUP(PROVEEDORES[[#This Row],[ID RETENCION]],Retenciones!$A$1:$O$24,PROVEEDORES[[#This Row],[indicador de columna]],FALSE)</f>
        <v>0</v>
      </c>
      <c r="Y3" s="152">
        <f>+VLOOKUP(PROVEEDORES[[#This Row],[ID RETENCION]],Retenciones!$A$1:$O$24,2,FALSE)</f>
        <v>0</v>
      </c>
      <c r="Z3" s="26"/>
      <c r="AA3" s="26"/>
      <c r="AB3" s="26"/>
      <c r="AC3" s="26"/>
      <c r="AD3" s="26"/>
      <c r="AE3" s="26"/>
    </row>
    <row r="4" spans="1:31" ht="21.95" customHeight="1" x14ac:dyDescent="0.25">
      <c r="A4" s="97" t="str">
        <f>+IF(PROVEEDORES[[#This Row],[FECHA DE PAGO]]=PROVEEDORES[[#This Row],[FECHA DE FACTURACIÓN]],"DE CONTADO","CRÉDITO")</f>
        <v>CRÉDITO</v>
      </c>
      <c r="B4" s="41" t="str">
        <f>+IF((PROVEEDORES[[#This Row],[FECHA DE PAGO]]-PROVEEDORES[[#This Row],[FECHA DE FACTURACIÓN]])&gt;PROVEEDORES[[#This Row],[PLAZO Días]],"PAGO VENCIDO")</f>
        <v>PAGO VENCIDO</v>
      </c>
      <c r="C4" s="22">
        <f>+VLOOKUP(PROVEEDORES[[#This Row],[PROVEEDOR]],TERCEROS_INFO[#All],2,FALSE)</f>
        <v>30</v>
      </c>
      <c r="D4" s="27">
        <f>+SUMIFS(PROVEEDORES[Total],PROVEEDORES[PROVEEDOR],PROVEEDORES[[#This Row],[PROVEEDOR]],PROVEEDORES[FECHA DE PAGO],"")</f>
        <v>2588352.5</v>
      </c>
      <c r="E4" s="27"/>
      <c r="F4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4" s="95">
        <v>44208</v>
      </c>
      <c r="H4" s="28" t="s">
        <v>1088</v>
      </c>
      <c r="I4" s="95">
        <v>44141</v>
      </c>
      <c r="J4" s="38">
        <v>18451</v>
      </c>
      <c r="K4" s="23">
        <v>3219863.8655462186</v>
      </c>
      <c r="L4" s="23"/>
      <c r="M4" s="24">
        <v>611774.13445378153</v>
      </c>
      <c r="N4" s="25"/>
      <c r="O4" s="24">
        <v>0</v>
      </c>
      <c r="P4" s="136">
        <f>+IF(PROVEEDORES[[#This Row],[SUBTOTAL]]&lt;PROVEEDORES[[#This Row],[base retencion]],0,PROVEEDORES[[#This Row],[retención aplicada]])</f>
        <v>2.5000000000000001E-2</v>
      </c>
      <c r="Q4" s="24">
        <f>+PROVEEDORES[[#This Row],[Rete Fuente %]]*PROVEEDORES[[#This Row],[SUBTOTAL]]</f>
        <v>80496.596638655465</v>
      </c>
      <c r="R4" s="23">
        <v>3751141.4033613447</v>
      </c>
      <c r="S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" s="99">
        <f ca="1">IF(PROVEEDORES[[#This Row],[FECHA DE PAGO]]=0,TODAY()-PROVEEDORES[[#This Row],[FECHA DE FACTURACIÓN]]-PROVEEDORES[[#This Row],[PLAZO Días]],0)</f>
        <v>0</v>
      </c>
      <c r="U4" s="149" t="str">
        <f>+VLOOKUP(PROVEEDORES[[#This Row],[PROVEEDOR]],Terceros!$A:$E,5,FALSE)</f>
        <v>2,5% con base</v>
      </c>
      <c r="V4" s="150">
        <f>+YEAR(PROVEEDORES[[#This Row],[FECHA DE FACTURACIÓN]])</f>
        <v>2020</v>
      </c>
      <c r="W4" s="150">
        <f>+MATCH(PROVEEDORES[[#This Row],[año facturado]],Retenciones!$1:$1,0)</f>
        <v>3</v>
      </c>
      <c r="X4" s="151">
        <f>+VLOOKUP(PROVEEDORES[[#This Row],[ID RETENCION]],Retenciones!$A$1:$O$24,PROVEEDORES[[#This Row],[indicador de columna]],FALSE)</f>
        <v>961000</v>
      </c>
      <c r="Y4" s="152">
        <f>+VLOOKUP(PROVEEDORES[[#This Row],[ID RETENCION]],Retenciones!$A$1:$O$24,2,FALSE)</f>
        <v>2.5000000000000001E-2</v>
      </c>
      <c r="Z4" s="26"/>
      <c r="AA4" s="26"/>
      <c r="AB4" s="26"/>
      <c r="AC4" s="26"/>
      <c r="AD4" s="26"/>
      <c r="AE4" s="26"/>
    </row>
    <row r="5" spans="1:31" ht="21.95" customHeight="1" x14ac:dyDescent="0.25">
      <c r="A5" s="97" t="str">
        <f>+IF(PROVEEDORES[[#This Row],[FECHA DE PAGO]]=PROVEEDORES[[#This Row],[FECHA DE FACTURACIÓN]],"DE CONTADO","CRÉDITO")</f>
        <v>CRÉDITO</v>
      </c>
      <c r="B5" s="41" t="str">
        <f>+IF((PROVEEDORES[[#This Row],[FECHA DE PAGO]]-PROVEEDORES[[#This Row],[FECHA DE FACTURACIÓN]])&gt;PROVEEDORES[[#This Row],[PLAZO Días]],"PAGO VENCIDO")</f>
        <v>PAGO VENCIDO</v>
      </c>
      <c r="C5" s="22">
        <f>+VLOOKUP(PROVEEDORES[[#This Row],[PROVEEDOR]],TERCEROS_INFO[#All],2,FALSE)</f>
        <v>30</v>
      </c>
      <c r="D5" s="27">
        <f>+SUMIFS(PROVEEDORES[Total],PROVEEDORES[PROVEEDOR],PROVEEDORES[[#This Row],[PROVEEDOR]],PROVEEDORES[FECHA DE PAGO],"")</f>
        <v>1039000</v>
      </c>
      <c r="E5" s="27"/>
      <c r="F5" s="62" t="str">
        <f>+VLOOKUP(PROVEEDORES[[#This Row],[PROVEEDOR]],
                       Terceros!$A:$G,
                       6,
                       FALSE)</f>
        <v>variedades.sfg@gmail.com;girlesa.ruiz@servipilas.com;joriescobar64@gmail.com</v>
      </c>
      <c r="G5" s="95">
        <v>44201</v>
      </c>
      <c r="H5" s="28" t="s">
        <v>982</v>
      </c>
      <c r="I5" s="95">
        <v>44145</v>
      </c>
      <c r="J5" s="38">
        <v>304</v>
      </c>
      <c r="K5" s="23">
        <v>3782500</v>
      </c>
      <c r="L5" s="23"/>
      <c r="M5" s="24">
        <v>0</v>
      </c>
      <c r="N5" s="25"/>
      <c r="O5" s="24">
        <v>0</v>
      </c>
      <c r="P5" s="136">
        <f>+IF(PROVEEDORES[[#This Row],[SUBTOTAL]]&lt;PROVEEDORES[[#This Row],[base retencion]],0,PROVEEDORES[[#This Row],[retención aplicada]])</f>
        <v>0</v>
      </c>
      <c r="Q5" s="24">
        <f>+PROVEEDORES[[#This Row],[Rete Fuente %]]*PROVEEDORES[[#This Row],[SUBTOTAL]]</f>
        <v>0</v>
      </c>
      <c r="R5" s="23">
        <v>3782500</v>
      </c>
      <c r="S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" s="99">
        <f ca="1">IF(PROVEEDORES[[#This Row],[FECHA DE PAGO]]=0,TODAY()-PROVEEDORES[[#This Row],[FECHA DE FACTURACIÓN]]-PROVEEDORES[[#This Row],[PLAZO Días]],0)</f>
        <v>0</v>
      </c>
      <c r="U5" s="149">
        <f>+VLOOKUP(PROVEEDORES[[#This Row],[PROVEEDOR]],Terceros!$A:$E,5,FALSE)</f>
        <v>0</v>
      </c>
      <c r="V5" s="150">
        <f>+YEAR(PROVEEDORES[[#This Row],[FECHA DE FACTURACIÓN]])</f>
        <v>2020</v>
      </c>
      <c r="W5" s="150">
        <f>+MATCH(PROVEEDORES[[#This Row],[año facturado]],Retenciones!$1:$1,0)</f>
        <v>3</v>
      </c>
      <c r="X5" s="151">
        <f>+VLOOKUP(PROVEEDORES[[#This Row],[ID RETENCION]],Retenciones!$A$1:$O$24,PROVEEDORES[[#This Row],[indicador de columna]],FALSE)</f>
        <v>0</v>
      </c>
      <c r="Y5" s="152">
        <f>+VLOOKUP(PROVEEDORES[[#This Row],[ID RETENCION]],Retenciones!$A$1:$O$24,2,FALSE)</f>
        <v>0</v>
      </c>
      <c r="Z5" s="26"/>
      <c r="AA5" s="26"/>
      <c r="AB5" s="26"/>
      <c r="AC5" s="26"/>
      <c r="AD5" s="26"/>
      <c r="AE5" s="26"/>
    </row>
    <row r="6" spans="1:31" ht="21.95" customHeight="1" x14ac:dyDescent="0.25">
      <c r="A6" s="97" t="str">
        <f>+IF(PROVEEDORES[[#This Row],[FECHA DE PAGO]]=PROVEEDORES[[#This Row],[FECHA DE FACTURACIÓN]],"DE CONTADO","CRÉDITO")</f>
        <v>CRÉDITO</v>
      </c>
      <c r="B6" s="41" t="str">
        <f>+IF((PROVEEDORES[[#This Row],[FECHA DE PAGO]]-PROVEEDORES[[#This Row],[FECHA DE FACTURACIÓN]])&gt;PROVEEDORES[[#This Row],[PLAZO Días]],"PAGO VENCIDO")</f>
        <v>PAGO VENCIDO</v>
      </c>
      <c r="C6" s="22">
        <f>+VLOOKUP(PROVEEDORES[[#This Row],[PROVEEDOR]],TERCEROS_INFO[#All],2,FALSE)</f>
        <v>45</v>
      </c>
      <c r="D6" s="27">
        <f>+SUMIFS(PROVEEDORES[Total],PROVEEDORES[PROVEEDOR],PROVEEDORES[[#This Row],[PROVEEDOR]],PROVEEDORES[FECHA DE PAGO],"")</f>
        <v>3412539.2</v>
      </c>
      <c r="E6" s="27"/>
      <c r="F6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6" s="95">
        <v>44208</v>
      </c>
      <c r="H6" s="28" t="s">
        <v>10</v>
      </c>
      <c r="I6" s="95">
        <v>44147</v>
      </c>
      <c r="J6" s="38" t="s">
        <v>79</v>
      </c>
      <c r="K6" s="23">
        <v>732000</v>
      </c>
      <c r="L6" s="23"/>
      <c r="M6" s="24">
        <v>139080</v>
      </c>
      <c r="N6" s="25"/>
      <c r="O6" s="24">
        <v>0</v>
      </c>
      <c r="P6" s="136">
        <f>+IF(PROVEEDORES[[#This Row],[SUBTOTAL]]&lt;PROVEEDORES[[#This Row],[base retencion]],0,PROVEEDORES[[#This Row],[retención aplicada]])</f>
        <v>0</v>
      </c>
      <c r="Q6" s="24">
        <f>+PROVEEDORES[[#This Row],[Rete Fuente %]]*PROVEEDORES[[#This Row],[SUBTOTAL]]</f>
        <v>0</v>
      </c>
      <c r="R6" s="23">
        <v>871080</v>
      </c>
      <c r="S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" s="99">
        <f ca="1">IF(PROVEEDORES[[#This Row],[FECHA DE PAGO]]=0,TODAY()-PROVEEDORES[[#This Row],[FECHA DE FACTURACIÓN]]-PROVEEDORES[[#This Row],[PLAZO Días]],0)</f>
        <v>0</v>
      </c>
      <c r="U6" s="149">
        <f>+VLOOKUP(PROVEEDORES[[#This Row],[PROVEEDOR]],Terceros!$A:$E,5,FALSE)</f>
        <v>0</v>
      </c>
      <c r="V6" s="150">
        <f>+YEAR(PROVEEDORES[[#This Row],[FECHA DE FACTURACIÓN]])</f>
        <v>2020</v>
      </c>
      <c r="W6" s="150">
        <f>+MATCH(PROVEEDORES[[#This Row],[año facturado]],Retenciones!$1:$1,0)</f>
        <v>3</v>
      </c>
      <c r="X6" s="151">
        <f>+VLOOKUP(PROVEEDORES[[#This Row],[ID RETENCION]],Retenciones!$A$1:$O$24,PROVEEDORES[[#This Row],[indicador de columna]],FALSE)</f>
        <v>0</v>
      </c>
      <c r="Y6" s="152">
        <f>+VLOOKUP(PROVEEDORES[[#This Row],[ID RETENCION]],Retenciones!$A$1:$O$24,2,FALSE)</f>
        <v>0</v>
      </c>
      <c r="Z6" s="26"/>
      <c r="AA6" s="26"/>
      <c r="AB6" s="26"/>
      <c r="AC6" s="26"/>
      <c r="AD6" s="26"/>
      <c r="AE6" s="26"/>
    </row>
    <row r="7" spans="1:31" ht="21.95" customHeight="1" x14ac:dyDescent="0.25">
      <c r="A7" s="97" t="str">
        <f>+IF(PROVEEDORES[[#This Row],[FECHA DE PAGO]]=PROVEEDORES[[#This Row],[FECHA DE FACTURACIÓN]],"DE CONTADO","CRÉDITO")</f>
        <v>CRÉDITO</v>
      </c>
      <c r="B7" s="41" t="str">
        <f>+IF((PROVEEDORES[[#This Row],[FECHA DE PAGO]]-PROVEEDORES[[#This Row],[FECHA DE FACTURACIÓN]])&gt;PROVEEDORES[[#This Row],[PLAZO Días]],"PAGO VENCIDO")</f>
        <v>PAGO VENCIDO</v>
      </c>
      <c r="C7" s="22">
        <f>+VLOOKUP(PROVEEDORES[[#This Row],[PROVEEDOR]],TERCEROS_INFO[#All],2,FALSE)</f>
        <v>30</v>
      </c>
      <c r="D7" s="27">
        <f>+SUMIFS(PROVEEDORES[Total],PROVEEDORES[PROVEEDOR],PROVEEDORES[[#This Row],[PROVEEDOR]],PROVEEDORES[FECHA DE PAGO],"")</f>
        <v>3750700</v>
      </c>
      <c r="E7" s="27"/>
      <c r="F7" s="62" t="str">
        <f>+VLOOKUP(PROVEEDORES[[#This Row],[PROVEEDOR]],
                       Terceros!$A:$G,
                       6,
                       FALSE)</f>
        <v/>
      </c>
      <c r="G7" s="95">
        <v>44211</v>
      </c>
      <c r="H7" s="28" t="s">
        <v>990</v>
      </c>
      <c r="I7" s="95">
        <v>44150</v>
      </c>
      <c r="J7" s="38"/>
      <c r="K7" s="23">
        <v>1216000</v>
      </c>
      <c r="L7" s="23"/>
      <c r="M7" s="24">
        <v>0</v>
      </c>
      <c r="N7" s="25"/>
      <c r="O7" s="24">
        <v>0</v>
      </c>
      <c r="P7" s="136">
        <f>+IF(PROVEEDORES[[#This Row],[SUBTOTAL]]&lt;PROVEEDORES[[#This Row],[base retencion]],0,PROVEEDORES[[#This Row],[retención aplicada]])</f>
        <v>0</v>
      </c>
      <c r="Q7" s="24">
        <f>+PROVEEDORES[[#This Row],[Rete Fuente %]]*PROVEEDORES[[#This Row],[SUBTOTAL]]</f>
        <v>0</v>
      </c>
      <c r="R7" s="23">
        <v>1216000</v>
      </c>
      <c r="S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" s="99">
        <f ca="1">IF(PROVEEDORES[[#This Row],[FECHA DE PAGO]]=0,TODAY()-PROVEEDORES[[#This Row],[FECHA DE FACTURACIÓN]]-PROVEEDORES[[#This Row],[PLAZO Días]],0)</f>
        <v>0</v>
      </c>
      <c r="U7" s="149">
        <f>+VLOOKUP(PROVEEDORES[[#This Row],[PROVEEDOR]],Terceros!$A:$E,5,FALSE)</f>
        <v>0</v>
      </c>
      <c r="V7" s="150">
        <f>+YEAR(PROVEEDORES[[#This Row],[FECHA DE FACTURACIÓN]])</f>
        <v>2020</v>
      </c>
      <c r="W7" s="150">
        <f>+MATCH(PROVEEDORES[[#This Row],[año facturado]],Retenciones!$1:$1,0)</f>
        <v>3</v>
      </c>
      <c r="X7" s="151">
        <f>+VLOOKUP(PROVEEDORES[[#This Row],[ID RETENCION]],Retenciones!$A$1:$O$24,PROVEEDORES[[#This Row],[indicador de columna]],FALSE)</f>
        <v>0</v>
      </c>
      <c r="Y7" s="152">
        <f>+VLOOKUP(PROVEEDORES[[#This Row],[ID RETENCION]],Retenciones!$A$1:$O$24,2,FALSE)</f>
        <v>0</v>
      </c>
      <c r="Z7" s="26"/>
      <c r="AA7" s="26"/>
      <c r="AB7" s="26"/>
      <c r="AC7" s="26"/>
      <c r="AD7" s="26"/>
      <c r="AE7" s="26"/>
    </row>
    <row r="8" spans="1:31" ht="21.95" customHeight="1" x14ac:dyDescent="0.25">
      <c r="A8" s="97" t="str">
        <f>+IF(PROVEEDORES[[#This Row],[FECHA DE PAGO]]=PROVEEDORES[[#This Row],[FECHA DE FACTURACIÓN]],"DE CONTADO","CRÉDITO")</f>
        <v>CRÉDITO</v>
      </c>
      <c r="B8" s="41" t="str">
        <f>+IF((PROVEEDORES[[#This Row],[FECHA DE PAGO]]-PROVEEDORES[[#This Row],[FECHA DE FACTURACIÓN]])&gt;PROVEEDORES[[#This Row],[PLAZO Días]],"PAGO VENCIDO")</f>
        <v>PAGO VENCIDO</v>
      </c>
      <c r="C8" s="22">
        <f>+VLOOKUP(PROVEEDORES[[#This Row],[PROVEEDOR]],TERCEROS_INFO[#All],2,FALSE)</f>
        <v>90</v>
      </c>
      <c r="D8" s="27">
        <f>+SUMIFS(PROVEEDORES[Total],PROVEEDORES[PROVEEDOR],PROVEEDORES[[#This Row],[PROVEEDOR]],PROVEEDORES[FECHA DE PAGO],"")</f>
        <v>26364243.66155</v>
      </c>
      <c r="E8" s="27"/>
      <c r="F8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8" s="95">
        <v>44250</v>
      </c>
      <c r="H8" s="28" t="s">
        <v>12</v>
      </c>
      <c r="I8" s="95">
        <v>44153</v>
      </c>
      <c r="J8" s="38" t="s">
        <v>81</v>
      </c>
      <c r="K8" s="23">
        <v>7241596.6470588241</v>
      </c>
      <c r="L8" s="23"/>
      <c r="M8" s="24">
        <v>1375903.3629411766</v>
      </c>
      <c r="N8" s="25"/>
      <c r="O8" s="24">
        <v>0</v>
      </c>
      <c r="P8" s="136">
        <f>+IF(PROVEEDORES[[#This Row],[SUBTOTAL]]&lt;PROVEEDORES[[#This Row],[base retencion]],0,PROVEEDORES[[#This Row],[retención aplicada]])</f>
        <v>2.5000000000000001E-2</v>
      </c>
      <c r="Q8" s="24">
        <f>+PROVEEDORES[[#This Row],[Rete Fuente %]]*PROVEEDORES[[#This Row],[SUBTOTAL]]</f>
        <v>181039.91617647061</v>
      </c>
      <c r="R8" s="23">
        <v>8436460.0938235316</v>
      </c>
      <c r="S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" s="99">
        <f ca="1">IF(PROVEEDORES[[#This Row],[FECHA DE PAGO]]=0,TODAY()-PROVEEDORES[[#This Row],[FECHA DE FACTURACIÓN]]-PROVEEDORES[[#This Row],[PLAZO Días]],0)</f>
        <v>0</v>
      </c>
      <c r="U8" s="149" t="str">
        <f>+VLOOKUP(PROVEEDORES[[#This Row],[PROVEEDOR]],Terceros!$A:$E,5,FALSE)</f>
        <v>2,5% con base</v>
      </c>
      <c r="V8" s="150">
        <f>+YEAR(PROVEEDORES[[#This Row],[FECHA DE FACTURACIÓN]])</f>
        <v>2020</v>
      </c>
      <c r="W8" s="150">
        <f>+MATCH(PROVEEDORES[[#This Row],[año facturado]],Retenciones!$1:$1,0)</f>
        <v>3</v>
      </c>
      <c r="X8" s="151">
        <f>+VLOOKUP(PROVEEDORES[[#This Row],[ID RETENCION]],Retenciones!$A$1:$O$24,PROVEEDORES[[#This Row],[indicador de columna]],FALSE)</f>
        <v>961000</v>
      </c>
      <c r="Y8" s="152">
        <f>+VLOOKUP(PROVEEDORES[[#This Row],[ID RETENCION]],Retenciones!$A$1:$O$24,2,FALSE)</f>
        <v>2.5000000000000001E-2</v>
      </c>
      <c r="Z8" s="26"/>
      <c r="AA8" s="26"/>
      <c r="AB8" s="26"/>
      <c r="AC8" s="26"/>
      <c r="AD8" s="26"/>
      <c r="AE8" s="26"/>
    </row>
    <row r="9" spans="1:31" ht="21.95" customHeight="1" x14ac:dyDescent="0.25">
      <c r="A9" s="97" t="str">
        <f>+IF(PROVEEDORES[[#This Row],[FECHA DE PAGO]]=PROVEEDORES[[#This Row],[FECHA DE FACTURACIÓN]],"DE CONTADO","CRÉDITO")</f>
        <v>CRÉDITO</v>
      </c>
      <c r="B9" s="41" t="str">
        <f>+IF((PROVEEDORES[[#This Row],[FECHA DE PAGO]]-PROVEEDORES[[#This Row],[FECHA DE FACTURACIÓN]])&gt;PROVEEDORES[[#This Row],[PLAZO Días]],"PAGO VENCIDO")</f>
        <v>PAGO VENCIDO</v>
      </c>
      <c r="C9" s="22">
        <f>+VLOOKUP(PROVEEDORES[[#This Row],[PROVEEDOR]],TERCEROS_INFO[#All],2,FALSE)</f>
        <v>30</v>
      </c>
      <c r="D9" s="27">
        <f>+SUMIFS(PROVEEDORES[Total],PROVEEDORES[PROVEEDOR],PROVEEDORES[[#This Row],[PROVEEDOR]],PROVEEDORES[FECHA DE PAGO],"")</f>
        <v>0</v>
      </c>
      <c r="E9" s="27"/>
      <c r="F9" s="62" t="str">
        <f>+VLOOKUP(PROVEEDORES[[#This Row],[PROVEEDOR]],
                       Terceros!$A:$G,
                       6,
                       FALSE)</f>
        <v/>
      </c>
      <c r="G9" s="95">
        <v>44208</v>
      </c>
      <c r="H9" s="28" t="s">
        <v>136</v>
      </c>
      <c r="I9" s="95">
        <v>44154</v>
      </c>
      <c r="J9" s="38" t="s">
        <v>84</v>
      </c>
      <c r="K9" s="23">
        <v>-352790.75630252104</v>
      </c>
      <c r="L9" s="23"/>
      <c r="M9" s="24">
        <v>-67030.243697479003</v>
      </c>
      <c r="N9" s="25"/>
      <c r="O9" s="24">
        <v>0</v>
      </c>
      <c r="P9" s="136">
        <f>+IF(PROVEEDORES[[#This Row],[SUBTOTAL]]&lt;PROVEEDORES[[#This Row],[base retencion]],0,PROVEEDORES[[#This Row],[retención aplicada]])</f>
        <v>0</v>
      </c>
      <c r="Q9" s="24">
        <f>+PROVEEDORES[[#This Row],[Rete Fuente %]]*PROVEEDORES[[#This Row],[SUBTOTAL]]</f>
        <v>0</v>
      </c>
      <c r="R9" s="23">
        <v>-419821.00000000006</v>
      </c>
      <c r="S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" s="99">
        <f ca="1">IF(PROVEEDORES[[#This Row],[FECHA DE PAGO]]=0,TODAY()-PROVEEDORES[[#This Row],[FECHA DE FACTURACIÓN]]-PROVEEDORES[[#This Row],[PLAZO Días]],0)</f>
        <v>0</v>
      </c>
      <c r="U9" s="149" t="str">
        <f>+VLOOKUP(PROVEEDORES[[#This Row],[PROVEEDOR]],Terceros!$A:$E,5,FALSE)</f>
        <v>3,5% con base</v>
      </c>
      <c r="V9" s="150">
        <f>+YEAR(PROVEEDORES[[#This Row],[FECHA DE FACTURACIÓN]])</f>
        <v>2020</v>
      </c>
      <c r="W9" s="150">
        <f>+MATCH(PROVEEDORES[[#This Row],[año facturado]],Retenciones!$1:$1,0)</f>
        <v>3</v>
      </c>
      <c r="X9" s="151">
        <f>+VLOOKUP(PROVEEDORES[[#This Row],[ID RETENCION]],Retenciones!$A$1:$O$24,PROVEEDORES[[#This Row],[indicador de columna]],FALSE)</f>
        <v>961000</v>
      </c>
      <c r="Y9" s="152">
        <f>+VLOOKUP(PROVEEDORES[[#This Row],[ID RETENCION]],Retenciones!$A$1:$O$24,2,FALSE)</f>
        <v>3.5000000000000003E-2</v>
      </c>
      <c r="Z9" s="26"/>
      <c r="AA9" s="26"/>
      <c r="AB9" s="26"/>
      <c r="AC9" s="26"/>
      <c r="AD9" s="26"/>
      <c r="AE9" s="26"/>
    </row>
    <row r="10" spans="1:31" ht="21.95" customHeight="1" x14ac:dyDescent="0.25">
      <c r="A10" s="97" t="str">
        <f>+IF(PROVEEDORES[[#This Row],[FECHA DE PAGO]]=PROVEEDORES[[#This Row],[FECHA DE FACTURACIÓN]],"DE CONTADO","CRÉDITO")</f>
        <v>CRÉDITO</v>
      </c>
      <c r="B10" s="41" t="str">
        <f>+IF((PROVEEDORES[[#This Row],[FECHA DE PAGO]]-PROVEEDORES[[#This Row],[FECHA DE FACTURACIÓN]])&gt;PROVEEDORES[[#This Row],[PLAZO Días]],"PAGO VENCIDO")</f>
        <v>PAGO VENCIDO</v>
      </c>
      <c r="C10" s="22">
        <f>+VLOOKUP(PROVEEDORES[[#This Row],[PROVEEDOR]],TERCEROS_INFO[#All],2,FALSE)</f>
        <v>30</v>
      </c>
      <c r="D10" s="27">
        <f>+SUMIFS(PROVEEDORES[Total],PROVEEDORES[PROVEEDOR],PROVEEDORES[[#This Row],[PROVEEDOR]],PROVEEDORES[FECHA DE PAGO],"")</f>
        <v>0</v>
      </c>
      <c r="E10" s="27"/>
      <c r="F10" s="62" t="str">
        <f>+VLOOKUP(PROVEEDORES[[#This Row],[PROVEEDOR]],
                       Terceros!$A:$G,
                       6,
                       FALSE)</f>
        <v/>
      </c>
      <c r="G10" s="95">
        <v>44208</v>
      </c>
      <c r="H10" s="28" t="s">
        <v>137</v>
      </c>
      <c r="I10" s="95">
        <v>44154</v>
      </c>
      <c r="J10" s="38" t="s">
        <v>83</v>
      </c>
      <c r="K10" s="23">
        <v>1930844.6445378151</v>
      </c>
      <c r="L10" s="23"/>
      <c r="M10" s="24">
        <v>366860.48246218485</v>
      </c>
      <c r="N10" s="25"/>
      <c r="O10" s="24">
        <v>0</v>
      </c>
      <c r="P10" s="136">
        <f>+IF(PROVEEDORES[[#This Row],[SUBTOTAL]]&lt;PROVEEDORES[[#This Row],[base retencion]],0,PROVEEDORES[[#This Row],[retención aplicada]])</f>
        <v>3.5000000000000003E-2</v>
      </c>
      <c r="Q10" s="24">
        <f>+PROVEEDORES[[#This Row],[Rete Fuente %]]*PROVEEDORES[[#This Row],[SUBTOTAL]]</f>
        <v>67579.562558823542</v>
      </c>
      <c r="R10" s="23">
        <v>2230125.5644411761</v>
      </c>
      <c r="S1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" s="99">
        <f ca="1">IF(PROVEEDORES[[#This Row],[FECHA DE PAGO]]=0,TODAY()-PROVEEDORES[[#This Row],[FECHA DE FACTURACIÓN]]-PROVEEDORES[[#This Row],[PLAZO Días]],0)</f>
        <v>0</v>
      </c>
      <c r="U10" s="149" t="str">
        <f>+VLOOKUP(PROVEEDORES[[#This Row],[PROVEEDOR]],Terceros!$A:$E,5,FALSE)</f>
        <v>3,5% con base</v>
      </c>
      <c r="V10" s="150">
        <f>+YEAR(PROVEEDORES[[#This Row],[FECHA DE FACTURACIÓN]])</f>
        <v>2020</v>
      </c>
      <c r="W10" s="150">
        <f>+MATCH(PROVEEDORES[[#This Row],[año facturado]],Retenciones!$1:$1,0)</f>
        <v>3</v>
      </c>
      <c r="X10" s="151">
        <f>+VLOOKUP(PROVEEDORES[[#This Row],[ID RETENCION]],Retenciones!$A$1:$O$24,PROVEEDORES[[#This Row],[indicador de columna]],FALSE)</f>
        <v>961000</v>
      </c>
      <c r="Y10" s="152">
        <f>+VLOOKUP(PROVEEDORES[[#This Row],[ID RETENCION]],Retenciones!$A$1:$O$24,2,FALSE)</f>
        <v>3.5000000000000003E-2</v>
      </c>
      <c r="Z10" s="26"/>
      <c r="AA10" s="26"/>
      <c r="AB10" s="26"/>
      <c r="AC10" s="26"/>
      <c r="AD10" s="26"/>
      <c r="AE10" s="26"/>
    </row>
    <row r="11" spans="1:31" ht="21.95" customHeight="1" x14ac:dyDescent="0.25">
      <c r="A11" s="97" t="str">
        <f>+IF(PROVEEDORES[[#This Row],[FECHA DE PAGO]]=PROVEEDORES[[#This Row],[FECHA DE FACTURACIÓN]],"DE CONTADO","CRÉDITO")</f>
        <v>CRÉDITO</v>
      </c>
      <c r="B11" s="41" t="str">
        <f>+IF((PROVEEDORES[[#This Row],[FECHA DE PAGO]]-PROVEEDORES[[#This Row],[FECHA DE FACTURACIÓN]])&gt;PROVEEDORES[[#This Row],[PLAZO Días]],"PAGO VENCIDO")</f>
        <v>PAGO VENCIDO</v>
      </c>
      <c r="C11" s="22">
        <f>+VLOOKUP(PROVEEDORES[[#This Row],[PROVEEDOR]],TERCEROS_INFO[#All],2,FALSE)</f>
        <v>30</v>
      </c>
      <c r="D11" s="27">
        <f>+SUMIFS(PROVEEDORES[Total],PROVEEDORES[PROVEEDOR],PROVEEDORES[[#This Row],[PROVEEDOR]],PROVEEDORES[FECHA DE PAGO],"")</f>
        <v>3355018.0749999997</v>
      </c>
      <c r="E11" s="27"/>
      <c r="F11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11" s="95">
        <v>44239</v>
      </c>
      <c r="H11" s="28" t="s">
        <v>222</v>
      </c>
      <c r="I11" s="95">
        <v>44158</v>
      </c>
      <c r="J11" s="38">
        <v>27</v>
      </c>
      <c r="K11" s="23">
        <v>1917313.4453781513</v>
      </c>
      <c r="L11" s="23"/>
      <c r="M11" s="24">
        <v>364289.55462184874</v>
      </c>
      <c r="N11" s="25"/>
      <c r="O11" s="24">
        <v>0</v>
      </c>
      <c r="P11" s="136">
        <f>+IF(PROVEEDORES[[#This Row],[SUBTOTAL]]&lt;PROVEEDORES[[#This Row],[base retencion]],0,PROVEEDORES[[#This Row],[retención aplicada]])</f>
        <v>2.5000000000000001E-2</v>
      </c>
      <c r="Q11" s="24">
        <f>+PROVEEDORES[[#This Row],[Rete Fuente %]]*PROVEEDORES[[#This Row],[SUBTOTAL]]</f>
        <v>47932.836134453784</v>
      </c>
      <c r="R11" s="23">
        <v>2233670.1638655462</v>
      </c>
      <c r="S1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" s="99">
        <f ca="1">IF(PROVEEDORES[[#This Row],[FECHA DE PAGO]]=0,TODAY()-PROVEEDORES[[#This Row],[FECHA DE FACTURACIÓN]]-PROVEEDORES[[#This Row],[PLAZO Días]],0)</f>
        <v>0</v>
      </c>
      <c r="U11" s="149" t="str">
        <f>+VLOOKUP(PROVEEDORES[[#This Row],[PROVEEDOR]],Terceros!$A:$E,5,FALSE)</f>
        <v>2,5% con base</v>
      </c>
      <c r="V11" s="150">
        <f>+YEAR(PROVEEDORES[[#This Row],[FECHA DE FACTURACIÓN]])</f>
        <v>2020</v>
      </c>
      <c r="W11" s="150">
        <f>+MATCH(PROVEEDORES[[#This Row],[año facturado]],Retenciones!$1:$1,0)</f>
        <v>3</v>
      </c>
      <c r="X11" s="151">
        <f>+VLOOKUP(PROVEEDORES[[#This Row],[ID RETENCION]],Retenciones!$A$1:$O$24,PROVEEDORES[[#This Row],[indicador de columna]],FALSE)</f>
        <v>961000</v>
      </c>
      <c r="Y11" s="152">
        <f>+VLOOKUP(PROVEEDORES[[#This Row],[ID RETENCION]],Retenciones!$A$1:$O$24,2,FALSE)</f>
        <v>2.5000000000000001E-2</v>
      </c>
      <c r="Z11" s="26"/>
      <c r="AA11" s="26"/>
      <c r="AB11" s="26"/>
      <c r="AC11" s="26"/>
      <c r="AD11" s="26"/>
      <c r="AE11" s="26"/>
    </row>
    <row r="12" spans="1:31" ht="21.95" customHeight="1" x14ac:dyDescent="0.25">
      <c r="A12" s="97" t="str">
        <f>+IF(PROVEEDORES[[#This Row],[FECHA DE PAGO]]=PROVEEDORES[[#This Row],[FECHA DE FACTURACIÓN]],"DE CONTADO","CRÉDITO")</f>
        <v>CRÉDITO</v>
      </c>
      <c r="B12" s="41" t="str">
        <f>+IF((PROVEEDORES[[#This Row],[FECHA DE PAGO]]-PROVEEDORES[[#This Row],[FECHA DE FACTURACIÓN]])&gt;PROVEEDORES[[#This Row],[PLAZO Días]],"PAGO VENCIDO")</f>
        <v>PAGO VENCIDO</v>
      </c>
      <c r="C12" s="22">
        <f>+VLOOKUP(PROVEEDORES[[#This Row],[PROVEEDOR]],TERCEROS_INFO[#All],2,FALSE)</f>
        <v>30</v>
      </c>
      <c r="D12" s="27">
        <f>+SUMIFS(PROVEEDORES[Total],PROVEEDORES[PROVEEDOR],PROVEEDORES[[#This Row],[PROVEEDOR]],PROVEEDORES[FECHA DE PAGO],"")</f>
        <v>3750700</v>
      </c>
      <c r="E12" s="27"/>
      <c r="F12" s="62" t="str">
        <f>+VLOOKUP(PROVEEDORES[[#This Row],[PROVEEDOR]],
                       Terceros!$A:$G,
                       6,
                       FALSE)</f>
        <v/>
      </c>
      <c r="G12" s="95">
        <v>44210</v>
      </c>
      <c r="H12" s="28" t="s">
        <v>990</v>
      </c>
      <c r="I12" s="95">
        <v>44166</v>
      </c>
      <c r="J12" s="38">
        <v>1231</v>
      </c>
      <c r="K12" s="23">
        <v>884250</v>
      </c>
      <c r="L12" s="23"/>
      <c r="M12" s="24">
        <v>0</v>
      </c>
      <c r="N12" s="25"/>
      <c r="O12" s="24">
        <v>0</v>
      </c>
      <c r="P12" s="136">
        <f>+IF(PROVEEDORES[[#This Row],[SUBTOTAL]]&lt;PROVEEDORES[[#This Row],[base retencion]],0,PROVEEDORES[[#This Row],[retención aplicada]])</f>
        <v>0</v>
      </c>
      <c r="Q12" s="24">
        <f>+PROVEEDORES[[#This Row],[Rete Fuente %]]*PROVEEDORES[[#This Row],[SUBTOTAL]]</f>
        <v>0</v>
      </c>
      <c r="R12" s="23">
        <v>884250</v>
      </c>
      <c r="S1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" s="99">
        <f ca="1">IF(PROVEEDORES[[#This Row],[FECHA DE PAGO]]=0,TODAY()-PROVEEDORES[[#This Row],[FECHA DE FACTURACIÓN]]-PROVEEDORES[[#This Row],[PLAZO Días]],0)</f>
        <v>0</v>
      </c>
      <c r="U12" s="149">
        <f>+VLOOKUP(PROVEEDORES[[#This Row],[PROVEEDOR]],Terceros!$A:$E,5,FALSE)</f>
        <v>0</v>
      </c>
      <c r="V12" s="150">
        <f>+YEAR(PROVEEDORES[[#This Row],[FECHA DE FACTURACIÓN]])</f>
        <v>2020</v>
      </c>
      <c r="W12" s="150">
        <f>+MATCH(PROVEEDORES[[#This Row],[año facturado]],Retenciones!$1:$1,0)</f>
        <v>3</v>
      </c>
      <c r="X12" s="151">
        <f>+VLOOKUP(PROVEEDORES[[#This Row],[ID RETENCION]],Retenciones!$A$1:$O$24,PROVEEDORES[[#This Row],[indicador de columna]],FALSE)</f>
        <v>0</v>
      </c>
      <c r="Y12" s="152">
        <f>+VLOOKUP(PROVEEDORES[[#This Row],[ID RETENCION]],Retenciones!$A$1:$O$24,2,FALSE)</f>
        <v>0</v>
      </c>
      <c r="Z12" s="26"/>
      <c r="AA12" s="26"/>
      <c r="AB12" s="26"/>
      <c r="AC12" s="26"/>
      <c r="AD12" s="26"/>
      <c r="AE12" s="26"/>
    </row>
    <row r="13" spans="1:31" ht="21.95" customHeight="1" x14ac:dyDescent="0.25">
      <c r="A13" s="97" t="str">
        <f>+IF(PROVEEDORES[[#This Row],[FECHA DE PAGO]]=PROVEEDORES[[#This Row],[FECHA DE FACTURACIÓN]],"DE CONTADO","CRÉDITO")</f>
        <v>CRÉDITO</v>
      </c>
      <c r="B13" s="41" t="str">
        <f>+IF((PROVEEDORES[[#This Row],[FECHA DE PAGO]]-PROVEEDORES[[#This Row],[FECHA DE FACTURACIÓN]])&gt;PROVEEDORES[[#This Row],[PLAZO Días]],"PAGO VENCIDO")</f>
        <v>PAGO VENCIDO</v>
      </c>
      <c r="C13" s="22">
        <f>+VLOOKUP(PROVEEDORES[[#This Row],[PROVEEDOR]],TERCEROS_INFO[#All],2,FALSE)</f>
        <v>30</v>
      </c>
      <c r="D13" s="27">
        <f>+SUMIFS(PROVEEDORES[Total],PROVEEDORES[PROVEEDOR],PROVEEDORES[[#This Row],[PROVEEDOR]],PROVEEDORES[FECHA DE PAGO],"")</f>
        <v>833999.83799999999</v>
      </c>
      <c r="E13" s="27"/>
      <c r="F13" s="62" t="str">
        <f>+VLOOKUP(PROVEEDORES[[#This Row],[PROVEEDOR]],
                       Terceros!$A:$G,
                       6,
                       FALSE)</f>
        <v>juan.suarez@cosostenible.com;girlesa.ruiz@servipilas.com;joriescobar64@gmail.com</v>
      </c>
      <c r="G13" s="95">
        <v>44214</v>
      </c>
      <c r="H13" s="28" t="s">
        <v>50</v>
      </c>
      <c r="I13" s="95">
        <v>44166</v>
      </c>
      <c r="J13" s="38">
        <v>732</v>
      </c>
      <c r="K13" s="23">
        <v>1110619.9495798319</v>
      </c>
      <c r="L13" s="23"/>
      <c r="M13" s="24">
        <v>211017.79042016808</v>
      </c>
      <c r="N13" s="25"/>
      <c r="O13" s="24">
        <v>0</v>
      </c>
      <c r="P13" s="136">
        <f>+IF(PROVEEDORES[[#This Row],[SUBTOTAL]]&lt;PROVEEDORES[[#This Row],[base retencion]],0,PROVEEDORES[[#This Row],[retención aplicada]])</f>
        <v>2.5000000000000001E-2</v>
      </c>
      <c r="Q13" s="24">
        <f>+PROVEEDORES[[#This Row],[Rete Fuente %]]*PROVEEDORES[[#This Row],[SUBTOTAL]]</f>
        <v>27765.498739495801</v>
      </c>
      <c r="R13" s="23">
        <v>1293872.2412605041</v>
      </c>
      <c r="S1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" s="99">
        <f ca="1">IF(PROVEEDORES[[#This Row],[FECHA DE PAGO]]=0,TODAY()-PROVEEDORES[[#This Row],[FECHA DE FACTURACIÓN]]-PROVEEDORES[[#This Row],[PLAZO Días]],0)</f>
        <v>0</v>
      </c>
      <c r="U13" s="149" t="str">
        <f>+VLOOKUP(PROVEEDORES[[#This Row],[PROVEEDOR]],Terceros!$A:$E,5,FALSE)</f>
        <v>2,5% con base</v>
      </c>
      <c r="V13" s="150">
        <f>+YEAR(PROVEEDORES[[#This Row],[FECHA DE FACTURACIÓN]])</f>
        <v>2020</v>
      </c>
      <c r="W13" s="150">
        <f>+MATCH(PROVEEDORES[[#This Row],[año facturado]],Retenciones!$1:$1,0)</f>
        <v>3</v>
      </c>
      <c r="X13" s="151">
        <f>+VLOOKUP(PROVEEDORES[[#This Row],[ID RETENCION]],Retenciones!$A$1:$O$24,PROVEEDORES[[#This Row],[indicador de columna]],FALSE)</f>
        <v>961000</v>
      </c>
      <c r="Y13" s="152">
        <f>+VLOOKUP(PROVEEDORES[[#This Row],[ID RETENCION]],Retenciones!$A$1:$O$24,2,FALSE)</f>
        <v>2.5000000000000001E-2</v>
      </c>
      <c r="Z13" s="26"/>
      <c r="AA13" s="26"/>
      <c r="AB13" s="26"/>
      <c r="AC13" s="26"/>
      <c r="AD13" s="26"/>
      <c r="AE13" s="26"/>
    </row>
    <row r="14" spans="1:31" ht="21.95" customHeight="1" x14ac:dyDescent="0.25">
      <c r="A14" s="97" t="str">
        <f>+IF(PROVEEDORES[[#This Row],[FECHA DE PAGO]]=PROVEEDORES[[#This Row],[FECHA DE FACTURACIÓN]],"DE CONTADO","CRÉDITO")</f>
        <v>CRÉDITO</v>
      </c>
      <c r="B14" s="41" t="str">
        <f>+IF((PROVEEDORES[[#This Row],[FECHA DE PAGO]]-PROVEEDORES[[#This Row],[FECHA DE FACTURACIÓN]])&gt;PROVEEDORES[[#This Row],[PLAZO Días]],"PAGO VENCIDO")</f>
        <v>PAGO VENCIDO</v>
      </c>
      <c r="C14" s="22">
        <f>+VLOOKUP(PROVEEDORES[[#This Row],[PROVEEDOR]],TERCEROS_INFO[#All],2,FALSE)</f>
        <v>30</v>
      </c>
      <c r="D14" s="27">
        <f>+SUMIFS(PROVEEDORES[Total],PROVEEDORES[PROVEEDOR],PROVEEDORES[[#This Row],[PROVEEDOR]],PROVEEDORES[FECHA DE PAGO],"")</f>
        <v>0</v>
      </c>
      <c r="E14" s="27"/>
      <c r="F14" s="62" t="str">
        <f>+VLOOKUP(PROVEEDORES[[#This Row],[PROVEEDOR]],
                       Terceros!$A:$G,
                       6,
                       FALSE)</f>
        <v>tesoreria@makingbusiness.com.co;girlesa.ruiz@servipilas.com;joriescobar64@gmail.com</v>
      </c>
      <c r="G14" s="95">
        <v>44214</v>
      </c>
      <c r="H14" s="28" t="s">
        <v>32</v>
      </c>
      <c r="I14" s="95">
        <v>44166</v>
      </c>
      <c r="J14" s="38">
        <v>2626</v>
      </c>
      <c r="K14" s="23">
        <v>1961428.5714285716</v>
      </c>
      <c r="L14" s="23"/>
      <c r="M14" s="24">
        <v>372671.42857142858</v>
      </c>
      <c r="N14" s="25"/>
      <c r="O14" s="24">
        <v>0</v>
      </c>
      <c r="P14" s="136">
        <f>+IF(PROVEEDORES[[#This Row],[SUBTOTAL]]&lt;PROVEEDORES[[#This Row],[base retencion]],0,PROVEEDORES[[#This Row],[retención aplicada]])</f>
        <v>2.5000000000000001E-2</v>
      </c>
      <c r="Q14" s="24">
        <f>+PROVEEDORES[[#This Row],[Rete Fuente %]]*PROVEEDORES[[#This Row],[SUBTOTAL]]</f>
        <v>49035.71428571429</v>
      </c>
      <c r="R14" s="23">
        <v>2285064.2857142859</v>
      </c>
      <c r="S1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" s="99">
        <f ca="1">IF(PROVEEDORES[[#This Row],[FECHA DE PAGO]]=0,TODAY()-PROVEEDORES[[#This Row],[FECHA DE FACTURACIÓN]]-PROVEEDORES[[#This Row],[PLAZO Días]],0)</f>
        <v>0</v>
      </c>
      <c r="U14" s="149" t="str">
        <f>+VLOOKUP(PROVEEDORES[[#This Row],[PROVEEDOR]],Terceros!$A:$E,5,FALSE)</f>
        <v>2,5% con base</v>
      </c>
      <c r="V14" s="150">
        <f>+YEAR(PROVEEDORES[[#This Row],[FECHA DE FACTURACIÓN]])</f>
        <v>2020</v>
      </c>
      <c r="W14" s="150">
        <f>+MATCH(PROVEEDORES[[#This Row],[año facturado]],Retenciones!$1:$1,0)</f>
        <v>3</v>
      </c>
      <c r="X14" s="151">
        <f>+VLOOKUP(PROVEEDORES[[#This Row],[ID RETENCION]],Retenciones!$A$1:$O$24,PROVEEDORES[[#This Row],[indicador de columna]],FALSE)</f>
        <v>961000</v>
      </c>
      <c r="Y14" s="152">
        <f>+VLOOKUP(PROVEEDORES[[#This Row],[ID RETENCION]],Retenciones!$A$1:$O$24,2,FALSE)</f>
        <v>2.5000000000000001E-2</v>
      </c>
      <c r="Z14" s="26"/>
      <c r="AA14" s="26"/>
      <c r="AB14" s="26"/>
      <c r="AC14" s="26"/>
      <c r="AD14" s="26"/>
      <c r="AE14" s="26"/>
    </row>
    <row r="15" spans="1:31" ht="21.95" customHeight="1" x14ac:dyDescent="0.25">
      <c r="A15" s="97" t="str">
        <f>+IF(PROVEEDORES[[#This Row],[FECHA DE PAGO]]=PROVEEDORES[[#This Row],[FECHA DE FACTURACIÓN]],"DE CONTADO","CRÉDITO")</f>
        <v>CRÉDITO</v>
      </c>
      <c r="B15" s="41" t="str">
        <f>+IF((PROVEEDORES[[#This Row],[FECHA DE PAGO]]-PROVEEDORES[[#This Row],[FECHA DE FACTURACIÓN]])&gt;PROVEEDORES[[#This Row],[PLAZO Días]],"PAGO VENCIDO")</f>
        <v>PAGO VENCIDO</v>
      </c>
      <c r="C15" s="22">
        <f>+VLOOKUP(PROVEEDORES[[#This Row],[PROVEEDOR]],TERCEROS_INFO[#All],2,FALSE)</f>
        <v>90</v>
      </c>
      <c r="D15" s="27">
        <f>+SUMIFS(PROVEEDORES[Total],PROVEEDORES[PROVEEDOR],PROVEEDORES[[#This Row],[PROVEEDOR]],PROVEEDORES[FECHA DE PAGO],"")</f>
        <v>0</v>
      </c>
      <c r="E15" s="27"/>
      <c r="F15" s="62" t="str">
        <f>+VLOOKUP(PROVEEDORES[[#This Row],[PROVEEDOR]],
                       Terceros!$A:$G,
                       6,
                       FALSE)</f>
        <v/>
      </c>
      <c r="G15" s="95">
        <v>44567</v>
      </c>
      <c r="H15" s="28" t="s">
        <v>1027</v>
      </c>
      <c r="I15" s="95">
        <v>44166</v>
      </c>
      <c r="J15" s="38"/>
      <c r="K15" s="23">
        <v>47205435</v>
      </c>
      <c r="L15" s="23"/>
      <c r="M15" s="24">
        <v>0</v>
      </c>
      <c r="N15" s="25"/>
      <c r="O15" s="24">
        <v>0</v>
      </c>
      <c r="P15" s="136">
        <f>+IF(PROVEEDORES[[#This Row],[SUBTOTAL]]&lt;PROVEEDORES[[#This Row],[base retencion]],0,PROVEEDORES[[#This Row],[retención aplicada]])</f>
        <v>0</v>
      </c>
      <c r="Q15" s="24">
        <f>+PROVEEDORES[[#This Row],[Rete Fuente %]]*PROVEEDORES[[#This Row],[SUBTOTAL]]</f>
        <v>0</v>
      </c>
      <c r="R15" s="23">
        <v>47205435</v>
      </c>
      <c r="S1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" s="99">
        <f ca="1">IF(PROVEEDORES[[#This Row],[FECHA DE PAGO]]=0,TODAY()-PROVEEDORES[[#This Row],[FECHA DE FACTURACIÓN]]-PROVEEDORES[[#This Row],[PLAZO Días]],0)</f>
        <v>0</v>
      </c>
      <c r="U15" s="149">
        <f>+VLOOKUP(PROVEEDORES[[#This Row],[PROVEEDOR]],Terceros!$A:$E,5,FALSE)</f>
        <v>0</v>
      </c>
      <c r="V15" s="150">
        <f>+YEAR(PROVEEDORES[[#This Row],[FECHA DE FACTURACIÓN]])</f>
        <v>2020</v>
      </c>
      <c r="W15" s="150">
        <f>+MATCH(PROVEEDORES[[#This Row],[año facturado]],Retenciones!$1:$1,0)</f>
        <v>3</v>
      </c>
      <c r="X15" s="151">
        <f>+VLOOKUP(PROVEEDORES[[#This Row],[ID RETENCION]],Retenciones!$A$1:$O$24,PROVEEDORES[[#This Row],[indicador de columna]],FALSE)</f>
        <v>0</v>
      </c>
      <c r="Y15" s="152">
        <f>+VLOOKUP(PROVEEDORES[[#This Row],[ID RETENCION]],Retenciones!$A$1:$O$24,2,FALSE)</f>
        <v>0</v>
      </c>
      <c r="Z15" s="26"/>
      <c r="AA15" s="26"/>
      <c r="AB15" s="26"/>
      <c r="AC15" s="26"/>
      <c r="AD15" s="26"/>
      <c r="AE15" s="26"/>
    </row>
    <row r="16" spans="1:31" ht="21.95" customHeight="1" x14ac:dyDescent="0.25">
      <c r="A16" s="97" t="str">
        <f>+IF(PROVEEDORES[[#This Row],[FECHA DE PAGO]]=PROVEEDORES[[#This Row],[FECHA DE FACTURACIÓN]],"DE CONTADO","CRÉDITO")</f>
        <v>CRÉDITO</v>
      </c>
      <c r="B16" s="41" t="str">
        <f>+IF((PROVEEDORES[[#This Row],[FECHA DE PAGO]]-PROVEEDORES[[#This Row],[FECHA DE FACTURACIÓN]])&gt;PROVEEDORES[[#This Row],[PLAZO Días]],"PAGO VENCIDO")</f>
        <v>PAGO VENCIDO</v>
      </c>
      <c r="C16" s="22">
        <f>+VLOOKUP(PROVEEDORES[[#This Row],[PROVEEDOR]],TERCEROS_INFO[#All],2,FALSE)</f>
        <v>30</v>
      </c>
      <c r="D16" s="27">
        <f>+SUMIFS(PROVEEDORES[Total],PROVEEDORES[PROVEEDOR],PROVEEDORES[[#This Row],[PROVEEDOR]],PROVEEDORES[FECHA DE PAGO],"")</f>
        <v>4641412.7745000003</v>
      </c>
      <c r="E16" s="27"/>
      <c r="F16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16" s="95">
        <v>44214</v>
      </c>
      <c r="H16" s="28" t="s">
        <v>20</v>
      </c>
      <c r="I16" s="95">
        <v>44167</v>
      </c>
      <c r="J16" s="38">
        <v>2766</v>
      </c>
      <c r="K16" s="23">
        <v>1681026.8907563025</v>
      </c>
      <c r="L16" s="23"/>
      <c r="M16" s="24">
        <v>319395.10924369749</v>
      </c>
      <c r="N16" s="25"/>
      <c r="O16" s="24">
        <v>0</v>
      </c>
      <c r="P16" s="136">
        <f>+IF(PROVEEDORES[[#This Row],[SUBTOTAL]]&lt;PROVEEDORES[[#This Row],[base retencion]],0,PROVEEDORES[[#This Row],[retención aplicada]])</f>
        <v>2.5000000000000001E-2</v>
      </c>
      <c r="Q16" s="24">
        <f>+PROVEEDORES[[#This Row],[Rete Fuente %]]*PROVEEDORES[[#This Row],[SUBTOTAL]]</f>
        <v>42025.672268907569</v>
      </c>
      <c r="R16" s="23">
        <v>1958396.3277310925</v>
      </c>
      <c r="S1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" s="99">
        <f ca="1">IF(PROVEEDORES[[#This Row],[FECHA DE PAGO]]=0,TODAY()-PROVEEDORES[[#This Row],[FECHA DE FACTURACIÓN]]-PROVEEDORES[[#This Row],[PLAZO Días]],0)</f>
        <v>0</v>
      </c>
      <c r="U16" s="149" t="str">
        <f>+VLOOKUP(PROVEEDORES[[#This Row],[PROVEEDOR]],Terceros!$A:$E,5,FALSE)</f>
        <v>2,5% con base</v>
      </c>
      <c r="V16" s="150">
        <f>+YEAR(PROVEEDORES[[#This Row],[FECHA DE FACTURACIÓN]])</f>
        <v>2020</v>
      </c>
      <c r="W16" s="150">
        <f>+MATCH(PROVEEDORES[[#This Row],[año facturado]],Retenciones!$1:$1,0)</f>
        <v>3</v>
      </c>
      <c r="X16" s="151">
        <f>+VLOOKUP(PROVEEDORES[[#This Row],[ID RETENCION]],Retenciones!$A$1:$O$24,PROVEEDORES[[#This Row],[indicador de columna]],FALSE)</f>
        <v>961000</v>
      </c>
      <c r="Y16" s="152">
        <f>+VLOOKUP(PROVEEDORES[[#This Row],[ID RETENCION]],Retenciones!$A$1:$O$24,2,FALSE)</f>
        <v>2.5000000000000001E-2</v>
      </c>
      <c r="Z16" s="26"/>
      <c r="AA16" s="26"/>
      <c r="AB16" s="26"/>
      <c r="AC16" s="26"/>
      <c r="AD16" s="26"/>
      <c r="AE16" s="26"/>
    </row>
    <row r="17" spans="1:31" ht="21.95" customHeight="1" x14ac:dyDescent="0.25">
      <c r="A17" s="97" t="str">
        <f>+IF(PROVEEDORES[[#This Row],[FECHA DE PAGO]]=PROVEEDORES[[#This Row],[FECHA DE FACTURACIÓN]],"DE CONTADO","CRÉDITO")</f>
        <v>CRÉDITO</v>
      </c>
      <c r="B17" s="41" t="str">
        <f>+IF((PROVEEDORES[[#This Row],[FECHA DE PAGO]]-PROVEEDORES[[#This Row],[FECHA DE FACTURACIÓN]])&gt;PROVEEDORES[[#This Row],[PLAZO Días]],"PAGO VENCIDO")</f>
        <v>PAGO VENCIDO</v>
      </c>
      <c r="C17" s="22">
        <f>+VLOOKUP(PROVEEDORES[[#This Row],[PROVEEDOR]],TERCEROS_INFO[#All],2,FALSE)</f>
        <v>30</v>
      </c>
      <c r="D17" s="27">
        <f>+SUMIFS(PROVEEDORES[Total],PROVEEDORES[PROVEEDOR],PROVEEDORES[[#This Row],[PROVEEDOR]],PROVEEDORES[FECHA DE PAGO],"")</f>
        <v>0</v>
      </c>
      <c r="E17" s="27"/>
      <c r="F17" s="62" t="str">
        <f>+VLOOKUP(PROVEEDORES[[#This Row],[PROVEEDOR]],
                       Terceros!$A:$G,
                       6,
                       FALSE)</f>
        <v/>
      </c>
      <c r="G17" s="95">
        <v>44221</v>
      </c>
      <c r="H17" s="28" t="s">
        <v>996</v>
      </c>
      <c r="I17" s="95">
        <v>44168</v>
      </c>
      <c r="J17" s="38"/>
      <c r="K17" s="23">
        <v>785000</v>
      </c>
      <c r="L17" s="23"/>
      <c r="M17" s="24">
        <v>0</v>
      </c>
      <c r="N17" s="25"/>
      <c r="O17" s="24">
        <v>0</v>
      </c>
      <c r="P17" s="136">
        <f>+IF(PROVEEDORES[[#This Row],[SUBTOTAL]]&lt;PROVEEDORES[[#This Row],[base retencion]],0,PROVEEDORES[[#This Row],[retención aplicada]])</f>
        <v>0</v>
      </c>
      <c r="Q17" s="24">
        <f>+PROVEEDORES[[#This Row],[Rete Fuente %]]*PROVEEDORES[[#This Row],[SUBTOTAL]]</f>
        <v>0</v>
      </c>
      <c r="R17" s="23">
        <v>785000</v>
      </c>
      <c r="S1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" s="99">
        <f ca="1">IF(PROVEEDORES[[#This Row],[FECHA DE PAGO]]=0,TODAY()-PROVEEDORES[[#This Row],[FECHA DE FACTURACIÓN]]-PROVEEDORES[[#This Row],[PLAZO Días]],0)</f>
        <v>0</v>
      </c>
      <c r="U17" s="149">
        <f>+VLOOKUP(PROVEEDORES[[#This Row],[PROVEEDOR]],Terceros!$A:$E,5,FALSE)</f>
        <v>0</v>
      </c>
      <c r="V17" s="150">
        <f>+YEAR(PROVEEDORES[[#This Row],[FECHA DE FACTURACIÓN]])</f>
        <v>2020</v>
      </c>
      <c r="W17" s="150">
        <f>+MATCH(PROVEEDORES[[#This Row],[año facturado]],Retenciones!$1:$1,0)</f>
        <v>3</v>
      </c>
      <c r="X17" s="151">
        <f>+VLOOKUP(PROVEEDORES[[#This Row],[ID RETENCION]],Retenciones!$A$1:$O$24,PROVEEDORES[[#This Row],[indicador de columna]],FALSE)</f>
        <v>0</v>
      </c>
      <c r="Y17" s="152">
        <f>+VLOOKUP(PROVEEDORES[[#This Row],[ID RETENCION]],Retenciones!$A$1:$O$24,2,FALSE)</f>
        <v>0</v>
      </c>
      <c r="Z17" s="26"/>
      <c r="AA17" s="26"/>
      <c r="AB17" s="26"/>
      <c r="AC17" s="26"/>
      <c r="AD17" s="26"/>
      <c r="AE17" s="26"/>
    </row>
    <row r="18" spans="1:31" ht="21.95" customHeight="1" x14ac:dyDescent="0.25">
      <c r="A18" s="97" t="str">
        <f>+IF(PROVEEDORES[[#This Row],[FECHA DE PAGO]]=PROVEEDORES[[#This Row],[FECHA DE FACTURACIÓN]],"DE CONTADO","CRÉDITO")</f>
        <v>CRÉDITO</v>
      </c>
      <c r="B18" s="41" t="str">
        <f>+IF((PROVEEDORES[[#This Row],[FECHA DE PAGO]]-PROVEEDORES[[#This Row],[FECHA DE FACTURACIÓN]])&gt;PROVEEDORES[[#This Row],[PLAZO Días]],"PAGO VENCIDO")</f>
        <v>PAGO VENCIDO</v>
      </c>
      <c r="C18" s="22">
        <f>+VLOOKUP(PROVEEDORES[[#This Row],[PROVEEDOR]],TERCEROS_INFO[#All],2,FALSE)</f>
        <v>45</v>
      </c>
      <c r="D18" s="27">
        <f>+SUMIFS(PROVEEDORES[Total],PROVEEDORES[PROVEEDOR],PROVEEDORES[[#This Row],[PROVEEDOR]],PROVEEDORES[FECHA DE PAGO],"")</f>
        <v>3412539.2</v>
      </c>
      <c r="E18" s="27"/>
      <c r="F18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18" s="95">
        <v>44229</v>
      </c>
      <c r="H18" s="28" t="s">
        <v>10</v>
      </c>
      <c r="I18" s="95">
        <v>44168</v>
      </c>
      <c r="J18" s="38" t="s">
        <v>85</v>
      </c>
      <c r="K18" s="23">
        <v>2291200</v>
      </c>
      <c r="L18" s="23"/>
      <c r="M18" s="24">
        <v>435328</v>
      </c>
      <c r="N18" s="25"/>
      <c r="O18" s="24">
        <v>0</v>
      </c>
      <c r="P18" s="136">
        <f>+IF(PROVEEDORES[[#This Row],[SUBTOTAL]]&lt;PROVEEDORES[[#This Row],[base retencion]],0,PROVEEDORES[[#This Row],[retención aplicada]])</f>
        <v>0</v>
      </c>
      <c r="Q18" s="24">
        <f>+PROVEEDORES[[#This Row],[Rete Fuente %]]*PROVEEDORES[[#This Row],[SUBTOTAL]]</f>
        <v>0</v>
      </c>
      <c r="R18" s="23">
        <v>2726528</v>
      </c>
      <c r="S1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" s="99">
        <f ca="1">IF(PROVEEDORES[[#This Row],[FECHA DE PAGO]]=0,TODAY()-PROVEEDORES[[#This Row],[FECHA DE FACTURACIÓN]]-PROVEEDORES[[#This Row],[PLAZO Días]],0)</f>
        <v>0</v>
      </c>
      <c r="U18" s="149">
        <f>+VLOOKUP(PROVEEDORES[[#This Row],[PROVEEDOR]],Terceros!$A:$E,5,FALSE)</f>
        <v>0</v>
      </c>
      <c r="V18" s="150">
        <f>+YEAR(PROVEEDORES[[#This Row],[FECHA DE FACTURACIÓN]])</f>
        <v>2020</v>
      </c>
      <c r="W18" s="150">
        <f>+MATCH(PROVEEDORES[[#This Row],[año facturado]],Retenciones!$1:$1,0)</f>
        <v>3</v>
      </c>
      <c r="X18" s="151">
        <f>+VLOOKUP(PROVEEDORES[[#This Row],[ID RETENCION]],Retenciones!$A$1:$O$24,PROVEEDORES[[#This Row],[indicador de columna]],FALSE)</f>
        <v>0</v>
      </c>
      <c r="Y18" s="152">
        <f>+VLOOKUP(PROVEEDORES[[#This Row],[ID RETENCION]],Retenciones!$A$1:$O$24,2,FALSE)</f>
        <v>0</v>
      </c>
      <c r="Z18" s="26"/>
      <c r="AA18" s="26"/>
      <c r="AB18" s="26"/>
      <c r="AC18" s="26"/>
      <c r="AD18" s="26"/>
      <c r="AE18" s="26"/>
    </row>
    <row r="19" spans="1:31" ht="21.95" customHeight="1" x14ac:dyDescent="0.25">
      <c r="A19" s="97" t="str">
        <f>+IF(PROVEEDORES[[#This Row],[FECHA DE PAGO]]=PROVEEDORES[[#This Row],[FECHA DE FACTURACIÓN]],"DE CONTADO","CRÉDITO")</f>
        <v>CRÉDITO</v>
      </c>
      <c r="B19" s="41" t="b">
        <f>+IF((PROVEEDORES[[#This Row],[FECHA DE PAGO]]-PROVEEDORES[[#This Row],[FECHA DE FACTURACIÓN]])&gt;PROVEEDORES[[#This Row],[PLAZO Días]],"PAGO VENCIDO")</f>
        <v>0</v>
      </c>
      <c r="C19" s="22">
        <f>+VLOOKUP(PROVEEDORES[[#This Row],[PROVEEDOR]],TERCEROS_INFO[#All],2,FALSE)</f>
        <v>90</v>
      </c>
      <c r="D19" s="27">
        <f>+SUMIFS(PROVEEDORES[Total],PROVEEDORES[PROVEEDOR],PROVEEDORES[[#This Row],[PROVEEDOR]],PROVEEDORES[FECHA DE PAGO],"")</f>
        <v>0</v>
      </c>
      <c r="E19" s="27"/>
      <c r="F19" s="62" t="str">
        <f>+VLOOKUP(PROVEEDORES[[#This Row],[PROVEEDOR]],
                       Terceros!$A:$G,
                       6,
                       FALSE)</f>
        <v/>
      </c>
      <c r="G19" s="95">
        <v>44240</v>
      </c>
      <c r="H19" s="28" t="s">
        <v>1018</v>
      </c>
      <c r="I19" s="95">
        <v>44168</v>
      </c>
      <c r="J19" s="38">
        <v>1483</v>
      </c>
      <c r="K19" s="23">
        <v>6064000</v>
      </c>
      <c r="L19" s="23"/>
      <c r="M19" s="24">
        <v>0</v>
      </c>
      <c r="N19" s="25"/>
      <c r="O19" s="24">
        <v>0</v>
      </c>
      <c r="P19" s="136">
        <f>+IF(PROVEEDORES[[#This Row],[SUBTOTAL]]&lt;PROVEEDORES[[#This Row],[base retencion]],0,PROVEEDORES[[#This Row],[retención aplicada]])</f>
        <v>0</v>
      </c>
      <c r="Q19" s="24">
        <f>+PROVEEDORES[[#This Row],[Rete Fuente %]]*PROVEEDORES[[#This Row],[SUBTOTAL]]</f>
        <v>0</v>
      </c>
      <c r="R19" s="23">
        <v>6064000</v>
      </c>
      <c r="S1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" s="99">
        <f ca="1">IF(PROVEEDORES[[#This Row],[FECHA DE PAGO]]=0,TODAY()-PROVEEDORES[[#This Row],[FECHA DE FACTURACIÓN]]-PROVEEDORES[[#This Row],[PLAZO Días]],0)</f>
        <v>0</v>
      </c>
      <c r="U19" s="149">
        <f>+VLOOKUP(PROVEEDORES[[#This Row],[PROVEEDOR]],Terceros!$A:$E,5,FALSE)</f>
        <v>0</v>
      </c>
      <c r="V19" s="150">
        <f>+YEAR(PROVEEDORES[[#This Row],[FECHA DE FACTURACIÓN]])</f>
        <v>2020</v>
      </c>
      <c r="W19" s="150">
        <f>+MATCH(PROVEEDORES[[#This Row],[año facturado]],Retenciones!$1:$1,0)</f>
        <v>3</v>
      </c>
      <c r="X19" s="151">
        <f>+VLOOKUP(PROVEEDORES[[#This Row],[ID RETENCION]],Retenciones!$A$1:$O$24,PROVEEDORES[[#This Row],[indicador de columna]],FALSE)</f>
        <v>0</v>
      </c>
      <c r="Y19" s="152">
        <f>+VLOOKUP(PROVEEDORES[[#This Row],[ID RETENCION]],Retenciones!$A$1:$O$24,2,FALSE)</f>
        <v>0</v>
      </c>
      <c r="Z19" s="26"/>
      <c r="AA19" s="26"/>
      <c r="AB19" s="26"/>
      <c r="AC19" s="26"/>
      <c r="AD19" s="26"/>
      <c r="AE19" s="26"/>
    </row>
    <row r="20" spans="1:31" ht="21.95" customHeight="1" x14ac:dyDescent="0.25">
      <c r="A20" s="97" t="str">
        <f>+IF(PROVEEDORES[[#This Row],[FECHA DE PAGO]]=PROVEEDORES[[#This Row],[FECHA DE FACTURACIÓN]],"DE CONTADO","CRÉDITO")</f>
        <v>CRÉDITO</v>
      </c>
      <c r="B20" s="41" t="str">
        <f>+IF((PROVEEDORES[[#This Row],[FECHA DE PAGO]]-PROVEEDORES[[#This Row],[FECHA DE FACTURACIÓN]])&gt;PROVEEDORES[[#This Row],[PLAZO Días]],"PAGO VENCIDO")</f>
        <v>PAGO VENCIDO</v>
      </c>
      <c r="C20" s="22">
        <f>+VLOOKUP(PROVEEDORES[[#This Row],[PROVEEDOR]],TERCEROS_INFO[#All],2,FALSE)</f>
        <v>45</v>
      </c>
      <c r="D20" s="27">
        <f>+SUMIFS(PROVEEDORES[Total],PROVEEDORES[PROVEEDOR],PROVEEDORES[[#This Row],[PROVEEDOR]],PROVEEDORES[FECHA DE PAGO],"")</f>
        <v>3412539.2</v>
      </c>
      <c r="E20" s="27"/>
      <c r="F20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20" s="95">
        <v>44229</v>
      </c>
      <c r="H20" s="28" t="s">
        <v>10</v>
      </c>
      <c r="I20" s="95">
        <v>44169</v>
      </c>
      <c r="J20" s="38" t="s">
        <v>86</v>
      </c>
      <c r="K20" s="23">
        <v>800000</v>
      </c>
      <c r="L20" s="23"/>
      <c r="M20" s="24">
        <v>152000</v>
      </c>
      <c r="N20" s="25"/>
      <c r="O20" s="24">
        <v>0</v>
      </c>
      <c r="P20" s="136">
        <f>+IF(PROVEEDORES[[#This Row],[SUBTOTAL]]&lt;PROVEEDORES[[#This Row],[base retencion]],0,PROVEEDORES[[#This Row],[retención aplicada]])</f>
        <v>0</v>
      </c>
      <c r="Q20" s="24">
        <f>+PROVEEDORES[[#This Row],[Rete Fuente %]]*PROVEEDORES[[#This Row],[SUBTOTAL]]</f>
        <v>0</v>
      </c>
      <c r="R20" s="23">
        <v>952000</v>
      </c>
      <c r="S2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" s="99">
        <f ca="1">IF(PROVEEDORES[[#This Row],[FECHA DE PAGO]]=0,TODAY()-PROVEEDORES[[#This Row],[FECHA DE FACTURACIÓN]]-PROVEEDORES[[#This Row],[PLAZO Días]],0)</f>
        <v>0</v>
      </c>
      <c r="U20" s="149">
        <f>+VLOOKUP(PROVEEDORES[[#This Row],[PROVEEDOR]],Terceros!$A:$E,5,FALSE)</f>
        <v>0</v>
      </c>
      <c r="V20" s="150">
        <f>+YEAR(PROVEEDORES[[#This Row],[FECHA DE FACTURACIÓN]])</f>
        <v>2020</v>
      </c>
      <c r="W20" s="150">
        <f>+MATCH(PROVEEDORES[[#This Row],[año facturado]],Retenciones!$1:$1,0)</f>
        <v>3</v>
      </c>
      <c r="X20" s="151">
        <f>+VLOOKUP(PROVEEDORES[[#This Row],[ID RETENCION]],Retenciones!$A$1:$O$24,PROVEEDORES[[#This Row],[indicador de columna]],FALSE)</f>
        <v>0</v>
      </c>
      <c r="Y20" s="152">
        <f>+VLOOKUP(PROVEEDORES[[#This Row],[ID RETENCION]],Retenciones!$A$1:$O$24,2,FALSE)</f>
        <v>0</v>
      </c>
      <c r="Z20" s="26"/>
      <c r="AA20" s="26"/>
      <c r="AB20" s="26"/>
      <c r="AC20" s="26"/>
      <c r="AD20" s="26"/>
      <c r="AE20" s="26"/>
    </row>
    <row r="21" spans="1:31" ht="21.95" customHeight="1" x14ac:dyDescent="0.25">
      <c r="A21" s="97" t="str">
        <f>+IF(PROVEEDORES[[#This Row],[FECHA DE PAGO]]=PROVEEDORES[[#This Row],[FECHA DE FACTURACIÓN]],"DE CONTADO","CRÉDITO")</f>
        <v>CRÉDITO</v>
      </c>
      <c r="B21" s="41" t="str">
        <f>+IF((PROVEEDORES[[#This Row],[FECHA DE PAGO]]-PROVEEDORES[[#This Row],[FECHA DE FACTURACIÓN]])&gt;PROVEEDORES[[#This Row],[PLAZO Días]],"PAGO VENCIDO")</f>
        <v>PAGO VENCIDO</v>
      </c>
      <c r="C21" s="22">
        <f>+VLOOKUP(PROVEEDORES[[#This Row],[PROVEEDOR]],TERCEROS_INFO[#All],2,FALSE)</f>
        <v>30</v>
      </c>
      <c r="D21" s="27">
        <f>+SUMIFS(PROVEEDORES[Total],PROVEEDORES[PROVEEDOR],PROVEEDORES[[#This Row],[PROVEEDOR]],PROVEEDORES[FECHA DE PAGO],"")</f>
        <v>3844432.4999000002</v>
      </c>
      <c r="E21" s="27"/>
      <c r="F21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21" s="95">
        <v>44214</v>
      </c>
      <c r="H21" s="28" t="s">
        <v>18</v>
      </c>
      <c r="I21" s="95">
        <v>44169</v>
      </c>
      <c r="J21" s="38">
        <v>1031773</v>
      </c>
      <c r="K21" s="23">
        <v>1856607.7310924372</v>
      </c>
      <c r="L21" s="23"/>
      <c r="M21" s="24">
        <v>352755.46890756307</v>
      </c>
      <c r="N21" s="25"/>
      <c r="O21" s="24">
        <v>0</v>
      </c>
      <c r="P21" s="136">
        <f>+IF(PROVEEDORES[[#This Row],[SUBTOTAL]]&lt;PROVEEDORES[[#This Row],[base retencion]],0,PROVEEDORES[[#This Row],[retención aplicada]])</f>
        <v>2.5000000000000001E-2</v>
      </c>
      <c r="Q21" s="24">
        <f>+PROVEEDORES[[#This Row],[Rete Fuente %]]*PROVEEDORES[[#This Row],[SUBTOTAL]]</f>
        <v>46415.193277310929</v>
      </c>
      <c r="R21" s="23">
        <v>2162948.0067226891</v>
      </c>
      <c r="S2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" s="99">
        <f ca="1">IF(PROVEEDORES[[#This Row],[FECHA DE PAGO]]=0,TODAY()-PROVEEDORES[[#This Row],[FECHA DE FACTURACIÓN]]-PROVEEDORES[[#This Row],[PLAZO Días]],0)</f>
        <v>0</v>
      </c>
      <c r="U21" s="149" t="str">
        <f>+VLOOKUP(PROVEEDORES[[#This Row],[PROVEEDOR]],Terceros!$A:$E,5,FALSE)</f>
        <v>2,5% con base</v>
      </c>
      <c r="V21" s="150">
        <f>+YEAR(PROVEEDORES[[#This Row],[FECHA DE FACTURACIÓN]])</f>
        <v>2020</v>
      </c>
      <c r="W21" s="150">
        <f>+MATCH(PROVEEDORES[[#This Row],[año facturado]],Retenciones!$1:$1,0)</f>
        <v>3</v>
      </c>
      <c r="X21" s="151">
        <f>+VLOOKUP(PROVEEDORES[[#This Row],[ID RETENCION]],Retenciones!$A$1:$O$24,PROVEEDORES[[#This Row],[indicador de columna]],FALSE)</f>
        <v>961000</v>
      </c>
      <c r="Y21" s="152">
        <f>+VLOOKUP(PROVEEDORES[[#This Row],[ID RETENCION]],Retenciones!$A$1:$O$24,2,FALSE)</f>
        <v>2.5000000000000001E-2</v>
      </c>
      <c r="Z21" s="26"/>
      <c r="AA21" s="26"/>
      <c r="AB21" s="26"/>
      <c r="AC21" s="26"/>
      <c r="AD21" s="26"/>
      <c r="AE21" s="26"/>
    </row>
    <row r="22" spans="1:31" ht="21.95" customHeight="1" x14ac:dyDescent="0.25">
      <c r="A22" s="97" t="str">
        <f>+IF(PROVEEDORES[[#This Row],[FECHA DE PAGO]]=PROVEEDORES[[#This Row],[FECHA DE FACTURACIÓN]],"DE CONTADO","CRÉDITO")</f>
        <v>CRÉDITO</v>
      </c>
      <c r="B22" s="41" t="str">
        <f>+IF((PROVEEDORES[[#This Row],[FECHA DE PAGO]]-PROVEEDORES[[#This Row],[FECHA DE FACTURACIÓN]])&gt;PROVEEDORES[[#This Row],[PLAZO Días]],"PAGO VENCIDO")</f>
        <v>PAGO VENCIDO</v>
      </c>
      <c r="C22" s="22">
        <f>+VLOOKUP(PROVEEDORES[[#This Row],[PROVEEDOR]],TERCEROS_INFO[#All],2,FALSE)</f>
        <v>30</v>
      </c>
      <c r="D22" s="27">
        <f>+SUMIFS(PROVEEDORES[Total],PROVEEDORES[PROVEEDOR],PROVEEDORES[[#This Row],[PROVEEDOR]],PROVEEDORES[FECHA DE PAGO],"")</f>
        <v>479654.98979999998</v>
      </c>
      <c r="E22" s="27"/>
      <c r="F22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22" s="95">
        <v>44214</v>
      </c>
      <c r="H22" s="28" t="s">
        <v>1139</v>
      </c>
      <c r="I22" s="95">
        <v>44169</v>
      </c>
      <c r="J22" s="38">
        <v>470</v>
      </c>
      <c r="K22" s="23">
        <v>7478183.1932773115</v>
      </c>
      <c r="L22" s="23"/>
      <c r="M22" s="24">
        <v>1420854.8067226892</v>
      </c>
      <c r="N22" s="25"/>
      <c r="O22" s="24">
        <v>0</v>
      </c>
      <c r="P22" s="136">
        <f>+IF(PROVEEDORES[[#This Row],[SUBTOTAL]]&lt;PROVEEDORES[[#This Row],[base retencion]],0,PROVEEDORES[[#This Row],[retención aplicada]])</f>
        <v>2.5000000000000001E-2</v>
      </c>
      <c r="Q22" s="24">
        <f>+PROVEEDORES[[#This Row],[Rete Fuente %]]*PROVEEDORES[[#This Row],[SUBTOTAL]]</f>
        <v>186954.57983193279</v>
      </c>
      <c r="R22" s="23">
        <v>8712083.4201680664</v>
      </c>
      <c r="S2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" s="99">
        <f ca="1">IF(PROVEEDORES[[#This Row],[FECHA DE PAGO]]=0,TODAY()-PROVEEDORES[[#This Row],[FECHA DE FACTURACIÓN]]-PROVEEDORES[[#This Row],[PLAZO Días]],0)</f>
        <v>0</v>
      </c>
      <c r="U22" s="149" t="str">
        <f>+VLOOKUP(PROVEEDORES[[#This Row],[PROVEEDOR]],Terceros!$A:$E,5,FALSE)</f>
        <v>2,5% con base</v>
      </c>
      <c r="V22" s="150">
        <f>+YEAR(PROVEEDORES[[#This Row],[FECHA DE FACTURACIÓN]])</f>
        <v>2020</v>
      </c>
      <c r="W22" s="150">
        <f>+MATCH(PROVEEDORES[[#This Row],[año facturado]],Retenciones!$1:$1,0)</f>
        <v>3</v>
      </c>
      <c r="X22" s="151">
        <f>+VLOOKUP(PROVEEDORES[[#This Row],[ID RETENCION]],Retenciones!$A$1:$O$24,PROVEEDORES[[#This Row],[indicador de columna]],FALSE)</f>
        <v>961000</v>
      </c>
      <c r="Y22" s="152">
        <f>+VLOOKUP(PROVEEDORES[[#This Row],[ID RETENCION]],Retenciones!$A$1:$O$24,2,FALSE)</f>
        <v>2.5000000000000001E-2</v>
      </c>
      <c r="Z22" s="26"/>
      <c r="AA22" s="26"/>
      <c r="AB22" s="26"/>
      <c r="AC22" s="26"/>
      <c r="AD22" s="26"/>
      <c r="AE22" s="26"/>
    </row>
    <row r="23" spans="1:31" ht="21.95" customHeight="1" x14ac:dyDescent="0.25">
      <c r="A23" s="97" t="str">
        <f>+IF(PROVEEDORES[[#This Row],[FECHA DE PAGO]]=PROVEEDORES[[#This Row],[FECHA DE FACTURACIÓN]],"DE CONTADO","CRÉDITO")</f>
        <v>CRÉDITO</v>
      </c>
      <c r="B23" s="41" t="str">
        <f>+IF((PROVEEDORES[[#This Row],[FECHA DE PAGO]]-PROVEEDORES[[#This Row],[FECHA DE FACTURACIÓN]])&gt;PROVEEDORES[[#This Row],[PLAZO Días]],"PAGO VENCIDO")</f>
        <v>PAGO VENCIDO</v>
      </c>
      <c r="C23" s="22">
        <f>+VLOOKUP(PROVEEDORES[[#This Row],[PROVEEDOR]],TERCEROS_INFO[#All],2,FALSE)</f>
        <v>90</v>
      </c>
      <c r="D23" s="27">
        <f>+SUMIFS(PROVEEDORES[Total],PROVEEDORES[PROVEEDOR],PROVEEDORES[[#This Row],[PROVEEDOR]],PROVEEDORES[FECHA DE PAGO],"")</f>
        <v>0</v>
      </c>
      <c r="E23" s="27"/>
      <c r="F23" s="62" t="str">
        <f>+VLOOKUP(PROVEEDORES[[#This Row],[PROVEEDOR]],
                       Terceros!$A:$G,
                       6,
                       FALSE)</f>
        <v/>
      </c>
      <c r="G23" s="95">
        <v>44375</v>
      </c>
      <c r="H23" s="28" t="s">
        <v>1018</v>
      </c>
      <c r="I23" s="95">
        <v>44169</v>
      </c>
      <c r="J23" s="38">
        <v>1493</v>
      </c>
      <c r="K23" s="23">
        <v>21277000</v>
      </c>
      <c r="L23" s="23"/>
      <c r="M23" s="24">
        <v>0</v>
      </c>
      <c r="N23" s="25"/>
      <c r="O23" s="24">
        <v>0</v>
      </c>
      <c r="P23" s="136">
        <f>+IF(PROVEEDORES[[#This Row],[SUBTOTAL]]&lt;PROVEEDORES[[#This Row],[base retencion]],0,PROVEEDORES[[#This Row],[retención aplicada]])</f>
        <v>0</v>
      </c>
      <c r="Q23" s="24">
        <f>+PROVEEDORES[[#This Row],[Rete Fuente %]]*PROVEEDORES[[#This Row],[SUBTOTAL]]</f>
        <v>0</v>
      </c>
      <c r="R23" s="23">
        <v>21277000</v>
      </c>
      <c r="S2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" s="99">
        <f ca="1">IF(PROVEEDORES[[#This Row],[FECHA DE PAGO]]=0,TODAY()-PROVEEDORES[[#This Row],[FECHA DE FACTURACIÓN]]-PROVEEDORES[[#This Row],[PLAZO Días]],0)</f>
        <v>0</v>
      </c>
      <c r="U23" s="149">
        <f>+VLOOKUP(PROVEEDORES[[#This Row],[PROVEEDOR]],Terceros!$A:$E,5,FALSE)</f>
        <v>0</v>
      </c>
      <c r="V23" s="150">
        <f>+YEAR(PROVEEDORES[[#This Row],[FECHA DE FACTURACIÓN]])</f>
        <v>2020</v>
      </c>
      <c r="W23" s="150">
        <f>+MATCH(PROVEEDORES[[#This Row],[año facturado]],Retenciones!$1:$1,0)</f>
        <v>3</v>
      </c>
      <c r="X23" s="151">
        <f>+VLOOKUP(PROVEEDORES[[#This Row],[ID RETENCION]],Retenciones!$A$1:$O$24,PROVEEDORES[[#This Row],[indicador de columna]],FALSE)</f>
        <v>0</v>
      </c>
      <c r="Y23" s="152">
        <f>+VLOOKUP(PROVEEDORES[[#This Row],[ID RETENCION]],Retenciones!$A$1:$O$24,2,FALSE)</f>
        <v>0</v>
      </c>
      <c r="Z23" s="26"/>
      <c r="AA23" s="26"/>
      <c r="AB23" s="26"/>
      <c r="AC23" s="26"/>
      <c r="AD23" s="26"/>
      <c r="AE23" s="26"/>
    </row>
    <row r="24" spans="1:31" ht="21.95" customHeight="1" x14ac:dyDescent="0.25">
      <c r="A24" s="97" t="str">
        <f>+IF(PROVEEDORES[[#This Row],[FECHA DE PAGO]]=PROVEEDORES[[#This Row],[FECHA DE FACTURACIÓN]],"DE CONTADO","CRÉDITO")</f>
        <v>CRÉDITO</v>
      </c>
      <c r="B24" s="41" t="str">
        <f>+IF((PROVEEDORES[[#This Row],[FECHA DE PAGO]]-PROVEEDORES[[#This Row],[FECHA DE FACTURACIÓN]])&gt;PROVEEDORES[[#This Row],[PLAZO Días]],"PAGO VENCIDO")</f>
        <v>PAGO VENCIDO</v>
      </c>
      <c r="C24" s="22">
        <f>+VLOOKUP(PROVEEDORES[[#This Row],[PROVEEDOR]],TERCEROS_INFO[#All],2,FALSE)</f>
        <v>30</v>
      </c>
      <c r="D24" s="27">
        <f>+SUMIFS(PROVEEDORES[Total],PROVEEDORES[PROVEEDOR],PROVEEDORES[[#This Row],[PROVEEDOR]],PROVEEDORES[FECHA DE PAGO],"")</f>
        <v>1979529.3</v>
      </c>
      <c r="E24" s="27"/>
      <c r="F24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24" s="95">
        <v>44208</v>
      </c>
      <c r="H24" s="28" t="s">
        <v>17</v>
      </c>
      <c r="I24" s="95">
        <v>44172</v>
      </c>
      <c r="J24" s="38">
        <v>1700677</v>
      </c>
      <c r="K24" s="23">
        <v>2284115.1260504201</v>
      </c>
      <c r="L24" s="23"/>
      <c r="M24" s="24">
        <v>433981.87394957984</v>
      </c>
      <c r="N24" s="25"/>
      <c r="O24" s="24">
        <v>0</v>
      </c>
      <c r="P24" s="136">
        <f>+IF(PROVEEDORES[[#This Row],[SUBTOTAL]]&lt;PROVEEDORES[[#This Row],[base retencion]],0,PROVEEDORES[[#This Row],[retención aplicada]])</f>
        <v>0</v>
      </c>
      <c r="Q24" s="24">
        <f>+PROVEEDORES[[#This Row],[Rete Fuente %]]*PROVEEDORES[[#This Row],[SUBTOTAL]]</f>
        <v>0</v>
      </c>
      <c r="R24" s="23">
        <v>2718097</v>
      </c>
      <c r="S2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" s="99">
        <f ca="1">IF(PROVEEDORES[[#This Row],[FECHA DE PAGO]]=0,TODAY()-PROVEEDORES[[#This Row],[FECHA DE FACTURACIÓN]]-PROVEEDORES[[#This Row],[PLAZO Días]],0)</f>
        <v>0</v>
      </c>
      <c r="U24" s="149">
        <f>+VLOOKUP(PROVEEDORES[[#This Row],[PROVEEDOR]],Terceros!$A:$E,5,FALSE)</f>
        <v>0</v>
      </c>
      <c r="V24" s="150">
        <f>+YEAR(PROVEEDORES[[#This Row],[FECHA DE FACTURACIÓN]])</f>
        <v>2020</v>
      </c>
      <c r="W24" s="150">
        <f>+MATCH(PROVEEDORES[[#This Row],[año facturado]],Retenciones!$1:$1,0)</f>
        <v>3</v>
      </c>
      <c r="X24" s="151">
        <f>+VLOOKUP(PROVEEDORES[[#This Row],[ID RETENCION]],Retenciones!$A$1:$O$24,PROVEEDORES[[#This Row],[indicador de columna]],FALSE)</f>
        <v>0</v>
      </c>
      <c r="Y24" s="152">
        <f>+VLOOKUP(PROVEEDORES[[#This Row],[ID RETENCION]],Retenciones!$A$1:$O$24,2,FALSE)</f>
        <v>0</v>
      </c>
      <c r="Z24" s="26"/>
      <c r="AA24" s="26"/>
      <c r="AB24" s="26"/>
      <c r="AC24" s="26"/>
      <c r="AD24" s="26"/>
      <c r="AE24" s="26"/>
    </row>
    <row r="25" spans="1:31" ht="21.95" customHeight="1" x14ac:dyDescent="0.25">
      <c r="A25" s="97" t="str">
        <f>+IF(PROVEEDORES[[#This Row],[FECHA DE PAGO]]=PROVEEDORES[[#This Row],[FECHA DE FACTURACIÓN]],"DE CONTADO","CRÉDITO")</f>
        <v>CRÉDITO</v>
      </c>
      <c r="B25" s="41" t="str">
        <f>+IF((PROVEEDORES[[#This Row],[FECHA DE PAGO]]-PROVEEDORES[[#This Row],[FECHA DE FACTURACIÓN]])&gt;PROVEEDORES[[#This Row],[PLAZO Días]],"PAGO VENCIDO")</f>
        <v>PAGO VENCIDO</v>
      </c>
      <c r="C25" s="22">
        <f>+VLOOKUP(PROVEEDORES[[#This Row],[PROVEEDOR]],TERCEROS_INFO[#All],2,FALSE)</f>
        <v>30</v>
      </c>
      <c r="D25" s="27">
        <f>+SUMIFS(PROVEEDORES[Total],PROVEEDORES[PROVEEDOR],PROVEEDORES[[#This Row],[PROVEEDOR]],PROVEEDORES[FECHA DE PAGO],"")</f>
        <v>452687.9</v>
      </c>
      <c r="E25" s="27"/>
      <c r="F25" s="62" t="str">
        <f>+VLOOKUP(PROVEEDORES[[#This Row],[PROVEEDOR]],
                       Terceros!$A:$G,
                       6,
                       FALSE)</f>
        <v>soluenergiacentro@une.net.co;girlesa.ruiz@servipilas.com;joriescobar64@gmail.com</v>
      </c>
      <c r="G25" s="95">
        <v>44214</v>
      </c>
      <c r="H25" s="28" t="s">
        <v>39</v>
      </c>
      <c r="I25" s="95">
        <v>44174</v>
      </c>
      <c r="J25" s="38">
        <v>147</v>
      </c>
      <c r="K25" s="23">
        <v>395200</v>
      </c>
      <c r="L25" s="23"/>
      <c r="M25" s="24">
        <v>75088</v>
      </c>
      <c r="N25" s="25"/>
      <c r="O25" s="24">
        <v>0</v>
      </c>
      <c r="P25" s="136">
        <f>+IF(PROVEEDORES[[#This Row],[SUBTOTAL]]&lt;PROVEEDORES[[#This Row],[base retencion]],0,PROVEEDORES[[#This Row],[retención aplicada]])</f>
        <v>0</v>
      </c>
      <c r="Q25" s="24">
        <f>+PROVEEDORES[[#This Row],[Rete Fuente %]]*PROVEEDORES[[#This Row],[SUBTOTAL]]</f>
        <v>0</v>
      </c>
      <c r="R25" s="23">
        <v>470288</v>
      </c>
      <c r="S2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" s="99">
        <f ca="1">IF(PROVEEDORES[[#This Row],[FECHA DE PAGO]]=0,TODAY()-PROVEEDORES[[#This Row],[FECHA DE FACTURACIÓN]]-PROVEEDORES[[#This Row],[PLAZO Días]],0)</f>
        <v>0</v>
      </c>
      <c r="U25" s="149" t="str">
        <f>+VLOOKUP(PROVEEDORES[[#This Row],[PROVEEDOR]],Terceros!$A:$E,5,FALSE)</f>
        <v>2,5% con base</v>
      </c>
      <c r="V25" s="150">
        <f>+YEAR(PROVEEDORES[[#This Row],[FECHA DE FACTURACIÓN]])</f>
        <v>2020</v>
      </c>
      <c r="W25" s="150">
        <f>+MATCH(PROVEEDORES[[#This Row],[año facturado]],Retenciones!$1:$1,0)</f>
        <v>3</v>
      </c>
      <c r="X25" s="151">
        <f>+VLOOKUP(PROVEEDORES[[#This Row],[ID RETENCION]],Retenciones!$A$1:$O$24,PROVEEDORES[[#This Row],[indicador de columna]],FALSE)</f>
        <v>961000</v>
      </c>
      <c r="Y25" s="152">
        <f>+VLOOKUP(PROVEEDORES[[#This Row],[ID RETENCION]],Retenciones!$A$1:$O$24,2,FALSE)</f>
        <v>2.5000000000000001E-2</v>
      </c>
      <c r="Z25" s="26"/>
      <c r="AA25" s="26"/>
      <c r="AB25" s="26"/>
      <c r="AC25" s="26"/>
      <c r="AD25" s="26"/>
      <c r="AE25" s="26"/>
    </row>
    <row r="26" spans="1:31" ht="21.95" customHeight="1" x14ac:dyDescent="0.25">
      <c r="A26" s="97" t="str">
        <f>+IF(PROVEEDORES[[#This Row],[FECHA DE PAGO]]=PROVEEDORES[[#This Row],[FECHA DE FACTURACIÓN]],"DE CONTADO","CRÉDITO")</f>
        <v>CRÉDITO</v>
      </c>
      <c r="B26" s="41" t="str">
        <f>+IF((PROVEEDORES[[#This Row],[FECHA DE PAGO]]-PROVEEDORES[[#This Row],[FECHA DE FACTURACIÓN]])&gt;PROVEEDORES[[#This Row],[PLAZO Días]],"PAGO VENCIDO")</f>
        <v>PAGO VENCIDO</v>
      </c>
      <c r="C26" s="22">
        <f>+VLOOKUP(PROVEEDORES[[#This Row],[PROVEEDOR]],TERCEROS_INFO[#All],2,FALSE)</f>
        <v>30</v>
      </c>
      <c r="D26" s="27">
        <f>+SUMIFS(PROVEEDORES[Total],PROVEEDORES[PROVEEDOR],PROVEEDORES[[#This Row],[PROVEEDOR]],PROVEEDORES[FECHA DE PAGO],"")</f>
        <v>0</v>
      </c>
      <c r="E26" s="27"/>
      <c r="F26" s="62" t="str">
        <f>+VLOOKUP(PROVEEDORES[[#This Row],[PROVEEDOR]],
                       Terceros!$A:$G,
                       6,
                       FALSE)</f>
        <v/>
      </c>
      <c r="G26" s="95">
        <v>44210</v>
      </c>
      <c r="H26" s="28" t="s">
        <v>999</v>
      </c>
      <c r="I26" s="95">
        <v>44175</v>
      </c>
      <c r="J26" s="38">
        <v>312</v>
      </c>
      <c r="K26" s="23">
        <v>115000</v>
      </c>
      <c r="L26" s="23"/>
      <c r="M26" s="24">
        <v>0</v>
      </c>
      <c r="N26" s="25"/>
      <c r="O26" s="24">
        <v>0</v>
      </c>
      <c r="P26" s="136">
        <f>+IF(PROVEEDORES[[#This Row],[SUBTOTAL]]&lt;PROVEEDORES[[#This Row],[base retencion]],0,PROVEEDORES[[#This Row],[retención aplicada]])</f>
        <v>0</v>
      </c>
      <c r="Q26" s="24">
        <f>+PROVEEDORES[[#This Row],[Rete Fuente %]]*PROVEEDORES[[#This Row],[SUBTOTAL]]</f>
        <v>0</v>
      </c>
      <c r="R26" s="23">
        <v>115000</v>
      </c>
      <c r="S2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" s="99">
        <f ca="1">IF(PROVEEDORES[[#This Row],[FECHA DE PAGO]]=0,TODAY()-PROVEEDORES[[#This Row],[FECHA DE FACTURACIÓN]]-PROVEEDORES[[#This Row],[PLAZO Días]],0)</f>
        <v>0</v>
      </c>
      <c r="U26" s="149">
        <f>+VLOOKUP(PROVEEDORES[[#This Row],[PROVEEDOR]],Terceros!$A:$E,5,FALSE)</f>
        <v>0</v>
      </c>
      <c r="V26" s="150">
        <f>+YEAR(PROVEEDORES[[#This Row],[FECHA DE FACTURACIÓN]])</f>
        <v>2020</v>
      </c>
      <c r="W26" s="150">
        <f>+MATCH(PROVEEDORES[[#This Row],[año facturado]],Retenciones!$1:$1,0)</f>
        <v>3</v>
      </c>
      <c r="X26" s="151">
        <f>+VLOOKUP(PROVEEDORES[[#This Row],[ID RETENCION]],Retenciones!$A$1:$O$24,PROVEEDORES[[#This Row],[indicador de columna]],FALSE)</f>
        <v>0</v>
      </c>
      <c r="Y26" s="152">
        <f>+VLOOKUP(PROVEEDORES[[#This Row],[ID RETENCION]],Retenciones!$A$1:$O$24,2,FALSE)</f>
        <v>0</v>
      </c>
      <c r="Z26" s="26"/>
      <c r="AA26" s="26"/>
      <c r="AB26" s="26"/>
      <c r="AC26" s="26"/>
      <c r="AD26" s="26"/>
      <c r="AE26" s="26"/>
    </row>
    <row r="27" spans="1:31" ht="21.95" customHeight="1" x14ac:dyDescent="0.25">
      <c r="A27" s="97" t="str">
        <f>+IF(PROVEEDORES[[#This Row],[FECHA DE PAGO]]=PROVEEDORES[[#This Row],[FECHA DE FACTURACIÓN]],"DE CONTADO","CRÉDITO")</f>
        <v>CRÉDITO</v>
      </c>
      <c r="B27" s="41" t="str">
        <f>+IF((PROVEEDORES[[#This Row],[FECHA DE PAGO]]-PROVEEDORES[[#This Row],[FECHA DE FACTURACIÓN]])&gt;PROVEEDORES[[#This Row],[PLAZO Días]],"PAGO VENCIDO")</f>
        <v>PAGO VENCIDO</v>
      </c>
      <c r="C27" s="22">
        <f>+VLOOKUP(PROVEEDORES[[#This Row],[PROVEEDOR]],TERCEROS_INFO[#All],2,FALSE)</f>
        <v>30</v>
      </c>
      <c r="D27" s="27">
        <f>+SUMIFS(PROVEEDORES[Total],PROVEEDORES[PROVEEDOR],PROVEEDORES[[#This Row],[PROVEEDOR]],PROVEEDORES[FECHA DE PAGO],"")</f>
        <v>3099000</v>
      </c>
      <c r="E27" s="27"/>
      <c r="F27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27" s="95">
        <v>44272</v>
      </c>
      <c r="H27" s="28" t="s">
        <v>1079</v>
      </c>
      <c r="I27" s="95">
        <v>44175</v>
      </c>
      <c r="J27" s="38">
        <v>320167</v>
      </c>
      <c r="K27" s="23">
        <v>596000</v>
      </c>
      <c r="L27" s="23"/>
      <c r="M27" s="24">
        <v>0</v>
      </c>
      <c r="N27" s="25"/>
      <c r="O27" s="24">
        <v>0</v>
      </c>
      <c r="P27" s="136">
        <f>+IF(PROVEEDORES[[#This Row],[SUBTOTAL]]&lt;PROVEEDORES[[#This Row],[base retencion]],0,PROVEEDORES[[#This Row],[retención aplicada]])</f>
        <v>0</v>
      </c>
      <c r="Q27" s="24">
        <f>+PROVEEDORES[[#This Row],[Rete Fuente %]]*PROVEEDORES[[#This Row],[SUBTOTAL]]</f>
        <v>0</v>
      </c>
      <c r="R27" s="23">
        <v>596000</v>
      </c>
      <c r="S2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" s="99">
        <f ca="1">IF(PROVEEDORES[[#This Row],[FECHA DE PAGO]]=0,TODAY()-PROVEEDORES[[#This Row],[FECHA DE FACTURACIÓN]]-PROVEEDORES[[#This Row],[PLAZO Días]],0)</f>
        <v>0</v>
      </c>
      <c r="U27" s="149">
        <f>+VLOOKUP(PROVEEDORES[[#This Row],[PROVEEDOR]],Terceros!$A:$E,5,FALSE)</f>
        <v>0</v>
      </c>
      <c r="V27" s="150">
        <f>+YEAR(PROVEEDORES[[#This Row],[FECHA DE FACTURACIÓN]])</f>
        <v>2020</v>
      </c>
      <c r="W27" s="150">
        <f>+MATCH(PROVEEDORES[[#This Row],[año facturado]],Retenciones!$1:$1,0)</f>
        <v>3</v>
      </c>
      <c r="X27" s="151">
        <f>+VLOOKUP(PROVEEDORES[[#This Row],[ID RETENCION]],Retenciones!$A$1:$O$24,PROVEEDORES[[#This Row],[indicador de columna]],FALSE)</f>
        <v>0</v>
      </c>
      <c r="Y27" s="152">
        <f>+VLOOKUP(PROVEEDORES[[#This Row],[ID RETENCION]],Retenciones!$A$1:$O$24,2,FALSE)</f>
        <v>0</v>
      </c>
      <c r="Z27" s="26"/>
      <c r="AA27" s="26"/>
      <c r="AB27" s="26"/>
      <c r="AC27" s="26"/>
      <c r="AD27" s="26"/>
      <c r="AE27" s="26"/>
    </row>
    <row r="28" spans="1:31" ht="21.95" customHeight="1" x14ac:dyDescent="0.25">
      <c r="A28" s="97" t="str">
        <f>+IF(PROVEEDORES[[#This Row],[FECHA DE PAGO]]=PROVEEDORES[[#This Row],[FECHA DE FACTURACIÓN]],"DE CONTADO","CRÉDITO")</f>
        <v>CRÉDITO</v>
      </c>
      <c r="B28" s="41" t="str">
        <f>+IF((PROVEEDORES[[#This Row],[FECHA DE PAGO]]-PROVEEDORES[[#This Row],[FECHA DE FACTURACIÓN]])&gt;PROVEEDORES[[#This Row],[PLAZO Días]],"PAGO VENCIDO")</f>
        <v>PAGO VENCIDO</v>
      </c>
      <c r="C28" s="22">
        <f>+VLOOKUP(PROVEEDORES[[#This Row],[PROVEEDOR]],TERCEROS_INFO[#All],2,FALSE)</f>
        <v>90</v>
      </c>
      <c r="D28" s="27">
        <f>+SUMIFS(PROVEEDORES[Total],PROVEEDORES[PROVEEDOR],PROVEEDORES[[#This Row],[PROVEEDOR]],PROVEEDORES[FECHA DE PAGO],"")</f>
        <v>103407118</v>
      </c>
      <c r="E28" s="27"/>
      <c r="F28" s="62" t="str">
        <f>+VLOOKUP(PROVEEDORES[[#This Row],[PROVEEDOR]],
                       Terceros!$A:$G,
                       6,
                       FALSE)</f>
        <v>mcastillo@kenextrading.com;agarcia@kenextrading.com;girlesa.ruiz@servipilas.com;joriescobar64@gmail.com</v>
      </c>
      <c r="G28" s="95">
        <v>44285</v>
      </c>
      <c r="H28" s="28" t="s">
        <v>31</v>
      </c>
      <c r="I28" s="95">
        <v>44175</v>
      </c>
      <c r="J28" s="38">
        <v>53263</v>
      </c>
      <c r="K28" s="23">
        <v>44070382.352941178</v>
      </c>
      <c r="L28" s="23"/>
      <c r="M28" s="24">
        <v>0</v>
      </c>
      <c r="N28" s="25"/>
      <c r="O28" s="24">
        <v>0</v>
      </c>
      <c r="P28" s="136">
        <f>+IF(PROVEEDORES[[#This Row],[SUBTOTAL]]&lt;PROVEEDORES[[#This Row],[base retencion]],0,PROVEEDORES[[#This Row],[retención aplicada]])</f>
        <v>0</v>
      </c>
      <c r="Q28" s="24">
        <f>+PROVEEDORES[[#This Row],[Rete Fuente %]]*PROVEEDORES[[#This Row],[SUBTOTAL]]</f>
        <v>0</v>
      </c>
      <c r="R28" s="23">
        <v>44070382.352941178</v>
      </c>
      <c r="S2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" s="99">
        <f ca="1">IF(PROVEEDORES[[#This Row],[FECHA DE PAGO]]=0,TODAY()-PROVEEDORES[[#This Row],[FECHA DE FACTURACIÓN]]-PROVEEDORES[[#This Row],[PLAZO Días]],0)</f>
        <v>0</v>
      </c>
      <c r="U28" s="149">
        <f>+VLOOKUP(PROVEEDORES[[#This Row],[PROVEEDOR]],Terceros!$A:$E,5,FALSE)</f>
        <v>0</v>
      </c>
      <c r="V28" s="150">
        <f>+YEAR(PROVEEDORES[[#This Row],[FECHA DE FACTURACIÓN]])</f>
        <v>2020</v>
      </c>
      <c r="W28" s="150">
        <f>+MATCH(PROVEEDORES[[#This Row],[año facturado]],Retenciones!$1:$1,0)</f>
        <v>3</v>
      </c>
      <c r="X28" s="151">
        <f>+VLOOKUP(PROVEEDORES[[#This Row],[ID RETENCION]],Retenciones!$A$1:$O$24,PROVEEDORES[[#This Row],[indicador de columna]],FALSE)</f>
        <v>0</v>
      </c>
      <c r="Y28" s="152">
        <f>+VLOOKUP(PROVEEDORES[[#This Row],[ID RETENCION]],Retenciones!$A$1:$O$24,2,FALSE)</f>
        <v>0</v>
      </c>
      <c r="Z28" s="26"/>
      <c r="AA28" s="26"/>
      <c r="AB28" s="26"/>
      <c r="AC28" s="26"/>
      <c r="AD28" s="26"/>
      <c r="AE28" s="26"/>
    </row>
    <row r="29" spans="1:31" ht="21.95" customHeight="1" x14ac:dyDescent="0.25">
      <c r="A29" s="97" t="str">
        <f>+IF(PROVEEDORES[[#This Row],[FECHA DE PAGO]]=PROVEEDORES[[#This Row],[FECHA DE FACTURACIÓN]],"DE CONTADO","CRÉDITO")</f>
        <v>CRÉDITO</v>
      </c>
      <c r="B29" s="41" t="str">
        <f>+IF((PROVEEDORES[[#This Row],[FECHA DE PAGO]]-PROVEEDORES[[#This Row],[FECHA DE FACTURACIÓN]])&gt;PROVEEDORES[[#This Row],[PLAZO Días]],"PAGO VENCIDO")</f>
        <v>PAGO VENCIDO</v>
      </c>
      <c r="C29" s="22">
        <f>+VLOOKUP(PROVEEDORES[[#This Row],[PROVEEDOR]],TERCEROS_INFO[#All],2,FALSE)</f>
        <v>30</v>
      </c>
      <c r="D29" s="27">
        <f>+SUMIFS(PROVEEDORES[Total],PROVEEDORES[PROVEEDOR],PROVEEDORES[[#This Row],[PROVEEDOR]],PROVEEDORES[FECHA DE PAGO],"")</f>
        <v>0</v>
      </c>
      <c r="E29" s="27"/>
      <c r="F29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29" s="95">
        <v>44229</v>
      </c>
      <c r="H29" s="28" t="s">
        <v>24</v>
      </c>
      <c r="I29" s="95">
        <v>44176</v>
      </c>
      <c r="J29" s="38" t="s">
        <v>87</v>
      </c>
      <c r="K29" s="23">
        <v>2056764</v>
      </c>
      <c r="L29" s="23"/>
      <c r="M29" s="24">
        <v>390785.16000000003</v>
      </c>
      <c r="N29" s="25"/>
      <c r="O29" s="24">
        <v>0</v>
      </c>
      <c r="P29" s="136">
        <f>+IF(PROVEEDORES[[#This Row],[SUBTOTAL]]&lt;PROVEEDORES[[#This Row],[base retencion]],0,PROVEEDORES[[#This Row],[retención aplicada]])</f>
        <v>2.5000000000000001E-2</v>
      </c>
      <c r="Q29" s="24">
        <f>+PROVEEDORES[[#This Row],[Rete Fuente %]]*PROVEEDORES[[#This Row],[SUBTOTAL]]</f>
        <v>51419.100000000006</v>
      </c>
      <c r="R29" s="23">
        <v>0</v>
      </c>
      <c r="S2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" s="99">
        <f ca="1">IF(PROVEEDORES[[#This Row],[FECHA DE PAGO]]=0,TODAY()-PROVEEDORES[[#This Row],[FECHA DE FACTURACIÓN]]-PROVEEDORES[[#This Row],[PLAZO Días]],0)</f>
        <v>0</v>
      </c>
      <c r="U29" s="149" t="str">
        <f>+VLOOKUP(PROVEEDORES[[#This Row],[PROVEEDOR]],Terceros!$A:$E,5,FALSE)</f>
        <v>2,5% con base</v>
      </c>
      <c r="V29" s="150">
        <f>+YEAR(PROVEEDORES[[#This Row],[FECHA DE FACTURACIÓN]])</f>
        <v>2020</v>
      </c>
      <c r="W29" s="150">
        <f>+MATCH(PROVEEDORES[[#This Row],[año facturado]],Retenciones!$1:$1,0)</f>
        <v>3</v>
      </c>
      <c r="X29" s="151">
        <f>+VLOOKUP(PROVEEDORES[[#This Row],[ID RETENCION]],Retenciones!$A$1:$O$24,PROVEEDORES[[#This Row],[indicador de columna]],FALSE)</f>
        <v>961000</v>
      </c>
      <c r="Y29" s="152">
        <f>+VLOOKUP(PROVEEDORES[[#This Row],[ID RETENCION]],Retenciones!$A$1:$O$24,2,FALSE)</f>
        <v>2.5000000000000001E-2</v>
      </c>
      <c r="Z29" s="26"/>
      <c r="AA29" s="26"/>
      <c r="AB29" s="26"/>
      <c r="AC29" s="26"/>
      <c r="AD29" s="26"/>
      <c r="AE29" s="26"/>
    </row>
    <row r="30" spans="1:31" ht="21.95" customHeight="1" x14ac:dyDescent="0.25">
      <c r="A30" s="97" t="str">
        <f>+IF(PROVEEDORES[[#This Row],[FECHA DE PAGO]]=PROVEEDORES[[#This Row],[FECHA DE FACTURACIÓN]],"DE CONTADO","CRÉDITO")</f>
        <v>CRÉDITO</v>
      </c>
      <c r="B30" s="41" t="str">
        <f>+IF((PROVEEDORES[[#This Row],[FECHA DE PAGO]]-PROVEEDORES[[#This Row],[FECHA DE FACTURACIÓN]])&gt;PROVEEDORES[[#This Row],[PLAZO Días]],"PAGO VENCIDO")</f>
        <v>PAGO VENCIDO</v>
      </c>
      <c r="C30" s="22">
        <f>+VLOOKUP(PROVEEDORES[[#This Row],[PROVEEDOR]],TERCEROS_INFO[#All],2,FALSE)</f>
        <v>30</v>
      </c>
      <c r="D30" s="27">
        <f>+SUMIFS(PROVEEDORES[Total],PROVEEDORES[PROVEEDOR],PROVEEDORES[[#This Row],[PROVEEDOR]],PROVEEDORES[FECHA DE PAGO],"")</f>
        <v>2588352.5</v>
      </c>
      <c r="E30" s="27"/>
      <c r="F30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30" s="95">
        <v>44208</v>
      </c>
      <c r="H30" s="28" t="s">
        <v>1088</v>
      </c>
      <c r="I30" s="95">
        <v>44177</v>
      </c>
      <c r="J30" s="38">
        <v>18964</v>
      </c>
      <c r="K30" s="23">
        <v>539495.79831932776</v>
      </c>
      <c r="L30" s="23"/>
      <c r="M30" s="24">
        <v>102504.20168067228</v>
      </c>
      <c r="N30" s="25"/>
      <c r="O30" s="24">
        <v>0</v>
      </c>
      <c r="P30" s="136">
        <f>+IF(PROVEEDORES[[#This Row],[SUBTOTAL]]&lt;PROVEEDORES[[#This Row],[base retencion]],0,PROVEEDORES[[#This Row],[retención aplicada]])</f>
        <v>0</v>
      </c>
      <c r="Q30" s="24">
        <f>+PROVEEDORES[[#This Row],[Rete Fuente %]]*PROVEEDORES[[#This Row],[SUBTOTAL]]</f>
        <v>0</v>
      </c>
      <c r="R30" s="23">
        <v>642000</v>
      </c>
      <c r="S3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" s="99">
        <f ca="1">IF(PROVEEDORES[[#This Row],[FECHA DE PAGO]]=0,TODAY()-PROVEEDORES[[#This Row],[FECHA DE FACTURACIÓN]]-PROVEEDORES[[#This Row],[PLAZO Días]],0)</f>
        <v>0</v>
      </c>
      <c r="U30" s="149" t="str">
        <f>+VLOOKUP(PROVEEDORES[[#This Row],[PROVEEDOR]],Terceros!$A:$E,5,FALSE)</f>
        <v>2,5% con base</v>
      </c>
      <c r="V30" s="150">
        <f>+YEAR(PROVEEDORES[[#This Row],[FECHA DE FACTURACIÓN]])</f>
        <v>2020</v>
      </c>
      <c r="W30" s="150">
        <f>+MATCH(PROVEEDORES[[#This Row],[año facturado]],Retenciones!$1:$1,0)</f>
        <v>3</v>
      </c>
      <c r="X30" s="151">
        <f>+VLOOKUP(PROVEEDORES[[#This Row],[ID RETENCION]],Retenciones!$A$1:$O$24,PROVEEDORES[[#This Row],[indicador de columna]],FALSE)</f>
        <v>961000</v>
      </c>
      <c r="Y30" s="152">
        <f>+VLOOKUP(PROVEEDORES[[#This Row],[ID RETENCION]],Retenciones!$A$1:$O$24,2,FALSE)</f>
        <v>2.5000000000000001E-2</v>
      </c>
      <c r="Z30" s="26"/>
      <c r="AA30" s="26"/>
      <c r="AB30" s="26"/>
      <c r="AC30" s="26"/>
      <c r="AD30" s="26"/>
      <c r="AE30" s="26"/>
    </row>
    <row r="31" spans="1:31" ht="21.95" customHeight="1" x14ac:dyDescent="0.25">
      <c r="A31" s="97" t="str">
        <f>+IF(PROVEEDORES[[#This Row],[FECHA DE PAGO]]=PROVEEDORES[[#This Row],[FECHA DE FACTURACIÓN]],"DE CONTADO","CRÉDITO")</f>
        <v>CRÉDITO</v>
      </c>
      <c r="B31" s="41" t="str">
        <f>+IF((PROVEEDORES[[#This Row],[FECHA DE PAGO]]-PROVEEDORES[[#This Row],[FECHA DE FACTURACIÓN]])&gt;PROVEEDORES[[#This Row],[PLAZO Días]],"PAGO VENCIDO")</f>
        <v>PAGO VENCIDO</v>
      </c>
      <c r="C31" s="22">
        <f>+VLOOKUP(PROVEEDORES[[#This Row],[PROVEEDOR]],TERCEROS_INFO[#All],2,FALSE)</f>
        <v>30</v>
      </c>
      <c r="D31" s="27">
        <f>+SUMIFS(PROVEEDORES[Total],PROVEEDORES[PROVEEDOR],PROVEEDORES[[#This Row],[PROVEEDOR]],PROVEEDORES[FECHA DE PAGO],"")</f>
        <v>479654.98979999998</v>
      </c>
      <c r="E31" s="27"/>
      <c r="F31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31" s="95">
        <v>44239</v>
      </c>
      <c r="H31" s="28" t="s">
        <v>1139</v>
      </c>
      <c r="I31" s="95">
        <v>44179</v>
      </c>
      <c r="J31" s="38">
        <v>528</v>
      </c>
      <c r="K31" s="23">
        <v>630252.9411764706</v>
      </c>
      <c r="L31" s="23"/>
      <c r="M31" s="24">
        <v>119748.05882352941</v>
      </c>
      <c r="N31" s="25"/>
      <c r="O31" s="24">
        <v>0</v>
      </c>
      <c r="P31" s="136">
        <f>+IF(PROVEEDORES[[#This Row],[SUBTOTAL]]&lt;PROVEEDORES[[#This Row],[base retencion]],0,PROVEEDORES[[#This Row],[retención aplicada]])</f>
        <v>0</v>
      </c>
      <c r="Q31" s="24">
        <f>+PROVEEDORES[[#This Row],[Rete Fuente %]]*PROVEEDORES[[#This Row],[SUBTOTAL]]</f>
        <v>0</v>
      </c>
      <c r="R31" s="23">
        <v>750001</v>
      </c>
      <c r="S3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" s="99">
        <f ca="1">IF(PROVEEDORES[[#This Row],[FECHA DE PAGO]]=0,TODAY()-PROVEEDORES[[#This Row],[FECHA DE FACTURACIÓN]]-PROVEEDORES[[#This Row],[PLAZO Días]],0)</f>
        <v>0</v>
      </c>
      <c r="U31" s="149" t="str">
        <f>+VLOOKUP(PROVEEDORES[[#This Row],[PROVEEDOR]],Terceros!$A:$E,5,FALSE)</f>
        <v>2,5% con base</v>
      </c>
      <c r="V31" s="150">
        <f>+YEAR(PROVEEDORES[[#This Row],[FECHA DE FACTURACIÓN]])</f>
        <v>2020</v>
      </c>
      <c r="W31" s="150">
        <f>+MATCH(PROVEEDORES[[#This Row],[año facturado]],Retenciones!$1:$1,0)</f>
        <v>3</v>
      </c>
      <c r="X31" s="151">
        <f>+VLOOKUP(PROVEEDORES[[#This Row],[ID RETENCION]],Retenciones!$A$1:$O$24,PROVEEDORES[[#This Row],[indicador de columna]],FALSE)</f>
        <v>961000</v>
      </c>
      <c r="Y31" s="152">
        <f>+VLOOKUP(PROVEEDORES[[#This Row],[ID RETENCION]],Retenciones!$A$1:$O$24,2,FALSE)</f>
        <v>2.5000000000000001E-2</v>
      </c>
      <c r="Z31" s="26"/>
      <c r="AA31" s="26"/>
      <c r="AB31" s="26"/>
      <c r="AC31" s="26"/>
      <c r="AD31" s="26"/>
      <c r="AE31" s="26"/>
    </row>
    <row r="32" spans="1:31" ht="21.95" customHeight="1" x14ac:dyDescent="0.25">
      <c r="A32" s="97" t="str">
        <f>+IF(PROVEEDORES[[#This Row],[FECHA DE PAGO]]=PROVEEDORES[[#This Row],[FECHA DE FACTURACIÓN]],"DE CONTADO","CRÉDITO")</f>
        <v>CRÉDITO</v>
      </c>
      <c r="B32" s="41" t="str">
        <f>+IF((PROVEEDORES[[#This Row],[FECHA DE PAGO]]-PROVEEDORES[[#This Row],[FECHA DE FACTURACIÓN]])&gt;PROVEEDORES[[#This Row],[PLAZO Días]],"PAGO VENCIDO")</f>
        <v>PAGO VENCIDO</v>
      </c>
      <c r="C32" s="22">
        <f>+VLOOKUP(PROVEEDORES[[#This Row],[PROVEEDOR]],TERCEROS_INFO[#All],2,FALSE)</f>
        <v>30</v>
      </c>
      <c r="D32" s="27">
        <f>+SUMIFS(PROVEEDORES[Total],PROVEEDORES[PROVEEDOR],PROVEEDORES[[#This Row],[PROVEEDOR]],PROVEEDORES[FECHA DE PAGO],"")</f>
        <v>6151200</v>
      </c>
      <c r="E32" s="27"/>
      <c r="F32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32" s="95">
        <v>44239</v>
      </c>
      <c r="H32" s="28" t="s">
        <v>11</v>
      </c>
      <c r="I32" s="95">
        <v>44179</v>
      </c>
      <c r="J32" s="38" t="s">
        <v>88</v>
      </c>
      <c r="K32" s="23">
        <v>1980000</v>
      </c>
      <c r="L32" s="23"/>
      <c r="M32" s="24">
        <v>376200</v>
      </c>
      <c r="N32" s="25"/>
      <c r="O32" s="24">
        <v>0</v>
      </c>
      <c r="P32" s="136">
        <f>+IF(PROVEEDORES[[#This Row],[SUBTOTAL]]&lt;PROVEEDORES[[#This Row],[base retencion]],0,PROVEEDORES[[#This Row],[retención aplicada]])</f>
        <v>2.5000000000000001E-2</v>
      </c>
      <c r="Q32" s="24">
        <f>+PROVEEDORES[[#This Row],[Rete Fuente %]]*PROVEEDORES[[#This Row],[SUBTOTAL]]</f>
        <v>49500</v>
      </c>
      <c r="R32" s="23">
        <v>2306700</v>
      </c>
      <c r="S3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" s="99">
        <f ca="1">IF(PROVEEDORES[[#This Row],[FECHA DE PAGO]]=0,TODAY()-PROVEEDORES[[#This Row],[FECHA DE FACTURACIÓN]]-PROVEEDORES[[#This Row],[PLAZO Días]],0)</f>
        <v>0</v>
      </c>
      <c r="U32" s="149" t="str">
        <f>+VLOOKUP(PROVEEDORES[[#This Row],[PROVEEDOR]],Terceros!$A:$E,5,FALSE)</f>
        <v>2,5% con base</v>
      </c>
      <c r="V32" s="150">
        <f>+YEAR(PROVEEDORES[[#This Row],[FECHA DE FACTURACIÓN]])</f>
        <v>2020</v>
      </c>
      <c r="W32" s="150">
        <f>+MATCH(PROVEEDORES[[#This Row],[año facturado]],Retenciones!$1:$1,0)</f>
        <v>3</v>
      </c>
      <c r="X32" s="151">
        <f>+VLOOKUP(PROVEEDORES[[#This Row],[ID RETENCION]],Retenciones!$A$1:$O$24,PROVEEDORES[[#This Row],[indicador de columna]],FALSE)</f>
        <v>961000</v>
      </c>
      <c r="Y32" s="152">
        <f>+VLOOKUP(PROVEEDORES[[#This Row],[ID RETENCION]],Retenciones!$A$1:$O$24,2,FALSE)</f>
        <v>2.5000000000000001E-2</v>
      </c>
      <c r="Z32" s="26"/>
      <c r="AA32" s="26"/>
      <c r="AB32" s="26"/>
      <c r="AC32" s="26"/>
      <c r="AD32" s="26"/>
      <c r="AE32" s="26"/>
    </row>
    <row r="33" spans="1:31" ht="21.95" customHeight="1" x14ac:dyDescent="0.25">
      <c r="A33" s="97" t="str">
        <f>+IF(PROVEEDORES[[#This Row],[FECHA DE PAGO]]=PROVEEDORES[[#This Row],[FECHA DE FACTURACIÓN]],"DE CONTADO","CRÉDITO")</f>
        <v>CRÉDITO</v>
      </c>
      <c r="B33" s="41" t="str">
        <f>+IF((PROVEEDORES[[#This Row],[FECHA DE PAGO]]-PROVEEDORES[[#This Row],[FECHA DE FACTURACIÓN]])&gt;PROVEEDORES[[#This Row],[PLAZO Días]],"PAGO VENCIDO")</f>
        <v>PAGO VENCIDO</v>
      </c>
      <c r="C33" s="22">
        <f>+VLOOKUP(PROVEEDORES[[#This Row],[PROVEEDOR]],TERCEROS_INFO[#All],2,FALSE)</f>
        <v>30</v>
      </c>
      <c r="D33" s="27">
        <f>+SUMIFS(PROVEEDORES[Total],PROVEEDORES[PROVEEDOR],PROVEEDORES[[#This Row],[PROVEEDOR]],PROVEEDORES[FECHA DE PAGO],"")</f>
        <v>2588352.5</v>
      </c>
      <c r="E33" s="27"/>
      <c r="F33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33" s="95">
        <v>44257</v>
      </c>
      <c r="H33" s="28" t="s">
        <v>1088</v>
      </c>
      <c r="I33" s="95">
        <v>44180</v>
      </c>
      <c r="J33" s="38">
        <v>19269</v>
      </c>
      <c r="K33" s="23">
        <v>3336616</v>
      </c>
      <c r="L33" s="23">
        <v>71448</v>
      </c>
      <c r="M33" s="24">
        <v>620381.92000000004</v>
      </c>
      <c r="N33" s="25"/>
      <c r="O33" s="24">
        <v>0</v>
      </c>
      <c r="P33" s="136">
        <f>+IF(PROVEEDORES[[#This Row],[SUBTOTAL]]&lt;PROVEEDORES[[#This Row],[base retencion]],0,PROVEEDORES[[#This Row],[retención aplicada]])</f>
        <v>2.5000000000000001E-2</v>
      </c>
      <c r="Q33" s="24">
        <f>+PROVEEDORES[[#This Row],[Rete Fuente %]]*PROVEEDORES[[#This Row],[SUBTOTAL]]</f>
        <v>83415.400000000009</v>
      </c>
      <c r="R33" s="23">
        <v>3803920.7199999997</v>
      </c>
      <c r="S3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" s="99">
        <f ca="1">IF(PROVEEDORES[[#This Row],[FECHA DE PAGO]]=0,TODAY()-PROVEEDORES[[#This Row],[FECHA DE FACTURACIÓN]]-PROVEEDORES[[#This Row],[PLAZO Días]],0)</f>
        <v>0</v>
      </c>
      <c r="U33" s="149" t="str">
        <f>+VLOOKUP(PROVEEDORES[[#This Row],[PROVEEDOR]],Terceros!$A:$E,5,FALSE)</f>
        <v>2,5% con base</v>
      </c>
      <c r="V33" s="150">
        <f>+YEAR(PROVEEDORES[[#This Row],[FECHA DE FACTURACIÓN]])</f>
        <v>2020</v>
      </c>
      <c r="W33" s="150">
        <f>+MATCH(PROVEEDORES[[#This Row],[año facturado]],Retenciones!$1:$1,0)</f>
        <v>3</v>
      </c>
      <c r="X33" s="151">
        <f>+VLOOKUP(PROVEEDORES[[#This Row],[ID RETENCION]],Retenciones!$A$1:$O$24,PROVEEDORES[[#This Row],[indicador de columna]],FALSE)</f>
        <v>961000</v>
      </c>
      <c r="Y33" s="152">
        <f>+VLOOKUP(PROVEEDORES[[#This Row],[ID RETENCION]],Retenciones!$A$1:$O$24,2,FALSE)</f>
        <v>2.5000000000000001E-2</v>
      </c>
      <c r="Z33" s="26"/>
      <c r="AA33" s="26"/>
      <c r="AB33" s="26"/>
      <c r="AC33" s="26"/>
      <c r="AD33" s="26"/>
      <c r="AE33" s="26"/>
    </row>
    <row r="34" spans="1:31" ht="21.95" customHeight="1" x14ac:dyDescent="0.25">
      <c r="A34" s="97" t="str">
        <f>+IF(PROVEEDORES[[#This Row],[FECHA DE PAGO]]=PROVEEDORES[[#This Row],[FECHA DE FACTURACIÓN]],"DE CONTADO","CRÉDITO")</f>
        <v>CRÉDITO</v>
      </c>
      <c r="B34" s="41" t="b">
        <f>+IF((PROVEEDORES[[#This Row],[FECHA DE PAGO]]-PROVEEDORES[[#This Row],[FECHA DE FACTURACIÓN]])&gt;PROVEEDORES[[#This Row],[PLAZO Días]],"PAGO VENCIDO")</f>
        <v>0</v>
      </c>
      <c r="C34" s="22">
        <f>+VLOOKUP(PROVEEDORES[[#This Row],[PROVEEDOR]],TERCEROS_INFO[#All],2,FALSE)</f>
        <v>30</v>
      </c>
      <c r="D34" s="27">
        <f>+SUMIFS(PROVEEDORES[Total],PROVEEDORES[PROVEEDOR],PROVEEDORES[[#This Row],[PROVEEDOR]],PROVEEDORES[FECHA DE PAGO],"")</f>
        <v>3750700</v>
      </c>
      <c r="E34" s="27"/>
      <c r="F34" s="62" t="str">
        <f>+VLOOKUP(PROVEEDORES[[#This Row],[PROVEEDOR]],
                       Terceros!$A:$G,
                       6,
                       FALSE)</f>
        <v/>
      </c>
      <c r="G34" s="95">
        <v>44198</v>
      </c>
      <c r="H34" s="28" t="s">
        <v>990</v>
      </c>
      <c r="I34" s="95">
        <v>44180</v>
      </c>
      <c r="J34" s="38" t="s">
        <v>666</v>
      </c>
      <c r="K34" s="23">
        <v>4071500</v>
      </c>
      <c r="L34" s="23"/>
      <c r="M34" s="24">
        <v>0</v>
      </c>
      <c r="N34" s="25"/>
      <c r="O34" s="24">
        <v>0</v>
      </c>
      <c r="P34" s="136">
        <f>+IF(PROVEEDORES[[#This Row],[SUBTOTAL]]&lt;PROVEEDORES[[#This Row],[base retencion]],0,PROVEEDORES[[#This Row],[retención aplicada]])</f>
        <v>0</v>
      </c>
      <c r="Q34" s="24">
        <f>+PROVEEDORES[[#This Row],[Rete Fuente %]]*PROVEEDORES[[#This Row],[SUBTOTAL]]</f>
        <v>0</v>
      </c>
      <c r="R34" s="23">
        <v>4071500</v>
      </c>
      <c r="S3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" s="99">
        <f ca="1">IF(PROVEEDORES[[#This Row],[FECHA DE PAGO]]=0,TODAY()-PROVEEDORES[[#This Row],[FECHA DE FACTURACIÓN]]-PROVEEDORES[[#This Row],[PLAZO Días]],0)</f>
        <v>0</v>
      </c>
      <c r="U34" s="149">
        <f>+VLOOKUP(PROVEEDORES[[#This Row],[PROVEEDOR]],Terceros!$A:$E,5,FALSE)</f>
        <v>0</v>
      </c>
      <c r="V34" s="150">
        <f>+YEAR(PROVEEDORES[[#This Row],[FECHA DE FACTURACIÓN]])</f>
        <v>2020</v>
      </c>
      <c r="W34" s="150">
        <f>+MATCH(PROVEEDORES[[#This Row],[año facturado]],Retenciones!$1:$1,0)</f>
        <v>3</v>
      </c>
      <c r="X34" s="151">
        <f>+VLOOKUP(PROVEEDORES[[#This Row],[ID RETENCION]],Retenciones!$A$1:$O$24,PROVEEDORES[[#This Row],[indicador de columna]],FALSE)</f>
        <v>0</v>
      </c>
      <c r="Y34" s="152">
        <f>+VLOOKUP(PROVEEDORES[[#This Row],[ID RETENCION]],Retenciones!$A$1:$O$24,2,FALSE)</f>
        <v>0</v>
      </c>
      <c r="Z34" s="26"/>
      <c r="AA34" s="26"/>
      <c r="AB34" s="26"/>
      <c r="AC34" s="26"/>
      <c r="AD34" s="26"/>
      <c r="AE34" s="26"/>
    </row>
    <row r="35" spans="1:31" ht="21.95" customHeight="1" x14ac:dyDescent="0.25">
      <c r="A35" s="97" t="str">
        <f>+IF(PROVEEDORES[[#This Row],[FECHA DE PAGO]]=PROVEEDORES[[#This Row],[FECHA DE FACTURACIÓN]],"DE CONTADO","CRÉDITO")</f>
        <v>CRÉDITO</v>
      </c>
      <c r="B35" s="41" t="str">
        <f>+IF((PROVEEDORES[[#This Row],[FECHA DE PAGO]]-PROVEEDORES[[#This Row],[FECHA DE FACTURACIÓN]])&gt;PROVEEDORES[[#This Row],[PLAZO Días]],"PAGO VENCIDO")</f>
        <v>PAGO VENCIDO</v>
      </c>
      <c r="C35" s="22">
        <f>+VLOOKUP(PROVEEDORES[[#This Row],[PROVEEDOR]],TERCEROS_INFO[#All],2,FALSE)</f>
        <v>45</v>
      </c>
      <c r="D35" s="27">
        <f>+SUMIFS(PROVEEDORES[Total],PROVEEDORES[PROVEEDOR],PROVEEDORES[[#This Row],[PROVEEDOR]],PROVEEDORES[FECHA DE PAGO],"")</f>
        <v>3412539.2</v>
      </c>
      <c r="E35" s="27"/>
      <c r="F35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35" s="95">
        <v>44229</v>
      </c>
      <c r="H35" s="28" t="s">
        <v>10</v>
      </c>
      <c r="I35" s="95">
        <v>44181</v>
      </c>
      <c r="J35" s="38" t="s">
        <v>91</v>
      </c>
      <c r="K35" s="23">
        <v>920000</v>
      </c>
      <c r="L35" s="23"/>
      <c r="M35" s="24">
        <v>174800</v>
      </c>
      <c r="N35" s="25"/>
      <c r="O35" s="24">
        <v>0</v>
      </c>
      <c r="P35" s="136">
        <f>+IF(PROVEEDORES[[#This Row],[SUBTOTAL]]&lt;PROVEEDORES[[#This Row],[base retencion]],0,PROVEEDORES[[#This Row],[retención aplicada]])</f>
        <v>0</v>
      </c>
      <c r="Q35" s="24">
        <f>+PROVEEDORES[[#This Row],[Rete Fuente %]]*PROVEEDORES[[#This Row],[SUBTOTAL]]</f>
        <v>0</v>
      </c>
      <c r="R35" s="23">
        <v>-510000.68</v>
      </c>
      <c r="S3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" s="99">
        <f ca="1">IF(PROVEEDORES[[#This Row],[FECHA DE PAGO]]=0,TODAY()-PROVEEDORES[[#This Row],[FECHA DE FACTURACIÓN]]-PROVEEDORES[[#This Row],[PLAZO Días]],0)</f>
        <v>0</v>
      </c>
      <c r="U35" s="149">
        <f>+VLOOKUP(PROVEEDORES[[#This Row],[PROVEEDOR]],Terceros!$A:$E,5,FALSE)</f>
        <v>0</v>
      </c>
      <c r="V35" s="150">
        <f>+YEAR(PROVEEDORES[[#This Row],[FECHA DE FACTURACIÓN]])</f>
        <v>2020</v>
      </c>
      <c r="W35" s="150">
        <f>+MATCH(PROVEEDORES[[#This Row],[año facturado]],Retenciones!$1:$1,0)</f>
        <v>3</v>
      </c>
      <c r="X35" s="151">
        <f>+VLOOKUP(PROVEEDORES[[#This Row],[ID RETENCION]],Retenciones!$A$1:$O$24,PROVEEDORES[[#This Row],[indicador de columna]],FALSE)</f>
        <v>0</v>
      </c>
      <c r="Y35" s="152">
        <f>+VLOOKUP(PROVEEDORES[[#This Row],[ID RETENCION]],Retenciones!$A$1:$O$24,2,FALSE)</f>
        <v>0</v>
      </c>
      <c r="Z35" s="26"/>
      <c r="AA35" s="26"/>
      <c r="AB35" s="26"/>
      <c r="AC35" s="26"/>
      <c r="AD35" s="26"/>
      <c r="AE35" s="26"/>
    </row>
    <row r="36" spans="1:31" ht="21.95" customHeight="1" x14ac:dyDescent="0.25">
      <c r="A36" s="97" t="str">
        <f>+IF(PROVEEDORES[[#This Row],[FECHA DE PAGO]]=PROVEEDORES[[#This Row],[FECHA DE FACTURACIÓN]],"DE CONTADO","CRÉDITO")</f>
        <v>CRÉDITO</v>
      </c>
      <c r="B36" s="41" t="str">
        <f>+IF((PROVEEDORES[[#This Row],[FECHA DE PAGO]]-PROVEEDORES[[#This Row],[FECHA DE FACTURACIÓN]])&gt;PROVEEDORES[[#This Row],[PLAZO Días]],"PAGO VENCIDO")</f>
        <v>PAGO VENCIDO</v>
      </c>
      <c r="C36" s="22">
        <f>+VLOOKUP(PROVEEDORES[[#This Row],[PROVEEDOR]],TERCEROS_INFO[#All],2,FALSE)</f>
        <v>30</v>
      </c>
      <c r="D36" s="27">
        <f>+SUMIFS(PROVEEDORES[Total],PROVEEDORES[PROVEEDOR],PROVEEDORES[[#This Row],[PROVEEDOR]],PROVEEDORES[FECHA DE PAGO],"")</f>
        <v>0</v>
      </c>
      <c r="E36" s="27"/>
      <c r="F36" s="62" t="str">
        <f>+VLOOKUP(PROVEEDORES[[#This Row],[PROVEEDOR]],
                       Terceros!$A:$G,
                       6,
                       FALSE)</f>
        <v>Fernando.Carmona@energizer.com;girlesa.ruiz@servipilas.com;joriescobar64@gmail.com</v>
      </c>
      <c r="G36" s="95">
        <v>44243</v>
      </c>
      <c r="H36" s="28" t="s">
        <v>47</v>
      </c>
      <c r="I36" s="95">
        <v>44181</v>
      </c>
      <c r="J36" s="38">
        <v>160215342</v>
      </c>
      <c r="K36" s="23">
        <v>1631002</v>
      </c>
      <c r="L36" s="23"/>
      <c r="M36" s="24">
        <v>309890.38</v>
      </c>
      <c r="N36" s="25"/>
      <c r="O36" s="24">
        <v>0</v>
      </c>
      <c r="P36" s="136">
        <f>+IF(PROVEEDORES[[#This Row],[SUBTOTAL]]&lt;PROVEEDORES[[#This Row],[base retencion]],0,PROVEEDORES[[#This Row],[retención aplicada]])</f>
        <v>0</v>
      </c>
      <c r="Q36" s="24">
        <f>+PROVEEDORES[[#This Row],[Rete Fuente %]]*PROVEEDORES[[#This Row],[SUBTOTAL]]</f>
        <v>0</v>
      </c>
      <c r="R36" s="23">
        <v>1940892.38</v>
      </c>
      <c r="S3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" s="99">
        <f ca="1">IF(PROVEEDORES[[#This Row],[FECHA DE PAGO]]=0,TODAY()-PROVEEDORES[[#This Row],[FECHA DE FACTURACIÓN]]-PROVEEDORES[[#This Row],[PLAZO Días]],0)</f>
        <v>0</v>
      </c>
      <c r="U36" s="149">
        <f>+VLOOKUP(PROVEEDORES[[#This Row],[PROVEEDOR]],Terceros!$A:$E,5,FALSE)</f>
        <v>0</v>
      </c>
      <c r="V36" s="150">
        <f>+YEAR(PROVEEDORES[[#This Row],[FECHA DE FACTURACIÓN]])</f>
        <v>2020</v>
      </c>
      <c r="W36" s="150">
        <f>+MATCH(PROVEEDORES[[#This Row],[año facturado]],Retenciones!$1:$1,0)</f>
        <v>3</v>
      </c>
      <c r="X36" s="151">
        <f>+VLOOKUP(PROVEEDORES[[#This Row],[ID RETENCION]],Retenciones!$A$1:$O$24,PROVEEDORES[[#This Row],[indicador de columna]],FALSE)</f>
        <v>0</v>
      </c>
      <c r="Y36" s="152">
        <f>+VLOOKUP(PROVEEDORES[[#This Row],[ID RETENCION]],Retenciones!$A$1:$O$24,2,FALSE)</f>
        <v>0</v>
      </c>
      <c r="Z36" s="26"/>
      <c r="AA36" s="26"/>
      <c r="AB36" s="26"/>
      <c r="AC36" s="26"/>
      <c r="AD36" s="26"/>
      <c r="AE36" s="26"/>
    </row>
    <row r="37" spans="1:31" ht="21.95" customHeight="1" x14ac:dyDescent="0.25">
      <c r="A37" s="97" t="str">
        <f>+IF(PROVEEDORES[[#This Row],[FECHA DE PAGO]]=PROVEEDORES[[#This Row],[FECHA DE FACTURACIÓN]],"DE CONTADO","CRÉDITO")</f>
        <v>CRÉDITO</v>
      </c>
      <c r="B37" s="41" t="str">
        <f>+IF((PROVEEDORES[[#This Row],[FECHA DE PAGO]]-PROVEEDORES[[#This Row],[FECHA DE FACTURACIÓN]])&gt;PROVEEDORES[[#This Row],[PLAZO Días]],"PAGO VENCIDO")</f>
        <v>PAGO VENCIDO</v>
      </c>
      <c r="C37" s="22">
        <f>+VLOOKUP(PROVEEDORES[[#This Row],[PROVEEDOR]],TERCEROS_INFO[#All],2,FALSE)</f>
        <v>30</v>
      </c>
      <c r="D37" s="27">
        <f>+SUMIFS(PROVEEDORES[Total],PROVEEDORES[PROVEEDOR],PROVEEDORES[[#This Row],[PROVEEDOR]],PROVEEDORES[FECHA DE PAGO],"")</f>
        <v>6151200</v>
      </c>
      <c r="E37" s="27"/>
      <c r="F37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37" s="95">
        <v>44214</v>
      </c>
      <c r="H37" s="28" t="s">
        <v>11</v>
      </c>
      <c r="I37" s="95">
        <v>44182</v>
      </c>
      <c r="J37" s="38" t="s">
        <v>89</v>
      </c>
      <c r="K37" s="23">
        <v>1980000</v>
      </c>
      <c r="L37" s="23"/>
      <c r="M37" s="24">
        <v>376200</v>
      </c>
      <c r="N37" s="25"/>
      <c r="O37" s="24">
        <v>0</v>
      </c>
      <c r="P37" s="136">
        <f>+IF(PROVEEDORES[[#This Row],[SUBTOTAL]]&lt;PROVEEDORES[[#This Row],[base retencion]],0,PROVEEDORES[[#This Row],[retención aplicada]])</f>
        <v>2.5000000000000001E-2</v>
      </c>
      <c r="Q37" s="24">
        <f>+PROVEEDORES[[#This Row],[Rete Fuente %]]*PROVEEDORES[[#This Row],[SUBTOTAL]]</f>
        <v>49500</v>
      </c>
      <c r="R37" s="23">
        <v>2306700</v>
      </c>
      <c r="S3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" s="99">
        <f ca="1">IF(PROVEEDORES[[#This Row],[FECHA DE PAGO]]=0,TODAY()-PROVEEDORES[[#This Row],[FECHA DE FACTURACIÓN]]-PROVEEDORES[[#This Row],[PLAZO Días]],0)</f>
        <v>0</v>
      </c>
      <c r="U37" s="149" t="str">
        <f>+VLOOKUP(PROVEEDORES[[#This Row],[PROVEEDOR]],Terceros!$A:$E,5,FALSE)</f>
        <v>2,5% con base</v>
      </c>
      <c r="V37" s="150">
        <f>+YEAR(PROVEEDORES[[#This Row],[FECHA DE FACTURACIÓN]])</f>
        <v>2020</v>
      </c>
      <c r="W37" s="150">
        <f>+MATCH(PROVEEDORES[[#This Row],[año facturado]],Retenciones!$1:$1,0)</f>
        <v>3</v>
      </c>
      <c r="X37" s="151">
        <f>+VLOOKUP(PROVEEDORES[[#This Row],[ID RETENCION]],Retenciones!$A$1:$O$24,PROVEEDORES[[#This Row],[indicador de columna]],FALSE)</f>
        <v>961000</v>
      </c>
      <c r="Y37" s="152">
        <f>+VLOOKUP(PROVEEDORES[[#This Row],[ID RETENCION]],Retenciones!$A$1:$O$24,2,FALSE)</f>
        <v>2.5000000000000001E-2</v>
      </c>
      <c r="Z37" s="26"/>
      <c r="AA37" s="26"/>
      <c r="AB37" s="26"/>
      <c r="AC37" s="26"/>
      <c r="AD37" s="26"/>
      <c r="AE37" s="26"/>
    </row>
    <row r="38" spans="1:31" ht="21.95" customHeight="1" x14ac:dyDescent="0.25">
      <c r="A38" s="97" t="str">
        <f>+IF(PROVEEDORES[[#This Row],[FECHA DE PAGO]]=PROVEEDORES[[#This Row],[FECHA DE FACTURACIÓN]],"DE CONTADO","CRÉDITO")</f>
        <v>CRÉDITO</v>
      </c>
      <c r="B38" s="41" t="b">
        <f>+IF((PROVEEDORES[[#This Row],[FECHA DE PAGO]]-PROVEEDORES[[#This Row],[FECHA DE FACTURACIÓN]])&gt;PROVEEDORES[[#This Row],[PLAZO Días]],"PAGO VENCIDO")</f>
        <v>0</v>
      </c>
      <c r="C38" s="22">
        <f>+VLOOKUP(PROVEEDORES[[#This Row],[PROVEEDOR]],TERCEROS_INFO[#All],2,FALSE)</f>
        <v>30</v>
      </c>
      <c r="D38" s="27">
        <f>+SUMIFS(PROVEEDORES[Total],PROVEEDORES[PROVEEDOR],PROVEEDORES[[#This Row],[PROVEEDOR]],PROVEEDORES[FECHA DE PAGO],"")</f>
        <v>0</v>
      </c>
      <c r="E38" s="27"/>
      <c r="F38" s="62" t="str">
        <f>+VLOOKUP(PROVEEDORES[[#This Row],[PROVEEDOR]],
                       Terceros!$A:$G,
                       6,
                       FALSE)</f>
        <v>avelinacomer@gmail.com;girlesa.ruiz@servipilas.com;joriescobar64@gmail.com</v>
      </c>
      <c r="G38" s="95">
        <v>44208</v>
      </c>
      <c r="H38" s="28" t="s">
        <v>994</v>
      </c>
      <c r="I38" s="95">
        <v>44183</v>
      </c>
      <c r="J38" s="38" t="s">
        <v>98</v>
      </c>
      <c r="K38" s="23">
        <v>770400</v>
      </c>
      <c r="L38" s="23"/>
      <c r="M38" s="24">
        <v>0</v>
      </c>
      <c r="N38" s="25"/>
      <c r="O38" s="24">
        <v>0</v>
      </c>
      <c r="P38" s="136">
        <f>+IF(PROVEEDORES[[#This Row],[SUBTOTAL]]&lt;PROVEEDORES[[#This Row],[base retencion]],0,PROVEEDORES[[#This Row],[retención aplicada]])</f>
        <v>0</v>
      </c>
      <c r="Q38" s="24">
        <f>+PROVEEDORES[[#This Row],[Rete Fuente %]]*PROVEEDORES[[#This Row],[SUBTOTAL]]</f>
        <v>0</v>
      </c>
      <c r="R38" s="23">
        <v>770400</v>
      </c>
      <c r="S3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" s="99">
        <f ca="1">IF(PROVEEDORES[[#This Row],[FECHA DE PAGO]]=0,TODAY()-PROVEEDORES[[#This Row],[FECHA DE FACTURACIÓN]]-PROVEEDORES[[#This Row],[PLAZO Días]],0)</f>
        <v>0</v>
      </c>
      <c r="U38" s="149">
        <f>+VLOOKUP(PROVEEDORES[[#This Row],[PROVEEDOR]],Terceros!$A:$E,5,FALSE)</f>
        <v>0</v>
      </c>
      <c r="V38" s="150">
        <f>+YEAR(PROVEEDORES[[#This Row],[FECHA DE FACTURACIÓN]])</f>
        <v>2020</v>
      </c>
      <c r="W38" s="150">
        <f>+MATCH(PROVEEDORES[[#This Row],[año facturado]],Retenciones!$1:$1,0)</f>
        <v>3</v>
      </c>
      <c r="X38" s="151">
        <f>+VLOOKUP(PROVEEDORES[[#This Row],[ID RETENCION]],Retenciones!$A$1:$O$24,PROVEEDORES[[#This Row],[indicador de columna]],FALSE)</f>
        <v>0</v>
      </c>
      <c r="Y38" s="152">
        <f>+VLOOKUP(PROVEEDORES[[#This Row],[ID RETENCION]],Retenciones!$A$1:$O$24,2,FALSE)</f>
        <v>0</v>
      </c>
      <c r="Z38" s="26"/>
      <c r="AA38" s="26"/>
      <c r="AB38" s="26"/>
      <c r="AC38" s="26"/>
      <c r="AD38" s="26"/>
      <c r="AE38" s="26"/>
    </row>
    <row r="39" spans="1:31" ht="21.95" customHeight="1" x14ac:dyDescent="0.25">
      <c r="A39" s="97" t="str">
        <f>+IF(PROVEEDORES[[#This Row],[FECHA DE PAGO]]=PROVEEDORES[[#This Row],[FECHA DE FACTURACIÓN]],"DE CONTADO","CRÉDITO")</f>
        <v>CRÉDITO</v>
      </c>
      <c r="B39" s="41" t="str">
        <f>+IF((PROVEEDORES[[#This Row],[FECHA DE PAGO]]-PROVEEDORES[[#This Row],[FECHA DE FACTURACIÓN]])&gt;PROVEEDORES[[#This Row],[PLAZO Días]],"PAGO VENCIDO")</f>
        <v>PAGO VENCIDO</v>
      </c>
      <c r="C39" s="22">
        <f>+VLOOKUP(PROVEEDORES[[#This Row],[PROVEEDOR]],TERCEROS_INFO[#All],2,FALSE)</f>
        <v>30</v>
      </c>
      <c r="D39" s="27">
        <f>+SUMIFS(PROVEEDORES[Total],PROVEEDORES[PROVEEDOR],PROVEEDORES[[#This Row],[PROVEEDOR]],PROVEEDORES[FECHA DE PAGO],"")</f>
        <v>1039000</v>
      </c>
      <c r="E39" s="27"/>
      <c r="F39" s="62" t="str">
        <f>+VLOOKUP(PROVEEDORES[[#This Row],[PROVEEDOR]],
                       Terceros!$A:$G,
                       6,
                       FALSE)</f>
        <v>variedades.sfg@gmail.com;girlesa.ruiz@servipilas.com;joriescobar64@gmail.com</v>
      </c>
      <c r="G39" s="95">
        <v>44290</v>
      </c>
      <c r="H39" s="28" t="s">
        <v>982</v>
      </c>
      <c r="I39" s="95">
        <v>44183</v>
      </c>
      <c r="J39" s="38">
        <v>537</v>
      </c>
      <c r="K39" s="23">
        <v>1086000</v>
      </c>
      <c r="L39" s="23"/>
      <c r="M39" s="24">
        <v>0</v>
      </c>
      <c r="N39" s="25"/>
      <c r="O39" s="24">
        <v>0</v>
      </c>
      <c r="P39" s="136">
        <f>+IF(PROVEEDORES[[#This Row],[SUBTOTAL]]&lt;PROVEEDORES[[#This Row],[base retencion]],0,PROVEEDORES[[#This Row],[retención aplicada]])</f>
        <v>0</v>
      </c>
      <c r="Q39" s="24">
        <f>+PROVEEDORES[[#This Row],[Rete Fuente %]]*PROVEEDORES[[#This Row],[SUBTOTAL]]</f>
        <v>0</v>
      </c>
      <c r="R39" s="23">
        <v>1086000</v>
      </c>
      <c r="S3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" s="99">
        <f ca="1">IF(PROVEEDORES[[#This Row],[FECHA DE PAGO]]=0,TODAY()-PROVEEDORES[[#This Row],[FECHA DE FACTURACIÓN]]-PROVEEDORES[[#This Row],[PLAZO Días]],0)</f>
        <v>0</v>
      </c>
      <c r="U39" s="149">
        <f>+VLOOKUP(PROVEEDORES[[#This Row],[PROVEEDOR]],Terceros!$A:$E,5,FALSE)</f>
        <v>0</v>
      </c>
      <c r="V39" s="150">
        <f>+YEAR(PROVEEDORES[[#This Row],[FECHA DE FACTURACIÓN]])</f>
        <v>2020</v>
      </c>
      <c r="W39" s="150">
        <f>+MATCH(PROVEEDORES[[#This Row],[año facturado]],Retenciones!$1:$1,0)</f>
        <v>3</v>
      </c>
      <c r="X39" s="151">
        <f>+VLOOKUP(PROVEEDORES[[#This Row],[ID RETENCION]],Retenciones!$A$1:$O$24,PROVEEDORES[[#This Row],[indicador de columna]],FALSE)</f>
        <v>0</v>
      </c>
      <c r="Y39" s="152">
        <f>+VLOOKUP(PROVEEDORES[[#This Row],[ID RETENCION]],Retenciones!$A$1:$O$24,2,FALSE)</f>
        <v>0</v>
      </c>
      <c r="Z39" s="26"/>
      <c r="AA39" s="26"/>
      <c r="AB39" s="26"/>
      <c r="AC39" s="26"/>
      <c r="AD39" s="26"/>
      <c r="AE39" s="26"/>
    </row>
    <row r="40" spans="1:31" ht="21.95" customHeight="1" x14ac:dyDescent="0.25">
      <c r="A40" s="97" t="str">
        <f>+IF(PROVEEDORES[[#This Row],[FECHA DE PAGO]]=PROVEEDORES[[#This Row],[FECHA DE FACTURACIÓN]],"DE CONTADO","CRÉDITO")</f>
        <v>CRÉDITO</v>
      </c>
      <c r="B40" s="41" t="str">
        <f>+IF((PROVEEDORES[[#This Row],[FECHA DE PAGO]]-PROVEEDORES[[#This Row],[FECHA DE FACTURACIÓN]])&gt;PROVEEDORES[[#This Row],[PLAZO Días]],"PAGO VENCIDO")</f>
        <v>PAGO VENCIDO</v>
      </c>
      <c r="C40" s="22">
        <f>+VLOOKUP(PROVEEDORES[[#This Row],[PROVEEDOR]],TERCEROS_INFO[#All],2,FALSE)</f>
        <v>30</v>
      </c>
      <c r="D40" s="27">
        <f>+SUMIFS(PROVEEDORES[Total],PROVEEDORES[PROVEEDOR],PROVEEDORES[[#This Row],[PROVEEDOR]],PROVEEDORES[FECHA DE PAGO],"")</f>
        <v>2588352.5</v>
      </c>
      <c r="E40" s="27"/>
      <c r="F40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40" s="95">
        <v>44257</v>
      </c>
      <c r="H40" s="28" t="s">
        <v>1088</v>
      </c>
      <c r="I40" s="95">
        <v>44183</v>
      </c>
      <c r="J40" s="38">
        <v>19328</v>
      </c>
      <c r="K40" s="23">
        <v>1465068</v>
      </c>
      <c r="L40" s="23">
        <v>133188</v>
      </c>
      <c r="M40" s="24">
        <v>253057.2</v>
      </c>
      <c r="N40" s="25"/>
      <c r="O40" s="24">
        <v>0</v>
      </c>
      <c r="P40" s="136">
        <f>+IF(PROVEEDORES[[#This Row],[SUBTOTAL]]&lt;PROVEEDORES[[#This Row],[base retencion]],0,PROVEEDORES[[#This Row],[retención aplicada]])</f>
        <v>2.5000000000000001E-2</v>
      </c>
      <c r="Q40" s="24">
        <f>+PROVEEDORES[[#This Row],[Rete Fuente %]]*PROVEEDORES[[#This Row],[SUBTOTAL]]</f>
        <v>36626.700000000004</v>
      </c>
      <c r="R40" s="23">
        <v>1551640.2</v>
      </c>
      <c r="S4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" s="99">
        <f ca="1">IF(PROVEEDORES[[#This Row],[FECHA DE PAGO]]=0,TODAY()-PROVEEDORES[[#This Row],[FECHA DE FACTURACIÓN]]-PROVEEDORES[[#This Row],[PLAZO Días]],0)</f>
        <v>0</v>
      </c>
      <c r="U40" s="149" t="str">
        <f>+VLOOKUP(PROVEEDORES[[#This Row],[PROVEEDOR]],Terceros!$A:$E,5,FALSE)</f>
        <v>2,5% con base</v>
      </c>
      <c r="V40" s="150">
        <f>+YEAR(PROVEEDORES[[#This Row],[FECHA DE FACTURACIÓN]])</f>
        <v>2020</v>
      </c>
      <c r="W40" s="150">
        <f>+MATCH(PROVEEDORES[[#This Row],[año facturado]],Retenciones!$1:$1,0)</f>
        <v>3</v>
      </c>
      <c r="X40" s="151">
        <f>+VLOOKUP(PROVEEDORES[[#This Row],[ID RETENCION]],Retenciones!$A$1:$O$24,PROVEEDORES[[#This Row],[indicador de columna]],FALSE)</f>
        <v>961000</v>
      </c>
      <c r="Y40" s="152">
        <f>+VLOOKUP(PROVEEDORES[[#This Row],[ID RETENCION]],Retenciones!$A$1:$O$24,2,FALSE)</f>
        <v>2.5000000000000001E-2</v>
      </c>
      <c r="Z40" s="26"/>
      <c r="AA40" s="26"/>
      <c r="AB40" s="26"/>
      <c r="AC40" s="26"/>
      <c r="AD40" s="26"/>
      <c r="AE40" s="26"/>
    </row>
    <row r="41" spans="1:31" ht="21.95" customHeight="1" x14ac:dyDescent="0.25">
      <c r="A41" s="97" t="str">
        <f>+IF(PROVEEDORES[[#This Row],[FECHA DE PAGO]]=PROVEEDORES[[#This Row],[FECHA DE FACTURACIÓN]],"DE CONTADO","CRÉDITO")</f>
        <v>CRÉDITO</v>
      </c>
      <c r="B41" s="41" t="str">
        <f>+IF((PROVEEDORES[[#This Row],[FECHA DE PAGO]]-PROVEEDORES[[#This Row],[FECHA DE FACTURACIÓN]])&gt;PROVEEDORES[[#This Row],[PLAZO Días]],"PAGO VENCIDO")</f>
        <v>PAGO VENCIDO</v>
      </c>
      <c r="C41" s="22">
        <f>+VLOOKUP(PROVEEDORES[[#This Row],[PROVEEDOR]],TERCEROS_INFO[#All],2,FALSE)</f>
        <v>30</v>
      </c>
      <c r="D41" s="27">
        <f>+SUMIFS(PROVEEDORES[Total],PROVEEDORES[PROVEEDOR],PROVEEDORES[[#This Row],[PROVEEDOR]],PROVEEDORES[FECHA DE PAGO],"")</f>
        <v>1039000</v>
      </c>
      <c r="E41" s="27"/>
      <c r="F41" s="62" t="str">
        <f>+VLOOKUP(PROVEEDORES[[#This Row],[PROVEEDOR]],
                       Terceros!$A:$G,
                       6,
                       FALSE)</f>
        <v>variedades.sfg@gmail.com;girlesa.ruiz@servipilas.com;joriescobar64@gmail.com</v>
      </c>
      <c r="G41" s="95">
        <v>44271</v>
      </c>
      <c r="H41" s="28" t="s">
        <v>982</v>
      </c>
      <c r="I41" s="95">
        <v>44183</v>
      </c>
      <c r="J41" s="38">
        <v>538</v>
      </c>
      <c r="K41" s="23">
        <v>3268500</v>
      </c>
      <c r="L41" s="23"/>
      <c r="M41" s="24">
        <v>0</v>
      </c>
      <c r="N41" s="25"/>
      <c r="O41" s="24">
        <v>0</v>
      </c>
      <c r="P41" s="136">
        <f>+IF(PROVEEDORES[[#This Row],[SUBTOTAL]]&lt;PROVEEDORES[[#This Row],[base retencion]],0,PROVEEDORES[[#This Row],[retención aplicada]])</f>
        <v>0</v>
      </c>
      <c r="Q41" s="24">
        <f>+PROVEEDORES[[#This Row],[Rete Fuente %]]*PROVEEDORES[[#This Row],[SUBTOTAL]]</f>
        <v>0</v>
      </c>
      <c r="R41" s="23">
        <v>3268500</v>
      </c>
      <c r="S4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" s="99">
        <f ca="1">IF(PROVEEDORES[[#This Row],[FECHA DE PAGO]]=0,TODAY()-PROVEEDORES[[#This Row],[FECHA DE FACTURACIÓN]]-PROVEEDORES[[#This Row],[PLAZO Días]],0)</f>
        <v>0</v>
      </c>
      <c r="U41" s="149">
        <f>+VLOOKUP(PROVEEDORES[[#This Row],[PROVEEDOR]],Terceros!$A:$E,5,FALSE)</f>
        <v>0</v>
      </c>
      <c r="V41" s="150">
        <f>+YEAR(PROVEEDORES[[#This Row],[FECHA DE FACTURACIÓN]])</f>
        <v>2020</v>
      </c>
      <c r="W41" s="150">
        <f>+MATCH(PROVEEDORES[[#This Row],[año facturado]],Retenciones!$1:$1,0)</f>
        <v>3</v>
      </c>
      <c r="X41" s="151">
        <f>+VLOOKUP(PROVEEDORES[[#This Row],[ID RETENCION]],Retenciones!$A$1:$O$24,PROVEEDORES[[#This Row],[indicador de columna]],FALSE)</f>
        <v>0</v>
      </c>
      <c r="Y41" s="152">
        <f>+VLOOKUP(PROVEEDORES[[#This Row],[ID RETENCION]],Retenciones!$A$1:$O$24,2,FALSE)</f>
        <v>0</v>
      </c>
      <c r="Z41" s="26"/>
      <c r="AA41" s="26"/>
      <c r="AB41" s="26"/>
      <c r="AC41" s="26"/>
      <c r="AD41" s="26"/>
      <c r="AE41" s="26"/>
    </row>
    <row r="42" spans="1:31" ht="21.95" customHeight="1" x14ac:dyDescent="0.25">
      <c r="A42" s="97" t="str">
        <f>+IF(PROVEEDORES[[#This Row],[FECHA DE PAGO]]=PROVEEDORES[[#This Row],[FECHA DE FACTURACIÓN]],"DE CONTADO","CRÉDITO")</f>
        <v>CRÉDITO</v>
      </c>
      <c r="B42" s="41" t="str">
        <f>+IF((PROVEEDORES[[#This Row],[FECHA DE PAGO]]-PROVEEDORES[[#This Row],[FECHA DE FACTURACIÓN]])&gt;PROVEEDORES[[#This Row],[PLAZO Días]],"PAGO VENCIDO")</f>
        <v>PAGO VENCIDO</v>
      </c>
      <c r="C42" s="22">
        <f>+VLOOKUP(PROVEEDORES[[#This Row],[PROVEEDOR]],TERCEROS_INFO[#All],2,FALSE)</f>
        <v>30</v>
      </c>
      <c r="D42" s="27">
        <f>+SUMIFS(PROVEEDORES[Total],PROVEEDORES[PROVEEDOR],PROVEEDORES[[#This Row],[PROVEEDOR]],PROVEEDORES[FECHA DE PAGO],"")</f>
        <v>0</v>
      </c>
      <c r="E42" s="27"/>
      <c r="F42" s="62" t="str">
        <f>+VLOOKUP(PROVEEDORES[[#This Row],[PROVEEDOR]],
                       Terceros!$A:$G,
                       6,
                       FALSE)</f>
        <v/>
      </c>
      <c r="G42" s="95">
        <v>44230</v>
      </c>
      <c r="H42" s="28" t="s">
        <v>1024</v>
      </c>
      <c r="I42" s="95">
        <v>44183</v>
      </c>
      <c r="J42" s="38"/>
      <c r="K42" s="23">
        <v>3778000</v>
      </c>
      <c r="L42" s="23"/>
      <c r="M42" s="24">
        <v>0</v>
      </c>
      <c r="N42" s="25">
        <v>0.04</v>
      </c>
      <c r="O42" s="24">
        <v>151120</v>
      </c>
      <c r="P42" s="136">
        <f>+IF(PROVEEDORES[[#This Row],[SUBTOTAL]]&lt;PROVEEDORES[[#This Row],[base retencion]],0,PROVEEDORES[[#This Row],[retención aplicada]])</f>
        <v>0</v>
      </c>
      <c r="Q42" s="24">
        <f>+PROVEEDORES[[#This Row],[Rete Fuente %]]*PROVEEDORES[[#This Row],[SUBTOTAL]]</f>
        <v>0</v>
      </c>
      <c r="R42" s="23">
        <v>3626880</v>
      </c>
      <c r="S4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" s="99">
        <f ca="1">IF(PROVEEDORES[[#This Row],[FECHA DE PAGO]]=0,TODAY()-PROVEEDORES[[#This Row],[FECHA DE FACTURACIÓN]]-PROVEEDORES[[#This Row],[PLAZO Días]],0)</f>
        <v>0</v>
      </c>
      <c r="U42" s="149">
        <f>+VLOOKUP(PROVEEDORES[[#This Row],[PROVEEDOR]],Terceros!$A:$E,5,FALSE)</f>
        <v>0</v>
      </c>
      <c r="V42" s="150">
        <f>+YEAR(PROVEEDORES[[#This Row],[FECHA DE FACTURACIÓN]])</f>
        <v>2020</v>
      </c>
      <c r="W42" s="150">
        <f>+MATCH(PROVEEDORES[[#This Row],[año facturado]],Retenciones!$1:$1,0)</f>
        <v>3</v>
      </c>
      <c r="X42" s="151">
        <f>+VLOOKUP(PROVEEDORES[[#This Row],[ID RETENCION]],Retenciones!$A$1:$O$24,PROVEEDORES[[#This Row],[indicador de columna]],FALSE)</f>
        <v>0</v>
      </c>
      <c r="Y42" s="152">
        <f>+VLOOKUP(PROVEEDORES[[#This Row],[ID RETENCION]],Retenciones!$A$1:$O$24,2,FALSE)</f>
        <v>0</v>
      </c>
      <c r="Z42" s="26"/>
      <c r="AA42" s="26"/>
      <c r="AB42" s="26"/>
      <c r="AC42" s="26"/>
      <c r="AD42" s="26"/>
      <c r="AE42" s="26"/>
    </row>
    <row r="43" spans="1:31" ht="21.95" customHeight="1" x14ac:dyDescent="0.25">
      <c r="A43" s="97" t="str">
        <f>+IF(PROVEEDORES[[#This Row],[FECHA DE PAGO]]=PROVEEDORES[[#This Row],[FECHA DE FACTURACIÓN]],"DE CONTADO","CRÉDITO")</f>
        <v>CRÉDITO</v>
      </c>
      <c r="B43" s="41" t="str">
        <f>+IF((PROVEEDORES[[#This Row],[FECHA DE PAGO]]-PROVEEDORES[[#This Row],[FECHA DE FACTURACIÓN]])&gt;PROVEEDORES[[#This Row],[PLAZO Días]],"PAGO VENCIDO")</f>
        <v>PAGO VENCIDO</v>
      </c>
      <c r="C43" s="22">
        <f>+VLOOKUP(PROVEEDORES[[#This Row],[PROVEEDOR]],TERCEROS_INFO[#All],2,FALSE)</f>
        <v>90</v>
      </c>
      <c r="D43" s="27">
        <f>+SUMIFS(PROVEEDORES[Total],PROVEEDORES[PROVEEDOR],PROVEEDORES[[#This Row],[PROVEEDOR]],PROVEEDORES[FECHA DE PAGO],"")</f>
        <v>26364243.66155</v>
      </c>
      <c r="E43" s="27"/>
      <c r="F43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43" s="95">
        <v>44351</v>
      </c>
      <c r="H43" s="28" t="s">
        <v>12</v>
      </c>
      <c r="I43" s="95">
        <v>44185</v>
      </c>
      <c r="J43" s="38" t="s">
        <v>97</v>
      </c>
      <c r="K43" s="23">
        <v>5804201.6890756302</v>
      </c>
      <c r="L43" s="23"/>
      <c r="M43" s="24">
        <v>1102798.3209243699</v>
      </c>
      <c r="N43" s="25"/>
      <c r="O43" s="24">
        <v>0</v>
      </c>
      <c r="P43" s="136">
        <f>+IF(PROVEEDORES[[#This Row],[SUBTOTAL]]&lt;PROVEEDORES[[#This Row],[base retencion]],0,PROVEEDORES[[#This Row],[retención aplicada]])</f>
        <v>2.5000000000000001E-2</v>
      </c>
      <c r="Q43" s="24">
        <f>+PROVEEDORES[[#This Row],[Rete Fuente %]]*PROVEEDORES[[#This Row],[SUBTOTAL]]</f>
        <v>145105.04222689077</v>
      </c>
      <c r="R43" s="23">
        <v>6761894.9677731087</v>
      </c>
      <c r="S4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" s="99">
        <f ca="1">IF(PROVEEDORES[[#This Row],[FECHA DE PAGO]]=0,TODAY()-PROVEEDORES[[#This Row],[FECHA DE FACTURACIÓN]]-PROVEEDORES[[#This Row],[PLAZO Días]],0)</f>
        <v>0</v>
      </c>
      <c r="U43" s="149" t="str">
        <f>+VLOOKUP(PROVEEDORES[[#This Row],[PROVEEDOR]],Terceros!$A:$E,5,FALSE)</f>
        <v>2,5% con base</v>
      </c>
      <c r="V43" s="150">
        <f>+YEAR(PROVEEDORES[[#This Row],[FECHA DE FACTURACIÓN]])</f>
        <v>2020</v>
      </c>
      <c r="W43" s="150">
        <f>+MATCH(PROVEEDORES[[#This Row],[año facturado]],Retenciones!$1:$1,0)</f>
        <v>3</v>
      </c>
      <c r="X43" s="151">
        <f>+VLOOKUP(PROVEEDORES[[#This Row],[ID RETENCION]],Retenciones!$A$1:$O$24,PROVEEDORES[[#This Row],[indicador de columna]],FALSE)</f>
        <v>961000</v>
      </c>
      <c r="Y43" s="152">
        <f>+VLOOKUP(PROVEEDORES[[#This Row],[ID RETENCION]],Retenciones!$A$1:$O$24,2,FALSE)</f>
        <v>2.5000000000000001E-2</v>
      </c>
      <c r="Z43" s="26"/>
      <c r="AA43" s="26"/>
      <c r="AB43" s="26"/>
      <c r="AC43" s="26"/>
      <c r="AD43" s="26"/>
      <c r="AE43" s="26"/>
    </row>
    <row r="44" spans="1:31" ht="21.95" customHeight="1" x14ac:dyDescent="0.25">
      <c r="A44" s="97" t="str">
        <f>+IF(PROVEEDORES[[#This Row],[FECHA DE PAGO]]=PROVEEDORES[[#This Row],[FECHA DE FACTURACIÓN]],"DE CONTADO","CRÉDITO")</f>
        <v>CRÉDITO</v>
      </c>
      <c r="B44" s="41" t="str">
        <f>+IF((PROVEEDORES[[#This Row],[FECHA DE PAGO]]-PROVEEDORES[[#This Row],[FECHA DE FACTURACIÓN]])&gt;PROVEEDORES[[#This Row],[PLAZO Días]],"PAGO VENCIDO")</f>
        <v>PAGO VENCIDO</v>
      </c>
      <c r="C44" s="22">
        <f>+VLOOKUP(PROVEEDORES[[#This Row],[PROVEEDOR]],TERCEROS_INFO[#All],2,FALSE)</f>
        <v>90</v>
      </c>
      <c r="D44" s="27">
        <f>+SUMIFS(PROVEEDORES[Total],PROVEEDORES[PROVEEDOR],PROVEEDORES[[#This Row],[PROVEEDOR]],PROVEEDORES[FECHA DE PAGO],"")</f>
        <v>26364243.66155</v>
      </c>
      <c r="E44" s="27"/>
      <c r="F44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44" s="95">
        <v>44351</v>
      </c>
      <c r="H44" s="28" t="s">
        <v>12</v>
      </c>
      <c r="I44" s="95">
        <v>44185</v>
      </c>
      <c r="J44" s="38" t="s">
        <v>96</v>
      </c>
      <c r="K44" s="23">
        <v>12248739.529411765</v>
      </c>
      <c r="L44" s="23"/>
      <c r="M44" s="24">
        <v>2327260.5105882352</v>
      </c>
      <c r="N44" s="25"/>
      <c r="O44" s="24">
        <v>0</v>
      </c>
      <c r="P44" s="136">
        <f>+IF(PROVEEDORES[[#This Row],[SUBTOTAL]]&lt;PROVEEDORES[[#This Row],[base retencion]],0,PROVEEDORES[[#This Row],[retención aplicada]])</f>
        <v>2.5000000000000001E-2</v>
      </c>
      <c r="Q44" s="24">
        <f>+PROVEEDORES[[#This Row],[Rete Fuente %]]*PROVEEDORES[[#This Row],[SUBTOTAL]]</f>
        <v>306218.48823529412</v>
      </c>
      <c r="R44" s="23">
        <v>14269781.551764704</v>
      </c>
      <c r="S4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" s="99">
        <f ca="1">IF(PROVEEDORES[[#This Row],[FECHA DE PAGO]]=0,TODAY()-PROVEEDORES[[#This Row],[FECHA DE FACTURACIÓN]]-PROVEEDORES[[#This Row],[PLAZO Días]],0)</f>
        <v>0</v>
      </c>
      <c r="U44" s="149" t="str">
        <f>+VLOOKUP(PROVEEDORES[[#This Row],[PROVEEDOR]],Terceros!$A:$E,5,FALSE)</f>
        <v>2,5% con base</v>
      </c>
      <c r="V44" s="150">
        <f>+YEAR(PROVEEDORES[[#This Row],[FECHA DE FACTURACIÓN]])</f>
        <v>2020</v>
      </c>
      <c r="W44" s="150">
        <f>+MATCH(PROVEEDORES[[#This Row],[año facturado]],Retenciones!$1:$1,0)</f>
        <v>3</v>
      </c>
      <c r="X44" s="151">
        <f>+VLOOKUP(PROVEEDORES[[#This Row],[ID RETENCION]],Retenciones!$A$1:$O$24,PROVEEDORES[[#This Row],[indicador de columna]],FALSE)</f>
        <v>961000</v>
      </c>
      <c r="Y44" s="152">
        <f>+VLOOKUP(PROVEEDORES[[#This Row],[ID RETENCION]],Retenciones!$A$1:$O$24,2,FALSE)</f>
        <v>2.5000000000000001E-2</v>
      </c>
      <c r="Z44" s="26"/>
      <c r="AA44" s="26"/>
      <c r="AB44" s="26"/>
      <c r="AC44" s="26"/>
      <c r="AD44" s="26"/>
      <c r="AE44" s="26"/>
    </row>
    <row r="45" spans="1:31" ht="21.95" customHeight="1" x14ac:dyDescent="0.25">
      <c r="A45" s="97" t="str">
        <f>+IF(PROVEEDORES[[#This Row],[FECHA DE PAGO]]=PROVEEDORES[[#This Row],[FECHA DE FACTURACIÓN]],"DE CONTADO","CRÉDITO")</f>
        <v>CRÉDITO</v>
      </c>
      <c r="B45" s="41" t="str">
        <f>+IF((PROVEEDORES[[#This Row],[FECHA DE PAGO]]-PROVEEDORES[[#This Row],[FECHA DE FACTURACIÓN]])&gt;PROVEEDORES[[#This Row],[PLAZO Días]],"PAGO VENCIDO")</f>
        <v>PAGO VENCIDO</v>
      </c>
      <c r="C45" s="22">
        <f>+VLOOKUP(PROVEEDORES[[#This Row],[PROVEEDOR]],TERCEROS_INFO[#All],2,FALSE)</f>
        <v>30</v>
      </c>
      <c r="D45" s="27">
        <f>+SUMIFS(PROVEEDORES[Total],PROVEEDORES[PROVEEDOR],PROVEEDORES[[#This Row],[PROVEEDOR]],PROVEEDORES[FECHA DE PAGO],"")</f>
        <v>3099000</v>
      </c>
      <c r="E45" s="27"/>
      <c r="F45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45" s="95">
        <v>44335</v>
      </c>
      <c r="H45" s="28" t="s">
        <v>1079</v>
      </c>
      <c r="I45" s="95">
        <v>44186</v>
      </c>
      <c r="J45" s="38" t="s">
        <v>667</v>
      </c>
      <c r="K45" s="23">
        <v>380000</v>
      </c>
      <c r="L45" s="23"/>
      <c r="M45" s="24">
        <v>0</v>
      </c>
      <c r="N45" s="25"/>
      <c r="O45" s="24">
        <v>0</v>
      </c>
      <c r="P45" s="136">
        <f>+IF(PROVEEDORES[[#This Row],[SUBTOTAL]]&lt;PROVEEDORES[[#This Row],[base retencion]],0,PROVEEDORES[[#This Row],[retención aplicada]])</f>
        <v>0</v>
      </c>
      <c r="Q45" s="24">
        <f>+PROVEEDORES[[#This Row],[Rete Fuente %]]*PROVEEDORES[[#This Row],[SUBTOTAL]]</f>
        <v>0</v>
      </c>
      <c r="R45" s="23">
        <v>380000</v>
      </c>
      <c r="S4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" s="99">
        <f ca="1">IF(PROVEEDORES[[#This Row],[FECHA DE PAGO]]=0,TODAY()-PROVEEDORES[[#This Row],[FECHA DE FACTURACIÓN]]-PROVEEDORES[[#This Row],[PLAZO Días]],0)</f>
        <v>0</v>
      </c>
      <c r="U45" s="149">
        <f>+VLOOKUP(PROVEEDORES[[#This Row],[PROVEEDOR]],Terceros!$A:$E,5,FALSE)</f>
        <v>0</v>
      </c>
      <c r="V45" s="150">
        <f>+YEAR(PROVEEDORES[[#This Row],[FECHA DE FACTURACIÓN]])</f>
        <v>2020</v>
      </c>
      <c r="W45" s="150">
        <f>+MATCH(PROVEEDORES[[#This Row],[año facturado]],Retenciones!$1:$1,0)</f>
        <v>3</v>
      </c>
      <c r="X45" s="151">
        <f>+VLOOKUP(PROVEEDORES[[#This Row],[ID RETENCION]],Retenciones!$A$1:$O$24,PROVEEDORES[[#This Row],[indicador de columna]],FALSE)</f>
        <v>0</v>
      </c>
      <c r="Y45" s="152">
        <f>+VLOOKUP(PROVEEDORES[[#This Row],[ID RETENCION]],Retenciones!$A$1:$O$24,2,FALSE)</f>
        <v>0</v>
      </c>
      <c r="Z45" s="26"/>
      <c r="AA45" s="26"/>
      <c r="AB45" s="26"/>
      <c r="AC45" s="26"/>
      <c r="AD45" s="26"/>
      <c r="AE45" s="26"/>
    </row>
    <row r="46" spans="1:31" ht="21.95" customHeight="1" x14ac:dyDescent="0.25">
      <c r="A46" s="97" t="str">
        <f>+IF(PROVEEDORES[[#This Row],[FECHA DE PAGO]]=PROVEEDORES[[#This Row],[FECHA DE FACTURACIÓN]],"DE CONTADO","CRÉDITO")</f>
        <v>CRÉDITO</v>
      </c>
      <c r="B46" s="41" t="str">
        <f>+IF((PROVEEDORES[[#This Row],[FECHA DE PAGO]]-PROVEEDORES[[#This Row],[FECHA DE FACTURACIÓN]])&gt;PROVEEDORES[[#This Row],[PLAZO Días]],"PAGO VENCIDO")</f>
        <v>PAGO VENCIDO</v>
      </c>
      <c r="C46" s="22">
        <f>+VLOOKUP(PROVEEDORES[[#This Row],[PROVEEDOR]],TERCEROS_INFO[#All],2,FALSE)</f>
        <v>30</v>
      </c>
      <c r="D46" s="27">
        <f>+SUMIFS(PROVEEDORES[Total],PROVEEDORES[PROVEEDOR],PROVEEDORES[[#This Row],[PROVEEDOR]],PROVEEDORES[FECHA DE PAGO],"")</f>
        <v>3099000</v>
      </c>
      <c r="E46" s="27"/>
      <c r="F46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46" s="95">
        <v>44272</v>
      </c>
      <c r="H46" s="28" t="s">
        <v>1079</v>
      </c>
      <c r="I46" s="95">
        <v>44186</v>
      </c>
      <c r="J46" s="38">
        <v>320277</v>
      </c>
      <c r="K46" s="23">
        <v>2087500</v>
      </c>
      <c r="L46" s="23"/>
      <c r="M46" s="24">
        <v>0</v>
      </c>
      <c r="N46" s="25"/>
      <c r="O46" s="24">
        <v>0</v>
      </c>
      <c r="P46" s="136">
        <f>+IF(PROVEEDORES[[#This Row],[SUBTOTAL]]&lt;PROVEEDORES[[#This Row],[base retencion]],0,PROVEEDORES[[#This Row],[retención aplicada]])</f>
        <v>0</v>
      </c>
      <c r="Q46" s="24">
        <f>+PROVEEDORES[[#This Row],[Rete Fuente %]]*PROVEEDORES[[#This Row],[SUBTOTAL]]</f>
        <v>0</v>
      </c>
      <c r="R46" s="23">
        <v>2087500</v>
      </c>
      <c r="S4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" s="99">
        <f ca="1">IF(PROVEEDORES[[#This Row],[FECHA DE PAGO]]=0,TODAY()-PROVEEDORES[[#This Row],[FECHA DE FACTURACIÓN]]-PROVEEDORES[[#This Row],[PLAZO Días]],0)</f>
        <v>0</v>
      </c>
      <c r="U46" s="149">
        <f>+VLOOKUP(PROVEEDORES[[#This Row],[PROVEEDOR]],Terceros!$A:$E,5,FALSE)</f>
        <v>0</v>
      </c>
      <c r="V46" s="150">
        <f>+YEAR(PROVEEDORES[[#This Row],[FECHA DE FACTURACIÓN]])</f>
        <v>2020</v>
      </c>
      <c r="W46" s="150">
        <f>+MATCH(PROVEEDORES[[#This Row],[año facturado]],Retenciones!$1:$1,0)</f>
        <v>3</v>
      </c>
      <c r="X46" s="151">
        <f>+VLOOKUP(PROVEEDORES[[#This Row],[ID RETENCION]],Retenciones!$A$1:$O$24,PROVEEDORES[[#This Row],[indicador de columna]],FALSE)</f>
        <v>0</v>
      </c>
      <c r="Y46" s="152">
        <f>+VLOOKUP(PROVEEDORES[[#This Row],[ID RETENCION]],Retenciones!$A$1:$O$24,2,FALSE)</f>
        <v>0</v>
      </c>
      <c r="Z46" s="26"/>
      <c r="AA46" s="26"/>
      <c r="AB46" s="26"/>
      <c r="AC46" s="26"/>
      <c r="AD46" s="26"/>
      <c r="AE46" s="26"/>
    </row>
    <row r="47" spans="1:31" ht="21.95" customHeight="1" x14ac:dyDescent="0.25">
      <c r="A47" s="97" t="str">
        <f>+IF(PROVEEDORES[[#This Row],[FECHA DE PAGO]]=PROVEEDORES[[#This Row],[FECHA DE FACTURACIÓN]],"DE CONTADO","CRÉDITO")</f>
        <v>CRÉDITO</v>
      </c>
      <c r="B47" s="41" t="str">
        <f>+IF((PROVEEDORES[[#This Row],[FECHA DE PAGO]]-PROVEEDORES[[#This Row],[FECHA DE FACTURACIÓN]])&gt;PROVEEDORES[[#This Row],[PLAZO Días]],"PAGO VENCIDO")</f>
        <v>PAGO VENCIDO</v>
      </c>
      <c r="C47" s="22">
        <f>+VLOOKUP(PROVEEDORES[[#This Row],[PROVEEDOR]],TERCEROS_INFO[#All],2,FALSE)</f>
        <v>30</v>
      </c>
      <c r="D47" s="27">
        <f>+SUMIFS(PROVEEDORES[Total],PROVEEDORES[PROVEEDOR],PROVEEDORES[[#This Row],[PROVEEDOR]],PROVEEDORES[FECHA DE PAGO],"")</f>
        <v>3099000</v>
      </c>
      <c r="E47" s="27"/>
      <c r="F47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47" s="95">
        <v>44335</v>
      </c>
      <c r="H47" s="28" t="s">
        <v>1079</v>
      </c>
      <c r="I47" s="95">
        <v>44186</v>
      </c>
      <c r="J47" s="38" t="s">
        <v>668</v>
      </c>
      <c r="K47" s="23">
        <v>2415900</v>
      </c>
      <c r="L47" s="23"/>
      <c r="M47" s="24">
        <v>0</v>
      </c>
      <c r="N47" s="25"/>
      <c r="O47" s="24">
        <v>0</v>
      </c>
      <c r="P47" s="136">
        <f>+IF(PROVEEDORES[[#This Row],[SUBTOTAL]]&lt;PROVEEDORES[[#This Row],[base retencion]],0,PROVEEDORES[[#This Row],[retención aplicada]])</f>
        <v>0</v>
      </c>
      <c r="Q47" s="24">
        <f>+PROVEEDORES[[#This Row],[Rete Fuente %]]*PROVEEDORES[[#This Row],[SUBTOTAL]]</f>
        <v>0</v>
      </c>
      <c r="R47" s="23">
        <v>2415900</v>
      </c>
      <c r="S4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" s="99">
        <f ca="1">IF(PROVEEDORES[[#This Row],[FECHA DE PAGO]]=0,TODAY()-PROVEEDORES[[#This Row],[FECHA DE FACTURACIÓN]]-PROVEEDORES[[#This Row],[PLAZO Días]],0)</f>
        <v>0</v>
      </c>
      <c r="U47" s="149">
        <f>+VLOOKUP(PROVEEDORES[[#This Row],[PROVEEDOR]],Terceros!$A:$E,5,FALSE)</f>
        <v>0</v>
      </c>
      <c r="V47" s="150">
        <f>+YEAR(PROVEEDORES[[#This Row],[FECHA DE FACTURACIÓN]])</f>
        <v>2020</v>
      </c>
      <c r="W47" s="150">
        <f>+MATCH(PROVEEDORES[[#This Row],[año facturado]],Retenciones!$1:$1,0)</f>
        <v>3</v>
      </c>
      <c r="X47" s="151">
        <f>+VLOOKUP(PROVEEDORES[[#This Row],[ID RETENCION]],Retenciones!$A$1:$O$24,PROVEEDORES[[#This Row],[indicador de columna]],FALSE)</f>
        <v>0</v>
      </c>
      <c r="Y47" s="152">
        <f>+VLOOKUP(PROVEEDORES[[#This Row],[ID RETENCION]],Retenciones!$A$1:$O$24,2,FALSE)</f>
        <v>0</v>
      </c>
      <c r="Z47" s="26"/>
      <c r="AA47" s="26"/>
      <c r="AB47" s="26"/>
      <c r="AC47" s="26"/>
      <c r="AD47" s="26"/>
      <c r="AE47" s="26"/>
    </row>
    <row r="48" spans="1:31" ht="21.95" customHeight="1" x14ac:dyDescent="0.25">
      <c r="A48" s="97" t="str">
        <f>+IF(PROVEEDORES[[#This Row],[FECHA DE PAGO]]=PROVEEDORES[[#This Row],[FECHA DE FACTURACIÓN]],"DE CONTADO","CRÉDITO")</f>
        <v>CRÉDITO</v>
      </c>
      <c r="B48" s="41" t="str">
        <f>+IF((PROVEEDORES[[#This Row],[FECHA DE PAGO]]-PROVEEDORES[[#This Row],[FECHA DE FACTURACIÓN]])&gt;PROVEEDORES[[#This Row],[PLAZO Días]],"PAGO VENCIDO")</f>
        <v>PAGO VENCIDO</v>
      </c>
      <c r="C48" s="22">
        <f>+VLOOKUP(PROVEEDORES[[#This Row],[PROVEEDOR]],TERCEROS_INFO[#All],2,FALSE)</f>
        <v>90</v>
      </c>
      <c r="D48" s="27">
        <f>+SUMIFS(PROVEEDORES[Total],PROVEEDORES[PROVEEDOR],PROVEEDORES[[#This Row],[PROVEEDOR]],PROVEEDORES[FECHA DE PAGO],"")</f>
        <v>28052953.019999996</v>
      </c>
      <c r="E48" s="27"/>
      <c r="F48" s="62" t="str">
        <f>+VLOOKUP(PROVEEDORES[[#This Row],[PROVEEDOR]],
                       Terceros!$A:$G,
                       6,
                       FALSE)</f>
        <v>criszapata1234@gmail.com;girlesa.ruiz@servipilas.com;joriescobar64@gmail.com</v>
      </c>
      <c r="G48" s="95">
        <v>44366</v>
      </c>
      <c r="H48" s="28" t="s">
        <v>78</v>
      </c>
      <c r="I48" s="95">
        <v>44186</v>
      </c>
      <c r="J48" s="38" t="s">
        <v>93</v>
      </c>
      <c r="K48" s="23">
        <v>6861342.8571428573</v>
      </c>
      <c r="L48" s="23"/>
      <c r="M48" s="24">
        <v>1303655.142857143</v>
      </c>
      <c r="N48" s="25"/>
      <c r="O48" s="24">
        <v>0</v>
      </c>
      <c r="P48" s="136">
        <f>+IF(PROVEEDORES[[#This Row],[SUBTOTAL]]&lt;PROVEEDORES[[#This Row],[base retencion]],0,PROVEEDORES[[#This Row],[retención aplicada]])</f>
        <v>2.5000000000000001E-2</v>
      </c>
      <c r="Q48" s="24">
        <f>+PROVEEDORES[[#This Row],[Rete Fuente %]]*PROVEEDORES[[#This Row],[SUBTOTAL]]</f>
        <v>171533.57142857145</v>
      </c>
      <c r="R48" s="23">
        <v>7993464.4285714282</v>
      </c>
      <c r="S4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" s="99">
        <f ca="1">IF(PROVEEDORES[[#This Row],[FECHA DE PAGO]]=0,TODAY()-PROVEEDORES[[#This Row],[FECHA DE FACTURACIÓN]]-PROVEEDORES[[#This Row],[PLAZO Días]],0)</f>
        <v>0</v>
      </c>
      <c r="U48" s="149" t="str">
        <f>+VLOOKUP(PROVEEDORES[[#This Row],[PROVEEDOR]],Terceros!$A:$E,5,FALSE)</f>
        <v>2,5% con base</v>
      </c>
      <c r="V48" s="150">
        <f>+YEAR(PROVEEDORES[[#This Row],[FECHA DE FACTURACIÓN]])</f>
        <v>2020</v>
      </c>
      <c r="W48" s="150">
        <f>+MATCH(PROVEEDORES[[#This Row],[año facturado]],Retenciones!$1:$1,0)</f>
        <v>3</v>
      </c>
      <c r="X48" s="151">
        <f>+VLOOKUP(PROVEEDORES[[#This Row],[ID RETENCION]],Retenciones!$A$1:$O$24,PROVEEDORES[[#This Row],[indicador de columna]],FALSE)</f>
        <v>961000</v>
      </c>
      <c r="Y48" s="152">
        <f>+VLOOKUP(PROVEEDORES[[#This Row],[ID RETENCION]],Retenciones!$A$1:$O$24,2,FALSE)</f>
        <v>2.5000000000000001E-2</v>
      </c>
      <c r="Z48" s="26"/>
      <c r="AA48" s="26"/>
      <c r="AB48" s="26"/>
      <c r="AC48" s="26"/>
      <c r="AD48" s="26"/>
      <c r="AE48" s="26"/>
    </row>
    <row r="49" spans="1:31" ht="21.95" customHeight="1" x14ac:dyDescent="0.25">
      <c r="A49" s="97" t="str">
        <f>+IF(PROVEEDORES[[#This Row],[FECHA DE PAGO]]=PROVEEDORES[[#This Row],[FECHA DE FACTURACIÓN]],"DE CONTADO","CRÉDITO")</f>
        <v>CRÉDITO</v>
      </c>
      <c r="B49" s="41" t="str">
        <f>+IF((PROVEEDORES[[#This Row],[FECHA DE PAGO]]-PROVEEDORES[[#This Row],[FECHA DE FACTURACIÓN]])&gt;PROVEEDORES[[#This Row],[PLAZO Días]],"PAGO VENCIDO")</f>
        <v>PAGO VENCIDO</v>
      </c>
      <c r="C49" s="22">
        <f>+VLOOKUP(PROVEEDORES[[#This Row],[PROVEEDOR]],TERCEROS_INFO[#All],2,FALSE)</f>
        <v>90</v>
      </c>
      <c r="D49" s="27">
        <f>+SUMIFS(PROVEEDORES[Total],PROVEEDORES[PROVEEDOR],PROVEEDORES[[#This Row],[PROVEEDOR]],PROVEEDORES[FECHA DE PAGO],"")</f>
        <v>28052953.019999996</v>
      </c>
      <c r="E49" s="27"/>
      <c r="F49" s="62" t="str">
        <f>+VLOOKUP(PROVEEDORES[[#This Row],[PROVEEDOR]],
                       Terceros!$A:$G,
                       6,
                       FALSE)</f>
        <v>criszapata1234@gmail.com;girlesa.ruiz@servipilas.com;joriescobar64@gmail.com</v>
      </c>
      <c r="G49" s="95">
        <v>44292</v>
      </c>
      <c r="H49" s="28" t="s">
        <v>78</v>
      </c>
      <c r="I49" s="95">
        <v>44186</v>
      </c>
      <c r="J49" s="38" t="s">
        <v>95</v>
      </c>
      <c r="K49" s="23">
        <v>10899167.226890758</v>
      </c>
      <c r="L49" s="23"/>
      <c r="M49" s="24">
        <v>2070841.7731092439</v>
      </c>
      <c r="N49" s="25"/>
      <c r="O49" s="24">
        <v>0</v>
      </c>
      <c r="P49" s="136">
        <f>+IF(PROVEEDORES[[#This Row],[SUBTOTAL]]&lt;PROVEEDORES[[#This Row],[base retencion]],0,PROVEEDORES[[#This Row],[retención aplicada]])</f>
        <v>2.5000000000000001E-2</v>
      </c>
      <c r="Q49" s="24">
        <f>+PROVEEDORES[[#This Row],[Rete Fuente %]]*PROVEEDORES[[#This Row],[SUBTOTAL]]</f>
        <v>272479.18067226897</v>
      </c>
      <c r="R49" s="23">
        <v>12697529.819327733</v>
      </c>
      <c r="S4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" s="99">
        <f ca="1">IF(PROVEEDORES[[#This Row],[FECHA DE PAGO]]=0,TODAY()-PROVEEDORES[[#This Row],[FECHA DE FACTURACIÓN]]-PROVEEDORES[[#This Row],[PLAZO Días]],0)</f>
        <v>0</v>
      </c>
      <c r="U49" s="149" t="str">
        <f>+VLOOKUP(PROVEEDORES[[#This Row],[PROVEEDOR]],Terceros!$A:$E,5,FALSE)</f>
        <v>2,5% con base</v>
      </c>
      <c r="V49" s="150">
        <f>+YEAR(PROVEEDORES[[#This Row],[FECHA DE FACTURACIÓN]])</f>
        <v>2020</v>
      </c>
      <c r="W49" s="150">
        <f>+MATCH(PROVEEDORES[[#This Row],[año facturado]],Retenciones!$1:$1,0)</f>
        <v>3</v>
      </c>
      <c r="X49" s="151">
        <f>+VLOOKUP(PROVEEDORES[[#This Row],[ID RETENCION]],Retenciones!$A$1:$O$24,PROVEEDORES[[#This Row],[indicador de columna]],FALSE)</f>
        <v>961000</v>
      </c>
      <c r="Y49" s="152">
        <f>+VLOOKUP(PROVEEDORES[[#This Row],[ID RETENCION]],Retenciones!$A$1:$O$24,2,FALSE)</f>
        <v>2.5000000000000001E-2</v>
      </c>
      <c r="Z49" s="26"/>
      <c r="AA49" s="26"/>
      <c r="AB49" s="26"/>
      <c r="AC49" s="26"/>
      <c r="AD49" s="26"/>
      <c r="AE49" s="26"/>
    </row>
    <row r="50" spans="1:31" ht="21.95" customHeight="1" x14ac:dyDescent="0.25">
      <c r="A50" s="97" t="str">
        <f>+IF(PROVEEDORES[[#This Row],[FECHA DE PAGO]]=PROVEEDORES[[#This Row],[FECHA DE FACTURACIÓN]],"DE CONTADO","CRÉDITO")</f>
        <v>CRÉDITO</v>
      </c>
      <c r="B50" s="41" t="b">
        <f>+IF((PROVEEDORES[[#This Row],[FECHA DE PAGO]]-PROVEEDORES[[#This Row],[FECHA DE FACTURACIÓN]])&gt;PROVEEDORES[[#This Row],[PLAZO Días]],"PAGO VENCIDO")</f>
        <v>0</v>
      </c>
      <c r="C50" s="22">
        <f>+VLOOKUP(PROVEEDORES[[#This Row],[PROVEEDOR]],TERCEROS_INFO[#All],2,FALSE)</f>
        <v>30</v>
      </c>
      <c r="D50" s="27">
        <f>+SUMIFS(PROVEEDORES[Total],PROVEEDORES[PROVEEDOR],PROVEEDORES[[#This Row],[PROVEEDOR]],PROVEEDORES[FECHA DE PAGO],"")</f>
        <v>0</v>
      </c>
      <c r="E50" s="27"/>
      <c r="F50" s="62" t="str">
        <f>+VLOOKUP(PROVEEDORES[[#This Row],[PROVEEDOR]],
                       Terceros!$A:$G,
                       6,
                       FALSE)</f>
        <v/>
      </c>
      <c r="G50" s="95">
        <v>44201</v>
      </c>
      <c r="H50" s="28" t="s">
        <v>999</v>
      </c>
      <c r="I50" s="95">
        <v>44187</v>
      </c>
      <c r="J50" s="38"/>
      <c r="K50" s="23">
        <v>90000</v>
      </c>
      <c r="L50" s="23"/>
      <c r="M50" s="24">
        <v>0</v>
      </c>
      <c r="N50" s="25"/>
      <c r="O50" s="24">
        <v>0</v>
      </c>
      <c r="P50" s="136">
        <f>+IF(PROVEEDORES[[#This Row],[SUBTOTAL]]&lt;PROVEEDORES[[#This Row],[base retencion]],0,PROVEEDORES[[#This Row],[retención aplicada]])</f>
        <v>0</v>
      </c>
      <c r="Q50" s="24">
        <f>+PROVEEDORES[[#This Row],[Rete Fuente %]]*PROVEEDORES[[#This Row],[SUBTOTAL]]</f>
        <v>0</v>
      </c>
      <c r="R50" s="23">
        <v>90000</v>
      </c>
      <c r="S5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" s="99">
        <f ca="1">IF(PROVEEDORES[[#This Row],[FECHA DE PAGO]]=0,TODAY()-PROVEEDORES[[#This Row],[FECHA DE FACTURACIÓN]]-PROVEEDORES[[#This Row],[PLAZO Días]],0)</f>
        <v>0</v>
      </c>
      <c r="U50" s="149">
        <f>+VLOOKUP(PROVEEDORES[[#This Row],[PROVEEDOR]],Terceros!$A:$E,5,FALSE)</f>
        <v>0</v>
      </c>
      <c r="V50" s="150">
        <f>+YEAR(PROVEEDORES[[#This Row],[FECHA DE FACTURACIÓN]])</f>
        <v>2020</v>
      </c>
      <c r="W50" s="150">
        <f>+MATCH(PROVEEDORES[[#This Row],[año facturado]],Retenciones!$1:$1,0)</f>
        <v>3</v>
      </c>
      <c r="X50" s="151">
        <f>+VLOOKUP(PROVEEDORES[[#This Row],[ID RETENCION]],Retenciones!$A$1:$O$24,PROVEEDORES[[#This Row],[indicador de columna]],FALSE)</f>
        <v>0</v>
      </c>
      <c r="Y50" s="152">
        <f>+VLOOKUP(PROVEEDORES[[#This Row],[ID RETENCION]],Retenciones!$A$1:$O$24,2,FALSE)</f>
        <v>0</v>
      </c>
      <c r="Z50" s="26"/>
      <c r="AA50" s="26"/>
      <c r="AB50" s="26"/>
      <c r="AC50" s="26"/>
      <c r="AD50" s="26"/>
      <c r="AE50" s="26"/>
    </row>
    <row r="51" spans="1:31" ht="21.95" customHeight="1" x14ac:dyDescent="0.25">
      <c r="A51" s="97" t="str">
        <f>+IF(PROVEEDORES[[#This Row],[FECHA DE PAGO]]=PROVEEDORES[[#This Row],[FECHA DE FACTURACIÓN]],"DE CONTADO","CRÉDITO")</f>
        <v>CRÉDITO</v>
      </c>
      <c r="B51" s="41" t="str">
        <f>+IF((PROVEEDORES[[#This Row],[FECHA DE PAGO]]-PROVEEDORES[[#This Row],[FECHA DE FACTURACIÓN]])&gt;PROVEEDORES[[#This Row],[PLAZO Días]],"PAGO VENCIDO")</f>
        <v>PAGO VENCIDO</v>
      </c>
      <c r="C51" s="22">
        <f>+VLOOKUP(PROVEEDORES[[#This Row],[PROVEEDOR]],TERCEROS_INFO[#All],2,FALSE)</f>
        <v>45</v>
      </c>
      <c r="D51" s="27">
        <f>+SUMIFS(PROVEEDORES[Total],PROVEEDORES[PROVEEDOR],PROVEEDORES[[#This Row],[PROVEEDOR]],PROVEEDORES[FECHA DE PAGO],"")</f>
        <v>3412539.2</v>
      </c>
      <c r="E51" s="27"/>
      <c r="F51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51" s="95">
        <v>44257</v>
      </c>
      <c r="H51" s="28" t="s">
        <v>10</v>
      </c>
      <c r="I51" s="95">
        <v>44187</v>
      </c>
      <c r="J51" s="38" t="s">
        <v>90</v>
      </c>
      <c r="K51" s="23">
        <v>800000</v>
      </c>
      <c r="L51" s="23"/>
      <c r="M51" s="24">
        <v>152000</v>
      </c>
      <c r="N51" s="25"/>
      <c r="O51" s="24">
        <v>0</v>
      </c>
      <c r="P51" s="136">
        <f>+IF(PROVEEDORES[[#This Row],[SUBTOTAL]]&lt;PROVEEDORES[[#This Row],[base retencion]],0,PROVEEDORES[[#This Row],[retención aplicada]])</f>
        <v>0</v>
      </c>
      <c r="Q51" s="24">
        <f>+PROVEEDORES[[#This Row],[Rete Fuente %]]*PROVEEDORES[[#This Row],[SUBTOTAL]]</f>
        <v>0</v>
      </c>
      <c r="R51" s="23">
        <v>952000</v>
      </c>
      <c r="S5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" s="99">
        <f ca="1">IF(PROVEEDORES[[#This Row],[FECHA DE PAGO]]=0,TODAY()-PROVEEDORES[[#This Row],[FECHA DE FACTURACIÓN]]-PROVEEDORES[[#This Row],[PLAZO Días]],0)</f>
        <v>0</v>
      </c>
      <c r="U51" s="149">
        <f>+VLOOKUP(PROVEEDORES[[#This Row],[PROVEEDOR]],Terceros!$A:$E,5,FALSE)</f>
        <v>0</v>
      </c>
      <c r="V51" s="150">
        <f>+YEAR(PROVEEDORES[[#This Row],[FECHA DE FACTURACIÓN]])</f>
        <v>2020</v>
      </c>
      <c r="W51" s="150">
        <f>+MATCH(PROVEEDORES[[#This Row],[año facturado]],Retenciones!$1:$1,0)</f>
        <v>3</v>
      </c>
      <c r="X51" s="151">
        <f>+VLOOKUP(PROVEEDORES[[#This Row],[ID RETENCION]],Retenciones!$A$1:$O$24,PROVEEDORES[[#This Row],[indicador de columna]],FALSE)</f>
        <v>0</v>
      </c>
      <c r="Y51" s="152">
        <f>+VLOOKUP(PROVEEDORES[[#This Row],[ID RETENCION]],Retenciones!$A$1:$O$24,2,FALSE)</f>
        <v>0</v>
      </c>
      <c r="Z51" s="26"/>
      <c r="AA51" s="26"/>
      <c r="AB51" s="26"/>
      <c r="AC51" s="26"/>
      <c r="AD51" s="26"/>
      <c r="AE51" s="26"/>
    </row>
    <row r="52" spans="1:31" ht="21.95" customHeight="1" x14ac:dyDescent="0.25">
      <c r="A52" s="97" t="str">
        <f>+IF(PROVEEDORES[[#This Row],[FECHA DE PAGO]]=PROVEEDORES[[#This Row],[FECHA DE FACTURACIÓN]],"DE CONTADO","CRÉDITO")</f>
        <v>CRÉDITO</v>
      </c>
      <c r="B52" s="41" t="str">
        <f>+IF((PROVEEDORES[[#This Row],[FECHA DE PAGO]]-PROVEEDORES[[#This Row],[FECHA DE FACTURACIÓN]])&gt;PROVEEDORES[[#This Row],[PLAZO Días]],"PAGO VENCIDO")</f>
        <v>PAGO VENCIDO</v>
      </c>
      <c r="C52" s="22">
        <f>+VLOOKUP(PROVEEDORES[[#This Row],[PROVEEDOR]],TERCEROS_INFO[#All],2,FALSE)</f>
        <v>45</v>
      </c>
      <c r="D52" s="27">
        <f>+SUMIFS(PROVEEDORES[Total],PROVEEDORES[PROVEEDOR],PROVEEDORES[[#This Row],[PROVEEDOR]],PROVEEDORES[FECHA DE PAGO],"")</f>
        <v>3412539.2</v>
      </c>
      <c r="E52" s="27"/>
      <c r="F52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52" s="95">
        <v>44257</v>
      </c>
      <c r="H52" s="28" t="s">
        <v>10</v>
      </c>
      <c r="I52" s="95">
        <v>44187</v>
      </c>
      <c r="J52" s="38" t="s">
        <v>92</v>
      </c>
      <c r="K52" s="23">
        <v>1386000</v>
      </c>
      <c r="L52" s="23"/>
      <c r="M52" s="24">
        <v>263340</v>
      </c>
      <c r="N52" s="25"/>
      <c r="O52" s="24">
        <v>0</v>
      </c>
      <c r="P52" s="136">
        <f>+IF(PROVEEDORES[[#This Row],[SUBTOTAL]]&lt;PROVEEDORES[[#This Row],[base retencion]],0,PROVEEDORES[[#This Row],[retención aplicada]])</f>
        <v>0</v>
      </c>
      <c r="Q52" s="24">
        <f>+PROVEEDORES[[#This Row],[Rete Fuente %]]*PROVEEDORES[[#This Row],[SUBTOTAL]]</f>
        <v>0</v>
      </c>
      <c r="R52" s="23">
        <v>1649340</v>
      </c>
      <c r="S5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" s="99">
        <f ca="1">IF(PROVEEDORES[[#This Row],[FECHA DE PAGO]]=0,TODAY()-PROVEEDORES[[#This Row],[FECHA DE FACTURACIÓN]]-PROVEEDORES[[#This Row],[PLAZO Días]],0)</f>
        <v>0</v>
      </c>
      <c r="U52" s="149">
        <f>+VLOOKUP(PROVEEDORES[[#This Row],[PROVEEDOR]],Terceros!$A:$E,5,FALSE)</f>
        <v>0</v>
      </c>
      <c r="V52" s="150">
        <f>+YEAR(PROVEEDORES[[#This Row],[FECHA DE FACTURACIÓN]])</f>
        <v>2020</v>
      </c>
      <c r="W52" s="150">
        <f>+MATCH(PROVEEDORES[[#This Row],[año facturado]],Retenciones!$1:$1,0)</f>
        <v>3</v>
      </c>
      <c r="X52" s="151">
        <f>+VLOOKUP(PROVEEDORES[[#This Row],[ID RETENCION]],Retenciones!$A$1:$O$24,PROVEEDORES[[#This Row],[indicador de columna]],FALSE)</f>
        <v>0</v>
      </c>
      <c r="Y52" s="152">
        <f>+VLOOKUP(PROVEEDORES[[#This Row],[ID RETENCION]],Retenciones!$A$1:$O$24,2,FALSE)</f>
        <v>0</v>
      </c>
      <c r="Z52" s="26"/>
      <c r="AA52" s="26"/>
      <c r="AB52" s="26"/>
      <c r="AC52" s="26"/>
      <c r="AD52" s="26"/>
      <c r="AE52" s="26"/>
    </row>
    <row r="53" spans="1:31" ht="21.95" customHeight="1" x14ac:dyDescent="0.25">
      <c r="A53" s="97" t="str">
        <f>+IF(PROVEEDORES[[#This Row],[FECHA DE PAGO]]=PROVEEDORES[[#This Row],[FECHA DE FACTURACIÓN]],"DE CONTADO","CRÉDITO")</f>
        <v>CRÉDITO</v>
      </c>
      <c r="B53" s="41" t="str">
        <f>+IF((PROVEEDORES[[#This Row],[FECHA DE PAGO]]-PROVEEDORES[[#This Row],[FECHA DE FACTURACIÓN]])&gt;PROVEEDORES[[#This Row],[PLAZO Días]],"PAGO VENCIDO")</f>
        <v>PAGO VENCIDO</v>
      </c>
      <c r="C53" s="22">
        <f>+VLOOKUP(PROVEEDORES[[#This Row],[PROVEEDOR]],TERCEROS_INFO[#All],2,FALSE)</f>
        <v>30</v>
      </c>
      <c r="D53" s="27">
        <f>+SUMIFS(PROVEEDORES[Total],PROVEEDORES[PROVEEDOR],PROVEEDORES[[#This Row],[PROVEEDOR]],PROVEEDORES[FECHA DE PAGO],"")</f>
        <v>18000</v>
      </c>
      <c r="E53" s="27"/>
      <c r="F53" s="62" t="str">
        <f>+VLOOKUP(PROVEEDORES[[#This Row],[PROVEEDOR]],
                       Terceros!$A:$G,
                       6,
                       FALSE)</f>
        <v/>
      </c>
      <c r="G53" s="95">
        <v>44235</v>
      </c>
      <c r="H53" s="28" t="s">
        <v>1054</v>
      </c>
      <c r="I53" s="95">
        <v>44187</v>
      </c>
      <c r="J53" s="38">
        <v>46883</v>
      </c>
      <c r="K53" s="23">
        <v>2046000</v>
      </c>
      <c r="L53" s="23"/>
      <c r="M53" s="24">
        <v>0</v>
      </c>
      <c r="N53" s="25"/>
      <c r="O53" s="24">
        <v>0</v>
      </c>
      <c r="P53" s="136">
        <f>+IF(PROVEEDORES[[#This Row],[SUBTOTAL]]&lt;PROVEEDORES[[#This Row],[base retencion]],0,PROVEEDORES[[#This Row],[retención aplicada]])</f>
        <v>0</v>
      </c>
      <c r="Q53" s="24">
        <f>+PROVEEDORES[[#This Row],[Rete Fuente %]]*PROVEEDORES[[#This Row],[SUBTOTAL]]</f>
        <v>0</v>
      </c>
      <c r="R53" s="23">
        <v>2046000</v>
      </c>
      <c r="S5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" s="99">
        <f ca="1">IF(PROVEEDORES[[#This Row],[FECHA DE PAGO]]=0,TODAY()-PROVEEDORES[[#This Row],[FECHA DE FACTURACIÓN]]-PROVEEDORES[[#This Row],[PLAZO Días]],0)</f>
        <v>0</v>
      </c>
      <c r="U53" s="149">
        <f>+VLOOKUP(PROVEEDORES[[#This Row],[PROVEEDOR]],Terceros!$A:$E,5,FALSE)</f>
        <v>0</v>
      </c>
      <c r="V53" s="150">
        <f>+YEAR(PROVEEDORES[[#This Row],[FECHA DE FACTURACIÓN]])</f>
        <v>2020</v>
      </c>
      <c r="W53" s="150">
        <f>+MATCH(PROVEEDORES[[#This Row],[año facturado]],Retenciones!$1:$1,0)</f>
        <v>3</v>
      </c>
      <c r="X53" s="151">
        <f>+VLOOKUP(PROVEEDORES[[#This Row],[ID RETENCION]],Retenciones!$A$1:$O$24,PROVEEDORES[[#This Row],[indicador de columna]],FALSE)</f>
        <v>0</v>
      </c>
      <c r="Y53" s="152">
        <f>+VLOOKUP(PROVEEDORES[[#This Row],[ID RETENCION]],Retenciones!$A$1:$O$24,2,FALSE)</f>
        <v>0</v>
      </c>
      <c r="Z53" s="26"/>
      <c r="AA53" s="26"/>
      <c r="AB53" s="26"/>
      <c r="AC53" s="26"/>
      <c r="AD53" s="26"/>
      <c r="AE53" s="26"/>
    </row>
    <row r="54" spans="1:31" ht="21.95" customHeight="1" x14ac:dyDescent="0.25">
      <c r="A54" s="97" t="str">
        <f>+IF(PROVEEDORES[[#This Row],[FECHA DE PAGO]]=PROVEEDORES[[#This Row],[FECHA DE FACTURACIÓN]],"DE CONTADO","CRÉDITO")</f>
        <v>CRÉDITO</v>
      </c>
      <c r="B54" s="41" t="str">
        <f>+IF((PROVEEDORES[[#This Row],[FECHA DE PAGO]]-PROVEEDORES[[#This Row],[FECHA DE FACTURACIÓN]])&gt;PROVEEDORES[[#This Row],[PLAZO Días]],"PAGO VENCIDO")</f>
        <v>PAGO VENCIDO</v>
      </c>
      <c r="C54" s="22">
        <f>+VLOOKUP(PROVEEDORES[[#This Row],[PROVEEDOR]],TERCEROS_INFO[#All],2,FALSE)</f>
        <v>30</v>
      </c>
      <c r="D54" s="27">
        <f>+SUMIFS(PROVEEDORES[Total],PROVEEDORES[PROVEEDOR],PROVEEDORES[[#This Row],[PROVEEDOR]],PROVEEDORES[FECHA DE PAGO],"")</f>
        <v>21832129.73</v>
      </c>
      <c r="E54" s="27"/>
      <c r="F54" s="62" t="str">
        <f>+VLOOKUP(PROVEEDORES[[#This Row],[PROVEEDOR]],
                       Terceros!$A:$G,
                       6,
                       FALSE)</f>
        <v>cartera1@grupostatur.com;girlesa.ruiz@servipilas.com;joriescobar64@gmail.com</v>
      </c>
      <c r="G54" s="95">
        <v>44243</v>
      </c>
      <c r="H54" s="28" t="s">
        <v>9</v>
      </c>
      <c r="I54" s="95">
        <v>44187</v>
      </c>
      <c r="J54" s="38">
        <v>68545</v>
      </c>
      <c r="K54" s="23">
        <v>5954922</v>
      </c>
      <c r="L54" s="23"/>
      <c r="M54" s="24">
        <v>1131435.18</v>
      </c>
      <c r="N54" s="25">
        <v>0.04</v>
      </c>
      <c r="O54" s="24">
        <v>238196.88</v>
      </c>
      <c r="P54" s="136">
        <f>+IF(PROVEEDORES[[#This Row],[SUBTOTAL]]&lt;PROVEEDORES[[#This Row],[base retencion]],0,PROVEEDORES[[#This Row],[retención aplicada]])</f>
        <v>2.5000000000000001E-2</v>
      </c>
      <c r="Q54" s="24">
        <f>+PROVEEDORES[[#This Row],[Rete Fuente %]]*PROVEEDORES[[#This Row],[SUBTOTAL]]</f>
        <v>148873.05000000002</v>
      </c>
      <c r="R54" s="23">
        <v>6699287.25</v>
      </c>
      <c r="S5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" s="99">
        <f ca="1">IF(PROVEEDORES[[#This Row],[FECHA DE PAGO]]=0,TODAY()-PROVEEDORES[[#This Row],[FECHA DE FACTURACIÓN]]-PROVEEDORES[[#This Row],[PLAZO Días]],0)</f>
        <v>0</v>
      </c>
      <c r="U54" s="149" t="str">
        <f>+VLOOKUP(PROVEEDORES[[#This Row],[PROVEEDOR]],Terceros!$A:$E,5,FALSE)</f>
        <v>2,5% con base</v>
      </c>
      <c r="V54" s="150">
        <f>+YEAR(PROVEEDORES[[#This Row],[FECHA DE FACTURACIÓN]])</f>
        <v>2020</v>
      </c>
      <c r="W54" s="150">
        <f>+MATCH(PROVEEDORES[[#This Row],[año facturado]],Retenciones!$1:$1,0)</f>
        <v>3</v>
      </c>
      <c r="X54" s="151">
        <f>+VLOOKUP(PROVEEDORES[[#This Row],[ID RETENCION]],Retenciones!$A$1:$O$24,PROVEEDORES[[#This Row],[indicador de columna]],FALSE)</f>
        <v>961000</v>
      </c>
      <c r="Y54" s="152">
        <f>+VLOOKUP(PROVEEDORES[[#This Row],[ID RETENCION]],Retenciones!$A$1:$O$24,2,FALSE)</f>
        <v>2.5000000000000001E-2</v>
      </c>
      <c r="Z54" s="26"/>
      <c r="AA54" s="26"/>
      <c r="AB54" s="26"/>
      <c r="AC54" s="26"/>
      <c r="AD54" s="26"/>
      <c r="AE54" s="26"/>
    </row>
    <row r="55" spans="1:31" ht="21.95" customHeight="1" x14ac:dyDescent="0.25">
      <c r="A55" s="97" t="str">
        <f>+IF(PROVEEDORES[[#This Row],[FECHA DE PAGO]]=PROVEEDORES[[#This Row],[FECHA DE FACTURACIÓN]],"DE CONTADO","CRÉDITO")</f>
        <v>CRÉDITO</v>
      </c>
      <c r="B55" s="41" t="str">
        <f>+IF((PROVEEDORES[[#This Row],[FECHA DE PAGO]]-PROVEEDORES[[#This Row],[FECHA DE FACTURACIÓN]])&gt;PROVEEDORES[[#This Row],[PLAZO Días]],"PAGO VENCIDO")</f>
        <v>PAGO VENCIDO</v>
      </c>
      <c r="C55" s="22">
        <f>+VLOOKUP(PROVEEDORES[[#This Row],[PROVEEDOR]],TERCEROS_INFO[#All],2,FALSE)</f>
        <v>90</v>
      </c>
      <c r="D55" s="27">
        <f>+SUMIFS(PROVEEDORES[Total],PROVEEDORES[PROVEEDOR],PROVEEDORES[[#This Row],[PROVEEDOR]],PROVEEDORES[FECHA DE PAGO],"")</f>
        <v>28052953.019999996</v>
      </c>
      <c r="E55" s="27"/>
      <c r="F55" s="62" t="str">
        <f>+VLOOKUP(PROVEEDORES[[#This Row],[PROVEEDOR]],
                       Terceros!$A:$G,
                       6,
                       FALSE)</f>
        <v>criszapata1234@gmail.com;girlesa.ruiz@servipilas.com;joriescobar64@gmail.com</v>
      </c>
      <c r="G55" s="95">
        <v>44366</v>
      </c>
      <c r="H55" s="28" t="s">
        <v>78</v>
      </c>
      <c r="I55" s="95">
        <v>44188</v>
      </c>
      <c r="J55" s="38" t="s">
        <v>94</v>
      </c>
      <c r="K55" s="23">
        <v>1109243.6974789917</v>
      </c>
      <c r="L55" s="23"/>
      <c r="M55" s="24">
        <v>210756.30252100842</v>
      </c>
      <c r="N55" s="25"/>
      <c r="O55" s="24">
        <v>0</v>
      </c>
      <c r="P55" s="136">
        <f>+IF(PROVEEDORES[[#This Row],[SUBTOTAL]]&lt;PROVEEDORES[[#This Row],[base retencion]],0,PROVEEDORES[[#This Row],[retención aplicada]])</f>
        <v>2.5000000000000001E-2</v>
      </c>
      <c r="Q55" s="24">
        <f>+PROVEEDORES[[#This Row],[Rete Fuente %]]*PROVEEDORES[[#This Row],[SUBTOTAL]]</f>
        <v>27731.092436974795</v>
      </c>
      <c r="R55" s="23">
        <v>1292268.9075630251</v>
      </c>
      <c r="S5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" s="99">
        <f ca="1">IF(PROVEEDORES[[#This Row],[FECHA DE PAGO]]=0,TODAY()-PROVEEDORES[[#This Row],[FECHA DE FACTURACIÓN]]-PROVEEDORES[[#This Row],[PLAZO Días]],0)</f>
        <v>0</v>
      </c>
      <c r="U55" s="149" t="str">
        <f>+VLOOKUP(PROVEEDORES[[#This Row],[PROVEEDOR]],Terceros!$A:$E,5,FALSE)</f>
        <v>2,5% con base</v>
      </c>
      <c r="V55" s="150">
        <f>+YEAR(PROVEEDORES[[#This Row],[FECHA DE FACTURACIÓN]])</f>
        <v>2020</v>
      </c>
      <c r="W55" s="150">
        <f>+MATCH(PROVEEDORES[[#This Row],[año facturado]],Retenciones!$1:$1,0)</f>
        <v>3</v>
      </c>
      <c r="X55" s="151">
        <f>+VLOOKUP(PROVEEDORES[[#This Row],[ID RETENCION]],Retenciones!$A$1:$O$24,PROVEEDORES[[#This Row],[indicador de columna]],FALSE)</f>
        <v>961000</v>
      </c>
      <c r="Y55" s="152">
        <f>+VLOOKUP(PROVEEDORES[[#This Row],[ID RETENCION]],Retenciones!$A$1:$O$24,2,FALSE)</f>
        <v>2.5000000000000001E-2</v>
      </c>
      <c r="Z55" s="26"/>
      <c r="AA55" s="26"/>
      <c r="AB55" s="26"/>
      <c r="AC55" s="26"/>
      <c r="AD55" s="26"/>
      <c r="AE55" s="26"/>
    </row>
    <row r="56" spans="1:31" ht="21.95" customHeight="1" x14ac:dyDescent="0.25">
      <c r="A56" s="97" t="str">
        <f>+IF(PROVEEDORES[[#This Row],[FECHA DE PAGO]]=PROVEEDORES[[#This Row],[FECHA DE FACTURACIÓN]],"DE CONTADO","CRÉDITO")</f>
        <v>CRÉDITO</v>
      </c>
      <c r="B56" s="41" t="str">
        <f>+IF((PROVEEDORES[[#This Row],[FECHA DE PAGO]]-PROVEEDORES[[#This Row],[FECHA DE FACTURACIÓN]])&gt;PROVEEDORES[[#This Row],[PLAZO Días]],"PAGO VENCIDO")</f>
        <v>PAGO VENCIDO</v>
      </c>
      <c r="C56" s="22">
        <f>+VLOOKUP(PROVEEDORES[[#This Row],[PROVEEDOR]],TERCEROS_INFO[#All],2,FALSE)</f>
        <v>30</v>
      </c>
      <c r="D56" s="27">
        <f>+SUMIFS(PROVEEDORES[Total],PROVEEDORES[PROVEEDOR],PROVEEDORES[[#This Row],[PROVEEDOR]],PROVEEDORES[FECHA DE PAGO],"")</f>
        <v>4641412.7745000003</v>
      </c>
      <c r="E56" s="27"/>
      <c r="F56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56" s="95">
        <v>44230</v>
      </c>
      <c r="H56" s="28" t="s">
        <v>20</v>
      </c>
      <c r="I56" s="95">
        <v>44188</v>
      </c>
      <c r="J56" s="38">
        <v>2967</v>
      </c>
      <c r="K56" s="23">
        <v>1833067</v>
      </c>
      <c r="L56" s="23"/>
      <c r="M56" s="24">
        <v>348282.73</v>
      </c>
      <c r="N56" s="25"/>
      <c r="O56" s="24">
        <v>0</v>
      </c>
      <c r="P56" s="136">
        <f>+IF(PROVEEDORES[[#This Row],[SUBTOTAL]]&lt;PROVEEDORES[[#This Row],[base retencion]],0,PROVEEDORES[[#This Row],[retención aplicada]])</f>
        <v>2.5000000000000001E-2</v>
      </c>
      <c r="Q56" s="24">
        <f>+PROVEEDORES[[#This Row],[Rete Fuente %]]*PROVEEDORES[[#This Row],[SUBTOTAL]]</f>
        <v>45826.675000000003</v>
      </c>
      <c r="R56" s="23">
        <v>2135523.0550000002</v>
      </c>
      <c r="S5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" s="99">
        <f ca="1">IF(PROVEEDORES[[#This Row],[FECHA DE PAGO]]=0,TODAY()-PROVEEDORES[[#This Row],[FECHA DE FACTURACIÓN]]-PROVEEDORES[[#This Row],[PLAZO Días]],0)</f>
        <v>0</v>
      </c>
      <c r="U56" s="149" t="str">
        <f>+VLOOKUP(PROVEEDORES[[#This Row],[PROVEEDOR]],Terceros!$A:$E,5,FALSE)</f>
        <v>2,5% con base</v>
      </c>
      <c r="V56" s="150">
        <f>+YEAR(PROVEEDORES[[#This Row],[FECHA DE FACTURACIÓN]])</f>
        <v>2020</v>
      </c>
      <c r="W56" s="150">
        <f>+MATCH(PROVEEDORES[[#This Row],[año facturado]],Retenciones!$1:$1,0)</f>
        <v>3</v>
      </c>
      <c r="X56" s="151">
        <f>+VLOOKUP(PROVEEDORES[[#This Row],[ID RETENCION]],Retenciones!$A$1:$O$24,PROVEEDORES[[#This Row],[indicador de columna]],FALSE)</f>
        <v>961000</v>
      </c>
      <c r="Y56" s="152">
        <f>+VLOOKUP(PROVEEDORES[[#This Row],[ID RETENCION]],Retenciones!$A$1:$O$24,2,FALSE)</f>
        <v>2.5000000000000001E-2</v>
      </c>
      <c r="Z56" s="26"/>
      <c r="AA56" s="26"/>
      <c r="AB56" s="26"/>
      <c r="AC56" s="26"/>
      <c r="AD56" s="26"/>
      <c r="AE56" s="26"/>
    </row>
    <row r="57" spans="1:31" ht="21.95" customHeight="1" x14ac:dyDescent="0.25">
      <c r="A57" s="97" t="str">
        <f>+IF(PROVEEDORES[[#This Row],[FECHA DE PAGO]]=PROVEEDORES[[#This Row],[FECHA DE FACTURACIÓN]],"DE CONTADO","CRÉDITO")</f>
        <v>CRÉDITO</v>
      </c>
      <c r="B57" s="41" t="b">
        <f>+IF((PROVEEDORES[[#This Row],[FECHA DE PAGO]]-PROVEEDORES[[#This Row],[FECHA DE FACTURACIÓN]])&gt;PROVEEDORES[[#This Row],[PLAZO Días]],"PAGO VENCIDO")</f>
        <v>0</v>
      </c>
      <c r="C57" s="22">
        <f>+VLOOKUP(PROVEEDORES[[#This Row],[PROVEEDOR]],TERCEROS_INFO[#All],2,FALSE)</f>
        <v>30</v>
      </c>
      <c r="D57" s="27">
        <f>+SUMIFS(PROVEEDORES[Total],PROVEEDORES[PROVEEDOR],PROVEEDORES[[#This Row],[PROVEEDOR]],PROVEEDORES[FECHA DE PAGO],"")</f>
        <v>0</v>
      </c>
      <c r="E57" s="27"/>
      <c r="F57" s="62" t="str">
        <f>+VLOOKUP(PROVEEDORES[[#This Row],[PROVEEDOR]],
                       Terceros!$A:$G,
                       6,
                       FALSE)</f>
        <v/>
      </c>
      <c r="G57" s="95">
        <v>44201</v>
      </c>
      <c r="H57" s="28" t="s">
        <v>999</v>
      </c>
      <c r="I57" s="95">
        <v>44189</v>
      </c>
      <c r="J57" s="38"/>
      <c r="K57" s="23">
        <v>265000</v>
      </c>
      <c r="L57" s="23"/>
      <c r="M57" s="24">
        <v>0</v>
      </c>
      <c r="N57" s="25"/>
      <c r="O57" s="24">
        <v>0</v>
      </c>
      <c r="P57" s="136">
        <f>+IF(PROVEEDORES[[#This Row],[SUBTOTAL]]&lt;PROVEEDORES[[#This Row],[base retencion]],0,PROVEEDORES[[#This Row],[retención aplicada]])</f>
        <v>0</v>
      </c>
      <c r="Q57" s="24">
        <f>+PROVEEDORES[[#This Row],[Rete Fuente %]]*PROVEEDORES[[#This Row],[SUBTOTAL]]</f>
        <v>0</v>
      </c>
      <c r="R57" s="23">
        <v>265000</v>
      </c>
      <c r="S5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" s="99">
        <f ca="1">IF(PROVEEDORES[[#This Row],[FECHA DE PAGO]]=0,TODAY()-PROVEEDORES[[#This Row],[FECHA DE FACTURACIÓN]]-PROVEEDORES[[#This Row],[PLAZO Días]],0)</f>
        <v>0</v>
      </c>
      <c r="U57" s="149">
        <f>+VLOOKUP(PROVEEDORES[[#This Row],[PROVEEDOR]],Terceros!$A:$E,5,FALSE)</f>
        <v>0</v>
      </c>
      <c r="V57" s="150">
        <f>+YEAR(PROVEEDORES[[#This Row],[FECHA DE FACTURACIÓN]])</f>
        <v>2020</v>
      </c>
      <c r="W57" s="150">
        <f>+MATCH(PROVEEDORES[[#This Row],[año facturado]],Retenciones!$1:$1,0)</f>
        <v>3</v>
      </c>
      <c r="X57" s="151">
        <f>+VLOOKUP(PROVEEDORES[[#This Row],[ID RETENCION]],Retenciones!$A$1:$O$24,PROVEEDORES[[#This Row],[indicador de columna]],FALSE)</f>
        <v>0</v>
      </c>
      <c r="Y57" s="152">
        <f>+VLOOKUP(PROVEEDORES[[#This Row],[ID RETENCION]],Retenciones!$A$1:$O$24,2,FALSE)</f>
        <v>0</v>
      </c>
      <c r="Z57" s="26"/>
      <c r="AA57" s="26"/>
      <c r="AB57" s="26"/>
      <c r="AC57" s="26"/>
      <c r="AD57" s="26"/>
      <c r="AE57" s="26"/>
    </row>
    <row r="58" spans="1:31" ht="21.95" customHeight="1" x14ac:dyDescent="0.25">
      <c r="A58" s="97" t="str">
        <f>+IF(PROVEEDORES[[#This Row],[FECHA DE PAGO]]=PROVEEDORES[[#This Row],[FECHA DE FACTURACIÓN]],"DE CONTADO","CRÉDITO")</f>
        <v>CRÉDITO</v>
      </c>
      <c r="B58" s="41" t="str">
        <f>+IF((PROVEEDORES[[#This Row],[FECHA DE PAGO]]-PROVEEDORES[[#This Row],[FECHA DE FACTURACIÓN]])&gt;PROVEEDORES[[#This Row],[PLAZO Días]],"PAGO VENCIDO")</f>
        <v>PAGO VENCIDO</v>
      </c>
      <c r="C58" s="22">
        <f>+VLOOKUP(PROVEEDORES[[#This Row],[PROVEEDOR]],TERCEROS_INFO[#All],2,FALSE)</f>
        <v>30</v>
      </c>
      <c r="D58" s="27">
        <f>+SUMIFS(PROVEEDORES[Total],PROVEEDORES[PROVEEDOR],PROVEEDORES[[#This Row],[PROVEEDOR]],PROVEEDORES[FECHA DE PAGO],"")</f>
        <v>1850000</v>
      </c>
      <c r="E58" s="27"/>
      <c r="F58" s="62" t="str">
        <f>+VLOOKUP(PROVEEDORES[[#This Row],[PROVEEDOR]],
                       Terceros!$A:$G,
                       6,
                       FALSE)</f>
        <v>globalpowerc2018@gmail.com;girlesa.ruiz@servipilas.com;joriescobar64@gmail.com</v>
      </c>
      <c r="G58" s="95">
        <v>44229</v>
      </c>
      <c r="H58" s="28" t="s">
        <v>1051</v>
      </c>
      <c r="I58" s="95">
        <v>44191</v>
      </c>
      <c r="J58" s="38">
        <v>906</v>
      </c>
      <c r="K58" s="23">
        <v>1460000</v>
      </c>
      <c r="L58" s="23"/>
      <c r="M58" s="24">
        <v>0</v>
      </c>
      <c r="N58" s="25"/>
      <c r="O58" s="24">
        <v>0</v>
      </c>
      <c r="P58" s="136">
        <f>+IF(PROVEEDORES[[#This Row],[SUBTOTAL]]&lt;PROVEEDORES[[#This Row],[base retencion]],0,PROVEEDORES[[#This Row],[retención aplicada]])</f>
        <v>0</v>
      </c>
      <c r="Q58" s="24">
        <f>+PROVEEDORES[[#This Row],[Rete Fuente %]]*PROVEEDORES[[#This Row],[SUBTOTAL]]</f>
        <v>0</v>
      </c>
      <c r="R58" s="23">
        <v>1460000</v>
      </c>
      <c r="S5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" s="99">
        <f ca="1">IF(PROVEEDORES[[#This Row],[FECHA DE PAGO]]=0,TODAY()-PROVEEDORES[[#This Row],[FECHA DE FACTURACIÓN]]-PROVEEDORES[[#This Row],[PLAZO Días]],0)</f>
        <v>0</v>
      </c>
      <c r="U58" s="149">
        <f>+VLOOKUP(PROVEEDORES[[#This Row],[PROVEEDOR]],Terceros!$A:$E,5,FALSE)</f>
        <v>0</v>
      </c>
      <c r="V58" s="150">
        <f>+YEAR(PROVEEDORES[[#This Row],[FECHA DE FACTURACIÓN]])</f>
        <v>2020</v>
      </c>
      <c r="W58" s="150">
        <f>+MATCH(PROVEEDORES[[#This Row],[año facturado]],Retenciones!$1:$1,0)</f>
        <v>3</v>
      </c>
      <c r="X58" s="151">
        <f>+VLOOKUP(PROVEEDORES[[#This Row],[ID RETENCION]],Retenciones!$A$1:$O$24,PROVEEDORES[[#This Row],[indicador de columna]],FALSE)</f>
        <v>0</v>
      </c>
      <c r="Y58" s="152">
        <f>+VLOOKUP(PROVEEDORES[[#This Row],[ID RETENCION]],Retenciones!$A$1:$O$24,2,FALSE)</f>
        <v>0</v>
      </c>
      <c r="Z58" s="26"/>
      <c r="AA58" s="26"/>
      <c r="AB58" s="26"/>
      <c r="AC58" s="26"/>
      <c r="AD58" s="26"/>
      <c r="AE58" s="26"/>
    </row>
    <row r="59" spans="1:31" ht="21.95" customHeight="1" x14ac:dyDescent="0.25">
      <c r="A59" s="97" t="str">
        <f>+IF(PROVEEDORES[[#This Row],[FECHA DE PAGO]]=PROVEEDORES[[#This Row],[FECHA DE FACTURACIÓN]],"DE CONTADO","CRÉDITO")</f>
        <v>CRÉDITO</v>
      </c>
      <c r="B59" s="41" t="str">
        <f>+IF((PROVEEDORES[[#This Row],[FECHA DE PAGO]]-PROVEEDORES[[#This Row],[FECHA DE FACTURACIÓN]])&gt;PROVEEDORES[[#This Row],[PLAZO Días]],"PAGO VENCIDO")</f>
        <v>PAGO VENCIDO</v>
      </c>
      <c r="C59" s="22">
        <f>+VLOOKUP(PROVEEDORES[[#This Row],[PROVEEDOR]],TERCEROS_INFO[#All],2,FALSE)</f>
        <v>30</v>
      </c>
      <c r="D59" s="27">
        <f>+SUMIFS(PROVEEDORES[Total],PROVEEDORES[PROVEEDOR],PROVEEDORES[[#This Row],[PROVEEDOR]],PROVEEDORES[FECHA DE PAGO],"")</f>
        <v>3844432.4999000002</v>
      </c>
      <c r="E59" s="27"/>
      <c r="F59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59" s="95">
        <v>44239</v>
      </c>
      <c r="H59" s="28" t="s">
        <v>18</v>
      </c>
      <c r="I59" s="95">
        <v>44191</v>
      </c>
      <c r="J59" s="38">
        <v>1032784</v>
      </c>
      <c r="K59" s="23">
        <v>1615387.1176470588</v>
      </c>
      <c r="L59" s="23"/>
      <c r="M59" s="24">
        <v>306923.55235294119</v>
      </c>
      <c r="N59" s="25"/>
      <c r="O59" s="24">
        <v>0</v>
      </c>
      <c r="P59" s="136">
        <f>+IF(PROVEEDORES[[#This Row],[SUBTOTAL]]&lt;PROVEEDORES[[#This Row],[base retencion]],0,PROVEEDORES[[#This Row],[retención aplicada]])</f>
        <v>2.5000000000000001E-2</v>
      </c>
      <c r="Q59" s="24">
        <f>+PROVEEDORES[[#This Row],[Rete Fuente %]]*PROVEEDORES[[#This Row],[SUBTOTAL]]</f>
        <v>40384.677941176473</v>
      </c>
      <c r="R59" s="23">
        <v>1881925.9920588234</v>
      </c>
      <c r="S5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" s="99">
        <f ca="1">IF(PROVEEDORES[[#This Row],[FECHA DE PAGO]]=0,TODAY()-PROVEEDORES[[#This Row],[FECHA DE FACTURACIÓN]]-PROVEEDORES[[#This Row],[PLAZO Días]],0)</f>
        <v>0</v>
      </c>
      <c r="U59" s="149" t="str">
        <f>+VLOOKUP(PROVEEDORES[[#This Row],[PROVEEDOR]],Terceros!$A:$E,5,FALSE)</f>
        <v>2,5% con base</v>
      </c>
      <c r="V59" s="150">
        <f>+YEAR(PROVEEDORES[[#This Row],[FECHA DE FACTURACIÓN]])</f>
        <v>2020</v>
      </c>
      <c r="W59" s="150">
        <f>+MATCH(PROVEEDORES[[#This Row],[año facturado]],Retenciones!$1:$1,0)</f>
        <v>3</v>
      </c>
      <c r="X59" s="151">
        <f>+VLOOKUP(PROVEEDORES[[#This Row],[ID RETENCION]],Retenciones!$A$1:$O$24,PROVEEDORES[[#This Row],[indicador de columna]],FALSE)</f>
        <v>961000</v>
      </c>
      <c r="Y59" s="152">
        <f>+VLOOKUP(PROVEEDORES[[#This Row],[ID RETENCION]],Retenciones!$A$1:$O$24,2,FALSE)</f>
        <v>2.5000000000000001E-2</v>
      </c>
      <c r="Z59" s="26"/>
      <c r="AA59" s="26"/>
      <c r="AB59" s="26"/>
      <c r="AC59" s="26"/>
      <c r="AD59" s="26"/>
      <c r="AE59" s="26"/>
    </row>
    <row r="60" spans="1:31" ht="21.95" customHeight="1" x14ac:dyDescent="0.25">
      <c r="A60" s="97" t="str">
        <f>+IF(PROVEEDORES[[#This Row],[FECHA DE PAGO]]=PROVEEDORES[[#This Row],[FECHA DE FACTURACIÓN]],"DE CONTADO","CRÉDITO")</f>
        <v>CRÉDITO</v>
      </c>
      <c r="B60" s="41" t="str">
        <f>+IF((PROVEEDORES[[#This Row],[FECHA DE PAGO]]-PROVEEDORES[[#This Row],[FECHA DE FACTURACIÓN]])&gt;PROVEEDORES[[#This Row],[PLAZO Días]],"PAGO VENCIDO")</f>
        <v>PAGO VENCIDO</v>
      </c>
      <c r="C60" s="22">
        <f>+VLOOKUP(PROVEEDORES[[#This Row],[PROVEEDOR]],TERCEROS_INFO[#All],2,FALSE)</f>
        <v>90</v>
      </c>
      <c r="D60" s="27">
        <f>+SUMIFS(PROVEEDORES[Total],PROVEEDORES[PROVEEDOR],PROVEEDORES[[#This Row],[PROVEEDOR]],PROVEEDORES[FECHA DE PAGO],"")</f>
        <v>26364243.66155</v>
      </c>
      <c r="E60" s="27"/>
      <c r="F60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60" s="95">
        <v>44351</v>
      </c>
      <c r="H60" s="28" t="s">
        <v>12</v>
      </c>
      <c r="I60" s="95">
        <v>44193</v>
      </c>
      <c r="J60" s="38" t="s">
        <v>367</v>
      </c>
      <c r="K60" s="23">
        <v>-25210.084033613399</v>
      </c>
      <c r="L60" s="23"/>
      <c r="M60" s="24">
        <v>-4789.9159663865457</v>
      </c>
      <c r="N60" s="25"/>
      <c r="O60" s="24">
        <v>0</v>
      </c>
      <c r="P60" s="136">
        <f>+IF(PROVEEDORES[[#This Row],[SUBTOTAL]]&lt;PROVEEDORES[[#This Row],[base retencion]],0,PROVEEDORES[[#This Row],[retención aplicada]])</f>
        <v>0</v>
      </c>
      <c r="Q60" s="24">
        <f>+PROVEEDORES[[#This Row],[Rete Fuente %]]*PROVEEDORES[[#This Row],[SUBTOTAL]]</f>
        <v>0</v>
      </c>
      <c r="R60" s="23">
        <v>-29999.999999999945</v>
      </c>
      <c r="S6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" s="99">
        <f ca="1">IF(PROVEEDORES[[#This Row],[FECHA DE PAGO]]=0,TODAY()-PROVEEDORES[[#This Row],[FECHA DE FACTURACIÓN]]-PROVEEDORES[[#This Row],[PLAZO Días]],0)</f>
        <v>0</v>
      </c>
      <c r="U60" s="149" t="str">
        <f>+VLOOKUP(PROVEEDORES[[#This Row],[PROVEEDOR]],Terceros!$A:$E,5,FALSE)</f>
        <v>2,5% con base</v>
      </c>
      <c r="V60" s="150">
        <f>+YEAR(PROVEEDORES[[#This Row],[FECHA DE FACTURACIÓN]])</f>
        <v>2020</v>
      </c>
      <c r="W60" s="150">
        <f>+MATCH(PROVEEDORES[[#This Row],[año facturado]],Retenciones!$1:$1,0)</f>
        <v>3</v>
      </c>
      <c r="X60" s="151">
        <f>+VLOOKUP(PROVEEDORES[[#This Row],[ID RETENCION]],Retenciones!$A$1:$O$24,PROVEEDORES[[#This Row],[indicador de columna]],FALSE)</f>
        <v>961000</v>
      </c>
      <c r="Y60" s="152">
        <f>+VLOOKUP(PROVEEDORES[[#This Row],[ID RETENCION]],Retenciones!$A$1:$O$24,2,FALSE)</f>
        <v>2.5000000000000001E-2</v>
      </c>
      <c r="Z60" s="26"/>
      <c r="AA60" s="26"/>
      <c r="AB60" s="26"/>
      <c r="AC60" s="26"/>
      <c r="AD60" s="26"/>
      <c r="AE60" s="26"/>
    </row>
    <row r="61" spans="1:31" ht="21.95" customHeight="1" x14ac:dyDescent="0.25">
      <c r="A61" s="97" t="str">
        <f>+IF(PROVEEDORES[[#This Row],[FECHA DE PAGO]]=PROVEEDORES[[#This Row],[FECHA DE FACTURACIÓN]],"DE CONTADO","CRÉDITO")</f>
        <v>CRÉDITO</v>
      </c>
      <c r="B61" s="41" t="b">
        <f>+IF((PROVEEDORES[[#This Row],[FECHA DE PAGO]]-PROVEEDORES[[#This Row],[FECHA DE FACTURACIÓN]])&gt;PROVEEDORES[[#This Row],[PLAZO Días]],"PAGO VENCIDO")</f>
        <v>0</v>
      </c>
      <c r="C61" s="22">
        <f>+VLOOKUP(PROVEEDORES[[#This Row],[PROVEEDOR]],TERCEROS_INFO[#All],2,FALSE)</f>
        <v>30</v>
      </c>
      <c r="D61" s="27">
        <f>+SUMIFS(PROVEEDORES[Total],PROVEEDORES[PROVEEDOR],PROVEEDORES[[#This Row],[PROVEEDOR]],PROVEEDORES[FECHA DE PAGO],"")</f>
        <v>144400</v>
      </c>
      <c r="E61" s="27"/>
      <c r="F61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61" s="95">
        <v>44211</v>
      </c>
      <c r="H61" s="28" t="s">
        <v>1071</v>
      </c>
      <c r="I61" s="95">
        <v>44194</v>
      </c>
      <c r="J61" s="38">
        <v>2664</v>
      </c>
      <c r="K61" s="23">
        <v>121550</v>
      </c>
      <c r="L61" s="23"/>
      <c r="M61" s="24">
        <v>0</v>
      </c>
      <c r="N61" s="25"/>
      <c r="O61" s="24">
        <v>0</v>
      </c>
      <c r="P61" s="136">
        <f>+IF(PROVEEDORES[[#This Row],[SUBTOTAL]]&lt;PROVEEDORES[[#This Row],[base retencion]],0,PROVEEDORES[[#This Row],[retención aplicada]])</f>
        <v>0</v>
      </c>
      <c r="Q61" s="24">
        <f>+PROVEEDORES[[#This Row],[Rete Fuente %]]*PROVEEDORES[[#This Row],[SUBTOTAL]]</f>
        <v>0</v>
      </c>
      <c r="R61" s="23">
        <v>121550</v>
      </c>
      <c r="S6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" s="99">
        <f ca="1">IF(PROVEEDORES[[#This Row],[FECHA DE PAGO]]=0,TODAY()-PROVEEDORES[[#This Row],[FECHA DE FACTURACIÓN]]-PROVEEDORES[[#This Row],[PLAZO Días]],0)</f>
        <v>0</v>
      </c>
      <c r="U61" s="149">
        <f>+VLOOKUP(PROVEEDORES[[#This Row],[PROVEEDOR]],Terceros!$A:$E,5,FALSE)</f>
        <v>0</v>
      </c>
      <c r="V61" s="150">
        <f>+YEAR(PROVEEDORES[[#This Row],[FECHA DE FACTURACIÓN]])</f>
        <v>2020</v>
      </c>
      <c r="W61" s="150">
        <f>+MATCH(PROVEEDORES[[#This Row],[año facturado]],Retenciones!$1:$1,0)</f>
        <v>3</v>
      </c>
      <c r="X61" s="151">
        <f>+VLOOKUP(PROVEEDORES[[#This Row],[ID RETENCION]],Retenciones!$A$1:$O$24,PROVEEDORES[[#This Row],[indicador de columna]],FALSE)</f>
        <v>0</v>
      </c>
      <c r="Y61" s="152">
        <f>+VLOOKUP(PROVEEDORES[[#This Row],[ID RETENCION]],Retenciones!$A$1:$O$24,2,FALSE)</f>
        <v>0</v>
      </c>
      <c r="Z61" s="26"/>
      <c r="AA61" s="26"/>
      <c r="AB61" s="26"/>
      <c r="AC61" s="26"/>
      <c r="AD61" s="26"/>
      <c r="AE61" s="26"/>
    </row>
    <row r="62" spans="1:31" ht="21.95" customHeight="1" x14ac:dyDescent="0.25">
      <c r="A62" s="97" t="str">
        <f>+IF(PROVEEDORES[[#This Row],[FECHA DE PAGO]]=PROVEEDORES[[#This Row],[FECHA DE FACTURACIÓN]],"DE CONTADO","CRÉDITO")</f>
        <v>CRÉDITO</v>
      </c>
      <c r="B62" s="41" t="b">
        <f>+IF((PROVEEDORES[[#This Row],[FECHA DE PAGO]]-PROVEEDORES[[#This Row],[FECHA DE FACTURACIÓN]])&gt;PROVEEDORES[[#This Row],[PLAZO Días]],"PAGO VENCIDO")</f>
        <v>0</v>
      </c>
      <c r="C62" s="22">
        <f>+VLOOKUP(PROVEEDORES[[#This Row],[PROVEEDOR]],TERCEROS_INFO[#All],2,FALSE)</f>
        <v>90</v>
      </c>
      <c r="D62" s="27">
        <f>+SUMIFS(PROVEEDORES[Total],PROVEEDORES[PROVEEDOR],PROVEEDORES[[#This Row],[PROVEEDOR]],PROVEEDORES[FECHA DE PAGO],"")</f>
        <v>26364243.66155</v>
      </c>
      <c r="E62" s="27"/>
      <c r="F62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62" s="95">
        <v>44250</v>
      </c>
      <c r="H62" s="28" t="s">
        <v>12</v>
      </c>
      <c r="I62" s="95">
        <v>44195</v>
      </c>
      <c r="J62" s="38" t="s">
        <v>227</v>
      </c>
      <c r="K62" s="23">
        <v>-54622</v>
      </c>
      <c r="L62" s="23"/>
      <c r="M62" s="24">
        <v>-10378.18</v>
      </c>
      <c r="N62" s="25"/>
      <c r="O62" s="24">
        <v>0</v>
      </c>
      <c r="P62" s="136">
        <f>+IF(PROVEEDORES[[#This Row],[SUBTOTAL]]&lt;PROVEEDORES[[#This Row],[base retencion]],0,PROVEEDORES[[#This Row],[retención aplicada]])</f>
        <v>0</v>
      </c>
      <c r="Q62" s="24">
        <f>+PROVEEDORES[[#This Row],[Rete Fuente %]]*PROVEEDORES[[#This Row],[SUBTOTAL]]</f>
        <v>0</v>
      </c>
      <c r="R62" s="23">
        <v>-65000.18</v>
      </c>
      <c r="S6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" s="99">
        <f ca="1">IF(PROVEEDORES[[#This Row],[FECHA DE PAGO]]=0,TODAY()-PROVEEDORES[[#This Row],[FECHA DE FACTURACIÓN]]-PROVEEDORES[[#This Row],[PLAZO Días]],0)</f>
        <v>0</v>
      </c>
      <c r="U62" s="149" t="str">
        <f>+VLOOKUP(PROVEEDORES[[#This Row],[PROVEEDOR]],Terceros!$A:$E,5,FALSE)</f>
        <v>2,5% con base</v>
      </c>
      <c r="V62" s="150">
        <f>+YEAR(PROVEEDORES[[#This Row],[FECHA DE FACTURACIÓN]])</f>
        <v>2020</v>
      </c>
      <c r="W62" s="150">
        <f>+MATCH(PROVEEDORES[[#This Row],[año facturado]],Retenciones!$1:$1,0)</f>
        <v>3</v>
      </c>
      <c r="X62" s="151">
        <f>+VLOOKUP(PROVEEDORES[[#This Row],[ID RETENCION]],Retenciones!$A$1:$O$24,PROVEEDORES[[#This Row],[indicador de columna]],FALSE)</f>
        <v>961000</v>
      </c>
      <c r="Y62" s="152">
        <f>+VLOOKUP(PROVEEDORES[[#This Row],[ID RETENCION]],Retenciones!$A$1:$O$24,2,FALSE)</f>
        <v>2.5000000000000001E-2</v>
      </c>
      <c r="Z62" s="26"/>
      <c r="AA62" s="26"/>
      <c r="AB62" s="26"/>
      <c r="AC62" s="26"/>
      <c r="AD62" s="26"/>
      <c r="AE62" s="26"/>
    </row>
    <row r="63" spans="1:31" ht="21.95" customHeight="1" x14ac:dyDescent="0.25">
      <c r="A63" s="97" t="str">
        <f>+IF(PROVEEDORES[[#This Row],[FECHA DE PAGO]]=PROVEEDORES[[#This Row],[FECHA DE FACTURACIÓN]],"DE CONTADO","CRÉDITO")</f>
        <v>CRÉDITO</v>
      </c>
      <c r="B63" s="41" t="str">
        <f>+IF((PROVEEDORES[[#This Row],[FECHA DE PAGO]]-PROVEEDORES[[#This Row],[FECHA DE FACTURACIÓN]])&gt;PROVEEDORES[[#This Row],[PLAZO Días]],"PAGO VENCIDO")</f>
        <v>PAGO VENCIDO</v>
      </c>
      <c r="C63" s="22">
        <f>+VLOOKUP(PROVEEDORES[[#This Row],[PROVEEDOR]],TERCEROS_INFO[#All],2,FALSE)</f>
        <v>90</v>
      </c>
      <c r="D63" s="27">
        <f>+SUMIFS(PROVEEDORES[Total],PROVEEDORES[PROVEEDOR],PROVEEDORES[[#This Row],[PROVEEDOR]],PROVEEDORES[FECHA DE PAGO],"")</f>
        <v>0</v>
      </c>
      <c r="E63" s="27"/>
      <c r="F63" s="62" t="str">
        <f>+VLOOKUP(PROVEEDORES[[#This Row],[PROVEEDOR]],
                       Terceros!$A:$G,
                       6,
                       FALSE)</f>
        <v/>
      </c>
      <c r="G63" s="95">
        <v>44567</v>
      </c>
      <c r="H63" s="28" t="s">
        <v>1027</v>
      </c>
      <c r="I63" s="95">
        <v>44196</v>
      </c>
      <c r="J63" s="38"/>
      <c r="K63" s="23">
        <v>-20009300</v>
      </c>
      <c r="L63" s="23"/>
      <c r="M63" s="24">
        <v>0</v>
      </c>
      <c r="N63" s="25"/>
      <c r="O63" s="24">
        <v>0</v>
      </c>
      <c r="P63" s="136">
        <f>+IF(PROVEEDORES[[#This Row],[SUBTOTAL]]&lt;PROVEEDORES[[#This Row],[base retencion]],0,PROVEEDORES[[#This Row],[retención aplicada]])</f>
        <v>0</v>
      </c>
      <c r="Q63" s="24">
        <f>+PROVEEDORES[[#This Row],[Rete Fuente %]]*PROVEEDORES[[#This Row],[SUBTOTAL]]</f>
        <v>0</v>
      </c>
      <c r="R63" s="23">
        <v>-20009300</v>
      </c>
      <c r="S6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" s="99">
        <f ca="1">IF(PROVEEDORES[[#This Row],[FECHA DE PAGO]]=0,TODAY()-PROVEEDORES[[#This Row],[FECHA DE FACTURACIÓN]]-PROVEEDORES[[#This Row],[PLAZO Días]],0)</f>
        <v>0</v>
      </c>
      <c r="U63" s="149">
        <f>+VLOOKUP(PROVEEDORES[[#This Row],[PROVEEDOR]],Terceros!$A:$E,5,FALSE)</f>
        <v>0</v>
      </c>
      <c r="V63" s="150">
        <f>+YEAR(PROVEEDORES[[#This Row],[FECHA DE FACTURACIÓN]])</f>
        <v>2020</v>
      </c>
      <c r="W63" s="150">
        <f>+MATCH(PROVEEDORES[[#This Row],[año facturado]],Retenciones!$1:$1,0)</f>
        <v>3</v>
      </c>
      <c r="X63" s="151">
        <f>+VLOOKUP(PROVEEDORES[[#This Row],[ID RETENCION]],Retenciones!$A$1:$O$24,PROVEEDORES[[#This Row],[indicador de columna]],FALSE)</f>
        <v>0</v>
      </c>
      <c r="Y63" s="152">
        <f>+VLOOKUP(PROVEEDORES[[#This Row],[ID RETENCION]],Retenciones!$A$1:$O$24,2,FALSE)</f>
        <v>0</v>
      </c>
      <c r="Z63" s="26"/>
      <c r="AA63" s="26"/>
      <c r="AB63" s="26"/>
      <c r="AC63" s="26"/>
      <c r="AD63" s="26"/>
      <c r="AE63" s="26"/>
    </row>
    <row r="64" spans="1:31" ht="21.95" customHeight="1" x14ac:dyDescent="0.25">
      <c r="A64" s="97" t="str">
        <f>+IF(PROVEEDORES[[#This Row],[FECHA DE PAGO]]=PROVEEDORES[[#This Row],[FECHA DE FACTURACIÓN]],"DE CONTADO","CRÉDITO")</f>
        <v>CRÉDITO</v>
      </c>
      <c r="B64" s="41" t="str">
        <f>+IF((PROVEEDORES[[#This Row],[FECHA DE PAGO]]-PROVEEDORES[[#This Row],[FECHA DE FACTURACIÓN]])&gt;PROVEEDORES[[#This Row],[PLAZO Días]],"PAGO VENCIDO")</f>
        <v>PAGO VENCIDO</v>
      </c>
      <c r="C64" s="22">
        <f>+VLOOKUP(PROVEEDORES[[#This Row],[PROVEEDOR]],TERCEROS_INFO[#All],2,FALSE)</f>
        <v>30</v>
      </c>
      <c r="D64" s="27">
        <f>+SUMIFS(PROVEEDORES[Total],PROVEEDORES[PROVEEDOR],PROVEEDORES[[#This Row],[PROVEEDOR]],PROVEEDORES[FECHA DE PAGO],"")</f>
        <v>0</v>
      </c>
      <c r="E64" s="27"/>
      <c r="F64" s="62" t="str">
        <f>+VLOOKUP(PROVEEDORES[[#This Row],[PROVEEDOR]],
                       Terceros!$A:$G,
                       6,
                       FALSE)</f>
        <v>jarlysas@gmail.com;o.clockinternational@gmail.com;girlesa.ruiz@servipilas.com;joriescobar64@gmail.com</v>
      </c>
      <c r="G64" s="95">
        <v>44414</v>
      </c>
      <c r="H64" s="28" t="s">
        <v>1042</v>
      </c>
      <c r="I64" s="95">
        <v>44196</v>
      </c>
      <c r="J64" s="38" t="s">
        <v>669</v>
      </c>
      <c r="K64" s="23">
        <v>-510000.68</v>
      </c>
      <c r="L64" s="23"/>
      <c r="M64" s="24">
        <v>0</v>
      </c>
      <c r="N64" s="25"/>
      <c r="O64" s="24">
        <v>0</v>
      </c>
      <c r="P64" s="136">
        <f>+IF(PROVEEDORES[[#This Row],[SUBTOTAL]]&lt;PROVEEDORES[[#This Row],[base retencion]],0,PROVEEDORES[[#This Row],[retención aplicada]])</f>
        <v>0</v>
      </c>
      <c r="Q64" s="24">
        <f>+PROVEEDORES[[#This Row],[Rete Fuente %]]*PROVEEDORES[[#This Row],[SUBTOTAL]]</f>
        <v>0</v>
      </c>
      <c r="R64" s="23">
        <v>-510000.68</v>
      </c>
      <c r="S6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" s="99">
        <f ca="1">IF(PROVEEDORES[[#This Row],[FECHA DE PAGO]]=0,TODAY()-PROVEEDORES[[#This Row],[FECHA DE FACTURACIÓN]]-PROVEEDORES[[#This Row],[PLAZO Días]],0)</f>
        <v>0</v>
      </c>
      <c r="U64" s="149">
        <f>+VLOOKUP(PROVEEDORES[[#This Row],[PROVEEDOR]],Terceros!$A:$E,5,FALSE)</f>
        <v>0</v>
      </c>
      <c r="V64" s="150">
        <f>+YEAR(PROVEEDORES[[#This Row],[FECHA DE FACTURACIÓN]])</f>
        <v>2020</v>
      </c>
      <c r="W64" s="150">
        <f>+MATCH(PROVEEDORES[[#This Row],[año facturado]],Retenciones!$1:$1,0)</f>
        <v>3</v>
      </c>
      <c r="X64" s="151">
        <f>+VLOOKUP(PROVEEDORES[[#This Row],[ID RETENCION]],Retenciones!$A$1:$O$24,PROVEEDORES[[#This Row],[indicador de columna]],FALSE)</f>
        <v>0</v>
      </c>
      <c r="Y64" s="152">
        <f>+VLOOKUP(PROVEEDORES[[#This Row],[ID RETENCION]],Retenciones!$A$1:$O$24,2,FALSE)</f>
        <v>0</v>
      </c>
      <c r="Z64" s="26"/>
      <c r="AA64" s="26"/>
      <c r="AB64" s="26"/>
      <c r="AC64" s="26"/>
      <c r="AD64" s="26"/>
      <c r="AE64" s="26"/>
    </row>
    <row r="65" spans="1:31" ht="21.95" customHeight="1" x14ac:dyDescent="0.25">
      <c r="A65" s="97" t="str">
        <f>+IF(PROVEEDORES[[#This Row],[FECHA DE PAGO]]=PROVEEDORES[[#This Row],[FECHA DE FACTURACIÓN]],"DE CONTADO","CRÉDITO")</f>
        <v>CRÉDITO</v>
      </c>
      <c r="B65" s="41" t="b">
        <f>+IF((PROVEEDORES[[#This Row],[FECHA DE PAGO]]-PROVEEDORES[[#This Row],[FECHA DE FACTURACIÓN]])&gt;PROVEEDORES[[#This Row],[PLAZO Días]],"PAGO VENCIDO")</f>
        <v>0</v>
      </c>
      <c r="C65" s="22">
        <f>+VLOOKUP(PROVEEDORES[[#This Row],[PROVEEDOR]],TERCEROS_INFO[#All],2,FALSE)</f>
        <v>30</v>
      </c>
      <c r="D65" s="27">
        <f>+SUMIFS(PROVEEDORES[Total],PROVEEDORES[PROVEEDOR],PROVEEDORES[[#This Row],[PROVEEDOR]],PROVEEDORES[FECHA DE PAGO],"")</f>
        <v>0</v>
      </c>
      <c r="E65" s="27"/>
      <c r="F65" s="62" t="str">
        <f>+VLOOKUP(PROVEEDORES[[#This Row],[PROVEEDOR]],
                       Terceros!$A:$G,
                       6,
                       FALSE)</f>
        <v>senalizacionyavisos@gmail.com;girlesa.ruiz@servipilas.com;joriescobar64@gmail.com</v>
      </c>
      <c r="G65" s="95">
        <v>44198</v>
      </c>
      <c r="H65" s="28" t="s">
        <v>338</v>
      </c>
      <c r="I65" s="95">
        <v>44197</v>
      </c>
      <c r="J65" s="38">
        <v>422</v>
      </c>
      <c r="K65" s="23">
        <v>54000</v>
      </c>
      <c r="L65" s="23"/>
      <c r="M65" s="24">
        <v>10260</v>
      </c>
      <c r="N65" s="25"/>
      <c r="O65" s="24">
        <v>0</v>
      </c>
      <c r="P65" s="136">
        <f>+IF(PROVEEDORES[[#This Row],[SUBTOTAL]]&lt;PROVEEDORES[[#This Row],[base retencion]],0,PROVEEDORES[[#This Row],[retención aplicada]])</f>
        <v>0</v>
      </c>
      <c r="Q65" s="24">
        <f>+PROVEEDORES[[#This Row],[Rete Fuente %]]*PROVEEDORES[[#This Row],[SUBTOTAL]]</f>
        <v>0</v>
      </c>
      <c r="R65" s="23">
        <v>64260</v>
      </c>
      <c r="S6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" s="99">
        <f ca="1">IF(PROVEEDORES[[#This Row],[FECHA DE PAGO]]=0,TODAY()-PROVEEDORES[[#This Row],[FECHA DE FACTURACIÓN]]-PROVEEDORES[[#This Row],[PLAZO Días]],0)</f>
        <v>0</v>
      </c>
      <c r="U65" s="149" t="str">
        <f>+VLOOKUP(PROVEEDORES[[#This Row],[PROVEEDOR]],Terceros!$A:$E,5,FALSE)</f>
        <v>2,5% con base</v>
      </c>
      <c r="V65" s="150">
        <f>+YEAR(PROVEEDORES[[#This Row],[FECHA DE FACTURACIÓN]])</f>
        <v>2021</v>
      </c>
      <c r="W65" s="150">
        <f>+MATCH(PROVEEDORES[[#This Row],[año facturado]],Retenciones!$1:$1,0)</f>
        <v>4</v>
      </c>
      <c r="X65" s="151">
        <f>+VLOOKUP(PROVEEDORES[[#This Row],[ID RETENCION]],Retenciones!$A$1:$O$24,PROVEEDORES[[#This Row],[indicador de columna]],FALSE)</f>
        <v>980000</v>
      </c>
      <c r="Y65" s="152">
        <f>+VLOOKUP(PROVEEDORES[[#This Row],[ID RETENCION]],Retenciones!$A$1:$O$24,2,FALSE)</f>
        <v>2.5000000000000001E-2</v>
      </c>
      <c r="Z65" s="26"/>
      <c r="AA65" s="26"/>
      <c r="AB65" s="26"/>
      <c r="AC65" s="26"/>
      <c r="AD65" s="26"/>
      <c r="AE65" s="26"/>
    </row>
    <row r="66" spans="1:31" ht="21.95" customHeight="1" x14ac:dyDescent="0.25">
      <c r="A66" s="97" t="str">
        <f>+IF(PROVEEDORES[[#This Row],[FECHA DE PAGO]]=PROVEEDORES[[#This Row],[FECHA DE FACTURACIÓN]],"DE CONTADO","CRÉDITO")</f>
        <v>CRÉDITO</v>
      </c>
      <c r="B66" s="41" t="b">
        <f>+IF((PROVEEDORES[[#This Row],[FECHA DE PAGO]]-PROVEEDORES[[#This Row],[FECHA DE FACTURACIÓN]])&gt;PROVEEDORES[[#This Row],[PLAZO Días]],"PAGO VENCIDO")</f>
        <v>0</v>
      </c>
      <c r="C66" s="22">
        <f>+VLOOKUP(PROVEEDORES[[#This Row],[PROVEEDOR]],TERCEROS_INFO[#All],2,FALSE)</f>
        <v>30</v>
      </c>
      <c r="D66" s="27">
        <f>+SUMIFS(PROVEEDORES[Total],PROVEEDORES[PROVEEDOR],PROVEEDORES[[#This Row],[PROVEEDOR]],PROVEEDORES[FECHA DE PAGO],"")</f>
        <v>0</v>
      </c>
      <c r="E66" s="27"/>
      <c r="F66" s="62" t="str">
        <f>+VLOOKUP(PROVEEDORES[[#This Row],[PROVEEDOR]],
                       Terceros!$A:$G,
                       6,
                       FALSE)</f>
        <v>PSE</v>
      </c>
      <c r="G66" s="95">
        <v>44225</v>
      </c>
      <c r="H66" s="28" t="s">
        <v>339</v>
      </c>
      <c r="I66" s="95">
        <v>44197</v>
      </c>
      <c r="J66" s="38"/>
      <c r="K66" s="23">
        <v>340400</v>
      </c>
      <c r="L66" s="23"/>
      <c r="M66" s="24">
        <v>0</v>
      </c>
      <c r="N66" s="25"/>
      <c r="O66" s="24">
        <v>0</v>
      </c>
      <c r="P66" s="136">
        <f>+IF(PROVEEDORES[[#This Row],[SUBTOTAL]]&lt;PROVEEDORES[[#This Row],[base retencion]],0,PROVEEDORES[[#This Row],[retención aplicada]])</f>
        <v>0</v>
      </c>
      <c r="Q66" s="24">
        <f>+PROVEEDORES[[#This Row],[Rete Fuente %]]*PROVEEDORES[[#This Row],[SUBTOTAL]]</f>
        <v>0</v>
      </c>
      <c r="R66" s="23">
        <v>340400</v>
      </c>
      <c r="S6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" s="99">
        <f ca="1">IF(PROVEEDORES[[#This Row],[FECHA DE PAGO]]=0,TODAY()-PROVEEDORES[[#This Row],[FECHA DE FACTURACIÓN]]-PROVEEDORES[[#This Row],[PLAZO Días]],0)</f>
        <v>0</v>
      </c>
      <c r="U66" s="149">
        <f>+VLOOKUP(PROVEEDORES[[#This Row],[PROVEEDOR]],Terceros!$A:$E,5,FALSE)</f>
        <v>0</v>
      </c>
      <c r="V66" s="150">
        <f>+YEAR(PROVEEDORES[[#This Row],[FECHA DE FACTURACIÓN]])</f>
        <v>2021</v>
      </c>
      <c r="W66" s="150">
        <f>+MATCH(PROVEEDORES[[#This Row],[año facturado]],Retenciones!$1:$1,0)</f>
        <v>4</v>
      </c>
      <c r="X66" s="151">
        <f>+VLOOKUP(PROVEEDORES[[#This Row],[ID RETENCION]],Retenciones!$A$1:$O$24,PROVEEDORES[[#This Row],[indicador de columna]],FALSE)</f>
        <v>0</v>
      </c>
      <c r="Y66" s="152">
        <f>+VLOOKUP(PROVEEDORES[[#This Row],[ID RETENCION]],Retenciones!$A$1:$O$24,2,FALSE)</f>
        <v>0</v>
      </c>
      <c r="Z66" s="26"/>
      <c r="AA66" s="26"/>
      <c r="AB66" s="26"/>
      <c r="AC66" s="26"/>
      <c r="AD66" s="26"/>
      <c r="AE66" s="26"/>
    </row>
    <row r="67" spans="1:31" ht="21.95" customHeight="1" x14ac:dyDescent="0.25">
      <c r="A67" s="97" t="str">
        <f>+IF(PROVEEDORES[[#This Row],[FECHA DE PAGO]]=PROVEEDORES[[#This Row],[FECHA DE FACTURACIÓN]],"DE CONTADO","CRÉDITO")</f>
        <v>CRÉDITO</v>
      </c>
      <c r="B67" s="41" t="str">
        <f>+IF((PROVEEDORES[[#This Row],[FECHA DE PAGO]]-PROVEEDORES[[#This Row],[FECHA DE FACTURACIÓN]])&gt;PROVEEDORES[[#This Row],[PLAZO Días]],"PAGO VENCIDO")</f>
        <v>PAGO VENCIDO</v>
      </c>
      <c r="C67" s="22">
        <f>+VLOOKUP(PROVEEDORES[[#This Row],[PROVEEDOR]],TERCEROS_INFO[#All],2,FALSE)</f>
        <v>30</v>
      </c>
      <c r="D67" s="27">
        <f>+SUMIFS(PROVEEDORES[Total],PROVEEDORES[PROVEEDOR],PROVEEDORES[[#This Row],[PROVEEDOR]],PROVEEDORES[FECHA DE PAGO],"")</f>
        <v>0</v>
      </c>
      <c r="E67" s="27"/>
      <c r="F67" s="62" t="str">
        <f>+VLOOKUP(PROVEEDORES[[#This Row],[PROVEEDOR]],
                       Terceros!$A:$G,
                       6,
                       FALSE)</f>
        <v>contabilidad@comercialweb.com.co;info@servipilas.com</v>
      </c>
      <c r="G67" s="95">
        <v>44229</v>
      </c>
      <c r="H67" s="28" t="s">
        <v>341</v>
      </c>
      <c r="I67" s="95">
        <v>44197</v>
      </c>
      <c r="J67" s="38">
        <v>204</v>
      </c>
      <c r="K67" s="23">
        <v>490000</v>
      </c>
      <c r="L67" s="23"/>
      <c r="M67" s="24">
        <v>0</v>
      </c>
      <c r="N67" s="25"/>
      <c r="O67" s="24">
        <v>0</v>
      </c>
      <c r="P67" s="136">
        <f>+IF(PROVEEDORES[[#This Row],[SUBTOTAL]]&lt;PROVEEDORES[[#This Row],[base retencion]],0,PROVEEDORES[[#This Row],[retención aplicada]])</f>
        <v>3.5000000000000003E-2</v>
      </c>
      <c r="Q67" s="24">
        <f>+PROVEEDORES[[#This Row],[Rete Fuente %]]*PROVEEDORES[[#This Row],[SUBTOTAL]]</f>
        <v>17150</v>
      </c>
      <c r="R67" s="23">
        <v>490000</v>
      </c>
      <c r="S6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" s="99">
        <f ca="1">IF(PROVEEDORES[[#This Row],[FECHA DE PAGO]]=0,TODAY()-PROVEEDORES[[#This Row],[FECHA DE FACTURACIÓN]]-PROVEEDORES[[#This Row],[PLAZO Días]],0)</f>
        <v>0</v>
      </c>
      <c r="U67" s="149" t="str">
        <f>+VLOOKUP(PROVEEDORES[[#This Row],[PROVEEDOR]],Terceros!$A:$E,5,FALSE)</f>
        <v>3,5% sin base</v>
      </c>
      <c r="V67" s="150">
        <f>+YEAR(PROVEEDORES[[#This Row],[FECHA DE FACTURACIÓN]])</f>
        <v>2021</v>
      </c>
      <c r="W67" s="150">
        <f>+MATCH(PROVEEDORES[[#This Row],[año facturado]],Retenciones!$1:$1,0)</f>
        <v>4</v>
      </c>
      <c r="X67" s="151">
        <f>+VLOOKUP(PROVEEDORES[[#This Row],[ID RETENCION]],Retenciones!$A$1:$O$24,PROVEEDORES[[#This Row],[indicador de columna]],FALSE)</f>
        <v>0</v>
      </c>
      <c r="Y67" s="152">
        <f>+VLOOKUP(PROVEEDORES[[#This Row],[ID RETENCION]],Retenciones!$A$1:$O$24,2,FALSE)</f>
        <v>3.5000000000000003E-2</v>
      </c>
      <c r="Z67" s="26"/>
      <c r="AA67" s="26"/>
      <c r="AB67" s="26"/>
      <c r="AC67" s="26"/>
      <c r="AD67" s="26"/>
      <c r="AE67" s="26"/>
    </row>
    <row r="68" spans="1:31" ht="21.95" customHeight="1" x14ac:dyDescent="0.25">
      <c r="A68" s="97" t="str">
        <f>+IF(PROVEEDORES[[#This Row],[FECHA DE PAGO]]=PROVEEDORES[[#This Row],[FECHA DE FACTURACIÓN]],"DE CONTADO","CRÉDITO")</f>
        <v>CRÉDITO</v>
      </c>
      <c r="B68" s="41" t="b">
        <f>+IF((PROVEEDORES[[#This Row],[FECHA DE PAGO]]-PROVEEDORES[[#This Row],[FECHA DE FACTURACIÓN]])&gt;PROVEEDORES[[#This Row],[PLAZO Días]],"PAGO VENCIDO")</f>
        <v>0</v>
      </c>
      <c r="C68" s="22">
        <f>+VLOOKUP(PROVEEDORES[[#This Row],[PROVEEDOR]],TERCEROS_INFO[#All],2,FALSE)</f>
        <v>30</v>
      </c>
      <c r="D68" s="27">
        <f>+SUMIFS(PROVEEDORES[Total],PROVEEDORES[PROVEEDOR],PROVEEDORES[[#This Row],[PROVEEDOR]],PROVEEDORES[FECHA DE PAGO],"")</f>
        <v>0</v>
      </c>
      <c r="E68" s="27"/>
      <c r="F68" s="62" t="str">
        <f>+VLOOKUP(PROVEEDORES[[#This Row],[PROVEEDOR]],
                       Terceros!$A:$G,
                       6,
                       FALSE)</f>
        <v>vromero@flashinternational.us;girlesa.ruiz@servipilas.com;joriescobar64@gmail.com</v>
      </c>
      <c r="G68" s="95">
        <v>44204</v>
      </c>
      <c r="H68" s="28" t="s">
        <v>142</v>
      </c>
      <c r="I68" s="95">
        <v>44200</v>
      </c>
      <c r="J68" s="38">
        <v>9660</v>
      </c>
      <c r="K68" s="23">
        <v>406800</v>
      </c>
      <c r="L68" s="23"/>
      <c r="M68" s="24">
        <v>0</v>
      </c>
      <c r="N68" s="25"/>
      <c r="O68" s="24">
        <v>0</v>
      </c>
      <c r="P68" s="136">
        <f>+IF(PROVEEDORES[[#This Row],[SUBTOTAL]]&lt;PROVEEDORES[[#This Row],[base retencion]],0,PROVEEDORES[[#This Row],[retención aplicada]])</f>
        <v>0</v>
      </c>
      <c r="Q68" s="24">
        <f>+PROVEEDORES[[#This Row],[Rete Fuente %]]*PROVEEDORES[[#This Row],[SUBTOTAL]]</f>
        <v>0</v>
      </c>
      <c r="R68" s="23">
        <v>406800</v>
      </c>
      <c r="S6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" s="99">
        <f ca="1">IF(PROVEEDORES[[#This Row],[FECHA DE PAGO]]=0,TODAY()-PROVEEDORES[[#This Row],[FECHA DE FACTURACIÓN]]-PROVEEDORES[[#This Row],[PLAZO Días]],0)</f>
        <v>0</v>
      </c>
      <c r="U68" s="149">
        <f>+VLOOKUP(PROVEEDORES[[#This Row],[PROVEEDOR]],Terceros!$A:$E,5,FALSE)</f>
        <v>0</v>
      </c>
      <c r="V68" s="150">
        <f>+YEAR(PROVEEDORES[[#This Row],[FECHA DE FACTURACIÓN]])</f>
        <v>2021</v>
      </c>
      <c r="W68" s="150">
        <f>+MATCH(PROVEEDORES[[#This Row],[año facturado]],Retenciones!$1:$1,0)</f>
        <v>4</v>
      </c>
      <c r="X68" s="151">
        <f>+VLOOKUP(PROVEEDORES[[#This Row],[ID RETENCION]],Retenciones!$A$1:$O$24,PROVEEDORES[[#This Row],[indicador de columna]],FALSE)</f>
        <v>0</v>
      </c>
      <c r="Y68" s="152">
        <f>+VLOOKUP(PROVEEDORES[[#This Row],[ID RETENCION]],Retenciones!$A$1:$O$24,2,FALSE)</f>
        <v>0</v>
      </c>
      <c r="Z68" s="26"/>
      <c r="AA68" s="26"/>
      <c r="AB68" s="26"/>
      <c r="AC68" s="26"/>
      <c r="AD68" s="26"/>
      <c r="AE68" s="26"/>
    </row>
    <row r="69" spans="1:31" ht="21.95" customHeight="1" x14ac:dyDescent="0.25">
      <c r="A69" s="97" t="str">
        <f>+IF(PROVEEDORES[[#This Row],[FECHA DE PAGO]]=PROVEEDORES[[#This Row],[FECHA DE FACTURACIÓN]],"DE CONTADO","CRÉDITO")</f>
        <v>CRÉDITO</v>
      </c>
      <c r="B69" s="41" t="b">
        <f>+IF((PROVEEDORES[[#This Row],[FECHA DE PAGO]]-PROVEEDORES[[#This Row],[FECHA DE FACTURACIÓN]])&gt;PROVEEDORES[[#This Row],[PLAZO Días]],"PAGO VENCIDO")</f>
        <v>0</v>
      </c>
      <c r="C69" s="22">
        <f>+VLOOKUP(PROVEEDORES[[#This Row],[PROVEEDOR]],TERCEROS_INFO[#All],2,FALSE)</f>
        <v>30</v>
      </c>
      <c r="D69" s="27">
        <f>+SUMIFS(PROVEEDORES[Total],PROVEEDORES[PROVEEDOR],PROVEEDORES[[#This Row],[PROVEEDOR]],PROVEEDORES[FECHA DE PAGO],"")</f>
        <v>1979529.3</v>
      </c>
      <c r="E69" s="27"/>
      <c r="F69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69" s="95">
        <v>44208</v>
      </c>
      <c r="H69" s="28" t="s">
        <v>17</v>
      </c>
      <c r="I69" s="95">
        <v>44201</v>
      </c>
      <c r="J69" s="38">
        <v>1710675</v>
      </c>
      <c r="K69" s="23">
        <v>302521.00840336137</v>
      </c>
      <c r="L69" s="23"/>
      <c r="M69" s="24">
        <v>57478.991596638662</v>
      </c>
      <c r="N69" s="25"/>
      <c r="O69" s="24">
        <v>0</v>
      </c>
      <c r="P69" s="136">
        <f>+IF(PROVEEDORES[[#This Row],[SUBTOTAL]]&lt;PROVEEDORES[[#This Row],[base retencion]],0,PROVEEDORES[[#This Row],[retención aplicada]])</f>
        <v>0</v>
      </c>
      <c r="Q69" s="24">
        <f>+PROVEEDORES[[#This Row],[Rete Fuente %]]*PROVEEDORES[[#This Row],[SUBTOTAL]]</f>
        <v>0</v>
      </c>
      <c r="R69" s="23">
        <v>360000</v>
      </c>
      <c r="S6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" s="99">
        <f ca="1">IF(PROVEEDORES[[#This Row],[FECHA DE PAGO]]=0,TODAY()-PROVEEDORES[[#This Row],[FECHA DE FACTURACIÓN]]-PROVEEDORES[[#This Row],[PLAZO Días]],0)</f>
        <v>0</v>
      </c>
      <c r="U69" s="149">
        <f>+VLOOKUP(PROVEEDORES[[#This Row],[PROVEEDOR]],Terceros!$A:$E,5,FALSE)</f>
        <v>0</v>
      </c>
      <c r="V69" s="150">
        <f>+YEAR(PROVEEDORES[[#This Row],[FECHA DE FACTURACIÓN]])</f>
        <v>2021</v>
      </c>
      <c r="W69" s="150">
        <f>+MATCH(PROVEEDORES[[#This Row],[año facturado]],Retenciones!$1:$1,0)</f>
        <v>4</v>
      </c>
      <c r="X69" s="151">
        <f>+VLOOKUP(PROVEEDORES[[#This Row],[ID RETENCION]],Retenciones!$A$1:$O$24,PROVEEDORES[[#This Row],[indicador de columna]],FALSE)</f>
        <v>0</v>
      </c>
      <c r="Y69" s="152">
        <f>+VLOOKUP(PROVEEDORES[[#This Row],[ID RETENCION]],Retenciones!$A$1:$O$24,2,FALSE)</f>
        <v>0</v>
      </c>
      <c r="Z69" s="26"/>
      <c r="AA69" s="26"/>
      <c r="AB69" s="26"/>
      <c r="AC69" s="26"/>
      <c r="AD69" s="26"/>
      <c r="AE69" s="26"/>
    </row>
    <row r="70" spans="1:31" ht="21.95" customHeight="1" x14ac:dyDescent="0.25">
      <c r="A70" s="97" t="str">
        <f>+IF(PROVEEDORES[[#This Row],[FECHA DE PAGO]]=PROVEEDORES[[#This Row],[FECHA DE FACTURACIÓN]],"DE CONTADO","CRÉDITO")</f>
        <v>DE CONTADO</v>
      </c>
      <c r="B70" s="41" t="b">
        <f>+IF((PROVEEDORES[[#This Row],[FECHA DE PAGO]]-PROVEEDORES[[#This Row],[FECHA DE FACTURACIÓN]])&gt;PROVEEDORES[[#This Row],[PLAZO Días]],"PAGO VENCIDO")</f>
        <v>0</v>
      </c>
      <c r="C70" s="22">
        <f>+VLOOKUP(PROVEEDORES[[#This Row],[PROVEEDOR]],TERCEROS_INFO[#All],2,FALSE)</f>
        <v>30</v>
      </c>
      <c r="D70" s="27">
        <f>+SUMIFS(PROVEEDORES[Total],PROVEEDORES[PROVEEDOR],PROVEEDORES[[#This Row],[PROVEEDOR]],PROVEEDORES[FECHA DE PAGO],"")</f>
        <v>0</v>
      </c>
      <c r="E70" s="27"/>
      <c r="F70" s="62" t="str">
        <f>+VLOOKUP(PROVEEDORES[[#This Row],[PROVEEDOR]],
                       Terceros!$A:$G,
                       6,
                       FALSE)</f>
        <v/>
      </c>
      <c r="G70" s="95">
        <v>44201</v>
      </c>
      <c r="H70" s="28" t="s">
        <v>1031</v>
      </c>
      <c r="I70" s="95">
        <v>44201</v>
      </c>
      <c r="J70" s="38" t="s">
        <v>670</v>
      </c>
      <c r="K70" s="23">
        <v>750000</v>
      </c>
      <c r="L70" s="23"/>
      <c r="M70" s="24">
        <v>0</v>
      </c>
      <c r="N70" s="25"/>
      <c r="O70" s="24">
        <v>0</v>
      </c>
      <c r="P70" s="136">
        <f>+IF(PROVEEDORES[[#This Row],[SUBTOTAL]]&lt;PROVEEDORES[[#This Row],[base retencion]],0,PROVEEDORES[[#This Row],[retención aplicada]])</f>
        <v>0</v>
      </c>
      <c r="Q70" s="24">
        <f>+PROVEEDORES[[#This Row],[Rete Fuente %]]*PROVEEDORES[[#This Row],[SUBTOTAL]]</f>
        <v>0</v>
      </c>
      <c r="R70" s="23">
        <v>750000</v>
      </c>
      <c r="S7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" s="99">
        <f ca="1">IF(PROVEEDORES[[#This Row],[FECHA DE PAGO]]=0,TODAY()-PROVEEDORES[[#This Row],[FECHA DE FACTURACIÓN]]-PROVEEDORES[[#This Row],[PLAZO Días]],0)</f>
        <v>0</v>
      </c>
      <c r="U70" s="149">
        <f>+VLOOKUP(PROVEEDORES[[#This Row],[PROVEEDOR]],Terceros!$A:$E,5,FALSE)</f>
        <v>0</v>
      </c>
      <c r="V70" s="150">
        <f>+YEAR(PROVEEDORES[[#This Row],[FECHA DE FACTURACIÓN]])</f>
        <v>2021</v>
      </c>
      <c r="W70" s="150">
        <f>+MATCH(PROVEEDORES[[#This Row],[año facturado]],Retenciones!$1:$1,0)</f>
        <v>4</v>
      </c>
      <c r="X70" s="151">
        <f>+VLOOKUP(PROVEEDORES[[#This Row],[ID RETENCION]],Retenciones!$A$1:$O$24,PROVEEDORES[[#This Row],[indicador de columna]],FALSE)</f>
        <v>0</v>
      </c>
      <c r="Y70" s="152">
        <f>+VLOOKUP(PROVEEDORES[[#This Row],[ID RETENCION]],Retenciones!$A$1:$O$24,2,FALSE)</f>
        <v>0</v>
      </c>
      <c r="Z70" s="26"/>
      <c r="AA70" s="26"/>
      <c r="AB70" s="26"/>
      <c r="AC70" s="26"/>
      <c r="AD70" s="26"/>
      <c r="AE70" s="26"/>
    </row>
    <row r="71" spans="1:31" ht="21.95" customHeight="1" x14ac:dyDescent="0.25">
      <c r="A71" s="97" t="str">
        <f>+IF(PROVEEDORES[[#This Row],[FECHA DE PAGO]]=PROVEEDORES[[#This Row],[FECHA DE FACTURACIÓN]],"DE CONTADO","CRÉDITO")</f>
        <v>CRÉDITO</v>
      </c>
      <c r="B71" s="41" t="b">
        <f>+IF((PROVEEDORES[[#This Row],[FECHA DE PAGO]]-PROVEEDORES[[#This Row],[FECHA DE FACTURACIÓN]])&gt;PROVEEDORES[[#This Row],[PLAZO Días]],"PAGO VENCIDO")</f>
        <v>0</v>
      </c>
      <c r="C71" s="22">
        <f>+VLOOKUP(PROVEEDORES[[#This Row],[PROVEEDOR]],TERCEROS_INFO[#All],2,FALSE)</f>
        <v>45</v>
      </c>
      <c r="D71" s="27">
        <f>+SUMIFS(PROVEEDORES[Total],PROVEEDORES[PROVEEDOR],PROVEEDORES[[#This Row],[PROVEEDOR]],PROVEEDORES[FECHA DE PAGO],"")</f>
        <v>37184068.039999999</v>
      </c>
      <c r="E71" s="27"/>
      <c r="F71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71" s="95">
        <v>44239</v>
      </c>
      <c r="H71" s="28" t="s">
        <v>19</v>
      </c>
      <c r="I71" s="95">
        <v>44201</v>
      </c>
      <c r="J71" s="38" t="s">
        <v>104</v>
      </c>
      <c r="K71" s="23">
        <v>3875040.3361344538</v>
      </c>
      <c r="L71" s="23"/>
      <c r="M71" s="24">
        <v>736257.66386554623</v>
      </c>
      <c r="N71" s="25"/>
      <c r="O71" s="24">
        <v>0</v>
      </c>
      <c r="P71" s="136">
        <f>+IF(PROVEEDORES[[#This Row],[SUBTOTAL]]&lt;PROVEEDORES[[#This Row],[base retencion]],0,PROVEEDORES[[#This Row],[retención aplicada]])</f>
        <v>0</v>
      </c>
      <c r="Q71" s="24">
        <f>+PROVEEDORES[[#This Row],[Rete Fuente %]]*PROVEEDORES[[#This Row],[SUBTOTAL]]</f>
        <v>0</v>
      </c>
      <c r="R71" s="23">
        <v>4611298</v>
      </c>
      <c r="S7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" s="99">
        <f ca="1">IF(PROVEEDORES[[#This Row],[FECHA DE PAGO]]=0,TODAY()-PROVEEDORES[[#This Row],[FECHA DE FACTURACIÓN]]-PROVEEDORES[[#This Row],[PLAZO Días]],0)</f>
        <v>0</v>
      </c>
      <c r="U71" s="149">
        <f>+VLOOKUP(PROVEEDORES[[#This Row],[PROVEEDOR]],Terceros!$A:$E,5,FALSE)</f>
        <v>0</v>
      </c>
      <c r="V71" s="150">
        <f>+YEAR(PROVEEDORES[[#This Row],[FECHA DE FACTURACIÓN]])</f>
        <v>2021</v>
      </c>
      <c r="W71" s="150">
        <f>+MATCH(PROVEEDORES[[#This Row],[año facturado]],Retenciones!$1:$1,0)</f>
        <v>4</v>
      </c>
      <c r="X71" s="151">
        <f>+VLOOKUP(PROVEEDORES[[#This Row],[ID RETENCION]],Retenciones!$A$1:$O$24,PROVEEDORES[[#This Row],[indicador de columna]],FALSE)</f>
        <v>0</v>
      </c>
      <c r="Y71" s="152">
        <f>+VLOOKUP(PROVEEDORES[[#This Row],[ID RETENCION]],Retenciones!$A$1:$O$24,2,FALSE)</f>
        <v>0</v>
      </c>
      <c r="Z71" s="26"/>
      <c r="AA71" s="26"/>
      <c r="AB71" s="26"/>
      <c r="AC71" s="26"/>
      <c r="AD71" s="26"/>
      <c r="AE71" s="26"/>
    </row>
    <row r="72" spans="1:31" ht="21.95" customHeight="1" x14ac:dyDescent="0.25">
      <c r="A72" s="97" t="str">
        <f>+IF(PROVEEDORES[[#This Row],[FECHA DE PAGO]]=PROVEEDORES[[#This Row],[FECHA DE FACTURACIÓN]],"DE CONTADO","CRÉDITO")</f>
        <v>CRÉDITO</v>
      </c>
      <c r="B72" s="41" t="str">
        <f>+IF((PROVEEDORES[[#This Row],[FECHA DE PAGO]]-PROVEEDORES[[#This Row],[FECHA DE FACTURACIÓN]])&gt;PROVEEDORES[[#This Row],[PLAZO Días]],"PAGO VENCIDO")</f>
        <v>PAGO VENCIDO</v>
      </c>
      <c r="C72" s="22">
        <f>+VLOOKUP(PROVEEDORES[[#This Row],[PROVEEDOR]],TERCEROS_INFO[#All],2,FALSE)</f>
        <v>90</v>
      </c>
      <c r="D72" s="27">
        <f>+SUMIFS(PROVEEDORES[Total],PROVEEDORES[PROVEEDOR],PROVEEDORES[[#This Row],[PROVEEDOR]],PROVEEDORES[FECHA DE PAGO],"")</f>
        <v>0</v>
      </c>
      <c r="E72" s="27"/>
      <c r="F72" s="62" t="str">
        <f>+VLOOKUP(PROVEEDORES[[#This Row],[PROVEEDOR]],
                       Terceros!$A:$G,
                       6,
                       FALSE)</f>
        <v/>
      </c>
      <c r="G72" s="95">
        <v>44567</v>
      </c>
      <c r="H72" s="28" t="s">
        <v>1027</v>
      </c>
      <c r="I72" s="95">
        <v>44203</v>
      </c>
      <c r="J72" s="38"/>
      <c r="K72" s="23">
        <v>-5180200</v>
      </c>
      <c r="L72" s="23"/>
      <c r="M72" s="24">
        <v>0</v>
      </c>
      <c r="N72" s="25"/>
      <c r="O72" s="24">
        <v>0</v>
      </c>
      <c r="P72" s="136">
        <f>+IF(PROVEEDORES[[#This Row],[SUBTOTAL]]&lt;PROVEEDORES[[#This Row],[base retencion]],0,PROVEEDORES[[#This Row],[retención aplicada]])</f>
        <v>0</v>
      </c>
      <c r="Q72" s="24">
        <f>+PROVEEDORES[[#This Row],[Rete Fuente %]]*PROVEEDORES[[#This Row],[SUBTOTAL]]</f>
        <v>0</v>
      </c>
      <c r="R72" s="23">
        <v>-5180200</v>
      </c>
      <c r="S7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" s="99">
        <f ca="1">IF(PROVEEDORES[[#This Row],[FECHA DE PAGO]]=0,TODAY()-PROVEEDORES[[#This Row],[FECHA DE FACTURACIÓN]]-PROVEEDORES[[#This Row],[PLAZO Días]],0)</f>
        <v>0</v>
      </c>
      <c r="U72" s="149">
        <f>+VLOOKUP(PROVEEDORES[[#This Row],[PROVEEDOR]],Terceros!$A:$E,5,FALSE)</f>
        <v>0</v>
      </c>
      <c r="V72" s="150">
        <f>+YEAR(PROVEEDORES[[#This Row],[FECHA DE FACTURACIÓN]])</f>
        <v>2021</v>
      </c>
      <c r="W72" s="150">
        <f>+MATCH(PROVEEDORES[[#This Row],[año facturado]],Retenciones!$1:$1,0)</f>
        <v>4</v>
      </c>
      <c r="X72" s="151">
        <f>+VLOOKUP(PROVEEDORES[[#This Row],[ID RETENCION]],Retenciones!$A$1:$O$24,PROVEEDORES[[#This Row],[indicador de columna]],FALSE)</f>
        <v>0</v>
      </c>
      <c r="Y72" s="152">
        <f>+VLOOKUP(PROVEEDORES[[#This Row],[ID RETENCION]],Retenciones!$A$1:$O$24,2,FALSE)</f>
        <v>0</v>
      </c>
      <c r="Z72" s="26"/>
      <c r="AA72" s="26"/>
      <c r="AB72" s="26"/>
      <c r="AC72" s="26"/>
      <c r="AD72" s="26"/>
      <c r="AE72" s="26"/>
    </row>
    <row r="73" spans="1:31" ht="21.95" customHeight="1" x14ac:dyDescent="0.25">
      <c r="A73" s="97" t="str">
        <f>+IF(PROVEEDORES[[#This Row],[FECHA DE PAGO]]=PROVEEDORES[[#This Row],[FECHA DE FACTURACIÓN]],"DE CONTADO","CRÉDITO")</f>
        <v>DE CONTADO</v>
      </c>
      <c r="B73" s="41" t="b">
        <f>+IF((PROVEEDORES[[#This Row],[FECHA DE PAGO]]-PROVEEDORES[[#This Row],[FECHA DE FACTURACIÓN]])&gt;PROVEEDORES[[#This Row],[PLAZO Días]],"PAGO VENCIDO")</f>
        <v>0</v>
      </c>
      <c r="C73" s="22">
        <f>+VLOOKUP(PROVEEDORES[[#This Row],[PROVEEDOR]],TERCEROS_INFO[#All],2,FALSE)</f>
        <v>30</v>
      </c>
      <c r="D73" s="27">
        <f>+SUMIFS(PROVEEDORES[Total],PROVEEDORES[PROVEEDOR],PROVEEDORES[[#This Row],[PROVEEDOR]],PROVEEDORES[FECHA DE PAGO],"")</f>
        <v>0</v>
      </c>
      <c r="E73" s="27"/>
      <c r="F73" s="62" t="str">
        <f>+VLOOKUP(PROVEEDORES[[#This Row],[PROVEEDOR]],
                       Terceros!$A:$G,
                       6,
                       FALSE)</f>
        <v/>
      </c>
      <c r="G73" s="95">
        <v>44204</v>
      </c>
      <c r="H73" s="28" t="s">
        <v>37</v>
      </c>
      <c r="I73" s="95">
        <v>44204</v>
      </c>
      <c r="J73" s="38">
        <v>8935</v>
      </c>
      <c r="K73" s="23">
        <v>139700</v>
      </c>
      <c r="L73" s="23"/>
      <c r="M73" s="24">
        <v>26543</v>
      </c>
      <c r="N73" s="25"/>
      <c r="O73" s="24">
        <v>0</v>
      </c>
      <c r="P73" s="136">
        <f>+IF(PROVEEDORES[[#This Row],[SUBTOTAL]]&lt;PROVEEDORES[[#This Row],[base retencion]],0,PROVEEDORES[[#This Row],[retención aplicada]])</f>
        <v>0</v>
      </c>
      <c r="Q73" s="24">
        <f>+PROVEEDORES[[#This Row],[Rete Fuente %]]*PROVEEDORES[[#This Row],[SUBTOTAL]]</f>
        <v>0</v>
      </c>
      <c r="R73" s="23">
        <v>166243</v>
      </c>
      <c r="S7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" s="99">
        <f ca="1">IF(PROVEEDORES[[#This Row],[FECHA DE PAGO]]=0,TODAY()-PROVEEDORES[[#This Row],[FECHA DE FACTURACIÓN]]-PROVEEDORES[[#This Row],[PLAZO Días]],0)</f>
        <v>0</v>
      </c>
      <c r="U73" s="149" t="str">
        <f>+VLOOKUP(PROVEEDORES[[#This Row],[PROVEEDOR]],Terceros!$A:$E,5,FALSE)</f>
        <v>2,5% con base</v>
      </c>
      <c r="V73" s="150">
        <f>+YEAR(PROVEEDORES[[#This Row],[FECHA DE FACTURACIÓN]])</f>
        <v>2021</v>
      </c>
      <c r="W73" s="150">
        <f>+MATCH(PROVEEDORES[[#This Row],[año facturado]],Retenciones!$1:$1,0)</f>
        <v>4</v>
      </c>
      <c r="X73" s="151">
        <f>+VLOOKUP(PROVEEDORES[[#This Row],[ID RETENCION]],Retenciones!$A$1:$O$24,PROVEEDORES[[#This Row],[indicador de columna]],FALSE)</f>
        <v>980000</v>
      </c>
      <c r="Y73" s="152">
        <f>+VLOOKUP(PROVEEDORES[[#This Row],[ID RETENCION]],Retenciones!$A$1:$O$24,2,FALSE)</f>
        <v>2.5000000000000001E-2</v>
      </c>
      <c r="Z73" s="26"/>
      <c r="AA73" s="26"/>
      <c r="AB73" s="26"/>
      <c r="AC73" s="26"/>
      <c r="AD73" s="26"/>
      <c r="AE73" s="26"/>
    </row>
    <row r="74" spans="1:31" ht="21.95" customHeight="1" x14ac:dyDescent="0.25">
      <c r="A74" s="97" t="str">
        <f>+IF(PROVEEDORES[[#This Row],[FECHA DE PAGO]]=PROVEEDORES[[#This Row],[FECHA DE FACTURACIÓN]],"DE CONTADO","CRÉDITO")</f>
        <v>CRÉDITO</v>
      </c>
      <c r="B74" s="41" t="str">
        <f>+IF((PROVEEDORES[[#This Row],[FECHA DE PAGO]]-PROVEEDORES[[#This Row],[FECHA DE FACTURACIÓN]])&gt;PROVEEDORES[[#This Row],[PLAZO Días]],"PAGO VENCIDO")</f>
        <v>PAGO VENCIDO</v>
      </c>
      <c r="C74" s="22">
        <f>+VLOOKUP(PROVEEDORES[[#This Row],[PROVEEDOR]],TERCEROS_INFO[#All],2,FALSE)</f>
        <v>30</v>
      </c>
      <c r="D74" s="27">
        <f>+SUMIFS(PROVEEDORES[Total],PROVEEDORES[PROVEEDOR],PROVEEDORES[[#This Row],[PROVEEDOR]],PROVEEDORES[FECHA DE PAGO],"")</f>
        <v>0</v>
      </c>
      <c r="E74" s="27"/>
      <c r="F74" s="62" t="str">
        <f>+VLOOKUP(PROVEEDORES[[#This Row],[PROVEEDOR]],
                       Terceros!$A:$G,
                       6,
                       FALSE)</f>
        <v>vromero@flashinternational.us;girlesa.ruiz@servipilas.com;joriescobar64@gmail.com</v>
      </c>
      <c r="G74" s="95">
        <v>44248</v>
      </c>
      <c r="H74" s="28" t="s">
        <v>133</v>
      </c>
      <c r="I74" s="95">
        <v>44204</v>
      </c>
      <c r="J74" s="38" t="s">
        <v>671</v>
      </c>
      <c r="K74" s="23">
        <v>1372000</v>
      </c>
      <c r="L74" s="23"/>
      <c r="M74" s="24">
        <v>0</v>
      </c>
      <c r="N74" s="25"/>
      <c r="O74" s="24">
        <v>0</v>
      </c>
      <c r="P74" s="136">
        <f>+IF(PROVEEDORES[[#This Row],[SUBTOTAL]]&lt;PROVEEDORES[[#This Row],[base retencion]],0,PROVEEDORES[[#This Row],[retención aplicada]])</f>
        <v>0</v>
      </c>
      <c r="Q74" s="24">
        <f>+PROVEEDORES[[#This Row],[Rete Fuente %]]*PROVEEDORES[[#This Row],[SUBTOTAL]]</f>
        <v>0</v>
      </c>
      <c r="R74" s="23">
        <v>1372000</v>
      </c>
      <c r="S7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" s="99">
        <f ca="1">IF(PROVEEDORES[[#This Row],[FECHA DE PAGO]]=0,TODAY()-PROVEEDORES[[#This Row],[FECHA DE FACTURACIÓN]]-PROVEEDORES[[#This Row],[PLAZO Días]],0)</f>
        <v>0</v>
      </c>
      <c r="U74" s="149">
        <f>+VLOOKUP(PROVEEDORES[[#This Row],[PROVEEDOR]],Terceros!$A:$E,5,FALSE)</f>
        <v>0</v>
      </c>
      <c r="V74" s="150">
        <f>+YEAR(PROVEEDORES[[#This Row],[FECHA DE FACTURACIÓN]])</f>
        <v>2021</v>
      </c>
      <c r="W74" s="150">
        <f>+MATCH(PROVEEDORES[[#This Row],[año facturado]],Retenciones!$1:$1,0)</f>
        <v>4</v>
      </c>
      <c r="X74" s="151">
        <f>+VLOOKUP(PROVEEDORES[[#This Row],[ID RETENCION]],Retenciones!$A$1:$O$24,PROVEEDORES[[#This Row],[indicador de columna]],FALSE)</f>
        <v>0</v>
      </c>
      <c r="Y74" s="152">
        <f>+VLOOKUP(PROVEEDORES[[#This Row],[ID RETENCION]],Retenciones!$A$1:$O$24,2,FALSE)</f>
        <v>0</v>
      </c>
      <c r="Z74" s="26"/>
      <c r="AA74" s="26"/>
      <c r="AB74" s="26"/>
      <c r="AC74" s="26"/>
      <c r="AD74" s="26"/>
      <c r="AE74" s="26"/>
    </row>
    <row r="75" spans="1:31" ht="21.95" customHeight="1" x14ac:dyDescent="0.25">
      <c r="A75" s="97" t="str">
        <f>+IF(PROVEEDORES[[#This Row],[FECHA DE PAGO]]=PROVEEDORES[[#This Row],[FECHA DE FACTURACIÓN]],"DE CONTADO","CRÉDITO")</f>
        <v>CRÉDITO</v>
      </c>
      <c r="B75" s="41" t="b">
        <f>+IF((PROVEEDORES[[#This Row],[FECHA DE PAGO]]-PROVEEDORES[[#This Row],[FECHA DE FACTURACIÓN]])&gt;PROVEEDORES[[#This Row],[PLAZO Días]],"PAGO VENCIDO")</f>
        <v>0</v>
      </c>
      <c r="C75" s="22">
        <f>+VLOOKUP(PROVEEDORES[[#This Row],[PROVEEDOR]],TERCEROS_INFO[#All],2,FALSE)</f>
        <v>30</v>
      </c>
      <c r="D75" s="27">
        <f>+SUMIFS(PROVEEDORES[Total],PROVEEDORES[PROVEEDOR],PROVEEDORES[[#This Row],[PROVEEDOR]],PROVEEDORES[FECHA DE PAGO],"")</f>
        <v>0</v>
      </c>
      <c r="E75" s="27"/>
      <c r="F75" s="62" t="str">
        <f>+VLOOKUP(PROVEEDORES[[#This Row],[PROVEEDOR]],
                       Terceros!$A:$G,
                       6,
                       FALSE)</f>
        <v>vromero@flashinternational.us;girlesa.ruiz@servipilas.com;joriescobar64@gmail.com</v>
      </c>
      <c r="G75" s="95">
        <v>44198</v>
      </c>
      <c r="H75" s="28" t="s">
        <v>133</v>
      </c>
      <c r="I75" s="95">
        <v>44204</v>
      </c>
      <c r="J75" s="38" t="s">
        <v>105</v>
      </c>
      <c r="K75" s="23">
        <v>1732000</v>
      </c>
      <c r="L75" s="23"/>
      <c r="M75" s="24">
        <v>0</v>
      </c>
      <c r="N75" s="25"/>
      <c r="O75" s="24">
        <v>0</v>
      </c>
      <c r="P75" s="136">
        <f>+IF(PROVEEDORES[[#This Row],[SUBTOTAL]]&lt;PROVEEDORES[[#This Row],[base retencion]],0,PROVEEDORES[[#This Row],[retención aplicada]])</f>
        <v>0</v>
      </c>
      <c r="Q75" s="24">
        <f>+PROVEEDORES[[#This Row],[Rete Fuente %]]*PROVEEDORES[[#This Row],[SUBTOTAL]]</f>
        <v>0</v>
      </c>
      <c r="R75" s="23">
        <v>1732000</v>
      </c>
      <c r="S7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" s="99">
        <f ca="1">IF(PROVEEDORES[[#This Row],[FECHA DE PAGO]]=0,TODAY()-PROVEEDORES[[#This Row],[FECHA DE FACTURACIÓN]]-PROVEEDORES[[#This Row],[PLAZO Días]],0)</f>
        <v>0</v>
      </c>
      <c r="U75" s="149">
        <f>+VLOOKUP(PROVEEDORES[[#This Row],[PROVEEDOR]],Terceros!$A:$E,5,FALSE)</f>
        <v>0</v>
      </c>
      <c r="V75" s="150">
        <f>+YEAR(PROVEEDORES[[#This Row],[FECHA DE FACTURACIÓN]])</f>
        <v>2021</v>
      </c>
      <c r="W75" s="150">
        <f>+MATCH(PROVEEDORES[[#This Row],[año facturado]],Retenciones!$1:$1,0)</f>
        <v>4</v>
      </c>
      <c r="X75" s="151">
        <f>+VLOOKUP(PROVEEDORES[[#This Row],[ID RETENCION]],Retenciones!$A$1:$O$24,PROVEEDORES[[#This Row],[indicador de columna]],FALSE)</f>
        <v>0</v>
      </c>
      <c r="Y75" s="152">
        <f>+VLOOKUP(PROVEEDORES[[#This Row],[ID RETENCION]],Retenciones!$A$1:$O$24,2,FALSE)</f>
        <v>0</v>
      </c>
      <c r="Z75" s="26"/>
      <c r="AA75" s="26"/>
      <c r="AB75" s="26"/>
      <c r="AC75" s="26"/>
      <c r="AD75" s="26"/>
      <c r="AE75" s="26"/>
    </row>
    <row r="76" spans="1:31" ht="21.95" customHeight="1" x14ac:dyDescent="0.25">
      <c r="A76" s="97" t="str">
        <f>+IF(PROVEEDORES[[#This Row],[FECHA DE PAGO]]=PROVEEDORES[[#This Row],[FECHA DE FACTURACIÓN]],"DE CONTADO","CRÉDITO")</f>
        <v>CRÉDITO</v>
      </c>
      <c r="B76" s="41" t="b">
        <f>+IF((PROVEEDORES[[#This Row],[FECHA DE PAGO]]-PROVEEDORES[[#This Row],[FECHA DE FACTURACIÓN]])&gt;PROVEEDORES[[#This Row],[PLAZO Días]],"PAGO VENCIDO")</f>
        <v>0</v>
      </c>
      <c r="C76" s="22">
        <f>+VLOOKUP(PROVEEDORES[[#This Row],[PROVEEDOR]],TERCEROS_INFO[#All],2,FALSE)</f>
        <v>10</v>
      </c>
      <c r="D76" s="27">
        <f>+SUMIFS(PROVEEDORES[Total],PROVEEDORES[PROVEEDOR],PROVEEDORES[[#This Row],[PROVEEDOR]],PROVEEDORES[FECHA DE PAGO],"")</f>
        <v>0</v>
      </c>
      <c r="E76" s="27"/>
      <c r="F76" s="62" t="str">
        <f>+VLOOKUP(PROVEEDORES[[#This Row],[PROVEEDOR]],
                       Terceros!$A:$G,
                       6,
                       FALSE)</f>
        <v/>
      </c>
      <c r="G76" s="95">
        <v>44215</v>
      </c>
      <c r="H76" s="28" t="s">
        <v>23</v>
      </c>
      <c r="I76" s="95">
        <v>44205</v>
      </c>
      <c r="J76" s="38">
        <v>279400</v>
      </c>
      <c r="K76" s="23">
        <v>4590250</v>
      </c>
      <c r="L76" s="23"/>
      <c r="M76" s="24">
        <v>0</v>
      </c>
      <c r="N76" s="25"/>
      <c r="O76" s="24">
        <v>0</v>
      </c>
      <c r="P76" s="136">
        <f>+IF(PROVEEDORES[[#This Row],[SUBTOTAL]]&lt;PROVEEDORES[[#This Row],[base retencion]],0,PROVEEDORES[[#This Row],[retención aplicada]])</f>
        <v>0</v>
      </c>
      <c r="Q76" s="24">
        <f>+PROVEEDORES[[#This Row],[Rete Fuente %]]*PROVEEDORES[[#This Row],[SUBTOTAL]]</f>
        <v>0</v>
      </c>
      <c r="R76" s="23">
        <v>4590250</v>
      </c>
      <c r="S7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" s="99">
        <f ca="1">IF(PROVEEDORES[[#This Row],[FECHA DE PAGO]]=0,TODAY()-PROVEEDORES[[#This Row],[FECHA DE FACTURACIÓN]]-PROVEEDORES[[#This Row],[PLAZO Días]],0)</f>
        <v>0</v>
      </c>
      <c r="U76" s="149">
        <f>+VLOOKUP(PROVEEDORES[[#This Row],[PROVEEDOR]],Terceros!$A:$E,5,FALSE)</f>
        <v>0</v>
      </c>
      <c r="V76" s="150">
        <f>+YEAR(PROVEEDORES[[#This Row],[FECHA DE FACTURACIÓN]])</f>
        <v>2021</v>
      </c>
      <c r="W76" s="150">
        <f>+MATCH(PROVEEDORES[[#This Row],[año facturado]],Retenciones!$1:$1,0)</f>
        <v>4</v>
      </c>
      <c r="X76" s="151">
        <f>+VLOOKUP(PROVEEDORES[[#This Row],[ID RETENCION]],Retenciones!$A$1:$O$24,PROVEEDORES[[#This Row],[indicador de columna]],FALSE)</f>
        <v>0</v>
      </c>
      <c r="Y76" s="152">
        <f>+VLOOKUP(PROVEEDORES[[#This Row],[ID RETENCION]],Retenciones!$A$1:$O$24,2,FALSE)</f>
        <v>0</v>
      </c>
      <c r="Z76" s="26"/>
      <c r="AA76" s="26"/>
      <c r="AB76" s="26"/>
      <c r="AC76" s="26"/>
      <c r="AD76" s="26"/>
      <c r="AE76" s="26"/>
    </row>
    <row r="77" spans="1:31" ht="21.95" customHeight="1" x14ac:dyDescent="0.25">
      <c r="A77" s="97" t="str">
        <f>+IF(PROVEEDORES[[#This Row],[FECHA DE PAGO]]=PROVEEDORES[[#This Row],[FECHA DE FACTURACIÓN]],"DE CONTADO","CRÉDITO")</f>
        <v>CRÉDITO</v>
      </c>
      <c r="B77" s="41" t="str">
        <f>+IF((PROVEEDORES[[#This Row],[FECHA DE PAGO]]-PROVEEDORES[[#This Row],[FECHA DE FACTURACIÓN]])&gt;PROVEEDORES[[#This Row],[PLAZO Días]],"PAGO VENCIDO")</f>
        <v>PAGO VENCIDO</v>
      </c>
      <c r="C77" s="22">
        <f>+VLOOKUP(PROVEEDORES[[#This Row],[PROVEEDOR]],TERCEROS_INFO[#All],2,FALSE)</f>
        <v>30</v>
      </c>
      <c r="D77" s="27">
        <f>+SUMIFS(PROVEEDORES[Total],PROVEEDORES[PROVEEDOR],PROVEEDORES[[#This Row],[PROVEEDOR]],PROVEEDORES[FECHA DE PAGO],"")</f>
        <v>3844432.4999000002</v>
      </c>
      <c r="E77" s="27"/>
      <c r="F77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77" s="95">
        <v>44257</v>
      </c>
      <c r="H77" s="28" t="s">
        <v>18</v>
      </c>
      <c r="I77" s="95">
        <v>44208</v>
      </c>
      <c r="J77" s="38">
        <v>1033186</v>
      </c>
      <c r="K77" s="23">
        <v>2093726.1764705882</v>
      </c>
      <c r="L77" s="23"/>
      <c r="M77" s="24">
        <v>397807.97352941177</v>
      </c>
      <c r="N77" s="25"/>
      <c r="O77" s="24">
        <v>0</v>
      </c>
      <c r="P77" s="136">
        <f>+IF(PROVEEDORES[[#This Row],[SUBTOTAL]]&lt;PROVEEDORES[[#This Row],[base retencion]],0,PROVEEDORES[[#This Row],[retención aplicada]])</f>
        <v>2.5000000000000001E-2</v>
      </c>
      <c r="Q77" s="24">
        <f>+PROVEEDORES[[#This Row],[Rete Fuente %]]*PROVEEDORES[[#This Row],[SUBTOTAL]]</f>
        <v>52343.154411764706</v>
      </c>
      <c r="R77" s="23">
        <v>2439190.9955882351</v>
      </c>
      <c r="S7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" s="99">
        <f ca="1">IF(PROVEEDORES[[#This Row],[FECHA DE PAGO]]=0,TODAY()-PROVEEDORES[[#This Row],[FECHA DE FACTURACIÓN]]-PROVEEDORES[[#This Row],[PLAZO Días]],0)</f>
        <v>0</v>
      </c>
      <c r="U77" s="149" t="str">
        <f>+VLOOKUP(PROVEEDORES[[#This Row],[PROVEEDOR]],Terceros!$A:$E,5,FALSE)</f>
        <v>2,5% con base</v>
      </c>
      <c r="V77" s="150">
        <f>+YEAR(PROVEEDORES[[#This Row],[FECHA DE FACTURACIÓN]])</f>
        <v>2021</v>
      </c>
      <c r="W77" s="150">
        <f>+MATCH(PROVEEDORES[[#This Row],[año facturado]],Retenciones!$1:$1,0)</f>
        <v>4</v>
      </c>
      <c r="X77" s="151">
        <f>+VLOOKUP(PROVEEDORES[[#This Row],[ID RETENCION]],Retenciones!$A$1:$O$24,PROVEEDORES[[#This Row],[indicador de columna]],FALSE)</f>
        <v>980000</v>
      </c>
      <c r="Y77" s="152">
        <f>+VLOOKUP(PROVEEDORES[[#This Row],[ID RETENCION]],Retenciones!$A$1:$O$24,2,FALSE)</f>
        <v>2.5000000000000001E-2</v>
      </c>
      <c r="Z77" s="26"/>
      <c r="AA77" s="26"/>
      <c r="AB77" s="26"/>
      <c r="AC77" s="26"/>
      <c r="AD77" s="26"/>
      <c r="AE77" s="26"/>
    </row>
    <row r="78" spans="1:31" ht="21.95" customHeight="1" x14ac:dyDescent="0.25">
      <c r="A78" s="97" t="str">
        <f>+IF(PROVEEDORES[[#This Row],[FECHA DE PAGO]]=PROVEEDORES[[#This Row],[FECHA DE FACTURACIÓN]],"DE CONTADO","CRÉDITO")</f>
        <v>DE CONTADO</v>
      </c>
      <c r="B78" s="41" t="b">
        <f>+IF((PROVEEDORES[[#This Row],[FECHA DE PAGO]]-PROVEEDORES[[#This Row],[FECHA DE FACTURACIÓN]])&gt;PROVEEDORES[[#This Row],[PLAZO Días]],"PAGO VENCIDO")</f>
        <v>0</v>
      </c>
      <c r="C78" s="22">
        <f>+VLOOKUP(PROVEEDORES[[#This Row],[PROVEEDOR]],TERCEROS_INFO[#All],2,FALSE)</f>
        <v>30</v>
      </c>
      <c r="D78" s="27">
        <f>+SUMIFS(PROVEEDORES[Total],PROVEEDORES[PROVEEDOR],PROVEEDORES[[#This Row],[PROVEEDOR]],PROVEEDORES[FECHA DE PAGO],"")</f>
        <v>0</v>
      </c>
      <c r="E78" s="27"/>
      <c r="F78" s="62" t="str">
        <f>+VLOOKUP(PROVEEDORES[[#This Row],[PROVEEDOR]],
                       Terceros!$A:$G,
                       6,
                       FALSE)</f>
        <v/>
      </c>
      <c r="G78" s="95">
        <v>44209</v>
      </c>
      <c r="H78" s="28" t="s">
        <v>107</v>
      </c>
      <c r="I78" s="95">
        <v>44209</v>
      </c>
      <c r="J78" s="38">
        <v>245</v>
      </c>
      <c r="K78" s="23">
        <v>46386.478991596647</v>
      </c>
      <c r="L78" s="23"/>
      <c r="M78" s="24">
        <v>8813.4310084033623</v>
      </c>
      <c r="N78" s="25"/>
      <c r="O78" s="24">
        <v>0</v>
      </c>
      <c r="P78" s="136">
        <f>+IF(PROVEEDORES[[#This Row],[SUBTOTAL]]&lt;PROVEEDORES[[#This Row],[base retencion]],0,PROVEEDORES[[#This Row],[retención aplicada]])</f>
        <v>0</v>
      </c>
      <c r="Q78" s="24">
        <f>+PROVEEDORES[[#This Row],[Rete Fuente %]]*PROVEEDORES[[#This Row],[SUBTOTAL]]</f>
        <v>0</v>
      </c>
      <c r="R78" s="23">
        <v>55199.910000000011</v>
      </c>
      <c r="S7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" s="99">
        <f ca="1">IF(PROVEEDORES[[#This Row],[FECHA DE PAGO]]=0,TODAY()-PROVEEDORES[[#This Row],[FECHA DE FACTURACIÓN]]-PROVEEDORES[[#This Row],[PLAZO Días]],0)</f>
        <v>0</v>
      </c>
      <c r="U78" s="149" t="str">
        <f>+VLOOKUP(PROVEEDORES[[#This Row],[PROVEEDOR]],Terceros!$A:$E,5,FALSE)</f>
        <v>2,5% con base</v>
      </c>
      <c r="V78" s="150">
        <f>+YEAR(PROVEEDORES[[#This Row],[FECHA DE FACTURACIÓN]])</f>
        <v>2021</v>
      </c>
      <c r="W78" s="150">
        <f>+MATCH(PROVEEDORES[[#This Row],[año facturado]],Retenciones!$1:$1,0)</f>
        <v>4</v>
      </c>
      <c r="X78" s="151">
        <f>+VLOOKUP(PROVEEDORES[[#This Row],[ID RETENCION]],Retenciones!$A$1:$O$24,PROVEEDORES[[#This Row],[indicador de columna]],FALSE)</f>
        <v>980000</v>
      </c>
      <c r="Y78" s="152">
        <f>+VLOOKUP(PROVEEDORES[[#This Row],[ID RETENCION]],Retenciones!$A$1:$O$24,2,FALSE)</f>
        <v>2.5000000000000001E-2</v>
      </c>
      <c r="Z78" s="26"/>
      <c r="AA78" s="26"/>
      <c r="AB78" s="26"/>
      <c r="AC78" s="26"/>
      <c r="AD78" s="26"/>
      <c r="AE78" s="26"/>
    </row>
    <row r="79" spans="1:31" ht="21.95" customHeight="1" x14ac:dyDescent="0.25">
      <c r="A79" s="97" t="str">
        <f>+IF(PROVEEDORES[[#This Row],[FECHA DE PAGO]]=PROVEEDORES[[#This Row],[FECHA DE FACTURACIÓN]],"DE CONTADO","CRÉDITO")</f>
        <v>DE CONTADO</v>
      </c>
      <c r="B79" s="41" t="b">
        <f>+IF((PROVEEDORES[[#This Row],[FECHA DE PAGO]]-PROVEEDORES[[#This Row],[FECHA DE FACTURACIÓN]])&gt;PROVEEDORES[[#This Row],[PLAZO Días]],"PAGO VENCIDO")</f>
        <v>0</v>
      </c>
      <c r="C79" s="22">
        <f>+VLOOKUP(PROVEEDORES[[#This Row],[PROVEEDOR]],TERCEROS_INFO[#All],2,FALSE)</f>
        <v>30</v>
      </c>
      <c r="D79" s="27">
        <f>+SUMIFS(PROVEEDORES[Total],PROVEEDORES[PROVEEDOR],PROVEEDORES[[#This Row],[PROVEEDOR]],PROVEEDORES[FECHA DE PAGO],"")</f>
        <v>0</v>
      </c>
      <c r="E79" s="27"/>
      <c r="F79" s="62" t="str">
        <f>+VLOOKUP(PROVEEDORES[[#This Row],[PROVEEDOR]],
                       Terceros!$A:$G,
                       6,
                       FALSE)</f>
        <v/>
      </c>
      <c r="G79" s="95">
        <v>44209</v>
      </c>
      <c r="H79" s="28" t="s">
        <v>1073</v>
      </c>
      <c r="I79" s="95">
        <v>44209</v>
      </c>
      <c r="J79" s="38">
        <v>2365</v>
      </c>
      <c r="K79" s="23">
        <v>65000</v>
      </c>
      <c r="L79" s="23"/>
      <c r="M79" s="24">
        <v>0</v>
      </c>
      <c r="N79" s="25"/>
      <c r="O79" s="24">
        <v>0</v>
      </c>
      <c r="P79" s="136">
        <f>+IF(PROVEEDORES[[#This Row],[SUBTOTAL]]&lt;PROVEEDORES[[#This Row],[base retencion]],0,PROVEEDORES[[#This Row],[retención aplicada]])</f>
        <v>0</v>
      </c>
      <c r="Q79" s="24">
        <f>+PROVEEDORES[[#This Row],[Rete Fuente %]]*PROVEEDORES[[#This Row],[SUBTOTAL]]</f>
        <v>0</v>
      </c>
      <c r="R79" s="23">
        <v>65000</v>
      </c>
      <c r="S7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" s="99">
        <f ca="1">IF(PROVEEDORES[[#This Row],[FECHA DE PAGO]]=0,TODAY()-PROVEEDORES[[#This Row],[FECHA DE FACTURACIÓN]]-PROVEEDORES[[#This Row],[PLAZO Días]],0)</f>
        <v>0</v>
      </c>
      <c r="U79" s="149">
        <f>+VLOOKUP(PROVEEDORES[[#This Row],[PROVEEDOR]],Terceros!$A:$E,5,FALSE)</f>
        <v>0</v>
      </c>
      <c r="V79" s="150">
        <f>+YEAR(PROVEEDORES[[#This Row],[FECHA DE FACTURACIÓN]])</f>
        <v>2021</v>
      </c>
      <c r="W79" s="150">
        <f>+MATCH(PROVEEDORES[[#This Row],[año facturado]],Retenciones!$1:$1,0)</f>
        <v>4</v>
      </c>
      <c r="X79" s="151">
        <f>+VLOOKUP(PROVEEDORES[[#This Row],[ID RETENCION]],Retenciones!$A$1:$O$24,PROVEEDORES[[#This Row],[indicador de columna]],FALSE)</f>
        <v>0</v>
      </c>
      <c r="Y79" s="152">
        <f>+VLOOKUP(PROVEEDORES[[#This Row],[ID RETENCION]],Retenciones!$A$1:$O$24,2,FALSE)</f>
        <v>0</v>
      </c>
      <c r="Z79" s="26"/>
      <c r="AA79" s="26"/>
      <c r="AB79" s="26"/>
      <c r="AC79" s="26"/>
      <c r="AD79" s="26"/>
      <c r="AE79" s="26"/>
    </row>
    <row r="80" spans="1:31" ht="21.95" customHeight="1" x14ac:dyDescent="0.25">
      <c r="A80" s="97" t="str">
        <f>+IF(PROVEEDORES[[#This Row],[FECHA DE PAGO]]=PROVEEDORES[[#This Row],[FECHA DE FACTURACIÓN]],"DE CONTADO","CRÉDITO")</f>
        <v>CRÉDITO</v>
      </c>
      <c r="B80" s="41" t="b">
        <f>+IF((PROVEEDORES[[#This Row],[FECHA DE PAGO]]-PROVEEDORES[[#This Row],[FECHA DE FACTURACIÓN]])&gt;PROVEEDORES[[#This Row],[PLAZO Días]],"PAGO VENCIDO")</f>
        <v>0</v>
      </c>
      <c r="C80" s="22">
        <f>+VLOOKUP(PROVEEDORES[[#This Row],[PROVEEDOR]],TERCEROS_INFO[#All],2,FALSE)</f>
        <v>30</v>
      </c>
      <c r="D80" s="27">
        <f>+SUMIFS(PROVEEDORES[Total],PROVEEDORES[PROVEEDOR],PROVEEDORES[[#This Row],[PROVEEDOR]],PROVEEDORES[FECHA DE PAGO],"")</f>
        <v>0</v>
      </c>
      <c r="E80" s="27"/>
      <c r="F80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80" s="95">
        <v>44210</v>
      </c>
      <c r="H80" s="28" t="s">
        <v>1040</v>
      </c>
      <c r="I80" s="95">
        <v>44209</v>
      </c>
      <c r="J80" s="38"/>
      <c r="K80" s="23">
        <v>241000</v>
      </c>
      <c r="L80" s="23"/>
      <c r="M80" s="24">
        <v>0</v>
      </c>
      <c r="N80" s="25"/>
      <c r="O80" s="24">
        <v>0</v>
      </c>
      <c r="P80" s="136">
        <f>+IF(PROVEEDORES[[#This Row],[SUBTOTAL]]&lt;PROVEEDORES[[#This Row],[base retencion]],0,PROVEEDORES[[#This Row],[retención aplicada]])</f>
        <v>0</v>
      </c>
      <c r="Q80" s="24">
        <f>+PROVEEDORES[[#This Row],[Rete Fuente %]]*PROVEEDORES[[#This Row],[SUBTOTAL]]</f>
        <v>0</v>
      </c>
      <c r="R80" s="23">
        <v>241000</v>
      </c>
      <c r="S8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" s="99">
        <f ca="1">IF(PROVEEDORES[[#This Row],[FECHA DE PAGO]]=0,TODAY()-PROVEEDORES[[#This Row],[FECHA DE FACTURACIÓN]]-PROVEEDORES[[#This Row],[PLAZO Días]],0)</f>
        <v>0</v>
      </c>
      <c r="U80" s="149">
        <f>+VLOOKUP(PROVEEDORES[[#This Row],[PROVEEDOR]],Terceros!$A:$E,5,FALSE)</f>
        <v>0</v>
      </c>
      <c r="V80" s="150">
        <f>+YEAR(PROVEEDORES[[#This Row],[FECHA DE FACTURACIÓN]])</f>
        <v>2021</v>
      </c>
      <c r="W80" s="150">
        <f>+MATCH(PROVEEDORES[[#This Row],[año facturado]],Retenciones!$1:$1,0)</f>
        <v>4</v>
      </c>
      <c r="X80" s="151">
        <f>+VLOOKUP(PROVEEDORES[[#This Row],[ID RETENCION]],Retenciones!$A$1:$O$24,PROVEEDORES[[#This Row],[indicador de columna]],FALSE)</f>
        <v>0</v>
      </c>
      <c r="Y80" s="152">
        <f>+VLOOKUP(PROVEEDORES[[#This Row],[ID RETENCION]],Retenciones!$A$1:$O$24,2,FALSE)</f>
        <v>0</v>
      </c>
      <c r="Z80" s="26"/>
      <c r="AA80" s="26"/>
      <c r="AB80" s="26"/>
      <c r="AC80" s="26"/>
      <c r="AD80" s="26"/>
      <c r="AE80" s="26"/>
    </row>
    <row r="81" spans="1:31" ht="21.95" customHeight="1" x14ac:dyDescent="0.25">
      <c r="A81" s="97" t="str">
        <f>+IF(PROVEEDORES[[#This Row],[FECHA DE PAGO]]=PROVEEDORES[[#This Row],[FECHA DE FACTURACIÓN]],"DE CONTADO","CRÉDITO")</f>
        <v>CRÉDITO</v>
      </c>
      <c r="B81" s="41" t="str">
        <f>+IF((PROVEEDORES[[#This Row],[FECHA DE PAGO]]-PROVEEDORES[[#This Row],[FECHA DE FACTURACIÓN]])&gt;PROVEEDORES[[#This Row],[PLAZO Días]],"PAGO VENCIDO")</f>
        <v>PAGO VENCIDO</v>
      </c>
      <c r="C81" s="22">
        <f>+VLOOKUP(PROVEEDORES[[#This Row],[PROVEEDOR]],TERCEROS_INFO[#All],2,FALSE)</f>
        <v>45</v>
      </c>
      <c r="D81" s="27">
        <f>+SUMIFS(PROVEEDORES[Total],PROVEEDORES[PROVEEDOR],PROVEEDORES[[#This Row],[PROVEEDOR]],PROVEEDORES[FECHA DE PAGO],"")</f>
        <v>3412539.2</v>
      </c>
      <c r="E81" s="27"/>
      <c r="F81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81" s="95">
        <v>44257</v>
      </c>
      <c r="H81" s="28" t="s">
        <v>10</v>
      </c>
      <c r="I81" s="95">
        <v>44209</v>
      </c>
      <c r="J81" s="38" t="s">
        <v>106</v>
      </c>
      <c r="K81" s="23">
        <v>938000</v>
      </c>
      <c r="L81" s="23"/>
      <c r="M81" s="24">
        <v>178220</v>
      </c>
      <c r="N81" s="25"/>
      <c r="O81" s="24">
        <v>0</v>
      </c>
      <c r="P81" s="136">
        <f>+IF(PROVEEDORES[[#This Row],[SUBTOTAL]]&lt;PROVEEDORES[[#This Row],[base retencion]],0,PROVEEDORES[[#This Row],[retención aplicada]])</f>
        <v>0</v>
      </c>
      <c r="Q81" s="24">
        <f>+PROVEEDORES[[#This Row],[Rete Fuente %]]*PROVEEDORES[[#This Row],[SUBTOTAL]]</f>
        <v>0</v>
      </c>
      <c r="R81" s="23">
        <v>1116220</v>
      </c>
      <c r="S8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" s="99">
        <f ca="1">IF(PROVEEDORES[[#This Row],[FECHA DE PAGO]]=0,TODAY()-PROVEEDORES[[#This Row],[FECHA DE FACTURACIÓN]]-PROVEEDORES[[#This Row],[PLAZO Días]],0)</f>
        <v>0</v>
      </c>
      <c r="U81" s="149">
        <f>+VLOOKUP(PROVEEDORES[[#This Row],[PROVEEDOR]],Terceros!$A:$E,5,FALSE)</f>
        <v>0</v>
      </c>
      <c r="V81" s="150">
        <f>+YEAR(PROVEEDORES[[#This Row],[FECHA DE FACTURACIÓN]])</f>
        <v>2021</v>
      </c>
      <c r="W81" s="150">
        <f>+MATCH(PROVEEDORES[[#This Row],[año facturado]],Retenciones!$1:$1,0)</f>
        <v>4</v>
      </c>
      <c r="X81" s="151">
        <f>+VLOOKUP(PROVEEDORES[[#This Row],[ID RETENCION]],Retenciones!$A$1:$O$24,PROVEEDORES[[#This Row],[indicador de columna]],FALSE)</f>
        <v>0</v>
      </c>
      <c r="Y81" s="152">
        <f>+VLOOKUP(PROVEEDORES[[#This Row],[ID RETENCION]],Retenciones!$A$1:$O$24,2,FALSE)</f>
        <v>0</v>
      </c>
      <c r="Z81" s="26"/>
      <c r="AA81" s="26"/>
      <c r="AB81" s="26"/>
      <c r="AC81" s="26"/>
      <c r="AD81" s="26"/>
      <c r="AE81" s="26"/>
    </row>
    <row r="82" spans="1:31" ht="21.95" customHeight="1" x14ac:dyDescent="0.25">
      <c r="A82" s="97" t="str">
        <f>+IF(PROVEEDORES[[#This Row],[FECHA DE PAGO]]=PROVEEDORES[[#This Row],[FECHA DE FACTURACIÓN]],"DE CONTADO","CRÉDITO")</f>
        <v>CRÉDITO</v>
      </c>
      <c r="B82" s="41" t="str">
        <f>+IF((PROVEEDORES[[#This Row],[FECHA DE PAGO]]-PROVEEDORES[[#This Row],[FECHA DE FACTURACIÓN]])&gt;PROVEEDORES[[#This Row],[PLAZO Días]],"PAGO VENCIDO")</f>
        <v>PAGO VENCIDO</v>
      </c>
      <c r="C82" s="22">
        <f>+VLOOKUP(PROVEEDORES[[#This Row],[PROVEEDOR]],TERCEROS_INFO[#All],2,FALSE)</f>
        <v>30</v>
      </c>
      <c r="D82" s="27">
        <f>+SUMIFS(PROVEEDORES[Total],PROVEEDORES[PROVEEDOR],PROVEEDORES[[#This Row],[PROVEEDOR]],PROVEEDORES[FECHA DE PAGO],"")</f>
        <v>6151200</v>
      </c>
      <c r="E82" s="27"/>
      <c r="F82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82" s="95">
        <v>44257</v>
      </c>
      <c r="H82" s="28" t="s">
        <v>11</v>
      </c>
      <c r="I82" s="95">
        <v>44209</v>
      </c>
      <c r="J82" s="38" t="s">
        <v>103</v>
      </c>
      <c r="K82" s="23">
        <v>3300000</v>
      </c>
      <c r="L82" s="23"/>
      <c r="M82" s="24">
        <v>627000</v>
      </c>
      <c r="N82" s="25"/>
      <c r="O82" s="24">
        <v>0</v>
      </c>
      <c r="P82" s="136">
        <f>+IF(PROVEEDORES[[#This Row],[SUBTOTAL]]&lt;PROVEEDORES[[#This Row],[base retencion]],0,PROVEEDORES[[#This Row],[retención aplicada]])</f>
        <v>2.5000000000000001E-2</v>
      </c>
      <c r="Q82" s="24">
        <f>+PROVEEDORES[[#This Row],[Rete Fuente %]]*PROVEEDORES[[#This Row],[SUBTOTAL]]</f>
        <v>82500</v>
      </c>
      <c r="R82" s="23">
        <v>3844500</v>
      </c>
      <c r="S8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" s="99">
        <f ca="1">IF(PROVEEDORES[[#This Row],[FECHA DE PAGO]]=0,TODAY()-PROVEEDORES[[#This Row],[FECHA DE FACTURACIÓN]]-PROVEEDORES[[#This Row],[PLAZO Días]],0)</f>
        <v>0</v>
      </c>
      <c r="U82" s="149" t="str">
        <f>+VLOOKUP(PROVEEDORES[[#This Row],[PROVEEDOR]],Terceros!$A:$E,5,FALSE)</f>
        <v>2,5% con base</v>
      </c>
      <c r="V82" s="150">
        <f>+YEAR(PROVEEDORES[[#This Row],[FECHA DE FACTURACIÓN]])</f>
        <v>2021</v>
      </c>
      <c r="W82" s="150">
        <f>+MATCH(PROVEEDORES[[#This Row],[año facturado]],Retenciones!$1:$1,0)</f>
        <v>4</v>
      </c>
      <c r="X82" s="151">
        <f>+VLOOKUP(PROVEEDORES[[#This Row],[ID RETENCION]],Retenciones!$A$1:$O$24,PROVEEDORES[[#This Row],[indicador de columna]],FALSE)</f>
        <v>980000</v>
      </c>
      <c r="Y82" s="152">
        <f>+VLOOKUP(PROVEEDORES[[#This Row],[ID RETENCION]],Retenciones!$A$1:$O$24,2,FALSE)</f>
        <v>2.5000000000000001E-2</v>
      </c>
      <c r="Z82" s="26"/>
      <c r="AA82" s="26"/>
      <c r="AB82" s="26"/>
      <c r="AC82" s="26"/>
      <c r="AD82" s="26"/>
      <c r="AE82" s="26"/>
    </row>
    <row r="83" spans="1:31" ht="21.95" customHeight="1" x14ac:dyDescent="0.25">
      <c r="A83" s="97" t="str">
        <f>+IF(PROVEEDORES[[#This Row],[FECHA DE PAGO]]=PROVEEDORES[[#This Row],[FECHA DE FACTURACIÓN]],"DE CONTADO","CRÉDITO")</f>
        <v>CRÉDITO</v>
      </c>
      <c r="B83" s="41" t="str">
        <f>+IF((PROVEEDORES[[#This Row],[FECHA DE PAGO]]-PROVEEDORES[[#This Row],[FECHA DE FACTURACIÓN]])&gt;PROVEEDORES[[#This Row],[PLAZO Días]],"PAGO VENCIDO")</f>
        <v>PAGO VENCIDO</v>
      </c>
      <c r="C83" s="22">
        <f>+VLOOKUP(PROVEEDORES[[#This Row],[PROVEEDOR]],TERCEROS_INFO[#All],2,FALSE)</f>
        <v>30</v>
      </c>
      <c r="D83" s="27">
        <f>+SUMIFS(PROVEEDORES[Total],PROVEEDORES[PROVEEDOR],PROVEEDORES[[#This Row],[PROVEEDOR]],PROVEEDORES[FECHA DE PAGO],"")</f>
        <v>3750700</v>
      </c>
      <c r="E83" s="27"/>
      <c r="F83" s="62" t="str">
        <f>+VLOOKUP(PROVEEDORES[[#This Row],[PROVEEDOR]],
                       Terceros!$A:$G,
                       6,
                       FALSE)</f>
        <v/>
      </c>
      <c r="G83" s="95">
        <v>44264</v>
      </c>
      <c r="H83" s="28" t="s">
        <v>990</v>
      </c>
      <c r="I83" s="95">
        <v>44210</v>
      </c>
      <c r="J83" s="38" t="s">
        <v>672</v>
      </c>
      <c r="K83" s="23">
        <v>534000</v>
      </c>
      <c r="L83" s="23"/>
      <c r="M83" s="24">
        <v>0</v>
      </c>
      <c r="N83" s="25"/>
      <c r="O83" s="24">
        <v>0</v>
      </c>
      <c r="P83" s="136">
        <f>+IF(PROVEEDORES[[#This Row],[SUBTOTAL]]&lt;PROVEEDORES[[#This Row],[base retencion]],0,PROVEEDORES[[#This Row],[retención aplicada]])</f>
        <v>0</v>
      </c>
      <c r="Q83" s="24">
        <f>+PROVEEDORES[[#This Row],[Rete Fuente %]]*PROVEEDORES[[#This Row],[SUBTOTAL]]</f>
        <v>0</v>
      </c>
      <c r="R83" s="23">
        <v>534000</v>
      </c>
      <c r="S8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" s="99">
        <f ca="1">IF(PROVEEDORES[[#This Row],[FECHA DE PAGO]]=0,TODAY()-PROVEEDORES[[#This Row],[FECHA DE FACTURACIÓN]]-PROVEEDORES[[#This Row],[PLAZO Días]],0)</f>
        <v>0</v>
      </c>
      <c r="U83" s="149">
        <f>+VLOOKUP(PROVEEDORES[[#This Row],[PROVEEDOR]],Terceros!$A:$E,5,FALSE)</f>
        <v>0</v>
      </c>
      <c r="V83" s="150">
        <f>+YEAR(PROVEEDORES[[#This Row],[FECHA DE FACTURACIÓN]])</f>
        <v>2021</v>
      </c>
      <c r="W83" s="150">
        <f>+MATCH(PROVEEDORES[[#This Row],[año facturado]],Retenciones!$1:$1,0)</f>
        <v>4</v>
      </c>
      <c r="X83" s="151">
        <f>+VLOOKUP(PROVEEDORES[[#This Row],[ID RETENCION]],Retenciones!$A$1:$O$24,PROVEEDORES[[#This Row],[indicador de columna]],FALSE)</f>
        <v>0</v>
      </c>
      <c r="Y83" s="152">
        <f>+VLOOKUP(PROVEEDORES[[#This Row],[ID RETENCION]],Retenciones!$A$1:$O$24,2,FALSE)</f>
        <v>0</v>
      </c>
      <c r="Z83" s="26"/>
      <c r="AA83" s="26"/>
      <c r="AB83" s="26"/>
      <c r="AC83" s="26"/>
      <c r="AD83" s="26"/>
      <c r="AE83" s="26"/>
    </row>
    <row r="84" spans="1:31" ht="21.95" customHeight="1" x14ac:dyDescent="0.25">
      <c r="A84" s="97" t="str">
        <f>+IF(PROVEEDORES[[#This Row],[FECHA DE PAGO]]=PROVEEDORES[[#This Row],[FECHA DE FACTURACIÓN]],"DE CONTADO","CRÉDITO")</f>
        <v>CRÉDITO</v>
      </c>
      <c r="B84" s="41" t="str">
        <f>+IF((PROVEEDORES[[#This Row],[FECHA DE PAGO]]-PROVEEDORES[[#This Row],[FECHA DE FACTURACIÓN]])&gt;PROVEEDORES[[#This Row],[PLAZO Días]],"PAGO VENCIDO")</f>
        <v>PAGO VENCIDO</v>
      </c>
      <c r="C84" s="22">
        <f>+VLOOKUP(PROVEEDORES[[#This Row],[PROVEEDOR]],TERCEROS_INFO[#All],2,FALSE)</f>
        <v>30</v>
      </c>
      <c r="D84" s="27">
        <f>+SUMIFS(PROVEEDORES[Total],PROVEEDORES[PROVEEDOR],PROVEEDORES[[#This Row],[PROVEEDOR]],PROVEEDORES[FECHA DE PAGO],"")</f>
        <v>1860500</v>
      </c>
      <c r="E84" s="27"/>
      <c r="F84" s="62" t="str">
        <f>+VLOOKUP(PROVEEDORES[[#This Row],[PROVEEDOR]],
                       Terceros!$A:$G,
                       6,
                       FALSE)</f>
        <v/>
      </c>
      <c r="G84" s="95">
        <v>44264</v>
      </c>
      <c r="H84" s="28" t="s">
        <v>1064</v>
      </c>
      <c r="I84" s="95">
        <v>44210</v>
      </c>
      <c r="J84" s="38">
        <v>757</v>
      </c>
      <c r="K84" s="23">
        <v>990500</v>
      </c>
      <c r="L84" s="23"/>
      <c r="M84" s="24">
        <v>0</v>
      </c>
      <c r="N84" s="25"/>
      <c r="O84" s="24">
        <v>0</v>
      </c>
      <c r="P84" s="136">
        <f>+IF(PROVEEDORES[[#This Row],[SUBTOTAL]]&lt;PROVEEDORES[[#This Row],[base retencion]],0,PROVEEDORES[[#This Row],[retención aplicada]])</f>
        <v>0</v>
      </c>
      <c r="Q84" s="24">
        <f>+PROVEEDORES[[#This Row],[Rete Fuente %]]*PROVEEDORES[[#This Row],[SUBTOTAL]]</f>
        <v>0</v>
      </c>
      <c r="R84" s="23">
        <v>990500</v>
      </c>
      <c r="S8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" s="99">
        <f ca="1">IF(PROVEEDORES[[#This Row],[FECHA DE PAGO]]=0,TODAY()-PROVEEDORES[[#This Row],[FECHA DE FACTURACIÓN]]-PROVEEDORES[[#This Row],[PLAZO Días]],0)</f>
        <v>0</v>
      </c>
      <c r="U84" s="149">
        <f>+VLOOKUP(PROVEEDORES[[#This Row],[PROVEEDOR]],Terceros!$A:$E,5,FALSE)</f>
        <v>0</v>
      </c>
      <c r="V84" s="150">
        <f>+YEAR(PROVEEDORES[[#This Row],[FECHA DE FACTURACIÓN]])</f>
        <v>2021</v>
      </c>
      <c r="W84" s="150">
        <f>+MATCH(PROVEEDORES[[#This Row],[año facturado]],Retenciones!$1:$1,0)</f>
        <v>4</v>
      </c>
      <c r="X84" s="151">
        <f>+VLOOKUP(PROVEEDORES[[#This Row],[ID RETENCION]],Retenciones!$A$1:$O$24,PROVEEDORES[[#This Row],[indicador de columna]],FALSE)</f>
        <v>0</v>
      </c>
      <c r="Y84" s="152">
        <f>+VLOOKUP(PROVEEDORES[[#This Row],[ID RETENCION]],Retenciones!$A$1:$O$24,2,FALSE)</f>
        <v>0</v>
      </c>
      <c r="Z84" s="26"/>
      <c r="AA84" s="26"/>
      <c r="AB84" s="26"/>
      <c r="AC84" s="26"/>
      <c r="AD84" s="26"/>
      <c r="AE84" s="26"/>
    </row>
    <row r="85" spans="1:31" ht="21.95" customHeight="1" x14ac:dyDescent="0.25">
      <c r="A85" s="97" t="str">
        <f>+IF(PROVEEDORES[[#This Row],[FECHA DE PAGO]]=PROVEEDORES[[#This Row],[FECHA DE FACTURACIÓN]],"DE CONTADO","CRÉDITO")</f>
        <v>CRÉDITO</v>
      </c>
      <c r="B85" s="41" t="str">
        <f>+IF((PROVEEDORES[[#This Row],[FECHA DE PAGO]]-PROVEEDORES[[#This Row],[FECHA DE FACTURACIÓN]])&gt;PROVEEDORES[[#This Row],[PLAZO Días]],"PAGO VENCIDO")</f>
        <v>PAGO VENCIDO</v>
      </c>
      <c r="C85" s="22">
        <f>+VLOOKUP(PROVEEDORES[[#This Row],[PROVEEDOR]],TERCEROS_INFO[#All],2,FALSE)</f>
        <v>45</v>
      </c>
      <c r="D85" s="27">
        <f>+SUMIFS(PROVEEDORES[Total],PROVEEDORES[PROVEEDOR],PROVEEDORES[[#This Row],[PROVEEDOR]],PROVEEDORES[FECHA DE PAGO],"")</f>
        <v>37184068.039999999</v>
      </c>
      <c r="E85" s="27"/>
      <c r="F85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85" s="95">
        <v>44264</v>
      </c>
      <c r="H85" s="28" t="s">
        <v>19</v>
      </c>
      <c r="I85" s="95">
        <v>44211</v>
      </c>
      <c r="J85" s="38" t="s">
        <v>238</v>
      </c>
      <c r="K85" s="23">
        <v>23000</v>
      </c>
      <c r="L85" s="23"/>
      <c r="M85" s="24">
        <v>4370</v>
      </c>
      <c r="N85" s="25"/>
      <c r="O85" s="24">
        <v>0</v>
      </c>
      <c r="P85" s="136">
        <f>+IF(PROVEEDORES[[#This Row],[SUBTOTAL]]&lt;PROVEEDORES[[#This Row],[base retencion]],0,PROVEEDORES[[#This Row],[retención aplicada]])</f>
        <v>0</v>
      </c>
      <c r="Q85" s="24">
        <f>+PROVEEDORES[[#This Row],[Rete Fuente %]]*PROVEEDORES[[#This Row],[SUBTOTAL]]</f>
        <v>0</v>
      </c>
      <c r="R85" s="23">
        <v>27370</v>
      </c>
      <c r="S8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" s="99">
        <f ca="1">IF(PROVEEDORES[[#This Row],[FECHA DE PAGO]]=0,TODAY()-PROVEEDORES[[#This Row],[FECHA DE FACTURACIÓN]]-PROVEEDORES[[#This Row],[PLAZO Días]],0)</f>
        <v>0</v>
      </c>
      <c r="U85" s="149">
        <f>+VLOOKUP(PROVEEDORES[[#This Row],[PROVEEDOR]],Terceros!$A:$E,5,FALSE)</f>
        <v>0</v>
      </c>
      <c r="V85" s="150">
        <f>+YEAR(PROVEEDORES[[#This Row],[FECHA DE FACTURACIÓN]])</f>
        <v>2021</v>
      </c>
      <c r="W85" s="150">
        <f>+MATCH(PROVEEDORES[[#This Row],[año facturado]],Retenciones!$1:$1,0)</f>
        <v>4</v>
      </c>
      <c r="X85" s="151">
        <f>+VLOOKUP(PROVEEDORES[[#This Row],[ID RETENCION]],Retenciones!$A$1:$O$24,PROVEEDORES[[#This Row],[indicador de columna]],FALSE)</f>
        <v>0</v>
      </c>
      <c r="Y85" s="152">
        <f>+VLOOKUP(PROVEEDORES[[#This Row],[ID RETENCION]],Retenciones!$A$1:$O$24,2,FALSE)</f>
        <v>0</v>
      </c>
      <c r="Z85" s="26"/>
      <c r="AA85" s="26"/>
      <c r="AB85" s="26"/>
      <c r="AC85" s="26"/>
      <c r="AD85" s="26"/>
      <c r="AE85" s="26"/>
    </row>
    <row r="86" spans="1:31" ht="21.95" customHeight="1" x14ac:dyDescent="0.25">
      <c r="A86" s="97" t="str">
        <f>+IF(PROVEEDORES[[#This Row],[FECHA DE PAGO]]=PROVEEDORES[[#This Row],[FECHA DE FACTURACIÓN]],"DE CONTADO","CRÉDITO")</f>
        <v>CRÉDITO</v>
      </c>
      <c r="B86" s="41" t="str">
        <f>+IF((PROVEEDORES[[#This Row],[FECHA DE PAGO]]-PROVEEDORES[[#This Row],[FECHA DE FACTURACIÓN]])&gt;PROVEEDORES[[#This Row],[PLAZO Días]],"PAGO VENCIDO")</f>
        <v>PAGO VENCIDO</v>
      </c>
      <c r="C86" s="22">
        <f>+VLOOKUP(PROVEEDORES[[#This Row],[PROVEEDOR]],TERCEROS_INFO[#All],2,FALSE)</f>
        <v>30</v>
      </c>
      <c r="D86" s="27">
        <f>+SUMIFS(PROVEEDORES[Total],PROVEEDORES[PROVEEDOR],PROVEEDORES[[#This Row],[PROVEEDOR]],PROVEEDORES[FECHA DE PAGO],"")</f>
        <v>0</v>
      </c>
      <c r="E86" s="27"/>
      <c r="F86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86" s="95">
        <v>44271</v>
      </c>
      <c r="H86" s="28" t="s">
        <v>24</v>
      </c>
      <c r="I86" s="95">
        <v>44211</v>
      </c>
      <c r="J86" s="38" t="s">
        <v>138</v>
      </c>
      <c r="K86" s="23">
        <v>555000</v>
      </c>
      <c r="L86" s="23"/>
      <c r="M86" s="24">
        <v>105450</v>
      </c>
      <c r="N86" s="25"/>
      <c r="O86" s="24">
        <v>0</v>
      </c>
      <c r="P86" s="136">
        <f>+IF(PROVEEDORES[[#This Row],[SUBTOTAL]]&lt;PROVEEDORES[[#This Row],[base retencion]],0,PROVEEDORES[[#This Row],[retención aplicada]])</f>
        <v>0</v>
      </c>
      <c r="Q86" s="24">
        <f>+PROVEEDORES[[#This Row],[Rete Fuente %]]*PROVEEDORES[[#This Row],[SUBTOTAL]]</f>
        <v>0</v>
      </c>
      <c r="R86" s="23">
        <v>660450</v>
      </c>
      <c r="S8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" s="99">
        <f ca="1">IF(PROVEEDORES[[#This Row],[FECHA DE PAGO]]=0,TODAY()-PROVEEDORES[[#This Row],[FECHA DE FACTURACIÓN]]-PROVEEDORES[[#This Row],[PLAZO Días]],0)</f>
        <v>0</v>
      </c>
      <c r="U86" s="149" t="str">
        <f>+VLOOKUP(PROVEEDORES[[#This Row],[PROVEEDOR]],Terceros!$A:$E,5,FALSE)</f>
        <v>2,5% con base</v>
      </c>
      <c r="V86" s="150">
        <f>+YEAR(PROVEEDORES[[#This Row],[FECHA DE FACTURACIÓN]])</f>
        <v>2021</v>
      </c>
      <c r="W86" s="150">
        <f>+MATCH(PROVEEDORES[[#This Row],[año facturado]],Retenciones!$1:$1,0)</f>
        <v>4</v>
      </c>
      <c r="X86" s="151">
        <f>+VLOOKUP(PROVEEDORES[[#This Row],[ID RETENCION]],Retenciones!$A$1:$O$24,PROVEEDORES[[#This Row],[indicador de columna]],FALSE)</f>
        <v>980000</v>
      </c>
      <c r="Y86" s="152">
        <f>+VLOOKUP(PROVEEDORES[[#This Row],[ID RETENCION]],Retenciones!$A$1:$O$24,2,FALSE)</f>
        <v>2.5000000000000001E-2</v>
      </c>
      <c r="Z86" s="26"/>
      <c r="AA86" s="26"/>
      <c r="AB86" s="26"/>
      <c r="AC86" s="26"/>
      <c r="AD86" s="26"/>
      <c r="AE86" s="26"/>
    </row>
    <row r="87" spans="1:31" ht="21.95" customHeight="1" x14ac:dyDescent="0.25">
      <c r="A87" s="97" t="str">
        <f>+IF(PROVEEDORES[[#This Row],[FECHA DE PAGO]]=PROVEEDORES[[#This Row],[FECHA DE FACTURACIÓN]],"DE CONTADO","CRÉDITO")</f>
        <v>CRÉDITO</v>
      </c>
      <c r="B87" s="41" t="str">
        <f>+IF((PROVEEDORES[[#This Row],[FECHA DE PAGO]]-PROVEEDORES[[#This Row],[FECHA DE FACTURACIÓN]])&gt;PROVEEDORES[[#This Row],[PLAZO Días]],"PAGO VENCIDO")</f>
        <v>PAGO VENCIDO</v>
      </c>
      <c r="C87" s="22">
        <f>+VLOOKUP(PROVEEDORES[[#This Row],[PROVEEDOR]],TERCEROS_INFO[#All],2,FALSE)</f>
        <v>30</v>
      </c>
      <c r="D87" s="27">
        <f>+SUMIFS(PROVEEDORES[Total],PROVEEDORES[PROVEEDOR],PROVEEDORES[[#This Row],[PROVEEDOR]],PROVEEDORES[FECHA DE PAGO],"")</f>
        <v>3844432.4999000002</v>
      </c>
      <c r="E87" s="27"/>
      <c r="F87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87" s="95">
        <v>44257</v>
      </c>
      <c r="H87" s="28" t="s">
        <v>18</v>
      </c>
      <c r="I87" s="95">
        <v>44213</v>
      </c>
      <c r="J87" s="38">
        <v>1033457</v>
      </c>
      <c r="K87" s="23">
        <v>3519586.8</v>
      </c>
      <c r="L87" s="23"/>
      <c r="M87" s="24">
        <v>668721.49199999997</v>
      </c>
      <c r="N87" s="25"/>
      <c r="O87" s="24">
        <v>0</v>
      </c>
      <c r="P87" s="136">
        <f>+IF(PROVEEDORES[[#This Row],[SUBTOTAL]]&lt;PROVEEDORES[[#This Row],[base retencion]],0,PROVEEDORES[[#This Row],[retención aplicada]])</f>
        <v>2.5000000000000001E-2</v>
      </c>
      <c r="Q87" s="24">
        <f>+PROVEEDORES[[#This Row],[Rete Fuente %]]*PROVEEDORES[[#This Row],[SUBTOTAL]]</f>
        <v>87989.67</v>
      </c>
      <c r="R87" s="23">
        <v>4100318.622</v>
      </c>
      <c r="S8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" s="99">
        <f ca="1">IF(PROVEEDORES[[#This Row],[FECHA DE PAGO]]=0,TODAY()-PROVEEDORES[[#This Row],[FECHA DE FACTURACIÓN]]-PROVEEDORES[[#This Row],[PLAZO Días]],0)</f>
        <v>0</v>
      </c>
      <c r="U87" s="149" t="str">
        <f>+VLOOKUP(PROVEEDORES[[#This Row],[PROVEEDOR]],Terceros!$A:$E,5,FALSE)</f>
        <v>2,5% con base</v>
      </c>
      <c r="V87" s="150">
        <f>+YEAR(PROVEEDORES[[#This Row],[FECHA DE FACTURACIÓN]])</f>
        <v>2021</v>
      </c>
      <c r="W87" s="150">
        <f>+MATCH(PROVEEDORES[[#This Row],[año facturado]],Retenciones!$1:$1,0)</f>
        <v>4</v>
      </c>
      <c r="X87" s="151">
        <f>+VLOOKUP(PROVEEDORES[[#This Row],[ID RETENCION]],Retenciones!$A$1:$O$24,PROVEEDORES[[#This Row],[indicador de columna]],FALSE)</f>
        <v>980000</v>
      </c>
      <c r="Y87" s="152">
        <f>+VLOOKUP(PROVEEDORES[[#This Row],[ID RETENCION]],Retenciones!$A$1:$O$24,2,FALSE)</f>
        <v>2.5000000000000001E-2</v>
      </c>
      <c r="Z87" s="26"/>
      <c r="AA87" s="26"/>
      <c r="AB87" s="26"/>
      <c r="AC87" s="26"/>
      <c r="AD87" s="26"/>
      <c r="AE87" s="26"/>
    </row>
    <row r="88" spans="1:31" ht="21.95" customHeight="1" x14ac:dyDescent="0.25">
      <c r="A88" s="97" t="str">
        <f>+IF(PROVEEDORES[[#This Row],[FECHA DE PAGO]]=PROVEEDORES[[#This Row],[FECHA DE FACTURACIÓN]],"DE CONTADO","CRÉDITO")</f>
        <v>CRÉDITO</v>
      </c>
      <c r="B88" s="41" t="str">
        <f>+IF((PROVEEDORES[[#This Row],[FECHA DE PAGO]]-PROVEEDORES[[#This Row],[FECHA DE FACTURACIÓN]])&gt;PROVEEDORES[[#This Row],[PLAZO Días]],"PAGO VENCIDO")</f>
        <v>PAGO VENCIDO</v>
      </c>
      <c r="C88" s="22">
        <f>+VLOOKUP(PROVEEDORES[[#This Row],[PROVEEDOR]],TERCEROS_INFO[#All],2,FALSE)</f>
        <v>30</v>
      </c>
      <c r="D88" s="27">
        <f>+SUMIFS(PROVEEDORES[Total],PROVEEDORES[PROVEEDOR],PROVEEDORES[[#This Row],[PROVEEDOR]],PROVEEDORES[FECHA DE PAGO],"")</f>
        <v>452687.9</v>
      </c>
      <c r="E88" s="27"/>
      <c r="F88" s="62" t="str">
        <f>+VLOOKUP(PROVEEDORES[[#This Row],[PROVEEDOR]],
                       Terceros!$A:$G,
                       6,
                       FALSE)</f>
        <v>soluenergiacentro@une.net.co;girlesa.ruiz@servipilas.com;joriescobar64@gmail.com</v>
      </c>
      <c r="G88" s="95">
        <v>44258</v>
      </c>
      <c r="H88" s="28" t="s">
        <v>39</v>
      </c>
      <c r="I88" s="95">
        <v>44214</v>
      </c>
      <c r="J88" s="38">
        <v>216</v>
      </c>
      <c r="K88" s="23">
        <v>262800</v>
      </c>
      <c r="L88" s="23"/>
      <c r="M88" s="24">
        <v>49932</v>
      </c>
      <c r="N88" s="25"/>
      <c r="O88" s="24">
        <v>0</v>
      </c>
      <c r="P88" s="136">
        <f>+IF(PROVEEDORES[[#This Row],[SUBTOTAL]]&lt;PROVEEDORES[[#This Row],[base retencion]],0,PROVEEDORES[[#This Row],[retención aplicada]])</f>
        <v>0</v>
      </c>
      <c r="Q88" s="24">
        <f>+PROVEEDORES[[#This Row],[Rete Fuente %]]*PROVEEDORES[[#This Row],[SUBTOTAL]]</f>
        <v>0</v>
      </c>
      <c r="R88" s="23">
        <v>312732</v>
      </c>
      <c r="S8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" s="99">
        <f ca="1">IF(PROVEEDORES[[#This Row],[FECHA DE PAGO]]=0,TODAY()-PROVEEDORES[[#This Row],[FECHA DE FACTURACIÓN]]-PROVEEDORES[[#This Row],[PLAZO Días]],0)</f>
        <v>0</v>
      </c>
      <c r="U88" s="149" t="str">
        <f>+VLOOKUP(PROVEEDORES[[#This Row],[PROVEEDOR]],Terceros!$A:$E,5,FALSE)</f>
        <v>2,5% con base</v>
      </c>
      <c r="V88" s="150">
        <f>+YEAR(PROVEEDORES[[#This Row],[FECHA DE FACTURACIÓN]])</f>
        <v>2021</v>
      </c>
      <c r="W88" s="150">
        <f>+MATCH(PROVEEDORES[[#This Row],[año facturado]],Retenciones!$1:$1,0)</f>
        <v>4</v>
      </c>
      <c r="X88" s="151">
        <f>+VLOOKUP(PROVEEDORES[[#This Row],[ID RETENCION]],Retenciones!$A$1:$O$24,PROVEEDORES[[#This Row],[indicador de columna]],FALSE)</f>
        <v>980000</v>
      </c>
      <c r="Y88" s="152">
        <f>+VLOOKUP(PROVEEDORES[[#This Row],[ID RETENCION]],Retenciones!$A$1:$O$24,2,FALSE)</f>
        <v>2.5000000000000001E-2</v>
      </c>
      <c r="Z88" s="26"/>
      <c r="AA88" s="26"/>
      <c r="AB88" s="26"/>
      <c r="AC88" s="26"/>
      <c r="AD88" s="26"/>
      <c r="AE88" s="26"/>
    </row>
    <row r="89" spans="1:31" ht="21.95" customHeight="1" x14ac:dyDescent="0.25">
      <c r="A89" s="97" t="str">
        <f>+IF(PROVEEDORES[[#This Row],[FECHA DE PAGO]]=PROVEEDORES[[#This Row],[FECHA DE FACTURACIÓN]],"DE CONTADO","CRÉDITO")</f>
        <v>CRÉDITO</v>
      </c>
      <c r="B89" s="41" t="str">
        <f>+IF((PROVEEDORES[[#This Row],[FECHA DE PAGO]]-PROVEEDORES[[#This Row],[FECHA DE FACTURACIÓN]])&gt;PROVEEDORES[[#This Row],[PLAZO Días]],"PAGO VENCIDO")</f>
        <v>PAGO VENCIDO</v>
      </c>
      <c r="C89" s="22">
        <f>+VLOOKUP(PROVEEDORES[[#This Row],[PROVEEDOR]],TERCEROS_INFO[#All],2,FALSE)</f>
        <v>45</v>
      </c>
      <c r="D89" s="27">
        <f>+SUMIFS(PROVEEDORES[Total],PROVEEDORES[PROVEEDOR],PROVEEDORES[[#This Row],[PROVEEDOR]],PROVEEDORES[FECHA DE PAGO],"")</f>
        <v>37184068.039999999</v>
      </c>
      <c r="E89" s="27"/>
      <c r="F89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89" s="95">
        <v>44264</v>
      </c>
      <c r="H89" s="28" t="s">
        <v>19</v>
      </c>
      <c r="I89" s="95">
        <v>44214</v>
      </c>
      <c r="J89" s="38" t="s">
        <v>139</v>
      </c>
      <c r="K89" s="23">
        <v>595470</v>
      </c>
      <c r="L89" s="23"/>
      <c r="M89" s="24">
        <v>113139.3</v>
      </c>
      <c r="N89" s="25"/>
      <c r="O89" s="24">
        <v>0</v>
      </c>
      <c r="P89" s="136">
        <f>+IF(PROVEEDORES[[#This Row],[SUBTOTAL]]&lt;PROVEEDORES[[#This Row],[base retencion]],0,PROVEEDORES[[#This Row],[retención aplicada]])</f>
        <v>0</v>
      </c>
      <c r="Q89" s="24">
        <f>+PROVEEDORES[[#This Row],[Rete Fuente %]]*PROVEEDORES[[#This Row],[SUBTOTAL]]</f>
        <v>0</v>
      </c>
      <c r="R89" s="23">
        <v>708609.3</v>
      </c>
      <c r="S8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" s="99">
        <f ca="1">IF(PROVEEDORES[[#This Row],[FECHA DE PAGO]]=0,TODAY()-PROVEEDORES[[#This Row],[FECHA DE FACTURACIÓN]]-PROVEEDORES[[#This Row],[PLAZO Días]],0)</f>
        <v>0</v>
      </c>
      <c r="U89" s="149">
        <f>+VLOOKUP(PROVEEDORES[[#This Row],[PROVEEDOR]],Terceros!$A:$E,5,FALSE)</f>
        <v>0</v>
      </c>
      <c r="V89" s="150">
        <f>+YEAR(PROVEEDORES[[#This Row],[FECHA DE FACTURACIÓN]])</f>
        <v>2021</v>
      </c>
      <c r="W89" s="150">
        <f>+MATCH(PROVEEDORES[[#This Row],[año facturado]],Retenciones!$1:$1,0)</f>
        <v>4</v>
      </c>
      <c r="X89" s="151">
        <f>+VLOOKUP(PROVEEDORES[[#This Row],[ID RETENCION]],Retenciones!$A$1:$O$24,PROVEEDORES[[#This Row],[indicador de columna]],FALSE)</f>
        <v>0</v>
      </c>
      <c r="Y89" s="152">
        <f>+VLOOKUP(PROVEEDORES[[#This Row],[ID RETENCION]],Retenciones!$A$1:$O$24,2,FALSE)</f>
        <v>0</v>
      </c>
      <c r="Z89" s="26"/>
      <c r="AA89" s="26"/>
      <c r="AB89" s="26"/>
      <c r="AC89" s="26"/>
      <c r="AD89" s="26"/>
      <c r="AE89" s="26"/>
    </row>
    <row r="90" spans="1:31" ht="21.95" customHeight="1" x14ac:dyDescent="0.25">
      <c r="A90" s="97" t="str">
        <f>+IF(PROVEEDORES[[#This Row],[FECHA DE PAGO]]=PROVEEDORES[[#This Row],[FECHA DE FACTURACIÓN]],"DE CONTADO","CRÉDITO")</f>
        <v>CRÉDITO</v>
      </c>
      <c r="B90" s="41" t="b">
        <f>+IF((PROVEEDORES[[#This Row],[FECHA DE PAGO]]-PROVEEDORES[[#This Row],[FECHA DE FACTURACIÓN]])&gt;PROVEEDORES[[#This Row],[PLAZO Días]],"PAGO VENCIDO")</f>
        <v>0</v>
      </c>
      <c r="C90" s="22">
        <f>+VLOOKUP(PROVEEDORES[[#This Row],[PROVEEDOR]],TERCEROS_INFO[#All],2,FALSE)</f>
        <v>45</v>
      </c>
      <c r="D90" s="27">
        <f>+SUMIFS(PROVEEDORES[Total],PROVEEDORES[PROVEEDOR],PROVEEDORES[[#This Row],[PROVEEDOR]],PROVEEDORES[FECHA DE PAGO],"")</f>
        <v>37184068.039999999</v>
      </c>
      <c r="E90" s="27"/>
      <c r="F90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90" s="95">
        <v>44243</v>
      </c>
      <c r="H90" s="28" t="s">
        <v>19</v>
      </c>
      <c r="I90" s="95">
        <v>44214</v>
      </c>
      <c r="J90" s="38" t="s">
        <v>140</v>
      </c>
      <c r="K90" s="23">
        <v>1778130</v>
      </c>
      <c r="L90" s="23"/>
      <c r="M90" s="24">
        <v>337844.7</v>
      </c>
      <c r="N90" s="25"/>
      <c r="O90" s="24">
        <v>0</v>
      </c>
      <c r="P90" s="136">
        <f>+IF(PROVEEDORES[[#This Row],[SUBTOTAL]]&lt;PROVEEDORES[[#This Row],[base retencion]],0,PROVEEDORES[[#This Row],[retención aplicada]])</f>
        <v>0</v>
      </c>
      <c r="Q90" s="24">
        <f>+PROVEEDORES[[#This Row],[Rete Fuente %]]*PROVEEDORES[[#This Row],[SUBTOTAL]]</f>
        <v>0</v>
      </c>
      <c r="R90" s="23">
        <v>2115974.7000000002</v>
      </c>
      <c r="S9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" s="99">
        <f ca="1">IF(PROVEEDORES[[#This Row],[FECHA DE PAGO]]=0,TODAY()-PROVEEDORES[[#This Row],[FECHA DE FACTURACIÓN]]-PROVEEDORES[[#This Row],[PLAZO Días]],0)</f>
        <v>0</v>
      </c>
      <c r="U90" s="149">
        <f>+VLOOKUP(PROVEEDORES[[#This Row],[PROVEEDOR]],Terceros!$A:$E,5,FALSE)</f>
        <v>0</v>
      </c>
      <c r="V90" s="150">
        <f>+YEAR(PROVEEDORES[[#This Row],[FECHA DE FACTURACIÓN]])</f>
        <v>2021</v>
      </c>
      <c r="W90" s="150">
        <f>+MATCH(PROVEEDORES[[#This Row],[año facturado]],Retenciones!$1:$1,0)</f>
        <v>4</v>
      </c>
      <c r="X90" s="151">
        <f>+VLOOKUP(PROVEEDORES[[#This Row],[ID RETENCION]],Retenciones!$A$1:$O$24,PROVEEDORES[[#This Row],[indicador de columna]],FALSE)</f>
        <v>0</v>
      </c>
      <c r="Y90" s="152">
        <f>+VLOOKUP(PROVEEDORES[[#This Row],[ID RETENCION]],Retenciones!$A$1:$O$24,2,FALSE)</f>
        <v>0</v>
      </c>
      <c r="Z90" s="26"/>
      <c r="AA90" s="26"/>
      <c r="AB90" s="26"/>
      <c r="AC90" s="26"/>
      <c r="AD90" s="26"/>
      <c r="AE90" s="26"/>
    </row>
    <row r="91" spans="1:31" ht="21.95" customHeight="1" x14ac:dyDescent="0.25">
      <c r="A91" s="97" t="str">
        <f>+IF(PROVEEDORES[[#This Row],[FECHA DE PAGO]]=PROVEEDORES[[#This Row],[FECHA DE FACTURACIÓN]],"DE CONTADO","CRÉDITO")</f>
        <v>DE CONTADO</v>
      </c>
      <c r="B91" s="41" t="b">
        <f>+IF((PROVEEDORES[[#This Row],[FECHA DE PAGO]]-PROVEEDORES[[#This Row],[FECHA DE FACTURACIÓN]])&gt;PROVEEDORES[[#This Row],[PLAZO Días]],"PAGO VENCIDO")</f>
        <v>0</v>
      </c>
      <c r="C91" s="22">
        <f>+VLOOKUP(PROVEEDORES[[#This Row],[PROVEEDOR]],TERCEROS_INFO[#All],2,FALSE)</f>
        <v>30</v>
      </c>
      <c r="D91" s="27">
        <f>+SUMIFS(PROVEEDORES[Total],PROVEEDORES[PROVEEDOR],PROVEEDORES[[#This Row],[PROVEEDOR]],PROVEEDORES[FECHA DE PAGO],"")</f>
        <v>0</v>
      </c>
      <c r="E91" s="27"/>
      <c r="F91" s="62" t="str">
        <f>+VLOOKUP(PROVEEDORES[[#This Row],[PROVEEDOR]],
                       Terceros!$A:$G,
                       6,
                       FALSE)</f>
        <v/>
      </c>
      <c r="G91" s="95">
        <v>44215</v>
      </c>
      <c r="H91" s="28" t="s">
        <v>1031</v>
      </c>
      <c r="I91" s="95">
        <v>44215</v>
      </c>
      <c r="J91" s="38">
        <v>1408</v>
      </c>
      <c r="K91" s="23">
        <v>300000</v>
      </c>
      <c r="L91" s="23"/>
      <c r="M91" s="24">
        <v>0</v>
      </c>
      <c r="N91" s="25"/>
      <c r="O91" s="24">
        <v>0</v>
      </c>
      <c r="P91" s="136">
        <f>+IF(PROVEEDORES[[#This Row],[SUBTOTAL]]&lt;PROVEEDORES[[#This Row],[base retencion]],0,PROVEEDORES[[#This Row],[retención aplicada]])</f>
        <v>0</v>
      </c>
      <c r="Q91" s="24">
        <f>+PROVEEDORES[[#This Row],[Rete Fuente %]]*PROVEEDORES[[#This Row],[SUBTOTAL]]</f>
        <v>0</v>
      </c>
      <c r="R91" s="23">
        <v>300000</v>
      </c>
      <c r="S9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" s="99">
        <f ca="1">IF(PROVEEDORES[[#This Row],[FECHA DE PAGO]]=0,TODAY()-PROVEEDORES[[#This Row],[FECHA DE FACTURACIÓN]]-PROVEEDORES[[#This Row],[PLAZO Días]],0)</f>
        <v>0</v>
      </c>
      <c r="U91" s="149">
        <f>+VLOOKUP(PROVEEDORES[[#This Row],[PROVEEDOR]],Terceros!$A:$E,5,FALSE)</f>
        <v>0</v>
      </c>
      <c r="V91" s="150">
        <f>+YEAR(PROVEEDORES[[#This Row],[FECHA DE FACTURACIÓN]])</f>
        <v>2021</v>
      </c>
      <c r="W91" s="150">
        <f>+MATCH(PROVEEDORES[[#This Row],[año facturado]],Retenciones!$1:$1,0)</f>
        <v>4</v>
      </c>
      <c r="X91" s="151">
        <f>+VLOOKUP(PROVEEDORES[[#This Row],[ID RETENCION]],Retenciones!$A$1:$O$24,PROVEEDORES[[#This Row],[indicador de columna]],FALSE)</f>
        <v>0</v>
      </c>
      <c r="Y91" s="152">
        <f>+VLOOKUP(PROVEEDORES[[#This Row],[ID RETENCION]],Retenciones!$A$1:$O$24,2,FALSE)</f>
        <v>0</v>
      </c>
      <c r="Z91" s="26"/>
      <c r="AA91" s="26"/>
      <c r="AB91" s="26"/>
      <c r="AC91" s="26"/>
      <c r="AD91" s="26"/>
      <c r="AE91" s="26"/>
    </row>
    <row r="92" spans="1:31" ht="21.95" customHeight="1" x14ac:dyDescent="0.25">
      <c r="A92" s="97" t="str">
        <f>+IF(PROVEEDORES[[#This Row],[FECHA DE PAGO]]=PROVEEDORES[[#This Row],[FECHA DE FACTURACIÓN]],"DE CONTADO","CRÉDITO")</f>
        <v>CRÉDITO</v>
      </c>
      <c r="B92" s="41" t="b">
        <f>+IF((PROVEEDORES[[#This Row],[FECHA DE PAGO]]-PROVEEDORES[[#This Row],[FECHA DE FACTURACIÓN]])&gt;PROVEEDORES[[#This Row],[PLAZO Días]],"PAGO VENCIDO")</f>
        <v>0</v>
      </c>
      <c r="C92" s="22">
        <f>+VLOOKUP(PROVEEDORES[[#This Row],[PROVEEDOR]],TERCEROS_INFO[#All],2,FALSE)</f>
        <v>30</v>
      </c>
      <c r="D92" s="27">
        <f>+SUMIFS(PROVEEDORES[Total],PROVEEDORES[PROVEEDOR],PROVEEDORES[[#This Row],[PROVEEDOR]],PROVEEDORES[FECHA DE PAGO],"")</f>
        <v>144400</v>
      </c>
      <c r="E92" s="27"/>
      <c r="F92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92" s="95">
        <v>44235</v>
      </c>
      <c r="H92" s="28" t="s">
        <v>1071</v>
      </c>
      <c r="I92" s="95">
        <v>44215</v>
      </c>
      <c r="J92" s="38">
        <v>2576</v>
      </c>
      <c r="K92" s="23">
        <v>2422500</v>
      </c>
      <c r="L92" s="23"/>
      <c r="M92" s="24">
        <v>0</v>
      </c>
      <c r="N92" s="25"/>
      <c r="O92" s="24">
        <v>0</v>
      </c>
      <c r="P92" s="136">
        <f>+IF(PROVEEDORES[[#This Row],[SUBTOTAL]]&lt;PROVEEDORES[[#This Row],[base retencion]],0,PROVEEDORES[[#This Row],[retención aplicada]])</f>
        <v>0</v>
      </c>
      <c r="Q92" s="24">
        <f>+PROVEEDORES[[#This Row],[Rete Fuente %]]*PROVEEDORES[[#This Row],[SUBTOTAL]]</f>
        <v>0</v>
      </c>
      <c r="R92" s="23">
        <v>2422500</v>
      </c>
      <c r="S9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" s="99">
        <f ca="1">IF(PROVEEDORES[[#This Row],[FECHA DE PAGO]]=0,TODAY()-PROVEEDORES[[#This Row],[FECHA DE FACTURACIÓN]]-PROVEEDORES[[#This Row],[PLAZO Días]],0)</f>
        <v>0</v>
      </c>
      <c r="U92" s="149">
        <f>+VLOOKUP(PROVEEDORES[[#This Row],[PROVEEDOR]],Terceros!$A:$E,5,FALSE)</f>
        <v>0</v>
      </c>
      <c r="V92" s="150">
        <f>+YEAR(PROVEEDORES[[#This Row],[FECHA DE FACTURACIÓN]])</f>
        <v>2021</v>
      </c>
      <c r="W92" s="150">
        <f>+MATCH(PROVEEDORES[[#This Row],[año facturado]],Retenciones!$1:$1,0)</f>
        <v>4</v>
      </c>
      <c r="X92" s="151">
        <f>+VLOOKUP(PROVEEDORES[[#This Row],[ID RETENCION]],Retenciones!$A$1:$O$24,PROVEEDORES[[#This Row],[indicador de columna]],FALSE)</f>
        <v>0</v>
      </c>
      <c r="Y92" s="152">
        <f>+VLOOKUP(PROVEEDORES[[#This Row],[ID RETENCION]],Retenciones!$A$1:$O$24,2,FALSE)</f>
        <v>0</v>
      </c>
      <c r="Z92" s="26"/>
      <c r="AA92" s="26"/>
      <c r="AB92" s="26"/>
      <c r="AC92" s="26"/>
      <c r="AD92" s="26"/>
      <c r="AE92" s="26"/>
    </row>
    <row r="93" spans="1:31" ht="21.95" customHeight="1" x14ac:dyDescent="0.25">
      <c r="A93" s="97" t="str">
        <f>+IF(PROVEEDORES[[#This Row],[FECHA DE PAGO]]=PROVEEDORES[[#This Row],[FECHA DE FACTURACIÓN]],"DE CONTADO","CRÉDITO")</f>
        <v>CRÉDITO</v>
      </c>
      <c r="B93" s="41" t="str">
        <f>+IF((PROVEEDORES[[#This Row],[FECHA DE PAGO]]-PROVEEDORES[[#This Row],[FECHA DE FACTURACIÓN]])&gt;PROVEEDORES[[#This Row],[PLAZO Días]],"PAGO VENCIDO")</f>
        <v>PAGO VENCIDO</v>
      </c>
      <c r="C93" s="22">
        <f>+VLOOKUP(PROVEEDORES[[#This Row],[PROVEEDOR]],TERCEROS_INFO[#All],2,FALSE)</f>
        <v>30</v>
      </c>
      <c r="D93" s="27">
        <f>+SUMIFS(PROVEEDORES[Total],PROVEEDORES[PROVEEDOR],PROVEEDORES[[#This Row],[PROVEEDOR]],PROVEEDORES[FECHA DE PAGO],"")</f>
        <v>0</v>
      </c>
      <c r="E93" s="27"/>
      <c r="F93" s="62" t="str">
        <f>+VLOOKUP(PROVEEDORES[[#This Row],[PROVEEDOR]],
                       Terceros!$A:$G,
                       6,
                       FALSE)</f>
        <v>vromero@flashinternational.us;girlesa.ruiz@servipilas.com;joriescobar64@gmail.com</v>
      </c>
      <c r="G93" s="95">
        <v>44250</v>
      </c>
      <c r="H93" s="28" t="s">
        <v>134</v>
      </c>
      <c r="I93" s="95">
        <v>44216</v>
      </c>
      <c r="J93" s="38" t="s">
        <v>662</v>
      </c>
      <c r="K93" s="23">
        <v>-62000</v>
      </c>
      <c r="L93" s="23"/>
      <c r="M93" s="24">
        <v>0</v>
      </c>
      <c r="N93" s="25"/>
      <c r="O93" s="24">
        <v>0</v>
      </c>
      <c r="P93" s="136">
        <f>+IF(PROVEEDORES[[#This Row],[SUBTOTAL]]&lt;PROVEEDORES[[#This Row],[base retencion]],0,PROVEEDORES[[#This Row],[retención aplicada]])</f>
        <v>0</v>
      </c>
      <c r="Q93" s="24">
        <f>+PROVEEDORES[[#This Row],[Rete Fuente %]]*PROVEEDORES[[#This Row],[SUBTOTAL]]</f>
        <v>0</v>
      </c>
      <c r="R93" s="23">
        <v>-62000</v>
      </c>
      <c r="S9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" s="99">
        <f ca="1">IF(PROVEEDORES[[#This Row],[FECHA DE PAGO]]=0,TODAY()-PROVEEDORES[[#This Row],[FECHA DE FACTURACIÓN]]-PROVEEDORES[[#This Row],[PLAZO Días]],0)</f>
        <v>0</v>
      </c>
      <c r="U93" s="149">
        <f>+VLOOKUP(PROVEEDORES[[#This Row],[PROVEEDOR]],Terceros!$A:$E,5,FALSE)</f>
        <v>0</v>
      </c>
      <c r="V93" s="150">
        <f>+YEAR(PROVEEDORES[[#This Row],[FECHA DE FACTURACIÓN]])</f>
        <v>2021</v>
      </c>
      <c r="W93" s="150">
        <f>+MATCH(PROVEEDORES[[#This Row],[año facturado]],Retenciones!$1:$1,0)</f>
        <v>4</v>
      </c>
      <c r="X93" s="151">
        <f>+VLOOKUP(PROVEEDORES[[#This Row],[ID RETENCION]],Retenciones!$A$1:$O$24,PROVEEDORES[[#This Row],[indicador de columna]],FALSE)</f>
        <v>0</v>
      </c>
      <c r="Y93" s="152">
        <f>+VLOOKUP(PROVEEDORES[[#This Row],[ID RETENCION]],Retenciones!$A$1:$O$24,2,FALSE)</f>
        <v>0</v>
      </c>
      <c r="Z93" s="26"/>
      <c r="AA93" s="26"/>
      <c r="AB93" s="26"/>
      <c r="AC93" s="26"/>
      <c r="AD93" s="26"/>
      <c r="AE93" s="26"/>
    </row>
    <row r="94" spans="1:31" ht="21.95" customHeight="1" x14ac:dyDescent="0.25">
      <c r="A94" s="97" t="str">
        <f>+IF(PROVEEDORES[[#This Row],[FECHA DE PAGO]]=PROVEEDORES[[#This Row],[FECHA DE FACTURACIÓN]],"DE CONTADO","CRÉDITO")</f>
        <v>DE CONTADO</v>
      </c>
      <c r="B94" s="41" t="b">
        <f>+IF((PROVEEDORES[[#This Row],[FECHA DE PAGO]]-PROVEEDORES[[#This Row],[FECHA DE FACTURACIÓN]])&gt;PROVEEDORES[[#This Row],[PLAZO Días]],"PAGO VENCIDO")</f>
        <v>0</v>
      </c>
      <c r="C94" s="22">
        <f>+VLOOKUP(PROVEEDORES[[#This Row],[PROVEEDOR]],TERCEROS_INFO[#All],2,FALSE)</f>
        <v>30</v>
      </c>
      <c r="D94" s="27">
        <f>+SUMIFS(PROVEEDORES[Total],PROVEEDORES[PROVEEDOR],PROVEEDORES[[#This Row],[PROVEEDOR]],PROVEEDORES[FECHA DE PAGO],"")</f>
        <v>0</v>
      </c>
      <c r="E94" s="27"/>
      <c r="F94" s="62" t="str">
        <f>+VLOOKUP(PROVEEDORES[[#This Row],[PROVEEDOR]],
                       Terceros!$A:$G,
                       6,
                       FALSE)</f>
        <v/>
      </c>
      <c r="G94" s="95">
        <v>44216</v>
      </c>
      <c r="H94" s="28" t="s">
        <v>1058</v>
      </c>
      <c r="I94" s="95">
        <v>44216</v>
      </c>
      <c r="J94" s="38">
        <v>1411</v>
      </c>
      <c r="K94" s="23">
        <v>60000</v>
      </c>
      <c r="L94" s="23"/>
      <c r="M94" s="24">
        <v>0</v>
      </c>
      <c r="N94" s="25"/>
      <c r="O94" s="24">
        <v>0</v>
      </c>
      <c r="P94" s="136">
        <f>+IF(PROVEEDORES[[#This Row],[SUBTOTAL]]&lt;PROVEEDORES[[#This Row],[base retencion]],0,PROVEEDORES[[#This Row],[retención aplicada]])</f>
        <v>0</v>
      </c>
      <c r="Q94" s="24">
        <f>+PROVEEDORES[[#This Row],[Rete Fuente %]]*PROVEEDORES[[#This Row],[SUBTOTAL]]</f>
        <v>0</v>
      </c>
      <c r="R94" s="23">
        <v>60000</v>
      </c>
      <c r="S9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" s="99">
        <f ca="1">IF(PROVEEDORES[[#This Row],[FECHA DE PAGO]]=0,TODAY()-PROVEEDORES[[#This Row],[FECHA DE FACTURACIÓN]]-PROVEEDORES[[#This Row],[PLAZO Días]],0)</f>
        <v>0</v>
      </c>
      <c r="U94" s="149">
        <f>+VLOOKUP(PROVEEDORES[[#This Row],[PROVEEDOR]],Terceros!$A:$E,5,FALSE)</f>
        <v>0</v>
      </c>
      <c r="V94" s="150">
        <f>+YEAR(PROVEEDORES[[#This Row],[FECHA DE FACTURACIÓN]])</f>
        <v>2021</v>
      </c>
      <c r="W94" s="150">
        <f>+MATCH(PROVEEDORES[[#This Row],[año facturado]],Retenciones!$1:$1,0)</f>
        <v>4</v>
      </c>
      <c r="X94" s="151">
        <f>+VLOOKUP(PROVEEDORES[[#This Row],[ID RETENCION]],Retenciones!$A$1:$O$24,PROVEEDORES[[#This Row],[indicador de columna]],FALSE)</f>
        <v>0</v>
      </c>
      <c r="Y94" s="152">
        <f>+VLOOKUP(PROVEEDORES[[#This Row],[ID RETENCION]],Retenciones!$A$1:$O$24,2,FALSE)</f>
        <v>0</v>
      </c>
      <c r="Z94" s="26"/>
      <c r="AA94" s="26"/>
      <c r="AB94" s="26"/>
      <c r="AC94" s="26"/>
      <c r="AD94" s="26"/>
      <c r="AE94" s="26"/>
    </row>
    <row r="95" spans="1:31" ht="21.95" customHeight="1" x14ac:dyDescent="0.25">
      <c r="A95" s="97" t="str">
        <f>+IF(PROVEEDORES[[#This Row],[FECHA DE PAGO]]=PROVEEDORES[[#This Row],[FECHA DE FACTURACIÓN]],"DE CONTADO","CRÉDITO")</f>
        <v>DE CONTADO</v>
      </c>
      <c r="B95" s="41" t="b">
        <f>+IF((PROVEEDORES[[#This Row],[FECHA DE PAGO]]-PROVEEDORES[[#This Row],[FECHA DE FACTURACIÓN]])&gt;PROVEEDORES[[#This Row],[PLAZO Días]],"PAGO VENCIDO")</f>
        <v>0</v>
      </c>
      <c r="C95" s="22">
        <f>+VLOOKUP(PROVEEDORES[[#This Row],[PROVEEDOR]],TERCEROS_INFO[#All],2,FALSE)</f>
        <v>30</v>
      </c>
      <c r="D95" s="27">
        <f>+SUMIFS(PROVEEDORES[Total],PROVEEDORES[PROVEEDOR],PROVEEDORES[[#This Row],[PROVEEDOR]],PROVEEDORES[FECHA DE PAGO],"")</f>
        <v>0</v>
      </c>
      <c r="E95" s="27"/>
      <c r="F95" s="62" t="str">
        <f>+VLOOKUP(PROVEEDORES[[#This Row],[PROVEEDOR]],
                       Terceros!$A:$G,
                       6,
                       FALSE)</f>
        <v/>
      </c>
      <c r="G95" s="95">
        <v>44216</v>
      </c>
      <c r="H95" s="28" t="s">
        <v>1061</v>
      </c>
      <c r="I95" s="95">
        <v>44216</v>
      </c>
      <c r="J95" s="38">
        <v>1409</v>
      </c>
      <c r="K95" s="23">
        <v>100000</v>
      </c>
      <c r="L95" s="23"/>
      <c r="M95" s="24">
        <v>0</v>
      </c>
      <c r="N95" s="25"/>
      <c r="O95" s="24">
        <v>0</v>
      </c>
      <c r="P95" s="136">
        <f>+IF(PROVEEDORES[[#This Row],[SUBTOTAL]]&lt;PROVEEDORES[[#This Row],[base retencion]],0,PROVEEDORES[[#This Row],[retención aplicada]])</f>
        <v>0</v>
      </c>
      <c r="Q95" s="24">
        <f>+PROVEEDORES[[#This Row],[Rete Fuente %]]*PROVEEDORES[[#This Row],[SUBTOTAL]]</f>
        <v>0</v>
      </c>
      <c r="R95" s="23">
        <v>100000</v>
      </c>
      <c r="S9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" s="99">
        <f ca="1">IF(PROVEEDORES[[#This Row],[FECHA DE PAGO]]=0,TODAY()-PROVEEDORES[[#This Row],[FECHA DE FACTURACIÓN]]-PROVEEDORES[[#This Row],[PLAZO Días]],0)</f>
        <v>0</v>
      </c>
      <c r="U95" s="149">
        <f>+VLOOKUP(PROVEEDORES[[#This Row],[PROVEEDOR]],Terceros!$A:$E,5,FALSE)</f>
        <v>0</v>
      </c>
      <c r="V95" s="150">
        <f>+YEAR(PROVEEDORES[[#This Row],[FECHA DE FACTURACIÓN]])</f>
        <v>2021</v>
      </c>
      <c r="W95" s="150">
        <f>+MATCH(PROVEEDORES[[#This Row],[año facturado]],Retenciones!$1:$1,0)</f>
        <v>4</v>
      </c>
      <c r="X95" s="151">
        <f>+VLOOKUP(PROVEEDORES[[#This Row],[ID RETENCION]],Retenciones!$A$1:$O$24,PROVEEDORES[[#This Row],[indicador de columna]],FALSE)</f>
        <v>0</v>
      </c>
      <c r="Y95" s="152">
        <f>+VLOOKUP(PROVEEDORES[[#This Row],[ID RETENCION]],Retenciones!$A$1:$O$24,2,FALSE)</f>
        <v>0</v>
      </c>
      <c r="Z95" s="26"/>
      <c r="AA95" s="26"/>
      <c r="AB95" s="26"/>
      <c r="AC95" s="26"/>
      <c r="AD95" s="26"/>
      <c r="AE95" s="26"/>
    </row>
    <row r="96" spans="1:31" ht="21.95" customHeight="1" x14ac:dyDescent="0.25">
      <c r="A96" s="97" t="str">
        <f>+IF(PROVEEDORES[[#This Row],[FECHA DE PAGO]]=PROVEEDORES[[#This Row],[FECHA DE FACTURACIÓN]],"DE CONTADO","CRÉDITO")</f>
        <v>CRÉDITO</v>
      </c>
      <c r="B96" s="41" t="b">
        <f>+IF((PROVEEDORES[[#This Row],[FECHA DE PAGO]]-PROVEEDORES[[#This Row],[FECHA DE FACTURACIÓN]])&gt;PROVEEDORES[[#This Row],[PLAZO Días]],"PAGO VENCIDO")</f>
        <v>0</v>
      </c>
      <c r="C96" s="22">
        <f>+VLOOKUP(PROVEEDORES[[#This Row],[PROVEEDOR]],TERCEROS_INFO[#All],2,FALSE)</f>
        <v>30</v>
      </c>
      <c r="D96" s="27">
        <f>+SUMIFS(PROVEEDORES[Total],PROVEEDORES[PROVEEDOR],PROVEEDORES[[#This Row],[PROVEEDOR]],PROVEEDORES[FECHA DE PAGO],"")</f>
        <v>395010</v>
      </c>
      <c r="E96" s="27"/>
      <c r="F96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96" s="95">
        <v>44222</v>
      </c>
      <c r="H96" s="28" t="s">
        <v>141</v>
      </c>
      <c r="I96" s="95">
        <v>44216</v>
      </c>
      <c r="J96" s="38">
        <v>57</v>
      </c>
      <c r="K96" s="23">
        <v>133000</v>
      </c>
      <c r="L96" s="23"/>
      <c r="M96" s="24">
        <v>25270</v>
      </c>
      <c r="N96" s="25"/>
      <c r="O96" s="24">
        <v>0</v>
      </c>
      <c r="P96" s="136">
        <f>+IF(PROVEEDORES[[#This Row],[SUBTOTAL]]&lt;PROVEEDORES[[#This Row],[base retencion]],0,PROVEEDORES[[#This Row],[retención aplicada]])</f>
        <v>0</v>
      </c>
      <c r="Q96" s="24">
        <f>+PROVEEDORES[[#This Row],[Rete Fuente %]]*PROVEEDORES[[#This Row],[SUBTOTAL]]</f>
        <v>0</v>
      </c>
      <c r="R96" s="23">
        <v>158270</v>
      </c>
      <c r="S9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" s="99">
        <f ca="1">IF(PROVEEDORES[[#This Row],[FECHA DE PAGO]]=0,TODAY()-PROVEEDORES[[#This Row],[FECHA DE FACTURACIÓN]]-PROVEEDORES[[#This Row],[PLAZO Días]],0)</f>
        <v>0</v>
      </c>
      <c r="U96" s="149" t="str">
        <f>+VLOOKUP(PROVEEDORES[[#This Row],[PROVEEDOR]],Terceros!$A:$E,5,FALSE)</f>
        <v>1% con base</v>
      </c>
      <c r="V96" s="150">
        <f>+YEAR(PROVEEDORES[[#This Row],[FECHA DE FACTURACIÓN]])</f>
        <v>2021</v>
      </c>
      <c r="W96" s="150">
        <f>+MATCH(PROVEEDORES[[#This Row],[año facturado]],Retenciones!$1:$1,0)</f>
        <v>4</v>
      </c>
      <c r="X96" s="151">
        <f>+VLOOKUP(PROVEEDORES[[#This Row],[ID RETENCION]],Retenciones!$A$1:$O$24,PROVEEDORES[[#This Row],[indicador de columna]],FALSE)</f>
        <v>145000</v>
      </c>
      <c r="Y96" s="152">
        <f>+VLOOKUP(PROVEEDORES[[#This Row],[ID RETENCION]],Retenciones!$A$1:$O$24,2,FALSE)</f>
        <v>0.01</v>
      </c>
      <c r="Z96" s="26"/>
      <c r="AA96" s="26"/>
      <c r="AB96" s="26"/>
      <c r="AC96" s="26"/>
      <c r="AD96" s="26"/>
      <c r="AE96" s="26"/>
    </row>
    <row r="97" spans="1:31" ht="21.95" customHeight="1" x14ac:dyDescent="0.25">
      <c r="A97" s="97" t="str">
        <f>+IF(PROVEEDORES[[#This Row],[FECHA DE PAGO]]=PROVEEDORES[[#This Row],[FECHA DE FACTURACIÓN]],"DE CONTADO","CRÉDITO")</f>
        <v>CRÉDITO</v>
      </c>
      <c r="B97" s="41" t="b">
        <f>+IF((PROVEEDORES[[#This Row],[FECHA DE PAGO]]-PROVEEDORES[[#This Row],[FECHA DE FACTURACIÓN]])&gt;PROVEEDORES[[#This Row],[PLAZO Días]],"PAGO VENCIDO")</f>
        <v>0</v>
      </c>
      <c r="C97" s="22">
        <f>+VLOOKUP(PROVEEDORES[[#This Row],[PROVEEDOR]],TERCEROS_INFO[#All],2,FALSE)</f>
        <v>30</v>
      </c>
      <c r="D97" s="27">
        <f>+SUMIFS(PROVEEDORES[Total],PROVEEDORES[PROVEEDOR],PROVEEDORES[[#This Row],[PROVEEDOR]],PROVEEDORES[FECHA DE PAGO],"")</f>
        <v>0</v>
      </c>
      <c r="E97" s="27"/>
      <c r="F97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97" s="95">
        <v>44221</v>
      </c>
      <c r="H97" s="28" t="s">
        <v>1040</v>
      </c>
      <c r="I97" s="95">
        <v>44216</v>
      </c>
      <c r="J97" s="38">
        <v>260</v>
      </c>
      <c r="K97" s="23">
        <v>160000</v>
      </c>
      <c r="L97" s="23"/>
      <c r="M97" s="24">
        <v>0</v>
      </c>
      <c r="N97" s="25"/>
      <c r="O97" s="24">
        <v>0</v>
      </c>
      <c r="P97" s="136">
        <f>+IF(PROVEEDORES[[#This Row],[SUBTOTAL]]&lt;PROVEEDORES[[#This Row],[base retencion]],0,PROVEEDORES[[#This Row],[retención aplicada]])</f>
        <v>0</v>
      </c>
      <c r="Q97" s="24">
        <f>+PROVEEDORES[[#This Row],[Rete Fuente %]]*PROVEEDORES[[#This Row],[SUBTOTAL]]</f>
        <v>0</v>
      </c>
      <c r="R97" s="23">
        <v>160000</v>
      </c>
      <c r="S9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" s="99">
        <f ca="1">IF(PROVEEDORES[[#This Row],[FECHA DE PAGO]]=0,TODAY()-PROVEEDORES[[#This Row],[FECHA DE FACTURACIÓN]]-PROVEEDORES[[#This Row],[PLAZO Días]],0)</f>
        <v>0</v>
      </c>
      <c r="U97" s="149">
        <f>+VLOOKUP(PROVEEDORES[[#This Row],[PROVEEDOR]],Terceros!$A:$E,5,FALSE)</f>
        <v>0</v>
      </c>
      <c r="V97" s="150">
        <f>+YEAR(PROVEEDORES[[#This Row],[FECHA DE FACTURACIÓN]])</f>
        <v>2021</v>
      </c>
      <c r="W97" s="150">
        <f>+MATCH(PROVEEDORES[[#This Row],[año facturado]],Retenciones!$1:$1,0)</f>
        <v>4</v>
      </c>
      <c r="X97" s="151">
        <f>+VLOOKUP(PROVEEDORES[[#This Row],[ID RETENCION]],Retenciones!$A$1:$O$24,PROVEEDORES[[#This Row],[indicador de columna]],FALSE)</f>
        <v>0</v>
      </c>
      <c r="Y97" s="152">
        <f>+VLOOKUP(PROVEEDORES[[#This Row],[ID RETENCION]],Retenciones!$A$1:$O$24,2,FALSE)</f>
        <v>0</v>
      </c>
      <c r="Z97" s="26"/>
      <c r="AA97" s="26"/>
      <c r="AB97" s="26"/>
      <c r="AC97" s="26"/>
      <c r="AD97" s="26"/>
      <c r="AE97" s="26"/>
    </row>
    <row r="98" spans="1:31" ht="21.95" customHeight="1" x14ac:dyDescent="0.25">
      <c r="A98" s="97" t="str">
        <f>+IF(PROVEEDORES[[#This Row],[FECHA DE PAGO]]=PROVEEDORES[[#This Row],[FECHA DE FACTURACIÓN]],"DE CONTADO","CRÉDITO")</f>
        <v>DE CONTADO</v>
      </c>
      <c r="B98" s="41" t="b">
        <f>+IF((PROVEEDORES[[#This Row],[FECHA DE PAGO]]-PROVEEDORES[[#This Row],[FECHA DE FACTURACIÓN]])&gt;PROVEEDORES[[#This Row],[PLAZO Días]],"PAGO VENCIDO")</f>
        <v>0</v>
      </c>
      <c r="C98" s="22">
        <f>+VLOOKUP(PROVEEDORES[[#This Row],[PROVEEDOR]],TERCEROS_INFO[#All],2,FALSE)</f>
        <v>30</v>
      </c>
      <c r="D98" s="27">
        <f>+SUMIFS(PROVEEDORES[Total],PROVEEDORES[PROVEEDOR],PROVEEDORES[[#This Row],[PROVEEDOR]],PROVEEDORES[FECHA DE PAGO],"")</f>
        <v>0</v>
      </c>
      <c r="E98" s="27"/>
      <c r="F98" s="62" t="str">
        <f>+VLOOKUP(PROVEEDORES[[#This Row],[PROVEEDOR]],
                       Terceros!$A:$G,
                       6,
                       FALSE)</f>
        <v/>
      </c>
      <c r="G98" s="95">
        <v>44216</v>
      </c>
      <c r="H98" s="28" t="s">
        <v>1061</v>
      </c>
      <c r="I98" s="95">
        <v>44216</v>
      </c>
      <c r="J98" s="38">
        <v>1410</v>
      </c>
      <c r="K98" s="23">
        <v>192050</v>
      </c>
      <c r="L98" s="23"/>
      <c r="M98" s="24">
        <v>0</v>
      </c>
      <c r="N98" s="25"/>
      <c r="O98" s="24">
        <v>0</v>
      </c>
      <c r="P98" s="136">
        <f>+IF(PROVEEDORES[[#This Row],[SUBTOTAL]]&lt;PROVEEDORES[[#This Row],[base retencion]],0,PROVEEDORES[[#This Row],[retención aplicada]])</f>
        <v>0</v>
      </c>
      <c r="Q98" s="24">
        <f>+PROVEEDORES[[#This Row],[Rete Fuente %]]*PROVEEDORES[[#This Row],[SUBTOTAL]]</f>
        <v>0</v>
      </c>
      <c r="R98" s="23">
        <v>192050</v>
      </c>
      <c r="S9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" s="99">
        <f ca="1">IF(PROVEEDORES[[#This Row],[FECHA DE PAGO]]=0,TODAY()-PROVEEDORES[[#This Row],[FECHA DE FACTURACIÓN]]-PROVEEDORES[[#This Row],[PLAZO Días]],0)</f>
        <v>0</v>
      </c>
      <c r="U98" s="149">
        <f>+VLOOKUP(PROVEEDORES[[#This Row],[PROVEEDOR]],Terceros!$A:$E,5,FALSE)</f>
        <v>0</v>
      </c>
      <c r="V98" s="150">
        <f>+YEAR(PROVEEDORES[[#This Row],[FECHA DE FACTURACIÓN]])</f>
        <v>2021</v>
      </c>
      <c r="W98" s="150">
        <f>+MATCH(PROVEEDORES[[#This Row],[año facturado]],Retenciones!$1:$1,0)</f>
        <v>4</v>
      </c>
      <c r="X98" s="151">
        <f>+VLOOKUP(PROVEEDORES[[#This Row],[ID RETENCION]],Retenciones!$A$1:$O$24,PROVEEDORES[[#This Row],[indicador de columna]],FALSE)</f>
        <v>0</v>
      </c>
      <c r="Y98" s="152">
        <f>+VLOOKUP(PROVEEDORES[[#This Row],[ID RETENCION]],Retenciones!$A$1:$O$24,2,FALSE)</f>
        <v>0</v>
      </c>
      <c r="Z98" s="26"/>
      <c r="AA98" s="26"/>
      <c r="AB98" s="26"/>
      <c r="AC98" s="26"/>
      <c r="AD98" s="26"/>
      <c r="AE98" s="26"/>
    </row>
    <row r="99" spans="1:31" ht="21.95" customHeight="1" x14ac:dyDescent="0.25">
      <c r="A99" s="97" t="str">
        <f>+IF(PROVEEDORES[[#This Row],[FECHA DE PAGO]]=PROVEEDORES[[#This Row],[FECHA DE FACTURACIÓN]],"DE CONTADO","CRÉDITO")</f>
        <v>CRÉDITO</v>
      </c>
      <c r="B99" s="41" t="str">
        <f>+IF((PROVEEDORES[[#This Row],[FECHA DE PAGO]]-PROVEEDORES[[#This Row],[FECHA DE FACTURACIÓN]])&gt;PROVEEDORES[[#This Row],[PLAZO Días]],"PAGO VENCIDO")</f>
        <v>PAGO VENCIDO</v>
      </c>
      <c r="C99" s="22">
        <f>+VLOOKUP(PROVEEDORES[[#This Row],[PROVEEDOR]],TERCEROS_INFO[#All],2,FALSE)</f>
        <v>30</v>
      </c>
      <c r="D99" s="27">
        <f>+SUMIFS(PROVEEDORES[Total],PROVEEDORES[PROVEEDOR],PROVEEDORES[[#This Row],[PROVEEDOR]],PROVEEDORES[FECHA DE PAGO],"")</f>
        <v>4641412.7745000003</v>
      </c>
      <c r="E99" s="27"/>
      <c r="F99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99" s="95">
        <v>44264</v>
      </c>
      <c r="H99" s="28" t="s">
        <v>20</v>
      </c>
      <c r="I99" s="95">
        <v>44216</v>
      </c>
      <c r="J99" s="38">
        <v>3129</v>
      </c>
      <c r="K99" s="23">
        <v>979579</v>
      </c>
      <c r="L99" s="23"/>
      <c r="M99" s="24">
        <v>186120.01</v>
      </c>
      <c r="N99" s="25"/>
      <c r="O99" s="24">
        <v>0</v>
      </c>
      <c r="P99" s="136">
        <f>+IF(PROVEEDORES[[#This Row],[SUBTOTAL]]&lt;PROVEEDORES[[#This Row],[base retencion]],0,PROVEEDORES[[#This Row],[retención aplicada]])</f>
        <v>0</v>
      </c>
      <c r="Q99" s="24">
        <f>+PROVEEDORES[[#This Row],[Rete Fuente %]]*PROVEEDORES[[#This Row],[SUBTOTAL]]</f>
        <v>0</v>
      </c>
      <c r="R99" s="23">
        <v>1165699.01</v>
      </c>
      <c r="S9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" s="99">
        <f ca="1">IF(PROVEEDORES[[#This Row],[FECHA DE PAGO]]=0,TODAY()-PROVEEDORES[[#This Row],[FECHA DE FACTURACIÓN]]-PROVEEDORES[[#This Row],[PLAZO Días]],0)</f>
        <v>0</v>
      </c>
      <c r="U99" s="149" t="str">
        <f>+VLOOKUP(PROVEEDORES[[#This Row],[PROVEEDOR]],Terceros!$A:$E,5,FALSE)</f>
        <v>2,5% con base</v>
      </c>
      <c r="V99" s="150">
        <f>+YEAR(PROVEEDORES[[#This Row],[FECHA DE FACTURACIÓN]])</f>
        <v>2021</v>
      </c>
      <c r="W99" s="150">
        <f>+MATCH(PROVEEDORES[[#This Row],[año facturado]],Retenciones!$1:$1,0)</f>
        <v>4</v>
      </c>
      <c r="X99" s="151">
        <f>+VLOOKUP(PROVEEDORES[[#This Row],[ID RETENCION]],Retenciones!$A$1:$O$24,PROVEEDORES[[#This Row],[indicador de columna]],FALSE)</f>
        <v>980000</v>
      </c>
      <c r="Y99" s="152">
        <f>+VLOOKUP(PROVEEDORES[[#This Row],[ID RETENCION]],Retenciones!$A$1:$O$24,2,FALSE)</f>
        <v>2.5000000000000001E-2</v>
      </c>
      <c r="Z99" s="26"/>
      <c r="AA99" s="26"/>
      <c r="AB99" s="26"/>
      <c r="AC99" s="26"/>
      <c r="AD99" s="26"/>
      <c r="AE99" s="26"/>
    </row>
    <row r="100" spans="1:31" ht="21.95" customHeight="1" x14ac:dyDescent="0.25">
      <c r="A100" s="97" t="str">
        <f>+IF(PROVEEDORES[[#This Row],[FECHA DE PAGO]]=PROVEEDORES[[#This Row],[FECHA DE FACTURACIÓN]],"DE CONTADO","CRÉDITO")</f>
        <v>CRÉDITO</v>
      </c>
      <c r="B100" s="41" t="b">
        <f>+IF((PROVEEDORES[[#This Row],[FECHA DE PAGO]]-PROVEEDORES[[#This Row],[FECHA DE FACTURACIÓN]])&gt;PROVEEDORES[[#This Row],[PLAZO Días]],"PAGO VENCIDO")</f>
        <v>0</v>
      </c>
      <c r="C100" s="22">
        <f>+VLOOKUP(PROVEEDORES[[#This Row],[PROVEEDOR]],TERCEROS_INFO[#All],2,FALSE)</f>
        <v>30</v>
      </c>
      <c r="D100" s="27">
        <f>+SUMIFS(PROVEEDORES[Total],PROVEEDORES[PROVEEDOR],PROVEEDORES[[#This Row],[PROVEEDOR]],PROVEEDORES[FECHA DE PAGO],"")</f>
        <v>479654.98979999998</v>
      </c>
      <c r="E100" s="27"/>
      <c r="F100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100" s="95">
        <v>44239</v>
      </c>
      <c r="H100" s="28" t="s">
        <v>1139</v>
      </c>
      <c r="I100" s="95">
        <v>44217</v>
      </c>
      <c r="J100" s="38">
        <v>729</v>
      </c>
      <c r="K100" s="23">
        <v>311764.71000000002</v>
      </c>
      <c r="L100" s="23"/>
      <c r="M100" s="24">
        <v>59235.294900000008</v>
      </c>
      <c r="N100" s="25"/>
      <c r="O100" s="24">
        <v>0</v>
      </c>
      <c r="P100" s="136">
        <f>+IF(PROVEEDORES[[#This Row],[SUBTOTAL]]&lt;PROVEEDORES[[#This Row],[base retencion]],0,PROVEEDORES[[#This Row],[retención aplicada]])</f>
        <v>0</v>
      </c>
      <c r="Q100" s="24">
        <f>+PROVEEDORES[[#This Row],[Rete Fuente %]]*PROVEEDORES[[#This Row],[SUBTOTAL]]</f>
        <v>0</v>
      </c>
      <c r="R100" s="23">
        <v>371000.00490000006</v>
      </c>
      <c r="S10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" s="99">
        <f ca="1">IF(PROVEEDORES[[#This Row],[FECHA DE PAGO]]=0,TODAY()-PROVEEDORES[[#This Row],[FECHA DE FACTURACIÓN]]-PROVEEDORES[[#This Row],[PLAZO Días]],0)</f>
        <v>0</v>
      </c>
      <c r="U100" s="149" t="str">
        <f>+VLOOKUP(PROVEEDORES[[#This Row],[PROVEEDOR]],Terceros!$A:$E,5,FALSE)</f>
        <v>2,5% con base</v>
      </c>
      <c r="V100" s="150">
        <f>+YEAR(PROVEEDORES[[#This Row],[FECHA DE FACTURACIÓN]])</f>
        <v>2021</v>
      </c>
      <c r="W100" s="150">
        <f>+MATCH(PROVEEDORES[[#This Row],[año facturado]],Retenciones!$1:$1,0)</f>
        <v>4</v>
      </c>
      <c r="X100" s="151">
        <f>+VLOOKUP(PROVEEDORES[[#This Row],[ID RETENCION]],Retenciones!$A$1:$O$24,PROVEEDORES[[#This Row],[indicador de columna]],FALSE)</f>
        <v>980000</v>
      </c>
      <c r="Y100" s="152">
        <f>+VLOOKUP(PROVEEDORES[[#This Row],[ID RETENCION]],Retenciones!$A$1:$O$24,2,FALSE)</f>
        <v>2.5000000000000001E-2</v>
      </c>
      <c r="Z100" s="26"/>
      <c r="AA100" s="26"/>
      <c r="AB100" s="26"/>
      <c r="AC100" s="26"/>
      <c r="AD100" s="26"/>
      <c r="AE100" s="26"/>
    </row>
    <row r="101" spans="1:31" ht="21.95" customHeight="1" x14ac:dyDescent="0.25">
      <c r="A101" s="97" t="str">
        <f>+IF(PROVEEDORES[[#This Row],[FECHA DE PAGO]]=PROVEEDORES[[#This Row],[FECHA DE FACTURACIÓN]],"DE CONTADO","CRÉDITO")</f>
        <v>CRÉDITO</v>
      </c>
      <c r="B101" s="41" t="str">
        <f>+IF((PROVEEDORES[[#This Row],[FECHA DE PAGO]]-PROVEEDORES[[#This Row],[FECHA DE FACTURACIÓN]])&gt;PROVEEDORES[[#This Row],[PLAZO Días]],"PAGO VENCIDO")</f>
        <v>PAGO VENCIDO</v>
      </c>
      <c r="C101" s="22">
        <f>+VLOOKUP(PROVEEDORES[[#This Row],[PROVEEDOR]],TERCEROS_INFO[#All],2,FALSE)</f>
        <v>30</v>
      </c>
      <c r="D101" s="27">
        <f>+SUMIFS(PROVEEDORES[Total],PROVEEDORES[PROVEEDOR],PROVEEDORES[[#This Row],[PROVEEDOR]],PROVEEDORES[FECHA DE PAGO],"")</f>
        <v>0</v>
      </c>
      <c r="E101" s="27"/>
      <c r="F101" s="62" t="str">
        <f>+VLOOKUP(PROVEEDORES[[#This Row],[PROVEEDOR]],
                       Terceros!$A:$G,
                       6,
                       FALSE)</f>
        <v>vromero@flashinternational.us;girlesa.ruiz@servipilas.com;joriescobar64@gmail.com</v>
      </c>
      <c r="G101" s="95">
        <v>44265</v>
      </c>
      <c r="H101" s="28" t="s">
        <v>142</v>
      </c>
      <c r="I101" s="95">
        <v>44217</v>
      </c>
      <c r="J101" s="38">
        <v>9769</v>
      </c>
      <c r="K101" s="23">
        <v>451800</v>
      </c>
      <c r="L101" s="23"/>
      <c r="M101" s="24">
        <v>0</v>
      </c>
      <c r="N101" s="25"/>
      <c r="O101" s="24">
        <v>0</v>
      </c>
      <c r="P101" s="136">
        <f>+IF(PROVEEDORES[[#This Row],[SUBTOTAL]]&lt;PROVEEDORES[[#This Row],[base retencion]],0,PROVEEDORES[[#This Row],[retención aplicada]])</f>
        <v>0</v>
      </c>
      <c r="Q101" s="24">
        <f>+PROVEEDORES[[#This Row],[Rete Fuente %]]*PROVEEDORES[[#This Row],[SUBTOTAL]]</f>
        <v>0</v>
      </c>
      <c r="R101" s="23">
        <v>451800</v>
      </c>
      <c r="S10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" s="99">
        <f ca="1">IF(PROVEEDORES[[#This Row],[FECHA DE PAGO]]=0,TODAY()-PROVEEDORES[[#This Row],[FECHA DE FACTURACIÓN]]-PROVEEDORES[[#This Row],[PLAZO Días]],0)</f>
        <v>0</v>
      </c>
      <c r="U101" s="149">
        <f>+VLOOKUP(PROVEEDORES[[#This Row],[PROVEEDOR]],Terceros!$A:$E,5,FALSE)</f>
        <v>0</v>
      </c>
      <c r="V101" s="150">
        <f>+YEAR(PROVEEDORES[[#This Row],[FECHA DE FACTURACIÓN]])</f>
        <v>2021</v>
      </c>
      <c r="W101" s="150">
        <f>+MATCH(PROVEEDORES[[#This Row],[año facturado]],Retenciones!$1:$1,0)</f>
        <v>4</v>
      </c>
      <c r="X101" s="151">
        <f>+VLOOKUP(PROVEEDORES[[#This Row],[ID RETENCION]],Retenciones!$A$1:$O$24,PROVEEDORES[[#This Row],[indicador de columna]],FALSE)</f>
        <v>0</v>
      </c>
      <c r="Y101" s="152">
        <f>+VLOOKUP(PROVEEDORES[[#This Row],[ID RETENCION]],Retenciones!$A$1:$O$24,2,FALSE)</f>
        <v>0</v>
      </c>
      <c r="Z101" s="26"/>
      <c r="AA101" s="26"/>
      <c r="AB101" s="26"/>
      <c r="AC101" s="26"/>
      <c r="AD101" s="26"/>
      <c r="AE101" s="26"/>
    </row>
    <row r="102" spans="1:31" ht="21.95" customHeight="1" x14ac:dyDescent="0.25">
      <c r="A102" s="97" t="str">
        <f>+IF(PROVEEDORES[[#This Row],[FECHA DE PAGO]]=PROVEEDORES[[#This Row],[FECHA DE FACTURACIÓN]],"DE CONTADO","CRÉDITO")</f>
        <v>CRÉDITO</v>
      </c>
      <c r="B102" s="41" t="str">
        <f>+IF((PROVEEDORES[[#This Row],[FECHA DE PAGO]]-PROVEEDORES[[#This Row],[FECHA DE FACTURACIÓN]])&gt;PROVEEDORES[[#This Row],[PLAZO Días]],"PAGO VENCIDO")</f>
        <v>PAGO VENCIDO</v>
      </c>
      <c r="C102" s="22">
        <f>+VLOOKUP(PROVEEDORES[[#This Row],[PROVEEDOR]],TERCEROS_INFO[#All],2,FALSE)</f>
        <v>30</v>
      </c>
      <c r="D102" s="27">
        <f>+SUMIFS(PROVEEDORES[Total],PROVEEDORES[PROVEEDOR],PROVEEDORES[[#This Row],[PROVEEDOR]],PROVEEDORES[FECHA DE PAGO],"")</f>
        <v>3750700</v>
      </c>
      <c r="E102" s="27"/>
      <c r="F102" s="62" t="str">
        <f>+VLOOKUP(PROVEEDORES[[#This Row],[PROVEEDOR]],
                       Terceros!$A:$G,
                       6,
                       FALSE)</f>
        <v/>
      </c>
      <c r="G102" s="95">
        <v>44264</v>
      </c>
      <c r="H102" s="28" t="s">
        <v>990</v>
      </c>
      <c r="I102" s="95">
        <v>44217</v>
      </c>
      <c r="J102" s="38">
        <v>1416</v>
      </c>
      <c r="K102" s="23">
        <v>1100000</v>
      </c>
      <c r="L102" s="23"/>
      <c r="M102" s="24">
        <v>0</v>
      </c>
      <c r="N102" s="25"/>
      <c r="O102" s="24">
        <v>0</v>
      </c>
      <c r="P102" s="136">
        <f>+IF(PROVEEDORES[[#This Row],[SUBTOTAL]]&lt;PROVEEDORES[[#This Row],[base retencion]],0,PROVEEDORES[[#This Row],[retención aplicada]])</f>
        <v>0</v>
      </c>
      <c r="Q102" s="24">
        <f>+PROVEEDORES[[#This Row],[Rete Fuente %]]*PROVEEDORES[[#This Row],[SUBTOTAL]]</f>
        <v>0</v>
      </c>
      <c r="R102" s="23">
        <v>1100000</v>
      </c>
      <c r="S10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" s="99">
        <f ca="1">IF(PROVEEDORES[[#This Row],[FECHA DE PAGO]]=0,TODAY()-PROVEEDORES[[#This Row],[FECHA DE FACTURACIÓN]]-PROVEEDORES[[#This Row],[PLAZO Días]],0)</f>
        <v>0</v>
      </c>
      <c r="U102" s="149">
        <f>+VLOOKUP(PROVEEDORES[[#This Row],[PROVEEDOR]],Terceros!$A:$E,5,FALSE)</f>
        <v>0</v>
      </c>
      <c r="V102" s="150">
        <f>+YEAR(PROVEEDORES[[#This Row],[FECHA DE FACTURACIÓN]])</f>
        <v>2021</v>
      </c>
      <c r="W102" s="150">
        <f>+MATCH(PROVEEDORES[[#This Row],[año facturado]],Retenciones!$1:$1,0)</f>
        <v>4</v>
      </c>
      <c r="X102" s="151">
        <f>+VLOOKUP(PROVEEDORES[[#This Row],[ID RETENCION]],Retenciones!$A$1:$O$24,PROVEEDORES[[#This Row],[indicador de columna]],FALSE)</f>
        <v>0</v>
      </c>
      <c r="Y102" s="152">
        <f>+VLOOKUP(PROVEEDORES[[#This Row],[ID RETENCION]],Retenciones!$A$1:$O$24,2,FALSE)</f>
        <v>0</v>
      </c>
      <c r="Z102" s="26"/>
      <c r="AA102" s="26"/>
      <c r="AB102" s="26"/>
      <c r="AC102" s="26"/>
      <c r="AD102" s="26"/>
      <c r="AE102" s="26"/>
    </row>
    <row r="103" spans="1:31" ht="21.95" customHeight="1" x14ac:dyDescent="0.25">
      <c r="A103" s="97" t="str">
        <f>+IF(PROVEEDORES[[#This Row],[FECHA DE PAGO]]=PROVEEDORES[[#This Row],[FECHA DE FACTURACIÓN]],"DE CONTADO","CRÉDITO")</f>
        <v>DE CONTADO</v>
      </c>
      <c r="B103" s="41" t="b">
        <f>+IF((PROVEEDORES[[#This Row],[FECHA DE PAGO]]-PROVEEDORES[[#This Row],[FECHA DE FACTURACIÓN]])&gt;PROVEEDORES[[#This Row],[PLAZO Días]],"PAGO VENCIDO")</f>
        <v>0</v>
      </c>
      <c r="C103" s="22">
        <f>+VLOOKUP(PROVEEDORES[[#This Row],[PROVEEDOR]],TERCEROS_INFO[#All],2,FALSE)</f>
        <v>30</v>
      </c>
      <c r="D103" s="27">
        <f>+SUMIFS(PROVEEDORES[Total],PROVEEDORES[PROVEEDOR],PROVEEDORES[[#This Row],[PROVEEDOR]],PROVEEDORES[FECHA DE PAGO],"")</f>
        <v>0</v>
      </c>
      <c r="E103" s="27"/>
      <c r="F103" s="62" t="str">
        <f>+VLOOKUP(PROVEEDORES[[#This Row],[PROVEEDOR]],
                       Terceros!$A:$G,
                       6,
                       FALSE)</f>
        <v/>
      </c>
      <c r="G103" s="95">
        <v>44217</v>
      </c>
      <c r="H103" s="28" t="s">
        <v>1046</v>
      </c>
      <c r="I103" s="95">
        <v>44217</v>
      </c>
      <c r="J103" s="38"/>
      <c r="K103" s="23">
        <v>2000000</v>
      </c>
      <c r="L103" s="23"/>
      <c r="M103" s="24">
        <v>0</v>
      </c>
      <c r="N103" s="25"/>
      <c r="O103" s="24">
        <v>0</v>
      </c>
      <c r="P103" s="136">
        <f>+IF(PROVEEDORES[[#This Row],[SUBTOTAL]]&lt;PROVEEDORES[[#This Row],[base retencion]],0,PROVEEDORES[[#This Row],[retención aplicada]])</f>
        <v>0</v>
      </c>
      <c r="Q103" s="24">
        <f>+PROVEEDORES[[#This Row],[Rete Fuente %]]*PROVEEDORES[[#This Row],[SUBTOTAL]]</f>
        <v>0</v>
      </c>
      <c r="R103" s="23">
        <v>2000000</v>
      </c>
      <c r="S10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" s="99">
        <f ca="1">IF(PROVEEDORES[[#This Row],[FECHA DE PAGO]]=0,TODAY()-PROVEEDORES[[#This Row],[FECHA DE FACTURACIÓN]]-PROVEEDORES[[#This Row],[PLAZO Días]],0)</f>
        <v>0</v>
      </c>
      <c r="U103" s="149">
        <f>+VLOOKUP(PROVEEDORES[[#This Row],[PROVEEDOR]],Terceros!$A:$E,5,FALSE)</f>
        <v>0</v>
      </c>
      <c r="V103" s="150">
        <f>+YEAR(PROVEEDORES[[#This Row],[FECHA DE FACTURACIÓN]])</f>
        <v>2021</v>
      </c>
      <c r="W103" s="150">
        <f>+MATCH(PROVEEDORES[[#This Row],[año facturado]],Retenciones!$1:$1,0)</f>
        <v>4</v>
      </c>
      <c r="X103" s="151">
        <f>+VLOOKUP(PROVEEDORES[[#This Row],[ID RETENCION]],Retenciones!$A$1:$O$24,PROVEEDORES[[#This Row],[indicador de columna]],FALSE)</f>
        <v>0</v>
      </c>
      <c r="Y103" s="152">
        <f>+VLOOKUP(PROVEEDORES[[#This Row],[ID RETENCION]],Retenciones!$A$1:$O$24,2,FALSE)</f>
        <v>0</v>
      </c>
      <c r="Z103" s="26"/>
      <c r="AA103" s="26"/>
      <c r="AB103" s="26"/>
      <c r="AC103" s="26"/>
      <c r="AD103" s="26"/>
      <c r="AE103" s="26"/>
    </row>
    <row r="104" spans="1:31" ht="21.95" customHeight="1" x14ac:dyDescent="0.25">
      <c r="A104" s="97" t="str">
        <f>+IF(PROVEEDORES[[#This Row],[FECHA DE PAGO]]=PROVEEDORES[[#This Row],[FECHA DE FACTURACIÓN]],"DE CONTADO","CRÉDITO")</f>
        <v>CRÉDITO</v>
      </c>
      <c r="B104" s="41" t="str">
        <f>+IF((PROVEEDORES[[#This Row],[FECHA DE PAGO]]-PROVEEDORES[[#This Row],[FECHA DE FACTURACIÓN]])&gt;PROVEEDORES[[#This Row],[PLAZO Días]],"PAGO VENCIDO")</f>
        <v>PAGO VENCIDO</v>
      </c>
      <c r="C104" s="22">
        <f>+VLOOKUP(PROVEEDORES[[#This Row],[PROVEEDOR]],TERCEROS_INFO[#All],2,FALSE)</f>
        <v>30</v>
      </c>
      <c r="D104" s="27">
        <f>+SUMIFS(PROVEEDORES[Total],PROVEEDORES[PROVEEDOR],PROVEEDORES[[#This Row],[PROVEEDOR]],PROVEEDORES[FECHA DE PAGO],"")</f>
        <v>0</v>
      </c>
      <c r="E104" s="27"/>
      <c r="F104" s="62" t="str">
        <f>+VLOOKUP(PROVEEDORES[[#This Row],[PROVEEDOR]],
                       Terceros!$A:$G,
                       6,
                       FALSE)</f>
        <v>electronicascanaresas@gmail.com;girlesa.ruiz@servipilas.com;joriescobar64@gmail.com</v>
      </c>
      <c r="G104" s="95">
        <v>44476</v>
      </c>
      <c r="H104" s="28" t="s">
        <v>182</v>
      </c>
      <c r="I104" s="95">
        <v>44218</v>
      </c>
      <c r="J104" s="38" t="s">
        <v>539</v>
      </c>
      <c r="K104" s="23">
        <v>128000</v>
      </c>
      <c r="L104" s="23"/>
      <c r="M104" s="24">
        <v>24320</v>
      </c>
      <c r="N104" s="25"/>
      <c r="O104" s="24">
        <v>0</v>
      </c>
      <c r="P104" s="136">
        <f>+IF(PROVEEDORES[[#This Row],[SUBTOTAL]]&lt;PROVEEDORES[[#This Row],[base retencion]],0,PROVEEDORES[[#This Row],[retención aplicada]])</f>
        <v>0</v>
      </c>
      <c r="Q104" s="24">
        <f>+PROVEEDORES[[#This Row],[Rete Fuente %]]*PROVEEDORES[[#This Row],[SUBTOTAL]]</f>
        <v>0</v>
      </c>
      <c r="R104" s="23">
        <v>152320</v>
      </c>
      <c r="S10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" s="99">
        <f ca="1">IF(PROVEEDORES[[#This Row],[FECHA DE PAGO]]=0,TODAY()-PROVEEDORES[[#This Row],[FECHA DE FACTURACIÓN]]-PROVEEDORES[[#This Row],[PLAZO Días]],0)</f>
        <v>0</v>
      </c>
      <c r="U104" s="149" t="str">
        <f>+VLOOKUP(PROVEEDORES[[#This Row],[PROVEEDOR]],Terceros!$A:$E,5,FALSE)</f>
        <v>2,5% con base</v>
      </c>
      <c r="V104" s="150">
        <f>+YEAR(PROVEEDORES[[#This Row],[FECHA DE FACTURACIÓN]])</f>
        <v>2021</v>
      </c>
      <c r="W104" s="150">
        <f>+MATCH(PROVEEDORES[[#This Row],[año facturado]],Retenciones!$1:$1,0)</f>
        <v>4</v>
      </c>
      <c r="X104" s="151">
        <f>+VLOOKUP(PROVEEDORES[[#This Row],[ID RETENCION]],Retenciones!$A$1:$O$24,PROVEEDORES[[#This Row],[indicador de columna]],FALSE)</f>
        <v>980000</v>
      </c>
      <c r="Y104" s="152">
        <f>+VLOOKUP(PROVEEDORES[[#This Row],[ID RETENCION]],Retenciones!$A$1:$O$24,2,FALSE)</f>
        <v>2.5000000000000001E-2</v>
      </c>
      <c r="Z104" s="26"/>
      <c r="AA104" s="26"/>
      <c r="AB104" s="26"/>
      <c r="AC104" s="26"/>
      <c r="AD104" s="26"/>
      <c r="AE104" s="26"/>
    </row>
    <row r="105" spans="1:31" ht="21.95" customHeight="1" x14ac:dyDescent="0.25">
      <c r="A105" s="97" t="str">
        <f>+IF(PROVEEDORES[[#This Row],[FECHA DE PAGO]]=PROVEEDORES[[#This Row],[FECHA DE FACTURACIÓN]],"DE CONTADO","CRÉDITO")</f>
        <v>CRÉDITO</v>
      </c>
      <c r="B105" s="41" t="b">
        <f>+IF((PROVEEDORES[[#This Row],[FECHA DE PAGO]]-PROVEEDORES[[#This Row],[FECHA DE FACTURACIÓN]])&gt;PROVEEDORES[[#This Row],[PLAZO Días]],"PAGO VENCIDO")</f>
        <v>0</v>
      </c>
      <c r="C105" s="22">
        <f>+VLOOKUP(PROVEEDORES[[#This Row],[PROVEEDOR]],TERCEROS_INFO[#All],2,FALSE)</f>
        <v>30</v>
      </c>
      <c r="D105" s="27">
        <f>+SUMIFS(PROVEEDORES[Total],PROVEEDORES[PROVEEDOR],PROVEEDORES[[#This Row],[PROVEEDOR]],PROVEEDORES[FECHA DE PAGO],"")</f>
        <v>0</v>
      </c>
      <c r="E105" s="27"/>
      <c r="F105" s="62" t="str">
        <f>+VLOOKUP(PROVEEDORES[[#This Row],[PROVEEDOR]],
                       Terceros!$A:$G,
                       6,
                       FALSE)</f>
        <v>BRIGHTSIDELED2019@gmail.com;girlesa.ruiz@servipilas.com;joriescobar64@gmail.com</v>
      </c>
      <c r="G105" s="95">
        <v>44235</v>
      </c>
      <c r="H105" s="28" t="s">
        <v>1038</v>
      </c>
      <c r="I105" s="95">
        <v>44218</v>
      </c>
      <c r="J105" s="38">
        <v>3971</v>
      </c>
      <c r="K105" s="23">
        <v>800000</v>
      </c>
      <c r="L105" s="23"/>
      <c r="M105" s="24">
        <v>0</v>
      </c>
      <c r="N105" s="25"/>
      <c r="O105" s="24">
        <v>0</v>
      </c>
      <c r="P105" s="136">
        <f>+IF(PROVEEDORES[[#This Row],[SUBTOTAL]]&lt;PROVEEDORES[[#This Row],[base retencion]],0,PROVEEDORES[[#This Row],[retención aplicada]])</f>
        <v>0</v>
      </c>
      <c r="Q105" s="24">
        <f>+PROVEEDORES[[#This Row],[Rete Fuente %]]*PROVEEDORES[[#This Row],[SUBTOTAL]]</f>
        <v>0</v>
      </c>
      <c r="R105" s="23">
        <v>800000</v>
      </c>
      <c r="S10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" s="99">
        <f ca="1">IF(PROVEEDORES[[#This Row],[FECHA DE PAGO]]=0,TODAY()-PROVEEDORES[[#This Row],[FECHA DE FACTURACIÓN]]-PROVEEDORES[[#This Row],[PLAZO Días]],0)</f>
        <v>0</v>
      </c>
      <c r="U105" s="149">
        <f>+VLOOKUP(PROVEEDORES[[#This Row],[PROVEEDOR]],Terceros!$A:$E,5,FALSE)</f>
        <v>0</v>
      </c>
      <c r="V105" s="150">
        <f>+YEAR(PROVEEDORES[[#This Row],[FECHA DE FACTURACIÓN]])</f>
        <v>2021</v>
      </c>
      <c r="W105" s="150">
        <f>+MATCH(PROVEEDORES[[#This Row],[año facturado]],Retenciones!$1:$1,0)</f>
        <v>4</v>
      </c>
      <c r="X105" s="151">
        <f>+VLOOKUP(PROVEEDORES[[#This Row],[ID RETENCION]],Retenciones!$A$1:$O$24,PROVEEDORES[[#This Row],[indicador de columna]],FALSE)</f>
        <v>0</v>
      </c>
      <c r="Y105" s="152">
        <f>+VLOOKUP(PROVEEDORES[[#This Row],[ID RETENCION]],Retenciones!$A$1:$O$24,2,FALSE)</f>
        <v>0</v>
      </c>
      <c r="Z105" s="26"/>
      <c r="AA105" s="26"/>
      <c r="AB105" s="26"/>
      <c r="AC105" s="26"/>
      <c r="AD105" s="26"/>
      <c r="AE105" s="26"/>
    </row>
    <row r="106" spans="1:31" ht="21.95" customHeight="1" x14ac:dyDescent="0.25">
      <c r="A106" s="97" t="str">
        <f>+IF(PROVEEDORES[[#This Row],[FECHA DE PAGO]]=PROVEEDORES[[#This Row],[FECHA DE FACTURACIÓN]],"DE CONTADO","CRÉDITO")</f>
        <v>CRÉDITO</v>
      </c>
      <c r="B106" s="41" t="str">
        <f>+IF((PROVEEDORES[[#This Row],[FECHA DE PAGO]]-PROVEEDORES[[#This Row],[FECHA DE FACTURACIÓN]])&gt;PROVEEDORES[[#This Row],[PLAZO Días]],"PAGO VENCIDO")</f>
        <v>PAGO VENCIDO</v>
      </c>
      <c r="C106" s="22">
        <f>+VLOOKUP(PROVEEDORES[[#This Row],[PROVEEDOR]],TERCEROS_INFO[#All],2,FALSE)</f>
        <v>30</v>
      </c>
      <c r="D106" s="27">
        <f>+SUMIFS(PROVEEDORES[Total],PROVEEDORES[PROVEEDOR],PROVEEDORES[[#This Row],[PROVEEDOR]],PROVEEDORES[FECHA DE PAGO],"")</f>
        <v>3355018.0749999997</v>
      </c>
      <c r="E106" s="27"/>
      <c r="F106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106" s="95">
        <v>44348</v>
      </c>
      <c r="H106" s="28" t="s">
        <v>222</v>
      </c>
      <c r="I106" s="95">
        <v>44218</v>
      </c>
      <c r="J106" s="38">
        <v>134</v>
      </c>
      <c r="K106" s="23">
        <v>1112605</v>
      </c>
      <c r="L106" s="23"/>
      <c r="M106" s="24">
        <v>211394.95</v>
      </c>
      <c r="N106" s="25"/>
      <c r="O106" s="24">
        <v>0</v>
      </c>
      <c r="P106" s="136">
        <f>+IF(PROVEEDORES[[#This Row],[SUBTOTAL]]&lt;PROVEEDORES[[#This Row],[base retencion]],0,PROVEEDORES[[#This Row],[retención aplicada]])</f>
        <v>2.5000000000000001E-2</v>
      </c>
      <c r="Q106" s="24">
        <f>+PROVEEDORES[[#This Row],[Rete Fuente %]]*PROVEEDORES[[#This Row],[SUBTOTAL]]</f>
        <v>27815.125</v>
      </c>
      <c r="R106" s="23">
        <v>1296184.825</v>
      </c>
      <c r="S10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" s="99">
        <f ca="1">IF(PROVEEDORES[[#This Row],[FECHA DE PAGO]]=0,TODAY()-PROVEEDORES[[#This Row],[FECHA DE FACTURACIÓN]]-PROVEEDORES[[#This Row],[PLAZO Días]],0)</f>
        <v>0</v>
      </c>
      <c r="U106" s="149" t="str">
        <f>+VLOOKUP(PROVEEDORES[[#This Row],[PROVEEDOR]],Terceros!$A:$E,5,FALSE)</f>
        <v>2,5% con base</v>
      </c>
      <c r="V106" s="150">
        <f>+YEAR(PROVEEDORES[[#This Row],[FECHA DE FACTURACIÓN]])</f>
        <v>2021</v>
      </c>
      <c r="W106" s="150">
        <f>+MATCH(PROVEEDORES[[#This Row],[año facturado]],Retenciones!$1:$1,0)</f>
        <v>4</v>
      </c>
      <c r="X106" s="151">
        <f>+VLOOKUP(PROVEEDORES[[#This Row],[ID RETENCION]],Retenciones!$A$1:$O$24,PROVEEDORES[[#This Row],[indicador de columna]],FALSE)</f>
        <v>980000</v>
      </c>
      <c r="Y106" s="152">
        <f>+VLOOKUP(PROVEEDORES[[#This Row],[ID RETENCION]],Retenciones!$A$1:$O$24,2,FALSE)</f>
        <v>2.5000000000000001E-2</v>
      </c>
      <c r="Z106" s="26"/>
      <c r="AA106" s="26"/>
      <c r="AB106" s="26"/>
      <c r="AC106" s="26"/>
      <c r="AD106" s="26"/>
      <c r="AE106" s="26"/>
    </row>
    <row r="107" spans="1:31" ht="21.95" customHeight="1" x14ac:dyDescent="0.25">
      <c r="A107" s="97" t="str">
        <f>+IF(PROVEEDORES[[#This Row],[FECHA DE PAGO]]=PROVEEDORES[[#This Row],[FECHA DE FACTURACIÓN]],"DE CONTADO","CRÉDITO")</f>
        <v>CRÉDITO</v>
      </c>
      <c r="B107" s="41" t="b">
        <f>+IF((PROVEEDORES[[#This Row],[FECHA DE PAGO]]-PROVEEDORES[[#This Row],[FECHA DE FACTURACIÓN]])&gt;PROVEEDORES[[#This Row],[PLAZO Días]],"PAGO VENCIDO")</f>
        <v>0</v>
      </c>
      <c r="C107" s="22">
        <f>+VLOOKUP(PROVEEDORES[[#This Row],[PROVEEDOR]],TERCEROS_INFO[#All],2,FALSE)</f>
        <v>30</v>
      </c>
      <c r="D107" s="27">
        <f>+SUMIFS(PROVEEDORES[Total],PROVEEDORES[PROVEEDOR],PROVEEDORES[[#This Row],[PROVEEDOR]],PROVEEDORES[FECHA DE PAGO],"")</f>
        <v>0</v>
      </c>
      <c r="E107" s="27"/>
      <c r="F107" s="62" t="str">
        <f>+VLOOKUP(PROVEEDORES[[#This Row],[PROVEEDOR]],
                       Terceros!$A:$G,
                       6,
                       FALSE)</f>
        <v>vromero@flashinternational.us;girlesa.ruiz@servipilas.com;joriescobar64@gmail.com</v>
      </c>
      <c r="G107" s="95">
        <v>44198</v>
      </c>
      <c r="H107" s="28" t="s">
        <v>134</v>
      </c>
      <c r="I107" s="95">
        <v>44219</v>
      </c>
      <c r="J107" s="38" t="s">
        <v>175</v>
      </c>
      <c r="K107" s="23">
        <v>1266000</v>
      </c>
      <c r="L107" s="23"/>
      <c r="M107" s="24">
        <v>0</v>
      </c>
      <c r="N107" s="25"/>
      <c r="O107" s="24">
        <v>0</v>
      </c>
      <c r="P107" s="136">
        <f>+IF(PROVEEDORES[[#This Row],[SUBTOTAL]]&lt;PROVEEDORES[[#This Row],[base retencion]],0,PROVEEDORES[[#This Row],[retención aplicada]])</f>
        <v>0</v>
      </c>
      <c r="Q107" s="24">
        <f>+PROVEEDORES[[#This Row],[Rete Fuente %]]*PROVEEDORES[[#This Row],[SUBTOTAL]]</f>
        <v>0</v>
      </c>
      <c r="R107" s="23">
        <v>1266000</v>
      </c>
      <c r="S10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" s="99">
        <f ca="1">IF(PROVEEDORES[[#This Row],[FECHA DE PAGO]]=0,TODAY()-PROVEEDORES[[#This Row],[FECHA DE FACTURACIÓN]]-PROVEEDORES[[#This Row],[PLAZO Días]],0)</f>
        <v>0</v>
      </c>
      <c r="U107" s="149">
        <f>+VLOOKUP(PROVEEDORES[[#This Row],[PROVEEDOR]],Terceros!$A:$E,5,FALSE)</f>
        <v>0</v>
      </c>
      <c r="V107" s="150">
        <f>+YEAR(PROVEEDORES[[#This Row],[FECHA DE FACTURACIÓN]])</f>
        <v>2021</v>
      </c>
      <c r="W107" s="150">
        <f>+MATCH(PROVEEDORES[[#This Row],[año facturado]],Retenciones!$1:$1,0)</f>
        <v>4</v>
      </c>
      <c r="X107" s="151">
        <f>+VLOOKUP(PROVEEDORES[[#This Row],[ID RETENCION]],Retenciones!$A$1:$O$24,PROVEEDORES[[#This Row],[indicador de columna]],FALSE)</f>
        <v>0</v>
      </c>
      <c r="Y107" s="152">
        <f>+VLOOKUP(PROVEEDORES[[#This Row],[ID RETENCION]],Retenciones!$A$1:$O$24,2,FALSE)</f>
        <v>0</v>
      </c>
      <c r="Z107" s="26"/>
      <c r="AA107" s="26"/>
      <c r="AB107" s="26"/>
      <c r="AC107" s="26"/>
      <c r="AD107" s="26"/>
      <c r="AE107" s="26"/>
    </row>
    <row r="108" spans="1:31" ht="21.95" customHeight="1" x14ac:dyDescent="0.25">
      <c r="A108" s="97" t="str">
        <f>+IF(PROVEEDORES[[#This Row],[FECHA DE PAGO]]=PROVEEDORES[[#This Row],[FECHA DE FACTURACIÓN]],"DE CONTADO","CRÉDITO")</f>
        <v>CRÉDITO</v>
      </c>
      <c r="B108" s="41" t="str">
        <f>+IF((PROVEEDORES[[#This Row],[FECHA DE PAGO]]-PROVEEDORES[[#This Row],[FECHA DE FACTURACIÓN]])&gt;PROVEEDORES[[#This Row],[PLAZO Días]],"PAGO VENCIDO")</f>
        <v>PAGO VENCIDO</v>
      </c>
      <c r="C108" s="22">
        <f>+VLOOKUP(PROVEEDORES[[#This Row],[PROVEEDOR]],TERCEROS_INFO[#All],2,FALSE)</f>
        <v>30</v>
      </c>
      <c r="D108" s="27">
        <f>+SUMIFS(PROVEEDORES[Total],PROVEEDORES[PROVEEDOR],PROVEEDORES[[#This Row],[PROVEEDOR]],PROVEEDORES[FECHA DE PAGO],"")</f>
        <v>1979529.3</v>
      </c>
      <c r="E108" s="27"/>
      <c r="F108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108" s="95">
        <v>44257</v>
      </c>
      <c r="H108" s="28" t="s">
        <v>17</v>
      </c>
      <c r="I108" s="95">
        <v>44221</v>
      </c>
      <c r="J108" s="38">
        <v>1716568</v>
      </c>
      <c r="K108" s="23">
        <v>948000</v>
      </c>
      <c r="L108" s="23"/>
      <c r="M108" s="24">
        <v>180120</v>
      </c>
      <c r="N108" s="25"/>
      <c r="O108" s="24">
        <v>0</v>
      </c>
      <c r="P108" s="136">
        <f>+IF(PROVEEDORES[[#This Row],[SUBTOTAL]]&lt;PROVEEDORES[[#This Row],[base retencion]],0,PROVEEDORES[[#This Row],[retención aplicada]])</f>
        <v>0</v>
      </c>
      <c r="Q108" s="24">
        <f>+PROVEEDORES[[#This Row],[Rete Fuente %]]*PROVEEDORES[[#This Row],[SUBTOTAL]]</f>
        <v>0</v>
      </c>
      <c r="R108" s="23">
        <v>1128120</v>
      </c>
      <c r="S10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" s="99">
        <f ca="1">IF(PROVEEDORES[[#This Row],[FECHA DE PAGO]]=0,TODAY()-PROVEEDORES[[#This Row],[FECHA DE FACTURACIÓN]]-PROVEEDORES[[#This Row],[PLAZO Días]],0)</f>
        <v>0</v>
      </c>
      <c r="U108" s="149">
        <f>+VLOOKUP(PROVEEDORES[[#This Row],[PROVEEDOR]],Terceros!$A:$E,5,FALSE)</f>
        <v>0</v>
      </c>
      <c r="V108" s="150">
        <f>+YEAR(PROVEEDORES[[#This Row],[FECHA DE FACTURACIÓN]])</f>
        <v>2021</v>
      </c>
      <c r="W108" s="150">
        <f>+MATCH(PROVEEDORES[[#This Row],[año facturado]],Retenciones!$1:$1,0)</f>
        <v>4</v>
      </c>
      <c r="X108" s="151">
        <f>+VLOOKUP(PROVEEDORES[[#This Row],[ID RETENCION]],Retenciones!$A$1:$O$24,PROVEEDORES[[#This Row],[indicador de columna]],FALSE)</f>
        <v>0</v>
      </c>
      <c r="Y108" s="152">
        <f>+VLOOKUP(PROVEEDORES[[#This Row],[ID RETENCION]],Retenciones!$A$1:$O$24,2,FALSE)</f>
        <v>0</v>
      </c>
      <c r="Z108" s="26"/>
      <c r="AA108" s="26"/>
      <c r="AB108" s="26"/>
      <c r="AC108" s="26"/>
      <c r="AD108" s="26"/>
      <c r="AE108" s="26"/>
    </row>
    <row r="109" spans="1:31" ht="21.95" customHeight="1" x14ac:dyDescent="0.25">
      <c r="A109" s="97" t="str">
        <f>+IF(PROVEEDORES[[#This Row],[FECHA DE PAGO]]=PROVEEDORES[[#This Row],[FECHA DE FACTURACIÓN]],"DE CONTADO","CRÉDITO")</f>
        <v>DE CONTADO</v>
      </c>
      <c r="B109" s="41" t="b">
        <f>+IF((PROVEEDORES[[#This Row],[FECHA DE PAGO]]-PROVEEDORES[[#This Row],[FECHA DE FACTURACIÓN]])&gt;PROVEEDORES[[#This Row],[PLAZO Días]],"PAGO VENCIDO")</f>
        <v>0</v>
      </c>
      <c r="C109" s="22">
        <f>+VLOOKUP(PROVEEDORES[[#This Row],[PROVEEDOR]],TERCEROS_INFO[#All],2,FALSE)</f>
        <v>30</v>
      </c>
      <c r="D109" s="27">
        <f>+SUMIFS(PROVEEDORES[Total],PROVEEDORES[PROVEEDOR],PROVEEDORES[[#This Row],[PROVEEDOR]],PROVEEDORES[FECHA DE PAGO],"")</f>
        <v>0</v>
      </c>
      <c r="E109" s="27"/>
      <c r="F109" s="62" t="str">
        <f>+VLOOKUP(PROVEEDORES[[#This Row],[PROVEEDOR]],
                       Terceros!$A:$G,
                       6,
                       FALSE)</f>
        <v/>
      </c>
      <c r="G109" s="95">
        <v>44221</v>
      </c>
      <c r="H109" s="28" t="s">
        <v>1058</v>
      </c>
      <c r="I109" s="95">
        <v>44221</v>
      </c>
      <c r="J109" s="38"/>
      <c r="K109" s="23">
        <v>1400000</v>
      </c>
      <c r="L109" s="23"/>
      <c r="M109" s="24">
        <v>0</v>
      </c>
      <c r="N109" s="25"/>
      <c r="O109" s="24">
        <v>0</v>
      </c>
      <c r="P109" s="136">
        <f>+IF(PROVEEDORES[[#This Row],[SUBTOTAL]]&lt;PROVEEDORES[[#This Row],[base retencion]],0,PROVEEDORES[[#This Row],[retención aplicada]])</f>
        <v>0</v>
      </c>
      <c r="Q109" s="24">
        <f>+PROVEEDORES[[#This Row],[Rete Fuente %]]*PROVEEDORES[[#This Row],[SUBTOTAL]]</f>
        <v>0</v>
      </c>
      <c r="R109" s="23">
        <v>1400000</v>
      </c>
      <c r="S10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" s="99">
        <f ca="1">IF(PROVEEDORES[[#This Row],[FECHA DE PAGO]]=0,TODAY()-PROVEEDORES[[#This Row],[FECHA DE FACTURACIÓN]]-PROVEEDORES[[#This Row],[PLAZO Días]],0)</f>
        <v>0</v>
      </c>
      <c r="U109" s="149">
        <f>+VLOOKUP(PROVEEDORES[[#This Row],[PROVEEDOR]],Terceros!$A:$E,5,FALSE)</f>
        <v>0</v>
      </c>
      <c r="V109" s="150">
        <f>+YEAR(PROVEEDORES[[#This Row],[FECHA DE FACTURACIÓN]])</f>
        <v>2021</v>
      </c>
      <c r="W109" s="150">
        <f>+MATCH(PROVEEDORES[[#This Row],[año facturado]],Retenciones!$1:$1,0)</f>
        <v>4</v>
      </c>
      <c r="X109" s="151">
        <f>+VLOOKUP(PROVEEDORES[[#This Row],[ID RETENCION]],Retenciones!$A$1:$O$24,PROVEEDORES[[#This Row],[indicador de columna]],FALSE)</f>
        <v>0</v>
      </c>
      <c r="Y109" s="152">
        <f>+VLOOKUP(PROVEEDORES[[#This Row],[ID RETENCION]],Retenciones!$A$1:$O$24,2,FALSE)</f>
        <v>0</v>
      </c>
      <c r="Z109" s="26"/>
      <c r="AA109" s="26"/>
      <c r="AB109" s="26"/>
      <c r="AC109" s="26"/>
      <c r="AD109" s="26"/>
      <c r="AE109" s="26"/>
    </row>
    <row r="110" spans="1:31" ht="21.95" customHeight="1" x14ac:dyDescent="0.25">
      <c r="A110" s="97" t="str">
        <f>+IF(PROVEEDORES[[#This Row],[FECHA DE PAGO]]=PROVEEDORES[[#This Row],[FECHA DE FACTURACIÓN]],"DE CONTADO","CRÉDITO")</f>
        <v>DE CONTADO</v>
      </c>
      <c r="B110" s="41" t="b">
        <f>+IF((PROVEEDORES[[#This Row],[FECHA DE PAGO]]-PROVEEDORES[[#This Row],[FECHA DE FACTURACIÓN]])&gt;PROVEEDORES[[#This Row],[PLAZO Días]],"PAGO VENCIDO")</f>
        <v>0</v>
      </c>
      <c r="C110" s="22">
        <f>+VLOOKUP(PROVEEDORES[[#This Row],[PROVEEDOR]],TERCEROS_INFO[#All],2,FALSE)</f>
        <v>30</v>
      </c>
      <c r="D110" s="27">
        <f>+SUMIFS(PROVEEDORES[Total],PROVEEDORES[PROVEEDOR],PROVEEDORES[[#This Row],[PROVEEDOR]],PROVEEDORES[FECHA DE PAGO],"")</f>
        <v>0</v>
      </c>
      <c r="E110" s="27"/>
      <c r="F110" s="62" t="str">
        <f>+VLOOKUP(PROVEEDORES[[#This Row],[PROVEEDOR]],
                       Terceros!$A:$G,
                       6,
                       FALSE)</f>
        <v>vromero@flashinternational.us;girlesa.ruiz@servipilas.com;joriescobar64@gmail.com</v>
      </c>
      <c r="G110" s="95">
        <v>44222</v>
      </c>
      <c r="H110" s="28" t="s">
        <v>142</v>
      </c>
      <c r="I110" s="95">
        <v>44222</v>
      </c>
      <c r="J110" s="38">
        <v>9721</v>
      </c>
      <c r="K110" s="23">
        <v>172800</v>
      </c>
      <c r="L110" s="23"/>
      <c r="M110" s="24">
        <v>0</v>
      </c>
      <c r="N110" s="25"/>
      <c r="O110" s="24">
        <v>0</v>
      </c>
      <c r="P110" s="136">
        <f>+IF(PROVEEDORES[[#This Row],[SUBTOTAL]]&lt;PROVEEDORES[[#This Row],[base retencion]],0,PROVEEDORES[[#This Row],[retención aplicada]])</f>
        <v>0</v>
      </c>
      <c r="Q110" s="24">
        <f>+PROVEEDORES[[#This Row],[Rete Fuente %]]*PROVEEDORES[[#This Row],[SUBTOTAL]]</f>
        <v>0</v>
      </c>
      <c r="R110" s="23">
        <v>172800</v>
      </c>
      <c r="S11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" s="99">
        <f ca="1">IF(PROVEEDORES[[#This Row],[FECHA DE PAGO]]=0,TODAY()-PROVEEDORES[[#This Row],[FECHA DE FACTURACIÓN]]-PROVEEDORES[[#This Row],[PLAZO Días]],0)</f>
        <v>0</v>
      </c>
      <c r="U110" s="149">
        <f>+VLOOKUP(PROVEEDORES[[#This Row],[PROVEEDOR]],Terceros!$A:$E,5,FALSE)</f>
        <v>0</v>
      </c>
      <c r="V110" s="150">
        <f>+YEAR(PROVEEDORES[[#This Row],[FECHA DE FACTURACIÓN]])</f>
        <v>2021</v>
      </c>
      <c r="W110" s="150">
        <f>+MATCH(PROVEEDORES[[#This Row],[año facturado]],Retenciones!$1:$1,0)</f>
        <v>4</v>
      </c>
      <c r="X110" s="151">
        <f>+VLOOKUP(PROVEEDORES[[#This Row],[ID RETENCION]],Retenciones!$A$1:$O$24,PROVEEDORES[[#This Row],[indicador de columna]],FALSE)</f>
        <v>0</v>
      </c>
      <c r="Y110" s="152">
        <f>+VLOOKUP(PROVEEDORES[[#This Row],[ID RETENCION]],Retenciones!$A$1:$O$24,2,FALSE)</f>
        <v>0</v>
      </c>
      <c r="Z110" s="26"/>
      <c r="AA110" s="26"/>
      <c r="AB110" s="26"/>
      <c r="AC110" s="26"/>
      <c r="AD110" s="26"/>
      <c r="AE110" s="26"/>
    </row>
    <row r="111" spans="1:31" ht="21.95" customHeight="1" x14ac:dyDescent="0.25">
      <c r="A111" s="97" t="str">
        <f>+IF(PROVEEDORES[[#This Row],[FECHA DE PAGO]]=PROVEEDORES[[#This Row],[FECHA DE FACTURACIÓN]],"DE CONTADO","CRÉDITO")</f>
        <v>DE CONTADO</v>
      </c>
      <c r="B111" s="41" t="b">
        <f>+IF((PROVEEDORES[[#This Row],[FECHA DE PAGO]]-PROVEEDORES[[#This Row],[FECHA DE FACTURACIÓN]])&gt;PROVEEDORES[[#This Row],[PLAZO Días]],"PAGO VENCIDO")</f>
        <v>0</v>
      </c>
      <c r="C111" s="22">
        <f>+VLOOKUP(PROVEEDORES[[#This Row],[PROVEEDOR]],TERCEROS_INFO[#All],2,FALSE)</f>
        <v>30</v>
      </c>
      <c r="D111" s="27">
        <f>+SUMIFS(PROVEEDORES[Total],PROVEEDORES[PROVEEDOR],PROVEEDORES[[#This Row],[PROVEEDOR]],PROVEEDORES[FECHA DE PAGO],"")</f>
        <v>0</v>
      </c>
      <c r="E111" s="27"/>
      <c r="F111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111" s="95">
        <v>44222</v>
      </c>
      <c r="H111" s="28" t="s">
        <v>1124</v>
      </c>
      <c r="I111" s="95">
        <v>44222</v>
      </c>
      <c r="J111" s="38" t="s">
        <v>662</v>
      </c>
      <c r="K111" s="23">
        <v>1587200</v>
      </c>
      <c r="L111" s="23"/>
      <c r="M111" s="24">
        <v>301568</v>
      </c>
      <c r="N111" s="25"/>
      <c r="O111" s="24">
        <v>0</v>
      </c>
      <c r="P111" s="136">
        <f>+IF(PROVEEDORES[[#This Row],[SUBTOTAL]]&lt;PROVEEDORES[[#This Row],[base retencion]],0,PROVEEDORES[[#This Row],[retención aplicada]])</f>
        <v>2.5000000000000001E-2</v>
      </c>
      <c r="Q111" s="24">
        <f>+PROVEEDORES[[#This Row],[Rete Fuente %]]*PROVEEDORES[[#This Row],[SUBTOTAL]]</f>
        <v>39680</v>
      </c>
      <c r="R111" s="23">
        <v>1849088</v>
      </c>
      <c r="S11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" s="99">
        <f ca="1">IF(PROVEEDORES[[#This Row],[FECHA DE PAGO]]=0,TODAY()-PROVEEDORES[[#This Row],[FECHA DE FACTURACIÓN]]-PROVEEDORES[[#This Row],[PLAZO Días]],0)</f>
        <v>0</v>
      </c>
      <c r="U111" s="149" t="str">
        <f>+VLOOKUP(PROVEEDORES[[#This Row],[PROVEEDOR]],Terceros!$A:$E,5,FALSE)</f>
        <v>2,5% con base</v>
      </c>
      <c r="V111" s="150">
        <f>+YEAR(PROVEEDORES[[#This Row],[FECHA DE FACTURACIÓN]])</f>
        <v>2021</v>
      </c>
      <c r="W111" s="150">
        <f>+MATCH(PROVEEDORES[[#This Row],[año facturado]],Retenciones!$1:$1,0)</f>
        <v>4</v>
      </c>
      <c r="X111" s="151">
        <f>+VLOOKUP(PROVEEDORES[[#This Row],[ID RETENCION]],Retenciones!$A$1:$O$24,PROVEEDORES[[#This Row],[indicador de columna]],FALSE)</f>
        <v>980000</v>
      </c>
      <c r="Y111" s="152">
        <f>+VLOOKUP(PROVEEDORES[[#This Row],[ID RETENCION]],Retenciones!$A$1:$O$24,2,FALSE)</f>
        <v>2.5000000000000001E-2</v>
      </c>
      <c r="Z111" s="26"/>
      <c r="AA111" s="26"/>
      <c r="AB111" s="26"/>
      <c r="AC111" s="26"/>
      <c r="AD111" s="26"/>
      <c r="AE111" s="26"/>
    </row>
    <row r="112" spans="1:31" ht="21.95" customHeight="1" x14ac:dyDescent="0.25">
      <c r="A112" s="97" t="str">
        <f>+IF(PROVEEDORES[[#This Row],[FECHA DE PAGO]]=PROVEEDORES[[#This Row],[FECHA DE FACTURACIÓN]],"DE CONTADO","CRÉDITO")</f>
        <v>DE CONTADO</v>
      </c>
      <c r="B112" s="41" t="b">
        <f>+IF((PROVEEDORES[[#This Row],[FECHA DE PAGO]]-PROVEEDORES[[#This Row],[FECHA DE FACTURACIÓN]])&gt;PROVEEDORES[[#This Row],[PLAZO Días]],"PAGO VENCIDO")</f>
        <v>0</v>
      </c>
      <c r="C112" s="22">
        <f>+VLOOKUP(PROVEEDORES[[#This Row],[PROVEEDOR]],TERCEROS_INFO[#All],2,FALSE)</f>
        <v>30</v>
      </c>
      <c r="D112" s="27">
        <f>+SUMIFS(PROVEEDORES[Total],PROVEEDORES[PROVEEDOR],PROVEEDORES[[#This Row],[PROVEEDOR]],PROVEEDORES[FECHA DE PAGO],"")</f>
        <v>0</v>
      </c>
      <c r="E112" s="27"/>
      <c r="F112" s="62" t="str">
        <f>+VLOOKUP(PROVEEDORES[[#This Row],[PROVEEDOR]],
                       Terceros!$A:$G,
                       6,
                       FALSE)</f>
        <v>vromero@flashinternational.us;girlesa.ruiz@servipilas.com;joriescobar64@gmail.com</v>
      </c>
      <c r="G112" s="95">
        <v>44222</v>
      </c>
      <c r="H112" s="28" t="s">
        <v>132</v>
      </c>
      <c r="I112" s="95">
        <v>44222</v>
      </c>
      <c r="J112" s="38">
        <v>9731</v>
      </c>
      <c r="K112" s="23">
        <v>1944000</v>
      </c>
      <c r="L112" s="23"/>
      <c r="M112" s="24">
        <v>0</v>
      </c>
      <c r="N112" s="25"/>
      <c r="O112" s="24">
        <v>0</v>
      </c>
      <c r="P112" s="136">
        <f>+IF(PROVEEDORES[[#This Row],[SUBTOTAL]]&lt;PROVEEDORES[[#This Row],[base retencion]],0,PROVEEDORES[[#This Row],[retención aplicada]])</f>
        <v>0</v>
      </c>
      <c r="Q112" s="24">
        <f>+PROVEEDORES[[#This Row],[Rete Fuente %]]*PROVEEDORES[[#This Row],[SUBTOTAL]]</f>
        <v>0</v>
      </c>
      <c r="R112" s="23">
        <v>1944000</v>
      </c>
      <c r="S11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" s="99">
        <f ca="1">IF(PROVEEDORES[[#This Row],[FECHA DE PAGO]]=0,TODAY()-PROVEEDORES[[#This Row],[FECHA DE FACTURACIÓN]]-PROVEEDORES[[#This Row],[PLAZO Días]],0)</f>
        <v>0</v>
      </c>
      <c r="U112" s="149">
        <f>+VLOOKUP(PROVEEDORES[[#This Row],[PROVEEDOR]],Terceros!$A:$E,5,FALSE)</f>
        <v>0</v>
      </c>
      <c r="V112" s="150">
        <f>+YEAR(PROVEEDORES[[#This Row],[FECHA DE FACTURACIÓN]])</f>
        <v>2021</v>
      </c>
      <c r="W112" s="150">
        <f>+MATCH(PROVEEDORES[[#This Row],[año facturado]],Retenciones!$1:$1,0)</f>
        <v>4</v>
      </c>
      <c r="X112" s="151">
        <f>+VLOOKUP(PROVEEDORES[[#This Row],[ID RETENCION]],Retenciones!$A$1:$O$24,PROVEEDORES[[#This Row],[indicador de columna]],FALSE)</f>
        <v>0</v>
      </c>
      <c r="Y112" s="152">
        <f>+VLOOKUP(PROVEEDORES[[#This Row],[ID RETENCION]],Retenciones!$A$1:$O$24,2,FALSE)</f>
        <v>0</v>
      </c>
      <c r="Z112" s="26"/>
      <c r="AA112" s="26"/>
      <c r="AB112" s="26"/>
      <c r="AC112" s="26"/>
      <c r="AD112" s="26"/>
      <c r="AE112" s="26"/>
    </row>
    <row r="113" spans="1:31" ht="21.95" customHeight="1" x14ac:dyDescent="0.25">
      <c r="A113" s="97" t="str">
        <f>+IF(PROVEEDORES[[#This Row],[FECHA DE PAGO]]=PROVEEDORES[[#This Row],[FECHA DE FACTURACIÓN]],"DE CONTADO","CRÉDITO")</f>
        <v>DE CONTADO</v>
      </c>
      <c r="B113" s="41" t="b">
        <f>+IF((PROVEEDORES[[#This Row],[FECHA DE PAGO]]-PROVEEDORES[[#This Row],[FECHA DE FACTURACIÓN]])&gt;PROVEEDORES[[#This Row],[PLAZO Días]],"PAGO VENCIDO")</f>
        <v>0</v>
      </c>
      <c r="C113" s="22">
        <f>+VLOOKUP(PROVEEDORES[[#This Row],[PROVEEDOR]],TERCEROS_INFO[#All],2,FALSE)</f>
        <v>30</v>
      </c>
      <c r="D113" s="27">
        <f>+SUMIFS(PROVEEDORES[Total],PROVEEDORES[PROVEEDOR],PROVEEDORES[[#This Row],[PROVEEDOR]],PROVEEDORES[FECHA DE PAGO],"")</f>
        <v>0</v>
      </c>
      <c r="E113" s="27"/>
      <c r="F113" s="62">
        <f>+VLOOKUP(PROVEEDORES[[#This Row],[PROVEEDOR]],
                       Terceros!$A:$G,
                       6,
                       FALSE)</f>
        <v>0</v>
      </c>
      <c r="G113" s="95">
        <v>44222</v>
      </c>
      <c r="H113" s="28" t="s">
        <v>173</v>
      </c>
      <c r="I113" s="95">
        <v>44222</v>
      </c>
      <c r="J113" s="38">
        <v>101</v>
      </c>
      <c r="K113" s="23">
        <v>3300000</v>
      </c>
      <c r="L113" s="23"/>
      <c r="M113" s="24">
        <v>627000</v>
      </c>
      <c r="N113" s="25"/>
      <c r="O113" s="24">
        <v>0</v>
      </c>
      <c r="P113" s="136">
        <f>+IF(PROVEEDORES[[#This Row],[SUBTOTAL]]&lt;PROVEEDORES[[#This Row],[base retencion]],0,PROVEEDORES[[#This Row],[retención aplicada]])</f>
        <v>2.5000000000000001E-2</v>
      </c>
      <c r="Q113" s="24">
        <f>+PROVEEDORES[[#This Row],[Rete Fuente %]]*PROVEEDORES[[#This Row],[SUBTOTAL]]</f>
        <v>82500</v>
      </c>
      <c r="R113" s="23">
        <v>3844500</v>
      </c>
      <c r="S11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" s="99">
        <f ca="1">IF(PROVEEDORES[[#This Row],[FECHA DE PAGO]]=0,TODAY()-PROVEEDORES[[#This Row],[FECHA DE FACTURACIÓN]]-PROVEEDORES[[#This Row],[PLAZO Días]],0)</f>
        <v>0</v>
      </c>
      <c r="U113" s="149" t="str">
        <f>+VLOOKUP(PROVEEDORES[[#This Row],[PROVEEDOR]],Terceros!$A:$E,5,FALSE)</f>
        <v>2,5% con base</v>
      </c>
      <c r="V113" s="150">
        <f>+YEAR(PROVEEDORES[[#This Row],[FECHA DE FACTURACIÓN]])</f>
        <v>2021</v>
      </c>
      <c r="W113" s="150">
        <f>+MATCH(PROVEEDORES[[#This Row],[año facturado]],Retenciones!$1:$1,0)</f>
        <v>4</v>
      </c>
      <c r="X113" s="151">
        <f>+VLOOKUP(PROVEEDORES[[#This Row],[ID RETENCION]],Retenciones!$A$1:$O$24,PROVEEDORES[[#This Row],[indicador de columna]],FALSE)</f>
        <v>980000</v>
      </c>
      <c r="Y113" s="152">
        <f>+VLOOKUP(PROVEEDORES[[#This Row],[ID RETENCION]],Retenciones!$A$1:$O$24,2,FALSE)</f>
        <v>2.5000000000000001E-2</v>
      </c>
      <c r="Z113" s="26"/>
      <c r="AA113" s="26"/>
      <c r="AB113" s="26"/>
      <c r="AC113" s="26"/>
      <c r="AD113" s="26"/>
      <c r="AE113" s="26"/>
    </row>
    <row r="114" spans="1:31" ht="21.95" customHeight="1" x14ac:dyDescent="0.25">
      <c r="A114" s="97" t="str">
        <f>+IF(PROVEEDORES[[#This Row],[FECHA DE PAGO]]=PROVEEDORES[[#This Row],[FECHA DE FACTURACIÓN]],"DE CONTADO","CRÉDITO")</f>
        <v>DE CONTADO</v>
      </c>
      <c r="B114" s="41" t="b">
        <f>+IF((PROVEEDORES[[#This Row],[FECHA DE PAGO]]-PROVEEDORES[[#This Row],[FECHA DE FACTURACIÓN]])&gt;PROVEEDORES[[#This Row],[PLAZO Días]],"PAGO VENCIDO")</f>
        <v>0</v>
      </c>
      <c r="C114" s="22">
        <f>+VLOOKUP(PROVEEDORES[[#This Row],[PROVEEDOR]],TERCEROS_INFO[#All],2,FALSE)</f>
        <v>30</v>
      </c>
      <c r="D114" s="27">
        <f>+SUMIFS(PROVEEDORES[Total],PROVEEDORES[PROVEEDOR],PROVEEDORES[[#This Row],[PROVEEDOR]],PROVEEDORES[FECHA DE PAGO],"")</f>
        <v>0</v>
      </c>
      <c r="E114" s="27"/>
      <c r="F114" s="62" t="str">
        <f>+VLOOKUP(PROVEEDORES[[#This Row],[PROVEEDOR]],
                       Terceros!$A:$G,
                       6,
                       FALSE)</f>
        <v/>
      </c>
      <c r="G114" s="95">
        <v>44223</v>
      </c>
      <c r="H114" s="28" t="s">
        <v>1031</v>
      </c>
      <c r="I114" s="95">
        <v>44223</v>
      </c>
      <c r="J114" s="38"/>
      <c r="K114" s="23">
        <v>944000</v>
      </c>
      <c r="L114" s="23"/>
      <c r="M114" s="24">
        <v>0</v>
      </c>
      <c r="N114" s="25"/>
      <c r="O114" s="24">
        <v>0</v>
      </c>
      <c r="P114" s="136">
        <f>+IF(PROVEEDORES[[#This Row],[SUBTOTAL]]&lt;PROVEEDORES[[#This Row],[base retencion]],0,PROVEEDORES[[#This Row],[retención aplicada]])</f>
        <v>0</v>
      </c>
      <c r="Q114" s="24">
        <f>+PROVEEDORES[[#This Row],[Rete Fuente %]]*PROVEEDORES[[#This Row],[SUBTOTAL]]</f>
        <v>0</v>
      </c>
      <c r="R114" s="23">
        <v>944000</v>
      </c>
      <c r="S11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" s="99">
        <f ca="1">IF(PROVEEDORES[[#This Row],[FECHA DE PAGO]]=0,TODAY()-PROVEEDORES[[#This Row],[FECHA DE FACTURACIÓN]]-PROVEEDORES[[#This Row],[PLAZO Días]],0)</f>
        <v>0</v>
      </c>
      <c r="U114" s="149">
        <f>+VLOOKUP(PROVEEDORES[[#This Row],[PROVEEDOR]],Terceros!$A:$E,5,FALSE)</f>
        <v>0</v>
      </c>
      <c r="V114" s="150">
        <f>+YEAR(PROVEEDORES[[#This Row],[FECHA DE FACTURACIÓN]])</f>
        <v>2021</v>
      </c>
      <c r="W114" s="150">
        <f>+MATCH(PROVEEDORES[[#This Row],[año facturado]],Retenciones!$1:$1,0)</f>
        <v>4</v>
      </c>
      <c r="X114" s="151">
        <f>+VLOOKUP(PROVEEDORES[[#This Row],[ID RETENCION]],Retenciones!$A$1:$O$24,PROVEEDORES[[#This Row],[indicador de columna]],FALSE)</f>
        <v>0</v>
      </c>
      <c r="Y114" s="152">
        <f>+VLOOKUP(PROVEEDORES[[#This Row],[ID RETENCION]],Retenciones!$A$1:$O$24,2,FALSE)</f>
        <v>0</v>
      </c>
      <c r="Z114" s="26"/>
      <c r="AA114" s="26"/>
      <c r="AB114" s="26"/>
      <c r="AC114" s="26"/>
      <c r="AD114" s="26"/>
      <c r="AE114" s="26"/>
    </row>
    <row r="115" spans="1:31" ht="21.95" customHeight="1" x14ac:dyDescent="0.25">
      <c r="A115" s="97" t="str">
        <f>+IF(PROVEEDORES[[#This Row],[FECHA DE PAGO]]=PROVEEDORES[[#This Row],[FECHA DE FACTURACIÓN]],"DE CONTADO","CRÉDITO")</f>
        <v>DE CONTADO</v>
      </c>
      <c r="B115" s="41" t="b">
        <f>+IF((PROVEEDORES[[#This Row],[FECHA DE PAGO]]-PROVEEDORES[[#This Row],[FECHA DE FACTURACIÓN]])&gt;PROVEEDORES[[#This Row],[PLAZO Días]],"PAGO VENCIDO")</f>
        <v>0</v>
      </c>
      <c r="C115" s="22">
        <f>+VLOOKUP(PROVEEDORES[[#This Row],[PROVEEDOR]],TERCEROS_INFO[#All],2,FALSE)</f>
        <v>30</v>
      </c>
      <c r="D115" s="27">
        <f>+SUMIFS(PROVEEDORES[Total],PROVEEDORES[PROVEEDOR],PROVEEDORES[[#This Row],[PROVEEDOR]],PROVEEDORES[FECHA DE PAGO],"")</f>
        <v>0</v>
      </c>
      <c r="E115" s="27"/>
      <c r="F115" s="62" t="str">
        <f>+VLOOKUP(PROVEEDORES[[#This Row],[PROVEEDOR]],
                       Terceros!$A:$G,
                       6,
                       FALSE)</f>
        <v/>
      </c>
      <c r="G115" s="95">
        <v>44223</v>
      </c>
      <c r="H115" s="28" t="s">
        <v>1001</v>
      </c>
      <c r="I115" s="95">
        <v>44223</v>
      </c>
      <c r="J115" s="38"/>
      <c r="K115" s="23">
        <v>2645000</v>
      </c>
      <c r="L115" s="23"/>
      <c r="M115" s="24">
        <v>0</v>
      </c>
      <c r="N115" s="25"/>
      <c r="O115" s="24">
        <v>0</v>
      </c>
      <c r="P115" s="136">
        <f>+IF(PROVEEDORES[[#This Row],[SUBTOTAL]]&lt;PROVEEDORES[[#This Row],[base retencion]],0,PROVEEDORES[[#This Row],[retención aplicada]])</f>
        <v>0</v>
      </c>
      <c r="Q115" s="24">
        <f>+PROVEEDORES[[#This Row],[Rete Fuente %]]*PROVEEDORES[[#This Row],[SUBTOTAL]]</f>
        <v>0</v>
      </c>
      <c r="R115" s="23">
        <v>2645000</v>
      </c>
      <c r="S11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" s="99">
        <f ca="1">IF(PROVEEDORES[[#This Row],[FECHA DE PAGO]]=0,TODAY()-PROVEEDORES[[#This Row],[FECHA DE FACTURACIÓN]]-PROVEEDORES[[#This Row],[PLAZO Días]],0)</f>
        <v>0</v>
      </c>
      <c r="U115" s="149">
        <f>+VLOOKUP(PROVEEDORES[[#This Row],[PROVEEDOR]],Terceros!$A:$E,5,FALSE)</f>
        <v>0</v>
      </c>
      <c r="V115" s="150">
        <f>+YEAR(PROVEEDORES[[#This Row],[FECHA DE FACTURACIÓN]])</f>
        <v>2021</v>
      </c>
      <c r="W115" s="150">
        <f>+MATCH(PROVEEDORES[[#This Row],[año facturado]],Retenciones!$1:$1,0)</f>
        <v>4</v>
      </c>
      <c r="X115" s="151">
        <f>+VLOOKUP(PROVEEDORES[[#This Row],[ID RETENCION]],Retenciones!$A$1:$O$24,PROVEEDORES[[#This Row],[indicador de columna]],FALSE)</f>
        <v>0</v>
      </c>
      <c r="Y115" s="152">
        <f>+VLOOKUP(PROVEEDORES[[#This Row],[ID RETENCION]],Retenciones!$A$1:$O$24,2,FALSE)</f>
        <v>0</v>
      </c>
      <c r="Z115" s="26"/>
      <c r="AA115" s="26"/>
      <c r="AB115" s="26"/>
      <c r="AC115" s="26"/>
      <c r="AD115" s="26"/>
      <c r="AE115" s="26"/>
    </row>
    <row r="116" spans="1:31" ht="21.95" customHeight="1" x14ac:dyDescent="0.25">
      <c r="A116" s="97" t="str">
        <f>+IF(PROVEEDORES[[#This Row],[FECHA DE PAGO]]=PROVEEDORES[[#This Row],[FECHA DE FACTURACIÓN]],"DE CONTADO","CRÉDITO")</f>
        <v>DE CONTADO</v>
      </c>
      <c r="B116" s="41" t="b">
        <f>+IF((PROVEEDORES[[#This Row],[FECHA DE PAGO]]-PROVEEDORES[[#This Row],[FECHA DE FACTURACIÓN]])&gt;PROVEEDORES[[#This Row],[PLAZO Días]],"PAGO VENCIDO")</f>
        <v>0</v>
      </c>
      <c r="C116" s="22">
        <f>+VLOOKUP(PROVEEDORES[[#This Row],[PROVEEDOR]],TERCEROS_INFO[#All],2,FALSE)</f>
        <v>30</v>
      </c>
      <c r="D116" s="27">
        <f>+SUMIFS(PROVEEDORES[Total],PROVEEDORES[PROVEEDOR],PROVEEDORES[[#This Row],[PROVEEDOR]],PROVEEDORES[FECHA DE PAGO],"")</f>
        <v>0</v>
      </c>
      <c r="E116" s="27"/>
      <c r="F116" s="62" t="str">
        <f>+VLOOKUP(PROVEEDORES[[#This Row],[PROVEEDOR]],
                       Terceros!$A:$G,
                       6,
                       FALSE)</f>
        <v>jack@sinomingproducts.com;info@servipilas.com</v>
      </c>
      <c r="G116" s="95">
        <v>44223</v>
      </c>
      <c r="H116" s="28" t="s">
        <v>161</v>
      </c>
      <c r="I116" s="95">
        <v>44223</v>
      </c>
      <c r="J116" s="38">
        <v>114001</v>
      </c>
      <c r="K116" s="23">
        <v>17969355</v>
      </c>
      <c r="L116" s="23"/>
      <c r="M116" s="24">
        <v>0</v>
      </c>
      <c r="N116" s="25"/>
      <c r="O116" s="24">
        <v>0</v>
      </c>
      <c r="P116" s="136">
        <f>+IF(PROVEEDORES[[#This Row],[SUBTOTAL]]&lt;PROVEEDORES[[#This Row],[base retencion]],0,PROVEEDORES[[#This Row],[retención aplicada]])</f>
        <v>0</v>
      </c>
      <c r="Q116" s="24">
        <f>+PROVEEDORES[[#This Row],[Rete Fuente %]]*PROVEEDORES[[#This Row],[SUBTOTAL]]</f>
        <v>0</v>
      </c>
      <c r="R116" s="23">
        <v>17969355</v>
      </c>
      <c r="S11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" s="99">
        <f ca="1">IF(PROVEEDORES[[#This Row],[FECHA DE PAGO]]=0,TODAY()-PROVEEDORES[[#This Row],[FECHA DE FACTURACIÓN]]-PROVEEDORES[[#This Row],[PLAZO Días]],0)</f>
        <v>0</v>
      </c>
      <c r="U116" s="149">
        <f>+VLOOKUP(PROVEEDORES[[#This Row],[PROVEEDOR]],Terceros!$A:$E,5,FALSE)</f>
        <v>0</v>
      </c>
      <c r="V116" s="150">
        <f>+YEAR(PROVEEDORES[[#This Row],[FECHA DE FACTURACIÓN]])</f>
        <v>2021</v>
      </c>
      <c r="W116" s="150">
        <f>+MATCH(PROVEEDORES[[#This Row],[año facturado]],Retenciones!$1:$1,0)</f>
        <v>4</v>
      </c>
      <c r="X116" s="151">
        <f>+VLOOKUP(PROVEEDORES[[#This Row],[ID RETENCION]],Retenciones!$A$1:$O$24,PROVEEDORES[[#This Row],[indicador de columna]],FALSE)</f>
        <v>0</v>
      </c>
      <c r="Y116" s="152">
        <f>+VLOOKUP(PROVEEDORES[[#This Row],[ID RETENCION]],Retenciones!$A$1:$O$24,2,FALSE)</f>
        <v>0</v>
      </c>
      <c r="Z116" s="26"/>
      <c r="AA116" s="26"/>
      <c r="AB116" s="26"/>
      <c r="AC116" s="26"/>
      <c r="AD116" s="26"/>
      <c r="AE116" s="26"/>
    </row>
    <row r="117" spans="1:31" ht="21.95" customHeight="1" x14ac:dyDescent="0.25">
      <c r="A117" s="97" t="str">
        <f>+IF(PROVEEDORES[[#This Row],[FECHA DE PAGO]]=PROVEEDORES[[#This Row],[FECHA DE FACTURACIÓN]],"DE CONTADO","CRÉDITO")</f>
        <v>DE CONTADO</v>
      </c>
      <c r="B117" s="41" t="b">
        <f>+IF((PROVEEDORES[[#This Row],[FECHA DE PAGO]]-PROVEEDORES[[#This Row],[FECHA DE FACTURACIÓN]])&gt;PROVEEDORES[[#This Row],[PLAZO Días]],"PAGO VENCIDO")</f>
        <v>0</v>
      </c>
      <c r="C117" s="22">
        <f>+VLOOKUP(PROVEEDORES[[#This Row],[PROVEEDOR]],TERCEROS_INFO[#All],2,FALSE)</f>
        <v>30</v>
      </c>
      <c r="D117" s="27">
        <f>+SUMIFS(PROVEEDORES[Total],PROVEEDORES[PROVEEDOR],PROVEEDORES[[#This Row],[PROVEEDOR]],PROVEEDORES[FECHA DE PAGO],"")</f>
        <v>0</v>
      </c>
      <c r="E117" s="27"/>
      <c r="F117" s="62" t="str">
        <f>+VLOOKUP(PROVEEDORES[[#This Row],[PROVEEDOR]],
                       Terceros!$A:$G,
                       6,
                       FALSE)</f>
        <v/>
      </c>
      <c r="G117" s="95">
        <v>44224</v>
      </c>
      <c r="H117" s="28" t="s">
        <v>37</v>
      </c>
      <c r="I117" s="95">
        <v>44224</v>
      </c>
      <c r="J117" s="38">
        <v>9630</v>
      </c>
      <c r="K117" s="23">
        <v>17000</v>
      </c>
      <c r="L117" s="23"/>
      <c r="M117" s="24">
        <v>3230</v>
      </c>
      <c r="N117" s="25"/>
      <c r="O117" s="24">
        <v>0</v>
      </c>
      <c r="P117" s="136">
        <f>+IF(PROVEEDORES[[#This Row],[SUBTOTAL]]&lt;PROVEEDORES[[#This Row],[base retencion]],0,PROVEEDORES[[#This Row],[retención aplicada]])</f>
        <v>0</v>
      </c>
      <c r="Q117" s="24">
        <f>+PROVEEDORES[[#This Row],[Rete Fuente %]]*PROVEEDORES[[#This Row],[SUBTOTAL]]</f>
        <v>0</v>
      </c>
      <c r="R117" s="23">
        <v>20230</v>
      </c>
      <c r="S11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" s="99">
        <f ca="1">IF(PROVEEDORES[[#This Row],[FECHA DE PAGO]]=0,TODAY()-PROVEEDORES[[#This Row],[FECHA DE FACTURACIÓN]]-PROVEEDORES[[#This Row],[PLAZO Días]],0)</f>
        <v>0</v>
      </c>
      <c r="U117" s="149" t="str">
        <f>+VLOOKUP(PROVEEDORES[[#This Row],[PROVEEDOR]],Terceros!$A:$E,5,FALSE)</f>
        <v>2,5% con base</v>
      </c>
      <c r="V117" s="150">
        <f>+YEAR(PROVEEDORES[[#This Row],[FECHA DE FACTURACIÓN]])</f>
        <v>2021</v>
      </c>
      <c r="W117" s="150">
        <f>+MATCH(PROVEEDORES[[#This Row],[año facturado]],Retenciones!$1:$1,0)</f>
        <v>4</v>
      </c>
      <c r="X117" s="151">
        <f>+VLOOKUP(PROVEEDORES[[#This Row],[ID RETENCION]],Retenciones!$A$1:$O$24,PROVEEDORES[[#This Row],[indicador de columna]],FALSE)</f>
        <v>980000</v>
      </c>
      <c r="Y117" s="152">
        <f>+VLOOKUP(PROVEEDORES[[#This Row],[ID RETENCION]],Retenciones!$A$1:$O$24,2,FALSE)</f>
        <v>2.5000000000000001E-2</v>
      </c>
      <c r="Z117" s="26"/>
      <c r="AA117" s="26"/>
      <c r="AB117" s="26"/>
      <c r="AC117" s="26"/>
      <c r="AD117" s="26"/>
      <c r="AE117" s="26"/>
    </row>
    <row r="118" spans="1:31" ht="21.95" customHeight="1" x14ac:dyDescent="0.25">
      <c r="A118" s="97" t="str">
        <f>+IF(PROVEEDORES[[#This Row],[FECHA DE PAGO]]=PROVEEDORES[[#This Row],[FECHA DE FACTURACIÓN]],"DE CONTADO","CRÉDITO")</f>
        <v>CRÉDITO</v>
      </c>
      <c r="B118" s="41" t="str">
        <f>+IF((PROVEEDORES[[#This Row],[FECHA DE PAGO]]-PROVEEDORES[[#This Row],[FECHA DE FACTURACIÓN]])&gt;PROVEEDORES[[#This Row],[PLAZO Días]],"PAGO VENCIDO")</f>
        <v>PAGO VENCIDO</v>
      </c>
      <c r="C118" s="22">
        <f>+VLOOKUP(PROVEEDORES[[#This Row],[PROVEEDOR]],TERCEROS_INFO[#All],2,FALSE)</f>
        <v>45</v>
      </c>
      <c r="D118" s="27">
        <f>+SUMIFS(PROVEEDORES[Total],PROVEEDORES[PROVEEDOR],PROVEEDORES[[#This Row],[PROVEEDOR]],PROVEEDORES[FECHA DE PAGO],"")</f>
        <v>37184068.039999999</v>
      </c>
      <c r="E118" s="27"/>
      <c r="F118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118" s="95">
        <v>44284</v>
      </c>
      <c r="H118" s="28" t="s">
        <v>19</v>
      </c>
      <c r="I118" s="95">
        <v>44224</v>
      </c>
      <c r="J118" s="38" t="s">
        <v>172</v>
      </c>
      <c r="K118" s="23">
        <v>11854200</v>
      </c>
      <c r="L118" s="23"/>
      <c r="M118" s="24">
        <v>2252298</v>
      </c>
      <c r="N118" s="25"/>
      <c r="O118" s="24">
        <v>0</v>
      </c>
      <c r="P118" s="136">
        <f>+IF(PROVEEDORES[[#This Row],[SUBTOTAL]]&lt;PROVEEDORES[[#This Row],[base retencion]],0,PROVEEDORES[[#This Row],[retención aplicada]])</f>
        <v>0</v>
      </c>
      <c r="Q118" s="24">
        <f>+PROVEEDORES[[#This Row],[Rete Fuente %]]*PROVEEDORES[[#This Row],[SUBTOTAL]]</f>
        <v>0</v>
      </c>
      <c r="R118" s="23">
        <v>14106498</v>
      </c>
      <c r="S11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" s="99">
        <f ca="1">IF(PROVEEDORES[[#This Row],[FECHA DE PAGO]]=0,TODAY()-PROVEEDORES[[#This Row],[FECHA DE FACTURACIÓN]]-PROVEEDORES[[#This Row],[PLAZO Días]],0)</f>
        <v>0</v>
      </c>
      <c r="U118" s="149">
        <f>+VLOOKUP(PROVEEDORES[[#This Row],[PROVEEDOR]],Terceros!$A:$E,5,FALSE)</f>
        <v>0</v>
      </c>
      <c r="V118" s="150">
        <f>+YEAR(PROVEEDORES[[#This Row],[FECHA DE FACTURACIÓN]])</f>
        <v>2021</v>
      </c>
      <c r="W118" s="150">
        <f>+MATCH(PROVEEDORES[[#This Row],[año facturado]],Retenciones!$1:$1,0)</f>
        <v>4</v>
      </c>
      <c r="X118" s="151">
        <f>+VLOOKUP(PROVEEDORES[[#This Row],[ID RETENCION]],Retenciones!$A$1:$O$24,PROVEEDORES[[#This Row],[indicador de columna]],FALSE)</f>
        <v>0</v>
      </c>
      <c r="Y118" s="152">
        <f>+VLOOKUP(PROVEEDORES[[#This Row],[ID RETENCION]],Retenciones!$A$1:$O$24,2,FALSE)</f>
        <v>0</v>
      </c>
      <c r="Z118" s="26"/>
      <c r="AA118" s="26"/>
      <c r="AB118" s="26"/>
      <c r="AC118" s="26"/>
      <c r="AD118" s="26"/>
      <c r="AE118" s="26"/>
    </row>
    <row r="119" spans="1:31" ht="21.95" customHeight="1" x14ac:dyDescent="0.25">
      <c r="A119" s="97" t="str">
        <f>+IF(PROVEEDORES[[#This Row],[FECHA DE PAGO]]=PROVEEDORES[[#This Row],[FECHA DE FACTURACIÓN]],"DE CONTADO","CRÉDITO")</f>
        <v>CRÉDITO</v>
      </c>
      <c r="B119" s="41" t="str">
        <f>+IF((PROVEEDORES[[#This Row],[FECHA DE PAGO]]-PROVEEDORES[[#This Row],[FECHA DE FACTURACIÓN]])&gt;PROVEEDORES[[#This Row],[PLAZO Días]],"PAGO VENCIDO")</f>
        <v>PAGO VENCIDO</v>
      </c>
      <c r="C119" s="22">
        <f>+VLOOKUP(PROVEEDORES[[#This Row],[PROVEEDOR]],TERCEROS_INFO[#All],2,FALSE)</f>
        <v>30</v>
      </c>
      <c r="D119" s="27">
        <f>+SUMIFS(PROVEEDORES[Total],PROVEEDORES[PROVEEDOR],PROVEEDORES[[#This Row],[PROVEEDOR]],PROVEEDORES[FECHA DE PAGO],"")</f>
        <v>479654.98979999998</v>
      </c>
      <c r="E119" s="27"/>
      <c r="F119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119" s="95">
        <v>44328</v>
      </c>
      <c r="H119" s="28" t="s">
        <v>1139</v>
      </c>
      <c r="I119" s="95">
        <v>44225</v>
      </c>
      <c r="J119" s="38">
        <v>769</v>
      </c>
      <c r="K119" s="23">
        <v>2547058.81</v>
      </c>
      <c r="L119" s="23"/>
      <c r="M119" s="24">
        <v>483941.17389999999</v>
      </c>
      <c r="N119" s="25"/>
      <c r="O119" s="24">
        <v>0</v>
      </c>
      <c r="P119" s="136">
        <f>+IF(PROVEEDORES[[#This Row],[SUBTOTAL]]&lt;PROVEEDORES[[#This Row],[base retencion]],0,PROVEEDORES[[#This Row],[retención aplicada]])</f>
        <v>2.5000000000000001E-2</v>
      </c>
      <c r="Q119" s="24">
        <f>+PROVEEDORES[[#This Row],[Rete Fuente %]]*PROVEEDORES[[#This Row],[SUBTOTAL]]</f>
        <v>63676.470250000006</v>
      </c>
      <c r="R119" s="23">
        <v>2967323.5136500001</v>
      </c>
      <c r="S11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" s="99">
        <f ca="1">IF(PROVEEDORES[[#This Row],[FECHA DE PAGO]]=0,TODAY()-PROVEEDORES[[#This Row],[FECHA DE FACTURACIÓN]]-PROVEEDORES[[#This Row],[PLAZO Días]],0)</f>
        <v>0</v>
      </c>
      <c r="U119" s="149" t="str">
        <f>+VLOOKUP(PROVEEDORES[[#This Row],[PROVEEDOR]],Terceros!$A:$E,5,FALSE)</f>
        <v>2,5% con base</v>
      </c>
      <c r="V119" s="150">
        <f>+YEAR(PROVEEDORES[[#This Row],[FECHA DE FACTURACIÓN]])</f>
        <v>2021</v>
      </c>
      <c r="W119" s="150">
        <f>+MATCH(PROVEEDORES[[#This Row],[año facturado]],Retenciones!$1:$1,0)</f>
        <v>4</v>
      </c>
      <c r="X119" s="151">
        <f>+VLOOKUP(PROVEEDORES[[#This Row],[ID RETENCION]],Retenciones!$A$1:$O$24,PROVEEDORES[[#This Row],[indicador de columna]],FALSE)</f>
        <v>980000</v>
      </c>
      <c r="Y119" s="152">
        <f>+VLOOKUP(PROVEEDORES[[#This Row],[ID RETENCION]],Retenciones!$A$1:$O$24,2,FALSE)</f>
        <v>2.5000000000000001E-2</v>
      </c>
      <c r="Z119" s="26"/>
      <c r="AA119" s="26"/>
      <c r="AB119" s="26"/>
      <c r="AC119" s="26"/>
      <c r="AD119" s="26"/>
      <c r="AE119" s="26"/>
    </row>
    <row r="120" spans="1:31" ht="21.95" customHeight="1" x14ac:dyDescent="0.25">
      <c r="A120" s="97" t="str">
        <f>+IF(PROVEEDORES[[#This Row],[FECHA DE PAGO]]=PROVEEDORES[[#This Row],[FECHA DE FACTURACIÓN]],"DE CONTADO","CRÉDITO")</f>
        <v>CRÉDITO</v>
      </c>
      <c r="B120" s="41" t="str">
        <f>+IF((PROVEEDORES[[#This Row],[FECHA DE PAGO]]-PROVEEDORES[[#This Row],[FECHA DE FACTURACIÓN]])&gt;PROVEEDORES[[#This Row],[PLAZO Días]],"PAGO VENCIDO")</f>
        <v>PAGO VENCIDO</v>
      </c>
      <c r="C120" s="22">
        <f>+VLOOKUP(PROVEEDORES[[#This Row],[PROVEEDOR]],TERCEROS_INFO[#All],2,FALSE)</f>
        <v>30</v>
      </c>
      <c r="D120" s="27">
        <f>+SUMIFS(PROVEEDORES[Total],PROVEEDORES[PROVEEDOR],PROVEEDORES[[#This Row],[PROVEEDOR]],PROVEEDORES[FECHA DE PAGO],"")</f>
        <v>0</v>
      </c>
      <c r="E120" s="27"/>
      <c r="F120" s="62" t="str">
        <f>+VLOOKUP(PROVEEDORES[[#This Row],[PROVEEDOR]],
                       Terceros!$A:$G,
                       6,
                       FALSE)</f>
        <v>cartera@jeway.com.co;girlesa.ruiz@servipilas.com;joriescobar64@gmail.com</v>
      </c>
      <c r="G120" s="95">
        <v>44298</v>
      </c>
      <c r="H120" s="28" t="s">
        <v>34</v>
      </c>
      <c r="I120" s="95">
        <v>44226</v>
      </c>
      <c r="J120" s="38" t="s">
        <v>291</v>
      </c>
      <c r="K120" s="23">
        <v>-52017</v>
      </c>
      <c r="L120" s="23"/>
      <c r="M120" s="24">
        <v>-9883.23</v>
      </c>
      <c r="N120" s="25"/>
      <c r="O120" s="24">
        <v>0</v>
      </c>
      <c r="P120" s="136">
        <f>+IF(PROVEEDORES[[#This Row],[SUBTOTAL]]&lt;PROVEEDORES[[#This Row],[base retencion]],0,PROVEEDORES[[#This Row],[retención aplicada]])</f>
        <v>0</v>
      </c>
      <c r="Q120" s="24">
        <f>+PROVEEDORES[[#This Row],[Rete Fuente %]]*PROVEEDORES[[#This Row],[SUBTOTAL]]</f>
        <v>0</v>
      </c>
      <c r="R120" s="23">
        <v>-61900.229999999996</v>
      </c>
      <c r="S12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" s="99">
        <f ca="1">IF(PROVEEDORES[[#This Row],[FECHA DE PAGO]]=0,TODAY()-PROVEEDORES[[#This Row],[FECHA DE FACTURACIÓN]]-PROVEEDORES[[#This Row],[PLAZO Días]],0)</f>
        <v>0</v>
      </c>
      <c r="U120" s="149" t="str">
        <f>+VLOOKUP(PROVEEDORES[[#This Row],[PROVEEDOR]],Terceros!$A:$E,5,FALSE)</f>
        <v>2,5% con base</v>
      </c>
      <c r="V120" s="150">
        <f>+YEAR(PROVEEDORES[[#This Row],[FECHA DE FACTURACIÓN]])</f>
        <v>2021</v>
      </c>
      <c r="W120" s="150">
        <f>+MATCH(PROVEEDORES[[#This Row],[año facturado]],Retenciones!$1:$1,0)</f>
        <v>4</v>
      </c>
      <c r="X120" s="151">
        <f>+VLOOKUP(PROVEEDORES[[#This Row],[ID RETENCION]],Retenciones!$A$1:$O$24,PROVEEDORES[[#This Row],[indicador de columna]],FALSE)</f>
        <v>980000</v>
      </c>
      <c r="Y120" s="152">
        <f>+VLOOKUP(PROVEEDORES[[#This Row],[ID RETENCION]],Retenciones!$A$1:$O$24,2,FALSE)</f>
        <v>2.5000000000000001E-2</v>
      </c>
      <c r="Z120" s="26"/>
      <c r="AA120" s="26"/>
      <c r="AB120" s="26"/>
      <c r="AC120" s="26"/>
      <c r="AD120" s="26"/>
      <c r="AE120" s="26"/>
    </row>
    <row r="121" spans="1:31" ht="21.95" customHeight="1" x14ac:dyDescent="0.25">
      <c r="A121" s="97" t="str">
        <f>+IF(PROVEEDORES[[#This Row],[FECHA DE PAGO]]=PROVEEDORES[[#This Row],[FECHA DE FACTURACIÓN]],"DE CONTADO","CRÉDITO")</f>
        <v>DE CONTADO</v>
      </c>
      <c r="B121" s="41" t="b">
        <f>+IF((PROVEEDORES[[#This Row],[FECHA DE PAGO]]-PROVEEDORES[[#This Row],[FECHA DE FACTURACIÓN]])&gt;PROVEEDORES[[#This Row],[PLAZO Días]],"PAGO VENCIDO")</f>
        <v>0</v>
      </c>
      <c r="C121" s="22">
        <f>+VLOOKUP(PROVEEDORES[[#This Row],[PROVEEDOR]],TERCEROS_INFO[#All],2,FALSE)</f>
        <v>30</v>
      </c>
      <c r="D121" s="27">
        <f>+SUMIFS(PROVEEDORES[Total],PROVEEDORES[PROVEEDOR],PROVEEDORES[[#This Row],[PROVEEDOR]],PROVEEDORES[FECHA DE PAGO],"")</f>
        <v>0</v>
      </c>
      <c r="E121" s="27"/>
      <c r="F121" s="62" t="str">
        <f>+VLOOKUP(PROVEEDORES[[#This Row],[PROVEEDOR]],
                       Terceros!$A:$G,
                       6,
                       FALSE)</f>
        <v/>
      </c>
      <c r="G121" s="95">
        <v>44227</v>
      </c>
      <c r="H121" s="28" t="s">
        <v>1010</v>
      </c>
      <c r="I121" s="95">
        <v>44227</v>
      </c>
      <c r="J121" s="38" t="s">
        <v>663</v>
      </c>
      <c r="K121" s="23">
        <v>88500</v>
      </c>
      <c r="L121" s="23"/>
      <c r="M121" s="24">
        <v>0</v>
      </c>
      <c r="N121" s="25"/>
      <c r="O121" s="24">
        <v>0</v>
      </c>
      <c r="P121" s="136">
        <f>+IF(PROVEEDORES[[#This Row],[SUBTOTAL]]&lt;PROVEEDORES[[#This Row],[base retencion]],0,PROVEEDORES[[#This Row],[retención aplicada]])</f>
        <v>0</v>
      </c>
      <c r="Q121" s="24">
        <f>+PROVEEDORES[[#This Row],[Rete Fuente %]]*PROVEEDORES[[#This Row],[SUBTOTAL]]</f>
        <v>0</v>
      </c>
      <c r="R121" s="23">
        <v>88500</v>
      </c>
      <c r="S12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" s="99">
        <f ca="1">IF(PROVEEDORES[[#This Row],[FECHA DE PAGO]]=0,TODAY()-PROVEEDORES[[#This Row],[FECHA DE FACTURACIÓN]]-PROVEEDORES[[#This Row],[PLAZO Días]],0)</f>
        <v>0</v>
      </c>
      <c r="U121" s="149">
        <f>+VLOOKUP(PROVEEDORES[[#This Row],[PROVEEDOR]],Terceros!$A:$E,5,FALSE)</f>
        <v>0</v>
      </c>
      <c r="V121" s="150">
        <f>+YEAR(PROVEEDORES[[#This Row],[FECHA DE FACTURACIÓN]])</f>
        <v>2021</v>
      </c>
      <c r="W121" s="150">
        <f>+MATCH(PROVEEDORES[[#This Row],[año facturado]],Retenciones!$1:$1,0)</f>
        <v>4</v>
      </c>
      <c r="X121" s="151">
        <f>+VLOOKUP(PROVEEDORES[[#This Row],[ID RETENCION]],Retenciones!$A$1:$O$24,PROVEEDORES[[#This Row],[indicador de columna]],FALSE)</f>
        <v>0</v>
      </c>
      <c r="Y121" s="152">
        <f>+VLOOKUP(PROVEEDORES[[#This Row],[ID RETENCION]],Retenciones!$A$1:$O$24,2,FALSE)</f>
        <v>0</v>
      </c>
      <c r="Z121" s="26"/>
      <c r="AA121" s="26"/>
      <c r="AB121" s="26"/>
      <c r="AC121" s="26"/>
      <c r="AD121" s="26"/>
      <c r="AE121" s="26"/>
    </row>
    <row r="122" spans="1:31" ht="21.95" customHeight="1" x14ac:dyDescent="0.25">
      <c r="A122" s="97" t="str">
        <f>+IF(PROVEEDORES[[#This Row],[FECHA DE PAGO]]=PROVEEDORES[[#This Row],[FECHA DE FACTURACIÓN]],"DE CONTADO","CRÉDITO")</f>
        <v>DE CONTADO</v>
      </c>
      <c r="B122" s="41" t="b">
        <f>+IF((PROVEEDORES[[#This Row],[FECHA DE PAGO]]-PROVEEDORES[[#This Row],[FECHA DE FACTURACIÓN]])&gt;PROVEEDORES[[#This Row],[PLAZO Días]],"PAGO VENCIDO")</f>
        <v>0</v>
      </c>
      <c r="C122" s="22">
        <f>+VLOOKUP(PROVEEDORES[[#This Row],[PROVEEDOR]],TERCEROS_INFO[#All],2,FALSE)</f>
        <v>30</v>
      </c>
      <c r="D122" s="27">
        <f>+SUMIFS(PROVEEDORES[Total],PROVEEDORES[PROVEEDOR],PROVEEDORES[[#This Row],[PROVEEDOR]],PROVEEDORES[FECHA DE PAGO],"")</f>
        <v>0</v>
      </c>
      <c r="E122" s="27"/>
      <c r="F122" s="62" t="str">
        <f>+VLOOKUP(PROVEEDORES[[#This Row],[PROVEEDOR]],
                       Terceros!$A:$G,
                       6,
                       FALSE)</f>
        <v/>
      </c>
      <c r="G122" s="95">
        <v>44227</v>
      </c>
      <c r="H122" s="28" t="s">
        <v>1010</v>
      </c>
      <c r="I122" s="95">
        <v>44227</v>
      </c>
      <c r="J122" s="38" t="s">
        <v>664</v>
      </c>
      <c r="K122" s="23">
        <v>190000</v>
      </c>
      <c r="L122" s="23"/>
      <c r="M122" s="24">
        <v>0</v>
      </c>
      <c r="N122" s="25"/>
      <c r="O122" s="24">
        <v>0</v>
      </c>
      <c r="P122" s="136">
        <f>+IF(PROVEEDORES[[#This Row],[SUBTOTAL]]&lt;PROVEEDORES[[#This Row],[base retencion]],0,PROVEEDORES[[#This Row],[retención aplicada]])</f>
        <v>0</v>
      </c>
      <c r="Q122" s="24">
        <f>+PROVEEDORES[[#This Row],[Rete Fuente %]]*PROVEEDORES[[#This Row],[SUBTOTAL]]</f>
        <v>0</v>
      </c>
      <c r="R122" s="23">
        <v>190000</v>
      </c>
      <c r="S12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" s="99">
        <f ca="1">IF(PROVEEDORES[[#This Row],[FECHA DE PAGO]]=0,TODAY()-PROVEEDORES[[#This Row],[FECHA DE FACTURACIÓN]]-PROVEEDORES[[#This Row],[PLAZO Días]],0)</f>
        <v>0</v>
      </c>
      <c r="U122" s="149">
        <f>+VLOOKUP(PROVEEDORES[[#This Row],[PROVEEDOR]],Terceros!$A:$E,5,FALSE)</f>
        <v>0</v>
      </c>
      <c r="V122" s="150">
        <f>+YEAR(PROVEEDORES[[#This Row],[FECHA DE FACTURACIÓN]])</f>
        <v>2021</v>
      </c>
      <c r="W122" s="150">
        <f>+MATCH(PROVEEDORES[[#This Row],[año facturado]],Retenciones!$1:$1,0)</f>
        <v>4</v>
      </c>
      <c r="X122" s="151">
        <f>+VLOOKUP(PROVEEDORES[[#This Row],[ID RETENCION]],Retenciones!$A$1:$O$24,PROVEEDORES[[#This Row],[indicador de columna]],FALSE)</f>
        <v>0</v>
      </c>
      <c r="Y122" s="152">
        <f>+VLOOKUP(PROVEEDORES[[#This Row],[ID RETENCION]],Retenciones!$A$1:$O$24,2,FALSE)</f>
        <v>0</v>
      </c>
      <c r="Z122" s="26"/>
      <c r="AA122" s="26"/>
      <c r="AB122" s="26"/>
      <c r="AC122" s="26"/>
      <c r="AD122" s="26"/>
      <c r="AE122" s="26"/>
    </row>
    <row r="123" spans="1:31" ht="21.95" customHeight="1" x14ac:dyDescent="0.25">
      <c r="A123" s="97" t="str">
        <f>+IF(PROVEEDORES[[#This Row],[FECHA DE PAGO]]=PROVEEDORES[[#This Row],[FECHA DE FACTURACIÓN]],"DE CONTADO","CRÉDITO")</f>
        <v>DE CONTADO</v>
      </c>
      <c r="B123" s="41" t="b">
        <f>+IF((PROVEEDORES[[#This Row],[FECHA DE PAGO]]-PROVEEDORES[[#This Row],[FECHA DE FACTURACIÓN]])&gt;PROVEEDORES[[#This Row],[PLAZO Días]],"PAGO VENCIDO")</f>
        <v>0</v>
      </c>
      <c r="C123" s="22">
        <f>+VLOOKUP(PROVEEDORES[[#This Row],[PROVEEDOR]],TERCEROS_INFO[#All],2,FALSE)</f>
        <v>30</v>
      </c>
      <c r="D123" s="27">
        <f>+SUMIFS(PROVEEDORES[Total],PROVEEDORES[PROVEEDOR],PROVEEDORES[[#This Row],[PROVEEDOR]],PROVEEDORES[FECHA DE PAGO],"")</f>
        <v>0</v>
      </c>
      <c r="E123" s="27"/>
      <c r="F123" s="62" t="str">
        <f>+VLOOKUP(PROVEEDORES[[#This Row],[PROVEEDOR]],
                       Terceros!$A:$G,
                       6,
                       FALSE)</f>
        <v/>
      </c>
      <c r="G123" s="95">
        <v>44227</v>
      </c>
      <c r="H123" s="28" t="s">
        <v>1010</v>
      </c>
      <c r="I123" s="95">
        <v>44227</v>
      </c>
      <c r="J123" s="38" t="s">
        <v>180</v>
      </c>
      <c r="K123" s="23">
        <v>208000</v>
      </c>
      <c r="L123" s="23"/>
      <c r="M123" s="24">
        <v>0</v>
      </c>
      <c r="N123" s="25"/>
      <c r="O123" s="24">
        <v>0</v>
      </c>
      <c r="P123" s="136">
        <f>+IF(PROVEEDORES[[#This Row],[SUBTOTAL]]&lt;PROVEEDORES[[#This Row],[base retencion]],0,PROVEEDORES[[#This Row],[retención aplicada]])</f>
        <v>0</v>
      </c>
      <c r="Q123" s="24">
        <f>+PROVEEDORES[[#This Row],[Rete Fuente %]]*PROVEEDORES[[#This Row],[SUBTOTAL]]</f>
        <v>0</v>
      </c>
      <c r="R123" s="23">
        <v>208000</v>
      </c>
      <c r="S12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" s="99">
        <f ca="1">IF(PROVEEDORES[[#This Row],[FECHA DE PAGO]]=0,TODAY()-PROVEEDORES[[#This Row],[FECHA DE FACTURACIÓN]]-PROVEEDORES[[#This Row],[PLAZO Días]],0)</f>
        <v>0</v>
      </c>
      <c r="U123" s="149">
        <f>+VLOOKUP(PROVEEDORES[[#This Row],[PROVEEDOR]],Terceros!$A:$E,5,FALSE)</f>
        <v>0</v>
      </c>
      <c r="V123" s="150">
        <f>+YEAR(PROVEEDORES[[#This Row],[FECHA DE FACTURACIÓN]])</f>
        <v>2021</v>
      </c>
      <c r="W123" s="150">
        <f>+MATCH(PROVEEDORES[[#This Row],[año facturado]],Retenciones!$1:$1,0)</f>
        <v>4</v>
      </c>
      <c r="X123" s="151">
        <f>+VLOOKUP(PROVEEDORES[[#This Row],[ID RETENCION]],Retenciones!$A$1:$O$24,PROVEEDORES[[#This Row],[indicador de columna]],FALSE)</f>
        <v>0</v>
      </c>
      <c r="Y123" s="152">
        <f>+VLOOKUP(PROVEEDORES[[#This Row],[ID RETENCION]],Retenciones!$A$1:$O$24,2,FALSE)</f>
        <v>0</v>
      </c>
      <c r="Z123" s="26"/>
      <c r="AA123" s="26"/>
      <c r="AB123" s="26"/>
      <c r="AC123" s="26"/>
      <c r="AD123" s="26"/>
      <c r="AE123" s="26"/>
    </row>
    <row r="124" spans="1:31" ht="21.95" customHeight="1" x14ac:dyDescent="0.25">
      <c r="A124" s="97" t="str">
        <f>+IF(PROVEEDORES[[#This Row],[FECHA DE PAGO]]=PROVEEDORES[[#This Row],[FECHA DE FACTURACIÓN]],"DE CONTADO","CRÉDITO")</f>
        <v>DE CONTADO</v>
      </c>
      <c r="B124" s="41" t="b">
        <f>+IF((PROVEEDORES[[#This Row],[FECHA DE PAGO]]-PROVEEDORES[[#This Row],[FECHA DE FACTURACIÓN]])&gt;PROVEEDORES[[#This Row],[PLAZO Días]],"PAGO VENCIDO")</f>
        <v>0</v>
      </c>
      <c r="C124" s="22">
        <f>+VLOOKUP(PROVEEDORES[[#This Row],[PROVEEDOR]],TERCEROS_INFO[#All],2,FALSE)</f>
        <v>30</v>
      </c>
      <c r="D124" s="27">
        <f>+SUMIFS(PROVEEDORES[Total],PROVEEDORES[PROVEEDOR],PROVEEDORES[[#This Row],[PROVEEDOR]],PROVEEDORES[FECHA DE PAGO],"")</f>
        <v>0</v>
      </c>
      <c r="E124" s="27"/>
      <c r="F124" s="62" t="str">
        <f>+VLOOKUP(PROVEEDORES[[#This Row],[PROVEEDOR]],
                       Terceros!$A:$G,
                       6,
                       FALSE)</f>
        <v/>
      </c>
      <c r="G124" s="95">
        <v>44227</v>
      </c>
      <c r="H124" s="28" t="s">
        <v>1010</v>
      </c>
      <c r="I124" s="95">
        <v>44227</v>
      </c>
      <c r="J124" s="38" t="s">
        <v>76</v>
      </c>
      <c r="K124" s="23">
        <v>224000</v>
      </c>
      <c r="L124" s="23"/>
      <c r="M124" s="24">
        <v>0</v>
      </c>
      <c r="N124" s="25"/>
      <c r="O124" s="24">
        <v>0</v>
      </c>
      <c r="P124" s="136">
        <f>+IF(PROVEEDORES[[#This Row],[SUBTOTAL]]&lt;PROVEEDORES[[#This Row],[base retencion]],0,PROVEEDORES[[#This Row],[retención aplicada]])</f>
        <v>0</v>
      </c>
      <c r="Q124" s="24">
        <f>+PROVEEDORES[[#This Row],[Rete Fuente %]]*PROVEEDORES[[#This Row],[SUBTOTAL]]</f>
        <v>0</v>
      </c>
      <c r="R124" s="23">
        <v>224000</v>
      </c>
      <c r="S12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" s="99">
        <f ca="1">IF(PROVEEDORES[[#This Row],[FECHA DE PAGO]]=0,TODAY()-PROVEEDORES[[#This Row],[FECHA DE FACTURACIÓN]]-PROVEEDORES[[#This Row],[PLAZO Días]],0)</f>
        <v>0</v>
      </c>
      <c r="U124" s="149">
        <f>+VLOOKUP(PROVEEDORES[[#This Row],[PROVEEDOR]],Terceros!$A:$E,5,FALSE)</f>
        <v>0</v>
      </c>
      <c r="V124" s="150">
        <f>+YEAR(PROVEEDORES[[#This Row],[FECHA DE FACTURACIÓN]])</f>
        <v>2021</v>
      </c>
      <c r="W124" s="150">
        <f>+MATCH(PROVEEDORES[[#This Row],[año facturado]],Retenciones!$1:$1,0)</f>
        <v>4</v>
      </c>
      <c r="X124" s="151">
        <f>+VLOOKUP(PROVEEDORES[[#This Row],[ID RETENCION]],Retenciones!$A$1:$O$24,PROVEEDORES[[#This Row],[indicador de columna]],FALSE)</f>
        <v>0</v>
      </c>
      <c r="Y124" s="152">
        <f>+VLOOKUP(PROVEEDORES[[#This Row],[ID RETENCION]],Retenciones!$A$1:$O$24,2,FALSE)</f>
        <v>0</v>
      </c>
      <c r="Z124" s="26"/>
      <c r="AA124" s="26"/>
      <c r="AB124" s="26"/>
      <c r="AC124" s="26"/>
      <c r="AD124" s="26"/>
      <c r="AE124" s="26"/>
    </row>
    <row r="125" spans="1:31" ht="21.95" customHeight="1" x14ac:dyDescent="0.25">
      <c r="A125" s="97" t="str">
        <f>+IF(PROVEEDORES[[#This Row],[FECHA DE PAGO]]=PROVEEDORES[[#This Row],[FECHA DE FACTURACIÓN]],"DE CONTADO","CRÉDITO")</f>
        <v>DE CONTADO</v>
      </c>
      <c r="B125" s="41" t="b">
        <f>+IF((PROVEEDORES[[#This Row],[FECHA DE PAGO]]-PROVEEDORES[[#This Row],[FECHA DE FACTURACIÓN]])&gt;PROVEEDORES[[#This Row],[PLAZO Días]],"PAGO VENCIDO")</f>
        <v>0</v>
      </c>
      <c r="C125" s="22">
        <f>+VLOOKUP(PROVEEDORES[[#This Row],[PROVEEDOR]],TERCEROS_INFO[#All],2,FALSE)</f>
        <v>30</v>
      </c>
      <c r="D125" s="27">
        <f>+SUMIFS(PROVEEDORES[Total],PROVEEDORES[PROVEEDOR],PROVEEDORES[[#This Row],[PROVEEDOR]],PROVEEDORES[FECHA DE PAGO],"")</f>
        <v>0</v>
      </c>
      <c r="E125" s="27"/>
      <c r="F125" s="62" t="str">
        <f>+VLOOKUP(PROVEEDORES[[#This Row],[PROVEEDOR]],
                       Terceros!$A:$G,
                       6,
                       FALSE)</f>
        <v/>
      </c>
      <c r="G125" s="95">
        <v>44227</v>
      </c>
      <c r="H125" s="28" t="s">
        <v>1010</v>
      </c>
      <c r="I125" s="95">
        <v>44227</v>
      </c>
      <c r="J125" s="38" t="s">
        <v>665</v>
      </c>
      <c r="K125" s="23">
        <v>2282800</v>
      </c>
      <c r="L125" s="23"/>
      <c r="M125" s="24">
        <v>0</v>
      </c>
      <c r="N125" s="25"/>
      <c r="O125" s="24">
        <v>0</v>
      </c>
      <c r="P125" s="136">
        <f>+IF(PROVEEDORES[[#This Row],[SUBTOTAL]]&lt;PROVEEDORES[[#This Row],[base retencion]],0,PROVEEDORES[[#This Row],[retención aplicada]])</f>
        <v>0</v>
      </c>
      <c r="Q125" s="24">
        <f>+PROVEEDORES[[#This Row],[Rete Fuente %]]*PROVEEDORES[[#This Row],[SUBTOTAL]]</f>
        <v>0</v>
      </c>
      <c r="R125" s="23">
        <v>2282800</v>
      </c>
      <c r="S12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" s="99">
        <f ca="1">IF(PROVEEDORES[[#This Row],[FECHA DE PAGO]]=0,TODAY()-PROVEEDORES[[#This Row],[FECHA DE FACTURACIÓN]]-PROVEEDORES[[#This Row],[PLAZO Días]],0)</f>
        <v>0</v>
      </c>
      <c r="U125" s="149">
        <f>+VLOOKUP(PROVEEDORES[[#This Row],[PROVEEDOR]],Terceros!$A:$E,5,FALSE)</f>
        <v>0</v>
      </c>
      <c r="V125" s="150">
        <f>+YEAR(PROVEEDORES[[#This Row],[FECHA DE FACTURACIÓN]])</f>
        <v>2021</v>
      </c>
      <c r="W125" s="150">
        <f>+MATCH(PROVEEDORES[[#This Row],[año facturado]],Retenciones!$1:$1,0)</f>
        <v>4</v>
      </c>
      <c r="X125" s="151">
        <f>+VLOOKUP(PROVEEDORES[[#This Row],[ID RETENCION]],Retenciones!$A$1:$O$24,PROVEEDORES[[#This Row],[indicador de columna]],FALSE)</f>
        <v>0</v>
      </c>
      <c r="Y125" s="152">
        <f>+VLOOKUP(PROVEEDORES[[#This Row],[ID RETENCION]],Retenciones!$A$1:$O$24,2,FALSE)</f>
        <v>0</v>
      </c>
      <c r="Z125" s="26"/>
      <c r="AA125" s="26"/>
      <c r="AB125" s="26"/>
      <c r="AC125" s="26"/>
      <c r="AD125" s="26"/>
      <c r="AE125" s="26"/>
    </row>
    <row r="126" spans="1:31" ht="21.95" customHeight="1" x14ac:dyDescent="0.25">
      <c r="A126" s="97" t="str">
        <f>+IF(PROVEEDORES[[#This Row],[FECHA DE PAGO]]=PROVEEDORES[[#This Row],[FECHA DE FACTURACIÓN]],"DE CONTADO","CRÉDITO")</f>
        <v>CRÉDITO</v>
      </c>
      <c r="B126" s="41" t="b">
        <f>+IF((PROVEEDORES[[#This Row],[FECHA DE PAGO]]-PROVEEDORES[[#This Row],[FECHA DE FACTURACIÓN]])&gt;PROVEEDORES[[#This Row],[PLAZO Días]],"PAGO VENCIDO")</f>
        <v>0</v>
      </c>
      <c r="C126" s="22">
        <f>+VLOOKUP(PROVEEDORES[[#This Row],[PROVEEDOR]],TERCEROS_INFO[#All],2,FALSE)</f>
        <v>30</v>
      </c>
      <c r="D126" s="27">
        <f>+SUMIFS(PROVEEDORES[Total],PROVEEDORES[PROVEEDOR],PROVEEDORES[[#This Row],[PROVEEDOR]],PROVEEDORES[FECHA DE PAGO],"")</f>
        <v>395010</v>
      </c>
      <c r="E126" s="27"/>
      <c r="F126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126" s="95">
        <v>44239</v>
      </c>
      <c r="H126" s="28" t="s">
        <v>141</v>
      </c>
      <c r="I126" s="95">
        <v>44228</v>
      </c>
      <c r="J126" s="38">
        <v>66</v>
      </c>
      <c r="K126" s="23">
        <v>144000</v>
      </c>
      <c r="L126" s="23"/>
      <c r="M126" s="24">
        <v>27360</v>
      </c>
      <c r="N126" s="25"/>
      <c r="O126" s="24">
        <v>0</v>
      </c>
      <c r="P126" s="136">
        <f>+IF(PROVEEDORES[[#This Row],[SUBTOTAL]]&lt;PROVEEDORES[[#This Row],[base retencion]],0,PROVEEDORES[[#This Row],[retención aplicada]])</f>
        <v>0</v>
      </c>
      <c r="Q126" s="24">
        <f>+PROVEEDORES[[#This Row],[Rete Fuente %]]*PROVEEDORES[[#This Row],[SUBTOTAL]]</f>
        <v>0</v>
      </c>
      <c r="R126" s="23">
        <v>171360</v>
      </c>
      <c r="S12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" s="99">
        <f ca="1">IF(PROVEEDORES[[#This Row],[FECHA DE PAGO]]=0,TODAY()-PROVEEDORES[[#This Row],[FECHA DE FACTURACIÓN]]-PROVEEDORES[[#This Row],[PLAZO Días]],0)</f>
        <v>0</v>
      </c>
      <c r="U126" s="149" t="str">
        <f>+VLOOKUP(PROVEEDORES[[#This Row],[PROVEEDOR]],Terceros!$A:$E,5,FALSE)</f>
        <v>1% con base</v>
      </c>
      <c r="V126" s="150">
        <f>+YEAR(PROVEEDORES[[#This Row],[FECHA DE FACTURACIÓN]])</f>
        <v>2021</v>
      </c>
      <c r="W126" s="150">
        <f>+MATCH(PROVEEDORES[[#This Row],[año facturado]],Retenciones!$1:$1,0)</f>
        <v>4</v>
      </c>
      <c r="X126" s="151">
        <f>+VLOOKUP(PROVEEDORES[[#This Row],[ID RETENCION]],Retenciones!$A$1:$O$24,PROVEEDORES[[#This Row],[indicador de columna]],FALSE)</f>
        <v>145000</v>
      </c>
      <c r="Y126" s="152">
        <f>+VLOOKUP(PROVEEDORES[[#This Row],[ID RETENCION]],Retenciones!$A$1:$O$24,2,FALSE)</f>
        <v>0.01</v>
      </c>
      <c r="Z126" s="26"/>
      <c r="AA126" s="26"/>
      <c r="AB126" s="26"/>
      <c r="AC126" s="26"/>
      <c r="AD126" s="26"/>
      <c r="AE126" s="26"/>
    </row>
    <row r="127" spans="1:31" ht="21.95" customHeight="1" x14ac:dyDescent="0.25">
      <c r="A127" s="97" t="str">
        <f>+IF(PROVEEDORES[[#This Row],[FECHA DE PAGO]]=PROVEEDORES[[#This Row],[FECHA DE FACTURACIÓN]],"DE CONTADO","CRÉDITO")</f>
        <v>CRÉDITO</v>
      </c>
      <c r="B127" s="41" t="b">
        <f>+IF((PROVEEDORES[[#This Row],[FECHA DE PAGO]]-PROVEEDORES[[#This Row],[FECHA DE FACTURACIÓN]])&gt;PROVEEDORES[[#This Row],[PLAZO Días]],"PAGO VENCIDO")</f>
        <v>0</v>
      </c>
      <c r="C127" s="22">
        <f>+VLOOKUP(PROVEEDORES[[#This Row],[PROVEEDOR]],TERCEROS_INFO[#All],2,FALSE)</f>
        <v>30</v>
      </c>
      <c r="D127" s="27">
        <f>+SUMIFS(PROVEEDORES[Total],PROVEEDORES[PROVEEDOR],PROVEEDORES[[#This Row],[PROVEEDOR]],PROVEEDORES[FECHA DE PAGO],"")</f>
        <v>0</v>
      </c>
      <c r="E127" s="27"/>
      <c r="F127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127" s="95">
        <v>44235</v>
      </c>
      <c r="H127" s="28" t="s">
        <v>1040</v>
      </c>
      <c r="I127" s="95">
        <v>44228</v>
      </c>
      <c r="J127" s="38">
        <v>263</v>
      </c>
      <c r="K127" s="23">
        <v>184000</v>
      </c>
      <c r="L127" s="23"/>
      <c r="M127" s="24">
        <v>0</v>
      </c>
      <c r="N127" s="25"/>
      <c r="O127" s="24">
        <v>0</v>
      </c>
      <c r="P127" s="136">
        <f>+IF(PROVEEDORES[[#This Row],[SUBTOTAL]]&lt;PROVEEDORES[[#This Row],[base retencion]],0,PROVEEDORES[[#This Row],[retención aplicada]])</f>
        <v>0</v>
      </c>
      <c r="Q127" s="24">
        <f>+PROVEEDORES[[#This Row],[Rete Fuente %]]*PROVEEDORES[[#This Row],[SUBTOTAL]]</f>
        <v>0</v>
      </c>
      <c r="R127" s="23">
        <v>184000</v>
      </c>
      <c r="S12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" s="99">
        <f ca="1">IF(PROVEEDORES[[#This Row],[FECHA DE PAGO]]=0,TODAY()-PROVEEDORES[[#This Row],[FECHA DE FACTURACIÓN]]-PROVEEDORES[[#This Row],[PLAZO Días]],0)</f>
        <v>0</v>
      </c>
      <c r="U127" s="149">
        <f>+VLOOKUP(PROVEEDORES[[#This Row],[PROVEEDOR]],Terceros!$A:$E,5,FALSE)</f>
        <v>0</v>
      </c>
      <c r="V127" s="150">
        <f>+YEAR(PROVEEDORES[[#This Row],[FECHA DE FACTURACIÓN]])</f>
        <v>2021</v>
      </c>
      <c r="W127" s="150">
        <f>+MATCH(PROVEEDORES[[#This Row],[año facturado]],Retenciones!$1:$1,0)</f>
        <v>4</v>
      </c>
      <c r="X127" s="151">
        <f>+VLOOKUP(PROVEEDORES[[#This Row],[ID RETENCION]],Retenciones!$A$1:$O$24,PROVEEDORES[[#This Row],[indicador de columna]],FALSE)</f>
        <v>0</v>
      </c>
      <c r="Y127" s="152">
        <f>+VLOOKUP(PROVEEDORES[[#This Row],[ID RETENCION]],Retenciones!$A$1:$O$24,2,FALSE)</f>
        <v>0</v>
      </c>
      <c r="Z127" s="26"/>
      <c r="AA127" s="26"/>
      <c r="AB127" s="26"/>
      <c r="AC127" s="26"/>
      <c r="AD127" s="26"/>
      <c r="AE127" s="26"/>
    </row>
    <row r="128" spans="1:31" ht="21.95" customHeight="1" x14ac:dyDescent="0.25">
      <c r="A128" s="97" t="str">
        <f>+IF(PROVEEDORES[[#This Row],[FECHA DE PAGO]]=PROVEEDORES[[#This Row],[FECHA DE FACTURACIÓN]],"DE CONTADO","CRÉDITO")</f>
        <v>CRÉDITO</v>
      </c>
      <c r="B128" s="41" t="b">
        <f>+IF((PROVEEDORES[[#This Row],[FECHA DE PAGO]]-PROVEEDORES[[#This Row],[FECHA DE FACTURACIÓN]])&gt;PROVEEDORES[[#This Row],[PLAZO Días]],"PAGO VENCIDO")</f>
        <v>0</v>
      </c>
      <c r="C128" s="22">
        <f>+VLOOKUP(PROVEEDORES[[#This Row],[PROVEEDOR]],TERCEROS_INFO[#All],2,FALSE)</f>
        <v>30</v>
      </c>
      <c r="D128" s="27">
        <f>+SUMIFS(PROVEEDORES[Total],PROVEEDORES[PROVEEDOR],PROVEEDORES[[#This Row],[PROVEEDOR]],PROVEEDORES[FECHA DE PAGO],"")</f>
        <v>0</v>
      </c>
      <c r="E128" s="27"/>
      <c r="F128" s="62" t="str">
        <f>+VLOOKUP(PROVEEDORES[[#This Row],[PROVEEDOR]],
                       Terceros!$A:$G,
                       6,
                       FALSE)</f>
        <v>contabilidad@comercialweb.com.co;info@servipilas.com</v>
      </c>
      <c r="G128" s="95">
        <v>44239</v>
      </c>
      <c r="H128" s="28" t="s">
        <v>341</v>
      </c>
      <c r="I128" s="95">
        <v>44228</v>
      </c>
      <c r="J128" s="38">
        <v>252</v>
      </c>
      <c r="K128" s="23">
        <v>600000</v>
      </c>
      <c r="L128" s="23"/>
      <c r="M128" s="24">
        <v>0</v>
      </c>
      <c r="N128" s="25"/>
      <c r="O128" s="24">
        <v>0</v>
      </c>
      <c r="P128" s="136">
        <f>+IF(PROVEEDORES[[#This Row],[SUBTOTAL]]&lt;PROVEEDORES[[#This Row],[base retencion]],0,PROVEEDORES[[#This Row],[retención aplicada]])</f>
        <v>3.5000000000000003E-2</v>
      </c>
      <c r="Q128" s="24">
        <f>+PROVEEDORES[[#This Row],[Rete Fuente %]]*PROVEEDORES[[#This Row],[SUBTOTAL]]</f>
        <v>21000.000000000004</v>
      </c>
      <c r="R128" s="23">
        <v>600000</v>
      </c>
      <c r="S12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" s="99">
        <f ca="1">IF(PROVEEDORES[[#This Row],[FECHA DE PAGO]]=0,TODAY()-PROVEEDORES[[#This Row],[FECHA DE FACTURACIÓN]]-PROVEEDORES[[#This Row],[PLAZO Días]],0)</f>
        <v>0</v>
      </c>
      <c r="U128" s="149" t="str">
        <f>+VLOOKUP(PROVEEDORES[[#This Row],[PROVEEDOR]],Terceros!$A:$E,5,FALSE)</f>
        <v>3,5% sin base</v>
      </c>
      <c r="V128" s="150">
        <f>+YEAR(PROVEEDORES[[#This Row],[FECHA DE FACTURACIÓN]])</f>
        <v>2021</v>
      </c>
      <c r="W128" s="150">
        <f>+MATCH(PROVEEDORES[[#This Row],[año facturado]],Retenciones!$1:$1,0)</f>
        <v>4</v>
      </c>
      <c r="X128" s="151">
        <f>+VLOOKUP(PROVEEDORES[[#This Row],[ID RETENCION]],Retenciones!$A$1:$O$24,PROVEEDORES[[#This Row],[indicador de columna]],FALSE)</f>
        <v>0</v>
      </c>
      <c r="Y128" s="152">
        <f>+VLOOKUP(PROVEEDORES[[#This Row],[ID RETENCION]],Retenciones!$A$1:$O$24,2,FALSE)</f>
        <v>3.5000000000000003E-2</v>
      </c>
      <c r="Z128" s="26"/>
      <c r="AA128" s="26"/>
      <c r="AB128" s="26"/>
      <c r="AC128" s="26"/>
      <c r="AD128" s="26"/>
      <c r="AE128" s="26"/>
    </row>
    <row r="129" spans="1:31" ht="21.95" customHeight="1" x14ac:dyDescent="0.25">
      <c r="A129" s="97" t="str">
        <f>+IF(PROVEEDORES[[#This Row],[FECHA DE PAGO]]=PROVEEDORES[[#This Row],[FECHA DE FACTURACIÓN]],"DE CONTADO","CRÉDITO")</f>
        <v>CRÉDITO</v>
      </c>
      <c r="B129" s="41" t="b">
        <f>+IF((PROVEEDORES[[#This Row],[FECHA DE PAGO]]-PROVEEDORES[[#This Row],[FECHA DE FACTURACIÓN]])&gt;PROVEEDORES[[#This Row],[PLAZO Días]],"PAGO VENCIDO")</f>
        <v>0</v>
      </c>
      <c r="C129" s="22">
        <f>+VLOOKUP(PROVEEDORES[[#This Row],[PROVEEDOR]],TERCEROS_INFO[#All],2,FALSE)</f>
        <v>30</v>
      </c>
      <c r="D129" s="27">
        <f>+SUMIFS(PROVEEDORES[Total],PROVEEDORES[PROVEEDOR],PROVEEDORES[[#This Row],[PROVEEDOR]],PROVEEDORES[FECHA DE PAGO],"")</f>
        <v>275944.33</v>
      </c>
      <c r="E129" s="27"/>
      <c r="F129" s="62" t="str">
        <f>+VLOOKUP(PROVEEDORES[[#This Row],[PROVEEDOR]],
                       Terceros!$A:$G,
                       6,
                       FALSE)</f>
        <v>facturacion@losmolinos.com.co</v>
      </c>
      <c r="G129" s="95">
        <v>44243</v>
      </c>
      <c r="H129" s="28" t="s">
        <v>342</v>
      </c>
      <c r="I129" s="95">
        <v>44228</v>
      </c>
      <c r="J129" s="38"/>
      <c r="K129" s="23">
        <v>250973</v>
      </c>
      <c r="L129" s="23"/>
      <c r="M129" s="24">
        <v>0</v>
      </c>
      <c r="N129" s="25"/>
      <c r="O129" s="24">
        <v>32616.300000000003</v>
      </c>
      <c r="P129" s="136">
        <f>+IF(PROVEEDORES[[#This Row],[SUBTOTAL]]&lt;PROVEEDORES[[#This Row],[base retencion]],0,PROVEEDORES[[#This Row],[retención aplicada]])</f>
        <v>0</v>
      </c>
      <c r="Q129" s="24">
        <f>+PROVEEDORES[[#This Row],[Rete Fuente %]]*PROVEEDORES[[#This Row],[SUBTOTAL]]</f>
        <v>0</v>
      </c>
      <c r="R129" s="23">
        <v>1196145</v>
      </c>
      <c r="S12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" s="99">
        <f ca="1">IF(PROVEEDORES[[#This Row],[FECHA DE PAGO]]=0,TODAY()-PROVEEDORES[[#This Row],[FECHA DE FACTURACIÓN]]-PROVEEDORES[[#This Row],[PLAZO Días]],0)</f>
        <v>0</v>
      </c>
      <c r="U129" s="149">
        <f>+VLOOKUP(PROVEEDORES[[#This Row],[PROVEEDOR]],Terceros!$A:$E,5,FALSE)</f>
        <v>0</v>
      </c>
      <c r="V129" s="150">
        <f>+YEAR(PROVEEDORES[[#This Row],[FECHA DE FACTURACIÓN]])</f>
        <v>2021</v>
      </c>
      <c r="W129" s="150">
        <f>+MATCH(PROVEEDORES[[#This Row],[año facturado]],Retenciones!$1:$1,0)</f>
        <v>4</v>
      </c>
      <c r="X129" s="151">
        <f>+VLOOKUP(PROVEEDORES[[#This Row],[ID RETENCION]],Retenciones!$A$1:$O$24,PROVEEDORES[[#This Row],[indicador de columna]],FALSE)</f>
        <v>0</v>
      </c>
      <c r="Y129" s="152">
        <f>+VLOOKUP(PROVEEDORES[[#This Row],[ID RETENCION]],Retenciones!$A$1:$O$24,2,FALSE)</f>
        <v>0</v>
      </c>
      <c r="Z129" s="26"/>
      <c r="AA129" s="26"/>
      <c r="AB129" s="26"/>
      <c r="AC129" s="26"/>
      <c r="AD129" s="26"/>
      <c r="AE129" s="26"/>
    </row>
    <row r="130" spans="1:31" ht="21.95" customHeight="1" x14ac:dyDescent="0.25">
      <c r="A130" s="97" t="str">
        <f>+IF(PROVEEDORES[[#This Row],[FECHA DE PAGO]]=PROVEEDORES[[#This Row],[FECHA DE FACTURACIÓN]],"DE CONTADO","CRÉDITO")</f>
        <v>CRÉDITO</v>
      </c>
      <c r="B130" s="41" t="str">
        <f>+IF((PROVEEDORES[[#This Row],[FECHA DE PAGO]]-PROVEEDORES[[#This Row],[FECHA DE FACTURACIÓN]])&gt;PROVEEDORES[[#This Row],[PLAZO Días]],"PAGO VENCIDO")</f>
        <v>PAGO VENCIDO</v>
      </c>
      <c r="C130" s="22">
        <f>+VLOOKUP(PROVEEDORES[[#This Row],[PROVEEDOR]],TERCEROS_INFO[#All],2,FALSE)</f>
        <v>30</v>
      </c>
      <c r="D130" s="27">
        <f>+SUMIFS(PROVEEDORES[Total],PROVEEDORES[PROVEEDOR],PROVEEDORES[[#This Row],[PROVEEDOR]],PROVEEDORES[FECHA DE PAGO],"")</f>
        <v>3099000</v>
      </c>
      <c r="E130" s="27"/>
      <c r="F130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130" s="95">
        <v>44335</v>
      </c>
      <c r="H130" s="28" t="s">
        <v>1079</v>
      </c>
      <c r="I130" s="95">
        <v>44228</v>
      </c>
      <c r="J130" s="38" t="s">
        <v>674</v>
      </c>
      <c r="K130" s="23">
        <v>290000</v>
      </c>
      <c r="L130" s="23"/>
      <c r="M130" s="24">
        <v>0</v>
      </c>
      <c r="N130" s="25"/>
      <c r="O130" s="24">
        <v>0</v>
      </c>
      <c r="P130" s="136">
        <f>+IF(PROVEEDORES[[#This Row],[SUBTOTAL]]&lt;PROVEEDORES[[#This Row],[base retencion]],0,PROVEEDORES[[#This Row],[retención aplicada]])</f>
        <v>0</v>
      </c>
      <c r="Q130" s="24">
        <f>+PROVEEDORES[[#This Row],[Rete Fuente %]]*PROVEEDORES[[#This Row],[SUBTOTAL]]</f>
        <v>0</v>
      </c>
      <c r="R130" s="23">
        <v>290000</v>
      </c>
      <c r="S13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" s="99">
        <f ca="1">IF(PROVEEDORES[[#This Row],[FECHA DE PAGO]]=0,TODAY()-PROVEEDORES[[#This Row],[FECHA DE FACTURACIÓN]]-PROVEEDORES[[#This Row],[PLAZO Días]],0)</f>
        <v>0</v>
      </c>
      <c r="U130" s="149">
        <f>+VLOOKUP(PROVEEDORES[[#This Row],[PROVEEDOR]],Terceros!$A:$E,5,FALSE)</f>
        <v>0</v>
      </c>
      <c r="V130" s="150">
        <f>+YEAR(PROVEEDORES[[#This Row],[FECHA DE FACTURACIÓN]])</f>
        <v>2021</v>
      </c>
      <c r="W130" s="150">
        <f>+MATCH(PROVEEDORES[[#This Row],[año facturado]],Retenciones!$1:$1,0)</f>
        <v>4</v>
      </c>
      <c r="X130" s="151">
        <f>+VLOOKUP(PROVEEDORES[[#This Row],[ID RETENCION]],Retenciones!$A$1:$O$24,PROVEEDORES[[#This Row],[indicador de columna]],FALSE)</f>
        <v>0</v>
      </c>
      <c r="Y130" s="152">
        <f>+VLOOKUP(PROVEEDORES[[#This Row],[ID RETENCION]],Retenciones!$A$1:$O$24,2,FALSE)</f>
        <v>0</v>
      </c>
      <c r="Z130" s="26"/>
      <c r="AA130" s="26"/>
      <c r="AB130" s="26"/>
      <c r="AC130" s="26"/>
      <c r="AD130" s="26"/>
      <c r="AE130" s="26"/>
    </row>
    <row r="131" spans="1:31" ht="21.95" customHeight="1" x14ac:dyDescent="0.25">
      <c r="A131" s="97" t="str">
        <f>+IF(PROVEEDORES[[#This Row],[FECHA DE PAGO]]=PROVEEDORES[[#This Row],[FECHA DE FACTURACIÓN]],"DE CONTADO","CRÉDITO")</f>
        <v>CRÉDITO</v>
      </c>
      <c r="B131" s="41" t="b">
        <f>+IF((PROVEEDORES[[#This Row],[FECHA DE PAGO]]-PROVEEDORES[[#This Row],[FECHA DE FACTURACIÓN]])&gt;PROVEEDORES[[#This Row],[PLAZO Días]],"PAGO VENCIDO")</f>
        <v>0</v>
      </c>
      <c r="C131" s="22">
        <f>+VLOOKUP(PROVEEDORES[[#This Row],[PROVEEDOR]],TERCEROS_INFO[#All],2,FALSE)</f>
        <v>30</v>
      </c>
      <c r="D131" s="27">
        <f>+SUMIFS(PROVEEDORES[Total],PROVEEDORES[PROVEEDOR],PROVEEDORES[[#This Row],[PROVEEDOR]],PROVEEDORES[FECHA DE PAGO],"")</f>
        <v>248736.18000000002</v>
      </c>
      <c r="E131" s="27"/>
      <c r="F131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G131" s="95">
        <v>44250</v>
      </c>
      <c r="H131" s="28" t="s">
        <v>343</v>
      </c>
      <c r="I131" s="95">
        <v>44228</v>
      </c>
      <c r="J131" s="38">
        <v>1350</v>
      </c>
      <c r="K131" s="23">
        <v>203897</v>
      </c>
      <c r="L131" s="23"/>
      <c r="M131" s="24">
        <v>38740.43</v>
      </c>
      <c r="N131" s="25"/>
      <c r="O131" s="24">
        <v>0</v>
      </c>
      <c r="P131" s="136">
        <f>+IF(PROVEEDORES[[#This Row],[SUBTOTAL]]&lt;PROVEEDORES[[#This Row],[base retencion]],0,PROVEEDORES[[#This Row],[retención aplicada]])</f>
        <v>3.5000000000000003E-2</v>
      </c>
      <c r="Q131" s="24">
        <f>+PROVEEDORES[[#This Row],[Rete Fuente %]]*PROVEEDORES[[#This Row],[SUBTOTAL]]</f>
        <v>7136.3950000000004</v>
      </c>
      <c r="R131" s="23">
        <v>235501.035</v>
      </c>
      <c r="S13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" s="99">
        <f ca="1">IF(PROVEEDORES[[#This Row],[FECHA DE PAGO]]=0,TODAY()-PROVEEDORES[[#This Row],[FECHA DE FACTURACIÓN]]-PROVEEDORES[[#This Row],[PLAZO Días]],0)</f>
        <v>0</v>
      </c>
      <c r="U131" s="149" t="str">
        <f>+VLOOKUP(PROVEEDORES[[#This Row],[PROVEEDOR]],Terceros!$A:$E,5,FALSE)</f>
        <v>3,5% sin base</v>
      </c>
      <c r="V131" s="150">
        <f>+YEAR(PROVEEDORES[[#This Row],[FECHA DE FACTURACIÓN]])</f>
        <v>2021</v>
      </c>
      <c r="W131" s="150">
        <f>+MATCH(PROVEEDORES[[#This Row],[año facturado]],Retenciones!$1:$1,0)</f>
        <v>4</v>
      </c>
      <c r="X131" s="151">
        <f>+VLOOKUP(PROVEEDORES[[#This Row],[ID RETENCION]],Retenciones!$A$1:$O$24,PROVEEDORES[[#This Row],[indicador de columna]],FALSE)</f>
        <v>0</v>
      </c>
      <c r="Y131" s="152">
        <f>+VLOOKUP(PROVEEDORES[[#This Row],[ID RETENCION]],Retenciones!$A$1:$O$24,2,FALSE)</f>
        <v>3.5000000000000003E-2</v>
      </c>
      <c r="Z131" s="26"/>
      <c r="AA131" s="26"/>
      <c r="AB131" s="26"/>
      <c r="AC131" s="26"/>
      <c r="AD131" s="26"/>
      <c r="AE131" s="26"/>
    </row>
    <row r="132" spans="1:31" ht="21.95" customHeight="1" x14ac:dyDescent="0.25">
      <c r="A132" s="97" t="str">
        <f>+IF(PROVEEDORES[[#This Row],[FECHA DE PAGO]]=PROVEEDORES[[#This Row],[FECHA DE FACTURACIÓN]],"DE CONTADO","CRÉDITO")</f>
        <v>CRÉDITO</v>
      </c>
      <c r="B132" s="41" t="b">
        <f>+IF((PROVEEDORES[[#This Row],[FECHA DE PAGO]]-PROVEEDORES[[#This Row],[FECHA DE FACTURACIÓN]])&gt;PROVEEDORES[[#This Row],[PLAZO Días]],"PAGO VENCIDO")</f>
        <v>0</v>
      </c>
      <c r="C132" s="22">
        <f>+VLOOKUP(PROVEEDORES[[#This Row],[PROVEEDOR]],TERCEROS_INFO[#All],2,FALSE)</f>
        <v>30</v>
      </c>
      <c r="D132" s="27">
        <f>+SUMIFS(PROVEEDORES[Total],PROVEEDORES[PROVEEDOR],PROVEEDORES[[#This Row],[PROVEEDOR]],PROVEEDORES[FECHA DE PAGO],"")</f>
        <v>0</v>
      </c>
      <c r="E132" s="27"/>
      <c r="F132" s="62" t="str">
        <f>+VLOOKUP(PROVEEDORES[[#This Row],[PROVEEDOR]],
                       Terceros!$A:$G,
                       6,
                       FALSE)</f>
        <v>jarlysas@gmail.com;o.clockinternational@gmail.com;girlesa.ruiz@servipilas.com;joriescobar64@gmail.com</v>
      </c>
      <c r="G132" s="95">
        <v>44243</v>
      </c>
      <c r="H132" s="28" t="s">
        <v>1042</v>
      </c>
      <c r="I132" s="95">
        <v>44228</v>
      </c>
      <c r="J132" s="38" t="s">
        <v>219</v>
      </c>
      <c r="K132" s="23">
        <v>714500</v>
      </c>
      <c r="L132" s="23"/>
      <c r="M132" s="24">
        <v>0</v>
      </c>
      <c r="N132" s="25"/>
      <c r="O132" s="24">
        <v>0</v>
      </c>
      <c r="P132" s="136">
        <f>+IF(PROVEEDORES[[#This Row],[SUBTOTAL]]&lt;PROVEEDORES[[#This Row],[base retencion]],0,PROVEEDORES[[#This Row],[retención aplicada]])</f>
        <v>0</v>
      </c>
      <c r="Q132" s="24">
        <f>+PROVEEDORES[[#This Row],[Rete Fuente %]]*PROVEEDORES[[#This Row],[SUBTOTAL]]</f>
        <v>0</v>
      </c>
      <c r="R132" s="23">
        <v>714500</v>
      </c>
      <c r="S13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" s="99">
        <f ca="1">IF(PROVEEDORES[[#This Row],[FECHA DE PAGO]]=0,TODAY()-PROVEEDORES[[#This Row],[FECHA DE FACTURACIÓN]]-PROVEEDORES[[#This Row],[PLAZO Días]],0)</f>
        <v>0</v>
      </c>
      <c r="U132" s="149">
        <f>+VLOOKUP(PROVEEDORES[[#This Row],[PROVEEDOR]],Terceros!$A:$E,5,FALSE)</f>
        <v>0</v>
      </c>
      <c r="V132" s="150">
        <f>+YEAR(PROVEEDORES[[#This Row],[FECHA DE FACTURACIÓN]])</f>
        <v>2021</v>
      </c>
      <c r="W132" s="150">
        <f>+MATCH(PROVEEDORES[[#This Row],[año facturado]],Retenciones!$1:$1,0)</f>
        <v>4</v>
      </c>
      <c r="X132" s="151">
        <f>+VLOOKUP(PROVEEDORES[[#This Row],[ID RETENCION]],Retenciones!$A$1:$O$24,PROVEEDORES[[#This Row],[indicador de columna]],FALSE)</f>
        <v>0</v>
      </c>
      <c r="Y132" s="152">
        <f>+VLOOKUP(PROVEEDORES[[#This Row],[ID RETENCION]],Retenciones!$A$1:$O$24,2,FALSE)</f>
        <v>0</v>
      </c>
      <c r="Z132" s="26"/>
      <c r="AA132" s="26"/>
      <c r="AB132" s="26"/>
      <c r="AC132" s="26"/>
      <c r="AD132" s="26"/>
      <c r="AE132" s="26"/>
    </row>
    <row r="133" spans="1:31" ht="21.95" customHeight="1" x14ac:dyDescent="0.25">
      <c r="A133" s="97" t="str">
        <f>+IF(PROVEEDORES[[#This Row],[FECHA DE PAGO]]=PROVEEDORES[[#This Row],[FECHA DE FACTURACIÓN]],"DE CONTADO","CRÉDITO")</f>
        <v>CRÉDITO</v>
      </c>
      <c r="B133" s="41" t="b">
        <f>+IF((PROVEEDORES[[#This Row],[FECHA DE PAGO]]-PROVEEDORES[[#This Row],[FECHA DE FACTURACIÓN]])&gt;PROVEEDORES[[#This Row],[PLAZO Días]],"PAGO VENCIDO")</f>
        <v>0</v>
      </c>
      <c r="C133" s="22">
        <f>+VLOOKUP(PROVEEDORES[[#This Row],[PROVEEDOR]],TERCEROS_INFO[#All],2,FALSE)</f>
        <v>30</v>
      </c>
      <c r="D133" s="27">
        <f>+SUMIFS(PROVEEDORES[Total],PROVEEDORES[PROVEEDOR],PROVEEDORES[[#This Row],[PROVEEDOR]],PROVEEDORES[FECHA DE PAGO],"")</f>
        <v>4862586.33</v>
      </c>
      <c r="E133" s="27"/>
      <c r="F133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133" s="95">
        <v>44250</v>
      </c>
      <c r="H133" s="28" t="s">
        <v>345</v>
      </c>
      <c r="I133" s="95">
        <v>44228</v>
      </c>
      <c r="J133" s="38">
        <v>4792</v>
      </c>
      <c r="K133" s="23">
        <v>716544</v>
      </c>
      <c r="L133" s="23"/>
      <c r="M133" s="24">
        <v>136143.36000000002</v>
      </c>
      <c r="N133" s="25"/>
      <c r="O133" s="24">
        <v>0</v>
      </c>
      <c r="P133" s="136">
        <f>+IF(PROVEEDORES[[#This Row],[SUBTOTAL]]&lt;PROVEEDORES[[#This Row],[base retencion]],0,PROVEEDORES[[#This Row],[retención aplicada]])</f>
        <v>0</v>
      </c>
      <c r="Q133" s="24">
        <f>+PROVEEDORES[[#This Row],[Rete Fuente %]]*PROVEEDORES[[#This Row],[SUBTOTAL]]</f>
        <v>0</v>
      </c>
      <c r="R133" s="23">
        <v>852687.35999999999</v>
      </c>
      <c r="S13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" s="99">
        <f ca="1">IF(PROVEEDORES[[#This Row],[FECHA DE PAGO]]=0,TODAY()-PROVEEDORES[[#This Row],[FECHA DE FACTURACIÓN]]-PROVEEDORES[[#This Row],[PLAZO Días]],0)</f>
        <v>0</v>
      </c>
      <c r="U133" s="149">
        <f>+VLOOKUP(PROVEEDORES[[#This Row],[PROVEEDOR]],Terceros!$A:$E,5,FALSE)</f>
        <v>0</v>
      </c>
      <c r="V133" s="150">
        <f>+YEAR(PROVEEDORES[[#This Row],[FECHA DE FACTURACIÓN]])</f>
        <v>2021</v>
      </c>
      <c r="W133" s="150">
        <f>+MATCH(PROVEEDORES[[#This Row],[año facturado]],Retenciones!$1:$1,0)</f>
        <v>4</v>
      </c>
      <c r="X133" s="151">
        <f>+VLOOKUP(PROVEEDORES[[#This Row],[ID RETENCION]],Retenciones!$A$1:$O$24,PROVEEDORES[[#This Row],[indicador de columna]],FALSE)</f>
        <v>0</v>
      </c>
      <c r="Y133" s="152">
        <f>+VLOOKUP(PROVEEDORES[[#This Row],[ID RETENCION]],Retenciones!$A$1:$O$24,2,FALSE)</f>
        <v>0</v>
      </c>
      <c r="Z133" s="26"/>
      <c r="AA133" s="26"/>
      <c r="AB133" s="26"/>
      <c r="AC133" s="26"/>
      <c r="AD133" s="26"/>
      <c r="AE133" s="26"/>
    </row>
    <row r="134" spans="1:31" ht="21.95" customHeight="1" x14ac:dyDescent="0.25">
      <c r="A134" s="97" t="str">
        <f>+IF(PROVEEDORES[[#This Row],[FECHA DE PAGO]]=PROVEEDORES[[#This Row],[FECHA DE FACTURACIÓN]],"DE CONTADO","CRÉDITO")</f>
        <v>CRÉDITO</v>
      </c>
      <c r="B134" s="41" t="b">
        <f>+IF((PROVEEDORES[[#This Row],[FECHA DE PAGO]]-PROVEEDORES[[#This Row],[FECHA DE FACTURACIÓN]])&gt;PROVEEDORES[[#This Row],[PLAZO Días]],"PAGO VENCIDO")</f>
        <v>0</v>
      </c>
      <c r="C134" s="22">
        <f>+VLOOKUP(PROVEEDORES[[#This Row],[PROVEEDOR]],TERCEROS_INFO[#All],2,FALSE)</f>
        <v>30</v>
      </c>
      <c r="D134" s="27">
        <f>+SUMIFS(PROVEEDORES[Total],PROVEEDORES[PROVEEDOR],PROVEEDORES[[#This Row],[PROVEEDOR]],PROVEEDORES[FECHA DE PAGO],"")</f>
        <v>0</v>
      </c>
      <c r="E134" s="27"/>
      <c r="F134" s="62" t="str">
        <f>+VLOOKUP(PROVEEDORES[[#This Row],[PROVEEDOR]],
                       Terceros!$A:$G,
                       6,
                       FALSE)</f>
        <v>tesoreria@lacentral.com.co;girlesa.ruiz@servipilas.com;joriescobar64@gmail.com</v>
      </c>
      <c r="G134" s="95">
        <v>44250</v>
      </c>
      <c r="H134" s="28" t="s">
        <v>332</v>
      </c>
      <c r="I134" s="95">
        <v>44228</v>
      </c>
      <c r="J134" s="38"/>
      <c r="K134" s="23">
        <v>1327746</v>
      </c>
      <c r="L134" s="23"/>
      <c r="M134" s="24">
        <v>0</v>
      </c>
      <c r="N134" s="25"/>
      <c r="O134" s="24">
        <v>131601</v>
      </c>
      <c r="P134" s="136">
        <f>+IF(PROVEEDORES[[#This Row],[SUBTOTAL]]&lt;PROVEEDORES[[#This Row],[base retencion]],0,PROVEEDORES[[#This Row],[retención aplicada]])</f>
        <v>0</v>
      </c>
      <c r="Q134" s="24">
        <f>+PROVEEDORES[[#This Row],[Rete Fuente %]]*PROVEEDORES[[#This Row],[SUBTOTAL]]</f>
        <v>0</v>
      </c>
      <c r="R134" s="23">
        <v>218356.7</v>
      </c>
      <c r="S13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" s="99">
        <f ca="1">IF(PROVEEDORES[[#This Row],[FECHA DE PAGO]]=0,TODAY()-PROVEEDORES[[#This Row],[FECHA DE FACTURACIÓN]]-PROVEEDORES[[#This Row],[PLAZO Días]],0)</f>
        <v>0</v>
      </c>
      <c r="U134" s="149">
        <f>+VLOOKUP(PROVEEDORES[[#This Row],[PROVEEDOR]],Terceros!$A:$E,5,FALSE)</f>
        <v>0</v>
      </c>
      <c r="V134" s="150">
        <f>+YEAR(PROVEEDORES[[#This Row],[FECHA DE FACTURACIÓN]])</f>
        <v>2021</v>
      </c>
      <c r="W134" s="150">
        <f>+MATCH(PROVEEDORES[[#This Row],[año facturado]],Retenciones!$1:$1,0)</f>
        <v>4</v>
      </c>
      <c r="X134" s="151">
        <f>+VLOOKUP(PROVEEDORES[[#This Row],[ID RETENCION]],Retenciones!$A$1:$O$24,PROVEEDORES[[#This Row],[indicador de columna]],FALSE)</f>
        <v>0</v>
      </c>
      <c r="Y134" s="152">
        <f>+VLOOKUP(PROVEEDORES[[#This Row],[ID RETENCION]],Retenciones!$A$1:$O$24,2,FALSE)</f>
        <v>0</v>
      </c>
      <c r="Z134" s="26"/>
      <c r="AA134" s="26"/>
      <c r="AB134" s="26"/>
      <c r="AC134" s="26"/>
      <c r="AD134" s="26"/>
      <c r="AE134" s="26"/>
    </row>
    <row r="135" spans="1:31" ht="21.95" customHeight="1" x14ac:dyDescent="0.25">
      <c r="A135" s="97" t="str">
        <f>+IF(PROVEEDORES[[#This Row],[FECHA DE PAGO]]=PROVEEDORES[[#This Row],[FECHA DE FACTURACIÓN]],"DE CONTADO","CRÉDITO")</f>
        <v>CRÉDITO</v>
      </c>
      <c r="B135" s="41" t="b">
        <f>+IF((PROVEEDORES[[#This Row],[FECHA DE PAGO]]-PROVEEDORES[[#This Row],[FECHA DE FACTURACIÓN]])&gt;PROVEEDORES[[#This Row],[PLAZO Días]],"PAGO VENCIDO")</f>
        <v>0</v>
      </c>
      <c r="C135" s="22">
        <f>+VLOOKUP(PROVEEDORES[[#This Row],[PROVEEDOR]],TERCEROS_INFO[#All],2,FALSE)</f>
        <v>30</v>
      </c>
      <c r="D135" s="27">
        <f>+SUMIFS(PROVEEDORES[Total],PROVEEDORES[PROVEEDOR],PROVEEDORES[[#This Row],[PROVEEDOR]],PROVEEDORES[FECHA DE PAGO],"")</f>
        <v>0</v>
      </c>
      <c r="E135" s="27"/>
      <c r="F135" s="62" t="str">
        <f>+VLOOKUP(PROVEEDORES[[#This Row],[PROVEEDOR]],
                       Terceros!$A:$G,
                       6,
                       FALSE)</f>
        <v>propertymarketingsas@hotmail.com;girlesa.ruiz@servipilas.com;joriescobar64@gmail.com</v>
      </c>
      <c r="G135" s="95">
        <v>44250</v>
      </c>
      <c r="H135" s="28" t="s">
        <v>483</v>
      </c>
      <c r="I135" s="95">
        <v>44228</v>
      </c>
      <c r="J135" s="38" t="s">
        <v>675</v>
      </c>
      <c r="K135" s="23">
        <v>2789636</v>
      </c>
      <c r="L135" s="23"/>
      <c r="M135" s="24">
        <v>0</v>
      </c>
      <c r="N135" s="25"/>
      <c r="O135" s="24">
        <v>0</v>
      </c>
      <c r="P135" s="136">
        <f>+IF(PROVEEDORES[[#This Row],[SUBTOTAL]]&lt;PROVEEDORES[[#This Row],[base retencion]],0,PROVEEDORES[[#This Row],[retención aplicada]])</f>
        <v>3.5000000000000003E-2</v>
      </c>
      <c r="Q135" s="24">
        <f>+PROVEEDORES[[#This Row],[Rete Fuente %]]*PROVEEDORES[[#This Row],[SUBTOTAL]]</f>
        <v>97637.260000000009</v>
      </c>
      <c r="R135" s="23">
        <v>2691998.74</v>
      </c>
      <c r="S13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" s="99">
        <f ca="1">IF(PROVEEDORES[[#This Row],[FECHA DE PAGO]]=0,TODAY()-PROVEEDORES[[#This Row],[FECHA DE FACTURACIÓN]]-PROVEEDORES[[#This Row],[PLAZO Días]],0)</f>
        <v>0</v>
      </c>
      <c r="U135" s="149" t="str">
        <f>+VLOOKUP(PROVEEDORES[[#This Row],[PROVEEDOR]],Terceros!$A:$E,5,FALSE)</f>
        <v>3,5% sin base</v>
      </c>
      <c r="V135" s="150">
        <f>+YEAR(PROVEEDORES[[#This Row],[FECHA DE FACTURACIÓN]])</f>
        <v>2021</v>
      </c>
      <c r="W135" s="150">
        <f>+MATCH(PROVEEDORES[[#This Row],[año facturado]],Retenciones!$1:$1,0)</f>
        <v>4</v>
      </c>
      <c r="X135" s="151">
        <f>+VLOOKUP(PROVEEDORES[[#This Row],[ID RETENCION]],Retenciones!$A$1:$O$24,PROVEEDORES[[#This Row],[indicador de columna]],FALSE)</f>
        <v>0</v>
      </c>
      <c r="Y135" s="152">
        <f>+VLOOKUP(PROVEEDORES[[#This Row],[ID RETENCION]],Retenciones!$A$1:$O$24,2,FALSE)</f>
        <v>3.5000000000000003E-2</v>
      </c>
      <c r="Z135" s="26"/>
      <c r="AA135" s="26"/>
      <c r="AB135" s="26"/>
      <c r="AC135" s="26"/>
      <c r="AD135" s="26"/>
      <c r="AE135" s="26"/>
    </row>
    <row r="136" spans="1:31" ht="21.95" customHeight="1" x14ac:dyDescent="0.25">
      <c r="A136" s="97" t="str">
        <f>+IF(PROVEEDORES[[#This Row],[FECHA DE PAGO]]=PROVEEDORES[[#This Row],[FECHA DE FACTURACIÓN]],"DE CONTADO","CRÉDITO")</f>
        <v>CRÉDITO</v>
      </c>
      <c r="B136" s="41" t="b">
        <f>+IF((PROVEEDORES[[#This Row],[FECHA DE PAGO]]-PROVEEDORES[[#This Row],[FECHA DE FACTURACIÓN]])&gt;PROVEEDORES[[#This Row],[PLAZO Días]],"PAGO VENCIDO")</f>
        <v>0</v>
      </c>
      <c r="C136" s="22">
        <f>+VLOOKUP(PROVEEDORES[[#This Row],[PROVEEDOR]],TERCEROS_INFO[#All],2,FALSE)</f>
        <v>30</v>
      </c>
      <c r="D136" s="27">
        <f>+SUMIFS(PROVEEDORES[Total],PROVEEDORES[PROVEEDOR],PROVEEDORES[[#This Row],[PROVEEDOR]],PROVEEDORES[FECHA DE PAGO],"")</f>
        <v>4862586.33</v>
      </c>
      <c r="E136" s="27"/>
      <c r="F136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136" s="95">
        <v>44250</v>
      </c>
      <c r="H136" s="28" t="s">
        <v>345</v>
      </c>
      <c r="I136" s="95">
        <v>44228</v>
      </c>
      <c r="J136" s="38">
        <v>5070</v>
      </c>
      <c r="K136" s="23">
        <v>3061166</v>
      </c>
      <c r="L136" s="23"/>
      <c r="M136" s="24">
        <v>581621.54</v>
      </c>
      <c r="N136" s="25"/>
      <c r="O136" s="24">
        <v>0</v>
      </c>
      <c r="P136" s="136">
        <f>+IF(PROVEEDORES[[#This Row],[SUBTOTAL]]&lt;PROVEEDORES[[#This Row],[base retencion]],0,PROVEEDORES[[#This Row],[retención aplicada]])</f>
        <v>0</v>
      </c>
      <c r="Q136" s="24">
        <f>+PROVEEDORES[[#This Row],[Rete Fuente %]]*PROVEEDORES[[#This Row],[SUBTOTAL]]</f>
        <v>0</v>
      </c>
      <c r="R136" s="23">
        <v>3642787.54</v>
      </c>
      <c r="S13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" s="99">
        <f ca="1">IF(PROVEEDORES[[#This Row],[FECHA DE PAGO]]=0,TODAY()-PROVEEDORES[[#This Row],[FECHA DE FACTURACIÓN]]-PROVEEDORES[[#This Row],[PLAZO Días]],0)</f>
        <v>0</v>
      </c>
      <c r="U136" s="149">
        <f>+VLOOKUP(PROVEEDORES[[#This Row],[PROVEEDOR]],Terceros!$A:$E,5,FALSE)</f>
        <v>0</v>
      </c>
      <c r="V136" s="150">
        <f>+YEAR(PROVEEDORES[[#This Row],[FECHA DE FACTURACIÓN]])</f>
        <v>2021</v>
      </c>
      <c r="W136" s="150">
        <f>+MATCH(PROVEEDORES[[#This Row],[año facturado]],Retenciones!$1:$1,0)</f>
        <v>4</v>
      </c>
      <c r="X136" s="151">
        <f>+VLOOKUP(PROVEEDORES[[#This Row],[ID RETENCION]],Retenciones!$A$1:$O$24,PROVEEDORES[[#This Row],[indicador de columna]],FALSE)</f>
        <v>0</v>
      </c>
      <c r="Y136" s="152">
        <f>+VLOOKUP(PROVEEDORES[[#This Row],[ID RETENCION]],Retenciones!$A$1:$O$24,2,FALSE)</f>
        <v>0</v>
      </c>
      <c r="Z136" s="26"/>
      <c r="AA136" s="26"/>
      <c r="AB136" s="26"/>
      <c r="AC136" s="26"/>
      <c r="AD136" s="26"/>
      <c r="AE136" s="26"/>
    </row>
    <row r="137" spans="1:31" ht="21.95" customHeight="1" x14ac:dyDescent="0.25">
      <c r="A137" s="97" t="str">
        <f>+IF(PROVEEDORES[[#This Row],[FECHA DE PAGO]]=PROVEEDORES[[#This Row],[FECHA DE FACTURACIÓN]],"DE CONTADO","CRÉDITO")</f>
        <v>CRÉDITO</v>
      </c>
      <c r="B137" s="41" t="b">
        <f>+IF((PROVEEDORES[[#This Row],[FECHA DE PAGO]]-PROVEEDORES[[#This Row],[FECHA DE FACTURACIÓN]])&gt;PROVEEDORES[[#This Row],[PLAZO Días]],"PAGO VENCIDO")</f>
        <v>0</v>
      </c>
      <c r="C137" s="22">
        <f>+VLOOKUP(PROVEEDORES[[#This Row],[PROVEEDOR]],TERCEROS_INFO[#All],2,FALSE)</f>
        <v>30</v>
      </c>
      <c r="D137" s="27">
        <f>+SUMIFS(PROVEEDORES[Total],PROVEEDORES[PROVEEDOR],PROVEEDORES[[#This Row],[PROVEEDOR]],PROVEEDORES[FECHA DE PAGO],"")</f>
        <v>0</v>
      </c>
      <c r="E137" s="27"/>
      <c r="F137" s="62" t="str">
        <f>+VLOOKUP(PROVEEDORES[[#This Row],[PROVEEDOR]],
                       Terceros!$A:$G,
                       6,
                       FALSE)</f>
        <v/>
      </c>
      <c r="G137" s="95">
        <v>44237</v>
      </c>
      <c r="H137" s="28" t="s">
        <v>1001</v>
      </c>
      <c r="I137" s="95">
        <v>44228</v>
      </c>
      <c r="J137" s="38" t="s">
        <v>673</v>
      </c>
      <c r="K137" s="23">
        <v>3313000</v>
      </c>
      <c r="L137" s="23"/>
      <c r="M137" s="24">
        <v>0</v>
      </c>
      <c r="N137" s="25"/>
      <c r="O137" s="24">
        <v>0</v>
      </c>
      <c r="P137" s="136">
        <f>+IF(PROVEEDORES[[#This Row],[SUBTOTAL]]&lt;PROVEEDORES[[#This Row],[base retencion]],0,PROVEEDORES[[#This Row],[retención aplicada]])</f>
        <v>0</v>
      </c>
      <c r="Q137" s="24">
        <f>+PROVEEDORES[[#This Row],[Rete Fuente %]]*PROVEEDORES[[#This Row],[SUBTOTAL]]</f>
        <v>0</v>
      </c>
      <c r="R137" s="23">
        <v>3313000</v>
      </c>
      <c r="S13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" s="99">
        <f ca="1">IF(PROVEEDORES[[#This Row],[FECHA DE PAGO]]=0,TODAY()-PROVEEDORES[[#This Row],[FECHA DE FACTURACIÓN]]-PROVEEDORES[[#This Row],[PLAZO Días]],0)</f>
        <v>0</v>
      </c>
      <c r="U137" s="149">
        <f>+VLOOKUP(PROVEEDORES[[#This Row],[PROVEEDOR]],Terceros!$A:$E,5,FALSE)</f>
        <v>0</v>
      </c>
      <c r="V137" s="150">
        <f>+YEAR(PROVEEDORES[[#This Row],[FECHA DE FACTURACIÓN]])</f>
        <v>2021</v>
      </c>
      <c r="W137" s="150">
        <f>+MATCH(PROVEEDORES[[#This Row],[año facturado]],Retenciones!$1:$1,0)</f>
        <v>4</v>
      </c>
      <c r="X137" s="151">
        <f>+VLOOKUP(PROVEEDORES[[#This Row],[ID RETENCION]],Retenciones!$A$1:$O$24,PROVEEDORES[[#This Row],[indicador de columna]],FALSE)</f>
        <v>0</v>
      </c>
      <c r="Y137" s="152">
        <f>+VLOOKUP(PROVEEDORES[[#This Row],[ID RETENCION]],Retenciones!$A$1:$O$24,2,FALSE)</f>
        <v>0</v>
      </c>
      <c r="Z137" s="26"/>
      <c r="AA137" s="26"/>
      <c r="AB137" s="26"/>
      <c r="AC137" s="26"/>
      <c r="AD137" s="26"/>
      <c r="AE137" s="26"/>
    </row>
    <row r="138" spans="1:31" ht="21.95" customHeight="1" x14ac:dyDescent="0.25">
      <c r="A138" s="97" t="str">
        <f>+IF(PROVEEDORES[[#This Row],[FECHA DE PAGO]]=PROVEEDORES[[#This Row],[FECHA DE FACTURACIÓN]],"DE CONTADO","CRÉDITO")</f>
        <v>CRÉDITO</v>
      </c>
      <c r="B138" s="41" t="b">
        <f>+IF((PROVEEDORES[[#This Row],[FECHA DE PAGO]]-PROVEEDORES[[#This Row],[FECHA DE FACTURACIÓN]])&gt;PROVEEDORES[[#This Row],[PLAZO Días]],"PAGO VENCIDO")</f>
        <v>0</v>
      </c>
      <c r="C138" s="22">
        <f>+VLOOKUP(PROVEEDORES[[#This Row],[PROVEEDOR]],TERCEROS_INFO[#All],2,FALSE)</f>
        <v>30</v>
      </c>
      <c r="D138" s="27">
        <f>+SUMIFS(PROVEEDORES[Total],PROVEEDORES[PROVEEDOR],PROVEEDORES[[#This Row],[PROVEEDOR]],PROVEEDORES[FECHA DE PAGO],"")</f>
        <v>5463150</v>
      </c>
      <c r="E138" s="27"/>
      <c r="F138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138" s="95">
        <v>44250</v>
      </c>
      <c r="H138" s="28" t="s">
        <v>344</v>
      </c>
      <c r="I138" s="95">
        <v>44228</v>
      </c>
      <c r="J138" s="38">
        <v>38129</v>
      </c>
      <c r="K138" s="23">
        <v>3488000</v>
      </c>
      <c r="L138" s="23"/>
      <c r="M138" s="24">
        <v>662720</v>
      </c>
      <c r="N138" s="25"/>
      <c r="O138" s="24">
        <v>0</v>
      </c>
      <c r="P138" s="136">
        <f>+IF(PROVEEDORES[[#This Row],[SUBTOTAL]]&lt;PROVEEDORES[[#This Row],[base retencion]],0,PROVEEDORES[[#This Row],[retención aplicada]])</f>
        <v>3.5000000000000003E-2</v>
      </c>
      <c r="Q138" s="24">
        <f>+PROVEEDORES[[#This Row],[Rete Fuente %]]*PROVEEDORES[[#This Row],[SUBTOTAL]]</f>
        <v>122080.00000000001</v>
      </c>
      <c r="R138" s="23">
        <v>4028640</v>
      </c>
      <c r="S13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" s="99">
        <f ca="1">IF(PROVEEDORES[[#This Row],[FECHA DE PAGO]]=0,TODAY()-PROVEEDORES[[#This Row],[FECHA DE FACTURACIÓN]]-PROVEEDORES[[#This Row],[PLAZO Días]],0)</f>
        <v>0</v>
      </c>
      <c r="U138" s="149" t="str">
        <f>+VLOOKUP(PROVEEDORES[[#This Row],[PROVEEDOR]],Terceros!$A:$E,5,FALSE)</f>
        <v>3,5% con base</v>
      </c>
      <c r="V138" s="150">
        <f>+YEAR(PROVEEDORES[[#This Row],[FECHA DE FACTURACIÓN]])</f>
        <v>2021</v>
      </c>
      <c r="W138" s="150">
        <f>+MATCH(PROVEEDORES[[#This Row],[año facturado]],Retenciones!$1:$1,0)</f>
        <v>4</v>
      </c>
      <c r="X138" s="151">
        <f>+VLOOKUP(PROVEEDORES[[#This Row],[ID RETENCION]],Retenciones!$A$1:$O$24,PROVEEDORES[[#This Row],[indicador de columna]],FALSE)</f>
        <v>980000</v>
      </c>
      <c r="Y138" s="152">
        <f>+VLOOKUP(PROVEEDORES[[#This Row],[ID RETENCION]],Retenciones!$A$1:$O$24,2,FALSE)</f>
        <v>3.5000000000000003E-2</v>
      </c>
      <c r="Z138" s="26"/>
      <c r="AA138" s="26"/>
      <c r="AB138" s="26"/>
      <c r="AC138" s="26"/>
      <c r="AD138" s="26"/>
      <c r="AE138" s="26"/>
    </row>
    <row r="139" spans="1:31" ht="21.95" customHeight="1" x14ac:dyDescent="0.25">
      <c r="A139" s="97" t="str">
        <f>+IF(PROVEEDORES[[#This Row],[FECHA DE PAGO]]=PROVEEDORES[[#This Row],[FECHA DE FACTURACIÓN]],"DE CONTADO","CRÉDITO")</f>
        <v>CRÉDITO</v>
      </c>
      <c r="B139" s="41" t="b">
        <f>+IF((PROVEEDORES[[#This Row],[FECHA DE PAGO]]-PROVEEDORES[[#This Row],[FECHA DE FACTURACIÓN]])&gt;PROVEEDORES[[#This Row],[PLAZO Días]],"PAGO VENCIDO")</f>
        <v>0</v>
      </c>
      <c r="C139" s="22">
        <f>+VLOOKUP(PROVEEDORES[[#This Row],[PROVEEDOR]],TERCEROS_INFO[#All],2,FALSE)</f>
        <v>45</v>
      </c>
      <c r="D139" s="27">
        <f>+SUMIFS(PROVEEDORES[Total],PROVEEDORES[PROVEEDOR],PROVEEDORES[[#This Row],[PROVEEDOR]],PROVEEDORES[FECHA DE PAGO],"")</f>
        <v>3412539.2</v>
      </c>
      <c r="E139" s="27"/>
      <c r="F139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139" s="95">
        <v>44257</v>
      </c>
      <c r="H139" s="28" t="s">
        <v>10</v>
      </c>
      <c r="I139" s="95">
        <v>44229</v>
      </c>
      <c r="J139" s="38" t="s">
        <v>149</v>
      </c>
      <c r="K139" s="23">
        <v>-732000</v>
      </c>
      <c r="L139" s="23"/>
      <c r="M139" s="24">
        <v>-139080</v>
      </c>
      <c r="N139" s="25"/>
      <c r="O139" s="24">
        <v>0</v>
      </c>
      <c r="P139" s="136">
        <f>+IF(PROVEEDORES[[#This Row],[SUBTOTAL]]&lt;PROVEEDORES[[#This Row],[base retencion]],0,PROVEEDORES[[#This Row],[retención aplicada]])</f>
        <v>0</v>
      </c>
      <c r="Q139" s="24">
        <f>+PROVEEDORES[[#This Row],[Rete Fuente %]]*PROVEEDORES[[#This Row],[SUBTOTAL]]</f>
        <v>0</v>
      </c>
      <c r="R139" s="23">
        <v>-871080</v>
      </c>
      <c r="S13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" s="99">
        <f ca="1">IF(PROVEEDORES[[#This Row],[FECHA DE PAGO]]=0,TODAY()-PROVEEDORES[[#This Row],[FECHA DE FACTURACIÓN]]-PROVEEDORES[[#This Row],[PLAZO Días]],0)</f>
        <v>0</v>
      </c>
      <c r="U139" s="149">
        <f>+VLOOKUP(PROVEEDORES[[#This Row],[PROVEEDOR]],Terceros!$A:$E,5,FALSE)</f>
        <v>0</v>
      </c>
      <c r="V139" s="150">
        <f>+YEAR(PROVEEDORES[[#This Row],[FECHA DE FACTURACIÓN]])</f>
        <v>2021</v>
      </c>
      <c r="W139" s="150">
        <f>+MATCH(PROVEEDORES[[#This Row],[año facturado]],Retenciones!$1:$1,0)</f>
        <v>4</v>
      </c>
      <c r="X139" s="151">
        <f>+VLOOKUP(PROVEEDORES[[#This Row],[ID RETENCION]],Retenciones!$A$1:$O$24,PROVEEDORES[[#This Row],[indicador de columna]],FALSE)</f>
        <v>0</v>
      </c>
      <c r="Y139" s="152">
        <f>+VLOOKUP(PROVEEDORES[[#This Row],[ID RETENCION]],Retenciones!$A$1:$O$24,2,FALSE)</f>
        <v>0</v>
      </c>
      <c r="Z139" s="26"/>
      <c r="AA139" s="26"/>
      <c r="AB139" s="26"/>
      <c r="AC139" s="26"/>
      <c r="AD139" s="26"/>
      <c r="AE139" s="26"/>
    </row>
    <row r="140" spans="1:31" ht="21.95" customHeight="1" x14ac:dyDescent="0.25">
      <c r="A140" s="97" t="str">
        <f>+IF(PROVEEDORES[[#This Row],[FECHA DE PAGO]]=PROVEEDORES[[#This Row],[FECHA DE FACTURACIÓN]],"DE CONTADO","CRÉDITO")</f>
        <v>CRÉDITO</v>
      </c>
      <c r="B140" s="41" t="str">
        <f>+IF((PROVEEDORES[[#This Row],[FECHA DE PAGO]]-PROVEEDORES[[#This Row],[FECHA DE FACTURACIÓN]])&gt;PROVEEDORES[[#This Row],[PLAZO Días]],"PAGO VENCIDO")</f>
        <v>PAGO VENCIDO</v>
      </c>
      <c r="C140" s="22">
        <f>+VLOOKUP(PROVEEDORES[[#This Row],[PROVEEDOR]],TERCEROS_INFO[#All],2,FALSE)</f>
        <v>30</v>
      </c>
      <c r="D140" s="27">
        <f>+SUMIFS(PROVEEDORES[Total],PROVEEDORES[PROVEEDOR],PROVEEDORES[[#This Row],[PROVEEDOR]],PROVEEDORES[FECHA DE PAGO],"")</f>
        <v>4641412.7745000003</v>
      </c>
      <c r="E140" s="27"/>
      <c r="F140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140" s="95">
        <v>44264</v>
      </c>
      <c r="H140" s="28" t="s">
        <v>20</v>
      </c>
      <c r="I140" s="95">
        <v>44229</v>
      </c>
      <c r="J140" s="38">
        <v>3224</v>
      </c>
      <c r="K140" s="23">
        <v>43740</v>
      </c>
      <c r="L140" s="23"/>
      <c r="M140" s="24">
        <v>8310.6</v>
      </c>
      <c r="N140" s="25"/>
      <c r="O140" s="24">
        <v>0</v>
      </c>
      <c r="P140" s="136">
        <f>+IF(PROVEEDORES[[#This Row],[SUBTOTAL]]&lt;PROVEEDORES[[#This Row],[base retencion]],0,PROVEEDORES[[#This Row],[retención aplicada]])</f>
        <v>0</v>
      </c>
      <c r="Q140" s="24">
        <f>+PROVEEDORES[[#This Row],[Rete Fuente %]]*PROVEEDORES[[#This Row],[SUBTOTAL]]</f>
        <v>0</v>
      </c>
      <c r="R140" s="23">
        <v>52050.6</v>
      </c>
      <c r="S14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" s="99">
        <f ca="1">IF(PROVEEDORES[[#This Row],[FECHA DE PAGO]]=0,TODAY()-PROVEEDORES[[#This Row],[FECHA DE FACTURACIÓN]]-PROVEEDORES[[#This Row],[PLAZO Días]],0)</f>
        <v>0</v>
      </c>
      <c r="U140" s="149" t="str">
        <f>+VLOOKUP(PROVEEDORES[[#This Row],[PROVEEDOR]],Terceros!$A:$E,5,FALSE)</f>
        <v>2,5% con base</v>
      </c>
      <c r="V140" s="150">
        <f>+YEAR(PROVEEDORES[[#This Row],[FECHA DE FACTURACIÓN]])</f>
        <v>2021</v>
      </c>
      <c r="W140" s="150">
        <f>+MATCH(PROVEEDORES[[#This Row],[año facturado]],Retenciones!$1:$1,0)</f>
        <v>4</v>
      </c>
      <c r="X140" s="151">
        <f>+VLOOKUP(PROVEEDORES[[#This Row],[ID RETENCION]],Retenciones!$A$1:$O$24,PROVEEDORES[[#This Row],[indicador de columna]],FALSE)</f>
        <v>980000</v>
      </c>
      <c r="Y140" s="152">
        <f>+VLOOKUP(PROVEEDORES[[#This Row],[ID RETENCION]],Retenciones!$A$1:$O$24,2,FALSE)</f>
        <v>2.5000000000000001E-2</v>
      </c>
      <c r="Z140" s="26"/>
      <c r="AA140" s="26"/>
      <c r="AB140" s="26"/>
      <c r="AC140" s="26"/>
      <c r="AD140" s="26"/>
      <c r="AE140" s="26"/>
    </row>
    <row r="141" spans="1:31" ht="21.95" customHeight="1" x14ac:dyDescent="0.25">
      <c r="A141" s="97" t="str">
        <f>+IF(PROVEEDORES[[#This Row],[FECHA DE PAGO]]=PROVEEDORES[[#This Row],[FECHA DE FACTURACIÓN]],"DE CONTADO","CRÉDITO")</f>
        <v>CRÉDITO</v>
      </c>
      <c r="B141" s="41" t="b">
        <f>+IF((PROVEEDORES[[#This Row],[FECHA DE PAGO]]-PROVEEDORES[[#This Row],[FECHA DE FACTURACIÓN]])&gt;PROVEEDORES[[#This Row],[PLAZO Días]],"PAGO VENCIDO")</f>
        <v>0</v>
      </c>
      <c r="C141" s="22">
        <f>+VLOOKUP(PROVEEDORES[[#This Row],[PROVEEDOR]],TERCEROS_INFO[#All],2,FALSE)</f>
        <v>30</v>
      </c>
      <c r="D141" s="27">
        <f>+SUMIFS(PROVEEDORES[Total],PROVEEDORES[PROVEEDOR],PROVEEDORES[[#This Row],[PROVEEDOR]],PROVEEDORES[FECHA DE PAGO],"")</f>
        <v>0</v>
      </c>
      <c r="E141" s="27"/>
      <c r="F141" s="62" t="str">
        <f>+VLOOKUP(PROVEEDORES[[#This Row],[PROVEEDOR]],
                       Terceros!$A:$G,
                       6,
                       FALSE)</f>
        <v>electronicascanaresas@gmail.com;girlesa.ruiz@servipilas.com;joriescobar64@gmail.com</v>
      </c>
      <c r="G141" s="95">
        <v>44239</v>
      </c>
      <c r="H141" s="28" t="s">
        <v>182</v>
      </c>
      <c r="I141" s="95">
        <v>44229</v>
      </c>
      <c r="J141" s="38">
        <v>1528</v>
      </c>
      <c r="K141" s="23">
        <v>134453.78</v>
      </c>
      <c r="L141" s="23"/>
      <c r="M141" s="24">
        <v>25546.218199999999</v>
      </c>
      <c r="N141" s="25"/>
      <c r="O141" s="24">
        <v>0</v>
      </c>
      <c r="P141" s="136">
        <f>+IF(PROVEEDORES[[#This Row],[SUBTOTAL]]&lt;PROVEEDORES[[#This Row],[base retencion]],0,PROVEEDORES[[#This Row],[retención aplicada]])</f>
        <v>0</v>
      </c>
      <c r="Q141" s="24">
        <f>+PROVEEDORES[[#This Row],[Rete Fuente %]]*PROVEEDORES[[#This Row],[SUBTOTAL]]</f>
        <v>0</v>
      </c>
      <c r="R141" s="23">
        <v>159999.9982</v>
      </c>
      <c r="S14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" s="99">
        <f ca="1">IF(PROVEEDORES[[#This Row],[FECHA DE PAGO]]=0,TODAY()-PROVEEDORES[[#This Row],[FECHA DE FACTURACIÓN]]-PROVEEDORES[[#This Row],[PLAZO Días]],0)</f>
        <v>0</v>
      </c>
      <c r="U141" s="149" t="str">
        <f>+VLOOKUP(PROVEEDORES[[#This Row],[PROVEEDOR]],Terceros!$A:$E,5,FALSE)</f>
        <v>2,5% con base</v>
      </c>
      <c r="V141" s="150">
        <f>+YEAR(PROVEEDORES[[#This Row],[FECHA DE FACTURACIÓN]])</f>
        <v>2021</v>
      </c>
      <c r="W141" s="150">
        <f>+MATCH(PROVEEDORES[[#This Row],[año facturado]],Retenciones!$1:$1,0)</f>
        <v>4</v>
      </c>
      <c r="X141" s="151">
        <f>+VLOOKUP(PROVEEDORES[[#This Row],[ID RETENCION]],Retenciones!$A$1:$O$24,PROVEEDORES[[#This Row],[indicador de columna]],FALSE)</f>
        <v>980000</v>
      </c>
      <c r="Y141" s="152">
        <f>+VLOOKUP(PROVEEDORES[[#This Row],[ID RETENCION]],Retenciones!$A$1:$O$24,2,FALSE)</f>
        <v>2.5000000000000001E-2</v>
      </c>
      <c r="Z141" s="26"/>
      <c r="AA141" s="26"/>
      <c r="AB141" s="26"/>
      <c r="AC141" s="26"/>
      <c r="AD141" s="26"/>
      <c r="AE141" s="26"/>
    </row>
    <row r="142" spans="1:31" ht="21.95" customHeight="1" x14ac:dyDescent="0.25">
      <c r="A142" s="97" t="str">
        <f>+IF(PROVEEDORES[[#This Row],[FECHA DE PAGO]]=PROVEEDORES[[#This Row],[FECHA DE FACTURACIÓN]],"DE CONTADO","CRÉDITO")</f>
        <v>DE CONTADO</v>
      </c>
      <c r="B142" s="41" t="b">
        <f>+IF((PROVEEDORES[[#This Row],[FECHA DE PAGO]]-PROVEEDORES[[#This Row],[FECHA DE FACTURACIÓN]])&gt;PROVEEDORES[[#This Row],[PLAZO Días]],"PAGO VENCIDO")</f>
        <v>0</v>
      </c>
      <c r="C142" s="22">
        <f>+VLOOKUP(PROVEEDORES[[#This Row],[PROVEEDOR]],TERCEROS_INFO[#All],2,FALSE)</f>
        <v>30</v>
      </c>
      <c r="D142" s="27">
        <f>+SUMIFS(PROVEEDORES[Total],PROVEEDORES[PROVEEDOR],PROVEEDORES[[#This Row],[PROVEEDOR]],PROVEEDORES[FECHA DE PAGO],"")</f>
        <v>0</v>
      </c>
      <c r="E142" s="27"/>
      <c r="F142" s="62" t="str">
        <f>+VLOOKUP(PROVEEDORES[[#This Row],[PROVEEDOR]],
                       Terceros!$A:$G,
                       6,
                       FALSE)</f>
        <v/>
      </c>
      <c r="G142" s="95">
        <v>44229</v>
      </c>
      <c r="H142" s="28" t="s">
        <v>999</v>
      </c>
      <c r="I142" s="95">
        <v>44229</v>
      </c>
      <c r="J142" s="38"/>
      <c r="K142" s="23">
        <v>385000</v>
      </c>
      <c r="L142" s="23"/>
      <c r="M142" s="24">
        <v>0</v>
      </c>
      <c r="N142" s="25"/>
      <c r="O142" s="24">
        <v>0</v>
      </c>
      <c r="P142" s="136">
        <f>+IF(PROVEEDORES[[#This Row],[SUBTOTAL]]&lt;PROVEEDORES[[#This Row],[base retencion]],0,PROVEEDORES[[#This Row],[retención aplicada]])</f>
        <v>0</v>
      </c>
      <c r="Q142" s="24">
        <f>+PROVEEDORES[[#This Row],[Rete Fuente %]]*PROVEEDORES[[#This Row],[SUBTOTAL]]</f>
        <v>0</v>
      </c>
      <c r="R142" s="23">
        <v>385000</v>
      </c>
      <c r="S14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" s="99">
        <f ca="1">IF(PROVEEDORES[[#This Row],[FECHA DE PAGO]]=0,TODAY()-PROVEEDORES[[#This Row],[FECHA DE FACTURACIÓN]]-PROVEEDORES[[#This Row],[PLAZO Días]],0)</f>
        <v>0</v>
      </c>
      <c r="U142" s="149">
        <f>+VLOOKUP(PROVEEDORES[[#This Row],[PROVEEDOR]],Terceros!$A:$E,5,FALSE)</f>
        <v>0</v>
      </c>
      <c r="V142" s="150">
        <f>+YEAR(PROVEEDORES[[#This Row],[FECHA DE FACTURACIÓN]])</f>
        <v>2021</v>
      </c>
      <c r="W142" s="150">
        <f>+MATCH(PROVEEDORES[[#This Row],[año facturado]],Retenciones!$1:$1,0)</f>
        <v>4</v>
      </c>
      <c r="X142" s="151">
        <f>+VLOOKUP(PROVEEDORES[[#This Row],[ID RETENCION]],Retenciones!$A$1:$O$24,PROVEEDORES[[#This Row],[indicador de columna]],FALSE)</f>
        <v>0</v>
      </c>
      <c r="Y142" s="152">
        <f>+VLOOKUP(PROVEEDORES[[#This Row],[ID RETENCION]],Retenciones!$A$1:$O$24,2,FALSE)</f>
        <v>0</v>
      </c>
      <c r="Z142" s="26"/>
      <c r="AA142" s="26"/>
      <c r="AB142" s="26"/>
      <c r="AC142" s="26"/>
      <c r="AD142" s="26"/>
      <c r="AE142" s="26"/>
    </row>
    <row r="143" spans="1:31" ht="21.95" customHeight="1" x14ac:dyDescent="0.25">
      <c r="A143" s="97" t="str">
        <f>+IF(PROVEEDORES[[#This Row],[FECHA DE PAGO]]=PROVEEDORES[[#This Row],[FECHA DE FACTURACIÓN]],"DE CONTADO","CRÉDITO")</f>
        <v>CRÉDITO</v>
      </c>
      <c r="B143" s="41" t="str">
        <f>+IF((PROVEEDORES[[#This Row],[FECHA DE PAGO]]-PROVEEDORES[[#This Row],[FECHA DE FACTURACIÓN]])&gt;PROVEEDORES[[#This Row],[PLAZO Días]],"PAGO VENCIDO")</f>
        <v>PAGO VENCIDO</v>
      </c>
      <c r="C143" s="22">
        <f>+VLOOKUP(PROVEEDORES[[#This Row],[PROVEEDOR]],TERCEROS_INFO[#All],2,FALSE)</f>
        <v>30</v>
      </c>
      <c r="D143" s="27">
        <f>+SUMIFS(PROVEEDORES[Total],PROVEEDORES[PROVEEDOR],PROVEEDORES[[#This Row],[PROVEEDOR]],PROVEEDORES[FECHA DE PAGO],"")</f>
        <v>144400</v>
      </c>
      <c r="E143" s="27"/>
      <c r="F143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143" s="95">
        <v>44264</v>
      </c>
      <c r="H143" s="28" t="s">
        <v>1071</v>
      </c>
      <c r="I143" s="95">
        <v>44230</v>
      </c>
      <c r="J143" s="38" t="s">
        <v>185</v>
      </c>
      <c r="K143" s="23">
        <v>-68000</v>
      </c>
      <c r="L143" s="23"/>
      <c r="M143" s="24">
        <v>0</v>
      </c>
      <c r="N143" s="25"/>
      <c r="O143" s="24">
        <v>0</v>
      </c>
      <c r="P143" s="136">
        <f>+IF(PROVEEDORES[[#This Row],[SUBTOTAL]]&lt;PROVEEDORES[[#This Row],[base retencion]],0,PROVEEDORES[[#This Row],[retención aplicada]])</f>
        <v>0</v>
      </c>
      <c r="Q143" s="24">
        <f>+PROVEEDORES[[#This Row],[Rete Fuente %]]*PROVEEDORES[[#This Row],[SUBTOTAL]]</f>
        <v>0</v>
      </c>
      <c r="R143" s="23">
        <v>-68000</v>
      </c>
      <c r="S14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" s="99">
        <f ca="1">IF(PROVEEDORES[[#This Row],[FECHA DE PAGO]]=0,TODAY()-PROVEEDORES[[#This Row],[FECHA DE FACTURACIÓN]]-PROVEEDORES[[#This Row],[PLAZO Días]],0)</f>
        <v>0</v>
      </c>
      <c r="U143" s="149">
        <f>+VLOOKUP(PROVEEDORES[[#This Row],[PROVEEDOR]],Terceros!$A:$E,5,FALSE)</f>
        <v>0</v>
      </c>
      <c r="V143" s="150">
        <f>+YEAR(PROVEEDORES[[#This Row],[FECHA DE FACTURACIÓN]])</f>
        <v>2021</v>
      </c>
      <c r="W143" s="150">
        <f>+MATCH(PROVEEDORES[[#This Row],[año facturado]],Retenciones!$1:$1,0)</f>
        <v>4</v>
      </c>
      <c r="X143" s="151">
        <f>+VLOOKUP(PROVEEDORES[[#This Row],[ID RETENCION]],Retenciones!$A$1:$O$24,PROVEEDORES[[#This Row],[indicador de columna]],FALSE)</f>
        <v>0</v>
      </c>
      <c r="Y143" s="152">
        <f>+VLOOKUP(PROVEEDORES[[#This Row],[ID RETENCION]],Retenciones!$A$1:$O$24,2,FALSE)</f>
        <v>0</v>
      </c>
      <c r="Z143" s="26"/>
      <c r="AA143" s="26"/>
      <c r="AB143" s="26"/>
      <c r="AC143" s="26"/>
      <c r="AD143" s="26"/>
      <c r="AE143" s="26"/>
    </row>
    <row r="144" spans="1:31" ht="21.95" customHeight="1" x14ac:dyDescent="0.25">
      <c r="A144" s="97" t="str">
        <f>+IF(PROVEEDORES[[#This Row],[FECHA DE PAGO]]=PROVEEDORES[[#This Row],[FECHA DE FACTURACIÓN]],"DE CONTADO","CRÉDITO")</f>
        <v>CRÉDITO</v>
      </c>
      <c r="B144" s="41" t="str">
        <f>+IF((PROVEEDORES[[#This Row],[FECHA DE PAGO]]-PROVEEDORES[[#This Row],[FECHA DE FACTURACIÓN]])&gt;PROVEEDORES[[#This Row],[PLAZO Días]],"PAGO VENCIDO")</f>
        <v>PAGO VENCIDO</v>
      </c>
      <c r="C144" s="22">
        <f>+VLOOKUP(PROVEEDORES[[#This Row],[PROVEEDOR]],TERCEROS_INFO[#All],2,FALSE)</f>
        <v>30</v>
      </c>
      <c r="D144" s="27">
        <f>+SUMIFS(PROVEEDORES[Total],PROVEEDORES[PROVEEDOR],PROVEEDORES[[#This Row],[PROVEEDOR]],PROVEEDORES[FECHA DE PAGO],"")</f>
        <v>18000</v>
      </c>
      <c r="E144" s="27"/>
      <c r="F144" s="62" t="str">
        <f>+VLOOKUP(PROVEEDORES[[#This Row],[PROVEEDOR]],
                       Terceros!$A:$G,
                       6,
                       FALSE)</f>
        <v/>
      </c>
      <c r="G144" s="95">
        <v>44348</v>
      </c>
      <c r="H144" s="28" t="s">
        <v>1054</v>
      </c>
      <c r="I144" s="95">
        <v>44230</v>
      </c>
      <c r="J144" s="38">
        <v>4689</v>
      </c>
      <c r="K144" s="23">
        <v>390000</v>
      </c>
      <c r="L144" s="23"/>
      <c r="M144" s="24">
        <v>0</v>
      </c>
      <c r="N144" s="25"/>
      <c r="O144" s="24">
        <v>0</v>
      </c>
      <c r="P144" s="136">
        <f>+IF(PROVEEDORES[[#This Row],[SUBTOTAL]]&lt;PROVEEDORES[[#This Row],[base retencion]],0,PROVEEDORES[[#This Row],[retención aplicada]])</f>
        <v>0</v>
      </c>
      <c r="Q144" s="24">
        <f>+PROVEEDORES[[#This Row],[Rete Fuente %]]*PROVEEDORES[[#This Row],[SUBTOTAL]]</f>
        <v>0</v>
      </c>
      <c r="R144" s="23">
        <v>390000</v>
      </c>
      <c r="S14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" s="99">
        <f ca="1">IF(PROVEEDORES[[#This Row],[FECHA DE PAGO]]=0,TODAY()-PROVEEDORES[[#This Row],[FECHA DE FACTURACIÓN]]-PROVEEDORES[[#This Row],[PLAZO Días]],0)</f>
        <v>0</v>
      </c>
      <c r="U144" s="149">
        <f>+VLOOKUP(PROVEEDORES[[#This Row],[PROVEEDOR]],Terceros!$A:$E,5,FALSE)</f>
        <v>0</v>
      </c>
      <c r="V144" s="150">
        <f>+YEAR(PROVEEDORES[[#This Row],[FECHA DE FACTURACIÓN]])</f>
        <v>2021</v>
      </c>
      <c r="W144" s="150">
        <f>+MATCH(PROVEEDORES[[#This Row],[año facturado]],Retenciones!$1:$1,0)</f>
        <v>4</v>
      </c>
      <c r="X144" s="151">
        <f>+VLOOKUP(PROVEEDORES[[#This Row],[ID RETENCION]],Retenciones!$A$1:$O$24,PROVEEDORES[[#This Row],[indicador de columna]],FALSE)</f>
        <v>0</v>
      </c>
      <c r="Y144" s="152">
        <f>+VLOOKUP(PROVEEDORES[[#This Row],[ID RETENCION]],Retenciones!$A$1:$O$24,2,FALSE)</f>
        <v>0</v>
      </c>
      <c r="Z144" s="26"/>
      <c r="AA144" s="26"/>
      <c r="AB144" s="26"/>
      <c r="AC144" s="26"/>
      <c r="AD144" s="26"/>
      <c r="AE144" s="26"/>
    </row>
    <row r="145" spans="1:31" ht="21.95" customHeight="1" x14ac:dyDescent="0.25">
      <c r="A145" s="97" t="str">
        <f>+IF(PROVEEDORES[[#This Row],[FECHA DE PAGO]]=PROVEEDORES[[#This Row],[FECHA DE FACTURACIÓN]],"DE CONTADO","CRÉDITO")</f>
        <v>CRÉDITO</v>
      </c>
      <c r="B145" s="41" t="str">
        <f>+IF((PROVEEDORES[[#This Row],[FECHA DE PAGO]]-PROVEEDORES[[#This Row],[FECHA DE FACTURACIÓN]])&gt;PROVEEDORES[[#This Row],[PLAZO Días]],"PAGO VENCIDO")</f>
        <v>PAGO VENCIDO</v>
      </c>
      <c r="C145" s="22">
        <f>+VLOOKUP(PROVEEDORES[[#This Row],[PROVEEDOR]],TERCEROS_INFO[#All],2,FALSE)</f>
        <v>30</v>
      </c>
      <c r="D145" s="27">
        <f>+SUMIFS(PROVEEDORES[Total],PROVEEDORES[PROVEEDOR],PROVEEDORES[[#This Row],[PROVEEDOR]],PROVEEDORES[FECHA DE PAGO],"")</f>
        <v>144400</v>
      </c>
      <c r="E145" s="27"/>
      <c r="F145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145" s="95">
        <v>44264</v>
      </c>
      <c r="H145" s="28" t="s">
        <v>1071</v>
      </c>
      <c r="I145" s="95">
        <v>44230</v>
      </c>
      <c r="J145" s="38">
        <v>2610</v>
      </c>
      <c r="K145" s="23">
        <v>483550</v>
      </c>
      <c r="L145" s="23"/>
      <c r="M145" s="24">
        <v>0</v>
      </c>
      <c r="N145" s="25"/>
      <c r="O145" s="24">
        <v>0</v>
      </c>
      <c r="P145" s="136">
        <f>+IF(PROVEEDORES[[#This Row],[SUBTOTAL]]&lt;PROVEEDORES[[#This Row],[base retencion]],0,PROVEEDORES[[#This Row],[retención aplicada]])</f>
        <v>0</v>
      </c>
      <c r="Q145" s="24">
        <f>+PROVEEDORES[[#This Row],[Rete Fuente %]]*PROVEEDORES[[#This Row],[SUBTOTAL]]</f>
        <v>0</v>
      </c>
      <c r="R145" s="23">
        <v>483550</v>
      </c>
      <c r="S14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" s="99">
        <f ca="1">IF(PROVEEDORES[[#This Row],[FECHA DE PAGO]]=0,TODAY()-PROVEEDORES[[#This Row],[FECHA DE FACTURACIÓN]]-PROVEEDORES[[#This Row],[PLAZO Días]],0)</f>
        <v>0</v>
      </c>
      <c r="U145" s="149">
        <f>+VLOOKUP(PROVEEDORES[[#This Row],[PROVEEDOR]],Terceros!$A:$E,5,FALSE)</f>
        <v>0</v>
      </c>
      <c r="V145" s="150">
        <f>+YEAR(PROVEEDORES[[#This Row],[FECHA DE FACTURACIÓN]])</f>
        <v>2021</v>
      </c>
      <c r="W145" s="150">
        <f>+MATCH(PROVEEDORES[[#This Row],[año facturado]],Retenciones!$1:$1,0)</f>
        <v>4</v>
      </c>
      <c r="X145" s="151">
        <f>+VLOOKUP(PROVEEDORES[[#This Row],[ID RETENCION]],Retenciones!$A$1:$O$24,PROVEEDORES[[#This Row],[indicador de columna]],FALSE)</f>
        <v>0</v>
      </c>
      <c r="Y145" s="152">
        <f>+VLOOKUP(PROVEEDORES[[#This Row],[ID RETENCION]],Retenciones!$A$1:$O$24,2,FALSE)</f>
        <v>0</v>
      </c>
      <c r="Z145" s="26"/>
      <c r="AA145" s="26"/>
      <c r="AB145" s="26"/>
      <c r="AC145" s="26"/>
      <c r="AD145" s="26"/>
      <c r="AE145" s="26"/>
    </row>
    <row r="146" spans="1:31" ht="21.95" customHeight="1" x14ac:dyDescent="0.25">
      <c r="A146" s="97" t="str">
        <f>+IF(PROVEEDORES[[#This Row],[FECHA DE PAGO]]=PROVEEDORES[[#This Row],[FECHA DE FACTURACIÓN]],"DE CONTADO","CRÉDITO")</f>
        <v>CRÉDITO</v>
      </c>
      <c r="B146" s="41" t="str">
        <f>+IF((PROVEEDORES[[#This Row],[FECHA DE PAGO]]-PROVEEDORES[[#This Row],[FECHA DE FACTURACIÓN]])&gt;PROVEEDORES[[#This Row],[PLAZO Días]],"PAGO VENCIDO")</f>
        <v>PAGO VENCIDO</v>
      </c>
      <c r="C146" s="22">
        <f>+VLOOKUP(PROVEEDORES[[#This Row],[PROVEEDOR]],TERCEROS_INFO[#All],2,FALSE)</f>
        <v>30</v>
      </c>
      <c r="D146" s="27">
        <f>+SUMIFS(PROVEEDORES[Total],PROVEEDORES[PROVEEDOR],PROVEEDORES[[#This Row],[PROVEEDOR]],PROVEEDORES[FECHA DE PAGO],"")</f>
        <v>144400</v>
      </c>
      <c r="E146" s="27"/>
      <c r="F146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146" s="95">
        <v>44264</v>
      </c>
      <c r="H146" s="28" t="s">
        <v>1071</v>
      </c>
      <c r="I146" s="95">
        <v>44230</v>
      </c>
      <c r="J146" s="38">
        <v>2609</v>
      </c>
      <c r="K146" s="23">
        <v>849850</v>
      </c>
      <c r="L146" s="23"/>
      <c r="M146" s="24">
        <v>0</v>
      </c>
      <c r="N146" s="25"/>
      <c r="O146" s="24">
        <v>0</v>
      </c>
      <c r="P146" s="136">
        <f>+IF(PROVEEDORES[[#This Row],[SUBTOTAL]]&lt;PROVEEDORES[[#This Row],[base retencion]],0,PROVEEDORES[[#This Row],[retención aplicada]])</f>
        <v>0</v>
      </c>
      <c r="Q146" s="24">
        <f>+PROVEEDORES[[#This Row],[Rete Fuente %]]*PROVEEDORES[[#This Row],[SUBTOTAL]]</f>
        <v>0</v>
      </c>
      <c r="R146" s="23">
        <v>849850</v>
      </c>
      <c r="S14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" s="99">
        <f ca="1">IF(PROVEEDORES[[#This Row],[FECHA DE PAGO]]=0,TODAY()-PROVEEDORES[[#This Row],[FECHA DE FACTURACIÓN]]-PROVEEDORES[[#This Row],[PLAZO Días]],0)</f>
        <v>0</v>
      </c>
      <c r="U146" s="149">
        <f>+VLOOKUP(PROVEEDORES[[#This Row],[PROVEEDOR]],Terceros!$A:$E,5,FALSE)</f>
        <v>0</v>
      </c>
      <c r="V146" s="150">
        <f>+YEAR(PROVEEDORES[[#This Row],[FECHA DE FACTURACIÓN]])</f>
        <v>2021</v>
      </c>
      <c r="W146" s="150">
        <f>+MATCH(PROVEEDORES[[#This Row],[año facturado]],Retenciones!$1:$1,0)</f>
        <v>4</v>
      </c>
      <c r="X146" s="151">
        <f>+VLOOKUP(PROVEEDORES[[#This Row],[ID RETENCION]],Retenciones!$A$1:$O$24,PROVEEDORES[[#This Row],[indicador de columna]],FALSE)</f>
        <v>0</v>
      </c>
      <c r="Y146" s="152">
        <f>+VLOOKUP(PROVEEDORES[[#This Row],[ID RETENCION]],Retenciones!$A$1:$O$24,2,FALSE)</f>
        <v>0</v>
      </c>
      <c r="Z146" s="26"/>
      <c r="AA146" s="26"/>
      <c r="AB146" s="26"/>
      <c r="AC146" s="26"/>
      <c r="AD146" s="26"/>
      <c r="AE146" s="26"/>
    </row>
    <row r="147" spans="1:31" ht="21.95" customHeight="1" x14ac:dyDescent="0.25">
      <c r="A147" s="97" t="str">
        <f>+IF(PROVEEDORES[[#This Row],[FECHA DE PAGO]]=PROVEEDORES[[#This Row],[FECHA DE FACTURACIÓN]],"DE CONTADO","CRÉDITO")</f>
        <v>DE CONTADO</v>
      </c>
      <c r="B147" s="41" t="b">
        <f>+IF((PROVEEDORES[[#This Row],[FECHA DE PAGO]]-PROVEEDORES[[#This Row],[FECHA DE FACTURACIÓN]])&gt;PROVEEDORES[[#This Row],[PLAZO Días]],"PAGO VENCIDO")</f>
        <v>0</v>
      </c>
      <c r="C147" s="22">
        <f>+VLOOKUP(PROVEEDORES[[#This Row],[PROVEEDOR]],TERCEROS_INFO[#All],2,FALSE)</f>
        <v>30</v>
      </c>
      <c r="D147" s="27">
        <f>+SUMIFS(PROVEEDORES[Total],PROVEEDORES[PROVEEDOR],PROVEEDORES[[#This Row],[PROVEEDOR]],PROVEEDORES[FECHA DE PAGO],"")</f>
        <v>0</v>
      </c>
      <c r="E147" s="27"/>
      <c r="F147" s="62" t="str">
        <f>+VLOOKUP(PROVEEDORES[[#This Row],[PROVEEDOR]],
                       Terceros!$A:$G,
                       6,
                       FALSE)</f>
        <v/>
      </c>
      <c r="G147" s="95">
        <v>44230</v>
      </c>
      <c r="H147" s="28" t="s">
        <v>1046</v>
      </c>
      <c r="I147" s="95">
        <v>44230</v>
      </c>
      <c r="J147" s="38"/>
      <c r="K147" s="23">
        <v>2000000</v>
      </c>
      <c r="L147" s="23"/>
      <c r="M147" s="24">
        <v>0</v>
      </c>
      <c r="N147" s="25"/>
      <c r="O147" s="24">
        <v>0</v>
      </c>
      <c r="P147" s="136">
        <f>+IF(PROVEEDORES[[#This Row],[SUBTOTAL]]&lt;PROVEEDORES[[#This Row],[base retencion]],0,PROVEEDORES[[#This Row],[retención aplicada]])</f>
        <v>0</v>
      </c>
      <c r="Q147" s="24">
        <f>+PROVEEDORES[[#This Row],[Rete Fuente %]]*PROVEEDORES[[#This Row],[SUBTOTAL]]</f>
        <v>0</v>
      </c>
      <c r="R147" s="23">
        <v>2000000</v>
      </c>
      <c r="S14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" s="99">
        <f ca="1">IF(PROVEEDORES[[#This Row],[FECHA DE PAGO]]=0,TODAY()-PROVEEDORES[[#This Row],[FECHA DE FACTURACIÓN]]-PROVEEDORES[[#This Row],[PLAZO Días]],0)</f>
        <v>0</v>
      </c>
      <c r="U147" s="149">
        <f>+VLOOKUP(PROVEEDORES[[#This Row],[PROVEEDOR]],Terceros!$A:$E,5,FALSE)</f>
        <v>0</v>
      </c>
      <c r="V147" s="150">
        <f>+YEAR(PROVEEDORES[[#This Row],[FECHA DE FACTURACIÓN]])</f>
        <v>2021</v>
      </c>
      <c r="W147" s="150">
        <f>+MATCH(PROVEEDORES[[#This Row],[año facturado]],Retenciones!$1:$1,0)</f>
        <v>4</v>
      </c>
      <c r="X147" s="151">
        <f>+VLOOKUP(PROVEEDORES[[#This Row],[ID RETENCION]],Retenciones!$A$1:$O$24,PROVEEDORES[[#This Row],[indicador de columna]],FALSE)</f>
        <v>0</v>
      </c>
      <c r="Y147" s="152">
        <f>+VLOOKUP(PROVEEDORES[[#This Row],[ID RETENCION]],Retenciones!$A$1:$O$24,2,FALSE)</f>
        <v>0</v>
      </c>
      <c r="Z147" s="26"/>
      <c r="AA147" s="26"/>
      <c r="AB147" s="26"/>
      <c r="AC147" s="26"/>
      <c r="AD147" s="26"/>
      <c r="AE147" s="26"/>
    </row>
    <row r="148" spans="1:31" ht="21.95" customHeight="1" x14ac:dyDescent="0.25">
      <c r="A148" s="97" t="str">
        <f>+IF(PROVEEDORES[[#This Row],[FECHA DE PAGO]]=PROVEEDORES[[#This Row],[FECHA DE FACTURACIÓN]],"DE CONTADO","CRÉDITO")</f>
        <v>DE CONTADO</v>
      </c>
      <c r="B148" s="41" t="b">
        <f>+IF((PROVEEDORES[[#This Row],[FECHA DE PAGO]]-PROVEEDORES[[#This Row],[FECHA DE FACTURACIÓN]])&gt;PROVEEDORES[[#This Row],[PLAZO Días]],"PAGO VENCIDO")</f>
        <v>0</v>
      </c>
      <c r="C148" s="22">
        <f>+VLOOKUP(PROVEEDORES[[#This Row],[PROVEEDOR]],TERCEROS_INFO[#All],2,FALSE)</f>
        <v>30</v>
      </c>
      <c r="D148" s="27">
        <f>+SUMIFS(PROVEEDORES[Total],PROVEEDORES[PROVEEDOR],PROVEEDORES[[#This Row],[PROVEEDOR]],PROVEEDORES[FECHA DE PAGO],"")</f>
        <v>0</v>
      </c>
      <c r="E148" s="27"/>
      <c r="F148" s="62" t="str">
        <f>+VLOOKUP(PROVEEDORES[[#This Row],[PROVEEDOR]],
                       Terceros!$A:$G,
                       6,
                       FALSE)</f>
        <v/>
      </c>
      <c r="G148" s="95">
        <v>44232</v>
      </c>
      <c r="H148" s="28" t="s">
        <v>1031</v>
      </c>
      <c r="I148" s="95">
        <v>44232</v>
      </c>
      <c r="J148" s="38" t="s">
        <v>676</v>
      </c>
      <c r="K148" s="23">
        <v>1192000</v>
      </c>
      <c r="L148" s="23"/>
      <c r="M148" s="24">
        <v>0</v>
      </c>
      <c r="N148" s="25"/>
      <c r="O148" s="24">
        <v>0</v>
      </c>
      <c r="P148" s="136">
        <f>+IF(PROVEEDORES[[#This Row],[SUBTOTAL]]&lt;PROVEEDORES[[#This Row],[base retencion]],0,PROVEEDORES[[#This Row],[retención aplicada]])</f>
        <v>0</v>
      </c>
      <c r="Q148" s="24">
        <f>+PROVEEDORES[[#This Row],[Rete Fuente %]]*PROVEEDORES[[#This Row],[SUBTOTAL]]</f>
        <v>0</v>
      </c>
      <c r="R148" s="23">
        <v>1192000</v>
      </c>
      <c r="S14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" s="99">
        <f ca="1">IF(PROVEEDORES[[#This Row],[FECHA DE PAGO]]=0,TODAY()-PROVEEDORES[[#This Row],[FECHA DE FACTURACIÓN]]-PROVEEDORES[[#This Row],[PLAZO Días]],0)</f>
        <v>0</v>
      </c>
      <c r="U148" s="149">
        <f>+VLOOKUP(PROVEEDORES[[#This Row],[PROVEEDOR]],Terceros!$A:$E,5,FALSE)</f>
        <v>0</v>
      </c>
      <c r="V148" s="150">
        <f>+YEAR(PROVEEDORES[[#This Row],[FECHA DE FACTURACIÓN]])</f>
        <v>2021</v>
      </c>
      <c r="W148" s="150">
        <f>+MATCH(PROVEEDORES[[#This Row],[año facturado]],Retenciones!$1:$1,0)</f>
        <v>4</v>
      </c>
      <c r="X148" s="151">
        <f>+VLOOKUP(PROVEEDORES[[#This Row],[ID RETENCION]],Retenciones!$A$1:$O$24,PROVEEDORES[[#This Row],[indicador de columna]],FALSE)</f>
        <v>0</v>
      </c>
      <c r="Y148" s="152">
        <f>+VLOOKUP(PROVEEDORES[[#This Row],[ID RETENCION]],Retenciones!$A$1:$O$24,2,FALSE)</f>
        <v>0</v>
      </c>
      <c r="Z148" s="26"/>
      <c r="AA148" s="26"/>
      <c r="AB148" s="26"/>
      <c r="AC148" s="26"/>
      <c r="AD148" s="26"/>
      <c r="AE148" s="26"/>
    </row>
    <row r="149" spans="1:31" ht="21.95" customHeight="1" x14ac:dyDescent="0.25">
      <c r="A149" s="97" t="str">
        <f>+IF(PROVEEDORES[[#This Row],[FECHA DE PAGO]]=PROVEEDORES[[#This Row],[FECHA DE FACTURACIÓN]],"DE CONTADO","CRÉDITO")</f>
        <v>DE CONTADO</v>
      </c>
      <c r="B149" s="41" t="b">
        <f>+IF((PROVEEDORES[[#This Row],[FECHA DE PAGO]]-PROVEEDORES[[#This Row],[FECHA DE FACTURACIÓN]])&gt;PROVEEDORES[[#This Row],[PLAZO Días]],"PAGO VENCIDO")</f>
        <v>0</v>
      </c>
      <c r="C149" s="22">
        <f>+VLOOKUP(PROVEEDORES[[#This Row],[PROVEEDOR]],TERCEROS_INFO[#All],2,FALSE)</f>
        <v>30</v>
      </c>
      <c r="D149" s="27">
        <f>+SUMIFS(PROVEEDORES[Total],PROVEEDORES[PROVEEDOR],PROVEEDORES[[#This Row],[PROVEEDOR]],PROVEEDORES[FECHA DE PAGO],"")</f>
        <v>0</v>
      </c>
      <c r="E149" s="27"/>
      <c r="F149" s="62" t="str">
        <f>+VLOOKUP(PROVEEDORES[[#This Row],[PROVEEDOR]],
                       Terceros!$A:$G,
                       6,
                       FALSE)</f>
        <v/>
      </c>
      <c r="G149" s="95">
        <v>44233</v>
      </c>
      <c r="H149" s="28" t="s">
        <v>997</v>
      </c>
      <c r="I149" s="95">
        <v>44233</v>
      </c>
      <c r="J149" s="38"/>
      <c r="K149" s="23">
        <v>880000</v>
      </c>
      <c r="L149" s="23"/>
      <c r="M149" s="24">
        <v>0</v>
      </c>
      <c r="N149" s="25"/>
      <c r="O149" s="24">
        <v>0</v>
      </c>
      <c r="P149" s="136">
        <f>+IF(PROVEEDORES[[#This Row],[SUBTOTAL]]&lt;PROVEEDORES[[#This Row],[base retencion]],0,PROVEEDORES[[#This Row],[retención aplicada]])</f>
        <v>0</v>
      </c>
      <c r="Q149" s="24">
        <f>+PROVEEDORES[[#This Row],[Rete Fuente %]]*PROVEEDORES[[#This Row],[SUBTOTAL]]</f>
        <v>0</v>
      </c>
      <c r="R149" s="23">
        <v>0</v>
      </c>
      <c r="S14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" s="99">
        <f ca="1">IF(PROVEEDORES[[#This Row],[FECHA DE PAGO]]=0,TODAY()-PROVEEDORES[[#This Row],[FECHA DE FACTURACIÓN]]-PROVEEDORES[[#This Row],[PLAZO Días]],0)</f>
        <v>0</v>
      </c>
      <c r="U149" s="149">
        <f>+VLOOKUP(PROVEEDORES[[#This Row],[PROVEEDOR]],Terceros!$A:$E,5,FALSE)</f>
        <v>0</v>
      </c>
      <c r="V149" s="150">
        <f>+YEAR(PROVEEDORES[[#This Row],[FECHA DE FACTURACIÓN]])</f>
        <v>2021</v>
      </c>
      <c r="W149" s="150">
        <f>+MATCH(PROVEEDORES[[#This Row],[año facturado]],Retenciones!$1:$1,0)</f>
        <v>4</v>
      </c>
      <c r="X149" s="151">
        <f>+VLOOKUP(PROVEEDORES[[#This Row],[ID RETENCION]],Retenciones!$A$1:$O$24,PROVEEDORES[[#This Row],[indicador de columna]],FALSE)</f>
        <v>0</v>
      </c>
      <c r="Y149" s="152">
        <f>+VLOOKUP(PROVEEDORES[[#This Row],[ID RETENCION]],Retenciones!$A$1:$O$24,2,FALSE)</f>
        <v>0</v>
      </c>
      <c r="Z149" s="26"/>
      <c r="AA149" s="26"/>
      <c r="AB149" s="26"/>
      <c r="AC149" s="26"/>
      <c r="AD149" s="26"/>
      <c r="AE149" s="26"/>
    </row>
    <row r="150" spans="1:31" ht="21.95" customHeight="1" x14ac:dyDescent="0.25">
      <c r="A150" s="97" t="str">
        <f>+IF(PROVEEDORES[[#This Row],[FECHA DE PAGO]]=PROVEEDORES[[#This Row],[FECHA DE FACTURACIÓN]],"DE CONTADO","CRÉDITO")</f>
        <v>CRÉDITO</v>
      </c>
      <c r="B150" s="41" t="str">
        <f>+IF((PROVEEDORES[[#This Row],[FECHA DE PAGO]]-PROVEEDORES[[#This Row],[FECHA DE FACTURACIÓN]])&gt;PROVEEDORES[[#This Row],[PLAZO Días]],"PAGO VENCIDO")</f>
        <v>PAGO VENCIDO</v>
      </c>
      <c r="C150" s="22">
        <f>+VLOOKUP(PROVEEDORES[[#This Row],[PROVEEDOR]],TERCEROS_INFO[#All],2,FALSE)</f>
        <v>30</v>
      </c>
      <c r="D150" s="27">
        <f>+SUMIFS(PROVEEDORES[Total],PROVEEDORES[PROVEEDOR],PROVEEDORES[[#This Row],[PROVEEDOR]],PROVEEDORES[FECHA DE PAGO],"")</f>
        <v>0</v>
      </c>
      <c r="E150" s="27"/>
      <c r="F150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150" s="95">
        <v>44271</v>
      </c>
      <c r="H150" s="28" t="s">
        <v>24</v>
      </c>
      <c r="I150" s="95">
        <v>44233</v>
      </c>
      <c r="J150" s="38" t="s">
        <v>190</v>
      </c>
      <c r="K150" s="23">
        <v>1542573</v>
      </c>
      <c r="L150" s="23"/>
      <c r="M150" s="24">
        <v>293088.87</v>
      </c>
      <c r="N150" s="25"/>
      <c r="O150" s="24">
        <v>0</v>
      </c>
      <c r="P150" s="136">
        <f>+IF(PROVEEDORES[[#This Row],[SUBTOTAL]]&lt;PROVEEDORES[[#This Row],[base retencion]],0,PROVEEDORES[[#This Row],[retención aplicada]])</f>
        <v>2.5000000000000001E-2</v>
      </c>
      <c r="Q150" s="24">
        <f>+PROVEEDORES[[#This Row],[Rete Fuente %]]*PROVEEDORES[[#This Row],[SUBTOTAL]]</f>
        <v>38564.325000000004</v>
      </c>
      <c r="R150" s="23">
        <v>1797097.5450000002</v>
      </c>
      <c r="S15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" s="99">
        <f ca="1">IF(PROVEEDORES[[#This Row],[FECHA DE PAGO]]=0,TODAY()-PROVEEDORES[[#This Row],[FECHA DE FACTURACIÓN]]-PROVEEDORES[[#This Row],[PLAZO Días]],0)</f>
        <v>0</v>
      </c>
      <c r="U150" s="149" t="str">
        <f>+VLOOKUP(PROVEEDORES[[#This Row],[PROVEEDOR]],Terceros!$A:$E,5,FALSE)</f>
        <v>2,5% con base</v>
      </c>
      <c r="V150" s="150">
        <f>+YEAR(PROVEEDORES[[#This Row],[FECHA DE FACTURACIÓN]])</f>
        <v>2021</v>
      </c>
      <c r="W150" s="150">
        <f>+MATCH(PROVEEDORES[[#This Row],[año facturado]],Retenciones!$1:$1,0)</f>
        <v>4</v>
      </c>
      <c r="X150" s="151">
        <f>+VLOOKUP(PROVEEDORES[[#This Row],[ID RETENCION]],Retenciones!$A$1:$O$24,PROVEEDORES[[#This Row],[indicador de columna]],FALSE)</f>
        <v>980000</v>
      </c>
      <c r="Y150" s="152">
        <f>+VLOOKUP(PROVEEDORES[[#This Row],[ID RETENCION]],Retenciones!$A$1:$O$24,2,FALSE)</f>
        <v>2.5000000000000001E-2</v>
      </c>
      <c r="Z150" s="26"/>
      <c r="AA150" s="26"/>
      <c r="AB150" s="26"/>
      <c r="AC150" s="26"/>
      <c r="AD150" s="26"/>
      <c r="AE150" s="26"/>
    </row>
    <row r="151" spans="1:31" ht="21.95" customHeight="1" x14ac:dyDescent="0.25">
      <c r="A151" s="97" t="str">
        <f>+IF(PROVEEDORES[[#This Row],[FECHA DE PAGO]]=PROVEEDORES[[#This Row],[FECHA DE FACTURACIÓN]],"DE CONTADO","CRÉDITO")</f>
        <v>CRÉDITO</v>
      </c>
      <c r="B151" s="41" t="str">
        <f>+IF((PROVEEDORES[[#This Row],[FECHA DE PAGO]]-PROVEEDORES[[#This Row],[FECHA DE FACTURACIÓN]])&gt;PROVEEDORES[[#This Row],[PLAZO Días]],"PAGO VENCIDO")</f>
        <v>PAGO VENCIDO</v>
      </c>
      <c r="C151" s="22">
        <f>+VLOOKUP(PROVEEDORES[[#This Row],[PROVEEDOR]],TERCEROS_INFO[#All],2,FALSE)</f>
        <v>30</v>
      </c>
      <c r="D151" s="27">
        <f>+SUMIFS(PROVEEDORES[Total],PROVEEDORES[PROVEEDOR],PROVEEDORES[[#This Row],[PROVEEDOR]],PROVEEDORES[FECHA DE PAGO],"")</f>
        <v>144400</v>
      </c>
      <c r="E151" s="27"/>
      <c r="F151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151" s="95">
        <v>44264</v>
      </c>
      <c r="H151" s="28" t="s">
        <v>1071</v>
      </c>
      <c r="I151" s="95">
        <v>44233</v>
      </c>
      <c r="J151" s="38">
        <v>2617</v>
      </c>
      <c r="K151" s="23">
        <v>2217650</v>
      </c>
      <c r="L151" s="23"/>
      <c r="M151" s="24">
        <v>0</v>
      </c>
      <c r="N151" s="25"/>
      <c r="O151" s="24">
        <v>0</v>
      </c>
      <c r="P151" s="136">
        <f>+IF(PROVEEDORES[[#This Row],[SUBTOTAL]]&lt;PROVEEDORES[[#This Row],[base retencion]],0,PROVEEDORES[[#This Row],[retención aplicada]])</f>
        <v>0</v>
      </c>
      <c r="Q151" s="24">
        <f>+PROVEEDORES[[#This Row],[Rete Fuente %]]*PROVEEDORES[[#This Row],[SUBTOTAL]]</f>
        <v>0</v>
      </c>
      <c r="R151" s="23">
        <v>2217650</v>
      </c>
      <c r="S15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" s="99">
        <f ca="1">IF(PROVEEDORES[[#This Row],[FECHA DE PAGO]]=0,TODAY()-PROVEEDORES[[#This Row],[FECHA DE FACTURACIÓN]]-PROVEEDORES[[#This Row],[PLAZO Días]],0)</f>
        <v>0</v>
      </c>
      <c r="U151" s="149">
        <f>+VLOOKUP(PROVEEDORES[[#This Row],[PROVEEDOR]],Terceros!$A:$E,5,FALSE)</f>
        <v>0</v>
      </c>
      <c r="V151" s="150">
        <f>+YEAR(PROVEEDORES[[#This Row],[FECHA DE FACTURACIÓN]])</f>
        <v>2021</v>
      </c>
      <c r="W151" s="150">
        <f>+MATCH(PROVEEDORES[[#This Row],[año facturado]],Retenciones!$1:$1,0)</f>
        <v>4</v>
      </c>
      <c r="X151" s="151">
        <f>+VLOOKUP(PROVEEDORES[[#This Row],[ID RETENCION]],Retenciones!$A$1:$O$24,PROVEEDORES[[#This Row],[indicador de columna]],FALSE)</f>
        <v>0</v>
      </c>
      <c r="Y151" s="152">
        <f>+VLOOKUP(PROVEEDORES[[#This Row],[ID RETENCION]],Retenciones!$A$1:$O$24,2,FALSE)</f>
        <v>0</v>
      </c>
      <c r="Z151" s="26"/>
      <c r="AA151" s="26"/>
      <c r="AB151" s="26"/>
      <c r="AC151" s="26"/>
      <c r="AD151" s="26"/>
      <c r="AE151" s="26"/>
    </row>
    <row r="152" spans="1:31" ht="21.95" customHeight="1" x14ac:dyDescent="0.25">
      <c r="A152" s="97" t="str">
        <f>+IF(PROVEEDORES[[#This Row],[FECHA DE PAGO]]=PROVEEDORES[[#This Row],[FECHA DE FACTURACIÓN]],"DE CONTADO","CRÉDITO")</f>
        <v>CRÉDITO</v>
      </c>
      <c r="B152" s="41" t="str">
        <f>+IF((PROVEEDORES[[#This Row],[FECHA DE PAGO]]-PROVEEDORES[[#This Row],[FECHA DE FACTURACIÓN]])&gt;PROVEEDORES[[#This Row],[PLAZO Días]],"PAGO VENCIDO")</f>
        <v>PAGO VENCIDO</v>
      </c>
      <c r="C152" s="22">
        <f>+VLOOKUP(PROVEEDORES[[#This Row],[PROVEEDOR]],TERCEROS_INFO[#All],2,FALSE)</f>
        <v>30</v>
      </c>
      <c r="D152" s="27">
        <f>+SUMIFS(PROVEEDORES[Total],PROVEEDORES[PROVEEDOR],PROVEEDORES[[#This Row],[PROVEEDOR]],PROVEEDORES[FECHA DE PAGO],"")</f>
        <v>2588352.5</v>
      </c>
      <c r="E152" s="27"/>
      <c r="F152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152" s="95">
        <v>44307</v>
      </c>
      <c r="H152" s="28" t="s">
        <v>1088</v>
      </c>
      <c r="I152" s="95">
        <v>44234</v>
      </c>
      <c r="J152" s="38">
        <v>19824</v>
      </c>
      <c r="K152" s="23">
        <v>1900000</v>
      </c>
      <c r="L152" s="23"/>
      <c r="M152" s="24">
        <v>361000</v>
      </c>
      <c r="N152" s="25"/>
      <c r="O152" s="24">
        <v>0</v>
      </c>
      <c r="P152" s="136">
        <f>+IF(PROVEEDORES[[#This Row],[SUBTOTAL]]&lt;PROVEEDORES[[#This Row],[base retencion]],0,PROVEEDORES[[#This Row],[retención aplicada]])</f>
        <v>2.5000000000000001E-2</v>
      </c>
      <c r="Q152" s="24">
        <f>+PROVEEDORES[[#This Row],[Rete Fuente %]]*PROVEEDORES[[#This Row],[SUBTOTAL]]</f>
        <v>47500</v>
      </c>
      <c r="R152" s="23">
        <v>2213500</v>
      </c>
      <c r="S15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" s="99">
        <f ca="1">IF(PROVEEDORES[[#This Row],[FECHA DE PAGO]]=0,TODAY()-PROVEEDORES[[#This Row],[FECHA DE FACTURACIÓN]]-PROVEEDORES[[#This Row],[PLAZO Días]],0)</f>
        <v>0</v>
      </c>
      <c r="U152" s="149" t="str">
        <f>+VLOOKUP(PROVEEDORES[[#This Row],[PROVEEDOR]],Terceros!$A:$E,5,FALSE)</f>
        <v>2,5% con base</v>
      </c>
      <c r="V152" s="150">
        <f>+YEAR(PROVEEDORES[[#This Row],[FECHA DE FACTURACIÓN]])</f>
        <v>2021</v>
      </c>
      <c r="W152" s="150">
        <f>+MATCH(PROVEEDORES[[#This Row],[año facturado]],Retenciones!$1:$1,0)</f>
        <v>4</v>
      </c>
      <c r="X152" s="151">
        <f>+VLOOKUP(PROVEEDORES[[#This Row],[ID RETENCION]],Retenciones!$A$1:$O$24,PROVEEDORES[[#This Row],[indicador de columna]],FALSE)</f>
        <v>980000</v>
      </c>
      <c r="Y152" s="152">
        <f>+VLOOKUP(PROVEEDORES[[#This Row],[ID RETENCION]],Retenciones!$A$1:$O$24,2,FALSE)</f>
        <v>2.5000000000000001E-2</v>
      </c>
      <c r="Z152" s="26"/>
      <c r="AA152" s="26"/>
      <c r="AB152" s="26"/>
      <c r="AC152" s="26"/>
      <c r="AD152" s="26"/>
      <c r="AE152" s="26"/>
    </row>
    <row r="153" spans="1:31" ht="21.95" customHeight="1" x14ac:dyDescent="0.25">
      <c r="A153" s="97" t="str">
        <f>+IF(PROVEEDORES[[#This Row],[FECHA DE PAGO]]=PROVEEDORES[[#This Row],[FECHA DE FACTURACIÓN]],"DE CONTADO","CRÉDITO")</f>
        <v>CRÉDITO</v>
      </c>
      <c r="B153" s="41" t="b">
        <f>+IF((PROVEEDORES[[#This Row],[FECHA DE PAGO]]-PROVEEDORES[[#This Row],[FECHA DE FACTURACIÓN]])&gt;PROVEEDORES[[#This Row],[PLAZO Días]],"PAGO VENCIDO")</f>
        <v>0</v>
      </c>
      <c r="C153" s="22">
        <f>+VLOOKUP(PROVEEDORES[[#This Row],[PROVEEDOR]],TERCEROS_INFO[#All],2,FALSE)</f>
        <v>30</v>
      </c>
      <c r="D153" s="27">
        <f>+SUMIFS(PROVEEDORES[Total],PROVEEDORES[PROVEEDOR],PROVEEDORES[[#This Row],[PROVEEDOR]],PROVEEDORES[FECHA DE PAGO],"")</f>
        <v>3844432.4999000002</v>
      </c>
      <c r="E153" s="27"/>
      <c r="F153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153" s="95">
        <v>44239</v>
      </c>
      <c r="H153" s="28" t="s">
        <v>18</v>
      </c>
      <c r="I153" s="95">
        <v>44235</v>
      </c>
      <c r="J153" s="38" t="s">
        <v>186</v>
      </c>
      <c r="K153" s="23">
        <v>-279600</v>
      </c>
      <c r="L153" s="23"/>
      <c r="M153" s="24">
        <v>-53124</v>
      </c>
      <c r="N153" s="25"/>
      <c r="O153" s="24">
        <v>0</v>
      </c>
      <c r="P153" s="136">
        <f>+IF(PROVEEDORES[[#This Row],[SUBTOTAL]]&lt;PROVEEDORES[[#This Row],[base retencion]],0,PROVEEDORES[[#This Row],[retención aplicada]])</f>
        <v>0</v>
      </c>
      <c r="Q153" s="24">
        <f>+PROVEEDORES[[#This Row],[Rete Fuente %]]*PROVEEDORES[[#This Row],[SUBTOTAL]]</f>
        <v>0</v>
      </c>
      <c r="R153" s="23">
        <v>-332724</v>
      </c>
      <c r="S15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" s="99">
        <f ca="1">IF(PROVEEDORES[[#This Row],[FECHA DE PAGO]]=0,TODAY()-PROVEEDORES[[#This Row],[FECHA DE FACTURACIÓN]]-PROVEEDORES[[#This Row],[PLAZO Días]],0)</f>
        <v>0</v>
      </c>
      <c r="U153" s="149" t="str">
        <f>+VLOOKUP(PROVEEDORES[[#This Row],[PROVEEDOR]],Terceros!$A:$E,5,FALSE)</f>
        <v>2,5% con base</v>
      </c>
      <c r="V153" s="150">
        <f>+YEAR(PROVEEDORES[[#This Row],[FECHA DE FACTURACIÓN]])</f>
        <v>2021</v>
      </c>
      <c r="W153" s="150">
        <f>+MATCH(PROVEEDORES[[#This Row],[año facturado]],Retenciones!$1:$1,0)</f>
        <v>4</v>
      </c>
      <c r="X153" s="151">
        <f>+VLOOKUP(PROVEEDORES[[#This Row],[ID RETENCION]],Retenciones!$A$1:$O$24,PROVEEDORES[[#This Row],[indicador de columna]],FALSE)</f>
        <v>980000</v>
      </c>
      <c r="Y153" s="152">
        <f>+VLOOKUP(PROVEEDORES[[#This Row],[ID RETENCION]],Retenciones!$A$1:$O$24,2,FALSE)</f>
        <v>2.5000000000000001E-2</v>
      </c>
      <c r="Z153" s="26"/>
      <c r="AA153" s="26"/>
      <c r="AB153" s="26"/>
      <c r="AC153" s="26"/>
      <c r="AD153" s="26"/>
      <c r="AE153" s="26"/>
    </row>
    <row r="154" spans="1:31" ht="21.95" customHeight="1" x14ac:dyDescent="0.25">
      <c r="A154" s="97" t="str">
        <f>+IF(PROVEEDORES[[#This Row],[FECHA DE PAGO]]=PROVEEDORES[[#This Row],[FECHA DE FACTURACIÓN]],"DE CONTADO","CRÉDITO")</f>
        <v>CRÉDITO</v>
      </c>
      <c r="B154" s="41" t="str">
        <f>+IF((PROVEEDORES[[#This Row],[FECHA DE PAGO]]-PROVEEDORES[[#This Row],[FECHA DE FACTURACIÓN]])&gt;PROVEEDORES[[#This Row],[PLAZO Días]],"PAGO VENCIDO")</f>
        <v>PAGO VENCIDO</v>
      </c>
      <c r="C154" s="22">
        <f>+VLOOKUP(PROVEEDORES[[#This Row],[PROVEEDOR]],TERCEROS_INFO[#All],2,FALSE)</f>
        <v>30</v>
      </c>
      <c r="D154" s="27">
        <f>+SUMIFS(PROVEEDORES[Total],PROVEEDORES[PROVEEDOR],PROVEEDORES[[#This Row],[PROVEEDOR]],PROVEEDORES[FECHA DE PAGO],"")</f>
        <v>144400</v>
      </c>
      <c r="E154" s="27"/>
      <c r="F154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154" s="95">
        <v>44341</v>
      </c>
      <c r="H154" s="28" t="s">
        <v>1071</v>
      </c>
      <c r="I154" s="95">
        <v>44235</v>
      </c>
      <c r="J154" s="38">
        <v>2618</v>
      </c>
      <c r="K154" s="23">
        <v>418000</v>
      </c>
      <c r="L154" s="23"/>
      <c r="M154" s="24">
        <v>0</v>
      </c>
      <c r="N154" s="25"/>
      <c r="O154" s="24">
        <v>0</v>
      </c>
      <c r="P154" s="136">
        <f>+IF(PROVEEDORES[[#This Row],[SUBTOTAL]]&lt;PROVEEDORES[[#This Row],[base retencion]],0,PROVEEDORES[[#This Row],[retención aplicada]])</f>
        <v>0</v>
      </c>
      <c r="Q154" s="24">
        <f>+PROVEEDORES[[#This Row],[Rete Fuente %]]*PROVEEDORES[[#This Row],[SUBTOTAL]]</f>
        <v>0</v>
      </c>
      <c r="R154" s="23">
        <v>418000</v>
      </c>
      <c r="S15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" s="99">
        <f ca="1">IF(PROVEEDORES[[#This Row],[FECHA DE PAGO]]=0,TODAY()-PROVEEDORES[[#This Row],[FECHA DE FACTURACIÓN]]-PROVEEDORES[[#This Row],[PLAZO Días]],0)</f>
        <v>0</v>
      </c>
      <c r="U154" s="149">
        <f>+VLOOKUP(PROVEEDORES[[#This Row],[PROVEEDOR]],Terceros!$A:$E,5,FALSE)</f>
        <v>0</v>
      </c>
      <c r="V154" s="150">
        <f>+YEAR(PROVEEDORES[[#This Row],[FECHA DE FACTURACIÓN]])</f>
        <v>2021</v>
      </c>
      <c r="W154" s="150">
        <f>+MATCH(PROVEEDORES[[#This Row],[año facturado]],Retenciones!$1:$1,0)</f>
        <v>4</v>
      </c>
      <c r="X154" s="151">
        <f>+VLOOKUP(PROVEEDORES[[#This Row],[ID RETENCION]],Retenciones!$A$1:$O$24,PROVEEDORES[[#This Row],[indicador de columna]],FALSE)</f>
        <v>0</v>
      </c>
      <c r="Y154" s="152">
        <f>+VLOOKUP(PROVEEDORES[[#This Row],[ID RETENCION]],Retenciones!$A$1:$O$24,2,FALSE)</f>
        <v>0</v>
      </c>
      <c r="Z154" s="26"/>
      <c r="AA154" s="26"/>
      <c r="AB154" s="26"/>
      <c r="AC154" s="26"/>
      <c r="AD154" s="26"/>
      <c r="AE154" s="26"/>
    </row>
    <row r="155" spans="1:31" ht="21.95" customHeight="1" x14ac:dyDescent="0.25">
      <c r="A155" s="97" t="str">
        <f>+IF(PROVEEDORES[[#This Row],[FECHA DE PAGO]]=PROVEEDORES[[#This Row],[FECHA DE FACTURACIÓN]],"DE CONTADO","CRÉDITO")</f>
        <v>CRÉDITO</v>
      </c>
      <c r="B155" s="41" t="str">
        <f>+IF((PROVEEDORES[[#This Row],[FECHA DE PAGO]]-PROVEEDORES[[#This Row],[FECHA DE FACTURACIÓN]])&gt;PROVEEDORES[[#This Row],[PLAZO Días]],"PAGO VENCIDO")</f>
        <v>PAGO VENCIDO</v>
      </c>
      <c r="C155" s="22">
        <f>+VLOOKUP(PROVEEDORES[[#This Row],[PROVEEDOR]],TERCEROS_INFO[#All],2,FALSE)</f>
        <v>30</v>
      </c>
      <c r="D155" s="27">
        <f>+SUMIFS(PROVEEDORES[Total],PROVEEDORES[PROVEEDOR],PROVEEDORES[[#This Row],[PROVEEDOR]],PROVEEDORES[FECHA DE PAGO],"")</f>
        <v>627113.34</v>
      </c>
      <c r="E155" s="27"/>
      <c r="F155" s="62" t="str">
        <f>+VLOOKUP(PROVEEDORES[[#This Row],[PROVEEDOR]],
                       Terceros!$A:$G,
                       6,
                       FALSE)</f>
        <v>ventas@ismartsas.com;girlesa.ruiz@servipilas.com;joriescobar64@gmail.com</v>
      </c>
      <c r="G155" s="95">
        <v>44298</v>
      </c>
      <c r="H155" s="28" t="s">
        <v>48</v>
      </c>
      <c r="I155" s="95">
        <v>44235</v>
      </c>
      <c r="J155" s="38">
        <v>25994</v>
      </c>
      <c r="K155" s="23">
        <v>484254</v>
      </c>
      <c r="L155" s="23"/>
      <c r="M155" s="24">
        <v>92008.26</v>
      </c>
      <c r="N155" s="25"/>
      <c r="O155" s="24">
        <v>0</v>
      </c>
      <c r="P155" s="136">
        <f>+IF(PROVEEDORES[[#This Row],[SUBTOTAL]]&lt;PROVEEDORES[[#This Row],[base retencion]],0,PROVEEDORES[[#This Row],[retención aplicada]])</f>
        <v>0</v>
      </c>
      <c r="Q155" s="24">
        <f>+PROVEEDORES[[#This Row],[Rete Fuente %]]*PROVEEDORES[[#This Row],[SUBTOTAL]]</f>
        <v>0</v>
      </c>
      <c r="R155" s="23">
        <v>576262.26</v>
      </c>
      <c r="S15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" s="99">
        <f ca="1">IF(PROVEEDORES[[#This Row],[FECHA DE PAGO]]=0,TODAY()-PROVEEDORES[[#This Row],[FECHA DE FACTURACIÓN]]-PROVEEDORES[[#This Row],[PLAZO Días]],0)</f>
        <v>0</v>
      </c>
      <c r="U155" s="149" t="str">
        <f>+VLOOKUP(PROVEEDORES[[#This Row],[PROVEEDOR]],Terceros!$A:$E,5,FALSE)</f>
        <v>2,5% con base</v>
      </c>
      <c r="V155" s="150">
        <f>+YEAR(PROVEEDORES[[#This Row],[FECHA DE FACTURACIÓN]])</f>
        <v>2021</v>
      </c>
      <c r="W155" s="150">
        <f>+MATCH(PROVEEDORES[[#This Row],[año facturado]],Retenciones!$1:$1,0)</f>
        <v>4</v>
      </c>
      <c r="X155" s="151">
        <f>+VLOOKUP(PROVEEDORES[[#This Row],[ID RETENCION]],Retenciones!$A$1:$O$24,PROVEEDORES[[#This Row],[indicador de columna]],FALSE)</f>
        <v>980000</v>
      </c>
      <c r="Y155" s="152">
        <f>+VLOOKUP(PROVEEDORES[[#This Row],[ID RETENCION]],Retenciones!$A$1:$O$24,2,FALSE)</f>
        <v>2.5000000000000001E-2</v>
      </c>
      <c r="Z155" s="26"/>
      <c r="AA155" s="26"/>
      <c r="AB155" s="26"/>
      <c r="AC155" s="26"/>
      <c r="AD155" s="26"/>
      <c r="AE155" s="26"/>
    </row>
    <row r="156" spans="1:31" ht="21.95" customHeight="1" x14ac:dyDescent="0.25">
      <c r="A156" s="97" t="str">
        <f>+IF(PROVEEDORES[[#This Row],[FECHA DE PAGO]]=PROVEEDORES[[#This Row],[FECHA DE FACTURACIÓN]],"DE CONTADO","CRÉDITO")</f>
        <v>CRÉDITO</v>
      </c>
      <c r="B156" s="41" t="str">
        <f>+IF((PROVEEDORES[[#This Row],[FECHA DE PAGO]]-PROVEEDORES[[#This Row],[FECHA DE FACTURACIÓN]])&gt;PROVEEDORES[[#This Row],[PLAZO Días]],"PAGO VENCIDO")</f>
        <v>PAGO VENCIDO</v>
      </c>
      <c r="C156" s="22">
        <f>+VLOOKUP(PROVEEDORES[[#This Row],[PROVEEDOR]],TERCEROS_INFO[#All],2,FALSE)</f>
        <v>45</v>
      </c>
      <c r="D156" s="27">
        <f>+SUMIFS(PROVEEDORES[Total],PROVEEDORES[PROVEEDOR],PROVEEDORES[[#This Row],[PROVEEDOR]],PROVEEDORES[FECHA DE PAGO],"")</f>
        <v>3412539.2</v>
      </c>
      <c r="E156" s="27"/>
      <c r="F156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156" s="95">
        <v>44319</v>
      </c>
      <c r="H156" s="28" t="s">
        <v>10</v>
      </c>
      <c r="I156" s="95">
        <v>44235</v>
      </c>
      <c r="J156" s="38" t="s">
        <v>187</v>
      </c>
      <c r="K156" s="23">
        <v>798000</v>
      </c>
      <c r="L156" s="23"/>
      <c r="M156" s="24">
        <v>151620</v>
      </c>
      <c r="N156" s="25"/>
      <c r="O156" s="24">
        <v>0</v>
      </c>
      <c r="P156" s="136">
        <f>+IF(PROVEEDORES[[#This Row],[SUBTOTAL]]&lt;PROVEEDORES[[#This Row],[base retencion]],0,PROVEEDORES[[#This Row],[retención aplicada]])</f>
        <v>0</v>
      </c>
      <c r="Q156" s="24">
        <f>+PROVEEDORES[[#This Row],[Rete Fuente %]]*PROVEEDORES[[#This Row],[SUBTOTAL]]</f>
        <v>0</v>
      </c>
      <c r="R156" s="23">
        <v>949620</v>
      </c>
      <c r="S15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" s="99">
        <f ca="1">IF(PROVEEDORES[[#This Row],[FECHA DE PAGO]]=0,TODAY()-PROVEEDORES[[#This Row],[FECHA DE FACTURACIÓN]]-PROVEEDORES[[#This Row],[PLAZO Días]],0)</f>
        <v>0</v>
      </c>
      <c r="U156" s="149">
        <f>+VLOOKUP(PROVEEDORES[[#This Row],[PROVEEDOR]],Terceros!$A:$E,5,FALSE)</f>
        <v>0</v>
      </c>
      <c r="V156" s="150">
        <f>+YEAR(PROVEEDORES[[#This Row],[FECHA DE FACTURACIÓN]])</f>
        <v>2021</v>
      </c>
      <c r="W156" s="150">
        <f>+MATCH(PROVEEDORES[[#This Row],[año facturado]],Retenciones!$1:$1,0)</f>
        <v>4</v>
      </c>
      <c r="X156" s="151">
        <f>+VLOOKUP(PROVEEDORES[[#This Row],[ID RETENCION]],Retenciones!$A$1:$O$24,PROVEEDORES[[#This Row],[indicador de columna]],FALSE)</f>
        <v>0</v>
      </c>
      <c r="Y156" s="152">
        <f>+VLOOKUP(PROVEEDORES[[#This Row],[ID RETENCION]],Retenciones!$A$1:$O$24,2,FALSE)</f>
        <v>0</v>
      </c>
      <c r="Z156" s="26"/>
      <c r="AA156" s="26"/>
      <c r="AB156" s="26"/>
      <c r="AC156" s="26"/>
      <c r="AD156" s="26"/>
      <c r="AE156" s="26"/>
    </row>
    <row r="157" spans="1:31" ht="21.95" customHeight="1" x14ac:dyDescent="0.25">
      <c r="A157" s="97" t="str">
        <f>+IF(PROVEEDORES[[#This Row],[FECHA DE PAGO]]=PROVEEDORES[[#This Row],[FECHA DE FACTURACIÓN]],"DE CONTADO","CRÉDITO")</f>
        <v>CRÉDITO</v>
      </c>
      <c r="B157" s="41" t="str">
        <f>+IF((PROVEEDORES[[#This Row],[FECHA DE PAGO]]-PROVEEDORES[[#This Row],[FECHA DE FACTURACIÓN]])&gt;PROVEEDORES[[#This Row],[PLAZO Días]],"PAGO VENCIDO")</f>
        <v>PAGO VENCIDO</v>
      </c>
      <c r="C157" s="22">
        <f>+VLOOKUP(PROVEEDORES[[#This Row],[PROVEEDOR]],TERCEROS_INFO[#All],2,FALSE)</f>
        <v>45</v>
      </c>
      <c r="D157" s="27">
        <f>+SUMIFS(PROVEEDORES[Total],PROVEEDORES[PROVEEDOR],PROVEEDORES[[#This Row],[PROVEEDOR]],PROVEEDORES[FECHA DE PAGO],"")</f>
        <v>3412539.2</v>
      </c>
      <c r="E157" s="27"/>
      <c r="F157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157" s="95">
        <v>44319</v>
      </c>
      <c r="H157" s="28" t="s">
        <v>10</v>
      </c>
      <c r="I157" s="95">
        <v>44235</v>
      </c>
      <c r="J157" s="38" t="s">
        <v>188</v>
      </c>
      <c r="K157" s="23">
        <v>3703000</v>
      </c>
      <c r="L157" s="23"/>
      <c r="M157" s="24">
        <v>703570</v>
      </c>
      <c r="N157" s="25"/>
      <c r="O157" s="24">
        <v>0</v>
      </c>
      <c r="P157" s="136">
        <f>+IF(PROVEEDORES[[#This Row],[SUBTOTAL]]&lt;PROVEEDORES[[#This Row],[base retencion]],0,PROVEEDORES[[#This Row],[retención aplicada]])</f>
        <v>0</v>
      </c>
      <c r="Q157" s="24">
        <f>+PROVEEDORES[[#This Row],[Rete Fuente %]]*PROVEEDORES[[#This Row],[SUBTOTAL]]</f>
        <v>0</v>
      </c>
      <c r="R157" s="23">
        <v>4406570</v>
      </c>
      <c r="S15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" s="99">
        <f ca="1">IF(PROVEEDORES[[#This Row],[FECHA DE PAGO]]=0,TODAY()-PROVEEDORES[[#This Row],[FECHA DE FACTURACIÓN]]-PROVEEDORES[[#This Row],[PLAZO Días]],0)</f>
        <v>0</v>
      </c>
      <c r="U157" s="149">
        <f>+VLOOKUP(PROVEEDORES[[#This Row],[PROVEEDOR]],Terceros!$A:$E,5,FALSE)</f>
        <v>0</v>
      </c>
      <c r="V157" s="150">
        <f>+YEAR(PROVEEDORES[[#This Row],[FECHA DE FACTURACIÓN]])</f>
        <v>2021</v>
      </c>
      <c r="W157" s="150">
        <f>+MATCH(PROVEEDORES[[#This Row],[año facturado]],Retenciones!$1:$1,0)</f>
        <v>4</v>
      </c>
      <c r="X157" s="151">
        <f>+VLOOKUP(PROVEEDORES[[#This Row],[ID RETENCION]],Retenciones!$A$1:$O$24,PROVEEDORES[[#This Row],[indicador de columna]],FALSE)</f>
        <v>0</v>
      </c>
      <c r="Y157" s="152">
        <f>+VLOOKUP(PROVEEDORES[[#This Row],[ID RETENCION]],Retenciones!$A$1:$O$24,2,FALSE)</f>
        <v>0</v>
      </c>
      <c r="Z157" s="26"/>
      <c r="AA157" s="26"/>
      <c r="AB157" s="26"/>
      <c r="AC157" s="26"/>
      <c r="AD157" s="26"/>
      <c r="AE157" s="26"/>
    </row>
    <row r="158" spans="1:31" ht="21.95" customHeight="1" x14ac:dyDescent="0.25">
      <c r="A158" s="97" t="str">
        <f>+IF(PROVEEDORES[[#This Row],[FECHA DE PAGO]]=PROVEEDORES[[#This Row],[FECHA DE FACTURACIÓN]],"DE CONTADO","CRÉDITO")</f>
        <v>CRÉDITO</v>
      </c>
      <c r="B158" s="41" t="b">
        <f>+IF((PROVEEDORES[[#This Row],[FECHA DE PAGO]]-PROVEEDORES[[#This Row],[FECHA DE FACTURACIÓN]])&gt;PROVEEDORES[[#This Row],[PLAZO Días]],"PAGO VENCIDO")</f>
        <v>0</v>
      </c>
      <c r="C158" s="22">
        <f>+VLOOKUP(PROVEEDORES[[#This Row],[PROVEEDOR]],TERCEROS_INFO[#All],2,FALSE)</f>
        <v>30</v>
      </c>
      <c r="D158" s="27">
        <f>+SUMIFS(PROVEEDORES[Total],PROVEEDORES[PROVEEDOR],PROVEEDORES[[#This Row],[PROVEEDOR]],PROVEEDORES[FECHA DE PAGO],"")</f>
        <v>0</v>
      </c>
      <c r="E158" s="27"/>
      <c r="F158" s="62" t="str">
        <f>+VLOOKUP(PROVEEDORES[[#This Row],[PROVEEDOR]],
                       Terceros!$A:$G,
                       6,
                       FALSE)</f>
        <v/>
      </c>
      <c r="G158" s="95">
        <v>44236</v>
      </c>
      <c r="H158" s="28" t="s">
        <v>27</v>
      </c>
      <c r="I158" s="95">
        <v>44235</v>
      </c>
      <c r="J158" s="38">
        <v>128121</v>
      </c>
      <c r="K158" s="23">
        <v>4914648</v>
      </c>
      <c r="L158" s="23"/>
      <c r="M158" s="24">
        <v>0</v>
      </c>
      <c r="N158" s="25"/>
      <c r="O158" s="24">
        <v>0</v>
      </c>
      <c r="P158" s="136">
        <f>+IF(PROVEEDORES[[#This Row],[SUBTOTAL]]&lt;PROVEEDORES[[#This Row],[base retencion]],0,PROVEEDORES[[#This Row],[retención aplicada]])</f>
        <v>0</v>
      </c>
      <c r="Q158" s="24">
        <f>+PROVEEDORES[[#This Row],[Rete Fuente %]]*PROVEEDORES[[#This Row],[SUBTOTAL]]</f>
        <v>0</v>
      </c>
      <c r="R158" s="23">
        <v>4914648</v>
      </c>
      <c r="S15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" s="99">
        <f ca="1">IF(PROVEEDORES[[#This Row],[FECHA DE PAGO]]=0,TODAY()-PROVEEDORES[[#This Row],[FECHA DE FACTURACIÓN]]-PROVEEDORES[[#This Row],[PLAZO Días]],0)</f>
        <v>0</v>
      </c>
      <c r="U158" s="149">
        <f>+VLOOKUP(PROVEEDORES[[#This Row],[PROVEEDOR]],Terceros!$A:$E,5,FALSE)</f>
        <v>0</v>
      </c>
      <c r="V158" s="150">
        <f>+YEAR(PROVEEDORES[[#This Row],[FECHA DE FACTURACIÓN]])</f>
        <v>2021</v>
      </c>
      <c r="W158" s="150">
        <f>+MATCH(PROVEEDORES[[#This Row],[año facturado]],Retenciones!$1:$1,0)</f>
        <v>4</v>
      </c>
      <c r="X158" s="151">
        <f>+VLOOKUP(PROVEEDORES[[#This Row],[ID RETENCION]],Retenciones!$A$1:$O$24,PROVEEDORES[[#This Row],[indicador de columna]],FALSE)</f>
        <v>0</v>
      </c>
      <c r="Y158" s="152">
        <f>+VLOOKUP(PROVEEDORES[[#This Row],[ID RETENCION]],Retenciones!$A$1:$O$24,2,FALSE)</f>
        <v>0</v>
      </c>
      <c r="Z158" s="26"/>
      <c r="AA158" s="26"/>
      <c r="AB158" s="26"/>
      <c r="AC158" s="26"/>
      <c r="AD158" s="26"/>
      <c r="AE158" s="26"/>
    </row>
    <row r="159" spans="1:31" ht="21.95" customHeight="1" x14ac:dyDescent="0.25">
      <c r="A159" s="97" t="str">
        <f>+IF(PROVEEDORES[[#This Row],[FECHA DE PAGO]]=PROVEEDORES[[#This Row],[FECHA DE FACTURACIÓN]],"DE CONTADO","CRÉDITO")</f>
        <v>CRÉDITO</v>
      </c>
      <c r="B159" s="41" t="str">
        <f>+IF((PROVEEDORES[[#This Row],[FECHA DE PAGO]]-PROVEEDORES[[#This Row],[FECHA DE FACTURACIÓN]])&gt;PROVEEDORES[[#This Row],[PLAZO Días]],"PAGO VENCIDO")</f>
        <v>PAGO VENCIDO</v>
      </c>
      <c r="C159" s="22">
        <f>+VLOOKUP(PROVEEDORES[[#This Row],[PROVEEDOR]],TERCEROS_INFO[#All],2,FALSE)</f>
        <v>30</v>
      </c>
      <c r="D159" s="27">
        <f>+SUMIFS(PROVEEDORES[Total],PROVEEDORES[PROVEEDOR],PROVEEDORES[[#This Row],[PROVEEDOR]],PROVEEDORES[FECHA DE PAGO],"")</f>
        <v>6151200</v>
      </c>
      <c r="E159" s="27"/>
      <c r="F159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159" s="95">
        <v>44279</v>
      </c>
      <c r="H159" s="28" t="s">
        <v>11</v>
      </c>
      <c r="I159" s="95">
        <v>44235</v>
      </c>
      <c r="J159" s="38" t="s">
        <v>189</v>
      </c>
      <c r="K159" s="23">
        <v>5532101</v>
      </c>
      <c r="L159" s="23"/>
      <c r="M159" s="24">
        <v>1051099.19</v>
      </c>
      <c r="N159" s="25"/>
      <c r="O159" s="24">
        <v>0</v>
      </c>
      <c r="P159" s="136">
        <f>+IF(PROVEEDORES[[#This Row],[SUBTOTAL]]&lt;PROVEEDORES[[#This Row],[base retencion]],0,PROVEEDORES[[#This Row],[retención aplicada]])</f>
        <v>2.5000000000000001E-2</v>
      </c>
      <c r="Q159" s="24">
        <f>+PROVEEDORES[[#This Row],[Rete Fuente %]]*PROVEEDORES[[#This Row],[SUBTOTAL]]</f>
        <v>138302.52499999999</v>
      </c>
      <c r="R159" s="23">
        <v>6444897.6649999991</v>
      </c>
      <c r="S15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" s="99">
        <f ca="1">IF(PROVEEDORES[[#This Row],[FECHA DE PAGO]]=0,TODAY()-PROVEEDORES[[#This Row],[FECHA DE FACTURACIÓN]]-PROVEEDORES[[#This Row],[PLAZO Días]],0)</f>
        <v>0</v>
      </c>
      <c r="U159" s="149" t="str">
        <f>+VLOOKUP(PROVEEDORES[[#This Row],[PROVEEDOR]],Terceros!$A:$E,5,FALSE)</f>
        <v>2,5% con base</v>
      </c>
      <c r="V159" s="150">
        <f>+YEAR(PROVEEDORES[[#This Row],[FECHA DE FACTURACIÓN]])</f>
        <v>2021</v>
      </c>
      <c r="W159" s="150">
        <f>+MATCH(PROVEEDORES[[#This Row],[año facturado]],Retenciones!$1:$1,0)</f>
        <v>4</v>
      </c>
      <c r="X159" s="151">
        <f>+VLOOKUP(PROVEEDORES[[#This Row],[ID RETENCION]],Retenciones!$A$1:$O$24,PROVEEDORES[[#This Row],[indicador de columna]],FALSE)</f>
        <v>980000</v>
      </c>
      <c r="Y159" s="152">
        <f>+VLOOKUP(PROVEEDORES[[#This Row],[ID RETENCION]],Retenciones!$A$1:$O$24,2,FALSE)</f>
        <v>2.5000000000000001E-2</v>
      </c>
      <c r="Z159" s="26"/>
      <c r="AA159" s="26"/>
      <c r="AB159" s="26"/>
      <c r="AC159" s="26"/>
      <c r="AD159" s="26"/>
      <c r="AE159" s="26"/>
    </row>
    <row r="160" spans="1:31" ht="21.95" customHeight="1" x14ac:dyDescent="0.25">
      <c r="A160" s="97" t="str">
        <f>+IF(PROVEEDORES[[#This Row],[FECHA DE PAGO]]=PROVEEDORES[[#This Row],[FECHA DE FACTURACIÓN]],"DE CONTADO","CRÉDITO")</f>
        <v>CRÉDITO</v>
      </c>
      <c r="B160" s="41" t="str">
        <f>+IF((PROVEEDORES[[#This Row],[FECHA DE PAGO]]-PROVEEDORES[[#This Row],[FECHA DE FACTURACIÓN]])&gt;PROVEEDORES[[#This Row],[PLAZO Días]],"PAGO VENCIDO")</f>
        <v>PAGO VENCIDO</v>
      </c>
      <c r="C160" s="22">
        <f>+VLOOKUP(PROVEEDORES[[#This Row],[PROVEEDOR]],TERCEROS_INFO[#All],2,FALSE)</f>
        <v>45</v>
      </c>
      <c r="D160" s="27">
        <f>+SUMIFS(PROVEEDORES[Total],PROVEEDORES[PROVEEDOR],PROVEEDORES[[#This Row],[PROVEEDOR]],PROVEEDORES[FECHA DE PAGO],"")</f>
        <v>37184068.039999999</v>
      </c>
      <c r="E160" s="27"/>
      <c r="F160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160" s="95">
        <v>44312</v>
      </c>
      <c r="H160" s="28" t="s">
        <v>19</v>
      </c>
      <c r="I160" s="95">
        <v>44236</v>
      </c>
      <c r="J160" s="38" t="s">
        <v>226</v>
      </c>
      <c r="K160" s="23">
        <v>1144089</v>
      </c>
      <c r="L160" s="23"/>
      <c r="M160" s="24">
        <v>217376.91</v>
      </c>
      <c r="N160" s="25"/>
      <c r="O160" s="24">
        <v>0</v>
      </c>
      <c r="P160" s="136">
        <f>+IF(PROVEEDORES[[#This Row],[SUBTOTAL]]&lt;PROVEEDORES[[#This Row],[base retencion]],0,PROVEEDORES[[#This Row],[retención aplicada]])</f>
        <v>0</v>
      </c>
      <c r="Q160" s="24">
        <f>+PROVEEDORES[[#This Row],[Rete Fuente %]]*PROVEEDORES[[#This Row],[SUBTOTAL]]</f>
        <v>0</v>
      </c>
      <c r="R160" s="23">
        <v>1361465.91</v>
      </c>
      <c r="S16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" s="99">
        <f ca="1">IF(PROVEEDORES[[#This Row],[FECHA DE PAGO]]=0,TODAY()-PROVEEDORES[[#This Row],[FECHA DE FACTURACIÓN]]-PROVEEDORES[[#This Row],[PLAZO Días]],0)</f>
        <v>0</v>
      </c>
      <c r="U160" s="149">
        <f>+VLOOKUP(PROVEEDORES[[#This Row],[PROVEEDOR]],Terceros!$A:$E,5,FALSE)</f>
        <v>0</v>
      </c>
      <c r="V160" s="150">
        <f>+YEAR(PROVEEDORES[[#This Row],[FECHA DE FACTURACIÓN]])</f>
        <v>2021</v>
      </c>
      <c r="W160" s="150">
        <f>+MATCH(PROVEEDORES[[#This Row],[año facturado]],Retenciones!$1:$1,0)</f>
        <v>4</v>
      </c>
      <c r="X160" s="151">
        <f>+VLOOKUP(PROVEEDORES[[#This Row],[ID RETENCION]],Retenciones!$A$1:$O$24,PROVEEDORES[[#This Row],[indicador de columna]],FALSE)</f>
        <v>0</v>
      </c>
      <c r="Y160" s="152">
        <f>+VLOOKUP(PROVEEDORES[[#This Row],[ID RETENCION]],Retenciones!$A$1:$O$24,2,FALSE)</f>
        <v>0</v>
      </c>
      <c r="Z160" s="26"/>
      <c r="AA160" s="26"/>
      <c r="AB160" s="26"/>
      <c r="AC160" s="26"/>
      <c r="AD160" s="26"/>
      <c r="AE160" s="26"/>
    </row>
    <row r="161" spans="1:31" ht="21.95" customHeight="1" x14ac:dyDescent="0.25">
      <c r="A161" s="97" t="str">
        <f>+IF(PROVEEDORES[[#This Row],[FECHA DE PAGO]]=PROVEEDORES[[#This Row],[FECHA DE FACTURACIÓN]],"DE CONTADO","CRÉDITO")</f>
        <v>CRÉDITO</v>
      </c>
      <c r="B161" s="41" t="str">
        <f>+IF((PROVEEDORES[[#This Row],[FECHA DE PAGO]]-PROVEEDORES[[#This Row],[FECHA DE FACTURACIÓN]])&gt;PROVEEDORES[[#This Row],[PLAZO Días]],"PAGO VENCIDO")</f>
        <v>PAGO VENCIDO</v>
      </c>
      <c r="C161" s="22">
        <f>+VLOOKUP(PROVEEDORES[[#This Row],[PROVEEDOR]],TERCEROS_INFO[#All],2,FALSE)</f>
        <v>30</v>
      </c>
      <c r="D161" s="27">
        <f>+SUMIFS(PROVEEDORES[Total],PROVEEDORES[PROVEEDOR],PROVEEDORES[[#This Row],[PROVEEDOR]],PROVEEDORES[FECHA DE PAGO],"")</f>
        <v>4641412.7745000003</v>
      </c>
      <c r="E161" s="27"/>
      <c r="F161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161" s="95">
        <v>44305</v>
      </c>
      <c r="H161" s="28" t="s">
        <v>20</v>
      </c>
      <c r="I161" s="95">
        <v>44236</v>
      </c>
      <c r="J161" s="38">
        <v>3284</v>
      </c>
      <c r="K161" s="23">
        <v>1310490</v>
      </c>
      <c r="L161" s="23"/>
      <c r="M161" s="24">
        <v>248993.1</v>
      </c>
      <c r="N161" s="25"/>
      <c r="O161" s="24">
        <v>0</v>
      </c>
      <c r="P161" s="136">
        <f>+IF(PROVEEDORES[[#This Row],[SUBTOTAL]]&lt;PROVEEDORES[[#This Row],[base retencion]],0,PROVEEDORES[[#This Row],[retención aplicada]])</f>
        <v>2.5000000000000001E-2</v>
      </c>
      <c r="Q161" s="24">
        <f>+PROVEEDORES[[#This Row],[Rete Fuente %]]*PROVEEDORES[[#This Row],[SUBTOTAL]]</f>
        <v>32762.25</v>
      </c>
      <c r="R161" s="23">
        <v>1526720.85</v>
      </c>
      <c r="S16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" s="99">
        <f ca="1">IF(PROVEEDORES[[#This Row],[FECHA DE PAGO]]=0,TODAY()-PROVEEDORES[[#This Row],[FECHA DE FACTURACIÓN]]-PROVEEDORES[[#This Row],[PLAZO Días]],0)</f>
        <v>0</v>
      </c>
      <c r="U161" s="149" t="str">
        <f>+VLOOKUP(PROVEEDORES[[#This Row],[PROVEEDOR]],Terceros!$A:$E,5,FALSE)</f>
        <v>2,5% con base</v>
      </c>
      <c r="V161" s="150">
        <f>+YEAR(PROVEEDORES[[#This Row],[FECHA DE FACTURACIÓN]])</f>
        <v>2021</v>
      </c>
      <c r="W161" s="150">
        <f>+MATCH(PROVEEDORES[[#This Row],[año facturado]],Retenciones!$1:$1,0)</f>
        <v>4</v>
      </c>
      <c r="X161" s="151">
        <f>+VLOOKUP(PROVEEDORES[[#This Row],[ID RETENCION]],Retenciones!$A$1:$O$24,PROVEEDORES[[#This Row],[indicador de columna]],FALSE)</f>
        <v>980000</v>
      </c>
      <c r="Y161" s="152">
        <f>+VLOOKUP(PROVEEDORES[[#This Row],[ID RETENCION]],Retenciones!$A$1:$O$24,2,FALSE)</f>
        <v>2.5000000000000001E-2</v>
      </c>
      <c r="Z161" s="26"/>
      <c r="AA161" s="26"/>
      <c r="AB161" s="26"/>
      <c r="AC161" s="26"/>
      <c r="AD161" s="26"/>
      <c r="AE161" s="26"/>
    </row>
    <row r="162" spans="1:31" ht="21.95" customHeight="1" x14ac:dyDescent="0.25">
      <c r="A162" s="97" t="str">
        <f>+IF(PROVEEDORES[[#This Row],[FECHA DE PAGO]]=PROVEEDORES[[#This Row],[FECHA DE FACTURACIÓN]],"DE CONTADO","CRÉDITO")</f>
        <v>CRÉDITO</v>
      </c>
      <c r="B162" s="41" t="str">
        <f>+IF((PROVEEDORES[[#This Row],[FECHA DE PAGO]]-PROVEEDORES[[#This Row],[FECHA DE FACTURACIÓN]])&gt;PROVEEDORES[[#This Row],[PLAZO Días]],"PAGO VENCIDO")</f>
        <v>PAGO VENCIDO</v>
      </c>
      <c r="C162" s="22">
        <f>+VLOOKUP(PROVEEDORES[[#This Row],[PROVEEDOR]],TERCEROS_INFO[#All],2,FALSE)</f>
        <v>30</v>
      </c>
      <c r="D162" s="27">
        <f>+SUMIFS(PROVEEDORES[Total],PROVEEDORES[PROVEEDOR],PROVEEDORES[[#This Row],[PROVEEDOR]],PROVEEDORES[FECHA DE PAGO],"")</f>
        <v>833999.83799999999</v>
      </c>
      <c r="E162" s="27"/>
      <c r="F162" s="62" t="str">
        <f>+VLOOKUP(PROVEEDORES[[#This Row],[PROVEEDOR]],
                       Terceros!$A:$G,
                       6,
                       FALSE)</f>
        <v>juan.suarez@cosostenible.com;girlesa.ruiz@servipilas.com;joriescobar64@gmail.com</v>
      </c>
      <c r="G162" s="95">
        <v>44278</v>
      </c>
      <c r="H162" s="28" t="s">
        <v>50</v>
      </c>
      <c r="I162" s="95">
        <v>44236</v>
      </c>
      <c r="J162" s="38">
        <v>1405</v>
      </c>
      <c r="K162" s="23">
        <v>2956953</v>
      </c>
      <c r="L162" s="23"/>
      <c r="M162" s="24">
        <v>561821.06999999995</v>
      </c>
      <c r="N162" s="25"/>
      <c r="O162" s="24">
        <v>0</v>
      </c>
      <c r="P162" s="136">
        <f>+IF(PROVEEDORES[[#This Row],[SUBTOTAL]]&lt;PROVEEDORES[[#This Row],[base retencion]],0,PROVEEDORES[[#This Row],[retención aplicada]])</f>
        <v>2.5000000000000001E-2</v>
      </c>
      <c r="Q162" s="24">
        <f>+PROVEEDORES[[#This Row],[Rete Fuente %]]*PROVEEDORES[[#This Row],[SUBTOTAL]]</f>
        <v>73923.824999999997</v>
      </c>
      <c r="R162" s="23">
        <v>3444850.2449999996</v>
      </c>
      <c r="S16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" s="99">
        <f ca="1">IF(PROVEEDORES[[#This Row],[FECHA DE PAGO]]=0,TODAY()-PROVEEDORES[[#This Row],[FECHA DE FACTURACIÓN]]-PROVEEDORES[[#This Row],[PLAZO Días]],0)</f>
        <v>0</v>
      </c>
      <c r="U162" s="149" t="str">
        <f>+VLOOKUP(PROVEEDORES[[#This Row],[PROVEEDOR]],Terceros!$A:$E,5,FALSE)</f>
        <v>2,5% con base</v>
      </c>
      <c r="V162" s="150">
        <f>+YEAR(PROVEEDORES[[#This Row],[FECHA DE FACTURACIÓN]])</f>
        <v>2021</v>
      </c>
      <c r="W162" s="150">
        <f>+MATCH(PROVEEDORES[[#This Row],[año facturado]],Retenciones!$1:$1,0)</f>
        <v>4</v>
      </c>
      <c r="X162" s="151">
        <f>+VLOOKUP(PROVEEDORES[[#This Row],[ID RETENCION]],Retenciones!$A$1:$O$24,PROVEEDORES[[#This Row],[indicador de columna]],FALSE)</f>
        <v>980000</v>
      </c>
      <c r="Y162" s="152">
        <f>+VLOOKUP(PROVEEDORES[[#This Row],[ID RETENCION]],Retenciones!$A$1:$O$24,2,FALSE)</f>
        <v>2.5000000000000001E-2</v>
      </c>
      <c r="Z162" s="26"/>
      <c r="AA162" s="26"/>
      <c r="AB162" s="26"/>
      <c r="AC162" s="26"/>
      <c r="AD162" s="26"/>
      <c r="AE162" s="26"/>
    </row>
    <row r="163" spans="1:31" ht="21.95" customHeight="1" x14ac:dyDescent="0.25">
      <c r="A163" s="97" t="str">
        <f>+IF(PROVEEDORES[[#This Row],[FECHA DE PAGO]]=PROVEEDORES[[#This Row],[FECHA DE FACTURACIÓN]],"DE CONTADO","CRÉDITO")</f>
        <v>CRÉDITO</v>
      </c>
      <c r="B163" s="41" t="str">
        <f>+IF((PROVEEDORES[[#This Row],[FECHA DE PAGO]]-PROVEEDORES[[#This Row],[FECHA DE FACTURACIÓN]])&gt;PROVEEDORES[[#This Row],[PLAZO Días]],"PAGO VENCIDO")</f>
        <v>PAGO VENCIDO</v>
      </c>
      <c r="C163" s="22">
        <f>+VLOOKUP(PROVEEDORES[[#This Row],[PROVEEDOR]],TERCEROS_INFO[#All],2,FALSE)</f>
        <v>30</v>
      </c>
      <c r="D163" s="27">
        <f>+SUMIFS(PROVEEDORES[Total],PROVEEDORES[PROVEEDOR],PROVEEDORES[[#This Row],[PROVEEDOR]],PROVEEDORES[FECHA DE PAGO],"")</f>
        <v>0</v>
      </c>
      <c r="E163" s="27"/>
      <c r="F163" s="62" t="str">
        <f>+VLOOKUP(PROVEEDORES[[#This Row],[PROVEEDOR]],
                       Terceros!$A:$G,
                       6,
                       FALSE)</f>
        <v>cxc11@unitecusa.com.co;jefecartera@unitecusa.com.co;girlesa.ruiz@servipilas.com;joriescobar64@gmail.com</v>
      </c>
      <c r="G163" s="95">
        <v>44271</v>
      </c>
      <c r="H163" s="28" t="s">
        <v>14</v>
      </c>
      <c r="I163" s="95">
        <v>44237</v>
      </c>
      <c r="J163" s="38" t="s">
        <v>243</v>
      </c>
      <c r="K163" s="23">
        <v>174202</v>
      </c>
      <c r="L163" s="23"/>
      <c r="M163" s="24">
        <v>33098.379999999997</v>
      </c>
      <c r="N163" s="25"/>
      <c r="O163" s="24">
        <v>0</v>
      </c>
      <c r="P163" s="136">
        <f>+IF(PROVEEDORES[[#This Row],[SUBTOTAL]]&lt;PROVEEDORES[[#This Row],[base retencion]],0,PROVEEDORES[[#This Row],[retención aplicada]])</f>
        <v>0</v>
      </c>
      <c r="Q163" s="24">
        <f>+PROVEEDORES[[#This Row],[Rete Fuente %]]*PROVEEDORES[[#This Row],[SUBTOTAL]]</f>
        <v>0</v>
      </c>
      <c r="R163" s="23">
        <v>207300.38</v>
      </c>
      <c r="S16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" s="99">
        <f ca="1">IF(PROVEEDORES[[#This Row],[FECHA DE PAGO]]=0,TODAY()-PROVEEDORES[[#This Row],[FECHA DE FACTURACIÓN]]-PROVEEDORES[[#This Row],[PLAZO Días]],0)</f>
        <v>0</v>
      </c>
      <c r="U163" s="149" t="str">
        <f>+VLOOKUP(PROVEEDORES[[#This Row],[PROVEEDOR]],Terceros!$A:$E,5,FALSE)</f>
        <v>2,5% con base</v>
      </c>
      <c r="V163" s="150">
        <f>+YEAR(PROVEEDORES[[#This Row],[FECHA DE FACTURACIÓN]])</f>
        <v>2021</v>
      </c>
      <c r="W163" s="150">
        <f>+MATCH(PROVEEDORES[[#This Row],[año facturado]],Retenciones!$1:$1,0)</f>
        <v>4</v>
      </c>
      <c r="X163" s="151">
        <f>+VLOOKUP(PROVEEDORES[[#This Row],[ID RETENCION]],Retenciones!$A$1:$O$24,PROVEEDORES[[#This Row],[indicador de columna]],FALSE)</f>
        <v>980000</v>
      </c>
      <c r="Y163" s="152">
        <f>+VLOOKUP(PROVEEDORES[[#This Row],[ID RETENCION]],Retenciones!$A$1:$O$24,2,FALSE)</f>
        <v>2.5000000000000001E-2</v>
      </c>
      <c r="Z163" s="26"/>
      <c r="AA163" s="26"/>
      <c r="AB163" s="26"/>
      <c r="AC163" s="26"/>
      <c r="AD163" s="26"/>
      <c r="AE163" s="26"/>
    </row>
    <row r="164" spans="1:31" ht="21.95" customHeight="1" x14ac:dyDescent="0.25">
      <c r="A164" s="97" t="str">
        <f>+IF(PROVEEDORES[[#This Row],[FECHA DE PAGO]]=PROVEEDORES[[#This Row],[FECHA DE FACTURACIÓN]],"DE CONTADO","CRÉDITO")</f>
        <v>CRÉDITO</v>
      </c>
      <c r="B164" s="41" t="str">
        <f>+IF((PROVEEDORES[[#This Row],[FECHA DE PAGO]]-PROVEEDORES[[#This Row],[FECHA DE FACTURACIÓN]])&gt;PROVEEDORES[[#This Row],[PLAZO Días]],"PAGO VENCIDO")</f>
        <v>PAGO VENCIDO</v>
      </c>
      <c r="C164" s="22">
        <f>+VLOOKUP(PROVEEDORES[[#This Row],[PROVEEDOR]],TERCEROS_INFO[#All],2,FALSE)</f>
        <v>30</v>
      </c>
      <c r="D164" s="27">
        <f>+SUMIFS(PROVEEDORES[Total],PROVEEDORES[PROVEEDOR],PROVEEDORES[[#This Row],[PROVEEDOR]],PROVEEDORES[FECHA DE PAGO],"")</f>
        <v>3844432.4999000002</v>
      </c>
      <c r="E164" s="27"/>
      <c r="F164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164" s="95">
        <v>44271</v>
      </c>
      <c r="H164" s="28" t="s">
        <v>18</v>
      </c>
      <c r="I164" s="95">
        <v>44238</v>
      </c>
      <c r="J164" s="38">
        <v>1034429</v>
      </c>
      <c r="K164" s="23">
        <v>1825646.4</v>
      </c>
      <c r="L164" s="23"/>
      <c r="M164" s="24">
        <v>346872.81599999999</v>
      </c>
      <c r="N164" s="25"/>
      <c r="O164" s="24">
        <v>0</v>
      </c>
      <c r="P164" s="136">
        <f>+IF(PROVEEDORES[[#This Row],[SUBTOTAL]]&lt;PROVEEDORES[[#This Row],[base retencion]],0,PROVEEDORES[[#This Row],[retención aplicada]])</f>
        <v>2.5000000000000001E-2</v>
      </c>
      <c r="Q164" s="24">
        <f>+PROVEEDORES[[#This Row],[Rete Fuente %]]*PROVEEDORES[[#This Row],[SUBTOTAL]]</f>
        <v>45641.16</v>
      </c>
      <c r="R164" s="23">
        <v>2126878.0559999999</v>
      </c>
      <c r="S16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" s="99">
        <f ca="1">IF(PROVEEDORES[[#This Row],[FECHA DE PAGO]]=0,TODAY()-PROVEEDORES[[#This Row],[FECHA DE FACTURACIÓN]]-PROVEEDORES[[#This Row],[PLAZO Días]],0)</f>
        <v>0</v>
      </c>
      <c r="U164" s="149" t="str">
        <f>+VLOOKUP(PROVEEDORES[[#This Row],[PROVEEDOR]],Terceros!$A:$E,5,FALSE)</f>
        <v>2,5% con base</v>
      </c>
      <c r="V164" s="150">
        <f>+YEAR(PROVEEDORES[[#This Row],[FECHA DE FACTURACIÓN]])</f>
        <v>2021</v>
      </c>
      <c r="W164" s="150">
        <f>+MATCH(PROVEEDORES[[#This Row],[año facturado]],Retenciones!$1:$1,0)</f>
        <v>4</v>
      </c>
      <c r="X164" s="151">
        <f>+VLOOKUP(PROVEEDORES[[#This Row],[ID RETENCION]],Retenciones!$A$1:$O$24,PROVEEDORES[[#This Row],[indicador de columna]],FALSE)</f>
        <v>980000</v>
      </c>
      <c r="Y164" s="152">
        <f>+VLOOKUP(PROVEEDORES[[#This Row],[ID RETENCION]],Retenciones!$A$1:$O$24,2,FALSE)</f>
        <v>2.5000000000000001E-2</v>
      </c>
      <c r="Z164" s="26"/>
      <c r="AA164" s="26"/>
      <c r="AB164" s="26"/>
      <c r="AC164" s="26"/>
      <c r="AD164" s="26"/>
      <c r="AE164" s="26"/>
    </row>
    <row r="165" spans="1:31" ht="21.95" customHeight="1" x14ac:dyDescent="0.25">
      <c r="A165" s="97" t="str">
        <f>+IF(PROVEEDORES[[#This Row],[FECHA DE PAGO]]=PROVEEDORES[[#This Row],[FECHA DE FACTURACIÓN]],"DE CONTADO","CRÉDITO")</f>
        <v>CRÉDITO</v>
      </c>
      <c r="B165" s="41" t="b">
        <f>+IF((PROVEEDORES[[#This Row],[FECHA DE PAGO]]-PROVEEDORES[[#This Row],[FECHA DE FACTURACIÓN]])&gt;PROVEEDORES[[#This Row],[PLAZO Días]],"PAGO VENCIDO")</f>
        <v>0</v>
      </c>
      <c r="C165" s="22">
        <f>+VLOOKUP(PROVEEDORES[[#This Row],[PROVEEDOR]],TERCEROS_INFO[#All],2,FALSE)</f>
        <v>10</v>
      </c>
      <c r="D165" s="27">
        <f>+SUMIFS(PROVEEDORES[Total],PROVEEDORES[PROVEEDOR],PROVEEDORES[[#This Row],[PROVEEDOR]],PROVEEDORES[FECHA DE PAGO],"")</f>
        <v>0</v>
      </c>
      <c r="E165" s="27"/>
      <c r="F165" s="62" t="str">
        <f>+VLOOKUP(PROVEEDORES[[#This Row],[PROVEEDOR]],
                       Terceros!$A:$G,
                       6,
                       FALSE)</f>
        <v/>
      </c>
      <c r="G165" s="95">
        <v>44239</v>
      </c>
      <c r="H165" s="28" t="s">
        <v>23</v>
      </c>
      <c r="I165" s="95">
        <v>44238</v>
      </c>
      <c r="J165" s="38">
        <v>280191</v>
      </c>
      <c r="K165" s="23">
        <v>6801300</v>
      </c>
      <c r="L165" s="23"/>
      <c r="M165" s="24">
        <v>0</v>
      </c>
      <c r="N165" s="25"/>
      <c r="O165" s="24">
        <v>0</v>
      </c>
      <c r="P165" s="136">
        <f>+IF(PROVEEDORES[[#This Row],[SUBTOTAL]]&lt;PROVEEDORES[[#This Row],[base retencion]],0,PROVEEDORES[[#This Row],[retención aplicada]])</f>
        <v>0</v>
      </c>
      <c r="Q165" s="24">
        <f>+PROVEEDORES[[#This Row],[Rete Fuente %]]*PROVEEDORES[[#This Row],[SUBTOTAL]]</f>
        <v>0</v>
      </c>
      <c r="R165" s="23">
        <v>6801300</v>
      </c>
      <c r="S16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" s="99">
        <f ca="1">IF(PROVEEDORES[[#This Row],[FECHA DE PAGO]]=0,TODAY()-PROVEEDORES[[#This Row],[FECHA DE FACTURACIÓN]]-PROVEEDORES[[#This Row],[PLAZO Días]],0)</f>
        <v>0</v>
      </c>
      <c r="U165" s="149">
        <f>+VLOOKUP(PROVEEDORES[[#This Row],[PROVEEDOR]],Terceros!$A:$E,5,FALSE)</f>
        <v>0</v>
      </c>
      <c r="V165" s="150">
        <f>+YEAR(PROVEEDORES[[#This Row],[FECHA DE FACTURACIÓN]])</f>
        <v>2021</v>
      </c>
      <c r="W165" s="150">
        <f>+MATCH(PROVEEDORES[[#This Row],[año facturado]],Retenciones!$1:$1,0)</f>
        <v>4</v>
      </c>
      <c r="X165" s="151">
        <f>+VLOOKUP(PROVEEDORES[[#This Row],[ID RETENCION]],Retenciones!$A$1:$O$24,PROVEEDORES[[#This Row],[indicador de columna]],FALSE)</f>
        <v>0</v>
      </c>
      <c r="Y165" s="152">
        <f>+VLOOKUP(PROVEEDORES[[#This Row],[ID RETENCION]],Retenciones!$A$1:$O$24,2,FALSE)</f>
        <v>0</v>
      </c>
      <c r="Z165" s="26"/>
      <c r="AA165" s="26"/>
      <c r="AB165" s="26"/>
      <c r="AC165" s="26"/>
      <c r="AD165" s="26"/>
      <c r="AE165" s="26"/>
    </row>
    <row r="166" spans="1:31" ht="21.95" customHeight="1" x14ac:dyDescent="0.25">
      <c r="A166" s="97" t="str">
        <f>+IF(PROVEEDORES[[#This Row],[FECHA DE PAGO]]=PROVEEDORES[[#This Row],[FECHA DE FACTURACIÓN]],"DE CONTADO","CRÉDITO")</f>
        <v>CRÉDITO</v>
      </c>
      <c r="B166" s="41" t="str">
        <f>+IF((PROVEEDORES[[#This Row],[FECHA DE PAGO]]-PROVEEDORES[[#This Row],[FECHA DE FACTURACIÓN]])&gt;PROVEEDORES[[#This Row],[PLAZO Días]],"PAGO VENCIDO")</f>
        <v>PAGO VENCIDO</v>
      </c>
      <c r="C166" s="22">
        <f>+VLOOKUP(PROVEEDORES[[#This Row],[PROVEEDOR]],TERCEROS_INFO[#All],2,FALSE)</f>
        <v>30</v>
      </c>
      <c r="D166" s="27">
        <f>+SUMIFS(PROVEEDORES[Total],PROVEEDORES[PROVEEDOR],PROVEEDORES[[#This Row],[PROVEEDOR]],PROVEEDORES[FECHA DE PAGO],"")</f>
        <v>833999.83799999999</v>
      </c>
      <c r="E166" s="27"/>
      <c r="F166" s="62" t="str">
        <f>+VLOOKUP(PROVEEDORES[[#This Row],[PROVEEDOR]],
                       Terceros!$A:$G,
                       6,
                       FALSE)</f>
        <v>juan.suarez@cosostenible.com;girlesa.ruiz@servipilas.com;joriescobar64@gmail.com</v>
      </c>
      <c r="G166" s="95">
        <v>44278</v>
      </c>
      <c r="H166" s="28" t="s">
        <v>50</v>
      </c>
      <c r="I166" s="95">
        <v>44242</v>
      </c>
      <c r="J166" s="38">
        <v>1462</v>
      </c>
      <c r="K166" s="23">
        <v>588235</v>
      </c>
      <c r="L166" s="23"/>
      <c r="M166" s="24">
        <v>111764.65</v>
      </c>
      <c r="N166" s="25"/>
      <c r="O166" s="24">
        <v>0</v>
      </c>
      <c r="P166" s="136">
        <f>+IF(PROVEEDORES[[#This Row],[SUBTOTAL]]&lt;PROVEEDORES[[#This Row],[base retencion]],0,PROVEEDORES[[#This Row],[retención aplicada]])</f>
        <v>0</v>
      </c>
      <c r="Q166" s="24">
        <f>+PROVEEDORES[[#This Row],[Rete Fuente %]]*PROVEEDORES[[#This Row],[SUBTOTAL]]</f>
        <v>0</v>
      </c>
      <c r="R166" s="23">
        <v>699999.65</v>
      </c>
      <c r="S16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" s="99">
        <f ca="1">IF(PROVEEDORES[[#This Row],[FECHA DE PAGO]]=0,TODAY()-PROVEEDORES[[#This Row],[FECHA DE FACTURACIÓN]]-PROVEEDORES[[#This Row],[PLAZO Días]],0)</f>
        <v>0</v>
      </c>
      <c r="U166" s="149" t="str">
        <f>+VLOOKUP(PROVEEDORES[[#This Row],[PROVEEDOR]],Terceros!$A:$E,5,FALSE)</f>
        <v>2,5% con base</v>
      </c>
      <c r="V166" s="150">
        <f>+YEAR(PROVEEDORES[[#This Row],[FECHA DE FACTURACIÓN]])</f>
        <v>2021</v>
      </c>
      <c r="W166" s="150">
        <f>+MATCH(PROVEEDORES[[#This Row],[año facturado]],Retenciones!$1:$1,0)</f>
        <v>4</v>
      </c>
      <c r="X166" s="151">
        <f>+VLOOKUP(PROVEEDORES[[#This Row],[ID RETENCION]],Retenciones!$A$1:$O$24,PROVEEDORES[[#This Row],[indicador de columna]],FALSE)</f>
        <v>980000</v>
      </c>
      <c r="Y166" s="152">
        <f>+VLOOKUP(PROVEEDORES[[#This Row],[ID RETENCION]],Retenciones!$A$1:$O$24,2,FALSE)</f>
        <v>2.5000000000000001E-2</v>
      </c>
      <c r="Z166" s="26"/>
      <c r="AA166" s="26"/>
      <c r="AB166" s="26"/>
      <c r="AC166" s="26"/>
      <c r="AD166" s="26"/>
      <c r="AE166" s="26"/>
    </row>
    <row r="167" spans="1:31" ht="21.95" customHeight="1" x14ac:dyDescent="0.25">
      <c r="A167" s="97" t="str">
        <f>+IF(PROVEEDORES[[#This Row],[FECHA DE PAGO]]=PROVEEDORES[[#This Row],[FECHA DE FACTURACIÓN]],"DE CONTADO","CRÉDITO")</f>
        <v>CRÉDITO</v>
      </c>
      <c r="B167" s="41" t="b">
        <f>+IF((PROVEEDORES[[#This Row],[FECHA DE PAGO]]-PROVEEDORES[[#This Row],[FECHA DE FACTURACIÓN]])&gt;PROVEEDORES[[#This Row],[PLAZO Días]],"PAGO VENCIDO")</f>
        <v>0</v>
      </c>
      <c r="C167" s="22">
        <f>+VLOOKUP(PROVEEDORES[[#This Row],[PROVEEDOR]],TERCEROS_INFO[#All],2,FALSE)</f>
        <v>30</v>
      </c>
      <c r="D167" s="27">
        <f>+SUMIFS(PROVEEDORES[Total],PROVEEDORES[PROVEEDOR],PROVEEDORES[[#This Row],[PROVEEDOR]],PROVEEDORES[FECHA DE PAGO],"")</f>
        <v>1979529.3</v>
      </c>
      <c r="E167" s="27"/>
      <c r="F167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167" s="95">
        <v>44271</v>
      </c>
      <c r="H167" s="28" t="s">
        <v>17</v>
      </c>
      <c r="I167" s="95">
        <v>44242</v>
      </c>
      <c r="J167" s="38">
        <v>1726381</v>
      </c>
      <c r="K167" s="23">
        <v>3219678</v>
      </c>
      <c r="L167" s="23"/>
      <c r="M167" s="24">
        <v>0</v>
      </c>
      <c r="N167" s="25"/>
      <c r="O167" s="24">
        <v>0</v>
      </c>
      <c r="P167" s="136">
        <f>+IF(PROVEEDORES[[#This Row],[SUBTOTAL]]&lt;PROVEEDORES[[#This Row],[base retencion]],0,PROVEEDORES[[#This Row],[retención aplicada]])</f>
        <v>0</v>
      </c>
      <c r="Q167" s="24">
        <f>+PROVEEDORES[[#This Row],[Rete Fuente %]]*PROVEEDORES[[#This Row],[SUBTOTAL]]</f>
        <v>0</v>
      </c>
      <c r="R167" s="23">
        <v>3219678</v>
      </c>
      <c r="S16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" s="99">
        <f ca="1">IF(PROVEEDORES[[#This Row],[FECHA DE PAGO]]=0,TODAY()-PROVEEDORES[[#This Row],[FECHA DE FACTURACIÓN]]-PROVEEDORES[[#This Row],[PLAZO Días]],0)</f>
        <v>0</v>
      </c>
      <c r="U167" s="149">
        <f>+VLOOKUP(PROVEEDORES[[#This Row],[PROVEEDOR]],Terceros!$A:$E,5,FALSE)</f>
        <v>0</v>
      </c>
      <c r="V167" s="150">
        <f>+YEAR(PROVEEDORES[[#This Row],[FECHA DE FACTURACIÓN]])</f>
        <v>2021</v>
      </c>
      <c r="W167" s="150">
        <f>+MATCH(PROVEEDORES[[#This Row],[año facturado]],Retenciones!$1:$1,0)</f>
        <v>4</v>
      </c>
      <c r="X167" s="151">
        <f>+VLOOKUP(PROVEEDORES[[#This Row],[ID RETENCION]],Retenciones!$A$1:$O$24,PROVEEDORES[[#This Row],[indicador de columna]],FALSE)</f>
        <v>0</v>
      </c>
      <c r="Y167" s="152">
        <f>+VLOOKUP(PROVEEDORES[[#This Row],[ID RETENCION]],Retenciones!$A$1:$O$24,2,FALSE)</f>
        <v>0</v>
      </c>
      <c r="Z167" s="26"/>
      <c r="AA167" s="26"/>
      <c r="AB167" s="26"/>
      <c r="AC167" s="26"/>
      <c r="AD167" s="26"/>
      <c r="AE167" s="26"/>
    </row>
    <row r="168" spans="1:31" ht="21.95" customHeight="1" x14ac:dyDescent="0.25">
      <c r="A168" s="97" t="str">
        <f>+IF(PROVEEDORES[[#This Row],[FECHA DE PAGO]]=PROVEEDORES[[#This Row],[FECHA DE FACTURACIÓN]],"DE CONTADO","CRÉDITO")</f>
        <v>CRÉDITO</v>
      </c>
      <c r="B168" s="41" t="str">
        <f>+IF((PROVEEDORES[[#This Row],[FECHA DE PAGO]]-PROVEEDORES[[#This Row],[FECHA DE FACTURACIÓN]])&gt;PROVEEDORES[[#This Row],[PLAZO Días]],"PAGO VENCIDO")</f>
        <v>PAGO VENCIDO</v>
      </c>
      <c r="C168" s="22">
        <f>+VLOOKUP(PROVEEDORES[[#This Row],[PROVEEDOR]],TERCEROS_INFO[#All],2,FALSE)</f>
        <v>30</v>
      </c>
      <c r="D168" s="27">
        <f>+SUMIFS(PROVEEDORES[Total],PROVEEDORES[PROVEEDOR],PROVEEDORES[[#This Row],[PROVEEDOR]],PROVEEDORES[FECHA DE PAGO],"")</f>
        <v>479654.98979999998</v>
      </c>
      <c r="E168" s="27"/>
      <c r="F168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168" s="95">
        <v>44328</v>
      </c>
      <c r="H168" s="28" t="s">
        <v>1139</v>
      </c>
      <c r="I168" s="95">
        <v>44243</v>
      </c>
      <c r="J168" s="38" t="s">
        <v>349</v>
      </c>
      <c r="K168" s="23">
        <v>-95798.32</v>
      </c>
      <c r="L168" s="23"/>
      <c r="M168" s="24">
        <v>-18201.680800000002</v>
      </c>
      <c r="N168" s="25"/>
      <c r="O168" s="24">
        <v>0</v>
      </c>
      <c r="P168" s="136">
        <f>+IF(PROVEEDORES[[#This Row],[SUBTOTAL]]&lt;PROVEEDORES[[#This Row],[base retencion]],0,PROVEEDORES[[#This Row],[retención aplicada]])</f>
        <v>0</v>
      </c>
      <c r="Q168" s="24">
        <f>+PROVEEDORES[[#This Row],[Rete Fuente %]]*PROVEEDORES[[#This Row],[SUBTOTAL]]</f>
        <v>0</v>
      </c>
      <c r="R168" s="23">
        <v>-111605.04280000001</v>
      </c>
      <c r="S16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" s="99">
        <f ca="1">IF(PROVEEDORES[[#This Row],[FECHA DE PAGO]]=0,TODAY()-PROVEEDORES[[#This Row],[FECHA DE FACTURACIÓN]]-PROVEEDORES[[#This Row],[PLAZO Días]],0)</f>
        <v>0</v>
      </c>
      <c r="U168" s="149" t="str">
        <f>+VLOOKUP(PROVEEDORES[[#This Row],[PROVEEDOR]],Terceros!$A:$E,5,FALSE)</f>
        <v>2,5% con base</v>
      </c>
      <c r="V168" s="150">
        <f>+YEAR(PROVEEDORES[[#This Row],[FECHA DE FACTURACIÓN]])</f>
        <v>2021</v>
      </c>
      <c r="W168" s="150">
        <f>+MATCH(PROVEEDORES[[#This Row],[año facturado]],Retenciones!$1:$1,0)</f>
        <v>4</v>
      </c>
      <c r="X168" s="151">
        <f>+VLOOKUP(PROVEEDORES[[#This Row],[ID RETENCION]],Retenciones!$A$1:$O$24,PROVEEDORES[[#This Row],[indicador de columna]],FALSE)</f>
        <v>980000</v>
      </c>
      <c r="Y168" s="152">
        <f>+VLOOKUP(PROVEEDORES[[#This Row],[ID RETENCION]],Retenciones!$A$1:$O$24,2,FALSE)</f>
        <v>2.5000000000000001E-2</v>
      </c>
      <c r="Z168" s="26"/>
      <c r="AA168" s="26"/>
      <c r="AB168" s="26"/>
      <c r="AC168" s="26"/>
      <c r="AD168" s="26"/>
      <c r="AE168" s="26"/>
    </row>
    <row r="169" spans="1:31" ht="21.95" customHeight="1" x14ac:dyDescent="0.25">
      <c r="A169" s="97" t="str">
        <f>+IF(PROVEEDORES[[#This Row],[FECHA DE PAGO]]=PROVEEDORES[[#This Row],[FECHA DE FACTURACIÓN]],"DE CONTADO","CRÉDITO")</f>
        <v>CRÉDITO</v>
      </c>
      <c r="B169" s="41" t="str">
        <f>+IF((PROVEEDORES[[#This Row],[FECHA DE PAGO]]-PROVEEDORES[[#This Row],[FECHA DE FACTURACIÓN]])&gt;PROVEEDORES[[#This Row],[PLAZO Días]],"PAGO VENCIDO")</f>
        <v>PAGO VENCIDO</v>
      </c>
      <c r="C169" s="22">
        <f>+VLOOKUP(PROVEEDORES[[#This Row],[PROVEEDOR]],TERCEROS_INFO[#All],2,FALSE)</f>
        <v>30</v>
      </c>
      <c r="D169" s="27">
        <f>+SUMIFS(PROVEEDORES[Total],PROVEEDORES[PROVEEDOR],PROVEEDORES[[#This Row],[PROVEEDOR]],PROVEEDORES[FECHA DE PAGO],"")</f>
        <v>0</v>
      </c>
      <c r="E169" s="27"/>
      <c r="F169" s="62" t="str">
        <f>+VLOOKUP(PROVEEDORES[[#This Row],[PROVEEDOR]],
                       Terceros!$A:$G,
                       6,
                       FALSE)</f>
        <v>Fernando.Carmona@energizer.com;girlesa.ruiz@servipilas.com;joriescobar64@gmail.com</v>
      </c>
      <c r="G169" s="95">
        <v>44321</v>
      </c>
      <c r="H169" s="28" t="s">
        <v>47</v>
      </c>
      <c r="I169" s="95">
        <v>44243</v>
      </c>
      <c r="J169" s="38" t="s">
        <v>218</v>
      </c>
      <c r="K169" s="23">
        <v>-54316</v>
      </c>
      <c r="L169" s="23"/>
      <c r="M169" s="24">
        <v>-10320.040000000001</v>
      </c>
      <c r="N169" s="25"/>
      <c r="O169" s="24">
        <v>0</v>
      </c>
      <c r="P169" s="136">
        <f>+IF(PROVEEDORES[[#This Row],[SUBTOTAL]]&lt;PROVEEDORES[[#This Row],[base retencion]],0,PROVEEDORES[[#This Row],[retención aplicada]])</f>
        <v>0</v>
      </c>
      <c r="Q169" s="24">
        <f>+PROVEEDORES[[#This Row],[Rete Fuente %]]*PROVEEDORES[[#This Row],[SUBTOTAL]]</f>
        <v>0</v>
      </c>
      <c r="R169" s="23">
        <v>-64636.04</v>
      </c>
      <c r="S16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" s="99">
        <f ca="1">IF(PROVEEDORES[[#This Row],[FECHA DE PAGO]]=0,TODAY()-PROVEEDORES[[#This Row],[FECHA DE FACTURACIÓN]]-PROVEEDORES[[#This Row],[PLAZO Días]],0)</f>
        <v>0</v>
      </c>
      <c r="U169" s="149">
        <f>+VLOOKUP(PROVEEDORES[[#This Row],[PROVEEDOR]],Terceros!$A:$E,5,FALSE)</f>
        <v>0</v>
      </c>
      <c r="V169" s="150">
        <f>+YEAR(PROVEEDORES[[#This Row],[FECHA DE FACTURACIÓN]])</f>
        <v>2021</v>
      </c>
      <c r="W169" s="150">
        <f>+MATCH(PROVEEDORES[[#This Row],[año facturado]],Retenciones!$1:$1,0)</f>
        <v>4</v>
      </c>
      <c r="X169" s="151">
        <f>+VLOOKUP(PROVEEDORES[[#This Row],[ID RETENCION]],Retenciones!$A$1:$O$24,PROVEEDORES[[#This Row],[indicador de columna]],FALSE)</f>
        <v>0</v>
      </c>
      <c r="Y169" s="152">
        <f>+VLOOKUP(PROVEEDORES[[#This Row],[ID RETENCION]],Retenciones!$A$1:$O$24,2,FALSE)</f>
        <v>0</v>
      </c>
      <c r="Z169" s="26"/>
      <c r="AA169" s="26"/>
      <c r="AB169" s="26"/>
      <c r="AC169" s="26"/>
      <c r="AD169" s="26"/>
      <c r="AE169" s="26"/>
    </row>
    <row r="170" spans="1:31" ht="21.95" customHeight="1" x14ac:dyDescent="0.25">
      <c r="A170" s="97" t="str">
        <f>+IF(PROVEEDORES[[#This Row],[FECHA DE PAGO]]=PROVEEDORES[[#This Row],[FECHA DE FACTURACIÓN]],"DE CONTADO","CRÉDITO")</f>
        <v>CRÉDITO</v>
      </c>
      <c r="B170" s="41" t="b">
        <f>+IF((PROVEEDORES[[#This Row],[FECHA DE PAGO]]-PROVEEDORES[[#This Row],[FECHA DE FACTURACIÓN]])&gt;PROVEEDORES[[#This Row],[PLAZO Días]],"PAGO VENCIDO")</f>
        <v>0</v>
      </c>
      <c r="C170" s="22">
        <f>+VLOOKUP(PROVEEDORES[[#This Row],[PROVEEDOR]],TERCEROS_INFO[#All],2,FALSE)</f>
        <v>30</v>
      </c>
      <c r="D170" s="27">
        <f>+SUMIFS(PROVEEDORES[Total],PROVEEDORES[PROVEEDOR],PROVEEDORES[[#This Row],[PROVEEDOR]],PROVEEDORES[FECHA DE PAGO],"")</f>
        <v>0</v>
      </c>
      <c r="E170" s="27"/>
      <c r="F170" s="62" t="str">
        <f>+VLOOKUP(PROVEEDORES[[#This Row],[PROVEEDOR]],
                       Terceros!$A:$G,
                       6,
                       FALSE)</f>
        <v>BRIGHTSIDELED2019@gmail.com;girlesa.ruiz@servipilas.com;joriescobar64@gmail.com</v>
      </c>
      <c r="G170" s="95">
        <v>44264</v>
      </c>
      <c r="H170" s="28" t="s">
        <v>1038</v>
      </c>
      <c r="I170" s="95">
        <v>44243</v>
      </c>
      <c r="J170" s="38">
        <v>4110</v>
      </c>
      <c r="K170" s="23">
        <v>530000</v>
      </c>
      <c r="L170" s="23"/>
      <c r="M170" s="24">
        <v>0</v>
      </c>
      <c r="N170" s="25"/>
      <c r="O170" s="24">
        <v>0</v>
      </c>
      <c r="P170" s="136">
        <f>+IF(PROVEEDORES[[#This Row],[SUBTOTAL]]&lt;PROVEEDORES[[#This Row],[base retencion]],0,PROVEEDORES[[#This Row],[retención aplicada]])</f>
        <v>0</v>
      </c>
      <c r="Q170" s="24">
        <f>+PROVEEDORES[[#This Row],[Rete Fuente %]]*PROVEEDORES[[#This Row],[SUBTOTAL]]</f>
        <v>0</v>
      </c>
      <c r="R170" s="23">
        <v>530000</v>
      </c>
      <c r="S17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" s="99">
        <f ca="1">IF(PROVEEDORES[[#This Row],[FECHA DE PAGO]]=0,TODAY()-PROVEEDORES[[#This Row],[FECHA DE FACTURACIÓN]]-PROVEEDORES[[#This Row],[PLAZO Días]],0)</f>
        <v>0</v>
      </c>
      <c r="U170" s="149">
        <f>+VLOOKUP(PROVEEDORES[[#This Row],[PROVEEDOR]],Terceros!$A:$E,5,FALSE)</f>
        <v>0</v>
      </c>
      <c r="V170" s="150">
        <f>+YEAR(PROVEEDORES[[#This Row],[FECHA DE FACTURACIÓN]])</f>
        <v>2021</v>
      </c>
      <c r="W170" s="150">
        <f>+MATCH(PROVEEDORES[[#This Row],[año facturado]],Retenciones!$1:$1,0)</f>
        <v>4</v>
      </c>
      <c r="X170" s="151">
        <f>+VLOOKUP(PROVEEDORES[[#This Row],[ID RETENCION]],Retenciones!$A$1:$O$24,PROVEEDORES[[#This Row],[indicador de columna]],FALSE)</f>
        <v>0</v>
      </c>
      <c r="Y170" s="152">
        <f>+VLOOKUP(PROVEEDORES[[#This Row],[ID RETENCION]],Retenciones!$A$1:$O$24,2,FALSE)</f>
        <v>0</v>
      </c>
      <c r="Z170" s="26"/>
      <c r="AA170" s="26"/>
      <c r="AB170" s="26"/>
      <c r="AC170" s="26"/>
      <c r="AD170" s="26"/>
      <c r="AE170" s="26"/>
    </row>
    <row r="171" spans="1:31" ht="21.95" customHeight="1" x14ac:dyDescent="0.25">
      <c r="A171" s="97" t="str">
        <f>+IF(PROVEEDORES[[#This Row],[FECHA DE PAGO]]=PROVEEDORES[[#This Row],[FECHA DE FACTURACIÓN]],"DE CONTADO","CRÉDITO")</f>
        <v>CRÉDITO</v>
      </c>
      <c r="B171" s="41" t="str">
        <f>+IF((PROVEEDORES[[#This Row],[FECHA DE PAGO]]-PROVEEDORES[[#This Row],[FECHA DE FACTURACIÓN]])&gt;PROVEEDORES[[#This Row],[PLAZO Días]],"PAGO VENCIDO")</f>
        <v>PAGO VENCIDO</v>
      </c>
      <c r="C171" s="22">
        <f>+VLOOKUP(PROVEEDORES[[#This Row],[PROVEEDOR]],TERCEROS_INFO[#All],2,FALSE)</f>
        <v>30</v>
      </c>
      <c r="D171" s="27">
        <f>+SUMIFS(PROVEEDORES[Total],PROVEEDORES[PROVEEDOR],PROVEEDORES[[#This Row],[PROVEEDOR]],PROVEEDORES[FECHA DE PAGO],"")</f>
        <v>0</v>
      </c>
      <c r="E171" s="27"/>
      <c r="F171" s="62" t="str">
        <f>+VLOOKUP(PROVEEDORES[[#This Row],[PROVEEDOR]],
                       Terceros!$A:$G,
                       6,
                       FALSE)</f>
        <v/>
      </c>
      <c r="G171" s="95">
        <v>44340</v>
      </c>
      <c r="H171" s="28" t="s">
        <v>983</v>
      </c>
      <c r="I171" s="95">
        <v>44243</v>
      </c>
      <c r="J171" s="38" t="s">
        <v>677</v>
      </c>
      <c r="K171" s="23">
        <v>595000</v>
      </c>
      <c r="L171" s="23"/>
      <c r="M171" s="24">
        <v>0</v>
      </c>
      <c r="N171" s="25"/>
      <c r="O171" s="24">
        <v>0</v>
      </c>
      <c r="P171" s="136">
        <f>+IF(PROVEEDORES[[#This Row],[SUBTOTAL]]&lt;PROVEEDORES[[#This Row],[base retencion]],0,PROVEEDORES[[#This Row],[retención aplicada]])</f>
        <v>0</v>
      </c>
      <c r="Q171" s="24">
        <f>+PROVEEDORES[[#This Row],[Rete Fuente %]]*PROVEEDORES[[#This Row],[SUBTOTAL]]</f>
        <v>0</v>
      </c>
      <c r="R171" s="23">
        <v>595000</v>
      </c>
      <c r="S17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" s="99">
        <f ca="1">IF(PROVEEDORES[[#This Row],[FECHA DE PAGO]]=0,TODAY()-PROVEEDORES[[#This Row],[FECHA DE FACTURACIÓN]]-PROVEEDORES[[#This Row],[PLAZO Días]],0)</f>
        <v>0</v>
      </c>
      <c r="U171" s="149">
        <f>+VLOOKUP(PROVEEDORES[[#This Row],[PROVEEDOR]],Terceros!$A:$E,5,FALSE)</f>
        <v>0</v>
      </c>
      <c r="V171" s="150">
        <f>+YEAR(PROVEEDORES[[#This Row],[FECHA DE FACTURACIÓN]])</f>
        <v>2021</v>
      </c>
      <c r="W171" s="150">
        <f>+MATCH(PROVEEDORES[[#This Row],[año facturado]],Retenciones!$1:$1,0)</f>
        <v>4</v>
      </c>
      <c r="X171" s="151">
        <f>+VLOOKUP(PROVEEDORES[[#This Row],[ID RETENCION]],Retenciones!$A$1:$O$24,PROVEEDORES[[#This Row],[indicador de columna]],FALSE)</f>
        <v>0</v>
      </c>
      <c r="Y171" s="152">
        <f>+VLOOKUP(PROVEEDORES[[#This Row],[ID RETENCION]],Retenciones!$A$1:$O$24,2,FALSE)</f>
        <v>0</v>
      </c>
      <c r="Z171" s="26"/>
      <c r="AA171" s="26"/>
      <c r="AB171" s="26"/>
      <c r="AC171" s="26"/>
      <c r="AD171" s="26"/>
      <c r="AE171" s="26"/>
    </row>
    <row r="172" spans="1:31" ht="21.95" customHeight="1" x14ac:dyDescent="0.25">
      <c r="A172" s="97" t="str">
        <f>+IF(PROVEEDORES[[#This Row],[FECHA DE PAGO]]=PROVEEDORES[[#This Row],[FECHA DE FACTURACIÓN]],"DE CONTADO","CRÉDITO")</f>
        <v>CRÉDITO</v>
      </c>
      <c r="B172" s="41" t="str">
        <f>+IF((PROVEEDORES[[#This Row],[FECHA DE PAGO]]-PROVEEDORES[[#This Row],[FECHA DE FACTURACIÓN]])&gt;PROVEEDORES[[#This Row],[PLAZO Días]],"PAGO VENCIDO")</f>
        <v>PAGO VENCIDO</v>
      </c>
      <c r="C172" s="22">
        <f>+VLOOKUP(PROVEEDORES[[#This Row],[PROVEEDOR]],TERCEROS_INFO[#All],2,FALSE)</f>
        <v>30</v>
      </c>
      <c r="D172" s="27">
        <f>+SUMIFS(PROVEEDORES[Total],PROVEEDORES[PROVEEDOR],PROVEEDORES[[#This Row],[PROVEEDOR]],PROVEEDORES[FECHA DE PAGO],"")</f>
        <v>479654.98979999998</v>
      </c>
      <c r="E172" s="27"/>
      <c r="F172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172" s="95">
        <v>44348</v>
      </c>
      <c r="H172" s="28" t="s">
        <v>1139</v>
      </c>
      <c r="I172" s="95">
        <v>44244</v>
      </c>
      <c r="J172" s="38">
        <v>830</v>
      </c>
      <c r="K172" s="23">
        <v>738655.46</v>
      </c>
      <c r="L172" s="23"/>
      <c r="M172" s="24">
        <v>140344.5374</v>
      </c>
      <c r="N172" s="25"/>
      <c r="O172" s="24">
        <v>0</v>
      </c>
      <c r="P172" s="136">
        <f>+IF(PROVEEDORES[[#This Row],[SUBTOTAL]]&lt;PROVEEDORES[[#This Row],[base retencion]],0,PROVEEDORES[[#This Row],[retención aplicada]])</f>
        <v>0</v>
      </c>
      <c r="Q172" s="24">
        <f>+PROVEEDORES[[#This Row],[Rete Fuente %]]*PROVEEDORES[[#This Row],[SUBTOTAL]]</f>
        <v>0</v>
      </c>
      <c r="R172" s="23">
        <v>878999.99739999999</v>
      </c>
      <c r="S17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" s="99">
        <f ca="1">IF(PROVEEDORES[[#This Row],[FECHA DE PAGO]]=0,TODAY()-PROVEEDORES[[#This Row],[FECHA DE FACTURACIÓN]]-PROVEEDORES[[#This Row],[PLAZO Días]],0)</f>
        <v>0</v>
      </c>
      <c r="U172" s="149" t="str">
        <f>+VLOOKUP(PROVEEDORES[[#This Row],[PROVEEDOR]],Terceros!$A:$E,5,FALSE)</f>
        <v>2,5% con base</v>
      </c>
      <c r="V172" s="150">
        <f>+YEAR(PROVEEDORES[[#This Row],[FECHA DE FACTURACIÓN]])</f>
        <v>2021</v>
      </c>
      <c r="W172" s="150">
        <f>+MATCH(PROVEEDORES[[#This Row],[año facturado]],Retenciones!$1:$1,0)</f>
        <v>4</v>
      </c>
      <c r="X172" s="151">
        <f>+VLOOKUP(PROVEEDORES[[#This Row],[ID RETENCION]],Retenciones!$A$1:$O$24,PROVEEDORES[[#This Row],[indicador de columna]],FALSE)</f>
        <v>980000</v>
      </c>
      <c r="Y172" s="152">
        <f>+VLOOKUP(PROVEEDORES[[#This Row],[ID RETENCION]],Retenciones!$A$1:$O$24,2,FALSE)</f>
        <v>2.5000000000000001E-2</v>
      </c>
      <c r="Z172" s="26"/>
      <c r="AA172" s="26"/>
      <c r="AB172" s="26"/>
      <c r="AC172" s="26"/>
      <c r="AD172" s="26"/>
      <c r="AE172" s="26"/>
    </row>
    <row r="173" spans="1:31" ht="21.95" customHeight="1" x14ac:dyDescent="0.25">
      <c r="A173" s="97" t="str">
        <f>+IF(PROVEEDORES[[#This Row],[FECHA DE PAGO]]=PROVEEDORES[[#This Row],[FECHA DE FACTURACIÓN]],"DE CONTADO","CRÉDITO")</f>
        <v>DE CONTADO</v>
      </c>
      <c r="B173" s="41" t="b">
        <f>+IF((PROVEEDORES[[#This Row],[FECHA DE PAGO]]-PROVEEDORES[[#This Row],[FECHA DE FACTURACIÓN]])&gt;PROVEEDORES[[#This Row],[PLAZO Días]],"PAGO VENCIDO")</f>
        <v>0</v>
      </c>
      <c r="C173" s="22">
        <f>+VLOOKUP(PROVEEDORES[[#This Row],[PROVEEDOR]],TERCEROS_INFO[#All],2,FALSE)</f>
        <v>30</v>
      </c>
      <c r="D173" s="27">
        <f>+SUMIFS(PROVEEDORES[Total],PROVEEDORES[PROVEEDOR],PROVEEDORES[[#This Row],[PROVEEDOR]],PROVEEDORES[FECHA DE PAGO],"")</f>
        <v>0</v>
      </c>
      <c r="E173" s="27"/>
      <c r="F173" s="62" t="str">
        <f>+VLOOKUP(PROVEEDORES[[#This Row],[PROVEEDOR]],
                       Terceros!$A:$G,
                       6,
                       FALSE)</f>
        <v/>
      </c>
      <c r="G173" s="95">
        <v>44244</v>
      </c>
      <c r="H173" s="28" t="s">
        <v>1046</v>
      </c>
      <c r="I173" s="95">
        <v>44244</v>
      </c>
      <c r="J173" s="38"/>
      <c r="K173" s="23">
        <v>1000000</v>
      </c>
      <c r="L173" s="23"/>
      <c r="M173" s="24">
        <v>0</v>
      </c>
      <c r="N173" s="25"/>
      <c r="O173" s="24">
        <v>0</v>
      </c>
      <c r="P173" s="136">
        <f>+IF(PROVEEDORES[[#This Row],[SUBTOTAL]]&lt;PROVEEDORES[[#This Row],[base retencion]],0,PROVEEDORES[[#This Row],[retención aplicada]])</f>
        <v>0</v>
      </c>
      <c r="Q173" s="24">
        <f>+PROVEEDORES[[#This Row],[Rete Fuente %]]*PROVEEDORES[[#This Row],[SUBTOTAL]]</f>
        <v>0</v>
      </c>
      <c r="R173" s="23">
        <v>1000000</v>
      </c>
      <c r="S17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" s="99">
        <f ca="1">IF(PROVEEDORES[[#This Row],[FECHA DE PAGO]]=0,TODAY()-PROVEEDORES[[#This Row],[FECHA DE FACTURACIÓN]]-PROVEEDORES[[#This Row],[PLAZO Días]],0)</f>
        <v>0</v>
      </c>
      <c r="U173" s="149">
        <f>+VLOOKUP(PROVEEDORES[[#This Row],[PROVEEDOR]],Terceros!$A:$E,5,FALSE)</f>
        <v>0</v>
      </c>
      <c r="V173" s="150">
        <f>+YEAR(PROVEEDORES[[#This Row],[FECHA DE FACTURACIÓN]])</f>
        <v>2021</v>
      </c>
      <c r="W173" s="150">
        <f>+MATCH(PROVEEDORES[[#This Row],[año facturado]],Retenciones!$1:$1,0)</f>
        <v>4</v>
      </c>
      <c r="X173" s="151">
        <f>+VLOOKUP(PROVEEDORES[[#This Row],[ID RETENCION]],Retenciones!$A$1:$O$24,PROVEEDORES[[#This Row],[indicador de columna]],FALSE)</f>
        <v>0</v>
      </c>
      <c r="Y173" s="152">
        <f>+VLOOKUP(PROVEEDORES[[#This Row],[ID RETENCION]],Retenciones!$A$1:$O$24,2,FALSE)</f>
        <v>0</v>
      </c>
      <c r="Z173" s="26"/>
      <c r="AA173" s="26"/>
      <c r="AB173" s="26"/>
      <c r="AC173" s="26"/>
      <c r="AD173" s="26"/>
      <c r="AE173" s="26"/>
    </row>
    <row r="174" spans="1:31" ht="21.95" customHeight="1" x14ac:dyDescent="0.25">
      <c r="A174" s="97" t="str">
        <f>+IF(PROVEEDORES[[#This Row],[FECHA DE PAGO]]=PROVEEDORES[[#This Row],[FECHA DE FACTURACIÓN]],"DE CONTADO","CRÉDITO")</f>
        <v>CRÉDITO</v>
      </c>
      <c r="B174" s="41" t="b">
        <f>+IF((PROVEEDORES[[#This Row],[FECHA DE PAGO]]-PROVEEDORES[[#This Row],[FECHA DE FACTURACIÓN]])&gt;PROVEEDORES[[#This Row],[PLAZO Días]],"PAGO VENCIDO")</f>
        <v>0</v>
      </c>
      <c r="C174" s="22">
        <f>+VLOOKUP(PROVEEDORES[[#This Row],[PROVEEDOR]],TERCEROS_INFO[#All],2,FALSE)</f>
        <v>30</v>
      </c>
      <c r="D174" s="27">
        <f>+SUMIFS(PROVEEDORES[Total],PROVEEDORES[PROVEEDOR],PROVEEDORES[[#This Row],[PROVEEDOR]],PROVEEDORES[FECHA DE PAGO],"")</f>
        <v>0</v>
      </c>
      <c r="E174" s="27"/>
      <c r="F174" s="62" t="str">
        <f>+VLOOKUP(PROVEEDORES[[#This Row],[PROVEEDOR]],
                       Terceros!$A:$G,
                       6,
                       FALSE)</f>
        <v>vromero@flashinternational.us;girlesa.ruiz@servipilas.com;joriescobar64@gmail.com</v>
      </c>
      <c r="G174" s="95">
        <v>44245</v>
      </c>
      <c r="H174" s="28" t="s">
        <v>133</v>
      </c>
      <c r="I174" s="95">
        <v>44244</v>
      </c>
      <c r="J174" s="38" t="s">
        <v>220</v>
      </c>
      <c r="K174" s="23">
        <v>1190000</v>
      </c>
      <c r="L174" s="23"/>
      <c r="M174" s="24">
        <v>0</v>
      </c>
      <c r="N174" s="25"/>
      <c r="O174" s="24">
        <v>0</v>
      </c>
      <c r="P174" s="136">
        <f>+IF(PROVEEDORES[[#This Row],[SUBTOTAL]]&lt;PROVEEDORES[[#This Row],[base retencion]],0,PROVEEDORES[[#This Row],[retención aplicada]])</f>
        <v>0</v>
      </c>
      <c r="Q174" s="24">
        <f>+PROVEEDORES[[#This Row],[Rete Fuente %]]*PROVEEDORES[[#This Row],[SUBTOTAL]]</f>
        <v>0</v>
      </c>
      <c r="R174" s="23">
        <v>1190000</v>
      </c>
      <c r="S17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" s="99">
        <f ca="1">IF(PROVEEDORES[[#This Row],[FECHA DE PAGO]]=0,TODAY()-PROVEEDORES[[#This Row],[FECHA DE FACTURACIÓN]]-PROVEEDORES[[#This Row],[PLAZO Días]],0)</f>
        <v>0</v>
      </c>
      <c r="U174" s="149">
        <f>+VLOOKUP(PROVEEDORES[[#This Row],[PROVEEDOR]],Terceros!$A:$E,5,FALSE)</f>
        <v>0</v>
      </c>
      <c r="V174" s="150">
        <f>+YEAR(PROVEEDORES[[#This Row],[FECHA DE FACTURACIÓN]])</f>
        <v>2021</v>
      </c>
      <c r="W174" s="150">
        <f>+MATCH(PROVEEDORES[[#This Row],[año facturado]],Retenciones!$1:$1,0)</f>
        <v>4</v>
      </c>
      <c r="X174" s="151">
        <f>+VLOOKUP(PROVEEDORES[[#This Row],[ID RETENCION]],Retenciones!$A$1:$O$24,PROVEEDORES[[#This Row],[indicador de columna]],FALSE)</f>
        <v>0</v>
      </c>
      <c r="Y174" s="152">
        <f>+VLOOKUP(PROVEEDORES[[#This Row],[ID RETENCION]],Retenciones!$A$1:$O$24,2,FALSE)</f>
        <v>0</v>
      </c>
      <c r="Z174" s="26"/>
      <c r="AA174" s="26"/>
      <c r="AB174" s="26"/>
      <c r="AC174" s="26"/>
      <c r="AD174" s="26"/>
      <c r="AE174" s="26"/>
    </row>
    <row r="175" spans="1:31" ht="21.95" customHeight="1" x14ac:dyDescent="0.25">
      <c r="A175" s="97" t="str">
        <f>+IF(PROVEEDORES[[#This Row],[FECHA DE PAGO]]=PROVEEDORES[[#This Row],[FECHA DE FACTURACIÓN]],"DE CONTADO","CRÉDITO")</f>
        <v>CRÉDITO</v>
      </c>
      <c r="B175" s="41" t="str">
        <f>+IF((PROVEEDORES[[#This Row],[FECHA DE PAGO]]-PROVEEDORES[[#This Row],[FECHA DE FACTURACIÓN]])&gt;PROVEEDORES[[#This Row],[PLAZO Días]],"PAGO VENCIDO")</f>
        <v>PAGO VENCIDO</v>
      </c>
      <c r="C175" s="22">
        <f>+VLOOKUP(PROVEEDORES[[#This Row],[PROVEEDOR]],TERCEROS_INFO[#All],2,FALSE)</f>
        <v>30</v>
      </c>
      <c r="D175" s="27">
        <f>+SUMIFS(PROVEEDORES[Total],PROVEEDORES[PROVEEDOR],PROVEEDORES[[#This Row],[PROVEEDOR]],PROVEEDORES[FECHA DE PAGO],"")</f>
        <v>0</v>
      </c>
      <c r="E175" s="27"/>
      <c r="F175" s="62" t="str">
        <f>+VLOOKUP(PROVEEDORES[[#This Row],[PROVEEDOR]],
                       Terceros!$A:$G,
                       6,
                       FALSE)</f>
        <v>Pygimportadora@gmail.com;girlesa.ruiz@servipilas.com;joriescobar64@gmail.com</v>
      </c>
      <c r="G175" s="95">
        <v>44298</v>
      </c>
      <c r="H175" s="28" t="s">
        <v>26</v>
      </c>
      <c r="I175" s="95">
        <v>44244</v>
      </c>
      <c r="J175" s="38">
        <v>910</v>
      </c>
      <c r="K175" s="23">
        <v>2410000</v>
      </c>
      <c r="L175" s="23"/>
      <c r="M175" s="24">
        <v>457900</v>
      </c>
      <c r="N175" s="25"/>
      <c r="O175" s="24">
        <v>0</v>
      </c>
      <c r="P175" s="136">
        <f>+IF(PROVEEDORES[[#This Row],[SUBTOTAL]]&lt;PROVEEDORES[[#This Row],[base retencion]],0,PROVEEDORES[[#This Row],[retención aplicada]])</f>
        <v>2.5000000000000001E-2</v>
      </c>
      <c r="Q175" s="24">
        <f>+PROVEEDORES[[#This Row],[Rete Fuente %]]*PROVEEDORES[[#This Row],[SUBTOTAL]]</f>
        <v>60250</v>
      </c>
      <c r="R175" s="23">
        <v>2807650</v>
      </c>
      <c r="S17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" s="99">
        <f ca="1">IF(PROVEEDORES[[#This Row],[FECHA DE PAGO]]=0,TODAY()-PROVEEDORES[[#This Row],[FECHA DE FACTURACIÓN]]-PROVEEDORES[[#This Row],[PLAZO Días]],0)</f>
        <v>0</v>
      </c>
      <c r="U175" s="149" t="str">
        <f>+VLOOKUP(PROVEEDORES[[#This Row],[PROVEEDOR]],Terceros!$A:$E,5,FALSE)</f>
        <v>2,5% con base</v>
      </c>
      <c r="V175" s="150">
        <f>+YEAR(PROVEEDORES[[#This Row],[FECHA DE FACTURACIÓN]])</f>
        <v>2021</v>
      </c>
      <c r="W175" s="150">
        <f>+MATCH(PROVEEDORES[[#This Row],[año facturado]],Retenciones!$1:$1,0)</f>
        <v>4</v>
      </c>
      <c r="X175" s="151">
        <f>+VLOOKUP(PROVEEDORES[[#This Row],[ID RETENCION]],Retenciones!$A$1:$O$24,PROVEEDORES[[#This Row],[indicador de columna]],FALSE)</f>
        <v>980000</v>
      </c>
      <c r="Y175" s="152">
        <f>+VLOOKUP(PROVEEDORES[[#This Row],[ID RETENCION]],Retenciones!$A$1:$O$24,2,FALSE)</f>
        <v>2.5000000000000001E-2</v>
      </c>
      <c r="Z175" s="26"/>
      <c r="AA175" s="26"/>
      <c r="AB175" s="26"/>
      <c r="AC175" s="26"/>
      <c r="AD175" s="26"/>
      <c r="AE175" s="26"/>
    </row>
    <row r="176" spans="1:31" ht="21.95" customHeight="1" x14ac:dyDescent="0.25">
      <c r="A176" s="97" t="str">
        <f>+IF(PROVEEDORES[[#This Row],[FECHA DE PAGO]]=PROVEEDORES[[#This Row],[FECHA DE FACTURACIÓN]],"DE CONTADO","CRÉDITO")</f>
        <v>DE CONTADO</v>
      </c>
      <c r="B176" s="41" t="b">
        <f>+IF((PROVEEDORES[[#This Row],[FECHA DE PAGO]]-PROVEEDORES[[#This Row],[FECHA DE FACTURACIÓN]])&gt;PROVEEDORES[[#This Row],[PLAZO Días]],"PAGO VENCIDO")</f>
        <v>0</v>
      </c>
      <c r="C176" s="22">
        <f>+VLOOKUP(PROVEEDORES[[#This Row],[PROVEEDOR]],TERCEROS_INFO[#All],2,FALSE)</f>
        <v>30</v>
      </c>
      <c r="D176" s="27">
        <f>+SUMIFS(PROVEEDORES[Total],PROVEEDORES[PROVEEDOR],PROVEEDORES[[#This Row],[PROVEEDOR]],PROVEEDORES[FECHA DE PAGO],"")</f>
        <v>0</v>
      </c>
      <c r="E176" s="27"/>
      <c r="F176" s="62" t="str">
        <f>+VLOOKUP(PROVEEDORES[[#This Row],[PROVEEDOR]],
                       Terceros!$A:$G,
                       6,
                       FALSE)</f>
        <v/>
      </c>
      <c r="G176" s="95">
        <v>44245</v>
      </c>
      <c r="H176" s="28" t="s">
        <v>1046</v>
      </c>
      <c r="I176" s="95">
        <v>44245</v>
      </c>
      <c r="J176" s="38"/>
      <c r="K176" s="23">
        <v>1000000</v>
      </c>
      <c r="L176" s="23"/>
      <c r="M176" s="24">
        <v>0</v>
      </c>
      <c r="N176" s="25"/>
      <c r="O176" s="24">
        <v>0</v>
      </c>
      <c r="P176" s="136">
        <f>+IF(PROVEEDORES[[#This Row],[SUBTOTAL]]&lt;PROVEEDORES[[#This Row],[base retencion]],0,PROVEEDORES[[#This Row],[retención aplicada]])</f>
        <v>0</v>
      </c>
      <c r="Q176" s="24">
        <f>+PROVEEDORES[[#This Row],[Rete Fuente %]]*PROVEEDORES[[#This Row],[SUBTOTAL]]</f>
        <v>0</v>
      </c>
      <c r="R176" s="23">
        <v>1000000</v>
      </c>
      <c r="S17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" s="99">
        <f ca="1">IF(PROVEEDORES[[#This Row],[FECHA DE PAGO]]=0,TODAY()-PROVEEDORES[[#This Row],[FECHA DE FACTURACIÓN]]-PROVEEDORES[[#This Row],[PLAZO Días]],0)</f>
        <v>0</v>
      </c>
      <c r="U176" s="149">
        <f>+VLOOKUP(PROVEEDORES[[#This Row],[PROVEEDOR]],Terceros!$A:$E,5,FALSE)</f>
        <v>0</v>
      </c>
      <c r="V176" s="150">
        <f>+YEAR(PROVEEDORES[[#This Row],[FECHA DE FACTURACIÓN]])</f>
        <v>2021</v>
      </c>
      <c r="W176" s="150">
        <f>+MATCH(PROVEEDORES[[#This Row],[año facturado]],Retenciones!$1:$1,0)</f>
        <v>4</v>
      </c>
      <c r="X176" s="151">
        <f>+VLOOKUP(PROVEEDORES[[#This Row],[ID RETENCION]],Retenciones!$A$1:$O$24,PROVEEDORES[[#This Row],[indicador de columna]],FALSE)</f>
        <v>0</v>
      </c>
      <c r="Y176" s="152">
        <f>+VLOOKUP(PROVEEDORES[[#This Row],[ID RETENCION]],Retenciones!$A$1:$O$24,2,FALSE)</f>
        <v>0</v>
      </c>
      <c r="Z176" s="26"/>
      <c r="AA176" s="26"/>
      <c r="AB176" s="26"/>
      <c r="AC176" s="26"/>
      <c r="AD176" s="26"/>
      <c r="AE176" s="26"/>
    </row>
    <row r="177" spans="1:31" ht="21.95" customHeight="1" x14ac:dyDescent="0.25">
      <c r="A177" s="97" t="str">
        <f>+IF(PROVEEDORES[[#This Row],[FECHA DE PAGO]]=PROVEEDORES[[#This Row],[FECHA DE FACTURACIÓN]],"DE CONTADO","CRÉDITO")</f>
        <v>DE CONTADO</v>
      </c>
      <c r="B177" s="41" t="b">
        <f>+IF((PROVEEDORES[[#This Row],[FECHA DE PAGO]]-PROVEEDORES[[#This Row],[FECHA DE FACTURACIÓN]])&gt;PROVEEDORES[[#This Row],[PLAZO Días]],"PAGO VENCIDO")</f>
        <v>0</v>
      </c>
      <c r="C177" s="22">
        <f>+VLOOKUP(PROVEEDORES[[#This Row],[PROVEEDOR]],TERCEROS_INFO[#All],2,FALSE)</f>
        <v>30</v>
      </c>
      <c r="D177" s="27">
        <f>+SUMIFS(PROVEEDORES[Total],PROVEEDORES[PROVEEDOR],PROVEEDORES[[#This Row],[PROVEEDOR]],PROVEEDORES[FECHA DE PAGO],"")</f>
        <v>0</v>
      </c>
      <c r="E177" s="27"/>
      <c r="F177" s="62" t="str">
        <f>+VLOOKUP(PROVEEDORES[[#This Row],[PROVEEDOR]],
                       Terceros!$A:$G,
                       6,
                       FALSE)</f>
        <v>vromero@flashinternational.us;girlesa.ruiz@servipilas.com;joriescobar64@gmail.com</v>
      </c>
      <c r="G177" s="95">
        <v>44245</v>
      </c>
      <c r="H177" s="28" t="s">
        <v>58</v>
      </c>
      <c r="I177" s="95">
        <v>44245</v>
      </c>
      <c r="J177" s="38" t="s">
        <v>221</v>
      </c>
      <c r="K177" s="23">
        <v>1944000</v>
      </c>
      <c r="L177" s="23"/>
      <c r="M177" s="24">
        <v>0</v>
      </c>
      <c r="N177" s="25"/>
      <c r="O177" s="24">
        <v>0</v>
      </c>
      <c r="P177" s="136">
        <f>+IF(PROVEEDORES[[#This Row],[SUBTOTAL]]&lt;PROVEEDORES[[#This Row],[base retencion]],0,PROVEEDORES[[#This Row],[retención aplicada]])</f>
        <v>0</v>
      </c>
      <c r="Q177" s="24">
        <f>+PROVEEDORES[[#This Row],[Rete Fuente %]]*PROVEEDORES[[#This Row],[SUBTOTAL]]</f>
        <v>0</v>
      </c>
      <c r="R177" s="23">
        <v>1944000</v>
      </c>
      <c r="S17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" s="99">
        <f ca="1">IF(PROVEEDORES[[#This Row],[FECHA DE PAGO]]=0,TODAY()-PROVEEDORES[[#This Row],[FECHA DE FACTURACIÓN]]-PROVEEDORES[[#This Row],[PLAZO Días]],0)</f>
        <v>0</v>
      </c>
      <c r="U177" s="149">
        <f>+VLOOKUP(PROVEEDORES[[#This Row],[PROVEEDOR]],Terceros!$A:$E,5,FALSE)</f>
        <v>0</v>
      </c>
      <c r="V177" s="150">
        <f>+YEAR(PROVEEDORES[[#This Row],[FECHA DE FACTURACIÓN]])</f>
        <v>2021</v>
      </c>
      <c r="W177" s="150">
        <f>+MATCH(PROVEEDORES[[#This Row],[año facturado]],Retenciones!$1:$1,0)</f>
        <v>4</v>
      </c>
      <c r="X177" s="151">
        <f>+VLOOKUP(PROVEEDORES[[#This Row],[ID RETENCION]],Retenciones!$A$1:$O$24,PROVEEDORES[[#This Row],[indicador de columna]],FALSE)</f>
        <v>0</v>
      </c>
      <c r="Y177" s="152">
        <f>+VLOOKUP(PROVEEDORES[[#This Row],[ID RETENCION]],Retenciones!$A$1:$O$24,2,FALSE)</f>
        <v>0</v>
      </c>
      <c r="Z177" s="26"/>
      <c r="AA177" s="26"/>
      <c r="AB177" s="26"/>
      <c r="AC177" s="26"/>
      <c r="AD177" s="26"/>
      <c r="AE177" s="26"/>
    </row>
    <row r="178" spans="1:31" ht="21.95" customHeight="1" x14ac:dyDescent="0.25">
      <c r="A178" s="97" t="str">
        <f>+IF(PROVEEDORES[[#This Row],[FECHA DE PAGO]]=PROVEEDORES[[#This Row],[FECHA DE FACTURACIÓN]],"DE CONTADO","CRÉDITO")</f>
        <v>CRÉDITO</v>
      </c>
      <c r="B178" s="41" t="str">
        <f>+IF((PROVEEDORES[[#This Row],[FECHA DE PAGO]]-PROVEEDORES[[#This Row],[FECHA DE FACTURACIÓN]])&gt;PROVEEDORES[[#This Row],[PLAZO Días]],"PAGO VENCIDO")</f>
        <v>PAGO VENCIDO</v>
      </c>
      <c r="C178" s="22">
        <f>+VLOOKUP(PROVEEDORES[[#This Row],[PROVEEDOR]],TERCEROS_INFO[#All],2,FALSE)</f>
        <v>30</v>
      </c>
      <c r="D178" s="27">
        <f>+SUMIFS(PROVEEDORES[Total],PROVEEDORES[PROVEEDOR],PROVEEDORES[[#This Row],[PROVEEDOR]],PROVEEDORES[FECHA DE PAGO],"")</f>
        <v>3844432.4999000002</v>
      </c>
      <c r="E178" s="27"/>
      <c r="F178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178" s="95">
        <v>44307</v>
      </c>
      <c r="H178" s="28" t="s">
        <v>18</v>
      </c>
      <c r="I178" s="95">
        <v>44246</v>
      </c>
      <c r="J178" s="38" t="s">
        <v>244</v>
      </c>
      <c r="K178" s="23">
        <v>-268907.56302521011</v>
      </c>
      <c r="L178" s="23"/>
      <c r="M178" s="24">
        <v>-51092.436974789918</v>
      </c>
      <c r="N178" s="25"/>
      <c r="O178" s="24">
        <v>0</v>
      </c>
      <c r="P178" s="136">
        <f>+IF(PROVEEDORES[[#This Row],[SUBTOTAL]]&lt;PROVEEDORES[[#This Row],[base retencion]],0,PROVEEDORES[[#This Row],[retención aplicada]])</f>
        <v>0</v>
      </c>
      <c r="Q178" s="24">
        <f>+PROVEEDORES[[#This Row],[Rete Fuente %]]*PROVEEDORES[[#This Row],[SUBTOTAL]]</f>
        <v>0</v>
      </c>
      <c r="R178" s="23">
        <v>-320000</v>
      </c>
      <c r="S17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" s="99">
        <f ca="1">IF(PROVEEDORES[[#This Row],[FECHA DE PAGO]]=0,TODAY()-PROVEEDORES[[#This Row],[FECHA DE FACTURACIÓN]]-PROVEEDORES[[#This Row],[PLAZO Días]],0)</f>
        <v>0</v>
      </c>
      <c r="U178" s="149" t="str">
        <f>+VLOOKUP(PROVEEDORES[[#This Row],[PROVEEDOR]],Terceros!$A:$E,5,FALSE)</f>
        <v>2,5% con base</v>
      </c>
      <c r="V178" s="150">
        <f>+YEAR(PROVEEDORES[[#This Row],[FECHA DE FACTURACIÓN]])</f>
        <v>2021</v>
      </c>
      <c r="W178" s="150">
        <f>+MATCH(PROVEEDORES[[#This Row],[año facturado]],Retenciones!$1:$1,0)</f>
        <v>4</v>
      </c>
      <c r="X178" s="151">
        <f>+VLOOKUP(PROVEEDORES[[#This Row],[ID RETENCION]],Retenciones!$A$1:$O$24,PROVEEDORES[[#This Row],[indicador de columna]],FALSE)</f>
        <v>980000</v>
      </c>
      <c r="Y178" s="152">
        <f>+VLOOKUP(PROVEEDORES[[#This Row],[ID RETENCION]],Retenciones!$A$1:$O$24,2,FALSE)</f>
        <v>2.5000000000000001E-2</v>
      </c>
      <c r="Z178" s="26"/>
      <c r="AA178" s="26"/>
      <c r="AB178" s="26"/>
      <c r="AC178" s="26"/>
      <c r="AD178" s="26"/>
      <c r="AE178" s="26"/>
    </row>
    <row r="179" spans="1:31" ht="21.95" customHeight="1" x14ac:dyDescent="0.25">
      <c r="A179" s="97" t="str">
        <f>+IF(PROVEEDORES[[#This Row],[FECHA DE PAGO]]=PROVEEDORES[[#This Row],[FECHA DE FACTURACIÓN]],"DE CONTADO","CRÉDITO")</f>
        <v>DE CONTADO</v>
      </c>
      <c r="B179" s="41" t="b">
        <f>+IF((PROVEEDORES[[#This Row],[FECHA DE PAGO]]-PROVEEDORES[[#This Row],[FECHA DE FACTURACIÓN]])&gt;PROVEEDORES[[#This Row],[PLAZO Días]],"PAGO VENCIDO")</f>
        <v>0</v>
      </c>
      <c r="C179" s="22">
        <f>+VLOOKUP(PROVEEDORES[[#This Row],[PROVEEDOR]],TERCEROS_INFO[#All],2,FALSE)</f>
        <v>30</v>
      </c>
      <c r="D179" s="27">
        <f>+SUMIFS(PROVEEDORES[Total],PROVEEDORES[PROVEEDOR],PROVEEDORES[[#This Row],[PROVEEDOR]],PROVEEDORES[FECHA DE PAGO],"")</f>
        <v>0</v>
      </c>
      <c r="E179" s="27"/>
      <c r="F179" s="62" t="str">
        <f>+VLOOKUP(PROVEEDORES[[#This Row],[PROVEEDOR]],
                       Terceros!$A:$G,
                       6,
                       FALSE)</f>
        <v/>
      </c>
      <c r="G179" s="95">
        <v>44246</v>
      </c>
      <c r="H179" s="28" t="s">
        <v>1059</v>
      </c>
      <c r="I179" s="95">
        <v>44246</v>
      </c>
      <c r="J179" s="38"/>
      <c r="K179" s="23">
        <v>20000</v>
      </c>
      <c r="L179" s="23"/>
      <c r="M179" s="24">
        <v>0</v>
      </c>
      <c r="N179" s="25"/>
      <c r="O179" s="24">
        <v>0</v>
      </c>
      <c r="P179" s="136">
        <f>+IF(PROVEEDORES[[#This Row],[SUBTOTAL]]&lt;PROVEEDORES[[#This Row],[base retencion]],0,PROVEEDORES[[#This Row],[retención aplicada]])</f>
        <v>0</v>
      </c>
      <c r="Q179" s="24">
        <f>+PROVEEDORES[[#This Row],[Rete Fuente %]]*PROVEEDORES[[#This Row],[SUBTOTAL]]</f>
        <v>0</v>
      </c>
      <c r="R179" s="23">
        <v>20000</v>
      </c>
      <c r="S17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" s="99">
        <f ca="1">IF(PROVEEDORES[[#This Row],[FECHA DE PAGO]]=0,TODAY()-PROVEEDORES[[#This Row],[FECHA DE FACTURACIÓN]]-PROVEEDORES[[#This Row],[PLAZO Días]],0)</f>
        <v>0</v>
      </c>
      <c r="U179" s="149">
        <f>+VLOOKUP(PROVEEDORES[[#This Row],[PROVEEDOR]],Terceros!$A:$E,5,FALSE)</f>
        <v>0</v>
      </c>
      <c r="V179" s="150">
        <f>+YEAR(PROVEEDORES[[#This Row],[FECHA DE FACTURACIÓN]])</f>
        <v>2021</v>
      </c>
      <c r="W179" s="150">
        <f>+MATCH(PROVEEDORES[[#This Row],[año facturado]],Retenciones!$1:$1,0)</f>
        <v>4</v>
      </c>
      <c r="X179" s="151">
        <f>+VLOOKUP(PROVEEDORES[[#This Row],[ID RETENCION]],Retenciones!$A$1:$O$24,PROVEEDORES[[#This Row],[indicador de columna]],FALSE)</f>
        <v>0</v>
      </c>
      <c r="Y179" s="152">
        <f>+VLOOKUP(PROVEEDORES[[#This Row],[ID RETENCION]],Retenciones!$A$1:$O$24,2,FALSE)</f>
        <v>0</v>
      </c>
      <c r="Z179" s="26"/>
      <c r="AA179" s="26"/>
      <c r="AB179" s="26"/>
      <c r="AC179" s="26"/>
      <c r="AD179" s="26"/>
      <c r="AE179" s="26"/>
    </row>
    <row r="180" spans="1:31" ht="21.95" customHeight="1" x14ac:dyDescent="0.25">
      <c r="A180" s="97" t="str">
        <f>+IF(PROVEEDORES[[#This Row],[FECHA DE PAGO]]=PROVEEDORES[[#This Row],[FECHA DE FACTURACIÓN]],"DE CONTADO","CRÉDITO")</f>
        <v>CRÉDITO</v>
      </c>
      <c r="B180" s="41" t="str">
        <f>+IF((PROVEEDORES[[#This Row],[FECHA DE PAGO]]-PROVEEDORES[[#This Row],[FECHA DE FACTURACIÓN]])&gt;PROVEEDORES[[#This Row],[PLAZO Días]],"PAGO VENCIDO")</f>
        <v>PAGO VENCIDO</v>
      </c>
      <c r="C180" s="22">
        <f>+VLOOKUP(PROVEEDORES[[#This Row],[PROVEEDOR]],TERCEROS_INFO[#All],2,FALSE)</f>
        <v>30</v>
      </c>
      <c r="D180" s="27">
        <f>+SUMIFS(PROVEEDORES[Total],PROVEEDORES[PROVEEDOR],PROVEEDORES[[#This Row],[PROVEEDOR]],PROVEEDORES[FECHA DE PAGO],"")</f>
        <v>0</v>
      </c>
      <c r="E180" s="27"/>
      <c r="F180" s="62" t="str">
        <f>+VLOOKUP(PROVEEDORES[[#This Row],[PROVEEDOR]],
                       Terceros!$A:$G,
                       6,
                       FALSE)</f>
        <v>supervisorventasbridge@gmail.com;newtimewatches1@gmail.com;girlesa.ruiz@servipilas.com;joriescobar64@gmail.com</v>
      </c>
      <c r="G180" s="95">
        <v>44285</v>
      </c>
      <c r="H180" s="28" t="s">
        <v>135</v>
      </c>
      <c r="I180" s="95">
        <v>44246</v>
      </c>
      <c r="J180" s="38" t="s">
        <v>228</v>
      </c>
      <c r="K180" s="23">
        <v>1335643</v>
      </c>
      <c r="L180" s="23">
        <v>128222</v>
      </c>
      <c r="M180" s="24">
        <v>229409.99</v>
      </c>
      <c r="N180" s="25"/>
      <c r="O180" s="24">
        <v>0</v>
      </c>
      <c r="P180" s="136">
        <f>+IF(PROVEEDORES[[#This Row],[SUBTOTAL]]&lt;PROVEEDORES[[#This Row],[base retencion]],0,PROVEEDORES[[#This Row],[retención aplicada]])</f>
        <v>2.5000000000000001E-2</v>
      </c>
      <c r="Q180" s="24">
        <f>+PROVEEDORES[[#This Row],[Rete Fuente %]]*PROVEEDORES[[#This Row],[SUBTOTAL]]</f>
        <v>33391.075000000004</v>
      </c>
      <c r="R180" s="23">
        <v>1406645.4650000001</v>
      </c>
      <c r="S18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" s="99">
        <f ca="1">IF(PROVEEDORES[[#This Row],[FECHA DE PAGO]]=0,TODAY()-PROVEEDORES[[#This Row],[FECHA DE FACTURACIÓN]]-PROVEEDORES[[#This Row],[PLAZO Días]],0)</f>
        <v>0</v>
      </c>
      <c r="U180" s="149" t="str">
        <f>+VLOOKUP(PROVEEDORES[[#This Row],[PROVEEDOR]],Terceros!$A:$E,5,FALSE)</f>
        <v>2,5% con base</v>
      </c>
      <c r="V180" s="150">
        <f>+YEAR(PROVEEDORES[[#This Row],[FECHA DE FACTURACIÓN]])</f>
        <v>2021</v>
      </c>
      <c r="W180" s="150">
        <f>+MATCH(PROVEEDORES[[#This Row],[año facturado]],Retenciones!$1:$1,0)</f>
        <v>4</v>
      </c>
      <c r="X180" s="151">
        <f>+VLOOKUP(PROVEEDORES[[#This Row],[ID RETENCION]],Retenciones!$A$1:$O$24,PROVEEDORES[[#This Row],[indicador de columna]],FALSE)</f>
        <v>980000</v>
      </c>
      <c r="Y180" s="152">
        <f>+VLOOKUP(PROVEEDORES[[#This Row],[ID RETENCION]],Retenciones!$A$1:$O$24,2,FALSE)</f>
        <v>2.5000000000000001E-2</v>
      </c>
      <c r="Z180" s="26"/>
      <c r="AA180" s="26"/>
      <c r="AB180" s="26"/>
      <c r="AC180" s="26"/>
      <c r="AD180" s="26"/>
      <c r="AE180" s="26"/>
    </row>
    <row r="181" spans="1:31" ht="21.95" customHeight="1" x14ac:dyDescent="0.25">
      <c r="A181" s="97" t="str">
        <f>+IF(PROVEEDORES[[#This Row],[FECHA DE PAGO]]=PROVEEDORES[[#This Row],[FECHA DE FACTURACIÓN]],"DE CONTADO","CRÉDITO")</f>
        <v>CRÉDITO</v>
      </c>
      <c r="B181" s="41" t="b">
        <f>+IF((PROVEEDORES[[#This Row],[FECHA DE PAGO]]-PROVEEDORES[[#This Row],[FECHA DE FACTURACIÓN]])&gt;PROVEEDORES[[#This Row],[PLAZO Días]],"PAGO VENCIDO")</f>
        <v>0</v>
      </c>
      <c r="C181" s="22">
        <f>+VLOOKUP(PROVEEDORES[[#This Row],[PROVEEDOR]],TERCEROS_INFO[#All],2,FALSE)</f>
        <v>30</v>
      </c>
      <c r="D181" s="27">
        <f>+SUMIFS(PROVEEDORES[Total],PROVEEDORES[PROVEEDOR],PROVEEDORES[[#This Row],[PROVEEDOR]],PROVEEDORES[FECHA DE PAGO],"")</f>
        <v>0</v>
      </c>
      <c r="E181" s="27"/>
      <c r="F181" s="62" t="str">
        <f>+VLOOKUP(PROVEEDORES[[#This Row],[PROVEEDOR]],
                       Terceros!$A:$G,
                       6,
                       FALSE)</f>
        <v>vromero@flashinternational.us;girlesa.ruiz@servipilas.com;joriescobar64@gmail.com</v>
      </c>
      <c r="G181" s="95">
        <v>44250</v>
      </c>
      <c r="H181" s="28" t="s">
        <v>134</v>
      </c>
      <c r="I181" s="95">
        <v>44246</v>
      </c>
      <c r="J181" s="38" t="s">
        <v>225</v>
      </c>
      <c r="K181" s="23">
        <v>1667000</v>
      </c>
      <c r="L181" s="23"/>
      <c r="M181" s="24">
        <v>0</v>
      </c>
      <c r="N181" s="25"/>
      <c r="O181" s="24">
        <v>0</v>
      </c>
      <c r="P181" s="136">
        <f>+IF(PROVEEDORES[[#This Row],[SUBTOTAL]]&lt;PROVEEDORES[[#This Row],[base retencion]],0,PROVEEDORES[[#This Row],[retención aplicada]])</f>
        <v>0</v>
      </c>
      <c r="Q181" s="24">
        <f>+PROVEEDORES[[#This Row],[Rete Fuente %]]*PROVEEDORES[[#This Row],[SUBTOTAL]]</f>
        <v>0</v>
      </c>
      <c r="R181" s="23">
        <v>1667000</v>
      </c>
      <c r="S18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" s="99">
        <f ca="1">IF(PROVEEDORES[[#This Row],[FECHA DE PAGO]]=0,TODAY()-PROVEEDORES[[#This Row],[FECHA DE FACTURACIÓN]]-PROVEEDORES[[#This Row],[PLAZO Días]],0)</f>
        <v>0</v>
      </c>
      <c r="U181" s="149">
        <f>+VLOOKUP(PROVEEDORES[[#This Row],[PROVEEDOR]],Terceros!$A:$E,5,FALSE)</f>
        <v>0</v>
      </c>
      <c r="V181" s="150">
        <f>+YEAR(PROVEEDORES[[#This Row],[FECHA DE FACTURACIÓN]])</f>
        <v>2021</v>
      </c>
      <c r="W181" s="150">
        <f>+MATCH(PROVEEDORES[[#This Row],[año facturado]],Retenciones!$1:$1,0)</f>
        <v>4</v>
      </c>
      <c r="X181" s="151">
        <f>+VLOOKUP(PROVEEDORES[[#This Row],[ID RETENCION]],Retenciones!$A$1:$O$24,PROVEEDORES[[#This Row],[indicador de columna]],FALSE)</f>
        <v>0</v>
      </c>
      <c r="Y181" s="152">
        <f>+VLOOKUP(PROVEEDORES[[#This Row],[ID RETENCION]],Retenciones!$A$1:$O$24,2,FALSE)</f>
        <v>0</v>
      </c>
      <c r="Z181" s="26"/>
      <c r="AA181" s="26"/>
      <c r="AB181" s="26"/>
      <c r="AC181" s="26"/>
      <c r="AD181" s="26"/>
      <c r="AE181" s="26"/>
    </row>
    <row r="182" spans="1:31" ht="21.95" customHeight="1" x14ac:dyDescent="0.25">
      <c r="A182" s="97" t="str">
        <f>+IF(PROVEEDORES[[#This Row],[FECHA DE PAGO]]=PROVEEDORES[[#This Row],[FECHA DE FACTURACIÓN]],"DE CONTADO","CRÉDITO")</f>
        <v>CRÉDITO</v>
      </c>
      <c r="B182" s="41" t="str">
        <f>+IF((PROVEEDORES[[#This Row],[FECHA DE PAGO]]-PROVEEDORES[[#This Row],[FECHA DE FACTURACIÓN]])&gt;PROVEEDORES[[#This Row],[PLAZO Días]],"PAGO VENCIDO")</f>
        <v>PAGO VENCIDO</v>
      </c>
      <c r="C182" s="22">
        <f>+VLOOKUP(PROVEEDORES[[#This Row],[PROVEEDOR]],TERCEROS_INFO[#All],2,FALSE)</f>
        <v>30</v>
      </c>
      <c r="D182" s="27">
        <f>+SUMIFS(PROVEEDORES[Total],PROVEEDORES[PROVEEDOR],PROVEEDORES[[#This Row],[PROVEEDOR]],PROVEEDORES[FECHA DE PAGO],"")</f>
        <v>3750700</v>
      </c>
      <c r="E182" s="27"/>
      <c r="F182" s="62" t="str">
        <f>+VLOOKUP(PROVEEDORES[[#This Row],[PROVEEDOR]],
                       Terceros!$A:$G,
                       6,
                       FALSE)</f>
        <v/>
      </c>
      <c r="G182" s="95">
        <v>44290</v>
      </c>
      <c r="H182" s="28" t="s">
        <v>990</v>
      </c>
      <c r="I182" s="95">
        <v>44246</v>
      </c>
      <c r="J182" s="38" t="s">
        <v>678</v>
      </c>
      <c r="K182" s="23">
        <v>2760000</v>
      </c>
      <c r="L182" s="23"/>
      <c r="M182" s="24">
        <v>0</v>
      </c>
      <c r="N182" s="25"/>
      <c r="O182" s="24">
        <v>0</v>
      </c>
      <c r="P182" s="136">
        <f>+IF(PROVEEDORES[[#This Row],[SUBTOTAL]]&lt;PROVEEDORES[[#This Row],[base retencion]],0,PROVEEDORES[[#This Row],[retención aplicada]])</f>
        <v>0</v>
      </c>
      <c r="Q182" s="24">
        <f>+PROVEEDORES[[#This Row],[Rete Fuente %]]*PROVEEDORES[[#This Row],[SUBTOTAL]]</f>
        <v>0</v>
      </c>
      <c r="R182" s="23">
        <v>2760000</v>
      </c>
      <c r="S18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" s="99">
        <f ca="1">IF(PROVEEDORES[[#This Row],[FECHA DE PAGO]]=0,TODAY()-PROVEEDORES[[#This Row],[FECHA DE FACTURACIÓN]]-PROVEEDORES[[#This Row],[PLAZO Días]],0)</f>
        <v>0</v>
      </c>
      <c r="U182" s="149">
        <f>+VLOOKUP(PROVEEDORES[[#This Row],[PROVEEDOR]],Terceros!$A:$E,5,FALSE)</f>
        <v>0</v>
      </c>
      <c r="V182" s="150">
        <f>+YEAR(PROVEEDORES[[#This Row],[FECHA DE FACTURACIÓN]])</f>
        <v>2021</v>
      </c>
      <c r="W182" s="150">
        <f>+MATCH(PROVEEDORES[[#This Row],[año facturado]],Retenciones!$1:$1,0)</f>
        <v>4</v>
      </c>
      <c r="X182" s="151">
        <f>+VLOOKUP(PROVEEDORES[[#This Row],[ID RETENCION]],Retenciones!$A$1:$O$24,PROVEEDORES[[#This Row],[indicador de columna]],FALSE)</f>
        <v>0</v>
      </c>
      <c r="Y182" s="152">
        <f>+VLOOKUP(PROVEEDORES[[#This Row],[ID RETENCION]],Retenciones!$A$1:$O$24,2,FALSE)</f>
        <v>0</v>
      </c>
      <c r="Z182" s="26"/>
      <c r="AA182" s="26"/>
      <c r="AB182" s="26"/>
      <c r="AC182" s="26"/>
      <c r="AD182" s="26"/>
      <c r="AE182" s="26"/>
    </row>
    <row r="183" spans="1:31" ht="21.95" customHeight="1" x14ac:dyDescent="0.25">
      <c r="A183" s="97" t="str">
        <f>+IF(PROVEEDORES[[#This Row],[FECHA DE PAGO]]=PROVEEDORES[[#This Row],[FECHA DE FACTURACIÓN]],"DE CONTADO","CRÉDITO")</f>
        <v>DE CONTADO</v>
      </c>
      <c r="B183" s="41" t="b">
        <f>+IF((PROVEEDORES[[#This Row],[FECHA DE PAGO]]-PROVEEDORES[[#This Row],[FECHA DE FACTURACIÓN]])&gt;PROVEEDORES[[#This Row],[PLAZO Días]],"PAGO VENCIDO")</f>
        <v>0</v>
      </c>
      <c r="C183" s="22">
        <f>+VLOOKUP(PROVEEDORES[[#This Row],[PROVEEDOR]],TERCEROS_INFO[#All],2,FALSE)</f>
        <v>30</v>
      </c>
      <c r="D183" s="27">
        <f>+SUMIFS(PROVEEDORES[Total],PROVEEDORES[PROVEEDOR],PROVEEDORES[[#This Row],[PROVEEDOR]],PROVEEDORES[FECHA DE PAGO],"")</f>
        <v>0</v>
      </c>
      <c r="E183" s="27"/>
      <c r="F183" s="62" t="str">
        <f>+VLOOKUP(PROVEEDORES[[#This Row],[PROVEEDOR]],
                       Terceros!$A:$G,
                       6,
                       FALSE)</f>
        <v/>
      </c>
      <c r="G183" s="95">
        <v>44247</v>
      </c>
      <c r="H183" s="28" t="s">
        <v>997</v>
      </c>
      <c r="I183" s="95">
        <v>44247</v>
      </c>
      <c r="J183" s="38">
        <v>2218</v>
      </c>
      <c r="K183" s="23">
        <v>540000</v>
      </c>
      <c r="L183" s="23"/>
      <c r="M183" s="24">
        <v>0</v>
      </c>
      <c r="N183" s="25"/>
      <c r="O183" s="24">
        <v>0</v>
      </c>
      <c r="P183" s="136">
        <f>+IF(PROVEEDORES[[#This Row],[SUBTOTAL]]&lt;PROVEEDORES[[#This Row],[base retencion]],0,PROVEEDORES[[#This Row],[retención aplicada]])</f>
        <v>0</v>
      </c>
      <c r="Q183" s="24">
        <f>+PROVEEDORES[[#This Row],[Rete Fuente %]]*PROVEEDORES[[#This Row],[SUBTOTAL]]</f>
        <v>0</v>
      </c>
      <c r="R183" s="23">
        <v>540000</v>
      </c>
      <c r="S18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" s="99">
        <f ca="1">IF(PROVEEDORES[[#This Row],[FECHA DE PAGO]]=0,TODAY()-PROVEEDORES[[#This Row],[FECHA DE FACTURACIÓN]]-PROVEEDORES[[#This Row],[PLAZO Días]],0)</f>
        <v>0</v>
      </c>
      <c r="U183" s="149">
        <f>+VLOOKUP(PROVEEDORES[[#This Row],[PROVEEDOR]],Terceros!$A:$E,5,FALSE)</f>
        <v>0</v>
      </c>
      <c r="V183" s="150">
        <f>+YEAR(PROVEEDORES[[#This Row],[FECHA DE FACTURACIÓN]])</f>
        <v>2021</v>
      </c>
      <c r="W183" s="150">
        <f>+MATCH(PROVEEDORES[[#This Row],[año facturado]],Retenciones!$1:$1,0)</f>
        <v>4</v>
      </c>
      <c r="X183" s="151">
        <f>+VLOOKUP(PROVEEDORES[[#This Row],[ID RETENCION]],Retenciones!$A$1:$O$24,PROVEEDORES[[#This Row],[indicador de columna]],FALSE)</f>
        <v>0</v>
      </c>
      <c r="Y183" s="152">
        <f>+VLOOKUP(PROVEEDORES[[#This Row],[ID RETENCION]],Retenciones!$A$1:$O$24,2,FALSE)</f>
        <v>0</v>
      </c>
      <c r="Z183" s="26"/>
      <c r="AA183" s="26"/>
      <c r="AB183" s="26"/>
      <c r="AC183" s="26"/>
      <c r="AD183" s="26"/>
      <c r="AE183" s="26"/>
    </row>
    <row r="184" spans="1:31" ht="21.95" customHeight="1" x14ac:dyDescent="0.25">
      <c r="A184" s="97" t="str">
        <f>+IF(PROVEEDORES[[#This Row],[FECHA DE PAGO]]=PROVEEDORES[[#This Row],[FECHA DE FACTURACIÓN]],"DE CONTADO","CRÉDITO")</f>
        <v>CRÉDITO</v>
      </c>
      <c r="B184" s="41" t="b">
        <f>+IF((PROVEEDORES[[#This Row],[FECHA DE PAGO]]-PROVEEDORES[[#This Row],[FECHA DE FACTURACIÓN]])&gt;PROVEEDORES[[#This Row],[PLAZO Días]],"PAGO VENCIDO")</f>
        <v>0</v>
      </c>
      <c r="C184" s="22">
        <f>+VLOOKUP(PROVEEDORES[[#This Row],[PROVEEDOR]],TERCEROS_INFO[#All],2,FALSE)</f>
        <v>30</v>
      </c>
      <c r="D184" s="27">
        <f>+SUMIFS(PROVEEDORES[Total],PROVEEDORES[PROVEEDOR],PROVEEDORES[[#This Row],[PROVEEDOR]],PROVEEDORES[FECHA DE PAGO],"")</f>
        <v>0</v>
      </c>
      <c r="E184" s="27"/>
      <c r="F184" s="62" t="str">
        <f>+VLOOKUP(PROVEEDORES[[#This Row],[PROVEEDOR]],
                       Terceros!$A:$G,
                       6,
                       FALSE)</f>
        <v>girlesa.ruiz@servipilas.com;joriescobar64@gmail.com</v>
      </c>
      <c r="G184" s="95">
        <v>44264</v>
      </c>
      <c r="H184" s="28" t="s">
        <v>336</v>
      </c>
      <c r="I184" s="95">
        <v>44249</v>
      </c>
      <c r="J184" s="38" t="s">
        <v>229</v>
      </c>
      <c r="K184" s="23">
        <v>3023387</v>
      </c>
      <c r="L184" s="23"/>
      <c r="M184" s="24">
        <v>0</v>
      </c>
      <c r="N184" s="25"/>
      <c r="O184" s="24">
        <v>0</v>
      </c>
      <c r="P184" s="136">
        <f>+IF(PROVEEDORES[[#This Row],[SUBTOTAL]]&lt;PROVEEDORES[[#This Row],[base retencion]],0,PROVEEDORES[[#This Row],[retención aplicada]])</f>
        <v>3.5000000000000003E-2</v>
      </c>
      <c r="Q184" s="24">
        <f>+PROVEEDORES[[#This Row],[Rete Fuente %]]*PROVEEDORES[[#This Row],[SUBTOTAL]]</f>
        <v>105818.54500000001</v>
      </c>
      <c r="R184" s="23">
        <v>2917568.4550000001</v>
      </c>
      <c r="S18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" s="99">
        <f ca="1">IF(PROVEEDORES[[#This Row],[FECHA DE PAGO]]=0,TODAY()-PROVEEDORES[[#This Row],[FECHA DE FACTURACIÓN]]-PROVEEDORES[[#This Row],[PLAZO Días]],0)</f>
        <v>0</v>
      </c>
      <c r="U184" s="149" t="str">
        <f>+VLOOKUP(PROVEEDORES[[#This Row],[PROVEEDOR]],Terceros!$A:$E,5,FALSE)</f>
        <v>3,5% sin base</v>
      </c>
      <c r="V184" s="150">
        <f>+YEAR(PROVEEDORES[[#This Row],[FECHA DE FACTURACIÓN]])</f>
        <v>2021</v>
      </c>
      <c r="W184" s="150">
        <f>+MATCH(PROVEEDORES[[#This Row],[año facturado]],Retenciones!$1:$1,0)</f>
        <v>4</v>
      </c>
      <c r="X184" s="151">
        <f>+VLOOKUP(PROVEEDORES[[#This Row],[ID RETENCION]],Retenciones!$A$1:$O$24,PROVEEDORES[[#This Row],[indicador de columna]],FALSE)</f>
        <v>0</v>
      </c>
      <c r="Y184" s="152">
        <f>+VLOOKUP(PROVEEDORES[[#This Row],[ID RETENCION]],Retenciones!$A$1:$O$24,2,FALSE)</f>
        <v>3.5000000000000003E-2</v>
      </c>
      <c r="Z184" s="26"/>
      <c r="AA184" s="26"/>
      <c r="AB184" s="26"/>
      <c r="AC184" s="26"/>
      <c r="AD184" s="26"/>
      <c r="AE184" s="26"/>
    </row>
    <row r="185" spans="1:31" ht="21.95" customHeight="1" x14ac:dyDescent="0.25">
      <c r="A185" s="97" t="str">
        <f>+IF(PROVEEDORES[[#This Row],[FECHA DE PAGO]]=PROVEEDORES[[#This Row],[FECHA DE FACTURACIÓN]],"DE CONTADO","CRÉDITO")</f>
        <v>CRÉDITO</v>
      </c>
      <c r="B185" s="41" t="str">
        <f>+IF((PROVEEDORES[[#This Row],[FECHA DE PAGO]]-PROVEEDORES[[#This Row],[FECHA DE FACTURACIÓN]])&gt;PROVEEDORES[[#This Row],[PLAZO Días]],"PAGO VENCIDO")</f>
        <v>PAGO VENCIDO</v>
      </c>
      <c r="C185" s="22">
        <f>+VLOOKUP(PROVEEDORES[[#This Row],[PROVEEDOR]],TERCEROS_INFO[#All],2,FALSE)</f>
        <v>30</v>
      </c>
      <c r="D185" s="27">
        <f>+SUMIFS(PROVEEDORES[Total],PROVEEDORES[PROVEEDOR],PROVEEDORES[[#This Row],[PROVEEDOR]],PROVEEDORES[FECHA DE PAGO],"")</f>
        <v>0</v>
      </c>
      <c r="E185" s="27"/>
      <c r="F185" s="62" t="str">
        <f>+VLOOKUP(PROVEEDORES[[#This Row],[PROVEEDOR]],
                       Terceros!$A:$G,
                       6,
                       FALSE)</f>
        <v>vromero@flashinternational.us;girlesa.ruiz@servipilas.com;joriescobar64@gmail.com</v>
      </c>
      <c r="G185" s="95">
        <v>44286</v>
      </c>
      <c r="H185" s="28" t="s">
        <v>142</v>
      </c>
      <c r="I185" s="95">
        <v>44250</v>
      </c>
      <c r="J185" s="38" t="s">
        <v>679</v>
      </c>
      <c r="K185" s="23">
        <v>144000</v>
      </c>
      <c r="L185" s="23"/>
      <c r="M185" s="24">
        <v>0</v>
      </c>
      <c r="N185" s="25"/>
      <c r="O185" s="24">
        <v>0</v>
      </c>
      <c r="P185" s="136">
        <f>+IF(PROVEEDORES[[#This Row],[SUBTOTAL]]&lt;PROVEEDORES[[#This Row],[base retencion]],0,PROVEEDORES[[#This Row],[retención aplicada]])</f>
        <v>0</v>
      </c>
      <c r="Q185" s="24">
        <f>+PROVEEDORES[[#This Row],[Rete Fuente %]]*PROVEEDORES[[#This Row],[SUBTOTAL]]</f>
        <v>0</v>
      </c>
      <c r="R185" s="23">
        <v>144000</v>
      </c>
      <c r="S18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" s="99">
        <f ca="1">IF(PROVEEDORES[[#This Row],[FECHA DE PAGO]]=0,TODAY()-PROVEEDORES[[#This Row],[FECHA DE FACTURACIÓN]]-PROVEEDORES[[#This Row],[PLAZO Días]],0)</f>
        <v>0</v>
      </c>
      <c r="U185" s="149">
        <f>+VLOOKUP(PROVEEDORES[[#This Row],[PROVEEDOR]],Terceros!$A:$E,5,FALSE)</f>
        <v>0</v>
      </c>
      <c r="V185" s="150">
        <f>+YEAR(PROVEEDORES[[#This Row],[FECHA DE FACTURACIÓN]])</f>
        <v>2021</v>
      </c>
      <c r="W185" s="150">
        <f>+MATCH(PROVEEDORES[[#This Row],[año facturado]],Retenciones!$1:$1,0)</f>
        <v>4</v>
      </c>
      <c r="X185" s="151">
        <f>+VLOOKUP(PROVEEDORES[[#This Row],[ID RETENCION]],Retenciones!$A$1:$O$24,PROVEEDORES[[#This Row],[indicador de columna]],FALSE)</f>
        <v>0</v>
      </c>
      <c r="Y185" s="152">
        <f>+VLOOKUP(PROVEEDORES[[#This Row],[ID RETENCION]],Retenciones!$A$1:$O$24,2,FALSE)</f>
        <v>0</v>
      </c>
      <c r="Z185" s="26"/>
      <c r="AA185" s="26"/>
      <c r="AB185" s="26"/>
      <c r="AC185" s="26"/>
      <c r="AD185" s="26"/>
      <c r="AE185" s="26"/>
    </row>
    <row r="186" spans="1:31" ht="21.95" customHeight="1" x14ac:dyDescent="0.25">
      <c r="A186" s="97" t="str">
        <f>+IF(PROVEEDORES[[#This Row],[FECHA DE PAGO]]=PROVEEDORES[[#This Row],[FECHA DE FACTURACIÓN]],"DE CONTADO","CRÉDITO")</f>
        <v>CRÉDITO</v>
      </c>
      <c r="B186" s="41" t="str">
        <f>+IF((PROVEEDORES[[#This Row],[FECHA DE PAGO]]-PROVEEDORES[[#This Row],[FECHA DE FACTURACIÓN]])&gt;PROVEEDORES[[#This Row],[PLAZO Días]],"PAGO VENCIDO")</f>
        <v>PAGO VENCIDO</v>
      </c>
      <c r="C186" s="22">
        <f>+VLOOKUP(PROVEEDORES[[#This Row],[PROVEEDOR]],TERCEROS_INFO[#All],2,FALSE)</f>
        <v>30</v>
      </c>
      <c r="D186" s="27">
        <f>+SUMIFS(PROVEEDORES[Total],PROVEEDORES[PROVEEDOR],PROVEEDORES[[#This Row],[PROVEEDOR]],PROVEEDORES[FECHA DE PAGO],"")</f>
        <v>0</v>
      </c>
      <c r="E186" s="27"/>
      <c r="F186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186" s="95">
        <v>44321</v>
      </c>
      <c r="H186" s="28" t="s">
        <v>24</v>
      </c>
      <c r="I186" s="95">
        <v>44250</v>
      </c>
      <c r="J186" s="38" t="s">
        <v>233</v>
      </c>
      <c r="K186" s="23">
        <v>375000</v>
      </c>
      <c r="L186" s="23"/>
      <c r="M186" s="24">
        <v>71250</v>
      </c>
      <c r="N186" s="25"/>
      <c r="O186" s="24">
        <v>0</v>
      </c>
      <c r="P186" s="136">
        <f>+IF(PROVEEDORES[[#This Row],[SUBTOTAL]]&lt;PROVEEDORES[[#This Row],[base retencion]],0,PROVEEDORES[[#This Row],[retención aplicada]])</f>
        <v>0</v>
      </c>
      <c r="Q186" s="24">
        <f>+PROVEEDORES[[#This Row],[Rete Fuente %]]*PROVEEDORES[[#This Row],[SUBTOTAL]]</f>
        <v>0</v>
      </c>
      <c r="R186" s="23">
        <v>446250</v>
      </c>
      <c r="S18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" s="99">
        <f ca="1">IF(PROVEEDORES[[#This Row],[FECHA DE PAGO]]=0,TODAY()-PROVEEDORES[[#This Row],[FECHA DE FACTURACIÓN]]-PROVEEDORES[[#This Row],[PLAZO Días]],0)</f>
        <v>0</v>
      </c>
      <c r="U186" s="149" t="str">
        <f>+VLOOKUP(PROVEEDORES[[#This Row],[PROVEEDOR]],Terceros!$A:$E,5,FALSE)</f>
        <v>2,5% con base</v>
      </c>
      <c r="V186" s="150">
        <f>+YEAR(PROVEEDORES[[#This Row],[FECHA DE FACTURACIÓN]])</f>
        <v>2021</v>
      </c>
      <c r="W186" s="150">
        <f>+MATCH(PROVEEDORES[[#This Row],[año facturado]],Retenciones!$1:$1,0)</f>
        <v>4</v>
      </c>
      <c r="X186" s="151">
        <f>+VLOOKUP(PROVEEDORES[[#This Row],[ID RETENCION]],Retenciones!$A$1:$O$24,PROVEEDORES[[#This Row],[indicador de columna]],FALSE)</f>
        <v>980000</v>
      </c>
      <c r="Y186" s="152">
        <f>+VLOOKUP(PROVEEDORES[[#This Row],[ID RETENCION]],Retenciones!$A$1:$O$24,2,FALSE)</f>
        <v>2.5000000000000001E-2</v>
      </c>
      <c r="Z186" s="26"/>
      <c r="AA186" s="26"/>
      <c r="AB186" s="26"/>
      <c r="AC186" s="26"/>
      <c r="AD186" s="26"/>
      <c r="AE186" s="26"/>
    </row>
    <row r="187" spans="1:31" ht="21.95" customHeight="1" x14ac:dyDescent="0.25">
      <c r="A187" s="97" t="str">
        <f>+IF(PROVEEDORES[[#This Row],[FECHA DE PAGO]]=PROVEEDORES[[#This Row],[FECHA DE FACTURACIÓN]],"DE CONTADO","CRÉDITO")</f>
        <v>CRÉDITO</v>
      </c>
      <c r="B187" s="41" t="b">
        <f>+IF((PROVEEDORES[[#This Row],[FECHA DE PAGO]]-PROVEEDORES[[#This Row],[FECHA DE FACTURACIÓN]])&gt;PROVEEDORES[[#This Row],[PLAZO Días]],"PAGO VENCIDO")</f>
        <v>0</v>
      </c>
      <c r="C187" s="22">
        <f>+VLOOKUP(PROVEEDORES[[#This Row],[PROVEEDOR]],TERCEROS_INFO[#All],2,FALSE)</f>
        <v>30</v>
      </c>
      <c r="D187" s="27">
        <f>+SUMIFS(PROVEEDORES[Total],PROVEEDORES[PROVEEDOR],PROVEEDORES[[#This Row],[PROVEEDOR]],PROVEEDORES[FECHA DE PAGO],"")</f>
        <v>275944.33</v>
      </c>
      <c r="E187" s="27"/>
      <c r="F187" s="62" t="str">
        <f>+VLOOKUP(PROVEEDORES[[#This Row],[PROVEEDOR]],
                       Terceros!$A:$G,
                       6,
                       FALSE)</f>
        <v>facturacion@losmolinos.com.co</v>
      </c>
      <c r="G187" s="95">
        <v>44271</v>
      </c>
      <c r="H187" s="28" t="s">
        <v>342</v>
      </c>
      <c r="I187" s="95">
        <v>44256</v>
      </c>
      <c r="J187" s="38">
        <v>61974</v>
      </c>
      <c r="K187" s="23">
        <v>250973</v>
      </c>
      <c r="L187" s="23"/>
      <c r="M187" s="24">
        <v>0</v>
      </c>
      <c r="N187" s="25"/>
      <c r="O187" s="24">
        <v>12532</v>
      </c>
      <c r="P187" s="136">
        <f>+IF(PROVEEDORES[[#This Row],[SUBTOTAL]]&lt;PROVEEDORES[[#This Row],[base retencion]],0,PROVEEDORES[[#This Row],[retención aplicada]])</f>
        <v>0</v>
      </c>
      <c r="Q187" s="24">
        <f>+PROVEEDORES[[#This Row],[Rete Fuente %]]*PROVEEDORES[[#This Row],[SUBTOTAL]]</f>
        <v>0</v>
      </c>
      <c r="R187" s="23">
        <v>238441</v>
      </c>
      <c r="S18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" s="99">
        <f ca="1">IF(PROVEEDORES[[#This Row],[FECHA DE PAGO]]=0,TODAY()-PROVEEDORES[[#This Row],[FECHA DE FACTURACIÓN]]-PROVEEDORES[[#This Row],[PLAZO Días]],0)</f>
        <v>0</v>
      </c>
      <c r="U187" s="149">
        <f>+VLOOKUP(PROVEEDORES[[#This Row],[PROVEEDOR]],Terceros!$A:$E,5,FALSE)</f>
        <v>0</v>
      </c>
      <c r="V187" s="150">
        <f>+YEAR(PROVEEDORES[[#This Row],[FECHA DE FACTURACIÓN]])</f>
        <v>2021</v>
      </c>
      <c r="W187" s="150">
        <f>+MATCH(PROVEEDORES[[#This Row],[año facturado]],Retenciones!$1:$1,0)</f>
        <v>4</v>
      </c>
      <c r="X187" s="151">
        <f>+VLOOKUP(PROVEEDORES[[#This Row],[ID RETENCION]],Retenciones!$A$1:$O$24,PROVEEDORES[[#This Row],[indicador de columna]],FALSE)</f>
        <v>0</v>
      </c>
      <c r="Y187" s="152">
        <f>+VLOOKUP(PROVEEDORES[[#This Row],[ID RETENCION]],Retenciones!$A$1:$O$24,2,FALSE)</f>
        <v>0</v>
      </c>
      <c r="Z187" s="26"/>
      <c r="AA187" s="26"/>
      <c r="AB187" s="26"/>
      <c r="AC187" s="26"/>
      <c r="AD187" s="26"/>
      <c r="AE187" s="26"/>
    </row>
    <row r="188" spans="1:31" ht="21.95" customHeight="1" x14ac:dyDescent="0.25">
      <c r="A188" s="97" t="str">
        <f>+IF(PROVEEDORES[[#This Row],[FECHA DE PAGO]]=PROVEEDORES[[#This Row],[FECHA DE FACTURACIÓN]],"DE CONTADO","CRÉDITO")</f>
        <v>CRÉDITO</v>
      </c>
      <c r="B188" s="41" t="str">
        <f>+IF((PROVEEDORES[[#This Row],[FECHA DE PAGO]]-PROVEEDORES[[#This Row],[FECHA DE FACTURACIÓN]])&gt;PROVEEDORES[[#This Row],[PLAZO Días]],"PAGO VENCIDO")</f>
        <v>PAGO VENCIDO</v>
      </c>
      <c r="C188" s="22">
        <f>+VLOOKUP(PROVEEDORES[[#This Row],[PROVEEDOR]],TERCEROS_INFO[#All],2,FALSE)</f>
        <v>30</v>
      </c>
      <c r="D188" s="27">
        <f>+SUMIFS(PROVEEDORES[Total],PROVEEDORES[PROVEEDOR],PROVEEDORES[[#This Row],[PROVEEDOR]],PROVEEDORES[FECHA DE PAGO],"")</f>
        <v>452687.9</v>
      </c>
      <c r="E188" s="27"/>
      <c r="F188" s="62" t="str">
        <f>+VLOOKUP(PROVEEDORES[[#This Row],[PROVEEDOR]],
                       Terceros!$A:$G,
                       6,
                       FALSE)</f>
        <v>soluenergiacentro@une.net.co;girlesa.ruiz@servipilas.com;joriescobar64@gmail.com</v>
      </c>
      <c r="G188" s="95">
        <v>44326</v>
      </c>
      <c r="H188" s="28" t="s">
        <v>39</v>
      </c>
      <c r="I188" s="95">
        <v>44252</v>
      </c>
      <c r="J188" s="38">
        <v>327</v>
      </c>
      <c r="K188" s="23">
        <v>668100</v>
      </c>
      <c r="L188" s="23"/>
      <c r="M188" s="24">
        <v>126939</v>
      </c>
      <c r="N188" s="25"/>
      <c r="O188" s="24">
        <v>0</v>
      </c>
      <c r="P188" s="136">
        <f>+IF(PROVEEDORES[[#This Row],[SUBTOTAL]]&lt;PROVEEDORES[[#This Row],[base retencion]],0,PROVEEDORES[[#This Row],[retención aplicada]])</f>
        <v>0</v>
      </c>
      <c r="Q188" s="24">
        <f>+PROVEEDORES[[#This Row],[Rete Fuente %]]*PROVEEDORES[[#This Row],[SUBTOTAL]]</f>
        <v>0</v>
      </c>
      <c r="R188" s="23">
        <v>795039</v>
      </c>
      <c r="S18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" s="99">
        <f ca="1">IF(PROVEEDORES[[#This Row],[FECHA DE PAGO]]=0,TODAY()-PROVEEDORES[[#This Row],[FECHA DE FACTURACIÓN]]-PROVEEDORES[[#This Row],[PLAZO Días]],0)</f>
        <v>0</v>
      </c>
      <c r="U188" s="149" t="str">
        <f>+VLOOKUP(PROVEEDORES[[#This Row],[PROVEEDOR]],Terceros!$A:$E,5,FALSE)</f>
        <v>2,5% con base</v>
      </c>
      <c r="V188" s="150">
        <f>+YEAR(PROVEEDORES[[#This Row],[FECHA DE FACTURACIÓN]])</f>
        <v>2021</v>
      </c>
      <c r="W188" s="150">
        <f>+MATCH(PROVEEDORES[[#This Row],[año facturado]],Retenciones!$1:$1,0)</f>
        <v>4</v>
      </c>
      <c r="X188" s="151">
        <f>+VLOOKUP(PROVEEDORES[[#This Row],[ID RETENCION]],Retenciones!$A$1:$O$24,PROVEEDORES[[#This Row],[indicador de columna]],FALSE)</f>
        <v>980000</v>
      </c>
      <c r="Y188" s="152">
        <f>+VLOOKUP(PROVEEDORES[[#This Row],[ID RETENCION]],Retenciones!$A$1:$O$24,2,FALSE)</f>
        <v>2.5000000000000001E-2</v>
      </c>
      <c r="Z188" s="26"/>
      <c r="AA188" s="26"/>
      <c r="AB188" s="26"/>
      <c r="AC188" s="26"/>
      <c r="AD188" s="26"/>
      <c r="AE188" s="26"/>
    </row>
    <row r="189" spans="1:31" ht="21.95" customHeight="1" x14ac:dyDescent="0.25">
      <c r="A189" s="97" t="str">
        <f>+IF(PROVEEDORES[[#This Row],[FECHA DE PAGO]]=PROVEEDORES[[#This Row],[FECHA DE FACTURACIÓN]],"DE CONTADO","CRÉDITO")</f>
        <v>CRÉDITO</v>
      </c>
      <c r="B189" s="41" t="str">
        <f>+IF((PROVEEDORES[[#This Row],[FECHA DE PAGO]]-PROVEEDORES[[#This Row],[FECHA DE FACTURACIÓN]])&gt;PROVEEDORES[[#This Row],[PLAZO Días]],"PAGO VENCIDO")</f>
        <v>PAGO VENCIDO</v>
      </c>
      <c r="C189" s="22">
        <f>+VLOOKUP(PROVEEDORES[[#This Row],[PROVEEDOR]],TERCEROS_INFO[#All],2,FALSE)</f>
        <v>30</v>
      </c>
      <c r="D189" s="27">
        <f>+SUMIFS(PROVEEDORES[Total],PROVEEDORES[PROVEEDOR],PROVEEDORES[[#This Row],[PROVEEDOR]],PROVEEDORES[FECHA DE PAGO],"")</f>
        <v>627113.34</v>
      </c>
      <c r="E189" s="27"/>
      <c r="F189" s="62" t="str">
        <f>+VLOOKUP(PROVEEDORES[[#This Row],[PROVEEDOR]],
                       Terceros!$A:$G,
                       6,
                       FALSE)</f>
        <v>ventas@ismartsas.com;girlesa.ruiz@servipilas.com;joriescobar64@gmail.com</v>
      </c>
      <c r="G189" s="95">
        <v>44298</v>
      </c>
      <c r="H189" s="28" t="s">
        <v>48</v>
      </c>
      <c r="I189" s="95">
        <v>44252</v>
      </c>
      <c r="J189" s="38">
        <v>26574</v>
      </c>
      <c r="K189" s="23">
        <v>812350</v>
      </c>
      <c r="L189" s="23"/>
      <c r="M189" s="24">
        <v>154346.5</v>
      </c>
      <c r="N189" s="25"/>
      <c r="O189" s="24">
        <v>0</v>
      </c>
      <c r="P189" s="136">
        <f>+IF(PROVEEDORES[[#This Row],[SUBTOTAL]]&lt;PROVEEDORES[[#This Row],[base retencion]],0,PROVEEDORES[[#This Row],[retención aplicada]])</f>
        <v>0</v>
      </c>
      <c r="Q189" s="24">
        <f>+PROVEEDORES[[#This Row],[Rete Fuente %]]*PROVEEDORES[[#This Row],[SUBTOTAL]]</f>
        <v>0</v>
      </c>
      <c r="R189" s="23">
        <v>966696.5</v>
      </c>
      <c r="S18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" s="99">
        <f ca="1">IF(PROVEEDORES[[#This Row],[FECHA DE PAGO]]=0,TODAY()-PROVEEDORES[[#This Row],[FECHA DE FACTURACIÓN]]-PROVEEDORES[[#This Row],[PLAZO Días]],0)</f>
        <v>0</v>
      </c>
      <c r="U189" s="149" t="str">
        <f>+VLOOKUP(PROVEEDORES[[#This Row],[PROVEEDOR]],Terceros!$A:$E,5,FALSE)</f>
        <v>2,5% con base</v>
      </c>
      <c r="V189" s="150">
        <f>+YEAR(PROVEEDORES[[#This Row],[FECHA DE FACTURACIÓN]])</f>
        <v>2021</v>
      </c>
      <c r="W189" s="150">
        <f>+MATCH(PROVEEDORES[[#This Row],[año facturado]],Retenciones!$1:$1,0)</f>
        <v>4</v>
      </c>
      <c r="X189" s="151">
        <f>+VLOOKUP(PROVEEDORES[[#This Row],[ID RETENCION]],Retenciones!$A$1:$O$24,PROVEEDORES[[#This Row],[indicador de columna]],FALSE)</f>
        <v>980000</v>
      </c>
      <c r="Y189" s="152">
        <f>+VLOOKUP(PROVEEDORES[[#This Row],[ID RETENCION]],Retenciones!$A$1:$O$24,2,FALSE)</f>
        <v>2.5000000000000001E-2</v>
      </c>
      <c r="Z189" s="26"/>
      <c r="AA189" s="26"/>
      <c r="AB189" s="26"/>
      <c r="AC189" s="26"/>
      <c r="AD189" s="26"/>
      <c r="AE189" s="26"/>
    </row>
    <row r="190" spans="1:31" ht="21.95" customHeight="1" x14ac:dyDescent="0.25">
      <c r="A190" s="97" t="str">
        <f>+IF(PROVEEDORES[[#This Row],[FECHA DE PAGO]]=PROVEEDORES[[#This Row],[FECHA DE FACTURACIÓN]],"DE CONTADO","CRÉDITO")</f>
        <v>CRÉDITO</v>
      </c>
      <c r="B190" s="41" t="str">
        <f>+IF((PROVEEDORES[[#This Row],[FECHA DE PAGO]]-PROVEEDORES[[#This Row],[FECHA DE FACTURACIÓN]])&gt;PROVEEDORES[[#This Row],[PLAZO Días]],"PAGO VENCIDO")</f>
        <v>PAGO VENCIDO</v>
      </c>
      <c r="C190" s="22">
        <f>+VLOOKUP(PROVEEDORES[[#This Row],[PROVEEDOR]],TERCEROS_INFO[#All],2,FALSE)</f>
        <v>30</v>
      </c>
      <c r="D190" s="27">
        <f>+SUMIFS(PROVEEDORES[Total],PROVEEDORES[PROVEEDOR],PROVEEDORES[[#This Row],[PROVEEDOR]],PROVEEDORES[FECHA DE PAGO],"")</f>
        <v>2588352.5</v>
      </c>
      <c r="E190" s="27"/>
      <c r="F190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190" s="95">
        <v>44348</v>
      </c>
      <c r="H190" s="28" t="s">
        <v>1088</v>
      </c>
      <c r="I190" s="95">
        <v>44253</v>
      </c>
      <c r="J190" s="38">
        <v>20108</v>
      </c>
      <c r="K190" s="23">
        <v>1018772</v>
      </c>
      <c r="L190" s="23"/>
      <c r="M190" s="24">
        <v>193566.68</v>
      </c>
      <c r="N190" s="25"/>
      <c r="O190" s="24">
        <v>0</v>
      </c>
      <c r="P190" s="136">
        <f>+IF(PROVEEDORES[[#This Row],[SUBTOTAL]]&lt;PROVEEDORES[[#This Row],[base retencion]],0,PROVEEDORES[[#This Row],[retención aplicada]])</f>
        <v>2.5000000000000001E-2</v>
      </c>
      <c r="Q190" s="24">
        <f>+PROVEEDORES[[#This Row],[Rete Fuente %]]*PROVEEDORES[[#This Row],[SUBTOTAL]]</f>
        <v>25469.300000000003</v>
      </c>
      <c r="R190" s="23">
        <v>1186869.3799999999</v>
      </c>
      <c r="S19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" s="99">
        <f ca="1">IF(PROVEEDORES[[#This Row],[FECHA DE PAGO]]=0,TODAY()-PROVEEDORES[[#This Row],[FECHA DE FACTURACIÓN]]-PROVEEDORES[[#This Row],[PLAZO Días]],0)</f>
        <v>0</v>
      </c>
      <c r="U190" s="149" t="str">
        <f>+VLOOKUP(PROVEEDORES[[#This Row],[PROVEEDOR]],Terceros!$A:$E,5,FALSE)</f>
        <v>2,5% con base</v>
      </c>
      <c r="V190" s="150">
        <f>+YEAR(PROVEEDORES[[#This Row],[FECHA DE FACTURACIÓN]])</f>
        <v>2021</v>
      </c>
      <c r="W190" s="150">
        <f>+MATCH(PROVEEDORES[[#This Row],[año facturado]],Retenciones!$1:$1,0)</f>
        <v>4</v>
      </c>
      <c r="X190" s="151">
        <f>+VLOOKUP(PROVEEDORES[[#This Row],[ID RETENCION]],Retenciones!$A$1:$O$24,PROVEEDORES[[#This Row],[indicador de columna]],FALSE)</f>
        <v>980000</v>
      </c>
      <c r="Y190" s="152">
        <f>+VLOOKUP(PROVEEDORES[[#This Row],[ID RETENCION]],Retenciones!$A$1:$O$24,2,FALSE)</f>
        <v>2.5000000000000001E-2</v>
      </c>
      <c r="Z190" s="26"/>
      <c r="AA190" s="26"/>
      <c r="AB190" s="26"/>
      <c r="AC190" s="26"/>
      <c r="AD190" s="26"/>
      <c r="AE190" s="26"/>
    </row>
    <row r="191" spans="1:31" ht="21.95" customHeight="1" x14ac:dyDescent="0.25">
      <c r="A191" s="97" t="str">
        <f>+IF(PROVEEDORES[[#This Row],[FECHA DE PAGO]]=PROVEEDORES[[#This Row],[FECHA DE FACTURACIÓN]],"DE CONTADO","CRÉDITO")</f>
        <v>CRÉDITO</v>
      </c>
      <c r="B191" s="41" t="b">
        <f>+IF((PROVEEDORES[[#This Row],[FECHA DE PAGO]]-PROVEEDORES[[#This Row],[FECHA DE FACTURACIÓN]])&gt;PROVEEDORES[[#This Row],[PLAZO Días]],"PAGO VENCIDO")</f>
        <v>0</v>
      </c>
      <c r="C191" s="22">
        <f>+VLOOKUP(PROVEEDORES[[#This Row],[PROVEEDOR]],TERCEROS_INFO[#All],2,FALSE)</f>
        <v>30</v>
      </c>
      <c r="D191" s="27">
        <f>+SUMIFS(PROVEEDORES[Total],PROVEEDORES[PROVEEDOR],PROVEEDORES[[#This Row],[PROVEEDOR]],PROVEEDORES[FECHA DE PAGO],"")</f>
        <v>0</v>
      </c>
      <c r="E191" s="27"/>
      <c r="F191" s="62" t="str">
        <f>+VLOOKUP(PROVEEDORES[[#This Row],[PROVEEDOR]],
                       Terceros!$A:$G,
                       6,
                       FALSE)</f>
        <v>cxc11@unitecusa.com.co;jefecartera@unitecusa.com.co;girlesa.ruiz@servipilas.com;joriescobar64@gmail.com</v>
      </c>
      <c r="G191" s="95">
        <v>44264</v>
      </c>
      <c r="H191" s="28" t="s">
        <v>14</v>
      </c>
      <c r="I191" s="95">
        <v>44254</v>
      </c>
      <c r="J191" s="38">
        <v>4881</v>
      </c>
      <c r="K191" s="23">
        <v>377984</v>
      </c>
      <c r="L191" s="23"/>
      <c r="M191" s="24">
        <v>71816.960000000006</v>
      </c>
      <c r="N191" s="25"/>
      <c r="O191" s="24">
        <v>0</v>
      </c>
      <c r="P191" s="136">
        <f>+IF(PROVEEDORES[[#This Row],[SUBTOTAL]]&lt;PROVEEDORES[[#This Row],[base retencion]],0,PROVEEDORES[[#This Row],[retención aplicada]])</f>
        <v>0</v>
      </c>
      <c r="Q191" s="24">
        <f>+PROVEEDORES[[#This Row],[Rete Fuente %]]*PROVEEDORES[[#This Row],[SUBTOTAL]]</f>
        <v>0</v>
      </c>
      <c r="R191" s="23">
        <v>449800.96000000002</v>
      </c>
      <c r="S19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" s="99">
        <f ca="1">IF(PROVEEDORES[[#This Row],[FECHA DE PAGO]]=0,TODAY()-PROVEEDORES[[#This Row],[FECHA DE FACTURACIÓN]]-PROVEEDORES[[#This Row],[PLAZO Días]],0)</f>
        <v>0</v>
      </c>
      <c r="U191" s="149" t="str">
        <f>+VLOOKUP(PROVEEDORES[[#This Row],[PROVEEDOR]],Terceros!$A:$E,5,FALSE)</f>
        <v>2,5% con base</v>
      </c>
      <c r="V191" s="150">
        <f>+YEAR(PROVEEDORES[[#This Row],[FECHA DE FACTURACIÓN]])</f>
        <v>2021</v>
      </c>
      <c r="W191" s="150">
        <f>+MATCH(PROVEEDORES[[#This Row],[año facturado]],Retenciones!$1:$1,0)</f>
        <v>4</v>
      </c>
      <c r="X191" s="151">
        <f>+VLOOKUP(PROVEEDORES[[#This Row],[ID RETENCION]],Retenciones!$A$1:$O$24,PROVEEDORES[[#This Row],[indicador de columna]],FALSE)</f>
        <v>980000</v>
      </c>
      <c r="Y191" s="152">
        <f>+VLOOKUP(PROVEEDORES[[#This Row],[ID RETENCION]],Retenciones!$A$1:$O$24,2,FALSE)</f>
        <v>2.5000000000000001E-2</v>
      </c>
      <c r="Z191" s="26"/>
      <c r="AA191" s="26"/>
      <c r="AB191" s="26"/>
      <c r="AC191" s="26"/>
      <c r="AD191" s="26"/>
      <c r="AE191" s="26"/>
    </row>
    <row r="192" spans="1:31" ht="21.95" customHeight="1" x14ac:dyDescent="0.25">
      <c r="A192" s="97" t="str">
        <f>+IF(PROVEEDORES[[#This Row],[FECHA DE PAGO]]=PROVEEDORES[[#This Row],[FECHA DE FACTURACIÓN]],"DE CONTADO","CRÉDITO")</f>
        <v>CRÉDITO</v>
      </c>
      <c r="B192" s="41" t="b">
        <f>+IF((PROVEEDORES[[#This Row],[FECHA DE PAGO]]-PROVEEDORES[[#This Row],[FECHA DE FACTURACIÓN]])&gt;PROVEEDORES[[#This Row],[PLAZO Días]],"PAGO VENCIDO")</f>
        <v>0</v>
      </c>
      <c r="C192" s="22">
        <f>+VLOOKUP(PROVEEDORES[[#This Row],[PROVEEDOR]],TERCEROS_INFO[#All],2,FALSE)</f>
        <v>30</v>
      </c>
      <c r="D192" s="27">
        <f>+SUMIFS(PROVEEDORES[Total],PROVEEDORES[PROVEEDOR],PROVEEDORES[[#This Row],[PROVEEDOR]],PROVEEDORES[FECHA DE PAGO],"")</f>
        <v>5463150</v>
      </c>
      <c r="E192" s="27"/>
      <c r="F192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192" s="95">
        <v>44280</v>
      </c>
      <c r="H192" s="28" t="s">
        <v>344</v>
      </c>
      <c r="I192" s="95">
        <v>44251</v>
      </c>
      <c r="J192" s="38" t="s">
        <v>230</v>
      </c>
      <c r="K192" s="23">
        <v>-174400</v>
      </c>
      <c r="L192" s="23"/>
      <c r="M192" s="24">
        <v>-33136</v>
      </c>
      <c r="N192" s="25"/>
      <c r="O192" s="24">
        <v>0</v>
      </c>
      <c r="P192" s="136">
        <f>+IF(PROVEEDORES[[#This Row],[SUBTOTAL]]&lt;PROVEEDORES[[#This Row],[base retencion]],0,PROVEEDORES[[#This Row],[retención aplicada]])</f>
        <v>0</v>
      </c>
      <c r="Q192" s="24">
        <f>+PROVEEDORES[[#This Row],[Rete Fuente %]]*PROVEEDORES[[#This Row],[SUBTOTAL]]</f>
        <v>0</v>
      </c>
      <c r="R192" s="23">
        <v>-201432</v>
      </c>
      <c r="S19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" s="99">
        <f ca="1">IF(PROVEEDORES[[#This Row],[FECHA DE PAGO]]=0,TODAY()-PROVEEDORES[[#This Row],[FECHA DE FACTURACIÓN]]-PROVEEDORES[[#This Row],[PLAZO Días]],0)</f>
        <v>0</v>
      </c>
      <c r="U192" s="149" t="str">
        <f>+VLOOKUP(PROVEEDORES[[#This Row],[PROVEEDOR]],Terceros!$A:$E,5,FALSE)</f>
        <v>3,5% con base</v>
      </c>
      <c r="V192" s="150">
        <f>+YEAR(PROVEEDORES[[#This Row],[FECHA DE FACTURACIÓN]])</f>
        <v>2021</v>
      </c>
      <c r="W192" s="150">
        <f>+MATCH(PROVEEDORES[[#This Row],[año facturado]],Retenciones!$1:$1,0)</f>
        <v>4</v>
      </c>
      <c r="X192" s="151">
        <f>+VLOOKUP(PROVEEDORES[[#This Row],[ID RETENCION]],Retenciones!$A$1:$O$24,PROVEEDORES[[#This Row],[indicador de columna]],FALSE)</f>
        <v>980000</v>
      </c>
      <c r="Y192" s="152">
        <f>+VLOOKUP(PROVEEDORES[[#This Row],[ID RETENCION]],Retenciones!$A$1:$O$24,2,FALSE)</f>
        <v>3.5000000000000003E-2</v>
      </c>
      <c r="Z192" s="26"/>
      <c r="AA192" s="26"/>
      <c r="AB192" s="26"/>
      <c r="AC192" s="26"/>
      <c r="AD192" s="26"/>
      <c r="AE192" s="26"/>
    </row>
    <row r="193" spans="1:31" ht="21.95" customHeight="1" x14ac:dyDescent="0.25">
      <c r="A193" s="97" t="str">
        <f>+IF(PROVEEDORES[[#This Row],[FECHA DE PAGO]]=PROVEEDORES[[#This Row],[FECHA DE FACTURACIÓN]],"DE CONTADO","CRÉDITO")</f>
        <v>CRÉDITO</v>
      </c>
      <c r="B193" s="41" t="b">
        <f>+IF((PROVEEDORES[[#This Row],[FECHA DE PAGO]]-PROVEEDORES[[#This Row],[FECHA DE FACTURACIÓN]])&gt;PROVEEDORES[[#This Row],[PLAZO Días]],"PAGO VENCIDO")</f>
        <v>0</v>
      </c>
      <c r="C193" s="22">
        <f>+VLOOKUP(PROVEEDORES[[#This Row],[PROVEEDOR]],TERCEROS_INFO[#All],2,FALSE)</f>
        <v>30</v>
      </c>
      <c r="D193" s="27">
        <f>+SUMIFS(PROVEEDORES[Total],PROVEEDORES[PROVEEDOR],PROVEEDORES[[#This Row],[PROVEEDOR]],PROVEEDORES[FECHA DE PAGO],"")</f>
        <v>5463150</v>
      </c>
      <c r="E193" s="27"/>
      <c r="F193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193" s="95">
        <v>44280</v>
      </c>
      <c r="H193" s="28" t="s">
        <v>344</v>
      </c>
      <c r="I193" s="95">
        <v>44256</v>
      </c>
      <c r="J193" s="38">
        <v>38432</v>
      </c>
      <c r="K193" s="23">
        <v>3706000</v>
      </c>
      <c r="L193" s="23"/>
      <c r="M193" s="24">
        <v>704140</v>
      </c>
      <c r="N193" s="25"/>
      <c r="O193" s="24">
        <v>214021</v>
      </c>
      <c r="P193" s="136">
        <f>+IF(PROVEEDORES[[#This Row],[SUBTOTAL]]&lt;PROVEEDORES[[#This Row],[base retencion]],0,PROVEEDORES[[#This Row],[retención aplicada]])</f>
        <v>3.5000000000000003E-2</v>
      </c>
      <c r="Q193" s="24">
        <f>+PROVEEDORES[[#This Row],[Rete Fuente %]]*PROVEEDORES[[#This Row],[SUBTOTAL]]</f>
        <v>129710.00000000001</v>
      </c>
      <c r="R193" s="23">
        <v>4066409</v>
      </c>
      <c r="S19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" s="99">
        <f ca="1">IF(PROVEEDORES[[#This Row],[FECHA DE PAGO]]=0,TODAY()-PROVEEDORES[[#This Row],[FECHA DE FACTURACIÓN]]-PROVEEDORES[[#This Row],[PLAZO Días]],0)</f>
        <v>0</v>
      </c>
      <c r="U193" s="149" t="str">
        <f>+VLOOKUP(PROVEEDORES[[#This Row],[PROVEEDOR]],Terceros!$A:$E,5,FALSE)</f>
        <v>3,5% con base</v>
      </c>
      <c r="V193" s="150">
        <f>+YEAR(PROVEEDORES[[#This Row],[FECHA DE FACTURACIÓN]])</f>
        <v>2021</v>
      </c>
      <c r="W193" s="150">
        <f>+MATCH(PROVEEDORES[[#This Row],[año facturado]],Retenciones!$1:$1,0)</f>
        <v>4</v>
      </c>
      <c r="X193" s="151">
        <f>+VLOOKUP(PROVEEDORES[[#This Row],[ID RETENCION]],Retenciones!$A$1:$O$24,PROVEEDORES[[#This Row],[indicador de columna]],FALSE)</f>
        <v>980000</v>
      </c>
      <c r="Y193" s="152">
        <f>+VLOOKUP(PROVEEDORES[[#This Row],[ID RETENCION]],Retenciones!$A$1:$O$24,2,FALSE)</f>
        <v>3.5000000000000003E-2</v>
      </c>
      <c r="Z193" s="26"/>
      <c r="AA193" s="26"/>
      <c r="AB193" s="26"/>
      <c r="AC193" s="26"/>
      <c r="AD193" s="26"/>
      <c r="AE193" s="26"/>
    </row>
    <row r="194" spans="1:31" ht="21.95" customHeight="1" x14ac:dyDescent="0.25">
      <c r="A194" s="97" t="str">
        <f>+IF(PROVEEDORES[[#This Row],[FECHA DE PAGO]]=PROVEEDORES[[#This Row],[FECHA DE FACTURACIÓN]],"DE CONTADO","CRÉDITO")</f>
        <v>CRÉDITO</v>
      </c>
      <c r="B194" s="41" t="b">
        <f>+IF((PROVEEDORES[[#This Row],[FECHA DE PAGO]]-PROVEEDORES[[#This Row],[FECHA DE FACTURACIÓN]])&gt;PROVEEDORES[[#This Row],[PLAZO Días]],"PAGO VENCIDO")</f>
        <v>0</v>
      </c>
      <c r="C194" s="22">
        <f>+VLOOKUP(PROVEEDORES[[#This Row],[PROVEEDOR]],TERCEROS_INFO[#All],2,FALSE)</f>
        <v>30</v>
      </c>
      <c r="D194" s="27">
        <f>+SUMIFS(PROVEEDORES[Total],PROVEEDORES[PROVEEDOR],PROVEEDORES[[#This Row],[PROVEEDOR]],PROVEEDORES[FECHA DE PAGO],"")</f>
        <v>1979529.3</v>
      </c>
      <c r="E194" s="27"/>
      <c r="F194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194" s="95">
        <v>44279</v>
      </c>
      <c r="H194" s="28" t="s">
        <v>17</v>
      </c>
      <c r="I194" s="95">
        <v>44256</v>
      </c>
      <c r="J194" s="38">
        <v>1733179</v>
      </c>
      <c r="K194" s="23">
        <v>512507</v>
      </c>
      <c r="L194" s="23"/>
      <c r="M194" s="24">
        <v>97376.33</v>
      </c>
      <c r="N194" s="25"/>
      <c r="O194" s="24">
        <v>0</v>
      </c>
      <c r="P194" s="136">
        <f>+IF(PROVEEDORES[[#This Row],[SUBTOTAL]]&lt;PROVEEDORES[[#This Row],[base retencion]],0,PROVEEDORES[[#This Row],[retención aplicada]])</f>
        <v>0</v>
      </c>
      <c r="Q194" s="24">
        <f>+PROVEEDORES[[#This Row],[Rete Fuente %]]*PROVEEDORES[[#This Row],[SUBTOTAL]]</f>
        <v>0</v>
      </c>
      <c r="R194" s="23">
        <v>609883.32999999996</v>
      </c>
      <c r="S19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" s="99">
        <f ca="1">IF(PROVEEDORES[[#This Row],[FECHA DE PAGO]]=0,TODAY()-PROVEEDORES[[#This Row],[FECHA DE FACTURACIÓN]]-PROVEEDORES[[#This Row],[PLAZO Días]],0)</f>
        <v>0</v>
      </c>
      <c r="U194" s="149">
        <f>+VLOOKUP(PROVEEDORES[[#This Row],[PROVEEDOR]],Terceros!$A:$E,5,FALSE)</f>
        <v>0</v>
      </c>
      <c r="V194" s="150">
        <f>+YEAR(PROVEEDORES[[#This Row],[FECHA DE FACTURACIÓN]])</f>
        <v>2021</v>
      </c>
      <c r="W194" s="150">
        <f>+MATCH(PROVEEDORES[[#This Row],[año facturado]],Retenciones!$1:$1,0)</f>
        <v>4</v>
      </c>
      <c r="X194" s="151">
        <f>+VLOOKUP(PROVEEDORES[[#This Row],[ID RETENCION]],Retenciones!$A$1:$O$24,PROVEEDORES[[#This Row],[indicador de columna]],FALSE)</f>
        <v>0</v>
      </c>
      <c r="Y194" s="152">
        <f>+VLOOKUP(PROVEEDORES[[#This Row],[ID RETENCION]],Retenciones!$A$1:$O$24,2,FALSE)</f>
        <v>0</v>
      </c>
      <c r="Z194" s="26"/>
      <c r="AA194" s="26"/>
      <c r="AB194" s="26"/>
      <c r="AC194" s="26"/>
      <c r="AD194" s="26"/>
      <c r="AE194" s="26"/>
    </row>
    <row r="195" spans="1:31" ht="21.95" customHeight="1" x14ac:dyDescent="0.25">
      <c r="A195" s="97" t="str">
        <f>+IF(PROVEEDORES[[#This Row],[FECHA DE PAGO]]=PROVEEDORES[[#This Row],[FECHA DE FACTURACIÓN]],"DE CONTADO","CRÉDITO")</f>
        <v>CRÉDITO</v>
      </c>
      <c r="B195" s="41" t="b">
        <f>+IF((PROVEEDORES[[#This Row],[FECHA DE PAGO]]-PROVEEDORES[[#This Row],[FECHA DE FACTURACIÓN]])&gt;PROVEEDORES[[#This Row],[PLAZO Días]],"PAGO VENCIDO")</f>
        <v>0</v>
      </c>
      <c r="C195" s="22">
        <f>+VLOOKUP(PROVEEDORES[[#This Row],[PROVEEDOR]],TERCEROS_INFO[#All],2,FALSE)</f>
        <v>30</v>
      </c>
      <c r="D195" s="27">
        <f>+SUMIFS(PROVEEDORES[Total],PROVEEDORES[PROVEEDOR],PROVEEDORES[[#This Row],[PROVEEDOR]],PROVEEDORES[FECHA DE PAGO],"")</f>
        <v>248736.18000000002</v>
      </c>
      <c r="E195" s="27"/>
      <c r="F195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G195" s="95">
        <v>44284</v>
      </c>
      <c r="H195" s="28" t="s">
        <v>343</v>
      </c>
      <c r="I195" s="95">
        <v>44256</v>
      </c>
      <c r="J195" s="38">
        <v>1554</v>
      </c>
      <c r="K195" s="23">
        <v>203897</v>
      </c>
      <c r="L195" s="23"/>
      <c r="M195" s="24">
        <v>38740.43</v>
      </c>
      <c r="N195" s="25"/>
      <c r="O195" s="24">
        <v>0</v>
      </c>
      <c r="P195" s="136">
        <f>+IF(PROVEEDORES[[#This Row],[SUBTOTAL]]&lt;PROVEEDORES[[#This Row],[base retencion]],0,PROVEEDORES[[#This Row],[retención aplicada]])</f>
        <v>3.5000000000000003E-2</v>
      </c>
      <c r="Q195" s="24">
        <f>+PROVEEDORES[[#This Row],[Rete Fuente %]]*PROVEEDORES[[#This Row],[SUBTOTAL]]</f>
        <v>7136.3950000000004</v>
      </c>
      <c r="R195" s="23">
        <v>235501.03</v>
      </c>
      <c r="S19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" s="99">
        <f ca="1">IF(PROVEEDORES[[#This Row],[FECHA DE PAGO]]=0,TODAY()-PROVEEDORES[[#This Row],[FECHA DE FACTURACIÓN]]-PROVEEDORES[[#This Row],[PLAZO Días]],0)</f>
        <v>0</v>
      </c>
      <c r="U195" s="149" t="str">
        <f>+VLOOKUP(PROVEEDORES[[#This Row],[PROVEEDOR]],Terceros!$A:$E,5,FALSE)</f>
        <v>3,5% sin base</v>
      </c>
      <c r="V195" s="150">
        <f>+YEAR(PROVEEDORES[[#This Row],[FECHA DE FACTURACIÓN]])</f>
        <v>2021</v>
      </c>
      <c r="W195" s="150">
        <f>+MATCH(PROVEEDORES[[#This Row],[año facturado]],Retenciones!$1:$1,0)</f>
        <v>4</v>
      </c>
      <c r="X195" s="151">
        <f>+VLOOKUP(PROVEEDORES[[#This Row],[ID RETENCION]],Retenciones!$A$1:$O$24,PROVEEDORES[[#This Row],[indicador de columna]],FALSE)</f>
        <v>0</v>
      </c>
      <c r="Y195" s="152">
        <f>+VLOOKUP(PROVEEDORES[[#This Row],[ID RETENCION]],Retenciones!$A$1:$O$24,2,FALSE)</f>
        <v>3.5000000000000003E-2</v>
      </c>
      <c r="Z195" s="26"/>
      <c r="AA195" s="26"/>
      <c r="AB195" s="26"/>
      <c r="AC195" s="26"/>
      <c r="AD195" s="26"/>
      <c r="AE195" s="26"/>
    </row>
    <row r="196" spans="1:31" ht="21.95" customHeight="1" x14ac:dyDescent="0.25">
      <c r="A196" s="97" t="str">
        <f>+IF(PROVEEDORES[[#This Row],[FECHA DE PAGO]]=PROVEEDORES[[#This Row],[FECHA DE FACTURACIÓN]],"DE CONTADO","CRÉDITO")</f>
        <v>CRÉDITO</v>
      </c>
      <c r="B196" s="41" t="b">
        <f>+IF((PROVEEDORES[[#This Row],[FECHA DE PAGO]]-PROVEEDORES[[#This Row],[FECHA DE FACTURACIÓN]])&gt;PROVEEDORES[[#This Row],[PLAZO Días]],"PAGO VENCIDO")</f>
        <v>0</v>
      </c>
      <c r="C196" s="22">
        <f>+VLOOKUP(PROVEEDORES[[#This Row],[PROVEEDOR]],TERCEROS_INFO[#All],2,FALSE)</f>
        <v>30</v>
      </c>
      <c r="D196" s="27">
        <f>+SUMIFS(PROVEEDORES[Total],PROVEEDORES[PROVEEDOR],PROVEEDORES[[#This Row],[PROVEEDOR]],PROVEEDORES[FECHA DE PAGO],"")</f>
        <v>4862586.33</v>
      </c>
      <c r="E196" s="27"/>
      <c r="F196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196" s="95">
        <v>44284</v>
      </c>
      <c r="H196" s="28" t="s">
        <v>345</v>
      </c>
      <c r="I196" s="95">
        <v>44256</v>
      </c>
      <c r="J196" s="38">
        <v>234</v>
      </c>
      <c r="K196" s="23">
        <v>716544</v>
      </c>
      <c r="L196" s="23"/>
      <c r="M196" s="24">
        <v>136143.36000000002</v>
      </c>
      <c r="N196" s="25"/>
      <c r="O196" s="24">
        <v>0</v>
      </c>
      <c r="P196" s="136">
        <f>+IF(PROVEEDORES[[#This Row],[SUBTOTAL]]&lt;PROVEEDORES[[#This Row],[base retencion]],0,PROVEEDORES[[#This Row],[retención aplicada]])</f>
        <v>0</v>
      </c>
      <c r="Q196" s="24">
        <f>+PROVEEDORES[[#This Row],[Rete Fuente %]]*PROVEEDORES[[#This Row],[SUBTOTAL]]</f>
        <v>0</v>
      </c>
      <c r="R196" s="23">
        <v>852687.35999999999</v>
      </c>
      <c r="S19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" s="99">
        <f ca="1">IF(PROVEEDORES[[#This Row],[FECHA DE PAGO]]=0,TODAY()-PROVEEDORES[[#This Row],[FECHA DE FACTURACIÓN]]-PROVEEDORES[[#This Row],[PLAZO Días]],0)</f>
        <v>0</v>
      </c>
      <c r="U196" s="149">
        <f>+VLOOKUP(PROVEEDORES[[#This Row],[PROVEEDOR]],Terceros!$A:$E,5,FALSE)</f>
        <v>0</v>
      </c>
      <c r="V196" s="150">
        <f>+YEAR(PROVEEDORES[[#This Row],[FECHA DE FACTURACIÓN]])</f>
        <v>2021</v>
      </c>
      <c r="W196" s="150">
        <f>+MATCH(PROVEEDORES[[#This Row],[año facturado]],Retenciones!$1:$1,0)</f>
        <v>4</v>
      </c>
      <c r="X196" s="151">
        <f>+VLOOKUP(PROVEEDORES[[#This Row],[ID RETENCION]],Retenciones!$A$1:$O$24,PROVEEDORES[[#This Row],[indicador de columna]],FALSE)</f>
        <v>0</v>
      </c>
      <c r="Y196" s="152">
        <f>+VLOOKUP(PROVEEDORES[[#This Row],[ID RETENCION]],Retenciones!$A$1:$O$24,2,FALSE)</f>
        <v>0</v>
      </c>
      <c r="Z196" s="26"/>
      <c r="AA196" s="26"/>
      <c r="AB196" s="26"/>
      <c r="AC196" s="26"/>
      <c r="AD196" s="26"/>
      <c r="AE196" s="26"/>
    </row>
    <row r="197" spans="1:31" ht="21.95" customHeight="1" x14ac:dyDescent="0.25">
      <c r="A197" s="97" t="str">
        <f>+IF(PROVEEDORES[[#This Row],[FECHA DE PAGO]]=PROVEEDORES[[#This Row],[FECHA DE FACTURACIÓN]],"DE CONTADO","CRÉDITO")</f>
        <v>CRÉDITO</v>
      </c>
      <c r="B197" s="41" t="b">
        <f>+IF((PROVEEDORES[[#This Row],[FECHA DE PAGO]]-PROVEEDORES[[#This Row],[FECHA DE FACTURACIÓN]])&gt;PROVEEDORES[[#This Row],[PLAZO Días]],"PAGO VENCIDO")</f>
        <v>0</v>
      </c>
      <c r="C197" s="22">
        <f>+VLOOKUP(PROVEEDORES[[#This Row],[PROVEEDOR]],TERCEROS_INFO[#All],2,FALSE)</f>
        <v>30</v>
      </c>
      <c r="D197" s="27">
        <f>+SUMIFS(PROVEEDORES[Total],PROVEEDORES[PROVEEDOR],PROVEEDORES[[#This Row],[PROVEEDOR]],PROVEEDORES[FECHA DE PAGO],"")</f>
        <v>0</v>
      </c>
      <c r="E197" s="27"/>
      <c r="F197" s="62" t="str">
        <f>+VLOOKUP(PROVEEDORES[[#This Row],[PROVEEDOR]],
                       Terceros!$A:$G,
                       6,
                       FALSE)</f>
        <v>propertymarketingsas@hotmail.com;girlesa.ruiz@servipilas.com;joriescobar64@gmail.com</v>
      </c>
      <c r="G197" s="95">
        <v>44284</v>
      </c>
      <c r="H197" s="28" t="s">
        <v>483</v>
      </c>
      <c r="I197" s="95">
        <v>44256</v>
      </c>
      <c r="J197" s="38">
        <v>3831</v>
      </c>
      <c r="K197" s="23">
        <v>2789636</v>
      </c>
      <c r="L197" s="23"/>
      <c r="M197" s="24">
        <v>0</v>
      </c>
      <c r="N197" s="25"/>
      <c r="O197" s="24">
        <v>0</v>
      </c>
      <c r="P197" s="136">
        <f>+IF(PROVEEDORES[[#This Row],[SUBTOTAL]]&lt;PROVEEDORES[[#This Row],[base retencion]],0,PROVEEDORES[[#This Row],[retención aplicada]])</f>
        <v>3.5000000000000003E-2</v>
      </c>
      <c r="Q197" s="24">
        <f>+PROVEEDORES[[#This Row],[Rete Fuente %]]*PROVEEDORES[[#This Row],[SUBTOTAL]]</f>
        <v>97637.260000000009</v>
      </c>
      <c r="R197" s="23">
        <v>2691998.74</v>
      </c>
      <c r="S19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" s="99">
        <f ca="1">IF(PROVEEDORES[[#This Row],[FECHA DE PAGO]]=0,TODAY()-PROVEEDORES[[#This Row],[FECHA DE FACTURACIÓN]]-PROVEEDORES[[#This Row],[PLAZO Días]],0)</f>
        <v>0</v>
      </c>
      <c r="U197" s="149" t="str">
        <f>+VLOOKUP(PROVEEDORES[[#This Row],[PROVEEDOR]],Terceros!$A:$E,5,FALSE)</f>
        <v>3,5% sin base</v>
      </c>
      <c r="V197" s="150">
        <f>+YEAR(PROVEEDORES[[#This Row],[FECHA DE FACTURACIÓN]])</f>
        <v>2021</v>
      </c>
      <c r="W197" s="150">
        <f>+MATCH(PROVEEDORES[[#This Row],[año facturado]],Retenciones!$1:$1,0)</f>
        <v>4</v>
      </c>
      <c r="X197" s="151">
        <f>+VLOOKUP(PROVEEDORES[[#This Row],[ID RETENCION]],Retenciones!$A$1:$O$24,PROVEEDORES[[#This Row],[indicador de columna]],FALSE)</f>
        <v>0</v>
      </c>
      <c r="Y197" s="152">
        <f>+VLOOKUP(PROVEEDORES[[#This Row],[ID RETENCION]],Retenciones!$A$1:$O$24,2,FALSE)</f>
        <v>3.5000000000000003E-2</v>
      </c>
      <c r="Z197" s="26"/>
      <c r="AA197" s="26"/>
      <c r="AB197" s="26"/>
      <c r="AC197" s="26"/>
      <c r="AD197" s="26"/>
      <c r="AE197" s="26"/>
    </row>
    <row r="198" spans="1:31" ht="21.95" customHeight="1" x14ac:dyDescent="0.25">
      <c r="A198" s="97" t="str">
        <f>+IF(PROVEEDORES[[#This Row],[FECHA DE PAGO]]=PROVEEDORES[[#This Row],[FECHA DE FACTURACIÓN]],"DE CONTADO","CRÉDITO")</f>
        <v>CRÉDITO</v>
      </c>
      <c r="B198" s="41" t="b">
        <f>+IF((PROVEEDORES[[#This Row],[FECHA DE PAGO]]-PROVEEDORES[[#This Row],[FECHA DE FACTURACIÓN]])&gt;PROVEEDORES[[#This Row],[PLAZO Días]],"PAGO VENCIDO")</f>
        <v>0</v>
      </c>
      <c r="C198" s="22">
        <f>+VLOOKUP(PROVEEDORES[[#This Row],[PROVEEDOR]],TERCEROS_INFO[#All],2,FALSE)</f>
        <v>30</v>
      </c>
      <c r="D198" s="27">
        <f>+SUMIFS(PROVEEDORES[Total],PROVEEDORES[PROVEEDOR],PROVEEDORES[[#This Row],[PROVEEDOR]],PROVEEDORES[FECHA DE PAGO],"")</f>
        <v>0</v>
      </c>
      <c r="E198" s="27"/>
      <c r="F198" s="62" t="str">
        <f>+VLOOKUP(PROVEEDORES[[#This Row],[PROVEEDOR]],
                       Terceros!$A:$G,
                       6,
                       FALSE)</f>
        <v>girlesa.ruiz@servipilas.com;joriescobar64@gmail.com</v>
      </c>
      <c r="G198" s="95">
        <v>44284</v>
      </c>
      <c r="H198" s="28" t="s">
        <v>336</v>
      </c>
      <c r="I198" s="95">
        <v>44256</v>
      </c>
      <c r="J198" s="38" t="s">
        <v>234</v>
      </c>
      <c r="K198" s="23">
        <v>3023387</v>
      </c>
      <c r="L198" s="23"/>
      <c r="M198" s="24">
        <v>0</v>
      </c>
      <c r="N198" s="25"/>
      <c r="O198" s="24">
        <v>0</v>
      </c>
      <c r="P198" s="136">
        <f>+IF(PROVEEDORES[[#This Row],[SUBTOTAL]]&lt;PROVEEDORES[[#This Row],[base retencion]],0,PROVEEDORES[[#This Row],[retención aplicada]])</f>
        <v>3.5000000000000003E-2</v>
      </c>
      <c r="Q198" s="24">
        <f>+PROVEEDORES[[#This Row],[Rete Fuente %]]*PROVEEDORES[[#This Row],[SUBTOTAL]]</f>
        <v>105818.54500000001</v>
      </c>
      <c r="R198" s="23">
        <v>2917568.4550000001</v>
      </c>
      <c r="S19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" s="99">
        <f ca="1">IF(PROVEEDORES[[#This Row],[FECHA DE PAGO]]=0,TODAY()-PROVEEDORES[[#This Row],[FECHA DE FACTURACIÓN]]-PROVEEDORES[[#This Row],[PLAZO Días]],0)</f>
        <v>0</v>
      </c>
      <c r="U198" s="149" t="str">
        <f>+VLOOKUP(PROVEEDORES[[#This Row],[PROVEEDOR]],Terceros!$A:$E,5,FALSE)</f>
        <v>3,5% sin base</v>
      </c>
      <c r="V198" s="150">
        <f>+YEAR(PROVEEDORES[[#This Row],[FECHA DE FACTURACIÓN]])</f>
        <v>2021</v>
      </c>
      <c r="W198" s="150">
        <f>+MATCH(PROVEEDORES[[#This Row],[año facturado]],Retenciones!$1:$1,0)</f>
        <v>4</v>
      </c>
      <c r="X198" s="151">
        <f>+VLOOKUP(PROVEEDORES[[#This Row],[ID RETENCION]],Retenciones!$A$1:$O$24,PROVEEDORES[[#This Row],[indicador de columna]],FALSE)</f>
        <v>0</v>
      </c>
      <c r="Y198" s="152">
        <f>+VLOOKUP(PROVEEDORES[[#This Row],[ID RETENCION]],Retenciones!$A$1:$O$24,2,FALSE)</f>
        <v>3.5000000000000003E-2</v>
      </c>
      <c r="Z198" s="26"/>
      <c r="AA198" s="26"/>
      <c r="AB198" s="26"/>
      <c r="AC198" s="26"/>
      <c r="AD198" s="26"/>
      <c r="AE198" s="26"/>
    </row>
    <row r="199" spans="1:31" ht="21.95" customHeight="1" x14ac:dyDescent="0.25">
      <c r="A199" s="97" t="str">
        <f>+IF(PROVEEDORES[[#This Row],[FECHA DE PAGO]]=PROVEEDORES[[#This Row],[FECHA DE FACTURACIÓN]],"DE CONTADO","CRÉDITO")</f>
        <v>CRÉDITO</v>
      </c>
      <c r="B199" s="41" t="b">
        <f>+IF((PROVEEDORES[[#This Row],[FECHA DE PAGO]]-PROVEEDORES[[#This Row],[FECHA DE FACTURACIÓN]])&gt;PROVEEDORES[[#This Row],[PLAZO Días]],"PAGO VENCIDO")</f>
        <v>0</v>
      </c>
      <c r="C199" s="22">
        <f>+VLOOKUP(PROVEEDORES[[#This Row],[PROVEEDOR]],TERCEROS_INFO[#All],2,FALSE)</f>
        <v>30</v>
      </c>
      <c r="D199" s="27">
        <f>+SUMIFS(PROVEEDORES[Total],PROVEEDORES[PROVEEDOR],PROVEEDORES[[#This Row],[PROVEEDOR]],PROVEEDORES[FECHA DE PAGO],"")</f>
        <v>4862586.33</v>
      </c>
      <c r="E199" s="27"/>
      <c r="F199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199" s="95">
        <v>44284</v>
      </c>
      <c r="H199" s="28" t="s">
        <v>345</v>
      </c>
      <c r="I199" s="95">
        <v>44256</v>
      </c>
      <c r="J199" s="38">
        <v>486</v>
      </c>
      <c r="K199" s="23">
        <v>3061166</v>
      </c>
      <c r="L199" s="23"/>
      <c r="M199" s="24">
        <v>581621.54</v>
      </c>
      <c r="N199" s="25"/>
      <c r="O199" s="24">
        <v>0</v>
      </c>
      <c r="P199" s="136">
        <f>+IF(PROVEEDORES[[#This Row],[SUBTOTAL]]&lt;PROVEEDORES[[#This Row],[base retencion]],0,PROVEEDORES[[#This Row],[retención aplicada]])</f>
        <v>0</v>
      </c>
      <c r="Q199" s="24">
        <f>+PROVEEDORES[[#This Row],[Rete Fuente %]]*PROVEEDORES[[#This Row],[SUBTOTAL]]</f>
        <v>0</v>
      </c>
      <c r="R199" s="23">
        <v>3642787.54</v>
      </c>
      <c r="S19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" s="99">
        <f ca="1">IF(PROVEEDORES[[#This Row],[FECHA DE PAGO]]=0,TODAY()-PROVEEDORES[[#This Row],[FECHA DE FACTURACIÓN]]-PROVEEDORES[[#This Row],[PLAZO Días]],0)</f>
        <v>0</v>
      </c>
      <c r="U199" s="149">
        <f>+VLOOKUP(PROVEEDORES[[#This Row],[PROVEEDOR]],Terceros!$A:$E,5,FALSE)</f>
        <v>0</v>
      </c>
      <c r="V199" s="150">
        <f>+YEAR(PROVEEDORES[[#This Row],[FECHA DE FACTURACIÓN]])</f>
        <v>2021</v>
      </c>
      <c r="W199" s="150">
        <f>+MATCH(PROVEEDORES[[#This Row],[año facturado]],Retenciones!$1:$1,0)</f>
        <v>4</v>
      </c>
      <c r="X199" s="151">
        <f>+VLOOKUP(PROVEEDORES[[#This Row],[ID RETENCION]],Retenciones!$A$1:$O$24,PROVEEDORES[[#This Row],[indicador de columna]],FALSE)</f>
        <v>0</v>
      </c>
      <c r="Y199" s="152">
        <f>+VLOOKUP(PROVEEDORES[[#This Row],[ID RETENCION]],Retenciones!$A$1:$O$24,2,FALSE)</f>
        <v>0</v>
      </c>
      <c r="Z199" s="26"/>
      <c r="AA199" s="26"/>
      <c r="AB199" s="26"/>
      <c r="AC199" s="26"/>
      <c r="AD199" s="26"/>
      <c r="AE199" s="26"/>
    </row>
    <row r="200" spans="1:31" ht="21.95" customHeight="1" x14ac:dyDescent="0.25">
      <c r="A200" s="97" t="str">
        <f>+IF(PROVEEDORES[[#This Row],[FECHA DE PAGO]]=PROVEEDORES[[#This Row],[FECHA DE FACTURACIÓN]],"DE CONTADO","CRÉDITO")</f>
        <v>CRÉDITO</v>
      </c>
      <c r="B200" s="41" t="b">
        <f>+IF((PROVEEDORES[[#This Row],[FECHA DE PAGO]]-PROVEEDORES[[#This Row],[FECHA DE FACTURACIÓN]])&gt;PROVEEDORES[[#This Row],[PLAZO Días]],"PAGO VENCIDO")</f>
        <v>0</v>
      </c>
      <c r="C200" s="22">
        <f>+VLOOKUP(PROVEEDORES[[#This Row],[PROVEEDOR]],TERCEROS_INFO[#All],2,FALSE)</f>
        <v>30</v>
      </c>
      <c r="D200" s="27">
        <f>+SUMIFS(PROVEEDORES[Total],PROVEEDORES[PROVEEDOR],PROVEEDORES[[#This Row],[PROVEEDOR]],PROVEEDORES[FECHA DE PAGO],"")</f>
        <v>0</v>
      </c>
      <c r="E200" s="27"/>
      <c r="F200" s="62" t="str">
        <f>+VLOOKUP(PROVEEDORES[[#This Row],[PROVEEDOR]],
                       Terceros!$A:$G,
                       6,
                       FALSE)</f>
        <v>tesoreria@lacentral.com.co;girlesa.ruiz@servipilas.com;joriescobar64@gmail.com</v>
      </c>
      <c r="G200" s="95">
        <v>44285</v>
      </c>
      <c r="H200" s="28" t="s">
        <v>332</v>
      </c>
      <c r="I200" s="95">
        <v>44256</v>
      </c>
      <c r="J200" s="38">
        <v>7708</v>
      </c>
      <c r="K200" s="23">
        <v>1327746</v>
      </c>
      <c r="L200" s="23"/>
      <c r="M200" s="24">
        <v>0</v>
      </c>
      <c r="N200" s="25"/>
      <c r="O200" s="24">
        <v>131601</v>
      </c>
      <c r="P200" s="136">
        <f>+IF(PROVEEDORES[[#This Row],[SUBTOTAL]]&lt;PROVEEDORES[[#This Row],[base retencion]],0,PROVEEDORES[[#This Row],[retención aplicada]])</f>
        <v>0</v>
      </c>
      <c r="Q200" s="24">
        <f>+PROVEEDORES[[#This Row],[Rete Fuente %]]*PROVEEDORES[[#This Row],[SUBTOTAL]]</f>
        <v>0</v>
      </c>
      <c r="R200" s="23">
        <v>1196145</v>
      </c>
      <c r="S20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" s="99">
        <f ca="1">IF(PROVEEDORES[[#This Row],[FECHA DE PAGO]]=0,TODAY()-PROVEEDORES[[#This Row],[FECHA DE FACTURACIÓN]]-PROVEEDORES[[#This Row],[PLAZO Días]],0)</f>
        <v>0</v>
      </c>
      <c r="U200" s="149">
        <f>+VLOOKUP(PROVEEDORES[[#This Row],[PROVEEDOR]],Terceros!$A:$E,5,FALSE)</f>
        <v>0</v>
      </c>
      <c r="V200" s="150">
        <f>+YEAR(PROVEEDORES[[#This Row],[FECHA DE FACTURACIÓN]])</f>
        <v>2021</v>
      </c>
      <c r="W200" s="150">
        <f>+MATCH(PROVEEDORES[[#This Row],[año facturado]],Retenciones!$1:$1,0)</f>
        <v>4</v>
      </c>
      <c r="X200" s="151">
        <f>+VLOOKUP(PROVEEDORES[[#This Row],[ID RETENCION]],Retenciones!$A$1:$O$24,PROVEEDORES[[#This Row],[indicador de columna]],FALSE)</f>
        <v>0</v>
      </c>
      <c r="Y200" s="152">
        <f>+VLOOKUP(PROVEEDORES[[#This Row],[ID RETENCION]],Retenciones!$A$1:$O$24,2,FALSE)</f>
        <v>0</v>
      </c>
      <c r="Z200" s="26"/>
      <c r="AA200" s="26"/>
      <c r="AB200" s="26"/>
      <c r="AC200" s="26"/>
      <c r="AD200" s="26"/>
      <c r="AE200" s="26"/>
    </row>
    <row r="201" spans="1:31" ht="21.95" customHeight="1" x14ac:dyDescent="0.25">
      <c r="A201" s="97" t="str">
        <f>+IF(PROVEEDORES[[#This Row],[FECHA DE PAGO]]=PROVEEDORES[[#This Row],[FECHA DE FACTURACIÓN]],"DE CONTADO","CRÉDITO")</f>
        <v>CRÉDITO</v>
      </c>
      <c r="B201" s="41" t="str">
        <f>+IF((PROVEEDORES[[#This Row],[FECHA DE PAGO]]-PROVEEDORES[[#This Row],[FECHA DE FACTURACIÓN]])&gt;PROVEEDORES[[#This Row],[PLAZO Días]],"PAGO VENCIDO")</f>
        <v>PAGO VENCIDO</v>
      </c>
      <c r="C201" s="22">
        <f>+VLOOKUP(PROVEEDORES[[#This Row],[PROVEEDOR]],TERCEROS_INFO[#All],2,FALSE)</f>
        <v>30</v>
      </c>
      <c r="D201" s="27">
        <f>+SUMIFS(PROVEEDORES[Total],PROVEEDORES[PROVEEDOR],PROVEEDORES[[#This Row],[PROVEEDOR]],PROVEEDORES[FECHA DE PAGO],"")</f>
        <v>452687.9</v>
      </c>
      <c r="E201" s="27"/>
      <c r="F201" s="62" t="str">
        <f>+VLOOKUP(PROVEEDORES[[#This Row],[PROVEEDOR]],
                       Terceros!$A:$G,
                       6,
                       FALSE)</f>
        <v>soluenergiacentro@une.net.co;girlesa.ruiz@servipilas.com;joriescobar64@gmail.com</v>
      </c>
      <c r="G201" s="95">
        <v>44326</v>
      </c>
      <c r="H201" s="28" t="s">
        <v>39</v>
      </c>
      <c r="I201" s="95">
        <v>44257</v>
      </c>
      <c r="J201" s="38" t="s">
        <v>149</v>
      </c>
      <c r="K201" s="23">
        <v>-42016.806722689078</v>
      </c>
      <c r="L201" s="23"/>
      <c r="M201" s="24">
        <v>-7983.1932773109247</v>
      </c>
      <c r="N201" s="25"/>
      <c r="O201" s="24">
        <v>0</v>
      </c>
      <c r="P201" s="136">
        <f>+IF(PROVEEDORES[[#This Row],[SUBTOTAL]]&lt;PROVEEDORES[[#This Row],[base retencion]],0,PROVEEDORES[[#This Row],[retención aplicada]])</f>
        <v>0</v>
      </c>
      <c r="Q201" s="24">
        <f>+PROVEEDORES[[#This Row],[Rete Fuente %]]*PROVEEDORES[[#This Row],[SUBTOTAL]]</f>
        <v>0</v>
      </c>
      <c r="R201" s="23">
        <v>-50000</v>
      </c>
      <c r="S20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" s="99">
        <f ca="1">IF(PROVEEDORES[[#This Row],[FECHA DE PAGO]]=0,TODAY()-PROVEEDORES[[#This Row],[FECHA DE FACTURACIÓN]]-PROVEEDORES[[#This Row],[PLAZO Días]],0)</f>
        <v>0</v>
      </c>
      <c r="U201" s="149" t="str">
        <f>+VLOOKUP(PROVEEDORES[[#This Row],[PROVEEDOR]],Terceros!$A:$E,5,FALSE)</f>
        <v>2,5% con base</v>
      </c>
      <c r="V201" s="150">
        <f>+YEAR(PROVEEDORES[[#This Row],[FECHA DE FACTURACIÓN]])</f>
        <v>2021</v>
      </c>
      <c r="W201" s="150">
        <f>+MATCH(PROVEEDORES[[#This Row],[año facturado]],Retenciones!$1:$1,0)</f>
        <v>4</v>
      </c>
      <c r="X201" s="151">
        <f>+VLOOKUP(PROVEEDORES[[#This Row],[ID RETENCION]],Retenciones!$A$1:$O$24,PROVEEDORES[[#This Row],[indicador de columna]],FALSE)</f>
        <v>980000</v>
      </c>
      <c r="Y201" s="152">
        <f>+VLOOKUP(PROVEEDORES[[#This Row],[ID RETENCION]],Retenciones!$A$1:$O$24,2,FALSE)</f>
        <v>2.5000000000000001E-2</v>
      </c>
      <c r="Z201" s="26"/>
      <c r="AA201" s="26"/>
      <c r="AB201" s="26"/>
      <c r="AC201" s="26"/>
      <c r="AD201" s="26"/>
      <c r="AE201" s="26"/>
    </row>
    <row r="202" spans="1:31" ht="21.95" customHeight="1" x14ac:dyDescent="0.25">
      <c r="A202" s="97" t="str">
        <f>+IF(PROVEEDORES[[#This Row],[FECHA DE PAGO]]=PROVEEDORES[[#This Row],[FECHA DE FACTURACIÓN]],"DE CONTADO","CRÉDITO")</f>
        <v>CRÉDITO</v>
      </c>
      <c r="B202" s="41" t="str">
        <f>+IF((PROVEEDORES[[#This Row],[FECHA DE PAGO]]-PROVEEDORES[[#This Row],[FECHA DE FACTURACIÓN]])&gt;PROVEEDORES[[#This Row],[PLAZO Días]],"PAGO VENCIDO")</f>
        <v>PAGO VENCIDO</v>
      </c>
      <c r="C202" s="22">
        <f>+VLOOKUP(PROVEEDORES[[#This Row],[PROVEEDOR]],TERCEROS_INFO[#All],2,FALSE)</f>
        <v>45</v>
      </c>
      <c r="D202" s="27">
        <f>+SUMIFS(PROVEEDORES[Total],PROVEEDORES[PROVEEDOR],PROVEEDORES[[#This Row],[PROVEEDOR]],PROVEEDORES[FECHA DE PAGO],"")</f>
        <v>3412539.2</v>
      </c>
      <c r="E202" s="27"/>
      <c r="F202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202" s="95">
        <v>44342</v>
      </c>
      <c r="H202" s="28" t="s">
        <v>10</v>
      </c>
      <c r="I202" s="95">
        <v>44257</v>
      </c>
      <c r="J202" s="38" t="s">
        <v>237</v>
      </c>
      <c r="K202" s="23">
        <v>864000</v>
      </c>
      <c r="L202" s="23"/>
      <c r="M202" s="24">
        <v>164160</v>
      </c>
      <c r="N202" s="25"/>
      <c r="O202" s="24">
        <v>0</v>
      </c>
      <c r="P202" s="136">
        <f>+IF(PROVEEDORES[[#This Row],[SUBTOTAL]]&lt;PROVEEDORES[[#This Row],[base retencion]],0,PROVEEDORES[[#This Row],[retención aplicada]])</f>
        <v>0</v>
      </c>
      <c r="Q202" s="24">
        <f>+PROVEEDORES[[#This Row],[Rete Fuente %]]*PROVEEDORES[[#This Row],[SUBTOTAL]]</f>
        <v>0</v>
      </c>
      <c r="R202" s="23">
        <v>1028160</v>
      </c>
      <c r="S20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" s="99">
        <f ca="1">IF(PROVEEDORES[[#This Row],[FECHA DE PAGO]]=0,TODAY()-PROVEEDORES[[#This Row],[FECHA DE FACTURACIÓN]]-PROVEEDORES[[#This Row],[PLAZO Días]],0)</f>
        <v>0</v>
      </c>
      <c r="U202" s="149">
        <f>+VLOOKUP(PROVEEDORES[[#This Row],[PROVEEDOR]],Terceros!$A:$E,5,FALSE)</f>
        <v>0</v>
      </c>
      <c r="V202" s="150">
        <f>+YEAR(PROVEEDORES[[#This Row],[FECHA DE FACTURACIÓN]])</f>
        <v>2021</v>
      </c>
      <c r="W202" s="150">
        <f>+MATCH(PROVEEDORES[[#This Row],[año facturado]],Retenciones!$1:$1,0)</f>
        <v>4</v>
      </c>
      <c r="X202" s="151">
        <f>+VLOOKUP(PROVEEDORES[[#This Row],[ID RETENCION]],Retenciones!$A$1:$O$24,PROVEEDORES[[#This Row],[indicador de columna]],FALSE)</f>
        <v>0</v>
      </c>
      <c r="Y202" s="152">
        <f>+VLOOKUP(PROVEEDORES[[#This Row],[ID RETENCION]],Retenciones!$A$1:$O$24,2,FALSE)</f>
        <v>0</v>
      </c>
      <c r="Z202" s="26"/>
      <c r="AA202" s="26"/>
      <c r="AB202" s="26"/>
      <c r="AC202" s="26"/>
      <c r="AD202" s="26"/>
      <c r="AE202" s="26"/>
    </row>
    <row r="203" spans="1:31" ht="21.95" customHeight="1" x14ac:dyDescent="0.25">
      <c r="A203" s="97" t="str">
        <f>+IF(PROVEEDORES[[#This Row],[FECHA DE PAGO]]=PROVEEDORES[[#This Row],[FECHA DE FACTURACIÓN]],"DE CONTADO","CRÉDITO")</f>
        <v>DE CONTADO</v>
      </c>
      <c r="B203" s="41" t="b">
        <f>+IF((PROVEEDORES[[#This Row],[FECHA DE PAGO]]-PROVEEDORES[[#This Row],[FECHA DE FACTURACIÓN]])&gt;PROVEEDORES[[#This Row],[PLAZO Días]],"PAGO VENCIDO")</f>
        <v>0</v>
      </c>
      <c r="C203" s="22">
        <f>+VLOOKUP(PROVEEDORES[[#This Row],[PROVEEDOR]],TERCEROS_INFO[#All],2,FALSE)</f>
        <v>30</v>
      </c>
      <c r="D203" s="27">
        <f>+SUMIFS(PROVEEDORES[Total],PROVEEDORES[PROVEEDOR],PROVEEDORES[[#This Row],[PROVEEDOR]],PROVEEDORES[FECHA DE PAGO],"")</f>
        <v>0</v>
      </c>
      <c r="E203" s="27"/>
      <c r="F203" s="62" t="str">
        <f>+VLOOKUP(PROVEEDORES[[#This Row],[PROVEEDOR]],
                       Terceros!$A:$G,
                       6,
                       FALSE)</f>
        <v/>
      </c>
      <c r="G203" s="95">
        <v>44257</v>
      </c>
      <c r="H203" s="28" t="s">
        <v>1001</v>
      </c>
      <c r="I203" s="95">
        <v>44257</v>
      </c>
      <c r="J203" s="38" t="s">
        <v>680</v>
      </c>
      <c r="K203" s="23">
        <v>1711000</v>
      </c>
      <c r="L203" s="23"/>
      <c r="M203" s="24">
        <v>0</v>
      </c>
      <c r="N203" s="25"/>
      <c r="O203" s="24">
        <v>0</v>
      </c>
      <c r="P203" s="136">
        <f>+IF(PROVEEDORES[[#This Row],[SUBTOTAL]]&lt;PROVEEDORES[[#This Row],[base retencion]],0,PROVEEDORES[[#This Row],[retención aplicada]])</f>
        <v>0</v>
      </c>
      <c r="Q203" s="24">
        <f>+PROVEEDORES[[#This Row],[Rete Fuente %]]*PROVEEDORES[[#This Row],[SUBTOTAL]]</f>
        <v>0</v>
      </c>
      <c r="R203" s="23">
        <v>1711000</v>
      </c>
      <c r="S20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" s="99">
        <f ca="1">IF(PROVEEDORES[[#This Row],[FECHA DE PAGO]]=0,TODAY()-PROVEEDORES[[#This Row],[FECHA DE FACTURACIÓN]]-PROVEEDORES[[#This Row],[PLAZO Días]],0)</f>
        <v>0</v>
      </c>
      <c r="U203" s="149">
        <f>+VLOOKUP(PROVEEDORES[[#This Row],[PROVEEDOR]],Terceros!$A:$E,5,FALSE)</f>
        <v>0</v>
      </c>
      <c r="V203" s="150">
        <f>+YEAR(PROVEEDORES[[#This Row],[FECHA DE FACTURACIÓN]])</f>
        <v>2021</v>
      </c>
      <c r="W203" s="150">
        <f>+MATCH(PROVEEDORES[[#This Row],[año facturado]],Retenciones!$1:$1,0)</f>
        <v>4</v>
      </c>
      <c r="X203" s="151">
        <f>+VLOOKUP(PROVEEDORES[[#This Row],[ID RETENCION]],Retenciones!$A$1:$O$24,PROVEEDORES[[#This Row],[indicador de columna]],FALSE)</f>
        <v>0</v>
      </c>
      <c r="Y203" s="152">
        <f>+VLOOKUP(PROVEEDORES[[#This Row],[ID RETENCION]],Retenciones!$A$1:$O$24,2,FALSE)</f>
        <v>0</v>
      </c>
      <c r="Z203" s="26"/>
      <c r="AA203" s="26"/>
      <c r="AB203" s="26"/>
      <c r="AC203" s="26"/>
      <c r="AD203" s="26"/>
      <c r="AE203" s="26"/>
    </row>
    <row r="204" spans="1:31" ht="21.95" customHeight="1" x14ac:dyDescent="0.25">
      <c r="A204" s="97" t="str">
        <f>+IF(PROVEEDORES[[#This Row],[FECHA DE PAGO]]=PROVEEDORES[[#This Row],[FECHA DE FACTURACIÓN]],"DE CONTADO","CRÉDITO")</f>
        <v>CRÉDITO</v>
      </c>
      <c r="B204" s="41" t="str">
        <f>+IF((PROVEEDORES[[#This Row],[FECHA DE PAGO]]-PROVEEDORES[[#This Row],[FECHA DE FACTURACIÓN]])&gt;PROVEEDORES[[#This Row],[PLAZO Días]],"PAGO VENCIDO")</f>
        <v>PAGO VENCIDO</v>
      </c>
      <c r="C204" s="22">
        <f>+VLOOKUP(PROVEEDORES[[#This Row],[PROVEEDOR]],TERCEROS_INFO[#All],2,FALSE)</f>
        <v>30</v>
      </c>
      <c r="D204" s="27">
        <f>+SUMIFS(PROVEEDORES[Total],PROVEEDORES[PROVEEDOR],PROVEEDORES[[#This Row],[PROVEEDOR]],PROVEEDORES[FECHA DE PAGO],"")</f>
        <v>0</v>
      </c>
      <c r="E204" s="27"/>
      <c r="F204" s="62" t="str">
        <f>+VLOOKUP(PROVEEDORES[[#This Row],[PROVEEDOR]],
                       Terceros!$A:$G,
                       6,
                       FALSE)</f>
        <v>vcortes@power-sonic.com;alexander.baur@power-sonic.com;jirias@power-sonic.com;girlesa.ruiz@servipilas.com;joriescobar64@gmail.com;info@servipilas.com</v>
      </c>
      <c r="G204" s="95">
        <v>44357</v>
      </c>
      <c r="H204" s="28" t="s">
        <v>38</v>
      </c>
      <c r="I204" s="95">
        <v>44257</v>
      </c>
      <c r="J204" s="38" t="s">
        <v>293</v>
      </c>
      <c r="K204" s="23">
        <v>9253877.5999999996</v>
      </c>
      <c r="L204" s="23"/>
      <c r="M204" s="24">
        <v>0</v>
      </c>
      <c r="N204" s="25"/>
      <c r="O204" s="24">
        <v>0</v>
      </c>
      <c r="P204" s="136">
        <f>+IF(PROVEEDORES[[#This Row],[SUBTOTAL]]&lt;PROVEEDORES[[#This Row],[base retencion]],0,PROVEEDORES[[#This Row],[retención aplicada]])</f>
        <v>0</v>
      </c>
      <c r="Q204" s="24">
        <f>+PROVEEDORES[[#This Row],[Rete Fuente %]]*PROVEEDORES[[#This Row],[SUBTOTAL]]</f>
        <v>0</v>
      </c>
      <c r="R204" s="23">
        <v>9253877.5999999996</v>
      </c>
      <c r="S20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" s="99">
        <f ca="1">IF(PROVEEDORES[[#This Row],[FECHA DE PAGO]]=0,TODAY()-PROVEEDORES[[#This Row],[FECHA DE FACTURACIÓN]]-PROVEEDORES[[#This Row],[PLAZO Días]],0)</f>
        <v>0</v>
      </c>
      <c r="U204" s="149">
        <f>+VLOOKUP(PROVEEDORES[[#This Row],[PROVEEDOR]],Terceros!$A:$E,5,FALSE)</f>
        <v>0</v>
      </c>
      <c r="V204" s="150">
        <f>+YEAR(PROVEEDORES[[#This Row],[FECHA DE FACTURACIÓN]])</f>
        <v>2021</v>
      </c>
      <c r="W204" s="150">
        <f>+MATCH(PROVEEDORES[[#This Row],[año facturado]],Retenciones!$1:$1,0)</f>
        <v>4</v>
      </c>
      <c r="X204" s="151">
        <f>+VLOOKUP(PROVEEDORES[[#This Row],[ID RETENCION]],Retenciones!$A$1:$O$24,PROVEEDORES[[#This Row],[indicador de columna]],FALSE)</f>
        <v>0</v>
      </c>
      <c r="Y204" s="152">
        <f>+VLOOKUP(PROVEEDORES[[#This Row],[ID RETENCION]],Retenciones!$A$1:$O$24,2,FALSE)</f>
        <v>0</v>
      </c>
      <c r="Z204" s="26"/>
      <c r="AA204" s="26"/>
      <c r="AB204" s="26"/>
      <c r="AC204" s="26"/>
      <c r="AD204" s="26"/>
      <c r="AE204" s="26"/>
    </row>
    <row r="205" spans="1:31" ht="21.95" customHeight="1" x14ac:dyDescent="0.25">
      <c r="A205" s="97" t="str">
        <f>+IF(PROVEEDORES[[#This Row],[FECHA DE PAGO]]=PROVEEDORES[[#This Row],[FECHA DE FACTURACIÓN]],"DE CONTADO","CRÉDITO")</f>
        <v>DE CONTADO</v>
      </c>
      <c r="B205" s="41" t="b">
        <f>+IF((PROVEEDORES[[#This Row],[FECHA DE PAGO]]-PROVEEDORES[[#This Row],[FECHA DE FACTURACIÓN]])&gt;PROVEEDORES[[#This Row],[PLAZO Días]],"PAGO VENCIDO")</f>
        <v>0</v>
      </c>
      <c r="C205" s="22">
        <f>+VLOOKUP(PROVEEDORES[[#This Row],[PROVEEDOR]],TERCEROS_INFO[#All],2,FALSE)</f>
        <v>30</v>
      </c>
      <c r="D205" s="27">
        <f>+SUMIFS(PROVEEDORES[Total],PROVEEDORES[PROVEEDOR],PROVEEDORES[[#This Row],[PROVEEDOR]],PROVEEDORES[FECHA DE PAGO],"")</f>
        <v>0</v>
      </c>
      <c r="E205" s="27"/>
      <c r="F205" s="62" t="str">
        <f>+VLOOKUP(PROVEEDORES[[#This Row],[PROVEEDOR]],
                       Terceros!$A:$G,
                       6,
                       FALSE)</f>
        <v/>
      </c>
      <c r="G205" s="95">
        <v>44258</v>
      </c>
      <c r="H205" s="28" t="s">
        <v>1046</v>
      </c>
      <c r="I205" s="95">
        <v>44258</v>
      </c>
      <c r="J205" s="38"/>
      <c r="K205" s="23">
        <v>1000000</v>
      </c>
      <c r="L205" s="23"/>
      <c r="M205" s="24">
        <v>0</v>
      </c>
      <c r="N205" s="25"/>
      <c r="O205" s="24">
        <v>0</v>
      </c>
      <c r="P205" s="136">
        <f>+IF(PROVEEDORES[[#This Row],[SUBTOTAL]]&lt;PROVEEDORES[[#This Row],[base retencion]],0,PROVEEDORES[[#This Row],[retención aplicada]])</f>
        <v>0</v>
      </c>
      <c r="Q205" s="24">
        <f>+PROVEEDORES[[#This Row],[Rete Fuente %]]*PROVEEDORES[[#This Row],[SUBTOTAL]]</f>
        <v>0</v>
      </c>
      <c r="R205" s="23">
        <v>1000000</v>
      </c>
      <c r="S20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" s="99">
        <f ca="1">IF(PROVEEDORES[[#This Row],[FECHA DE PAGO]]=0,TODAY()-PROVEEDORES[[#This Row],[FECHA DE FACTURACIÓN]]-PROVEEDORES[[#This Row],[PLAZO Días]],0)</f>
        <v>0</v>
      </c>
      <c r="U205" s="149">
        <f>+VLOOKUP(PROVEEDORES[[#This Row],[PROVEEDOR]],Terceros!$A:$E,5,FALSE)</f>
        <v>0</v>
      </c>
      <c r="V205" s="150">
        <f>+YEAR(PROVEEDORES[[#This Row],[FECHA DE FACTURACIÓN]])</f>
        <v>2021</v>
      </c>
      <c r="W205" s="150">
        <f>+MATCH(PROVEEDORES[[#This Row],[año facturado]],Retenciones!$1:$1,0)</f>
        <v>4</v>
      </c>
      <c r="X205" s="151">
        <f>+VLOOKUP(PROVEEDORES[[#This Row],[ID RETENCION]],Retenciones!$A$1:$O$24,PROVEEDORES[[#This Row],[indicador de columna]],FALSE)</f>
        <v>0</v>
      </c>
      <c r="Y205" s="152">
        <f>+VLOOKUP(PROVEEDORES[[#This Row],[ID RETENCION]],Retenciones!$A$1:$O$24,2,FALSE)</f>
        <v>0</v>
      </c>
      <c r="Z205" s="26"/>
      <c r="AA205" s="26"/>
      <c r="AB205" s="26"/>
      <c r="AC205" s="26"/>
      <c r="AD205" s="26"/>
      <c r="AE205" s="26"/>
    </row>
    <row r="206" spans="1:31" ht="21.95" customHeight="1" x14ac:dyDescent="0.25">
      <c r="A206" s="97" t="str">
        <f>+IF(PROVEEDORES[[#This Row],[FECHA DE PAGO]]=PROVEEDORES[[#This Row],[FECHA DE FACTURACIÓN]],"DE CONTADO","CRÉDITO")</f>
        <v>CRÉDITO</v>
      </c>
      <c r="B206" s="41" t="str">
        <f>+IF((PROVEEDORES[[#This Row],[FECHA DE PAGO]]-PROVEEDORES[[#This Row],[FECHA DE FACTURACIÓN]])&gt;PROVEEDORES[[#This Row],[PLAZO Días]],"PAGO VENCIDO")</f>
        <v>PAGO VENCIDO</v>
      </c>
      <c r="C206" s="22">
        <f>+VLOOKUP(PROVEEDORES[[#This Row],[PROVEEDOR]],TERCEROS_INFO[#All],2,FALSE)</f>
        <v>30</v>
      </c>
      <c r="D206" s="27">
        <f>+SUMIFS(PROVEEDORES[Total],PROVEEDORES[PROVEEDOR],PROVEEDORES[[#This Row],[PROVEEDOR]],PROVEEDORES[FECHA DE PAGO],"")</f>
        <v>3844432.4999000002</v>
      </c>
      <c r="E206" s="27"/>
      <c r="F206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206" s="95">
        <v>44307</v>
      </c>
      <c r="H206" s="28" t="s">
        <v>18</v>
      </c>
      <c r="I206" s="95">
        <v>44258</v>
      </c>
      <c r="J206" s="38">
        <v>1035231</v>
      </c>
      <c r="K206" s="23">
        <v>1334863.2</v>
      </c>
      <c r="L206" s="23"/>
      <c r="M206" s="24">
        <v>253624.008</v>
      </c>
      <c r="N206" s="25"/>
      <c r="O206" s="24">
        <v>0</v>
      </c>
      <c r="P206" s="136">
        <f>+IF(PROVEEDORES[[#This Row],[SUBTOTAL]]&lt;PROVEEDORES[[#This Row],[base retencion]],0,PROVEEDORES[[#This Row],[retención aplicada]])</f>
        <v>2.5000000000000001E-2</v>
      </c>
      <c r="Q206" s="24">
        <f>+PROVEEDORES[[#This Row],[Rete Fuente %]]*PROVEEDORES[[#This Row],[SUBTOTAL]]</f>
        <v>33371.58</v>
      </c>
      <c r="R206" s="23">
        <v>1555115.6279999998</v>
      </c>
      <c r="S20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" s="99">
        <f ca="1">IF(PROVEEDORES[[#This Row],[FECHA DE PAGO]]=0,TODAY()-PROVEEDORES[[#This Row],[FECHA DE FACTURACIÓN]]-PROVEEDORES[[#This Row],[PLAZO Días]],0)</f>
        <v>0</v>
      </c>
      <c r="U206" s="149" t="str">
        <f>+VLOOKUP(PROVEEDORES[[#This Row],[PROVEEDOR]],Terceros!$A:$E,5,FALSE)</f>
        <v>2,5% con base</v>
      </c>
      <c r="V206" s="150">
        <f>+YEAR(PROVEEDORES[[#This Row],[FECHA DE FACTURACIÓN]])</f>
        <v>2021</v>
      </c>
      <c r="W206" s="150">
        <f>+MATCH(PROVEEDORES[[#This Row],[año facturado]],Retenciones!$1:$1,0)</f>
        <v>4</v>
      </c>
      <c r="X206" s="151">
        <f>+VLOOKUP(PROVEEDORES[[#This Row],[ID RETENCION]],Retenciones!$A$1:$O$24,PROVEEDORES[[#This Row],[indicador de columna]],FALSE)</f>
        <v>980000</v>
      </c>
      <c r="Y206" s="152">
        <f>+VLOOKUP(PROVEEDORES[[#This Row],[ID RETENCION]],Retenciones!$A$1:$O$24,2,FALSE)</f>
        <v>2.5000000000000001E-2</v>
      </c>
      <c r="Z206" s="26"/>
      <c r="AA206" s="26"/>
      <c r="AB206" s="26"/>
      <c r="AC206" s="26"/>
      <c r="AD206" s="26"/>
      <c r="AE206" s="26"/>
    </row>
    <row r="207" spans="1:31" ht="21.95" customHeight="1" x14ac:dyDescent="0.25">
      <c r="A207" s="97" t="str">
        <f>+IF(PROVEEDORES[[#This Row],[FECHA DE PAGO]]=PROVEEDORES[[#This Row],[FECHA DE FACTURACIÓN]],"DE CONTADO","CRÉDITO")</f>
        <v>CRÉDITO</v>
      </c>
      <c r="B207" s="41" t="str">
        <f>+IF((PROVEEDORES[[#This Row],[FECHA DE PAGO]]-PROVEEDORES[[#This Row],[FECHA DE FACTURACIÓN]])&gt;PROVEEDORES[[#This Row],[PLAZO Días]],"PAGO VENCIDO")</f>
        <v>PAGO VENCIDO</v>
      </c>
      <c r="C207" s="22">
        <f>+VLOOKUP(PROVEEDORES[[#This Row],[PROVEEDOR]],TERCEROS_INFO[#All],2,FALSE)</f>
        <v>30</v>
      </c>
      <c r="D207" s="27">
        <f>+SUMIFS(PROVEEDORES[Total],PROVEEDORES[PROVEEDOR],PROVEEDORES[[#This Row],[PROVEEDOR]],PROVEEDORES[FECHA DE PAGO],"")</f>
        <v>3750700</v>
      </c>
      <c r="E207" s="27"/>
      <c r="F207" s="62" t="str">
        <f>+VLOOKUP(PROVEEDORES[[#This Row],[PROVEEDOR]],
                       Terceros!$A:$G,
                       6,
                       FALSE)</f>
        <v/>
      </c>
      <c r="G207" s="95">
        <v>44312</v>
      </c>
      <c r="H207" s="28" t="s">
        <v>990</v>
      </c>
      <c r="I207" s="95">
        <v>44258</v>
      </c>
      <c r="J207" s="38" t="s">
        <v>681</v>
      </c>
      <c r="K207" s="23">
        <v>1360000</v>
      </c>
      <c r="L207" s="23"/>
      <c r="M207" s="24">
        <v>0</v>
      </c>
      <c r="N207" s="25"/>
      <c r="O207" s="24">
        <v>0</v>
      </c>
      <c r="P207" s="136">
        <f>+IF(PROVEEDORES[[#This Row],[SUBTOTAL]]&lt;PROVEEDORES[[#This Row],[base retencion]],0,PROVEEDORES[[#This Row],[retención aplicada]])</f>
        <v>0</v>
      </c>
      <c r="Q207" s="24">
        <f>+PROVEEDORES[[#This Row],[Rete Fuente %]]*PROVEEDORES[[#This Row],[SUBTOTAL]]</f>
        <v>0</v>
      </c>
      <c r="R207" s="23">
        <v>1360000</v>
      </c>
      <c r="S20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" s="99">
        <f ca="1">IF(PROVEEDORES[[#This Row],[FECHA DE PAGO]]=0,TODAY()-PROVEEDORES[[#This Row],[FECHA DE FACTURACIÓN]]-PROVEEDORES[[#This Row],[PLAZO Días]],0)</f>
        <v>0</v>
      </c>
      <c r="U207" s="149">
        <f>+VLOOKUP(PROVEEDORES[[#This Row],[PROVEEDOR]],Terceros!$A:$E,5,FALSE)</f>
        <v>0</v>
      </c>
      <c r="V207" s="150">
        <f>+YEAR(PROVEEDORES[[#This Row],[FECHA DE FACTURACIÓN]])</f>
        <v>2021</v>
      </c>
      <c r="W207" s="150">
        <f>+MATCH(PROVEEDORES[[#This Row],[año facturado]],Retenciones!$1:$1,0)</f>
        <v>4</v>
      </c>
      <c r="X207" s="151">
        <f>+VLOOKUP(PROVEEDORES[[#This Row],[ID RETENCION]],Retenciones!$A$1:$O$24,PROVEEDORES[[#This Row],[indicador de columna]],FALSE)</f>
        <v>0</v>
      </c>
      <c r="Y207" s="152">
        <f>+VLOOKUP(PROVEEDORES[[#This Row],[ID RETENCION]],Retenciones!$A$1:$O$24,2,FALSE)</f>
        <v>0</v>
      </c>
      <c r="Z207" s="26"/>
      <c r="AA207" s="26"/>
      <c r="AB207" s="26"/>
      <c r="AC207" s="26"/>
      <c r="AD207" s="26"/>
      <c r="AE207" s="26"/>
    </row>
    <row r="208" spans="1:31" ht="21.95" customHeight="1" x14ac:dyDescent="0.25">
      <c r="A208" s="97" t="str">
        <f>+IF(PROVEEDORES[[#This Row],[FECHA DE PAGO]]=PROVEEDORES[[#This Row],[FECHA DE FACTURACIÓN]],"DE CONTADO","CRÉDITO")</f>
        <v>CRÉDITO</v>
      </c>
      <c r="B208" s="41" t="str">
        <f>+IF((PROVEEDORES[[#This Row],[FECHA DE PAGO]]-PROVEEDORES[[#This Row],[FECHA DE FACTURACIÓN]])&gt;PROVEEDORES[[#This Row],[PLAZO Días]],"PAGO VENCIDO")</f>
        <v>PAGO VENCIDO</v>
      </c>
      <c r="C208" s="22">
        <f>+VLOOKUP(PROVEEDORES[[#This Row],[PROVEEDOR]],TERCEROS_INFO[#All],2,FALSE)</f>
        <v>30</v>
      </c>
      <c r="D208" s="27">
        <f>+SUMIFS(PROVEEDORES[Total],PROVEEDORES[PROVEEDOR],PROVEEDORES[[#This Row],[PROVEEDOR]],PROVEEDORES[FECHA DE PAGO],"")</f>
        <v>0</v>
      </c>
      <c r="E208" s="27"/>
      <c r="F208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208" s="95">
        <v>44298</v>
      </c>
      <c r="H208" s="28" t="s">
        <v>1124</v>
      </c>
      <c r="I208" s="95">
        <v>44260</v>
      </c>
      <c r="J208" s="38">
        <v>14581</v>
      </c>
      <c r="K208" s="23">
        <v>1708000</v>
      </c>
      <c r="L208" s="23"/>
      <c r="M208" s="24">
        <v>324520</v>
      </c>
      <c r="N208" s="25"/>
      <c r="O208" s="24">
        <v>0</v>
      </c>
      <c r="P208" s="136">
        <f>+IF(PROVEEDORES[[#This Row],[SUBTOTAL]]&lt;PROVEEDORES[[#This Row],[base retencion]],0,PROVEEDORES[[#This Row],[retención aplicada]])</f>
        <v>2.5000000000000001E-2</v>
      </c>
      <c r="Q208" s="24">
        <f>+PROVEEDORES[[#This Row],[Rete Fuente %]]*PROVEEDORES[[#This Row],[SUBTOTAL]]</f>
        <v>42700</v>
      </c>
      <c r="R208" s="23">
        <v>1989820</v>
      </c>
      <c r="S20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" s="99">
        <f ca="1">IF(PROVEEDORES[[#This Row],[FECHA DE PAGO]]=0,TODAY()-PROVEEDORES[[#This Row],[FECHA DE FACTURACIÓN]]-PROVEEDORES[[#This Row],[PLAZO Días]],0)</f>
        <v>0</v>
      </c>
      <c r="U208" s="149" t="str">
        <f>+VLOOKUP(PROVEEDORES[[#This Row],[PROVEEDOR]],Terceros!$A:$E,5,FALSE)</f>
        <v>2,5% con base</v>
      </c>
      <c r="V208" s="150">
        <f>+YEAR(PROVEEDORES[[#This Row],[FECHA DE FACTURACIÓN]])</f>
        <v>2021</v>
      </c>
      <c r="W208" s="150">
        <f>+MATCH(PROVEEDORES[[#This Row],[año facturado]],Retenciones!$1:$1,0)</f>
        <v>4</v>
      </c>
      <c r="X208" s="151">
        <f>+VLOOKUP(PROVEEDORES[[#This Row],[ID RETENCION]],Retenciones!$A$1:$O$24,PROVEEDORES[[#This Row],[indicador de columna]],FALSE)</f>
        <v>980000</v>
      </c>
      <c r="Y208" s="152">
        <f>+VLOOKUP(PROVEEDORES[[#This Row],[ID RETENCION]],Retenciones!$A$1:$O$24,2,FALSE)</f>
        <v>2.5000000000000001E-2</v>
      </c>
      <c r="Z208" s="26"/>
      <c r="AA208" s="26"/>
      <c r="AB208" s="26"/>
      <c r="AC208" s="26"/>
      <c r="AD208" s="26"/>
      <c r="AE208" s="26"/>
    </row>
    <row r="209" spans="1:31" ht="21.95" customHeight="1" x14ac:dyDescent="0.25">
      <c r="A209" s="97" t="str">
        <f>+IF(PROVEEDORES[[#This Row],[FECHA DE PAGO]]=PROVEEDORES[[#This Row],[FECHA DE FACTURACIÓN]],"DE CONTADO","CRÉDITO")</f>
        <v>CRÉDITO</v>
      </c>
      <c r="B209" s="41" t="str">
        <f>+IF((PROVEEDORES[[#This Row],[FECHA DE PAGO]]-PROVEEDORES[[#This Row],[FECHA DE FACTURACIÓN]])&gt;PROVEEDORES[[#This Row],[PLAZO Días]],"PAGO VENCIDO")</f>
        <v>PAGO VENCIDO</v>
      </c>
      <c r="C209" s="22">
        <f>+VLOOKUP(PROVEEDORES[[#This Row],[PROVEEDOR]],TERCEROS_INFO[#All],2,FALSE)</f>
        <v>45</v>
      </c>
      <c r="D209" s="27">
        <f>+SUMIFS(PROVEEDORES[Total],PROVEEDORES[PROVEEDOR],PROVEEDORES[[#This Row],[PROVEEDOR]],PROVEEDORES[FECHA DE PAGO],"")</f>
        <v>37184068.039999999</v>
      </c>
      <c r="E209" s="27"/>
      <c r="F209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209" s="95">
        <v>44312</v>
      </c>
      <c r="H209" s="28" t="s">
        <v>19</v>
      </c>
      <c r="I209" s="95">
        <v>44260</v>
      </c>
      <c r="J209" s="38" t="s">
        <v>236</v>
      </c>
      <c r="K209" s="23">
        <v>4483620</v>
      </c>
      <c r="L209" s="23"/>
      <c r="M209" s="24">
        <v>851887.8</v>
      </c>
      <c r="N209" s="25"/>
      <c r="O209" s="24">
        <v>0</v>
      </c>
      <c r="P209" s="136">
        <f>+IF(PROVEEDORES[[#This Row],[SUBTOTAL]]&lt;PROVEEDORES[[#This Row],[base retencion]],0,PROVEEDORES[[#This Row],[retención aplicada]])</f>
        <v>0</v>
      </c>
      <c r="Q209" s="24">
        <f>+PROVEEDORES[[#This Row],[Rete Fuente %]]*PROVEEDORES[[#This Row],[SUBTOTAL]]</f>
        <v>0</v>
      </c>
      <c r="R209" s="23">
        <v>5335507.8</v>
      </c>
      <c r="S20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" s="99">
        <f ca="1">IF(PROVEEDORES[[#This Row],[FECHA DE PAGO]]=0,TODAY()-PROVEEDORES[[#This Row],[FECHA DE FACTURACIÓN]]-PROVEEDORES[[#This Row],[PLAZO Días]],0)</f>
        <v>0</v>
      </c>
      <c r="U209" s="149">
        <f>+VLOOKUP(PROVEEDORES[[#This Row],[PROVEEDOR]],Terceros!$A:$E,5,FALSE)</f>
        <v>0</v>
      </c>
      <c r="V209" s="150">
        <f>+YEAR(PROVEEDORES[[#This Row],[FECHA DE FACTURACIÓN]])</f>
        <v>2021</v>
      </c>
      <c r="W209" s="150">
        <f>+MATCH(PROVEEDORES[[#This Row],[año facturado]],Retenciones!$1:$1,0)</f>
        <v>4</v>
      </c>
      <c r="X209" s="151">
        <f>+VLOOKUP(PROVEEDORES[[#This Row],[ID RETENCION]],Retenciones!$A$1:$O$24,PROVEEDORES[[#This Row],[indicador de columna]],FALSE)</f>
        <v>0</v>
      </c>
      <c r="Y209" s="152">
        <f>+VLOOKUP(PROVEEDORES[[#This Row],[ID RETENCION]],Retenciones!$A$1:$O$24,2,FALSE)</f>
        <v>0</v>
      </c>
      <c r="Z209" s="26"/>
      <c r="AA209" s="26"/>
      <c r="AB209" s="26"/>
      <c r="AC209" s="26"/>
      <c r="AD209" s="26"/>
      <c r="AE209" s="26"/>
    </row>
    <row r="210" spans="1:31" ht="21.95" customHeight="1" x14ac:dyDescent="0.25">
      <c r="A210" s="97" t="str">
        <f>+IF(PROVEEDORES[[#This Row],[FECHA DE PAGO]]=PROVEEDORES[[#This Row],[FECHA DE FACTURACIÓN]],"DE CONTADO","CRÉDITO")</f>
        <v>CRÉDITO</v>
      </c>
      <c r="B210" s="41" t="b">
        <f>+IF((PROVEEDORES[[#This Row],[FECHA DE PAGO]]-PROVEEDORES[[#This Row],[FECHA DE FACTURACIÓN]])&gt;PROVEEDORES[[#This Row],[PLAZO Días]],"PAGO VENCIDO")</f>
        <v>0</v>
      </c>
      <c r="C210" s="22">
        <f>+VLOOKUP(PROVEEDORES[[#This Row],[PROVEEDOR]],TERCEROS_INFO[#All],2,FALSE)</f>
        <v>30</v>
      </c>
      <c r="D210" s="27">
        <f>+SUMIFS(PROVEEDORES[Total],PROVEEDORES[PROVEEDOR],PROVEEDORES[[#This Row],[PROVEEDOR]],PROVEEDORES[FECHA DE PAGO],"")</f>
        <v>0</v>
      </c>
      <c r="E210" s="27"/>
      <c r="F210" s="62" t="str">
        <f>+VLOOKUP(PROVEEDORES[[#This Row],[PROVEEDOR]],
                       Terceros!$A:$G,
                       6,
                       FALSE)</f>
        <v/>
      </c>
      <c r="G210" s="95">
        <v>44271</v>
      </c>
      <c r="H210" s="28" t="s">
        <v>1057</v>
      </c>
      <c r="I210" s="95">
        <v>44261</v>
      </c>
      <c r="J210" s="38"/>
      <c r="K210" s="23">
        <v>1040200</v>
      </c>
      <c r="L210" s="23"/>
      <c r="M210" s="24">
        <v>0</v>
      </c>
      <c r="N210" s="25"/>
      <c r="O210" s="24">
        <v>0</v>
      </c>
      <c r="P210" s="136">
        <f>+IF(PROVEEDORES[[#This Row],[SUBTOTAL]]&lt;PROVEEDORES[[#This Row],[base retencion]],0,PROVEEDORES[[#This Row],[retención aplicada]])</f>
        <v>0</v>
      </c>
      <c r="Q210" s="24">
        <f>+PROVEEDORES[[#This Row],[Rete Fuente %]]*PROVEEDORES[[#This Row],[SUBTOTAL]]</f>
        <v>0</v>
      </c>
      <c r="R210" s="23">
        <v>1040200</v>
      </c>
      <c r="S21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" s="99">
        <f ca="1">IF(PROVEEDORES[[#This Row],[FECHA DE PAGO]]=0,TODAY()-PROVEEDORES[[#This Row],[FECHA DE FACTURACIÓN]]-PROVEEDORES[[#This Row],[PLAZO Días]],0)</f>
        <v>0</v>
      </c>
      <c r="U210" s="149">
        <f>+VLOOKUP(PROVEEDORES[[#This Row],[PROVEEDOR]],Terceros!$A:$E,5,FALSE)</f>
        <v>0</v>
      </c>
      <c r="V210" s="150">
        <f>+YEAR(PROVEEDORES[[#This Row],[FECHA DE FACTURACIÓN]])</f>
        <v>2021</v>
      </c>
      <c r="W210" s="150">
        <f>+MATCH(PROVEEDORES[[#This Row],[año facturado]],Retenciones!$1:$1,0)</f>
        <v>4</v>
      </c>
      <c r="X210" s="151">
        <f>+VLOOKUP(PROVEEDORES[[#This Row],[ID RETENCION]],Retenciones!$A$1:$O$24,PROVEEDORES[[#This Row],[indicador de columna]],FALSE)</f>
        <v>0</v>
      </c>
      <c r="Y210" s="152">
        <f>+VLOOKUP(PROVEEDORES[[#This Row],[ID RETENCION]],Retenciones!$A$1:$O$24,2,FALSE)</f>
        <v>0</v>
      </c>
      <c r="Z210" s="26"/>
      <c r="AA210" s="26"/>
      <c r="AB210" s="26"/>
      <c r="AC210" s="26"/>
      <c r="AD210" s="26"/>
      <c r="AE210" s="26"/>
    </row>
    <row r="211" spans="1:31" ht="21.95" customHeight="1" x14ac:dyDescent="0.25">
      <c r="A211" s="97" t="str">
        <f>+IF(PROVEEDORES[[#This Row],[FECHA DE PAGO]]=PROVEEDORES[[#This Row],[FECHA DE FACTURACIÓN]],"DE CONTADO","CRÉDITO")</f>
        <v>CRÉDITO</v>
      </c>
      <c r="B211" s="41" t="str">
        <f>+IF((PROVEEDORES[[#This Row],[FECHA DE PAGO]]-PROVEEDORES[[#This Row],[FECHA DE FACTURACIÓN]])&gt;PROVEEDORES[[#This Row],[PLAZO Días]],"PAGO VENCIDO")</f>
        <v>PAGO VENCIDO</v>
      </c>
      <c r="C211" s="22">
        <f>+VLOOKUP(PROVEEDORES[[#This Row],[PROVEEDOR]],TERCEROS_INFO[#All],2,FALSE)</f>
        <v>45</v>
      </c>
      <c r="D211" s="27">
        <f>+SUMIFS(PROVEEDORES[Total],PROVEEDORES[PROVEEDOR],PROVEEDORES[[#This Row],[PROVEEDOR]],PROVEEDORES[FECHA DE PAGO],"")</f>
        <v>3412539.2</v>
      </c>
      <c r="E211" s="27"/>
      <c r="F211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211" s="95">
        <v>44342</v>
      </c>
      <c r="H211" s="28" t="s">
        <v>10</v>
      </c>
      <c r="I211" s="95">
        <v>44261</v>
      </c>
      <c r="J211" s="38" t="s">
        <v>235</v>
      </c>
      <c r="K211" s="23">
        <v>1200000</v>
      </c>
      <c r="L211" s="23"/>
      <c r="M211" s="24">
        <v>228000</v>
      </c>
      <c r="N211" s="25"/>
      <c r="O211" s="24">
        <v>0</v>
      </c>
      <c r="P211" s="136">
        <f>+IF(PROVEEDORES[[#This Row],[SUBTOTAL]]&lt;PROVEEDORES[[#This Row],[base retencion]],0,PROVEEDORES[[#This Row],[retención aplicada]])</f>
        <v>0</v>
      </c>
      <c r="Q211" s="24">
        <f>+PROVEEDORES[[#This Row],[Rete Fuente %]]*PROVEEDORES[[#This Row],[SUBTOTAL]]</f>
        <v>0</v>
      </c>
      <c r="R211" s="23">
        <v>1428000</v>
      </c>
      <c r="S21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" s="99">
        <f ca="1">IF(PROVEEDORES[[#This Row],[FECHA DE PAGO]]=0,TODAY()-PROVEEDORES[[#This Row],[FECHA DE FACTURACIÓN]]-PROVEEDORES[[#This Row],[PLAZO Días]],0)</f>
        <v>0</v>
      </c>
      <c r="U211" s="149">
        <f>+VLOOKUP(PROVEEDORES[[#This Row],[PROVEEDOR]],Terceros!$A:$E,5,FALSE)</f>
        <v>0</v>
      </c>
      <c r="V211" s="150">
        <f>+YEAR(PROVEEDORES[[#This Row],[FECHA DE FACTURACIÓN]])</f>
        <v>2021</v>
      </c>
      <c r="W211" s="150">
        <f>+MATCH(PROVEEDORES[[#This Row],[año facturado]],Retenciones!$1:$1,0)</f>
        <v>4</v>
      </c>
      <c r="X211" s="151">
        <f>+VLOOKUP(PROVEEDORES[[#This Row],[ID RETENCION]],Retenciones!$A$1:$O$24,PROVEEDORES[[#This Row],[indicador de columna]],FALSE)</f>
        <v>0</v>
      </c>
      <c r="Y211" s="152">
        <f>+VLOOKUP(PROVEEDORES[[#This Row],[ID RETENCION]],Retenciones!$A$1:$O$24,2,FALSE)</f>
        <v>0</v>
      </c>
      <c r="Z211" s="26"/>
      <c r="AA211" s="26"/>
      <c r="AB211" s="26"/>
      <c r="AC211" s="26"/>
      <c r="AD211" s="26"/>
      <c r="AE211" s="26"/>
    </row>
    <row r="212" spans="1:31" ht="21.95" customHeight="1" x14ac:dyDescent="0.25">
      <c r="A212" s="97" t="str">
        <f>+IF(PROVEEDORES[[#This Row],[FECHA DE PAGO]]=PROVEEDORES[[#This Row],[FECHA DE FACTURACIÓN]],"DE CONTADO","CRÉDITO")</f>
        <v>CRÉDITO</v>
      </c>
      <c r="B212" s="41" t="str">
        <f>+IF((PROVEEDORES[[#This Row],[FECHA DE PAGO]]-PROVEEDORES[[#This Row],[FECHA DE FACTURACIÓN]])&gt;PROVEEDORES[[#This Row],[PLAZO Días]],"PAGO VENCIDO")</f>
        <v>PAGO VENCIDO</v>
      </c>
      <c r="C212" s="22">
        <f>+VLOOKUP(PROVEEDORES[[#This Row],[PROVEEDOR]],TERCEROS_INFO[#All],2,FALSE)</f>
        <v>30</v>
      </c>
      <c r="D212" s="27">
        <f>+SUMIFS(PROVEEDORES[Total],PROVEEDORES[PROVEEDOR],PROVEEDORES[[#This Row],[PROVEEDOR]],PROVEEDORES[FECHA DE PAGO],"")</f>
        <v>3844432.4999000002</v>
      </c>
      <c r="E212" s="27"/>
      <c r="F212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212" s="95">
        <v>44307</v>
      </c>
      <c r="H212" s="28" t="s">
        <v>18</v>
      </c>
      <c r="I212" s="95">
        <v>44261</v>
      </c>
      <c r="J212" s="38">
        <v>1035341</v>
      </c>
      <c r="K212" s="23">
        <v>1508580</v>
      </c>
      <c r="L212" s="23"/>
      <c r="M212" s="24">
        <v>286630.2</v>
      </c>
      <c r="N212" s="25"/>
      <c r="O212" s="24">
        <v>0</v>
      </c>
      <c r="P212" s="136">
        <f>+IF(PROVEEDORES[[#This Row],[SUBTOTAL]]&lt;PROVEEDORES[[#This Row],[base retencion]],0,PROVEEDORES[[#This Row],[retención aplicada]])</f>
        <v>2.5000000000000001E-2</v>
      </c>
      <c r="Q212" s="24">
        <f>+PROVEEDORES[[#This Row],[Rete Fuente %]]*PROVEEDORES[[#This Row],[SUBTOTAL]]</f>
        <v>37714.5</v>
      </c>
      <c r="R212" s="23">
        <v>1757495.7</v>
      </c>
      <c r="S21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" s="99">
        <f ca="1">IF(PROVEEDORES[[#This Row],[FECHA DE PAGO]]=0,TODAY()-PROVEEDORES[[#This Row],[FECHA DE FACTURACIÓN]]-PROVEEDORES[[#This Row],[PLAZO Días]],0)</f>
        <v>0</v>
      </c>
      <c r="U212" s="149" t="str">
        <f>+VLOOKUP(PROVEEDORES[[#This Row],[PROVEEDOR]],Terceros!$A:$E,5,FALSE)</f>
        <v>2,5% con base</v>
      </c>
      <c r="V212" s="150">
        <f>+YEAR(PROVEEDORES[[#This Row],[FECHA DE FACTURACIÓN]])</f>
        <v>2021</v>
      </c>
      <c r="W212" s="150">
        <f>+MATCH(PROVEEDORES[[#This Row],[año facturado]],Retenciones!$1:$1,0)</f>
        <v>4</v>
      </c>
      <c r="X212" s="151">
        <f>+VLOOKUP(PROVEEDORES[[#This Row],[ID RETENCION]],Retenciones!$A$1:$O$24,PROVEEDORES[[#This Row],[indicador de columna]],FALSE)</f>
        <v>980000</v>
      </c>
      <c r="Y212" s="152">
        <f>+VLOOKUP(PROVEEDORES[[#This Row],[ID RETENCION]],Retenciones!$A$1:$O$24,2,FALSE)</f>
        <v>2.5000000000000001E-2</v>
      </c>
      <c r="Z212" s="26"/>
      <c r="AA212" s="26"/>
      <c r="AB212" s="26"/>
      <c r="AC212" s="26"/>
      <c r="AD212" s="26"/>
      <c r="AE212" s="26"/>
    </row>
    <row r="213" spans="1:31" ht="21.95" customHeight="1" x14ac:dyDescent="0.25">
      <c r="A213" s="97" t="str">
        <f>+IF(PROVEEDORES[[#This Row],[FECHA DE PAGO]]=PROVEEDORES[[#This Row],[FECHA DE FACTURACIÓN]],"DE CONTADO","CRÉDITO")</f>
        <v>CRÉDITO</v>
      </c>
      <c r="B213" s="41" t="str">
        <f>+IF((PROVEEDORES[[#This Row],[FECHA DE PAGO]]-PROVEEDORES[[#This Row],[FECHA DE FACTURACIÓN]])&gt;PROVEEDORES[[#This Row],[PLAZO Días]],"PAGO VENCIDO")</f>
        <v>PAGO VENCIDO</v>
      </c>
      <c r="C213" s="22">
        <f>+VLOOKUP(PROVEEDORES[[#This Row],[PROVEEDOR]],TERCEROS_INFO[#All],2,FALSE)</f>
        <v>30</v>
      </c>
      <c r="D213" s="27">
        <f>+SUMIFS(PROVEEDORES[Total],PROVEEDORES[PROVEEDOR],PROVEEDORES[[#This Row],[PROVEEDOR]],PROVEEDORES[FECHA DE PAGO],"")</f>
        <v>2588352.5</v>
      </c>
      <c r="E213" s="27"/>
      <c r="F213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213" s="95">
        <v>44348</v>
      </c>
      <c r="H213" s="28" t="s">
        <v>1088</v>
      </c>
      <c r="I213" s="95">
        <v>44263</v>
      </c>
      <c r="J213" s="38">
        <v>20217</v>
      </c>
      <c r="K213" s="23">
        <v>1560000</v>
      </c>
      <c r="L213" s="23"/>
      <c r="M213" s="24">
        <v>296400</v>
      </c>
      <c r="N213" s="25"/>
      <c r="O213" s="24">
        <v>0</v>
      </c>
      <c r="P213" s="136">
        <f>+IF(PROVEEDORES[[#This Row],[SUBTOTAL]]&lt;PROVEEDORES[[#This Row],[base retencion]],0,PROVEEDORES[[#This Row],[retención aplicada]])</f>
        <v>2.5000000000000001E-2</v>
      </c>
      <c r="Q213" s="24">
        <f>+PROVEEDORES[[#This Row],[Rete Fuente %]]*PROVEEDORES[[#This Row],[SUBTOTAL]]</f>
        <v>39000</v>
      </c>
      <c r="R213" s="23">
        <v>1817400</v>
      </c>
      <c r="S21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" s="99">
        <f ca="1">IF(PROVEEDORES[[#This Row],[FECHA DE PAGO]]=0,TODAY()-PROVEEDORES[[#This Row],[FECHA DE FACTURACIÓN]]-PROVEEDORES[[#This Row],[PLAZO Días]],0)</f>
        <v>0</v>
      </c>
      <c r="U213" s="149" t="str">
        <f>+VLOOKUP(PROVEEDORES[[#This Row],[PROVEEDOR]],Terceros!$A:$E,5,FALSE)</f>
        <v>2,5% con base</v>
      </c>
      <c r="V213" s="150">
        <f>+YEAR(PROVEEDORES[[#This Row],[FECHA DE FACTURACIÓN]])</f>
        <v>2021</v>
      </c>
      <c r="W213" s="150">
        <f>+MATCH(PROVEEDORES[[#This Row],[año facturado]],Retenciones!$1:$1,0)</f>
        <v>4</v>
      </c>
      <c r="X213" s="151">
        <f>+VLOOKUP(PROVEEDORES[[#This Row],[ID RETENCION]],Retenciones!$A$1:$O$24,PROVEEDORES[[#This Row],[indicador de columna]],FALSE)</f>
        <v>980000</v>
      </c>
      <c r="Y213" s="152">
        <f>+VLOOKUP(PROVEEDORES[[#This Row],[ID RETENCION]],Retenciones!$A$1:$O$24,2,FALSE)</f>
        <v>2.5000000000000001E-2</v>
      </c>
      <c r="Z213" s="26"/>
      <c r="AA213" s="26"/>
      <c r="AB213" s="26"/>
      <c r="AC213" s="26"/>
      <c r="AD213" s="26"/>
      <c r="AE213" s="26"/>
    </row>
    <row r="214" spans="1:31" ht="21.95" customHeight="1" x14ac:dyDescent="0.25">
      <c r="A214" s="97" t="str">
        <f>+IF(PROVEEDORES[[#This Row],[FECHA DE PAGO]]=PROVEEDORES[[#This Row],[FECHA DE FACTURACIÓN]],"DE CONTADO","CRÉDITO")</f>
        <v>CRÉDITO</v>
      </c>
      <c r="B214" s="41" t="str">
        <f>+IF((PROVEEDORES[[#This Row],[FECHA DE PAGO]]-PROVEEDORES[[#This Row],[FECHA DE FACTURACIÓN]])&gt;PROVEEDORES[[#This Row],[PLAZO Días]],"PAGO VENCIDO")</f>
        <v>PAGO VENCIDO</v>
      </c>
      <c r="C214" s="22">
        <f>+VLOOKUP(PROVEEDORES[[#This Row],[PROVEEDOR]],TERCEROS_INFO[#All],2,FALSE)</f>
        <v>30</v>
      </c>
      <c r="D214" s="27">
        <f>+SUMIFS(PROVEEDORES[Total],PROVEEDORES[PROVEEDOR],PROVEEDORES[[#This Row],[PROVEEDOR]],PROVEEDORES[FECHA DE PAGO],"")</f>
        <v>3844432.4999000002</v>
      </c>
      <c r="E214" s="27"/>
      <c r="F214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214" s="95">
        <v>44312</v>
      </c>
      <c r="H214" s="28" t="s">
        <v>18</v>
      </c>
      <c r="I214" s="95">
        <v>44263</v>
      </c>
      <c r="J214" s="38">
        <v>1035371</v>
      </c>
      <c r="K214" s="23">
        <v>1837723.2</v>
      </c>
      <c r="L214" s="23"/>
      <c r="M214" s="24">
        <v>349167.408</v>
      </c>
      <c r="N214" s="25"/>
      <c r="O214" s="24">
        <v>0</v>
      </c>
      <c r="P214" s="136">
        <f>+IF(PROVEEDORES[[#This Row],[SUBTOTAL]]&lt;PROVEEDORES[[#This Row],[base retencion]],0,PROVEEDORES[[#This Row],[retención aplicada]])</f>
        <v>2.5000000000000001E-2</v>
      </c>
      <c r="Q214" s="24">
        <f>+PROVEEDORES[[#This Row],[Rete Fuente %]]*PROVEEDORES[[#This Row],[SUBTOTAL]]</f>
        <v>45943.08</v>
      </c>
      <c r="R214" s="23">
        <v>2140947.5279999999</v>
      </c>
      <c r="S21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" s="99">
        <f ca="1">IF(PROVEEDORES[[#This Row],[FECHA DE PAGO]]=0,TODAY()-PROVEEDORES[[#This Row],[FECHA DE FACTURACIÓN]]-PROVEEDORES[[#This Row],[PLAZO Días]],0)</f>
        <v>0</v>
      </c>
      <c r="U214" s="149" t="str">
        <f>+VLOOKUP(PROVEEDORES[[#This Row],[PROVEEDOR]],Terceros!$A:$E,5,FALSE)</f>
        <v>2,5% con base</v>
      </c>
      <c r="V214" s="150">
        <f>+YEAR(PROVEEDORES[[#This Row],[FECHA DE FACTURACIÓN]])</f>
        <v>2021</v>
      </c>
      <c r="W214" s="150">
        <f>+MATCH(PROVEEDORES[[#This Row],[año facturado]],Retenciones!$1:$1,0)</f>
        <v>4</v>
      </c>
      <c r="X214" s="151">
        <f>+VLOOKUP(PROVEEDORES[[#This Row],[ID RETENCION]],Retenciones!$A$1:$O$24,PROVEEDORES[[#This Row],[indicador de columna]],FALSE)</f>
        <v>980000</v>
      </c>
      <c r="Y214" s="152">
        <f>+VLOOKUP(PROVEEDORES[[#This Row],[ID RETENCION]],Retenciones!$A$1:$O$24,2,FALSE)</f>
        <v>2.5000000000000001E-2</v>
      </c>
      <c r="Z214" s="26"/>
      <c r="AA214" s="26"/>
      <c r="AB214" s="26"/>
      <c r="AC214" s="26"/>
      <c r="AD214" s="26"/>
      <c r="AE214" s="26"/>
    </row>
    <row r="215" spans="1:31" ht="21.95" customHeight="1" x14ac:dyDescent="0.25">
      <c r="A215" s="97" t="str">
        <f>+IF(PROVEEDORES[[#This Row],[FECHA DE PAGO]]=PROVEEDORES[[#This Row],[FECHA DE FACTURACIÓN]],"DE CONTADO","CRÉDITO")</f>
        <v>CRÉDITO</v>
      </c>
      <c r="B215" s="41" t="str">
        <f>+IF((PROVEEDORES[[#This Row],[FECHA DE PAGO]]-PROVEEDORES[[#This Row],[FECHA DE FACTURACIÓN]])&gt;PROVEEDORES[[#This Row],[PLAZO Días]],"PAGO VENCIDO")</f>
        <v>PAGO VENCIDO</v>
      </c>
      <c r="C215" s="22">
        <f>+VLOOKUP(PROVEEDORES[[#This Row],[PROVEEDOR]],TERCEROS_INFO[#All],2,FALSE)</f>
        <v>30</v>
      </c>
      <c r="D215" s="27">
        <f>+SUMIFS(PROVEEDORES[Total],PROVEEDORES[PROVEEDOR],PROVEEDORES[[#This Row],[PROVEEDOR]],PROVEEDORES[FECHA DE PAGO],"")</f>
        <v>6151200</v>
      </c>
      <c r="E215" s="27"/>
      <c r="F215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215" s="95">
        <v>44319</v>
      </c>
      <c r="H215" s="28" t="s">
        <v>11</v>
      </c>
      <c r="I215" s="95">
        <v>44263</v>
      </c>
      <c r="J215" s="38" t="s">
        <v>240</v>
      </c>
      <c r="K215" s="23">
        <v>1980000</v>
      </c>
      <c r="L215" s="23"/>
      <c r="M215" s="24">
        <v>376200</v>
      </c>
      <c r="N215" s="25"/>
      <c r="O215" s="24">
        <v>0</v>
      </c>
      <c r="P215" s="136">
        <f>+IF(PROVEEDORES[[#This Row],[SUBTOTAL]]&lt;PROVEEDORES[[#This Row],[base retencion]],0,PROVEEDORES[[#This Row],[retención aplicada]])</f>
        <v>2.5000000000000001E-2</v>
      </c>
      <c r="Q215" s="24">
        <f>+PROVEEDORES[[#This Row],[Rete Fuente %]]*PROVEEDORES[[#This Row],[SUBTOTAL]]</f>
        <v>49500</v>
      </c>
      <c r="R215" s="23">
        <v>2306700</v>
      </c>
      <c r="S21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" s="99">
        <f ca="1">IF(PROVEEDORES[[#This Row],[FECHA DE PAGO]]=0,TODAY()-PROVEEDORES[[#This Row],[FECHA DE FACTURACIÓN]]-PROVEEDORES[[#This Row],[PLAZO Días]],0)</f>
        <v>0</v>
      </c>
      <c r="U215" s="149" t="str">
        <f>+VLOOKUP(PROVEEDORES[[#This Row],[PROVEEDOR]],Terceros!$A:$E,5,FALSE)</f>
        <v>2,5% con base</v>
      </c>
      <c r="V215" s="150">
        <f>+YEAR(PROVEEDORES[[#This Row],[FECHA DE FACTURACIÓN]])</f>
        <v>2021</v>
      </c>
      <c r="W215" s="150">
        <f>+MATCH(PROVEEDORES[[#This Row],[año facturado]],Retenciones!$1:$1,0)</f>
        <v>4</v>
      </c>
      <c r="X215" s="151">
        <f>+VLOOKUP(PROVEEDORES[[#This Row],[ID RETENCION]],Retenciones!$A$1:$O$24,PROVEEDORES[[#This Row],[indicador de columna]],FALSE)</f>
        <v>980000</v>
      </c>
      <c r="Y215" s="152">
        <f>+VLOOKUP(PROVEEDORES[[#This Row],[ID RETENCION]],Retenciones!$A$1:$O$24,2,FALSE)</f>
        <v>2.5000000000000001E-2</v>
      </c>
      <c r="Z215" s="26"/>
      <c r="AA215" s="26"/>
      <c r="AB215" s="26"/>
      <c r="AC215" s="26"/>
      <c r="AD215" s="26"/>
      <c r="AE215" s="26"/>
    </row>
    <row r="216" spans="1:31" ht="21.95" customHeight="1" x14ac:dyDescent="0.25">
      <c r="A216" s="97" t="str">
        <f>+IF(PROVEEDORES[[#This Row],[FECHA DE PAGO]]=PROVEEDORES[[#This Row],[FECHA DE FACTURACIÓN]],"DE CONTADO","CRÉDITO")</f>
        <v>DE CONTADO</v>
      </c>
      <c r="B216" s="41" t="b">
        <f>+IF((PROVEEDORES[[#This Row],[FECHA DE PAGO]]-PROVEEDORES[[#This Row],[FECHA DE FACTURACIÓN]])&gt;PROVEEDORES[[#This Row],[PLAZO Días]],"PAGO VENCIDO")</f>
        <v>0</v>
      </c>
      <c r="C216" s="22">
        <f>+VLOOKUP(PROVEEDORES[[#This Row],[PROVEEDOR]],TERCEROS_INFO[#All],2,FALSE)</f>
        <v>30</v>
      </c>
      <c r="D216" s="27">
        <f>+SUMIFS(PROVEEDORES[Total],PROVEEDORES[PROVEEDOR],PROVEEDORES[[#This Row],[PROVEEDOR]],PROVEEDORES[FECHA DE PAGO],"")</f>
        <v>0</v>
      </c>
      <c r="E216" s="27"/>
      <c r="F216" s="62" t="str">
        <f>+VLOOKUP(PROVEEDORES[[#This Row],[PROVEEDOR]],
                       Terceros!$A:$G,
                       6,
                       FALSE)</f>
        <v/>
      </c>
      <c r="G216" s="95">
        <v>44264</v>
      </c>
      <c r="H216" s="28" t="s">
        <v>1046</v>
      </c>
      <c r="I216" s="95">
        <v>44264</v>
      </c>
      <c r="J216" s="38"/>
      <c r="K216" s="23">
        <v>1000000</v>
      </c>
      <c r="L216" s="23"/>
      <c r="M216" s="24">
        <v>0</v>
      </c>
      <c r="N216" s="25"/>
      <c r="O216" s="24">
        <v>0</v>
      </c>
      <c r="P216" s="136">
        <f>+IF(PROVEEDORES[[#This Row],[SUBTOTAL]]&lt;PROVEEDORES[[#This Row],[base retencion]],0,PROVEEDORES[[#This Row],[retención aplicada]])</f>
        <v>0</v>
      </c>
      <c r="Q216" s="24">
        <f>+PROVEEDORES[[#This Row],[Rete Fuente %]]*PROVEEDORES[[#This Row],[SUBTOTAL]]</f>
        <v>0</v>
      </c>
      <c r="R216" s="23">
        <v>1000000</v>
      </c>
      <c r="S21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" s="99">
        <f ca="1">IF(PROVEEDORES[[#This Row],[FECHA DE PAGO]]=0,TODAY()-PROVEEDORES[[#This Row],[FECHA DE FACTURACIÓN]]-PROVEEDORES[[#This Row],[PLAZO Días]],0)</f>
        <v>0</v>
      </c>
      <c r="U216" s="149">
        <f>+VLOOKUP(PROVEEDORES[[#This Row],[PROVEEDOR]],Terceros!$A:$E,5,FALSE)</f>
        <v>0</v>
      </c>
      <c r="V216" s="150">
        <f>+YEAR(PROVEEDORES[[#This Row],[FECHA DE FACTURACIÓN]])</f>
        <v>2021</v>
      </c>
      <c r="W216" s="150">
        <f>+MATCH(PROVEEDORES[[#This Row],[año facturado]],Retenciones!$1:$1,0)</f>
        <v>4</v>
      </c>
      <c r="X216" s="151">
        <f>+VLOOKUP(PROVEEDORES[[#This Row],[ID RETENCION]],Retenciones!$A$1:$O$24,PROVEEDORES[[#This Row],[indicador de columna]],FALSE)</f>
        <v>0</v>
      </c>
      <c r="Y216" s="152">
        <f>+VLOOKUP(PROVEEDORES[[#This Row],[ID RETENCION]],Retenciones!$A$1:$O$24,2,FALSE)</f>
        <v>0</v>
      </c>
      <c r="Z216" s="26"/>
      <c r="AA216" s="26"/>
      <c r="AB216" s="26"/>
      <c r="AC216" s="26"/>
      <c r="AD216" s="26"/>
      <c r="AE216" s="26"/>
    </row>
    <row r="217" spans="1:31" ht="21.95" customHeight="1" x14ac:dyDescent="0.25">
      <c r="A217" s="97" t="str">
        <f>+IF(PROVEEDORES[[#This Row],[FECHA DE PAGO]]=PROVEEDORES[[#This Row],[FECHA DE FACTURACIÓN]],"DE CONTADO","CRÉDITO")</f>
        <v>CRÉDITO</v>
      </c>
      <c r="B217" s="41" t="str">
        <f>+IF((PROVEEDORES[[#This Row],[FECHA DE PAGO]]-PROVEEDORES[[#This Row],[FECHA DE FACTURACIÓN]])&gt;PROVEEDORES[[#This Row],[PLAZO Días]],"PAGO VENCIDO")</f>
        <v>PAGO VENCIDO</v>
      </c>
      <c r="C217" s="22">
        <f>+VLOOKUP(PROVEEDORES[[#This Row],[PROVEEDOR]],TERCEROS_INFO[#All],2,FALSE)</f>
        <v>30</v>
      </c>
      <c r="D217" s="27">
        <f>+SUMIFS(PROVEEDORES[Total],PROVEEDORES[PROVEEDOR],PROVEEDORES[[#This Row],[PROVEEDOR]],PROVEEDORES[FECHA DE PAGO],"")</f>
        <v>3844432.4999000002</v>
      </c>
      <c r="E217" s="27"/>
      <c r="F217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217" s="95">
        <v>44312</v>
      </c>
      <c r="H217" s="28" t="s">
        <v>18</v>
      </c>
      <c r="I217" s="95">
        <v>44265</v>
      </c>
      <c r="J217" s="38">
        <v>1035528</v>
      </c>
      <c r="K217" s="23">
        <v>500285.04</v>
      </c>
      <c r="L217" s="23"/>
      <c r="M217" s="24">
        <v>95054.157599999991</v>
      </c>
      <c r="N217" s="25"/>
      <c r="O217" s="24">
        <v>0</v>
      </c>
      <c r="P217" s="136">
        <f>+IF(PROVEEDORES[[#This Row],[SUBTOTAL]]&lt;PROVEEDORES[[#This Row],[base retencion]],0,PROVEEDORES[[#This Row],[retención aplicada]])</f>
        <v>0</v>
      </c>
      <c r="Q217" s="24">
        <f>+PROVEEDORES[[#This Row],[Rete Fuente %]]*PROVEEDORES[[#This Row],[SUBTOTAL]]</f>
        <v>0</v>
      </c>
      <c r="R217" s="23">
        <v>595339.19759999996</v>
      </c>
      <c r="S21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" s="99">
        <f ca="1">IF(PROVEEDORES[[#This Row],[FECHA DE PAGO]]=0,TODAY()-PROVEEDORES[[#This Row],[FECHA DE FACTURACIÓN]]-PROVEEDORES[[#This Row],[PLAZO Días]],0)</f>
        <v>0</v>
      </c>
      <c r="U217" s="149" t="str">
        <f>+VLOOKUP(PROVEEDORES[[#This Row],[PROVEEDOR]],Terceros!$A:$E,5,FALSE)</f>
        <v>2,5% con base</v>
      </c>
      <c r="V217" s="150">
        <f>+YEAR(PROVEEDORES[[#This Row],[FECHA DE FACTURACIÓN]])</f>
        <v>2021</v>
      </c>
      <c r="W217" s="150">
        <f>+MATCH(PROVEEDORES[[#This Row],[año facturado]],Retenciones!$1:$1,0)</f>
        <v>4</v>
      </c>
      <c r="X217" s="151">
        <f>+VLOOKUP(PROVEEDORES[[#This Row],[ID RETENCION]],Retenciones!$A$1:$O$24,PROVEEDORES[[#This Row],[indicador de columna]],FALSE)</f>
        <v>980000</v>
      </c>
      <c r="Y217" s="152">
        <f>+VLOOKUP(PROVEEDORES[[#This Row],[ID RETENCION]],Retenciones!$A$1:$O$24,2,FALSE)</f>
        <v>2.5000000000000001E-2</v>
      </c>
      <c r="Z217" s="26"/>
      <c r="AA217" s="26"/>
      <c r="AB217" s="26"/>
      <c r="AC217" s="26"/>
      <c r="AD217" s="26"/>
      <c r="AE217" s="26"/>
    </row>
    <row r="218" spans="1:31" ht="21.95" customHeight="1" x14ac:dyDescent="0.25">
      <c r="A218" s="97" t="str">
        <f>+IF(PROVEEDORES[[#This Row],[FECHA DE PAGO]]=PROVEEDORES[[#This Row],[FECHA DE FACTURACIÓN]],"DE CONTADO","CRÉDITO")</f>
        <v>CRÉDITO</v>
      </c>
      <c r="B218" s="41" t="str">
        <f>+IF((PROVEEDORES[[#This Row],[FECHA DE PAGO]]-PROVEEDORES[[#This Row],[FECHA DE FACTURACIÓN]])&gt;PROVEEDORES[[#This Row],[PLAZO Días]],"PAGO VENCIDO")</f>
        <v>PAGO VENCIDO</v>
      </c>
      <c r="C218" s="22">
        <f>+VLOOKUP(PROVEEDORES[[#This Row],[PROVEEDOR]],TERCEROS_INFO[#All],2,FALSE)</f>
        <v>30</v>
      </c>
      <c r="D218" s="27">
        <f>+SUMIFS(PROVEEDORES[Total],PROVEEDORES[PROVEEDOR],PROVEEDORES[[#This Row],[PROVEEDOR]],PROVEEDORES[FECHA DE PAGO],"")</f>
        <v>4641412.7745000003</v>
      </c>
      <c r="E218" s="27"/>
      <c r="F218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218" s="95">
        <v>44335</v>
      </c>
      <c r="H218" s="28" t="s">
        <v>20</v>
      </c>
      <c r="I218" s="95">
        <v>44265</v>
      </c>
      <c r="J218" s="38">
        <v>3556</v>
      </c>
      <c r="K218" s="23">
        <v>1098280</v>
      </c>
      <c r="L218" s="23"/>
      <c r="M218" s="24">
        <v>208673.2</v>
      </c>
      <c r="N218" s="25"/>
      <c r="O218" s="24">
        <v>0</v>
      </c>
      <c r="P218" s="136">
        <f>+IF(PROVEEDORES[[#This Row],[SUBTOTAL]]&lt;PROVEEDORES[[#This Row],[base retencion]],0,PROVEEDORES[[#This Row],[retención aplicada]])</f>
        <v>2.5000000000000001E-2</v>
      </c>
      <c r="Q218" s="24">
        <f>+PROVEEDORES[[#This Row],[Rete Fuente %]]*PROVEEDORES[[#This Row],[SUBTOTAL]]</f>
        <v>27457</v>
      </c>
      <c r="R218" s="23">
        <v>1279496.2</v>
      </c>
      <c r="S21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" s="99">
        <f ca="1">IF(PROVEEDORES[[#This Row],[FECHA DE PAGO]]=0,TODAY()-PROVEEDORES[[#This Row],[FECHA DE FACTURACIÓN]]-PROVEEDORES[[#This Row],[PLAZO Días]],0)</f>
        <v>0</v>
      </c>
      <c r="U218" s="149" t="str">
        <f>+VLOOKUP(PROVEEDORES[[#This Row],[PROVEEDOR]],Terceros!$A:$E,5,FALSE)</f>
        <v>2,5% con base</v>
      </c>
      <c r="V218" s="150">
        <f>+YEAR(PROVEEDORES[[#This Row],[FECHA DE FACTURACIÓN]])</f>
        <v>2021</v>
      </c>
      <c r="W218" s="150">
        <f>+MATCH(PROVEEDORES[[#This Row],[año facturado]],Retenciones!$1:$1,0)</f>
        <v>4</v>
      </c>
      <c r="X218" s="151">
        <f>+VLOOKUP(PROVEEDORES[[#This Row],[ID RETENCION]],Retenciones!$A$1:$O$24,PROVEEDORES[[#This Row],[indicador de columna]],FALSE)</f>
        <v>980000</v>
      </c>
      <c r="Y218" s="152">
        <f>+VLOOKUP(PROVEEDORES[[#This Row],[ID RETENCION]],Retenciones!$A$1:$O$24,2,FALSE)</f>
        <v>2.5000000000000001E-2</v>
      </c>
      <c r="Z218" s="26"/>
      <c r="AA218" s="26"/>
      <c r="AB218" s="26"/>
      <c r="AC218" s="26"/>
      <c r="AD218" s="26"/>
      <c r="AE218" s="26"/>
    </row>
    <row r="219" spans="1:31" ht="21.95" customHeight="1" x14ac:dyDescent="0.25">
      <c r="A219" s="97" t="str">
        <f>+IF(PROVEEDORES[[#This Row],[FECHA DE PAGO]]=PROVEEDORES[[#This Row],[FECHA DE FACTURACIÓN]],"DE CONTADO","CRÉDITO")</f>
        <v>CRÉDITO</v>
      </c>
      <c r="B219" s="41" t="str">
        <f>+IF((PROVEEDORES[[#This Row],[FECHA DE PAGO]]-PROVEEDORES[[#This Row],[FECHA DE FACTURACIÓN]])&gt;PROVEEDORES[[#This Row],[PLAZO Días]],"PAGO VENCIDO")</f>
        <v>PAGO VENCIDO</v>
      </c>
      <c r="C219" s="22">
        <f>+VLOOKUP(PROVEEDORES[[#This Row],[PROVEEDOR]],TERCEROS_INFO[#All],2,FALSE)</f>
        <v>90</v>
      </c>
      <c r="D219" s="27">
        <f>+SUMIFS(PROVEEDORES[Total],PROVEEDORES[PROVEEDOR],PROVEEDORES[[#This Row],[PROVEEDOR]],PROVEEDORES[FECHA DE PAGO],"")</f>
        <v>26364243.66155</v>
      </c>
      <c r="E219" s="27"/>
      <c r="F219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219" s="95">
        <v>44376</v>
      </c>
      <c r="H219" s="28" t="s">
        <v>12</v>
      </c>
      <c r="I219" s="95">
        <v>44265</v>
      </c>
      <c r="J219" s="38" t="s">
        <v>252</v>
      </c>
      <c r="K219" s="23">
        <v>1928572</v>
      </c>
      <c r="L219" s="23"/>
      <c r="M219" s="24">
        <v>366428.68</v>
      </c>
      <c r="N219" s="25"/>
      <c r="O219" s="24">
        <v>0</v>
      </c>
      <c r="P219" s="136">
        <f>+IF(PROVEEDORES[[#This Row],[SUBTOTAL]]&lt;PROVEEDORES[[#This Row],[base retencion]],0,PROVEEDORES[[#This Row],[retención aplicada]])</f>
        <v>2.5000000000000001E-2</v>
      </c>
      <c r="Q219" s="24">
        <f>+PROVEEDORES[[#This Row],[Rete Fuente %]]*PROVEEDORES[[#This Row],[SUBTOTAL]]</f>
        <v>48214.3</v>
      </c>
      <c r="R219" s="23">
        <v>2246786.3800000004</v>
      </c>
      <c r="S21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" s="99">
        <f ca="1">IF(PROVEEDORES[[#This Row],[FECHA DE PAGO]]=0,TODAY()-PROVEEDORES[[#This Row],[FECHA DE FACTURACIÓN]]-PROVEEDORES[[#This Row],[PLAZO Días]],0)</f>
        <v>0</v>
      </c>
      <c r="U219" s="149" t="str">
        <f>+VLOOKUP(PROVEEDORES[[#This Row],[PROVEEDOR]],Terceros!$A:$E,5,FALSE)</f>
        <v>2,5% con base</v>
      </c>
      <c r="V219" s="150">
        <f>+YEAR(PROVEEDORES[[#This Row],[FECHA DE FACTURACIÓN]])</f>
        <v>2021</v>
      </c>
      <c r="W219" s="150">
        <f>+MATCH(PROVEEDORES[[#This Row],[año facturado]],Retenciones!$1:$1,0)</f>
        <v>4</v>
      </c>
      <c r="X219" s="151">
        <f>+VLOOKUP(PROVEEDORES[[#This Row],[ID RETENCION]],Retenciones!$A$1:$O$24,PROVEEDORES[[#This Row],[indicador de columna]],FALSE)</f>
        <v>980000</v>
      </c>
      <c r="Y219" s="152">
        <f>+VLOOKUP(PROVEEDORES[[#This Row],[ID RETENCION]],Retenciones!$A$1:$O$24,2,FALSE)</f>
        <v>2.5000000000000001E-2</v>
      </c>
      <c r="Z219" s="26"/>
      <c r="AA219" s="26"/>
      <c r="AB219" s="26"/>
      <c r="AC219" s="26"/>
      <c r="AD219" s="26"/>
      <c r="AE219" s="26"/>
    </row>
    <row r="220" spans="1:31" ht="21.95" customHeight="1" x14ac:dyDescent="0.25">
      <c r="A220" s="97" t="str">
        <f>+IF(PROVEEDORES[[#This Row],[FECHA DE PAGO]]=PROVEEDORES[[#This Row],[FECHA DE FACTURACIÓN]],"DE CONTADO","CRÉDITO")</f>
        <v>CRÉDITO</v>
      </c>
      <c r="B220" s="41" t="b">
        <f>+IF((PROVEEDORES[[#This Row],[FECHA DE PAGO]]-PROVEEDORES[[#This Row],[FECHA DE FACTURACIÓN]])&gt;PROVEEDORES[[#This Row],[PLAZO Días]],"PAGO VENCIDO")</f>
        <v>0</v>
      </c>
      <c r="C220" s="22">
        <f>+VLOOKUP(PROVEEDORES[[#This Row],[PROVEEDOR]],TERCEROS_INFO[#All],2,FALSE)</f>
        <v>10</v>
      </c>
      <c r="D220" s="27">
        <f>+SUMIFS(PROVEEDORES[Total],PROVEEDORES[PROVEEDOR],PROVEEDORES[[#This Row],[PROVEEDOR]],PROVEEDORES[FECHA DE PAGO],"")</f>
        <v>0</v>
      </c>
      <c r="E220" s="27"/>
      <c r="F220" s="62" t="str">
        <f>+VLOOKUP(PROVEEDORES[[#This Row],[PROVEEDOR]],
                       Terceros!$A:$G,
                       6,
                       FALSE)</f>
        <v/>
      </c>
      <c r="G220" s="95">
        <v>44270</v>
      </c>
      <c r="H220" s="28" t="s">
        <v>23</v>
      </c>
      <c r="I220" s="95">
        <v>44265</v>
      </c>
      <c r="J220" s="38">
        <v>280663</v>
      </c>
      <c r="K220" s="23">
        <v>7538400</v>
      </c>
      <c r="L220" s="23"/>
      <c r="M220" s="24">
        <v>0</v>
      </c>
      <c r="N220" s="25"/>
      <c r="O220" s="24">
        <v>0</v>
      </c>
      <c r="P220" s="136">
        <f>+IF(PROVEEDORES[[#This Row],[SUBTOTAL]]&lt;PROVEEDORES[[#This Row],[base retencion]],0,PROVEEDORES[[#This Row],[retención aplicada]])</f>
        <v>0</v>
      </c>
      <c r="Q220" s="24">
        <f>+PROVEEDORES[[#This Row],[Rete Fuente %]]*PROVEEDORES[[#This Row],[SUBTOTAL]]</f>
        <v>0</v>
      </c>
      <c r="R220" s="23">
        <v>7538400</v>
      </c>
      <c r="S22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" s="99">
        <f ca="1">IF(PROVEEDORES[[#This Row],[FECHA DE PAGO]]=0,TODAY()-PROVEEDORES[[#This Row],[FECHA DE FACTURACIÓN]]-PROVEEDORES[[#This Row],[PLAZO Días]],0)</f>
        <v>0</v>
      </c>
      <c r="U220" s="149">
        <f>+VLOOKUP(PROVEEDORES[[#This Row],[PROVEEDOR]],Terceros!$A:$E,5,FALSE)</f>
        <v>0</v>
      </c>
      <c r="V220" s="150">
        <f>+YEAR(PROVEEDORES[[#This Row],[FECHA DE FACTURACIÓN]])</f>
        <v>2021</v>
      </c>
      <c r="W220" s="150">
        <f>+MATCH(PROVEEDORES[[#This Row],[año facturado]],Retenciones!$1:$1,0)</f>
        <v>4</v>
      </c>
      <c r="X220" s="151">
        <f>+VLOOKUP(PROVEEDORES[[#This Row],[ID RETENCION]],Retenciones!$A$1:$O$24,PROVEEDORES[[#This Row],[indicador de columna]],FALSE)</f>
        <v>0</v>
      </c>
      <c r="Y220" s="152">
        <f>+VLOOKUP(PROVEEDORES[[#This Row],[ID RETENCION]],Retenciones!$A$1:$O$24,2,FALSE)</f>
        <v>0</v>
      </c>
      <c r="Z220" s="26"/>
      <c r="AA220" s="26"/>
      <c r="AB220" s="26"/>
      <c r="AC220" s="26"/>
      <c r="AD220" s="26"/>
      <c r="AE220" s="26"/>
    </row>
    <row r="221" spans="1:31" ht="21.95" customHeight="1" x14ac:dyDescent="0.25">
      <c r="A221" s="97" t="str">
        <f>+IF(PROVEEDORES[[#This Row],[FECHA DE PAGO]]=PROVEEDORES[[#This Row],[FECHA DE FACTURACIÓN]],"DE CONTADO","CRÉDITO")</f>
        <v>CRÉDITO</v>
      </c>
      <c r="B221" s="41" t="str">
        <f>+IF((PROVEEDORES[[#This Row],[FECHA DE PAGO]]-PROVEEDORES[[#This Row],[FECHA DE FACTURACIÓN]])&gt;PROVEEDORES[[#This Row],[PLAZO Días]],"PAGO VENCIDO")</f>
        <v>PAGO VENCIDO</v>
      </c>
      <c r="C221" s="22">
        <f>+VLOOKUP(PROVEEDORES[[#This Row],[PROVEEDOR]],TERCEROS_INFO[#All],2,FALSE)</f>
        <v>30</v>
      </c>
      <c r="D221" s="27">
        <f>+SUMIFS(PROVEEDORES[Total],PROVEEDORES[PROVEEDOR],PROVEEDORES[[#This Row],[PROVEEDOR]],PROVEEDORES[FECHA DE PAGO],"")</f>
        <v>627113.34</v>
      </c>
      <c r="E221" s="27"/>
      <c r="F221" s="62" t="str">
        <f>+VLOOKUP(PROVEEDORES[[#This Row],[PROVEEDOR]],
                       Terceros!$A:$G,
                       6,
                       FALSE)</f>
        <v>ventas@ismartsas.com;girlesa.ruiz@servipilas.com;joriescobar64@gmail.com</v>
      </c>
      <c r="G221" s="95">
        <v>44298</v>
      </c>
      <c r="H221" s="28" t="s">
        <v>48</v>
      </c>
      <c r="I221" s="95">
        <v>44267</v>
      </c>
      <c r="J221" s="38" t="s">
        <v>246</v>
      </c>
      <c r="K221" s="23">
        <v>-60000</v>
      </c>
      <c r="L221" s="23"/>
      <c r="M221" s="24">
        <v>-11400</v>
      </c>
      <c r="N221" s="25"/>
      <c r="O221" s="24">
        <v>0</v>
      </c>
      <c r="P221" s="136">
        <f>+IF(PROVEEDORES[[#This Row],[SUBTOTAL]]&lt;PROVEEDORES[[#This Row],[base retencion]],0,PROVEEDORES[[#This Row],[retención aplicada]])</f>
        <v>0</v>
      </c>
      <c r="Q221" s="24">
        <f>+PROVEEDORES[[#This Row],[Rete Fuente %]]*PROVEEDORES[[#This Row],[SUBTOTAL]]</f>
        <v>0</v>
      </c>
      <c r="R221" s="23">
        <v>-71400</v>
      </c>
      <c r="S22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" s="99">
        <f ca="1">IF(PROVEEDORES[[#This Row],[FECHA DE PAGO]]=0,TODAY()-PROVEEDORES[[#This Row],[FECHA DE FACTURACIÓN]]-PROVEEDORES[[#This Row],[PLAZO Días]],0)</f>
        <v>0</v>
      </c>
      <c r="U221" s="149" t="str">
        <f>+VLOOKUP(PROVEEDORES[[#This Row],[PROVEEDOR]],Terceros!$A:$E,5,FALSE)</f>
        <v>2,5% con base</v>
      </c>
      <c r="V221" s="150">
        <f>+YEAR(PROVEEDORES[[#This Row],[FECHA DE FACTURACIÓN]])</f>
        <v>2021</v>
      </c>
      <c r="W221" s="150">
        <f>+MATCH(PROVEEDORES[[#This Row],[año facturado]],Retenciones!$1:$1,0)</f>
        <v>4</v>
      </c>
      <c r="X221" s="151">
        <f>+VLOOKUP(PROVEEDORES[[#This Row],[ID RETENCION]],Retenciones!$A$1:$O$24,PROVEEDORES[[#This Row],[indicador de columna]],FALSE)</f>
        <v>980000</v>
      </c>
      <c r="Y221" s="152">
        <f>+VLOOKUP(PROVEEDORES[[#This Row],[ID RETENCION]],Retenciones!$A$1:$O$24,2,FALSE)</f>
        <v>2.5000000000000001E-2</v>
      </c>
      <c r="Z221" s="26"/>
      <c r="AA221" s="26"/>
      <c r="AB221" s="26"/>
      <c r="AC221" s="26"/>
      <c r="AD221" s="26"/>
      <c r="AE221" s="26"/>
    </row>
    <row r="222" spans="1:31" ht="21.95" customHeight="1" x14ac:dyDescent="0.25">
      <c r="A222" s="97" t="str">
        <f>+IF(PROVEEDORES[[#This Row],[FECHA DE PAGO]]=PROVEEDORES[[#This Row],[FECHA DE FACTURACIÓN]],"DE CONTADO","CRÉDITO")</f>
        <v>CRÉDITO</v>
      </c>
      <c r="B222" s="41" t="str">
        <f>+IF((PROVEEDORES[[#This Row],[FECHA DE PAGO]]-PROVEEDORES[[#This Row],[FECHA DE FACTURACIÓN]])&gt;PROVEEDORES[[#This Row],[PLAZO Días]],"PAGO VENCIDO")</f>
        <v>PAGO VENCIDO</v>
      </c>
      <c r="C222" s="22">
        <f>+VLOOKUP(PROVEEDORES[[#This Row],[PROVEEDOR]],TERCEROS_INFO[#All],2,FALSE)</f>
        <v>45</v>
      </c>
      <c r="D222" s="27">
        <f>+SUMIFS(PROVEEDORES[Total],PROVEEDORES[PROVEEDOR],PROVEEDORES[[#This Row],[PROVEEDOR]],PROVEEDORES[FECHA DE PAGO],"")</f>
        <v>3412539.2</v>
      </c>
      <c r="E222" s="27"/>
      <c r="F222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222" s="95">
        <v>44342</v>
      </c>
      <c r="H222" s="28" t="s">
        <v>10</v>
      </c>
      <c r="I222" s="95">
        <v>44270</v>
      </c>
      <c r="J222" s="38" t="s">
        <v>248</v>
      </c>
      <c r="K222" s="23">
        <v>1386000</v>
      </c>
      <c r="L222" s="23"/>
      <c r="M222" s="24">
        <v>263340</v>
      </c>
      <c r="N222" s="25"/>
      <c r="O222" s="24">
        <v>0</v>
      </c>
      <c r="P222" s="136">
        <f>+IF(PROVEEDORES[[#This Row],[SUBTOTAL]]&lt;PROVEEDORES[[#This Row],[base retencion]],0,PROVEEDORES[[#This Row],[retención aplicada]])</f>
        <v>0</v>
      </c>
      <c r="Q222" s="24">
        <f>+PROVEEDORES[[#This Row],[Rete Fuente %]]*PROVEEDORES[[#This Row],[SUBTOTAL]]</f>
        <v>0</v>
      </c>
      <c r="R222" s="23">
        <v>1649340</v>
      </c>
      <c r="S22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" s="99">
        <f ca="1">IF(PROVEEDORES[[#This Row],[FECHA DE PAGO]]=0,TODAY()-PROVEEDORES[[#This Row],[FECHA DE FACTURACIÓN]]-PROVEEDORES[[#This Row],[PLAZO Días]],0)</f>
        <v>0</v>
      </c>
      <c r="U222" s="149">
        <f>+VLOOKUP(PROVEEDORES[[#This Row],[PROVEEDOR]],Terceros!$A:$E,5,FALSE)</f>
        <v>0</v>
      </c>
      <c r="V222" s="150">
        <f>+YEAR(PROVEEDORES[[#This Row],[FECHA DE FACTURACIÓN]])</f>
        <v>2021</v>
      </c>
      <c r="W222" s="150">
        <f>+MATCH(PROVEEDORES[[#This Row],[año facturado]],Retenciones!$1:$1,0)</f>
        <v>4</v>
      </c>
      <c r="X222" s="151">
        <f>+VLOOKUP(PROVEEDORES[[#This Row],[ID RETENCION]],Retenciones!$A$1:$O$24,PROVEEDORES[[#This Row],[indicador de columna]],FALSE)</f>
        <v>0</v>
      </c>
      <c r="Y222" s="152">
        <f>+VLOOKUP(PROVEEDORES[[#This Row],[ID RETENCION]],Retenciones!$A$1:$O$24,2,FALSE)</f>
        <v>0</v>
      </c>
      <c r="Z222" s="26"/>
      <c r="AA222" s="26"/>
      <c r="AB222" s="26"/>
      <c r="AC222" s="26"/>
      <c r="AD222" s="26"/>
      <c r="AE222" s="26"/>
    </row>
    <row r="223" spans="1:31" ht="21.95" customHeight="1" x14ac:dyDescent="0.25">
      <c r="A223" s="97" t="str">
        <f>+IF(PROVEEDORES[[#This Row],[FECHA DE PAGO]]=PROVEEDORES[[#This Row],[FECHA DE FACTURACIÓN]],"DE CONTADO","CRÉDITO")</f>
        <v>CRÉDITO</v>
      </c>
      <c r="B223" s="41" t="str">
        <f>+IF((PROVEEDORES[[#This Row],[FECHA DE PAGO]]-PROVEEDORES[[#This Row],[FECHA DE FACTURACIÓN]])&gt;PROVEEDORES[[#This Row],[PLAZO Días]],"PAGO VENCIDO")</f>
        <v>PAGO VENCIDO</v>
      </c>
      <c r="C223" s="22">
        <f>+VLOOKUP(PROVEEDORES[[#This Row],[PROVEEDOR]],TERCEROS_INFO[#All],2,FALSE)</f>
        <v>45</v>
      </c>
      <c r="D223" s="27">
        <f>+SUMIFS(PROVEEDORES[Total],PROVEEDORES[PROVEEDOR],PROVEEDORES[[#This Row],[PROVEEDOR]],PROVEEDORES[FECHA DE PAGO],"")</f>
        <v>37184068.039999999</v>
      </c>
      <c r="E223" s="27"/>
      <c r="F223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223" s="95">
        <v>44343</v>
      </c>
      <c r="H223" s="28" t="s">
        <v>19</v>
      </c>
      <c r="I223" s="95">
        <v>44270</v>
      </c>
      <c r="J223" s="38" t="s">
        <v>251</v>
      </c>
      <c r="K223" s="23">
        <v>4154835</v>
      </c>
      <c r="L223" s="23"/>
      <c r="M223" s="24">
        <v>789418.65</v>
      </c>
      <c r="N223" s="25"/>
      <c r="O223" s="24">
        <v>0</v>
      </c>
      <c r="P223" s="136">
        <f>+IF(PROVEEDORES[[#This Row],[SUBTOTAL]]&lt;PROVEEDORES[[#This Row],[base retencion]],0,PROVEEDORES[[#This Row],[retención aplicada]])</f>
        <v>0</v>
      </c>
      <c r="Q223" s="24">
        <f>+PROVEEDORES[[#This Row],[Rete Fuente %]]*PROVEEDORES[[#This Row],[SUBTOTAL]]</f>
        <v>0</v>
      </c>
      <c r="R223" s="23">
        <v>4944253.6500000004</v>
      </c>
      <c r="S22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" s="99">
        <f ca="1">IF(PROVEEDORES[[#This Row],[FECHA DE PAGO]]=0,TODAY()-PROVEEDORES[[#This Row],[FECHA DE FACTURACIÓN]]-PROVEEDORES[[#This Row],[PLAZO Días]],0)</f>
        <v>0</v>
      </c>
      <c r="U223" s="149">
        <f>+VLOOKUP(PROVEEDORES[[#This Row],[PROVEEDOR]],Terceros!$A:$E,5,FALSE)</f>
        <v>0</v>
      </c>
      <c r="V223" s="150">
        <f>+YEAR(PROVEEDORES[[#This Row],[FECHA DE FACTURACIÓN]])</f>
        <v>2021</v>
      </c>
      <c r="W223" s="150">
        <f>+MATCH(PROVEEDORES[[#This Row],[año facturado]],Retenciones!$1:$1,0)</f>
        <v>4</v>
      </c>
      <c r="X223" s="151">
        <f>+VLOOKUP(PROVEEDORES[[#This Row],[ID RETENCION]],Retenciones!$A$1:$O$24,PROVEEDORES[[#This Row],[indicador de columna]],FALSE)</f>
        <v>0</v>
      </c>
      <c r="Y223" s="152">
        <f>+VLOOKUP(PROVEEDORES[[#This Row],[ID RETENCION]],Retenciones!$A$1:$O$24,2,FALSE)</f>
        <v>0</v>
      </c>
      <c r="Z223" s="26"/>
      <c r="AA223" s="26"/>
      <c r="AB223" s="26"/>
      <c r="AC223" s="26"/>
      <c r="AD223" s="26"/>
      <c r="AE223" s="26"/>
    </row>
    <row r="224" spans="1:31" ht="21.95" customHeight="1" x14ac:dyDescent="0.25">
      <c r="A224" s="97" t="str">
        <f>+IF(PROVEEDORES[[#This Row],[FECHA DE PAGO]]=PROVEEDORES[[#This Row],[FECHA DE FACTURACIÓN]],"DE CONTADO","CRÉDITO")</f>
        <v>CRÉDITO</v>
      </c>
      <c r="B224" s="41" t="b">
        <f>+IF((PROVEEDORES[[#This Row],[FECHA DE PAGO]]-PROVEEDORES[[#This Row],[FECHA DE FACTURACIÓN]])&gt;PROVEEDORES[[#This Row],[PLAZO Días]],"PAGO VENCIDO")</f>
        <v>0</v>
      </c>
      <c r="C224" s="22">
        <f>+VLOOKUP(PROVEEDORES[[#This Row],[PROVEEDOR]],TERCEROS_INFO[#All],2,FALSE)</f>
        <v>30</v>
      </c>
      <c r="D224" s="27">
        <f>+SUMIFS(PROVEEDORES[Total],PROVEEDORES[PROVEEDOR],PROVEEDORES[[#This Row],[PROVEEDOR]],PROVEEDORES[FECHA DE PAGO],"")</f>
        <v>0</v>
      </c>
      <c r="E224" s="27"/>
      <c r="F224" s="62" t="str">
        <f>+VLOOKUP(PROVEEDORES[[#This Row],[PROVEEDOR]],
                       Terceros!$A:$G,
                       6,
                       FALSE)</f>
        <v>vromero@flashinternational.us;girlesa.ruiz@servipilas.com;joriescobar64@gmail.com</v>
      </c>
      <c r="G224" s="95">
        <v>44286</v>
      </c>
      <c r="H224" s="28" t="s">
        <v>142</v>
      </c>
      <c r="I224" s="95">
        <v>44271</v>
      </c>
      <c r="J224" s="38">
        <v>9838</v>
      </c>
      <c r="K224" s="23">
        <v>126000</v>
      </c>
      <c r="L224" s="23"/>
      <c r="M224" s="24">
        <v>0</v>
      </c>
      <c r="N224" s="25"/>
      <c r="O224" s="24">
        <v>0</v>
      </c>
      <c r="P224" s="136">
        <f>+IF(PROVEEDORES[[#This Row],[SUBTOTAL]]&lt;PROVEEDORES[[#This Row],[base retencion]],0,PROVEEDORES[[#This Row],[retención aplicada]])</f>
        <v>0</v>
      </c>
      <c r="Q224" s="24">
        <f>+PROVEEDORES[[#This Row],[Rete Fuente %]]*PROVEEDORES[[#This Row],[SUBTOTAL]]</f>
        <v>0</v>
      </c>
      <c r="R224" s="23">
        <v>126000</v>
      </c>
      <c r="S22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" s="99">
        <f ca="1">IF(PROVEEDORES[[#This Row],[FECHA DE PAGO]]=0,TODAY()-PROVEEDORES[[#This Row],[FECHA DE FACTURACIÓN]]-PROVEEDORES[[#This Row],[PLAZO Días]],0)</f>
        <v>0</v>
      </c>
      <c r="U224" s="149">
        <f>+VLOOKUP(PROVEEDORES[[#This Row],[PROVEEDOR]],Terceros!$A:$E,5,FALSE)</f>
        <v>0</v>
      </c>
      <c r="V224" s="150">
        <f>+YEAR(PROVEEDORES[[#This Row],[FECHA DE FACTURACIÓN]])</f>
        <v>2021</v>
      </c>
      <c r="W224" s="150">
        <f>+MATCH(PROVEEDORES[[#This Row],[año facturado]],Retenciones!$1:$1,0)</f>
        <v>4</v>
      </c>
      <c r="X224" s="151">
        <f>+VLOOKUP(PROVEEDORES[[#This Row],[ID RETENCION]],Retenciones!$A$1:$O$24,PROVEEDORES[[#This Row],[indicador de columna]],FALSE)</f>
        <v>0</v>
      </c>
      <c r="Y224" s="152">
        <f>+VLOOKUP(PROVEEDORES[[#This Row],[ID RETENCION]],Retenciones!$A$1:$O$24,2,FALSE)</f>
        <v>0</v>
      </c>
      <c r="Z224" s="26"/>
      <c r="AA224" s="26"/>
      <c r="AB224" s="26"/>
      <c r="AC224" s="26"/>
      <c r="AD224" s="26"/>
      <c r="AE224" s="26"/>
    </row>
    <row r="225" spans="1:31" ht="21.95" customHeight="1" x14ac:dyDescent="0.25">
      <c r="A225" s="97" t="str">
        <f>+IF(PROVEEDORES[[#This Row],[FECHA DE PAGO]]=PROVEEDORES[[#This Row],[FECHA DE FACTURACIÓN]],"DE CONTADO","CRÉDITO")</f>
        <v>CRÉDITO</v>
      </c>
      <c r="B225" s="41" t="b">
        <f>+IF((PROVEEDORES[[#This Row],[FECHA DE PAGO]]-PROVEEDORES[[#This Row],[FECHA DE FACTURACIÓN]])&gt;PROVEEDORES[[#This Row],[PLAZO Días]],"PAGO VENCIDO")</f>
        <v>0</v>
      </c>
      <c r="C225" s="22">
        <f>+VLOOKUP(PROVEEDORES[[#This Row],[PROVEEDOR]],TERCEROS_INFO[#All],2,FALSE)</f>
        <v>30</v>
      </c>
      <c r="D225" s="27">
        <f>+SUMIFS(PROVEEDORES[Total],PROVEEDORES[PROVEEDOR],PROVEEDORES[[#This Row],[PROVEEDOR]],PROVEEDORES[FECHA DE PAGO],"")</f>
        <v>0</v>
      </c>
      <c r="E225" s="27"/>
      <c r="F225" s="62" t="str">
        <f>+VLOOKUP(PROVEEDORES[[#This Row],[PROVEEDOR]],
                       Terceros!$A:$G,
                       6,
                       FALSE)</f>
        <v>vromero@flashinternational.us;girlesa.ruiz@servipilas.com;joriescobar64@gmail.com</v>
      </c>
      <c r="G225" s="95">
        <v>44272</v>
      </c>
      <c r="H225" s="28" t="s">
        <v>60</v>
      </c>
      <c r="I225" s="95">
        <v>44271</v>
      </c>
      <c r="J225" s="38">
        <v>9839</v>
      </c>
      <c r="K225" s="23">
        <v>1944000</v>
      </c>
      <c r="L225" s="23"/>
      <c r="M225" s="24">
        <v>0</v>
      </c>
      <c r="N225" s="25"/>
      <c r="O225" s="24">
        <v>0</v>
      </c>
      <c r="P225" s="136">
        <f>+IF(PROVEEDORES[[#This Row],[SUBTOTAL]]&lt;PROVEEDORES[[#This Row],[base retencion]],0,PROVEEDORES[[#This Row],[retención aplicada]])</f>
        <v>0</v>
      </c>
      <c r="Q225" s="24">
        <f>+PROVEEDORES[[#This Row],[Rete Fuente %]]*PROVEEDORES[[#This Row],[SUBTOTAL]]</f>
        <v>0</v>
      </c>
      <c r="R225" s="23">
        <v>1944000</v>
      </c>
      <c r="S22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" s="99">
        <f ca="1">IF(PROVEEDORES[[#This Row],[FECHA DE PAGO]]=0,TODAY()-PROVEEDORES[[#This Row],[FECHA DE FACTURACIÓN]]-PROVEEDORES[[#This Row],[PLAZO Días]],0)</f>
        <v>0</v>
      </c>
      <c r="U225" s="149">
        <f>+VLOOKUP(PROVEEDORES[[#This Row],[PROVEEDOR]],Terceros!$A:$E,5,FALSE)</f>
        <v>0</v>
      </c>
      <c r="V225" s="150">
        <f>+YEAR(PROVEEDORES[[#This Row],[FECHA DE FACTURACIÓN]])</f>
        <v>2021</v>
      </c>
      <c r="W225" s="150">
        <f>+MATCH(PROVEEDORES[[#This Row],[año facturado]],Retenciones!$1:$1,0)</f>
        <v>4</v>
      </c>
      <c r="X225" s="151">
        <f>+VLOOKUP(PROVEEDORES[[#This Row],[ID RETENCION]],Retenciones!$A$1:$O$24,PROVEEDORES[[#This Row],[indicador de columna]],FALSE)</f>
        <v>0</v>
      </c>
      <c r="Y225" s="152">
        <f>+VLOOKUP(PROVEEDORES[[#This Row],[ID RETENCION]],Retenciones!$A$1:$O$24,2,FALSE)</f>
        <v>0</v>
      </c>
      <c r="Z225" s="26"/>
      <c r="AA225" s="26"/>
      <c r="AB225" s="26"/>
      <c r="AC225" s="26"/>
      <c r="AD225" s="26"/>
      <c r="AE225" s="26"/>
    </row>
    <row r="226" spans="1:31" ht="21.95" customHeight="1" x14ac:dyDescent="0.25">
      <c r="A226" s="97" t="str">
        <f>+IF(PROVEEDORES[[#This Row],[FECHA DE PAGO]]=PROVEEDORES[[#This Row],[FECHA DE FACTURACIÓN]],"DE CONTADO","CRÉDITO")</f>
        <v>DE CONTADO</v>
      </c>
      <c r="B226" s="41" t="b">
        <f>+IF((PROVEEDORES[[#This Row],[FECHA DE PAGO]]-PROVEEDORES[[#This Row],[FECHA DE FACTURACIÓN]])&gt;PROVEEDORES[[#This Row],[PLAZO Días]],"PAGO VENCIDO")</f>
        <v>0</v>
      </c>
      <c r="C226" s="22">
        <f>+VLOOKUP(PROVEEDORES[[#This Row],[PROVEEDOR]],TERCEROS_INFO[#All],2,FALSE)</f>
        <v>30</v>
      </c>
      <c r="D226" s="27">
        <f>+SUMIFS(PROVEEDORES[Total],PROVEEDORES[PROVEEDOR],PROVEEDORES[[#This Row],[PROVEEDOR]],PROVEEDORES[FECHA DE PAGO],"")</f>
        <v>0</v>
      </c>
      <c r="E226" s="27"/>
      <c r="F226" s="62" t="str">
        <f>+VLOOKUP(PROVEEDORES[[#This Row],[PROVEEDOR]],
                       Terceros!$A:$G,
                       6,
                       FALSE)</f>
        <v/>
      </c>
      <c r="G226" s="95">
        <v>44271</v>
      </c>
      <c r="H226" s="28" t="s">
        <v>1046</v>
      </c>
      <c r="I226" s="95">
        <v>44271</v>
      </c>
      <c r="J226" s="38"/>
      <c r="K226" s="23">
        <v>2000000</v>
      </c>
      <c r="L226" s="23"/>
      <c r="M226" s="24">
        <v>0</v>
      </c>
      <c r="N226" s="25"/>
      <c r="O226" s="24">
        <v>0</v>
      </c>
      <c r="P226" s="136">
        <f>+IF(PROVEEDORES[[#This Row],[SUBTOTAL]]&lt;PROVEEDORES[[#This Row],[base retencion]],0,PROVEEDORES[[#This Row],[retención aplicada]])</f>
        <v>0</v>
      </c>
      <c r="Q226" s="24">
        <f>+PROVEEDORES[[#This Row],[Rete Fuente %]]*PROVEEDORES[[#This Row],[SUBTOTAL]]</f>
        <v>0</v>
      </c>
      <c r="R226" s="23">
        <v>2000000</v>
      </c>
      <c r="S22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" s="99">
        <f ca="1">IF(PROVEEDORES[[#This Row],[FECHA DE PAGO]]=0,TODAY()-PROVEEDORES[[#This Row],[FECHA DE FACTURACIÓN]]-PROVEEDORES[[#This Row],[PLAZO Días]],0)</f>
        <v>0</v>
      </c>
      <c r="U226" s="149">
        <f>+VLOOKUP(PROVEEDORES[[#This Row],[PROVEEDOR]],Terceros!$A:$E,5,FALSE)</f>
        <v>0</v>
      </c>
      <c r="V226" s="150">
        <f>+YEAR(PROVEEDORES[[#This Row],[FECHA DE FACTURACIÓN]])</f>
        <v>2021</v>
      </c>
      <c r="W226" s="150">
        <f>+MATCH(PROVEEDORES[[#This Row],[año facturado]],Retenciones!$1:$1,0)</f>
        <v>4</v>
      </c>
      <c r="X226" s="151">
        <f>+VLOOKUP(PROVEEDORES[[#This Row],[ID RETENCION]],Retenciones!$A$1:$O$24,PROVEEDORES[[#This Row],[indicador de columna]],FALSE)</f>
        <v>0</v>
      </c>
      <c r="Y226" s="152">
        <f>+VLOOKUP(PROVEEDORES[[#This Row],[ID RETENCION]],Retenciones!$A$1:$O$24,2,FALSE)</f>
        <v>0</v>
      </c>
      <c r="Z226" s="26"/>
      <c r="AA226" s="26"/>
      <c r="AB226" s="26"/>
      <c r="AC226" s="26"/>
      <c r="AD226" s="26"/>
      <c r="AE226" s="26"/>
    </row>
    <row r="227" spans="1:31" ht="21.95" customHeight="1" x14ac:dyDescent="0.25">
      <c r="A227" s="97" t="str">
        <f>+IF(PROVEEDORES[[#This Row],[FECHA DE PAGO]]=PROVEEDORES[[#This Row],[FECHA DE FACTURACIÓN]],"DE CONTADO","CRÉDITO")</f>
        <v>CRÉDITO</v>
      </c>
      <c r="B227" s="41" t="b">
        <f>+IF((PROVEEDORES[[#This Row],[FECHA DE PAGO]]-PROVEEDORES[[#This Row],[FECHA DE FACTURACIÓN]])&gt;PROVEEDORES[[#This Row],[PLAZO Días]],"PAGO VENCIDO")</f>
        <v>0</v>
      </c>
      <c r="C227" s="22">
        <f>+VLOOKUP(PROVEEDORES[[#This Row],[PROVEEDOR]],TERCEROS_INFO[#All],2,FALSE)</f>
        <v>30</v>
      </c>
      <c r="D227" s="27">
        <f>+SUMIFS(PROVEEDORES[Total],PROVEEDORES[PROVEEDOR],PROVEEDORES[[#This Row],[PROVEEDOR]],PROVEEDORES[FECHA DE PAGO],"")</f>
        <v>0</v>
      </c>
      <c r="E227" s="27"/>
      <c r="F227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227" s="95">
        <v>44279</v>
      </c>
      <c r="H227" s="28" t="s">
        <v>1040</v>
      </c>
      <c r="I227" s="95">
        <v>44273</v>
      </c>
      <c r="J227" s="38">
        <v>270</v>
      </c>
      <c r="K227" s="23">
        <v>192000</v>
      </c>
      <c r="L227" s="23"/>
      <c r="M227" s="24">
        <v>0</v>
      </c>
      <c r="N227" s="25"/>
      <c r="O227" s="24">
        <v>0</v>
      </c>
      <c r="P227" s="136">
        <f>+IF(PROVEEDORES[[#This Row],[SUBTOTAL]]&lt;PROVEEDORES[[#This Row],[base retencion]],0,PROVEEDORES[[#This Row],[retención aplicada]])</f>
        <v>0</v>
      </c>
      <c r="Q227" s="24">
        <f>+PROVEEDORES[[#This Row],[Rete Fuente %]]*PROVEEDORES[[#This Row],[SUBTOTAL]]</f>
        <v>0</v>
      </c>
      <c r="R227" s="23">
        <v>192000</v>
      </c>
      <c r="S22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" s="99">
        <f ca="1">IF(PROVEEDORES[[#This Row],[FECHA DE PAGO]]=0,TODAY()-PROVEEDORES[[#This Row],[FECHA DE FACTURACIÓN]]-PROVEEDORES[[#This Row],[PLAZO Días]],0)</f>
        <v>0</v>
      </c>
      <c r="U227" s="149">
        <f>+VLOOKUP(PROVEEDORES[[#This Row],[PROVEEDOR]],Terceros!$A:$E,5,FALSE)</f>
        <v>0</v>
      </c>
      <c r="V227" s="150">
        <f>+YEAR(PROVEEDORES[[#This Row],[FECHA DE FACTURACIÓN]])</f>
        <v>2021</v>
      </c>
      <c r="W227" s="150">
        <f>+MATCH(PROVEEDORES[[#This Row],[año facturado]],Retenciones!$1:$1,0)</f>
        <v>4</v>
      </c>
      <c r="X227" s="151">
        <f>+VLOOKUP(PROVEEDORES[[#This Row],[ID RETENCION]],Retenciones!$A$1:$O$24,PROVEEDORES[[#This Row],[indicador de columna]],FALSE)</f>
        <v>0</v>
      </c>
      <c r="Y227" s="152">
        <f>+VLOOKUP(PROVEEDORES[[#This Row],[ID RETENCION]],Retenciones!$A$1:$O$24,2,FALSE)</f>
        <v>0</v>
      </c>
      <c r="Z227" s="26"/>
      <c r="AA227" s="26"/>
      <c r="AB227" s="26"/>
      <c r="AC227" s="26"/>
      <c r="AD227" s="26"/>
      <c r="AE227" s="26"/>
    </row>
    <row r="228" spans="1:31" ht="21.95" customHeight="1" x14ac:dyDescent="0.25">
      <c r="A228" s="97" t="str">
        <f>+IF(PROVEEDORES[[#This Row],[FECHA DE PAGO]]=PROVEEDORES[[#This Row],[FECHA DE FACTURACIÓN]],"DE CONTADO","CRÉDITO")</f>
        <v>CRÉDITO</v>
      </c>
      <c r="B228" s="41" t="b">
        <f>+IF((PROVEEDORES[[#This Row],[FECHA DE PAGO]]-PROVEEDORES[[#This Row],[FECHA DE FACTURACIÓN]])&gt;PROVEEDORES[[#This Row],[PLAZO Días]],"PAGO VENCIDO")</f>
        <v>0</v>
      </c>
      <c r="C228" s="22">
        <f>+VLOOKUP(PROVEEDORES[[#This Row],[PROVEEDOR]],TERCEROS_INFO[#All],2,FALSE)</f>
        <v>30</v>
      </c>
      <c r="D228" s="27">
        <f>+SUMIFS(PROVEEDORES[Total],PROVEEDORES[PROVEEDOR],PROVEEDORES[[#This Row],[PROVEEDOR]],PROVEEDORES[FECHA DE PAGO],"")</f>
        <v>395010</v>
      </c>
      <c r="E228" s="27"/>
      <c r="F228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228" s="95">
        <v>44279</v>
      </c>
      <c r="H228" s="28" t="s">
        <v>141</v>
      </c>
      <c r="I228" s="95">
        <v>44273</v>
      </c>
      <c r="J228" s="38">
        <v>78</v>
      </c>
      <c r="K228" s="23">
        <v>396000</v>
      </c>
      <c r="L228" s="23"/>
      <c r="M228" s="24">
        <v>75240</v>
      </c>
      <c r="N228" s="25"/>
      <c r="O228" s="24">
        <v>0</v>
      </c>
      <c r="P228" s="136">
        <f>+IF(PROVEEDORES[[#This Row],[SUBTOTAL]]&lt;PROVEEDORES[[#This Row],[base retencion]],0,PROVEEDORES[[#This Row],[retención aplicada]])</f>
        <v>0.01</v>
      </c>
      <c r="Q228" s="24">
        <f>+PROVEEDORES[[#This Row],[Rete Fuente %]]*PROVEEDORES[[#This Row],[SUBTOTAL]]</f>
        <v>3960</v>
      </c>
      <c r="R228" s="23">
        <v>467280</v>
      </c>
      <c r="S22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" s="99">
        <f ca="1">IF(PROVEEDORES[[#This Row],[FECHA DE PAGO]]=0,TODAY()-PROVEEDORES[[#This Row],[FECHA DE FACTURACIÓN]]-PROVEEDORES[[#This Row],[PLAZO Días]],0)</f>
        <v>0</v>
      </c>
      <c r="U228" s="149" t="str">
        <f>+VLOOKUP(PROVEEDORES[[#This Row],[PROVEEDOR]],Terceros!$A:$E,5,FALSE)</f>
        <v>1% con base</v>
      </c>
      <c r="V228" s="150">
        <f>+YEAR(PROVEEDORES[[#This Row],[FECHA DE FACTURACIÓN]])</f>
        <v>2021</v>
      </c>
      <c r="W228" s="150">
        <f>+MATCH(PROVEEDORES[[#This Row],[año facturado]],Retenciones!$1:$1,0)</f>
        <v>4</v>
      </c>
      <c r="X228" s="151">
        <f>+VLOOKUP(PROVEEDORES[[#This Row],[ID RETENCION]],Retenciones!$A$1:$O$24,PROVEEDORES[[#This Row],[indicador de columna]],FALSE)</f>
        <v>145000</v>
      </c>
      <c r="Y228" s="152">
        <f>+VLOOKUP(PROVEEDORES[[#This Row],[ID RETENCION]],Retenciones!$A$1:$O$24,2,FALSE)</f>
        <v>0.01</v>
      </c>
      <c r="Z228" s="26"/>
      <c r="AA228" s="26"/>
      <c r="AB228" s="26"/>
      <c r="AC228" s="26"/>
      <c r="AD228" s="26"/>
      <c r="AE228" s="26"/>
    </row>
    <row r="229" spans="1:31" ht="21.95" customHeight="1" x14ac:dyDescent="0.25">
      <c r="A229" s="97" t="str">
        <f>+IF(PROVEEDORES[[#This Row],[FECHA DE PAGO]]=PROVEEDORES[[#This Row],[FECHA DE FACTURACIÓN]],"DE CONTADO","CRÉDITO")</f>
        <v>CRÉDITO</v>
      </c>
      <c r="B229" s="41" t="str">
        <f>+IF((PROVEEDORES[[#This Row],[FECHA DE PAGO]]-PROVEEDORES[[#This Row],[FECHA DE FACTURACIÓN]])&gt;PROVEEDORES[[#This Row],[PLAZO Días]],"PAGO VENCIDO")</f>
        <v>PAGO VENCIDO</v>
      </c>
      <c r="C229" s="22">
        <f>+VLOOKUP(PROVEEDORES[[#This Row],[PROVEEDOR]],TERCEROS_INFO[#All],2,FALSE)</f>
        <v>30</v>
      </c>
      <c r="D229" s="27">
        <f>+SUMIFS(PROVEEDORES[Total],PROVEEDORES[PROVEEDOR],PROVEEDORES[[#This Row],[PROVEEDOR]],PROVEEDORES[FECHA DE PAGO],"")</f>
        <v>6151200</v>
      </c>
      <c r="E229" s="27"/>
      <c r="F229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229" s="95">
        <v>44319</v>
      </c>
      <c r="H229" s="28" t="s">
        <v>11</v>
      </c>
      <c r="I229" s="95">
        <v>44273</v>
      </c>
      <c r="J229" s="38" t="s">
        <v>250</v>
      </c>
      <c r="K229" s="23">
        <v>1980000</v>
      </c>
      <c r="L229" s="23"/>
      <c r="M229" s="24">
        <v>376200</v>
      </c>
      <c r="N229" s="25"/>
      <c r="O229" s="24">
        <v>0</v>
      </c>
      <c r="P229" s="136">
        <f>+IF(PROVEEDORES[[#This Row],[SUBTOTAL]]&lt;PROVEEDORES[[#This Row],[base retencion]],0,PROVEEDORES[[#This Row],[retención aplicada]])</f>
        <v>2.5000000000000001E-2</v>
      </c>
      <c r="Q229" s="24">
        <f>+PROVEEDORES[[#This Row],[Rete Fuente %]]*PROVEEDORES[[#This Row],[SUBTOTAL]]</f>
        <v>49500</v>
      </c>
      <c r="R229" s="23">
        <v>2306700</v>
      </c>
      <c r="S22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" s="99">
        <f ca="1">IF(PROVEEDORES[[#This Row],[FECHA DE PAGO]]=0,TODAY()-PROVEEDORES[[#This Row],[FECHA DE FACTURACIÓN]]-PROVEEDORES[[#This Row],[PLAZO Días]],0)</f>
        <v>0</v>
      </c>
      <c r="U229" s="149" t="str">
        <f>+VLOOKUP(PROVEEDORES[[#This Row],[PROVEEDOR]],Terceros!$A:$E,5,FALSE)</f>
        <v>2,5% con base</v>
      </c>
      <c r="V229" s="150">
        <f>+YEAR(PROVEEDORES[[#This Row],[FECHA DE FACTURACIÓN]])</f>
        <v>2021</v>
      </c>
      <c r="W229" s="150">
        <f>+MATCH(PROVEEDORES[[#This Row],[año facturado]],Retenciones!$1:$1,0)</f>
        <v>4</v>
      </c>
      <c r="X229" s="151">
        <f>+VLOOKUP(PROVEEDORES[[#This Row],[ID RETENCION]],Retenciones!$A$1:$O$24,PROVEEDORES[[#This Row],[indicador de columna]],FALSE)</f>
        <v>980000</v>
      </c>
      <c r="Y229" s="152">
        <f>+VLOOKUP(PROVEEDORES[[#This Row],[ID RETENCION]],Retenciones!$A$1:$O$24,2,FALSE)</f>
        <v>2.5000000000000001E-2</v>
      </c>
      <c r="Z229" s="26"/>
      <c r="AA229" s="26"/>
      <c r="AB229" s="26"/>
      <c r="AC229" s="26"/>
      <c r="AD229" s="26"/>
      <c r="AE229" s="26"/>
    </row>
    <row r="230" spans="1:31" ht="21.95" customHeight="1" x14ac:dyDescent="0.25">
      <c r="A230" s="97" t="str">
        <f>+IF(PROVEEDORES[[#This Row],[FECHA DE PAGO]]=PROVEEDORES[[#This Row],[FECHA DE FACTURACIÓN]],"DE CONTADO","CRÉDITO")</f>
        <v>CRÉDITO</v>
      </c>
      <c r="B230" s="41" t="str">
        <f>+IF((PROVEEDORES[[#This Row],[FECHA DE PAGO]]-PROVEEDORES[[#This Row],[FECHA DE FACTURACIÓN]])&gt;PROVEEDORES[[#This Row],[PLAZO Días]],"PAGO VENCIDO")</f>
        <v>PAGO VENCIDO</v>
      </c>
      <c r="C230" s="22">
        <f>+VLOOKUP(PROVEEDORES[[#This Row],[PROVEEDOR]],TERCEROS_INFO[#All],2,FALSE)</f>
        <v>30</v>
      </c>
      <c r="D230" s="27">
        <f>+SUMIFS(PROVEEDORES[Total],PROVEEDORES[PROVEEDOR],PROVEEDORES[[#This Row],[PROVEEDOR]],PROVEEDORES[FECHA DE PAGO],"")</f>
        <v>0</v>
      </c>
      <c r="E230" s="27"/>
      <c r="F230" s="62">
        <f>+VLOOKUP(PROVEEDORES[[#This Row],[PROVEEDOR]],
                       Terceros!$A:$G,
                       6,
                       FALSE)</f>
        <v>0</v>
      </c>
      <c r="G230" s="95">
        <v>44382</v>
      </c>
      <c r="H230" s="28" t="s">
        <v>1015</v>
      </c>
      <c r="I230" s="95">
        <v>44273</v>
      </c>
      <c r="J230" s="38" t="s">
        <v>682</v>
      </c>
      <c r="K230" s="23">
        <v>2668000</v>
      </c>
      <c r="L230" s="23"/>
      <c r="M230" s="24">
        <v>0</v>
      </c>
      <c r="N230" s="25"/>
      <c r="O230" s="24">
        <v>0</v>
      </c>
      <c r="P230" s="136">
        <f>+IF(PROVEEDORES[[#This Row],[SUBTOTAL]]&lt;PROVEEDORES[[#This Row],[base retencion]],0,PROVEEDORES[[#This Row],[retención aplicada]])</f>
        <v>0</v>
      </c>
      <c r="Q230" s="24">
        <f>+PROVEEDORES[[#This Row],[Rete Fuente %]]*PROVEEDORES[[#This Row],[SUBTOTAL]]</f>
        <v>0</v>
      </c>
      <c r="R230" s="23">
        <v>2668000</v>
      </c>
      <c r="S23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" s="99">
        <f ca="1">IF(PROVEEDORES[[#This Row],[FECHA DE PAGO]]=0,TODAY()-PROVEEDORES[[#This Row],[FECHA DE FACTURACIÓN]]-PROVEEDORES[[#This Row],[PLAZO Días]],0)</f>
        <v>0</v>
      </c>
      <c r="U230" s="149">
        <f>+VLOOKUP(PROVEEDORES[[#This Row],[PROVEEDOR]],Terceros!$A:$E,5,FALSE)</f>
        <v>0</v>
      </c>
      <c r="V230" s="150">
        <f>+YEAR(PROVEEDORES[[#This Row],[FECHA DE FACTURACIÓN]])</f>
        <v>2021</v>
      </c>
      <c r="W230" s="150">
        <f>+MATCH(PROVEEDORES[[#This Row],[año facturado]],Retenciones!$1:$1,0)</f>
        <v>4</v>
      </c>
      <c r="X230" s="151">
        <f>+VLOOKUP(PROVEEDORES[[#This Row],[ID RETENCION]],Retenciones!$A$1:$O$24,PROVEEDORES[[#This Row],[indicador de columna]],FALSE)</f>
        <v>0</v>
      </c>
      <c r="Y230" s="152">
        <f>+VLOOKUP(PROVEEDORES[[#This Row],[ID RETENCION]],Retenciones!$A$1:$O$24,2,FALSE)</f>
        <v>0</v>
      </c>
      <c r="Z230" s="26"/>
      <c r="AA230" s="26"/>
      <c r="AB230" s="26"/>
      <c r="AC230" s="26"/>
      <c r="AD230" s="26"/>
      <c r="AE230" s="26"/>
    </row>
    <row r="231" spans="1:31" ht="21.95" customHeight="1" x14ac:dyDescent="0.25">
      <c r="A231" s="97" t="str">
        <f>+IF(PROVEEDORES[[#This Row],[FECHA DE PAGO]]=PROVEEDORES[[#This Row],[FECHA DE FACTURACIÓN]],"DE CONTADO","CRÉDITO")</f>
        <v>CRÉDITO</v>
      </c>
      <c r="B231" s="41" t="str">
        <f>+IF((PROVEEDORES[[#This Row],[FECHA DE PAGO]]-PROVEEDORES[[#This Row],[FECHA DE FACTURACIÓN]])&gt;PROVEEDORES[[#This Row],[PLAZO Días]],"PAGO VENCIDO")</f>
        <v>PAGO VENCIDO</v>
      </c>
      <c r="C231" s="22">
        <f>+VLOOKUP(PROVEEDORES[[#This Row],[PROVEEDOR]],TERCEROS_INFO[#All],2,FALSE)</f>
        <v>45</v>
      </c>
      <c r="D231" s="27">
        <f>+SUMIFS(PROVEEDORES[Total],PROVEEDORES[PROVEEDOR],PROVEEDORES[[#This Row],[PROVEEDOR]],PROVEEDORES[FECHA DE PAGO],"")</f>
        <v>3412539.2</v>
      </c>
      <c r="E231" s="27"/>
      <c r="F231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231" s="95">
        <v>44351</v>
      </c>
      <c r="H231" s="28" t="s">
        <v>10</v>
      </c>
      <c r="I231" s="95">
        <v>44273</v>
      </c>
      <c r="J231" s="38" t="s">
        <v>249</v>
      </c>
      <c r="K231" s="23">
        <v>3460000</v>
      </c>
      <c r="L231" s="23"/>
      <c r="M231" s="24">
        <v>657400</v>
      </c>
      <c r="N231" s="25"/>
      <c r="O231" s="24">
        <v>0</v>
      </c>
      <c r="P231" s="136">
        <f>+IF(PROVEEDORES[[#This Row],[SUBTOTAL]]&lt;PROVEEDORES[[#This Row],[base retencion]],0,PROVEEDORES[[#This Row],[retención aplicada]])</f>
        <v>0</v>
      </c>
      <c r="Q231" s="24">
        <f>+PROVEEDORES[[#This Row],[Rete Fuente %]]*PROVEEDORES[[#This Row],[SUBTOTAL]]</f>
        <v>0</v>
      </c>
      <c r="R231" s="23">
        <v>4117400</v>
      </c>
      <c r="S23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" s="99">
        <f ca="1">IF(PROVEEDORES[[#This Row],[FECHA DE PAGO]]=0,TODAY()-PROVEEDORES[[#This Row],[FECHA DE FACTURACIÓN]]-PROVEEDORES[[#This Row],[PLAZO Días]],0)</f>
        <v>0</v>
      </c>
      <c r="U231" s="149">
        <f>+VLOOKUP(PROVEEDORES[[#This Row],[PROVEEDOR]],Terceros!$A:$E,5,FALSE)</f>
        <v>0</v>
      </c>
      <c r="V231" s="150">
        <f>+YEAR(PROVEEDORES[[#This Row],[FECHA DE FACTURACIÓN]])</f>
        <v>2021</v>
      </c>
      <c r="W231" s="150">
        <f>+MATCH(PROVEEDORES[[#This Row],[año facturado]],Retenciones!$1:$1,0)</f>
        <v>4</v>
      </c>
      <c r="X231" s="151">
        <f>+VLOOKUP(PROVEEDORES[[#This Row],[ID RETENCION]],Retenciones!$A$1:$O$24,PROVEEDORES[[#This Row],[indicador de columna]],FALSE)</f>
        <v>0</v>
      </c>
      <c r="Y231" s="152">
        <f>+VLOOKUP(PROVEEDORES[[#This Row],[ID RETENCION]],Retenciones!$A$1:$O$24,2,FALSE)</f>
        <v>0</v>
      </c>
      <c r="Z231" s="26"/>
      <c r="AA231" s="26"/>
      <c r="AB231" s="26"/>
      <c r="AC231" s="26"/>
      <c r="AD231" s="26"/>
      <c r="AE231" s="26"/>
    </row>
    <row r="232" spans="1:31" ht="21.95" customHeight="1" x14ac:dyDescent="0.25">
      <c r="A232" s="97" t="str">
        <f>+IF(PROVEEDORES[[#This Row],[FECHA DE PAGO]]=PROVEEDORES[[#This Row],[FECHA DE FACTURACIÓN]],"DE CONTADO","CRÉDITO")</f>
        <v>CRÉDITO</v>
      </c>
      <c r="B232" s="41" t="str">
        <f>+IF((PROVEEDORES[[#This Row],[FECHA DE PAGO]]-PROVEEDORES[[#This Row],[FECHA DE FACTURACIÓN]])&gt;PROVEEDORES[[#This Row],[PLAZO Días]],"PAGO VENCIDO")</f>
        <v>PAGO VENCIDO</v>
      </c>
      <c r="C232" s="22">
        <f>+VLOOKUP(PROVEEDORES[[#This Row],[PROVEEDOR]],TERCEROS_INFO[#All],2,FALSE)</f>
        <v>30</v>
      </c>
      <c r="D232" s="27">
        <f>+SUMIFS(PROVEEDORES[Total],PROVEEDORES[PROVEEDOR],PROVEEDORES[[#This Row],[PROVEEDOR]],PROVEEDORES[FECHA DE PAGO],"")</f>
        <v>0</v>
      </c>
      <c r="E232" s="27"/>
      <c r="F232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232" s="95">
        <v>44321</v>
      </c>
      <c r="H232" s="28" t="s">
        <v>24</v>
      </c>
      <c r="I232" s="95">
        <v>44273</v>
      </c>
      <c r="J232" s="38" t="s">
        <v>253</v>
      </c>
      <c r="K232" s="23">
        <v>3650562</v>
      </c>
      <c r="L232" s="23"/>
      <c r="M232" s="24">
        <v>693606.78</v>
      </c>
      <c r="N232" s="25"/>
      <c r="O232" s="24">
        <v>0</v>
      </c>
      <c r="P232" s="136">
        <f>+IF(PROVEEDORES[[#This Row],[SUBTOTAL]]&lt;PROVEEDORES[[#This Row],[base retencion]],0,PROVEEDORES[[#This Row],[retención aplicada]])</f>
        <v>2.5000000000000001E-2</v>
      </c>
      <c r="Q232" s="24">
        <f>+PROVEEDORES[[#This Row],[Rete Fuente %]]*PROVEEDORES[[#This Row],[SUBTOTAL]]</f>
        <v>91264.05</v>
      </c>
      <c r="R232" s="23">
        <v>4252904.7300000004</v>
      </c>
      <c r="S23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" s="99">
        <f ca="1">IF(PROVEEDORES[[#This Row],[FECHA DE PAGO]]=0,TODAY()-PROVEEDORES[[#This Row],[FECHA DE FACTURACIÓN]]-PROVEEDORES[[#This Row],[PLAZO Días]],0)</f>
        <v>0</v>
      </c>
      <c r="U232" s="149" t="str">
        <f>+VLOOKUP(PROVEEDORES[[#This Row],[PROVEEDOR]],Terceros!$A:$E,5,FALSE)</f>
        <v>2,5% con base</v>
      </c>
      <c r="V232" s="150">
        <f>+YEAR(PROVEEDORES[[#This Row],[FECHA DE FACTURACIÓN]])</f>
        <v>2021</v>
      </c>
      <c r="W232" s="150">
        <f>+MATCH(PROVEEDORES[[#This Row],[año facturado]],Retenciones!$1:$1,0)</f>
        <v>4</v>
      </c>
      <c r="X232" s="151">
        <f>+VLOOKUP(PROVEEDORES[[#This Row],[ID RETENCION]],Retenciones!$A$1:$O$24,PROVEEDORES[[#This Row],[indicador de columna]],FALSE)</f>
        <v>980000</v>
      </c>
      <c r="Y232" s="152">
        <f>+VLOOKUP(PROVEEDORES[[#This Row],[ID RETENCION]],Retenciones!$A$1:$O$24,2,FALSE)</f>
        <v>2.5000000000000001E-2</v>
      </c>
      <c r="Z232" s="26"/>
      <c r="AA232" s="26"/>
      <c r="AB232" s="26"/>
      <c r="AC232" s="26"/>
      <c r="AD232" s="26"/>
      <c r="AE232" s="26"/>
    </row>
    <row r="233" spans="1:31" ht="21.95" customHeight="1" x14ac:dyDescent="0.25">
      <c r="A233" s="97" t="str">
        <f>+IF(PROVEEDORES[[#This Row],[FECHA DE PAGO]]=PROVEEDORES[[#This Row],[FECHA DE FACTURACIÓN]],"DE CONTADO","CRÉDITO")</f>
        <v>CRÉDITO</v>
      </c>
      <c r="B233" s="41" t="str">
        <f>+IF((PROVEEDORES[[#This Row],[FECHA DE PAGO]]-PROVEEDORES[[#This Row],[FECHA DE FACTURACIÓN]])&gt;PROVEEDORES[[#This Row],[PLAZO Días]],"PAGO VENCIDO")</f>
        <v>PAGO VENCIDO</v>
      </c>
      <c r="C233" s="22">
        <f>+VLOOKUP(PROVEEDORES[[#This Row],[PROVEEDOR]],TERCEROS_INFO[#All],2,FALSE)</f>
        <v>30</v>
      </c>
      <c r="D233" s="27">
        <f>+SUMIFS(PROVEEDORES[Total],PROVEEDORES[PROVEEDOR],PROVEEDORES[[#This Row],[PROVEEDOR]],PROVEEDORES[FECHA DE PAGO],"")</f>
        <v>0</v>
      </c>
      <c r="E233" s="27"/>
      <c r="F233" s="62" t="str">
        <f>+VLOOKUP(PROVEEDORES[[#This Row],[PROVEEDOR]],
                       Terceros!$A:$G,
                       6,
                       FALSE)</f>
        <v>Pygimportadora@gmail.com;girlesa.ruiz@servipilas.com;joriescobar64@gmail.com</v>
      </c>
      <c r="G233" s="95">
        <v>44348</v>
      </c>
      <c r="H233" s="28" t="s">
        <v>26</v>
      </c>
      <c r="I233" s="95">
        <v>44274</v>
      </c>
      <c r="J233" s="38" t="s">
        <v>247</v>
      </c>
      <c r="K233" s="23">
        <v>1100000</v>
      </c>
      <c r="L233" s="23"/>
      <c r="M233" s="24">
        <v>209000</v>
      </c>
      <c r="N233" s="25"/>
      <c r="O233" s="24">
        <v>0</v>
      </c>
      <c r="P233" s="136">
        <f>+IF(PROVEEDORES[[#This Row],[SUBTOTAL]]&lt;PROVEEDORES[[#This Row],[base retencion]],0,PROVEEDORES[[#This Row],[retención aplicada]])</f>
        <v>2.5000000000000001E-2</v>
      </c>
      <c r="Q233" s="24">
        <f>+PROVEEDORES[[#This Row],[Rete Fuente %]]*PROVEEDORES[[#This Row],[SUBTOTAL]]</f>
        <v>27500</v>
      </c>
      <c r="R233" s="23">
        <v>1281500</v>
      </c>
      <c r="S23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" s="99">
        <f ca="1">IF(PROVEEDORES[[#This Row],[FECHA DE PAGO]]=0,TODAY()-PROVEEDORES[[#This Row],[FECHA DE FACTURACIÓN]]-PROVEEDORES[[#This Row],[PLAZO Días]],0)</f>
        <v>0</v>
      </c>
      <c r="U233" s="149" t="str">
        <f>+VLOOKUP(PROVEEDORES[[#This Row],[PROVEEDOR]],Terceros!$A:$E,5,FALSE)</f>
        <v>2,5% con base</v>
      </c>
      <c r="V233" s="150">
        <f>+YEAR(PROVEEDORES[[#This Row],[FECHA DE FACTURACIÓN]])</f>
        <v>2021</v>
      </c>
      <c r="W233" s="150">
        <f>+MATCH(PROVEEDORES[[#This Row],[año facturado]],Retenciones!$1:$1,0)</f>
        <v>4</v>
      </c>
      <c r="X233" s="151">
        <f>+VLOOKUP(PROVEEDORES[[#This Row],[ID RETENCION]],Retenciones!$A$1:$O$24,PROVEEDORES[[#This Row],[indicador de columna]],FALSE)</f>
        <v>980000</v>
      </c>
      <c r="Y233" s="152">
        <f>+VLOOKUP(PROVEEDORES[[#This Row],[ID RETENCION]],Retenciones!$A$1:$O$24,2,FALSE)</f>
        <v>2.5000000000000001E-2</v>
      </c>
      <c r="Z233" s="26"/>
      <c r="AA233" s="26"/>
      <c r="AB233" s="26"/>
      <c r="AC233" s="26"/>
      <c r="AD233" s="26"/>
      <c r="AE233" s="26"/>
    </row>
    <row r="234" spans="1:31" ht="21.95" customHeight="1" x14ac:dyDescent="0.25">
      <c r="A234" s="97" t="str">
        <f>+IF(PROVEEDORES[[#This Row],[FECHA DE PAGO]]=PROVEEDORES[[#This Row],[FECHA DE FACTURACIÓN]],"DE CONTADO","CRÉDITO")</f>
        <v>CRÉDITO</v>
      </c>
      <c r="B234" s="41" t="str">
        <f>+IF((PROVEEDORES[[#This Row],[FECHA DE PAGO]]-PROVEEDORES[[#This Row],[FECHA DE FACTURACIÓN]])&gt;PROVEEDORES[[#This Row],[PLAZO Días]],"PAGO VENCIDO")</f>
        <v>PAGO VENCIDO</v>
      </c>
      <c r="C234" s="22">
        <f>+VLOOKUP(PROVEEDORES[[#This Row],[PROVEEDOR]],TERCEROS_INFO[#All],2,FALSE)</f>
        <v>30</v>
      </c>
      <c r="D234" s="27">
        <f>+SUMIFS(PROVEEDORES[Total],PROVEEDORES[PROVEEDOR],PROVEEDORES[[#This Row],[PROVEEDOR]],PROVEEDORES[FECHA DE PAGO],"")</f>
        <v>3355018.0749999997</v>
      </c>
      <c r="E234" s="27"/>
      <c r="F234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234" s="95">
        <v>44348</v>
      </c>
      <c r="H234" s="28" t="s">
        <v>222</v>
      </c>
      <c r="I234" s="95">
        <v>44274</v>
      </c>
      <c r="J234" s="38">
        <v>219</v>
      </c>
      <c r="K234" s="23">
        <v>1477310</v>
      </c>
      <c r="L234" s="23"/>
      <c r="M234" s="24">
        <v>280688.90000000002</v>
      </c>
      <c r="N234" s="25"/>
      <c r="O234" s="24">
        <v>0</v>
      </c>
      <c r="P234" s="136">
        <f>+IF(PROVEEDORES[[#This Row],[SUBTOTAL]]&lt;PROVEEDORES[[#This Row],[base retencion]],0,PROVEEDORES[[#This Row],[retención aplicada]])</f>
        <v>2.5000000000000001E-2</v>
      </c>
      <c r="Q234" s="24">
        <f>+PROVEEDORES[[#This Row],[Rete Fuente %]]*PROVEEDORES[[#This Row],[SUBTOTAL]]</f>
        <v>36932.75</v>
      </c>
      <c r="R234" s="23">
        <v>1721066.15</v>
      </c>
      <c r="S23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" s="99">
        <f ca="1">IF(PROVEEDORES[[#This Row],[FECHA DE PAGO]]=0,TODAY()-PROVEEDORES[[#This Row],[FECHA DE FACTURACIÓN]]-PROVEEDORES[[#This Row],[PLAZO Días]],0)</f>
        <v>0</v>
      </c>
      <c r="U234" s="149" t="str">
        <f>+VLOOKUP(PROVEEDORES[[#This Row],[PROVEEDOR]],Terceros!$A:$E,5,FALSE)</f>
        <v>2,5% con base</v>
      </c>
      <c r="V234" s="150">
        <f>+YEAR(PROVEEDORES[[#This Row],[FECHA DE FACTURACIÓN]])</f>
        <v>2021</v>
      </c>
      <c r="W234" s="150">
        <f>+MATCH(PROVEEDORES[[#This Row],[año facturado]],Retenciones!$1:$1,0)</f>
        <v>4</v>
      </c>
      <c r="X234" s="151">
        <f>+VLOOKUP(PROVEEDORES[[#This Row],[ID RETENCION]],Retenciones!$A$1:$O$24,PROVEEDORES[[#This Row],[indicador de columna]],FALSE)</f>
        <v>980000</v>
      </c>
      <c r="Y234" s="152">
        <f>+VLOOKUP(PROVEEDORES[[#This Row],[ID RETENCION]],Retenciones!$A$1:$O$24,2,FALSE)</f>
        <v>2.5000000000000001E-2</v>
      </c>
      <c r="Z234" s="26"/>
      <c r="AA234" s="26"/>
      <c r="AB234" s="26"/>
      <c r="AC234" s="26"/>
      <c r="AD234" s="26"/>
      <c r="AE234" s="26"/>
    </row>
    <row r="235" spans="1:31" ht="21.95" customHeight="1" x14ac:dyDescent="0.25">
      <c r="A235" s="97" t="str">
        <f>+IF(PROVEEDORES[[#This Row],[FECHA DE PAGO]]=PROVEEDORES[[#This Row],[FECHA DE FACTURACIÓN]],"DE CONTADO","CRÉDITO")</f>
        <v>CRÉDITO</v>
      </c>
      <c r="B235" s="41" t="str">
        <f>+IF((PROVEEDORES[[#This Row],[FECHA DE PAGO]]-PROVEEDORES[[#This Row],[FECHA DE FACTURACIÓN]])&gt;PROVEEDORES[[#This Row],[PLAZO Días]],"PAGO VENCIDO")</f>
        <v>PAGO VENCIDO</v>
      </c>
      <c r="C235" s="22">
        <f>+VLOOKUP(PROVEEDORES[[#This Row],[PROVEEDOR]],TERCEROS_INFO[#All],2,FALSE)</f>
        <v>30</v>
      </c>
      <c r="D235" s="27">
        <f>+SUMIFS(PROVEEDORES[Total],PROVEEDORES[PROVEEDOR],PROVEEDORES[[#This Row],[PROVEEDOR]],PROVEEDORES[FECHA DE PAGO],"")</f>
        <v>3844432.4999000002</v>
      </c>
      <c r="E235" s="27"/>
      <c r="F235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235" s="95">
        <v>44335</v>
      </c>
      <c r="H235" s="28" t="s">
        <v>18</v>
      </c>
      <c r="I235" s="95">
        <v>44274</v>
      </c>
      <c r="J235" s="38">
        <v>1035834</v>
      </c>
      <c r="K235" s="23">
        <v>3865479.42</v>
      </c>
      <c r="L235" s="23"/>
      <c r="M235" s="24">
        <v>734441.08979999996</v>
      </c>
      <c r="N235" s="25"/>
      <c r="O235" s="24">
        <v>0</v>
      </c>
      <c r="P235" s="136">
        <f>+IF(PROVEEDORES[[#This Row],[SUBTOTAL]]&lt;PROVEEDORES[[#This Row],[base retencion]],0,PROVEEDORES[[#This Row],[retención aplicada]])</f>
        <v>2.5000000000000001E-2</v>
      </c>
      <c r="Q235" s="24">
        <f>+PROVEEDORES[[#This Row],[Rete Fuente %]]*PROVEEDORES[[#This Row],[SUBTOTAL]]</f>
        <v>96636.98550000001</v>
      </c>
      <c r="R235" s="23">
        <v>4503283.5242999997</v>
      </c>
      <c r="S23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" s="99">
        <f ca="1">IF(PROVEEDORES[[#This Row],[FECHA DE PAGO]]=0,TODAY()-PROVEEDORES[[#This Row],[FECHA DE FACTURACIÓN]]-PROVEEDORES[[#This Row],[PLAZO Días]],0)</f>
        <v>0</v>
      </c>
      <c r="U235" s="149" t="str">
        <f>+VLOOKUP(PROVEEDORES[[#This Row],[PROVEEDOR]],Terceros!$A:$E,5,FALSE)</f>
        <v>2,5% con base</v>
      </c>
      <c r="V235" s="150">
        <f>+YEAR(PROVEEDORES[[#This Row],[FECHA DE FACTURACIÓN]])</f>
        <v>2021</v>
      </c>
      <c r="W235" s="150">
        <f>+MATCH(PROVEEDORES[[#This Row],[año facturado]],Retenciones!$1:$1,0)</f>
        <v>4</v>
      </c>
      <c r="X235" s="151">
        <f>+VLOOKUP(PROVEEDORES[[#This Row],[ID RETENCION]],Retenciones!$A$1:$O$24,PROVEEDORES[[#This Row],[indicador de columna]],FALSE)</f>
        <v>980000</v>
      </c>
      <c r="Y235" s="152">
        <f>+VLOOKUP(PROVEEDORES[[#This Row],[ID RETENCION]],Retenciones!$A$1:$O$24,2,FALSE)</f>
        <v>2.5000000000000001E-2</v>
      </c>
      <c r="Z235" s="26"/>
      <c r="AA235" s="26"/>
      <c r="AB235" s="26"/>
      <c r="AC235" s="26"/>
      <c r="AD235" s="26"/>
      <c r="AE235" s="26"/>
    </row>
    <row r="236" spans="1:31" ht="21.95" customHeight="1" x14ac:dyDescent="0.25">
      <c r="A236" s="97" t="str">
        <f>+IF(PROVEEDORES[[#This Row],[FECHA DE PAGO]]=PROVEEDORES[[#This Row],[FECHA DE FACTURACIÓN]],"DE CONTADO","CRÉDITO")</f>
        <v>CRÉDITO</v>
      </c>
      <c r="B236" s="41" t="str">
        <f>+IF((PROVEEDORES[[#This Row],[FECHA DE PAGO]]-PROVEEDORES[[#This Row],[FECHA DE FACTURACIÓN]])&gt;PROVEEDORES[[#This Row],[PLAZO Días]],"PAGO VENCIDO")</f>
        <v>PAGO VENCIDO</v>
      </c>
      <c r="C236" s="22">
        <f>+VLOOKUP(PROVEEDORES[[#This Row],[PROVEEDOR]],TERCEROS_INFO[#All],2,FALSE)</f>
        <v>30</v>
      </c>
      <c r="D236" s="27">
        <f>+SUMIFS(PROVEEDORES[Total],PROVEEDORES[PROVEEDOR],PROVEEDORES[[#This Row],[PROVEEDOR]],PROVEEDORES[FECHA DE PAGO],"")</f>
        <v>0</v>
      </c>
      <c r="E236" s="27"/>
      <c r="F236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236" s="95">
        <v>44319</v>
      </c>
      <c r="H236" s="28" t="s">
        <v>1124</v>
      </c>
      <c r="I236" s="95">
        <v>44275</v>
      </c>
      <c r="J236" s="38">
        <v>15294</v>
      </c>
      <c r="K236" s="23">
        <v>1463200</v>
      </c>
      <c r="L236" s="23"/>
      <c r="M236" s="24">
        <v>278008</v>
      </c>
      <c r="N236" s="25"/>
      <c r="O236" s="24">
        <v>0</v>
      </c>
      <c r="P236" s="136">
        <f>+IF(PROVEEDORES[[#This Row],[SUBTOTAL]]&lt;PROVEEDORES[[#This Row],[base retencion]],0,PROVEEDORES[[#This Row],[retención aplicada]])</f>
        <v>2.5000000000000001E-2</v>
      </c>
      <c r="Q236" s="24">
        <f>+PROVEEDORES[[#This Row],[Rete Fuente %]]*PROVEEDORES[[#This Row],[SUBTOTAL]]</f>
        <v>36580</v>
      </c>
      <c r="R236" s="23">
        <v>1704628</v>
      </c>
      <c r="S23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" s="99">
        <f ca="1">IF(PROVEEDORES[[#This Row],[FECHA DE PAGO]]=0,TODAY()-PROVEEDORES[[#This Row],[FECHA DE FACTURACIÓN]]-PROVEEDORES[[#This Row],[PLAZO Días]],0)</f>
        <v>0</v>
      </c>
      <c r="U236" s="149" t="str">
        <f>+VLOOKUP(PROVEEDORES[[#This Row],[PROVEEDOR]],Terceros!$A:$E,5,FALSE)</f>
        <v>2,5% con base</v>
      </c>
      <c r="V236" s="150">
        <f>+YEAR(PROVEEDORES[[#This Row],[FECHA DE FACTURACIÓN]])</f>
        <v>2021</v>
      </c>
      <c r="W236" s="150">
        <f>+MATCH(PROVEEDORES[[#This Row],[año facturado]],Retenciones!$1:$1,0)</f>
        <v>4</v>
      </c>
      <c r="X236" s="151">
        <f>+VLOOKUP(PROVEEDORES[[#This Row],[ID RETENCION]],Retenciones!$A$1:$O$24,PROVEEDORES[[#This Row],[indicador de columna]],FALSE)</f>
        <v>980000</v>
      </c>
      <c r="Y236" s="152">
        <f>+VLOOKUP(PROVEEDORES[[#This Row],[ID RETENCION]],Retenciones!$A$1:$O$24,2,FALSE)</f>
        <v>2.5000000000000001E-2</v>
      </c>
      <c r="Z236" s="26"/>
      <c r="AA236" s="26"/>
      <c r="AB236" s="26"/>
      <c r="AC236" s="26"/>
      <c r="AD236" s="26"/>
      <c r="AE236" s="26"/>
    </row>
    <row r="237" spans="1:31" ht="21.95" customHeight="1" x14ac:dyDescent="0.25">
      <c r="A237" s="97" t="str">
        <f>+IF(PROVEEDORES[[#This Row],[FECHA DE PAGO]]=PROVEEDORES[[#This Row],[FECHA DE FACTURACIÓN]],"DE CONTADO","CRÉDITO")</f>
        <v>CRÉDITO</v>
      </c>
      <c r="B237" s="41" t="b">
        <f>+IF((PROVEEDORES[[#This Row],[FECHA DE PAGO]]-PROVEEDORES[[#This Row],[FECHA DE FACTURACIÓN]])&gt;PROVEEDORES[[#This Row],[PLAZO Días]],"PAGO VENCIDO")</f>
        <v>0</v>
      </c>
      <c r="C237" s="22">
        <f>+VLOOKUP(PROVEEDORES[[#This Row],[PROVEEDOR]],TERCEROS_INFO[#All],2,FALSE)</f>
        <v>30</v>
      </c>
      <c r="D237" s="27">
        <f>+SUMIFS(PROVEEDORES[Total],PROVEEDORES[PROVEEDOR],PROVEEDORES[[#This Row],[PROVEEDOR]],PROVEEDORES[FECHA DE PAGO],"")</f>
        <v>0</v>
      </c>
      <c r="E237" s="27"/>
      <c r="F237" s="62" t="str">
        <f>+VLOOKUP(PROVEEDORES[[#This Row],[PROVEEDOR]],
                       Terceros!$A:$G,
                       6,
                       FALSE)</f>
        <v>vromero@flashinternational.us;girlesa.ruiz@servipilas.com;joriescobar64@gmail.com</v>
      </c>
      <c r="G237" s="95">
        <v>44279</v>
      </c>
      <c r="H237" s="28" t="s">
        <v>116</v>
      </c>
      <c r="I237" s="95">
        <v>44277</v>
      </c>
      <c r="J237" s="38" t="s">
        <v>254</v>
      </c>
      <c r="K237" s="23">
        <v>1649000</v>
      </c>
      <c r="L237" s="23"/>
      <c r="M237" s="24">
        <v>0</v>
      </c>
      <c r="N237" s="25"/>
      <c r="O237" s="24">
        <v>0</v>
      </c>
      <c r="P237" s="136">
        <f>+IF(PROVEEDORES[[#This Row],[SUBTOTAL]]&lt;PROVEEDORES[[#This Row],[base retencion]],0,PROVEEDORES[[#This Row],[retención aplicada]])</f>
        <v>0</v>
      </c>
      <c r="Q237" s="24">
        <f>+PROVEEDORES[[#This Row],[Rete Fuente %]]*PROVEEDORES[[#This Row],[SUBTOTAL]]</f>
        <v>0</v>
      </c>
      <c r="R237" s="23">
        <v>1649000</v>
      </c>
      <c r="S23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" s="99">
        <f ca="1">IF(PROVEEDORES[[#This Row],[FECHA DE PAGO]]=0,TODAY()-PROVEEDORES[[#This Row],[FECHA DE FACTURACIÓN]]-PROVEEDORES[[#This Row],[PLAZO Días]],0)</f>
        <v>0</v>
      </c>
      <c r="U237" s="149">
        <f>+VLOOKUP(PROVEEDORES[[#This Row],[PROVEEDOR]],Terceros!$A:$E,5,FALSE)</f>
        <v>0</v>
      </c>
      <c r="V237" s="150">
        <f>+YEAR(PROVEEDORES[[#This Row],[FECHA DE FACTURACIÓN]])</f>
        <v>2021</v>
      </c>
      <c r="W237" s="150">
        <f>+MATCH(PROVEEDORES[[#This Row],[año facturado]],Retenciones!$1:$1,0)</f>
        <v>4</v>
      </c>
      <c r="X237" s="151">
        <f>+VLOOKUP(PROVEEDORES[[#This Row],[ID RETENCION]],Retenciones!$A$1:$O$24,PROVEEDORES[[#This Row],[indicador de columna]],FALSE)</f>
        <v>0</v>
      </c>
      <c r="Y237" s="152">
        <f>+VLOOKUP(PROVEEDORES[[#This Row],[ID RETENCION]],Retenciones!$A$1:$O$24,2,FALSE)</f>
        <v>0</v>
      </c>
      <c r="Z237" s="26"/>
      <c r="AA237" s="26"/>
      <c r="AB237" s="26"/>
      <c r="AC237" s="26"/>
      <c r="AD237" s="26"/>
      <c r="AE237" s="26"/>
    </row>
    <row r="238" spans="1:31" ht="21.95" customHeight="1" x14ac:dyDescent="0.25">
      <c r="A238" s="97" t="str">
        <f>+IF(PROVEEDORES[[#This Row],[FECHA DE PAGO]]=PROVEEDORES[[#This Row],[FECHA DE FACTURACIÓN]],"DE CONTADO","CRÉDITO")</f>
        <v>CRÉDITO</v>
      </c>
      <c r="B238" s="41" t="str">
        <f>+IF((PROVEEDORES[[#This Row],[FECHA DE PAGO]]-PROVEEDORES[[#This Row],[FECHA DE FACTURACIÓN]])&gt;PROVEEDORES[[#This Row],[PLAZO Días]],"PAGO VENCIDO")</f>
        <v>PAGO VENCIDO</v>
      </c>
      <c r="C238" s="22">
        <f>+VLOOKUP(PROVEEDORES[[#This Row],[PROVEEDOR]],TERCEROS_INFO[#All],2,FALSE)</f>
        <v>30</v>
      </c>
      <c r="D238" s="27">
        <f>+SUMIFS(PROVEEDORES[Total],PROVEEDORES[PROVEEDOR],PROVEEDORES[[#This Row],[PROVEEDOR]],PROVEEDORES[FECHA DE PAGO],"")</f>
        <v>0</v>
      </c>
      <c r="E238" s="27"/>
      <c r="F238" s="62" t="str">
        <f>+VLOOKUP(PROVEEDORES[[#This Row],[PROVEEDOR]],
                       Terceros!$A:$G,
                       6,
                       FALSE)</f>
        <v>Fernando.Carmona@energizer.com;girlesa.ruiz@servipilas.com;joriescobar64@gmail.com</v>
      </c>
      <c r="G238" s="95">
        <v>44321</v>
      </c>
      <c r="H238" s="28" t="s">
        <v>47</v>
      </c>
      <c r="I238" s="95">
        <v>44277</v>
      </c>
      <c r="J238" s="38">
        <v>160216236</v>
      </c>
      <c r="K238" s="23">
        <v>2479248</v>
      </c>
      <c r="L238" s="23"/>
      <c r="M238" s="24">
        <v>471057.12</v>
      </c>
      <c r="N238" s="25"/>
      <c r="O238" s="24">
        <v>0</v>
      </c>
      <c r="P238" s="136">
        <f>+IF(PROVEEDORES[[#This Row],[SUBTOTAL]]&lt;PROVEEDORES[[#This Row],[base retencion]],0,PROVEEDORES[[#This Row],[retención aplicada]])</f>
        <v>0</v>
      </c>
      <c r="Q238" s="24">
        <f>+PROVEEDORES[[#This Row],[Rete Fuente %]]*PROVEEDORES[[#This Row],[SUBTOTAL]]</f>
        <v>0</v>
      </c>
      <c r="R238" s="23">
        <v>2950305.12</v>
      </c>
      <c r="S23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" s="99">
        <f ca="1">IF(PROVEEDORES[[#This Row],[FECHA DE PAGO]]=0,TODAY()-PROVEEDORES[[#This Row],[FECHA DE FACTURACIÓN]]-PROVEEDORES[[#This Row],[PLAZO Días]],0)</f>
        <v>0</v>
      </c>
      <c r="U238" s="149">
        <f>+VLOOKUP(PROVEEDORES[[#This Row],[PROVEEDOR]],Terceros!$A:$E,5,FALSE)</f>
        <v>0</v>
      </c>
      <c r="V238" s="150">
        <f>+YEAR(PROVEEDORES[[#This Row],[FECHA DE FACTURACIÓN]])</f>
        <v>2021</v>
      </c>
      <c r="W238" s="150">
        <f>+MATCH(PROVEEDORES[[#This Row],[año facturado]],Retenciones!$1:$1,0)</f>
        <v>4</v>
      </c>
      <c r="X238" s="151">
        <f>+VLOOKUP(PROVEEDORES[[#This Row],[ID RETENCION]],Retenciones!$A$1:$O$24,PROVEEDORES[[#This Row],[indicador de columna]],FALSE)</f>
        <v>0</v>
      </c>
      <c r="Y238" s="152">
        <f>+VLOOKUP(PROVEEDORES[[#This Row],[ID RETENCION]],Retenciones!$A$1:$O$24,2,FALSE)</f>
        <v>0</v>
      </c>
      <c r="Z238" s="26"/>
      <c r="AA238" s="26"/>
      <c r="AB238" s="26"/>
      <c r="AC238" s="26"/>
      <c r="AD238" s="26"/>
      <c r="AE238" s="26"/>
    </row>
    <row r="239" spans="1:31" ht="21.95" customHeight="1" x14ac:dyDescent="0.25">
      <c r="A239" s="97" t="str">
        <f>+IF(PROVEEDORES[[#This Row],[FECHA DE PAGO]]=PROVEEDORES[[#This Row],[FECHA DE FACTURACIÓN]],"DE CONTADO","CRÉDITO")</f>
        <v>CRÉDITO</v>
      </c>
      <c r="B239" s="41" t="b">
        <f>+IF((PROVEEDORES[[#This Row],[FECHA DE PAGO]]-PROVEEDORES[[#This Row],[FECHA DE FACTURACIÓN]])&gt;PROVEEDORES[[#This Row],[PLAZO Días]],"PAGO VENCIDO")</f>
        <v>0</v>
      </c>
      <c r="C239" s="22">
        <f>+VLOOKUP(PROVEEDORES[[#This Row],[PROVEEDOR]],TERCEROS_INFO[#All],2,FALSE)</f>
        <v>30</v>
      </c>
      <c r="D239" s="27">
        <f>+SUMIFS(PROVEEDORES[Total],PROVEEDORES[PROVEEDOR],PROVEEDORES[[#This Row],[PROVEEDOR]],PROVEEDORES[FECHA DE PAGO],"")</f>
        <v>0</v>
      </c>
      <c r="E239" s="27"/>
      <c r="F239" s="62" t="str">
        <f>+VLOOKUP(PROVEEDORES[[#This Row],[PROVEEDOR]],
                       Terceros!$A:$G,
                       6,
                       FALSE)</f>
        <v>cartera@jeway.com.co;girlesa.ruiz@servipilas.com;joriescobar64@gmail.com</v>
      </c>
      <c r="G239" s="95">
        <v>44298</v>
      </c>
      <c r="H239" s="28" t="s">
        <v>34</v>
      </c>
      <c r="I239" s="95">
        <v>44279</v>
      </c>
      <c r="J239" s="38">
        <v>1313</v>
      </c>
      <c r="K239" s="23">
        <v>880332</v>
      </c>
      <c r="L239" s="23"/>
      <c r="M239" s="24">
        <v>167263.08000000002</v>
      </c>
      <c r="N239" s="25"/>
      <c r="O239" s="24">
        <v>0</v>
      </c>
      <c r="P239" s="136">
        <f>+IF(PROVEEDORES[[#This Row],[SUBTOTAL]]&lt;PROVEEDORES[[#This Row],[base retencion]],0,PROVEEDORES[[#This Row],[retención aplicada]])</f>
        <v>0</v>
      </c>
      <c r="Q239" s="24">
        <f>+PROVEEDORES[[#This Row],[Rete Fuente %]]*PROVEEDORES[[#This Row],[SUBTOTAL]]</f>
        <v>0</v>
      </c>
      <c r="R239" s="23">
        <v>1047595.0800000001</v>
      </c>
      <c r="S23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" s="99">
        <f ca="1">IF(PROVEEDORES[[#This Row],[FECHA DE PAGO]]=0,TODAY()-PROVEEDORES[[#This Row],[FECHA DE FACTURACIÓN]]-PROVEEDORES[[#This Row],[PLAZO Días]],0)</f>
        <v>0</v>
      </c>
      <c r="U239" s="149" t="str">
        <f>+VLOOKUP(PROVEEDORES[[#This Row],[PROVEEDOR]],Terceros!$A:$E,5,FALSE)</f>
        <v>2,5% con base</v>
      </c>
      <c r="V239" s="150">
        <f>+YEAR(PROVEEDORES[[#This Row],[FECHA DE FACTURACIÓN]])</f>
        <v>2021</v>
      </c>
      <c r="W239" s="150">
        <f>+MATCH(PROVEEDORES[[#This Row],[año facturado]],Retenciones!$1:$1,0)</f>
        <v>4</v>
      </c>
      <c r="X239" s="151">
        <f>+VLOOKUP(PROVEEDORES[[#This Row],[ID RETENCION]],Retenciones!$A$1:$O$24,PROVEEDORES[[#This Row],[indicador de columna]],FALSE)</f>
        <v>980000</v>
      </c>
      <c r="Y239" s="152">
        <f>+VLOOKUP(PROVEEDORES[[#This Row],[ID RETENCION]],Retenciones!$A$1:$O$24,2,FALSE)</f>
        <v>2.5000000000000001E-2</v>
      </c>
      <c r="Z239" s="26"/>
      <c r="AA239" s="26"/>
      <c r="AB239" s="26"/>
      <c r="AC239" s="26"/>
      <c r="AD239" s="26"/>
      <c r="AE239" s="26"/>
    </row>
    <row r="240" spans="1:31" ht="21.95" customHeight="1" x14ac:dyDescent="0.25">
      <c r="A240" s="97" t="str">
        <f>+IF(PROVEEDORES[[#This Row],[FECHA DE PAGO]]=PROVEEDORES[[#This Row],[FECHA DE FACTURACIÓN]],"DE CONTADO","CRÉDITO")</f>
        <v>CRÉDITO</v>
      </c>
      <c r="B240" s="41" t="str">
        <f>+IF((PROVEEDORES[[#This Row],[FECHA DE PAGO]]-PROVEEDORES[[#This Row],[FECHA DE FACTURACIÓN]])&gt;PROVEEDORES[[#This Row],[PLAZO Días]],"PAGO VENCIDO")</f>
        <v>PAGO VENCIDO</v>
      </c>
      <c r="C240" s="22">
        <f>+VLOOKUP(PROVEEDORES[[#This Row],[PROVEEDOR]],TERCEROS_INFO[#All],2,FALSE)</f>
        <v>30</v>
      </c>
      <c r="D240" s="27">
        <f>+SUMIFS(PROVEEDORES[Total],PROVEEDORES[PROVEEDOR],PROVEEDORES[[#This Row],[PROVEEDOR]],PROVEEDORES[FECHA DE PAGO],"")</f>
        <v>2588352.5</v>
      </c>
      <c r="E240" s="27"/>
      <c r="F240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240" s="95">
        <v>44348</v>
      </c>
      <c r="H240" s="28" t="s">
        <v>1088</v>
      </c>
      <c r="I240" s="95">
        <v>44279</v>
      </c>
      <c r="J240" s="38">
        <v>20403</v>
      </c>
      <c r="K240" s="23">
        <v>1417944</v>
      </c>
      <c r="L240" s="23"/>
      <c r="M240" s="24">
        <v>269409.36</v>
      </c>
      <c r="N240" s="25"/>
      <c r="O240" s="24">
        <v>0</v>
      </c>
      <c r="P240" s="136">
        <f>+IF(PROVEEDORES[[#This Row],[SUBTOTAL]]&lt;PROVEEDORES[[#This Row],[base retencion]],0,PROVEEDORES[[#This Row],[retención aplicada]])</f>
        <v>2.5000000000000001E-2</v>
      </c>
      <c r="Q240" s="24">
        <f>+PROVEEDORES[[#This Row],[Rete Fuente %]]*PROVEEDORES[[#This Row],[SUBTOTAL]]</f>
        <v>35448.6</v>
      </c>
      <c r="R240" s="23">
        <v>1651904.7599999998</v>
      </c>
      <c r="S24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" s="99">
        <f ca="1">IF(PROVEEDORES[[#This Row],[FECHA DE PAGO]]=0,TODAY()-PROVEEDORES[[#This Row],[FECHA DE FACTURACIÓN]]-PROVEEDORES[[#This Row],[PLAZO Días]],0)</f>
        <v>0</v>
      </c>
      <c r="U240" s="149" t="str">
        <f>+VLOOKUP(PROVEEDORES[[#This Row],[PROVEEDOR]],Terceros!$A:$E,5,FALSE)</f>
        <v>2,5% con base</v>
      </c>
      <c r="V240" s="150">
        <f>+YEAR(PROVEEDORES[[#This Row],[FECHA DE FACTURACIÓN]])</f>
        <v>2021</v>
      </c>
      <c r="W240" s="150">
        <f>+MATCH(PROVEEDORES[[#This Row],[año facturado]],Retenciones!$1:$1,0)</f>
        <v>4</v>
      </c>
      <c r="X240" s="151">
        <f>+VLOOKUP(PROVEEDORES[[#This Row],[ID RETENCION]],Retenciones!$A$1:$O$24,PROVEEDORES[[#This Row],[indicador de columna]],FALSE)</f>
        <v>980000</v>
      </c>
      <c r="Y240" s="152">
        <f>+VLOOKUP(PROVEEDORES[[#This Row],[ID RETENCION]],Retenciones!$A$1:$O$24,2,FALSE)</f>
        <v>2.5000000000000001E-2</v>
      </c>
      <c r="Z240" s="26"/>
      <c r="AA240" s="26"/>
      <c r="AB240" s="26"/>
      <c r="AC240" s="26"/>
      <c r="AD240" s="26"/>
      <c r="AE240" s="26"/>
    </row>
    <row r="241" spans="1:31" ht="21.95" customHeight="1" x14ac:dyDescent="0.25">
      <c r="A241" s="97" t="str">
        <f>+IF(PROVEEDORES[[#This Row],[FECHA DE PAGO]]=PROVEEDORES[[#This Row],[FECHA DE FACTURACIÓN]],"DE CONTADO","CRÉDITO")</f>
        <v>CRÉDITO</v>
      </c>
      <c r="B241" s="41" t="str">
        <f>+IF((PROVEEDORES[[#This Row],[FECHA DE PAGO]]-PROVEEDORES[[#This Row],[FECHA DE FACTURACIÓN]])&gt;PROVEEDORES[[#This Row],[PLAZO Días]],"PAGO VENCIDO")</f>
        <v>PAGO VENCIDO</v>
      </c>
      <c r="C241" s="22">
        <f>+VLOOKUP(PROVEEDORES[[#This Row],[PROVEEDOR]],TERCEROS_INFO[#All],2,FALSE)</f>
        <v>30</v>
      </c>
      <c r="D241" s="27">
        <f>+SUMIFS(PROVEEDORES[Total],PROVEEDORES[PROVEEDOR],PROVEEDORES[[#This Row],[PROVEEDOR]],PROVEEDORES[FECHA DE PAGO],"")</f>
        <v>833999.83799999999</v>
      </c>
      <c r="E241" s="27"/>
      <c r="F241" s="62" t="str">
        <f>+VLOOKUP(PROVEEDORES[[#This Row],[PROVEEDOR]],
                       Terceros!$A:$G,
                       6,
                       FALSE)</f>
        <v>juan.suarez@cosostenible.com;girlesa.ruiz@servipilas.com;joriescobar64@gmail.com</v>
      </c>
      <c r="G241" s="95">
        <v>44335</v>
      </c>
      <c r="H241" s="28" t="s">
        <v>50</v>
      </c>
      <c r="I241" s="95">
        <v>44279</v>
      </c>
      <c r="J241" s="38">
        <v>1908</v>
      </c>
      <c r="K241" s="23">
        <v>2268906</v>
      </c>
      <c r="L241" s="23"/>
      <c r="M241" s="24">
        <v>431092.14</v>
      </c>
      <c r="N241" s="25"/>
      <c r="O241" s="24">
        <v>0</v>
      </c>
      <c r="P241" s="136">
        <f>+IF(PROVEEDORES[[#This Row],[SUBTOTAL]]&lt;PROVEEDORES[[#This Row],[base retencion]],0,PROVEEDORES[[#This Row],[retención aplicada]])</f>
        <v>2.5000000000000001E-2</v>
      </c>
      <c r="Q241" s="24">
        <f>+PROVEEDORES[[#This Row],[Rete Fuente %]]*PROVEEDORES[[#This Row],[SUBTOTAL]]</f>
        <v>56722.65</v>
      </c>
      <c r="R241" s="23">
        <v>2643275.4900000002</v>
      </c>
      <c r="S24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" s="99">
        <f ca="1">IF(PROVEEDORES[[#This Row],[FECHA DE PAGO]]=0,TODAY()-PROVEEDORES[[#This Row],[FECHA DE FACTURACIÓN]]-PROVEEDORES[[#This Row],[PLAZO Días]],0)</f>
        <v>0</v>
      </c>
      <c r="U241" s="149" t="str">
        <f>+VLOOKUP(PROVEEDORES[[#This Row],[PROVEEDOR]],Terceros!$A:$E,5,FALSE)</f>
        <v>2,5% con base</v>
      </c>
      <c r="V241" s="150">
        <f>+YEAR(PROVEEDORES[[#This Row],[FECHA DE FACTURACIÓN]])</f>
        <v>2021</v>
      </c>
      <c r="W241" s="150">
        <f>+MATCH(PROVEEDORES[[#This Row],[año facturado]],Retenciones!$1:$1,0)</f>
        <v>4</v>
      </c>
      <c r="X241" s="151">
        <f>+VLOOKUP(PROVEEDORES[[#This Row],[ID RETENCION]],Retenciones!$A$1:$O$24,PROVEEDORES[[#This Row],[indicador de columna]],FALSE)</f>
        <v>980000</v>
      </c>
      <c r="Y241" s="152">
        <f>+VLOOKUP(PROVEEDORES[[#This Row],[ID RETENCION]],Retenciones!$A$1:$O$24,2,FALSE)</f>
        <v>2.5000000000000001E-2</v>
      </c>
      <c r="Z241" s="26"/>
      <c r="AA241" s="26"/>
      <c r="AB241" s="26"/>
      <c r="AC241" s="26"/>
      <c r="AD241" s="26"/>
      <c r="AE241" s="26"/>
    </row>
    <row r="242" spans="1:31" ht="21.95" customHeight="1" x14ac:dyDescent="0.25">
      <c r="A242" s="97" t="str">
        <f>+IF(PROVEEDORES[[#This Row],[FECHA DE PAGO]]=PROVEEDORES[[#This Row],[FECHA DE FACTURACIÓN]],"DE CONTADO","CRÉDITO")</f>
        <v>CRÉDITO</v>
      </c>
      <c r="B242" s="41" t="b">
        <f>+IF((PROVEEDORES[[#This Row],[FECHA DE PAGO]]-PROVEEDORES[[#This Row],[FECHA DE FACTURACIÓN]])&gt;PROVEEDORES[[#This Row],[PLAZO Días]],"PAGO VENCIDO")</f>
        <v>0</v>
      </c>
      <c r="C242" s="22">
        <f>+VLOOKUP(PROVEEDORES[[#This Row],[PROVEEDOR]],TERCEROS_INFO[#All],2,FALSE)</f>
        <v>30</v>
      </c>
      <c r="D242" s="27">
        <f>+SUMIFS(PROVEEDORES[Total],PROVEEDORES[PROVEEDOR],PROVEEDORES[[#This Row],[PROVEEDOR]],PROVEEDORES[FECHA DE PAGO],"")</f>
        <v>0</v>
      </c>
      <c r="E242" s="27"/>
      <c r="F242" s="62" t="str">
        <f>+VLOOKUP(PROVEEDORES[[#This Row],[PROVEEDOR]],
                       Terceros!$A:$G,
                       6,
                       FALSE)</f>
        <v/>
      </c>
      <c r="G242" s="95">
        <v>44280</v>
      </c>
      <c r="H242" s="28" t="s">
        <v>1001</v>
      </c>
      <c r="I242" s="95">
        <v>44279</v>
      </c>
      <c r="J242" s="38"/>
      <c r="K242" s="23">
        <v>3686000</v>
      </c>
      <c r="L242" s="23"/>
      <c r="M242" s="24">
        <v>0</v>
      </c>
      <c r="N242" s="25"/>
      <c r="O242" s="24">
        <v>0</v>
      </c>
      <c r="P242" s="136">
        <f>+IF(PROVEEDORES[[#This Row],[SUBTOTAL]]&lt;PROVEEDORES[[#This Row],[base retencion]],0,PROVEEDORES[[#This Row],[retención aplicada]])</f>
        <v>0</v>
      </c>
      <c r="Q242" s="24">
        <f>+PROVEEDORES[[#This Row],[Rete Fuente %]]*PROVEEDORES[[#This Row],[SUBTOTAL]]</f>
        <v>0</v>
      </c>
      <c r="R242" s="23">
        <v>3686000</v>
      </c>
      <c r="S24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2" s="99">
        <f ca="1">IF(PROVEEDORES[[#This Row],[FECHA DE PAGO]]=0,TODAY()-PROVEEDORES[[#This Row],[FECHA DE FACTURACIÓN]]-PROVEEDORES[[#This Row],[PLAZO Días]],0)</f>
        <v>0</v>
      </c>
      <c r="U242" s="149">
        <f>+VLOOKUP(PROVEEDORES[[#This Row],[PROVEEDOR]],Terceros!$A:$E,5,FALSE)</f>
        <v>0</v>
      </c>
      <c r="V242" s="150">
        <f>+YEAR(PROVEEDORES[[#This Row],[FECHA DE FACTURACIÓN]])</f>
        <v>2021</v>
      </c>
      <c r="W242" s="150">
        <f>+MATCH(PROVEEDORES[[#This Row],[año facturado]],Retenciones!$1:$1,0)</f>
        <v>4</v>
      </c>
      <c r="X242" s="151">
        <f>+VLOOKUP(PROVEEDORES[[#This Row],[ID RETENCION]],Retenciones!$A$1:$O$24,PROVEEDORES[[#This Row],[indicador de columna]],FALSE)</f>
        <v>0</v>
      </c>
      <c r="Y242" s="152">
        <f>+VLOOKUP(PROVEEDORES[[#This Row],[ID RETENCION]],Retenciones!$A$1:$O$24,2,FALSE)</f>
        <v>0</v>
      </c>
      <c r="Z242" s="26"/>
      <c r="AA242" s="26"/>
      <c r="AB242" s="26"/>
      <c r="AC242" s="26"/>
      <c r="AD242" s="26"/>
      <c r="AE242" s="26"/>
    </row>
    <row r="243" spans="1:31" ht="21.95" customHeight="1" x14ac:dyDescent="0.25">
      <c r="A243" s="97" t="str">
        <f>+IF(PROVEEDORES[[#This Row],[FECHA DE PAGO]]=PROVEEDORES[[#This Row],[FECHA DE FACTURACIÓN]],"DE CONTADO","CRÉDITO")</f>
        <v>CRÉDITO</v>
      </c>
      <c r="B243" s="41" t="str">
        <f>+IF((PROVEEDORES[[#This Row],[FECHA DE PAGO]]-PROVEEDORES[[#This Row],[FECHA DE FACTURACIÓN]])&gt;PROVEEDORES[[#This Row],[PLAZO Días]],"PAGO VENCIDO")</f>
        <v>PAGO VENCIDO</v>
      </c>
      <c r="C243" s="22">
        <f>+VLOOKUP(PROVEEDORES[[#This Row],[PROVEEDOR]],TERCEROS_INFO[#All],2,FALSE)</f>
        <v>30</v>
      </c>
      <c r="D243" s="27">
        <f>+SUMIFS(PROVEEDORES[Total],PROVEEDORES[PROVEEDOR],PROVEEDORES[[#This Row],[PROVEEDOR]],PROVEEDORES[FECHA DE PAGO],"")</f>
        <v>2588352.5</v>
      </c>
      <c r="E243" s="27"/>
      <c r="F243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243" s="95">
        <v>44348</v>
      </c>
      <c r="H243" s="28" t="s">
        <v>1088</v>
      </c>
      <c r="I243" s="95">
        <v>44280</v>
      </c>
      <c r="J243" s="38" t="s">
        <v>356</v>
      </c>
      <c r="K243" s="23">
        <v>-384000</v>
      </c>
      <c r="L243" s="23"/>
      <c r="M243" s="24">
        <v>-72960</v>
      </c>
      <c r="N243" s="25"/>
      <c r="O243" s="24">
        <v>0</v>
      </c>
      <c r="P243" s="136">
        <f>+IF(PROVEEDORES[[#This Row],[SUBTOTAL]]&lt;PROVEEDORES[[#This Row],[base retencion]],0,PROVEEDORES[[#This Row],[retención aplicada]])</f>
        <v>0</v>
      </c>
      <c r="Q243" s="24">
        <f>+PROVEEDORES[[#This Row],[Rete Fuente %]]*PROVEEDORES[[#This Row],[SUBTOTAL]]</f>
        <v>0</v>
      </c>
      <c r="R243" s="23">
        <v>-447360</v>
      </c>
      <c r="S24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3" s="99">
        <f ca="1">IF(PROVEEDORES[[#This Row],[FECHA DE PAGO]]=0,TODAY()-PROVEEDORES[[#This Row],[FECHA DE FACTURACIÓN]]-PROVEEDORES[[#This Row],[PLAZO Días]],0)</f>
        <v>0</v>
      </c>
      <c r="U243" s="149" t="str">
        <f>+VLOOKUP(PROVEEDORES[[#This Row],[PROVEEDOR]],Terceros!$A:$E,5,FALSE)</f>
        <v>2,5% con base</v>
      </c>
      <c r="V243" s="150">
        <f>+YEAR(PROVEEDORES[[#This Row],[FECHA DE FACTURACIÓN]])</f>
        <v>2021</v>
      </c>
      <c r="W243" s="150">
        <f>+MATCH(PROVEEDORES[[#This Row],[año facturado]],Retenciones!$1:$1,0)</f>
        <v>4</v>
      </c>
      <c r="X243" s="151">
        <f>+VLOOKUP(PROVEEDORES[[#This Row],[ID RETENCION]],Retenciones!$A$1:$O$24,PROVEEDORES[[#This Row],[indicador de columna]],FALSE)</f>
        <v>980000</v>
      </c>
      <c r="Y243" s="152">
        <f>+VLOOKUP(PROVEEDORES[[#This Row],[ID RETENCION]],Retenciones!$A$1:$O$24,2,FALSE)</f>
        <v>2.5000000000000001E-2</v>
      </c>
      <c r="Z243" s="26"/>
      <c r="AA243" s="26"/>
      <c r="AB243" s="26"/>
      <c r="AC243" s="26"/>
      <c r="AD243" s="26"/>
      <c r="AE243" s="26"/>
    </row>
    <row r="244" spans="1:31" ht="21.95" customHeight="1" x14ac:dyDescent="0.25">
      <c r="A244" s="97" t="str">
        <f>+IF(PROVEEDORES[[#This Row],[FECHA DE PAGO]]=PROVEEDORES[[#This Row],[FECHA DE FACTURACIÓN]],"DE CONTADO","CRÉDITO")</f>
        <v>DE CONTADO</v>
      </c>
      <c r="B244" s="41" t="b">
        <f>+IF((PROVEEDORES[[#This Row],[FECHA DE PAGO]]-PROVEEDORES[[#This Row],[FECHA DE FACTURACIÓN]])&gt;PROVEEDORES[[#This Row],[PLAZO Días]],"PAGO VENCIDO")</f>
        <v>0</v>
      </c>
      <c r="C244" s="22">
        <f>+VLOOKUP(PROVEEDORES[[#This Row],[PROVEEDOR]],TERCEROS_INFO[#All],2,FALSE)</f>
        <v>30</v>
      </c>
      <c r="D244" s="27">
        <f>+SUMIFS(PROVEEDORES[Total],PROVEEDORES[PROVEEDOR],PROVEEDORES[[#This Row],[PROVEEDOR]],PROVEEDORES[FECHA DE PAGO],"")</f>
        <v>0</v>
      </c>
      <c r="E244" s="27"/>
      <c r="F244" s="62">
        <f>+VLOOKUP(PROVEEDORES[[#This Row],[PROVEEDOR]],
                       Terceros!$A:$G,
                       6,
                       FALSE)</f>
        <v>0</v>
      </c>
      <c r="G244" s="95">
        <v>44280</v>
      </c>
      <c r="H244" s="28" t="s">
        <v>1053</v>
      </c>
      <c r="I244" s="95">
        <v>44280</v>
      </c>
      <c r="J244" s="38" t="s">
        <v>683</v>
      </c>
      <c r="K244" s="23">
        <v>75000</v>
      </c>
      <c r="L244" s="23"/>
      <c r="M244" s="24">
        <v>0</v>
      </c>
      <c r="N244" s="25"/>
      <c r="O244" s="24">
        <v>0</v>
      </c>
      <c r="P244" s="136">
        <f>+IF(PROVEEDORES[[#This Row],[SUBTOTAL]]&lt;PROVEEDORES[[#This Row],[base retencion]],0,PROVEEDORES[[#This Row],[retención aplicada]])</f>
        <v>0</v>
      </c>
      <c r="Q244" s="24">
        <f>+PROVEEDORES[[#This Row],[Rete Fuente %]]*PROVEEDORES[[#This Row],[SUBTOTAL]]</f>
        <v>0</v>
      </c>
      <c r="R244" s="23">
        <v>75000</v>
      </c>
      <c r="S24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" s="99">
        <f ca="1">IF(PROVEEDORES[[#This Row],[FECHA DE PAGO]]=0,TODAY()-PROVEEDORES[[#This Row],[FECHA DE FACTURACIÓN]]-PROVEEDORES[[#This Row],[PLAZO Días]],0)</f>
        <v>0</v>
      </c>
      <c r="U244" s="149">
        <f>+VLOOKUP(PROVEEDORES[[#This Row],[PROVEEDOR]],Terceros!$A:$E,5,FALSE)</f>
        <v>0</v>
      </c>
      <c r="V244" s="150">
        <f>+YEAR(PROVEEDORES[[#This Row],[FECHA DE FACTURACIÓN]])</f>
        <v>2021</v>
      </c>
      <c r="W244" s="150">
        <f>+MATCH(PROVEEDORES[[#This Row],[año facturado]],Retenciones!$1:$1,0)</f>
        <v>4</v>
      </c>
      <c r="X244" s="151">
        <f>+VLOOKUP(PROVEEDORES[[#This Row],[ID RETENCION]],Retenciones!$A$1:$O$24,PROVEEDORES[[#This Row],[indicador de columna]],FALSE)</f>
        <v>0</v>
      </c>
      <c r="Y244" s="152">
        <f>+VLOOKUP(PROVEEDORES[[#This Row],[ID RETENCION]],Retenciones!$A$1:$O$24,2,FALSE)</f>
        <v>0</v>
      </c>
      <c r="Z244" s="26"/>
      <c r="AA244" s="26"/>
      <c r="AB244" s="26"/>
      <c r="AC244" s="26"/>
      <c r="AD244" s="26"/>
      <c r="AE244" s="26"/>
    </row>
    <row r="245" spans="1:31" ht="21.95" customHeight="1" x14ac:dyDescent="0.25">
      <c r="A245" s="97" t="str">
        <f>+IF(PROVEEDORES[[#This Row],[FECHA DE PAGO]]=PROVEEDORES[[#This Row],[FECHA DE FACTURACIÓN]],"DE CONTADO","CRÉDITO")</f>
        <v>CRÉDITO</v>
      </c>
      <c r="B245" s="41" t="str">
        <f>+IF((PROVEEDORES[[#This Row],[FECHA DE PAGO]]-PROVEEDORES[[#This Row],[FECHA DE FACTURACIÓN]])&gt;PROVEEDORES[[#This Row],[PLAZO Días]],"PAGO VENCIDO")</f>
        <v>PAGO VENCIDO</v>
      </c>
      <c r="C245" s="22">
        <f>+VLOOKUP(PROVEEDORES[[#This Row],[PROVEEDOR]],TERCEROS_INFO[#All],2,FALSE)</f>
        <v>30</v>
      </c>
      <c r="D245" s="27">
        <f>+SUMIFS(PROVEEDORES[Total],PROVEEDORES[PROVEEDOR],PROVEEDORES[[#This Row],[PROVEEDOR]],PROVEEDORES[FECHA DE PAGO],"")</f>
        <v>0</v>
      </c>
      <c r="E245" s="27"/>
      <c r="F245" s="62" t="str">
        <f>+VLOOKUP(PROVEEDORES[[#This Row],[PROVEEDOR]],
                       Terceros!$A:$G,
                       6,
                       FALSE)</f>
        <v>Fernando.Carmona@energizer.com;girlesa.ruiz@servipilas.com;joriescobar64@gmail.com</v>
      </c>
      <c r="G245" s="95">
        <v>44321</v>
      </c>
      <c r="H245" s="28" t="s">
        <v>47</v>
      </c>
      <c r="I245" s="95">
        <v>44280</v>
      </c>
      <c r="J245" s="38">
        <v>160216698</v>
      </c>
      <c r="K245" s="23">
        <v>1213400</v>
      </c>
      <c r="L245" s="23"/>
      <c r="M245" s="24">
        <v>230546</v>
      </c>
      <c r="N245" s="25"/>
      <c r="O245" s="24">
        <v>0</v>
      </c>
      <c r="P245" s="136">
        <f>+IF(PROVEEDORES[[#This Row],[SUBTOTAL]]&lt;PROVEEDORES[[#This Row],[base retencion]],0,PROVEEDORES[[#This Row],[retención aplicada]])</f>
        <v>0</v>
      </c>
      <c r="Q245" s="24">
        <f>+PROVEEDORES[[#This Row],[Rete Fuente %]]*PROVEEDORES[[#This Row],[SUBTOTAL]]</f>
        <v>0</v>
      </c>
      <c r="R245" s="23">
        <v>1443946</v>
      </c>
      <c r="S24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5" s="99">
        <f ca="1">IF(PROVEEDORES[[#This Row],[FECHA DE PAGO]]=0,TODAY()-PROVEEDORES[[#This Row],[FECHA DE FACTURACIÓN]]-PROVEEDORES[[#This Row],[PLAZO Días]],0)</f>
        <v>0</v>
      </c>
      <c r="U245" s="149">
        <f>+VLOOKUP(PROVEEDORES[[#This Row],[PROVEEDOR]],Terceros!$A:$E,5,FALSE)</f>
        <v>0</v>
      </c>
      <c r="V245" s="150">
        <f>+YEAR(PROVEEDORES[[#This Row],[FECHA DE FACTURACIÓN]])</f>
        <v>2021</v>
      </c>
      <c r="W245" s="150">
        <f>+MATCH(PROVEEDORES[[#This Row],[año facturado]],Retenciones!$1:$1,0)</f>
        <v>4</v>
      </c>
      <c r="X245" s="151">
        <f>+VLOOKUP(PROVEEDORES[[#This Row],[ID RETENCION]],Retenciones!$A$1:$O$24,PROVEEDORES[[#This Row],[indicador de columna]],FALSE)</f>
        <v>0</v>
      </c>
      <c r="Y245" s="152">
        <f>+VLOOKUP(PROVEEDORES[[#This Row],[ID RETENCION]],Retenciones!$A$1:$O$24,2,FALSE)</f>
        <v>0</v>
      </c>
      <c r="Z245" s="26"/>
      <c r="AA245" s="26"/>
      <c r="AB245" s="26"/>
      <c r="AC245" s="26"/>
      <c r="AD245" s="26"/>
      <c r="AE245" s="26"/>
    </row>
    <row r="246" spans="1:31" ht="21.95" customHeight="1" x14ac:dyDescent="0.25">
      <c r="A246" s="97" t="str">
        <f>+IF(PROVEEDORES[[#This Row],[FECHA DE PAGO]]=PROVEEDORES[[#This Row],[FECHA DE FACTURACIÓN]],"DE CONTADO","CRÉDITO")</f>
        <v>CRÉDITO</v>
      </c>
      <c r="B246" s="41" t="str">
        <f>+IF((PROVEEDORES[[#This Row],[FECHA DE PAGO]]-PROVEEDORES[[#This Row],[FECHA DE FACTURACIÓN]])&gt;PROVEEDORES[[#This Row],[PLAZO Días]],"PAGO VENCIDO")</f>
        <v>PAGO VENCIDO</v>
      </c>
      <c r="C246" s="22">
        <f>+VLOOKUP(PROVEEDORES[[#This Row],[PROVEEDOR]],TERCEROS_INFO[#All],2,FALSE)</f>
        <v>20</v>
      </c>
      <c r="D246" s="27">
        <f>+SUMIFS(PROVEEDORES[Total],PROVEEDORES[PROVEEDOR],PROVEEDORES[[#This Row],[PROVEEDOR]],PROVEEDORES[FECHA DE PAGO],"")</f>
        <v>0</v>
      </c>
      <c r="E246" s="27"/>
      <c r="F246" s="62">
        <f>+VLOOKUP(PROVEEDORES[[#This Row],[PROVEEDOR]],
                       Terceros!$A:$G,
                       6,
                       FALSE)</f>
        <v>0</v>
      </c>
      <c r="G246" s="95">
        <v>44334</v>
      </c>
      <c r="H246" s="28" t="s">
        <v>1072</v>
      </c>
      <c r="I246" s="95">
        <v>44281</v>
      </c>
      <c r="J246" s="38"/>
      <c r="K246" s="23">
        <v>216000</v>
      </c>
      <c r="L246" s="23"/>
      <c r="M246" s="24">
        <v>0</v>
      </c>
      <c r="N246" s="25"/>
      <c r="O246" s="24">
        <v>0</v>
      </c>
      <c r="P246" s="136">
        <f>+IF(PROVEEDORES[[#This Row],[SUBTOTAL]]&lt;PROVEEDORES[[#This Row],[base retencion]],0,PROVEEDORES[[#This Row],[retención aplicada]])</f>
        <v>0</v>
      </c>
      <c r="Q246" s="24">
        <f>+PROVEEDORES[[#This Row],[Rete Fuente %]]*PROVEEDORES[[#This Row],[SUBTOTAL]]</f>
        <v>0</v>
      </c>
      <c r="R246" s="23">
        <v>216000</v>
      </c>
      <c r="S24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6" s="99">
        <f ca="1">IF(PROVEEDORES[[#This Row],[FECHA DE PAGO]]=0,TODAY()-PROVEEDORES[[#This Row],[FECHA DE FACTURACIÓN]]-PROVEEDORES[[#This Row],[PLAZO Días]],0)</f>
        <v>0</v>
      </c>
      <c r="U246" s="149">
        <f>+VLOOKUP(PROVEEDORES[[#This Row],[PROVEEDOR]],Terceros!$A:$E,5,FALSE)</f>
        <v>0</v>
      </c>
      <c r="V246" s="150">
        <f>+YEAR(PROVEEDORES[[#This Row],[FECHA DE FACTURACIÓN]])</f>
        <v>2021</v>
      </c>
      <c r="W246" s="150">
        <f>+MATCH(PROVEEDORES[[#This Row],[año facturado]],Retenciones!$1:$1,0)</f>
        <v>4</v>
      </c>
      <c r="X246" s="151">
        <f>+VLOOKUP(PROVEEDORES[[#This Row],[ID RETENCION]],Retenciones!$A$1:$O$24,PROVEEDORES[[#This Row],[indicador de columna]],FALSE)</f>
        <v>0</v>
      </c>
      <c r="Y246" s="152">
        <f>+VLOOKUP(PROVEEDORES[[#This Row],[ID RETENCION]],Retenciones!$A$1:$O$24,2,FALSE)</f>
        <v>0</v>
      </c>
      <c r="Z246" s="26"/>
      <c r="AA246" s="26"/>
      <c r="AB246" s="26"/>
      <c r="AC246" s="26"/>
      <c r="AD246" s="26"/>
      <c r="AE246" s="26"/>
    </row>
    <row r="247" spans="1:31" ht="21.95" customHeight="1" x14ac:dyDescent="0.25">
      <c r="A247" s="97" t="str">
        <f>+IF(PROVEEDORES[[#This Row],[FECHA DE PAGO]]=PROVEEDORES[[#This Row],[FECHA DE FACTURACIÓN]],"DE CONTADO","CRÉDITO")</f>
        <v>CRÉDITO</v>
      </c>
      <c r="B247" s="41" t="str">
        <f>+IF((PROVEEDORES[[#This Row],[FECHA DE PAGO]]-PROVEEDORES[[#This Row],[FECHA DE FACTURACIÓN]])&gt;PROVEEDORES[[#This Row],[PLAZO Días]],"PAGO VENCIDO")</f>
        <v>PAGO VENCIDO</v>
      </c>
      <c r="C247" s="22">
        <f>+VLOOKUP(PROVEEDORES[[#This Row],[PROVEEDOR]],TERCEROS_INFO[#All],2,FALSE)</f>
        <v>30</v>
      </c>
      <c r="D247" s="27">
        <f>+SUMIFS(PROVEEDORES[Total],PROVEEDORES[PROVEEDOR],PROVEEDORES[[#This Row],[PROVEEDOR]],PROVEEDORES[FECHA DE PAGO],"")</f>
        <v>0</v>
      </c>
      <c r="E247" s="27"/>
      <c r="F247" s="62" t="str">
        <f>+VLOOKUP(PROVEEDORES[[#This Row],[PROVEEDOR]],
                       Terceros!$A:$G,
                       6,
                       FALSE)</f>
        <v>Fernando.Carmona@energizer.com;girlesa.ruiz@servipilas.com;joriescobar64@gmail.com</v>
      </c>
      <c r="G247" s="95">
        <v>44321</v>
      </c>
      <c r="H247" s="28" t="s">
        <v>47</v>
      </c>
      <c r="I247" s="95">
        <v>44281</v>
      </c>
      <c r="J247" s="38">
        <v>160216733</v>
      </c>
      <c r="K247" s="23">
        <v>606700</v>
      </c>
      <c r="L247" s="23"/>
      <c r="M247" s="24">
        <v>115273</v>
      </c>
      <c r="N247" s="25"/>
      <c r="O247" s="24">
        <v>0</v>
      </c>
      <c r="P247" s="136">
        <f>+IF(PROVEEDORES[[#This Row],[SUBTOTAL]]&lt;PROVEEDORES[[#This Row],[base retencion]],0,PROVEEDORES[[#This Row],[retención aplicada]])</f>
        <v>0</v>
      </c>
      <c r="Q247" s="24">
        <f>+PROVEEDORES[[#This Row],[Rete Fuente %]]*PROVEEDORES[[#This Row],[SUBTOTAL]]</f>
        <v>0</v>
      </c>
      <c r="R247" s="23">
        <v>721973</v>
      </c>
      <c r="S24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7" s="99">
        <f ca="1">IF(PROVEEDORES[[#This Row],[FECHA DE PAGO]]=0,TODAY()-PROVEEDORES[[#This Row],[FECHA DE FACTURACIÓN]]-PROVEEDORES[[#This Row],[PLAZO Días]],0)</f>
        <v>0</v>
      </c>
      <c r="U247" s="149">
        <f>+VLOOKUP(PROVEEDORES[[#This Row],[PROVEEDOR]],Terceros!$A:$E,5,FALSE)</f>
        <v>0</v>
      </c>
      <c r="V247" s="150">
        <f>+YEAR(PROVEEDORES[[#This Row],[FECHA DE FACTURACIÓN]])</f>
        <v>2021</v>
      </c>
      <c r="W247" s="150">
        <f>+MATCH(PROVEEDORES[[#This Row],[año facturado]],Retenciones!$1:$1,0)</f>
        <v>4</v>
      </c>
      <c r="X247" s="151">
        <f>+VLOOKUP(PROVEEDORES[[#This Row],[ID RETENCION]],Retenciones!$A$1:$O$24,PROVEEDORES[[#This Row],[indicador de columna]],FALSE)</f>
        <v>0</v>
      </c>
      <c r="Y247" s="152">
        <f>+VLOOKUP(PROVEEDORES[[#This Row],[ID RETENCION]],Retenciones!$A$1:$O$24,2,FALSE)</f>
        <v>0</v>
      </c>
      <c r="Z247" s="26"/>
      <c r="AA247" s="26"/>
      <c r="AB247" s="26"/>
      <c r="AC247" s="26"/>
      <c r="AD247" s="26"/>
      <c r="AE247" s="26"/>
    </row>
    <row r="248" spans="1:31" ht="21.95" customHeight="1" x14ac:dyDescent="0.25">
      <c r="A248" s="97" t="str">
        <f>+IF(PROVEEDORES[[#This Row],[FECHA DE PAGO]]=PROVEEDORES[[#This Row],[FECHA DE FACTURACIÓN]],"DE CONTADO","CRÉDITO")</f>
        <v>CRÉDITO</v>
      </c>
      <c r="B248" s="41" t="str">
        <f>+IF((PROVEEDORES[[#This Row],[FECHA DE PAGO]]-PROVEEDORES[[#This Row],[FECHA DE FACTURACIÓN]])&gt;PROVEEDORES[[#This Row],[PLAZO Días]],"PAGO VENCIDO")</f>
        <v>PAGO VENCIDO</v>
      </c>
      <c r="C248" s="22">
        <f>+VLOOKUP(PROVEEDORES[[#This Row],[PROVEEDOR]],TERCEROS_INFO[#All],2,FALSE)</f>
        <v>30</v>
      </c>
      <c r="D248" s="27">
        <f>+SUMIFS(PROVEEDORES[Total],PROVEEDORES[PROVEEDOR],PROVEEDORES[[#This Row],[PROVEEDOR]],PROVEEDORES[FECHA DE PAGO],"")</f>
        <v>0</v>
      </c>
      <c r="E248" s="27"/>
      <c r="F248" s="62">
        <f>+VLOOKUP(PROVEEDORES[[#This Row],[PROVEEDOR]],
                       Terceros!$A:$G,
                       6,
                       FALSE)</f>
        <v>0</v>
      </c>
      <c r="G248" s="95">
        <v>44335</v>
      </c>
      <c r="H248" s="28" t="s">
        <v>290</v>
      </c>
      <c r="I248" s="95">
        <v>44281</v>
      </c>
      <c r="J248" s="38">
        <v>61</v>
      </c>
      <c r="K248" s="23">
        <v>746206</v>
      </c>
      <c r="L248" s="23"/>
      <c r="M248" s="24">
        <v>141779.14000000001</v>
      </c>
      <c r="N248" s="25"/>
      <c r="O248" s="24">
        <v>0</v>
      </c>
      <c r="P248" s="136">
        <f>+IF(PROVEEDORES[[#This Row],[SUBTOTAL]]&lt;PROVEEDORES[[#This Row],[base retencion]],0,PROVEEDORES[[#This Row],[retención aplicada]])</f>
        <v>0</v>
      </c>
      <c r="Q248" s="24">
        <f>+PROVEEDORES[[#This Row],[Rete Fuente %]]*PROVEEDORES[[#This Row],[SUBTOTAL]]</f>
        <v>0</v>
      </c>
      <c r="R248" s="23">
        <v>887985.14</v>
      </c>
      <c r="S24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8" s="99">
        <f ca="1">IF(PROVEEDORES[[#This Row],[FECHA DE PAGO]]=0,TODAY()-PROVEEDORES[[#This Row],[FECHA DE FACTURACIÓN]]-PROVEEDORES[[#This Row],[PLAZO Días]],0)</f>
        <v>0</v>
      </c>
      <c r="U248" s="149" t="str">
        <f>+VLOOKUP(PROVEEDORES[[#This Row],[PROVEEDOR]],Terceros!$A:$E,5,FALSE)</f>
        <v>2,5% con base</v>
      </c>
      <c r="V248" s="150">
        <f>+YEAR(PROVEEDORES[[#This Row],[FECHA DE FACTURACIÓN]])</f>
        <v>2021</v>
      </c>
      <c r="W248" s="150">
        <f>+MATCH(PROVEEDORES[[#This Row],[año facturado]],Retenciones!$1:$1,0)</f>
        <v>4</v>
      </c>
      <c r="X248" s="151">
        <f>+VLOOKUP(PROVEEDORES[[#This Row],[ID RETENCION]],Retenciones!$A$1:$O$24,PROVEEDORES[[#This Row],[indicador de columna]],FALSE)</f>
        <v>980000</v>
      </c>
      <c r="Y248" s="152">
        <f>+VLOOKUP(PROVEEDORES[[#This Row],[ID RETENCION]],Retenciones!$A$1:$O$24,2,FALSE)</f>
        <v>2.5000000000000001E-2</v>
      </c>
      <c r="Z248" s="26"/>
      <c r="AA248" s="26"/>
      <c r="AB248" s="26"/>
      <c r="AC248" s="26"/>
      <c r="AD248" s="26"/>
      <c r="AE248" s="26"/>
    </row>
    <row r="249" spans="1:31" ht="21.95" customHeight="1" x14ac:dyDescent="0.25">
      <c r="A249" s="97" t="str">
        <f>+IF(PROVEEDORES[[#This Row],[FECHA DE PAGO]]=PROVEEDORES[[#This Row],[FECHA DE FACTURACIÓN]],"DE CONTADO","CRÉDITO")</f>
        <v>DE CONTADO</v>
      </c>
      <c r="B249" s="41" t="b">
        <f>+IF((PROVEEDORES[[#This Row],[FECHA DE PAGO]]-PROVEEDORES[[#This Row],[FECHA DE FACTURACIÓN]])&gt;PROVEEDORES[[#This Row],[PLAZO Días]],"PAGO VENCIDO")</f>
        <v>0</v>
      </c>
      <c r="C249" s="22">
        <f>+VLOOKUP(PROVEEDORES[[#This Row],[PROVEEDOR]],TERCEROS_INFO[#All],2,FALSE)</f>
        <v>30</v>
      </c>
      <c r="D249" s="27">
        <f>+SUMIFS(PROVEEDORES[Total],PROVEEDORES[PROVEEDOR],PROVEEDORES[[#This Row],[PROVEEDOR]],PROVEEDORES[FECHA DE PAGO],"")</f>
        <v>3215400</v>
      </c>
      <c r="E249" s="27"/>
      <c r="F249" s="62">
        <f>+VLOOKUP(PROVEEDORES[[#This Row],[PROVEEDOR]],
                       Terceros!$A:$G,
                       6,
                       FALSE)</f>
        <v>0</v>
      </c>
      <c r="G249" s="95">
        <v>44281</v>
      </c>
      <c r="H249" s="28" t="s">
        <v>623</v>
      </c>
      <c r="I249" s="95">
        <v>44281</v>
      </c>
      <c r="J249" s="38">
        <v>2229</v>
      </c>
      <c r="K249" s="23">
        <v>922404</v>
      </c>
      <c r="L249" s="23"/>
      <c r="M249" s="24">
        <v>175256.76</v>
      </c>
      <c r="N249" s="25"/>
      <c r="O249" s="24">
        <v>0</v>
      </c>
      <c r="P249" s="136">
        <f>+IF(PROVEEDORES[[#This Row],[SUBTOTAL]]&lt;PROVEEDORES[[#This Row],[base retencion]],0,PROVEEDORES[[#This Row],[retención aplicada]])</f>
        <v>0</v>
      </c>
      <c r="Q249" s="24">
        <f>+PROVEEDORES[[#This Row],[Rete Fuente %]]*PROVEEDORES[[#This Row],[SUBTOTAL]]</f>
        <v>0</v>
      </c>
      <c r="R249" s="23">
        <v>1097660.76</v>
      </c>
      <c r="S24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9" s="99">
        <f ca="1">IF(PROVEEDORES[[#This Row],[FECHA DE PAGO]]=0,TODAY()-PROVEEDORES[[#This Row],[FECHA DE FACTURACIÓN]]-PROVEEDORES[[#This Row],[PLAZO Días]],0)</f>
        <v>0</v>
      </c>
      <c r="U249" s="149" t="str">
        <f>+VLOOKUP(PROVEEDORES[[#This Row],[PROVEEDOR]],Terceros!$A:$E,5,FALSE)</f>
        <v>2,5% con base</v>
      </c>
      <c r="V249" s="150">
        <f>+YEAR(PROVEEDORES[[#This Row],[FECHA DE FACTURACIÓN]])</f>
        <v>2021</v>
      </c>
      <c r="W249" s="150">
        <f>+MATCH(PROVEEDORES[[#This Row],[año facturado]],Retenciones!$1:$1,0)</f>
        <v>4</v>
      </c>
      <c r="X249" s="151">
        <f>+VLOOKUP(PROVEEDORES[[#This Row],[ID RETENCION]],Retenciones!$A$1:$O$24,PROVEEDORES[[#This Row],[indicador de columna]],FALSE)</f>
        <v>980000</v>
      </c>
      <c r="Y249" s="152">
        <f>+VLOOKUP(PROVEEDORES[[#This Row],[ID RETENCION]],Retenciones!$A$1:$O$24,2,FALSE)</f>
        <v>2.5000000000000001E-2</v>
      </c>
      <c r="Z249" s="26"/>
      <c r="AA249" s="26"/>
      <c r="AB249" s="26"/>
      <c r="AC249" s="26"/>
      <c r="AD249" s="26"/>
      <c r="AE249" s="26"/>
    </row>
    <row r="250" spans="1:31" ht="21.95" customHeight="1" x14ac:dyDescent="0.25">
      <c r="A250" s="97" t="str">
        <f>+IF(PROVEEDORES[[#This Row],[FECHA DE PAGO]]=PROVEEDORES[[#This Row],[FECHA DE FACTURACIÓN]],"DE CONTADO","CRÉDITO")</f>
        <v>CRÉDITO</v>
      </c>
      <c r="B250" s="41" t="str">
        <f>+IF((PROVEEDORES[[#This Row],[FECHA DE PAGO]]-PROVEEDORES[[#This Row],[FECHA DE FACTURACIÓN]])&gt;PROVEEDORES[[#This Row],[PLAZO Días]],"PAGO VENCIDO")</f>
        <v>PAGO VENCIDO</v>
      </c>
      <c r="C250" s="22">
        <f>+VLOOKUP(PROVEEDORES[[#This Row],[PROVEEDOR]],TERCEROS_INFO[#All],2,FALSE)</f>
        <v>30</v>
      </c>
      <c r="D250" s="27">
        <f>+SUMIFS(PROVEEDORES[Total],PROVEEDORES[PROVEEDOR],PROVEEDORES[[#This Row],[PROVEEDOR]],PROVEEDORES[FECHA DE PAGO],"")</f>
        <v>1979529.3</v>
      </c>
      <c r="E250" s="27"/>
      <c r="F250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250" s="95">
        <v>44335</v>
      </c>
      <c r="H250" s="28" t="s">
        <v>17</v>
      </c>
      <c r="I250" s="95">
        <v>44281</v>
      </c>
      <c r="J250" s="38">
        <v>1744568</v>
      </c>
      <c r="K250" s="23">
        <v>1740230</v>
      </c>
      <c r="L250" s="23"/>
      <c r="M250" s="24">
        <v>330643.7</v>
      </c>
      <c r="N250" s="25"/>
      <c r="O250" s="24">
        <v>0</v>
      </c>
      <c r="P250" s="136">
        <f>+IF(PROVEEDORES[[#This Row],[SUBTOTAL]]&lt;PROVEEDORES[[#This Row],[base retencion]],0,PROVEEDORES[[#This Row],[retención aplicada]])</f>
        <v>0</v>
      </c>
      <c r="Q250" s="24">
        <f>+PROVEEDORES[[#This Row],[Rete Fuente %]]*PROVEEDORES[[#This Row],[SUBTOTAL]]</f>
        <v>0</v>
      </c>
      <c r="R250" s="23">
        <v>2070873.7</v>
      </c>
      <c r="S25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0" s="99">
        <f ca="1">IF(PROVEEDORES[[#This Row],[FECHA DE PAGO]]=0,TODAY()-PROVEEDORES[[#This Row],[FECHA DE FACTURACIÓN]]-PROVEEDORES[[#This Row],[PLAZO Días]],0)</f>
        <v>0</v>
      </c>
      <c r="U250" s="149">
        <f>+VLOOKUP(PROVEEDORES[[#This Row],[PROVEEDOR]],Terceros!$A:$E,5,FALSE)</f>
        <v>0</v>
      </c>
      <c r="V250" s="150">
        <f>+YEAR(PROVEEDORES[[#This Row],[FECHA DE FACTURACIÓN]])</f>
        <v>2021</v>
      </c>
      <c r="W250" s="150">
        <f>+MATCH(PROVEEDORES[[#This Row],[año facturado]],Retenciones!$1:$1,0)</f>
        <v>4</v>
      </c>
      <c r="X250" s="151">
        <f>+VLOOKUP(PROVEEDORES[[#This Row],[ID RETENCION]],Retenciones!$A$1:$O$24,PROVEEDORES[[#This Row],[indicador de columna]],FALSE)</f>
        <v>0</v>
      </c>
      <c r="Y250" s="152">
        <f>+VLOOKUP(PROVEEDORES[[#This Row],[ID RETENCION]],Retenciones!$A$1:$O$24,2,FALSE)</f>
        <v>0</v>
      </c>
      <c r="Z250" s="26"/>
      <c r="AA250" s="26"/>
      <c r="AB250" s="26"/>
      <c r="AC250" s="26"/>
      <c r="AD250" s="26"/>
      <c r="AE250" s="26"/>
    </row>
    <row r="251" spans="1:31" ht="21.95" customHeight="1" x14ac:dyDescent="0.25">
      <c r="A251" s="97" t="str">
        <f>+IF(PROVEEDORES[[#This Row],[FECHA DE PAGO]]=PROVEEDORES[[#This Row],[FECHA DE FACTURACIÓN]],"DE CONTADO","CRÉDITO")</f>
        <v>CRÉDITO</v>
      </c>
      <c r="B251" s="41" t="b">
        <f>+IF((PROVEEDORES[[#This Row],[FECHA DE PAGO]]-PROVEEDORES[[#This Row],[FECHA DE FACTURACIÓN]])&gt;PROVEEDORES[[#This Row],[PLAZO Días]],"PAGO VENCIDO")</f>
        <v>0</v>
      </c>
      <c r="C251" s="22">
        <f>+VLOOKUP(PROVEEDORES[[#This Row],[PROVEEDOR]],TERCEROS_INFO[#All],2,FALSE)</f>
        <v>30</v>
      </c>
      <c r="D251" s="27">
        <f>+SUMIFS(PROVEEDORES[Total],PROVEEDORES[PROVEEDOR],PROVEEDORES[[#This Row],[PROVEEDOR]],PROVEEDORES[FECHA DE PAGO],"")</f>
        <v>0</v>
      </c>
      <c r="E251" s="27"/>
      <c r="F251" s="62" t="str">
        <f>+VLOOKUP(PROVEEDORES[[#This Row],[PROVEEDOR]],
                       Terceros!$A:$G,
                       6,
                       FALSE)</f>
        <v/>
      </c>
      <c r="G251" s="95">
        <v>44284</v>
      </c>
      <c r="H251" s="28" t="s">
        <v>137</v>
      </c>
      <c r="I251" s="95">
        <v>44281</v>
      </c>
      <c r="J251" s="38" t="s">
        <v>292</v>
      </c>
      <c r="K251" s="23">
        <v>2244410.4649999999</v>
      </c>
      <c r="L251" s="23"/>
      <c r="M251" s="24">
        <v>426437.98835</v>
      </c>
      <c r="N251" s="25"/>
      <c r="O251" s="24">
        <v>0</v>
      </c>
      <c r="P251" s="136">
        <f>+IF(PROVEEDORES[[#This Row],[SUBTOTAL]]&lt;PROVEEDORES[[#This Row],[base retencion]],0,PROVEEDORES[[#This Row],[retención aplicada]])</f>
        <v>3.5000000000000003E-2</v>
      </c>
      <c r="Q251" s="24">
        <f>+PROVEEDORES[[#This Row],[Rete Fuente %]]*PROVEEDORES[[#This Row],[SUBTOTAL]]</f>
        <v>78554.366275000008</v>
      </c>
      <c r="R251" s="23">
        <v>2592294.0870750002</v>
      </c>
      <c r="S25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1" s="99">
        <f ca="1">IF(PROVEEDORES[[#This Row],[FECHA DE PAGO]]=0,TODAY()-PROVEEDORES[[#This Row],[FECHA DE FACTURACIÓN]]-PROVEEDORES[[#This Row],[PLAZO Días]],0)</f>
        <v>0</v>
      </c>
      <c r="U251" s="149" t="str">
        <f>+VLOOKUP(PROVEEDORES[[#This Row],[PROVEEDOR]],Terceros!$A:$E,5,FALSE)</f>
        <v>3,5% con base</v>
      </c>
      <c r="V251" s="150">
        <f>+YEAR(PROVEEDORES[[#This Row],[FECHA DE FACTURACIÓN]])</f>
        <v>2021</v>
      </c>
      <c r="W251" s="150">
        <f>+MATCH(PROVEEDORES[[#This Row],[año facturado]],Retenciones!$1:$1,0)</f>
        <v>4</v>
      </c>
      <c r="X251" s="151">
        <f>+VLOOKUP(PROVEEDORES[[#This Row],[ID RETENCION]],Retenciones!$A$1:$O$24,PROVEEDORES[[#This Row],[indicador de columna]],FALSE)</f>
        <v>980000</v>
      </c>
      <c r="Y251" s="152">
        <f>+VLOOKUP(PROVEEDORES[[#This Row],[ID RETENCION]],Retenciones!$A$1:$O$24,2,FALSE)</f>
        <v>3.5000000000000003E-2</v>
      </c>
      <c r="Z251" s="26"/>
      <c r="AA251" s="26"/>
      <c r="AB251" s="26"/>
      <c r="AC251" s="26"/>
      <c r="AD251" s="26"/>
      <c r="AE251" s="26"/>
    </row>
    <row r="252" spans="1:31" ht="21.95" customHeight="1" x14ac:dyDescent="0.25">
      <c r="A252" s="97" t="str">
        <f>+IF(PROVEEDORES[[#This Row],[FECHA DE PAGO]]=PROVEEDORES[[#This Row],[FECHA DE FACTURACIÓN]],"DE CONTADO","CRÉDITO")</f>
        <v>CRÉDITO</v>
      </c>
      <c r="B252" s="41" t="b">
        <f>+IF((PROVEEDORES[[#This Row],[FECHA DE PAGO]]-PROVEEDORES[[#This Row],[FECHA DE FACTURACIÓN]])&gt;PROVEEDORES[[#This Row],[PLAZO Días]],"PAGO VENCIDO")</f>
        <v>0</v>
      </c>
      <c r="C252" s="22">
        <f>+VLOOKUP(PROVEEDORES[[#This Row],[PROVEEDOR]],TERCEROS_INFO[#All],2,FALSE)</f>
        <v>30</v>
      </c>
      <c r="D252" s="27">
        <f>+SUMIFS(PROVEEDORES[Total],PROVEEDORES[PROVEEDOR],PROVEEDORES[[#This Row],[PROVEEDOR]],PROVEEDORES[FECHA DE PAGO],"")</f>
        <v>275944.33</v>
      </c>
      <c r="E252" s="27"/>
      <c r="F252" s="62" t="str">
        <f>+VLOOKUP(PROVEEDORES[[#This Row],[PROVEEDOR]],
                       Terceros!$A:$G,
                       6,
                       FALSE)</f>
        <v>facturacion@losmolinos.com.co</v>
      </c>
      <c r="G252" s="95">
        <v>44302</v>
      </c>
      <c r="H252" s="28" t="s">
        <v>342</v>
      </c>
      <c r="I252" s="95">
        <v>44287</v>
      </c>
      <c r="J252" s="38">
        <v>62349</v>
      </c>
      <c r="K252" s="23">
        <v>302625</v>
      </c>
      <c r="L252" s="23"/>
      <c r="M252" s="24">
        <v>0</v>
      </c>
      <c r="N252" s="25"/>
      <c r="O252" s="24">
        <v>47919.55</v>
      </c>
      <c r="P252" s="136">
        <f>+IF(PROVEEDORES[[#This Row],[SUBTOTAL]]&lt;PROVEEDORES[[#This Row],[base retencion]],0,PROVEEDORES[[#This Row],[retención aplicada]])</f>
        <v>0</v>
      </c>
      <c r="Q252" s="24">
        <f>+PROVEEDORES[[#This Row],[Rete Fuente %]]*PROVEEDORES[[#This Row],[SUBTOTAL]]</f>
        <v>0</v>
      </c>
      <c r="R252" s="23">
        <v>254705.45</v>
      </c>
      <c r="S25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2" s="99">
        <f ca="1">IF(PROVEEDORES[[#This Row],[FECHA DE PAGO]]=0,TODAY()-PROVEEDORES[[#This Row],[FECHA DE FACTURACIÓN]]-PROVEEDORES[[#This Row],[PLAZO Días]],0)</f>
        <v>0</v>
      </c>
      <c r="U252" s="149">
        <f>+VLOOKUP(PROVEEDORES[[#This Row],[PROVEEDOR]],Terceros!$A:$E,5,FALSE)</f>
        <v>0</v>
      </c>
      <c r="V252" s="150">
        <f>+YEAR(PROVEEDORES[[#This Row],[FECHA DE FACTURACIÓN]])</f>
        <v>2021</v>
      </c>
      <c r="W252" s="150">
        <f>+MATCH(PROVEEDORES[[#This Row],[año facturado]],Retenciones!$1:$1,0)</f>
        <v>4</v>
      </c>
      <c r="X252" s="151">
        <f>+VLOOKUP(PROVEEDORES[[#This Row],[ID RETENCION]],Retenciones!$A$1:$O$24,PROVEEDORES[[#This Row],[indicador de columna]],FALSE)</f>
        <v>0</v>
      </c>
      <c r="Y252" s="152">
        <f>+VLOOKUP(PROVEEDORES[[#This Row],[ID RETENCION]],Retenciones!$A$1:$O$24,2,FALSE)</f>
        <v>0</v>
      </c>
      <c r="Z252" s="26"/>
      <c r="AA252" s="26"/>
      <c r="AB252" s="26"/>
      <c r="AC252" s="26"/>
      <c r="AD252" s="26"/>
      <c r="AE252" s="26"/>
    </row>
    <row r="253" spans="1:31" ht="21.95" customHeight="1" x14ac:dyDescent="0.25">
      <c r="A253" s="97" t="str">
        <f>+IF(PROVEEDORES[[#This Row],[FECHA DE PAGO]]=PROVEEDORES[[#This Row],[FECHA DE FACTURACIÓN]],"DE CONTADO","CRÉDITO")</f>
        <v>CRÉDITO</v>
      </c>
      <c r="B253" s="41" t="b">
        <f>+IF((PROVEEDORES[[#This Row],[FECHA DE PAGO]]-PROVEEDORES[[#This Row],[FECHA DE FACTURACIÓN]])&gt;PROVEEDORES[[#This Row],[PLAZO Días]],"PAGO VENCIDO")</f>
        <v>0</v>
      </c>
      <c r="C253" s="22">
        <f>+VLOOKUP(PROVEEDORES[[#This Row],[PROVEEDOR]],TERCEROS_INFO[#All],2,FALSE)</f>
        <v>30</v>
      </c>
      <c r="D253" s="27">
        <f>+SUMIFS(PROVEEDORES[Total],PROVEEDORES[PROVEEDOR],PROVEEDORES[[#This Row],[PROVEEDOR]],PROVEEDORES[FECHA DE PAGO],"")</f>
        <v>248736.18000000002</v>
      </c>
      <c r="E253" s="27"/>
      <c r="F253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G253" s="95">
        <v>44314</v>
      </c>
      <c r="H253" s="28" t="s">
        <v>343</v>
      </c>
      <c r="I253" s="95">
        <v>44287</v>
      </c>
      <c r="J253" s="38">
        <v>1764</v>
      </c>
      <c r="K253" s="23">
        <v>203897</v>
      </c>
      <c r="L253" s="23"/>
      <c r="M253" s="24">
        <v>38740.43</v>
      </c>
      <c r="N253" s="25"/>
      <c r="O253" s="24">
        <v>0</v>
      </c>
      <c r="P253" s="136">
        <f>+IF(PROVEEDORES[[#This Row],[SUBTOTAL]]&lt;PROVEEDORES[[#This Row],[base retencion]],0,PROVEEDORES[[#This Row],[retención aplicada]])</f>
        <v>3.5000000000000003E-2</v>
      </c>
      <c r="Q253" s="24">
        <f>+PROVEEDORES[[#This Row],[Rete Fuente %]]*PROVEEDORES[[#This Row],[SUBTOTAL]]</f>
        <v>7136.3950000000004</v>
      </c>
      <c r="R253" s="23">
        <v>235501.035</v>
      </c>
      <c r="S25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3" s="99">
        <f ca="1">IF(PROVEEDORES[[#This Row],[FECHA DE PAGO]]=0,TODAY()-PROVEEDORES[[#This Row],[FECHA DE FACTURACIÓN]]-PROVEEDORES[[#This Row],[PLAZO Días]],0)</f>
        <v>0</v>
      </c>
      <c r="U253" s="149" t="str">
        <f>+VLOOKUP(PROVEEDORES[[#This Row],[PROVEEDOR]],Terceros!$A:$E,5,FALSE)</f>
        <v>3,5% sin base</v>
      </c>
      <c r="V253" s="150">
        <f>+YEAR(PROVEEDORES[[#This Row],[FECHA DE FACTURACIÓN]])</f>
        <v>2021</v>
      </c>
      <c r="W253" s="150">
        <f>+MATCH(PROVEEDORES[[#This Row],[año facturado]],Retenciones!$1:$1,0)</f>
        <v>4</v>
      </c>
      <c r="X253" s="151">
        <f>+VLOOKUP(PROVEEDORES[[#This Row],[ID RETENCION]],Retenciones!$A$1:$O$24,PROVEEDORES[[#This Row],[indicador de columna]],FALSE)</f>
        <v>0</v>
      </c>
      <c r="Y253" s="152">
        <f>+VLOOKUP(PROVEEDORES[[#This Row],[ID RETENCION]],Retenciones!$A$1:$O$24,2,FALSE)</f>
        <v>3.5000000000000003E-2</v>
      </c>
      <c r="Z253" s="26"/>
      <c r="AA253" s="26"/>
      <c r="AB253" s="26"/>
      <c r="AC253" s="26"/>
      <c r="AD253" s="26"/>
      <c r="AE253" s="26"/>
    </row>
    <row r="254" spans="1:31" ht="21.95" customHeight="1" x14ac:dyDescent="0.25">
      <c r="A254" s="97" t="str">
        <f>+IF(PROVEEDORES[[#This Row],[FECHA DE PAGO]]=PROVEEDORES[[#This Row],[FECHA DE FACTURACIÓN]],"DE CONTADO","CRÉDITO")</f>
        <v>CRÉDITO</v>
      </c>
      <c r="B254" s="41" t="b">
        <f>+IF((PROVEEDORES[[#This Row],[FECHA DE PAGO]]-PROVEEDORES[[#This Row],[FECHA DE FACTURACIÓN]])&gt;PROVEEDORES[[#This Row],[PLAZO Días]],"PAGO VENCIDO")</f>
        <v>0</v>
      </c>
      <c r="C254" s="22">
        <f>+VLOOKUP(PROVEEDORES[[#This Row],[PROVEEDOR]],TERCEROS_INFO[#All],2,FALSE)</f>
        <v>30</v>
      </c>
      <c r="D254" s="27">
        <f>+SUMIFS(PROVEEDORES[Total],PROVEEDORES[PROVEEDOR],PROVEEDORES[[#This Row],[PROVEEDOR]],PROVEEDORES[FECHA DE PAGO],"")</f>
        <v>248736.18000000002</v>
      </c>
      <c r="E254" s="27"/>
      <c r="F254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G254" s="95">
        <v>44314</v>
      </c>
      <c r="H254" s="28" t="s">
        <v>343</v>
      </c>
      <c r="I254" s="95">
        <v>44287</v>
      </c>
      <c r="J254" s="38" t="s">
        <v>301</v>
      </c>
      <c r="K254" s="23">
        <v>203897</v>
      </c>
      <c r="L254" s="23"/>
      <c r="M254" s="24">
        <v>38740.43</v>
      </c>
      <c r="N254" s="25"/>
      <c r="O254" s="24">
        <v>0</v>
      </c>
      <c r="P254" s="136">
        <f>+IF(PROVEEDORES[[#This Row],[SUBTOTAL]]&lt;PROVEEDORES[[#This Row],[base retencion]],0,PROVEEDORES[[#This Row],[retención aplicada]])</f>
        <v>3.5000000000000003E-2</v>
      </c>
      <c r="Q254" s="24">
        <f>+PROVEEDORES[[#This Row],[Rete Fuente %]]*PROVEEDORES[[#This Row],[SUBTOTAL]]</f>
        <v>7136.3950000000004</v>
      </c>
      <c r="R254" s="23">
        <v>235501.035</v>
      </c>
      <c r="S25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4" s="99">
        <f ca="1">IF(PROVEEDORES[[#This Row],[FECHA DE PAGO]]=0,TODAY()-PROVEEDORES[[#This Row],[FECHA DE FACTURACIÓN]]-PROVEEDORES[[#This Row],[PLAZO Días]],0)</f>
        <v>0</v>
      </c>
      <c r="U254" s="149" t="str">
        <f>+VLOOKUP(PROVEEDORES[[#This Row],[PROVEEDOR]],Terceros!$A:$E,5,FALSE)</f>
        <v>3,5% sin base</v>
      </c>
      <c r="V254" s="150">
        <f>+YEAR(PROVEEDORES[[#This Row],[FECHA DE FACTURACIÓN]])</f>
        <v>2021</v>
      </c>
      <c r="W254" s="150">
        <f>+MATCH(PROVEEDORES[[#This Row],[año facturado]],Retenciones!$1:$1,0)</f>
        <v>4</v>
      </c>
      <c r="X254" s="151">
        <f>+VLOOKUP(PROVEEDORES[[#This Row],[ID RETENCION]],Retenciones!$A$1:$O$24,PROVEEDORES[[#This Row],[indicador de columna]],FALSE)</f>
        <v>0</v>
      </c>
      <c r="Y254" s="152">
        <f>+VLOOKUP(PROVEEDORES[[#This Row],[ID RETENCION]],Retenciones!$A$1:$O$24,2,FALSE)</f>
        <v>3.5000000000000003E-2</v>
      </c>
      <c r="Z254" s="26"/>
      <c r="AA254" s="26"/>
      <c r="AB254" s="26"/>
      <c r="AC254" s="26"/>
      <c r="AD254" s="26"/>
      <c r="AE254" s="26"/>
    </row>
    <row r="255" spans="1:31" ht="21.95" customHeight="1" x14ac:dyDescent="0.25">
      <c r="A255" s="97" t="str">
        <f>+IF(PROVEEDORES[[#This Row],[FECHA DE PAGO]]=PROVEEDORES[[#This Row],[FECHA DE FACTURACIÓN]],"DE CONTADO","CRÉDITO")</f>
        <v>CRÉDITO</v>
      </c>
      <c r="B255" s="41" t="b">
        <f>+IF((PROVEEDORES[[#This Row],[FECHA DE PAGO]]-PROVEEDORES[[#This Row],[FECHA DE FACTURACIÓN]])&gt;PROVEEDORES[[#This Row],[PLAZO Días]],"PAGO VENCIDO")</f>
        <v>0</v>
      </c>
      <c r="C255" s="22">
        <f>+VLOOKUP(PROVEEDORES[[#This Row],[PROVEEDOR]],TERCEROS_INFO[#All],2,FALSE)</f>
        <v>30</v>
      </c>
      <c r="D255" s="27">
        <f>+SUMIFS(PROVEEDORES[Total],PROVEEDORES[PROVEEDOR],PROVEEDORES[[#This Row],[PROVEEDOR]],PROVEEDORES[FECHA DE PAGO],"")</f>
        <v>0</v>
      </c>
      <c r="E255" s="27"/>
      <c r="F255" s="62" t="str">
        <f>+VLOOKUP(PROVEEDORES[[#This Row],[PROVEEDOR]],
                       Terceros!$A:$G,
                       6,
                       FALSE)</f>
        <v/>
      </c>
      <c r="G255" s="95">
        <v>44286</v>
      </c>
      <c r="H255" s="28" t="s">
        <v>117</v>
      </c>
      <c r="I255" s="95">
        <v>44284</v>
      </c>
      <c r="J255" s="38" t="s">
        <v>293</v>
      </c>
      <c r="K255" s="23">
        <v>1374000</v>
      </c>
      <c r="L255" s="23"/>
      <c r="M255" s="24">
        <v>0</v>
      </c>
      <c r="N255" s="25"/>
      <c r="O255" s="24">
        <v>0</v>
      </c>
      <c r="P255" s="136">
        <f>+IF(PROVEEDORES[[#This Row],[SUBTOTAL]]&lt;PROVEEDORES[[#This Row],[base retencion]],0,PROVEEDORES[[#This Row],[retención aplicada]])</f>
        <v>0</v>
      </c>
      <c r="Q255" s="24">
        <f>+PROVEEDORES[[#This Row],[Rete Fuente %]]*PROVEEDORES[[#This Row],[SUBTOTAL]]</f>
        <v>0</v>
      </c>
      <c r="R255" s="23">
        <v>1319040</v>
      </c>
      <c r="S25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5" s="99">
        <f ca="1">IF(PROVEEDORES[[#This Row],[FECHA DE PAGO]]=0,TODAY()-PROVEEDORES[[#This Row],[FECHA DE FACTURACIÓN]]-PROVEEDORES[[#This Row],[PLAZO Días]],0)</f>
        <v>0</v>
      </c>
      <c r="U255" s="149">
        <f>+VLOOKUP(PROVEEDORES[[#This Row],[PROVEEDOR]],Terceros!$A:$E,5,FALSE)</f>
        <v>0</v>
      </c>
      <c r="V255" s="150">
        <f>+YEAR(PROVEEDORES[[#This Row],[FECHA DE FACTURACIÓN]])</f>
        <v>2021</v>
      </c>
      <c r="W255" s="150">
        <f>+MATCH(PROVEEDORES[[#This Row],[año facturado]],Retenciones!$1:$1,0)</f>
        <v>4</v>
      </c>
      <c r="X255" s="151">
        <f>+VLOOKUP(PROVEEDORES[[#This Row],[ID RETENCION]],Retenciones!$A$1:$O$24,PROVEEDORES[[#This Row],[indicador de columna]],FALSE)</f>
        <v>0</v>
      </c>
      <c r="Y255" s="152">
        <f>+VLOOKUP(PROVEEDORES[[#This Row],[ID RETENCION]],Retenciones!$A$1:$O$24,2,FALSE)</f>
        <v>0</v>
      </c>
      <c r="Z255" s="26"/>
      <c r="AA255" s="26"/>
      <c r="AB255" s="26"/>
      <c r="AC255" s="26"/>
      <c r="AD255" s="26"/>
      <c r="AE255" s="26"/>
    </row>
    <row r="256" spans="1:31" ht="21.95" customHeight="1" x14ac:dyDescent="0.25">
      <c r="A256" s="97" t="str">
        <f>+IF(PROVEEDORES[[#This Row],[FECHA DE PAGO]]=PROVEEDORES[[#This Row],[FECHA DE FACTURACIÓN]],"DE CONTADO","CRÉDITO")</f>
        <v>CRÉDITO</v>
      </c>
      <c r="B256" s="41" t="b">
        <f>+IF((PROVEEDORES[[#This Row],[FECHA DE PAGO]]-PROVEEDORES[[#This Row],[FECHA DE FACTURACIÓN]])&gt;PROVEEDORES[[#This Row],[PLAZO Días]],"PAGO VENCIDO")</f>
        <v>0</v>
      </c>
      <c r="C256" s="22">
        <f>+VLOOKUP(PROVEEDORES[[#This Row],[PROVEEDOR]],TERCEROS_INFO[#All],2,FALSE)</f>
        <v>30</v>
      </c>
      <c r="D256" s="27">
        <f>+SUMIFS(PROVEEDORES[Total],PROVEEDORES[PROVEEDOR],PROVEEDORES[[#This Row],[PROVEEDOR]],PROVEEDORES[FECHA DE PAGO],"")</f>
        <v>0</v>
      </c>
      <c r="E256" s="27"/>
      <c r="F256" s="62" t="str">
        <f>+VLOOKUP(PROVEEDORES[[#This Row],[PROVEEDOR]],
                       Terceros!$A:$G,
                       6,
                       FALSE)</f>
        <v/>
      </c>
      <c r="G256" s="95">
        <v>44286</v>
      </c>
      <c r="H256" s="28" t="s">
        <v>137</v>
      </c>
      <c r="I256" s="95">
        <v>44284</v>
      </c>
      <c r="J256" s="38" t="s">
        <v>684</v>
      </c>
      <c r="K256" s="23">
        <v>1789527</v>
      </c>
      <c r="L256" s="23"/>
      <c r="M256" s="24">
        <v>340010.13</v>
      </c>
      <c r="N256" s="25"/>
      <c r="O256" s="24">
        <v>0</v>
      </c>
      <c r="P256" s="136">
        <f>+IF(PROVEEDORES[[#This Row],[SUBTOTAL]]&lt;PROVEEDORES[[#This Row],[base retencion]],0,PROVEEDORES[[#This Row],[retención aplicada]])</f>
        <v>3.5000000000000003E-2</v>
      </c>
      <c r="Q256" s="24">
        <f>+PROVEEDORES[[#This Row],[Rete Fuente %]]*PROVEEDORES[[#This Row],[SUBTOTAL]]</f>
        <v>62633.445000000007</v>
      </c>
      <c r="R256" s="23">
        <v>2066903.6849999998</v>
      </c>
      <c r="S25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6" s="99">
        <f ca="1">IF(PROVEEDORES[[#This Row],[FECHA DE PAGO]]=0,TODAY()-PROVEEDORES[[#This Row],[FECHA DE FACTURACIÓN]]-PROVEEDORES[[#This Row],[PLAZO Días]],0)</f>
        <v>0</v>
      </c>
      <c r="U256" s="149" t="str">
        <f>+VLOOKUP(PROVEEDORES[[#This Row],[PROVEEDOR]],Terceros!$A:$E,5,FALSE)</f>
        <v>3,5% con base</v>
      </c>
      <c r="V256" s="150">
        <f>+YEAR(PROVEEDORES[[#This Row],[FECHA DE FACTURACIÓN]])</f>
        <v>2021</v>
      </c>
      <c r="W256" s="150">
        <f>+MATCH(PROVEEDORES[[#This Row],[año facturado]],Retenciones!$1:$1,0)</f>
        <v>4</v>
      </c>
      <c r="X256" s="151">
        <f>+VLOOKUP(PROVEEDORES[[#This Row],[ID RETENCION]],Retenciones!$A$1:$O$24,PROVEEDORES[[#This Row],[indicador de columna]],FALSE)</f>
        <v>980000</v>
      </c>
      <c r="Y256" s="152">
        <f>+VLOOKUP(PROVEEDORES[[#This Row],[ID RETENCION]],Retenciones!$A$1:$O$24,2,FALSE)</f>
        <v>3.5000000000000003E-2</v>
      </c>
      <c r="Z256" s="26"/>
      <c r="AA256" s="26"/>
      <c r="AB256" s="26"/>
      <c r="AC256" s="26"/>
      <c r="AD256" s="26"/>
      <c r="AE256" s="26"/>
    </row>
    <row r="257" spans="1:31" ht="21.95" customHeight="1" x14ac:dyDescent="0.25">
      <c r="A257" s="97" t="str">
        <f>+IF(PROVEEDORES[[#This Row],[FECHA DE PAGO]]=PROVEEDORES[[#This Row],[FECHA DE FACTURACIÓN]],"DE CONTADO","CRÉDITO")</f>
        <v>CRÉDITO</v>
      </c>
      <c r="B257" s="41" t="str">
        <f>+IF((PROVEEDORES[[#This Row],[FECHA DE PAGO]]-PROVEEDORES[[#This Row],[FECHA DE FACTURACIÓN]])&gt;PROVEEDORES[[#This Row],[PLAZO Días]],"PAGO VENCIDO")</f>
        <v>PAGO VENCIDO</v>
      </c>
      <c r="C257" s="22">
        <f>+VLOOKUP(PROVEEDORES[[#This Row],[PROVEEDOR]],TERCEROS_INFO[#All],2,FALSE)</f>
        <v>30</v>
      </c>
      <c r="D257" s="27">
        <f>+SUMIFS(PROVEEDORES[Total],PROVEEDORES[PROVEEDOR],PROVEEDORES[[#This Row],[PROVEEDOR]],PROVEEDORES[FECHA DE PAGO],"")</f>
        <v>0</v>
      </c>
      <c r="E257" s="27"/>
      <c r="F257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257" s="95">
        <v>44343</v>
      </c>
      <c r="H257" s="28" t="s">
        <v>1124</v>
      </c>
      <c r="I257" s="95">
        <v>44284</v>
      </c>
      <c r="J257" s="38">
        <v>15631</v>
      </c>
      <c r="K257" s="23">
        <v>11868000</v>
      </c>
      <c r="L257" s="23"/>
      <c r="M257" s="24">
        <v>2254920</v>
      </c>
      <c r="N257" s="25"/>
      <c r="O257" s="24">
        <v>0</v>
      </c>
      <c r="P257" s="136">
        <f>+IF(PROVEEDORES[[#This Row],[SUBTOTAL]]&lt;PROVEEDORES[[#This Row],[base retencion]],0,PROVEEDORES[[#This Row],[retención aplicada]])</f>
        <v>2.5000000000000001E-2</v>
      </c>
      <c r="Q257" s="24">
        <f>+PROVEEDORES[[#This Row],[Rete Fuente %]]*PROVEEDORES[[#This Row],[SUBTOTAL]]</f>
        <v>296700</v>
      </c>
      <c r="R257" s="23">
        <v>13826220</v>
      </c>
      <c r="S25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7" s="99">
        <f ca="1">IF(PROVEEDORES[[#This Row],[FECHA DE PAGO]]=0,TODAY()-PROVEEDORES[[#This Row],[FECHA DE FACTURACIÓN]]-PROVEEDORES[[#This Row],[PLAZO Días]],0)</f>
        <v>0</v>
      </c>
      <c r="U257" s="149" t="str">
        <f>+VLOOKUP(PROVEEDORES[[#This Row],[PROVEEDOR]],Terceros!$A:$E,5,FALSE)</f>
        <v>2,5% con base</v>
      </c>
      <c r="V257" s="150">
        <f>+YEAR(PROVEEDORES[[#This Row],[FECHA DE FACTURACIÓN]])</f>
        <v>2021</v>
      </c>
      <c r="W257" s="150">
        <f>+MATCH(PROVEEDORES[[#This Row],[año facturado]],Retenciones!$1:$1,0)</f>
        <v>4</v>
      </c>
      <c r="X257" s="151">
        <f>+VLOOKUP(PROVEEDORES[[#This Row],[ID RETENCION]],Retenciones!$A$1:$O$24,PROVEEDORES[[#This Row],[indicador de columna]],FALSE)</f>
        <v>980000</v>
      </c>
      <c r="Y257" s="152">
        <f>+VLOOKUP(PROVEEDORES[[#This Row],[ID RETENCION]],Retenciones!$A$1:$O$24,2,FALSE)</f>
        <v>2.5000000000000001E-2</v>
      </c>
      <c r="Z257" s="26"/>
      <c r="AA257" s="26"/>
      <c r="AB257" s="26"/>
      <c r="AC257" s="26"/>
      <c r="AD257" s="26"/>
      <c r="AE257" s="26"/>
    </row>
    <row r="258" spans="1:31" ht="21.95" customHeight="1" x14ac:dyDescent="0.25">
      <c r="A258" s="97" t="str">
        <f>+IF(PROVEEDORES[[#This Row],[FECHA DE PAGO]]=PROVEEDORES[[#This Row],[FECHA DE FACTURACIÓN]],"DE CONTADO","CRÉDITO")</f>
        <v>DE CONTADO</v>
      </c>
      <c r="B258" s="41" t="b">
        <f>+IF((PROVEEDORES[[#This Row],[FECHA DE PAGO]]-PROVEEDORES[[#This Row],[FECHA DE FACTURACIÓN]])&gt;PROVEEDORES[[#This Row],[PLAZO Días]],"PAGO VENCIDO")</f>
        <v>0</v>
      </c>
      <c r="C258" s="22">
        <f>+VLOOKUP(PROVEEDORES[[#This Row],[PROVEEDOR]],TERCEROS_INFO[#All],2,FALSE)</f>
        <v>30</v>
      </c>
      <c r="D258" s="27">
        <f>+SUMIFS(PROVEEDORES[Total],PROVEEDORES[PROVEEDOR],PROVEEDORES[[#This Row],[PROVEEDOR]],PROVEEDORES[FECHA DE PAGO],"")</f>
        <v>0</v>
      </c>
      <c r="E258" s="27"/>
      <c r="F258" s="62" t="str">
        <f>+VLOOKUP(PROVEEDORES[[#This Row],[PROVEEDOR]],
                       Terceros!$A:$G,
                       6,
                       FALSE)</f>
        <v/>
      </c>
      <c r="G258" s="95">
        <v>44285</v>
      </c>
      <c r="H258" s="28" t="s">
        <v>1046</v>
      </c>
      <c r="I258" s="95">
        <v>44285</v>
      </c>
      <c r="J258" s="38"/>
      <c r="K258" s="23">
        <v>1000000</v>
      </c>
      <c r="L258" s="23"/>
      <c r="M258" s="24">
        <v>0</v>
      </c>
      <c r="N258" s="25"/>
      <c r="O258" s="24">
        <v>0</v>
      </c>
      <c r="P258" s="136">
        <f>+IF(PROVEEDORES[[#This Row],[SUBTOTAL]]&lt;PROVEEDORES[[#This Row],[base retencion]],0,PROVEEDORES[[#This Row],[retención aplicada]])</f>
        <v>0</v>
      </c>
      <c r="Q258" s="24">
        <f>+PROVEEDORES[[#This Row],[Rete Fuente %]]*PROVEEDORES[[#This Row],[SUBTOTAL]]</f>
        <v>0</v>
      </c>
      <c r="R258" s="23">
        <v>1000000</v>
      </c>
      <c r="S25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8" s="99">
        <f ca="1">IF(PROVEEDORES[[#This Row],[FECHA DE PAGO]]=0,TODAY()-PROVEEDORES[[#This Row],[FECHA DE FACTURACIÓN]]-PROVEEDORES[[#This Row],[PLAZO Días]],0)</f>
        <v>0</v>
      </c>
      <c r="U258" s="149">
        <f>+VLOOKUP(PROVEEDORES[[#This Row],[PROVEEDOR]],Terceros!$A:$E,5,FALSE)</f>
        <v>0</v>
      </c>
      <c r="V258" s="150">
        <f>+YEAR(PROVEEDORES[[#This Row],[FECHA DE FACTURACIÓN]])</f>
        <v>2021</v>
      </c>
      <c r="W258" s="150">
        <f>+MATCH(PROVEEDORES[[#This Row],[año facturado]],Retenciones!$1:$1,0)</f>
        <v>4</v>
      </c>
      <c r="X258" s="151">
        <f>+VLOOKUP(PROVEEDORES[[#This Row],[ID RETENCION]],Retenciones!$A$1:$O$24,PROVEEDORES[[#This Row],[indicador de columna]],FALSE)</f>
        <v>0</v>
      </c>
      <c r="Y258" s="152">
        <f>+VLOOKUP(PROVEEDORES[[#This Row],[ID RETENCION]],Retenciones!$A$1:$O$24,2,FALSE)</f>
        <v>0</v>
      </c>
      <c r="Z258" s="26"/>
      <c r="AA258" s="26"/>
      <c r="AB258" s="26"/>
      <c r="AC258" s="26"/>
      <c r="AD258" s="26"/>
      <c r="AE258" s="26"/>
    </row>
    <row r="259" spans="1:31" ht="21.95" customHeight="1" x14ac:dyDescent="0.25">
      <c r="A259" s="97" t="str">
        <f>+IF(PROVEEDORES[[#This Row],[FECHA DE PAGO]]=PROVEEDORES[[#This Row],[FECHA DE FACTURACIÓN]],"DE CONTADO","CRÉDITO")</f>
        <v>DE CONTADO</v>
      </c>
      <c r="B259" s="41" t="b">
        <f>+IF((PROVEEDORES[[#This Row],[FECHA DE PAGO]]-PROVEEDORES[[#This Row],[FECHA DE FACTURACIÓN]])&gt;PROVEEDORES[[#This Row],[PLAZO Días]],"PAGO VENCIDO")</f>
        <v>0</v>
      </c>
      <c r="C259" s="22">
        <f>+VLOOKUP(PROVEEDORES[[#This Row],[PROVEEDOR]],TERCEROS_INFO[#All],2,FALSE)</f>
        <v>30</v>
      </c>
      <c r="D259" s="27">
        <f>+SUMIFS(PROVEEDORES[Total],PROVEEDORES[PROVEEDOR],PROVEEDORES[[#This Row],[PROVEEDOR]],PROVEEDORES[FECHA DE PAGO],"")</f>
        <v>0</v>
      </c>
      <c r="E259" s="27"/>
      <c r="F259" s="62" t="str">
        <f>+VLOOKUP(PROVEEDORES[[#This Row],[PROVEEDOR]],
                       Terceros!$A:$G,
                       6,
                       FALSE)</f>
        <v/>
      </c>
      <c r="G259" s="95">
        <v>44286</v>
      </c>
      <c r="H259" s="28" t="s">
        <v>1010</v>
      </c>
      <c r="I259" s="95">
        <v>44286</v>
      </c>
      <c r="J259" s="38" t="s">
        <v>941</v>
      </c>
      <c r="K259" s="23">
        <v>132400</v>
      </c>
      <c r="L259" s="23"/>
      <c r="M259" s="24">
        <v>0</v>
      </c>
      <c r="N259" s="25"/>
      <c r="O259" s="24">
        <v>0</v>
      </c>
      <c r="P259" s="136">
        <f>+IF(PROVEEDORES[[#This Row],[SUBTOTAL]]&lt;PROVEEDORES[[#This Row],[base retencion]],0,PROVEEDORES[[#This Row],[retención aplicada]])</f>
        <v>0</v>
      </c>
      <c r="Q259" s="24">
        <f>+PROVEEDORES[[#This Row],[Rete Fuente %]]*PROVEEDORES[[#This Row],[SUBTOTAL]]</f>
        <v>0</v>
      </c>
      <c r="R259" s="23">
        <v>132400</v>
      </c>
      <c r="S25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9" s="99">
        <f ca="1">IF(PROVEEDORES[[#This Row],[FECHA DE PAGO]]=0,TODAY()-PROVEEDORES[[#This Row],[FECHA DE FACTURACIÓN]]-PROVEEDORES[[#This Row],[PLAZO Días]],0)</f>
        <v>0</v>
      </c>
      <c r="U259" s="149">
        <f>+VLOOKUP(PROVEEDORES[[#This Row],[PROVEEDOR]],Terceros!$A:$E,5,FALSE)</f>
        <v>0</v>
      </c>
      <c r="V259" s="150">
        <f>+YEAR(PROVEEDORES[[#This Row],[FECHA DE FACTURACIÓN]])</f>
        <v>2021</v>
      </c>
      <c r="W259" s="150">
        <f>+MATCH(PROVEEDORES[[#This Row],[año facturado]],Retenciones!$1:$1,0)</f>
        <v>4</v>
      </c>
      <c r="X259" s="151">
        <f>+VLOOKUP(PROVEEDORES[[#This Row],[ID RETENCION]],Retenciones!$A$1:$O$24,PROVEEDORES[[#This Row],[indicador de columna]],FALSE)</f>
        <v>0</v>
      </c>
      <c r="Y259" s="152">
        <f>+VLOOKUP(PROVEEDORES[[#This Row],[ID RETENCION]],Retenciones!$A$1:$O$24,2,FALSE)</f>
        <v>0</v>
      </c>
      <c r="Z259" s="26"/>
      <c r="AA259" s="26"/>
      <c r="AB259" s="26"/>
      <c r="AC259" s="26"/>
      <c r="AD259" s="26"/>
      <c r="AE259" s="26"/>
    </row>
    <row r="260" spans="1:31" ht="21.95" customHeight="1" x14ac:dyDescent="0.25">
      <c r="A260" s="97" t="str">
        <f>+IF(PROVEEDORES[[#This Row],[FECHA DE PAGO]]=PROVEEDORES[[#This Row],[FECHA DE FACTURACIÓN]],"DE CONTADO","CRÉDITO")</f>
        <v>DE CONTADO</v>
      </c>
      <c r="B260" s="41" t="b">
        <f>+IF((PROVEEDORES[[#This Row],[FECHA DE PAGO]]-PROVEEDORES[[#This Row],[FECHA DE FACTURACIÓN]])&gt;PROVEEDORES[[#This Row],[PLAZO Días]],"PAGO VENCIDO")</f>
        <v>0</v>
      </c>
      <c r="C260" s="22">
        <f>+VLOOKUP(PROVEEDORES[[#This Row],[PROVEEDOR]],TERCEROS_INFO[#All],2,FALSE)</f>
        <v>30</v>
      </c>
      <c r="D260" s="27">
        <f>+SUMIFS(PROVEEDORES[Total],PROVEEDORES[PROVEEDOR],PROVEEDORES[[#This Row],[PROVEEDOR]],PROVEEDORES[FECHA DE PAGO],"")</f>
        <v>0</v>
      </c>
      <c r="E260" s="27"/>
      <c r="F260" s="62" t="str">
        <f>+VLOOKUP(PROVEEDORES[[#This Row],[PROVEEDOR]],
                       Terceros!$A:$G,
                       6,
                       FALSE)</f>
        <v/>
      </c>
      <c r="G260" s="95">
        <v>44286</v>
      </c>
      <c r="H260" s="28" t="s">
        <v>1010</v>
      </c>
      <c r="I260" s="95">
        <v>44286</v>
      </c>
      <c r="J260" s="38" t="s">
        <v>943</v>
      </c>
      <c r="K260" s="23">
        <v>323500</v>
      </c>
      <c r="L260" s="23"/>
      <c r="M260" s="24">
        <v>0</v>
      </c>
      <c r="N260" s="25"/>
      <c r="O260" s="24">
        <v>0</v>
      </c>
      <c r="P260" s="136">
        <f>+IF(PROVEEDORES[[#This Row],[SUBTOTAL]]&lt;PROVEEDORES[[#This Row],[base retencion]],0,PROVEEDORES[[#This Row],[retención aplicada]])</f>
        <v>0</v>
      </c>
      <c r="Q260" s="24">
        <f>+PROVEEDORES[[#This Row],[Rete Fuente %]]*PROVEEDORES[[#This Row],[SUBTOTAL]]</f>
        <v>0</v>
      </c>
      <c r="R260" s="23">
        <v>323500</v>
      </c>
      <c r="S26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0" s="99">
        <f ca="1">IF(PROVEEDORES[[#This Row],[FECHA DE PAGO]]=0,TODAY()-PROVEEDORES[[#This Row],[FECHA DE FACTURACIÓN]]-PROVEEDORES[[#This Row],[PLAZO Días]],0)</f>
        <v>0</v>
      </c>
      <c r="U260" s="149">
        <f>+VLOOKUP(PROVEEDORES[[#This Row],[PROVEEDOR]],Terceros!$A:$E,5,FALSE)</f>
        <v>0</v>
      </c>
      <c r="V260" s="150">
        <f>+YEAR(PROVEEDORES[[#This Row],[FECHA DE FACTURACIÓN]])</f>
        <v>2021</v>
      </c>
      <c r="W260" s="150">
        <f>+MATCH(PROVEEDORES[[#This Row],[año facturado]],Retenciones!$1:$1,0)</f>
        <v>4</v>
      </c>
      <c r="X260" s="151">
        <f>+VLOOKUP(PROVEEDORES[[#This Row],[ID RETENCION]],Retenciones!$A$1:$O$24,PROVEEDORES[[#This Row],[indicador de columna]],FALSE)</f>
        <v>0</v>
      </c>
      <c r="Y260" s="152">
        <f>+VLOOKUP(PROVEEDORES[[#This Row],[ID RETENCION]],Retenciones!$A$1:$O$24,2,FALSE)</f>
        <v>0</v>
      </c>
      <c r="Z260" s="26"/>
      <c r="AA260" s="26"/>
      <c r="AB260" s="26"/>
      <c r="AC260" s="26"/>
      <c r="AD260" s="26"/>
      <c r="AE260" s="26"/>
    </row>
    <row r="261" spans="1:31" ht="21.95" customHeight="1" x14ac:dyDescent="0.25">
      <c r="A261" s="97" t="str">
        <f>+IF(PROVEEDORES[[#This Row],[FECHA DE PAGO]]=PROVEEDORES[[#This Row],[FECHA DE FACTURACIÓN]],"DE CONTADO","CRÉDITO")</f>
        <v>DE CONTADO</v>
      </c>
      <c r="B261" s="41" t="b">
        <f>+IF((PROVEEDORES[[#This Row],[FECHA DE PAGO]]-PROVEEDORES[[#This Row],[FECHA DE FACTURACIÓN]])&gt;PROVEEDORES[[#This Row],[PLAZO Días]],"PAGO VENCIDO")</f>
        <v>0</v>
      </c>
      <c r="C261" s="22">
        <f>+VLOOKUP(PROVEEDORES[[#This Row],[PROVEEDOR]],TERCEROS_INFO[#All],2,FALSE)</f>
        <v>30</v>
      </c>
      <c r="D261" s="27">
        <f>+SUMIFS(PROVEEDORES[Total],PROVEEDORES[PROVEEDOR],PROVEEDORES[[#This Row],[PROVEEDOR]],PROVEEDORES[FECHA DE PAGO],"")</f>
        <v>0</v>
      </c>
      <c r="E261" s="27"/>
      <c r="F261" s="62" t="str">
        <f>+VLOOKUP(PROVEEDORES[[#This Row],[PROVEEDOR]],
                       Terceros!$A:$G,
                       6,
                       FALSE)</f>
        <v/>
      </c>
      <c r="G261" s="95">
        <v>44286</v>
      </c>
      <c r="H261" s="28" t="s">
        <v>1010</v>
      </c>
      <c r="I261" s="95">
        <v>44286</v>
      </c>
      <c r="J261" s="38" t="s">
        <v>180</v>
      </c>
      <c r="K261" s="23">
        <v>456000</v>
      </c>
      <c r="L261" s="23"/>
      <c r="M261" s="24">
        <v>0</v>
      </c>
      <c r="N261" s="25"/>
      <c r="O261" s="24">
        <v>0</v>
      </c>
      <c r="P261" s="136">
        <f>+IF(PROVEEDORES[[#This Row],[SUBTOTAL]]&lt;PROVEEDORES[[#This Row],[base retencion]],0,PROVEEDORES[[#This Row],[retención aplicada]])</f>
        <v>0</v>
      </c>
      <c r="Q261" s="24">
        <f>+PROVEEDORES[[#This Row],[Rete Fuente %]]*PROVEEDORES[[#This Row],[SUBTOTAL]]</f>
        <v>0</v>
      </c>
      <c r="R261" s="23">
        <v>456000</v>
      </c>
      <c r="S26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1" s="99">
        <f ca="1">IF(PROVEEDORES[[#This Row],[FECHA DE PAGO]]=0,TODAY()-PROVEEDORES[[#This Row],[FECHA DE FACTURACIÓN]]-PROVEEDORES[[#This Row],[PLAZO Días]],0)</f>
        <v>0</v>
      </c>
      <c r="U261" s="149">
        <f>+VLOOKUP(PROVEEDORES[[#This Row],[PROVEEDOR]],Terceros!$A:$E,5,FALSE)</f>
        <v>0</v>
      </c>
      <c r="V261" s="150">
        <f>+YEAR(PROVEEDORES[[#This Row],[FECHA DE FACTURACIÓN]])</f>
        <v>2021</v>
      </c>
      <c r="W261" s="150">
        <f>+MATCH(PROVEEDORES[[#This Row],[año facturado]],Retenciones!$1:$1,0)</f>
        <v>4</v>
      </c>
      <c r="X261" s="151">
        <f>+VLOOKUP(PROVEEDORES[[#This Row],[ID RETENCION]],Retenciones!$A$1:$O$24,PROVEEDORES[[#This Row],[indicador de columna]],FALSE)</f>
        <v>0</v>
      </c>
      <c r="Y261" s="152">
        <f>+VLOOKUP(PROVEEDORES[[#This Row],[ID RETENCION]],Retenciones!$A$1:$O$24,2,FALSE)</f>
        <v>0</v>
      </c>
      <c r="Z261" s="26"/>
      <c r="AA261" s="26"/>
      <c r="AB261" s="26"/>
      <c r="AC261" s="26"/>
      <c r="AD261" s="26"/>
      <c r="AE261" s="26"/>
    </row>
    <row r="262" spans="1:31" ht="21.95" customHeight="1" x14ac:dyDescent="0.25">
      <c r="A262" s="97" t="str">
        <f>+IF(PROVEEDORES[[#This Row],[FECHA DE PAGO]]=PROVEEDORES[[#This Row],[FECHA DE FACTURACIÓN]],"DE CONTADO","CRÉDITO")</f>
        <v>DE CONTADO</v>
      </c>
      <c r="B262" s="41" t="b">
        <f>+IF((PROVEEDORES[[#This Row],[FECHA DE PAGO]]-PROVEEDORES[[#This Row],[FECHA DE FACTURACIÓN]])&gt;PROVEEDORES[[#This Row],[PLAZO Días]],"PAGO VENCIDO")</f>
        <v>0</v>
      </c>
      <c r="C262" s="22">
        <f>+VLOOKUP(PROVEEDORES[[#This Row],[PROVEEDOR]],TERCEROS_INFO[#All],2,FALSE)</f>
        <v>30</v>
      </c>
      <c r="D262" s="27">
        <f>+SUMIFS(PROVEEDORES[Total],PROVEEDORES[PROVEEDOR],PROVEEDORES[[#This Row],[PROVEEDOR]],PROVEEDORES[FECHA DE PAGO],"")</f>
        <v>0</v>
      </c>
      <c r="E262" s="27"/>
      <c r="F262" s="62" t="str">
        <f>+VLOOKUP(PROVEEDORES[[#This Row],[PROVEEDOR]],
                       Terceros!$A:$G,
                       6,
                       FALSE)</f>
        <v/>
      </c>
      <c r="G262" s="95">
        <v>44286</v>
      </c>
      <c r="H262" s="28" t="s">
        <v>1010</v>
      </c>
      <c r="I262" s="95">
        <v>44286</v>
      </c>
      <c r="J262" s="38" t="s">
        <v>942</v>
      </c>
      <c r="K262" s="23">
        <v>1054000</v>
      </c>
      <c r="L262" s="23"/>
      <c r="M262" s="24">
        <v>0</v>
      </c>
      <c r="N262" s="25"/>
      <c r="O262" s="24">
        <v>0</v>
      </c>
      <c r="P262" s="136">
        <f>+IF(PROVEEDORES[[#This Row],[SUBTOTAL]]&lt;PROVEEDORES[[#This Row],[base retencion]],0,PROVEEDORES[[#This Row],[retención aplicada]])</f>
        <v>0</v>
      </c>
      <c r="Q262" s="24">
        <f>+PROVEEDORES[[#This Row],[Rete Fuente %]]*PROVEEDORES[[#This Row],[SUBTOTAL]]</f>
        <v>0</v>
      </c>
      <c r="R262" s="23">
        <v>1054000</v>
      </c>
      <c r="S26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2" s="99">
        <f ca="1">IF(PROVEEDORES[[#This Row],[FECHA DE PAGO]]=0,TODAY()-PROVEEDORES[[#This Row],[FECHA DE FACTURACIÓN]]-PROVEEDORES[[#This Row],[PLAZO Días]],0)</f>
        <v>0</v>
      </c>
      <c r="U262" s="149">
        <f>+VLOOKUP(PROVEEDORES[[#This Row],[PROVEEDOR]],Terceros!$A:$E,5,FALSE)</f>
        <v>0</v>
      </c>
      <c r="V262" s="150">
        <f>+YEAR(PROVEEDORES[[#This Row],[FECHA DE FACTURACIÓN]])</f>
        <v>2021</v>
      </c>
      <c r="W262" s="150">
        <f>+MATCH(PROVEEDORES[[#This Row],[año facturado]],Retenciones!$1:$1,0)</f>
        <v>4</v>
      </c>
      <c r="X262" s="151">
        <f>+VLOOKUP(PROVEEDORES[[#This Row],[ID RETENCION]],Retenciones!$A$1:$O$24,PROVEEDORES[[#This Row],[indicador de columna]],FALSE)</f>
        <v>0</v>
      </c>
      <c r="Y262" s="152">
        <f>+VLOOKUP(PROVEEDORES[[#This Row],[ID RETENCION]],Retenciones!$A$1:$O$24,2,FALSE)</f>
        <v>0</v>
      </c>
      <c r="Z262" s="26"/>
      <c r="AA262" s="26"/>
      <c r="AB262" s="26"/>
      <c r="AC262" s="26"/>
      <c r="AD262" s="26"/>
      <c r="AE262" s="26"/>
    </row>
    <row r="263" spans="1:31" ht="21.95" customHeight="1" x14ac:dyDescent="0.25">
      <c r="A263" s="97" t="str">
        <f>+IF(PROVEEDORES[[#This Row],[FECHA DE PAGO]]=PROVEEDORES[[#This Row],[FECHA DE FACTURACIÓN]],"DE CONTADO","CRÉDITO")</f>
        <v>DE CONTADO</v>
      </c>
      <c r="B263" s="41" t="b">
        <f>+IF((PROVEEDORES[[#This Row],[FECHA DE PAGO]]-PROVEEDORES[[#This Row],[FECHA DE FACTURACIÓN]])&gt;PROVEEDORES[[#This Row],[PLAZO Días]],"PAGO VENCIDO")</f>
        <v>0</v>
      </c>
      <c r="C263" s="22">
        <f>+VLOOKUP(PROVEEDORES[[#This Row],[PROVEEDOR]],TERCEROS_INFO[#All],2,FALSE)</f>
        <v>30</v>
      </c>
      <c r="D263" s="27">
        <f>+SUMIFS(PROVEEDORES[Total],PROVEEDORES[PROVEEDOR],PROVEEDORES[[#This Row],[PROVEEDOR]],PROVEEDORES[FECHA DE PAGO],"")</f>
        <v>0</v>
      </c>
      <c r="E263" s="27"/>
      <c r="F263" s="62" t="str">
        <f>+VLOOKUP(PROVEEDORES[[#This Row],[PROVEEDOR]],
                       Terceros!$A:$G,
                       6,
                       FALSE)</f>
        <v/>
      </c>
      <c r="G263" s="95">
        <v>44286</v>
      </c>
      <c r="H263" s="28" t="s">
        <v>1010</v>
      </c>
      <c r="I263" s="95">
        <v>44286</v>
      </c>
      <c r="J263" s="38" t="s">
        <v>940</v>
      </c>
      <c r="K263" s="23">
        <v>2073000</v>
      </c>
      <c r="L263" s="23"/>
      <c r="M263" s="24">
        <v>0</v>
      </c>
      <c r="N263" s="25"/>
      <c r="O263" s="24">
        <v>0</v>
      </c>
      <c r="P263" s="136">
        <f>+IF(PROVEEDORES[[#This Row],[SUBTOTAL]]&lt;PROVEEDORES[[#This Row],[base retencion]],0,PROVEEDORES[[#This Row],[retención aplicada]])</f>
        <v>0</v>
      </c>
      <c r="Q263" s="24">
        <f>+PROVEEDORES[[#This Row],[Rete Fuente %]]*PROVEEDORES[[#This Row],[SUBTOTAL]]</f>
        <v>0</v>
      </c>
      <c r="R263" s="23">
        <v>2073000</v>
      </c>
      <c r="S26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3" s="99">
        <f ca="1">IF(PROVEEDORES[[#This Row],[FECHA DE PAGO]]=0,TODAY()-PROVEEDORES[[#This Row],[FECHA DE FACTURACIÓN]]-PROVEEDORES[[#This Row],[PLAZO Días]],0)</f>
        <v>0</v>
      </c>
      <c r="U263" s="149">
        <f>+VLOOKUP(PROVEEDORES[[#This Row],[PROVEEDOR]],Terceros!$A:$E,5,FALSE)</f>
        <v>0</v>
      </c>
      <c r="V263" s="150">
        <f>+YEAR(PROVEEDORES[[#This Row],[FECHA DE FACTURACIÓN]])</f>
        <v>2021</v>
      </c>
      <c r="W263" s="150">
        <f>+MATCH(PROVEEDORES[[#This Row],[año facturado]],Retenciones!$1:$1,0)</f>
        <v>4</v>
      </c>
      <c r="X263" s="151">
        <f>+VLOOKUP(PROVEEDORES[[#This Row],[ID RETENCION]],Retenciones!$A$1:$O$24,PROVEEDORES[[#This Row],[indicador de columna]],FALSE)</f>
        <v>0</v>
      </c>
      <c r="Y263" s="152">
        <f>+VLOOKUP(PROVEEDORES[[#This Row],[ID RETENCION]],Retenciones!$A$1:$O$24,2,FALSE)</f>
        <v>0</v>
      </c>
      <c r="Z263" s="26"/>
      <c r="AA263" s="26"/>
      <c r="AB263" s="26"/>
      <c r="AC263" s="26"/>
      <c r="AD263" s="26"/>
      <c r="AE263" s="26"/>
    </row>
    <row r="264" spans="1:31" ht="21.95" customHeight="1" x14ac:dyDescent="0.25">
      <c r="A264" s="97" t="str">
        <f>+IF(PROVEEDORES[[#This Row],[FECHA DE PAGO]]=PROVEEDORES[[#This Row],[FECHA DE FACTURACIÓN]],"DE CONTADO","CRÉDITO")</f>
        <v>CRÉDITO</v>
      </c>
      <c r="B264" s="41" t="b">
        <f>+IF((PROVEEDORES[[#This Row],[FECHA DE PAGO]]-PROVEEDORES[[#This Row],[FECHA DE FACTURACIÓN]])&gt;PROVEEDORES[[#This Row],[PLAZO Días]],"PAGO VENCIDO")</f>
        <v>0</v>
      </c>
      <c r="C264" s="22">
        <f>+VLOOKUP(PROVEEDORES[[#This Row],[PROVEEDOR]],TERCEROS_INFO[#All],2,FALSE)</f>
        <v>30</v>
      </c>
      <c r="D264" s="27">
        <f>+SUMIFS(PROVEEDORES[Total],PROVEEDORES[PROVEEDOR],PROVEEDORES[[#This Row],[PROVEEDOR]],PROVEEDORES[FECHA DE PAGO],"")</f>
        <v>4862586.33</v>
      </c>
      <c r="E264" s="27"/>
      <c r="F264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264" s="95">
        <v>44314</v>
      </c>
      <c r="H264" s="28" t="s">
        <v>345</v>
      </c>
      <c r="I264" s="95">
        <v>44287</v>
      </c>
      <c r="J264" s="38" t="s">
        <v>325</v>
      </c>
      <c r="K264" s="23">
        <v>716544</v>
      </c>
      <c r="L264" s="23"/>
      <c r="M264" s="24">
        <v>136143.36000000002</v>
      </c>
      <c r="N264" s="25"/>
      <c r="O264" s="24">
        <v>0</v>
      </c>
      <c r="P264" s="136">
        <f>+IF(PROVEEDORES[[#This Row],[SUBTOTAL]]&lt;PROVEEDORES[[#This Row],[base retencion]],0,PROVEEDORES[[#This Row],[retención aplicada]])</f>
        <v>0</v>
      </c>
      <c r="Q264" s="24">
        <f>+PROVEEDORES[[#This Row],[Rete Fuente %]]*PROVEEDORES[[#This Row],[SUBTOTAL]]</f>
        <v>0</v>
      </c>
      <c r="R264" s="23">
        <v>852687.35999999999</v>
      </c>
      <c r="S26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4" s="99">
        <f ca="1">IF(PROVEEDORES[[#This Row],[FECHA DE PAGO]]=0,TODAY()-PROVEEDORES[[#This Row],[FECHA DE FACTURACIÓN]]-PROVEEDORES[[#This Row],[PLAZO Días]],0)</f>
        <v>0</v>
      </c>
      <c r="U264" s="149">
        <f>+VLOOKUP(PROVEEDORES[[#This Row],[PROVEEDOR]],Terceros!$A:$E,5,FALSE)</f>
        <v>0</v>
      </c>
      <c r="V264" s="150">
        <f>+YEAR(PROVEEDORES[[#This Row],[FECHA DE FACTURACIÓN]])</f>
        <v>2021</v>
      </c>
      <c r="W264" s="150">
        <f>+MATCH(PROVEEDORES[[#This Row],[año facturado]],Retenciones!$1:$1,0)</f>
        <v>4</v>
      </c>
      <c r="X264" s="151">
        <f>+VLOOKUP(PROVEEDORES[[#This Row],[ID RETENCION]],Retenciones!$A$1:$O$24,PROVEEDORES[[#This Row],[indicador de columna]],FALSE)</f>
        <v>0</v>
      </c>
      <c r="Y264" s="152">
        <f>+VLOOKUP(PROVEEDORES[[#This Row],[ID RETENCION]],Retenciones!$A$1:$O$24,2,FALSE)</f>
        <v>0</v>
      </c>
      <c r="Z264" s="26"/>
      <c r="AA264" s="26"/>
      <c r="AB264" s="26"/>
      <c r="AC264" s="26"/>
      <c r="AD264" s="26"/>
      <c r="AE264" s="26"/>
    </row>
    <row r="265" spans="1:31" ht="21.95" customHeight="1" x14ac:dyDescent="0.25">
      <c r="A265" s="97" t="str">
        <f>+IF(PROVEEDORES[[#This Row],[FECHA DE PAGO]]=PROVEEDORES[[#This Row],[FECHA DE FACTURACIÓN]],"DE CONTADO","CRÉDITO")</f>
        <v>CRÉDITO</v>
      </c>
      <c r="B265" s="41" t="b">
        <f>+IF((PROVEEDORES[[#This Row],[FECHA DE PAGO]]-PROVEEDORES[[#This Row],[FECHA DE FACTURACIÓN]])&gt;PROVEEDORES[[#This Row],[PLAZO Días]],"PAGO VENCIDO")</f>
        <v>0</v>
      </c>
      <c r="C265" s="22">
        <f>+VLOOKUP(PROVEEDORES[[#This Row],[PROVEEDOR]],TERCEROS_INFO[#All],2,FALSE)</f>
        <v>30</v>
      </c>
      <c r="D265" s="27">
        <f>+SUMIFS(PROVEEDORES[Total],PROVEEDORES[PROVEEDOR],PROVEEDORES[[#This Row],[PROVEEDOR]],PROVEEDORES[FECHA DE PAGO],"")</f>
        <v>0</v>
      </c>
      <c r="E265" s="27"/>
      <c r="F265" s="62" t="str">
        <f>+VLOOKUP(PROVEEDORES[[#This Row],[PROVEEDOR]],
                       Terceros!$A:$G,
                       6,
                       FALSE)</f>
        <v>tesoreria@lacentral.com.co;girlesa.ruiz@servipilas.com;joriescobar64@gmail.com</v>
      </c>
      <c r="G265" s="95">
        <v>44314</v>
      </c>
      <c r="H265" s="28" t="s">
        <v>332</v>
      </c>
      <c r="I265" s="95">
        <v>44287</v>
      </c>
      <c r="J265" s="38">
        <v>7921</v>
      </c>
      <c r="K265" s="23">
        <v>1517363</v>
      </c>
      <c r="L265" s="23"/>
      <c r="M265" s="24">
        <v>0</v>
      </c>
      <c r="N265" s="25"/>
      <c r="O265" s="24">
        <v>360724</v>
      </c>
      <c r="P265" s="136">
        <f>+IF(PROVEEDORES[[#This Row],[SUBTOTAL]]&lt;PROVEEDORES[[#This Row],[base retencion]],0,PROVEEDORES[[#This Row],[retención aplicada]])</f>
        <v>0</v>
      </c>
      <c r="Q265" s="24">
        <f>+PROVEEDORES[[#This Row],[Rete Fuente %]]*PROVEEDORES[[#This Row],[SUBTOTAL]]</f>
        <v>0</v>
      </c>
      <c r="R265" s="23">
        <v>1156639</v>
      </c>
      <c r="S26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5" s="99">
        <f ca="1">IF(PROVEEDORES[[#This Row],[FECHA DE PAGO]]=0,TODAY()-PROVEEDORES[[#This Row],[FECHA DE FACTURACIÓN]]-PROVEEDORES[[#This Row],[PLAZO Días]],0)</f>
        <v>0</v>
      </c>
      <c r="U265" s="149">
        <f>+VLOOKUP(PROVEEDORES[[#This Row],[PROVEEDOR]],Terceros!$A:$E,5,FALSE)</f>
        <v>0</v>
      </c>
      <c r="V265" s="150">
        <f>+YEAR(PROVEEDORES[[#This Row],[FECHA DE FACTURACIÓN]])</f>
        <v>2021</v>
      </c>
      <c r="W265" s="150">
        <f>+MATCH(PROVEEDORES[[#This Row],[año facturado]],Retenciones!$1:$1,0)</f>
        <v>4</v>
      </c>
      <c r="X265" s="151">
        <f>+VLOOKUP(PROVEEDORES[[#This Row],[ID RETENCION]],Retenciones!$A$1:$O$24,PROVEEDORES[[#This Row],[indicador de columna]],FALSE)</f>
        <v>0</v>
      </c>
      <c r="Y265" s="152">
        <f>+VLOOKUP(PROVEEDORES[[#This Row],[ID RETENCION]],Retenciones!$A$1:$O$24,2,FALSE)</f>
        <v>0</v>
      </c>
      <c r="Z265" s="26"/>
      <c r="AA265" s="26"/>
      <c r="AB265" s="26"/>
      <c r="AC265" s="26"/>
      <c r="AD265" s="26"/>
      <c r="AE265" s="26"/>
    </row>
    <row r="266" spans="1:31" ht="21.95" customHeight="1" x14ac:dyDescent="0.25">
      <c r="A266" s="97" t="str">
        <f>+IF(PROVEEDORES[[#This Row],[FECHA DE PAGO]]=PROVEEDORES[[#This Row],[FECHA DE FACTURACIÓN]],"DE CONTADO","CRÉDITO")</f>
        <v>CRÉDITO</v>
      </c>
      <c r="B266" s="41" t="str">
        <f>+IF((PROVEEDORES[[#This Row],[FECHA DE PAGO]]-PROVEEDORES[[#This Row],[FECHA DE FACTURACIÓN]])&gt;PROVEEDORES[[#This Row],[PLAZO Días]],"PAGO VENCIDO")</f>
        <v>PAGO VENCIDO</v>
      </c>
      <c r="C266" s="22">
        <f>+VLOOKUP(PROVEEDORES[[#This Row],[PROVEEDOR]],TERCEROS_INFO[#All],2,FALSE)</f>
        <v>30</v>
      </c>
      <c r="D266" s="27">
        <f>+SUMIFS(PROVEEDORES[Total],PROVEEDORES[PROVEEDOR],PROVEEDORES[[#This Row],[PROVEEDOR]],PROVEEDORES[FECHA DE PAGO],"")</f>
        <v>0</v>
      </c>
      <c r="E266" s="27"/>
      <c r="F266" s="62" t="str">
        <f>+VLOOKUP(PROVEEDORES[[#This Row],[PROVEEDOR]],
                       Terceros!$A:$G,
                       6,
                       FALSE)</f>
        <v>Info.patex@gmail.com;girlesa.ruiz@servipilas.com;joriescobar64@gmail.com</v>
      </c>
      <c r="G266" s="95">
        <v>44316</v>
      </c>
      <c r="H266" s="28" t="s">
        <v>335</v>
      </c>
      <c r="I266" s="95">
        <v>44284</v>
      </c>
      <c r="J266" s="38">
        <v>68</v>
      </c>
      <c r="K266" s="23">
        <v>972802</v>
      </c>
      <c r="L266" s="23"/>
      <c r="M266" s="24">
        <v>184832.38</v>
      </c>
      <c r="N266" s="25"/>
      <c r="O266" s="24">
        <v>0</v>
      </c>
      <c r="P266" s="136">
        <f>+IF(PROVEEDORES[[#This Row],[SUBTOTAL]]&lt;PROVEEDORES[[#This Row],[base retencion]],0,PROVEEDORES[[#This Row],[retención aplicada]])</f>
        <v>0</v>
      </c>
      <c r="Q266" s="24">
        <f>+PROVEEDORES[[#This Row],[Rete Fuente %]]*PROVEEDORES[[#This Row],[SUBTOTAL]]</f>
        <v>0</v>
      </c>
      <c r="R266" s="23">
        <v>1157634.3799999999</v>
      </c>
      <c r="S26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6" s="99">
        <f ca="1">IF(PROVEEDORES[[#This Row],[FECHA DE PAGO]]=0,TODAY()-PROVEEDORES[[#This Row],[FECHA DE FACTURACIÓN]]-PROVEEDORES[[#This Row],[PLAZO Días]],0)</f>
        <v>0</v>
      </c>
      <c r="U266" s="149" t="str">
        <f>+VLOOKUP(PROVEEDORES[[#This Row],[PROVEEDOR]],Terceros!$A:$E,5,FALSE)</f>
        <v>2,5% con base</v>
      </c>
      <c r="V266" s="150">
        <f>+YEAR(PROVEEDORES[[#This Row],[FECHA DE FACTURACIÓN]])</f>
        <v>2021</v>
      </c>
      <c r="W266" s="150">
        <f>+MATCH(PROVEEDORES[[#This Row],[año facturado]],Retenciones!$1:$1,0)</f>
        <v>4</v>
      </c>
      <c r="X266" s="151">
        <f>+VLOOKUP(PROVEEDORES[[#This Row],[ID RETENCION]],Retenciones!$A$1:$O$24,PROVEEDORES[[#This Row],[indicador de columna]],FALSE)</f>
        <v>980000</v>
      </c>
      <c r="Y266" s="152">
        <f>+VLOOKUP(PROVEEDORES[[#This Row],[ID RETENCION]],Retenciones!$A$1:$O$24,2,FALSE)</f>
        <v>2.5000000000000001E-2</v>
      </c>
      <c r="Z266" s="26"/>
      <c r="AA266" s="26"/>
      <c r="AB266" s="26"/>
      <c r="AC266" s="26"/>
      <c r="AD266" s="26"/>
      <c r="AE266" s="26"/>
    </row>
    <row r="267" spans="1:31" ht="21.95" customHeight="1" x14ac:dyDescent="0.25">
      <c r="A267" s="97" t="str">
        <f>+IF(PROVEEDORES[[#This Row],[FECHA DE PAGO]]=PROVEEDORES[[#This Row],[FECHA DE FACTURACIÓN]],"DE CONTADO","CRÉDITO")</f>
        <v>DE CONTADO</v>
      </c>
      <c r="B267" s="41" t="b">
        <f>+IF((PROVEEDORES[[#This Row],[FECHA DE PAGO]]-PROVEEDORES[[#This Row],[FECHA DE FACTURACIÓN]])&gt;PROVEEDORES[[#This Row],[PLAZO Días]],"PAGO VENCIDO")</f>
        <v>0</v>
      </c>
      <c r="C267" s="22">
        <f>+VLOOKUP(PROVEEDORES[[#This Row],[PROVEEDOR]],TERCEROS_INFO[#All],2,FALSE)</f>
        <v>30</v>
      </c>
      <c r="D267" s="27">
        <f>+SUMIFS(PROVEEDORES[Total],PROVEEDORES[PROVEEDOR],PROVEEDORES[[#This Row],[PROVEEDOR]],PROVEEDORES[FECHA DE PAGO],"")</f>
        <v>0</v>
      </c>
      <c r="E267" s="27"/>
      <c r="F267" s="62" t="str">
        <f>+VLOOKUP(PROVEEDORES[[#This Row],[PROVEEDOR]],
                       Terceros!$A:$G,
                       6,
                       FALSE)</f>
        <v>Info.patex@gmail.com;girlesa.ruiz@servipilas.com;joriescobar64@gmail.com</v>
      </c>
      <c r="G267" s="95">
        <v>44316</v>
      </c>
      <c r="H267" s="28" t="s">
        <v>335</v>
      </c>
      <c r="I267" s="95">
        <v>44316</v>
      </c>
      <c r="J267" s="38" t="s">
        <v>347</v>
      </c>
      <c r="K267" s="23">
        <v>-972802</v>
      </c>
      <c r="L267" s="23"/>
      <c r="M267" s="24">
        <v>-184832.38</v>
      </c>
      <c r="N267" s="25"/>
      <c r="O267" s="24">
        <v>0</v>
      </c>
      <c r="P267" s="136">
        <f>+IF(PROVEEDORES[[#This Row],[SUBTOTAL]]&lt;PROVEEDORES[[#This Row],[base retencion]],0,PROVEEDORES[[#This Row],[retención aplicada]])</f>
        <v>0</v>
      </c>
      <c r="Q267" s="24">
        <f>+PROVEEDORES[[#This Row],[Rete Fuente %]]*PROVEEDORES[[#This Row],[SUBTOTAL]]</f>
        <v>0</v>
      </c>
      <c r="R267" s="23">
        <v>-1157634.3799999999</v>
      </c>
      <c r="S26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7" s="99">
        <f ca="1">IF(PROVEEDORES[[#This Row],[FECHA DE PAGO]]=0,TODAY()-PROVEEDORES[[#This Row],[FECHA DE FACTURACIÓN]]-PROVEEDORES[[#This Row],[PLAZO Días]],0)</f>
        <v>0</v>
      </c>
      <c r="U267" s="149" t="str">
        <f>+VLOOKUP(PROVEEDORES[[#This Row],[PROVEEDOR]],Terceros!$A:$E,5,FALSE)</f>
        <v>2,5% con base</v>
      </c>
      <c r="V267" s="150">
        <f>+YEAR(PROVEEDORES[[#This Row],[FECHA DE FACTURACIÓN]])</f>
        <v>2021</v>
      </c>
      <c r="W267" s="150">
        <f>+MATCH(PROVEEDORES[[#This Row],[año facturado]],Retenciones!$1:$1,0)</f>
        <v>4</v>
      </c>
      <c r="X267" s="151">
        <f>+VLOOKUP(PROVEEDORES[[#This Row],[ID RETENCION]],Retenciones!$A$1:$O$24,PROVEEDORES[[#This Row],[indicador de columna]],FALSE)</f>
        <v>980000</v>
      </c>
      <c r="Y267" s="152">
        <f>+VLOOKUP(PROVEEDORES[[#This Row],[ID RETENCION]],Retenciones!$A$1:$O$24,2,FALSE)</f>
        <v>2.5000000000000001E-2</v>
      </c>
      <c r="Z267" s="26"/>
      <c r="AA267" s="26"/>
      <c r="AB267" s="26"/>
      <c r="AC267" s="26"/>
      <c r="AD267" s="26"/>
      <c r="AE267" s="26"/>
    </row>
    <row r="268" spans="1:31" ht="21.95" customHeight="1" x14ac:dyDescent="0.25">
      <c r="A268" s="97" t="str">
        <f>+IF(PROVEEDORES[[#This Row],[FECHA DE PAGO]]=PROVEEDORES[[#This Row],[FECHA DE FACTURACIÓN]],"DE CONTADO","CRÉDITO")</f>
        <v>CRÉDITO</v>
      </c>
      <c r="B268" s="41" t="b">
        <f>+IF((PROVEEDORES[[#This Row],[FECHA DE PAGO]]-PROVEEDORES[[#This Row],[FECHA DE FACTURACIÓN]])&gt;PROVEEDORES[[#This Row],[PLAZO Días]],"PAGO VENCIDO")</f>
        <v>0</v>
      </c>
      <c r="C268" s="22">
        <f>+VLOOKUP(PROVEEDORES[[#This Row],[PROVEEDOR]],TERCEROS_INFO[#All],2,FALSE)</f>
        <v>30</v>
      </c>
      <c r="D268" s="27">
        <f>+SUMIFS(PROVEEDORES[Total],PROVEEDORES[PROVEEDOR],PROVEEDORES[[#This Row],[PROVEEDOR]],PROVEEDORES[FECHA DE PAGO],"")</f>
        <v>275944.33</v>
      </c>
      <c r="E268" s="27"/>
      <c r="F268" s="62" t="str">
        <f>+VLOOKUP(PROVEEDORES[[#This Row],[PROVEEDOR]],
                       Terceros!$A:$G,
                       6,
                       FALSE)</f>
        <v>facturacion@losmolinos.com.co</v>
      </c>
      <c r="G268" s="95">
        <v>44334</v>
      </c>
      <c r="H268" s="28" t="s">
        <v>342</v>
      </c>
      <c r="I268" s="95">
        <v>44317</v>
      </c>
      <c r="J268" s="38">
        <v>62725</v>
      </c>
      <c r="K268" s="23">
        <v>302625</v>
      </c>
      <c r="L268" s="23"/>
      <c r="M268" s="24">
        <v>0</v>
      </c>
      <c r="N268" s="25"/>
      <c r="O268" s="24">
        <v>75570.05</v>
      </c>
      <c r="P268" s="136">
        <f>+IF(PROVEEDORES[[#This Row],[SUBTOTAL]]&lt;PROVEEDORES[[#This Row],[base retencion]],0,PROVEEDORES[[#This Row],[retención aplicada]])</f>
        <v>0</v>
      </c>
      <c r="Q268" s="24">
        <f>+PROVEEDORES[[#This Row],[Rete Fuente %]]*PROVEEDORES[[#This Row],[SUBTOTAL]]</f>
        <v>0</v>
      </c>
      <c r="R268" s="23">
        <v>227054.95</v>
      </c>
      <c r="S26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8" s="99">
        <f ca="1">IF(PROVEEDORES[[#This Row],[FECHA DE PAGO]]=0,TODAY()-PROVEEDORES[[#This Row],[FECHA DE FACTURACIÓN]]-PROVEEDORES[[#This Row],[PLAZO Días]],0)</f>
        <v>0</v>
      </c>
      <c r="U268" s="149">
        <f>+VLOOKUP(PROVEEDORES[[#This Row],[PROVEEDOR]],Terceros!$A:$E,5,FALSE)</f>
        <v>0</v>
      </c>
      <c r="V268" s="150">
        <f>+YEAR(PROVEEDORES[[#This Row],[FECHA DE FACTURACIÓN]])</f>
        <v>2021</v>
      </c>
      <c r="W268" s="150">
        <f>+MATCH(PROVEEDORES[[#This Row],[año facturado]],Retenciones!$1:$1,0)</f>
        <v>4</v>
      </c>
      <c r="X268" s="151">
        <f>+VLOOKUP(PROVEEDORES[[#This Row],[ID RETENCION]],Retenciones!$A$1:$O$24,PROVEEDORES[[#This Row],[indicador de columna]],FALSE)</f>
        <v>0</v>
      </c>
      <c r="Y268" s="152">
        <f>+VLOOKUP(PROVEEDORES[[#This Row],[ID RETENCION]],Retenciones!$A$1:$O$24,2,FALSE)</f>
        <v>0</v>
      </c>
      <c r="Z268" s="26"/>
      <c r="AA268" s="26"/>
      <c r="AB268" s="26"/>
      <c r="AC268" s="26"/>
      <c r="AD268" s="26"/>
      <c r="AE268" s="26"/>
    </row>
    <row r="269" spans="1:31" ht="21.95" customHeight="1" x14ac:dyDescent="0.25">
      <c r="A269" s="97" t="str">
        <f>+IF(PROVEEDORES[[#This Row],[FECHA DE PAGO]]=PROVEEDORES[[#This Row],[FECHA DE FACTURACIÓN]],"DE CONTADO","CRÉDITO")</f>
        <v>CRÉDITO</v>
      </c>
      <c r="B269" s="41" t="b">
        <f>+IF((PROVEEDORES[[#This Row],[FECHA DE PAGO]]-PROVEEDORES[[#This Row],[FECHA DE FACTURACIÓN]])&gt;PROVEEDORES[[#This Row],[PLAZO Días]],"PAGO VENCIDO")</f>
        <v>0</v>
      </c>
      <c r="C269" s="22">
        <f>+VLOOKUP(PROVEEDORES[[#This Row],[PROVEEDOR]],TERCEROS_INFO[#All],2,FALSE)</f>
        <v>20</v>
      </c>
      <c r="D269" s="27">
        <f>+SUMIFS(PROVEEDORES[Total],PROVEEDORES[PROVEEDOR],PROVEEDORES[[#This Row],[PROVEEDOR]],PROVEEDORES[FECHA DE PAGO],"")</f>
        <v>0</v>
      </c>
      <c r="E269" s="27"/>
      <c r="F269" s="62" t="str">
        <f>+VLOOKUP(PROVEEDORES[[#This Row],[PROVEEDOR]],
                       Terceros!$A:$G,
                       6,
                       FALSE)</f>
        <v>pse</v>
      </c>
      <c r="G269" s="95">
        <v>44334</v>
      </c>
      <c r="H269" s="28" t="s">
        <v>370</v>
      </c>
      <c r="I269" s="95">
        <v>44317</v>
      </c>
      <c r="J269" s="38"/>
      <c r="K269" s="23">
        <v>356260</v>
      </c>
      <c r="L269" s="23"/>
      <c r="M269" s="24">
        <v>0</v>
      </c>
      <c r="N269" s="25"/>
      <c r="O269" s="24">
        <v>0</v>
      </c>
      <c r="P269" s="136">
        <f>+IF(PROVEEDORES[[#This Row],[SUBTOTAL]]&lt;PROVEEDORES[[#This Row],[base retencion]],0,PROVEEDORES[[#This Row],[retención aplicada]])</f>
        <v>0</v>
      </c>
      <c r="Q269" s="24">
        <f>+PROVEEDORES[[#This Row],[Rete Fuente %]]*PROVEEDORES[[#This Row],[SUBTOTAL]]</f>
        <v>0</v>
      </c>
      <c r="R269" s="23">
        <v>356260</v>
      </c>
      <c r="S26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9" s="99">
        <f ca="1">IF(PROVEEDORES[[#This Row],[FECHA DE PAGO]]=0,TODAY()-PROVEEDORES[[#This Row],[FECHA DE FACTURACIÓN]]-PROVEEDORES[[#This Row],[PLAZO Días]],0)</f>
        <v>0</v>
      </c>
      <c r="U269" s="149">
        <f>+VLOOKUP(PROVEEDORES[[#This Row],[PROVEEDOR]],Terceros!$A:$E,5,FALSE)</f>
        <v>0</v>
      </c>
      <c r="V269" s="150">
        <f>+YEAR(PROVEEDORES[[#This Row],[FECHA DE FACTURACIÓN]])</f>
        <v>2021</v>
      </c>
      <c r="W269" s="150">
        <f>+MATCH(PROVEEDORES[[#This Row],[año facturado]],Retenciones!$1:$1,0)</f>
        <v>4</v>
      </c>
      <c r="X269" s="151">
        <f>+VLOOKUP(PROVEEDORES[[#This Row],[ID RETENCION]],Retenciones!$A$1:$O$24,PROVEEDORES[[#This Row],[indicador de columna]],FALSE)</f>
        <v>0</v>
      </c>
      <c r="Y269" s="152">
        <f>+VLOOKUP(PROVEEDORES[[#This Row],[ID RETENCION]],Retenciones!$A$1:$O$24,2,FALSE)</f>
        <v>0</v>
      </c>
      <c r="Z269" s="26"/>
      <c r="AA269" s="26"/>
      <c r="AB269" s="26"/>
      <c r="AC269" s="26"/>
      <c r="AD269" s="26"/>
      <c r="AE269" s="26"/>
    </row>
    <row r="270" spans="1:31" ht="21.95" customHeight="1" x14ac:dyDescent="0.25">
      <c r="A270" s="97" t="str">
        <f>+IF(PROVEEDORES[[#This Row],[FECHA DE PAGO]]=PROVEEDORES[[#This Row],[FECHA DE FACTURACIÓN]],"DE CONTADO","CRÉDITO")</f>
        <v>CRÉDITO</v>
      </c>
      <c r="B270" s="41" t="b">
        <f>+IF((PROVEEDORES[[#This Row],[FECHA DE PAGO]]-PROVEEDORES[[#This Row],[FECHA DE FACTURACIÓN]])&gt;PROVEEDORES[[#This Row],[PLAZO Días]],"PAGO VENCIDO")</f>
        <v>0</v>
      </c>
      <c r="C270" s="22">
        <f>+VLOOKUP(PROVEEDORES[[#This Row],[PROVEEDOR]],TERCEROS_INFO[#All],2,FALSE)</f>
        <v>20</v>
      </c>
      <c r="D270" s="27">
        <f>+SUMIFS(PROVEEDORES[Total],PROVEEDORES[PROVEEDOR],PROVEEDORES[[#This Row],[PROVEEDOR]],PROVEEDORES[FECHA DE PAGO],"")</f>
        <v>0</v>
      </c>
      <c r="E270" s="27"/>
      <c r="F270" s="62" t="str">
        <f>+VLOOKUP(PROVEEDORES[[#This Row],[PROVEEDOR]],
                       Terceros!$A:$G,
                       6,
                       FALSE)</f>
        <v>pse</v>
      </c>
      <c r="G270" s="95">
        <v>44334</v>
      </c>
      <c r="H270" s="28" t="s">
        <v>371</v>
      </c>
      <c r="I270" s="95">
        <v>44317</v>
      </c>
      <c r="J270" s="38"/>
      <c r="K270" s="23">
        <v>765395</v>
      </c>
      <c r="L270" s="23"/>
      <c r="M270" s="24">
        <v>0</v>
      </c>
      <c r="N270" s="25"/>
      <c r="O270" s="24">
        <v>0</v>
      </c>
      <c r="P270" s="136">
        <f>+IF(PROVEEDORES[[#This Row],[SUBTOTAL]]&lt;PROVEEDORES[[#This Row],[base retencion]],0,PROVEEDORES[[#This Row],[retención aplicada]])</f>
        <v>0</v>
      </c>
      <c r="Q270" s="24">
        <f>+PROVEEDORES[[#This Row],[Rete Fuente %]]*PROVEEDORES[[#This Row],[SUBTOTAL]]</f>
        <v>0</v>
      </c>
      <c r="R270" s="23">
        <v>765395</v>
      </c>
      <c r="S27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0" s="99">
        <f ca="1">IF(PROVEEDORES[[#This Row],[FECHA DE PAGO]]=0,TODAY()-PROVEEDORES[[#This Row],[FECHA DE FACTURACIÓN]]-PROVEEDORES[[#This Row],[PLAZO Días]],0)</f>
        <v>0</v>
      </c>
      <c r="U270" s="149">
        <f>+VLOOKUP(PROVEEDORES[[#This Row],[PROVEEDOR]],Terceros!$A:$E,5,FALSE)</f>
        <v>0</v>
      </c>
      <c r="V270" s="150">
        <f>+YEAR(PROVEEDORES[[#This Row],[FECHA DE FACTURACIÓN]])</f>
        <v>2021</v>
      </c>
      <c r="W270" s="150">
        <f>+MATCH(PROVEEDORES[[#This Row],[año facturado]],Retenciones!$1:$1,0)</f>
        <v>4</v>
      </c>
      <c r="X270" s="151">
        <f>+VLOOKUP(PROVEEDORES[[#This Row],[ID RETENCION]],Retenciones!$A$1:$O$24,PROVEEDORES[[#This Row],[indicador de columna]],FALSE)</f>
        <v>0</v>
      </c>
      <c r="Y270" s="152">
        <f>+VLOOKUP(PROVEEDORES[[#This Row],[ID RETENCION]],Retenciones!$A$1:$O$24,2,FALSE)</f>
        <v>0</v>
      </c>
      <c r="Z270" s="26"/>
      <c r="AA270" s="26"/>
      <c r="AB270" s="26"/>
      <c r="AC270" s="26"/>
      <c r="AD270" s="26"/>
      <c r="AE270" s="26"/>
    </row>
    <row r="271" spans="1:31" ht="21.95" customHeight="1" x14ac:dyDescent="0.25">
      <c r="A271" s="97" t="str">
        <f>+IF(PROVEEDORES[[#This Row],[FECHA DE PAGO]]=PROVEEDORES[[#This Row],[FECHA DE FACTURACIÓN]],"DE CONTADO","CRÉDITO")</f>
        <v>CRÉDITO</v>
      </c>
      <c r="B271" s="41" t="b">
        <f>+IF((PROVEEDORES[[#This Row],[FECHA DE PAGO]]-PROVEEDORES[[#This Row],[FECHA DE FACTURACIÓN]])&gt;PROVEEDORES[[#This Row],[PLAZO Días]],"PAGO VENCIDO")</f>
        <v>0</v>
      </c>
      <c r="C271" s="22">
        <f>+VLOOKUP(PROVEEDORES[[#This Row],[PROVEEDOR]],TERCEROS_INFO[#All],2,FALSE)</f>
        <v>30</v>
      </c>
      <c r="D271" s="27">
        <f>+SUMIFS(PROVEEDORES[Total],PROVEEDORES[PROVEEDOR],PROVEEDORES[[#This Row],[PROVEEDOR]],PROVEEDORES[FECHA DE PAGO],"")</f>
        <v>6466720</v>
      </c>
      <c r="E271" s="27"/>
      <c r="F271" s="62" t="str">
        <f>+VLOOKUP(PROVEEDORES[[#This Row],[PROVEEDOR]],
                       Terceros!$A:$G,
                       6,
                       FALSE)</f>
        <v>PSE</v>
      </c>
      <c r="G271" s="95">
        <v>44334</v>
      </c>
      <c r="H271" s="28" t="s">
        <v>369</v>
      </c>
      <c r="I271" s="95">
        <v>44317</v>
      </c>
      <c r="J271" s="38" t="s">
        <v>696</v>
      </c>
      <c r="K271" s="23">
        <v>2643860</v>
      </c>
      <c r="L271" s="23"/>
      <c r="M271" s="24">
        <v>0</v>
      </c>
      <c r="N271" s="25"/>
      <c r="O271" s="24">
        <v>0</v>
      </c>
      <c r="P271" s="136">
        <f>+IF(PROVEEDORES[[#This Row],[SUBTOTAL]]&lt;PROVEEDORES[[#This Row],[base retencion]],0,PROVEEDORES[[#This Row],[retención aplicada]])</f>
        <v>0</v>
      </c>
      <c r="Q271" s="24">
        <f>+PROVEEDORES[[#This Row],[Rete Fuente %]]*PROVEEDORES[[#This Row],[SUBTOTAL]]</f>
        <v>0</v>
      </c>
      <c r="R271" s="23">
        <v>2643860</v>
      </c>
      <c r="S27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1" s="99">
        <f ca="1">IF(PROVEEDORES[[#This Row],[FECHA DE PAGO]]=0,TODAY()-PROVEEDORES[[#This Row],[FECHA DE FACTURACIÓN]]-PROVEEDORES[[#This Row],[PLAZO Días]],0)</f>
        <v>0</v>
      </c>
      <c r="U271" s="149">
        <f>+VLOOKUP(PROVEEDORES[[#This Row],[PROVEEDOR]],Terceros!$A:$E,5,FALSE)</f>
        <v>0</v>
      </c>
      <c r="V271" s="150">
        <f>+YEAR(PROVEEDORES[[#This Row],[FECHA DE FACTURACIÓN]])</f>
        <v>2021</v>
      </c>
      <c r="W271" s="150">
        <f>+MATCH(PROVEEDORES[[#This Row],[año facturado]],Retenciones!$1:$1,0)</f>
        <v>4</v>
      </c>
      <c r="X271" s="151">
        <f>+VLOOKUP(PROVEEDORES[[#This Row],[ID RETENCION]],Retenciones!$A$1:$O$24,PROVEEDORES[[#This Row],[indicador de columna]],FALSE)</f>
        <v>0</v>
      </c>
      <c r="Y271" s="152">
        <f>+VLOOKUP(PROVEEDORES[[#This Row],[ID RETENCION]],Retenciones!$A$1:$O$24,2,FALSE)</f>
        <v>0</v>
      </c>
      <c r="Z271" s="26"/>
      <c r="AA271" s="26"/>
      <c r="AB271" s="26"/>
      <c r="AC271" s="26"/>
      <c r="AD271" s="26"/>
      <c r="AE271" s="26"/>
    </row>
    <row r="272" spans="1:31" ht="21.95" customHeight="1" x14ac:dyDescent="0.25">
      <c r="A272" s="97" t="str">
        <f>+IF(PROVEEDORES[[#This Row],[FECHA DE PAGO]]=PROVEEDORES[[#This Row],[FECHA DE FACTURACIÓN]],"DE CONTADO","CRÉDITO")</f>
        <v>CRÉDITO</v>
      </c>
      <c r="B272" s="41" t="str">
        <f>+IF((PROVEEDORES[[#This Row],[FECHA DE PAGO]]-PROVEEDORES[[#This Row],[FECHA DE FACTURACIÓN]])&gt;PROVEEDORES[[#This Row],[PLAZO Días]],"PAGO VENCIDO")</f>
        <v>PAGO VENCIDO</v>
      </c>
      <c r="C272" s="22">
        <f>+VLOOKUP(PROVEEDORES[[#This Row],[PROVEEDOR]],TERCEROS_INFO[#All],2,FALSE)</f>
        <v>30</v>
      </c>
      <c r="D272" s="27">
        <f>+SUMIFS(PROVEEDORES[Total],PROVEEDORES[PROVEEDOR],PROVEEDORES[[#This Row],[PROVEEDOR]],PROVEEDORES[FECHA DE PAGO],"")</f>
        <v>1856492</v>
      </c>
      <c r="E272" s="27"/>
      <c r="F272" s="62" t="str">
        <f>+VLOOKUP(PROVEEDORES[[#This Row],[PROVEEDOR]],
                       Terceros!$A:$G,
                       6,
                       FALSE)</f>
        <v>PSE</v>
      </c>
      <c r="G272" s="95">
        <v>44340</v>
      </c>
      <c r="H272" s="28" t="s">
        <v>334</v>
      </c>
      <c r="I272" s="95">
        <v>44287</v>
      </c>
      <c r="J272" s="38" t="s">
        <v>317</v>
      </c>
      <c r="K272" s="23">
        <v>1230953</v>
      </c>
      <c r="L272" s="23"/>
      <c r="M272" s="24">
        <v>0</v>
      </c>
      <c r="N272" s="25"/>
      <c r="O272" s="24">
        <v>0</v>
      </c>
      <c r="P272" s="136">
        <f>+IF(PROVEEDORES[[#This Row],[SUBTOTAL]]&lt;PROVEEDORES[[#This Row],[base retencion]],0,PROVEEDORES[[#This Row],[retención aplicada]])</f>
        <v>0</v>
      </c>
      <c r="Q272" s="24">
        <f>+PROVEEDORES[[#This Row],[Rete Fuente %]]*PROVEEDORES[[#This Row],[SUBTOTAL]]</f>
        <v>0</v>
      </c>
      <c r="R272" s="23">
        <v>1230953</v>
      </c>
      <c r="S27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2" s="99">
        <f ca="1">IF(PROVEEDORES[[#This Row],[FECHA DE PAGO]]=0,TODAY()-PROVEEDORES[[#This Row],[FECHA DE FACTURACIÓN]]-PROVEEDORES[[#This Row],[PLAZO Días]],0)</f>
        <v>0</v>
      </c>
      <c r="U272" s="149">
        <f>+VLOOKUP(PROVEEDORES[[#This Row],[PROVEEDOR]],Terceros!$A:$E,5,FALSE)</f>
        <v>0</v>
      </c>
      <c r="V272" s="150">
        <f>+YEAR(PROVEEDORES[[#This Row],[FECHA DE FACTURACIÓN]])</f>
        <v>2021</v>
      </c>
      <c r="W272" s="150">
        <f>+MATCH(PROVEEDORES[[#This Row],[año facturado]],Retenciones!$1:$1,0)</f>
        <v>4</v>
      </c>
      <c r="X272" s="151">
        <f>+VLOOKUP(PROVEEDORES[[#This Row],[ID RETENCION]],Retenciones!$A$1:$O$24,PROVEEDORES[[#This Row],[indicador de columna]],FALSE)</f>
        <v>0</v>
      </c>
      <c r="Y272" s="152">
        <f>+VLOOKUP(PROVEEDORES[[#This Row],[ID RETENCION]],Retenciones!$A$1:$O$24,2,FALSE)</f>
        <v>0</v>
      </c>
      <c r="Z272" s="26"/>
      <c r="AA272" s="26"/>
      <c r="AB272" s="26"/>
      <c r="AC272" s="26"/>
      <c r="AD272" s="26"/>
      <c r="AE272" s="26"/>
    </row>
    <row r="273" spans="1:31" ht="21.95" customHeight="1" x14ac:dyDescent="0.25">
      <c r="A273" s="97" t="str">
        <f>+IF(PROVEEDORES[[#This Row],[FECHA DE PAGO]]=PROVEEDORES[[#This Row],[FECHA DE FACTURACIÓN]],"DE CONTADO","CRÉDITO")</f>
        <v>CRÉDITO</v>
      </c>
      <c r="B273" s="41" t="str">
        <f>+IF((PROVEEDORES[[#This Row],[FECHA DE PAGO]]-PROVEEDORES[[#This Row],[FECHA DE FACTURACIÓN]])&gt;PROVEEDORES[[#This Row],[PLAZO Días]],"PAGO VENCIDO")</f>
        <v>PAGO VENCIDO</v>
      </c>
      <c r="C273" s="22">
        <f>+VLOOKUP(PROVEEDORES[[#This Row],[PROVEEDOR]],TERCEROS_INFO[#All],2,FALSE)</f>
        <v>30</v>
      </c>
      <c r="D273" s="27">
        <f>+SUMIFS(PROVEEDORES[Total],PROVEEDORES[PROVEEDOR],PROVEEDORES[[#This Row],[PROVEEDOR]],PROVEEDORES[FECHA DE PAGO],"")</f>
        <v>1856492</v>
      </c>
      <c r="E273" s="27"/>
      <c r="F273" s="62" t="str">
        <f>+VLOOKUP(PROVEEDORES[[#This Row],[PROVEEDOR]],
                       Terceros!$A:$G,
                       6,
                       FALSE)</f>
        <v>PSE</v>
      </c>
      <c r="G273" s="95">
        <v>44340</v>
      </c>
      <c r="H273" s="28" t="s">
        <v>334</v>
      </c>
      <c r="I273" s="95">
        <v>44293</v>
      </c>
      <c r="J273" s="38" t="s">
        <v>319</v>
      </c>
      <c r="K273" s="23">
        <v>256261</v>
      </c>
      <c r="L273" s="23"/>
      <c r="M273" s="24">
        <v>0</v>
      </c>
      <c r="N273" s="25"/>
      <c r="O273" s="24">
        <v>0</v>
      </c>
      <c r="P273" s="136">
        <f>+IF(PROVEEDORES[[#This Row],[SUBTOTAL]]&lt;PROVEEDORES[[#This Row],[base retencion]],0,PROVEEDORES[[#This Row],[retención aplicada]])</f>
        <v>0</v>
      </c>
      <c r="Q273" s="24">
        <f>+PROVEEDORES[[#This Row],[Rete Fuente %]]*PROVEEDORES[[#This Row],[SUBTOTAL]]</f>
        <v>0</v>
      </c>
      <c r="R273" s="23">
        <v>256261</v>
      </c>
      <c r="S27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3" s="99">
        <f ca="1">IF(PROVEEDORES[[#This Row],[FECHA DE PAGO]]=0,TODAY()-PROVEEDORES[[#This Row],[FECHA DE FACTURACIÓN]]-PROVEEDORES[[#This Row],[PLAZO Días]],0)</f>
        <v>0</v>
      </c>
      <c r="U273" s="149">
        <f>+VLOOKUP(PROVEEDORES[[#This Row],[PROVEEDOR]],Terceros!$A:$E,5,FALSE)</f>
        <v>0</v>
      </c>
      <c r="V273" s="150">
        <f>+YEAR(PROVEEDORES[[#This Row],[FECHA DE FACTURACIÓN]])</f>
        <v>2021</v>
      </c>
      <c r="W273" s="150">
        <f>+MATCH(PROVEEDORES[[#This Row],[año facturado]],Retenciones!$1:$1,0)</f>
        <v>4</v>
      </c>
      <c r="X273" s="151">
        <f>+VLOOKUP(PROVEEDORES[[#This Row],[ID RETENCION]],Retenciones!$A$1:$O$24,PROVEEDORES[[#This Row],[indicador de columna]],FALSE)</f>
        <v>0</v>
      </c>
      <c r="Y273" s="152">
        <f>+VLOOKUP(PROVEEDORES[[#This Row],[ID RETENCION]],Retenciones!$A$1:$O$24,2,FALSE)</f>
        <v>0</v>
      </c>
      <c r="Z273" s="26"/>
      <c r="AA273" s="26"/>
      <c r="AB273" s="26"/>
      <c r="AC273" s="26"/>
      <c r="AD273" s="26"/>
      <c r="AE273" s="26"/>
    </row>
    <row r="274" spans="1:31" ht="21.95" customHeight="1" x14ac:dyDescent="0.25">
      <c r="A274" s="97" t="str">
        <f>+IF(PROVEEDORES[[#This Row],[FECHA DE PAGO]]=PROVEEDORES[[#This Row],[FECHA DE FACTURACIÓN]],"DE CONTADO","CRÉDITO")</f>
        <v>CRÉDITO</v>
      </c>
      <c r="B274" s="41" t="str">
        <f>+IF((PROVEEDORES[[#This Row],[FECHA DE PAGO]]-PROVEEDORES[[#This Row],[FECHA DE FACTURACIÓN]])&gt;PROVEEDORES[[#This Row],[PLAZO Días]],"PAGO VENCIDO")</f>
        <v>PAGO VENCIDO</v>
      </c>
      <c r="C274" s="22">
        <f>+VLOOKUP(PROVEEDORES[[#This Row],[PROVEEDOR]],TERCEROS_INFO[#All],2,FALSE)</f>
        <v>30</v>
      </c>
      <c r="D274" s="27">
        <f>+SUMIFS(PROVEEDORES[Total],PROVEEDORES[PROVEEDOR],PROVEEDORES[[#This Row],[PROVEEDOR]],PROVEEDORES[FECHA DE PAGO],"")</f>
        <v>1856492</v>
      </c>
      <c r="E274" s="27"/>
      <c r="F274" s="62" t="str">
        <f>+VLOOKUP(PROVEEDORES[[#This Row],[PROVEEDOR]],
                       Terceros!$A:$G,
                       6,
                       FALSE)</f>
        <v>PSE</v>
      </c>
      <c r="G274" s="95">
        <v>44340</v>
      </c>
      <c r="H274" s="28" t="s">
        <v>334</v>
      </c>
      <c r="I274" s="95">
        <v>44293</v>
      </c>
      <c r="J274" s="38" t="s">
        <v>318</v>
      </c>
      <c r="K274" s="23">
        <v>1545030</v>
      </c>
      <c r="L274" s="23"/>
      <c r="M274" s="24">
        <v>0</v>
      </c>
      <c r="N274" s="25"/>
      <c r="O274" s="24">
        <v>0</v>
      </c>
      <c r="P274" s="136">
        <f>+IF(PROVEEDORES[[#This Row],[SUBTOTAL]]&lt;PROVEEDORES[[#This Row],[base retencion]],0,PROVEEDORES[[#This Row],[retención aplicada]])</f>
        <v>0</v>
      </c>
      <c r="Q274" s="24">
        <f>+PROVEEDORES[[#This Row],[Rete Fuente %]]*PROVEEDORES[[#This Row],[SUBTOTAL]]</f>
        <v>0</v>
      </c>
      <c r="R274" s="23">
        <v>1545030</v>
      </c>
      <c r="S27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4" s="99">
        <f ca="1">IF(PROVEEDORES[[#This Row],[FECHA DE PAGO]]=0,TODAY()-PROVEEDORES[[#This Row],[FECHA DE FACTURACIÓN]]-PROVEEDORES[[#This Row],[PLAZO Días]],0)</f>
        <v>0</v>
      </c>
      <c r="U274" s="149">
        <f>+VLOOKUP(PROVEEDORES[[#This Row],[PROVEEDOR]],Terceros!$A:$E,5,FALSE)</f>
        <v>0</v>
      </c>
      <c r="V274" s="150">
        <f>+YEAR(PROVEEDORES[[#This Row],[FECHA DE FACTURACIÓN]])</f>
        <v>2021</v>
      </c>
      <c r="W274" s="150">
        <f>+MATCH(PROVEEDORES[[#This Row],[año facturado]],Retenciones!$1:$1,0)</f>
        <v>4</v>
      </c>
      <c r="X274" s="151">
        <f>+VLOOKUP(PROVEEDORES[[#This Row],[ID RETENCION]],Retenciones!$A$1:$O$24,PROVEEDORES[[#This Row],[indicador de columna]],FALSE)</f>
        <v>0</v>
      </c>
      <c r="Y274" s="152">
        <f>+VLOOKUP(PROVEEDORES[[#This Row],[ID RETENCION]],Retenciones!$A$1:$O$24,2,FALSE)</f>
        <v>0</v>
      </c>
      <c r="Z274" s="26"/>
      <c r="AA274" s="26"/>
      <c r="AB274" s="26"/>
      <c r="AC274" s="26"/>
      <c r="AD274" s="26"/>
      <c r="AE274" s="26"/>
    </row>
    <row r="275" spans="1:31" ht="21.95" customHeight="1" x14ac:dyDescent="0.25">
      <c r="A275" s="97" t="str">
        <f>+IF(PROVEEDORES[[#This Row],[FECHA DE PAGO]]=PROVEEDORES[[#This Row],[FECHA DE FACTURACIÓN]],"DE CONTADO","CRÉDITO")</f>
        <v>CRÉDITO</v>
      </c>
      <c r="B275" s="41" t="b">
        <f>+IF((PROVEEDORES[[#This Row],[FECHA DE PAGO]]-PROVEEDORES[[#This Row],[FECHA DE FACTURACIÓN]])&gt;PROVEEDORES[[#This Row],[PLAZO Días]],"PAGO VENCIDO")</f>
        <v>0</v>
      </c>
      <c r="C275" s="22">
        <f>+VLOOKUP(PROVEEDORES[[#This Row],[PROVEEDOR]],TERCEROS_INFO[#All],2,FALSE)</f>
        <v>30</v>
      </c>
      <c r="D275" s="27">
        <f>+SUMIFS(PROVEEDORES[Total],PROVEEDORES[PROVEEDOR],PROVEEDORES[[#This Row],[PROVEEDOR]],PROVEEDORES[FECHA DE PAGO],"")</f>
        <v>0</v>
      </c>
      <c r="E275" s="27"/>
      <c r="F275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275" s="95">
        <v>44292</v>
      </c>
      <c r="H275" s="28" t="s">
        <v>1040</v>
      </c>
      <c r="I275" s="95">
        <v>44290</v>
      </c>
      <c r="J275" s="38">
        <v>271</v>
      </c>
      <c r="K275" s="23">
        <v>264000</v>
      </c>
      <c r="L275" s="23"/>
      <c r="M275" s="24">
        <v>0</v>
      </c>
      <c r="N275" s="25"/>
      <c r="O275" s="24">
        <v>0</v>
      </c>
      <c r="P275" s="136">
        <f>+IF(PROVEEDORES[[#This Row],[SUBTOTAL]]&lt;PROVEEDORES[[#This Row],[base retencion]],0,PROVEEDORES[[#This Row],[retención aplicada]])</f>
        <v>0</v>
      </c>
      <c r="Q275" s="24">
        <f>+PROVEEDORES[[#This Row],[Rete Fuente %]]*PROVEEDORES[[#This Row],[SUBTOTAL]]</f>
        <v>0</v>
      </c>
      <c r="R275" s="23">
        <v>264000</v>
      </c>
      <c r="S27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5" s="99">
        <f ca="1">IF(PROVEEDORES[[#This Row],[FECHA DE PAGO]]=0,TODAY()-PROVEEDORES[[#This Row],[FECHA DE FACTURACIÓN]]-PROVEEDORES[[#This Row],[PLAZO Días]],0)</f>
        <v>0</v>
      </c>
      <c r="U275" s="149">
        <f>+VLOOKUP(PROVEEDORES[[#This Row],[PROVEEDOR]],Terceros!$A:$E,5,FALSE)</f>
        <v>0</v>
      </c>
      <c r="V275" s="150">
        <f>+YEAR(PROVEEDORES[[#This Row],[FECHA DE FACTURACIÓN]])</f>
        <v>2021</v>
      </c>
      <c r="W275" s="150">
        <f>+MATCH(PROVEEDORES[[#This Row],[año facturado]],Retenciones!$1:$1,0)</f>
        <v>4</v>
      </c>
      <c r="X275" s="151">
        <f>+VLOOKUP(PROVEEDORES[[#This Row],[ID RETENCION]],Retenciones!$A$1:$O$24,PROVEEDORES[[#This Row],[indicador de columna]],FALSE)</f>
        <v>0</v>
      </c>
      <c r="Y275" s="152">
        <f>+VLOOKUP(PROVEEDORES[[#This Row],[ID RETENCION]],Retenciones!$A$1:$O$24,2,FALSE)</f>
        <v>0</v>
      </c>
      <c r="Z275" s="26"/>
      <c r="AA275" s="26"/>
      <c r="AB275" s="26"/>
      <c r="AC275" s="26"/>
      <c r="AD275" s="26"/>
      <c r="AE275" s="26"/>
    </row>
    <row r="276" spans="1:31" ht="21.95" customHeight="1" x14ac:dyDescent="0.25">
      <c r="A276" s="97" t="str">
        <f>+IF(PROVEEDORES[[#This Row],[FECHA DE PAGO]]=PROVEEDORES[[#This Row],[FECHA DE FACTURACIÓN]],"DE CONTADO","CRÉDITO")</f>
        <v>CRÉDITO</v>
      </c>
      <c r="B276" s="41" t="b">
        <f>+IF((PROVEEDORES[[#This Row],[FECHA DE PAGO]]-PROVEEDORES[[#This Row],[FECHA DE FACTURACIÓN]])&gt;PROVEEDORES[[#This Row],[PLAZO Días]],"PAGO VENCIDO")</f>
        <v>0</v>
      </c>
      <c r="C276" s="22">
        <f>+VLOOKUP(PROVEEDORES[[#This Row],[PROVEEDOR]],TERCEROS_INFO[#All],2,FALSE)</f>
        <v>30</v>
      </c>
      <c r="D276" s="27">
        <f>+SUMIFS(PROVEEDORES[Total],PROVEEDORES[PROVEEDOR],PROVEEDORES[[#This Row],[PROVEEDOR]],PROVEEDORES[FECHA DE PAGO],"")</f>
        <v>395010</v>
      </c>
      <c r="E276" s="27"/>
      <c r="F276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276" s="95">
        <v>44292</v>
      </c>
      <c r="H276" s="28" t="s">
        <v>141</v>
      </c>
      <c r="I276" s="95">
        <v>44290</v>
      </c>
      <c r="J276" s="38">
        <v>82</v>
      </c>
      <c r="K276" s="23">
        <v>320000</v>
      </c>
      <c r="L276" s="23"/>
      <c r="M276" s="24">
        <v>60800</v>
      </c>
      <c r="N276" s="25"/>
      <c r="O276" s="24">
        <v>0</v>
      </c>
      <c r="P276" s="136">
        <f>+IF(PROVEEDORES[[#This Row],[SUBTOTAL]]&lt;PROVEEDORES[[#This Row],[base retencion]],0,PROVEEDORES[[#This Row],[retención aplicada]])</f>
        <v>0.01</v>
      </c>
      <c r="Q276" s="24">
        <f>+PROVEEDORES[[#This Row],[Rete Fuente %]]*PROVEEDORES[[#This Row],[SUBTOTAL]]</f>
        <v>3200</v>
      </c>
      <c r="R276" s="23">
        <v>377600</v>
      </c>
      <c r="S27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6" s="99">
        <f ca="1">IF(PROVEEDORES[[#This Row],[FECHA DE PAGO]]=0,TODAY()-PROVEEDORES[[#This Row],[FECHA DE FACTURACIÓN]]-PROVEEDORES[[#This Row],[PLAZO Días]],0)</f>
        <v>0</v>
      </c>
      <c r="U276" s="149" t="str">
        <f>+VLOOKUP(PROVEEDORES[[#This Row],[PROVEEDOR]],Terceros!$A:$E,5,FALSE)</f>
        <v>1% con base</v>
      </c>
      <c r="V276" s="150">
        <f>+YEAR(PROVEEDORES[[#This Row],[FECHA DE FACTURACIÓN]])</f>
        <v>2021</v>
      </c>
      <c r="W276" s="150">
        <f>+MATCH(PROVEEDORES[[#This Row],[año facturado]],Retenciones!$1:$1,0)</f>
        <v>4</v>
      </c>
      <c r="X276" s="151">
        <f>+VLOOKUP(PROVEEDORES[[#This Row],[ID RETENCION]],Retenciones!$A$1:$O$24,PROVEEDORES[[#This Row],[indicador de columna]],FALSE)</f>
        <v>145000</v>
      </c>
      <c r="Y276" s="152">
        <f>+VLOOKUP(PROVEEDORES[[#This Row],[ID RETENCION]],Retenciones!$A$1:$O$24,2,FALSE)</f>
        <v>0.01</v>
      </c>
      <c r="Z276" s="26"/>
      <c r="AA276" s="26"/>
      <c r="AB276" s="26"/>
      <c r="AC276" s="26"/>
      <c r="AD276" s="26"/>
      <c r="AE276" s="26"/>
    </row>
    <row r="277" spans="1:31" ht="21.95" customHeight="1" x14ac:dyDescent="0.25">
      <c r="A277" s="97" t="str">
        <f>+IF(PROVEEDORES[[#This Row],[FECHA DE PAGO]]=PROVEEDORES[[#This Row],[FECHA DE FACTURACIÓN]],"DE CONTADO","CRÉDITO")</f>
        <v>DE CONTADO</v>
      </c>
      <c r="B277" s="41" t="b">
        <f>+IF((PROVEEDORES[[#This Row],[FECHA DE PAGO]]-PROVEEDORES[[#This Row],[FECHA DE FACTURACIÓN]])&gt;PROVEEDORES[[#This Row],[PLAZO Días]],"PAGO VENCIDO")</f>
        <v>0</v>
      </c>
      <c r="C277" s="22">
        <f>+VLOOKUP(PROVEEDORES[[#This Row],[PROVEEDOR]],TERCEROS_INFO[#All],2,FALSE)</f>
        <v>30</v>
      </c>
      <c r="D277" s="27">
        <f>+SUMIFS(PROVEEDORES[Total],PROVEEDORES[PROVEEDOR],PROVEEDORES[[#This Row],[PROVEEDOR]],PROVEEDORES[FECHA DE PAGO],"")</f>
        <v>0</v>
      </c>
      <c r="E277" s="27"/>
      <c r="F277" s="62" t="str">
        <f>+VLOOKUP(PROVEEDORES[[#This Row],[PROVEEDOR]],
                       Terceros!$A:$G,
                       6,
                       FALSE)</f>
        <v/>
      </c>
      <c r="G277" s="95">
        <v>44290</v>
      </c>
      <c r="H277" s="28" t="s">
        <v>1046</v>
      </c>
      <c r="I277" s="95">
        <v>44290</v>
      </c>
      <c r="J277" s="38"/>
      <c r="K277" s="23">
        <v>1000000</v>
      </c>
      <c r="L277" s="23"/>
      <c r="M277" s="24">
        <v>0</v>
      </c>
      <c r="N277" s="25"/>
      <c r="O277" s="24">
        <v>0</v>
      </c>
      <c r="P277" s="136">
        <f>+IF(PROVEEDORES[[#This Row],[SUBTOTAL]]&lt;PROVEEDORES[[#This Row],[base retencion]],0,PROVEEDORES[[#This Row],[retención aplicada]])</f>
        <v>0</v>
      </c>
      <c r="Q277" s="24">
        <f>+PROVEEDORES[[#This Row],[Rete Fuente %]]*PROVEEDORES[[#This Row],[SUBTOTAL]]</f>
        <v>0</v>
      </c>
      <c r="R277" s="23">
        <v>1000000</v>
      </c>
      <c r="S27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7" s="99">
        <f ca="1">IF(PROVEEDORES[[#This Row],[FECHA DE PAGO]]=0,TODAY()-PROVEEDORES[[#This Row],[FECHA DE FACTURACIÓN]]-PROVEEDORES[[#This Row],[PLAZO Días]],0)</f>
        <v>0</v>
      </c>
      <c r="U277" s="149">
        <f>+VLOOKUP(PROVEEDORES[[#This Row],[PROVEEDOR]],Terceros!$A:$E,5,FALSE)</f>
        <v>0</v>
      </c>
      <c r="V277" s="150">
        <f>+YEAR(PROVEEDORES[[#This Row],[FECHA DE FACTURACIÓN]])</f>
        <v>2021</v>
      </c>
      <c r="W277" s="150">
        <f>+MATCH(PROVEEDORES[[#This Row],[año facturado]],Retenciones!$1:$1,0)</f>
        <v>4</v>
      </c>
      <c r="X277" s="151">
        <f>+VLOOKUP(PROVEEDORES[[#This Row],[ID RETENCION]],Retenciones!$A$1:$O$24,PROVEEDORES[[#This Row],[indicador de columna]],FALSE)</f>
        <v>0</v>
      </c>
      <c r="Y277" s="152">
        <f>+VLOOKUP(PROVEEDORES[[#This Row],[ID RETENCION]],Retenciones!$A$1:$O$24,2,FALSE)</f>
        <v>0</v>
      </c>
      <c r="Z277" s="26"/>
      <c r="AA277" s="26"/>
      <c r="AB277" s="26"/>
      <c r="AC277" s="26"/>
      <c r="AD277" s="26"/>
      <c r="AE277" s="26"/>
    </row>
    <row r="278" spans="1:31" ht="21.95" customHeight="1" x14ac:dyDescent="0.25">
      <c r="A278" s="97" t="str">
        <f>+IF(PROVEEDORES[[#This Row],[FECHA DE PAGO]]=PROVEEDORES[[#This Row],[FECHA DE FACTURACIÓN]],"DE CONTADO","CRÉDITO")</f>
        <v>CRÉDITO</v>
      </c>
      <c r="B278" s="41" t="b">
        <f>+IF((PROVEEDORES[[#This Row],[FECHA DE PAGO]]-PROVEEDORES[[#This Row],[FECHA DE FACTURACIÓN]])&gt;PROVEEDORES[[#This Row],[PLAZO Días]],"PAGO VENCIDO")</f>
        <v>0</v>
      </c>
      <c r="C278" s="22">
        <f>+VLOOKUP(PROVEEDORES[[#This Row],[PROVEEDOR]],TERCEROS_INFO[#All],2,FALSE)</f>
        <v>20</v>
      </c>
      <c r="D278" s="27">
        <f>+SUMIFS(PROVEEDORES[Total],PROVEEDORES[PROVEEDOR],PROVEEDORES[[#This Row],[PROVEEDOR]],PROVEEDORES[FECHA DE PAGO],"")</f>
        <v>0</v>
      </c>
      <c r="E278" s="27"/>
      <c r="F278" s="62" t="str">
        <f>+VLOOKUP(PROVEEDORES[[#This Row],[PROVEEDOR]],
                       Terceros!$A:$G,
                       6,
                       FALSE)</f>
        <v>facturasimh@simh.com.co;girlesa.ruiz@servipilas.com;joriescobar64@gmail.com</v>
      </c>
      <c r="G278" s="95">
        <v>44298</v>
      </c>
      <c r="H278" s="28" t="s">
        <v>298</v>
      </c>
      <c r="I278" s="95">
        <v>44291</v>
      </c>
      <c r="J278" s="38"/>
      <c r="K278" s="23">
        <v>810000</v>
      </c>
      <c r="L278" s="23"/>
      <c r="M278" s="24">
        <v>0</v>
      </c>
      <c r="N278" s="25"/>
      <c r="O278" s="24">
        <v>0</v>
      </c>
      <c r="P278" s="136">
        <f>+IF(PROVEEDORES[[#This Row],[SUBTOTAL]]&lt;PROVEEDORES[[#This Row],[base retencion]],0,PROVEEDORES[[#This Row],[retención aplicada]])</f>
        <v>0</v>
      </c>
      <c r="Q278" s="24">
        <f>+PROVEEDORES[[#This Row],[Rete Fuente %]]*PROVEEDORES[[#This Row],[SUBTOTAL]]</f>
        <v>0</v>
      </c>
      <c r="R278" s="23">
        <v>810000</v>
      </c>
      <c r="S27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8" s="99">
        <f ca="1">IF(PROVEEDORES[[#This Row],[FECHA DE PAGO]]=0,TODAY()-PROVEEDORES[[#This Row],[FECHA DE FACTURACIÓN]]-PROVEEDORES[[#This Row],[PLAZO Días]],0)</f>
        <v>0</v>
      </c>
      <c r="U278" s="149">
        <f>+VLOOKUP(PROVEEDORES[[#This Row],[PROVEEDOR]],Terceros!$A:$E,5,FALSE)</f>
        <v>0</v>
      </c>
      <c r="V278" s="150">
        <f>+YEAR(PROVEEDORES[[#This Row],[FECHA DE FACTURACIÓN]])</f>
        <v>2021</v>
      </c>
      <c r="W278" s="150">
        <f>+MATCH(PROVEEDORES[[#This Row],[año facturado]],Retenciones!$1:$1,0)</f>
        <v>4</v>
      </c>
      <c r="X278" s="151">
        <f>+VLOOKUP(PROVEEDORES[[#This Row],[ID RETENCION]],Retenciones!$A$1:$O$24,PROVEEDORES[[#This Row],[indicador de columna]],FALSE)</f>
        <v>0</v>
      </c>
      <c r="Y278" s="152">
        <f>+VLOOKUP(PROVEEDORES[[#This Row],[ID RETENCION]],Retenciones!$A$1:$O$24,2,FALSE)</f>
        <v>0</v>
      </c>
      <c r="Z278" s="26"/>
      <c r="AA278" s="26"/>
      <c r="AB278" s="26"/>
      <c r="AC278" s="26"/>
      <c r="AD278" s="26"/>
      <c r="AE278" s="26"/>
    </row>
    <row r="279" spans="1:31" ht="21.95" customHeight="1" x14ac:dyDescent="0.25">
      <c r="A279" s="97" t="str">
        <f>+IF(PROVEEDORES[[#This Row],[FECHA DE PAGO]]=PROVEEDORES[[#This Row],[FECHA DE FACTURACIÓN]],"DE CONTADO","CRÉDITO")</f>
        <v>CRÉDITO</v>
      </c>
      <c r="B279" s="41" t="str">
        <f>+IF((PROVEEDORES[[#This Row],[FECHA DE PAGO]]-PROVEEDORES[[#This Row],[FECHA DE FACTURACIÓN]])&gt;PROVEEDORES[[#This Row],[PLAZO Días]],"PAGO VENCIDO")</f>
        <v>PAGO VENCIDO</v>
      </c>
      <c r="C279" s="22">
        <f>+VLOOKUP(PROVEEDORES[[#This Row],[PROVEEDOR]],TERCEROS_INFO[#All],2,FALSE)</f>
        <v>30</v>
      </c>
      <c r="D279" s="27">
        <f>+SUMIFS(PROVEEDORES[Total],PROVEEDORES[PROVEEDOR],PROVEEDORES[[#This Row],[PROVEEDOR]],PROVEEDORES[FECHA DE PAGO],"")</f>
        <v>3750700</v>
      </c>
      <c r="E279" s="27"/>
      <c r="F279" s="62" t="str">
        <f>+VLOOKUP(PROVEEDORES[[#This Row],[PROVEEDOR]],
                       Terceros!$A:$G,
                       6,
                       FALSE)</f>
        <v/>
      </c>
      <c r="G279" s="95">
        <v>44342</v>
      </c>
      <c r="H279" s="28" t="s">
        <v>990</v>
      </c>
      <c r="I279" s="95">
        <v>44291</v>
      </c>
      <c r="J279" s="38" t="s">
        <v>685</v>
      </c>
      <c r="K279" s="23">
        <v>3216000</v>
      </c>
      <c r="L279" s="23"/>
      <c r="M279" s="24">
        <v>0</v>
      </c>
      <c r="N279" s="25"/>
      <c r="O279" s="24">
        <v>0</v>
      </c>
      <c r="P279" s="136">
        <f>+IF(PROVEEDORES[[#This Row],[SUBTOTAL]]&lt;PROVEEDORES[[#This Row],[base retencion]],0,PROVEEDORES[[#This Row],[retención aplicada]])</f>
        <v>0</v>
      </c>
      <c r="Q279" s="24">
        <f>+PROVEEDORES[[#This Row],[Rete Fuente %]]*PROVEEDORES[[#This Row],[SUBTOTAL]]</f>
        <v>0</v>
      </c>
      <c r="R279" s="23">
        <v>3216000</v>
      </c>
      <c r="S27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9" s="99">
        <f ca="1">IF(PROVEEDORES[[#This Row],[FECHA DE PAGO]]=0,TODAY()-PROVEEDORES[[#This Row],[FECHA DE FACTURACIÓN]]-PROVEEDORES[[#This Row],[PLAZO Días]],0)</f>
        <v>0</v>
      </c>
      <c r="U279" s="149">
        <f>+VLOOKUP(PROVEEDORES[[#This Row],[PROVEEDOR]],Terceros!$A:$E,5,FALSE)</f>
        <v>0</v>
      </c>
      <c r="V279" s="150">
        <f>+YEAR(PROVEEDORES[[#This Row],[FECHA DE FACTURACIÓN]])</f>
        <v>2021</v>
      </c>
      <c r="W279" s="150">
        <f>+MATCH(PROVEEDORES[[#This Row],[año facturado]],Retenciones!$1:$1,0)</f>
        <v>4</v>
      </c>
      <c r="X279" s="151">
        <f>+VLOOKUP(PROVEEDORES[[#This Row],[ID RETENCION]],Retenciones!$A$1:$O$24,PROVEEDORES[[#This Row],[indicador de columna]],FALSE)</f>
        <v>0</v>
      </c>
      <c r="Y279" s="152">
        <f>+VLOOKUP(PROVEEDORES[[#This Row],[ID RETENCION]],Retenciones!$A$1:$O$24,2,FALSE)</f>
        <v>0</v>
      </c>
      <c r="Z279" s="26"/>
      <c r="AA279" s="26"/>
      <c r="AB279" s="26"/>
      <c r="AC279" s="26"/>
      <c r="AD279" s="26"/>
      <c r="AE279" s="26"/>
    </row>
    <row r="280" spans="1:31" ht="21.95" customHeight="1" x14ac:dyDescent="0.25">
      <c r="A280" s="97" t="str">
        <f>+IF(PROVEEDORES[[#This Row],[FECHA DE PAGO]]=PROVEEDORES[[#This Row],[FECHA DE FACTURACIÓN]],"DE CONTADO","CRÉDITO")</f>
        <v>CRÉDITO</v>
      </c>
      <c r="B280" s="41" t="str">
        <f>+IF((PROVEEDORES[[#This Row],[FECHA DE PAGO]]-PROVEEDORES[[#This Row],[FECHA DE FACTURACIÓN]])&gt;PROVEEDORES[[#This Row],[PLAZO Días]],"PAGO VENCIDO")</f>
        <v>PAGO VENCIDO</v>
      </c>
      <c r="C280" s="22">
        <f>+VLOOKUP(PROVEEDORES[[#This Row],[PROVEEDOR]],TERCEROS_INFO[#All],2,FALSE)</f>
        <v>30</v>
      </c>
      <c r="D280" s="27">
        <f>+SUMIFS(PROVEEDORES[Total],PROVEEDORES[PROVEEDOR],PROVEEDORES[[#This Row],[PROVEEDOR]],PROVEEDORES[FECHA DE PAGO],"")</f>
        <v>6151200</v>
      </c>
      <c r="E280" s="27"/>
      <c r="F280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280" s="95">
        <v>44348</v>
      </c>
      <c r="H280" s="28" t="s">
        <v>11</v>
      </c>
      <c r="I280" s="95">
        <v>44292</v>
      </c>
      <c r="J280" s="38" t="s">
        <v>305</v>
      </c>
      <c r="K280" s="23">
        <v>912101</v>
      </c>
      <c r="L280" s="23"/>
      <c r="M280" s="24">
        <v>173299.19</v>
      </c>
      <c r="N280" s="25"/>
      <c r="O280" s="24">
        <v>0</v>
      </c>
      <c r="P280" s="136">
        <f>+IF(PROVEEDORES[[#This Row],[SUBTOTAL]]&lt;PROVEEDORES[[#This Row],[base retencion]],0,PROVEEDORES[[#This Row],[retención aplicada]])</f>
        <v>0</v>
      </c>
      <c r="Q280" s="24">
        <f>+PROVEEDORES[[#This Row],[Rete Fuente %]]*PROVEEDORES[[#This Row],[SUBTOTAL]]</f>
        <v>0</v>
      </c>
      <c r="R280" s="23">
        <v>1085400.19</v>
      </c>
      <c r="S28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0" s="99">
        <f ca="1">IF(PROVEEDORES[[#This Row],[FECHA DE PAGO]]=0,TODAY()-PROVEEDORES[[#This Row],[FECHA DE FACTURACIÓN]]-PROVEEDORES[[#This Row],[PLAZO Días]],0)</f>
        <v>0</v>
      </c>
      <c r="U280" s="149" t="str">
        <f>+VLOOKUP(PROVEEDORES[[#This Row],[PROVEEDOR]],Terceros!$A:$E,5,FALSE)</f>
        <v>2,5% con base</v>
      </c>
      <c r="V280" s="150">
        <f>+YEAR(PROVEEDORES[[#This Row],[FECHA DE FACTURACIÓN]])</f>
        <v>2021</v>
      </c>
      <c r="W280" s="150">
        <f>+MATCH(PROVEEDORES[[#This Row],[año facturado]],Retenciones!$1:$1,0)</f>
        <v>4</v>
      </c>
      <c r="X280" s="151">
        <f>+VLOOKUP(PROVEEDORES[[#This Row],[ID RETENCION]],Retenciones!$A$1:$O$24,PROVEEDORES[[#This Row],[indicador de columna]],FALSE)</f>
        <v>980000</v>
      </c>
      <c r="Y280" s="152">
        <f>+VLOOKUP(PROVEEDORES[[#This Row],[ID RETENCION]],Retenciones!$A$1:$O$24,2,FALSE)</f>
        <v>2.5000000000000001E-2</v>
      </c>
      <c r="Z280" s="26"/>
      <c r="AA280" s="26"/>
      <c r="AB280" s="26"/>
      <c r="AC280" s="26"/>
      <c r="AD280" s="26"/>
      <c r="AE280" s="26"/>
    </row>
    <row r="281" spans="1:31" ht="21.95" customHeight="1" x14ac:dyDescent="0.25">
      <c r="A281" s="97" t="str">
        <f>+IF(PROVEEDORES[[#This Row],[FECHA DE PAGO]]=PROVEEDORES[[#This Row],[FECHA DE FACTURACIÓN]],"DE CONTADO","CRÉDITO")</f>
        <v>CRÉDITO</v>
      </c>
      <c r="B281" s="41" t="b">
        <f>+IF((PROVEEDORES[[#This Row],[FECHA DE PAGO]]-PROVEEDORES[[#This Row],[FECHA DE FACTURACIÓN]])&gt;PROVEEDORES[[#This Row],[PLAZO Días]],"PAGO VENCIDO")</f>
        <v>0</v>
      </c>
      <c r="C281" s="22">
        <f>+VLOOKUP(PROVEEDORES[[#This Row],[PROVEEDOR]],TERCEROS_INFO[#All],2,FALSE)</f>
        <v>30</v>
      </c>
      <c r="D281" s="27">
        <f>+SUMIFS(PROVEEDORES[Total],PROVEEDORES[PROVEEDOR],PROVEEDORES[[#This Row],[PROVEEDOR]],PROVEEDORES[FECHA DE PAGO],"")</f>
        <v>0</v>
      </c>
      <c r="E281" s="27"/>
      <c r="F281" s="62" t="str">
        <f>+VLOOKUP(PROVEEDORES[[#This Row],[PROVEEDOR]],
                       Terceros!$A:$G,
                       6,
                       FALSE)</f>
        <v>PSE</v>
      </c>
      <c r="G281" s="95">
        <v>44340</v>
      </c>
      <c r="H281" s="28" t="s">
        <v>350</v>
      </c>
      <c r="I281" s="95">
        <v>44317</v>
      </c>
      <c r="J281" s="38" t="s">
        <v>351</v>
      </c>
      <c r="K281" s="23">
        <v>727051</v>
      </c>
      <c r="L281" s="23"/>
      <c r="M281" s="24">
        <v>0</v>
      </c>
      <c r="N281" s="25"/>
      <c r="O281" s="24">
        <v>0</v>
      </c>
      <c r="P281" s="136">
        <f>+IF(PROVEEDORES[[#This Row],[SUBTOTAL]]&lt;PROVEEDORES[[#This Row],[base retencion]],0,PROVEEDORES[[#This Row],[retención aplicada]])</f>
        <v>0</v>
      </c>
      <c r="Q281" s="24">
        <f>+PROVEEDORES[[#This Row],[Rete Fuente %]]*PROVEEDORES[[#This Row],[SUBTOTAL]]</f>
        <v>0</v>
      </c>
      <c r="R281" s="23">
        <v>727051</v>
      </c>
      <c r="S28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1" s="99">
        <f ca="1">IF(PROVEEDORES[[#This Row],[FECHA DE PAGO]]=0,TODAY()-PROVEEDORES[[#This Row],[FECHA DE FACTURACIÓN]]-PROVEEDORES[[#This Row],[PLAZO Días]],0)</f>
        <v>0</v>
      </c>
      <c r="U281" s="149">
        <f>+VLOOKUP(PROVEEDORES[[#This Row],[PROVEEDOR]],Terceros!$A:$E,5,FALSE)</f>
        <v>0</v>
      </c>
      <c r="V281" s="150">
        <f>+YEAR(PROVEEDORES[[#This Row],[FECHA DE FACTURACIÓN]])</f>
        <v>2021</v>
      </c>
      <c r="W281" s="150">
        <f>+MATCH(PROVEEDORES[[#This Row],[año facturado]],Retenciones!$1:$1,0)</f>
        <v>4</v>
      </c>
      <c r="X281" s="151">
        <f>+VLOOKUP(PROVEEDORES[[#This Row],[ID RETENCION]],Retenciones!$A$1:$O$24,PROVEEDORES[[#This Row],[indicador de columna]],FALSE)</f>
        <v>0</v>
      </c>
      <c r="Y281" s="152">
        <f>+VLOOKUP(PROVEEDORES[[#This Row],[ID RETENCION]],Retenciones!$A$1:$O$24,2,FALSE)</f>
        <v>0</v>
      </c>
      <c r="Z281" s="26"/>
      <c r="AA281" s="26"/>
      <c r="AB281" s="26"/>
      <c r="AC281" s="26"/>
      <c r="AD281" s="26"/>
      <c r="AE281" s="26"/>
    </row>
    <row r="282" spans="1:31" ht="21.95" customHeight="1" x14ac:dyDescent="0.25">
      <c r="A282" s="97" t="str">
        <f>+IF(PROVEEDORES[[#This Row],[FECHA DE PAGO]]=PROVEEDORES[[#This Row],[FECHA DE FACTURACIÓN]],"DE CONTADO","CRÉDITO")</f>
        <v>CRÉDITO</v>
      </c>
      <c r="B282" s="41" t="b">
        <f>+IF((PROVEEDORES[[#This Row],[FECHA DE PAGO]]-PROVEEDORES[[#This Row],[FECHA DE FACTURACIÓN]])&gt;PROVEEDORES[[#This Row],[PLAZO Días]],"PAGO VENCIDO")</f>
        <v>0</v>
      </c>
      <c r="C282" s="22">
        <f>+VLOOKUP(PROVEEDORES[[#This Row],[PROVEEDOR]],TERCEROS_INFO[#All],2,FALSE)</f>
        <v>30</v>
      </c>
      <c r="D282" s="27">
        <f>+SUMIFS(PROVEEDORES[Total],PROVEEDORES[PROVEEDOR],PROVEEDORES[[#This Row],[PROVEEDOR]],PROVEEDORES[FECHA DE PAGO],"")</f>
        <v>0</v>
      </c>
      <c r="E282" s="27"/>
      <c r="F282" s="62" t="str">
        <f>+VLOOKUP(PROVEEDORES[[#This Row],[PROVEEDOR]],
                       Terceros!$A:$G,
                       6,
                       FALSE)</f>
        <v>PSE</v>
      </c>
      <c r="G282" s="95">
        <v>44340</v>
      </c>
      <c r="H282" s="28" t="s">
        <v>350</v>
      </c>
      <c r="I282" s="95">
        <v>44317</v>
      </c>
      <c r="J282" s="38" t="s">
        <v>352</v>
      </c>
      <c r="K282" s="23">
        <v>743959</v>
      </c>
      <c r="L282" s="23"/>
      <c r="M282" s="24">
        <v>0</v>
      </c>
      <c r="N282" s="25"/>
      <c r="O282" s="24">
        <v>0</v>
      </c>
      <c r="P282" s="136">
        <f>+IF(PROVEEDORES[[#This Row],[SUBTOTAL]]&lt;PROVEEDORES[[#This Row],[base retencion]],0,PROVEEDORES[[#This Row],[retención aplicada]])</f>
        <v>0</v>
      </c>
      <c r="Q282" s="24">
        <f>+PROVEEDORES[[#This Row],[Rete Fuente %]]*PROVEEDORES[[#This Row],[SUBTOTAL]]</f>
        <v>0</v>
      </c>
      <c r="R282" s="23">
        <v>743959</v>
      </c>
      <c r="S28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2" s="99">
        <f ca="1">IF(PROVEEDORES[[#This Row],[FECHA DE PAGO]]=0,TODAY()-PROVEEDORES[[#This Row],[FECHA DE FACTURACIÓN]]-PROVEEDORES[[#This Row],[PLAZO Días]],0)</f>
        <v>0</v>
      </c>
      <c r="U282" s="149">
        <f>+VLOOKUP(PROVEEDORES[[#This Row],[PROVEEDOR]],Terceros!$A:$E,5,FALSE)</f>
        <v>0</v>
      </c>
      <c r="V282" s="150">
        <f>+YEAR(PROVEEDORES[[#This Row],[FECHA DE FACTURACIÓN]])</f>
        <v>2021</v>
      </c>
      <c r="W282" s="150">
        <f>+MATCH(PROVEEDORES[[#This Row],[año facturado]],Retenciones!$1:$1,0)</f>
        <v>4</v>
      </c>
      <c r="X282" s="151">
        <f>+VLOOKUP(PROVEEDORES[[#This Row],[ID RETENCION]],Retenciones!$A$1:$O$24,PROVEEDORES[[#This Row],[indicador de columna]],FALSE)</f>
        <v>0</v>
      </c>
      <c r="Y282" s="152">
        <f>+VLOOKUP(PROVEEDORES[[#This Row],[ID RETENCION]],Retenciones!$A$1:$O$24,2,FALSE)</f>
        <v>0</v>
      </c>
      <c r="Z282" s="26"/>
      <c r="AA282" s="26"/>
      <c r="AB282" s="26"/>
      <c r="AC282" s="26"/>
      <c r="AD282" s="26"/>
      <c r="AE282" s="26"/>
    </row>
    <row r="283" spans="1:31" ht="21.95" customHeight="1" x14ac:dyDescent="0.25">
      <c r="A283" s="97" t="str">
        <f>+IF(PROVEEDORES[[#This Row],[FECHA DE PAGO]]=PROVEEDORES[[#This Row],[FECHA DE FACTURACIÓN]],"DE CONTADO","CRÉDITO")</f>
        <v>CRÉDITO</v>
      </c>
      <c r="B283" s="41" t="b">
        <f>+IF((PROVEEDORES[[#This Row],[FECHA DE PAGO]]-PROVEEDORES[[#This Row],[FECHA DE FACTURACIÓN]])&gt;PROVEEDORES[[#This Row],[PLAZO Días]],"PAGO VENCIDO")</f>
        <v>0</v>
      </c>
      <c r="C283" s="22">
        <f>+VLOOKUP(PROVEEDORES[[#This Row],[PROVEEDOR]],TERCEROS_INFO[#All],2,FALSE)</f>
        <v>90</v>
      </c>
      <c r="D283" s="27">
        <f>+SUMIFS(PROVEEDORES[Total],PROVEEDORES[PROVEEDOR],PROVEEDORES[[#This Row],[PROVEEDOR]],PROVEEDORES[FECHA DE PAGO],"")</f>
        <v>103407118</v>
      </c>
      <c r="E283" s="27"/>
      <c r="F283" s="62" t="str">
        <f>+VLOOKUP(PROVEEDORES[[#This Row],[PROVEEDOR]],
                       Terceros!$A:$G,
                       6,
                       FALSE)</f>
        <v>mcastillo@kenextrading.com;agarcia@kenextrading.com;girlesa.ruiz@servipilas.com;joriescobar64@gmail.com</v>
      </c>
      <c r="G283" s="95">
        <v>44377</v>
      </c>
      <c r="H283" s="28" t="s">
        <v>31</v>
      </c>
      <c r="I283" s="95">
        <v>44293</v>
      </c>
      <c r="J283" s="38">
        <v>53922</v>
      </c>
      <c r="K283" s="23">
        <v>21930011</v>
      </c>
      <c r="L283" s="23"/>
      <c r="M283" s="24">
        <v>0</v>
      </c>
      <c r="N283" s="25"/>
      <c r="O283" s="24">
        <v>0</v>
      </c>
      <c r="P283" s="136">
        <f>+IF(PROVEEDORES[[#This Row],[SUBTOTAL]]&lt;PROVEEDORES[[#This Row],[base retencion]],0,PROVEEDORES[[#This Row],[retención aplicada]])</f>
        <v>0</v>
      </c>
      <c r="Q283" s="24">
        <f>+PROVEEDORES[[#This Row],[Rete Fuente %]]*PROVEEDORES[[#This Row],[SUBTOTAL]]</f>
        <v>0</v>
      </c>
      <c r="R283" s="23">
        <v>21930011</v>
      </c>
      <c r="S28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3" s="99">
        <f ca="1">IF(PROVEEDORES[[#This Row],[FECHA DE PAGO]]=0,TODAY()-PROVEEDORES[[#This Row],[FECHA DE FACTURACIÓN]]-PROVEEDORES[[#This Row],[PLAZO Días]],0)</f>
        <v>0</v>
      </c>
      <c r="U283" s="149">
        <f>+VLOOKUP(PROVEEDORES[[#This Row],[PROVEEDOR]],Terceros!$A:$E,5,FALSE)</f>
        <v>0</v>
      </c>
      <c r="V283" s="150">
        <f>+YEAR(PROVEEDORES[[#This Row],[FECHA DE FACTURACIÓN]])</f>
        <v>2021</v>
      </c>
      <c r="W283" s="150">
        <f>+MATCH(PROVEEDORES[[#This Row],[año facturado]],Retenciones!$1:$1,0)</f>
        <v>4</v>
      </c>
      <c r="X283" s="151">
        <f>+VLOOKUP(PROVEEDORES[[#This Row],[ID RETENCION]],Retenciones!$A$1:$O$24,PROVEEDORES[[#This Row],[indicador de columna]],FALSE)</f>
        <v>0</v>
      </c>
      <c r="Y283" s="152">
        <f>+VLOOKUP(PROVEEDORES[[#This Row],[ID RETENCION]],Retenciones!$A$1:$O$24,2,FALSE)</f>
        <v>0</v>
      </c>
      <c r="Z283" s="26"/>
      <c r="AA283" s="26"/>
      <c r="AB283" s="26"/>
      <c r="AC283" s="26"/>
      <c r="AD283" s="26"/>
      <c r="AE283" s="26"/>
    </row>
    <row r="284" spans="1:31" ht="21.95" customHeight="1" x14ac:dyDescent="0.25">
      <c r="A284" s="97" t="str">
        <f>+IF(PROVEEDORES[[#This Row],[FECHA DE PAGO]]=PROVEEDORES[[#This Row],[FECHA DE FACTURACIÓN]],"DE CONTADO","CRÉDITO")</f>
        <v>CRÉDITO</v>
      </c>
      <c r="B284" s="41" t="str">
        <f>+IF((PROVEEDORES[[#This Row],[FECHA DE PAGO]]-PROVEEDORES[[#This Row],[FECHA DE FACTURACIÓN]])&gt;PROVEEDORES[[#This Row],[PLAZO Días]],"PAGO VENCIDO")</f>
        <v>PAGO VENCIDO</v>
      </c>
      <c r="C284" s="22">
        <f>+VLOOKUP(PROVEEDORES[[#This Row],[PROVEEDOR]],TERCEROS_INFO[#All],2,FALSE)</f>
        <v>20</v>
      </c>
      <c r="D284" s="27">
        <f>+SUMIFS(PROVEEDORES[Total],PROVEEDORES[PROVEEDOR],PROVEEDORES[[#This Row],[PROVEEDOR]],PROVEEDORES[FECHA DE PAGO],"")</f>
        <v>0</v>
      </c>
      <c r="E284" s="27"/>
      <c r="F284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284" s="95">
        <v>44321</v>
      </c>
      <c r="H284" s="28" t="s">
        <v>445</v>
      </c>
      <c r="I284" s="95">
        <v>44294</v>
      </c>
      <c r="J284" s="38" t="s">
        <v>686</v>
      </c>
      <c r="K284" s="23">
        <v>443400</v>
      </c>
      <c r="L284" s="23"/>
      <c r="M284" s="24">
        <v>0</v>
      </c>
      <c r="N284" s="25"/>
      <c r="O284" s="24">
        <v>0</v>
      </c>
      <c r="P284" s="136">
        <f>+IF(PROVEEDORES[[#This Row],[SUBTOTAL]]&lt;PROVEEDORES[[#This Row],[base retencion]],0,PROVEEDORES[[#This Row],[retención aplicada]])</f>
        <v>0.01</v>
      </c>
      <c r="Q284" s="24">
        <f>+PROVEEDORES[[#This Row],[Rete Fuente %]]*PROVEEDORES[[#This Row],[SUBTOTAL]]</f>
        <v>4434</v>
      </c>
      <c r="R284" s="23">
        <v>441736</v>
      </c>
      <c r="S28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4" s="99">
        <f ca="1">IF(PROVEEDORES[[#This Row],[FECHA DE PAGO]]=0,TODAY()-PROVEEDORES[[#This Row],[FECHA DE FACTURACIÓN]]-PROVEEDORES[[#This Row],[PLAZO Días]],0)</f>
        <v>0</v>
      </c>
      <c r="U284" s="149" t="str">
        <f>+VLOOKUP(PROVEEDORES[[#This Row],[PROVEEDOR]],Terceros!$A:$E,5,FALSE)</f>
        <v>1% con base</v>
      </c>
      <c r="V284" s="150">
        <f>+YEAR(PROVEEDORES[[#This Row],[FECHA DE FACTURACIÓN]])</f>
        <v>2021</v>
      </c>
      <c r="W284" s="150">
        <f>+MATCH(PROVEEDORES[[#This Row],[año facturado]],Retenciones!$1:$1,0)</f>
        <v>4</v>
      </c>
      <c r="X284" s="151">
        <f>+VLOOKUP(PROVEEDORES[[#This Row],[ID RETENCION]],Retenciones!$A$1:$O$24,PROVEEDORES[[#This Row],[indicador de columna]],FALSE)</f>
        <v>145000</v>
      </c>
      <c r="Y284" s="152">
        <f>+VLOOKUP(PROVEEDORES[[#This Row],[ID RETENCION]],Retenciones!$A$1:$O$24,2,FALSE)</f>
        <v>0.01</v>
      </c>
      <c r="Z284" s="26"/>
      <c r="AA284" s="26"/>
      <c r="AB284" s="26"/>
      <c r="AC284" s="26"/>
      <c r="AD284" s="26"/>
      <c r="AE284" s="26"/>
    </row>
    <row r="285" spans="1:31" ht="21.95" customHeight="1" x14ac:dyDescent="0.25">
      <c r="A285" s="97" t="str">
        <f>+IF(PROVEEDORES[[#This Row],[FECHA DE PAGO]]=PROVEEDORES[[#This Row],[FECHA DE FACTURACIÓN]],"DE CONTADO","CRÉDITO")</f>
        <v>CRÉDITO</v>
      </c>
      <c r="B285" s="41" t="b">
        <f>+IF((PROVEEDORES[[#This Row],[FECHA DE PAGO]]-PROVEEDORES[[#This Row],[FECHA DE FACTURACIÓN]])&gt;PROVEEDORES[[#This Row],[PLAZO Días]],"PAGO VENCIDO")</f>
        <v>0</v>
      </c>
      <c r="C285" s="22">
        <f>+VLOOKUP(PROVEEDORES[[#This Row],[PROVEEDOR]],TERCEROS_INFO[#All],2,FALSE)</f>
        <v>10</v>
      </c>
      <c r="D285" s="27">
        <f>+SUMIFS(PROVEEDORES[Total],PROVEEDORES[PROVEEDOR],PROVEEDORES[[#This Row],[PROVEEDOR]],PROVEEDORES[FECHA DE PAGO],"")</f>
        <v>0</v>
      </c>
      <c r="E285" s="27"/>
      <c r="F285" s="62" t="str">
        <f>+VLOOKUP(PROVEEDORES[[#This Row],[PROVEEDOR]],
                       Terceros!$A:$G,
                       6,
                       FALSE)</f>
        <v/>
      </c>
      <c r="G285" s="95">
        <v>44299</v>
      </c>
      <c r="H285" s="28" t="s">
        <v>23</v>
      </c>
      <c r="I285" s="95">
        <v>44296</v>
      </c>
      <c r="J285" s="38">
        <v>281564</v>
      </c>
      <c r="K285" s="23">
        <v>13266350</v>
      </c>
      <c r="L285" s="23"/>
      <c r="M285" s="24">
        <v>0</v>
      </c>
      <c r="N285" s="25"/>
      <c r="O285" s="24">
        <v>0</v>
      </c>
      <c r="P285" s="136">
        <f>+IF(PROVEEDORES[[#This Row],[SUBTOTAL]]&lt;PROVEEDORES[[#This Row],[base retencion]],0,PROVEEDORES[[#This Row],[retención aplicada]])</f>
        <v>0</v>
      </c>
      <c r="Q285" s="24">
        <f>+PROVEEDORES[[#This Row],[Rete Fuente %]]*PROVEEDORES[[#This Row],[SUBTOTAL]]</f>
        <v>0</v>
      </c>
      <c r="R285" s="23">
        <v>13266350</v>
      </c>
      <c r="S28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5" s="99">
        <f ca="1">IF(PROVEEDORES[[#This Row],[FECHA DE PAGO]]=0,TODAY()-PROVEEDORES[[#This Row],[FECHA DE FACTURACIÓN]]-PROVEEDORES[[#This Row],[PLAZO Días]],0)</f>
        <v>0</v>
      </c>
      <c r="U285" s="149">
        <f>+VLOOKUP(PROVEEDORES[[#This Row],[PROVEEDOR]],Terceros!$A:$E,5,FALSE)</f>
        <v>0</v>
      </c>
      <c r="V285" s="150">
        <f>+YEAR(PROVEEDORES[[#This Row],[FECHA DE FACTURACIÓN]])</f>
        <v>2021</v>
      </c>
      <c r="W285" s="150">
        <f>+MATCH(PROVEEDORES[[#This Row],[año facturado]],Retenciones!$1:$1,0)</f>
        <v>4</v>
      </c>
      <c r="X285" s="151">
        <f>+VLOOKUP(PROVEEDORES[[#This Row],[ID RETENCION]],Retenciones!$A$1:$O$24,PROVEEDORES[[#This Row],[indicador de columna]],FALSE)</f>
        <v>0</v>
      </c>
      <c r="Y285" s="152">
        <f>+VLOOKUP(PROVEEDORES[[#This Row],[ID RETENCION]],Retenciones!$A$1:$O$24,2,FALSE)</f>
        <v>0</v>
      </c>
      <c r="Z285" s="26"/>
      <c r="AA285" s="26"/>
      <c r="AB285" s="26"/>
      <c r="AC285" s="26"/>
      <c r="AD285" s="26"/>
      <c r="AE285" s="26"/>
    </row>
    <row r="286" spans="1:31" ht="21.95" customHeight="1" x14ac:dyDescent="0.25">
      <c r="A286" s="97" t="str">
        <f>+IF(PROVEEDORES[[#This Row],[FECHA DE PAGO]]=PROVEEDORES[[#This Row],[FECHA DE FACTURACIÓN]],"DE CONTADO","CRÉDITO")</f>
        <v>CRÉDITO</v>
      </c>
      <c r="B286" s="41" t="str">
        <f>+IF((PROVEEDORES[[#This Row],[FECHA DE PAGO]]-PROVEEDORES[[#This Row],[FECHA DE FACTURACIÓN]])&gt;PROVEEDORES[[#This Row],[PLAZO Días]],"PAGO VENCIDO")</f>
        <v>PAGO VENCIDO</v>
      </c>
      <c r="C286" s="22">
        <f>+VLOOKUP(PROVEEDORES[[#This Row],[PROVEEDOR]],TERCEROS_INFO[#All],2,FALSE)</f>
        <v>30</v>
      </c>
      <c r="D286" s="27">
        <f>+SUMIFS(PROVEEDORES[Total],PROVEEDORES[PROVEEDOR],PROVEEDORES[[#This Row],[PROVEEDOR]],PROVEEDORES[FECHA DE PAGO],"")</f>
        <v>1039000</v>
      </c>
      <c r="E286" s="27"/>
      <c r="F286" s="62" t="str">
        <f>+VLOOKUP(PROVEEDORES[[#This Row],[PROVEEDOR]],
                       Terceros!$A:$G,
                       6,
                       FALSE)</f>
        <v>variedades.sfg@gmail.com;girlesa.ruiz@servipilas.com;joriescobar64@gmail.com</v>
      </c>
      <c r="G286" s="95">
        <v>44382</v>
      </c>
      <c r="H286" s="28" t="s">
        <v>982</v>
      </c>
      <c r="I286" s="95">
        <v>44299</v>
      </c>
      <c r="J286" s="38" t="s">
        <v>687</v>
      </c>
      <c r="K286" s="23">
        <v>1584000</v>
      </c>
      <c r="L286" s="23"/>
      <c r="M286" s="24">
        <v>0</v>
      </c>
      <c r="N286" s="25"/>
      <c r="O286" s="24">
        <v>0</v>
      </c>
      <c r="P286" s="136">
        <f>+IF(PROVEEDORES[[#This Row],[SUBTOTAL]]&lt;PROVEEDORES[[#This Row],[base retencion]],0,PROVEEDORES[[#This Row],[retención aplicada]])</f>
        <v>0</v>
      </c>
      <c r="Q286" s="24">
        <f>+PROVEEDORES[[#This Row],[Rete Fuente %]]*PROVEEDORES[[#This Row],[SUBTOTAL]]</f>
        <v>0</v>
      </c>
      <c r="R286" s="23">
        <v>1584000</v>
      </c>
      <c r="S28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6" s="99">
        <f ca="1">IF(PROVEEDORES[[#This Row],[FECHA DE PAGO]]=0,TODAY()-PROVEEDORES[[#This Row],[FECHA DE FACTURACIÓN]]-PROVEEDORES[[#This Row],[PLAZO Días]],0)</f>
        <v>0</v>
      </c>
      <c r="U286" s="149">
        <f>+VLOOKUP(PROVEEDORES[[#This Row],[PROVEEDOR]],Terceros!$A:$E,5,FALSE)</f>
        <v>0</v>
      </c>
      <c r="V286" s="150">
        <f>+YEAR(PROVEEDORES[[#This Row],[FECHA DE FACTURACIÓN]])</f>
        <v>2021</v>
      </c>
      <c r="W286" s="150">
        <f>+MATCH(PROVEEDORES[[#This Row],[año facturado]],Retenciones!$1:$1,0)</f>
        <v>4</v>
      </c>
      <c r="X286" s="151">
        <f>+VLOOKUP(PROVEEDORES[[#This Row],[ID RETENCION]],Retenciones!$A$1:$O$24,PROVEEDORES[[#This Row],[indicador de columna]],FALSE)</f>
        <v>0</v>
      </c>
      <c r="Y286" s="152">
        <f>+VLOOKUP(PROVEEDORES[[#This Row],[ID RETENCION]],Retenciones!$A$1:$O$24,2,FALSE)</f>
        <v>0</v>
      </c>
      <c r="Z286" s="26"/>
      <c r="AA286" s="26"/>
      <c r="AB286" s="26"/>
      <c r="AC286" s="26"/>
      <c r="AD286" s="26"/>
      <c r="AE286" s="26"/>
    </row>
    <row r="287" spans="1:31" ht="21.95" customHeight="1" x14ac:dyDescent="0.25">
      <c r="A287" s="97" t="str">
        <f>+IF(PROVEEDORES[[#This Row],[FECHA DE PAGO]]=PROVEEDORES[[#This Row],[FECHA DE FACTURACIÓN]],"DE CONTADO","CRÉDITO")</f>
        <v>CRÉDITO</v>
      </c>
      <c r="B287" s="41" t="str">
        <f>+IF((PROVEEDORES[[#This Row],[FECHA DE PAGO]]-PROVEEDORES[[#This Row],[FECHA DE FACTURACIÓN]])&gt;PROVEEDORES[[#This Row],[PLAZO Días]],"PAGO VENCIDO")</f>
        <v>PAGO VENCIDO</v>
      </c>
      <c r="C287" s="22">
        <f>+VLOOKUP(PROVEEDORES[[#This Row],[PROVEEDOR]],TERCEROS_INFO[#All],2,FALSE)</f>
        <v>30</v>
      </c>
      <c r="D287" s="27">
        <f>+SUMIFS(PROVEEDORES[Total],PROVEEDORES[PROVEEDOR],PROVEEDORES[[#This Row],[PROVEEDOR]],PROVEEDORES[FECHA DE PAGO],"")</f>
        <v>1039000</v>
      </c>
      <c r="E287" s="27"/>
      <c r="F287" s="62" t="str">
        <f>+VLOOKUP(PROVEEDORES[[#This Row],[PROVEEDOR]],
                       Terceros!$A:$G,
                       6,
                       FALSE)</f>
        <v>variedades.sfg@gmail.com;girlesa.ruiz@servipilas.com;joriescobar64@gmail.com</v>
      </c>
      <c r="G287" s="95">
        <v>44348</v>
      </c>
      <c r="H287" s="28" t="s">
        <v>982</v>
      </c>
      <c r="I287" s="95">
        <v>44299</v>
      </c>
      <c r="J287" s="38" t="s">
        <v>688</v>
      </c>
      <c r="K287" s="23">
        <v>2550000</v>
      </c>
      <c r="L287" s="23"/>
      <c r="M287" s="24">
        <v>0</v>
      </c>
      <c r="N287" s="25"/>
      <c r="O287" s="24">
        <v>0</v>
      </c>
      <c r="P287" s="136">
        <f>+IF(PROVEEDORES[[#This Row],[SUBTOTAL]]&lt;PROVEEDORES[[#This Row],[base retencion]],0,PROVEEDORES[[#This Row],[retención aplicada]])</f>
        <v>0</v>
      </c>
      <c r="Q287" s="24">
        <f>+PROVEEDORES[[#This Row],[Rete Fuente %]]*PROVEEDORES[[#This Row],[SUBTOTAL]]</f>
        <v>0</v>
      </c>
      <c r="R287" s="23">
        <v>2550000</v>
      </c>
      <c r="S28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7" s="99">
        <f ca="1">IF(PROVEEDORES[[#This Row],[FECHA DE PAGO]]=0,TODAY()-PROVEEDORES[[#This Row],[FECHA DE FACTURACIÓN]]-PROVEEDORES[[#This Row],[PLAZO Días]],0)</f>
        <v>0</v>
      </c>
      <c r="U287" s="149">
        <f>+VLOOKUP(PROVEEDORES[[#This Row],[PROVEEDOR]],Terceros!$A:$E,5,FALSE)</f>
        <v>0</v>
      </c>
      <c r="V287" s="150">
        <f>+YEAR(PROVEEDORES[[#This Row],[FECHA DE FACTURACIÓN]])</f>
        <v>2021</v>
      </c>
      <c r="W287" s="150">
        <f>+MATCH(PROVEEDORES[[#This Row],[año facturado]],Retenciones!$1:$1,0)</f>
        <v>4</v>
      </c>
      <c r="X287" s="151">
        <f>+VLOOKUP(PROVEEDORES[[#This Row],[ID RETENCION]],Retenciones!$A$1:$O$24,PROVEEDORES[[#This Row],[indicador de columna]],FALSE)</f>
        <v>0</v>
      </c>
      <c r="Y287" s="152">
        <f>+VLOOKUP(PROVEEDORES[[#This Row],[ID RETENCION]],Retenciones!$A$1:$O$24,2,FALSE)</f>
        <v>0</v>
      </c>
      <c r="Z287" s="26"/>
      <c r="AA287" s="26"/>
      <c r="AB287" s="26"/>
      <c r="AC287" s="26"/>
      <c r="AD287" s="26"/>
      <c r="AE287" s="26"/>
    </row>
    <row r="288" spans="1:31" ht="21.95" customHeight="1" x14ac:dyDescent="0.25">
      <c r="A288" s="97" t="str">
        <f>+IF(PROVEEDORES[[#This Row],[FECHA DE PAGO]]=PROVEEDORES[[#This Row],[FECHA DE FACTURACIÓN]],"DE CONTADO","CRÉDITO")</f>
        <v>CRÉDITO</v>
      </c>
      <c r="B288" s="41" t="str">
        <f>+IF((PROVEEDORES[[#This Row],[FECHA DE PAGO]]-PROVEEDORES[[#This Row],[FECHA DE FACTURACIÓN]])&gt;PROVEEDORES[[#This Row],[PLAZO Días]],"PAGO VENCIDO")</f>
        <v>PAGO VENCIDO</v>
      </c>
      <c r="C288" s="22">
        <f>+VLOOKUP(PROVEEDORES[[#This Row],[PROVEEDOR]],TERCEROS_INFO[#All],2,FALSE)</f>
        <v>30</v>
      </c>
      <c r="D288" s="27">
        <f>+SUMIFS(PROVEEDORES[Total],PROVEEDORES[PROVEEDOR],PROVEEDORES[[#This Row],[PROVEEDOR]],PROVEEDORES[FECHA DE PAGO],"")</f>
        <v>833999.83799999999</v>
      </c>
      <c r="E288" s="27"/>
      <c r="F288" s="62" t="str">
        <f>+VLOOKUP(PROVEEDORES[[#This Row],[PROVEEDOR]],
                       Terceros!$A:$G,
                       6,
                       FALSE)</f>
        <v>juan.suarez@cosostenible.com;girlesa.ruiz@servipilas.com;joriescobar64@gmail.com</v>
      </c>
      <c r="G288" s="95">
        <v>44344</v>
      </c>
      <c r="H288" s="28" t="s">
        <v>50</v>
      </c>
      <c r="I288" s="95">
        <v>44299</v>
      </c>
      <c r="J288" s="38">
        <v>2131</v>
      </c>
      <c r="K288" s="23">
        <v>2891700</v>
      </c>
      <c r="L288" s="23"/>
      <c r="M288" s="24">
        <v>549423</v>
      </c>
      <c r="N288" s="25"/>
      <c r="O288" s="24">
        <v>0</v>
      </c>
      <c r="P288" s="136">
        <f>+IF(PROVEEDORES[[#This Row],[SUBTOTAL]]&lt;PROVEEDORES[[#This Row],[base retencion]],0,PROVEEDORES[[#This Row],[retención aplicada]])</f>
        <v>2.5000000000000001E-2</v>
      </c>
      <c r="Q288" s="24">
        <f>+PROVEEDORES[[#This Row],[Rete Fuente %]]*PROVEEDORES[[#This Row],[SUBTOTAL]]</f>
        <v>72292.5</v>
      </c>
      <c r="R288" s="23">
        <v>3368830.5</v>
      </c>
      <c r="S28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8" s="99">
        <f ca="1">IF(PROVEEDORES[[#This Row],[FECHA DE PAGO]]=0,TODAY()-PROVEEDORES[[#This Row],[FECHA DE FACTURACIÓN]]-PROVEEDORES[[#This Row],[PLAZO Días]],0)</f>
        <v>0</v>
      </c>
      <c r="U288" s="149" t="str">
        <f>+VLOOKUP(PROVEEDORES[[#This Row],[PROVEEDOR]],Terceros!$A:$E,5,FALSE)</f>
        <v>2,5% con base</v>
      </c>
      <c r="V288" s="150">
        <f>+YEAR(PROVEEDORES[[#This Row],[FECHA DE FACTURACIÓN]])</f>
        <v>2021</v>
      </c>
      <c r="W288" s="150">
        <f>+MATCH(PROVEEDORES[[#This Row],[año facturado]],Retenciones!$1:$1,0)</f>
        <v>4</v>
      </c>
      <c r="X288" s="151">
        <f>+VLOOKUP(PROVEEDORES[[#This Row],[ID RETENCION]],Retenciones!$A$1:$O$24,PROVEEDORES[[#This Row],[indicador de columna]],FALSE)</f>
        <v>980000</v>
      </c>
      <c r="Y288" s="152">
        <f>+VLOOKUP(PROVEEDORES[[#This Row],[ID RETENCION]],Retenciones!$A$1:$O$24,2,FALSE)</f>
        <v>2.5000000000000001E-2</v>
      </c>
      <c r="Z288" s="26"/>
      <c r="AA288" s="26"/>
      <c r="AB288" s="26"/>
      <c r="AC288" s="26"/>
      <c r="AD288" s="26"/>
      <c r="AE288" s="26"/>
    </row>
    <row r="289" spans="1:31" ht="21.95" customHeight="1" x14ac:dyDescent="0.25">
      <c r="A289" s="97" t="str">
        <f>+IF(PROVEEDORES[[#This Row],[FECHA DE PAGO]]=PROVEEDORES[[#This Row],[FECHA DE FACTURACIÓN]],"DE CONTADO","CRÉDITO")</f>
        <v>DE CONTADO</v>
      </c>
      <c r="B289" s="41" t="b">
        <f>+IF((PROVEEDORES[[#This Row],[FECHA DE PAGO]]-PROVEEDORES[[#This Row],[FECHA DE FACTURACIÓN]])&gt;PROVEEDORES[[#This Row],[PLAZO Días]],"PAGO VENCIDO")</f>
        <v>0</v>
      </c>
      <c r="C289" s="22">
        <f>+VLOOKUP(PROVEEDORES[[#This Row],[PROVEEDOR]],TERCEROS_INFO[#All],2,FALSE)</f>
        <v>30</v>
      </c>
      <c r="D289" s="27">
        <f>+SUMIFS(PROVEEDORES[Total],PROVEEDORES[PROVEEDOR],PROVEEDORES[[#This Row],[PROVEEDOR]],PROVEEDORES[FECHA DE PAGO],"")</f>
        <v>0</v>
      </c>
      <c r="E289" s="27"/>
      <c r="F289" s="62" t="str">
        <f>+VLOOKUP(PROVEEDORES[[#This Row],[PROVEEDOR]],
                       Terceros!$A:$G,
                       6,
                       FALSE)</f>
        <v>cartera@aerosan.com;girlesa.ruiz@servipilas.com;joriescobar64@gmail.com</v>
      </c>
      <c r="G289" s="95">
        <v>44300</v>
      </c>
      <c r="H289" s="28" t="s">
        <v>57</v>
      </c>
      <c r="I289" s="95">
        <v>44300</v>
      </c>
      <c r="J289" s="38" t="s">
        <v>307</v>
      </c>
      <c r="K289" s="23">
        <v>243496</v>
      </c>
      <c r="L289" s="23"/>
      <c r="M289" s="24">
        <v>46264.24</v>
      </c>
      <c r="N289" s="25"/>
      <c r="O289" s="24">
        <v>0</v>
      </c>
      <c r="P289" s="136">
        <f>+IF(PROVEEDORES[[#This Row],[SUBTOTAL]]&lt;PROVEEDORES[[#This Row],[base retencion]],0,PROVEEDORES[[#This Row],[retención aplicada]])</f>
        <v>0</v>
      </c>
      <c r="Q289" s="24">
        <f>+PROVEEDORES[[#This Row],[Rete Fuente %]]*PROVEEDORES[[#This Row],[SUBTOTAL]]</f>
        <v>0</v>
      </c>
      <c r="R289" s="23">
        <v>289760.24</v>
      </c>
      <c r="S28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9" s="99">
        <f ca="1">IF(PROVEEDORES[[#This Row],[FECHA DE PAGO]]=0,TODAY()-PROVEEDORES[[#This Row],[FECHA DE FACTURACIÓN]]-PROVEEDORES[[#This Row],[PLAZO Días]],0)</f>
        <v>0</v>
      </c>
      <c r="U289" s="149">
        <f>+VLOOKUP(PROVEEDORES[[#This Row],[PROVEEDOR]],Terceros!$A:$E,5,FALSE)</f>
        <v>0</v>
      </c>
      <c r="V289" s="150">
        <f>+YEAR(PROVEEDORES[[#This Row],[FECHA DE FACTURACIÓN]])</f>
        <v>2021</v>
      </c>
      <c r="W289" s="150">
        <f>+MATCH(PROVEEDORES[[#This Row],[año facturado]],Retenciones!$1:$1,0)</f>
        <v>4</v>
      </c>
      <c r="X289" s="151">
        <f>+VLOOKUP(PROVEEDORES[[#This Row],[ID RETENCION]],Retenciones!$A$1:$O$24,PROVEEDORES[[#This Row],[indicador de columna]],FALSE)</f>
        <v>0</v>
      </c>
      <c r="Y289" s="152">
        <f>+VLOOKUP(PROVEEDORES[[#This Row],[ID RETENCION]],Retenciones!$A$1:$O$24,2,FALSE)</f>
        <v>0</v>
      </c>
      <c r="Z289" s="26"/>
      <c r="AA289" s="26"/>
      <c r="AB289" s="26"/>
      <c r="AC289" s="26"/>
      <c r="AD289" s="26"/>
      <c r="AE289" s="26"/>
    </row>
    <row r="290" spans="1:31" ht="21.95" customHeight="1" x14ac:dyDescent="0.25">
      <c r="A290" s="97" t="str">
        <f>+IF(PROVEEDORES[[#This Row],[FECHA DE PAGO]]=PROVEEDORES[[#This Row],[FECHA DE FACTURACIÓN]],"DE CONTADO","CRÉDITO")</f>
        <v>CRÉDITO</v>
      </c>
      <c r="B290" s="41" t="str">
        <f>+IF((PROVEEDORES[[#This Row],[FECHA DE PAGO]]-PROVEEDORES[[#This Row],[FECHA DE FACTURACIÓN]])&gt;PROVEEDORES[[#This Row],[PLAZO Días]],"PAGO VENCIDO")</f>
        <v>PAGO VENCIDO</v>
      </c>
      <c r="C290" s="22">
        <f>+VLOOKUP(PROVEEDORES[[#This Row],[PROVEEDOR]],TERCEROS_INFO[#All],2,FALSE)</f>
        <v>45</v>
      </c>
      <c r="D290" s="27">
        <f>+SUMIFS(PROVEEDORES[Total],PROVEEDORES[PROVEEDOR],PROVEEDORES[[#This Row],[PROVEEDOR]],PROVEEDORES[FECHA DE PAGO],"")</f>
        <v>3412539.2</v>
      </c>
      <c r="E290" s="27"/>
      <c r="F290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290" s="95">
        <v>44351</v>
      </c>
      <c r="H290" s="28" t="s">
        <v>10</v>
      </c>
      <c r="I290" s="95">
        <v>44300</v>
      </c>
      <c r="J290" s="38" t="s">
        <v>309</v>
      </c>
      <c r="K290" s="23">
        <v>990000</v>
      </c>
      <c r="L290" s="23"/>
      <c r="M290" s="24">
        <v>188100</v>
      </c>
      <c r="N290" s="25"/>
      <c r="O290" s="24">
        <v>0</v>
      </c>
      <c r="P290" s="136">
        <f>+IF(PROVEEDORES[[#This Row],[SUBTOTAL]]&lt;PROVEEDORES[[#This Row],[base retencion]],0,PROVEEDORES[[#This Row],[retención aplicada]])</f>
        <v>0</v>
      </c>
      <c r="Q290" s="24">
        <f>+PROVEEDORES[[#This Row],[Rete Fuente %]]*PROVEEDORES[[#This Row],[SUBTOTAL]]</f>
        <v>0</v>
      </c>
      <c r="R290" s="23">
        <v>1178100</v>
      </c>
      <c r="S29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0" s="99">
        <f ca="1">IF(PROVEEDORES[[#This Row],[FECHA DE PAGO]]=0,TODAY()-PROVEEDORES[[#This Row],[FECHA DE FACTURACIÓN]]-PROVEEDORES[[#This Row],[PLAZO Días]],0)</f>
        <v>0</v>
      </c>
      <c r="U290" s="149">
        <f>+VLOOKUP(PROVEEDORES[[#This Row],[PROVEEDOR]],Terceros!$A:$E,5,FALSE)</f>
        <v>0</v>
      </c>
      <c r="V290" s="150">
        <f>+YEAR(PROVEEDORES[[#This Row],[FECHA DE FACTURACIÓN]])</f>
        <v>2021</v>
      </c>
      <c r="W290" s="150">
        <f>+MATCH(PROVEEDORES[[#This Row],[año facturado]],Retenciones!$1:$1,0)</f>
        <v>4</v>
      </c>
      <c r="X290" s="151">
        <f>+VLOOKUP(PROVEEDORES[[#This Row],[ID RETENCION]],Retenciones!$A$1:$O$24,PROVEEDORES[[#This Row],[indicador de columna]],FALSE)</f>
        <v>0</v>
      </c>
      <c r="Y290" s="152">
        <f>+VLOOKUP(PROVEEDORES[[#This Row],[ID RETENCION]],Retenciones!$A$1:$O$24,2,FALSE)</f>
        <v>0</v>
      </c>
      <c r="Z290" s="26"/>
      <c r="AA290" s="26"/>
      <c r="AB290" s="26"/>
      <c r="AC290" s="26"/>
      <c r="AD290" s="26"/>
      <c r="AE290" s="26"/>
    </row>
    <row r="291" spans="1:31" ht="21.95" customHeight="1" x14ac:dyDescent="0.25">
      <c r="A291" s="97" t="str">
        <f>+IF(PROVEEDORES[[#This Row],[FECHA DE PAGO]]=PROVEEDORES[[#This Row],[FECHA DE FACTURACIÓN]],"DE CONTADO","CRÉDITO")</f>
        <v>CRÉDITO</v>
      </c>
      <c r="B291" s="41" t="b">
        <f>+IF((PROVEEDORES[[#This Row],[FECHA DE PAGO]]-PROVEEDORES[[#This Row],[FECHA DE FACTURACIÓN]])&gt;PROVEEDORES[[#This Row],[PLAZO Días]],"PAGO VENCIDO")</f>
        <v>0</v>
      </c>
      <c r="C291" s="22">
        <f>+VLOOKUP(PROVEEDORES[[#This Row],[PROVEEDOR]],TERCEROS_INFO[#All],2,FALSE)</f>
        <v>30</v>
      </c>
      <c r="D291" s="27">
        <f>+SUMIFS(PROVEEDORES[Total],PROVEEDORES[PROVEEDOR],PROVEEDORES[[#This Row],[PROVEEDOR]],PROVEEDORES[FECHA DE PAGO],"")</f>
        <v>0</v>
      </c>
      <c r="E291" s="27"/>
      <c r="F291" s="62" t="str">
        <f>+VLOOKUP(PROVEEDORES[[#This Row],[PROVEEDOR]],
                       Terceros!$A:$G,
                       6,
                       FALSE)</f>
        <v/>
      </c>
      <c r="G291" s="95">
        <v>44302</v>
      </c>
      <c r="H291" s="28" t="s">
        <v>56</v>
      </c>
      <c r="I291" s="95">
        <v>44301</v>
      </c>
      <c r="J291" s="38">
        <v>53922</v>
      </c>
      <c r="K291" s="23">
        <v>5377000</v>
      </c>
      <c r="L291" s="23"/>
      <c r="M291" s="24">
        <v>0</v>
      </c>
      <c r="N291" s="25"/>
      <c r="O291" s="24">
        <v>0</v>
      </c>
      <c r="P291" s="136">
        <f>+IF(PROVEEDORES[[#This Row],[SUBTOTAL]]&lt;PROVEEDORES[[#This Row],[base retencion]],0,PROVEEDORES[[#This Row],[retención aplicada]])</f>
        <v>0</v>
      </c>
      <c r="Q291" s="24">
        <f>+PROVEEDORES[[#This Row],[Rete Fuente %]]*PROVEEDORES[[#This Row],[SUBTOTAL]]</f>
        <v>0</v>
      </c>
      <c r="R291" s="23">
        <v>5377000</v>
      </c>
      <c r="S29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1" s="99">
        <f ca="1">IF(PROVEEDORES[[#This Row],[FECHA DE PAGO]]=0,TODAY()-PROVEEDORES[[#This Row],[FECHA DE FACTURACIÓN]]-PROVEEDORES[[#This Row],[PLAZO Días]],0)</f>
        <v>0</v>
      </c>
      <c r="U291" s="149">
        <f>+VLOOKUP(PROVEEDORES[[#This Row],[PROVEEDOR]],Terceros!$A:$E,5,FALSE)</f>
        <v>0</v>
      </c>
      <c r="V291" s="150">
        <f>+YEAR(PROVEEDORES[[#This Row],[FECHA DE FACTURACIÓN]])</f>
        <v>2021</v>
      </c>
      <c r="W291" s="150">
        <f>+MATCH(PROVEEDORES[[#This Row],[año facturado]],Retenciones!$1:$1,0)</f>
        <v>4</v>
      </c>
      <c r="X291" s="151">
        <f>+VLOOKUP(PROVEEDORES[[#This Row],[ID RETENCION]],Retenciones!$A$1:$O$24,PROVEEDORES[[#This Row],[indicador de columna]],FALSE)</f>
        <v>0</v>
      </c>
      <c r="Y291" s="152">
        <f>+VLOOKUP(PROVEEDORES[[#This Row],[ID RETENCION]],Retenciones!$A$1:$O$24,2,FALSE)</f>
        <v>0</v>
      </c>
      <c r="Z291" s="26"/>
      <c r="AA291" s="26"/>
      <c r="AB291" s="26"/>
      <c r="AC291" s="26"/>
      <c r="AD291" s="26"/>
      <c r="AE291" s="26"/>
    </row>
    <row r="292" spans="1:31" ht="21.95" customHeight="1" x14ac:dyDescent="0.25">
      <c r="A292" s="97" t="str">
        <f>+IF(PROVEEDORES[[#This Row],[FECHA DE PAGO]]=PROVEEDORES[[#This Row],[FECHA DE FACTURACIÓN]],"DE CONTADO","CRÉDITO")</f>
        <v>CRÉDITO</v>
      </c>
      <c r="B292" s="41" t="b">
        <f>+IF((PROVEEDORES[[#This Row],[FECHA DE PAGO]]-PROVEEDORES[[#This Row],[FECHA DE FACTURACIÓN]])&gt;PROVEEDORES[[#This Row],[PLAZO Días]],"PAGO VENCIDO")</f>
        <v>0</v>
      </c>
      <c r="C292" s="22">
        <f>+VLOOKUP(PROVEEDORES[[#This Row],[PROVEEDOR]],TERCEROS_INFO[#All],2,FALSE)</f>
        <v>30</v>
      </c>
      <c r="D292" s="27">
        <f>+SUMIFS(PROVEEDORES[Total],PROVEEDORES[PROVEEDOR],PROVEEDORES[[#This Row],[PROVEEDOR]],PROVEEDORES[FECHA DE PAGO],"")</f>
        <v>0</v>
      </c>
      <c r="E292" s="27"/>
      <c r="F292" s="62" t="str">
        <f>+VLOOKUP(PROVEEDORES[[#This Row],[PROVEEDOR]],
                       Terceros!$A:$G,
                       6,
                       FALSE)</f>
        <v/>
      </c>
      <c r="G292" s="95">
        <v>44306</v>
      </c>
      <c r="H292" s="28" t="s">
        <v>1001</v>
      </c>
      <c r="I292" s="95">
        <v>44305</v>
      </c>
      <c r="J292" s="38" t="s">
        <v>689</v>
      </c>
      <c r="K292" s="23">
        <v>3351000</v>
      </c>
      <c r="L292" s="23"/>
      <c r="M292" s="24">
        <v>0</v>
      </c>
      <c r="N292" s="25"/>
      <c r="O292" s="24">
        <v>0</v>
      </c>
      <c r="P292" s="136">
        <f>+IF(PROVEEDORES[[#This Row],[SUBTOTAL]]&lt;PROVEEDORES[[#This Row],[base retencion]],0,PROVEEDORES[[#This Row],[retención aplicada]])</f>
        <v>0</v>
      </c>
      <c r="Q292" s="24">
        <f>+PROVEEDORES[[#This Row],[Rete Fuente %]]*PROVEEDORES[[#This Row],[SUBTOTAL]]</f>
        <v>0</v>
      </c>
      <c r="R292" s="23">
        <v>3351000</v>
      </c>
      <c r="S29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2" s="99">
        <f ca="1">IF(PROVEEDORES[[#This Row],[FECHA DE PAGO]]=0,TODAY()-PROVEEDORES[[#This Row],[FECHA DE FACTURACIÓN]]-PROVEEDORES[[#This Row],[PLAZO Días]],0)</f>
        <v>0</v>
      </c>
      <c r="U292" s="149">
        <f>+VLOOKUP(PROVEEDORES[[#This Row],[PROVEEDOR]],Terceros!$A:$E,5,FALSE)</f>
        <v>0</v>
      </c>
      <c r="V292" s="150">
        <f>+YEAR(PROVEEDORES[[#This Row],[FECHA DE FACTURACIÓN]])</f>
        <v>2021</v>
      </c>
      <c r="W292" s="150">
        <f>+MATCH(PROVEEDORES[[#This Row],[año facturado]],Retenciones!$1:$1,0)</f>
        <v>4</v>
      </c>
      <c r="X292" s="151">
        <f>+VLOOKUP(PROVEEDORES[[#This Row],[ID RETENCION]],Retenciones!$A$1:$O$24,PROVEEDORES[[#This Row],[indicador de columna]],FALSE)</f>
        <v>0</v>
      </c>
      <c r="Y292" s="152">
        <f>+VLOOKUP(PROVEEDORES[[#This Row],[ID RETENCION]],Retenciones!$A$1:$O$24,2,FALSE)</f>
        <v>0</v>
      </c>
      <c r="Z292" s="26"/>
      <c r="AA292" s="26"/>
      <c r="AB292" s="26"/>
      <c r="AC292" s="26"/>
      <c r="AD292" s="26"/>
      <c r="AE292" s="26"/>
    </row>
    <row r="293" spans="1:31" ht="21.95" customHeight="1" x14ac:dyDescent="0.25">
      <c r="A293" s="97" t="str">
        <f>+IF(PROVEEDORES[[#This Row],[FECHA DE PAGO]]=PROVEEDORES[[#This Row],[FECHA DE FACTURACIÓN]],"DE CONTADO","CRÉDITO")</f>
        <v>CRÉDITO</v>
      </c>
      <c r="B293" s="41" t="str">
        <f>+IF((PROVEEDORES[[#This Row],[FECHA DE PAGO]]-PROVEEDORES[[#This Row],[FECHA DE FACTURACIÓN]])&gt;PROVEEDORES[[#This Row],[PLAZO Días]],"PAGO VENCIDO")</f>
        <v>PAGO VENCIDO</v>
      </c>
      <c r="C293" s="22">
        <f>+VLOOKUP(PROVEEDORES[[#This Row],[PROVEEDOR]],TERCEROS_INFO[#All],2,FALSE)</f>
        <v>30</v>
      </c>
      <c r="D293" s="27">
        <f>+SUMIFS(PROVEEDORES[Total],PROVEEDORES[PROVEEDOR],PROVEEDORES[[#This Row],[PROVEEDOR]],PROVEEDORES[FECHA DE PAGO],"")</f>
        <v>4641412.7745000003</v>
      </c>
      <c r="E293" s="27"/>
      <c r="F293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293" s="95">
        <v>44348</v>
      </c>
      <c r="H293" s="28" t="s">
        <v>20</v>
      </c>
      <c r="I293" s="95">
        <v>44306</v>
      </c>
      <c r="J293" s="38">
        <v>3909</v>
      </c>
      <c r="K293" s="23">
        <v>898920</v>
      </c>
      <c r="L293" s="23"/>
      <c r="M293" s="24">
        <v>170794.8</v>
      </c>
      <c r="N293" s="25"/>
      <c r="O293" s="24">
        <v>0</v>
      </c>
      <c r="P293" s="136">
        <f>+IF(PROVEEDORES[[#This Row],[SUBTOTAL]]&lt;PROVEEDORES[[#This Row],[base retencion]],0,PROVEEDORES[[#This Row],[retención aplicada]])</f>
        <v>0</v>
      </c>
      <c r="Q293" s="24">
        <f>+PROVEEDORES[[#This Row],[Rete Fuente %]]*PROVEEDORES[[#This Row],[SUBTOTAL]]</f>
        <v>0</v>
      </c>
      <c r="R293" s="23">
        <v>1069714.8</v>
      </c>
      <c r="S29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3" s="99">
        <f ca="1">IF(PROVEEDORES[[#This Row],[FECHA DE PAGO]]=0,TODAY()-PROVEEDORES[[#This Row],[FECHA DE FACTURACIÓN]]-PROVEEDORES[[#This Row],[PLAZO Días]],0)</f>
        <v>0</v>
      </c>
      <c r="U293" s="149" t="str">
        <f>+VLOOKUP(PROVEEDORES[[#This Row],[PROVEEDOR]],Terceros!$A:$E,5,FALSE)</f>
        <v>2,5% con base</v>
      </c>
      <c r="V293" s="150">
        <f>+YEAR(PROVEEDORES[[#This Row],[FECHA DE FACTURACIÓN]])</f>
        <v>2021</v>
      </c>
      <c r="W293" s="150">
        <f>+MATCH(PROVEEDORES[[#This Row],[año facturado]],Retenciones!$1:$1,0)</f>
        <v>4</v>
      </c>
      <c r="X293" s="151">
        <f>+VLOOKUP(PROVEEDORES[[#This Row],[ID RETENCION]],Retenciones!$A$1:$O$24,PROVEEDORES[[#This Row],[indicador de columna]],FALSE)</f>
        <v>980000</v>
      </c>
      <c r="Y293" s="152">
        <f>+VLOOKUP(PROVEEDORES[[#This Row],[ID RETENCION]],Retenciones!$A$1:$O$24,2,FALSE)</f>
        <v>2.5000000000000001E-2</v>
      </c>
      <c r="Z293" s="26"/>
      <c r="AA293" s="26"/>
      <c r="AB293" s="26"/>
      <c r="AC293" s="26"/>
      <c r="AD293" s="26"/>
      <c r="AE293" s="26"/>
    </row>
    <row r="294" spans="1:31" ht="21.95" customHeight="1" x14ac:dyDescent="0.25">
      <c r="A294" s="97" t="str">
        <f>+IF(PROVEEDORES[[#This Row],[FECHA DE PAGO]]=PROVEEDORES[[#This Row],[FECHA DE FACTURACIÓN]],"DE CONTADO","CRÉDITO")</f>
        <v>CRÉDITO</v>
      </c>
      <c r="B294" s="41" t="str">
        <f>+IF((PROVEEDORES[[#This Row],[FECHA DE PAGO]]-PROVEEDORES[[#This Row],[FECHA DE FACTURACIÓN]])&gt;PROVEEDORES[[#This Row],[PLAZO Días]],"PAGO VENCIDO")</f>
        <v>PAGO VENCIDO</v>
      </c>
      <c r="C294" s="22">
        <f>+VLOOKUP(PROVEEDORES[[#This Row],[PROVEEDOR]],TERCEROS_INFO[#All],2,FALSE)</f>
        <v>90</v>
      </c>
      <c r="D294" s="27">
        <f>+SUMIFS(PROVEEDORES[Total],PROVEEDORES[PROVEEDOR],PROVEEDORES[[#This Row],[PROVEEDOR]],PROVEEDORES[FECHA DE PAGO],"")</f>
        <v>28052953.019999996</v>
      </c>
      <c r="E294" s="27"/>
      <c r="F294" s="62" t="str">
        <f>+VLOOKUP(PROVEEDORES[[#This Row],[PROVEEDOR]],
                       Terceros!$A:$G,
                       6,
                       FALSE)</f>
        <v>criszapata1234@gmail.com;girlesa.ruiz@servipilas.com;joriescobar64@gmail.com</v>
      </c>
      <c r="G294" s="95">
        <v>44427</v>
      </c>
      <c r="H294" s="28" t="s">
        <v>78</v>
      </c>
      <c r="I294" s="95">
        <v>44306</v>
      </c>
      <c r="J294" s="38" t="s">
        <v>310</v>
      </c>
      <c r="K294" s="23">
        <v>11575598</v>
      </c>
      <c r="L294" s="23"/>
      <c r="M294" s="24">
        <v>2199363.62</v>
      </c>
      <c r="N294" s="25"/>
      <c r="O294" s="24">
        <v>0</v>
      </c>
      <c r="P294" s="136">
        <f>+IF(PROVEEDORES[[#This Row],[SUBTOTAL]]&lt;PROVEEDORES[[#This Row],[base retencion]],0,PROVEEDORES[[#This Row],[retención aplicada]])</f>
        <v>2.5000000000000001E-2</v>
      </c>
      <c r="Q294" s="24">
        <f>+PROVEEDORES[[#This Row],[Rete Fuente %]]*PROVEEDORES[[#This Row],[SUBTOTAL]]</f>
        <v>289389.95</v>
      </c>
      <c r="R294" s="23">
        <v>13485571.670000002</v>
      </c>
      <c r="S29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4" s="99">
        <f ca="1">IF(PROVEEDORES[[#This Row],[FECHA DE PAGO]]=0,TODAY()-PROVEEDORES[[#This Row],[FECHA DE FACTURACIÓN]]-PROVEEDORES[[#This Row],[PLAZO Días]],0)</f>
        <v>0</v>
      </c>
      <c r="U294" s="149" t="str">
        <f>+VLOOKUP(PROVEEDORES[[#This Row],[PROVEEDOR]],Terceros!$A:$E,5,FALSE)</f>
        <v>2,5% con base</v>
      </c>
      <c r="V294" s="150">
        <f>+YEAR(PROVEEDORES[[#This Row],[FECHA DE FACTURACIÓN]])</f>
        <v>2021</v>
      </c>
      <c r="W294" s="150">
        <f>+MATCH(PROVEEDORES[[#This Row],[año facturado]],Retenciones!$1:$1,0)</f>
        <v>4</v>
      </c>
      <c r="X294" s="151">
        <f>+VLOOKUP(PROVEEDORES[[#This Row],[ID RETENCION]],Retenciones!$A$1:$O$24,PROVEEDORES[[#This Row],[indicador de columna]],FALSE)</f>
        <v>980000</v>
      </c>
      <c r="Y294" s="152">
        <f>+VLOOKUP(PROVEEDORES[[#This Row],[ID RETENCION]],Retenciones!$A$1:$O$24,2,FALSE)</f>
        <v>2.5000000000000001E-2</v>
      </c>
      <c r="Z294" s="26"/>
      <c r="AA294" s="26"/>
      <c r="AB294" s="26"/>
      <c r="AC294" s="26"/>
      <c r="AD294" s="26"/>
      <c r="AE294" s="26"/>
    </row>
    <row r="295" spans="1:31" ht="21.95" customHeight="1" x14ac:dyDescent="0.25">
      <c r="A295" s="97" t="str">
        <f>+IF(PROVEEDORES[[#This Row],[FECHA DE PAGO]]=PROVEEDORES[[#This Row],[FECHA DE FACTURACIÓN]],"DE CONTADO","CRÉDITO")</f>
        <v>CRÉDITO</v>
      </c>
      <c r="B295" s="41" t="str">
        <f>+IF((PROVEEDORES[[#This Row],[FECHA DE PAGO]]-PROVEEDORES[[#This Row],[FECHA DE FACTURACIÓN]])&gt;PROVEEDORES[[#This Row],[PLAZO Días]],"PAGO VENCIDO")</f>
        <v>PAGO VENCIDO</v>
      </c>
      <c r="C295" s="22">
        <f>+VLOOKUP(PROVEEDORES[[#This Row],[PROVEEDOR]],TERCEROS_INFO[#All],2,FALSE)</f>
        <v>30</v>
      </c>
      <c r="D295" s="27">
        <f>+SUMIFS(PROVEEDORES[Total],PROVEEDORES[PROVEEDOR],PROVEEDORES[[#This Row],[PROVEEDOR]],PROVEEDORES[FECHA DE PAGO],"")</f>
        <v>1979529.3</v>
      </c>
      <c r="E295" s="27"/>
      <c r="F295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295" s="95">
        <v>44344</v>
      </c>
      <c r="H295" s="28" t="s">
        <v>17</v>
      </c>
      <c r="I295" s="95">
        <v>44307</v>
      </c>
      <c r="J295" s="38">
        <v>1754054</v>
      </c>
      <c r="K295" s="23">
        <v>126965.96</v>
      </c>
      <c r="L295" s="23"/>
      <c r="M295" s="24">
        <v>24123.5324</v>
      </c>
      <c r="N295" s="25"/>
      <c r="O295" s="24">
        <v>0</v>
      </c>
      <c r="P295" s="136">
        <f>+IF(PROVEEDORES[[#This Row],[SUBTOTAL]]&lt;PROVEEDORES[[#This Row],[base retencion]],0,PROVEEDORES[[#This Row],[retención aplicada]])</f>
        <v>0</v>
      </c>
      <c r="Q295" s="24">
        <f>+PROVEEDORES[[#This Row],[Rete Fuente %]]*PROVEEDORES[[#This Row],[SUBTOTAL]]</f>
        <v>0</v>
      </c>
      <c r="R295" s="23">
        <v>151089.49240000002</v>
      </c>
      <c r="S29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5" s="99">
        <f ca="1">IF(PROVEEDORES[[#This Row],[FECHA DE PAGO]]=0,TODAY()-PROVEEDORES[[#This Row],[FECHA DE FACTURACIÓN]]-PROVEEDORES[[#This Row],[PLAZO Días]],0)</f>
        <v>0</v>
      </c>
      <c r="U295" s="149">
        <f>+VLOOKUP(PROVEEDORES[[#This Row],[PROVEEDOR]],Terceros!$A:$E,5,FALSE)</f>
        <v>0</v>
      </c>
      <c r="V295" s="150">
        <f>+YEAR(PROVEEDORES[[#This Row],[FECHA DE FACTURACIÓN]])</f>
        <v>2021</v>
      </c>
      <c r="W295" s="150">
        <f>+MATCH(PROVEEDORES[[#This Row],[año facturado]],Retenciones!$1:$1,0)</f>
        <v>4</v>
      </c>
      <c r="X295" s="151">
        <f>+VLOOKUP(PROVEEDORES[[#This Row],[ID RETENCION]],Retenciones!$A$1:$O$24,PROVEEDORES[[#This Row],[indicador de columna]],FALSE)</f>
        <v>0</v>
      </c>
      <c r="Y295" s="152">
        <f>+VLOOKUP(PROVEEDORES[[#This Row],[ID RETENCION]],Retenciones!$A$1:$O$24,2,FALSE)</f>
        <v>0</v>
      </c>
      <c r="Z295" s="26"/>
      <c r="AA295" s="26"/>
      <c r="AB295" s="26"/>
      <c r="AC295" s="26"/>
      <c r="AD295" s="26"/>
      <c r="AE295" s="26"/>
    </row>
    <row r="296" spans="1:31" ht="21.95" customHeight="1" x14ac:dyDescent="0.25">
      <c r="A296" s="97" t="str">
        <f>+IF(PROVEEDORES[[#This Row],[FECHA DE PAGO]]=PROVEEDORES[[#This Row],[FECHA DE FACTURACIÓN]],"DE CONTADO","CRÉDITO")</f>
        <v>DE CONTADO</v>
      </c>
      <c r="B296" s="41" t="b">
        <f>+IF((PROVEEDORES[[#This Row],[FECHA DE PAGO]]-PROVEEDORES[[#This Row],[FECHA DE FACTURACIÓN]])&gt;PROVEEDORES[[#This Row],[PLAZO Días]],"PAGO VENCIDO")</f>
        <v>0</v>
      </c>
      <c r="C296" s="22">
        <f>+VLOOKUP(PROVEEDORES[[#This Row],[PROVEEDOR]],TERCEROS_INFO[#All],2,FALSE)</f>
        <v>30</v>
      </c>
      <c r="D296" s="27">
        <f>+SUMIFS(PROVEEDORES[Total],PROVEEDORES[PROVEEDOR],PROVEEDORES[[#This Row],[PROVEEDOR]],PROVEEDORES[FECHA DE PAGO],"")</f>
        <v>0</v>
      </c>
      <c r="E296" s="27"/>
      <c r="F296" s="62" t="str">
        <f>+VLOOKUP(PROVEEDORES[[#This Row],[PROVEEDOR]],
                       Terceros!$A:$G,
                       6,
                       FALSE)</f>
        <v/>
      </c>
      <c r="G296" s="95">
        <v>44307</v>
      </c>
      <c r="H296" s="28" t="s">
        <v>1046</v>
      </c>
      <c r="I296" s="95">
        <v>44307</v>
      </c>
      <c r="J296" s="38"/>
      <c r="K296" s="23">
        <v>500000</v>
      </c>
      <c r="L296" s="23"/>
      <c r="M296" s="24">
        <v>0</v>
      </c>
      <c r="N296" s="25"/>
      <c r="O296" s="24">
        <v>0</v>
      </c>
      <c r="P296" s="136">
        <f>+IF(PROVEEDORES[[#This Row],[SUBTOTAL]]&lt;PROVEEDORES[[#This Row],[base retencion]],0,PROVEEDORES[[#This Row],[retención aplicada]])</f>
        <v>0</v>
      </c>
      <c r="Q296" s="24">
        <f>+PROVEEDORES[[#This Row],[Rete Fuente %]]*PROVEEDORES[[#This Row],[SUBTOTAL]]</f>
        <v>0</v>
      </c>
      <c r="R296" s="23">
        <v>500000</v>
      </c>
      <c r="S29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6" s="99">
        <f ca="1">IF(PROVEEDORES[[#This Row],[FECHA DE PAGO]]=0,TODAY()-PROVEEDORES[[#This Row],[FECHA DE FACTURACIÓN]]-PROVEEDORES[[#This Row],[PLAZO Días]],0)</f>
        <v>0</v>
      </c>
      <c r="U296" s="149">
        <f>+VLOOKUP(PROVEEDORES[[#This Row],[PROVEEDOR]],Terceros!$A:$E,5,FALSE)</f>
        <v>0</v>
      </c>
      <c r="V296" s="150">
        <f>+YEAR(PROVEEDORES[[#This Row],[FECHA DE FACTURACIÓN]])</f>
        <v>2021</v>
      </c>
      <c r="W296" s="150">
        <f>+MATCH(PROVEEDORES[[#This Row],[año facturado]],Retenciones!$1:$1,0)</f>
        <v>4</v>
      </c>
      <c r="X296" s="151">
        <f>+VLOOKUP(PROVEEDORES[[#This Row],[ID RETENCION]],Retenciones!$A$1:$O$24,PROVEEDORES[[#This Row],[indicador de columna]],FALSE)</f>
        <v>0</v>
      </c>
      <c r="Y296" s="152">
        <f>+VLOOKUP(PROVEEDORES[[#This Row],[ID RETENCION]],Retenciones!$A$1:$O$24,2,FALSE)</f>
        <v>0</v>
      </c>
      <c r="Z296" s="26"/>
      <c r="AA296" s="26"/>
      <c r="AB296" s="26"/>
      <c r="AC296" s="26"/>
      <c r="AD296" s="26"/>
      <c r="AE296" s="26"/>
    </row>
    <row r="297" spans="1:31" ht="21.95" customHeight="1" x14ac:dyDescent="0.25">
      <c r="A297" s="97" t="str">
        <f>+IF(PROVEEDORES[[#This Row],[FECHA DE PAGO]]=PROVEEDORES[[#This Row],[FECHA DE FACTURACIÓN]],"DE CONTADO","CRÉDITO")</f>
        <v>CRÉDITO</v>
      </c>
      <c r="B297" s="41" t="str">
        <f>+IF((PROVEEDORES[[#This Row],[FECHA DE PAGO]]-PROVEEDORES[[#This Row],[FECHA DE FACTURACIÓN]])&gt;PROVEEDORES[[#This Row],[PLAZO Días]],"PAGO VENCIDO")</f>
        <v>PAGO VENCIDO</v>
      </c>
      <c r="C297" s="22">
        <f>+VLOOKUP(PROVEEDORES[[#This Row],[PROVEEDOR]],TERCEROS_INFO[#All],2,FALSE)</f>
        <v>45</v>
      </c>
      <c r="D297" s="27">
        <f>+SUMIFS(PROVEEDORES[Total],PROVEEDORES[PROVEEDOR],PROVEEDORES[[#This Row],[PROVEEDOR]],PROVEEDORES[FECHA DE PAGO],"")</f>
        <v>3412539.2</v>
      </c>
      <c r="E297" s="27"/>
      <c r="F297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297" s="95">
        <v>44369</v>
      </c>
      <c r="H297" s="28" t="s">
        <v>10</v>
      </c>
      <c r="I297" s="95">
        <v>44307</v>
      </c>
      <c r="J297" s="38" t="s">
        <v>308</v>
      </c>
      <c r="K297" s="23">
        <v>894000</v>
      </c>
      <c r="L297" s="23"/>
      <c r="M297" s="24">
        <v>169860</v>
      </c>
      <c r="N297" s="25"/>
      <c r="O297" s="24">
        <v>0</v>
      </c>
      <c r="P297" s="136">
        <f>+IF(PROVEEDORES[[#This Row],[SUBTOTAL]]&lt;PROVEEDORES[[#This Row],[base retencion]],0,PROVEEDORES[[#This Row],[retención aplicada]])</f>
        <v>0</v>
      </c>
      <c r="Q297" s="24">
        <f>+PROVEEDORES[[#This Row],[Rete Fuente %]]*PROVEEDORES[[#This Row],[SUBTOTAL]]</f>
        <v>0</v>
      </c>
      <c r="R297" s="23">
        <v>1063860</v>
      </c>
      <c r="S29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7" s="99">
        <f ca="1">IF(PROVEEDORES[[#This Row],[FECHA DE PAGO]]=0,TODAY()-PROVEEDORES[[#This Row],[FECHA DE FACTURACIÓN]]-PROVEEDORES[[#This Row],[PLAZO Días]],0)</f>
        <v>0</v>
      </c>
      <c r="U297" s="149">
        <f>+VLOOKUP(PROVEEDORES[[#This Row],[PROVEEDOR]],Terceros!$A:$E,5,FALSE)</f>
        <v>0</v>
      </c>
      <c r="V297" s="150">
        <f>+YEAR(PROVEEDORES[[#This Row],[FECHA DE FACTURACIÓN]])</f>
        <v>2021</v>
      </c>
      <c r="W297" s="150">
        <f>+MATCH(PROVEEDORES[[#This Row],[año facturado]],Retenciones!$1:$1,0)</f>
        <v>4</v>
      </c>
      <c r="X297" s="151">
        <f>+VLOOKUP(PROVEEDORES[[#This Row],[ID RETENCION]],Retenciones!$A$1:$O$24,PROVEEDORES[[#This Row],[indicador de columna]],FALSE)</f>
        <v>0</v>
      </c>
      <c r="Y297" s="152">
        <f>+VLOOKUP(PROVEEDORES[[#This Row],[ID RETENCION]],Retenciones!$A$1:$O$24,2,FALSE)</f>
        <v>0</v>
      </c>
      <c r="Z297" s="26"/>
      <c r="AA297" s="26"/>
      <c r="AB297" s="26"/>
      <c r="AC297" s="26"/>
      <c r="AD297" s="26"/>
      <c r="AE297" s="26"/>
    </row>
    <row r="298" spans="1:31" ht="21.95" customHeight="1" x14ac:dyDescent="0.25">
      <c r="A298" s="97" t="str">
        <f>+IF(PROVEEDORES[[#This Row],[FECHA DE PAGO]]=PROVEEDORES[[#This Row],[FECHA DE FACTURACIÓN]],"DE CONTADO","CRÉDITO")</f>
        <v>CRÉDITO</v>
      </c>
      <c r="B298" s="41" t="str">
        <f>+IF((PROVEEDORES[[#This Row],[FECHA DE PAGO]]-PROVEEDORES[[#This Row],[FECHA DE FACTURACIÓN]])&gt;PROVEEDORES[[#This Row],[PLAZO Días]],"PAGO VENCIDO")</f>
        <v>PAGO VENCIDO</v>
      </c>
      <c r="C298" s="22">
        <f>+VLOOKUP(PROVEEDORES[[#This Row],[PROVEEDOR]],TERCEROS_INFO[#All],2,FALSE)</f>
        <v>30</v>
      </c>
      <c r="D298" s="27">
        <f>+SUMIFS(PROVEEDORES[Total],PROVEEDORES[PROVEEDOR],PROVEEDORES[[#This Row],[PROVEEDOR]],PROVEEDORES[FECHA DE PAGO],"")</f>
        <v>2588352.5</v>
      </c>
      <c r="E298" s="27"/>
      <c r="F298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298" s="95">
        <v>44348</v>
      </c>
      <c r="H298" s="28" t="s">
        <v>1088</v>
      </c>
      <c r="I298" s="95">
        <v>44307</v>
      </c>
      <c r="J298" s="38">
        <v>20716</v>
      </c>
      <c r="K298" s="23">
        <v>1928928</v>
      </c>
      <c r="L298" s="23">
        <v>133188</v>
      </c>
      <c r="M298" s="24">
        <v>341190.6</v>
      </c>
      <c r="N298" s="25"/>
      <c r="O298" s="24">
        <v>0</v>
      </c>
      <c r="P298" s="136">
        <f>+IF(PROVEEDORES[[#This Row],[SUBTOTAL]]&lt;PROVEEDORES[[#This Row],[base retencion]],0,PROVEEDORES[[#This Row],[retención aplicada]])</f>
        <v>2.5000000000000001E-2</v>
      </c>
      <c r="Q298" s="24">
        <f>+PROVEEDORES[[#This Row],[Rete Fuente %]]*PROVEEDORES[[#This Row],[SUBTOTAL]]</f>
        <v>48223.200000000004</v>
      </c>
      <c r="R298" s="23">
        <v>2092037.1</v>
      </c>
      <c r="S29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8" s="99">
        <f ca="1">IF(PROVEEDORES[[#This Row],[FECHA DE PAGO]]=0,TODAY()-PROVEEDORES[[#This Row],[FECHA DE FACTURACIÓN]]-PROVEEDORES[[#This Row],[PLAZO Días]],0)</f>
        <v>0</v>
      </c>
      <c r="U298" s="149" t="str">
        <f>+VLOOKUP(PROVEEDORES[[#This Row],[PROVEEDOR]],Terceros!$A:$E,5,FALSE)</f>
        <v>2,5% con base</v>
      </c>
      <c r="V298" s="150">
        <f>+YEAR(PROVEEDORES[[#This Row],[FECHA DE FACTURACIÓN]])</f>
        <v>2021</v>
      </c>
      <c r="W298" s="150">
        <f>+MATCH(PROVEEDORES[[#This Row],[año facturado]],Retenciones!$1:$1,0)</f>
        <v>4</v>
      </c>
      <c r="X298" s="151">
        <f>+VLOOKUP(PROVEEDORES[[#This Row],[ID RETENCION]],Retenciones!$A$1:$O$24,PROVEEDORES[[#This Row],[indicador de columna]],FALSE)</f>
        <v>980000</v>
      </c>
      <c r="Y298" s="152">
        <f>+VLOOKUP(PROVEEDORES[[#This Row],[ID RETENCION]],Retenciones!$A$1:$O$24,2,FALSE)</f>
        <v>2.5000000000000001E-2</v>
      </c>
      <c r="Z298" s="26"/>
      <c r="AA298" s="26"/>
      <c r="AB298" s="26"/>
      <c r="AC298" s="26"/>
      <c r="AD298" s="26"/>
      <c r="AE298" s="26"/>
    </row>
    <row r="299" spans="1:31" ht="21.95" customHeight="1" x14ac:dyDescent="0.25">
      <c r="A299" s="97" t="str">
        <f>+IF(PROVEEDORES[[#This Row],[FECHA DE PAGO]]=PROVEEDORES[[#This Row],[FECHA DE FACTURACIÓN]],"DE CONTADO","CRÉDITO")</f>
        <v>CRÉDITO</v>
      </c>
      <c r="B299" s="41" t="b">
        <f>+IF((PROVEEDORES[[#This Row],[FECHA DE PAGO]]-PROVEEDORES[[#This Row],[FECHA DE FACTURACIÓN]])&gt;PROVEEDORES[[#This Row],[PLAZO Días]],"PAGO VENCIDO")</f>
        <v>0</v>
      </c>
      <c r="C299" s="22">
        <f>+VLOOKUP(PROVEEDORES[[#This Row],[PROVEEDOR]],TERCEROS_INFO[#All],2,FALSE)</f>
        <v>30</v>
      </c>
      <c r="D299" s="27">
        <f>+SUMIFS(PROVEEDORES[Total],PROVEEDORES[PROVEEDOR],PROVEEDORES[[#This Row],[PROVEEDOR]],PROVEEDORES[FECHA DE PAGO],"")</f>
        <v>367873.4</v>
      </c>
      <c r="E299" s="27"/>
      <c r="F299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299" s="95">
        <v>44319</v>
      </c>
      <c r="H299" s="28" t="s">
        <v>120</v>
      </c>
      <c r="I299" s="95">
        <v>44308</v>
      </c>
      <c r="J299" s="38" t="s">
        <v>314</v>
      </c>
      <c r="K299" s="23">
        <v>158258.28</v>
      </c>
      <c r="L299" s="23"/>
      <c r="M299" s="24">
        <v>0</v>
      </c>
      <c r="N299" s="25"/>
      <c r="O299" s="24">
        <v>0</v>
      </c>
      <c r="P299" s="136">
        <f>+IF(PROVEEDORES[[#This Row],[SUBTOTAL]]&lt;PROVEEDORES[[#This Row],[base retencion]],0,PROVEEDORES[[#This Row],[retención aplicada]])</f>
        <v>0</v>
      </c>
      <c r="Q299" s="24">
        <f>+PROVEEDORES[[#This Row],[Rete Fuente %]]*PROVEEDORES[[#This Row],[SUBTOTAL]]</f>
        <v>0</v>
      </c>
      <c r="R299" s="23">
        <v>158258.28</v>
      </c>
      <c r="S29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9" s="99">
        <f ca="1">IF(PROVEEDORES[[#This Row],[FECHA DE PAGO]]=0,TODAY()-PROVEEDORES[[#This Row],[FECHA DE FACTURACIÓN]]-PROVEEDORES[[#This Row],[PLAZO Días]],0)</f>
        <v>0</v>
      </c>
      <c r="U299" s="149">
        <f>+VLOOKUP(PROVEEDORES[[#This Row],[PROVEEDOR]],Terceros!$A:$E,5,FALSE)</f>
        <v>0</v>
      </c>
      <c r="V299" s="150">
        <f>+YEAR(PROVEEDORES[[#This Row],[FECHA DE FACTURACIÓN]])</f>
        <v>2021</v>
      </c>
      <c r="W299" s="150">
        <f>+MATCH(PROVEEDORES[[#This Row],[año facturado]],Retenciones!$1:$1,0)</f>
        <v>4</v>
      </c>
      <c r="X299" s="151">
        <f>+VLOOKUP(PROVEEDORES[[#This Row],[ID RETENCION]],Retenciones!$A$1:$O$24,PROVEEDORES[[#This Row],[indicador de columna]],FALSE)</f>
        <v>0</v>
      </c>
      <c r="Y299" s="152">
        <f>+VLOOKUP(PROVEEDORES[[#This Row],[ID RETENCION]],Retenciones!$A$1:$O$24,2,FALSE)</f>
        <v>0</v>
      </c>
      <c r="Z299" s="26"/>
      <c r="AA299" s="26"/>
      <c r="AB299" s="26"/>
      <c r="AC299" s="26"/>
      <c r="AD299" s="26"/>
      <c r="AE299" s="26"/>
    </row>
    <row r="300" spans="1:31" ht="21.95" customHeight="1" x14ac:dyDescent="0.25">
      <c r="A300" s="97" t="str">
        <f>+IF(PROVEEDORES[[#This Row],[FECHA DE PAGO]]=PROVEEDORES[[#This Row],[FECHA DE FACTURACIÓN]],"DE CONTADO","CRÉDITO")</f>
        <v>CRÉDITO</v>
      </c>
      <c r="B300" s="41" t="str">
        <f>+IF((PROVEEDORES[[#This Row],[FECHA DE PAGO]]-PROVEEDORES[[#This Row],[FECHA DE FACTURACIÓN]])&gt;PROVEEDORES[[#This Row],[PLAZO Días]],"PAGO VENCIDO")</f>
        <v>PAGO VENCIDO</v>
      </c>
      <c r="C300" s="22">
        <f>+VLOOKUP(PROVEEDORES[[#This Row],[PROVEEDOR]],TERCEROS_INFO[#All],2,FALSE)</f>
        <v>30</v>
      </c>
      <c r="D300" s="27">
        <f>+SUMIFS(PROVEEDORES[Total],PROVEEDORES[PROVEEDOR],PROVEEDORES[[#This Row],[PROVEEDOR]],PROVEEDORES[FECHA DE PAGO],"")</f>
        <v>0</v>
      </c>
      <c r="E300" s="27"/>
      <c r="F300" s="62" t="str">
        <f>+VLOOKUP(PROVEEDORES[[#This Row],[PROVEEDOR]],
                       Terceros!$A:$G,
                       6,
                       FALSE)</f>
        <v>cxc11@unitecusa.com.co;jefecartera@unitecusa.com.co;girlesa.ruiz@servipilas.com;joriescobar64@gmail.com</v>
      </c>
      <c r="G300" s="95">
        <v>44344</v>
      </c>
      <c r="H300" s="28" t="s">
        <v>14</v>
      </c>
      <c r="I300" s="95">
        <v>44308</v>
      </c>
      <c r="J300" s="38" t="s">
        <v>311</v>
      </c>
      <c r="K300" s="23">
        <v>202496</v>
      </c>
      <c r="L300" s="23"/>
      <c r="M300" s="24">
        <v>38474.239999999998</v>
      </c>
      <c r="N300" s="25"/>
      <c r="O300" s="24">
        <v>0</v>
      </c>
      <c r="P300" s="136">
        <f>+IF(PROVEEDORES[[#This Row],[SUBTOTAL]]&lt;PROVEEDORES[[#This Row],[base retencion]],0,PROVEEDORES[[#This Row],[retención aplicada]])</f>
        <v>0</v>
      </c>
      <c r="Q300" s="24">
        <f>+PROVEEDORES[[#This Row],[Rete Fuente %]]*PROVEEDORES[[#This Row],[SUBTOTAL]]</f>
        <v>0</v>
      </c>
      <c r="R300" s="23">
        <v>240970.23999999999</v>
      </c>
      <c r="S30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0" s="99">
        <f ca="1">IF(PROVEEDORES[[#This Row],[FECHA DE PAGO]]=0,TODAY()-PROVEEDORES[[#This Row],[FECHA DE FACTURACIÓN]]-PROVEEDORES[[#This Row],[PLAZO Días]],0)</f>
        <v>0</v>
      </c>
      <c r="U300" s="149" t="str">
        <f>+VLOOKUP(PROVEEDORES[[#This Row],[PROVEEDOR]],Terceros!$A:$E,5,FALSE)</f>
        <v>2,5% con base</v>
      </c>
      <c r="V300" s="150">
        <f>+YEAR(PROVEEDORES[[#This Row],[FECHA DE FACTURACIÓN]])</f>
        <v>2021</v>
      </c>
      <c r="W300" s="150">
        <f>+MATCH(PROVEEDORES[[#This Row],[año facturado]],Retenciones!$1:$1,0)</f>
        <v>4</v>
      </c>
      <c r="X300" s="151">
        <f>+VLOOKUP(PROVEEDORES[[#This Row],[ID RETENCION]],Retenciones!$A$1:$O$24,PROVEEDORES[[#This Row],[indicador de columna]],FALSE)</f>
        <v>980000</v>
      </c>
      <c r="Y300" s="152">
        <f>+VLOOKUP(PROVEEDORES[[#This Row],[ID RETENCION]],Retenciones!$A$1:$O$24,2,FALSE)</f>
        <v>2.5000000000000001E-2</v>
      </c>
      <c r="Z300" s="26"/>
      <c r="AA300" s="26"/>
      <c r="AB300" s="26"/>
      <c r="AC300" s="26"/>
      <c r="AD300" s="26"/>
      <c r="AE300" s="26"/>
    </row>
    <row r="301" spans="1:31" ht="21.95" customHeight="1" x14ac:dyDescent="0.25">
      <c r="A301" s="97" t="str">
        <f>+IF(PROVEEDORES[[#This Row],[FECHA DE PAGO]]=PROVEEDORES[[#This Row],[FECHA DE FACTURACIÓN]],"DE CONTADO","CRÉDITO")</f>
        <v>CRÉDITO</v>
      </c>
      <c r="B301" s="41" t="b">
        <f>+IF((PROVEEDORES[[#This Row],[FECHA DE PAGO]]-PROVEEDORES[[#This Row],[FECHA DE FACTURACIÓN]])&gt;PROVEEDORES[[#This Row],[PLAZO Días]],"PAGO VENCIDO")</f>
        <v>0</v>
      </c>
      <c r="C301" s="22">
        <f>+VLOOKUP(PROVEEDORES[[#This Row],[PROVEEDOR]],TERCEROS_INFO[#All],2,FALSE)</f>
        <v>30</v>
      </c>
      <c r="D301" s="27">
        <f>+SUMIFS(PROVEEDORES[Total],PROVEEDORES[PROVEEDOR],PROVEEDORES[[#This Row],[PROVEEDOR]],PROVEEDORES[FECHA DE PAGO],"")</f>
        <v>3844432.4999000002</v>
      </c>
      <c r="E301" s="27"/>
      <c r="F301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301" s="95">
        <v>44335</v>
      </c>
      <c r="H301" s="28" t="s">
        <v>18</v>
      </c>
      <c r="I301" s="95">
        <v>44308</v>
      </c>
      <c r="J301" s="38">
        <v>1037035</v>
      </c>
      <c r="K301" s="23">
        <v>2259006.4</v>
      </c>
      <c r="L301" s="23"/>
      <c r="M301" s="24">
        <v>429211.21600000001</v>
      </c>
      <c r="N301" s="25"/>
      <c r="O301" s="24">
        <v>0</v>
      </c>
      <c r="P301" s="136">
        <f>+IF(PROVEEDORES[[#This Row],[SUBTOTAL]]&lt;PROVEEDORES[[#This Row],[base retencion]],0,PROVEEDORES[[#This Row],[retención aplicada]])</f>
        <v>2.5000000000000001E-2</v>
      </c>
      <c r="Q301" s="24">
        <f>+PROVEEDORES[[#This Row],[Rete Fuente %]]*PROVEEDORES[[#This Row],[SUBTOTAL]]</f>
        <v>56475.16</v>
      </c>
      <c r="R301" s="23">
        <v>2631742.4559999998</v>
      </c>
      <c r="S30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1" s="99">
        <f ca="1">IF(PROVEEDORES[[#This Row],[FECHA DE PAGO]]=0,TODAY()-PROVEEDORES[[#This Row],[FECHA DE FACTURACIÓN]]-PROVEEDORES[[#This Row],[PLAZO Días]],0)</f>
        <v>0</v>
      </c>
      <c r="U301" s="149" t="str">
        <f>+VLOOKUP(PROVEEDORES[[#This Row],[PROVEEDOR]],Terceros!$A:$E,5,FALSE)</f>
        <v>2,5% con base</v>
      </c>
      <c r="V301" s="150">
        <f>+YEAR(PROVEEDORES[[#This Row],[FECHA DE FACTURACIÓN]])</f>
        <v>2021</v>
      </c>
      <c r="W301" s="150">
        <f>+MATCH(PROVEEDORES[[#This Row],[año facturado]],Retenciones!$1:$1,0)</f>
        <v>4</v>
      </c>
      <c r="X301" s="151">
        <f>+VLOOKUP(PROVEEDORES[[#This Row],[ID RETENCION]],Retenciones!$A$1:$O$24,PROVEEDORES[[#This Row],[indicador de columna]],FALSE)</f>
        <v>980000</v>
      </c>
      <c r="Y301" s="152">
        <f>+VLOOKUP(PROVEEDORES[[#This Row],[ID RETENCION]],Retenciones!$A$1:$O$24,2,FALSE)</f>
        <v>2.5000000000000001E-2</v>
      </c>
      <c r="Z301" s="26"/>
      <c r="AA301" s="26"/>
      <c r="AB301" s="26"/>
      <c r="AC301" s="26"/>
      <c r="AD301" s="26"/>
      <c r="AE301" s="26"/>
    </row>
    <row r="302" spans="1:31" ht="21.95" customHeight="1" x14ac:dyDescent="0.25">
      <c r="A302" s="97" t="str">
        <f>+IF(PROVEEDORES[[#This Row],[FECHA DE PAGO]]=PROVEEDORES[[#This Row],[FECHA DE FACTURACIÓN]],"DE CONTADO","CRÉDITO")</f>
        <v>CRÉDITO</v>
      </c>
      <c r="B302" s="41" t="b">
        <f>+IF((PROVEEDORES[[#This Row],[FECHA DE PAGO]]-PROVEEDORES[[#This Row],[FECHA DE FACTURACIÓN]])&gt;PROVEEDORES[[#This Row],[PLAZO Días]],"PAGO VENCIDO")</f>
        <v>0</v>
      </c>
      <c r="C302" s="22">
        <f>+VLOOKUP(PROVEEDORES[[#This Row],[PROVEEDOR]],TERCEROS_INFO[#All],2,FALSE)</f>
        <v>20</v>
      </c>
      <c r="D302" s="27">
        <f>+SUMIFS(PROVEEDORES[Total],PROVEEDORES[PROVEEDOR],PROVEEDORES[[#This Row],[PROVEEDOR]],PROVEEDORES[FECHA DE PAGO],"")</f>
        <v>0</v>
      </c>
      <c r="E302" s="27"/>
      <c r="F302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302" s="95">
        <v>44319</v>
      </c>
      <c r="H302" s="28" t="s">
        <v>374</v>
      </c>
      <c r="I302" s="95">
        <v>44309</v>
      </c>
      <c r="J302" s="38" t="s">
        <v>448</v>
      </c>
      <c r="K302" s="23">
        <v>3691762.2846000004</v>
      </c>
      <c r="L302" s="23"/>
      <c r="M302" s="24">
        <v>701434.83407400013</v>
      </c>
      <c r="N302" s="25"/>
      <c r="O302" s="24">
        <v>0</v>
      </c>
      <c r="P302" s="136">
        <f>+IF(PROVEEDORES[[#This Row],[SUBTOTAL]]&lt;PROVEEDORES[[#This Row],[base retencion]],0,PROVEEDORES[[#This Row],[retención aplicada]])</f>
        <v>0.04</v>
      </c>
      <c r="Q302" s="24">
        <f>+PROVEEDORES[[#This Row],[Rete Fuente %]]*PROVEEDORES[[#This Row],[SUBTOTAL]]</f>
        <v>147670.49138400002</v>
      </c>
      <c r="R302" s="23">
        <v>4245526.6272900011</v>
      </c>
      <c r="S30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2" s="99">
        <f ca="1">IF(PROVEEDORES[[#This Row],[FECHA DE PAGO]]=0,TODAY()-PROVEEDORES[[#This Row],[FECHA DE FACTURACIÓN]]-PROVEEDORES[[#This Row],[PLAZO Días]],0)</f>
        <v>0</v>
      </c>
      <c r="U302" s="149" t="str">
        <f>+VLOOKUP(PROVEEDORES[[#This Row],[PROVEEDOR]],Terceros!$A:$E,5,FALSE)</f>
        <v>4% sin base</v>
      </c>
      <c r="V302" s="150">
        <f>+YEAR(PROVEEDORES[[#This Row],[FECHA DE FACTURACIÓN]])</f>
        <v>2021</v>
      </c>
      <c r="W302" s="150">
        <f>+MATCH(PROVEEDORES[[#This Row],[año facturado]],Retenciones!$1:$1,0)</f>
        <v>4</v>
      </c>
      <c r="X302" s="151">
        <f>+VLOOKUP(PROVEEDORES[[#This Row],[ID RETENCION]],Retenciones!$A$1:$O$24,PROVEEDORES[[#This Row],[indicador de columna]],FALSE)</f>
        <v>0</v>
      </c>
      <c r="Y302" s="152">
        <f>+VLOOKUP(PROVEEDORES[[#This Row],[ID RETENCION]],Retenciones!$A$1:$O$24,2,FALSE)</f>
        <v>0.04</v>
      </c>
      <c r="Z302" s="26"/>
      <c r="AA302" s="26"/>
      <c r="AB302" s="26"/>
      <c r="AC302" s="26"/>
      <c r="AD302" s="26"/>
      <c r="AE302" s="26"/>
    </row>
    <row r="303" spans="1:31" ht="21.95" customHeight="1" x14ac:dyDescent="0.25">
      <c r="A303" s="97" t="str">
        <f>+IF(PROVEEDORES[[#This Row],[FECHA DE PAGO]]=PROVEEDORES[[#This Row],[FECHA DE FACTURACIÓN]],"DE CONTADO","CRÉDITO")</f>
        <v>CRÉDITO</v>
      </c>
      <c r="B303" s="41" t="str">
        <f>+IF((PROVEEDORES[[#This Row],[FECHA DE PAGO]]-PROVEEDORES[[#This Row],[FECHA DE FACTURACIÓN]])&gt;PROVEEDORES[[#This Row],[PLAZO Días]],"PAGO VENCIDO")</f>
        <v>PAGO VENCIDO</v>
      </c>
      <c r="C303" s="22">
        <f>+VLOOKUP(PROVEEDORES[[#This Row],[PROVEEDOR]],TERCEROS_INFO[#All],2,FALSE)</f>
        <v>30</v>
      </c>
      <c r="D303" s="27">
        <f>+SUMIFS(PROVEEDORES[Total],PROVEEDORES[PROVEEDOR],PROVEEDORES[[#This Row],[PROVEEDOR]],PROVEEDORES[FECHA DE PAGO],"")</f>
        <v>0</v>
      </c>
      <c r="E303" s="27"/>
      <c r="F303" s="62">
        <f>+VLOOKUP(PROVEEDORES[[#This Row],[PROVEEDOR]],
                       Terceros!$A:$G,
                       6,
                       FALSE)</f>
        <v>0</v>
      </c>
      <c r="G303" s="95">
        <v>44382</v>
      </c>
      <c r="H303" s="28" t="s">
        <v>1028</v>
      </c>
      <c r="I303" s="95">
        <v>44312</v>
      </c>
      <c r="J303" s="38" t="s">
        <v>691</v>
      </c>
      <c r="K303" s="23">
        <v>90000</v>
      </c>
      <c r="L303" s="23"/>
      <c r="M303" s="24">
        <v>0</v>
      </c>
      <c r="N303" s="25"/>
      <c r="O303" s="24">
        <v>0</v>
      </c>
      <c r="P303" s="136">
        <f>+IF(PROVEEDORES[[#This Row],[SUBTOTAL]]&lt;PROVEEDORES[[#This Row],[base retencion]],0,PROVEEDORES[[#This Row],[retención aplicada]])</f>
        <v>0</v>
      </c>
      <c r="Q303" s="24">
        <f>+PROVEEDORES[[#This Row],[Rete Fuente %]]*PROVEEDORES[[#This Row],[SUBTOTAL]]</f>
        <v>0</v>
      </c>
      <c r="R303" s="23">
        <v>90000</v>
      </c>
      <c r="S30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3" s="99">
        <f ca="1">IF(PROVEEDORES[[#This Row],[FECHA DE PAGO]]=0,TODAY()-PROVEEDORES[[#This Row],[FECHA DE FACTURACIÓN]]-PROVEEDORES[[#This Row],[PLAZO Días]],0)</f>
        <v>0</v>
      </c>
      <c r="U303" s="149">
        <f>+VLOOKUP(PROVEEDORES[[#This Row],[PROVEEDOR]],Terceros!$A:$E,5,FALSE)</f>
        <v>0</v>
      </c>
      <c r="V303" s="150">
        <f>+YEAR(PROVEEDORES[[#This Row],[FECHA DE FACTURACIÓN]])</f>
        <v>2021</v>
      </c>
      <c r="W303" s="150">
        <f>+MATCH(PROVEEDORES[[#This Row],[año facturado]],Retenciones!$1:$1,0)</f>
        <v>4</v>
      </c>
      <c r="X303" s="151">
        <f>+VLOOKUP(PROVEEDORES[[#This Row],[ID RETENCION]],Retenciones!$A$1:$O$24,PROVEEDORES[[#This Row],[indicador de columna]],FALSE)</f>
        <v>0</v>
      </c>
      <c r="Y303" s="152">
        <f>+VLOOKUP(PROVEEDORES[[#This Row],[ID RETENCION]],Retenciones!$A$1:$O$24,2,FALSE)</f>
        <v>0</v>
      </c>
      <c r="Z303" s="26"/>
      <c r="AA303" s="26"/>
      <c r="AB303" s="26"/>
      <c r="AC303" s="26"/>
      <c r="AD303" s="26"/>
      <c r="AE303" s="26"/>
    </row>
    <row r="304" spans="1:31" ht="21.95" customHeight="1" x14ac:dyDescent="0.25">
      <c r="A304" s="97" t="str">
        <f>+IF(PROVEEDORES[[#This Row],[FECHA DE PAGO]]=PROVEEDORES[[#This Row],[FECHA DE FACTURACIÓN]],"DE CONTADO","CRÉDITO")</f>
        <v>CRÉDITO</v>
      </c>
      <c r="B304" s="41" t="b">
        <f>+IF((PROVEEDORES[[#This Row],[FECHA DE PAGO]]-PROVEEDORES[[#This Row],[FECHA DE FACTURACIÓN]])&gt;PROVEEDORES[[#This Row],[PLAZO Días]],"PAGO VENCIDO")</f>
        <v>0</v>
      </c>
      <c r="C304" s="22">
        <f>+VLOOKUP(PROVEEDORES[[#This Row],[PROVEEDOR]],TERCEROS_INFO[#All],2,FALSE)</f>
        <v>30</v>
      </c>
      <c r="D304" s="27">
        <f>+SUMIFS(PROVEEDORES[Total],PROVEEDORES[PROVEEDOR],PROVEEDORES[[#This Row],[PROVEEDOR]],PROVEEDORES[FECHA DE PAGO],"")</f>
        <v>0</v>
      </c>
      <c r="E304" s="27"/>
      <c r="F304" s="62" t="str">
        <f>+VLOOKUP(PROVEEDORES[[#This Row],[PROVEEDOR]],
                       Terceros!$A:$G,
                       6,
                       FALSE)</f>
        <v/>
      </c>
      <c r="G304" s="95">
        <v>44313</v>
      </c>
      <c r="H304" s="28" t="s">
        <v>1059</v>
      </c>
      <c r="I304" s="95">
        <v>44312</v>
      </c>
      <c r="J304" s="38" t="s">
        <v>692</v>
      </c>
      <c r="K304" s="23">
        <v>180000</v>
      </c>
      <c r="L304" s="23"/>
      <c r="M304" s="24">
        <v>0</v>
      </c>
      <c r="N304" s="25"/>
      <c r="O304" s="24">
        <v>0</v>
      </c>
      <c r="P304" s="136">
        <f>+IF(PROVEEDORES[[#This Row],[SUBTOTAL]]&lt;PROVEEDORES[[#This Row],[base retencion]],0,PROVEEDORES[[#This Row],[retención aplicada]])</f>
        <v>0</v>
      </c>
      <c r="Q304" s="24">
        <f>+PROVEEDORES[[#This Row],[Rete Fuente %]]*PROVEEDORES[[#This Row],[SUBTOTAL]]</f>
        <v>0</v>
      </c>
      <c r="R304" s="23">
        <v>180000</v>
      </c>
      <c r="S30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4" s="99">
        <f ca="1">IF(PROVEEDORES[[#This Row],[FECHA DE PAGO]]=0,TODAY()-PROVEEDORES[[#This Row],[FECHA DE FACTURACIÓN]]-PROVEEDORES[[#This Row],[PLAZO Días]],0)</f>
        <v>0</v>
      </c>
      <c r="U304" s="149">
        <f>+VLOOKUP(PROVEEDORES[[#This Row],[PROVEEDOR]],Terceros!$A:$E,5,FALSE)</f>
        <v>0</v>
      </c>
      <c r="V304" s="150">
        <f>+YEAR(PROVEEDORES[[#This Row],[FECHA DE FACTURACIÓN]])</f>
        <v>2021</v>
      </c>
      <c r="W304" s="150">
        <f>+MATCH(PROVEEDORES[[#This Row],[año facturado]],Retenciones!$1:$1,0)</f>
        <v>4</v>
      </c>
      <c r="X304" s="151">
        <f>+VLOOKUP(PROVEEDORES[[#This Row],[ID RETENCION]],Retenciones!$A$1:$O$24,PROVEEDORES[[#This Row],[indicador de columna]],FALSE)</f>
        <v>0</v>
      </c>
      <c r="Y304" s="152">
        <f>+VLOOKUP(PROVEEDORES[[#This Row],[ID RETENCION]],Retenciones!$A$1:$O$24,2,FALSE)</f>
        <v>0</v>
      </c>
      <c r="Z304" s="26"/>
      <c r="AA304" s="26"/>
      <c r="AB304" s="26"/>
      <c r="AC304" s="26"/>
      <c r="AD304" s="26"/>
      <c r="AE304" s="26"/>
    </row>
    <row r="305" spans="1:31" ht="21.95" customHeight="1" x14ac:dyDescent="0.25">
      <c r="A305" s="97" t="str">
        <f>+IF(PROVEEDORES[[#This Row],[FECHA DE PAGO]]=PROVEEDORES[[#This Row],[FECHA DE FACTURACIÓN]],"DE CONTADO","CRÉDITO")</f>
        <v>CRÉDITO</v>
      </c>
      <c r="B305" s="41" t="str">
        <f>+IF((PROVEEDORES[[#This Row],[FECHA DE PAGO]]-PROVEEDORES[[#This Row],[FECHA DE FACTURACIÓN]])&gt;PROVEEDORES[[#This Row],[PLAZO Días]],"PAGO VENCIDO")</f>
        <v>PAGO VENCIDO</v>
      </c>
      <c r="C305" s="22">
        <f>+VLOOKUP(PROVEEDORES[[#This Row],[PROVEEDOR]],TERCEROS_INFO[#All],2,FALSE)</f>
        <v>30</v>
      </c>
      <c r="D305" s="27">
        <f>+SUMIFS(PROVEEDORES[Total],PROVEEDORES[PROVEEDOR],PROVEEDORES[[#This Row],[PROVEEDOR]],PROVEEDORES[FECHA DE PAGO],"")</f>
        <v>3750700</v>
      </c>
      <c r="E305" s="27"/>
      <c r="F305" s="62" t="str">
        <f>+VLOOKUP(PROVEEDORES[[#This Row],[PROVEEDOR]],
                       Terceros!$A:$G,
                       6,
                       FALSE)</f>
        <v/>
      </c>
      <c r="G305" s="95">
        <v>44355</v>
      </c>
      <c r="H305" s="28" t="s">
        <v>990</v>
      </c>
      <c r="I305" s="95">
        <v>44312</v>
      </c>
      <c r="J305" s="38" t="s">
        <v>690</v>
      </c>
      <c r="K305" s="23">
        <v>1092000</v>
      </c>
      <c r="L305" s="23"/>
      <c r="M305" s="24">
        <v>0</v>
      </c>
      <c r="N305" s="25"/>
      <c r="O305" s="24">
        <v>0</v>
      </c>
      <c r="P305" s="136">
        <f>+IF(PROVEEDORES[[#This Row],[SUBTOTAL]]&lt;PROVEEDORES[[#This Row],[base retencion]],0,PROVEEDORES[[#This Row],[retención aplicada]])</f>
        <v>0</v>
      </c>
      <c r="Q305" s="24">
        <f>+PROVEEDORES[[#This Row],[Rete Fuente %]]*PROVEEDORES[[#This Row],[SUBTOTAL]]</f>
        <v>0</v>
      </c>
      <c r="R305" s="23">
        <v>1092000</v>
      </c>
      <c r="S30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5" s="99">
        <f ca="1">IF(PROVEEDORES[[#This Row],[FECHA DE PAGO]]=0,TODAY()-PROVEEDORES[[#This Row],[FECHA DE FACTURACIÓN]]-PROVEEDORES[[#This Row],[PLAZO Días]],0)</f>
        <v>0</v>
      </c>
      <c r="U305" s="149">
        <f>+VLOOKUP(PROVEEDORES[[#This Row],[PROVEEDOR]],Terceros!$A:$E,5,FALSE)</f>
        <v>0</v>
      </c>
      <c r="V305" s="150">
        <f>+YEAR(PROVEEDORES[[#This Row],[FECHA DE FACTURACIÓN]])</f>
        <v>2021</v>
      </c>
      <c r="W305" s="150">
        <f>+MATCH(PROVEEDORES[[#This Row],[año facturado]],Retenciones!$1:$1,0)</f>
        <v>4</v>
      </c>
      <c r="X305" s="151">
        <f>+VLOOKUP(PROVEEDORES[[#This Row],[ID RETENCION]],Retenciones!$A$1:$O$24,PROVEEDORES[[#This Row],[indicador de columna]],FALSE)</f>
        <v>0</v>
      </c>
      <c r="Y305" s="152">
        <f>+VLOOKUP(PROVEEDORES[[#This Row],[ID RETENCION]],Retenciones!$A$1:$O$24,2,FALSE)</f>
        <v>0</v>
      </c>
      <c r="Z305" s="26"/>
      <c r="AA305" s="26"/>
      <c r="AB305" s="26"/>
      <c r="AC305" s="26"/>
      <c r="AD305" s="26"/>
      <c r="AE305" s="26"/>
    </row>
    <row r="306" spans="1:31" ht="21.95" customHeight="1" x14ac:dyDescent="0.25">
      <c r="A306" s="97" t="str">
        <f>+IF(PROVEEDORES[[#This Row],[FECHA DE PAGO]]=PROVEEDORES[[#This Row],[FECHA DE FACTURACIÓN]],"DE CONTADO","CRÉDITO")</f>
        <v>CRÉDITO</v>
      </c>
      <c r="B306" s="41" t="str">
        <f>+IF((PROVEEDORES[[#This Row],[FECHA DE PAGO]]-PROVEEDORES[[#This Row],[FECHA DE FACTURACIÓN]])&gt;PROVEEDORES[[#This Row],[PLAZO Días]],"PAGO VENCIDO")</f>
        <v>PAGO VENCIDO</v>
      </c>
      <c r="C306" s="22">
        <f>+VLOOKUP(PROVEEDORES[[#This Row],[PROVEEDOR]],TERCEROS_INFO[#All],2,FALSE)</f>
        <v>45</v>
      </c>
      <c r="D306" s="27">
        <f>+SUMIFS(PROVEEDORES[Total],PROVEEDORES[PROVEEDOR],PROVEEDORES[[#This Row],[PROVEEDOR]],PROVEEDORES[FECHA DE PAGO],"")</f>
        <v>37184068.039999999</v>
      </c>
      <c r="E306" s="27"/>
      <c r="F306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306" s="95">
        <v>44376</v>
      </c>
      <c r="H306" s="28" t="s">
        <v>19</v>
      </c>
      <c r="I306" s="95">
        <v>44313</v>
      </c>
      <c r="J306" s="38" t="s">
        <v>313</v>
      </c>
      <c r="K306" s="23">
        <v>5391660</v>
      </c>
      <c r="L306" s="23"/>
      <c r="M306" s="24">
        <v>1024415.4</v>
      </c>
      <c r="N306" s="25"/>
      <c r="O306" s="24">
        <v>0</v>
      </c>
      <c r="P306" s="136">
        <f>+IF(PROVEEDORES[[#This Row],[SUBTOTAL]]&lt;PROVEEDORES[[#This Row],[base retencion]],0,PROVEEDORES[[#This Row],[retención aplicada]])</f>
        <v>0</v>
      </c>
      <c r="Q306" s="24">
        <f>+PROVEEDORES[[#This Row],[Rete Fuente %]]*PROVEEDORES[[#This Row],[SUBTOTAL]]</f>
        <v>0</v>
      </c>
      <c r="R306" s="23">
        <v>6416075.4000000004</v>
      </c>
      <c r="S30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6" s="99">
        <f ca="1">IF(PROVEEDORES[[#This Row],[FECHA DE PAGO]]=0,TODAY()-PROVEEDORES[[#This Row],[FECHA DE FACTURACIÓN]]-PROVEEDORES[[#This Row],[PLAZO Días]],0)</f>
        <v>0</v>
      </c>
      <c r="U306" s="149">
        <f>+VLOOKUP(PROVEEDORES[[#This Row],[PROVEEDOR]],Terceros!$A:$E,5,FALSE)</f>
        <v>0</v>
      </c>
      <c r="V306" s="150">
        <f>+YEAR(PROVEEDORES[[#This Row],[FECHA DE FACTURACIÓN]])</f>
        <v>2021</v>
      </c>
      <c r="W306" s="150">
        <f>+MATCH(PROVEEDORES[[#This Row],[año facturado]],Retenciones!$1:$1,0)</f>
        <v>4</v>
      </c>
      <c r="X306" s="151">
        <f>+VLOOKUP(PROVEEDORES[[#This Row],[ID RETENCION]],Retenciones!$A$1:$O$24,PROVEEDORES[[#This Row],[indicador de columna]],FALSE)</f>
        <v>0</v>
      </c>
      <c r="Y306" s="152">
        <f>+VLOOKUP(PROVEEDORES[[#This Row],[ID RETENCION]],Retenciones!$A$1:$O$24,2,FALSE)</f>
        <v>0</v>
      </c>
      <c r="Z306" s="26"/>
      <c r="AA306" s="26"/>
      <c r="AB306" s="26"/>
      <c r="AC306" s="26"/>
      <c r="AD306" s="26"/>
      <c r="AE306" s="26"/>
    </row>
    <row r="307" spans="1:31" ht="21.95" customHeight="1" x14ac:dyDescent="0.25">
      <c r="A307" s="97" t="str">
        <f>+IF(PROVEEDORES[[#This Row],[FECHA DE PAGO]]=PROVEEDORES[[#This Row],[FECHA DE FACTURACIÓN]],"DE CONTADO","CRÉDITO")</f>
        <v>CRÉDITO</v>
      </c>
      <c r="B307" s="41" t="b">
        <f>+IF((PROVEEDORES[[#This Row],[FECHA DE PAGO]]-PROVEEDORES[[#This Row],[FECHA DE FACTURACIÓN]])&gt;PROVEEDORES[[#This Row],[PLAZO Días]],"PAGO VENCIDO")</f>
        <v>0</v>
      </c>
      <c r="C307" s="22">
        <f>+VLOOKUP(PROVEEDORES[[#This Row],[PROVEEDOR]],TERCEROS_INFO[#All],2,FALSE)</f>
        <v>13</v>
      </c>
      <c r="D307" s="27">
        <f>+SUMIFS(PROVEEDORES[Total],PROVEEDORES[PROVEEDOR],PROVEEDORES[[#This Row],[PROVEEDOR]],PROVEEDORES[FECHA DE PAGO],"")</f>
        <v>2130283</v>
      </c>
      <c r="E307" s="27"/>
      <c r="F307" s="62">
        <f>+VLOOKUP(PROVEEDORES[[#This Row],[PROVEEDOR]],
                       Terceros!$A:$G,
                       6,
                       FALSE)</f>
        <v>0</v>
      </c>
      <c r="G307" s="95">
        <v>44340</v>
      </c>
      <c r="H307" s="28" t="s">
        <v>326</v>
      </c>
      <c r="I307" s="95">
        <v>44331</v>
      </c>
      <c r="J307" s="38" t="s">
        <v>328</v>
      </c>
      <c r="K307" s="23">
        <v>313385</v>
      </c>
      <c r="L307" s="23"/>
      <c r="M307" s="24">
        <v>0</v>
      </c>
      <c r="N307" s="25"/>
      <c r="O307" s="24">
        <v>0</v>
      </c>
      <c r="P307" s="136">
        <f>+IF(PROVEEDORES[[#This Row],[SUBTOTAL]]&lt;PROVEEDORES[[#This Row],[base retencion]],0,PROVEEDORES[[#This Row],[retención aplicada]])</f>
        <v>0</v>
      </c>
      <c r="Q307" s="24">
        <f>+PROVEEDORES[[#This Row],[Rete Fuente %]]*PROVEEDORES[[#This Row],[SUBTOTAL]]</f>
        <v>0</v>
      </c>
      <c r="R307" s="23">
        <v>313385</v>
      </c>
      <c r="S30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7" s="99">
        <f ca="1">IF(PROVEEDORES[[#This Row],[FECHA DE PAGO]]=0,TODAY()-PROVEEDORES[[#This Row],[FECHA DE FACTURACIÓN]]-PROVEEDORES[[#This Row],[PLAZO Días]],0)</f>
        <v>0</v>
      </c>
      <c r="U307" s="149">
        <f>+VLOOKUP(PROVEEDORES[[#This Row],[PROVEEDOR]],Terceros!$A:$E,5,FALSE)</f>
        <v>0</v>
      </c>
      <c r="V307" s="150">
        <f>+YEAR(PROVEEDORES[[#This Row],[FECHA DE FACTURACIÓN]])</f>
        <v>2021</v>
      </c>
      <c r="W307" s="150">
        <f>+MATCH(PROVEEDORES[[#This Row],[año facturado]],Retenciones!$1:$1,0)</f>
        <v>4</v>
      </c>
      <c r="X307" s="151">
        <f>+VLOOKUP(PROVEEDORES[[#This Row],[ID RETENCION]],Retenciones!$A$1:$O$24,PROVEEDORES[[#This Row],[indicador de columna]],FALSE)</f>
        <v>0</v>
      </c>
      <c r="Y307" s="152">
        <f>+VLOOKUP(PROVEEDORES[[#This Row],[ID RETENCION]],Retenciones!$A$1:$O$24,2,FALSE)</f>
        <v>0</v>
      </c>
      <c r="Z307" s="26"/>
      <c r="AA307" s="26"/>
      <c r="AB307" s="26"/>
      <c r="AC307" s="26"/>
      <c r="AD307" s="26"/>
      <c r="AE307" s="26"/>
    </row>
    <row r="308" spans="1:31" ht="21.95" customHeight="1" x14ac:dyDescent="0.25">
      <c r="A308" s="97" t="str">
        <f>+IF(PROVEEDORES[[#This Row],[FECHA DE PAGO]]=PROVEEDORES[[#This Row],[FECHA DE FACTURACIÓN]],"DE CONTADO","CRÉDITO")</f>
        <v>DE CONTADO</v>
      </c>
      <c r="B308" s="41" t="b">
        <f>+IF((PROVEEDORES[[#This Row],[FECHA DE PAGO]]-PROVEEDORES[[#This Row],[FECHA DE FACTURACIÓN]])&gt;PROVEEDORES[[#This Row],[PLAZO Días]],"PAGO VENCIDO")</f>
        <v>0</v>
      </c>
      <c r="C308" s="22">
        <f>+VLOOKUP(PROVEEDORES[[#This Row],[PROVEEDOR]],TERCEROS_INFO[#All],2,FALSE)</f>
        <v>30</v>
      </c>
      <c r="D308" s="27">
        <f>+SUMIFS(PROVEEDORES[Total],PROVEEDORES[PROVEEDOR],PROVEEDORES[[#This Row],[PROVEEDOR]],PROVEEDORES[FECHA DE PAGO],"")</f>
        <v>0</v>
      </c>
      <c r="E308" s="27"/>
      <c r="F308" s="62" t="str">
        <f>+VLOOKUP(PROVEEDORES[[#This Row],[PROVEEDOR]],
                       Terceros!$A:$G,
                       6,
                       FALSE)</f>
        <v/>
      </c>
      <c r="G308" s="95">
        <v>44314</v>
      </c>
      <c r="H308" s="28" t="s">
        <v>1046</v>
      </c>
      <c r="I308" s="95">
        <v>44314</v>
      </c>
      <c r="J308" s="38"/>
      <c r="K308" s="23">
        <v>500000</v>
      </c>
      <c r="L308" s="23"/>
      <c r="M308" s="24">
        <v>0</v>
      </c>
      <c r="N308" s="25"/>
      <c r="O308" s="24">
        <v>0</v>
      </c>
      <c r="P308" s="136">
        <f>+IF(PROVEEDORES[[#This Row],[SUBTOTAL]]&lt;PROVEEDORES[[#This Row],[base retencion]],0,PROVEEDORES[[#This Row],[retención aplicada]])</f>
        <v>0</v>
      </c>
      <c r="Q308" s="24">
        <f>+PROVEEDORES[[#This Row],[Rete Fuente %]]*PROVEEDORES[[#This Row],[SUBTOTAL]]</f>
        <v>0</v>
      </c>
      <c r="R308" s="23">
        <v>500000</v>
      </c>
      <c r="S30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8" s="99">
        <f ca="1">IF(PROVEEDORES[[#This Row],[FECHA DE PAGO]]=0,TODAY()-PROVEEDORES[[#This Row],[FECHA DE FACTURACIÓN]]-PROVEEDORES[[#This Row],[PLAZO Días]],0)</f>
        <v>0</v>
      </c>
      <c r="U308" s="149">
        <f>+VLOOKUP(PROVEEDORES[[#This Row],[PROVEEDOR]],Terceros!$A:$E,5,FALSE)</f>
        <v>0</v>
      </c>
      <c r="V308" s="150">
        <f>+YEAR(PROVEEDORES[[#This Row],[FECHA DE FACTURACIÓN]])</f>
        <v>2021</v>
      </c>
      <c r="W308" s="150">
        <f>+MATCH(PROVEEDORES[[#This Row],[año facturado]],Retenciones!$1:$1,0)</f>
        <v>4</v>
      </c>
      <c r="X308" s="151">
        <f>+VLOOKUP(PROVEEDORES[[#This Row],[ID RETENCION]],Retenciones!$A$1:$O$24,PROVEEDORES[[#This Row],[indicador de columna]],FALSE)</f>
        <v>0</v>
      </c>
      <c r="Y308" s="152">
        <f>+VLOOKUP(PROVEEDORES[[#This Row],[ID RETENCION]],Retenciones!$A$1:$O$24,2,FALSE)</f>
        <v>0</v>
      </c>
      <c r="Z308" s="26"/>
      <c r="AA308" s="26"/>
      <c r="AB308" s="26"/>
      <c r="AC308" s="26"/>
      <c r="AD308" s="26"/>
      <c r="AE308" s="26"/>
    </row>
    <row r="309" spans="1:31" ht="21.95" customHeight="1" x14ac:dyDescent="0.25">
      <c r="A309" s="97" t="str">
        <f>+IF(PROVEEDORES[[#This Row],[FECHA DE PAGO]]=PROVEEDORES[[#This Row],[FECHA DE FACTURACIÓN]],"DE CONTADO","CRÉDITO")</f>
        <v>CRÉDITO</v>
      </c>
      <c r="B309" s="41" t="str">
        <f>+IF((PROVEEDORES[[#This Row],[FECHA DE PAGO]]-PROVEEDORES[[#This Row],[FECHA DE FACTURACIÓN]])&gt;PROVEEDORES[[#This Row],[PLAZO Días]],"PAGO VENCIDO")</f>
        <v>PAGO VENCIDO</v>
      </c>
      <c r="C309" s="22">
        <f>+VLOOKUP(PROVEEDORES[[#This Row],[PROVEEDOR]],TERCEROS_INFO[#All],2,FALSE)</f>
        <v>30</v>
      </c>
      <c r="D309" s="27">
        <f>+SUMIFS(PROVEEDORES[Total],PROVEEDORES[PROVEEDOR],PROVEEDORES[[#This Row],[PROVEEDOR]],PROVEEDORES[FECHA DE PAGO],"")</f>
        <v>3320000</v>
      </c>
      <c r="E309" s="27"/>
      <c r="F309" s="62" t="str">
        <f>+VLOOKUP(PROVEEDORES[[#This Row],[PROVEEDOR]],
                       Terceros!$A:$G,
                       6,
                       FALSE)</f>
        <v>Pygimportadora@gmail.com;girlesa.ruiz@servipilas.com;joriescobar64@gmail.com</v>
      </c>
      <c r="G309" s="95">
        <v>44377</v>
      </c>
      <c r="H309" s="28" t="s">
        <v>1062</v>
      </c>
      <c r="I309" s="95">
        <v>44315</v>
      </c>
      <c r="J309" s="38" t="s">
        <v>694</v>
      </c>
      <c r="K309" s="23">
        <v>1512990</v>
      </c>
      <c r="L309" s="23"/>
      <c r="M309" s="24">
        <v>0</v>
      </c>
      <c r="N309" s="25"/>
      <c r="O309" s="24">
        <v>0</v>
      </c>
      <c r="P309" s="136">
        <f>+IF(PROVEEDORES[[#This Row],[SUBTOTAL]]&lt;PROVEEDORES[[#This Row],[base retencion]],0,PROVEEDORES[[#This Row],[retención aplicada]])</f>
        <v>0</v>
      </c>
      <c r="Q309" s="24">
        <f>+PROVEEDORES[[#This Row],[Rete Fuente %]]*PROVEEDORES[[#This Row],[SUBTOTAL]]</f>
        <v>0</v>
      </c>
      <c r="R309" s="23">
        <v>1512990</v>
      </c>
      <c r="S30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9" s="99">
        <f ca="1">IF(PROVEEDORES[[#This Row],[FECHA DE PAGO]]=0,TODAY()-PROVEEDORES[[#This Row],[FECHA DE FACTURACIÓN]]-PROVEEDORES[[#This Row],[PLAZO Días]],0)</f>
        <v>0</v>
      </c>
      <c r="U309" s="149">
        <f>+VLOOKUP(PROVEEDORES[[#This Row],[PROVEEDOR]],Terceros!$A:$E,5,FALSE)</f>
        <v>0</v>
      </c>
      <c r="V309" s="150">
        <f>+YEAR(PROVEEDORES[[#This Row],[FECHA DE FACTURACIÓN]])</f>
        <v>2021</v>
      </c>
      <c r="W309" s="150">
        <f>+MATCH(PROVEEDORES[[#This Row],[año facturado]],Retenciones!$1:$1,0)</f>
        <v>4</v>
      </c>
      <c r="X309" s="151">
        <f>+VLOOKUP(PROVEEDORES[[#This Row],[ID RETENCION]],Retenciones!$A$1:$O$24,PROVEEDORES[[#This Row],[indicador de columna]],FALSE)</f>
        <v>0</v>
      </c>
      <c r="Y309" s="152">
        <f>+VLOOKUP(PROVEEDORES[[#This Row],[ID RETENCION]],Retenciones!$A$1:$O$24,2,FALSE)</f>
        <v>0</v>
      </c>
      <c r="Z309" s="26"/>
      <c r="AA309" s="26"/>
      <c r="AB309" s="26"/>
      <c r="AC309" s="26"/>
      <c r="AD309" s="26"/>
      <c r="AE309" s="26"/>
    </row>
    <row r="310" spans="1:31" ht="21.95" customHeight="1" x14ac:dyDescent="0.25">
      <c r="A310" s="97" t="str">
        <f>+IF(PROVEEDORES[[#This Row],[FECHA DE PAGO]]=PROVEEDORES[[#This Row],[FECHA DE FACTURACIÓN]],"DE CONTADO","CRÉDITO")</f>
        <v>CRÉDITO</v>
      </c>
      <c r="B310" s="41" t="str">
        <f>+IF((PROVEEDORES[[#This Row],[FECHA DE PAGO]]-PROVEEDORES[[#This Row],[FECHA DE FACTURACIÓN]])&gt;PROVEEDORES[[#This Row],[PLAZO Días]],"PAGO VENCIDO")</f>
        <v>PAGO VENCIDO</v>
      </c>
      <c r="C310" s="22">
        <f>+VLOOKUP(PROVEEDORES[[#This Row],[PROVEEDOR]],TERCEROS_INFO[#All],2,FALSE)</f>
        <v>30</v>
      </c>
      <c r="D310" s="27">
        <f>+SUMIFS(PROVEEDORES[Total],PROVEEDORES[PROVEEDOR],PROVEEDORES[[#This Row],[PROVEEDOR]],PROVEEDORES[FECHA DE PAGO],"")</f>
        <v>4862586.33</v>
      </c>
      <c r="E310" s="27"/>
      <c r="F310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310" s="95">
        <v>44341</v>
      </c>
      <c r="H310" s="28" t="s">
        <v>345</v>
      </c>
      <c r="I310" s="95">
        <v>44284</v>
      </c>
      <c r="J310" s="38" t="s">
        <v>230</v>
      </c>
      <c r="K310" s="23">
        <v>-136143.00000000003</v>
      </c>
      <c r="L310" s="23"/>
      <c r="M310" s="24">
        <v>-25867.170000000006</v>
      </c>
      <c r="N310" s="25"/>
      <c r="O310" s="24">
        <v>0</v>
      </c>
      <c r="P310" s="136">
        <f>+IF(PROVEEDORES[[#This Row],[SUBTOTAL]]&lt;PROVEEDORES[[#This Row],[base retencion]],0,PROVEEDORES[[#This Row],[retención aplicada]])</f>
        <v>0</v>
      </c>
      <c r="Q310" s="24">
        <f>+PROVEEDORES[[#This Row],[Rete Fuente %]]*PROVEEDORES[[#This Row],[SUBTOTAL]]</f>
        <v>0</v>
      </c>
      <c r="R310" s="23">
        <v>-162010.17000000004</v>
      </c>
      <c r="S31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0" s="99">
        <f ca="1">IF(PROVEEDORES[[#This Row],[FECHA DE PAGO]]=0,TODAY()-PROVEEDORES[[#This Row],[FECHA DE FACTURACIÓN]]-PROVEEDORES[[#This Row],[PLAZO Días]],0)</f>
        <v>0</v>
      </c>
      <c r="U310" s="149">
        <f>+VLOOKUP(PROVEEDORES[[#This Row],[PROVEEDOR]],Terceros!$A:$E,5,FALSE)</f>
        <v>0</v>
      </c>
      <c r="V310" s="150">
        <f>+YEAR(PROVEEDORES[[#This Row],[FECHA DE FACTURACIÓN]])</f>
        <v>2021</v>
      </c>
      <c r="W310" s="150">
        <f>+MATCH(PROVEEDORES[[#This Row],[año facturado]],Retenciones!$1:$1,0)</f>
        <v>4</v>
      </c>
      <c r="X310" s="151">
        <f>+VLOOKUP(PROVEEDORES[[#This Row],[ID RETENCION]],Retenciones!$A$1:$O$24,PROVEEDORES[[#This Row],[indicador de columna]],FALSE)</f>
        <v>0</v>
      </c>
      <c r="Y310" s="152">
        <f>+VLOOKUP(PROVEEDORES[[#This Row],[ID RETENCION]],Retenciones!$A$1:$O$24,2,FALSE)</f>
        <v>0</v>
      </c>
      <c r="Z310" s="26"/>
      <c r="AA310" s="26"/>
      <c r="AB310" s="26"/>
      <c r="AC310" s="26"/>
      <c r="AD310" s="26"/>
      <c r="AE310" s="26"/>
    </row>
    <row r="311" spans="1:31" ht="21.95" customHeight="1" x14ac:dyDescent="0.25">
      <c r="A311" s="97" t="str">
        <f>+IF(PROVEEDORES[[#This Row],[FECHA DE PAGO]]=PROVEEDORES[[#This Row],[FECHA DE FACTURACIÓN]],"DE CONTADO","CRÉDITO")</f>
        <v>DE CONTADO</v>
      </c>
      <c r="B311" s="41" t="b">
        <f>+IF((PROVEEDORES[[#This Row],[FECHA DE PAGO]]-PROVEEDORES[[#This Row],[FECHA DE FACTURACIÓN]])&gt;PROVEEDORES[[#This Row],[PLAZO Días]],"PAGO VENCIDO")</f>
        <v>0</v>
      </c>
      <c r="C311" s="22">
        <f>+VLOOKUP(PROVEEDORES[[#This Row],[PROVEEDOR]],TERCEROS_INFO[#All],2,FALSE)</f>
        <v>30</v>
      </c>
      <c r="D311" s="27">
        <f>+SUMIFS(PROVEEDORES[Total],PROVEEDORES[PROVEEDOR],PROVEEDORES[[#This Row],[PROVEEDOR]],PROVEEDORES[FECHA DE PAGO],"")</f>
        <v>0</v>
      </c>
      <c r="E311" s="27"/>
      <c r="F311" s="62" t="str">
        <f>+VLOOKUP(PROVEEDORES[[#This Row],[PROVEEDOR]],
                       Terceros!$A:$G,
                       6,
                       FALSE)</f>
        <v/>
      </c>
      <c r="G311" s="95">
        <v>44316</v>
      </c>
      <c r="H311" s="28" t="s">
        <v>1010</v>
      </c>
      <c r="I311" s="95">
        <v>44316</v>
      </c>
      <c r="J311" s="38" t="s">
        <v>180</v>
      </c>
      <c r="K311" s="23">
        <v>71400</v>
      </c>
      <c r="L311" s="23"/>
      <c r="M311" s="24">
        <v>0</v>
      </c>
      <c r="N311" s="25"/>
      <c r="O311" s="24">
        <v>0</v>
      </c>
      <c r="P311" s="136">
        <f>+IF(PROVEEDORES[[#This Row],[SUBTOTAL]]&lt;PROVEEDORES[[#This Row],[base retencion]],0,PROVEEDORES[[#This Row],[retención aplicada]])</f>
        <v>0</v>
      </c>
      <c r="Q311" s="24">
        <f>+PROVEEDORES[[#This Row],[Rete Fuente %]]*PROVEEDORES[[#This Row],[SUBTOTAL]]</f>
        <v>0</v>
      </c>
      <c r="R311" s="23">
        <v>71400</v>
      </c>
      <c r="S31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1" s="99">
        <f ca="1">IF(PROVEEDORES[[#This Row],[FECHA DE PAGO]]=0,TODAY()-PROVEEDORES[[#This Row],[FECHA DE FACTURACIÓN]]-PROVEEDORES[[#This Row],[PLAZO Días]],0)</f>
        <v>0</v>
      </c>
      <c r="U311" s="149">
        <f>+VLOOKUP(PROVEEDORES[[#This Row],[PROVEEDOR]],Terceros!$A:$E,5,FALSE)</f>
        <v>0</v>
      </c>
      <c r="V311" s="150">
        <f>+YEAR(PROVEEDORES[[#This Row],[FECHA DE FACTURACIÓN]])</f>
        <v>2021</v>
      </c>
      <c r="W311" s="150">
        <f>+MATCH(PROVEEDORES[[#This Row],[año facturado]],Retenciones!$1:$1,0)</f>
        <v>4</v>
      </c>
      <c r="X311" s="151">
        <f>+VLOOKUP(PROVEEDORES[[#This Row],[ID RETENCION]],Retenciones!$A$1:$O$24,PROVEEDORES[[#This Row],[indicador de columna]],FALSE)</f>
        <v>0</v>
      </c>
      <c r="Y311" s="152">
        <f>+VLOOKUP(PROVEEDORES[[#This Row],[ID RETENCION]],Retenciones!$A$1:$O$24,2,FALSE)</f>
        <v>0</v>
      </c>
      <c r="Z311" s="26"/>
      <c r="AA311" s="26"/>
      <c r="AB311" s="26"/>
      <c r="AC311" s="26"/>
      <c r="AD311" s="26"/>
      <c r="AE311" s="26"/>
    </row>
    <row r="312" spans="1:31" ht="21.95" customHeight="1" x14ac:dyDescent="0.25">
      <c r="A312" s="97" t="str">
        <f>+IF(PROVEEDORES[[#This Row],[FECHA DE PAGO]]=PROVEEDORES[[#This Row],[FECHA DE FACTURACIÓN]],"DE CONTADO","CRÉDITO")</f>
        <v>DE CONTADO</v>
      </c>
      <c r="B312" s="41" t="b">
        <f>+IF((PROVEEDORES[[#This Row],[FECHA DE PAGO]]-PROVEEDORES[[#This Row],[FECHA DE FACTURACIÓN]])&gt;PROVEEDORES[[#This Row],[PLAZO Días]],"PAGO VENCIDO")</f>
        <v>0</v>
      </c>
      <c r="C312" s="22">
        <f>+VLOOKUP(PROVEEDORES[[#This Row],[PROVEEDOR]],TERCEROS_INFO[#All],2,FALSE)</f>
        <v>30</v>
      </c>
      <c r="D312" s="27">
        <f>+SUMIFS(PROVEEDORES[Total],PROVEEDORES[PROVEEDOR],PROVEEDORES[[#This Row],[PROVEEDOR]],PROVEEDORES[FECHA DE PAGO],"")</f>
        <v>0</v>
      </c>
      <c r="E312" s="27"/>
      <c r="F312" s="62" t="str">
        <f>+VLOOKUP(PROVEEDORES[[#This Row],[PROVEEDOR]],
                       Terceros!$A:$G,
                       6,
                       FALSE)</f>
        <v/>
      </c>
      <c r="G312" s="95">
        <v>44316</v>
      </c>
      <c r="H312" s="28" t="s">
        <v>1010</v>
      </c>
      <c r="I312" s="95">
        <v>44316</v>
      </c>
      <c r="J312" s="38" t="s">
        <v>941</v>
      </c>
      <c r="K312" s="23">
        <v>82400</v>
      </c>
      <c r="L312" s="23"/>
      <c r="M312" s="24">
        <v>0</v>
      </c>
      <c r="N312" s="25"/>
      <c r="O312" s="24">
        <v>0</v>
      </c>
      <c r="P312" s="136">
        <f>+IF(PROVEEDORES[[#This Row],[SUBTOTAL]]&lt;PROVEEDORES[[#This Row],[base retencion]],0,PROVEEDORES[[#This Row],[retención aplicada]])</f>
        <v>0</v>
      </c>
      <c r="Q312" s="24">
        <f>+PROVEEDORES[[#This Row],[Rete Fuente %]]*PROVEEDORES[[#This Row],[SUBTOTAL]]</f>
        <v>0</v>
      </c>
      <c r="R312" s="23">
        <v>82400</v>
      </c>
      <c r="S31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2" s="99">
        <f ca="1">IF(PROVEEDORES[[#This Row],[FECHA DE PAGO]]=0,TODAY()-PROVEEDORES[[#This Row],[FECHA DE FACTURACIÓN]]-PROVEEDORES[[#This Row],[PLAZO Días]],0)</f>
        <v>0</v>
      </c>
      <c r="U312" s="149">
        <f>+VLOOKUP(PROVEEDORES[[#This Row],[PROVEEDOR]],Terceros!$A:$E,5,FALSE)</f>
        <v>0</v>
      </c>
      <c r="V312" s="150">
        <f>+YEAR(PROVEEDORES[[#This Row],[FECHA DE FACTURACIÓN]])</f>
        <v>2021</v>
      </c>
      <c r="W312" s="150">
        <f>+MATCH(PROVEEDORES[[#This Row],[año facturado]],Retenciones!$1:$1,0)</f>
        <v>4</v>
      </c>
      <c r="X312" s="151">
        <f>+VLOOKUP(PROVEEDORES[[#This Row],[ID RETENCION]],Retenciones!$A$1:$O$24,PROVEEDORES[[#This Row],[indicador de columna]],FALSE)</f>
        <v>0</v>
      </c>
      <c r="Y312" s="152">
        <f>+VLOOKUP(PROVEEDORES[[#This Row],[ID RETENCION]],Retenciones!$A$1:$O$24,2,FALSE)</f>
        <v>0</v>
      </c>
      <c r="Z312" s="26"/>
      <c r="AA312" s="26"/>
      <c r="AB312" s="26"/>
      <c r="AC312" s="26"/>
      <c r="AD312" s="26"/>
      <c r="AE312" s="26"/>
    </row>
    <row r="313" spans="1:31" ht="21.95" customHeight="1" x14ac:dyDescent="0.25">
      <c r="A313" s="97" t="str">
        <f>+IF(PROVEEDORES[[#This Row],[FECHA DE PAGO]]=PROVEEDORES[[#This Row],[FECHA DE FACTURACIÓN]],"DE CONTADO","CRÉDITO")</f>
        <v>DE CONTADO</v>
      </c>
      <c r="B313" s="41" t="b">
        <f>+IF((PROVEEDORES[[#This Row],[FECHA DE PAGO]]-PROVEEDORES[[#This Row],[FECHA DE FACTURACIÓN]])&gt;PROVEEDORES[[#This Row],[PLAZO Días]],"PAGO VENCIDO")</f>
        <v>0</v>
      </c>
      <c r="C313" s="22">
        <f>+VLOOKUP(PROVEEDORES[[#This Row],[PROVEEDOR]],TERCEROS_INFO[#All],2,FALSE)</f>
        <v>30</v>
      </c>
      <c r="D313" s="27">
        <f>+SUMIFS(PROVEEDORES[Total],PROVEEDORES[PROVEEDOR],PROVEEDORES[[#This Row],[PROVEEDOR]],PROVEEDORES[FECHA DE PAGO],"")</f>
        <v>0</v>
      </c>
      <c r="E313" s="27"/>
      <c r="F313" s="62" t="str">
        <f>+VLOOKUP(PROVEEDORES[[#This Row],[PROVEEDOR]],
                       Terceros!$A:$G,
                       6,
                       FALSE)</f>
        <v/>
      </c>
      <c r="G313" s="95">
        <v>44316</v>
      </c>
      <c r="H313" s="28" t="s">
        <v>1010</v>
      </c>
      <c r="I313" s="95">
        <v>44316</v>
      </c>
      <c r="J313" s="38" t="s">
        <v>943</v>
      </c>
      <c r="K313" s="23">
        <v>166000</v>
      </c>
      <c r="L313" s="23"/>
      <c r="M313" s="24">
        <v>0</v>
      </c>
      <c r="N313" s="25"/>
      <c r="O313" s="24">
        <v>0</v>
      </c>
      <c r="P313" s="136">
        <f>+IF(PROVEEDORES[[#This Row],[SUBTOTAL]]&lt;PROVEEDORES[[#This Row],[base retencion]],0,PROVEEDORES[[#This Row],[retención aplicada]])</f>
        <v>0</v>
      </c>
      <c r="Q313" s="24">
        <f>+PROVEEDORES[[#This Row],[Rete Fuente %]]*PROVEEDORES[[#This Row],[SUBTOTAL]]</f>
        <v>0</v>
      </c>
      <c r="R313" s="23">
        <v>166000</v>
      </c>
      <c r="S31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3" s="99">
        <f ca="1">IF(PROVEEDORES[[#This Row],[FECHA DE PAGO]]=0,TODAY()-PROVEEDORES[[#This Row],[FECHA DE FACTURACIÓN]]-PROVEEDORES[[#This Row],[PLAZO Días]],0)</f>
        <v>0</v>
      </c>
      <c r="U313" s="149">
        <f>+VLOOKUP(PROVEEDORES[[#This Row],[PROVEEDOR]],Terceros!$A:$E,5,FALSE)</f>
        <v>0</v>
      </c>
      <c r="V313" s="150">
        <f>+YEAR(PROVEEDORES[[#This Row],[FECHA DE FACTURACIÓN]])</f>
        <v>2021</v>
      </c>
      <c r="W313" s="150">
        <f>+MATCH(PROVEEDORES[[#This Row],[año facturado]],Retenciones!$1:$1,0)</f>
        <v>4</v>
      </c>
      <c r="X313" s="151">
        <f>+VLOOKUP(PROVEEDORES[[#This Row],[ID RETENCION]],Retenciones!$A$1:$O$24,PROVEEDORES[[#This Row],[indicador de columna]],FALSE)</f>
        <v>0</v>
      </c>
      <c r="Y313" s="152">
        <f>+VLOOKUP(PROVEEDORES[[#This Row],[ID RETENCION]],Retenciones!$A$1:$O$24,2,FALSE)</f>
        <v>0</v>
      </c>
      <c r="Z313" s="26"/>
      <c r="AA313" s="26"/>
      <c r="AB313" s="26"/>
      <c r="AC313" s="26"/>
      <c r="AD313" s="26"/>
      <c r="AE313" s="26"/>
    </row>
    <row r="314" spans="1:31" ht="21.95" customHeight="1" x14ac:dyDescent="0.25">
      <c r="A314" s="97" t="str">
        <f>+IF(PROVEEDORES[[#This Row],[FECHA DE PAGO]]=PROVEEDORES[[#This Row],[FECHA DE FACTURACIÓN]],"DE CONTADO","CRÉDITO")</f>
        <v>DE CONTADO</v>
      </c>
      <c r="B314" s="41" t="b">
        <f>+IF((PROVEEDORES[[#This Row],[FECHA DE PAGO]]-PROVEEDORES[[#This Row],[FECHA DE FACTURACIÓN]])&gt;PROVEEDORES[[#This Row],[PLAZO Días]],"PAGO VENCIDO")</f>
        <v>0</v>
      </c>
      <c r="C314" s="22">
        <f>+VLOOKUP(PROVEEDORES[[#This Row],[PROVEEDOR]],TERCEROS_INFO[#All],2,FALSE)</f>
        <v>30</v>
      </c>
      <c r="D314" s="27">
        <f>+SUMIFS(PROVEEDORES[Total],PROVEEDORES[PROVEEDOR],PROVEEDORES[[#This Row],[PROVEEDOR]],PROVEEDORES[FECHA DE PAGO],"")</f>
        <v>0</v>
      </c>
      <c r="E314" s="27"/>
      <c r="F314" s="62" t="str">
        <f>+VLOOKUP(PROVEEDORES[[#This Row],[PROVEEDOR]],
                       Terceros!$A:$G,
                       6,
                       FALSE)</f>
        <v/>
      </c>
      <c r="G314" s="95">
        <v>44316</v>
      </c>
      <c r="H314" s="28" t="s">
        <v>1010</v>
      </c>
      <c r="I314" s="95">
        <v>44316</v>
      </c>
      <c r="J314" s="38" t="s">
        <v>942</v>
      </c>
      <c r="K314" s="23">
        <v>487200</v>
      </c>
      <c r="L314" s="23"/>
      <c r="M314" s="24">
        <v>0</v>
      </c>
      <c r="N314" s="25"/>
      <c r="O314" s="24">
        <v>0</v>
      </c>
      <c r="P314" s="136">
        <f>+IF(PROVEEDORES[[#This Row],[SUBTOTAL]]&lt;PROVEEDORES[[#This Row],[base retencion]],0,PROVEEDORES[[#This Row],[retención aplicada]])</f>
        <v>0</v>
      </c>
      <c r="Q314" s="24">
        <f>+PROVEEDORES[[#This Row],[Rete Fuente %]]*PROVEEDORES[[#This Row],[SUBTOTAL]]</f>
        <v>0</v>
      </c>
      <c r="R314" s="23">
        <v>487200</v>
      </c>
      <c r="S31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4" s="99">
        <f ca="1">IF(PROVEEDORES[[#This Row],[FECHA DE PAGO]]=0,TODAY()-PROVEEDORES[[#This Row],[FECHA DE FACTURACIÓN]]-PROVEEDORES[[#This Row],[PLAZO Días]],0)</f>
        <v>0</v>
      </c>
      <c r="U314" s="149">
        <f>+VLOOKUP(PROVEEDORES[[#This Row],[PROVEEDOR]],Terceros!$A:$E,5,FALSE)</f>
        <v>0</v>
      </c>
      <c r="V314" s="150">
        <f>+YEAR(PROVEEDORES[[#This Row],[FECHA DE FACTURACIÓN]])</f>
        <v>2021</v>
      </c>
      <c r="W314" s="150">
        <f>+MATCH(PROVEEDORES[[#This Row],[año facturado]],Retenciones!$1:$1,0)</f>
        <v>4</v>
      </c>
      <c r="X314" s="151">
        <f>+VLOOKUP(PROVEEDORES[[#This Row],[ID RETENCION]],Retenciones!$A$1:$O$24,PROVEEDORES[[#This Row],[indicador de columna]],FALSE)</f>
        <v>0</v>
      </c>
      <c r="Y314" s="152">
        <f>+VLOOKUP(PROVEEDORES[[#This Row],[ID RETENCION]],Retenciones!$A$1:$O$24,2,FALSE)</f>
        <v>0</v>
      </c>
      <c r="Z314" s="26"/>
      <c r="AA314" s="26"/>
      <c r="AB314" s="26"/>
      <c r="AC314" s="26"/>
      <c r="AD314" s="26"/>
      <c r="AE314" s="26"/>
    </row>
    <row r="315" spans="1:31" ht="21.95" customHeight="1" x14ac:dyDescent="0.25">
      <c r="A315" s="97" t="str">
        <f>+IF(PROVEEDORES[[#This Row],[FECHA DE PAGO]]=PROVEEDORES[[#This Row],[FECHA DE FACTURACIÓN]],"DE CONTADO","CRÉDITO")</f>
        <v>DE CONTADO</v>
      </c>
      <c r="B315" s="41" t="b">
        <f>+IF((PROVEEDORES[[#This Row],[FECHA DE PAGO]]-PROVEEDORES[[#This Row],[FECHA DE FACTURACIÓN]])&gt;PROVEEDORES[[#This Row],[PLAZO Días]],"PAGO VENCIDO")</f>
        <v>0</v>
      </c>
      <c r="C315" s="22">
        <f>+VLOOKUP(PROVEEDORES[[#This Row],[PROVEEDOR]],TERCEROS_INFO[#All],2,FALSE)</f>
        <v>30</v>
      </c>
      <c r="D315" s="27">
        <f>+SUMIFS(PROVEEDORES[Total],PROVEEDORES[PROVEEDOR],PROVEEDORES[[#This Row],[PROVEEDOR]],PROVEEDORES[FECHA DE PAGO],"")</f>
        <v>0</v>
      </c>
      <c r="E315" s="27"/>
      <c r="F315" s="62" t="str">
        <f>+VLOOKUP(PROVEEDORES[[#This Row],[PROVEEDOR]],
                       Terceros!$A:$G,
                       6,
                       FALSE)</f>
        <v/>
      </c>
      <c r="G315" s="95">
        <v>44316</v>
      </c>
      <c r="H315" s="28" t="s">
        <v>1010</v>
      </c>
      <c r="I315" s="95">
        <v>44316</v>
      </c>
      <c r="J315" s="38" t="s">
        <v>940</v>
      </c>
      <c r="K315" s="23">
        <v>1519700</v>
      </c>
      <c r="L315" s="23"/>
      <c r="M315" s="24">
        <v>0</v>
      </c>
      <c r="N315" s="25"/>
      <c r="O315" s="24">
        <v>0</v>
      </c>
      <c r="P315" s="136">
        <f>+IF(PROVEEDORES[[#This Row],[SUBTOTAL]]&lt;PROVEEDORES[[#This Row],[base retencion]],0,PROVEEDORES[[#This Row],[retención aplicada]])</f>
        <v>0</v>
      </c>
      <c r="Q315" s="24">
        <f>+PROVEEDORES[[#This Row],[Rete Fuente %]]*PROVEEDORES[[#This Row],[SUBTOTAL]]</f>
        <v>0</v>
      </c>
      <c r="R315" s="23">
        <v>1519700</v>
      </c>
      <c r="S31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5" s="99">
        <f ca="1">IF(PROVEEDORES[[#This Row],[FECHA DE PAGO]]=0,TODAY()-PROVEEDORES[[#This Row],[FECHA DE FACTURACIÓN]]-PROVEEDORES[[#This Row],[PLAZO Días]],0)</f>
        <v>0</v>
      </c>
      <c r="U315" s="149">
        <f>+VLOOKUP(PROVEEDORES[[#This Row],[PROVEEDOR]],Terceros!$A:$E,5,FALSE)</f>
        <v>0</v>
      </c>
      <c r="V315" s="150">
        <f>+YEAR(PROVEEDORES[[#This Row],[FECHA DE FACTURACIÓN]])</f>
        <v>2021</v>
      </c>
      <c r="W315" s="150">
        <f>+MATCH(PROVEEDORES[[#This Row],[año facturado]],Retenciones!$1:$1,0)</f>
        <v>4</v>
      </c>
      <c r="X315" s="151">
        <f>+VLOOKUP(PROVEEDORES[[#This Row],[ID RETENCION]],Retenciones!$A$1:$O$24,PROVEEDORES[[#This Row],[indicador de columna]],FALSE)</f>
        <v>0</v>
      </c>
      <c r="Y315" s="152">
        <f>+VLOOKUP(PROVEEDORES[[#This Row],[ID RETENCION]],Retenciones!$A$1:$O$24,2,FALSE)</f>
        <v>0</v>
      </c>
      <c r="Z315" s="26"/>
      <c r="AA315" s="26"/>
      <c r="AB315" s="26"/>
      <c r="AC315" s="26"/>
      <c r="AD315" s="26"/>
      <c r="AE315" s="26"/>
    </row>
    <row r="316" spans="1:31" ht="21.95" customHeight="1" x14ac:dyDescent="0.25">
      <c r="A316" s="97" t="str">
        <f>+IF(PROVEEDORES[[#This Row],[FECHA DE PAGO]]=PROVEEDORES[[#This Row],[FECHA DE FACTURACIÓN]],"DE CONTADO","CRÉDITO")</f>
        <v>CRÉDITO</v>
      </c>
      <c r="B316" s="41" t="str">
        <f>+IF((PROVEEDORES[[#This Row],[FECHA DE PAGO]]-PROVEEDORES[[#This Row],[FECHA DE FACTURACIÓN]])&gt;PROVEEDORES[[#This Row],[PLAZO Días]],"PAGO VENCIDO")</f>
        <v>PAGO VENCIDO</v>
      </c>
      <c r="C316" s="22">
        <f>+VLOOKUP(PROVEEDORES[[#This Row],[PROVEEDOR]],TERCEROS_INFO[#All],2,FALSE)</f>
        <v>30</v>
      </c>
      <c r="D316" s="27">
        <f>+SUMIFS(PROVEEDORES[Total],PROVEEDORES[PROVEEDOR],PROVEEDORES[[#This Row],[PROVEEDOR]],PROVEEDORES[FECHA DE PAGO],"")</f>
        <v>248736.18000000002</v>
      </c>
      <c r="E316" s="27"/>
      <c r="F316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G316" s="95">
        <v>44341</v>
      </c>
      <c r="H316" s="28" t="s">
        <v>343</v>
      </c>
      <c r="I316" s="95">
        <v>44284</v>
      </c>
      <c r="J316" s="38" t="s">
        <v>149</v>
      </c>
      <c r="K316" s="23">
        <v>-5996.9747899159665</v>
      </c>
      <c r="L316" s="23"/>
      <c r="M316" s="24">
        <v>-1139.4252100840336</v>
      </c>
      <c r="N316" s="25"/>
      <c r="O316" s="24">
        <v>0</v>
      </c>
      <c r="P316" s="136">
        <f>+IF(PROVEEDORES[[#This Row],[SUBTOTAL]]&lt;PROVEEDORES[[#This Row],[base retencion]],0,PROVEEDORES[[#This Row],[retención aplicada]])</f>
        <v>0</v>
      </c>
      <c r="Q316" s="24">
        <f>+PROVEEDORES[[#This Row],[Rete Fuente %]]*PROVEEDORES[[#This Row],[SUBTOTAL]]</f>
        <v>0</v>
      </c>
      <c r="R316" s="23">
        <v>-7136.4</v>
      </c>
      <c r="S31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6" s="99">
        <f ca="1">IF(PROVEEDORES[[#This Row],[FECHA DE PAGO]]=0,TODAY()-PROVEEDORES[[#This Row],[FECHA DE FACTURACIÓN]]-PROVEEDORES[[#This Row],[PLAZO Días]],0)</f>
        <v>0</v>
      </c>
      <c r="U316" s="149" t="str">
        <f>+VLOOKUP(PROVEEDORES[[#This Row],[PROVEEDOR]],Terceros!$A:$E,5,FALSE)</f>
        <v>3,5% sin base</v>
      </c>
      <c r="V316" s="150">
        <f>+YEAR(PROVEEDORES[[#This Row],[FECHA DE FACTURACIÓN]])</f>
        <v>2021</v>
      </c>
      <c r="W316" s="150">
        <f>+MATCH(PROVEEDORES[[#This Row],[año facturado]],Retenciones!$1:$1,0)</f>
        <v>4</v>
      </c>
      <c r="X316" s="151">
        <f>+VLOOKUP(PROVEEDORES[[#This Row],[ID RETENCION]],Retenciones!$A$1:$O$24,PROVEEDORES[[#This Row],[indicador de columna]],FALSE)</f>
        <v>0</v>
      </c>
      <c r="Y316" s="152">
        <f>+VLOOKUP(PROVEEDORES[[#This Row],[ID RETENCION]],Retenciones!$A$1:$O$24,2,FALSE)</f>
        <v>3.5000000000000003E-2</v>
      </c>
      <c r="Z316" s="26"/>
      <c r="AA316" s="26"/>
      <c r="AB316" s="26"/>
      <c r="AC316" s="26"/>
      <c r="AD316" s="26"/>
      <c r="AE316" s="26"/>
    </row>
    <row r="317" spans="1:31" ht="21.95" customHeight="1" x14ac:dyDescent="0.25">
      <c r="A317" s="97" t="str">
        <f>+IF(PROVEEDORES[[#This Row],[FECHA DE PAGO]]=PROVEEDORES[[#This Row],[FECHA DE FACTURACIÓN]],"DE CONTADO","CRÉDITO")</f>
        <v>CRÉDITO</v>
      </c>
      <c r="B317" s="41" t="str">
        <f>+IF((PROVEEDORES[[#This Row],[FECHA DE PAGO]]-PROVEEDORES[[#This Row],[FECHA DE FACTURACIÓN]])&gt;PROVEEDORES[[#This Row],[PLAZO Días]],"PAGO VENCIDO")</f>
        <v>PAGO VENCIDO</v>
      </c>
      <c r="C317" s="22">
        <f>+VLOOKUP(PROVEEDORES[[#This Row],[PROVEEDOR]],TERCEROS_INFO[#All],2,FALSE)</f>
        <v>30</v>
      </c>
      <c r="D317" s="27">
        <f>+SUMIFS(PROVEEDORES[Total],PROVEEDORES[PROVEEDOR],PROVEEDORES[[#This Row],[PROVEEDOR]],PROVEEDORES[FECHA DE PAGO],"")</f>
        <v>4862586.33</v>
      </c>
      <c r="E317" s="27"/>
      <c r="F317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317" s="95">
        <v>44341</v>
      </c>
      <c r="H317" s="28" t="s">
        <v>345</v>
      </c>
      <c r="I317" s="95">
        <v>44287</v>
      </c>
      <c r="J317" s="38" t="s">
        <v>323</v>
      </c>
      <c r="K317" s="23">
        <v>-918350</v>
      </c>
      <c r="L317" s="23"/>
      <c r="M317" s="24">
        <v>-174486.5</v>
      </c>
      <c r="N317" s="25"/>
      <c r="O317" s="24">
        <v>0</v>
      </c>
      <c r="P317" s="136">
        <f>+IF(PROVEEDORES[[#This Row],[SUBTOTAL]]&lt;PROVEEDORES[[#This Row],[base retencion]],0,PROVEEDORES[[#This Row],[retención aplicada]])</f>
        <v>0</v>
      </c>
      <c r="Q317" s="24">
        <f>+PROVEEDORES[[#This Row],[Rete Fuente %]]*PROVEEDORES[[#This Row],[SUBTOTAL]]</f>
        <v>0</v>
      </c>
      <c r="R317" s="23">
        <v>-1092836.5</v>
      </c>
      <c r="S31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7" s="99">
        <f ca="1">IF(PROVEEDORES[[#This Row],[FECHA DE PAGO]]=0,TODAY()-PROVEEDORES[[#This Row],[FECHA DE FACTURACIÓN]]-PROVEEDORES[[#This Row],[PLAZO Días]],0)</f>
        <v>0</v>
      </c>
      <c r="U317" s="149">
        <f>+VLOOKUP(PROVEEDORES[[#This Row],[PROVEEDOR]],Terceros!$A:$E,5,FALSE)</f>
        <v>0</v>
      </c>
      <c r="V317" s="150">
        <f>+YEAR(PROVEEDORES[[#This Row],[FECHA DE FACTURACIÓN]])</f>
        <v>2021</v>
      </c>
      <c r="W317" s="150">
        <f>+MATCH(PROVEEDORES[[#This Row],[año facturado]],Retenciones!$1:$1,0)</f>
        <v>4</v>
      </c>
      <c r="X317" s="151">
        <f>+VLOOKUP(PROVEEDORES[[#This Row],[ID RETENCION]],Retenciones!$A$1:$O$24,PROVEEDORES[[#This Row],[indicador de columna]],FALSE)</f>
        <v>0</v>
      </c>
      <c r="Y317" s="152">
        <f>+VLOOKUP(PROVEEDORES[[#This Row],[ID RETENCION]],Retenciones!$A$1:$O$24,2,FALSE)</f>
        <v>0</v>
      </c>
      <c r="Z317" s="26"/>
      <c r="AA317" s="26"/>
      <c r="AB317" s="26"/>
      <c r="AC317" s="26"/>
      <c r="AD317" s="26"/>
      <c r="AE317" s="26"/>
    </row>
    <row r="318" spans="1:31" ht="21.95" customHeight="1" x14ac:dyDescent="0.25">
      <c r="A318" s="97" t="str">
        <f>+IF(PROVEEDORES[[#This Row],[FECHA DE PAGO]]=PROVEEDORES[[#This Row],[FECHA DE FACTURACIÓN]],"DE CONTADO","CRÉDITO")</f>
        <v>CRÉDITO</v>
      </c>
      <c r="B318" s="41" t="str">
        <f>+IF((PROVEEDORES[[#This Row],[FECHA DE PAGO]]-PROVEEDORES[[#This Row],[FECHA DE FACTURACIÓN]])&gt;PROVEEDORES[[#This Row],[PLAZO Días]],"PAGO VENCIDO")</f>
        <v>PAGO VENCIDO</v>
      </c>
      <c r="C318" s="22">
        <f>+VLOOKUP(PROVEEDORES[[#This Row],[PROVEEDOR]],TERCEROS_INFO[#All],2,FALSE)</f>
        <v>30</v>
      </c>
      <c r="D318" s="27">
        <f>+SUMIFS(PROVEEDORES[Total],PROVEEDORES[PROVEEDOR],PROVEEDORES[[#This Row],[PROVEEDOR]],PROVEEDORES[FECHA DE PAGO],"")</f>
        <v>0</v>
      </c>
      <c r="E318" s="27"/>
      <c r="F318" s="62" t="str">
        <f>+VLOOKUP(PROVEEDORES[[#This Row],[PROVEEDOR]],
                       Terceros!$A:$G,
                       6,
                       FALSE)</f>
        <v>girlesa.ruiz@servipilas.com;joriescobar64@gmail.com</v>
      </c>
      <c r="G318" s="95">
        <v>44341</v>
      </c>
      <c r="H318" s="28" t="s">
        <v>336</v>
      </c>
      <c r="I318" s="95">
        <v>44287</v>
      </c>
      <c r="J318" s="38" t="s">
        <v>304</v>
      </c>
      <c r="K318" s="23">
        <v>2492240</v>
      </c>
      <c r="L318" s="23"/>
      <c r="M318" s="24">
        <v>0</v>
      </c>
      <c r="N318" s="25"/>
      <c r="O318" s="24">
        <v>0</v>
      </c>
      <c r="P318" s="136">
        <f>+IF(PROVEEDORES[[#This Row],[SUBTOTAL]]&lt;PROVEEDORES[[#This Row],[base retencion]],0,PROVEEDORES[[#This Row],[retención aplicada]])</f>
        <v>3.5000000000000003E-2</v>
      </c>
      <c r="Q318" s="24">
        <f>+PROVEEDORES[[#This Row],[Rete Fuente %]]*PROVEEDORES[[#This Row],[SUBTOTAL]]</f>
        <v>87228.400000000009</v>
      </c>
      <c r="R318" s="23">
        <v>2405011.6</v>
      </c>
      <c r="S31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8" s="99">
        <f ca="1">IF(PROVEEDORES[[#This Row],[FECHA DE PAGO]]=0,TODAY()-PROVEEDORES[[#This Row],[FECHA DE FACTURACIÓN]]-PROVEEDORES[[#This Row],[PLAZO Días]],0)</f>
        <v>0</v>
      </c>
      <c r="U318" s="149" t="str">
        <f>+VLOOKUP(PROVEEDORES[[#This Row],[PROVEEDOR]],Terceros!$A:$E,5,FALSE)</f>
        <v>3,5% sin base</v>
      </c>
      <c r="V318" s="150">
        <f>+YEAR(PROVEEDORES[[#This Row],[FECHA DE FACTURACIÓN]])</f>
        <v>2021</v>
      </c>
      <c r="W318" s="150">
        <f>+MATCH(PROVEEDORES[[#This Row],[año facturado]],Retenciones!$1:$1,0)</f>
        <v>4</v>
      </c>
      <c r="X318" s="151">
        <f>+VLOOKUP(PROVEEDORES[[#This Row],[ID RETENCION]],Retenciones!$A$1:$O$24,PROVEEDORES[[#This Row],[indicador de columna]],FALSE)</f>
        <v>0</v>
      </c>
      <c r="Y318" s="152">
        <f>+VLOOKUP(PROVEEDORES[[#This Row],[ID RETENCION]],Retenciones!$A$1:$O$24,2,FALSE)</f>
        <v>3.5000000000000003E-2</v>
      </c>
      <c r="Z318" s="26"/>
      <c r="AA318" s="26"/>
      <c r="AB318" s="26"/>
      <c r="AC318" s="26"/>
      <c r="AD318" s="26"/>
      <c r="AE318" s="26"/>
    </row>
    <row r="319" spans="1:31" ht="21.95" customHeight="1" x14ac:dyDescent="0.25">
      <c r="A319" s="97" t="str">
        <f>+IF(PROVEEDORES[[#This Row],[FECHA DE PAGO]]=PROVEEDORES[[#This Row],[FECHA DE FACTURACIÓN]],"DE CONTADO","CRÉDITO")</f>
        <v>CRÉDITO</v>
      </c>
      <c r="B319" s="41" t="str">
        <f>+IF((PROVEEDORES[[#This Row],[FECHA DE PAGO]]-PROVEEDORES[[#This Row],[FECHA DE FACTURACIÓN]])&gt;PROVEEDORES[[#This Row],[PLAZO Días]],"PAGO VENCIDO")</f>
        <v>PAGO VENCIDO</v>
      </c>
      <c r="C319" s="22">
        <f>+VLOOKUP(PROVEEDORES[[#This Row],[PROVEEDOR]],TERCEROS_INFO[#All],2,FALSE)</f>
        <v>30</v>
      </c>
      <c r="D319" s="27">
        <f>+SUMIFS(PROVEEDORES[Total],PROVEEDORES[PROVEEDOR],PROVEEDORES[[#This Row],[PROVEEDOR]],PROVEEDORES[FECHA DE PAGO],"")</f>
        <v>4862586.33</v>
      </c>
      <c r="E319" s="27"/>
      <c r="F319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319" s="95">
        <v>44341</v>
      </c>
      <c r="H319" s="28" t="s">
        <v>345</v>
      </c>
      <c r="I319" s="95">
        <v>44287</v>
      </c>
      <c r="J319" s="38" t="s">
        <v>322</v>
      </c>
      <c r="K319" s="23">
        <v>3061166</v>
      </c>
      <c r="L319" s="23"/>
      <c r="M319" s="24">
        <v>581621.54</v>
      </c>
      <c r="N319" s="25"/>
      <c r="O319" s="24">
        <v>0</v>
      </c>
      <c r="P319" s="136">
        <f>+IF(PROVEEDORES[[#This Row],[SUBTOTAL]]&lt;PROVEEDORES[[#This Row],[base retencion]],0,PROVEEDORES[[#This Row],[retención aplicada]])</f>
        <v>0</v>
      </c>
      <c r="Q319" s="24">
        <f>+PROVEEDORES[[#This Row],[Rete Fuente %]]*PROVEEDORES[[#This Row],[SUBTOTAL]]</f>
        <v>0</v>
      </c>
      <c r="R319" s="23">
        <v>3642787.54</v>
      </c>
      <c r="S31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9" s="99">
        <f ca="1">IF(PROVEEDORES[[#This Row],[FECHA DE PAGO]]=0,TODAY()-PROVEEDORES[[#This Row],[FECHA DE FACTURACIÓN]]-PROVEEDORES[[#This Row],[PLAZO Días]],0)</f>
        <v>0</v>
      </c>
      <c r="U319" s="149">
        <f>+VLOOKUP(PROVEEDORES[[#This Row],[PROVEEDOR]],Terceros!$A:$E,5,FALSE)</f>
        <v>0</v>
      </c>
      <c r="V319" s="150">
        <f>+YEAR(PROVEEDORES[[#This Row],[FECHA DE FACTURACIÓN]])</f>
        <v>2021</v>
      </c>
      <c r="W319" s="150">
        <f>+MATCH(PROVEEDORES[[#This Row],[año facturado]],Retenciones!$1:$1,0)</f>
        <v>4</v>
      </c>
      <c r="X319" s="151">
        <f>+VLOOKUP(PROVEEDORES[[#This Row],[ID RETENCION]],Retenciones!$A$1:$O$24,PROVEEDORES[[#This Row],[indicador de columna]],FALSE)</f>
        <v>0</v>
      </c>
      <c r="Y319" s="152">
        <f>+VLOOKUP(PROVEEDORES[[#This Row],[ID RETENCION]],Retenciones!$A$1:$O$24,2,FALSE)</f>
        <v>0</v>
      </c>
      <c r="Z319" s="26"/>
      <c r="AA319" s="26"/>
      <c r="AB319" s="26"/>
      <c r="AC319" s="26"/>
      <c r="AD319" s="26"/>
      <c r="AE319" s="26"/>
    </row>
    <row r="320" spans="1:31" ht="21.95" customHeight="1" x14ac:dyDescent="0.25">
      <c r="A320" s="97" t="str">
        <f>+IF(PROVEEDORES[[#This Row],[FECHA DE PAGO]]=PROVEEDORES[[#This Row],[FECHA DE FACTURACIÓN]],"DE CONTADO","CRÉDITO")</f>
        <v>CRÉDITO</v>
      </c>
      <c r="B320" s="41" t="b">
        <f>+IF((PROVEEDORES[[#This Row],[FECHA DE PAGO]]-PROVEEDORES[[#This Row],[FECHA DE FACTURACIÓN]])&gt;PROVEEDORES[[#This Row],[PLAZO Días]],"PAGO VENCIDO")</f>
        <v>0</v>
      </c>
      <c r="C320" s="22">
        <f>+VLOOKUP(PROVEEDORES[[#This Row],[PROVEEDOR]],TERCEROS_INFO[#All],2,FALSE)</f>
        <v>30</v>
      </c>
      <c r="D320" s="27">
        <f>+SUMIFS(PROVEEDORES[Total],PROVEEDORES[PROVEEDOR],PROVEEDORES[[#This Row],[PROVEEDOR]],PROVEEDORES[FECHA DE PAGO],"")</f>
        <v>248736.18000000002</v>
      </c>
      <c r="E320" s="27"/>
      <c r="F320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G320" s="95">
        <v>44341</v>
      </c>
      <c r="H320" s="28" t="s">
        <v>343</v>
      </c>
      <c r="I320" s="95">
        <v>44317</v>
      </c>
      <c r="J320" s="38">
        <v>1976</v>
      </c>
      <c r="K320" s="23">
        <v>203897</v>
      </c>
      <c r="L320" s="23"/>
      <c r="M320" s="24">
        <v>38740.43</v>
      </c>
      <c r="N320" s="25"/>
      <c r="O320" s="24">
        <v>0</v>
      </c>
      <c r="P320" s="136">
        <f>+IF(PROVEEDORES[[#This Row],[SUBTOTAL]]&lt;PROVEEDORES[[#This Row],[base retencion]],0,PROVEEDORES[[#This Row],[retención aplicada]])</f>
        <v>3.5000000000000003E-2</v>
      </c>
      <c r="Q320" s="24">
        <f>+PROVEEDORES[[#This Row],[Rete Fuente %]]*PROVEEDORES[[#This Row],[SUBTOTAL]]</f>
        <v>7136.3950000000004</v>
      </c>
      <c r="R320" s="23">
        <v>235501.035</v>
      </c>
      <c r="S32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0" s="99">
        <f ca="1">IF(PROVEEDORES[[#This Row],[FECHA DE PAGO]]=0,TODAY()-PROVEEDORES[[#This Row],[FECHA DE FACTURACIÓN]]-PROVEEDORES[[#This Row],[PLAZO Días]],0)</f>
        <v>0</v>
      </c>
      <c r="U320" s="149" t="str">
        <f>+VLOOKUP(PROVEEDORES[[#This Row],[PROVEEDOR]],Terceros!$A:$E,5,FALSE)</f>
        <v>3,5% sin base</v>
      </c>
      <c r="V320" s="150">
        <f>+YEAR(PROVEEDORES[[#This Row],[FECHA DE FACTURACIÓN]])</f>
        <v>2021</v>
      </c>
      <c r="W320" s="150">
        <f>+MATCH(PROVEEDORES[[#This Row],[año facturado]],Retenciones!$1:$1,0)</f>
        <v>4</v>
      </c>
      <c r="X320" s="151">
        <f>+VLOOKUP(PROVEEDORES[[#This Row],[ID RETENCION]],Retenciones!$A$1:$O$24,PROVEEDORES[[#This Row],[indicador de columna]],FALSE)</f>
        <v>0</v>
      </c>
      <c r="Y320" s="152">
        <f>+VLOOKUP(PROVEEDORES[[#This Row],[ID RETENCION]],Retenciones!$A$1:$O$24,2,FALSE)</f>
        <v>3.5000000000000003E-2</v>
      </c>
      <c r="Z320" s="26"/>
      <c r="AA320" s="26"/>
      <c r="AB320" s="26"/>
      <c r="AC320" s="26"/>
      <c r="AD320" s="26"/>
      <c r="AE320" s="26"/>
    </row>
    <row r="321" spans="1:31" ht="21.95" customHeight="1" x14ac:dyDescent="0.25">
      <c r="A321" s="97" t="str">
        <f>+IF(PROVEEDORES[[#This Row],[FECHA DE PAGO]]=PROVEEDORES[[#This Row],[FECHA DE FACTURACIÓN]],"DE CONTADO","CRÉDITO")</f>
        <v>CRÉDITO</v>
      </c>
      <c r="B321" s="41" t="b">
        <f>+IF((PROVEEDORES[[#This Row],[FECHA DE PAGO]]-PROVEEDORES[[#This Row],[FECHA DE FACTURACIÓN]])&gt;PROVEEDORES[[#This Row],[PLAZO Días]],"PAGO VENCIDO")</f>
        <v>0</v>
      </c>
      <c r="C321" s="22">
        <f>+VLOOKUP(PROVEEDORES[[#This Row],[PROVEEDOR]],TERCEROS_INFO[#All],2,FALSE)</f>
        <v>30</v>
      </c>
      <c r="D321" s="27">
        <f>+SUMIFS(PROVEEDORES[Total],PROVEEDORES[PROVEEDOR],PROVEEDORES[[#This Row],[PROVEEDOR]],PROVEEDORES[FECHA DE PAGO],"")</f>
        <v>4862586.33</v>
      </c>
      <c r="E321" s="27"/>
      <c r="F321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321" s="95">
        <v>44341</v>
      </c>
      <c r="H321" s="28" t="s">
        <v>345</v>
      </c>
      <c r="I321" s="95">
        <v>44317</v>
      </c>
      <c r="J321" s="38" t="s">
        <v>320</v>
      </c>
      <c r="K321" s="23">
        <v>716544</v>
      </c>
      <c r="L321" s="23"/>
      <c r="M321" s="24">
        <v>136143.36000000002</v>
      </c>
      <c r="N321" s="25"/>
      <c r="O321" s="24">
        <v>0</v>
      </c>
      <c r="P321" s="136">
        <f>+IF(PROVEEDORES[[#This Row],[SUBTOTAL]]&lt;PROVEEDORES[[#This Row],[base retencion]],0,PROVEEDORES[[#This Row],[retención aplicada]])</f>
        <v>0</v>
      </c>
      <c r="Q321" s="24">
        <f>+PROVEEDORES[[#This Row],[Rete Fuente %]]*PROVEEDORES[[#This Row],[SUBTOTAL]]</f>
        <v>0</v>
      </c>
      <c r="R321" s="23">
        <v>852687.35999999999</v>
      </c>
      <c r="S32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1" s="99">
        <f ca="1">IF(PROVEEDORES[[#This Row],[FECHA DE PAGO]]=0,TODAY()-PROVEEDORES[[#This Row],[FECHA DE FACTURACIÓN]]-PROVEEDORES[[#This Row],[PLAZO Días]],0)</f>
        <v>0</v>
      </c>
      <c r="U321" s="149">
        <f>+VLOOKUP(PROVEEDORES[[#This Row],[PROVEEDOR]],Terceros!$A:$E,5,FALSE)</f>
        <v>0</v>
      </c>
      <c r="V321" s="150">
        <f>+YEAR(PROVEEDORES[[#This Row],[FECHA DE FACTURACIÓN]])</f>
        <v>2021</v>
      </c>
      <c r="W321" s="150">
        <f>+MATCH(PROVEEDORES[[#This Row],[año facturado]],Retenciones!$1:$1,0)</f>
        <v>4</v>
      </c>
      <c r="X321" s="151">
        <f>+VLOOKUP(PROVEEDORES[[#This Row],[ID RETENCION]],Retenciones!$A$1:$O$24,PROVEEDORES[[#This Row],[indicador de columna]],FALSE)</f>
        <v>0</v>
      </c>
      <c r="Y321" s="152">
        <f>+VLOOKUP(PROVEEDORES[[#This Row],[ID RETENCION]],Retenciones!$A$1:$O$24,2,FALSE)</f>
        <v>0</v>
      </c>
      <c r="Z321" s="26"/>
      <c r="AA321" s="26"/>
      <c r="AB321" s="26"/>
      <c r="AC321" s="26"/>
      <c r="AD321" s="26"/>
      <c r="AE321" s="26"/>
    </row>
    <row r="322" spans="1:31" ht="21.95" customHeight="1" x14ac:dyDescent="0.25">
      <c r="A322" s="97" t="str">
        <f>+IF(PROVEEDORES[[#This Row],[FECHA DE PAGO]]=PROVEEDORES[[#This Row],[FECHA DE FACTURACIÓN]],"DE CONTADO","CRÉDITO")</f>
        <v>CRÉDITO</v>
      </c>
      <c r="B322" s="41" t="b">
        <f>+IF((PROVEEDORES[[#This Row],[FECHA DE PAGO]]-PROVEEDORES[[#This Row],[FECHA DE FACTURACIÓN]])&gt;PROVEEDORES[[#This Row],[PLAZO Días]],"PAGO VENCIDO")</f>
        <v>0</v>
      </c>
      <c r="C322" s="22">
        <f>+VLOOKUP(PROVEEDORES[[#This Row],[PROVEEDOR]],TERCEROS_INFO[#All],2,FALSE)</f>
        <v>30</v>
      </c>
      <c r="D322" s="27">
        <f>+SUMIFS(PROVEEDORES[Total],PROVEEDORES[PROVEEDOR],PROVEEDORES[[#This Row],[PROVEEDOR]],PROVEEDORES[FECHA DE PAGO],"")</f>
        <v>0</v>
      </c>
      <c r="E322" s="27"/>
      <c r="F322" s="62" t="str">
        <f>+VLOOKUP(PROVEEDORES[[#This Row],[PROVEEDOR]],
                       Terceros!$A:$G,
                       6,
                       FALSE)</f>
        <v>tesoreria@lacentral.com.co;girlesa.ruiz@servipilas.com;joriescobar64@gmail.com</v>
      </c>
      <c r="G322" s="95">
        <v>44341</v>
      </c>
      <c r="H322" s="28" t="s">
        <v>332</v>
      </c>
      <c r="I322" s="95">
        <v>44317</v>
      </c>
      <c r="J322" s="38">
        <v>8123</v>
      </c>
      <c r="K322" s="23">
        <v>1454122</v>
      </c>
      <c r="L322" s="23"/>
      <c r="M322" s="24">
        <v>0</v>
      </c>
      <c r="N322" s="25"/>
      <c r="O322" s="24">
        <v>144160</v>
      </c>
      <c r="P322" s="136">
        <f>+IF(PROVEEDORES[[#This Row],[SUBTOTAL]]&lt;PROVEEDORES[[#This Row],[base retencion]],0,PROVEEDORES[[#This Row],[retención aplicada]])</f>
        <v>0</v>
      </c>
      <c r="Q322" s="24">
        <f>+PROVEEDORES[[#This Row],[Rete Fuente %]]*PROVEEDORES[[#This Row],[SUBTOTAL]]</f>
        <v>0</v>
      </c>
      <c r="R322" s="23">
        <v>1309962</v>
      </c>
      <c r="S32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2" s="99">
        <f ca="1">IF(PROVEEDORES[[#This Row],[FECHA DE PAGO]]=0,TODAY()-PROVEEDORES[[#This Row],[FECHA DE FACTURACIÓN]]-PROVEEDORES[[#This Row],[PLAZO Días]],0)</f>
        <v>0</v>
      </c>
      <c r="U322" s="149">
        <f>+VLOOKUP(PROVEEDORES[[#This Row],[PROVEEDOR]],Terceros!$A:$E,5,FALSE)</f>
        <v>0</v>
      </c>
      <c r="V322" s="150">
        <f>+YEAR(PROVEEDORES[[#This Row],[FECHA DE FACTURACIÓN]])</f>
        <v>2021</v>
      </c>
      <c r="W322" s="150">
        <f>+MATCH(PROVEEDORES[[#This Row],[año facturado]],Retenciones!$1:$1,0)</f>
        <v>4</v>
      </c>
      <c r="X322" s="151">
        <f>+VLOOKUP(PROVEEDORES[[#This Row],[ID RETENCION]],Retenciones!$A$1:$O$24,PROVEEDORES[[#This Row],[indicador de columna]],FALSE)</f>
        <v>0</v>
      </c>
      <c r="Y322" s="152">
        <f>+VLOOKUP(PROVEEDORES[[#This Row],[ID RETENCION]],Retenciones!$A$1:$O$24,2,FALSE)</f>
        <v>0</v>
      </c>
      <c r="Z322" s="26"/>
      <c r="AA322" s="26"/>
      <c r="AB322" s="26"/>
      <c r="AC322" s="26"/>
      <c r="AD322" s="26"/>
      <c r="AE322" s="26"/>
    </row>
    <row r="323" spans="1:31" ht="21.95" customHeight="1" x14ac:dyDescent="0.25">
      <c r="A323" s="97" t="str">
        <f>+IF(PROVEEDORES[[#This Row],[FECHA DE PAGO]]=PROVEEDORES[[#This Row],[FECHA DE FACTURACIÓN]],"DE CONTADO","CRÉDITO")</f>
        <v>CRÉDITO</v>
      </c>
      <c r="B323" s="41" t="b">
        <f>+IF((PROVEEDORES[[#This Row],[FECHA DE PAGO]]-PROVEEDORES[[#This Row],[FECHA DE FACTURACIÓN]])&gt;PROVEEDORES[[#This Row],[PLAZO Días]],"PAGO VENCIDO")</f>
        <v>0</v>
      </c>
      <c r="C323" s="22">
        <f>+VLOOKUP(PROVEEDORES[[#This Row],[PROVEEDOR]],TERCEROS_INFO[#All],2,FALSE)</f>
        <v>30</v>
      </c>
      <c r="D323" s="27">
        <f>+SUMIFS(PROVEEDORES[Total],PROVEEDORES[PROVEEDOR],PROVEEDORES[[#This Row],[PROVEEDOR]],PROVEEDORES[FECHA DE PAGO],"")</f>
        <v>0</v>
      </c>
      <c r="E323" s="27"/>
      <c r="F323" s="62" t="str">
        <f>+VLOOKUP(PROVEEDORES[[#This Row],[PROVEEDOR]],
                       Terceros!$A:$G,
                       6,
                       FALSE)</f>
        <v>propertymarketingsas@hotmail.com;girlesa.ruiz@servipilas.com;joriescobar64@gmail.com</v>
      </c>
      <c r="G323" s="95">
        <v>44341</v>
      </c>
      <c r="H323" s="28" t="s">
        <v>483</v>
      </c>
      <c r="I323" s="95">
        <v>44317</v>
      </c>
      <c r="J323" s="38" t="s">
        <v>695</v>
      </c>
      <c r="K323" s="23">
        <v>2092227</v>
      </c>
      <c r="L323" s="23"/>
      <c r="M323" s="24">
        <v>0</v>
      </c>
      <c r="N323" s="25"/>
      <c r="O323" s="24">
        <v>0</v>
      </c>
      <c r="P323" s="136">
        <f>+IF(PROVEEDORES[[#This Row],[SUBTOTAL]]&lt;PROVEEDORES[[#This Row],[base retencion]],0,PROVEEDORES[[#This Row],[retención aplicada]])</f>
        <v>3.5000000000000003E-2</v>
      </c>
      <c r="Q323" s="24">
        <f>+PROVEEDORES[[#This Row],[Rete Fuente %]]*PROVEEDORES[[#This Row],[SUBTOTAL]]</f>
        <v>73227.945000000007</v>
      </c>
      <c r="R323" s="23">
        <v>2018999.0549999999</v>
      </c>
      <c r="S32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3" s="99">
        <f ca="1">IF(PROVEEDORES[[#This Row],[FECHA DE PAGO]]=0,TODAY()-PROVEEDORES[[#This Row],[FECHA DE FACTURACIÓN]]-PROVEEDORES[[#This Row],[PLAZO Días]],0)</f>
        <v>0</v>
      </c>
      <c r="U323" s="149" t="str">
        <f>+VLOOKUP(PROVEEDORES[[#This Row],[PROVEEDOR]],Terceros!$A:$E,5,FALSE)</f>
        <v>3,5% sin base</v>
      </c>
      <c r="V323" s="150">
        <f>+YEAR(PROVEEDORES[[#This Row],[FECHA DE FACTURACIÓN]])</f>
        <v>2021</v>
      </c>
      <c r="W323" s="150">
        <f>+MATCH(PROVEEDORES[[#This Row],[año facturado]],Retenciones!$1:$1,0)</f>
        <v>4</v>
      </c>
      <c r="X323" s="151">
        <f>+VLOOKUP(PROVEEDORES[[#This Row],[ID RETENCION]],Retenciones!$A$1:$O$24,PROVEEDORES[[#This Row],[indicador de columna]],FALSE)</f>
        <v>0</v>
      </c>
      <c r="Y323" s="152">
        <f>+VLOOKUP(PROVEEDORES[[#This Row],[ID RETENCION]],Retenciones!$A$1:$O$24,2,FALSE)</f>
        <v>3.5000000000000003E-2</v>
      </c>
      <c r="Z323" s="26"/>
      <c r="AA323" s="26"/>
      <c r="AB323" s="26"/>
      <c r="AC323" s="26"/>
      <c r="AD323" s="26"/>
      <c r="AE323" s="26"/>
    </row>
    <row r="324" spans="1:31" ht="21.95" customHeight="1" x14ac:dyDescent="0.25">
      <c r="A324" s="97" t="str">
        <f>+IF(PROVEEDORES[[#This Row],[FECHA DE PAGO]]=PROVEEDORES[[#This Row],[FECHA DE FACTURACIÓN]],"DE CONTADO","CRÉDITO")</f>
        <v>CRÉDITO</v>
      </c>
      <c r="B324" s="41" t="b">
        <f>+IF((PROVEEDORES[[#This Row],[FECHA DE PAGO]]-PROVEEDORES[[#This Row],[FECHA DE FACTURACIÓN]])&gt;PROVEEDORES[[#This Row],[PLAZO Días]],"PAGO VENCIDO")</f>
        <v>0</v>
      </c>
      <c r="C324" s="22">
        <f>+VLOOKUP(PROVEEDORES[[#This Row],[PROVEEDOR]],TERCEROS_INFO[#All],2,FALSE)</f>
        <v>30</v>
      </c>
      <c r="D324" s="27">
        <f>+SUMIFS(PROVEEDORES[Total],PROVEEDORES[PROVEEDOR],PROVEEDORES[[#This Row],[PROVEEDOR]],PROVEEDORES[FECHA DE PAGO],"")</f>
        <v>0</v>
      </c>
      <c r="E324" s="27"/>
      <c r="F324" s="62" t="str">
        <f>+VLOOKUP(PROVEEDORES[[#This Row],[PROVEEDOR]],
                       Terceros!$A:$G,
                       6,
                       FALSE)</f>
        <v>girlesa.ruiz@servipilas.com;joriescobar64@gmail.com</v>
      </c>
      <c r="G324" s="95">
        <v>44341</v>
      </c>
      <c r="H324" s="28" t="s">
        <v>336</v>
      </c>
      <c r="I324" s="95">
        <v>44317</v>
      </c>
      <c r="J324" s="38" t="s">
        <v>923</v>
      </c>
      <c r="K324" s="23">
        <v>2226666</v>
      </c>
      <c r="L324" s="23"/>
      <c r="M324" s="24">
        <v>0</v>
      </c>
      <c r="N324" s="25"/>
      <c r="O324" s="24">
        <v>0</v>
      </c>
      <c r="P324" s="136">
        <f>+IF(PROVEEDORES[[#This Row],[SUBTOTAL]]&lt;PROVEEDORES[[#This Row],[base retencion]],0,PROVEEDORES[[#This Row],[retención aplicada]])</f>
        <v>3.5000000000000003E-2</v>
      </c>
      <c r="Q324" s="24">
        <f>+PROVEEDORES[[#This Row],[Rete Fuente %]]*PROVEEDORES[[#This Row],[SUBTOTAL]]</f>
        <v>77933.310000000012</v>
      </c>
      <c r="R324" s="23">
        <v>2148732.69</v>
      </c>
      <c r="S32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4" s="99">
        <f ca="1">IF(PROVEEDORES[[#This Row],[FECHA DE PAGO]]=0,TODAY()-PROVEEDORES[[#This Row],[FECHA DE FACTURACIÓN]]-PROVEEDORES[[#This Row],[PLAZO Días]],0)</f>
        <v>0</v>
      </c>
      <c r="U324" s="149" t="str">
        <f>+VLOOKUP(PROVEEDORES[[#This Row],[PROVEEDOR]],Terceros!$A:$E,5,FALSE)</f>
        <v>3,5% sin base</v>
      </c>
      <c r="V324" s="150">
        <f>+YEAR(PROVEEDORES[[#This Row],[FECHA DE FACTURACIÓN]])</f>
        <v>2021</v>
      </c>
      <c r="W324" s="150">
        <f>+MATCH(PROVEEDORES[[#This Row],[año facturado]],Retenciones!$1:$1,0)</f>
        <v>4</v>
      </c>
      <c r="X324" s="151">
        <f>+VLOOKUP(PROVEEDORES[[#This Row],[ID RETENCION]],Retenciones!$A$1:$O$24,PROVEEDORES[[#This Row],[indicador de columna]],FALSE)</f>
        <v>0</v>
      </c>
      <c r="Y324" s="152">
        <f>+VLOOKUP(PROVEEDORES[[#This Row],[ID RETENCION]],Retenciones!$A$1:$O$24,2,FALSE)</f>
        <v>3.5000000000000003E-2</v>
      </c>
      <c r="Z324" s="26"/>
      <c r="AA324" s="26"/>
      <c r="AB324" s="26"/>
      <c r="AC324" s="26"/>
      <c r="AD324" s="26"/>
      <c r="AE324" s="26"/>
    </row>
    <row r="325" spans="1:31" ht="21.95" customHeight="1" x14ac:dyDescent="0.25">
      <c r="A325" s="97" t="str">
        <f>+IF(PROVEEDORES[[#This Row],[FECHA DE PAGO]]=PROVEEDORES[[#This Row],[FECHA DE FACTURACIÓN]],"DE CONTADO","CRÉDITO")</f>
        <v>CRÉDITO</v>
      </c>
      <c r="B325" s="41" t="b">
        <f>+IF((PROVEEDORES[[#This Row],[FECHA DE PAGO]]-PROVEEDORES[[#This Row],[FECHA DE FACTURACIÓN]])&gt;PROVEEDORES[[#This Row],[PLAZO Días]],"PAGO VENCIDO")</f>
        <v>0</v>
      </c>
      <c r="C325" s="22">
        <f>+VLOOKUP(PROVEEDORES[[#This Row],[PROVEEDOR]],TERCEROS_INFO[#All],2,FALSE)</f>
        <v>30</v>
      </c>
      <c r="D325" s="27">
        <f>+SUMIFS(PROVEEDORES[Total],PROVEEDORES[PROVEEDOR],PROVEEDORES[[#This Row],[PROVEEDOR]],PROVEEDORES[FECHA DE PAGO],"")</f>
        <v>5463150</v>
      </c>
      <c r="E325" s="27"/>
      <c r="F325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325" s="95">
        <v>44341</v>
      </c>
      <c r="H325" s="28" t="s">
        <v>344</v>
      </c>
      <c r="I325" s="95">
        <v>44317</v>
      </c>
      <c r="J325" s="38">
        <v>39048</v>
      </c>
      <c r="K325" s="23">
        <v>3322500</v>
      </c>
      <c r="L325" s="23"/>
      <c r="M325" s="24">
        <v>631275</v>
      </c>
      <c r="N325" s="25"/>
      <c r="O325" s="24">
        <v>0</v>
      </c>
      <c r="P325" s="136">
        <f>+IF(PROVEEDORES[[#This Row],[SUBTOTAL]]&lt;PROVEEDORES[[#This Row],[base retencion]],0,PROVEEDORES[[#This Row],[retención aplicada]])</f>
        <v>3.5000000000000003E-2</v>
      </c>
      <c r="Q325" s="24">
        <f>+PROVEEDORES[[#This Row],[Rete Fuente %]]*PROVEEDORES[[#This Row],[SUBTOTAL]]</f>
        <v>116287.50000000001</v>
      </c>
      <c r="R325" s="23">
        <v>3837487.5</v>
      </c>
      <c r="S32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5" s="99">
        <f ca="1">IF(PROVEEDORES[[#This Row],[FECHA DE PAGO]]=0,TODAY()-PROVEEDORES[[#This Row],[FECHA DE FACTURACIÓN]]-PROVEEDORES[[#This Row],[PLAZO Días]],0)</f>
        <v>0</v>
      </c>
      <c r="U325" s="149" t="str">
        <f>+VLOOKUP(PROVEEDORES[[#This Row],[PROVEEDOR]],Terceros!$A:$E,5,FALSE)</f>
        <v>3,5% con base</v>
      </c>
      <c r="V325" s="150">
        <f>+YEAR(PROVEEDORES[[#This Row],[FECHA DE FACTURACIÓN]])</f>
        <v>2021</v>
      </c>
      <c r="W325" s="150">
        <f>+MATCH(PROVEEDORES[[#This Row],[año facturado]],Retenciones!$1:$1,0)</f>
        <v>4</v>
      </c>
      <c r="X325" s="151">
        <f>+VLOOKUP(PROVEEDORES[[#This Row],[ID RETENCION]],Retenciones!$A$1:$O$24,PROVEEDORES[[#This Row],[indicador de columna]],FALSE)</f>
        <v>980000</v>
      </c>
      <c r="Y325" s="152">
        <f>+VLOOKUP(PROVEEDORES[[#This Row],[ID RETENCION]],Retenciones!$A$1:$O$24,2,FALSE)</f>
        <v>3.5000000000000003E-2</v>
      </c>
      <c r="Z325" s="26"/>
      <c r="AA325" s="26"/>
      <c r="AB325" s="26"/>
      <c r="AC325" s="26"/>
      <c r="AD325" s="26"/>
      <c r="AE325" s="26"/>
    </row>
    <row r="326" spans="1:31" ht="21.95" customHeight="1" x14ac:dyDescent="0.25">
      <c r="A326" s="97" t="str">
        <f>+IF(PROVEEDORES[[#This Row],[FECHA DE PAGO]]=PROVEEDORES[[#This Row],[FECHA DE FACTURACIÓN]],"DE CONTADO","CRÉDITO")</f>
        <v>CRÉDITO</v>
      </c>
      <c r="B326" s="41" t="b">
        <f>+IF((PROVEEDORES[[#This Row],[FECHA DE PAGO]]-PROVEEDORES[[#This Row],[FECHA DE FACTURACIÓN]])&gt;PROVEEDORES[[#This Row],[PLAZO Días]],"PAGO VENCIDO")</f>
        <v>0</v>
      </c>
      <c r="C326" s="22">
        <f>+VLOOKUP(PROVEEDORES[[#This Row],[PROVEEDOR]],TERCEROS_INFO[#All],2,FALSE)</f>
        <v>30</v>
      </c>
      <c r="D326" s="27">
        <f>+SUMIFS(PROVEEDORES[Total],PROVEEDORES[PROVEEDOR],PROVEEDORES[[#This Row],[PROVEEDOR]],PROVEEDORES[FECHA DE PAGO],"")</f>
        <v>0</v>
      </c>
      <c r="E326" s="27"/>
      <c r="F326" s="62" t="str">
        <f>+VLOOKUP(PROVEEDORES[[#This Row],[PROVEEDOR]],
                       Terceros!$A:$G,
                       6,
                       FALSE)</f>
        <v>girlesa.ruiz@servipilas.com;joriescobar64@gmail.com</v>
      </c>
      <c r="G326" s="95">
        <v>44341</v>
      </c>
      <c r="H326" s="28" t="s">
        <v>336</v>
      </c>
      <c r="I326" s="95">
        <v>44340</v>
      </c>
      <c r="J326" s="38" t="s">
        <v>924</v>
      </c>
      <c r="K326" s="23">
        <v>-36000</v>
      </c>
      <c r="L326" s="23"/>
      <c r="M326" s="24">
        <v>0</v>
      </c>
      <c r="N326" s="25"/>
      <c r="O326" s="24">
        <v>0</v>
      </c>
      <c r="P326" s="136">
        <f>+IF(PROVEEDORES[[#This Row],[SUBTOTAL]]&lt;PROVEEDORES[[#This Row],[base retencion]],0,PROVEEDORES[[#This Row],[retención aplicada]])</f>
        <v>0</v>
      </c>
      <c r="Q326" s="24">
        <f>+PROVEEDORES[[#This Row],[Rete Fuente %]]*PROVEEDORES[[#This Row],[SUBTOTAL]]</f>
        <v>0</v>
      </c>
      <c r="R326" s="23">
        <v>-36000</v>
      </c>
      <c r="S32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6" s="99">
        <f ca="1">IF(PROVEEDORES[[#This Row],[FECHA DE PAGO]]=0,TODAY()-PROVEEDORES[[#This Row],[FECHA DE FACTURACIÓN]]-PROVEEDORES[[#This Row],[PLAZO Días]],0)</f>
        <v>0</v>
      </c>
      <c r="U326" s="149" t="str">
        <f>+VLOOKUP(PROVEEDORES[[#This Row],[PROVEEDOR]],Terceros!$A:$E,5,FALSE)</f>
        <v>3,5% sin base</v>
      </c>
      <c r="V326" s="150">
        <f>+YEAR(PROVEEDORES[[#This Row],[FECHA DE FACTURACIÓN]])</f>
        <v>2021</v>
      </c>
      <c r="W326" s="150">
        <f>+MATCH(PROVEEDORES[[#This Row],[año facturado]],Retenciones!$1:$1,0)</f>
        <v>4</v>
      </c>
      <c r="X326" s="151">
        <f>+VLOOKUP(PROVEEDORES[[#This Row],[ID RETENCION]],Retenciones!$A$1:$O$24,PROVEEDORES[[#This Row],[indicador de columna]],FALSE)</f>
        <v>0</v>
      </c>
      <c r="Y326" s="152">
        <f>+VLOOKUP(PROVEEDORES[[#This Row],[ID RETENCION]],Retenciones!$A$1:$O$24,2,FALSE)</f>
        <v>3.5000000000000003E-2</v>
      </c>
      <c r="Z326" s="26"/>
      <c r="AA326" s="26"/>
      <c r="AB326" s="26"/>
      <c r="AC326" s="26"/>
      <c r="AD326" s="26"/>
      <c r="AE326" s="26"/>
    </row>
    <row r="327" spans="1:31" ht="21.95" customHeight="1" x14ac:dyDescent="0.25">
      <c r="A327" s="97" t="str">
        <f>+IF(PROVEEDORES[[#This Row],[FECHA DE PAGO]]=PROVEEDORES[[#This Row],[FECHA DE FACTURACIÓN]],"DE CONTADO","CRÉDITO")</f>
        <v>CRÉDITO</v>
      </c>
      <c r="B327" s="41" t="b">
        <f>+IF((PROVEEDORES[[#This Row],[FECHA DE PAGO]]-PROVEEDORES[[#This Row],[FECHA DE FACTURACIÓN]])&gt;PROVEEDORES[[#This Row],[PLAZO Días]],"PAGO VENCIDO")</f>
        <v>0</v>
      </c>
      <c r="C327" s="22">
        <f>+VLOOKUP(PROVEEDORES[[#This Row],[PROVEEDOR]],TERCEROS_INFO[#All],2,FALSE)</f>
        <v>30</v>
      </c>
      <c r="D327" s="27">
        <f>+SUMIFS(PROVEEDORES[Total],PROVEEDORES[PROVEEDOR],PROVEEDORES[[#This Row],[PROVEEDOR]],PROVEEDORES[FECHA DE PAGO],"")</f>
        <v>0</v>
      </c>
      <c r="E327" s="27"/>
      <c r="F327" s="62" t="str">
        <f>+VLOOKUP(PROVEEDORES[[#This Row],[PROVEEDOR]],
                       Terceros!$A:$G,
                       6,
                       FALSE)</f>
        <v xml:space="preserve">asistente@remarcalimitada.com;girlesa.ruiz@servipilas.com;joriescobar64@gmail.com
</v>
      </c>
      <c r="G327" s="95">
        <v>44348</v>
      </c>
      <c r="H327" s="28" t="s">
        <v>375</v>
      </c>
      <c r="I327" s="95">
        <v>44336</v>
      </c>
      <c r="J327" s="38" t="s">
        <v>711</v>
      </c>
      <c r="K327" s="23">
        <v>1500000</v>
      </c>
      <c r="L327" s="23"/>
      <c r="M327" s="24">
        <v>285000</v>
      </c>
      <c r="N327" s="25"/>
      <c r="O327" s="24">
        <v>0</v>
      </c>
      <c r="P327" s="136">
        <f>+IF(PROVEEDORES[[#This Row],[SUBTOTAL]]&lt;PROVEEDORES[[#This Row],[base retencion]],0,PROVEEDORES[[#This Row],[retención aplicada]])</f>
        <v>0.11</v>
      </c>
      <c r="Q327" s="24">
        <f>+PROVEEDORES[[#This Row],[Rete Fuente %]]*PROVEEDORES[[#This Row],[SUBTOTAL]]</f>
        <v>165000</v>
      </c>
      <c r="R327" s="23">
        <v>1620000</v>
      </c>
      <c r="S32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7" s="99">
        <f ca="1">IF(PROVEEDORES[[#This Row],[FECHA DE PAGO]]=0,TODAY()-PROVEEDORES[[#This Row],[FECHA DE FACTURACIÓN]]-PROVEEDORES[[#This Row],[PLAZO Días]],0)</f>
        <v>0</v>
      </c>
      <c r="U327" s="149" t="str">
        <f>+VLOOKUP(PROVEEDORES[[#This Row],[PROVEEDOR]],Terceros!$A:$E,5,FALSE)</f>
        <v>11% sin base</v>
      </c>
      <c r="V327" s="150">
        <f>+YEAR(PROVEEDORES[[#This Row],[FECHA DE FACTURACIÓN]])</f>
        <v>2021</v>
      </c>
      <c r="W327" s="150">
        <f>+MATCH(PROVEEDORES[[#This Row],[año facturado]],Retenciones!$1:$1,0)</f>
        <v>4</v>
      </c>
      <c r="X327" s="151">
        <f>+VLOOKUP(PROVEEDORES[[#This Row],[ID RETENCION]],Retenciones!$A$1:$O$24,PROVEEDORES[[#This Row],[indicador de columna]],FALSE)</f>
        <v>0</v>
      </c>
      <c r="Y327" s="152">
        <f>+VLOOKUP(PROVEEDORES[[#This Row],[ID RETENCION]],Retenciones!$A$1:$O$24,2,FALSE)</f>
        <v>0.11</v>
      </c>
      <c r="Z327" s="26"/>
      <c r="AA327" s="26"/>
      <c r="AB327" s="26"/>
      <c r="AC327" s="26"/>
      <c r="AD327" s="26"/>
      <c r="AE327" s="26"/>
    </row>
    <row r="328" spans="1:31" ht="21.95" customHeight="1" x14ac:dyDescent="0.25">
      <c r="A328" s="97" t="str">
        <f>+IF(PROVEEDORES[[#This Row],[FECHA DE PAGO]]=PROVEEDORES[[#This Row],[FECHA DE FACTURACIÓN]],"DE CONTADO","CRÉDITO")</f>
        <v>CRÉDITO</v>
      </c>
      <c r="B328" s="41" t="b">
        <f>+IF((PROVEEDORES[[#This Row],[FECHA DE PAGO]]-PROVEEDORES[[#This Row],[FECHA DE FACTURACIÓN]])&gt;PROVEEDORES[[#This Row],[PLAZO Días]],"PAGO VENCIDO")</f>
        <v>0</v>
      </c>
      <c r="C328" s="22">
        <f>+VLOOKUP(PROVEEDORES[[#This Row],[PROVEEDOR]],TERCEROS_INFO[#All],2,FALSE)</f>
        <v>30</v>
      </c>
      <c r="D328" s="27">
        <f>+SUMIFS(PROVEEDORES[Total],PROVEEDORES[PROVEEDOR],PROVEEDORES[[#This Row],[PROVEEDOR]],PROVEEDORES[FECHA DE PAGO],"")</f>
        <v>0</v>
      </c>
      <c r="E328" s="27"/>
      <c r="F328" s="62" t="str">
        <f>+VLOOKUP(PROVEEDORES[[#This Row],[PROVEEDOR]],
                       Terceros!$A:$G,
                       6,
                       FALSE)</f>
        <v>senalizacionyavisos@gmail.com;girlesa.ruiz@servipilas.com;joriescobar64@gmail.com</v>
      </c>
      <c r="G328" s="95">
        <v>44351</v>
      </c>
      <c r="H328" s="28" t="s">
        <v>338</v>
      </c>
      <c r="I328" s="95">
        <v>44347</v>
      </c>
      <c r="J328" s="38">
        <v>559</v>
      </c>
      <c r="K328" s="23">
        <v>250000</v>
      </c>
      <c r="L328" s="23"/>
      <c r="M328" s="24">
        <v>47500</v>
      </c>
      <c r="N328" s="25"/>
      <c r="O328" s="24">
        <v>0</v>
      </c>
      <c r="P328" s="136">
        <f>+IF(PROVEEDORES[[#This Row],[SUBTOTAL]]&lt;PROVEEDORES[[#This Row],[base retencion]],0,PROVEEDORES[[#This Row],[retención aplicada]])</f>
        <v>0</v>
      </c>
      <c r="Q328" s="24">
        <f>+PROVEEDORES[[#This Row],[Rete Fuente %]]*PROVEEDORES[[#This Row],[SUBTOTAL]]</f>
        <v>0</v>
      </c>
      <c r="R328" s="23">
        <v>297500</v>
      </c>
      <c r="S32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8" s="99">
        <f ca="1">IF(PROVEEDORES[[#This Row],[FECHA DE PAGO]]=0,TODAY()-PROVEEDORES[[#This Row],[FECHA DE FACTURACIÓN]]-PROVEEDORES[[#This Row],[PLAZO Días]],0)</f>
        <v>0</v>
      </c>
      <c r="U328" s="149" t="str">
        <f>+VLOOKUP(PROVEEDORES[[#This Row],[PROVEEDOR]],Terceros!$A:$E,5,FALSE)</f>
        <v>2,5% con base</v>
      </c>
      <c r="V328" s="150">
        <f>+YEAR(PROVEEDORES[[#This Row],[FECHA DE FACTURACIÓN]])</f>
        <v>2021</v>
      </c>
      <c r="W328" s="150">
        <f>+MATCH(PROVEEDORES[[#This Row],[año facturado]],Retenciones!$1:$1,0)</f>
        <v>4</v>
      </c>
      <c r="X328" s="151">
        <f>+VLOOKUP(PROVEEDORES[[#This Row],[ID RETENCION]],Retenciones!$A$1:$O$24,PROVEEDORES[[#This Row],[indicador de columna]],FALSE)</f>
        <v>980000</v>
      </c>
      <c r="Y328" s="152">
        <f>+VLOOKUP(PROVEEDORES[[#This Row],[ID RETENCION]],Retenciones!$A$1:$O$24,2,FALSE)</f>
        <v>2.5000000000000001E-2</v>
      </c>
      <c r="Z328" s="26"/>
      <c r="AA328" s="26"/>
      <c r="AB328" s="26"/>
      <c r="AC328" s="26"/>
      <c r="AD328" s="26"/>
      <c r="AE328" s="26"/>
    </row>
    <row r="329" spans="1:31" ht="21.95" customHeight="1" x14ac:dyDescent="0.25">
      <c r="A329" s="97" t="str">
        <f>+IF(PROVEEDORES[[#This Row],[FECHA DE PAGO]]=PROVEEDORES[[#This Row],[FECHA DE FACTURACIÓN]],"DE CONTADO","CRÉDITO")</f>
        <v>CRÉDITO</v>
      </c>
      <c r="B329" s="41" t="str">
        <f>+IF((PROVEEDORES[[#This Row],[FECHA DE PAGO]]-PROVEEDORES[[#This Row],[FECHA DE FACTURACIÓN]])&gt;PROVEEDORES[[#This Row],[PLAZO Días]],"PAGO VENCIDO")</f>
        <v>PAGO VENCIDO</v>
      </c>
      <c r="C329" s="22">
        <f>+VLOOKUP(PROVEEDORES[[#This Row],[PROVEEDOR]],TERCEROS_INFO[#All],2,FALSE)</f>
        <v>0</v>
      </c>
      <c r="D329" s="27">
        <f>+SUMIFS(PROVEEDORES[Total],PROVEEDORES[PROVEEDOR],PROVEEDORES[[#This Row],[PROVEEDOR]],PROVEEDORES[FECHA DE PAGO],"")</f>
        <v>0</v>
      </c>
      <c r="E329" s="27"/>
      <c r="F329" s="62" t="str">
        <f>+VLOOKUP(PROVEEDORES[[#This Row],[PROVEEDOR]],
                       Terceros!$A:$G,
                       6,
                       FALSE)</f>
        <v>pse</v>
      </c>
      <c r="G329" s="95">
        <v>44357</v>
      </c>
      <c r="H329" s="28" t="s">
        <v>396</v>
      </c>
      <c r="I329" s="95">
        <v>44356</v>
      </c>
      <c r="J329" s="38" t="s">
        <v>724</v>
      </c>
      <c r="K329" s="23">
        <v>914200</v>
      </c>
      <c r="L329" s="23"/>
      <c r="M329" s="24">
        <v>0</v>
      </c>
      <c r="N329" s="25"/>
      <c r="O329" s="24">
        <v>0</v>
      </c>
      <c r="P329" s="136">
        <f>+IF(PROVEEDORES[[#This Row],[SUBTOTAL]]&lt;PROVEEDORES[[#This Row],[base retencion]],0,PROVEEDORES[[#This Row],[retención aplicada]])</f>
        <v>0</v>
      </c>
      <c r="Q329" s="24">
        <f>+PROVEEDORES[[#This Row],[Rete Fuente %]]*PROVEEDORES[[#This Row],[SUBTOTAL]]</f>
        <v>0</v>
      </c>
      <c r="R329" s="23">
        <v>914200</v>
      </c>
      <c r="S32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9" s="99">
        <f ca="1">IF(PROVEEDORES[[#This Row],[FECHA DE PAGO]]=0,TODAY()-PROVEEDORES[[#This Row],[FECHA DE FACTURACIÓN]]-PROVEEDORES[[#This Row],[PLAZO Días]],0)</f>
        <v>0</v>
      </c>
      <c r="U329" s="149">
        <f>+VLOOKUP(PROVEEDORES[[#This Row],[PROVEEDOR]],Terceros!$A:$E,5,FALSE)</f>
        <v>0</v>
      </c>
      <c r="V329" s="150">
        <f>+YEAR(PROVEEDORES[[#This Row],[FECHA DE FACTURACIÓN]])</f>
        <v>2021</v>
      </c>
      <c r="W329" s="150">
        <f>+MATCH(PROVEEDORES[[#This Row],[año facturado]],Retenciones!$1:$1,0)</f>
        <v>4</v>
      </c>
      <c r="X329" s="151">
        <f>+VLOOKUP(PROVEEDORES[[#This Row],[ID RETENCION]],Retenciones!$A$1:$O$24,PROVEEDORES[[#This Row],[indicador de columna]],FALSE)</f>
        <v>0</v>
      </c>
      <c r="Y329" s="152">
        <f>+VLOOKUP(PROVEEDORES[[#This Row],[ID RETENCION]],Retenciones!$A$1:$O$24,2,FALSE)</f>
        <v>0</v>
      </c>
      <c r="Z329" s="26"/>
      <c r="AA329" s="26"/>
      <c r="AB329" s="26"/>
      <c r="AC329" s="26"/>
      <c r="AD329" s="26"/>
      <c r="AE329" s="26"/>
    </row>
    <row r="330" spans="1:31" ht="21.95" customHeight="1" x14ac:dyDescent="0.25">
      <c r="A330" s="97" t="str">
        <f>+IF(PROVEEDORES[[#This Row],[FECHA DE PAGO]]=PROVEEDORES[[#This Row],[FECHA DE FACTURACIÓN]],"DE CONTADO","CRÉDITO")</f>
        <v>CRÉDITO</v>
      </c>
      <c r="B330" s="41" t="str">
        <f>+IF((PROVEEDORES[[#This Row],[FECHA DE PAGO]]-PROVEEDORES[[#This Row],[FECHA DE FACTURACIÓN]])&gt;PROVEEDORES[[#This Row],[PLAZO Días]],"PAGO VENCIDO")</f>
        <v>PAGO VENCIDO</v>
      </c>
      <c r="C330" s="22">
        <f>+VLOOKUP(PROVEEDORES[[#This Row],[PROVEEDOR]],TERCEROS_INFO[#All],2,FALSE)</f>
        <v>13</v>
      </c>
      <c r="D330" s="27">
        <f>+SUMIFS(PROVEEDORES[Total],PROVEEDORES[PROVEEDOR],PROVEEDORES[[#This Row],[PROVEEDOR]],PROVEEDORES[FECHA DE PAGO],"")</f>
        <v>2130283</v>
      </c>
      <c r="E330" s="27"/>
      <c r="F330" s="62">
        <f>+VLOOKUP(PROVEEDORES[[#This Row],[PROVEEDOR]],
                       Terceros!$A:$G,
                       6,
                       FALSE)</f>
        <v>0</v>
      </c>
      <c r="G330" s="95">
        <v>44358</v>
      </c>
      <c r="H330" s="28" t="s">
        <v>326</v>
      </c>
      <c r="I330" s="95">
        <v>44317</v>
      </c>
      <c r="J330" s="38" t="s">
        <v>327</v>
      </c>
      <c r="K330" s="23">
        <v>1392986</v>
      </c>
      <c r="L330" s="23"/>
      <c r="M330" s="24">
        <v>0</v>
      </c>
      <c r="N330" s="25"/>
      <c r="O330" s="24">
        <v>0</v>
      </c>
      <c r="P330" s="136">
        <f>+IF(PROVEEDORES[[#This Row],[SUBTOTAL]]&lt;PROVEEDORES[[#This Row],[base retencion]],0,PROVEEDORES[[#This Row],[retención aplicada]])</f>
        <v>0</v>
      </c>
      <c r="Q330" s="24">
        <f>+PROVEEDORES[[#This Row],[Rete Fuente %]]*PROVEEDORES[[#This Row],[SUBTOTAL]]</f>
        <v>0</v>
      </c>
      <c r="R330" s="23">
        <v>1392986</v>
      </c>
      <c r="S33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0" s="99">
        <f ca="1">IF(PROVEEDORES[[#This Row],[FECHA DE PAGO]]=0,TODAY()-PROVEEDORES[[#This Row],[FECHA DE FACTURACIÓN]]-PROVEEDORES[[#This Row],[PLAZO Días]],0)</f>
        <v>0</v>
      </c>
      <c r="U330" s="149">
        <f>+VLOOKUP(PROVEEDORES[[#This Row],[PROVEEDOR]],Terceros!$A:$E,5,FALSE)</f>
        <v>0</v>
      </c>
      <c r="V330" s="150">
        <f>+YEAR(PROVEEDORES[[#This Row],[FECHA DE FACTURACIÓN]])</f>
        <v>2021</v>
      </c>
      <c r="W330" s="150">
        <f>+MATCH(PROVEEDORES[[#This Row],[año facturado]],Retenciones!$1:$1,0)</f>
        <v>4</v>
      </c>
      <c r="X330" s="151">
        <f>+VLOOKUP(PROVEEDORES[[#This Row],[ID RETENCION]],Retenciones!$A$1:$O$24,PROVEEDORES[[#This Row],[indicador de columna]],FALSE)</f>
        <v>0</v>
      </c>
      <c r="Y330" s="152">
        <f>+VLOOKUP(PROVEEDORES[[#This Row],[ID RETENCION]],Retenciones!$A$1:$O$24,2,FALSE)</f>
        <v>0</v>
      </c>
      <c r="Z330" s="26"/>
      <c r="AA330" s="26"/>
      <c r="AB330" s="26"/>
      <c r="AC330" s="26"/>
      <c r="AD330" s="26"/>
      <c r="AE330" s="26"/>
    </row>
    <row r="331" spans="1:31" ht="21.95" customHeight="1" x14ac:dyDescent="0.25">
      <c r="A331" s="97" t="str">
        <f>+IF(PROVEEDORES[[#This Row],[FECHA DE PAGO]]=PROVEEDORES[[#This Row],[FECHA DE FACTURACIÓN]],"DE CONTADO","CRÉDITO")</f>
        <v>CRÉDITO</v>
      </c>
      <c r="B331" s="41" t="b">
        <f>+IF((PROVEEDORES[[#This Row],[FECHA DE PAGO]]-PROVEEDORES[[#This Row],[FECHA DE FACTURACIÓN]])&gt;PROVEEDORES[[#This Row],[PLAZO Días]],"PAGO VENCIDO")</f>
        <v>0</v>
      </c>
      <c r="C331" s="22">
        <f>+VLOOKUP(PROVEEDORES[[#This Row],[PROVEEDOR]],TERCEROS_INFO[#All],2,FALSE)</f>
        <v>30</v>
      </c>
      <c r="D331" s="27">
        <f>+SUMIFS(PROVEEDORES[Total],PROVEEDORES[PROVEEDOR],PROVEEDORES[[#This Row],[PROVEEDOR]],PROVEEDORES[FECHA DE PAGO],"")</f>
        <v>0</v>
      </c>
      <c r="E331" s="27"/>
      <c r="F331" s="62" t="str">
        <f>+VLOOKUP(PROVEEDORES[[#This Row],[PROVEEDOR]],
                       Terceros!$A:$G,
                       6,
                       FALSE)</f>
        <v/>
      </c>
      <c r="G331" s="95">
        <v>44348</v>
      </c>
      <c r="H331" s="28" t="s">
        <v>1021</v>
      </c>
      <c r="I331" s="95">
        <v>44318</v>
      </c>
      <c r="J331" s="38" t="s">
        <v>697</v>
      </c>
      <c r="K331" s="23">
        <v>464000</v>
      </c>
      <c r="L331" s="23"/>
      <c r="M331" s="24">
        <v>0</v>
      </c>
      <c r="N331" s="25"/>
      <c r="O331" s="24">
        <v>0</v>
      </c>
      <c r="P331" s="136">
        <f>+IF(PROVEEDORES[[#This Row],[SUBTOTAL]]&lt;PROVEEDORES[[#This Row],[base retencion]],0,PROVEEDORES[[#This Row],[retención aplicada]])</f>
        <v>0</v>
      </c>
      <c r="Q331" s="24">
        <f>+PROVEEDORES[[#This Row],[Rete Fuente %]]*PROVEEDORES[[#This Row],[SUBTOTAL]]</f>
        <v>0</v>
      </c>
      <c r="R331" s="23">
        <v>464000</v>
      </c>
      <c r="S33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1" s="99">
        <f ca="1">IF(PROVEEDORES[[#This Row],[FECHA DE PAGO]]=0,TODAY()-PROVEEDORES[[#This Row],[FECHA DE FACTURACIÓN]]-PROVEEDORES[[#This Row],[PLAZO Días]],0)</f>
        <v>0</v>
      </c>
      <c r="U331" s="149">
        <f>+VLOOKUP(PROVEEDORES[[#This Row],[PROVEEDOR]],Terceros!$A:$E,5,FALSE)</f>
        <v>0</v>
      </c>
      <c r="V331" s="150">
        <f>+YEAR(PROVEEDORES[[#This Row],[FECHA DE FACTURACIÓN]])</f>
        <v>2021</v>
      </c>
      <c r="W331" s="150">
        <f>+MATCH(PROVEEDORES[[#This Row],[año facturado]],Retenciones!$1:$1,0)</f>
        <v>4</v>
      </c>
      <c r="X331" s="151">
        <f>+VLOOKUP(PROVEEDORES[[#This Row],[ID RETENCION]],Retenciones!$A$1:$O$24,PROVEEDORES[[#This Row],[indicador de columna]],FALSE)</f>
        <v>0</v>
      </c>
      <c r="Y331" s="152">
        <f>+VLOOKUP(PROVEEDORES[[#This Row],[ID RETENCION]],Retenciones!$A$1:$O$24,2,FALSE)</f>
        <v>0</v>
      </c>
      <c r="Z331" s="26"/>
      <c r="AA331" s="26"/>
      <c r="AB331" s="26"/>
      <c r="AC331" s="26"/>
      <c r="AD331" s="26"/>
      <c r="AE331" s="26"/>
    </row>
    <row r="332" spans="1:31" ht="21.95" customHeight="1" x14ac:dyDescent="0.25">
      <c r="A332" s="97" t="str">
        <f>+IF(PROVEEDORES[[#This Row],[FECHA DE PAGO]]=PROVEEDORES[[#This Row],[FECHA DE FACTURACIÓN]],"DE CONTADO","CRÉDITO")</f>
        <v>CRÉDITO</v>
      </c>
      <c r="B332" s="41" t="b">
        <f>+IF((PROVEEDORES[[#This Row],[FECHA DE PAGO]]-PROVEEDORES[[#This Row],[FECHA DE FACTURACIÓN]])&gt;PROVEEDORES[[#This Row],[PLAZO Días]],"PAGO VENCIDO")</f>
        <v>0</v>
      </c>
      <c r="C332" s="22">
        <f>+VLOOKUP(PROVEEDORES[[#This Row],[PROVEEDOR]],TERCEROS_INFO[#All],2,FALSE)</f>
        <v>30</v>
      </c>
      <c r="D332" s="27">
        <f>+SUMIFS(PROVEEDORES[Total],PROVEEDORES[PROVEEDOR],PROVEEDORES[[#This Row],[PROVEEDOR]],PROVEEDORES[FECHA DE PAGO],"")</f>
        <v>395010</v>
      </c>
      <c r="E332" s="27"/>
      <c r="F332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332" s="95">
        <v>44319</v>
      </c>
      <c r="H332" s="28" t="s">
        <v>141</v>
      </c>
      <c r="I332" s="95">
        <v>44318</v>
      </c>
      <c r="J332" s="38">
        <v>91</v>
      </c>
      <c r="K332" s="23">
        <v>557000</v>
      </c>
      <c r="L332" s="23"/>
      <c r="M332" s="24">
        <v>105830</v>
      </c>
      <c r="N332" s="25"/>
      <c r="O332" s="24">
        <v>0</v>
      </c>
      <c r="P332" s="136">
        <f>+IF(PROVEEDORES[[#This Row],[SUBTOTAL]]&lt;PROVEEDORES[[#This Row],[base retencion]],0,PROVEEDORES[[#This Row],[retención aplicada]])</f>
        <v>0.01</v>
      </c>
      <c r="Q332" s="24">
        <f>+PROVEEDORES[[#This Row],[Rete Fuente %]]*PROVEEDORES[[#This Row],[SUBTOTAL]]</f>
        <v>5570</v>
      </c>
      <c r="R332" s="23">
        <v>657260</v>
      </c>
      <c r="S33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2" s="99">
        <f ca="1">IF(PROVEEDORES[[#This Row],[FECHA DE PAGO]]=0,TODAY()-PROVEEDORES[[#This Row],[FECHA DE FACTURACIÓN]]-PROVEEDORES[[#This Row],[PLAZO Días]],0)</f>
        <v>0</v>
      </c>
      <c r="U332" s="149" t="str">
        <f>+VLOOKUP(PROVEEDORES[[#This Row],[PROVEEDOR]],Terceros!$A:$E,5,FALSE)</f>
        <v>1% con base</v>
      </c>
      <c r="V332" s="150">
        <f>+YEAR(PROVEEDORES[[#This Row],[FECHA DE FACTURACIÓN]])</f>
        <v>2021</v>
      </c>
      <c r="W332" s="150">
        <f>+MATCH(PROVEEDORES[[#This Row],[año facturado]],Retenciones!$1:$1,0)</f>
        <v>4</v>
      </c>
      <c r="X332" s="151">
        <f>+VLOOKUP(PROVEEDORES[[#This Row],[ID RETENCION]],Retenciones!$A$1:$O$24,PROVEEDORES[[#This Row],[indicador de columna]],FALSE)</f>
        <v>145000</v>
      </c>
      <c r="Y332" s="152">
        <f>+VLOOKUP(PROVEEDORES[[#This Row],[ID RETENCION]],Retenciones!$A$1:$O$24,2,FALSE)</f>
        <v>0.01</v>
      </c>
      <c r="Z332" s="26"/>
      <c r="AA332" s="26"/>
      <c r="AB332" s="26"/>
      <c r="AC332" s="26"/>
      <c r="AD332" s="26"/>
      <c r="AE332" s="26"/>
    </row>
    <row r="333" spans="1:31" ht="21.95" customHeight="1" x14ac:dyDescent="0.25">
      <c r="A333" s="97" t="str">
        <f>+IF(PROVEEDORES[[#This Row],[FECHA DE PAGO]]=PROVEEDORES[[#This Row],[FECHA DE FACTURACIÓN]],"DE CONTADO","CRÉDITO")</f>
        <v>CRÉDITO</v>
      </c>
      <c r="B333" s="41" t="b">
        <f>+IF((PROVEEDORES[[#This Row],[FECHA DE PAGO]]-PROVEEDORES[[#This Row],[FECHA DE FACTURACIÓN]])&gt;PROVEEDORES[[#This Row],[PLAZO Días]],"PAGO VENCIDO")</f>
        <v>0</v>
      </c>
      <c r="C333" s="22">
        <f>+VLOOKUP(PROVEEDORES[[#This Row],[PROVEEDOR]],TERCEROS_INFO[#All],2,FALSE)</f>
        <v>30</v>
      </c>
      <c r="D333" s="27">
        <f>+SUMIFS(PROVEEDORES[Total],PROVEEDORES[PROVEEDOR],PROVEEDORES[[#This Row],[PROVEEDOR]],PROVEEDORES[FECHA DE PAGO],"")</f>
        <v>1979529.3</v>
      </c>
      <c r="E333" s="27"/>
      <c r="F333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333" s="95">
        <v>44279</v>
      </c>
      <c r="H333" s="28" t="s">
        <v>17</v>
      </c>
      <c r="I333" s="95">
        <v>44319</v>
      </c>
      <c r="J333" s="38">
        <v>1735621</v>
      </c>
      <c r="K333" s="23">
        <v>363600</v>
      </c>
      <c r="L333" s="23"/>
      <c r="M333" s="24">
        <v>69084</v>
      </c>
      <c r="N333" s="25"/>
      <c r="O333" s="24">
        <v>0</v>
      </c>
      <c r="P333" s="136">
        <f>+IF(PROVEEDORES[[#This Row],[SUBTOTAL]]&lt;PROVEEDORES[[#This Row],[base retencion]],0,PROVEEDORES[[#This Row],[retención aplicada]])</f>
        <v>0</v>
      </c>
      <c r="Q333" s="24">
        <f>+PROVEEDORES[[#This Row],[Rete Fuente %]]*PROVEEDORES[[#This Row],[SUBTOTAL]]</f>
        <v>0</v>
      </c>
      <c r="R333" s="23">
        <v>432684</v>
      </c>
      <c r="S33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3" s="99">
        <f ca="1">IF(PROVEEDORES[[#This Row],[FECHA DE PAGO]]=0,TODAY()-PROVEEDORES[[#This Row],[FECHA DE FACTURACIÓN]]-PROVEEDORES[[#This Row],[PLAZO Días]],0)</f>
        <v>0</v>
      </c>
      <c r="U333" s="149">
        <f>+VLOOKUP(PROVEEDORES[[#This Row],[PROVEEDOR]],Terceros!$A:$E,5,FALSE)</f>
        <v>0</v>
      </c>
      <c r="V333" s="150">
        <f>+YEAR(PROVEEDORES[[#This Row],[FECHA DE FACTURACIÓN]])</f>
        <v>2021</v>
      </c>
      <c r="W333" s="150">
        <f>+MATCH(PROVEEDORES[[#This Row],[año facturado]],Retenciones!$1:$1,0)</f>
        <v>4</v>
      </c>
      <c r="X333" s="151">
        <f>+VLOOKUP(PROVEEDORES[[#This Row],[ID RETENCION]],Retenciones!$A$1:$O$24,PROVEEDORES[[#This Row],[indicador de columna]],FALSE)</f>
        <v>0</v>
      </c>
      <c r="Y333" s="152">
        <f>+VLOOKUP(PROVEEDORES[[#This Row],[ID RETENCION]],Retenciones!$A$1:$O$24,2,FALSE)</f>
        <v>0</v>
      </c>
      <c r="Z333" s="26"/>
      <c r="AA333" s="26"/>
      <c r="AB333" s="26"/>
      <c r="AC333" s="26"/>
      <c r="AD333" s="26"/>
      <c r="AE333" s="26"/>
    </row>
    <row r="334" spans="1:31" ht="21.95" customHeight="1" x14ac:dyDescent="0.25">
      <c r="A334" s="97" t="str">
        <f>+IF(PROVEEDORES[[#This Row],[FECHA DE PAGO]]=PROVEEDORES[[#This Row],[FECHA DE FACTURACIÓN]],"DE CONTADO","CRÉDITO")</f>
        <v>DE CONTADO</v>
      </c>
      <c r="B334" s="41" t="b">
        <f>+IF((PROVEEDORES[[#This Row],[FECHA DE PAGO]]-PROVEEDORES[[#This Row],[FECHA DE FACTURACIÓN]])&gt;PROVEEDORES[[#This Row],[PLAZO Días]],"PAGO VENCIDO")</f>
        <v>0</v>
      </c>
      <c r="C334" s="22">
        <f>+VLOOKUP(PROVEEDORES[[#This Row],[PROVEEDOR]],TERCEROS_INFO[#All],2,FALSE)</f>
        <v>30</v>
      </c>
      <c r="D334" s="27">
        <f>+SUMIFS(PROVEEDORES[Total],PROVEEDORES[PROVEEDOR],PROVEEDORES[[#This Row],[PROVEEDOR]],PROVEEDORES[FECHA DE PAGO],"")</f>
        <v>0</v>
      </c>
      <c r="E334" s="27"/>
      <c r="F334" s="62" t="str">
        <f>+VLOOKUP(PROVEEDORES[[#This Row],[PROVEEDOR]],
                       Terceros!$A:$G,
                       6,
                       FALSE)</f>
        <v/>
      </c>
      <c r="G334" s="95">
        <v>44319</v>
      </c>
      <c r="H334" s="28" t="s">
        <v>1046</v>
      </c>
      <c r="I334" s="95">
        <v>44319</v>
      </c>
      <c r="J334" s="38"/>
      <c r="K334" s="23">
        <v>800000</v>
      </c>
      <c r="L334" s="23"/>
      <c r="M334" s="24">
        <v>0</v>
      </c>
      <c r="N334" s="25"/>
      <c r="O334" s="24">
        <v>0</v>
      </c>
      <c r="P334" s="136">
        <f>+IF(PROVEEDORES[[#This Row],[SUBTOTAL]]&lt;PROVEEDORES[[#This Row],[base retencion]],0,PROVEEDORES[[#This Row],[retención aplicada]])</f>
        <v>0</v>
      </c>
      <c r="Q334" s="24">
        <f>+PROVEEDORES[[#This Row],[Rete Fuente %]]*PROVEEDORES[[#This Row],[SUBTOTAL]]</f>
        <v>0</v>
      </c>
      <c r="R334" s="23">
        <v>800000</v>
      </c>
      <c r="S33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4" s="99">
        <f ca="1">IF(PROVEEDORES[[#This Row],[FECHA DE PAGO]]=0,TODAY()-PROVEEDORES[[#This Row],[FECHA DE FACTURACIÓN]]-PROVEEDORES[[#This Row],[PLAZO Días]],0)</f>
        <v>0</v>
      </c>
      <c r="U334" s="149">
        <f>+VLOOKUP(PROVEEDORES[[#This Row],[PROVEEDOR]],Terceros!$A:$E,5,FALSE)</f>
        <v>0</v>
      </c>
      <c r="V334" s="150">
        <f>+YEAR(PROVEEDORES[[#This Row],[FECHA DE FACTURACIÓN]])</f>
        <v>2021</v>
      </c>
      <c r="W334" s="150">
        <f>+MATCH(PROVEEDORES[[#This Row],[año facturado]],Retenciones!$1:$1,0)</f>
        <v>4</v>
      </c>
      <c r="X334" s="151">
        <f>+VLOOKUP(PROVEEDORES[[#This Row],[ID RETENCION]],Retenciones!$A$1:$O$24,PROVEEDORES[[#This Row],[indicador de columna]],FALSE)</f>
        <v>0</v>
      </c>
      <c r="Y334" s="152">
        <f>+VLOOKUP(PROVEEDORES[[#This Row],[ID RETENCION]],Retenciones!$A$1:$O$24,2,FALSE)</f>
        <v>0</v>
      </c>
      <c r="Z334" s="26"/>
      <c r="AA334" s="26"/>
      <c r="AB334" s="26"/>
      <c r="AC334" s="26"/>
      <c r="AD334" s="26"/>
      <c r="AE334" s="26"/>
    </row>
    <row r="335" spans="1:31" ht="21.95" customHeight="1" x14ac:dyDescent="0.25">
      <c r="A335" s="97" t="str">
        <f>+IF(PROVEEDORES[[#This Row],[FECHA DE PAGO]]=PROVEEDORES[[#This Row],[FECHA DE FACTURACIÓN]],"DE CONTADO","CRÉDITO")</f>
        <v>CRÉDITO</v>
      </c>
      <c r="B335" s="41" t="b">
        <f>+IF((PROVEEDORES[[#This Row],[FECHA DE PAGO]]-PROVEEDORES[[#This Row],[FECHA DE FACTURACIÓN]])&gt;PROVEEDORES[[#This Row],[PLAZO Días]],"PAGO VENCIDO")</f>
        <v>0</v>
      </c>
      <c r="C335" s="22">
        <f>+VLOOKUP(PROVEEDORES[[#This Row],[PROVEEDOR]],TERCEROS_INFO[#All],2,FALSE)</f>
        <v>10</v>
      </c>
      <c r="D335" s="27">
        <f>+SUMIFS(PROVEEDORES[Total],PROVEEDORES[PROVEEDOR],PROVEEDORES[[#This Row],[PROVEEDOR]],PROVEEDORES[FECHA DE PAGO],"")</f>
        <v>0</v>
      </c>
      <c r="E335" s="27"/>
      <c r="F335" s="62" t="str">
        <f>+VLOOKUP(PROVEEDORES[[#This Row],[PROVEEDOR]],
                       Terceros!$A:$G,
                       6,
                       FALSE)</f>
        <v>asistente@mslcorporate.com.co;girlesa.ruiz@servipilas.com;joriescobar64@gmail.com</v>
      </c>
      <c r="G335" s="95">
        <v>44320</v>
      </c>
      <c r="H335" s="28" t="s">
        <v>315</v>
      </c>
      <c r="I335" s="95">
        <v>44319</v>
      </c>
      <c r="J335" s="38">
        <v>114001</v>
      </c>
      <c r="K335" s="23">
        <v>2739403.1313</v>
      </c>
      <c r="L335" s="23"/>
      <c r="M335" s="24">
        <v>0</v>
      </c>
      <c r="N335" s="25"/>
      <c r="O335" s="24">
        <v>0</v>
      </c>
      <c r="P335" s="136">
        <f>+IF(PROVEEDORES[[#This Row],[SUBTOTAL]]&lt;PROVEEDORES[[#This Row],[base retencion]],0,PROVEEDORES[[#This Row],[retención aplicada]])</f>
        <v>0</v>
      </c>
      <c r="Q335" s="24">
        <f>+PROVEEDORES[[#This Row],[Rete Fuente %]]*PROVEEDORES[[#This Row],[SUBTOTAL]]</f>
        <v>0</v>
      </c>
      <c r="R335" s="23">
        <v>2739403.1313</v>
      </c>
      <c r="S33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5" s="99">
        <f ca="1">IF(PROVEEDORES[[#This Row],[FECHA DE PAGO]]=0,TODAY()-PROVEEDORES[[#This Row],[FECHA DE FACTURACIÓN]]-PROVEEDORES[[#This Row],[PLAZO Días]],0)</f>
        <v>0</v>
      </c>
      <c r="U335" s="149">
        <f>+VLOOKUP(PROVEEDORES[[#This Row],[PROVEEDOR]],Terceros!$A:$E,5,FALSE)</f>
        <v>0</v>
      </c>
      <c r="V335" s="150">
        <f>+YEAR(PROVEEDORES[[#This Row],[FECHA DE FACTURACIÓN]])</f>
        <v>2021</v>
      </c>
      <c r="W335" s="150">
        <f>+MATCH(PROVEEDORES[[#This Row],[año facturado]],Retenciones!$1:$1,0)</f>
        <v>4</v>
      </c>
      <c r="X335" s="151">
        <f>+VLOOKUP(PROVEEDORES[[#This Row],[ID RETENCION]],Retenciones!$A$1:$O$24,PROVEEDORES[[#This Row],[indicador de columna]],FALSE)</f>
        <v>0</v>
      </c>
      <c r="Y335" s="152">
        <f>+VLOOKUP(PROVEEDORES[[#This Row],[ID RETENCION]],Retenciones!$A$1:$O$24,2,FALSE)</f>
        <v>0</v>
      </c>
      <c r="Z335" s="26"/>
      <c r="AA335" s="26"/>
      <c r="AB335" s="26"/>
      <c r="AC335" s="26"/>
      <c r="AD335" s="26"/>
      <c r="AE335" s="26"/>
    </row>
    <row r="336" spans="1:31" ht="21.95" customHeight="1" x14ac:dyDescent="0.25">
      <c r="A336" s="97" t="str">
        <f>+IF(PROVEEDORES[[#This Row],[FECHA DE PAGO]]=PROVEEDORES[[#This Row],[FECHA DE FACTURACIÓN]],"DE CONTADO","CRÉDITO")</f>
        <v>CRÉDITO</v>
      </c>
      <c r="B336" s="41" t="b">
        <f>+IF((PROVEEDORES[[#This Row],[FECHA DE PAGO]]-PROVEEDORES[[#This Row],[FECHA DE FACTURACIÓN]])&gt;PROVEEDORES[[#This Row],[PLAZO Días]],"PAGO VENCIDO")</f>
        <v>0</v>
      </c>
      <c r="C336" s="22">
        <f>+VLOOKUP(PROVEEDORES[[#This Row],[PROVEEDOR]],TERCEROS_INFO[#All],2,FALSE)</f>
        <v>30</v>
      </c>
      <c r="D336" s="27">
        <f>+SUMIFS(PROVEEDORES[Total],PROVEEDORES[PROVEEDOR],PROVEEDORES[[#This Row],[PROVEEDOR]],PROVEEDORES[FECHA DE PAGO],"")</f>
        <v>0</v>
      </c>
      <c r="E336" s="27"/>
      <c r="F336" s="62" t="str">
        <f>+VLOOKUP(PROVEEDORES[[#This Row],[PROVEEDOR]],
                       Terceros!$A:$G,
                       6,
                       FALSE)</f>
        <v/>
      </c>
      <c r="G336" s="95">
        <v>44331</v>
      </c>
      <c r="H336" s="28" t="s">
        <v>27</v>
      </c>
      <c r="I336" s="95">
        <v>44319</v>
      </c>
      <c r="J336" s="38" t="s">
        <v>363</v>
      </c>
      <c r="K336" s="23">
        <v>7035320</v>
      </c>
      <c r="L336" s="23"/>
      <c r="M336" s="24">
        <v>0</v>
      </c>
      <c r="N336" s="25"/>
      <c r="O336" s="24">
        <v>0</v>
      </c>
      <c r="P336" s="136">
        <f>+IF(PROVEEDORES[[#This Row],[SUBTOTAL]]&lt;PROVEEDORES[[#This Row],[base retencion]],0,PROVEEDORES[[#This Row],[retención aplicada]])</f>
        <v>0</v>
      </c>
      <c r="Q336" s="24">
        <f>+PROVEEDORES[[#This Row],[Rete Fuente %]]*PROVEEDORES[[#This Row],[SUBTOTAL]]</f>
        <v>0</v>
      </c>
      <c r="R336" s="23">
        <v>7035320</v>
      </c>
      <c r="S33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6" s="99">
        <f ca="1">IF(PROVEEDORES[[#This Row],[FECHA DE PAGO]]=0,TODAY()-PROVEEDORES[[#This Row],[FECHA DE FACTURACIÓN]]-PROVEEDORES[[#This Row],[PLAZO Días]],0)</f>
        <v>0</v>
      </c>
      <c r="U336" s="149">
        <f>+VLOOKUP(PROVEEDORES[[#This Row],[PROVEEDOR]],Terceros!$A:$E,5,FALSE)</f>
        <v>0</v>
      </c>
      <c r="V336" s="150">
        <f>+YEAR(PROVEEDORES[[#This Row],[FECHA DE FACTURACIÓN]])</f>
        <v>2021</v>
      </c>
      <c r="W336" s="150">
        <f>+MATCH(PROVEEDORES[[#This Row],[año facturado]],Retenciones!$1:$1,0)</f>
        <v>4</v>
      </c>
      <c r="X336" s="151">
        <f>+VLOOKUP(PROVEEDORES[[#This Row],[ID RETENCION]],Retenciones!$A$1:$O$24,PROVEEDORES[[#This Row],[indicador de columna]],FALSE)</f>
        <v>0</v>
      </c>
      <c r="Y336" s="152">
        <f>+VLOOKUP(PROVEEDORES[[#This Row],[ID RETENCION]],Retenciones!$A$1:$O$24,2,FALSE)</f>
        <v>0</v>
      </c>
      <c r="Z336" s="26"/>
      <c r="AA336" s="26"/>
      <c r="AB336" s="26"/>
      <c r="AC336" s="26"/>
      <c r="AD336" s="26"/>
      <c r="AE336" s="26"/>
    </row>
    <row r="337" spans="1:31" ht="21.95" customHeight="1" x14ac:dyDescent="0.25">
      <c r="A337" s="97" t="str">
        <f>+IF(PROVEEDORES[[#This Row],[FECHA DE PAGO]]=PROVEEDORES[[#This Row],[FECHA DE FACTURACIÓN]],"DE CONTADO","CRÉDITO")</f>
        <v>CRÉDITO</v>
      </c>
      <c r="B337" s="41" t="b">
        <f>+IF((PROVEEDORES[[#This Row],[FECHA DE PAGO]]-PROVEEDORES[[#This Row],[FECHA DE FACTURACIÓN]])&gt;PROVEEDORES[[#This Row],[PLAZO Días]],"PAGO VENCIDO")</f>
        <v>0</v>
      </c>
      <c r="C337" s="22">
        <f>+VLOOKUP(PROVEEDORES[[#This Row],[PROVEEDOR]],TERCEROS_INFO[#All],2,FALSE)</f>
        <v>10</v>
      </c>
      <c r="D337" s="27">
        <f>+SUMIFS(PROVEEDORES[Total],PROVEEDORES[PROVEEDOR],PROVEEDORES[[#This Row],[PROVEEDOR]],PROVEEDORES[FECHA DE PAGO],"")</f>
        <v>0</v>
      </c>
      <c r="E337" s="27"/>
      <c r="F337" s="62" t="str">
        <f>+VLOOKUP(PROVEEDORES[[#This Row],[PROVEEDOR]],
                       Terceros!$A:$G,
                       6,
                       FALSE)</f>
        <v>comercial@munditonner.com.co;girlesa.ruiz@servipilas.com;joriescobar64@gmail.com</v>
      </c>
      <c r="G337" s="95">
        <v>44321</v>
      </c>
      <c r="H337" s="28" t="s">
        <v>353</v>
      </c>
      <c r="I337" s="95">
        <v>44320</v>
      </c>
      <c r="J337" s="38" t="s">
        <v>355</v>
      </c>
      <c r="K337" s="23">
        <v>70000</v>
      </c>
      <c r="L337" s="23"/>
      <c r="M337" s="24">
        <v>13300</v>
      </c>
      <c r="N337" s="25"/>
      <c r="O337" s="24">
        <v>0</v>
      </c>
      <c r="P337" s="136">
        <f>+IF(PROVEEDORES[[#This Row],[SUBTOTAL]]&lt;PROVEEDORES[[#This Row],[base retencion]],0,PROVEEDORES[[#This Row],[retención aplicada]])</f>
        <v>0</v>
      </c>
      <c r="Q337" s="24">
        <f>+PROVEEDORES[[#This Row],[Rete Fuente %]]*PROVEEDORES[[#This Row],[SUBTOTAL]]</f>
        <v>0</v>
      </c>
      <c r="R337" s="23">
        <v>83300</v>
      </c>
      <c r="S33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7" s="99">
        <f ca="1">IF(PROVEEDORES[[#This Row],[FECHA DE PAGO]]=0,TODAY()-PROVEEDORES[[#This Row],[FECHA DE FACTURACIÓN]]-PROVEEDORES[[#This Row],[PLAZO Días]],0)</f>
        <v>0</v>
      </c>
      <c r="U337" s="149" t="str">
        <f>+VLOOKUP(PROVEEDORES[[#This Row],[PROVEEDOR]],Terceros!$A:$E,5,FALSE)</f>
        <v>2,5% con base</v>
      </c>
      <c r="V337" s="150">
        <f>+YEAR(PROVEEDORES[[#This Row],[FECHA DE FACTURACIÓN]])</f>
        <v>2021</v>
      </c>
      <c r="W337" s="150">
        <f>+MATCH(PROVEEDORES[[#This Row],[año facturado]],Retenciones!$1:$1,0)</f>
        <v>4</v>
      </c>
      <c r="X337" s="151">
        <f>+VLOOKUP(PROVEEDORES[[#This Row],[ID RETENCION]],Retenciones!$A$1:$O$24,PROVEEDORES[[#This Row],[indicador de columna]],FALSE)</f>
        <v>980000</v>
      </c>
      <c r="Y337" s="152">
        <f>+VLOOKUP(PROVEEDORES[[#This Row],[ID RETENCION]],Retenciones!$A$1:$O$24,2,FALSE)</f>
        <v>2.5000000000000001E-2</v>
      </c>
      <c r="Z337" s="26"/>
      <c r="AA337" s="26"/>
      <c r="AB337" s="26"/>
      <c r="AC337" s="26"/>
      <c r="AD337" s="26"/>
      <c r="AE337" s="26"/>
    </row>
    <row r="338" spans="1:31" ht="21.95" customHeight="1" x14ac:dyDescent="0.25">
      <c r="A338" s="97" t="str">
        <f>+IF(PROVEEDORES[[#This Row],[FECHA DE PAGO]]=PROVEEDORES[[#This Row],[FECHA DE FACTURACIÓN]],"DE CONTADO","CRÉDITO")</f>
        <v>DE CONTADO</v>
      </c>
      <c r="B338" s="41" t="b">
        <f>+IF((PROVEEDORES[[#This Row],[FECHA DE PAGO]]-PROVEEDORES[[#This Row],[FECHA DE FACTURACIÓN]])&gt;PROVEEDORES[[#This Row],[PLAZO Días]],"PAGO VENCIDO")</f>
        <v>0</v>
      </c>
      <c r="C338" s="22">
        <f>+VLOOKUP(PROVEEDORES[[#This Row],[PROVEEDOR]],TERCEROS_INFO[#All],2,FALSE)</f>
        <v>30</v>
      </c>
      <c r="D338" s="27">
        <f>+SUMIFS(PROVEEDORES[Total],PROVEEDORES[PROVEEDOR],PROVEEDORES[[#This Row],[PROVEEDOR]],PROVEEDORES[FECHA DE PAGO],"")</f>
        <v>0</v>
      </c>
      <c r="E338" s="27"/>
      <c r="F338" s="62" t="str">
        <f>+VLOOKUP(PROVEEDORES[[#This Row],[PROVEEDOR]],
                       Terceros!$A:$G,
                       6,
                       FALSE)</f>
        <v/>
      </c>
      <c r="G338" s="95">
        <v>44320</v>
      </c>
      <c r="H338" s="28" t="s">
        <v>1058</v>
      </c>
      <c r="I338" s="95">
        <v>44320</v>
      </c>
      <c r="J338" s="38" t="s">
        <v>698</v>
      </c>
      <c r="K338" s="23">
        <v>75000</v>
      </c>
      <c r="L338" s="23"/>
      <c r="M338" s="24">
        <v>0</v>
      </c>
      <c r="N338" s="25"/>
      <c r="O338" s="24">
        <v>0</v>
      </c>
      <c r="P338" s="136">
        <f>+IF(PROVEEDORES[[#This Row],[SUBTOTAL]]&lt;PROVEEDORES[[#This Row],[base retencion]],0,PROVEEDORES[[#This Row],[retención aplicada]])</f>
        <v>0</v>
      </c>
      <c r="Q338" s="24">
        <f>+PROVEEDORES[[#This Row],[Rete Fuente %]]*PROVEEDORES[[#This Row],[SUBTOTAL]]</f>
        <v>0</v>
      </c>
      <c r="R338" s="23">
        <v>75000</v>
      </c>
      <c r="S33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8" s="99">
        <f ca="1">IF(PROVEEDORES[[#This Row],[FECHA DE PAGO]]=0,TODAY()-PROVEEDORES[[#This Row],[FECHA DE FACTURACIÓN]]-PROVEEDORES[[#This Row],[PLAZO Días]],0)</f>
        <v>0</v>
      </c>
      <c r="U338" s="149">
        <f>+VLOOKUP(PROVEEDORES[[#This Row],[PROVEEDOR]],Terceros!$A:$E,5,FALSE)</f>
        <v>0</v>
      </c>
      <c r="V338" s="150">
        <f>+YEAR(PROVEEDORES[[#This Row],[FECHA DE FACTURACIÓN]])</f>
        <v>2021</v>
      </c>
      <c r="W338" s="150">
        <f>+MATCH(PROVEEDORES[[#This Row],[año facturado]],Retenciones!$1:$1,0)</f>
        <v>4</v>
      </c>
      <c r="X338" s="151">
        <f>+VLOOKUP(PROVEEDORES[[#This Row],[ID RETENCION]],Retenciones!$A$1:$O$24,PROVEEDORES[[#This Row],[indicador de columna]],FALSE)</f>
        <v>0</v>
      </c>
      <c r="Y338" s="152">
        <f>+VLOOKUP(PROVEEDORES[[#This Row],[ID RETENCION]],Retenciones!$A$1:$O$24,2,FALSE)</f>
        <v>0</v>
      </c>
      <c r="Z338" s="26"/>
      <c r="AA338" s="26"/>
      <c r="AB338" s="26"/>
      <c r="AC338" s="26"/>
      <c r="AD338" s="26"/>
      <c r="AE338" s="26"/>
    </row>
    <row r="339" spans="1:31" ht="21.95" customHeight="1" x14ac:dyDescent="0.25">
      <c r="A339" s="97" t="str">
        <f>+IF(PROVEEDORES[[#This Row],[FECHA DE PAGO]]=PROVEEDORES[[#This Row],[FECHA DE FACTURACIÓN]],"DE CONTADO","CRÉDITO")</f>
        <v>CRÉDITO</v>
      </c>
      <c r="B339" s="41" t="b">
        <f>+IF((PROVEEDORES[[#This Row],[FECHA DE PAGO]]-PROVEEDORES[[#This Row],[FECHA DE FACTURACIÓN]])&gt;PROVEEDORES[[#This Row],[PLAZO Días]],"PAGO VENCIDO")</f>
        <v>0</v>
      </c>
      <c r="C339" s="22">
        <f>+VLOOKUP(PROVEEDORES[[#This Row],[PROVEEDOR]],TERCEROS_INFO[#All],2,FALSE)</f>
        <v>30</v>
      </c>
      <c r="D339" s="27">
        <f>+SUMIFS(PROVEEDORES[Total],PROVEEDORES[PROVEEDOR],PROVEEDORES[[#This Row],[PROVEEDOR]],PROVEEDORES[FECHA DE PAGO],"")</f>
        <v>3099000</v>
      </c>
      <c r="E339" s="27"/>
      <c r="F339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339" s="95">
        <v>44335</v>
      </c>
      <c r="H339" s="28" t="s">
        <v>1079</v>
      </c>
      <c r="I339" s="95">
        <v>44320</v>
      </c>
      <c r="J339" s="38" t="s">
        <v>699</v>
      </c>
      <c r="K339" s="23">
        <v>210000</v>
      </c>
      <c r="L339" s="23"/>
      <c r="M339" s="24">
        <v>0</v>
      </c>
      <c r="N339" s="25"/>
      <c r="O339" s="24">
        <v>0</v>
      </c>
      <c r="P339" s="136">
        <f>+IF(PROVEEDORES[[#This Row],[SUBTOTAL]]&lt;PROVEEDORES[[#This Row],[base retencion]],0,PROVEEDORES[[#This Row],[retención aplicada]])</f>
        <v>0</v>
      </c>
      <c r="Q339" s="24">
        <f>+PROVEEDORES[[#This Row],[Rete Fuente %]]*PROVEEDORES[[#This Row],[SUBTOTAL]]</f>
        <v>0</v>
      </c>
      <c r="R339" s="23">
        <v>210000</v>
      </c>
      <c r="S33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9" s="99">
        <f ca="1">IF(PROVEEDORES[[#This Row],[FECHA DE PAGO]]=0,TODAY()-PROVEEDORES[[#This Row],[FECHA DE FACTURACIÓN]]-PROVEEDORES[[#This Row],[PLAZO Días]],0)</f>
        <v>0</v>
      </c>
      <c r="U339" s="149">
        <f>+VLOOKUP(PROVEEDORES[[#This Row],[PROVEEDOR]],Terceros!$A:$E,5,FALSE)</f>
        <v>0</v>
      </c>
      <c r="V339" s="150">
        <f>+YEAR(PROVEEDORES[[#This Row],[FECHA DE FACTURACIÓN]])</f>
        <v>2021</v>
      </c>
      <c r="W339" s="150">
        <f>+MATCH(PROVEEDORES[[#This Row],[año facturado]],Retenciones!$1:$1,0)</f>
        <v>4</v>
      </c>
      <c r="X339" s="151">
        <f>+VLOOKUP(PROVEEDORES[[#This Row],[ID RETENCION]],Retenciones!$A$1:$O$24,PROVEEDORES[[#This Row],[indicador de columna]],FALSE)</f>
        <v>0</v>
      </c>
      <c r="Y339" s="152">
        <f>+VLOOKUP(PROVEEDORES[[#This Row],[ID RETENCION]],Retenciones!$A$1:$O$24,2,FALSE)</f>
        <v>0</v>
      </c>
      <c r="Z339" s="26"/>
      <c r="AA339" s="26"/>
      <c r="AB339" s="26"/>
      <c r="AC339" s="26"/>
      <c r="AD339" s="26"/>
      <c r="AE339" s="26"/>
    </row>
    <row r="340" spans="1:31" ht="21.95" customHeight="1" x14ac:dyDescent="0.25">
      <c r="A340" s="97" t="str">
        <f>+IF(PROVEEDORES[[#This Row],[FECHA DE PAGO]]=PROVEEDORES[[#This Row],[FECHA DE FACTURACIÓN]],"DE CONTADO","CRÉDITO")</f>
        <v>CRÉDITO</v>
      </c>
      <c r="B340" s="41" t="b">
        <f>+IF((PROVEEDORES[[#This Row],[FECHA DE PAGO]]-PROVEEDORES[[#This Row],[FECHA DE FACTURACIÓN]])&gt;PROVEEDORES[[#This Row],[PLAZO Días]],"PAGO VENCIDO")</f>
        <v>0</v>
      </c>
      <c r="C340" s="22">
        <f>+VLOOKUP(PROVEEDORES[[#This Row],[PROVEEDOR]],TERCEROS_INFO[#All],2,FALSE)</f>
        <v>30</v>
      </c>
      <c r="D340" s="27">
        <f>+SUMIFS(PROVEEDORES[Total],PROVEEDORES[PROVEEDOR],PROVEEDORES[[#This Row],[PROVEEDOR]],PROVEEDORES[FECHA DE PAGO],"")</f>
        <v>3844432.4999000002</v>
      </c>
      <c r="E340" s="27"/>
      <c r="F340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340" s="95">
        <v>44348</v>
      </c>
      <c r="H340" s="28" t="s">
        <v>357</v>
      </c>
      <c r="I340" s="95">
        <v>44320</v>
      </c>
      <c r="J340" s="38">
        <v>1037460</v>
      </c>
      <c r="K340" s="23">
        <v>850000</v>
      </c>
      <c r="L340" s="23"/>
      <c r="M340" s="24">
        <v>161500</v>
      </c>
      <c r="N340" s="25"/>
      <c r="O340" s="24">
        <v>0</v>
      </c>
      <c r="P340" s="136">
        <f>+IF(PROVEEDORES[[#This Row],[SUBTOTAL]]&lt;PROVEEDORES[[#This Row],[base retencion]],0,PROVEEDORES[[#This Row],[retención aplicada]])</f>
        <v>0</v>
      </c>
      <c r="Q340" s="24">
        <f>+PROVEEDORES[[#This Row],[Rete Fuente %]]*PROVEEDORES[[#This Row],[SUBTOTAL]]</f>
        <v>0</v>
      </c>
      <c r="R340" s="23">
        <v>1011500</v>
      </c>
      <c r="S34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0" s="99">
        <f ca="1">IF(PROVEEDORES[[#This Row],[FECHA DE PAGO]]=0,TODAY()-PROVEEDORES[[#This Row],[FECHA DE FACTURACIÓN]]-PROVEEDORES[[#This Row],[PLAZO Días]],0)</f>
        <v>0</v>
      </c>
      <c r="U340" s="149" t="str">
        <f>+VLOOKUP(PROVEEDORES[[#This Row],[PROVEEDOR]],Terceros!$A:$E,5,FALSE)</f>
        <v>2,5% con base</v>
      </c>
      <c r="V340" s="150">
        <f>+YEAR(PROVEEDORES[[#This Row],[FECHA DE FACTURACIÓN]])</f>
        <v>2021</v>
      </c>
      <c r="W340" s="150">
        <f>+MATCH(PROVEEDORES[[#This Row],[año facturado]],Retenciones!$1:$1,0)</f>
        <v>4</v>
      </c>
      <c r="X340" s="151">
        <f>+VLOOKUP(PROVEEDORES[[#This Row],[ID RETENCION]],Retenciones!$A$1:$O$24,PROVEEDORES[[#This Row],[indicador de columna]],FALSE)</f>
        <v>980000</v>
      </c>
      <c r="Y340" s="152">
        <f>+VLOOKUP(PROVEEDORES[[#This Row],[ID RETENCION]],Retenciones!$A$1:$O$24,2,FALSE)</f>
        <v>2.5000000000000001E-2</v>
      </c>
      <c r="Z340" s="26"/>
      <c r="AA340" s="26"/>
      <c r="AB340" s="26"/>
      <c r="AC340" s="26"/>
      <c r="AD340" s="26"/>
      <c r="AE340" s="26"/>
    </row>
    <row r="341" spans="1:31" ht="21.95" customHeight="1" x14ac:dyDescent="0.25">
      <c r="A341" s="97" t="str">
        <f>+IF(PROVEEDORES[[#This Row],[FECHA DE PAGO]]=PROVEEDORES[[#This Row],[FECHA DE FACTURACIÓN]],"DE CONTADO","CRÉDITO")</f>
        <v>CRÉDITO</v>
      </c>
      <c r="B341" s="41" t="str">
        <f>+IF((PROVEEDORES[[#This Row],[FECHA DE PAGO]]-PROVEEDORES[[#This Row],[FECHA DE FACTURACIÓN]])&gt;PROVEEDORES[[#This Row],[PLAZO Días]],"PAGO VENCIDO")</f>
        <v>PAGO VENCIDO</v>
      </c>
      <c r="C341" s="22">
        <f>+VLOOKUP(PROVEEDORES[[#This Row],[PROVEEDOR]],TERCEROS_INFO[#All],2,FALSE)</f>
        <v>45</v>
      </c>
      <c r="D341" s="27">
        <f>+SUMIFS(PROVEEDORES[Total],PROVEEDORES[PROVEEDOR],PROVEEDORES[[#This Row],[PROVEEDOR]],PROVEEDORES[FECHA DE PAGO],"")</f>
        <v>3412539.2</v>
      </c>
      <c r="E341" s="27"/>
      <c r="F341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341" s="95">
        <v>44376</v>
      </c>
      <c r="H341" s="28" t="s">
        <v>10</v>
      </c>
      <c r="I341" s="95">
        <v>44320</v>
      </c>
      <c r="J341" s="38" t="s">
        <v>359</v>
      </c>
      <c r="K341" s="23">
        <v>2354000</v>
      </c>
      <c r="L341" s="23"/>
      <c r="M341" s="24">
        <v>447260</v>
      </c>
      <c r="N341" s="25"/>
      <c r="O341" s="24">
        <v>0</v>
      </c>
      <c r="P341" s="136">
        <f>+IF(PROVEEDORES[[#This Row],[SUBTOTAL]]&lt;PROVEEDORES[[#This Row],[base retencion]],0,PROVEEDORES[[#This Row],[retención aplicada]])</f>
        <v>0</v>
      </c>
      <c r="Q341" s="24">
        <f>+PROVEEDORES[[#This Row],[Rete Fuente %]]*PROVEEDORES[[#This Row],[SUBTOTAL]]</f>
        <v>0</v>
      </c>
      <c r="R341" s="23">
        <v>2801260</v>
      </c>
      <c r="S34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1" s="99">
        <f ca="1">IF(PROVEEDORES[[#This Row],[FECHA DE PAGO]]=0,TODAY()-PROVEEDORES[[#This Row],[FECHA DE FACTURACIÓN]]-PROVEEDORES[[#This Row],[PLAZO Días]],0)</f>
        <v>0</v>
      </c>
      <c r="U341" s="149">
        <f>+VLOOKUP(PROVEEDORES[[#This Row],[PROVEEDOR]],Terceros!$A:$E,5,FALSE)</f>
        <v>0</v>
      </c>
      <c r="V341" s="150">
        <f>+YEAR(PROVEEDORES[[#This Row],[FECHA DE FACTURACIÓN]])</f>
        <v>2021</v>
      </c>
      <c r="W341" s="150">
        <f>+MATCH(PROVEEDORES[[#This Row],[año facturado]],Retenciones!$1:$1,0)</f>
        <v>4</v>
      </c>
      <c r="X341" s="151">
        <f>+VLOOKUP(PROVEEDORES[[#This Row],[ID RETENCION]],Retenciones!$A$1:$O$24,PROVEEDORES[[#This Row],[indicador de columna]],FALSE)</f>
        <v>0</v>
      </c>
      <c r="Y341" s="152">
        <f>+VLOOKUP(PROVEEDORES[[#This Row],[ID RETENCION]],Retenciones!$A$1:$O$24,2,FALSE)</f>
        <v>0</v>
      </c>
      <c r="Z341" s="26"/>
      <c r="AA341" s="26"/>
      <c r="AB341" s="26"/>
      <c r="AC341" s="26"/>
      <c r="AD341" s="26"/>
      <c r="AE341" s="26"/>
    </row>
    <row r="342" spans="1:31" ht="21.95" customHeight="1" x14ac:dyDescent="0.25">
      <c r="A342" s="97" t="str">
        <f>+IF(PROVEEDORES[[#This Row],[FECHA DE PAGO]]=PROVEEDORES[[#This Row],[FECHA DE FACTURACIÓN]],"DE CONTADO","CRÉDITO")</f>
        <v>DE CONTADO</v>
      </c>
      <c r="B342" s="41" t="b">
        <f>+IF((PROVEEDORES[[#This Row],[FECHA DE PAGO]]-PROVEEDORES[[#This Row],[FECHA DE FACTURACIÓN]])&gt;PROVEEDORES[[#This Row],[PLAZO Días]],"PAGO VENCIDO")</f>
        <v>0</v>
      </c>
      <c r="C342" s="22">
        <f>+VLOOKUP(PROVEEDORES[[#This Row],[PROVEEDOR]],TERCEROS_INFO[#All],2,FALSE)</f>
        <v>30</v>
      </c>
      <c r="D342" s="27">
        <f>+SUMIFS(PROVEEDORES[Total],PROVEEDORES[PROVEEDOR],PROVEEDORES[[#This Row],[PROVEEDOR]],PROVEEDORES[FECHA DE PAGO],"")</f>
        <v>192000.0264</v>
      </c>
      <c r="E342" s="27"/>
      <c r="F342" s="62" t="str">
        <f>+VLOOKUP(PROVEEDORES[[#This Row],[PROVEEDOR]],
                       Terceros!$A:$G,
                       6,
                       FALSE)</f>
        <v>Tuspilas.co@gmail.com;girlesa.ruiz@servipilas.com;joriescobar64@gmail.com</v>
      </c>
      <c r="G342" s="95">
        <v>44321</v>
      </c>
      <c r="H342" s="28" t="s">
        <v>43</v>
      </c>
      <c r="I342" s="95">
        <v>44321</v>
      </c>
      <c r="J342" s="38" t="s">
        <v>361</v>
      </c>
      <c r="K342" s="23">
        <v>60504</v>
      </c>
      <c r="L342" s="23"/>
      <c r="M342" s="24">
        <v>11495.76</v>
      </c>
      <c r="N342" s="25"/>
      <c r="O342" s="24">
        <v>0</v>
      </c>
      <c r="P342" s="136">
        <f>+IF(PROVEEDORES[[#This Row],[SUBTOTAL]]&lt;PROVEEDORES[[#This Row],[base retencion]],0,PROVEEDORES[[#This Row],[retención aplicada]])</f>
        <v>0</v>
      </c>
      <c r="Q342" s="24">
        <f>+PROVEEDORES[[#This Row],[Rete Fuente %]]*PROVEEDORES[[#This Row],[SUBTOTAL]]</f>
        <v>0</v>
      </c>
      <c r="R342" s="23">
        <v>71999.759999999995</v>
      </c>
      <c r="S34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2" s="99">
        <f ca="1">IF(PROVEEDORES[[#This Row],[FECHA DE PAGO]]=0,TODAY()-PROVEEDORES[[#This Row],[FECHA DE FACTURACIÓN]]-PROVEEDORES[[#This Row],[PLAZO Días]],0)</f>
        <v>0</v>
      </c>
      <c r="U342" s="149" t="str">
        <f>+VLOOKUP(PROVEEDORES[[#This Row],[PROVEEDOR]],Terceros!$A:$E,5,FALSE)</f>
        <v>2,5% con base</v>
      </c>
      <c r="V342" s="150">
        <f>+YEAR(PROVEEDORES[[#This Row],[FECHA DE FACTURACIÓN]])</f>
        <v>2021</v>
      </c>
      <c r="W342" s="150">
        <f>+MATCH(PROVEEDORES[[#This Row],[año facturado]],Retenciones!$1:$1,0)</f>
        <v>4</v>
      </c>
      <c r="X342" s="151">
        <f>+VLOOKUP(PROVEEDORES[[#This Row],[ID RETENCION]],Retenciones!$A$1:$O$24,PROVEEDORES[[#This Row],[indicador de columna]],FALSE)</f>
        <v>980000</v>
      </c>
      <c r="Y342" s="152">
        <f>+VLOOKUP(PROVEEDORES[[#This Row],[ID RETENCION]],Retenciones!$A$1:$O$24,2,FALSE)</f>
        <v>2.5000000000000001E-2</v>
      </c>
      <c r="Z342" s="26"/>
      <c r="AA342" s="26"/>
      <c r="AB342" s="26"/>
      <c r="AC342" s="26"/>
      <c r="AD342" s="26"/>
      <c r="AE342" s="26"/>
    </row>
    <row r="343" spans="1:31" ht="21.95" customHeight="1" x14ac:dyDescent="0.25">
      <c r="A343" s="97" t="str">
        <f>+IF(PROVEEDORES[[#This Row],[FECHA DE PAGO]]=PROVEEDORES[[#This Row],[FECHA DE FACTURACIÓN]],"DE CONTADO","CRÉDITO")</f>
        <v>CRÉDITO</v>
      </c>
      <c r="B343" s="41" t="str">
        <f>+IF((PROVEEDORES[[#This Row],[FECHA DE PAGO]]-PROVEEDORES[[#This Row],[FECHA DE FACTURACIÓN]])&gt;PROVEEDORES[[#This Row],[PLAZO Días]],"PAGO VENCIDO")</f>
        <v>PAGO VENCIDO</v>
      </c>
      <c r="C343" s="22">
        <f>+VLOOKUP(PROVEEDORES[[#This Row],[PROVEEDOR]],TERCEROS_INFO[#All],2,FALSE)</f>
        <v>30</v>
      </c>
      <c r="D343" s="27">
        <f>+SUMIFS(PROVEEDORES[Total],PROVEEDORES[PROVEEDOR],PROVEEDORES[[#This Row],[PROVEEDOR]],PROVEEDORES[FECHA DE PAGO],"")</f>
        <v>1850000</v>
      </c>
      <c r="E343" s="27"/>
      <c r="F343" s="62" t="str">
        <f>+VLOOKUP(PROVEEDORES[[#This Row],[PROVEEDOR]],
                       Terceros!$A:$G,
                       6,
                       FALSE)</f>
        <v>globalpowerc2018@gmail.com;girlesa.ruiz@servipilas.com;joriescobar64@gmail.com</v>
      </c>
      <c r="G343" s="95">
        <v>44355</v>
      </c>
      <c r="H343" s="28" t="s">
        <v>1051</v>
      </c>
      <c r="I343" s="95">
        <v>44321</v>
      </c>
      <c r="J343" s="38" t="s">
        <v>700</v>
      </c>
      <c r="K343" s="23">
        <v>722000</v>
      </c>
      <c r="L343" s="23"/>
      <c r="M343" s="24">
        <v>0</v>
      </c>
      <c r="N343" s="25"/>
      <c r="O343" s="24">
        <v>0</v>
      </c>
      <c r="P343" s="136">
        <f>+IF(PROVEEDORES[[#This Row],[SUBTOTAL]]&lt;PROVEEDORES[[#This Row],[base retencion]],0,PROVEEDORES[[#This Row],[retención aplicada]])</f>
        <v>0</v>
      </c>
      <c r="Q343" s="24">
        <f>+PROVEEDORES[[#This Row],[Rete Fuente %]]*PROVEEDORES[[#This Row],[SUBTOTAL]]</f>
        <v>0</v>
      </c>
      <c r="R343" s="23">
        <v>722000</v>
      </c>
      <c r="S34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3" s="99">
        <f ca="1">IF(PROVEEDORES[[#This Row],[FECHA DE PAGO]]=0,TODAY()-PROVEEDORES[[#This Row],[FECHA DE FACTURACIÓN]]-PROVEEDORES[[#This Row],[PLAZO Días]],0)</f>
        <v>0</v>
      </c>
      <c r="U343" s="149">
        <f>+VLOOKUP(PROVEEDORES[[#This Row],[PROVEEDOR]],Terceros!$A:$E,5,FALSE)</f>
        <v>0</v>
      </c>
      <c r="V343" s="150">
        <f>+YEAR(PROVEEDORES[[#This Row],[FECHA DE FACTURACIÓN]])</f>
        <v>2021</v>
      </c>
      <c r="W343" s="150">
        <f>+MATCH(PROVEEDORES[[#This Row],[año facturado]],Retenciones!$1:$1,0)</f>
        <v>4</v>
      </c>
      <c r="X343" s="151">
        <f>+VLOOKUP(PROVEEDORES[[#This Row],[ID RETENCION]],Retenciones!$A$1:$O$24,PROVEEDORES[[#This Row],[indicador de columna]],FALSE)</f>
        <v>0</v>
      </c>
      <c r="Y343" s="152">
        <f>+VLOOKUP(PROVEEDORES[[#This Row],[ID RETENCION]],Retenciones!$A$1:$O$24,2,FALSE)</f>
        <v>0</v>
      </c>
      <c r="Z343" s="26"/>
      <c r="AA343" s="26"/>
      <c r="AB343" s="26"/>
      <c r="AC343" s="26"/>
      <c r="AD343" s="26"/>
      <c r="AE343" s="26"/>
    </row>
    <row r="344" spans="1:31" ht="21.95" customHeight="1" x14ac:dyDescent="0.25">
      <c r="A344" s="97" t="str">
        <f>+IF(PROVEEDORES[[#This Row],[FECHA DE PAGO]]=PROVEEDORES[[#This Row],[FECHA DE FACTURACIÓN]],"DE CONTADO","CRÉDITO")</f>
        <v>CRÉDITO</v>
      </c>
      <c r="B344" s="41" t="str">
        <f>+IF((PROVEEDORES[[#This Row],[FECHA DE PAGO]]-PROVEEDORES[[#This Row],[FECHA DE FACTURACIÓN]])&gt;PROVEEDORES[[#This Row],[PLAZO Días]],"PAGO VENCIDO")</f>
        <v>PAGO VENCIDO</v>
      </c>
      <c r="C344" s="22">
        <f>+VLOOKUP(PROVEEDORES[[#This Row],[PROVEEDOR]],TERCEROS_INFO[#All],2,FALSE)</f>
        <v>30</v>
      </c>
      <c r="D344" s="27">
        <f>+SUMIFS(PROVEEDORES[Total],PROVEEDORES[PROVEEDOR],PROVEEDORES[[#This Row],[PROVEEDOR]],PROVEEDORES[FECHA DE PAGO],"")</f>
        <v>6151200</v>
      </c>
      <c r="E344" s="27"/>
      <c r="F344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344" s="95">
        <v>44363</v>
      </c>
      <c r="H344" s="28" t="s">
        <v>11</v>
      </c>
      <c r="I344" s="95">
        <v>44321</v>
      </c>
      <c r="J344" s="38" t="s">
        <v>362</v>
      </c>
      <c r="K344" s="23">
        <v>1650000</v>
      </c>
      <c r="L344" s="23"/>
      <c r="M344" s="24">
        <v>313500</v>
      </c>
      <c r="N344" s="25"/>
      <c r="O344" s="24">
        <v>0</v>
      </c>
      <c r="P344" s="136">
        <f>+IF(PROVEEDORES[[#This Row],[SUBTOTAL]]&lt;PROVEEDORES[[#This Row],[base retencion]],0,PROVEEDORES[[#This Row],[retención aplicada]])</f>
        <v>2.5000000000000001E-2</v>
      </c>
      <c r="Q344" s="24">
        <f>+PROVEEDORES[[#This Row],[Rete Fuente %]]*PROVEEDORES[[#This Row],[SUBTOTAL]]</f>
        <v>41250</v>
      </c>
      <c r="R344" s="23">
        <v>1922250</v>
      </c>
      <c r="S34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4" s="99">
        <f ca="1">IF(PROVEEDORES[[#This Row],[FECHA DE PAGO]]=0,TODAY()-PROVEEDORES[[#This Row],[FECHA DE FACTURACIÓN]]-PROVEEDORES[[#This Row],[PLAZO Días]],0)</f>
        <v>0</v>
      </c>
      <c r="U344" s="149" t="str">
        <f>+VLOOKUP(PROVEEDORES[[#This Row],[PROVEEDOR]],Terceros!$A:$E,5,FALSE)</f>
        <v>2,5% con base</v>
      </c>
      <c r="V344" s="150">
        <f>+YEAR(PROVEEDORES[[#This Row],[FECHA DE FACTURACIÓN]])</f>
        <v>2021</v>
      </c>
      <c r="W344" s="150">
        <f>+MATCH(PROVEEDORES[[#This Row],[año facturado]],Retenciones!$1:$1,0)</f>
        <v>4</v>
      </c>
      <c r="X344" s="151">
        <f>+VLOOKUP(PROVEEDORES[[#This Row],[ID RETENCION]],Retenciones!$A$1:$O$24,PROVEEDORES[[#This Row],[indicador de columna]],FALSE)</f>
        <v>980000</v>
      </c>
      <c r="Y344" s="152">
        <f>+VLOOKUP(PROVEEDORES[[#This Row],[ID RETENCION]],Retenciones!$A$1:$O$24,2,FALSE)</f>
        <v>2.5000000000000001E-2</v>
      </c>
      <c r="Z344" s="26"/>
      <c r="AA344" s="26"/>
      <c r="AB344" s="26"/>
      <c r="AC344" s="26"/>
      <c r="AD344" s="26"/>
      <c r="AE344" s="26"/>
    </row>
    <row r="345" spans="1:31" ht="21.95" customHeight="1" x14ac:dyDescent="0.25">
      <c r="A345" s="97" t="str">
        <f>+IF(PROVEEDORES[[#This Row],[FECHA DE PAGO]]=PROVEEDORES[[#This Row],[FECHA DE FACTURACIÓN]],"DE CONTADO","CRÉDITO")</f>
        <v>CRÉDITO</v>
      </c>
      <c r="B345" s="41" t="str">
        <f>+IF((PROVEEDORES[[#This Row],[FECHA DE PAGO]]-PROVEEDORES[[#This Row],[FECHA DE FACTURACIÓN]])&gt;PROVEEDORES[[#This Row],[PLAZO Días]],"PAGO VENCIDO")</f>
        <v>PAGO VENCIDO</v>
      </c>
      <c r="C345" s="22">
        <f>+VLOOKUP(PROVEEDORES[[#This Row],[PROVEEDOR]],TERCEROS_INFO[#All],2,FALSE)</f>
        <v>45</v>
      </c>
      <c r="D345" s="27">
        <f>+SUMIFS(PROVEEDORES[Total],PROVEEDORES[PROVEEDOR],PROVEEDORES[[#This Row],[PROVEEDOR]],PROVEEDORES[FECHA DE PAGO],"")</f>
        <v>3412539.2</v>
      </c>
      <c r="E345" s="27"/>
      <c r="F345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345" s="95">
        <v>44389</v>
      </c>
      <c r="H345" s="28" t="s">
        <v>10</v>
      </c>
      <c r="I345" s="95">
        <v>44323</v>
      </c>
      <c r="J345" s="38" t="s">
        <v>360</v>
      </c>
      <c r="K345" s="23">
        <v>90000</v>
      </c>
      <c r="L345" s="23"/>
      <c r="M345" s="24">
        <v>17100</v>
      </c>
      <c r="N345" s="25"/>
      <c r="O345" s="24">
        <v>0</v>
      </c>
      <c r="P345" s="136">
        <f>+IF(PROVEEDORES[[#This Row],[SUBTOTAL]]&lt;PROVEEDORES[[#This Row],[base retencion]],0,PROVEEDORES[[#This Row],[retención aplicada]])</f>
        <v>0</v>
      </c>
      <c r="Q345" s="24">
        <f>+PROVEEDORES[[#This Row],[Rete Fuente %]]*PROVEEDORES[[#This Row],[SUBTOTAL]]</f>
        <v>0</v>
      </c>
      <c r="R345" s="23">
        <v>107100</v>
      </c>
      <c r="S34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5" s="99">
        <f ca="1">IF(PROVEEDORES[[#This Row],[FECHA DE PAGO]]=0,TODAY()-PROVEEDORES[[#This Row],[FECHA DE FACTURACIÓN]]-PROVEEDORES[[#This Row],[PLAZO Días]],0)</f>
        <v>0</v>
      </c>
      <c r="U345" s="149">
        <f>+VLOOKUP(PROVEEDORES[[#This Row],[PROVEEDOR]],Terceros!$A:$E,5,FALSE)</f>
        <v>0</v>
      </c>
      <c r="V345" s="150">
        <f>+YEAR(PROVEEDORES[[#This Row],[FECHA DE FACTURACIÓN]])</f>
        <v>2021</v>
      </c>
      <c r="W345" s="150">
        <f>+MATCH(PROVEEDORES[[#This Row],[año facturado]],Retenciones!$1:$1,0)</f>
        <v>4</v>
      </c>
      <c r="X345" s="151">
        <f>+VLOOKUP(PROVEEDORES[[#This Row],[ID RETENCION]],Retenciones!$A$1:$O$24,PROVEEDORES[[#This Row],[indicador de columna]],FALSE)</f>
        <v>0</v>
      </c>
      <c r="Y345" s="152">
        <f>+VLOOKUP(PROVEEDORES[[#This Row],[ID RETENCION]],Retenciones!$A$1:$O$24,2,FALSE)</f>
        <v>0</v>
      </c>
      <c r="Z345" s="26"/>
      <c r="AA345" s="26"/>
      <c r="AB345" s="26"/>
      <c r="AC345" s="26"/>
      <c r="AD345" s="26"/>
      <c r="AE345" s="26"/>
    </row>
    <row r="346" spans="1:31" ht="21.95" customHeight="1" x14ac:dyDescent="0.25">
      <c r="A346" s="97" t="str">
        <f>+IF(PROVEEDORES[[#This Row],[FECHA DE PAGO]]=PROVEEDORES[[#This Row],[FECHA DE FACTURACIÓN]],"DE CONTADO","CRÉDITO")</f>
        <v>DE CONTADO</v>
      </c>
      <c r="B346" s="41" t="b">
        <f>+IF((PROVEEDORES[[#This Row],[FECHA DE PAGO]]-PROVEEDORES[[#This Row],[FECHA DE FACTURACIÓN]])&gt;PROVEEDORES[[#This Row],[PLAZO Días]],"PAGO VENCIDO")</f>
        <v>0</v>
      </c>
      <c r="C346" s="22">
        <f>+VLOOKUP(PROVEEDORES[[#This Row],[PROVEEDOR]],TERCEROS_INFO[#All],2,FALSE)</f>
        <v>30</v>
      </c>
      <c r="D346" s="27">
        <f>+SUMIFS(PROVEEDORES[Total],PROVEEDORES[PROVEEDOR],PROVEEDORES[[#This Row],[PROVEEDOR]],PROVEEDORES[FECHA DE PAGO],"")</f>
        <v>0</v>
      </c>
      <c r="E346" s="27"/>
      <c r="F346" s="62" t="str">
        <f>+VLOOKUP(PROVEEDORES[[#This Row],[PROVEEDOR]],
                       Terceros!$A:$G,
                       6,
                       FALSE)</f>
        <v/>
      </c>
      <c r="G346" s="95">
        <v>44323</v>
      </c>
      <c r="H346" s="28" t="s">
        <v>1031</v>
      </c>
      <c r="I346" s="95">
        <v>44323</v>
      </c>
      <c r="J346" s="38"/>
      <c r="K346" s="23">
        <v>384000</v>
      </c>
      <c r="L346" s="23"/>
      <c r="M346" s="24">
        <v>0</v>
      </c>
      <c r="N346" s="25"/>
      <c r="O346" s="24">
        <v>0</v>
      </c>
      <c r="P346" s="136">
        <f>+IF(PROVEEDORES[[#This Row],[SUBTOTAL]]&lt;PROVEEDORES[[#This Row],[base retencion]],0,PROVEEDORES[[#This Row],[retención aplicada]])</f>
        <v>0</v>
      </c>
      <c r="Q346" s="24">
        <f>+PROVEEDORES[[#This Row],[Rete Fuente %]]*PROVEEDORES[[#This Row],[SUBTOTAL]]</f>
        <v>0</v>
      </c>
      <c r="R346" s="23">
        <v>384000</v>
      </c>
      <c r="S34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6" s="99">
        <f ca="1">IF(PROVEEDORES[[#This Row],[FECHA DE PAGO]]=0,TODAY()-PROVEEDORES[[#This Row],[FECHA DE FACTURACIÓN]]-PROVEEDORES[[#This Row],[PLAZO Días]],0)</f>
        <v>0</v>
      </c>
      <c r="U346" s="149">
        <f>+VLOOKUP(PROVEEDORES[[#This Row],[PROVEEDOR]],Terceros!$A:$E,5,FALSE)</f>
        <v>0</v>
      </c>
      <c r="V346" s="150">
        <f>+YEAR(PROVEEDORES[[#This Row],[FECHA DE FACTURACIÓN]])</f>
        <v>2021</v>
      </c>
      <c r="W346" s="150">
        <f>+MATCH(PROVEEDORES[[#This Row],[año facturado]],Retenciones!$1:$1,0)</f>
        <v>4</v>
      </c>
      <c r="X346" s="151">
        <f>+VLOOKUP(PROVEEDORES[[#This Row],[ID RETENCION]],Retenciones!$A$1:$O$24,PROVEEDORES[[#This Row],[indicador de columna]],FALSE)</f>
        <v>0</v>
      </c>
      <c r="Y346" s="152">
        <f>+VLOOKUP(PROVEEDORES[[#This Row],[ID RETENCION]],Retenciones!$A$1:$O$24,2,FALSE)</f>
        <v>0</v>
      </c>
      <c r="Z346" s="26"/>
      <c r="AA346" s="26"/>
      <c r="AB346" s="26"/>
      <c r="AC346" s="26"/>
      <c r="AD346" s="26"/>
      <c r="AE346" s="26"/>
    </row>
    <row r="347" spans="1:31" ht="21.95" customHeight="1" x14ac:dyDescent="0.25">
      <c r="A347" s="97" t="str">
        <f>+IF(PROVEEDORES[[#This Row],[FECHA DE PAGO]]=PROVEEDORES[[#This Row],[FECHA DE FACTURACIÓN]],"DE CONTADO","CRÉDITO")</f>
        <v>CRÉDITO</v>
      </c>
      <c r="B347" s="41" t="str">
        <f>+IF((PROVEEDORES[[#This Row],[FECHA DE PAGO]]-PROVEEDORES[[#This Row],[FECHA DE FACTURACIÓN]])&gt;PROVEEDORES[[#This Row],[PLAZO Días]],"PAGO VENCIDO")</f>
        <v>PAGO VENCIDO</v>
      </c>
      <c r="C347" s="22">
        <f>+VLOOKUP(PROVEEDORES[[#This Row],[PROVEEDOR]],TERCEROS_INFO[#All],2,FALSE)</f>
        <v>30</v>
      </c>
      <c r="D347" s="27">
        <f>+SUMIFS(PROVEEDORES[Total],PROVEEDORES[PROVEEDOR],PROVEEDORES[[#This Row],[PROVEEDOR]],PROVEEDORES[FECHA DE PAGO],"")</f>
        <v>3844432.4999000002</v>
      </c>
      <c r="E347" s="27"/>
      <c r="F347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347" s="95">
        <v>44363</v>
      </c>
      <c r="H347" s="28" t="s">
        <v>357</v>
      </c>
      <c r="I347" s="95">
        <v>44323</v>
      </c>
      <c r="J347" s="38">
        <v>1037614</v>
      </c>
      <c r="K347" s="23">
        <v>3032760.12</v>
      </c>
      <c r="L347" s="23"/>
      <c r="M347" s="24">
        <v>576224.42280000006</v>
      </c>
      <c r="N347" s="25"/>
      <c r="O347" s="24">
        <v>0</v>
      </c>
      <c r="P347" s="136">
        <f>+IF(PROVEEDORES[[#This Row],[SUBTOTAL]]&lt;PROVEEDORES[[#This Row],[base retencion]],0,PROVEEDORES[[#This Row],[retención aplicada]])</f>
        <v>2.5000000000000001E-2</v>
      </c>
      <c r="Q347" s="24">
        <f>+PROVEEDORES[[#This Row],[Rete Fuente %]]*PROVEEDORES[[#This Row],[SUBTOTAL]]</f>
        <v>75819.003000000012</v>
      </c>
      <c r="R347" s="23">
        <v>3533165.5397999999</v>
      </c>
      <c r="S34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7" s="99">
        <f ca="1">IF(PROVEEDORES[[#This Row],[FECHA DE PAGO]]=0,TODAY()-PROVEEDORES[[#This Row],[FECHA DE FACTURACIÓN]]-PROVEEDORES[[#This Row],[PLAZO Días]],0)</f>
        <v>0</v>
      </c>
      <c r="U347" s="149" t="str">
        <f>+VLOOKUP(PROVEEDORES[[#This Row],[PROVEEDOR]],Terceros!$A:$E,5,FALSE)</f>
        <v>2,5% con base</v>
      </c>
      <c r="V347" s="150">
        <f>+YEAR(PROVEEDORES[[#This Row],[FECHA DE FACTURACIÓN]])</f>
        <v>2021</v>
      </c>
      <c r="W347" s="150">
        <f>+MATCH(PROVEEDORES[[#This Row],[año facturado]],Retenciones!$1:$1,0)</f>
        <v>4</v>
      </c>
      <c r="X347" s="151">
        <f>+VLOOKUP(PROVEEDORES[[#This Row],[ID RETENCION]],Retenciones!$A$1:$O$24,PROVEEDORES[[#This Row],[indicador de columna]],FALSE)</f>
        <v>980000</v>
      </c>
      <c r="Y347" s="152">
        <f>+VLOOKUP(PROVEEDORES[[#This Row],[ID RETENCION]],Retenciones!$A$1:$O$24,2,FALSE)</f>
        <v>2.5000000000000001E-2</v>
      </c>
      <c r="Z347" s="26"/>
      <c r="AA347" s="26"/>
      <c r="AB347" s="26"/>
      <c r="AC347" s="26"/>
      <c r="AD347" s="26"/>
      <c r="AE347" s="26"/>
    </row>
    <row r="348" spans="1:31" ht="21.95" customHeight="1" x14ac:dyDescent="0.25">
      <c r="A348" s="97" t="str">
        <f>+IF(PROVEEDORES[[#This Row],[FECHA DE PAGO]]=PROVEEDORES[[#This Row],[FECHA DE FACTURACIÓN]],"DE CONTADO","CRÉDITO")</f>
        <v>CRÉDITO</v>
      </c>
      <c r="B348" s="41" t="b">
        <f>+IF((PROVEEDORES[[#This Row],[FECHA DE PAGO]]-PROVEEDORES[[#This Row],[FECHA DE FACTURACIÓN]])&gt;PROVEEDORES[[#This Row],[PLAZO Días]],"PAGO VENCIDO")</f>
        <v>0</v>
      </c>
      <c r="C348" s="22">
        <f>+VLOOKUP(PROVEEDORES[[#This Row],[PROVEEDOR]],TERCEROS_INFO[#All],2,FALSE)</f>
        <v>30</v>
      </c>
      <c r="D348" s="27">
        <f>+SUMIFS(PROVEEDORES[Total],PROVEEDORES[PROVEEDOR],PROVEEDORES[[#This Row],[PROVEEDOR]],PROVEEDORES[FECHA DE PAGO],"")</f>
        <v>0</v>
      </c>
      <c r="E348" s="27"/>
      <c r="F348" s="62" t="str">
        <f>+VLOOKUP(PROVEEDORES[[#This Row],[PROVEEDOR]],
                       Terceros!$A:$G,
                       6,
                       FALSE)</f>
        <v>Fernando.Carmona@energizer.com;girlesa.ruiz@servipilas.com;joriescobar64@gmail.com</v>
      </c>
      <c r="G348" s="95">
        <v>44250</v>
      </c>
      <c r="H348" s="28" t="s">
        <v>47</v>
      </c>
      <c r="I348" s="95">
        <v>44323</v>
      </c>
      <c r="J348" s="38">
        <v>160217364</v>
      </c>
      <c r="K348" s="23">
        <v>6636590</v>
      </c>
      <c r="L348" s="23"/>
      <c r="M348" s="24">
        <v>1260952.1000000001</v>
      </c>
      <c r="N348" s="25"/>
      <c r="O348" s="24">
        <v>0</v>
      </c>
      <c r="P348" s="136">
        <f>+IF(PROVEEDORES[[#This Row],[SUBTOTAL]]&lt;PROVEEDORES[[#This Row],[base retencion]],0,PROVEEDORES[[#This Row],[retención aplicada]])</f>
        <v>0</v>
      </c>
      <c r="Q348" s="24">
        <f>+PROVEEDORES[[#This Row],[Rete Fuente %]]*PROVEEDORES[[#This Row],[SUBTOTAL]]</f>
        <v>0</v>
      </c>
      <c r="R348" s="23">
        <v>7897542.0999999996</v>
      </c>
      <c r="S34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8" s="99">
        <f ca="1">IF(PROVEEDORES[[#This Row],[FECHA DE PAGO]]=0,TODAY()-PROVEEDORES[[#This Row],[FECHA DE FACTURACIÓN]]-PROVEEDORES[[#This Row],[PLAZO Días]],0)</f>
        <v>0</v>
      </c>
      <c r="U348" s="149">
        <f>+VLOOKUP(PROVEEDORES[[#This Row],[PROVEEDOR]],Terceros!$A:$E,5,FALSE)</f>
        <v>0</v>
      </c>
      <c r="V348" s="150">
        <f>+YEAR(PROVEEDORES[[#This Row],[FECHA DE FACTURACIÓN]])</f>
        <v>2021</v>
      </c>
      <c r="W348" s="150">
        <f>+MATCH(PROVEEDORES[[#This Row],[año facturado]],Retenciones!$1:$1,0)</f>
        <v>4</v>
      </c>
      <c r="X348" s="151">
        <f>+VLOOKUP(PROVEEDORES[[#This Row],[ID RETENCION]],Retenciones!$A$1:$O$24,PROVEEDORES[[#This Row],[indicador de columna]],FALSE)</f>
        <v>0</v>
      </c>
      <c r="Y348" s="152">
        <f>+VLOOKUP(PROVEEDORES[[#This Row],[ID RETENCION]],Retenciones!$A$1:$O$24,2,FALSE)</f>
        <v>0</v>
      </c>
      <c r="Z348" s="26"/>
      <c r="AA348" s="26"/>
      <c r="AB348" s="26"/>
      <c r="AC348" s="26"/>
      <c r="AD348" s="26"/>
      <c r="AE348" s="26"/>
    </row>
    <row r="349" spans="1:31" ht="21.95" customHeight="1" x14ac:dyDescent="0.25">
      <c r="A349" s="97" t="str">
        <f>+IF(PROVEEDORES[[#This Row],[FECHA DE PAGO]]=PROVEEDORES[[#This Row],[FECHA DE FACTURACIÓN]],"DE CONTADO","CRÉDITO")</f>
        <v>DE CONTADO</v>
      </c>
      <c r="B349" s="41" t="b">
        <f>+IF((PROVEEDORES[[#This Row],[FECHA DE PAGO]]-PROVEEDORES[[#This Row],[FECHA DE FACTURACIÓN]])&gt;PROVEEDORES[[#This Row],[PLAZO Días]],"PAGO VENCIDO")</f>
        <v>0</v>
      </c>
      <c r="C349" s="22">
        <f>+VLOOKUP(PROVEEDORES[[#This Row],[PROVEEDOR]],TERCEROS_INFO[#All],2,FALSE)</f>
        <v>30</v>
      </c>
      <c r="D349" s="27">
        <f>+SUMIFS(PROVEEDORES[Total],PROVEEDORES[PROVEEDOR],PROVEEDORES[[#This Row],[PROVEEDOR]],PROVEEDORES[FECHA DE PAGO],"")</f>
        <v>452687.9</v>
      </c>
      <c r="E349" s="27"/>
      <c r="F349" s="62" t="str">
        <f>+VLOOKUP(PROVEEDORES[[#This Row],[PROVEEDOR]],
                       Terceros!$A:$G,
                       6,
                       FALSE)</f>
        <v>soluenergiacentro@une.net.co;girlesa.ruiz@servipilas.com;joriescobar64@gmail.com</v>
      </c>
      <c r="G349" s="95">
        <v>44326</v>
      </c>
      <c r="H349" s="28" t="s">
        <v>39</v>
      </c>
      <c r="I349" s="95">
        <v>44326</v>
      </c>
      <c r="J349" s="38" t="s">
        <v>358</v>
      </c>
      <c r="K349" s="23">
        <v>75900</v>
      </c>
      <c r="L349" s="23"/>
      <c r="M349" s="24">
        <v>14421</v>
      </c>
      <c r="N349" s="25"/>
      <c r="O349" s="24">
        <v>0</v>
      </c>
      <c r="P349" s="136">
        <f>+IF(PROVEEDORES[[#This Row],[SUBTOTAL]]&lt;PROVEEDORES[[#This Row],[base retencion]],0,PROVEEDORES[[#This Row],[retención aplicada]])</f>
        <v>0</v>
      </c>
      <c r="Q349" s="24">
        <f>+PROVEEDORES[[#This Row],[Rete Fuente %]]*PROVEEDORES[[#This Row],[SUBTOTAL]]</f>
        <v>0</v>
      </c>
      <c r="R349" s="23">
        <v>90321</v>
      </c>
      <c r="S34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9" s="99">
        <f ca="1">IF(PROVEEDORES[[#This Row],[FECHA DE PAGO]]=0,TODAY()-PROVEEDORES[[#This Row],[FECHA DE FACTURACIÓN]]-PROVEEDORES[[#This Row],[PLAZO Días]],0)</f>
        <v>0</v>
      </c>
      <c r="U349" s="149" t="str">
        <f>+VLOOKUP(PROVEEDORES[[#This Row],[PROVEEDOR]],Terceros!$A:$E,5,FALSE)</f>
        <v>2,5% con base</v>
      </c>
      <c r="V349" s="150">
        <f>+YEAR(PROVEEDORES[[#This Row],[FECHA DE FACTURACIÓN]])</f>
        <v>2021</v>
      </c>
      <c r="W349" s="150">
        <f>+MATCH(PROVEEDORES[[#This Row],[año facturado]],Retenciones!$1:$1,0)</f>
        <v>4</v>
      </c>
      <c r="X349" s="151">
        <f>+VLOOKUP(PROVEEDORES[[#This Row],[ID RETENCION]],Retenciones!$A$1:$O$24,PROVEEDORES[[#This Row],[indicador de columna]],FALSE)</f>
        <v>980000</v>
      </c>
      <c r="Y349" s="152">
        <f>+VLOOKUP(PROVEEDORES[[#This Row],[ID RETENCION]],Retenciones!$A$1:$O$24,2,FALSE)</f>
        <v>2.5000000000000001E-2</v>
      </c>
      <c r="Z349" s="26"/>
      <c r="AA349" s="26"/>
      <c r="AB349" s="26"/>
      <c r="AC349" s="26"/>
      <c r="AD349" s="26"/>
      <c r="AE349" s="26"/>
    </row>
    <row r="350" spans="1:31" ht="21.95" customHeight="1" x14ac:dyDescent="0.25">
      <c r="A350" s="97" t="str">
        <f>+IF(PROVEEDORES[[#This Row],[FECHA DE PAGO]]=PROVEEDORES[[#This Row],[FECHA DE FACTURACIÓN]],"DE CONTADO","CRÉDITO")</f>
        <v>DE CONTADO</v>
      </c>
      <c r="B350" s="41" t="b">
        <f>+IF((PROVEEDORES[[#This Row],[FECHA DE PAGO]]-PROVEEDORES[[#This Row],[FECHA DE FACTURACIÓN]])&gt;PROVEEDORES[[#This Row],[PLAZO Días]],"PAGO VENCIDO")</f>
        <v>0</v>
      </c>
      <c r="C350" s="22">
        <f>+VLOOKUP(PROVEEDORES[[#This Row],[PROVEEDOR]],TERCEROS_INFO[#All],2,FALSE)</f>
        <v>30</v>
      </c>
      <c r="D350" s="27">
        <f>+SUMIFS(PROVEEDORES[Total],PROVEEDORES[PROVEEDOR],PROVEEDORES[[#This Row],[PROVEEDOR]],PROVEEDORES[FECHA DE PAGO],"")</f>
        <v>0</v>
      </c>
      <c r="E350" s="27"/>
      <c r="F350" s="62" t="str">
        <f>+VLOOKUP(PROVEEDORES[[#This Row],[PROVEEDOR]],
                       Terceros!$A:$G,
                       6,
                       FALSE)</f>
        <v/>
      </c>
      <c r="G350" s="95">
        <v>44327</v>
      </c>
      <c r="H350" s="28" t="s">
        <v>37</v>
      </c>
      <c r="I350" s="95">
        <v>44327</v>
      </c>
      <c r="J350" s="38">
        <v>3391</v>
      </c>
      <c r="K350" s="23">
        <v>392000</v>
      </c>
      <c r="L350" s="23"/>
      <c r="M350" s="24">
        <v>74480</v>
      </c>
      <c r="N350" s="25"/>
      <c r="O350" s="24">
        <v>0</v>
      </c>
      <c r="P350" s="136">
        <f>+IF(PROVEEDORES[[#This Row],[SUBTOTAL]]&lt;PROVEEDORES[[#This Row],[base retencion]],0,PROVEEDORES[[#This Row],[retención aplicada]])</f>
        <v>0</v>
      </c>
      <c r="Q350" s="24">
        <f>+PROVEEDORES[[#This Row],[Rete Fuente %]]*PROVEEDORES[[#This Row],[SUBTOTAL]]</f>
        <v>0</v>
      </c>
      <c r="R350" s="23">
        <v>466480</v>
      </c>
      <c r="S35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0" s="99">
        <f ca="1">IF(PROVEEDORES[[#This Row],[FECHA DE PAGO]]=0,TODAY()-PROVEEDORES[[#This Row],[FECHA DE FACTURACIÓN]]-PROVEEDORES[[#This Row],[PLAZO Días]],0)</f>
        <v>0</v>
      </c>
      <c r="U350" s="149" t="str">
        <f>+VLOOKUP(PROVEEDORES[[#This Row],[PROVEEDOR]],Terceros!$A:$E,5,FALSE)</f>
        <v>2,5% con base</v>
      </c>
      <c r="V350" s="150">
        <f>+YEAR(PROVEEDORES[[#This Row],[FECHA DE FACTURACIÓN]])</f>
        <v>2021</v>
      </c>
      <c r="W350" s="150">
        <f>+MATCH(PROVEEDORES[[#This Row],[año facturado]],Retenciones!$1:$1,0)</f>
        <v>4</v>
      </c>
      <c r="X350" s="151">
        <f>+VLOOKUP(PROVEEDORES[[#This Row],[ID RETENCION]],Retenciones!$A$1:$O$24,PROVEEDORES[[#This Row],[indicador de columna]],FALSE)</f>
        <v>980000</v>
      </c>
      <c r="Y350" s="152">
        <f>+VLOOKUP(PROVEEDORES[[#This Row],[ID RETENCION]],Retenciones!$A$1:$O$24,2,FALSE)</f>
        <v>2.5000000000000001E-2</v>
      </c>
      <c r="Z350" s="26"/>
      <c r="AA350" s="26"/>
      <c r="AB350" s="26"/>
      <c r="AC350" s="26"/>
      <c r="AD350" s="26"/>
      <c r="AE350" s="26"/>
    </row>
    <row r="351" spans="1:31" ht="21.95" customHeight="1" x14ac:dyDescent="0.25">
      <c r="A351" s="97" t="str">
        <f>+IF(PROVEEDORES[[#This Row],[FECHA DE PAGO]]=PROVEEDORES[[#This Row],[FECHA DE FACTURACIÓN]],"DE CONTADO","CRÉDITO")</f>
        <v>DE CONTADO</v>
      </c>
      <c r="B351" s="41" t="b">
        <f>+IF((PROVEEDORES[[#This Row],[FECHA DE PAGO]]-PROVEEDORES[[#This Row],[FECHA DE FACTURACIÓN]])&gt;PROVEEDORES[[#This Row],[PLAZO Días]],"PAGO VENCIDO")</f>
        <v>0</v>
      </c>
      <c r="C351" s="22">
        <f>+VLOOKUP(PROVEEDORES[[#This Row],[PROVEEDOR]],TERCEROS_INFO[#All],2,FALSE)</f>
        <v>30</v>
      </c>
      <c r="D351" s="27">
        <f>+SUMIFS(PROVEEDORES[Total],PROVEEDORES[PROVEEDOR],PROVEEDORES[[#This Row],[PROVEEDOR]],PROVEEDORES[FECHA DE PAGO],"")</f>
        <v>0</v>
      </c>
      <c r="E351" s="27"/>
      <c r="F351" s="62" t="str">
        <f>+VLOOKUP(PROVEEDORES[[#This Row],[PROVEEDOR]],
                       Terceros!$A:$G,
                       6,
                       FALSE)</f>
        <v/>
      </c>
      <c r="G351" s="95">
        <v>44327</v>
      </c>
      <c r="H351" s="28" t="s">
        <v>1046</v>
      </c>
      <c r="I351" s="95">
        <v>44327</v>
      </c>
      <c r="J351" s="38"/>
      <c r="K351" s="23">
        <v>500000</v>
      </c>
      <c r="L351" s="23"/>
      <c r="M351" s="24">
        <v>0</v>
      </c>
      <c r="N351" s="25"/>
      <c r="O351" s="24">
        <v>0</v>
      </c>
      <c r="P351" s="136">
        <f>+IF(PROVEEDORES[[#This Row],[SUBTOTAL]]&lt;PROVEEDORES[[#This Row],[base retencion]],0,PROVEEDORES[[#This Row],[retención aplicada]])</f>
        <v>0</v>
      </c>
      <c r="Q351" s="24">
        <f>+PROVEEDORES[[#This Row],[Rete Fuente %]]*PROVEEDORES[[#This Row],[SUBTOTAL]]</f>
        <v>0</v>
      </c>
      <c r="R351" s="23">
        <v>500000</v>
      </c>
      <c r="S35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1" s="99">
        <f ca="1">IF(PROVEEDORES[[#This Row],[FECHA DE PAGO]]=0,TODAY()-PROVEEDORES[[#This Row],[FECHA DE FACTURACIÓN]]-PROVEEDORES[[#This Row],[PLAZO Días]],0)</f>
        <v>0</v>
      </c>
      <c r="U351" s="149">
        <f>+VLOOKUP(PROVEEDORES[[#This Row],[PROVEEDOR]],Terceros!$A:$E,5,FALSE)</f>
        <v>0</v>
      </c>
      <c r="V351" s="150">
        <f>+YEAR(PROVEEDORES[[#This Row],[FECHA DE FACTURACIÓN]])</f>
        <v>2021</v>
      </c>
      <c r="W351" s="150">
        <f>+MATCH(PROVEEDORES[[#This Row],[año facturado]],Retenciones!$1:$1,0)</f>
        <v>4</v>
      </c>
      <c r="X351" s="151">
        <f>+VLOOKUP(PROVEEDORES[[#This Row],[ID RETENCION]],Retenciones!$A$1:$O$24,PROVEEDORES[[#This Row],[indicador de columna]],FALSE)</f>
        <v>0</v>
      </c>
      <c r="Y351" s="152">
        <f>+VLOOKUP(PROVEEDORES[[#This Row],[ID RETENCION]],Retenciones!$A$1:$O$24,2,FALSE)</f>
        <v>0</v>
      </c>
      <c r="Z351" s="26"/>
      <c r="AA351" s="26"/>
      <c r="AB351" s="26"/>
      <c r="AC351" s="26"/>
      <c r="AD351" s="26"/>
      <c r="AE351" s="26"/>
    </row>
    <row r="352" spans="1:31" ht="21.95" customHeight="1" x14ac:dyDescent="0.25">
      <c r="A352" s="97" t="str">
        <f>+IF(PROVEEDORES[[#This Row],[FECHA DE PAGO]]=PROVEEDORES[[#This Row],[FECHA DE FACTURACIÓN]],"DE CONTADO","CRÉDITO")</f>
        <v>DE CONTADO</v>
      </c>
      <c r="B352" s="41" t="b">
        <f>+IF((PROVEEDORES[[#This Row],[FECHA DE PAGO]]-PROVEEDORES[[#This Row],[FECHA DE FACTURACIÓN]])&gt;PROVEEDORES[[#This Row],[PLAZO Días]],"PAGO VENCIDO")</f>
        <v>0</v>
      </c>
      <c r="C352" s="22">
        <f>+VLOOKUP(PROVEEDORES[[#This Row],[PROVEEDOR]],TERCEROS_INFO[#All],2,FALSE)</f>
        <v>30</v>
      </c>
      <c r="D352" s="27">
        <f>+SUMIFS(PROVEEDORES[Total],PROVEEDORES[PROVEEDOR],PROVEEDORES[[#This Row],[PROVEEDOR]],PROVEEDORES[FECHA DE PAGO],"")</f>
        <v>0</v>
      </c>
      <c r="E352" s="27"/>
      <c r="F352" s="62" t="str">
        <f>+VLOOKUP(PROVEEDORES[[#This Row],[PROVEEDOR]],
                       Terceros!$A:$G,
                       6,
                       FALSE)</f>
        <v>judy.torres@movecargo.co;girlesa.ruiz@servipilas.com;joriescobar64@gmail.com</v>
      </c>
      <c r="G352" s="95">
        <v>44327</v>
      </c>
      <c r="H352" s="28" t="s">
        <v>364</v>
      </c>
      <c r="I352" s="95">
        <v>44327</v>
      </c>
      <c r="J352" s="38" t="s">
        <v>701</v>
      </c>
      <c r="K352" s="23">
        <v>6017000</v>
      </c>
      <c r="L352" s="23"/>
      <c r="M352" s="24">
        <v>0</v>
      </c>
      <c r="N352" s="25"/>
      <c r="O352" s="24">
        <v>0</v>
      </c>
      <c r="P352" s="136">
        <f>+IF(PROVEEDORES[[#This Row],[SUBTOTAL]]&lt;PROVEEDORES[[#This Row],[base retencion]],0,PROVEEDORES[[#This Row],[retención aplicada]])</f>
        <v>0.01</v>
      </c>
      <c r="Q352" s="24">
        <f>+PROVEEDORES[[#This Row],[Rete Fuente %]]*PROVEEDORES[[#This Row],[SUBTOTAL]]</f>
        <v>60170</v>
      </c>
      <c r="R352" s="23">
        <v>6017000</v>
      </c>
      <c r="S35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2" s="99">
        <f ca="1">IF(PROVEEDORES[[#This Row],[FECHA DE PAGO]]=0,TODAY()-PROVEEDORES[[#This Row],[FECHA DE FACTURACIÓN]]-PROVEEDORES[[#This Row],[PLAZO Días]],0)</f>
        <v>0</v>
      </c>
      <c r="U352" s="149" t="str">
        <f>+VLOOKUP(PROVEEDORES[[#This Row],[PROVEEDOR]],Terceros!$A:$E,5,FALSE)</f>
        <v>1% sin base</v>
      </c>
      <c r="V352" s="150">
        <f>+YEAR(PROVEEDORES[[#This Row],[FECHA DE FACTURACIÓN]])</f>
        <v>2021</v>
      </c>
      <c r="W352" s="150">
        <f>+MATCH(PROVEEDORES[[#This Row],[año facturado]],Retenciones!$1:$1,0)</f>
        <v>4</v>
      </c>
      <c r="X352" s="151">
        <f>+VLOOKUP(PROVEEDORES[[#This Row],[ID RETENCION]],Retenciones!$A$1:$O$24,PROVEEDORES[[#This Row],[indicador de columna]],FALSE)</f>
        <v>0</v>
      </c>
      <c r="Y352" s="152">
        <f>+VLOOKUP(PROVEEDORES[[#This Row],[ID RETENCION]],Retenciones!$A$1:$O$24,2,FALSE)</f>
        <v>0.01</v>
      </c>
      <c r="Z352" s="26"/>
      <c r="AA352" s="26"/>
      <c r="AB352" s="26"/>
      <c r="AC352" s="26"/>
      <c r="AD352" s="26"/>
      <c r="AE352" s="26"/>
    </row>
    <row r="353" spans="1:31" ht="21.95" customHeight="1" x14ac:dyDescent="0.25">
      <c r="A353" s="97" t="str">
        <f>+IF(PROVEEDORES[[#This Row],[FECHA DE PAGO]]=PROVEEDORES[[#This Row],[FECHA DE FACTURACIÓN]],"DE CONTADO","CRÉDITO")</f>
        <v>CRÉDITO</v>
      </c>
      <c r="B353" s="41" t="str">
        <f>+IF((PROVEEDORES[[#This Row],[FECHA DE PAGO]]-PROVEEDORES[[#This Row],[FECHA DE FACTURACIÓN]])&gt;PROVEEDORES[[#This Row],[PLAZO Días]],"PAGO VENCIDO")</f>
        <v>PAGO VENCIDO</v>
      </c>
      <c r="C353" s="22">
        <f>+VLOOKUP(PROVEEDORES[[#This Row],[PROVEEDOR]],TERCEROS_INFO[#All],2,FALSE)</f>
        <v>45</v>
      </c>
      <c r="D353" s="27">
        <f>+SUMIFS(PROVEEDORES[Total],PROVEEDORES[PROVEEDOR],PROVEEDORES[[#This Row],[PROVEEDOR]],PROVEEDORES[FECHA DE PAGO],"")</f>
        <v>3412539.2</v>
      </c>
      <c r="E353" s="27"/>
      <c r="F353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353" s="95">
        <v>44376</v>
      </c>
      <c r="H353" s="28" t="s">
        <v>10</v>
      </c>
      <c r="I353" s="95">
        <v>44328</v>
      </c>
      <c r="J353" s="38" t="s">
        <v>376</v>
      </c>
      <c r="K353" s="23">
        <v>-126000</v>
      </c>
      <c r="L353" s="23"/>
      <c r="M353" s="24">
        <v>-23940</v>
      </c>
      <c r="N353" s="25"/>
      <c r="O353" s="24">
        <v>0</v>
      </c>
      <c r="P353" s="136">
        <f>+IF(PROVEEDORES[[#This Row],[SUBTOTAL]]&lt;PROVEEDORES[[#This Row],[base retencion]],0,PROVEEDORES[[#This Row],[retención aplicada]])</f>
        <v>0</v>
      </c>
      <c r="Q353" s="24">
        <f>+PROVEEDORES[[#This Row],[Rete Fuente %]]*PROVEEDORES[[#This Row],[SUBTOTAL]]</f>
        <v>0</v>
      </c>
      <c r="R353" s="23">
        <v>-149940</v>
      </c>
      <c r="S35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3" s="99">
        <f ca="1">IF(PROVEEDORES[[#This Row],[FECHA DE PAGO]]=0,TODAY()-PROVEEDORES[[#This Row],[FECHA DE FACTURACIÓN]]-PROVEEDORES[[#This Row],[PLAZO Días]],0)</f>
        <v>0</v>
      </c>
      <c r="U353" s="149">
        <f>+VLOOKUP(PROVEEDORES[[#This Row],[PROVEEDOR]],Terceros!$A:$E,5,FALSE)</f>
        <v>0</v>
      </c>
      <c r="V353" s="150">
        <f>+YEAR(PROVEEDORES[[#This Row],[FECHA DE FACTURACIÓN]])</f>
        <v>2021</v>
      </c>
      <c r="W353" s="150">
        <f>+MATCH(PROVEEDORES[[#This Row],[año facturado]],Retenciones!$1:$1,0)</f>
        <v>4</v>
      </c>
      <c r="X353" s="151">
        <f>+VLOOKUP(PROVEEDORES[[#This Row],[ID RETENCION]],Retenciones!$A$1:$O$24,PROVEEDORES[[#This Row],[indicador de columna]],FALSE)</f>
        <v>0</v>
      </c>
      <c r="Y353" s="152">
        <f>+VLOOKUP(PROVEEDORES[[#This Row],[ID RETENCION]],Retenciones!$A$1:$O$24,2,FALSE)</f>
        <v>0</v>
      </c>
      <c r="Z353" s="26"/>
      <c r="AA353" s="26"/>
      <c r="AB353" s="26"/>
      <c r="AC353" s="26"/>
      <c r="AD353" s="26"/>
      <c r="AE353" s="26"/>
    </row>
    <row r="354" spans="1:31" ht="21.95" customHeight="1" x14ac:dyDescent="0.25">
      <c r="A354" s="97" t="str">
        <f>+IF(PROVEEDORES[[#This Row],[FECHA DE PAGO]]=PROVEEDORES[[#This Row],[FECHA DE FACTURACIÓN]],"DE CONTADO","CRÉDITO")</f>
        <v>CRÉDITO</v>
      </c>
      <c r="B354" s="41" t="str">
        <f>+IF((PROVEEDORES[[#This Row],[FECHA DE PAGO]]-PROVEEDORES[[#This Row],[FECHA DE FACTURACIÓN]])&gt;PROVEEDORES[[#This Row],[PLAZO Días]],"PAGO VENCIDO")</f>
        <v>PAGO VENCIDO</v>
      </c>
      <c r="C354" s="22">
        <f>+VLOOKUP(PROVEEDORES[[#This Row],[PROVEEDOR]],TERCEROS_INFO[#All],2,FALSE)</f>
        <v>30</v>
      </c>
      <c r="D354" s="27">
        <f>+SUMIFS(PROVEEDORES[Total],PROVEEDORES[PROVEEDOR],PROVEEDORES[[#This Row],[PROVEEDOR]],PROVEEDORES[FECHA DE PAGO],"")</f>
        <v>627113.34</v>
      </c>
      <c r="E354" s="27"/>
      <c r="F354" s="62" t="str">
        <f>+VLOOKUP(PROVEEDORES[[#This Row],[PROVEEDOR]],
                       Terceros!$A:$G,
                       6,
                       FALSE)</f>
        <v>ventas@ismartsas.com;girlesa.ruiz@servipilas.com;joriescobar64@gmail.com</v>
      </c>
      <c r="G354" s="95">
        <v>44370</v>
      </c>
      <c r="H354" s="28" t="s">
        <v>48</v>
      </c>
      <c r="I354" s="95">
        <v>44328</v>
      </c>
      <c r="J354" s="38">
        <v>28312</v>
      </c>
      <c r="K354" s="23">
        <v>377400</v>
      </c>
      <c r="L354" s="23"/>
      <c r="M354" s="24">
        <v>71706</v>
      </c>
      <c r="N354" s="25"/>
      <c r="O354" s="24">
        <v>0</v>
      </c>
      <c r="P354" s="136">
        <f>+IF(PROVEEDORES[[#This Row],[SUBTOTAL]]&lt;PROVEEDORES[[#This Row],[base retencion]],0,PROVEEDORES[[#This Row],[retención aplicada]])</f>
        <v>0</v>
      </c>
      <c r="Q354" s="24">
        <f>+PROVEEDORES[[#This Row],[Rete Fuente %]]*PROVEEDORES[[#This Row],[SUBTOTAL]]</f>
        <v>0</v>
      </c>
      <c r="R354" s="23">
        <v>449106</v>
      </c>
      <c r="S35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4" s="99">
        <f ca="1">IF(PROVEEDORES[[#This Row],[FECHA DE PAGO]]=0,TODAY()-PROVEEDORES[[#This Row],[FECHA DE FACTURACIÓN]]-PROVEEDORES[[#This Row],[PLAZO Días]],0)</f>
        <v>0</v>
      </c>
      <c r="U354" s="149" t="str">
        <f>+VLOOKUP(PROVEEDORES[[#This Row],[PROVEEDOR]],Terceros!$A:$E,5,FALSE)</f>
        <v>2,5% con base</v>
      </c>
      <c r="V354" s="150">
        <f>+YEAR(PROVEEDORES[[#This Row],[FECHA DE FACTURACIÓN]])</f>
        <v>2021</v>
      </c>
      <c r="W354" s="150">
        <f>+MATCH(PROVEEDORES[[#This Row],[año facturado]],Retenciones!$1:$1,0)</f>
        <v>4</v>
      </c>
      <c r="X354" s="151">
        <f>+VLOOKUP(PROVEEDORES[[#This Row],[ID RETENCION]],Retenciones!$A$1:$O$24,PROVEEDORES[[#This Row],[indicador de columna]],FALSE)</f>
        <v>980000</v>
      </c>
      <c r="Y354" s="152">
        <f>+VLOOKUP(PROVEEDORES[[#This Row],[ID RETENCION]],Retenciones!$A$1:$O$24,2,FALSE)</f>
        <v>2.5000000000000001E-2</v>
      </c>
      <c r="Z354" s="26"/>
      <c r="AA354" s="26"/>
      <c r="AB354" s="26"/>
      <c r="AC354" s="26"/>
      <c r="AD354" s="26"/>
      <c r="AE354" s="26"/>
    </row>
    <row r="355" spans="1:31" ht="21.95" customHeight="1" x14ac:dyDescent="0.25">
      <c r="A355" s="97" t="str">
        <f>+IF(PROVEEDORES[[#This Row],[FECHA DE PAGO]]=PROVEEDORES[[#This Row],[FECHA DE FACTURACIÓN]],"DE CONTADO","CRÉDITO")</f>
        <v>CRÉDITO</v>
      </c>
      <c r="B355" s="41" t="str">
        <f>+IF((PROVEEDORES[[#This Row],[FECHA DE PAGO]]-PROVEEDORES[[#This Row],[FECHA DE FACTURACIÓN]])&gt;PROVEEDORES[[#This Row],[PLAZO Días]],"PAGO VENCIDO")</f>
        <v>PAGO VENCIDO</v>
      </c>
      <c r="C355" s="22">
        <f>+VLOOKUP(PROVEEDORES[[#This Row],[PROVEEDOR]],TERCEROS_INFO[#All],2,FALSE)</f>
        <v>45</v>
      </c>
      <c r="D355" s="27">
        <f>+SUMIFS(PROVEEDORES[Total],PROVEEDORES[PROVEEDOR],PROVEEDORES[[#This Row],[PROVEEDOR]],PROVEEDORES[FECHA DE PAGO],"")</f>
        <v>3412539.2</v>
      </c>
      <c r="E355" s="27"/>
      <c r="F355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355" s="95">
        <v>44389</v>
      </c>
      <c r="H355" s="28" t="s">
        <v>10</v>
      </c>
      <c r="I355" s="95">
        <v>44328</v>
      </c>
      <c r="J355" s="38" t="s">
        <v>372</v>
      </c>
      <c r="K355" s="23">
        <v>698200</v>
      </c>
      <c r="L355" s="23"/>
      <c r="M355" s="24">
        <v>132658</v>
      </c>
      <c r="N355" s="25"/>
      <c r="O355" s="24">
        <v>0</v>
      </c>
      <c r="P355" s="136">
        <f>+IF(PROVEEDORES[[#This Row],[SUBTOTAL]]&lt;PROVEEDORES[[#This Row],[base retencion]],0,PROVEEDORES[[#This Row],[retención aplicada]])</f>
        <v>0</v>
      </c>
      <c r="Q355" s="24">
        <f>+PROVEEDORES[[#This Row],[Rete Fuente %]]*PROVEEDORES[[#This Row],[SUBTOTAL]]</f>
        <v>0</v>
      </c>
      <c r="R355" s="23">
        <v>830858</v>
      </c>
      <c r="S35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5" s="99">
        <f ca="1">IF(PROVEEDORES[[#This Row],[FECHA DE PAGO]]=0,TODAY()-PROVEEDORES[[#This Row],[FECHA DE FACTURACIÓN]]-PROVEEDORES[[#This Row],[PLAZO Días]],0)</f>
        <v>0</v>
      </c>
      <c r="U355" s="149">
        <f>+VLOOKUP(PROVEEDORES[[#This Row],[PROVEEDOR]],Terceros!$A:$E,5,FALSE)</f>
        <v>0</v>
      </c>
      <c r="V355" s="150">
        <f>+YEAR(PROVEEDORES[[#This Row],[FECHA DE FACTURACIÓN]])</f>
        <v>2021</v>
      </c>
      <c r="W355" s="150">
        <f>+MATCH(PROVEEDORES[[#This Row],[año facturado]],Retenciones!$1:$1,0)</f>
        <v>4</v>
      </c>
      <c r="X355" s="151">
        <f>+VLOOKUP(PROVEEDORES[[#This Row],[ID RETENCION]],Retenciones!$A$1:$O$24,PROVEEDORES[[#This Row],[indicador de columna]],FALSE)</f>
        <v>0</v>
      </c>
      <c r="Y355" s="152">
        <f>+VLOOKUP(PROVEEDORES[[#This Row],[ID RETENCION]],Retenciones!$A$1:$O$24,2,FALSE)</f>
        <v>0</v>
      </c>
      <c r="Z355" s="26"/>
      <c r="AA355" s="26"/>
      <c r="AB355" s="26"/>
      <c r="AC355" s="26"/>
      <c r="AD355" s="26"/>
      <c r="AE355" s="26"/>
    </row>
    <row r="356" spans="1:31" ht="21.95" customHeight="1" x14ac:dyDescent="0.25">
      <c r="A356" s="97" t="str">
        <f>+IF(PROVEEDORES[[#This Row],[FECHA DE PAGO]]=PROVEEDORES[[#This Row],[FECHA DE FACTURACIÓN]],"DE CONTADO","CRÉDITO")</f>
        <v>CRÉDITO</v>
      </c>
      <c r="B356" s="41" t="str">
        <f>+IF((PROVEEDORES[[#This Row],[FECHA DE PAGO]]-PROVEEDORES[[#This Row],[FECHA DE FACTURACIÓN]])&gt;PROVEEDORES[[#This Row],[PLAZO Días]],"PAGO VENCIDO")</f>
        <v>PAGO VENCIDO</v>
      </c>
      <c r="C356" s="22">
        <f>+VLOOKUP(PROVEEDORES[[#This Row],[PROVEEDOR]],TERCEROS_INFO[#All],2,FALSE)</f>
        <v>30</v>
      </c>
      <c r="D356" s="27">
        <f>+SUMIFS(PROVEEDORES[Total],PROVEEDORES[PROVEEDOR],PROVEEDORES[[#This Row],[PROVEEDOR]],PROVEEDORES[FECHA DE PAGO],"")</f>
        <v>0</v>
      </c>
      <c r="E356" s="27"/>
      <c r="F356" s="62" t="str">
        <f>+VLOOKUP(PROVEEDORES[[#This Row],[PROVEEDOR]],
                       Terceros!$A:$G,
                       6,
                       FALSE)</f>
        <v>tesoreria@makingbusiness.com.co;girlesa.ruiz@servipilas.com;joriescobar64@gmail.com</v>
      </c>
      <c r="G356" s="95">
        <v>44385</v>
      </c>
      <c r="H356" s="28" t="s">
        <v>32</v>
      </c>
      <c r="I356" s="95">
        <v>44328</v>
      </c>
      <c r="J356" s="38">
        <v>3909</v>
      </c>
      <c r="K356" s="23">
        <v>1710840.35</v>
      </c>
      <c r="L356" s="23"/>
      <c r="M356" s="24">
        <v>325059.66650000005</v>
      </c>
      <c r="N356" s="25"/>
      <c r="O356" s="24">
        <v>0</v>
      </c>
      <c r="P356" s="136">
        <f>+IF(PROVEEDORES[[#This Row],[SUBTOTAL]]&lt;PROVEEDORES[[#This Row],[base retencion]],0,PROVEEDORES[[#This Row],[retención aplicada]])</f>
        <v>2.5000000000000001E-2</v>
      </c>
      <c r="Q356" s="24">
        <f>+PROVEEDORES[[#This Row],[Rete Fuente %]]*PROVEEDORES[[#This Row],[SUBTOTAL]]</f>
        <v>42771.008750000008</v>
      </c>
      <c r="R356" s="23">
        <v>1993129.0077500001</v>
      </c>
      <c r="S35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6" s="99">
        <f ca="1">IF(PROVEEDORES[[#This Row],[FECHA DE PAGO]]=0,TODAY()-PROVEEDORES[[#This Row],[FECHA DE FACTURACIÓN]]-PROVEEDORES[[#This Row],[PLAZO Días]],0)</f>
        <v>0</v>
      </c>
      <c r="U356" s="149" t="str">
        <f>+VLOOKUP(PROVEEDORES[[#This Row],[PROVEEDOR]],Terceros!$A:$E,5,FALSE)</f>
        <v>2,5% con base</v>
      </c>
      <c r="V356" s="150">
        <f>+YEAR(PROVEEDORES[[#This Row],[FECHA DE FACTURACIÓN]])</f>
        <v>2021</v>
      </c>
      <c r="W356" s="150">
        <f>+MATCH(PROVEEDORES[[#This Row],[año facturado]],Retenciones!$1:$1,0)</f>
        <v>4</v>
      </c>
      <c r="X356" s="151">
        <f>+VLOOKUP(PROVEEDORES[[#This Row],[ID RETENCION]],Retenciones!$A$1:$O$24,PROVEEDORES[[#This Row],[indicador de columna]],FALSE)</f>
        <v>980000</v>
      </c>
      <c r="Y356" s="152">
        <f>+VLOOKUP(PROVEEDORES[[#This Row],[ID RETENCION]],Retenciones!$A$1:$O$24,2,FALSE)</f>
        <v>2.5000000000000001E-2</v>
      </c>
      <c r="Z356" s="26"/>
      <c r="AA356" s="26"/>
      <c r="AB356" s="26"/>
      <c r="AC356" s="26"/>
      <c r="AD356" s="26"/>
      <c r="AE356" s="26"/>
    </row>
    <row r="357" spans="1:31" ht="21.95" customHeight="1" x14ac:dyDescent="0.25">
      <c r="A357" s="97" t="str">
        <f>+IF(PROVEEDORES[[#This Row],[FECHA DE PAGO]]=PROVEEDORES[[#This Row],[FECHA DE FACTURACIÓN]],"DE CONTADO","CRÉDITO")</f>
        <v>CRÉDITO</v>
      </c>
      <c r="B357" s="41" t="str">
        <f>+IF((PROVEEDORES[[#This Row],[FECHA DE PAGO]]-PROVEEDORES[[#This Row],[FECHA DE FACTURACIÓN]])&gt;PROVEEDORES[[#This Row],[PLAZO Días]],"PAGO VENCIDO")</f>
        <v>PAGO VENCIDO</v>
      </c>
      <c r="C357" s="22">
        <f>+VLOOKUP(PROVEEDORES[[#This Row],[PROVEEDOR]],TERCEROS_INFO[#All],2,FALSE)</f>
        <v>30</v>
      </c>
      <c r="D357" s="27">
        <f>+SUMIFS(PROVEEDORES[Total],PROVEEDORES[PROVEEDOR],PROVEEDORES[[#This Row],[PROVEEDOR]],PROVEEDORES[FECHA DE PAGO],"")</f>
        <v>0</v>
      </c>
      <c r="E357" s="27"/>
      <c r="F357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357" s="95">
        <v>44385</v>
      </c>
      <c r="H357" s="28" t="s">
        <v>24</v>
      </c>
      <c r="I357" s="95">
        <v>44328</v>
      </c>
      <c r="J357" s="38" t="s">
        <v>373</v>
      </c>
      <c r="K357" s="23">
        <v>2274202</v>
      </c>
      <c r="L357" s="23"/>
      <c r="M357" s="24">
        <v>432098.38</v>
      </c>
      <c r="N357" s="25"/>
      <c r="O357" s="24">
        <v>0</v>
      </c>
      <c r="P357" s="136">
        <f>+IF(PROVEEDORES[[#This Row],[SUBTOTAL]]&lt;PROVEEDORES[[#This Row],[base retencion]],0,PROVEEDORES[[#This Row],[retención aplicada]])</f>
        <v>2.5000000000000001E-2</v>
      </c>
      <c r="Q357" s="24">
        <f>+PROVEEDORES[[#This Row],[Rete Fuente %]]*PROVEEDORES[[#This Row],[SUBTOTAL]]</f>
        <v>56855.05</v>
      </c>
      <c r="R357" s="23">
        <v>2649445.33</v>
      </c>
      <c r="S35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7" s="99">
        <f ca="1">IF(PROVEEDORES[[#This Row],[FECHA DE PAGO]]=0,TODAY()-PROVEEDORES[[#This Row],[FECHA DE FACTURACIÓN]]-PROVEEDORES[[#This Row],[PLAZO Días]],0)</f>
        <v>0</v>
      </c>
      <c r="U357" s="149" t="str">
        <f>+VLOOKUP(PROVEEDORES[[#This Row],[PROVEEDOR]],Terceros!$A:$E,5,FALSE)</f>
        <v>2,5% con base</v>
      </c>
      <c r="V357" s="150">
        <f>+YEAR(PROVEEDORES[[#This Row],[FECHA DE FACTURACIÓN]])</f>
        <v>2021</v>
      </c>
      <c r="W357" s="150">
        <f>+MATCH(PROVEEDORES[[#This Row],[año facturado]],Retenciones!$1:$1,0)</f>
        <v>4</v>
      </c>
      <c r="X357" s="151">
        <f>+VLOOKUP(PROVEEDORES[[#This Row],[ID RETENCION]],Retenciones!$A$1:$O$24,PROVEEDORES[[#This Row],[indicador de columna]],FALSE)</f>
        <v>980000</v>
      </c>
      <c r="Y357" s="152">
        <f>+VLOOKUP(PROVEEDORES[[#This Row],[ID RETENCION]],Retenciones!$A$1:$O$24,2,FALSE)</f>
        <v>2.5000000000000001E-2</v>
      </c>
      <c r="Z357" s="26"/>
      <c r="AA357" s="26"/>
      <c r="AB357" s="26"/>
      <c r="AC357" s="26"/>
      <c r="AD357" s="26"/>
      <c r="AE357" s="26"/>
    </row>
    <row r="358" spans="1:31" ht="21.95" customHeight="1" x14ac:dyDescent="0.25">
      <c r="A358" s="97" t="str">
        <f>+IF(PROVEEDORES[[#This Row],[FECHA DE PAGO]]=PROVEEDORES[[#This Row],[FECHA DE FACTURACIÓN]],"DE CONTADO","CRÉDITO")</f>
        <v>DE CONTADO</v>
      </c>
      <c r="B358" s="41" t="b">
        <f>+IF((PROVEEDORES[[#This Row],[FECHA DE PAGO]]-PROVEEDORES[[#This Row],[FECHA DE FACTURACIÓN]])&gt;PROVEEDORES[[#This Row],[PLAZO Días]],"PAGO VENCIDO")</f>
        <v>0</v>
      </c>
      <c r="C358" s="22">
        <f>+VLOOKUP(PROVEEDORES[[#This Row],[PROVEEDOR]],TERCEROS_INFO[#All],2,FALSE)</f>
        <v>30</v>
      </c>
      <c r="D358" s="27">
        <f>+SUMIFS(PROVEEDORES[Total],PROVEEDORES[PROVEEDOR],PROVEEDORES[[#This Row],[PROVEEDOR]],PROVEEDORES[FECHA DE PAGO],"")</f>
        <v>0</v>
      </c>
      <c r="E358" s="27"/>
      <c r="F358" s="62">
        <f>+VLOOKUP(PROVEEDORES[[#This Row],[PROVEEDOR]],
                       Terceros!$A:$G,
                       6,
                       FALSE)</f>
        <v>0</v>
      </c>
      <c r="G358" s="95">
        <v>44329</v>
      </c>
      <c r="H358" s="28" t="s">
        <v>989</v>
      </c>
      <c r="I358" s="95">
        <v>44329</v>
      </c>
      <c r="J358" s="38" t="s">
        <v>702</v>
      </c>
      <c r="K358" s="23">
        <v>224000</v>
      </c>
      <c r="L358" s="23"/>
      <c r="M358" s="24">
        <v>0</v>
      </c>
      <c r="N358" s="25"/>
      <c r="O358" s="24">
        <v>0</v>
      </c>
      <c r="P358" s="136">
        <f>+IF(PROVEEDORES[[#This Row],[SUBTOTAL]]&lt;PROVEEDORES[[#This Row],[base retencion]],0,PROVEEDORES[[#This Row],[retención aplicada]])</f>
        <v>0</v>
      </c>
      <c r="Q358" s="24">
        <f>+PROVEEDORES[[#This Row],[Rete Fuente %]]*PROVEEDORES[[#This Row],[SUBTOTAL]]</f>
        <v>0</v>
      </c>
      <c r="R358" s="23">
        <v>224000</v>
      </c>
      <c r="S35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8" s="99">
        <f ca="1">IF(PROVEEDORES[[#This Row],[FECHA DE PAGO]]=0,TODAY()-PROVEEDORES[[#This Row],[FECHA DE FACTURACIÓN]]-PROVEEDORES[[#This Row],[PLAZO Días]],0)</f>
        <v>0</v>
      </c>
      <c r="U358" s="149">
        <f>+VLOOKUP(PROVEEDORES[[#This Row],[PROVEEDOR]],Terceros!$A:$E,5,FALSE)</f>
        <v>0</v>
      </c>
      <c r="V358" s="150">
        <f>+YEAR(PROVEEDORES[[#This Row],[FECHA DE FACTURACIÓN]])</f>
        <v>2021</v>
      </c>
      <c r="W358" s="150">
        <f>+MATCH(PROVEEDORES[[#This Row],[año facturado]],Retenciones!$1:$1,0)</f>
        <v>4</v>
      </c>
      <c r="X358" s="151">
        <f>+VLOOKUP(PROVEEDORES[[#This Row],[ID RETENCION]],Retenciones!$A$1:$O$24,PROVEEDORES[[#This Row],[indicador de columna]],FALSE)</f>
        <v>0</v>
      </c>
      <c r="Y358" s="152">
        <f>+VLOOKUP(PROVEEDORES[[#This Row],[ID RETENCION]],Retenciones!$A$1:$O$24,2,FALSE)</f>
        <v>0</v>
      </c>
      <c r="Z358" s="26"/>
      <c r="AA358" s="26"/>
      <c r="AB358" s="26"/>
      <c r="AC358" s="26"/>
      <c r="AD358" s="26"/>
      <c r="AE358" s="26"/>
    </row>
    <row r="359" spans="1:31" ht="21.95" customHeight="1" x14ac:dyDescent="0.25">
      <c r="A359" s="97" t="str">
        <f>+IF(PROVEEDORES[[#This Row],[FECHA DE PAGO]]=PROVEEDORES[[#This Row],[FECHA DE FACTURACIÓN]],"DE CONTADO","CRÉDITO")</f>
        <v>CRÉDITO</v>
      </c>
      <c r="B359" s="41" t="b">
        <f>+IF((PROVEEDORES[[#This Row],[FECHA DE PAGO]]-PROVEEDORES[[#This Row],[FECHA DE FACTURACIÓN]])&gt;PROVEEDORES[[#This Row],[PLAZO Días]],"PAGO VENCIDO")</f>
        <v>0</v>
      </c>
      <c r="C359" s="22">
        <f>+VLOOKUP(PROVEEDORES[[#This Row],[PROVEEDOR]],TERCEROS_INFO[#All],2,FALSE)</f>
        <v>90</v>
      </c>
      <c r="D359" s="27">
        <f>+SUMIFS(PROVEEDORES[Total],PROVEEDORES[PROVEEDOR],PROVEEDORES[[#This Row],[PROVEEDOR]],PROVEEDORES[FECHA DE PAGO],"")</f>
        <v>26364243.66155</v>
      </c>
      <c r="E359" s="27"/>
      <c r="F359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359" s="95">
        <v>44351</v>
      </c>
      <c r="H359" s="28" t="s">
        <v>12</v>
      </c>
      <c r="I359" s="95">
        <v>44330</v>
      </c>
      <c r="J359" s="38" t="s">
        <v>366</v>
      </c>
      <c r="K359" s="23">
        <v>-134454</v>
      </c>
      <c r="L359" s="23"/>
      <c r="M359" s="24">
        <v>-25546.260000000002</v>
      </c>
      <c r="N359" s="25"/>
      <c r="O359" s="24">
        <v>0</v>
      </c>
      <c r="P359" s="136">
        <f>+IF(PROVEEDORES[[#This Row],[SUBTOTAL]]&lt;PROVEEDORES[[#This Row],[base retencion]],0,PROVEEDORES[[#This Row],[retención aplicada]])</f>
        <v>0</v>
      </c>
      <c r="Q359" s="24">
        <f>+PROVEEDORES[[#This Row],[Rete Fuente %]]*PROVEEDORES[[#This Row],[SUBTOTAL]]</f>
        <v>0</v>
      </c>
      <c r="R359" s="23">
        <v>-156638.91</v>
      </c>
      <c r="S35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9" s="99">
        <f ca="1">IF(PROVEEDORES[[#This Row],[FECHA DE PAGO]]=0,TODAY()-PROVEEDORES[[#This Row],[FECHA DE FACTURACIÓN]]-PROVEEDORES[[#This Row],[PLAZO Días]],0)</f>
        <v>0</v>
      </c>
      <c r="U359" s="149" t="str">
        <f>+VLOOKUP(PROVEEDORES[[#This Row],[PROVEEDOR]],Terceros!$A:$E,5,FALSE)</f>
        <v>2,5% con base</v>
      </c>
      <c r="V359" s="150">
        <f>+YEAR(PROVEEDORES[[#This Row],[FECHA DE FACTURACIÓN]])</f>
        <v>2021</v>
      </c>
      <c r="W359" s="150">
        <f>+MATCH(PROVEEDORES[[#This Row],[año facturado]],Retenciones!$1:$1,0)</f>
        <v>4</v>
      </c>
      <c r="X359" s="151">
        <f>+VLOOKUP(PROVEEDORES[[#This Row],[ID RETENCION]],Retenciones!$A$1:$O$24,PROVEEDORES[[#This Row],[indicador de columna]],FALSE)</f>
        <v>980000</v>
      </c>
      <c r="Y359" s="152">
        <f>+VLOOKUP(PROVEEDORES[[#This Row],[ID RETENCION]],Retenciones!$A$1:$O$24,2,FALSE)</f>
        <v>2.5000000000000001E-2</v>
      </c>
      <c r="Z359" s="26"/>
      <c r="AA359" s="26"/>
      <c r="AB359" s="26"/>
      <c r="AC359" s="26"/>
      <c r="AD359" s="26"/>
      <c r="AE359" s="26"/>
    </row>
    <row r="360" spans="1:31" ht="21.95" customHeight="1" x14ac:dyDescent="0.25">
      <c r="A360" s="97" t="str">
        <f>+IF(PROVEEDORES[[#This Row],[FECHA DE PAGO]]=PROVEEDORES[[#This Row],[FECHA DE FACTURACIÓN]],"DE CONTADO","CRÉDITO")</f>
        <v>CRÉDITO</v>
      </c>
      <c r="B360" s="41" t="b">
        <f>+IF((PROVEEDORES[[#This Row],[FECHA DE PAGO]]-PROVEEDORES[[#This Row],[FECHA DE FACTURACIÓN]])&gt;PROVEEDORES[[#This Row],[PLAZO Días]],"PAGO VENCIDO")</f>
        <v>0</v>
      </c>
      <c r="C360" s="22">
        <f>+VLOOKUP(PROVEEDORES[[#This Row],[PROVEEDOR]],TERCEROS_INFO[#All],2,FALSE)</f>
        <v>13</v>
      </c>
      <c r="D360" s="27">
        <f>+SUMIFS(PROVEEDORES[Total],PROVEEDORES[PROVEEDOR],PROVEEDORES[[#This Row],[PROVEEDOR]],PROVEEDORES[FECHA DE PAGO],"")</f>
        <v>2130283</v>
      </c>
      <c r="E360" s="27"/>
      <c r="F360" s="62">
        <f>+VLOOKUP(PROVEEDORES[[#This Row],[PROVEEDOR]],
                       Terceros!$A:$G,
                       6,
                       FALSE)</f>
        <v>0</v>
      </c>
      <c r="G360" s="95">
        <v>44363</v>
      </c>
      <c r="H360" s="28" t="s">
        <v>326</v>
      </c>
      <c r="I360" s="95">
        <v>44366</v>
      </c>
      <c r="J360" s="38" t="s">
        <v>738</v>
      </c>
      <c r="K360" s="23">
        <v>5450060</v>
      </c>
      <c r="L360" s="23"/>
      <c r="M360" s="24">
        <v>0</v>
      </c>
      <c r="N360" s="25"/>
      <c r="O360" s="24">
        <v>0</v>
      </c>
      <c r="P360" s="136">
        <f>+IF(PROVEEDORES[[#This Row],[SUBTOTAL]]&lt;PROVEEDORES[[#This Row],[base retencion]],0,PROVEEDORES[[#This Row],[retención aplicada]])</f>
        <v>0</v>
      </c>
      <c r="Q360" s="24">
        <f>+PROVEEDORES[[#This Row],[Rete Fuente %]]*PROVEEDORES[[#This Row],[SUBTOTAL]]</f>
        <v>0</v>
      </c>
      <c r="R360" s="23">
        <v>5450060</v>
      </c>
      <c r="S36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0" s="99">
        <f ca="1">IF(PROVEEDORES[[#This Row],[FECHA DE PAGO]]=0,TODAY()-PROVEEDORES[[#This Row],[FECHA DE FACTURACIÓN]]-PROVEEDORES[[#This Row],[PLAZO Días]],0)</f>
        <v>0</v>
      </c>
      <c r="U360" s="149">
        <f>+VLOOKUP(PROVEEDORES[[#This Row],[PROVEEDOR]],Terceros!$A:$E,5,FALSE)</f>
        <v>0</v>
      </c>
      <c r="V360" s="150">
        <f>+YEAR(PROVEEDORES[[#This Row],[FECHA DE FACTURACIÓN]])</f>
        <v>2021</v>
      </c>
      <c r="W360" s="150">
        <f>+MATCH(PROVEEDORES[[#This Row],[año facturado]],Retenciones!$1:$1,0)</f>
        <v>4</v>
      </c>
      <c r="X360" s="151">
        <f>+VLOOKUP(PROVEEDORES[[#This Row],[ID RETENCION]],Retenciones!$A$1:$O$24,PROVEEDORES[[#This Row],[indicador de columna]],FALSE)</f>
        <v>0</v>
      </c>
      <c r="Y360" s="152">
        <f>+VLOOKUP(PROVEEDORES[[#This Row],[ID RETENCION]],Retenciones!$A$1:$O$24,2,FALSE)</f>
        <v>0</v>
      </c>
      <c r="Z360" s="26"/>
      <c r="AA360" s="26"/>
      <c r="AB360" s="26"/>
      <c r="AC360" s="26"/>
      <c r="AD360" s="26"/>
      <c r="AE360" s="26"/>
    </row>
    <row r="361" spans="1:31" ht="21.95" customHeight="1" x14ac:dyDescent="0.25">
      <c r="A361" s="97" t="str">
        <f>+IF(PROVEEDORES[[#This Row],[FECHA DE PAGO]]=PROVEEDORES[[#This Row],[FECHA DE FACTURACIÓN]],"DE CONTADO","CRÉDITO")</f>
        <v>DE CONTADO</v>
      </c>
      <c r="B361" s="41" t="b">
        <f>+IF((PROVEEDORES[[#This Row],[FECHA DE PAGO]]-PROVEEDORES[[#This Row],[FECHA DE FACTURACIÓN]])&gt;PROVEEDORES[[#This Row],[PLAZO Días]],"PAGO VENCIDO")</f>
        <v>0</v>
      </c>
      <c r="C361" s="22">
        <f>+VLOOKUP(PROVEEDORES[[#This Row],[PROVEEDOR]],TERCEROS_INFO[#All],2,FALSE)</f>
        <v>30</v>
      </c>
      <c r="D361" s="27">
        <f>+SUMIFS(PROVEEDORES[Total],PROVEEDORES[PROVEEDOR],PROVEEDORES[[#This Row],[PROVEEDOR]],PROVEEDORES[FECHA DE PAGO],"")</f>
        <v>0</v>
      </c>
      <c r="E361" s="27"/>
      <c r="F361" s="62" t="str">
        <f>+VLOOKUP(PROVEEDORES[[#This Row],[PROVEEDOR]],
                       Terceros!$A:$G,
                       6,
                       FALSE)</f>
        <v/>
      </c>
      <c r="G361" s="95">
        <v>44331</v>
      </c>
      <c r="H361" s="28" t="s">
        <v>1046</v>
      </c>
      <c r="I361" s="95">
        <v>44331</v>
      </c>
      <c r="J361" s="38"/>
      <c r="K361" s="23">
        <v>600000</v>
      </c>
      <c r="L361" s="23"/>
      <c r="M361" s="24">
        <v>0</v>
      </c>
      <c r="N361" s="25"/>
      <c r="O361" s="24">
        <v>0</v>
      </c>
      <c r="P361" s="136">
        <f>+IF(PROVEEDORES[[#This Row],[SUBTOTAL]]&lt;PROVEEDORES[[#This Row],[base retencion]],0,PROVEEDORES[[#This Row],[retención aplicada]])</f>
        <v>0</v>
      </c>
      <c r="Q361" s="24">
        <f>+PROVEEDORES[[#This Row],[Rete Fuente %]]*PROVEEDORES[[#This Row],[SUBTOTAL]]</f>
        <v>0</v>
      </c>
      <c r="R361" s="23">
        <v>600000</v>
      </c>
      <c r="S36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1" s="99">
        <f ca="1">IF(PROVEEDORES[[#This Row],[FECHA DE PAGO]]=0,TODAY()-PROVEEDORES[[#This Row],[FECHA DE FACTURACIÓN]]-PROVEEDORES[[#This Row],[PLAZO Días]],0)</f>
        <v>0</v>
      </c>
      <c r="U361" s="149">
        <f>+VLOOKUP(PROVEEDORES[[#This Row],[PROVEEDOR]],Terceros!$A:$E,5,FALSE)</f>
        <v>0</v>
      </c>
      <c r="V361" s="150">
        <f>+YEAR(PROVEEDORES[[#This Row],[FECHA DE FACTURACIÓN]])</f>
        <v>2021</v>
      </c>
      <c r="W361" s="150">
        <f>+MATCH(PROVEEDORES[[#This Row],[año facturado]],Retenciones!$1:$1,0)</f>
        <v>4</v>
      </c>
      <c r="X361" s="151">
        <f>+VLOOKUP(PROVEEDORES[[#This Row],[ID RETENCION]],Retenciones!$A$1:$O$24,PROVEEDORES[[#This Row],[indicador de columna]],FALSE)</f>
        <v>0</v>
      </c>
      <c r="Y361" s="152">
        <f>+VLOOKUP(PROVEEDORES[[#This Row],[ID RETENCION]],Retenciones!$A$1:$O$24,2,FALSE)</f>
        <v>0</v>
      </c>
      <c r="Z361" s="26"/>
      <c r="AA361" s="26"/>
      <c r="AB361" s="26"/>
      <c r="AC361" s="26"/>
      <c r="AD361" s="26"/>
      <c r="AE361" s="26"/>
    </row>
    <row r="362" spans="1:31" ht="21.95" customHeight="1" x14ac:dyDescent="0.25">
      <c r="A362" s="97" t="str">
        <f>+IF(PROVEEDORES[[#This Row],[FECHA DE PAGO]]=PROVEEDORES[[#This Row],[FECHA DE FACTURACIÓN]],"DE CONTADO","CRÉDITO")</f>
        <v>CRÉDITO</v>
      </c>
      <c r="B362" s="41" t="b">
        <f>+IF((PROVEEDORES[[#This Row],[FECHA DE PAGO]]-PROVEEDORES[[#This Row],[FECHA DE FACTURACIÓN]])&gt;PROVEEDORES[[#This Row],[PLAZO Días]],"PAGO VENCIDO")</f>
        <v>0</v>
      </c>
      <c r="C362" s="22">
        <f>+VLOOKUP(PROVEEDORES[[#This Row],[PROVEEDOR]],TERCEROS_INFO[#All],2,FALSE)</f>
        <v>20</v>
      </c>
      <c r="D362" s="27">
        <f>+SUMIFS(PROVEEDORES[Total],PROVEEDORES[PROVEEDOR],PROVEEDORES[[#This Row],[PROVEEDOR]],PROVEEDORES[FECHA DE PAGO],"")</f>
        <v>0</v>
      </c>
      <c r="E362" s="27"/>
      <c r="F362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362" s="95">
        <v>44341</v>
      </c>
      <c r="H362" s="28" t="s">
        <v>445</v>
      </c>
      <c r="I362" s="95">
        <v>44334</v>
      </c>
      <c r="J362" s="38" t="s">
        <v>704</v>
      </c>
      <c r="K362" s="23">
        <v>205300</v>
      </c>
      <c r="L362" s="23"/>
      <c r="M362" s="24">
        <v>0</v>
      </c>
      <c r="N362" s="25"/>
      <c r="O362" s="24">
        <v>0</v>
      </c>
      <c r="P362" s="136">
        <f>+IF(PROVEEDORES[[#This Row],[SUBTOTAL]]&lt;PROVEEDORES[[#This Row],[base retencion]],0,PROVEEDORES[[#This Row],[retención aplicada]])</f>
        <v>0.01</v>
      </c>
      <c r="Q362" s="24">
        <f>+PROVEEDORES[[#This Row],[Rete Fuente %]]*PROVEEDORES[[#This Row],[SUBTOTAL]]</f>
        <v>2053</v>
      </c>
      <c r="R362" s="23">
        <v>203247</v>
      </c>
      <c r="S36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2" s="99">
        <f ca="1">IF(PROVEEDORES[[#This Row],[FECHA DE PAGO]]=0,TODAY()-PROVEEDORES[[#This Row],[FECHA DE FACTURACIÓN]]-PROVEEDORES[[#This Row],[PLAZO Días]],0)</f>
        <v>0</v>
      </c>
      <c r="U362" s="149" t="str">
        <f>+VLOOKUP(PROVEEDORES[[#This Row],[PROVEEDOR]],Terceros!$A:$E,5,FALSE)</f>
        <v>1% con base</v>
      </c>
      <c r="V362" s="150">
        <f>+YEAR(PROVEEDORES[[#This Row],[FECHA DE FACTURACIÓN]])</f>
        <v>2021</v>
      </c>
      <c r="W362" s="150">
        <f>+MATCH(PROVEEDORES[[#This Row],[año facturado]],Retenciones!$1:$1,0)</f>
        <v>4</v>
      </c>
      <c r="X362" s="151">
        <f>+VLOOKUP(PROVEEDORES[[#This Row],[ID RETENCION]],Retenciones!$A$1:$O$24,PROVEEDORES[[#This Row],[indicador de columna]],FALSE)</f>
        <v>145000</v>
      </c>
      <c r="Y362" s="152">
        <f>+VLOOKUP(PROVEEDORES[[#This Row],[ID RETENCION]],Retenciones!$A$1:$O$24,2,FALSE)</f>
        <v>0.01</v>
      </c>
      <c r="Z362" s="26"/>
      <c r="AA362" s="26"/>
      <c r="AB362" s="26"/>
      <c r="AC362" s="26"/>
      <c r="AD362" s="26"/>
      <c r="AE362" s="26"/>
    </row>
    <row r="363" spans="1:31" ht="21.95" customHeight="1" x14ac:dyDescent="0.25">
      <c r="A363" s="97" t="str">
        <f>+IF(PROVEEDORES[[#This Row],[FECHA DE PAGO]]=PROVEEDORES[[#This Row],[FECHA DE FACTURACIÓN]],"DE CONTADO","CRÉDITO")</f>
        <v>DE CONTADO</v>
      </c>
      <c r="B363" s="41" t="b">
        <f>+IF((PROVEEDORES[[#This Row],[FECHA DE PAGO]]-PROVEEDORES[[#This Row],[FECHA DE FACTURACIÓN]])&gt;PROVEEDORES[[#This Row],[PLAZO Días]],"PAGO VENCIDO")</f>
        <v>0</v>
      </c>
      <c r="C363" s="22">
        <f>+VLOOKUP(PROVEEDORES[[#This Row],[PROVEEDOR]],TERCEROS_INFO[#All],2,FALSE)</f>
        <v>30</v>
      </c>
      <c r="D363" s="27">
        <f>+SUMIFS(PROVEEDORES[Total],PROVEEDORES[PROVEEDOR],PROVEEDORES[[#This Row],[PROVEEDOR]],PROVEEDORES[FECHA DE PAGO],"")</f>
        <v>0</v>
      </c>
      <c r="E363" s="27"/>
      <c r="F363" s="62" t="str">
        <f>+VLOOKUP(PROVEEDORES[[#This Row],[PROVEEDOR]],
                       Terceros!$A:$G,
                       6,
                       FALSE)</f>
        <v/>
      </c>
      <c r="G363" s="95">
        <v>44334</v>
      </c>
      <c r="H363" s="28" t="s">
        <v>1031</v>
      </c>
      <c r="I363" s="95">
        <v>44334</v>
      </c>
      <c r="J363" s="38" t="s">
        <v>703</v>
      </c>
      <c r="K363" s="23">
        <v>376000</v>
      </c>
      <c r="L363" s="23"/>
      <c r="M363" s="24">
        <v>0</v>
      </c>
      <c r="N363" s="25"/>
      <c r="O363" s="24">
        <v>0</v>
      </c>
      <c r="P363" s="136">
        <f>+IF(PROVEEDORES[[#This Row],[SUBTOTAL]]&lt;PROVEEDORES[[#This Row],[base retencion]],0,PROVEEDORES[[#This Row],[retención aplicada]])</f>
        <v>0</v>
      </c>
      <c r="Q363" s="24">
        <f>+PROVEEDORES[[#This Row],[Rete Fuente %]]*PROVEEDORES[[#This Row],[SUBTOTAL]]</f>
        <v>0</v>
      </c>
      <c r="R363" s="23">
        <v>376000</v>
      </c>
      <c r="S36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3" s="99">
        <f ca="1">IF(PROVEEDORES[[#This Row],[FECHA DE PAGO]]=0,TODAY()-PROVEEDORES[[#This Row],[FECHA DE FACTURACIÓN]]-PROVEEDORES[[#This Row],[PLAZO Días]],0)</f>
        <v>0</v>
      </c>
      <c r="U363" s="149">
        <f>+VLOOKUP(PROVEEDORES[[#This Row],[PROVEEDOR]],Terceros!$A:$E,5,FALSE)</f>
        <v>0</v>
      </c>
      <c r="V363" s="150">
        <f>+YEAR(PROVEEDORES[[#This Row],[FECHA DE FACTURACIÓN]])</f>
        <v>2021</v>
      </c>
      <c r="W363" s="150">
        <f>+MATCH(PROVEEDORES[[#This Row],[año facturado]],Retenciones!$1:$1,0)</f>
        <v>4</v>
      </c>
      <c r="X363" s="151">
        <f>+VLOOKUP(PROVEEDORES[[#This Row],[ID RETENCION]],Retenciones!$A$1:$O$24,PROVEEDORES[[#This Row],[indicador de columna]],FALSE)</f>
        <v>0</v>
      </c>
      <c r="Y363" s="152">
        <f>+VLOOKUP(PROVEEDORES[[#This Row],[ID RETENCION]],Retenciones!$A$1:$O$24,2,FALSE)</f>
        <v>0</v>
      </c>
      <c r="Z363" s="26"/>
      <c r="AA363" s="26"/>
      <c r="AB363" s="26"/>
      <c r="AC363" s="26"/>
      <c r="AD363" s="26"/>
      <c r="AE363" s="26"/>
    </row>
    <row r="364" spans="1:31" ht="21.95" customHeight="1" x14ac:dyDescent="0.25">
      <c r="A364" s="97" t="str">
        <f>+IF(PROVEEDORES[[#This Row],[FECHA DE PAGO]]=PROVEEDORES[[#This Row],[FECHA DE FACTURACIÓN]],"DE CONTADO","CRÉDITO")</f>
        <v>CRÉDITO</v>
      </c>
      <c r="B364" s="41" t="b">
        <f>+IF((PROVEEDORES[[#This Row],[FECHA DE PAGO]]-PROVEEDORES[[#This Row],[FECHA DE FACTURACIÓN]])&gt;PROVEEDORES[[#This Row],[PLAZO Días]],"PAGO VENCIDO")</f>
        <v>0</v>
      </c>
      <c r="C364" s="22">
        <f>+VLOOKUP(PROVEEDORES[[#This Row],[PROVEEDOR]],TERCEROS_INFO[#All],2,FALSE)</f>
        <v>30</v>
      </c>
      <c r="D364" s="27">
        <f>+SUMIFS(PROVEEDORES[Total],PROVEEDORES[PROVEEDOR],PROVEEDORES[[#This Row],[PROVEEDOR]],PROVEEDORES[FECHA DE PAGO],"")</f>
        <v>1860500</v>
      </c>
      <c r="E364" s="27"/>
      <c r="F364" s="62" t="str">
        <f>+VLOOKUP(PROVEEDORES[[#This Row],[PROVEEDOR]],
                       Terceros!$A:$G,
                       6,
                       FALSE)</f>
        <v/>
      </c>
      <c r="G364" s="95">
        <v>44355</v>
      </c>
      <c r="H364" s="28" t="s">
        <v>1064</v>
      </c>
      <c r="I364" s="95">
        <v>44335</v>
      </c>
      <c r="J364" s="38" t="s">
        <v>706</v>
      </c>
      <c r="K364" s="23">
        <v>490000</v>
      </c>
      <c r="L364" s="23"/>
      <c r="M364" s="24">
        <v>0</v>
      </c>
      <c r="N364" s="25"/>
      <c r="O364" s="24">
        <v>0</v>
      </c>
      <c r="P364" s="136">
        <f>+IF(PROVEEDORES[[#This Row],[SUBTOTAL]]&lt;PROVEEDORES[[#This Row],[base retencion]],0,PROVEEDORES[[#This Row],[retención aplicada]])</f>
        <v>0</v>
      </c>
      <c r="Q364" s="24">
        <f>+PROVEEDORES[[#This Row],[Rete Fuente %]]*PROVEEDORES[[#This Row],[SUBTOTAL]]</f>
        <v>0</v>
      </c>
      <c r="R364" s="23">
        <v>490000</v>
      </c>
      <c r="S36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4" s="99">
        <f ca="1">IF(PROVEEDORES[[#This Row],[FECHA DE PAGO]]=0,TODAY()-PROVEEDORES[[#This Row],[FECHA DE FACTURACIÓN]]-PROVEEDORES[[#This Row],[PLAZO Días]],0)</f>
        <v>0</v>
      </c>
      <c r="U364" s="149">
        <f>+VLOOKUP(PROVEEDORES[[#This Row],[PROVEEDOR]],Terceros!$A:$E,5,FALSE)</f>
        <v>0</v>
      </c>
      <c r="V364" s="150">
        <f>+YEAR(PROVEEDORES[[#This Row],[FECHA DE FACTURACIÓN]])</f>
        <v>2021</v>
      </c>
      <c r="W364" s="150">
        <f>+MATCH(PROVEEDORES[[#This Row],[año facturado]],Retenciones!$1:$1,0)</f>
        <v>4</v>
      </c>
      <c r="X364" s="151">
        <f>+VLOOKUP(PROVEEDORES[[#This Row],[ID RETENCION]],Retenciones!$A$1:$O$24,PROVEEDORES[[#This Row],[indicador de columna]],FALSE)</f>
        <v>0</v>
      </c>
      <c r="Y364" s="152">
        <f>+VLOOKUP(PROVEEDORES[[#This Row],[ID RETENCION]],Retenciones!$A$1:$O$24,2,FALSE)</f>
        <v>0</v>
      </c>
      <c r="Z364" s="26"/>
      <c r="AA364" s="26"/>
      <c r="AB364" s="26"/>
      <c r="AC364" s="26"/>
      <c r="AD364" s="26"/>
      <c r="AE364" s="26"/>
    </row>
    <row r="365" spans="1:31" ht="21.95" customHeight="1" x14ac:dyDescent="0.25">
      <c r="A365" s="97" t="str">
        <f>+IF(PROVEEDORES[[#This Row],[FECHA DE PAGO]]=PROVEEDORES[[#This Row],[FECHA DE FACTURACIÓN]],"DE CONTADO","CRÉDITO")</f>
        <v>CRÉDITO</v>
      </c>
      <c r="B365" s="41" t="str">
        <f>+IF((PROVEEDORES[[#This Row],[FECHA DE PAGO]]-PROVEEDORES[[#This Row],[FECHA DE FACTURACIÓN]])&gt;PROVEEDORES[[#This Row],[PLAZO Días]],"PAGO VENCIDO")</f>
        <v>PAGO VENCIDO</v>
      </c>
      <c r="C365" s="22">
        <f>+VLOOKUP(PROVEEDORES[[#This Row],[PROVEEDOR]],TERCEROS_INFO[#All],2,FALSE)</f>
        <v>30</v>
      </c>
      <c r="D365" s="27">
        <f>+SUMIFS(PROVEEDORES[Total],PROVEEDORES[PROVEEDOR],PROVEEDORES[[#This Row],[PROVEEDOR]],PROVEEDORES[FECHA DE PAGO],"")</f>
        <v>3099000</v>
      </c>
      <c r="E365" s="27"/>
      <c r="F365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365" s="95">
        <v>44411</v>
      </c>
      <c r="H365" s="28" t="s">
        <v>1079</v>
      </c>
      <c r="I365" s="95">
        <v>44335</v>
      </c>
      <c r="J365" s="38" t="s">
        <v>707</v>
      </c>
      <c r="K365" s="23">
        <v>780000</v>
      </c>
      <c r="L365" s="23"/>
      <c r="M365" s="24">
        <v>0</v>
      </c>
      <c r="N365" s="25"/>
      <c r="O365" s="24">
        <v>0</v>
      </c>
      <c r="P365" s="136">
        <f>+IF(PROVEEDORES[[#This Row],[SUBTOTAL]]&lt;PROVEEDORES[[#This Row],[base retencion]],0,PROVEEDORES[[#This Row],[retención aplicada]])</f>
        <v>0</v>
      </c>
      <c r="Q365" s="24">
        <f>+PROVEEDORES[[#This Row],[Rete Fuente %]]*PROVEEDORES[[#This Row],[SUBTOTAL]]</f>
        <v>0</v>
      </c>
      <c r="R365" s="23">
        <v>780000</v>
      </c>
      <c r="S36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5" s="99">
        <f ca="1">IF(PROVEEDORES[[#This Row],[FECHA DE PAGO]]=0,TODAY()-PROVEEDORES[[#This Row],[FECHA DE FACTURACIÓN]]-PROVEEDORES[[#This Row],[PLAZO Días]],0)</f>
        <v>0</v>
      </c>
      <c r="U365" s="149">
        <f>+VLOOKUP(PROVEEDORES[[#This Row],[PROVEEDOR]],Terceros!$A:$E,5,FALSE)</f>
        <v>0</v>
      </c>
      <c r="V365" s="150">
        <f>+YEAR(PROVEEDORES[[#This Row],[FECHA DE FACTURACIÓN]])</f>
        <v>2021</v>
      </c>
      <c r="W365" s="150">
        <f>+MATCH(PROVEEDORES[[#This Row],[año facturado]],Retenciones!$1:$1,0)</f>
        <v>4</v>
      </c>
      <c r="X365" s="151">
        <f>+VLOOKUP(PROVEEDORES[[#This Row],[ID RETENCION]],Retenciones!$A$1:$O$24,PROVEEDORES[[#This Row],[indicador de columna]],FALSE)</f>
        <v>0</v>
      </c>
      <c r="Y365" s="152">
        <f>+VLOOKUP(PROVEEDORES[[#This Row],[ID RETENCION]],Retenciones!$A$1:$O$24,2,FALSE)</f>
        <v>0</v>
      </c>
      <c r="Z365" s="26"/>
      <c r="AA365" s="26"/>
      <c r="AB365" s="26"/>
      <c r="AC365" s="26"/>
      <c r="AD365" s="26"/>
      <c r="AE365" s="26"/>
    </row>
    <row r="366" spans="1:31" ht="21.95" customHeight="1" x14ac:dyDescent="0.25">
      <c r="A366" s="97" t="str">
        <f>+IF(PROVEEDORES[[#This Row],[FECHA DE PAGO]]=PROVEEDORES[[#This Row],[FECHA DE FACTURACIÓN]],"DE CONTADO","CRÉDITO")</f>
        <v>CRÉDITO</v>
      </c>
      <c r="B366" s="41" t="b">
        <f>+IF((PROVEEDORES[[#This Row],[FECHA DE PAGO]]-PROVEEDORES[[#This Row],[FECHA DE FACTURACIÓN]])&gt;PROVEEDORES[[#This Row],[PLAZO Días]],"PAGO VENCIDO")</f>
        <v>0</v>
      </c>
      <c r="C366" s="22">
        <f>+VLOOKUP(PROVEEDORES[[#This Row],[PROVEEDOR]],TERCEROS_INFO[#All],2,FALSE)</f>
        <v>30</v>
      </c>
      <c r="D366" s="27">
        <f>+SUMIFS(PROVEEDORES[Total],PROVEEDORES[PROVEEDOR],PROVEEDORES[[#This Row],[PROVEEDOR]],PROVEEDORES[FECHA DE PAGO],"")</f>
        <v>0</v>
      </c>
      <c r="E366" s="27"/>
      <c r="F366" s="62" t="str">
        <f>+VLOOKUP(PROVEEDORES[[#This Row],[PROVEEDOR]],
                       Terceros!$A:$G,
                       6,
                       FALSE)</f>
        <v/>
      </c>
      <c r="G366" s="95">
        <v>44336</v>
      </c>
      <c r="H366" s="28" t="s">
        <v>1069</v>
      </c>
      <c r="I366" s="95">
        <v>44335</v>
      </c>
      <c r="J366" s="38">
        <v>628478</v>
      </c>
      <c r="K366" s="23">
        <v>2327596</v>
      </c>
      <c r="L366" s="23"/>
      <c r="M366" s="24">
        <v>0</v>
      </c>
      <c r="N366" s="25"/>
      <c r="O366" s="24">
        <v>0</v>
      </c>
      <c r="P366" s="136">
        <f>+IF(PROVEEDORES[[#This Row],[SUBTOTAL]]&lt;PROVEEDORES[[#This Row],[base retencion]],0,PROVEEDORES[[#This Row],[retención aplicada]])</f>
        <v>0</v>
      </c>
      <c r="Q366" s="24">
        <f>+PROVEEDORES[[#This Row],[Rete Fuente %]]*PROVEEDORES[[#This Row],[SUBTOTAL]]</f>
        <v>0</v>
      </c>
      <c r="R366" s="23">
        <v>2327596</v>
      </c>
      <c r="S36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6" s="99">
        <f ca="1">IF(PROVEEDORES[[#This Row],[FECHA DE PAGO]]=0,TODAY()-PROVEEDORES[[#This Row],[FECHA DE FACTURACIÓN]]-PROVEEDORES[[#This Row],[PLAZO Días]],0)</f>
        <v>0</v>
      </c>
      <c r="U366" s="149">
        <f>+VLOOKUP(PROVEEDORES[[#This Row],[PROVEEDOR]],Terceros!$A:$E,5,FALSE)</f>
        <v>0</v>
      </c>
      <c r="V366" s="150">
        <f>+YEAR(PROVEEDORES[[#This Row],[FECHA DE FACTURACIÓN]])</f>
        <v>2021</v>
      </c>
      <c r="W366" s="150">
        <f>+MATCH(PROVEEDORES[[#This Row],[año facturado]],Retenciones!$1:$1,0)</f>
        <v>4</v>
      </c>
      <c r="X366" s="151">
        <f>+VLOOKUP(PROVEEDORES[[#This Row],[ID RETENCION]],Retenciones!$A$1:$O$24,PROVEEDORES[[#This Row],[indicador de columna]],FALSE)</f>
        <v>0</v>
      </c>
      <c r="Y366" s="152">
        <f>+VLOOKUP(PROVEEDORES[[#This Row],[ID RETENCION]],Retenciones!$A$1:$O$24,2,FALSE)</f>
        <v>0</v>
      </c>
      <c r="Z366" s="26"/>
      <c r="AA366" s="26"/>
      <c r="AB366" s="26"/>
      <c r="AC366" s="26"/>
      <c r="AD366" s="26"/>
      <c r="AE366" s="26"/>
    </row>
    <row r="367" spans="1:31" ht="21.95" customHeight="1" x14ac:dyDescent="0.25">
      <c r="A367" s="97" t="str">
        <f>+IF(PROVEEDORES[[#This Row],[FECHA DE PAGO]]=PROVEEDORES[[#This Row],[FECHA DE FACTURACIÓN]],"DE CONTADO","CRÉDITO")</f>
        <v>DE CONTADO</v>
      </c>
      <c r="B367" s="41" t="b">
        <f>+IF((PROVEEDORES[[#This Row],[FECHA DE PAGO]]-PROVEEDORES[[#This Row],[FECHA DE FACTURACIÓN]])&gt;PROVEEDORES[[#This Row],[PLAZO Días]],"PAGO VENCIDO")</f>
        <v>0</v>
      </c>
      <c r="C367" s="22">
        <f>+VLOOKUP(PROVEEDORES[[#This Row],[PROVEEDOR]],TERCEROS_INFO[#All],2,FALSE)</f>
        <v>30</v>
      </c>
      <c r="D367" s="27">
        <f>+SUMIFS(PROVEEDORES[Total],PROVEEDORES[PROVEEDOR],PROVEEDORES[[#This Row],[PROVEEDOR]],PROVEEDORES[FECHA DE PAGO],"")</f>
        <v>0</v>
      </c>
      <c r="E367" s="27"/>
      <c r="F367" s="62" t="str">
        <f>+VLOOKUP(PROVEEDORES[[#This Row],[PROVEEDOR]],
                       Terceros!$A:$G,
                       6,
                       FALSE)</f>
        <v/>
      </c>
      <c r="G367" s="95">
        <v>44335</v>
      </c>
      <c r="H367" s="28" t="s">
        <v>1001</v>
      </c>
      <c r="I367" s="95">
        <v>44335</v>
      </c>
      <c r="J367" s="38" t="s">
        <v>705</v>
      </c>
      <c r="K367" s="23">
        <v>4819000</v>
      </c>
      <c r="L367" s="23"/>
      <c r="M367" s="24">
        <v>0</v>
      </c>
      <c r="N367" s="25"/>
      <c r="O367" s="24">
        <v>0</v>
      </c>
      <c r="P367" s="136">
        <f>+IF(PROVEEDORES[[#This Row],[SUBTOTAL]]&lt;PROVEEDORES[[#This Row],[base retencion]],0,PROVEEDORES[[#This Row],[retención aplicada]])</f>
        <v>0</v>
      </c>
      <c r="Q367" s="24">
        <f>+PROVEEDORES[[#This Row],[Rete Fuente %]]*PROVEEDORES[[#This Row],[SUBTOTAL]]</f>
        <v>0</v>
      </c>
      <c r="R367" s="23">
        <v>4819000</v>
      </c>
      <c r="S36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7" s="99">
        <f ca="1">IF(PROVEEDORES[[#This Row],[FECHA DE PAGO]]=0,TODAY()-PROVEEDORES[[#This Row],[FECHA DE FACTURACIÓN]]-PROVEEDORES[[#This Row],[PLAZO Días]],0)</f>
        <v>0</v>
      </c>
      <c r="U367" s="149">
        <f>+VLOOKUP(PROVEEDORES[[#This Row],[PROVEEDOR]],Terceros!$A:$E,5,FALSE)</f>
        <v>0</v>
      </c>
      <c r="V367" s="150">
        <f>+YEAR(PROVEEDORES[[#This Row],[FECHA DE FACTURACIÓN]])</f>
        <v>2021</v>
      </c>
      <c r="W367" s="150">
        <f>+MATCH(PROVEEDORES[[#This Row],[año facturado]],Retenciones!$1:$1,0)</f>
        <v>4</v>
      </c>
      <c r="X367" s="151">
        <f>+VLOOKUP(PROVEEDORES[[#This Row],[ID RETENCION]],Retenciones!$A$1:$O$24,PROVEEDORES[[#This Row],[indicador de columna]],FALSE)</f>
        <v>0</v>
      </c>
      <c r="Y367" s="152">
        <f>+VLOOKUP(PROVEEDORES[[#This Row],[ID RETENCION]],Retenciones!$A$1:$O$24,2,FALSE)</f>
        <v>0</v>
      </c>
      <c r="Z367" s="26"/>
      <c r="AA367" s="26"/>
      <c r="AB367" s="26"/>
      <c r="AC367" s="26"/>
      <c r="AD367" s="26"/>
      <c r="AE367" s="26"/>
    </row>
    <row r="368" spans="1:31" ht="21.95" customHeight="1" x14ac:dyDescent="0.25">
      <c r="A368" s="97" t="str">
        <f>+IF(PROVEEDORES[[#This Row],[FECHA DE PAGO]]=PROVEEDORES[[#This Row],[FECHA DE FACTURACIÓN]],"DE CONTADO","CRÉDITO")</f>
        <v>DE CONTADO</v>
      </c>
      <c r="B368" s="41" t="b">
        <f>+IF((PROVEEDORES[[#This Row],[FECHA DE PAGO]]-PROVEEDORES[[#This Row],[FECHA DE FACTURACIÓN]])&gt;PROVEEDORES[[#This Row],[PLAZO Días]],"PAGO VENCIDO")</f>
        <v>0</v>
      </c>
      <c r="C368" s="22">
        <f>+VLOOKUP(PROVEEDORES[[#This Row],[PROVEEDOR]],TERCEROS_INFO[#All],2,FALSE)</f>
        <v>30</v>
      </c>
      <c r="D368" s="27">
        <f>+SUMIFS(PROVEEDORES[Total],PROVEEDORES[PROVEEDOR],PROVEEDORES[[#This Row],[PROVEEDOR]],PROVEEDORES[FECHA DE PAGO],"")</f>
        <v>0</v>
      </c>
      <c r="E368" s="27"/>
      <c r="F368" s="62" t="str">
        <f>+VLOOKUP(PROVEEDORES[[#This Row],[PROVEEDOR]],
                       Terceros!$A:$G,
                       6,
                       FALSE)</f>
        <v/>
      </c>
      <c r="G368" s="95">
        <v>44336</v>
      </c>
      <c r="H368" s="28" t="s">
        <v>1077</v>
      </c>
      <c r="I368" s="95">
        <v>44336</v>
      </c>
      <c r="J368" s="38" t="s">
        <v>710</v>
      </c>
      <c r="K368" s="23">
        <v>91000</v>
      </c>
      <c r="L368" s="23"/>
      <c r="M368" s="24">
        <v>0</v>
      </c>
      <c r="N368" s="25"/>
      <c r="O368" s="24">
        <v>0</v>
      </c>
      <c r="P368" s="136">
        <f>+IF(PROVEEDORES[[#This Row],[SUBTOTAL]]&lt;PROVEEDORES[[#This Row],[base retencion]],0,PROVEEDORES[[#This Row],[retención aplicada]])</f>
        <v>0</v>
      </c>
      <c r="Q368" s="24">
        <f>+PROVEEDORES[[#This Row],[Rete Fuente %]]*PROVEEDORES[[#This Row],[SUBTOTAL]]</f>
        <v>0</v>
      </c>
      <c r="R368" s="23">
        <v>91000</v>
      </c>
      <c r="S36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8" s="99">
        <f ca="1">IF(PROVEEDORES[[#This Row],[FECHA DE PAGO]]=0,TODAY()-PROVEEDORES[[#This Row],[FECHA DE FACTURACIÓN]]-PROVEEDORES[[#This Row],[PLAZO Días]],0)</f>
        <v>0</v>
      </c>
      <c r="U368" s="149">
        <f>+VLOOKUP(PROVEEDORES[[#This Row],[PROVEEDOR]],Terceros!$A:$E,5,FALSE)</f>
        <v>0</v>
      </c>
      <c r="V368" s="150">
        <f>+YEAR(PROVEEDORES[[#This Row],[FECHA DE FACTURACIÓN]])</f>
        <v>2021</v>
      </c>
      <c r="W368" s="150">
        <f>+MATCH(PROVEEDORES[[#This Row],[año facturado]],Retenciones!$1:$1,0)</f>
        <v>4</v>
      </c>
      <c r="X368" s="151">
        <f>+VLOOKUP(PROVEEDORES[[#This Row],[ID RETENCION]],Retenciones!$A$1:$O$24,PROVEEDORES[[#This Row],[indicador de columna]],FALSE)</f>
        <v>0</v>
      </c>
      <c r="Y368" s="152">
        <f>+VLOOKUP(PROVEEDORES[[#This Row],[ID RETENCION]],Retenciones!$A$1:$O$24,2,FALSE)</f>
        <v>0</v>
      </c>
      <c r="Z368" s="26"/>
      <c r="AA368" s="26"/>
      <c r="AB368" s="26"/>
      <c r="AC368" s="26"/>
      <c r="AD368" s="26"/>
      <c r="AE368" s="26"/>
    </row>
    <row r="369" spans="1:31" ht="21.95" customHeight="1" x14ac:dyDescent="0.25">
      <c r="A369" s="97" t="str">
        <f>+IF(PROVEEDORES[[#This Row],[FECHA DE PAGO]]=PROVEEDORES[[#This Row],[FECHA DE FACTURACIÓN]],"DE CONTADO","CRÉDITO")</f>
        <v>DE CONTADO</v>
      </c>
      <c r="B369" s="41" t="b">
        <f>+IF((PROVEEDORES[[#This Row],[FECHA DE PAGO]]-PROVEEDORES[[#This Row],[FECHA DE FACTURACIÓN]])&gt;PROVEEDORES[[#This Row],[PLAZO Días]],"PAGO VENCIDO")</f>
        <v>0</v>
      </c>
      <c r="C369" s="22">
        <f>+VLOOKUP(PROVEEDORES[[#This Row],[PROVEEDOR]],TERCEROS_INFO[#All],2,FALSE)</f>
        <v>30</v>
      </c>
      <c r="D369" s="27">
        <f>+SUMIFS(PROVEEDORES[Total],PROVEEDORES[PROVEEDOR],PROVEEDORES[[#This Row],[PROVEEDOR]],PROVEEDORES[FECHA DE PAGO],"")</f>
        <v>192000.0264</v>
      </c>
      <c r="E369" s="27"/>
      <c r="F369" s="62" t="str">
        <f>+VLOOKUP(PROVEEDORES[[#This Row],[PROVEEDOR]],
                       Terceros!$A:$G,
                       6,
                       FALSE)</f>
        <v>Tuspilas.co@gmail.com;girlesa.ruiz@servipilas.com;joriescobar64@gmail.com</v>
      </c>
      <c r="G369" s="95">
        <v>44336</v>
      </c>
      <c r="H369" s="28" t="s">
        <v>43</v>
      </c>
      <c r="I369" s="95">
        <v>44336</v>
      </c>
      <c r="J369" s="38" t="s">
        <v>381</v>
      </c>
      <c r="K369" s="23">
        <v>294454</v>
      </c>
      <c r="L369" s="23"/>
      <c r="M369" s="24">
        <v>55946.26</v>
      </c>
      <c r="N369" s="25"/>
      <c r="O369" s="24">
        <v>0</v>
      </c>
      <c r="P369" s="136">
        <f>+IF(PROVEEDORES[[#This Row],[SUBTOTAL]]&lt;PROVEEDORES[[#This Row],[base retencion]],0,PROVEEDORES[[#This Row],[retención aplicada]])</f>
        <v>0</v>
      </c>
      <c r="Q369" s="24">
        <f>+PROVEEDORES[[#This Row],[Rete Fuente %]]*PROVEEDORES[[#This Row],[SUBTOTAL]]</f>
        <v>0</v>
      </c>
      <c r="R369" s="23">
        <v>350400.26</v>
      </c>
      <c r="S36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9" s="99">
        <f ca="1">IF(PROVEEDORES[[#This Row],[FECHA DE PAGO]]=0,TODAY()-PROVEEDORES[[#This Row],[FECHA DE FACTURACIÓN]]-PROVEEDORES[[#This Row],[PLAZO Días]],0)</f>
        <v>0</v>
      </c>
      <c r="U369" s="149" t="str">
        <f>+VLOOKUP(PROVEEDORES[[#This Row],[PROVEEDOR]],Terceros!$A:$E,5,FALSE)</f>
        <v>2,5% con base</v>
      </c>
      <c r="V369" s="150">
        <f>+YEAR(PROVEEDORES[[#This Row],[FECHA DE FACTURACIÓN]])</f>
        <v>2021</v>
      </c>
      <c r="W369" s="150">
        <f>+MATCH(PROVEEDORES[[#This Row],[año facturado]],Retenciones!$1:$1,0)</f>
        <v>4</v>
      </c>
      <c r="X369" s="151">
        <f>+VLOOKUP(PROVEEDORES[[#This Row],[ID RETENCION]],Retenciones!$A$1:$O$24,PROVEEDORES[[#This Row],[indicador de columna]],FALSE)</f>
        <v>980000</v>
      </c>
      <c r="Y369" s="152">
        <f>+VLOOKUP(PROVEEDORES[[#This Row],[ID RETENCION]],Retenciones!$A$1:$O$24,2,FALSE)</f>
        <v>2.5000000000000001E-2</v>
      </c>
      <c r="Z369" s="26"/>
      <c r="AA369" s="26"/>
      <c r="AB369" s="26"/>
      <c r="AC369" s="26"/>
      <c r="AD369" s="26"/>
      <c r="AE369" s="26"/>
    </row>
    <row r="370" spans="1:31" ht="21.95" customHeight="1" x14ac:dyDescent="0.25">
      <c r="A370" s="97" t="str">
        <f>+IF(PROVEEDORES[[#This Row],[FECHA DE PAGO]]=PROVEEDORES[[#This Row],[FECHA DE FACTURACIÓN]],"DE CONTADO","CRÉDITO")</f>
        <v>CRÉDITO</v>
      </c>
      <c r="B370" s="41" t="str">
        <f>+IF((PROVEEDORES[[#This Row],[FECHA DE PAGO]]-PROVEEDORES[[#This Row],[FECHA DE FACTURACIÓN]])&gt;PROVEEDORES[[#This Row],[PLAZO Días]],"PAGO VENCIDO")</f>
        <v>PAGO VENCIDO</v>
      </c>
      <c r="C370" s="22">
        <f>+VLOOKUP(PROVEEDORES[[#This Row],[PROVEEDOR]],TERCEROS_INFO[#All],2,FALSE)</f>
        <v>30</v>
      </c>
      <c r="D370" s="27">
        <f>+SUMIFS(PROVEEDORES[Total],PROVEEDORES[PROVEEDOR],PROVEEDORES[[#This Row],[PROVEEDOR]],PROVEEDORES[FECHA DE PAGO],"")</f>
        <v>3320000</v>
      </c>
      <c r="E370" s="27"/>
      <c r="F370" s="62" t="str">
        <f>+VLOOKUP(PROVEEDORES[[#This Row],[PROVEEDOR]],
                       Terceros!$A:$G,
                       6,
                       FALSE)</f>
        <v>Pygimportadora@gmail.com;girlesa.ruiz@servipilas.com;joriescobar64@gmail.com</v>
      </c>
      <c r="G370" s="95">
        <v>44382</v>
      </c>
      <c r="H370" s="28" t="s">
        <v>1062</v>
      </c>
      <c r="I370" s="95">
        <v>44336</v>
      </c>
      <c r="J370" s="38" t="s">
        <v>708</v>
      </c>
      <c r="K370" s="23">
        <v>312000</v>
      </c>
      <c r="L370" s="23"/>
      <c r="M370" s="24">
        <v>0</v>
      </c>
      <c r="N370" s="25"/>
      <c r="O370" s="24">
        <v>0</v>
      </c>
      <c r="P370" s="136">
        <f>+IF(PROVEEDORES[[#This Row],[SUBTOTAL]]&lt;PROVEEDORES[[#This Row],[base retencion]],0,PROVEEDORES[[#This Row],[retención aplicada]])</f>
        <v>0</v>
      </c>
      <c r="Q370" s="24">
        <f>+PROVEEDORES[[#This Row],[Rete Fuente %]]*PROVEEDORES[[#This Row],[SUBTOTAL]]</f>
        <v>0</v>
      </c>
      <c r="R370" s="23">
        <v>312000</v>
      </c>
      <c r="S37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0" s="99">
        <f ca="1">IF(PROVEEDORES[[#This Row],[FECHA DE PAGO]]=0,TODAY()-PROVEEDORES[[#This Row],[FECHA DE FACTURACIÓN]]-PROVEEDORES[[#This Row],[PLAZO Días]],0)</f>
        <v>0</v>
      </c>
      <c r="U370" s="149">
        <f>+VLOOKUP(PROVEEDORES[[#This Row],[PROVEEDOR]],Terceros!$A:$E,5,FALSE)</f>
        <v>0</v>
      </c>
      <c r="V370" s="150">
        <f>+YEAR(PROVEEDORES[[#This Row],[FECHA DE FACTURACIÓN]])</f>
        <v>2021</v>
      </c>
      <c r="W370" s="150">
        <f>+MATCH(PROVEEDORES[[#This Row],[año facturado]],Retenciones!$1:$1,0)</f>
        <v>4</v>
      </c>
      <c r="X370" s="151">
        <f>+VLOOKUP(PROVEEDORES[[#This Row],[ID RETENCION]],Retenciones!$A$1:$O$24,PROVEEDORES[[#This Row],[indicador de columna]],FALSE)</f>
        <v>0</v>
      </c>
      <c r="Y370" s="152">
        <f>+VLOOKUP(PROVEEDORES[[#This Row],[ID RETENCION]],Retenciones!$A$1:$O$24,2,FALSE)</f>
        <v>0</v>
      </c>
      <c r="Z370" s="26"/>
      <c r="AA370" s="26"/>
      <c r="AB370" s="26"/>
      <c r="AC370" s="26"/>
      <c r="AD370" s="26"/>
      <c r="AE370" s="26"/>
    </row>
    <row r="371" spans="1:31" ht="21.95" customHeight="1" x14ac:dyDescent="0.25">
      <c r="A371" s="97" t="str">
        <f>+IF(PROVEEDORES[[#This Row],[FECHA DE PAGO]]=PROVEEDORES[[#This Row],[FECHA DE FACTURACIÓN]],"DE CONTADO","CRÉDITO")</f>
        <v>CRÉDITO</v>
      </c>
      <c r="B371" s="41" t="str">
        <f>+IF((PROVEEDORES[[#This Row],[FECHA DE PAGO]]-PROVEEDORES[[#This Row],[FECHA DE FACTURACIÓN]])&gt;PROVEEDORES[[#This Row],[PLAZO Días]],"PAGO VENCIDO")</f>
        <v>PAGO VENCIDO</v>
      </c>
      <c r="C371" s="22">
        <f>+VLOOKUP(PROVEEDORES[[#This Row],[PROVEEDOR]],TERCEROS_INFO[#All],2,FALSE)</f>
        <v>30</v>
      </c>
      <c r="D371" s="27">
        <f>+SUMIFS(PROVEEDORES[Total],PROVEEDORES[PROVEEDOR],PROVEEDORES[[#This Row],[PROVEEDOR]],PROVEEDORES[FECHA DE PAGO],"")</f>
        <v>144400</v>
      </c>
      <c r="E371" s="27"/>
      <c r="F371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371" s="95">
        <v>44408</v>
      </c>
      <c r="H371" s="28" t="s">
        <v>1071</v>
      </c>
      <c r="I371" s="95">
        <v>44336</v>
      </c>
      <c r="J371" s="38" t="s">
        <v>709</v>
      </c>
      <c r="K371" s="23">
        <v>773500</v>
      </c>
      <c r="L371" s="23"/>
      <c r="M371" s="24">
        <v>0</v>
      </c>
      <c r="N371" s="25"/>
      <c r="O371" s="24">
        <v>0</v>
      </c>
      <c r="P371" s="136">
        <f>+IF(PROVEEDORES[[#This Row],[SUBTOTAL]]&lt;PROVEEDORES[[#This Row],[base retencion]],0,PROVEEDORES[[#This Row],[retención aplicada]])</f>
        <v>0</v>
      </c>
      <c r="Q371" s="24">
        <f>+PROVEEDORES[[#This Row],[Rete Fuente %]]*PROVEEDORES[[#This Row],[SUBTOTAL]]</f>
        <v>0</v>
      </c>
      <c r="R371" s="23">
        <v>773500</v>
      </c>
      <c r="S37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1" s="99">
        <f ca="1">IF(PROVEEDORES[[#This Row],[FECHA DE PAGO]]=0,TODAY()-PROVEEDORES[[#This Row],[FECHA DE FACTURACIÓN]]-PROVEEDORES[[#This Row],[PLAZO Días]],0)</f>
        <v>0</v>
      </c>
      <c r="U371" s="149">
        <f>+VLOOKUP(PROVEEDORES[[#This Row],[PROVEEDOR]],Terceros!$A:$E,5,FALSE)</f>
        <v>0</v>
      </c>
      <c r="V371" s="150">
        <f>+YEAR(PROVEEDORES[[#This Row],[FECHA DE FACTURACIÓN]])</f>
        <v>2021</v>
      </c>
      <c r="W371" s="150">
        <f>+MATCH(PROVEEDORES[[#This Row],[año facturado]],Retenciones!$1:$1,0)</f>
        <v>4</v>
      </c>
      <c r="X371" s="151">
        <f>+VLOOKUP(PROVEEDORES[[#This Row],[ID RETENCION]],Retenciones!$A$1:$O$24,PROVEEDORES[[#This Row],[indicador de columna]],FALSE)</f>
        <v>0</v>
      </c>
      <c r="Y371" s="152">
        <f>+VLOOKUP(PROVEEDORES[[#This Row],[ID RETENCION]],Retenciones!$A$1:$O$24,2,FALSE)</f>
        <v>0</v>
      </c>
      <c r="Z371" s="26"/>
      <c r="AA371" s="26"/>
      <c r="AB371" s="26"/>
      <c r="AC371" s="26"/>
      <c r="AD371" s="26"/>
      <c r="AE371" s="26"/>
    </row>
    <row r="372" spans="1:31" ht="21.95" customHeight="1" x14ac:dyDescent="0.25">
      <c r="A372" s="97" t="str">
        <f>+IF(PROVEEDORES[[#This Row],[FECHA DE PAGO]]=PROVEEDORES[[#This Row],[FECHA DE FACTURACIÓN]],"DE CONTADO","CRÉDITO")</f>
        <v>CRÉDITO</v>
      </c>
      <c r="B372" s="41" t="str">
        <f>+IF((PROVEEDORES[[#This Row],[FECHA DE PAGO]]-PROVEEDORES[[#This Row],[FECHA DE FACTURACIÓN]])&gt;PROVEEDORES[[#This Row],[PLAZO Días]],"PAGO VENCIDO")</f>
        <v>PAGO VENCIDO</v>
      </c>
      <c r="C372" s="22">
        <f>+VLOOKUP(PROVEEDORES[[#This Row],[PROVEEDOR]],TERCEROS_INFO[#All],2,FALSE)</f>
        <v>30</v>
      </c>
      <c r="D372" s="27">
        <f>+SUMIFS(PROVEEDORES[Total],PROVEEDORES[PROVEEDOR],PROVEEDORES[[#This Row],[PROVEEDOR]],PROVEEDORES[FECHA DE PAGO],"")</f>
        <v>3355018.0749999997</v>
      </c>
      <c r="E372" s="27"/>
      <c r="F372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372" s="95">
        <v>44389</v>
      </c>
      <c r="H372" s="28" t="s">
        <v>222</v>
      </c>
      <c r="I372" s="95">
        <v>44336</v>
      </c>
      <c r="J372" s="38">
        <v>272</v>
      </c>
      <c r="K372" s="23">
        <v>993276</v>
      </c>
      <c r="L372" s="23"/>
      <c r="M372" s="24">
        <v>188722.44</v>
      </c>
      <c r="N372" s="25"/>
      <c r="O372" s="24">
        <v>0</v>
      </c>
      <c r="P372" s="136">
        <f>+IF(PROVEEDORES[[#This Row],[SUBTOTAL]]&lt;PROVEEDORES[[#This Row],[base retencion]],0,PROVEEDORES[[#This Row],[retención aplicada]])</f>
        <v>2.5000000000000001E-2</v>
      </c>
      <c r="Q372" s="24">
        <f>+PROVEEDORES[[#This Row],[Rete Fuente %]]*PROVEEDORES[[#This Row],[SUBTOTAL]]</f>
        <v>24831.9</v>
      </c>
      <c r="R372" s="23">
        <v>1157166.54</v>
      </c>
      <c r="S37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2" s="99">
        <f ca="1">IF(PROVEEDORES[[#This Row],[FECHA DE PAGO]]=0,TODAY()-PROVEEDORES[[#This Row],[FECHA DE FACTURACIÓN]]-PROVEEDORES[[#This Row],[PLAZO Días]],0)</f>
        <v>0</v>
      </c>
      <c r="U372" s="149" t="str">
        <f>+VLOOKUP(PROVEEDORES[[#This Row],[PROVEEDOR]],Terceros!$A:$E,5,FALSE)</f>
        <v>2,5% con base</v>
      </c>
      <c r="V372" s="150">
        <f>+YEAR(PROVEEDORES[[#This Row],[FECHA DE FACTURACIÓN]])</f>
        <v>2021</v>
      </c>
      <c r="W372" s="150">
        <f>+MATCH(PROVEEDORES[[#This Row],[año facturado]],Retenciones!$1:$1,0)</f>
        <v>4</v>
      </c>
      <c r="X372" s="151">
        <f>+VLOOKUP(PROVEEDORES[[#This Row],[ID RETENCION]],Retenciones!$A$1:$O$24,PROVEEDORES[[#This Row],[indicador de columna]],FALSE)</f>
        <v>980000</v>
      </c>
      <c r="Y372" s="152">
        <f>+VLOOKUP(PROVEEDORES[[#This Row],[ID RETENCION]],Retenciones!$A$1:$O$24,2,FALSE)</f>
        <v>2.5000000000000001E-2</v>
      </c>
      <c r="Z372" s="26"/>
      <c r="AA372" s="26"/>
      <c r="AB372" s="26"/>
      <c r="AC372" s="26"/>
      <c r="AD372" s="26"/>
      <c r="AE372" s="26"/>
    </row>
    <row r="373" spans="1:31" ht="21.95" customHeight="1" x14ac:dyDescent="0.25">
      <c r="A373" s="97" t="str">
        <f>+IF(PROVEEDORES[[#This Row],[FECHA DE PAGO]]=PROVEEDORES[[#This Row],[FECHA DE FACTURACIÓN]],"DE CONTADO","CRÉDITO")</f>
        <v>CRÉDITO</v>
      </c>
      <c r="B373" s="41" t="str">
        <f>+IF((PROVEEDORES[[#This Row],[FECHA DE PAGO]]-PROVEEDORES[[#This Row],[FECHA DE FACTURACIÓN]])&gt;PROVEEDORES[[#This Row],[PLAZO Días]],"PAGO VENCIDO")</f>
        <v>PAGO VENCIDO</v>
      </c>
      <c r="C373" s="22">
        <f>+VLOOKUP(PROVEEDORES[[#This Row],[PROVEEDOR]],TERCEROS_INFO[#All],2,FALSE)</f>
        <v>30</v>
      </c>
      <c r="D373" s="27">
        <f>+SUMIFS(PROVEEDORES[Total],PROVEEDORES[PROVEEDOR],PROVEEDORES[[#This Row],[PROVEEDOR]],PROVEEDORES[FECHA DE PAGO],"")</f>
        <v>4641412.7745000003</v>
      </c>
      <c r="E373" s="27"/>
      <c r="F373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373" s="95">
        <v>44376</v>
      </c>
      <c r="H373" s="28" t="s">
        <v>20</v>
      </c>
      <c r="I373" s="95">
        <v>44336</v>
      </c>
      <c r="J373" s="38">
        <v>4103</v>
      </c>
      <c r="K373" s="23">
        <v>1203216</v>
      </c>
      <c r="L373" s="23"/>
      <c r="M373" s="24">
        <v>228611.04</v>
      </c>
      <c r="N373" s="25"/>
      <c r="O373" s="24">
        <v>0</v>
      </c>
      <c r="P373" s="136">
        <f>+IF(PROVEEDORES[[#This Row],[SUBTOTAL]]&lt;PROVEEDORES[[#This Row],[base retencion]],0,PROVEEDORES[[#This Row],[retención aplicada]])</f>
        <v>2.5000000000000001E-2</v>
      </c>
      <c r="Q373" s="24">
        <f>+PROVEEDORES[[#This Row],[Rete Fuente %]]*PROVEEDORES[[#This Row],[SUBTOTAL]]</f>
        <v>30080.400000000001</v>
      </c>
      <c r="R373" s="23">
        <v>1401746.6400000001</v>
      </c>
      <c r="S37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3" s="99">
        <f ca="1">IF(PROVEEDORES[[#This Row],[FECHA DE PAGO]]=0,TODAY()-PROVEEDORES[[#This Row],[FECHA DE FACTURACIÓN]]-PROVEEDORES[[#This Row],[PLAZO Días]],0)</f>
        <v>0</v>
      </c>
      <c r="U373" s="149" t="str">
        <f>+VLOOKUP(PROVEEDORES[[#This Row],[PROVEEDOR]],Terceros!$A:$E,5,FALSE)</f>
        <v>2,5% con base</v>
      </c>
      <c r="V373" s="150">
        <f>+YEAR(PROVEEDORES[[#This Row],[FECHA DE FACTURACIÓN]])</f>
        <v>2021</v>
      </c>
      <c r="W373" s="150">
        <f>+MATCH(PROVEEDORES[[#This Row],[año facturado]],Retenciones!$1:$1,0)</f>
        <v>4</v>
      </c>
      <c r="X373" s="151">
        <f>+VLOOKUP(PROVEEDORES[[#This Row],[ID RETENCION]],Retenciones!$A$1:$O$24,PROVEEDORES[[#This Row],[indicador de columna]],FALSE)</f>
        <v>980000</v>
      </c>
      <c r="Y373" s="152">
        <f>+VLOOKUP(PROVEEDORES[[#This Row],[ID RETENCION]],Retenciones!$A$1:$O$24,2,FALSE)</f>
        <v>2.5000000000000001E-2</v>
      </c>
      <c r="Z373" s="26"/>
      <c r="AA373" s="26"/>
      <c r="AB373" s="26"/>
      <c r="AC373" s="26"/>
      <c r="AD373" s="26"/>
      <c r="AE373" s="26"/>
    </row>
    <row r="374" spans="1:31" ht="21.95" customHeight="1" x14ac:dyDescent="0.25">
      <c r="A374" s="97" t="str">
        <f>+IF(PROVEEDORES[[#This Row],[FECHA DE PAGO]]=PROVEEDORES[[#This Row],[FECHA DE FACTURACIÓN]],"DE CONTADO","CRÉDITO")</f>
        <v>CRÉDITO</v>
      </c>
      <c r="B374" s="41" t="b">
        <f>+IF((PROVEEDORES[[#This Row],[FECHA DE PAGO]]-PROVEEDORES[[#This Row],[FECHA DE FACTURACIÓN]])&gt;PROVEEDORES[[#This Row],[PLAZO Días]],"PAGO VENCIDO")</f>
        <v>0</v>
      </c>
      <c r="C374" s="22">
        <f>+VLOOKUP(PROVEEDORES[[#This Row],[PROVEEDOR]],TERCEROS_INFO[#All],2,FALSE)</f>
        <v>30</v>
      </c>
      <c r="D374" s="27">
        <f>+SUMIFS(PROVEEDORES[Total],PROVEEDORES[PROVEEDOR],PROVEEDORES[[#This Row],[PROVEEDOR]],PROVEEDORES[FECHA DE PAGO],"")</f>
        <v>275944.33</v>
      </c>
      <c r="E374" s="27"/>
      <c r="F374" s="62" t="str">
        <f>+VLOOKUP(PROVEEDORES[[#This Row],[PROVEEDOR]],
                       Terceros!$A:$G,
                       6,
                       FALSE)</f>
        <v>facturacion@losmolinos.com.co</v>
      </c>
      <c r="G374" s="95">
        <v>44365</v>
      </c>
      <c r="H374" s="28" t="s">
        <v>342</v>
      </c>
      <c r="I374" s="95">
        <v>44348</v>
      </c>
      <c r="J374" s="38">
        <v>63100</v>
      </c>
      <c r="K374" s="23">
        <v>302625</v>
      </c>
      <c r="L374" s="23"/>
      <c r="M374" s="24">
        <v>0</v>
      </c>
      <c r="N374" s="25"/>
      <c r="O374" s="24">
        <v>67752</v>
      </c>
      <c r="P374" s="136">
        <f>+IF(PROVEEDORES[[#This Row],[SUBTOTAL]]&lt;PROVEEDORES[[#This Row],[base retencion]],0,PROVEEDORES[[#This Row],[retención aplicada]])</f>
        <v>0</v>
      </c>
      <c r="Q374" s="24">
        <f>+PROVEEDORES[[#This Row],[Rete Fuente %]]*PROVEEDORES[[#This Row],[SUBTOTAL]]</f>
        <v>0</v>
      </c>
      <c r="R374" s="23">
        <v>234873</v>
      </c>
      <c r="S37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4" s="99">
        <f ca="1">IF(PROVEEDORES[[#This Row],[FECHA DE PAGO]]=0,TODAY()-PROVEEDORES[[#This Row],[FECHA DE FACTURACIÓN]]-PROVEEDORES[[#This Row],[PLAZO Días]],0)</f>
        <v>0</v>
      </c>
      <c r="U374" s="149">
        <f>+VLOOKUP(PROVEEDORES[[#This Row],[PROVEEDOR]],Terceros!$A:$E,5,FALSE)</f>
        <v>0</v>
      </c>
      <c r="V374" s="150">
        <f>+YEAR(PROVEEDORES[[#This Row],[FECHA DE FACTURACIÓN]])</f>
        <v>2021</v>
      </c>
      <c r="W374" s="150">
        <f>+MATCH(PROVEEDORES[[#This Row],[año facturado]],Retenciones!$1:$1,0)</f>
        <v>4</v>
      </c>
      <c r="X374" s="151">
        <f>+VLOOKUP(PROVEEDORES[[#This Row],[ID RETENCION]],Retenciones!$A$1:$O$24,PROVEEDORES[[#This Row],[indicador de columna]],FALSE)</f>
        <v>0</v>
      </c>
      <c r="Y374" s="152">
        <f>+VLOOKUP(PROVEEDORES[[#This Row],[ID RETENCION]],Retenciones!$A$1:$O$24,2,FALSE)</f>
        <v>0</v>
      </c>
      <c r="Z374" s="26"/>
      <c r="AA374" s="26"/>
      <c r="AB374" s="26"/>
      <c r="AC374" s="26"/>
      <c r="AD374" s="26"/>
      <c r="AE374" s="26"/>
    </row>
    <row r="375" spans="1:31" ht="21.95" customHeight="1" x14ac:dyDescent="0.25">
      <c r="A375" s="97" t="str">
        <f>+IF(PROVEEDORES[[#This Row],[FECHA DE PAGO]]=PROVEEDORES[[#This Row],[FECHA DE FACTURACIÓN]],"DE CONTADO","CRÉDITO")</f>
        <v>CRÉDITO</v>
      </c>
      <c r="B375" s="41" t="str">
        <f>+IF((PROVEEDORES[[#This Row],[FECHA DE PAGO]]-PROVEEDORES[[#This Row],[FECHA DE FACTURACIÓN]])&gt;PROVEEDORES[[#This Row],[PLAZO Días]],"PAGO VENCIDO")</f>
        <v>PAGO VENCIDO</v>
      </c>
      <c r="C375" s="22">
        <f>+VLOOKUP(PROVEEDORES[[#This Row],[PROVEEDOR]],TERCEROS_INFO[#All],2,FALSE)</f>
        <v>30</v>
      </c>
      <c r="D375" s="27">
        <f>+SUMIFS(PROVEEDORES[Total],PROVEEDORES[PROVEEDOR],PROVEEDORES[[#This Row],[PROVEEDOR]],PROVEEDORES[FECHA DE PAGO],"")</f>
        <v>6151200</v>
      </c>
      <c r="E375" s="27"/>
      <c r="F375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375" s="95">
        <v>44385</v>
      </c>
      <c r="H375" s="28" t="s">
        <v>11</v>
      </c>
      <c r="I375" s="95">
        <v>44336</v>
      </c>
      <c r="J375" s="38" t="s">
        <v>380</v>
      </c>
      <c r="K375" s="23">
        <v>2640000</v>
      </c>
      <c r="L375" s="23"/>
      <c r="M375" s="24">
        <v>501600</v>
      </c>
      <c r="N375" s="25"/>
      <c r="O375" s="24">
        <v>0</v>
      </c>
      <c r="P375" s="136">
        <f>+IF(PROVEEDORES[[#This Row],[SUBTOTAL]]&lt;PROVEEDORES[[#This Row],[base retencion]],0,PROVEEDORES[[#This Row],[retención aplicada]])</f>
        <v>2.5000000000000001E-2</v>
      </c>
      <c r="Q375" s="24">
        <f>+PROVEEDORES[[#This Row],[Rete Fuente %]]*PROVEEDORES[[#This Row],[SUBTOTAL]]</f>
        <v>66000</v>
      </c>
      <c r="R375" s="23">
        <v>3075600</v>
      </c>
      <c r="S37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5" s="99">
        <f ca="1">IF(PROVEEDORES[[#This Row],[FECHA DE PAGO]]=0,TODAY()-PROVEEDORES[[#This Row],[FECHA DE FACTURACIÓN]]-PROVEEDORES[[#This Row],[PLAZO Días]],0)</f>
        <v>0</v>
      </c>
      <c r="U375" s="149" t="str">
        <f>+VLOOKUP(PROVEEDORES[[#This Row],[PROVEEDOR]],Terceros!$A:$E,5,FALSE)</f>
        <v>2,5% con base</v>
      </c>
      <c r="V375" s="150">
        <f>+YEAR(PROVEEDORES[[#This Row],[FECHA DE FACTURACIÓN]])</f>
        <v>2021</v>
      </c>
      <c r="W375" s="150">
        <f>+MATCH(PROVEEDORES[[#This Row],[año facturado]],Retenciones!$1:$1,0)</f>
        <v>4</v>
      </c>
      <c r="X375" s="151">
        <f>+VLOOKUP(PROVEEDORES[[#This Row],[ID RETENCION]],Retenciones!$A$1:$O$24,PROVEEDORES[[#This Row],[indicador de columna]],FALSE)</f>
        <v>980000</v>
      </c>
      <c r="Y375" s="152">
        <f>+VLOOKUP(PROVEEDORES[[#This Row],[ID RETENCION]],Retenciones!$A$1:$O$24,2,FALSE)</f>
        <v>2.5000000000000001E-2</v>
      </c>
      <c r="Z375" s="26"/>
      <c r="AA375" s="26"/>
      <c r="AB375" s="26"/>
      <c r="AC375" s="26"/>
      <c r="AD375" s="26"/>
      <c r="AE375" s="26"/>
    </row>
    <row r="376" spans="1:31" ht="21.95" customHeight="1" x14ac:dyDescent="0.25">
      <c r="A376" s="97" t="str">
        <f>+IF(PROVEEDORES[[#This Row],[FECHA DE PAGO]]=PROVEEDORES[[#This Row],[FECHA DE FACTURACIÓN]],"DE CONTADO","CRÉDITO")</f>
        <v>CRÉDITO</v>
      </c>
      <c r="B376" s="41" t="str">
        <f>+IF((PROVEEDORES[[#This Row],[FECHA DE PAGO]]-PROVEEDORES[[#This Row],[FECHA DE FACTURACIÓN]])&gt;PROVEEDORES[[#This Row],[PLAZO Días]],"PAGO VENCIDO")</f>
        <v>PAGO VENCIDO</v>
      </c>
      <c r="C376" s="22">
        <f>+VLOOKUP(PROVEEDORES[[#This Row],[PROVEEDOR]],TERCEROS_INFO[#All],2,FALSE)</f>
        <v>30</v>
      </c>
      <c r="D376" s="27">
        <f>+SUMIFS(PROVEEDORES[Total],PROVEEDORES[PROVEEDOR],PROVEEDORES[[#This Row],[PROVEEDOR]],PROVEEDORES[FECHA DE PAGO],"")</f>
        <v>3844432.4999000002</v>
      </c>
      <c r="E376" s="27"/>
      <c r="F376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376" s="95">
        <v>44376</v>
      </c>
      <c r="H376" s="28" t="s">
        <v>18</v>
      </c>
      <c r="I376" s="95">
        <v>44337</v>
      </c>
      <c r="J376" s="38">
        <v>1038069</v>
      </c>
      <c r="K376" s="23">
        <v>2084580.6</v>
      </c>
      <c r="L376" s="23"/>
      <c r="M376" s="24">
        <v>396070.31400000001</v>
      </c>
      <c r="N376" s="25"/>
      <c r="O376" s="24">
        <v>0</v>
      </c>
      <c r="P376" s="136">
        <f>+IF(PROVEEDORES[[#This Row],[SUBTOTAL]]&lt;PROVEEDORES[[#This Row],[base retencion]],0,PROVEEDORES[[#This Row],[retención aplicada]])</f>
        <v>2.5000000000000001E-2</v>
      </c>
      <c r="Q376" s="24">
        <f>+PROVEEDORES[[#This Row],[Rete Fuente %]]*PROVEEDORES[[#This Row],[SUBTOTAL]]</f>
        <v>52114.515000000007</v>
      </c>
      <c r="R376" s="23">
        <v>2428536.3989999997</v>
      </c>
      <c r="S37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6" s="99">
        <f ca="1">IF(PROVEEDORES[[#This Row],[FECHA DE PAGO]]=0,TODAY()-PROVEEDORES[[#This Row],[FECHA DE FACTURACIÓN]]-PROVEEDORES[[#This Row],[PLAZO Días]],0)</f>
        <v>0</v>
      </c>
      <c r="U376" s="149" t="str">
        <f>+VLOOKUP(PROVEEDORES[[#This Row],[PROVEEDOR]],Terceros!$A:$E,5,FALSE)</f>
        <v>2,5% con base</v>
      </c>
      <c r="V376" s="150">
        <f>+YEAR(PROVEEDORES[[#This Row],[FECHA DE FACTURACIÓN]])</f>
        <v>2021</v>
      </c>
      <c r="W376" s="150">
        <f>+MATCH(PROVEEDORES[[#This Row],[año facturado]],Retenciones!$1:$1,0)</f>
        <v>4</v>
      </c>
      <c r="X376" s="151">
        <f>+VLOOKUP(PROVEEDORES[[#This Row],[ID RETENCION]],Retenciones!$A$1:$O$24,PROVEEDORES[[#This Row],[indicador de columna]],FALSE)</f>
        <v>980000</v>
      </c>
      <c r="Y376" s="152">
        <f>+VLOOKUP(PROVEEDORES[[#This Row],[ID RETENCION]],Retenciones!$A$1:$O$24,2,FALSE)</f>
        <v>2.5000000000000001E-2</v>
      </c>
      <c r="Z376" s="26"/>
      <c r="AA376" s="26"/>
      <c r="AB376" s="26"/>
      <c r="AC376" s="26"/>
      <c r="AD376" s="26"/>
      <c r="AE376" s="26"/>
    </row>
    <row r="377" spans="1:31" ht="21.95" customHeight="1" x14ac:dyDescent="0.25">
      <c r="A377" s="97" t="str">
        <f>+IF(PROVEEDORES[[#This Row],[FECHA DE PAGO]]=PROVEEDORES[[#This Row],[FECHA DE FACTURACIÓN]],"DE CONTADO","CRÉDITO")</f>
        <v>CRÉDITO</v>
      </c>
      <c r="B377" s="41" t="str">
        <f>+IF((PROVEEDORES[[#This Row],[FECHA DE PAGO]]-PROVEEDORES[[#This Row],[FECHA DE FACTURACIÓN]])&gt;PROVEEDORES[[#This Row],[PLAZO Días]],"PAGO VENCIDO")</f>
        <v>PAGO VENCIDO</v>
      </c>
      <c r="C377" s="22">
        <f>+VLOOKUP(PROVEEDORES[[#This Row],[PROVEEDOR]],TERCEROS_INFO[#All],2,FALSE)</f>
        <v>30</v>
      </c>
      <c r="D377" s="27">
        <f>+SUMIFS(PROVEEDORES[Total],PROVEEDORES[PROVEEDOR],PROVEEDORES[[#This Row],[PROVEEDOR]],PROVEEDORES[FECHA DE PAGO],"")</f>
        <v>479654.98979999998</v>
      </c>
      <c r="E377" s="27"/>
      <c r="F377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377" s="95">
        <v>44389</v>
      </c>
      <c r="H377" s="28" t="s">
        <v>1139</v>
      </c>
      <c r="I377" s="95">
        <v>44337</v>
      </c>
      <c r="J377" s="38">
        <v>1205</v>
      </c>
      <c r="K377" s="23">
        <v>2181344.5299999998</v>
      </c>
      <c r="L377" s="23"/>
      <c r="M377" s="24">
        <v>414455.46069999994</v>
      </c>
      <c r="N377" s="25"/>
      <c r="O377" s="24">
        <v>0</v>
      </c>
      <c r="P377" s="136">
        <f>+IF(PROVEEDORES[[#This Row],[SUBTOTAL]]&lt;PROVEEDORES[[#This Row],[base retencion]],0,PROVEEDORES[[#This Row],[retención aplicada]])</f>
        <v>2.5000000000000001E-2</v>
      </c>
      <c r="Q377" s="24">
        <f>+PROVEEDORES[[#This Row],[Rete Fuente %]]*PROVEEDORES[[#This Row],[SUBTOTAL]]</f>
        <v>54533.613249999995</v>
      </c>
      <c r="R377" s="23">
        <v>2541266.37745</v>
      </c>
      <c r="S37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7" s="99">
        <f ca="1">IF(PROVEEDORES[[#This Row],[FECHA DE PAGO]]=0,TODAY()-PROVEEDORES[[#This Row],[FECHA DE FACTURACIÓN]]-PROVEEDORES[[#This Row],[PLAZO Días]],0)</f>
        <v>0</v>
      </c>
      <c r="U377" s="149" t="str">
        <f>+VLOOKUP(PROVEEDORES[[#This Row],[PROVEEDOR]],Terceros!$A:$E,5,FALSE)</f>
        <v>2,5% con base</v>
      </c>
      <c r="V377" s="150">
        <f>+YEAR(PROVEEDORES[[#This Row],[FECHA DE FACTURACIÓN]])</f>
        <v>2021</v>
      </c>
      <c r="W377" s="150">
        <f>+MATCH(PROVEEDORES[[#This Row],[año facturado]],Retenciones!$1:$1,0)</f>
        <v>4</v>
      </c>
      <c r="X377" s="151">
        <f>+VLOOKUP(PROVEEDORES[[#This Row],[ID RETENCION]],Retenciones!$A$1:$O$24,PROVEEDORES[[#This Row],[indicador de columna]],FALSE)</f>
        <v>980000</v>
      </c>
      <c r="Y377" s="152">
        <f>+VLOOKUP(PROVEEDORES[[#This Row],[ID RETENCION]],Retenciones!$A$1:$O$24,2,FALSE)</f>
        <v>2.5000000000000001E-2</v>
      </c>
      <c r="Z377" s="26"/>
      <c r="AA377" s="26"/>
      <c r="AB377" s="26"/>
      <c r="AC377" s="26"/>
      <c r="AD377" s="26"/>
      <c r="AE377" s="26"/>
    </row>
    <row r="378" spans="1:31" ht="21.95" customHeight="1" x14ac:dyDescent="0.25">
      <c r="A378" s="97" t="str">
        <f>+IF(PROVEEDORES[[#This Row],[FECHA DE PAGO]]=PROVEEDORES[[#This Row],[FECHA DE FACTURACIÓN]],"DE CONTADO","CRÉDITO")</f>
        <v>CRÉDITO</v>
      </c>
      <c r="B378" s="41" t="b">
        <f>+IF((PROVEEDORES[[#This Row],[FECHA DE PAGO]]-PROVEEDORES[[#This Row],[FECHA DE FACTURACIÓN]])&gt;PROVEEDORES[[#This Row],[PLAZO Días]],"PAGO VENCIDO")</f>
        <v>0</v>
      </c>
      <c r="C378" s="22">
        <f>+VLOOKUP(PROVEEDORES[[#This Row],[PROVEEDOR]],TERCEROS_INFO[#All],2,FALSE)</f>
        <v>90</v>
      </c>
      <c r="D378" s="27">
        <f>+SUMIFS(PROVEEDORES[Total],PROVEEDORES[PROVEEDOR],PROVEEDORES[[#This Row],[PROVEEDOR]],PROVEEDORES[FECHA DE PAGO],"")</f>
        <v>26364243.66155</v>
      </c>
      <c r="E378" s="27"/>
      <c r="F378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378" s="95">
        <v>44351</v>
      </c>
      <c r="H378" s="28" t="s">
        <v>12</v>
      </c>
      <c r="I378" s="95">
        <v>44338</v>
      </c>
      <c r="J378" s="38" t="s">
        <v>712</v>
      </c>
      <c r="K378" s="23">
        <v>-8403361.3445378151</v>
      </c>
      <c r="L378" s="23"/>
      <c r="M378" s="24">
        <v>-1596638.6554621849</v>
      </c>
      <c r="N378" s="25"/>
      <c r="O378" s="24">
        <v>0</v>
      </c>
      <c r="P378" s="136">
        <f>+IF(PROVEEDORES[[#This Row],[SUBTOTAL]]&lt;PROVEEDORES[[#This Row],[base retencion]],0,PROVEEDORES[[#This Row],[retención aplicada]])</f>
        <v>0</v>
      </c>
      <c r="Q378" s="24">
        <f>+PROVEEDORES[[#This Row],[Rete Fuente %]]*PROVEEDORES[[#This Row],[SUBTOTAL]]</f>
        <v>0</v>
      </c>
      <c r="R378" s="23">
        <v>-10000000</v>
      </c>
      <c r="S37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8" s="99">
        <f ca="1">IF(PROVEEDORES[[#This Row],[FECHA DE PAGO]]=0,TODAY()-PROVEEDORES[[#This Row],[FECHA DE FACTURACIÓN]]-PROVEEDORES[[#This Row],[PLAZO Días]],0)</f>
        <v>0</v>
      </c>
      <c r="U378" s="149" t="str">
        <f>+VLOOKUP(PROVEEDORES[[#This Row],[PROVEEDOR]],Terceros!$A:$E,5,FALSE)</f>
        <v>2,5% con base</v>
      </c>
      <c r="V378" s="150">
        <f>+YEAR(PROVEEDORES[[#This Row],[FECHA DE FACTURACIÓN]])</f>
        <v>2021</v>
      </c>
      <c r="W378" s="150">
        <f>+MATCH(PROVEEDORES[[#This Row],[año facturado]],Retenciones!$1:$1,0)</f>
        <v>4</v>
      </c>
      <c r="X378" s="151">
        <f>+VLOOKUP(PROVEEDORES[[#This Row],[ID RETENCION]],Retenciones!$A$1:$O$24,PROVEEDORES[[#This Row],[indicador de columna]],FALSE)</f>
        <v>980000</v>
      </c>
      <c r="Y378" s="152">
        <f>+VLOOKUP(PROVEEDORES[[#This Row],[ID RETENCION]],Retenciones!$A$1:$O$24,2,FALSE)</f>
        <v>2.5000000000000001E-2</v>
      </c>
      <c r="Z378" s="26"/>
      <c r="AA378" s="26"/>
      <c r="AB378" s="26"/>
      <c r="AC378" s="26"/>
      <c r="AD378" s="26"/>
      <c r="AE378" s="26"/>
    </row>
    <row r="379" spans="1:31" ht="21.95" customHeight="1" x14ac:dyDescent="0.25">
      <c r="A379" s="97" t="str">
        <f>+IF(PROVEEDORES[[#This Row],[FECHA DE PAGO]]=PROVEEDORES[[#This Row],[FECHA DE FACTURACIÓN]],"DE CONTADO","CRÉDITO")</f>
        <v>DE CONTADO</v>
      </c>
      <c r="B379" s="41" t="b">
        <f>+IF((PROVEEDORES[[#This Row],[FECHA DE PAGO]]-PROVEEDORES[[#This Row],[FECHA DE FACTURACIÓN]])&gt;PROVEEDORES[[#This Row],[PLAZO Días]],"PAGO VENCIDO")</f>
        <v>0</v>
      </c>
      <c r="C379" s="22">
        <f>+VLOOKUP(PROVEEDORES[[#This Row],[PROVEEDOR]],TERCEROS_INFO[#All],2,FALSE)</f>
        <v>30</v>
      </c>
      <c r="D379" s="27">
        <f>+SUMIFS(PROVEEDORES[Total],PROVEEDORES[PROVEEDOR],PROVEEDORES[[#This Row],[PROVEEDOR]],PROVEEDORES[FECHA DE PAGO],"")</f>
        <v>0</v>
      </c>
      <c r="E379" s="27"/>
      <c r="F379" s="62" t="str">
        <f>+VLOOKUP(PROVEEDORES[[#This Row],[PROVEEDOR]],
                       Terceros!$A:$G,
                       6,
                       FALSE)</f>
        <v/>
      </c>
      <c r="G379" s="95">
        <v>44338</v>
      </c>
      <c r="H379" s="28" t="s">
        <v>1046</v>
      </c>
      <c r="I379" s="95">
        <v>44338</v>
      </c>
      <c r="J379" s="38"/>
      <c r="K379" s="23">
        <v>600000</v>
      </c>
      <c r="L379" s="23"/>
      <c r="M379" s="24">
        <v>0</v>
      </c>
      <c r="N379" s="25"/>
      <c r="O379" s="24">
        <v>0</v>
      </c>
      <c r="P379" s="136">
        <f>+IF(PROVEEDORES[[#This Row],[SUBTOTAL]]&lt;PROVEEDORES[[#This Row],[base retencion]],0,PROVEEDORES[[#This Row],[retención aplicada]])</f>
        <v>0</v>
      </c>
      <c r="Q379" s="24">
        <f>+PROVEEDORES[[#This Row],[Rete Fuente %]]*PROVEEDORES[[#This Row],[SUBTOTAL]]</f>
        <v>0</v>
      </c>
      <c r="R379" s="23">
        <v>600000</v>
      </c>
      <c r="S37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9" s="99">
        <f ca="1">IF(PROVEEDORES[[#This Row],[FECHA DE PAGO]]=0,TODAY()-PROVEEDORES[[#This Row],[FECHA DE FACTURACIÓN]]-PROVEEDORES[[#This Row],[PLAZO Días]],0)</f>
        <v>0</v>
      </c>
      <c r="U379" s="149">
        <f>+VLOOKUP(PROVEEDORES[[#This Row],[PROVEEDOR]],Terceros!$A:$E,5,FALSE)</f>
        <v>0</v>
      </c>
      <c r="V379" s="150">
        <f>+YEAR(PROVEEDORES[[#This Row],[FECHA DE FACTURACIÓN]])</f>
        <v>2021</v>
      </c>
      <c r="W379" s="150">
        <f>+MATCH(PROVEEDORES[[#This Row],[año facturado]],Retenciones!$1:$1,0)</f>
        <v>4</v>
      </c>
      <c r="X379" s="151">
        <f>+VLOOKUP(PROVEEDORES[[#This Row],[ID RETENCION]],Retenciones!$A$1:$O$24,PROVEEDORES[[#This Row],[indicador de columna]],FALSE)</f>
        <v>0</v>
      </c>
      <c r="Y379" s="152">
        <f>+VLOOKUP(PROVEEDORES[[#This Row],[ID RETENCION]],Retenciones!$A$1:$O$24,2,FALSE)</f>
        <v>0</v>
      </c>
      <c r="Z379" s="26"/>
      <c r="AA379" s="26"/>
      <c r="AB379" s="26"/>
      <c r="AC379" s="26"/>
      <c r="AD379" s="26"/>
      <c r="AE379" s="26"/>
    </row>
    <row r="380" spans="1:31" ht="21.95" customHeight="1" x14ac:dyDescent="0.25">
      <c r="A380" s="97" t="str">
        <f>+IF(PROVEEDORES[[#This Row],[FECHA DE PAGO]]=PROVEEDORES[[#This Row],[FECHA DE FACTURACIÓN]],"DE CONTADO","CRÉDITO")</f>
        <v>CRÉDITO</v>
      </c>
      <c r="B380" s="41" t="str">
        <f>+IF((PROVEEDORES[[#This Row],[FECHA DE PAGO]]-PROVEEDORES[[#This Row],[FECHA DE FACTURACIÓN]])&gt;PROVEEDORES[[#This Row],[PLAZO Días]],"PAGO VENCIDO")</f>
        <v>PAGO VENCIDO</v>
      </c>
      <c r="C380" s="22">
        <f>+VLOOKUP(PROVEEDORES[[#This Row],[PROVEEDOR]],TERCEROS_INFO[#All],2,FALSE)</f>
        <v>30</v>
      </c>
      <c r="D380" s="27">
        <f>+SUMIFS(PROVEEDORES[Total],PROVEEDORES[PROVEEDOR],PROVEEDORES[[#This Row],[PROVEEDOR]],PROVEEDORES[FECHA DE PAGO],"")</f>
        <v>21832129.73</v>
      </c>
      <c r="E380" s="27"/>
      <c r="F380" s="62" t="str">
        <f>+VLOOKUP(PROVEEDORES[[#This Row],[PROVEEDOR]],
                       Terceros!$A:$G,
                       6,
                       FALSE)</f>
        <v>cartera1@grupostatur.com;girlesa.ruiz@servipilas.com;joriescobar64@gmail.com</v>
      </c>
      <c r="G380" s="95">
        <v>44376</v>
      </c>
      <c r="H380" s="28" t="s">
        <v>9</v>
      </c>
      <c r="I380" s="95">
        <v>44338</v>
      </c>
      <c r="J380" s="38">
        <v>70032</v>
      </c>
      <c r="K380" s="23">
        <v>2022230</v>
      </c>
      <c r="L380" s="23"/>
      <c r="M380" s="24">
        <v>384223.7</v>
      </c>
      <c r="N380" s="25"/>
      <c r="O380" s="24">
        <v>0</v>
      </c>
      <c r="P380" s="136">
        <f>+IF(PROVEEDORES[[#This Row],[SUBTOTAL]]&lt;PROVEEDORES[[#This Row],[base retencion]],0,PROVEEDORES[[#This Row],[retención aplicada]])</f>
        <v>2.5000000000000001E-2</v>
      </c>
      <c r="Q380" s="24">
        <f>+PROVEEDORES[[#This Row],[Rete Fuente %]]*PROVEEDORES[[#This Row],[SUBTOTAL]]</f>
        <v>50555.75</v>
      </c>
      <c r="R380" s="23">
        <v>2355897.9500000002</v>
      </c>
      <c r="S38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0" s="99">
        <f ca="1">IF(PROVEEDORES[[#This Row],[FECHA DE PAGO]]=0,TODAY()-PROVEEDORES[[#This Row],[FECHA DE FACTURACIÓN]]-PROVEEDORES[[#This Row],[PLAZO Días]],0)</f>
        <v>0</v>
      </c>
      <c r="U380" s="149" t="str">
        <f>+VLOOKUP(PROVEEDORES[[#This Row],[PROVEEDOR]],Terceros!$A:$E,5,FALSE)</f>
        <v>2,5% con base</v>
      </c>
      <c r="V380" s="150">
        <f>+YEAR(PROVEEDORES[[#This Row],[FECHA DE FACTURACIÓN]])</f>
        <v>2021</v>
      </c>
      <c r="W380" s="150">
        <f>+MATCH(PROVEEDORES[[#This Row],[año facturado]],Retenciones!$1:$1,0)</f>
        <v>4</v>
      </c>
      <c r="X380" s="151">
        <f>+VLOOKUP(PROVEEDORES[[#This Row],[ID RETENCION]],Retenciones!$A$1:$O$24,PROVEEDORES[[#This Row],[indicador de columna]],FALSE)</f>
        <v>980000</v>
      </c>
      <c r="Y380" s="152">
        <f>+VLOOKUP(PROVEEDORES[[#This Row],[ID RETENCION]],Retenciones!$A$1:$O$24,2,FALSE)</f>
        <v>2.5000000000000001E-2</v>
      </c>
      <c r="Z380" s="26"/>
      <c r="AA380" s="26"/>
      <c r="AB380" s="26"/>
      <c r="AC380" s="26"/>
      <c r="AD380" s="26"/>
      <c r="AE380" s="26"/>
    </row>
    <row r="381" spans="1:31" ht="21.95" customHeight="1" x14ac:dyDescent="0.25">
      <c r="A381" s="97" t="str">
        <f>+IF(PROVEEDORES[[#This Row],[FECHA DE PAGO]]=PROVEEDORES[[#This Row],[FECHA DE FACTURACIÓN]],"DE CONTADO","CRÉDITO")</f>
        <v>CRÉDITO</v>
      </c>
      <c r="B381" s="41" t="b">
        <f>+IF((PROVEEDORES[[#This Row],[FECHA DE PAGO]]-PROVEEDORES[[#This Row],[FECHA DE FACTURACIÓN]])&gt;PROVEEDORES[[#This Row],[PLAZO Días]],"PAGO VENCIDO")</f>
        <v>0</v>
      </c>
      <c r="C381" s="22">
        <f>+VLOOKUP(PROVEEDORES[[#This Row],[PROVEEDOR]],TERCEROS_INFO[#All],2,FALSE)</f>
        <v>30</v>
      </c>
      <c r="D381" s="27">
        <f>+SUMIFS(PROVEEDORES[Total],PROVEEDORES[PROVEEDOR],PROVEEDORES[[#This Row],[PROVEEDOR]],PROVEEDORES[FECHA DE PAGO],"")</f>
        <v>395010</v>
      </c>
      <c r="E381" s="27"/>
      <c r="F381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381" s="95">
        <v>44341</v>
      </c>
      <c r="H381" s="28" t="s">
        <v>141</v>
      </c>
      <c r="I381" s="95">
        <v>44339</v>
      </c>
      <c r="J381" s="38">
        <v>102</v>
      </c>
      <c r="K381" s="23">
        <v>637000</v>
      </c>
      <c r="L381" s="23"/>
      <c r="M381" s="24">
        <v>121030</v>
      </c>
      <c r="N381" s="25"/>
      <c r="O381" s="24">
        <v>0</v>
      </c>
      <c r="P381" s="136">
        <f>+IF(PROVEEDORES[[#This Row],[SUBTOTAL]]&lt;PROVEEDORES[[#This Row],[base retencion]],0,PROVEEDORES[[#This Row],[retención aplicada]])</f>
        <v>0.01</v>
      </c>
      <c r="Q381" s="24">
        <f>+PROVEEDORES[[#This Row],[Rete Fuente %]]*PROVEEDORES[[#This Row],[SUBTOTAL]]</f>
        <v>6370</v>
      </c>
      <c r="R381" s="23">
        <v>751660</v>
      </c>
      <c r="S38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1" s="99">
        <f ca="1">IF(PROVEEDORES[[#This Row],[FECHA DE PAGO]]=0,TODAY()-PROVEEDORES[[#This Row],[FECHA DE FACTURACIÓN]]-PROVEEDORES[[#This Row],[PLAZO Días]],0)</f>
        <v>0</v>
      </c>
      <c r="U381" s="149" t="str">
        <f>+VLOOKUP(PROVEEDORES[[#This Row],[PROVEEDOR]],Terceros!$A:$E,5,FALSE)</f>
        <v>1% con base</v>
      </c>
      <c r="V381" s="150">
        <f>+YEAR(PROVEEDORES[[#This Row],[FECHA DE FACTURACIÓN]])</f>
        <v>2021</v>
      </c>
      <c r="W381" s="150">
        <f>+MATCH(PROVEEDORES[[#This Row],[año facturado]],Retenciones!$1:$1,0)</f>
        <v>4</v>
      </c>
      <c r="X381" s="151">
        <f>+VLOOKUP(PROVEEDORES[[#This Row],[ID RETENCION]],Retenciones!$A$1:$O$24,PROVEEDORES[[#This Row],[indicador de columna]],FALSE)</f>
        <v>145000</v>
      </c>
      <c r="Y381" s="152">
        <f>+VLOOKUP(PROVEEDORES[[#This Row],[ID RETENCION]],Retenciones!$A$1:$O$24,2,FALSE)</f>
        <v>0.01</v>
      </c>
      <c r="Z381" s="26"/>
      <c r="AA381" s="26"/>
      <c r="AB381" s="26"/>
      <c r="AC381" s="26"/>
      <c r="AD381" s="26"/>
      <c r="AE381" s="26"/>
    </row>
    <row r="382" spans="1:31" ht="21.95" customHeight="1" x14ac:dyDescent="0.25">
      <c r="A382" s="97" t="str">
        <f>+IF(PROVEEDORES[[#This Row],[FECHA DE PAGO]]=PROVEEDORES[[#This Row],[FECHA DE FACTURACIÓN]],"DE CONTADO","CRÉDITO")</f>
        <v>CRÉDITO</v>
      </c>
      <c r="B382" s="41" t="b">
        <f>+IF((PROVEEDORES[[#This Row],[FECHA DE PAGO]]-PROVEEDORES[[#This Row],[FECHA DE FACTURACIÓN]])&gt;PROVEEDORES[[#This Row],[PLAZO Días]],"PAGO VENCIDO")</f>
        <v>0</v>
      </c>
      <c r="C382" s="22">
        <f>+VLOOKUP(PROVEEDORES[[#This Row],[PROVEEDOR]],TERCEROS_INFO[#All],2,FALSE)</f>
        <v>20</v>
      </c>
      <c r="D382" s="27">
        <f>+SUMIFS(PROVEEDORES[Total],PROVEEDORES[PROVEEDOR],PROVEEDORES[[#This Row],[PROVEEDOR]],PROVEEDORES[FECHA DE PAGO],"")</f>
        <v>0</v>
      </c>
      <c r="E382" s="27"/>
      <c r="F382" s="62" t="str">
        <f>+VLOOKUP(PROVEEDORES[[#This Row],[PROVEEDOR]],
                       Terceros!$A:$G,
                       6,
                       FALSE)</f>
        <v>pse</v>
      </c>
      <c r="G382" s="95">
        <v>44365</v>
      </c>
      <c r="H382" s="28" t="s">
        <v>370</v>
      </c>
      <c r="I382" s="95">
        <v>44348</v>
      </c>
      <c r="J382" s="38"/>
      <c r="K382" s="23">
        <v>326232</v>
      </c>
      <c r="L382" s="23"/>
      <c r="M382" s="24">
        <v>0</v>
      </c>
      <c r="N382" s="25"/>
      <c r="O382" s="24">
        <v>0</v>
      </c>
      <c r="P382" s="136">
        <f>+IF(PROVEEDORES[[#This Row],[SUBTOTAL]]&lt;PROVEEDORES[[#This Row],[base retencion]],0,PROVEEDORES[[#This Row],[retención aplicada]])</f>
        <v>0</v>
      </c>
      <c r="Q382" s="24">
        <f>+PROVEEDORES[[#This Row],[Rete Fuente %]]*PROVEEDORES[[#This Row],[SUBTOTAL]]</f>
        <v>0</v>
      </c>
      <c r="R382" s="23">
        <v>326232</v>
      </c>
      <c r="S38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2" s="99">
        <f ca="1">IF(PROVEEDORES[[#This Row],[FECHA DE PAGO]]=0,TODAY()-PROVEEDORES[[#This Row],[FECHA DE FACTURACIÓN]]-PROVEEDORES[[#This Row],[PLAZO Días]],0)</f>
        <v>0</v>
      </c>
      <c r="U382" s="149">
        <f>+VLOOKUP(PROVEEDORES[[#This Row],[PROVEEDOR]],Terceros!$A:$E,5,FALSE)</f>
        <v>0</v>
      </c>
      <c r="V382" s="150">
        <f>+YEAR(PROVEEDORES[[#This Row],[FECHA DE FACTURACIÓN]])</f>
        <v>2021</v>
      </c>
      <c r="W382" s="150">
        <f>+MATCH(PROVEEDORES[[#This Row],[año facturado]],Retenciones!$1:$1,0)</f>
        <v>4</v>
      </c>
      <c r="X382" s="151">
        <f>+VLOOKUP(PROVEEDORES[[#This Row],[ID RETENCION]],Retenciones!$A$1:$O$24,PROVEEDORES[[#This Row],[indicador de columna]],FALSE)</f>
        <v>0</v>
      </c>
      <c r="Y382" s="152">
        <f>+VLOOKUP(PROVEEDORES[[#This Row],[ID RETENCION]],Retenciones!$A$1:$O$24,2,FALSE)</f>
        <v>0</v>
      </c>
      <c r="Z382" s="26"/>
      <c r="AA382" s="26"/>
      <c r="AB382" s="26"/>
      <c r="AC382" s="26"/>
      <c r="AD382" s="26"/>
      <c r="AE382" s="26"/>
    </row>
    <row r="383" spans="1:31" ht="21.95" customHeight="1" x14ac:dyDescent="0.25">
      <c r="A383" s="97" t="str">
        <f>+IF(PROVEEDORES[[#This Row],[FECHA DE PAGO]]=PROVEEDORES[[#This Row],[FECHA DE FACTURACIÓN]],"DE CONTADO","CRÉDITO")</f>
        <v>CRÉDITO</v>
      </c>
      <c r="B383" s="41" t="str">
        <f>+IF((PROVEEDORES[[#This Row],[FECHA DE PAGO]]-PROVEEDORES[[#This Row],[FECHA DE FACTURACIÓN]])&gt;PROVEEDORES[[#This Row],[PLAZO Días]],"PAGO VENCIDO")</f>
        <v>PAGO VENCIDO</v>
      </c>
      <c r="C383" s="22">
        <f>+VLOOKUP(PROVEEDORES[[#This Row],[PROVEEDOR]],TERCEROS_INFO[#All],2,FALSE)</f>
        <v>30</v>
      </c>
      <c r="D383" s="27">
        <f>+SUMIFS(PROVEEDORES[Total],PROVEEDORES[PROVEEDOR],PROVEEDORES[[#This Row],[PROVEEDOR]],PROVEEDORES[FECHA DE PAGO],"")</f>
        <v>1039000</v>
      </c>
      <c r="E383" s="27"/>
      <c r="F383" s="62" t="str">
        <f>+VLOOKUP(PROVEEDORES[[#This Row],[PROVEEDOR]],
                       Terceros!$A:$G,
                       6,
                       FALSE)</f>
        <v>variedades.sfg@gmail.com;girlesa.ruiz@servipilas.com;joriescobar64@gmail.com</v>
      </c>
      <c r="G383" s="95">
        <v>44382</v>
      </c>
      <c r="H383" s="28" t="s">
        <v>982</v>
      </c>
      <c r="I383" s="95">
        <v>44340</v>
      </c>
      <c r="J383" s="38" t="s">
        <v>713</v>
      </c>
      <c r="K383" s="23">
        <v>565000</v>
      </c>
      <c r="L383" s="23"/>
      <c r="M383" s="24">
        <v>0</v>
      </c>
      <c r="N383" s="25"/>
      <c r="O383" s="24">
        <v>0</v>
      </c>
      <c r="P383" s="136">
        <f>+IF(PROVEEDORES[[#This Row],[SUBTOTAL]]&lt;PROVEEDORES[[#This Row],[base retencion]],0,PROVEEDORES[[#This Row],[retención aplicada]])</f>
        <v>0</v>
      </c>
      <c r="Q383" s="24">
        <f>+PROVEEDORES[[#This Row],[Rete Fuente %]]*PROVEEDORES[[#This Row],[SUBTOTAL]]</f>
        <v>0</v>
      </c>
      <c r="R383" s="23">
        <v>565000</v>
      </c>
      <c r="S38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3" s="99">
        <f ca="1">IF(PROVEEDORES[[#This Row],[FECHA DE PAGO]]=0,TODAY()-PROVEEDORES[[#This Row],[FECHA DE FACTURACIÓN]]-PROVEEDORES[[#This Row],[PLAZO Días]],0)</f>
        <v>0</v>
      </c>
      <c r="U383" s="149">
        <f>+VLOOKUP(PROVEEDORES[[#This Row],[PROVEEDOR]],Terceros!$A:$E,5,FALSE)</f>
        <v>0</v>
      </c>
      <c r="V383" s="150">
        <f>+YEAR(PROVEEDORES[[#This Row],[FECHA DE FACTURACIÓN]])</f>
        <v>2021</v>
      </c>
      <c r="W383" s="150">
        <f>+MATCH(PROVEEDORES[[#This Row],[año facturado]],Retenciones!$1:$1,0)</f>
        <v>4</v>
      </c>
      <c r="X383" s="151">
        <f>+VLOOKUP(PROVEEDORES[[#This Row],[ID RETENCION]],Retenciones!$A$1:$O$24,PROVEEDORES[[#This Row],[indicador de columna]],FALSE)</f>
        <v>0</v>
      </c>
      <c r="Y383" s="152">
        <f>+VLOOKUP(PROVEEDORES[[#This Row],[ID RETENCION]],Retenciones!$A$1:$O$24,2,FALSE)</f>
        <v>0</v>
      </c>
      <c r="Z383" s="26"/>
      <c r="AA383" s="26"/>
      <c r="AB383" s="26"/>
      <c r="AC383" s="26"/>
      <c r="AD383" s="26"/>
      <c r="AE383" s="26"/>
    </row>
    <row r="384" spans="1:31" ht="21.95" customHeight="1" x14ac:dyDescent="0.25">
      <c r="A384" s="97" t="str">
        <f>+IF(PROVEEDORES[[#This Row],[FECHA DE PAGO]]=PROVEEDORES[[#This Row],[FECHA DE FACTURACIÓN]],"DE CONTADO","CRÉDITO")</f>
        <v>CRÉDITO</v>
      </c>
      <c r="B384" s="41" t="str">
        <f>+IF((PROVEEDORES[[#This Row],[FECHA DE PAGO]]-PROVEEDORES[[#This Row],[FECHA DE FACTURACIÓN]])&gt;PROVEEDORES[[#This Row],[PLAZO Días]],"PAGO VENCIDO")</f>
        <v>PAGO VENCIDO</v>
      </c>
      <c r="C384" s="22">
        <f>+VLOOKUP(PROVEEDORES[[#This Row],[PROVEEDOR]],TERCEROS_INFO[#All],2,FALSE)</f>
        <v>30</v>
      </c>
      <c r="D384" s="27">
        <f>+SUMIFS(PROVEEDORES[Total],PROVEEDORES[PROVEEDOR],PROVEEDORES[[#This Row],[PROVEEDOR]],PROVEEDORES[FECHA DE PAGO],"")</f>
        <v>7458000</v>
      </c>
      <c r="E384" s="27"/>
      <c r="F384" s="62" t="str">
        <f>+VLOOKUP(PROVEEDORES[[#This Row],[PROVEEDOR]],
                       Terceros!$A:$G,
                       6,
                       FALSE)</f>
        <v/>
      </c>
      <c r="G384" s="95">
        <v>44382</v>
      </c>
      <c r="H384" s="28" t="s">
        <v>1043</v>
      </c>
      <c r="I384" s="95">
        <v>44340</v>
      </c>
      <c r="J384" s="38" t="s">
        <v>714</v>
      </c>
      <c r="K384" s="23">
        <v>2732000</v>
      </c>
      <c r="L384" s="23"/>
      <c r="M384" s="24">
        <v>0</v>
      </c>
      <c r="N384" s="25"/>
      <c r="O384" s="24">
        <v>0</v>
      </c>
      <c r="P384" s="136">
        <f>+IF(PROVEEDORES[[#This Row],[SUBTOTAL]]&lt;PROVEEDORES[[#This Row],[base retencion]],0,PROVEEDORES[[#This Row],[retención aplicada]])</f>
        <v>0</v>
      </c>
      <c r="Q384" s="24">
        <f>+PROVEEDORES[[#This Row],[Rete Fuente %]]*PROVEEDORES[[#This Row],[SUBTOTAL]]</f>
        <v>0</v>
      </c>
      <c r="R384" s="23">
        <v>2732000</v>
      </c>
      <c r="S38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4" s="99">
        <f ca="1">IF(PROVEEDORES[[#This Row],[FECHA DE PAGO]]=0,TODAY()-PROVEEDORES[[#This Row],[FECHA DE FACTURACIÓN]]-PROVEEDORES[[#This Row],[PLAZO Días]],0)</f>
        <v>0</v>
      </c>
      <c r="U384" s="149">
        <f>+VLOOKUP(PROVEEDORES[[#This Row],[PROVEEDOR]],Terceros!$A:$E,5,FALSE)</f>
        <v>0</v>
      </c>
      <c r="V384" s="150">
        <f>+YEAR(PROVEEDORES[[#This Row],[FECHA DE FACTURACIÓN]])</f>
        <v>2021</v>
      </c>
      <c r="W384" s="150">
        <f>+MATCH(PROVEEDORES[[#This Row],[año facturado]],Retenciones!$1:$1,0)</f>
        <v>4</v>
      </c>
      <c r="X384" s="151">
        <f>+VLOOKUP(PROVEEDORES[[#This Row],[ID RETENCION]],Retenciones!$A$1:$O$24,PROVEEDORES[[#This Row],[indicador de columna]],FALSE)</f>
        <v>0</v>
      </c>
      <c r="Y384" s="152">
        <f>+VLOOKUP(PROVEEDORES[[#This Row],[ID RETENCION]],Retenciones!$A$1:$O$24,2,FALSE)</f>
        <v>0</v>
      </c>
      <c r="Z384" s="26"/>
      <c r="AA384" s="26"/>
      <c r="AB384" s="26"/>
      <c r="AC384" s="26"/>
      <c r="AD384" s="26"/>
      <c r="AE384" s="26"/>
    </row>
    <row r="385" spans="1:31" ht="21.95" customHeight="1" x14ac:dyDescent="0.25">
      <c r="A385" s="97" t="str">
        <f>+IF(PROVEEDORES[[#This Row],[FECHA DE PAGO]]=PROVEEDORES[[#This Row],[FECHA DE FACTURACIÓN]],"DE CONTADO","CRÉDITO")</f>
        <v>CRÉDITO</v>
      </c>
      <c r="B385" s="41" t="str">
        <f>+IF((PROVEEDORES[[#This Row],[FECHA DE PAGO]]-PROVEEDORES[[#This Row],[FECHA DE FACTURACIÓN]])&gt;PROVEEDORES[[#This Row],[PLAZO Días]],"PAGO VENCIDO")</f>
        <v>PAGO VENCIDO</v>
      </c>
      <c r="C385" s="22">
        <f>+VLOOKUP(PROVEEDORES[[#This Row],[PROVEEDOR]],TERCEROS_INFO[#All],2,FALSE)</f>
        <v>30</v>
      </c>
      <c r="D385" s="27">
        <f>+SUMIFS(PROVEEDORES[Total],PROVEEDORES[PROVEEDOR],PROVEEDORES[[#This Row],[PROVEEDOR]],PROVEEDORES[FECHA DE PAGO],"")</f>
        <v>479654.98979999998</v>
      </c>
      <c r="E385" s="27"/>
      <c r="F385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385" s="95">
        <v>44389</v>
      </c>
      <c r="H385" s="28" t="s">
        <v>1139</v>
      </c>
      <c r="I385" s="95">
        <v>44341</v>
      </c>
      <c r="J385" s="38">
        <v>1216</v>
      </c>
      <c r="K385" s="23">
        <v>182352.94</v>
      </c>
      <c r="L385" s="23"/>
      <c r="M385" s="24">
        <v>34647.058600000004</v>
      </c>
      <c r="N385" s="25"/>
      <c r="O385" s="24">
        <v>0</v>
      </c>
      <c r="P385" s="136">
        <f>+IF(PROVEEDORES[[#This Row],[SUBTOTAL]]&lt;PROVEEDORES[[#This Row],[base retencion]],0,PROVEEDORES[[#This Row],[retención aplicada]])</f>
        <v>0</v>
      </c>
      <c r="Q385" s="24">
        <f>+PROVEEDORES[[#This Row],[Rete Fuente %]]*PROVEEDORES[[#This Row],[SUBTOTAL]]</f>
        <v>0</v>
      </c>
      <c r="R385" s="23">
        <v>216999.99859999999</v>
      </c>
      <c r="S38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5" s="99">
        <f ca="1">IF(PROVEEDORES[[#This Row],[FECHA DE PAGO]]=0,TODAY()-PROVEEDORES[[#This Row],[FECHA DE FACTURACIÓN]]-PROVEEDORES[[#This Row],[PLAZO Días]],0)</f>
        <v>0</v>
      </c>
      <c r="U385" s="149" t="str">
        <f>+VLOOKUP(PROVEEDORES[[#This Row],[PROVEEDOR]],Terceros!$A:$E,5,FALSE)</f>
        <v>2,5% con base</v>
      </c>
      <c r="V385" s="150">
        <f>+YEAR(PROVEEDORES[[#This Row],[FECHA DE FACTURACIÓN]])</f>
        <v>2021</v>
      </c>
      <c r="W385" s="150">
        <f>+MATCH(PROVEEDORES[[#This Row],[año facturado]],Retenciones!$1:$1,0)</f>
        <v>4</v>
      </c>
      <c r="X385" s="151">
        <f>+VLOOKUP(PROVEEDORES[[#This Row],[ID RETENCION]],Retenciones!$A$1:$O$24,PROVEEDORES[[#This Row],[indicador de columna]],FALSE)</f>
        <v>980000</v>
      </c>
      <c r="Y385" s="152">
        <f>+VLOOKUP(PROVEEDORES[[#This Row],[ID RETENCION]],Retenciones!$A$1:$O$24,2,FALSE)</f>
        <v>2.5000000000000001E-2</v>
      </c>
      <c r="Z385" s="26"/>
      <c r="AA385" s="26"/>
      <c r="AB385" s="26"/>
      <c r="AC385" s="26"/>
      <c r="AD385" s="26"/>
      <c r="AE385" s="26"/>
    </row>
    <row r="386" spans="1:31" ht="21.95" customHeight="1" x14ac:dyDescent="0.25">
      <c r="A386" s="97" t="str">
        <f>+IF(PROVEEDORES[[#This Row],[FECHA DE PAGO]]=PROVEEDORES[[#This Row],[FECHA DE FACTURACIÓN]],"DE CONTADO","CRÉDITO")</f>
        <v>CRÉDITO</v>
      </c>
      <c r="B386" s="41" t="b">
        <f>+IF((PROVEEDORES[[#This Row],[FECHA DE PAGO]]-PROVEEDORES[[#This Row],[FECHA DE FACTURACIÓN]])&gt;PROVEEDORES[[#This Row],[PLAZO Días]],"PAGO VENCIDO")</f>
        <v>0</v>
      </c>
      <c r="C386" s="22">
        <f>+VLOOKUP(PROVEEDORES[[#This Row],[PROVEEDOR]],TERCEROS_INFO[#All],2,FALSE)</f>
        <v>10</v>
      </c>
      <c r="D386" s="27">
        <f>+SUMIFS(PROVEEDORES[Total],PROVEEDORES[PROVEEDOR],PROVEEDORES[[#This Row],[PROVEEDOR]],PROVEEDORES[FECHA DE PAGO],"")</f>
        <v>0</v>
      </c>
      <c r="E386" s="27"/>
      <c r="F386" s="62" t="str">
        <f>+VLOOKUP(PROVEEDORES[[#This Row],[PROVEEDOR]],
                       Terceros!$A:$G,
                       6,
                       FALSE)</f>
        <v/>
      </c>
      <c r="G386" s="95">
        <v>44342</v>
      </c>
      <c r="H386" s="28" t="s">
        <v>23</v>
      </c>
      <c r="I386" s="95">
        <v>44341</v>
      </c>
      <c r="J386" s="38">
        <v>282538</v>
      </c>
      <c r="K386" s="23">
        <v>7810900</v>
      </c>
      <c r="L386" s="23"/>
      <c r="M386" s="24">
        <v>0</v>
      </c>
      <c r="N386" s="25"/>
      <c r="O386" s="24">
        <v>0</v>
      </c>
      <c r="P386" s="136">
        <f>+IF(PROVEEDORES[[#This Row],[SUBTOTAL]]&lt;PROVEEDORES[[#This Row],[base retencion]],0,PROVEEDORES[[#This Row],[retención aplicada]])</f>
        <v>0</v>
      </c>
      <c r="Q386" s="24">
        <f>+PROVEEDORES[[#This Row],[Rete Fuente %]]*PROVEEDORES[[#This Row],[SUBTOTAL]]</f>
        <v>0</v>
      </c>
      <c r="R386" s="23">
        <v>7810900</v>
      </c>
      <c r="S38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6" s="99">
        <f ca="1">IF(PROVEEDORES[[#This Row],[FECHA DE PAGO]]=0,TODAY()-PROVEEDORES[[#This Row],[FECHA DE FACTURACIÓN]]-PROVEEDORES[[#This Row],[PLAZO Días]],0)</f>
        <v>0</v>
      </c>
      <c r="U386" s="149">
        <f>+VLOOKUP(PROVEEDORES[[#This Row],[PROVEEDOR]],Terceros!$A:$E,5,FALSE)</f>
        <v>0</v>
      </c>
      <c r="V386" s="150">
        <f>+YEAR(PROVEEDORES[[#This Row],[FECHA DE FACTURACIÓN]])</f>
        <v>2021</v>
      </c>
      <c r="W386" s="150">
        <f>+MATCH(PROVEEDORES[[#This Row],[año facturado]],Retenciones!$1:$1,0)</f>
        <v>4</v>
      </c>
      <c r="X386" s="151">
        <f>+VLOOKUP(PROVEEDORES[[#This Row],[ID RETENCION]],Retenciones!$A$1:$O$24,PROVEEDORES[[#This Row],[indicador de columna]],FALSE)</f>
        <v>0</v>
      </c>
      <c r="Y386" s="152">
        <f>+VLOOKUP(PROVEEDORES[[#This Row],[ID RETENCION]],Retenciones!$A$1:$O$24,2,FALSE)</f>
        <v>0</v>
      </c>
      <c r="Z386" s="26"/>
      <c r="AA386" s="26"/>
      <c r="AB386" s="26"/>
      <c r="AC386" s="26"/>
      <c r="AD386" s="26"/>
      <c r="AE386" s="26"/>
    </row>
    <row r="387" spans="1:31" ht="21.95" customHeight="1" x14ac:dyDescent="0.25">
      <c r="A387" s="97" t="str">
        <f>+IF(PROVEEDORES[[#This Row],[FECHA DE PAGO]]=PROVEEDORES[[#This Row],[FECHA DE FACTURACIÓN]],"DE CONTADO","CRÉDITO")</f>
        <v>DE CONTADO</v>
      </c>
      <c r="B387" s="41" t="b">
        <f>+IF((PROVEEDORES[[#This Row],[FECHA DE PAGO]]-PROVEEDORES[[#This Row],[FECHA DE FACTURACIÓN]])&gt;PROVEEDORES[[#This Row],[PLAZO Días]],"PAGO VENCIDO")</f>
        <v>0</v>
      </c>
      <c r="C387" s="22">
        <f>+VLOOKUP(PROVEEDORES[[#This Row],[PROVEEDOR]],TERCEROS_INFO[#All],2,FALSE)</f>
        <v>30</v>
      </c>
      <c r="D387" s="27">
        <f>+SUMIFS(PROVEEDORES[Total],PROVEEDORES[PROVEEDOR],PROVEEDORES[[#This Row],[PROVEEDOR]],PROVEEDORES[FECHA DE PAGO],"")</f>
        <v>0</v>
      </c>
      <c r="E387" s="27"/>
      <c r="F387" s="62" t="str">
        <f>+VLOOKUP(PROVEEDORES[[#This Row],[PROVEEDOR]],
                       Terceros!$A:$G,
                       6,
                       FALSE)</f>
        <v/>
      </c>
      <c r="G387" s="95">
        <v>44342</v>
      </c>
      <c r="H387" s="28" t="s">
        <v>1060</v>
      </c>
      <c r="I387" s="95">
        <v>44342</v>
      </c>
      <c r="J387" s="38" t="s">
        <v>716</v>
      </c>
      <c r="K387" s="23">
        <v>228000</v>
      </c>
      <c r="L387" s="23"/>
      <c r="M387" s="24">
        <v>0</v>
      </c>
      <c r="N387" s="25"/>
      <c r="O387" s="24">
        <v>0</v>
      </c>
      <c r="P387" s="136">
        <f>+IF(PROVEEDORES[[#This Row],[SUBTOTAL]]&lt;PROVEEDORES[[#This Row],[base retencion]],0,PROVEEDORES[[#This Row],[retención aplicada]])</f>
        <v>0</v>
      </c>
      <c r="Q387" s="24">
        <f>+PROVEEDORES[[#This Row],[Rete Fuente %]]*PROVEEDORES[[#This Row],[SUBTOTAL]]</f>
        <v>0</v>
      </c>
      <c r="R387" s="23">
        <v>228000</v>
      </c>
      <c r="S38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7" s="99">
        <f ca="1">IF(PROVEEDORES[[#This Row],[FECHA DE PAGO]]=0,TODAY()-PROVEEDORES[[#This Row],[FECHA DE FACTURACIÓN]]-PROVEEDORES[[#This Row],[PLAZO Días]],0)</f>
        <v>0</v>
      </c>
      <c r="U387" s="149">
        <f>+VLOOKUP(PROVEEDORES[[#This Row],[PROVEEDOR]],Terceros!$A:$E,5,FALSE)</f>
        <v>0</v>
      </c>
      <c r="V387" s="150">
        <f>+YEAR(PROVEEDORES[[#This Row],[FECHA DE FACTURACIÓN]])</f>
        <v>2021</v>
      </c>
      <c r="W387" s="150">
        <f>+MATCH(PROVEEDORES[[#This Row],[año facturado]],Retenciones!$1:$1,0)</f>
        <v>4</v>
      </c>
      <c r="X387" s="151">
        <f>+VLOOKUP(PROVEEDORES[[#This Row],[ID RETENCION]],Retenciones!$A$1:$O$24,PROVEEDORES[[#This Row],[indicador de columna]],FALSE)</f>
        <v>0</v>
      </c>
      <c r="Y387" s="152">
        <f>+VLOOKUP(PROVEEDORES[[#This Row],[ID RETENCION]],Retenciones!$A$1:$O$24,2,FALSE)</f>
        <v>0</v>
      </c>
      <c r="Z387" s="26"/>
      <c r="AA387" s="26"/>
      <c r="AB387" s="26"/>
      <c r="AC387" s="26"/>
      <c r="AD387" s="26"/>
      <c r="AE387" s="26"/>
    </row>
    <row r="388" spans="1:31" ht="21.95" customHeight="1" x14ac:dyDescent="0.25">
      <c r="A388" s="97" t="str">
        <f>+IF(PROVEEDORES[[#This Row],[FECHA DE PAGO]]=PROVEEDORES[[#This Row],[FECHA DE FACTURACIÓN]],"DE CONTADO","CRÉDITO")</f>
        <v>CRÉDITO</v>
      </c>
      <c r="B388" s="41" t="str">
        <f>+IF((PROVEEDORES[[#This Row],[FECHA DE PAGO]]-PROVEEDORES[[#This Row],[FECHA DE FACTURACIÓN]])&gt;PROVEEDORES[[#This Row],[PLAZO Días]],"PAGO VENCIDO")</f>
        <v>PAGO VENCIDO</v>
      </c>
      <c r="C388" s="22">
        <f>+VLOOKUP(PROVEEDORES[[#This Row],[PROVEEDOR]],TERCEROS_INFO[#All],2,FALSE)</f>
        <v>30</v>
      </c>
      <c r="D388" s="27">
        <f>+SUMIFS(PROVEEDORES[Total],PROVEEDORES[PROVEEDOR],PROVEEDORES[[#This Row],[PROVEEDOR]],PROVEEDORES[FECHA DE PAGO],"")</f>
        <v>833999.83799999999</v>
      </c>
      <c r="E388" s="27"/>
      <c r="F388" s="62" t="str">
        <f>+VLOOKUP(PROVEEDORES[[#This Row],[PROVEEDOR]],
                       Terceros!$A:$G,
                       6,
                       FALSE)</f>
        <v>juan.suarez@cosostenible.com;girlesa.ruiz@servipilas.com;joriescobar64@gmail.com</v>
      </c>
      <c r="G388" s="95">
        <v>44385</v>
      </c>
      <c r="H388" s="28" t="s">
        <v>50</v>
      </c>
      <c r="I388" s="95">
        <v>44342</v>
      </c>
      <c r="J388" s="38">
        <v>2568</v>
      </c>
      <c r="K388" s="23">
        <v>1134453</v>
      </c>
      <c r="L388" s="23"/>
      <c r="M388" s="24">
        <v>215546.07</v>
      </c>
      <c r="N388" s="25"/>
      <c r="O388" s="24">
        <v>0</v>
      </c>
      <c r="P388" s="136">
        <f>+IF(PROVEEDORES[[#This Row],[SUBTOTAL]]&lt;PROVEEDORES[[#This Row],[base retencion]],0,PROVEEDORES[[#This Row],[retención aplicada]])</f>
        <v>2.5000000000000001E-2</v>
      </c>
      <c r="Q388" s="24">
        <f>+PROVEEDORES[[#This Row],[Rete Fuente %]]*PROVEEDORES[[#This Row],[SUBTOTAL]]</f>
        <v>28361.325000000001</v>
      </c>
      <c r="R388" s="23">
        <v>1321637.7450000001</v>
      </c>
      <c r="S38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8" s="99">
        <f ca="1">IF(PROVEEDORES[[#This Row],[FECHA DE PAGO]]=0,TODAY()-PROVEEDORES[[#This Row],[FECHA DE FACTURACIÓN]]-PROVEEDORES[[#This Row],[PLAZO Días]],0)</f>
        <v>0</v>
      </c>
      <c r="U388" s="149" t="str">
        <f>+VLOOKUP(PROVEEDORES[[#This Row],[PROVEEDOR]],Terceros!$A:$E,5,FALSE)</f>
        <v>2,5% con base</v>
      </c>
      <c r="V388" s="150">
        <f>+YEAR(PROVEEDORES[[#This Row],[FECHA DE FACTURACIÓN]])</f>
        <v>2021</v>
      </c>
      <c r="W388" s="150">
        <f>+MATCH(PROVEEDORES[[#This Row],[año facturado]],Retenciones!$1:$1,0)</f>
        <v>4</v>
      </c>
      <c r="X388" s="151">
        <f>+VLOOKUP(PROVEEDORES[[#This Row],[ID RETENCION]],Retenciones!$A$1:$O$24,PROVEEDORES[[#This Row],[indicador de columna]],FALSE)</f>
        <v>980000</v>
      </c>
      <c r="Y388" s="152">
        <f>+VLOOKUP(PROVEEDORES[[#This Row],[ID RETENCION]],Retenciones!$A$1:$O$24,2,FALSE)</f>
        <v>2.5000000000000001E-2</v>
      </c>
      <c r="Z388" s="26"/>
      <c r="AA388" s="26"/>
      <c r="AB388" s="26"/>
      <c r="AC388" s="26"/>
      <c r="AD388" s="26"/>
      <c r="AE388" s="26"/>
    </row>
    <row r="389" spans="1:31" ht="21.95" customHeight="1" x14ac:dyDescent="0.25">
      <c r="A389" s="97" t="str">
        <f>+IF(PROVEEDORES[[#This Row],[FECHA DE PAGO]]=PROVEEDORES[[#This Row],[FECHA DE FACTURACIÓN]],"DE CONTADO","CRÉDITO")</f>
        <v>CRÉDITO</v>
      </c>
      <c r="B389" s="41" t="str">
        <f>+IF((PROVEEDORES[[#This Row],[FECHA DE PAGO]]-PROVEEDORES[[#This Row],[FECHA DE FACTURACIÓN]])&gt;PROVEEDORES[[#This Row],[PLAZO Días]],"PAGO VENCIDO")</f>
        <v>PAGO VENCIDO</v>
      </c>
      <c r="C389" s="22">
        <f>+VLOOKUP(PROVEEDORES[[#This Row],[PROVEEDOR]],TERCEROS_INFO[#All],2,FALSE)</f>
        <v>30</v>
      </c>
      <c r="D389" s="27">
        <f>+SUMIFS(PROVEEDORES[Total],PROVEEDORES[PROVEEDOR],PROVEEDORES[[#This Row],[PROVEEDOR]],PROVEEDORES[FECHA DE PAGO],"")</f>
        <v>3750700</v>
      </c>
      <c r="E389" s="27"/>
      <c r="F389" s="62" t="str">
        <f>+VLOOKUP(PROVEEDORES[[#This Row],[PROVEEDOR]],
                       Terceros!$A:$G,
                       6,
                       FALSE)</f>
        <v/>
      </c>
      <c r="G389" s="95">
        <v>44376</v>
      </c>
      <c r="H389" s="28" t="s">
        <v>990</v>
      </c>
      <c r="I389" s="95">
        <v>44342</v>
      </c>
      <c r="J389" s="38" t="s">
        <v>715</v>
      </c>
      <c r="K389" s="23">
        <v>1880000</v>
      </c>
      <c r="L389" s="23"/>
      <c r="M389" s="24">
        <v>0</v>
      </c>
      <c r="N389" s="25"/>
      <c r="O389" s="24">
        <v>0</v>
      </c>
      <c r="P389" s="136">
        <f>+IF(PROVEEDORES[[#This Row],[SUBTOTAL]]&lt;PROVEEDORES[[#This Row],[base retencion]],0,PROVEEDORES[[#This Row],[retención aplicada]])</f>
        <v>0</v>
      </c>
      <c r="Q389" s="24">
        <f>+PROVEEDORES[[#This Row],[Rete Fuente %]]*PROVEEDORES[[#This Row],[SUBTOTAL]]</f>
        <v>0</v>
      </c>
      <c r="R389" s="23">
        <v>1880000</v>
      </c>
      <c r="S38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9" s="99">
        <f ca="1">IF(PROVEEDORES[[#This Row],[FECHA DE PAGO]]=0,TODAY()-PROVEEDORES[[#This Row],[FECHA DE FACTURACIÓN]]-PROVEEDORES[[#This Row],[PLAZO Días]],0)</f>
        <v>0</v>
      </c>
      <c r="U389" s="149">
        <f>+VLOOKUP(PROVEEDORES[[#This Row],[PROVEEDOR]],Terceros!$A:$E,5,FALSE)</f>
        <v>0</v>
      </c>
      <c r="V389" s="150">
        <f>+YEAR(PROVEEDORES[[#This Row],[FECHA DE FACTURACIÓN]])</f>
        <v>2021</v>
      </c>
      <c r="W389" s="150">
        <f>+MATCH(PROVEEDORES[[#This Row],[año facturado]],Retenciones!$1:$1,0)</f>
        <v>4</v>
      </c>
      <c r="X389" s="151">
        <f>+VLOOKUP(PROVEEDORES[[#This Row],[ID RETENCION]],Retenciones!$A$1:$O$24,PROVEEDORES[[#This Row],[indicador de columna]],FALSE)</f>
        <v>0</v>
      </c>
      <c r="Y389" s="152">
        <f>+VLOOKUP(PROVEEDORES[[#This Row],[ID RETENCION]],Retenciones!$A$1:$O$24,2,FALSE)</f>
        <v>0</v>
      </c>
      <c r="Z389" s="26"/>
      <c r="AA389" s="26"/>
      <c r="AB389" s="26"/>
      <c r="AC389" s="26"/>
      <c r="AD389" s="26"/>
      <c r="AE389" s="26"/>
    </row>
    <row r="390" spans="1:31" ht="21.95" customHeight="1" x14ac:dyDescent="0.25">
      <c r="A390" s="97" t="str">
        <f>+IF(PROVEEDORES[[#This Row],[FECHA DE PAGO]]=PROVEEDORES[[#This Row],[FECHA DE FACTURACIÓN]],"DE CONTADO","CRÉDITO")</f>
        <v>CRÉDITO</v>
      </c>
      <c r="B390" s="41" t="str">
        <f>+IF((PROVEEDORES[[#This Row],[FECHA DE PAGO]]-PROVEEDORES[[#This Row],[FECHA DE FACTURACIÓN]])&gt;PROVEEDORES[[#This Row],[PLAZO Días]],"PAGO VENCIDO")</f>
        <v>PAGO VENCIDO</v>
      </c>
      <c r="C390" s="22">
        <f>+VLOOKUP(PROVEEDORES[[#This Row],[PROVEEDOR]],TERCEROS_INFO[#All],2,FALSE)</f>
        <v>30</v>
      </c>
      <c r="D390" s="27">
        <f>+SUMIFS(PROVEEDORES[Total],PROVEEDORES[PROVEEDOR],PROVEEDORES[[#This Row],[PROVEEDOR]],PROVEEDORES[FECHA DE PAGO],"")</f>
        <v>0</v>
      </c>
      <c r="E390" s="27"/>
      <c r="F390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390" s="95">
        <v>44385</v>
      </c>
      <c r="H390" s="28" t="s">
        <v>24</v>
      </c>
      <c r="I390" s="95">
        <v>44342</v>
      </c>
      <c r="J390" s="38" t="s">
        <v>382</v>
      </c>
      <c r="K390" s="23">
        <v>1976100</v>
      </c>
      <c r="L390" s="23"/>
      <c r="M390" s="24">
        <v>375459</v>
      </c>
      <c r="N390" s="25"/>
      <c r="O390" s="24">
        <v>0</v>
      </c>
      <c r="P390" s="136">
        <f>+IF(PROVEEDORES[[#This Row],[SUBTOTAL]]&lt;PROVEEDORES[[#This Row],[base retencion]],0,PROVEEDORES[[#This Row],[retención aplicada]])</f>
        <v>2.5000000000000001E-2</v>
      </c>
      <c r="Q390" s="24">
        <f>+PROVEEDORES[[#This Row],[Rete Fuente %]]*PROVEEDORES[[#This Row],[SUBTOTAL]]</f>
        <v>49402.5</v>
      </c>
      <c r="R390" s="23">
        <v>2302156.5</v>
      </c>
      <c r="S39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0" s="99">
        <f ca="1">IF(PROVEEDORES[[#This Row],[FECHA DE PAGO]]=0,TODAY()-PROVEEDORES[[#This Row],[FECHA DE FACTURACIÓN]]-PROVEEDORES[[#This Row],[PLAZO Días]],0)</f>
        <v>0</v>
      </c>
      <c r="U390" s="149" t="str">
        <f>+VLOOKUP(PROVEEDORES[[#This Row],[PROVEEDOR]],Terceros!$A:$E,5,FALSE)</f>
        <v>2,5% con base</v>
      </c>
      <c r="V390" s="150">
        <f>+YEAR(PROVEEDORES[[#This Row],[FECHA DE FACTURACIÓN]])</f>
        <v>2021</v>
      </c>
      <c r="W390" s="150">
        <f>+MATCH(PROVEEDORES[[#This Row],[año facturado]],Retenciones!$1:$1,0)</f>
        <v>4</v>
      </c>
      <c r="X390" s="151">
        <f>+VLOOKUP(PROVEEDORES[[#This Row],[ID RETENCION]],Retenciones!$A$1:$O$24,PROVEEDORES[[#This Row],[indicador de columna]],FALSE)</f>
        <v>980000</v>
      </c>
      <c r="Y390" s="152">
        <f>+VLOOKUP(PROVEEDORES[[#This Row],[ID RETENCION]],Retenciones!$A$1:$O$24,2,FALSE)</f>
        <v>2.5000000000000001E-2</v>
      </c>
      <c r="Z390" s="26"/>
      <c r="AA390" s="26"/>
      <c r="AB390" s="26"/>
      <c r="AC390" s="26"/>
      <c r="AD390" s="26"/>
      <c r="AE390" s="26"/>
    </row>
    <row r="391" spans="1:31" ht="21.95" customHeight="1" x14ac:dyDescent="0.25">
      <c r="A391" s="97" t="str">
        <f>+IF(PROVEEDORES[[#This Row],[FECHA DE PAGO]]=PROVEEDORES[[#This Row],[FECHA DE FACTURACIÓN]],"DE CONTADO","CRÉDITO")</f>
        <v>CRÉDITO</v>
      </c>
      <c r="B391" s="41" t="str">
        <f>+IF((PROVEEDORES[[#This Row],[FECHA DE PAGO]]-PROVEEDORES[[#This Row],[FECHA DE FACTURACIÓN]])&gt;PROVEEDORES[[#This Row],[PLAZO Días]],"PAGO VENCIDO")</f>
        <v>PAGO VENCIDO</v>
      </c>
      <c r="C391" s="22">
        <f>+VLOOKUP(PROVEEDORES[[#This Row],[PROVEEDOR]],TERCEROS_INFO[#All],2,FALSE)</f>
        <v>30</v>
      </c>
      <c r="D391" s="27">
        <f>+SUMIFS(PROVEEDORES[Total],PROVEEDORES[PROVEEDOR],PROVEEDORES[[#This Row],[PROVEEDOR]],PROVEEDORES[FECHA DE PAGO],"")</f>
        <v>2588352.5</v>
      </c>
      <c r="E391" s="27"/>
      <c r="F391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391" s="95">
        <v>44389</v>
      </c>
      <c r="H391" s="28" t="s">
        <v>1088</v>
      </c>
      <c r="I391" s="95">
        <v>44343</v>
      </c>
      <c r="J391" s="38">
        <v>7562</v>
      </c>
      <c r="K391" s="23">
        <v>444000</v>
      </c>
      <c r="L391" s="23"/>
      <c r="M391" s="24">
        <v>84360</v>
      </c>
      <c r="N391" s="25"/>
      <c r="O391" s="24">
        <v>0</v>
      </c>
      <c r="P391" s="136">
        <f>+IF(PROVEEDORES[[#This Row],[SUBTOTAL]]&lt;PROVEEDORES[[#This Row],[base retencion]],0,PROVEEDORES[[#This Row],[retención aplicada]])</f>
        <v>0</v>
      </c>
      <c r="Q391" s="24">
        <f>+PROVEEDORES[[#This Row],[Rete Fuente %]]*PROVEEDORES[[#This Row],[SUBTOTAL]]</f>
        <v>0</v>
      </c>
      <c r="R391" s="23">
        <v>528360</v>
      </c>
      <c r="S39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1" s="99">
        <f ca="1">IF(PROVEEDORES[[#This Row],[FECHA DE PAGO]]=0,TODAY()-PROVEEDORES[[#This Row],[FECHA DE FACTURACIÓN]]-PROVEEDORES[[#This Row],[PLAZO Días]],0)</f>
        <v>0</v>
      </c>
      <c r="U391" s="149" t="str">
        <f>+VLOOKUP(PROVEEDORES[[#This Row],[PROVEEDOR]],Terceros!$A:$E,5,FALSE)</f>
        <v>2,5% con base</v>
      </c>
      <c r="V391" s="150">
        <f>+YEAR(PROVEEDORES[[#This Row],[FECHA DE FACTURACIÓN]])</f>
        <v>2021</v>
      </c>
      <c r="W391" s="150">
        <f>+MATCH(PROVEEDORES[[#This Row],[año facturado]],Retenciones!$1:$1,0)</f>
        <v>4</v>
      </c>
      <c r="X391" s="151">
        <f>+VLOOKUP(PROVEEDORES[[#This Row],[ID RETENCION]],Retenciones!$A$1:$O$24,PROVEEDORES[[#This Row],[indicador de columna]],FALSE)</f>
        <v>980000</v>
      </c>
      <c r="Y391" s="152">
        <f>+VLOOKUP(PROVEEDORES[[#This Row],[ID RETENCION]],Retenciones!$A$1:$O$24,2,FALSE)</f>
        <v>2.5000000000000001E-2</v>
      </c>
      <c r="Z391" s="26"/>
      <c r="AA391" s="26"/>
      <c r="AB391" s="26"/>
      <c r="AC391" s="26"/>
      <c r="AD391" s="26"/>
      <c r="AE391" s="26"/>
    </row>
    <row r="392" spans="1:31" ht="21.95" customHeight="1" x14ac:dyDescent="0.25">
      <c r="A392" s="97" t="str">
        <f>+IF(PROVEEDORES[[#This Row],[FECHA DE PAGO]]=PROVEEDORES[[#This Row],[FECHA DE FACTURACIÓN]],"DE CONTADO","CRÉDITO")</f>
        <v>DE CONTADO</v>
      </c>
      <c r="B392" s="41" t="b">
        <f>+IF((PROVEEDORES[[#This Row],[FECHA DE PAGO]]-PROVEEDORES[[#This Row],[FECHA DE FACTURACIÓN]])&gt;PROVEEDORES[[#This Row],[PLAZO Días]],"PAGO VENCIDO")</f>
        <v>0</v>
      </c>
      <c r="C392" s="22">
        <f>+VLOOKUP(PROVEEDORES[[#This Row],[PROVEEDOR]],TERCEROS_INFO[#All],2,FALSE)</f>
        <v>30</v>
      </c>
      <c r="D392" s="27">
        <f>+SUMIFS(PROVEEDORES[Total],PROVEEDORES[PROVEEDOR],PROVEEDORES[[#This Row],[PROVEEDOR]],PROVEEDORES[FECHA DE PAGO],"")</f>
        <v>0</v>
      </c>
      <c r="E392" s="27"/>
      <c r="F392" s="62" t="str">
        <f>+VLOOKUP(PROVEEDORES[[#This Row],[PROVEEDOR]],
                       Terceros!$A:$G,
                       6,
                       FALSE)</f>
        <v/>
      </c>
      <c r="G392" s="95">
        <v>44343</v>
      </c>
      <c r="H392" s="28" t="s">
        <v>1046</v>
      </c>
      <c r="I392" s="95">
        <v>44343</v>
      </c>
      <c r="J392" s="38"/>
      <c r="K392" s="23">
        <v>600000</v>
      </c>
      <c r="L392" s="23"/>
      <c r="M392" s="24">
        <v>0</v>
      </c>
      <c r="N392" s="25"/>
      <c r="O392" s="24">
        <v>0</v>
      </c>
      <c r="P392" s="136">
        <f>+IF(PROVEEDORES[[#This Row],[SUBTOTAL]]&lt;PROVEEDORES[[#This Row],[base retencion]],0,PROVEEDORES[[#This Row],[retención aplicada]])</f>
        <v>0</v>
      </c>
      <c r="Q392" s="24">
        <f>+PROVEEDORES[[#This Row],[Rete Fuente %]]*PROVEEDORES[[#This Row],[SUBTOTAL]]</f>
        <v>0</v>
      </c>
      <c r="R392" s="23">
        <v>600000</v>
      </c>
      <c r="S39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2" s="99">
        <f ca="1">IF(PROVEEDORES[[#This Row],[FECHA DE PAGO]]=0,TODAY()-PROVEEDORES[[#This Row],[FECHA DE FACTURACIÓN]]-PROVEEDORES[[#This Row],[PLAZO Días]],0)</f>
        <v>0</v>
      </c>
      <c r="U392" s="149">
        <f>+VLOOKUP(PROVEEDORES[[#This Row],[PROVEEDOR]],Terceros!$A:$E,5,FALSE)</f>
        <v>0</v>
      </c>
      <c r="V392" s="150">
        <f>+YEAR(PROVEEDORES[[#This Row],[FECHA DE FACTURACIÓN]])</f>
        <v>2021</v>
      </c>
      <c r="W392" s="150">
        <f>+MATCH(PROVEEDORES[[#This Row],[año facturado]],Retenciones!$1:$1,0)</f>
        <v>4</v>
      </c>
      <c r="X392" s="151">
        <f>+VLOOKUP(PROVEEDORES[[#This Row],[ID RETENCION]],Retenciones!$A$1:$O$24,PROVEEDORES[[#This Row],[indicador de columna]],FALSE)</f>
        <v>0</v>
      </c>
      <c r="Y392" s="152">
        <f>+VLOOKUP(PROVEEDORES[[#This Row],[ID RETENCION]],Retenciones!$A$1:$O$24,2,FALSE)</f>
        <v>0</v>
      </c>
      <c r="Z392" s="26"/>
      <c r="AA392" s="26"/>
      <c r="AB392" s="26"/>
      <c r="AC392" s="26"/>
      <c r="AD392" s="26"/>
      <c r="AE392" s="26"/>
    </row>
    <row r="393" spans="1:31" ht="21.95" customHeight="1" x14ac:dyDescent="0.25">
      <c r="A393" s="97" t="str">
        <f>+IF(PROVEEDORES[[#This Row],[FECHA DE PAGO]]=PROVEEDORES[[#This Row],[FECHA DE FACTURACIÓN]],"DE CONTADO","CRÉDITO")</f>
        <v>CRÉDITO</v>
      </c>
      <c r="B393" s="41" t="str">
        <f>+IF((PROVEEDORES[[#This Row],[FECHA DE PAGO]]-PROVEEDORES[[#This Row],[FECHA DE FACTURACIÓN]])&gt;PROVEEDORES[[#This Row],[PLAZO Días]],"PAGO VENCIDO")</f>
        <v>PAGO VENCIDO</v>
      </c>
      <c r="C393" s="22">
        <f>+VLOOKUP(PROVEEDORES[[#This Row],[PROVEEDOR]],TERCEROS_INFO[#All],2,FALSE)</f>
        <v>30</v>
      </c>
      <c r="D393" s="27">
        <f>+SUMIFS(PROVEEDORES[Total],PROVEEDORES[PROVEEDOR],PROVEEDORES[[#This Row],[PROVEEDOR]],PROVEEDORES[FECHA DE PAGO],"")</f>
        <v>833999.83799999999</v>
      </c>
      <c r="E393" s="27"/>
      <c r="F393" s="62" t="str">
        <f>+VLOOKUP(PROVEEDORES[[#This Row],[PROVEEDOR]],
                       Terceros!$A:$G,
                       6,
                       FALSE)</f>
        <v>juan.suarez@cosostenible.com;girlesa.ruiz@servipilas.com;joriescobar64@gmail.com</v>
      </c>
      <c r="G393" s="95">
        <v>44385</v>
      </c>
      <c r="H393" s="28" t="s">
        <v>50</v>
      </c>
      <c r="I393" s="95">
        <v>44343</v>
      </c>
      <c r="J393" s="38">
        <v>2575</v>
      </c>
      <c r="K393" s="23">
        <v>1080000</v>
      </c>
      <c r="L393" s="23"/>
      <c r="M393" s="24">
        <v>205200</v>
      </c>
      <c r="N393" s="25"/>
      <c r="O393" s="24">
        <v>0</v>
      </c>
      <c r="P393" s="136">
        <f>+IF(PROVEEDORES[[#This Row],[SUBTOTAL]]&lt;PROVEEDORES[[#This Row],[base retencion]],0,PROVEEDORES[[#This Row],[retención aplicada]])</f>
        <v>2.5000000000000001E-2</v>
      </c>
      <c r="Q393" s="24">
        <f>+PROVEEDORES[[#This Row],[Rete Fuente %]]*PROVEEDORES[[#This Row],[SUBTOTAL]]</f>
        <v>27000</v>
      </c>
      <c r="R393" s="23">
        <v>1258200</v>
      </c>
      <c r="S39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3" s="99">
        <f ca="1">IF(PROVEEDORES[[#This Row],[FECHA DE PAGO]]=0,TODAY()-PROVEEDORES[[#This Row],[FECHA DE FACTURACIÓN]]-PROVEEDORES[[#This Row],[PLAZO Días]],0)</f>
        <v>0</v>
      </c>
      <c r="U393" s="149" t="str">
        <f>+VLOOKUP(PROVEEDORES[[#This Row],[PROVEEDOR]],Terceros!$A:$E,5,FALSE)</f>
        <v>2,5% con base</v>
      </c>
      <c r="V393" s="150">
        <f>+YEAR(PROVEEDORES[[#This Row],[FECHA DE FACTURACIÓN]])</f>
        <v>2021</v>
      </c>
      <c r="W393" s="150">
        <f>+MATCH(PROVEEDORES[[#This Row],[año facturado]],Retenciones!$1:$1,0)</f>
        <v>4</v>
      </c>
      <c r="X393" s="151">
        <f>+VLOOKUP(PROVEEDORES[[#This Row],[ID RETENCION]],Retenciones!$A$1:$O$24,PROVEEDORES[[#This Row],[indicador de columna]],FALSE)</f>
        <v>980000</v>
      </c>
      <c r="Y393" s="152">
        <f>+VLOOKUP(PROVEEDORES[[#This Row],[ID RETENCION]],Retenciones!$A$1:$O$24,2,FALSE)</f>
        <v>2.5000000000000001E-2</v>
      </c>
      <c r="Z393" s="26"/>
      <c r="AA393" s="26"/>
      <c r="AB393" s="26"/>
      <c r="AC393" s="26"/>
      <c r="AD393" s="26"/>
      <c r="AE393" s="26"/>
    </row>
    <row r="394" spans="1:31" ht="21.95" customHeight="1" x14ac:dyDescent="0.25">
      <c r="A394" s="97" t="str">
        <f>+IF(PROVEEDORES[[#This Row],[FECHA DE PAGO]]=PROVEEDORES[[#This Row],[FECHA DE FACTURACIÓN]],"DE CONTADO","CRÉDITO")</f>
        <v>CRÉDITO</v>
      </c>
      <c r="B394" s="41" t="str">
        <f>+IF((PROVEEDORES[[#This Row],[FECHA DE PAGO]]-PROVEEDORES[[#This Row],[FECHA DE FACTURACIÓN]])&gt;PROVEEDORES[[#This Row],[PLAZO Días]],"PAGO VENCIDO")</f>
        <v>PAGO VENCIDO</v>
      </c>
      <c r="C394" s="22">
        <f>+VLOOKUP(PROVEEDORES[[#This Row],[PROVEEDOR]],TERCEROS_INFO[#All],2,FALSE)</f>
        <v>30</v>
      </c>
      <c r="D394" s="27">
        <f>+SUMIFS(PROVEEDORES[Total],PROVEEDORES[PROVEEDOR],PROVEEDORES[[#This Row],[PROVEEDOR]],PROVEEDORES[FECHA DE PAGO],"")</f>
        <v>0</v>
      </c>
      <c r="E394" s="27"/>
      <c r="F394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394" s="95">
        <v>44389</v>
      </c>
      <c r="H394" s="28" t="s">
        <v>1124</v>
      </c>
      <c r="I394" s="95">
        <v>44343</v>
      </c>
      <c r="J394" s="38">
        <v>17710</v>
      </c>
      <c r="K394" s="23">
        <v>12588000</v>
      </c>
      <c r="L394" s="23"/>
      <c r="M394" s="24">
        <v>2391720</v>
      </c>
      <c r="N394" s="25"/>
      <c r="O394" s="24">
        <v>0</v>
      </c>
      <c r="P394" s="136">
        <f>+IF(PROVEEDORES[[#This Row],[SUBTOTAL]]&lt;PROVEEDORES[[#This Row],[base retencion]],0,PROVEEDORES[[#This Row],[retención aplicada]])</f>
        <v>2.5000000000000001E-2</v>
      </c>
      <c r="Q394" s="24">
        <f>+PROVEEDORES[[#This Row],[Rete Fuente %]]*PROVEEDORES[[#This Row],[SUBTOTAL]]</f>
        <v>314700</v>
      </c>
      <c r="R394" s="23">
        <v>14665020</v>
      </c>
      <c r="S39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4" s="99">
        <f ca="1">IF(PROVEEDORES[[#This Row],[FECHA DE PAGO]]=0,TODAY()-PROVEEDORES[[#This Row],[FECHA DE FACTURACIÓN]]-PROVEEDORES[[#This Row],[PLAZO Días]],0)</f>
        <v>0</v>
      </c>
      <c r="U394" s="149" t="str">
        <f>+VLOOKUP(PROVEEDORES[[#This Row],[PROVEEDOR]],Terceros!$A:$E,5,FALSE)</f>
        <v>2,5% con base</v>
      </c>
      <c r="V394" s="150">
        <f>+YEAR(PROVEEDORES[[#This Row],[FECHA DE FACTURACIÓN]])</f>
        <v>2021</v>
      </c>
      <c r="W394" s="150">
        <f>+MATCH(PROVEEDORES[[#This Row],[año facturado]],Retenciones!$1:$1,0)</f>
        <v>4</v>
      </c>
      <c r="X394" s="151">
        <f>+VLOOKUP(PROVEEDORES[[#This Row],[ID RETENCION]],Retenciones!$A$1:$O$24,PROVEEDORES[[#This Row],[indicador de columna]],FALSE)</f>
        <v>980000</v>
      </c>
      <c r="Y394" s="152">
        <f>+VLOOKUP(PROVEEDORES[[#This Row],[ID RETENCION]],Retenciones!$A$1:$O$24,2,FALSE)</f>
        <v>2.5000000000000001E-2</v>
      </c>
      <c r="Z394" s="26"/>
      <c r="AA394" s="26"/>
      <c r="AB394" s="26"/>
      <c r="AC394" s="26"/>
      <c r="AD394" s="26"/>
      <c r="AE394" s="26"/>
    </row>
    <row r="395" spans="1:31" ht="21.95" customHeight="1" x14ac:dyDescent="0.25">
      <c r="A395" s="97" t="str">
        <f>+IF(PROVEEDORES[[#This Row],[FECHA DE PAGO]]=PROVEEDORES[[#This Row],[FECHA DE FACTURACIÓN]],"DE CONTADO","CRÉDITO")</f>
        <v>CRÉDITO</v>
      </c>
      <c r="B395" s="41" t="b">
        <f>+IF((PROVEEDORES[[#This Row],[FECHA DE PAGO]]-PROVEEDORES[[#This Row],[FECHA DE FACTURACIÓN]])&gt;PROVEEDORES[[#This Row],[PLAZO Días]],"PAGO VENCIDO")</f>
        <v>0</v>
      </c>
      <c r="C395" s="22">
        <f>+VLOOKUP(PROVEEDORES[[#This Row],[PROVEEDOR]],TERCEROS_INFO[#All],2,FALSE)</f>
        <v>30</v>
      </c>
      <c r="D395" s="27">
        <f>+SUMIFS(PROVEEDORES[Total],PROVEEDORES[PROVEEDOR],PROVEEDORES[[#This Row],[PROVEEDOR]],PROVEEDORES[FECHA DE PAGO],"")</f>
        <v>479654.98979999998</v>
      </c>
      <c r="E395" s="27"/>
      <c r="F395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395" s="95">
        <v>44328</v>
      </c>
      <c r="H395" s="28" t="s">
        <v>1139</v>
      </c>
      <c r="I395" s="95">
        <v>44344</v>
      </c>
      <c r="J395" s="38">
        <v>23</v>
      </c>
      <c r="K395" s="23">
        <v>-100842</v>
      </c>
      <c r="L395" s="23"/>
      <c r="M395" s="24">
        <v>-19159.98</v>
      </c>
      <c r="N395" s="25"/>
      <c r="O395" s="24">
        <v>0</v>
      </c>
      <c r="P395" s="136">
        <f>+IF(PROVEEDORES[[#This Row],[SUBTOTAL]]&lt;PROVEEDORES[[#This Row],[base retencion]],0,PROVEEDORES[[#This Row],[retención aplicada]])</f>
        <v>0</v>
      </c>
      <c r="Q395" s="24">
        <f>+PROVEEDORES[[#This Row],[Rete Fuente %]]*PROVEEDORES[[#This Row],[SUBTOTAL]]</f>
        <v>0</v>
      </c>
      <c r="R395" s="23">
        <v>-120001.98</v>
      </c>
      <c r="S39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5" s="99">
        <f ca="1">IF(PROVEEDORES[[#This Row],[FECHA DE PAGO]]=0,TODAY()-PROVEEDORES[[#This Row],[FECHA DE FACTURACIÓN]]-PROVEEDORES[[#This Row],[PLAZO Días]],0)</f>
        <v>0</v>
      </c>
      <c r="U395" s="149" t="str">
        <f>+VLOOKUP(PROVEEDORES[[#This Row],[PROVEEDOR]],Terceros!$A:$E,5,FALSE)</f>
        <v>2,5% con base</v>
      </c>
      <c r="V395" s="150">
        <f>+YEAR(PROVEEDORES[[#This Row],[FECHA DE FACTURACIÓN]])</f>
        <v>2021</v>
      </c>
      <c r="W395" s="150">
        <f>+MATCH(PROVEEDORES[[#This Row],[año facturado]],Retenciones!$1:$1,0)</f>
        <v>4</v>
      </c>
      <c r="X395" s="151">
        <f>+VLOOKUP(PROVEEDORES[[#This Row],[ID RETENCION]],Retenciones!$A$1:$O$24,PROVEEDORES[[#This Row],[indicador de columna]],FALSE)</f>
        <v>980000</v>
      </c>
      <c r="Y395" s="152">
        <f>+VLOOKUP(PROVEEDORES[[#This Row],[ID RETENCION]],Retenciones!$A$1:$O$24,2,FALSE)</f>
        <v>2.5000000000000001E-2</v>
      </c>
      <c r="Z395" s="26"/>
      <c r="AA395" s="26"/>
      <c r="AB395" s="26"/>
      <c r="AC395" s="26"/>
      <c r="AD395" s="26"/>
      <c r="AE395" s="26"/>
    </row>
    <row r="396" spans="1:31" ht="21.95" customHeight="1" x14ac:dyDescent="0.25">
      <c r="A396" s="97" t="str">
        <f>+IF(PROVEEDORES[[#This Row],[FECHA DE PAGO]]=PROVEEDORES[[#This Row],[FECHA DE FACTURACIÓN]],"DE CONTADO","CRÉDITO")</f>
        <v>DE CONTADO</v>
      </c>
      <c r="B396" s="41" t="b">
        <f>+IF((PROVEEDORES[[#This Row],[FECHA DE PAGO]]-PROVEEDORES[[#This Row],[FECHA DE FACTURACIÓN]])&gt;PROVEEDORES[[#This Row],[PLAZO Días]],"PAGO VENCIDO")</f>
        <v>0</v>
      </c>
      <c r="C396" s="22">
        <f>+VLOOKUP(PROVEEDORES[[#This Row],[PROVEEDOR]],TERCEROS_INFO[#All],2,FALSE)</f>
        <v>30</v>
      </c>
      <c r="D396" s="27">
        <f>+SUMIFS(PROVEEDORES[Total],PROVEEDORES[PROVEEDOR],PROVEEDORES[[#This Row],[PROVEEDOR]],PROVEEDORES[FECHA DE PAGO],"")</f>
        <v>0</v>
      </c>
      <c r="E396" s="27"/>
      <c r="F396" s="62" t="str">
        <f>+VLOOKUP(PROVEEDORES[[#This Row],[PROVEEDOR]],
                       Terceros!$A:$G,
                       6,
                       FALSE)</f>
        <v/>
      </c>
      <c r="G396" s="95">
        <v>44347</v>
      </c>
      <c r="H396" s="28" t="s">
        <v>1010</v>
      </c>
      <c r="I396" s="95">
        <v>44347</v>
      </c>
      <c r="J396" s="38" t="s">
        <v>941</v>
      </c>
      <c r="K396" s="23">
        <v>0</v>
      </c>
      <c r="L396" s="23"/>
      <c r="M396" s="24">
        <v>0</v>
      </c>
      <c r="N396" s="25"/>
      <c r="O396" s="24">
        <v>0</v>
      </c>
      <c r="P396" s="136">
        <f>+IF(PROVEEDORES[[#This Row],[SUBTOTAL]]&lt;PROVEEDORES[[#This Row],[base retencion]],0,PROVEEDORES[[#This Row],[retención aplicada]])</f>
        <v>0</v>
      </c>
      <c r="Q396" s="24">
        <f>+PROVEEDORES[[#This Row],[Rete Fuente %]]*PROVEEDORES[[#This Row],[SUBTOTAL]]</f>
        <v>0</v>
      </c>
      <c r="R396" s="23">
        <v>0</v>
      </c>
      <c r="S39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6" s="99">
        <f ca="1">IF(PROVEEDORES[[#This Row],[FECHA DE PAGO]]=0,TODAY()-PROVEEDORES[[#This Row],[FECHA DE FACTURACIÓN]]-PROVEEDORES[[#This Row],[PLAZO Días]],0)</f>
        <v>0</v>
      </c>
      <c r="U396" s="149">
        <f>+VLOOKUP(PROVEEDORES[[#This Row],[PROVEEDOR]],Terceros!$A:$E,5,FALSE)</f>
        <v>0</v>
      </c>
      <c r="V396" s="150">
        <f>+YEAR(PROVEEDORES[[#This Row],[FECHA DE FACTURACIÓN]])</f>
        <v>2021</v>
      </c>
      <c r="W396" s="150">
        <f>+MATCH(PROVEEDORES[[#This Row],[año facturado]],Retenciones!$1:$1,0)</f>
        <v>4</v>
      </c>
      <c r="X396" s="151">
        <f>+VLOOKUP(PROVEEDORES[[#This Row],[ID RETENCION]],Retenciones!$A$1:$O$24,PROVEEDORES[[#This Row],[indicador de columna]],FALSE)</f>
        <v>0</v>
      </c>
      <c r="Y396" s="152">
        <f>+VLOOKUP(PROVEEDORES[[#This Row],[ID RETENCION]],Retenciones!$A$1:$O$24,2,FALSE)</f>
        <v>0</v>
      </c>
      <c r="Z396" s="26"/>
      <c r="AA396" s="26"/>
      <c r="AB396" s="26"/>
      <c r="AC396" s="26"/>
      <c r="AD396" s="26"/>
      <c r="AE396" s="26"/>
    </row>
    <row r="397" spans="1:31" ht="21.95" customHeight="1" x14ac:dyDescent="0.25">
      <c r="A397" s="97" t="str">
        <f>+IF(PROVEEDORES[[#This Row],[FECHA DE PAGO]]=PROVEEDORES[[#This Row],[FECHA DE FACTURACIÓN]],"DE CONTADO","CRÉDITO")</f>
        <v>CRÉDITO</v>
      </c>
      <c r="B397" s="41" t="b">
        <f>+IF((PROVEEDORES[[#This Row],[FECHA DE PAGO]]-PROVEEDORES[[#This Row],[FECHA DE FACTURACIÓN]])&gt;PROVEEDORES[[#This Row],[PLAZO Días]],"PAGO VENCIDO")</f>
        <v>0</v>
      </c>
      <c r="C397" s="22">
        <f>+VLOOKUP(PROVEEDORES[[#This Row],[PROVEEDOR]],TERCEROS_INFO[#All],2,FALSE)</f>
        <v>20</v>
      </c>
      <c r="D397" s="27">
        <f>+SUMIFS(PROVEEDORES[Total],PROVEEDORES[PROVEEDOR],PROVEEDORES[[#This Row],[PROVEEDOR]],PROVEEDORES[FECHA DE PAGO],"")</f>
        <v>0</v>
      </c>
      <c r="E397" s="27"/>
      <c r="F397" s="62" t="str">
        <f>+VLOOKUP(PROVEEDORES[[#This Row],[PROVEEDOR]],
                       Terceros!$A:$G,
                       6,
                       FALSE)</f>
        <v>pse</v>
      </c>
      <c r="G397" s="95">
        <v>44365</v>
      </c>
      <c r="H397" s="28" t="s">
        <v>371</v>
      </c>
      <c r="I397" s="95">
        <v>44348</v>
      </c>
      <c r="J397" s="38"/>
      <c r="K397" s="23">
        <v>871998</v>
      </c>
      <c r="L397" s="23"/>
      <c r="M397" s="24">
        <v>0</v>
      </c>
      <c r="N397" s="25"/>
      <c r="O397" s="24">
        <v>0</v>
      </c>
      <c r="P397" s="136">
        <f>+IF(PROVEEDORES[[#This Row],[SUBTOTAL]]&lt;PROVEEDORES[[#This Row],[base retencion]],0,PROVEEDORES[[#This Row],[retención aplicada]])</f>
        <v>0</v>
      </c>
      <c r="Q397" s="24">
        <f>+PROVEEDORES[[#This Row],[Rete Fuente %]]*PROVEEDORES[[#This Row],[SUBTOTAL]]</f>
        <v>0</v>
      </c>
      <c r="R397" s="23">
        <v>871998</v>
      </c>
      <c r="S39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7" s="99">
        <f ca="1">IF(PROVEEDORES[[#This Row],[FECHA DE PAGO]]=0,TODAY()-PROVEEDORES[[#This Row],[FECHA DE FACTURACIÓN]]-PROVEEDORES[[#This Row],[PLAZO Días]],0)</f>
        <v>0</v>
      </c>
      <c r="U397" s="149">
        <f>+VLOOKUP(PROVEEDORES[[#This Row],[PROVEEDOR]],Terceros!$A:$E,5,FALSE)</f>
        <v>0</v>
      </c>
      <c r="V397" s="150">
        <f>+YEAR(PROVEEDORES[[#This Row],[FECHA DE FACTURACIÓN]])</f>
        <v>2021</v>
      </c>
      <c r="W397" s="150">
        <f>+MATCH(PROVEEDORES[[#This Row],[año facturado]],Retenciones!$1:$1,0)</f>
        <v>4</v>
      </c>
      <c r="X397" s="151">
        <f>+VLOOKUP(PROVEEDORES[[#This Row],[ID RETENCION]],Retenciones!$A$1:$O$24,PROVEEDORES[[#This Row],[indicador de columna]],FALSE)</f>
        <v>0</v>
      </c>
      <c r="Y397" s="152">
        <f>+VLOOKUP(PROVEEDORES[[#This Row],[ID RETENCION]],Retenciones!$A$1:$O$24,2,FALSE)</f>
        <v>0</v>
      </c>
      <c r="Z397" s="26"/>
      <c r="AA397" s="26"/>
      <c r="AB397" s="26"/>
      <c r="AC397" s="26"/>
      <c r="AD397" s="26"/>
      <c r="AE397" s="26"/>
    </row>
    <row r="398" spans="1:31" ht="21.95" customHeight="1" x14ac:dyDescent="0.25">
      <c r="A398" s="97" t="str">
        <f>+IF(PROVEEDORES[[#This Row],[FECHA DE PAGO]]=PROVEEDORES[[#This Row],[FECHA DE FACTURACIÓN]],"DE CONTADO","CRÉDITO")</f>
        <v>DE CONTADO</v>
      </c>
      <c r="B398" s="41" t="b">
        <f>+IF((PROVEEDORES[[#This Row],[FECHA DE PAGO]]-PROVEEDORES[[#This Row],[FECHA DE FACTURACIÓN]])&gt;PROVEEDORES[[#This Row],[PLAZO Días]],"PAGO VENCIDO")</f>
        <v>0</v>
      </c>
      <c r="C398" s="22">
        <f>+VLOOKUP(PROVEEDORES[[#This Row],[PROVEEDOR]],TERCEROS_INFO[#All],2,FALSE)</f>
        <v>30</v>
      </c>
      <c r="D398" s="27">
        <f>+SUMIFS(PROVEEDORES[Total],PROVEEDORES[PROVEEDOR],PROVEEDORES[[#This Row],[PROVEEDOR]],PROVEEDORES[FECHA DE PAGO],"")</f>
        <v>0</v>
      </c>
      <c r="E398" s="27"/>
      <c r="F398" s="62" t="str">
        <f>+VLOOKUP(PROVEEDORES[[#This Row],[PROVEEDOR]],
                       Terceros!$A:$G,
                       6,
                       FALSE)</f>
        <v/>
      </c>
      <c r="G398" s="95">
        <v>44347</v>
      </c>
      <c r="H398" s="28" t="s">
        <v>1031</v>
      </c>
      <c r="I398" s="95">
        <v>44347</v>
      </c>
      <c r="J398" s="38" t="s">
        <v>717</v>
      </c>
      <c r="K398" s="23">
        <v>384000</v>
      </c>
      <c r="L398" s="23"/>
      <c r="M398" s="24">
        <v>0</v>
      </c>
      <c r="N398" s="25"/>
      <c r="O398" s="24">
        <v>0</v>
      </c>
      <c r="P398" s="136">
        <f>+IF(PROVEEDORES[[#This Row],[SUBTOTAL]]&lt;PROVEEDORES[[#This Row],[base retencion]],0,PROVEEDORES[[#This Row],[retención aplicada]])</f>
        <v>0</v>
      </c>
      <c r="Q398" s="24">
        <f>+PROVEEDORES[[#This Row],[Rete Fuente %]]*PROVEEDORES[[#This Row],[SUBTOTAL]]</f>
        <v>0</v>
      </c>
      <c r="R398" s="23">
        <v>384000</v>
      </c>
      <c r="S39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8" s="99">
        <f ca="1">IF(PROVEEDORES[[#This Row],[FECHA DE PAGO]]=0,TODAY()-PROVEEDORES[[#This Row],[FECHA DE FACTURACIÓN]]-PROVEEDORES[[#This Row],[PLAZO Días]],0)</f>
        <v>0</v>
      </c>
      <c r="U398" s="149">
        <f>+VLOOKUP(PROVEEDORES[[#This Row],[PROVEEDOR]],Terceros!$A:$E,5,FALSE)</f>
        <v>0</v>
      </c>
      <c r="V398" s="150">
        <f>+YEAR(PROVEEDORES[[#This Row],[FECHA DE FACTURACIÓN]])</f>
        <v>2021</v>
      </c>
      <c r="W398" s="150">
        <f>+MATCH(PROVEEDORES[[#This Row],[año facturado]],Retenciones!$1:$1,0)</f>
        <v>4</v>
      </c>
      <c r="X398" s="151">
        <f>+VLOOKUP(PROVEEDORES[[#This Row],[ID RETENCION]],Retenciones!$A$1:$O$24,PROVEEDORES[[#This Row],[indicador de columna]],FALSE)</f>
        <v>0</v>
      </c>
      <c r="Y398" s="152">
        <f>+VLOOKUP(PROVEEDORES[[#This Row],[ID RETENCION]],Retenciones!$A$1:$O$24,2,FALSE)</f>
        <v>0</v>
      </c>
      <c r="Z398" s="26"/>
      <c r="AA398" s="26"/>
      <c r="AB398" s="26"/>
      <c r="AC398" s="26"/>
      <c r="AD398" s="26"/>
      <c r="AE398" s="26"/>
    </row>
    <row r="399" spans="1:31" ht="21.95" customHeight="1" x14ac:dyDescent="0.25">
      <c r="A399" s="97" t="str">
        <f>+IF(PROVEEDORES[[#This Row],[FECHA DE PAGO]]=PROVEEDORES[[#This Row],[FECHA DE FACTURACIÓN]],"DE CONTADO","CRÉDITO")</f>
        <v>DE CONTADO</v>
      </c>
      <c r="B399" s="41" t="b">
        <f>+IF((PROVEEDORES[[#This Row],[FECHA DE PAGO]]-PROVEEDORES[[#This Row],[FECHA DE FACTURACIÓN]])&gt;PROVEEDORES[[#This Row],[PLAZO Días]],"PAGO VENCIDO")</f>
        <v>0</v>
      </c>
      <c r="C399" s="22">
        <f>+VLOOKUP(PROVEEDORES[[#This Row],[PROVEEDOR]],TERCEROS_INFO[#All],2,FALSE)</f>
        <v>30</v>
      </c>
      <c r="D399" s="27">
        <f>+SUMIFS(PROVEEDORES[Total],PROVEEDORES[PROVEEDOR],PROVEEDORES[[#This Row],[PROVEEDOR]],PROVEEDORES[FECHA DE PAGO],"")</f>
        <v>0</v>
      </c>
      <c r="E399" s="27"/>
      <c r="F399" s="62" t="str">
        <f>+VLOOKUP(PROVEEDORES[[#This Row],[PROVEEDOR]],
                       Terceros!$A:$G,
                       6,
                       FALSE)</f>
        <v/>
      </c>
      <c r="G399" s="95">
        <v>44347</v>
      </c>
      <c r="H399" s="28" t="s">
        <v>1046</v>
      </c>
      <c r="I399" s="95">
        <v>44347</v>
      </c>
      <c r="J399" s="38"/>
      <c r="K399" s="23">
        <v>600000</v>
      </c>
      <c r="L399" s="23"/>
      <c r="M399" s="24">
        <v>0</v>
      </c>
      <c r="N399" s="25"/>
      <c r="O399" s="24">
        <v>0</v>
      </c>
      <c r="P399" s="136">
        <f>+IF(PROVEEDORES[[#This Row],[SUBTOTAL]]&lt;PROVEEDORES[[#This Row],[base retencion]],0,PROVEEDORES[[#This Row],[retención aplicada]])</f>
        <v>0</v>
      </c>
      <c r="Q399" s="24">
        <f>+PROVEEDORES[[#This Row],[Rete Fuente %]]*PROVEEDORES[[#This Row],[SUBTOTAL]]</f>
        <v>0</v>
      </c>
      <c r="R399" s="23">
        <v>600000</v>
      </c>
      <c r="S39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9" s="99">
        <f ca="1">IF(PROVEEDORES[[#This Row],[FECHA DE PAGO]]=0,TODAY()-PROVEEDORES[[#This Row],[FECHA DE FACTURACIÓN]]-PROVEEDORES[[#This Row],[PLAZO Días]],0)</f>
        <v>0</v>
      </c>
      <c r="U399" s="149">
        <f>+VLOOKUP(PROVEEDORES[[#This Row],[PROVEEDOR]],Terceros!$A:$E,5,FALSE)</f>
        <v>0</v>
      </c>
      <c r="V399" s="150">
        <f>+YEAR(PROVEEDORES[[#This Row],[FECHA DE FACTURACIÓN]])</f>
        <v>2021</v>
      </c>
      <c r="W399" s="150">
        <f>+MATCH(PROVEEDORES[[#This Row],[año facturado]],Retenciones!$1:$1,0)</f>
        <v>4</v>
      </c>
      <c r="X399" s="151">
        <f>+VLOOKUP(PROVEEDORES[[#This Row],[ID RETENCION]],Retenciones!$A$1:$O$24,PROVEEDORES[[#This Row],[indicador de columna]],FALSE)</f>
        <v>0</v>
      </c>
      <c r="Y399" s="152">
        <f>+VLOOKUP(PROVEEDORES[[#This Row],[ID RETENCION]],Retenciones!$A$1:$O$24,2,FALSE)</f>
        <v>0</v>
      </c>
      <c r="Z399" s="26"/>
      <c r="AA399" s="26"/>
      <c r="AB399" s="26"/>
      <c r="AC399" s="26"/>
      <c r="AD399" s="26"/>
      <c r="AE399" s="26"/>
    </row>
    <row r="400" spans="1:31" ht="21.95" customHeight="1" x14ac:dyDescent="0.25">
      <c r="A400" s="97" t="str">
        <f>+IF(PROVEEDORES[[#This Row],[FECHA DE PAGO]]=PROVEEDORES[[#This Row],[FECHA DE FACTURACIÓN]],"DE CONTADO","CRÉDITO")</f>
        <v>DE CONTADO</v>
      </c>
      <c r="B400" s="41" t="b">
        <f>+IF((PROVEEDORES[[#This Row],[FECHA DE PAGO]]-PROVEEDORES[[#This Row],[FECHA DE FACTURACIÓN]])&gt;PROVEEDORES[[#This Row],[PLAZO Días]],"PAGO VENCIDO")</f>
        <v>0</v>
      </c>
      <c r="C400" s="22">
        <f>+VLOOKUP(PROVEEDORES[[#This Row],[PROVEEDOR]],TERCEROS_INFO[#All],2,FALSE)</f>
        <v>30</v>
      </c>
      <c r="D400" s="27">
        <f>+SUMIFS(PROVEEDORES[Total],PROVEEDORES[PROVEEDOR],PROVEEDORES[[#This Row],[PROVEEDOR]],PROVEEDORES[FECHA DE PAGO],"")</f>
        <v>0</v>
      </c>
      <c r="E400" s="27"/>
      <c r="F400" s="62" t="str">
        <f>+VLOOKUP(PROVEEDORES[[#This Row],[PROVEEDOR]],
                       Terceros!$A:$G,
                       6,
                       FALSE)</f>
        <v/>
      </c>
      <c r="G400" s="95">
        <v>44347</v>
      </c>
      <c r="H400" s="28" t="s">
        <v>1010</v>
      </c>
      <c r="I400" s="95">
        <v>44347</v>
      </c>
      <c r="J400" s="38" t="s">
        <v>180</v>
      </c>
      <c r="K400" s="23">
        <v>709000</v>
      </c>
      <c r="L400" s="23"/>
      <c r="M400" s="24">
        <v>0</v>
      </c>
      <c r="N400" s="25"/>
      <c r="O400" s="24">
        <v>0</v>
      </c>
      <c r="P400" s="136">
        <f>+IF(PROVEEDORES[[#This Row],[SUBTOTAL]]&lt;PROVEEDORES[[#This Row],[base retencion]],0,PROVEEDORES[[#This Row],[retención aplicada]])</f>
        <v>0</v>
      </c>
      <c r="Q400" s="24">
        <f>+PROVEEDORES[[#This Row],[Rete Fuente %]]*PROVEEDORES[[#This Row],[SUBTOTAL]]</f>
        <v>0</v>
      </c>
      <c r="R400" s="23">
        <v>709000</v>
      </c>
      <c r="S40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0" s="99">
        <f ca="1">IF(PROVEEDORES[[#This Row],[FECHA DE PAGO]]=0,TODAY()-PROVEEDORES[[#This Row],[FECHA DE FACTURACIÓN]]-PROVEEDORES[[#This Row],[PLAZO Días]],0)</f>
        <v>0</v>
      </c>
      <c r="U400" s="149">
        <f>+VLOOKUP(PROVEEDORES[[#This Row],[PROVEEDOR]],Terceros!$A:$E,5,FALSE)</f>
        <v>0</v>
      </c>
      <c r="V400" s="150">
        <f>+YEAR(PROVEEDORES[[#This Row],[FECHA DE FACTURACIÓN]])</f>
        <v>2021</v>
      </c>
      <c r="W400" s="150">
        <f>+MATCH(PROVEEDORES[[#This Row],[año facturado]],Retenciones!$1:$1,0)</f>
        <v>4</v>
      </c>
      <c r="X400" s="151">
        <f>+VLOOKUP(PROVEEDORES[[#This Row],[ID RETENCION]],Retenciones!$A$1:$O$24,PROVEEDORES[[#This Row],[indicador de columna]],FALSE)</f>
        <v>0</v>
      </c>
      <c r="Y400" s="152">
        <f>+VLOOKUP(PROVEEDORES[[#This Row],[ID RETENCION]],Retenciones!$A$1:$O$24,2,FALSE)</f>
        <v>0</v>
      </c>
      <c r="Z400" s="26"/>
      <c r="AA400" s="26"/>
      <c r="AB400" s="26"/>
      <c r="AC400" s="26"/>
      <c r="AD400" s="26"/>
      <c r="AE400" s="26"/>
    </row>
    <row r="401" spans="1:31" ht="21.95" customHeight="1" x14ac:dyDescent="0.25">
      <c r="A401" s="97" t="str">
        <f>+IF(PROVEEDORES[[#This Row],[FECHA DE PAGO]]=PROVEEDORES[[#This Row],[FECHA DE FACTURACIÓN]],"DE CONTADO","CRÉDITO")</f>
        <v>DE CONTADO</v>
      </c>
      <c r="B401" s="41" t="b">
        <f>+IF((PROVEEDORES[[#This Row],[FECHA DE PAGO]]-PROVEEDORES[[#This Row],[FECHA DE FACTURACIÓN]])&gt;PROVEEDORES[[#This Row],[PLAZO Días]],"PAGO VENCIDO")</f>
        <v>0</v>
      </c>
      <c r="C401" s="22">
        <f>+VLOOKUP(PROVEEDORES[[#This Row],[PROVEEDOR]],TERCEROS_INFO[#All],2,FALSE)</f>
        <v>30</v>
      </c>
      <c r="D401" s="27">
        <f>+SUMIFS(PROVEEDORES[Total],PROVEEDORES[PROVEEDOR],PROVEEDORES[[#This Row],[PROVEEDOR]],PROVEEDORES[FECHA DE PAGO],"")</f>
        <v>0</v>
      </c>
      <c r="E401" s="27"/>
      <c r="F401" s="62" t="str">
        <f>+VLOOKUP(PROVEEDORES[[#This Row],[PROVEEDOR]],
                       Terceros!$A:$G,
                       6,
                       FALSE)</f>
        <v/>
      </c>
      <c r="G401" s="95">
        <v>44347</v>
      </c>
      <c r="H401" s="28" t="s">
        <v>1010</v>
      </c>
      <c r="I401" s="95">
        <v>44347</v>
      </c>
      <c r="J401" s="38" t="s">
        <v>942</v>
      </c>
      <c r="K401" s="23">
        <v>1095000</v>
      </c>
      <c r="L401" s="23"/>
      <c r="M401" s="24">
        <v>0</v>
      </c>
      <c r="N401" s="25"/>
      <c r="O401" s="24">
        <v>0</v>
      </c>
      <c r="P401" s="136">
        <f>+IF(PROVEEDORES[[#This Row],[SUBTOTAL]]&lt;PROVEEDORES[[#This Row],[base retencion]],0,PROVEEDORES[[#This Row],[retención aplicada]])</f>
        <v>0</v>
      </c>
      <c r="Q401" s="24">
        <f>+PROVEEDORES[[#This Row],[Rete Fuente %]]*PROVEEDORES[[#This Row],[SUBTOTAL]]</f>
        <v>0</v>
      </c>
      <c r="R401" s="23">
        <v>1095000</v>
      </c>
      <c r="S40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1" s="99">
        <f ca="1">IF(PROVEEDORES[[#This Row],[FECHA DE PAGO]]=0,TODAY()-PROVEEDORES[[#This Row],[FECHA DE FACTURACIÓN]]-PROVEEDORES[[#This Row],[PLAZO Días]],0)</f>
        <v>0</v>
      </c>
      <c r="U401" s="149">
        <f>+VLOOKUP(PROVEEDORES[[#This Row],[PROVEEDOR]],Terceros!$A:$E,5,FALSE)</f>
        <v>0</v>
      </c>
      <c r="V401" s="150">
        <f>+YEAR(PROVEEDORES[[#This Row],[FECHA DE FACTURACIÓN]])</f>
        <v>2021</v>
      </c>
      <c r="W401" s="150">
        <f>+MATCH(PROVEEDORES[[#This Row],[año facturado]],Retenciones!$1:$1,0)</f>
        <v>4</v>
      </c>
      <c r="X401" s="151">
        <f>+VLOOKUP(PROVEEDORES[[#This Row],[ID RETENCION]],Retenciones!$A$1:$O$24,PROVEEDORES[[#This Row],[indicador de columna]],FALSE)</f>
        <v>0</v>
      </c>
      <c r="Y401" s="152">
        <f>+VLOOKUP(PROVEEDORES[[#This Row],[ID RETENCION]],Retenciones!$A$1:$O$24,2,FALSE)</f>
        <v>0</v>
      </c>
      <c r="Z401" s="26"/>
      <c r="AA401" s="26"/>
      <c r="AB401" s="26"/>
      <c r="AC401" s="26"/>
      <c r="AD401" s="26"/>
      <c r="AE401" s="26"/>
    </row>
    <row r="402" spans="1:31" ht="21.95" customHeight="1" x14ac:dyDescent="0.25">
      <c r="A402" s="97" t="str">
        <f>+IF(PROVEEDORES[[#This Row],[FECHA DE PAGO]]=PROVEEDORES[[#This Row],[FECHA DE FACTURACIÓN]],"DE CONTADO","CRÉDITO")</f>
        <v>CRÉDITO</v>
      </c>
      <c r="B402" s="41" t="str">
        <f>+IF((PROVEEDORES[[#This Row],[FECHA DE PAGO]]-PROVEEDORES[[#This Row],[FECHA DE FACTURACIÓN]])&gt;PROVEEDORES[[#This Row],[PLAZO Días]],"PAGO VENCIDO")</f>
        <v>PAGO VENCIDO</v>
      </c>
      <c r="C402" s="22">
        <f>+VLOOKUP(PROVEEDORES[[#This Row],[PROVEEDOR]],TERCEROS_INFO[#All],2,FALSE)</f>
        <v>30</v>
      </c>
      <c r="D402" s="27">
        <f>+SUMIFS(PROVEEDORES[Total],PROVEEDORES[PROVEEDOR],PROVEEDORES[[#This Row],[PROVEEDOR]],PROVEEDORES[FECHA DE PAGO],"")</f>
        <v>1979529.3</v>
      </c>
      <c r="E402" s="27"/>
      <c r="F402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402" s="95">
        <v>44385</v>
      </c>
      <c r="H402" s="28" t="s">
        <v>17</v>
      </c>
      <c r="I402" s="95">
        <v>44347</v>
      </c>
      <c r="J402" s="38">
        <v>1771481</v>
      </c>
      <c r="K402" s="23">
        <v>1750330</v>
      </c>
      <c r="L402" s="23"/>
      <c r="M402" s="24">
        <v>0</v>
      </c>
      <c r="N402" s="25"/>
      <c r="O402" s="24">
        <v>0</v>
      </c>
      <c r="P402" s="136">
        <f>+IF(PROVEEDORES[[#This Row],[SUBTOTAL]]&lt;PROVEEDORES[[#This Row],[base retencion]],0,PROVEEDORES[[#This Row],[retención aplicada]])</f>
        <v>0</v>
      </c>
      <c r="Q402" s="24">
        <f>+PROVEEDORES[[#This Row],[Rete Fuente %]]*PROVEEDORES[[#This Row],[SUBTOTAL]]</f>
        <v>0</v>
      </c>
      <c r="R402" s="23">
        <v>1750330</v>
      </c>
      <c r="S40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2" s="99">
        <f ca="1">IF(PROVEEDORES[[#This Row],[FECHA DE PAGO]]=0,TODAY()-PROVEEDORES[[#This Row],[FECHA DE FACTURACIÓN]]-PROVEEDORES[[#This Row],[PLAZO Días]],0)</f>
        <v>0</v>
      </c>
      <c r="U402" s="149">
        <f>+VLOOKUP(PROVEEDORES[[#This Row],[PROVEEDOR]],Terceros!$A:$E,5,FALSE)</f>
        <v>0</v>
      </c>
      <c r="V402" s="150">
        <f>+YEAR(PROVEEDORES[[#This Row],[FECHA DE FACTURACIÓN]])</f>
        <v>2021</v>
      </c>
      <c r="W402" s="150">
        <f>+MATCH(PROVEEDORES[[#This Row],[año facturado]],Retenciones!$1:$1,0)</f>
        <v>4</v>
      </c>
      <c r="X402" s="151">
        <f>+VLOOKUP(PROVEEDORES[[#This Row],[ID RETENCION]],Retenciones!$A$1:$O$24,PROVEEDORES[[#This Row],[indicador de columna]],FALSE)</f>
        <v>0</v>
      </c>
      <c r="Y402" s="152">
        <f>+VLOOKUP(PROVEEDORES[[#This Row],[ID RETENCION]],Retenciones!$A$1:$O$24,2,FALSE)</f>
        <v>0</v>
      </c>
      <c r="Z402" s="26"/>
      <c r="AA402" s="26"/>
      <c r="AB402" s="26"/>
      <c r="AC402" s="26"/>
      <c r="AD402" s="26"/>
      <c r="AE402" s="26"/>
    </row>
    <row r="403" spans="1:31" ht="21.95" customHeight="1" x14ac:dyDescent="0.25">
      <c r="A403" s="97" t="str">
        <f>+IF(PROVEEDORES[[#This Row],[FECHA DE PAGO]]=PROVEEDORES[[#This Row],[FECHA DE FACTURACIÓN]],"DE CONTADO","CRÉDITO")</f>
        <v>CRÉDITO</v>
      </c>
      <c r="B403" s="41" t="str">
        <f>+IF((PROVEEDORES[[#This Row],[FECHA DE PAGO]]-PROVEEDORES[[#This Row],[FECHA DE FACTURACIÓN]])&gt;PROVEEDORES[[#This Row],[PLAZO Días]],"PAGO VENCIDO")</f>
        <v>PAGO VENCIDO</v>
      </c>
      <c r="C403" s="22">
        <f>+VLOOKUP(PROVEEDORES[[#This Row],[PROVEEDOR]],TERCEROS_INFO[#All],2,FALSE)</f>
        <v>30</v>
      </c>
      <c r="D403" s="27">
        <f>+SUMIFS(PROVEEDORES[Total],PROVEEDORES[PROVEEDOR],PROVEEDORES[[#This Row],[PROVEEDOR]],PROVEEDORES[FECHA DE PAGO],"")</f>
        <v>0</v>
      </c>
      <c r="E403" s="27"/>
      <c r="F403" s="62" t="str">
        <f>+VLOOKUP(PROVEEDORES[[#This Row],[PROVEEDOR]],
                       Terceros!$A:$G,
                       6,
                       FALSE)</f>
        <v>supervisorventasbridge@gmail.com;newtimewatches1@gmail.com;girlesa.ruiz@servipilas.com;joriescobar64@gmail.com</v>
      </c>
      <c r="G403" s="95">
        <v>44396</v>
      </c>
      <c r="H403" s="28" t="s">
        <v>135</v>
      </c>
      <c r="I403" s="95">
        <v>44347</v>
      </c>
      <c r="J403" s="38">
        <v>34</v>
      </c>
      <c r="K403" s="23">
        <v>2163521</v>
      </c>
      <c r="L403" s="23">
        <v>349434</v>
      </c>
      <c r="M403" s="24">
        <v>344676.53</v>
      </c>
      <c r="N403" s="25"/>
      <c r="O403" s="24">
        <v>0</v>
      </c>
      <c r="P403" s="136">
        <f>+IF(PROVEEDORES[[#This Row],[SUBTOTAL]]&lt;PROVEEDORES[[#This Row],[base retencion]],0,PROVEEDORES[[#This Row],[retención aplicada]])</f>
        <v>2.5000000000000001E-2</v>
      </c>
      <c r="Q403" s="24">
        <f>+PROVEEDORES[[#This Row],[Rete Fuente %]]*PROVEEDORES[[#This Row],[SUBTOTAL]]</f>
        <v>54088.025000000001</v>
      </c>
      <c r="R403" s="23">
        <v>2113411.3550000004</v>
      </c>
      <c r="S40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3" s="99">
        <f ca="1">IF(PROVEEDORES[[#This Row],[FECHA DE PAGO]]=0,TODAY()-PROVEEDORES[[#This Row],[FECHA DE FACTURACIÓN]]-PROVEEDORES[[#This Row],[PLAZO Días]],0)</f>
        <v>0</v>
      </c>
      <c r="U403" s="149" t="str">
        <f>+VLOOKUP(PROVEEDORES[[#This Row],[PROVEEDOR]],Terceros!$A:$E,5,FALSE)</f>
        <v>2,5% con base</v>
      </c>
      <c r="V403" s="150">
        <f>+YEAR(PROVEEDORES[[#This Row],[FECHA DE FACTURACIÓN]])</f>
        <v>2021</v>
      </c>
      <c r="W403" s="150">
        <f>+MATCH(PROVEEDORES[[#This Row],[año facturado]],Retenciones!$1:$1,0)</f>
        <v>4</v>
      </c>
      <c r="X403" s="151">
        <f>+VLOOKUP(PROVEEDORES[[#This Row],[ID RETENCION]],Retenciones!$A$1:$O$24,PROVEEDORES[[#This Row],[indicador de columna]],FALSE)</f>
        <v>980000</v>
      </c>
      <c r="Y403" s="152">
        <f>+VLOOKUP(PROVEEDORES[[#This Row],[ID RETENCION]],Retenciones!$A$1:$O$24,2,FALSE)</f>
        <v>2.5000000000000001E-2</v>
      </c>
      <c r="Z403" s="26"/>
      <c r="AA403" s="26"/>
      <c r="AB403" s="26"/>
      <c r="AC403" s="26"/>
      <c r="AD403" s="26"/>
      <c r="AE403" s="26"/>
    </row>
    <row r="404" spans="1:31" ht="21.95" customHeight="1" x14ac:dyDescent="0.25">
      <c r="A404" s="97" t="str">
        <f>+IF(PROVEEDORES[[#This Row],[FECHA DE PAGO]]=PROVEEDORES[[#This Row],[FECHA DE FACTURACIÓN]],"DE CONTADO","CRÉDITO")</f>
        <v>DE CONTADO</v>
      </c>
      <c r="B404" s="41" t="b">
        <f>+IF((PROVEEDORES[[#This Row],[FECHA DE PAGO]]-PROVEEDORES[[#This Row],[FECHA DE FACTURACIÓN]])&gt;PROVEEDORES[[#This Row],[PLAZO Días]],"PAGO VENCIDO")</f>
        <v>0</v>
      </c>
      <c r="C404" s="22">
        <f>+VLOOKUP(PROVEEDORES[[#This Row],[PROVEEDOR]],TERCEROS_INFO[#All],2,FALSE)</f>
        <v>30</v>
      </c>
      <c r="D404" s="27">
        <f>+SUMIFS(PROVEEDORES[Total],PROVEEDORES[PROVEEDOR],PROVEEDORES[[#This Row],[PROVEEDOR]],PROVEEDORES[FECHA DE PAGO],"")</f>
        <v>0</v>
      </c>
      <c r="E404" s="27"/>
      <c r="F404" s="62" t="str">
        <f>+VLOOKUP(PROVEEDORES[[#This Row],[PROVEEDOR]],
                       Terceros!$A:$G,
                       6,
                       FALSE)</f>
        <v/>
      </c>
      <c r="G404" s="95">
        <v>44347</v>
      </c>
      <c r="H404" s="28" t="s">
        <v>1010</v>
      </c>
      <c r="I404" s="95">
        <v>44347</v>
      </c>
      <c r="J404" s="38" t="s">
        <v>943</v>
      </c>
      <c r="K404" s="23">
        <v>2264200</v>
      </c>
      <c r="L404" s="23"/>
      <c r="M404" s="24">
        <v>0</v>
      </c>
      <c r="N404" s="25"/>
      <c r="O404" s="24">
        <v>0</v>
      </c>
      <c r="P404" s="136">
        <f>+IF(PROVEEDORES[[#This Row],[SUBTOTAL]]&lt;PROVEEDORES[[#This Row],[base retencion]],0,PROVEEDORES[[#This Row],[retención aplicada]])</f>
        <v>0</v>
      </c>
      <c r="Q404" s="24">
        <f>+PROVEEDORES[[#This Row],[Rete Fuente %]]*PROVEEDORES[[#This Row],[SUBTOTAL]]</f>
        <v>0</v>
      </c>
      <c r="R404" s="23">
        <v>2264200</v>
      </c>
      <c r="S40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4" s="99">
        <f ca="1">IF(PROVEEDORES[[#This Row],[FECHA DE PAGO]]=0,TODAY()-PROVEEDORES[[#This Row],[FECHA DE FACTURACIÓN]]-PROVEEDORES[[#This Row],[PLAZO Días]],0)</f>
        <v>0</v>
      </c>
      <c r="U404" s="149">
        <f>+VLOOKUP(PROVEEDORES[[#This Row],[PROVEEDOR]],Terceros!$A:$E,5,FALSE)</f>
        <v>0</v>
      </c>
      <c r="V404" s="150">
        <f>+YEAR(PROVEEDORES[[#This Row],[FECHA DE FACTURACIÓN]])</f>
        <v>2021</v>
      </c>
      <c r="W404" s="150">
        <f>+MATCH(PROVEEDORES[[#This Row],[año facturado]],Retenciones!$1:$1,0)</f>
        <v>4</v>
      </c>
      <c r="X404" s="151">
        <f>+VLOOKUP(PROVEEDORES[[#This Row],[ID RETENCION]],Retenciones!$A$1:$O$24,PROVEEDORES[[#This Row],[indicador de columna]],FALSE)</f>
        <v>0</v>
      </c>
      <c r="Y404" s="152">
        <f>+VLOOKUP(PROVEEDORES[[#This Row],[ID RETENCION]],Retenciones!$A$1:$O$24,2,FALSE)</f>
        <v>0</v>
      </c>
      <c r="Z404" s="26"/>
      <c r="AA404" s="26"/>
      <c r="AB404" s="26"/>
      <c r="AC404" s="26"/>
      <c r="AD404" s="26"/>
      <c r="AE404" s="26"/>
    </row>
    <row r="405" spans="1:31" ht="21.95" customHeight="1" x14ac:dyDescent="0.25">
      <c r="A405" s="97" t="str">
        <f>+IF(PROVEEDORES[[#This Row],[FECHA DE PAGO]]=PROVEEDORES[[#This Row],[FECHA DE FACTURACIÓN]],"DE CONTADO","CRÉDITO")</f>
        <v>CRÉDITO</v>
      </c>
      <c r="B405" s="41" t="b">
        <f>+IF((PROVEEDORES[[#This Row],[FECHA DE PAGO]]-PROVEEDORES[[#This Row],[FECHA DE FACTURACIÓN]])&gt;PROVEEDORES[[#This Row],[PLAZO Días]],"PAGO VENCIDO")</f>
        <v>0</v>
      </c>
      <c r="C405" s="22">
        <f>+VLOOKUP(PROVEEDORES[[#This Row],[PROVEEDOR]],TERCEROS_INFO[#All],2,FALSE)</f>
        <v>20</v>
      </c>
      <c r="D405" s="27">
        <f>+SUMIFS(PROVEEDORES[Total],PROVEEDORES[PROVEEDOR],PROVEEDORES[[#This Row],[PROVEEDOR]],PROVEEDORES[FECHA DE PAGO],"")</f>
        <v>0</v>
      </c>
      <c r="E405" s="27"/>
      <c r="F405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405" s="95">
        <v>44351</v>
      </c>
      <c r="H405" s="28" t="s">
        <v>374</v>
      </c>
      <c r="I405" s="95">
        <v>44347</v>
      </c>
      <c r="J405" s="38" t="s">
        <v>494</v>
      </c>
      <c r="K405" s="23">
        <v>2629762.6722689075</v>
      </c>
      <c r="L405" s="23"/>
      <c r="M405" s="24">
        <v>499654.90773109242</v>
      </c>
      <c r="N405" s="25"/>
      <c r="O405" s="24">
        <v>0</v>
      </c>
      <c r="P405" s="136">
        <f>+IF(PROVEEDORES[[#This Row],[SUBTOTAL]]&lt;PROVEEDORES[[#This Row],[base retencion]],0,PROVEEDORES[[#This Row],[retención aplicada]])</f>
        <v>0.04</v>
      </c>
      <c r="Q405" s="24">
        <f>+PROVEEDORES[[#This Row],[Rete Fuente %]]*PROVEEDORES[[#This Row],[SUBTOTAL]]</f>
        <v>105190.50689075631</v>
      </c>
      <c r="R405" s="23">
        <v>3111488.58</v>
      </c>
      <c r="S40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5" s="99">
        <f ca="1">IF(PROVEEDORES[[#This Row],[FECHA DE PAGO]]=0,TODAY()-PROVEEDORES[[#This Row],[FECHA DE FACTURACIÓN]]-PROVEEDORES[[#This Row],[PLAZO Días]],0)</f>
        <v>0</v>
      </c>
      <c r="U405" s="149" t="str">
        <f>+VLOOKUP(PROVEEDORES[[#This Row],[PROVEEDOR]],Terceros!$A:$E,5,FALSE)</f>
        <v>4% sin base</v>
      </c>
      <c r="V405" s="150">
        <f>+YEAR(PROVEEDORES[[#This Row],[FECHA DE FACTURACIÓN]])</f>
        <v>2021</v>
      </c>
      <c r="W405" s="150">
        <f>+MATCH(PROVEEDORES[[#This Row],[año facturado]],Retenciones!$1:$1,0)</f>
        <v>4</v>
      </c>
      <c r="X405" s="151">
        <f>+VLOOKUP(PROVEEDORES[[#This Row],[ID RETENCION]],Retenciones!$A$1:$O$24,PROVEEDORES[[#This Row],[indicador de columna]],FALSE)</f>
        <v>0</v>
      </c>
      <c r="Y405" s="152">
        <f>+VLOOKUP(PROVEEDORES[[#This Row],[ID RETENCION]],Retenciones!$A$1:$O$24,2,FALSE)</f>
        <v>0.04</v>
      </c>
      <c r="Z405" s="26"/>
      <c r="AA405" s="26"/>
      <c r="AB405" s="26"/>
      <c r="AC405" s="26"/>
      <c r="AD405" s="26"/>
      <c r="AE405" s="26"/>
    </row>
    <row r="406" spans="1:31" ht="21.95" customHeight="1" x14ac:dyDescent="0.25">
      <c r="A406" s="97" t="str">
        <f>+IF(PROVEEDORES[[#This Row],[FECHA DE PAGO]]=PROVEEDORES[[#This Row],[FECHA DE FACTURACIÓN]],"DE CONTADO","CRÉDITO")</f>
        <v>DE CONTADO</v>
      </c>
      <c r="B406" s="41" t="b">
        <f>+IF((PROVEEDORES[[#This Row],[FECHA DE PAGO]]-PROVEEDORES[[#This Row],[FECHA DE FACTURACIÓN]])&gt;PROVEEDORES[[#This Row],[PLAZO Días]],"PAGO VENCIDO")</f>
        <v>0</v>
      </c>
      <c r="C406" s="22">
        <f>+VLOOKUP(PROVEEDORES[[#This Row],[PROVEEDOR]],TERCEROS_INFO[#All],2,FALSE)</f>
        <v>30</v>
      </c>
      <c r="D406" s="27">
        <f>+SUMIFS(PROVEEDORES[Total],PROVEEDORES[PROVEEDOR],PROVEEDORES[[#This Row],[PROVEEDOR]],PROVEEDORES[FECHA DE PAGO],"")</f>
        <v>0</v>
      </c>
      <c r="E406" s="27"/>
      <c r="F406" s="62" t="str">
        <f>+VLOOKUP(PROVEEDORES[[#This Row],[PROVEEDOR]],
                       Terceros!$A:$G,
                       6,
                       FALSE)</f>
        <v/>
      </c>
      <c r="G406" s="95">
        <v>44347</v>
      </c>
      <c r="H406" s="28" t="s">
        <v>1010</v>
      </c>
      <c r="I406" s="95">
        <v>44347</v>
      </c>
      <c r="J406" s="38" t="s">
        <v>940</v>
      </c>
      <c r="K406" s="23">
        <v>2835922</v>
      </c>
      <c r="L406" s="23"/>
      <c r="M406" s="24">
        <v>0</v>
      </c>
      <c r="N406" s="25"/>
      <c r="O406" s="24">
        <v>0</v>
      </c>
      <c r="P406" s="136">
        <f>+IF(PROVEEDORES[[#This Row],[SUBTOTAL]]&lt;PROVEEDORES[[#This Row],[base retencion]],0,PROVEEDORES[[#This Row],[retención aplicada]])</f>
        <v>0</v>
      </c>
      <c r="Q406" s="24">
        <f>+PROVEEDORES[[#This Row],[Rete Fuente %]]*PROVEEDORES[[#This Row],[SUBTOTAL]]</f>
        <v>0</v>
      </c>
      <c r="R406" s="23">
        <v>2835922</v>
      </c>
      <c r="S40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6" s="99">
        <f ca="1">IF(PROVEEDORES[[#This Row],[FECHA DE PAGO]]=0,TODAY()-PROVEEDORES[[#This Row],[FECHA DE FACTURACIÓN]]-PROVEEDORES[[#This Row],[PLAZO Días]],0)</f>
        <v>0</v>
      </c>
      <c r="U406" s="149">
        <f>+VLOOKUP(PROVEEDORES[[#This Row],[PROVEEDOR]],Terceros!$A:$E,5,FALSE)</f>
        <v>0</v>
      </c>
      <c r="V406" s="150">
        <f>+YEAR(PROVEEDORES[[#This Row],[FECHA DE FACTURACIÓN]])</f>
        <v>2021</v>
      </c>
      <c r="W406" s="150">
        <f>+MATCH(PROVEEDORES[[#This Row],[año facturado]],Retenciones!$1:$1,0)</f>
        <v>4</v>
      </c>
      <c r="X406" s="151">
        <f>+VLOOKUP(PROVEEDORES[[#This Row],[ID RETENCION]],Retenciones!$A$1:$O$24,PROVEEDORES[[#This Row],[indicador de columna]],FALSE)</f>
        <v>0</v>
      </c>
      <c r="Y406" s="152">
        <f>+VLOOKUP(PROVEEDORES[[#This Row],[ID RETENCION]],Retenciones!$A$1:$O$24,2,FALSE)</f>
        <v>0</v>
      </c>
      <c r="Z406" s="26"/>
      <c r="AA406" s="26"/>
      <c r="AB406" s="26"/>
      <c r="AC406" s="26"/>
      <c r="AD406" s="26"/>
      <c r="AE406" s="26"/>
    </row>
    <row r="407" spans="1:31" ht="21.95" customHeight="1" x14ac:dyDescent="0.25">
      <c r="A407" s="97" t="str">
        <f>+IF(PROVEEDORES[[#This Row],[FECHA DE PAGO]]=PROVEEDORES[[#This Row],[FECHA DE FACTURACIÓN]],"DE CONTADO","CRÉDITO")</f>
        <v>CRÉDITO</v>
      </c>
      <c r="B407" s="41" t="b">
        <f>+IF((PROVEEDORES[[#This Row],[FECHA DE PAGO]]-PROVEEDORES[[#This Row],[FECHA DE FACTURACIÓN]])&gt;PROVEEDORES[[#This Row],[PLAZO Días]],"PAGO VENCIDO")</f>
        <v>0</v>
      </c>
      <c r="C407" s="22">
        <f>+VLOOKUP(PROVEEDORES[[#This Row],[PROVEEDOR]],TERCEROS_INFO[#All],2,FALSE)</f>
        <v>13</v>
      </c>
      <c r="D407" s="27">
        <f>+SUMIFS(PROVEEDORES[Total],PROVEEDORES[PROVEEDOR],PROVEEDORES[[#This Row],[PROVEEDOR]],PROVEEDORES[FECHA DE PAGO],"")</f>
        <v>2130283</v>
      </c>
      <c r="E407" s="27"/>
      <c r="F407" s="62">
        <f>+VLOOKUP(PROVEEDORES[[#This Row],[PROVEEDOR]],
                       Terceros!$A:$G,
                       6,
                       FALSE)</f>
        <v>0</v>
      </c>
      <c r="G407" s="95">
        <v>44365</v>
      </c>
      <c r="H407" s="28" t="s">
        <v>326</v>
      </c>
      <c r="I407" s="95">
        <v>44366</v>
      </c>
      <c r="J407" s="38" t="s">
        <v>328</v>
      </c>
      <c r="K407" s="23">
        <v>313385</v>
      </c>
      <c r="L407" s="23"/>
      <c r="M407" s="24">
        <v>0</v>
      </c>
      <c r="N407" s="25"/>
      <c r="O407" s="24">
        <v>0</v>
      </c>
      <c r="P407" s="136">
        <f>+IF(PROVEEDORES[[#This Row],[SUBTOTAL]]&lt;PROVEEDORES[[#This Row],[base retencion]],0,PROVEEDORES[[#This Row],[retención aplicada]])</f>
        <v>0</v>
      </c>
      <c r="Q407" s="24">
        <f>+PROVEEDORES[[#This Row],[Rete Fuente %]]*PROVEEDORES[[#This Row],[SUBTOTAL]]</f>
        <v>0</v>
      </c>
      <c r="R407" s="23">
        <v>313385</v>
      </c>
      <c r="S40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7" s="99">
        <f ca="1">IF(PROVEEDORES[[#This Row],[FECHA DE PAGO]]=0,TODAY()-PROVEEDORES[[#This Row],[FECHA DE FACTURACIÓN]]-PROVEEDORES[[#This Row],[PLAZO Días]],0)</f>
        <v>0</v>
      </c>
      <c r="U407" s="149">
        <f>+VLOOKUP(PROVEEDORES[[#This Row],[PROVEEDOR]],Terceros!$A:$E,5,FALSE)</f>
        <v>0</v>
      </c>
      <c r="V407" s="150">
        <f>+YEAR(PROVEEDORES[[#This Row],[FECHA DE FACTURACIÓN]])</f>
        <v>2021</v>
      </c>
      <c r="W407" s="150">
        <f>+MATCH(PROVEEDORES[[#This Row],[año facturado]],Retenciones!$1:$1,0)</f>
        <v>4</v>
      </c>
      <c r="X407" s="151">
        <f>+VLOOKUP(PROVEEDORES[[#This Row],[ID RETENCION]],Retenciones!$A$1:$O$24,PROVEEDORES[[#This Row],[indicador de columna]],FALSE)</f>
        <v>0</v>
      </c>
      <c r="Y407" s="152">
        <f>+VLOOKUP(PROVEEDORES[[#This Row],[ID RETENCION]],Retenciones!$A$1:$O$24,2,FALSE)</f>
        <v>0</v>
      </c>
      <c r="Z407" s="26"/>
      <c r="AA407" s="26"/>
      <c r="AB407" s="26"/>
      <c r="AC407" s="26"/>
      <c r="AD407" s="26"/>
      <c r="AE407" s="26"/>
    </row>
    <row r="408" spans="1:31" ht="21.95" customHeight="1" x14ac:dyDescent="0.25">
      <c r="A408" s="97" t="str">
        <f>+IF(PROVEEDORES[[#This Row],[FECHA DE PAGO]]=PROVEEDORES[[#This Row],[FECHA DE FACTURACIÓN]],"DE CONTADO","CRÉDITO")</f>
        <v>CRÉDITO</v>
      </c>
      <c r="B408" s="41" t="b">
        <f>+IF((PROVEEDORES[[#This Row],[FECHA DE PAGO]]-PROVEEDORES[[#This Row],[FECHA DE FACTURACIÓN]])&gt;PROVEEDORES[[#This Row],[PLAZO Días]],"PAGO VENCIDO")</f>
        <v>0</v>
      </c>
      <c r="C408" s="22">
        <f>+VLOOKUP(PROVEEDORES[[#This Row],[PROVEEDOR]],TERCEROS_INFO[#All],2,FALSE)</f>
        <v>30</v>
      </c>
      <c r="D408" s="27">
        <f>+SUMIFS(PROVEEDORES[Total],PROVEEDORES[PROVEEDOR],PROVEEDORES[[#This Row],[PROVEEDOR]],PROVEEDORES[FECHA DE PAGO],"")</f>
        <v>0</v>
      </c>
      <c r="E408" s="27"/>
      <c r="F408" s="62" t="str">
        <f>+VLOOKUP(PROVEEDORES[[#This Row],[PROVEEDOR]],
                       Terceros!$A:$G,
                       6,
                       FALSE)</f>
        <v>PSE</v>
      </c>
      <c r="G408" s="95">
        <v>44368</v>
      </c>
      <c r="H408" s="28" t="s">
        <v>350</v>
      </c>
      <c r="I408" s="95">
        <v>44348</v>
      </c>
      <c r="J408" s="38" t="s">
        <v>351</v>
      </c>
      <c r="K408" s="23">
        <v>727051</v>
      </c>
      <c r="L408" s="23"/>
      <c r="M408" s="24">
        <v>0</v>
      </c>
      <c r="N408" s="25"/>
      <c r="O408" s="24">
        <v>0</v>
      </c>
      <c r="P408" s="136">
        <f>+IF(PROVEEDORES[[#This Row],[SUBTOTAL]]&lt;PROVEEDORES[[#This Row],[base retencion]],0,PROVEEDORES[[#This Row],[retención aplicada]])</f>
        <v>0</v>
      </c>
      <c r="Q408" s="24">
        <f>+PROVEEDORES[[#This Row],[Rete Fuente %]]*PROVEEDORES[[#This Row],[SUBTOTAL]]</f>
        <v>0</v>
      </c>
      <c r="R408" s="23">
        <v>727051</v>
      </c>
      <c r="S40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8" s="99">
        <f ca="1">IF(PROVEEDORES[[#This Row],[FECHA DE PAGO]]=0,TODAY()-PROVEEDORES[[#This Row],[FECHA DE FACTURACIÓN]]-PROVEEDORES[[#This Row],[PLAZO Días]],0)</f>
        <v>0</v>
      </c>
      <c r="U408" s="149">
        <f>+VLOOKUP(PROVEEDORES[[#This Row],[PROVEEDOR]],Terceros!$A:$E,5,FALSE)</f>
        <v>0</v>
      </c>
      <c r="V408" s="150">
        <f>+YEAR(PROVEEDORES[[#This Row],[FECHA DE FACTURACIÓN]])</f>
        <v>2021</v>
      </c>
      <c r="W408" s="150">
        <f>+MATCH(PROVEEDORES[[#This Row],[año facturado]],Retenciones!$1:$1,0)</f>
        <v>4</v>
      </c>
      <c r="X408" s="151">
        <f>+VLOOKUP(PROVEEDORES[[#This Row],[ID RETENCION]],Retenciones!$A$1:$O$24,PROVEEDORES[[#This Row],[indicador de columna]],FALSE)</f>
        <v>0</v>
      </c>
      <c r="Y408" s="152">
        <f>+VLOOKUP(PROVEEDORES[[#This Row],[ID RETENCION]],Retenciones!$A$1:$O$24,2,FALSE)</f>
        <v>0</v>
      </c>
      <c r="Z408" s="26"/>
      <c r="AA408" s="26"/>
      <c r="AB408" s="26"/>
      <c r="AC408" s="26"/>
      <c r="AD408" s="26"/>
      <c r="AE408" s="26"/>
    </row>
    <row r="409" spans="1:31" ht="21.95" customHeight="1" x14ac:dyDescent="0.25">
      <c r="A409" s="97" t="str">
        <f>+IF(PROVEEDORES[[#This Row],[FECHA DE PAGO]]=PROVEEDORES[[#This Row],[FECHA DE FACTURACIÓN]],"DE CONTADO","CRÉDITO")</f>
        <v>CRÉDITO</v>
      </c>
      <c r="B409" s="41" t="str">
        <f>+IF((PROVEEDORES[[#This Row],[FECHA DE PAGO]]-PROVEEDORES[[#This Row],[FECHA DE FACTURACIÓN]])&gt;PROVEEDORES[[#This Row],[PLAZO Días]],"PAGO VENCIDO")</f>
        <v>PAGO VENCIDO</v>
      </c>
      <c r="C409" s="22">
        <f>+VLOOKUP(PROVEEDORES[[#This Row],[PROVEEDOR]],TERCEROS_INFO[#All],2,FALSE)</f>
        <v>45</v>
      </c>
      <c r="D409" s="27">
        <f>+SUMIFS(PROVEEDORES[Total],PROVEEDORES[PROVEEDOR],PROVEEDORES[[#This Row],[PROVEEDOR]],PROVEEDORES[FECHA DE PAGO],"")</f>
        <v>3412539.2</v>
      </c>
      <c r="E409" s="27"/>
      <c r="F409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409" s="95">
        <v>44411</v>
      </c>
      <c r="H409" s="28" t="s">
        <v>10</v>
      </c>
      <c r="I409" s="95">
        <v>44348</v>
      </c>
      <c r="J409" s="38" t="s">
        <v>387</v>
      </c>
      <c r="K409" s="23">
        <v>495000</v>
      </c>
      <c r="L409" s="23"/>
      <c r="M409" s="24">
        <v>94050</v>
      </c>
      <c r="N409" s="25"/>
      <c r="O409" s="24">
        <v>0</v>
      </c>
      <c r="P409" s="136">
        <f>+IF(PROVEEDORES[[#This Row],[SUBTOTAL]]&lt;PROVEEDORES[[#This Row],[base retencion]],0,PROVEEDORES[[#This Row],[retención aplicada]])</f>
        <v>0</v>
      </c>
      <c r="Q409" s="24">
        <f>+PROVEEDORES[[#This Row],[Rete Fuente %]]*PROVEEDORES[[#This Row],[SUBTOTAL]]</f>
        <v>0</v>
      </c>
      <c r="R409" s="23">
        <v>589050</v>
      </c>
      <c r="S40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9" s="99">
        <f ca="1">IF(PROVEEDORES[[#This Row],[FECHA DE PAGO]]=0,TODAY()-PROVEEDORES[[#This Row],[FECHA DE FACTURACIÓN]]-PROVEEDORES[[#This Row],[PLAZO Días]],0)</f>
        <v>0</v>
      </c>
      <c r="U409" s="149">
        <f>+VLOOKUP(PROVEEDORES[[#This Row],[PROVEEDOR]],Terceros!$A:$E,5,FALSE)</f>
        <v>0</v>
      </c>
      <c r="V409" s="150">
        <f>+YEAR(PROVEEDORES[[#This Row],[FECHA DE FACTURACIÓN]])</f>
        <v>2021</v>
      </c>
      <c r="W409" s="150">
        <f>+MATCH(PROVEEDORES[[#This Row],[año facturado]],Retenciones!$1:$1,0)</f>
        <v>4</v>
      </c>
      <c r="X409" s="151">
        <f>+VLOOKUP(PROVEEDORES[[#This Row],[ID RETENCION]],Retenciones!$A$1:$O$24,PROVEEDORES[[#This Row],[indicador de columna]],FALSE)</f>
        <v>0</v>
      </c>
      <c r="Y409" s="152">
        <f>+VLOOKUP(PROVEEDORES[[#This Row],[ID RETENCION]],Retenciones!$A$1:$O$24,2,FALSE)</f>
        <v>0</v>
      </c>
      <c r="Z409" s="26"/>
      <c r="AA409" s="26"/>
      <c r="AB409" s="26"/>
      <c r="AC409" s="26"/>
      <c r="AD409" s="26"/>
      <c r="AE409" s="26"/>
    </row>
    <row r="410" spans="1:31" ht="21.95" customHeight="1" x14ac:dyDescent="0.25">
      <c r="A410" s="97" t="str">
        <f>+IF(PROVEEDORES[[#This Row],[FECHA DE PAGO]]=PROVEEDORES[[#This Row],[FECHA DE FACTURACIÓN]],"DE CONTADO","CRÉDITO")</f>
        <v>CRÉDITO</v>
      </c>
      <c r="B410" s="41" t="b">
        <f>+IF((PROVEEDORES[[#This Row],[FECHA DE PAGO]]-PROVEEDORES[[#This Row],[FECHA DE FACTURACIÓN]])&gt;PROVEEDORES[[#This Row],[PLAZO Días]],"PAGO VENCIDO")</f>
        <v>0</v>
      </c>
      <c r="C410" s="22">
        <f>+VLOOKUP(PROVEEDORES[[#This Row],[PROVEEDOR]],TERCEROS_INFO[#All],2,FALSE)</f>
        <v>30</v>
      </c>
      <c r="D410" s="27">
        <f>+SUMIFS(PROVEEDORES[Total],PROVEEDORES[PROVEEDOR],PROVEEDORES[[#This Row],[PROVEEDOR]],PROVEEDORES[FECHA DE PAGO],"")</f>
        <v>0</v>
      </c>
      <c r="E410" s="27"/>
      <c r="F410" s="62">
        <f>+VLOOKUP(PROVEEDORES[[#This Row],[PROVEEDOR]],
                       Terceros!$A:$G,
                       6,
                       FALSE)</f>
        <v>0</v>
      </c>
      <c r="G410" s="95">
        <v>44357</v>
      </c>
      <c r="H410" s="28" t="s">
        <v>1013</v>
      </c>
      <c r="I410" s="95">
        <v>44348</v>
      </c>
      <c r="J410" s="38" t="s">
        <v>718</v>
      </c>
      <c r="K410" s="23">
        <v>675000</v>
      </c>
      <c r="L410" s="23"/>
      <c r="M410" s="24">
        <v>0</v>
      </c>
      <c r="N410" s="25"/>
      <c r="O410" s="24">
        <v>0</v>
      </c>
      <c r="P410" s="136">
        <f>+IF(PROVEEDORES[[#This Row],[SUBTOTAL]]&lt;PROVEEDORES[[#This Row],[base retencion]],0,PROVEEDORES[[#This Row],[retención aplicada]])</f>
        <v>0</v>
      </c>
      <c r="Q410" s="24">
        <f>+PROVEEDORES[[#This Row],[Rete Fuente %]]*PROVEEDORES[[#This Row],[SUBTOTAL]]</f>
        <v>0</v>
      </c>
      <c r="R410" s="23">
        <v>675000</v>
      </c>
      <c r="S41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0" s="99">
        <f ca="1">IF(PROVEEDORES[[#This Row],[FECHA DE PAGO]]=0,TODAY()-PROVEEDORES[[#This Row],[FECHA DE FACTURACIÓN]]-PROVEEDORES[[#This Row],[PLAZO Días]],0)</f>
        <v>0</v>
      </c>
      <c r="U410" s="149">
        <f>+VLOOKUP(PROVEEDORES[[#This Row],[PROVEEDOR]],Terceros!$A:$E,5,FALSE)</f>
        <v>0</v>
      </c>
      <c r="V410" s="150">
        <f>+YEAR(PROVEEDORES[[#This Row],[FECHA DE FACTURACIÓN]])</f>
        <v>2021</v>
      </c>
      <c r="W410" s="150">
        <f>+MATCH(PROVEEDORES[[#This Row],[año facturado]],Retenciones!$1:$1,0)</f>
        <v>4</v>
      </c>
      <c r="X410" s="151">
        <f>+VLOOKUP(PROVEEDORES[[#This Row],[ID RETENCION]],Retenciones!$A$1:$O$24,PROVEEDORES[[#This Row],[indicador de columna]],FALSE)</f>
        <v>0</v>
      </c>
      <c r="Y410" s="152">
        <f>+VLOOKUP(PROVEEDORES[[#This Row],[ID RETENCION]],Retenciones!$A$1:$O$24,2,FALSE)</f>
        <v>0</v>
      </c>
      <c r="Z410" s="26"/>
      <c r="AA410" s="26"/>
      <c r="AB410" s="26"/>
      <c r="AC410" s="26"/>
      <c r="AD410" s="26"/>
      <c r="AE410" s="26"/>
    </row>
    <row r="411" spans="1:31" ht="21.95" customHeight="1" x14ac:dyDescent="0.25">
      <c r="A411" s="97" t="str">
        <f>+IF(PROVEEDORES[[#This Row],[FECHA DE PAGO]]=PROVEEDORES[[#This Row],[FECHA DE FACTURACIÓN]],"DE CONTADO","CRÉDITO")</f>
        <v>CRÉDITO</v>
      </c>
      <c r="B411" s="41" t="b">
        <f>+IF((PROVEEDORES[[#This Row],[FECHA DE PAGO]]-PROVEEDORES[[#This Row],[FECHA DE FACTURACIÓN]])&gt;PROVEEDORES[[#This Row],[PLAZO Días]],"PAGO VENCIDO")</f>
        <v>0</v>
      </c>
      <c r="C411" s="22">
        <f>+VLOOKUP(PROVEEDORES[[#This Row],[PROVEEDOR]],TERCEROS_INFO[#All],2,FALSE)</f>
        <v>30</v>
      </c>
      <c r="D411" s="27">
        <f>+SUMIFS(PROVEEDORES[Total],PROVEEDORES[PROVEEDOR],PROVEEDORES[[#This Row],[PROVEEDOR]],PROVEEDORES[FECHA DE PAGO],"")</f>
        <v>0</v>
      </c>
      <c r="E411" s="27"/>
      <c r="F411" s="62" t="str">
        <f>+VLOOKUP(PROVEEDORES[[#This Row],[PROVEEDOR]],
                       Terceros!$A:$G,
                       6,
                       FALSE)</f>
        <v>PSE</v>
      </c>
      <c r="G411" s="95">
        <v>44368</v>
      </c>
      <c r="H411" s="28" t="s">
        <v>350</v>
      </c>
      <c r="I411" s="95">
        <v>44348</v>
      </c>
      <c r="J411" s="38" t="s">
        <v>352</v>
      </c>
      <c r="K411" s="23">
        <v>743959</v>
      </c>
      <c r="L411" s="23"/>
      <c r="M411" s="24">
        <v>0</v>
      </c>
      <c r="N411" s="25"/>
      <c r="O411" s="24">
        <v>0</v>
      </c>
      <c r="P411" s="136">
        <f>+IF(PROVEEDORES[[#This Row],[SUBTOTAL]]&lt;PROVEEDORES[[#This Row],[base retencion]],0,PROVEEDORES[[#This Row],[retención aplicada]])</f>
        <v>0</v>
      </c>
      <c r="Q411" s="24">
        <f>+PROVEEDORES[[#This Row],[Rete Fuente %]]*PROVEEDORES[[#This Row],[SUBTOTAL]]</f>
        <v>0</v>
      </c>
      <c r="R411" s="23">
        <v>743959</v>
      </c>
      <c r="S41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1" s="99">
        <f ca="1">IF(PROVEEDORES[[#This Row],[FECHA DE PAGO]]=0,TODAY()-PROVEEDORES[[#This Row],[FECHA DE FACTURACIÓN]]-PROVEEDORES[[#This Row],[PLAZO Días]],0)</f>
        <v>0</v>
      </c>
      <c r="U411" s="149">
        <f>+VLOOKUP(PROVEEDORES[[#This Row],[PROVEEDOR]],Terceros!$A:$E,5,FALSE)</f>
        <v>0</v>
      </c>
      <c r="V411" s="150">
        <f>+YEAR(PROVEEDORES[[#This Row],[FECHA DE FACTURACIÓN]])</f>
        <v>2021</v>
      </c>
      <c r="W411" s="150">
        <f>+MATCH(PROVEEDORES[[#This Row],[año facturado]],Retenciones!$1:$1,0)</f>
        <v>4</v>
      </c>
      <c r="X411" s="151">
        <f>+VLOOKUP(PROVEEDORES[[#This Row],[ID RETENCION]],Retenciones!$A$1:$O$24,PROVEEDORES[[#This Row],[indicador de columna]],FALSE)</f>
        <v>0</v>
      </c>
      <c r="Y411" s="152">
        <f>+VLOOKUP(PROVEEDORES[[#This Row],[ID RETENCION]],Retenciones!$A$1:$O$24,2,FALSE)</f>
        <v>0</v>
      </c>
      <c r="Z411" s="26"/>
      <c r="AA411" s="26"/>
      <c r="AB411" s="26"/>
      <c r="AC411" s="26"/>
      <c r="AD411" s="26"/>
      <c r="AE411" s="26"/>
    </row>
    <row r="412" spans="1:31" ht="21.95" customHeight="1" x14ac:dyDescent="0.25">
      <c r="A412" s="97" t="str">
        <f>+IF(PROVEEDORES[[#This Row],[FECHA DE PAGO]]=PROVEEDORES[[#This Row],[FECHA DE FACTURACIÓN]],"DE CONTADO","CRÉDITO")</f>
        <v>CRÉDITO</v>
      </c>
      <c r="B412" s="41" t="b">
        <f>+IF((PROVEEDORES[[#This Row],[FECHA DE PAGO]]-PROVEEDORES[[#This Row],[FECHA DE FACTURACIÓN]])&gt;PROVEEDORES[[#This Row],[PLAZO Días]],"PAGO VENCIDO")</f>
        <v>0</v>
      </c>
      <c r="C412" s="22">
        <f>+VLOOKUP(PROVEEDORES[[#This Row],[PROVEEDOR]],TERCEROS_INFO[#All],2,FALSE)</f>
        <v>30</v>
      </c>
      <c r="D412" s="27">
        <f>+SUMIFS(PROVEEDORES[Total],PROVEEDORES[PROVEEDOR],PROVEEDORES[[#This Row],[PROVEEDOR]],PROVEEDORES[FECHA DE PAGO],"")</f>
        <v>1856492</v>
      </c>
      <c r="E412" s="27"/>
      <c r="F412" s="62" t="str">
        <f>+VLOOKUP(PROVEEDORES[[#This Row],[PROVEEDOR]],
                       Terceros!$A:$G,
                       6,
                       FALSE)</f>
        <v>PSE</v>
      </c>
      <c r="G412" s="95">
        <v>44368</v>
      </c>
      <c r="H412" s="28" t="s">
        <v>334</v>
      </c>
      <c r="I412" s="95">
        <v>44348</v>
      </c>
      <c r="J412" s="38" t="s">
        <v>317</v>
      </c>
      <c r="K412" s="23">
        <v>1235279</v>
      </c>
      <c r="L412" s="23"/>
      <c r="M412" s="24">
        <v>0</v>
      </c>
      <c r="N412" s="25"/>
      <c r="O412" s="24">
        <v>0</v>
      </c>
      <c r="P412" s="136">
        <f>+IF(PROVEEDORES[[#This Row],[SUBTOTAL]]&lt;PROVEEDORES[[#This Row],[base retencion]],0,PROVEEDORES[[#This Row],[retención aplicada]])</f>
        <v>0</v>
      </c>
      <c r="Q412" s="24">
        <f>+PROVEEDORES[[#This Row],[Rete Fuente %]]*PROVEEDORES[[#This Row],[SUBTOTAL]]</f>
        <v>0</v>
      </c>
      <c r="R412" s="23">
        <v>1235279</v>
      </c>
      <c r="S41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2" s="99">
        <f ca="1">IF(PROVEEDORES[[#This Row],[FECHA DE PAGO]]=0,TODAY()-PROVEEDORES[[#This Row],[FECHA DE FACTURACIÓN]]-PROVEEDORES[[#This Row],[PLAZO Días]],0)</f>
        <v>0</v>
      </c>
      <c r="U412" s="149">
        <f>+VLOOKUP(PROVEEDORES[[#This Row],[PROVEEDOR]],Terceros!$A:$E,5,FALSE)</f>
        <v>0</v>
      </c>
      <c r="V412" s="150">
        <f>+YEAR(PROVEEDORES[[#This Row],[FECHA DE FACTURACIÓN]])</f>
        <v>2021</v>
      </c>
      <c r="W412" s="150">
        <f>+MATCH(PROVEEDORES[[#This Row],[año facturado]],Retenciones!$1:$1,0)</f>
        <v>4</v>
      </c>
      <c r="X412" s="151">
        <f>+VLOOKUP(PROVEEDORES[[#This Row],[ID RETENCION]],Retenciones!$A$1:$O$24,PROVEEDORES[[#This Row],[indicador de columna]],FALSE)</f>
        <v>0</v>
      </c>
      <c r="Y412" s="152">
        <f>+VLOOKUP(PROVEEDORES[[#This Row],[ID RETENCION]],Retenciones!$A$1:$O$24,2,FALSE)</f>
        <v>0</v>
      </c>
      <c r="Z412" s="26"/>
      <c r="AA412" s="26"/>
      <c r="AB412" s="26"/>
      <c r="AC412" s="26"/>
      <c r="AD412" s="26"/>
      <c r="AE412" s="26"/>
    </row>
    <row r="413" spans="1:31" ht="21.95" customHeight="1" x14ac:dyDescent="0.25">
      <c r="A413" s="97" t="str">
        <f>+IF(PROVEEDORES[[#This Row],[FECHA DE PAGO]]=PROVEEDORES[[#This Row],[FECHA DE FACTURACIÓN]],"DE CONTADO","CRÉDITO")</f>
        <v>CRÉDITO</v>
      </c>
      <c r="B413" s="41" t="str">
        <f>+IF((PROVEEDORES[[#This Row],[FECHA DE PAGO]]-PROVEEDORES[[#This Row],[FECHA DE FACTURACIÓN]])&gt;PROVEEDORES[[#This Row],[PLAZO Días]],"PAGO VENCIDO")</f>
        <v>PAGO VENCIDO</v>
      </c>
      <c r="C413" s="22">
        <f>+VLOOKUP(PROVEEDORES[[#This Row],[PROVEEDOR]],TERCEROS_INFO[#All],2,FALSE)</f>
        <v>30</v>
      </c>
      <c r="D413" s="27">
        <f>+SUMIFS(PROVEEDORES[Total],PROVEEDORES[PROVEEDOR],PROVEEDORES[[#This Row],[PROVEEDOR]],PROVEEDORES[FECHA DE PAGO],"")</f>
        <v>4862586.33</v>
      </c>
      <c r="E413" s="27"/>
      <c r="F413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413" s="95">
        <v>44369</v>
      </c>
      <c r="H413" s="28" t="s">
        <v>345</v>
      </c>
      <c r="I413" s="95">
        <v>44317</v>
      </c>
      <c r="J413" s="38" t="s">
        <v>576</v>
      </c>
      <c r="K413" s="23">
        <v>-612233</v>
      </c>
      <c r="L413" s="23"/>
      <c r="M413" s="24">
        <v>-116324.27</v>
      </c>
      <c r="N413" s="25"/>
      <c r="O413" s="24">
        <v>0</v>
      </c>
      <c r="P413" s="136">
        <f>+IF(PROVEEDORES[[#This Row],[SUBTOTAL]]&lt;PROVEEDORES[[#This Row],[base retencion]],0,PROVEEDORES[[#This Row],[retención aplicada]])</f>
        <v>0</v>
      </c>
      <c r="Q413" s="24">
        <f>+PROVEEDORES[[#This Row],[Rete Fuente %]]*PROVEEDORES[[#This Row],[SUBTOTAL]]</f>
        <v>0</v>
      </c>
      <c r="R413" s="23">
        <v>-728557.27</v>
      </c>
      <c r="S41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3" s="99">
        <f ca="1">IF(PROVEEDORES[[#This Row],[FECHA DE PAGO]]=0,TODAY()-PROVEEDORES[[#This Row],[FECHA DE FACTURACIÓN]]-PROVEEDORES[[#This Row],[PLAZO Días]],0)</f>
        <v>0</v>
      </c>
      <c r="U413" s="149">
        <f>+VLOOKUP(PROVEEDORES[[#This Row],[PROVEEDOR]],Terceros!$A:$E,5,FALSE)</f>
        <v>0</v>
      </c>
      <c r="V413" s="150">
        <f>+YEAR(PROVEEDORES[[#This Row],[FECHA DE FACTURACIÓN]])</f>
        <v>2021</v>
      </c>
      <c r="W413" s="150">
        <f>+MATCH(PROVEEDORES[[#This Row],[año facturado]],Retenciones!$1:$1,0)</f>
        <v>4</v>
      </c>
      <c r="X413" s="151">
        <f>+VLOOKUP(PROVEEDORES[[#This Row],[ID RETENCION]],Retenciones!$A$1:$O$24,PROVEEDORES[[#This Row],[indicador de columna]],FALSE)</f>
        <v>0</v>
      </c>
      <c r="Y413" s="152">
        <f>+VLOOKUP(PROVEEDORES[[#This Row],[ID RETENCION]],Retenciones!$A$1:$O$24,2,FALSE)</f>
        <v>0</v>
      </c>
      <c r="Z413" s="26"/>
      <c r="AA413" s="26"/>
      <c r="AB413" s="26"/>
      <c r="AC413" s="26"/>
      <c r="AD413" s="26"/>
      <c r="AE413" s="26"/>
    </row>
    <row r="414" spans="1:31" ht="21.95" customHeight="1" x14ac:dyDescent="0.25">
      <c r="A414" s="97" t="str">
        <f>+IF(PROVEEDORES[[#This Row],[FECHA DE PAGO]]=PROVEEDORES[[#This Row],[FECHA DE FACTURACIÓN]],"DE CONTADO","CRÉDITO")</f>
        <v>CRÉDITO</v>
      </c>
      <c r="B414" s="41" t="b">
        <f>+IF((PROVEEDORES[[#This Row],[FECHA DE PAGO]]-PROVEEDORES[[#This Row],[FECHA DE FACTURACIÓN]])&gt;PROVEEDORES[[#This Row],[PLAZO Días]],"PAGO VENCIDO")</f>
        <v>0</v>
      </c>
      <c r="C414" s="22">
        <f>+VLOOKUP(PROVEEDORES[[#This Row],[PROVEEDOR]],TERCEROS_INFO[#All],2,FALSE)</f>
        <v>30</v>
      </c>
      <c r="D414" s="27">
        <f>+SUMIFS(PROVEEDORES[Total],PROVEEDORES[PROVEEDOR],PROVEEDORES[[#This Row],[PROVEEDOR]],PROVEEDORES[FECHA DE PAGO],"")</f>
        <v>4862586.33</v>
      </c>
      <c r="E414" s="27"/>
      <c r="F414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414" s="95">
        <v>44369</v>
      </c>
      <c r="H414" s="28" t="s">
        <v>345</v>
      </c>
      <c r="I414" s="95">
        <v>44348</v>
      </c>
      <c r="J414" s="38" t="s">
        <v>577</v>
      </c>
      <c r="K414" s="23">
        <v>716544</v>
      </c>
      <c r="L414" s="23"/>
      <c r="M414" s="24">
        <v>136143.36000000002</v>
      </c>
      <c r="N414" s="25"/>
      <c r="O414" s="24">
        <v>0</v>
      </c>
      <c r="P414" s="136">
        <f>+IF(PROVEEDORES[[#This Row],[SUBTOTAL]]&lt;PROVEEDORES[[#This Row],[base retencion]],0,PROVEEDORES[[#This Row],[retención aplicada]])</f>
        <v>0</v>
      </c>
      <c r="Q414" s="24">
        <f>+PROVEEDORES[[#This Row],[Rete Fuente %]]*PROVEEDORES[[#This Row],[SUBTOTAL]]</f>
        <v>0</v>
      </c>
      <c r="R414" s="23">
        <v>852687.35999999999</v>
      </c>
      <c r="S41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4" s="99">
        <f ca="1">IF(PROVEEDORES[[#This Row],[FECHA DE PAGO]]=0,TODAY()-PROVEEDORES[[#This Row],[FECHA DE FACTURACIÓN]]-PROVEEDORES[[#This Row],[PLAZO Días]],0)</f>
        <v>0</v>
      </c>
      <c r="U414" s="149">
        <f>+VLOOKUP(PROVEEDORES[[#This Row],[PROVEEDOR]],Terceros!$A:$E,5,FALSE)</f>
        <v>0</v>
      </c>
      <c r="V414" s="150">
        <f>+YEAR(PROVEEDORES[[#This Row],[FECHA DE FACTURACIÓN]])</f>
        <v>2021</v>
      </c>
      <c r="W414" s="150">
        <f>+MATCH(PROVEEDORES[[#This Row],[año facturado]],Retenciones!$1:$1,0)</f>
        <v>4</v>
      </c>
      <c r="X414" s="151">
        <f>+VLOOKUP(PROVEEDORES[[#This Row],[ID RETENCION]],Retenciones!$A$1:$O$24,PROVEEDORES[[#This Row],[indicador de columna]],FALSE)</f>
        <v>0</v>
      </c>
      <c r="Y414" s="152">
        <f>+VLOOKUP(PROVEEDORES[[#This Row],[ID RETENCION]],Retenciones!$A$1:$O$24,2,FALSE)</f>
        <v>0</v>
      </c>
      <c r="Z414" s="26"/>
      <c r="AA414" s="26"/>
      <c r="AB414" s="26"/>
      <c r="AC414" s="26"/>
      <c r="AD414" s="26"/>
      <c r="AE414" s="26"/>
    </row>
    <row r="415" spans="1:31" ht="21.95" customHeight="1" x14ac:dyDescent="0.25">
      <c r="A415" s="97" t="str">
        <f>+IF(PROVEEDORES[[#This Row],[FECHA DE PAGO]]=PROVEEDORES[[#This Row],[FECHA DE FACTURACIÓN]],"DE CONTADO","CRÉDITO")</f>
        <v>CRÉDITO</v>
      </c>
      <c r="B415" s="41" t="str">
        <f>+IF((PROVEEDORES[[#This Row],[FECHA DE PAGO]]-PROVEEDORES[[#This Row],[FECHA DE FACTURACIÓN]])&gt;PROVEEDORES[[#This Row],[PLAZO Días]],"PAGO VENCIDO")</f>
        <v>PAGO VENCIDO</v>
      </c>
      <c r="C415" s="22">
        <f>+VLOOKUP(PROVEEDORES[[#This Row],[PROVEEDOR]],TERCEROS_INFO[#All],2,FALSE)</f>
        <v>30</v>
      </c>
      <c r="D415" s="27">
        <f>+SUMIFS(PROVEEDORES[Total],PROVEEDORES[PROVEEDOR],PROVEEDORES[[#This Row],[PROVEEDOR]],PROVEEDORES[FECHA DE PAGO],"")</f>
        <v>3320000</v>
      </c>
      <c r="E415" s="27"/>
      <c r="F415" s="62" t="str">
        <f>+VLOOKUP(PROVEEDORES[[#This Row],[PROVEEDOR]],
                       Terceros!$A:$G,
                       6,
                       FALSE)</f>
        <v>Pygimportadora@gmail.com;girlesa.ruiz@servipilas.com;joriescobar64@gmail.com</v>
      </c>
      <c r="G415" s="95">
        <v>44392</v>
      </c>
      <c r="H415" s="28" t="s">
        <v>1062</v>
      </c>
      <c r="I415" s="95">
        <v>44348</v>
      </c>
      <c r="J415" s="38" t="s">
        <v>720</v>
      </c>
      <c r="K415" s="23">
        <v>900000</v>
      </c>
      <c r="L415" s="23"/>
      <c r="M415" s="24">
        <v>0</v>
      </c>
      <c r="N415" s="25"/>
      <c r="O415" s="24">
        <v>0</v>
      </c>
      <c r="P415" s="136">
        <f>+IF(PROVEEDORES[[#This Row],[SUBTOTAL]]&lt;PROVEEDORES[[#This Row],[base retencion]],0,PROVEEDORES[[#This Row],[retención aplicada]])</f>
        <v>0</v>
      </c>
      <c r="Q415" s="24">
        <f>+PROVEEDORES[[#This Row],[Rete Fuente %]]*PROVEEDORES[[#This Row],[SUBTOTAL]]</f>
        <v>0</v>
      </c>
      <c r="R415" s="23">
        <v>900000</v>
      </c>
      <c r="S41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5" s="99">
        <f ca="1">IF(PROVEEDORES[[#This Row],[FECHA DE PAGO]]=0,TODAY()-PROVEEDORES[[#This Row],[FECHA DE FACTURACIÓN]]-PROVEEDORES[[#This Row],[PLAZO Días]],0)</f>
        <v>0</v>
      </c>
      <c r="U415" s="149">
        <f>+VLOOKUP(PROVEEDORES[[#This Row],[PROVEEDOR]],Terceros!$A:$E,5,FALSE)</f>
        <v>0</v>
      </c>
      <c r="V415" s="150">
        <f>+YEAR(PROVEEDORES[[#This Row],[FECHA DE FACTURACIÓN]])</f>
        <v>2021</v>
      </c>
      <c r="W415" s="150">
        <f>+MATCH(PROVEEDORES[[#This Row],[año facturado]],Retenciones!$1:$1,0)</f>
        <v>4</v>
      </c>
      <c r="X415" s="151">
        <f>+VLOOKUP(PROVEEDORES[[#This Row],[ID RETENCION]],Retenciones!$A$1:$O$24,PROVEEDORES[[#This Row],[indicador de columna]],FALSE)</f>
        <v>0</v>
      </c>
      <c r="Y415" s="152">
        <f>+VLOOKUP(PROVEEDORES[[#This Row],[ID RETENCION]],Retenciones!$A$1:$O$24,2,FALSE)</f>
        <v>0</v>
      </c>
      <c r="Z415" s="26"/>
      <c r="AA415" s="26"/>
      <c r="AB415" s="26"/>
      <c r="AC415" s="26"/>
      <c r="AD415" s="26"/>
      <c r="AE415" s="26"/>
    </row>
    <row r="416" spans="1:31" ht="21.95" customHeight="1" x14ac:dyDescent="0.25">
      <c r="A416" s="97" t="str">
        <f>+IF(PROVEEDORES[[#This Row],[FECHA DE PAGO]]=PROVEEDORES[[#This Row],[FECHA DE FACTURACIÓN]],"DE CONTADO","CRÉDITO")</f>
        <v>CRÉDITO</v>
      </c>
      <c r="B416" s="41" t="b">
        <f>+IF((PROVEEDORES[[#This Row],[FECHA DE PAGO]]-PROVEEDORES[[#This Row],[FECHA DE FACTURACIÓN]])&gt;PROVEEDORES[[#This Row],[PLAZO Días]],"PAGO VENCIDO")</f>
        <v>0</v>
      </c>
      <c r="C416" s="22">
        <f>+VLOOKUP(PROVEEDORES[[#This Row],[PROVEEDOR]],TERCEROS_INFO[#All],2,FALSE)</f>
        <v>30</v>
      </c>
      <c r="D416" s="27">
        <f>+SUMIFS(PROVEEDORES[Total],PROVEEDORES[PROVEEDOR],PROVEEDORES[[#This Row],[PROVEEDOR]],PROVEEDORES[FECHA DE PAGO],"")</f>
        <v>0</v>
      </c>
      <c r="E416" s="27"/>
      <c r="F416" s="62" t="str">
        <f>+VLOOKUP(PROVEEDORES[[#This Row],[PROVEEDOR]],
                       Terceros!$A:$G,
                       6,
                       FALSE)</f>
        <v>propertymarketingsas@hotmail.com;girlesa.ruiz@servipilas.com;joriescobar64@gmail.com</v>
      </c>
      <c r="G416" s="95">
        <v>44369</v>
      </c>
      <c r="H416" s="28" t="s">
        <v>483</v>
      </c>
      <c r="I416" s="95">
        <v>44348</v>
      </c>
      <c r="J416" s="38" t="s">
        <v>721</v>
      </c>
      <c r="K416" s="23">
        <v>2789636</v>
      </c>
      <c r="L416" s="23"/>
      <c r="M416" s="24">
        <v>0</v>
      </c>
      <c r="N416" s="25"/>
      <c r="O416" s="24">
        <v>0</v>
      </c>
      <c r="P416" s="136">
        <f>+IF(PROVEEDORES[[#This Row],[SUBTOTAL]]&lt;PROVEEDORES[[#This Row],[base retencion]],0,PROVEEDORES[[#This Row],[retención aplicada]])</f>
        <v>3.5000000000000003E-2</v>
      </c>
      <c r="Q416" s="24">
        <f>+PROVEEDORES[[#This Row],[Rete Fuente %]]*PROVEEDORES[[#This Row],[SUBTOTAL]]</f>
        <v>97637.260000000009</v>
      </c>
      <c r="R416" s="23">
        <v>2691998.74</v>
      </c>
      <c r="S41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6" s="99">
        <f ca="1">IF(PROVEEDORES[[#This Row],[FECHA DE PAGO]]=0,TODAY()-PROVEEDORES[[#This Row],[FECHA DE FACTURACIÓN]]-PROVEEDORES[[#This Row],[PLAZO Días]],0)</f>
        <v>0</v>
      </c>
      <c r="U416" s="149" t="str">
        <f>+VLOOKUP(PROVEEDORES[[#This Row],[PROVEEDOR]],Terceros!$A:$E,5,FALSE)</f>
        <v>3,5% sin base</v>
      </c>
      <c r="V416" s="150">
        <f>+YEAR(PROVEEDORES[[#This Row],[FECHA DE FACTURACIÓN]])</f>
        <v>2021</v>
      </c>
      <c r="W416" s="150">
        <f>+MATCH(PROVEEDORES[[#This Row],[año facturado]],Retenciones!$1:$1,0)</f>
        <v>4</v>
      </c>
      <c r="X416" s="151">
        <f>+VLOOKUP(PROVEEDORES[[#This Row],[ID RETENCION]],Retenciones!$A$1:$O$24,PROVEEDORES[[#This Row],[indicador de columna]],FALSE)</f>
        <v>0</v>
      </c>
      <c r="Y416" s="152">
        <f>+VLOOKUP(PROVEEDORES[[#This Row],[ID RETENCION]],Retenciones!$A$1:$O$24,2,FALSE)</f>
        <v>3.5000000000000003E-2</v>
      </c>
      <c r="Z416" s="26"/>
      <c r="AA416" s="26"/>
      <c r="AB416" s="26"/>
      <c r="AC416" s="26"/>
      <c r="AD416" s="26"/>
      <c r="AE416" s="26"/>
    </row>
    <row r="417" spans="1:31" ht="21.95" customHeight="1" x14ac:dyDescent="0.25">
      <c r="A417" s="97" t="str">
        <f>+IF(PROVEEDORES[[#This Row],[FECHA DE PAGO]]=PROVEEDORES[[#This Row],[FECHA DE FACTURACIÓN]],"DE CONTADO","CRÉDITO")</f>
        <v>CRÉDITO</v>
      </c>
      <c r="B417" s="41" t="str">
        <f>+IF((PROVEEDORES[[#This Row],[FECHA DE PAGO]]-PROVEEDORES[[#This Row],[FECHA DE FACTURACIÓN]])&gt;PROVEEDORES[[#This Row],[PLAZO Días]],"PAGO VENCIDO")</f>
        <v>PAGO VENCIDO</v>
      </c>
      <c r="C417" s="22">
        <f>+VLOOKUP(PROVEEDORES[[#This Row],[PROVEEDOR]],TERCEROS_INFO[#All],2,FALSE)</f>
        <v>45</v>
      </c>
      <c r="D417" s="27">
        <f>+SUMIFS(PROVEEDORES[Total],PROVEEDORES[PROVEEDOR],PROVEEDORES[[#This Row],[PROVEEDOR]],PROVEEDORES[FECHA DE PAGO],"")</f>
        <v>3412539.2</v>
      </c>
      <c r="E417" s="27"/>
      <c r="F417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417" s="95">
        <v>44411</v>
      </c>
      <c r="H417" s="28" t="s">
        <v>10</v>
      </c>
      <c r="I417" s="95">
        <v>44348</v>
      </c>
      <c r="J417" s="38" t="s">
        <v>384</v>
      </c>
      <c r="K417" s="23">
        <v>1381000</v>
      </c>
      <c r="L417" s="23"/>
      <c r="M417" s="24">
        <v>262390</v>
      </c>
      <c r="N417" s="25"/>
      <c r="O417" s="24">
        <v>0</v>
      </c>
      <c r="P417" s="136">
        <f>+IF(PROVEEDORES[[#This Row],[SUBTOTAL]]&lt;PROVEEDORES[[#This Row],[base retencion]],0,PROVEEDORES[[#This Row],[retención aplicada]])</f>
        <v>0</v>
      </c>
      <c r="Q417" s="24">
        <f>+PROVEEDORES[[#This Row],[Rete Fuente %]]*PROVEEDORES[[#This Row],[SUBTOTAL]]</f>
        <v>0</v>
      </c>
      <c r="R417" s="23">
        <v>1643390</v>
      </c>
      <c r="S41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7" s="99">
        <f ca="1">IF(PROVEEDORES[[#This Row],[FECHA DE PAGO]]=0,TODAY()-PROVEEDORES[[#This Row],[FECHA DE FACTURACIÓN]]-PROVEEDORES[[#This Row],[PLAZO Días]],0)</f>
        <v>0</v>
      </c>
      <c r="U417" s="149">
        <f>+VLOOKUP(PROVEEDORES[[#This Row],[PROVEEDOR]],Terceros!$A:$E,5,FALSE)</f>
        <v>0</v>
      </c>
      <c r="V417" s="150">
        <f>+YEAR(PROVEEDORES[[#This Row],[FECHA DE FACTURACIÓN]])</f>
        <v>2021</v>
      </c>
      <c r="W417" s="150">
        <f>+MATCH(PROVEEDORES[[#This Row],[año facturado]],Retenciones!$1:$1,0)</f>
        <v>4</v>
      </c>
      <c r="X417" s="151">
        <f>+VLOOKUP(PROVEEDORES[[#This Row],[ID RETENCION]],Retenciones!$A$1:$O$24,PROVEEDORES[[#This Row],[indicador de columna]],FALSE)</f>
        <v>0</v>
      </c>
      <c r="Y417" s="152">
        <f>+VLOOKUP(PROVEEDORES[[#This Row],[ID RETENCION]],Retenciones!$A$1:$O$24,2,FALSE)</f>
        <v>0</v>
      </c>
      <c r="Z417" s="26"/>
      <c r="AA417" s="26"/>
      <c r="AB417" s="26"/>
      <c r="AC417" s="26"/>
      <c r="AD417" s="26"/>
      <c r="AE417" s="26"/>
    </row>
    <row r="418" spans="1:31" ht="21.95" customHeight="1" x14ac:dyDescent="0.25">
      <c r="A418" s="97" t="str">
        <f>+IF(PROVEEDORES[[#This Row],[FECHA DE PAGO]]=PROVEEDORES[[#This Row],[FECHA DE FACTURACIÓN]],"DE CONTADO","CRÉDITO")</f>
        <v>CRÉDITO</v>
      </c>
      <c r="B418" s="41" t="b">
        <f>+IF((PROVEEDORES[[#This Row],[FECHA DE PAGO]]-PROVEEDORES[[#This Row],[FECHA DE FACTURACIÓN]])&gt;PROVEEDORES[[#This Row],[PLAZO Días]],"PAGO VENCIDO")</f>
        <v>0</v>
      </c>
      <c r="C418" s="22">
        <f>+VLOOKUP(PROVEEDORES[[#This Row],[PROVEEDOR]],TERCEROS_INFO[#All],2,FALSE)</f>
        <v>30</v>
      </c>
      <c r="D418" s="27">
        <f>+SUMIFS(PROVEEDORES[Total],PROVEEDORES[PROVEEDOR],PROVEEDORES[[#This Row],[PROVEEDOR]],PROVEEDORES[FECHA DE PAGO],"")</f>
        <v>0</v>
      </c>
      <c r="E418" s="27"/>
      <c r="F418" s="62" t="str">
        <f>+VLOOKUP(PROVEEDORES[[#This Row],[PROVEEDOR]],
                       Terceros!$A:$G,
                       6,
                       FALSE)</f>
        <v>girlesa.ruiz@servipilas.com;joriescobar64@gmail.com</v>
      </c>
      <c r="G418" s="95">
        <v>44369</v>
      </c>
      <c r="H418" s="28" t="s">
        <v>336</v>
      </c>
      <c r="I418" s="95">
        <v>44348</v>
      </c>
      <c r="J418" s="38" t="s">
        <v>925</v>
      </c>
      <c r="K418" s="23">
        <v>3023387</v>
      </c>
      <c r="L418" s="23"/>
      <c r="M418" s="24">
        <v>0</v>
      </c>
      <c r="N418" s="25"/>
      <c r="O418" s="24">
        <v>0</v>
      </c>
      <c r="P418" s="136">
        <f>+IF(PROVEEDORES[[#This Row],[SUBTOTAL]]&lt;PROVEEDORES[[#This Row],[base retencion]],0,PROVEEDORES[[#This Row],[retención aplicada]])</f>
        <v>3.5000000000000003E-2</v>
      </c>
      <c r="Q418" s="24">
        <f>+PROVEEDORES[[#This Row],[Rete Fuente %]]*PROVEEDORES[[#This Row],[SUBTOTAL]]</f>
        <v>105818.54500000001</v>
      </c>
      <c r="R418" s="23">
        <v>2917568.4550000001</v>
      </c>
      <c r="S41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8" s="99">
        <f ca="1">IF(PROVEEDORES[[#This Row],[FECHA DE PAGO]]=0,TODAY()-PROVEEDORES[[#This Row],[FECHA DE FACTURACIÓN]]-PROVEEDORES[[#This Row],[PLAZO Días]],0)</f>
        <v>0</v>
      </c>
      <c r="U418" s="149" t="str">
        <f>+VLOOKUP(PROVEEDORES[[#This Row],[PROVEEDOR]],Terceros!$A:$E,5,FALSE)</f>
        <v>3,5% sin base</v>
      </c>
      <c r="V418" s="150">
        <f>+YEAR(PROVEEDORES[[#This Row],[FECHA DE FACTURACIÓN]])</f>
        <v>2021</v>
      </c>
      <c r="W418" s="150">
        <f>+MATCH(PROVEEDORES[[#This Row],[año facturado]],Retenciones!$1:$1,0)</f>
        <v>4</v>
      </c>
      <c r="X418" s="151">
        <f>+VLOOKUP(PROVEEDORES[[#This Row],[ID RETENCION]],Retenciones!$A$1:$O$24,PROVEEDORES[[#This Row],[indicador de columna]],FALSE)</f>
        <v>0</v>
      </c>
      <c r="Y418" s="152">
        <f>+VLOOKUP(PROVEEDORES[[#This Row],[ID RETENCION]],Retenciones!$A$1:$O$24,2,FALSE)</f>
        <v>3.5000000000000003E-2</v>
      </c>
      <c r="Z418" s="26"/>
      <c r="AA418" s="26"/>
      <c r="AB418" s="26"/>
      <c r="AC418" s="26"/>
      <c r="AD418" s="26"/>
      <c r="AE418" s="26"/>
    </row>
    <row r="419" spans="1:31" ht="21.95" customHeight="1" x14ac:dyDescent="0.25">
      <c r="A419" s="97" t="str">
        <f>+IF(PROVEEDORES[[#This Row],[FECHA DE PAGO]]=PROVEEDORES[[#This Row],[FECHA DE FACTURACIÓN]],"DE CONTADO","CRÉDITO")</f>
        <v>CRÉDITO</v>
      </c>
      <c r="B419" s="41" t="str">
        <f>+IF((PROVEEDORES[[#This Row],[FECHA DE PAGO]]-PROVEEDORES[[#This Row],[FECHA DE FACTURACIÓN]])&gt;PROVEEDORES[[#This Row],[PLAZO Días]],"PAGO VENCIDO")</f>
        <v>PAGO VENCIDO</v>
      </c>
      <c r="C419" s="22">
        <f>+VLOOKUP(PROVEEDORES[[#This Row],[PROVEEDOR]],TERCEROS_INFO[#All],2,FALSE)</f>
        <v>30</v>
      </c>
      <c r="D419" s="27">
        <f>+SUMIFS(PROVEEDORES[Total],PROVEEDORES[PROVEEDOR],PROVEEDORES[[#This Row],[PROVEEDOR]],PROVEEDORES[FECHA DE PAGO],"")</f>
        <v>6151200</v>
      </c>
      <c r="E419" s="27"/>
      <c r="F419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419" s="95">
        <v>44385</v>
      </c>
      <c r="H419" s="28" t="s">
        <v>11</v>
      </c>
      <c r="I419" s="95">
        <v>44348</v>
      </c>
      <c r="J419" s="38" t="s">
        <v>383</v>
      </c>
      <c r="K419" s="23">
        <v>2106050</v>
      </c>
      <c r="L419" s="23"/>
      <c r="M419" s="24">
        <v>400149.5</v>
      </c>
      <c r="N419" s="25"/>
      <c r="O419" s="24">
        <v>0</v>
      </c>
      <c r="P419" s="136">
        <f>+IF(PROVEEDORES[[#This Row],[SUBTOTAL]]&lt;PROVEEDORES[[#This Row],[base retencion]],0,PROVEEDORES[[#This Row],[retención aplicada]])</f>
        <v>2.5000000000000001E-2</v>
      </c>
      <c r="Q419" s="24">
        <f>+PROVEEDORES[[#This Row],[Rete Fuente %]]*PROVEEDORES[[#This Row],[SUBTOTAL]]</f>
        <v>52651.25</v>
      </c>
      <c r="R419" s="23">
        <v>2453548.25</v>
      </c>
      <c r="S41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9" s="99">
        <f ca="1">IF(PROVEEDORES[[#This Row],[FECHA DE PAGO]]=0,TODAY()-PROVEEDORES[[#This Row],[FECHA DE FACTURACIÓN]]-PROVEEDORES[[#This Row],[PLAZO Días]],0)</f>
        <v>0</v>
      </c>
      <c r="U419" s="149" t="str">
        <f>+VLOOKUP(PROVEEDORES[[#This Row],[PROVEEDOR]],Terceros!$A:$E,5,FALSE)</f>
        <v>2,5% con base</v>
      </c>
      <c r="V419" s="150">
        <f>+YEAR(PROVEEDORES[[#This Row],[FECHA DE FACTURACIÓN]])</f>
        <v>2021</v>
      </c>
      <c r="W419" s="150">
        <f>+MATCH(PROVEEDORES[[#This Row],[año facturado]],Retenciones!$1:$1,0)</f>
        <v>4</v>
      </c>
      <c r="X419" s="151">
        <f>+VLOOKUP(PROVEEDORES[[#This Row],[ID RETENCION]],Retenciones!$A$1:$O$24,PROVEEDORES[[#This Row],[indicador de columna]],FALSE)</f>
        <v>980000</v>
      </c>
      <c r="Y419" s="152">
        <f>+VLOOKUP(PROVEEDORES[[#This Row],[ID RETENCION]],Retenciones!$A$1:$O$24,2,FALSE)</f>
        <v>2.5000000000000001E-2</v>
      </c>
      <c r="Z419" s="26"/>
      <c r="AA419" s="26"/>
      <c r="AB419" s="26"/>
      <c r="AC419" s="26"/>
      <c r="AD419" s="26"/>
      <c r="AE419" s="26"/>
    </row>
    <row r="420" spans="1:31" ht="21.95" customHeight="1" x14ac:dyDescent="0.25">
      <c r="A420" s="97" t="str">
        <f>+IF(PROVEEDORES[[#This Row],[FECHA DE PAGO]]=PROVEEDORES[[#This Row],[FECHA DE FACTURACIÓN]],"DE CONTADO","CRÉDITO")</f>
        <v>CRÉDITO</v>
      </c>
      <c r="B420" s="41" t="b">
        <f>+IF((PROVEEDORES[[#This Row],[FECHA DE PAGO]]-PROVEEDORES[[#This Row],[FECHA DE FACTURACIÓN]])&gt;PROVEEDORES[[#This Row],[PLAZO Días]],"PAGO VENCIDO")</f>
        <v>0</v>
      </c>
      <c r="C420" s="22">
        <f>+VLOOKUP(PROVEEDORES[[#This Row],[PROVEEDOR]],TERCEROS_INFO[#All],2,FALSE)</f>
        <v>90</v>
      </c>
      <c r="D420" s="27">
        <f>+SUMIFS(PROVEEDORES[Total],PROVEEDORES[PROVEEDOR],PROVEEDORES[[#This Row],[PROVEEDOR]],PROVEEDORES[FECHA DE PAGO],"")</f>
        <v>0</v>
      </c>
      <c r="E420" s="27"/>
      <c r="F420" s="62" t="str">
        <f>+VLOOKUP(PROVEEDORES[[#This Row],[PROVEEDOR]],
                       Terceros!$A:$G,
                       6,
                       FALSE)</f>
        <v/>
      </c>
      <c r="G420" s="95">
        <v>44411</v>
      </c>
      <c r="H420" s="28" t="s">
        <v>1018</v>
      </c>
      <c r="I420" s="95">
        <v>44348</v>
      </c>
      <c r="J420" s="38" t="s">
        <v>719</v>
      </c>
      <c r="K420" s="23">
        <v>2462500</v>
      </c>
      <c r="L420" s="23"/>
      <c r="M420" s="24">
        <v>0</v>
      </c>
      <c r="N420" s="25"/>
      <c r="O420" s="24">
        <v>0</v>
      </c>
      <c r="P420" s="136">
        <f>+IF(PROVEEDORES[[#This Row],[SUBTOTAL]]&lt;PROVEEDORES[[#This Row],[base retencion]],0,PROVEEDORES[[#This Row],[retención aplicada]])</f>
        <v>0</v>
      </c>
      <c r="Q420" s="24">
        <f>+PROVEEDORES[[#This Row],[Rete Fuente %]]*PROVEEDORES[[#This Row],[SUBTOTAL]]</f>
        <v>0</v>
      </c>
      <c r="R420" s="23">
        <v>2462500</v>
      </c>
      <c r="S42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0" s="99">
        <f ca="1">IF(PROVEEDORES[[#This Row],[FECHA DE PAGO]]=0,TODAY()-PROVEEDORES[[#This Row],[FECHA DE FACTURACIÓN]]-PROVEEDORES[[#This Row],[PLAZO Días]],0)</f>
        <v>0</v>
      </c>
      <c r="U420" s="149">
        <f>+VLOOKUP(PROVEEDORES[[#This Row],[PROVEEDOR]],Terceros!$A:$E,5,FALSE)</f>
        <v>0</v>
      </c>
      <c r="V420" s="150">
        <f>+YEAR(PROVEEDORES[[#This Row],[FECHA DE FACTURACIÓN]])</f>
        <v>2021</v>
      </c>
      <c r="W420" s="150">
        <f>+MATCH(PROVEEDORES[[#This Row],[año facturado]],Retenciones!$1:$1,0)</f>
        <v>4</v>
      </c>
      <c r="X420" s="151">
        <f>+VLOOKUP(PROVEEDORES[[#This Row],[ID RETENCION]],Retenciones!$A$1:$O$24,PROVEEDORES[[#This Row],[indicador de columna]],FALSE)</f>
        <v>0</v>
      </c>
      <c r="Y420" s="152">
        <f>+VLOOKUP(PROVEEDORES[[#This Row],[ID RETENCION]],Retenciones!$A$1:$O$24,2,FALSE)</f>
        <v>0</v>
      </c>
      <c r="Z420" s="26"/>
      <c r="AA420" s="26"/>
      <c r="AB420" s="26"/>
      <c r="AC420" s="26"/>
      <c r="AD420" s="26"/>
      <c r="AE420" s="26"/>
    </row>
    <row r="421" spans="1:31" ht="21.95" customHeight="1" x14ac:dyDescent="0.25">
      <c r="A421" s="97" t="str">
        <f>+IF(PROVEEDORES[[#This Row],[FECHA DE PAGO]]=PROVEEDORES[[#This Row],[FECHA DE FACTURACIÓN]],"DE CONTADO","CRÉDITO")</f>
        <v>CRÉDITO</v>
      </c>
      <c r="B421" s="41" t="str">
        <f>+IF((PROVEEDORES[[#This Row],[FECHA DE PAGO]]-PROVEEDORES[[#This Row],[FECHA DE FACTURACIÓN]])&gt;PROVEEDORES[[#This Row],[PLAZO Días]],"PAGO VENCIDO")</f>
        <v>PAGO VENCIDO</v>
      </c>
      <c r="C421" s="22">
        <f>+VLOOKUP(PROVEEDORES[[#This Row],[PROVEEDOR]],TERCEROS_INFO[#All],2,FALSE)</f>
        <v>45</v>
      </c>
      <c r="D421" s="27">
        <f>+SUMIFS(PROVEEDORES[Total],PROVEEDORES[PROVEEDOR],PROVEEDORES[[#This Row],[PROVEEDOR]],PROVEEDORES[FECHA DE PAGO],"")</f>
        <v>3412539.2</v>
      </c>
      <c r="E421" s="27"/>
      <c r="F421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421" s="95">
        <v>44411</v>
      </c>
      <c r="H421" s="28" t="s">
        <v>10</v>
      </c>
      <c r="I421" s="95">
        <v>44348</v>
      </c>
      <c r="J421" s="38" t="s">
        <v>386</v>
      </c>
      <c r="K421" s="23">
        <v>2682000</v>
      </c>
      <c r="L421" s="23"/>
      <c r="M421" s="24">
        <v>509580</v>
      </c>
      <c r="N421" s="25"/>
      <c r="O421" s="24">
        <v>0</v>
      </c>
      <c r="P421" s="136">
        <f>+IF(PROVEEDORES[[#This Row],[SUBTOTAL]]&lt;PROVEEDORES[[#This Row],[base retencion]],0,PROVEEDORES[[#This Row],[retención aplicada]])</f>
        <v>0</v>
      </c>
      <c r="Q421" s="24">
        <f>+PROVEEDORES[[#This Row],[Rete Fuente %]]*PROVEEDORES[[#This Row],[SUBTOTAL]]</f>
        <v>0</v>
      </c>
      <c r="R421" s="23">
        <v>3191580</v>
      </c>
      <c r="S42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1" s="99">
        <f ca="1">IF(PROVEEDORES[[#This Row],[FECHA DE PAGO]]=0,TODAY()-PROVEEDORES[[#This Row],[FECHA DE FACTURACIÓN]]-PROVEEDORES[[#This Row],[PLAZO Días]],0)</f>
        <v>0</v>
      </c>
      <c r="U421" s="149">
        <f>+VLOOKUP(PROVEEDORES[[#This Row],[PROVEEDOR]],Terceros!$A:$E,5,FALSE)</f>
        <v>0</v>
      </c>
      <c r="V421" s="150">
        <f>+YEAR(PROVEEDORES[[#This Row],[FECHA DE FACTURACIÓN]])</f>
        <v>2021</v>
      </c>
      <c r="W421" s="150">
        <f>+MATCH(PROVEEDORES[[#This Row],[año facturado]],Retenciones!$1:$1,0)</f>
        <v>4</v>
      </c>
      <c r="X421" s="151">
        <f>+VLOOKUP(PROVEEDORES[[#This Row],[ID RETENCION]],Retenciones!$A$1:$O$24,PROVEEDORES[[#This Row],[indicador de columna]],FALSE)</f>
        <v>0</v>
      </c>
      <c r="Y421" s="152">
        <f>+VLOOKUP(PROVEEDORES[[#This Row],[ID RETENCION]],Retenciones!$A$1:$O$24,2,FALSE)</f>
        <v>0</v>
      </c>
      <c r="Z421" s="26"/>
      <c r="AA421" s="26"/>
      <c r="AB421" s="26"/>
      <c r="AC421" s="26"/>
      <c r="AD421" s="26"/>
      <c r="AE421" s="26"/>
    </row>
    <row r="422" spans="1:31" ht="21.95" customHeight="1" x14ac:dyDescent="0.25">
      <c r="A422" s="97" t="str">
        <f>+IF(PROVEEDORES[[#This Row],[FECHA DE PAGO]]=PROVEEDORES[[#This Row],[FECHA DE FACTURACIÓN]],"DE CONTADO","CRÉDITO")</f>
        <v>CRÉDITO</v>
      </c>
      <c r="B422" s="41" t="b">
        <f>+IF((PROVEEDORES[[#This Row],[FECHA DE PAGO]]-PROVEEDORES[[#This Row],[FECHA DE FACTURACIÓN]])&gt;PROVEEDORES[[#This Row],[PLAZO Días]],"PAGO VENCIDO")</f>
        <v>0</v>
      </c>
      <c r="C422" s="22">
        <f>+VLOOKUP(PROVEEDORES[[#This Row],[PROVEEDOR]],TERCEROS_INFO[#All],2,FALSE)</f>
        <v>30</v>
      </c>
      <c r="D422" s="27">
        <f>+SUMIFS(PROVEEDORES[Total],PROVEEDORES[PROVEEDOR],PROVEEDORES[[#This Row],[PROVEEDOR]],PROVEEDORES[FECHA DE PAGO],"")</f>
        <v>4862586.33</v>
      </c>
      <c r="E422" s="27"/>
      <c r="F422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422" s="95">
        <v>44369</v>
      </c>
      <c r="H422" s="28" t="s">
        <v>345</v>
      </c>
      <c r="I422" s="95">
        <v>44348</v>
      </c>
      <c r="J422" s="38" t="s">
        <v>578</v>
      </c>
      <c r="K422" s="23">
        <v>3061166</v>
      </c>
      <c r="L422" s="23"/>
      <c r="M422" s="24">
        <v>581621.54</v>
      </c>
      <c r="N422" s="25"/>
      <c r="O422" s="24">
        <v>0</v>
      </c>
      <c r="P422" s="136">
        <f>+IF(PROVEEDORES[[#This Row],[SUBTOTAL]]&lt;PROVEEDORES[[#This Row],[base retencion]],0,PROVEEDORES[[#This Row],[retención aplicada]])</f>
        <v>0</v>
      </c>
      <c r="Q422" s="24">
        <f>+PROVEEDORES[[#This Row],[Rete Fuente %]]*PROVEEDORES[[#This Row],[SUBTOTAL]]</f>
        <v>0</v>
      </c>
      <c r="R422" s="23">
        <v>3642787.54</v>
      </c>
      <c r="S42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2" s="99">
        <f ca="1">IF(PROVEEDORES[[#This Row],[FECHA DE PAGO]]=0,TODAY()-PROVEEDORES[[#This Row],[FECHA DE FACTURACIÓN]]-PROVEEDORES[[#This Row],[PLAZO Días]],0)</f>
        <v>0</v>
      </c>
      <c r="U422" s="149">
        <f>+VLOOKUP(PROVEEDORES[[#This Row],[PROVEEDOR]],Terceros!$A:$E,5,FALSE)</f>
        <v>0</v>
      </c>
      <c r="V422" s="150">
        <f>+YEAR(PROVEEDORES[[#This Row],[FECHA DE FACTURACIÓN]])</f>
        <v>2021</v>
      </c>
      <c r="W422" s="150">
        <f>+MATCH(PROVEEDORES[[#This Row],[año facturado]],Retenciones!$1:$1,0)</f>
        <v>4</v>
      </c>
      <c r="X422" s="151">
        <f>+VLOOKUP(PROVEEDORES[[#This Row],[ID RETENCION]],Retenciones!$A$1:$O$24,PROVEEDORES[[#This Row],[indicador de columna]],FALSE)</f>
        <v>0</v>
      </c>
      <c r="Y422" s="152">
        <f>+VLOOKUP(PROVEEDORES[[#This Row],[ID RETENCION]],Retenciones!$A$1:$O$24,2,FALSE)</f>
        <v>0</v>
      </c>
      <c r="Z422" s="26"/>
      <c r="AA422" s="26"/>
      <c r="AB422" s="26"/>
      <c r="AC422" s="26"/>
      <c r="AD422" s="26"/>
      <c r="AE422" s="26"/>
    </row>
    <row r="423" spans="1:31" ht="21.95" customHeight="1" x14ac:dyDescent="0.25">
      <c r="A423" s="97" t="str">
        <f>+IF(PROVEEDORES[[#This Row],[FECHA DE PAGO]]=PROVEEDORES[[#This Row],[FECHA DE FACTURACIÓN]],"DE CONTADO","CRÉDITO")</f>
        <v>CRÉDITO</v>
      </c>
      <c r="B423" s="41" t="b">
        <f>+IF((PROVEEDORES[[#This Row],[FECHA DE PAGO]]-PROVEEDORES[[#This Row],[FECHA DE FACTURACIÓN]])&gt;PROVEEDORES[[#This Row],[PLAZO Días]],"PAGO VENCIDO")</f>
        <v>0</v>
      </c>
      <c r="C423" s="22">
        <f>+VLOOKUP(PROVEEDORES[[#This Row],[PROVEEDOR]],TERCEROS_INFO[#All],2,FALSE)</f>
        <v>30</v>
      </c>
      <c r="D423" s="27">
        <f>+SUMIFS(PROVEEDORES[Total],PROVEEDORES[PROVEEDOR],PROVEEDORES[[#This Row],[PROVEEDOR]],PROVEEDORES[FECHA DE PAGO],"")</f>
        <v>5463150</v>
      </c>
      <c r="E423" s="27"/>
      <c r="F423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423" s="95">
        <v>44369</v>
      </c>
      <c r="H423" s="28" t="s">
        <v>344</v>
      </c>
      <c r="I423" s="95">
        <v>44348</v>
      </c>
      <c r="J423" s="38">
        <v>39353</v>
      </c>
      <c r="K423" s="23">
        <v>3765500</v>
      </c>
      <c r="L423" s="23"/>
      <c r="M423" s="24">
        <v>715445</v>
      </c>
      <c r="N423" s="25"/>
      <c r="O423" s="24">
        <v>0</v>
      </c>
      <c r="P423" s="136">
        <f>+IF(PROVEEDORES[[#This Row],[SUBTOTAL]]&lt;PROVEEDORES[[#This Row],[base retencion]],0,PROVEEDORES[[#This Row],[retención aplicada]])</f>
        <v>3.5000000000000003E-2</v>
      </c>
      <c r="Q423" s="24">
        <f>+PROVEEDORES[[#This Row],[Rete Fuente %]]*PROVEEDORES[[#This Row],[SUBTOTAL]]</f>
        <v>131792.5</v>
      </c>
      <c r="R423" s="23">
        <v>4349152.5</v>
      </c>
      <c r="S42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3" s="99">
        <f ca="1">IF(PROVEEDORES[[#This Row],[FECHA DE PAGO]]=0,TODAY()-PROVEEDORES[[#This Row],[FECHA DE FACTURACIÓN]]-PROVEEDORES[[#This Row],[PLAZO Días]],0)</f>
        <v>0</v>
      </c>
      <c r="U423" s="149" t="str">
        <f>+VLOOKUP(PROVEEDORES[[#This Row],[PROVEEDOR]],Terceros!$A:$E,5,FALSE)</f>
        <v>3,5% con base</v>
      </c>
      <c r="V423" s="150">
        <f>+YEAR(PROVEEDORES[[#This Row],[FECHA DE FACTURACIÓN]])</f>
        <v>2021</v>
      </c>
      <c r="W423" s="150">
        <f>+MATCH(PROVEEDORES[[#This Row],[año facturado]],Retenciones!$1:$1,0)</f>
        <v>4</v>
      </c>
      <c r="X423" s="151">
        <f>+VLOOKUP(PROVEEDORES[[#This Row],[ID RETENCION]],Retenciones!$A$1:$O$24,PROVEEDORES[[#This Row],[indicador de columna]],FALSE)</f>
        <v>980000</v>
      </c>
      <c r="Y423" s="152">
        <f>+VLOOKUP(PROVEEDORES[[#This Row],[ID RETENCION]],Retenciones!$A$1:$O$24,2,FALSE)</f>
        <v>3.5000000000000003E-2</v>
      </c>
      <c r="Z423" s="26"/>
      <c r="AA423" s="26"/>
      <c r="AB423" s="26"/>
      <c r="AC423" s="26"/>
      <c r="AD423" s="26"/>
      <c r="AE423" s="26"/>
    </row>
    <row r="424" spans="1:31" ht="21.95" customHeight="1" x14ac:dyDescent="0.25">
      <c r="A424" s="97" t="str">
        <f>+IF(PROVEEDORES[[#This Row],[FECHA DE PAGO]]=PROVEEDORES[[#This Row],[FECHA DE FACTURACIÓN]],"DE CONTADO","CRÉDITO")</f>
        <v>CRÉDITO</v>
      </c>
      <c r="B424" s="41" t="b">
        <f>+IF((PROVEEDORES[[#This Row],[FECHA DE PAGO]]-PROVEEDORES[[#This Row],[FECHA DE FACTURACIÓN]])&gt;PROVEEDORES[[#This Row],[PLAZO Días]],"PAGO VENCIDO")</f>
        <v>0</v>
      </c>
      <c r="C424" s="22">
        <f>+VLOOKUP(PROVEEDORES[[#This Row],[PROVEEDOR]],TERCEROS_INFO[#All],2,FALSE)</f>
        <v>30</v>
      </c>
      <c r="D424" s="27">
        <f>+SUMIFS(PROVEEDORES[Total],PROVEEDORES[PROVEEDOR],PROVEEDORES[[#This Row],[PROVEEDOR]],PROVEEDORES[FECHA DE PAGO],"")</f>
        <v>0</v>
      </c>
      <c r="E424" s="27"/>
      <c r="F424" s="62" t="str">
        <f>+VLOOKUP(PROVEEDORES[[#This Row],[PROVEEDOR]],
                       Terceros!$A:$G,
                       6,
                       FALSE)</f>
        <v>tesoreria@lacentral.com.co;girlesa.ruiz@servipilas.com;joriescobar64@gmail.com</v>
      </c>
      <c r="G424" s="95">
        <v>44370</v>
      </c>
      <c r="H424" s="28" t="s">
        <v>332</v>
      </c>
      <c r="I424" s="95">
        <v>44348</v>
      </c>
      <c r="J424" s="38">
        <v>8322</v>
      </c>
      <c r="K424" s="23">
        <v>1516048</v>
      </c>
      <c r="L424" s="23"/>
      <c r="M424" s="24">
        <v>0</v>
      </c>
      <c r="N424" s="25"/>
      <c r="O424" s="24">
        <v>150421</v>
      </c>
      <c r="P424" s="136">
        <f>+IF(PROVEEDORES[[#This Row],[SUBTOTAL]]&lt;PROVEEDORES[[#This Row],[base retencion]],0,PROVEEDORES[[#This Row],[retención aplicada]])</f>
        <v>0</v>
      </c>
      <c r="Q424" s="24">
        <f>+PROVEEDORES[[#This Row],[Rete Fuente %]]*PROVEEDORES[[#This Row],[SUBTOTAL]]</f>
        <v>0</v>
      </c>
      <c r="R424" s="23">
        <v>1365627</v>
      </c>
      <c r="S42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4" s="99">
        <f ca="1">IF(PROVEEDORES[[#This Row],[FECHA DE PAGO]]=0,TODAY()-PROVEEDORES[[#This Row],[FECHA DE FACTURACIÓN]]-PROVEEDORES[[#This Row],[PLAZO Días]],0)</f>
        <v>0</v>
      </c>
      <c r="U424" s="149">
        <f>+VLOOKUP(PROVEEDORES[[#This Row],[PROVEEDOR]],Terceros!$A:$E,5,FALSE)</f>
        <v>0</v>
      </c>
      <c r="V424" s="150">
        <f>+YEAR(PROVEEDORES[[#This Row],[FECHA DE FACTURACIÓN]])</f>
        <v>2021</v>
      </c>
      <c r="W424" s="150">
        <f>+MATCH(PROVEEDORES[[#This Row],[año facturado]],Retenciones!$1:$1,0)</f>
        <v>4</v>
      </c>
      <c r="X424" s="151">
        <f>+VLOOKUP(PROVEEDORES[[#This Row],[ID RETENCION]],Retenciones!$A$1:$O$24,PROVEEDORES[[#This Row],[indicador de columna]],FALSE)</f>
        <v>0</v>
      </c>
      <c r="Y424" s="152">
        <f>+VLOOKUP(PROVEEDORES[[#This Row],[ID RETENCION]],Retenciones!$A$1:$O$24,2,FALSE)</f>
        <v>0</v>
      </c>
      <c r="Z424" s="26"/>
      <c r="AA424" s="26"/>
      <c r="AB424" s="26"/>
      <c r="AC424" s="26"/>
      <c r="AD424" s="26"/>
      <c r="AE424" s="26"/>
    </row>
    <row r="425" spans="1:31" ht="21.95" customHeight="1" x14ac:dyDescent="0.25">
      <c r="A425" s="97" t="str">
        <f>+IF(PROVEEDORES[[#This Row],[FECHA DE PAGO]]=PROVEEDORES[[#This Row],[FECHA DE FACTURACIÓN]],"DE CONTADO","CRÉDITO")</f>
        <v>CRÉDITO</v>
      </c>
      <c r="B425" s="41" t="b">
        <f>+IF((PROVEEDORES[[#This Row],[FECHA DE PAGO]]-PROVEEDORES[[#This Row],[FECHA DE FACTURACIÓN]])&gt;PROVEEDORES[[#This Row],[PLAZO Días]],"PAGO VENCIDO")</f>
        <v>0</v>
      </c>
      <c r="C425" s="22">
        <f>+VLOOKUP(PROVEEDORES[[#This Row],[PROVEEDOR]],TERCEROS_INFO[#All],2,FALSE)</f>
        <v>30</v>
      </c>
      <c r="D425" s="27">
        <f>+SUMIFS(PROVEEDORES[Total],PROVEEDORES[PROVEEDOR],PROVEEDORES[[#This Row],[PROVEEDOR]],PROVEEDORES[FECHA DE PAGO],"")</f>
        <v>248736.18000000002</v>
      </c>
      <c r="E425" s="27"/>
      <c r="F425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G425" s="95">
        <v>44370</v>
      </c>
      <c r="H425" s="28" t="s">
        <v>343</v>
      </c>
      <c r="I425" s="95">
        <v>44366</v>
      </c>
      <c r="J425" s="38" t="s">
        <v>379</v>
      </c>
      <c r="K425" s="23">
        <v>203897</v>
      </c>
      <c r="L425" s="23"/>
      <c r="M425" s="24">
        <v>38740.43</v>
      </c>
      <c r="N425" s="25"/>
      <c r="O425" s="24">
        <v>0</v>
      </c>
      <c r="P425" s="136">
        <f>+IF(PROVEEDORES[[#This Row],[SUBTOTAL]]&lt;PROVEEDORES[[#This Row],[base retencion]],0,PROVEEDORES[[#This Row],[retención aplicada]])</f>
        <v>3.5000000000000003E-2</v>
      </c>
      <c r="Q425" s="24">
        <f>+PROVEEDORES[[#This Row],[Rete Fuente %]]*PROVEEDORES[[#This Row],[SUBTOTAL]]</f>
        <v>7136.3950000000004</v>
      </c>
      <c r="R425" s="23">
        <v>235501.035</v>
      </c>
      <c r="S42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5" s="99">
        <f ca="1">IF(PROVEEDORES[[#This Row],[FECHA DE PAGO]]=0,TODAY()-PROVEEDORES[[#This Row],[FECHA DE FACTURACIÓN]]-PROVEEDORES[[#This Row],[PLAZO Días]],0)</f>
        <v>0</v>
      </c>
      <c r="U425" s="149" t="str">
        <f>+VLOOKUP(PROVEEDORES[[#This Row],[PROVEEDOR]],Terceros!$A:$E,5,FALSE)</f>
        <v>3,5% sin base</v>
      </c>
      <c r="V425" s="150">
        <f>+YEAR(PROVEEDORES[[#This Row],[FECHA DE FACTURACIÓN]])</f>
        <v>2021</v>
      </c>
      <c r="W425" s="150">
        <f>+MATCH(PROVEEDORES[[#This Row],[año facturado]],Retenciones!$1:$1,0)</f>
        <v>4</v>
      </c>
      <c r="X425" s="151">
        <f>+VLOOKUP(PROVEEDORES[[#This Row],[ID RETENCION]],Retenciones!$A$1:$O$24,PROVEEDORES[[#This Row],[indicador de columna]],FALSE)</f>
        <v>0</v>
      </c>
      <c r="Y425" s="152">
        <f>+VLOOKUP(PROVEEDORES[[#This Row],[ID RETENCION]],Retenciones!$A$1:$O$24,2,FALSE)</f>
        <v>3.5000000000000003E-2</v>
      </c>
      <c r="Z425" s="26"/>
      <c r="AA425" s="26"/>
      <c r="AB425" s="26"/>
      <c r="AC425" s="26"/>
      <c r="AD425" s="26"/>
      <c r="AE425" s="26"/>
    </row>
    <row r="426" spans="1:31" ht="21.95" customHeight="1" x14ac:dyDescent="0.25">
      <c r="A426" s="97" t="str">
        <f>+IF(PROVEEDORES[[#This Row],[FECHA DE PAGO]]=PROVEEDORES[[#This Row],[FECHA DE FACTURACIÓN]],"DE CONTADO","CRÉDITO")</f>
        <v>CRÉDITO</v>
      </c>
      <c r="B426" s="41" t="str">
        <f>+IF((PROVEEDORES[[#This Row],[FECHA DE PAGO]]-PROVEEDORES[[#This Row],[FECHA DE FACTURACIÓN]])&gt;PROVEEDORES[[#This Row],[PLAZO Días]],"PAGO VENCIDO")</f>
        <v>PAGO VENCIDO</v>
      </c>
      <c r="C426" s="22">
        <f>+VLOOKUP(PROVEEDORES[[#This Row],[PROVEEDOR]],TERCEROS_INFO[#All],2,FALSE)</f>
        <v>30</v>
      </c>
      <c r="D426" s="27">
        <f>+SUMIFS(PROVEEDORES[Total],PROVEEDORES[PROVEEDOR],PROVEEDORES[[#This Row],[PROVEEDOR]],PROVEEDORES[FECHA DE PAGO],"")</f>
        <v>1979529.3</v>
      </c>
      <c r="E426" s="27"/>
      <c r="F426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426" s="95">
        <v>44385</v>
      </c>
      <c r="H426" s="28" t="s">
        <v>17</v>
      </c>
      <c r="I426" s="95">
        <v>44350</v>
      </c>
      <c r="J426" s="38">
        <v>1771451</v>
      </c>
      <c r="K426" s="23">
        <v>485101</v>
      </c>
      <c r="L426" s="23"/>
      <c r="M426" s="24">
        <v>0</v>
      </c>
      <c r="N426" s="25"/>
      <c r="O426" s="24">
        <v>0</v>
      </c>
      <c r="P426" s="136">
        <f>+IF(PROVEEDORES[[#This Row],[SUBTOTAL]]&lt;PROVEEDORES[[#This Row],[base retencion]],0,PROVEEDORES[[#This Row],[retención aplicada]])</f>
        <v>0</v>
      </c>
      <c r="Q426" s="24">
        <f>+PROVEEDORES[[#This Row],[Rete Fuente %]]*PROVEEDORES[[#This Row],[SUBTOTAL]]</f>
        <v>0</v>
      </c>
      <c r="R426" s="23">
        <v>485101</v>
      </c>
      <c r="S42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6" s="99">
        <f ca="1">IF(PROVEEDORES[[#This Row],[FECHA DE PAGO]]=0,TODAY()-PROVEEDORES[[#This Row],[FECHA DE FACTURACIÓN]]-PROVEEDORES[[#This Row],[PLAZO Días]],0)</f>
        <v>0</v>
      </c>
      <c r="U426" s="149">
        <f>+VLOOKUP(PROVEEDORES[[#This Row],[PROVEEDOR]],Terceros!$A:$E,5,FALSE)</f>
        <v>0</v>
      </c>
      <c r="V426" s="150">
        <f>+YEAR(PROVEEDORES[[#This Row],[FECHA DE FACTURACIÓN]])</f>
        <v>2021</v>
      </c>
      <c r="W426" s="150">
        <f>+MATCH(PROVEEDORES[[#This Row],[año facturado]],Retenciones!$1:$1,0)</f>
        <v>4</v>
      </c>
      <c r="X426" s="151">
        <f>+VLOOKUP(PROVEEDORES[[#This Row],[ID RETENCION]],Retenciones!$A$1:$O$24,PROVEEDORES[[#This Row],[indicador de columna]],FALSE)</f>
        <v>0</v>
      </c>
      <c r="Y426" s="152">
        <f>+VLOOKUP(PROVEEDORES[[#This Row],[ID RETENCION]],Retenciones!$A$1:$O$24,2,FALSE)</f>
        <v>0</v>
      </c>
      <c r="Z426" s="26"/>
      <c r="AA426" s="26"/>
      <c r="AB426" s="26"/>
      <c r="AC426" s="26"/>
      <c r="AD426" s="26"/>
      <c r="AE426" s="26"/>
    </row>
    <row r="427" spans="1:31" ht="21.95" customHeight="1" x14ac:dyDescent="0.25">
      <c r="A427" s="97" t="str">
        <f>+IF(PROVEEDORES[[#This Row],[FECHA DE PAGO]]=PROVEEDORES[[#This Row],[FECHA DE FACTURACIÓN]],"DE CONTADO","CRÉDITO")</f>
        <v>DE CONTADO</v>
      </c>
      <c r="B427" s="41" t="b">
        <f>+IF((PROVEEDORES[[#This Row],[FECHA DE PAGO]]-PROVEEDORES[[#This Row],[FECHA DE FACTURACIÓN]])&gt;PROVEEDORES[[#This Row],[PLAZO Días]],"PAGO VENCIDO")</f>
        <v>0</v>
      </c>
      <c r="C427" s="22">
        <f>+VLOOKUP(PROVEEDORES[[#This Row],[PROVEEDOR]],TERCEROS_INFO[#All],2,FALSE)</f>
        <v>30</v>
      </c>
      <c r="D427" s="27">
        <f>+SUMIFS(PROVEEDORES[Total],PROVEEDORES[PROVEEDOR],PROVEEDORES[[#This Row],[PROVEEDOR]],PROVEEDORES[FECHA DE PAGO],"")</f>
        <v>0</v>
      </c>
      <c r="E427" s="27"/>
      <c r="F427" s="62" t="str">
        <f>+VLOOKUP(PROVEEDORES[[#This Row],[PROVEEDOR]],
                       Terceros!$A:$G,
                       6,
                       FALSE)</f>
        <v/>
      </c>
      <c r="G427" s="95">
        <v>44350</v>
      </c>
      <c r="H427" s="28" t="s">
        <v>997</v>
      </c>
      <c r="I427" s="95">
        <v>44350</v>
      </c>
      <c r="J427" s="38" t="s">
        <v>722</v>
      </c>
      <c r="K427" s="23">
        <v>510000</v>
      </c>
      <c r="L427" s="23"/>
      <c r="M427" s="24">
        <v>0</v>
      </c>
      <c r="N427" s="25"/>
      <c r="O427" s="24">
        <v>0</v>
      </c>
      <c r="P427" s="136">
        <f>+IF(PROVEEDORES[[#This Row],[SUBTOTAL]]&lt;PROVEEDORES[[#This Row],[base retencion]],0,PROVEEDORES[[#This Row],[retención aplicada]])</f>
        <v>0</v>
      </c>
      <c r="Q427" s="24">
        <f>+PROVEEDORES[[#This Row],[Rete Fuente %]]*PROVEEDORES[[#This Row],[SUBTOTAL]]</f>
        <v>0</v>
      </c>
      <c r="R427" s="23">
        <v>510000</v>
      </c>
      <c r="S42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7" s="99">
        <f ca="1">IF(PROVEEDORES[[#This Row],[FECHA DE PAGO]]=0,TODAY()-PROVEEDORES[[#This Row],[FECHA DE FACTURACIÓN]]-PROVEEDORES[[#This Row],[PLAZO Días]],0)</f>
        <v>0</v>
      </c>
      <c r="U427" s="149">
        <f>+VLOOKUP(PROVEEDORES[[#This Row],[PROVEEDOR]],Terceros!$A:$E,5,FALSE)</f>
        <v>0</v>
      </c>
      <c r="V427" s="150">
        <f>+YEAR(PROVEEDORES[[#This Row],[FECHA DE FACTURACIÓN]])</f>
        <v>2021</v>
      </c>
      <c r="W427" s="150">
        <f>+MATCH(PROVEEDORES[[#This Row],[año facturado]],Retenciones!$1:$1,0)</f>
        <v>4</v>
      </c>
      <c r="X427" s="151">
        <f>+VLOOKUP(PROVEEDORES[[#This Row],[ID RETENCION]],Retenciones!$A$1:$O$24,PROVEEDORES[[#This Row],[indicador de columna]],FALSE)</f>
        <v>0</v>
      </c>
      <c r="Y427" s="152">
        <f>+VLOOKUP(PROVEEDORES[[#This Row],[ID RETENCION]],Retenciones!$A$1:$O$24,2,FALSE)</f>
        <v>0</v>
      </c>
      <c r="Z427" s="26"/>
      <c r="AA427" s="26"/>
      <c r="AB427" s="26"/>
      <c r="AC427" s="26"/>
      <c r="AD427" s="26"/>
      <c r="AE427" s="26"/>
    </row>
    <row r="428" spans="1:31" ht="21.95" customHeight="1" x14ac:dyDescent="0.25">
      <c r="A428" s="97" t="str">
        <f>+IF(PROVEEDORES[[#This Row],[FECHA DE PAGO]]=PROVEEDORES[[#This Row],[FECHA DE FACTURACIÓN]],"DE CONTADO","CRÉDITO")</f>
        <v>CRÉDITO</v>
      </c>
      <c r="B428" s="41" t="str">
        <f>+IF((PROVEEDORES[[#This Row],[FECHA DE PAGO]]-PROVEEDORES[[#This Row],[FECHA DE FACTURACIÓN]])&gt;PROVEEDORES[[#This Row],[PLAZO Días]],"PAGO VENCIDO")</f>
        <v>PAGO VENCIDO</v>
      </c>
      <c r="C428" s="22">
        <f>+VLOOKUP(PROVEEDORES[[#This Row],[PROVEEDOR]],TERCEROS_INFO[#All],2,FALSE)</f>
        <v>45</v>
      </c>
      <c r="D428" s="27">
        <f>+SUMIFS(PROVEEDORES[Total],PROVEEDORES[PROVEEDOR],PROVEEDORES[[#This Row],[PROVEEDOR]],PROVEEDORES[FECHA DE PAGO],"")</f>
        <v>3412539.2</v>
      </c>
      <c r="E428" s="27"/>
      <c r="F428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428" s="95">
        <v>44414</v>
      </c>
      <c r="H428" s="28" t="s">
        <v>10</v>
      </c>
      <c r="I428" s="95">
        <v>44350</v>
      </c>
      <c r="J428" s="38" t="s">
        <v>385</v>
      </c>
      <c r="K428" s="23">
        <v>1200000</v>
      </c>
      <c r="L428" s="23"/>
      <c r="M428" s="24">
        <v>228000</v>
      </c>
      <c r="N428" s="25"/>
      <c r="O428" s="24">
        <v>0</v>
      </c>
      <c r="P428" s="136">
        <f>+IF(PROVEEDORES[[#This Row],[SUBTOTAL]]&lt;PROVEEDORES[[#This Row],[base retencion]],0,PROVEEDORES[[#This Row],[retención aplicada]])</f>
        <v>0</v>
      </c>
      <c r="Q428" s="24">
        <f>+PROVEEDORES[[#This Row],[Rete Fuente %]]*PROVEEDORES[[#This Row],[SUBTOTAL]]</f>
        <v>0</v>
      </c>
      <c r="R428" s="23">
        <v>1428000</v>
      </c>
      <c r="S42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8" s="99">
        <f ca="1">IF(PROVEEDORES[[#This Row],[FECHA DE PAGO]]=0,TODAY()-PROVEEDORES[[#This Row],[FECHA DE FACTURACIÓN]]-PROVEEDORES[[#This Row],[PLAZO Días]],0)</f>
        <v>0</v>
      </c>
      <c r="U428" s="149">
        <f>+VLOOKUP(PROVEEDORES[[#This Row],[PROVEEDOR]],Terceros!$A:$E,5,FALSE)</f>
        <v>0</v>
      </c>
      <c r="V428" s="150">
        <f>+YEAR(PROVEEDORES[[#This Row],[FECHA DE FACTURACIÓN]])</f>
        <v>2021</v>
      </c>
      <c r="W428" s="150">
        <f>+MATCH(PROVEEDORES[[#This Row],[año facturado]],Retenciones!$1:$1,0)</f>
        <v>4</v>
      </c>
      <c r="X428" s="151">
        <f>+VLOOKUP(PROVEEDORES[[#This Row],[ID RETENCION]],Retenciones!$A$1:$O$24,PROVEEDORES[[#This Row],[indicador de columna]],FALSE)</f>
        <v>0</v>
      </c>
      <c r="Y428" s="152">
        <f>+VLOOKUP(PROVEEDORES[[#This Row],[ID RETENCION]],Retenciones!$A$1:$O$24,2,FALSE)</f>
        <v>0</v>
      </c>
      <c r="Z428" s="26"/>
      <c r="AA428" s="26"/>
      <c r="AB428" s="26"/>
      <c r="AC428" s="26"/>
      <c r="AD428" s="26"/>
      <c r="AE428" s="26"/>
    </row>
    <row r="429" spans="1:31" ht="21.95" customHeight="1" x14ac:dyDescent="0.25">
      <c r="A429" s="97" t="str">
        <f>+IF(PROVEEDORES[[#This Row],[FECHA DE PAGO]]=PROVEEDORES[[#This Row],[FECHA DE FACTURACIÓN]],"DE CONTADO","CRÉDITO")</f>
        <v>CRÉDITO</v>
      </c>
      <c r="B429" s="41" t="str">
        <f>+IF((PROVEEDORES[[#This Row],[FECHA DE PAGO]]-PROVEEDORES[[#This Row],[FECHA DE FACTURACIÓN]])&gt;PROVEEDORES[[#This Row],[PLAZO Días]],"PAGO VENCIDO")</f>
        <v>PAGO VENCIDO</v>
      </c>
      <c r="C429" s="22">
        <f>+VLOOKUP(PROVEEDORES[[#This Row],[PROVEEDOR]],TERCEROS_INFO[#All],2,FALSE)</f>
        <v>30</v>
      </c>
      <c r="D429" s="27">
        <f>+SUMIFS(PROVEEDORES[Total],PROVEEDORES[PROVEEDOR],PROVEEDORES[[#This Row],[PROVEEDOR]],PROVEEDORES[FECHA DE PAGO],"")</f>
        <v>2588352.5</v>
      </c>
      <c r="E429" s="27"/>
      <c r="F429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429" s="95">
        <v>44418</v>
      </c>
      <c r="H429" s="28" t="s">
        <v>1088</v>
      </c>
      <c r="I429" s="95">
        <v>44350</v>
      </c>
      <c r="J429" s="38">
        <v>21170</v>
      </c>
      <c r="K429" s="23">
        <v>1354078</v>
      </c>
      <c r="L429" s="23">
        <v>22198</v>
      </c>
      <c r="M429" s="24">
        <v>253057.2</v>
      </c>
      <c r="N429" s="25"/>
      <c r="O429" s="24">
        <v>0</v>
      </c>
      <c r="P429" s="136">
        <f>+IF(PROVEEDORES[[#This Row],[SUBTOTAL]]&lt;PROVEEDORES[[#This Row],[base retencion]],0,PROVEEDORES[[#This Row],[retención aplicada]])</f>
        <v>2.5000000000000001E-2</v>
      </c>
      <c r="Q429" s="24">
        <f>+PROVEEDORES[[#This Row],[Rete Fuente %]]*PROVEEDORES[[#This Row],[SUBTOTAL]]</f>
        <v>33851.950000000004</v>
      </c>
      <c r="R429" s="23">
        <v>1551640.2</v>
      </c>
      <c r="S42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9" s="99">
        <f ca="1">IF(PROVEEDORES[[#This Row],[FECHA DE PAGO]]=0,TODAY()-PROVEEDORES[[#This Row],[FECHA DE FACTURACIÓN]]-PROVEEDORES[[#This Row],[PLAZO Días]],0)</f>
        <v>0</v>
      </c>
      <c r="U429" s="149" t="str">
        <f>+VLOOKUP(PROVEEDORES[[#This Row],[PROVEEDOR]],Terceros!$A:$E,5,FALSE)</f>
        <v>2,5% con base</v>
      </c>
      <c r="V429" s="150">
        <f>+YEAR(PROVEEDORES[[#This Row],[FECHA DE FACTURACIÓN]])</f>
        <v>2021</v>
      </c>
      <c r="W429" s="150">
        <f>+MATCH(PROVEEDORES[[#This Row],[año facturado]],Retenciones!$1:$1,0)</f>
        <v>4</v>
      </c>
      <c r="X429" s="151">
        <f>+VLOOKUP(PROVEEDORES[[#This Row],[ID RETENCION]],Retenciones!$A$1:$O$24,PROVEEDORES[[#This Row],[indicador de columna]],FALSE)</f>
        <v>980000</v>
      </c>
      <c r="Y429" s="152">
        <f>+VLOOKUP(PROVEEDORES[[#This Row],[ID RETENCION]],Retenciones!$A$1:$O$24,2,FALSE)</f>
        <v>2.5000000000000001E-2</v>
      </c>
      <c r="Z429" s="26"/>
      <c r="AA429" s="26"/>
      <c r="AB429" s="26"/>
      <c r="AC429" s="26"/>
      <c r="AD429" s="26"/>
      <c r="AE429" s="26"/>
    </row>
    <row r="430" spans="1:31" ht="21.95" customHeight="1" x14ac:dyDescent="0.25">
      <c r="A430" s="97" t="str">
        <f>+IF(PROVEEDORES[[#This Row],[FECHA DE PAGO]]=PROVEEDORES[[#This Row],[FECHA DE FACTURACIÓN]],"DE CONTADO","CRÉDITO")</f>
        <v>CRÉDITO</v>
      </c>
      <c r="B430" s="41" t="str">
        <f>+IF((PROVEEDORES[[#This Row],[FECHA DE PAGO]]-PROVEEDORES[[#This Row],[FECHA DE FACTURACIÓN]])&gt;PROVEEDORES[[#This Row],[PLAZO Días]],"PAGO VENCIDO")</f>
        <v>PAGO VENCIDO</v>
      </c>
      <c r="C430" s="22">
        <f>+VLOOKUP(PROVEEDORES[[#This Row],[PROVEEDOR]],TERCEROS_INFO[#All],2,FALSE)</f>
        <v>30</v>
      </c>
      <c r="D430" s="27">
        <f>+SUMIFS(PROVEEDORES[Total],PROVEEDORES[PROVEEDOR],PROVEEDORES[[#This Row],[PROVEEDOR]],PROVEEDORES[FECHA DE PAGO],"")</f>
        <v>3844432.4999000002</v>
      </c>
      <c r="E430" s="27"/>
      <c r="F430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430" s="95">
        <v>44389</v>
      </c>
      <c r="H430" s="28" t="s">
        <v>18</v>
      </c>
      <c r="I430" s="95">
        <v>44350</v>
      </c>
      <c r="J430" s="38">
        <v>1038584</v>
      </c>
      <c r="K430" s="23">
        <v>2162828.4</v>
      </c>
      <c r="L430" s="23"/>
      <c r="M430" s="24">
        <v>410937.39600000001</v>
      </c>
      <c r="N430" s="25"/>
      <c r="O430" s="24">
        <v>0</v>
      </c>
      <c r="P430" s="136">
        <f>+IF(PROVEEDORES[[#This Row],[SUBTOTAL]]&lt;PROVEEDORES[[#This Row],[base retencion]],0,PROVEEDORES[[#This Row],[retención aplicada]])</f>
        <v>2.5000000000000001E-2</v>
      </c>
      <c r="Q430" s="24">
        <f>+PROVEEDORES[[#This Row],[Rete Fuente %]]*PROVEEDORES[[#This Row],[SUBTOTAL]]</f>
        <v>54070.71</v>
      </c>
      <c r="R430" s="23">
        <v>2519695.0860000001</v>
      </c>
      <c r="S43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0" s="99">
        <f ca="1">IF(PROVEEDORES[[#This Row],[FECHA DE PAGO]]=0,TODAY()-PROVEEDORES[[#This Row],[FECHA DE FACTURACIÓN]]-PROVEEDORES[[#This Row],[PLAZO Días]],0)</f>
        <v>0</v>
      </c>
      <c r="U430" s="149" t="str">
        <f>+VLOOKUP(PROVEEDORES[[#This Row],[PROVEEDOR]],Terceros!$A:$E,5,FALSE)</f>
        <v>2,5% con base</v>
      </c>
      <c r="V430" s="150">
        <f>+YEAR(PROVEEDORES[[#This Row],[FECHA DE FACTURACIÓN]])</f>
        <v>2021</v>
      </c>
      <c r="W430" s="150">
        <f>+MATCH(PROVEEDORES[[#This Row],[año facturado]],Retenciones!$1:$1,0)</f>
        <v>4</v>
      </c>
      <c r="X430" s="151">
        <f>+VLOOKUP(PROVEEDORES[[#This Row],[ID RETENCION]],Retenciones!$A$1:$O$24,PROVEEDORES[[#This Row],[indicador de columna]],FALSE)</f>
        <v>980000</v>
      </c>
      <c r="Y430" s="152">
        <f>+VLOOKUP(PROVEEDORES[[#This Row],[ID RETENCION]],Retenciones!$A$1:$O$24,2,FALSE)</f>
        <v>2.5000000000000001E-2</v>
      </c>
      <c r="Z430" s="26"/>
      <c r="AA430" s="26"/>
      <c r="AB430" s="26"/>
      <c r="AC430" s="26"/>
      <c r="AD430" s="26"/>
      <c r="AE430" s="26"/>
    </row>
    <row r="431" spans="1:31" ht="21.95" customHeight="1" x14ac:dyDescent="0.25">
      <c r="A431" s="97" t="str">
        <f>+IF(PROVEEDORES[[#This Row],[FECHA DE PAGO]]=PROVEEDORES[[#This Row],[FECHA DE FACTURACIÓN]],"DE CONTADO","CRÉDITO")</f>
        <v>CRÉDITO</v>
      </c>
      <c r="B431" s="41" t="str">
        <f>+IF((PROVEEDORES[[#This Row],[FECHA DE PAGO]]-PROVEEDORES[[#This Row],[FECHA DE FACTURACIÓN]])&gt;PROVEEDORES[[#This Row],[PLAZO Días]],"PAGO VENCIDO")</f>
        <v>PAGO VENCIDO</v>
      </c>
      <c r="C431" s="22">
        <f>+VLOOKUP(PROVEEDORES[[#This Row],[PROVEEDOR]],TERCEROS_INFO[#All],2,FALSE)</f>
        <v>30</v>
      </c>
      <c r="D431" s="27">
        <f>+SUMIFS(PROVEEDORES[Total],PROVEEDORES[PROVEEDOR],PROVEEDORES[[#This Row],[PROVEEDOR]],PROVEEDORES[FECHA DE PAGO],"")</f>
        <v>0</v>
      </c>
      <c r="E431" s="27"/>
      <c r="F431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431" s="95">
        <v>44396</v>
      </c>
      <c r="H431" s="28" t="s">
        <v>24</v>
      </c>
      <c r="I431" s="95">
        <v>44351</v>
      </c>
      <c r="J431" s="38" t="s">
        <v>389</v>
      </c>
      <c r="K431" s="23">
        <v>1106676</v>
      </c>
      <c r="L431" s="23"/>
      <c r="M431" s="24">
        <v>210268.44</v>
      </c>
      <c r="N431" s="25"/>
      <c r="O431" s="24">
        <v>0</v>
      </c>
      <c r="P431" s="136">
        <f>+IF(PROVEEDORES[[#This Row],[SUBTOTAL]]&lt;PROVEEDORES[[#This Row],[base retencion]],0,PROVEEDORES[[#This Row],[retención aplicada]])</f>
        <v>2.5000000000000001E-2</v>
      </c>
      <c r="Q431" s="24">
        <f>+PROVEEDORES[[#This Row],[Rete Fuente %]]*PROVEEDORES[[#This Row],[SUBTOTAL]]</f>
        <v>27666.9</v>
      </c>
      <c r="R431" s="23">
        <v>1289277.54</v>
      </c>
      <c r="S43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1" s="99">
        <f ca="1">IF(PROVEEDORES[[#This Row],[FECHA DE PAGO]]=0,TODAY()-PROVEEDORES[[#This Row],[FECHA DE FACTURACIÓN]]-PROVEEDORES[[#This Row],[PLAZO Días]],0)</f>
        <v>0</v>
      </c>
      <c r="U431" s="149" t="str">
        <f>+VLOOKUP(PROVEEDORES[[#This Row],[PROVEEDOR]],Terceros!$A:$E,5,FALSE)</f>
        <v>2,5% con base</v>
      </c>
      <c r="V431" s="150">
        <f>+YEAR(PROVEEDORES[[#This Row],[FECHA DE FACTURACIÓN]])</f>
        <v>2021</v>
      </c>
      <c r="W431" s="150">
        <f>+MATCH(PROVEEDORES[[#This Row],[año facturado]],Retenciones!$1:$1,0)</f>
        <v>4</v>
      </c>
      <c r="X431" s="151">
        <f>+VLOOKUP(PROVEEDORES[[#This Row],[ID RETENCION]],Retenciones!$A$1:$O$24,PROVEEDORES[[#This Row],[indicador de columna]],FALSE)</f>
        <v>980000</v>
      </c>
      <c r="Y431" s="152">
        <f>+VLOOKUP(PROVEEDORES[[#This Row],[ID RETENCION]],Retenciones!$A$1:$O$24,2,FALSE)</f>
        <v>2.5000000000000001E-2</v>
      </c>
      <c r="Z431" s="26"/>
      <c r="AA431" s="26"/>
      <c r="AB431" s="26"/>
      <c r="AC431" s="26"/>
      <c r="AD431" s="26"/>
      <c r="AE431" s="26"/>
    </row>
    <row r="432" spans="1:31" ht="21.95" customHeight="1" x14ac:dyDescent="0.25">
      <c r="A432" s="97" t="str">
        <f>+IF(PROVEEDORES[[#This Row],[FECHA DE PAGO]]=PROVEEDORES[[#This Row],[FECHA DE FACTURACIÓN]],"DE CONTADO","CRÉDITO")</f>
        <v>CRÉDITO</v>
      </c>
      <c r="B432" s="41" t="str">
        <f>+IF((PROVEEDORES[[#This Row],[FECHA DE PAGO]]-PROVEEDORES[[#This Row],[FECHA DE FACTURACIÓN]])&gt;PROVEEDORES[[#This Row],[PLAZO Días]],"PAGO VENCIDO")</f>
        <v>PAGO VENCIDO</v>
      </c>
      <c r="C432" s="22">
        <f>+VLOOKUP(PROVEEDORES[[#This Row],[PROVEEDOR]],TERCEROS_INFO[#All],2,FALSE)</f>
        <v>45</v>
      </c>
      <c r="D432" s="27">
        <f>+SUMIFS(PROVEEDORES[Total],PROVEEDORES[PROVEEDOR],PROVEEDORES[[#This Row],[PROVEEDOR]],PROVEEDORES[FECHA DE PAGO],"")</f>
        <v>37184068.039999999</v>
      </c>
      <c r="E432" s="27"/>
      <c r="F432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432" s="95">
        <v>44407</v>
      </c>
      <c r="H432" s="28" t="s">
        <v>19</v>
      </c>
      <c r="I432" s="95">
        <v>44351</v>
      </c>
      <c r="J432" s="38" t="s">
        <v>388</v>
      </c>
      <c r="K432" s="23">
        <v>1540080</v>
      </c>
      <c r="L432" s="23"/>
      <c r="M432" s="24">
        <v>292615.2</v>
      </c>
      <c r="N432" s="25"/>
      <c r="O432" s="24">
        <v>0</v>
      </c>
      <c r="P432" s="136">
        <f>+IF(PROVEEDORES[[#This Row],[SUBTOTAL]]&lt;PROVEEDORES[[#This Row],[base retencion]],0,PROVEEDORES[[#This Row],[retención aplicada]])</f>
        <v>0</v>
      </c>
      <c r="Q432" s="24">
        <f>+PROVEEDORES[[#This Row],[Rete Fuente %]]*PROVEEDORES[[#This Row],[SUBTOTAL]]</f>
        <v>0</v>
      </c>
      <c r="R432" s="23">
        <v>1832695.2</v>
      </c>
      <c r="S43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2" s="99">
        <f ca="1">IF(PROVEEDORES[[#This Row],[FECHA DE PAGO]]=0,TODAY()-PROVEEDORES[[#This Row],[FECHA DE FACTURACIÓN]]-PROVEEDORES[[#This Row],[PLAZO Días]],0)</f>
        <v>0</v>
      </c>
      <c r="U432" s="149">
        <f>+VLOOKUP(PROVEEDORES[[#This Row],[PROVEEDOR]],Terceros!$A:$E,5,FALSE)</f>
        <v>0</v>
      </c>
      <c r="V432" s="150">
        <f>+YEAR(PROVEEDORES[[#This Row],[FECHA DE FACTURACIÓN]])</f>
        <v>2021</v>
      </c>
      <c r="W432" s="150">
        <f>+MATCH(PROVEEDORES[[#This Row],[año facturado]],Retenciones!$1:$1,0)</f>
        <v>4</v>
      </c>
      <c r="X432" s="151">
        <f>+VLOOKUP(PROVEEDORES[[#This Row],[ID RETENCION]],Retenciones!$A$1:$O$24,PROVEEDORES[[#This Row],[indicador de columna]],FALSE)</f>
        <v>0</v>
      </c>
      <c r="Y432" s="152">
        <f>+VLOOKUP(PROVEEDORES[[#This Row],[ID RETENCION]],Retenciones!$A$1:$O$24,2,FALSE)</f>
        <v>0</v>
      </c>
      <c r="Z432" s="26"/>
      <c r="AA432" s="26"/>
      <c r="AB432" s="26"/>
      <c r="AC432" s="26"/>
      <c r="AD432" s="26"/>
      <c r="AE432" s="26"/>
    </row>
    <row r="433" spans="1:31" ht="21.95" customHeight="1" x14ac:dyDescent="0.25">
      <c r="A433" s="97" t="str">
        <f>+IF(PROVEEDORES[[#This Row],[FECHA DE PAGO]]=PROVEEDORES[[#This Row],[FECHA DE FACTURACIÓN]],"DE CONTADO","CRÉDITO")</f>
        <v>DE CONTADO</v>
      </c>
      <c r="B433" s="41" t="b">
        <f>+IF((PROVEEDORES[[#This Row],[FECHA DE PAGO]]-PROVEEDORES[[#This Row],[FECHA DE FACTURACIÓN]])&gt;PROVEEDORES[[#This Row],[PLAZO Días]],"PAGO VENCIDO")</f>
        <v>0</v>
      </c>
      <c r="C433" s="22">
        <f>+VLOOKUP(PROVEEDORES[[#This Row],[PROVEEDOR]],TERCEROS_INFO[#All],2,FALSE)</f>
        <v>30</v>
      </c>
      <c r="D433" s="27">
        <f>+SUMIFS(PROVEEDORES[Total],PROVEEDORES[PROVEEDOR],PROVEEDORES[[#This Row],[PROVEEDOR]],PROVEEDORES[FECHA DE PAGO],"")</f>
        <v>0</v>
      </c>
      <c r="E433" s="27"/>
      <c r="F433" s="62" t="str">
        <f>+VLOOKUP(PROVEEDORES[[#This Row],[PROVEEDOR]],
                       Terceros!$A:$G,
                       6,
                       FALSE)</f>
        <v/>
      </c>
      <c r="G433" s="95">
        <v>44351</v>
      </c>
      <c r="H433" s="28" t="s">
        <v>1046</v>
      </c>
      <c r="I433" s="95">
        <v>44351</v>
      </c>
      <c r="J433" s="38"/>
      <c r="K433" s="23">
        <v>2000000</v>
      </c>
      <c r="L433" s="23"/>
      <c r="M433" s="24">
        <v>0</v>
      </c>
      <c r="N433" s="25"/>
      <c r="O433" s="24">
        <v>0</v>
      </c>
      <c r="P433" s="136">
        <f>+IF(PROVEEDORES[[#This Row],[SUBTOTAL]]&lt;PROVEEDORES[[#This Row],[base retencion]],0,PROVEEDORES[[#This Row],[retención aplicada]])</f>
        <v>0</v>
      </c>
      <c r="Q433" s="24">
        <f>+PROVEEDORES[[#This Row],[Rete Fuente %]]*PROVEEDORES[[#This Row],[SUBTOTAL]]</f>
        <v>0</v>
      </c>
      <c r="R433" s="23">
        <v>2000000</v>
      </c>
      <c r="S43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3" s="99">
        <f ca="1">IF(PROVEEDORES[[#This Row],[FECHA DE PAGO]]=0,TODAY()-PROVEEDORES[[#This Row],[FECHA DE FACTURACIÓN]]-PROVEEDORES[[#This Row],[PLAZO Días]],0)</f>
        <v>0</v>
      </c>
      <c r="U433" s="149">
        <f>+VLOOKUP(PROVEEDORES[[#This Row],[PROVEEDOR]],Terceros!$A:$E,5,FALSE)</f>
        <v>0</v>
      </c>
      <c r="V433" s="150">
        <f>+YEAR(PROVEEDORES[[#This Row],[FECHA DE FACTURACIÓN]])</f>
        <v>2021</v>
      </c>
      <c r="W433" s="150">
        <f>+MATCH(PROVEEDORES[[#This Row],[año facturado]],Retenciones!$1:$1,0)</f>
        <v>4</v>
      </c>
      <c r="X433" s="151">
        <f>+VLOOKUP(PROVEEDORES[[#This Row],[ID RETENCION]],Retenciones!$A$1:$O$24,PROVEEDORES[[#This Row],[indicador de columna]],FALSE)</f>
        <v>0</v>
      </c>
      <c r="Y433" s="152">
        <f>+VLOOKUP(PROVEEDORES[[#This Row],[ID RETENCION]],Retenciones!$A$1:$O$24,2,FALSE)</f>
        <v>0</v>
      </c>
      <c r="Z433" s="26"/>
      <c r="AA433" s="26"/>
      <c r="AB433" s="26"/>
      <c r="AC433" s="26"/>
      <c r="AD433" s="26"/>
      <c r="AE433" s="26"/>
    </row>
    <row r="434" spans="1:31" ht="21.95" customHeight="1" x14ac:dyDescent="0.25">
      <c r="A434" s="97" t="str">
        <f>+IF(PROVEEDORES[[#This Row],[FECHA DE PAGO]]=PROVEEDORES[[#This Row],[FECHA DE FACTURACIÓN]],"DE CONTADO","CRÉDITO")</f>
        <v>CRÉDITO</v>
      </c>
      <c r="B434" s="41" t="str">
        <f>+IF((PROVEEDORES[[#This Row],[FECHA DE PAGO]]-PROVEEDORES[[#This Row],[FECHA DE FACTURACIÓN]])&gt;PROVEEDORES[[#This Row],[PLAZO Días]],"PAGO VENCIDO")</f>
        <v>PAGO VENCIDO</v>
      </c>
      <c r="C434" s="22">
        <f>+VLOOKUP(PROVEEDORES[[#This Row],[PROVEEDOR]],TERCEROS_INFO[#All],2,FALSE)</f>
        <v>30</v>
      </c>
      <c r="D434" s="27">
        <f>+SUMIFS(PROVEEDORES[Total],PROVEEDORES[PROVEEDOR],PROVEEDORES[[#This Row],[PROVEEDOR]],PROVEEDORES[FECHA DE PAGO],"")</f>
        <v>627113.34</v>
      </c>
      <c r="E434" s="27"/>
      <c r="F434" s="62" t="str">
        <f>+VLOOKUP(PROVEEDORES[[#This Row],[PROVEEDOR]],
                       Terceros!$A:$G,
                       6,
                       FALSE)</f>
        <v>ventas@ismartsas.com;girlesa.ruiz@servipilas.com;joriescobar64@gmail.com</v>
      </c>
      <c r="G434" s="95">
        <v>44403</v>
      </c>
      <c r="H434" s="28" t="s">
        <v>48</v>
      </c>
      <c r="I434" s="95">
        <v>44352</v>
      </c>
      <c r="J434" s="38" t="s">
        <v>409</v>
      </c>
      <c r="K434" s="23">
        <v>-42300</v>
      </c>
      <c r="L434" s="23"/>
      <c r="M434" s="24">
        <v>-8037</v>
      </c>
      <c r="N434" s="25"/>
      <c r="O434" s="24">
        <v>0</v>
      </c>
      <c r="P434" s="136">
        <f>+IF(PROVEEDORES[[#This Row],[SUBTOTAL]]&lt;PROVEEDORES[[#This Row],[base retencion]],0,PROVEEDORES[[#This Row],[retención aplicada]])</f>
        <v>0</v>
      </c>
      <c r="Q434" s="24">
        <f>+PROVEEDORES[[#This Row],[Rete Fuente %]]*PROVEEDORES[[#This Row],[SUBTOTAL]]</f>
        <v>0</v>
      </c>
      <c r="R434" s="23">
        <v>-50337</v>
      </c>
      <c r="S43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4" s="99">
        <f ca="1">IF(PROVEEDORES[[#This Row],[FECHA DE PAGO]]=0,TODAY()-PROVEEDORES[[#This Row],[FECHA DE FACTURACIÓN]]-PROVEEDORES[[#This Row],[PLAZO Días]],0)</f>
        <v>0</v>
      </c>
      <c r="U434" s="149" t="str">
        <f>+VLOOKUP(PROVEEDORES[[#This Row],[PROVEEDOR]],Terceros!$A:$E,5,FALSE)</f>
        <v>2,5% con base</v>
      </c>
      <c r="V434" s="150">
        <f>+YEAR(PROVEEDORES[[#This Row],[FECHA DE FACTURACIÓN]])</f>
        <v>2021</v>
      </c>
      <c r="W434" s="150">
        <f>+MATCH(PROVEEDORES[[#This Row],[año facturado]],Retenciones!$1:$1,0)</f>
        <v>4</v>
      </c>
      <c r="X434" s="151">
        <f>+VLOOKUP(PROVEEDORES[[#This Row],[ID RETENCION]],Retenciones!$A$1:$O$24,PROVEEDORES[[#This Row],[indicador de columna]],FALSE)</f>
        <v>980000</v>
      </c>
      <c r="Y434" s="152">
        <f>+VLOOKUP(PROVEEDORES[[#This Row],[ID RETENCION]],Retenciones!$A$1:$O$24,2,FALSE)</f>
        <v>2.5000000000000001E-2</v>
      </c>
      <c r="Z434" s="26"/>
      <c r="AA434" s="26"/>
      <c r="AB434" s="26"/>
      <c r="AC434" s="26"/>
      <c r="AD434" s="26"/>
      <c r="AE434" s="26"/>
    </row>
    <row r="435" spans="1:31" ht="21.95" customHeight="1" x14ac:dyDescent="0.25">
      <c r="A435" s="97" t="str">
        <f>+IF(PROVEEDORES[[#This Row],[FECHA DE PAGO]]=PROVEEDORES[[#This Row],[FECHA DE FACTURACIÓN]],"DE CONTADO","CRÉDITO")</f>
        <v>CRÉDITO</v>
      </c>
      <c r="B435" s="41" t="str">
        <f>+IF((PROVEEDORES[[#This Row],[FECHA DE PAGO]]-PROVEEDORES[[#This Row],[FECHA DE FACTURACIÓN]])&gt;PROVEEDORES[[#This Row],[PLAZO Días]],"PAGO VENCIDO")</f>
        <v>PAGO VENCIDO</v>
      </c>
      <c r="C435" s="22">
        <f>+VLOOKUP(PROVEEDORES[[#This Row],[PROVEEDOR]],TERCEROS_INFO[#All],2,FALSE)</f>
        <v>30</v>
      </c>
      <c r="D435" s="27">
        <f>+SUMIFS(PROVEEDORES[Total],PROVEEDORES[PROVEEDOR],PROVEEDORES[[#This Row],[PROVEEDOR]],PROVEEDORES[FECHA DE PAGO],"")</f>
        <v>627113.34</v>
      </c>
      <c r="E435" s="27"/>
      <c r="F435" s="62" t="str">
        <f>+VLOOKUP(PROVEEDORES[[#This Row],[PROVEEDOR]],
                       Terceros!$A:$G,
                       6,
                       FALSE)</f>
        <v>ventas@ismartsas.com;girlesa.ruiz@servipilas.com;joriescobar64@gmail.com</v>
      </c>
      <c r="G435" s="95">
        <v>44403</v>
      </c>
      <c r="H435" s="28" t="s">
        <v>48</v>
      </c>
      <c r="I435" s="95">
        <v>44352</v>
      </c>
      <c r="J435" s="38">
        <v>28795</v>
      </c>
      <c r="K435" s="23">
        <v>910879</v>
      </c>
      <c r="L435" s="23"/>
      <c r="M435" s="24">
        <v>173067.01</v>
      </c>
      <c r="N435" s="25"/>
      <c r="O435" s="24">
        <v>0</v>
      </c>
      <c r="P435" s="136">
        <f>+IF(PROVEEDORES[[#This Row],[SUBTOTAL]]&lt;PROVEEDORES[[#This Row],[base retencion]],0,PROVEEDORES[[#This Row],[retención aplicada]])</f>
        <v>0</v>
      </c>
      <c r="Q435" s="24">
        <f>+PROVEEDORES[[#This Row],[Rete Fuente %]]*PROVEEDORES[[#This Row],[SUBTOTAL]]</f>
        <v>0</v>
      </c>
      <c r="R435" s="23">
        <v>1083946.01</v>
      </c>
      <c r="S43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5" s="99">
        <f ca="1">IF(PROVEEDORES[[#This Row],[FECHA DE PAGO]]=0,TODAY()-PROVEEDORES[[#This Row],[FECHA DE FACTURACIÓN]]-PROVEEDORES[[#This Row],[PLAZO Días]],0)</f>
        <v>0</v>
      </c>
      <c r="U435" s="149" t="str">
        <f>+VLOOKUP(PROVEEDORES[[#This Row],[PROVEEDOR]],Terceros!$A:$E,5,FALSE)</f>
        <v>2,5% con base</v>
      </c>
      <c r="V435" s="150">
        <f>+YEAR(PROVEEDORES[[#This Row],[FECHA DE FACTURACIÓN]])</f>
        <v>2021</v>
      </c>
      <c r="W435" s="150">
        <f>+MATCH(PROVEEDORES[[#This Row],[año facturado]],Retenciones!$1:$1,0)</f>
        <v>4</v>
      </c>
      <c r="X435" s="151">
        <f>+VLOOKUP(PROVEEDORES[[#This Row],[ID RETENCION]],Retenciones!$A$1:$O$24,PROVEEDORES[[#This Row],[indicador de columna]],FALSE)</f>
        <v>980000</v>
      </c>
      <c r="Y435" s="152">
        <f>+VLOOKUP(PROVEEDORES[[#This Row],[ID RETENCION]],Retenciones!$A$1:$O$24,2,FALSE)</f>
        <v>2.5000000000000001E-2</v>
      </c>
      <c r="Z435" s="26"/>
      <c r="AA435" s="26"/>
      <c r="AB435" s="26"/>
      <c r="AC435" s="26"/>
      <c r="AD435" s="26"/>
      <c r="AE435" s="26"/>
    </row>
    <row r="436" spans="1:31" ht="21.95" customHeight="1" x14ac:dyDescent="0.25">
      <c r="A436" s="97" t="str">
        <f>+IF(PROVEEDORES[[#This Row],[FECHA DE PAGO]]=PROVEEDORES[[#This Row],[FECHA DE FACTURACIÓN]],"DE CONTADO","CRÉDITO")</f>
        <v>CRÉDITO</v>
      </c>
      <c r="B436" s="41" t="b">
        <f>+IF((PROVEEDORES[[#This Row],[FECHA DE PAGO]]-PROVEEDORES[[#This Row],[FECHA DE FACTURACIÓN]])&gt;PROVEEDORES[[#This Row],[PLAZO Días]],"PAGO VENCIDO")</f>
        <v>0</v>
      </c>
      <c r="C436" s="22">
        <f>+VLOOKUP(PROVEEDORES[[#This Row],[PROVEEDOR]],TERCEROS_INFO[#All],2,FALSE)</f>
        <v>30</v>
      </c>
      <c r="D436" s="27">
        <f>+SUMIFS(PROVEEDORES[Total],PROVEEDORES[PROVEEDOR],PROVEEDORES[[#This Row],[PROVEEDOR]],PROVEEDORES[FECHA DE PAGO],"")</f>
        <v>264406</v>
      </c>
      <c r="E436" s="27"/>
      <c r="F436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436" s="95">
        <v>44355</v>
      </c>
      <c r="H436" s="28" t="s">
        <v>390</v>
      </c>
      <c r="I436" s="95">
        <v>44354</v>
      </c>
      <c r="J436" s="38">
        <v>282538</v>
      </c>
      <c r="K436" s="23">
        <v>1361000</v>
      </c>
      <c r="L436" s="23"/>
      <c r="M436" s="24">
        <v>0</v>
      </c>
      <c r="N436" s="25"/>
      <c r="O436" s="24">
        <v>0</v>
      </c>
      <c r="P436" s="136">
        <f>+IF(PROVEEDORES[[#This Row],[SUBTOTAL]]&lt;PROVEEDORES[[#This Row],[base retencion]],0,PROVEEDORES[[#This Row],[retención aplicada]])</f>
        <v>0</v>
      </c>
      <c r="Q436" s="24">
        <f>+PROVEEDORES[[#This Row],[Rete Fuente %]]*PROVEEDORES[[#This Row],[SUBTOTAL]]</f>
        <v>0</v>
      </c>
      <c r="R436" s="23">
        <v>1361000</v>
      </c>
      <c r="S43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6" s="99">
        <f ca="1">IF(PROVEEDORES[[#This Row],[FECHA DE PAGO]]=0,TODAY()-PROVEEDORES[[#This Row],[FECHA DE FACTURACIÓN]]-PROVEEDORES[[#This Row],[PLAZO Días]],0)</f>
        <v>0</v>
      </c>
      <c r="U436" s="149">
        <f>+VLOOKUP(PROVEEDORES[[#This Row],[PROVEEDOR]],Terceros!$A:$E,5,FALSE)</f>
        <v>0</v>
      </c>
      <c r="V436" s="150">
        <f>+YEAR(PROVEEDORES[[#This Row],[FECHA DE FACTURACIÓN]])</f>
        <v>2021</v>
      </c>
      <c r="W436" s="150">
        <f>+MATCH(PROVEEDORES[[#This Row],[año facturado]],Retenciones!$1:$1,0)</f>
        <v>4</v>
      </c>
      <c r="X436" s="151">
        <f>+VLOOKUP(PROVEEDORES[[#This Row],[ID RETENCION]],Retenciones!$A$1:$O$24,PROVEEDORES[[#This Row],[indicador de columna]],FALSE)</f>
        <v>0</v>
      </c>
      <c r="Y436" s="152">
        <f>+VLOOKUP(PROVEEDORES[[#This Row],[ID RETENCION]],Retenciones!$A$1:$O$24,2,FALSE)</f>
        <v>0</v>
      </c>
      <c r="Z436" s="26"/>
      <c r="AA436" s="26"/>
      <c r="AB436" s="26"/>
      <c r="AC436" s="26"/>
      <c r="AD436" s="26"/>
      <c r="AE436" s="26"/>
    </row>
    <row r="437" spans="1:31" ht="21.95" customHeight="1" x14ac:dyDescent="0.25">
      <c r="A437" s="97" t="str">
        <f>+IF(PROVEEDORES[[#This Row],[FECHA DE PAGO]]=PROVEEDORES[[#This Row],[FECHA DE FACTURACIÓN]],"DE CONTADO","CRÉDITO")</f>
        <v>CRÉDITO</v>
      </c>
      <c r="B437" s="41" t="b">
        <f>+IF((PROVEEDORES[[#This Row],[FECHA DE PAGO]]-PROVEEDORES[[#This Row],[FECHA DE FACTURACIÓN]])&gt;PROVEEDORES[[#This Row],[PLAZO Días]],"PAGO VENCIDO")</f>
        <v>0</v>
      </c>
      <c r="C437" s="22">
        <f>+VLOOKUP(PROVEEDORES[[#This Row],[PROVEEDOR]],TERCEROS_INFO[#All],2,FALSE)</f>
        <v>10</v>
      </c>
      <c r="D437" s="27">
        <f>+SUMIFS(PROVEEDORES[Total],PROVEEDORES[PROVEEDOR],PROVEEDORES[[#This Row],[PROVEEDOR]],PROVEEDORES[FECHA DE PAGO],"")</f>
        <v>0</v>
      </c>
      <c r="E437" s="27"/>
      <c r="F437" s="62">
        <f>+VLOOKUP(PROVEEDORES[[#This Row],[PROVEEDOR]],
                       Terceros!$A:$G,
                       6,
                       FALSE)</f>
        <v>0</v>
      </c>
      <c r="G437" s="95">
        <v>44355</v>
      </c>
      <c r="H437" s="28" t="s">
        <v>391</v>
      </c>
      <c r="I437" s="95">
        <v>44354</v>
      </c>
      <c r="J437" s="38">
        <v>282538</v>
      </c>
      <c r="K437" s="23">
        <v>2188000</v>
      </c>
      <c r="L437" s="23"/>
      <c r="M437" s="24">
        <v>0</v>
      </c>
      <c r="N437" s="25"/>
      <c r="O437" s="24">
        <v>0</v>
      </c>
      <c r="P437" s="136">
        <f>+IF(PROVEEDORES[[#This Row],[SUBTOTAL]]&lt;PROVEEDORES[[#This Row],[base retencion]],0,PROVEEDORES[[#This Row],[retención aplicada]])</f>
        <v>0</v>
      </c>
      <c r="Q437" s="24">
        <f>+PROVEEDORES[[#This Row],[Rete Fuente %]]*PROVEEDORES[[#This Row],[SUBTOTAL]]</f>
        <v>0</v>
      </c>
      <c r="R437" s="23">
        <v>2188000</v>
      </c>
      <c r="S43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7" s="99">
        <f ca="1">IF(PROVEEDORES[[#This Row],[FECHA DE PAGO]]=0,TODAY()-PROVEEDORES[[#This Row],[FECHA DE FACTURACIÓN]]-PROVEEDORES[[#This Row],[PLAZO Días]],0)</f>
        <v>0</v>
      </c>
      <c r="U437" s="149">
        <f>+VLOOKUP(PROVEEDORES[[#This Row],[PROVEEDOR]],Terceros!$A:$E,5,FALSE)</f>
        <v>0</v>
      </c>
      <c r="V437" s="150">
        <f>+YEAR(PROVEEDORES[[#This Row],[FECHA DE FACTURACIÓN]])</f>
        <v>2021</v>
      </c>
      <c r="W437" s="150">
        <f>+MATCH(PROVEEDORES[[#This Row],[año facturado]],Retenciones!$1:$1,0)</f>
        <v>4</v>
      </c>
      <c r="X437" s="151">
        <f>+VLOOKUP(PROVEEDORES[[#This Row],[ID RETENCION]],Retenciones!$A$1:$O$24,PROVEEDORES[[#This Row],[indicador de columna]],FALSE)</f>
        <v>0</v>
      </c>
      <c r="Y437" s="152">
        <f>+VLOOKUP(PROVEEDORES[[#This Row],[ID RETENCION]],Retenciones!$A$1:$O$24,2,FALSE)</f>
        <v>0</v>
      </c>
      <c r="Z437" s="26"/>
      <c r="AA437" s="26"/>
      <c r="AB437" s="26"/>
      <c r="AC437" s="26"/>
      <c r="AD437" s="26"/>
      <c r="AE437" s="26"/>
    </row>
    <row r="438" spans="1:31" ht="21.95" customHeight="1" x14ac:dyDescent="0.25">
      <c r="A438" s="97" t="str">
        <f>+IF(PROVEEDORES[[#This Row],[FECHA DE PAGO]]=PROVEEDORES[[#This Row],[FECHA DE FACTURACIÓN]],"DE CONTADO","CRÉDITO")</f>
        <v>CRÉDITO</v>
      </c>
      <c r="B438" s="41" t="str">
        <f>+IF((PROVEEDORES[[#This Row],[FECHA DE PAGO]]-PROVEEDORES[[#This Row],[FECHA DE FACTURACIÓN]])&gt;PROVEEDORES[[#This Row],[PLAZO Días]],"PAGO VENCIDO")</f>
        <v>PAGO VENCIDO</v>
      </c>
      <c r="C438" s="22">
        <f>+VLOOKUP(PROVEEDORES[[#This Row],[PROVEEDOR]],TERCEROS_INFO[#All],2,FALSE)</f>
        <v>30</v>
      </c>
      <c r="D438" s="27">
        <f>+SUMIFS(PROVEEDORES[Total],PROVEEDORES[PROVEEDOR],PROVEEDORES[[#This Row],[PROVEEDOR]],PROVEEDORES[FECHA DE PAGO],"")</f>
        <v>6151200</v>
      </c>
      <c r="E438" s="27"/>
      <c r="F438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438" s="95">
        <v>44403</v>
      </c>
      <c r="H438" s="28" t="s">
        <v>11</v>
      </c>
      <c r="I438" s="95">
        <v>44355</v>
      </c>
      <c r="J438" s="38" t="s">
        <v>393</v>
      </c>
      <c r="K438" s="23">
        <v>126050</v>
      </c>
      <c r="L438" s="23"/>
      <c r="M438" s="24">
        <v>23949.5</v>
      </c>
      <c r="N438" s="25"/>
      <c r="O438" s="24">
        <v>0</v>
      </c>
      <c r="P438" s="136">
        <f>+IF(PROVEEDORES[[#This Row],[SUBTOTAL]]&lt;PROVEEDORES[[#This Row],[base retencion]],0,PROVEEDORES[[#This Row],[retención aplicada]])</f>
        <v>0</v>
      </c>
      <c r="Q438" s="24">
        <f>+PROVEEDORES[[#This Row],[Rete Fuente %]]*PROVEEDORES[[#This Row],[SUBTOTAL]]</f>
        <v>0</v>
      </c>
      <c r="R438" s="23">
        <v>149999.5</v>
      </c>
      <c r="S43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8" s="99">
        <f ca="1">IF(PROVEEDORES[[#This Row],[FECHA DE PAGO]]=0,TODAY()-PROVEEDORES[[#This Row],[FECHA DE FACTURACIÓN]]-PROVEEDORES[[#This Row],[PLAZO Días]],0)</f>
        <v>0</v>
      </c>
      <c r="U438" s="149" t="str">
        <f>+VLOOKUP(PROVEEDORES[[#This Row],[PROVEEDOR]],Terceros!$A:$E,5,FALSE)</f>
        <v>2,5% con base</v>
      </c>
      <c r="V438" s="150">
        <f>+YEAR(PROVEEDORES[[#This Row],[FECHA DE FACTURACIÓN]])</f>
        <v>2021</v>
      </c>
      <c r="W438" s="150">
        <f>+MATCH(PROVEEDORES[[#This Row],[año facturado]],Retenciones!$1:$1,0)</f>
        <v>4</v>
      </c>
      <c r="X438" s="151">
        <f>+VLOOKUP(PROVEEDORES[[#This Row],[ID RETENCION]],Retenciones!$A$1:$O$24,PROVEEDORES[[#This Row],[indicador de columna]],FALSE)</f>
        <v>980000</v>
      </c>
      <c r="Y438" s="152">
        <f>+VLOOKUP(PROVEEDORES[[#This Row],[ID RETENCION]],Retenciones!$A$1:$O$24,2,FALSE)</f>
        <v>2.5000000000000001E-2</v>
      </c>
      <c r="Z438" s="26"/>
      <c r="AA438" s="26"/>
      <c r="AB438" s="26"/>
      <c r="AC438" s="26"/>
      <c r="AD438" s="26"/>
      <c r="AE438" s="26"/>
    </row>
    <row r="439" spans="1:31" ht="21.95" customHeight="1" x14ac:dyDescent="0.25">
      <c r="A439" s="97" t="str">
        <f>+IF(PROVEEDORES[[#This Row],[FECHA DE PAGO]]=PROVEEDORES[[#This Row],[FECHA DE FACTURACIÓN]],"DE CONTADO","CRÉDITO")</f>
        <v>CRÉDITO</v>
      </c>
      <c r="B439" s="41" t="str">
        <f>+IF((PROVEEDORES[[#This Row],[FECHA DE PAGO]]-PROVEEDORES[[#This Row],[FECHA DE FACTURACIÓN]])&gt;PROVEEDORES[[#This Row],[PLAZO Días]],"PAGO VENCIDO")</f>
        <v>PAGO VENCIDO</v>
      </c>
      <c r="C439" s="22">
        <f>+VLOOKUP(PROVEEDORES[[#This Row],[PROVEEDOR]],TERCEROS_INFO[#All],2,FALSE)</f>
        <v>30</v>
      </c>
      <c r="D439" s="27">
        <f>+SUMIFS(PROVEEDORES[Total],PROVEEDORES[PROVEEDOR],PROVEEDORES[[#This Row],[PROVEEDOR]],PROVEEDORES[FECHA DE PAGO],"")</f>
        <v>144400</v>
      </c>
      <c r="E439" s="27"/>
      <c r="F439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439" s="95">
        <v>44418</v>
      </c>
      <c r="H439" s="28" t="s">
        <v>1071</v>
      </c>
      <c r="I439" s="95">
        <v>44356</v>
      </c>
      <c r="J439" s="38" t="s">
        <v>723</v>
      </c>
      <c r="K439" s="23">
        <v>157700</v>
      </c>
      <c r="L439" s="23"/>
      <c r="M439" s="24">
        <v>0</v>
      </c>
      <c r="N439" s="25"/>
      <c r="O439" s="24">
        <v>0</v>
      </c>
      <c r="P439" s="136">
        <f>+IF(PROVEEDORES[[#This Row],[SUBTOTAL]]&lt;PROVEEDORES[[#This Row],[base retencion]],0,PROVEEDORES[[#This Row],[retención aplicada]])</f>
        <v>0</v>
      </c>
      <c r="Q439" s="24">
        <f>+PROVEEDORES[[#This Row],[Rete Fuente %]]*PROVEEDORES[[#This Row],[SUBTOTAL]]</f>
        <v>0</v>
      </c>
      <c r="R439" s="23">
        <v>157700</v>
      </c>
      <c r="S43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9" s="99">
        <f ca="1">IF(PROVEEDORES[[#This Row],[FECHA DE PAGO]]=0,TODAY()-PROVEEDORES[[#This Row],[FECHA DE FACTURACIÓN]]-PROVEEDORES[[#This Row],[PLAZO Días]],0)</f>
        <v>0</v>
      </c>
      <c r="U439" s="149">
        <f>+VLOOKUP(PROVEEDORES[[#This Row],[PROVEEDOR]],Terceros!$A:$E,5,FALSE)</f>
        <v>0</v>
      </c>
      <c r="V439" s="150">
        <f>+YEAR(PROVEEDORES[[#This Row],[FECHA DE FACTURACIÓN]])</f>
        <v>2021</v>
      </c>
      <c r="W439" s="150">
        <f>+MATCH(PROVEEDORES[[#This Row],[año facturado]],Retenciones!$1:$1,0)</f>
        <v>4</v>
      </c>
      <c r="X439" s="151">
        <f>+VLOOKUP(PROVEEDORES[[#This Row],[ID RETENCION]],Retenciones!$A$1:$O$24,PROVEEDORES[[#This Row],[indicador de columna]],FALSE)</f>
        <v>0</v>
      </c>
      <c r="Y439" s="152">
        <f>+VLOOKUP(PROVEEDORES[[#This Row],[ID RETENCION]],Retenciones!$A$1:$O$24,2,FALSE)</f>
        <v>0</v>
      </c>
      <c r="Z439" s="26"/>
      <c r="AA439" s="26"/>
      <c r="AB439" s="26"/>
      <c r="AC439" s="26"/>
      <c r="AD439" s="26"/>
      <c r="AE439" s="26"/>
    </row>
    <row r="440" spans="1:31" ht="21.95" customHeight="1" x14ac:dyDescent="0.25">
      <c r="A440" s="97" t="str">
        <f>+IF(PROVEEDORES[[#This Row],[FECHA DE PAGO]]=PROVEEDORES[[#This Row],[FECHA DE FACTURACIÓN]],"DE CONTADO","CRÉDITO")</f>
        <v>CRÉDITO</v>
      </c>
      <c r="B440" s="41" t="b">
        <f>+IF((PROVEEDORES[[#This Row],[FECHA DE PAGO]]-PROVEEDORES[[#This Row],[FECHA DE FACTURACIÓN]])&gt;PROVEEDORES[[#This Row],[PLAZO Días]],"PAGO VENCIDO")</f>
        <v>0</v>
      </c>
      <c r="C440" s="22">
        <f>+VLOOKUP(PROVEEDORES[[#This Row],[PROVEEDOR]],TERCEROS_INFO[#All],2,FALSE)</f>
        <v>30</v>
      </c>
      <c r="D440" s="27">
        <f>+SUMIFS(PROVEEDORES[Total],PROVEEDORES[PROVEEDOR],PROVEEDORES[[#This Row],[PROVEEDOR]],PROVEEDORES[FECHA DE PAGO],"")</f>
        <v>275944.33</v>
      </c>
      <c r="E440" s="27"/>
      <c r="F440" s="62" t="str">
        <f>+VLOOKUP(PROVEEDORES[[#This Row],[PROVEEDOR]],
                       Terceros!$A:$G,
                       6,
                       FALSE)</f>
        <v>facturacion@losmolinos.com.co</v>
      </c>
      <c r="G440" s="95">
        <v>44391</v>
      </c>
      <c r="H440" s="28" t="s">
        <v>342</v>
      </c>
      <c r="I440" s="95">
        <v>44378</v>
      </c>
      <c r="J440" s="38">
        <v>63475</v>
      </c>
      <c r="K440" s="23">
        <v>302624.74</v>
      </c>
      <c r="L440" s="23"/>
      <c r="M440" s="24">
        <v>0</v>
      </c>
      <c r="N440" s="25"/>
      <c r="O440" s="24">
        <v>59934.46</v>
      </c>
      <c r="P440" s="136">
        <f>+IF(PROVEEDORES[[#This Row],[SUBTOTAL]]&lt;PROVEEDORES[[#This Row],[base retencion]],0,PROVEEDORES[[#This Row],[retención aplicada]])</f>
        <v>0</v>
      </c>
      <c r="Q440" s="24">
        <f>+PROVEEDORES[[#This Row],[Rete Fuente %]]*PROVEEDORES[[#This Row],[SUBTOTAL]]</f>
        <v>0</v>
      </c>
      <c r="R440" s="23">
        <v>242690.28</v>
      </c>
      <c r="S44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0" s="99">
        <f ca="1">IF(PROVEEDORES[[#This Row],[FECHA DE PAGO]]=0,TODAY()-PROVEEDORES[[#This Row],[FECHA DE FACTURACIÓN]]-PROVEEDORES[[#This Row],[PLAZO Días]],0)</f>
        <v>0</v>
      </c>
      <c r="U440" s="149">
        <f>+VLOOKUP(PROVEEDORES[[#This Row],[PROVEEDOR]],Terceros!$A:$E,5,FALSE)</f>
        <v>0</v>
      </c>
      <c r="V440" s="150">
        <f>+YEAR(PROVEEDORES[[#This Row],[FECHA DE FACTURACIÓN]])</f>
        <v>2021</v>
      </c>
      <c r="W440" s="150">
        <f>+MATCH(PROVEEDORES[[#This Row],[año facturado]],Retenciones!$1:$1,0)</f>
        <v>4</v>
      </c>
      <c r="X440" s="151">
        <f>+VLOOKUP(PROVEEDORES[[#This Row],[ID RETENCION]],Retenciones!$A$1:$O$24,PROVEEDORES[[#This Row],[indicador de columna]],FALSE)</f>
        <v>0</v>
      </c>
      <c r="Y440" s="152">
        <f>+VLOOKUP(PROVEEDORES[[#This Row],[ID RETENCION]],Retenciones!$A$1:$O$24,2,FALSE)</f>
        <v>0</v>
      </c>
      <c r="Z440" s="26"/>
      <c r="AA440" s="26"/>
      <c r="AB440" s="26"/>
      <c r="AC440" s="26"/>
      <c r="AD440" s="26"/>
      <c r="AE440" s="26"/>
    </row>
    <row r="441" spans="1:31" ht="21.95" customHeight="1" x14ac:dyDescent="0.25">
      <c r="A441" s="97" t="str">
        <f>+IF(PROVEEDORES[[#This Row],[FECHA DE PAGO]]=PROVEEDORES[[#This Row],[FECHA DE FACTURACIÓN]],"DE CONTADO","CRÉDITO")</f>
        <v>CRÉDITO</v>
      </c>
      <c r="B441" s="41" t="str">
        <f>+IF((PROVEEDORES[[#This Row],[FECHA DE PAGO]]-PROVEEDORES[[#This Row],[FECHA DE FACTURACIÓN]])&gt;PROVEEDORES[[#This Row],[PLAZO Días]],"PAGO VENCIDO")</f>
        <v>PAGO VENCIDO</v>
      </c>
      <c r="C441" s="22">
        <f>+VLOOKUP(PROVEEDORES[[#This Row],[PROVEEDOR]],TERCEROS_INFO[#All],2,FALSE)</f>
        <v>45</v>
      </c>
      <c r="D441" s="27">
        <f>+SUMIFS(PROVEEDORES[Total],PROVEEDORES[PROVEEDOR],PROVEEDORES[[#This Row],[PROVEEDOR]],PROVEEDORES[FECHA DE PAGO],"")</f>
        <v>3412539.2</v>
      </c>
      <c r="E441" s="27"/>
      <c r="F441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441" s="95">
        <v>44418</v>
      </c>
      <c r="H441" s="28" t="s">
        <v>10</v>
      </c>
      <c r="I441" s="95">
        <v>44356</v>
      </c>
      <c r="J441" s="38" t="s">
        <v>394</v>
      </c>
      <c r="K441" s="23">
        <v>950500</v>
      </c>
      <c r="L441" s="23"/>
      <c r="M441" s="24">
        <v>180595</v>
      </c>
      <c r="N441" s="25"/>
      <c r="O441" s="24">
        <v>0</v>
      </c>
      <c r="P441" s="136">
        <f>+IF(PROVEEDORES[[#This Row],[SUBTOTAL]]&lt;PROVEEDORES[[#This Row],[base retencion]],0,PROVEEDORES[[#This Row],[retención aplicada]])</f>
        <v>0</v>
      </c>
      <c r="Q441" s="24">
        <f>+PROVEEDORES[[#This Row],[Rete Fuente %]]*PROVEEDORES[[#This Row],[SUBTOTAL]]</f>
        <v>0</v>
      </c>
      <c r="R441" s="23">
        <v>1131095</v>
      </c>
      <c r="S44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1" s="99">
        <f ca="1">IF(PROVEEDORES[[#This Row],[FECHA DE PAGO]]=0,TODAY()-PROVEEDORES[[#This Row],[FECHA DE FACTURACIÓN]]-PROVEEDORES[[#This Row],[PLAZO Días]],0)</f>
        <v>0</v>
      </c>
      <c r="U441" s="149">
        <f>+VLOOKUP(PROVEEDORES[[#This Row],[PROVEEDOR]],Terceros!$A:$E,5,FALSE)</f>
        <v>0</v>
      </c>
      <c r="V441" s="150">
        <f>+YEAR(PROVEEDORES[[#This Row],[FECHA DE FACTURACIÓN]])</f>
        <v>2021</v>
      </c>
      <c r="W441" s="150">
        <f>+MATCH(PROVEEDORES[[#This Row],[año facturado]],Retenciones!$1:$1,0)</f>
        <v>4</v>
      </c>
      <c r="X441" s="151">
        <f>+VLOOKUP(PROVEEDORES[[#This Row],[ID RETENCION]],Retenciones!$A$1:$O$24,PROVEEDORES[[#This Row],[indicador de columna]],FALSE)</f>
        <v>0</v>
      </c>
      <c r="Y441" s="152">
        <f>+VLOOKUP(PROVEEDORES[[#This Row],[ID RETENCION]],Retenciones!$A$1:$O$24,2,FALSE)</f>
        <v>0</v>
      </c>
      <c r="Z441" s="26"/>
      <c r="AA441" s="26"/>
      <c r="AB441" s="26"/>
      <c r="AC441" s="26"/>
      <c r="AD441" s="26"/>
      <c r="AE441" s="26"/>
    </row>
    <row r="442" spans="1:31" ht="21.95" customHeight="1" x14ac:dyDescent="0.25">
      <c r="A442" s="97" t="str">
        <f>+IF(PROVEEDORES[[#This Row],[FECHA DE PAGO]]=PROVEEDORES[[#This Row],[FECHA DE FACTURACIÓN]],"DE CONTADO","CRÉDITO")</f>
        <v>CRÉDITO</v>
      </c>
      <c r="B442" s="41" t="b">
        <f>+IF((PROVEEDORES[[#This Row],[FECHA DE PAGO]]-PROVEEDORES[[#This Row],[FECHA DE FACTURACIÓN]])&gt;PROVEEDORES[[#This Row],[PLAZO Días]],"PAGO VENCIDO")</f>
        <v>0</v>
      </c>
      <c r="C442" s="22">
        <f>+VLOOKUP(PROVEEDORES[[#This Row],[PROVEEDOR]],TERCEROS_INFO[#All],2,FALSE)</f>
        <v>30</v>
      </c>
      <c r="D442" s="27">
        <f>+SUMIFS(PROVEEDORES[Total],PROVEEDORES[PROVEEDOR],PROVEEDORES[[#This Row],[PROVEEDOR]],PROVEEDORES[FECHA DE PAGO],"")</f>
        <v>144400</v>
      </c>
      <c r="E442" s="27"/>
      <c r="F442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442" s="95">
        <v>44385</v>
      </c>
      <c r="H442" s="28" t="s">
        <v>1071</v>
      </c>
      <c r="I442" s="95">
        <v>44356</v>
      </c>
      <c r="J442" s="38">
        <v>2811</v>
      </c>
      <c r="K442" s="23">
        <v>1574200</v>
      </c>
      <c r="L442" s="23"/>
      <c r="M442" s="24">
        <v>0</v>
      </c>
      <c r="N442" s="25"/>
      <c r="O442" s="24">
        <v>0</v>
      </c>
      <c r="P442" s="136">
        <f>+IF(PROVEEDORES[[#This Row],[SUBTOTAL]]&lt;PROVEEDORES[[#This Row],[base retencion]],0,PROVEEDORES[[#This Row],[retención aplicada]])</f>
        <v>0</v>
      </c>
      <c r="Q442" s="24">
        <f>+PROVEEDORES[[#This Row],[Rete Fuente %]]*PROVEEDORES[[#This Row],[SUBTOTAL]]</f>
        <v>0</v>
      </c>
      <c r="R442" s="23">
        <v>1574200</v>
      </c>
      <c r="S44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2" s="99">
        <f ca="1">IF(PROVEEDORES[[#This Row],[FECHA DE PAGO]]=0,TODAY()-PROVEEDORES[[#This Row],[FECHA DE FACTURACIÓN]]-PROVEEDORES[[#This Row],[PLAZO Días]],0)</f>
        <v>0</v>
      </c>
      <c r="U442" s="149">
        <f>+VLOOKUP(PROVEEDORES[[#This Row],[PROVEEDOR]],Terceros!$A:$E,5,FALSE)</f>
        <v>0</v>
      </c>
      <c r="V442" s="150">
        <f>+YEAR(PROVEEDORES[[#This Row],[FECHA DE FACTURACIÓN]])</f>
        <v>2021</v>
      </c>
      <c r="W442" s="150">
        <f>+MATCH(PROVEEDORES[[#This Row],[año facturado]],Retenciones!$1:$1,0)</f>
        <v>4</v>
      </c>
      <c r="X442" s="151">
        <f>+VLOOKUP(PROVEEDORES[[#This Row],[ID RETENCION]],Retenciones!$A$1:$O$24,PROVEEDORES[[#This Row],[indicador de columna]],FALSE)</f>
        <v>0</v>
      </c>
      <c r="Y442" s="152">
        <f>+VLOOKUP(PROVEEDORES[[#This Row],[ID RETENCION]],Retenciones!$A$1:$O$24,2,FALSE)</f>
        <v>0</v>
      </c>
      <c r="Z442" s="26"/>
      <c r="AA442" s="26"/>
      <c r="AB442" s="26"/>
      <c r="AC442" s="26"/>
      <c r="AD442" s="26"/>
      <c r="AE442" s="26"/>
    </row>
    <row r="443" spans="1:31" ht="21.95" customHeight="1" x14ac:dyDescent="0.25">
      <c r="A443" s="97" t="str">
        <f>+IF(PROVEEDORES[[#This Row],[FECHA DE PAGO]]=PROVEEDORES[[#This Row],[FECHA DE FACTURACIÓN]],"DE CONTADO","CRÉDITO")</f>
        <v>CRÉDITO</v>
      </c>
      <c r="B443" s="41" t="b">
        <f>+IF((PROVEEDORES[[#This Row],[FECHA DE PAGO]]-PROVEEDORES[[#This Row],[FECHA DE FACTURACIÓN]])&gt;PROVEEDORES[[#This Row],[PLAZO Días]],"PAGO VENCIDO")</f>
        <v>0</v>
      </c>
      <c r="C443" s="22">
        <f>+VLOOKUP(PROVEEDORES[[#This Row],[PROVEEDOR]],TERCEROS_INFO[#All],2,FALSE)</f>
        <v>20</v>
      </c>
      <c r="D443" s="27">
        <f>+SUMIFS(PROVEEDORES[Total],PROVEEDORES[PROVEEDOR],PROVEEDORES[[#This Row],[PROVEEDOR]],PROVEEDORES[FECHA DE PAGO],"")</f>
        <v>0</v>
      </c>
      <c r="E443" s="27"/>
      <c r="F443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443" s="95">
        <v>44363</v>
      </c>
      <c r="H443" s="28" t="s">
        <v>397</v>
      </c>
      <c r="I443" s="95">
        <v>44356</v>
      </c>
      <c r="J443" s="38" t="s">
        <v>493</v>
      </c>
      <c r="K443" s="23">
        <v>2780307.3756302525</v>
      </c>
      <c r="L443" s="23"/>
      <c r="M443" s="24">
        <v>528258.40136974794</v>
      </c>
      <c r="N443" s="25"/>
      <c r="O443" s="24">
        <v>0</v>
      </c>
      <c r="P443" s="136">
        <f>+IF(PROVEEDORES[[#This Row],[SUBTOTAL]]&lt;PROVEEDORES[[#This Row],[base retencion]],0,PROVEEDORES[[#This Row],[retención aplicada]])</f>
        <v>0.04</v>
      </c>
      <c r="Q443" s="24">
        <f>+PROVEEDORES[[#This Row],[Rete Fuente %]]*PROVEEDORES[[#This Row],[SUBTOTAL]]</f>
        <v>111212.2950252101</v>
      </c>
      <c r="R443" s="23">
        <v>3289442.7770000007</v>
      </c>
      <c r="S44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3" s="99">
        <f ca="1">IF(PROVEEDORES[[#This Row],[FECHA DE PAGO]]=0,TODAY()-PROVEEDORES[[#This Row],[FECHA DE FACTURACIÓN]]-PROVEEDORES[[#This Row],[PLAZO Días]],0)</f>
        <v>0</v>
      </c>
      <c r="U443" s="149" t="str">
        <f>+VLOOKUP(PROVEEDORES[[#This Row],[PROVEEDOR]],Terceros!$A:$E,5,FALSE)</f>
        <v>4% sin base</v>
      </c>
      <c r="V443" s="150">
        <f>+YEAR(PROVEEDORES[[#This Row],[FECHA DE FACTURACIÓN]])</f>
        <v>2021</v>
      </c>
      <c r="W443" s="150">
        <f>+MATCH(PROVEEDORES[[#This Row],[año facturado]],Retenciones!$1:$1,0)</f>
        <v>4</v>
      </c>
      <c r="X443" s="151">
        <f>+VLOOKUP(PROVEEDORES[[#This Row],[ID RETENCION]],Retenciones!$A$1:$O$24,PROVEEDORES[[#This Row],[indicador de columna]],FALSE)</f>
        <v>0</v>
      </c>
      <c r="Y443" s="152">
        <f>+VLOOKUP(PROVEEDORES[[#This Row],[ID RETENCION]],Retenciones!$A$1:$O$24,2,FALSE)</f>
        <v>0.04</v>
      </c>
      <c r="Z443" s="26"/>
      <c r="AA443" s="26"/>
      <c r="AB443" s="26"/>
      <c r="AC443" s="26"/>
      <c r="AD443" s="26"/>
      <c r="AE443" s="26"/>
    </row>
    <row r="444" spans="1:31" ht="21.95" customHeight="1" x14ac:dyDescent="0.25">
      <c r="A444" s="97" t="str">
        <f>+IF(PROVEEDORES[[#This Row],[FECHA DE PAGO]]=PROVEEDORES[[#This Row],[FECHA DE FACTURACIÓN]],"DE CONTADO","CRÉDITO")</f>
        <v>DE CONTADO</v>
      </c>
      <c r="B444" s="41" t="b">
        <f>+IF((PROVEEDORES[[#This Row],[FECHA DE PAGO]]-PROVEEDORES[[#This Row],[FECHA DE FACTURACIÓN]])&gt;PROVEEDORES[[#This Row],[PLAZO Días]],"PAGO VENCIDO")</f>
        <v>0</v>
      </c>
      <c r="C444" s="22">
        <f>+VLOOKUP(PROVEEDORES[[#This Row],[PROVEEDOR]],TERCEROS_INFO[#All],2,FALSE)</f>
        <v>30</v>
      </c>
      <c r="D444" s="27">
        <f>+SUMIFS(PROVEEDORES[Total],PROVEEDORES[PROVEEDOR],PROVEEDORES[[#This Row],[PROVEEDOR]],PROVEEDORES[FECHA DE PAGO],"")</f>
        <v>0</v>
      </c>
      <c r="E444" s="27"/>
      <c r="F444" s="62" t="str">
        <f>+VLOOKUP(PROVEEDORES[[#This Row],[PROVEEDOR]],
                       Terceros!$A:$G,
                       6,
                       FALSE)</f>
        <v/>
      </c>
      <c r="G444" s="95">
        <v>44357</v>
      </c>
      <c r="H444" s="28" t="s">
        <v>1060</v>
      </c>
      <c r="I444" s="95">
        <v>44357</v>
      </c>
      <c r="J444" s="38" t="s">
        <v>725</v>
      </c>
      <c r="K444" s="23">
        <v>160000</v>
      </c>
      <c r="L444" s="23"/>
      <c r="M444" s="24">
        <v>0</v>
      </c>
      <c r="N444" s="25"/>
      <c r="O444" s="24">
        <v>0</v>
      </c>
      <c r="P444" s="136">
        <f>+IF(PROVEEDORES[[#This Row],[SUBTOTAL]]&lt;PROVEEDORES[[#This Row],[base retencion]],0,PROVEEDORES[[#This Row],[retención aplicada]])</f>
        <v>0</v>
      </c>
      <c r="Q444" s="24">
        <f>+PROVEEDORES[[#This Row],[Rete Fuente %]]*PROVEEDORES[[#This Row],[SUBTOTAL]]</f>
        <v>0</v>
      </c>
      <c r="R444" s="23">
        <v>160000</v>
      </c>
      <c r="S44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4" s="99">
        <f ca="1">IF(PROVEEDORES[[#This Row],[FECHA DE PAGO]]=0,TODAY()-PROVEEDORES[[#This Row],[FECHA DE FACTURACIÓN]]-PROVEEDORES[[#This Row],[PLAZO Días]],0)</f>
        <v>0</v>
      </c>
      <c r="U444" s="149">
        <f>+VLOOKUP(PROVEEDORES[[#This Row],[PROVEEDOR]],Terceros!$A:$E,5,FALSE)</f>
        <v>0</v>
      </c>
      <c r="V444" s="150">
        <f>+YEAR(PROVEEDORES[[#This Row],[FECHA DE FACTURACIÓN]])</f>
        <v>2021</v>
      </c>
      <c r="W444" s="150">
        <f>+MATCH(PROVEEDORES[[#This Row],[año facturado]],Retenciones!$1:$1,0)</f>
        <v>4</v>
      </c>
      <c r="X444" s="151">
        <f>+VLOOKUP(PROVEEDORES[[#This Row],[ID RETENCION]],Retenciones!$A$1:$O$24,PROVEEDORES[[#This Row],[indicador de columna]],FALSE)</f>
        <v>0</v>
      </c>
      <c r="Y444" s="152">
        <f>+VLOOKUP(PROVEEDORES[[#This Row],[ID RETENCION]],Retenciones!$A$1:$O$24,2,FALSE)</f>
        <v>0</v>
      </c>
      <c r="Z444" s="26"/>
      <c r="AA444" s="26"/>
      <c r="AB444" s="26"/>
      <c r="AC444" s="26"/>
      <c r="AD444" s="26"/>
      <c r="AE444" s="26"/>
    </row>
    <row r="445" spans="1:31" ht="21.95" customHeight="1" x14ac:dyDescent="0.25">
      <c r="A445" s="97" t="str">
        <f>+IF(PROVEEDORES[[#This Row],[FECHA DE PAGO]]=PROVEEDORES[[#This Row],[FECHA DE FACTURACIÓN]],"DE CONTADO","CRÉDITO")</f>
        <v>CRÉDITO</v>
      </c>
      <c r="B445" s="41" t="str">
        <f>+IF((PROVEEDORES[[#This Row],[FECHA DE PAGO]]-PROVEEDORES[[#This Row],[FECHA DE FACTURACIÓN]])&gt;PROVEEDORES[[#This Row],[PLAZO Días]],"PAGO VENCIDO")</f>
        <v>PAGO VENCIDO</v>
      </c>
      <c r="C445" s="22">
        <f>+VLOOKUP(PROVEEDORES[[#This Row],[PROVEEDOR]],TERCEROS_INFO[#All],2,FALSE)</f>
        <v>30</v>
      </c>
      <c r="D445" s="27">
        <f>+SUMIFS(PROVEEDORES[Total],PROVEEDORES[PROVEEDOR],PROVEEDORES[[#This Row],[PROVEEDOR]],PROVEEDORES[FECHA DE PAGO],"")</f>
        <v>479654.98979999998</v>
      </c>
      <c r="E445" s="27"/>
      <c r="F445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445" s="95">
        <v>44418</v>
      </c>
      <c r="H445" s="28" t="s">
        <v>1139</v>
      </c>
      <c r="I445" s="95">
        <v>44357</v>
      </c>
      <c r="J445" s="38">
        <v>1265</v>
      </c>
      <c r="K445" s="23">
        <v>1199159.68</v>
      </c>
      <c r="L445" s="23"/>
      <c r="M445" s="24">
        <v>227840.33919999999</v>
      </c>
      <c r="N445" s="25"/>
      <c r="O445" s="24">
        <v>0</v>
      </c>
      <c r="P445" s="136">
        <f>+IF(PROVEEDORES[[#This Row],[SUBTOTAL]]&lt;PROVEEDORES[[#This Row],[base retencion]],0,PROVEEDORES[[#This Row],[retención aplicada]])</f>
        <v>2.5000000000000001E-2</v>
      </c>
      <c r="Q445" s="24">
        <f>+PROVEEDORES[[#This Row],[Rete Fuente %]]*PROVEEDORES[[#This Row],[SUBTOTAL]]</f>
        <v>29978.991999999998</v>
      </c>
      <c r="R445" s="23">
        <v>1397021.0271999999</v>
      </c>
      <c r="S44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5" s="99">
        <f ca="1">IF(PROVEEDORES[[#This Row],[FECHA DE PAGO]]=0,TODAY()-PROVEEDORES[[#This Row],[FECHA DE FACTURACIÓN]]-PROVEEDORES[[#This Row],[PLAZO Días]],0)</f>
        <v>0</v>
      </c>
      <c r="U445" s="149" t="str">
        <f>+VLOOKUP(PROVEEDORES[[#This Row],[PROVEEDOR]],Terceros!$A:$E,5,FALSE)</f>
        <v>2,5% con base</v>
      </c>
      <c r="V445" s="150">
        <f>+YEAR(PROVEEDORES[[#This Row],[FECHA DE FACTURACIÓN]])</f>
        <v>2021</v>
      </c>
      <c r="W445" s="150">
        <f>+MATCH(PROVEEDORES[[#This Row],[año facturado]],Retenciones!$1:$1,0)</f>
        <v>4</v>
      </c>
      <c r="X445" s="151">
        <f>+VLOOKUP(PROVEEDORES[[#This Row],[ID RETENCION]],Retenciones!$A$1:$O$24,PROVEEDORES[[#This Row],[indicador de columna]],FALSE)</f>
        <v>980000</v>
      </c>
      <c r="Y445" s="152">
        <f>+VLOOKUP(PROVEEDORES[[#This Row],[ID RETENCION]],Retenciones!$A$1:$O$24,2,FALSE)</f>
        <v>2.5000000000000001E-2</v>
      </c>
      <c r="Z445" s="26"/>
      <c r="AA445" s="26"/>
      <c r="AB445" s="26"/>
      <c r="AC445" s="26"/>
      <c r="AD445" s="26"/>
      <c r="AE445" s="26"/>
    </row>
    <row r="446" spans="1:31" ht="21.95" customHeight="1" x14ac:dyDescent="0.25">
      <c r="A446" s="97" t="str">
        <f>+IF(PROVEEDORES[[#This Row],[FECHA DE PAGO]]=PROVEEDORES[[#This Row],[FECHA DE FACTURACIÓN]],"DE CONTADO","CRÉDITO")</f>
        <v>CRÉDITO</v>
      </c>
      <c r="B446" s="41" t="str">
        <f>+IF((PROVEEDORES[[#This Row],[FECHA DE PAGO]]-PROVEEDORES[[#This Row],[FECHA DE FACTURACIÓN]])&gt;PROVEEDORES[[#This Row],[PLAZO Días]],"PAGO VENCIDO")</f>
        <v>PAGO VENCIDO</v>
      </c>
      <c r="C446" s="22">
        <f>+VLOOKUP(PROVEEDORES[[#This Row],[PROVEEDOR]],TERCEROS_INFO[#All],2,FALSE)</f>
        <v>30</v>
      </c>
      <c r="D446" s="27">
        <f>+SUMIFS(PROVEEDORES[Total],PROVEEDORES[PROVEEDOR],PROVEEDORES[[#This Row],[PROVEEDOR]],PROVEEDORES[FECHA DE PAGO],"")</f>
        <v>833999.83799999999</v>
      </c>
      <c r="E446" s="27"/>
      <c r="F446" s="62" t="str">
        <f>+VLOOKUP(PROVEEDORES[[#This Row],[PROVEEDOR]],
                       Terceros!$A:$G,
                       6,
                       FALSE)</f>
        <v>juan.suarez@cosostenible.com;girlesa.ruiz@servipilas.com;joriescobar64@gmail.com</v>
      </c>
      <c r="G446" s="95">
        <v>44398</v>
      </c>
      <c r="H446" s="28" t="s">
        <v>50</v>
      </c>
      <c r="I446" s="95">
        <v>44357</v>
      </c>
      <c r="J446" s="38">
        <v>2717</v>
      </c>
      <c r="K446" s="23">
        <v>3240000</v>
      </c>
      <c r="L446" s="23"/>
      <c r="M446" s="24">
        <v>615600</v>
      </c>
      <c r="N446" s="25"/>
      <c r="O446" s="24">
        <v>0</v>
      </c>
      <c r="P446" s="136">
        <f>+IF(PROVEEDORES[[#This Row],[SUBTOTAL]]&lt;PROVEEDORES[[#This Row],[base retencion]],0,PROVEEDORES[[#This Row],[retención aplicada]])</f>
        <v>2.5000000000000001E-2</v>
      </c>
      <c r="Q446" s="24">
        <f>+PROVEEDORES[[#This Row],[Rete Fuente %]]*PROVEEDORES[[#This Row],[SUBTOTAL]]</f>
        <v>81000</v>
      </c>
      <c r="R446" s="23">
        <v>3774600</v>
      </c>
      <c r="S44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6" s="99">
        <f ca="1">IF(PROVEEDORES[[#This Row],[FECHA DE PAGO]]=0,TODAY()-PROVEEDORES[[#This Row],[FECHA DE FACTURACIÓN]]-PROVEEDORES[[#This Row],[PLAZO Días]],0)</f>
        <v>0</v>
      </c>
      <c r="U446" s="149" t="str">
        <f>+VLOOKUP(PROVEEDORES[[#This Row],[PROVEEDOR]],Terceros!$A:$E,5,FALSE)</f>
        <v>2,5% con base</v>
      </c>
      <c r="V446" s="150">
        <f>+YEAR(PROVEEDORES[[#This Row],[FECHA DE FACTURACIÓN]])</f>
        <v>2021</v>
      </c>
      <c r="W446" s="150">
        <f>+MATCH(PROVEEDORES[[#This Row],[año facturado]],Retenciones!$1:$1,0)</f>
        <v>4</v>
      </c>
      <c r="X446" s="151">
        <f>+VLOOKUP(PROVEEDORES[[#This Row],[ID RETENCION]],Retenciones!$A$1:$O$24,PROVEEDORES[[#This Row],[indicador de columna]],FALSE)</f>
        <v>980000</v>
      </c>
      <c r="Y446" s="152">
        <f>+VLOOKUP(PROVEEDORES[[#This Row],[ID RETENCION]],Retenciones!$A$1:$O$24,2,FALSE)</f>
        <v>2.5000000000000001E-2</v>
      </c>
      <c r="Z446" s="26"/>
      <c r="AA446" s="26"/>
      <c r="AB446" s="26"/>
      <c r="AC446" s="26"/>
      <c r="AD446" s="26"/>
      <c r="AE446" s="26"/>
    </row>
    <row r="447" spans="1:31" ht="21.95" customHeight="1" x14ac:dyDescent="0.25">
      <c r="A447" s="97" t="str">
        <f>+IF(PROVEEDORES[[#This Row],[FECHA DE PAGO]]=PROVEEDORES[[#This Row],[FECHA DE FACTURACIÓN]],"DE CONTADO","CRÉDITO")</f>
        <v>CRÉDITO</v>
      </c>
      <c r="B447" s="41" t="b">
        <f>+IF((PROVEEDORES[[#This Row],[FECHA DE PAGO]]-PROVEEDORES[[#This Row],[FECHA DE FACTURACIÓN]])&gt;PROVEEDORES[[#This Row],[PLAZO Días]],"PAGO VENCIDO")</f>
        <v>0</v>
      </c>
      <c r="C447" s="22">
        <f>+VLOOKUP(PROVEEDORES[[#This Row],[PROVEEDOR]],TERCEROS_INFO[#All],2,FALSE)</f>
        <v>30</v>
      </c>
      <c r="D447" s="27">
        <f>+SUMIFS(PROVEEDORES[Total],PROVEEDORES[PROVEEDOR],PROVEEDORES[[#This Row],[PROVEEDOR]],PROVEEDORES[FECHA DE PAGO],"")</f>
        <v>-417303</v>
      </c>
      <c r="E447" s="27"/>
      <c r="F447" s="62" t="str">
        <f>+VLOOKUP(PROVEEDORES[[#This Row],[PROVEEDOR]],
                       Terceros!$A:$G,
                       6,
                       FALSE)</f>
        <v>wruiz@tsqsa.com;venta1@disuiza.com;girlesa.ruiz@servipilas.com;joriescobar64@gmail.com</v>
      </c>
      <c r="G447" s="95">
        <v>44363</v>
      </c>
      <c r="H447" s="28" t="s">
        <v>80</v>
      </c>
      <c r="I447" s="95">
        <v>44358</v>
      </c>
      <c r="J447" s="38" t="s">
        <v>395</v>
      </c>
      <c r="K447" s="23">
        <v>2549700</v>
      </c>
      <c r="L447" s="23"/>
      <c r="M447" s="24">
        <v>484443</v>
      </c>
      <c r="N447" s="25"/>
      <c r="O447" s="24">
        <v>0</v>
      </c>
      <c r="P447" s="136">
        <f>+IF(PROVEEDORES[[#This Row],[SUBTOTAL]]&lt;PROVEEDORES[[#This Row],[base retencion]],0,PROVEEDORES[[#This Row],[retención aplicada]])</f>
        <v>2.5000000000000001E-2</v>
      </c>
      <c r="Q447" s="24">
        <f>+PROVEEDORES[[#This Row],[Rete Fuente %]]*PROVEEDORES[[#This Row],[SUBTOTAL]]</f>
        <v>63742.5</v>
      </c>
      <c r="R447" s="23">
        <v>2970400.5</v>
      </c>
      <c r="S44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7" s="99">
        <f ca="1">IF(PROVEEDORES[[#This Row],[FECHA DE PAGO]]=0,TODAY()-PROVEEDORES[[#This Row],[FECHA DE FACTURACIÓN]]-PROVEEDORES[[#This Row],[PLAZO Días]],0)</f>
        <v>0</v>
      </c>
      <c r="U447" s="149" t="str">
        <f>+VLOOKUP(PROVEEDORES[[#This Row],[PROVEEDOR]],Terceros!$A:$E,5,FALSE)</f>
        <v>2,5% con base</v>
      </c>
      <c r="V447" s="150">
        <f>+YEAR(PROVEEDORES[[#This Row],[FECHA DE FACTURACIÓN]])</f>
        <v>2021</v>
      </c>
      <c r="W447" s="150">
        <f>+MATCH(PROVEEDORES[[#This Row],[año facturado]],Retenciones!$1:$1,0)</f>
        <v>4</v>
      </c>
      <c r="X447" s="151">
        <f>+VLOOKUP(PROVEEDORES[[#This Row],[ID RETENCION]],Retenciones!$A$1:$O$24,PROVEEDORES[[#This Row],[indicador de columna]],FALSE)</f>
        <v>980000</v>
      </c>
      <c r="Y447" s="152">
        <f>+VLOOKUP(PROVEEDORES[[#This Row],[ID RETENCION]],Retenciones!$A$1:$O$24,2,FALSE)</f>
        <v>2.5000000000000001E-2</v>
      </c>
      <c r="Z447" s="26"/>
      <c r="AA447" s="26"/>
      <c r="AB447" s="26"/>
      <c r="AC447" s="26"/>
      <c r="AD447" s="26"/>
      <c r="AE447" s="26"/>
    </row>
    <row r="448" spans="1:31" ht="21.95" customHeight="1" x14ac:dyDescent="0.25">
      <c r="A448" s="97" t="str">
        <f>+IF(PROVEEDORES[[#This Row],[FECHA DE PAGO]]=PROVEEDORES[[#This Row],[FECHA DE FACTURACIÓN]],"DE CONTADO","CRÉDITO")</f>
        <v>DE CONTADO</v>
      </c>
      <c r="B448" s="41" t="b">
        <f>+IF((PROVEEDORES[[#This Row],[FECHA DE PAGO]]-PROVEEDORES[[#This Row],[FECHA DE FACTURACIÓN]])&gt;PROVEEDORES[[#This Row],[PLAZO Días]],"PAGO VENCIDO")</f>
        <v>0</v>
      </c>
      <c r="C448" s="22">
        <f>+VLOOKUP(PROVEEDORES[[#This Row],[PROVEEDOR]],TERCEROS_INFO[#All],2,FALSE)</f>
        <v>30</v>
      </c>
      <c r="D448" s="27">
        <f>+SUMIFS(PROVEEDORES[Total],PROVEEDORES[PROVEEDOR],PROVEEDORES[[#This Row],[PROVEEDOR]],PROVEEDORES[FECHA DE PAGO],"")</f>
        <v>0</v>
      </c>
      <c r="E448" s="27"/>
      <c r="F448" s="62" t="str">
        <f>+VLOOKUP(PROVEEDORES[[#This Row],[PROVEEDOR]],
                       Terceros!$A:$G,
                       6,
                       FALSE)</f>
        <v/>
      </c>
      <c r="G448" s="95">
        <v>44359</v>
      </c>
      <c r="H448" s="28" t="s">
        <v>1031</v>
      </c>
      <c r="I448" s="95">
        <v>44359</v>
      </c>
      <c r="J448" s="38" t="s">
        <v>726</v>
      </c>
      <c r="K448" s="23">
        <v>984000</v>
      </c>
      <c r="L448" s="23"/>
      <c r="M448" s="24">
        <v>0</v>
      </c>
      <c r="N448" s="25"/>
      <c r="O448" s="24">
        <v>0</v>
      </c>
      <c r="P448" s="136">
        <f>+IF(PROVEEDORES[[#This Row],[SUBTOTAL]]&lt;PROVEEDORES[[#This Row],[base retencion]],0,PROVEEDORES[[#This Row],[retención aplicada]])</f>
        <v>0</v>
      </c>
      <c r="Q448" s="24">
        <f>+PROVEEDORES[[#This Row],[Rete Fuente %]]*PROVEEDORES[[#This Row],[SUBTOTAL]]</f>
        <v>0</v>
      </c>
      <c r="R448" s="23">
        <v>984000</v>
      </c>
      <c r="S44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8" s="99">
        <f ca="1">IF(PROVEEDORES[[#This Row],[FECHA DE PAGO]]=0,TODAY()-PROVEEDORES[[#This Row],[FECHA DE FACTURACIÓN]]-PROVEEDORES[[#This Row],[PLAZO Días]],0)</f>
        <v>0</v>
      </c>
      <c r="U448" s="149">
        <f>+VLOOKUP(PROVEEDORES[[#This Row],[PROVEEDOR]],Terceros!$A:$E,5,FALSE)</f>
        <v>0</v>
      </c>
      <c r="V448" s="150">
        <f>+YEAR(PROVEEDORES[[#This Row],[FECHA DE FACTURACIÓN]])</f>
        <v>2021</v>
      </c>
      <c r="W448" s="150">
        <f>+MATCH(PROVEEDORES[[#This Row],[año facturado]],Retenciones!$1:$1,0)</f>
        <v>4</v>
      </c>
      <c r="X448" s="151">
        <f>+VLOOKUP(PROVEEDORES[[#This Row],[ID RETENCION]],Retenciones!$A$1:$O$24,PROVEEDORES[[#This Row],[indicador de columna]],FALSE)</f>
        <v>0</v>
      </c>
      <c r="Y448" s="152">
        <f>+VLOOKUP(PROVEEDORES[[#This Row],[ID RETENCION]],Retenciones!$A$1:$O$24,2,FALSE)</f>
        <v>0</v>
      </c>
      <c r="Z448" s="26"/>
      <c r="AA448" s="26"/>
      <c r="AB448" s="26"/>
      <c r="AC448" s="26"/>
      <c r="AD448" s="26"/>
      <c r="AE448" s="26"/>
    </row>
    <row r="449" spans="1:31" ht="21.95" customHeight="1" x14ac:dyDescent="0.25">
      <c r="A449" s="97" t="str">
        <f>+IF(PROVEEDORES[[#This Row],[FECHA DE PAGO]]=PROVEEDORES[[#This Row],[FECHA DE FACTURACIÓN]],"DE CONTADO","CRÉDITO")</f>
        <v>CRÉDITO</v>
      </c>
      <c r="B449" s="41" t="b">
        <f>+IF((PROVEEDORES[[#This Row],[FECHA DE PAGO]]-PROVEEDORES[[#This Row],[FECHA DE FACTURACIÓN]])&gt;PROVEEDORES[[#This Row],[PLAZO Días]],"PAGO VENCIDO")</f>
        <v>0</v>
      </c>
      <c r="C449" s="22">
        <f>+VLOOKUP(PROVEEDORES[[#This Row],[PROVEEDOR]],TERCEROS_INFO[#All],2,FALSE)</f>
        <v>30</v>
      </c>
      <c r="D449" s="27">
        <f>+SUMIFS(PROVEEDORES[Total],PROVEEDORES[PROVEEDOR],PROVEEDORES[[#This Row],[PROVEEDOR]],PROVEEDORES[FECHA DE PAGO],"")</f>
        <v>395010</v>
      </c>
      <c r="E449" s="27"/>
      <c r="F449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449" s="95">
        <v>44363</v>
      </c>
      <c r="H449" s="28" t="s">
        <v>141</v>
      </c>
      <c r="I449" s="95">
        <v>44361</v>
      </c>
      <c r="J449" s="38">
        <v>106</v>
      </c>
      <c r="K449" s="23">
        <v>359000</v>
      </c>
      <c r="L449" s="23"/>
      <c r="M449" s="24">
        <v>68210</v>
      </c>
      <c r="N449" s="25"/>
      <c r="O449" s="24">
        <v>0</v>
      </c>
      <c r="P449" s="136">
        <f>+IF(PROVEEDORES[[#This Row],[SUBTOTAL]]&lt;PROVEEDORES[[#This Row],[base retencion]],0,PROVEEDORES[[#This Row],[retención aplicada]])</f>
        <v>0.01</v>
      </c>
      <c r="Q449" s="24">
        <f>+PROVEEDORES[[#This Row],[Rete Fuente %]]*PROVEEDORES[[#This Row],[SUBTOTAL]]</f>
        <v>3590</v>
      </c>
      <c r="R449" s="23">
        <v>423620</v>
      </c>
      <c r="S44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9" s="99">
        <f ca="1">IF(PROVEEDORES[[#This Row],[FECHA DE PAGO]]=0,TODAY()-PROVEEDORES[[#This Row],[FECHA DE FACTURACIÓN]]-PROVEEDORES[[#This Row],[PLAZO Días]],0)</f>
        <v>0</v>
      </c>
      <c r="U449" s="149" t="str">
        <f>+VLOOKUP(PROVEEDORES[[#This Row],[PROVEEDOR]],Terceros!$A:$E,5,FALSE)</f>
        <v>1% con base</v>
      </c>
      <c r="V449" s="150">
        <f>+YEAR(PROVEEDORES[[#This Row],[FECHA DE FACTURACIÓN]])</f>
        <v>2021</v>
      </c>
      <c r="W449" s="150">
        <f>+MATCH(PROVEEDORES[[#This Row],[año facturado]],Retenciones!$1:$1,0)</f>
        <v>4</v>
      </c>
      <c r="X449" s="151">
        <f>+VLOOKUP(PROVEEDORES[[#This Row],[ID RETENCION]],Retenciones!$A$1:$O$24,PROVEEDORES[[#This Row],[indicador de columna]],FALSE)</f>
        <v>145000</v>
      </c>
      <c r="Y449" s="152">
        <f>+VLOOKUP(PROVEEDORES[[#This Row],[ID RETENCION]],Retenciones!$A$1:$O$24,2,FALSE)</f>
        <v>0.01</v>
      </c>
      <c r="Z449" s="26"/>
      <c r="AA449" s="26"/>
      <c r="AB449" s="26"/>
      <c r="AC449" s="26"/>
      <c r="AD449" s="26"/>
      <c r="AE449" s="26"/>
    </row>
    <row r="450" spans="1:31" ht="21.95" customHeight="1" x14ac:dyDescent="0.25">
      <c r="A450" s="97" t="str">
        <f>+IF(PROVEEDORES[[#This Row],[FECHA DE PAGO]]=PROVEEDORES[[#This Row],[FECHA DE FACTURACIÓN]],"DE CONTADO","CRÉDITO")</f>
        <v>CRÉDITO</v>
      </c>
      <c r="B450" s="41" t="str">
        <f>+IF((PROVEEDORES[[#This Row],[FECHA DE PAGO]]-PROVEEDORES[[#This Row],[FECHA DE FACTURACIÓN]])&gt;PROVEEDORES[[#This Row],[PLAZO Días]],"PAGO VENCIDO")</f>
        <v>PAGO VENCIDO</v>
      </c>
      <c r="C450" s="22">
        <f>+VLOOKUP(PROVEEDORES[[#This Row],[PROVEEDOR]],TERCEROS_INFO[#All],2,FALSE)</f>
        <v>30</v>
      </c>
      <c r="D450" s="27">
        <f>+SUMIFS(PROVEEDORES[Total],PROVEEDORES[PROVEEDOR],PROVEEDORES[[#This Row],[PROVEEDOR]],PROVEEDORES[FECHA DE PAGO],"")</f>
        <v>3099000</v>
      </c>
      <c r="E450" s="27"/>
      <c r="F450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450" s="95">
        <v>44411</v>
      </c>
      <c r="H450" s="28" t="s">
        <v>1079</v>
      </c>
      <c r="I450" s="95">
        <v>44362</v>
      </c>
      <c r="J450" s="38" t="s">
        <v>727</v>
      </c>
      <c r="K450" s="23">
        <v>255000</v>
      </c>
      <c r="L450" s="23"/>
      <c r="M450" s="24">
        <v>0</v>
      </c>
      <c r="N450" s="25"/>
      <c r="O450" s="24">
        <v>0</v>
      </c>
      <c r="P450" s="136">
        <f>+IF(PROVEEDORES[[#This Row],[SUBTOTAL]]&lt;PROVEEDORES[[#This Row],[base retencion]],0,PROVEEDORES[[#This Row],[retención aplicada]])</f>
        <v>0</v>
      </c>
      <c r="Q450" s="24">
        <f>+PROVEEDORES[[#This Row],[Rete Fuente %]]*PROVEEDORES[[#This Row],[SUBTOTAL]]</f>
        <v>0</v>
      </c>
      <c r="R450" s="23">
        <v>255000</v>
      </c>
      <c r="S45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0" s="99">
        <f ca="1">IF(PROVEEDORES[[#This Row],[FECHA DE PAGO]]=0,TODAY()-PROVEEDORES[[#This Row],[FECHA DE FACTURACIÓN]]-PROVEEDORES[[#This Row],[PLAZO Días]],0)</f>
        <v>0</v>
      </c>
      <c r="U450" s="149">
        <f>+VLOOKUP(PROVEEDORES[[#This Row],[PROVEEDOR]],Terceros!$A:$E,5,FALSE)</f>
        <v>0</v>
      </c>
      <c r="V450" s="150">
        <f>+YEAR(PROVEEDORES[[#This Row],[FECHA DE FACTURACIÓN]])</f>
        <v>2021</v>
      </c>
      <c r="W450" s="150">
        <f>+MATCH(PROVEEDORES[[#This Row],[año facturado]],Retenciones!$1:$1,0)</f>
        <v>4</v>
      </c>
      <c r="X450" s="151">
        <f>+VLOOKUP(PROVEEDORES[[#This Row],[ID RETENCION]],Retenciones!$A$1:$O$24,PROVEEDORES[[#This Row],[indicador de columna]],FALSE)</f>
        <v>0</v>
      </c>
      <c r="Y450" s="152">
        <f>+VLOOKUP(PROVEEDORES[[#This Row],[ID RETENCION]],Retenciones!$A$1:$O$24,2,FALSE)</f>
        <v>0</v>
      </c>
      <c r="Z450" s="26"/>
      <c r="AA450" s="26"/>
      <c r="AB450" s="26"/>
      <c r="AC450" s="26"/>
      <c r="AD450" s="26"/>
      <c r="AE450" s="26"/>
    </row>
    <row r="451" spans="1:31" ht="21.95" customHeight="1" x14ac:dyDescent="0.25">
      <c r="A451" s="97" t="str">
        <f>+IF(PROVEEDORES[[#This Row],[FECHA DE PAGO]]=PROVEEDORES[[#This Row],[FECHA DE FACTURACIÓN]],"DE CONTADO","CRÉDITO")</f>
        <v>CRÉDITO</v>
      </c>
      <c r="B451" s="41" t="str">
        <f>+IF((PROVEEDORES[[#This Row],[FECHA DE PAGO]]-PROVEEDORES[[#This Row],[FECHA DE FACTURACIÓN]])&gt;PROVEEDORES[[#This Row],[PLAZO Días]],"PAGO VENCIDO")</f>
        <v>PAGO VENCIDO</v>
      </c>
      <c r="C451" s="22">
        <f>+VLOOKUP(PROVEEDORES[[#This Row],[PROVEEDOR]],TERCEROS_INFO[#All],2,FALSE)</f>
        <v>30</v>
      </c>
      <c r="D451" s="27">
        <f>+SUMIFS(PROVEEDORES[Total],PROVEEDORES[PROVEEDOR],PROVEEDORES[[#This Row],[PROVEEDOR]],PROVEEDORES[FECHA DE PAGO],"")</f>
        <v>1979529.3</v>
      </c>
      <c r="E451" s="27"/>
      <c r="F451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451" s="95">
        <v>44396</v>
      </c>
      <c r="H451" s="28" t="s">
        <v>17</v>
      </c>
      <c r="I451" s="95">
        <v>44362</v>
      </c>
      <c r="J451" s="38">
        <v>1774672</v>
      </c>
      <c r="K451" s="23">
        <v>1339666</v>
      </c>
      <c r="L451" s="23"/>
      <c r="M451" s="24">
        <v>254536.54</v>
      </c>
      <c r="N451" s="25"/>
      <c r="O451" s="24">
        <v>0</v>
      </c>
      <c r="P451" s="136">
        <f>+IF(PROVEEDORES[[#This Row],[SUBTOTAL]]&lt;PROVEEDORES[[#This Row],[base retencion]],0,PROVEEDORES[[#This Row],[retención aplicada]])</f>
        <v>0</v>
      </c>
      <c r="Q451" s="24">
        <f>+PROVEEDORES[[#This Row],[Rete Fuente %]]*PROVEEDORES[[#This Row],[SUBTOTAL]]</f>
        <v>0</v>
      </c>
      <c r="R451" s="23">
        <v>1594202.54</v>
      </c>
      <c r="S45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1" s="99">
        <f ca="1">IF(PROVEEDORES[[#This Row],[FECHA DE PAGO]]=0,TODAY()-PROVEEDORES[[#This Row],[FECHA DE FACTURACIÓN]]-PROVEEDORES[[#This Row],[PLAZO Días]],0)</f>
        <v>0</v>
      </c>
      <c r="U451" s="149">
        <f>+VLOOKUP(PROVEEDORES[[#This Row],[PROVEEDOR]],Terceros!$A:$E,5,FALSE)</f>
        <v>0</v>
      </c>
      <c r="V451" s="150">
        <f>+YEAR(PROVEEDORES[[#This Row],[FECHA DE FACTURACIÓN]])</f>
        <v>2021</v>
      </c>
      <c r="W451" s="150">
        <f>+MATCH(PROVEEDORES[[#This Row],[año facturado]],Retenciones!$1:$1,0)</f>
        <v>4</v>
      </c>
      <c r="X451" s="151">
        <f>+VLOOKUP(PROVEEDORES[[#This Row],[ID RETENCION]],Retenciones!$A$1:$O$24,PROVEEDORES[[#This Row],[indicador de columna]],FALSE)</f>
        <v>0</v>
      </c>
      <c r="Y451" s="152">
        <f>+VLOOKUP(PROVEEDORES[[#This Row],[ID RETENCION]],Retenciones!$A$1:$O$24,2,FALSE)</f>
        <v>0</v>
      </c>
      <c r="Z451" s="26"/>
      <c r="AA451" s="26"/>
      <c r="AB451" s="26"/>
      <c r="AC451" s="26"/>
      <c r="AD451" s="26"/>
      <c r="AE451" s="26"/>
    </row>
    <row r="452" spans="1:31" ht="21.95" customHeight="1" x14ac:dyDescent="0.25">
      <c r="A452" s="97" t="str">
        <f>+IF(PROVEEDORES[[#This Row],[FECHA DE PAGO]]=PROVEEDORES[[#This Row],[FECHA DE FACTURACIÓN]],"DE CONTADO","CRÉDITO")</f>
        <v>CRÉDITO</v>
      </c>
      <c r="B452" s="41" t="str">
        <f>+IF((PROVEEDORES[[#This Row],[FECHA DE PAGO]]-PROVEEDORES[[#This Row],[FECHA DE FACTURACIÓN]])&gt;PROVEEDORES[[#This Row],[PLAZO Días]],"PAGO VENCIDO")</f>
        <v>PAGO VENCIDO</v>
      </c>
      <c r="C452" s="22">
        <f>+VLOOKUP(PROVEEDORES[[#This Row],[PROVEEDOR]],TERCEROS_INFO[#All],2,FALSE)</f>
        <v>30</v>
      </c>
      <c r="D452" s="27">
        <f>+SUMIFS(PROVEEDORES[Total],PROVEEDORES[PROVEEDOR],PROVEEDORES[[#This Row],[PROVEEDOR]],PROVEEDORES[FECHA DE PAGO],"")</f>
        <v>3099000</v>
      </c>
      <c r="E452" s="27"/>
      <c r="F452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452" s="95">
        <v>44411</v>
      </c>
      <c r="H452" s="28" t="s">
        <v>1079</v>
      </c>
      <c r="I452" s="95">
        <v>44362</v>
      </c>
      <c r="J452" s="38" t="s">
        <v>728</v>
      </c>
      <c r="K452" s="23">
        <v>1418000</v>
      </c>
      <c r="L452" s="23"/>
      <c r="M452" s="24">
        <v>0</v>
      </c>
      <c r="N452" s="25"/>
      <c r="O452" s="24">
        <v>0</v>
      </c>
      <c r="P452" s="136">
        <f>+IF(PROVEEDORES[[#This Row],[SUBTOTAL]]&lt;PROVEEDORES[[#This Row],[base retencion]],0,PROVEEDORES[[#This Row],[retención aplicada]])</f>
        <v>0</v>
      </c>
      <c r="Q452" s="24">
        <f>+PROVEEDORES[[#This Row],[Rete Fuente %]]*PROVEEDORES[[#This Row],[SUBTOTAL]]</f>
        <v>0</v>
      </c>
      <c r="R452" s="23">
        <v>1418000</v>
      </c>
      <c r="S45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2" s="99">
        <f ca="1">IF(PROVEEDORES[[#This Row],[FECHA DE PAGO]]=0,TODAY()-PROVEEDORES[[#This Row],[FECHA DE FACTURACIÓN]]-PROVEEDORES[[#This Row],[PLAZO Días]],0)</f>
        <v>0</v>
      </c>
      <c r="U452" s="149">
        <f>+VLOOKUP(PROVEEDORES[[#This Row],[PROVEEDOR]],Terceros!$A:$E,5,FALSE)</f>
        <v>0</v>
      </c>
      <c r="V452" s="150">
        <f>+YEAR(PROVEEDORES[[#This Row],[FECHA DE FACTURACIÓN]])</f>
        <v>2021</v>
      </c>
      <c r="W452" s="150">
        <f>+MATCH(PROVEEDORES[[#This Row],[año facturado]],Retenciones!$1:$1,0)</f>
        <v>4</v>
      </c>
      <c r="X452" s="151">
        <f>+VLOOKUP(PROVEEDORES[[#This Row],[ID RETENCION]],Retenciones!$A$1:$O$24,PROVEEDORES[[#This Row],[indicador de columna]],FALSE)</f>
        <v>0</v>
      </c>
      <c r="Y452" s="152">
        <f>+VLOOKUP(PROVEEDORES[[#This Row],[ID RETENCION]],Retenciones!$A$1:$O$24,2,FALSE)</f>
        <v>0</v>
      </c>
      <c r="Z452" s="26"/>
      <c r="AA452" s="26"/>
      <c r="AB452" s="26"/>
      <c r="AC452" s="26"/>
      <c r="AD452" s="26"/>
      <c r="AE452" s="26"/>
    </row>
    <row r="453" spans="1:31" ht="21.95" customHeight="1" x14ac:dyDescent="0.25">
      <c r="A453" s="97" t="str">
        <f>+IF(PROVEEDORES[[#This Row],[FECHA DE PAGO]]=PROVEEDORES[[#This Row],[FECHA DE FACTURACIÓN]],"DE CONTADO","CRÉDITO")</f>
        <v>DE CONTADO</v>
      </c>
      <c r="B453" s="41" t="b">
        <f>+IF((PROVEEDORES[[#This Row],[FECHA DE PAGO]]-PROVEEDORES[[#This Row],[FECHA DE FACTURACIÓN]])&gt;PROVEEDORES[[#This Row],[PLAZO Días]],"PAGO VENCIDO")</f>
        <v>0</v>
      </c>
      <c r="C453" s="22">
        <f>+VLOOKUP(PROVEEDORES[[#This Row],[PROVEEDOR]],TERCEROS_INFO[#All],2,FALSE)</f>
        <v>30</v>
      </c>
      <c r="D453" s="27">
        <f>+SUMIFS(PROVEEDORES[Total],PROVEEDORES[PROVEEDOR],PROVEEDORES[[#This Row],[PROVEEDOR]],PROVEEDORES[FECHA DE PAGO],"")</f>
        <v>0</v>
      </c>
      <c r="E453" s="27"/>
      <c r="F453" s="62" t="str">
        <f>+VLOOKUP(PROVEEDORES[[#This Row],[PROVEEDOR]],
                       Terceros!$A:$G,
                       6,
                       FALSE)</f>
        <v/>
      </c>
      <c r="G453" s="95">
        <v>44362</v>
      </c>
      <c r="H453" s="28" t="s">
        <v>1046</v>
      </c>
      <c r="I453" s="95">
        <v>44362</v>
      </c>
      <c r="J453" s="38"/>
      <c r="K453" s="23">
        <v>2000000</v>
      </c>
      <c r="L453" s="23"/>
      <c r="M453" s="24">
        <v>0</v>
      </c>
      <c r="N453" s="25"/>
      <c r="O453" s="24">
        <v>0</v>
      </c>
      <c r="P453" s="136">
        <f>+IF(PROVEEDORES[[#This Row],[SUBTOTAL]]&lt;PROVEEDORES[[#This Row],[base retencion]],0,PROVEEDORES[[#This Row],[retención aplicada]])</f>
        <v>0</v>
      </c>
      <c r="Q453" s="24">
        <f>+PROVEEDORES[[#This Row],[Rete Fuente %]]*PROVEEDORES[[#This Row],[SUBTOTAL]]</f>
        <v>0</v>
      </c>
      <c r="R453" s="23">
        <v>2000000</v>
      </c>
      <c r="S45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3" s="99">
        <f ca="1">IF(PROVEEDORES[[#This Row],[FECHA DE PAGO]]=0,TODAY()-PROVEEDORES[[#This Row],[FECHA DE FACTURACIÓN]]-PROVEEDORES[[#This Row],[PLAZO Días]],0)</f>
        <v>0</v>
      </c>
      <c r="U453" s="149">
        <f>+VLOOKUP(PROVEEDORES[[#This Row],[PROVEEDOR]],Terceros!$A:$E,5,FALSE)</f>
        <v>0</v>
      </c>
      <c r="V453" s="150">
        <f>+YEAR(PROVEEDORES[[#This Row],[FECHA DE FACTURACIÓN]])</f>
        <v>2021</v>
      </c>
      <c r="W453" s="150">
        <f>+MATCH(PROVEEDORES[[#This Row],[año facturado]],Retenciones!$1:$1,0)</f>
        <v>4</v>
      </c>
      <c r="X453" s="151">
        <f>+VLOOKUP(PROVEEDORES[[#This Row],[ID RETENCION]],Retenciones!$A$1:$O$24,PROVEEDORES[[#This Row],[indicador de columna]],FALSE)</f>
        <v>0</v>
      </c>
      <c r="Y453" s="152">
        <f>+VLOOKUP(PROVEEDORES[[#This Row],[ID RETENCION]],Retenciones!$A$1:$O$24,2,FALSE)</f>
        <v>0</v>
      </c>
      <c r="Z453" s="26"/>
      <c r="AA453" s="26"/>
      <c r="AB453" s="26"/>
      <c r="AC453" s="26"/>
      <c r="AD453" s="26"/>
      <c r="AE453" s="26"/>
    </row>
    <row r="454" spans="1:31" ht="21.95" customHeight="1" x14ac:dyDescent="0.25">
      <c r="A454" s="97" t="str">
        <f>+IF(PROVEEDORES[[#This Row],[FECHA DE PAGO]]=PROVEEDORES[[#This Row],[FECHA DE FACTURACIÓN]],"DE CONTADO","CRÉDITO")</f>
        <v>CRÉDITO</v>
      </c>
      <c r="B454" s="41" t="str">
        <f>+IF((PROVEEDORES[[#This Row],[FECHA DE PAGO]]-PROVEEDORES[[#This Row],[FECHA DE FACTURACIÓN]])&gt;PROVEEDORES[[#This Row],[PLAZO Días]],"PAGO VENCIDO")</f>
        <v>PAGO VENCIDO</v>
      </c>
      <c r="C454" s="22">
        <f>+VLOOKUP(PROVEEDORES[[#This Row],[PROVEEDOR]],TERCEROS_INFO[#All],2,FALSE)</f>
        <v>30</v>
      </c>
      <c r="D454" s="27">
        <f>+SUMIFS(PROVEEDORES[Total],PROVEEDORES[PROVEEDOR],PROVEEDORES[[#This Row],[PROVEEDOR]],PROVEEDORES[FECHA DE PAGO],"")</f>
        <v>6151200</v>
      </c>
      <c r="E454" s="27"/>
      <c r="F454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454" s="95">
        <v>44396</v>
      </c>
      <c r="H454" s="28" t="s">
        <v>11</v>
      </c>
      <c r="I454" s="95">
        <v>44362</v>
      </c>
      <c r="J454" s="38">
        <v>2476</v>
      </c>
      <c r="K454" s="23">
        <v>5280000</v>
      </c>
      <c r="L454" s="23"/>
      <c r="M454" s="24">
        <v>1003200</v>
      </c>
      <c r="N454" s="25"/>
      <c r="O454" s="24">
        <v>0</v>
      </c>
      <c r="P454" s="136">
        <f>+IF(PROVEEDORES[[#This Row],[SUBTOTAL]]&lt;PROVEEDORES[[#This Row],[base retencion]],0,PROVEEDORES[[#This Row],[retención aplicada]])</f>
        <v>2.5000000000000001E-2</v>
      </c>
      <c r="Q454" s="24">
        <f>+PROVEEDORES[[#This Row],[Rete Fuente %]]*PROVEEDORES[[#This Row],[SUBTOTAL]]</f>
        <v>132000</v>
      </c>
      <c r="R454" s="23">
        <v>6151200</v>
      </c>
      <c r="S45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4" s="99">
        <f ca="1">IF(PROVEEDORES[[#This Row],[FECHA DE PAGO]]=0,TODAY()-PROVEEDORES[[#This Row],[FECHA DE FACTURACIÓN]]-PROVEEDORES[[#This Row],[PLAZO Días]],0)</f>
        <v>0</v>
      </c>
      <c r="U454" s="149" t="str">
        <f>+VLOOKUP(PROVEEDORES[[#This Row],[PROVEEDOR]],Terceros!$A:$E,5,FALSE)</f>
        <v>2,5% con base</v>
      </c>
      <c r="V454" s="150">
        <f>+YEAR(PROVEEDORES[[#This Row],[FECHA DE FACTURACIÓN]])</f>
        <v>2021</v>
      </c>
      <c r="W454" s="150">
        <f>+MATCH(PROVEEDORES[[#This Row],[año facturado]],Retenciones!$1:$1,0)</f>
        <v>4</v>
      </c>
      <c r="X454" s="151">
        <f>+VLOOKUP(PROVEEDORES[[#This Row],[ID RETENCION]],Retenciones!$A$1:$O$24,PROVEEDORES[[#This Row],[indicador de columna]],FALSE)</f>
        <v>980000</v>
      </c>
      <c r="Y454" s="152">
        <f>+VLOOKUP(PROVEEDORES[[#This Row],[ID RETENCION]],Retenciones!$A$1:$O$24,2,FALSE)</f>
        <v>2.5000000000000001E-2</v>
      </c>
      <c r="Z454" s="26"/>
      <c r="AA454" s="26"/>
      <c r="AB454" s="26"/>
      <c r="AC454" s="26"/>
      <c r="AD454" s="26"/>
      <c r="AE454" s="26"/>
    </row>
    <row r="455" spans="1:31" ht="21.95" customHeight="1" x14ac:dyDescent="0.25">
      <c r="A455" s="97" t="str">
        <f>+IF(PROVEEDORES[[#This Row],[FECHA DE PAGO]]=PROVEEDORES[[#This Row],[FECHA DE FACTURACIÓN]],"DE CONTADO","CRÉDITO")</f>
        <v>CRÉDITO</v>
      </c>
      <c r="B455" s="41" t="b">
        <f>+IF((PROVEEDORES[[#This Row],[FECHA DE PAGO]]-PROVEEDORES[[#This Row],[FECHA DE FACTURACIÓN]])&gt;PROVEEDORES[[#This Row],[PLAZO Días]],"PAGO VENCIDO")</f>
        <v>0</v>
      </c>
      <c r="C455" s="22">
        <f>+VLOOKUP(PROVEEDORES[[#This Row],[PROVEEDOR]],TERCEROS_INFO[#All],2,FALSE)</f>
        <v>20</v>
      </c>
      <c r="D455" s="27">
        <f>+SUMIFS(PROVEEDORES[Total],PROVEEDORES[PROVEEDOR],PROVEEDORES[[#This Row],[PROVEEDOR]],PROVEEDORES[FECHA DE PAGO],"")</f>
        <v>0</v>
      </c>
      <c r="E455" s="27"/>
      <c r="F455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455" s="95">
        <v>44380</v>
      </c>
      <c r="H455" s="28" t="s">
        <v>374</v>
      </c>
      <c r="I455" s="95">
        <v>44363</v>
      </c>
      <c r="J455" s="38" t="s">
        <v>731</v>
      </c>
      <c r="K455" s="23">
        <v>-624994.22300000023</v>
      </c>
      <c r="L455" s="23"/>
      <c r="M455" s="24">
        <v>0</v>
      </c>
      <c r="N455" s="25"/>
      <c r="O455" s="24">
        <v>0</v>
      </c>
      <c r="P455" s="136">
        <f>+IF(PROVEEDORES[[#This Row],[SUBTOTAL]]&lt;PROVEEDORES[[#This Row],[base retencion]],0,PROVEEDORES[[#This Row],[retención aplicada]])</f>
        <v>0</v>
      </c>
      <c r="Q455" s="24">
        <f>+PROVEEDORES[[#This Row],[Rete Fuente %]]*PROVEEDORES[[#This Row],[SUBTOTAL]]</f>
        <v>0</v>
      </c>
      <c r="R455" s="23">
        <v>-624994.22300000023</v>
      </c>
      <c r="S45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5" s="99">
        <f ca="1">IF(PROVEEDORES[[#This Row],[FECHA DE PAGO]]=0,TODAY()-PROVEEDORES[[#This Row],[FECHA DE FACTURACIÓN]]-PROVEEDORES[[#This Row],[PLAZO Días]],0)</f>
        <v>0</v>
      </c>
      <c r="U455" s="149" t="str">
        <f>+VLOOKUP(PROVEEDORES[[#This Row],[PROVEEDOR]],Terceros!$A:$E,5,FALSE)</f>
        <v>4% sin base</v>
      </c>
      <c r="V455" s="150">
        <f>+YEAR(PROVEEDORES[[#This Row],[FECHA DE FACTURACIÓN]])</f>
        <v>2021</v>
      </c>
      <c r="W455" s="150">
        <f>+MATCH(PROVEEDORES[[#This Row],[año facturado]],Retenciones!$1:$1,0)</f>
        <v>4</v>
      </c>
      <c r="X455" s="151">
        <f>+VLOOKUP(PROVEEDORES[[#This Row],[ID RETENCION]],Retenciones!$A$1:$O$24,PROVEEDORES[[#This Row],[indicador de columna]],FALSE)</f>
        <v>0</v>
      </c>
      <c r="Y455" s="152">
        <f>+VLOOKUP(PROVEEDORES[[#This Row],[ID RETENCION]],Retenciones!$A$1:$O$24,2,FALSE)</f>
        <v>0.04</v>
      </c>
      <c r="Z455" s="26"/>
      <c r="AA455" s="26"/>
      <c r="AB455" s="26"/>
      <c r="AC455" s="26"/>
      <c r="AD455" s="26"/>
      <c r="AE455" s="26"/>
    </row>
    <row r="456" spans="1:31" ht="21.95" customHeight="1" x14ac:dyDescent="0.25">
      <c r="A456" s="97" t="str">
        <f>+IF(PROVEEDORES[[#This Row],[FECHA DE PAGO]]=PROVEEDORES[[#This Row],[FECHA DE FACTURACIÓN]],"DE CONTADO","CRÉDITO")</f>
        <v>CRÉDITO</v>
      </c>
      <c r="B456" s="41" t="b">
        <f>+IF((PROVEEDORES[[#This Row],[FECHA DE PAGO]]-PROVEEDORES[[#This Row],[FECHA DE FACTURACIÓN]])&gt;PROVEEDORES[[#This Row],[PLAZO Días]],"PAGO VENCIDO")</f>
        <v>0</v>
      </c>
      <c r="C456" s="22">
        <f>+VLOOKUP(PROVEEDORES[[#This Row],[PROVEEDOR]],TERCEROS_INFO[#All],2,FALSE)</f>
        <v>30</v>
      </c>
      <c r="D456" s="27">
        <f>+SUMIFS(PROVEEDORES[Total],PROVEEDORES[PROVEEDOR],PROVEEDORES[[#This Row],[PROVEEDOR]],PROVEEDORES[FECHA DE PAGO],"")</f>
        <v>0</v>
      </c>
      <c r="E456" s="27"/>
      <c r="F456" s="62" t="str">
        <f>+VLOOKUP(PROVEEDORES[[#This Row],[PROVEEDOR]],
                       Terceros!$A:$G,
                       6,
                       FALSE)</f>
        <v>cxc11@unitecusa.com.co;jefecartera@unitecusa.com.co;girlesa.ruiz@servipilas.com;joriescobar64@gmail.com</v>
      </c>
      <c r="G456" s="95">
        <v>44389</v>
      </c>
      <c r="H456" s="28" t="s">
        <v>14</v>
      </c>
      <c r="I456" s="95">
        <v>44363</v>
      </c>
      <c r="J456" s="38">
        <v>14498</v>
      </c>
      <c r="K456" s="23">
        <v>154542</v>
      </c>
      <c r="L456" s="23"/>
      <c r="M456" s="24">
        <v>29362.98</v>
      </c>
      <c r="N456" s="25"/>
      <c r="O456" s="24">
        <v>0</v>
      </c>
      <c r="P456" s="136">
        <f>+IF(PROVEEDORES[[#This Row],[SUBTOTAL]]&lt;PROVEEDORES[[#This Row],[base retencion]],0,PROVEEDORES[[#This Row],[retención aplicada]])</f>
        <v>0</v>
      </c>
      <c r="Q456" s="24">
        <f>+PROVEEDORES[[#This Row],[Rete Fuente %]]*PROVEEDORES[[#This Row],[SUBTOTAL]]</f>
        <v>0</v>
      </c>
      <c r="R456" s="23">
        <v>183904.98</v>
      </c>
      <c r="S45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6" s="99">
        <f ca="1">IF(PROVEEDORES[[#This Row],[FECHA DE PAGO]]=0,TODAY()-PROVEEDORES[[#This Row],[FECHA DE FACTURACIÓN]]-PROVEEDORES[[#This Row],[PLAZO Días]],0)</f>
        <v>0</v>
      </c>
      <c r="U456" s="149" t="str">
        <f>+VLOOKUP(PROVEEDORES[[#This Row],[PROVEEDOR]],Terceros!$A:$E,5,FALSE)</f>
        <v>2,5% con base</v>
      </c>
      <c r="V456" s="150">
        <f>+YEAR(PROVEEDORES[[#This Row],[FECHA DE FACTURACIÓN]])</f>
        <v>2021</v>
      </c>
      <c r="W456" s="150">
        <f>+MATCH(PROVEEDORES[[#This Row],[año facturado]],Retenciones!$1:$1,0)</f>
        <v>4</v>
      </c>
      <c r="X456" s="151">
        <f>+VLOOKUP(PROVEEDORES[[#This Row],[ID RETENCION]],Retenciones!$A$1:$O$24,PROVEEDORES[[#This Row],[indicador de columna]],FALSE)</f>
        <v>980000</v>
      </c>
      <c r="Y456" s="152">
        <f>+VLOOKUP(PROVEEDORES[[#This Row],[ID RETENCION]],Retenciones!$A$1:$O$24,2,FALSE)</f>
        <v>2.5000000000000001E-2</v>
      </c>
      <c r="Z456" s="26"/>
      <c r="AA456" s="26"/>
      <c r="AB456" s="26"/>
      <c r="AC456" s="26"/>
      <c r="AD456" s="26"/>
      <c r="AE456" s="26"/>
    </row>
    <row r="457" spans="1:31" ht="21.95" customHeight="1" x14ac:dyDescent="0.25">
      <c r="A457" s="97" t="str">
        <f>+IF(PROVEEDORES[[#This Row],[FECHA DE PAGO]]=PROVEEDORES[[#This Row],[FECHA DE FACTURACIÓN]],"DE CONTADO","CRÉDITO")</f>
        <v>CRÉDITO</v>
      </c>
      <c r="B457" s="41" t="str">
        <f>+IF((PROVEEDORES[[#This Row],[FECHA DE PAGO]]-PROVEEDORES[[#This Row],[FECHA DE FACTURACIÓN]])&gt;PROVEEDORES[[#This Row],[PLAZO Días]],"PAGO VENCIDO")</f>
        <v>PAGO VENCIDO</v>
      </c>
      <c r="C457" s="22">
        <f>+VLOOKUP(PROVEEDORES[[#This Row],[PROVEEDOR]],TERCEROS_INFO[#All],2,FALSE)</f>
        <v>45</v>
      </c>
      <c r="D457" s="27">
        <f>+SUMIFS(PROVEEDORES[Total],PROVEEDORES[PROVEEDOR],PROVEEDORES[[#This Row],[PROVEEDOR]],PROVEEDORES[FECHA DE PAGO],"")</f>
        <v>3412539.2</v>
      </c>
      <c r="E457" s="27"/>
      <c r="F457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457" s="95">
        <v>44414</v>
      </c>
      <c r="H457" s="28" t="s">
        <v>10</v>
      </c>
      <c r="I457" s="95">
        <v>44363</v>
      </c>
      <c r="J457" s="38" t="s">
        <v>399</v>
      </c>
      <c r="K457" s="23">
        <v>162000</v>
      </c>
      <c r="L457" s="23"/>
      <c r="M457" s="24">
        <v>30780</v>
      </c>
      <c r="N457" s="25"/>
      <c r="O457" s="24">
        <v>0</v>
      </c>
      <c r="P457" s="136">
        <f>+IF(PROVEEDORES[[#This Row],[SUBTOTAL]]&lt;PROVEEDORES[[#This Row],[base retencion]],0,PROVEEDORES[[#This Row],[retención aplicada]])</f>
        <v>0</v>
      </c>
      <c r="Q457" s="24">
        <f>+PROVEEDORES[[#This Row],[Rete Fuente %]]*PROVEEDORES[[#This Row],[SUBTOTAL]]</f>
        <v>0</v>
      </c>
      <c r="R457" s="23">
        <v>192780</v>
      </c>
      <c r="S45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7" s="99">
        <f ca="1">IF(PROVEEDORES[[#This Row],[FECHA DE PAGO]]=0,TODAY()-PROVEEDORES[[#This Row],[FECHA DE FACTURACIÓN]]-PROVEEDORES[[#This Row],[PLAZO Días]],0)</f>
        <v>0</v>
      </c>
      <c r="U457" s="149">
        <f>+VLOOKUP(PROVEEDORES[[#This Row],[PROVEEDOR]],Terceros!$A:$E,5,FALSE)</f>
        <v>0</v>
      </c>
      <c r="V457" s="150">
        <f>+YEAR(PROVEEDORES[[#This Row],[FECHA DE FACTURACIÓN]])</f>
        <v>2021</v>
      </c>
      <c r="W457" s="150">
        <f>+MATCH(PROVEEDORES[[#This Row],[año facturado]],Retenciones!$1:$1,0)</f>
        <v>4</v>
      </c>
      <c r="X457" s="151">
        <f>+VLOOKUP(PROVEEDORES[[#This Row],[ID RETENCION]],Retenciones!$A$1:$O$24,PROVEEDORES[[#This Row],[indicador de columna]],FALSE)</f>
        <v>0</v>
      </c>
      <c r="Y457" s="152">
        <f>+VLOOKUP(PROVEEDORES[[#This Row],[ID RETENCION]],Retenciones!$A$1:$O$24,2,FALSE)</f>
        <v>0</v>
      </c>
      <c r="Z457" s="26"/>
      <c r="AA457" s="26"/>
      <c r="AB457" s="26"/>
      <c r="AC457" s="26"/>
      <c r="AD457" s="26"/>
      <c r="AE457" s="26"/>
    </row>
    <row r="458" spans="1:31" ht="21.95" customHeight="1" x14ac:dyDescent="0.25">
      <c r="A458" s="97" t="str">
        <f>+IF(PROVEEDORES[[#This Row],[FECHA DE PAGO]]=PROVEEDORES[[#This Row],[FECHA DE FACTURACIÓN]],"DE CONTADO","CRÉDITO")</f>
        <v>DE CONTADO</v>
      </c>
      <c r="B458" s="41" t="b">
        <f>+IF((PROVEEDORES[[#This Row],[FECHA DE PAGO]]-PROVEEDORES[[#This Row],[FECHA DE FACTURACIÓN]])&gt;PROVEEDORES[[#This Row],[PLAZO Días]],"PAGO VENCIDO")</f>
        <v>0</v>
      </c>
      <c r="C458" s="22">
        <f>+VLOOKUP(PROVEEDORES[[#This Row],[PROVEEDOR]],TERCEROS_INFO[#All],2,FALSE)</f>
        <v>30</v>
      </c>
      <c r="D458" s="27">
        <f>+SUMIFS(PROVEEDORES[Total],PROVEEDORES[PROVEEDOR],PROVEEDORES[[#This Row],[PROVEEDOR]],PROVEEDORES[FECHA DE PAGO],"")</f>
        <v>0</v>
      </c>
      <c r="E458" s="27"/>
      <c r="F458" s="62" t="str">
        <f>+VLOOKUP(PROVEEDORES[[#This Row],[PROVEEDOR]],
                       Terceros!$A:$G,
                       6,
                       FALSE)</f>
        <v/>
      </c>
      <c r="G458" s="95">
        <v>44363</v>
      </c>
      <c r="H458" s="28" t="s">
        <v>37</v>
      </c>
      <c r="I458" s="95">
        <v>44363</v>
      </c>
      <c r="J458" s="38">
        <v>12592</v>
      </c>
      <c r="K458" s="23">
        <v>172000</v>
      </c>
      <c r="L458" s="23"/>
      <c r="M458" s="24">
        <v>32680</v>
      </c>
      <c r="N458" s="25"/>
      <c r="O458" s="24">
        <v>0</v>
      </c>
      <c r="P458" s="136">
        <f>+IF(PROVEEDORES[[#This Row],[SUBTOTAL]]&lt;PROVEEDORES[[#This Row],[base retencion]],0,PROVEEDORES[[#This Row],[retención aplicada]])</f>
        <v>0</v>
      </c>
      <c r="Q458" s="24">
        <f>+PROVEEDORES[[#This Row],[Rete Fuente %]]*PROVEEDORES[[#This Row],[SUBTOTAL]]</f>
        <v>0</v>
      </c>
      <c r="R458" s="23">
        <v>204680</v>
      </c>
      <c r="S45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8" s="99">
        <f ca="1">IF(PROVEEDORES[[#This Row],[FECHA DE PAGO]]=0,TODAY()-PROVEEDORES[[#This Row],[FECHA DE FACTURACIÓN]]-PROVEEDORES[[#This Row],[PLAZO Días]],0)</f>
        <v>0</v>
      </c>
      <c r="U458" s="149" t="str">
        <f>+VLOOKUP(PROVEEDORES[[#This Row],[PROVEEDOR]],Terceros!$A:$E,5,FALSE)</f>
        <v>2,5% con base</v>
      </c>
      <c r="V458" s="150">
        <f>+YEAR(PROVEEDORES[[#This Row],[FECHA DE FACTURACIÓN]])</f>
        <v>2021</v>
      </c>
      <c r="W458" s="150">
        <f>+MATCH(PROVEEDORES[[#This Row],[año facturado]],Retenciones!$1:$1,0)</f>
        <v>4</v>
      </c>
      <c r="X458" s="151">
        <f>+VLOOKUP(PROVEEDORES[[#This Row],[ID RETENCION]],Retenciones!$A$1:$O$24,PROVEEDORES[[#This Row],[indicador de columna]],FALSE)</f>
        <v>980000</v>
      </c>
      <c r="Y458" s="152">
        <f>+VLOOKUP(PROVEEDORES[[#This Row],[ID RETENCION]],Retenciones!$A$1:$O$24,2,FALSE)</f>
        <v>2.5000000000000001E-2</v>
      </c>
      <c r="Z458" s="26"/>
      <c r="AA458" s="26"/>
      <c r="AB458" s="26"/>
      <c r="AC458" s="26"/>
      <c r="AD458" s="26"/>
      <c r="AE458" s="26"/>
    </row>
    <row r="459" spans="1:31" ht="21.95" customHeight="1" x14ac:dyDescent="0.25">
      <c r="A459" s="97" t="str">
        <f>+IF(PROVEEDORES[[#This Row],[FECHA DE PAGO]]=PROVEEDORES[[#This Row],[FECHA DE FACTURACIÓN]],"DE CONTADO","CRÉDITO")</f>
        <v>DE CONTADO</v>
      </c>
      <c r="B459" s="41" t="b">
        <f>+IF((PROVEEDORES[[#This Row],[FECHA DE PAGO]]-PROVEEDORES[[#This Row],[FECHA DE FACTURACIÓN]])&gt;PROVEEDORES[[#This Row],[PLAZO Días]],"PAGO VENCIDO")</f>
        <v>0</v>
      </c>
      <c r="C459" s="22">
        <f>+VLOOKUP(PROVEEDORES[[#This Row],[PROVEEDOR]],TERCEROS_INFO[#All],2,FALSE)</f>
        <v>30</v>
      </c>
      <c r="D459" s="27">
        <f>+SUMIFS(PROVEEDORES[Total],PROVEEDORES[PROVEEDOR],PROVEEDORES[[#This Row],[PROVEEDOR]],PROVEEDORES[FECHA DE PAGO],"")</f>
        <v>0</v>
      </c>
      <c r="E459" s="27"/>
      <c r="F459" s="62" t="str">
        <f>+VLOOKUP(PROVEEDORES[[#This Row],[PROVEEDOR]],
                       Terceros!$A:$G,
                       6,
                       FALSE)</f>
        <v/>
      </c>
      <c r="G459" s="95">
        <v>44363</v>
      </c>
      <c r="H459" s="28" t="s">
        <v>37</v>
      </c>
      <c r="I459" s="95">
        <v>44363</v>
      </c>
      <c r="J459" s="38">
        <v>4678</v>
      </c>
      <c r="K459" s="23">
        <v>344000</v>
      </c>
      <c r="L459" s="23"/>
      <c r="M459" s="24">
        <v>65360</v>
      </c>
      <c r="N459" s="25"/>
      <c r="O459" s="24">
        <v>0</v>
      </c>
      <c r="P459" s="136">
        <f>+IF(PROVEEDORES[[#This Row],[SUBTOTAL]]&lt;PROVEEDORES[[#This Row],[base retencion]],0,PROVEEDORES[[#This Row],[retención aplicada]])</f>
        <v>0</v>
      </c>
      <c r="Q459" s="24">
        <f>+PROVEEDORES[[#This Row],[Rete Fuente %]]*PROVEEDORES[[#This Row],[SUBTOTAL]]</f>
        <v>0</v>
      </c>
      <c r="R459" s="23">
        <v>409360</v>
      </c>
      <c r="S45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9" s="99">
        <f ca="1">IF(PROVEEDORES[[#This Row],[FECHA DE PAGO]]=0,TODAY()-PROVEEDORES[[#This Row],[FECHA DE FACTURACIÓN]]-PROVEEDORES[[#This Row],[PLAZO Días]],0)</f>
        <v>0</v>
      </c>
      <c r="U459" s="149" t="str">
        <f>+VLOOKUP(PROVEEDORES[[#This Row],[PROVEEDOR]],Terceros!$A:$E,5,FALSE)</f>
        <v>2,5% con base</v>
      </c>
      <c r="V459" s="150">
        <f>+YEAR(PROVEEDORES[[#This Row],[FECHA DE FACTURACIÓN]])</f>
        <v>2021</v>
      </c>
      <c r="W459" s="150">
        <f>+MATCH(PROVEEDORES[[#This Row],[año facturado]],Retenciones!$1:$1,0)</f>
        <v>4</v>
      </c>
      <c r="X459" s="151">
        <f>+VLOOKUP(PROVEEDORES[[#This Row],[ID RETENCION]],Retenciones!$A$1:$O$24,PROVEEDORES[[#This Row],[indicador de columna]],FALSE)</f>
        <v>980000</v>
      </c>
      <c r="Y459" s="152">
        <f>+VLOOKUP(PROVEEDORES[[#This Row],[ID RETENCION]],Retenciones!$A$1:$O$24,2,FALSE)</f>
        <v>2.5000000000000001E-2</v>
      </c>
      <c r="Z459" s="26"/>
      <c r="AA459" s="26"/>
      <c r="AB459" s="26"/>
      <c r="AC459" s="26"/>
      <c r="AD459" s="26"/>
      <c r="AE459" s="26"/>
    </row>
    <row r="460" spans="1:31" ht="21.95" customHeight="1" x14ac:dyDescent="0.25">
      <c r="A460" s="97" t="str">
        <f>+IF(PROVEEDORES[[#This Row],[FECHA DE PAGO]]=PROVEEDORES[[#This Row],[FECHA DE FACTURACIÓN]],"DE CONTADO","CRÉDITO")</f>
        <v>CRÉDITO</v>
      </c>
      <c r="B460" s="41" t="b">
        <f>+IF((PROVEEDORES[[#This Row],[FECHA DE PAGO]]-PROVEEDORES[[#This Row],[FECHA DE FACTURACIÓN]])&gt;PROVEEDORES[[#This Row],[PLAZO Días]],"PAGO VENCIDO")</f>
        <v>0</v>
      </c>
      <c r="C460" s="22">
        <f>+VLOOKUP(PROVEEDORES[[#This Row],[PROVEEDOR]],TERCEROS_INFO[#All],2,FALSE)</f>
        <v>90</v>
      </c>
      <c r="D460" s="27">
        <f>+SUMIFS(PROVEEDORES[Total],PROVEEDORES[PROVEEDOR],PROVEEDORES[[#This Row],[PROVEEDOR]],PROVEEDORES[FECHA DE PAGO],"")</f>
        <v>26364243.66155</v>
      </c>
      <c r="E460" s="27"/>
      <c r="F460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460" s="95">
        <v>44418</v>
      </c>
      <c r="H460" s="28" t="s">
        <v>12</v>
      </c>
      <c r="I460" s="95">
        <v>44363</v>
      </c>
      <c r="J460" s="38" t="s">
        <v>549</v>
      </c>
      <c r="K460" s="23">
        <v>915967</v>
      </c>
      <c r="L460" s="23"/>
      <c r="M460" s="24">
        <v>174033.73</v>
      </c>
      <c r="N460" s="25"/>
      <c r="O460" s="24">
        <v>0</v>
      </c>
      <c r="P460" s="136">
        <f>+IF(PROVEEDORES[[#This Row],[SUBTOTAL]]&lt;PROVEEDORES[[#This Row],[base retencion]],0,PROVEEDORES[[#This Row],[retención aplicada]])</f>
        <v>0</v>
      </c>
      <c r="Q460" s="24">
        <f>+PROVEEDORES[[#This Row],[Rete Fuente %]]*PROVEEDORES[[#This Row],[SUBTOTAL]]</f>
        <v>0</v>
      </c>
      <c r="R460" s="23">
        <v>1090000.73</v>
      </c>
      <c r="S46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0" s="99">
        <f ca="1">IF(PROVEEDORES[[#This Row],[FECHA DE PAGO]]=0,TODAY()-PROVEEDORES[[#This Row],[FECHA DE FACTURACIÓN]]-PROVEEDORES[[#This Row],[PLAZO Días]],0)</f>
        <v>0</v>
      </c>
      <c r="U460" s="149" t="str">
        <f>+VLOOKUP(PROVEEDORES[[#This Row],[PROVEEDOR]],Terceros!$A:$E,5,FALSE)</f>
        <v>2,5% con base</v>
      </c>
      <c r="V460" s="150">
        <f>+YEAR(PROVEEDORES[[#This Row],[FECHA DE FACTURACIÓN]])</f>
        <v>2021</v>
      </c>
      <c r="W460" s="150">
        <f>+MATCH(PROVEEDORES[[#This Row],[año facturado]],Retenciones!$1:$1,0)</f>
        <v>4</v>
      </c>
      <c r="X460" s="151">
        <f>+VLOOKUP(PROVEEDORES[[#This Row],[ID RETENCION]],Retenciones!$A$1:$O$24,PROVEEDORES[[#This Row],[indicador de columna]],FALSE)</f>
        <v>980000</v>
      </c>
      <c r="Y460" s="152">
        <f>+VLOOKUP(PROVEEDORES[[#This Row],[ID RETENCION]],Retenciones!$A$1:$O$24,2,FALSE)</f>
        <v>2.5000000000000001E-2</v>
      </c>
      <c r="Z460" s="26"/>
      <c r="AA460" s="26"/>
      <c r="AB460" s="26"/>
      <c r="AC460" s="26"/>
      <c r="AD460" s="26"/>
      <c r="AE460" s="26"/>
    </row>
    <row r="461" spans="1:31" ht="21.95" customHeight="1" x14ac:dyDescent="0.25">
      <c r="A461" s="97" t="str">
        <f>+IF(PROVEEDORES[[#This Row],[FECHA DE PAGO]]=PROVEEDORES[[#This Row],[FECHA DE FACTURACIÓN]],"DE CONTADO","CRÉDITO")</f>
        <v>CRÉDITO</v>
      </c>
      <c r="B461" s="41" t="str">
        <f>+IF((PROVEEDORES[[#This Row],[FECHA DE PAGO]]-PROVEEDORES[[#This Row],[FECHA DE FACTURACIÓN]])&gt;PROVEEDORES[[#This Row],[PLAZO Días]],"PAGO VENCIDO")</f>
        <v>PAGO VENCIDO</v>
      </c>
      <c r="C461" s="22">
        <f>+VLOOKUP(PROVEEDORES[[#This Row],[PROVEEDOR]],TERCEROS_INFO[#All],2,FALSE)</f>
        <v>45</v>
      </c>
      <c r="D461" s="27">
        <f>+SUMIFS(PROVEEDORES[Total],PROVEEDORES[PROVEEDOR],PROVEEDORES[[#This Row],[PROVEEDOR]],PROVEEDORES[FECHA DE PAGO],"")</f>
        <v>3412539.2</v>
      </c>
      <c r="E461" s="27"/>
      <c r="F461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461" s="95">
        <v>44414</v>
      </c>
      <c r="H461" s="28" t="s">
        <v>10</v>
      </c>
      <c r="I461" s="95">
        <v>44363</v>
      </c>
      <c r="J461" s="38" t="s">
        <v>401</v>
      </c>
      <c r="K461" s="23">
        <v>1013000</v>
      </c>
      <c r="L461" s="23"/>
      <c r="M461" s="24">
        <v>192470</v>
      </c>
      <c r="N461" s="25"/>
      <c r="O461" s="24">
        <v>0</v>
      </c>
      <c r="P461" s="136">
        <f>+IF(PROVEEDORES[[#This Row],[SUBTOTAL]]&lt;PROVEEDORES[[#This Row],[base retencion]],0,PROVEEDORES[[#This Row],[retención aplicada]])</f>
        <v>0</v>
      </c>
      <c r="Q461" s="24">
        <f>+PROVEEDORES[[#This Row],[Rete Fuente %]]*PROVEEDORES[[#This Row],[SUBTOTAL]]</f>
        <v>0</v>
      </c>
      <c r="R461" s="23">
        <v>1205470</v>
      </c>
      <c r="S46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1" s="99">
        <f ca="1">IF(PROVEEDORES[[#This Row],[FECHA DE PAGO]]=0,TODAY()-PROVEEDORES[[#This Row],[FECHA DE FACTURACIÓN]]-PROVEEDORES[[#This Row],[PLAZO Días]],0)</f>
        <v>0</v>
      </c>
      <c r="U461" s="149">
        <f>+VLOOKUP(PROVEEDORES[[#This Row],[PROVEEDOR]],Terceros!$A:$E,5,FALSE)</f>
        <v>0</v>
      </c>
      <c r="V461" s="150">
        <f>+YEAR(PROVEEDORES[[#This Row],[FECHA DE FACTURACIÓN]])</f>
        <v>2021</v>
      </c>
      <c r="W461" s="150">
        <f>+MATCH(PROVEEDORES[[#This Row],[año facturado]],Retenciones!$1:$1,0)</f>
        <v>4</v>
      </c>
      <c r="X461" s="151">
        <f>+VLOOKUP(PROVEEDORES[[#This Row],[ID RETENCION]],Retenciones!$A$1:$O$24,PROVEEDORES[[#This Row],[indicador de columna]],FALSE)</f>
        <v>0</v>
      </c>
      <c r="Y461" s="152">
        <f>+VLOOKUP(PROVEEDORES[[#This Row],[ID RETENCION]],Retenciones!$A$1:$O$24,2,FALSE)</f>
        <v>0</v>
      </c>
      <c r="Z461" s="26"/>
      <c r="AA461" s="26"/>
      <c r="AB461" s="26"/>
      <c r="AC461" s="26"/>
      <c r="AD461" s="26"/>
      <c r="AE461" s="26"/>
    </row>
    <row r="462" spans="1:31" ht="21.95" customHeight="1" x14ac:dyDescent="0.25">
      <c r="A462" s="97" t="str">
        <f>+IF(PROVEEDORES[[#This Row],[FECHA DE PAGO]]=PROVEEDORES[[#This Row],[FECHA DE FACTURACIÓN]],"DE CONTADO","CRÉDITO")</f>
        <v>CRÉDITO</v>
      </c>
      <c r="B462" s="41" t="str">
        <f>+IF((PROVEEDORES[[#This Row],[FECHA DE PAGO]]-PROVEEDORES[[#This Row],[FECHA DE FACTURACIÓN]])&gt;PROVEEDORES[[#This Row],[PLAZO Días]],"PAGO VENCIDO")</f>
        <v>PAGO VENCIDO</v>
      </c>
      <c r="C462" s="22">
        <f>+VLOOKUP(PROVEEDORES[[#This Row],[PROVEEDOR]],TERCEROS_INFO[#All],2,FALSE)</f>
        <v>20</v>
      </c>
      <c r="D462" s="27">
        <f>+SUMIFS(PROVEEDORES[Total],PROVEEDORES[PROVEEDOR],PROVEEDORES[[#This Row],[PROVEEDOR]],PROVEEDORES[FECHA DE PAGO],"")</f>
        <v>0</v>
      </c>
      <c r="E462" s="27"/>
      <c r="F462" s="62">
        <f>+VLOOKUP(PROVEEDORES[[#This Row],[PROVEEDOR]],
                       Terceros!$A:$G,
                       6,
                       FALSE)</f>
        <v>0</v>
      </c>
      <c r="G462" s="95">
        <v>44400</v>
      </c>
      <c r="H462" s="28" t="s">
        <v>1045</v>
      </c>
      <c r="I462" s="95">
        <v>44363</v>
      </c>
      <c r="J462" s="38" t="s">
        <v>730</v>
      </c>
      <c r="K462" s="23">
        <v>1035000</v>
      </c>
      <c r="L462" s="23"/>
      <c r="M462" s="24">
        <v>0</v>
      </c>
      <c r="N462" s="25"/>
      <c r="O462" s="24">
        <v>0</v>
      </c>
      <c r="P462" s="136">
        <f>+IF(PROVEEDORES[[#This Row],[SUBTOTAL]]&lt;PROVEEDORES[[#This Row],[base retencion]],0,PROVEEDORES[[#This Row],[retención aplicada]])</f>
        <v>0</v>
      </c>
      <c r="Q462" s="24">
        <f>+PROVEEDORES[[#This Row],[Rete Fuente %]]*PROVEEDORES[[#This Row],[SUBTOTAL]]</f>
        <v>0</v>
      </c>
      <c r="R462" s="23">
        <v>0</v>
      </c>
      <c r="S46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2" s="99">
        <f ca="1">IF(PROVEEDORES[[#This Row],[FECHA DE PAGO]]=0,TODAY()-PROVEEDORES[[#This Row],[FECHA DE FACTURACIÓN]]-PROVEEDORES[[#This Row],[PLAZO Días]],0)</f>
        <v>0</v>
      </c>
      <c r="U462" s="149">
        <f>+VLOOKUP(PROVEEDORES[[#This Row],[PROVEEDOR]],Terceros!$A:$E,5,FALSE)</f>
        <v>0</v>
      </c>
      <c r="V462" s="150">
        <f>+YEAR(PROVEEDORES[[#This Row],[FECHA DE FACTURACIÓN]])</f>
        <v>2021</v>
      </c>
      <c r="W462" s="150">
        <f>+MATCH(PROVEEDORES[[#This Row],[año facturado]],Retenciones!$1:$1,0)</f>
        <v>4</v>
      </c>
      <c r="X462" s="151">
        <f>+VLOOKUP(PROVEEDORES[[#This Row],[ID RETENCION]],Retenciones!$A$1:$O$24,PROVEEDORES[[#This Row],[indicador de columna]],FALSE)</f>
        <v>0</v>
      </c>
      <c r="Y462" s="152">
        <f>+VLOOKUP(PROVEEDORES[[#This Row],[ID RETENCION]],Retenciones!$A$1:$O$24,2,FALSE)</f>
        <v>0</v>
      </c>
      <c r="Z462" s="26"/>
      <c r="AA462" s="26"/>
      <c r="AB462" s="26"/>
      <c r="AC462" s="26"/>
      <c r="AD462" s="26"/>
      <c r="AE462" s="26"/>
    </row>
    <row r="463" spans="1:31" ht="21.95" customHeight="1" x14ac:dyDescent="0.25">
      <c r="A463" s="97" t="str">
        <f>+IF(PROVEEDORES[[#This Row],[FECHA DE PAGO]]=PROVEEDORES[[#This Row],[FECHA DE FACTURACIÓN]],"DE CONTADO","CRÉDITO")</f>
        <v>CRÉDITO</v>
      </c>
      <c r="B463" s="41" t="b">
        <f>+IF((PROVEEDORES[[#This Row],[FECHA DE PAGO]]-PROVEEDORES[[#This Row],[FECHA DE FACTURACIÓN]])&gt;PROVEEDORES[[#This Row],[PLAZO Días]],"PAGO VENCIDO")</f>
        <v>0</v>
      </c>
      <c r="C463" s="22">
        <f>+VLOOKUP(PROVEEDORES[[#This Row],[PROVEEDOR]],TERCEROS_INFO[#All],2,FALSE)</f>
        <v>30</v>
      </c>
      <c r="D463" s="27">
        <f>+SUMIFS(PROVEEDORES[Total],PROVEEDORES[PROVEEDOR],PROVEEDORES[[#This Row],[PROVEEDOR]],PROVEEDORES[FECHA DE PAGO],"")</f>
        <v>3750700</v>
      </c>
      <c r="E463" s="27"/>
      <c r="F463" s="62" t="str">
        <f>+VLOOKUP(PROVEEDORES[[#This Row],[PROVEEDOR]],
                       Terceros!$A:$G,
                       6,
                       FALSE)</f>
        <v/>
      </c>
      <c r="G463" s="95">
        <v>44391</v>
      </c>
      <c r="H463" s="28" t="s">
        <v>990</v>
      </c>
      <c r="I463" s="95">
        <v>44363</v>
      </c>
      <c r="J463" s="38" t="s">
        <v>729</v>
      </c>
      <c r="K463" s="23">
        <v>1065000</v>
      </c>
      <c r="L463" s="23"/>
      <c r="M463" s="24">
        <v>0</v>
      </c>
      <c r="N463" s="25"/>
      <c r="O463" s="24">
        <v>0</v>
      </c>
      <c r="P463" s="136">
        <f>+IF(PROVEEDORES[[#This Row],[SUBTOTAL]]&lt;PROVEEDORES[[#This Row],[base retencion]],0,PROVEEDORES[[#This Row],[retención aplicada]])</f>
        <v>0</v>
      </c>
      <c r="Q463" s="24">
        <f>+PROVEEDORES[[#This Row],[Rete Fuente %]]*PROVEEDORES[[#This Row],[SUBTOTAL]]</f>
        <v>0</v>
      </c>
      <c r="R463" s="23">
        <v>1065000</v>
      </c>
      <c r="S46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3" s="99">
        <f ca="1">IF(PROVEEDORES[[#This Row],[FECHA DE PAGO]]=0,TODAY()-PROVEEDORES[[#This Row],[FECHA DE FACTURACIÓN]]-PROVEEDORES[[#This Row],[PLAZO Días]],0)</f>
        <v>0</v>
      </c>
      <c r="U463" s="149">
        <f>+VLOOKUP(PROVEEDORES[[#This Row],[PROVEEDOR]],Terceros!$A:$E,5,FALSE)</f>
        <v>0</v>
      </c>
      <c r="V463" s="150">
        <f>+YEAR(PROVEEDORES[[#This Row],[FECHA DE FACTURACIÓN]])</f>
        <v>2021</v>
      </c>
      <c r="W463" s="150">
        <f>+MATCH(PROVEEDORES[[#This Row],[año facturado]],Retenciones!$1:$1,0)</f>
        <v>4</v>
      </c>
      <c r="X463" s="151">
        <f>+VLOOKUP(PROVEEDORES[[#This Row],[ID RETENCION]],Retenciones!$A$1:$O$24,PROVEEDORES[[#This Row],[indicador de columna]],FALSE)</f>
        <v>0</v>
      </c>
      <c r="Y463" s="152">
        <f>+VLOOKUP(PROVEEDORES[[#This Row],[ID RETENCION]],Retenciones!$A$1:$O$24,2,FALSE)</f>
        <v>0</v>
      </c>
      <c r="Z463" s="26"/>
      <c r="AA463" s="26"/>
      <c r="AB463" s="26"/>
      <c r="AC463" s="26"/>
      <c r="AD463" s="26"/>
      <c r="AE463" s="26"/>
    </row>
    <row r="464" spans="1:31" ht="21.95" customHeight="1" x14ac:dyDescent="0.25">
      <c r="A464" s="97" t="str">
        <f>+IF(PROVEEDORES[[#This Row],[FECHA DE PAGO]]=PROVEEDORES[[#This Row],[FECHA DE FACTURACIÓN]],"DE CONTADO","CRÉDITO")</f>
        <v>CRÉDITO</v>
      </c>
      <c r="B464" s="41" t="str">
        <f>+IF((PROVEEDORES[[#This Row],[FECHA DE PAGO]]-PROVEEDORES[[#This Row],[FECHA DE FACTURACIÓN]])&gt;PROVEEDORES[[#This Row],[PLAZO Días]],"PAGO VENCIDO")</f>
        <v>PAGO VENCIDO</v>
      </c>
      <c r="C464" s="22">
        <f>+VLOOKUP(PROVEEDORES[[#This Row],[PROVEEDOR]],TERCEROS_INFO[#All],2,FALSE)</f>
        <v>45</v>
      </c>
      <c r="D464" s="27">
        <f>+SUMIFS(PROVEEDORES[Total],PROVEEDORES[PROVEEDOR],PROVEEDORES[[#This Row],[PROVEEDOR]],PROVEEDORES[FECHA DE PAGO],"")</f>
        <v>3412539.2</v>
      </c>
      <c r="E464" s="27"/>
      <c r="F464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464" s="95">
        <v>44418</v>
      </c>
      <c r="H464" s="28" t="s">
        <v>10</v>
      </c>
      <c r="I464" s="95">
        <v>44363</v>
      </c>
      <c r="J464" s="38" t="s">
        <v>402</v>
      </c>
      <c r="K464" s="23">
        <v>1550000</v>
      </c>
      <c r="L464" s="23"/>
      <c r="M464" s="24">
        <v>294500</v>
      </c>
      <c r="N464" s="25"/>
      <c r="O464" s="24">
        <v>0</v>
      </c>
      <c r="P464" s="136">
        <f>+IF(PROVEEDORES[[#This Row],[SUBTOTAL]]&lt;PROVEEDORES[[#This Row],[base retencion]],0,PROVEEDORES[[#This Row],[retención aplicada]])</f>
        <v>0</v>
      </c>
      <c r="Q464" s="24">
        <f>+PROVEEDORES[[#This Row],[Rete Fuente %]]*PROVEEDORES[[#This Row],[SUBTOTAL]]</f>
        <v>0</v>
      </c>
      <c r="R464" s="23">
        <v>1844500</v>
      </c>
      <c r="S46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4" s="99">
        <f ca="1">IF(PROVEEDORES[[#This Row],[FECHA DE PAGO]]=0,TODAY()-PROVEEDORES[[#This Row],[FECHA DE FACTURACIÓN]]-PROVEEDORES[[#This Row],[PLAZO Días]],0)</f>
        <v>0</v>
      </c>
      <c r="U464" s="149">
        <f>+VLOOKUP(PROVEEDORES[[#This Row],[PROVEEDOR]],Terceros!$A:$E,5,FALSE)</f>
        <v>0</v>
      </c>
      <c r="V464" s="150">
        <f>+YEAR(PROVEEDORES[[#This Row],[FECHA DE FACTURACIÓN]])</f>
        <v>2021</v>
      </c>
      <c r="W464" s="150">
        <f>+MATCH(PROVEEDORES[[#This Row],[año facturado]],Retenciones!$1:$1,0)</f>
        <v>4</v>
      </c>
      <c r="X464" s="151">
        <f>+VLOOKUP(PROVEEDORES[[#This Row],[ID RETENCION]],Retenciones!$A$1:$O$24,PROVEEDORES[[#This Row],[indicador de columna]],FALSE)</f>
        <v>0</v>
      </c>
      <c r="Y464" s="152">
        <f>+VLOOKUP(PROVEEDORES[[#This Row],[ID RETENCION]],Retenciones!$A$1:$O$24,2,FALSE)</f>
        <v>0</v>
      </c>
      <c r="Z464" s="26"/>
      <c r="AA464" s="26"/>
      <c r="AB464" s="26"/>
      <c r="AC464" s="26"/>
      <c r="AD464" s="26"/>
      <c r="AE464" s="26"/>
    </row>
    <row r="465" spans="1:31" ht="21.95" customHeight="1" x14ac:dyDescent="0.25">
      <c r="A465" s="97" t="str">
        <f>+IF(PROVEEDORES[[#This Row],[FECHA DE PAGO]]=PROVEEDORES[[#This Row],[FECHA DE FACTURACIÓN]],"DE CONTADO","CRÉDITO")</f>
        <v>CRÉDITO</v>
      </c>
      <c r="B465" s="41" t="str">
        <f>+IF((PROVEEDORES[[#This Row],[FECHA DE PAGO]]-PROVEEDORES[[#This Row],[FECHA DE FACTURACIÓN]])&gt;PROVEEDORES[[#This Row],[PLAZO Días]],"PAGO VENCIDO")</f>
        <v>PAGO VENCIDO</v>
      </c>
      <c r="C465" s="22">
        <f>+VLOOKUP(PROVEEDORES[[#This Row],[PROVEEDOR]],TERCEROS_INFO[#All],2,FALSE)</f>
        <v>45</v>
      </c>
      <c r="D465" s="27">
        <f>+SUMIFS(PROVEEDORES[Total],PROVEEDORES[PROVEEDOR],PROVEEDORES[[#This Row],[PROVEEDOR]],PROVEEDORES[FECHA DE PAGO],"")</f>
        <v>3412539.2</v>
      </c>
      <c r="E465" s="27"/>
      <c r="F465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465" s="95">
        <v>44414</v>
      </c>
      <c r="H465" s="28" t="s">
        <v>10</v>
      </c>
      <c r="I465" s="95">
        <v>44363</v>
      </c>
      <c r="J465" s="38" t="s">
        <v>400</v>
      </c>
      <c r="K465" s="23">
        <v>2360000</v>
      </c>
      <c r="L465" s="23"/>
      <c r="M465" s="24">
        <v>448400</v>
      </c>
      <c r="N465" s="25"/>
      <c r="O465" s="24">
        <v>0</v>
      </c>
      <c r="P465" s="136">
        <f>+IF(PROVEEDORES[[#This Row],[SUBTOTAL]]&lt;PROVEEDORES[[#This Row],[base retencion]],0,PROVEEDORES[[#This Row],[retención aplicada]])</f>
        <v>0</v>
      </c>
      <c r="Q465" s="24">
        <f>+PROVEEDORES[[#This Row],[Rete Fuente %]]*PROVEEDORES[[#This Row],[SUBTOTAL]]</f>
        <v>0</v>
      </c>
      <c r="R465" s="23">
        <v>2808400</v>
      </c>
      <c r="S46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5" s="99">
        <f ca="1">IF(PROVEEDORES[[#This Row],[FECHA DE PAGO]]=0,TODAY()-PROVEEDORES[[#This Row],[FECHA DE FACTURACIÓN]]-PROVEEDORES[[#This Row],[PLAZO Días]],0)</f>
        <v>0</v>
      </c>
      <c r="U465" s="149">
        <f>+VLOOKUP(PROVEEDORES[[#This Row],[PROVEEDOR]],Terceros!$A:$E,5,FALSE)</f>
        <v>0</v>
      </c>
      <c r="V465" s="150">
        <f>+YEAR(PROVEEDORES[[#This Row],[FECHA DE FACTURACIÓN]])</f>
        <v>2021</v>
      </c>
      <c r="W465" s="150">
        <f>+MATCH(PROVEEDORES[[#This Row],[año facturado]],Retenciones!$1:$1,0)</f>
        <v>4</v>
      </c>
      <c r="X465" s="151">
        <f>+VLOOKUP(PROVEEDORES[[#This Row],[ID RETENCION]],Retenciones!$A$1:$O$24,PROVEEDORES[[#This Row],[indicador de columna]],FALSE)</f>
        <v>0</v>
      </c>
      <c r="Y465" s="152">
        <f>+VLOOKUP(PROVEEDORES[[#This Row],[ID RETENCION]],Retenciones!$A$1:$O$24,2,FALSE)</f>
        <v>0</v>
      </c>
      <c r="Z465" s="26"/>
      <c r="AA465" s="26"/>
      <c r="AB465" s="26"/>
      <c r="AC465" s="26"/>
      <c r="AD465" s="26"/>
      <c r="AE465" s="26"/>
    </row>
    <row r="466" spans="1:31" ht="21.95" customHeight="1" x14ac:dyDescent="0.25">
      <c r="A466" s="97" t="str">
        <f>+IF(PROVEEDORES[[#This Row],[FECHA DE PAGO]]=PROVEEDORES[[#This Row],[FECHA DE FACTURACIÓN]],"DE CONTADO","CRÉDITO")</f>
        <v>CRÉDITO</v>
      </c>
      <c r="B466" s="41" t="str">
        <f>+IF((PROVEEDORES[[#This Row],[FECHA DE PAGO]]-PROVEEDORES[[#This Row],[FECHA DE FACTURACIÓN]])&gt;PROVEEDORES[[#This Row],[PLAZO Días]],"PAGO VENCIDO")</f>
        <v>PAGO VENCIDO</v>
      </c>
      <c r="C466" s="22">
        <f>+VLOOKUP(PROVEEDORES[[#This Row],[PROVEEDOR]],TERCEROS_INFO[#All],2,FALSE)</f>
        <v>30</v>
      </c>
      <c r="D466" s="27">
        <f>+SUMIFS(PROVEEDORES[Total],PROVEEDORES[PROVEEDOR],PROVEEDORES[[#This Row],[PROVEEDOR]],PROVEEDORES[FECHA DE PAGO],"")</f>
        <v>479654.98979999998</v>
      </c>
      <c r="E466" s="27"/>
      <c r="F466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466" s="95">
        <v>44418</v>
      </c>
      <c r="H466" s="28" t="s">
        <v>1139</v>
      </c>
      <c r="I466" s="95">
        <v>44364</v>
      </c>
      <c r="J466" s="38">
        <v>1288</v>
      </c>
      <c r="K466" s="23">
        <v>226890.76</v>
      </c>
      <c r="L466" s="23"/>
      <c r="M466" s="24">
        <v>43109.244400000003</v>
      </c>
      <c r="N466" s="25"/>
      <c r="O466" s="24">
        <v>0</v>
      </c>
      <c r="P466" s="136">
        <f>+IF(PROVEEDORES[[#This Row],[SUBTOTAL]]&lt;PROVEEDORES[[#This Row],[base retencion]],0,PROVEEDORES[[#This Row],[retención aplicada]])</f>
        <v>0</v>
      </c>
      <c r="Q466" s="24">
        <f>+PROVEEDORES[[#This Row],[Rete Fuente %]]*PROVEEDORES[[#This Row],[SUBTOTAL]]</f>
        <v>0</v>
      </c>
      <c r="R466" s="23">
        <v>270000.00440000003</v>
      </c>
      <c r="S46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6" s="99">
        <f ca="1">IF(PROVEEDORES[[#This Row],[FECHA DE PAGO]]=0,TODAY()-PROVEEDORES[[#This Row],[FECHA DE FACTURACIÓN]]-PROVEEDORES[[#This Row],[PLAZO Días]],0)</f>
        <v>0</v>
      </c>
      <c r="U466" s="149" t="str">
        <f>+VLOOKUP(PROVEEDORES[[#This Row],[PROVEEDOR]],Terceros!$A:$E,5,FALSE)</f>
        <v>2,5% con base</v>
      </c>
      <c r="V466" s="150">
        <f>+YEAR(PROVEEDORES[[#This Row],[FECHA DE FACTURACIÓN]])</f>
        <v>2021</v>
      </c>
      <c r="W466" s="150">
        <f>+MATCH(PROVEEDORES[[#This Row],[año facturado]],Retenciones!$1:$1,0)</f>
        <v>4</v>
      </c>
      <c r="X466" s="151">
        <f>+VLOOKUP(PROVEEDORES[[#This Row],[ID RETENCION]],Retenciones!$A$1:$O$24,PROVEEDORES[[#This Row],[indicador de columna]],FALSE)</f>
        <v>980000</v>
      </c>
      <c r="Y466" s="152">
        <f>+VLOOKUP(PROVEEDORES[[#This Row],[ID RETENCION]],Retenciones!$A$1:$O$24,2,FALSE)</f>
        <v>2.5000000000000001E-2</v>
      </c>
      <c r="Z466" s="26"/>
      <c r="AA466" s="26"/>
      <c r="AB466" s="26"/>
      <c r="AC466" s="26"/>
      <c r="AD466" s="26"/>
      <c r="AE466" s="26"/>
    </row>
    <row r="467" spans="1:31" ht="21.95" customHeight="1" x14ac:dyDescent="0.25">
      <c r="A467" s="97" t="str">
        <f>+IF(PROVEEDORES[[#This Row],[FECHA DE PAGO]]=PROVEEDORES[[#This Row],[FECHA DE FACTURACIÓN]],"DE CONTADO","CRÉDITO")</f>
        <v>CRÉDITO</v>
      </c>
      <c r="B467" s="41" t="str">
        <f>+IF((PROVEEDORES[[#This Row],[FECHA DE PAGO]]-PROVEEDORES[[#This Row],[FECHA DE FACTURACIÓN]])&gt;PROVEEDORES[[#This Row],[PLAZO Días]],"PAGO VENCIDO")</f>
        <v>PAGO VENCIDO</v>
      </c>
      <c r="C467" s="22">
        <f>+VLOOKUP(PROVEEDORES[[#This Row],[PROVEEDOR]],TERCEROS_INFO[#All],2,FALSE)</f>
        <v>0</v>
      </c>
      <c r="D467" s="27">
        <f>+SUMIFS(PROVEEDORES[Total],PROVEEDORES[PROVEEDOR],PROVEEDORES[[#This Row],[PROVEEDOR]],PROVEEDORES[FECHA DE PAGO],"")</f>
        <v>0</v>
      </c>
      <c r="E467" s="27"/>
      <c r="F467" s="62">
        <f>+VLOOKUP(PROVEEDORES[[#This Row],[PROVEEDOR]],
                       Terceros!$A:$G,
                       6,
                       FALSE)</f>
        <v>0</v>
      </c>
      <c r="G467" s="95">
        <v>44377</v>
      </c>
      <c r="H467" s="28" t="s">
        <v>987</v>
      </c>
      <c r="I467" s="95">
        <v>44364</v>
      </c>
      <c r="J467" s="38"/>
      <c r="K467" s="23">
        <v>250995</v>
      </c>
      <c r="L467" s="23"/>
      <c r="M467" s="24">
        <v>0</v>
      </c>
      <c r="N467" s="25"/>
      <c r="O467" s="24">
        <v>0</v>
      </c>
      <c r="P467" s="136">
        <f>+IF(PROVEEDORES[[#This Row],[SUBTOTAL]]&lt;PROVEEDORES[[#This Row],[base retencion]],0,PROVEEDORES[[#This Row],[retención aplicada]])</f>
        <v>0</v>
      </c>
      <c r="Q467" s="24">
        <f>+PROVEEDORES[[#This Row],[Rete Fuente %]]*PROVEEDORES[[#This Row],[SUBTOTAL]]</f>
        <v>0</v>
      </c>
      <c r="R467" s="23">
        <v>250995</v>
      </c>
      <c r="S46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7" s="99">
        <f ca="1">IF(PROVEEDORES[[#This Row],[FECHA DE PAGO]]=0,TODAY()-PROVEEDORES[[#This Row],[FECHA DE FACTURACIÓN]]-PROVEEDORES[[#This Row],[PLAZO Días]],0)</f>
        <v>0</v>
      </c>
      <c r="U467" s="149">
        <f>+VLOOKUP(PROVEEDORES[[#This Row],[PROVEEDOR]],Terceros!$A:$E,5,FALSE)</f>
        <v>0</v>
      </c>
      <c r="V467" s="150">
        <f>+YEAR(PROVEEDORES[[#This Row],[FECHA DE FACTURACIÓN]])</f>
        <v>2021</v>
      </c>
      <c r="W467" s="150">
        <f>+MATCH(PROVEEDORES[[#This Row],[año facturado]],Retenciones!$1:$1,0)</f>
        <v>4</v>
      </c>
      <c r="X467" s="151">
        <f>+VLOOKUP(PROVEEDORES[[#This Row],[ID RETENCION]],Retenciones!$A$1:$O$24,PROVEEDORES[[#This Row],[indicador de columna]],FALSE)</f>
        <v>0</v>
      </c>
      <c r="Y467" s="152">
        <f>+VLOOKUP(PROVEEDORES[[#This Row],[ID RETENCION]],Retenciones!$A$1:$O$24,2,FALSE)</f>
        <v>0</v>
      </c>
      <c r="Z467" s="26"/>
      <c r="AA467" s="26"/>
      <c r="AB467" s="26"/>
      <c r="AC467" s="26"/>
      <c r="AD467" s="26"/>
      <c r="AE467" s="26"/>
    </row>
    <row r="468" spans="1:31" ht="21.95" customHeight="1" x14ac:dyDescent="0.25">
      <c r="A468" s="97" t="str">
        <f>+IF(PROVEEDORES[[#This Row],[FECHA DE PAGO]]=PROVEEDORES[[#This Row],[FECHA DE FACTURACIÓN]],"DE CONTADO","CRÉDITO")</f>
        <v>DE CONTADO</v>
      </c>
      <c r="B468" s="41" t="b">
        <f>+IF((PROVEEDORES[[#This Row],[FECHA DE PAGO]]-PROVEEDORES[[#This Row],[FECHA DE FACTURACIÓN]])&gt;PROVEEDORES[[#This Row],[PLAZO Días]],"PAGO VENCIDO")</f>
        <v>0</v>
      </c>
      <c r="C468" s="22">
        <f>+VLOOKUP(PROVEEDORES[[#This Row],[PROVEEDOR]],TERCEROS_INFO[#All],2,FALSE)</f>
        <v>30</v>
      </c>
      <c r="D468" s="27">
        <f>+SUMIFS(PROVEEDORES[Total],PROVEEDORES[PROVEEDOR],PROVEEDORES[[#This Row],[PROVEEDOR]],PROVEEDORES[FECHA DE PAGO],"")</f>
        <v>0</v>
      </c>
      <c r="E468" s="27"/>
      <c r="F468" s="62" t="str">
        <f>+VLOOKUP(PROVEEDORES[[#This Row],[PROVEEDOR]],
                       Terceros!$A:$G,
                       6,
                       FALSE)</f>
        <v/>
      </c>
      <c r="G468" s="95">
        <v>44364</v>
      </c>
      <c r="H468" s="28" t="s">
        <v>1010</v>
      </c>
      <c r="I468" s="95">
        <v>44364</v>
      </c>
      <c r="J468" s="38" t="s">
        <v>732</v>
      </c>
      <c r="K468" s="23">
        <v>255000</v>
      </c>
      <c r="L468" s="23"/>
      <c r="M468" s="24">
        <v>0</v>
      </c>
      <c r="N468" s="25"/>
      <c r="O468" s="24">
        <v>0</v>
      </c>
      <c r="P468" s="136">
        <f>+IF(PROVEEDORES[[#This Row],[SUBTOTAL]]&lt;PROVEEDORES[[#This Row],[base retencion]],0,PROVEEDORES[[#This Row],[retención aplicada]])</f>
        <v>0</v>
      </c>
      <c r="Q468" s="24">
        <f>+PROVEEDORES[[#This Row],[Rete Fuente %]]*PROVEEDORES[[#This Row],[SUBTOTAL]]</f>
        <v>0</v>
      </c>
      <c r="R468" s="23">
        <v>255000</v>
      </c>
      <c r="S46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8" s="99">
        <f ca="1">IF(PROVEEDORES[[#This Row],[FECHA DE PAGO]]=0,TODAY()-PROVEEDORES[[#This Row],[FECHA DE FACTURACIÓN]]-PROVEEDORES[[#This Row],[PLAZO Días]],0)</f>
        <v>0</v>
      </c>
      <c r="U468" s="149">
        <f>+VLOOKUP(PROVEEDORES[[#This Row],[PROVEEDOR]],Terceros!$A:$E,5,FALSE)</f>
        <v>0</v>
      </c>
      <c r="V468" s="150">
        <f>+YEAR(PROVEEDORES[[#This Row],[FECHA DE FACTURACIÓN]])</f>
        <v>2021</v>
      </c>
      <c r="W468" s="150">
        <f>+MATCH(PROVEEDORES[[#This Row],[año facturado]],Retenciones!$1:$1,0)</f>
        <v>4</v>
      </c>
      <c r="X468" s="151">
        <f>+VLOOKUP(PROVEEDORES[[#This Row],[ID RETENCION]],Retenciones!$A$1:$O$24,PROVEEDORES[[#This Row],[indicador de columna]],FALSE)</f>
        <v>0</v>
      </c>
      <c r="Y468" s="152">
        <f>+VLOOKUP(PROVEEDORES[[#This Row],[ID RETENCION]],Retenciones!$A$1:$O$24,2,FALSE)</f>
        <v>0</v>
      </c>
      <c r="Z468" s="26"/>
      <c r="AA468" s="26"/>
      <c r="AB468" s="26"/>
      <c r="AC468" s="26"/>
      <c r="AD468" s="26"/>
      <c r="AE468" s="26"/>
    </row>
    <row r="469" spans="1:31" ht="21.95" customHeight="1" x14ac:dyDescent="0.25">
      <c r="A469" s="97" t="str">
        <f>+IF(PROVEEDORES[[#This Row],[FECHA DE PAGO]]=PROVEEDORES[[#This Row],[FECHA DE FACTURACIÓN]],"DE CONTADO","CRÉDITO")</f>
        <v>CRÉDITO</v>
      </c>
      <c r="B469" s="41" t="b">
        <f>+IF((PROVEEDORES[[#This Row],[FECHA DE PAGO]]-PROVEEDORES[[#This Row],[FECHA DE FACTURACIÓN]])&gt;PROVEEDORES[[#This Row],[PLAZO Días]],"PAGO VENCIDO")</f>
        <v>0</v>
      </c>
      <c r="C469" s="22">
        <f>+VLOOKUP(PROVEEDORES[[#This Row],[PROVEEDOR]],TERCEROS_INFO[#All],2,FALSE)</f>
        <v>10</v>
      </c>
      <c r="D469" s="27">
        <f>+SUMIFS(PROVEEDORES[Total],PROVEEDORES[PROVEEDOR],PROVEEDORES[[#This Row],[PROVEEDOR]],PROVEEDORES[FECHA DE PAGO],"")</f>
        <v>0</v>
      </c>
      <c r="E469" s="27"/>
      <c r="F469" s="62">
        <f>+VLOOKUP(PROVEEDORES[[#This Row],[PROVEEDOR]],
                       Terceros!$A:$G,
                       6,
                       FALSE)</f>
        <v>0</v>
      </c>
      <c r="G469" s="95">
        <v>44365</v>
      </c>
      <c r="H469" s="28" t="s">
        <v>398</v>
      </c>
      <c r="I469" s="95">
        <v>44364</v>
      </c>
      <c r="J469" s="38" t="s">
        <v>733</v>
      </c>
      <c r="K469" s="23">
        <v>377128</v>
      </c>
      <c r="L469" s="23"/>
      <c r="M469" s="24">
        <v>0</v>
      </c>
      <c r="N469" s="25"/>
      <c r="O469" s="24">
        <v>0</v>
      </c>
      <c r="P469" s="136">
        <f>+IF(PROVEEDORES[[#This Row],[SUBTOTAL]]&lt;PROVEEDORES[[#This Row],[base retencion]],0,PROVEEDORES[[#This Row],[retención aplicada]])</f>
        <v>0</v>
      </c>
      <c r="Q469" s="24">
        <f>+PROVEEDORES[[#This Row],[Rete Fuente %]]*PROVEEDORES[[#This Row],[SUBTOTAL]]</f>
        <v>0</v>
      </c>
      <c r="R469" s="23">
        <v>377128</v>
      </c>
      <c r="S46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9" s="99">
        <f ca="1">IF(PROVEEDORES[[#This Row],[FECHA DE PAGO]]=0,TODAY()-PROVEEDORES[[#This Row],[FECHA DE FACTURACIÓN]]-PROVEEDORES[[#This Row],[PLAZO Días]],0)</f>
        <v>0</v>
      </c>
      <c r="U469" s="149">
        <f>+VLOOKUP(PROVEEDORES[[#This Row],[PROVEEDOR]],Terceros!$A:$E,5,FALSE)</f>
        <v>0</v>
      </c>
      <c r="V469" s="150">
        <f>+YEAR(PROVEEDORES[[#This Row],[FECHA DE FACTURACIÓN]])</f>
        <v>2021</v>
      </c>
      <c r="W469" s="150">
        <f>+MATCH(PROVEEDORES[[#This Row],[año facturado]],Retenciones!$1:$1,0)</f>
        <v>4</v>
      </c>
      <c r="X469" s="151">
        <f>+VLOOKUP(PROVEEDORES[[#This Row],[ID RETENCION]],Retenciones!$A$1:$O$24,PROVEEDORES[[#This Row],[indicador de columna]],FALSE)</f>
        <v>0</v>
      </c>
      <c r="Y469" s="152">
        <f>+VLOOKUP(PROVEEDORES[[#This Row],[ID RETENCION]],Retenciones!$A$1:$O$24,2,FALSE)</f>
        <v>0</v>
      </c>
      <c r="Z469" s="26"/>
      <c r="AA469" s="26"/>
      <c r="AB469" s="26"/>
      <c r="AC469" s="26"/>
      <c r="AD469" s="26"/>
      <c r="AE469" s="26"/>
    </row>
    <row r="470" spans="1:31" ht="21.95" customHeight="1" x14ac:dyDescent="0.25">
      <c r="A470" s="97" t="str">
        <f>+IF(PROVEEDORES[[#This Row],[FECHA DE PAGO]]=PROVEEDORES[[#This Row],[FECHA DE FACTURACIÓN]],"DE CONTADO","CRÉDITO")</f>
        <v>CRÉDITO</v>
      </c>
      <c r="B470" s="41" t="str">
        <f>+IF((PROVEEDORES[[#This Row],[FECHA DE PAGO]]-PROVEEDORES[[#This Row],[FECHA DE FACTURACIÓN]])&gt;PROVEEDORES[[#This Row],[PLAZO Días]],"PAGO VENCIDO")</f>
        <v>PAGO VENCIDO</v>
      </c>
      <c r="C470" s="22">
        <f>+VLOOKUP(PROVEEDORES[[#This Row],[PROVEEDOR]],TERCEROS_INFO[#All],2,FALSE)</f>
        <v>0</v>
      </c>
      <c r="D470" s="27">
        <f>+SUMIFS(PROVEEDORES[Total],PROVEEDORES[PROVEEDOR],PROVEEDORES[[#This Row],[PROVEEDOR]],PROVEEDORES[FECHA DE PAGO],"")</f>
        <v>0</v>
      </c>
      <c r="E470" s="27"/>
      <c r="F470" s="62">
        <f>+VLOOKUP(PROVEEDORES[[#This Row],[PROVEEDOR]],
                       Terceros!$A:$G,
                       6,
                       FALSE)</f>
        <v>0</v>
      </c>
      <c r="G470" s="95">
        <v>44377</v>
      </c>
      <c r="H470" s="28" t="s">
        <v>987</v>
      </c>
      <c r="I470" s="95">
        <v>44364</v>
      </c>
      <c r="J470" s="38"/>
      <c r="K470" s="23">
        <v>514870</v>
      </c>
      <c r="L470" s="23"/>
      <c r="M470" s="24">
        <v>0</v>
      </c>
      <c r="N470" s="25"/>
      <c r="O470" s="24">
        <v>0</v>
      </c>
      <c r="P470" s="136">
        <f>+IF(PROVEEDORES[[#This Row],[SUBTOTAL]]&lt;PROVEEDORES[[#This Row],[base retencion]],0,PROVEEDORES[[#This Row],[retención aplicada]])</f>
        <v>0</v>
      </c>
      <c r="Q470" s="24">
        <f>+PROVEEDORES[[#This Row],[Rete Fuente %]]*PROVEEDORES[[#This Row],[SUBTOTAL]]</f>
        <v>0</v>
      </c>
      <c r="R470" s="23">
        <v>514870</v>
      </c>
      <c r="S47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0" s="99">
        <f ca="1">IF(PROVEEDORES[[#This Row],[FECHA DE PAGO]]=0,TODAY()-PROVEEDORES[[#This Row],[FECHA DE FACTURACIÓN]]-PROVEEDORES[[#This Row],[PLAZO Días]],0)</f>
        <v>0</v>
      </c>
      <c r="U470" s="149">
        <f>+VLOOKUP(PROVEEDORES[[#This Row],[PROVEEDOR]],Terceros!$A:$E,5,FALSE)</f>
        <v>0</v>
      </c>
      <c r="V470" s="150">
        <f>+YEAR(PROVEEDORES[[#This Row],[FECHA DE FACTURACIÓN]])</f>
        <v>2021</v>
      </c>
      <c r="W470" s="150">
        <f>+MATCH(PROVEEDORES[[#This Row],[año facturado]],Retenciones!$1:$1,0)</f>
        <v>4</v>
      </c>
      <c r="X470" s="151">
        <f>+VLOOKUP(PROVEEDORES[[#This Row],[ID RETENCION]],Retenciones!$A$1:$O$24,PROVEEDORES[[#This Row],[indicador de columna]],FALSE)</f>
        <v>0</v>
      </c>
      <c r="Y470" s="152">
        <f>+VLOOKUP(PROVEEDORES[[#This Row],[ID RETENCION]],Retenciones!$A$1:$O$24,2,FALSE)</f>
        <v>0</v>
      </c>
      <c r="Z470" s="26"/>
      <c r="AA470" s="26"/>
      <c r="AB470" s="26"/>
      <c r="AC470" s="26"/>
      <c r="AD470" s="26"/>
      <c r="AE470" s="26"/>
    </row>
    <row r="471" spans="1:31" ht="21.95" customHeight="1" x14ac:dyDescent="0.25">
      <c r="A471" s="97" t="str">
        <f>+IF(PROVEEDORES[[#This Row],[FECHA DE PAGO]]=PROVEEDORES[[#This Row],[FECHA DE FACTURACIÓN]],"DE CONTADO","CRÉDITO")</f>
        <v>CRÉDITO</v>
      </c>
      <c r="B471" s="41" t="str">
        <f>+IF((PROVEEDORES[[#This Row],[FECHA DE PAGO]]-PROVEEDORES[[#This Row],[FECHA DE FACTURACIÓN]])&gt;PROVEEDORES[[#This Row],[PLAZO Días]],"PAGO VENCIDO")</f>
        <v>PAGO VENCIDO</v>
      </c>
      <c r="C471" s="22">
        <f>+VLOOKUP(PROVEEDORES[[#This Row],[PROVEEDOR]],TERCEROS_INFO[#All],2,FALSE)</f>
        <v>30</v>
      </c>
      <c r="D471" s="27">
        <f>+SUMIFS(PROVEEDORES[Total],PROVEEDORES[PROVEEDOR],PROVEEDORES[[#This Row],[PROVEEDOR]],PROVEEDORES[FECHA DE PAGO],"")</f>
        <v>0</v>
      </c>
      <c r="E471" s="27"/>
      <c r="F471" s="62" t="str">
        <f>+VLOOKUP(PROVEEDORES[[#This Row],[PROVEEDOR]],
                       Terceros!$A:$G,
                       6,
                       FALSE)</f>
        <v>jarlysas@gmail.com;o.clockinternational@gmail.com;girlesa.ruiz@servipilas.com;joriescobar64@gmail.com</v>
      </c>
      <c r="G471" s="95">
        <v>44456</v>
      </c>
      <c r="H471" s="28" t="s">
        <v>512</v>
      </c>
      <c r="I471" s="95">
        <v>44364</v>
      </c>
      <c r="J471" s="38">
        <v>7</v>
      </c>
      <c r="K471" s="23">
        <v>4167300</v>
      </c>
      <c r="L471" s="23"/>
      <c r="M471" s="24">
        <v>791787</v>
      </c>
      <c r="N471" s="25"/>
      <c r="O471" s="24">
        <v>366722.40000000037</v>
      </c>
      <c r="P471" s="136">
        <f>+IF(PROVEEDORES[[#This Row],[SUBTOTAL]]&lt;PROVEEDORES[[#This Row],[base retencion]],0,PROVEEDORES[[#This Row],[retención aplicada]])</f>
        <v>2.5000000000000001E-2</v>
      </c>
      <c r="Q471" s="24">
        <f>+PROVEEDORES[[#This Row],[Rete Fuente %]]*PROVEEDORES[[#This Row],[SUBTOTAL]]</f>
        <v>104182.5</v>
      </c>
      <c r="R471" s="23">
        <v>4488182.0999999996</v>
      </c>
      <c r="S47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1" s="99">
        <f ca="1">IF(PROVEEDORES[[#This Row],[FECHA DE PAGO]]=0,TODAY()-PROVEEDORES[[#This Row],[FECHA DE FACTURACIÓN]]-PROVEEDORES[[#This Row],[PLAZO Días]],0)</f>
        <v>0</v>
      </c>
      <c r="U471" s="149" t="str">
        <f>+VLOOKUP(PROVEEDORES[[#This Row],[PROVEEDOR]],Terceros!$A:$E,5,FALSE)</f>
        <v>2,5% con base</v>
      </c>
      <c r="V471" s="150">
        <f>+YEAR(PROVEEDORES[[#This Row],[FECHA DE FACTURACIÓN]])</f>
        <v>2021</v>
      </c>
      <c r="W471" s="150">
        <f>+MATCH(PROVEEDORES[[#This Row],[año facturado]],Retenciones!$1:$1,0)</f>
        <v>4</v>
      </c>
      <c r="X471" s="151">
        <f>+VLOOKUP(PROVEEDORES[[#This Row],[ID RETENCION]],Retenciones!$A$1:$O$24,PROVEEDORES[[#This Row],[indicador de columna]],FALSE)</f>
        <v>980000</v>
      </c>
      <c r="Y471" s="152">
        <f>+VLOOKUP(PROVEEDORES[[#This Row],[ID RETENCION]],Retenciones!$A$1:$O$24,2,FALSE)</f>
        <v>2.5000000000000001E-2</v>
      </c>
      <c r="Z471" s="26"/>
      <c r="AA471" s="26"/>
      <c r="AB471" s="26"/>
      <c r="AC471" s="26"/>
      <c r="AD471" s="26"/>
      <c r="AE471" s="26"/>
    </row>
    <row r="472" spans="1:31" ht="21.95" customHeight="1" x14ac:dyDescent="0.25">
      <c r="A472" s="97" t="str">
        <f>+IF(PROVEEDORES[[#This Row],[FECHA DE PAGO]]=PROVEEDORES[[#This Row],[FECHA DE FACTURACIÓN]],"DE CONTADO","CRÉDITO")</f>
        <v>CRÉDITO</v>
      </c>
      <c r="B472" s="41" t="str">
        <f>+IF((PROVEEDORES[[#This Row],[FECHA DE PAGO]]-PROVEEDORES[[#This Row],[FECHA DE FACTURACIÓN]])&gt;PROVEEDORES[[#This Row],[PLAZO Días]],"PAGO VENCIDO")</f>
        <v>PAGO VENCIDO</v>
      </c>
      <c r="C472" s="22">
        <f>+VLOOKUP(PROVEEDORES[[#This Row],[PROVEEDOR]],TERCEROS_INFO[#All],2,FALSE)</f>
        <v>30</v>
      </c>
      <c r="D472" s="27">
        <f>+SUMIFS(PROVEEDORES[Total],PROVEEDORES[PROVEEDOR],PROVEEDORES[[#This Row],[PROVEEDOR]],PROVEEDORES[FECHA DE PAGO],"")</f>
        <v>0</v>
      </c>
      <c r="E472" s="27"/>
      <c r="F472" s="62" t="str">
        <f>+VLOOKUP(PROVEEDORES[[#This Row],[PROVEEDOR]],
                       Terceros!$A:$G,
                       6,
                       FALSE)</f>
        <v>jarlysas@gmail.com;o.clockinternational@gmail.com;girlesa.ruiz@servipilas.com;joriescobar64@gmail.com</v>
      </c>
      <c r="G472" s="95">
        <v>44456</v>
      </c>
      <c r="H472" s="28" t="s">
        <v>224</v>
      </c>
      <c r="I472" s="95">
        <v>44364</v>
      </c>
      <c r="J472" s="38">
        <v>51</v>
      </c>
      <c r="K472" s="23">
        <v>5949000</v>
      </c>
      <c r="L472" s="23"/>
      <c r="M472" s="24">
        <v>1130310</v>
      </c>
      <c r="N472" s="25"/>
      <c r="O472" s="24">
        <v>523512</v>
      </c>
      <c r="P472" s="136">
        <f>+IF(PROVEEDORES[[#This Row],[SUBTOTAL]]&lt;PROVEEDORES[[#This Row],[base retencion]],0,PROVEEDORES[[#This Row],[retención aplicada]])</f>
        <v>2.5000000000000001E-2</v>
      </c>
      <c r="Q472" s="24">
        <f>+PROVEEDORES[[#This Row],[Rete Fuente %]]*PROVEEDORES[[#This Row],[SUBTOTAL]]</f>
        <v>148725</v>
      </c>
      <c r="R472" s="23">
        <v>6407073</v>
      </c>
      <c r="S47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2" s="99">
        <f ca="1">IF(PROVEEDORES[[#This Row],[FECHA DE PAGO]]=0,TODAY()-PROVEEDORES[[#This Row],[FECHA DE FACTURACIÓN]]-PROVEEDORES[[#This Row],[PLAZO Días]],0)</f>
        <v>0</v>
      </c>
      <c r="U472" s="149" t="str">
        <f>+VLOOKUP(PROVEEDORES[[#This Row],[PROVEEDOR]],Terceros!$A:$E,5,FALSE)</f>
        <v>2,5% con base</v>
      </c>
      <c r="V472" s="150">
        <f>+YEAR(PROVEEDORES[[#This Row],[FECHA DE FACTURACIÓN]])</f>
        <v>2021</v>
      </c>
      <c r="W472" s="150">
        <f>+MATCH(PROVEEDORES[[#This Row],[año facturado]],Retenciones!$1:$1,0)</f>
        <v>4</v>
      </c>
      <c r="X472" s="151">
        <f>+VLOOKUP(PROVEEDORES[[#This Row],[ID RETENCION]],Retenciones!$A$1:$O$24,PROVEEDORES[[#This Row],[indicador de columna]],FALSE)</f>
        <v>980000</v>
      </c>
      <c r="Y472" s="152">
        <f>+VLOOKUP(PROVEEDORES[[#This Row],[ID RETENCION]],Retenciones!$A$1:$O$24,2,FALSE)</f>
        <v>2.5000000000000001E-2</v>
      </c>
      <c r="Z472" s="26"/>
      <c r="AA472" s="26"/>
      <c r="AB472" s="26"/>
      <c r="AC472" s="26"/>
      <c r="AD472" s="26"/>
      <c r="AE472" s="26"/>
    </row>
    <row r="473" spans="1:31" ht="21.95" customHeight="1" x14ac:dyDescent="0.25">
      <c r="A473" s="97" t="str">
        <f>+IF(PROVEEDORES[[#This Row],[FECHA DE PAGO]]=PROVEEDORES[[#This Row],[FECHA DE FACTURACIÓN]],"DE CONTADO","CRÉDITO")</f>
        <v>CRÉDITO</v>
      </c>
      <c r="B473" s="41" t="b">
        <f>+IF((PROVEEDORES[[#This Row],[FECHA DE PAGO]]-PROVEEDORES[[#This Row],[FECHA DE FACTURACIÓN]])&gt;PROVEEDORES[[#This Row],[PLAZO Días]],"PAGO VENCIDO")</f>
        <v>0</v>
      </c>
      <c r="C473" s="22">
        <f>+VLOOKUP(PROVEEDORES[[#This Row],[PROVEEDOR]],TERCEROS_INFO[#All],2,FALSE)</f>
        <v>10</v>
      </c>
      <c r="D473" s="27">
        <f>+SUMIFS(PROVEEDORES[Total],PROVEEDORES[PROVEEDOR],PROVEEDORES[[#This Row],[PROVEEDOR]],PROVEEDORES[FECHA DE PAGO],"")</f>
        <v>0</v>
      </c>
      <c r="E473" s="27"/>
      <c r="F473" s="62" t="str">
        <f>+VLOOKUP(PROVEEDORES[[#This Row],[PROVEEDOR]],
                       Terceros!$A:$G,
                       6,
                       FALSE)</f>
        <v/>
      </c>
      <c r="G473" s="95">
        <v>44368</v>
      </c>
      <c r="H473" s="28" t="s">
        <v>23</v>
      </c>
      <c r="I473" s="95">
        <v>44364</v>
      </c>
      <c r="J473" s="38">
        <v>283198</v>
      </c>
      <c r="K473" s="23">
        <v>6232000</v>
      </c>
      <c r="L473" s="23"/>
      <c r="M473" s="24">
        <v>0</v>
      </c>
      <c r="N473" s="25"/>
      <c r="O473" s="24">
        <v>0</v>
      </c>
      <c r="P473" s="136">
        <f>+IF(PROVEEDORES[[#This Row],[SUBTOTAL]]&lt;PROVEEDORES[[#This Row],[base retencion]],0,PROVEEDORES[[#This Row],[retención aplicada]])</f>
        <v>0</v>
      </c>
      <c r="Q473" s="24">
        <f>+PROVEEDORES[[#This Row],[Rete Fuente %]]*PROVEEDORES[[#This Row],[SUBTOTAL]]</f>
        <v>0</v>
      </c>
      <c r="R473" s="23">
        <v>6232000</v>
      </c>
      <c r="S47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3" s="99">
        <f ca="1">IF(PROVEEDORES[[#This Row],[FECHA DE PAGO]]=0,TODAY()-PROVEEDORES[[#This Row],[FECHA DE FACTURACIÓN]]-PROVEEDORES[[#This Row],[PLAZO Días]],0)</f>
        <v>0</v>
      </c>
      <c r="U473" s="149">
        <f>+VLOOKUP(PROVEEDORES[[#This Row],[PROVEEDOR]],Terceros!$A:$E,5,FALSE)</f>
        <v>0</v>
      </c>
      <c r="V473" s="150">
        <f>+YEAR(PROVEEDORES[[#This Row],[FECHA DE FACTURACIÓN]])</f>
        <v>2021</v>
      </c>
      <c r="W473" s="150">
        <f>+MATCH(PROVEEDORES[[#This Row],[año facturado]],Retenciones!$1:$1,0)</f>
        <v>4</v>
      </c>
      <c r="X473" s="151">
        <f>+VLOOKUP(PROVEEDORES[[#This Row],[ID RETENCION]],Retenciones!$A$1:$O$24,PROVEEDORES[[#This Row],[indicador de columna]],FALSE)</f>
        <v>0</v>
      </c>
      <c r="Y473" s="152">
        <f>+VLOOKUP(PROVEEDORES[[#This Row],[ID RETENCION]],Retenciones!$A$1:$O$24,2,FALSE)</f>
        <v>0</v>
      </c>
      <c r="Z473" s="26"/>
      <c r="AA473" s="26"/>
      <c r="AB473" s="26"/>
      <c r="AC473" s="26"/>
      <c r="AD473" s="26"/>
      <c r="AE473" s="26"/>
    </row>
    <row r="474" spans="1:31" ht="21.95" customHeight="1" x14ac:dyDescent="0.25">
      <c r="A474" s="97" t="str">
        <f>+IF(PROVEEDORES[[#This Row],[FECHA DE PAGO]]=PROVEEDORES[[#This Row],[FECHA DE FACTURACIÓN]],"DE CONTADO","CRÉDITO")</f>
        <v>CRÉDITO</v>
      </c>
      <c r="B474" s="41" t="b">
        <f>+IF((PROVEEDORES[[#This Row],[FECHA DE PAGO]]-PROVEEDORES[[#This Row],[FECHA DE FACTURACIÓN]])&gt;PROVEEDORES[[#This Row],[PLAZO Días]],"PAGO VENCIDO")</f>
        <v>0</v>
      </c>
      <c r="C474" s="22">
        <f>+VLOOKUP(PROVEEDORES[[#This Row],[PROVEEDOR]],TERCEROS_INFO[#All],2,FALSE)</f>
        <v>20</v>
      </c>
      <c r="D474" s="27">
        <f>+SUMIFS(PROVEEDORES[Total],PROVEEDORES[PROVEEDOR],PROVEEDORES[[#This Row],[PROVEEDOR]],PROVEEDORES[FECHA DE PAGO],"")</f>
        <v>0</v>
      </c>
      <c r="E474" s="27"/>
      <c r="F474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474" s="95">
        <v>44377</v>
      </c>
      <c r="H474" s="28" t="s">
        <v>445</v>
      </c>
      <c r="I474" s="95">
        <v>44365</v>
      </c>
      <c r="J474" s="38" t="s">
        <v>735</v>
      </c>
      <c r="K474" s="23">
        <v>732300</v>
      </c>
      <c r="L474" s="23"/>
      <c r="M474" s="24">
        <v>0</v>
      </c>
      <c r="N474" s="25"/>
      <c r="O474" s="24">
        <v>0</v>
      </c>
      <c r="P474" s="136">
        <f>+IF(PROVEEDORES[[#This Row],[SUBTOTAL]]&lt;PROVEEDORES[[#This Row],[base retencion]],0,PROVEEDORES[[#This Row],[retención aplicada]])</f>
        <v>0.01</v>
      </c>
      <c r="Q474" s="24">
        <f>+PROVEEDORES[[#This Row],[Rete Fuente %]]*PROVEEDORES[[#This Row],[SUBTOTAL]]</f>
        <v>7323</v>
      </c>
      <c r="R474" s="23">
        <v>730440</v>
      </c>
      <c r="S47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4" s="99">
        <f ca="1">IF(PROVEEDORES[[#This Row],[FECHA DE PAGO]]=0,TODAY()-PROVEEDORES[[#This Row],[FECHA DE FACTURACIÓN]]-PROVEEDORES[[#This Row],[PLAZO Días]],0)</f>
        <v>0</v>
      </c>
      <c r="U474" s="149" t="str">
        <f>+VLOOKUP(PROVEEDORES[[#This Row],[PROVEEDOR]],Terceros!$A:$E,5,FALSE)</f>
        <v>1% con base</v>
      </c>
      <c r="V474" s="150">
        <f>+YEAR(PROVEEDORES[[#This Row],[FECHA DE FACTURACIÓN]])</f>
        <v>2021</v>
      </c>
      <c r="W474" s="150">
        <f>+MATCH(PROVEEDORES[[#This Row],[año facturado]],Retenciones!$1:$1,0)</f>
        <v>4</v>
      </c>
      <c r="X474" s="151">
        <f>+VLOOKUP(PROVEEDORES[[#This Row],[ID RETENCION]],Retenciones!$A$1:$O$24,PROVEEDORES[[#This Row],[indicador de columna]],FALSE)</f>
        <v>145000</v>
      </c>
      <c r="Y474" s="152">
        <f>+VLOOKUP(PROVEEDORES[[#This Row],[ID RETENCION]],Retenciones!$A$1:$O$24,2,FALSE)</f>
        <v>0.01</v>
      </c>
      <c r="Z474" s="26"/>
      <c r="AA474" s="26"/>
      <c r="AB474" s="26"/>
      <c r="AC474" s="26"/>
      <c r="AD474" s="26"/>
      <c r="AE474" s="26"/>
    </row>
    <row r="475" spans="1:31" ht="21.95" customHeight="1" x14ac:dyDescent="0.25">
      <c r="A475" s="97" t="str">
        <f>+IF(PROVEEDORES[[#This Row],[FECHA DE PAGO]]=PROVEEDORES[[#This Row],[FECHA DE FACTURACIÓN]],"DE CONTADO","CRÉDITO")</f>
        <v>CRÉDITO</v>
      </c>
      <c r="B475" s="41" t="str">
        <f>+IF((PROVEEDORES[[#This Row],[FECHA DE PAGO]]-PROVEEDORES[[#This Row],[FECHA DE FACTURACIÓN]])&gt;PROVEEDORES[[#This Row],[PLAZO Días]],"PAGO VENCIDO")</f>
        <v>PAGO VENCIDO</v>
      </c>
      <c r="C475" s="22">
        <f>+VLOOKUP(PROVEEDORES[[#This Row],[PROVEEDOR]],TERCEROS_INFO[#All],2,FALSE)</f>
        <v>30</v>
      </c>
      <c r="D475" s="27">
        <f>+SUMIFS(PROVEEDORES[Total],PROVEEDORES[PROVEEDOR],PROVEEDORES[[#This Row],[PROVEEDOR]],PROVEEDORES[FECHA DE PAGO],"")</f>
        <v>0</v>
      </c>
      <c r="E475" s="27"/>
      <c r="F475" s="62" t="str">
        <f>+VLOOKUP(PROVEEDORES[[#This Row],[PROVEEDOR]],
                       Terceros!$A:$G,
                       6,
                       FALSE)</f>
        <v>jarlysas@gmail.com;o.clockinternational@gmail.com;girlesa.ruiz@servipilas.com;joriescobar64@gmail.com</v>
      </c>
      <c r="G475" s="95">
        <v>44414</v>
      </c>
      <c r="H475" s="28" t="s">
        <v>1042</v>
      </c>
      <c r="I475" s="95">
        <v>44365</v>
      </c>
      <c r="J475" s="38" t="s">
        <v>734</v>
      </c>
      <c r="K475" s="23">
        <v>4333600</v>
      </c>
      <c r="L475" s="23"/>
      <c r="M475" s="24">
        <v>0</v>
      </c>
      <c r="N475" s="25"/>
      <c r="O475" s="24">
        <v>384399</v>
      </c>
      <c r="P475" s="136">
        <f>+IF(PROVEEDORES[[#This Row],[SUBTOTAL]]&lt;PROVEEDORES[[#This Row],[base retencion]],0,PROVEEDORES[[#This Row],[retención aplicada]])</f>
        <v>0</v>
      </c>
      <c r="Q475" s="24">
        <f>+PROVEEDORES[[#This Row],[Rete Fuente %]]*PROVEEDORES[[#This Row],[SUBTOTAL]]</f>
        <v>0</v>
      </c>
      <c r="R475" s="23">
        <v>3949201</v>
      </c>
      <c r="S47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5" s="99">
        <f ca="1">IF(PROVEEDORES[[#This Row],[FECHA DE PAGO]]=0,TODAY()-PROVEEDORES[[#This Row],[FECHA DE FACTURACIÓN]]-PROVEEDORES[[#This Row],[PLAZO Días]],0)</f>
        <v>0</v>
      </c>
      <c r="U475" s="149">
        <f>+VLOOKUP(PROVEEDORES[[#This Row],[PROVEEDOR]],Terceros!$A:$E,5,FALSE)</f>
        <v>0</v>
      </c>
      <c r="V475" s="150">
        <f>+YEAR(PROVEEDORES[[#This Row],[FECHA DE FACTURACIÓN]])</f>
        <v>2021</v>
      </c>
      <c r="W475" s="150">
        <f>+MATCH(PROVEEDORES[[#This Row],[año facturado]],Retenciones!$1:$1,0)</f>
        <v>4</v>
      </c>
      <c r="X475" s="151">
        <f>+VLOOKUP(PROVEEDORES[[#This Row],[ID RETENCION]],Retenciones!$A$1:$O$24,PROVEEDORES[[#This Row],[indicador de columna]],FALSE)</f>
        <v>0</v>
      </c>
      <c r="Y475" s="152">
        <f>+VLOOKUP(PROVEEDORES[[#This Row],[ID RETENCION]],Retenciones!$A$1:$O$24,2,FALSE)</f>
        <v>0</v>
      </c>
      <c r="Z475" s="26"/>
      <c r="AA475" s="26"/>
      <c r="AB475" s="26"/>
      <c r="AC475" s="26"/>
      <c r="AD475" s="26"/>
      <c r="AE475" s="26"/>
    </row>
    <row r="476" spans="1:31" ht="21.95" customHeight="1" x14ac:dyDescent="0.25">
      <c r="A476" s="97" t="str">
        <f>+IF(PROVEEDORES[[#This Row],[FECHA DE PAGO]]=PROVEEDORES[[#This Row],[FECHA DE FACTURACIÓN]],"DE CONTADO","CRÉDITO")</f>
        <v>CRÉDITO</v>
      </c>
      <c r="B476" s="41" t="str">
        <f>+IF((PROVEEDORES[[#This Row],[FECHA DE PAGO]]-PROVEEDORES[[#This Row],[FECHA DE FACTURACIÓN]])&gt;PROVEEDORES[[#This Row],[PLAZO Días]],"PAGO VENCIDO")</f>
        <v>PAGO VENCIDO</v>
      </c>
      <c r="C476" s="22">
        <f>+VLOOKUP(PROVEEDORES[[#This Row],[PROVEEDOR]],TERCEROS_INFO[#All],2,FALSE)</f>
        <v>30</v>
      </c>
      <c r="D476" s="27">
        <f>+SUMIFS(PROVEEDORES[Total],PROVEEDORES[PROVEEDOR],PROVEEDORES[[#This Row],[PROVEEDOR]],PROVEEDORES[FECHA DE PAGO],"")</f>
        <v>3844432.4999000002</v>
      </c>
      <c r="E476" s="27"/>
      <c r="F476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476" s="95">
        <v>44403</v>
      </c>
      <c r="H476" s="28" t="s">
        <v>18</v>
      </c>
      <c r="I476" s="95">
        <v>44365</v>
      </c>
      <c r="J476" s="38">
        <v>1039175</v>
      </c>
      <c r="K476" s="23">
        <v>5950201.4400000004</v>
      </c>
      <c r="L476" s="23"/>
      <c r="M476" s="24">
        <v>1130538.2736000002</v>
      </c>
      <c r="N476" s="25"/>
      <c r="O476" s="24">
        <v>0</v>
      </c>
      <c r="P476" s="136">
        <f>+IF(PROVEEDORES[[#This Row],[SUBTOTAL]]&lt;PROVEEDORES[[#This Row],[base retencion]],0,PROVEEDORES[[#This Row],[retención aplicada]])</f>
        <v>2.5000000000000001E-2</v>
      </c>
      <c r="Q476" s="24">
        <f>+PROVEEDORES[[#This Row],[Rete Fuente %]]*PROVEEDORES[[#This Row],[SUBTOTAL]]</f>
        <v>148755.03600000002</v>
      </c>
      <c r="R476" s="23">
        <v>6931984.6776000001</v>
      </c>
      <c r="S47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6" s="99">
        <f ca="1">IF(PROVEEDORES[[#This Row],[FECHA DE PAGO]]=0,TODAY()-PROVEEDORES[[#This Row],[FECHA DE FACTURACIÓN]]-PROVEEDORES[[#This Row],[PLAZO Días]],0)</f>
        <v>0</v>
      </c>
      <c r="U476" s="149" t="str">
        <f>+VLOOKUP(PROVEEDORES[[#This Row],[PROVEEDOR]],Terceros!$A:$E,5,FALSE)</f>
        <v>2,5% con base</v>
      </c>
      <c r="V476" s="150">
        <f>+YEAR(PROVEEDORES[[#This Row],[FECHA DE FACTURACIÓN]])</f>
        <v>2021</v>
      </c>
      <c r="W476" s="150">
        <f>+MATCH(PROVEEDORES[[#This Row],[año facturado]],Retenciones!$1:$1,0)</f>
        <v>4</v>
      </c>
      <c r="X476" s="151">
        <f>+VLOOKUP(PROVEEDORES[[#This Row],[ID RETENCION]],Retenciones!$A$1:$O$24,PROVEEDORES[[#This Row],[indicador de columna]],FALSE)</f>
        <v>980000</v>
      </c>
      <c r="Y476" s="152">
        <f>+VLOOKUP(PROVEEDORES[[#This Row],[ID RETENCION]],Retenciones!$A$1:$O$24,2,FALSE)</f>
        <v>2.5000000000000001E-2</v>
      </c>
      <c r="Z476" s="26"/>
      <c r="AA476" s="26"/>
      <c r="AB476" s="26"/>
      <c r="AC476" s="26"/>
      <c r="AD476" s="26"/>
      <c r="AE476" s="26"/>
    </row>
    <row r="477" spans="1:31" ht="21.95" customHeight="1" x14ac:dyDescent="0.25">
      <c r="A477" s="97" t="str">
        <f>+IF(PROVEEDORES[[#This Row],[FECHA DE PAGO]]=PROVEEDORES[[#This Row],[FECHA DE FACTURACIÓN]],"DE CONTADO","CRÉDITO")</f>
        <v>CRÉDITO</v>
      </c>
      <c r="B477" s="41" t="b">
        <f>+IF((PROVEEDORES[[#This Row],[FECHA DE PAGO]]-PROVEEDORES[[#This Row],[FECHA DE FACTURACIÓN]])&gt;PROVEEDORES[[#This Row],[PLAZO Días]],"PAGO VENCIDO")</f>
        <v>0</v>
      </c>
      <c r="C477" s="22">
        <f>+VLOOKUP(PROVEEDORES[[#This Row],[PROVEEDOR]],TERCEROS_INFO[#All],2,FALSE)</f>
        <v>13</v>
      </c>
      <c r="D477" s="27">
        <f>+SUMIFS(PROVEEDORES[Total],PROVEEDORES[PROVEEDOR],PROVEEDORES[[#This Row],[PROVEEDOR]],PROVEEDORES[FECHA DE PAGO],"")</f>
        <v>2130283</v>
      </c>
      <c r="E477" s="27"/>
      <c r="F477" s="62">
        <f>+VLOOKUP(PROVEEDORES[[#This Row],[PROVEEDOR]],
                       Terceros!$A:$G,
                       6,
                       FALSE)</f>
        <v>0</v>
      </c>
      <c r="G477" s="95">
        <v>44391</v>
      </c>
      <c r="H477" s="28" t="s">
        <v>326</v>
      </c>
      <c r="I477" s="95">
        <v>44378</v>
      </c>
      <c r="J477" s="38" t="s">
        <v>328</v>
      </c>
      <c r="K477" s="23">
        <v>313385</v>
      </c>
      <c r="L477" s="23"/>
      <c r="M477" s="24">
        <v>0</v>
      </c>
      <c r="N477" s="25"/>
      <c r="O477" s="24">
        <v>0</v>
      </c>
      <c r="P477" s="136">
        <f>+IF(PROVEEDORES[[#This Row],[SUBTOTAL]]&lt;PROVEEDORES[[#This Row],[base retencion]],0,PROVEEDORES[[#This Row],[retención aplicada]])</f>
        <v>0</v>
      </c>
      <c r="Q477" s="24">
        <f>+PROVEEDORES[[#This Row],[Rete Fuente %]]*PROVEEDORES[[#This Row],[SUBTOTAL]]</f>
        <v>0</v>
      </c>
      <c r="R477" s="23">
        <v>313385</v>
      </c>
      <c r="S47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7" s="99">
        <f ca="1">IF(PROVEEDORES[[#This Row],[FECHA DE PAGO]]=0,TODAY()-PROVEEDORES[[#This Row],[FECHA DE FACTURACIÓN]]-PROVEEDORES[[#This Row],[PLAZO Días]],0)</f>
        <v>0</v>
      </c>
      <c r="U477" s="149">
        <f>+VLOOKUP(PROVEEDORES[[#This Row],[PROVEEDOR]],Terceros!$A:$E,5,FALSE)</f>
        <v>0</v>
      </c>
      <c r="V477" s="150">
        <f>+YEAR(PROVEEDORES[[#This Row],[FECHA DE FACTURACIÓN]])</f>
        <v>2021</v>
      </c>
      <c r="W477" s="150">
        <f>+MATCH(PROVEEDORES[[#This Row],[año facturado]],Retenciones!$1:$1,0)</f>
        <v>4</v>
      </c>
      <c r="X477" s="151">
        <f>+VLOOKUP(PROVEEDORES[[#This Row],[ID RETENCION]],Retenciones!$A$1:$O$24,PROVEEDORES[[#This Row],[indicador de columna]],FALSE)</f>
        <v>0</v>
      </c>
      <c r="Y477" s="152">
        <f>+VLOOKUP(PROVEEDORES[[#This Row],[ID RETENCION]],Retenciones!$A$1:$O$24,2,FALSE)</f>
        <v>0</v>
      </c>
      <c r="Z477" s="26"/>
      <c r="AA477" s="26"/>
      <c r="AB477" s="26"/>
      <c r="AC477" s="26"/>
      <c r="AD477" s="26"/>
      <c r="AE477" s="26"/>
    </row>
    <row r="478" spans="1:31" ht="21.95" customHeight="1" x14ac:dyDescent="0.25">
      <c r="A478" s="97" t="str">
        <f>+IF(PROVEEDORES[[#This Row],[FECHA DE PAGO]]=PROVEEDORES[[#This Row],[FECHA DE FACTURACIÓN]],"DE CONTADO","CRÉDITO")</f>
        <v>CRÉDITO</v>
      </c>
      <c r="B478" s="41" t="b">
        <f>+IF((PROVEEDORES[[#This Row],[FECHA DE PAGO]]-PROVEEDORES[[#This Row],[FECHA DE FACTURACIÓN]])&gt;PROVEEDORES[[#This Row],[PLAZO Días]],"PAGO VENCIDO")</f>
        <v>0</v>
      </c>
      <c r="C478" s="22">
        <f>+VLOOKUP(PROVEEDORES[[#This Row],[PROVEEDOR]],TERCEROS_INFO[#All],2,FALSE)</f>
        <v>20</v>
      </c>
      <c r="D478" s="27">
        <f>+SUMIFS(PROVEEDORES[Total],PROVEEDORES[PROVEEDOR],PROVEEDORES[[#This Row],[PROVEEDOR]],PROVEEDORES[FECHA DE PAGO],"")</f>
        <v>0</v>
      </c>
      <c r="E478" s="27"/>
      <c r="F478" s="62" t="str">
        <f>+VLOOKUP(PROVEEDORES[[#This Row],[PROVEEDOR]],
                       Terceros!$A:$G,
                       6,
                       FALSE)</f>
        <v>pse</v>
      </c>
      <c r="G478" s="95">
        <v>44391</v>
      </c>
      <c r="H478" s="28" t="s">
        <v>371</v>
      </c>
      <c r="I478" s="95">
        <v>44378</v>
      </c>
      <c r="J478" s="38"/>
      <c r="K478" s="23">
        <v>874675</v>
      </c>
      <c r="L478" s="23"/>
      <c r="M478" s="24">
        <v>0</v>
      </c>
      <c r="N478" s="25"/>
      <c r="O478" s="24">
        <v>0</v>
      </c>
      <c r="P478" s="136">
        <f>+IF(PROVEEDORES[[#This Row],[SUBTOTAL]]&lt;PROVEEDORES[[#This Row],[base retencion]],0,PROVEEDORES[[#This Row],[retención aplicada]])</f>
        <v>0</v>
      </c>
      <c r="Q478" s="24">
        <f>+PROVEEDORES[[#This Row],[Rete Fuente %]]*PROVEEDORES[[#This Row],[SUBTOTAL]]</f>
        <v>0</v>
      </c>
      <c r="R478" s="23">
        <v>874675</v>
      </c>
      <c r="S47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8" s="99">
        <f ca="1">IF(PROVEEDORES[[#This Row],[FECHA DE PAGO]]=0,TODAY()-PROVEEDORES[[#This Row],[FECHA DE FACTURACIÓN]]-PROVEEDORES[[#This Row],[PLAZO Días]],0)</f>
        <v>0</v>
      </c>
      <c r="U478" s="149">
        <f>+VLOOKUP(PROVEEDORES[[#This Row],[PROVEEDOR]],Terceros!$A:$E,5,FALSE)</f>
        <v>0</v>
      </c>
      <c r="V478" s="150">
        <f>+YEAR(PROVEEDORES[[#This Row],[FECHA DE FACTURACIÓN]])</f>
        <v>2021</v>
      </c>
      <c r="W478" s="150">
        <f>+MATCH(PROVEEDORES[[#This Row],[año facturado]],Retenciones!$1:$1,0)</f>
        <v>4</v>
      </c>
      <c r="X478" s="151">
        <f>+VLOOKUP(PROVEEDORES[[#This Row],[ID RETENCION]],Retenciones!$A$1:$O$24,PROVEEDORES[[#This Row],[indicador de columna]],FALSE)</f>
        <v>0</v>
      </c>
      <c r="Y478" s="152">
        <f>+VLOOKUP(PROVEEDORES[[#This Row],[ID RETENCION]],Retenciones!$A$1:$O$24,2,FALSE)</f>
        <v>0</v>
      </c>
      <c r="Z478" s="26"/>
      <c r="AA478" s="26"/>
      <c r="AB478" s="26"/>
      <c r="AC478" s="26"/>
      <c r="AD478" s="26"/>
      <c r="AE478" s="26"/>
    </row>
    <row r="479" spans="1:31" ht="21.95" customHeight="1" x14ac:dyDescent="0.25">
      <c r="A479" s="97" t="str">
        <f>+IF(PROVEEDORES[[#This Row],[FECHA DE PAGO]]=PROVEEDORES[[#This Row],[FECHA DE FACTURACIÓN]],"DE CONTADO","CRÉDITO")</f>
        <v>CRÉDITO</v>
      </c>
      <c r="B479" s="41" t="b">
        <f>+IF((PROVEEDORES[[#This Row],[FECHA DE PAGO]]-PROVEEDORES[[#This Row],[FECHA DE FACTURACIÓN]])&gt;PROVEEDORES[[#This Row],[PLAZO Días]],"PAGO VENCIDO")</f>
        <v>0</v>
      </c>
      <c r="C479" s="22">
        <f>+VLOOKUP(PROVEEDORES[[#This Row],[PROVEEDOR]],TERCEROS_INFO[#All],2,FALSE)</f>
        <v>30</v>
      </c>
      <c r="D479" s="27">
        <f>+SUMIFS(PROVEEDORES[Total],PROVEEDORES[PROVEEDOR],PROVEEDORES[[#This Row],[PROVEEDOR]],PROVEEDORES[FECHA DE PAGO],"")</f>
        <v>0</v>
      </c>
      <c r="E479" s="27"/>
      <c r="F479" s="62" t="str">
        <f>+VLOOKUP(PROVEEDORES[[#This Row],[PROVEEDOR]],
                       Terceros!$A:$G,
                       6,
                       FALSE)</f>
        <v>girlesa.ruiz@servipilas.com;joriescobar64@gmail.com</v>
      </c>
      <c r="G479" s="95">
        <v>44396</v>
      </c>
      <c r="H479" s="28" t="s">
        <v>336</v>
      </c>
      <c r="I479" s="95">
        <v>44372</v>
      </c>
      <c r="J479" s="38" t="s">
        <v>926</v>
      </c>
      <c r="K479" s="23">
        <v>-36766</v>
      </c>
      <c r="L479" s="23"/>
      <c r="M479" s="24">
        <v>0</v>
      </c>
      <c r="N479" s="25"/>
      <c r="O479" s="24">
        <v>0</v>
      </c>
      <c r="P479" s="136">
        <f>+IF(PROVEEDORES[[#This Row],[SUBTOTAL]]&lt;PROVEEDORES[[#This Row],[base retencion]],0,PROVEEDORES[[#This Row],[retención aplicada]])</f>
        <v>0</v>
      </c>
      <c r="Q479" s="24">
        <f>+PROVEEDORES[[#This Row],[Rete Fuente %]]*PROVEEDORES[[#This Row],[SUBTOTAL]]</f>
        <v>0</v>
      </c>
      <c r="R479" s="23">
        <v>-36766</v>
      </c>
      <c r="S47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9" s="99">
        <f ca="1">IF(PROVEEDORES[[#This Row],[FECHA DE PAGO]]=0,TODAY()-PROVEEDORES[[#This Row],[FECHA DE FACTURACIÓN]]-PROVEEDORES[[#This Row],[PLAZO Días]],0)</f>
        <v>0</v>
      </c>
      <c r="U479" s="149" t="str">
        <f>+VLOOKUP(PROVEEDORES[[#This Row],[PROVEEDOR]],Terceros!$A:$E,5,FALSE)</f>
        <v>3,5% sin base</v>
      </c>
      <c r="V479" s="150">
        <f>+YEAR(PROVEEDORES[[#This Row],[FECHA DE FACTURACIÓN]])</f>
        <v>2021</v>
      </c>
      <c r="W479" s="150">
        <f>+MATCH(PROVEEDORES[[#This Row],[año facturado]],Retenciones!$1:$1,0)</f>
        <v>4</v>
      </c>
      <c r="X479" s="151">
        <f>+VLOOKUP(PROVEEDORES[[#This Row],[ID RETENCION]],Retenciones!$A$1:$O$24,PROVEEDORES[[#This Row],[indicador de columna]],FALSE)</f>
        <v>0</v>
      </c>
      <c r="Y479" s="152">
        <f>+VLOOKUP(PROVEEDORES[[#This Row],[ID RETENCION]],Retenciones!$A$1:$O$24,2,FALSE)</f>
        <v>3.5000000000000003E-2</v>
      </c>
      <c r="Z479" s="26"/>
      <c r="AA479" s="26"/>
      <c r="AB479" s="26"/>
      <c r="AC479" s="26"/>
      <c r="AD479" s="26"/>
      <c r="AE479" s="26"/>
    </row>
    <row r="480" spans="1:31" ht="21.95" customHeight="1" x14ac:dyDescent="0.25">
      <c r="A480" s="97" t="str">
        <f>+IF(PROVEEDORES[[#This Row],[FECHA DE PAGO]]=PROVEEDORES[[#This Row],[FECHA DE FACTURACIÓN]],"DE CONTADO","CRÉDITO")</f>
        <v>CRÉDITO</v>
      </c>
      <c r="B480" s="41" t="b">
        <f>+IF((PROVEEDORES[[#This Row],[FECHA DE PAGO]]-PROVEEDORES[[#This Row],[FECHA DE FACTURACIÓN]])&gt;PROVEEDORES[[#This Row],[PLAZO Días]],"PAGO VENCIDO")</f>
        <v>0</v>
      </c>
      <c r="C480" s="22">
        <f>+VLOOKUP(PROVEEDORES[[#This Row],[PROVEEDOR]],TERCEROS_INFO[#All],2,FALSE)</f>
        <v>30</v>
      </c>
      <c r="D480" s="27">
        <f>+SUMIFS(PROVEEDORES[Total],PROVEEDORES[PROVEEDOR],PROVEEDORES[[#This Row],[PROVEEDOR]],PROVEEDORES[FECHA DE PAGO],"")</f>
        <v>0</v>
      </c>
      <c r="E480" s="27"/>
      <c r="F480" s="62" t="str">
        <f>+VLOOKUP(PROVEEDORES[[#This Row],[PROVEEDOR]],
                       Terceros!$A:$G,
                       6,
                       FALSE)</f>
        <v/>
      </c>
      <c r="G480" s="95">
        <v>44368</v>
      </c>
      <c r="H480" s="28" t="s">
        <v>1069</v>
      </c>
      <c r="I480" s="95">
        <v>44366</v>
      </c>
      <c r="J480" s="38" t="s">
        <v>736</v>
      </c>
      <c r="K480" s="23">
        <v>2390504</v>
      </c>
      <c r="L480" s="23"/>
      <c r="M480" s="24">
        <v>0</v>
      </c>
      <c r="N480" s="25"/>
      <c r="O480" s="24">
        <v>0</v>
      </c>
      <c r="P480" s="136">
        <f>+IF(PROVEEDORES[[#This Row],[SUBTOTAL]]&lt;PROVEEDORES[[#This Row],[base retencion]],0,PROVEEDORES[[#This Row],[retención aplicada]])</f>
        <v>0</v>
      </c>
      <c r="Q480" s="24">
        <f>+PROVEEDORES[[#This Row],[Rete Fuente %]]*PROVEEDORES[[#This Row],[SUBTOTAL]]</f>
        <v>0</v>
      </c>
      <c r="R480" s="23">
        <v>2390504</v>
      </c>
      <c r="S48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0" s="99">
        <f ca="1">IF(PROVEEDORES[[#This Row],[FECHA DE PAGO]]=0,TODAY()-PROVEEDORES[[#This Row],[FECHA DE FACTURACIÓN]]-PROVEEDORES[[#This Row],[PLAZO Días]],0)</f>
        <v>0</v>
      </c>
      <c r="U480" s="149">
        <f>+VLOOKUP(PROVEEDORES[[#This Row],[PROVEEDOR]],Terceros!$A:$E,5,FALSE)</f>
        <v>0</v>
      </c>
      <c r="V480" s="150">
        <f>+YEAR(PROVEEDORES[[#This Row],[FECHA DE FACTURACIÓN]])</f>
        <v>2021</v>
      </c>
      <c r="W480" s="150">
        <f>+MATCH(PROVEEDORES[[#This Row],[año facturado]],Retenciones!$1:$1,0)</f>
        <v>4</v>
      </c>
      <c r="X480" s="151">
        <f>+VLOOKUP(PROVEEDORES[[#This Row],[ID RETENCION]],Retenciones!$A$1:$O$24,PROVEEDORES[[#This Row],[indicador de columna]],FALSE)</f>
        <v>0</v>
      </c>
      <c r="Y480" s="152">
        <f>+VLOOKUP(PROVEEDORES[[#This Row],[ID RETENCION]],Retenciones!$A$1:$O$24,2,FALSE)</f>
        <v>0</v>
      </c>
      <c r="Z480" s="26"/>
      <c r="AA480" s="26"/>
      <c r="AB480" s="26"/>
      <c r="AC480" s="26"/>
      <c r="AD480" s="26"/>
      <c r="AE480" s="26"/>
    </row>
    <row r="481" spans="1:31" ht="21.95" customHeight="1" x14ac:dyDescent="0.25">
      <c r="A481" s="97" t="str">
        <f>+IF(PROVEEDORES[[#This Row],[FECHA DE PAGO]]=PROVEEDORES[[#This Row],[FECHA DE FACTURACIÓN]],"DE CONTADO","CRÉDITO")</f>
        <v>CRÉDITO</v>
      </c>
      <c r="B481" s="41" t="b">
        <f>+IF((PROVEEDORES[[#This Row],[FECHA DE PAGO]]-PROVEEDORES[[#This Row],[FECHA DE FACTURACIÓN]])&gt;PROVEEDORES[[#This Row],[PLAZO Días]],"PAGO VENCIDO")</f>
        <v>0</v>
      </c>
      <c r="C481" s="22">
        <f>+VLOOKUP(PROVEEDORES[[#This Row],[PROVEEDOR]],TERCEROS_INFO[#All],2,FALSE)</f>
        <v>30</v>
      </c>
      <c r="D481" s="27">
        <f>+SUMIFS(PROVEEDORES[Total],PROVEEDORES[PROVEEDOR],PROVEEDORES[[#This Row],[PROVEEDOR]],PROVEEDORES[FECHA DE PAGO],"")</f>
        <v>5463150</v>
      </c>
      <c r="E481" s="27"/>
      <c r="F481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481" s="95">
        <v>44396</v>
      </c>
      <c r="H481" s="28" t="s">
        <v>344</v>
      </c>
      <c r="I481" s="95">
        <v>44375</v>
      </c>
      <c r="J481" s="38" t="s">
        <v>935</v>
      </c>
      <c r="K481" s="23">
        <v>-376550</v>
      </c>
      <c r="L481" s="23"/>
      <c r="M481" s="24">
        <v>-71544.5</v>
      </c>
      <c r="N481" s="25"/>
      <c r="O481" s="24">
        <v>0</v>
      </c>
      <c r="P481" s="136">
        <f>+IF(PROVEEDORES[[#This Row],[SUBTOTAL]]&lt;PROVEEDORES[[#This Row],[base retencion]],0,PROVEEDORES[[#This Row],[retención aplicada]])</f>
        <v>0</v>
      </c>
      <c r="Q481" s="24">
        <f>+PROVEEDORES[[#This Row],[Rete Fuente %]]*PROVEEDORES[[#This Row],[SUBTOTAL]]</f>
        <v>0</v>
      </c>
      <c r="R481" s="23">
        <v>-434915.25</v>
      </c>
      <c r="S48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1" s="99">
        <f ca="1">IF(PROVEEDORES[[#This Row],[FECHA DE PAGO]]=0,TODAY()-PROVEEDORES[[#This Row],[FECHA DE FACTURACIÓN]]-PROVEEDORES[[#This Row],[PLAZO Días]],0)</f>
        <v>0</v>
      </c>
      <c r="U481" s="149" t="str">
        <f>+VLOOKUP(PROVEEDORES[[#This Row],[PROVEEDOR]],Terceros!$A:$E,5,FALSE)</f>
        <v>3,5% con base</v>
      </c>
      <c r="V481" s="150">
        <f>+YEAR(PROVEEDORES[[#This Row],[FECHA DE FACTURACIÓN]])</f>
        <v>2021</v>
      </c>
      <c r="W481" s="150">
        <f>+MATCH(PROVEEDORES[[#This Row],[año facturado]],Retenciones!$1:$1,0)</f>
        <v>4</v>
      </c>
      <c r="X481" s="151">
        <f>+VLOOKUP(PROVEEDORES[[#This Row],[ID RETENCION]],Retenciones!$A$1:$O$24,PROVEEDORES[[#This Row],[indicador de columna]],FALSE)</f>
        <v>980000</v>
      </c>
      <c r="Y481" s="152">
        <f>+VLOOKUP(PROVEEDORES[[#This Row],[ID RETENCION]],Retenciones!$A$1:$O$24,2,FALSE)</f>
        <v>3.5000000000000003E-2</v>
      </c>
      <c r="Z481" s="26"/>
      <c r="AA481" s="26"/>
      <c r="AB481" s="26"/>
      <c r="AC481" s="26"/>
      <c r="AD481" s="26"/>
      <c r="AE481" s="26"/>
    </row>
    <row r="482" spans="1:31" ht="21.95" customHeight="1" x14ac:dyDescent="0.25">
      <c r="A482" s="97" t="str">
        <f>+IF(PROVEEDORES[[#This Row],[FECHA DE PAGO]]=PROVEEDORES[[#This Row],[FECHA DE FACTURACIÓN]],"DE CONTADO","CRÉDITO")</f>
        <v>DE CONTADO</v>
      </c>
      <c r="B482" s="41" t="b">
        <f>+IF((PROVEEDORES[[#This Row],[FECHA DE PAGO]]-PROVEEDORES[[#This Row],[FECHA DE FACTURACIÓN]])&gt;PROVEEDORES[[#This Row],[PLAZO Días]],"PAGO VENCIDO")</f>
        <v>0</v>
      </c>
      <c r="C482" s="22">
        <f>+VLOOKUP(PROVEEDORES[[#This Row],[PROVEEDOR]],TERCEROS_INFO[#All],2,FALSE)</f>
        <v>30</v>
      </c>
      <c r="D482" s="27">
        <f>+SUMIFS(PROVEEDORES[Total],PROVEEDORES[PROVEEDOR],PROVEEDORES[[#This Row],[PROVEEDOR]],PROVEEDORES[FECHA DE PAGO],"")</f>
        <v>0</v>
      </c>
      <c r="E482" s="27"/>
      <c r="F482" s="62">
        <f>+VLOOKUP(PROVEEDORES[[#This Row],[PROVEEDOR]],
                       Terceros!$A:$G,
                       6,
                       FALSE)</f>
        <v>0</v>
      </c>
      <c r="G482" s="95">
        <v>44367</v>
      </c>
      <c r="H482" s="28" t="s">
        <v>1074</v>
      </c>
      <c r="I482" s="95">
        <v>44367</v>
      </c>
      <c r="J482" s="38" t="s">
        <v>670</v>
      </c>
      <c r="K482" s="23">
        <v>464515</v>
      </c>
      <c r="L482" s="23"/>
      <c r="M482" s="24">
        <v>0</v>
      </c>
      <c r="N482" s="25"/>
      <c r="O482" s="24">
        <v>0</v>
      </c>
      <c r="P482" s="136">
        <f>+IF(PROVEEDORES[[#This Row],[SUBTOTAL]]&lt;PROVEEDORES[[#This Row],[base retencion]],0,PROVEEDORES[[#This Row],[retención aplicada]])</f>
        <v>0</v>
      </c>
      <c r="Q482" s="24">
        <f>+PROVEEDORES[[#This Row],[Rete Fuente %]]*PROVEEDORES[[#This Row],[SUBTOTAL]]</f>
        <v>0</v>
      </c>
      <c r="R482" s="23">
        <v>464515</v>
      </c>
      <c r="S48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2" s="99">
        <f ca="1">IF(PROVEEDORES[[#This Row],[FECHA DE PAGO]]=0,TODAY()-PROVEEDORES[[#This Row],[FECHA DE FACTURACIÓN]]-PROVEEDORES[[#This Row],[PLAZO Días]],0)</f>
        <v>0</v>
      </c>
      <c r="U482" s="149">
        <f>+VLOOKUP(PROVEEDORES[[#This Row],[PROVEEDOR]],Terceros!$A:$E,5,FALSE)</f>
        <v>0</v>
      </c>
      <c r="V482" s="150">
        <f>+YEAR(PROVEEDORES[[#This Row],[FECHA DE FACTURACIÓN]])</f>
        <v>2021</v>
      </c>
      <c r="W482" s="150">
        <f>+MATCH(PROVEEDORES[[#This Row],[año facturado]],Retenciones!$1:$1,0)</f>
        <v>4</v>
      </c>
      <c r="X482" s="151">
        <f>+VLOOKUP(PROVEEDORES[[#This Row],[ID RETENCION]],Retenciones!$A$1:$O$24,PROVEEDORES[[#This Row],[indicador de columna]],FALSE)</f>
        <v>0</v>
      </c>
      <c r="Y482" s="152">
        <f>+VLOOKUP(PROVEEDORES[[#This Row],[ID RETENCION]],Retenciones!$A$1:$O$24,2,FALSE)</f>
        <v>0</v>
      </c>
      <c r="Z482" s="26"/>
      <c r="AA482" s="26"/>
      <c r="AB482" s="26"/>
      <c r="AC482" s="26"/>
      <c r="AD482" s="26"/>
      <c r="AE482" s="26"/>
    </row>
    <row r="483" spans="1:31" ht="21.95" customHeight="1" x14ac:dyDescent="0.25">
      <c r="A483" s="97" t="str">
        <f>+IF(PROVEEDORES[[#This Row],[FECHA DE PAGO]]=PROVEEDORES[[#This Row],[FECHA DE FACTURACIÓN]],"DE CONTADO","CRÉDITO")</f>
        <v>DE CONTADO</v>
      </c>
      <c r="B483" s="41" t="b">
        <f>+IF((PROVEEDORES[[#This Row],[FECHA DE PAGO]]-PROVEEDORES[[#This Row],[FECHA DE FACTURACIÓN]])&gt;PROVEEDORES[[#This Row],[PLAZO Días]],"PAGO VENCIDO")</f>
        <v>0</v>
      </c>
      <c r="C483" s="22">
        <f>+VLOOKUP(PROVEEDORES[[#This Row],[PROVEEDOR]],TERCEROS_INFO[#All],2,FALSE)</f>
        <v>30</v>
      </c>
      <c r="D483" s="27">
        <f>+SUMIFS(PROVEEDORES[Total],PROVEEDORES[PROVEEDOR],PROVEEDORES[[#This Row],[PROVEEDOR]],PROVEEDORES[FECHA DE PAGO],"")</f>
        <v>0</v>
      </c>
      <c r="E483" s="27"/>
      <c r="F483" s="62" t="str">
        <f>+VLOOKUP(PROVEEDORES[[#This Row],[PROVEEDOR]],
                       Terceros!$A:$G,
                       6,
                       FALSE)</f>
        <v/>
      </c>
      <c r="G483" s="95">
        <v>44367</v>
      </c>
      <c r="H483" s="28" t="s">
        <v>997</v>
      </c>
      <c r="I483" s="95">
        <v>44367</v>
      </c>
      <c r="J483" s="38" t="s">
        <v>739</v>
      </c>
      <c r="K483" s="23">
        <v>800000</v>
      </c>
      <c r="L483" s="23"/>
      <c r="M483" s="24">
        <v>0</v>
      </c>
      <c r="N483" s="25"/>
      <c r="O483" s="24">
        <v>0</v>
      </c>
      <c r="P483" s="136">
        <f>+IF(PROVEEDORES[[#This Row],[SUBTOTAL]]&lt;PROVEEDORES[[#This Row],[base retencion]],0,PROVEEDORES[[#This Row],[retención aplicada]])</f>
        <v>0</v>
      </c>
      <c r="Q483" s="24">
        <f>+PROVEEDORES[[#This Row],[Rete Fuente %]]*PROVEEDORES[[#This Row],[SUBTOTAL]]</f>
        <v>0</v>
      </c>
      <c r="R483" s="23">
        <v>800000</v>
      </c>
      <c r="S48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3" s="99">
        <f ca="1">IF(PROVEEDORES[[#This Row],[FECHA DE PAGO]]=0,TODAY()-PROVEEDORES[[#This Row],[FECHA DE FACTURACIÓN]]-PROVEEDORES[[#This Row],[PLAZO Días]],0)</f>
        <v>0</v>
      </c>
      <c r="U483" s="149">
        <f>+VLOOKUP(PROVEEDORES[[#This Row],[PROVEEDOR]],Terceros!$A:$E,5,FALSE)</f>
        <v>0</v>
      </c>
      <c r="V483" s="150">
        <f>+YEAR(PROVEEDORES[[#This Row],[FECHA DE FACTURACIÓN]])</f>
        <v>2021</v>
      </c>
      <c r="W483" s="150">
        <f>+MATCH(PROVEEDORES[[#This Row],[año facturado]],Retenciones!$1:$1,0)</f>
        <v>4</v>
      </c>
      <c r="X483" s="151">
        <f>+VLOOKUP(PROVEEDORES[[#This Row],[ID RETENCION]],Retenciones!$A$1:$O$24,PROVEEDORES[[#This Row],[indicador de columna]],FALSE)</f>
        <v>0</v>
      </c>
      <c r="Y483" s="152">
        <f>+VLOOKUP(PROVEEDORES[[#This Row],[ID RETENCION]],Retenciones!$A$1:$O$24,2,FALSE)</f>
        <v>0</v>
      </c>
      <c r="Z483" s="26"/>
      <c r="AA483" s="26"/>
      <c r="AB483" s="26"/>
      <c r="AC483" s="26"/>
      <c r="AD483" s="26"/>
      <c r="AE483" s="26"/>
    </row>
    <row r="484" spans="1:31" ht="21.95" customHeight="1" x14ac:dyDescent="0.25">
      <c r="A484" s="97" t="str">
        <f>+IF(PROVEEDORES[[#This Row],[FECHA DE PAGO]]=PROVEEDORES[[#This Row],[FECHA DE FACTURACIÓN]],"DE CONTADO","CRÉDITO")</f>
        <v>CRÉDITO</v>
      </c>
      <c r="B484" s="41" t="b">
        <f>+IF((PROVEEDORES[[#This Row],[FECHA DE PAGO]]-PROVEEDORES[[#This Row],[FECHA DE FACTURACIÓN]])&gt;PROVEEDORES[[#This Row],[PLAZO Días]],"PAGO VENCIDO")</f>
        <v>0</v>
      </c>
      <c r="C484" s="22">
        <f>+VLOOKUP(PROVEEDORES[[#This Row],[PROVEEDOR]],TERCEROS_INFO[#All],2,FALSE)</f>
        <v>30</v>
      </c>
      <c r="D484" s="27">
        <f>+SUMIFS(PROVEEDORES[Total],PROVEEDORES[PROVEEDOR],PROVEEDORES[[#This Row],[PROVEEDOR]],PROVEEDORES[FECHA DE PAGO],"")</f>
        <v>1860500</v>
      </c>
      <c r="E484" s="27"/>
      <c r="F484" s="62" t="str">
        <f>+VLOOKUP(PROVEEDORES[[#This Row],[PROVEEDOR]],
                       Terceros!$A:$G,
                       6,
                       FALSE)</f>
        <v/>
      </c>
      <c r="G484" s="95">
        <v>44396</v>
      </c>
      <c r="H484" s="28" t="s">
        <v>1064</v>
      </c>
      <c r="I484" s="95">
        <v>44367</v>
      </c>
      <c r="J484" s="38" t="s">
        <v>740</v>
      </c>
      <c r="K484" s="23">
        <v>926000</v>
      </c>
      <c r="L484" s="23"/>
      <c r="M484" s="24">
        <v>0</v>
      </c>
      <c r="N484" s="25"/>
      <c r="O484" s="24">
        <v>0</v>
      </c>
      <c r="P484" s="136">
        <f>+IF(PROVEEDORES[[#This Row],[SUBTOTAL]]&lt;PROVEEDORES[[#This Row],[base retencion]],0,PROVEEDORES[[#This Row],[retención aplicada]])</f>
        <v>0</v>
      </c>
      <c r="Q484" s="24">
        <f>+PROVEEDORES[[#This Row],[Rete Fuente %]]*PROVEEDORES[[#This Row],[SUBTOTAL]]</f>
        <v>0</v>
      </c>
      <c r="R484" s="23">
        <v>926000</v>
      </c>
      <c r="S48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4" s="99">
        <f ca="1">IF(PROVEEDORES[[#This Row],[FECHA DE PAGO]]=0,TODAY()-PROVEEDORES[[#This Row],[FECHA DE FACTURACIÓN]]-PROVEEDORES[[#This Row],[PLAZO Días]],0)</f>
        <v>0</v>
      </c>
      <c r="U484" s="149">
        <f>+VLOOKUP(PROVEEDORES[[#This Row],[PROVEEDOR]],Terceros!$A:$E,5,FALSE)</f>
        <v>0</v>
      </c>
      <c r="V484" s="150">
        <f>+YEAR(PROVEEDORES[[#This Row],[FECHA DE FACTURACIÓN]])</f>
        <v>2021</v>
      </c>
      <c r="W484" s="150">
        <f>+MATCH(PROVEEDORES[[#This Row],[año facturado]],Retenciones!$1:$1,0)</f>
        <v>4</v>
      </c>
      <c r="X484" s="151">
        <f>+VLOOKUP(PROVEEDORES[[#This Row],[ID RETENCION]],Retenciones!$A$1:$O$24,PROVEEDORES[[#This Row],[indicador de columna]],FALSE)</f>
        <v>0</v>
      </c>
      <c r="Y484" s="152">
        <f>+VLOOKUP(PROVEEDORES[[#This Row],[ID RETENCION]],Retenciones!$A$1:$O$24,2,FALSE)</f>
        <v>0</v>
      </c>
      <c r="Z484" s="26"/>
      <c r="AA484" s="26"/>
      <c r="AB484" s="26"/>
      <c r="AC484" s="26"/>
      <c r="AD484" s="26"/>
      <c r="AE484" s="26"/>
    </row>
    <row r="485" spans="1:31" ht="21.95" customHeight="1" x14ac:dyDescent="0.25">
      <c r="A485" s="97" t="str">
        <f>+IF(PROVEEDORES[[#This Row],[FECHA DE PAGO]]=PROVEEDORES[[#This Row],[FECHA DE FACTURACIÓN]],"DE CONTADO","CRÉDITO")</f>
        <v>CRÉDITO</v>
      </c>
      <c r="B485" s="41" t="str">
        <f>+IF((PROVEEDORES[[#This Row],[FECHA DE PAGO]]-PROVEEDORES[[#This Row],[FECHA DE FACTURACIÓN]])&gt;PROVEEDORES[[#This Row],[PLAZO Días]],"PAGO VENCIDO")</f>
        <v>PAGO VENCIDO</v>
      </c>
      <c r="C485" s="22">
        <f>+VLOOKUP(PROVEEDORES[[#This Row],[PROVEEDOR]],TERCEROS_INFO[#All],2,FALSE)</f>
        <v>45</v>
      </c>
      <c r="D485" s="27">
        <f>+SUMIFS(PROVEEDORES[Total],PROVEEDORES[PROVEEDOR],PROVEEDORES[[#This Row],[PROVEEDOR]],PROVEEDORES[FECHA DE PAGO],"")</f>
        <v>3412539.2</v>
      </c>
      <c r="E485" s="27"/>
      <c r="F485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485" s="95">
        <v>44418</v>
      </c>
      <c r="H485" s="28" t="s">
        <v>10</v>
      </c>
      <c r="I485" s="95">
        <v>44368</v>
      </c>
      <c r="J485" s="38" t="s">
        <v>404</v>
      </c>
      <c r="K485" s="23">
        <v>1440000</v>
      </c>
      <c r="L485" s="23"/>
      <c r="M485" s="24">
        <v>273600</v>
      </c>
      <c r="N485" s="25"/>
      <c r="O485" s="24">
        <v>0</v>
      </c>
      <c r="P485" s="136">
        <f>+IF(PROVEEDORES[[#This Row],[SUBTOTAL]]&lt;PROVEEDORES[[#This Row],[base retencion]],0,PROVEEDORES[[#This Row],[retención aplicada]])</f>
        <v>0</v>
      </c>
      <c r="Q485" s="24">
        <f>+PROVEEDORES[[#This Row],[Rete Fuente %]]*PROVEEDORES[[#This Row],[SUBTOTAL]]</f>
        <v>0</v>
      </c>
      <c r="R485" s="23">
        <v>1713600</v>
      </c>
      <c r="S48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5" s="99">
        <f ca="1">IF(PROVEEDORES[[#This Row],[FECHA DE PAGO]]=0,TODAY()-PROVEEDORES[[#This Row],[FECHA DE FACTURACIÓN]]-PROVEEDORES[[#This Row],[PLAZO Días]],0)</f>
        <v>0</v>
      </c>
      <c r="U485" s="149">
        <f>+VLOOKUP(PROVEEDORES[[#This Row],[PROVEEDOR]],Terceros!$A:$E,5,FALSE)</f>
        <v>0</v>
      </c>
      <c r="V485" s="150">
        <f>+YEAR(PROVEEDORES[[#This Row],[FECHA DE FACTURACIÓN]])</f>
        <v>2021</v>
      </c>
      <c r="W485" s="150">
        <f>+MATCH(PROVEEDORES[[#This Row],[año facturado]],Retenciones!$1:$1,0)</f>
        <v>4</v>
      </c>
      <c r="X485" s="151">
        <f>+VLOOKUP(PROVEEDORES[[#This Row],[ID RETENCION]],Retenciones!$A$1:$O$24,PROVEEDORES[[#This Row],[indicador de columna]],FALSE)</f>
        <v>0</v>
      </c>
      <c r="Y485" s="152">
        <f>+VLOOKUP(PROVEEDORES[[#This Row],[ID RETENCION]],Retenciones!$A$1:$O$24,2,FALSE)</f>
        <v>0</v>
      </c>
      <c r="Z485" s="26"/>
      <c r="AA485" s="26"/>
      <c r="AB485" s="26"/>
      <c r="AC485" s="26"/>
      <c r="AD485" s="26"/>
      <c r="AE485" s="26"/>
    </row>
    <row r="486" spans="1:31" ht="21.95" customHeight="1" x14ac:dyDescent="0.25">
      <c r="A486" s="97" t="str">
        <f>+IF(PROVEEDORES[[#This Row],[FECHA DE PAGO]]=PROVEEDORES[[#This Row],[FECHA DE FACTURACIÓN]],"DE CONTADO","CRÉDITO")</f>
        <v>CRÉDITO</v>
      </c>
      <c r="B486" s="41" t="str">
        <f>+IF((PROVEEDORES[[#This Row],[FECHA DE PAGO]]-PROVEEDORES[[#This Row],[FECHA DE FACTURACIÓN]])&gt;PROVEEDORES[[#This Row],[PLAZO Días]],"PAGO VENCIDO")</f>
        <v>PAGO VENCIDO</v>
      </c>
      <c r="C486" s="22">
        <f>+VLOOKUP(PROVEEDORES[[#This Row],[PROVEEDOR]],TERCEROS_INFO[#All],2,FALSE)</f>
        <v>30</v>
      </c>
      <c r="D486" s="27">
        <f>+SUMIFS(PROVEEDORES[Total],PROVEEDORES[PROVEEDOR],PROVEEDORES[[#This Row],[PROVEEDOR]],PROVEEDORES[FECHA DE PAGO],"")</f>
        <v>0</v>
      </c>
      <c r="E486" s="27"/>
      <c r="F486" s="62" t="str">
        <f>+VLOOKUP(PROVEEDORES[[#This Row],[PROVEEDOR]],
                       Terceros!$A:$G,
                       6,
                       FALSE)</f>
        <v>BRIGHTSIDELED2019@gmail.com;girlesa.ruiz@servipilas.com;joriescobar64@gmail.com</v>
      </c>
      <c r="G486" s="95">
        <v>44403</v>
      </c>
      <c r="H486" s="28" t="s">
        <v>66</v>
      </c>
      <c r="I486" s="95">
        <v>44368</v>
      </c>
      <c r="J486" s="38">
        <v>66</v>
      </c>
      <c r="K486" s="23">
        <v>1592437</v>
      </c>
      <c r="L486" s="23"/>
      <c r="M486" s="24">
        <v>302563.03000000003</v>
      </c>
      <c r="N486" s="25"/>
      <c r="O486" s="24">
        <v>0</v>
      </c>
      <c r="P486" s="136">
        <f>+IF(PROVEEDORES[[#This Row],[SUBTOTAL]]&lt;PROVEEDORES[[#This Row],[base retencion]],0,PROVEEDORES[[#This Row],[retención aplicada]])</f>
        <v>2.5000000000000001E-2</v>
      </c>
      <c r="Q486" s="24">
        <f>+PROVEEDORES[[#This Row],[Rete Fuente %]]*PROVEEDORES[[#This Row],[SUBTOTAL]]</f>
        <v>39810.925000000003</v>
      </c>
      <c r="R486" s="23">
        <v>1855189.105</v>
      </c>
      <c r="S48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6" s="99">
        <f ca="1">IF(PROVEEDORES[[#This Row],[FECHA DE PAGO]]=0,TODAY()-PROVEEDORES[[#This Row],[FECHA DE FACTURACIÓN]]-PROVEEDORES[[#This Row],[PLAZO Días]],0)</f>
        <v>0</v>
      </c>
      <c r="U486" s="149" t="str">
        <f>+VLOOKUP(PROVEEDORES[[#This Row],[PROVEEDOR]],Terceros!$A:$E,5,FALSE)</f>
        <v>2,5% con base</v>
      </c>
      <c r="V486" s="150">
        <f>+YEAR(PROVEEDORES[[#This Row],[FECHA DE FACTURACIÓN]])</f>
        <v>2021</v>
      </c>
      <c r="W486" s="150">
        <f>+MATCH(PROVEEDORES[[#This Row],[año facturado]],Retenciones!$1:$1,0)</f>
        <v>4</v>
      </c>
      <c r="X486" s="151">
        <f>+VLOOKUP(PROVEEDORES[[#This Row],[ID RETENCION]],Retenciones!$A$1:$O$24,PROVEEDORES[[#This Row],[indicador de columna]],FALSE)</f>
        <v>980000</v>
      </c>
      <c r="Y486" s="152">
        <f>+VLOOKUP(PROVEEDORES[[#This Row],[ID RETENCION]],Retenciones!$A$1:$O$24,2,FALSE)</f>
        <v>2.5000000000000001E-2</v>
      </c>
      <c r="Z486" s="26"/>
      <c r="AA486" s="26"/>
      <c r="AB486" s="26"/>
      <c r="AC486" s="26"/>
      <c r="AD486" s="26"/>
      <c r="AE486" s="26"/>
    </row>
    <row r="487" spans="1:31" ht="21.95" customHeight="1" x14ac:dyDescent="0.25">
      <c r="A487" s="97" t="str">
        <f>+IF(PROVEEDORES[[#This Row],[FECHA DE PAGO]]=PROVEEDORES[[#This Row],[FECHA DE FACTURACIÓN]],"DE CONTADO","CRÉDITO")</f>
        <v>CRÉDITO</v>
      </c>
      <c r="B487" s="41" t="str">
        <f>+IF((PROVEEDORES[[#This Row],[FECHA DE PAGO]]-PROVEEDORES[[#This Row],[FECHA DE FACTURACIÓN]])&gt;PROVEEDORES[[#This Row],[PLAZO Días]],"PAGO VENCIDO")</f>
        <v>PAGO VENCIDO</v>
      </c>
      <c r="C487" s="22">
        <f>+VLOOKUP(PROVEEDORES[[#This Row],[PROVEEDOR]],TERCEROS_INFO[#All],2,FALSE)</f>
        <v>30</v>
      </c>
      <c r="D487" s="27">
        <f>+SUMIFS(PROVEEDORES[Total],PROVEEDORES[PROVEEDOR],PROVEEDORES[[#This Row],[PROVEEDOR]],PROVEEDORES[FECHA DE PAGO],"")</f>
        <v>0</v>
      </c>
      <c r="E487" s="27"/>
      <c r="F487" s="62" t="str">
        <f>+VLOOKUP(PROVEEDORES[[#This Row],[PROVEEDOR]],
                       Terceros!$A:$G,
                       6,
                       FALSE)</f>
        <v>Fernando.Carmona@energizer.com;girlesa.ruiz@servipilas.com;joriescobar64@gmail.com</v>
      </c>
      <c r="G487" s="95">
        <v>44410</v>
      </c>
      <c r="H487" s="28" t="s">
        <v>47</v>
      </c>
      <c r="I487" s="95">
        <v>44368</v>
      </c>
      <c r="J487" s="38">
        <v>160217927</v>
      </c>
      <c r="K487" s="23">
        <v>2730150</v>
      </c>
      <c r="L487" s="23"/>
      <c r="M487" s="24">
        <v>518728.5</v>
      </c>
      <c r="N487" s="25"/>
      <c r="O487" s="24">
        <v>0</v>
      </c>
      <c r="P487" s="136">
        <f>+IF(PROVEEDORES[[#This Row],[SUBTOTAL]]&lt;PROVEEDORES[[#This Row],[base retencion]],0,PROVEEDORES[[#This Row],[retención aplicada]])</f>
        <v>0</v>
      </c>
      <c r="Q487" s="24">
        <f>+PROVEEDORES[[#This Row],[Rete Fuente %]]*PROVEEDORES[[#This Row],[SUBTOTAL]]</f>
        <v>0</v>
      </c>
      <c r="R487" s="23">
        <v>3248878.5</v>
      </c>
      <c r="S48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7" s="99">
        <f ca="1">IF(PROVEEDORES[[#This Row],[FECHA DE PAGO]]=0,TODAY()-PROVEEDORES[[#This Row],[FECHA DE FACTURACIÓN]]-PROVEEDORES[[#This Row],[PLAZO Días]],0)</f>
        <v>0</v>
      </c>
      <c r="U487" s="149">
        <f>+VLOOKUP(PROVEEDORES[[#This Row],[PROVEEDOR]],Terceros!$A:$E,5,FALSE)</f>
        <v>0</v>
      </c>
      <c r="V487" s="150">
        <f>+YEAR(PROVEEDORES[[#This Row],[FECHA DE FACTURACIÓN]])</f>
        <v>2021</v>
      </c>
      <c r="W487" s="150">
        <f>+MATCH(PROVEEDORES[[#This Row],[año facturado]],Retenciones!$1:$1,0)</f>
        <v>4</v>
      </c>
      <c r="X487" s="151">
        <f>+VLOOKUP(PROVEEDORES[[#This Row],[ID RETENCION]],Retenciones!$A$1:$O$24,PROVEEDORES[[#This Row],[indicador de columna]],FALSE)</f>
        <v>0</v>
      </c>
      <c r="Y487" s="152">
        <f>+VLOOKUP(PROVEEDORES[[#This Row],[ID RETENCION]],Retenciones!$A$1:$O$24,2,FALSE)</f>
        <v>0</v>
      </c>
      <c r="Z487" s="26"/>
      <c r="AA487" s="26"/>
      <c r="AB487" s="26"/>
      <c r="AC487" s="26"/>
      <c r="AD487" s="26"/>
      <c r="AE487" s="26"/>
    </row>
    <row r="488" spans="1:31" ht="21.95" customHeight="1" x14ac:dyDescent="0.25">
      <c r="A488" s="97" t="str">
        <f>+IF(PROVEEDORES[[#This Row],[FECHA DE PAGO]]=PROVEEDORES[[#This Row],[FECHA DE FACTURACIÓN]],"DE CONTADO","CRÉDITO")</f>
        <v>CRÉDITO</v>
      </c>
      <c r="B488" s="41" t="b">
        <f>+IF((PROVEEDORES[[#This Row],[FECHA DE PAGO]]-PROVEEDORES[[#This Row],[FECHA DE FACTURACIÓN]])&gt;PROVEEDORES[[#This Row],[PLAZO Días]],"PAGO VENCIDO")</f>
        <v>0</v>
      </c>
      <c r="C488" s="22">
        <f>+VLOOKUP(PROVEEDORES[[#This Row],[PROVEEDOR]],TERCEROS_INFO[#All],2,FALSE)</f>
        <v>30</v>
      </c>
      <c r="D488" s="27">
        <f>+SUMIFS(PROVEEDORES[Total],PROVEEDORES[PROVEEDOR],PROVEEDORES[[#This Row],[PROVEEDOR]],PROVEEDORES[FECHA DE PAGO],"")</f>
        <v>248736.18000000002</v>
      </c>
      <c r="E488" s="27"/>
      <c r="F488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G488" s="95">
        <v>44396</v>
      </c>
      <c r="H488" s="28" t="s">
        <v>343</v>
      </c>
      <c r="I488" s="95">
        <v>44378</v>
      </c>
      <c r="J488" s="38" t="s">
        <v>420</v>
      </c>
      <c r="K488" s="23">
        <v>203897</v>
      </c>
      <c r="L488" s="23"/>
      <c r="M488" s="24">
        <v>38740.43</v>
      </c>
      <c r="N488" s="25"/>
      <c r="O488" s="24">
        <v>0</v>
      </c>
      <c r="P488" s="136">
        <f>+IF(PROVEEDORES[[#This Row],[SUBTOTAL]]&lt;PROVEEDORES[[#This Row],[base retencion]],0,PROVEEDORES[[#This Row],[retención aplicada]])</f>
        <v>3.5000000000000003E-2</v>
      </c>
      <c r="Q488" s="24">
        <f>+PROVEEDORES[[#This Row],[Rete Fuente %]]*PROVEEDORES[[#This Row],[SUBTOTAL]]</f>
        <v>7136.3950000000004</v>
      </c>
      <c r="R488" s="23">
        <v>235501.035</v>
      </c>
      <c r="S48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8" s="99">
        <f ca="1">IF(PROVEEDORES[[#This Row],[FECHA DE PAGO]]=0,TODAY()-PROVEEDORES[[#This Row],[FECHA DE FACTURACIÓN]]-PROVEEDORES[[#This Row],[PLAZO Días]],0)</f>
        <v>0</v>
      </c>
      <c r="U488" s="149" t="str">
        <f>+VLOOKUP(PROVEEDORES[[#This Row],[PROVEEDOR]],Terceros!$A:$E,5,FALSE)</f>
        <v>3,5% sin base</v>
      </c>
      <c r="V488" s="150">
        <f>+YEAR(PROVEEDORES[[#This Row],[FECHA DE FACTURACIÓN]])</f>
        <v>2021</v>
      </c>
      <c r="W488" s="150">
        <f>+MATCH(PROVEEDORES[[#This Row],[año facturado]],Retenciones!$1:$1,0)</f>
        <v>4</v>
      </c>
      <c r="X488" s="151">
        <f>+VLOOKUP(PROVEEDORES[[#This Row],[ID RETENCION]],Retenciones!$A$1:$O$24,PROVEEDORES[[#This Row],[indicador de columna]],FALSE)</f>
        <v>0</v>
      </c>
      <c r="Y488" s="152">
        <f>+VLOOKUP(PROVEEDORES[[#This Row],[ID RETENCION]],Retenciones!$A$1:$O$24,2,FALSE)</f>
        <v>3.5000000000000003E-2</v>
      </c>
      <c r="Z488" s="26"/>
      <c r="AA488" s="26"/>
      <c r="AB488" s="26"/>
      <c r="AC488" s="26"/>
      <c r="AD488" s="26"/>
      <c r="AE488" s="26"/>
    </row>
    <row r="489" spans="1:31" ht="21.95" customHeight="1" x14ac:dyDescent="0.25">
      <c r="A489" s="97" t="str">
        <f>+IF(PROVEEDORES[[#This Row],[FECHA DE PAGO]]=PROVEEDORES[[#This Row],[FECHA DE FACTURACIÓN]],"DE CONTADO","CRÉDITO")</f>
        <v>CRÉDITO</v>
      </c>
      <c r="B489" s="41" t="b">
        <f>+IF((PROVEEDORES[[#This Row],[FECHA DE PAGO]]-PROVEEDORES[[#This Row],[FECHA DE FACTURACIÓN]])&gt;PROVEEDORES[[#This Row],[PLAZO Días]],"PAGO VENCIDO")</f>
        <v>0</v>
      </c>
      <c r="C489" s="22">
        <f>+VLOOKUP(PROVEEDORES[[#This Row],[PROVEEDOR]],TERCEROS_INFO[#All],2,FALSE)</f>
        <v>30</v>
      </c>
      <c r="D489" s="27">
        <f>+SUMIFS(PROVEEDORES[Total],PROVEEDORES[PROVEEDOR],PROVEEDORES[[#This Row],[PROVEEDOR]],PROVEEDORES[FECHA DE PAGO],"")</f>
        <v>4862586.33</v>
      </c>
      <c r="E489" s="27"/>
      <c r="F489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489" s="95">
        <v>44396</v>
      </c>
      <c r="H489" s="28" t="s">
        <v>345</v>
      </c>
      <c r="I489" s="95">
        <v>44378</v>
      </c>
      <c r="J489" s="38" t="s">
        <v>579</v>
      </c>
      <c r="K489" s="23">
        <v>716544</v>
      </c>
      <c r="L489" s="23"/>
      <c r="M489" s="24">
        <v>136143.36000000002</v>
      </c>
      <c r="N489" s="25"/>
      <c r="O489" s="24">
        <v>0</v>
      </c>
      <c r="P489" s="136">
        <f>+IF(PROVEEDORES[[#This Row],[SUBTOTAL]]&lt;PROVEEDORES[[#This Row],[base retencion]],0,PROVEEDORES[[#This Row],[retención aplicada]])</f>
        <v>0</v>
      </c>
      <c r="Q489" s="24">
        <f>+PROVEEDORES[[#This Row],[Rete Fuente %]]*PROVEEDORES[[#This Row],[SUBTOTAL]]</f>
        <v>0</v>
      </c>
      <c r="R489" s="23">
        <v>852687.35999999999</v>
      </c>
      <c r="S48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9" s="99">
        <f ca="1">IF(PROVEEDORES[[#This Row],[FECHA DE PAGO]]=0,TODAY()-PROVEEDORES[[#This Row],[FECHA DE FACTURACIÓN]]-PROVEEDORES[[#This Row],[PLAZO Días]],0)</f>
        <v>0</v>
      </c>
      <c r="U489" s="149">
        <f>+VLOOKUP(PROVEEDORES[[#This Row],[PROVEEDOR]],Terceros!$A:$E,5,FALSE)</f>
        <v>0</v>
      </c>
      <c r="V489" s="150">
        <f>+YEAR(PROVEEDORES[[#This Row],[FECHA DE FACTURACIÓN]])</f>
        <v>2021</v>
      </c>
      <c r="W489" s="150">
        <f>+MATCH(PROVEEDORES[[#This Row],[año facturado]],Retenciones!$1:$1,0)</f>
        <v>4</v>
      </c>
      <c r="X489" s="151">
        <f>+VLOOKUP(PROVEEDORES[[#This Row],[ID RETENCION]],Retenciones!$A$1:$O$24,PROVEEDORES[[#This Row],[indicador de columna]],FALSE)</f>
        <v>0</v>
      </c>
      <c r="Y489" s="152">
        <f>+VLOOKUP(PROVEEDORES[[#This Row],[ID RETENCION]],Retenciones!$A$1:$O$24,2,FALSE)</f>
        <v>0</v>
      </c>
      <c r="Z489" s="26"/>
      <c r="AA489" s="26"/>
      <c r="AB489" s="26"/>
      <c r="AC489" s="26"/>
      <c r="AD489" s="26"/>
      <c r="AE489" s="26"/>
    </row>
    <row r="490" spans="1:31" ht="21.95" customHeight="1" x14ac:dyDescent="0.25">
      <c r="A490" s="97" t="str">
        <f>+IF(PROVEEDORES[[#This Row],[FECHA DE PAGO]]=PROVEEDORES[[#This Row],[FECHA DE FACTURACIÓN]],"DE CONTADO","CRÉDITO")</f>
        <v>DE CONTADO</v>
      </c>
      <c r="B490" s="41" t="b">
        <f>+IF((PROVEEDORES[[#This Row],[FECHA DE PAGO]]-PROVEEDORES[[#This Row],[FECHA DE FACTURACIÓN]])&gt;PROVEEDORES[[#This Row],[PLAZO Días]],"PAGO VENCIDO")</f>
        <v>0</v>
      </c>
      <c r="C490" s="22">
        <f>+VLOOKUP(PROVEEDORES[[#This Row],[PROVEEDOR]],TERCEROS_INFO[#All],2,FALSE)</f>
        <v>30</v>
      </c>
      <c r="D490" s="27">
        <f>+SUMIFS(PROVEEDORES[Total],PROVEEDORES[PROVEEDOR],PROVEEDORES[[#This Row],[PROVEEDOR]],PROVEEDORES[FECHA DE PAGO],"")</f>
        <v>195500</v>
      </c>
      <c r="E490" s="27"/>
      <c r="F490" s="62" t="str">
        <f>+VLOOKUP(PROVEEDORES[[#This Row],[PROVEEDOR]],
                       Terceros!$A:$G,
                       6,
                       FALSE)</f>
        <v/>
      </c>
      <c r="G490" s="95">
        <v>44369</v>
      </c>
      <c r="H490" s="28" t="s">
        <v>1047</v>
      </c>
      <c r="I490" s="95">
        <v>44369</v>
      </c>
      <c r="J490" s="38"/>
      <c r="K490" s="23">
        <v>74500</v>
      </c>
      <c r="L490" s="23"/>
      <c r="M490" s="24">
        <v>0</v>
      </c>
      <c r="N490" s="25"/>
      <c r="O490" s="24">
        <v>0</v>
      </c>
      <c r="P490" s="136">
        <f>+IF(PROVEEDORES[[#This Row],[SUBTOTAL]]&lt;PROVEEDORES[[#This Row],[base retencion]],0,PROVEEDORES[[#This Row],[retención aplicada]])</f>
        <v>0</v>
      </c>
      <c r="Q490" s="24">
        <f>+PROVEEDORES[[#This Row],[Rete Fuente %]]*PROVEEDORES[[#This Row],[SUBTOTAL]]</f>
        <v>0</v>
      </c>
      <c r="R490" s="23">
        <v>74500</v>
      </c>
      <c r="S49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0" s="99">
        <f ca="1">IF(PROVEEDORES[[#This Row],[FECHA DE PAGO]]=0,TODAY()-PROVEEDORES[[#This Row],[FECHA DE FACTURACIÓN]]-PROVEEDORES[[#This Row],[PLAZO Días]],0)</f>
        <v>0</v>
      </c>
      <c r="U490" s="149">
        <f>+VLOOKUP(PROVEEDORES[[#This Row],[PROVEEDOR]],Terceros!$A:$E,5,FALSE)</f>
        <v>0</v>
      </c>
      <c r="V490" s="150">
        <f>+YEAR(PROVEEDORES[[#This Row],[FECHA DE FACTURACIÓN]])</f>
        <v>2021</v>
      </c>
      <c r="W490" s="150">
        <f>+MATCH(PROVEEDORES[[#This Row],[año facturado]],Retenciones!$1:$1,0)</f>
        <v>4</v>
      </c>
      <c r="X490" s="151">
        <f>+VLOOKUP(PROVEEDORES[[#This Row],[ID RETENCION]],Retenciones!$A$1:$O$24,PROVEEDORES[[#This Row],[indicador de columna]],FALSE)</f>
        <v>0</v>
      </c>
      <c r="Y490" s="152">
        <f>+VLOOKUP(PROVEEDORES[[#This Row],[ID RETENCION]],Retenciones!$A$1:$O$24,2,FALSE)</f>
        <v>0</v>
      </c>
      <c r="Z490" s="26"/>
      <c r="AA490" s="26"/>
      <c r="AB490" s="26"/>
      <c r="AC490" s="26"/>
      <c r="AD490" s="26"/>
      <c r="AE490" s="26"/>
    </row>
    <row r="491" spans="1:31" ht="21.95" customHeight="1" x14ac:dyDescent="0.25">
      <c r="A491" s="97" t="str">
        <f>+IF(PROVEEDORES[[#This Row],[FECHA DE PAGO]]=PROVEEDORES[[#This Row],[FECHA DE FACTURACIÓN]],"DE CONTADO","CRÉDITO")</f>
        <v>CRÉDITO</v>
      </c>
      <c r="B491" s="41" t="str">
        <f>+IF((PROVEEDORES[[#This Row],[FECHA DE PAGO]]-PROVEEDORES[[#This Row],[FECHA DE FACTURACIÓN]])&gt;PROVEEDORES[[#This Row],[PLAZO Días]],"PAGO VENCIDO")</f>
        <v>PAGO VENCIDO</v>
      </c>
      <c r="C491" s="22">
        <f>+VLOOKUP(PROVEEDORES[[#This Row],[PROVEEDOR]],TERCEROS_INFO[#All],2,FALSE)</f>
        <v>30</v>
      </c>
      <c r="D491" s="27">
        <f>+SUMIFS(PROVEEDORES[Total],PROVEEDORES[PROVEEDOR],PROVEEDORES[[#This Row],[PROVEEDOR]],PROVEEDORES[FECHA DE PAGO],"")</f>
        <v>452687.9</v>
      </c>
      <c r="E491" s="27"/>
      <c r="F491" s="62" t="str">
        <f>+VLOOKUP(PROVEEDORES[[#This Row],[PROVEEDOR]],
                       Terceros!$A:$G,
                       6,
                       FALSE)</f>
        <v>soluenergiacentro@une.net.co;girlesa.ruiz@servipilas.com;joriescobar64@gmail.com</v>
      </c>
      <c r="G491" s="95">
        <v>44414</v>
      </c>
      <c r="H491" s="28" t="s">
        <v>39</v>
      </c>
      <c r="I491" s="95">
        <v>44369</v>
      </c>
      <c r="J491" s="38">
        <v>610</v>
      </c>
      <c r="K491" s="23">
        <v>522400</v>
      </c>
      <c r="L491" s="23"/>
      <c r="M491" s="24">
        <v>99256</v>
      </c>
      <c r="N491" s="25"/>
      <c r="O491" s="24">
        <v>0</v>
      </c>
      <c r="P491" s="136">
        <f>+IF(PROVEEDORES[[#This Row],[SUBTOTAL]]&lt;PROVEEDORES[[#This Row],[base retencion]],0,PROVEEDORES[[#This Row],[retención aplicada]])</f>
        <v>0</v>
      </c>
      <c r="Q491" s="24">
        <f>+PROVEEDORES[[#This Row],[Rete Fuente %]]*PROVEEDORES[[#This Row],[SUBTOTAL]]</f>
        <v>0</v>
      </c>
      <c r="R491" s="23">
        <v>621656</v>
      </c>
      <c r="S49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1" s="99">
        <f ca="1">IF(PROVEEDORES[[#This Row],[FECHA DE PAGO]]=0,TODAY()-PROVEEDORES[[#This Row],[FECHA DE FACTURACIÓN]]-PROVEEDORES[[#This Row],[PLAZO Días]],0)</f>
        <v>0</v>
      </c>
      <c r="U491" s="149" t="str">
        <f>+VLOOKUP(PROVEEDORES[[#This Row],[PROVEEDOR]],Terceros!$A:$E,5,FALSE)</f>
        <v>2,5% con base</v>
      </c>
      <c r="V491" s="150">
        <f>+YEAR(PROVEEDORES[[#This Row],[FECHA DE FACTURACIÓN]])</f>
        <v>2021</v>
      </c>
      <c r="W491" s="150">
        <f>+MATCH(PROVEEDORES[[#This Row],[año facturado]],Retenciones!$1:$1,0)</f>
        <v>4</v>
      </c>
      <c r="X491" s="151">
        <f>+VLOOKUP(PROVEEDORES[[#This Row],[ID RETENCION]],Retenciones!$A$1:$O$24,PROVEEDORES[[#This Row],[indicador de columna]],FALSE)</f>
        <v>980000</v>
      </c>
      <c r="Y491" s="152">
        <f>+VLOOKUP(PROVEEDORES[[#This Row],[ID RETENCION]],Retenciones!$A$1:$O$24,2,FALSE)</f>
        <v>2.5000000000000001E-2</v>
      </c>
      <c r="Z491" s="26"/>
      <c r="AA491" s="26"/>
      <c r="AB491" s="26"/>
      <c r="AC491" s="26"/>
      <c r="AD491" s="26"/>
      <c r="AE491" s="26"/>
    </row>
    <row r="492" spans="1:31" ht="21.95" customHeight="1" x14ac:dyDescent="0.25">
      <c r="A492" s="97" t="str">
        <f>+IF(PROVEEDORES[[#This Row],[FECHA DE PAGO]]=PROVEEDORES[[#This Row],[FECHA DE FACTURACIÓN]],"DE CONTADO","CRÉDITO")</f>
        <v>DE CONTADO</v>
      </c>
      <c r="B492" s="41" t="b">
        <f>+IF((PROVEEDORES[[#This Row],[FECHA DE PAGO]]-PROVEEDORES[[#This Row],[FECHA DE FACTURACIÓN]])&gt;PROVEEDORES[[#This Row],[PLAZO Días]],"PAGO VENCIDO")</f>
        <v>0</v>
      </c>
      <c r="C492" s="22">
        <f>+VLOOKUP(PROVEEDORES[[#This Row],[PROVEEDOR]],TERCEROS_INFO[#All],2,FALSE)</f>
        <v>30</v>
      </c>
      <c r="D492" s="27">
        <f>+SUMIFS(PROVEEDORES[Total],PROVEEDORES[PROVEEDOR],PROVEEDORES[[#This Row],[PROVEEDOR]],PROVEEDORES[FECHA DE PAGO],"")</f>
        <v>195500</v>
      </c>
      <c r="E492" s="27"/>
      <c r="F492" s="62" t="str">
        <f>+VLOOKUP(PROVEEDORES[[#This Row],[PROVEEDOR]],
                       Terceros!$A:$G,
                       6,
                       FALSE)</f>
        <v/>
      </c>
      <c r="G492" s="95">
        <v>44369</v>
      </c>
      <c r="H492" s="28" t="s">
        <v>1047</v>
      </c>
      <c r="I492" s="95">
        <v>44369</v>
      </c>
      <c r="J492" s="38"/>
      <c r="K492" s="23">
        <v>775866</v>
      </c>
      <c r="L492" s="23"/>
      <c r="M492" s="24">
        <v>0</v>
      </c>
      <c r="N492" s="25"/>
      <c r="O492" s="24">
        <v>0</v>
      </c>
      <c r="P492" s="136">
        <f>+IF(PROVEEDORES[[#This Row],[SUBTOTAL]]&lt;PROVEEDORES[[#This Row],[base retencion]],0,PROVEEDORES[[#This Row],[retención aplicada]])</f>
        <v>0</v>
      </c>
      <c r="Q492" s="24">
        <f>+PROVEEDORES[[#This Row],[Rete Fuente %]]*PROVEEDORES[[#This Row],[SUBTOTAL]]</f>
        <v>0</v>
      </c>
      <c r="R492" s="23">
        <v>775866</v>
      </c>
      <c r="S49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2" s="99">
        <f ca="1">IF(PROVEEDORES[[#This Row],[FECHA DE PAGO]]=0,TODAY()-PROVEEDORES[[#This Row],[FECHA DE FACTURACIÓN]]-PROVEEDORES[[#This Row],[PLAZO Días]],0)</f>
        <v>0</v>
      </c>
      <c r="U492" s="149">
        <f>+VLOOKUP(PROVEEDORES[[#This Row],[PROVEEDOR]],Terceros!$A:$E,5,FALSE)</f>
        <v>0</v>
      </c>
      <c r="V492" s="150">
        <f>+YEAR(PROVEEDORES[[#This Row],[FECHA DE FACTURACIÓN]])</f>
        <v>2021</v>
      </c>
      <c r="W492" s="150">
        <f>+MATCH(PROVEEDORES[[#This Row],[año facturado]],Retenciones!$1:$1,0)</f>
        <v>4</v>
      </c>
      <c r="X492" s="151">
        <f>+VLOOKUP(PROVEEDORES[[#This Row],[ID RETENCION]],Retenciones!$A$1:$O$24,PROVEEDORES[[#This Row],[indicador de columna]],FALSE)</f>
        <v>0</v>
      </c>
      <c r="Y492" s="152">
        <f>+VLOOKUP(PROVEEDORES[[#This Row],[ID RETENCION]],Retenciones!$A$1:$O$24,2,FALSE)</f>
        <v>0</v>
      </c>
      <c r="Z492" s="26"/>
      <c r="AA492" s="26"/>
      <c r="AB492" s="26"/>
      <c r="AC492" s="26"/>
      <c r="AD492" s="26"/>
      <c r="AE492" s="26"/>
    </row>
    <row r="493" spans="1:31" ht="21.95" customHeight="1" x14ac:dyDescent="0.25">
      <c r="A493" s="97" t="str">
        <f>+IF(PROVEEDORES[[#This Row],[FECHA DE PAGO]]=PROVEEDORES[[#This Row],[FECHA DE FACTURACIÓN]],"DE CONTADO","CRÉDITO")</f>
        <v>CRÉDITO</v>
      </c>
      <c r="B493" s="41" t="str">
        <f>+IF((PROVEEDORES[[#This Row],[FECHA DE PAGO]]-PROVEEDORES[[#This Row],[FECHA DE FACTURACIÓN]])&gt;PROVEEDORES[[#This Row],[PLAZO Días]],"PAGO VENCIDO")</f>
        <v>PAGO VENCIDO</v>
      </c>
      <c r="C493" s="22">
        <f>+VLOOKUP(PROVEEDORES[[#This Row],[PROVEEDOR]],TERCEROS_INFO[#All],2,FALSE)</f>
        <v>30</v>
      </c>
      <c r="D493" s="27">
        <f>+SUMIFS(PROVEEDORES[Total],PROVEEDORES[PROVEEDOR],PROVEEDORES[[#This Row],[PROVEEDOR]],PROVEEDORES[FECHA DE PAGO],"")</f>
        <v>0</v>
      </c>
      <c r="E493" s="27"/>
      <c r="F493" s="62" t="str">
        <f>+VLOOKUP(PROVEEDORES[[#This Row],[PROVEEDOR]],
                       Terceros!$A:$G,
                       6,
                       FALSE)</f>
        <v/>
      </c>
      <c r="G493" s="95">
        <v>44433</v>
      </c>
      <c r="H493" s="28" t="s">
        <v>983</v>
      </c>
      <c r="I493" s="95">
        <v>44369</v>
      </c>
      <c r="J493" s="38" t="s">
        <v>741</v>
      </c>
      <c r="K493" s="23">
        <v>1563400</v>
      </c>
      <c r="L493" s="23"/>
      <c r="M493" s="24">
        <v>0</v>
      </c>
      <c r="N493" s="25"/>
      <c r="O493" s="24">
        <v>0</v>
      </c>
      <c r="P493" s="136">
        <f>+IF(PROVEEDORES[[#This Row],[SUBTOTAL]]&lt;PROVEEDORES[[#This Row],[base retencion]],0,PROVEEDORES[[#This Row],[retención aplicada]])</f>
        <v>0</v>
      </c>
      <c r="Q493" s="24">
        <f>+PROVEEDORES[[#This Row],[Rete Fuente %]]*PROVEEDORES[[#This Row],[SUBTOTAL]]</f>
        <v>0</v>
      </c>
      <c r="R493" s="23">
        <v>1563400</v>
      </c>
      <c r="S49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3" s="99">
        <f ca="1">IF(PROVEEDORES[[#This Row],[FECHA DE PAGO]]=0,TODAY()-PROVEEDORES[[#This Row],[FECHA DE FACTURACIÓN]]-PROVEEDORES[[#This Row],[PLAZO Días]],0)</f>
        <v>0</v>
      </c>
      <c r="U493" s="149">
        <f>+VLOOKUP(PROVEEDORES[[#This Row],[PROVEEDOR]],Terceros!$A:$E,5,FALSE)</f>
        <v>0</v>
      </c>
      <c r="V493" s="150">
        <f>+YEAR(PROVEEDORES[[#This Row],[FECHA DE FACTURACIÓN]])</f>
        <v>2021</v>
      </c>
      <c r="W493" s="150">
        <f>+MATCH(PROVEEDORES[[#This Row],[año facturado]],Retenciones!$1:$1,0)</f>
        <v>4</v>
      </c>
      <c r="X493" s="151">
        <f>+VLOOKUP(PROVEEDORES[[#This Row],[ID RETENCION]],Retenciones!$A$1:$O$24,PROVEEDORES[[#This Row],[indicador de columna]],FALSE)</f>
        <v>0</v>
      </c>
      <c r="Y493" s="152">
        <f>+VLOOKUP(PROVEEDORES[[#This Row],[ID RETENCION]],Retenciones!$A$1:$O$24,2,FALSE)</f>
        <v>0</v>
      </c>
      <c r="Z493" s="26"/>
      <c r="AA493" s="26"/>
      <c r="AB493" s="26"/>
      <c r="AC493" s="26"/>
      <c r="AD493" s="26"/>
      <c r="AE493" s="26"/>
    </row>
    <row r="494" spans="1:31" ht="21.95" customHeight="1" x14ac:dyDescent="0.25">
      <c r="A494" s="97" t="str">
        <f>+IF(PROVEEDORES[[#This Row],[FECHA DE PAGO]]=PROVEEDORES[[#This Row],[FECHA DE FACTURACIÓN]],"DE CONTADO","CRÉDITO")</f>
        <v>CRÉDITO</v>
      </c>
      <c r="B494" s="41" t="b">
        <f>+IF((PROVEEDORES[[#This Row],[FECHA DE PAGO]]-PROVEEDORES[[#This Row],[FECHA DE FACTURACIÓN]])&gt;PROVEEDORES[[#This Row],[PLAZO Días]],"PAGO VENCIDO")</f>
        <v>0</v>
      </c>
      <c r="C494" s="22">
        <f>+VLOOKUP(PROVEEDORES[[#This Row],[PROVEEDOR]],TERCEROS_INFO[#All],2,FALSE)</f>
        <v>30</v>
      </c>
      <c r="D494" s="27">
        <f>+SUMIFS(PROVEEDORES[Total],PROVEEDORES[PROVEEDOR],PROVEEDORES[[#This Row],[PROVEEDOR]],PROVEEDORES[FECHA DE PAGO],"")</f>
        <v>0</v>
      </c>
      <c r="E494" s="27"/>
      <c r="F494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494" s="95">
        <v>44377</v>
      </c>
      <c r="H494" s="28" t="s">
        <v>511</v>
      </c>
      <c r="I494" s="95">
        <v>44369</v>
      </c>
      <c r="J494" s="38" t="s">
        <v>488</v>
      </c>
      <c r="K494" s="23">
        <v>2888005</v>
      </c>
      <c r="L494" s="23"/>
      <c r="M494" s="24">
        <v>548720.94999999995</v>
      </c>
      <c r="N494" s="25"/>
      <c r="O494" s="24">
        <v>0</v>
      </c>
      <c r="P494" s="136">
        <f>+IF(PROVEEDORES[[#This Row],[SUBTOTAL]]&lt;PROVEEDORES[[#This Row],[base retencion]],0,PROVEEDORES[[#This Row],[retención aplicada]])</f>
        <v>0</v>
      </c>
      <c r="Q494" s="24">
        <f>+PROVEEDORES[[#This Row],[Rete Fuente %]]*PROVEEDORES[[#This Row],[SUBTOTAL]]</f>
        <v>0</v>
      </c>
      <c r="R494" s="23">
        <v>3436725.95</v>
      </c>
      <c r="S49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4" s="99">
        <f ca="1">IF(PROVEEDORES[[#This Row],[FECHA DE PAGO]]=0,TODAY()-PROVEEDORES[[#This Row],[FECHA DE FACTURACIÓN]]-PROVEEDORES[[#This Row],[PLAZO Días]],0)</f>
        <v>0</v>
      </c>
      <c r="U494" s="149">
        <f>+VLOOKUP(PROVEEDORES[[#This Row],[PROVEEDOR]],Terceros!$A:$E,5,FALSE)</f>
        <v>0</v>
      </c>
      <c r="V494" s="150">
        <f>+YEAR(PROVEEDORES[[#This Row],[FECHA DE FACTURACIÓN]])</f>
        <v>2021</v>
      </c>
      <c r="W494" s="150">
        <f>+MATCH(PROVEEDORES[[#This Row],[año facturado]],Retenciones!$1:$1,0)</f>
        <v>4</v>
      </c>
      <c r="X494" s="151">
        <f>+VLOOKUP(PROVEEDORES[[#This Row],[ID RETENCION]],Retenciones!$A$1:$O$24,PROVEEDORES[[#This Row],[indicador de columna]],FALSE)</f>
        <v>0</v>
      </c>
      <c r="Y494" s="152">
        <f>+VLOOKUP(PROVEEDORES[[#This Row],[ID RETENCION]],Retenciones!$A$1:$O$24,2,FALSE)</f>
        <v>0</v>
      </c>
      <c r="Z494" s="26"/>
      <c r="AA494" s="26"/>
      <c r="AB494" s="26"/>
      <c r="AC494" s="26"/>
      <c r="AD494" s="26"/>
      <c r="AE494" s="26"/>
    </row>
    <row r="495" spans="1:31" ht="21.95" customHeight="1" x14ac:dyDescent="0.25">
      <c r="A495" s="97" t="str">
        <f>+IF(PROVEEDORES[[#This Row],[FECHA DE PAGO]]=PROVEEDORES[[#This Row],[FECHA DE FACTURACIÓN]],"DE CONTADO","CRÉDITO")</f>
        <v>CRÉDITO</v>
      </c>
      <c r="B495" s="41" t="str">
        <f>+IF((PROVEEDORES[[#This Row],[FECHA DE PAGO]]-PROVEEDORES[[#This Row],[FECHA DE FACTURACIÓN]])&gt;PROVEEDORES[[#This Row],[PLAZO Días]],"PAGO VENCIDO")</f>
        <v>PAGO VENCIDO</v>
      </c>
      <c r="C495" s="22">
        <f>+VLOOKUP(PROVEEDORES[[#This Row],[PROVEEDOR]],TERCEROS_INFO[#All],2,FALSE)</f>
        <v>30</v>
      </c>
      <c r="D495" s="27">
        <f>+SUMIFS(PROVEEDORES[Total],PROVEEDORES[PROVEEDOR],PROVEEDORES[[#This Row],[PROVEEDOR]],PROVEEDORES[FECHA DE PAGO],"")</f>
        <v>7458000</v>
      </c>
      <c r="E495" s="27"/>
      <c r="F495" s="62" t="str">
        <f>+VLOOKUP(PROVEEDORES[[#This Row],[PROVEEDOR]],
                       Terceros!$A:$G,
                       6,
                       FALSE)</f>
        <v/>
      </c>
      <c r="G495" s="95">
        <v>44418</v>
      </c>
      <c r="H495" s="28" t="s">
        <v>1043</v>
      </c>
      <c r="I495" s="95">
        <v>44369</v>
      </c>
      <c r="J495" s="38" t="s">
        <v>742</v>
      </c>
      <c r="K495" s="23">
        <v>3400000</v>
      </c>
      <c r="L495" s="23"/>
      <c r="M495" s="24">
        <v>0</v>
      </c>
      <c r="N495" s="25"/>
      <c r="O495" s="24">
        <v>0</v>
      </c>
      <c r="P495" s="136">
        <f>+IF(PROVEEDORES[[#This Row],[SUBTOTAL]]&lt;PROVEEDORES[[#This Row],[base retencion]],0,PROVEEDORES[[#This Row],[retención aplicada]])</f>
        <v>0</v>
      </c>
      <c r="Q495" s="24">
        <f>+PROVEEDORES[[#This Row],[Rete Fuente %]]*PROVEEDORES[[#This Row],[SUBTOTAL]]</f>
        <v>0</v>
      </c>
      <c r="R495" s="23">
        <v>3400000</v>
      </c>
      <c r="S49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5" s="99">
        <f ca="1">IF(PROVEEDORES[[#This Row],[FECHA DE PAGO]]=0,TODAY()-PROVEEDORES[[#This Row],[FECHA DE FACTURACIÓN]]-PROVEEDORES[[#This Row],[PLAZO Días]],0)</f>
        <v>0</v>
      </c>
      <c r="U495" s="149">
        <f>+VLOOKUP(PROVEEDORES[[#This Row],[PROVEEDOR]],Terceros!$A:$E,5,FALSE)</f>
        <v>0</v>
      </c>
      <c r="V495" s="150">
        <f>+YEAR(PROVEEDORES[[#This Row],[FECHA DE FACTURACIÓN]])</f>
        <v>2021</v>
      </c>
      <c r="W495" s="150">
        <f>+MATCH(PROVEEDORES[[#This Row],[año facturado]],Retenciones!$1:$1,0)</f>
        <v>4</v>
      </c>
      <c r="X495" s="151">
        <f>+VLOOKUP(PROVEEDORES[[#This Row],[ID RETENCION]],Retenciones!$A$1:$O$24,PROVEEDORES[[#This Row],[indicador de columna]],FALSE)</f>
        <v>0</v>
      </c>
      <c r="Y495" s="152">
        <f>+VLOOKUP(PROVEEDORES[[#This Row],[ID RETENCION]],Retenciones!$A$1:$O$24,2,FALSE)</f>
        <v>0</v>
      </c>
      <c r="Z495" s="26"/>
      <c r="AA495" s="26"/>
      <c r="AB495" s="26"/>
      <c r="AC495" s="26"/>
      <c r="AD495" s="26"/>
      <c r="AE495" s="26"/>
    </row>
    <row r="496" spans="1:31" ht="21.95" customHeight="1" x14ac:dyDescent="0.25">
      <c r="A496" s="97" t="str">
        <f>+IF(PROVEEDORES[[#This Row],[FECHA DE PAGO]]=PROVEEDORES[[#This Row],[FECHA DE FACTURACIÓN]],"DE CONTADO","CRÉDITO")</f>
        <v>CRÉDITO</v>
      </c>
      <c r="B496" s="41" t="str">
        <f>+IF((PROVEEDORES[[#This Row],[FECHA DE PAGO]]-PROVEEDORES[[#This Row],[FECHA DE FACTURACIÓN]])&gt;PROVEEDORES[[#This Row],[PLAZO Días]],"PAGO VENCIDO")</f>
        <v>PAGO VENCIDO</v>
      </c>
      <c r="C496" s="22">
        <f>+VLOOKUP(PROVEEDORES[[#This Row],[PROVEEDOR]],TERCEROS_INFO[#All],2,FALSE)</f>
        <v>45</v>
      </c>
      <c r="D496" s="27">
        <f>+SUMIFS(PROVEEDORES[Total],PROVEEDORES[PROVEEDOR],PROVEEDORES[[#This Row],[PROVEEDOR]],PROVEEDORES[FECHA DE PAGO],"")</f>
        <v>3412539.2</v>
      </c>
      <c r="E496" s="27"/>
      <c r="F496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496" s="95">
        <v>44427</v>
      </c>
      <c r="H496" s="28" t="s">
        <v>10</v>
      </c>
      <c r="I496" s="95">
        <v>44370</v>
      </c>
      <c r="J496" s="38" t="s">
        <v>406</v>
      </c>
      <c r="K496" s="23">
        <v>442000</v>
      </c>
      <c r="L496" s="23"/>
      <c r="M496" s="24">
        <v>83980</v>
      </c>
      <c r="N496" s="25"/>
      <c r="O496" s="24">
        <v>0</v>
      </c>
      <c r="P496" s="136">
        <f>+IF(PROVEEDORES[[#This Row],[SUBTOTAL]]&lt;PROVEEDORES[[#This Row],[base retencion]],0,PROVEEDORES[[#This Row],[retención aplicada]])</f>
        <v>0</v>
      </c>
      <c r="Q496" s="24">
        <f>+PROVEEDORES[[#This Row],[Rete Fuente %]]*PROVEEDORES[[#This Row],[SUBTOTAL]]</f>
        <v>0</v>
      </c>
      <c r="R496" s="23">
        <v>0</v>
      </c>
      <c r="S49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6" s="99">
        <f ca="1">IF(PROVEEDORES[[#This Row],[FECHA DE PAGO]]=0,TODAY()-PROVEEDORES[[#This Row],[FECHA DE FACTURACIÓN]]-PROVEEDORES[[#This Row],[PLAZO Días]],0)</f>
        <v>0</v>
      </c>
      <c r="U496" s="149">
        <f>+VLOOKUP(PROVEEDORES[[#This Row],[PROVEEDOR]],Terceros!$A:$E,5,FALSE)</f>
        <v>0</v>
      </c>
      <c r="V496" s="150">
        <f>+YEAR(PROVEEDORES[[#This Row],[FECHA DE FACTURACIÓN]])</f>
        <v>2021</v>
      </c>
      <c r="W496" s="150">
        <f>+MATCH(PROVEEDORES[[#This Row],[año facturado]],Retenciones!$1:$1,0)</f>
        <v>4</v>
      </c>
      <c r="X496" s="151">
        <f>+VLOOKUP(PROVEEDORES[[#This Row],[ID RETENCION]],Retenciones!$A$1:$O$24,PROVEEDORES[[#This Row],[indicador de columna]],FALSE)</f>
        <v>0</v>
      </c>
      <c r="Y496" s="152">
        <f>+VLOOKUP(PROVEEDORES[[#This Row],[ID RETENCION]],Retenciones!$A$1:$O$24,2,FALSE)</f>
        <v>0</v>
      </c>
      <c r="Z496" s="26"/>
      <c r="AA496" s="26"/>
      <c r="AB496" s="26"/>
      <c r="AC496" s="26"/>
      <c r="AD496" s="26"/>
      <c r="AE496" s="26"/>
    </row>
    <row r="497" spans="1:31" ht="21.95" customHeight="1" x14ac:dyDescent="0.25">
      <c r="A497" s="97" t="str">
        <f>+IF(PROVEEDORES[[#This Row],[FECHA DE PAGO]]=PROVEEDORES[[#This Row],[FECHA DE FACTURACIÓN]],"DE CONTADO","CRÉDITO")</f>
        <v>DE CONTADO</v>
      </c>
      <c r="B497" s="41" t="b">
        <f>+IF((PROVEEDORES[[#This Row],[FECHA DE PAGO]]-PROVEEDORES[[#This Row],[FECHA DE FACTURACIÓN]])&gt;PROVEEDORES[[#This Row],[PLAZO Días]],"PAGO VENCIDO")</f>
        <v>0</v>
      </c>
      <c r="C497" s="22">
        <f>+VLOOKUP(PROVEEDORES[[#This Row],[PROVEEDOR]],TERCEROS_INFO[#All],2,FALSE)</f>
        <v>30</v>
      </c>
      <c r="D497" s="27">
        <f>+SUMIFS(PROVEEDORES[Total],PROVEEDORES[PROVEEDOR],PROVEEDORES[[#This Row],[PROVEEDOR]],PROVEEDORES[FECHA DE PAGO],"")</f>
        <v>0</v>
      </c>
      <c r="E497" s="27"/>
      <c r="F497" s="62" t="str">
        <f>+VLOOKUP(PROVEEDORES[[#This Row],[PROVEEDOR]],
                       Terceros!$A:$G,
                       6,
                       FALSE)</f>
        <v/>
      </c>
      <c r="G497" s="95">
        <v>44370</v>
      </c>
      <c r="H497" s="28" t="s">
        <v>1046</v>
      </c>
      <c r="I497" s="95">
        <v>44370</v>
      </c>
      <c r="J497" s="38"/>
      <c r="K497" s="23">
        <v>1000000</v>
      </c>
      <c r="L497" s="23"/>
      <c r="M497" s="24">
        <v>0</v>
      </c>
      <c r="N497" s="25"/>
      <c r="O497" s="24">
        <v>0</v>
      </c>
      <c r="P497" s="136">
        <f>+IF(PROVEEDORES[[#This Row],[SUBTOTAL]]&lt;PROVEEDORES[[#This Row],[base retencion]],0,PROVEEDORES[[#This Row],[retención aplicada]])</f>
        <v>0</v>
      </c>
      <c r="Q497" s="24">
        <f>+PROVEEDORES[[#This Row],[Rete Fuente %]]*PROVEEDORES[[#This Row],[SUBTOTAL]]</f>
        <v>0</v>
      </c>
      <c r="R497" s="23">
        <v>1000000</v>
      </c>
      <c r="S49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7" s="99">
        <f ca="1">IF(PROVEEDORES[[#This Row],[FECHA DE PAGO]]=0,TODAY()-PROVEEDORES[[#This Row],[FECHA DE FACTURACIÓN]]-PROVEEDORES[[#This Row],[PLAZO Días]],0)</f>
        <v>0</v>
      </c>
      <c r="U497" s="149">
        <f>+VLOOKUP(PROVEEDORES[[#This Row],[PROVEEDOR]],Terceros!$A:$E,5,FALSE)</f>
        <v>0</v>
      </c>
      <c r="V497" s="150">
        <f>+YEAR(PROVEEDORES[[#This Row],[FECHA DE FACTURACIÓN]])</f>
        <v>2021</v>
      </c>
      <c r="W497" s="150">
        <f>+MATCH(PROVEEDORES[[#This Row],[año facturado]],Retenciones!$1:$1,0)</f>
        <v>4</v>
      </c>
      <c r="X497" s="151">
        <f>+VLOOKUP(PROVEEDORES[[#This Row],[ID RETENCION]],Retenciones!$A$1:$O$24,PROVEEDORES[[#This Row],[indicador de columna]],FALSE)</f>
        <v>0</v>
      </c>
      <c r="Y497" s="152">
        <f>+VLOOKUP(PROVEEDORES[[#This Row],[ID RETENCION]],Retenciones!$A$1:$O$24,2,FALSE)</f>
        <v>0</v>
      </c>
      <c r="Z497" s="26"/>
      <c r="AA497" s="26"/>
      <c r="AB497" s="26"/>
      <c r="AC497" s="26"/>
      <c r="AD497" s="26"/>
      <c r="AE497" s="26"/>
    </row>
    <row r="498" spans="1:31" ht="21.95" customHeight="1" x14ac:dyDescent="0.25">
      <c r="A498" s="97" t="str">
        <f>+IF(PROVEEDORES[[#This Row],[FECHA DE PAGO]]=PROVEEDORES[[#This Row],[FECHA DE FACTURACIÓN]],"DE CONTADO","CRÉDITO")</f>
        <v>CRÉDITO</v>
      </c>
      <c r="B498" s="41" t="b">
        <f>+IF((PROVEEDORES[[#This Row],[FECHA DE PAGO]]-PROVEEDORES[[#This Row],[FECHA DE FACTURACIÓN]])&gt;PROVEEDORES[[#This Row],[PLAZO Días]],"PAGO VENCIDO")</f>
        <v>0</v>
      </c>
      <c r="C498" s="22">
        <f>+VLOOKUP(PROVEEDORES[[#This Row],[PROVEEDOR]],TERCEROS_INFO[#All],2,FALSE)</f>
        <v>30</v>
      </c>
      <c r="D498" s="27">
        <f>+SUMIFS(PROVEEDORES[Total],PROVEEDORES[PROVEEDOR],PROVEEDORES[[#This Row],[PROVEEDOR]],PROVEEDORES[FECHA DE PAGO],"")</f>
        <v>0</v>
      </c>
      <c r="E498" s="27"/>
      <c r="F498" s="62" t="str">
        <f>+VLOOKUP(PROVEEDORES[[#This Row],[PROVEEDOR]],
                       Terceros!$A:$G,
                       6,
                       FALSE)</f>
        <v>cxc11@unitecusa.com.co;jefecartera@unitecusa.com.co;girlesa.ruiz@servipilas.com;joriescobar64@gmail.com</v>
      </c>
      <c r="G498" s="95">
        <v>44389</v>
      </c>
      <c r="H498" s="28" t="s">
        <v>14</v>
      </c>
      <c r="I498" s="95">
        <v>44370</v>
      </c>
      <c r="J498" s="38" t="s">
        <v>403</v>
      </c>
      <c r="K498" s="23">
        <v>1237353</v>
      </c>
      <c r="L498" s="23"/>
      <c r="M498" s="24">
        <v>235097.07</v>
      </c>
      <c r="N498" s="25"/>
      <c r="O498" s="24">
        <v>0</v>
      </c>
      <c r="P498" s="136">
        <f>+IF(PROVEEDORES[[#This Row],[SUBTOTAL]]&lt;PROVEEDORES[[#This Row],[base retencion]],0,PROVEEDORES[[#This Row],[retención aplicada]])</f>
        <v>2.5000000000000001E-2</v>
      </c>
      <c r="Q498" s="24">
        <f>+PROVEEDORES[[#This Row],[Rete Fuente %]]*PROVEEDORES[[#This Row],[SUBTOTAL]]</f>
        <v>30933.825000000001</v>
      </c>
      <c r="R498" s="23">
        <v>1441516.2450000001</v>
      </c>
      <c r="S49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8" s="99">
        <f ca="1">IF(PROVEEDORES[[#This Row],[FECHA DE PAGO]]=0,TODAY()-PROVEEDORES[[#This Row],[FECHA DE FACTURACIÓN]]-PROVEEDORES[[#This Row],[PLAZO Días]],0)</f>
        <v>0</v>
      </c>
      <c r="U498" s="149" t="str">
        <f>+VLOOKUP(PROVEEDORES[[#This Row],[PROVEEDOR]],Terceros!$A:$E,5,FALSE)</f>
        <v>2,5% con base</v>
      </c>
      <c r="V498" s="150">
        <f>+YEAR(PROVEEDORES[[#This Row],[FECHA DE FACTURACIÓN]])</f>
        <v>2021</v>
      </c>
      <c r="W498" s="150">
        <f>+MATCH(PROVEEDORES[[#This Row],[año facturado]],Retenciones!$1:$1,0)</f>
        <v>4</v>
      </c>
      <c r="X498" s="151">
        <f>+VLOOKUP(PROVEEDORES[[#This Row],[ID RETENCION]],Retenciones!$A$1:$O$24,PROVEEDORES[[#This Row],[indicador de columna]],FALSE)</f>
        <v>980000</v>
      </c>
      <c r="Y498" s="152">
        <f>+VLOOKUP(PROVEEDORES[[#This Row],[ID RETENCION]],Retenciones!$A$1:$O$24,2,FALSE)</f>
        <v>2.5000000000000001E-2</v>
      </c>
      <c r="Z498" s="26"/>
      <c r="AA498" s="26"/>
      <c r="AB498" s="26"/>
      <c r="AC498" s="26"/>
      <c r="AD498" s="26"/>
      <c r="AE498" s="26"/>
    </row>
    <row r="499" spans="1:31" ht="21.95" customHeight="1" x14ac:dyDescent="0.25">
      <c r="A499" s="97" t="str">
        <f>+IF(PROVEEDORES[[#This Row],[FECHA DE PAGO]]=PROVEEDORES[[#This Row],[FECHA DE FACTURACIÓN]],"DE CONTADO","CRÉDITO")</f>
        <v>DE CONTADO</v>
      </c>
      <c r="B499" s="41" t="b">
        <f>+IF((PROVEEDORES[[#This Row],[FECHA DE PAGO]]-PROVEEDORES[[#This Row],[FECHA DE FACTURACIÓN]])&gt;PROVEEDORES[[#This Row],[PLAZO Días]],"PAGO VENCIDO")</f>
        <v>0</v>
      </c>
      <c r="C499" s="22">
        <f>+VLOOKUP(PROVEEDORES[[#This Row],[PROVEEDOR]],TERCEROS_INFO[#All],2,FALSE)</f>
        <v>30</v>
      </c>
      <c r="D499" s="27">
        <f>+SUMIFS(PROVEEDORES[Total],PROVEEDORES[PROVEEDOR],PROVEEDORES[[#This Row],[PROVEEDOR]],PROVEEDORES[FECHA DE PAGO],"")</f>
        <v>0</v>
      </c>
      <c r="E499" s="27"/>
      <c r="F499" s="62" t="str">
        <f>+VLOOKUP(PROVEEDORES[[#This Row],[PROVEEDOR]],
                       Terceros!$A:$G,
                       6,
                       FALSE)</f>
        <v/>
      </c>
      <c r="G499" s="95">
        <v>44370</v>
      </c>
      <c r="H499" s="28" t="s">
        <v>1001</v>
      </c>
      <c r="I499" s="95">
        <v>44370</v>
      </c>
      <c r="J499" s="38" t="s">
        <v>744</v>
      </c>
      <c r="K499" s="23">
        <v>3057000</v>
      </c>
      <c r="L499" s="23"/>
      <c r="M499" s="24">
        <v>0</v>
      </c>
      <c r="N499" s="25"/>
      <c r="O499" s="24">
        <v>0</v>
      </c>
      <c r="P499" s="136">
        <f>+IF(PROVEEDORES[[#This Row],[SUBTOTAL]]&lt;PROVEEDORES[[#This Row],[base retencion]],0,PROVEEDORES[[#This Row],[retención aplicada]])</f>
        <v>0</v>
      </c>
      <c r="Q499" s="24">
        <f>+PROVEEDORES[[#This Row],[Rete Fuente %]]*PROVEEDORES[[#This Row],[SUBTOTAL]]</f>
        <v>0</v>
      </c>
      <c r="R499" s="23">
        <v>3057000</v>
      </c>
      <c r="S49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9" s="99">
        <f ca="1">IF(PROVEEDORES[[#This Row],[FECHA DE PAGO]]=0,TODAY()-PROVEEDORES[[#This Row],[FECHA DE FACTURACIÓN]]-PROVEEDORES[[#This Row],[PLAZO Días]],0)</f>
        <v>0</v>
      </c>
      <c r="U499" s="149">
        <f>+VLOOKUP(PROVEEDORES[[#This Row],[PROVEEDOR]],Terceros!$A:$E,5,FALSE)</f>
        <v>0</v>
      </c>
      <c r="V499" s="150">
        <f>+YEAR(PROVEEDORES[[#This Row],[FECHA DE FACTURACIÓN]])</f>
        <v>2021</v>
      </c>
      <c r="W499" s="150">
        <f>+MATCH(PROVEEDORES[[#This Row],[año facturado]],Retenciones!$1:$1,0)</f>
        <v>4</v>
      </c>
      <c r="X499" s="151">
        <f>+VLOOKUP(PROVEEDORES[[#This Row],[ID RETENCION]],Retenciones!$A$1:$O$24,PROVEEDORES[[#This Row],[indicador de columna]],FALSE)</f>
        <v>0</v>
      </c>
      <c r="Y499" s="152">
        <f>+VLOOKUP(PROVEEDORES[[#This Row],[ID RETENCION]],Retenciones!$A$1:$O$24,2,FALSE)</f>
        <v>0</v>
      </c>
      <c r="Z499" s="26"/>
      <c r="AA499" s="26"/>
      <c r="AB499" s="26"/>
      <c r="AC499" s="26"/>
      <c r="AD499" s="26"/>
      <c r="AE499" s="26"/>
    </row>
    <row r="500" spans="1:31" ht="21.95" customHeight="1" x14ac:dyDescent="0.25">
      <c r="A500" s="97" t="str">
        <f>+IF(PROVEEDORES[[#This Row],[FECHA DE PAGO]]=PROVEEDORES[[#This Row],[FECHA DE FACTURACIÓN]],"DE CONTADO","CRÉDITO")</f>
        <v>CRÉDITO</v>
      </c>
      <c r="B500" s="41" t="b">
        <f>+IF((PROVEEDORES[[#This Row],[FECHA DE PAGO]]-PROVEEDORES[[#This Row],[FECHA DE FACTURACIÓN]])&gt;PROVEEDORES[[#This Row],[PLAZO Días]],"PAGO VENCIDO")</f>
        <v>0</v>
      </c>
      <c r="C500" s="22">
        <f>+VLOOKUP(PROVEEDORES[[#This Row],[PROVEEDOR]],TERCEROS_INFO[#All],2,FALSE)</f>
        <v>30</v>
      </c>
      <c r="D500" s="27">
        <f>+SUMIFS(PROVEEDORES[Total],PROVEEDORES[PROVEEDOR],PROVEEDORES[[#This Row],[PROVEEDOR]],PROVEEDORES[FECHA DE PAGO],"")</f>
        <v>264406</v>
      </c>
      <c r="E500" s="27"/>
      <c r="F500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500" s="95">
        <v>44376</v>
      </c>
      <c r="H500" s="28" t="s">
        <v>390</v>
      </c>
      <c r="I500" s="95">
        <v>44371</v>
      </c>
      <c r="J500" s="38" t="s">
        <v>410</v>
      </c>
      <c r="K500" s="23">
        <v>5288</v>
      </c>
      <c r="L500" s="23"/>
      <c r="M500" s="24">
        <v>0</v>
      </c>
      <c r="N500" s="25"/>
      <c r="O500" s="24">
        <v>0</v>
      </c>
      <c r="P500" s="136">
        <f>+IF(PROVEEDORES[[#This Row],[SUBTOTAL]]&lt;PROVEEDORES[[#This Row],[base retencion]],0,PROVEEDORES[[#This Row],[retención aplicada]])</f>
        <v>0</v>
      </c>
      <c r="Q500" s="24">
        <f>+PROVEEDORES[[#This Row],[Rete Fuente %]]*PROVEEDORES[[#This Row],[SUBTOTAL]]</f>
        <v>0</v>
      </c>
      <c r="R500" s="23">
        <v>5288</v>
      </c>
      <c r="S50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0" s="99">
        <f ca="1">IF(PROVEEDORES[[#This Row],[FECHA DE PAGO]]=0,TODAY()-PROVEEDORES[[#This Row],[FECHA DE FACTURACIÓN]]-PROVEEDORES[[#This Row],[PLAZO Días]],0)</f>
        <v>0</v>
      </c>
      <c r="U500" s="149">
        <f>+VLOOKUP(PROVEEDORES[[#This Row],[PROVEEDOR]],Terceros!$A:$E,5,FALSE)</f>
        <v>0</v>
      </c>
      <c r="V500" s="150">
        <f>+YEAR(PROVEEDORES[[#This Row],[FECHA DE FACTURACIÓN]])</f>
        <v>2021</v>
      </c>
      <c r="W500" s="150">
        <f>+MATCH(PROVEEDORES[[#This Row],[año facturado]],Retenciones!$1:$1,0)</f>
        <v>4</v>
      </c>
      <c r="X500" s="151">
        <f>+VLOOKUP(PROVEEDORES[[#This Row],[ID RETENCION]],Retenciones!$A$1:$O$24,PROVEEDORES[[#This Row],[indicador de columna]],FALSE)</f>
        <v>0</v>
      </c>
      <c r="Y500" s="152">
        <f>+VLOOKUP(PROVEEDORES[[#This Row],[ID RETENCION]],Retenciones!$A$1:$O$24,2,FALSE)</f>
        <v>0</v>
      </c>
      <c r="Z500" s="26"/>
      <c r="AA500" s="26"/>
      <c r="AB500" s="26"/>
      <c r="AC500" s="26"/>
      <c r="AD500" s="26"/>
      <c r="AE500" s="26"/>
    </row>
    <row r="501" spans="1:31" ht="21.95" customHeight="1" x14ac:dyDescent="0.25">
      <c r="A501" s="97" t="str">
        <f>+IF(PROVEEDORES[[#This Row],[FECHA DE PAGO]]=PROVEEDORES[[#This Row],[FECHA DE FACTURACIÓN]],"DE CONTADO","CRÉDITO")</f>
        <v>CRÉDITO</v>
      </c>
      <c r="B501" s="41" t="str">
        <f>+IF((PROVEEDORES[[#This Row],[FECHA DE PAGO]]-PROVEEDORES[[#This Row],[FECHA DE FACTURACIÓN]])&gt;PROVEEDORES[[#This Row],[PLAZO Días]],"PAGO VENCIDO")</f>
        <v>PAGO VENCIDO</v>
      </c>
      <c r="C501" s="22">
        <f>+VLOOKUP(PROVEEDORES[[#This Row],[PROVEEDOR]],TERCEROS_INFO[#All],2,FALSE)</f>
        <v>30</v>
      </c>
      <c r="D501" s="27">
        <f>+SUMIFS(PROVEEDORES[Total],PROVEEDORES[PROVEEDOR],PROVEEDORES[[#This Row],[PROVEEDOR]],PROVEEDORES[FECHA DE PAGO],"")</f>
        <v>0</v>
      </c>
      <c r="E501" s="27"/>
      <c r="F501" s="62" t="str">
        <f>+VLOOKUP(PROVEEDORES[[#This Row],[PROVEEDOR]],
                       Terceros!$A:$G,
                       6,
                       FALSE)</f>
        <v/>
      </c>
      <c r="G501" s="95">
        <v>44418</v>
      </c>
      <c r="H501" s="28" t="s">
        <v>1036</v>
      </c>
      <c r="I501" s="95">
        <v>44371</v>
      </c>
      <c r="J501" s="38" t="s">
        <v>745</v>
      </c>
      <c r="K501" s="23">
        <v>473000</v>
      </c>
      <c r="L501" s="23"/>
      <c r="M501" s="24">
        <v>0</v>
      </c>
      <c r="N501" s="25"/>
      <c r="O501" s="24">
        <v>0</v>
      </c>
      <c r="P501" s="136">
        <f>+IF(PROVEEDORES[[#This Row],[SUBTOTAL]]&lt;PROVEEDORES[[#This Row],[base retencion]],0,PROVEEDORES[[#This Row],[retención aplicada]])</f>
        <v>0</v>
      </c>
      <c r="Q501" s="24">
        <f>+PROVEEDORES[[#This Row],[Rete Fuente %]]*PROVEEDORES[[#This Row],[SUBTOTAL]]</f>
        <v>0</v>
      </c>
      <c r="R501" s="23">
        <v>473000</v>
      </c>
      <c r="S50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1" s="99">
        <f ca="1">IF(PROVEEDORES[[#This Row],[FECHA DE PAGO]]=0,TODAY()-PROVEEDORES[[#This Row],[FECHA DE FACTURACIÓN]]-PROVEEDORES[[#This Row],[PLAZO Días]],0)</f>
        <v>0</v>
      </c>
      <c r="U501" s="149">
        <f>+VLOOKUP(PROVEEDORES[[#This Row],[PROVEEDOR]],Terceros!$A:$E,5,FALSE)</f>
        <v>0</v>
      </c>
      <c r="V501" s="150">
        <f>+YEAR(PROVEEDORES[[#This Row],[FECHA DE FACTURACIÓN]])</f>
        <v>2021</v>
      </c>
      <c r="W501" s="150">
        <f>+MATCH(PROVEEDORES[[#This Row],[año facturado]],Retenciones!$1:$1,0)</f>
        <v>4</v>
      </c>
      <c r="X501" s="151">
        <f>+VLOOKUP(PROVEEDORES[[#This Row],[ID RETENCION]],Retenciones!$A$1:$O$24,PROVEEDORES[[#This Row],[indicador de columna]],FALSE)</f>
        <v>0</v>
      </c>
      <c r="Y501" s="152">
        <f>+VLOOKUP(PROVEEDORES[[#This Row],[ID RETENCION]],Retenciones!$A$1:$O$24,2,FALSE)</f>
        <v>0</v>
      </c>
      <c r="Z501" s="26"/>
      <c r="AA501" s="26"/>
      <c r="AB501" s="26"/>
      <c r="AC501" s="26"/>
      <c r="AD501" s="26"/>
      <c r="AE501" s="26"/>
    </row>
    <row r="502" spans="1:31" ht="21.95" customHeight="1" x14ac:dyDescent="0.25">
      <c r="A502" s="97" t="str">
        <f>+IF(PROVEEDORES[[#This Row],[FECHA DE PAGO]]=PROVEEDORES[[#This Row],[FECHA DE FACTURACIÓN]],"DE CONTADO","CRÉDITO")</f>
        <v>CRÉDITO</v>
      </c>
      <c r="B502" s="41" t="str">
        <f>+IF((PROVEEDORES[[#This Row],[FECHA DE PAGO]]-PROVEEDORES[[#This Row],[FECHA DE FACTURACIÓN]])&gt;PROVEEDORES[[#This Row],[PLAZO Días]],"PAGO VENCIDO")</f>
        <v>PAGO VENCIDO</v>
      </c>
      <c r="C502" s="22">
        <f>+VLOOKUP(PROVEEDORES[[#This Row],[PROVEEDOR]],TERCEROS_INFO[#All],2,FALSE)</f>
        <v>45</v>
      </c>
      <c r="D502" s="27">
        <f>+SUMIFS(PROVEEDORES[Total],PROVEEDORES[PROVEEDOR],PROVEEDORES[[#This Row],[PROVEEDOR]],PROVEEDORES[FECHA DE PAGO],"")</f>
        <v>3412539.2</v>
      </c>
      <c r="E502" s="27"/>
      <c r="F502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502" s="95">
        <v>44427</v>
      </c>
      <c r="H502" s="28" t="s">
        <v>10</v>
      </c>
      <c r="I502" s="95">
        <v>44371</v>
      </c>
      <c r="J502" s="38" t="s">
        <v>405</v>
      </c>
      <c r="K502" s="23">
        <v>1980000</v>
      </c>
      <c r="L502" s="23"/>
      <c r="M502" s="24">
        <v>376200</v>
      </c>
      <c r="N502" s="25"/>
      <c r="O502" s="24">
        <v>0</v>
      </c>
      <c r="P502" s="136">
        <f>+IF(PROVEEDORES[[#This Row],[SUBTOTAL]]&lt;PROVEEDORES[[#This Row],[base retencion]],0,PROVEEDORES[[#This Row],[retención aplicada]])</f>
        <v>0</v>
      </c>
      <c r="Q502" s="24">
        <f>+PROVEEDORES[[#This Row],[Rete Fuente %]]*PROVEEDORES[[#This Row],[SUBTOTAL]]</f>
        <v>0</v>
      </c>
      <c r="R502" s="23">
        <v>2356200</v>
      </c>
      <c r="S50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2" s="99">
        <f ca="1">IF(PROVEEDORES[[#This Row],[FECHA DE PAGO]]=0,TODAY()-PROVEEDORES[[#This Row],[FECHA DE FACTURACIÓN]]-PROVEEDORES[[#This Row],[PLAZO Días]],0)</f>
        <v>0</v>
      </c>
      <c r="U502" s="149">
        <f>+VLOOKUP(PROVEEDORES[[#This Row],[PROVEEDOR]],Terceros!$A:$E,5,FALSE)</f>
        <v>0</v>
      </c>
      <c r="V502" s="150">
        <f>+YEAR(PROVEEDORES[[#This Row],[FECHA DE FACTURACIÓN]])</f>
        <v>2021</v>
      </c>
      <c r="W502" s="150">
        <f>+MATCH(PROVEEDORES[[#This Row],[año facturado]],Retenciones!$1:$1,0)</f>
        <v>4</v>
      </c>
      <c r="X502" s="151">
        <f>+VLOOKUP(PROVEEDORES[[#This Row],[ID RETENCION]],Retenciones!$A$1:$O$24,PROVEEDORES[[#This Row],[indicador de columna]],FALSE)</f>
        <v>0</v>
      </c>
      <c r="Y502" s="152">
        <f>+VLOOKUP(PROVEEDORES[[#This Row],[ID RETENCION]],Retenciones!$A$1:$O$24,2,FALSE)</f>
        <v>0</v>
      </c>
      <c r="Z502" s="26"/>
      <c r="AA502" s="26"/>
      <c r="AB502" s="26"/>
      <c r="AC502" s="26"/>
      <c r="AD502" s="26"/>
      <c r="AE502" s="26"/>
    </row>
    <row r="503" spans="1:31" ht="21.95" customHeight="1" x14ac:dyDescent="0.25">
      <c r="A503" s="97" t="str">
        <f>+IF(PROVEEDORES[[#This Row],[FECHA DE PAGO]]=PROVEEDORES[[#This Row],[FECHA DE FACTURACIÓN]],"DE CONTADO","CRÉDITO")</f>
        <v>CRÉDITO</v>
      </c>
      <c r="B503" s="41" t="str">
        <f>+IF((PROVEEDORES[[#This Row],[FECHA DE PAGO]]-PROVEEDORES[[#This Row],[FECHA DE FACTURACIÓN]])&gt;PROVEEDORES[[#This Row],[PLAZO Días]],"PAGO VENCIDO")</f>
        <v>PAGO VENCIDO</v>
      </c>
      <c r="C503" s="22">
        <f>+VLOOKUP(PROVEEDORES[[#This Row],[PROVEEDOR]],TERCEROS_INFO[#All],2,FALSE)</f>
        <v>30</v>
      </c>
      <c r="D503" s="27">
        <f>+SUMIFS(PROVEEDORES[Total],PROVEEDORES[PROVEEDOR],PROVEEDORES[[#This Row],[PROVEEDOR]],PROVEEDORES[FECHA DE PAGO],"")</f>
        <v>0</v>
      </c>
      <c r="E503" s="27"/>
      <c r="F503" s="62" t="str">
        <f>+VLOOKUP(PROVEEDORES[[#This Row],[PROVEEDOR]],
                       Terceros!$A:$G,
                       6,
                       FALSE)</f>
        <v>Fernando.Carmona@energizer.com;girlesa.ruiz@servipilas.com;joriescobar64@gmail.com</v>
      </c>
      <c r="G503" s="95">
        <v>44432</v>
      </c>
      <c r="H503" s="28" t="s">
        <v>47</v>
      </c>
      <c r="I503" s="95">
        <v>44371</v>
      </c>
      <c r="J503" s="38">
        <v>160218083</v>
      </c>
      <c r="K503" s="23">
        <v>5978400</v>
      </c>
      <c r="L503" s="23"/>
      <c r="M503" s="24">
        <v>1135896</v>
      </c>
      <c r="N503" s="25"/>
      <c r="O503" s="24">
        <v>0</v>
      </c>
      <c r="P503" s="136">
        <f>+IF(PROVEEDORES[[#This Row],[SUBTOTAL]]&lt;PROVEEDORES[[#This Row],[base retencion]],0,PROVEEDORES[[#This Row],[retención aplicada]])</f>
        <v>0</v>
      </c>
      <c r="Q503" s="24">
        <f>+PROVEEDORES[[#This Row],[Rete Fuente %]]*PROVEEDORES[[#This Row],[SUBTOTAL]]</f>
        <v>0</v>
      </c>
      <c r="R503" s="23">
        <v>7114296</v>
      </c>
      <c r="S50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3" s="99">
        <f ca="1">IF(PROVEEDORES[[#This Row],[FECHA DE PAGO]]=0,TODAY()-PROVEEDORES[[#This Row],[FECHA DE FACTURACIÓN]]-PROVEEDORES[[#This Row],[PLAZO Días]],0)</f>
        <v>0</v>
      </c>
      <c r="U503" s="149">
        <f>+VLOOKUP(PROVEEDORES[[#This Row],[PROVEEDOR]],Terceros!$A:$E,5,FALSE)</f>
        <v>0</v>
      </c>
      <c r="V503" s="150">
        <f>+YEAR(PROVEEDORES[[#This Row],[FECHA DE FACTURACIÓN]])</f>
        <v>2021</v>
      </c>
      <c r="W503" s="150">
        <f>+MATCH(PROVEEDORES[[#This Row],[año facturado]],Retenciones!$1:$1,0)</f>
        <v>4</v>
      </c>
      <c r="X503" s="151">
        <f>+VLOOKUP(PROVEEDORES[[#This Row],[ID RETENCION]],Retenciones!$A$1:$O$24,PROVEEDORES[[#This Row],[indicador de columna]],FALSE)</f>
        <v>0</v>
      </c>
      <c r="Y503" s="152">
        <f>+VLOOKUP(PROVEEDORES[[#This Row],[ID RETENCION]],Retenciones!$A$1:$O$24,2,FALSE)</f>
        <v>0</v>
      </c>
      <c r="Z503" s="26"/>
      <c r="AA503" s="26"/>
      <c r="AB503" s="26"/>
      <c r="AC503" s="26"/>
      <c r="AD503" s="26"/>
      <c r="AE503" s="26"/>
    </row>
    <row r="504" spans="1:31" ht="21.95" customHeight="1" x14ac:dyDescent="0.25">
      <c r="A504" s="97" t="str">
        <f>+IF(PROVEEDORES[[#This Row],[FECHA DE PAGO]]=PROVEEDORES[[#This Row],[FECHA DE FACTURACIÓN]],"DE CONTADO","CRÉDITO")</f>
        <v>CRÉDITO</v>
      </c>
      <c r="B504" s="41" t="b">
        <f>+IF((PROVEEDORES[[#This Row],[FECHA DE PAGO]]-PROVEEDORES[[#This Row],[FECHA DE FACTURACIÓN]])&gt;PROVEEDORES[[#This Row],[PLAZO Días]],"PAGO VENCIDO")</f>
        <v>0</v>
      </c>
      <c r="C504" s="22">
        <f>+VLOOKUP(PROVEEDORES[[#This Row],[PROVEEDOR]],TERCEROS_INFO[#All],2,FALSE)</f>
        <v>30</v>
      </c>
      <c r="D504" s="27">
        <f>+SUMIFS(PROVEEDORES[Total],PROVEEDORES[PROVEEDOR],PROVEEDORES[[#This Row],[PROVEEDOR]],PROVEEDORES[FECHA DE PAGO],"")</f>
        <v>0</v>
      </c>
      <c r="E504" s="27"/>
      <c r="F504" s="62" t="str">
        <f>+VLOOKUP(PROVEEDORES[[#This Row],[PROVEEDOR]],
                       Terceros!$A:$G,
                       6,
                       FALSE)</f>
        <v>PSE</v>
      </c>
      <c r="G504" s="95">
        <v>44396</v>
      </c>
      <c r="H504" s="28" t="s">
        <v>350</v>
      </c>
      <c r="I504" s="95">
        <v>44378</v>
      </c>
      <c r="J504" s="38" t="s">
        <v>351</v>
      </c>
      <c r="K504" s="23">
        <v>727051</v>
      </c>
      <c r="L504" s="23"/>
      <c r="M504" s="24">
        <v>0</v>
      </c>
      <c r="N504" s="25"/>
      <c r="O504" s="24">
        <v>0</v>
      </c>
      <c r="P504" s="136">
        <f>+IF(PROVEEDORES[[#This Row],[SUBTOTAL]]&lt;PROVEEDORES[[#This Row],[base retencion]],0,PROVEEDORES[[#This Row],[retención aplicada]])</f>
        <v>0</v>
      </c>
      <c r="Q504" s="24">
        <f>+PROVEEDORES[[#This Row],[Rete Fuente %]]*PROVEEDORES[[#This Row],[SUBTOTAL]]</f>
        <v>0</v>
      </c>
      <c r="R504" s="23">
        <v>727051</v>
      </c>
      <c r="S50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4" s="99">
        <f ca="1">IF(PROVEEDORES[[#This Row],[FECHA DE PAGO]]=0,TODAY()-PROVEEDORES[[#This Row],[FECHA DE FACTURACIÓN]]-PROVEEDORES[[#This Row],[PLAZO Días]],0)</f>
        <v>0</v>
      </c>
      <c r="U504" s="149">
        <f>+VLOOKUP(PROVEEDORES[[#This Row],[PROVEEDOR]],Terceros!$A:$E,5,FALSE)</f>
        <v>0</v>
      </c>
      <c r="V504" s="150">
        <f>+YEAR(PROVEEDORES[[#This Row],[FECHA DE FACTURACIÓN]])</f>
        <v>2021</v>
      </c>
      <c r="W504" s="150">
        <f>+MATCH(PROVEEDORES[[#This Row],[año facturado]],Retenciones!$1:$1,0)</f>
        <v>4</v>
      </c>
      <c r="X504" s="151">
        <f>+VLOOKUP(PROVEEDORES[[#This Row],[ID RETENCION]],Retenciones!$A$1:$O$24,PROVEEDORES[[#This Row],[indicador de columna]],FALSE)</f>
        <v>0</v>
      </c>
      <c r="Y504" s="152">
        <f>+VLOOKUP(PROVEEDORES[[#This Row],[ID RETENCION]],Retenciones!$A$1:$O$24,2,FALSE)</f>
        <v>0</v>
      </c>
      <c r="Z504" s="26"/>
      <c r="AA504" s="26"/>
      <c r="AB504" s="26"/>
      <c r="AC504" s="26"/>
      <c r="AD504" s="26"/>
      <c r="AE504" s="26"/>
    </row>
    <row r="505" spans="1:31" ht="21.95" customHeight="1" x14ac:dyDescent="0.25">
      <c r="A505" s="97" t="str">
        <f>+IF(PROVEEDORES[[#This Row],[FECHA DE PAGO]]=PROVEEDORES[[#This Row],[FECHA DE FACTURACIÓN]],"DE CONTADO","CRÉDITO")</f>
        <v>CRÉDITO</v>
      </c>
      <c r="B505" s="41" t="b">
        <f>+IF((PROVEEDORES[[#This Row],[FECHA DE PAGO]]-PROVEEDORES[[#This Row],[FECHA DE FACTURACIÓN]])&gt;PROVEEDORES[[#This Row],[PLAZO Días]],"PAGO VENCIDO")</f>
        <v>0</v>
      </c>
      <c r="C505" s="22">
        <f>+VLOOKUP(PROVEEDORES[[#This Row],[PROVEEDOR]],TERCEROS_INFO[#All],2,FALSE)</f>
        <v>30</v>
      </c>
      <c r="D505" s="27">
        <f>+SUMIFS(PROVEEDORES[Total],PROVEEDORES[PROVEEDOR],PROVEEDORES[[#This Row],[PROVEEDOR]],PROVEEDORES[FECHA DE PAGO],"")</f>
        <v>264406</v>
      </c>
      <c r="E505" s="27"/>
      <c r="F505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505" s="95">
        <v>44376</v>
      </c>
      <c r="H505" s="28" t="s">
        <v>390</v>
      </c>
      <c r="I505" s="95">
        <v>44372</v>
      </c>
      <c r="J505" s="38" t="s">
        <v>411</v>
      </c>
      <c r="K505" s="23">
        <v>91746</v>
      </c>
      <c r="L505" s="23"/>
      <c r="M505" s="24">
        <v>0</v>
      </c>
      <c r="N505" s="25"/>
      <c r="O505" s="24">
        <v>0</v>
      </c>
      <c r="P505" s="136">
        <f>+IF(PROVEEDORES[[#This Row],[SUBTOTAL]]&lt;PROVEEDORES[[#This Row],[base retencion]],0,PROVEEDORES[[#This Row],[retención aplicada]])</f>
        <v>0</v>
      </c>
      <c r="Q505" s="24">
        <f>+PROVEEDORES[[#This Row],[Rete Fuente %]]*PROVEEDORES[[#This Row],[SUBTOTAL]]</f>
        <v>0</v>
      </c>
      <c r="R505" s="23">
        <v>91746</v>
      </c>
      <c r="S50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5" s="99">
        <f ca="1">IF(PROVEEDORES[[#This Row],[FECHA DE PAGO]]=0,TODAY()-PROVEEDORES[[#This Row],[FECHA DE FACTURACIÓN]]-PROVEEDORES[[#This Row],[PLAZO Días]],0)</f>
        <v>0</v>
      </c>
      <c r="U505" s="149">
        <f>+VLOOKUP(PROVEEDORES[[#This Row],[PROVEEDOR]],Terceros!$A:$E,5,FALSE)</f>
        <v>0</v>
      </c>
      <c r="V505" s="150">
        <f>+YEAR(PROVEEDORES[[#This Row],[FECHA DE FACTURACIÓN]])</f>
        <v>2021</v>
      </c>
      <c r="W505" s="150">
        <f>+MATCH(PROVEEDORES[[#This Row],[año facturado]],Retenciones!$1:$1,0)</f>
        <v>4</v>
      </c>
      <c r="X505" s="151">
        <f>+VLOOKUP(PROVEEDORES[[#This Row],[ID RETENCION]],Retenciones!$A$1:$O$24,PROVEEDORES[[#This Row],[indicador de columna]],FALSE)</f>
        <v>0</v>
      </c>
      <c r="Y505" s="152">
        <f>+VLOOKUP(PROVEEDORES[[#This Row],[ID RETENCION]],Retenciones!$A$1:$O$24,2,FALSE)</f>
        <v>0</v>
      </c>
      <c r="Z505" s="26"/>
      <c r="AA505" s="26"/>
      <c r="AB505" s="26"/>
      <c r="AC505" s="26"/>
      <c r="AD505" s="26"/>
      <c r="AE505" s="26"/>
    </row>
    <row r="506" spans="1:31" ht="21.95" customHeight="1" x14ac:dyDescent="0.25">
      <c r="A506" s="97" t="str">
        <f>+IF(PROVEEDORES[[#This Row],[FECHA DE PAGO]]=PROVEEDORES[[#This Row],[FECHA DE FACTURACIÓN]],"DE CONTADO","CRÉDITO")</f>
        <v>CRÉDITO</v>
      </c>
      <c r="B506" s="41" t="str">
        <f>+IF((PROVEEDORES[[#This Row],[FECHA DE PAGO]]-PROVEEDORES[[#This Row],[FECHA DE FACTURACIÓN]])&gt;PROVEEDORES[[#This Row],[PLAZO Días]],"PAGO VENCIDO")</f>
        <v>PAGO VENCIDO</v>
      </c>
      <c r="C506" s="22">
        <f>+VLOOKUP(PROVEEDORES[[#This Row],[PROVEEDOR]],TERCEROS_INFO[#All],2,FALSE)</f>
        <v>30</v>
      </c>
      <c r="D506" s="27">
        <f>+SUMIFS(PROVEEDORES[Total],PROVEEDORES[PROVEEDOR],PROVEEDORES[[#This Row],[PROVEEDOR]],PROVEEDORES[FECHA DE PAGO],"")</f>
        <v>0</v>
      </c>
      <c r="E506" s="27"/>
      <c r="F506" s="62" t="str">
        <f>+VLOOKUP(PROVEEDORES[[#This Row],[PROVEEDOR]],
                       Terceros!$A:$G,
                       6,
                       FALSE)</f>
        <v/>
      </c>
      <c r="G506" s="95">
        <v>44433</v>
      </c>
      <c r="H506" s="28" t="s">
        <v>983</v>
      </c>
      <c r="I506" s="95">
        <v>44372</v>
      </c>
      <c r="J506" s="38" t="s">
        <v>746</v>
      </c>
      <c r="K506" s="23">
        <v>130000</v>
      </c>
      <c r="L506" s="23"/>
      <c r="M506" s="24">
        <v>0</v>
      </c>
      <c r="N506" s="25"/>
      <c r="O506" s="24">
        <v>0</v>
      </c>
      <c r="P506" s="136">
        <f>+IF(PROVEEDORES[[#This Row],[SUBTOTAL]]&lt;PROVEEDORES[[#This Row],[base retencion]],0,PROVEEDORES[[#This Row],[retención aplicada]])</f>
        <v>0</v>
      </c>
      <c r="Q506" s="24">
        <f>+PROVEEDORES[[#This Row],[Rete Fuente %]]*PROVEEDORES[[#This Row],[SUBTOTAL]]</f>
        <v>0</v>
      </c>
      <c r="R506" s="23">
        <v>130000</v>
      </c>
      <c r="S50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6" s="99">
        <f ca="1">IF(PROVEEDORES[[#This Row],[FECHA DE PAGO]]=0,TODAY()-PROVEEDORES[[#This Row],[FECHA DE FACTURACIÓN]]-PROVEEDORES[[#This Row],[PLAZO Días]],0)</f>
        <v>0</v>
      </c>
      <c r="U506" s="149">
        <f>+VLOOKUP(PROVEEDORES[[#This Row],[PROVEEDOR]],Terceros!$A:$E,5,FALSE)</f>
        <v>0</v>
      </c>
      <c r="V506" s="150">
        <f>+YEAR(PROVEEDORES[[#This Row],[FECHA DE FACTURACIÓN]])</f>
        <v>2021</v>
      </c>
      <c r="W506" s="150">
        <f>+MATCH(PROVEEDORES[[#This Row],[año facturado]],Retenciones!$1:$1,0)</f>
        <v>4</v>
      </c>
      <c r="X506" s="151">
        <f>+VLOOKUP(PROVEEDORES[[#This Row],[ID RETENCION]],Retenciones!$A$1:$O$24,PROVEEDORES[[#This Row],[indicador de columna]],FALSE)</f>
        <v>0</v>
      </c>
      <c r="Y506" s="152">
        <f>+VLOOKUP(PROVEEDORES[[#This Row],[ID RETENCION]],Retenciones!$A$1:$O$24,2,FALSE)</f>
        <v>0</v>
      </c>
      <c r="Z506" s="26"/>
      <c r="AA506" s="26"/>
      <c r="AB506" s="26"/>
      <c r="AC506" s="26"/>
      <c r="AD506" s="26"/>
      <c r="AE506" s="26"/>
    </row>
    <row r="507" spans="1:31" ht="21.95" customHeight="1" x14ac:dyDescent="0.25">
      <c r="A507" s="97" t="str">
        <f>+IF(PROVEEDORES[[#This Row],[FECHA DE PAGO]]=PROVEEDORES[[#This Row],[FECHA DE FACTURACIÓN]],"DE CONTADO","CRÉDITO")</f>
        <v>DE CONTADO</v>
      </c>
      <c r="B507" s="41" t="b">
        <f>+IF((PROVEEDORES[[#This Row],[FECHA DE PAGO]]-PROVEEDORES[[#This Row],[FECHA DE FACTURACIÓN]])&gt;PROVEEDORES[[#This Row],[PLAZO Días]],"PAGO VENCIDO")</f>
        <v>0</v>
      </c>
      <c r="C507" s="22">
        <f>+VLOOKUP(PROVEEDORES[[#This Row],[PROVEEDOR]],TERCEROS_INFO[#All],2,FALSE)</f>
        <v>30</v>
      </c>
      <c r="D507" s="27">
        <f>+SUMIFS(PROVEEDORES[Total],PROVEEDORES[PROVEEDOR],PROVEEDORES[[#This Row],[PROVEEDOR]],PROVEEDORES[FECHA DE PAGO],"")</f>
        <v>0</v>
      </c>
      <c r="E507" s="27"/>
      <c r="F507" s="62">
        <f>+VLOOKUP(PROVEEDORES[[#This Row],[PROVEEDOR]],
                       Terceros!$A:$G,
                       6,
                       FALSE)</f>
        <v>0</v>
      </c>
      <c r="G507" s="95">
        <v>44372</v>
      </c>
      <c r="H507" s="28" t="s">
        <v>412</v>
      </c>
      <c r="I507" s="95">
        <v>44372</v>
      </c>
      <c r="J507" s="38" t="s">
        <v>413</v>
      </c>
      <c r="K507" s="23">
        <v>242016</v>
      </c>
      <c r="L507" s="23"/>
      <c r="M507" s="24">
        <v>45983.040000000001</v>
      </c>
      <c r="N507" s="25"/>
      <c r="O507" s="24">
        <v>0</v>
      </c>
      <c r="P507" s="136">
        <f>+IF(PROVEEDORES[[#This Row],[SUBTOTAL]]&lt;PROVEEDORES[[#This Row],[base retencion]],0,PROVEEDORES[[#This Row],[retención aplicada]])</f>
        <v>0</v>
      </c>
      <c r="Q507" s="24">
        <f>+PROVEEDORES[[#This Row],[Rete Fuente %]]*PROVEEDORES[[#This Row],[SUBTOTAL]]</f>
        <v>0</v>
      </c>
      <c r="R507" s="23">
        <v>287999.03999999998</v>
      </c>
      <c r="S50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7" s="99">
        <f ca="1">IF(PROVEEDORES[[#This Row],[FECHA DE PAGO]]=0,TODAY()-PROVEEDORES[[#This Row],[FECHA DE FACTURACIÓN]]-PROVEEDORES[[#This Row],[PLAZO Días]],0)</f>
        <v>0</v>
      </c>
      <c r="U507" s="149" t="str">
        <f>+VLOOKUP(PROVEEDORES[[#This Row],[PROVEEDOR]],Terceros!$A:$E,5,FALSE)</f>
        <v>2,5% con base</v>
      </c>
      <c r="V507" s="150">
        <f>+YEAR(PROVEEDORES[[#This Row],[FECHA DE FACTURACIÓN]])</f>
        <v>2021</v>
      </c>
      <c r="W507" s="150">
        <f>+MATCH(PROVEEDORES[[#This Row],[año facturado]],Retenciones!$1:$1,0)</f>
        <v>4</v>
      </c>
      <c r="X507" s="151">
        <f>+VLOOKUP(PROVEEDORES[[#This Row],[ID RETENCION]],Retenciones!$A$1:$O$24,PROVEEDORES[[#This Row],[indicador de columna]],FALSE)</f>
        <v>980000</v>
      </c>
      <c r="Y507" s="152">
        <f>+VLOOKUP(PROVEEDORES[[#This Row],[ID RETENCION]],Retenciones!$A$1:$O$24,2,FALSE)</f>
        <v>2.5000000000000001E-2</v>
      </c>
      <c r="Z507" s="26"/>
      <c r="AA507" s="26"/>
      <c r="AB507" s="26"/>
      <c r="AC507" s="26"/>
      <c r="AD507" s="26"/>
      <c r="AE507" s="26"/>
    </row>
    <row r="508" spans="1:31" ht="21.95" customHeight="1" x14ac:dyDescent="0.25">
      <c r="A508" s="97" t="str">
        <f>+IF(PROVEEDORES[[#This Row],[FECHA DE PAGO]]=PROVEEDORES[[#This Row],[FECHA DE FACTURACIÓN]],"DE CONTADO","CRÉDITO")</f>
        <v>DE CONTADO</v>
      </c>
      <c r="B508" s="41" t="b">
        <f>+IF((PROVEEDORES[[#This Row],[FECHA DE PAGO]]-PROVEEDORES[[#This Row],[FECHA DE FACTURACIÓN]])&gt;PROVEEDORES[[#This Row],[PLAZO Días]],"PAGO VENCIDO")</f>
        <v>0</v>
      </c>
      <c r="C508" s="22">
        <f>+VLOOKUP(PROVEEDORES[[#This Row],[PROVEEDOR]],TERCEROS_INFO[#All],2,FALSE)</f>
        <v>30</v>
      </c>
      <c r="D508" s="27">
        <f>+SUMIFS(PROVEEDORES[Total],PROVEEDORES[PROVEEDOR],PROVEEDORES[[#This Row],[PROVEEDOR]],PROVEEDORES[FECHA DE PAGO],"")</f>
        <v>0</v>
      </c>
      <c r="E508" s="27"/>
      <c r="F508" s="62" t="str">
        <f>+VLOOKUP(PROVEEDORES[[#This Row],[PROVEEDOR]],
                       Terceros!$A:$G,
                       6,
                       FALSE)</f>
        <v/>
      </c>
      <c r="G508" s="95">
        <v>44372</v>
      </c>
      <c r="H508" s="28" t="s">
        <v>37</v>
      </c>
      <c r="I508" s="95">
        <v>44372</v>
      </c>
      <c r="J508" s="38" t="s">
        <v>407</v>
      </c>
      <c r="K508" s="23">
        <v>420000</v>
      </c>
      <c r="L508" s="23"/>
      <c r="M508" s="24">
        <v>79800</v>
      </c>
      <c r="N508" s="25"/>
      <c r="O508" s="24">
        <v>0</v>
      </c>
      <c r="P508" s="136">
        <f>+IF(PROVEEDORES[[#This Row],[SUBTOTAL]]&lt;PROVEEDORES[[#This Row],[base retencion]],0,PROVEEDORES[[#This Row],[retención aplicada]])</f>
        <v>0</v>
      </c>
      <c r="Q508" s="24">
        <f>+PROVEEDORES[[#This Row],[Rete Fuente %]]*PROVEEDORES[[#This Row],[SUBTOTAL]]</f>
        <v>0</v>
      </c>
      <c r="R508" s="23">
        <v>499800</v>
      </c>
      <c r="S50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8" s="99">
        <f ca="1">IF(PROVEEDORES[[#This Row],[FECHA DE PAGO]]=0,TODAY()-PROVEEDORES[[#This Row],[FECHA DE FACTURACIÓN]]-PROVEEDORES[[#This Row],[PLAZO Días]],0)</f>
        <v>0</v>
      </c>
      <c r="U508" s="149" t="str">
        <f>+VLOOKUP(PROVEEDORES[[#This Row],[PROVEEDOR]],Terceros!$A:$E,5,FALSE)</f>
        <v>2,5% con base</v>
      </c>
      <c r="V508" s="150">
        <f>+YEAR(PROVEEDORES[[#This Row],[FECHA DE FACTURACIÓN]])</f>
        <v>2021</v>
      </c>
      <c r="W508" s="150">
        <f>+MATCH(PROVEEDORES[[#This Row],[año facturado]],Retenciones!$1:$1,0)</f>
        <v>4</v>
      </c>
      <c r="X508" s="151">
        <f>+VLOOKUP(PROVEEDORES[[#This Row],[ID RETENCION]],Retenciones!$A$1:$O$24,PROVEEDORES[[#This Row],[indicador de columna]],FALSE)</f>
        <v>980000</v>
      </c>
      <c r="Y508" s="152">
        <f>+VLOOKUP(PROVEEDORES[[#This Row],[ID RETENCION]],Retenciones!$A$1:$O$24,2,FALSE)</f>
        <v>2.5000000000000001E-2</v>
      </c>
      <c r="Z508" s="26"/>
      <c r="AA508" s="26"/>
      <c r="AB508" s="26"/>
      <c r="AC508" s="26"/>
      <c r="AD508" s="26"/>
      <c r="AE508" s="26"/>
    </row>
    <row r="509" spans="1:31" ht="21.95" customHeight="1" x14ac:dyDescent="0.25">
      <c r="A509" s="97" t="str">
        <f>+IF(PROVEEDORES[[#This Row],[FECHA DE PAGO]]=PROVEEDORES[[#This Row],[FECHA DE FACTURACIÓN]],"DE CONTADO","CRÉDITO")</f>
        <v>CRÉDITO</v>
      </c>
      <c r="B509" s="41" t="b">
        <f>+IF((PROVEEDORES[[#This Row],[FECHA DE PAGO]]-PROVEEDORES[[#This Row],[FECHA DE FACTURACIÓN]])&gt;PROVEEDORES[[#This Row],[PLAZO Días]],"PAGO VENCIDO")</f>
        <v>0</v>
      </c>
      <c r="C509" s="22">
        <f>+VLOOKUP(PROVEEDORES[[#This Row],[PROVEEDOR]],TERCEROS_INFO[#All],2,FALSE)</f>
        <v>30</v>
      </c>
      <c r="D509" s="27">
        <f>+SUMIFS(PROVEEDORES[Total],PROVEEDORES[PROVEEDOR],PROVEEDORES[[#This Row],[PROVEEDOR]],PROVEEDORES[FECHA DE PAGO],"")</f>
        <v>0</v>
      </c>
      <c r="E509" s="27"/>
      <c r="F509" s="62" t="str">
        <f>+VLOOKUP(PROVEEDORES[[#This Row],[PROVEEDOR]],
                       Terceros!$A:$G,
                       6,
                       FALSE)</f>
        <v>judy.torres@movecargo.co;girlesa.ruiz@servipilas.com;joriescobar64@gmail.com</v>
      </c>
      <c r="G509" s="95">
        <v>44376</v>
      </c>
      <c r="H509" s="28" t="s">
        <v>364</v>
      </c>
      <c r="I509" s="95">
        <v>44372</v>
      </c>
      <c r="J509" s="38" t="s">
        <v>408</v>
      </c>
      <c r="K509" s="23">
        <v>452618</v>
      </c>
      <c r="L509" s="23"/>
      <c r="M509" s="24">
        <v>0</v>
      </c>
      <c r="N509" s="25"/>
      <c r="O509" s="24">
        <v>0</v>
      </c>
      <c r="P509" s="136">
        <f>+IF(PROVEEDORES[[#This Row],[SUBTOTAL]]&lt;PROVEEDORES[[#This Row],[base retencion]],0,PROVEEDORES[[#This Row],[retención aplicada]])</f>
        <v>0.01</v>
      </c>
      <c r="Q509" s="24">
        <f>+PROVEEDORES[[#This Row],[Rete Fuente %]]*PROVEEDORES[[#This Row],[SUBTOTAL]]</f>
        <v>4526.18</v>
      </c>
      <c r="R509" s="23">
        <v>448091.82</v>
      </c>
      <c r="S50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9" s="99">
        <f ca="1">IF(PROVEEDORES[[#This Row],[FECHA DE PAGO]]=0,TODAY()-PROVEEDORES[[#This Row],[FECHA DE FACTURACIÓN]]-PROVEEDORES[[#This Row],[PLAZO Días]],0)</f>
        <v>0</v>
      </c>
      <c r="U509" s="149" t="str">
        <f>+VLOOKUP(PROVEEDORES[[#This Row],[PROVEEDOR]],Terceros!$A:$E,5,FALSE)</f>
        <v>1% sin base</v>
      </c>
      <c r="V509" s="150">
        <f>+YEAR(PROVEEDORES[[#This Row],[FECHA DE FACTURACIÓN]])</f>
        <v>2021</v>
      </c>
      <c r="W509" s="150">
        <f>+MATCH(PROVEEDORES[[#This Row],[año facturado]],Retenciones!$1:$1,0)</f>
        <v>4</v>
      </c>
      <c r="X509" s="151">
        <f>+VLOOKUP(PROVEEDORES[[#This Row],[ID RETENCION]],Retenciones!$A$1:$O$24,PROVEEDORES[[#This Row],[indicador de columna]],FALSE)</f>
        <v>0</v>
      </c>
      <c r="Y509" s="152">
        <f>+VLOOKUP(PROVEEDORES[[#This Row],[ID RETENCION]],Retenciones!$A$1:$O$24,2,FALSE)</f>
        <v>0.01</v>
      </c>
      <c r="Z509" s="26"/>
      <c r="AA509" s="26"/>
      <c r="AB509" s="26"/>
      <c r="AC509" s="26"/>
      <c r="AD509" s="26"/>
      <c r="AE509" s="26"/>
    </row>
    <row r="510" spans="1:31" ht="21.95" customHeight="1" x14ac:dyDescent="0.25">
      <c r="A510" s="97" t="str">
        <f>+IF(PROVEEDORES[[#This Row],[FECHA DE PAGO]]=PROVEEDORES[[#This Row],[FECHA DE FACTURACIÓN]],"DE CONTADO","CRÉDITO")</f>
        <v>DE CONTADO</v>
      </c>
      <c r="B510" s="41" t="b">
        <f>+IF((PROVEEDORES[[#This Row],[FECHA DE PAGO]]-PROVEEDORES[[#This Row],[FECHA DE FACTURACIÓN]])&gt;PROVEEDORES[[#This Row],[PLAZO Días]],"PAGO VENCIDO")</f>
        <v>0</v>
      </c>
      <c r="C510" s="22">
        <f>+VLOOKUP(PROVEEDORES[[#This Row],[PROVEEDOR]],TERCEROS_INFO[#All],2,FALSE)</f>
        <v>30</v>
      </c>
      <c r="D510" s="27">
        <f>+SUMIFS(PROVEEDORES[Total],PROVEEDORES[PROVEEDOR],PROVEEDORES[[#This Row],[PROVEEDOR]],PROVEEDORES[FECHA DE PAGO],"")</f>
        <v>0</v>
      </c>
      <c r="E510" s="27"/>
      <c r="F510" s="62" t="str">
        <f>+VLOOKUP(PROVEEDORES[[#This Row],[PROVEEDOR]],
                       Terceros!$A:$G,
                       6,
                       FALSE)</f>
        <v/>
      </c>
      <c r="G510" s="95">
        <v>44373</v>
      </c>
      <c r="H510" s="28" t="s">
        <v>1031</v>
      </c>
      <c r="I510" s="95">
        <v>44373</v>
      </c>
      <c r="J510" s="38" t="s">
        <v>747</v>
      </c>
      <c r="K510" s="23">
        <v>520000</v>
      </c>
      <c r="L510" s="23"/>
      <c r="M510" s="24">
        <v>0</v>
      </c>
      <c r="N510" s="25"/>
      <c r="O510" s="24">
        <v>0</v>
      </c>
      <c r="P510" s="136">
        <f>+IF(PROVEEDORES[[#This Row],[SUBTOTAL]]&lt;PROVEEDORES[[#This Row],[base retencion]],0,PROVEEDORES[[#This Row],[retención aplicada]])</f>
        <v>0</v>
      </c>
      <c r="Q510" s="24">
        <f>+PROVEEDORES[[#This Row],[Rete Fuente %]]*PROVEEDORES[[#This Row],[SUBTOTAL]]</f>
        <v>0</v>
      </c>
      <c r="R510" s="23">
        <v>520000</v>
      </c>
      <c r="S51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0" s="99">
        <f ca="1">IF(PROVEEDORES[[#This Row],[FECHA DE PAGO]]=0,TODAY()-PROVEEDORES[[#This Row],[FECHA DE FACTURACIÓN]]-PROVEEDORES[[#This Row],[PLAZO Días]],0)</f>
        <v>0</v>
      </c>
      <c r="U510" s="149">
        <f>+VLOOKUP(PROVEEDORES[[#This Row],[PROVEEDOR]],Terceros!$A:$E,5,FALSE)</f>
        <v>0</v>
      </c>
      <c r="V510" s="150">
        <f>+YEAR(PROVEEDORES[[#This Row],[FECHA DE FACTURACIÓN]])</f>
        <v>2021</v>
      </c>
      <c r="W510" s="150">
        <f>+MATCH(PROVEEDORES[[#This Row],[año facturado]],Retenciones!$1:$1,0)</f>
        <v>4</v>
      </c>
      <c r="X510" s="151">
        <f>+VLOOKUP(PROVEEDORES[[#This Row],[ID RETENCION]],Retenciones!$A$1:$O$24,PROVEEDORES[[#This Row],[indicador de columna]],FALSE)</f>
        <v>0</v>
      </c>
      <c r="Y510" s="152">
        <f>+VLOOKUP(PROVEEDORES[[#This Row],[ID RETENCION]],Retenciones!$A$1:$O$24,2,FALSE)</f>
        <v>0</v>
      </c>
      <c r="Z510" s="26"/>
      <c r="AA510" s="26"/>
      <c r="AB510" s="26"/>
      <c r="AC510" s="26"/>
      <c r="AD510" s="26"/>
      <c r="AE510" s="26"/>
    </row>
    <row r="511" spans="1:31" ht="21.95" customHeight="1" x14ac:dyDescent="0.25">
      <c r="A511" s="97" t="str">
        <f>+IF(PROVEEDORES[[#This Row],[FECHA DE PAGO]]=PROVEEDORES[[#This Row],[FECHA DE FACTURACIÓN]],"DE CONTADO","CRÉDITO")</f>
        <v>CRÉDITO</v>
      </c>
      <c r="B511" s="41" t="b">
        <f>+IF((PROVEEDORES[[#This Row],[FECHA DE PAGO]]-PROVEEDORES[[#This Row],[FECHA DE FACTURACIÓN]])&gt;PROVEEDORES[[#This Row],[PLAZO Días]],"PAGO VENCIDO")</f>
        <v>0</v>
      </c>
      <c r="C511" s="22">
        <f>+VLOOKUP(PROVEEDORES[[#This Row],[PROVEEDOR]],TERCEROS_INFO[#All],2,FALSE)</f>
        <v>30</v>
      </c>
      <c r="D511" s="27">
        <f>+SUMIFS(PROVEEDORES[Total],PROVEEDORES[PROVEEDOR],PROVEEDORES[[#This Row],[PROVEEDOR]],PROVEEDORES[FECHA DE PAGO],"")</f>
        <v>0</v>
      </c>
      <c r="E511" s="27"/>
      <c r="F511" s="62" t="str">
        <f>+VLOOKUP(PROVEEDORES[[#This Row],[PROVEEDOR]],
                       Terceros!$A:$G,
                       6,
                       FALSE)</f>
        <v>PSE</v>
      </c>
      <c r="G511" s="95">
        <v>44396</v>
      </c>
      <c r="H511" s="28" t="s">
        <v>350</v>
      </c>
      <c r="I511" s="95">
        <v>44378</v>
      </c>
      <c r="J511" s="38" t="s">
        <v>352</v>
      </c>
      <c r="K511" s="23">
        <v>743959</v>
      </c>
      <c r="L511" s="23"/>
      <c r="M511" s="24">
        <v>0</v>
      </c>
      <c r="N511" s="25"/>
      <c r="O511" s="24">
        <v>0</v>
      </c>
      <c r="P511" s="136">
        <f>+IF(PROVEEDORES[[#This Row],[SUBTOTAL]]&lt;PROVEEDORES[[#This Row],[base retencion]],0,PROVEEDORES[[#This Row],[retención aplicada]])</f>
        <v>0</v>
      </c>
      <c r="Q511" s="24">
        <f>+PROVEEDORES[[#This Row],[Rete Fuente %]]*PROVEEDORES[[#This Row],[SUBTOTAL]]</f>
        <v>0</v>
      </c>
      <c r="R511" s="23">
        <v>743959</v>
      </c>
      <c r="S51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1" s="99">
        <f ca="1">IF(PROVEEDORES[[#This Row],[FECHA DE PAGO]]=0,TODAY()-PROVEEDORES[[#This Row],[FECHA DE FACTURACIÓN]]-PROVEEDORES[[#This Row],[PLAZO Días]],0)</f>
        <v>0</v>
      </c>
      <c r="U511" s="149">
        <f>+VLOOKUP(PROVEEDORES[[#This Row],[PROVEEDOR]],Terceros!$A:$E,5,FALSE)</f>
        <v>0</v>
      </c>
      <c r="V511" s="150">
        <f>+YEAR(PROVEEDORES[[#This Row],[FECHA DE FACTURACIÓN]])</f>
        <v>2021</v>
      </c>
      <c r="W511" s="150">
        <f>+MATCH(PROVEEDORES[[#This Row],[año facturado]],Retenciones!$1:$1,0)</f>
        <v>4</v>
      </c>
      <c r="X511" s="151">
        <f>+VLOOKUP(PROVEEDORES[[#This Row],[ID RETENCION]],Retenciones!$A$1:$O$24,PROVEEDORES[[#This Row],[indicador de columna]],FALSE)</f>
        <v>0</v>
      </c>
      <c r="Y511" s="152">
        <f>+VLOOKUP(PROVEEDORES[[#This Row],[ID RETENCION]],Retenciones!$A$1:$O$24,2,FALSE)</f>
        <v>0</v>
      </c>
      <c r="Z511" s="26"/>
      <c r="AA511" s="26"/>
      <c r="AB511" s="26"/>
      <c r="AC511" s="26"/>
      <c r="AD511" s="26"/>
      <c r="AE511" s="26"/>
    </row>
    <row r="512" spans="1:31" ht="21.95" customHeight="1" x14ac:dyDescent="0.25">
      <c r="A512" s="97" t="str">
        <f>+IF(PROVEEDORES[[#This Row],[FECHA DE PAGO]]=PROVEEDORES[[#This Row],[FECHA DE FACTURACIÓN]],"DE CONTADO","CRÉDITO")</f>
        <v>CRÉDITO</v>
      </c>
      <c r="B512" s="41" t="str">
        <f>+IF((PROVEEDORES[[#This Row],[FECHA DE PAGO]]-PROVEEDORES[[#This Row],[FECHA DE FACTURACIÓN]])&gt;PROVEEDORES[[#This Row],[PLAZO Días]],"PAGO VENCIDO")</f>
        <v>PAGO VENCIDO</v>
      </c>
      <c r="C512" s="22">
        <f>+VLOOKUP(PROVEEDORES[[#This Row],[PROVEEDOR]],TERCEROS_INFO[#All],2,FALSE)</f>
        <v>30</v>
      </c>
      <c r="D512" s="27">
        <f>+SUMIFS(PROVEEDORES[Total],PROVEEDORES[PROVEEDOR],PROVEEDORES[[#This Row],[PROVEEDOR]],PROVEEDORES[FECHA DE PAGO],"")</f>
        <v>3355018.0749999997</v>
      </c>
      <c r="E512" s="27"/>
      <c r="F512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512" s="95">
        <v>44442</v>
      </c>
      <c r="H512" s="28" t="s">
        <v>222</v>
      </c>
      <c r="I512" s="95">
        <v>44376</v>
      </c>
      <c r="J512" s="38">
        <v>301</v>
      </c>
      <c r="K512" s="23">
        <v>1144538</v>
      </c>
      <c r="L512" s="23"/>
      <c r="M512" s="24">
        <v>217462.22</v>
      </c>
      <c r="N512" s="25"/>
      <c r="O512" s="24">
        <v>0</v>
      </c>
      <c r="P512" s="136">
        <f>+IF(PROVEEDORES[[#This Row],[SUBTOTAL]]&lt;PROVEEDORES[[#This Row],[base retencion]],0,PROVEEDORES[[#This Row],[retención aplicada]])</f>
        <v>2.5000000000000001E-2</v>
      </c>
      <c r="Q512" s="24">
        <f>+PROVEEDORES[[#This Row],[Rete Fuente %]]*PROVEEDORES[[#This Row],[SUBTOTAL]]</f>
        <v>28613.45</v>
      </c>
      <c r="R512" s="23">
        <v>1333386.77</v>
      </c>
      <c r="S51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2" s="99">
        <f ca="1">IF(PROVEEDORES[[#This Row],[FECHA DE PAGO]]=0,TODAY()-PROVEEDORES[[#This Row],[FECHA DE FACTURACIÓN]]-PROVEEDORES[[#This Row],[PLAZO Días]],0)</f>
        <v>0</v>
      </c>
      <c r="U512" s="149" t="str">
        <f>+VLOOKUP(PROVEEDORES[[#This Row],[PROVEEDOR]],Terceros!$A:$E,5,FALSE)</f>
        <v>2,5% con base</v>
      </c>
      <c r="V512" s="150">
        <f>+YEAR(PROVEEDORES[[#This Row],[FECHA DE FACTURACIÓN]])</f>
        <v>2021</v>
      </c>
      <c r="W512" s="150">
        <f>+MATCH(PROVEEDORES[[#This Row],[año facturado]],Retenciones!$1:$1,0)</f>
        <v>4</v>
      </c>
      <c r="X512" s="151">
        <f>+VLOOKUP(PROVEEDORES[[#This Row],[ID RETENCION]],Retenciones!$A$1:$O$24,PROVEEDORES[[#This Row],[indicador de columna]],FALSE)</f>
        <v>980000</v>
      </c>
      <c r="Y512" s="152">
        <f>+VLOOKUP(PROVEEDORES[[#This Row],[ID RETENCION]],Retenciones!$A$1:$O$24,2,FALSE)</f>
        <v>2.5000000000000001E-2</v>
      </c>
      <c r="Z512" s="26"/>
      <c r="AA512" s="26"/>
      <c r="AB512" s="26"/>
      <c r="AC512" s="26"/>
      <c r="AD512" s="26"/>
      <c r="AE512" s="26"/>
    </row>
    <row r="513" spans="1:31" ht="21.95" customHeight="1" x14ac:dyDescent="0.25">
      <c r="A513" s="97" t="str">
        <f>+IF(PROVEEDORES[[#This Row],[FECHA DE PAGO]]=PROVEEDORES[[#This Row],[FECHA DE FACTURACIÓN]],"DE CONTADO","CRÉDITO")</f>
        <v>CRÉDITO</v>
      </c>
      <c r="B513" s="41" t="str">
        <f>+IF((PROVEEDORES[[#This Row],[FECHA DE PAGO]]-PROVEEDORES[[#This Row],[FECHA DE FACTURACIÓN]])&gt;PROVEEDORES[[#This Row],[PLAZO Días]],"PAGO VENCIDO")</f>
        <v>PAGO VENCIDO</v>
      </c>
      <c r="C513" s="22">
        <f>+VLOOKUP(PROVEEDORES[[#This Row],[PROVEEDOR]],TERCEROS_INFO[#All],2,FALSE)</f>
        <v>30</v>
      </c>
      <c r="D513" s="27">
        <f>+SUMIFS(PROVEEDORES[Total],PROVEEDORES[PROVEEDOR],PROVEEDORES[[#This Row],[PROVEEDOR]],PROVEEDORES[FECHA DE PAGO],"")</f>
        <v>3750700</v>
      </c>
      <c r="E513" s="27"/>
      <c r="F513" s="62" t="str">
        <f>+VLOOKUP(PROVEEDORES[[#This Row],[PROVEEDOR]],
                       Terceros!$A:$G,
                       6,
                       FALSE)</f>
        <v/>
      </c>
      <c r="G513" s="95">
        <v>44410</v>
      </c>
      <c r="H513" s="28" t="s">
        <v>990</v>
      </c>
      <c r="I513" s="95">
        <v>44376</v>
      </c>
      <c r="J513" s="38" t="s">
        <v>748</v>
      </c>
      <c r="K513" s="23">
        <v>1922900</v>
      </c>
      <c r="L513" s="23"/>
      <c r="M513" s="24">
        <v>0</v>
      </c>
      <c r="N513" s="25"/>
      <c r="O513" s="24">
        <v>0</v>
      </c>
      <c r="P513" s="136">
        <f>+IF(PROVEEDORES[[#This Row],[SUBTOTAL]]&lt;PROVEEDORES[[#This Row],[base retencion]],0,PROVEEDORES[[#This Row],[retención aplicada]])</f>
        <v>0</v>
      </c>
      <c r="Q513" s="24">
        <f>+PROVEEDORES[[#This Row],[Rete Fuente %]]*PROVEEDORES[[#This Row],[SUBTOTAL]]</f>
        <v>0</v>
      </c>
      <c r="R513" s="23">
        <v>1922900</v>
      </c>
      <c r="S51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3" s="99">
        <f ca="1">IF(PROVEEDORES[[#This Row],[FECHA DE PAGO]]=0,TODAY()-PROVEEDORES[[#This Row],[FECHA DE FACTURACIÓN]]-PROVEEDORES[[#This Row],[PLAZO Días]],0)</f>
        <v>0</v>
      </c>
      <c r="U513" s="149">
        <f>+VLOOKUP(PROVEEDORES[[#This Row],[PROVEEDOR]],Terceros!$A:$E,5,FALSE)</f>
        <v>0</v>
      </c>
      <c r="V513" s="150">
        <f>+YEAR(PROVEEDORES[[#This Row],[FECHA DE FACTURACIÓN]])</f>
        <v>2021</v>
      </c>
      <c r="W513" s="150">
        <f>+MATCH(PROVEEDORES[[#This Row],[año facturado]],Retenciones!$1:$1,0)</f>
        <v>4</v>
      </c>
      <c r="X513" s="151">
        <f>+VLOOKUP(PROVEEDORES[[#This Row],[ID RETENCION]],Retenciones!$A$1:$O$24,PROVEEDORES[[#This Row],[indicador de columna]],FALSE)</f>
        <v>0</v>
      </c>
      <c r="Y513" s="152">
        <f>+VLOOKUP(PROVEEDORES[[#This Row],[ID RETENCION]],Retenciones!$A$1:$O$24,2,FALSE)</f>
        <v>0</v>
      </c>
      <c r="Z513" s="26"/>
      <c r="AA513" s="26"/>
      <c r="AB513" s="26"/>
      <c r="AC513" s="26"/>
      <c r="AD513" s="26"/>
      <c r="AE513" s="26"/>
    </row>
    <row r="514" spans="1:31" ht="21.95" customHeight="1" x14ac:dyDescent="0.25">
      <c r="A514" s="97" t="str">
        <f>+IF(PROVEEDORES[[#This Row],[FECHA DE PAGO]]=PROVEEDORES[[#This Row],[FECHA DE FACTURACIÓN]],"DE CONTADO","CRÉDITO")</f>
        <v>CRÉDITO</v>
      </c>
      <c r="B514" s="41" t="str">
        <f>+IF((PROVEEDORES[[#This Row],[FECHA DE PAGO]]-PROVEEDORES[[#This Row],[FECHA DE FACTURACIÓN]])&gt;PROVEEDORES[[#This Row],[PLAZO Días]],"PAGO VENCIDO")</f>
        <v>PAGO VENCIDO</v>
      </c>
      <c r="C514" s="22">
        <f>+VLOOKUP(PROVEEDORES[[#This Row],[PROVEEDOR]],TERCEROS_INFO[#All],2,FALSE)</f>
        <v>30</v>
      </c>
      <c r="D514" s="27">
        <f>+SUMIFS(PROVEEDORES[Total],PROVEEDORES[PROVEEDOR],PROVEEDORES[[#This Row],[PROVEEDOR]],PROVEEDORES[FECHA DE PAGO],"")</f>
        <v>0</v>
      </c>
      <c r="E514" s="27"/>
      <c r="F514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514" s="95">
        <v>44429</v>
      </c>
      <c r="H514" s="28" t="s">
        <v>511</v>
      </c>
      <c r="I514" s="95">
        <v>44376</v>
      </c>
      <c r="J514" s="38" t="s">
        <v>490</v>
      </c>
      <c r="K514" s="23">
        <v>2378140</v>
      </c>
      <c r="L514" s="23"/>
      <c r="M514" s="24">
        <v>451846.6</v>
      </c>
      <c r="N514" s="25"/>
      <c r="O514" s="24">
        <v>0</v>
      </c>
      <c r="P514" s="136">
        <f>+IF(PROVEEDORES[[#This Row],[SUBTOTAL]]&lt;PROVEEDORES[[#This Row],[base retencion]],0,PROVEEDORES[[#This Row],[retención aplicada]])</f>
        <v>0</v>
      </c>
      <c r="Q514" s="24">
        <f>+PROVEEDORES[[#This Row],[Rete Fuente %]]*PROVEEDORES[[#This Row],[SUBTOTAL]]</f>
        <v>0</v>
      </c>
      <c r="R514" s="23">
        <v>2829986.6</v>
      </c>
      <c r="S51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4" s="99">
        <f ca="1">IF(PROVEEDORES[[#This Row],[FECHA DE PAGO]]=0,TODAY()-PROVEEDORES[[#This Row],[FECHA DE FACTURACIÓN]]-PROVEEDORES[[#This Row],[PLAZO Días]],0)</f>
        <v>0</v>
      </c>
      <c r="U514" s="149">
        <f>+VLOOKUP(PROVEEDORES[[#This Row],[PROVEEDOR]],Terceros!$A:$E,5,FALSE)</f>
        <v>0</v>
      </c>
      <c r="V514" s="150">
        <f>+YEAR(PROVEEDORES[[#This Row],[FECHA DE FACTURACIÓN]])</f>
        <v>2021</v>
      </c>
      <c r="W514" s="150">
        <f>+MATCH(PROVEEDORES[[#This Row],[año facturado]],Retenciones!$1:$1,0)</f>
        <v>4</v>
      </c>
      <c r="X514" s="151">
        <f>+VLOOKUP(PROVEEDORES[[#This Row],[ID RETENCION]],Retenciones!$A$1:$O$24,PROVEEDORES[[#This Row],[indicador de columna]],FALSE)</f>
        <v>0</v>
      </c>
      <c r="Y514" s="152">
        <f>+VLOOKUP(PROVEEDORES[[#This Row],[ID RETENCION]],Retenciones!$A$1:$O$24,2,FALSE)</f>
        <v>0</v>
      </c>
      <c r="Z514" s="26"/>
      <c r="AA514" s="26"/>
      <c r="AB514" s="26"/>
      <c r="AC514" s="26"/>
      <c r="AD514" s="26"/>
      <c r="AE514" s="26"/>
    </row>
    <row r="515" spans="1:31" ht="21.95" customHeight="1" x14ac:dyDescent="0.25">
      <c r="A515" s="97" t="str">
        <f>+IF(PROVEEDORES[[#This Row],[FECHA DE PAGO]]=PROVEEDORES[[#This Row],[FECHA DE FACTURACIÓN]],"DE CONTADO","CRÉDITO")</f>
        <v>DE CONTADO</v>
      </c>
      <c r="B515" s="41" t="b">
        <f>+IF((PROVEEDORES[[#This Row],[FECHA DE PAGO]]-PROVEEDORES[[#This Row],[FECHA DE FACTURACIÓN]])&gt;PROVEEDORES[[#This Row],[PLAZO Días]],"PAGO VENCIDO")</f>
        <v>0</v>
      </c>
      <c r="C515" s="22">
        <f>+VLOOKUP(PROVEEDORES[[#This Row],[PROVEEDOR]],TERCEROS_INFO[#All],2,FALSE)</f>
        <v>30</v>
      </c>
      <c r="D515" s="27">
        <f>+SUMIFS(PROVEEDORES[Total],PROVEEDORES[PROVEEDOR],PROVEEDORES[[#This Row],[PROVEEDOR]],PROVEEDORES[FECHA DE PAGO],"")</f>
        <v>0</v>
      </c>
      <c r="E515" s="27"/>
      <c r="F515" s="62" t="str">
        <f>+VLOOKUP(PROVEEDORES[[#This Row],[PROVEEDOR]],
                       Terceros!$A:$G,
                       6,
                       FALSE)</f>
        <v/>
      </c>
      <c r="G515" s="95">
        <v>44377</v>
      </c>
      <c r="H515" s="28" t="s">
        <v>1010</v>
      </c>
      <c r="I515" s="95">
        <v>44377</v>
      </c>
      <c r="J515" s="38" t="s">
        <v>941</v>
      </c>
      <c r="K515" s="23">
        <v>0</v>
      </c>
      <c r="L515" s="23"/>
      <c r="M515" s="24">
        <v>0</v>
      </c>
      <c r="N515" s="25"/>
      <c r="O515" s="24">
        <v>0</v>
      </c>
      <c r="P515" s="136">
        <f>+IF(PROVEEDORES[[#This Row],[SUBTOTAL]]&lt;PROVEEDORES[[#This Row],[base retencion]],0,PROVEEDORES[[#This Row],[retención aplicada]])</f>
        <v>0</v>
      </c>
      <c r="Q515" s="24">
        <f>+PROVEEDORES[[#This Row],[Rete Fuente %]]*PROVEEDORES[[#This Row],[SUBTOTAL]]</f>
        <v>0</v>
      </c>
      <c r="R515" s="23">
        <v>0</v>
      </c>
      <c r="S51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5" s="99">
        <f ca="1">IF(PROVEEDORES[[#This Row],[FECHA DE PAGO]]=0,TODAY()-PROVEEDORES[[#This Row],[FECHA DE FACTURACIÓN]]-PROVEEDORES[[#This Row],[PLAZO Días]],0)</f>
        <v>0</v>
      </c>
      <c r="U515" s="149">
        <f>+VLOOKUP(PROVEEDORES[[#This Row],[PROVEEDOR]],Terceros!$A:$E,5,FALSE)</f>
        <v>0</v>
      </c>
      <c r="V515" s="150">
        <f>+YEAR(PROVEEDORES[[#This Row],[FECHA DE FACTURACIÓN]])</f>
        <v>2021</v>
      </c>
      <c r="W515" s="150">
        <f>+MATCH(PROVEEDORES[[#This Row],[año facturado]],Retenciones!$1:$1,0)</f>
        <v>4</v>
      </c>
      <c r="X515" s="151">
        <f>+VLOOKUP(PROVEEDORES[[#This Row],[ID RETENCION]],Retenciones!$A$1:$O$24,PROVEEDORES[[#This Row],[indicador de columna]],FALSE)</f>
        <v>0</v>
      </c>
      <c r="Y515" s="152">
        <f>+VLOOKUP(PROVEEDORES[[#This Row],[ID RETENCION]],Retenciones!$A$1:$O$24,2,FALSE)</f>
        <v>0</v>
      </c>
      <c r="Z515" s="26"/>
      <c r="AA515" s="26"/>
      <c r="AB515" s="26"/>
      <c r="AC515" s="26"/>
      <c r="AD515" s="26"/>
      <c r="AE515" s="26"/>
    </row>
    <row r="516" spans="1:31" ht="21.95" customHeight="1" x14ac:dyDescent="0.25">
      <c r="A516" s="97" t="str">
        <f>+IF(PROVEEDORES[[#This Row],[FECHA DE PAGO]]=PROVEEDORES[[#This Row],[FECHA DE FACTURACIÓN]],"DE CONTADO","CRÉDITO")</f>
        <v>DE CONTADO</v>
      </c>
      <c r="B516" s="41" t="b">
        <f>+IF((PROVEEDORES[[#This Row],[FECHA DE PAGO]]-PROVEEDORES[[#This Row],[FECHA DE FACTURACIÓN]])&gt;PROVEEDORES[[#This Row],[PLAZO Días]],"PAGO VENCIDO")</f>
        <v>0</v>
      </c>
      <c r="C516" s="22">
        <f>+VLOOKUP(PROVEEDORES[[#This Row],[PROVEEDOR]],TERCEROS_INFO[#All],2,FALSE)</f>
        <v>30</v>
      </c>
      <c r="D516" s="27">
        <f>+SUMIFS(PROVEEDORES[Total],PROVEEDORES[PROVEEDOR],PROVEEDORES[[#This Row],[PROVEEDOR]],PROVEEDORES[FECHA DE PAGO],"")</f>
        <v>0</v>
      </c>
      <c r="E516" s="27"/>
      <c r="F516" s="62" t="str">
        <f>+VLOOKUP(PROVEEDORES[[#This Row],[PROVEEDOR]],
                       Terceros!$A:$G,
                       6,
                       FALSE)</f>
        <v/>
      </c>
      <c r="G516" s="95">
        <v>44377</v>
      </c>
      <c r="H516" s="28" t="s">
        <v>1010</v>
      </c>
      <c r="I516" s="95">
        <v>44377</v>
      </c>
      <c r="J516" s="38" t="s">
        <v>943</v>
      </c>
      <c r="K516" s="23">
        <v>484200</v>
      </c>
      <c r="L516" s="23"/>
      <c r="M516" s="24">
        <v>0</v>
      </c>
      <c r="N516" s="25"/>
      <c r="O516" s="24">
        <v>0</v>
      </c>
      <c r="P516" s="136">
        <f>+IF(PROVEEDORES[[#This Row],[SUBTOTAL]]&lt;PROVEEDORES[[#This Row],[base retencion]],0,PROVEEDORES[[#This Row],[retención aplicada]])</f>
        <v>0</v>
      </c>
      <c r="Q516" s="24">
        <f>+PROVEEDORES[[#This Row],[Rete Fuente %]]*PROVEEDORES[[#This Row],[SUBTOTAL]]</f>
        <v>0</v>
      </c>
      <c r="R516" s="23">
        <v>484200</v>
      </c>
      <c r="S51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6" s="99">
        <f ca="1">IF(PROVEEDORES[[#This Row],[FECHA DE PAGO]]=0,TODAY()-PROVEEDORES[[#This Row],[FECHA DE FACTURACIÓN]]-PROVEEDORES[[#This Row],[PLAZO Días]],0)</f>
        <v>0</v>
      </c>
      <c r="U516" s="149">
        <f>+VLOOKUP(PROVEEDORES[[#This Row],[PROVEEDOR]],Terceros!$A:$E,5,FALSE)</f>
        <v>0</v>
      </c>
      <c r="V516" s="150">
        <f>+YEAR(PROVEEDORES[[#This Row],[FECHA DE FACTURACIÓN]])</f>
        <v>2021</v>
      </c>
      <c r="W516" s="150">
        <f>+MATCH(PROVEEDORES[[#This Row],[año facturado]],Retenciones!$1:$1,0)</f>
        <v>4</v>
      </c>
      <c r="X516" s="151">
        <f>+VLOOKUP(PROVEEDORES[[#This Row],[ID RETENCION]],Retenciones!$A$1:$O$24,PROVEEDORES[[#This Row],[indicador de columna]],FALSE)</f>
        <v>0</v>
      </c>
      <c r="Y516" s="152">
        <f>+VLOOKUP(PROVEEDORES[[#This Row],[ID RETENCION]],Retenciones!$A$1:$O$24,2,FALSE)</f>
        <v>0</v>
      </c>
      <c r="Z516" s="26"/>
      <c r="AA516" s="26"/>
      <c r="AB516" s="26"/>
      <c r="AC516" s="26"/>
      <c r="AD516" s="26"/>
      <c r="AE516" s="26"/>
    </row>
    <row r="517" spans="1:31" ht="21.95" customHeight="1" x14ac:dyDescent="0.25">
      <c r="A517" s="97" t="str">
        <f>+IF(PROVEEDORES[[#This Row],[FECHA DE PAGO]]=PROVEEDORES[[#This Row],[FECHA DE FACTURACIÓN]],"DE CONTADO","CRÉDITO")</f>
        <v>DE CONTADO</v>
      </c>
      <c r="B517" s="41" t="b">
        <f>+IF((PROVEEDORES[[#This Row],[FECHA DE PAGO]]-PROVEEDORES[[#This Row],[FECHA DE FACTURACIÓN]])&gt;PROVEEDORES[[#This Row],[PLAZO Días]],"PAGO VENCIDO")</f>
        <v>0</v>
      </c>
      <c r="C517" s="22">
        <f>+VLOOKUP(PROVEEDORES[[#This Row],[PROVEEDOR]],TERCEROS_INFO[#All],2,FALSE)</f>
        <v>30</v>
      </c>
      <c r="D517" s="27">
        <f>+SUMIFS(PROVEEDORES[Total],PROVEEDORES[PROVEEDOR],PROVEEDORES[[#This Row],[PROVEEDOR]],PROVEEDORES[FECHA DE PAGO],"")</f>
        <v>0</v>
      </c>
      <c r="E517" s="27"/>
      <c r="F517" s="62" t="str">
        <f>+VLOOKUP(PROVEEDORES[[#This Row],[PROVEEDOR]],
                       Terceros!$A:$G,
                       6,
                       FALSE)</f>
        <v/>
      </c>
      <c r="G517" s="95">
        <v>44377</v>
      </c>
      <c r="H517" s="28" t="s">
        <v>1010</v>
      </c>
      <c r="I517" s="95">
        <v>44377</v>
      </c>
      <c r="J517" s="38" t="s">
        <v>180</v>
      </c>
      <c r="K517" s="23">
        <v>526000</v>
      </c>
      <c r="L517" s="23"/>
      <c r="M517" s="24">
        <v>0</v>
      </c>
      <c r="N517" s="25"/>
      <c r="O517" s="24">
        <v>0</v>
      </c>
      <c r="P517" s="136">
        <f>+IF(PROVEEDORES[[#This Row],[SUBTOTAL]]&lt;PROVEEDORES[[#This Row],[base retencion]],0,PROVEEDORES[[#This Row],[retención aplicada]])</f>
        <v>0</v>
      </c>
      <c r="Q517" s="24">
        <f>+PROVEEDORES[[#This Row],[Rete Fuente %]]*PROVEEDORES[[#This Row],[SUBTOTAL]]</f>
        <v>0</v>
      </c>
      <c r="R517" s="23">
        <v>526000</v>
      </c>
      <c r="S51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7" s="99">
        <f ca="1">IF(PROVEEDORES[[#This Row],[FECHA DE PAGO]]=0,TODAY()-PROVEEDORES[[#This Row],[FECHA DE FACTURACIÓN]]-PROVEEDORES[[#This Row],[PLAZO Días]],0)</f>
        <v>0</v>
      </c>
      <c r="U517" s="149">
        <f>+VLOOKUP(PROVEEDORES[[#This Row],[PROVEEDOR]],Terceros!$A:$E,5,FALSE)</f>
        <v>0</v>
      </c>
      <c r="V517" s="150">
        <f>+YEAR(PROVEEDORES[[#This Row],[FECHA DE FACTURACIÓN]])</f>
        <v>2021</v>
      </c>
      <c r="W517" s="150">
        <f>+MATCH(PROVEEDORES[[#This Row],[año facturado]],Retenciones!$1:$1,0)</f>
        <v>4</v>
      </c>
      <c r="X517" s="151">
        <f>+VLOOKUP(PROVEEDORES[[#This Row],[ID RETENCION]],Retenciones!$A$1:$O$24,PROVEEDORES[[#This Row],[indicador de columna]],FALSE)</f>
        <v>0</v>
      </c>
      <c r="Y517" s="152">
        <f>+VLOOKUP(PROVEEDORES[[#This Row],[ID RETENCION]],Retenciones!$A$1:$O$24,2,FALSE)</f>
        <v>0</v>
      </c>
      <c r="Z517" s="26"/>
      <c r="AA517" s="26"/>
      <c r="AB517" s="26"/>
      <c r="AC517" s="26"/>
      <c r="AD517" s="26"/>
      <c r="AE517" s="26"/>
    </row>
    <row r="518" spans="1:31" ht="21.95" customHeight="1" x14ac:dyDescent="0.25">
      <c r="A518" s="97" t="str">
        <f>+IF(PROVEEDORES[[#This Row],[FECHA DE PAGO]]=PROVEEDORES[[#This Row],[FECHA DE FACTURACIÓN]],"DE CONTADO","CRÉDITO")</f>
        <v>DE CONTADO</v>
      </c>
      <c r="B518" s="41" t="b">
        <f>+IF((PROVEEDORES[[#This Row],[FECHA DE PAGO]]-PROVEEDORES[[#This Row],[FECHA DE FACTURACIÓN]])&gt;PROVEEDORES[[#This Row],[PLAZO Días]],"PAGO VENCIDO")</f>
        <v>0</v>
      </c>
      <c r="C518" s="22">
        <f>+VLOOKUP(PROVEEDORES[[#This Row],[PROVEEDOR]],TERCEROS_INFO[#All],2,FALSE)</f>
        <v>30</v>
      </c>
      <c r="D518" s="27">
        <f>+SUMIFS(PROVEEDORES[Total],PROVEEDORES[PROVEEDOR],PROVEEDORES[[#This Row],[PROVEEDOR]],PROVEEDORES[FECHA DE PAGO],"")</f>
        <v>0</v>
      </c>
      <c r="E518" s="27"/>
      <c r="F518" s="62" t="str">
        <f>+VLOOKUP(PROVEEDORES[[#This Row],[PROVEEDOR]],
                       Terceros!$A:$G,
                       6,
                       FALSE)</f>
        <v/>
      </c>
      <c r="G518" s="95">
        <v>44377</v>
      </c>
      <c r="H518" s="28" t="s">
        <v>1010</v>
      </c>
      <c r="I518" s="95">
        <v>44377</v>
      </c>
      <c r="J518" s="38" t="s">
        <v>942</v>
      </c>
      <c r="K518" s="23">
        <v>720000</v>
      </c>
      <c r="L518" s="23"/>
      <c r="M518" s="24">
        <v>0</v>
      </c>
      <c r="N518" s="25"/>
      <c r="O518" s="24">
        <v>0</v>
      </c>
      <c r="P518" s="136">
        <f>+IF(PROVEEDORES[[#This Row],[SUBTOTAL]]&lt;PROVEEDORES[[#This Row],[base retencion]],0,PROVEEDORES[[#This Row],[retención aplicada]])</f>
        <v>0</v>
      </c>
      <c r="Q518" s="24">
        <f>+PROVEEDORES[[#This Row],[Rete Fuente %]]*PROVEEDORES[[#This Row],[SUBTOTAL]]</f>
        <v>0</v>
      </c>
      <c r="R518" s="23">
        <v>720000</v>
      </c>
      <c r="S51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8" s="99">
        <f ca="1">IF(PROVEEDORES[[#This Row],[FECHA DE PAGO]]=0,TODAY()-PROVEEDORES[[#This Row],[FECHA DE FACTURACIÓN]]-PROVEEDORES[[#This Row],[PLAZO Días]],0)</f>
        <v>0</v>
      </c>
      <c r="U518" s="149">
        <f>+VLOOKUP(PROVEEDORES[[#This Row],[PROVEEDOR]],Terceros!$A:$E,5,FALSE)</f>
        <v>0</v>
      </c>
      <c r="V518" s="150">
        <f>+YEAR(PROVEEDORES[[#This Row],[FECHA DE FACTURACIÓN]])</f>
        <v>2021</v>
      </c>
      <c r="W518" s="150">
        <f>+MATCH(PROVEEDORES[[#This Row],[año facturado]],Retenciones!$1:$1,0)</f>
        <v>4</v>
      </c>
      <c r="X518" s="151">
        <f>+VLOOKUP(PROVEEDORES[[#This Row],[ID RETENCION]],Retenciones!$A$1:$O$24,PROVEEDORES[[#This Row],[indicador de columna]],FALSE)</f>
        <v>0</v>
      </c>
      <c r="Y518" s="152">
        <f>+VLOOKUP(PROVEEDORES[[#This Row],[ID RETENCION]],Retenciones!$A$1:$O$24,2,FALSE)</f>
        <v>0</v>
      </c>
      <c r="Z518" s="26"/>
      <c r="AA518" s="26"/>
      <c r="AB518" s="26"/>
      <c r="AC518" s="26"/>
      <c r="AD518" s="26"/>
      <c r="AE518" s="26"/>
    </row>
    <row r="519" spans="1:31" ht="21.95" customHeight="1" x14ac:dyDescent="0.25">
      <c r="A519" s="97" t="str">
        <f>+IF(PROVEEDORES[[#This Row],[FECHA DE PAGO]]=PROVEEDORES[[#This Row],[FECHA DE FACTURACIÓN]],"DE CONTADO","CRÉDITO")</f>
        <v>CRÉDITO</v>
      </c>
      <c r="B519" s="41" t="str">
        <f>+IF((PROVEEDORES[[#This Row],[FECHA DE PAGO]]-PROVEEDORES[[#This Row],[FECHA DE FACTURACIÓN]])&gt;PROVEEDORES[[#This Row],[PLAZO Días]],"PAGO VENCIDO")</f>
        <v>PAGO VENCIDO</v>
      </c>
      <c r="C519" s="22">
        <f>+VLOOKUP(PROVEEDORES[[#This Row],[PROVEEDOR]],TERCEROS_INFO[#All],2,FALSE)</f>
        <v>30</v>
      </c>
      <c r="D519" s="27">
        <f>+SUMIFS(PROVEEDORES[Total],PROVEEDORES[PROVEEDOR],PROVEEDORES[[#This Row],[PROVEEDOR]],PROVEEDORES[FECHA DE PAGO],"")</f>
        <v>3844432.4999000002</v>
      </c>
      <c r="E519" s="27"/>
      <c r="F519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519" s="95">
        <v>44414</v>
      </c>
      <c r="H519" s="28" t="s">
        <v>18</v>
      </c>
      <c r="I519" s="95">
        <v>44377</v>
      </c>
      <c r="J519" s="38">
        <v>1039723</v>
      </c>
      <c r="K519" s="23">
        <v>2181869.2400000002</v>
      </c>
      <c r="L519" s="23"/>
      <c r="M519" s="24">
        <v>414555.15560000006</v>
      </c>
      <c r="N519" s="25"/>
      <c r="O519" s="24">
        <v>0</v>
      </c>
      <c r="P519" s="136">
        <f>+IF(PROVEEDORES[[#This Row],[SUBTOTAL]]&lt;PROVEEDORES[[#This Row],[base retencion]],0,PROVEEDORES[[#This Row],[retención aplicada]])</f>
        <v>2.5000000000000001E-2</v>
      </c>
      <c r="Q519" s="24">
        <f>+PROVEEDORES[[#This Row],[Rete Fuente %]]*PROVEEDORES[[#This Row],[SUBTOTAL]]</f>
        <v>54546.731000000007</v>
      </c>
      <c r="R519" s="23">
        <v>2541877.6646000003</v>
      </c>
      <c r="S51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9" s="99">
        <f ca="1">IF(PROVEEDORES[[#This Row],[FECHA DE PAGO]]=0,TODAY()-PROVEEDORES[[#This Row],[FECHA DE FACTURACIÓN]]-PROVEEDORES[[#This Row],[PLAZO Días]],0)</f>
        <v>0</v>
      </c>
      <c r="U519" s="149" t="str">
        <f>+VLOOKUP(PROVEEDORES[[#This Row],[PROVEEDOR]],Terceros!$A:$E,5,FALSE)</f>
        <v>2,5% con base</v>
      </c>
      <c r="V519" s="150">
        <f>+YEAR(PROVEEDORES[[#This Row],[FECHA DE FACTURACIÓN]])</f>
        <v>2021</v>
      </c>
      <c r="W519" s="150">
        <f>+MATCH(PROVEEDORES[[#This Row],[año facturado]],Retenciones!$1:$1,0)</f>
        <v>4</v>
      </c>
      <c r="X519" s="151">
        <f>+VLOOKUP(PROVEEDORES[[#This Row],[ID RETENCION]],Retenciones!$A$1:$O$24,PROVEEDORES[[#This Row],[indicador de columna]],FALSE)</f>
        <v>980000</v>
      </c>
      <c r="Y519" s="152">
        <f>+VLOOKUP(PROVEEDORES[[#This Row],[ID RETENCION]],Retenciones!$A$1:$O$24,2,FALSE)</f>
        <v>2.5000000000000001E-2</v>
      </c>
      <c r="Z519" s="26"/>
      <c r="AA519" s="26"/>
      <c r="AB519" s="26"/>
      <c r="AC519" s="26"/>
      <c r="AD519" s="26"/>
      <c r="AE519" s="26"/>
    </row>
    <row r="520" spans="1:31" ht="21.95" customHeight="1" x14ac:dyDescent="0.25">
      <c r="A520" s="97" t="str">
        <f>+IF(PROVEEDORES[[#This Row],[FECHA DE PAGO]]=PROVEEDORES[[#This Row],[FECHA DE FACTURACIÓN]],"DE CONTADO","CRÉDITO")</f>
        <v>CRÉDITO</v>
      </c>
      <c r="B520" s="41" t="b">
        <f>+IF((PROVEEDORES[[#This Row],[FECHA DE PAGO]]-PROVEEDORES[[#This Row],[FECHA DE FACTURACIÓN]])&gt;PROVEEDORES[[#This Row],[PLAZO Días]],"PAGO VENCIDO")</f>
        <v>0</v>
      </c>
      <c r="C520" s="22">
        <f>+VLOOKUP(PROVEEDORES[[#This Row],[PROVEEDOR]],TERCEROS_INFO[#All],2,FALSE)</f>
        <v>20</v>
      </c>
      <c r="D520" s="27">
        <f>+SUMIFS(PROVEEDORES[Total],PROVEEDORES[PROVEEDOR],PROVEEDORES[[#This Row],[PROVEEDOR]],PROVEEDORES[FECHA DE PAGO],"")</f>
        <v>0</v>
      </c>
      <c r="E520" s="27"/>
      <c r="F520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520" s="95">
        <v>44380</v>
      </c>
      <c r="H520" s="28" t="s">
        <v>374</v>
      </c>
      <c r="I520" s="95">
        <v>44377</v>
      </c>
      <c r="J520" s="38" t="s">
        <v>417</v>
      </c>
      <c r="K520" s="23">
        <v>3071327.5</v>
      </c>
      <c r="L520" s="23"/>
      <c r="M520" s="24">
        <v>85921.8</v>
      </c>
      <c r="N520" s="25"/>
      <c r="O520" s="24">
        <v>0</v>
      </c>
      <c r="P520" s="136">
        <f>+IF(PROVEEDORES[[#This Row],[SUBTOTAL]]&lt;PROVEEDORES[[#This Row],[base retencion]],0,PROVEEDORES[[#This Row],[retención aplicada]])</f>
        <v>0.04</v>
      </c>
      <c r="Q520" s="24">
        <f>+PROVEEDORES[[#This Row],[Rete Fuente %]]*PROVEEDORES[[#This Row],[SUBTOTAL]]</f>
        <v>122853.1</v>
      </c>
      <c r="R520" s="23">
        <v>3139160.3</v>
      </c>
      <c r="S52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0" s="99">
        <f ca="1">IF(PROVEEDORES[[#This Row],[FECHA DE PAGO]]=0,TODAY()-PROVEEDORES[[#This Row],[FECHA DE FACTURACIÓN]]-PROVEEDORES[[#This Row],[PLAZO Días]],0)</f>
        <v>0</v>
      </c>
      <c r="U520" s="149" t="str">
        <f>+VLOOKUP(PROVEEDORES[[#This Row],[PROVEEDOR]],Terceros!$A:$E,5,FALSE)</f>
        <v>4% sin base</v>
      </c>
      <c r="V520" s="150">
        <f>+YEAR(PROVEEDORES[[#This Row],[FECHA DE FACTURACIÓN]])</f>
        <v>2021</v>
      </c>
      <c r="W520" s="150">
        <f>+MATCH(PROVEEDORES[[#This Row],[año facturado]],Retenciones!$1:$1,0)</f>
        <v>4</v>
      </c>
      <c r="X520" s="151">
        <f>+VLOOKUP(PROVEEDORES[[#This Row],[ID RETENCION]],Retenciones!$A$1:$O$24,PROVEEDORES[[#This Row],[indicador de columna]],FALSE)</f>
        <v>0</v>
      </c>
      <c r="Y520" s="152">
        <f>+VLOOKUP(PROVEEDORES[[#This Row],[ID RETENCION]],Retenciones!$A$1:$O$24,2,FALSE)</f>
        <v>0.04</v>
      </c>
      <c r="Z520" s="26"/>
      <c r="AA520" s="26"/>
      <c r="AB520" s="26"/>
      <c r="AC520" s="26"/>
      <c r="AD520" s="26"/>
      <c r="AE520" s="26"/>
    </row>
    <row r="521" spans="1:31" ht="21.95" customHeight="1" x14ac:dyDescent="0.25">
      <c r="A521" s="97" t="str">
        <f>+IF(PROVEEDORES[[#This Row],[FECHA DE PAGO]]=PROVEEDORES[[#This Row],[FECHA DE FACTURACIÓN]],"DE CONTADO","CRÉDITO")</f>
        <v>DE CONTADO</v>
      </c>
      <c r="B521" s="41" t="b">
        <f>+IF((PROVEEDORES[[#This Row],[FECHA DE PAGO]]-PROVEEDORES[[#This Row],[FECHA DE FACTURACIÓN]])&gt;PROVEEDORES[[#This Row],[PLAZO Días]],"PAGO VENCIDO")</f>
        <v>0</v>
      </c>
      <c r="C521" s="22">
        <f>+VLOOKUP(PROVEEDORES[[#This Row],[PROVEEDOR]],TERCEROS_INFO[#All],2,FALSE)</f>
        <v>30</v>
      </c>
      <c r="D521" s="27">
        <f>+SUMIFS(PROVEEDORES[Total],PROVEEDORES[PROVEEDOR],PROVEEDORES[[#This Row],[PROVEEDOR]],PROVEEDORES[FECHA DE PAGO],"")</f>
        <v>0</v>
      </c>
      <c r="E521" s="27"/>
      <c r="F521" s="62" t="str">
        <f>+VLOOKUP(PROVEEDORES[[#This Row],[PROVEEDOR]],
                       Terceros!$A:$G,
                       6,
                       FALSE)</f>
        <v/>
      </c>
      <c r="G521" s="95">
        <v>44377</v>
      </c>
      <c r="H521" s="28" t="s">
        <v>1010</v>
      </c>
      <c r="I521" s="95">
        <v>44377</v>
      </c>
      <c r="J521" s="38" t="s">
        <v>940</v>
      </c>
      <c r="K521" s="23">
        <v>5550000</v>
      </c>
      <c r="L521" s="23"/>
      <c r="M521" s="24">
        <v>0</v>
      </c>
      <c r="N521" s="25"/>
      <c r="O521" s="24">
        <v>0</v>
      </c>
      <c r="P521" s="136">
        <f>+IF(PROVEEDORES[[#This Row],[SUBTOTAL]]&lt;PROVEEDORES[[#This Row],[base retencion]],0,PROVEEDORES[[#This Row],[retención aplicada]])</f>
        <v>0</v>
      </c>
      <c r="Q521" s="24">
        <f>+PROVEEDORES[[#This Row],[Rete Fuente %]]*PROVEEDORES[[#This Row],[SUBTOTAL]]</f>
        <v>0</v>
      </c>
      <c r="R521" s="23">
        <v>5550000</v>
      </c>
      <c r="S52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1" s="99">
        <f ca="1">IF(PROVEEDORES[[#This Row],[FECHA DE PAGO]]=0,TODAY()-PROVEEDORES[[#This Row],[FECHA DE FACTURACIÓN]]-PROVEEDORES[[#This Row],[PLAZO Días]],0)</f>
        <v>0</v>
      </c>
      <c r="U521" s="149">
        <f>+VLOOKUP(PROVEEDORES[[#This Row],[PROVEEDOR]],Terceros!$A:$E,5,FALSE)</f>
        <v>0</v>
      </c>
      <c r="V521" s="150">
        <f>+YEAR(PROVEEDORES[[#This Row],[FECHA DE FACTURACIÓN]])</f>
        <v>2021</v>
      </c>
      <c r="W521" s="150">
        <f>+MATCH(PROVEEDORES[[#This Row],[año facturado]],Retenciones!$1:$1,0)</f>
        <v>4</v>
      </c>
      <c r="X521" s="151">
        <f>+VLOOKUP(PROVEEDORES[[#This Row],[ID RETENCION]],Retenciones!$A$1:$O$24,PROVEEDORES[[#This Row],[indicador de columna]],FALSE)</f>
        <v>0</v>
      </c>
      <c r="Y521" s="152">
        <f>+VLOOKUP(PROVEEDORES[[#This Row],[ID RETENCION]],Retenciones!$A$1:$O$24,2,FALSE)</f>
        <v>0</v>
      </c>
      <c r="Z521" s="26"/>
      <c r="AA521" s="26"/>
      <c r="AB521" s="26"/>
      <c r="AC521" s="26"/>
      <c r="AD521" s="26"/>
      <c r="AE521" s="26"/>
    </row>
    <row r="522" spans="1:31" ht="21.95" customHeight="1" x14ac:dyDescent="0.25">
      <c r="A522" s="97" t="str">
        <f>+IF(PROVEEDORES[[#This Row],[FECHA DE PAGO]]=PROVEEDORES[[#This Row],[FECHA DE FACTURACIÓN]],"DE CONTADO","CRÉDITO")</f>
        <v>CRÉDITO</v>
      </c>
      <c r="B522" s="41" t="b">
        <f>+IF((PROVEEDORES[[#This Row],[FECHA DE PAGO]]-PROVEEDORES[[#This Row],[FECHA DE FACTURACIÓN]])&gt;PROVEEDORES[[#This Row],[PLAZO Días]],"PAGO VENCIDO")</f>
        <v>0</v>
      </c>
      <c r="C522" s="22">
        <f>+VLOOKUP(PROVEEDORES[[#This Row],[PROVEEDOR]],TERCEROS_INFO[#All],2,FALSE)</f>
        <v>30</v>
      </c>
      <c r="D522" s="27">
        <f>+SUMIFS(PROVEEDORES[Total],PROVEEDORES[PROVEEDOR],PROVEEDORES[[#This Row],[PROVEEDOR]],PROVEEDORES[FECHA DE PAGO],"")</f>
        <v>0</v>
      </c>
      <c r="E522" s="27"/>
      <c r="F522" s="62" t="str">
        <f>+VLOOKUP(PROVEEDORES[[#This Row],[PROVEEDOR]],
                       Terceros!$A:$G,
                       6,
                       FALSE)</f>
        <v>tesoreria@lacentral.com.co;girlesa.ruiz@servipilas.com;joriescobar64@gmail.com</v>
      </c>
      <c r="G522" s="95">
        <v>44396</v>
      </c>
      <c r="H522" s="28" t="s">
        <v>332</v>
      </c>
      <c r="I522" s="95">
        <v>44378</v>
      </c>
      <c r="J522" s="38">
        <v>8521</v>
      </c>
      <c r="K522" s="23">
        <v>1547710</v>
      </c>
      <c r="L522" s="23"/>
      <c r="M522" s="24">
        <v>0</v>
      </c>
      <c r="N522" s="25"/>
      <c r="O522" s="24">
        <v>138087</v>
      </c>
      <c r="P522" s="136">
        <f>+IF(PROVEEDORES[[#This Row],[SUBTOTAL]]&lt;PROVEEDORES[[#This Row],[base retencion]],0,PROVEEDORES[[#This Row],[retención aplicada]])</f>
        <v>0</v>
      </c>
      <c r="Q522" s="24">
        <f>+PROVEEDORES[[#This Row],[Rete Fuente %]]*PROVEEDORES[[#This Row],[SUBTOTAL]]</f>
        <v>0</v>
      </c>
      <c r="R522" s="23">
        <v>1409623</v>
      </c>
      <c r="S52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2" s="99">
        <f ca="1">IF(PROVEEDORES[[#This Row],[FECHA DE PAGO]]=0,TODAY()-PROVEEDORES[[#This Row],[FECHA DE FACTURACIÓN]]-PROVEEDORES[[#This Row],[PLAZO Días]],0)</f>
        <v>0</v>
      </c>
      <c r="U522" s="149">
        <f>+VLOOKUP(PROVEEDORES[[#This Row],[PROVEEDOR]],Terceros!$A:$E,5,FALSE)</f>
        <v>0</v>
      </c>
      <c r="V522" s="150">
        <f>+YEAR(PROVEEDORES[[#This Row],[FECHA DE FACTURACIÓN]])</f>
        <v>2021</v>
      </c>
      <c r="W522" s="150">
        <f>+MATCH(PROVEEDORES[[#This Row],[año facturado]],Retenciones!$1:$1,0)</f>
        <v>4</v>
      </c>
      <c r="X522" s="151">
        <f>+VLOOKUP(PROVEEDORES[[#This Row],[ID RETENCION]],Retenciones!$A$1:$O$24,PROVEEDORES[[#This Row],[indicador de columna]],FALSE)</f>
        <v>0</v>
      </c>
      <c r="Y522" s="152">
        <f>+VLOOKUP(PROVEEDORES[[#This Row],[ID RETENCION]],Retenciones!$A$1:$O$24,2,FALSE)</f>
        <v>0</v>
      </c>
      <c r="Z522" s="26"/>
      <c r="AA522" s="26"/>
      <c r="AB522" s="26"/>
      <c r="AC522" s="26"/>
      <c r="AD522" s="26"/>
      <c r="AE522" s="26"/>
    </row>
    <row r="523" spans="1:31" ht="21.95" customHeight="1" x14ac:dyDescent="0.25">
      <c r="A523" s="97" t="str">
        <f>+IF(PROVEEDORES[[#This Row],[FECHA DE PAGO]]=PROVEEDORES[[#This Row],[FECHA DE FACTURACIÓN]],"DE CONTADO","CRÉDITO")</f>
        <v>CRÉDITO</v>
      </c>
      <c r="B523" s="41" t="b">
        <f>+IF((PROVEEDORES[[#This Row],[FECHA DE PAGO]]-PROVEEDORES[[#This Row],[FECHA DE FACTURACIÓN]])&gt;PROVEEDORES[[#This Row],[PLAZO Días]],"PAGO VENCIDO")</f>
        <v>0</v>
      </c>
      <c r="C523" s="22">
        <f>+VLOOKUP(PROVEEDORES[[#This Row],[PROVEEDOR]],TERCEROS_INFO[#All],2,FALSE)</f>
        <v>30</v>
      </c>
      <c r="D523" s="27">
        <f>+SUMIFS(PROVEEDORES[Total],PROVEEDORES[PROVEEDOR],PROVEEDORES[[#This Row],[PROVEEDOR]],PROVEEDORES[FECHA DE PAGO],"")</f>
        <v>0</v>
      </c>
      <c r="E523" s="27"/>
      <c r="F523" s="62" t="str">
        <f>+VLOOKUP(PROVEEDORES[[#This Row],[PROVEEDOR]],
                       Terceros!$A:$G,
                       6,
                       FALSE)</f>
        <v>propertymarketingsas@hotmail.com;girlesa.ruiz@servipilas.com;joriescobar64@gmail.com</v>
      </c>
      <c r="G523" s="95">
        <v>44396</v>
      </c>
      <c r="H523" s="28" t="s">
        <v>483</v>
      </c>
      <c r="I523" s="95">
        <v>44378</v>
      </c>
      <c r="J523" s="38" t="s">
        <v>749</v>
      </c>
      <c r="K523" s="23">
        <v>2789636</v>
      </c>
      <c r="L523" s="23"/>
      <c r="M523" s="24">
        <v>0</v>
      </c>
      <c r="N523" s="25"/>
      <c r="O523" s="24">
        <v>0</v>
      </c>
      <c r="P523" s="136">
        <f>+IF(PROVEEDORES[[#This Row],[SUBTOTAL]]&lt;PROVEEDORES[[#This Row],[base retencion]],0,PROVEEDORES[[#This Row],[retención aplicada]])</f>
        <v>3.5000000000000003E-2</v>
      </c>
      <c r="Q523" s="24">
        <f>+PROVEEDORES[[#This Row],[Rete Fuente %]]*PROVEEDORES[[#This Row],[SUBTOTAL]]</f>
        <v>97637.260000000009</v>
      </c>
      <c r="R523" s="23">
        <v>2691998.74</v>
      </c>
      <c r="S52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3" s="99">
        <f ca="1">IF(PROVEEDORES[[#This Row],[FECHA DE PAGO]]=0,TODAY()-PROVEEDORES[[#This Row],[FECHA DE FACTURACIÓN]]-PROVEEDORES[[#This Row],[PLAZO Días]],0)</f>
        <v>0</v>
      </c>
      <c r="U523" s="149" t="str">
        <f>+VLOOKUP(PROVEEDORES[[#This Row],[PROVEEDOR]],Terceros!$A:$E,5,FALSE)</f>
        <v>3,5% sin base</v>
      </c>
      <c r="V523" s="150">
        <f>+YEAR(PROVEEDORES[[#This Row],[FECHA DE FACTURACIÓN]])</f>
        <v>2021</v>
      </c>
      <c r="W523" s="150">
        <f>+MATCH(PROVEEDORES[[#This Row],[año facturado]],Retenciones!$1:$1,0)</f>
        <v>4</v>
      </c>
      <c r="X523" s="151">
        <f>+VLOOKUP(PROVEEDORES[[#This Row],[ID RETENCION]],Retenciones!$A$1:$O$24,PROVEEDORES[[#This Row],[indicador de columna]],FALSE)</f>
        <v>0</v>
      </c>
      <c r="Y523" s="152">
        <f>+VLOOKUP(PROVEEDORES[[#This Row],[ID RETENCION]],Retenciones!$A$1:$O$24,2,FALSE)</f>
        <v>3.5000000000000003E-2</v>
      </c>
      <c r="Z523" s="26"/>
      <c r="AA523" s="26"/>
      <c r="AB523" s="26"/>
      <c r="AC523" s="26"/>
      <c r="AD523" s="26"/>
      <c r="AE523" s="26"/>
    </row>
    <row r="524" spans="1:31" ht="21.95" customHeight="1" x14ac:dyDescent="0.25">
      <c r="A524" s="97" t="str">
        <f>+IF(PROVEEDORES[[#This Row],[FECHA DE PAGO]]=PROVEEDORES[[#This Row],[FECHA DE FACTURACIÓN]],"DE CONTADO","CRÉDITO")</f>
        <v>CRÉDITO</v>
      </c>
      <c r="B524" s="41" t="b">
        <f>+IF((PROVEEDORES[[#This Row],[FECHA DE PAGO]]-PROVEEDORES[[#This Row],[FECHA DE FACTURACIÓN]])&gt;PROVEEDORES[[#This Row],[PLAZO Días]],"PAGO VENCIDO")</f>
        <v>0</v>
      </c>
      <c r="C524" s="22">
        <f>+VLOOKUP(PROVEEDORES[[#This Row],[PROVEEDOR]],TERCEROS_INFO[#All],2,FALSE)</f>
        <v>30</v>
      </c>
      <c r="D524" s="27">
        <f>+SUMIFS(PROVEEDORES[Total],PROVEEDORES[PROVEEDOR],PROVEEDORES[[#This Row],[PROVEEDOR]],PROVEEDORES[FECHA DE PAGO],"")</f>
        <v>0</v>
      </c>
      <c r="E524" s="27"/>
      <c r="F524" s="62" t="str">
        <f>+VLOOKUP(PROVEEDORES[[#This Row],[PROVEEDOR]],
                       Terceros!$A:$G,
                       6,
                       FALSE)</f>
        <v>girlesa.ruiz@servipilas.com;joriescobar64@gmail.com</v>
      </c>
      <c r="G524" s="95">
        <v>44396</v>
      </c>
      <c r="H524" s="28" t="s">
        <v>336</v>
      </c>
      <c r="I524" s="95">
        <v>44378</v>
      </c>
      <c r="J524" s="38" t="s">
        <v>927</v>
      </c>
      <c r="K524" s="23">
        <v>3023387</v>
      </c>
      <c r="L524" s="23"/>
      <c r="M524" s="24">
        <v>0</v>
      </c>
      <c r="N524" s="25"/>
      <c r="O524" s="24">
        <v>0</v>
      </c>
      <c r="P524" s="136">
        <f>+IF(PROVEEDORES[[#This Row],[SUBTOTAL]]&lt;PROVEEDORES[[#This Row],[base retencion]],0,PROVEEDORES[[#This Row],[retención aplicada]])</f>
        <v>3.5000000000000003E-2</v>
      </c>
      <c r="Q524" s="24">
        <f>+PROVEEDORES[[#This Row],[Rete Fuente %]]*PROVEEDORES[[#This Row],[SUBTOTAL]]</f>
        <v>105818.54500000001</v>
      </c>
      <c r="R524" s="23">
        <v>2917568.4550000001</v>
      </c>
      <c r="S52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4" s="99">
        <f ca="1">IF(PROVEEDORES[[#This Row],[FECHA DE PAGO]]=0,TODAY()-PROVEEDORES[[#This Row],[FECHA DE FACTURACIÓN]]-PROVEEDORES[[#This Row],[PLAZO Días]],0)</f>
        <v>0</v>
      </c>
      <c r="U524" s="149" t="str">
        <f>+VLOOKUP(PROVEEDORES[[#This Row],[PROVEEDOR]],Terceros!$A:$E,5,FALSE)</f>
        <v>3,5% sin base</v>
      </c>
      <c r="V524" s="150">
        <f>+YEAR(PROVEEDORES[[#This Row],[FECHA DE FACTURACIÓN]])</f>
        <v>2021</v>
      </c>
      <c r="W524" s="150">
        <f>+MATCH(PROVEEDORES[[#This Row],[año facturado]],Retenciones!$1:$1,0)</f>
        <v>4</v>
      </c>
      <c r="X524" s="151">
        <f>+VLOOKUP(PROVEEDORES[[#This Row],[ID RETENCION]],Retenciones!$A$1:$O$24,PROVEEDORES[[#This Row],[indicador de columna]],FALSE)</f>
        <v>0</v>
      </c>
      <c r="Y524" s="152">
        <f>+VLOOKUP(PROVEEDORES[[#This Row],[ID RETENCION]],Retenciones!$A$1:$O$24,2,FALSE)</f>
        <v>3.5000000000000003E-2</v>
      </c>
      <c r="Z524" s="26"/>
      <c r="AA524" s="26"/>
      <c r="AB524" s="26"/>
      <c r="AC524" s="26"/>
      <c r="AD524" s="26"/>
      <c r="AE524" s="26"/>
    </row>
    <row r="525" spans="1:31" ht="21.95" customHeight="1" x14ac:dyDescent="0.25">
      <c r="A525" s="97" t="str">
        <f>+IF(PROVEEDORES[[#This Row],[FECHA DE PAGO]]=PROVEEDORES[[#This Row],[FECHA DE FACTURACIÓN]],"DE CONTADO","CRÉDITO")</f>
        <v>CRÉDITO</v>
      </c>
      <c r="B525" s="41" t="b">
        <f>+IF((PROVEEDORES[[#This Row],[FECHA DE PAGO]]-PROVEEDORES[[#This Row],[FECHA DE FACTURACIÓN]])&gt;PROVEEDORES[[#This Row],[PLAZO Días]],"PAGO VENCIDO")</f>
        <v>0</v>
      </c>
      <c r="C525" s="22">
        <f>+VLOOKUP(PROVEEDORES[[#This Row],[PROVEEDOR]],TERCEROS_INFO[#All],2,FALSE)</f>
        <v>30</v>
      </c>
      <c r="D525" s="27">
        <f>+SUMIFS(PROVEEDORES[Total],PROVEEDORES[PROVEEDOR],PROVEEDORES[[#This Row],[PROVEEDOR]],PROVEEDORES[FECHA DE PAGO],"")</f>
        <v>4862586.33</v>
      </c>
      <c r="E525" s="27"/>
      <c r="F525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525" s="95">
        <v>44396</v>
      </c>
      <c r="H525" s="28" t="s">
        <v>345</v>
      </c>
      <c r="I525" s="95">
        <v>44378</v>
      </c>
      <c r="J525" s="38" t="s">
        <v>580</v>
      </c>
      <c r="K525" s="23">
        <v>3061166</v>
      </c>
      <c r="L525" s="23"/>
      <c r="M525" s="24">
        <v>581621.54</v>
      </c>
      <c r="N525" s="25"/>
      <c r="O525" s="24">
        <v>0</v>
      </c>
      <c r="P525" s="136">
        <f>+IF(PROVEEDORES[[#This Row],[SUBTOTAL]]&lt;PROVEEDORES[[#This Row],[base retencion]],0,PROVEEDORES[[#This Row],[retención aplicada]])</f>
        <v>0</v>
      </c>
      <c r="Q525" s="24">
        <f>+PROVEEDORES[[#This Row],[Rete Fuente %]]*PROVEEDORES[[#This Row],[SUBTOTAL]]</f>
        <v>0</v>
      </c>
      <c r="R525" s="23">
        <v>3642787.54</v>
      </c>
      <c r="S52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5" s="99">
        <f ca="1">IF(PROVEEDORES[[#This Row],[FECHA DE PAGO]]=0,TODAY()-PROVEEDORES[[#This Row],[FECHA DE FACTURACIÓN]]-PROVEEDORES[[#This Row],[PLAZO Días]],0)</f>
        <v>0</v>
      </c>
      <c r="U525" s="149">
        <f>+VLOOKUP(PROVEEDORES[[#This Row],[PROVEEDOR]],Terceros!$A:$E,5,FALSE)</f>
        <v>0</v>
      </c>
      <c r="V525" s="150">
        <f>+YEAR(PROVEEDORES[[#This Row],[FECHA DE FACTURACIÓN]])</f>
        <v>2021</v>
      </c>
      <c r="W525" s="150">
        <f>+MATCH(PROVEEDORES[[#This Row],[año facturado]],Retenciones!$1:$1,0)</f>
        <v>4</v>
      </c>
      <c r="X525" s="151">
        <f>+VLOOKUP(PROVEEDORES[[#This Row],[ID RETENCION]],Retenciones!$A$1:$O$24,PROVEEDORES[[#This Row],[indicador de columna]],FALSE)</f>
        <v>0</v>
      </c>
      <c r="Y525" s="152">
        <f>+VLOOKUP(PROVEEDORES[[#This Row],[ID RETENCION]],Retenciones!$A$1:$O$24,2,FALSE)</f>
        <v>0</v>
      </c>
      <c r="Z525" s="26"/>
      <c r="AA525" s="26"/>
      <c r="AB525" s="26"/>
      <c r="AC525" s="26"/>
      <c r="AD525" s="26"/>
      <c r="AE525" s="26"/>
    </row>
    <row r="526" spans="1:31" ht="21.95" customHeight="1" x14ac:dyDescent="0.25">
      <c r="A526" s="97" t="str">
        <f>+IF(PROVEEDORES[[#This Row],[FECHA DE PAGO]]=PROVEEDORES[[#This Row],[FECHA DE FACTURACIÓN]],"DE CONTADO","CRÉDITO")</f>
        <v>CRÉDITO</v>
      </c>
      <c r="B526" s="41" t="b">
        <f>+IF((PROVEEDORES[[#This Row],[FECHA DE PAGO]]-PROVEEDORES[[#This Row],[FECHA DE FACTURACIÓN]])&gt;PROVEEDORES[[#This Row],[PLAZO Días]],"PAGO VENCIDO")</f>
        <v>0</v>
      </c>
      <c r="C526" s="22">
        <f>+VLOOKUP(PROVEEDORES[[#This Row],[PROVEEDOR]],TERCEROS_INFO[#All],2,FALSE)</f>
        <v>30</v>
      </c>
      <c r="D526" s="27">
        <f>+SUMIFS(PROVEEDORES[Total],PROVEEDORES[PROVEEDOR],PROVEEDORES[[#This Row],[PROVEEDOR]],PROVEEDORES[FECHA DE PAGO],"")</f>
        <v>5463150</v>
      </c>
      <c r="E526" s="27"/>
      <c r="F526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526" s="95">
        <v>44396</v>
      </c>
      <c r="H526" s="28" t="s">
        <v>344</v>
      </c>
      <c r="I526" s="95">
        <v>44378</v>
      </c>
      <c r="J526" s="38">
        <v>39654</v>
      </c>
      <c r="K526" s="23">
        <v>3987000</v>
      </c>
      <c r="L526" s="23"/>
      <c r="M526" s="24">
        <v>757530</v>
      </c>
      <c r="N526" s="25"/>
      <c r="O526" s="24">
        <v>0</v>
      </c>
      <c r="P526" s="136">
        <f>+IF(PROVEEDORES[[#This Row],[SUBTOTAL]]&lt;PROVEEDORES[[#This Row],[base retencion]],0,PROVEEDORES[[#This Row],[retención aplicada]])</f>
        <v>3.5000000000000003E-2</v>
      </c>
      <c r="Q526" s="24">
        <f>+PROVEEDORES[[#This Row],[Rete Fuente %]]*PROVEEDORES[[#This Row],[SUBTOTAL]]</f>
        <v>139545</v>
      </c>
      <c r="R526" s="23">
        <v>4604985</v>
      </c>
      <c r="S52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6" s="99">
        <f ca="1">IF(PROVEEDORES[[#This Row],[FECHA DE PAGO]]=0,TODAY()-PROVEEDORES[[#This Row],[FECHA DE FACTURACIÓN]]-PROVEEDORES[[#This Row],[PLAZO Días]],0)</f>
        <v>0</v>
      </c>
      <c r="U526" s="149" t="str">
        <f>+VLOOKUP(PROVEEDORES[[#This Row],[PROVEEDOR]],Terceros!$A:$E,5,FALSE)</f>
        <v>3,5% con base</v>
      </c>
      <c r="V526" s="150">
        <f>+YEAR(PROVEEDORES[[#This Row],[FECHA DE FACTURACIÓN]])</f>
        <v>2021</v>
      </c>
      <c r="W526" s="150">
        <f>+MATCH(PROVEEDORES[[#This Row],[año facturado]],Retenciones!$1:$1,0)</f>
        <v>4</v>
      </c>
      <c r="X526" s="151">
        <f>+VLOOKUP(PROVEEDORES[[#This Row],[ID RETENCION]],Retenciones!$A$1:$O$24,PROVEEDORES[[#This Row],[indicador de columna]],FALSE)</f>
        <v>980000</v>
      </c>
      <c r="Y526" s="152">
        <f>+VLOOKUP(PROVEEDORES[[#This Row],[ID RETENCION]],Retenciones!$A$1:$O$24,2,FALSE)</f>
        <v>3.5000000000000003E-2</v>
      </c>
      <c r="Z526" s="26"/>
      <c r="AA526" s="26"/>
      <c r="AB526" s="26"/>
      <c r="AC526" s="26"/>
      <c r="AD526" s="26"/>
      <c r="AE526" s="26"/>
    </row>
    <row r="527" spans="1:31" ht="21.95" customHeight="1" x14ac:dyDescent="0.25">
      <c r="A527" s="97" t="str">
        <f>+IF(PROVEEDORES[[#This Row],[FECHA DE PAGO]]=PROVEEDORES[[#This Row],[FECHA DE FACTURACIÓN]],"DE CONTADO","CRÉDITO")</f>
        <v>CRÉDITO</v>
      </c>
      <c r="B527" s="41" t="b">
        <f>+IF((PROVEEDORES[[#This Row],[FECHA DE PAGO]]-PROVEEDORES[[#This Row],[FECHA DE FACTURACIÓN]])&gt;PROVEEDORES[[#This Row],[PLAZO Días]],"PAGO VENCIDO")</f>
        <v>0</v>
      </c>
      <c r="C527" s="22">
        <f>+VLOOKUP(PROVEEDORES[[#This Row],[PROVEEDOR]],TERCEROS_INFO[#All],2,FALSE)</f>
        <v>30</v>
      </c>
      <c r="D527" s="27">
        <f>+SUMIFS(PROVEEDORES[Total],PROVEEDORES[PROVEEDOR],PROVEEDORES[[#This Row],[PROVEEDOR]],PROVEEDORES[FECHA DE PAGO],"")</f>
        <v>0</v>
      </c>
      <c r="E527" s="27"/>
      <c r="F527" s="62" t="str">
        <f>+VLOOKUP(PROVEEDORES[[#This Row],[PROVEEDOR]],
                       Terceros!$A:$G,
                       6,
                       FALSE)</f>
        <v>inspecciones@bomberossabaneta.com;girlesa.ruiz@servipilas.com;joriescobar64@gmail.com</v>
      </c>
      <c r="G527" s="95">
        <v>44396</v>
      </c>
      <c r="H527" s="28" t="s">
        <v>428</v>
      </c>
      <c r="I527" s="95">
        <v>44392</v>
      </c>
      <c r="J527" s="38">
        <v>2132</v>
      </c>
      <c r="K527" s="23">
        <v>259473</v>
      </c>
      <c r="L527" s="23"/>
      <c r="M527" s="24">
        <v>0</v>
      </c>
      <c r="N527" s="25"/>
      <c r="O527" s="24">
        <v>0</v>
      </c>
      <c r="P527" s="136">
        <f>+IF(PROVEEDORES[[#This Row],[SUBTOTAL]]&lt;PROVEEDORES[[#This Row],[base retencion]],0,PROVEEDORES[[#This Row],[retención aplicada]])</f>
        <v>0</v>
      </c>
      <c r="Q527" s="24">
        <f>+PROVEEDORES[[#This Row],[Rete Fuente %]]*PROVEEDORES[[#This Row],[SUBTOTAL]]</f>
        <v>0</v>
      </c>
      <c r="R527" s="23">
        <v>259473</v>
      </c>
      <c r="S52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7" s="99">
        <f ca="1">IF(PROVEEDORES[[#This Row],[FECHA DE PAGO]]=0,TODAY()-PROVEEDORES[[#This Row],[FECHA DE FACTURACIÓN]]-PROVEEDORES[[#This Row],[PLAZO Días]],0)</f>
        <v>0</v>
      </c>
      <c r="U527" s="149">
        <f>+VLOOKUP(PROVEEDORES[[#This Row],[PROVEEDOR]],Terceros!$A:$E,5,FALSE)</f>
        <v>0</v>
      </c>
      <c r="V527" s="150">
        <f>+YEAR(PROVEEDORES[[#This Row],[FECHA DE FACTURACIÓN]])</f>
        <v>2021</v>
      </c>
      <c r="W527" s="150">
        <f>+MATCH(PROVEEDORES[[#This Row],[año facturado]],Retenciones!$1:$1,0)</f>
        <v>4</v>
      </c>
      <c r="X527" s="151">
        <f>+VLOOKUP(PROVEEDORES[[#This Row],[ID RETENCION]],Retenciones!$A$1:$O$24,PROVEEDORES[[#This Row],[indicador de columna]],FALSE)</f>
        <v>0</v>
      </c>
      <c r="Y527" s="152">
        <f>+VLOOKUP(PROVEEDORES[[#This Row],[ID RETENCION]],Retenciones!$A$1:$O$24,2,FALSE)</f>
        <v>0</v>
      </c>
      <c r="Z527" s="26"/>
      <c r="AA527" s="26"/>
      <c r="AB527" s="26"/>
      <c r="AC527" s="26"/>
      <c r="AD527" s="26"/>
      <c r="AE527" s="26"/>
    </row>
    <row r="528" spans="1:31" ht="21.95" customHeight="1" x14ac:dyDescent="0.25">
      <c r="A528" s="97" t="str">
        <f>+IF(PROVEEDORES[[#This Row],[FECHA DE PAGO]]=PROVEEDORES[[#This Row],[FECHA DE FACTURACIÓN]],"DE CONTADO","CRÉDITO")</f>
        <v>CRÉDITO</v>
      </c>
      <c r="B528" s="41" t="str">
        <f>+IF((PROVEEDORES[[#This Row],[FECHA DE PAGO]]-PROVEEDORES[[#This Row],[FECHA DE FACTURACIÓN]])&gt;PROVEEDORES[[#This Row],[PLAZO Días]],"PAGO VENCIDO")</f>
        <v>PAGO VENCIDO</v>
      </c>
      <c r="C528" s="22">
        <f>+VLOOKUP(PROVEEDORES[[#This Row],[PROVEEDOR]],TERCEROS_INFO[#All],2,FALSE)</f>
        <v>20</v>
      </c>
      <c r="D528" s="27">
        <f>+SUMIFS(PROVEEDORES[Total],PROVEEDORES[PROVEEDOR],PROVEEDORES[[#This Row],[PROVEEDOR]],PROVEEDORES[FECHA DE PAGO],"")</f>
        <v>0</v>
      </c>
      <c r="E528" s="27"/>
      <c r="F528" s="62" t="str">
        <f>+VLOOKUP(PROVEEDORES[[#This Row],[PROVEEDOR]],
                       Terceros!$A:$G,
                       6,
                       FALSE)</f>
        <v>pse</v>
      </c>
      <c r="G528" s="95">
        <v>44399</v>
      </c>
      <c r="H528" s="28" t="s">
        <v>370</v>
      </c>
      <c r="I528" s="95">
        <v>44378</v>
      </c>
      <c r="J528" s="38"/>
      <c r="K528" s="23">
        <v>326232</v>
      </c>
      <c r="L528" s="23"/>
      <c r="M528" s="24">
        <v>0</v>
      </c>
      <c r="N528" s="25"/>
      <c r="O528" s="24">
        <v>0</v>
      </c>
      <c r="P528" s="136">
        <f>+IF(PROVEEDORES[[#This Row],[SUBTOTAL]]&lt;PROVEEDORES[[#This Row],[base retencion]],0,PROVEEDORES[[#This Row],[retención aplicada]])</f>
        <v>0</v>
      </c>
      <c r="Q528" s="24">
        <f>+PROVEEDORES[[#This Row],[Rete Fuente %]]*PROVEEDORES[[#This Row],[SUBTOTAL]]</f>
        <v>0</v>
      </c>
      <c r="R528" s="23">
        <v>326232</v>
      </c>
      <c r="S52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8" s="99">
        <f ca="1">IF(PROVEEDORES[[#This Row],[FECHA DE PAGO]]=0,TODAY()-PROVEEDORES[[#This Row],[FECHA DE FACTURACIÓN]]-PROVEEDORES[[#This Row],[PLAZO Días]],0)</f>
        <v>0</v>
      </c>
      <c r="U528" s="149">
        <f>+VLOOKUP(PROVEEDORES[[#This Row],[PROVEEDOR]],Terceros!$A:$E,5,FALSE)</f>
        <v>0</v>
      </c>
      <c r="V528" s="150">
        <f>+YEAR(PROVEEDORES[[#This Row],[FECHA DE FACTURACIÓN]])</f>
        <v>2021</v>
      </c>
      <c r="W528" s="150">
        <f>+MATCH(PROVEEDORES[[#This Row],[año facturado]],Retenciones!$1:$1,0)</f>
        <v>4</v>
      </c>
      <c r="X528" s="151">
        <f>+VLOOKUP(PROVEEDORES[[#This Row],[ID RETENCION]],Retenciones!$A$1:$O$24,PROVEEDORES[[#This Row],[indicador de columna]],FALSE)</f>
        <v>0</v>
      </c>
      <c r="Y528" s="152">
        <f>+VLOOKUP(PROVEEDORES[[#This Row],[ID RETENCION]],Retenciones!$A$1:$O$24,2,FALSE)</f>
        <v>0</v>
      </c>
      <c r="Z528" s="26"/>
      <c r="AA528" s="26"/>
      <c r="AB528" s="26"/>
      <c r="AC528" s="26"/>
      <c r="AD528" s="26"/>
      <c r="AE528" s="26"/>
    </row>
    <row r="529" spans="1:31" ht="21.95" customHeight="1" x14ac:dyDescent="0.25">
      <c r="A529" s="97" t="str">
        <f>+IF(PROVEEDORES[[#This Row],[FECHA DE PAGO]]=PROVEEDORES[[#This Row],[FECHA DE FACTURACIÓN]],"DE CONTADO","CRÉDITO")</f>
        <v>CRÉDITO</v>
      </c>
      <c r="B529" s="41" t="b">
        <f>+IF((PROVEEDORES[[#This Row],[FECHA DE PAGO]]-PROVEEDORES[[#This Row],[FECHA DE FACTURACIÓN]])&gt;PROVEEDORES[[#This Row],[PLAZO Días]],"PAGO VENCIDO")</f>
        <v>0</v>
      </c>
      <c r="C529" s="22">
        <f>+VLOOKUP(PROVEEDORES[[#This Row],[PROVEEDOR]],TERCEROS_INFO[#All],2,FALSE)</f>
        <v>60</v>
      </c>
      <c r="D529" s="27">
        <f>+SUMIFS(PROVEEDORES[Total],PROVEEDORES[PROVEEDOR],PROVEEDORES[[#This Row],[PROVEEDOR]],PROVEEDORES[FECHA DE PAGO],"")</f>
        <v>0</v>
      </c>
      <c r="E529" s="27"/>
      <c r="F529" s="62" t="str">
        <f>+VLOOKUP(PROVEEDORES[[#This Row],[PROVEEDOR]],
                       Terceros!$A:$G,
                       6,
                       FALSE)</f>
        <v>pse</v>
      </c>
      <c r="G529" s="95">
        <v>44404</v>
      </c>
      <c r="H529" s="28" t="s">
        <v>378</v>
      </c>
      <c r="I529" s="95">
        <v>44366</v>
      </c>
      <c r="J529" s="38" t="s">
        <v>737</v>
      </c>
      <c r="K529" s="23">
        <v>1264021</v>
      </c>
      <c r="L529" s="23"/>
      <c r="M529" s="24">
        <v>0</v>
      </c>
      <c r="N529" s="25"/>
      <c r="O529" s="24">
        <v>0</v>
      </c>
      <c r="P529" s="136">
        <f>+IF(PROVEEDORES[[#This Row],[SUBTOTAL]]&lt;PROVEEDORES[[#This Row],[base retencion]],0,PROVEEDORES[[#This Row],[retención aplicada]])</f>
        <v>0</v>
      </c>
      <c r="Q529" s="24">
        <f>+PROVEEDORES[[#This Row],[Rete Fuente %]]*PROVEEDORES[[#This Row],[SUBTOTAL]]</f>
        <v>0</v>
      </c>
      <c r="R529" s="23">
        <v>1264021</v>
      </c>
      <c r="S52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9" s="99">
        <f ca="1">IF(PROVEEDORES[[#This Row],[FECHA DE PAGO]]=0,TODAY()-PROVEEDORES[[#This Row],[FECHA DE FACTURACIÓN]]-PROVEEDORES[[#This Row],[PLAZO Días]],0)</f>
        <v>0</v>
      </c>
      <c r="U529" s="149">
        <f>+VLOOKUP(PROVEEDORES[[#This Row],[PROVEEDOR]],Terceros!$A:$E,5,FALSE)</f>
        <v>0</v>
      </c>
      <c r="V529" s="150">
        <f>+YEAR(PROVEEDORES[[#This Row],[FECHA DE FACTURACIÓN]])</f>
        <v>2021</v>
      </c>
      <c r="W529" s="150">
        <f>+MATCH(PROVEEDORES[[#This Row],[año facturado]],Retenciones!$1:$1,0)</f>
        <v>4</v>
      </c>
      <c r="X529" s="151">
        <f>+VLOOKUP(PROVEEDORES[[#This Row],[ID RETENCION]],Retenciones!$A$1:$O$24,PROVEEDORES[[#This Row],[indicador de columna]],FALSE)</f>
        <v>0</v>
      </c>
      <c r="Y529" s="152">
        <f>+VLOOKUP(PROVEEDORES[[#This Row],[ID RETENCION]],Retenciones!$A$1:$O$24,2,FALSE)</f>
        <v>0</v>
      </c>
      <c r="Z529" s="26"/>
      <c r="AA529" s="26"/>
      <c r="AB529" s="26"/>
      <c r="AC529" s="26"/>
      <c r="AD529" s="26"/>
      <c r="AE529" s="26"/>
    </row>
    <row r="530" spans="1:31" ht="21.95" customHeight="1" x14ac:dyDescent="0.25">
      <c r="A530" s="97" t="str">
        <f>+IF(PROVEEDORES[[#This Row],[FECHA DE PAGO]]=PROVEEDORES[[#This Row],[FECHA DE FACTURACIÓN]],"DE CONTADO","CRÉDITO")</f>
        <v>CRÉDITO</v>
      </c>
      <c r="B530" s="41" t="str">
        <f>+IF((PROVEEDORES[[#This Row],[FECHA DE PAGO]]-PROVEEDORES[[#This Row],[FECHA DE FACTURACIÓN]])&gt;PROVEEDORES[[#This Row],[PLAZO Días]],"PAGO VENCIDO")</f>
        <v>PAGO VENCIDO</v>
      </c>
      <c r="C530" s="22">
        <f>+VLOOKUP(PROVEEDORES[[#This Row],[PROVEEDOR]],TERCEROS_INFO[#All],2,FALSE)</f>
        <v>13</v>
      </c>
      <c r="D530" s="27">
        <f>+SUMIFS(PROVEEDORES[Total],PROVEEDORES[PROVEEDOR],PROVEEDORES[[#This Row],[PROVEEDOR]],PROVEEDORES[FECHA DE PAGO],"")</f>
        <v>2130283</v>
      </c>
      <c r="E530" s="27"/>
      <c r="F530" s="62">
        <f>+VLOOKUP(PROVEEDORES[[#This Row],[PROVEEDOR]],
                       Terceros!$A:$G,
                       6,
                       FALSE)</f>
        <v>0</v>
      </c>
      <c r="G530" s="95">
        <v>44425</v>
      </c>
      <c r="H530" s="28" t="s">
        <v>326</v>
      </c>
      <c r="I530" s="95">
        <v>44409</v>
      </c>
      <c r="J530" s="38" t="s">
        <v>328</v>
      </c>
      <c r="K530" s="23">
        <v>313385</v>
      </c>
      <c r="L530" s="23"/>
      <c r="M530" s="24">
        <v>0</v>
      </c>
      <c r="N530" s="25"/>
      <c r="O530" s="24">
        <v>0</v>
      </c>
      <c r="P530" s="136">
        <f>+IF(PROVEEDORES[[#This Row],[SUBTOTAL]]&lt;PROVEEDORES[[#This Row],[base retencion]],0,PROVEEDORES[[#This Row],[retención aplicada]])</f>
        <v>0</v>
      </c>
      <c r="Q530" s="24">
        <f>+PROVEEDORES[[#This Row],[Rete Fuente %]]*PROVEEDORES[[#This Row],[SUBTOTAL]]</f>
        <v>0</v>
      </c>
      <c r="R530" s="23">
        <v>313385</v>
      </c>
      <c r="S53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0" s="99">
        <f ca="1">IF(PROVEEDORES[[#This Row],[FECHA DE PAGO]]=0,TODAY()-PROVEEDORES[[#This Row],[FECHA DE FACTURACIÓN]]-PROVEEDORES[[#This Row],[PLAZO Días]],0)</f>
        <v>0</v>
      </c>
      <c r="U530" s="149">
        <f>+VLOOKUP(PROVEEDORES[[#This Row],[PROVEEDOR]],Terceros!$A:$E,5,FALSE)</f>
        <v>0</v>
      </c>
      <c r="V530" s="150">
        <f>+YEAR(PROVEEDORES[[#This Row],[FECHA DE FACTURACIÓN]])</f>
        <v>2021</v>
      </c>
      <c r="W530" s="150">
        <f>+MATCH(PROVEEDORES[[#This Row],[año facturado]],Retenciones!$1:$1,0)</f>
        <v>4</v>
      </c>
      <c r="X530" s="151">
        <f>+VLOOKUP(PROVEEDORES[[#This Row],[ID RETENCION]],Retenciones!$A$1:$O$24,PROVEEDORES[[#This Row],[indicador de columna]],FALSE)</f>
        <v>0</v>
      </c>
      <c r="Y530" s="152">
        <f>+VLOOKUP(PROVEEDORES[[#This Row],[ID RETENCION]],Retenciones!$A$1:$O$24,2,FALSE)</f>
        <v>0</v>
      </c>
      <c r="Z530" s="26"/>
      <c r="AA530" s="26"/>
      <c r="AB530" s="26"/>
      <c r="AC530" s="26"/>
      <c r="AD530" s="26"/>
      <c r="AE530" s="26"/>
    </row>
    <row r="531" spans="1:31" ht="21.95" customHeight="1" x14ac:dyDescent="0.25">
      <c r="A531" s="97" t="str">
        <f>+IF(PROVEEDORES[[#This Row],[FECHA DE PAGO]]=PROVEEDORES[[#This Row],[FECHA DE FACTURACIÓN]],"DE CONTADO","CRÉDITO")</f>
        <v>CRÉDITO</v>
      </c>
      <c r="B531" s="41" t="b">
        <f>+IF((PROVEEDORES[[#This Row],[FECHA DE PAGO]]-PROVEEDORES[[#This Row],[FECHA DE FACTURACIÓN]])&gt;PROVEEDORES[[#This Row],[PLAZO Días]],"PAGO VENCIDO")</f>
        <v>0</v>
      </c>
      <c r="C531" s="22">
        <f>+VLOOKUP(PROVEEDORES[[#This Row],[PROVEEDOR]],TERCEROS_INFO[#All],2,FALSE)</f>
        <v>20</v>
      </c>
      <c r="D531" s="27">
        <f>+SUMIFS(PROVEEDORES[Total],PROVEEDORES[PROVEEDOR],PROVEEDORES[[#This Row],[PROVEEDOR]],PROVEEDORES[FECHA DE PAGO],"")</f>
        <v>0</v>
      </c>
      <c r="E531" s="27"/>
      <c r="F531" s="62" t="str">
        <f>+VLOOKUP(PROVEEDORES[[#This Row],[PROVEEDOR]],
                       Terceros!$A:$G,
                       6,
                       FALSE)</f>
        <v>pse</v>
      </c>
      <c r="G531" s="95">
        <v>44425</v>
      </c>
      <c r="H531" s="28" t="s">
        <v>370</v>
      </c>
      <c r="I531" s="95">
        <v>44409</v>
      </c>
      <c r="J531" s="38"/>
      <c r="K531" s="23">
        <v>326232</v>
      </c>
      <c r="L531" s="23"/>
      <c r="M531" s="24">
        <v>0</v>
      </c>
      <c r="N531" s="25"/>
      <c r="O531" s="24">
        <v>0</v>
      </c>
      <c r="P531" s="136">
        <f>+IF(PROVEEDORES[[#This Row],[SUBTOTAL]]&lt;PROVEEDORES[[#This Row],[base retencion]],0,PROVEEDORES[[#This Row],[retención aplicada]])</f>
        <v>0</v>
      </c>
      <c r="Q531" s="24">
        <f>+PROVEEDORES[[#This Row],[Rete Fuente %]]*PROVEEDORES[[#This Row],[SUBTOTAL]]</f>
        <v>0</v>
      </c>
      <c r="R531" s="23">
        <v>326232</v>
      </c>
      <c r="S53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1" s="99">
        <f ca="1">IF(PROVEEDORES[[#This Row],[FECHA DE PAGO]]=0,TODAY()-PROVEEDORES[[#This Row],[FECHA DE FACTURACIÓN]]-PROVEEDORES[[#This Row],[PLAZO Días]],0)</f>
        <v>0</v>
      </c>
      <c r="U531" s="149">
        <f>+VLOOKUP(PROVEEDORES[[#This Row],[PROVEEDOR]],Terceros!$A:$E,5,FALSE)</f>
        <v>0</v>
      </c>
      <c r="V531" s="150">
        <f>+YEAR(PROVEEDORES[[#This Row],[FECHA DE FACTURACIÓN]])</f>
        <v>2021</v>
      </c>
      <c r="W531" s="150">
        <f>+MATCH(PROVEEDORES[[#This Row],[año facturado]],Retenciones!$1:$1,0)</f>
        <v>4</v>
      </c>
      <c r="X531" s="151">
        <f>+VLOOKUP(PROVEEDORES[[#This Row],[ID RETENCION]],Retenciones!$A$1:$O$24,PROVEEDORES[[#This Row],[indicador de columna]],FALSE)</f>
        <v>0</v>
      </c>
      <c r="Y531" s="152">
        <f>+VLOOKUP(PROVEEDORES[[#This Row],[ID RETENCION]],Retenciones!$A$1:$O$24,2,FALSE)</f>
        <v>0</v>
      </c>
      <c r="Z531" s="26"/>
      <c r="AA531" s="26"/>
      <c r="AB531" s="26"/>
      <c r="AC531" s="26"/>
      <c r="AD531" s="26"/>
      <c r="AE531" s="26"/>
    </row>
    <row r="532" spans="1:31" ht="21.95" customHeight="1" x14ac:dyDescent="0.25">
      <c r="A532" s="97" t="str">
        <f>+IF(PROVEEDORES[[#This Row],[FECHA DE PAGO]]=PROVEEDORES[[#This Row],[FECHA DE FACTURACIÓN]],"DE CONTADO","CRÉDITO")</f>
        <v>CRÉDITO</v>
      </c>
      <c r="B532" s="41" t="b">
        <f>+IF((PROVEEDORES[[#This Row],[FECHA DE PAGO]]-PROVEEDORES[[#This Row],[FECHA DE FACTURACIÓN]])&gt;PROVEEDORES[[#This Row],[PLAZO Días]],"PAGO VENCIDO")</f>
        <v>0</v>
      </c>
      <c r="C532" s="22">
        <f>+VLOOKUP(PROVEEDORES[[#This Row],[PROVEEDOR]],TERCEROS_INFO[#All],2,FALSE)</f>
        <v>30</v>
      </c>
      <c r="D532" s="27">
        <f>+SUMIFS(PROVEEDORES[Total],PROVEEDORES[PROVEEDOR],PROVEEDORES[[#This Row],[PROVEEDOR]],PROVEEDORES[FECHA DE PAGO],"")</f>
        <v>0</v>
      </c>
      <c r="E532" s="27"/>
      <c r="F532" s="62" t="str">
        <f>+VLOOKUP(PROVEEDORES[[#This Row],[PROVEEDOR]],
                       Terceros!$A:$G,
                       6,
                       FALSE)</f>
        <v>PSE</v>
      </c>
      <c r="G532" s="95">
        <v>44425</v>
      </c>
      <c r="H532" s="28" t="s">
        <v>350</v>
      </c>
      <c r="I532" s="95">
        <v>44409</v>
      </c>
      <c r="J532" s="38" t="s">
        <v>351</v>
      </c>
      <c r="K532" s="23">
        <v>727051</v>
      </c>
      <c r="L532" s="23"/>
      <c r="M532" s="24">
        <v>0</v>
      </c>
      <c r="N532" s="25"/>
      <c r="O532" s="24">
        <v>0</v>
      </c>
      <c r="P532" s="136">
        <f>+IF(PROVEEDORES[[#This Row],[SUBTOTAL]]&lt;PROVEEDORES[[#This Row],[base retencion]],0,PROVEEDORES[[#This Row],[retención aplicada]])</f>
        <v>0</v>
      </c>
      <c r="Q532" s="24">
        <f>+PROVEEDORES[[#This Row],[Rete Fuente %]]*PROVEEDORES[[#This Row],[SUBTOTAL]]</f>
        <v>0</v>
      </c>
      <c r="R532" s="23">
        <v>727051</v>
      </c>
      <c r="S53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2" s="99">
        <f ca="1">IF(PROVEEDORES[[#This Row],[FECHA DE PAGO]]=0,TODAY()-PROVEEDORES[[#This Row],[FECHA DE FACTURACIÓN]]-PROVEEDORES[[#This Row],[PLAZO Días]],0)</f>
        <v>0</v>
      </c>
      <c r="U532" s="149">
        <f>+VLOOKUP(PROVEEDORES[[#This Row],[PROVEEDOR]],Terceros!$A:$E,5,FALSE)</f>
        <v>0</v>
      </c>
      <c r="V532" s="150">
        <f>+YEAR(PROVEEDORES[[#This Row],[FECHA DE FACTURACIÓN]])</f>
        <v>2021</v>
      </c>
      <c r="W532" s="150">
        <f>+MATCH(PROVEEDORES[[#This Row],[año facturado]],Retenciones!$1:$1,0)</f>
        <v>4</v>
      </c>
      <c r="X532" s="151">
        <f>+VLOOKUP(PROVEEDORES[[#This Row],[ID RETENCION]],Retenciones!$A$1:$O$24,PROVEEDORES[[#This Row],[indicador de columna]],FALSE)</f>
        <v>0</v>
      </c>
      <c r="Y532" s="152">
        <f>+VLOOKUP(PROVEEDORES[[#This Row],[ID RETENCION]],Retenciones!$A$1:$O$24,2,FALSE)</f>
        <v>0</v>
      </c>
      <c r="Z532" s="26"/>
      <c r="AA532" s="26"/>
      <c r="AB532" s="26"/>
      <c r="AC532" s="26"/>
      <c r="AD532" s="26"/>
      <c r="AE532" s="26"/>
    </row>
    <row r="533" spans="1:31" ht="21.95" customHeight="1" x14ac:dyDescent="0.25">
      <c r="A533" s="97" t="str">
        <f>+IF(PROVEEDORES[[#This Row],[FECHA DE PAGO]]=PROVEEDORES[[#This Row],[FECHA DE FACTURACIÓN]],"DE CONTADO","CRÉDITO")</f>
        <v>CRÉDITO</v>
      </c>
      <c r="B533" s="41" t="b">
        <f>+IF((PROVEEDORES[[#This Row],[FECHA DE PAGO]]-PROVEEDORES[[#This Row],[FECHA DE FACTURACIÓN]])&gt;PROVEEDORES[[#This Row],[PLAZO Días]],"PAGO VENCIDO")</f>
        <v>0</v>
      </c>
      <c r="C533" s="22">
        <f>+VLOOKUP(PROVEEDORES[[#This Row],[PROVEEDOR]],TERCEROS_INFO[#All],2,FALSE)</f>
        <v>30</v>
      </c>
      <c r="D533" s="27">
        <f>+SUMIFS(PROVEEDORES[Total],PROVEEDORES[PROVEEDOR],PROVEEDORES[[#This Row],[PROVEEDOR]],PROVEEDORES[FECHA DE PAGO],"")</f>
        <v>264406</v>
      </c>
      <c r="E533" s="27"/>
      <c r="F533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533" s="95">
        <v>44379</v>
      </c>
      <c r="H533" s="28" t="s">
        <v>390</v>
      </c>
      <c r="I533" s="95">
        <v>44378</v>
      </c>
      <c r="J533" s="38" t="s">
        <v>750</v>
      </c>
      <c r="K533" s="23">
        <v>1791000</v>
      </c>
      <c r="L533" s="23"/>
      <c r="M533" s="24">
        <v>0</v>
      </c>
      <c r="N533" s="25"/>
      <c r="O533" s="24">
        <v>0</v>
      </c>
      <c r="P533" s="136">
        <f>+IF(PROVEEDORES[[#This Row],[SUBTOTAL]]&lt;PROVEEDORES[[#This Row],[base retencion]],0,PROVEEDORES[[#This Row],[retención aplicada]])</f>
        <v>0</v>
      </c>
      <c r="Q533" s="24">
        <f>+PROVEEDORES[[#This Row],[Rete Fuente %]]*PROVEEDORES[[#This Row],[SUBTOTAL]]</f>
        <v>0</v>
      </c>
      <c r="R533" s="23">
        <v>1791000</v>
      </c>
      <c r="S53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3" s="99">
        <f ca="1">IF(PROVEEDORES[[#This Row],[FECHA DE PAGO]]=0,TODAY()-PROVEEDORES[[#This Row],[FECHA DE FACTURACIÓN]]-PROVEEDORES[[#This Row],[PLAZO Días]],0)</f>
        <v>0</v>
      </c>
      <c r="U533" s="149">
        <f>+VLOOKUP(PROVEEDORES[[#This Row],[PROVEEDOR]],Terceros!$A:$E,5,FALSE)</f>
        <v>0</v>
      </c>
      <c r="V533" s="150">
        <f>+YEAR(PROVEEDORES[[#This Row],[FECHA DE FACTURACIÓN]])</f>
        <v>2021</v>
      </c>
      <c r="W533" s="150">
        <f>+MATCH(PROVEEDORES[[#This Row],[año facturado]],Retenciones!$1:$1,0)</f>
        <v>4</v>
      </c>
      <c r="X533" s="151">
        <f>+VLOOKUP(PROVEEDORES[[#This Row],[ID RETENCION]],Retenciones!$A$1:$O$24,PROVEEDORES[[#This Row],[indicador de columna]],FALSE)</f>
        <v>0</v>
      </c>
      <c r="Y533" s="152">
        <f>+VLOOKUP(PROVEEDORES[[#This Row],[ID RETENCION]],Retenciones!$A$1:$O$24,2,FALSE)</f>
        <v>0</v>
      </c>
      <c r="Z533" s="26"/>
      <c r="AA533" s="26"/>
      <c r="AB533" s="26"/>
      <c r="AC533" s="26"/>
      <c r="AD533" s="26"/>
      <c r="AE533" s="26"/>
    </row>
    <row r="534" spans="1:31" ht="21.95" customHeight="1" x14ac:dyDescent="0.25">
      <c r="A534" s="97" t="str">
        <f>+IF(PROVEEDORES[[#This Row],[FECHA DE PAGO]]=PROVEEDORES[[#This Row],[FECHA DE FACTURACIÓN]],"DE CONTADO","CRÉDITO")</f>
        <v>CRÉDITO</v>
      </c>
      <c r="B534" s="41" t="b">
        <f>+IF((PROVEEDORES[[#This Row],[FECHA DE PAGO]]-PROVEEDORES[[#This Row],[FECHA DE FACTURACIÓN]])&gt;PROVEEDORES[[#This Row],[PLAZO Días]],"PAGO VENCIDO")</f>
        <v>0</v>
      </c>
      <c r="C534" s="22">
        <f>+VLOOKUP(PROVEEDORES[[#This Row],[PROVEEDOR]],TERCEROS_INFO[#All],2,FALSE)</f>
        <v>10</v>
      </c>
      <c r="D534" s="27">
        <f>+SUMIFS(PROVEEDORES[Total],PROVEEDORES[PROVEEDOR],PROVEEDORES[[#This Row],[PROVEEDOR]],PROVEEDORES[FECHA DE PAGO],"")</f>
        <v>0</v>
      </c>
      <c r="E534" s="27"/>
      <c r="F534" s="62">
        <f>+VLOOKUP(PROVEEDORES[[#This Row],[PROVEEDOR]],
                       Terceros!$A:$G,
                       6,
                       FALSE)</f>
        <v>0</v>
      </c>
      <c r="G534" s="95">
        <v>44379</v>
      </c>
      <c r="H534" s="28" t="s">
        <v>391</v>
      </c>
      <c r="I534" s="95">
        <v>44378</v>
      </c>
      <c r="J534" s="38" t="s">
        <v>421</v>
      </c>
      <c r="K534" s="23">
        <v>1860000</v>
      </c>
      <c r="L534" s="23"/>
      <c r="M534" s="24">
        <v>0</v>
      </c>
      <c r="N534" s="25"/>
      <c r="O534" s="24">
        <v>0</v>
      </c>
      <c r="P534" s="136">
        <f>+IF(PROVEEDORES[[#This Row],[SUBTOTAL]]&lt;PROVEEDORES[[#This Row],[base retencion]],0,PROVEEDORES[[#This Row],[retención aplicada]])</f>
        <v>0</v>
      </c>
      <c r="Q534" s="24">
        <f>+PROVEEDORES[[#This Row],[Rete Fuente %]]*PROVEEDORES[[#This Row],[SUBTOTAL]]</f>
        <v>0</v>
      </c>
      <c r="R534" s="23">
        <v>1860000</v>
      </c>
      <c r="S53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4" s="99">
        <f ca="1">IF(PROVEEDORES[[#This Row],[FECHA DE PAGO]]=0,TODAY()-PROVEEDORES[[#This Row],[FECHA DE FACTURACIÓN]]-PROVEEDORES[[#This Row],[PLAZO Días]],0)</f>
        <v>0</v>
      </c>
      <c r="U534" s="149">
        <f>+VLOOKUP(PROVEEDORES[[#This Row],[PROVEEDOR]],Terceros!$A:$E,5,FALSE)</f>
        <v>0</v>
      </c>
      <c r="V534" s="150">
        <f>+YEAR(PROVEEDORES[[#This Row],[FECHA DE FACTURACIÓN]])</f>
        <v>2021</v>
      </c>
      <c r="W534" s="150">
        <f>+MATCH(PROVEEDORES[[#This Row],[año facturado]],Retenciones!$1:$1,0)</f>
        <v>4</v>
      </c>
      <c r="X534" s="151">
        <f>+VLOOKUP(PROVEEDORES[[#This Row],[ID RETENCION]],Retenciones!$A$1:$O$24,PROVEEDORES[[#This Row],[indicador de columna]],FALSE)</f>
        <v>0</v>
      </c>
      <c r="Y534" s="152">
        <f>+VLOOKUP(PROVEEDORES[[#This Row],[ID RETENCION]],Retenciones!$A$1:$O$24,2,FALSE)</f>
        <v>0</v>
      </c>
      <c r="Z534" s="26"/>
      <c r="AA534" s="26"/>
      <c r="AB534" s="26"/>
      <c r="AC534" s="26"/>
      <c r="AD534" s="26"/>
      <c r="AE534" s="26"/>
    </row>
    <row r="535" spans="1:31" ht="21.95" customHeight="1" x14ac:dyDescent="0.25">
      <c r="A535" s="97" t="str">
        <f>+IF(PROVEEDORES[[#This Row],[FECHA DE PAGO]]=PROVEEDORES[[#This Row],[FECHA DE FACTURACIÓN]],"DE CONTADO","CRÉDITO")</f>
        <v>CRÉDITO</v>
      </c>
      <c r="B535" s="41" t="str">
        <f>+IF((PROVEEDORES[[#This Row],[FECHA DE PAGO]]-PROVEEDORES[[#This Row],[FECHA DE FACTURACIÓN]])&gt;PROVEEDORES[[#This Row],[PLAZO Días]],"PAGO VENCIDO")</f>
        <v>PAGO VENCIDO</v>
      </c>
      <c r="C535" s="22">
        <f>+VLOOKUP(PROVEEDORES[[#This Row],[PROVEEDOR]],TERCEROS_INFO[#All],2,FALSE)</f>
        <v>30</v>
      </c>
      <c r="D535" s="27">
        <f>+SUMIFS(PROVEEDORES[Total],PROVEEDORES[PROVEEDOR],PROVEEDORES[[#This Row],[PROVEEDOR]],PROVEEDORES[FECHA DE PAGO],"")</f>
        <v>3320000</v>
      </c>
      <c r="E535" s="27"/>
      <c r="F535" s="62" t="str">
        <f>+VLOOKUP(PROVEEDORES[[#This Row],[PROVEEDOR]],
                       Terceros!$A:$G,
                       6,
                       FALSE)</f>
        <v>Pygimportadora@gmail.com;girlesa.ruiz@servipilas.com;joriescobar64@gmail.com</v>
      </c>
      <c r="G535" s="95">
        <v>44418</v>
      </c>
      <c r="H535" s="28" t="s">
        <v>1062</v>
      </c>
      <c r="I535" s="95">
        <v>44378</v>
      </c>
      <c r="J535" s="38" t="s">
        <v>422</v>
      </c>
      <c r="K535" s="23">
        <v>2090000</v>
      </c>
      <c r="L535" s="23"/>
      <c r="M535" s="24">
        <v>0</v>
      </c>
      <c r="N535" s="25"/>
      <c r="O535" s="24">
        <v>0</v>
      </c>
      <c r="P535" s="136">
        <f>+IF(PROVEEDORES[[#This Row],[SUBTOTAL]]&lt;PROVEEDORES[[#This Row],[base retencion]],0,PROVEEDORES[[#This Row],[retención aplicada]])</f>
        <v>0</v>
      </c>
      <c r="Q535" s="24">
        <f>+PROVEEDORES[[#This Row],[Rete Fuente %]]*PROVEEDORES[[#This Row],[SUBTOTAL]]</f>
        <v>0</v>
      </c>
      <c r="R535" s="23">
        <v>2090000</v>
      </c>
      <c r="S53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5" s="99">
        <f ca="1">IF(PROVEEDORES[[#This Row],[FECHA DE PAGO]]=0,TODAY()-PROVEEDORES[[#This Row],[FECHA DE FACTURACIÓN]]-PROVEEDORES[[#This Row],[PLAZO Días]],0)</f>
        <v>0</v>
      </c>
      <c r="U535" s="149">
        <f>+VLOOKUP(PROVEEDORES[[#This Row],[PROVEEDOR]],Terceros!$A:$E,5,FALSE)</f>
        <v>0</v>
      </c>
      <c r="V535" s="150">
        <f>+YEAR(PROVEEDORES[[#This Row],[FECHA DE FACTURACIÓN]])</f>
        <v>2021</v>
      </c>
      <c r="W535" s="150">
        <f>+MATCH(PROVEEDORES[[#This Row],[año facturado]],Retenciones!$1:$1,0)</f>
        <v>4</v>
      </c>
      <c r="X535" s="151">
        <f>+VLOOKUP(PROVEEDORES[[#This Row],[ID RETENCION]],Retenciones!$A$1:$O$24,PROVEEDORES[[#This Row],[indicador de columna]],FALSE)</f>
        <v>0</v>
      </c>
      <c r="Y535" s="152">
        <f>+VLOOKUP(PROVEEDORES[[#This Row],[ID RETENCION]],Retenciones!$A$1:$O$24,2,FALSE)</f>
        <v>0</v>
      </c>
      <c r="Z535" s="26"/>
      <c r="AA535" s="26"/>
      <c r="AB535" s="26"/>
      <c r="AC535" s="26"/>
      <c r="AD535" s="26"/>
      <c r="AE535" s="26"/>
    </row>
    <row r="536" spans="1:31" ht="21.95" customHeight="1" x14ac:dyDescent="0.25">
      <c r="A536" s="97" t="str">
        <f>+IF(PROVEEDORES[[#This Row],[FECHA DE PAGO]]=PROVEEDORES[[#This Row],[FECHA DE FACTURACIÓN]],"DE CONTADO","CRÉDITO")</f>
        <v>CRÉDITO</v>
      </c>
      <c r="B536" s="41" t="b">
        <f>+IF((PROVEEDORES[[#This Row],[FECHA DE PAGO]]-PROVEEDORES[[#This Row],[FECHA DE FACTURACIÓN]])&gt;PROVEEDORES[[#This Row],[PLAZO Días]],"PAGO VENCIDO")</f>
        <v>0</v>
      </c>
      <c r="C536" s="22">
        <f>+VLOOKUP(PROVEEDORES[[#This Row],[PROVEEDOR]],TERCEROS_INFO[#All],2,FALSE)</f>
        <v>30</v>
      </c>
      <c r="D536" s="27">
        <f>+SUMIFS(PROVEEDORES[Total],PROVEEDORES[PROVEEDOR],PROVEEDORES[[#This Row],[PROVEEDOR]],PROVEEDORES[FECHA DE PAGO],"")</f>
        <v>0</v>
      </c>
      <c r="E536" s="27"/>
      <c r="F536" s="62" t="str">
        <f>+VLOOKUP(PROVEEDORES[[#This Row],[PROVEEDOR]],
                       Terceros!$A:$G,
                       6,
                       FALSE)</f>
        <v>PSE</v>
      </c>
      <c r="G536" s="95">
        <v>44425</v>
      </c>
      <c r="H536" s="28" t="s">
        <v>350</v>
      </c>
      <c r="I536" s="95">
        <v>44409</v>
      </c>
      <c r="J536" s="38" t="s">
        <v>352</v>
      </c>
      <c r="K536" s="23">
        <v>743959</v>
      </c>
      <c r="L536" s="23"/>
      <c r="M536" s="24">
        <v>0</v>
      </c>
      <c r="N536" s="25"/>
      <c r="O536" s="24">
        <v>0</v>
      </c>
      <c r="P536" s="136">
        <f>+IF(PROVEEDORES[[#This Row],[SUBTOTAL]]&lt;PROVEEDORES[[#This Row],[base retencion]],0,PROVEEDORES[[#This Row],[retención aplicada]])</f>
        <v>0</v>
      </c>
      <c r="Q536" s="24">
        <f>+PROVEEDORES[[#This Row],[Rete Fuente %]]*PROVEEDORES[[#This Row],[SUBTOTAL]]</f>
        <v>0</v>
      </c>
      <c r="R536" s="23">
        <v>743959</v>
      </c>
      <c r="S53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6" s="99">
        <f ca="1">IF(PROVEEDORES[[#This Row],[FECHA DE PAGO]]=0,TODAY()-PROVEEDORES[[#This Row],[FECHA DE FACTURACIÓN]]-PROVEEDORES[[#This Row],[PLAZO Días]],0)</f>
        <v>0</v>
      </c>
      <c r="U536" s="149">
        <f>+VLOOKUP(PROVEEDORES[[#This Row],[PROVEEDOR]],Terceros!$A:$E,5,FALSE)</f>
        <v>0</v>
      </c>
      <c r="V536" s="150">
        <f>+YEAR(PROVEEDORES[[#This Row],[FECHA DE FACTURACIÓN]])</f>
        <v>2021</v>
      </c>
      <c r="W536" s="150">
        <f>+MATCH(PROVEEDORES[[#This Row],[año facturado]],Retenciones!$1:$1,0)</f>
        <v>4</v>
      </c>
      <c r="X536" s="151">
        <f>+VLOOKUP(PROVEEDORES[[#This Row],[ID RETENCION]],Retenciones!$A$1:$O$24,PROVEEDORES[[#This Row],[indicador de columna]],FALSE)</f>
        <v>0</v>
      </c>
      <c r="Y536" s="152">
        <f>+VLOOKUP(PROVEEDORES[[#This Row],[ID RETENCION]],Retenciones!$A$1:$O$24,2,FALSE)</f>
        <v>0</v>
      </c>
      <c r="Z536" s="26"/>
      <c r="AA536" s="26"/>
      <c r="AB536" s="26"/>
      <c r="AC536" s="26"/>
      <c r="AD536" s="26"/>
      <c r="AE536" s="26"/>
    </row>
    <row r="537" spans="1:31" ht="21.95" customHeight="1" x14ac:dyDescent="0.25">
      <c r="A537" s="97" t="str">
        <f>+IF(PROVEEDORES[[#This Row],[FECHA DE PAGO]]=PROVEEDORES[[#This Row],[FECHA DE FACTURACIÓN]],"DE CONTADO","CRÉDITO")</f>
        <v>CRÉDITO</v>
      </c>
      <c r="B537" s="41" t="b">
        <f>+IF((PROVEEDORES[[#This Row],[FECHA DE PAGO]]-PROVEEDORES[[#This Row],[FECHA DE FACTURACIÓN]])&gt;PROVEEDORES[[#This Row],[PLAZO Días]],"PAGO VENCIDO")</f>
        <v>0</v>
      </c>
      <c r="C537" s="22">
        <f>+VLOOKUP(PROVEEDORES[[#This Row],[PROVEEDOR]],TERCEROS_INFO[#All],2,FALSE)</f>
        <v>20</v>
      </c>
      <c r="D537" s="27">
        <f>+SUMIFS(PROVEEDORES[Total],PROVEEDORES[PROVEEDOR],PROVEEDORES[[#This Row],[PROVEEDOR]],PROVEEDORES[FECHA DE PAGO],"")</f>
        <v>0</v>
      </c>
      <c r="E537" s="27"/>
      <c r="F537" s="62" t="str">
        <f>+VLOOKUP(PROVEEDORES[[#This Row],[PROVEEDOR]],
                       Terceros!$A:$G,
                       6,
                       FALSE)</f>
        <v>pse</v>
      </c>
      <c r="G537" s="95">
        <v>44425</v>
      </c>
      <c r="H537" s="28" t="s">
        <v>371</v>
      </c>
      <c r="I537" s="95">
        <v>44409</v>
      </c>
      <c r="J537" s="38"/>
      <c r="K537" s="23">
        <v>866093</v>
      </c>
      <c r="L537" s="23"/>
      <c r="M537" s="24">
        <v>0</v>
      </c>
      <c r="N537" s="25"/>
      <c r="O537" s="24">
        <v>0</v>
      </c>
      <c r="P537" s="136">
        <f>+IF(PROVEEDORES[[#This Row],[SUBTOTAL]]&lt;PROVEEDORES[[#This Row],[base retencion]],0,PROVEEDORES[[#This Row],[retención aplicada]])</f>
        <v>0</v>
      </c>
      <c r="Q537" s="24">
        <f>+PROVEEDORES[[#This Row],[Rete Fuente %]]*PROVEEDORES[[#This Row],[SUBTOTAL]]</f>
        <v>0</v>
      </c>
      <c r="R537" s="23">
        <v>866093</v>
      </c>
      <c r="S53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7" s="99">
        <f ca="1">IF(PROVEEDORES[[#This Row],[FECHA DE PAGO]]=0,TODAY()-PROVEEDORES[[#This Row],[FECHA DE FACTURACIÓN]]-PROVEEDORES[[#This Row],[PLAZO Días]],0)</f>
        <v>0</v>
      </c>
      <c r="U537" s="149">
        <f>+VLOOKUP(PROVEEDORES[[#This Row],[PROVEEDOR]],Terceros!$A:$E,5,FALSE)</f>
        <v>0</v>
      </c>
      <c r="V537" s="150">
        <f>+YEAR(PROVEEDORES[[#This Row],[FECHA DE FACTURACIÓN]])</f>
        <v>2021</v>
      </c>
      <c r="W537" s="150">
        <f>+MATCH(PROVEEDORES[[#This Row],[año facturado]],Retenciones!$1:$1,0)</f>
        <v>4</v>
      </c>
      <c r="X537" s="151">
        <f>+VLOOKUP(PROVEEDORES[[#This Row],[ID RETENCION]],Retenciones!$A$1:$O$24,PROVEEDORES[[#This Row],[indicador de columna]],FALSE)</f>
        <v>0</v>
      </c>
      <c r="Y537" s="152">
        <f>+VLOOKUP(PROVEEDORES[[#This Row],[ID RETENCION]],Retenciones!$A$1:$O$24,2,FALSE)</f>
        <v>0</v>
      </c>
      <c r="Z537" s="26"/>
      <c r="AA537" s="26"/>
      <c r="AB537" s="26"/>
      <c r="AC537" s="26"/>
      <c r="AD537" s="26"/>
      <c r="AE537" s="26"/>
    </row>
    <row r="538" spans="1:31" ht="21.95" customHeight="1" x14ac:dyDescent="0.25">
      <c r="A538" s="97" t="str">
        <f>+IF(PROVEEDORES[[#This Row],[FECHA DE PAGO]]=PROVEEDORES[[#This Row],[FECHA DE FACTURACIÓN]],"DE CONTADO","CRÉDITO")</f>
        <v>CRÉDITO</v>
      </c>
      <c r="B538" s="41" t="b">
        <f>+IF((PROVEEDORES[[#This Row],[FECHA DE PAGO]]-PROVEEDORES[[#This Row],[FECHA DE FACTURACIÓN]])&gt;PROVEEDORES[[#This Row],[PLAZO Días]],"PAGO VENCIDO")</f>
        <v>0</v>
      </c>
      <c r="C538" s="22">
        <f>+VLOOKUP(PROVEEDORES[[#This Row],[PROVEEDOR]],TERCEROS_INFO[#All],2,FALSE)</f>
        <v>30</v>
      </c>
      <c r="D538" s="27">
        <f>+SUMIFS(PROVEEDORES[Total],PROVEEDORES[PROVEEDOR],PROVEEDORES[[#This Row],[PROVEEDOR]],PROVEEDORES[FECHA DE PAGO],"")</f>
        <v>275944.33</v>
      </c>
      <c r="E538" s="27"/>
      <c r="F538" s="62" t="str">
        <f>+VLOOKUP(PROVEEDORES[[#This Row],[PROVEEDOR]],
                       Terceros!$A:$G,
                       6,
                       FALSE)</f>
        <v>facturacion@losmolinos.com.co</v>
      </c>
      <c r="G538" s="95">
        <v>44428</v>
      </c>
      <c r="H538" s="28" t="s">
        <v>342</v>
      </c>
      <c r="I538" s="95">
        <v>44409</v>
      </c>
      <c r="J538" s="38">
        <v>63851</v>
      </c>
      <c r="K538" s="23">
        <v>302624.74</v>
      </c>
      <c r="L538" s="23"/>
      <c r="M538" s="24">
        <v>0</v>
      </c>
      <c r="N538" s="25"/>
      <c r="O538" s="24">
        <v>54722.770000000004</v>
      </c>
      <c r="P538" s="136">
        <f>+IF(PROVEEDORES[[#This Row],[SUBTOTAL]]&lt;PROVEEDORES[[#This Row],[base retencion]],0,PROVEEDORES[[#This Row],[retención aplicada]])</f>
        <v>0</v>
      </c>
      <c r="Q538" s="24">
        <f>+PROVEEDORES[[#This Row],[Rete Fuente %]]*PROVEEDORES[[#This Row],[SUBTOTAL]]</f>
        <v>0</v>
      </c>
      <c r="R538" s="23">
        <v>247901.96999999997</v>
      </c>
      <c r="S53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8" s="99">
        <f ca="1">IF(PROVEEDORES[[#This Row],[FECHA DE PAGO]]=0,TODAY()-PROVEEDORES[[#This Row],[FECHA DE FACTURACIÓN]]-PROVEEDORES[[#This Row],[PLAZO Días]],0)</f>
        <v>0</v>
      </c>
      <c r="U538" s="149">
        <f>+VLOOKUP(PROVEEDORES[[#This Row],[PROVEEDOR]],Terceros!$A:$E,5,FALSE)</f>
        <v>0</v>
      </c>
      <c r="V538" s="150">
        <f>+YEAR(PROVEEDORES[[#This Row],[FECHA DE FACTURACIÓN]])</f>
        <v>2021</v>
      </c>
      <c r="W538" s="150">
        <f>+MATCH(PROVEEDORES[[#This Row],[año facturado]],Retenciones!$1:$1,0)</f>
        <v>4</v>
      </c>
      <c r="X538" s="151">
        <f>+VLOOKUP(PROVEEDORES[[#This Row],[ID RETENCION]],Retenciones!$A$1:$O$24,PROVEEDORES[[#This Row],[indicador de columna]],FALSE)</f>
        <v>0</v>
      </c>
      <c r="Y538" s="152">
        <f>+VLOOKUP(PROVEEDORES[[#This Row],[ID RETENCION]],Retenciones!$A$1:$O$24,2,FALSE)</f>
        <v>0</v>
      </c>
      <c r="Z538" s="26"/>
      <c r="AA538" s="26"/>
      <c r="AB538" s="26"/>
      <c r="AC538" s="26"/>
      <c r="AD538" s="26"/>
      <c r="AE538" s="26"/>
    </row>
    <row r="539" spans="1:31" ht="21.95" customHeight="1" x14ac:dyDescent="0.25">
      <c r="A539" s="97" t="str">
        <f>+IF(PROVEEDORES[[#This Row],[FECHA DE PAGO]]=PROVEEDORES[[#This Row],[FECHA DE FACTURACIÓN]],"DE CONTADO","CRÉDITO")</f>
        <v>CRÉDITO</v>
      </c>
      <c r="B539" s="41" t="str">
        <f>+IF((PROVEEDORES[[#This Row],[FECHA DE PAGO]]-PROVEEDORES[[#This Row],[FECHA DE FACTURACIÓN]])&gt;PROVEEDORES[[#This Row],[PLAZO Días]],"PAGO VENCIDO")</f>
        <v>PAGO VENCIDO</v>
      </c>
      <c r="C539" s="22">
        <f>+VLOOKUP(PROVEEDORES[[#This Row],[PROVEEDOR]],TERCEROS_INFO[#All],2,FALSE)</f>
        <v>30</v>
      </c>
      <c r="D539" s="27">
        <f>+SUMIFS(PROVEEDORES[Total],PROVEEDORES[PROVEEDOR],PROVEEDORES[[#This Row],[PROVEEDOR]],PROVEEDORES[FECHA DE PAGO],"")</f>
        <v>0</v>
      </c>
      <c r="E539" s="27"/>
      <c r="F539" s="62" t="str">
        <f>+VLOOKUP(PROVEEDORES[[#This Row],[PROVEEDOR]],
                       Terceros!$A:$G,
                       6,
                       FALSE)</f>
        <v>propertymarketingsas@hotmail.com;girlesa.ruiz@servipilas.com;joriescobar64@gmail.com</v>
      </c>
      <c r="G539" s="95">
        <v>44432</v>
      </c>
      <c r="H539" s="28" t="s">
        <v>483</v>
      </c>
      <c r="I539" s="95">
        <v>44287</v>
      </c>
      <c r="J539" s="38" t="s">
        <v>324</v>
      </c>
      <c r="K539" s="23">
        <v>2789636</v>
      </c>
      <c r="L539" s="23"/>
      <c r="M539" s="24">
        <v>0</v>
      </c>
      <c r="N539" s="25"/>
      <c r="O539" s="24">
        <v>0</v>
      </c>
      <c r="P539" s="136">
        <f>+IF(PROVEEDORES[[#This Row],[SUBTOTAL]]&lt;PROVEEDORES[[#This Row],[base retencion]],0,PROVEEDORES[[#This Row],[retención aplicada]])</f>
        <v>3.5000000000000003E-2</v>
      </c>
      <c r="Q539" s="24">
        <f>+PROVEEDORES[[#This Row],[Rete Fuente %]]*PROVEEDORES[[#This Row],[SUBTOTAL]]</f>
        <v>97637.260000000009</v>
      </c>
      <c r="R539" s="23">
        <v>2691998.74</v>
      </c>
      <c r="S53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9" s="99">
        <f ca="1">IF(PROVEEDORES[[#This Row],[FECHA DE PAGO]]=0,TODAY()-PROVEEDORES[[#This Row],[FECHA DE FACTURACIÓN]]-PROVEEDORES[[#This Row],[PLAZO Días]],0)</f>
        <v>0</v>
      </c>
      <c r="U539" s="149" t="str">
        <f>+VLOOKUP(PROVEEDORES[[#This Row],[PROVEEDOR]],Terceros!$A:$E,5,FALSE)</f>
        <v>3,5% sin base</v>
      </c>
      <c r="V539" s="150">
        <f>+YEAR(PROVEEDORES[[#This Row],[FECHA DE FACTURACIÓN]])</f>
        <v>2021</v>
      </c>
      <c r="W539" s="150">
        <f>+MATCH(PROVEEDORES[[#This Row],[año facturado]],Retenciones!$1:$1,0)</f>
        <v>4</v>
      </c>
      <c r="X539" s="151">
        <f>+VLOOKUP(PROVEEDORES[[#This Row],[ID RETENCION]],Retenciones!$A$1:$O$24,PROVEEDORES[[#This Row],[indicador de columna]],FALSE)</f>
        <v>0</v>
      </c>
      <c r="Y539" s="152">
        <f>+VLOOKUP(PROVEEDORES[[#This Row],[ID RETENCION]],Retenciones!$A$1:$O$24,2,FALSE)</f>
        <v>3.5000000000000003E-2</v>
      </c>
      <c r="Z539" s="26"/>
      <c r="AA539" s="26"/>
      <c r="AB539" s="26"/>
      <c r="AC539" s="26"/>
      <c r="AD539" s="26"/>
      <c r="AE539" s="26"/>
    </row>
    <row r="540" spans="1:31" ht="21.95" customHeight="1" x14ac:dyDescent="0.25">
      <c r="A540" s="97" t="str">
        <f>+IF(PROVEEDORES[[#This Row],[FECHA DE PAGO]]=PROVEEDORES[[#This Row],[FECHA DE FACTURACIÓN]],"DE CONTADO","CRÉDITO")</f>
        <v>CRÉDITO</v>
      </c>
      <c r="B540" s="41" t="b">
        <f>+IF((PROVEEDORES[[#This Row],[FECHA DE PAGO]]-PROVEEDORES[[#This Row],[FECHA DE FACTURACIÓN]])&gt;PROVEEDORES[[#This Row],[PLAZO Días]],"PAGO VENCIDO")</f>
        <v>0</v>
      </c>
      <c r="C540" s="22">
        <f>+VLOOKUP(PROVEEDORES[[#This Row],[PROVEEDOR]],TERCEROS_INFO[#All],2,FALSE)</f>
        <v>90</v>
      </c>
      <c r="D540" s="27">
        <f>+SUMIFS(PROVEEDORES[Total],PROVEEDORES[PROVEEDOR],PROVEEDORES[[#This Row],[PROVEEDOR]],PROVEEDORES[FECHA DE PAGO],"")</f>
        <v>0</v>
      </c>
      <c r="E540" s="27"/>
      <c r="F540" s="62" t="str">
        <f>+VLOOKUP(PROVEEDORES[[#This Row],[PROVEEDOR]],
                       Terceros!$A:$G,
                       6,
                       FALSE)</f>
        <v/>
      </c>
      <c r="G540" s="95">
        <v>44414</v>
      </c>
      <c r="H540" s="28" t="s">
        <v>1018</v>
      </c>
      <c r="I540" s="95">
        <v>44379</v>
      </c>
      <c r="J540" s="38" t="s">
        <v>751</v>
      </c>
      <c r="K540" s="23">
        <v>773200</v>
      </c>
      <c r="L540" s="23"/>
      <c r="M540" s="24">
        <v>0</v>
      </c>
      <c r="N540" s="25"/>
      <c r="O540" s="24">
        <v>0</v>
      </c>
      <c r="P540" s="136">
        <f>+IF(PROVEEDORES[[#This Row],[SUBTOTAL]]&lt;PROVEEDORES[[#This Row],[base retencion]],0,PROVEEDORES[[#This Row],[retención aplicada]])</f>
        <v>0</v>
      </c>
      <c r="Q540" s="24">
        <f>+PROVEEDORES[[#This Row],[Rete Fuente %]]*PROVEEDORES[[#This Row],[SUBTOTAL]]</f>
        <v>0</v>
      </c>
      <c r="R540" s="23">
        <v>773200</v>
      </c>
      <c r="S54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0" s="99">
        <f ca="1">IF(PROVEEDORES[[#This Row],[FECHA DE PAGO]]=0,TODAY()-PROVEEDORES[[#This Row],[FECHA DE FACTURACIÓN]]-PROVEEDORES[[#This Row],[PLAZO Días]],0)</f>
        <v>0</v>
      </c>
      <c r="U540" s="149">
        <f>+VLOOKUP(PROVEEDORES[[#This Row],[PROVEEDOR]],Terceros!$A:$E,5,FALSE)</f>
        <v>0</v>
      </c>
      <c r="V540" s="150">
        <f>+YEAR(PROVEEDORES[[#This Row],[FECHA DE FACTURACIÓN]])</f>
        <v>2021</v>
      </c>
      <c r="W540" s="150">
        <f>+MATCH(PROVEEDORES[[#This Row],[año facturado]],Retenciones!$1:$1,0)</f>
        <v>4</v>
      </c>
      <c r="X540" s="151">
        <f>+VLOOKUP(PROVEEDORES[[#This Row],[ID RETENCION]],Retenciones!$A$1:$O$24,PROVEEDORES[[#This Row],[indicador de columna]],FALSE)</f>
        <v>0</v>
      </c>
      <c r="Y540" s="152">
        <f>+VLOOKUP(PROVEEDORES[[#This Row],[ID RETENCION]],Retenciones!$A$1:$O$24,2,FALSE)</f>
        <v>0</v>
      </c>
      <c r="Z540" s="26"/>
      <c r="AA540" s="26"/>
      <c r="AB540" s="26"/>
      <c r="AC540" s="26"/>
      <c r="AD540" s="26"/>
      <c r="AE540" s="26"/>
    </row>
    <row r="541" spans="1:31" ht="21.95" customHeight="1" x14ac:dyDescent="0.25">
      <c r="A541" s="97" t="str">
        <f>+IF(PROVEEDORES[[#This Row],[FECHA DE PAGO]]=PROVEEDORES[[#This Row],[FECHA DE FACTURACIÓN]],"DE CONTADO","CRÉDITO")</f>
        <v>CRÉDITO</v>
      </c>
      <c r="B541" s="41" t="str">
        <f>+IF((PROVEEDORES[[#This Row],[FECHA DE PAGO]]-PROVEEDORES[[#This Row],[FECHA DE FACTURACIÓN]])&gt;PROVEEDORES[[#This Row],[PLAZO Días]],"PAGO VENCIDO")</f>
        <v>PAGO VENCIDO</v>
      </c>
      <c r="C541" s="22">
        <f>+VLOOKUP(PROVEEDORES[[#This Row],[PROVEEDOR]],TERCEROS_INFO[#All],2,FALSE)</f>
        <v>30</v>
      </c>
      <c r="D541" s="27">
        <f>+SUMIFS(PROVEEDORES[Total],PROVEEDORES[PROVEEDOR],PROVEEDORES[[#This Row],[PROVEEDOR]],PROVEEDORES[FECHA DE PAGO],"")</f>
        <v>1850000</v>
      </c>
      <c r="E541" s="27"/>
      <c r="F541" s="62" t="str">
        <f>+VLOOKUP(PROVEEDORES[[#This Row],[PROVEEDOR]],
                       Terceros!$A:$G,
                       6,
                       FALSE)</f>
        <v>globalpowerc2018@gmail.com;girlesa.ruiz@servipilas.com;joriescobar64@gmail.com</v>
      </c>
      <c r="G541" s="95">
        <v>44411</v>
      </c>
      <c r="H541" s="28" t="s">
        <v>1051</v>
      </c>
      <c r="I541" s="95">
        <v>44379</v>
      </c>
      <c r="J541" s="38" t="s">
        <v>752</v>
      </c>
      <c r="K541" s="23">
        <v>780000</v>
      </c>
      <c r="L541" s="23"/>
      <c r="M541" s="24">
        <v>0</v>
      </c>
      <c r="N541" s="25"/>
      <c r="O541" s="24">
        <v>0</v>
      </c>
      <c r="P541" s="136">
        <f>+IF(PROVEEDORES[[#This Row],[SUBTOTAL]]&lt;PROVEEDORES[[#This Row],[base retencion]],0,PROVEEDORES[[#This Row],[retención aplicada]])</f>
        <v>0</v>
      </c>
      <c r="Q541" s="24">
        <f>+PROVEEDORES[[#This Row],[Rete Fuente %]]*PROVEEDORES[[#This Row],[SUBTOTAL]]</f>
        <v>0</v>
      </c>
      <c r="R541" s="23">
        <v>780000</v>
      </c>
      <c r="S54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1" s="99">
        <f ca="1">IF(PROVEEDORES[[#This Row],[FECHA DE PAGO]]=0,TODAY()-PROVEEDORES[[#This Row],[FECHA DE FACTURACIÓN]]-PROVEEDORES[[#This Row],[PLAZO Días]],0)</f>
        <v>0</v>
      </c>
      <c r="U541" s="149">
        <f>+VLOOKUP(PROVEEDORES[[#This Row],[PROVEEDOR]],Terceros!$A:$E,5,FALSE)</f>
        <v>0</v>
      </c>
      <c r="V541" s="150">
        <f>+YEAR(PROVEEDORES[[#This Row],[FECHA DE FACTURACIÓN]])</f>
        <v>2021</v>
      </c>
      <c r="W541" s="150">
        <f>+MATCH(PROVEEDORES[[#This Row],[año facturado]],Retenciones!$1:$1,0)</f>
        <v>4</v>
      </c>
      <c r="X541" s="151">
        <f>+VLOOKUP(PROVEEDORES[[#This Row],[ID RETENCION]],Retenciones!$A$1:$O$24,PROVEEDORES[[#This Row],[indicador de columna]],FALSE)</f>
        <v>0</v>
      </c>
      <c r="Y541" s="152">
        <f>+VLOOKUP(PROVEEDORES[[#This Row],[ID RETENCION]],Retenciones!$A$1:$O$24,2,FALSE)</f>
        <v>0</v>
      </c>
      <c r="Z541" s="26"/>
      <c r="AA541" s="26"/>
      <c r="AB541" s="26"/>
      <c r="AC541" s="26"/>
      <c r="AD541" s="26"/>
      <c r="AE541" s="26"/>
    </row>
    <row r="542" spans="1:31" ht="21.95" customHeight="1" x14ac:dyDescent="0.25">
      <c r="A542" s="97" t="str">
        <f>+IF(PROVEEDORES[[#This Row],[FECHA DE PAGO]]=PROVEEDORES[[#This Row],[FECHA DE FACTURACIÓN]],"DE CONTADO","CRÉDITO")</f>
        <v>CRÉDITO</v>
      </c>
      <c r="B542" s="41" t="b">
        <f>+IF((PROVEEDORES[[#This Row],[FECHA DE PAGO]]-PROVEEDORES[[#This Row],[FECHA DE FACTURACIÓN]])&gt;PROVEEDORES[[#This Row],[PLAZO Días]],"PAGO VENCIDO")</f>
        <v>0</v>
      </c>
      <c r="C542" s="22">
        <f>+VLOOKUP(PROVEEDORES[[#This Row],[PROVEEDOR]],TERCEROS_INFO[#All],2,FALSE)</f>
        <v>30</v>
      </c>
      <c r="D542" s="27">
        <f>+SUMIFS(PROVEEDORES[Total],PROVEEDORES[PROVEEDOR],PROVEEDORES[[#This Row],[PROVEEDOR]],PROVEEDORES[FECHA DE PAGO],"")</f>
        <v>0</v>
      </c>
      <c r="E542" s="27"/>
      <c r="F542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542" s="95">
        <v>44404</v>
      </c>
      <c r="H542" s="28" t="s">
        <v>511</v>
      </c>
      <c r="I542" s="95">
        <v>44379</v>
      </c>
      <c r="J542" s="38" t="s">
        <v>489</v>
      </c>
      <c r="K542" s="23">
        <v>4672109</v>
      </c>
      <c r="L542" s="23">
        <v>132825</v>
      </c>
      <c r="M542" s="24">
        <v>862463.96</v>
      </c>
      <c r="N542" s="25"/>
      <c r="O542" s="24">
        <v>0</v>
      </c>
      <c r="P542" s="136">
        <f>+IF(PROVEEDORES[[#This Row],[SUBTOTAL]]&lt;PROVEEDORES[[#This Row],[base retencion]],0,PROVEEDORES[[#This Row],[retención aplicada]])</f>
        <v>0</v>
      </c>
      <c r="Q542" s="24">
        <f>+PROVEEDORES[[#This Row],[Rete Fuente %]]*PROVEEDORES[[#This Row],[SUBTOTAL]]</f>
        <v>0</v>
      </c>
      <c r="R542" s="23">
        <v>5401747.96</v>
      </c>
      <c r="S54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2" s="99">
        <f ca="1">IF(PROVEEDORES[[#This Row],[FECHA DE PAGO]]=0,TODAY()-PROVEEDORES[[#This Row],[FECHA DE FACTURACIÓN]]-PROVEEDORES[[#This Row],[PLAZO Días]],0)</f>
        <v>0</v>
      </c>
      <c r="U542" s="149">
        <f>+VLOOKUP(PROVEEDORES[[#This Row],[PROVEEDOR]],Terceros!$A:$E,5,FALSE)</f>
        <v>0</v>
      </c>
      <c r="V542" s="150">
        <f>+YEAR(PROVEEDORES[[#This Row],[FECHA DE FACTURACIÓN]])</f>
        <v>2021</v>
      </c>
      <c r="W542" s="150">
        <f>+MATCH(PROVEEDORES[[#This Row],[año facturado]],Retenciones!$1:$1,0)</f>
        <v>4</v>
      </c>
      <c r="X542" s="151">
        <f>+VLOOKUP(PROVEEDORES[[#This Row],[ID RETENCION]],Retenciones!$A$1:$O$24,PROVEEDORES[[#This Row],[indicador de columna]],FALSE)</f>
        <v>0</v>
      </c>
      <c r="Y542" s="152">
        <f>+VLOOKUP(PROVEEDORES[[#This Row],[ID RETENCION]],Retenciones!$A$1:$O$24,2,FALSE)</f>
        <v>0</v>
      </c>
      <c r="Z542" s="26"/>
      <c r="AA542" s="26"/>
      <c r="AB542" s="26"/>
      <c r="AC542" s="26"/>
      <c r="AD542" s="26"/>
      <c r="AE542" s="26"/>
    </row>
    <row r="543" spans="1:31" ht="21.95" customHeight="1" x14ac:dyDescent="0.25">
      <c r="A543" s="97" t="str">
        <f>+IF(PROVEEDORES[[#This Row],[FECHA DE PAGO]]=PROVEEDORES[[#This Row],[FECHA DE FACTURACIÓN]],"DE CONTADO","CRÉDITO")</f>
        <v>CRÉDITO</v>
      </c>
      <c r="B543" s="41" t="str">
        <f>+IF((PROVEEDORES[[#This Row],[FECHA DE PAGO]]-PROVEEDORES[[#This Row],[FECHA DE FACTURACIÓN]])&gt;PROVEEDORES[[#This Row],[PLAZO Días]],"PAGO VENCIDO")</f>
        <v>PAGO VENCIDO</v>
      </c>
      <c r="C543" s="22">
        <f>+VLOOKUP(PROVEEDORES[[#This Row],[PROVEEDOR]],TERCEROS_INFO[#All],2,FALSE)</f>
        <v>30</v>
      </c>
      <c r="D543" s="27">
        <f>+SUMIFS(PROVEEDORES[Total],PROVEEDORES[PROVEEDOR],PROVEEDORES[[#This Row],[PROVEEDOR]],PROVEEDORES[FECHA DE PAGO],"")</f>
        <v>0</v>
      </c>
      <c r="E543" s="27"/>
      <c r="F543" s="62" t="str">
        <f>+VLOOKUP(PROVEEDORES[[#This Row],[PROVEEDOR]],
                       Terceros!$A:$G,
                       6,
                       FALSE)</f>
        <v>avelinacomer@gmail.com;girlesa.ruiz@servipilas.com;joriescobar64@gmail.com</v>
      </c>
      <c r="G543" s="95">
        <v>44411</v>
      </c>
      <c r="H543" s="28" t="s">
        <v>994</v>
      </c>
      <c r="I543" s="95">
        <v>44380</v>
      </c>
      <c r="J543" s="38" t="s">
        <v>753</v>
      </c>
      <c r="K543" s="23">
        <v>264000</v>
      </c>
      <c r="L543" s="23"/>
      <c r="M543" s="24">
        <v>0</v>
      </c>
      <c r="N543" s="25">
        <v>0.1</v>
      </c>
      <c r="O543" s="24">
        <v>26400</v>
      </c>
      <c r="P543" s="136">
        <f>+IF(PROVEEDORES[[#This Row],[SUBTOTAL]]&lt;PROVEEDORES[[#This Row],[base retencion]],0,PROVEEDORES[[#This Row],[retención aplicada]])</f>
        <v>0</v>
      </c>
      <c r="Q543" s="24">
        <f>+PROVEEDORES[[#This Row],[Rete Fuente %]]*PROVEEDORES[[#This Row],[SUBTOTAL]]</f>
        <v>0</v>
      </c>
      <c r="R543" s="23">
        <v>237600</v>
      </c>
      <c r="S54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3" s="99">
        <f ca="1">IF(PROVEEDORES[[#This Row],[FECHA DE PAGO]]=0,TODAY()-PROVEEDORES[[#This Row],[FECHA DE FACTURACIÓN]]-PROVEEDORES[[#This Row],[PLAZO Días]],0)</f>
        <v>0</v>
      </c>
      <c r="U543" s="149">
        <f>+VLOOKUP(PROVEEDORES[[#This Row],[PROVEEDOR]],Terceros!$A:$E,5,FALSE)</f>
        <v>0</v>
      </c>
      <c r="V543" s="150">
        <f>+YEAR(PROVEEDORES[[#This Row],[FECHA DE FACTURACIÓN]])</f>
        <v>2021</v>
      </c>
      <c r="W543" s="150">
        <f>+MATCH(PROVEEDORES[[#This Row],[año facturado]],Retenciones!$1:$1,0)</f>
        <v>4</v>
      </c>
      <c r="X543" s="151">
        <f>+VLOOKUP(PROVEEDORES[[#This Row],[ID RETENCION]],Retenciones!$A$1:$O$24,PROVEEDORES[[#This Row],[indicador de columna]],FALSE)</f>
        <v>0</v>
      </c>
      <c r="Y543" s="152">
        <f>+VLOOKUP(PROVEEDORES[[#This Row],[ID RETENCION]],Retenciones!$A$1:$O$24,2,FALSE)</f>
        <v>0</v>
      </c>
      <c r="Z543" s="26"/>
      <c r="AA543" s="26"/>
      <c r="AB543" s="26"/>
      <c r="AC543" s="26"/>
      <c r="AD543" s="26"/>
      <c r="AE543" s="26"/>
    </row>
    <row r="544" spans="1:31" ht="21.95" customHeight="1" x14ac:dyDescent="0.25">
      <c r="A544" s="97" t="str">
        <f>+IF(PROVEEDORES[[#This Row],[FECHA DE PAGO]]=PROVEEDORES[[#This Row],[FECHA DE FACTURACIÓN]],"DE CONTADO","CRÉDITO")</f>
        <v>CRÉDITO</v>
      </c>
      <c r="B544" s="41" t="b">
        <f>+IF((PROVEEDORES[[#This Row],[FECHA DE PAGO]]-PROVEEDORES[[#This Row],[FECHA DE FACTURACIÓN]])&gt;PROVEEDORES[[#This Row],[PLAZO Días]],"PAGO VENCIDO")</f>
        <v>0</v>
      </c>
      <c r="C544" s="22">
        <f>+VLOOKUP(PROVEEDORES[[#This Row],[PROVEEDOR]],TERCEROS_INFO[#All],2,FALSE)</f>
        <v>30</v>
      </c>
      <c r="D544" s="27">
        <f>+SUMIFS(PROVEEDORES[Total],PROVEEDORES[PROVEEDOR],PROVEEDORES[[#This Row],[PROVEEDOR]],PROVEEDORES[FECHA DE PAGO],"")</f>
        <v>395010</v>
      </c>
      <c r="E544" s="27"/>
      <c r="F544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544" s="95">
        <v>44385</v>
      </c>
      <c r="H544" s="28" t="s">
        <v>141</v>
      </c>
      <c r="I544" s="95">
        <v>44380</v>
      </c>
      <c r="J544" s="38">
        <v>112</v>
      </c>
      <c r="K544" s="23">
        <v>341000</v>
      </c>
      <c r="L544" s="23"/>
      <c r="M544" s="24">
        <v>64790</v>
      </c>
      <c r="N544" s="25"/>
      <c r="O544" s="24">
        <v>0</v>
      </c>
      <c r="P544" s="136">
        <f>+IF(PROVEEDORES[[#This Row],[SUBTOTAL]]&lt;PROVEEDORES[[#This Row],[base retencion]],0,PROVEEDORES[[#This Row],[retención aplicada]])</f>
        <v>0.01</v>
      </c>
      <c r="Q544" s="24">
        <f>+PROVEEDORES[[#This Row],[Rete Fuente %]]*PROVEEDORES[[#This Row],[SUBTOTAL]]</f>
        <v>3410</v>
      </c>
      <c r="R544" s="23">
        <v>402380</v>
      </c>
      <c r="S54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4" s="99">
        <f ca="1">IF(PROVEEDORES[[#This Row],[FECHA DE PAGO]]=0,TODAY()-PROVEEDORES[[#This Row],[FECHA DE FACTURACIÓN]]-PROVEEDORES[[#This Row],[PLAZO Días]],0)</f>
        <v>0</v>
      </c>
      <c r="U544" s="149" t="str">
        <f>+VLOOKUP(PROVEEDORES[[#This Row],[PROVEEDOR]],Terceros!$A:$E,5,FALSE)</f>
        <v>1% con base</v>
      </c>
      <c r="V544" s="150">
        <f>+YEAR(PROVEEDORES[[#This Row],[FECHA DE FACTURACIÓN]])</f>
        <v>2021</v>
      </c>
      <c r="W544" s="150">
        <f>+MATCH(PROVEEDORES[[#This Row],[año facturado]],Retenciones!$1:$1,0)</f>
        <v>4</v>
      </c>
      <c r="X544" s="151">
        <f>+VLOOKUP(PROVEEDORES[[#This Row],[ID RETENCION]],Retenciones!$A$1:$O$24,PROVEEDORES[[#This Row],[indicador de columna]],FALSE)</f>
        <v>145000</v>
      </c>
      <c r="Y544" s="152">
        <f>+VLOOKUP(PROVEEDORES[[#This Row],[ID RETENCION]],Retenciones!$A$1:$O$24,2,FALSE)</f>
        <v>0.01</v>
      </c>
      <c r="Z544" s="26"/>
      <c r="AA544" s="26"/>
      <c r="AB544" s="26"/>
      <c r="AC544" s="26"/>
      <c r="AD544" s="26"/>
      <c r="AE544" s="26"/>
    </row>
    <row r="545" spans="1:31" ht="21.95" customHeight="1" x14ac:dyDescent="0.25">
      <c r="A545" s="97" t="str">
        <f>+IF(PROVEEDORES[[#This Row],[FECHA DE PAGO]]=PROVEEDORES[[#This Row],[FECHA DE FACTURACIÓN]],"DE CONTADO","CRÉDITO")</f>
        <v>CRÉDITO</v>
      </c>
      <c r="B545" s="41" t="str">
        <f>+IF((PROVEEDORES[[#This Row],[FECHA DE PAGO]]-PROVEEDORES[[#This Row],[FECHA DE FACTURACIÓN]])&gt;PROVEEDORES[[#This Row],[PLAZO Días]],"PAGO VENCIDO")</f>
        <v>PAGO VENCIDO</v>
      </c>
      <c r="C545" s="22">
        <f>+VLOOKUP(PROVEEDORES[[#This Row],[PROVEEDOR]],TERCEROS_INFO[#All],2,FALSE)</f>
        <v>30</v>
      </c>
      <c r="D545" s="27">
        <f>+SUMIFS(PROVEEDORES[Total],PROVEEDORES[PROVEEDOR],PROVEEDORES[[#This Row],[PROVEEDOR]],PROVEEDORES[FECHA DE PAGO],"")</f>
        <v>0</v>
      </c>
      <c r="E545" s="27"/>
      <c r="F545" s="62" t="str">
        <f>+VLOOKUP(PROVEEDORES[[#This Row],[PROVEEDOR]],
                       Terceros!$A:$G,
                       6,
                       FALSE)</f>
        <v>avelinacomer@gmail.com;girlesa.ruiz@servipilas.com;joriescobar64@gmail.com</v>
      </c>
      <c r="G545" s="95">
        <v>44411</v>
      </c>
      <c r="H545" s="28" t="s">
        <v>994</v>
      </c>
      <c r="I545" s="95">
        <v>44380</v>
      </c>
      <c r="J545" s="38" t="s">
        <v>751</v>
      </c>
      <c r="K545" s="23">
        <v>773200</v>
      </c>
      <c r="L545" s="23"/>
      <c r="M545" s="24">
        <v>0</v>
      </c>
      <c r="N545" s="25">
        <v>0.1</v>
      </c>
      <c r="O545" s="24">
        <v>77320</v>
      </c>
      <c r="P545" s="136">
        <f>+IF(PROVEEDORES[[#This Row],[SUBTOTAL]]&lt;PROVEEDORES[[#This Row],[base retencion]],0,PROVEEDORES[[#This Row],[retención aplicada]])</f>
        <v>0</v>
      </c>
      <c r="Q545" s="24">
        <f>+PROVEEDORES[[#This Row],[Rete Fuente %]]*PROVEEDORES[[#This Row],[SUBTOTAL]]</f>
        <v>0</v>
      </c>
      <c r="R545" s="23">
        <v>695880</v>
      </c>
      <c r="S54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5" s="99">
        <f ca="1">IF(PROVEEDORES[[#This Row],[FECHA DE PAGO]]=0,TODAY()-PROVEEDORES[[#This Row],[FECHA DE FACTURACIÓN]]-PROVEEDORES[[#This Row],[PLAZO Días]],0)</f>
        <v>0</v>
      </c>
      <c r="U545" s="149">
        <f>+VLOOKUP(PROVEEDORES[[#This Row],[PROVEEDOR]],Terceros!$A:$E,5,FALSE)</f>
        <v>0</v>
      </c>
      <c r="V545" s="150">
        <f>+YEAR(PROVEEDORES[[#This Row],[FECHA DE FACTURACIÓN]])</f>
        <v>2021</v>
      </c>
      <c r="W545" s="150">
        <f>+MATCH(PROVEEDORES[[#This Row],[año facturado]],Retenciones!$1:$1,0)</f>
        <v>4</v>
      </c>
      <c r="X545" s="151">
        <f>+VLOOKUP(PROVEEDORES[[#This Row],[ID RETENCION]],Retenciones!$A$1:$O$24,PROVEEDORES[[#This Row],[indicador de columna]],FALSE)</f>
        <v>0</v>
      </c>
      <c r="Y545" s="152">
        <f>+VLOOKUP(PROVEEDORES[[#This Row],[ID RETENCION]],Retenciones!$A$1:$O$24,2,FALSE)</f>
        <v>0</v>
      </c>
      <c r="Z545" s="26"/>
      <c r="AA545" s="26"/>
      <c r="AB545" s="26"/>
      <c r="AC545" s="26"/>
      <c r="AD545" s="26"/>
      <c r="AE545" s="26"/>
    </row>
    <row r="546" spans="1:31" ht="21.95" customHeight="1" x14ac:dyDescent="0.25">
      <c r="A546" s="97" t="str">
        <f>+IF(PROVEEDORES[[#This Row],[FECHA DE PAGO]]=PROVEEDORES[[#This Row],[FECHA DE FACTURACIÓN]],"DE CONTADO","CRÉDITO")</f>
        <v>DE CONTADO</v>
      </c>
      <c r="B546" s="41" t="b">
        <f>+IF((PROVEEDORES[[#This Row],[FECHA DE PAGO]]-PROVEEDORES[[#This Row],[FECHA DE FACTURACIÓN]])&gt;PROVEEDORES[[#This Row],[PLAZO Días]],"PAGO VENCIDO")</f>
        <v>0</v>
      </c>
      <c r="C546" s="22">
        <f>+VLOOKUP(PROVEEDORES[[#This Row],[PROVEEDOR]],TERCEROS_INFO[#All],2,FALSE)</f>
        <v>30</v>
      </c>
      <c r="D546" s="27">
        <f>+SUMIFS(PROVEEDORES[Total],PROVEEDORES[PROVEEDOR],PROVEEDORES[[#This Row],[PROVEEDOR]],PROVEEDORES[FECHA DE PAGO],"")</f>
        <v>0</v>
      </c>
      <c r="E546" s="27"/>
      <c r="F546" s="62" t="str">
        <f>+VLOOKUP(PROVEEDORES[[#This Row],[PROVEEDOR]],
                       Terceros!$A:$G,
                       6,
                       FALSE)</f>
        <v/>
      </c>
      <c r="G546" s="95">
        <v>44380</v>
      </c>
      <c r="H546" s="28" t="s">
        <v>1046</v>
      </c>
      <c r="I546" s="95">
        <v>44380</v>
      </c>
      <c r="J546" s="38"/>
      <c r="K546" s="23">
        <v>1000000</v>
      </c>
      <c r="L546" s="23"/>
      <c r="M546" s="24">
        <v>0</v>
      </c>
      <c r="N546" s="25"/>
      <c r="O546" s="24">
        <v>0</v>
      </c>
      <c r="P546" s="136">
        <f>+IF(PROVEEDORES[[#This Row],[SUBTOTAL]]&lt;PROVEEDORES[[#This Row],[base retencion]],0,PROVEEDORES[[#This Row],[retención aplicada]])</f>
        <v>0</v>
      </c>
      <c r="Q546" s="24">
        <f>+PROVEEDORES[[#This Row],[Rete Fuente %]]*PROVEEDORES[[#This Row],[SUBTOTAL]]</f>
        <v>0</v>
      </c>
      <c r="R546" s="23">
        <v>1000000</v>
      </c>
      <c r="S54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6" s="99">
        <f ca="1">IF(PROVEEDORES[[#This Row],[FECHA DE PAGO]]=0,TODAY()-PROVEEDORES[[#This Row],[FECHA DE FACTURACIÓN]]-PROVEEDORES[[#This Row],[PLAZO Días]],0)</f>
        <v>0</v>
      </c>
      <c r="U546" s="149">
        <f>+VLOOKUP(PROVEEDORES[[#This Row],[PROVEEDOR]],Terceros!$A:$E,5,FALSE)</f>
        <v>0</v>
      </c>
      <c r="V546" s="150">
        <f>+YEAR(PROVEEDORES[[#This Row],[FECHA DE FACTURACIÓN]])</f>
        <v>2021</v>
      </c>
      <c r="W546" s="150">
        <f>+MATCH(PROVEEDORES[[#This Row],[año facturado]],Retenciones!$1:$1,0)</f>
        <v>4</v>
      </c>
      <c r="X546" s="151">
        <f>+VLOOKUP(PROVEEDORES[[#This Row],[ID RETENCION]],Retenciones!$A$1:$O$24,PROVEEDORES[[#This Row],[indicador de columna]],FALSE)</f>
        <v>0</v>
      </c>
      <c r="Y546" s="152">
        <f>+VLOOKUP(PROVEEDORES[[#This Row],[ID RETENCION]],Retenciones!$A$1:$O$24,2,FALSE)</f>
        <v>0</v>
      </c>
      <c r="Z546" s="26"/>
      <c r="AA546" s="26"/>
      <c r="AB546" s="26"/>
      <c r="AC546" s="26"/>
      <c r="AD546" s="26"/>
      <c r="AE546" s="26"/>
    </row>
    <row r="547" spans="1:31" ht="21.95" customHeight="1" x14ac:dyDescent="0.25">
      <c r="A547" s="97" t="str">
        <f>+IF(PROVEEDORES[[#This Row],[FECHA DE PAGO]]=PROVEEDORES[[#This Row],[FECHA DE FACTURACIÓN]],"DE CONTADO","CRÉDITO")</f>
        <v>CRÉDITO</v>
      </c>
      <c r="B547" s="41" t="str">
        <f>+IF((PROVEEDORES[[#This Row],[FECHA DE PAGO]]-PROVEEDORES[[#This Row],[FECHA DE FACTURACIÓN]])&gt;PROVEEDORES[[#This Row],[PLAZO Días]],"PAGO VENCIDO")</f>
        <v>PAGO VENCIDO</v>
      </c>
      <c r="C547" s="22">
        <f>+VLOOKUP(PROVEEDORES[[#This Row],[PROVEEDOR]],TERCEROS_INFO[#All],2,FALSE)</f>
        <v>30</v>
      </c>
      <c r="D547" s="27">
        <f>+SUMIFS(PROVEEDORES[Total],PROVEEDORES[PROVEEDOR],PROVEEDORES[[#This Row],[PROVEEDOR]],PROVEEDORES[FECHA DE PAGO],"")</f>
        <v>1039000</v>
      </c>
      <c r="E547" s="27"/>
      <c r="F547" s="62" t="str">
        <f>+VLOOKUP(PROVEEDORES[[#This Row],[PROVEEDOR]],
                       Terceros!$A:$G,
                       6,
                       FALSE)</f>
        <v>variedades.sfg@gmail.com;girlesa.ruiz@servipilas.com;joriescobar64@gmail.com</v>
      </c>
      <c r="G547" s="95">
        <v>44433</v>
      </c>
      <c r="H547" s="28" t="s">
        <v>982</v>
      </c>
      <c r="I547" s="95">
        <v>44383</v>
      </c>
      <c r="J547" s="38" t="s">
        <v>754</v>
      </c>
      <c r="K547" s="23">
        <v>2268500</v>
      </c>
      <c r="L547" s="23"/>
      <c r="M547" s="24">
        <v>0</v>
      </c>
      <c r="N547" s="25"/>
      <c r="O547" s="24">
        <v>0</v>
      </c>
      <c r="P547" s="136">
        <f>+IF(PROVEEDORES[[#This Row],[SUBTOTAL]]&lt;PROVEEDORES[[#This Row],[base retencion]],0,PROVEEDORES[[#This Row],[retención aplicada]])</f>
        <v>0</v>
      </c>
      <c r="Q547" s="24">
        <f>+PROVEEDORES[[#This Row],[Rete Fuente %]]*PROVEEDORES[[#This Row],[SUBTOTAL]]</f>
        <v>0</v>
      </c>
      <c r="R547" s="23">
        <v>2268500</v>
      </c>
      <c r="S54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7" s="99">
        <f ca="1">IF(PROVEEDORES[[#This Row],[FECHA DE PAGO]]=0,TODAY()-PROVEEDORES[[#This Row],[FECHA DE FACTURACIÓN]]-PROVEEDORES[[#This Row],[PLAZO Días]],0)</f>
        <v>0</v>
      </c>
      <c r="U547" s="149">
        <f>+VLOOKUP(PROVEEDORES[[#This Row],[PROVEEDOR]],Terceros!$A:$E,5,FALSE)</f>
        <v>0</v>
      </c>
      <c r="V547" s="150">
        <f>+YEAR(PROVEEDORES[[#This Row],[FECHA DE FACTURACIÓN]])</f>
        <v>2021</v>
      </c>
      <c r="W547" s="150">
        <f>+MATCH(PROVEEDORES[[#This Row],[año facturado]],Retenciones!$1:$1,0)</f>
        <v>4</v>
      </c>
      <c r="X547" s="151">
        <f>+VLOOKUP(PROVEEDORES[[#This Row],[ID RETENCION]],Retenciones!$A$1:$O$24,PROVEEDORES[[#This Row],[indicador de columna]],FALSE)</f>
        <v>0</v>
      </c>
      <c r="Y547" s="152">
        <f>+VLOOKUP(PROVEEDORES[[#This Row],[ID RETENCION]],Retenciones!$A$1:$O$24,2,FALSE)</f>
        <v>0</v>
      </c>
      <c r="Z547" s="26"/>
      <c r="AA547" s="26"/>
      <c r="AB547" s="26"/>
      <c r="AC547" s="26"/>
      <c r="AD547" s="26"/>
      <c r="AE547" s="26"/>
    </row>
    <row r="548" spans="1:31" ht="21.95" customHeight="1" x14ac:dyDescent="0.25">
      <c r="A548" s="97" t="str">
        <f>+IF(PROVEEDORES[[#This Row],[FECHA DE PAGO]]=PROVEEDORES[[#This Row],[FECHA DE FACTURACIÓN]],"DE CONTADO","CRÉDITO")</f>
        <v>CRÉDITO</v>
      </c>
      <c r="B548" s="41" t="str">
        <f>+IF((PROVEEDORES[[#This Row],[FECHA DE PAGO]]-PROVEEDORES[[#This Row],[FECHA DE FACTURACIÓN]])&gt;PROVEEDORES[[#This Row],[PLAZO Días]],"PAGO VENCIDO")</f>
        <v>PAGO VENCIDO</v>
      </c>
      <c r="C548" s="22">
        <f>+VLOOKUP(PROVEEDORES[[#This Row],[PROVEEDOR]],TERCEROS_INFO[#All],2,FALSE)</f>
        <v>90</v>
      </c>
      <c r="D548" s="27">
        <f>+SUMIFS(PROVEEDORES[Total],PROVEEDORES[PROVEEDOR],PROVEEDORES[[#This Row],[PROVEEDOR]],PROVEEDORES[FECHA DE PAGO],"")</f>
        <v>26364243.66155</v>
      </c>
      <c r="E548" s="27"/>
      <c r="F548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548" s="95">
        <v>44488</v>
      </c>
      <c r="H548" s="28" t="s">
        <v>12</v>
      </c>
      <c r="I548" s="95">
        <v>44383</v>
      </c>
      <c r="J548" s="38" t="s">
        <v>424</v>
      </c>
      <c r="K548" s="23">
        <v>3039496</v>
      </c>
      <c r="L548" s="23"/>
      <c r="M548" s="24">
        <v>577504.24</v>
      </c>
      <c r="N548" s="25"/>
      <c r="O548" s="24">
        <v>0</v>
      </c>
      <c r="P548" s="136">
        <f>+IF(PROVEEDORES[[#This Row],[SUBTOTAL]]&lt;PROVEEDORES[[#This Row],[base retencion]],0,PROVEEDORES[[#This Row],[retención aplicada]])</f>
        <v>2.5000000000000001E-2</v>
      </c>
      <c r="Q548" s="24">
        <f>+PROVEEDORES[[#This Row],[Rete Fuente %]]*PROVEEDORES[[#This Row],[SUBTOTAL]]</f>
        <v>75987.400000000009</v>
      </c>
      <c r="R548" s="23">
        <v>3541012.8400000003</v>
      </c>
      <c r="S54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8" s="99">
        <f ca="1">IF(PROVEEDORES[[#This Row],[FECHA DE PAGO]]=0,TODAY()-PROVEEDORES[[#This Row],[FECHA DE FACTURACIÓN]]-PROVEEDORES[[#This Row],[PLAZO Días]],0)</f>
        <v>0</v>
      </c>
      <c r="U548" s="149" t="str">
        <f>+VLOOKUP(PROVEEDORES[[#This Row],[PROVEEDOR]],Terceros!$A:$E,5,FALSE)</f>
        <v>2,5% con base</v>
      </c>
      <c r="V548" s="150">
        <f>+YEAR(PROVEEDORES[[#This Row],[FECHA DE FACTURACIÓN]])</f>
        <v>2021</v>
      </c>
      <c r="W548" s="150">
        <f>+MATCH(PROVEEDORES[[#This Row],[año facturado]],Retenciones!$1:$1,0)</f>
        <v>4</v>
      </c>
      <c r="X548" s="151">
        <f>+VLOOKUP(PROVEEDORES[[#This Row],[ID RETENCION]],Retenciones!$A$1:$O$24,PROVEEDORES[[#This Row],[indicador de columna]],FALSE)</f>
        <v>980000</v>
      </c>
      <c r="Y548" s="152">
        <f>+VLOOKUP(PROVEEDORES[[#This Row],[ID RETENCION]],Retenciones!$A$1:$O$24,2,FALSE)</f>
        <v>2.5000000000000001E-2</v>
      </c>
      <c r="Z548" s="26"/>
      <c r="AA548" s="26"/>
      <c r="AB548" s="26"/>
      <c r="AC548" s="26"/>
      <c r="AD548" s="26"/>
      <c r="AE548" s="26"/>
    </row>
    <row r="549" spans="1:31" ht="21.95" customHeight="1" x14ac:dyDescent="0.25">
      <c r="A549" s="97" t="str">
        <f>+IF(PROVEEDORES[[#This Row],[FECHA DE PAGO]]=PROVEEDORES[[#This Row],[FECHA DE FACTURACIÓN]],"DE CONTADO","CRÉDITO")</f>
        <v>CRÉDITO</v>
      </c>
      <c r="B549" s="41" t="str">
        <f>+IF((PROVEEDORES[[#This Row],[FECHA DE PAGO]]-PROVEEDORES[[#This Row],[FECHA DE FACTURACIÓN]])&gt;PROVEEDORES[[#This Row],[PLAZO Días]],"PAGO VENCIDO")</f>
        <v>PAGO VENCIDO</v>
      </c>
      <c r="C549" s="22">
        <f>+VLOOKUP(PROVEEDORES[[#This Row],[PROVEEDOR]],TERCEROS_INFO[#All],2,FALSE)</f>
        <v>30</v>
      </c>
      <c r="D549" s="27">
        <f>+SUMIFS(PROVEEDORES[Total],PROVEEDORES[PROVEEDOR],PROVEEDORES[[#This Row],[PROVEEDOR]],PROVEEDORES[FECHA DE PAGO],"")</f>
        <v>1979529.3</v>
      </c>
      <c r="E549" s="27"/>
      <c r="F549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549" s="95">
        <v>44426</v>
      </c>
      <c r="H549" s="28" t="s">
        <v>17</v>
      </c>
      <c r="I549" s="95">
        <v>44384</v>
      </c>
      <c r="J549" s="38">
        <v>1784491</v>
      </c>
      <c r="K549" s="23">
        <v>401000</v>
      </c>
      <c r="L549" s="23"/>
      <c r="M549" s="24">
        <v>76190</v>
      </c>
      <c r="N549" s="25"/>
      <c r="O549" s="24">
        <v>0</v>
      </c>
      <c r="P549" s="136">
        <f>+IF(PROVEEDORES[[#This Row],[SUBTOTAL]]&lt;PROVEEDORES[[#This Row],[base retencion]],0,PROVEEDORES[[#This Row],[retención aplicada]])</f>
        <v>0</v>
      </c>
      <c r="Q549" s="24">
        <f>+PROVEEDORES[[#This Row],[Rete Fuente %]]*PROVEEDORES[[#This Row],[SUBTOTAL]]</f>
        <v>0</v>
      </c>
      <c r="R549" s="23">
        <v>477190</v>
      </c>
      <c r="S54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9" s="99">
        <f ca="1">IF(PROVEEDORES[[#This Row],[FECHA DE PAGO]]=0,TODAY()-PROVEEDORES[[#This Row],[FECHA DE FACTURACIÓN]]-PROVEEDORES[[#This Row],[PLAZO Días]],0)</f>
        <v>0</v>
      </c>
      <c r="U549" s="149">
        <f>+VLOOKUP(PROVEEDORES[[#This Row],[PROVEEDOR]],Terceros!$A:$E,5,FALSE)</f>
        <v>0</v>
      </c>
      <c r="V549" s="150">
        <f>+YEAR(PROVEEDORES[[#This Row],[FECHA DE FACTURACIÓN]])</f>
        <v>2021</v>
      </c>
      <c r="W549" s="150">
        <f>+MATCH(PROVEEDORES[[#This Row],[año facturado]],Retenciones!$1:$1,0)</f>
        <v>4</v>
      </c>
      <c r="X549" s="151">
        <f>+VLOOKUP(PROVEEDORES[[#This Row],[ID RETENCION]],Retenciones!$A$1:$O$24,PROVEEDORES[[#This Row],[indicador de columna]],FALSE)</f>
        <v>0</v>
      </c>
      <c r="Y549" s="152">
        <f>+VLOOKUP(PROVEEDORES[[#This Row],[ID RETENCION]],Retenciones!$A$1:$O$24,2,FALSE)</f>
        <v>0</v>
      </c>
      <c r="Z549" s="26"/>
      <c r="AA549" s="26"/>
      <c r="AB549" s="26"/>
      <c r="AC549" s="26"/>
      <c r="AD549" s="26"/>
      <c r="AE549" s="26"/>
    </row>
    <row r="550" spans="1:31" ht="21.95" customHeight="1" x14ac:dyDescent="0.25">
      <c r="A550" s="97" t="str">
        <f>+IF(PROVEEDORES[[#This Row],[FECHA DE PAGO]]=PROVEEDORES[[#This Row],[FECHA DE FACTURACIÓN]],"DE CONTADO","CRÉDITO")</f>
        <v>DE CONTADO</v>
      </c>
      <c r="B550" s="41" t="b">
        <f>+IF((PROVEEDORES[[#This Row],[FECHA DE PAGO]]-PROVEEDORES[[#This Row],[FECHA DE FACTURACIÓN]])&gt;PROVEEDORES[[#This Row],[PLAZO Días]],"PAGO VENCIDO")</f>
        <v>0</v>
      </c>
      <c r="C550" s="22">
        <f>+VLOOKUP(PROVEEDORES[[#This Row],[PROVEEDOR]],TERCEROS_INFO[#All],2,FALSE)</f>
        <v>30</v>
      </c>
      <c r="D550" s="27">
        <f>+SUMIFS(PROVEEDORES[Total],PROVEEDORES[PROVEEDOR],PROVEEDORES[[#This Row],[PROVEEDOR]],PROVEEDORES[FECHA DE PAGO],"")</f>
        <v>0</v>
      </c>
      <c r="E550" s="27"/>
      <c r="F550" s="62" t="str">
        <f>+VLOOKUP(PROVEEDORES[[#This Row],[PROVEEDOR]],
                       Terceros!$A:$G,
                       6,
                       FALSE)</f>
        <v/>
      </c>
      <c r="G550" s="95">
        <v>44385</v>
      </c>
      <c r="H550" s="28" t="s">
        <v>1060</v>
      </c>
      <c r="I550" s="95">
        <v>44385</v>
      </c>
      <c r="J550" s="38" t="s">
        <v>755</v>
      </c>
      <c r="K550" s="23">
        <v>160000</v>
      </c>
      <c r="L550" s="23"/>
      <c r="M550" s="24">
        <v>0</v>
      </c>
      <c r="N550" s="25"/>
      <c r="O550" s="24">
        <v>0</v>
      </c>
      <c r="P550" s="136">
        <f>+IF(PROVEEDORES[[#This Row],[SUBTOTAL]]&lt;PROVEEDORES[[#This Row],[base retencion]],0,PROVEEDORES[[#This Row],[retención aplicada]])</f>
        <v>0</v>
      </c>
      <c r="Q550" s="24">
        <f>+PROVEEDORES[[#This Row],[Rete Fuente %]]*PROVEEDORES[[#This Row],[SUBTOTAL]]</f>
        <v>0</v>
      </c>
      <c r="R550" s="23">
        <v>160000</v>
      </c>
      <c r="S55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0" s="99">
        <f ca="1">IF(PROVEEDORES[[#This Row],[FECHA DE PAGO]]=0,TODAY()-PROVEEDORES[[#This Row],[FECHA DE FACTURACIÓN]]-PROVEEDORES[[#This Row],[PLAZO Días]],0)</f>
        <v>0</v>
      </c>
      <c r="U550" s="149">
        <f>+VLOOKUP(PROVEEDORES[[#This Row],[PROVEEDOR]],Terceros!$A:$E,5,FALSE)</f>
        <v>0</v>
      </c>
      <c r="V550" s="150">
        <f>+YEAR(PROVEEDORES[[#This Row],[FECHA DE FACTURACIÓN]])</f>
        <v>2021</v>
      </c>
      <c r="W550" s="150">
        <f>+MATCH(PROVEEDORES[[#This Row],[año facturado]],Retenciones!$1:$1,0)</f>
        <v>4</v>
      </c>
      <c r="X550" s="151">
        <f>+VLOOKUP(PROVEEDORES[[#This Row],[ID RETENCION]],Retenciones!$A$1:$O$24,PROVEEDORES[[#This Row],[indicador de columna]],FALSE)</f>
        <v>0</v>
      </c>
      <c r="Y550" s="152">
        <f>+VLOOKUP(PROVEEDORES[[#This Row],[ID RETENCION]],Retenciones!$A$1:$O$24,2,FALSE)</f>
        <v>0</v>
      </c>
      <c r="Z550" s="26"/>
      <c r="AA550" s="26"/>
      <c r="AB550" s="26"/>
      <c r="AC550" s="26"/>
      <c r="AD550" s="26"/>
      <c r="AE550" s="26"/>
    </row>
    <row r="551" spans="1:31" ht="21.95" customHeight="1" x14ac:dyDescent="0.25">
      <c r="A551" s="97" t="str">
        <f>+IF(PROVEEDORES[[#This Row],[FECHA DE PAGO]]=PROVEEDORES[[#This Row],[FECHA DE FACTURACIÓN]],"DE CONTADO","CRÉDITO")</f>
        <v>CRÉDITO</v>
      </c>
      <c r="B551" s="41" t="str">
        <f>+IF((PROVEEDORES[[#This Row],[FECHA DE PAGO]]-PROVEEDORES[[#This Row],[FECHA DE FACTURACIÓN]])&gt;PROVEEDORES[[#This Row],[PLAZO Días]],"PAGO VENCIDO")</f>
        <v>PAGO VENCIDO</v>
      </c>
      <c r="C551" s="22">
        <f>+VLOOKUP(PROVEEDORES[[#This Row],[PROVEEDOR]],TERCEROS_INFO[#All],2,FALSE)</f>
        <v>30</v>
      </c>
      <c r="D551" s="27">
        <f>+SUMIFS(PROVEEDORES[Total],PROVEEDORES[PROVEEDOR],PROVEEDORES[[#This Row],[PROVEEDOR]],PROVEEDORES[FECHA DE PAGO],"")</f>
        <v>6151200</v>
      </c>
      <c r="E551" s="27"/>
      <c r="F551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551" s="95">
        <v>44426</v>
      </c>
      <c r="H551" s="28" t="s">
        <v>11</v>
      </c>
      <c r="I551" s="95">
        <v>44385</v>
      </c>
      <c r="J551" s="38" t="s">
        <v>423</v>
      </c>
      <c r="K551" s="23">
        <v>1320000</v>
      </c>
      <c r="L551" s="23"/>
      <c r="M551" s="24">
        <v>250800</v>
      </c>
      <c r="N551" s="25"/>
      <c r="O551" s="24">
        <v>0</v>
      </c>
      <c r="P551" s="136">
        <f>+IF(PROVEEDORES[[#This Row],[SUBTOTAL]]&lt;PROVEEDORES[[#This Row],[base retencion]],0,PROVEEDORES[[#This Row],[retención aplicada]])</f>
        <v>2.5000000000000001E-2</v>
      </c>
      <c r="Q551" s="24">
        <f>+PROVEEDORES[[#This Row],[Rete Fuente %]]*PROVEEDORES[[#This Row],[SUBTOTAL]]</f>
        <v>33000</v>
      </c>
      <c r="R551" s="23">
        <v>1537800</v>
      </c>
      <c r="S55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1" s="99">
        <f ca="1">IF(PROVEEDORES[[#This Row],[FECHA DE PAGO]]=0,TODAY()-PROVEEDORES[[#This Row],[FECHA DE FACTURACIÓN]]-PROVEEDORES[[#This Row],[PLAZO Días]],0)</f>
        <v>0</v>
      </c>
      <c r="U551" s="149" t="str">
        <f>+VLOOKUP(PROVEEDORES[[#This Row],[PROVEEDOR]],Terceros!$A:$E,5,FALSE)</f>
        <v>2,5% con base</v>
      </c>
      <c r="V551" s="150">
        <f>+YEAR(PROVEEDORES[[#This Row],[FECHA DE FACTURACIÓN]])</f>
        <v>2021</v>
      </c>
      <c r="W551" s="150">
        <f>+MATCH(PROVEEDORES[[#This Row],[año facturado]],Retenciones!$1:$1,0)</f>
        <v>4</v>
      </c>
      <c r="X551" s="151">
        <f>+VLOOKUP(PROVEEDORES[[#This Row],[ID RETENCION]],Retenciones!$A$1:$O$24,PROVEEDORES[[#This Row],[indicador de columna]],FALSE)</f>
        <v>980000</v>
      </c>
      <c r="Y551" s="152">
        <f>+VLOOKUP(PROVEEDORES[[#This Row],[ID RETENCION]],Retenciones!$A$1:$O$24,2,FALSE)</f>
        <v>2.5000000000000001E-2</v>
      </c>
      <c r="Z551" s="26"/>
      <c r="AA551" s="26"/>
      <c r="AB551" s="26"/>
      <c r="AC551" s="26"/>
      <c r="AD551" s="26"/>
      <c r="AE551" s="26"/>
    </row>
    <row r="552" spans="1:31" ht="21.95" customHeight="1" x14ac:dyDescent="0.25">
      <c r="A552" s="97" t="str">
        <f>+IF(PROVEEDORES[[#This Row],[FECHA DE PAGO]]=PROVEEDORES[[#This Row],[FECHA DE FACTURACIÓN]],"DE CONTADO","CRÉDITO")</f>
        <v>CRÉDITO</v>
      </c>
      <c r="B552" s="41" t="str">
        <f>+IF((PROVEEDORES[[#This Row],[FECHA DE PAGO]]-PROVEEDORES[[#This Row],[FECHA DE FACTURACIÓN]])&gt;PROVEEDORES[[#This Row],[PLAZO Días]],"PAGO VENCIDO")</f>
        <v>PAGO VENCIDO</v>
      </c>
      <c r="C552" s="22">
        <f>+VLOOKUP(PROVEEDORES[[#This Row],[PROVEEDOR]],TERCEROS_INFO[#All],2,FALSE)</f>
        <v>20</v>
      </c>
      <c r="D552" s="27">
        <f>+SUMIFS(PROVEEDORES[Total],PROVEEDORES[PROVEEDOR],PROVEEDORES[[#This Row],[PROVEEDOR]],PROVEEDORES[FECHA DE PAGO],"")</f>
        <v>0</v>
      </c>
      <c r="E552" s="27"/>
      <c r="F552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552" s="95">
        <v>44411</v>
      </c>
      <c r="H552" s="28" t="s">
        <v>446</v>
      </c>
      <c r="I552" s="95">
        <v>44386</v>
      </c>
      <c r="J552" s="38" t="s">
        <v>434</v>
      </c>
      <c r="K552" s="23">
        <v>579800</v>
      </c>
      <c r="L552" s="23"/>
      <c r="M552" s="24">
        <v>0</v>
      </c>
      <c r="N552" s="25"/>
      <c r="O552" s="24">
        <v>0</v>
      </c>
      <c r="P552" s="136">
        <f>+IF(PROVEEDORES[[#This Row],[SUBTOTAL]]&lt;PROVEEDORES[[#This Row],[base retencion]],0,PROVEEDORES[[#This Row],[retención aplicada]])</f>
        <v>0.01</v>
      </c>
      <c r="Q552" s="24">
        <f>+PROVEEDORES[[#This Row],[Rete Fuente %]]*PROVEEDORES[[#This Row],[SUBTOTAL]]</f>
        <v>5798</v>
      </c>
      <c r="R552" s="23">
        <v>578192</v>
      </c>
      <c r="S55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2" s="99">
        <f ca="1">IF(PROVEEDORES[[#This Row],[FECHA DE PAGO]]=0,TODAY()-PROVEEDORES[[#This Row],[FECHA DE FACTURACIÓN]]-PROVEEDORES[[#This Row],[PLAZO Días]],0)</f>
        <v>0</v>
      </c>
      <c r="U552" s="149" t="str">
        <f>+VLOOKUP(PROVEEDORES[[#This Row],[PROVEEDOR]],Terceros!$A:$E,5,FALSE)</f>
        <v>1% con base</v>
      </c>
      <c r="V552" s="150">
        <f>+YEAR(PROVEEDORES[[#This Row],[FECHA DE FACTURACIÓN]])</f>
        <v>2021</v>
      </c>
      <c r="W552" s="150">
        <f>+MATCH(PROVEEDORES[[#This Row],[año facturado]],Retenciones!$1:$1,0)</f>
        <v>4</v>
      </c>
      <c r="X552" s="151">
        <f>+VLOOKUP(PROVEEDORES[[#This Row],[ID RETENCION]],Retenciones!$A$1:$O$24,PROVEEDORES[[#This Row],[indicador de columna]],FALSE)</f>
        <v>145000</v>
      </c>
      <c r="Y552" s="152">
        <f>+VLOOKUP(PROVEEDORES[[#This Row],[ID RETENCION]],Retenciones!$A$1:$O$24,2,FALSE)</f>
        <v>0.01</v>
      </c>
      <c r="Z552" s="26"/>
      <c r="AA552" s="26"/>
      <c r="AB552" s="26"/>
      <c r="AC552" s="26"/>
      <c r="AD552" s="26"/>
      <c r="AE552" s="26"/>
    </row>
    <row r="553" spans="1:31" ht="21.95" customHeight="1" x14ac:dyDescent="0.25">
      <c r="A553" s="97" t="str">
        <f>+IF(PROVEEDORES[[#This Row],[FECHA DE PAGO]]=PROVEEDORES[[#This Row],[FECHA DE FACTURACIÓN]],"DE CONTADO","CRÉDITO")</f>
        <v>CRÉDITO</v>
      </c>
      <c r="B553" s="41" t="str">
        <f>+IF((PROVEEDORES[[#This Row],[FECHA DE PAGO]]-PROVEEDORES[[#This Row],[FECHA DE FACTURACIÓN]])&gt;PROVEEDORES[[#This Row],[PLAZO Días]],"PAGO VENCIDO")</f>
        <v>PAGO VENCIDO</v>
      </c>
      <c r="C553" s="22">
        <f>+VLOOKUP(PROVEEDORES[[#This Row],[PROVEEDOR]],TERCEROS_INFO[#All],2,FALSE)</f>
        <v>30</v>
      </c>
      <c r="D553" s="27">
        <f>+SUMIFS(PROVEEDORES[Total],PROVEEDORES[PROVEEDOR],PROVEEDORES[[#This Row],[PROVEEDOR]],PROVEEDORES[FECHA DE PAGO],"")</f>
        <v>3750700</v>
      </c>
      <c r="E553" s="27"/>
      <c r="F553" s="62" t="str">
        <f>+VLOOKUP(PROVEEDORES[[#This Row],[PROVEEDOR]],
                       Terceros!$A:$G,
                       6,
                       FALSE)</f>
        <v/>
      </c>
      <c r="G553" s="95">
        <v>44429</v>
      </c>
      <c r="H553" s="28" t="s">
        <v>990</v>
      </c>
      <c r="I553" s="95">
        <v>44387</v>
      </c>
      <c r="J553" s="38" t="s">
        <v>756</v>
      </c>
      <c r="K553" s="23">
        <v>1340300</v>
      </c>
      <c r="L553" s="23"/>
      <c r="M553" s="24">
        <v>0</v>
      </c>
      <c r="N553" s="25"/>
      <c r="O553" s="24">
        <v>0</v>
      </c>
      <c r="P553" s="136">
        <f>+IF(PROVEEDORES[[#This Row],[SUBTOTAL]]&lt;PROVEEDORES[[#This Row],[base retencion]],0,PROVEEDORES[[#This Row],[retención aplicada]])</f>
        <v>0</v>
      </c>
      <c r="Q553" s="24">
        <f>+PROVEEDORES[[#This Row],[Rete Fuente %]]*PROVEEDORES[[#This Row],[SUBTOTAL]]</f>
        <v>0</v>
      </c>
      <c r="R553" s="23">
        <v>1340300</v>
      </c>
      <c r="S55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3" s="99">
        <f ca="1">IF(PROVEEDORES[[#This Row],[FECHA DE PAGO]]=0,TODAY()-PROVEEDORES[[#This Row],[FECHA DE FACTURACIÓN]]-PROVEEDORES[[#This Row],[PLAZO Días]],0)</f>
        <v>0</v>
      </c>
      <c r="U553" s="149">
        <f>+VLOOKUP(PROVEEDORES[[#This Row],[PROVEEDOR]],Terceros!$A:$E,5,FALSE)</f>
        <v>0</v>
      </c>
      <c r="V553" s="150">
        <f>+YEAR(PROVEEDORES[[#This Row],[FECHA DE FACTURACIÓN]])</f>
        <v>2021</v>
      </c>
      <c r="W553" s="150">
        <f>+MATCH(PROVEEDORES[[#This Row],[año facturado]],Retenciones!$1:$1,0)</f>
        <v>4</v>
      </c>
      <c r="X553" s="151">
        <f>+VLOOKUP(PROVEEDORES[[#This Row],[ID RETENCION]],Retenciones!$A$1:$O$24,PROVEEDORES[[#This Row],[indicador de columna]],FALSE)</f>
        <v>0</v>
      </c>
      <c r="Y553" s="152">
        <f>+VLOOKUP(PROVEEDORES[[#This Row],[ID RETENCION]],Retenciones!$A$1:$O$24,2,FALSE)</f>
        <v>0</v>
      </c>
      <c r="Z553" s="26"/>
      <c r="AA553" s="26"/>
      <c r="AB553" s="26"/>
      <c r="AC553" s="26"/>
      <c r="AD553" s="26"/>
      <c r="AE553" s="26"/>
    </row>
    <row r="554" spans="1:31" ht="21.95" customHeight="1" x14ac:dyDescent="0.25">
      <c r="A554" s="97" t="str">
        <f>+IF(PROVEEDORES[[#This Row],[FECHA DE PAGO]]=PROVEEDORES[[#This Row],[FECHA DE FACTURACIÓN]],"DE CONTADO","CRÉDITO")</f>
        <v>CRÉDITO</v>
      </c>
      <c r="B554" s="41" t="str">
        <f>+IF((PROVEEDORES[[#This Row],[FECHA DE PAGO]]-PROVEEDORES[[#This Row],[FECHA DE FACTURACIÓN]])&gt;PROVEEDORES[[#This Row],[PLAZO Días]],"PAGO VENCIDO")</f>
        <v>PAGO VENCIDO</v>
      </c>
      <c r="C554" s="22">
        <f>+VLOOKUP(PROVEEDORES[[#This Row],[PROVEEDOR]],TERCEROS_INFO[#All],2,FALSE)</f>
        <v>30</v>
      </c>
      <c r="D554" s="27">
        <f>+SUMIFS(PROVEEDORES[Total],PROVEEDORES[PROVEEDOR],PROVEEDORES[[#This Row],[PROVEEDOR]],PROVEEDORES[FECHA DE PAGO],"")</f>
        <v>6932910</v>
      </c>
      <c r="E554" s="27"/>
      <c r="F554" s="62" t="str">
        <f>+VLOOKUP(PROVEEDORES[[#This Row],[PROVEEDOR]],
                       Terceros!$A:$G,
                       6,
                       FALSE)</f>
        <v>admin@kinocompanysas.com.co;girlesa.ruiz@servipilas.com;joriescobar64@gmail.com</v>
      </c>
      <c r="G554" s="95">
        <v>44432</v>
      </c>
      <c r="H554" s="28" t="s">
        <v>33</v>
      </c>
      <c r="I554" s="95">
        <v>44387</v>
      </c>
      <c r="J554" s="38">
        <v>1180</v>
      </c>
      <c r="K554" s="23">
        <v>2594000</v>
      </c>
      <c r="L554" s="23"/>
      <c r="M554" s="24">
        <v>492860</v>
      </c>
      <c r="N554" s="25"/>
      <c r="O554" s="24">
        <v>0</v>
      </c>
      <c r="P554" s="136">
        <f>+IF(PROVEEDORES[[#This Row],[SUBTOTAL]]&lt;PROVEEDORES[[#This Row],[base retencion]],0,PROVEEDORES[[#This Row],[retención aplicada]])</f>
        <v>2.5000000000000001E-2</v>
      </c>
      <c r="Q554" s="24">
        <f>+PROVEEDORES[[#This Row],[Rete Fuente %]]*PROVEEDORES[[#This Row],[SUBTOTAL]]</f>
        <v>64850</v>
      </c>
      <c r="R554" s="23">
        <v>3022010</v>
      </c>
      <c r="S55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4" s="99">
        <f ca="1">IF(PROVEEDORES[[#This Row],[FECHA DE PAGO]]=0,TODAY()-PROVEEDORES[[#This Row],[FECHA DE FACTURACIÓN]]-PROVEEDORES[[#This Row],[PLAZO Días]],0)</f>
        <v>0</v>
      </c>
      <c r="U554" s="149" t="str">
        <f>+VLOOKUP(PROVEEDORES[[#This Row],[PROVEEDOR]],Terceros!$A:$E,5,FALSE)</f>
        <v>2,5% con base</v>
      </c>
      <c r="V554" s="150">
        <f>+YEAR(PROVEEDORES[[#This Row],[FECHA DE FACTURACIÓN]])</f>
        <v>2021</v>
      </c>
      <c r="W554" s="150">
        <f>+MATCH(PROVEEDORES[[#This Row],[año facturado]],Retenciones!$1:$1,0)</f>
        <v>4</v>
      </c>
      <c r="X554" s="151">
        <f>+VLOOKUP(PROVEEDORES[[#This Row],[ID RETENCION]],Retenciones!$A$1:$O$24,PROVEEDORES[[#This Row],[indicador de columna]],FALSE)</f>
        <v>980000</v>
      </c>
      <c r="Y554" s="152">
        <f>+VLOOKUP(PROVEEDORES[[#This Row],[ID RETENCION]],Retenciones!$A$1:$O$24,2,FALSE)</f>
        <v>2.5000000000000001E-2</v>
      </c>
      <c r="Z554" s="26"/>
      <c r="AA554" s="26"/>
      <c r="AB554" s="26"/>
      <c r="AC554" s="26"/>
      <c r="AD554" s="26"/>
      <c r="AE554" s="26"/>
    </row>
    <row r="555" spans="1:31" ht="21.95" customHeight="1" x14ac:dyDescent="0.25">
      <c r="A555" s="97" t="str">
        <f>+IF(PROVEEDORES[[#This Row],[FECHA DE PAGO]]=PROVEEDORES[[#This Row],[FECHA DE FACTURACIÓN]],"DE CONTADO","CRÉDITO")</f>
        <v>CRÉDITO</v>
      </c>
      <c r="B555" s="41" t="b">
        <f>+IF((PROVEEDORES[[#This Row],[FECHA DE PAGO]]-PROVEEDORES[[#This Row],[FECHA DE FACTURACIÓN]])&gt;PROVEEDORES[[#This Row],[PLAZO Días]],"PAGO VENCIDO")</f>
        <v>0</v>
      </c>
      <c r="C555" s="22">
        <f>+VLOOKUP(PROVEEDORES[[#This Row],[PROVEEDOR]],TERCEROS_INFO[#All],2,FALSE)</f>
        <v>30</v>
      </c>
      <c r="D555" s="27">
        <f>+SUMIFS(PROVEEDORES[Total],PROVEEDORES[PROVEEDOR],PROVEEDORES[[#This Row],[PROVEEDOR]],PROVEEDORES[FECHA DE PAGO],"")</f>
        <v>264406</v>
      </c>
      <c r="E555" s="27"/>
      <c r="F555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555" s="95">
        <v>44403</v>
      </c>
      <c r="H555" s="28" t="s">
        <v>390</v>
      </c>
      <c r="I555" s="95">
        <v>44389</v>
      </c>
      <c r="J555" s="38" t="s">
        <v>465</v>
      </c>
      <c r="K555" s="23">
        <v>69726</v>
      </c>
      <c r="L555" s="23"/>
      <c r="M555" s="24">
        <v>0</v>
      </c>
      <c r="N555" s="25"/>
      <c r="O555" s="24">
        <v>0</v>
      </c>
      <c r="P555" s="136">
        <f>+IF(PROVEEDORES[[#This Row],[SUBTOTAL]]&lt;PROVEEDORES[[#This Row],[base retencion]],0,PROVEEDORES[[#This Row],[retención aplicada]])</f>
        <v>0</v>
      </c>
      <c r="Q555" s="24">
        <f>+PROVEEDORES[[#This Row],[Rete Fuente %]]*PROVEEDORES[[#This Row],[SUBTOTAL]]</f>
        <v>0</v>
      </c>
      <c r="R555" s="23">
        <v>69726</v>
      </c>
      <c r="S55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5" s="99">
        <f ca="1">IF(PROVEEDORES[[#This Row],[FECHA DE PAGO]]=0,TODAY()-PROVEEDORES[[#This Row],[FECHA DE FACTURACIÓN]]-PROVEEDORES[[#This Row],[PLAZO Días]],0)</f>
        <v>0</v>
      </c>
      <c r="U555" s="149">
        <f>+VLOOKUP(PROVEEDORES[[#This Row],[PROVEEDOR]],Terceros!$A:$E,5,FALSE)</f>
        <v>0</v>
      </c>
      <c r="V555" s="150">
        <f>+YEAR(PROVEEDORES[[#This Row],[FECHA DE FACTURACIÓN]])</f>
        <v>2021</v>
      </c>
      <c r="W555" s="150">
        <f>+MATCH(PROVEEDORES[[#This Row],[año facturado]],Retenciones!$1:$1,0)</f>
        <v>4</v>
      </c>
      <c r="X555" s="151">
        <f>+VLOOKUP(PROVEEDORES[[#This Row],[ID RETENCION]],Retenciones!$A$1:$O$24,PROVEEDORES[[#This Row],[indicador de columna]],FALSE)</f>
        <v>0</v>
      </c>
      <c r="Y555" s="152">
        <f>+VLOOKUP(PROVEEDORES[[#This Row],[ID RETENCION]],Retenciones!$A$1:$O$24,2,FALSE)</f>
        <v>0</v>
      </c>
      <c r="Z555" s="26"/>
      <c r="AA555" s="26"/>
      <c r="AB555" s="26"/>
      <c r="AC555" s="26"/>
      <c r="AD555" s="26"/>
      <c r="AE555" s="26"/>
    </row>
    <row r="556" spans="1:31" ht="21.95" customHeight="1" x14ac:dyDescent="0.25">
      <c r="A556" s="97" t="str">
        <f>+IF(PROVEEDORES[[#This Row],[FECHA DE PAGO]]=PROVEEDORES[[#This Row],[FECHA DE FACTURACIÓN]],"DE CONTADO","CRÉDITO")</f>
        <v>CRÉDITO</v>
      </c>
      <c r="B556" s="41" t="str">
        <f>+IF((PROVEEDORES[[#This Row],[FECHA DE PAGO]]-PROVEEDORES[[#This Row],[FECHA DE FACTURACIÓN]])&gt;PROVEEDORES[[#This Row],[PLAZO Días]],"PAGO VENCIDO")</f>
        <v>PAGO VENCIDO</v>
      </c>
      <c r="C556" s="22">
        <f>+VLOOKUP(PROVEEDORES[[#This Row],[PROVEEDOR]],TERCEROS_INFO[#All],2,FALSE)</f>
        <v>45</v>
      </c>
      <c r="D556" s="27">
        <f>+SUMIFS(PROVEEDORES[Total],PROVEEDORES[PROVEEDOR],PROVEEDORES[[#This Row],[PROVEEDOR]],PROVEEDORES[FECHA DE PAGO],"")</f>
        <v>3412539.2</v>
      </c>
      <c r="E556" s="27"/>
      <c r="F556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556" s="95">
        <v>44442</v>
      </c>
      <c r="H556" s="28" t="s">
        <v>10</v>
      </c>
      <c r="I556" s="95">
        <v>44389</v>
      </c>
      <c r="J556" s="38" t="s">
        <v>431</v>
      </c>
      <c r="K556" s="23">
        <v>798000</v>
      </c>
      <c r="L556" s="23"/>
      <c r="M556" s="24">
        <v>151620</v>
      </c>
      <c r="N556" s="25"/>
      <c r="O556" s="24">
        <v>0</v>
      </c>
      <c r="P556" s="136">
        <f>+IF(PROVEEDORES[[#This Row],[SUBTOTAL]]&lt;PROVEEDORES[[#This Row],[base retencion]],0,PROVEEDORES[[#This Row],[retención aplicada]])</f>
        <v>0</v>
      </c>
      <c r="Q556" s="24">
        <f>+PROVEEDORES[[#This Row],[Rete Fuente %]]*PROVEEDORES[[#This Row],[SUBTOTAL]]</f>
        <v>0</v>
      </c>
      <c r="R556" s="23">
        <v>949620</v>
      </c>
      <c r="S55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6" s="99">
        <f ca="1">IF(PROVEEDORES[[#This Row],[FECHA DE PAGO]]=0,TODAY()-PROVEEDORES[[#This Row],[FECHA DE FACTURACIÓN]]-PROVEEDORES[[#This Row],[PLAZO Días]],0)</f>
        <v>0</v>
      </c>
      <c r="U556" s="149">
        <f>+VLOOKUP(PROVEEDORES[[#This Row],[PROVEEDOR]],Terceros!$A:$E,5,FALSE)</f>
        <v>0</v>
      </c>
      <c r="V556" s="150">
        <f>+YEAR(PROVEEDORES[[#This Row],[FECHA DE FACTURACIÓN]])</f>
        <v>2021</v>
      </c>
      <c r="W556" s="150">
        <f>+MATCH(PROVEEDORES[[#This Row],[año facturado]],Retenciones!$1:$1,0)</f>
        <v>4</v>
      </c>
      <c r="X556" s="151">
        <f>+VLOOKUP(PROVEEDORES[[#This Row],[ID RETENCION]],Retenciones!$A$1:$O$24,PROVEEDORES[[#This Row],[indicador de columna]],FALSE)</f>
        <v>0</v>
      </c>
      <c r="Y556" s="152">
        <f>+VLOOKUP(PROVEEDORES[[#This Row],[ID RETENCION]],Retenciones!$A$1:$O$24,2,FALSE)</f>
        <v>0</v>
      </c>
      <c r="Z556" s="26"/>
      <c r="AA556" s="26"/>
      <c r="AB556" s="26"/>
      <c r="AC556" s="26"/>
      <c r="AD556" s="26"/>
      <c r="AE556" s="26"/>
    </row>
    <row r="557" spans="1:31" ht="21.95" customHeight="1" x14ac:dyDescent="0.25">
      <c r="A557" s="97" t="str">
        <f>+IF(PROVEEDORES[[#This Row],[FECHA DE PAGO]]=PROVEEDORES[[#This Row],[FECHA DE FACTURACIÓN]],"DE CONTADO","CRÉDITO")</f>
        <v>CRÉDITO</v>
      </c>
      <c r="B557" s="41" t="str">
        <f>+IF((PROVEEDORES[[#This Row],[FECHA DE PAGO]]-PROVEEDORES[[#This Row],[FECHA DE FACTURACIÓN]])&gt;PROVEEDORES[[#This Row],[PLAZO Días]],"PAGO VENCIDO")</f>
        <v>PAGO VENCIDO</v>
      </c>
      <c r="C557" s="22">
        <f>+VLOOKUP(PROVEEDORES[[#This Row],[PROVEEDOR]],TERCEROS_INFO[#All],2,FALSE)</f>
        <v>30</v>
      </c>
      <c r="D557" s="27">
        <f>+SUMIFS(PROVEEDORES[Total],PROVEEDORES[PROVEEDOR],PROVEEDORES[[#This Row],[PROVEEDOR]],PROVEEDORES[FECHA DE PAGO],"")</f>
        <v>0</v>
      </c>
      <c r="E557" s="27"/>
      <c r="F557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557" s="95">
        <v>44427</v>
      </c>
      <c r="H557" s="28" t="s">
        <v>1124</v>
      </c>
      <c r="I557" s="95">
        <v>44390</v>
      </c>
      <c r="J557" s="38">
        <v>19589</v>
      </c>
      <c r="K557" s="23">
        <v>114000</v>
      </c>
      <c r="L557" s="23"/>
      <c r="M557" s="24">
        <v>21660</v>
      </c>
      <c r="N557" s="25"/>
      <c r="O557" s="24">
        <v>0</v>
      </c>
      <c r="P557" s="136">
        <f>+IF(PROVEEDORES[[#This Row],[SUBTOTAL]]&lt;PROVEEDORES[[#This Row],[base retencion]],0,PROVEEDORES[[#This Row],[retención aplicada]])</f>
        <v>0</v>
      </c>
      <c r="Q557" s="24">
        <f>+PROVEEDORES[[#This Row],[Rete Fuente %]]*PROVEEDORES[[#This Row],[SUBTOTAL]]</f>
        <v>0</v>
      </c>
      <c r="R557" s="23">
        <v>135660</v>
      </c>
      <c r="S55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7" s="99">
        <f ca="1">IF(PROVEEDORES[[#This Row],[FECHA DE PAGO]]=0,TODAY()-PROVEEDORES[[#This Row],[FECHA DE FACTURACIÓN]]-PROVEEDORES[[#This Row],[PLAZO Días]],0)</f>
        <v>0</v>
      </c>
      <c r="U557" s="149" t="str">
        <f>+VLOOKUP(PROVEEDORES[[#This Row],[PROVEEDOR]],Terceros!$A:$E,5,FALSE)</f>
        <v>2,5% con base</v>
      </c>
      <c r="V557" s="150">
        <f>+YEAR(PROVEEDORES[[#This Row],[FECHA DE FACTURACIÓN]])</f>
        <v>2021</v>
      </c>
      <c r="W557" s="150">
        <f>+MATCH(PROVEEDORES[[#This Row],[año facturado]],Retenciones!$1:$1,0)</f>
        <v>4</v>
      </c>
      <c r="X557" s="151">
        <f>+VLOOKUP(PROVEEDORES[[#This Row],[ID RETENCION]],Retenciones!$A$1:$O$24,PROVEEDORES[[#This Row],[indicador de columna]],FALSE)</f>
        <v>980000</v>
      </c>
      <c r="Y557" s="152">
        <f>+VLOOKUP(PROVEEDORES[[#This Row],[ID RETENCION]],Retenciones!$A$1:$O$24,2,FALSE)</f>
        <v>2.5000000000000001E-2</v>
      </c>
      <c r="Z557" s="26"/>
      <c r="AA557" s="26"/>
      <c r="AB557" s="26"/>
      <c r="AC557" s="26"/>
      <c r="AD557" s="26"/>
      <c r="AE557" s="26"/>
    </row>
    <row r="558" spans="1:31" ht="21.95" customHeight="1" x14ac:dyDescent="0.25">
      <c r="A558" s="97" t="str">
        <f>+IF(PROVEEDORES[[#This Row],[FECHA DE PAGO]]=PROVEEDORES[[#This Row],[FECHA DE FACTURACIÓN]],"DE CONTADO","CRÉDITO")</f>
        <v>CRÉDITO</v>
      </c>
      <c r="B558" s="41" t="b">
        <f>+IF((PROVEEDORES[[#This Row],[FECHA DE PAGO]]-PROVEEDORES[[#This Row],[FECHA DE FACTURACIÓN]])&gt;PROVEEDORES[[#This Row],[PLAZO Días]],"PAGO VENCIDO")</f>
        <v>0</v>
      </c>
      <c r="C558" s="22">
        <f>+VLOOKUP(PROVEEDORES[[#This Row],[PROVEEDOR]],TERCEROS_INFO[#All],2,FALSE)</f>
        <v>30</v>
      </c>
      <c r="D558" s="27">
        <f>+SUMIFS(PROVEEDORES[Total],PROVEEDORES[PROVEEDOR],PROVEEDORES[[#This Row],[PROVEEDOR]],PROVEEDORES[FECHA DE PAGO],"")</f>
        <v>0</v>
      </c>
      <c r="E558" s="27"/>
      <c r="F558" s="62" t="str">
        <f>+VLOOKUP(PROVEEDORES[[#This Row],[PROVEEDOR]],
                       Terceros!$A:$G,
                       6,
                       FALSE)</f>
        <v>cartera@aerosan.com;girlesa.ruiz@servipilas.com;joriescobar64@gmail.com</v>
      </c>
      <c r="G558" s="95">
        <v>44391</v>
      </c>
      <c r="H558" s="28" t="s">
        <v>57</v>
      </c>
      <c r="I558" s="95">
        <v>44390</v>
      </c>
      <c r="J558" s="38" t="s">
        <v>427</v>
      </c>
      <c r="K558" s="23">
        <v>353601</v>
      </c>
      <c r="L558" s="23"/>
      <c r="M558" s="24">
        <v>67184.19</v>
      </c>
      <c r="N558" s="25"/>
      <c r="O558" s="24">
        <v>0</v>
      </c>
      <c r="P558" s="136">
        <f>+IF(PROVEEDORES[[#This Row],[SUBTOTAL]]&lt;PROVEEDORES[[#This Row],[base retencion]],0,PROVEEDORES[[#This Row],[retención aplicada]])</f>
        <v>0</v>
      </c>
      <c r="Q558" s="24">
        <f>+PROVEEDORES[[#This Row],[Rete Fuente %]]*PROVEEDORES[[#This Row],[SUBTOTAL]]</f>
        <v>0</v>
      </c>
      <c r="R558" s="23">
        <v>420785.19</v>
      </c>
      <c r="S55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8" s="99">
        <f ca="1">IF(PROVEEDORES[[#This Row],[FECHA DE PAGO]]=0,TODAY()-PROVEEDORES[[#This Row],[FECHA DE FACTURACIÓN]]-PROVEEDORES[[#This Row],[PLAZO Días]],0)</f>
        <v>0</v>
      </c>
      <c r="U558" s="149">
        <f>+VLOOKUP(PROVEEDORES[[#This Row],[PROVEEDOR]],Terceros!$A:$E,5,FALSE)</f>
        <v>0</v>
      </c>
      <c r="V558" s="150">
        <f>+YEAR(PROVEEDORES[[#This Row],[FECHA DE FACTURACIÓN]])</f>
        <v>2021</v>
      </c>
      <c r="W558" s="150">
        <f>+MATCH(PROVEEDORES[[#This Row],[año facturado]],Retenciones!$1:$1,0)</f>
        <v>4</v>
      </c>
      <c r="X558" s="151">
        <f>+VLOOKUP(PROVEEDORES[[#This Row],[ID RETENCION]],Retenciones!$A$1:$O$24,PROVEEDORES[[#This Row],[indicador de columna]],FALSE)</f>
        <v>0</v>
      </c>
      <c r="Y558" s="152">
        <f>+VLOOKUP(PROVEEDORES[[#This Row],[ID RETENCION]],Retenciones!$A$1:$O$24,2,FALSE)</f>
        <v>0</v>
      </c>
      <c r="Z558" s="26"/>
      <c r="AA558" s="26"/>
      <c r="AB558" s="26"/>
      <c r="AC558" s="26"/>
      <c r="AD558" s="26"/>
      <c r="AE558" s="26"/>
    </row>
    <row r="559" spans="1:31" ht="21.95" customHeight="1" x14ac:dyDescent="0.25">
      <c r="A559" s="97" t="str">
        <f>+IF(PROVEEDORES[[#This Row],[FECHA DE PAGO]]=PROVEEDORES[[#This Row],[FECHA DE FACTURACIÓN]],"DE CONTADO","CRÉDITO")</f>
        <v>CRÉDITO</v>
      </c>
      <c r="B559" s="41" t="str">
        <f>+IF((PROVEEDORES[[#This Row],[FECHA DE PAGO]]-PROVEEDORES[[#This Row],[FECHA DE FACTURACIÓN]])&gt;PROVEEDORES[[#This Row],[PLAZO Días]],"PAGO VENCIDO")</f>
        <v>PAGO VENCIDO</v>
      </c>
      <c r="C559" s="22">
        <f>+VLOOKUP(PROVEEDORES[[#This Row],[PROVEEDOR]],TERCEROS_INFO[#All],2,FALSE)</f>
        <v>30</v>
      </c>
      <c r="D559" s="27">
        <f>+SUMIFS(PROVEEDORES[Total],PROVEEDORES[PROVEEDOR],PROVEEDORES[[#This Row],[PROVEEDOR]],PROVEEDORES[FECHA DE PAGO],"")</f>
        <v>3844432.4999000002</v>
      </c>
      <c r="E559" s="27"/>
      <c r="F559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559" s="95">
        <v>44426</v>
      </c>
      <c r="H559" s="28" t="s">
        <v>18</v>
      </c>
      <c r="I559" s="95">
        <v>44390</v>
      </c>
      <c r="J559" s="38">
        <v>1040307</v>
      </c>
      <c r="K559" s="23">
        <v>822858</v>
      </c>
      <c r="L559" s="23"/>
      <c r="M559" s="24">
        <v>156343.01999999999</v>
      </c>
      <c r="N559" s="25"/>
      <c r="O559" s="24">
        <v>0</v>
      </c>
      <c r="P559" s="136">
        <f>+IF(PROVEEDORES[[#This Row],[SUBTOTAL]]&lt;PROVEEDORES[[#This Row],[base retencion]],0,PROVEEDORES[[#This Row],[retención aplicada]])</f>
        <v>0</v>
      </c>
      <c r="Q559" s="24">
        <f>+PROVEEDORES[[#This Row],[Rete Fuente %]]*PROVEEDORES[[#This Row],[SUBTOTAL]]</f>
        <v>0</v>
      </c>
      <c r="R559" s="23">
        <v>979201.02</v>
      </c>
      <c r="S55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9" s="99">
        <f ca="1">IF(PROVEEDORES[[#This Row],[FECHA DE PAGO]]=0,TODAY()-PROVEEDORES[[#This Row],[FECHA DE FACTURACIÓN]]-PROVEEDORES[[#This Row],[PLAZO Días]],0)</f>
        <v>0</v>
      </c>
      <c r="U559" s="149" t="str">
        <f>+VLOOKUP(PROVEEDORES[[#This Row],[PROVEEDOR]],Terceros!$A:$E,5,FALSE)</f>
        <v>2,5% con base</v>
      </c>
      <c r="V559" s="150">
        <f>+YEAR(PROVEEDORES[[#This Row],[FECHA DE FACTURACIÓN]])</f>
        <v>2021</v>
      </c>
      <c r="W559" s="150">
        <f>+MATCH(PROVEEDORES[[#This Row],[año facturado]],Retenciones!$1:$1,0)</f>
        <v>4</v>
      </c>
      <c r="X559" s="151">
        <f>+VLOOKUP(PROVEEDORES[[#This Row],[ID RETENCION]],Retenciones!$A$1:$O$24,PROVEEDORES[[#This Row],[indicador de columna]],FALSE)</f>
        <v>980000</v>
      </c>
      <c r="Y559" s="152">
        <f>+VLOOKUP(PROVEEDORES[[#This Row],[ID RETENCION]],Retenciones!$A$1:$O$24,2,FALSE)</f>
        <v>2.5000000000000001E-2</v>
      </c>
      <c r="Z559" s="26"/>
      <c r="AA559" s="26"/>
      <c r="AB559" s="26"/>
      <c r="AC559" s="26"/>
      <c r="AD559" s="26"/>
      <c r="AE559" s="26"/>
    </row>
    <row r="560" spans="1:31" ht="21.95" customHeight="1" x14ac:dyDescent="0.25">
      <c r="A560" s="97" t="str">
        <f>+IF(PROVEEDORES[[#This Row],[FECHA DE PAGO]]=PROVEEDORES[[#This Row],[FECHA DE FACTURACIÓN]],"DE CONTADO","CRÉDITO")</f>
        <v>CRÉDITO</v>
      </c>
      <c r="B560" s="41" t="str">
        <f>+IF((PROVEEDORES[[#This Row],[FECHA DE PAGO]]-PROVEEDORES[[#This Row],[FECHA DE FACTURACIÓN]])&gt;PROVEEDORES[[#This Row],[PLAZO Días]],"PAGO VENCIDO")</f>
        <v>PAGO VENCIDO</v>
      </c>
      <c r="C560" s="22">
        <f>+VLOOKUP(PROVEEDORES[[#This Row],[PROVEEDOR]],TERCEROS_INFO[#All],2,FALSE)</f>
        <v>30</v>
      </c>
      <c r="D560" s="27">
        <f>+SUMIFS(PROVEEDORES[Total],PROVEEDORES[PROVEEDOR],PROVEEDORES[[#This Row],[PROVEEDOR]],PROVEEDORES[FECHA DE PAGO],"")</f>
        <v>3099000</v>
      </c>
      <c r="E560" s="27"/>
      <c r="F560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560" s="95">
        <v>44442</v>
      </c>
      <c r="H560" s="28" t="s">
        <v>1079</v>
      </c>
      <c r="I560" s="95">
        <v>44390</v>
      </c>
      <c r="J560" s="38" t="s">
        <v>758</v>
      </c>
      <c r="K560" s="23">
        <v>1470000</v>
      </c>
      <c r="L560" s="23"/>
      <c r="M560" s="24">
        <v>0</v>
      </c>
      <c r="N560" s="25"/>
      <c r="O560" s="24">
        <v>0</v>
      </c>
      <c r="P560" s="136">
        <f>+IF(PROVEEDORES[[#This Row],[SUBTOTAL]]&lt;PROVEEDORES[[#This Row],[base retencion]],0,PROVEEDORES[[#This Row],[retención aplicada]])</f>
        <v>0</v>
      </c>
      <c r="Q560" s="24">
        <f>+PROVEEDORES[[#This Row],[Rete Fuente %]]*PROVEEDORES[[#This Row],[SUBTOTAL]]</f>
        <v>0</v>
      </c>
      <c r="R560" s="23">
        <v>1470000</v>
      </c>
      <c r="S56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0" s="99">
        <f ca="1">IF(PROVEEDORES[[#This Row],[FECHA DE PAGO]]=0,TODAY()-PROVEEDORES[[#This Row],[FECHA DE FACTURACIÓN]]-PROVEEDORES[[#This Row],[PLAZO Días]],0)</f>
        <v>0</v>
      </c>
      <c r="U560" s="149">
        <f>+VLOOKUP(PROVEEDORES[[#This Row],[PROVEEDOR]],Terceros!$A:$E,5,FALSE)</f>
        <v>0</v>
      </c>
      <c r="V560" s="150">
        <f>+YEAR(PROVEEDORES[[#This Row],[FECHA DE FACTURACIÓN]])</f>
        <v>2021</v>
      </c>
      <c r="W560" s="150">
        <f>+MATCH(PROVEEDORES[[#This Row],[año facturado]],Retenciones!$1:$1,0)</f>
        <v>4</v>
      </c>
      <c r="X560" s="151">
        <f>+VLOOKUP(PROVEEDORES[[#This Row],[ID RETENCION]],Retenciones!$A$1:$O$24,PROVEEDORES[[#This Row],[indicador de columna]],FALSE)</f>
        <v>0</v>
      </c>
      <c r="Y560" s="152">
        <f>+VLOOKUP(PROVEEDORES[[#This Row],[ID RETENCION]],Retenciones!$A$1:$O$24,2,FALSE)</f>
        <v>0</v>
      </c>
      <c r="Z560" s="26"/>
      <c r="AA560" s="26"/>
      <c r="AB560" s="26"/>
      <c r="AC560" s="26"/>
      <c r="AD560" s="26"/>
      <c r="AE560" s="26"/>
    </row>
    <row r="561" spans="1:31" ht="21.95" customHeight="1" x14ac:dyDescent="0.25">
      <c r="A561" s="97" t="str">
        <f>+IF(PROVEEDORES[[#This Row],[FECHA DE PAGO]]=PROVEEDORES[[#This Row],[FECHA DE FACTURACIÓN]],"DE CONTADO","CRÉDITO")</f>
        <v>CRÉDITO</v>
      </c>
      <c r="B561" s="41" t="b">
        <f>+IF((PROVEEDORES[[#This Row],[FECHA DE PAGO]]-PROVEEDORES[[#This Row],[FECHA DE FACTURACIÓN]])&gt;PROVEEDORES[[#This Row],[PLAZO Días]],"PAGO VENCIDO")</f>
        <v>0</v>
      </c>
      <c r="C561" s="22">
        <f>+VLOOKUP(PROVEEDORES[[#This Row],[PROVEEDOR]],TERCEROS_INFO[#All],2,FALSE)</f>
        <v>30</v>
      </c>
      <c r="D561" s="27">
        <f>+SUMIFS(PROVEEDORES[Total],PROVEEDORES[PROVEEDOR],PROVEEDORES[[#This Row],[PROVEEDOR]],PROVEEDORES[FECHA DE PAGO],"")</f>
        <v>0</v>
      </c>
      <c r="E561" s="27"/>
      <c r="F561" s="62" t="str">
        <f>+VLOOKUP(PROVEEDORES[[#This Row],[PROVEEDOR]],
                       Terceros!$A:$G,
                       6,
                       FALSE)</f>
        <v/>
      </c>
      <c r="G561" s="95">
        <v>44391</v>
      </c>
      <c r="H561" s="28" t="s">
        <v>1001</v>
      </c>
      <c r="I561" s="95">
        <v>44390</v>
      </c>
      <c r="J561" s="38" t="s">
        <v>757</v>
      </c>
      <c r="K561" s="23">
        <v>2097000</v>
      </c>
      <c r="L561" s="23"/>
      <c r="M561" s="24">
        <v>0</v>
      </c>
      <c r="N561" s="25"/>
      <c r="O561" s="24">
        <v>0</v>
      </c>
      <c r="P561" s="136">
        <f>+IF(PROVEEDORES[[#This Row],[SUBTOTAL]]&lt;PROVEEDORES[[#This Row],[base retencion]],0,PROVEEDORES[[#This Row],[retención aplicada]])</f>
        <v>0</v>
      </c>
      <c r="Q561" s="24">
        <f>+PROVEEDORES[[#This Row],[Rete Fuente %]]*PROVEEDORES[[#This Row],[SUBTOTAL]]</f>
        <v>0</v>
      </c>
      <c r="R561" s="23">
        <v>2097000</v>
      </c>
      <c r="S56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1" s="99">
        <f ca="1">IF(PROVEEDORES[[#This Row],[FECHA DE PAGO]]=0,TODAY()-PROVEEDORES[[#This Row],[FECHA DE FACTURACIÓN]]-PROVEEDORES[[#This Row],[PLAZO Días]],0)</f>
        <v>0</v>
      </c>
      <c r="U561" s="149">
        <f>+VLOOKUP(PROVEEDORES[[#This Row],[PROVEEDOR]],Terceros!$A:$E,5,FALSE)</f>
        <v>0</v>
      </c>
      <c r="V561" s="150">
        <f>+YEAR(PROVEEDORES[[#This Row],[FECHA DE FACTURACIÓN]])</f>
        <v>2021</v>
      </c>
      <c r="W561" s="150">
        <f>+MATCH(PROVEEDORES[[#This Row],[año facturado]],Retenciones!$1:$1,0)</f>
        <v>4</v>
      </c>
      <c r="X561" s="151">
        <f>+VLOOKUP(PROVEEDORES[[#This Row],[ID RETENCION]],Retenciones!$A$1:$O$24,PROVEEDORES[[#This Row],[indicador de columna]],FALSE)</f>
        <v>0</v>
      </c>
      <c r="Y561" s="152">
        <f>+VLOOKUP(PROVEEDORES[[#This Row],[ID RETENCION]],Retenciones!$A$1:$O$24,2,FALSE)</f>
        <v>0</v>
      </c>
      <c r="Z561" s="26"/>
      <c r="AA561" s="26"/>
      <c r="AB561" s="26"/>
      <c r="AC561" s="26"/>
      <c r="AD561" s="26"/>
      <c r="AE561" s="26"/>
    </row>
    <row r="562" spans="1:31" ht="21.95" customHeight="1" x14ac:dyDescent="0.25">
      <c r="A562" s="97" t="str">
        <f>+IF(PROVEEDORES[[#This Row],[FECHA DE PAGO]]=PROVEEDORES[[#This Row],[FECHA DE FACTURACIÓN]],"DE CONTADO","CRÉDITO")</f>
        <v>CRÉDITO</v>
      </c>
      <c r="B562" s="41" t="str">
        <f>+IF((PROVEEDORES[[#This Row],[FECHA DE PAGO]]-PROVEEDORES[[#This Row],[FECHA DE FACTURACIÓN]])&gt;PROVEEDORES[[#This Row],[PLAZO Días]],"PAGO VENCIDO")</f>
        <v>PAGO VENCIDO</v>
      </c>
      <c r="C562" s="22">
        <f>+VLOOKUP(PROVEEDORES[[#This Row],[PROVEEDOR]],TERCEROS_INFO[#All],2,FALSE)</f>
        <v>90</v>
      </c>
      <c r="D562" s="27">
        <f>+SUMIFS(PROVEEDORES[Total],PROVEEDORES[PROVEEDOR],PROVEEDORES[[#This Row],[PROVEEDOR]],PROVEEDORES[FECHA DE PAGO],"")</f>
        <v>26364243.66155</v>
      </c>
      <c r="E562" s="27"/>
      <c r="F562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562" s="95">
        <v>44491</v>
      </c>
      <c r="H562" s="28" t="s">
        <v>12</v>
      </c>
      <c r="I562" s="95">
        <v>44390</v>
      </c>
      <c r="J562" s="38" t="s">
        <v>433</v>
      </c>
      <c r="K562" s="23">
        <v>6247056</v>
      </c>
      <c r="L562" s="23"/>
      <c r="M562" s="24">
        <v>1186940.6399999999</v>
      </c>
      <c r="N562" s="25"/>
      <c r="O562" s="24">
        <v>0</v>
      </c>
      <c r="P562" s="136">
        <f>+IF(PROVEEDORES[[#This Row],[SUBTOTAL]]&lt;PROVEEDORES[[#This Row],[base retencion]],0,PROVEEDORES[[#This Row],[retención aplicada]])</f>
        <v>2.5000000000000001E-2</v>
      </c>
      <c r="Q562" s="24">
        <f>+PROVEEDORES[[#This Row],[Rete Fuente %]]*PROVEEDORES[[#This Row],[SUBTOTAL]]</f>
        <v>156176.4</v>
      </c>
      <c r="R562" s="23">
        <v>7277820.2399999993</v>
      </c>
      <c r="S56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2" s="99">
        <f ca="1">IF(PROVEEDORES[[#This Row],[FECHA DE PAGO]]=0,TODAY()-PROVEEDORES[[#This Row],[FECHA DE FACTURACIÓN]]-PROVEEDORES[[#This Row],[PLAZO Días]],0)</f>
        <v>0</v>
      </c>
      <c r="U562" s="149" t="str">
        <f>+VLOOKUP(PROVEEDORES[[#This Row],[PROVEEDOR]],Terceros!$A:$E,5,FALSE)</f>
        <v>2,5% con base</v>
      </c>
      <c r="V562" s="150">
        <f>+YEAR(PROVEEDORES[[#This Row],[FECHA DE FACTURACIÓN]])</f>
        <v>2021</v>
      </c>
      <c r="W562" s="150">
        <f>+MATCH(PROVEEDORES[[#This Row],[año facturado]],Retenciones!$1:$1,0)</f>
        <v>4</v>
      </c>
      <c r="X562" s="151">
        <f>+VLOOKUP(PROVEEDORES[[#This Row],[ID RETENCION]],Retenciones!$A$1:$O$24,PROVEEDORES[[#This Row],[indicador de columna]],FALSE)</f>
        <v>980000</v>
      </c>
      <c r="Y562" s="152">
        <f>+VLOOKUP(PROVEEDORES[[#This Row],[ID RETENCION]],Retenciones!$A$1:$O$24,2,FALSE)</f>
        <v>2.5000000000000001E-2</v>
      </c>
      <c r="Z562" s="26"/>
      <c r="AA562" s="26"/>
      <c r="AB562" s="26"/>
      <c r="AC562" s="26"/>
      <c r="AD562" s="26"/>
      <c r="AE562" s="26"/>
    </row>
    <row r="563" spans="1:31" ht="21.95" customHeight="1" x14ac:dyDescent="0.25">
      <c r="A563" s="97" t="str">
        <f>+IF(PROVEEDORES[[#This Row],[FECHA DE PAGO]]=PROVEEDORES[[#This Row],[FECHA DE FACTURACIÓN]],"DE CONTADO","CRÉDITO")</f>
        <v>CRÉDITO</v>
      </c>
      <c r="B563" s="41" t="str">
        <f>+IF((PROVEEDORES[[#This Row],[FECHA DE PAGO]]-PROVEEDORES[[#This Row],[FECHA DE FACTURACIÓN]])&gt;PROVEEDORES[[#This Row],[PLAZO Días]],"PAGO VENCIDO")</f>
        <v>PAGO VENCIDO</v>
      </c>
      <c r="C563" s="22">
        <f>+VLOOKUP(PROVEEDORES[[#This Row],[PROVEEDOR]],TERCEROS_INFO[#All],2,FALSE)</f>
        <v>30</v>
      </c>
      <c r="D563" s="27">
        <f>+SUMIFS(PROVEEDORES[Total],PROVEEDORES[PROVEEDOR],PROVEEDORES[[#This Row],[PROVEEDOR]],PROVEEDORES[FECHA DE PAGO],"")</f>
        <v>0</v>
      </c>
      <c r="E563" s="27"/>
      <c r="F563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563" s="95">
        <v>44426</v>
      </c>
      <c r="H563" s="28" t="s">
        <v>1124</v>
      </c>
      <c r="I563" s="95">
        <v>44390</v>
      </c>
      <c r="J563" s="38">
        <v>19575</v>
      </c>
      <c r="K563" s="23">
        <v>9750000</v>
      </c>
      <c r="L563" s="23"/>
      <c r="M563" s="24">
        <v>1852500</v>
      </c>
      <c r="N563" s="25"/>
      <c r="O563" s="24">
        <v>0</v>
      </c>
      <c r="P563" s="136">
        <f>+IF(PROVEEDORES[[#This Row],[SUBTOTAL]]&lt;PROVEEDORES[[#This Row],[base retencion]],0,PROVEEDORES[[#This Row],[retención aplicada]])</f>
        <v>2.5000000000000001E-2</v>
      </c>
      <c r="Q563" s="24">
        <f>+PROVEEDORES[[#This Row],[Rete Fuente %]]*PROVEEDORES[[#This Row],[SUBTOTAL]]</f>
        <v>243750</v>
      </c>
      <c r="R563" s="23">
        <v>10644250</v>
      </c>
      <c r="S56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3" s="99">
        <f ca="1">IF(PROVEEDORES[[#This Row],[FECHA DE PAGO]]=0,TODAY()-PROVEEDORES[[#This Row],[FECHA DE FACTURACIÓN]]-PROVEEDORES[[#This Row],[PLAZO Días]],0)</f>
        <v>0</v>
      </c>
      <c r="U563" s="149" t="str">
        <f>+VLOOKUP(PROVEEDORES[[#This Row],[PROVEEDOR]],Terceros!$A:$E,5,FALSE)</f>
        <v>2,5% con base</v>
      </c>
      <c r="V563" s="150">
        <f>+YEAR(PROVEEDORES[[#This Row],[FECHA DE FACTURACIÓN]])</f>
        <v>2021</v>
      </c>
      <c r="W563" s="150">
        <f>+MATCH(PROVEEDORES[[#This Row],[año facturado]],Retenciones!$1:$1,0)</f>
        <v>4</v>
      </c>
      <c r="X563" s="151">
        <f>+VLOOKUP(PROVEEDORES[[#This Row],[ID RETENCION]],Retenciones!$A$1:$O$24,PROVEEDORES[[#This Row],[indicador de columna]],FALSE)</f>
        <v>980000</v>
      </c>
      <c r="Y563" s="152">
        <f>+VLOOKUP(PROVEEDORES[[#This Row],[ID RETENCION]],Retenciones!$A$1:$O$24,2,FALSE)</f>
        <v>2.5000000000000001E-2</v>
      </c>
      <c r="Z563" s="26"/>
      <c r="AA563" s="26"/>
      <c r="AB563" s="26"/>
      <c r="AC563" s="26"/>
      <c r="AD563" s="26"/>
      <c r="AE563" s="26"/>
    </row>
    <row r="564" spans="1:31" ht="21.95" customHeight="1" x14ac:dyDescent="0.25">
      <c r="A564" s="97" t="str">
        <f>+IF(PROVEEDORES[[#This Row],[FECHA DE PAGO]]=PROVEEDORES[[#This Row],[FECHA DE FACTURACIÓN]],"DE CONTADO","CRÉDITO")</f>
        <v>CRÉDITO</v>
      </c>
      <c r="B564" s="41" t="b">
        <f>+IF((PROVEEDORES[[#This Row],[FECHA DE PAGO]]-PROVEEDORES[[#This Row],[FECHA DE FACTURACIÓN]])&gt;PROVEEDORES[[#This Row],[PLAZO Días]],"PAGO VENCIDO")</f>
        <v>0</v>
      </c>
      <c r="C564" s="22">
        <f>+VLOOKUP(PROVEEDORES[[#This Row],[PROVEEDOR]],TERCEROS_INFO[#All],2,FALSE)</f>
        <v>90</v>
      </c>
      <c r="D564" s="27">
        <f>+SUMIFS(PROVEEDORES[Total],PROVEEDORES[PROVEEDOR],PROVEEDORES[[#This Row],[PROVEEDOR]],PROVEEDORES[FECHA DE PAGO],"")</f>
        <v>103407118</v>
      </c>
      <c r="E564" s="27"/>
      <c r="F564" s="62" t="str">
        <f>+VLOOKUP(PROVEEDORES[[#This Row],[PROVEEDOR]],
                       Terceros!$A:$G,
                       6,
                       FALSE)</f>
        <v>mcastillo@kenextrading.com;agarcia@kenextrading.com;girlesa.ruiz@servipilas.com;joriescobar64@gmail.com</v>
      </c>
      <c r="G564" s="95">
        <v>44476</v>
      </c>
      <c r="H564" s="28" t="s">
        <v>31</v>
      </c>
      <c r="I564" s="95">
        <v>44390</v>
      </c>
      <c r="J564" s="38">
        <v>54504</v>
      </c>
      <c r="K564" s="23">
        <v>53381991</v>
      </c>
      <c r="L564" s="23"/>
      <c r="M564" s="24">
        <v>0</v>
      </c>
      <c r="N564" s="25"/>
      <c r="O564" s="24">
        <v>0</v>
      </c>
      <c r="P564" s="136">
        <f>+IF(PROVEEDORES[[#This Row],[SUBTOTAL]]&lt;PROVEEDORES[[#This Row],[base retencion]],0,PROVEEDORES[[#This Row],[retención aplicada]])</f>
        <v>0</v>
      </c>
      <c r="Q564" s="24">
        <f>+PROVEEDORES[[#This Row],[Rete Fuente %]]*PROVEEDORES[[#This Row],[SUBTOTAL]]</f>
        <v>0</v>
      </c>
      <c r="R564" s="23">
        <v>53381991</v>
      </c>
      <c r="S56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4" s="99">
        <f ca="1">IF(PROVEEDORES[[#This Row],[FECHA DE PAGO]]=0,TODAY()-PROVEEDORES[[#This Row],[FECHA DE FACTURACIÓN]]-PROVEEDORES[[#This Row],[PLAZO Días]],0)</f>
        <v>0</v>
      </c>
      <c r="U564" s="149">
        <f>+VLOOKUP(PROVEEDORES[[#This Row],[PROVEEDOR]],Terceros!$A:$E,5,FALSE)</f>
        <v>0</v>
      </c>
      <c r="V564" s="150">
        <f>+YEAR(PROVEEDORES[[#This Row],[FECHA DE FACTURACIÓN]])</f>
        <v>2021</v>
      </c>
      <c r="W564" s="150">
        <f>+MATCH(PROVEEDORES[[#This Row],[año facturado]],Retenciones!$1:$1,0)</f>
        <v>4</v>
      </c>
      <c r="X564" s="151">
        <f>+VLOOKUP(PROVEEDORES[[#This Row],[ID RETENCION]],Retenciones!$A$1:$O$24,PROVEEDORES[[#This Row],[indicador de columna]],FALSE)</f>
        <v>0</v>
      </c>
      <c r="Y564" s="152">
        <f>+VLOOKUP(PROVEEDORES[[#This Row],[ID RETENCION]],Retenciones!$A$1:$O$24,2,FALSE)</f>
        <v>0</v>
      </c>
      <c r="Z564" s="26"/>
      <c r="AA564" s="26"/>
      <c r="AB564" s="26"/>
      <c r="AC564" s="26"/>
      <c r="AD564" s="26"/>
      <c r="AE564" s="26"/>
    </row>
    <row r="565" spans="1:31" ht="21.95" customHeight="1" x14ac:dyDescent="0.25">
      <c r="A565" s="97" t="str">
        <f>+IF(PROVEEDORES[[#This Row],[FECHA DE PAGO]]=PROVEEDORES[[#This Row],[FECHA DE FACTURACIÓN]],"DE CONTADO","CRÉDITO")</f>
        <v>CRÉDITO</v>
      </c>
      <c r="B565" s="41" t="str">
        <f>+IF((PROVEEDORES[[#This Row],[FECHA DE PAGO]]-PROVEEDORES[[#This Row],[FECHA DE FACTURACIÓN]])&gt;PROVEEDORES[[#This Row],[PLAZO Días]],"PAGO VENCIDO")</f>
        <v>PAGO VENCIDO</v>
      </c>
      <c r="C565" s="22">
        <f>+VLOOKUP(PROVEEDORES[[#This Row],[PROVEEDOR]],TERCEROS_INFO[#All],2,FALSE)</f>
        <v>30</v>
      </c>
      <c r="D565" s="27">
        <f>+SUMIFS(PROVEEDORES[Total],PROVEEDORES[PROVEEDOR],PROVEEDORES[[#This Row],[PROVEEDOR]],PROVEEDORES[FECHA DE PAGO],"")</f>
        <v>3355018.0749999997</v>
      </c>
      <c r="E565" s="27"/>
      <c r="F565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565" s="95">
        <v>44442</v>
      </c>
      <c r="H565" s="28" t="s">
        <v>222</v>
      </c>
      <c r="I565" s="95">
        <v>44391</v>
      </c>
      <c r="J565" s="38">
        <v>316</v>
      </c>
      <c r="K565" s="23">
        <v>324370</v>
      </c>
      <c r="L565" s="23"/>
      <c r="M565" s="24">
        <v>61630.3</v>
      </c>
      <c r="N565" s="25"/>
      <c r="O565" s="24">
        <v>0</v>
      </c>
      <c r="P565" s="136">
        <f>+IF(PROVEEDORES[[#This Row],[SUBTOTAL]]&lt;PROVEEDORES[[#This Row],[base retencion]],0,PROVEEDORES[[#This Row],[retención aplicada]])</f>
        <v>0</v>
      </c>
      <c r="Q565" s="24">
        <f>+PROVEEDORES[[#This Row],[Rete Fuente %]]*PROVEEDORES[[#This Row],[SUBTOTAL]]</f>
        <v>0</v>
      </c>
      <c r="R565" s="23">
        <v>386000.3</v>
      </c>
      <c r="S56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5" s="99">
        <f ca="1">IF(PROVEEDORES[[#This Row],[FECHA DE PAGO]]=0,TODAY()-PROVEEDORES[[#This Row],[FECHA DE FACTURACIÓN]]-PROVEEDORES[[#This Row],[PLAZO Días]],0)</f>
        <v>0</v>
      </c>
      <c r="U565" s="149" t="str">
        <f>+VLOOKUP(PROVEEDORES[[#This Row],[PROVEEDOR]],Terceros!$A:$E,5,FALSE)</f>
        <v>2,5% con base</v>
      </c>
      <c r="V565" s="150">
        <f>+YEAR(PROVEEDORES[[#This Row],[FECHA DE FACTURACIÓN]])</f>
        <v>2021</v>
      </c>
      <c r="W565" s="150">
        <f>+MATCH(PROVEEDORES[[#This Row],[año facturado]],Retenciones!$1:$1,0)</f>
        <v>4</v>
      </c>
      <c r="X565" s="151">
        <f>+VLOOKUP(PROVEEDORES[[#This Row],[ID RETENCION]],Retenciones!$A$1:$O$24,PROVEEDORES[[#This Row],[indicador de columna]],FALSE)</f>
        <v>980000</v>
      </c>
      <c r="Y565" s="152">
        <f>+VLOOKUP(PROVEEDORES[[#This Row],[ID RETENCION]],Retenciones!$A$1:$O$24,2,FALSE)</f>
        <v>2.5000000000000001E-2</v>
      </c>
      <c r="Z565" s="26"/>
      <c r="AA565" s="26"/>
      <c r="AB565" s="26"/>
      <c r="AC565" s="26"/>
      <c r="AD565" s="26"/>
      <c r="AE565" s="26"/>
    </row>
    <row r="566" spans="1:31" ht="21.95" customHeight="1" x14ac:dyDescent="0.25">
      <c r="A566" s="97" t="str">
        <f>+IF(PROVEEDORES[[#This Row],[FECHA DE PAGO]]=PROVEEDORES[[#This Row],[FECHA DE FACTURACIÓN]],"DE CONTADO","CRÉDITO")</f>
        <v>CRÉDITO</v>
      </c>
      <c r="B566" s="41" t="b">
        <f>+IF((PROVEEDORES[[#This Row],[FECHA DE PAGO]]-PROVEEDORES[[#This Row],[FECHA DE FACTURACIÓN]])&gt;PROVEEDORES[[#This Row],[PLAZO Días]],"PAGO VENCIDO")</f>
        <v>0</v>
      </c>
      <c r="C566" s="22">
        <f>+VLOOKUP(PROVEEDORES[[#This Row],[PROVEEDOR]],TERCEROS_INFO[#All],2,FALSE)</f>
        <v>30</v>
      </c>
      <c r="D566" s="27">
        <f>+SUMIFS(PROVEEDORES[Total],PROVEEDORES[PROVEEDOR],PROVEEDORES[[#This Row],[PROVEEDOR]],PROVEEDORES[FECHA DE PAGO],"")</f>
        <v>367873.4</v>
      </c>
      <c r="E566" s="27"/>
      <c r="F566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566" s="95">
        <v>44393</v>
      </c>
      <c r="H566" s="28" t="s">
        <v>120</v>
      </c>
      <c r="I566" s="95">
        <v>44391</v>
      </c>
      <c r="J566" s="38" t="s">
        <v>759</v>
      </c>
      <c r="K566" s="23">
        <v>1531000</v>
      </c>
      <c r="L566" s="23"/>
      <c r="M566" s="24">
        <v>0</v>
      </c>
      <c r="N566" s="25"/>
      <c r="O566" s="24">
        <v>0</v>
      </c>
      <c r="P566" s="136">
        <f>+IF(PROVEEDORES[[#This Row],[SUBTOTAL]]&lt;PROVEEDORES[[#This Row],[base retencion]],0,PROVEEDORES[[#This Row],[retención aplicada]])</f>
        <v>0</v>
      </c>
      <c r="Q566" s="24">
        <f>+PROVEEDORES[[#This Row],[Rete Fuente %]]*PROVEEDORES[[#This Row],[SUBTOTAL]]</f>
        <v>0</v>
      </c>
      <c r="R566" s="23">
        <v>1531000</v>
      </c>
      <c r="S56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6" s="99">
        <f ca="1">IF(PROVEEDORES[[#This Row],[FECHA DE PAGO]]=0,TODAY()-PROVEEDORES[[#This Row],[FECHA DE FACTURACIÓN]]-PROVEEDORES[[#This Row],[PLAZO Días]],0)</f>
        <v>0</v>
      </c>
      <c r="U566" s="149">
        <f>+VLOOKUP(PROVEEDORES[[#This Row],[PROVEEDOR]],Terceros!$A:$E,5,FALSE)</f>
        <v>0</v>
      </c>
      <c r="V566" s="150">
        <f>+YEAR(PROVEEDORES[[#This Row],[FECHA DE FACTURACIÓN]])</f>
        <v>2021</v>
      </c>
      <c r="W566" s="150">
        <f>+MATCH(PROVEEDORES[[#This Row],[año facturado]],Retenciones!$1:$1,0)</f>
        <v>4</v>
      </c>
      <c r="X566" s="151">
        <f>+VLOOKUP(PROVEEDORES[[#This Row],[ID RETENCION]],Retenciones!$A$1:$O$24,PROVEEDORES[[#This Row],[indicador de columna]],FALSE)</f>
        <v>0</v>
      </c>
      <c r="Y566" s="152">
        <f>+VLOOKUP(PROVEEDORES[[#This Row],[ID RETENCION]],Retenciones!$A$1:$O$24,2,FALSE)</f>
        <v>0</v>
      </c>
      <c r="Z566" s="26"/>
      <c r="AA566" s="26"/>
      <c r="AB566" s="26"/>
      <c r="AC566" s="26"/>
      <c r="AD566" s="26"/>
      <c r="AE566" s="26"/>
    </row>
    <row r="567" spans="1:31" ht="21.95" customHeight="1" x14ac:dyDescent="0.25">
      <c r="A567" s="97" t="str">
        <f>+IF(PROVEEDORES[[#This Row],[FECHA DE PAGO]]=PROVEEDORES[[#This Row],[FECHA DE FACTURACIÓN]],"DE CONTADO","CRÉDITO")</f>
        <v>CRÉDITO</v>
      </c>
      <c r="B567" s="41" t="b">
        <f>+IF((PROVEEDORES[[#This Row],[FECHA DE PAGO]]-PROVEEDORES[[#This Row],[FECHA DE FACTURACIÓN]])&gt;PROVEEDORES[[#This Row],[PLAZO Días]],"PAGO VENCIDO")</f>
        <v>0</v>
      </c>
      <c r="C567" s="22">
        <f>+VLOOKUP(PROVEEDORES[[#This Row],[PROVEEDOR]],TERCEROS_INFO[#All],2,FALSE)</f>
        <v>30</v>
      </c>
      <c r="D567" s="27">
        <f>+SUMIFS(PROVEEDORES[Total],PROVEEDORES[PROVEEDOR],PROVEEDORES[[#This Row],[PROVEEDOR]],PROVEEDORES[FECHA DE PAGO],"")</f>
        <v>0</v>
      </c>
      <c r="E567" s="27"/>
      <c r="F567" s="62" t="str">
        <f>+VLOOKUP(PROVEEDORES[[#This Row],[PROVEEDOR]],
                       Terceros!$A:$G,
                       6,
                       FALSE)</f>
        <v/>
      </c>
      <c r="G567" s="95">
        <v>44393</v>
      </c>
      <c r="H567" s="28" t="s">
        <v>56</v>
      </c>
      <c r="I567" s="95">
        <v>44391</v>
      </c>
      <c r="J567" s="38">
        <v>54504</v>
      </c>
      <c r="K567" s="23">
        <v>13177000</v>
      </c>
      <c r="L567" s="23"/>
      <c r="M567" s="24">
        <v>0</v>
      </c>
      <c r="N567" s="25"/>
      <c r="O567" s="24">
        <v>0</v>
      </c>
      <c r="P567" s="136">
        <f>+IF(PROVEEDORES[[#This Row],[SUBTOTAL]]&lt;PROVEEDORES[[#This Row],[base retencion]],0,PROVEEDORES[[#This Row],[retención aplicada]])</f>
        <v>0</v>
      </c>
      <c r="Q567" s="24">
        <f>+PROVEEDORES[[#This Row],[Rete Fuente %]]*PROVEEDORES[[#This Row],[SUBTOTAL]]</f>
        <v>0</v>
      </c>
      <c r="R567" s="23">
        <v>13177000</v>
      </c>
      <c r="S56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7" s="99">
        <f ca="1">IF(PROVEEDORES[[#This Row],[FECHA DE PAGO]]=0,TODAY()-PROVEEDORES[[#This Row],[FECHA DE FACTURACIÓN]]-PROVEEDORES[[#This Row],[PLAZO Días]],0)</f>
        <v>0</v>
      </c>
      <c r="U567" s="149">
        <f>+VLOOKUP(PROVEEDORES[[#This Row],[PROVEEDOR]],Terceros!$A:$E,5,FALSE)</f>
        <v>0</v>
      </c>
      <c r="V567" s="150">
        <f>+YEAR(PROVEEDORES[[#This Row],[FECHA DE FACTURACIÓN]])</f>
        <v>2021</v>
      </c>
      <c r="W567" s="150">
        <f>+MATCH(PROVEEDORES[[#This Row],[año facturado]],Retenciones!$1:$1,0)</f>
        <v>4</v>
      </c>
      <c r="X567" s="151">
        <f>+VLOOKUP(PROVEEDORES[[#This Row],[ID RETENCION]],Retenciones!$A$1:$O$24,PROVEEDORES[[#This Row],[indicador de columna]],FALSE)</f>
        <v>0</v>
      </c>
      <c r="Y567" s="152">
        <f>+VLOOKUP(PROVEEDORES[[#This Row],[ID RETENCION]],Retenciones!$A$1:$O$24,2,FALSE)</f>
        <v>0</v>
      </c>
      <c r="Z567" s="26"/>
      <c r="AA567" s="26"/>
      <c r="AB567" s="26"/>
      <c r="AC567" s="26"/>
      <c r="AD567" s="26"/>
      <c r="AE567" s="26"/>
    </row>
    <row r="568" spans="1:31" ht="21.95" customHeight="1" x14ac:dyDescent="0.25">
      <c r="A568" s="97" t="str">
        <f>+IF(PROVEEDORES[[#This Row],[FECHA DE PAGO]]=PROVEEDORES[[#This Row],[FECHA DE FACTURACIÓN]],"DE CONTADO","CRÉDITO")</f>
        <v>DE CONTADO</v>
      </c>
      <c r="B568" s="41" t="b">
        <f>+IF((PROVEEDORES[[#This Row],[FECHA DE PAGO]]-PROVEEDORES[[#This Row],[FECHA DE FACTURACIÓN]])&gt;PROVEEDORES[[#This Row],[PLAZO Días]],"PAGO VENCIDO")</f>
        <v>0</v>
      </c>
      <c r="C568" s="22">
        <f>+VLOOKUP(PROVEEDORES[[#This Row],[PROVEEDOR]],TERCEROS_INFO[#All],2,FALSE)</f>
        <v>30</v>
      </c>
      <c r="D568" s="27">
        <f>+SUMIFS(PROVEEDORES[Total],PROVEEDORES[PROVEEDOR],PROVEEDORES[[#This Row],[PROVEEDOR]],PROVEEDORES[FECHA DE PAGO],"")</f>
        <v>0</v>
      </c>
      <c r="E568" s="27"/>
      <c r="F568" s="62" t="str">
        <f>+VLOOKUP(PROVEEDORES[[#This Row],[PROVEEDOR]],
                       Terceros!$A:$G,
                       6,
                       FALSE)</f>
        <v/>
      </c>
      <c r="G568" s="95">
        <v>44392</v>
      </c>
      <c r="H568" s="28" t="s">
        <v>1010</v>
      </c>
      <c r="I568" s="95">
        <v>44392</v>
      </c>
      <c r="J568" s="38" t="s">
        <v>760</v>
      </c>
      <c r="K568" s="23">
        <v>39000</v>
      </c>
      <c r="L568" s="23"/>
      <c r="M568" s="24">
        <v>0</v>
      </c>
      <c r="N568" s="25"/>
      <c r="O568" s="24">
        <v>0</v>
      </c>
      <c r="P568" s="136">
        <f>+IF(PROVEEDORES[[#This Row],[SUBTOTAL]]&lt;PROVEEDORES[[#This Row],[base retencion]],0,PROVEEDORES[[#This Row],[retención aplicada]])</f>
        <v>0</v>
      </c>
      <c r="Q568" s="24">
        <f>+PROVEEDORES[[#This Row],[Rete Fuente %]]*PROVEEDORES[[#This Row],[SUBTOTAL]]</f>
        <v>0</v>
      </c>
      <c r="R568" s="23">
        <v>39000</v>
      </c>
      <c r="S56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8" s="99">
        <f ca="1">IF(PROVEEDORES[[#This Row],[FECHA DE PAGO]]=0,TODAY()-PROVEEDORES[[#This Row],[FECHA DE FACTURACIÓN]]-PROVEEDORES[[#This Row],[PLAZO Días]],0)</f>
        <v>0</v>
      </c>
      <c r="U568" s="149">
        <f>+VLOOKUP(PROVEEDORES[[#This Row],[PROVEEDOR]],Terceros!$A:$E,5,FALSE)</f>
        <v>0</v>
      </c>
      <c r="V568" s="150">
        <f>+YEAR(PROVEEDORES[[#This Row],[FECHA DE FACTURACIÓN]])</f>
        <v>2021</v>
      </c>
      <c r="W568" s="150">
        <f>+MATCH(PROVEEDORES[[#This Row],[año facturado]],Retenciones!$1:$1,0)</f>
        <v>4</v>
      </c>
      <c r="X568" s="151">
        <f>+VLOOKUP(PROVEEDORES[[#This Row],[ID RETENCION]],Retenciones!$A$1:$O$24,PROVEEDORES[[#This Row],[indicador de columna]],FALSE)</f>
        <v>0</v>
      </c>
      <c r="Y568" s="152">
        <f>+VLOOKUP(PROVEEDORES[[#This Row],[ID RETENCION]],Retenciones!$A$1:$O$24,2,FALSE)</f>
        <v>0</v>
      </c>
      <c r="Z568" s="26"/>
      <c r="AA568" s="26"/>
      <c r="AB568" s="26"/>
      <c r="AC568" s="26"/>
      <c r="AD568" s="26"/>
      <c r="AE568" s="26"/>
    </row>
    <row r="569" spans="1:31" ht="21.95" customHeight="1" x14ac:dyDescent="0.25">
      <c r="A569" s="97" t="str">
        <f>+IF(PROVEEDORES[[#This Row],[FECHA DE PAGO]]=PROVEEDORES[[#This Row],[FECHA DE FACTURACIÓN]],"DE CONTADO","CRÉDITO")</f>
        <v>CRÉDITO</v>
      </c>
      <c r="B569" s="41" t="str">
        <f>+IF((PROVEEDORES[[#This Row],[FECHA DE PAGO]]-PROVEEDORES[[#This Row],[FECHA DE FACTURACIÓN]])&gt;PROVEEDORES[[#This Row],[PLAZO Días]],"PAGO VENCIDO")</f>
        <v>PAGO VENCIDO</v>
      </c>
      <c r="C569" s="22">
        <f>+VLOOKUP(PROVEEDORES[[#This Row],[PROVEEDOR]],TERCEROS_INFO[#All],2,FALSE)</f>
        <v>30</v>
      </c>
      <c r="D569" s="27">
        <f>+SUMIFS(PROVEEDORES[Total],PROVEEDORES[PROVEEDOR],PROVEEDORES[[#This Row],[PROVEEDOR]],PROVEEDORES[FECHA DE PAGO],"")</f>
        <v>0</v>
      </c>
      <c r="E569" s="27"/>
      <c r="F569" s="62" t="str">
        <f>+VLOOKUP(PROVEEDORES[[#This Row],[PROVEEDOR]],
                       Terceros!$A:$G,
                       6,
                       FALSE)</f>
        <v>cxc11@unitecusa.com.co;jefecartera@unitecusa.com.co;girlesa.ruiz@servipilas.com;joriescobar64@gmail.com</v>
      </c>
      <c r="G569" s="95">
        <v>44426</v>
      </c>
      <c r="H569" s="28" t="s">
        <v>14</v>
      </c>
      <c r="I569" s="95">
        <v>44392</v>
      </c>
      <c r="J569" s="38" t="s">
        <v>432</v>
      </c>
      <c r="K569" s="23">
        <v>142856</v>
      </c>
      <c r="L569" s="23"/>
      <c r="M569" s="24">
        <v>27142.639999999999</v>
      </c>
      <c r="N569" s="25"/>
      <c r="O569" s="24">
        <v>0</v>
      </c>
      <c r="P569" s="136">
        <f>+IF(PROVEEDORES[[#This Row],[SUBTOTAL]]&lt;PROVEEDORES[[#This Row],[base retencion]],0,PROVEEDORES[[#This Row],[retención aplicada]])</f>
        <v>0</v>
      </c>
      <c r="Q569" s="24">
        <f>+PROVEEDORES[[#This Row],[Rete Fuente %]]*PROVEEDORES[[#This Row],[SUBTOTAL]]</f>
        <v>0</v>
      </c>
      <c r="R569" s="23">
        <v>169998.64</v>
      </c>
      <c r="S56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9" s="99">
        <f ca="1">IF(PROVEEDORES[[#This Row],[FECHA DE PAGO]]=0,TODAY()-PROVEEDORES[[#This Row],[FECHA DE FACTURACIÓN]]-PROVEEDORES[[#This Row],[PLAZO Días]],0)</f>
        <v>0</v>
      </c>
      <c r="U569" s="149" t="str">
        <f>+VLOOKUP(PROVEEDORES[[#This Row],[PROVEEDOR]],Terceros!$A:$E,5,FALSE)</f>
        <v>2,5% con base</v>
      </c>
      <c r="V569" s="150">
        <f>+YEAR(PROVEEDORES[[#This Row],[FECHA DE FACTURACIÓN]])</f>
        <v>2021</v>
      </c>
      <c r="W569" s="150">
        <f>+MATCH(PROVEEDORES[[#This Row],[año facturado]],Retenciones!$1:$1,0)</f>
        <v>4</v>
      </c>
      <c r="X569" s="151">
        <f>+VLOOKUP(PROVEEDORES[[#This Row],[ID RETENCION]],Retenciones!$A$1:$O$24,PROVEEDORES[[#This Row],[indicador de columna]],FALSE)</f>
        <v>980000</v>
      </c>
      <c r="Y569" s="152">
        <f>+VLOOKUP(PROVEEDORES[[#This Row],[ID RETENCION]],Retenciones!$A$1:$O$24,2,FALSE)</f>
        <v>2.5000000000000001E-2</v>
      </c>
      <c r="Z569" s="26"/>
      <c r="AA569" s="26"/>
      <c r="AB569" s="26"/>
      <c r="AC569" s="26"/>
      <c r="AD569" s="26"/>
      <c r="AE569" s="26"/>
    </row>
    <row r="570" spans="1:31" ht="21.95" customHeight="1" x14ac:dyDescent="0.25">
      <c r="A570" s="97" t="str">
        <f>+IF(PROVEEDORES[[#This Row],[FECHA DE PAGO]]=PROVEEDORES[[#This Row],[FECHA DE FACTURACIÓN]],"DE CONTADO","CRÉDITO")</f>
        <v>CRÉDITO</v>
      </c>
      <c r="B570" s="41" t="str">
        <f>+IF((PROVEEDORES[[#This Row],[FECHA DE PAGO]]-PROVEEDORES[[#This Row],[FECHA DE FACTURACIÓN]])&gt;PROVEEDORES[[#This Row],[PLAZO Días]],"PAGO VENCIDO")</f>
        <v>PAGO VENCIDO</v>
      </c>
      <c r="C570" s="22">
        <f>+VLOOKUP(PROVEEDORES[[#This Row],[PROVEEDOR]],TERCEROS_INFO[#All],2,FALSE)</f>
        <v>30</v>
      </c>
      <c r="D570" s="27">
        <f>+SUMIFS(PROVEEDORES[Total],PROVEEDORES[PROVEEDOR],PROVEEDORES[[#This Row],[PROVEEDOR]],PROVEEDORES[FECHA DE PAGO],"")</f>
        <v>0</v>
      </c>
      <c r="E570" s="27"/>
      <c r="F570" s="62" t="str">
        <f>+VLOOKUP(PROVEEDORES[[#This Row],[PROVEEDOR]],
                       Terceros!$A:$G,
                       6,
                       FALSE)</f>
        <v>propertymarketingsas@hotmail.com;girlesa.ruiz@servipilas.com;joriescobar64@gmail.com</v>
      </c>
      <c r="G570" s="95">
        <v>44432</v>
      </c>
      <c r="H570" s="28" t="s">
        <v>483</v>
      </c>
      <c r="I570" s="95">
        <v>44369</v>
      </c>
      <c r="J570" s="38" t="s">
        <v>743</v>
      </c>
      <c r="K570" s="23">
        <v>-1000000</v>
      </c>
      <c r="L570" s="23"/>
      <c r="M570" s="24">
        <v>0</v>
      </c>
      <c r="N570" s="25"/>
      <c r="O570" s="24">
        <v>0</v>
      </c>
      <c r="P570" s="136">
        <f>+IF(PROVEEDORES[[#This Row],[SUBTOTAL]]&lt;PROVEEDORES[[#This Row],[base retencion]],0,PROVEEDORES[[#This Row],[retención aplicada]])</f>
        <v>0</v>
      </c>
      <c r="Q570" s="24">
        <f>+PROVEEDORES[[#This Row],[Rete Fuente %]]*PROVEEDORES[[#This Row],[SUBTOTAL]]</f>
        <v>0</v>
      </c>
      <c r="R570" s="23">
        <v>-1000000</v>
      </c>
      <c r="S57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0" s="99">
        <f ca="1">IF(PROVEEDORES[[#This Row],[FECHA DE PAGO]]=0,TODAY()-PROVEEDORES[[#This Row],[FECHA DE FACTURACIÓN]]-PROVEEDORES[[#This Row],[PLAZO Días]],0)</f>
        <v>0</v>
      </c>
      <c r="U570" s="149" t="str">
        <f>+VLOOKUP(PROVEEDORES[[#This Row],[PROVEEDOR]],Terceros!$A:$E,5,FALSE)</f>
        <v>3,5% sin base</v>
      </c>
      <c r="V570" s="150">
        <f>+YEAR(PROVEEDORES[[#This Row],[FECHA DE FACTURACIÓN]])</f>
        <v>2021</v>
      </c>
      <c r="W570" s="150">
        <f>+MATCH(PROVEEDORES[[#This Row],[año facturado]],Retenciones!$1:$1,0)</f>
        <v>4</v>
      </c>
      <c r="X570" s="151">
        <f>+VLOOKUP(PROVEEDORES[[#This Row],[ID RETENCION]],Retenciones!$A$1:$O$24,PROVEEDORES[[#This Row],[indicador de columna]],FALSE)</f>
        <v>0</v>
      </c>
      <c r="Y570" s="152">
        <f>+VLOOKUP(PROVEEDORES[[#This Row],[ID RETENCION]],Retenciones!$A$1:$O$24,2,FALSE)</f>
        <v>3.5000000000000003E-2</v>
      </c>
      <c r="Z570" s="26"/>
      <c r="AA570" s="26"/>
      <c r="AB570" s="26"/>
      <c r="AC570" s="26"/>
      <c r="AD570" s="26"/>
      <c r="AE570" s="26"/>
    </row>
    <row r="571" spans="1:31" ht="21.95" customHeight="1" x14ac:dyDescent="0.25">
      <c r="A571" s="97" t="str">
        <f>+IF(PROVEEDORES[[#This Row],[FECHA DE PAGO]]=PROVEEDORES[[#This Row],[FECHA DE FACTURACIÓN]],"DE CONTADO","CRÉDITO")</f>
        <v>CRÉDITO</v>
      </c>
      <c r="B571" s="41" t="str">
        <f>+IF((PROVEEDORES[[#This Row],[FECHA DE PAGO]]-PROVEEDORES[[#This Row],[FECHA DE FACTURACIÓN]])&gt;PROVEEDORES[[#This Row],[PLAZO Días]],"PAGO VENCIDO")</f>
        <v>PAGO VENCIDO</v>
      </c>
      <c r="C571" s="22">
        <f>+VLOOKUP(PROVEEDORES[[#This Row],[PROVEEDOR]],TERCEROS_INFO[#All],2,FALSE)</f>
        <v>30</v>
      </c>
      <c r="D571" s="27">
        <f>+SUMIFS(PROVEEDORES[Total],PROVEEDORES[PROVEEDOR],PROVEEDORES[[#This Row],[PROVEEDOR]],PROVEEDORES[FECHA DE PAGO],"")</f>
        <v>479654.98979999998</v>
      </c>
      <c r="E571" s="27"/>
      <c r="F571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571" s="95">
        <v>44442</v>
      </c>
      <c r="H571" s="28" t="s">
        <v>1139</v>
      </c>
      <c r="I571" s="95">
        <v>44392</v>
      </c>
      <c r="J571" s="38">
        <v>1416</v>
      </c>
      <c r="K571" s="23">
        <v>2333613.44</v>
      </c>
      <c r="L571" s="23"/>
      <c r="M571" s="24">
        <v>443386.55359999998</v>
      </c>
      <c r="N571" s="25"/>
      <c r="O571" s="24">
        <v>0</v>
      </c>
      <c r="P571" s="136">
        <f>+IF(PROVEEDORES[[#This Row],[SUBTOTAL]]&lt;PROVEEDORES[[#This Row],[base retencion]],0,PROVEEDORES[[#This Row],[retención aplicada]])</f>
        <v>2.5000000000000001E-2</v>
      </c>
      <c r="Q571" s="24">
        <f>+PROVEEDORES[[#This Row],[Rete Fuente %]]*PROVEEDORES[[#This Row],[SUBTOTAL]]</f>
        <v>58340.336000000003</v>
      </c>
      <c r="R571" s="23">
        <v>2718659.6575999996</v>
      </c>
      <c r="S57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1" s="99">
        <f ca="1">IF(PROVEEDORES[[#This Row],[FECHA DE PAGO]]=0,TODAY()-PROVEEDORES[[#This Row],[FECHA DE FACTURACIÓN]]-PROVEEDORES[[#This Row],[PLAZO Días]],0)</f>
        <v>0</v>
      </c>
      <c r="U571" s="149" t="str">
        <f>+VLOOKUP(PROVEEDORES[[#This Row],[PROVEEDOR]],Terceros!$A:$E,5,FALSE)</f>
        <v>2,5% con base</v>
      </c>
      <c r="V571" s="150">
        <f>+YEAR(PROVEEDORES[[#This Row],[FECHA DE FACTURACIÓN]])</f>
        <v>2021</v>
      </c>
      <c r="W571" s="150">
        <f>+MATCH(PROVEEDORES[[#This Row],[año facturado]],Retenciones!$1:$1,0)</f>
        <v>4</v>
      </c>
      <c r="X571" s="151">
        <f>+VLOOKUP(PROVEEDORES[[#This Row],[ID RETENCION]],Retenciones!$A$1:$O$24,PROVEEDORES[[#This Row],[indicador de columna]],FALSE)</f>
        <v>980000</v>
      </c>
      <c r="Y571" s="152">
        <f>+VLOOKUP(PROVEEDORES[[#This Row],[ID RETENCION]],Retenciones!$A$1:$O$24,2,FALSE)</f>
        <v>2.5000000000000001E-2</v>
      </c>
      <c r="Z571" s="26"/>
      <c r="AA571" s="26"/>
      <c r="AB571" s="26"/>
      <c r="AC571" s="26"/>
      <c r="AD571" s="26"/>
      <c r="AE571" s="26"/>
    </row>
    <row r="572" spans="1:31" ht="21.95" customHeight="1" x14ac:dyDescent="0.25">
      <c r="A572" s="97" t="str">
        <f>+IF(PROVEEDORES[[#This Row],[FECHA DE PAGO]]=PROVEEDORES[[#This Row],[FECHA DE FACTURACIÓN]],"DE CONTADO","CRÉDITO")</f>
        <v>CRÉDITO</v>
      </c>
      <c r="B572" s="41" t="str">
        <f>+IF((PROVEEDORES[[#This Row],[FECHA DE PAGO]]-PROVEEDORES[[#This Row],[FECHA DE FACTURACIÓN]])&gt;PROVEEDORES[[#This Row],[PLAZO Días]],"PAGO VENCIDO")</f>
        <v>PAGO VENCIDO</v>
      </c>
      <c r="C572" s="22">
        <f>+VLOOKUP(PROVEEDORES[[#This Row],[PROVEEDOR]],TERCEROS_INFO[#All],2,FALSE)</f>
        <v>30</v>
      </c>
      <c r="D572" s="27">
        <f>+SUMIFS(PROVEEDORES[Total],PROVEEDORES[PROVEEDOR],PROVEEDORES[[#This Row],[PROVEEDOR]],PROVEEDORES[FECHA DE PAGO],"")</f>
        <v>0</v>
      </c>
      <c r="E572" s="27"/>
      <c r="F572" s="62" t="str">
        <f>+VLOOKUP(PROVEEDORES[[#This Row],[PROVEEDOR]],
                       Terceros!$A:$G,
                       6,
                       FALSE)</f>
        <v>propertymarketingsas@hotmail.com;girlesa.ruiz@servipilas.com;joriescobar64@gmail.com</v>
      </c>
      <c r="G572" s="95">
        <v>44432</v>
      </c>
      <c r="H572" s="28" t="s">
        <v>483</v>
      </c>
      <c r="I572" s="95">
        <v>44396</v>
      </c>
      <c r="J572" s="38" t="s">
        <v>743</v>
      </c>
      <c r="K572" s="23">
        <v>-1000000</v>
      </c>
      <c r="L572" s="23"/>
      <c r="M572" s="24">
        <v>0</v>
      </c>
      <c r="N572" s="25"/>
      <c r="O572" s="24">
        <v>0</v>
      </c>
      <c r="P572" s="136">
        <f>+IF(PROVEEDORES[[#This Row],[SUBTOTAL]]&lt;PROVEEDORES[[#This Row],[base retencion]],0,PROVEEDORES[[#This Row],[retención aplicada]])</f>
        <v>0</v>
      </c>
      <c r="Q572" s="24">
        <f>+PROVEEDORES[[#This Row],[Rete Fuente %]]*PROVEEDORES[[#This Row],[SUBTOTAL]]</f>
        <v>0</v>
      </c>
      <c r="R572" s="23">
        <v>-1000000</v>
      </c>
      <c r="S57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2" s="99">
        <f ca="1">IF(PROVEEDORES[[#This Row],[FECHA DE PAGO]]=0,TODAY()-PROVEEDORES[[#This Row],[FECHA DE FACTURACIÓN]]-PROVEEDORES[[#This Row],[PLAZO Días]],0)</f>
        <v>0</v>
      </c>
      <c r="U572" s="149" t="str">
        <f>+VLOOKUP(PROVEEDORES[[#This Row],[PROVEEDOR]],Terceros!$A:$E,5,FALSE)</f>
        <v>3,5% sin base</v>
      </c>
      <c r="V572" s="150">
        <f>+YEAR(PROVEEDORES[[#This Row],[FECHA DE FACTURACIÓN]])</f>
        <v>2021</v>
      </c>
      <c r="W572" s="150">
        <f>+MATCH(PROVEEDORES[[#This Row],[año facturado]],Retenciones!$1:$1,0)</f>
        <v>4</v>
      </c>
      <c r="X572" s="151">
        <f>+VLOOKUP(PROVEEDORES[[#This Row],[ID RETENCION]],Retenciones!$A$1:$O$24,PROVEEDORES[[#This Row],[indicador de columna]],FALSE)</f>
        <v>0</v>
      </c>
      <c r="Y572" s="152">
        <f>+VLOOKUP(PROVEEDORES[[#This Row],[ID RETENCION]],Retenciones!$A$1:$O$24,2,FALSE)</f>
        <v>3.5000000000000003E-2</v>
      </c>
      <c r="Z572" s="26"/>
      <c r="AA572" s="26"/>
      <c r="AB572" s="26"/>
      <c r="AC572" s="26"/>
      <c r="AD572" s="26"/>
      <c r="AE572" s="26"/>
    </row>
    <row r="573" spans="1:31" ht="21.95" customHeight="1" x14ac:dyDescent="0.25">
      <c r="A573" s="97" t="str">
        <f>+IF(PROVEEDORES[[#This Row],[FECHA DE PAGO]]=PROVEEDORES[[#This Row],[FECHA DE FACTURACIÓN]],"DE CONTADO","CRÉDITO")</f>
        <v>DE CONTADO</v>
      </c>
      <c r="B573" s="41" t="b">
        <f>+IF((PROVEEDORES[[#This Row],[FECHA DE PAGO]]-PROVEEDORES[[#This Row],[FECHA DE FACTURACIÓN]])&gt;PROVEEDORES[[#This Row],[PLAZO Días]],"PAGO VENCIDO")</f>
        <v>0</v>
      </c>
      <c r="C573" s="22">
        <f>+VLOOKUP(PROVEEDORES[[#This Row],[PROVEEDOR]],TERCEROS_INFO[#All],2,FALSE)</f>
        <v>30</v>
      </c>
      <c r="D573" s="27">
        <f>+SUMIFS(PROVEEDORES[Total],PROVEEDORES[PROVEEDOR],PROVEEDORES[[#This Row],[PROVEEDOR]],PROVEEDORES[FECHA DE PAGO],"")</f>
        <v>0</v>
      </c>
      <c r="E573" s="27"/>
      <c r="F573" s="62" t="str">
        <f>+VLOOKUP(PROVEEDORES[[#This Row],[PROVEEDOR]],
                       Terceros!$A:$G,
                       6,
                       FALSE)</f>
        <v/>
      </c>
      <c r="G573" s="95">
        <v>44393</v>
      </c>
      <c r="H573" s="28" t="s">
        <v>1031</v>
      </c>
      <c r="I573" s="95">
        <v>44393</v>
      </c>
      <c r="J573" s="38" t="s">
        <v>761</v>
      </c>
      <c r="K573" s="23">
        <v>1648000</v>
      </c>
      <c r="L573" s="23"/>
      <c r="M573" s="24">
        <v>0</v>
      </c>
      <c r="N573" s="25"/>
      <c r="O573" s="24">
        <v>0</v>
      </c>
      <c r="P573" s="136">
        <f>+IF(PROVEEDORES[[#This Row],[SUBTOTAL]]&lt;PROVEEDORES[[#This Row],[base retencion]],0,PROVEEDORES[[#This Row],[retención aplicada]])</f>
        <v>0</v>
      </c>
      <c r="Q573" s="24">
        <f>+PROVEEDORES[[#This Row],[Rete Fuente %]]*PROVEEDORES[[#This Row],[SUBTOTAL]]</f>
        <v>0</v>
      </c>
      <c r="R573" s="23">
        <v>1648000</v>
      </c>
      <c r="S57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3" s="99">
        <f ca="1">IF(PROVEEDORES[[#This Row],[FECHA DE PAGO]]=0,TODAY()-PROVEEDORES[[#This Row],[FECHA DE FACTURACIÓN]]-PROVEEDORES[[#This Row],[PLAZO Días]],0)</f>
        <v>0</v>
      </c>
      <c r="U573" s="149">
        <f>+VLOOKUP(PROVEEDORES[[#This Row],[PROVEEDOR]],Terceros!$A:$E,5,FALSE)</f>
        <v>0</v>
      </c>
      <c r="V573" s="150">
        <f>+YEAR(PROVEEDORES[[#This Row],[FECHA DE FACTURACIÓN]])</f>
        <v>2021</v>
      </c>
      <c r="W573" s="150">
        <f>+MATCH(PROVEEDORES[[#This Row],[año facturado]],Retenciones!$1:$1,0)</f>
        <v>4</v>
      </c>
      <c r="X573" s="151">
        <f>+VLOOKUP(PROVEEDORES[[#This Row],[ID RETENCION]],Retenciones!$A$1:$O$24,PROVEEDORES[[#This Row],[indicador de columna]],FALSE)</f>
        <v>0</v>
      </c>
      <c r="Y573" s="152">
        <f>+VLOOKUP(PROVEEDORES[[#This Row],[ID RETENCION]],Retenciones!$A$1:$O$24,2,FALSE)</f>
        <v>0</v>
      </c>
      <c r="Z573" s="26"/>
      <c r="AA573" s="26"/>
      <c r="AB573" s="26"/>
      <c r="AC573" s="26"/>
      <c r="AD573" s="26"/>
      <c r="AE573" s="26"/>
    </row>
    <row r="574" spans="1:31" ht="21.95" customHeight="1" x14ac:dyDescent="0.25">
      <c r="A574" s="97" t="str">
        <f>+IF(PROVEEDORES[[#This Row],[FECHA DE PAGO]]=PROVEEDORES[[#This Row],[FECHA DE FACTURACIÓN]],"DE CONTADO","CRÉDITO")</f>
        <v>DE CONTADO</v>
      </c>
      <c r="B574" s="41" t="b">
        <f>+IF((PROVEEDORES[[#This Row],[FECHA DE PAGO]]-PROVEEDORES[[#This Row],[FECHA DE FACTURACIÓN]])&gt;PROVEEDORES[[#This Row],[PLAZO Días]],"PAGO VENCIDO")</f>
        <v>0</v>
      </c>
      <c r="C574" s="22">
        <f>+VLOOKUP(PROVEEDORES[[#This Row],[PROVEEDOR]],TERCEROS_INFO[#All],2,FALSE)</f>
        <v>30</v>
      </c>
      <c r="D574" s="27">
        <f>+SUMIFS(PROVEEDORES[Total],PROVEEDORES[PROVEEDOR],PROVEEDORES[[#This Row],[PROVEEDOR]],PROVEEDORES[FECHA DE PAGO],"")</f>
        <v>0</v>
      </c>
      <c r="E574" s="27"/>
      <c r="F574" s="62" t="str">
        <f>+VLOOKUP(PROVEEDORES[[#This Row],[PROVEEDOR]],
                       Terceros!$A:$G,
                       6,
                       FALSE)</f>
        <v/>
      </c>
      <c r="G574" s="95">
        <v>44394</v>
      </c>
      <c r="H574" s="28" t="s">
        <v>1046</v>
      </c>
      <c r="I574" s="95">
        <v>44394</v>
      </c>
      <c r="J574" s="38"/>
      <c r="K574" s="23">
        <v>1736800</v>
      </c>
      <c r="L574" s="23"/>
      <c r="M574" s="24">
        <v>0</v>
      </c>
      <c r="N574" s="25"/>
      <c r="O574" s="24">
        <v>0</v>
      </c>
      <c r="P574" s="136">
        <f>+IF(PROVEEDORES[[#This Row],[SUBTOTAL]]&lt;PROVEEDORES[[#This Row],[base retencion]],0,PROVEEDORES[[#This Row],[retención aplicada]])</f>
        <v>0</v>
      </c>
      <c r="Q574" s="24">
        <f>+PROVEEDORES[[#This Row],[Rete Fuente %]]*PROVEEDORES[[#This Row],[SUBTOTAL]]</f>
        <v>0</v>
      </c>
      <c r="R574" s="23">
        <v>1736800</v>
      </c>
      <c r="S57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4" s="99">
        <f ca="1">IF(PROVEEDORES[[#This Row],[FECHA DE PAGO]]=0,TODAY()-PROVEEDORES[[#This Row],[FECHA DE FACTURACIÓN]]-PROVEEDORES[[#This Row],[PLAZO Días]],0)</f>
        <v>0</v>
      </c>
      <c r="U574" s="149">
        <f>+VLOOKUP(PROVEEDORES[[#This Row],[PROVEEDOR]],Terceros!$A:$E,5,FALSE)</f>
        <v>0</v>
      </c>
      <c r="V574" s="150">
        <f>+YEAR(PROVEEDORES[[#This Row],[FECHA DE FACTURACIÓN]])</f>
        <v>2021</v>
      </c>
      <c r="W574" s="150">
        <f>+MATCH(PROVEEDORES[[#This Row],[año facturado]],Retenciones!$1:$1,0)</f>
        <v>4</v>
      </c>
      <c r="X574" s="151">
        <f>+VLOOKUP(PROVEEDORES[[#This Row],[ID RETENCION]],Retenciones!$A$1:$O$24,PROVEEDORES[[#This Row],[indicador de columna]],FALSE)</f>
        <v>0</v>
      </c>
      <c r="Y574" s="152">
        <f>+VLOOKUP(PROVEEDORES[[#This Row],[ID RETENCION]],Retenciones!$A$1:$O$24,2,FALSE)</f>
        <v>0</v>
      </c>
      <c r="Z574" s="26"/>
      <c r="AA574" s="26"/>
      <c r="AB574" s="26"/>
      <c r="AC574" s="26"/>
      <c r="AD574" s="26"/>
      <c r="AE574" s="26"/>
    </row>
    <row r="575" spans="1:31" ht="21.95" customHeight="1" x14ac:dyDescent="0.25">
      <c r="A575" s="97" t="str">
        <f>+IF(PROVEEDORES[[#This Row],[FECHA DE PAGO]]=PROVEEDORES[[#This Row],[FECHA DE FACTURACIÓN]],"DE CONTADO","CRÉDITO")</f>
        <v>CRÉDITO</v>
      </c>
      <c r="B575" s="41" t="str">
        <f>+IF((PROVEEDORES[[#This Row],[FECHA DE PAGO]]-PROVEEDORES[[#This Row],[FECHA DE FACTURACIÓN]])&gt;PROVEEDORES[[#This Row],[PLAZO Días]],"PAGO VENCIDO")</f>
        <v>PAGO VENCIDO</v>
      </c>
      <c r="C575" s="22">
        <f>+VLOOKUP(PROVEEDORES[[#This Row],[PROVEEDOR]],TERCEROS_INFO[#All],2,FALSE)</f>
        <v>30</v>
      </c>
      <c r="D575" s="27">
        <f>+SUMIFS(PROVEEDORES[Total],PROVEEDORES[PROVEEDOR],PROVEEDORES[[#This Row],[PROVEEDOR]],PROVEEDORES[FECHA DE PAGO],"")</f>
        <v>0</v>
      </c>
      <c r="E575" s="27"/>
      <c r="F575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575" s="95">
        <v>44427</v>
      </c>
      <c r="H575" s="28" t="s">
        <v>1124</v>
      </c>
      <c r="I575" s="95">
        <v>44394</v>
      </c>
      <c r="J575" s="38">
        <v>19771</v>
      </c>
      <c r="K575" s="23">
        <v>2139000</v>
      </c>
      <c r="L575" s="23"/>
      <c r="M575" s="24">
        <v>406410</v>
      </c>
      <c r="N575" s="25"/>
      <c r="O575" s="24">
        <v>0</v>
      </c>
      <c r="P575" s="136">
        <f>+IF(PROVEEDORES[[#This Row],[SUBTOTAL]]&lt;PROVEEDORES[[#This Row],[base retencion]],0,PROVEEDORES[[#This Row],[retención aplicada]])</f>
        <v>2.5000000000000001E-2</v>
      </c>
      <c r="Q575" s="24">
        <f>+PROVEEDORES[[#This Row],[Rete Fuente %]]*PROVEEDORES[[#This Row],[SUBTOTAL]]</f>
        <v>53475</v>
      </c>
      <c r="R575" s="23">
        <v>2491935</v>
      </c>
      <c r="S57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5" s="99">
        <f ca="1">IF(PROVEEDORES[[#This Row],[FECHA DE PAGO]]=0,TODAY()-PROVEEDORES[[#This Row],[FECHA DE FACTURACIÓN]]-PROVEEDORES[[#This Row],[PLAZO Días]],0)</f>
        <v>0</v>
      </c>
      <c r="U575" s="149" t="str">
        <f>+VLOOKUP(PROVEEDORES[[#This Row],[PROVEEDOR]],Terceros!$A:$E,5,FALSE)</f>
        <v>2,5% con base</v>
      </c>
      <c r="V575" s="150">
        <f>+YEAR(PROVEEDORES[[#This Row],[FECHA DE FACTURACIÓN]])</f>
        <v>2021</v>
      </c>
      <c r="W575" s="150">
        <f>+MATCH(PROVEEDORES[[#This Row],[año facturado]],Retenciones!$1:$1,0)</f>
        <v>4</v>
      </c>
      <c r="X575" s="151">
        <f>+VLOOKUP(PROVEEDORES[[#This Row],[ID RETENCION]],Retenciones!$A$1:$O$24,PROVEEDORES[[#This Row],[indicador de columna]],FALSE)</f>
        <v>980000</v>
      </c>
      <c r="Y575" s="152">
        <f>+VLOOKUP(PROVEEDORES[[#This Row],[ID RETENCION]],Retenciones!$A$1:$O$24,2,FALSE)</f>
        <v>2.5000000000000001E-2</v>
      </c>
      <c r="Z575" s="26"/>
      <c r="AA575" s="26"/>
      <c r="AB575" s="26"/>
      <c r="AC575" s="26"/>
      <c r="AD575" s="26"/>
      <c r="AE575" s="26"/>
    </row>
    <row r="576" spans="1:31" ht="21.95" customHeight="1" x14ac:dyDescent="0.25">
      <c r="A576" s="97" t="str">
        <f>+IF(PROVEEDORES[[#This Row],[FECHA DE PAGO]]=PROVEEDORES[[#This Row],[FECHA DE FACTURACIÓN]],"DE CONTADO","CRÉDITO")</f>
        <v>CRÉDITO</v>
      </c>
      <c r="B576" s="41" t="str">
        <f>+IF((PROVEEDORES[[#This Row],[FECHA DE PAGO]]-PROVEEDORES[[#This Row],[FECHA DE FACTURACIÓN]])&gt;PROVEEDORES[[#This Row],[PLAZO Días]],"PAGO VENCIDO")</f>
        <v>PAGO VENCIDO</v>
      </c>
      <c r="C576" s="22">
        <f>+VLOOKUP(PROVEEDORES[[#This Row],[PROVEEDOR]],TERCEROS_INFO[#All],2,FALSE)</f>
        <v>30</v>
      </c>
      <c r="D576" s="27">
        <f>+SUMIFS(PROVEEDORES[Total],PROVEEDORES[PROVEEDOR],PROVEEDORES[[#This Row],[PROVEEDOR]],PROVEEDORES[FECHA DE PAGO],"")</f>
        <v>0</v>
      </c>
      <c r="E576" s="27"/>
      <c r="F576" s="62" t="str">
        <f>+VLOOKUP(PROVEEDORES[[#This Row],[PROVEEDOR]],
                       Terceros!$A:$G,
                       6,
                       FALSE)</f>
        <v>jarlysas@gmail.com;o.clockinternational@gmail.com;girlesa.ruiz@servipilas.com;joriescobar64@gmail.com</v>
      </c>
      <c r="G576" s="95">
        <v>44445</v>
      </c>
      <c r="H576" s="28" t="s">
        <v>456</v>
      </c>
      <c r="I576" s="95">
        <v>44394</v>
      </c>
      <c r="J576" s="38">
        <v>57</v>
      </c>
      <c r="K576" s="23">
        <v>3229000</v>
      </c>
      <c r="L576" s="23"/>
      <c r="M576" s="24">
        <v>613510</v>
      </c>
      <c r="N576" s="25"/>
      <c r="O576" s="24">
        <v>0</v>
      </c>
      <c r="P576" s="136">
        <f>+IF(PROVEEDORES[[#This Row],[SUBTOTAL]]&lt;PROVEEDORES[[#This Row],[base retencion]],0,PROVEEDORES[[#This Row],[retención aplicada]])</f>
        <v>2.5000000000000001E-2</v>
      </c>
      <c r="Q576" s="24">
        <f>+PROVEEDORES[[#This Row],[Rete Fuente %]]*PROVEEDORES[[#This Row],[SUBTOTAL]]</f>
        <v>80725</v>
      </c>
      <c r="R576" s="23">
        <v>3761785</v>
      </c>
      <c r="S57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6" s="99">
        <f ca="1">IF(PROVEEDORES[[#This Row],[FECHA DE PAGO]]=0,TODAY()-PROVEEDORES[[#This Row],[FECHA DE FACTURACIÓN]]-PROVEEDORES[[#This Row],[PLAZO Días]],0)</f>
        <v>0</v>
      </c>
      <c r="U576" s="149" t="str">
        <f>+VLOOKUP(PROVEEDORES[[#This Row],[PROVEEDOR]],Terceros!$A:$E,5,FALSE)</f>
        <v>2,5% con base</v>
      </c>
      <c r="V576" s="150">
        <f>+YEAR(PROVEEDORES[[#This Row],[FECHA DE FACTURACIÓN]])</f>
        <v>2021</v>
      </c>
      <c r="W576" s="150">
        <f>+MATCH(PROVEEDORES[[#This Row],[año facturado]],Retenciones!$1:$1,0)</f>
        <v>4</v>
      </c>
      <c r="X576" s="151">
        <f>+VLOOKUP(PROVEEDORES[[#This Row],[ID RETENCION]],Retenciones!$A$1:$O$24,PROVEEDORES[[#This Row],[indicador de columna]],FALSE)</f>
        <v>980000</v>
      </c>
      <c r="Y576" s="152">
        <f>+VLOOKUP(PROVEEDORES[[#This Row],[ID RETENCION]],Retenciones!$A$1:$O$24,2,FALSE)</f>
        <v>2.5000000000000001E-2</v>
      </c>
      <c r="Z576" s="26"/>
      <c r="AA576" s="26"/>
      <c r="AB576" s="26"/>
      <c r="AC576" s="26"/>
      <c r="AD576" s="26"/>
      <c r="AE576" s="26"/>
    </row>
    <row r="577" spans="1:31" ht="21.95" customHeight="1" x14ac:dyDescent="0.25">
      <c r="A577" s="97" t="str">
        <f>+IF(PROVEEDORES[[#This Row],[FECHA DE PAGO]]=PROVEEDORES[[#This Row],[FECHA DE FACTURACIÓN]],"DE CONTADO","CRÉDITO")</f>
        <v>CRÉDITO</v>
      </c>
      <c r="B577" s="41" t="str">
        <f>+IF((PROVEEDORES[[#This Row],[FECHA DE PAGO]]-PROVEEDORES[[#This Row],[FECHA DE FACTURACIÓN]])&gt;PROVEEDORES[[#This Row],[PLAZO Días]],"PAGO VENCIDO")</f>
        <v>PAGO VENCIDO</v>
      </c>
      <c r="C577" s="22">
        <f>+VLOOKUP(PROVEEDORES[[#This Row],[PROVEEDOR]],TERCEROS_INFO[#All],2,FALSE)</f>
        <v>30</v>
      </c>
      <c r="D577" s="27">
        <f>+SUMIFS(PROVEEDORES[Total],PROVEEDORES[PROVEEDOR],PROVEEDORES[[#This Row],[PROVEEDOR]],PROVEEDORES[FECHA DE PAGO],"")</f>
        <v>5463150</v>
      </c>
      <c r="E577" s="27"/>
      <c r="F577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577" s="95">
        <v>44432</v>
      </c>
      <c r="H577" s="28" t="s">
        <v>344</v>
      </c>
      <c r="I577" s="95">
        <v>44396</v>
      </c>
      <c r="J577" s="38" t="s">
        <v>936</v>
      </c>
      <c r="K577" s="23">
        <v>13179.25</v>
      </c>
      <c r="L577" s="23"/>
      <c r="M577" s="24">
        <v>0</v>
      </c>
      <c r="N577" s="25"/>
      <c r="O577" s="24">
        <v>0</v>
      </c>
      <c r="P577" s="136">
        <f>+IF(PROVEEDORES[[#This Row],[SUBTOTAL]]&lt;PROVEEDORES[[#This Row],[base retencion]],0,PROVEEDORES[[#This Row],[retención aplicada]])</f>
        <v>0</v>
      </c>
      <c r="Q577" s="24">
        <f>+PROVEEDORES[[#This Row],[Rete Fuente %]]*PROVEEDORES[[#This Row],[SUBTOTAL]]</f>
        <v>0</v>
      </c>
      <c r="R577" s="23">
        <v>13179.25</v>
      </c>
      <c r="S57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7" s="99">
        <f ca="1">IF(PROVEEDORES[[#This Row],[FECHA DE PAGO]]=0,TODAY()-PROVEEDORES[[#This Row],[FECHA DE FACTURACIÓN]]-PROVEEDORES[[#This Row],[PLAZO Días]],0)</f>
        <v>0</v>
      </c>
      <c r="U577" s="149" t="str">
        <f>+VLOOKUP(PROVEEDORES[[#This Row],[PROVEEDOR]],Terceros!$A:$E,5,FALSE)</f>
        <v>3,5% con base</v>
      </c>
      <c r="V577" s="150">
        <f>+YEAR(PROVEEDORES[[#This Row],[FECHA DE FACTURACIÓN]])</f>
        <v>2021</v>
      </c>
      <c r="W577" s="150">
        <f>+MATCH(PROVEEDORES[[#This Row],[año facturado]],Retenciones!$1:$1,0)</f>
        <v>4</v>
      </c>
      <c r="X577" s="151">
        <f>+VLOOKUP(PROVEEDORES[[#This Row],[ID RETENCION]],Retenciones!$A$1:$O$24,PROVEEDORES[[#This Row],[indicador de columna]],FALSE)</f>
        <v>980000</v>
      </c>
      <c r="Y577" s="152">
        <f>+VLOOKUP(PROVEEDORES[[#This Row],[ID RETENCION]],Retenciones!$A$1:$O$24,2,FALSE)</f>
        <v>3.5000000000000003E-2</v>
      </c>
      <c r="Z577" s="26"/>
      <c r="AA577" s="26"/>
      <c r="AB577" s="26"/>
      <c r="AC577" s="26"/>
      <c r="AD577" s="26"/>
      <c r="AE577" s="26"/>
    </row>
    <row r="578" spans="1:31" ht="21.95" customHeight="1" x14ac:dyDescent="0.25">
      <c r="A578" s="97" t="str">
        <f>+IF(PROVEEDORES[[#This Row],[FECHA DE PAGO]]=PROVEEDORES[[#This Row],[FECHA DE FACTURACIÓN]],"DE CONTADO","CRÉDITO")</f>
        <v>CRÉDITO</v>
      </c>
      <c r="B578" s="41" t="b">
        <f>+IF((PROVEEDORES[[#This Row],[FECHA DE PAGO]]-PROVEEDORES[[#This Row],[FECHA DE FACTURACIÓN]])&gt;PROVEEDORES[[#This Row],[PLAZO Días]],"PAGO VENCIDO")</f>
        <v>0</v>
      </c>
      <c r="C578" s="22">
        <f>+VLOOKUP(PROVEEDORES[[#This Row],[PROVEEDOR]],TERCEROS_INFO[#All],2,FALSE)</f>
        <v>30</v>
      </c>
      <c r="D578" s="27">
        <f>+SUMIFS(PROVEEDORES[Total],PROVEEDORES[PROVEEDOR],PROVEEDORES[[#This Row],[PROVEEDOR]],PROVEEDORES[FECHA DE PAGO],"")</f>
        <v>248736.18000000002</v>
      </c>
      <c r="E578" s="27"/>
      <c r="F578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G578" s="95">
        <v>44432</v>
      </c>
      <c r="H578" s="28" t="s">
        <v>343</v>
      </c>
      <c r="I578" s="95">
        <v>44409</v>
      </c>
      <c r="J578" s="38" t="s">
        <v>450</v>
      </c>
      <c r="K578" s="23">
        <v>203897</v>
      </c>
      <c r="L578" s="23"/>
      <c r="M578" s="24">
        <v>38740.43</v>
      </c>
      <c r="N578" s="25"/>
      <c r="O578" s="24">
        <v>0</v>
      </c>
      <c r="P578" s="136">
        <f>+IF(PROVEEDORES[[#This Row],[SUBTOTAL]]&lt;PROVEEDORES[[#This Row],[base retencion]],0,PROVEEDORES[[#This Row],[retención aplicada]])</f>
        <v>3.5000000000000003E-2</v>
      </c>
      <c r="Q578" s="24">
        <f>+PROVEEDORES[[#This Row],[Rete Fuente %]]*PROVEEDORES[[#This Row],[SUBTOTAL]]</f>
        <v>7136.3950000000004</v>
      </c>
      <c r="R578" s="23">
        <v>235501.035</v>
      </c>
      <c r="S57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8" s="99">
        <f ca="1">IF(PROVEEDORES[[#This Row],[FECHA DE PAGO]]=0,TODAY()-PROVEEDORES[[#This Row],[FECHA DE FACTURACIÓN]]-PROVEEDORES[[#This Row],[PLAZO Días]],0)</f>
        <v>0</v>
      </c>
      <c r="U578" s="149" t="str">
        <f>+VLOOKUP(PROVEEDORES[[#This Row],[PROVEEDOR]],Terceros!$A:$E,5,FALSE)</f>
        <v>3,5% sin base</v>
      </c>
      <c r="V578" s="150">
        <f>+YEAR(PROVEEDORES[[#This Row],[FECHA DE FACTURACIÓN]])</f>
        <v>2021</v>
      </c>
      <c r="W578" s="150">
        <f>+MATCH(PROVEEDORES[[#This Row],[año facturado]],Retenciones!$1:$1,0)</f>
        <v>4</v>
      </c>
      <c r="X578" s="151">
        <f>+VLOOKUP(PROVEEDORES[[#This Row],[ID RETENCION]],Retenciones!$A$1:$O$24,PROVEEDORES[[#This Row],[indicador de columna]],FALSE)</f>
        <v>0</v>
      </c>
      <c r="Y578" s="152">
        <f>+VLOOKUP(PROVEEDORES[[#This Row],[ID RETENCION]],Retenciones!$A$1:$O$24,2,FALSE)</f>
        <v>3.5000000000000003E-2</v>
      </c>
      <c r="Z578" s="26"/>
      <c r="AA578" s="26"/>
      <c r="AB578" s="26"/>
      <c r="AC578" s="26"/>
      <c r="AD578" s="26"/>
      <c r="AE578" s="26"/>
    </row>
    <row r="579" spans="1:31" ht="21.95" customHeight="1" x14ac:dyDescent="0.25">
      <c r="A579" s="97" t="str">
        <f>+IF(PROVEEDORES[[#This Row],[FECHA DE PAGO]]=PROVEEDORES[[#This Row],[FECHA DE FACTURACIÓN]],"DE CONTADO","CRÉDITO")</f>
        <v>CRÉDITO</v>
      </c>
      <c r="B579" s="41" t="b">
        <f>+IF((PROVEEDORES[[#This Row],[FECHA DE PAGO]]-PROVEEDORES[[#This Row],[FECHA DE FACTURACIÓN]])&gt;PROVEEDORES[[#This Row],[PLAZO Días]],"PAGO VENCIDO")</f>
        <v>0</v>
      </c>
      <c r="C579" s="22">
        <f>+VLOOKUP(PROVEEDORES[[#This Row],[PROVEEDOR]],TERCEROS_INFO[#All],2,FALSE)</f>
        <v>30</v>
      </c>
      <c r="D579" s="27">
        <f>+SUMIFS(PROVEEDORES[Total],PROVEEDORES[PROVEEDOR],PROVEEDORES[[#This Row],[PROVEEDOR]],PROVEEDORES[FECHA DE PAGO],"")</f>
        <v>4862586.33</v>
      </c>
      <c r="E579" s="27"/>
      <c r="F579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579" s="95">
        <v>44432</v>
      </c>
      <c r="H579" s="28" t="s">
        <v>345</v>
      </c>
      <c r="I579" s="95">
        <v>44409</v>
      </c>
      <c r="J579" s="38" t="s">
        <v>581</v>
      </c>
      <c r="K579" s="23">
        <v>716544</v>
      </c>
      <c r="L579" s="23"/>
      <c r="M579" s="24">
        <v>136143.36000000002</v>
      </c>
      <c r="N579" s="25"/>
      <c r="O579" s="24">
        <v>0</v>
      </c>
      <c r="P579" s="136">
        <f>+IF(PROVEEDORES[[#This Row],[SUBTOTAL]]&lt;PROVEEDORES[[#This Row],[base retencion]],0,PROVEEDORES[[#This Row],[retención aplicada]])</f>
        <v>0</v>
      </c>
      <c r="Q579" s="24">
        <f>+PROVEEDORES[[#This Row],[Rete Fuente %]]*PROVEEDORES[[#This Row],[SUBTOTAL]]</f>
        <v>0</v>
      </c>
      <c r="R579" s="23">
        <v>852687.35999999999</v>
      </c>
      <c r="S57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9" s="99">
        <f ca="1">IF(PROVEEDORES[[#This Row],[FECHA DE PAGO]]=0,TODAY()-PROVEEDORES[[#This Row],[FECHA DE FACTURACIÓN]]-PROVEEDORES[[#This Row],[PLAZO Días]],0)</f>
        <v>0</v>
      </c>
      <c r="U579" s="149">
        <f>+VLOOKUP(PROVEEDORES[[#This Row],[PROVEEDOR]],Terceros!$A:$E,5,FALSE)</f>
        <v>0</v>
      </c>
      <c r="V579" s="150">
        <f>+YEAR(PROVEEDORES[[#This Row],[FECHA DE FACTURACIÓN]])</f>
        <v>2021</v>
      </c>
      <c r="W579" s="150">
        <f>+MATCH(PROVEEDORES[[#This Row],[año facturado]],Retenciones!$1:$1,0)</f>
        <v>4</v>
      </c>
      <c r="X579" s="151">
        <f>+VLOOKUP(PROVEEDORES[[#This Row],[ID RETENCION]],Retenciones!$A$1:$O$24,PROVEEDORES[[#This Row],[indicador de columna]],FALSE)</f>
        <v>0</v>
      </c>
      <c r="Y579" s="152">
        <f>+VLOOKUP(PROVEEDORES[[#This Row],[ID RETENCION]],Retenciones!$A$1:$O$24,2,FALSE)</f>
        <v>0</v>
      </c>
      <c r="Z579" s="26"/>
      <c r="AA579" s="26"/>
      <c r="AB579" s="26"/>
      <c r="AC579" s="26"/>
      <c r="AD579" s="26"/>
      <c r="AE579" s="26"/>
    </row>
    <row r="580" spans="1:31" ht="21.95" customHeight="1" x14ac:dyDescent="0.25">
      <c r="A580" s="97" t="str">
        <f>+IF(PROVEEDORES[[#This Row],[FECHA DE PAGO]]=PROVEEDORES[[#This Row],[FECHA DE FACTURACIÓN]],"DE CONTADO","CRÉDITO")</f>
        <v>CRÉDITO</v>
      </c>
      <c r="B580" s="41" t="str">
        <f>+IF((PROVEEDORES[[#This Row],[FECHA DE PAGO]]-PROVEEDORES[[#This Row],[FECHA DE FACTURACIÓN]])&gt;PROVEEDORES[[#This Row],[PLAZO Días]],"PAGO VENCIDO")</f>
        <v>PAGO VENCIDO</v>
      </c>
      <c r="C580" s="22">
        <f>+VLOOKUP(PROVEEDORES[[#This Row],[PROVEEDOR]],TERCEROS_INFO[#All],2,FALSE)</f>
        <v>30</v>
      </c>
      <c r="D580" s="27">
        <f>+SUMIFS(PROVEEDORES[Total],PROVEEDORES[PROVEEDOR],PROVEEDORES[[#This Row],[PROVEEDOR]],PROVEEDORES[FECHA DE PAGO],"")</f>
        <v>1860500</v>
      </c>
      <c r="E580" s="27"/>
      <c r="F580" s="62" t="str">
        <f>+VLOOKUP(PROVEEDORES[[#This Row],[PROVEEDOR]],
                       Terceros!$A:$G,
                       6,
                       FALSE)</f>
        <v/>
      </c>
      <c r="G580" s="95">
        <v>44431</v>
      </c>
      <c r="H580" s="28" t="s">
        <v>1064</v>
      </c>
      <c r="I580" s="95">
        <v>44396</v>
      </c>
      <c r="J580" s="38" t="s">
        <v>762</v>
      </c>
      <c r="K580" s="23">
        <v>1033000</v>
      </c>
      <c r="L580" s="23"/>
      <c r="M580" s="24">
        <v>0</v>
      </c>
      <c r="N580" s="25"/>
      <c r="O580" s="24">
        <v>0</v>
      </c>
      <c r="P580" s="136">
        <f>+IF(PROVEEDORES[[#This Row],[SUBTOTAL]]&lt;PROVEEDORES[[#This Row],[base retencion]],0,PROVEEDORES[[#This Row],[retención aplicada]])</f>
        <v>0</v>
      </c>
      <c r="Q580" s="24">
        <f>+PROVEEDORES[[#This Row],[Rete Fuente %]]*PROVEEDORES[[#This Row],[SUBTOTAL]]</f>
        <v>0</v>
      </c>
      <c r="R580" s="23">
        <v>1033000</v>
      </c>
      <c r="S58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0" s="99">
        <f ca="1">IF(PROVEEDORES[[#This Row],[FECHA DE PAGO]]=0,TODAY()-PROVEEDORES[[#This Row],[FECHA DE FACTURACIÓN]]-PROVEEDORES[[#This Row],[PLAZO Días]],0)</f>
        <v>0</v>
      </c>
      <c r="U580" s="149">
        <f>+VLOOKUP(PROVEEDORES[[#This Row],[PROVEEDOR]],Terceros!$A:$E,5,FALSE)</f>
        <v>0</v>
      </c>
      <c r="V580" s="150">
        <f>+YEAR(PROVEEDORES[[#This Row],[FECHA DE FACTURACIÓN]])</f>
        <v>2021</v>
      </c>
      <c r="W580" s="150">
        <f>+MATCH(PROVEEDORES[[#This Row],[año facturado]],Retenciones!$1:$1,0)</f>
        <v>4</v>
      </c>
      <c r="X580" s="151">
        <f>+VLOOKUP(PROVEEDORES[[#This Row],[ID RETENCION]],Retenciones!$A$1:$O$24,PROVEEDORES[[#This Row],[indicador de columna]],FALSE)</f>
        <v>0</v>
      </c>
      <c r="Y580" s="152">
        <f>+VLOOKUP(PROVEEDORES[[#This Row],[ID RETENCION]],Retenciones!$A$1:$O$24,2,FALSE)</f>
        <v>0</v>
      </c>
      <c r="Z580" s="26"/>
      <c r="AA580" s="26"/>
      <c r="AB580" s="26"/>
      <c r="AC580" s="26"/>
      <c r="AD580" s="26"/>
      <c r="AE580" s="26"/>
    </row>
    <row r="581" spans="1:31" ht="21.95" customHeight="1" x14ac:dyDescent="0.25">
      <c r="A581" s="97" t="str">
        <f>+IF(PROVEEDORES[[#This Row],[FECHA DE PAGO]]=PROVEEDORES[[#This Row],[FECHA DE FACTURACIÓN]],"DE CONTADO","CRÉDITO")</f>
        <v>CRÉDITO</v>
      </c>
      <c r="B581" s="41" t="str">
        <f>+IF((PROVEEDORES[[#This Row],[FECHA DE PAGO]]-PROVEEDORES[[#This Row],[FECHA DE FACTURACIÓN]])&gt;PROVEEDORES[[#This Row],[PLAZO Días]],"PAGO VENCIDO")</f>
        <v>PAGO VENCIDO</v>
      </c>
      <c r="C581" s="22">
        <f>+VLOOKUP(PROVEEDORES[[#This Row],[PROVEEDOR]],TERCEROS_INFO[#All],2,FALSE)</f>
        <v>90</v>
      </c>
      <c r="D581" s="27">
        <f>+SUMIFS(PROVEEDORES[Total],PROVEEDORES[PROVEEDOR],PROVEEDORES[[#This Row],[PROVEEDOR]],PROVEEDORES[FECHA DE PAGO],"")</f>
        <v>0</v>
      </c>
      <c r="E581" s="27"/>
      <c r="F581" s="62" t="str">
        <f>+VLOOKUP(PROVEEDORES[[#This Row],[PROVEEDOR]],
                       Terceros!$A:$G,
                       6,
                       FALSE)</f>
        <v>financiero@dmariocolombia.com;cartera@dmariocolombia.com.co;girlesa.ruiz@servipilas.com;joriescobar64@gmail.com</v>
      </c>
      <c r="G581" s="95">
        <v>44491</v>
      </c>
      <c r="H581" s="28" t="s">
        <v>435</v>
      </c>
      <c r="I581" s="95">
        <v>44396</v>
      </c>
      <c r="J581" s="38" t="s">
        <v>436</v>
      </c>
      <c r="K581" s="23">
        <v>4774790</v>
      </c>
      <c r="L581" s="23"/>
      <c r="M581" s="24">
        <v>907210.1</v>
      </c>
      <c r="N581" s="25"/>
      <c r="O581" s="24">
        <v>0</v>
      </c>
      <c r="P581" s="136">
        <f>+IF(PROVEEDORES[[#This Row],[SUBTOTAL]]&lt;PROVEEDORES[[#This Row],[base retencion]],0,PROVEEDORES[[#This Row],[retención aplicada]])</f>
        <v>2.5000000000000001E-2</v>
      </c>
      <c r="Q581" s="24">
        <f>+PROVEEDORES[[#This Row],[Rete Fuente %]]*PROVEEDORES[[#This Row],[SUBTOTAL]]</f>
        <v>119369.75</v>
      </c>
      <c r="R581" s="23">
        <v>5562630.3499999996</v>
      </c>
      <c r="S58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1" s="99">
        <f ca="1">IF(PROVEEDORES[[#This Row],[FECHA DE PAGO]]=0,TODAY()-PROVEEDORES[[#This Row],[FECHA DE FACTURACIÓN]]-PROVEEDORES[[#This Row],[PLAZO Días]],0)</f>
        <v>0</v>
      </c>
      <c r="U581" s="149" t="str">
        <f>+VLOOKUP(PROVEEDORES[[#This Row],[PROVEEDOR]],Terceros!$A:$E,5,FALSE)</f>
        <v>2,5% con base</v>
      </c>
      <c r="V581" s="150">
        <f>+YEAR(PROVEEDORES[[#This Row],[FECHA DE FACTURACIÓN]])</f>
        <v>2021</v>
      </c>
      <c r="W581" s="150">
        <f>+MATCH(PROVEEDORES[[#This Row],[año facturado]],Retenciones!$1:$1,0)</f>
        <v>4</v>
      </c>
      <c r="X581" s="151">
        <f>+VLOOKUP(PROVEEDORES[[#This Row],[ID RETENCION]],Retenciones!$A$1:$O$24,PROVEEDORES[[#This Row],[indicador de columna]],FALSE)</f>
        <v>980000</v>
      </c>
      <c r="Y581" s="152">
        <f>+VLOOKUP(PROVEEDORES[[#This Row],[ID RETENCION]],Retenciones!$A$1:$O$24,2,FALSE)</f>
        <v>2.5000000000000001E-2</v>
      </c>
      <c r="Z581" s="26"/>
      <c r="AA581" s="26"/>
      <c r="AB581" s="26"/>
      <c r="AC581" s="26"/>
      <c r="AD581" s="26"/>
      <c r="AE581" s="26"/>
    </row>
    <row r="582" spans="1:31" ht="21.95" customHeight="1" x14ac:dyDescent="0.25">
      <c r="A582" s="97" t="str">
        <f>+IF(PROVEEDORES[[#This Row],[FECHA DE PAGO]]=PROVEEDORES[[#This Row],[FECHA DE FACTURACIÓN]],"DE CONTADO","CRÉDITO")</f>
        <v>CRÉDITO</v>
      </c>
      <c r="B582" s="41" t="str">
        <f>+IF((PROVEEDORES[[#This Row],[FECHA DE PAGO]]-PROVEEDORES[[#This Row],[FECHA DE FACTURACIÓN]])&gt;PROVEEDORES[[#This Row],[PLAZO Días]],"PAGO VENCIDO")</f>
        <v>PAGO VENCIDO</v>
      </c>
      <c r="C582" s="22">
        <f>+VLOOKUP(PROVEEDORES[[#This Row],[PROVEEDOR]],TERCEROS_INFO[#All],2,FALSE)</f>
        <v>30</v>
      </c>
      <c r="D582" s="27">
        <f>+SUMIFS(PROVEEDORES[Total],PROVEEDORES[PROVEEDOR],PROVEEDORES[[#This Row],[PROVEEDOR]],PROVEEDORES[FECHA DE PAGO],"")</f>
        <v>2588352.5</v>
      </c>
      <c r="E582" s="27"/>
      <c r="F582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582" s="95">
        <v>44442</v>
      </c>
      <c r="H582" s="28" t="s">
        <v>1088</v>
      </c>
      <c r="I582" s="95">
        <v>44400</v>
      </c>
      <c r="J582" s="38">
        <v>21790</v>
      </c>
      <c r="K582" s="23">
        <v>232800</v>
      </c>
      <c r="L582" s="23"/>
      <c r="M582" s="24">
        <v>44232</v>
      </c>
      <c r="N582" s="25"/>
      <c r="O582" s="24">
        <v>0</v>
      </c>
      <c r="P582" s="136">
        <f>+IF(PROVEEDORES[[#This Row],[SUBTOTAL]]&lt;PROVEEDORES[[#This Row],[base retencion]],0,PROVEEDORES[[#This Row],[retención aplicada]])</f>
        <v>0</v>
      </c>
      <c r="Q582" s="24">
        <f>+PROVEEDORES[[#This Row],[Rete Fuente %]]*PROVEEDORES[[#This Row],[SUBTOTAL]]</f>
        <v>0</v>
      </c>
      <c r="R582" s="23">
        <v>277032</v>
      </c>
      <c r="S58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2" s="99">
        <f ca="1">IF(PROVEEDORES[[#This Row],[FECHA DE PAGO]]=0,TODAY()-PROVEEDORES[[#This Row],[FECHA DE FACTURACIÓN]]-PROVEEDORES[[#This Row],[PLAZO Días]],0)</f>
        <v>0</v>
      </c>
      <c r="U582" s="149" t="str">
        <f>+VLOOKUP(PROVEEDORES[[#This Row],[PROVEEDOR]],Terceros!$A:$E,5,FALSE)</f>
        <v>2,5% con base</v>
      </c>
      <c r="V582" s="150">
        <f>+YEAR(PROVEEDORES[[#This Row],[FECHA DE FACTURACIÓN]])</f>
        <v>2021</v>
      </c>
      <c r="W582" s="150">
        <f>+MATCH(PROVEEDORES[[#This Row],[año facturado]],Retenciones!$1:$1,0)</f>
        <v>4</v>
      </c>
      <c r="X582" s="151">
        <f>+VLOOKUP(PROVEEDORES[[#This Row],[ID RETENCION]],Retenciones!$A$1:$O$24,PROVEEDORES[[#This Row],[indicador de columna]],FALSE)</f>
        <v>980000</v>
      </c>
      <c r="Y582" s="152">
        <f>+VLOOKUP(PROVEEDORES[[#This Row],[ID RETENCION]],Retenciones!$A$1:$O$24,2,FALSE)</f>
        <v>2.5000000000000001E-2</v>
      </c>
      <c r="Z582" s="26"/>
      <c r="AA582" s="26"/>
      <c r="AB582" s="26"/>
      <c r="AC582" s="26"/>
      <c r="AD582" s="26"/>
      <c r="AE582" s="26"/>
    </row>
    <row r="583" spans="1:31" ht="21.95" customHeight="1" x14ac:dyDescent="0.25">
      <c r="A583" s="97" t="str">
        <f>+IF(PROVEEDORES[[#This Row],[FECHA DE PAGO]]=PROVEEDORES[[#This Row],[FECHA DE FACTURACIÓN]],"DE CONTADO","CRÉDITO")</f>
        <v>CRÉDITO</v>
      </c>
      <c r="B583" s="41" t="str">
        <f>+IF((PROVEEDORES[[#This Row],[FECHA DE PAGO]]-PROVEEDORES[[#This Row],[FECHA DE FACTURACIÓN]])&gt;PROVEEDORES[[#This Row],[PLAZO Días]],"PAGO VENCIDO")</f>
        <v>PAGO VENCIDO</v>
      </c>
      <c r="C583" s="22">
        <f>+VLOOKUP(PROVEEDORES[[#This Row],[PROVEEDOR]],TERCEROS_INFO[#All],2,FALSE)</f>
        <v>30</v>
      </c>
      <c r="D583" s="27">
        <f>+SUMIFS(PROVEEDORES[Total],PROVEEDORES[PROVEEDOR],PROVEEDORES[[#This Row],[PROVEEDOR]],PROVEEDORES[FECHA DE PAGO],"")</f>
        <v>0</v>
      </c>
      <c r="E583" s="27"/>
      <c r="F583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583" s="95">
        <v>44442</v>
      </c>
      <c r="H583" s="28" t="s">
        <v>24</v>
      </c>
      <c r="I583" s="95">
        <v>44400</v>
      </c>
      <c r="J583" s="38" t="s">
        <v>438</v>
      </c>
      <c r="K583" s="23">
        <v>585000</v>
      </c>
      <c r="L583" s="23"/>
      <c r="M583" s="24">
        <v>111150</v>
      </c>
      <c r="N583" s="25"/>
      <c r="O583" s="24">
        <v>0</v>
      </c>
      <c r="P583" s="136">
        <f>+IF(PROVEEDORES[[#This Row],[SUBTOTAL]]&lt;PROVEEDORES[[#This Row],[base retencion]],0,PROVEEDORES[[#This Row],[retención aplicada]])</f>
        <v>0</v>
      </c>
      <c r="Q583" s="24">
        <f>+PROVEEDORES[[#This Row],[Rete Fuente %]]*PROVEEDORES[[#This Row],[SUBTOTAL]]</f>
        <v>0</v>
      </c>
      <c r="R583" s="23">
        <v>696150</v>
      </c>
      <c r="S58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3" s="99">
        <f ca="1">IF(PROVEEDORES[[#This Row],[FECHA DE PAGO]]=0,TODAY()-PROVEEDORES[[#This Row],[FECHA DE FACTURACIÓN]]-PROVEEDORES[[#This Row],[PLAZO Días]],0)</f>
        <v>0</v>
      </c>
      <c r="U583" s="149" t="str">
        <f>+VLOOKUP(PROVEEDORES[[#This Row],[PROVEEDOR]],Terceros!$A:$E,5,FALSE)</f>
        <v>2,5% con base</v>
      </c>
      <c r="V583" s="150">
        <f>+YEAR(PROVEEDORES[[#This Row],[FECHA DE FACTURACIÓN]])</f>
        <v>2021</v>
      </c>
      <c r="W583" s="150">
        <f>+MATCH(PROVEEDORES[[#This Row],[año facturado]],Retenciones!$1:$1,0)</f>
        <v>4</v>
      </c>
      <c r="X583" s="151">
        <f>+VLOOKUP(PROVEEDORES[[#This Row],[ID RETENCION]],Retenciones!$A$1:$O$24,PROVEEDORES[[#This Row],[indicador de columna]],FALSE)</f>
        <v>980000</v>
      </c>
      <c r="Y583" s="152">
        <f>+VLOOKUP(PROVEEDORES[[#This Row],[ID RETENCION]],Retenciones!$A$1:$O$24,2,FALSE)</f>
        <v>2.5000000000000001E-2</v>
      </c>
      <c r="Z583" s="26"/>
      <c r="AA583" s="26"/>
      <c r="AB583" s="26"/>
      <c r="AC583" s="26"/>
      <c r="AD583" s="26"/>
      <c r="AE583" s="26"/>
    </row>
    <row r="584" spans="1:31" ht="21.95" customHeight="1" x14ac:dyDescent="0.25">
      <c r="A584" s="97" t="str">
        <f>+IF(PROVEEDORES[[#This Row],[FECHA DE PAGO]]=PROVEEDORES[[#This Row],[FECHA DE FACTURACIÓN]],"DE CONTADO","CRÉDITO")</f>
        <v>CRÉDITO</v>
      </c>
      <c r="B584" s="41" t="str">
        <f>+IF((PROVEEDORES[[#This Row],[FECHA DE PAGO]]-PROVEEDORES[[#This Row],[FECHA DE FACTURACIÓN]])&gt;PROVEEDORES[[#This Row],[PLAZO Días]],"PAGO VENCIDO")</f>
        <v>PAGO VENCIDO</v>
      </c>
      <c r="C584" s="22">
        <f>+VLOOKUP(PROVEEDORES[[#This Row],[PROVEEDOR]],TERCEROS_INFO[#All],2,FALSE)</f>
        <v>20</v>
      </c>
      <c r="D584" s="27">
        <f>+SUMIFS(PROVEEDORES[Total],PROVEEDORES[PROVEEDOR],PROVEEDORES[[#This Row],[PROVEEDOR]],PROVEEDORES[FECHA DE PAGO],"")</f>
        <v>0</v>
      </c>
      <c r="E584" s="27"/>
      <c r="F584" s="62">
        <f>+VLOOKUP(PROVEEDORES[[#This Row],[PROVEEDOR]],
                       Terceros!$A:$G,
                       6,
                       FALSE)</f>
        <v>0</v>
      </c>
      <c r="G584" s="95">
        <v>44448</v>
      </c>
      <c r="H584" s="28" t="s">
        <v>1045</v>
      </c>
      <c r="I584" s="95">
        <v>44400</v>
      </c>
      <c r="J584" s="38" t="s">
        <v>763</v>
      </c>
      <c r="K584" s="23">
        <v>1793000</v>
      </c>
      <c r="L584" s="23"/>
      <c r="M584" s="24">
        <v>0</v>
      </c>
      <c r="N584" s="25"/>
      <c r="O584" s="24">
        <v>0</v>
      </c>
      <c r="P584" s="136">
        <f>+IF(PROVEEDORES[[#This Row],[SUBTOTAL]]&lt;PROVEEDORES[[#This Row],[base retencion]],0,PROVEEDORES[[#This Row],[retención aplicada]])</f>
        <v>0</v>
      </c>
      <c r="Q584" s="24">
        <f>+PROVEEDORES[[#This Row],[Rete Fuente %]]*PROVEEDORES[[#This Row],[SUBTOTAL]]</f>
        <v>0</v>
      </c>
      <c r="R584" s="23">
        <v>1793000</v>
      </c>
      <c r="S58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4" s="99">
        <f ca="1">IF(PROVEEDORES[[#This Row],[FECHA DE PAGO]]=0,TODAY()-PROVEEDORES[[#This Row],[FECHA DE FACTURACIÓN]]-PROVEEDORES[[#This Row],[PLAZO Días]],0)</f>
        <v>0</v>
      </c>
      <c r="U584" s="149">
        <f>+VLOOKUP(PROVEEDORES[[#This Row],[PROVEEDOR]],Terceros!$A:$E,5,FALSE)</f>
        <v>0</v>
      </c>
      <c r="V584" s="150">
        <f>+YEAR(PROVEEDORES[[#This Row],[FECHA DE FACTURACIÓN]])</f>
        <v>2021</v>
      </c>
      <c r="W584" s="150">
        <f>+MATCH(PROVEEDORES[[#This Row],[año facturado]],Retenciones!$1:$1,0)</f>
        <v>4</v>
      </c>
      <c r="X584" s="151">
        <f>+VLOOKUP(PROVEEDORES[[#This Row],[ID RETENCION]],Retenciones!$A$1:$O$24,PROVEEDORES[[#This Row],[indicador de columna]],FALSE)</f>
        <v>0</v>
      </c>
      <c r="Y584" s="152">
        <f>+VLOOKUP(PROVEEDORES[[#This Row],[ID RETENCION]],Retenciones!$A$1:$O$24,2,FALSE)</f>
        <v>0</v>
      </c>
      <c r="Z584" s="26"/>
      <c r="AA584" s="26"/>
      <c r="AB584" s="26"/>
      <c r="AC584" s="26"/>
      <c r="AD584" s="26"/>
      <c r="AE584" s="26"/>
    </row>
    <row r="585" spans="1:31" ht="21.95" customHeight="1" x14ac:dyDescent="0.25">
      <c r="A585" s="97" t="str">
        <f>+IF(PROVEEDORES[[#This Row],[FECHA DE PAGO]]=PROVEEDORES[[#This Row],[FECHA DE FACTURACIÓN]],"DE CONTADO","CRÉDITO")</f>
        <v>CRÉDITO</v>
      </c>
      <c r="B585" s="41" t="b">
        <f>+IF((PROVEEDORES[[#This Row],[FECHA DE PAGO]]-PROVEEDORES[[#This Row],[FECHA DE FACTURACIÓN]])&gt;PROVEEDORES[[#This Row],[PLAZO Días]],"PAGO VENCIDO")</f>
        <v>0</v>
      </c>
      <c r="C585" s="22">
        <f>+VLOOKUP(PROVEEDORES[[#This Row],[PROVEEDOR]],TERCEROS_INFO[#All],2,FALSE)</f>
        <v>30</v>
      </c>
      <c r="D585" s="27">
        <f>+SUMIFS(PROVEEDORES[Total],PROVEEDORES[PROVEEDOR],PROVEEDORES[[#This Row],[PROVEEDOR]],PROVEEDORES[FECHA DE PAGO],"")</f>
        <v>0</v>
      </c>
      <c r="E585" s="27"/>
      <c r="F585" s="62" t="str">
        <f>+VLOOKUP(PROVEEDORES[[#This Row],[PROVEEDOR]],
                       Terceros!$A:$G,
                       6,
                       FALSE)</f>
        <v/>
      </c>
      <c r="G585" s="95">
        <v>44279</v>
      </c>
      <c r="H585" s="28" t="s">
        <v>27</v>
      </c>
      <c r="I585" s="95">
        <v>44400</v>
      </c>
      <c r="J585" s="38">
        <v>129398</v>
      </c>
      <c r="K585" s="23">
        <v>8204000</v>
      </c>
      <c r="L585" s="23"/>
      <c r="M585" s="24">
        <v>0</v>
      </c>
      <c r="N585" s="25"/>
      <c r="O585" s="24">
        <v>0</v>
      </c>
      <c r="P585" s="136">
        <f>+IF(PROVEEDORES[[#This Row],[SUBTOTAL]]&lt;PROVEEDORES[[#This Row],[base retencion]],0,PROVEEDORES[[#This Row],[retención aplicada]])</f>
        <v>0</v>
      </c>
      <c r="Q585" s="24">
        <f>+PROVEEDORES[[#This Row],[Rete Fuente %]]*PROVEEDORES[[#This Row],[SUBTOTAL]]</f>
        <v>0</v>
      </c>
      <c r="R585" s="23">
        <v>8204000</v>
      </c>
      <c r="S58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5" s="99">
        <f ca="1">IF(PROVEEDORES[[#This Row],[FECHA DE PAGO]]=0,TODAY()-PROVEEDORES[[#This Row],[FECHA DE FACTURACIÓN]]-PROVEEDORES[[#This Row],[PLAZO Días]],0)</f>
        <v>0</v>
      </c>
      <c r="U585" s="149">
        <f>+VLOOKUP(PROVEEDORES[[#This Row],[PROVEEDOR]],Terceros!$A:$E,5,FALSE)</f>
        <v>0</v>
      </c>
      <c r="V585" s="150">
        <f>+YEAR(PROVEEDORES[[#This Row],[FECHA DE FACTURACIÓN]])</f>
        <v>2021</v>
      </c>
      <c r="W585" s="150">
        <f>+MATCH(PROVEEDORES[[#This Row],[año facturado]],Retenciones!$1:$1,0)</f>
        <v>4</v>
      </c>
      <c r="X585" s="151">
        <f>+VLOOKUP(PROVEEDORES[[#This Row],[ID RETENCION]],Retenciones!$A$1:$O$24,PROVEEDORES[[#This Row],[indicador de columna]],FALSE)</f>
        <v>0</v>
      </c>
      <c r="Y585" s="152">
        <f>+VLOOKUP(PROVEEDORES[[#This Row],[ID RETENCION]],Retenciones!$A$1:$O$24,2,FALSE)</f>
        <v>0</v>
      </c>
      <c r="Z585" s="26"/>
      <c r="AA585" s="26"/>
      <c r="AB585" s="26"/>
      <c r="AC585" s="26"/>
      <c r="AD585" s="26"/>
      <c r="AE585" s="26"/>
    </row>
    <row r="586" spans="1:31" ht="21.95" customHeight="1" x14ac:dyDescent="0.25">
      <c r="A586" s="97" t="str">
        <f>+IF(PROVEEDORES[[#This Row],[FECHA DE PAGO]]=PROVEEDORES[[#This Row],[FECHA DE FACTURACIÓN]],"DE CONTADO","CRÉDITO")</f>
        <v>CRÉDITO</v>
      </c>
      <c r="B586" s="41" t="str">
        <f>+IF((PROVEEDORES[[#This Row],[FECHA DE PAGO]]-PROVEEDORES[[#This Row],[FECHA DE FACTURACIÓN]])&gt;PROVEEDORES[[#This Row],[PLAZO Días]],"PAGO VENCIDO")</f>
        <v>PAGO VENCIDO</v>
      </c>
      <c r="C586" s="22">
        <f>+VLOOKUP(PROVEEDORES[[#This Row],[PROVEEDOR]],TERCEROS_INFO[#All],2,FALSE)</f>
        <v>30</v>
      </c>
      <c r="D586" s="27">
        <f>+SUMIFS(PROVEEDORES[Total],PROVEEDORES[PROVEEDOR],PROVEEDORES[[#This Row],[PROVEEDOR]],PROVEEDORES[FECHA DE PAGO],"")</f>
        <v>0</v>
      </c>
      <c r="E586" s="27"/>
      <c r="F586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586" s="95">
        <v>44442</v>
      </c>
      <c r="H586" s="28" t="s">
        <v>24</v>
      </c>
      <c r="I586" s="95">
        <v>44401</v>
      </c>
      <c r="J586" s="38" t="s">
        <v>437</v>
      </c>
      <c r="K586" s="23">
        <v>585000</v>
      </c>
      <c r="L586" s="23"/>
      <c r="M586" s="24">
        <v>111150</v>
      </c>
      <c r="N586" s="25"/>
      <c r="O586" s="24">
        <v>0</v>
      </c>
      <c r="P586" s="136">
        <f>+IF(PROVEEDORES[[#This Row],[SUBTOTAL]]&lt;PROVEEDORES[[#This Row],[base retencion]],0,PROVEEDORES[[#This Row],[retención aplicada]])</f>
        <v>0</v>
      </c>
      <c r="Q586" s="24">
        <f>+PROVEEDORES[[#This Row],[Rete Fuente %]]*PROVEEDORES[[#This Row],[SUBTOTAL]]</f>
        <v>0</v>
      </c>
      <c r="R586" s="23">
        <v>696150</v>
      </c>
      <c r="S58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6" s="99">
        <f ca="1">IF(PROVEEDORES[[#This Row],[FECHA DE PAGO]]=0,TODAY()-PROVEEDORES[[#This Row],[FECHA DE FACTURACIÓN]]-PROVEEDORES[[#This Row],[PLAZO Días]],0)</f>
        <v>0</v>
      </c>
      <c r="U586" s="149" t="str">
        <f>+VLOOKUP(PROVEEDORES[[#This Row],[PROVEEDOR]],Terceros!$A:$E,5,FALSE)</f>
        <v>2,5% con base</v>
      </c>
      <c r="V586" s="150">
        <f>+YEAR(PROVEEDORES[[#This Row],[FECHA DE FACTURACIÓN]])</f>
        <v>2021</v>
      </c>
      <c r="W586" s="150">
        <f>+MATCH(PROVEEDORES[[#This Row],[año facturado]],Retenciones!$1:$1,0)</f>
        <v>4</v>
      </c>
      <c r="X586" s="151">
        <f>+VLOOKUP(PROVEEDORES[[#This Row],[ID RETENCION]],Retenciones!$A$1:$O$24,PROVEEDORES[[#This Row],[indicador de columna]],FALSE)</f>
        <v>980000</v>
      </c>
      <c r="Y586" s="152">
        <f>+VLOOKUP(PROVEEDORES[[#This Row],[ID RETENCION]],Retenciones!$A$1:$O$24,2,FALSE)</f>
        <v>2.5000000000000001E-2</v>
      </c>
      <c r="Z586" s="26"/>
      <c r="AA586" s="26"/>
      <c r="AB586" s="26"/>
      <c r="AC586" s="26"/>
      <c r="AD586" s="26"/>
      <c r="AE586" s="26"/>
    </row>
    <row r="587" spans="1:31" ht="21.95" customHeight="1" x14ac:dyDescent="0.25">
      <c r="A587" s="97" t="str">
        <f>+IF(PROVEEDORES[[#This Row],[FECHA DE PAGO]]=PROVEEDORES[[#This Row],[FECHA DE FACTURACIÓN]],"DE CONTADO","CRÉDITO")</f>
        <v>CRÉDITO</v>
      </c>
      <c r="B587" s="41" t="str">
        <f>+IF((PROVEEDORES[[#This Row],[FECHA DE PAGO]]-PROVEEDORES[[#This Row],[FECHA DE FACTURACIÓN]])&gt;PROVEEDORES[[#This Row],[PLAZO Días]],"PAGO VENCIDO")</f>
        <v>PAGO VENCIDO</v>
      </c>
      <c r="C587" s="22">
        <f>+VLOOKUP(PROVEEDORES[[#This Row],[PROVEEDOR]],TERCEROS_INFO[#All],2,FALSE)</f>
        <v>30</v>
      </c>
      <c r="D587" s="27">
        <f>+SUMIFS(PROVEEDORES[Total],PROVEEDORES[PROVEEDOR],PROVEEDORES[[#This Row],[PROVEEDOR]],PROVEEDORES[FECHA DE PAGO],"")</f>
        <v>0</v>
      </c>
      <c r="E587" s="27"/>
      <c r="F587" s="62">
        <f>+VLOOKUP(PROVEEDORES[[#This Row],[PROVEEDOR]],
                       Terceros!$A:$G,
                       6,
                       FALSE)</f>
        <v>0</v>
      </c>
      <c r="G587" s="95">
        <v>44448</v>
      </c>
      <c r="H587" s="28" t="s">
        <v>412</v>
      </c>
      <c r="I587" s="95">
        <v>44403</v>
      </c>
      <c r="J587" s="38" t="s">
        <v>460</v>
      </c>
      <c r="K587" s="23">
        <v>302520</v>
      </c>
      <c r="L587" s="23"/>
      <c r="M587" s="24">
        <v>57478.8</v>
      </c>
      <c r="N587" s="25"/>
      <c r="O587" s="24">
        <v>0</v>
      </c>
      <c r="P587" s="136">
        <f>+IF(PROVEEDORES[[#This Row],[SUBTOTAL]]&lt;PROVEEDORES[[#This Row],[base retencion]],0,PROVEEDORES[[#This Row],[retención aplicada]])</f>
        <v>0</v>
      </c>
      <c r="Q587" s="24">
        <f>+PROVEEDORES[[#This Row],[Rete Fuente %]]*PROVEEDORES[[#This Row],[SUBTOTAL]]</f>
        <v>0</v>
      </c>
      <c r="R587" s="23">
        <v>359998.8</v>
      </c>
      <c r="S58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7" s="99">
        <f ca="1">IF(PROVEEDORES[[#This Row],[FECHA DE PAGO]]=0,TODAY()-PROVEEDORES[[#This Row],[FECHA DE FACTURACIÓN]]-PROVEEDORES[[#This Row],[PLAZO Días]],0)</f>
        <v>0</v>
      </c>
      <c r="U587" s="149" t="str">
        <f>+VLOOKUP(PROVEEDORES[[#This Row],[PROVEEDOR]],Terceros!$A:$E,5,FALSE)</f>
        <v>2,5% con base</v>
      </c>
      <c r="V587" s="150">
        <f>+YEAR(PROVEEDORES[[#This Row],[FECHA DE FACTURACIÓN]])</f>
        <v>2021</v>
      </c>
      <c r="W587" s="150">
        <f>+MATCH(PROVEEDORES[[#This Row],[año facturado]],Retenciones!$1:$1,0)</f>
        <v>4</v>
      </c>
      <c r="X587" s="151">
        <f>+VLOOKUP(PROVEEDORES[[#This Row],[ID RETENCION]],Retenciones!$A$1:$O$24,PROVEEDORES[[#This Row],[indicador de columna]],FALSE)</f>
        <v>980000</v>
      </c>
      <c r="Y587" s="152">
        <f>+VLOOKUP(PROVEEDORES[[#This Row],[ID RETENCION]],Retenciones!$A$1:$O$24,2,FALSE)</f>
        <v>2.5000000000000001E-2</v>
      </c>
      <c r="Z587" s="26"/>
      <c r="AA587" s="26"/>
      <c r="AB587" s="26"/>
      <c r="AC587" s="26"/>
      <c r="AD587" s="26"/>
      <c r="AE587" s="26"/>
    </row>
    <row r="588" spans="1:31" ht="21.95" customHeight="1" x14ac:dyDescent="0.25">
      <c r="A588" s="97" t="str">
        <f>+IF(PROVEEDORES[[#This Row],[FECHA DE PAGO]]=PROVEEDORES[[#This Row],[FECHA DE FACTURACIÓN]],"DE CONTADO","CRÉDITO")</f>
        <v>DE CONTADO</v>
      </c>
      <c r="B588" s="41" t="b">
        <f>+IF((PROVEEDORES[[#This Row],[FECHA DE PAGO]]-PROVEEDORES[[#This Row],[FECHA DE FACTURACIÓN]])&gt;PROVEEDORES[[#This Row],[PLAZO Días]],"PAGO VENCIDO")</f>
        <v>0</v>
      </c>
      <c r="C588" s="22">
        <f>+VLOOKUP(PROVEEDORES[[#This Row],[PROVEEDOR]],TERCEROS_INFO[#All],2,FALSE)</f>
        <v>30</v>
      </c>
      <c r="D588" s="27">
        <f>+SUMIFS(PROVEEDORES[Total],PROVEEDORES[PROVEEDOR],PROVEEDORES[[#This Row],[PROVEEDOR]],PROVEEDORES[FECHA DE PAGO],"")</f>
        <v>0</v>
      </c>
      <c r="E588" s="27"/>
      <c r="F588" s="62" t="str">
        <f>+VLOOKUP(PROVEEDORES[[#This Row],[PROVEEDOR]],
                       Terceros!$A:$G,
                       6,
                       FALSE)</f>
        <v/>
      </c>
      <c r="G588" s="95">
        <v>44403</v>
      </c>
      <c r="H588" s="28" t="s">
        <v>1046</v>
      </c>
      <c r="I588" s="95">
        <v>44403</v>
      </c>
      <c r="J588" s="38"/>
      <c r="K588" s="23">
        <v>1000000</v>
      </c>
      <c r="L588" s="23"/>
      <c r="M588" s="24">
        <v>0</v>
      </c>
      <c r="N588" s="25"/>
      <c r="O588" s="24">
        <v>0</v>
      </c>
      <c r="P588" s="136">
        <f>+IF(PROVEEDORES[[#This Row],[SUBTOTAL]]&lt;PROVEEDORES[[#This Row],[base retencion]],0,PROVEEDORES[[#This Row],[retención aplicada]])</f>
        <v>0</v>
      </c>
      <c r="Q588" s="24">
        <f>+PROVEEDORES[[#This Row],[Rete Fuente %]]*PROVEEDORES[[#This Row],[SUBTOTAL]]</f>
        <v>0</v>
      </c>
      <c r="R588" s="23">
        <v>1000000</v>
      </c>
      <c r="S58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8" s="99">
        <f ca="1">IF(PROVEEDORES[[#This Row],[FECHA DE PAGO]]=0,TODAY()-PROVEEDORES[[#This Row],[FECHA DE FACTURACIÓN]]-PROVEEDORES[[#This Row],[PLAZO Días]],0)</f>
        <v>0</v>
      </c>
      <c r="U588" s="149">
        <f>+VLOOKUP(PROVEEDORES[[#This Row],[PROVEEDOR]],Terceros!$A:$E,5,FALSE)</f>
        <v>0</v>
      </c>
      <c r="V588" s="150">
        <f>+YEAR(PROVEEDORES[[#This Row],[FECHA DE FACTURACIÓN]])</f>
        <v>2021</v>
      </c>
      <c r="W588" s="150">
        <f>+MATCH(PROVEEDORES[[#This Row],[año facturado]],Retenciones!$1:$1,0)</f>
        <v>4</v>
      </c>
      <c r="X588" s="151">
        <f>+VLOOKUP(PROVEEDORES[[#This Row],[ID RETENCION]],Retenciones!$A$1:$O$24,PROVEEDORES[[#This Row],[indicador de columna]],FALSE)</f>
        <v>0</v>
      </c>
      <c r="Y588" s="152">
        <f>+VLOOKUP(PROVEEDORES[[#This Row],[ID RETENCION]],Retenciones!$A$1:$O$24,2,FALSE)</f>
        <v>0</v>
      </c>
      <c r="Z588" s="26"/>
      <c r="AA588" s="26"/>
      <c r="AB588" s="26"/>
      <c r="AC588" s="26"/>
      <c r="AD588" s="26"/>
      <c r="AE588" s="26"/>
    </row>
    <row r="589" spans="1:31" ht="21.95" customHeight="1" x14ac:dyDescent="0.25">
      <c r="A589" s="97" t="str">
        <f>+IF(PROVEEDORES[[#This Row],[FECHA DE PAGO]]=PROVEEDORES[[#This Row],[FECHA DE FACTURACIÓN]],"DE CONTADO","CRÉDITO")</f>
        <v>CRÉDITO</v>
      </c>
      <c r="B589" s="41" t="str">
        <f>+IF((PROVEEDORES[[#This Row],[FECHA DE PAGO]]-PROVEEDORES[[#This Row],[FECHA DE FACTURACIÓN]])&gt;PROVEEDORES[[#This Row],[PLAZO Días]],"PAGO VENCIDO")</f>
        <v>PAGO VENCIDO</v>
      </c>
      <c r="C589" s="22">
        <f>+VLOOKUP(PROVEEDORES[[#This Row],[PROVEEDOR]],TERCEROS_INFO[#All],2,FALSE)</f>
        <v>30</v>
      </c>
      <c r="D589" s="27">
        <f>+SUMIFS(PROVEEDORES[Total],PROVEEDORES[PROVEEDOR],PROVEEDORES[[#This Row],[PROVEEDOR]],PROVEEDORES[FECHA DE PAGO],"")</f>
        <v>0</v>
      </c>
      <c r="E589" s="27"/>
      <c r="F589" s="62" t="str">
        <f>+VLOOKUP(PROVEEDORES[[#This Row],[PROVEEDOR]],
                       Terceros!$A:$G,
                       6,
                       FALSE)</f>
        <v>supervisorventasbridge@gmail.com;newtimewatches1@gmail.com;girlesa.ruiz@servipilas.com;joriescobar64@gmail.com</v>
      </c>
      <c r="G589" s="95">
        <v>44442</v>
      </c>
      <c r="H589" s="28" t="s">
        <v>135</v>
      </c>
      <c r="I589" s="95">
        <v>44404</v>
      </c>
      <c r="J589" s="38">
        <v>37</v>
      </c>
      <c r="K589" s="23">
        <v>504000</v>
      </c>
      <c r="L589" s="23">
        <v>100800</v>
      </c>
      <c r="M589" s="24">
        <v>76608</v>
      </c>
      <c r="N589" s="25"/>
      <c r="O589" s="24">
        <v>0</v>
      </c>
      <c r="P589" s="136">
        <f>+IF(PROVEEDORES[[#This Row],[SUBTOTAL]]&lt;PROVEEDORES[[#This Row],[base retencion]],0,PROVEEDORES[[#This Row],[retención aplicada]])</f>
        <v>0</v>
      </c>
      <c r="Q589" s="24">
        <f>+PROVEEDORES[[#This Row],[Rete Fuente %]]*PROVEEDORES[[#This Row],[SUBTOTAL]]</f>
        <v>0</v>
      </c>
      <c r="R589" s="23">
        <v>479808</v>
      </c>
      <c r="S58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9" s="99">
        <f ca="1">IF(PROVEEDORES[[#This Row],[FECHA DE PAGO]]=0,TODAY()-PROVEEDORES[[#This Row],[FECHA DE FACTURACIÓN]]-PROVEEDORES[[#This Row],[PLAZO Días]],0)</f>
        <v>0</v>
      </c>
      <c r="U589" s="149" t="str">
        <f>+VLOOKUP(PROVEEDORES[[#This Row],[PROVEEDOR]],Terceros!$A:$E,5,FALSE)</f>
        <v>2,5% con base</v>
      </c>
      <c r="V589" s="150">
        <f>+YEAR(PROVEEDORES[[#This Row],[FECHA DE FACTURACIÓN]])</f>
        <v>2021</v>
      </c>
      <c r="W589" s="150">
        <f>+MATCH(PROVEEDORES[[#This Row],[año facturado]],Retenciones!$1:$1,0)</f>
        <v>4</v>
      </c>
      <c r="X589" s="151">
        <f>+VLOOKUP(PROVEEDORES[[#This Row],[ID RETENCION]],Retenciones!$A$1:$O$24,PROVEEDORES[[#This Row],[indicador de columna]],FALSE)</f>
        <v>980000</v>
      </c>
      <c r="Y589" s="152">
        <f>+VLOOKUP(PROVEEDORES[[#This Row],[ID RETENCION]],Retenciones!$A$1:$O$24,2,FALSE)</f>
        <v>2.5000000000000001E-2</v>
      </c>
      <c r="Z589" s="26"/>
      <c r="AA589" s="26"/>
      <c r="AB589" s="26"/>
      <c r="AC589" s="26"/>
      <c r="AD589" s="26"/>
      <c r="AE589" s="26"/>
    </row>
    <row r="590" spans="1:31" ht="21.95" customHeight="1" x14ac:dyDescent="0.25">
      <c r="A590" s="97" t="str">
        <f>+IF(PROVEEDORES[[#This Row],[FECHA DE PAGO]]=PROVEEDORES[[#This Row],[FECHA DE FACTURACIÓN]],"DE CONTADO","CRÉDITO")</f>
        <v>CRÉDITO</v>
      </c>
      <c r="B590" s="41" t="str">
        <f>+IF((PROVEEDORES[[#This Row],[FECHA DE PAGO]]-PROVEEDORES[[#This Row],[FECHA DE FACTURACIÓN]])&gt;PROVEEDORES[[#This Row],[PLAZO Días]],"PAGO VENCIDO")</f>
        <v>PAGO VENCIDO</v>
      </c>
      <c r="C590" s="22">
        <f>+VLOOKUP(PROVEEDORES[[#This Row],[PROVEEDOR]],TERCEROS_INFO[#All],2,FALSE)</f>
        <v>30</v>
      </c>
      <c r="D590" s="27">
        <f>+SUMIFS(PROVEEDORES[Total],PROVEEDORES[PROVEEDOR],PROVEEDORES[[#This Row],[PROVEEDOR]],PROVEEDORES[FECHA DE PAGO],"")</f>
        <v>144400</v>
      </c>
      <c r="E590" s="27"/>
      <c r="F590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590" s="95">
        <v>44442</v>
      </c>
      <c r="H590" s="28" t="s">
        <v>1071</v>
      </c>
      <c r="I590" s="95">
        <v>44404</v>
      </c>
      <c r="J590" s="38" t="s">
        <v>764</v>
      </c>
      <c r="K590" s="23">
        <v>803250</v>
      </c>
      <c r="L590" s="23"/>
      <c r="M590" s="24">
        <v>0</v>
      </c>
      <c r="N590" s="25"/>
      <c r="O590" s="24">
        <v>0</v>
      </c>
      <c r="P590" s="136">
        <f>+IF(PROVEEDORES[[#This Row],[SUBTOTAL]]&lt;PROVEEDORES[[#This Row],[base retencion]],0,PROVEEDORES[[#This Row],[retención aplicada]])</f>
        <v>0</v>
      </c>
      <c r="Q590" s="24">
        <f>+PROVEEDORES[[#This Row],[Rete Fuente %]]*PROVEEDORES[[#This Row],[SUBTOTAL]]</f>
        <v>0</v>
      </c>
      <c r="R590" s="23">
        <v>803250</v>
      </c>
      <c r="S59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0" s="99">
        <f ca="1">IF(PROVEEDORES[[#This Row],[FECHA DE PAGO]]=0,TODAY()-PROVEEDORES[[#This Row],[FECHA DE FACTURACIÓN]]-PROVEEDORES[[#This Row],[PLAZO Días]],0)</f>
        <v>0</v>
      </c>
      <c r="U590" s="149">
        <f>+VLOOKUP(PROVEEDORES[[#This Row],[PROVEEDOR]],Terceros!$A:$E,5,FALSE)</f>
        <v>0</v>
      </c>
      <c r="V590" s="150">
        <f>+YEAR(PROVEEDORES[[#This Row],[FECHA DE FACTURACIÓN]])</f>
        <v>2021</v>
      </c>
      <c r="W590" s="150">
        <f>+MATCH(PROVEEDORES[[#This Row],[año facturado]],Retenciones!$1:$1,0)</f>
        <v>4</v>
      </c>
      <c r="X590" s="151">
        <f>+VLOOKUP(PROVEEDORES[[#This Row],[ID RETENCION]],Retenciones!$A$1:$O$24,PROVEEDORES[[#This Row],[indicador de columna]],FALSE)</f>
        <v>0</v>
      </c>
      <c r="Y590" s="152">
        <f>+VLOOKUP(PROVEEDORES[[#This Row],[ID RETENCION]],Retenciones!$A$1:$O$24,2,FALSE)</f>
        <v>0</v>
      </c>
      <c r="Z590" s="26"/>
      <c r="AA590" s="26"/>
      <c r="AB590" s="26"/>
      <c r="AC590" s="26"/>
      <c r="AD590" s="26"/>
      <c r="AE590" s="26"/>
    </row>
    <row r="591" spans="1:31" ht="21.95" customHeight="1" x14ac:dyDescent="0.25">
      <c r="A591" s="97" t="str">
        <f>+IF(PROVEEDORES[[#This Row],[FECHA DE PAGO]]=PROVEEDORES[[#This Row],[FECHA DE FACTURACIÓN]],"DE CONTADO","CRÉDITO")</f>
        <v>CRÉDITO</v>
      </c>
      <c r="B591" s="41" t="str">
        <f>+IF((PROVEEDORES[[#This Row],[FECHA DE PAGO]]-PROVEEDORES[[#This Row],[FECHA DE FACTURACIÓN]])&gt;PROVEEDORES[[#This Row],[PLAZO Días]],"PAGO VENCIDO")</f>
        <v>PAGO VENCIDO</v>
      </c>
      <c r="C591" s="22">
        <f>+VLOOKUP(PROVEEDORES[[#This Row],[PROVEEDOR]],TERCEROS_INFO[#All],2,FALSE)</f>
        <v>30</v>
      </c>
      <c r="D591" s="27">
        <f>+SUMIFS(PROVEEDORES[Total],PROVEEDORES[PROVEEDOR],PROVEEDORES[[#This Row],[PROVEEDOR]],PROVEEDORES[FECHA DE PAGO],"")</f>
        <v>6151200</v>
      </c>
      <c r="E591" s="27"/>
      <c r="F591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591" s="95">
        <v>44442</v>
      </c>
      <c r="H591" s="28" t="s">
        <v>11</v>
      </c>
      <c r="I591" s="95">
        <v>44404</v>
      </c>
      <c r="J591" s="38" t="s">
        <v>439</v>
      </c>
      <c r="K591" s="23">
        <v>2640000</v>
      </c>
      <c r="L591" s="23"/>
      <c r="M591" s="24">
        <v>501600</v>
      </c>
      <c r="N591" s="25"/>
      <c r="O591" s="24">
        <v>0</v>
      </c>
      <c r="P591" s="136">
        <f>+IF(PROVEEDORES[[#This Row],[SUBTOTAL]]&lt;PROVEEDORES[[#This Row],[base retencion]],0,PROVEEDORES[[#This Row],[retención aplicada]])</f>
        <v>2.5000000000000001E-2</v>
      </c>
      <c r="Q591" s="24">
        <f>+PROVEEDORES[[#This Row],[Rete Fuente %]]*PROVEEDORES[[#This Row],[SUBTOTAL]]</f>
        <v>66000</v>
      </c>
      <c r="R591" s="23">
        <v>3075600</v>
      </c>
      <c r="S59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1" s="99">
        <f ca="1">IF(PROVEEDORES[[#This Row],[FECHA DE PAGO]]=0,TODAY()-PROVEEDORES[[#This Row],[FECHA DE FACTURACIÓN]]-PROVEEDORES[[#This Row],[PLAZO Días]],0)</f>
        <v>0</v>
      </c>
      <c r="U591" s="149" t="str">
        <f>+VLOOKUP(PROVEEDORES[[#This Row],[PROVEEDOR]],Terceros!$A:$E,5,FALSE)</f>
        <v>2,5% con base</v>
      </c>
      <c r="V591" s="150">
        <f>+YEAR(PROVEEDORES[[#This Row],[FECHA DE FACTURACIÓN]])</f>
        <v>2021</v>
      </c>
      <c r="W591" s="150">
        <f>+MATCH(PROVEEDORES[[#This Row],[año facturado]],Retenciones!$1:$1,0)</f>
        <v>4</v>
      </c>
      <c r="X591" s="151">
        <f>+VLOOKUP(PROVEEDORES[[#This Row],[ID RETENCION]],Retenciones!$A$1:$O$24,PROVEEDORES[[#This Row],[indicador de columna]],FALSE)</f>
        <v>980000</v>
      </c>
      <c r="Y591" s="152">
        <f>+VLOOKUP(PROVEEDORES[[#This Row],[ID RETENCION]],Retenciones!$A$1:$O$24,2,FALSE)</f>
        <v>2.5000000000000001E-2</v>
      </c>
      <c r="Z591" s="26"/>
      <c r="AA591" s="26"/>
      <c r="AB591" s="26"/>
      <c r="AC591" s="26"/>
      <c r="AD591" s="26"/>
      <c r="AE591" s="26"/>
    </row>
    <row r="592" spans="1:31" ht="21.95" customHeight="1" x14ac:dyDescent="0.25">
      <c r="A592" s="97" t="str">
        <f>+IF(PROVEEDORES[[#This Row],[FECHA DE PAGO]]=PROVEEDORES[[#This Row],[FECHA DE FACTURACIÓN]],"DE CONTADO","CRÉDITO")</f>
        <v>CRÉDITO</v>
      </c>
      <c r="B592" s="41" t="b">
        <f>+IF((PROVEEDORES[[#This Row],[FECHA DE PAGO]]-PROVEEDORES[[#This Row],[FECHA DE FACTURACIÓN]])&gt;PROVEEDORES[[#This Row],[PLAZO Días]],"PAGO VENCIDO")</f>
        <v>0</v>
      </c>
      <c r="C592" s="22">
        <f>+VLOOKUP(PROVEEDORES[[#This Row],[PROVEEDOR]],TERCEROS_INFO[#All],2,FALSE)</f>
        <v>30</v>
      </c>
      <c r="D592" s="27">
        <f>+SUMIFS(PROVEEDORES[Total],PROVEEDORES[PROVEEDOR],PROVEEDORES[[#This Row],[PROVEEDOR]],PROVEEDORES[FECHA DE PAGO],"")</f>
        <v>367873.4</v>
      </c>
      <c r="E592" s="27"/>
      <c r="F592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592" s="95">
        <v>44426</v>
      </c>
      <c r="H592" s="28" t="s">
        <v>120</v>
      </c>
      <c r="I592" s="95">
        <v>44405</v>
      </c>
      <c r="J592" s="38" t="s">
        <v>464</v>
      </c>
      <c r="K592" s="23">
        <v>54742.78</v>
      </c>
      <c r="L592" s="23"/>
      <c r="M592" s="24">
        <v>0</v>
      </c>
      <c r="N592" s="25"/>
      <c r="O592" s="24">
        <v>0</v>
      </c>
      <c r="P592" s="136">
        <f>+IF(PROVEEDORES[[#This Row],[SUBTOTAL]]&lt;PROVEEDORES[[#This Row],[base retencion]],0,PROVEEDORES[[#This Row],[retención aplicada]])</f>
        <v>0</v>
      </c>
      <c r="Q592" s="24">
        <f>+PROVEEDORES[[#This Row],[Rete Fuente %]]*PROVEEDORES[[#This Row],[SUBTOTAL]]</f>
        <v>0</v>
      </c>
      <c r="R592" s="23">
        <v>54742.78</v>
      </c>
      <c r="S59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2" s="99">
        <f ca="1">IF(PROVEEDORES[[#This Row],[FECHA DE PAGO]]=0,TODAY()-PROVEEDORES[[#This Row],[FECHA DE FACTURACIÓN]]-PROVEEDORES[[#This Row],[PLAZO Días]],0)</f>
        <v>0</v>
      </c>
      <c r="U592" s="149">
        <f>+VLOOKUP(PROVEEDORES[[#This Row],[PROVEEDOR]],Terceros!$A:$E,5,FALSE)</f>
        <v>0</v>
      </c>
      <c r="V592" s="150">
        <f>+YEAR(PROVEEDORES[[#This Row],[FECHA DE FACTURACIÓN]])</f>
        <v>2021</v>
      </c>
      <c r="W592" s="150">
        <f>+MATCH(PROVEEDORES[[#This Row],[año facturado]],Retenciones!$1:$1,0)</f>
        <v>4</v>
      </c>
      <c r="X592" s="151">
        <f>+VLOOKUP(PROVEEDORES[[#This Row],[ID RETENCION]],Retenciones!$A$1:$O$24,PROVEEDORES[[#This Row],[indicador de columna]],FALSE)</f>
        <v>0</v>
      </c>
      <c r="Y592" s="152">
        <f>+VLOOKUP(PROVEEDORES[[#This Row],[ID RETENCION]],Retenciones!$A$1:$O$24,2,FALSE)</f>
        <v>0</v>
      </c>
      <c r="Z592" s="26"/>
      <c r="AA592" s="26"/>
      <c r="AB592" s="26"/>
      <c r="AC592" s="26"/>
      <c r="AD592" s="26"/>
      <c r="AE592" s="26"/>
    </row>
    <row r="593" spans="1:31" ht="21.95" customHeight="1" x14ac:dyDescent="0.25">
      <c r="A593" s="97" t="str">
        <f>+IF(PROVEEDORES[[#This Row],[FECHA DE PAGO]]=PROVEEDORES[[#This Row],[FECHA DE FACTURACIÓN]],"DE CONTADO","CRÉDITO")</f>
        <v>CRÉDITO</v>
      </c>
      <c r="B593" s="41" t="b">
        <f>+IF((PROVEEDORES[[#This Row],[FECHA DE PAGO]]-PROVEEDORES[[#This Row],[FECHA DE FACTURACIÓN]])&gt;PROVEEDORES[[#This Row],[PLAZO Días]],"PAGO VENCIDO")</f>
        <v>0</v>
      </c>
      <c r="C593" s="22">
        <f>+VLOOKUP(PROVEEDORES[[#This Row],[PROVEEDOR]],TERCEROS_INFO[#All],2,FALSE)</f>
        <v>30</v>
      </c>
      <c r="D593" s="27">
        <f>+SUMIFS(PROVEEDORES[Total],PROVEEDORES[PROVEEDOR],PROVEEDORES[[#This Row],[PROVEEDOR]],PROVEEDORES[FECHA DE PAGO],"")</f>
        <v>0</v>
      </c>
      <c r="E593" s="27"/>
      <c r="F593" s="62" t="str">
        <f>+VLOOKUP(PROVEEDORES[[#This Row],[PROVEEDOR]],
                       Terceros!$A:$G,
                       6,
                       FALSE)</f>
        <v>cartera@jeway.com.co;girlesa.ruiz@servipilas.com;joriescobar64@gmail.com</v>
      </c>
      <c r="G593" s="95">
        <v>44433</v>
      </c>
      <c r="H593" s="28" t="s">
        <v>34</v>
      </c>
      <c r="I593" s="95">
        <v>44406</v>
      </c>
      <c r="J593" s="38">
        <v>2174</v>
      </c>
      <c r="K593" s="23">
        <v>193122</v>
      </c>
      <c r="L593" s="23"/>
      <c r="M593" s="24">
        <v>36693.18</v>
      </c>
      <c r="N593" s="25"/>
      <c r="O593" s="24">
        <v>0</v>
      </c>
      <c r="P593" s="136">
        <f>+IF(PROVEEDORES[[#This Row],[SUBTOTAL]]&lt;PROVEEDORES[[#This Row],[base retencion]],0,PROVEEDORES[[#This Row],[retención aplicada]])</f>
        <v>0</v>
      </c>
      <c r="Q593" s="24">
        <f>+PROVEEDORES[[#This Row],[Rete Fuente %]]*PROVEEDORES[[#This Row],[SUBTOTAL]]</f>
        <v>0</v>
      </c>
      <c r="R593" s="23">
        <v>229815.18</v>
      </c>
      <c r="S59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3" s="99">
        <f ca="1">IF(PROVEEDORES[[#This Row],[FECHA DE PAGO]]=0,TODAY()-PROVEEDORES[[#This Row],[FECHA DE FACTURACIÓN]]-PROVEEDORES[[#This Row],[PLAZO Días]],0)</f>
        <v>0</v>
      </c>
      <c r="U593" s="149" t="str">
        <f>+VLOOKUP(PROVEEDORES[[#This Row],[PROVEEDOR]],Terceros!$A:$E,5,FALSE)</f>
        <v>2,5% con base</v>
      </c>
      <c r="V593" s="150">
        <f>+YEAR(PROVEEDORES[[#This Row],[FECHA DE FACTURACIÓN]])</f>
        <v>2021</v>
      </c>
      <c r="W593" s="150">
        <f>+MATCH(PROVEEDORES[[#This Row],[año facturado]],Retenciones!$1:$1,0)</f>
        <v>4</v>
      </c>
      <c r="X593" s="151">
        <f>+VLOOKUP(PROVEEDORES[[#This Row],[ID RETENCION]],Retenciones!$A$1:$O$24,PROVEEDORES[[#This Row],[indicador de columna]],FALSE)</f>
        <v>980000</v>
      </c>
      <c r="Y593" s="152">
        <f>+VLOOKUP(PROVEEDORES[[#This Row],[ID RETENCION]],Retenciones!$A$1:$O$24,2,FALSE)</f>
        <v>2.5000000000000001E-2</v>
      </c>
      <c r="Z593" s="26"/>
      <c r="AA593" s="26"/>
      <c r="AB593" s="26"/>
      <c r="AC593" s="26"/>
      <c r="AD593" s="26"/>
      <c r="AE593" s="26"/>
    </row>
    <row r="594" spans="1:31" ht="21.95" customHeight="1" x14ac:dyDescent="0.25">
      <c r="A594" s="97" t="str">
        <f>+IF(PROVEEDORES[[#This Row],[FECHA DE PAGO]]=PROVEEDORES[[#This Row],[FECHA DE FACTURACIÓN]],"DE CONTADO","CRÉDITO")</f>
        <v>CRÉDITO</v>
      </c>
      <c r="B594" s="41" t="str">
        <f>+IF((PROVEEDORES[[#This Row],[FECHA DE PAGO]]-PROVEEDORES[[#This Row],[FECHA DE FACTURACIÓN]])&gt;PROVEEDORES[[#This Row],[PLAZO Días]],"PAGO VENCIDO")</f>
        <v>PAGO VENCIDO</v>
      </c>
      <c r="C594" s="22">
        <f>+VLOOKUP(PROVEEDORES[[#This Row],[PROVEEDOR]],TERCEROS_INFO[#All],2,FALSE)</f>
        <v>30</v>
      </c>
      <c r="D594" s="27">
        <f>+SUMIFS(PROVEEDORES[Total],PROVEEDORES[PROVEEDOR],PROVEEDORES[[#This Row],[PROVEEDOR]],PROVEEDORES[FECHA DE PAGO],"")</f>
        <v>1850000</v>
      </c>
      <c r="E594" s="27"/>
      <c r="F594" s="62" t="str">
        <f>+VLOOKUP(PROVEEDORES[[#This Row],[PROVEEDOR]],
                       Terceros!$A:$G,
                       6,
                       FALSE)</f>
        <v>globalpowerc2018@gmail.com;girlesa.ruiz@servipilas.com;joriescobar64@gmail.com</v>
      </c>
      <c r="G594" s="95">
        <v>44459</v>
      </c>
      <c r="H594" s="28" t="s">
        <v>1051</v>
      </c>
      <c r="I594" s="95">
        <v>44407</v>
      </c>
      <c r="J594" s="38" t="s">
        <v>769</v>
      </c>
      <c r="K594" s="23">
        <v>66000</v>
      </c>
      <c r="L594" s="23"/>
      <c r="M594" s="24">
        <v>0</v>
      </c>
      <c r="N594" s="25"/>
      <c r="O594" s="24">
        <v>0</v>
      </c>
      <c r="P594" s="136">
        <f>+IF(PROVEEDORES[[#This Row],[SUBTOTAL]]&lt;PROVEEDORES[[#This Row],[base retencion]],0,PROVEEDORES[[#This Row],[retención aplicada]])</f>
        <v>0</v>
      </c>
      <c r="Q594" s="24">
        <f>+PROVEEDORES[[#This Row],[Rete Fuente %]]*PROVEEDORES[[#This Row],[SUBTOTAL]]</f>
        <v>0</v>
      </c>
      <c r="R594" s="23">
        <v>66000</v>
      </c>
      <c r="S59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4" s="99">
        <f ca="1">IF(PROVEEDORES[[#This Row],[FECHA DE PAGO]]=0,TODAY()-PROVEEDORES[[#This Row],[FECHA DE FACTURACIÓN]]-PROVEEDORES[[#This Row],[PLAZO Días]],0)</f>
        <v>0</v>
      </c>
      <c r="U594" s="149">
        <f>+VLOOKUP(PROVEEDORES[[#This Row],[PROVEEDOR]],Terceros!$A:$E,5,FALSE)</f>
        <v>0</v>
      </c>
      <c r="V594" s="150">
        <f>+YEAR(PROVEEDORES[[#This Row],[FECHA DE FACTURACIÓN]])</f>
        <v>2021</v>
      </c>
      <c r="W594" s="150">
        <f>+MATCH(PROVEEDORES[[#This Row],[año facturado]],Retenciones!$1:$1,0)</f>
        <v>4</v>
      </c>
      <c r="X594" s="151">
        <f>+VLOOKUP(PROVEEDORES[[#This Row],[ID RETENCION]],Retenciones!$A$1:$O$24,PROVEEDORES[[#This Row],[indicador de columna]],FALSE)</f>
        <v>0</v>
      </c>
      <c r="Y594" s="152">
        <f>+VLOOKUP(PROVEEDORES[[#This Row],[ID RETENCION]],Retenciones!$A$1:$O$24,2,FALSE)</f>
        <v>0</v>
      </c>
      <c r="Z594" s="26"/>
      <c r="AA594" s="26"/>
      <c r="AB594" s="26"/>
      <c r="AC594" s="26"/>
      <c r="AD594" s="26"/>
      <c r="AE594" s="26"/>
    </row>
    <row r="595" spans="1:31" ht="21.95" customHeight="1" x14ac:dyDescent="0.25">
      <c r="A595" s="97" t="str">
        <f>+IF(PROVEEDORES[[#This Row],[FECHA DE PAGO]]=PROVEEDORES[[#This Row],[FECHA DE FACTURACIÓN]],"DE CONTADO","CRÉDITO")</f>
        <v>DE CONTADO</v>
      </c>
      <c r="B595" s="41" t="b">
        <f>+IF((PROVEEDORES[[#This Row],[FECHA DE PAGO]]-PROVEEDORES[[#This Row],[FECHA DE FACTURACIÓN]])&gt;PROVEEDORES[[#This Row],[PLAZO Días]],"PAGO VENCIDO")</f>
        <v>0</v>
      </c>
      <c r="C595" s="22">
        <f>+VLOOKUP(PROVEEDORES[[#This Row],[PROVEEDOR]],TERCEROS_INFO[#All],2,FALSE)</f>
        <v>30</v>
      </c>
      <c r="D595" s="27">
        <f>+SUMIFS(PROVEEDORES[Total],PROVEEDORES[PROVEEDOR],PROVEEDORES[[#This Row],[PROVEEDOR]],PROVEEDORES[FECHA DE PAGO],"")</f>
        <v>0</v>
      </c>
      <c r="E595" s="27"/>
      <c r="F595" s="62" t="str">
        <f>+VLOOKUP(PROVEEDORES[[#This Row],[PROVEEDOR]],
                       Terceros!$A:$G,
                       6,
                       FALSE)</f>
        <v/>
      </c>
      <c r="G595" s="95">
        <v>44407</v>
      </c>
      <c r="H595" s="28" t="s">
        <v>1010</v>
      </c>
      <c r="I595" s="95">
        <v>44407</v>
      </c>
      <c r="J595" s="38" t="s">
        <v>767</v>
      </c>
      <c r="K595" s="23">
        <v>95000</v>
      </c>
      <c r="L595" s="23"/>
      <c r="M595" s="24">
        <v>0</v>
      </c>
      <c r="N595" s="25"/>
      <c r="O595" s="24">
        <v>0</v>
      </c>
      <c r="P595" s="136">
        <f>+IF(PROVEEDORES[[#This Row],[SUBTOTAL]]&lt;PROVEEDORES[[#This Row],[base retencion]],0,PROVEEDORES[[#This Row],[retención aplicada]])</f>
        <v>0</v>
      </c>
      <c r="Q595" s="24">
        <f>+PROVEEDORES[[#This Row],[Rete Fuente %]]*PROVEEDORES[[#This Row],[SUBTOTAL]]</f>
        <v>0</v>
      </c>
      <c r="R595" s="23">
        <v>95000</v>
      </c>
      <c r="S59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5" s="99">
        <f ca="1">IF(PROVEEDORES[[#This Row],[FECHA DE PAGO]]=0,TODAY()-PROVEEDORES[[#This Row],[FECHA DE FACTURACIÓN]]-PROVEEDORES[[#This Row],[PLAZO Días]],0)</f>
        <v>0</v>
      </c>
      <c r="U595" s="149">
        <f>+VLOOKUP(PROVEEDORES[[#This Row],[PROVEEDOR]],Terceros!$A:$E,5,FALSE)</f>
        <v>0</v>
      </c>
      <c r="V595" s="150">
        <f>+YEAR(PROVEEDORES[[#This Row],[FECHA DE FACTURACIÓN]])</f>
        <v>2021</v>
      </c>
      <c r="W595" s="150">
        <f>+MATCH(PROVEEDORES[[#This Row],[año facturado]],Retenciones!$1:$1,0)</f>
        <v>4</v>
      </c>
      <c r="X595" s="151">
        <f>+VLOOKUP(PROVEEDORES[[#This Row],[ID RETENCION]],Retenciones!$A$1:$O$24,PROVEEDORES[[#This Row],[indicador de columna]],FALSE)</f>
        <v>0</v>
      </c>
      <c r="Y595" s="152">
        <f>+VLOOKUP(PROVEEDORES[[#This Row],[ID RETENCION]],Retenciones!$A$1:$O$24,2,FALSE)</f>
        <v>0</v>
      </c>
      <c r="Z595" s="26"/>
      <c r="AA595" s="26"/>
      <c r="AB595" s="26"/>
      <c r="AC595" s="26"/>
      <c r="AD595" s="26"/>
      <c r="AE595" s="26"/>
    </row>
    <row r="596" spans="1:31" ht="21.95" customHeight="1" x14ac:dyDescent="0.25">
      <c r="A596" s="97" t="str">
        <f>+IF(PROVEEDORES[[#This Row],[FECHA DE PAGO]]=PROVEEDORES[[#This Row],[FECHA DE FACTURACIÓN]],"DE CONTADO","CRÉDITO")</f>
        <v>DE CONTADO</v>
      </c>
      <c r="B596" s="41" t="b">
        <f>+IF((PROVEEDORES[[#This Row],[FECHA DE PAGO]]-PROVEEDORES[[#This Row],[FECHA DE FACTURACIÓN]])&gt;PROVEEDORES[[#This Row],[PLAZO Días]],"PAGO VENCIDO")</f>
        <v>0</v>
      </c>
      <c r="C596" s="22">
        <f>+VLOOKUP(PROVEEDORES[[#This Row],[PROVEEDOR]],TERCEROS_INFO[#All],2,FALSE)</f>
        <v>30</v>
      </c>
      <c r="D596" s="27">
        <f>+SUMIFS(PROVEEDORES[Total],PROVEEDORES[PROVEEDOR],PROVEEDORES[[#This Row],[PROVEEDOR]],PROVEEDORES[FECHA DE PAGO],"")</f>
        <v>0</v>
      </c>
      <c r="E596" s="27"/>
      <c r="F596" s="62" t="str">
        <f>+VLOOKUP(PROVEEDORES[[#This Row],[PROVEEDOR]],
                       Terceros!$A:$G,
                       6,
                       FALSE)</f>
        <v/>
      </c>
      <c r="G596" s="95">
        <v>44407</v>
      </c>
      <c r="H596" s="28" t="s">
        <v>1010</v>
      </c>
      <c r="I596" s="95">
        <v>44407</v>
      </c>
      <c r="J596" s="38" t="s">
        <v>768</v>
      </c>
      <c r="K596" s="23">
        <v>96000</v>
      </c>
      <c r="L596" s="23"/>
      <c r="M596" s="24">
        <v>0</v>
      </c>
      <c r="N596" s="25"/>
      <c r="O596" s="24">
        <v>0</v>
      </c>
      <c r="P596" s="136">
        <f>+IF(PROVEEDORES[[#This Row],[SUBTOTAL]]&lt;PROVEEDORES[[#This Row],[base retencion]],0,PROVEEDORES[[#This Row],[retención aplicada]])</f>
        <v>0</v>
      </c>
      <c r="Q596" s="24">
        <f>+PROVEEDORES[[#This Row],[Rete Fuente %]]*PROVEEDORES[[#This Row],[SUBTOTAL]]</f>
        <v>0</v>
      </c>
      <c r="R596" s="23">
        <v>96000</v>
      </c>
      <c r="S59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6" s="99">
        <f ca="1">IF(PROVEEDORES[[#This Row],[FECHA DE PAGO]]=0,TODAY()-PROVEEDORES[[#This Row],[FECHA DE FACTURACIÓN]]-PROVEEDORES[[#This Row],[PLAZO Días]],0)</f>
        <v>0</v>
      </c>
      <c r="U596" s="149">
        <f>+VLOOKUP(PROVEEDORES[[#This Row],[PROVEEDOR]],Terceros!$A:$E,5,FALSE)</f>
        <v>0</v>
      </c>
      <c r="V596" s="150">
        <f>+YEAR(PROVEEDORES[[#This Row],[FECHA DE FACTURACIÓN]])</f>
        <v>2021</v>
      </c>
      <c r="W596" s="150">
        <f>+MATCH(PROVEEDORES[[#This Row],[año facturado]],Retenciones!$1:$1,0)</f>
        <v>4</v>
      </c>
      <c r="X596" s="151">
        <f>+VLOOKUP(PROVEEDORES[[#This Row],[ID RETENCION]],Retenciones!$A$1:$O$24,PROVEEDORES[[#This Row],[indicador de columna]],FALSE)</f>
        <v>0</v>
      </c>
      <c r="Y596" s="152">
        <f>+VLOOKUP(PROVEEDORES[[#This Row],[ID RETENCION]],Retenciones!$A$1:$O$24,2,FALSE)</f>
        <v>0</v>
      </c>
      <c r="Z596" s="26"/>
      <c r="AA596" s="26"/>
      <c r="AB596" s="26"/>
      <c r="AC596" s="26"/>
      <c r="AD596" s="26"/>
      <c r="AE596" s="26"/>
    </row>
    <row r="597" spans="1:31" ht="21.95" customHeight="1" x14ac:dyDescent="0.25">
      <c r="A597" s="97" t="str">
        <f>+IF(PROVEEDORES[[#This Row],[FECHA DE PAGO]]=PROVEEDORES[[#This Row],[FECHA DE FACTURACIÓN]],"DE CONTADO","CRÉDITO")</f>
        <v>CRÉDITO</v>
      </c>
      <c r="B597" s="41" t="str">
        <f>+IF((PROVEEDORES[[#This Row],[FECHA DE PAGO]]-PROVEEDORES[[#This Row],[FECHA DE FACTURACIÓN]])&gt;PROVEEDORES[[#This Row],[PLAZO Días]],"PAGO VENCIDO")</f>
        <v>PAGO VENCIDO</v>
      </c>
      <c r="C597" s="22">
        <f>+VLOOKUP(PROVEEDORES[[#This Row],[PROVEEDOR]],TERCEROS_INFO[#All],2,FALSE)</f>
        <v>30</v>
      </c>
      <c r="D597" s="27">
        <f>+SUMIFS(PROVEEDORES[Total],PROVEEDORES[PROVEEDOR],PROVEEDORES[[#This Row],[PROVEEDOR]],PROVEEDORES[FECHA DE PAGO],"")</f>
        <v>0</v>
      </c>
      <c r="E597" s="27"/>
      <c r="F597" s="62" t="str">
        <f>+VLOOKUP(PROVEEDORES[[#This Row],[PROVEEDOR]],
                       Terceros!$A:$G,
                       6,
                       FALSE)</f>
        <v/>
      </c>
      <c r="G597" s="95">
        <v>44441</v>
      </c>
      <c r="H597" s="28" t="s">
        <v>983</v>
      </c>
      <c r="I597" s="95">
        <v>44407</v>
      </c>
      <c r="J597" s="38" t="s">
        <v>765</v>
      </c>
      <c r="K597" s="23">
        <v>124600</v>
      </c>
      <c r="L597" s="23"/>
      <c r="M597" s="24">
        <v>0</v>
      </c>
      <c r="N597" s="25"/>
      <c r="O597" s="24">
        <v>0</v>
      </c>
      <c r="P597" s="136">
        <f>+IF(PROVEEDORES[[#This Row],[SUBTOTAL]]&lt;PROVEEDORES[[#This Row],[base retencion]],0,PROVEEDORES[[#This Row],[retención aplicada]])</f>
        <v>0</v>
      </c>
      <c r="Q597" s="24">
        <f>+PROVEEDORES[[#This Row],[Rete Fuente %]]*PROVEEDORES[[#This Row],[SUBTOTAL]]</f>
        <v>0</v>
      </c>
      <c r="R597" s="23">
        <v>124600</v>
      </c>
      <c r="S59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7" s="99">
        <f ca="1">IF(PROVEEDORES[[#This Row],[FECHA DE PAGO]]=0,TODAY()-PROVEEDORES[[#This Row],[FECHA DE FACTURACIÓN]]-PROVEEDORES[[#This Row],[PLAZO Días]],0)</f>
        <v>0</v>
      </c>
      <c r="U597" s="149">
        <f>+VLOOKUP(PROVEEDORES[[#This Row],[PROVEEDOR]],Terceros!$A:$E,5,FALSE)</f>
        <v>0</v>
      </c>
      <c r="V597" s="150">
        <f>+YEAR(PROVEEDORES[[#This Row],[FECHA DE FACTURACIÓN]])</f>
        <v>2021</v>
      </c>
      <c r="W597" s="150">
        <f>+MATCH(PROVEEDORES[[#This Row],[año facturado]],Retenciones!$1:$1,0)</f>
        <v>4</v>
      </c>
      <c r="X597" s="151">
        <f>+VLOOKUP(PROVEEDORES[[#This Row],[ID RETENCION]],Retenciones!$A$1:$O$24,PROVEEDORES[[#This Row],[indicador de columna]],FALSE)</f>
        <v>0</v>
      </c>
      <c r="Y597" s="152">
        <f>+VLOOKUP(PROVEEDORES[[#This Row],[ID RETENCION]],Retenciones!$A$1:$O$24,2,FALSE)</f>
        <v>0</v>
      </c>
      <c r="Z597" s="26"/>
      <c r="AA597" s="26"/>
      <c r="AB597" s="26"/>
      <c r="AC597" s="26"/>
      <c r="AD597" s="26"/>
      <c r="AE597" s="26"/>
    </row>
    <row r="598" spans="1:31" ht="21.95" customHeight="1" x14ac:dyDescent="0.25">
      <c r="A598" s="97" t="str">
        <f>+IF(PROVEEDORES[[#This Row],[FECHA DE PAGO]]=PROVEEDORES[[#This Row],[FECHA DE FACTURACIÓN]],"DE CONTADO","CRÉDITO")</f>
        <v>DE CONTADO</v>
      </c>
      <c r="B598" s="41" t="b">
        <f>+IF((PROVEEDORES[[#This Row],[FECHA DE PAGO]]-PROVEEDORES[[#This Row],[FECHA DE FACTURACIÓN]])&gt;PROVEEDORES[[#This Row],[PLAZO Días]],"PAGO VENCIDO")</f>
        <v>0</v>
      </c>
      <c r="C598" s="22">
        <f>+VLOOKUP(PROVEEDORES[[#This Row],[PROVEEDOR]],TERCEROS_INFO[#All],2,FALSE)</f>
        <v>30</v>
      </c>
      <c r="D598" s="27">
        <f>+SUMIFS(PROVEEDORES[Total],PROVEEDORES[PROVEEDOR],PROVEEDORES[[#This Row],[PROVEEDOR]],PROVEEDORES[FECHA DE PAGO],"")</f>
        <v>0</v>
      </c>
      <c r="E598" s="27"/>
      <c r="F598" s="62" t="str">
        <f>+VLOOKUP(PROVEEDORES[[#This Row],[PROVEEDOR]],
                       Terceros!$A:$G,
                       6,
                       FALSE)</f>
        <v/>
      </c>
      <c r="G598" s="95">
        <v>44407</v>
      </c>
      <c r="H598" s="28" t="s">
        <v>1010</v>
      </c>
      <c r="I598" s="95">
        <v>44407</v>
      </c>
      <c r="J598" s="38" t="s">
        <v>766</v>
      </c>
      <c r="K598" s="23">
        <v>150000</v>
      </c>
      <c r="L598" s="23"/>
      <c r="M598" s="24">
        <v>0</v>
      </c>
      <c r="N598" s="25"/>
      <c r="O598" s="24">
        <v>0</v>
      </c>
      <c r="P598" s="136">
        <f>+IF(PROVEEDORES[[#This Row],[SUBTOTAL]]&lt;PROVEEDORES[[#This Row],[base retencion]],0,PROVEEDORES[[#This Row],[retención aplicada]])</f>
        <v>0</v>
      </c>
      <c r="Q598" s="24">
        <f>+PROVEEDORES[[#This Row],[Rete Fuente %]]*PROVEEDORES[[#This Row],[SUBTOTAL]]</f>
        <v>0</v>
      </c>
      <c r="R598" s="23">
        <v>150000</v>
      </c>
      <c r="S59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8" s="99">
        <f ca="1">IF(PROVEEDORES[[#This Row],[FECHA DE PAGO]]=0,TODAY()-PROVEEDORES[[#This Row],[FECHA DE FACTURACIÓN]]-PROVEEDORES[[#This Row],[PLAZO Días]],0)</f>
        <v>0</v>
      </c>
      <c r="U598" s="149">
        <f>+VLOOKUP(PROVEEDORES[[#This Row],[PROVEEDOR]],Terceros!$A:$E,5,FALSE)</f>
        <v>0</v>
      </c>
      <c r="V598" s="150">
        <f>+YEAR(PROVEEDORES[[#This Row],[FECHA DE FACTURACIÓN]])</f>
        <v>2021</v>
      </c>
      <c r="W598" s="150">
        <f>+MATCH(PROVEEDORES[[#This Row],[año facturado]],Retenciones!$1:$1,0)</f>
        <v>4</v>
      </c>
      <c r="X598" s="151">
        <f>+VLOOKUP(PROVEEDORES[[#This Row],[ID RETENCION]],Retenciones!$A$1:$O$24,PROVEEDORES[[#This Row],[indicador de columna]],FALSE)</f>
        <v>0</v>
      </c>
      <c r="Y598" s="152">
        <f>+VLOOKUP(PROVEEDORES[[#This Row],[ID RETENCION]],Retenciones!$A$1:$O$24,2,FALSE)</f>
        <v>0</v>
      </c>
      <c r="Z598" s="26"/>
      <c r="AA598" s="26"/>
      <c r="AB598" s="26"/>
      <c r="AC598" s="26"/>
      <c r="AD598" s="26"/>
      <c r="AE598" s="26"/>
    </row>
    <row r="599" spans="1:31" ht="21.95" customHeight="1" x14ac:dyDescent="0.25">
      <c r="A599" s="97" t="str">
        <f>+IF(PROVEEDORES[[#This Row],[FECHA DE PAGO]]=PROVEEDORES[[#This Row],[FECHA DE FACTURACIÓN]],"DE CONTADO","CRÉDITO")</f>
        <v>CRÉDITO</v>
      </c>
      <c r="B599" s="41" t="str">
        <f>+IF((PROVEEDORES[[#This Row],[FECHA DE PAGO]]-PROVEEDORES[[#This Row],[FECHA DE FACTURACIÓN]])&gt;PROVEEDORES[[#This Row],[PLAZO Días]],"PAGO VENCIDO")</f>
        <v>PAGO VENCIDO</v>
      </c>
      <c r="C599" s="22">
        <f>+VLOOKUP(PROVEEDORES[[#This Row],[PROVEEDOR]],TERCEROS_INFO[#All],2,FALSE)</f>
        <v>30</v>
      </c>
      <c r="D599" s="27">
        <f>+SUMIFS(PROVEEDORES[Total],PROVEEDORES[PROVEEDOR],PROVEEDORES[[#This Row],[PROVEEDOR]],PROVEEDORES[FECHA DE PAGO],"")</f>
        <v>0</v>
      </c>
      <c r="E599" s="27"/>
      <c r="F599" s="62" t="str">
        <f>+VLOOKUP(PROVEEDORES[[#This Row],[PROVEEDOR]],
                       Terceros!$A:$G,
                       6,
                       FALSE)</f>
        <v>globalpowerc2018@gmail.com;girlesa.ruiz@servipilas.com;joriescobar64@gmail.com</v>
      </c>
      <c r="G599" s="95">
        <v>44442</v>
      </c>
      <c r="H599" s="28" t="s">
        <v>479</v>
      </c>
      <c r="I599" s="95">
        <v>44407</v>
      </c>
      <c r="J599" s="38">
        <v>8</v>
      </c>
      <c r="K599" s="23">
        <v>1420000</v>
      </c>
      <c r="L599" s="23"/>
      <c r="M599" s="24">
        <v>269800</v>
      </c>
      <c r="N599" s="25"/>
      <c r="O599" s="24">
        <v>0</v>
      </c>
      <c r="P599" s="136">
        <f>+IF(PROVEEDORES[[#This Row],[SUBTOTAL]]&lt;PROVEEDORES[[#This Row],[base retencion]],0,PROVEEDORES[[#This Row],[retención aplicada]])</f>
        <v>2.5000000000000001E-2</v>
      </c>
      <c r="Q599" s="24">
        <f>+PROVEEDORES[[#This Row],[Rete Fuente %]]*PROVEEDORES[[#This Row],[SUBTOTAL]]</f>
        <v>35500</v>
      </c>
      <c r="R599" s="23">
        <v>1654300</v>
      </c>
      <c r="S59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9" s="99">
        <f ca="1">IF(PROVEEDORES[[#This Row],[FECHA DE PAGO]]=0,TODAY()-PROVEEDORES[[#This Row],[FECHA DE FACTURACIÓN]]-PROVEEDORES[[#This Row],[PLAZO Días]],0)</f>
        <v>0</v>
      </c>
      <c r="U599" s="149" t="str">
        <f>+VLOOKUP(PROVEEDORES[[#This Row],[PROVEEDOR]],Terceros!$A:$E,5,FALSE)</f>
        <v>2,5% con base</v>
      </c>
      <c r="V599" s="150">
        <f>+YEAR(PROVEEDORES[[#This Row],[FECHA DE FACTURACIÓN]])</f>
        <v>2021</v>
      </c>
      <c r="W599" s="150">
        <f>+MATCH(PROVEEDORES[[#This Row],[año facturado]],Retenciones!$1:$1,0)</f>
        <v>4</v>
      </c>
      <c r="X599" s="151">
        <f>+VLOOKUP(PROVEEDORES[[#This Row],[ID RETENCION]],Retenciones!$A$1:$O$24,PROVEEDORES[[#This Row],[indicador de columna]],FALSE)</f>
        <v>980000</v>
      </c>
      <c r="Y599" s="152">
        <f>+VLOOKUP(PROVEEDORES[[#This Row],[ID RETENCION]],Retenciones!$A$1:$O$24,2,FALSE)</f>
        <v>2.5000000000000001E-2</v>
      </c>
      <c r="Z599" s="26"/>
      <c r="AA599" s="26"/>
      <c r="AB599" s="26"/>
      <c r="AC599" s="26"/>
      <c r="AD599" s="26"/>
      <c r="AE599" s="26"/>
    </row>
    <row r="600" spans="1:31" ht="21.95" customHeight="1" x14ac:dyDescent="0.25">
      <c r="A600" s="97" t="str">
        <f>+IF(PROVEEDORES[[#This Row],[FECHA DE PAGO]]=PROVEEDORES[[#This Row],[FECHA DE FACTURACIÓN]],"DE CONTADO","CRÉDITO")</f>
        <v>CRÉDITO</v>
      </c>
      <c r="B600" s="41" t="b">
        <f>+IF((PROVEEDORES[[#This Row],[FECHA DE PAGO]]-PROVEEDORES[[#This Row],[FECHA DE FACTURACIÓN]])&gt;PROVEEDORES[[#This Row],[PLAZO Días]],"PAGO VENCIDO")</f>
        <v>0</v>
      </c>
      <c r="C600" s="22">
        <f>+VLOOKUP(PROVEEDORES[[#This Row],[PROVEEDOR]],TERCEROS_INFO[#All],2,FALSE)</f>
        <v>30</v>
      </c>
      <c r="D600" s="27">
        <f>+SUMIFS(PROVEEDORES[Total],PROVEEDORES[PROVEEDOR],PROVEEDORES[[#This Row],[PROVEEDOR]],PROVEEDORES[FECHA DE PAGO],"")</f>
        <v>0</v>
      </c>
      <c r="E600" s="27"/>
      <c r="F600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600" s="95">
        <v>44429</v>
      </c>
      <c r="H600" s="28" t="s">
        <v>511</v>
      </c>
      <c r="I600" s="95">
        <v>44407</v>
      </c>
      <c r="J600" s="38" t="s">
        <v>491</v>
      </c>
      <c r="K600" s="23">
        <v>3519330</v>
      </c>
      <c r="L600" s="23"/>
      <c r="M600" s="24">
        <v>668672.69999999995</v>
      </c>
      <c r="N600" s="25"/>
      <c r="O600" s="24">
        <v>0</v>
      </c>
      <c r="P600" s="136">
        <f>+IF(PROVEEDORES[[#This Row],[SUBTOTAL]]&lt;PROVEEDORES[[#This Row],[base retencion]],0,PROVEEDORES[[#This Row],[retención aplicada]])</f>
        <v>0</v>
      </c>
      <c r="Q600" s="24">
        <f>+PROVEEDORES[[#This Row],[Rete Fuente %]]*PROVEEDORES[[#This Row],[SUBTOTAL]]</f>
        <v>0</v>
      </c>
      <c r="R600" s="23">
        <v>4188002.7</v>
      </c>
      <c r="S60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0" s="99">
        <f ca="1">IF(PROVEEDORES[[#This Row],[FECHA DE PAGO]]=0,TODAY()-PROVEEDORES[[#This Row],[FECHA DE FACTURACIÓN]]-PROVEEDORES[[#This Row],[PLAZO Días]],0)</f>
        <v>0</v>
      </c>
      <c r="U600" s="149">
        <f>+VLOOKUP(PROVEEDORES[[#This Row],[PROVEEDOR]],Terceros!$A:$E,5,FALSE)</f>
        <v>0</v>
      </c>
      <c r="V600" s="150">
        <f>+YEAR(PROVEEDORES[[#This Row],[FECHA DE FACTURACIÓN]])</f>
        <v>2021</v>
      </c>
      <c r="W600" s="150">
        <f>+MATCH(PROVEEDORES[[#This Row],[año facturado]],Retenciones!$1:$1,0)</f>
        <v>4</v>
      </c>
      <c r="X600" s="151">
        <f>+VLOOKUP(PROVEEDORES[[#This Row],[ID RETENCION]],Retenciones!$A$1:$O$24,PROVEEDORES[[#This Row],[indicador de columna]],FALSE)</f>
        <v>0</v>
      </c>
      <c r="Y600" s="152">
        <f>+VLOOKUP(PROVEEDORES[[#This Row],[ID RETENCION]],Retenciones!$A$1:$O$24,2,FALSE)</f>
        <v>0</v>
      </c>
      <c r="Z600" s="26"/>
      <c r="AA600" s="26"/>
      <c r="AB600" s="26"/>
      <c r="AC600" s="26"/>
      <c r="AD600" s="26"/>
      <c r="AE600" s="26"/>
    </row>
    <row r="601" spans="1:31" ht="21.95" customHeight="1" x14ac:dyDescent="0.25">
      <c r="A601" s="97" t="str">
        <f>+IF(PROVEEDORES[[#This Row],[FECHA DE PAGO]]=PROVEEDORES[[#This Row],[FECHA DE FACTURACIÓN]],"DE CONTADO","CRÉDITO")</f>
        <v>DE CONTADO</v>
      </c>
      <c r="B601" s="41" t="b">
        <f>+IF((PROVEEDORES[[#This Row],[FECHA DE PAGO]]-PROVEEDORES[[#This Row],[FECHA DE FACTURACIÓN]])&gt;PROVEEDORES[[#This Row],[PLAZO Días]],"PAGO VENCIDO")</f>
        <v>0</v>
      </c>
      <c r="C601" s="22">
        <f>+VLOOKUP(PROVEEDORES[[#This Row],[PROVEEDOR]],TERCEROS_INFO[#All],2,FALSE)</f>
        <v>30</v>
      </c>
      <c r="D601" s="27">
        <f>+SUMIFS(PROVEEDORES[Total],PROVEEDORES[PROVEEDOR],PROVEEDORES[[#This Row],[PROVEEDOR]],PROVEEDORES[FECHA DE PAGO],"")</f>
        <v>0</v>
      </c>
      <c r="E601" s="27"/>
      <c r="F601" s="62" t="str">
        <f>+VLOOKUP(PROVEEDORES[[#This Row],[PROVEEDOR]],
                       Terceros!$A:$G,
                       6,
                       FALSE)</f>
        <v/>
      </c>
      <c r="G601" s="95">
        <v>44408</v>
      </c>
      <c r="H601" s="28" t="s">
        <v>1010</v>
      </c>
      <c r="I601" s="95">
        <v>44408</v>
      </c>
      <c r="J601" s="38" t="s">
        <v>941</v>
      </c>
      <c r="K601" s="23">
        <v>0</v>
      </c>
      <c r="L601" s="23"/>
      <c r="M601" s="24">
        <v>0</v>
      </c>
      <c r="N601" s="25"/>
      <c r="O601" s="24">
        <v>0</v>
      </c>
      <c r="P601" s="136">
        <f>+IF(PROVEEDORES[[#This Row],[SUBTOTAL]]&lt;PROVEEDORES[[#This Row],[base retencion]],0,PROVEEDORES[[#This Row],[retención aplicada]])</f>
        <v>0</v>
      </c>
      <c r="Q601" s="24">
        <f>+PROVEEDORES[[#This Row],[Rete Fuente %]]*PROVEEDORES[[#This Row],[SUBTOTAL]]</f>
        <v>0</v>
      </c>
      <c r="R601" s="23">
        <v>0</v>
      </c>
      <c r="S60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1" s="99">
        <f ca="1">IF(PROVEEDORES[[#This Row],[FECHA DE PAGO]]=0,TODAY()-PROVEEDORES[[#This Row],[FECHA DE FACTURACIÓN]]-PROVEEDORES[[#This Row],[PLAZO Días]],0)</f>
        <v>0</v>
      </c>
      <c r="U601" s="149">
        <f>+VLOOKUP(PROVEEDORES[[#This Row],[PROVEEDOR]],Terceros!$A:$E,5,FALSE)</f>
        <v>0</v>
      </c>
      <c r="V601" s="150">
        <f>+YEAR(PROVEEDORES[[#This Row],[FECHA DE FACTURACIÓN]])</f>
        <v>2021</v>
      </c>
      <c r="W601" s="150">
        <f>+MATCH(PROVEEDORES[[#This Row],[año facturado]],Retenciones!$1:$1,0)</f>
        <v>4</v>
      </c>
      <c r="X601" s="151">
        <f>+VLOOKUP(PROVEEDORES[[#This Row],[ID RETENCION]],Retenciones!$A$1:$O$24,PROVEEDORES[[#This Row],[indicador de columna]],FALSE)</f>
        <v>0</v>
      </c>
      <c r="Y601" s="152">
        <f>+VLOOKUP(PROVEEDORES[[#This Row],[ID RETENCION]],Retenciones!$A$1:$O$24,2,FALSE)</f>
        <v>0</v>
      </c>
      <c r="Z601" s="26"/>
      <c r="AA601" s="26"/>
      <c r="AB601" s="26"/>
      <c r="AC601" s="26"/>
      <c r="AD601" s="26"/>
      <c r="AE601" s="26"/>
    </row>
    <row r="602" spans="1:31" ht="21.95" customHeight="1" x14ac:dyDescent="0.25">
      <c r="A602" s="97" t="str">
        <f>+IF(PROVEEDORES[[#This Row],[FECHA DE PAGO]]=PROVEEDORES[[#This Row],[FECHA DE FACTURACIÓN]],"DE CONTADO","CRÉDITO")</f>
        <v>DE CONTADO</v>
      </c>
      <c r="B602" s="41" t="b">
        <f>+IF((PROVEEDORES[[#This Row],[FECHA DE PAGO]]-PROVEEDORES[[#This Row],[FECHA DE FACTURACIÓN]])&gt;PROVEEDORES[[#This Row],[PLAZO Días]],"PAGO VENCIDO")</f>
        <v>0</v>
      </c>
      <c r="C602" s="22">
        <f>+VLOOKUP(PROVEEDORES[[#This Row],[PROVEEDOR]],TERCEROS_INFO[#All],2,FALSE)</f>
        <v>30</v>
      </c>
      <c r="D602" s="27">
        <f>+SUMIFS(PROVEEDORES[Total],PROVEEDORES[PROVEEDOR],PROVEEDORES[[#This Row],[PROVEEDOR]],PROVEEDORES[FECHA DE PAGO],"")</f>
        <v>0</v>
      </c>
      <c r="E602" s="27"/>
      <c r="F602" s="62" t="str">
        <f>+VLOOKUP(PROVEEDORES[[#This Row],[PROVEEDOR]],
                       Terceros!$A:$G,
                       6,
                       FALSE)</f>
        <v/>
      </c>
      <c r="G602" s="95">
        <v>44408</v>
      </c>
      <c r="H602" s="28" t="s">
        <v>1010</v>
      </c>
      <c r="I602" s="95">
        <v>44408</v>
      </c>
      <c r="J602" s="38" t="s">
        <v>943</v>
      </c>
      <c r="K602" s="23">
        <v>68000</v>
      </c>
      <c r="L602" s="23"/>
      <c r="M602" s="24">
        <v>0</v>
      </c>
      <c r="N602" s="25"/>
      <c r="O602" s="24">
        <v>0</v>
      </c>
      <c r="P602" s="136">
        <f>+IF(PROVEEDORES[[#This Row],[SUBTOTAL]]&lt;PROVEEDORES[[#This Row],[base retencion]],0,PROVEEDORES[[#This Row],[retención aplicada]])</f>
        <v>0</v>
      </c>
      <c r="Q602" s="24">
        <f>+PROVEEDORES[[#This Row],[Rete Fuente %]]*PROVEEDORES[[#This Row],[SUBTOTAL]]</f>
        <v>0</v>
      </c>
      <c r="R602" s="23">
        <v>68000</v>
      </c>
      <c r="S60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2" s="99">
        <f ca="1">IF(PROVEEDORES[[#This Row],[FECHA DE PAGO]]=0,TODAY()-PROVEEDORES[[#This Row],[FECHA DE FACTURACIÓN]]-PROVEEDORES[[#This Row],[PLAZO Días]],0)</f>
        <v>0</v>
      </c>
      <c r="U602" s="149">
        <f>+VLOOKUP(PROVEEDORES[[#This Row],[PROVEEDOR]],Terceros!$A:$E,5,FALSE)</f>
        <v>0</v>
      </c>
      <c r="V602" s="150">
        <f>+YEAR(PROVEEDORES[[#This Row],[FECHA DE FACTURACIÓN]])</f>
        <v>2021</v>
      </c>
      <c r="W602" s="150">
        <f>+MATCH(PROVEEDORES[[#This Row],[año facturado]],Retenciones!$1:$1,0)</f>
        <v>4</v>
      </c>
      <c r="X602" s="151">
        <f>+VLOOKUP(PROVEEDORES[[#This Row],[ID RETENCION]],Retenciones!$A$1:$O$24,PROVEEDORES[[#This Row],[indicador de columna]],FALSE)</f>
        <v>0</v>
      </c>
      <c r="Y602" s="152">
        <f>+VLOOKUP(PROVEEDORES[[#This Row],[ID RETENCION]],Retenciones!$A$1:$O$24,2,FALSE)</f>
        <v>0</v>
      </c>
      <c r="Z602" s="26"/>
      <c r="AA602" s="26"/>
      <c r="AB602" s="26"/>
      <c r="AC602" s="26"/>
      <c r="AD602" s="26"/>
      <c r="AE602" s="26"/>
    </row>
    <row r="603" spans="1:31" ht="21.95" customHeight="1" x14ac:dyDescent="0.25">
      <c r="A603" s="97" t="str">
        <f>+IF(PROVEEDORES[[#This Row],[FECHA DE PAGO]]=PROVEEDORES[[#This Row],[FECHA DE FACTURACIÓN]],"DE CONTADO","CRÉDITO")</f>
        <v>DE CONTADO</v>
      </c>
      <c r="B603" s="41" t="b">
        <f>+IF((PROVEEDORES[[#This Row],[FECHA DE PAGO]]-PROVEEDORES[[#This Row],[FECHA DE FACTURACIÓN]])&gt;PROVEEDORES[[#This Row],[PLAZO Días]],"PAGO VENCIDO")</f>
        <v>0</v>
      </c>
      <c r="C603" s="22">
        <f>+VLOOKUP(PROVEEDORES[[#This Row],[PROVEEDOR]],TERCEROS_INFO[#All],2,FALSE)</f>
        <v>30</v>
      </c>
      <c r="D603" s="27">
        <f>+SUMIFS(PROVEEDORES[Total],PROVEEDORES[PROVEEDOR],PROVEEDORES[[#This Row],[PROVEEDOR]],PROVEEDORES[FECHA DE PAGO],"")</f>
        <v>0</v>
      </c>
      <c r="E603" s="27"/>
      <c r="F603" s="62" t="str">
        <f>+VLOOKUP(PROVEEDORES[[#This Row],[PROVEEDOR]],
                       Terceros!$A:$G,
                       6,
                       FALSE)</f>
        <v/>
      </c>
      <c r="G603" s="95">
        <v>44408</v>
      </c>
      <c r="H603" s="28" t="s">
        <v>1010</v>
      </c>
      <c r="I603" s="95">
        <v>44408</v>
      </c>
      <c r="J603" s="38" t="s">
        <v>180</v>
      </c>
      <c r="K603" s="23">
        <v>114700</v>
      </c>
      <c r="L603" s="23"/>
      <c r="M603" s="24">
        <v>0</v>
      </c>
      <c r="N603" s="25"/>
      <c r="O603" s="24">
        <v>0</v>
      </c>
      <c r="P603" s="136">
        <f>+IF(PROVEEDORES[[#This Row],[SUBTOTAL]]&lt;PROVEEDORES[[#This Row],[base retencion]],0,PROVEEDORES[[#This Row],[retención aplicada]])</f>
        <v>0</v>
      </c>
      <c r="Q603" s="24">
        <f>+PROVEEDORES[[#This Row],[Rete Fuente %]]*PROVEEDORES[[#This Row],[SUBTOTAL]]</f>
        <v>0</v>
      </c>
      <c r="R603" s="23">
        <v>114700</v>
      </c>
      <c r="S60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3" s="99">
        <f ca="1">IF(PROVEEDORES[[#This Row],[FECHA DE PAGO]]=0,TODAY()-PROVEEDORES[[#This Row],[FECHA DE FACTURACIÓN]]-PROVEEDORES[[#This Row],[PLAZO Días]],0)</f>
        <v>0</v>
      </c>
      <c r="U603" s="149">
        <f>+VLOOKUP(PROVEEDORES[[#This Row],[PROVEEDOR]],Terceros!$A:$E,5,FALSE)</f>
        <v>0</v>
      </c>
      <c r="V603" s="150">
        <f>+YEAR(PROVEEDORES[[#This Row],[FECHA DE FACTURACIÓN]])</f>
        <v>2021</v>
      </c>
      <c r="W603" s="150">
        <f>+MATCH(PROVEEDORES[[#This Row],[año facturado]],Retenciones!$1:$1,0)</f>
        <v>4</v>
      </c>
      <c r="X603" s="151">
        <f>+VLOOKUP(PROVEEDORES[[#This Row],[ID RETENCION]],Retenciones!$A$1:$O$24,PROVEEDORES[[#This Row],[indicador de columna]],FALSE)</f>
        <v>0</v>
      </c>
      <c r="Y603" s="152">
        <f>+VLOOKUP(PROVEEDORES[[#This Row],[ID RETENCION]],Retenciones!$A$1:$O$24,2,FALSE)</f>
        <v>0</v>
      </c>
      <c r="Z603" s="26"/>
      <c r="AA603" s="26"/>
      <c r="AB603" s="26"/>
      <c r="AC603" s="26"/>
      <c r="AD603" s="26"/>
      <c r="AE603" s="26"/>
    </row>
    <row r="604" spans="1:31" ht="21.95" customHeight="1" x14ac:dyDescent="0.25">
      <c r="A604" s="97" t="str">
        <f>+IF(PROVEEDORES[[#This Row],[FECHA DE PAGO]]=PROVEEDORES[[#This Row],[FECHA DE FACTURACIÓN]],"DE CONTADO","CRÉDITO")</f>
        <v>DE CONTADO</v>
      </c>
      <c r="B604" s="41" t="b">
        <f>+IF((PROVEEDORES[[#This Row],[FECHA DE PAGO]]-PROVEEDORES[[#This Row],[FECHA DE FACTURACIÓN]])&gt;PROVEEDORES[[#This Row],[PLAZO Días]],"PAGO VENCIDO")</f>
        <v>0</v>
      </c>
      <c r="C604" s="22">
        <f>+VLOOKUP(PROVEEDORES[[#This Row],[PROVEEDOR]],TERCEROS_INFO[#All],2,FALSE)</f>
        <v>30</v>
      </c>
      <c r="D604" s="27">
        <f>+SUMIFS(PROVEEDORES[Total],PROVEEDORES[PROVEEDOR],PROVEEDORES[[#This Row],[PROVEEDOR]],PROVEEDORES[FECHA DE PAGO],"")</f>
        <v>0</v>
      </c>
      <c r="E604" s="27"/>
      <c r="F604" s="62">
        <f>+VLOOKUP(PROVEEDORES[[#This Row],[PROVEEDOR]],
                       Terceros!$A:$G,
                       6,
                       FALSE)</f>
        <v>0</v>
      </c>
      <c r="G604" s="95">
        <v>44408</v>
      </c>
      <c r="H604" s="28" t="s">
        <v>1039</v>
      </c>
      <c r="I604" s="95">
        <v>44408</v>
      </c>
      <c r="J604" s="38"/>
      <c r="K604" s="23">
        <v>378000</v>
      </c>
      <c r="L604" s="23"/>
      <c r="M604" s="24">
        <v>0</v>
      </c>
      <c r="N604" s="25"/>
      <c r="O604" s="24">
        <v>0</v>
      </c>
      <c r="P604" s="136">
        <f>+IF(PROVEEDORES[[#This Row],[SUBTOTAL]]&lt;PROVEEDORES[[#This Row],[base retencion]],0,PROVEEDORES[[#This Row],[retención aplicada]])</f>
        <v>0</v>
      </c>
      <c r="Q604" s="24">
        <f>+PROVEEDORES[[#This Row],[Rete Fuente %]]*PROVEEDORES[[#This Row],[SUBTOTAL]]</f>
        <v>0</v>
      </c>
      <c r="R604" s="23">
        <v>378000</v>
      </c>
      <c r="S60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4" s="99">
        <f ca="1">IF(PROVEEDORES[[#This Row],[FECHA DE PAGO]]=0,TODAY()-PROVEEDORES[[#This Row],[FECHA DE FACTURACIÓN]]-PROVEEDORES[[#This Row],[PLAZO Días]],0)</f>
        <v>0</v>
      </c>
      <c r="U604" s="149">
        <f>+VLOOKUP(PROVEEDORES[[#This Row],[PROVEEDOR]],Terceros!$A:$E,5,FALSE)</f>
        <v>0</v>
      </c>
      <c r="V604" s="150">
        <f>+YEAR(PROVEEDORES[[#This Row],[FECHA DE FACTURACIÓN]])</f>
        <v>2021</v>
      </c>
      <c r="W604" s="150">
        <f>+MATCH(PROVEEDORES[[#This Row],[año facturado]],Retenciones!$1:$1,0)</f>
        <v>4</v>
      </c>
      <c r="X604" s="151">
        <f>+VLOOKUP(PROVEEDORES[[#This Row],[ID RETENCION]],Retenciones!$A$1:$O$24,PROVEEDORES[[#This Row],[indicador de columna]],FALSE)</f>
        <v>0</v>
      </c>
      <c r="Y604" s="152">
        <f>+VLOOKUP(PROVEEDORES[[#This Row],[ID RETENCION]],Retenciones!$A$1:$O$24,2,FALSE)</f>
        <v>0</v>
      </c>
      <c r="Z604" s="26"/>
      <c r="AA604" s="26"/>
      <c r="AB604" s="26"/>
      <c r="AC604" s="26"/>
      <c r="AD604" s="26"/>
      <c r="AE604" s="26"/>
    </row>
    <row r="605" spans="1:31" ht="21.95" customHeight="1" x14ac:dyDescent="0.25">
      <c r="A605" s="97" t="str">
        <f>+IF(PROVEEDORES[[#This Row],[FECHA DE PAGO]]=PROVEEDORES[[#This Row],[FECHA DE FACTURACIÓN]],"DE CONTADO","CRÉDITO")</f>
        <v>DE CONTADO</v>
      </c>
      <c r="B605" s="41" t="b">
        <f>+IF((PROVEEDORES[[#This Row],[FECHA DE PAGO]]-PROVEEDORES[[#This Row],[FECHA DE FACTURACIÓN]])&gt;PROVEEDORES[[#This Row],[PLAZO Días]],"PAGO VENCIDO")</f>
        <v>0</v>
      </c>
      <c r="C605" s="22">
        <f>+VLOOKUP(PROVEEDORES[[#This Row],[PROVEEDOR]],TERCEROS_INFO[#All],2,FALSE)</f>
        <v>30</v>
      </c>
      <c r="D605" s="27">
        <f>+SUMIFS(PROVEEDORES[Total],PROVEEDORES[PROVEEDOR],PROVEEDORES[[#This Row],[PROVEEDOR]],PROVEEDORES[FECHA DE PAGO],"")</f>
        <v>0</v>
      </c>
      <c r="E605" s="27"/>
      <c r="F605" s="62" t="str">
        <f>+VLOOKUP(PROVEEDORES[[#This Row],[PROVEEDOR]],
                       Terceros!$A:$G,
                       6,
                       FALSE)</f>
        <v/>
      </c>
      <c r="G605" s="95">
        <v>44408</v>
      </c>
      <c r="H605" s="28" t="s">
        <v>997</v>
      </c>
      <c r="I605" s="95">
        <v>44408</v>
      </c>
      <c r="J605" s="38" t="s">
        <v>770</v>
      </c>
      <c r="K605" s="23">
        <v>410000</v>
      </c>
      <c r="L605" s="23"/>
      <c r="M605" s="24">
        <v>0</v>
      </c>
      <c r="N605" s="25"/>
      <c r="O605" s="24">
        <v>0</v>
      </c>
      <c r="P605" s="136">
        <f>+IF(PROVEEDORES[[#This Row],[SUBTOTAL]]&lt;PROVEEDORES[[#This Row],[base retencion]],0,PROVEEDORES[[#This Row],[retención aplicada]])</f>
        <v>0</v>
      </c>
      <c r="Q605" s="24">
        <f>+PROVEEDORES[[#This Row],[Rete Fuente %]]*PROVEEDORES[[#This Row],[SUBTOTAL]]</f>
        <v>0</v>
      </c>
      <c r="R605" s="23">
        <v>410000</v>
      </c>
      <c r="S60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5" s="99">
        <f ca="1">IF(PROVEEDORES[[#This Row],[FECHA DE PAGO]]=0,TODAY()-PROVEEDORES[[#This Row],[FECHA DE FACTURACIÓN]]-PROVEEDORES[[#This Row],[PLAZO Días]],0)</f>
        <v>0</v>
      </c>
      <c r="U605" s="149">
        <f>+VLOOKUP(PROVEEDORES[[#This Row],[PROVEEDOR]],Terceros!$A:$E,5,FALSE)</f>
        <v>0</v>
      </c>
      <c r="V605" s="150">
        <f>+YEAR(PROVEEDORES[[#This Row],[FECHA DE FACTURACIÓN]])</f>
        <v>2021</v>
      </c>
      <c r="W605" s="150">
        <f>+MATCH(PROVEEDORES[[#This Row],[año facturado]],Retenciones!$1:$1,0)</f>
        <v>4</v>
      </c>
      <c r="X605" s="151">
        <f>+VLOOKUP(PROVEEDORES[[#This Row],[ID RETENCION]],Retenciones!$A$1:$O$24,PROVEEDORES[[#This Row],[indicador de columna]],FALSE)</f>
        <v>0</v>
      </c>
      <c r="Y605" s="152">
        <f>+VLOOKUP(PROVEEDORES[[#This Row],[ID RETENCION]],Retenciones!$A$1:$O$24,2,FALSE)</f>
        <v>0</v>
      </c>
      <c r="Z605" s="26"/>
      <c r="AA605" s="26"/>
      <c r="AB605" s="26"/>
      <c r="AC605" s="26"/>
      <c r="AD605" s="26"/>
      <c r="AE605" s="26"/>
    </row>
    <row r="606" spans="1:31" ht="21.95" customHeight="1" x14ac:dyDescent="0.25">
      <c r="A606" s="97" t="str">
        <f>+IF(PROVEEDORES[[#This Row],[FECHA DE PAGO]]=PROVEEDORES[[#This Row],[FECHA DE FACTURACIÓN]],"DE CONTADO","CRÉDITO")</f>
        <v>DE CONTADO</v>
      </c>
      <c r="B606" s="41" t="b">
        <f>+IF((PROVEEDORES[[#This Row],[FECHA DE PAGO]]-PROVEEDORES[[#This Row],[FECHA DE FACTURACIÓN]])&gt;PROVEEDORES[[#This Row],[PLAZO Días]],"PAGO VENCIDO")</f>
        <v>0</v>
      </c>
      <c r="C606" s="22">
        <f>+VLOOKUP(PROVEEDORES[[#This Row],[PROVEEDOR]],TERCEROS_INFO[#All],2,FALSE)</f>
        <v>30</v>
      </c>
      <c r="D606" s="27">
        <f>+SUMIFS(PROVEEDORES[Total],PROVEEDORES[PROVEEDOR],PROVEEDORES[[#This Row],[PROVEEDOR]],PROVEEDORES[FECHA DE PAGO],"")</f>
        <v>0</v>
      </c>
      <c r="E606" s="27"/>
      <c r="F606" s="62" t="str">
        <f>+VLOOKUP(PROVEEDORES[[#This Row],[PROVEEDOR]],
                       Terceros!$A:$G,
                       6,
                       FALSE)</f>
        <v/>
      </c>
      <c r="G606" s="95">
        <v>44408</v>
      </c>
      <c r="H606" s="28" t="s">
        <v>1010</v>
      </c>
      <c r="I606" s="95">
        <v>44408</v>
      </c>
      <c r="J606" s="38" t="s">
        <v>942</v>
      </c>
      <c r="K606" s="23">
        <v>460100</v>
      </c>
      <c r="L606" s="23"/>
      <c r="M606" s="24">
        <v>0</v>
      </c>
      <c r="N606" s="25"/>
      <c r="O606" s="24">
        <v>0</v>
      </c>
      <c r="P606" s="136">
        <f>+IF(PROVEEDORES[[#This Row],[SUBTOTAL]]&lt;PROVEEDORES[[#This Row],[base retencion]],0,PROVEEDORES[[#This Row],[retención aplicada]])</f>
        <v>0</v>
      </c>
      <c r="Q606" s="24">
        <f>+PROVEEDORES[[#This Row],[Rete Fuente %]]*PROVEEDORES[[#This Row],[SUBTOTAL]]</f>
        <v>0</v>
      </c>
      <c r="R606" s="23">
        <v>460100</v>
      </c>
      <c r="S60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6" s="99">
        <f ca="1">IF(PROVEEDORES[[#This Row],[FECHA DE PAGO]]=0,TODAY()-PROVEEDORES[[#This Row],[FECHA DE FACTURACIÓN]]-PROVEEDORES[[#This Row],[PLAZO Días]],0)</f>
        <v>0</v>
      </c>
      <c r="U606" s="149">
        <f>+VLOOKUP(PROVEEDORES[[#This Row],[PROVEEDOR]],Terceros!$A:$E,5,FALSE)</f>
        <v>0</v>
      </c>
      <c r="V606" s="150">
        <f>+YEAR(PROVEEDORES[[#This Row],[FECHA DE FACTURACIÓN]])</f>
        <v>2021</v>
      </c>
      <c r="W606" s="150">
        <f>+MATCH(PROVEEDORES[[#This Row],[año facturado]],Retenciones!$1:$1,0)</f>
        <v>4</v>
      </c>
      <c r="X606" s="151">
        <f>+VLOOKUP(PROVEEDORES[[#This Row],[ID RETENCION]],Retenciones!$A$1:$O$24,PROVEEDORES[[#This Row],[indicador de columna]],FALSE)</f>
        <v>0</v>
      </c>
      <c r="Y606" s="152">
        <f>+VLOOKUP(PROVEEDORES[[#This Row],[ID RETENCION]],Retenciones!$A$1:$O$24,2,FALSE)</f>
        <v>0</v>
      </c>
      <c r="Z606" s="26"/>
      <c r="AA606" s="26"/>
      <c r="AB606" s="26"/>
      <c r="AC606" s="26"/>
      <c r="AD606" s="26"/>
      <c r="AE606" s="26"/>
    </row>
    <row r="607" spans="1:31" ht="21.95" customHeight="1" x14ac:dyDescent="0.25">
      <c r="A607" s="97" t="str">
        <f>+IF(PROVEEDORES[[#This Row],[FECHA DE PAGO]]=PROVEEDORES[[#This Row],[FECHA DE FACTURACIÓN]],"DE CONTADO","CRÉDITO")</f>
        <v>CRÉDITO</v>
      </c>
      <c r="B607" s="41" t="str">
        <f>+IF((PROVEEDORES[[#This Row],[FECHA DE PAGO]]-PROVEEDORES[[#This Row],[FECHA DE FACTURACIÓN]])&gt;PROVEEDORES[[#This Row],[PLAZO Días]],"PAGO VENCIDO")</f>
        <v>PAGO VENCIDO</v>
      </c>
      <c r="C607" s="22">
        <f>+VLOOKUP(PROVEEDORES[[#This Row],[PROVEEDOR]],TERCEROS_INFO[#All],2,FALSE)</f>
        <v>30</v>
      </c>
      <c r="D607" s="27">
        <f>+SUMIFS(PROVEEDORES[Total],PROVEEDORES[PROVEEDOR],PROVEEDORES[[#This Row],[PROVEEDOR]],PROVEEDORES[FECHA DE PAGO],"")</f>
        <v>0</v>
      </c>
      <c r="E607" s="27"/>
      <c r="F607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607" s="95">
        <v>44442</v>
      </c>
      <c r="H607" s="28" t="s">
        <v>24</v>
      </c>
      <c r="I607" s="95">
        <v>44408</v>
      </c>
      <c r="J607" s="38" t="s">
        <v>441</v>
      </c>
      <c r="K607" s="23">
        <v>758000</v>
      </c>
      <c r="L607" s="23"/>
      <c r="M607" s="24">
        <v>144020</v>
      </c>
      <c r="N607" s="25"/>
      <c r="O607" s="24">
        <v>0</v>
      </c>
      <c r="P607" s="136">
        <f>+IF(PROVEEDORES[[#This Row],[SUBTOTAL]]&lt;PROVEEDORES[[#This Row],[base retencion]],0,PROVEEDORES[[#This Row],[retención aplicada]])</f>
        <v>0</v>
      </c>
      <c r="Q607" s="24">
        <f>+PROVEEDORES[[#This Row],[Rete Fuente %]]*PROVEEDORES[[#This Row],[SUBTOTAL]]</f>
        <v>0</v>
      </c>
      <c r="R607" s="23">
        <v>902020</v>
      </c>
      <c r="S60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7" s="99">
        <f ca="1">IF(PROVEEDORES[[#This Row],[FECHA DE PAGO]]=0,TODAY()-PROVEEDORES[[#This Row],[FECHA DE FACTURACIÓN]]-PROVEEDORES[[#This Row],[PLAZO Días]],0)</f>
        <v>0</v>
      </c>
      <c r="U607" s="149" t="str">
        <f>+VLOOKUP(PROVEEDORES[[#This Row],[PROVEEDOR]],Terceros!$A:$E,5,FALSE)</f>
        <v>2,5% con base</v>
      </c>
      <c r="V607" s="150">
        <f>+YEAR(PROVEEDORES[[#This Row],[FECHA DE FACTURACIÓN]])</f>
        <v>2021</v>
      </c>
      <c r="W607" s="150">
        <f>+MATCH(PROVEEDORES[[#This Row],[año facturado]],Retenciones!$1:$1,0)</f>
        <v>4</v>
      </c>
      <c r="X607" s="151">
        <f>+VLOOKUP(PROVEEDORES[[#This Row],[ID RETENCION]],Retenciones!$A$1:$O$24,PROVEEDORES[[#This Row],[indicador de columna]],FALSE)</f>
        <v>980000</v>
      </c>
      <c r="Y607" s="152">
        <f>+VLOOKUP(PROVEEDORES[[#This Row],[ID RETENCION]],Retenciones!$A$1:$O$24,2,FALSE)</f>
        <v>2.5000000000000001E-2</v>
      </c>
      <c r="Z607" s="26"/>
      <c r="AA607" s="26"/>
      <c r="AB607" s="26"/>
      <c r="AC607" s="26"/>
      <c r="AD607" s="26"/>
      <c r="AE607" s="26"/>
    </row>
    <row r="608" spans="1:31" ht="21.95" customHeight="1" x14ac:dyDescent="0.25">
      <c r="A608" s="97" t="str">
        <f>+IF(PROVEEDORES[[#This Row],[FECHA DE PAGO]]=PROVEEDORES[[#This Row],[FECHA DE FACTURACIÓN]],"DE CONTADO","CRÉDITO")</f>
        <v>DE CONTADO</v>
      </c>
      <c r="B608" s="41" t="b">
        <f>+IF((PROVEEDORES[[#This Row],[FECHA DE PAGO]]-PROVEEDORES[[#This Row],[FECHA DE FACTURACIÓN]])&gt;PROVEEDORES[[#This Row],[PLAZO Días]],"PAGO VENCIDO")</f>
        <v>0</v>
      </c>
      <c r="C608" s="22">
        <f>+VLOOKUP(PROVEEDORES[[#This Row],[PROVEEDOR]],TERCEROS_INFO[#All],2,FALSE)</f>
        <v>30</v>
      </c>
      <c r="D608" s="27">
        <f>+SUMIFS(PROVEEDORES[Total],PROVEEDORES[PROVEEDOR],PROVEEDORES[[#This Row],[PROVEEDOR]],PROVEEDORES[FECHA DE PAGO],"")</f>
        <v>0</v>
      </c>
      <c r="E608" s="27"/>
      <c r="F608" s="62" t="str">
        <f>+VLOOKUP(PROVEEDORES[[#This Row],[PROVEEDOR]],
                       Terceros!$A:$G,
                       6,
                       FALSE)</f>
        <v/>
      </c>
      <c r="G608" s="95">
        <v>44408</v>
      </c>
      <c r="H608" s="28" t="s">
        <v>1010</v>
      </c>
      <c r="I608" s="95">
        <v>44408</v>
      </c>
      <c r="J608" s="38" t="s">
        <v>940</v>
      </c>
      <c r="K608" s="23">
        <v>6425000</v>
      </c>
      <c r="L608" s="23"/>
      <c r="M608" s="24">
        <v>0</v>
      </c>
      <c r="N608" s="25"/>
      <c r="O608" s="24">
        <v>0</v>
      </c>
      <c r="P608" s="136">
        <f>+IF(PROVEEDORES[[#This Row],[SUBTOTAL]]&lt;PROVEEDORES[[#This Row],[base retencion]],0,PROVEEDORES[[#This Row],[retención aplicada]])</f>
        <v>0</v>
      </c>
      <c r="Q608" s="24">
        <f>+PROVEEDORES[[#This Row],[Rete Fuente %]]*PROVEEDORES[[#This Row],[SUBTOTAL]]</f>
        <v>0</v>
      </c>
      <c r="R608" s="23">
        <v>6425000</v>
      </c>
      <c r="S60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8" s="99">
        <f ca="1">IF(PROVEEDORES[[#This Row],[FECHA DE PAGO]]=0,TODAY()-PROVEEDORES[[#This Row],[FECHA DE FACTURACIÓN]]-PROVEEDORES[[#This Row],[PLAZO Días]],0)</f>
        <v>0</v>
      </c>
      <c r="U608" s="149">
        <f>+VLOOKUP(PROVEEDORES[[#This Row],[PROVEEDOR]],Terceros!$A:$E,5,FALSE)</f>
        <v>0</v>
      </c>
      <c r="V608" s="150">
        <f>+YEAR(PROVEEDORES[[#This Row],[FECHA DE FACTURACIÓN]])</f>
        <v>2021</v>
      </c>
      <c r="W608" s="150">
        <f>+MATCH(PROVEEDORES[[#This Row],[año facturado]],Retenciones!$1:$1,0)</f>
        <v>4</v>
      </c>
      <c r="X608" s="151">
        <f>+VLOOKUP(PROVEEDORES[[#This Row],[ID RETENCION]],Retenciones!$A$1:$O$24,PROVEEDORES[[#This Row],[indicador de columna]],FALSE)</f>
        <v>0</v>
      </c>
      <c r="Y608" s="152">
        <f>+VLOOKUP(PROVEEDORES[[#This Row],[ID RETENCION]],Retenciones!$A$1:$O$24,2,FALSE)</f>
        <v>0</v>
      </c>
      <c r="Z608" s="26"/>
      <c r="AA608" s="26"/>
      <c r="AB608" s="26"/>
      <c r="AC608" s="26"/>
      <c r="AD608" s="26"/>
      <c r="AE608" s="26"/>
    </row>
    <row r="609" spans="1:31" ht="21.95" customHeight="1" x14ac:dyDescent="0.25">
      <c r="A609" s="97" t="str">
        <f>+IF(PROVEEDORES[[#This Row],[FECHA DE PAGO]]=PROVEEDORES[[#This Row],[FECHA DE FACTURACIÓN]],"DE CONTADO","CRÉDITO")</f>
        <v>CRÉDITO</v>
      </c>
      <c r="B609" s="41" t="b">
        <f>+IF((PROVEEDORES[[#This Row],[FECHA DE PAGO]]-PROVEEDORES[[#This Row],[FECHA DE FACTURACIÓN]])&gt;PROVEEDORES[[#This Row],[PLAZO Días]],"PAGO VENCIDO")</f>
        <v>0</v>
      </c>
      <c r="C609" s="22">
        <f>+VLOOKUP(PROVEEDORES[[#This Row],[PROVEEDOR]],TERCEROS_INFO[#All],2,FALSE)</f>
        <v>30</v>
      </c>
      <c r="D609" s="27">
        <f>+SUMIFS(PROVEEDORES[Total],PROVEEDORES[PROVEEDOR],PROVEEDORES[[#This Row],[PROVEEDOR]],PROVEEDORES[FECHA DE PAGO],"")</f>
        <v>0</v>
      </c>
      <c r="E609" s="27"/>
      <c r="F609" s="62" t="str">
        <f>+VLOOKUP(PROVEEDORES[[#This Row],[PROVEEDOR]],
                       Terceros!$A:$G,
                       6,
                       FALSE)</f>
        <v>tesoreria@lacentral.com.co;girlesa.ruiz@servipilas.com;joriescobar64@gmail.com</v>
      </c>
      <c r="G609" s="95">
        <v>44432</v>
      </c>
      <c r="H609" s="28" t="s">
        <v>332</v>
      </c>
      <c r="I609" s="95">
        <v>44409</v>
      </c>
      <c r="J609" s="38">
        <v>8720</v>
      </c>
      <c r="K609" s="23">
        <v>1547710</v>
      </c>
      <c r="L609" s="23"/>
      <c r="M609" s="24">
        <v>0</v>
      </c>
      <c r="N609" s="25"/>
      <c r="O609" s="24">
        <v>107401</v>
      </c>
      <c r="P609" s="136">
        <f>+IF(PROVEEDORES[[#This Row],[SUBTOTAL]]&lt;PROVEEDORES[[#This Row],[base retencion]],0,PROVEEDORES[[#This Row],[retención aplicada]])</f>
        <v>0</v>
      </c>
      <c r="Q609" s="24">
        <f>+PROVEEDORES[[#This Row],[Rete Fuente %]]*PROVEEDORES[[#This Row],[SUBTOTAL]]</f>
        <v>0</v>
      </c>
      <c r="R609" s="23">
        <v>1440309</v>
      </c>
      <c r="S60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9" s="99">
        <f ca="1">IF(PROVEEDORES[[#This Row],[FECHA DE PAGO]]=0,TODAY()-PROVEEDORES[[#This Row],[FECHA DE FACTURACIÓN]]-PROVEEDORES[[#This Row],[PLAZO Días]],0)</f>
        <v>0</v>
      </c>
      <c r="U609" s="149">
        <f>+VLOOKUP(PROVEEDORES[[#This Row],[PROVEEDOR]],Terceros!$A:$E,5,FALSE)</f>
        <v>0</v>
      </c>
      <c r="V609" s="150">
        <f>+YEAR(PROVEEDORES[[#This Row],[FECHA DE FACTURACIÓN]])</f>
        <v>2021</v>
      </c>
      <c r="W609" s="150">
        <f>+MATCH(PROVEEDORES[[#This Row],[año facturado]],Retenciones!$1:$1,0)</f>
        <v>4</v>
      </c>
      <c r="X609" s="151">
        <f>+VLOOKUP(PROVEEDORES[[#This Row],[ID RETENCION]],Retenciones!$A$1:$O$24,PROVEEDORES[[#This Row],[indicador de columna]],FALSE)</f>
        <v>0</v>
      </c>
      <c r="Y609" s="152">
        <f>+VLOOKUP(PROVEEDORES[[#This Row],[ID RETENCION]],Retenciones!$A$1:$O$24,2,FALSE)</f>
        <v>0</v>
      </c>
      <c r="Z609" s="26"/>
      <c r="AA609" s="26"/>
      <c r="AB609" s="26"/>
      <c r="AC609" s="26"/>
      <c r="AD609" s="26"/>
      <c r="AE609" s="26"/>
    </row>
    <row r="610" spans="1:31" ht="21.95" customHeight="1" x14ac:dyDescent="0.25">
      <c r="A610" s="97" t="str">
        <f>+IF(PROVEEDORES[[#This Row],[FECHA DE PAGO]]=PROVEEDORES[[#This Row],[FECHA DE FACTURACIÓN]],"DE CONTADO","CRÉDITO")</f>
        <v>CRÉDITO</v>
      </c>
      <c r="B610" s="41" t="b">
        <f>+IF((PROVEEDORES[[#This Row],[FECHA DE PAGO]]-PROVEEDORES[[#This Row],[FECHA DE FACTURACIÓN]])&gt;PROVEEDORES[[#This Row],[PLAZO Días]],"PAGO VENCIDO")</f>
        <v>0</v>
      </c>
      <c r="C610" s="22">
        <f>+VLOOKUP(PROVEEDORES[[#This Row],[PROVEEDOR]],TERCEROS_INFO[#All],2,FALSE)</f>
        <v>30</v>
      </c>
      <c r="D610" s="27">
        <f>+SUMIFS(PROVEEDORES[Total],PROVEEDORES[PROVEEDOR],PROVEEDORES[[#This Row],[PROVEEDOR]],PROVEEDORES[FECHA DE PAGO],"")</f>
        <v>0</v>
      </c>
      <c r="E610" s="27"/>
      <c r="F610" s="62" t="str">
        <f>+VLOOKUP(PROVEEDORES[[#This Row],[PROVEEDOR]],
                       Terceros!$A:$G,
                       6,
                       FALSE)</f>
        <v>propertymarketingsas@hotmail.com;girlesa.ruiz@servipilas.com;joriescobar64@gmail.com</v>
      </c>
      <c r="G610" s="95">
        <v>44432</v>
      </c>
      <c r="H610" s="28" t="s">
        <v>483</v>
      </c>
      <c r="I610" s="95">
        <v>44409</v>
      </c>
      <c r="J610" s="38" t="s">
        <v>771</v>
      </c>
      <c r="K610" s="23">
        <v>2789636</v>
      </c>
      <c r="L610" s="23"/>
      <c r="M610" s="24">
        <v>0</v>
      </c>
      <c r="N610" s="25"/>
      <c r="O610" s="24">
        <v>0</v>
      </c>
      <c r="P610" s="136">
        <f>+IF(PROVEEDORES[[#This Row],[SUBTOTAL]]&lt;PROVEEDORES[[#This Row],[base retencion]],0,PROVEEDORES[[#This Row],[retención aplicada]])</f>
        <v>3.5000000000000003E-2</v>
      </c>
      <c r="Q610" s="24">
        <f>+PROVEEDORES[[#This Row],[Rete Fuente %]]*PROVEEDORES[[#This Row],[SUBTOTAL]]</f>
        <v>97637.260000000009</v>
      </c>
      <c r="R610" s="23">
        <v>2691998.74</v>
      </c>
      <c r="S61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0" s="99">
        <f ca="1">IF(PROVEEDORES[[#This Row],[FECHA DE PAGO]]=0,TODAY()-PROVEEDORES[[#This Row],[FECHA DE FACTURACIÓN]]-PROVEEDORES[[#This Row],[PLAZO Días]],0)</f>
        <v>0</v>
      </c>
      <c r="U610" s="149" t="str">
        <f>+VLOOKUP(PROVEEDORES[[#This Row],[PROVEEDOR]],Terceros!$A:$E,5,FALSE)</f>
        <v>3,5% sin base</v>
      </c>
      <c r="V610" s="150">
        <f>+YEAR(PROVEEDORES[[#This Row],[FECHA DE FACTURACIÓN]])</f>
        <v>2021</v>
      </c>
      <c r="W610" s="150">
        <f>+MATCH(PROVEEDORES[[#This Row],[año facturado]],Retenciones!$1:$1,0)</f>
        <v>4</v>
      </c>
      <c r="X610" s="151">
        <f>+VLOOKUP(PROVEEDORES[[#This Row],[ID RETENCION]],Retenciones!$A$1:$O$24,PROVEEDORES[[#This Row],[indicador de columna]],FALSE)</f>
        <v>0</v>
      </c>
      <c r="Y610" s="152">
        <f>+VLOOKUP(PROVEEDORES[[#This Row],[ID RETENCION]],Retenciones!$A$1:$O$24,2,FALSE)</f>
        <v>3.5000000000000003E-2</v>
      </c>
      <c r="Z610" s="26"/>
      <c r="AA610" s="26"/>
      <c r="AB610" s="26"/>
      <c r="AC610" s="26"/>
      <c r="AD610" s="26"/>
      <c r="AE610" s="26"/>
    </row>
    <row r="611" spans="1:31" ht="21.95" customHeight="1" x14ac:dyDescent="0.25">
      <c r="A611" s="97" t="str">
        <f>+IF(PROVEEDORES[[#This Row],[FECHA DE PAGO]]=PROVEEDORES[[#This Row],[FECHA DE FACTURACIÓN]],"DE CONTADO","CRÉDITO")</f>
        <v>CRÉDITO</v>
      </c>
      <c r="B611" s="41" t="b">
        <f>+IF((PROVEEDORES[[#This Row],[FECHA DE PAGO]]-PROVEEDORES[[#This Row],[FECHA DE FACTURACIÓN]])&gt;PROVEEDORES[[#This Row],[PLAZO Días]],"PAGO VENCIDO")</f>
        <v>0</v>
      </c>
      <c r="C611" s="22">
        <f>+VLOOKUP(PROVEEDORES[[#This Row],[PROVEEDOR]],TERCEROS_INFO[#All],2,FALSE)</f>
        <v>30</v>
      </c>
      <c r="D611" s="27">
        <f>+SUMIFS(PROVEEDORES[Total],PROVEEDORES[PROVEEDOR],PROVEEDORES[[#This Row],[PROVEEDOR]],PROVEEDORES[FECHA DE PAGO],"")</f>
        <v>0</v>
      </c>
      <c r="E611" s="27"/>
      <c r="F611" s="62" t="str">
        <f>+VLOOKUP(PROVEEDORES[[#This Row],[PROVEEDOR]],
                       Terceros!$A:$G,
                       6,
                       FALSE)</f>
        <v>girlesa.ruiz@servipilas.com;joriescobar64@gmail.com</v>
      </c>
      <c r="G611" s="95">
        <v>44432</v>
      </c>
      <c r="H611" s="28" t="s">
        <v>336</v>
      </c>
      <c r="I611" s="95">
        <v>44409</v>
      </c>
      <c r="J611" s="38" t="s">
        <v>928</v>
      </c>
      <c r="K611" s="23">
        <v>3023387</v>
      </c>
      <c r="L611" s="23"/>
      <c r="M611" s="24">
        <v>0</v>
      </c>
      <c r="N611" s="25"/>
      <c r="O611" s="24">
        <v>0</v>
      </c>
      <c r="P611" s="136">
        <f>+IF(PROVEEDORES[[#This Row],[SUBTOTAL]]&lt;PROVEEDORES[[#This Row],[base retencion]],0,PROVEEDORES[[#This Row],[retención aplicada]])</f>
        <v>3.5000000000000003E-2</v>
      </c>
      <c r="Q611" s="24">
        <f>+PROVEEDORES[[#This Row],[Rete Fuente %]]*PROVEEDORES[[#This Row],[SUBTOTAL]]</f>
        <v>105818.54500000001</v>
      </c>
      <c r="R611" s="23">
        <v>2917568.4550000001</v>
      </c>
      <c r="S61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1" s="99">
        <f ca="1">IF(PROVEEDORES[[#This Row],[FECHA DE PAGO]]=0,TODAY()-PROVEEDORES[[#This Row],[FECHA DE FACTURACIÓN]]-PROVEEDORES[[#This Row],[PLAZO Días]],0)</f>
        <v>0</v>
      </c>
      <c r="U611" s="149" t="str">
        <f>+VLOOKUP(PROVEEDORES[[#This Row],[PROVEEDOR]],Terceros!$A:$E,5,FALSE)</f>
        <v>3,5% sin base</v>
      </c>
      <c r="V611" s="150">
        <f>+YEAR(PROVEEDORES[[#This Row],[FECHA DE FACTURACIÓN]])</f>
        <v>2021</v>
      </c>
      <c r="W611" s="150">
        <f>+MATCH(PROVEEDORES[[#This Row],[año facturado]],Retenciones!$1:$1,0)</f>
        <v>4</v>
      </c>
      <c r="X611" s="151">
        <f>+VLOOKUP(PROVEEDORES[[#This Row],[ID RETENCION]],Retenciones!$A$1:$O$24,PROVEEDORES[[#This Row],[indicador de columna]],FALSE)</f>
        <v>0</v>
      </c>
      <c r="Y611" s="152">
        <f>+VLOOKUP(PROVEEDORES[[#This Row],[ID RETENCION]],Retenciones!$A$1:$O$24,2,FALSE)</f>
        <v>3.5000000000000003E-2</v>
      </c>
      <c r="Z611" s="26"/>
      <c r="AA611" s="26"/>
      <c r="AB611" s="26"/>
      <c r="AC611" s="26"/>
      <c r="AD611" s="26"/>
      <c r="AE611" s="26"/>
    </row>
    <row r="612" spans="1:31" ht="21.95" customHeight="1" x14ac:dyDescent="0.25">
      <c r="A612" s="97" t="str">
        <f>+IF(PROVEEDORES[[#This Row],[FECHA DE PAGO]]=PROVEEDORES[[#This Row],[FECHA DE FACTURACIÓN]],"DE CONTADO","CRÉDITO")</f>
        <v>CRÉDITO</v>
      </c>
      <c r="B612" s="41" t="b">
        <f>+IF((PROVEEDORES[[#This Row],[FECHA DE PAGO]]-PROVEEDORES[[#This Row],[FECHA DE FACTURACIÓN]])&gt;PROVEEDORES[[#This Row],[PLAZO Días]],"PAGO VENCIDO")</f>
        <v>0</v>
      </c>
      <c r="C612" s="22">
        <f>+VLOOKUP(PROVEEDORES[[#This Row],[PROVEEDOR]],TERCEROS_INFO[#All],2,FALSE)</f>
        <v>30</v>
      </c>
      <c r="D612" s="27">
        <f>+SUMIFS(PROVEEDORES[Total],PROVEEDORES[PROVEEDOR],PROVEEDORES[[#This Row],[PROVEEDOR]],PROVEEDORES[FECHA DE PAGO],"")</f>
        <v>4862586.33</v>
      </c>
      <c r="E612" s="27"/>
      <c r="F612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612" s="95">
        <v>44432</v>
      </c>
      <c r="H612" s="28" t="s">
        <v>345</v>
      </c>
      <c r="I612" s="95">
        <v>44409</v>
      </c>
      <c r="J612" s="38" t="s">
        <v>582</v>
      </c>
      <c r="K612" s="23">
        <v>3061166</v>
      </c>
      <c r="L612" s="23"/>
      <c r="M612" s="24">
        <v>581621.54</v>
      </c>
      <c r="N612" s="25"/>
      <c r="O612" s="24">
        <v>0</v>
      </c>
      <c r="P612" s="136">
        <f>+IF(PROVEEDORES[[#This Row],[SUBTOTAL]]&lt;PROVEEDORES[[#This Row],[base retencion]],0,PROVEEDORES[[#This Row],[retención aplicada]])</f>
        <v>0</v>
      </c>
      <c r="Q612" s="24">
        <f>+PROVEEDORES[[#This Row],[Rete Fuente %]]*PROVEEDORES[[#This Row],[SUBTOTAL]]</f>
        <v>0</v>
      </c>
      <c r="R612" s="23">
        <v>3642787.54</v>
      </c>
      <c r="S61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2" s="99">
        <f ca="1">IF(PROVEEDORES[[#This Row],[FECHA DE PAGO]]=0,TODAY()-PROVEEDORES[[#This Row],[FECHA DE FACTURACIÓN]]-PROVEEDORES[[#This Row],[PLAZO Días]],0)</f>
        <v>0</v>
      </c>
      <c r="U612" s="149">
        <f>+VLOOKUP(PROVEEDORES[[#This Row],[PROVEEDOR]],Terceros!$A:$E,5,FALSE)</f>
        <v>0</v>
      </c>
      <c r="V612" s="150">
        <f>+YEAR(PROVEEDORES[[#This Row],[FECHA DE FACTURACIÓN]])</f>
        <v>2021</v>
      </c>
      <c r="W612" s="150">
        <f>+MATCH(PROVEEDORES[[#This Row],[año facturado]],Retenciones!$1:$1,0)</f>
        <v>4</v>
      </c>
      <c r="X612" s="151">
        <f>+VLOOKUP(PROVEEDORES[[#This Row],[ID RETENCION]],Retenciones!$A$1:$O$24,PROVEEDORES[[#This Row],[indicador de columna]],FALSE)</f>
        <v>0</v>
      </c>
      <c r="Y612" s="152">
        <f>+VLOOKUP(PROVEEDORES[[#This Row],[ID RETENCION]],Retenciones!$A$1:$O$24,2,FALSE)</f>
        <v>0</v>
      </c>
      <c r="Z612" s="26"/>
      <c r="AA612" s="26"/>
      <c r="AB612" s="26"/>
      <c r="AC612" s="26"/>
      <c r="AD612" s="26"/>
      <c r="AE612" s="26"/>
    </row>
    <row r="613" spans="1:31" ht="21.95" customHeight="1" x14ac:dyDescent="0.25">
      <c r="A613" s="97" t="str">
        <f>+IF(PROVEEDORES[[#This Row],[FECHA DE PAGO]]=PROVEEDORES[[#This Row],[FECHA DE FACTURACIÓN]],"DE CONTADO","CRÉDITO")</f>
        <v>CRÉDITO</v>
      </c>
      <c r="B613" s="41" t="b">
        <f>+IF((PROVEEDORES[[#This Row],[FECHA DE PAGO]]-PROVEEDORES[[#This Row],[FECHA DE FACTURACIÓN]])&gt;PROVEEDORES[[#This Row],[PLAZO Días]],"PAGO VENCIDO")</f>
        <v>0</v>
      </c>
      <c r="C613" s="22">
        <f>+VLOOKUP(PROVEEDORES[[#This Row],[PROVEEDOR]],TERCEROS_INFO[#All],2,FALSE)</f>
        <v>30</v>
      </c>
      <c r="D613" s="27">
        <f>+SUMIFS(PROVEEDORES[Total],PROVEEDORES[PROVEEDOR],PROVEEDORES[[#This Row],[PROVEEDOR]],PROVEEDORES[FECHA DE PAGO],"")</f>
        <v>395010</v>
      </c>
      <c r="E613" s="27"/>
      <c r="F613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613" s="95">
        <v>44418</v>
      </c>
      <c r="H613" s="28" t="s">
        <v>141</v>
      </c>
      <c r="I613" s="95">
        <v>44409</v>
      </c>
      <c r="J613" s="38">
        <v>120</v>
      </c>
      <c r="K613" s="23">
        <v>535000</v>
      </c>
      <c r="L613" s="23"/>
      <c r="M613" s="24">
        <v>101650</v>
      </c>
      <c r="N613" s="25"/>
      <c r="O613" s="24">
        <v>0</v>
      </c>
      <c r="P613" s="136">
        <f>+IF(PROVEEDORES[[#This Row],[SUBTOTAL]]&lt;PROVEEDORES[[#This Row],[base retencion]],0,PROVEEDORES[[#This Row],[retención aplicada]])</f>
        <v>0.01</v>
      </c>
      <c r="Q613" s="24">
        <f>+PROVEEDORES[[#This Row],[Rete Fuente %]]*PROVEEDORES[[#This Row],[SUBTOTAL]]</f>
        <v>5350</v>
      </c>
      <c r="R613" s="23">
        <v>631300</v>
      </c>
      <c r="S61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3" s="99">
        <f ca="1">IF(PROVEEDORES[[#This Row],[FECHA DE PAGO]]=0,TODAY()-PROVEEDORES[[#This Row],[FECHA DE FACTURACIÓN]]-PROVEEDORES[[#This Row],[PLAZO Días]],0)</f>
        <v>0</v>
      </c>
      <c r="U613" s="149" t="str">
        <f>+VLOOKUP(PROVEEDORES[[#This Row],[PROVEEDOR]],Terceros!$A:$E,5,FALSE)</f>
        <v>1% con base</v>
      </c>
      <c r="V613" s="150">
        <f>+YEAR(PROVEEDORES[[#This Row],[FECHA DE FACTURACIÓN]])</f>
        <v>2021</v>
      </c>
      <c r="W613" s="150">
        <f>+MATCH(PROVEEDORES[[#This Row],[año facturado]],Retenciones!$1:$1,0)</f>
        <v>4</v>
      </c>
      <c r="X613" s="151">
        <f>+VLOOKUP(PROVEEDORES[[#This Row],[ID RETENCION]],Retenciones!$A$1:$O$24,PROVEEDORES[[#This Row],[indicador de columna]],FALSE)</f>
        <v>145000</v>
      </c>
      <c r="Y613" s="152">
        <f>+VLOOKUP(PROVEEDORES[[#This Row],[ID RETENCION]],Retenciones!$A$1:$O$24,2,FALSE)</f>
        <v>0.01</v>
      </c>
      <c r="Z613" s="26"/>
      <c r="AA613" s="26"/>
      <c r="AB613" s="26"/>
      <c r="AC613" s="26"/>
      <c r="AD613" s="26"/>
      <c r="AE613" s="26"/>
    </row>
    <row r="614" spans="1:31" ht="21.95" customHeight="1" x14ac:dyDescent="0.25">
      <c r="A614" s="97" t="str">
        <f>+IF(PROVEEDORES[[#This Row],[FECHA DE PAGO]]=PROVEEDORES[[#This Row],[FECHA DE FACTURACIÓN]],"DE CONTADO","CRÉDITO")</f>
        <v>CRÉDITO</v>
      </c>
      <c r="B614" s="41" t="b">
        <f>+IF((PROVEEDORES[[#This Row],[FECHA DE PAGO]]-PROVEEDORES[[#This Row],[FECHA DE FACTURACIÓN]])&gt;PROVEEDORES[[#This Row],[PLAZO Días]],"PAGO VENCIDO")</f>
        <v>0</v>
      </c>
      <c r="C614" s="22">
        <f>+VLOOKUP(PROVEEDORES[[#This Row],[PROVEEDOR]],TERCEROS_INFO[#All],2,FALSE)</f>
        <v>30</v>
      </c>
      <c r="D614" s="27">
        <f>+SUMIFS(PROVEEDORES[Total],PROVEEDORES[PROVEEDOR],PROVEEDORES[[#This Row],[PROVEEDOR]],PROVEEDORES[FECHA DE PAGO],"")</f>
        <v>5463150</v>
      </c>
      <c r="E614" s="27"/>
      <c r="F614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614" s="95">
        <v>44432</v>
      </c>
      <c r="H614" s="28" t="s">
        <v>344</v>
      </c>
      <c r="I614" s="95">
        <v>44409</v>
      </c>
      <c r="J614" s="38">
        <v>39977</v>
      </c>
      <c r="K614" s="23">
        <v>4430000</v>
      </c>
      <c r="L614" s="23"/>
      <c r="M614" s="24">
        <v>841700</v>
      </c>
      <c r="N614" s="25"/>
      <c r="O614" s="24">
        <v>0</v>
      </c>
      <c r="P614" s="136">
        <f>+IF(PROVEEDORES[[#This Row],[SUBTOTAL]]&lt;PROVEEDORES[[#This Row],[base retencion]],0,PROVEEDORES[[#This Row],[retención aplicada]])</f>
        <v>3.5000000000000003E-2</v>
      </c>
      <c r="Q614" s="24">
        <f>+PROVEEDORES[[#This Row],[Rete Fuente %]]*PROVEEDORES[[#This Row],[SUBTOTAL]]</f>
        <v>155050.00000000003</v>
      </c>
      <c r="R614" s="23">
        <v>5116650</v>
      </c>
      <c r="S61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4" s="99">
        <f ca="1">IF(PROVEEDORES[[#This Row],[FECHA DE PAGO]]=0,TODAY()-PROVEEDORES[[#This Row],[FECHA DE FACTURACIÓN]]-PROVEEDORES[[#This Row],[PLAZO Días]],0)</f>
        <v>0</v>
      </c>
      <c r="U614" s="149" t="str">
        <f>+VLOOKUP(PROVEEDORES[[#This Row],[PROVEEDOR]],Terceros!$A:$E,5,FALSE)</f>
        <v>3,5% con base</v>
      </c>
      <c r="V614" s="150">
        <f>+YEAR(PROVEEDORES[[#This Row],[FECHA DE FACTURACIÓN]])</f>
        <v>2021</v>
      </c>
      <c r="W614" s="150">
        <f>+MATCH(PROVEEDORES[[#This Row],[año facturado]],Retenciones!$1:$1,0)</f>
        <v>4</v>
      </c>
      <c r="X614" s="151">
        <f>+VLOOKUP(PROVEEDORES[[#This Row],[ID RETENCION]],Retenciones!$A$1:$O$24,PROVEEDORES[[#This Row],[indicador de columna]],FALSE)</f>
        <v>980000</v>
      </c>
      <c r="Y614" s="152">
        <f>+VLOOKUP(PROVEEDORES[[#This Row],[ID RETENCION]],Retenciones!$A$1:$O$24,2,FALSE)</f>
        <v>3.5000000000000003E-2</v>
      </c>
      <c r="Z614" s="26"/>
      <c r="AA614" s="26"/>
      <c r="AB614" s="26"/>
      <c r="AC614" s="26"/>
      <c r="AD614" s="26"/>
      <c r="AE614" s="26"/>
    </row>
    <row r="615" spans="1:31" ht="21.95" customHeight="1" x14ac:dyDescent="0.25">
      <c r="A615" s="97" t="str">
        <f>+IF(PROVEEDORES[[#This Row],[FECHA DE PAGO]]=PROVEEDORES[[#This Row],[FECHA DE FACTURACIÓN]],"DE CONTADO","CRÉDITO")</f>
        <v>DE CONTADO</v>
      </c>
      <c r="B615" s="41" t="b">
        <f>+IF((PROVEEDORES[[#This Row],[FECHA DE PAGO]]-PROVEEDORES[[#This Row],[FECHA DE FACTURACIÓN]])&gt;PROVEEDORES[[#This Row],[PLAZO Días]],"PAGO VENCIDO")</f>
        <v>0</v>
      </c>
      <c r="C615" s="22">
        <f>+VLOOKUP(PROVEEDORES[[#This Row],[PROVEEDOR]],TERCEROS_INFO[#All],2,FALSE)</f>
        <v>30</v>
      </c>
      <c r="D615" s="27">
        <f>+SUMIFS(PROVEEDORES[Total],PROVEEDORES[PROVEEDOR],PROVEEDORES[[#This Row],[PROVEEDOR]],PROVEEDORES[FECHA DE PAGO],"")</f>
        <v>0</v>
      </c>
      <c r="E615" s="27"/>
      <c r="F615" s="62" t="str">
        <f>+VLOOKUP(PROVEEDORES[[#This Row],[PROVEEDOR]],
                       Terceros!$A:$G,
                       6,
                       FALSE)</f>
        <v>propertymarketingsas@hotmail.com;girlesa.ruiz@servipilas.com;joriescobar64@gmail.com</v>
      </c>
      <c r="G615" s="95">
        <v>44432</v>
      </c>
      <c r="H615" s="28" t="s">
        <v>483</v>
      </c>
      <c r="I615" s="95">
        <v>44432</v>
      </c>
      <c r="J615" s="38" t="s">
        <v>743</v>
      </c>
      <c r="K615" s="23">
        <v>-691998.74</v>
      </c>
      <c r="L615" s="23"/>
      <c r="M615" s="24">
        <v>0</v>
      </c>
      <c r="N615" s="25"/>
      <c r="O615" s="24">
        <v>0</v>
      </c>
      <c r="P615" s="136">
        <f>+IF(PROVEEDORES[[#This Row],[SUBTOTAL]]&lt;PROVEEDORES[[#This Row],[base retencion]],0,PROVEEDORES[[#This Row],[retención aplicada]])</f>
        <v>0</v>
      </c>
      <c r="Q615" s="24">
        <f>+PROVEEDORES[[#This Row],[Rete Fuente %]]*PROVEEDORES[[#This Row],[SUBTOTAL]]</f>
        <v>0</v>
      </c>
      <c r="R615" s="23">
        <v>-691998.74</v>
      </c>
      <c r="S61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5" s="99">
        <f ca="1">IF(PROVEEDORES[[#This Row],[FECHA DE PAGO]]=0,TODAY()-PROVEEDORES[[#This Row],[FECHA DE FACTURACIÓN]]-PROVEEDORES[[#This Row],[PLAZO Días]],0)</f>
        <v>0</v>
      </c>
      <c r="U615" s="149" t="str">
        <f>+VLOOKUP(PROVEEDORES[[#This Row],[PROVEEDOR]],Terceros!$A:$E,5,FALSE)</f>
        <v>3,5% sin base</v>
      </c>
      <c r="V615" s="150">
        <f>+YEAR(PROVEEDORES[[#This Row],[FECHA DE FACTURACIÓN]])</f>
        <v>2021</v>
      </c>
      <c r="W615" s="150">
        <f>+MATCH(PROVEEDORES[[#This Row],[año facturado]],Retenciones!$1:$1,0)</f>
        <v>4</v>
      </c>
      <c r="X615" s="151">
        <f>+VLOOKUP(PROVEEDORES[[#This Row],[ID RETENCION]],Retenciones!$A$1:$O$24,PROVEEDORES[[#This Row],[indicador de columna]],FALSE)</f>
        <v>0</v>
      </c>
      <c r="Y615" s="152">
        <f>+VLOOKUP(PROVEEDORES[[#This Row],[ID RETENCION]],Retenciones!$A$1:$O$24,2,FALSE)</f>
        <v>3.5000000000000003E-2</v>
      </c>
      <c r="Z615" s="26"/>
      <c r="AA615" s="26"/>
      <c r="AB615" s="26"/>
      <c r="AC615" s="26"/>
      <c r="AD615" s="26"/>
      <c r="AE615" s="26"/>
    </row>
    <row r="616" spans="1:31" ht="21.95" customHeight="1" x14ac:dyDescent="0.25">
      <c r="A616" s="97" t="str">
        <f>+IF(PROVEEDORES[[#This Row],[FECHA DE PAGO]]=PROVEEDORES[[#This Row],[FECHA DE FACTURACIÓN]],"DE CONTADO","CRÉDITO")</f>
        <v>CRÉDITO</v>
      </c>
      <c r="B616" s="41" t="b">
        <f>+IF((PROVEEDORES[[#This Row],[FECHA DE PAGO]]-PROVEEDORES[[#This Row],[FECHA DE FACTURACIÓN]])&gt;PROVEEDORES[[#This Row],[PLAZO Días]],"PAGO VENCIDO")</f>
        <v>0</v>
      </c>
      <c r="C616" s="22">
        <f>+VLOOKUP(PROVEEDORES[[#This Row],[PROVEEDOR]],TERCEROS_INFO[#All],2,FALSE)</f>
        <v>180</v>
      </c>
      <c r="D616" s="27">
        <f>+SUMIFS(PROVEEDORES[Total],PROVEEDORES[PROVEEDOR],PROVEEDORES[[#This Row],[PROVEEDOR]],PROVEEDORES[FECHA DE PAGO],"")</f>
        <v>0</v>
      </c>
      <c r="E616" s="27"/>
      <c r="F616" s="62" t="str">
        <f>+VLOOKUP(PROVEEDORES[[#This Row],[PROVEEDOR]],
                       Terceros!$A:$G,
                       6,
                       FALSE)</f>
        <v>pse</v>
      </c>
      <c r="G616" s="95">
        <v>44436</v>
      </c>
      <c r="H616" s="28" t="s">
        <v>368</v>
      </c>
      <c r="I616" s="95">
        <v>44435</v>
      </c>
      <c r="J616" s="38" t="s">
        <v>29</v>
      </c>
      <c r="K616" s="23">
        <v>0</v>
      </c>
      <c r="L616" s="23"/>
      <c r="M616" s="24">
        <v>0</v>
      </c>
      <c r="N616" s="25"/>
      <c r="O616" s="24">
        <v>1604000</v>
      </c>
      <c r="P616" s="136">
        <f>+IF(PROVEEDORES[[#This Row],[SUBTOTAL]]&lt;PROVEEDORES[[#This Row],[base retencion]],0,PROVEEDORES[[#This Row],[retención aplicada]])</f>
        <v>0</v>
      </c>
      <c r="Q616" s="24">
        <f>+PROVEEDORES[[#This Row],[Rete Fuente %]]*PROVEEDORES[[#This Row],[SUBTOTAL]]</f>
        <v>0</v>
      </c>
      <c r="R616" s="23">
        <v>-1604000</v>
      </c>
      <c r="S61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6" s="99">
        <f ca="1">IF(PROVEEDORES[[#This Row],[FECHA DE PAGO]]=0,TODAY()-PROVEEDORES[[#This Row],[FECHA DE FACTURACIÓN]]-PROVEEDORES[[#This Row],[PLAZO Días]],0)</f>
        <v>0</v>
      </c>
      <c r="U616" s="149">
        <f>+VLOOKUP(PROVEEDORES[[#This Row],[PROVEEDOR]],Terceros!$A:$E,5,FALSE)</f>
        <v>0</v>
      </c>
      <c r="V616" s="150">
        <f>+YEAR(PROVEEDORES[[#This Row],[FECHA DE FACTURACIÓN]])</f>
        <v>2021</v>
      </c>
      <c r="W616" s="150">
        <f>+MATCH(PROVEEDORES[[#This Row],[año facturado]],Retenciones!$1:$1,0)</f>
        <v>4</v>
      </c>
      <c r="X616" s="151">
        <f>+VLOOKUP(PROVEEDORES[[#This Row],[ID RETENCION]],Retenciones!$A$1:$O$24,PROVEEDORES[[#This Row],[indicador de columna]],FALSE)</f>
        <v>0</v>
      </c>
      <c r="Y616" s="152">
        <f>+VLOOKUP(PROVEEDORES[[#This Row],[ID RETENCION]],Retenciones!$A$1:$O$24,2,FALSE)</f>
        <v>0</v>
      </c>
      <c r="Z616" s="26"/>
      <c r="AA616" s="26"/>
      <c r="AB616" s="26"/>
      <c r="AC616" s="26"/>
      <c r="AD616" s="26"/>
      <c r="AE616" s="26"/>
    </row>
    <row r="617" spans="1:31" ht="21.95" customHeight="1" x14ac:dyDescent="0.25">
      <c r="A617" s="97" t="str">
        <f>+IF(PROVEEDORES[[#This Row],[FECHA DE PAGO]]=PROVEEDORES[[#This Row],[FECHA DE FACTURACIÓN]],"DE CONTADO","CRÉDITO")</f>
        <v>CRÉDITO</v>
      </c>
      <c r="B617" s="41" t="str">
        <f>+IF((PROVEEDORES[[#This Row],[FECHA DE PAGO]]-PROVEEDORES[[#This Row],[FECHA DE FACTURACIÓN]])&gt;PROVEEDORES[[#This Row],[PLAZO Días]],"PAGO VENCIDO")</f>
        <v>PAGO VENCIDO</v>
      </c>
      <c r="C617" s="22">
        <f>+VLOOKUP(PROVEEDORES[[#This Row],[PROVEEDOR]],TERCEROS_INFO[#All],2,FALSE)</f>
        <v>30</v>
      </c>
      <c r="D617" s="27">
        <f>+SUMIFS(PROVEEDORES[Total],PROVEEDORES[PROVEEDOR],PROVEEDORES[[#This Row],[PROVEEDOR]],PROVEEDORES[FECHA DE PAGO],"")</f>
        <v>1856492</v>
      </c>
      <c r="E617" s="27"/>
      <c r="F617" s="62" t="str">
        <f>+VLOOKUP(PROVEEDORES[[#This Row],[PROVEEDOR]],
                       Terceros!$A:$G,
                       6,
                       FALSE)</f>
        <v>PSE</v>
      </c>
      <c r="G617" s="95">
        <v>44448</v>
      </c>
      <c r="H617" s="28" t="s">
        <v>334</v>
      </c>
      <c r="I617" s="95">
        <v>44378</v>
      </c>
      <c r="J617" s="38" t="s">
        <v>319</v>
      </c>
      <c r="K617" s="23">
        <v>256261</v>
      </c>
      <c r="L617" s="23"/>
      <c r="M617" s="24">
        <v>0</v>
      </c>
      <c r="N617" s="25"/>
      <c r="O617" s="24">
        <v>0</v>
      </c>
      <c r="P617" s="136">
        <f>+IF(PROVEEDORES[[#This Row],[SUBTOTAL]]&lt;PROVEEDORES[[#This Row],[base retencion]],0,PROVEEDORES[[#This Row],[retención aplicada]])</f>
        <v>0</v>
      </c>
      <c r="Q617" s="24">
        <f>+PROVEEDORES[[#This Row],[Rete Fuente %]]*PROVEEDORES[[#This Row],[SUBTOTAL]]</f>
        <v>0</v>
      </c>
      <c r="R617" s="23">
        <v>256261</v>
      </c>
      <c r="S61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7" s="99">
        <f ca="1">IF(PROVEEDORES[[#This Row],[FECHA DE PAGO]]=0,TODAY()-PROVEEDORES[[#This Row],[FECHA DE FACTURACIÓN]]-PROVEEDORES[[#This Row],[PLAZO Días]],0)</f>
        <v>0</v>
      </c>
      <c r="U617" s="149">
        <f>+VLOOKUP(PROVEEDORES[[#This Row],[PROVEEDOR]],Terceros!$A:$E,5,FALSE)</f>
        <v>0</v>
      </c>
      <c r="V617" s="150">
        <f>+YEAR(PROVEEDORES[[#This Row],[FECHA DE FACTURACIÓN]])</f>
        <v>2021</v>
      </c>
      <c r="W617" s="150">
        <f>+MATCH(PROVEEDORES[[#This Row],[año facturado]],Retenciones!$1:$1,0)</f>
        <v>4</v>
      </c>
      <c r="X617" s="151">
        <f>+VLOOKUP(PROVEEDORES[[#This Row],[ID RETENCION]],Retenciones!$A$1:$O$24,PROVEEDORES[[#This Row],[indicador de columna]],FALSE)</f>
        <v>0</v>
      </c>
      <c r="Y617" s="152">
        <f>+VLOOKUP(PROVEEDORES[[#This Row],[ID RETENCION]],Retenciones!$A$1:$O$24,2,FALSE)</f>
        <v>0</v>
      </c>
      <c r="Z617" s="26"/>
      <c r="AA617" s="26"/>
      <c r="AB617" s="26"/>
      <c r="AC617" s="26"/>
      <c r="AD617" s="26"/>
      <c r="AE617" s="26"/>
    </row>
    <row r="618" spans="1:31" ht="21.95" customHeight="1" x14ac:dyDescent="0.25">
      <c r="A618" s="97" t="str">
        <f>+IF(PROVEEDORES[[#This Row],[FECHA DE PAGO]]=PROVEEDORES[[#This Row],[FECHA DE FACTURACIÓN]],"DE CONTADO","CRÉDITO")</f>
        <v>CRÉDITO</v>
      </c>
      <c r="B618" s="41" t="str">
        <f>+IF((PROVEEDORES[[#This Row],[FECHA DE PAGO]]-PROVEEDORES[[#This Row],[FECHA DE FACTURACIÓN]])&gt;PROVEEDORES[[#This Row],[PLAZO Días]],"PAGO VENCIDO")</f>
        <v>PAGO VENCIDO</v>
      </c>
      <c r="C618" s="22">
        <f>+VLOOKUP(PROVEEDORES[[#This Row],[PROVEEDOR]],TERCEROS_INFO[#All],2,FALSE)</f>
        <v>30</v>
      </c>
      <c r="D618" s="27">
        <f>+SUMIFS(PROVEEDORES[Total],PROVEEDORES[PROVEEDOR],PROVEEDORES[[#This Row],[PROVEEDOR]],PROVEEDORES[FECHA DE PAGO],"")</f>
        <v>1856492</v>
      </c>
      <c r="E618" s="27"/>
      <c r="F618" s="62" t="str">
        <f>+VLOOKUP(PROVEEDORES[[#This Row],[PROVEEDOR]],
                       Terceros!$A:$G,
                       6,
                       FALSE)</f>
        <v>PSE</v>
      </c>
      <c r="G618" s="95">
        <v>44448</v>
      </c>
      <c r="H618" s="28" t="s">
        <v>334</v>
      </c>
      <c r="I618" s="95">
        <v>44378</v>
      </c>
      <c r="J618" s="38" t="s">
        <v>318</v>
      </c>
      <c r="K618" s="23">
        <v>1545030</v>
      </c>
      <c r="L618" s="23"/>
      <c r="M618" s="24">
        <v>0</v>
      </c>
      <c r="N618" s="25"/>
      <c r="O618" s="24">
        <v>0</v>
      </c>
      <c r="P618" s="136">
        <f>+IF(PROVEEDORES[[#This Row],[SUBTOTAL]]&lt;PROVEEDORES[[#This Row],[base retencion]],0,PROVEEDORES[[#This Row],[retención aplicada]])</f>
        <v>0</v>
      </c>
      <c r="Q618" s="24">
        <f>+PROVEEDORES[[#This Row],[Rete Fuente %]]*PROVEEDORES[[#This Row],[SUBTOTAL]]</f>
        <v>0</v>
      </c>
      <c r="R618" s="23">
        <v>1545030</v>
      </c>
      <c r="S61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8" s="99">
        <f ca="1">IF(PROVEEDORES[[#This Row],[FECHA DE PAGO]]=0,TODAY()-PROVEEDORES[[#This Row],[FECHA DE FACTURACIÓN]]-PROVEEDORES[[#This Row],[PLAZO Días]],0)</f>
        <v>0</v>
      </c>
      <c r="U618" s="149">
        <f>+VLOOKUP(PROVEEDORES[[#This Row],[PROVEEDOR]],Terceros!$A:$E,5,FALSE)</f>
        <v>0</v>
      </c>
      <c r="V618" s="150">
        <f>+YEAR(PROVEEDORES[[#This Row],[FECHA DE FACTURACIÓN]])</f>
        <v>2021</v>
      </c>
      <c r="W618" s="150">
        <f>+MATCH(PROVEEDORES[[#This Row],[año facturado]],Retenciones!$1:$1,0)</f>
        <v>4</v>
      </c>
      <c r="X618" s="151">
        <f>+VLOOKUP(PROVEEDORES[[#This Row],[ID RETENCION]],Retenciones!$A$1:$O$24,PROVEEDORES[[#This Row],[indicador de columna]],FALSE)</f>
        <v>0</v>
      </c>
      <c r="Y618" s="152">
        <f>+VLOOKUP(PROVEEDORES[[#This Row],[ID RETENCION]],Retenciones!$A$1:$O$24,2,FALSE)</f>
        <v>0</v>
      </c>
      <c r="Z618" s="26"/>
      <c r="AA618" s="26"/>
      <c r="AB618" s="26"/>
      <c r="AC618" s="26"/>
      <c r="AD618" s="26"/>
      <c r="AE618" s="26"/>
    </row>
    <row r="619" spans="1:31" ht="21.95" customHeight="1" x14ac:dyDescent="0.25">
      <c r="A619" s="97" t="str">
        <f>+IF(PROVEEDORES[[#This Row],[FECHA DE PAGO]]=PROVEEDORES[[#This Row],[FECHA DE FACTURACIÓN]],"DE CONTADO","CRÉDITO")</f>
        <v>CRÉDITO</v>
      </c>
      <c r="B619" s="41" t="b">
        <f>+IF((PROVEEDORES[[#This Row],[FECHA DE PAGO]]-PROVEEDORES[[#This Row],[FECHA DE FACTURACIÓN]])&gt;PROVEEDORES[[#This Row],[PLAZO Días]],"PAGO VENCIDO")</f>
        <v>0</v>
      </c>
      <c r="C619" s="22">
        <f>+VLOOKUP(PROVEEDORES[[#This Row],[PROVEEDOR]],TERCEROS_INFO[#All],2,FALSE)</f>
        <v>30</v>
      </c>
      <c r="D619" s="27">
        <f>+SUMIFS(PROVEEDORES[Total],PROVEEDORES[PROVEEDOR],PROVEEDORES[[#This Row],[PROVEEDOR]],PROVEEDORES[FECHA DE PAGO],"")</f>
        <v>0</v>
      </c>
      <c r="E619" s="27"/>
      <c r="F619" s="62" t="str">
        <f>+VLOOKUP(PROVEEDORES[[#This Row],[PROVEEDOR]],
                       Terceros!$A:$G,
                       6,
                       FALSE)</f>
        <v>senalizacionyavisos@gmail.com;girlesa.ruiz@servipilas.com;joriescobar64@gmail.com</v>
      </c>
      <c r="G619" s="95">
        <v>44449</v>
      </c>
      <c r="H619" s="28" t="s">
        <v>338</v>
      </c>
      <c r="I619" s="95">
        <v>44442</v>
      </c>
      <c r="J619" s="38">
        <v>642</v>
      </c>
      <c r="K619" s="23">
        <v>190000</v>
      </c>
      <c r="L619" s="23"/>
      <c r="M619" s="24">
        <v>36100</v>
      </c>
      <c r="N619" s="25"/>
      <c r="O619" s="24">
        <v>0</v>
      </c>
      <c r="P619" s="136">
        <f>+IF(PROVEEDORES[[#This Row],[SUBTOTAL]]&lt;PROVEEDORES[[#This Row],[base retencion]],0,PROVEEDORES[[#This Row],[retención aplicada]])</f>
        <v>0</v>
      </c>
      <c r="Q619" s="24">
        <f>+PROVEEDORES[[#This Row],[Rete Fuente %]]*PROVEEDORES[[#This Row],[SUBTOTAL]]</f>
        <v>0</v>
      </c>
      <c r="R619" s="23">
        <v>226100</v>
      </c>
      <c r="S61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9" s="99">
        <f ca="1">IF(PROVEEDORES[[#This Row],[FECHA DE PAGO]]=0,TODAY()-PROVEEDORES[[#This Row],[FECHA DE FACTURACIÓN]]-PROVEEDORES[[#This Row],[PLAZO Días]],0)</f>
        <v>0</v>
      </c>
      <c r="U619" s="149" t="str">
        <f>+VLOOKUP(PROVEEDORES[[#This Row],[PROVEEDOR]],Terceros!$A:$E,5,FALSE)</f>
        <v>2,5% con base</v>
      </c>
      <c r="V619" s="150">
        <f>+YEAR(PROVEEDORES[[#This Row],[FECHA DE FACTURACIÓN]])</f>
        <v>2021</v>
      </c>
      <c r="W619" s="150">
        <f>+MATCH(PROVEEDORES[[#This Row],[año facturado]],Retenciones!$1:$1,0)</f>
        <v>4</v>
      </c>
      <c r="X619" s="151">
        <f>+VLOOKUP(PROVEEDORES[[#This Row],[ID RETENCION]],Retenciones!$A$1:$O$24,PROVEEDORES[[#This Row],[indicador de columna]],FALSE)</f>
        <v>980000</v>
      </c>
      <c r="Y619" s="152">
        <f>+VLOOKUP(PROVEEDORES[[#This Row],[ID RETENCION]],Retenciones!$A$1:$O$24,2,FALSE)</f>
        <v>2.5000000000000001E-2</v>
      </c>
      <c r="Z619" s="26"/>
      <c r="AA619" s="26"/>
      <c r="AB619" s="26"/>
      <c r="AC619" s="26"/>
      <c r="AD619" s="26"/>
      <c r="AE619" s="26"/>
    </row>
    <row r="620" spans="1:31" ht="21.95" customHeight="1" x14ac:dyDescent="0.25">
      <c r="A620" s="97" t="str">
        <f>+IF(PROVEEDORES[[#This Row],[FECHA DE PAGO]]=PROVEEDORES[[#This Row],[FECHA DE FACTURACIÓN]],"DE CONTADO","CRÉDITO")</f>
        <v>CRÉDITO</v>
      </c>
      <c r="B620" s="41" t="b">
        <f>+IF((PROVEEDORES[[#This Row],[FECHA DE PAGO]]-PROVEEDORES[[#This Row],[FECHA DE FACTURACIÓN]])&gt;PROVEEDORES[[#This Row],[PLAZO Días]],"PAGO VENCIDO")</f>
        <v>0</v>
      </c>
      <c r="C620" s="22">
        <f>+VLOOKUP(PROVEEDORES[[#This Row],[PROVEEDOR]],TERCEROS_INFO[#All],2,FALSE)</f>
        <v>30</v>
      </c>
      <c r="D620" s="27">
        <f>+SUMIFS(PROVEEDORES[Total],PROVEEDORES[PROVEEDOR],PROVEEDORES[[#This Row],[PROVEEDOR]],PROVEEDORES[FECHA DE PAGO],"")</f>
        <v>275944.33</v>
      </c>
      <c r="E620" s="27"/>
      <c r="F620" s="62" t="str">
        <f>+VLOOKUP(PROVEEDORES[[#This Row],[PROVEEDOR]],
                       Terceros!$A:$G,
                       6,
                       FALSE)</f>
        <v>facturacion@losmolinos.com.co</v>
      </c>
      <c r="G620" s="95">
        <v>44456</v>
      </c>
      <c r="H620" s="28" t="s">
        <v>342</v>
      </c>
      <c r="I620" s="95">
        <v>44440</v>
      </c>
      <c r="J620" s="38">
        <v>64226</v>
      </c>
      <c r="K620" s="23">
        <v>302624.74</v>
      </c>
      <c r="L620" s="23"/>
      <c r="M620" s="24">
        <v>0</v>
      </c>
      <c r="N620" s="25"/>
      <c r="O620" s="24">
        <v>54722.770000000004</v>
      </c>
      <c r="P620" s="136">
        <f>+IF(PROVEEDORES[[#This Row],[SUBTOTAL]]&lt;PROVEEDORES[[#This Row],[base retencion]],0,PROVEEDORES[[#This Row],[retención aplicada]])</f>
        <v>0</v>
      </c>
      <c r="Q620" s="24">
        <f>+PROVEEDORES[[#This Row],[Rete Fuente %]]*PROVEEDORES[[#This Row],[SUBTOTAL]]</f>
        <v>0</v>
      </c>
      <c r="R620" s="23">
        <v>247901.96999999997</v>
      </c>
      <c r="S62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0" s="99">
        <f ca="1">IF(PROVEEDORES[[#This Row],[FECHA DE PAGO]]=0,TODAY()-PROVEEDORES[[#This Row],[FECHA DE FACTURACIÓN]]-PROVEEDORES[[#This Row],[PLAZO Días]],0)</f>
        <v>0</v>
      </c>
      <c r="U620" s="149">
        <f>+VLOOKUP(PROVEEDORES[[#This Row],[PROVEEDOR]],Terceros!$A:$E,5,FALSE)</f>
        <v>0</v>
      </c>
      <c r="V620" s="150">
        <f>+YEAR(PROVEEDORES[[#This Row],[FECHA DE FACTURACIÓN]])</f>
        <v>2021</v>
      </c>
      <c r="W620" s="150">
        <f>+MATCH(PROVEEDORES[[#This Row],[año facturado]],Retenciones!$1:$1,0)</f>
        <v>4</v>
      </c>
      <c r="X620" s="151">
        <f>+VLOOKUP(PROVEEDORES[[#This Row],[ID RETENCION]],Retenciones!$A$1:$O$24,PROVEEDORES[[#This Row],[indicador de columna]],FALSE)</f>
        <v>0</v>
      </c>
      <c r="Y620" s="152">
        <f>+VLOOKUP(PROVEEDORES[[#This Row],[ID RETENCION]],Retenciones!$A$1:$O$24,2,FALSE)</f>
        <v>0</v>
      </c>
      <c r="Z620" s="26"/>
      <c r="AA620" s="26"/>
      <c r="AB620" s="26"/>
      <c r="AC620" s="26"/>
      <c r="AD620" s="26"/>
      <c r="AE620" s="26"/>
    </row>
    <row r="621" spans="1:31" ht="21.95" customHeight="1" x14ac:dyDescent="0.25">
      <c r="A621" s="97" t="str">
        <f>+IF(PROVEEDORES[[#This Row],[FECHA DE PAGO]]=PROVEEDORES[[#This Row],[FECHA DE FACTURACIÓN]],"DE CONTADO","CRÉDITO")</f>
        <v>CRÉDITO</v>
      </c>
      <c r="B621" s="41" t="str">
        <f>+IF((PROVEEDORES[[#This Row],[FECHA DE PAGO]]-PROVEEDORES[[#This Row],[FECHA DE FACTURACIÓN]])&gt;PROVEEDORES[[#This Row],[PLAZO Días]],"PAGO VENCIDO")</f>
        <v>PAGO VENCIDO</v>
      </c>
      <c r="C621" s="22">
        <f>+VLOOKUP(PROVEEDORES[[#This Row],[PROVEEDOR]],TERCEROS_INFO[#All],2,FALSE)</f>
        <v>13</v>
      </c>
      <c r="D621" s="27">
        <f>+SUMIFS(PROVEEDORES[Total],PROVEEDORES[PROVEEDOR],PROVEEDORES[[#This Row],[PROVEEDOR]],PROVEEDORES[FECHA DE PAGO],"")</f>
        <v>2130283</v>
      </c>
      <c r="E621" s="27"/>
      <c r="F621" s="62">
        <f>+VLOOKUP(PROVEEDORES[[#This Row],[PROVEEDOR]],
                       Terceros!$A:$G,
                       6,
                       FALSE)</f>
        <v>0</v>
      </c>
      <c r="G621" s="95">
        <v>44456</v>
      </c>
      <c r="H621" s="28" t="s">
        <v>326</v>
      </c>
      <c r="I621" s="95">
        <v>44440</v>
      </c>
      <c r="J621" s="38" t="s">
        <v>328</v>
      </c>
      <c r="K621" s="23">
        <v>313385</v>
      </c>
      <c r="L621" s="23"/>
      <c r="M621" s="24">
        <v>0</v>
      </c>
      <c r="N621" s="25"/>
      <c r="O621" s="24">
        <v>0</v>
      </c>
      <c r="P621" s="136">
        <f>+IF(PROVEEDORES[[#This Row],[SUBTOTAL]]&lt;PROVEEDORES[[#This Row],[base retencion]],0,PROVEEDORES[[#This Row],[retención aplicada]])</f>
        <v>0</v>
      </c>
      <c r="Q621" s="24">
        <f>+PROVEEDORES[[#This Row],[Rete Fuente %]]*PROVEEDORES[[#This Row],[SUBTOTAL]]</f>
        <v>0</v>
      </c>
      <c r="R621" s="23">
        <v>313385</v>
      </c>
      <c r="S62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1" s="99">
        <f ca="1">IF(PROVEEDORES[[#This Row],[FECHA DE PAGO]]=0,TODAY()-PROVEEDORES[[#This Row],[FECHA DE FACTURACIÓN]]-PROVEEDORES[[#This Row],[PLAZO Días]],0)</f>
        <v>0</v>
      </c>
      <c r="U621" s="149">
        <f>+VLOOKUP(PROVEEDORES[[#This Row],[PROVEEDOR]],Terceros!$A:$E,5,FALSE)</f>
        <v>0</v>
      </c>
      <c r="V621" s="150">
        <f>+YEAR(PROVEEDORES[[#This Row],[FECHA DE FACTURACIÓN]])</f>
        <v>2021</v>
      </c>
      <c r="W621" s="150">
        <f>+MATCH(PROVEEDORES[[#This Row],[año facturado]],Retenciones!$1:$1,0)</f>
        <v>4</v>
      </c>
      <c r="X621" s="151">
        <f>+VLOOKUP(PROVEEDORES[[#This Row],[ID RETENCION]],Retenciones!$A$1:$O$24,PROVEEDORES[[#This Row],[indicador de columna]],FALSE)</f>
        <v>0</v>
      </c>
      <c r="Y621" s="152">
        <f>+VLOOKUP(PROVEEDORES[[#This Row],[ID RETENCION]],Retenciones!$A$1:$O$24,2,FALSE)</f>
        <v>0</v>
      </c>
      <c r="Z621" s="26"/>
      <c r="AA621" s="26"/>
      <c r="AB621" s="26"/>
      <c r="AC621" s="26"/>
      <c r="AD621" s="26"/>
      <c r="AE621" s="26"/>
    </row>
    <row r="622" spans="1:31" ht="21.95" customHeight="1" x14ac:dyDescent="0.25">
      <c r="A622" s="97" t="str">
        <f>+IF(PROVEEDORES[[#This Row],[FECHA DE PAGO]]=PROVEEDORES[[#This Row],[FECHA DE FACTURACIÓN]],"DE CONTADO","CRÉDITO")</f>
        <v>CRÉDITO</v>
      </c>
      <c r="B622" s="41" t="b">
        <f>+IF((PROVEEDORES[[#This Row],[FECHA DE PAGO]]-PROVEEDORES[[#This Row],[FECHA DE FACTURACIÓN]])&gt;PROVEEDORES[[#This Row],[PLAZO Días]],"PAGO VENCIDO")</f>
        <v>0</v>
      </c>
      <c r="C622" s="22">
        <f>+VLOOKUP(PROVEEDORES[[#This Row],[PROVEEDOR]],TERCEROS_INFO[#All],2,FALSE)</f>
        <v>20</v>
      </c>
      <c r="D622" s="27">
        <f>+SUMIFS(PROVEEDORES[Total],PROVEEDORES[PROVEEDOR],PROVEEDORES[[#This Row],[PROVEEDOR]],PROVEEDORES[FECHA DE PAGO],"")</f>
        <v>0</v>
      </c>
      <c r="E622" s="27"/>
      <c r="F622" s="62" t="str">
        <f>+VLOOKUP(PROVEEDORES[[#This Row],[PROVEEDOR]],
                       Terceros!$A:$G,
                       6,
                       FALSE)</f>
        <v>pse</v>
      </c>
      <c r="G622" s="95">
        <v>44456</v>
      </c>
      <c r="H622" s="28" t="s">
        <v>370</v>
      </c>
      <c r="I622" s="95">
        <v>44440</v>
      </c>
      <c r="J622" s="38"/>
      <c r="K622" s="23">
        <v>326232</v>
      </c>
      <c r="L622" s="23"/>
      <c r="M622" s="24">
        <v>0</v>
      </c>
      <c r="N622" s="25"/>
      <c r="O622" s="24">
        <v>0</v>
      </c>
      <c r="P622" s="136">
        <f>+IF(PROVEEDORES[[#This Row],[SUBTOTAL]]&lt;PROVEEDORES[[#This Row],[base retencion]],0,PROVEEDORES[[#This Row],[retención aplicada]])</f>
        <v>0</v>
      </c>
      <c r="Q622" s="24">
        <f>+PROVEEDORES[[#This Row],[Rete Fuente %]]*PROVEEDORES[[#This Row],[SUBTOTAL]]</f>
        <v>0</v>
      </c>
      <c r="R622" s="23">
        <v>326232</v>
      </c>
      <c r="S62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2" s="99">
        <f ca="1">IF(PROVEEDORES[[#This Row],[FECHA DE PAGO]]=0,TODAY()-PROVEEDORES[[#This Row],[FECHA DE FACTURACIÓN]]-PROVEEDORES[[#This Row],[PLAZO Días]],0)</f>
        <v>0</v>
      </c>
      <c r="U622" s="149">
        <f>+VLOOKUP(PROVEEDORES[[#This Row],[PROVEEDOR]],Terceros!$A:$E,5,FALSE)</f>
        <v>0</v>
      </c>
      <c r="V622" s="150">
        <f>+YEAR(PROVEEDORES[[#This Row],[FECHA DE FACTURACIÓN]])</f>
        <v>2021</v>
      </c>
      <c r="W622" s="150">
        <f>+MATCH(PROVEEDORES[[#This Row],[año facturado]],Retenciones!$1:$1,0)</f>
        <v>4</v>
      </c>
      <c r="X622" s="151">
        <f>+VLOOKUP(PROVEEDORES[[#This Row],[ID RETENCION]],Retenciones!$A$1:$O$24,PROVEEDORES[[#This Row],[indicador de columna]],FALSE)</f>
        <v>0</v>
      </c>
      <c r="Y622" s="152">
        <f>+VLOOKUP(PROVEEDORES[[#This Row],[ID RETENCION]],Retenciones!$A$1:$O$24,2,FALSE)</f>
        <v>0</v>
      </c>
      <c r="Z622" s="26"/>
      <c r="AA622" s="26"/>
      <c r="AB622" s="26"/>
      <c r="AC622" s="26"/>
      <c r="AD622" s="26"/>
      <c r="AE622" s="26"/>
    </row>
    <row r="623" spans="1:31" ht="21.95" customHeight="1" x14ac:dyDescent="0.25">
      <c r="A623" s="97" t="str">
        <f>+IF(PROVEEDORES[[#This Row],[FECHA DE PAGO]]=PROVEEDORES[[#This Row],[FECHA DE FACTURACIÓN]],"DE CONTADO","CRÉDITO")</f>
        <v>CRÉDITO</v>
      </c>
      <c r="B623" s="41" t="b">
        <f>+IF((PROVEEDORES[[#This Row],[FECHA DE PAGO]]-PROVEEDORES[[#This Row],[FECHA DE FACTURACIÓN]])&gt;PROVEEDORES[[#This Row],[PLAZO Días]],"PAGO VENCIDO")</f>
        <v>0</v>
      </c>
      <c r="C623" s="22">
        <f>+VLOOKUP(PROVEEDORES[[#This Row],[PROVEEDOR]],TERCEROS_INFO[#All],2,FALSE)</f>
        <v>20</v>
      </c>
      <c r="D623" s="27">
        <f>+SUMIFS(PROVEEDORES[Total],PROVEEDORES[PROVEEDOR],PROVEEDORES[[#This Row],[PROVEEDOR]],PROVEEDORES[FECHA DE PAGO],"")</f>
        <v>0</v>
      </c>
      <c r="E623" s="27"/>
      <c r="F623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623" s="95">
        <v>44411</v>
      </c>
      <c r="H623" s="28" t="s">
        <v>445</v>
      </c>
      <c r="I623" s="95">
        <v>44410</v>
      </c>
      <c r="J623" s="38" t="s">
        <v>775</v>
      </c>
      <c r="K623" s="23">
        <v>137000</v>
      </c>
      <c r="L623" s="23"/>
      <c r="M623" s="24">
        <v>0</v>
      </c>
      <c r="N623" s="25"/>
      <c r="O623" s="24">
        <v>0</v>
      </c>
      <c r="P623" s="136">
        <f>+IF(PROVEEDORES[[#This Row],[SUBTOTAL]]&lt;PROVEEDORES[[#This Row],[base retencion]],0,PROVEEDORES[[#This Row],[retención aplicada]])</f>
        <v>0</v>
      </c>
      <c r="Q623" s="24">
        <f>+PROVEEDORES[[#This Row],[Rete Fuente %]]*PROVEEDORES[[#This Row],[SUBTOTAL]]</f>
        <v>0</v>
      </c>
      <c r="R623" s="23">
        <v>135630</v>
      </c>
      <c r="S62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3" s="99">
        <f ca="1">IF(PROVEEDORES[[#This Row],[FECHA DE PAGO]]=0,TODAY()-PROVEEDORES[[#This Row],[FECHA DE FACTURACIÓN]]-PROVEEDORES[[#This Row],[PLAZO Días]],0)</f>
        <v>0</v>
      </c>
      <c r="U623" s="149" t="str">
        <f>+VLOOKUP(PROVEEDORES[[#This Row],[PROVEEDOR]],Terceros!$A:$E,5,FALSE)</f>
        <v>1% con base</v>
      </c>
      <c r="V623" s="150">
        <f>+YEAR(PROVEEDORES[[#This Row],[FECHA DE FACTURACIÓN]])</f>
        <v>2021</v>
      </c>
      <c r="W623" s="150">
        <f>+MATCH(PROVEEDORES[[#This Row],[año facturado]],Retenciones!$1:$1,0)</f>
        <v>4</v>
      </c>
      <c r="X623" s="151">
        <f>+VLOOKUP(PROVEEDORES[[#This Row],[ID RETENCION]],Retenciones!$A$1:$O$24,PROVEEDORES[[#This Row],[indicador de columna]],FALSE)</f>
        <v>145000</v>
      </c>
      <c r="Y623" s="152">
        <f>+VLOOKUP(PROVEEDORES[[#This Row],[ID RETENCION]],Retenciones!$A$1:$O$24,2,FALSE)</f>
        <v>0.01</v>
      </c>
      <c r="Z623" s="26"/>
      <c r="AA623" s="26"/>
      <c r="AB623" s="26"/>
      <c r="AC623" s="26"/>
      <c r="AD623" s="26"/>
      <c r="AE623" s="26"/>
    </row>
    <row r="624" spans="1:31" ht="21.95" customHeight="1" x14ac:dyDescent="0.25">
      <c r="A624" s="97" t="str">
        <f>+IF(PROVEEDORES[[#This Row],[FECHA DE PAGO]]=PROVEEDORES[[#This Row],[FECHA DE FACTURACIÓN]],"DE CONTADO","CRÉDITO")</f>
        <v>CRÉDITO</v>
      </c>
      <c r="B624" s="41" t="b">
        <f>+IF((PROVEEDORES[[#This Row],[FECHA DE PAGO]]-PROVEEDORES[[#This Row],[FECHA DE FACTURACIÓN]])&gt;PROVEEDORES[[#This Row],[PLAZO Días]],"PAGO VENCIDO")</f>
        <v>0</v>
      </c>
      <c r="C624" s="22">
        <f>+VLOOKUP(PROVEEDORES[[#This Row],[PROVEEDOR]],TERCEROS_INFO[#All],2,FALSE)</f>
        <v>20</v>
      </c>
      <c r="D624" s="27">
        <f>+SUMIFS(PROVEEDORES[Total],PROVEEDORES[PROVEEDOR],PROVEEDORES[[#This Row],[PROVEEDOR]],PROVEEDORES[FECHA DE PAGO],"")</f>
        <v>0</v>
      </c>
      <c r="E624" s="27"/>
      <c r="F624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624" s="95">
        <v>44411</v>
      </c>
      <c r="H624" s="28" t="s">
        <v>447</v>
      </c>
      <c r="I624" s="95">
        <v>44410</v>
      </c>
      <c r="J624" s="38" t="s">
        <v>442</v>
      </c>
      <c r="K624" s="23">
        <v>264800</v>
      </c>
      <c r="L624" s="23"/>
      <c r="M624" s="24">
        <v>0</v>
      </c>
      <c r="N624" s="25"/>
      <c r="O624" s="24">
        <v>0</v>
      </c>
      <c r="P624" s="136">
        <f>+IF(PROVEEDORES[[#This Row],[SUBTOTAL]]&lt;PROVEEDORES[[#This Row],[base retencion]],0,PROVEEDORES[[#This Row],[retención aplicada]])</f>
        <v>0.01</v>
      </c>
      <c r="Q624" s="24">
        <f>+PROVEEDORES[[#This Row],[Rete Fuente %]]*PROVEEDORES[[#This Row],[SUBTOTAL]]</f>
        <v>2648</v>
      </c>
      <c r="R624" s="23">
        <v>262152</v>
      </c>
      <c r="S62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4" s="99">
        <f ca="1">IF(PROVEEDORES[[#This Row],[FECHA DE PAGO]]=0,TODAY()-PROVEEDORES[[#This Row],[FECHA DE FACTURACIÓN]]-PROVEEDORES[[#This Row],[PLAZO Días]],0)</f>
        <v>0</v>
      </c>
      <c r="U624" s="149" t="str">
        <f>+VLOOKUP(PROVEEDORES[[#This Row],[PROVEEDOR]],Terceros!$A:$E,5,FALSE)</f>
        <v>1% con base</v>
      </c>
      <c r="V624" s="150">
        <f>+YEAR(PROVEEDORES[[#This Row],[FECHA DE FACTURACIÓN]])</f>
        <v>2021</v>
      </c>
      <c r="W624" s="150">
        <f>+MATCH(PROVEEDORES[[#This Row],[año facturado]],Retenciones!$1:$1,0)</f>
        <v>4</v>
      </c>
      <c r="X624" s="151">
        <f>+VLOOKUP(PROVEEDORES[[#This Row],[ID RETENCION]],Retenciones!$A$1:$O$24,PROVEEDORES[[#This Row],[indicador de columna]],FALSE)</f>
        <v>145000</v>
      </c>
      <c r="Y624" s="152">
        <f>+VLOOKUP(PROVEEDORES[[#This Row],[ID RETENCION]],Retenciones!$A$1:$O$24,2,FALSE)</f>
        <v>0.01</v>
      </c>
      <c r="Z624" s="26"/>
      <c r="AA624" s="26"/>
      <c r="AB624" s="26"/>
      <c r="AC624" s="26"/>
      <c r="AD624" s="26"/>
      <c r="AE624" s="26"/>
    </row>
    <row r="625" spans="1:31" ht="21.95" customHeight="1" x14ac:dyDescent="0.25">
      <c r="A625" s="97" t="str">
        <f>+IF(PROVEEDORES[[#This Row],[FECHA DE PAGO]]=PROVEEDORES[[#This Row],[FECHA DE FACTURACIÓN]],"DE CONTADO","CRÉDITO")</f>
        <v>CRÉDITO</v>
      </c>
      <c r="B625" s="41" t="str">
        <f>+IF((PROVEEDORES[[#This Row],[FECHA DE PAGO]]-PROVEEDORES[[#This Row],[FECHA DE FACTURACIÓN]])&gt;PROVEEDORES[[#This Row],[PLAZO Días]],"PAGO VENCIDO")</f>
        <v>PAGO VENCIDO</v>
      </c>
      <c r="C625" s="22">
        <f>+VLOOKUP(PROVEEDORES[[#This Row],[PROVEEDOR]],TERCEROS_INFO[#All],2,FALSE)</f>
        <v>30</v>
      </c>
      <c r="D625" s="27">
        <f>+SUMIFS(PROVEEDORES[Total],PROVEEDORES[PROVEEDOR],PROVEEDORES[[#This Row],[PROVEEDOR]],PROVEEDORES[FECHA DE PAGO],"")</f>
        <v>1860500</v>
      </c>
      <c r="E625" s="27"/>
      <c r="F625" s="62" t="str">
        <f>+VLOOKUP(PROVEEDORES[[#This Row],[PROVEEDOR]],
                       Terceros!$A:$G,
                       6,
                       FALSE)</f>
        <v/>
      </c>
      <c r="G625" s="95">
        <v>44442</v>
      </c>
      <c r="H625" s="28" t="s">
        <v>1064</v>
      </c>
      <c r="I625" s="95">
        <v>44410</v>
      </c>
      <c r="J625" s="38" t="s">
        <v>773</v>
      </c>
      <c r="K625" s="23">
        <v>673605</v>
      </c>
      <c r="L625" s="23"/>
      <c r="M625" s="24">
        <v>0</v>
      </c>
      <c r="N625" s="25"/>
      <c r="O625" s="24">
        <v>0</v>
      </c>
      <c r="P625" s="136">
        <f>+IF(PROVEEDORES[[#This Row],[SUBTOTAL]]&lt;PROVEEDORES[[#This Row],[base retencion]],0,PROVEEDORES[[#This Row],[retención aplicada]])</f>
        <v>0</v>
      </c>
      <c r="Q625" s="24">
        <f>+PROVEEDORES[[#This Row],[Rete Fuente %]]*PROVEEDORES[[#This Row],[SUBTOTAL]]</f>
        <v>0</v>
      </c>
      <c r="R625" s="23">
        <v>673605</v>
      </c>
      <c r="S62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5" s="99">
        <f ca="1">IF(PROVEEDORES[[#This Row],[FECHA DE PAGO]]=0,TODAY()-PROVEEDORES[[#This Row],[FECHA DE FACTURACIÓN]]-PROVEEDORES[[#This Row],[PLAZO Días]],0)</f>
        <v>0</v>
      </c>
      <c r="U625" s="149">
        <f>+VLOOKUP(PROVEEDORES[[#This Row],[PROVEEDOR]],Terceros!$A:$E,5,FALSE)</f>
        <v>0</v>
      </c>
      <c r="V625" s="150">
        <f>+YEAR(PROVEEDORES[[#This Row],[FECHA DE FACTURACIÓN]])</f>
        <v>2021</v>
      </c>
      <c r="W625" s="150">
        <f>+MATCH(PROVEEDORES[[#This Row],[año facturado]],Retenciones!$1:$1,0)</f>
        <v>4</v>
      </c>
      <c r="X625" s="151">
        <f>+VLOOKUP(PROVEEDORES[[#This Row],[ID RETENCION]],Retenciones!$A$1:$O$24,PROVEEDORES[[#This Row],[indicador de columna]],FALSE)</f>
        <v>0</v>
      </c>
      <c r="Y625" s="152">
        <f>+VLOOKUP(PROVEEDORES[[#This Row],[ID RETENCION]],Retenciones!$A$1:$O$24,2,FALSE)</f>
        <v>0</v>
      </c>
      <c r="Z625" s="26"/>
      <c r="AA625" s="26"/>
      <c r="AB625" s="26"/>
      <c r="AC625" s="26"/>
      <c r="AD625" s="26"/>
      <c r="AE625" s="26"/>
    </row>
    <row r="626" spans="1:31" ht="21.95" customHeight="1" x14ac:dyDescent="0.25">
      <c r="A626" s="97" t="str">
        <f>+IF(PROVEEDORES[[#This Row],[FECHA DE PAGO]]=PROVEEDORES[[#This Row],[FECHA DE FACTURACIÓN]],"DE CONTADO","CRÉDITO")</f>
        <v>CRÉDITO</v>
      </c>
      <c r="B626" s="41" t="b">
        <f>+IF((PROVEEDORES[[#This Row],[FECHA DE PAGO]]-PROVEEDORES[[#This Row],[FECHA DE FACTURACIÓN]])&gt;PROVEEDORES[[#This Row],[PLAZO Días]],"PAGO VENCIDO")</f>
        <v>0</v>
      </c>
      <c r="C626" s="22">
        <f>+VLOOKUP(PROVEEDORES[[#This Row],[PROVEEDOR]],TERCEROS_INFO[#All],2,FALSE)</f>
        <v>30</v>
      </c>
      <c r="D626" s="27">
        <f>+SUMIFS(PROVEEDORES[Total],PROVEEDORES[PROVEEDOR],PROVEEDORES[[#This Row],[PROVEEDOR]],PROVEEDORES[FECHA DE PAGO],"")</f>
        <v>0</v>
      </c>
      <c r="E626" s="27"/>
      <c r="F626" s="62" t="str">
        <f>+VLOOKUP(PROVEEDORES[[#This Row],[PROVEEDOR]],
                       Terceros!$A:$G,
                       6,
                       FALSE)</f>
        <v>??;girlesa.ruiz@servipilas.com;joriescobar64@gmail.com</v>
      </c>
      <c r="G626" s="95">
        <v>44419</v>
      </c>
      <c r="H626" s="28" t="s">
        <v>452</v>
      </c>
      <c r="I626" s="95">
        <v>44410</v>
      </c>
      <c r="J626" s="38" t="s">
        <v>454</v>
      </c>
      <c r="K626" s="23">
        <v>1490000</v>
      </c>
      <c r="L626" s="23"/>
      <c r="M626" s="24">
        <v>0</v>
      </c>
      <c r="N626" s="25"/>
      <c r="O626" s="24">
        <v>0</v>
      </c>
      <c r="P626" s="136">
        <f>+IF(PROVEEDORES[[#This Row],[SUBTOTAL]]&lt;PROVEEDORES[[#This Row],[base retencion]],0,PROVEEDORES[[#This Row],[retención aplicada]])</f>
        <v>0</v>
      </c>
      <c r="Q626" s="24">
        <f>+PROVEEDORES[[#This Row],[Rete Fuente %]]*PROVEEDORES[[#This Row],[SUBTOTAL]]</f>
        <v>0</v>
      </c>
      <c r="R626" s="23">
        <v>1490000</v>
      </c>
      <c r="S62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6" s="99">
        <f ca="1">IF(PROVEEDORES[[#This Row],[FECHA DE PAGO]]=0,TODAY()-PROVEEDORES[[#This Row],[FECHA DE FACTURACIÓN]]-PROVEEDORES[[#This Row],[PLAZO Días]],0)</f>
        <v>0</v>
      </c>
      <c r="U626" s="149">
        <f>+VLOOKUP(PROVEEDORES[[#This Row],[PROVEEDOR]],Terceros!$A:$E,5,FALSE)</f>
        <v>0</v>
      </c>
      <c r="V626" s="150">
        <f>+YEAR(PROVEEDORES[[#This Row],[FECHA DE FACTURACIÓN]])</f>
        <v>2021</v>
      </c>
      <c r="W626" s="150">
        <f>+MATCH(PROVEEDORES[[#This Row],[año facturado]],Retenciones!$1:$1,0)</f>
        <v>4</v>
      </c>
      <c r="X626" s="151">
        <f>+VLOOKUP(PROVEEDORES[[#This Row],[ID RETENCION]],Retenciones!$A$1:$O$24,PROVEEDORES[[#This Row],[indicador de columna]],FALSE)</f>
        <v>0</v>
      </c>
      <c r="Y626" s="152">
        <f>+VLOOKUP(PROVEEDORES[[#This Row],[ID RETENCION]],Retenciones!$A$1:$O$24,2,FALSE)</f>
        <v>0</v>
      </c>
      <c r="Z626" s="26"/>
      <c r="AA626" s="26"/>
      <c r="AB626" s="26"/>
      <c r="AC626" s="26"/>
      <c r="AD626" s="26"/>
      <c r="AE626" s="26"/>
    </row>
    <row r="627" spans="1:31" ht="21.95" customHeight="1" x14ac:dyDescent="0.25">
      <c r="A627" s="97" t="str">
        <f>+IF(PROVEEDORES[[#This Row],[FECHA DE PAGO]]=PROVEEDORES[[#This Row],[FECHA DE FACTURACIÓN]],"DE CONTADO","CRÉDITO")</f>
        <v>CRÉDITO</v>
      </c>
      <c r="B627" s="41" t="b">
        <f>+IF((PROVEEDORES[[#This Row],[FECHA DE PAGO]]-PROVEEDORES[[#This Row],[FECHA DE FACTURACIÓN]])&gt;PROVEEDORES[[#This Row],[PLAZO Días]],"PAGO VENCIDO")</f>
        <v>0</v>
      </c>
      <c r="C627" s="22">
        <f>+VLOOKUP(PROVEEDORES[[#This Row],[PROVEEDOR]],TERCEROS_INFO[#All],2,FALSE)</f>
        <v>30</v>
      </c>
      <c r="D627" s="27">
        <f>+SUMIFS(PROVEEDORES[Total],PROVEEDORES[PROVEEDOR],PROVEEDORES[[#This Row],[PROVEEDOR]],PROVEEDORES[FECHA DE PAGO],"")</f>
        <v>0</v>
      </c>
      <c r="E627" s="27"/>
      <c r="F627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627" s="95">
        <v>44419</v>
      </c>
      <c r="H627" s="28" t="s">
        <v>453</v>
      </c>
      <c r="I627" s="95">
        <v>44410</v>
      </c>
      <c r="J627" s="38" t="s">
        <v>774</v>
      </c>
      <c r="K627" s="23">
        <v>1791000</v>
      </c>
      <c r="L627" s="23"/>
      <c r="M627" s="24">
        <v>0</v>
      </c>
      <c r="N627" s="25"/>
      <c r="O627" s="24">
        <v>0</v>
      </c>
      <c r="P627" s="136">
        <f>+IF(PROVEEDORES[[#This Row],[SUBTOTAL]]&lt;PROVEEDORES[[#This Row],[base retencion]],0,PROVEEDORES[[#This Row],[retención aplicada]])</f>
        <v>0</v>
      </c>
      <c r="Q627" s="24">
        <f>+PROVEEDORES[[#This Row],[Rete Fuente %]]*PROVEEDORES[[#This Row],[SUBTOTAL]]</f>
        <v>0</v>
      </c>
      <c r="R627" s="23">
        <v>1791000</v>
      </c>
      <c r="S62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7" s="99">
        <f ca="1">IF(PROVEEDORES[[#This Row],[FECHA DE PAGO]]=0,TODAY()-PROVEEDORES[[#This Row],[FECHA DE FACTURACIÓN]]-PROVEEDORES[[#This Row],[PLAZO Días]],0)</f>
        <v>0</v>
      </c>
      <c r="U627" s="149">
        <f>+VLOOKUP(PROVEEDORES[[#This Row],[PROVEEDOR]],Terceros!$A:$E,5,FALSE)</f>
        <v>0</v>
      </c>
      <c r="V627" s="150">
        <f>+YEAR(PROVEEDORES[[#This Row],[FECHA DE FACTURACIÓN]])</f>
        <v>2021</v>
      </c>
      <c r="W627" s="150">
        <f>+MATCH(PROVEEDORES[[#This Row],[año facturado]],Retenciones!$1:$1,0)</f>
        <v>4</v>
      </c>
      <c r="X627" s="151">
        <f>+VLOOKUP(PROVEEDORES[[#This Row],[ID RETENCION]],Retenciones!$A$1:$O$24,PROVEEDORES[[#This Row],[indicador de columna]],FALSE)</f>
        <v>0</v>
      </c>
      <c r="Y627" s="152">
        <f>+VLOOKUP(PROVEEDORES[[#This Row],[ID RETENCION]],Retenciones!$A$1:$O$24,2,FALSE)</f>
        <v>0</v>
      </c>
      <c r="Z627" s="26"/>
      <c r="AA627" s="26"/>
      <c r="AB627" s="26"/>
      <c r="AC627" s="26"/>
      <c r="AD627" s="26"/>
      <c r="AE627" s="26"/>
    </row>
    <row r="628" spans="1:31" ht="21.95" customHeight="1" x14ac:dyDescent="0.25">
      <c r="A628" s="97" t="str">
        <f>+IF(PROVEEDORES[[#This Row],[FECHA DE PAGO]]=PROVEEDORES[[#This Row],[FECHA DE FACTURACIÓN]],"DE CONTADO","CRÉDITO")</f>
        <v>CRÉDITO</v>
      </c>
      <c r="B628" s="41" t="str">
        <f>+IF((PROVEEDORES[[#This Row],[FECHA DE PAGO]]-PROVEEDORES[[#This Row],[FECHA DE FACTURACIÓN]])&gt;PROVEEDORES[[#This Row],[PLAZO Días]],"PAGO VENCIDO")</f>
        <v>PAGO VENCIDO</v>
      </c>
      <c r="C628" s="22">
        <f>+VLOOKUP(PROVEEDORES[[#This Row],[PROVEEDOR]],TERCEROS_INFO[#All],2,FALSE)</f>
        <v>30</v>
      </c>
      <c r="D628" s="27">
        <f>+SUMIFS(PROVEEDORES[Total],PROVEEDORES[PROVEEDOR],PROVEEDORES[[#This Row],[PROVEEDOR]],PROVEEDORES[FECHA DE PAGO],"")</f>
        <v>3750700</v>
      </c>
      <c r="E628" s="27"/>
      <c r="F628" s="62" t="str">
        <f>+VLOOKUP(PROVEEDORES[[#This Row],[PROVEEDOR]],
                       Terceros!$A:$G,
                       6,
                       FALSE)</f>
        <v/>
      </c>
      <c r="G628" s="95">
        <v>44445</v>
      </c>
      <c r="H628" s="28" t="s">
        <v>990</v>
      </c>
      <c r="I628" s="95">
        <v>44410</v>
      </c>
      <c r="J628" s="38" t="s">
        <v>772</v>
      </c>
      <c r="K628" s="23">
        <v>3560300</v>
      </c>
      <c r="L628" s="23"/>
      <c r="M628" s="24">
        <v>0</v>
      </c>
      <c r="N628" s="25"/>
      <c r="O628" s="24">
        <v>0</v>
      </c>
      <c r="P628" s="136">
        <f>+IF(PROVEEDORES[[#This Row],[SUBTOTAL]]&lt;PROVEEDORES[[#This Row],[base retencion]],0,PROVEEDORES[[#This Row],[retención aplicada]])</f>
        <v>0</v>
      </c>
      <c r="Q628" s="24">
        <f>+PROVEEDORES[[#This Row],[Rete Fuente %]]*PROVEEDORES[[#This Row],[SUBTOTAL]]</f>
        <v>0</v>
      </c>
      <c r="R628" s="23">
        <v>3560300</v>
      </c>
      <c r="S62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8" s="99">
        <f ca="1">IF(PROVEEDORES[[#This Row],[FECHA DE PAGO]]=0,TODAY()-PROVEEDORES[[#This Row],[FECHA DE FACTURACIÓN]]-PROVEEDORES[[#This Row],[PLAZO Días]],0)</f>
        <v>0</v>
      </c>
      <c r="U628" s="149">
        <f>+VLOOKUP(PROVEEDORES[[#This Row],[PROVEEDOR]],Terceros!$A:$E,5,FALSE)</f>
        <v>0</v>
      </c>
      <c r="V628" s="150">
        <f>+YEAR(PROVEEDORES[[#This Row],[FECHA DE FACTURACIÓN]])</f>
        <v>2021</v>
      </c>
      <c r="W628" s="150">
        <f>+MATCH(PROVEEDORES[[#This Row],[año facturado]],Retenciones!$1:$1,0)</f>
        <v>4</v>
      </c>
      <c r="X628" s="151">
        <f>+VLOOKUP(PROVEEDORES[[#This Row],[ID RETENCION]],Retenciones!$A$1:$O$24,PROVEEDORES[[#This Row],[indicador de columna]],FALSE)</f>
        <v>0</v>
      </c>
      <c r="Y628" s="152">
        <f>+VLOOKUP(PROVEEDORES[[#This Row],[ID RETENCION]],Retenciones!$A$1:$O$24,2,FALSE)</f>
        <v>0</v>
      </c>
      <c r="Z628" s="26"/>
      <c r="AA628" s="26"/>
      <c r="AB628" s="26"/>
      <c r="AC628" s="26"/>
      <c r="AD628" s="26"/>
      <c r="AE628" s="26"/>
    </row>
    <row r="629" spans="1:31" ht="21.95" customHeight="1" x14ac:dyDescent="0.25">
      <c r="A629" s="97" t="str">
        <f>+IF(PROVEEDORES[[#This Row],[FECHA DE PAGO]]=PROVEEDORES[[#This Row],[FECHA DE FACTURACIÓN]],"DE CONTADO","CRÉDITO")</f>
        <v>CRÉDITO</v>
      </c>
      <c r="B629" s="41" t="str">
        <f>+IF((PROVEEDORES[[#This Row],[FECHA DE PAGO]]-PROVEEDORES[[#This Row],[FECHA DE FACTURACIÓN]])&gt;PROVEEDORES[[#This Row],[PLAZO Días]],"PAGO VENCIDO")</f>
        <v>PAGO VENCIDO</v>
      </c>
      <c r="C629" s="22">
        <f>+VLOOKUP(PROVEEDORES[[#This Row],[PROVEEDOR]],TERCEROS_INFO[#All],2,FALSE)</f>
        <v>30</v>
      </c>
      <c r="D629" s="27">
        <f>+SUMIFS(PROVEEDORES[Total],PROVEEDORES[PROVEEDOR],PROVEEDORES[[#This Row],[PROVEEDOR]],PROVEEDORES[FECHA DE PAGO],"")</f>
        <v>3750700</v>
      </c>
      <c r="E629" s="27"/>
      <c r="F629" s="62" t="str">
        <f>+VLOOKUP(PROVEEDORES[[#This Row],[PROVEEDOR]],
                       Terceros!$A:$G,
                       6,
                       FALSE)</f>
        <v/>
      </c>
      <c r="G629" s="95">
        <v>44448</v>
      </c>
      <c r="H629" s="28" t="s">
        <v>990</v>
      </c>
      <c r="I629" s="95">
        <v>44410</v>
      </c>
      <c r="J629" s="38" t="s">
        <v>772</v>
      </c>
      <c r="K629" s="23">
        <v>3560300</v>
      </c>
      <c r="L629" s="23"/>
      <c r="M629" s="24">
        <v>0</v>
      </c>
      <c r="N629" s="25"/>
      <c r="O629" s="24">
        <v>0</v>
      </c>
      <c r="P629" s="136">
        <f>+IF(PROVEEDORES[[#This Row],[SUBTOTAL]]&lt;PROVEEDORES[[#This Row],[base retencion]],0,PROVEEDORES[[#This Row],[retención aplicada]])</f>
        <v>0</v>
      </c>
      <c r="Q629" s="24">
        <f>+PROVEEDORES[[#This Row],[Rete Fuente %]]*PROVEEDORES[[#This Row],[SUBTOTAL]]</f>
        <v>0</v>
      </c>
      <c r="R629" s="23">
        <v>3560300</v>
      </c>
      <c r="S62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9" s="99">
        <f ca="1">IF(PROVEEDORES[[#This Row],[FECHA DE PAGO]]=0,TODAY()-PROVEEDORES[[#This Row],[FECHA DE FACTURACIÓN]]-PROVEEDORES[[#This Row],[PLAZO Días]],0)</f>
        <v>0</v>
      </c>
      <c r="U629" s="149">
        <f>+VLOOKUP(PROVEEDORES[[#This Row],[PROVEEDOR]],Terceros!$A:$E,5,FALSE)</f>
        <v>0</v>
      </c>
      <c r="V629" s="150">
        <f>+YEAR(PROVEEDORES[[#This Row],[FECHA DE FACTURACIÓN]])</f>
        <v>2021</v>
      </c>
      <c r="W629" s="150">
        <f>+MATCH(PROVEEDORES[[#This Row],[año facturado]],Retenciones!$1:$1,0)</f>
        <v>4</v>
      </c>
      <c r="X629" s="151">
        <f>+VLOOKUP(PROVEEDORES[[#This Row],[ID RETENCION]],Retenciones!$A$1:$O$24,PROVEEDORES[[#This Row],[indicador de columna]],FALSE)</f>
        <v>0</v>
      </c>
      <c r="Y629" s="152">
        <f>+VLOOKUP(PROVEEDORES[[#This Row],[ID RETENCION]],Retenciones!$A$1:$O$24,2,FALSE)</f>
        <v>0</v>
      </c>
      <c r="Z629" s="26"/>
      <c r="AA629" s="26"/>
      <c r="AB629" s="26"/>
      <c r="AC629" s="26"/>
      <c r="AD629" s="26"/>
      <c r="AE629" s="26"/>
    </row>
    <row r="630" spans="1:31" ht="21.95" customHeight="1" x14ac:dyDescent="0.25">
      <c r="A630" s="97" t="str">
        <f>+IF(PROVEEDORES[[#This Row],[FECHA DE PAGO]]=PROVEEDORES[[#This Row],[FECHA DE FACTURACIÓN]],"DE CONTADO","CRÉDITO")</f>
        <v>CRÉDITO</v>
      </c>
      <c r="B630" s="41" t="str">
        <f>+IF((PROVEEDORES[[#This Row],[FECHA DE PAGO]]-PROVEEDORES[[#This Row],[FECHA DE FACTURACIÓN]])&gt;PROVEEDORES[[#This Row],[PLAZO Días]],"PAGO VENCIDO")</f>
        <v>PAGO VENCIDO</v>
      </c>
      <c r="C630" s="22">
        <f>+VLOOKUP(PROVEEDORES[[#This Row],[PROVEEDOR]],TERCEROS_INFO[#All],2,FALSE)</f>
        <v>30</v>
      </c>
      <c r="D630" s="27">
        <f>+SUMIFS(PROVEEDORES[Total],PROVEEDORES[PROVEEDOR],PROVEEDORES[[#This Row],[PROVEEDOR]],PROVEEDORES[FECHA DE PAGO],"")</f>
        <v>1850000</v>
      </c>
      <c r="E630" s="27"/>
      <c r="F630" s="62" t="str">
        <f>+VLOOKUP(PROVEEDORES[[#This Row],[PROVEEDOR]],
                       Terceros!$A:$G,
                       6,
                       FALSE)</f>
        <v>globalpowerc2018@gmail.com;girlesa.ruiz@servipilas.com;joriescobar64@gmail.com</v>
      </c>
      <c r="G630" s="95">
        <v>44459</v>
      </c>
      <c r="H630" s="28" t="s">
        <v>1051</v>
      </c>
      <c r="I630" s="95">
        <v>44411</v>
      </c>
      <c r="J630" s="38" t="s">
        <v>444</v>
      </c>
      <c r="K630" s="23">
        <v>-773200</v>
      </c>
      <c r="L630" s="23"/>
      <c r="M630" s="24">
        <v>0</v>
      </c>
      <c r="N630" s="25"/>
      <c r="O630" s="24">
        <v>0</v>
      </c>
      <c r="P630" s="136">
        <f>+IF(PROVEEDORES[[#This Row],[SUBTOTAL]]&lt;PROVEEDORES[[#This Row],[base retencion]],0,PROVEEDORES[[#This Row],[retención aplicada]])</f>
        <v>0</v>
      </c>
      <c r="Q630" s="24">
        <f>+PROVEEDORES[[#This Row],[Rete Fuente %]]*PROVEEDORES[[#This Row],[SUBTOTAL]]</f>
        <v>0</v>
      </c>
      <c r="R630" s="23">
        <v>-773200</v>
      </c>
      <c r="S63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0" s="99">
        <f ca="1">IF(PROVEEDORES[[#This Row],[FECHA DE PAGO]]=0,TODAY()-PROVEEDORES[[#This Row],[FECHA DE FACTURACIÓN]]-PROVEEDORES[[#This Row],[PLAZO Días]],0)</f>
        <v>0</v>
      </c>
      <c r="U630" s="149">
        <f>+VLOOKUP(PROVEEDORES[[#This Row],[PROVEEDOR]],Terceros!$A:$E,5,FALSE)</f>
        <v>0</v>
      </c>
      <c r="V630" s="150">
        <f>+YEAR(PROVEEDORES[[#This Row],[FECHA DE FACTURACIÓN]])</f>
        <v>2021</v>
      </c>
      <c r="W630" s="150">
        <f>+MATCH(PROVEEDORES[[#This Row],[año facturado]],Retenciones!$1:$1,0)</f>
        <v>4</v>
      </c>
      <c r="X630" s="151">
        <f>+VLOOKUP(PROVEEDORES[[#This Row],[ID RETENCION]],Retenciones!$A$1:$O$24,PROVEEDORES[[#This Row],[indicador de columna]],FALSE)</f>
        <v>0</v>
      </c>
      <c r="Y630" s="152">
        <f>+VLOOKUP(PROVEEDORES[[#This Row],[ID RETENCION]],Retenciones!$A$1:$O$24,2,FALSE)</f>
        <v>0</v>
      </c>
      <c r="Z630" s="26"/>
      <c r="AA630" s="26"/>
      <c r="AB630" s="26"/>
      <c r="AC630" s="26"/>
      <c r="AD630" s="26"/>
      <c r="AE630" s="26"/>
    </row>
    <row r="631" spans="1:31" ht="21.95" customHeight="1" x14ac:dyDescent="0.25">
      <c r="A631" s="97" t="str">
        <f>+IF(PROVEEDORES[[#This Row],[FECHA DE PAGO]]=PROVEEDORES[[#This Row],[FECHA DE FACTURACIÓN]],"DE CONTADO","CRÉDITO")</f>
        <v>CRÉDITO</v>
      </c>
      <c r="B631" s="41" t="b">
        <f>+IF((PROVEEDORES[[#This Row],[FECHA DE PAGO]]-PROVEEDORES[[#This Row],[FECHA DE FACTURACIÓN]])&gt;PROVEEDORES[[#This Row],[PLAZO Días]],"PAGO VENCIDO")</f>
        <v>0</v>
      </c>
      <c r="C631" s="22">
        <f>+VLOOKUP(PROVEEDORES[[#This Row],[PROVEEDOR]],TERCEROS_INFO[#All],2,FALSE)</f>
        <v>30</v>
      </c>
      <c r="D631" s="27">
        <f>+SUMIFS(PROVEEDORES[Total],PROVEEDORES[PROVEEDOR],PROVEEDORES[[#This Row],[PROVEEDOR]],PROVEEDORES[FECHA DE PAGO],"")</f>
        <v>0</v>
      </c>
      <c r="E631" s="27"/>
      <c r="F631" s="62" t="str">
        <f>+VLOOKUP(PROVEEDORES[[#This Row],[PROVEEDOR]],
                       Terceros!$A:$G,
                       6,
                       FALSE)</f>
        <v>jarlysas@gmail.com;o.clockinternational@gmail.com;girlesa.ruiz@servipilas.com;joriescobar64@gmail.com</v>
      </c>
      <c r="G631" s="95">
        <v>44414</v>
      </c>
      <c r="H631" s="28" t="s">
        <v>1042</v>
      </c>
      <c r="I631" s="95">
        <v>44411</v>
      </c>
      <c r="J631" s="38" t="s">
        <v>776</v>
      </c>
      <c r="K631" s="23">
        <v>213600</v>
      </c>
      <c r="L631" s="23"/>
      <c r="M631" s="24">
        <v>0</v>
      </c>
      <c r="N631" s="25"/>
      <c r="O631" s="24">
        <v>18800</v>
      </c>
      <c r="P631" s="136">
        <f>+IF(PROVEEDORES[[#This Row],[SUBTOTAL]]&lt;PROVEEDORES[[#This Row],[base retencion]],0,PROVEEDORES[[#This Row],[retención aplicada]])</f>
        <v>0</v>
      </c>
      <c r="Q631" s="24">
        <f>+PROVEEDORES[[#This Row],[Rete Fuente %]]*PROVEEDORES[[#This Row],[SUBTOTAL]]</f>
        <v>0</v>
      </c>
      <c r="R631" s="23">
        <v>194800</v>
      </c>
      <c r="S63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1" s="99">
        <f ca="1">IF(PROVEEDORES[[#This Row],[FECHA DE PAGO]]=0,TODAY()-PROVEEDORES[[#This Row],[FECHA DE FACTURACIÓN]]-PROVEEDORES[[#This Row],[PLAZO Días]],0)</f>
        <v>0</v>
      </c>
      <c r="U631" s="149">
        <f>+VLOOKUP(PROVEEDORES[[#This Row],[PROVEEDOR]],Terceros!$A:$E,5,FALSE)</f>
        <v>0</v>
      </c>
      <c r="V631" s="150">
        <f>+YEAR(PROVEEDORES[[#This Row],[FECHA DE FACTURACIÓN]])</f>
        <v>2021</v>
      </c>
      <c r="W631" s="150">
        <f>+MATCH(PROVEEDORES[[#This Row],[año facturado]],Retenciones!$1:$1,0)</f>
        <v>4</v>
      </c>
      <c r="X631" s="151">
        <f>+VLOOKUP(PROVEEDORES[[#This Row],[ID RETENCION]],Retenciones!$A$1:$O$24,PROVEEDORES[[#This Row],[indicador de columna]],FALSE)</f>
        <v>0</v>
      </c>
      <c r="Y631" s="152">
        <f>+VLOOKUP(PROVEEDORES[[#This Row],[ID RETENCION]],Retenciones!$A$1:$O$24,2,FALSE)</f>
        <v>0</v>
      </c>
      <c r="Z631" s="26"/>
      <c r="AA631" s="26"/>
      <c r="AB631" s="26"/>
      <c r="AC631" s="26"/>
      <c r="AD631" s="26"/>
      <c r="AE631" s="26"/>
    </row>
    <row r="632" spans="1:31" ht="21.95" customHeight="1" x14ac:dyDescent="0.25">
      <c r="A632" s="97" t="str">
        <f>+IF(PROVEEDORES[[#This Row],[FECHA DE PAGO]]=PROVEEDORES[[#This Row],[FECHA DE FACTURACIÓN]],"DE CONTADO","CRÉDITO")</f>
        <v>DE CONTADO</v>
      </c>
      <c r="B632" s="41" t="b">
        <f>+IF((PROVEEDORES[[#This Row],[FECHA DE PAGO]]-PROVEEDORES[[#This Row],[FECHA DE FACTURACIÓN]])&gt;PROVEEDORES[[#This Row],[PLAZO Días]],"PAGO VENCIDO")</f>
        <v>0</v>
      </c>
      <c r="C632" s="22">
        <f>+VLOOKUP(PROVEEDORES[[#This Row],[PROVEEDOR]],TERCEROS_INFO[#All],2,FALSE)</f>
        <v>30</v>
      </c>
      <c r="D632" s="27">
        <f>+SUMIFS(PROVEEDORES[Total],PROVEEDORES[PROVEEDOR],PROVEEDORES[[#This Row],[PROVEEDOR]],PROVEEDORES[FECHA DE PAGO],"")</f>
        <v>0</v>
      </c>
      <c r="E632" s="27"/>
      <c r="F632" s="62" t="str">
        <f>+VLOOKUP(PROVEEDORES[[#This Row],[PROVEEDOR]],
                       Terceros!$A:$G,
                       6,
                       FALSE)</f>
        <v/>
      </c>
      <c r="G632" s="95">
        <v>44411</v>
      </c>
      <c r="H632" s="28" t="s">
        <v>1046</v>
      </c>
      <c r="I632" s="95">
        <v>44411</v>
      </c>
      <c r="J632" s="38"/>
      <c r="K632" s="23">
        <v>1000000</v>
      </c>
      <c r="L632" s="23"/>
      <c r="M632" s="24">
        <v>0</v>
      </c>
      <c r="N632" s="25"/>
      <c r="O632" s="24">
        <v>0</v>
      </c>
      <c r="P632" s="136">
        <f>+IF(PROVEEDORES[[#This Row],[SUBTOTAL]]&lt;PROVEEDORES[[#This Row],[base retencion]],0,PROVEEDORES[[#This Row],[retención aplicada]])</f>
        <v>0</v>
      </c>
      <c r="Q632" s="24">
        <f>+PROVEEDORES[[#This Row],[Rete Fuente %]]*PROVEEDORES[[#This Row],[SUBTOTAL]]</f>
        <v>0</v>
      </c>
      <c r="R632" s="23">
        <v>1000000</v>
      </c>
      <c r="S63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2" s="99">
        <f ca="1">IF(PROVEEDORES[[#This Row],[FECHA DE PAGO]]=0,TODAY()-PROVEEDORES[[#This Row],[FECHA DE FACTURACIÓN]]-PROVEEDORES[[#This Row],[PLAZO Días]],0)</f>
        <v>0</v>
      </c>
      <c r="U632" s="149">
        <f>+VLOOKUP(PROVEEDORES[[#This Row],[PROVEEDOR]],Terceros!$A:$E,5,FALSE)</f>
        <v>0</v>
      </c>
      <c r="V632" s="150">
        <f>+YEAR(PROVEEDORES[[#This Row],[FECHA DE FACTURACIÓN]])</f>
        <v>2021</v>
      </c>
      <c r="W632" s="150">
        <f>+MATCH(PROVEEDORES[[#This Row],[año facturado]],Retenciones!$1:$1,0)</f>
        <v>4</v>
      </c>
      <c r="X632" s="151">
        <f>+VLOOKUP(PROVEEDORES[[#This Row],[ID RETENCION]],Retenciones!$A$1:$O$24,PROVEEDORES[[#This Row],[indicador de columna]],FALSE)</f>
        <v>0</v>
      </c>
      <c r="Y632" s="152">
        <f>+VLOOKUP(PROVEEDORES[[#This Row],[ID RETENCION]],Retenciones!$A$1:$O$24,2,FALSE)</f>
        <v>0</v>
      </c>
      <c r="Z632" s="26"/>
      <c r="AA632" s="26"/>
      <c r="AB632" s="26"/>
      <c r="AC632" s="26"/>
      <c r="AD632" s="26"/>
      <c r="AE632" s="26"/>
    </row>
    <row r="633" spans="1:31" ht="21.95" customHeight="1" x14ac:dyDescent="0.25">
      <c r="A633" s="97" t="str">
        <f>+IF(PROVEEDORES[[#This Row],[FECHA DE PAGO]]=PROVEEDORES[[#This Row],[FECHA DE FACTURACIÓN]],"DE CONTADO","CRÉDITO")</f>
        <v>CRÉDITO</v>
      </c>
      <c r="B633" s="41" t="str">
        <f>+IF((PROVEEDORES[[#This Row],[FECHA DE PAGO]]-PROVEEDORES[[#This Row],[FECHA DE FACTURACIÓN]])&gt;PROVEEDORES[[#This Row],[PLAZO Días]],"PAGO VENCIDO")</f>
        <v>PAGO VENCIDO</v>
      </c>
      <c r="C633" s="22">
        <f>+VLOOKUP(PROVEEDORES[[#This Row],[PROVEEDOR]],TERCEROS_INFO[#All],2,FALSE)</f>
        <v>30</v>
      </c>
      <c r="D633" s="27">
        <f>+SUMIFS(PROVEEDORES[Total],PROVEEDORES[PROVEEDOR],PROVEEDORES[[#This Row],[PROVEEDOR]],PROVEEDORES[FECHA DE PAGO],"")</f>
        <v>1979529.3</v>
      </c>
      <c r="E633" s="27"/>
      <c r="F633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633" s="95">
        <v>44442</v>
      </c>
      <c r="H633" s="28" t="s">
        <v>17</v>
      </c>
      <c r="I633" s="95">
        <v>44411</v>
      </c>
      <c r="J633" s="38">
        <v>1795600</v>
      </c>
      <c r="K633" s="23">
        <v>1339866</v>
      </c>
      <c r="L633" s="23"/>
      <c r="M633" s="24">
        <v>0</v>
      </c>
      <c r="N633" s="25"/>
      <c r="O633" s="24">
        <v>0</v>
      </c>
      <c r="P633" s="136">
        <f>+IF(PROVEEDORES[[#This Row],[SUBTOTAL]]&lt;PROVEEDORES[[#This Row],[base retencion]],0,PROVEEDORES[[#This Row],[retención aplicada]])</f>
        <v>0</v>
      </c>
      <c r="Q633" s="24">
        <f>+PROVEEDORES[[#This Row],[Rete Fuente %]]*PROVEEDORES[[#This Row],[SUBTOTAL]]</f>
        <v>0</v>
      </c>
      <c r="R633" s="23">
        <v>1339866</v>
      </c>
      <c r="S63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3" s="99">
        <f ca="1">IF(PROVEEDORES[[#This Row],[FECHA DE PAGO]]=0,TODAY()-PROVEEDORES[[#This Row],[FECHA DE FACTURACIÓN]]-PROVEEDORES[[#This Row],[PLAZO Días]],0)</f>
        <v>0</v>
      </c>
      <c r="U633" s="149">
        <f>+VLOOKUP(PROVEEDORES[[#This Row],[PROVEEDOR]],Terceros!$A:$E,5,FALSE)</f>
        <v>0</v>
      </c>
      <c r="V633" s="150">
        <f>+YEAR(PROVEEDORES[[#This Row],[FECHA DE FACTURACIÓN]])</f>
        <v>2021</v>
      </c>
      <c r="W633" s="150">
        <f>+MATCH(PROVEEDORES[[#This Row],[año facturado]],Retenciones!$1:$1,0)</f>
        <v>4</v>
      </c>
      <c r="X633" s="151">
        <f>+VLOOKUP(PROVEEDORES[[#This Row],[ID RETENCION]],Retenciones!$A$1:$O$24,PROVEEDORES[[#This Row],[indicador de columna]],FALSE)</f>
        <v>0</v>
      </c>
      <c r="Y633" s="152">
        <f>+VLOOKUP(PROVEEDORES[[#This Row],[ID RETENCION]],Retenciones!$A$1:$O$24,2,FALSE)</f>
        <v>0</v>
      </c>
      <c r="Z633" s="26"/>
      <c r="AA633" s="26"/>
      <c r="AB633" s="26"/>
      <c r="AC633" s="26"/>
      <c r="AD633" s="26"/>
      <c r="AE633" s="26"/>
    </row>
    <row r="634" spans="1:31" ht="21.95" customHeight="1" x14ac:dyDescent="0.25">
      <c r="A634" s="97" t="str">
        <f>+IF(PROVEEDORES[[#This Row],[FECHA DE PAGO]]=PROVEEDORES[[#This Row],[FECHA DE FACTURACIÓN]],"DE CONTADO","CRÉDITO")</f>
        <v>CRÉDITO</v>
      </c>
      <c r="B634" s="41" t="b">
        <f>+IF((PROVEEDORES[[#This Row],[FECHA DE PAGO]]-PROVEEDORES[[#This Row],[FECHA DE FACTURACIÓN]])&gt;PROVEEDORES[[#This Row],[PLAZO Días]],"PAGO VENCIDO")</f>
        <v>0</v>
      </c>
      <c r="C634" s="22">
        <f>+VLOOKUP(PROVEEDORES[[#This Row],[PROVEEDOR]],TERCEROS_INFO[#All],2,FALSE)</f>
        <v>30</v>
      </c>
      <c r="D634" s="27">
        <f>+SUMIFS(PROVEEDORES[Total],PROVEEDORES[PROVEEDOR],PROVEEDORES[[#This Row],[PROVEEDOR]],PROVEEDORES[FECHA DE PAGO],"")</f>
        <v>0</v>
      </c>
      <c r="E634" s="27"/>
      <c r="F634" s="62" t="str">
        <f>+VLOOKUP(PROVEEDORES[[#This Row],[PROVEEDOR]],
                       Terceros!$A:$G,
                       6,
                       FALSE)</f>
        <v>??;girlesa.ruiz@servipilas.com;joriescobar64@gmail.com</v>
      </c>
      <c r="G634" s="95">
        <v>44428</v>
      </c>
      <c r="H634" s="28" t="s">
        <v>1078</v>
      </c>
      <c r="I634" s="95">
        <v>44411</v>
      </c>
      <c r="J634" s="38" t="s">
        <v>777</v>
      </c>
      <c r="K634" s="23">
        <v>3850000</v>
      </c>
      <c r="L634" s="23"/>
      <c r="M634" s="24">
        <v>0</v>
      </c>
      <c r="N634" s="25"/>
      <c r="O634" s="24">
        <v>0</v>
      </c>
      <c r="P634" s="136">
        <f>+IF(PROVEEDORES[[#This Row],[SUBTOTAL]]&lt;PROVEEDORES[[#This Row],[base retencion]],0,PROVEEDORES[[#This Row],[retención aplicada]])</f>
        <v>0</v>
      </c>
      <c r="Q634" s="24">
        <f>+PROVEEDORES[[#This Row],[Rete Fuente %]]*PROVEEDORES[[#This Row],[SUBTOTAL]]</f>
        <v>0</v>
      </c>
      <c r="R634" s="23">
        <v>3850000</v>
      </c>
      <c r="S63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4" s="99">
        <f ca="1">IF(PROVEEDORES[[#This Row],[FECHA DE PAGO]]=0,TODAY()-PROVEEDORES[[#This Row],[FECHA DE FACTURACIÓN]]-PROVEEDORES[[#This Row],[PLAZO Días]],0)</f>
        <v>0</v>
      </c>
      <c r="U634" s="149">
        <f>+VLOOKUP(PROVEEDORES[[#This Row],[PROVEEDOR]],Terceros!$A:$E,5,FALSE)</f>
        <v>0</v>
      </c>
      <c r="V634" s="150">
        <f>+YEAR(PROVEEDORES[[#This Row],[FECHA DE FACTURACIÓN]])</f>
        <v>2021</v>
      </c>
      <c r="W634" s="150">
        <f>+MATCH(PROVEEDORES[[#This Row],[año facturado]],Retenciones!$1:$1,0)</f>
        <v>4</v>
      </c>
      <c r="X634" s="151">
        <f>+VLOOKUP(PROVEEDORES[[#This Row],[ID RETENCION]],Retenciones!$A$1:$O$24,PROVEEDORES[[#This Row],[indicador de columna]],FALSE)</f>
        <v>0</v>
      </c>
      <c r="Y634" s="152">
        <f>+VLOOKUP(PROVEEDORES[[#This Row],[ID RETENCION]],Retenciones!$A$1:$O$24,2,FALSE)</f>
        <v>0</v>
      </c>
      <c r="Z634" s="26"/>
      <c r="AA634" s="26"/>
      <c r="AB634" s="26"/>
      <c r="AC634" s="26"/>
      <c r="AD634" s="26"/>
      <c r="AE634" s="26"/>
    </row>
    <row r="635" spans="1:31" ht="21.95" customHeight="1" x14ac:dyDescent="0.25">
      <c r="A635" s="97" t="str">
        <f>+IF(PROVEEDORES[[#This Row],[FECHA DE PAGO]]=PROVEEDORES[[#This Row],[FECHA DE FACTURACIÓN]],"DE CONTADO","CRÉDITO")</f>
        <v>CRÉDITO</v>
      </c>
      <c r="B635" s="41" t="str">
        <f>+IF((PROVEEDORES[[#This Row],[FECHA DE PAGO]]-PROVEEDORES[[#This Row],[FECHA DE FACTURACIÓN]])&gt;PROVEEDORES[[#This Row],[PLAZO Días]],"PAGO VENCIDO")</f>
        <v>PAGO VENCIDO</v>
      </c>
      <c r="C635" s="22">
        <f>+VLOOKUP(PROVEEDORES[[#This Row],[PROVEEDOR]],TERCEROS_INFO[#All],2,FALSE)</f>
        <v>30</v>
      </c>
      <c r="D635" s="27">
        <f>+SUMIFS(PROVEEDORES[Total],PROVEEDORES[PROVEEDOR],PROVEEDORES[[#This Row],[PROVEEDOR]],PROVEEDORES[FECHA DE PAGO],"")</f>
        <v>0</v>
      </c>
      <c r="E635" s="27"/>
      <c r="F635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635" s="95">
        <v>44442</v>
      </c>
      <c r="H635" s="28" t="s">
        <v>1124</v>
      </c>
      <c r="I635" s="95">
        <v>44411</v>
      </c>
      <c r="J635" s="38">
        <v>20400</v>
      </c>
      <c r="K635" s="23">
        <v>4769920</v>
      </c>
      <c r="L635" s="23"/>
      <c r="M635" s="24">
        <v>906284.8</v>
      </c>
      <c r="N635" s="25"/>
      <c r="O635" s="24">
        <v>0</v>
      </c>
      <c r="P635" s="136">
        <f>+IF(PROVEEDORES[[#This Row],[SUBTOTAL]]&lt;PROVEEDORES[[#This Row],[base retencion]],0,PROVEEDORES[[#This Row],[retención aplicada]])</f>
        <v>2.5000000000000001E-2</v>
      </c>
      <c r="Q635" s="24">
        <f>+PROVEEDORES[[#This Row],[Rete Fuente %]]*PROVEEDORES[[#This Row],[SUBTOTAL]]</f>
        <v>119248</v>
      </c>
      <c r="R635" s="23">
        <v>5556956.7999999998</v>
      </c>
      <c r="S63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5" s="99">
        <f ca="1">IF(PROVEEDORES[[#This Row],[FECHA DE PAGO]]=0,TODAY()-PROVEEDORES[[#This Row],[FECHA DE FACTURACIÓN]]-PROVEEDORES[[#This Row],[PLAZO Días]],0)</f>
        <v>0</v>
      </c>
      <c r="U635" s="149" t="str">
        <f>+VLOOKUP(PROVEEDORES[[#This Row],[PROVEEDOR]],Terceros!$A:$E,5,FALSE)</f>
        <v>2,5% con base</v>
      </c>
      <c r="V635" s="150">
        <f>+YEAR(PROVEEDORES[[#This Row],[FECHA DE FACTURACIÓN]])</f>
        <v>2021</v>
      </c>
      <c r="W635" s="150">
        <f>+MATCH(PROVEEDORES[[#This Row],[año facturado]],Retenciones!$1:$1,0)</f>
        <v>4</v>
      </c>
      <c r="X635" s="151">
        <f>+VLOOKUP(PROVEEDORES[[#This Row],[ID RETENCION]],Retenciones!$A$1:$O$24,PROVEEDORES[[#This Row],[indicador de columna]],FALSE)</f>
        <v>980000</v>
      </c>
      <c r="Y635" s="152">
        <f>+VLOOKUP(PROVEEDORES[[#This Row],[ID RETENCION]],Retenciones!$A$1:$O$24,2,FALSE)</f>
        <v>2.5000000000000001E-2</v>
      </c>
      <c r="Z635" s="26"/>
      <c r="AA635" s="26"/>
      <c r="AB635" s="26"/>
      <c r="AC635" s="26"/>
      <c r="AD635" s="26"/>
      <c r="AE635" s="26"/>
    </row>
    <row r="636" spans="1:31" ht="21.95" customHeight="1" x14ac:dyDescent="0.25">
      <c r="A636" s="97" t="str">
        <f>+IF(PROVEEDORES[[#This Row],[FECHA DE PAGO]]=PROVEEDORES[[#This Row],[FECHA DE FACTURACIÓN]],"DE CONTADO","CRÉDITO")</f>
        <v>DE CONTADO</v>
      </c>
      <c r="B636" s="41" t="b">
        <f>+IF((PROVEEDORES[[#This Row],[FECHA DE PAGO]]-PROVEEDORES[[#This Row],[FECHA DE FACTURACIÓN]])&gt;PROVEEDORES[[#This Row],[PLAZO Días]],"PAGO VENCIDO")</f>
        <v>0</v>
      </c>
      <c r="C636" s="22">
        <f>+VLOOKUP(PROVEEDORES[[#This Row],[PROVEEDOR]],TERCEROS_INFO[#All],2,FALSE)</f>
        <v>30</v>
      </c>
      <c r="D636" s="27">
        <f>+SUMIFS(PROVEEDORES[Total],PROVEEDORES[PROVEEDOR],PROVEEDORES[[#This Row],[PROVEEDOR]],PROVEEDORES[FECHA DE PAGO],"")</f>
        <v>0</v>
      </c>
      <c r="E636" s="27"/>
      <c r="F636" s="62" t="str">
        <f>+VLOOKUP(PROVEEDORES[[#This Row],[PROVEEDOR]],
                       Terceros!$A:$G,
                       6,
                       FALSE)</f>
        <v/>
      </c>
      <c r="G636" s="95">
        <v>44412</v>
      </c>
      <c r="H636" s="28" t="s">
        <v>1010</v>
      </c>
      <c r="I636" s="95">
        <v>44412</v>
      </c>
      <c r="J636" s="38" t="s">
        <v>778</v>
      </c>
      <c r="K636" s="23">
        <v>306000</v>
      </c>
      <c r="L636" s="23"/>
      <c r="M636" s="24">
        <v>0</v>
      </c>
      <c r="N636" s="25"/>
      <c r="O636" s="24">
        <v>0</v>
      </c>
      <c r="P636" s="136">
        <f>+IF(PROVEEDORES[[#This Row],[SUBTOTAL]]&lt;PROVEEDORES[[#This Row],[base retencion]],0,PROVEEDORES[[#This Row],[retención aplicada]])</f>
        <v>0</v>
      </c>
      <c r="Q636" s="24">
        <f>+PROVEEDORES[[#This Row],[Rete Fuente %]]*PROVEEDORES[[#This Row],[SUBTOTAL]]</f>
        <v>0</v>
      </c>
      <c r="R636" s="23">
        <v>306000</v>
      </c>
      <c r="S63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6" s="99">
        <f ca="1">IF(PROVEEDORES[[#This Row],[FECHA DE PAGO]]=0,TODAY()-PROVEEDORES[[#This Row],[FECHA DE FACTURACIÓN]]-PROVEEDORES[[#This Row],[PLAZO Días]],0)</f>
        <v>0</v>
      </c>
      <c r="U636" s="149">
        <f>+VLOOKUP(PROVEEDORES[[#This Row],[PROVEEDOR]],Terceros!$A:$E,5,FALSE)</f>
        <v>0</v>
      </c>
      <c r="V636" s="150">
        <f>+YEAR(PROVEEDORES[[#This Row],[FECHA DE FACTURACIÓN]])</f>
        <v>2021</v>
      </c>
      <c r="W636" s="150">
        <f>+MATCH(PROVEEDORES[[#This Row],[año facturado]],Retenciones!$1:$1,0)</f>
        <v>4</v>
      </c>
      <c r="X636" s="151">
        <f>+VLOOKUP(PROVEEDORES[[#This Row],[ID RETENCION]],Retenciones!$A$1:$O$24,PROVEEDORES[[#This Row],[indicador de columna]],FALSE)</f>
        <v>0</v>
      </c>
      <c r="Y636" s="152">
        <f>+VLOOKUP(PROVEEDORES[[#This Row],[ID RETENCION]],Retenciones!$A$1:$O$24,2,FALSE)</f>
        <v>0</v>
      </c>
      <c r="Z636" s="26"/>
      <c r="AA636" s="26"/>
      <c r="AB636" s="26"/>
      <c r="AC636" s="26"/>
      <c r="AD636" s="26"/>
      <c r="AE636" s="26"/>
    </row>
    <row r="637" spans="1:31" ht="21.95" customHeight="1" x14ac:dyDescent="0.25">
      <c r="A637" s="97" t="str">
        <f>+IF(PROVEEDORES[[#This Row],[FECHA DE PAGO]]=PROVEEDORES[[#This Row],[FECHA DE FACTURACIÓN]],"DE CONTADO","CRÉDITO")</f>
        <v>CRÉDITO</v>
      </c>
      <c r="B637" s="41" t="str">
        <f>+IF((PROVEEDORES[[#This Row],[FECHA DE PAGO]]-PROVEEDORES[[#This Row],[FECHA DE FACTURACIÓN]])&gt;PROVEEDORES[[#This Row],[PLAZO Días]],"PAGO VENCIDO")</f>
        <v>PAGO VENCIDO</v>
      </c>
      <c r="C637" s="22">
        <f>+VLOOKUP(PROVEEDORES[[#This Row],[PROVEEDOR]],TERCEROS_INFO[#All],2,FALSE)</f>
        <v>30</v>
      </c>
      <c r="D637" s="27">
        <f>+SUMIFS(PROVEEDORES[Total],PROVEEDORES[PROVEEDOR],PROVEEDORES[[#This Row],[PROVEEDOR]],PROVEEDORES[FECHA DE PAGO],"")</f>
        <v>3844432.4999000002</v>
      </c>
      <c r="E637" s="27"/>
      <c r="F637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637" s="95">
        <v>44452</v>
      </c>
      <c r="H637" s="28" t="s">
        <v>18</v>
      </c>
      <c r="I637" s="95">
        <v>44412</v>
      </c>
      <c r="J637" s="38">
        <v>1041347</v>
      </c>
      <c r="K637" s="23">
        <v>1530000</v>
      </c>
      <c r="L637" s="23"/>
      <c r="M637" s="24">
        <v>290700</v>
      </c>
      <c r="N637" s="25"/>
      <c r="O637" s="24">
        <v>0</v>
      </c>
      <c r="P637" s="136">
        <f>+IF(PROVEEDORES[[#This Row],[SUBTOTAL]]&lt;PROVEEDORES[[#This Row],[base retencion]],0,PROVEEDORES[[#This Row],[retención aplicada]])</f>
        <v>2.5000000000000001E-2</v>
      </c>
      <c r="Q637" s="24">
        <f>+PROVEEDORES[[#This Row],[Rete Fuente %]]*PROVEEDORES[[#This Row],[SUBTOTAL]]</f>
        <v>38250</v>
      </c>
      <c r="R637" s="23">
        <v>1782450</v>
      </c>
      <c r="S63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7" s="99">
        <f ca="1">IF(PROVEEDORES[[#This Row],[FECHA DE PAGO]]=0,TODAY()-PROVEEDORES[[#This Row],[FECHA DE FACTURACIÓN]]-PROVEEDORES[[#This Row],[PLAZO Días]],0)</f>
        <v>0</v>
      </c>
      <c r="U637" s="149" t="str">
        <f>+VLOOKUP(PROVEEDORES[[#This Row],[PROVEEDOR]],Terceros!$A:$E,5,FALSE)</f>
        <v>2,5% con base</v>
      </c>
      <c r="V637" s="150">
        <f>+YEAR(PROVEEDORES[[#This Row],[FECHA DE FACTURACIÓN]])</f>
        <v>2021</v>
      </c>
      <c r="W637" s="150">
        <f>+MATCH(PROVEEDORES[[#This Row],[año facturado]],Retenciones!$1:$1,0)</f>
        <v>4</v>
      </c>
      <c r="X637" s="151">
        <f>+VLOOKUP(PROVEEDORES[[#This Row],[ID RETENCION]],Retenciones!$A$1:$O$24,PROVEEDORES[[#This Row],[indicador de columna]],FALSE)</f>
        <v>980000</v>
      </c>
      <c r="Y637" s="152">
        <f>+VLOOKUP(PROVEEDORES[[#This Row],[ID RETENCION]],Retenciones!$A$1:$O$24,2,FALSE)</f>
        <v>2.5000000000000001E-2</v>
      </c>
      <c r="Z637" s="26"/>
      <c r="AA637" s="26"/>
      <c r="AB637" s="26"/>
      <c r="AC637" s="26"/>
      <c r="AD637" s="26"/>
      <c r="AE637" s="26"/>
    </row>
    <row r="638" spans="1:31" ht="21.95" customHeight="1" x14ac:dyDescent="0.25">
      <c r="A638" s="97" t="str">
        <f>+IF(PROVEEDORES[[#This Row],[FECHA DE PAGO]]=PROVEEDORES[[#This Row],[FECHA DE FACTURACIÓN]],"DE CONTADO","CRÉDITO")</f>
        <v>CRÉDITO</v>
      </c>
      <c r="B638" s="41" t="str">
        <f>+IF((PROVEEDORES[[#This Row],[FECHA DE PAGO]]-PROVEEDORES[[#This Row],[FECHA DE FACTURACIÓN]])&gt;PROVEEDORES[[#This Row],[PLAZO Días]],"PAGO VENCIDO")</f>
        <v>PAGO VENCIDO</v>
      </c>
      <c r="C638" s="22">
        <f>+VLOOKUP(PROVEEDORES[[#This Row],[PROVEEDOR]],TERCEROS_INFO[#All],2,FALSE)</f>
        <v>30</v>
      </c>
      <c r="D638" s="27">
        <f>+SUMIFS(PROVEEDORES[Total],PROVEEDORES[PROVEEDOR],PROVEEDORES[[#This Row],[PROVEEDOR]],PROVEEDORES[FECHA DE PAGO],"")</f>
        <v>479654.98979999998</v>
      </c>
      <c r="E638" s="27"/>
      <c r="F638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638" s="95">
        <v>44452</v>
      </c>
      <c r="H638" s="28" t="s">
        <v>1139</v>
      </c>
      <c r="I638" s="95">
        <v>44412</v>
      </c>
      <c r="J638" s="38">
        <v>1525</v>
      </c>
      <c r="K638" s="23">
        <v>1556722.69</v>
      </c>
      <c r="L638" s="23"/>
      <c r="M638" s="24">
        <v>295777.31109999999</v>
      </c>
      <c r="N638" s="25"/>
      <c r="O638" s="24">
        <v>0</v>
      </c>
      <c r="P638" s="136">
        <f>+IF(PROVEEDORES[[#This Row],[SUBTOTAL]]&lt;PROVEEDORES[[#This Row],[base retencion]],0,PROVEEDORES[[#This Row],[retención aplicada]])</f>
        <v>2.5000000000000001E-2</v>
      </c>
      <c r="Q638" s="24">
        <f>+PROVEEDORES[[#This Row],[Rete Fuente %]]*PROVEEDORES[[#This Row],[SUBTOTAL]]</f>
        <v>38918.06725</v>
      </c>
      <c r="R638" s="23">
        <v>1813581.9338499999</v>
      </c>
      <c r="S63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8" s="99">
        <f ca="1">IF(PROVEEDORES[[#This Row],[FECHA DE PAGO]]=0,TODAY()-PROVEEDORES[[#This Row],[FECHA DE FACTURACIÓN]]-PROVEEDORES[[#This Row],[PLAZO Días]],0)</f>
        <v>0</v>
      </c>
      <c r="U638" s="149" t="str">
        <f>+VLOOKUP(PROVEEDORES[[#This Row],[PROVEEDOR]],Terceros!$A:$E,5,FALSE)</f>
        <v>2,5% con base</v>
      </c>
      <c r="V638" s="150">
        <f>+YEAR(PROVEEDORES[[#This Row],[FECHA DE FACTURACIÓN]])</f>
        <v>2021</v>
      </c>
      <c r="W638" s="150">
        <f>+MATCH(PROVEEDORES[[#This Row],[año facturado]],Retenciones!$1:$1,0)</f>
        <v>4</v>
      </c>
      <c r="X638" s="151">
        <f>+VLOOKUP(PROVEEDORES[[#This Row],[ID RETENCION]],Retenciones!$A$1:$O$24,PROVEEDORES[[#This Row],[indicador de columna]],FALSE)</f>
        <v>980000</v>
      </c>
      <c r="Y638" s="152">
        <f>+VLOOKUP(PROVEEDORES[[#This Row],[ID RETENCION]],Retenciones!$A$1:$O$24,2,FALSE)</f>
        <v>2.5000000000000001E-2</v>
      </c>
      <c r="Z638" s="26"/>
      <c r="AA638" s="26"/>
      <c r="AB638" s="26"/>
      <c r="AC638" s="26"/>
      <c r="AD638" s="26"/>
      <c r="AE638" s="26"/>
    </row>
    <row r="639" spans="1:31" ht="21.95" customHeight="1" x14ac:dyDescent="0.25">
      <c r="A639" s="97" t="str">
        <f>+IF(PROVEEDORES[[#This Row],[FECHA DE PAGO]]=PROVEEDORES[[#This Row],[FECHA DE FACTURACIÓN]],"DE CONTADO","CRÉDITO")</f>
        <v>CRÉDITO</v>
      </c>
      <c r="B639" s="41" t="str">
        <f>+IF((PROVEEDORES[[#This Row],[FECHA DE PAGO]]-PROVEEDORES[[#This Row],[FECHA DE FACTURACIÓN]])&gt;PROVEEDORES[[#This Row],[PLAZO Días]],"PAGO VENCIDO")</f>
        <v>PAGO VENCIDO</v>
      </c>
      <c r="C639" s="22">
        <f>+VLOOKUP(PROVEEDORES[[#This Row],[PROVEEDOR]],TERCEROS_INFO[#All],2,FALSE)</f>
        <v>90</v>
      </c>
      <c r="D639" s="27">
        <f>+SUMIFS(PROVEEDORES[Total],PROVEEDORES[PROVEEDOR],PROVEEDORES[[#This Row],[PROVEEDOR]],PROVEEDORES[FECHA DE PAGO],"")</f>
        <v>0</v>
      </c>
      <c r="E639" s="27"/>
      <c r="F639" s="62" t="str">
        <f>+VLOOKUP(PROVEEDORES[[#This Row],[PROVEEDOR]],
                       Terceros!$A:$G,
                       6,
                       FALSE)</f>
        <v/>
      </c>
      <c r="G639" s="95">
        <v>44503</v>
      </c>
      <c r="H639" s="28" t="s">
        <v>1018</v>
      </c>
      <c r="I639" s="95">
        <v>44412</v>
      </c>
      <c r="J639" s="38" t="s">
        <v>779</v>
      </c>
      <c r="K639" s="23">
        <v>7943000</v>
      </c>
      <c r="L639" s="23"/>
      <c r="M639" s="24">
        <v>0</v>
      </c>
      <c r="N639" s="25"/>
      <c r="O639" s="24">
        <v>0</v>
      </c>
      <c r="P639" s="136">
        <f>+IF(PROVEEDORES[[#This Row],[SUBTOTAL]]&lt;PROVEEDORES[[#This Row],[base retencion]],0,PROVEEDORES[[#This Row],[retención aplicada]])</f>
        <v>0</v>
      </c>
      <c r="Q639" s="24">
        <f>+PROVEEDORES[[#This Row],[Rete Fuente %]]*PROVEEDORES[[#This Row],[SUBTOTAL]]</f>
        <v>0</v>
      </c>
      <c r="R639" s="23">
        <v>7943000</v>
      </c>
      <c r="S63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9" s="99">
        <f ca="1">IF(PROVEEDORES[[#This Row],[FECHA DE PAGO]]=0,TODAY()-PROVEEDORES[[#This Row],[FECHA DE FACTURACIÓN]]-PROVEEDORES[[#This Row],[PLAZO Días]],0)</f>
        <v>0</v>
      </c>
      <c r="U639" s="149">
        <f>+VLOOKUP(PROVEEDORES[[#This Row],[PROVEEDOR]],Terceros!$A:$E,5,FALSE)</f>
        <v>0</v>
      </c>
      <c r="V639" s="150">
        <f>+YEAR(PROVEEDORES[[#This Row],[FECHA DE FACTURACIÓN]])</f>
        <v>2021</v>
      </c>
      <c r="W639" s="150">
        <f>+MATCH(PROVEEDORES[[#This Row],[año facturado]],Retenciones!$1:$1,0)</f>
        <v>4</v>
      </c>
      <c r="X639" s="151">
        <f>+VLOOKUP(PROVEEDORES[[#This Row],[ID RETENCION]],Retenciones!$A$1:$O$24,PROVEEDORES[[#This Row],[indicador de columna]],FALSE)</f>
        <v>0</v>
      </c>
      <c r="Y639" s="152">
        <f>+VLOOKUP(PROVEEDORES[[#This Row],[ID RETENCION]],Retenciones!$A$1:$O$24,2,FALSE)</f>
        <v>0</v>
      </c>
      <c r="Z639" s="26"/>
      <c r="AA639" s="26"/>
      <c r="AB639" s="26"/>
      <c r="AC639" s="26"/>
      <c r="AD639" s="26"/>
      <c r="AE639" s="26"/>
    </row>
    <row r="640" spans="1:31" ht="21.95" customHeight="1" x14ac:dyDescent="0.25">
      <c r="A640" s="97" t="str">
        <f>+IF(PROVEEDORES[[#This Row],[FECHA DE PAGO]]=PROVEEDORES[[#This Row],[FECHA DE FACTURACIÓN]],"DE CONTADO","CRÉDITO")</f>
        <v>CRÉDITO</v>
      </c>
      <c r="B640" s="41" t="str">
        <f>+IF((PROVEEDORES[[#This Row],[FECHA DE PAGO]]-PROVEEDORES[[#This Row],[FECHA DE FACTURACIÓN]])&gt;PROVEEDORES[[#This Row],[PLAZO Días]],"PAGO VENCIDO")</f>
        <v>PAGO VENCIDO</v>
      </c>
      <c r="C640" s="22">
        <f>+VLOOKUP(PROVEEDORES[[#This Row],[PROVEEDOR]],TERCEROS_INFO[#All],2,FALSE)</f>
        <v>30</v>
      </c>
      <c r="D640" s="27">
        <f>+SUMIFS(PROVEEDORES[Total],PROVEEDORES[PROVEEDOR],PROVEEDORES[[#This Row],[PROVEEDOR]],PROVEEDORES[FECHA DE PAGO],"")</f>
        <v>3844432.4999000002</v>
      </c>
      <c r="E640" s="27"/>
      <c r="F640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640" s="95">
        <v>44452</v>
      </c>
      <c r="H640" s="28" t="s">
        <v>18</v>
      </c>
      <c r="I640" s="95">
        <v>44413</v>
      </c>
      <c r="J640" s="38">
        <v>1041395</v>
      </c>
      <c r="K640" s="23">
        <v>1837723.2</v>
      </c>
      <c r="L640" s="23"/>
      <c r="M640" s="24">
        <v>349167.408</v>
      </c>
      <c r="N640" s="25"/>
      <c r="O640" s="24">
        <v>0</v>
      </c>
      <c r="P640" s="136">
        <f>+IF(PROVEEDORES[[#This Row],[SUBTOTAL]]&lt;PROVEEDORES[[#This Row],[base retencion]],0,PROVEEDORES[[#This Row],[retención aplicada]])</f>
        <v>2.5000000000000001E-2</v>
      </c>
      <c r="Q640" s="24">
        <f>+PROVEEDORES[[#This Row],[Rete Fuente %]]*PROVEEDORES[[#This Row],[SUBTOTAL]]</f>
        <v>45943.08</v>
      </c>
      <c r="R640" s="23">
        <v>2140947.5279999999</v>
      </c>
      <c r="S64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0" s="99">
        <f ca="1">IF(PROVEEDORES[[#This Row],[FECHA DE PAGO]]=0,TODAY()-PROVEEDORES[[#This Row],[FECHA DE FACTURACIÓN]]-PROVEEDORES[[#This Row],[PLAZO Días]],0)</f>
        <v>0</v>
      </c>
      <c r="U640" s="149" t="str">
        <f>+VLOOKUP(PROVEEDORES[[#This Row],[PROVEEDOR]],Terceros!$A:$E,5,FALSE)</f>
        <v>2,5% con base</v>
      </c>
      <c r="V640" s="150">
        <f>+YEAR(PROVEEDORES[[#This Row],[FECHA DE FACTURACIÓN]])</f>
        <v>2021</v>
      </c>
      <c r="W640" s="150">
        <f>+MATCH(PROVEEDORES[[#This Row],[año facturado]],Retenciones!$1:$1,0)</f>
        <v>4</v>
      </c>
      <c r="X640" s="151">
        <f>+VLOOKUP(PROVEEDORES[[#This Row],[ID RETENCION]],Retenciones!$A$1:$O$24,PROVEEDORES[[#This Row],[indicador de columna]],FALSE)</f>
        <v>980000</v>
      </c>
      <c r="Y640" s="152">
        <f>+VLOOKUP(PROVEEDORES[[#This Row],[ID RETENCION]],Retenciones!$A$1:$O$24,2,FALSE)</f>
        <v>2.5000000000000001E-2</v>
      </c>
      <c r="Z640" s="26"/>
      <c r="AA640" s="26"/>
      <c r="AB640" s="26"/>
      <c r="AC640" s="26"/>
      <c r="AD640" s="26"/>
      <c r="AE640" s="26"/>
    </row>
    <row r="641" spans="1:31" ht="21.95" customHeight="1" x14ac:dyDescent="0.25">
      <c r="A641" s="97" t="str">
        <f>+IF(PROVEEDORES[[#This Row],[FECHA DE PAGO]]=PROVEEDORES[[#This Row],[FECHA DE FACTURACIÓN]],"DE CONTADO","CRÉDITO")</f>
        <v>DE CONTADO</v>
      </c>
      <c r="B641" s="41" t="b">
        <f>+IF((PROVEEDORES[[#This Row],[FECHA DE PAGO]]-PROVEEDORES[[#This Row],[FECHA DE FACTURACIÓN]])&gt;PROVEEDORES[[#This Row],[PLAZO Días]],"PAGO VENCIDO")</f>
        <v>0</v>
      </c>
      <c r="C641" s="22">
        <f>+VLOOKUP(PROVEEDORES[[#This Row],[PROVEEDOR]],TERCEROS_INFO[#All],2,FALSE)</f>
        <v>30</v>
      </c>
      <c r="D641" s="27">
        <f>+SUMIFS(PROVEEDORES[Total],PROVEEDORES[PROVEEDOR],PROVEEDORES[[#This Row],[PROVEEDOR]],PROVEEDORES[FECHA DE PAGO],"")</f>
        <v>0</v>
      </c>
      <c r="E641" s="27"/>
      <c r="F641" s="62" t="str">
        <f>+VLOOKUP(PROVEEDORES[[#This Row],[PROVEEDOR]],
                       Terceros!$A:$G,
                       6,
                       FALSE)</f>
        <v/>
      </c>
      <c r="G641" s="95">
        <v>44414</v>
      </c>
      <c r="H641" s="28" t="s">
        <v>1010</v>
      </c>
      <c r="I641" s="95">
        <v>44414</v>
      </c>
      <c r="J641" s="38" t="s">
        <v>781</v>
      </c>
      <c r="K641" s="23">
        <v>320000</v>
      </c>
      <c r="L641" s="23"/>
      <c r="M641" s="24">
        <v>0</v>
      </c>
      <c r="N641" s="25"/>
      <c r="O641" s="24">
        <v>0</v>
      </c>
      <c r="P641" s="136">
        <f>+IF(PROVEEDORES[[#This Row],[SUBTOTAL]]&lt;PROVEEDORES[[#This Row],[base retencion]],0,PROVEEDORES[[#This Row],[retención aplicada]])</f>
        <v>0</v>
      </c>
      <c r="Q641" s="24">
        <f>+PROVEEDORES[[#This Row],[Rete Fuente %]]*PROVEEDORES[[#This Row],[SUBTOTAL]]</f>
        <v>0</v>
      </c>
      <c r="R641" s="23">
        <v>320000</v>
      </c>
      <c r="S64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1" s="99">
        <f ca="1">IF(PROVEEDORES[[#This Row],[FECHA DE PAGO]]=0,TODAY()-PROVEEDORES[[#This Row],[FECHA DE FACTURACIÓN]]-PROVEEDORES[[#This Row],[PLAZO Días]],0)</f>
        <v>0</v>
      </c>
      <c r="U641" s="149">
        <f>+VLOOKUP(PROVEEDORES[[#This Row],[PROVEEDOR]],Terceros!$A:$E,5,FALSE)</f>
        <v>0</v>
      </c>
      <c r="V641" s="150">
        <f>+YEAR(PROVEEDORES[[#This Row],[FECHA DE FACTURACIÓN]])</f>
        <v>2021</v>
      </c>
      <c r="W641" s="150">
        <f>+MATCH(PROVEEDORES[[#This Row],[año facturado]],Retenciones!$1:$1,0)</f>
        <v>4</v>
      </c>
      <c r="X641" s="151">
        <f>+VLOOKUP(PROVEEDORES[[#This Row],[ID RETENCION]],Retenciones!$A$1:$O$24,PROVEEDORES[[#This Row],[indicador de columna]],FALSE)</f>
        <v>0</v>
      </c>
      <c r="Y641" s="152">
        <f>+VLOOKUP(PROVEEDORES[[#This Row],[ID RETENCION]],Retenciones!$A$1:$O$24,2,FALSE)</f>
        <v>0</v>
      </c>
      <c r="Z641" s="26"/>
      <c r="AA641" s="26"/>
      <c r="AB641" s="26"/>
      <c r="AC641" s="26"/>
      <c r="AD641" s="26"/>
      <c r="AE641" s="26"/>
    </row>
    <row r="642" spans="1:31" ht="21.95" customHeight="1" x14ac:dyDescent="0.25">
      <c r="A642" s="97" t="str">
        <f>+IF(PROVEEDORES[[#This Row],[FECHA DE PAGO]]=PROVEEDORES[[#This Row],[FECHA DE FACTURACIÓN]],"DE CONTADO","CRÉDITO")</f>
        <v>CRÉDITO</v>
      </c>
      <c r="B642" s="41" t="str">
        <f>+IF((PROVEEDORES[[#This Row],[FECHA DE PAGO]]-PROVEEDORES[[#This Row],[FECHA DE FACTURACIÓN]])&gt;PROVEEDORES[[#This Row],[PLAZO Días]],"PAGO VENCIDO")</f>
        <v>PAGO VENCIDO</v>
      </c>
      <c r="C642" s="22">
        <f>+VLOOKUP(PROVEEDORES[[#This Row],[PROVEEDOR]],TERCEROS_INFO[#All],2,FALSE)</f>
        <v>90</v>
      </c>
      <c r="D642" s="27">
        <f>+SUMIFS(PROVEEDORES[Total],PROVEEDORES[PROVEEDOR],PROVEEDORES[[#This Row],[PROVEEDOR]],PROVEEDORES[FECHA DE PAGO],"")</f>
        <v>28052953.019999996</v>
      </c>
      <c r="E642" s="27"/>
      <c r="F642" s="62" t="str">
        <f>+VLOOKUP(PROVEEDORES[[#This Row],[PROVEEDOR]],
                       Terceros!$A:$G,
                       6,
                       FALSE)</f>
        <v>criszapata1234@gmail.com;girlesa.ruiz@servipilas.com;joriescobar64@gmail.com</v>
      </c>
      <c r="G642" s="95">
        <v>44558</v>
      </c>
      <c r="H642" s="28" t="s">
        <v>78</v>
      </c>
      <c r="I642" s="95">
        <v>44414</v>
      </c>
      <c r="J642" s="38" t="s">
        <v>459</v>
      </c>
      <c r="K642" s="23">
        <v>927733</v>
      </c>
      <c r="L642" s="23"/>
      <c r="M642" s="24">
        <v>176269.27</v>
      </c>
      <c r="N642" s="25"/>
      <c r="O642" s="24">
        <v>0</v>
      </c>
      <c r="P642" s="136">
        <f>+IF(PROVEEDORES[[#This Row],[SUBTOTAL]]&lt;PROVEEDORES[[#This Row],[base retencion]],0,PROVEEDORES[[#This Row],[retención aplicada]])</f>
        <v>0</v>
      </c>
      <c r="Q642" s="24">
        <f>+PROVEEDORES[[#This Row],[Rete Fuente %]]*PROVEEDORES[[#This Row],[SUBTOTAL]]</f>
        <v>0</v>
      </c>
      <c r="R642" s="23">
        <v>1104002.27</v>
      </c>
      <c r="S64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2" s="99">
        <f ca="1">IF(PROVEEDORES[[#This Row],[FECHA DE PAGO]]=0,TODAY()-PROVEEDORES[[#This Row],[FECHA DE FACTURACIÓN]]-PROVEEDORES[[#This Row],[PLAZO Días]],0)</f>
        <v>0</v>
      </c>
      <c r="U642" s="149" t="str">
        <f>+VLOOKUP(PROVEEDORES[[#This Row],[PROVEEDOR]],Terceros!$A:$E,5,FALSE)</f>
        <v>2,5% con base</v>
      </c>
      <c r="V642" s="150">
        <f>+YEAR(PROVEEDORES[[#This Row],[FECHA DE FACTURACIÓN]])</f>
        <v>2021</v>
      </c>
      <c r="W642" s="150">
        <f>+MATCH(PROVEEDORES[[#This Row],[año facturado]],Retenciones!$1:$1,0)</f>
        <v>4</v>
      </c>
      <c r="X642" s="151">
        <f>+VLOOKUP(PROVEEDORES[[#This Row],[ID RETENCION]],Retenciones!$A$1:$O$24,PROVEEDORES[[#This Row],[indicador de columna]],FALSE)</f>
        <v>980000</v>
      </c>
      <c r="Y642" s="152">
        <f>+VLOOKUP(PROVEEDORES[[#This Row],[ID RETENCION]],Retenciones!$A$1:$O$24,2,FALSE)</f>
        <v>2.5000000000000001E-2</v>
      </c>
      <c r="Z642" s="26"/>
      <c r="AA642" s="26"/>
      <c r="AB642" s="26"/>
      <c r="AC642" s="26"/>
      <c r="AD642" s="26"/>
      <c r="AE642" s="26"/>
    </row>
    <row r="643" spans="1:31" ht="21.95" customHeight="1" x14ac:dyDescent="0.25">
      <c r="A643" s="97" t="str">
        <f>+IF(PROVEEDORES[[#This Row],[FECHA DE PAGO]]=PROVEEDORES[[#This Row],[FECHA DE FACTURACIÓN]],"DE CONTADO","CRÉDITO")</f>
        <v>DE CONTADO</v>
      </c>
      <c r="B643" s="41" t="b">
        <f>+IF((PROVEEDORES[[#This Row],[FECHA DE PAGO]]-PROVEEDORES[[#This Row],[FECHA DE FACTURACIÓN]])&gt;PROVEEDORES[[#This Row],[PLAZO Días]],"PAGO VENCIDO")</f>
        <v>0</v>
      </c>
      <c r="C643" s="22">
        <f>+VLOOKUP(PROVEEDORES[[#This Row],[PROVEEDOR]],TERCEROS_INFO[#All],2,FALSE)</f>
        <v>30</v>
      </c>
      <c r="D643" s="27">
        <f>+SUMIFS(PROVEEDORES[Total],PROVEEDORES[PROVEEDOR],PROVEEDORES[[#This Row],[PROVEEDOR]],PROVEEDORES[FECHA DE PAGO],"")</f>
        <v>0</v>
      </c>
      <c r="E643" s="27"/>
      <c r="F643" s="62" t="str">
        <f>+VLOOKUP(PROVEEDORES[[#This Row],[PROVEEDOR]],
                       Terceros!$A:$G,
                       6,
                       FALSE)</f>
        <v/>
      </c>
      <c r="G643" s="95">
        <v>44414</v>
      </c>
      <c r="H643" s="28" t="s">
        <v>1046</v>
      </c>
      <c r="I643" s="95">
        <v>44414</v>
      </c>
      <c r="J643" s="38"/>
      <c r="K643" s="23">
        <v>1000000</v>
      </c>
      <c r="L643" s="23"/>
      <c r="M643" s="24">
        <v>0</v>
      </c>
      <c r="N643" s="25"/>
      <c r="O643" s="24">
        <v>0</v>
      </c>
      <c r="P643" s="136">
        <f>+IF(PROVEEDORES[[#This Row],[SUBTOTAL]]&lt;PROVEEDORES[[#This Row],[base retencion]],0,PROVEEDORES[[#This Row],[retención aplicada]])</f>
        <v>0</v>
      </c>
      <c r="Q643" s="24">
        <f>+PROVEEDORES[[#This Row],[Rete Fuente %]]*PROVEEDORES[[#This Row],[SUBTOTAL]]</f>
        <v>0</v>
      </c>
      <c r="R643" s="23">
        <v>1000000</v>
      </c>
      <c r="S64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3" s="99">
        <f ca="1">IF(PROVEEDORES[[#This Row],[FECHA DE PAGO]]=0,TODAY()-PROVEEDORES[[#This Row],[FECHA DE FACTURACIÓN]]-PROVEEDORES[[#This Row],[PLAZO Días]],0)</f>
        <v>0</v>
      </c>
      <c r="U643" s="149">
        <f>+VLOOKUP(PROVEEDORES[[#This Row],[PROVEEDOR]],Terceros!$A:$E,5,FALSE)</f>
        <v>0</v>
      </c>
      <c r="V643" s="150">
        <f>+YEAR(PROVEEDORES[[#This Row],[FECHA DE FACTURACIÓN]])</f>
        <v>2021</v>
      </c>
      <c r="W643" s="150">
        <f>+MATCH(PROVEEDORES[[#This Row],[año facturado]],Retenciones!$1:$1,0)</f>
        <v>4</v>
      </c>
      <c r="X643" s="151">
        <f>+VLOOKUP(PROVEEDORES[[#This Row],[ID RETENCION]],Retenciones!$A$1:$O$24,PROVEEDORES[[#This Row],[indicador de columna]],FALSE)</f>
        <v>0</v>
      </c>
      <c r="Y643" s="152">
        <f>+VLOOKUP(PROVEEDORES[[#This Row],[ID RETENCION]],Retenciones!$A$1:$O$24,2,FALSE)</f>
        <v>0</v>
      </c>
      <c r="Z643" s="26"/>
      <c r="AA643" s="26"/>
      <c r="AB643" s="26"/>
      <c r="AC643" s="26"/>
      <c r="AD643" s="26"/>
      <c r="AE643" s="26"/>
    </row>
    <row r="644" spans="1:31" ht="21.95" customHeight="1" x14ac:dyDescent="0.25">
      <c r="A644" s="97" t="str">
        <f>+IF(PROVEEDORES[[#This Row],[FECHA DE PAGO]]=PROVEEDORES[[#This Row],[FECHA DE FACTURACIÓN]],"DE CONTADO","CRÉDITO")</f>
        <v>CRÉDITO</v>
      </c>
      <c r="B644" s="41" t="b">
        <f>+IF((PROVEEDORES[[#This Row],[FECHA DE PAGO]]-PROVEEDORES[[#This Row],[FECHA DE FACTURACIÓN]])&gt;PROVEEDORES[[#This Row],[PLAZO Días]],"PAGO VENCIDO")</f>
        <v>0</v>
      </c>
      <c r="C644" s="22">
        <f>+VLOOKUP(PROVEEDORES[[#This Row],[PROVEEDOR]],TERCEROS_INFO[#All],2,FALSE)</f>
        <v>30</v>
      </c>
      <c r="D644" s="27">
        <f>+SUMIFS(PROVEEDORES[Total],PROVEEDORES[PROVEEDOR],PROVEEDORES[[#This Row],[PROVEEDOR]],PROVEEDORES[FECHA DE PAGO],"")</f>
        <v>0</v>
      </c>
      <c r="E644" s="27"/>
      <c r="F644" s="62" t="str">
        <f>+VLOOKUP(PROVEEDORES[[#This Row],[PROVEEDOR]],
                       Terceros!$A:$G,
                       6,
                       FALSE)</f>
        <v/>
      </c>
      <c r="G644" s="95">
        <v>44417</v>
      </c>
      <c r="H644" s="28" t="s">
        <v>1069</v>
      </c>
      <c r="I644" s="95">
        <v>44414</v>
      </c>
      <c r="J644" s="38">
        <v>309339</v>
      </c>
      <c r="K644" s="23">
        <v>1250840</v>
      </c>
      <c r="L644" s="23"/>
      <c r="M644" s="24">
        <v>0</v>
      </c>
      <c r="N644" s="25"/>
      <c r="O644" s="24">
        <v>0</v>
      </c>
      <c r="P644" s="136">
        <f>+IF(PROVEEDORES[[#This Row],[SUBTOTAL]]&lt;PROVEEDORES[[#This Row],[base retencion]],0,PROVEEDORES[[#This Row],[retención aplicada]])</f>
        <v>0</v>
      </c>
      <c r="Q644" s="24">
        <f>+PROVEEDORES[[#This Row],[Rete Fuente %]]*PROVEEDORES[[#This Row],[SUBTOTAL]]</f>
        <v>0</v>
      </c>
      <c r="R644" s="23">
        <v>1250840</v>
      </c>
      <c r="S64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4" s="99">
        <f ca="1">IF(PROVEEDORES[[#This Row],[FECHA DE PAGO]]=0,TODAY()-PROVEEDORES[[#This Row],[FECHA DE FACTURACIÓN]]-PROVEEDORES[[#This Row],[PLAZO Días]],0)</f>
        <v>0</v>
      </c>
      <c r="U644" s="149">
        <f>+VLOOKUP(PROVEEDORES[[#This Row],[PROVEEDOR]],Terceros!$A:$E,5,FALSE)</f>
        <v>0</v>
      </c>
      <c r="V644" s="150">
        <f>+YEAR(PROVEEDORES[[#This Row],[FECHA DE FACTURACIÓN]])</f>
        <v>2021</v>
      </c>
      <c r="W644" s="150">
        <f>+MATCH(PROVEEDORES[[#This Row],[año facturado]],Retenciones!$1:$1,0)</f>
        <v>4</v>
      </c>
      <c r="X644" s="151">
        <f>+VLOOKUP(PROVEEDORES[[#This Row],[ID RETENCION]],Retenciones!$A$1:$O$24,PROVEEDORES[[#This Row],[indicador de columna]],FALSE)</f>
        <v>0</v>
      </c>
      <c r="Y644" s="152">
        <f>+VLOOKUP(PROVEEDORES[[#This Row],[ID RETENCION]],Retenciones!$A$1:$O$24,2,FALSE)</f>
        <v>0</v>
      </c>
      <c r="Z644" s="26"/>
      <c r="AA644" s="26"/>
      <c r="AB644" s="26"/>
      <c r="AC644" s="26"/>
      <c r="AD644" s="26"/>
      <c r="AE644" s="26"/>
    </row>
    <row r="645" spans="1:31" ht="21.95" customHeight="1" x14ac:dyDescent="0.25">
      <c r="A645" s="97" t="str">
        <f>+IF(PROVEEDORES[[#This Row],[FECHA DE PAGO]]=PROVEEDORES[[#This Row],[FECHA DE FACTURACIÓN]],"DE CONTADO","CRÉDITO")</f>
        <v>CRÉDITO</v>
      </c>
      <c r="B645" s="41" t="str">
        <f>+IF((PROVEEDORES[[#This Row],[FECHA DE PAGO]]-PROVEEDORES[[#This Row],[FECHA DE FACTURACIÓN]])&gt;PROVEEDORES[[#This Row],[PLAZO Días]],"PAGO VENCIDO")</f>
        <v>PAGO VENCIDO</v>
      </c>
      <c r="C645" s="22">
        <f>+VLOOKUP(PROVEEDORES[[#This Row],[PROVEEDOR]],TERCEROS_INFO[#All],2,FALSE)</f>
        <v>30</v>
      </c>
      <c r="D645" s="27">
        <f>+SUMIFS(PROVEEDORES[Total],PROVEEDORES[PROVEEDOR],PROVEEDORES[[#This Row],[PROVEEDOR]],PROVEEDORES[FECHA DE PAGO],"")</f>
        <v>0</v>
      </c>
      <c r="E645" s="27"/>
      <c r="F645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645" s="95">
        <v>44461</v>
      </c>
      <c r="H645" s="28" t="s">
        <v>511</v>
      </c>
      <c r="I645" s="95">
        <v>44414</v>
      </c>
      <c r="J645" s="38" t="s">
        <v>462</v>
      </c>
      <c r="K645" s="23">
        <v>1545262</v>
      </c>
      <c r="L645" s="23"/>
      <c r="M645" s="24">
        <v>293599.78000000003</v>
      </c>
      <c r="N645" s="25"/>
      <c r="O645" s="24">
        <v>0</v>
      </c>
      <c r="P645" s="136">
        <f>+IF(PROVEEDORES[[#This Row],[SUBTOTAL]]&lt;PROVEEDORES[[#This Row],[base retencion]],0,PROVEEDORES[[#This Row],[retención aplicada]])</f>
        <v>0</v>
      </c>
      <c r="Q645" s="24">
        <f>+PROVEEDORES[[#This Row],[Rete Fuente %]]*PROVEEDORES[[#This Row],[SUBTOTAL]]</f>
        <v>0</v>
      </c>
      <c r="R645" s="23">
        <v>1838861.78</v>
      </c>
      <c r="S64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5" s="99">
        <f ca="1">IF(PROVEEDORES[[#This Row],[FECHA DE PAGO]]=0,TODAY()-PROVEEDORES[[#This Row],[FECHA DE FACTURACIÓN]]-PROVEEDORES[[#This Row],[PLAZO Días]],0)</f>
        <v>0</v>
      </c>
      <c r="U645" s="149">
        <f>+VLOOKUP(PROVEEDORES[[#This Row],[PROVEEDOR]],Terceros!$A:$E,5,FALSE)</f>
        <v>0</v>
      </c>
      <c r="V645" s="150">
        <f>+YEAR(PROVEEDORES[[#This Row],[FECHA DE FACTURACIÓN]])</f>
        <v>2021</v>
      </c>
      <c r="W645" s="150">
        <f>+MATCH(PROVEEDORES[[#This Row],[año facturado]],Retenciones!$1:$1,0)</f>
        <v>4</v>
      </c>
      <c r="X645" s="151">
        <f>+VLOOKUP(PROVEEDORES[[#This Row],[ID RETENCION]],Retenciones!$A$1:$O$24,PROVEEDORES[[#This Row],[indicador de columna]],FALSE)</f>
        <v>0</v>
      </c>
      <c r="Y645" s="152">
        <f>+VLOOKUP(PROVEEDORES[[#This Row],[ID RETENCION]],Retenciones!$A$1:$O$24,2,FALSE)</f>
        <v>0</v>
      </c>
      <c r="Z645" s="26"/>
      <c r="AA645" s="26"/>
      <c r="AB645" s="26"/>
      <c r="AC645" s="26"/>
      <c r="AD645" s="26"/>
      <c r="AE645" s="26"/>
    </row>
    <row r="646" spans="1:31" ht="21.95" customHeight="1" x14ac:dyDescent="0.25">
      <c r="A646" s="97" t="str">
        <f>+IF(PROVEEDORES[[#This Row],[FECHA DE PAGO]]=PROVEEDORES[[#This Row],[FECHA DE FACTURACIÓN]],"DE CONTADO","CRÉDITO")</f>
        <v>CRÉDITO</v>
      </c>
      <c r="B646" s="41" t="b">
        <f>+IF((PROVEEDORES[[#This Row],[FECHA DE PAGO]]-PROVEEDORES[[#This Row],[FECHA DE FACTURACIÓN]])&gt;PROVEEDORES[[#This Row],[PLAZO Días]],"PAGO VENCIDO")</f>
        <v>0</v>
      </c>
      <c r="C646" s="22">
        <f>+VLOOKUP(PROVEEDORES[[#This Row],[PROVEEDOR]],TERCEROS_INFO[#All],2,FALSE)</f>
        <v>30</v>
      </c>
      <c r="D646" s="27">
        <f>+SUMIFS(PROVEEDORES[Total],PROVEEDORES[PROVEEDOR],PROVEEDORES[[#This Row],[PROVEEDOR]],PROVEEDORES[FECHA DE PAGO],"")</f>
        <v>0</v>
      </c>
      <c r="E646" s="27"/>
      <c r="F646" s="62" t="str">
        <f>+VLOOKUP(PROVEEDORES[[#This Row],[PROVEEDOR]],
                       Terceros!$A:$G,
                       6,
                       FALSE)</f>
        <v/>
      </c>
      <c r="G646" s="95">
        <v>44413</v>
      </c>
      <c r="H646" s="28" t="s">
        <v>1001</v>
      </c>
      <c r="I646" s="95">
        <v>44414</v>
      </c>
      <c r="J646" s="38" t="s">
        <v>780</v>
      </c>
      <c r="K646" s="23">
        <v>1758000</v>
      </c>
      <c r="L646" s="23"/>
      <c r="M646" s="24">
        <v>0</v>
      </c>
      <c r="N646" s="25"/>
      <c r="O646" s="24">
        <v>0</v>
      </c>
      <c r="P646" s="136">
        <f>+IF(PROVEEDORES[[#This Row],[SUBTOTAL]]&lt;PROVEEDORES[[#This Row],[base retencion]],0,PROVEEDORES[[#This Row],[retención aplicada]])</f>
        <v>0</v>
      </c>
      <c r="Q646" s="24">
        <f>+PROVEEDORES[[#This Row],[Rete Fuente %]]*PROVEEDORES[[#This Row],[SUBTOTAL]]</f>
        <v>0</v>
      </c>
      <c r="R646" s="23">
        <v>1758000</v>
      </c>
      <c r="S64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6" s="99">
        <f ca="1">IF(PROVEEDORES[[#This Row],[FECHA DE PAGO]]=0,TODAY()-PROVEEDORES[[#This Row],[FECHA DE FACTURACIÓN]]-PROVEEDORES[[#This Row],[PLAZO Días]],0)</f>
        <v>0</v>
      </c>
      <c r="U646" s="149">
        <f>+VLOOKUP(PROVEEDORES[[#This Row],[PROVEEDOR]],Terceros!$A:$E,5,FALSE)</f>
        <v>0</v>
      </c>
      <c r="V646" s="150">
        <f>+YEAR(PROVEEDORES[[#This Row],[FECHA DE FACTURACIÓN]])</f>
        <v>2021</v>
      </c>
      <c r="W646" s="150">
        <f>+MATCH(PROVEEDORES[[#This Row],[año facturado]],Retenciones!$1:$1,0)</f>
        <v>4</v>
      </c>
      <c r="X646" s="151">
        <f>+VLOOKUP(PROVEEDORES[[#This Row],[ID RETENCION]],Retenciones!$A$1:$O$24,PROVEEDORES[[#This Row],[indicador de columna]],FALSE)</f>
        <v>0</v>
      </c>
      <c r="Y646" s="152">
        <f>+VLOOKUP(PROVEEDORES[[#This Row],[ID RETENCION]],Retenciones!$A$1:$O$24,2,FALSE)</f>
        <v>0</v>
      </c>
      <c r="Z646" s="26"/>
      <c r="AA646" s="26"/>
      <c r="AB646" s="26"/>
      <c r="AC646" s="26"/>
      <c r="AD646" s="26"/>
      <c r="AE646" s="26"/>
    </row>
    <row r="647" spans="1:31" ht="21.95" customHeight="1" x14ac:dyDescent="0.25">
      <c r="A647" s="97" t="str">
        <f>+IF(PROVEEDORES[[#This Row],[FECHA DE PAGO]]=PROVEEDORES[[#This Row],[FECHA DE FACTURACIÓN]],"DE CONTADO","CRÉDITO")</f>
        <v>CRÉDITO</v>
      </c>
      <c r="B647" s="41" t="str">
        <f>+IF((PROVEEDORES[[#This Row],[FECHA DE PAGO]]-PROVEEDORES[[#This Row],[FECHA DE FACTURACIÓN]])&gt;PROVEEDORES[[#This Row],[PLAZO Días]],"PAGO VENCIDO")</f>
        <v>PAGO VENCIDO</v>
      </c>
      <c r="C647" s="22">
        <f>+VLOOKUP(PROVEEDORES[[#This Row],[PROVEEDOR]],TERCEROS_INFO[#All],2,FALSE)</f>
        <v>30</v>
      </c>
      <c r="D647" s="27">
        <f>+SUMIFS(PROVEEDORES[Total],PROVEEDORES[PROVEEDOR],PROVEEDORES[[#This Row],[PROVEEDOR]],PROVEEDORES[FECHA DE PAGO],"")</f>
        <v>0</v>
      </c>
      <c r="E647" s="27"/>
      <c r="F647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647" s="95">
        <v>44473</v>
      </c>
      <c r="H647" s="28" t="s">
        <v>511</v>
      </c>
      <c r="I647" s="95">
        <v>44414</v>
      </c>
      <c r="J647" s="38" t="s">
        <v>463</v>
      </c>
      <c r="K647" s="23">
        <v>6178310</v>
      </c>
      <c r="L647" s="23"/>
      <c r="M647" s="24">
        <v>1173878.8999999999</v>
      </c>
      <c r="N647" s="25"/>
      <c r="O647" s="24">
        <v>0</v>
      </c>
      <c r="P647" s="136">
        <f>+IF(PROVEEDORES[[#This Row],[SUBTOTAL]]&lt;PROVEEDORES[[#This Row],[base retencion]],0,PROVEEDORES[[#This Row],[retención aplicada]])</f>
        <v>0</v>
      </c>
      <c r="Q647" s="24">
        <f>+PROVEEDORES[[#This Row],[Rete Fuente %]]*PROVEEDORES[[#This Row],[SUBTOTAL]]</f>
        <v>0</v>
      </c>
      <c r="R647" s="23">
        <v>7352188.9000000004</v>
      </c>
      <c r="S64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7" s="99">
        <f ca="1">IF(PROVEEDORES[[#This Row],[FECHA DE PAGO]]=0,TODAY()-PROVEEDORES[[#This Row],[FECHA DE FACTURACIÓN]]-PROVEEDORES[[#This Row],[PLAZO Días]],0)</f>
        <v>0</v>
      </c>
      <c r="U647" s="149">
        <f>+VLOOKUP(PROVEEDORES[[#This Row],[PROVEEDOR]],Terceros!$A:$E,5,FALSE)</f>
        <v>0</v>
      </c>
      <c r="V647" s="150">
        <f>+YEAR(PROVEEDORES[[#This Row],[FECHA DE FACTURACIÓN]])</f>
        <v>2021</v>
      </c>
      <c r="W647" s="150">
        <f>+MATCH(PROVEEDORES[[#This Row],[año facturado]],Retenciones!$1:$1,0)</f>
        <v>4</v>
      </c>
      <c r="X647" s="151">
        <f>+VLOOKUP(PROVEEDORES[[#This Row],[ID RETENCION]],Retenciones!$A$1:$O$24,PROVEEDORES[[#This Row],[indicador de columna]],FALSE)</f>
        <v>0</v>
      </c>
      <c r="Y647" s="152">
        <f>+VLOOKUP(PROVEEDORES[[#This Row],[ID RETENCION]],Retenciones!$A$1:$O$24,2,FALSE)</f>
        <v>0</v>
      </c>
      <c r="Z647" s="26"/>
      <c r="AA647" s="26"/>
      <c r="AB647" s="26"/>
      <c r="AC647" s="26"/>
      <c r="AD647" s="26"/>
      <c r="AE647" s="26"/>
    </row>
    <row r="648" spans="1:31" ht="21.95" customHeight="1" x14ac:dyDescent="0.25">
      <c r="A648" s="97" t="str">
        <f>+IF(PROVEEDORES[[#This Row],[FECHA DE PAGO]]=PROVEEDORES[[#This Row],[FECHA DE FACTURACIÓN]],"DE CONTADO","CRÉDITO")</f>
        <v>CRÉDITO</v>
      </c>
      <c r="B648" s="41" t="str">
        <f>+IF((PROVEEDORES[[#This Row],[FECHA DE PAGO]]-PROVEEDORES[[#This Row],[FECHA DE FACTURACIÓN]])&gt;PROVEEDORES[[#This Row],[PLAZO Días]],"PAGO VENCIDO")</f>
        <v>PAGO VENCIDO</v>
      </c>
      <c r="C648" s="22">
        <f>+VLOOKUP(PROVEEDORES[[#This Row],[PROVEEDOR]],TERCEROS_INFO[#All],2,FALSE)</f>
        <v>90</v>
      </c>
      <c r="D648" s="27">
        <f>+SUMIFS(PROVEEDORES[Total],PROVEEDORES[PROVEEDOR],PROVEEDORES[[#This Row],[PROVEEDOR]],PROVEEDORES[FECHA DE PAGO],"")</f>
        <v>28052953.019999996</v>
      </c>
      <c r="E648" s="27"/>
      <c r="F648" s="62" t="str">
        <f>+VLOOKUP(PROVEEDORES[[#This Row],[PROVEEDOR]],
                       Terceros!$A:$G,
                       6,
                       FALSE)</f>
        <v>criszapata1234@gmail.com;girlesa.ruiz@servipilas.com;joriescobar64@gmail.com</v>
      </c>
      <c r="G648" s="95">
        <v>44533</v>
      </c>
      <c r="H648" s="28" t="s">
        <v>78</v>
      </c>
      <c r="I648" s="95">
        <v>44414</v>
      </c>
      <c r="J648" s="38" t="s">
        <v>458</v>
      </c>
      <c r="K648" s="23">
        <v>16113446</v>
      </c>
      <c r="L648" s="23"/>
      <c r="M648" s="24">
        <v>3061554.74</v>
      </c>
      <c r="N648" s="25"/>
      <c r="O648" s="24">
        <v>0</v>
      </c>
      <c r="P648" s="136">
        <f>+IF(PROVEEDORES[[#This Row],[SUBTOTAL]]&lt;PROVEEDORES[[#This Row],[base retencion]],0,PROVEEDORES[[#This Row],[retención aplicada]])</f>
        <v>2.5000000000000001E-2</v>
      </c>
      <c r="Q648" s="24">
        <f>+PROVEEDORES[[#This Row],[Rete Fuente %]]*PROVEEDORES[[#This Row],[SUBTOTAL]]</f>
        <v>402836.15</v>
      </c>
      <c r="R648" s="23">
        <v>18772164.590000004</v>
      </c>
      <c r="S64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8" s="99">
        <f ca="1">IF(PROVEEDORES[[#This Row],[FECHA DE PAGO]]=0,TODAY()-PROVEEDORES[[#This Row],[FECHA DE FACTURACIÓN]]-PROVEEDORES[[#This Row],[PLAZO Días]],0)</f>
        <v>0</v>
      </c>
      <c r="U648" s="149" t="str">
        <f>+VLOOKUP(PROVEEDORES[[#This Row],[PROVEEDOR]],Terceros!$A:$E,5,FALSE)</f>
        <v>2,5% con base</v>
      </c>
      <c r="V648" s="150">
        <f>+YEAR(PROVEEDORES[[#This Row],[FECHA DE FACTURACIÓN]])</f>
        <v>2021</v>
      </c>
      <c r="W648" s="150">
        <f>+MATCH(PROVEEDORES[[#This Row],[año facturado]],Retenciones!$1:$1,0)</f>
        <v>4</v>
      </c>
      <c r="X648" s="151">
        <f>+VLOOKUP(PROVEEDORES[[#This Row],[ID RETENCION]],Retenciones!$A$1:$O$24,PROVEEDORES[[#This Row],[indicador de columna]],FALSE)</f>
        <v>980000</v>
      </c>
      <c r="Y648" s="152">
        <f>+VLOOKUP(PROVEEDORES[[#This Row],[ID RETENCION]],Retenciones!$A$1:$O$24,2,FALSE)</f>
        <v>2.5000000000000001E-2</v>
      </c>
      <c r="Z648" s="26"/>
      <c r="AA648" s="26"/>
      <c r="AB648" s="26"/>
      <c r="AC648" s="26"/>
      <c r="AD648" s="26"/>
      <c r="AE648" s="26"/>
    </row>
    <row r="649" spans="1:31" ht="21.95" customHeight="1" x14ac:dyDescent="0.25">
      <c r="A649" s="97" t="str">
        <f>+IF(PROVEEDORES[[#This Row],[FECHA DE PAGO]]=PROVEEDORES[[#This Row],[FECHA DE FACTURACIÓN]],"DE CONTADO","CRÉDITO")</f>
        <v>CRÉDITO</v>
      </c>
      <c r="B649" s="41" t="str">
        <f>+IF((PROVEEDORES[[#This Row],[FECHA DE PAGO]]-PROVEEDORES[[#This Row],[FECHA DE FACTURACIÓN]])&gt;PROVEEDORES[[#This Row],[PLAZO Días]],"PAGO VENCIDO")</f>
        <v>PAGO VENCIDO</v>
      </c>
      <c r="C649" s="22">
        <f>+VLOOKUP(PROVEEDORES[[#This Row],[PROVEEDOR]],TERCEROS_INFO[#All],2,FALSE)</f>
        <v>30</v>
      </c>
      <c r="D649" s="27">
        <f>+SUMIFS(PROVEEDORES[Total],PROVEEDORES[PROVEEDOR],PROVEEDORES[[#This Row],[PROVEEDOR]],PROVEEDORES[FECHA DE PAGO],"")</f>
        <v>0</v>
      </c>
      <c r="E649" s="27"/>
      <c r="F649" s="62" t="str">
        <f>+VLOOKUP(PROVEEDORES[[#This Row],[PROVEEDOR]],
                       Terceros!$A:$G,
                       6,
                       FALSE)</f>
        <v>??;girlesa.ruiz@servipilas.com;joriescobar64@gmail.com</v>
      </c>
      <c r="G649" s="95">
        <v>44484</v>
      </c>
      <c r="H649" s="28" t="s">
        <v>1078</v>
      </c>
      <c r="I649" s="95">
        <v>44416</v>
      </c>
      <c r="J649" s="38" t="s">
        <v>782</v>
      </c>
      <c r="K649" s="23">
        <v>420000</v>
      </c>
      <c r="L649" s="23"/>
      <c r="M649" s="24">
        <v>0</v>
      </c>
      <c r="N649" s="25"/>
      <c r="O649" s="24">
        <v>0</v>
      </c>
      <c r="P649" s="136">
        <f>+IF(PROVEEDORES[[#This Row],[SUBTOTAL]]&lt;PROVEEDORES[[#This Row],[base retencion]],0,PROVEEDORES[[#This Row],[retención aplicada]])</f>
        <v>0</v>
      </c>
      <c r="Q649" s="24">
        <f>+PROVEEDORES[[#This Row],[Rete Fuente %]]*PROVEEDORES[[#This Row],[SUBTOTAL]]</f>
        <v>0</v>
      </c>
      <c r="R649" s="23">
        <v>-144891</v>
      </c>
      <c r="S64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9" s="99">
        <f ca="1">IF(PROVEEDORES[[#This Row],[FECHA DE PAGO]]=0,TODAY()-PROVEEDORES[[#This Row],[FECHA DE FACTURACIÓN]]-PROVEEDORES[[#This Row],[PLAZO Días]],0)</f>
        <v>0</v>
      </c>
      <c r="U649" s="149">
        <f>+VLOOKUP(PROVEEDORES[[#This Row],[PROVEEDOR]],Terceros!$A:$E,5,FALSE)</f>
        <v>0</v>
      </c>
      <c r="V649" s="150">
        <f>+YEAR(PROVEEDORES[[#This Row],[FECHA DE FACTURACIÓN]])</f>
        <v>2021</v>
      </c>
      <c r="W649" s="150">
        <f>+MATCH(PROVEEDORES[[#This Row],[año facturado]],Retenciones!$1:$1,0)</f>
        <v>4</v>
      </c>
      <c r="X649" s="151">
        <f>+VLOOKUP(PROVEEDORES[[#This Row],[ID RETENCION]],Retenciones!$A$1:$O$24,PROVEEDORES[[#This Row],[indicador de columna]],FALSE)</f>
        <v>0</v>
      </c>
      <c r="Y649" s="152">
        <f>+VLOOKUP(PROVEEDORES[[#This Row],[ID RETENCION]],Retenciones!$A$1:$O$24,2,FALSE)</f>
        <v>0</v>
      </c>
      <c r="Z649" s="26"/>
      <c r="AA649" s="26"/>
      <c r="AB649" s="26"/>
      <c r="AC649" s="26"/>
      <c r="AD649" s="26"/>
      <c r="AE649" s="26"/>
    </row>
    <row r="650" spans="1:31" ht="21.95" customHeight="1" x14ac:dyDescent="0.25">
      <c r="A650" s="97" t="str">
        <f>+IF(PROVEEDORES[[#This Row],[FECHA DE PAGO]]=PROVEEDORES[[#This Row],[FECHA DE FACTURACIÓN]],"DE CONTADO","CRÉDITO")</f>
        <v>CRÉDITO</v>
      </c>
      <c r="B650" s="41" t="str">
        <f>+IF((PROVEEDORES[[#This Row],[FECHA DE PAGO]]-PROVEEDORES[[#This Row],[FECHA DE FACTURACIÓN]])&gt;PROVEEDORES[[#This Row],[PLAZO Días]],"PAGO VENCIDO")</f>
        <v>PAGO VENCIDO</v>
      </c>
      <c r="C650" s="22">
        <f>+VLOOKUP(PROVEEDORES[[#This Row],[PROVEEDOR]],TERCEROS_INFO[#All],2,FALSE)</f>
        <v>30</v>
      </c>
      <c r="D650" s="27">
        <f>+SUMIFS(PROVEEDORES[Total],PROVEEDORES[PROVEEDOR],PROVEEDORES[[#This Row],[PROVEEDOR]],PROVEEDORES[FECHA DE PAGO],"")</f>
        <v>2588352.5</v>
      </c>
      <c r="E650" s="27"/>
      <c r="F650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650" s="95">
        <v>44452</v>
      </c>
      <c r="H650" s="28" t="s">
        <v>1088</v>
      </c>
      <c r="I650" s="95">
        <v>44417</v>
      </c>
      <c r="J650" s="38">
        <v>22029</v>
      </c>
      <c r="K650" s="23">
        <v>384000</v>
      </c>
      <c r="L650" s="23"/>
      <c r="M650" s="24">
        <v>72960</v>
      </c>
      <c r="N650" s="25"/>
      <c r="O650" s="24">
        <v>0</v>
      </c>
      <c r="P650" s="136">
        <f>+IF(PROVEEDORES[[#This Row],[SUBTOTAL]]&lt;PROVEEDORES[[#This Row],[base retencion]],0,PROVEEDORES[[#This Row],[retención aplicada]])</f>
        <v>0</v>
      </c>
      <c r="Q650" s="24">
        <f>+PROVEEDORES[[#This Row],[Rete Fuente %]]*PROVEEDORES[[#This Row],[SUBTOTAL]]</f>
        <v>0</v>
      </c>
      <c r="R650" s="23">
        <v>456960</v>
      </c>
      <c r="S65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0" s="99">
        <f ca="1">IF(PROVEEDORES[[#This Row],[FECHA DE PAGO]]=0,TODAY()-PROVEEDORES[[#This Row],[FECHA DE FACTURACIÓN]]-PROVEEDORES[[#This Row],[PLAZO Días]],0)</f>
        <v>0</v>
      </c>
      <c r="U650" s="149" t="str">
        <f>+VLOOKUP(PROVEEDORES[[#This Row],[PROVEEDOR]],Terceros!$A:$E,5,FALSE)</f>
        <v>2,5% con base</v>
      </c>
      <c r="V650" s="150">
        <f>+YEAR(PROVEEDORES[[#This Row],[FECHA DE FACTURACIÓN]])</f>
        <v>2021</v>
      </c>
      <c r="W650" s="150">
        <f>+MATCH(PROVEEDORES[[#This Row],[año facturado]],Retenciones!$1:$1,0)</f>
        <v>4</v>
      </c>
      <c r="X650" s="151">
        <f>+VLOOKUP(PROVEEDORES[[#This Row],[ID RETENCION]],Retenciones!$A$1:$O$24,PROVEEDORES[[#This Row],[indicador de columna]],FALSE)</f>
        <v>980000</v>
      </c>
      <c r="Y650" s="152">
        <f>+VLOOKUP(PROVEEDORES[[#This Row],[ID RETENCION]],Retenciones!$A$1:$O$24,2,FALSE)</f>
        <v>2.5000000000000001E-2</v>
      </c>
      <c r="Z650" s="26"/>
      <c r="AA650" s="26"/>
      <c r="AB650" s="26"/>
      <c r="AC650" s="26"/>
      <c r="AD650" s="26"/>
      <c r="AE650" s="26"/>
    </row>
    <row r="651" spans="1:31" ht="21.95" customHeight="1" x14ac:dyDescent="0.25">
      <c r="A651" s="97" t="str">
        <f>+IF(PROVEEDORES[[#This Row],[FECHA DE PAGO]]=PROVEEDORES[[#This Row],[FECHA DE FACTURACIÓN]],"DE CONTADO","CRÉDITO")</f>
        <v>CRÉDITO</v>
      </c>
      <c r="B651" s="41" t="str">
        <f>+IF((PROVEEDORES[[#This Row],[FECHA DE PAGO]]-PROVEEDORES[[#This Row],[FECHA DE FACTURACIÓN]])&gt;PROVEEDORES[[#This Row],[PLAZO Días]],"PAGO VENCIDO")</f>
        <v>PAGO VENCIDO</v>
      </c>
      <c r="C651" s="22">
        <f>+VLOOKUP(PROVEEDORES[[#This Row],[PROVEEDOR]],TERCEROS_INFO[#All],2,FALSE)</f>
        <v>30</v>
      </c>
      <c r="D651" s="27">
        <f>+SUMIFS(PROVEEDORES[Total],PROVEEDORES[PROVEEDOR],PROVEEDORES[[#This Row],[PROVEEDOR]],PROVEEDORES[FECHA DE PAGO],"")</f>
        <v>1979529.3</v>
      </c>
      <c r="E651" s="27"/>
      <c r="F651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651" s="95">
        <v>44452</v>
      </c>
      <c r="H651" s="28" t="s">
        <v>17</v>
      </c>
      <c r="I651" s="95">
        <v>44417</v>
      </c>
      <c r="J651" s="38">
        <v>1797734</v>
      </c>
      <c r="K651" s="23">
        <v>630150</v>
      </c>
      <c r="L651" s="23"/>
      <c r="M651" s="24">
        <v>119728.5</v>
      </c>
      <c r="N651" s="25"/>
      <c r="O651" s="24">
        <v>0</v>
      </c>
      <c r="P651" s="136">
        <f>+IF(PROVEEDORES[[#This Row],[SUBTOTAL]]&lt;PROVEEDORES[[#This Row],[base retencion]],0,PROVEEDORES[[#This Row],[retención aplicada]])</f>
        <v>0</v>
      </c>
      <c r="Q651" s="24">
        <f>+PROVEEDORES[[#This Row],[Rete Fuente %]]*PROVEEDORES[[#This Row],[SUBTOTAL]]</f>
        <v>0</v>
      </c>
      <c r="R651" s="23">
        <v>749878.5</v>
      </c>
      <c r="S65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1" s="99">
        <f ca="1">IF(PROVEEDORES[[#This Row],[FECHA DE PAGO]]=0,TODAY()-PROVEEDORES[[#This Row],[FECHA DE FACTURACIÓN]]-PROVEEDORES[[#This Row],[PLAZO Días]],0)</f>
        <v>0</v>
      </c>
      <c r="U651" s="149">
        <f>+VLOOKUP(PROVEEDORES[[#This Row],[PROVEEDOR]],Terceros!$A:$E,5,FALSE)</f>
        <v>0</v>
      </c>
      <c r="V651" s="150">
        <f>+YEAR(PROVEEDORES[[#This Row],[FECHA DE FACTURACIÓN]])</f>
        <v>2021</v>
      </c>
      <c r="W651" s="150">
        <f>+MATCH(PROVEEDORES[[#This Row],[año facturado]],Retenciones!$1:$1,0)</f>
        <v>4</v>
      </c>
      <c r="X651" s="151">
        <f>+VLOOKUP(PROVEEDORES[[#This Row],[ID RETENCION]],Retenciones!$A$1:$O$24,PROVEEDORES[[#This Row],[indicador de columna]],FALSE)</f>
        <v>0</v>
      </c>
      <c r="Y651" s="152">
        <f>+VLOOKUP(PROVEEDORES[[#This Row],[ID RETENCION]],Retenciones!$A$1:$O$24,2,FALSE)</f>
        <v>0</v>
      </c>
      <c r="Z651" s="26"/>
      <c r="AA651" s="26"/>
      <c r="AB651" s="26"/>
      <c r="AC651" s="26"/>
      <c r="AD651" s="26"/>
      <c r="AE651" s="26"/>
    </row>
    <row r="652" spans="1:31" ht="21.95" customHeight="1" x14ac:dyDescent="0.25">
      <c r="A652" s="97" t="str">
        <f>+IF(PROVEEDORES[[#This Row],[FECHA DE PAGO]]=PROVEEDORES[[#This Row],[FECHA DE FACTURACIÓN]],"DE CONTADO","CRÉDITO")</f>
        <v>DE CONTADO</v>
      </c>
      <c r="B652" s="41" t="b">
        <f>+IF((PROVEEDORES[[#This Row],[FECHA DE PAGO]]-PROVEEDORES[[#This Row],[FECHA DE FACTURACIÓN]])&gt;PROVEEDORES[[#This Row],[PLAZO Días]],"PAGO VENCIDO")</f>
        <v>0</v>
      </c>
      <c r="C652" s="22">
        <f>+VLOOKUP(PROVEEDORES[[#This Row],[PROVEEDOR]],TERCEROS_INFO[#All],2,FALSE)</f>
        <v>30</v>
      </c>
      <c r="D652" s="27">
        <f>+SUMIFS(PROVEEDORES[Total],PROVEEDORES[PROVEEDOR],PROVEEDORES[[#This Row],[PROVEEDOR]],PROVEEDORES[FECHA DE PAGO],"")</f>
        <v>0</v>
      </c>
      <c r="E652" s="27"/>
      <c r="F652" s="62" t="str">
        <f>+VLOOKUP(PROVEEDORES[[#This Row],[PROVEEDOR]],
                       Terceros!$A:$G,
                       6,
                       FALSE)</f>
        <v/>
      </c>
      <c r="G652" s="95">
        <v>44417</v>
      </c>
      <c r="H652" s="28" t="s">
        <v>46</v>
      </c>
      <c r="I652" s="95">
        <v>44417</v>
      </c>
      <c r="J652" s="38" t="s">
        <v>455</v>
      </c>
      <c r="K652" s="23">
        <v>772893</v>
      </c>
      <c r="L652" s="23"/>
      <c r="M652" s="24">
        <v>146849.67000000001</v>
      </c>
      <c r="N652" s="25"/>
      <c r="O652" s="24">
        <v>0</v>
      </c>
      <c r="P652" s="136">
        <f>+IF(PROVEEDORES[[#This Row],[SUBTOTAL]]&lt;PROVEEDORES[[#This Row],[base retencion]],0,PROVEEDORES[[#This Row],[retención aplicada]])</f>
        <v>0</v>
      </c>
      <c r="Q652" s="24">
        <f>+PROVEEDORES[[#This Row],[Rete Fuente %]]*PROVEEDORES[[#This Row],[SUBTOTAL]]</f>
        <v>0</v>
      </c>
      <c r="R652" s="23">
        <v>919742.67</v>
      </c>
      <c r="S65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2" s="99">
        <f ca="1">IF(PROVEEDORES[[#This Row],[FECHA DE PAGO]]=0,TODAY()-PROVEEDORES[[#This Row],[FECHA DE FACTURACIÓN]]-PROVEEDORES[[#This Row],[PLAZO Días]],0)</f>
        <v>0</v>
      </c>
      <c r="U652" s="149" t="str">
        <f>+VLOOKUP(PROVEEDORES[[#This Row],[PROVEEDOR]],Terceros!$A:$E,5,FALSE)</f>
        <v>2,5% con base</v>
      </c>
      <c r="V652" s="150">
        <f>+YEAR(PROVEEDORES[[#This Row],[FECHA DE FACTURACIÓN]])</f>
        <v>2021</v>
      </c>
      <c r="W652" s="150">
        <f>+MATCH(PROVEEDORES[[#This Row],[año facturado]],Retenciones!$1:$1,0)</f>
        <v>4</v>
      </c>
      <c r="X652" s="151">
        <f>+VLOOKUP(PROVEEDORES[[#This Row],[ID RETENCION]],Retenciones!$A$1:$O$24,PROVEEDORES[[#This Row],[indicador de columna]],FALSE)</f>
        <v>980000</v>
      </c>
      <c r="Y652" s="152">
        <f>+VLOOKUP(PROVEEDORES[[#This Row],[ID RETENCION]],Retenciones!$A$1:$O$24,2,FALSE)</f>
        <v>2.5000000000000001E-2</v>
      </c>
      <c r="Z652" s="26"/>
      <c r="AA652" s="26"/>
      <c r="AB652" s="26"/>
      <c r="AC652" s="26"/>
      <c r="AD652" s="26"/>
      <c r="AE652" s="26"/>
    </row>
    <row r="653" spans="1:31" ht="21.95" customHeight="1" x14ac:dyDescent="0.25">
      <c r="A653" s="97" t="str">
        <f>+IF(PROVEEDORES[[#This Row],[FECHA DE PAGO]]=PROVEEDORES[[#This Row],[FECHA DE FACTURACIÓN]],"DE CONTADO","CRÉDITO")</f>
        <v>CRÉDITO</v>
      </c>
      <c r="B653" s="41" t="str">
        <f>+IF((PROVEEDORES[[#This Row],[FECHA DE PAGO]]-PROVEEDORES[[#This Row],[FECHA DE FACTURACIÓN]])&gt;PROVEEDORES[[#This Row],[PLAZO Días]],"PAGO VENCIDO")</f>
        <v>PAGO VENCIDO</v>
      </c>
      <c r="C653" s="22">
        <f>+VLOOKUP(PROVEEDORES[[#This Row],[PROVEEDOR]],TERCEROS_INFO[#All],2,FALSE)</f>
        <v>30</v>
      </c>
      <c r="D653" s="27">
        <f>+SUMIFS(PROVEEDORES[Total],PROVEEDORES[PROVEEDOR],PROVEEDORES[[#This Row],[PROVEEDOR]],PROVEEDORES[FECHA DE PAGO],"")</f>
        <v>627113.34</v>
      </c>
      <c r="E653" s="27"/>
      <c r="F653" s="62" t="str">
        <f>+VLOOKUP(PROVEEDORES[[#This Row],[PROVEEDOR]],
                       Terceros!$A:$G,
                       6,
                       FALSE)</f>
        <v>ventas@ismartsas.com;girlesa.ruiz@servipilas.com;joriescobar64@gmail.com</v>
      </c>
      <c r="G653" s="95">
        <v>44452</v>
      </c>
      <c r="H653" s="28" t="s">
        <v>48</v>
      </c>
      <c r="I653" s="95">
        <v>44417</v>
      </c>
      <c r="J653" s="38">
        <v>30483</v>
      </c>
      <c r="K653" s="23">
        <v>1054338</v>
      </c>
      <c r="L653" s="23"/>
      <c r="M653" s="24">
        <v>200324.22</v>
      </c>
      <c r="N653" s="25"/>
      <c r="O653" s="24">
        <v>0</v>
      </c>
      <c r="P653" s="136">
        <f>+IF(PROVEEDORES[[#This Row],[SUBTOTAL]]&lt;PROVEEDORES[[#This Row],[base retencion]],0,PROVEEDORES[[#This Row],[retención aplicada]])</f>
        <v>2.5000000000000001E-2</v>
      </c>
      <c r="Q653" s="24">
        <f>+PROVEEDORES[[#This Row],[Rete Fuente %]]*PROVEEDORES[[#This Row],[SUBTOTAL]]</f>
        <v>26358.45</v>
      </c>
      <c r="R653" s="23">
        <v>1228303.77</v>
      </c>
      <c r="S65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3" s="99">
        <f ca="1">IF(PROVEEDORES[[#This Row],[FECHA DE PAGO]]=0,TODAY()-PROVEEDORES[[#This Row],[FECHA DE FACTURACIÓN]]-PROVEEDORES[[#This Row],[PLAZO Días]],0)</f>
        <v>0</v>
      </c>
      <c r="U653" s="149" t="str">
        <f>+VLOOKUP(PROVEEDORES[[#This Row],[PROVEEDOR]],Terceros!$A:$E,5,FALSE)</f>
        <v>2,5% con base</v>
      </c>
      <c r="V653" s="150">
        <f>+YEAR(PROVEEDORES[[#This Row],[FECHA DE FACTURACIÓN]])</f>
        <v>2021</v>
      </c>
      <c r="W653" s="150">
        <f>+MATCH(PROVEEDORES[[#This Row],[año facturado]],Retenciones!$1:$1,0)</f>
        <v>4</v>
      </c>
      <c r="X653" s="151">
        <f>+VLOOKUP(PROVEEDORES[[#This Row],[ID RETENCION]],Retenciones!$A$1:$O$24,PROVEEDORES[[#This Row],[indicador de columna]],FALSE)</f>
        <v>980000</v>
      </c>
      <c r="Y653" s="152">
        <f>+VLOOKUP(PROVEEDORES[[#This Row],[ID RETENCION]],Retenciones!$A$1:$O$24,2,FALSE)</f>
        <v>2.5000000000000001E-2</v>
      </c>
      <c r="Z653" s="26"/>
      <c r="AA653" s="26"/>
      <c r="AB653" s="26"/>
      <c r="AC653" s="26"/>
      <c r="AD653" s="26"/>
      <c r="AE653" s="26"/>
    </row>
    <row r="654" spans="1:31" ht="21.95" customHeight="1" x14ac:dyDescent="0.25">
      <c r="A654" s="97" t="str">
        <f>+IF(PROVEEDORES[[#This Row],[FECHA DE PAGO]]=PROVEEDORES[[#This Row],[FECHA DE FACTURACIÓN]],"DE CONTADO","CRÉDITO")</f>
        <v>CRÉDITO</v>
      </c>
      <c r="B654" s="41" t="str">
        <f>+IF((PROVEEDORES[[#This Row],[FECHA DE PAGO]]-PROVEEDORES[[#This Row],[FECHA DE FACTURACIÓN]])&gt;PROVEEDORES[[#This Row],[PLAZO Días]],"PAGO VENCIDO")</f>
        <v>PAGO VENCIDO</v>
      </c>
      <c r="C654" s="22">
        <f>+VLOOKUP(PROVEEDORES[[#This Row],[PROVEEDOR]],TERCEROS_INFO[#All],2,FALSE)</f>
        <v>30</v>
      </c>
      <c r="D654" s="27">
        <f>+SUMIFS(PROVEEDORES[Total],PROVEEDORES[PROVEEDOR],PROVEEDORES[[#This Row],[PROVEEDOR]],PROVEEDORES[FECHA DE PAGO],"")</f>
        <v>3355018.0749999997</v>
      </c>
      <c r="E654" s="27"/>
      <c r="F654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654" s="95">
        <v>44452</v>
      </c>
      <c r="H654" s="28" t="s">
        <v>222</v>
      </c>
      <c r="I654" s="95">
        <v>44419</v>
      </c>
      <c r="J654" s="38">
        <v>345</v>
      </c>
      <c r="K654" s="23">
        <v>435294</v>
      </c>
      <c r="L654" s="23"/>
      <c r="M654" s="24">
        <v>82705.86</v>
      </c>
      <c r="N654" s="25"/>
      <c r="O654" s="24">
        <v>0</v>
      </c>
      <c r="P654" s="136">
        <f>+IF(PROVEEDORES[[#This Row],[SUBTOTAL]]&lt;PROVEEDORES[[#This Row],[base retencion]],0,PROVEEDORES[[#This Row],[retención aplicada]])</f>
        <v>0</v>
      </c>
      <c r="Q654" s="24">
        <f>+PROVEEDORES[[#This Row],[Rete Fuente %]]*PROVEEDORES[[#This Row],[SUBTOTAL]]</f>
        <v>0</v>
      </c>
      <c r="R654" s="23">
        <v>517999.86</v>
      </c>
      <c r="S65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4" s="99">
        <f ca="1">IF(PROVEEDORES[[#This Row],[FECHA DE PAGO]]=0,TODAY()-PROVEEDORES[[#This Row],[FECHA DE FACTURACIÓN]]-PROVEEDORES[[#This Row],[PLAZO Días]],0)</f>
        <v>0</v>
      </c>
      <c r="U654" s="149" t="str">
        <f>+VLOOKUP(PROVEEDORES[[#This Row],[PROVEEDOR]],Terceros!$A:$E,5,FALSE)</f>
        <v>2,5% con base</v>
      </c>
      <c r="V654" s="150">
        <f>+YEAR(PROVEEDORES[[#This Row],[FECHA DE FACTURACIÓN]])</f>
        <v>2021</v>
      </c>
      <c r="W654" s="150">
        <f>+MATCH(PROVEEDORES[[#This Row],[año facturado]],Retenciones!$1:$1,0)</f>
        <v>4</v>
      </c>
      <c r="X654" s="151">
        <f>+VLOOKUP(PROVEEDORES[[#This Row],[ID RETENCION]],Retenciones!$A$1:$O$24,PROVEEDORES[[#This Row],[indicador de columna]],FALSE)</f>
        <v>980000</v>
      </c>
      <c r="Y654" s="152">
        <f>+VLOOKUP(PROVEEDORES[[#This Row],[ID RETENCION]],Retenciones!$A$1:$O$24,2,FALSE)</f>
        <v>2.5000000000000001E-2</v>
      </c>
      <c r="Z654" s="26"/>
      <c r="AA654" s="26"/>
      <c r="AB654" s="26"/>
      <c r="AC654" s="26"/>
      <c r="AD654" s="26"/>
      <c r="AE654" s="26"/>
    </row>
    <row r="655" spans="1:31" ht="21.95" customHeight="1" x14ac:dyDescent="0.25">
      <c r="A655" s="97" t="str">
        <f>+IF(PROVEEDORES[[#This Row],[FECHA DE PAGO]]=PROVEEDORES[[#This Row],[FECHA DE FACTURACIÓN]],"DE CONTADO","CRÉDITO")</f>
        <v>CRÉDITO</v>
      </c>
      <c r="B655" s="41" t="b">
        <f>+IF((PROVEEDORES[[#This Row],[FECHA DE PAGO]]-PROVEEDORES[[#This Row],[FECHA DE FACTURACIÓN]])&gt;PROVEEDORES[[#This Row],[PLAZO Días]],"PAGO VENCIDO")</f>
        <v>0</v>
      </c>
      <c r="C655" s="22">
        <f>+VLOOKUP(PROVEEDORES[[#This Row],[PROVEEDOR]],TERCEROS_INFO[#All],2,FALSE)</f>
        <v>30</v>
      </c>
      <c r="D655" s="27">
        <f>+SUMIFS(PROVEEDORES[Total],PROVEEDORES[PROVEEDOR],PROVEEDORES[[#This Row],[PROVEEDOR]],PROVEEDORES[FECHA DE PAGO],"")</f>
        <v>3099000</v>
      </c>
      <c r="E655" s="27"/>
      <c r="F655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655" s="95">
        <v>44442</v>
      </c>
      <c r="H655" s="28" t="s">
        <v>1079</v>
      </c>
      <c r="I655" s="95">
        <v>44420</v>
      </c>
      <c r="J655" s="38" t="s">
        <v>784</v>
      </c>
      <c r="K655" s="23">
        <v>-48000</v>
      </c>
      <c r="L655" s="23"/>
      <c r="M655" s="24">
        <v>0</v>
      </c>
      <c r="N655" s="25"/>
      <c r="O655" s="24">
        <v>0</v>
      </c>
      <c r="P655" s="136">
        <f>+IF(PROVEEDORES[[#This Row],[SUBTOTAL]]&lt;PROVEEDORES[[#This Row],[base retencion]],0,PROVEEDORES[[#This Row],[retención aplicada]])</f>
        <v>0</v>
      </c>
      <c r="Q655" s="24">
        <f>+PROVEEDORES[[#This Row],[Rete Fuente %]]*PROVEEDORES[[#This Row],[SUBTOTAL]]</f>
        <v>0</v>
      </c>
      <c r="R655" s="23">
        <v>-48000</v>
      </c>
      <c r="S65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5" s="99">
        <f ca="1">IF(PROVEEDORES[[#This Row],[FECHA DE PAGO]]=0,TODAY()-PROVEEDORES[[#This Row],[FECHA DE FACTURACIÓN]]-PROVEEDORES[[#This Row],[PLAZO Días]],0)</f>
        <v>0</v>
      </c>
      <c r="U655" s="149">
        <f>+VLOOKUP(PROVEEDORES[[#This Row],[PROVEEDOR]],Terceros!$A:$E,5,FALSE)</f>
        <v>0</v>
      </c>
      <c r="V655" s="150">
        <f>+YEAR(PROVEEDORES[[#This Row],[FECHA DE FACTURACIÓN]])</f>
        <v>2021</v>
      </c>
      <c r="W655" s="150">
        <f>+MATCH(PROVEEDORES[[#This Row],[año facturado]],Retenciones!$1:$1,0)</f>
        <v>4</v>
      </c>
      <c r="X655" s="151">
        <f>+VLOOKUP(PROVEEDORES[[#This Row],[ID RETENCION]],Retenciones!$A$1:$O$24,PROVEEDORES[[#This Row],[indicador de columna]],FALSE)</f>
        <v>0</v>
      </c>
      <c r="Y655" s="152">
        <f>+VLOOKUP(PROVEEDORES[[#This Row],[ID RETENCION]],Retenciones!$A$1:$O$24,2,FALSE)</f>
        <v>0</v>
      </c>
      <c r="Z655" s="26"/>
      <c r="AA655" s="26"/>
      <c r="AB655" s="26"/>
      <c r="AC655" s="26"/>
      <c r="AD655" s="26"/>
      <c r="AE655" s="26"/>
    </row>
    <row r="656" spans="1:31" ht="21.95" customHeight="1" x14ac:dyDescent="0.25">
      <c r="A656" s="97" t="str">
        <f>+IF(PROVEEDORES[[#This Row],[FECHA DE PAGO]]=PROVEEDORES[[#This Row],[FECHA DE FACTURACIÓN]],"DE CONTADO","CRÉDITO")</f>
        <v>CRÉDITO</v>
      </c>
      <c r="B656" s="41" t="str">
        <f>+IF((PROVEEDORES[[#This Row],[FECHA DE PAGO]]-PROVEEDORES[[#This Row],[FECHA DE FACTURACIÓN]])&gt;PROVEEDORES[[#This Row],[PLAZO Días]],"PAGO VENCIDO")</f>
        <v>PAGO VENCIDO</v>
      </c>
      <c r="C656" s="22">
        <f>+VLOOKUP(PROVEEDORES[[#This Row],[PROVEEDOR]],TERCEROS_INFO[#All],2,FALSE)</f>
        <v>30</v>
      </c>
      <c r="D656" s="27">
        <f>+SUMIFS(PROVEEDORES[Total],PROVEEDORES[PROVEEDOR],PROVEEDORES[[#This Row],[PROVEEDOR]],PROVEEDORES[FECHA DE PAGO],"")</f>
        <v>4965738.5050000008</v>
      </c>
      <c r="E656" s="27"/>
      <c r="F656" s="62" t="str">
        <f>+VLOOKUP(PROVEEDORES[[#This Row],[PROVEEDOR]],
                       Terceros!$A:$G,
                       6,
                       FALSE)</f>
        <v>aleja-1305agudelo@hotmail.com;provecol@une.net.co;girlesa.ruiz@servipilas.com;joriescobar64@gmail.com</v>
      </c>
      <c r="G656" s="95">
        <v>44452</v>
      </c>
      <c r="H656" s="28" t="s">
        <v>457</v>
      </c>
      <c r="I656" s="95">
        <v>44420</v>
      </c>
      <c r="J656" s="38" t="s">
        <v>521</v>
      </c>
      <c r="K656" s="23">
        <v>149794.67500000002</v>
      </c>
      <c r="L656" s="23"/>
      <c r="M656" s="24">
        <v>0</v>
      </c>
      <c r="N656" s="25"/>
      <c r="O656" s="24">
        <v>0</v>
      </c>
      <c r="P656" s="136">
        <f>+IF(PROVEEDORES[[#This Row],[SUBTOTAL]]&lt;PROVEEDORES[[#This Row],[base retencion]],0,PROVEEDORES[[#This Row],[retención aplicada]])</f>
        <v>0</v>
      </c>
      <c r="Q656" s="24">
        <f>+PROVEEDORES[[#This Row],[Rete Fuente %]]*PROVEEDORES[[#This Row],[SUBTOTAL]]</f>
        <v>0</v>
      </c>
      <c r="R656" s="23">
        <v>149794.67500000002</v>
      </c>
      <c r="S65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6" s="99">
        <f ca="1">IF(PROVEEDORES[[#This Row],[FECHA DE PAGO]]=0,TODAY()-PROVEEDORES[[#This Row],[FECHA DE FACTURACIÓN]]-PROVEEDORES[[#This Row],[PLAZO Días]],0)</f>
        <v>0</v>
      </c>
      <c r="U656" s="149">
        <f>+VLOOKUP(PROVEEDORES[[#This Row],[PROVEEDOR]],Terceros!$A:$E,5,FALSE)</f>
        <v>0</v>
      </c>
      <c r="V656" s="150">
        <f>+YEAR(PROVEEDORES[[#This Row],[FECHA DE FACTURACIÓN]])</f>
        <v>2021</v>
      </c>
      <c r="W656" s="150">
        <f>+MATCH(PROVEEDORES[[#This Row],[año facturado]],Retenciones!$1:$1,0)</f>
        <v>4</v>
      </c>
      <c r="X656" s="151">
        <f>+VLOOKUP(PROVEEDORES[[#This Row],[ID RETENCION]],Retenciones!$A$1:$O$24,PROVEEDORES[[#This Row],[indicador de columna]],FALSE)</f>
        <v>0</v>
      </c>
      <c r="Y656" s="152">
        <f>+VLOOKUP(PROVEEDORES[[#This Row],[ID RETENCION]],Retenciones!$A$1:$O$24,2,FALSE)</f>
        <v>0</v>
      </c>
      <c r="Z656" s="26"/>
      <c r="AA656" s="26"/>
      <c r="AB656" s="26"/>
      <c r="AC656" s="26"/>
      <c r="AD656" s="26"/>
      <c r="AE656" s="26"/>
    </row>
    <row r="657" spans="1:31" ht="21.95" customHeight="1" x14ac:dyDescent="0.25">
      <c r="A657" s="97" t="str">
        <f>+IF(PROVEEDORES[[#This Row],[FECHA DE PAGO]]=PROVEEDORES[[#This Row],[FECHA DE FACTURACIÓN]],"DE CONTADO","CRÉDITO")</f>
        <v>CRÉDITO</v>
      </c>
      <c r="B657" s="41" t="str">
        <f>+IF((PROVEEDORES[[#This Row],[FECHA DE PAGO]]-PROVEEDORES[[#This Row],[FECHA DE FACTURACIÓN]])&gt;PROVEEDORES[[#This Row],[PLAZO Días]],"PAGO VENCIDO")</f>
        <v>PAGO VENCIDO</v>
      </c>
      <c r="C657" s="22">
        <f>+VLOOKUP(PROVEEDORES[[#This Row],[PROVEEDOR]],TERCEROS_INFO[#All],2,FALSE)</f>
        <v>90</v>
      </c>
      <c r="D657" s="27">
        <f>+SUMIFS(PROVEEDORES[Total],PROVEEDORES[PROVEEDOR],PROVEEDORES[[#This Row],[PROVEEDOR]],PROVEEDORES[FECHA DE PAGO],"")</f>
        <v>26364243.66155</v>
      </c>
      <c r="E657" s="27"/>
      <c r="F657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657" s="95">
        <v>44517</v>
      </c>
      <c r="H657" s="28" t="s">
        <v>12</v>
      </c>
      <c r="I657" s="95">
        <v>44420</v>
      </c>
      <c r="J657" s="38" t="s">
        <v>474</v>
      </c>
      <c r="K657" s="23">
        <v>1086554</v>
      </c>
      <c r="L657" s="23"/>
      <c r="M657" s="24">
        <v>206445.26</v>
      </c>
      <c r="N657" s="25"/>
      <c r="O657" s="24">
        <v>0</v>
      </c>
      <c r="P657" s="136">
        <f>+IF(PROVEEDORES[[#This Row],[SUBTOTAL]]&lt;PROVEEDORES[[#This Row],[base retencion]],0,PROVEEDORES[[#This Row],[retención aplicada]])</f>
        <v>2.5000000000000001E-2</v>
      </c>
      <c r="Q657" s="24">
        <f>+PROVEEDORES[[#This Row],[Rete Fuente %]]*PROVEEDORES[[#This Row],[SUBTOTAL]]</f>
        <v>27163.850000000002</v>
      </c>
      <c r="R657" s="23">
        <v>1265835.4099999999</v>
      </c>
      <c r="S65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7" s="99">
        <f ca="1">IF(PROVEEDORES[[#This Row],[FECHA DE PAGO]]=0,TODAY()-PROVEEDORES[[#This Row],[FECHA DE FACTURACIÓN]]-PROVEEDORES[[#This Row],[PLAZO Días]],0)</f>
        <v>0</v>
      </c>
      <c r="U657" s="149" t="str">
        <f>+VLOOKUP(PROVEEDORES[[#This Row],[PROVEEDOR]],Terceros!$A:$E,5,FALSE)</f>
        <v>2,5% con base</v>
      </c>
      <c r="V657" s="150">
        <f>+YEAR(PROVEEDORES[[#This Row],[FECHA DE FACTURACIÓN]])</f>
        <v>2021</v>
      </c>
      <c r="W657" s="150">
        <f>+MATCH(PROVEEDORES[[#This Row],[año facturado]],Retenciones!$1:$1,0)</f>
        <v>4</v>
      </c>
      <c r="X657" s="151">
        <f>+VLOOKUP(PROVEEDORES[[#This Row],[ID RETENCION]],Retenciones!$A$1:$O$24,PROVEEDORES[[#This Row],[indicador de columna]],FALSE)</f>
        <v>980000</v>
      </c>
      <c r="Y657" s="152">
        <f>+VLOOKUP(PROVEEDORES[[#This Row],[ID RETENCION]],Retenciones!$A$1:$O$24,2,FALSE)</f>
        <v>2.5000000000000001E-2</v>
      </c>
      <c r="Z657" s="26"/>
      <c r="AA657" s="26"/>
      <c r="AB657" s="26"/>
      <c r="AC657" s="26"/>
      <c r="AD657" s="26"/>
      <c r="AE657" s="26"/>
    </row>
    <row r="658" spans="1:31" ht="21.95" customHeight="1" x14ac:dyDescent="0.25">
      <c r="A658" s="97" t="str">
        <f>+IF(PROVEEDORES[[#This Row],[FECHA DE PAGO]]=PROVEEDORES[[#This Row],[FECHA DE FACTURACIÓN]],"DE CONTADO","CRÉDITO")</f>
        <v>CRÉDITO</v>
      </c>
      <c r="B658" s="41" t="str">
        <f>+IF((PROVEEDORES[[#This Row],[FECHA DE PAGO]]-PROVEEDORES[[#This Row],[FECHA DE FACTURACIÓN]])&gt;PROVEEDORES[[#This Row],[PLAZO Días]],"PAGO VENCIDO")</f>
        <v>PAGO VENCIDO</v>
      </c>
      <c r="C658" s="22">
        <f>+VLOOKUP(PROVEEDORES[[#This Row],[PROVEEDOR]],TERCEROS_INFO[#All],2,FALSE)</f>
        <v>30</v>
      </c>
      <c r="D658" s="27">
        <f>+SUMIFS(PROVEEDORES[Total],PROVEEDORES[PROVEEDOR],PROVEEDORES[[#This Row],[PROVEEDOR]],PROVEEDORES[FECHA DE PAGO],"")</f>
        <v>0</v>
      </c>
      <c r="E658" s="27"/>
      <c r="F658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658" s="95">
        <v>44485</v>
      </c>
      <c r="H658" s="28" t="s">
        <v>24</v>
      </c>
      <c r="I658" s="95">
        <v>44420</v>
      </c>
      <c r="J658" s="38" t="s">
        <v>461</v>
      </c>
      <c r="K658" s="23">
        <v>1162100</v>
      </c>
      <c r="L658" s="23"/>
      <c r="M658" s="24">
        <v>220799</v>
      </c>
      <c r="N658" s="25"/>
      <c r="O658" s="24">
        <v>0</v>
      </c>
      <c r="P658" s="136">
        <f>+IF(PROVEEDORES[[#This Row],[SUBTOTAL]]&lt;PROVEEDORES[[#This Row],[base retencion]],0,PROVEEDORES[[#This Row],[retención aplicada]])</f>
        <v>2.5000000000000001E-2</v>
      </c>
      <c r="Q658" s="24">
        <f>+PROVEEDORES[[#This Row],[Rete Fuente %]]*PROVEEDORES[[#This Row],[SUBTOTAL]]</f>
        <v>29052.5</v>
      </c>
      <c r="R658" s="23">
        <v>1353846.5</v>
      </c>
      <c r="S65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8" s="99">
        <f ca="1">IF(PROVEEDORES[[#This Row],[FECHA DE PAGO]]=0,TODAY()-PROVEEDORES[[#This Row],[FECHA DE FACTURACIÓN]]-PROVEEDORES[[#This Row],[PLAZO Días]],0)</f>
        <v>0</v>
      </c>
      <c r="U658" s="149" t="str">
        <f>+VLOOKUP(PROVEEDORES[[#This Row],[PROVEEDOR]],Terceros!$A:$E,5,FALSE)</f>
        <v>2,5% con base</v>
      </c>
      <c r="V658" s="150">
        <f>+YEAR(PROVEEDORES[[#This Row],[FECHA DE FACTURACIÓN]])</f>
        <v>2021</v>
      </c>
      <c r="W658" s="150">
        <f>+MATCH(PROVEEDORES[[#This Row],[año facturado]],Retenciones!$1:$1,0)</f>
        <v>4</v>
      </c>
      <c r="X658" s="151">
        <f>+VLOOKUP(PROVEEDORES[[#This Row],[ID RETENCION]],Retenciones!$A$1:$O$24,PROVEEDORES[[#This Row],[indicador de columna]],FALSE)</f>
        <v>980000</v>
      </c>
      <c r="Y658" s="152">
        <f>+VLOOKUP(PROVEEDORES[[#This Row],[ID RETENCION]],Retenciones!$A$1:$O$24,2,FALSE)</f>
        <v>2.5000000000000001E-2</v>
      </c>
      <c r="Z658" s="26"/>
      <c r="AA658" s="26"/>
      <c r="AB658" s="26"/>
      <c r="AC658" s="26"/>
      <c r="AD658" s="26"/>
      <c r="AE658" s="26"/>
    </row>
    <row r="659" spans="1:31" ht="21.95" customHeight="1" x14ac:dyDescent="0.25">
      <c r="A659" s="97" t="str">
        <f>+IF(PROVEEDORES[[#This Row],[FECHA DE PAGO]]=PROVEEDORES[[#This Row],[FECHA DE FACTURACIÓN]],"DE CONTADO","CRÉDITO")</f>
        <v>CRÉDITO</v>
      </c>
      <c r="B659" s="41" t="str">
        <f>+IF((PROVEEDORES[[#This Row],[FECHA DE PAGO]]-PROVEEDORES[[#This Row],[FECHA DE FACTURACIÓN]])&gt;PROVEEDORES[[#This Row],[PLAZO Días]],"PAGO VENCIDO")</f>
        <v>PAGO VENCIDO</v>
      </c>
      <c r="C659" s="22">
        <f>+VLOOKUP(PROVEEDORES[[#This Row],[PROVEEDOR]],TERCEROS_INFO[#All],2,FALSE)</f>
        <v>30</v>
      </c>
      <c r="D659" s="27">
        <f>+SUMIFS(PROVEEDORES[Total],PROVEEDORES[PROVEEDOR],PROVEEDORES[[#This Row],[PROVEEDOR]],PROVEEDORES[FECHA DE PAGO],"")</f>
        <v>4641412.7745000003</v>
      </c>
      <c r="E659" s="27"/>
      <c r="F659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659" s="95">
        <v>44459</v>
      </c>
      <c r="H659" s="28" t="s">
        <v>20</v>
      </c>
      <c r="I659" s="95">
        <v>44420</v>
      </c>
      <c r="J659" s="38">
        <v>4816</v>
      </c>
      <c r="K659" s="23">
        <v>2010280</v>
      </c>
      <c r="L659" s="23"/>
      <c r="M659" s="24">
        <v>381953.2</v>
      </c>
      <c r="N659" s="25"/>
      <c r="O659" s="24">
        <v>0</v>
      </c>
      <c r="P659" s="136">
        <f>+IF(PROVEEDORES[[#This Row],[SUBTOTAL]]&lt;PROVEEDORES[[#This Row],[base retencion]],0,PROVEEDORES[[#This Row],[retención aplicada]])</f>
        <v>2.5000000000000001E-2</v>
      </c>
      <c r="Q659" s="24">
        <f>+PROVEEDORES[[#This Row],[Rete Fuente %]]*PROVEEDORES[[#This Row],[SUBTOTAL]]</f>
        <v>50257</v>
      </c>
      <c r="R659" s="23">
        <v>2341976.2000000002</v>
      </c>
      <c r="S65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9" s="99">
        <f ca="1">IF(PROVEEDORES[[#This Row],[FECHA DE PAGO]]=0,TODAY()-PROVEEDORES[[#This Row],[FECHA DE FACTURACIÓN]]-PROVEEDORES[[#This Row],[PLAZO Días]],0)</f>
        <v>0</v>
      </c>
      <c r="U659" s="149" t="str">
        <f>+VLOOKUP(PROVEEDORES[[#This Row],[PROVEEDOR]],Terceros!$A:$E,5,FALSE)</f>
        <v>2,5% con base</v>
      </c>
      <c r="V659" s="150">
        <f>+YEAR(PROVEEDORES[[#This Row],[FECHA DE FACTURACIÓN]])</f>
        <v>2021</v>
      </c>
      <c r="W659" s="150">
        <f>+MATCH(PROVEEDORES[[#This Row],[año facturado]],Retenciones!$1:$1,0)</f>
        <v>4</v>
      </c>
      <c r="X659" s="151">
        <f>+VLOOKUP(PROVEEDORES[[#This Row],[ID RETENCION]],Retenciones!$A$1:$O$24,PROVEEDORES[[#This Row],[indicador de columna]],FALSE)</f>
        <v>980000</v>
      </c>
      <c r="Y659" s="152">
        <f>+VLOOKUP(PROVEEDORES[[#This Row],[ID RETENCION]],Retenciones!$A$1:$O$24,2,FALSE)</f>
        <v>2.5000000000000001E-2</v>
      </c>
      <c r="Z659" s="26"/>
      <c r="AA659" s="26"/>
      <c r="AB659" s="26"/>
      <c r="AC659" s="26"/>
      <c r="AD659" s="26"/>
      <c r="AE659" s="26"/>
    </row>
    <row r="660" spans="1:31" ht="21.95" customHeight="1" x14ac:dyDescent="0.25">
      <c r="A660" s="97" t="str">
        <f>+IF(PROVEEDORES[[#This Row],[FECHA DE PAGO]]=PROVEEDORES[[#This Row],[FECHA DE FACTURACIÓN]],"DE CONTADO","CRÉDITO")</f>
        <v>CRÉDITO</v>
      </c>
      <c r="B660" s="41" t="str">
        <f>+IF((PROVEEDORES[[#This Row],[FECHA DE PAGO]]-PROVEEDORES[[#This Row],[FECHA DE FACTURACIÓN]])&gt;PROVEEDORES[[#This Row],[PLAZO Días]],"PAGO VENCIDO")</f>
        <v>PAGO VENCIDO</v>
      </c>
      <c r="C660" s="22">
        <f>+VLOOKUP(PROVEEDORES[[#This Row],[PROVEEDOR]],TERCEROS_INFO[#All],2,FALSE)</f>
        <v>30</v>
      </c>
      <c r="D660" s="27">
        <f>+SUMIFS(PROVEEDORES[Total],PROVEEDORES[PROVEEDOR],PROVEEDORES[[#This Row],[PROVEEDOR]],PROVEEDORES[FECHA DE PAGO],"")</f>
        <v>1039000</v>
      </c>
      <c r="E660" s="27"/>
      <c r="F660" s="62" t="str">
        <f>+VLOOKUP(PROVEEDORES[[#This Row],[PROVEEDOR]],
                       Terceros!$A:$G,
                       6,
                       FALSE)</f>
        <v>variedades.sfg@gmail.com;girlesa.ruiz@servipilas.com;joriescobar64@gmail.com</v>
      </c>
      <c r="G660" s="95">
        <v>44494</v>
      </c>
      <c r="H660" s="28" t="s">
        <v>982</v>
      </c>
      <c r="I660" s="95">
        <v>44420</v>
      </c>
      <c r="J660" s="38" t="s">
        <v>783</v>
      </c>
      <c r="K660" s="23">
        <v>2195400</v>
      </c>
      <c r="L660" s="23"/>
      <c r="M660" s="24">
        <v>0</v>
      </c>
      <c r="N660" s="25"/>
      <c r="O660" s="24">
        <v>0</v>
      </c>
      <c r="P660" s="136">
        <f>+IF(PROVEEDORES[[#This Row],[SUBTOTAL]]&lt;PROVEEDORES[[#This Row],[base retencion]],0,PROVEEDORES[[#This Row],[retención aplicada]])</f>
        <v>0</v>
      </c>
      <c r="Q660" s="24">
        <f>+PROVEEDORES[[#This Row],[Rete Fuente %]]*PROVEEDORES[[#This Row],[SUBTOTAL]]</f>
        <v>0</v>
      </c>
      <c r="R660" s="23">
        <v>2195400</v>
      </c>
      <c r="S66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0" s="99">
        <f ca="1">IF(PROVEEDORES[[#This Row],[FECHA DE PAGO]]=0,TODAY()-PROVEEDORES[[#This Row],[FECHA DE FACTURACIÓN]]-PROVEEDORES[[#This Row],[PLAZO Días]],0)</f>
        <v>0</v>
      </c>
      <c r="U660" s="149">
        <f>+VLOOKUP(PROVEEDORES[[#This Row],[PROVEEDOR]],Terceros!$A:$E,5,FALSE)</f>
        <v>0</v>
      </c>
      <c r="V660" s="150">
        <f>+YEAR(PROVEEDORES[[#This Row],[FECHA DE FACTURACIÓN]])</f>
        <v>2021</v>
      </c>
      <c r="W660" s="150">
        <f>+MATCH(PROVEEDORES[[#This Row],[año facturado]],Retenciones!$1:$1,0)</f>
        <v>4</v>
      </c>
      <c r="X660" s="151">
        <f>+VLOOKUP(PROVEEDORES[[#This Row],[ID RETENCION]],Retenciones!$A$1:$O$24,PROVEEDORES[[#This Row],[indicador de columna]],FALSE)</f>
        <v>0</v>
      </c>
      <c r="Y660" s="152">
        <f>+VLOOKUP(PROVEEDORES[[#This Row],[ID RETENCION]],Retenciones!$A$1:$O$24,2,FALSE)</f>
        <v>0</v>
      </c>
      <c r="Z660" s="26"/>
      <c r="AA660" s="26"/>
      <c r="AB660" s="26"/>
      <c r="AC660" s="26"/>
      <c r="AD660" s="26"/>
      <c r="AE660" s="26"/>
    </row>
    <row r="661" spans="1:31" ht="21.95" customHeight="1" x14ac:dyDescent="0.25">
      <c r="A661" s="97" t="str">
        <f>+IF(PROVEEDORES[[#This Row],[FECHA DE PAGO]]=PROVEEDORES[[#This Row],[FECHA DE FACTURACIÓN]],"DE CONTADO","CRÉDITO")</f>
        <v>DE CONTADO</v>
      </c>
      <c r="B661" s="41" t="b">
        <f>+IF((PROVEEDORES[[#This Row],[FECHA DE PAGO]]-PROVEEDORES[[#This Row],[FECHA DE FACTURACIÓN]])&gt;PROVEEDORES[[#This Row],[PLAZO Días]],"PAGO VENCIDO")</f>
        <v>0</v>
      </c>
      <c r="C661" s="22">
        <f>+VLOOKUP(PROVEEDORES[[#This Row],[PROVEEDOR]],TERCEROS_INFO[#All],2,FALSE)</f>
        <v>30</v>
      </c>
      <c r="D661" s="27">
        <f>+SUMIFS(PROVEEDORES[Total],PROVEEDORES[PROVEEDOR],PROVEEDORES[[#This Row],[PROVEEDOR]],PROVEEDORES[FECHA DE PAGO],"")</f>
        <v>4965738.5050000008</v>
      </c>
      <c r="E661" s="27"/>
      <c r="F661" s="62" t="str">
        <f>+VLOOKUP(PROVEEDORES[[#This Row],[PROVEEDOR]],
                       Terceros!$A:$G,
                       6,
                       FALSE)</f>
        <v>aleja-1305agudelo@hotmail.com;provecol@une.net.co;girlesa.ruiz@servipilas.com;joriescobar64@gmail.com</v>
      </c>
      <c r="G661" s="95">
        <v>44420</v>
      </c>
      <c r="H661" s="28" t="s">
        <v>457</v>
      </c>
      <c r="I661" s="95">
        <v>44420</v>
      </c>
      <c r="J661" s="38">
        <v>129428</v>
      </c>
      <c r="K661" s="23">
        <v>6870528</v>
      </c>
      <c r="L661" s="23">
        <v>878741</v>
      </c>
      <c r="M661" s="24">
        <v>1138439.53</v>
      </c>
      <c r="N661" s="25"/>
      <c r="O661" s="24">
        <v>0</v>
      </c>
      <c r="P661" s="136">
        <f>+IF(PROVEEDORES[[#This Row],[SUBTOTAL]]&lt;PROVEEDORES[[#This Row],[base retencion]],0,PROVEEDORES[[#This Row],[retención aplicada]])</f>
        <v>0</v>
      </c>
      <c r="Q661" s="24">
        <f>+PROVEEDORES[[#This Row],[Rete Fuente %]]*PROVEEDORES[[#This Row],[SUBTOTAL]]</f>
        <v>0</v>
      </c>
      <c r="R661" s="23">
        <v>6980431.8550000004</v>
      </c>
      <c r="S66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1" s="99">
        <f ca="1">IF(PROVEEDORES[[#This Row],[FECHA DE PAGO]]=0,TODAY()-PROVEEDORES[[#This Row],[FECHA DE FACTURACIÓN]]-PROVEEDORES[[#This Row],[PLAZO Días]],0)</f>
        <v>0</v>
      </c>
      <c r="U661" s="149">
        <f>+VLOOKUP(PROVEEDORES[[#This Row],[PROVEEDOR]],Terceros!$A:$E,5,FALSE)</f>
        <v>0</v>
      </c>
      <c r="V661" s="150">
        <f>+YEAR(PROVEEDORES[[#This Row],[FECHA DE FACTURACIÓN]])</f>
        <v>2021</v>
      </c>
      <c r="W661" s="150">
        <f>+MATCH(PROVEEDORES[[#This Row],[año facturado]],Retenciones!$1:$1,0)</f>
        <v>4</v>
      </c>
      <c r="X661" s="151">
        <f>+VLOOKUP(PROVEEDORES[[#This Row],[ID RETENCION]],Retenciones!$A$1:$O$24,PROVEEDORES[[#This Row],[indicador de columna]],FALSE)</f>
        <v>0</v>
      </c>
      <c r="Y661" s="152">
        <f>+VLOOKUP(PROVEEDORES[[#This Row],[ID RETENCION]],Retenciones!$A$1:$O$24,2,FALSE)</f>
        <v>0</v>
      </c>
      <c r="Z661" s="26"/>
      <c r="AA661" s="26"/>
      <c r="AB661" s="26"/>
      <c r="AC661" s="26"/>
      <c r="AD661" s="26"/>
      <c r="AE661" s="26"/>
    </row>
    <row r="662" spans="1:31" ht="21.95" customHeight="1" x14ac:dyDescent="0.25">
      <c r="A662" s="97" t="str">
        <f>+IF(PROVEEDORES[[#This Row],[FECHA DE PAGO]]=PROVEEDORES[[#This Row],[FECHA DE FACTURACIÓN]],"DE CONTADO","CRÉDITO")</f>
        <v>CRÉDITO</v>
      </c>
      <c r="B662" s="41" t="b">
        <f>+IF((PROVEEDORES[[#This Row],[FECHA DE PAGO]]-PROVEEDORES[[#This Row],[FECHA DE FACTURACIÓN]])&gt;PROVEEDORES[[#This Row],[PLAZO Días]],"PAGO VENCIDO")</f>
        <v>0</v>
      </c>
      <c r="C662" s="22">
        <f>+VLOOKUP(PROVEEDORES[[#This Row],[PROVEEDOR]],TERCEROS_INFO[#All],2,FALSE)</f>
        <v>10</v>
      </c>
      <c r="D662" s="27">
        <f>+SUMIFS(PROVEEDORES[Total],PROVEEDORES[PROVEEDOR],PROVEEDORES[[#This Row],[PROVEEDOR]],PROVEEDORES[FECHA DE PAGO],"")</f>
        <v>0</v>
      </c>
      <c r="E662" s="27"/>
      <c r="F662" s="62" t="str">
        <f>+VLOOKUP(PROVEEDORES[[#This Row],[PROVEEDOR]],
                       Terceros!$A:$G,
                       6,
                       FALSE)</f>
        <v>carterabogota@aintercarga.com;girlesa.ruiz@servipilas.com;joriescobar64@gmail.com</v>
      </c>
      <c r="G662" s="95">
        <v>44426</v>
      </c>
      <c r="H662" s="28" t="s">
        <v>469</v>
      </c>
      <c r="I662" s="95">
        <v>44421</v>
      </c>
      <c r="J662" s="38" t="s">
        <v>470</v>
      </c>
      <c r="K662" s="23">
        <v>195000</v>
      </c>
      <c r="L662" s="23"/>
      <c r="M662" s="24">
        <v>37050</v>
      </c>
      <c r="N662" s="25"/>
      <c r="O662" s="24">
        <v>0</v>
      </c>
      <c r="P662" s="136">
        <f>+IF(PROVEEDORES[[#This Row],[SUBTOTAL]]&lt;PROVEEDORES[[#This Row],[base retencion]],0,PROVEEDORES[[#This Row],[retención aplicada]])</f>
        <v>0</v>
      </c>
      <c r="Q662" s="24">
        <f>+PROVEEDORES[[#This Row],[Rete Fuente %]]*PROVEEDORES[[#This Row],[SUBTOTAL]]</f>
        <v>0</v>
      </c>
      <c r="R662" s="23">
        <v>232050</v>
      </c>
      <c r="S66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2" s="99">
        <f ca="1">IF(PROVEEDORES[[#This Row],[FECHA DE PAGO]]=0,TODAY()-PROVEEDORES[[#This Row],[FECHA DE FACTURACIÓN]]-PROVEEDORES[[#This Row],[PLAZO Días]],0)</f>
        <v>0</v>
      </c>
      <c r="U662" s="149" t="str">
        <f>+VLOOKUP(PROVEEDORES[[#This Row],[PROVEEDOR]],Terceros!$A:$E,5,FALSE)</f>
        <v>2,5% con base</v>
      </c>
      <c r="V662" s="150">
        <f>+YEAR(PROVEEDORES[[#This Row],[FECHA DE FACTURACIÓN]])</f>
        <v>2021</v>
      </c>
      <c r="W662" s="150">
        <f>+MATCH(PROVEEDORES[[#This Row],[año facturado]],Retenciones!$1:$1,0)</f>
        <v>4</v>
      </c>
      <c r="X662" s="151">
        <f>+VLOOKUP(PROVEEDORES[[#This Row],[ID RETENCION]],Retenciones!$A$1:$O$24,PROVEEDORES[[#This Row],[indicador de columna]],FALSE)</f>
        <v>980000</v>
      </c>
      <c r="Y662" s="152">
        <f>+VLOOKUP(PROVEEDORES[[#This Row],[ID RETENCION]],Retenciones!$A$1:$O$24,2,FALSE)</f>
        <v>2.5000000000000001E-2</v>
      </c>
      <c r="Z662" s="26"/>
      <c r="AA662" s="26"/>
      <c r="AB662" s="26"/>
      <c r="AC662" s="26"/>
      <c r="AD662" s="26"/>
      <c r="AE662" s="26"/>
    </row>
    <row r="663" spans="1:31" ht="21.95" customHeight="1" x14ac:dyDescent="0.25">
      <c r="A663" s="97" t="str">
        <f>+IF(PROVEEDORES[[#This Row],[FECHA DE PAGO]]=PROVEEDORES[[#This Row],[FECHA DE FACTURACIÓN]],"DE CONTADO","CRÉDITO")</f>
        <v>CRÉDITO</v>
      </c>
      <c r="B663" s="41" t="str">
        <f>+IF((PROVEEDORES[[#This Row],[FECHA DE PAGO]]-PROVEEDORES[[#This Row],[FECHA DE FACTURACIÓN]])&gt;PROVEEDORES[[#This Row],[PLAZO Días]],"PAGO VENCIDO")</f>
        <v>PAGO VENCIDO</v>
      </c>
      <c r="C663" s="22">
        <f>+VLOOKUP(PROVEEDORES[[#This Row],[PROVEEDOR]],TERCEROS_INFO[#All],2,FALSE)</f>
        <v>30</v>
      </c>
      <c r="D663" s="27">
        <f>+SUMIFS(PROVEEDORES[Total],PROVEEDORES[PROVEEDOR],PROVEEDORES[[#This Row],[PROVEEDOR]],PROVEEDORES[FECHA DE PAGO],"")</f>
        <v>0</v>
      </c>
      <c r="E663" s="27"/>
      <c r="F663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663" s="95">
        <v>44459</v>
      </c>
      <c r="H663" s="28" t="s">
        <v>1124</v>
      </c>
      <c r="I663" s="95">
        <v>44421</v>
      </c>
      <c r="J663" s="38">
        <v>20899</v>
      </c>
      <c r="K663" s="23">
        <v>3552000</v>
      </c>
      <c r="L663" s="23"/>
      <c r="M663" s="24">
        <v>674880</v>
      </c>
      <c r="N663" s="25"/>
      <c r="O663" s="24">
        <v>0</v>
      </c>
      <c r="P663" s="136">
        <f>+IF(PROVEEDORES[[#This Row],[SUBTOTAL]]&lt;PROVEEDORES[[#This Row],[base retencion]],0,PROVEEDORES[[#This Row],[retención aplicada]])</f>
        <v>2.5000000000000001E-2</v>
      </c>
      <c r="Q663" s="24">
        <f>+PROVEEDORES[[#This Row],[Rete Fuente %]]*PROVEEDORES[[#This Row],[SUBTOTAL]]</f>
        <v>88800</v>
      </c>
      <c r="R663" s="23">
        <v>4138080</v>
      </c>
      <c r="S66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3" s="99">
        <f ca="1">IF(PROVEEDORES[[#This Row],[FECHA DE PAGO]]=0,TODAY()-PROVEEDORES[[#This Row],[FECHA DE FACTURACIÓN]]-PROVEEDORES[[#This Row],[PLAZO Días]],0)</f>
        <v>0</v>
      </c>
      <c r="U663" s="149" t="str">
        <f>+VLOOKUP(PROVEEDORES[[#This Row],[PROVEEDOR]],Terceros!$A:$E,5,FALSE)</f>
        <v>2,5% con base</v>
      </c>
      <c r="V663" s="150">
        <f>+YEAR(PROVEEDORES[[#This Row],[FECHA DE FACTURACIÓN]])</f>
        <v>2021</v>
      </c>
      <c r="W663" s="150">
        <f>+MATCH(PROVEEDORES[[#This Row],[año facturado]],Retenciones!$1:$1,0)</f>
        <v>4</v>
      </c>
      <c r="X663" s="151">
        <f>+VLOOKUP(PROVEEDORES[[#This Row],[ID RETENCION]],Retenciones!$A$1:$O$24,PROVEEDORES[[#This Row],[indicador de columna]],FALSE)</f>
        <v>980000</v>
      </c>
      <c r="Y663" s="152">
        <f>+VLOOKUP(PROVEEDORES[[#This Row],[ID RETENCION]],Retenciones!$A$1:$O$24,2,FALSE)</f>
        <v>2.5000000000000001E-2</v>
      </c>
      <c r="Z663" s="26"/>
      <c r="AA663" s="26"/>
      <c r="AB663" s="26"/>
      <c r="AC663" s="26"/>
      <c r="AD663" s="26"/>
      <c r="AE663" s="26"/>
    </row>
    <row r="664" spans="1:31" ht="21.95" customHeight="1" x14ac:dyDescent="0.25">
      <c r="A664" s="97" t="str">
        <f>+IF(PROVEEDORES[[#This Row],[FECHA DE PAGO]]=PROVEEDORES[[#This Row],[FECHA DE FACTURACIÓN]],"DE CONTADO","CRÉDITO")</f>
        <v>DE CONTADO</v>
      </c>
      <c r="B664" s="41" t="b">
        <f>+IF((PROVEEDORES[[#This Row],[FECHA DE PAGO]]-PROVEEDORES[[#This Row],[FECHA DE FACTURACIÓN]])&gt;PROVEEDORES[[#This Row],[PLAZO Días]],"PAGO VENCIDO")</f>
        <v>0</v>
      </c>
      <c r="C664" s="22">
        <f>+VLOOKUP(PROVEEDORES[[#This Row],[PROVEEDOR]],TERCEROS_INFO[#All],2,FALSE)</f>
        <v>30</v>
      </c>
      <c r="D664" s="27">
        <f>+SUMIFS(PROVEEDORES[Total],PROVEEDORES[PROVEEDOR],PROVEEDORES[[#This Row],[PROVEEDOR]],PROVEEDORES[FECHA DE PAGO],"")</f>
        <v>0</v>
      </c>
      <c r="E664" s="27"/>
      <c r="F664" s="62" t="str">
        <f>+VLOOKUP(PROVEEDORES[[#This Row],[PROVEEDOR]],
                       Terceros!$A:$G,
                       6,
                       FALSE)</f>
        <v/>
      </c>
      <c r="G664" s="95">
        <v>44422</v>
      </c>
      <c r="H664" s="28" t="s">
        <v>1046</v>
      </c>
      <c r="I664" s="95">
        <v>44422</v>
      </c>
      <c r="J664" s="38"/>
      <c r="K664" s="23">
        <v>836000</v>
      </c>
      <c r="L664" s="23"/>
      <c r="M664" s="24">
        <v>0</v>
      </c>
      <c r="N664" s="25"/>
      <c r="O664" s="24">
        <v>0</v>
      </c>
      <c r="P664" s="136">
        <f>+IF(PROVEEDORES[[#This Row],[SUBTOTAL]]&lt;PROVEEDORES[[#This Row],[base retencion]],0,PROVEEDORES[[#This Row],[retención aplicada]])</f>
        <v>0</v>
      </c>
      <c r="Q664" s="24">
        <f>+PROVEEDORES[[#This Row],[Rete Fuente %]]*PROVEEDORES[[#This Row],[SUBTOTAL]]</f>
        <v>0</v>
      </c>
      <c r="R664" s="23">
        <v>836000</v>
      </c>
      <c r="S66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4" s="99">
        <f ca="1">IF(PROVEEDORES[[#This Row],[FECHA DE PAGO]]=0,TODAY()-PROVEEDORES[[#This Row],[FECHA DE FACTURACIÓN]]-PROVEEDORES[[#This Row],[PLAZO Días]],0)</f>
        <v>0</v>
      </c>
      <c r="U664" s="149">
        <f>+VLOOKUP(PROVEEDORES[[#This Row],[PROVEEDOR]],Terceros!$A:$E,5,FALSE)</f>
        <v>0</v>
      </c>
      <c r="V664" s="150">
        <f>+YEAR(PROVEEDORES[[#This Row],[FECHA DE FACTURACIÓN]])</f>
        <v>2021</v>
      </c>
      <c r="W664" s="150">
        <f>+MATCH(PROVEEDORES[[#This Row],[año facturado]],Retenciones!$1:$1,0)</f>
        <v>4</v>
      </c>
      <c r="X664" s="151">
        <f>+VLOOKUP(PROVEEDORES[[#This Row],[ID RETENCION]],Retenciones!$A$1:$O$24,PROVEEDORES[[#This Row],[indicador de columna]],FALSE)</f>
        <v>0</v>
      </c>
      <c r="Y664" s="152">
        <f>+VLOOKUP(PROVEEDORES[[#This Row],[ID RETENCION]],Retenciones!$A$1:$O$24,2,FALSE)</f>
        <v>0</v>
      </c>
      <c r="Z664" s="26"/>
      <c r="AA664" s="26"/>
      <c r="AB664" s="26"/>
      <c r="AC664" s="26"/>
      <c r="AD664" s="26"/>
      <c r="AE664" s="26"/>
    </row>
    <row r="665" spans="1:31" ht="21.95" customHeight="1" x14ac:dyDescent="0.25">
      <c r="A665" s="97" t="str">
        <f>+IF(PROVEEDORES[[#This Row],[FECHA DE PAGO]]=PROVEEDORES[[#This Row],[FECHA DE FACTURACIÓN]],"DE CONTADO","CRÉDITO")</f>
        <v>CRÉDITO</v>
      </c>
      <c r="B665" s="41" t="b">
        <f>+IF((PROVEEDORES[[#This Row],[FECHA DE PAGO]]-PROVEEDORES[[#This Row],[FECHA DE FACTURACIÓN]])&gt;PROVEEDORES[[#This Row],[PLAZO Días]],"PAGO VENCIDO")</f>
        <v>0</v>
      </c>
      <c r="C665" s="22">
        <f>+VLOOKUP(PROVEEDORES[[#This Row],[PROVEEDOR]],TERCEROS_INFO[#All],2,FALSE)</f>
        <v>30</v>
      </c>
      <c r="D665" s="27">
        <f>+SUMIFS(PROVEEDORES[Total],PROVEEDORES[PROVEEDOR],PROVEEDORES[[#This Row],[PROVEEDOR]],PROVEEDORES[FECHA DE PAGO],"")</f>
        <v>0</v>
      </c>
      <c r="E665" s="27"/>
      <c r="F665" s="62" t="str">
        <f>+VLOOKUP(PROVEEDORES[[#This Row],[PROVEEDOR]],
                       Terceros!$A:$G,
                       6,
                       FALSE)</f>
        <v/>
      </c>
      <c r="G665" s="95">
        <v>44428</v>
      </c>
      <c r="H665" s="28" t="s">
        <v>1075</v>
      </c>
      <c r="I665" s="95">
        <v>44423</v>
      </c>
      <c r="J665" s="38" t="s">
        <v>785</v>
      </c>
      <c r="K665" s="23">
        <v>1026700</v>
      </c>
      <c r="L665" s="23"/>
      <c r="M665" s="24">
        <v>0</v>
      </c>
      <c r="N665" s="25"/>
      <c r="O665" s="24">
        <v>0</v>
      </c>
      <c r="P665" s="136">
        <f>+IF(PROVEEDORES[[#This Row],[SUBTOTAL]]&lt;PROVEEDORES[[#This Row],[base retencion]],0,PROVEEDORES[[#This Row],[retención aplicada]])</f>
        <v>0</v>
      </c>
      <c r="Q665" s="24">
        <f>+PROVEEDORES[[#This Row],[Rete Fuente %]]*PROVEEDORES[[#This Row],[SUBTOTAL]]</f>
        <v>0</v>
      </c>
      <c r="R665" s="23">
        <v>1026700</v>
      </c>
      <c r="S66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5" s="99">
        <f ca="1">IF(PROVEEDORES[[#This Row],[FECHA DE PAGO]]=0,TODAY()-PROVEEDORES[[#This Row],[FECHA DE FACTURACIÓN]]-PROVEEDORES[[#This Row],[PLAZO Días]],0)</f>
        <v>0</v>
      </c>
      <c r="U665" s="149">
        <f>+VLOOKUP(PROVEEDORES[[#This Row],[PROVEEDOR]],Terceros!$A:$E,5,FALSE)</f>
        <v>0</v>
      </c>
      <c r="V665" s="150">
        <f>+YEAR(PROVEEDORES[[#This Row],[FECHA DE FACTURACIÓN]])</f>
        <v>2021</v>
      </c>
      <c r="W665" s="150">
        <f>+MATCH(PROVEEDORES[[#This Row],[año facturado]],Retenciones!$1:$1,0)</f>
        <v>4</v>
      </c>
      <c r="X665" s="151">
        <f>+VLOOKUP(PROVEEDORES[[#This Row],[ID RETENCION]],Retenciones!$A$1:$O$24,PROVEEDORES[[#This Row],[indicador de columna]],FALSE)</f>
        <v>0</v>
      </c>
      <c r="Y665" s="152">
        <f>+VLOOKUP(PROVEEDORES[[#This Row],[ID RETENCION]],Retenciones!$A$1:$O$24,2,FALSE)</f>
        <v>0</v>
      </c>
      <c r="Z665" s="26"/>
      <c r="AA665" s="26"/>
      <c r="AB665" s="26"/>
      <c r="AC665" s="26"/>
      <c r="AD665" s="26"/>
      <c r="AE665" s="26"/>
    </row>
    <row r="666" spans="1:31" ht="21.95" customHeight="1" x14ac:dyDescent="0.25">
      <c r="A666" s="97" t="str">
        <f>+IF(PROVEEDORES[[#This Row],[FECHA DE PAGO]]=PROVEEDORES[[#This Row],[FECHA DE FACTURACIÓN]],"DE CONTADO","CRÉDITO")</f>
        <v>CRÉDITO</v>
      </c>
      <c r="B666" s="41" t="b">
        <f>+IF((PROVEEDORES[[#This Row],[FECHA DE PAGO]]-PROVEEDORES[[#This Row],[FECHA DE FACTURACIÓN]])&gt;PROVEEDORES[[#This Row],[PLAZO Días]],"PAGO VENCIDO")</f>
        <v>0</v>
      </c>
      <c r="C666" s="22">
        <f>+VLOOKUP(PROVEEDORES[[#This Row],[PROVEEDOR]],TERCEROS_INFO[#All],2,FALSE)</f>
        <v>30</v>
      </c>
      <c r="D666" s="27">
        <f>+SUMIFS(PROVEEDORES[Total],PROVEEDORES[PROVEEDOR],PROVEEDORES[[#This Row],[PROVEEDOR]],PROVEEDORES[FECHA DE PAGO],"")</f>
        <v>-417303</v>
      </c>
      <c r="E666" s="27"/>
      <c r="F666" s="62" t="str">
        <f>+VLOOKUP(PROVEEDORES[[#This Row],[PROVEEDOR]],
                       Terceros!$A:$G,
                       6,
                       FALSE)</f>
        <v>wruiz@tsqsa.com;venta1@disuiza.com;girlesa.ruiz@servipilas.com;joriescobar64@gmail.com</v>
      </c>
      <c r="H666" s="28" t="s">
        <v>80</v>
      </c>
      <c r="I666" s="95">
        <v>44425</v>
      </c>
      <c r="J666" s="38" t="s">
        <v>502</v>
      </c>
      <c r="K666" s="23">
        <v>-358200</v>
      </c>
      <c r="L666" s="23"/>
      <c r="M666" s="24">
        <v>-68058</v>
      </c>
      <c r="N666" s="25"/>
      <c r="O666" s="24">
        <v>0</v>
      </c>
      <c r="P666" s="136">
        <f>+IF(PROVEEDORES[[#This Row],[SUBTOTAL]]&lt;PROVEEDORES[[#This Row],[base retencion]],0,PROVEEDORES[[#This Row],[retención aplicada]])</f>
        <v>0</v>
      </c>
      <c r="Q666" s="24">
        <f>+PROVEEDORES[[#This Row],[Rete Fuente %]]*PROVEEDORES[[#This Row],[SUBTOTAL]]</f>
        <v>0</v>
      </c>
      <c r="R666" s="23">
        <v>-417303</v>
      </c>
      <c r="S666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666" s="99">
        <f ca="1">IF(PROVEEDORES[[#This Row],[FECHA DE PAGO]]=0,TODAY()-PROVEEDORES[[#This Row],[FECHA DE FACTURACIÓN]]-PROVEEDORES[[#This Row],[PLAZO Días]],0)</f>
        <v>229</v>
      </c>
      <c r="U666" s="149" t="str">
        <f>+VLOOKUP(PROVEEDORES[[#This Row],[PROVEEDOR]],Terceros!$A:$E,5,FALSE)</f>
        <v>2,5% con base</v>
      </c>
      <c r="V666" s="150">
        <f>+YEAR(PROVEEDORES[[#This Row],[FECHA DE FACTURACIÓN]])</f>
        <v>2021</v>
      </c>
      <c r="W666" s="150">
        <f>+MATCH(PROVEEDORES[[#This Row],[año facturado]],Retenciones!$1:$1,0)</f>
        <v>4</v>
      </c>
      <c r="X666" s="151">
        <f>+VLOOKUP(PROVEEDORES[[#This Row],[ID RETENCION]],Retenciones!$A$1:$O$24,PROVEEDORES[[#This Row],[indicador de columna]],FALSE)</f>
        <v>980000</v>
      </c>
      <c r="Y666" s="152">
        <f>+VLOOKUP(PROVEEDORES[[#This Row],[ID RETENCION]],Retenciones!$A$1:$O$24,2,FALSE)</f>
        <v>2.5000000000000001E-2</v>
      </c>
      <c r="Z666" s="26"/>
      <c r="AA666" s="26"/>
      <c r="AB666" s="26"/>
      <c r="AC666" s="26"/>
      <c r="AD666" s="26"/>
      <c r="AE666" s="26"/>
    </row>
    <row r="667" spans="1:31" ht="21.95" customHeight="1" x14ac:dyDescent="0.25">
      <c r="A667" s="97" t="str">
        <f>+IF(PROVEEDORES[[#This Row],[FECHA DE PAGO]]=PROVEEDORES[[#This Row],[FECHA DE FACTURACIÓN]],"DE CONTADO","CRÉDITO")</f>
        <v>DE CONTADO</v>
      </c>
      <c r="B667" s="41" t="b">
        <f>+IF((PROVEEDORES[[#This Row],[FECHA DE PAGO]]-PROVEEDORES[[#This Row],[FECHA DE FACTURACIÓN]])&gt;PROVEEDORES[[#This Row],[PLAZO Días]],"PAGO VENCIDO")</f>
        <v>0</v>
      </c>
      <c r="C667" s="22">
        <f>+VLOOKUP(PROVEEDORES[[#This Row],[PROVEEDOR]],TERCEROS_INFO[#All],2,FALSE)</f>
        <v>30</v>
      </c>
      <c r="D667" s="27">
        <f>+SUMIFS(PROVEEDORES[Total],PROVEEDORES[PROVEEDOR],PROVEEDORES[[#This Row],[PROVEEDOR]],PROVEEDORES[FECHA DE PAGO],"")</f>
        <v>0</v>
      </c>
      <c r="E667" s="27"/>
      <c r="F667" s="62" t="str">
        <f>+VLOOKUP(PROVEEDORES[[#This Row],[PROVEEDOR]],
                       Terceros!$A:$G,
                       6,
                       FALSE)</f>
        <v/>
      </c>
      <c r="G667" s="95">
        <v>44425</v>
      </c>
      <c r="H667" s="28" t="s">
        <v>1010</v>
      </c>
      <c r="I667" s="95">
        <v>44425</v>
      </c>
      <c r="J667" s="38" t="s">
        <v>787</v>
      </c>
      <c r="K667" s="23">
        <v>180050</v>
      </c>
      <c r="L667" s="23"/>
      <c r="M667" s="24">
        <v>0</v>
      </c>
      <c r="N667" s="25"/>
      <c r="O667" s="24">
        <v>0</v>
      </c>
      <c r="P667" s="136">
        <f>+IF(PROVEEDORES[[#This Row],[SUBTOTAL]]&lt;PROVEEDORES[[#This Row],[base retencion]],0,PROVEEDORES[[#This Row],[retención aplicada]])</f>
        <v>0</v>
      </c>
      <c r="Q667" s="24">
        <f>+PROVEEDORES[[#This Row],[Rete Fuente %]]*PROVEEDORES[[#This Row],[SUBTOTAL]]</f>
        <v>0</v>
      </c>
      <c r="R667" s="23">
        <v>180050</v>
      </c>
      <c r="S66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7" s="99">
        <f ca="1">IF(PROVEEDORES[[#This Row],[FECHA DE PAGO]]=0,TODAY()-PROVEEDORES[[#This Row],[FECHA DE FACTURACIÓN]]-PROVEEDORES[[#This Row],[PLAZO Días]],0)</f>
        <v>0</v>
      </c>
      <c r="U667" s="149">
        <f>+VLOOKUP(PROVEEDORES[[#This Row],[PROVEEDOR]],Terceros!$A:$E,5,FALSE)</f>
        <v>0</v>
      </c>
      <c r="V667" s="150">
        <f>+YEAR(PROVEEDORES[[#This Row],[FECHA DE FACTURACIÓN]])</f>
        <v>2021</v>
      </c>
      <c r="W667" s="150">
        <f>+MATCH(PROVEEDORES[[#This Row],[año facturado]],Retenciones!$1:$1,0)</f>
        <v>4</v>
      </c>
      <c r="X667" s="151">
        <f>+VLOOKUP(PROVEEDORES[[#This Row],[ID RETENCION]],Retenciones!$A$1:$O$24,PROVEEDORES[[#This Row],[indicador de columna]],FALSE)</f>
        <v>0</v>
      </c>
      <c r="Y667" s="152">
        <f>+VLOOKUP(PROVEEDORES[[#This Row],[ID RETENCION]],Retenciones!$A$1:$O$24,2,FALSE)</f>
        <v>0</v>
      </c>
      <c r="Z667" s="26"/>
      <c r="AA667" s="26"/>
      <c r="AB667" s="26"/>
      <c r="AC667" s="26"/>
      <c r="AD667" s="26"/>
      <c r="AE667" s="26"/>
    </row>
    <row r="668" spans="1:31" ht="21.95" customHeight="1" x14ac:dyDescent="0.25">
      <c r="A668" s="97" t="str">
        <f>+IF(PROVEEDORES[[#This Row],[FECHA DE PAGO]]=PROVEEDORES[[#This Row],[FECHA DE FACTURACIÓN]],"DE CONTADO","CRÉDITO")</f>
        <v>CRÉDITO</v>
      </c>
      <c r="B668" s="41" t="str">
        <f>+IF((PROVEEDORES[[#This Row],[FECHA DE PAGO]]-PROVEEDORES[[#This Row],[FECHA DE FACTURACIÓN]])&gt;PROVEEDORES[[#This Row],[PLAZO Días]],"PAGO VENCIDO")</f>
        <v>PAGO VENCIDO</v>
      </c>
      <c r="C668" s="22">
        <f>+VLOOKUP(PROVEEDORES[[#This Row],[PROVEEDOR]],TERCEROS_INFO[#All],2,FALSE)</f>
        <v>30</v>
      </c>
      <c r="D668" s="27">
        <f>+SUMIFS(PROVEEDORES[Total],PROVEEDORES[PROVEEDOR],PROVEEDORES[[#This Row],[PROVEEDOR]],PROVEEDORES[FECHA DE PAGO],"")</f>
        <v>0</v>
      </c>
      <c r="E668" s="27"/>
      <c r="F668" s="62" t="str">
        <f>+VLOOKUP(PROVEEDORES[[#This Row],[PROVEEDOR]],
                       Terceros!$A:$G,
                       6,
                       FALSE)</f>
        <v>cxc11@unitecusa.com.co;jefecartera@unitecusa.com.co;girlesa.ruiz@servipilas.com;joriescobar64@gmail.com</v>
      </c>
      <c r="G668" s="95">
        <v>44461</v>
      </c>
      <c r="H668" s="28" t="s">
        <v>14</v>
      </c>
      <c r="I668" s="95">
        <v>44425</v>
      </c>
      <c r="J668" s="38" t="s">
        <v>487</v>
      </c>
      <c r="K668" s="23">
        <v>398992</v>
      </c>
      <c r="L668" s="23"/>
      <c r="M668" s="24">
        <v>75808.479999999996</v>
      </c>
      <c r="N668" s="25"/>
      <c r="O668" s="24">
        <v>0</v>
      </c>
      <c r="P668" s="136">
        <f>+IF(PROVEEDORES[[#This Row],[SUBTOTAL]]&lt;PROVEEDORES[[#This Row],[base retencion]],0,PROVEEDORES[[#This Row],[retención aplicada]])</f>
        <v>0</v>
      </c>
      <c r="Q668" s="24">
        <f>+PROVEEDORES[[#This Row],[Rete Fuente %]]*PROVEEDORES[[#This Row],[SUBTOTAL]]</f>
        <v>0</v>
      </c>
      <c r="R668" s="23">
        <v>474800.48</v>
      </c>
      <c r="S66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8" s="99">
        <f ca="1">IF(PROVEEDORES[[#This Row],[FECHA DE PAGO]]=0,TODAY()-PROVEEDORES[[#This Row],[FECHA DE FACTURACIÓN]]-PROVEEDORES[[#This Row],[PLAZO Días]],0)</f>
        <v>0</v>
      </c>
      <c r="U668" s="149" t="str">
        <f>+VLOOKUP(PROVEEDORES[[#This Row],[PROVEEDOR]],Terceros!$A:$E,5,FALSE)</f>
        <v>2,5% con base</v>
      </c>
      <c r="V668" s="150">
        <f>+YEAR(PROVEEDORES[[#This Row],[FECHA DE FACTURACIÓN]])</f>
        <v>2021</v>
      </c>
      <c r="W668" s="150">
        <f>+MATCH(PROVEEDORES[[#This Row],[año facturado]],Retenciones!$1:$1,0)</f>
        <v>4</v>
      </c>
      <c r="X668" s="151">
        <f>+VLOOKUP(PROVEEDORES[[#This Row],[ID RETENCION]],Retenciones!$A$1:$O$24,PROVEEDORES[[#This Row],[indicador de columna]],FALSE)</f>
        <v>980000</v>
      </c>
      <c r="Y668" s="152">
        <f>+VLOOKUP(PROVEEDORES[[#This Row],[ID RETENCION]],Retenciones!$A$1:$O$24,2,FALSE)</f>
        <v>2.5000000000000001E-2</v>
      </c>
      <c r="Z668" s="26"/>
      <c r="AA668" s="26"/>
      <c r="AB668" s="26"/>
      <c r="AC668" s="26"/>
      <c r="AD668" s="26"/>
      <c r="AE668" s="26"/>
    </row>
    <row r="669" spans="1:31" ht="21.95" customHeight="1" x14ac:dyDescent="0.25">
      <c r="A669" s="97" t="str">
        <f>+IF(PROVEEDORES[[#This Row],[FECHA DE PAGO]]=PROVEEDORES[[#This Row],[FECHA DE FACTURACIÓN]],"DE CONTADO","CRÉDITO")</f>
        <v>CRÉDITO</v>
      </c>
      <c r="B669" s="41" t="b">
        <f>+IF((PROVEEDORES[[#This Row],[FECHA DE PAGO]]-PROVEEDORES[[#This Row],[FECHA DE FACTURACIÓN]])&gt;PROVEEDORES[[#This Row],[PLAZO Días]],"PAGO VENCIDO")</f>
        <v>0</v>
      </c>
      <c r="C669" s="22">
        <f>+VLOOKUP(PROVEEDORES[[#This Row],[PROVEEDOR]],TERCEROS_INFO[#All],2,FALSE)</f>
        <v>30</v>
      </c>
      <c r="D669" s="27">
        <f>+SUMIFS(PROVEEDORES[Total],PROVEEDORES[PROVEEDOR],PROVEEDORES[[#This Row],[PROVEEDOR]],PROVEEDORES[FECHA DE PAGO],"")</f>
        <v>0</v>
      </c>
      <c r="E669" s="27"/>
      <c r="F669" s="62" t="str">
        <f>+VLOOKUP(PROVEEDORES[[#This Row],[PROVEEDOR]],
                       Terceros!$A:$G,
                       6,
                       FALSE)</f>
        <v>jarlysas@gmail.com;o.clockinternational@gmail.com;girlesa.ruiz@servipilas.com;joriescobar64@gmail.com</v>
      </c>
      <c r="G669" s="95">
        <v>44414</v>
      </c>
      <c r="H669" s="28" t="s">
        <v>1042</v>
      </c>
      <c r="I669" s="95">
        <v>44425</v>
      </c>
      <c r="J669" s="38" t="s">
        <v>788</v>
      </c>
      <c r="K669" s="23">
        <v>488000</v>
      </c>
      <c r="L669" s="23"/>
      <c r="M669" s="24">
        <v>0</v>
      </c>
      <c r="N669" s="25"/>
      <c r="O669" s="24">
        <v>0</v>
      </c>
      <c r="P669" s="136">
        <f>+IF(PROVEEDORES[[#This Row],[SUBTOTAL]]&lt;PROVEEDORES[[#This Row],[base retencion]],0,PROVEEDORES[[#This Row],[retención aplicada]])</f>
        <v>0</v>
      </c>
      <c r="Q669" s="24">
        <f>+PROVEEDORES[[#This Row],[Rete Fuente %]]*PROVEEDORES[[#This Row],[SUBTOTAL]]</f>
        <v>0</v>
      </c>
      <c r="R669" s="23">
        <v>488000</v>
      </c>
      <c r="S66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9" s="99">
        <f ca="1">IF(PROVEEDORES[[#This Row],[FECHA DE PAGO]]=0,TODAY()-PROVEEDORES[[#This Row],[FECHA DE FACTURACIÓN]]-PROVEEDORES[[#This Row],[PLAZO Días]],0)</f>
        <v>0</v>
      </c>
      <c r="U669" s="149">
        <f>+VLOOKUP(PROVEEDORES[[#This Row],[PROVEEDOR]],Terceros!$A:$E,5,FALSE)</f>
        <v>0</v>
      </c>
      <c r="V669" s="150">
        <f>+YEAR(PROVEEDORES[[#This Row],[FECHA DE FACTURACIÓN]])</f>
        <v>2021</v>
      </c>
      <c r="W669" s="150">
        <f>+MATCH(PROVEEDORES[[#This Row],[año facturado]],Retenciones!$1:$1,0)</f>
        <v>4</v>
      </c>
      <c r="X669" s="151">
        <f>+VLOOKUP(PROVEEDORES[[#This Row],[ID RETENCION]],Retenciones!$A$1:$O$24,PROVEEDORES[[#This Row],[indicador de columna]],FALSE)</f>
        <v>0</v>
      </c>
      <c r="Y669" s="152">
        <f>+VLOOKUP(PROVEEDORES[[#This Row],[ID RETENCION]],Retenciones!$A$1:$O$24,2,FALSE)</f>
        <v>0</v>
      </c>
      <c r="Z669" s="26"/>
      <c r="AA669" s="26"/>
      <c r="AB669" s="26"/>
      <c r="AC669" s="26"/>
      <c r="AD669" s="26"/>
      <c r="AE669" s="26"/>
    </row>
    <row r="670" spans="1:31" ht="21.95" customHeight="1" x14ac:dyDescent="0.25">
      <c r="A670" s="97" t="str">
        <f>+IF(PROVEEDORES[[#This Row],[FECHA DE PAGO]]=PROVEEDORES[[#This Row],[FECHA DE FACTURACIÓN]],"DE CONTADO","CRÉDITO")</f>
        <v>CRÉDITO</v>
      </c>
      <c r="B670" s="41" t="b">
        <f>+IF((PROVEEDORES[[#This Row],[FECHA DE PAGO]]-PROVEEDORES[[#This Row],[FECHA DE FACTURACIÓN]])&gt;PROVEEDORES[[#This Row],[PLAZO Días]],"PAGO VENCIDO")</f>
        <v>0</v>
      </c>
      <c r="C670" s="22">
        <f>+VLOOKUP(PROVEEDORES[[#This Row],[PROVEEDOR]],TERCEROS_INFO[#All],2,FALSE)</f>
        <v>30</v>
      </c>
      <c r="D670" s="27">
        <f>+SUMIFS(PROVEEDORES[Total],PROVEEDORES[PROVEEDOR],PROVEEDORES[[#This Row],[PROVEEDOR]],PROVEEDORES[FECHA DE PAGO],"")</f>
        <v>0</v>
      </c>
      <c r="E670" s="27"/>
      <c r="F670" s="62" t="str">
        <f>+VLOOKUP(PROVEEDORES[[#This Row],[PROVEEDOR]],
                       Terceros!$A:$G,
                       6,
                       FALSE)</f>
        <v>lpena@tbplusenergy.com;girlesa.ruiz@servipilas.com;joriescobar64@gmail.com</v>
      </c>
      <c r="G670" s="95">
        <v>44426</v>
      </c>
      <c r="H670" s="28" t="s">
        <v>471</v>
      </c>
      <c r="I670" s="95">
        <v>44425</v>
      </c>
      <c r="J670" s="38">
        <v>10348</v>
      </c>
      <c r="K670" s="23">
        <v>630000</v>
      </c>
      <c r="L670" s="23"/>
      <c r="M670" s="24">
        <v>119700</v>
      </c>
      <c r="N670" s="25"/>
      <c r="O670" s="24">
        <v>0</v>
      </c>
      <c r="P670" s="136">
        <f>+IF(PROVEEDORES[[#This Row],[SUBTOTAL]]&lt;PROVEEDORES[[#This Row],[base retencion]],0,PROVEEDORES[[#This Row],[retención aplicada]])</f>
        <v>0</v>
      </c>
      <c r="Q670" s="24">
        <f>+PROVEEDORES[[#This Row],[Rete Fuente %]]*PROVEEDORES[[#This Row],[SUBTOTAL]]</f>
        <v>0</v>
      </c>
      <c r="R670" s="23">
        <v>749700</v>
      </c>
      <c r="S67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0" s="99">
        <f ca="1">IF(PROVEEDORES[[#This Row],[FECHA DE PAGO]]=0,TODAY()-PROVEEDORES[[#This Row],[FECHA DE FACTURACIÓN]]-PROVEEDORES[[#This Row],[PLAZO Días]],0)</f>
        <v>0</v>
      </c>
      <c r="U670" s="149" t="str">
        <f>+VLOOKUP(PROVEEDORES[[#This Row],[PROVEEDOR]],Terceros!$A:$E,5,FALSE)</f>
        <v>2,5% con base</v>
      </c>
      <c r="V670" s="150">
        <f>+YEAR(PROVEEDORES[[#This Row],[FECHA DE FACTURACIÓN]])</f>
        <v>2021</v>
      </c>
      <c r="W670" s="150">
        <f>+MATCH(PROVEEDORES[[#This Row],[año facturado]],Retenciones!$1:$1,0)</f>
        <v>4</v>
      </c>
      <c r="X670" s="151">
        <f>+VLOOKUP(PROVEEDORES[[#This Row],[ID RETENCION]],Retenciones!$A$1:$O$24,PROVEEDORES[[#This Row],[indicador de columna]],FALSE)</f>
        <v>980000</v>
      </c>
      <c r="Y670" s="152">
        <f>+VLOOKUP(PROVEEDORES[[#This Row],[ID RETENCION]],Retenciones!$A$1:$O$24,2,FALSE)</f>
        <v>2.5000000000000001E-2</v>
      </c>
      <c r="Z670" s="26"/>
      <c r="AA670" s="26"/>
      <c r="AB670" s="26"/>
      <c r="AC670" s="26"/>
      <c r="AD670" s="26"/>
      <c r="AE670" s="26"/>
    </row>
    <row r="671" spans="1:31" ht="21.95" customHeight="1" x14ac:dyDescent="0.25">
      <c r="A671" s="97" t="str">
        <f>+IF(PROVEEDORES[[#This Row],[FECHA DE PAGO]]=PROVEEDORES[[#This Row],[FECHA DE FACTURACIÓN]],"DE CONTADO","CRÉDITO")</f>
        <v>CRÉDITO</v>
      </c>
      <c r="B671" s="41" t="str">
        <f>+IF((PROVEEDORES[[#This Row],[FECHA DE PAGO]]-PROVEEDORES[[#This Row],[FECHA DE FACTURACIÓN]])&gt;PROVEEDORES[[#This Row],[PLAZO Días]],"PAGO VENCIDO")</f>
        <v>PAGO VENCIDO</v>
      </c>
      <c r="C671" s="22">
        <f>+VLOOKUP(PROVEEDORES[[#This Row],[PROVEEDOR]],TERCEROS_INFO[#All],2,FALSE)</f>
        <v>30</v>
      </c>
      <c r="D671" s="27">
        <f>+SUMIFS(PROVEEDORES[Total],PROVEEDORES[PROVEEDOR],PROVEEDORES[[#This Row],[PROVEEDOR]],PROVEEDORES[FECHA DE PAGO],"")</f>
        <v>3750700</v>
      </c>
      <c r="E671" s="27"/>
      <c r="F671" s="62" t="str">
        <f>+VLOOKUP(PROVEEDORES[[#This Row],[PROVEEDOR]],
                       Terceros!$A:$G,
                       6,
                       FALSE)</f>
        <v/>
      </c>
      <c r="G671" s="95">
        <v>44466</v>
      </c>
      <c r="H671" s="28" t="s">
        <v>990</v>
      </c>
      <c r="I671" s="95">
        <v>44425</v>
      </c>
      <c r="J671" s="38" t="s">
        <v>786</v>
      </c>
      <c r="K671" s="23">
        <v>1019000</v>
      </c>
      <c r="L671" s="23"/>
      <c r="M671" s="24">
        <v>0</v>
      </c>
      <c r="N671" s="25"/>
      <c r="O671" s="24">
        <v>0</v>
      </c>
      <c r="P671" s="136">
        <f>+IF(PROVEEDORES[[#This Row],[SUBTOTAL]]&lt;PROVEEDORES[[#This Row],[base retencion]],0,PROVEEDORES[[#This Row],[retención aplicada]])</f>
        <v>0</v>
      </c>
      <c r="Q671" s="24">
        <f>+PROVEEDORES[[#This Row],[Rete Fuente %]]*PROVEEDORES[[#This Row],[SUBTOTAL]]</f>
        <v>0</v>
      </c>
      <c r="R671" s="23">
        <v>1019000</v>
      </c>
      <c r="S67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1" s="99">
        <f ca="1">IF(PROVEEDORES[[#This Row],[FECHA DE PAGO]]=0,TODAY()-PROVEEDORES[[#This Row],[FECHA DE FACTURACIÓN]]-PROVEEDORES[[#This Row],[PLAZO Días]],0)</f>
        <v>0</v>
      </c>
      <c r="U671" s="149">
        <f>+VLOOKUP(PROVEEDORES[[#This Row],[PROVEEDOR]],Terceros!$A:$E,5,FALSE)</f>
        <v>0</v>
      </c>
      <c r="V671" s="150">
        <f>+YEAR(PROVEEDORES[[#This Row],[FECHA DE FACTURACIÓN]])</f>
        <v>2021</v>
      </c>
      <c r="W671" s="150">
        <f>+MATCH(PROVEEDORES[[#This Row],[año facturado]],Retenciones!$1:$1,0)</f>
        <v>4</v>
      </c>
      <c r="X671" s="151">
        <f>+VLOOKUP(PROVEEDORES[[#This Row],[ID RETENCION]],Retenciones!$A$1:$O$24,PROVEEDORES[[#This Row],[indicador de columna]],FALSE)</f>
        <v>0</v>
      </c>
      <c r="Y671" s="152">
        <f>+VLOOKUP(PROVEEDORES[[#This Row],[ID RETENCION]],Retenciones!$A$1:$O$24,2,FALSE)</f>
        <v>0</v>
      </c>
      <c r="Z671" s="26"/>
      <c r="AA671" s="26"/>
      <c r="AB671" s="26"/>
      <c r="AC671" s="26"/>
      <c r="AD671" s="26"/>
      <c r="AE671" s="26"/>
    </row>
    <row r="672" spans="1:31" ht="21.95" customHeight="1" x14ac:dyDescent="0.25">
      <c r="A672" s="97" t="str">
        <f>+IF(PROVEEDORES[[#This Row],[FECHA DE PAGO]]=PROVEEDORES[[#This Row],[FECHA DE FACTURACIÓN]],"DE CONTADO","CRÉDITO")</f>
        <v>DE CONTADO</v>
      </c>
      <c r="B672" s="41" t="b">
        <f>+IF((PROVEEDORES[[#This Row],[FECHA DE PAGO]]-PROVEEDORES[[#This Row],[FECHA DE FACTURACIÓN]])&gt;PROVEEDORES[[#This Row],[PLAZO Días]],"PAGO VENCIDO")</f>
        <v>0</v>
      </c>
      <c r="C672" s="22">
        <f>+VLOOKUP(PROVEEDORES[[#This Row],[PROVEEDOR]],TERCEROS_INFO[#All],2,FALSE)</f>
        <v>30</v>
      </c>
      <c r="D672" s="27">
        <f>+SUMIFS(PROVEEDORES[Total],PROVEEDORES[PROVEEDOR],PROVEEDORES[[#This Row],[PROVEEDOR]],PROVEEDORES[FECHA DE PAGO],"")</f>
        <v>-417303</v>
      </c>
      <c r="E672" s="27"/>
      <c r="F672" s="62" t="str">
        <f>+VLOOKUP(PROVEEDORES[[#This Row],[PROVEEDOR]],
                       Terceros!$A:$G,
                       6,
                       FALSE)</f>
        <v>wruiz@tsqsa.com;venta1@disuiza.com;girlesa.ruiz@servipilas.com;joriescobar64@gmail.com</v>
      </c>
      <c r="G672" s="95">
        <v>44425</v>
      </c>
      <c r="H672" s="28" t="s">
        <v>80</v>
      </c>
      <c r="I672" s="95">
        <v>44425</v>
      </c>
      <c r="J672" s="38" t="s">
        <v>475</v>
      </c>
      <c r="K672" s="23">
        <v>3424000</v>
      </c>
      <c r="L672" s="23">
        <v>342400</v>
      </c>
      <c r="M672" s="24">
        <v>585504</v>
      </c>
      <c r="N672" s="25"/>
      <c r="O672" s="24">
        <v>0</v>
      </c>
      <c r="P672" s="136">
        <f>+IF(PROVEEDORES[[#This Row],[SUBTOTAL]]&lt;PROVEEDORES[[#This Row],[base retencion]],0,PROVEEDORES[[#This Row],[retención aplicada]])</f>
        <v>2.5000000000000001E-2</v>
      </c>
      <c r="Q672" s="24">
        <f>+PROVEEDORES[[#This Row],[Rete Fuente %]]*PROVEEDORES[[#This Row],[SUBTOTAL]]</f>
        <v>85600</v>
      </c>
      <c r="R672" s="23">
        <v>3590064</v>
      </c>
      <c r="S67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2" s="99">
        <f ca="1">IF(PROVEEDORES[[#This Row],[FECHA DE PAGO]]=0,TODAY()-PROVEEDORES[[#This Row],[FECHA DE FACTURACIÓN]]-PROVEEDORES[[#This Row],[PLAZO Días]],0)</f>
        <v>0</v>
      </c>
      <c r="U672" s="149" t="str">
        <f>+VLOOKUP(PROVEEDORES[[#This Row],[PROVEEDOR]],Terceros!$A:$E,5,FALSE)</f>
        <v>2,5% con base</v>
      </c>
      <c r="V672" s="150">
        <f>+YEAR(PROVEEDORES[[#This Row],[FECHA DE FACTURACIÓN]])</f>
        <v>2021</v>
      </c>
      <c r="W672" s="150">
        <f>+MATCH(PROVEEDORES[[#This Row],[año facturado]],Retenciones!$1:$1,0)</f>
        <v>4</v>
      </c>
      <c r="X672" s="151">
        <f>+VLOOKUP(PROVEEDORES[[#This Row],[ID RETENCION]],Retenciones!$A$1:$O$24,PROVEEDORES[[#This Row],[indicador de columna]],FALSE)</f>
        <v>980000</v>
      </c>
      <c r="Y672" s="152">
        <f>+VLOOKUP(PROVEEDORES[[#This Row],[ID RETENCION]],Retenciones!$A$1:$O$24,2,FALSE)</f>
        <v>2.5000000000000001E-2</v>
      </c>
      <c r="Z672" s="26"/>
      <c r="AA672" s="26"/>
      <c r="AB672" s="26"/>
      <c r="AC672" s="26"/>
      <c r="AD672" s="26"/>
      <c r="AE672" s="26"/>
    </row>
    <row r="673" spans="1:31" ht="21.95" customHeight="1" x14ac:dyDescent="0.25">
      <c r="A673" s="97" t="str">
        <f>+IF(PROVEEDORES[[#This Row],[FECHA DE PAGO]]=PROVEEDORES[[#This Row],[FECHA DE FACTURACIÓN]],"DE CONTADO","CRÉDITO")</f>
        <v>CRÉDITO</v>
      </c>
      <c r="B673" s="41" t="str">
        <f>+IF((PROVEEDORES[[#This Row],[FECHA DE PAGO]]-PROVEEDORES[[#This Row],[FECHA DE FACTURACIÓN]])&gt;PROVEEDORES[[#This Row],[PLAZO Días]],"PAGO VENCIDO")</f>
        <v>PAGO VENCIDO</v>
      </c>
      <c r="C673" s="22">
        <f>+VLOOKUP(PROVEEDORES[[#This Row],[PROVEEDOR]],TERCEROS_INFO[#All],2,FALSE)</f>
        <v>30</v>
      </c>
      <c r="D673" s="27">
        <f>+SUMIFS(PROVEEDORES[Total],PROVEEDORES[PROVEEDOR],PROVEEDORES[[#This Row],[PROVEEDOR]],PROVEEDORES[FECHA DE PAGO],"")</f>
        <v>1979529.3</v>
      </c>
      <c r="E673" s="27"/>
      <c r="F673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673" s="95">
        <v>44461</v>
      </c>
      <c r="H673" s="28" t="s">
        <v>17</v>
      </c>
      <c r="I673" s="95">
        <v>44426</v>
      </c>
      <c r="J673" s="38">
        <v>1801133</v>
      </c>
      <c r="K673" s="23">
        <v>577200</v>
      </c>
      <c r="L673" s="23"/>
      <c r="M673" s="24">
        <v>109668</v>
      </c>
      <c r="N673" s="25"/>
      <c r="O673" s="24">
        <v>0</v>
      </c>
      <c r="P673" s="136">
        <f>+IF(PROVEEDORES[[#This Row],[SUBTOTAL]]&lt;PROVEEDORES[[#This Row],[base retencion]],0,PROVEEDORES[[#This Row],[retención aplicada]])</f>
        <v>0</v>
      </c>
      <c r="Q673" s="24">
        <f>+PROVEEDORES[[#This Row],[Rete Fuente %]]*PROVEEDORES[[#This Row],[SUBTOTAL]]</f>
        <v>0</v>
      </c>
      <c r="R673" s="23">
        <v>-12184.82</v>
      </c>
      <c r="S67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3" s="99">
        <f ca="1">IF(PROVEEDORES[[#This Row],[FECHA DE PAGO]]=0,TODAY()-PROVEEDORES[[#This Row],[FECHA DE FACTURACIÓN]]-PROVEEDORES[[#This Row],[PLAZO Días]],0)</f>
        <v>0</v>
      </c>
      <c r="U673" s="149">
        <f>+VLOOKUP(PROVEEDORES[[#This Row],[PROVEEDOR]],Terceros!$A:$E,5,FALSE)</f>
        <v>0</v>
      </c>
      <c r="V673" s="150">
        <f>+YEAR(PROVEEDORES[[#This Row],[FECHA DE FACTURACIÓN]])</f>
        <v>2021</v>
      </c>
      <c r="W673" s="150">
        <f>+MATCH(PROVEEDORES[[#This Row],[año facturado]],Retenciones!$1:$1,0)</f>
        <v>4</v>
      </c>
      <c r="X673" s="151">
        <f>+VLOOKUP(PROVEEDORES[[#This Row],[ID RETENCION]],Retenciones!$A$1:$O$24,PROVEEDORES[[#This Row],[indicador de columna]],FALSE)</f>
        <v>0</v>
      </c>
      <c r="Y673" s="152">
        <f>+VLOOKUP(PROVEEDORES[[#This Row],[ID RETENCION]],Retenciones!$A$1:$O$24,2,FALSE)</f>
        <v>0</v>
      </c>
      <c r="Z673" s="26"/>
      <c r="AA673" s="26"/>
      <c r="AB673" s="26"/>
      <c r="AC673" s="26"/>
      <c r="AD673" s="26"/>
      <c r="AE673" s="26"/>
    </row>
    <row r="674" spans="1:31" ht="21.95" customHeight="1" x14ac:dyDescent="0.25">
      <c r="A674" s="97" t="str">
        <f>+IF(PROVEEDORES[[#This Row],[FECHA DE PAGO]]=PROVEEDORES[[#This Row],[FECHA DE FACTURACIÓN]],"DE CONTADO","CRÉDITO")</f>
        <v>CRÉDITO</v>
      </c>
      <c r="B674" s="41" t="str">
        <f>+IF((PROVEEDORES[[#This Row],[FECHA DE PAGO]]-PROVEEDORES[[#This Row],[FECHA DE FACTURACIÓN]])&gt;PROVEEDORES[[#This Row],[PLAZO Días]],"PAGO VENCIDO")</f>
        <v>PAGO VENCIDO</v>
      </c>
      <c r="C674" s="22">
        <f>+VLOOKUP(PROVEEDORES[[#This Row],[PROVEEDOR]],TERCEROS_INFO[#All],2,FALSE)</f>
        <v>30</v>
      </c>
      <c r="D674" s="27">
        <f>+SUMIFS(PROVEEDORES[Total],PROVEEDORES[PROVEEDOR],PROVEEDORES[[#This Row],[PROVEEDOR]],PROVEEDORES[FECHA DE PAGO],"")</f>
        <v>1979529.3</v>
      </c>
      <c r="E674" s="27"/>
      <c r="F674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674" s="95">
        <v>44461</v>
      </c>
      <c r="H674" s="28" t="s">
        <v>17</v>
      </c>
      <c r="I674" s="95">
        <v>44426</v>
      </c>
      <c r="J674" s="38">
        <v>1801124</v>
      </c>
      <c r="K674" s="23">
        <v>671300</v>
      </c>
      <c r="L674" s="23"/>
      <c r="M674" s="24">
        <v>29317</v>
      </c>
      <c r="N674" s="25"/>
      <c r="O674" s="24">
        <v>0</v>
      </c>
      <c r="P674" s="136">
        <f>+IF(PROVEEDORES[[#This Row],[SUBTOTAL]]&lt;PROVEEDORES[[#This Row],[base retencion]],0,PROVEEDORES[[#This Row],[retención aplicada]])</f>
        <v>0</v>
      </c>
      <c r="Q674" s="24">
        <f>+PROVEEDORES[[#This Row],[Rete Fuente %]]*PROVEEDORES[[#This Row],[SUBTOTAL]]</f>
        <v>0</v>
      </c>
      <c r="R674" s="23">
        <v>700617</v>
      </c>
      <c r="S67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4" s="99">
        <f ca="1">IF(PROVEEDORES[[#This Row],[FECHA DE PAGO]]=0,TODAY()-PROVEEDORES[[#This Row],[FECHA DE FACTURACIÓN]]-PROVEEDORES[[#This Row],[PLAZO Días]],0)</f>
        <v>0</v>
      </c>
      <c r="U674" s="149">
        <f>+VLOOKUP(PROVEEDORES[[#This Row],[PROVEEDOR]],Terceros!$A:$E,5,FALSE)</f>
        <v>0</v>
      </c>
      <c r="V674" s="150">
        <f>+YEAR(PROVEEDORES[[#This Row],[FECHA DE FACTURACIÓN]])</f>
        <v>2021</v>
      </c>
      <c r="W674" s="150">
        <f>+MATCH(PROVEEDORES[[#This Row],[año facturado]],Retenciones!$1:$1,0)</f>
        <v>4</v>
      </c>
      <c r="X674" s="151">
        <f>+VLOOKUP(PROVEEDORES[[#This Row],[ID RETENCION]],Retenciones!$A$1:$O$24,PROVEEDORES[[#This Row],[indicador de columna]],FALSE)</f>
        <v>0</v>
      </c>
      <c r="Y674" s="152">
        <f>+VLOOKUP(PROVEEDORES[[#This Row],[ID RETENCION]],Retenciones!$A$1:$O$24,2,FALSE)</f>
        <v>0</v>
      </c>
      <c r="Z674" s="26"/>
      <c r="AA674" s="26"/>
      <c r="AB674" s="26"/>
      <c r="AC674" s="26"/>
      <c r="AD674" s="26"/>
      <c r="AE674" s="26"/>
    </row>
    <row r="675" spans="1:31" ht="21.95" customHeight="1" x14ac:dyDescent="0.25">
      <c r="A675" s="97" t="str">
        <f>+IF(PROVEEDORES[[#This Row],[FECHA DE PAGO]]=PROVEEDORES[[#This Row],[FECHA DE FACTURACIÓN]],"DE CONTADO","CRÉDITO")</f>
        <v>CRÉDITO</v>
      </c>
      <c r="B675" s="41" t="str">
        <f>+IF((PROVEEDORES[[#This Row],[FECHA DE PAGO]]-PROVEEDORES[[#This Row],[FECHA DE FACTURACIÓN]])&gt;PROVEEDORES[[#This Row],[PLAZO Días]],"PAGO VENCIDO")</f>
        <v>PAGO VENCIDO</v>
      </c>
      <c r="C675" s="22">
        <f>+VLOOKUP(PROVEEDORES[[#This Row],[PROVEEDOR]],TERCEROS_INFO[#All],2,FALSE)</f>
        <v>30</v>
      </c>
      <c r="D675" s="27">
        <f>+SUMIFS(PROVEEDORES[Total],PROVEEDORES[PROVEEDOR],PROVEEDORES[[#This Row],[PROVEEDOR]],PROVEEDORES[FECHA DE PAGO],"")</f>
        <v>6151200</v>
      </c>
      <c r="E675" s="27"/>
      <c r="F675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675" s="95">
        <v>44476</v>
      </c>
      <c r="H675" s="28" t="s">
        <v>11</v>
      </c>
      <c r="I675" s="95">
        <v>44426</v>
      </c>
      <c r="J675" s="38" t="s">
        <v>478</v>
      </c>
      <c r="K675" s="23">
        <v>4023025</v>
      </c>
      <c r="L675" s="23"/>
      <c r="M675" s="24">
        <v>764374.75</v>
      </c>
      <c r="N675" s="25"/>
      <c r="O675" s="24">
        <v>0</v>
      </c>
      <c r="P675" s="136">
        <f>+IF(PROVEEDORES[[#This Row],[SUBTOTAL]]&lt;PROVEEDORES[[#This Row],[base retencion]],0,PROVEEDORES[[#This Row],[retención aplicada]])</f>
        <v>2.5000000000000001E-2</v>
      </c>
      <c r="Q675" s="24">
        <f>+PROVEEDORES[[#This Row],[Rete Fuente %]]*PROVEEDORES[[#This Row],[SUBTOTAL]]</f>
        <v>100575.625</v>
      </c>
      <c r="R675" s="23">
        <v>4686824.125</v>
      </c>
      <c r="S67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5" s="99">
        <f ca="1">IF(PROVEEDORES[[#This Row],[FECHA DE PAGO]]=0,TODAY()-PROVEEDORES[[#This Row],[FECHA DE FACTURACIÓN]]-PROVEEDORES[[#This Row],[PLAZO Días]],0)</f>
        <v>0</v>
      </c>
      <c r="U675" s="149" t="str">
        <f>+VLOOKUP(PROVEEDORES[[#This Row],[PROVEEDOR]],Terceros!$A:$E,5,FALSE)</f>
        <v>2,5% con base</v>
      </c>
      <c r="V675" s="150">
        <f>+YEAR(PROVEEDORES[[#This Row],[FECHA DE FACTURACIÓN]])</f>
        <v>2021</v>
      </c>
      <c r="W675" s="150">
        <f>+MATCH(PROVEEDORES[[#This Row],[año facturado]],Retenciones!$1:$1,0)</f>
        <v>4</v>
      </c>
      <c r="X675" s="151">
        <f>+VLOOKUP(PROVEEDORES[[#This Row],[ID RETENCION]],Retenciones!$A$1:$O$24,PROVEEDORES[[#This Row],[indicador de columna]],FALSE)</f>
        <v>980000</v>
      </c>
      <c r="Y675" s="152">
        <f>+VLOOKUP(PROVEEDORES[[#This Row],[ID RETENCION]],Retenciones!$A$1:$O$24,2,FALSE)</f>
        <v>2.5000000000000001E-2</v>
      </c>
      <c r="Z675" s="26"/>
      <c r="AA675" s="26"/>
      <c r="AB675" s="26"/>
      <c r="AC675" s="26"/>
      <c r="AD675" s="26"/>
      <c r="AE675" s="26"/>
    </row>
    <row r="676" spans="1:31" ht="21.95" customHeight="1" x14ac:dyDescent="0.25">
      <c r="A676" s="97" t="str">
        <f>+IF(PROVEEDORES[[#This Row],[FECHA DE PAGO]]=PROVEEDORES[[#This Row],[FECHA DE FACTURACIÓN]],"DE CONTADO","CRÉDITO")</f>
        <v>CRÉDITO</v>
      </c>
      <c r="B676" s="41" t="b">
        <f>+IF((PROVEEDORES[[#This Row],[FECHA DE PAGO]]-PROVEEDORES[[#This Row],[FECHA DE FACTURACIÓN]])&gt;PROVEEDORES[[#This Row],[PLAZO Días]],"PAGO VENCIDO")</f>
        <v>0</v>
      </c>
      <c r="C676" s="22">
        <f>+VLOOKUP(PROVEEDORES[[#This Row],[PROVEEDOR]],TERCEROS_INFO[#All],2,FALSE)</f>
        <v>10</v>
      </c>
      <c r="D676" s="27">
        <f>+SUMIFS(PROVEEDORES[Total],PROVEEDORES[PROVEEDOR],PROVEEDORES[[#This Row],[PROVEEDOR]],PROVEEDORES[FECHA DE PAGO],"")</f>
        <v>0</v>
      </c>
      <c r="E676" s="27"/>
      <c r="F676" s="62" t="str">
        <f>+VLOOKUP(PROVEEDORES[[#This Row],[PROVEEDOR]],
                       Terceros!$A:$G,
                       6,
                       FALSE)</f>
        <v/>
      </c>
      <c r="G676" s="95">
        <v>44431</v>
      </c>
      <c r="H676" s="28" t="s">
        <v>23</v>
      </c>
      <c r="I676" s="95">
        <v>44426</v>
      </c>
      <c r="J676" s="38">
        <v>284593</v>
      </c>
      <c r="K676" s="23">
        <v>7774650</v>
      </c>
      <c r="L676" s="23"/>
      <c r="M676" s="24">
        <v>0</v>
      </c>
      <c r="N676" s="25"/>
      <c r="O676" s="24">
        <v>0</v>
      </c>
      <c r="P676" s="136">
        <f>+IF(PROVEEDORES[[#This Row],[SUBTOTAL]]&lt;PROVEEDORES[[#This Row],[base retencion]],0,PROVEEDORES[[#This Row],[retención aplicada]])</f>
        <v>0</v>
      </c>
      <c r="Q676" s="24">
        <f>+PROVEEDORES[[#This Row],[Rete Fuente %]]*PROVEEDORES[[#This Row],[SUBTOTAL]]</f>
        <v>0</v>
      </c>
      <c r="R676" s="23">
        <v>7774650</v>
      </c>
      <c r="S67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6" s="99">
        <f ca="1">IF(PROVEEDORES[[#This Row],[FECHA DE PAGO]]=0,TODAY()-PROVEEDORES[[#This Row],[FECHA DE FACTURACIÓN]]-PROVEEDORES[[#This Row],[PLAZO Días]],0)</f>
        <v>0</v>
      </c>
      <c r="U676" s="149">
        <f>+VLOOKUP(PROVEEDORES[[#This Row],[PROVEEDOR]],Terceros!$A:$E,5,FALSE)</f>
        <v>0</v>
      </c>
      <c r="V676" s="150">
        <f>+YEAR(PROVEEDORES[[#This Row],[FECHA DE FACTURACIÓN]])</f>
        <v>2021</v>
      </c>
      <c r="W676" s="150">
        <f>+MATCH(PROVEEDORES[[#This Row],[año facturado]],Retenciones!$1:$1,0)</f>
        <v>4</v>
      </c>
      <c r="X676" s="151">
        <f>+VLOOKUP(PROVEEDORES[[#This Row],[ID RETENCION]],Retenciones!$A$1:$O$24,PROVEEDORES[[#This Row],[indicador de columna]],FALSE)</f>
        <v>0</v>
      </c>
      <c r="Y676" s="152">
        <f>+VLOOKUP(PROVEEDORES[[#This Row],[ID RETENCION]],Retenciones!$A$1:$O$24,2,FALSE)</f>
        <v>0</v>
      </c>
      <c r="Z676" s="26"/>
      <c r="AA676" s="26"/>
      <c r="AB676" s="26"/>
      <c r="AC676" s="26"/>
      <c r="AD676" s="26"/>
      <c r="AE676" s="26"/>
    </row>
    <row r="677" spans="1:31" ht="21.95" customHeight="1" x14ac:dyDescent="0.25">
      <c r="A677" s="97" t="str">
        <f>+IF(PROVEEDORES[[#This Row],[FECHA DE PAGO]]=PROVEEDORES[[#This Row],[FECHA DE FACTURACIÓN]],"DE CONTADO","CRÉDITO")</f>
        <v>CRÉDITO</v>
      </c>
      <c r="B677" s="41" t="b">
        <f>+IF((PROVEEDORES[[#This Row],[FECHA DE PAGO]]-PROVEEDORES[[#This Row],[FECHA DE FACTURACIÓN]])&gt;PROVEEDORES[[#This Row],[PLAZO Días]],"PAGO VENCIDO")</f>
        <v>0</v>
      </c>
      <c r="C677" s="22">
        <f>+VLOOKUP(PROVEEDORES[[#This Row],[PROVEEDOR]],TERCEROS_INFO[#All],2,FALSE)</f>
        <v>20</v>
      </c>
      <c r="D677" s="27">
        <f>+SUMIFS(PROVEEDORES[Total],PROVEEDORES[PROVEEDOR],PROVEEDORES[[#This Row],[PROVEEDOR]],PROVEEDORES[FECHA DE PAGO],"")</f>
        <v>0</v>
      </c>
      <c r="E677" s="27"/>
      <c r="F677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677" s="95">
        <v>44432</v>
      </c>
      <c r="H677" s="28" t="s">
        <v>445</v>
      </c>
      <c r="I677" s="95">
        <v>44427</v>
      </c>
      <c r="J677" s="38" t="s">
        <v>790</v>
      </c>
      <c r="K677" s="23">
        <v>136900</v>
      </c>
      <c r="L677" s="23"/>
      <c r="M677" s="24">
        <v>0</v>
      </c>
      <c r="N677" s="25"/>
      <c r="O677" s="24">
        <v>0</v>
      </c>
      <c r="P677" s="136">
        <f>+IF(PROVEEDORES[[#This Row],[SUBTOTAL]]&lt;PROVEEDORES[[#This Row],[base retencion]],0,PROVEEDORES[[#This Row],[retención aplicada]])</f>
        <v>0</v>
      </c>
      <c r="Q677" s="24">
        <f>+PROVEEDORES[[#This Row],[Rete Fuente %]]*PROVEEDORES[[#This Row],[SUBTOTAL]]</f>
        <v>0</v>
      </c>
      <c r="R677" s="23">
        <v>135531</v>
      </c>
      <c r="S67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7" s="99">
        <f ca="1">IF(PROVEEDORES[[#This Row],[FECHA DE PAGO]]=0,TODAY()-PROVEEDORES[[#This Row],[FECHA DE FACTURACIÓN]]-PROVEEDORES[[#This Row],[PLAZO Días]],0)</f>
        <v>0</v>
      </c>
      <c r="U677" s="149" t="str">
        <f>+VLOOKUP(PROVEEDORES[[#This Row],[PROVEEDOR]],Terceros!$A:$E,5,FALSE)</f>
        <v>1% con base</v>
      </c>
      <c r="V677" s="150">
        <f>+YEAR(PROVEEDORES[[#This Row],[FECHA DE FACTURACIÓN]])</f>
        <v>2021</v>
      </c>
      <c r="W677" s="150">
        <f>+MATCH(PROVEEDORES[[#This Row],[año facturado]],Retenciones!$1:$1,0)</f>
        <v>4</v>
      </c>
      <c r="X677" s="151">
        <f>+VLOOKUP(PROVEEDORES[[#This Row],[ID RETENCION]],Retenciones!$A$1:$O$24,PROVEEDORES[[#This Row],[indicador de columna]],FALSE)</f>
        <v>145000</v>
      </c>
      <c r="Y677" s="152">
        <f>+VLOOKUP(PROVEEDORES[[#This Row],[ID RETENCION]],Retenciones!$A$1:$O$24,2,FALSE)</f>
        <v>0.01</v>
      </c>
      <c r="Z677" s="26"/>
      <c r="AA677" s="26"/>
      <c r="AB677" s="26"/>
      <c r="AC677" s="26"/>
      <c r="AD677" s="26"/>
      <c r="AE677" s="26"/>
    </row>
    <row r="678" spans="1:31" ht="21.95" customHeight="1" x14ac:dyDescent="0.25">
      <c r="A678" s="97" t="str">
        <f>+IF(PROVEEDORES[[#This Row],[FECHA DE PAGO]]=PROVEEDORES[[#This Row],[FECHA DE FACTURACIÓN]],"DE CONTADO","CRÉDITO")</f>
        <v>CRÉDITO</v>
      </c>
      <c r="B678" s="41" t="b">
        <f>+IF((PROVEEDORES[[#This Row],[FECHA DE PAGO]]-PROVEEDORES[[#This Row],[FECHA DE FACTURACIÓN]])&gt;PROVEEDORES[[#This Row],[PLAZO Días]],"PAGO VENCIDO")</f>
        <v>0</v>
      </c>
      <c r="C678" s="22">
        <f>+VLOOKUP(PROVEEDORES[[#This Row],[PROVEEDOR]],TERCEROS_INFO[#All],2,FALSE)</f>
        <v>20</v>
      </c>
      <c r="D678" s="27">
        <f>+SUMIFS(PROVEEDORES[Total],PROVEEDORES[PROVEEDOR],PROVEEDORES[[#This Row],[PROVEEDOR]],PROVEEDORES[FECHA DE PAGO],"")</f>
        <v>0</v>
      </c>
      <c r="E678" s="27"/>
      <c r="F678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678" s="95">
        <v>44432</v>
      </c>
      <c r="H678" s="28" t="s">
        <v>445</v>
      </c>
      <c r="I678" s="95">
        <v>44427</v>
      </c>
      <c r="J678" s="38" t="s">
        <v>791</v>
      </c>
      <c r="K678" s="23">
        <v>136900</v>
      </c>
      <c r="L678" s="23"/>
      <c r="M678" s="24">
        <v>0</v>
      </c>
      <c r="N678" s="25"/>
      <c r="O678" s="24">
        <v>0</v>
      </c>
      <c r="P678" s="136">
        <f>+IF(PROVEEDORES[[#This Row],[SUBTOTAL]]&lt;PROVEEDORES[[#This Row],[base retencion]],0,PROVEEDORES[[#This Row],[retención aplicada]])</f>
        <v>0</v>
      </c>
      <c r="Q678" s="24">
        <f>+PROVEEDORES[[#This Row],[Rete Fuente %]]*PROVEEDORES[[#This Row],[SUBTOTAL]]</f>
        <v>0</v>
      </c>
      <c r="R678" s="23">
        <v>135531</v>
      </c>
      <c r="S67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8" s="99">
        <f ca="1">IF(PROVEEDORES[[#This Row],[FECHA DE PAGO]]=0,TODAY()-PROVEEDORES[[#This Row],[FECHA DE FACTURACIÓN]]-PROVEEDORES[[#This Row],[PLAZO Días]],0)</f>
        <v>0</v>
      </c>
      <c r="U678" s="149" t="str">
        <f>+VLOOKUP(PROVEEDORES[[#This Row],[PROVEEDOR]],Terceros!$A:$E,5,FALSE)</f>
        <v>1% con base</v>
      </c>
      <c r="V678" s="150">
        <f>+YEAR(PROVEEDORES[[#This Row],[FECHA DE FACTURACIÓN]])</f>
        <v>2021</v>
      </c>
      <c r="W678" s="150">
        <f>+MATCH(PROVEEDORES[[#This Row],[año facturado]],Retenciones!$1:$1,0)</f>
        <v>4</v>
      </c>
      <c r="X678" s="151">
        <f>+VLOOKUP(PROVEEDORES[[#This Row],[ID RETENCION]],Retenciones!$A$1:$O$24,PROVEEDORES[[#This Row],[indicador de columna]],FALSE)</f>
        <v>145000</v>
      </c>
      <c r="Y678" s="152">
        <f>+VLOOKUP(PROVEEDORES[[#This Row],[ID RETENCION]],Retenciones!$A$1:$O$24,2,FALSE)</f>
        <v>0.01</v>
      </c>
      <c r="Z678" s="26"/>
      <c r="AA678" s="26"/>
      <c r="AB678" s="26"/>
      <c r="AC678" s="26"/>
      <c r="AD678" s="26"/>
      <c r="AE678" s="26"/>
    </row>
    <row r="679" spans="1:31" ht="21.95" customHeight="1" x14ac:dyDescent="0.25">
      <c r="A679" s="97" t="str">
        <f>+IF(PROVEEDORES[[#This Row],[FECHA DE PAGO]]=PROVEEDORES[[#This Row],[FECHA DE FACTURACIÓN]],"DE CONTADO","CRÉDITO")</f>
        <v>CRÉDITO</v>
      </c>
      <c r="B679" s="41" t="b">
        <f>+IF((PROVEEDORES[[#This Row],[FECHA DE PAGO]]-PROVEEDORES[[#This Row],[FECHA DE FACTURACIÓN]])&gt;PROVEEDORES[[#This Row],[PLAZO Días]],"PAGO VENCIDO")</f>
        <v>0</v>
      </c>
      <c r="C679" s="22">
        <f>+VLOOKUP(PROVEEDORES[[#This Row],[PROVEEDOR]],TERCEROS_INFO[#All],2,FALSE)</f>
        <v>20</v>
      </c>
      <c r="D679" s="27">
        <f>+SUMIFS(PROVEEDORES[Total],PROVEEDORES[PROVEEDOR],PROVEEDORES[[#This Row],[PROVEEDOR]],PROVEEDORES[FECHA DE PAGO],"")</f>
        <v>0</v>
      </c>
      <c r="E679" s="27"/>
      <c r="F679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679" s="95">
        <v>44432</v>
      </c>
      <c r="H679" s="28" t="s">
        <v>445</v>
      </c>
      <c r="I679" s="95">
        <v>44427</v>
      </c>
      <c r="J679" s="38" t="s">
        <v>792</v>
      </c>
      <c r="K679" s="23">
        <v>369000</v>
      </c>
      <c r="L679" s="23"/>
      <c r="M679" s="24">
        <v>0</v>
      </c>
      <c r="N679" s="25"/>
      <c r="O679" s="24">
        <v>0</v>
      </c>
      <c r="P679" s="136">
        <f>+IF(PROVEEDORES[[#This Row],[SUBTOTAL]]&lt;PROVEEDORES[[#This Row],[base retencion]],0,PROVEEDORES[[#This Row],[retención aplicada]])</f>
        <v>0.01</v>
      </c>
      <c r="Q679" s="24">
        <f>+PROVEEDORES[[#This Row],[Rete Fuente %]]*PROVEEDORES[[#This Row],[SUBTOTAL]]</f>
        <v>3690</v>
      </c>
      <c r="R679" s="23">
        <v>367240</v>
      </c>
      <c r="S67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9" s="99">
        <f ca="1">IF(PROVEEDORES[[#This Row],[FECHA DE PAGO]]=0,TODAY()-PROVEEDORES[[#This Row],[FECHA DE FACTURACIÓN]]-PROVEEDORES[[#This Row],[PLAZO Días]],0)</f>
        <v>0</v>
      </c>
      <c r="U679" s="149" t="str">
        <f>+VLOOKUP(PROVEEDORES[[#This Row],[PROVEEDOR]],Terceros!$A:$E,5,FALSE)</f>
        <v>1% con base</v>
      </c>
      <c r="V679" s="150">
        <f>+YEAR(PROVEEDORES[[#This Row],[FECHA DE FACTURACIÓN]])</f>
        <v>2021</v>
      </c>
      <c r="W679" s="150">
        <f>+MATCH(PROVEEDORES[[#This Row],[año facturado]],Retenciones!$1:$1,0)</f>
        <v>4</v>
      </c>
      <c r="X679" s="151">
        <f>+VLOOKUP(PROVEEDORES[[#This Row],[ID RETENCION]],Retenciones!$A$1:$O$24,PROVEEDORES[[#This Row],[indicador de columna]],FALSE)</f>
        <v>145000</v>
      </c>
      <c r="Y679" s="152">
        <f>+VLOOKUP(PROVEEDORES[[#This Row],[ID RETENCION]],Retenciones!$A$1:$O$24,2,FALSE)</f>
        <v>0.01</v>
      </c>
      <c r="Z679" s="26"/>
      <c r="AA679" s="26"/>
      <c r="AB679" s="26"/>
      <c r="AC679" s="26"/>
      <c r="AD679" s="26"/>
      <c r="AE679" s="26"/>
    </row>
    <row r="680" spans="1:31" ht="21.95" customHeight="1" x14ac:dyDescent="0.25">
      <c r="A680" s="97" t="str">
        <f>+IF(PROVEEDORES[[#This Row],[FECHA DE PAGO]]=PROVEEDORES[[#This Row],[FECHA DE FACTURACIÓN]],"DE CONTADO","CRÉDITO")</f>
        <v>CRÉDITO</v>
      </c>
      <c r="B680" s="41" t="str">
        <f>+IF((PROVEEDORES[[#This Row],[FECHA DE PAGO]]-PROVEEDORES[[#This Row],[FECHA DE FACTURACIÓN]])&gt;PROVEEDORES[[#This Row],[PLAZO Días]],"PAGO VENCIDO")</f>
        <v>PAGO VENCIDO</v>
      </c>
      <c r="C680" s="22">
        <f>+VLOOKUP(PROVEEDORES[[#This Row],[PROVEEDOR]],TERCEROS_INFO[#All],2,FALSE)</f>
        <v>30</v>
      </c>
      <c r="D680" s="27">
        <f>+SUMIFS(PROVEEDORES[Total],PROVEEDORES[PROVEEDOR],PROVEEDORES[[#This Row],[PROVEEDOR]],PROVEEDORES[FECHA DE PAGO],"")</f>
        <v>2588352.5</v>
      </c>
      <c r="E680" s="27"/>
      <c r="F680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680" s="95">
        <v>44498</v>
      </c>
      <c r="H680" s="28" t="s">
        <v>1088</v>
      </c>
      <c r="I680" s="95">
        <v>44427</v>
      </c>
      <c r="J680" s="38">
        <v>22156</v>
      </c>
      <c r="K680" s="23">
        <v>376000</v>
      </c>
      <c r="L680" s="23"/>
      <c r="M680" s="24">
        <v>71440</v>
      </c>
      <c r="N680" s="25"/>
      <c r="O680" s="24">
        <v>0</v>
      </c>
      <c r="P680" s="136">
        <f>+IF(PROVEEDORES[[#This Row],[SUBTOTAL]]&lt;PROVEEDORES[[#This Row],[base retencion]],0,PROVEEDORES[[#This Row],[retención aplicada]])</f>
        <v>0</v>
      </c>
      <c r="Q680" s="24">
        <f>+PROVEEDORES[[#This Row],[Rete Fuente %]]*PROVEEDORES[[#This Row],[SUBTOTAL]]</f>
        <v>0</v>
      </c>
      <c r="R680" s="23">
        <v>447440</v>
      </c>
      <c r="S68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0" s="99">
        <f ca="1">IF(PROVEEDORES[[#This Row],[FECHA DE PAGO]]=0,TODAY()-PROVEEDORES[[#This Row],[FECHA DE FACTURACIÓN]]-PROVEEDORES[[#This Row],[PLAZO Días]],0)</f>
        <v>0</v>
      </c>
      <c r="U680" s="149" t="str">
        <f>+VLOOKUP(PROVEEDORES[[#This Row],[PROVEEDOR]],Terceros!$A:$E,5,FALSE)</f>
        <v>2,5% con base</v>
      </c>
      <c r="V680" s="150">
        <f>+YEAR(PROVEEDORES[[#This Row],[FECHA DE FACTURACIÓN]])</f>
        <v>2021</v>
      </c>
      <c r="W680" s="150">
        <f>+MATCH(PROVEEDORES[[#This Row],[año facturado]],Retenciones!$1:$1,0)</f>
        <v>4</v>
      </c>
      <c r="X680" s="151">
        <f>+VLOOKUP(PROVEEDORES[[#This Row],[ID RETENCION]],Retenciones!$A$1:$O$24,PROVEEDORES[[#This Row],[indicador de columna]],FALSE)</f>
        <v>980000</v>
      </c>
      <c r="Y680" s="152">
        <f>+VLOOKUP(PROVEEDORES[[#This Row],[ID RETENCION]],Retenciones!$A$1:$O$24,2,FALSE)</f>
        <v>2.5000000000000001E-2</v>
      </c>
      <c r="Z680" s="26"/>
      <c r="AA680" s="26"/>
      <c r="AB680" s="26"/>
      <c r="AC680" s="26"/>
      <c r="AD680" s="26"/>
      <c r="AE680" s="26"/>
    </row>
    <row r="681" spans="1:31" ht="21.95" customHeight="1" x14ac:dyDescent="0.25">
      <c r="A681" s="97" t="str">
        <f>+IF(PROVEEDORES[[#This Row],[FECHA DE PAGO]]=PROVEEDORES[[#This Row],[FECHA DE FACTURACIÓN]],"DE CONTADO","CRÉDITO")</f>
        <v>CRÉDITO</v>
      </c>
      <c r="B681" s="41" t="b">
        <f>+IF((PROVEEDORES[[#This Row],[FECHA DE PAGO]]-PROVEEDORES[[#This Row],[FECHA DE FACTURACIÓN]])&gt;PROVEEDORES[[#This Row],[PLAZO Días]],"PAGO VENCIDO")</f>
        <v>0</v>
      </c>
      <c r="C681" s="22">
        <f>+VLOOKUP(PROVEEDORES[[#This Row],[PROVEEDOR]],TERCEROS_INFO[#All],2,FALSE)</f>
        <v>30</v>
      </c>
      <c r="D681" s="27">
        <f>+SUMIFS(PROVEEDORES[Total],PROVEEDORES[PROVEEDOR],PROVEEDORES[[#This Row],[PROVEEDOR]],PROVEEDORES[FECHA DE PAGO],"")</f>
        <v>0</v>
      </c>
      <c r="E681" s="27"/>
      <c r="F681" s="62" t="str">
        <f>+VLOOKUP(PROVEEDORES[[#This Row],[PROVEEDOR]],
                       Terceros!$A:$G,
                       6,
                       FALSE)</f>
        <v>??;girlesa.ruiz@servipilas.com;joriescobar64@gmail.com</v>
      </c>
      <c r="G681" s="95">
        <v>44432</v>
      </c>
      <c r="H681" s="28" t="s">
        <v>477</v>
      </c>
      <c r="I681" s="95">
        <v>44427</v>
      </c>
      <c r="J681" s="38">
        <v>10186</v>
      </c>
      <c r="K681" s="23">
        <v>1326772</v>
      </c>
      <c r="L681" s="23"/>
      <c r="M681" s="24">
        <v>252086.68</v>
      </c>
      <c r="N681" s="25"/>
      <c r="O681" s="24">
        <v>0</v>
      </c>
      <c r="P681" s="136">
        <f>+IF(PROVEEDORES[[#This Row],[SUBTOTAL]]&lt;PROVEEDORES[[#This Row],[base retencion]],0,PROVEEDORES[[#This Row],[retención aplicada]])</f>
        <v>2.5000000000000001E-2</v>
      </c>
      <c r="Q681" s="24">
        <f>+PROVEEDORES[[#This Row],[Rete Fuente %]]*PROVEEDORES[[#This Row],[SUBTOTAL]]</f>
        <v>33169.300000000003</v>
      </c>
      <c r="R681" s="23">
        <v>1545689.38</v>
      </c>
      <c r="S68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1" s="99">
        <f ca="1">IF(PROVEEDORES[[#This Row],[FECHA DE PAGO]]=0,TODAY()-PROVEEDORES[[#This Row],[FECHA DE FACTURACIÓN]]-PROVEEDORES[[#This Row],[PLAZO Días]],0)</f>
        <v>0</v>
      </c>
      <c r="U681" s="149" t="str">
        <f>+VLOOKUP(PROVEEDORES[[#This Row],[PROVEEDOR]],Terceros!$A:$E,5,FALSE)</f>
        <v>2,5% con base</v>
      </c>
      <c r="V681" s="150">
        <f>+YEAR(PROVEEDORES[[#This Row],[FECHA DE FACTURACIÓN]])</f>
        <v>2021</v>
      </c>
      <c r="W681" s="150">
        <f>+MATCH(PROVEEDORES[[#This Row],[año facturado]],Retenciones!$1:$1,0)</f>
        <v>4</v>
      </c>
      <c r="X681" s="151">
        <f>+VLOOKUP(PROVEEDORES[[#This Row],[ID RETENCION]],Retenciones!$A$1:$O$24,PROVEEDORES[[#This Row],[indicador de columna]],FALSE)</f>
        <v>980000</v>
      </c>
      <c r="Y681" s="152">
        <f>+VLOOKUP(PROVEEDORES[[#This Row],[ID RETENCION]],Retenciones!$A$1:$O$24,2,FALSE)</f>
        <v>2.5000000000000001E-2</v>
      </c>
      <c r="Z681" s="26"/>
      <c r="AA681" s="26"/>
      <c r="AB681" s="26"/>
      <c r="AC681" s="26"/>
      <c r="AD681" s="26"/>
      <c r="AE681" s="26"/>
    </row>
    <row r="682" spans="1:31" ht="21.95" customHeight="1" x14ac:dyDescent="0.25">
      <c r="A682" s="97" t="str">
        <f>+IF(PROVEEDORES[[#This Row],[FECHA DE PAGO]]=PROVEEDORES[[#This Row],[FECHA DE FACTURACIÓN]],"DE CONTADO","CRÉDITO")</f>
        <v>CRÉDITO</v>
      </c>
      <c r="B682" s="41" t="b">
        <f>+IF((PROVEEDORES[[#This Row],[FECHA DE PAGO]]-PROVEEDORES[[#This Row],[FECHA DE FACTURACIÓN]])&gt;PROVEEDORES[[#This Row],[PLAZO Días]],"PAGO VENCIDO")</f>
        <v>0</v>
      </c>
      <c r="C682" s="22">
        <f>+VLOOKUP(PROVEEDORES[[#This Row],[PROVEEDOR]],TERCEROS_INFO[#All],2,FALSE)</f>
        <v>60</v>
      </c>
      <c r="D682" s="27">
        <f>+SUMIFS(PROVEEDORES[Total],PROVEEDORES[PROVEEDOR],PROVEEDORES[[#This Row],[PROVEEDOR]],PROVEEDORES[FECHA DE PAGO],"")</f>
        <v>11143041</v>
      </c>
      <c r="E682" s="27"/>
      <c r="F682" s="62">
        <f>+VLOOKUP(PROVEEDORES[[#This Row],[PROVEEDOR]],
                       Terceros!$A:$G,
                       6,
                       FALSE)</f>
        <v>0</v>
      </c>
      <c r="G682" s="95">
        <v>44481</v>
      </c>
      <c r="H682" s="28" t="s">
        <v>507</v>
      </c>
      <c r="I682" s="95">
        <v>44427</v>
      </c>
      <c r="J682" s="38" t="s">
        <v>509</v>
      </c>
      <c r="K682" s="23">
        <v>1466370</v>
      </c>
      <c r="L682" s="23"/>
      <c r="M682" s="24">
        <v>278610.3</v>
      </c>
      <c r="N682" s="25"/>
      <c r="O682" s="24">
        <v>0</v>
      </c>
      <c r="P682" s="136">
        <f>+IF(PROVEEDORES[[#This Row],[SUBTOTAL]]&lt;PROVEEDORES[[#This Row],[base retencion]],0,PROVEEDORES[[#This Row],[retención aplicada]])</f>
        <v>0</v>
      </c>
      <c r="Q682" s="24">
        <f>+PROVEEDORES[[#This Row],[Rete Fuente %]]*PROVEEDORES[[#This Row],[SUBTOTAL]]</f>
        <v>0</v>
      </c>
      <c r="R682" s="23">
        <v>1708321.05</v>
      </c>
      <c r="S68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2" s="99">
        <f ca="1">IF(PROVEEDORES[[#This Row],[FECHA DE PAGO]]=0,TODAY()-PROVEEDORES[[#This Row],[FECHA DE FACTURACIÓN]]-PROVEEDORES[[#This Row],[PLAZO Días]],0)</f>
        <v>0</v>
      </c>
      <c r="U682" s="149">
        <f>+VLOOKUP(PROVEEDORES[[#This Row],[PROVEEDOR]],Terceros!$A:$E,5,FALSE)</f>
        <v>0</v>
      </c>
      <c r="V682" s="150">
        <f>+YEAR(PROVEEDORES[[#This Row],[FECHA DE FACTURACIÓN]])</f>
        <v>2021</v>
      </c>
      <c r="W682" s="150">
        <f>+MATCH(PROVEEDORES[[#This Row],[año facturado]],Retenciones!$1:$1,0)</f>
        <v>4</v>
      </c>
      <c r="X682" s="151">
        <f>+VLOOKUP(PROVEEDORES[[#This Row],[ID RETENCION]],Retenciones!$A$1:$O$24,PROVEEDORES[[#This Row],[indicador de columna]],FALSE)</f>
        <v>0</v>
      </c>
      <c r="Y682" s="152">
        <f>+VLOOKUP(PROVEEDORES[[#This Row],[ID RETENCION]],Retenciones!$A$1:$O$24,2,FALSE)</f>
        <v>0</v>
      </c>
      <c r="Z682" s="26"/>
      <c r="AA682" s="26"/>
      <c r="AB682" s="26"/>
      <c r="AC682" s="26"/>
      <c r="AD682" s="26"/>
      <c r="AE682" s="26"/>
    </row>
    <row r="683" spans="1:31" ht="21.95" customHeight="1" x14ac:dyDescent="0.25">
      <c r="A683" s="97" t="str">
        <f>+IF(PROVEEDORES[[#This Row],[FECHA DE PAGO]]=PROVEEDORES[[#This Row],[FECHA DE FACTURACIÓN]],"DE CONTADO","CRÉDITO")</f>
        <v>CRÉDITO</v>
      </c>
      <c r="B683" s="41" t="str">
        <f>+IF((PROVEEDORES[[#This Row],[FECHA DE PAGO]]-PROVEEDORES[[#This Row],[FECHA DE FACTURACIÓN]])&gt;PROVEEDORES[[#This Row],[PLAZO Días]],"PAGO VENCIDO")</f>
        <v>PAGO VENCIDO</v>
      </c>
      <c r="C683" s="22">
        <f>+VLOOKUP(PROVEEDORES[[#This Row],[PROVEEDOR]],TERCEROS_INFO[#All],2,FALSE)</f>
        <v>30</v>
      </c>
      <c r="D683" s="27">
        <f>+SUMIFS(PROVEEDORES[Total],PROVEEDORES[PROVEEDOR],PROVEEDORES[[#This Row],[PROVEEDOR]],PROVEEDORES[FECHA DE PAGO],"")</f>
        <v>1850000</v>
      </c>
      <c r="E683" s="27"/>
      <c r="F683" s="62" t="str">
        <f>+VLOOKUP(PROVEEDORES[[#This Row],[PROVEEDOR]],
                       Terceros!$A:$G,
                       6,
                       FALSE)</f>
        <v>globalpowerc2018@gmail.com;girlesa.ruiz@servipilas.com;joriescobar64@gmail.com</v>
      </c>
      <c r="G683" s="95">
        <v>44459</v>
      </c>
      <c r="H683" s="28" t="s">
        <v>1051</v>
      </c>
      <c r="I683" s="95">
        <v>44427</v>
      </c>
      <c r="J683" s="38" t="s">
        <v>789</v>
      </c>
      <c r="K683" s="23">
        <v>1750000</v>
      </c>
      <c r="L683" s="23"/>
      <c r="M683" s="24">
        <v>0</v>
      </c>
      <c r="N683" s="25"/>
      <c r="O683" s="24">
        <v>0</v>
      </c>
      <c r="P683" s="136">
        <f>+IF(PROVEEDORES[[#This Row],[SUBTOTAL]]&lt;PROVEEDORES[[#This Row],[base retencion]],0,PROVEEDORES[[#This Row],[retención aplicada]])</f>
        <v>0</v>
      </c>
      <c r="Q683" s="24">
        <f>+PROVEEDORES[[#This Row],[Rete Fuente %]]*PROVEEDORES[[#This Row],[SUBTOTAL]]</f>
        <v>0</v>
      </c>
      <c r="R683" s="23">
        <v>0</v>
      </c>
      <c r="S68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3" s="99">
        <f ca="1">IF(PROVEEDORES[[#This Row],[FECHA DE PAGO]]=0,TODAY()-PROVEEDORES[[#This Row],[FECHA DE FACTURACIÓN]]-PROVEEDORES[[#This Row],[PLAZO Días]],0)</f>
        <v>0</v>
      </c>
      <c r="U683" s="149">
        <f>+VLOOKUP(PROVEEDORES[[#This Row],[PROVEEDOR]],Terceros!$A:$E,5,FALSE)</f>
        <v>0</v>
      </c>
      <c r="V683" s="150">
        <f>+YEAR(PROVEEDORES[[#This Row],[FECHA DE FACTURACIÓN]])</f>
        <v>2021</v>
      </c>
      <c r="W683" s="150">
        <f>+MATCH(PROVEEDORES[[#This Row],[año facturado]],Retenciones!$1:$1,0)</f>
        <v>4</v>
      </c>
      <c r="X683" s="151">
        <f>+VLOOKUP(PROVEEDORES[[#This Row],[ID RETENCION]],Retenciones!$A$1:$O$24,PROVEEDORES[[#This Row],[indicador de columna]],FALSE)</f>
        <v>0</v>
      </c>
      <c r="Y683" s="152">
        <f>+VLOOKUP(PROVEEDORES[[#This Row],[ID RETENCION]],Retenciones!$A$1:$O$24,2,FALSE)</f>
        <v>0</v>
      </c>
      <c r="Z683" s="26"/>
      <c r="AA683" s="26"/>
      <c r="AB683" s="26"/>
      <c r="AC683" s="26"/>
      <c r="AD683" s="26"/>
      <c r="AE683" s="26"/>
    </row>
    <row r="684" spans="1:31" ht="21.95" customHeight="1" x14ac:dyDescent="0.25">
      <c r="A684" s="97" t="str">
        <f>+IF(PROVEEDORES[[#This Row],[FECHA DE PAGO]]=PROVEEDORES[[#This Row],[FECHA DE FACTURACIÓN]],"DE CONTADO","CRÉDITO")</f>
        <v>CRÉDITO</v>
      </c>
      <c r="B684" s="41" t="b">
        <f>+IF((PROVEEDORES[[#This Row],[FECHA DE PAGO]]-PROVEEDORES[[#This Row],[FECHA DE FACTURACIÓN]])&gt;PROVEEDORES[[#This Row],[PLAZO Días]],"PAGO VENCIDO")</f>
        <v>0</v>
      </c>
      <c r="C684" s="22">
        <f>+VLOOKUP(PROVEEDORES[[#This Row],[PROVEEDOR]],TERCEROS_INFO[#All],2,FALSE)</f>
        <v>30</v>
      </c>
      <c r="D684" s="27">
        <f>+SUMIFS(PROVEEDORES[Total],PROVEEDORES[PROVEEDOR],PROVEEDORES[[#This Row],[PROVEEDOR]],PROVEEDORES[FECHA DE PAGO],"")</f>
        <v>0</v>
      </c>
      <c r="E684" s="27"/>
      <c r="F684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684" s="95">
        <v>44435</v>
      </c>
      <c r="H684" s="28" t="s">
        <v>569</v>
      </c>
      <c r="I684" s="95">
        <v>44427</v>
      </c>
      <c r="J684" s="38" t="s">
        <v>473</v>
      </c>
      <c r="K684" s="23">
        <v>2278232</v>
      </c>
      <c r="L684" s="23"/>
      <c r="M684" s="24">
        <v>432864.08</v>
      </c>
      <c r="N684" s="25"/>
      <c r="O684" s="24">
        <v>0</v>
      </c>
      <c r="P684" s="136">
        <f>+IF(PROVEEDORES[[#This Row],[SUBTOTAL]]&lt;PROVEEDORES[[#This Row],[base retencion]],0,PROVEEDORES[[#This Row],[retención aplicada]])</f>
        <v>0</v>
      </c>
      <c r="Q684" s="24">
        <f>+PROVEEDORES[[#This Row],[Rete Fuente %]]*PROVEEDORES[[#This Row],[SUBTOTAL]]</f>
        <v>0</v>
      </c>
      <c r="R684" s="23">
        <v>2711096.08</v>
      </c>
      <c r="S68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4" s="99">
        <f ca="1">IF(PROVEEDORES[[#This Row],[FECHA DE PAGO]]=0,TODAY()-PROVEEDORES[[#This Row],[FECHA DE FACTURACIÓN]]-PROVEEDORES[[#This Row],[PLAZO Días]],0)</f>
        <v>0</v>
      </c>
      <c r="U684" s="149">
        <f>+VLOOKUP(PROVEEDORES[[#This Row],[PROVEEDOR]],Terceros!$A:$E,5,FALSE)</f>
        <v>0</v>
      </c>
      <c r="V684" s="150">
        <f>+YEAR(PROVEEDORES[[#This Row],[FECHA DE FACTURACIÓN]])</f>
        <v>2021</v>
      </c>
      <c r="W684" s="150">
        <f>+MATCH(PROVEEDORES[[#This Row],[año facturado]],Retenciones!$1:$1,0)</f>
        <v>4</v>
      </c>
      <c r="X684" s="151">
        <f>+VLOOKUP(PROVEEDORES[[#This Row],[ID RETENCION]],Retenciones!$A$1:$O$24,PROVEEDORES[[#This Row],[indicador de columna]],FALSE)</f>
        <v>0</v>
      </c>
      <c r="Y684" s="152">
        <f>+VLOOKUP(PROVEEDORES[[#This Row],[ID RETENCION]],Retenciones!$A$1:$O$24,2,FALSE)</f>
        <v>0</v>
      </c>
      <c r="Z684" s="26"/>
      <c r="AA684" s="26"/>
      <c r="AB684" s="26"/>
      <c r="AC684" s="26"/>
      <c r="AD684" s="26"/>
      <c r="AE684" s="26"/>
    </row>
    <row r="685" spans="1:31" ht="21.95" customHeight="1" x14ac:dyDescent="0.25">
      <c r="A685" s="97" t="str">
        <f>+IF(PROVEEDORES[[#This Row],[FECHA DE PAGO]]=PROVEEDORES[[#This Row],[FECHA DE FACTURACIÓN]],"DE CONTADO","CRÉDITO")</f>
        <v>CRÉDITO</v>
      </c>
      <c r="B685" s="41" t="str">
        <f>+IF((PROVEEDORES[[#This Row],[FECHA DE PAGO]]-PROVEEDORES[[#This Row],[FECHA DE FACTURACIÓN]])&gt;PROVEEDORES[[#This Row],[PLAZO Días]],"PAGO VENCIDO")</f>
        <v>PAGO VENCIDO</v>
      </c>
      <c r="C685" s="22">
        <f>+VLOOKUP(PROVEEDORES[[#This Row],[PROVEEDOR]],TERCEROS_INFO[#All],2,FALSE)</f>
        <v>30</v>
      </c>
      <c r="D685" s="27">
        <f>+SUMIFS(PROVEEDORES[Total],PROVEEDORES[PROVEEDOR],PROVEEDORES[[#This Row],[PROVEEDOR]],PROVEEDORES[FECHA DE PAGO],"")</f>
        <v>0</v>
      </c>
      <c r="E685" s="27"/>
      <c r="F685" s="62" t="str">
        <f>+VLOOKUP(PROVEEDORES[[#This Row],[PROVEEDOR]],
                       Terceros!$A:$G,
                       6,
                       FALSE)</f>
        <v>??;girlesa.ruiz@servipilas.com;joriescobar64@gmail.com</v>
      </c>
      <c r="G685" s="95">
        <v>44484</v>
      </c>
      <c r="H685" s="28" t="s">
        <v>1078</v>
      </c>
      <c r="I685" s="95">
        <v>44428</v>
      </c>
      <c r="J685" s="38" t="s">
        <v>794</v>
      </c>
      <c r="K685" s="23">
        <v>4000</v>
      </c>
      <c r="L685" s="23"/>
      <c r="M685" s="24">
        <v>0</v>
      </c>
      <c r="N685" s="25"/>
      <c r="O685" s="24">
        <v>0</v>
      </c>
      <c r="P685" s="136">
        <f>+IF(PROVEEDORES[[#This Row],[SUBTOTAL]]&lt;PROVEEDORES[[#This Row],[base retencion]],0,PROVEEDORES[[#This Row],[retención aplicada]])</f>
        <v>0</v>
      </c>
      <c r="Q685" s="24">
        <f>+PROVEEDORES[[#This Row],[Rete Fuente %]]*PROVEEDORES[[#This Row],[SUBTOTAL]]</f>
        <v>0</v>
      </c>
      <c r="R685" s="23">
        <v>4000</v>
      </c>
      <c r="S68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5" s="99">
        <f ca="1">IF(PROVEEDORES[[#This Row],[FECHA DE PAGO]]=0,TODAY()-PROVEEDORES[[#This Row],[FECHA DE FACTURACIÓN]]-PROVEEDORES[[#This Row],[PLAZO Días]],0)</f>
        <v>0</v>
      </c>
      <c r="U685" s="149">
        <f>+VLOOKUP(PROVEEDORES[[#This Row],[PROVEEDOR]],Terceros!$A:$E,5,FALSE)</f>
        <v>0</v>
      </c>
      <c r="V685" s="150">
        <f>+YEAR(PROVEEDORES[[#This Row],[FECHA DE FACTURACIÓN]])</f>
        <v>2021</v>
      </c>
      <c r="W685" s="150">
        <f>+MATCH(PROVEEDORES[[#This Row],[año facturado]],Retenciones!$1:$1,0)</f>
        <v>4</v>
      </c>
      <c r="X685" s="151">
        <f>+VLOOKUP(PROVEEDORES[[#This Row],[ID RETENCION]],Retenciones!$A$1:$O$24,PROVEEDORES[[#This Row],[indicador de columna]],FALSE)</f>
        <v>0</v>
      </c>
      <c r="Y685" s="152">
        <f>+VLOOKUP(PROVEEDORES[[#This Row],[ID RETENCION]],Retenciones!$A$1:$O$24,2,FALSE)</f>
        <v>0</v>
      </c>
      <c r="Z685" s="26"/>
      <c r="AA685" s="26"/>
      <c r="AB685" s="26"/>
      <c r="AC685" s="26"/>
      <c r="AD685" s="26"/>
      <c r="AE685" s="26"/>
    </row>
    <row r="686" spans="1:31" ht="21.95" customHeight="1" x14ac:dyDescent="0.25">
      <c r="A686" s="97" t="str">
        <f>+IF(PROVEEDORES[[#This Row],[FECHA DE PAGO]]=PROVEEDORES[[#This Row],[FECHA DE FACTURACIÓN]],"DE CONTADO","CRÉDITO")</f>
        <v>DE CONTADO</v>
      </c>
      <c r="B686" s="41" t="b">
        <f>+IF((PROVEEDORES[[#This Row],[FECHA DE PAGO]]-PROVEEDORES[[#This Row],[FECHA DE FACTURACIÓN]])&gt;PROVEEDORES[[#This Row],[PLAZO Días]],"PAGO VENCIDO")</f>
        <v>0</v>
      </c>
      <c r="C686" s="22">
        <f>+VLOOKUP(PROVEEDORES[[#This Row],[PROVEEDOR]],TERCEROS_INFO[#All],2,FALSE)</f>
        <v>30</v>
      </c>
      <c r="D686" s="27">
        <f>+SUMIFS(PROVEEDORES[Total],PROVEEDORES[PROVEEDOR],PROVEEDORES[[#This Row],[PROVEEDOR]],PROVEEDORES[FECHA DE PAGO],"")</f>
        <v>0</v>
      </c>
      <c r="E686" s="27"/>
      <c r="F686" s="62" t="str">
        <f>+VLOOKUP(PROVEEDORES[[#This Row],[PROVEEDOR]],
                       Terceros!$A:$G,
                       6,
                       FALSE)</f>
        <v/>
      </c>
      <c r="G686" s="95">
        <v>44428</v>
      </c>
      <c r="H686" s="28" t="s">
        <v>1031</v>
      </c>
      <c r="I686" s="95">
        <v>44428</v>
      </c>
      <c r="J686" s="38" t="s">
        <v>793</v>
      </c>
      <c r="K686" s="23">
        <v>520000</v>
      </c>
      <c r="L686" s="23"/>
      <c r="M686" s="24">
        <v>0</v>
      </c>
      <c r="N686" s="25"/>
      <c r="O686" s="24">
        <v>0</v>
      </c>
      <c r="P686" s="136">
        <f>+IF(PROVEEDORES[[#This Row],[SUBTOTAL]]&lt;PROVEEDORES[[#This Row],[base retencion]],0,PROVEEDORES[[#This Row],[retención aplicada]])</f>
        <v>0</v>
      </c>
      <c r="Q686" s="24">
        <f>+PROVEEDORES[[#This Row],[Rete Fuente %]]*PROVEEDORES[[#This Row],[SUBTOTAL]]</f>
        <v>0</v>
      </c>
      <c r="R686" s="23">
        <v>520000</v>
      </c>
      <c r="S68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6" s="99">
        <f ca="1">IF(PROVEEDORES[[#This Row],[FECHA DE PAGO]]=0,TODAY()-PROVEEDORES[[#This Row],[FECHA DE FACTURACIÓN]]-PROVEEDORES[[#This Row],[PLAZO Días]],0)</f>
        <v>0</v>
      </c>
      <c r="U686" s="149">
        <f>+VLOOKUP(PROVEEDORES[[#This Row],[PROVEEDOR]],Terceros!$A:$E,5,FALSE)</f>
        <v>0</v>
      </c>
      <c r="V686" s="150">
        <f>+YEAR(PROVEEDORES[[#This Row],[FECHA DE FACTURACIÓN]])</f>
        <v>2021</v>
      </c>
      <c r="W686" s="150">
        <f>+MATCH(PROVEEDORES[[#This Row],[año facturado]],Retenciones!$1:$1,0)</f>
        <v>4</v>
      </c>
      <c r="X686" s="151">
        <f>+VLOOKUP(PROVEEDORES[[#This Row],[ID RETENCION]],Retenciones!$A$1:$O$24,PROVEEDORES[[#This Row],[indicador de columna]],FALSE)</f>
        <v>0</v>
      </c>
      <c r="Y686" s="152">
        <f>+VLOOKUP(PROVEEDORES[[#This Row],[ID RETENCION]],Retenciones!$A$1:$O$24,2,FALSE)</f>
        <v>0</v>
      </c>
      <c r="Z686" s="26"/>
      <c r="AA686" s="26"/>
      <c r="AB686" s="26"/>
      <c r="AC686" s="26"/>
      <c r="AD686" s="26"/>
      <c r="AE686" s="26"/>
    </row>
    <row r="687" spans="1:31" ht="21.95" customHeight="1" x14ac:dyDescent="0.25">
      <c r="A687" s="97" t="str">
        <f>+IF(PROVEEDORES[[#This Row],[FECHA DE PAGO]]=PROVEEDORES[[#This Row],[FECHA DE FACTURACIÓN]],"DE CONTADO","CRÉDITO")</f>
        <v>CRÉDITO</v>
      </c>
      <c r="B687" s="41" t="str">
        <f>+IF((PROVEEDORES[[#This Row],[FECHA DE PAGO]]-PROVEEDORES[[#This Row],[FECHA DE FACTURACIÓN]])&gt;PROVEEDORES[[#This Row],[PLAZO Días]],"PAGO VENCIDO")</f>
        <v>PAGO VENCIDO</v>
      </c>
      <c r="C687" s="22">
        <f>+VLOOKUP(PROVEEDORES[[#This Row],[PROVEEDOR]],TERCEROS_INFO[#All],2,FALSE)</f>
        <v>60</v>
      </c>
      <c r="D687" s="27">
        <f>+SUMIFS(PROVEEDORES[Total],PROVEEDORES[PROVEEDOR],PROVEEDORES[[#This Row],[PROVEEDOR]],PROVEEDORES[FECHA DE PAGO],"")</f>
        <v>11143041</v>
      </c>
      <c r="E687" s="27"/>
      <c r="F687" s="62">
        <f>+VLOOKUP(PROVEEDORES[[#This Row],[PROVEEDOR]],
                       Terceros!$A:$G,
                       6,
                       FALSE)</f>
        <v>0</v>
      </c>
      <c r="G687" s="95">
        <v>44497</v>
      </c>
      <c r="H687" s="28" t="s">
        <v>507</v>
      </c>
      <c r="I687" s="95">
        <v>44428</v>
      </c>
      <c r="J687" s="38" t="s">
        <v>508</v>
      </c>
      <c r="K687" s="23">
        <v>5056294</v>
      </c>
      <c r="L687" s="23"/>
      <c r="M687" s="24">
        <v>960695.86</v>
      </c>
      <c r="N687" s="25"/>
      <c r="O687" s="24">
        <v>0</v>
      </c>
      <c r="P687" s="136">
        <f>+IF(PROVEEDORES[[#This Row],[SUBTOTAL]]&lt;PROVEEDORES[[#This Row],[base retencion]],0,PROVEEDORES[[#This Row],[retención aplicada]])</f>
        <v>0</v>
      </c>
      <c r="Q687" s="24">
        <f>+PROVEEDORES[[#This Row],[Rete Fuente %]]*PROVEEDORES[[#This Row],[SUBTOTAL]]</f>
        <v>0</v>
      </c>
      <c r="R687" s="23">
        <v>6016989.8600000003</v>
      </c>
      <c r="S68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7" s="99">
        <f ca="1">IF(PROVEEDORES[[#This Row],[FECHA DE PAGO]]=0,TODAY()-PROVEEDORES[[#This Row],[FECHA DE FACTURACIÓN]]-PROVEEDORES[[#This Row],[PLAZO Días]],0)</f>
        <v>0</v>
      </c>
      <c r="U687" s="149">
        <f>+VLOOKUP(PROVEEDORES[[#This Row],[PROVEEDOR]],Terceros!$A:$E,5,FALSE)</f>
        <v>0</v>
      </c>
      <c r="V687" s="150">
        <f>+YEAR(PROVEEDORES[[#This Row],[FECHA DE FACTURACIÓN]])</f>
        <v>2021</v>
      </c>
      <c r="W687" s="150">
        <f>+MATCH(PROVEEDORES[[#This Row],[año facturado]],Retenciones!$1:$1,0)</f>
        <v>4</v>
      </c>
      <c r="X687" s="151">
        <f>+VLOOKUP(PROVEEDORES[[#This Row],[ID RETENCION]],Retenciones!$A$1:$O$24,PROVEEDORES[[#This Row],[indicador de columna]],FALSE)</f>
        <v>0</v>
      </c>
      <c r="Y687" s="152">
        <f>+VLOOKUP(PROVEEDORES[[#This Row],[ID RETENCION]],Retenciones!$A$1:$O$24,2,FALSE)</f>
        <v>0</v>
      </c>
      <c r="Z687" s="26"/>
      <c r="AA687" s="26"/>
      <c r="AB687" s="26"/>
      <c r="AC687" s="26"/>
      <c r="AD687" s="26"/>
      <c r="AE687" s="26"/>
    </row>
    <row r="688" spans="1:31" ht="21.95" customHeight="1" x14ac:dyDescent="0.25">
      <c r="A688" s="97" t="str">
        <f>+IF(PROVEEDORES[[#This Row],[FECHA DE PAGO]]=PROVEEDORES[[#This Row],[FECHA DE FACTURACIÓN]],"DE CONTADO","CRÉDITO")</f>
        <v>CRÉDITO</v>
      </c>
      <c r="B688" s="41" t="b">
        <f>+IF((PROVEEDORES[[#This Row],[FECHA DE PAGO]]-PROVEEDORES[[#This Row],[FECHA DE FACTURACIÓN]])&gt;PROVEEDORES[[#This Row],[PLAZO Días]],"PAGO VENCIDO")</f>
        <v>0</v>
      </c>
      <c r="C688" s="22">
        <f>+VLOOKUP(PROVEEDORES[[#This Row],[PROVEEDOR]],TERCEROS_INFO[#All],2,FALSE)</f>
        <v>60</v>
      </c>
      <c r="D688" s="27">
        <f>+SUMIFS(PROVEEDORES[Total],PROVEEDORES[PROVEEDOR],PROVEEDORES[[#This Row],[PROVEEDOR]],PROVEEDORES[FECHA DE PAGO],"")</f>
        <v>11143041</v>
      </c>
      <c r="E688" s="27"/>
      <c r="F688" s="62">
        <f>+VLOOKUP(PROVEEDORES[[#This Row],[PROVEEDOR]],
                       Terceros!$A:$G,
                       6,
                       FALSE)</f>
        <v>0</v>
      </c>
      <c r="G688" s="95">
        <v>44488</v>
      </c>
      <c r="H688" s="28" t="s">
        <v>507</v>
      </c>
      <c r="I688" s="95">
        <v>44428</v>
      </c>
      <c r="J688" s="38" t="s">
        <v>510</v>
      </c>
      <c r="K688" s="23">
        <v>6142846</v>
      </c>
      <c r="L688" s="23"/>
      <c r="M688" s="24">
        <v>1167140.74</v>
      </c>
      <c r="N688" s="25"/>
      <c r="O688" s="24">
        <v>0</v>
      </c>
      <c r="P688" s="136">
        <f>+IF(PROVEEDORES[[#This Row],[SUBTOTAL]]&lt;PROVEEDORES[[#This Row],[base retencion]],0,PROVEEDORES[[#This Row],[retención aplicada]])</f>
        <v>0</v>
      </c>
      <c r="Q688" s="24">
        <f>+PROVEEDORES[[#This Row],[Rete Fuente %]]*PROVEEDORES[[#This Row],[SUBTOTAL]]</f>
        <v>0</v>
      </c>
      <c r="R688" s="23">
        <v>7309986.7400000002</v>
      </c>
      <c r="S68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8" s="99">
        <f ca="1">IF(PROVEEDORES[[#This Row],[FECHA DE PAGO]]=0,TODAY()-PROVEEDORES[[#This Row],[FECHA DE FACTURACIÓN]]-PROVEEDORES[[#This Row],[PLAZO Días]],0)</f>
        <v>0</v>
      </c>
      <c r="U688" s="149">
        <f>+VLOOKUP(PROVEEDORES[[#This Row],[PROVEEDOR]],Terceros!$A:$E,5,FALSE)</f>
        <v>0</v>
      </c>
      <c r="V688" s="150">
        <f>+YEAR(PROVEEDORES[[#This Row],[FECHA DE FACTURACIÓN]])</f>
        <v>2021</v>
      </c>
      <c r="W688" s="150">
        <f>+MATCH(PROVEEDORES[[#This Row],[año facturado]],Retenciones!$1:$1,0)</f>
        <v>4</v>
      </c>
      <c r="X688" s="151">
        <f>+VLOOKUP(PROVEEDORES[[#This Row],[ID RETENCION]],Retenciones!$A$1:$O$24,PROVEEDORES[[#This Row],[indicador de columna]],FALSE)</f>
        <v>0</v>
      </c>
      <c r="Y688" s="152">
        <f>+VLOOKUP(PROVEEDORES[[#This Row],[ID RETENCION]],Retenciones!$A$1:$O$24,2,FALSE)</f>
        <v>0</v>
      </c>
      <c r="Z688" s="26"/>
      <c r="AA688" s="26"/>
      <c r="AB688" s="26"/>
      <c r="AC688" s="26"/>
      <c r="AD688" s="26"/>
      <c r="AE688" s="26"/>
    </row>
    <row r="689" spans="1:31" ht="21.95" customHeight="1" x14ac:dyDescent="0.25">
      <c r="A689" s="97" t="str">
        <f>+IF(PROVEEDORES[[#This Row],[FECHA DE PAGO]]=PROVEEDORES[[#This Row],[FECHA DE FACTURACIÓN]],"DE CONTADO","CRÉDITO")</f>
        <v>CRÉDITO</v>
      </c>
      <c r="B689" s="41" t="b">
        <f>+IF((PROVEEDORES[[#This Row],[FECHA DE PAGO]]-PROVEEDORES[[#This Row],[FECHA DE FACTURACIÓN]])&gt;PROVEEDORES[[#This Row],[PLAZO Días]],"PAGO VENCIDO")</f>
        <v>0</v>
      </c>
      <c r="C689" s="22">
        <f>+VLOOKUP(PROVEEDORES[[#This Row],[PROVEEDOR]],TERCEROS_INFO[#All],2,FALSE)</f>
        <v>30</v>
      </c>
      <c r="D689" s="27">
        <f>+SUMIFS(PROVEEDORES[Total],PROVEEDORES[PROVEEDOR],PROVEEDORES[[#This Row],[PROVEEDOR]],PROVEEDORES[FECHA DE PAGO],"")</f>
        <v>0</v>
      </c>
      <c r="E689" s="27"/>
      <c r="F689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689" s="95">
        <v>44459</v>
      </c>
      <c r="H689" s="28" t="s">
        <v>1124</v>
      </c>
      <c r="I689" s="95">
        <v>44429</v>
      </c>
      <c r="J689" s="38">
        <v>21160</v>
      </c>
      <c r="K689" s="23">
        <v>1620000</v>
      </c>
      <c r="L689" s="23"/>
      <c r="M689" s="24">
        <v>307800</v>
      </c>
      <c r="N689" s="25"/>
      <c r="O689" s="24">
        <v>0</v>
      </c>
      <c r="P689" s="136">
        <f>+IF(PROVEEDORES[[#This Row],[SUBTOTAL]]&lt;PROVEEDORES[[#This Row],[base retencion]],0,PROVEEDORES[[#This Row],[retención aplicada]])</f>
        <v>2.5000000000000001E-2</v>
      </c>
      <c r="Q689" s="24">
        <f>+PROVEEDORES[[#This Row],[Rete Fuente %]]*PROVEEDORES[[#This Row],[SUBTOTAL]]</f>
        <v>40500</v>
      </c>
      <c r="R689" s="23">
        <v>1887300</v>
      </c>
      <c r="S68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9" s="99">
        <f ca="1">IF(PROVEEDORES[[#This Row],[FECHA DE PAGO]]=0,TODAY()-PROVEEDORES[[#This Row],[FECHA DE FACTURACIÓN]]-PROVEEDORES[[#This Row],[PLAZO Días]],0)</f>
        <v>0</v>
      </c>
      <c r="U689" s="149" t="str">
        <f>+VLOOKUP(PROVEEDORES[[#This Row],[PROVEEDOR]],Terceros!$A:$E,5,FALSE)</f>
        <v>2,5% con base</v>
      </c>
      <c r="V689" s="150">
        <f>+YEAR(PROVEEDORES[[#This Row],[FECHA DE FACTURACIÓN]])</f>
        <v>2021</v>
      </c>
      <c r="W689" s="150">
        <f>+MATCH(PROVEEDORES[[#This Row],[año facturado]],Retenciones!$1:$1,0)</f>
        <v>4</v>
      </c>
      <c r="X689" s="151">
        <f>+VLOOKUP(PROVEEDORES[[#This Row],[ID RETENCION]],Retenciones!$A$1:$O$24,PROVEEDORES[[#This Row],[indicador de columna]],FALSE)</f>
        <v>980000</v>
      </c>
      <c r="Y689" s="152">
        <f>+VLOOKUP(PROVEEDORES[[#This Row],[ID RETENCION]],Retenciones!$A$1:$O$24,2,FALSE)</f>
        <v>2.5000000000000001E-2</v>
      </c>
      <c r="Z689" s="26"/>
      <c r="AA689" s="26"/>
      <c r="AB689" s="26"/>
      <c r="AC689" s="26"/>
      <c r="AD689" s="26"/>
      <c r="AE689" s="26"/>
    </row>
    <row r="690" spans="1:31" ht="21.95" customHeight="1" x14ac:dyDescent="0.25">
      <c r="A690" s="97" t="str">
        <f>+IF(PROVEEDORES[[#This Row],[FECHA DE PAGO]]=PROVEEDORES[[#This Row],[FECHA DE FACTURACIÓN]],"DE CONTADO","CRÉDITO")</f>
        <v>CRÉDITO</v>
      </c>
      <c r="B690" s="41" t="b">
        <f>+IF((PROVEEDORES[[#This Row],[FECHA DE PAGO]]-PROVEEDORES[[#This Row],[FECHA DE FACTURACIÓN]])&gt;PROVEEDORES[[#This Row],[PLAZO Días]],"PAGO VENCIDO")</f>
        <v>0</v>
      </c>
      <c r="C690" s="22">
        <f>+VLOOKUP(PROVEEDORES[[#This Row],[PROVEEDOR]],TERCEROS_INFO[#All],2,FALSE)</f>
        <v>30</v>
      </c>
      <c r="D690" s="27">
        <f>+SUMIFS(PROVEEDORES[Total],PROVEEDORES[PROVEEDOR],PROVEEDORES[[#This Row],[PROVEEDOR]],PROVEEDORES[FECHA DE PAGO],"")</f>
        <v>0</v>
      </c>
      <c r="E690" s="27"/>
      <c r="F690" s="62" t="str">
        <f>+VLOOKUP(PROVEEDORES[[#This Row],[PROVEEDOR]],
                       Terceros!$A:$G,
                       6,
                       FALSE)</f>
        <v>PSE</v>
      </c>
      <c r="G690" s="95">
        <v>44456</v>
      </c>
      <c r="H690" s="28" t="s">
        <v>350</v>
      </c>
      <c r="I690" s="95">
        <v>44440</v>
      </c>
      <c r="J690" s="38" t="s">
        <v>351</v>
      </c>
      <c r="K690" s="23">
        <v>727051</v>
      </c>
      <c r="L690" s="23"/>
      <c r="M690" s="24">
        <v>0</v>
      </c>
      <c r="N690" s="25"/>
      <c r="O690" s="24">
        <v>0</v>
      </c>
      <c r="P690" s="136">
        <f>+IF(PROVEEDORES[[#This Row],[SUBTOTAL]]&lt;PROVEEDORES[[#This Row],[base retencion]],0,PROVEEDORES[[#This Row],[retención aplicada]])</f>
        <v>0</v>
      </c>
      <c r="Q690" s="24">
        <f>+PROVEEDORES[[#This Row],[Rete Fuente %]]*PROVEEDORES[[#This Row],[SUBTOTAL]]</f>
        <v>0</v>
      </c>
      <c r="R690" s="23">
        <v>727051</v>
      </c>
      <c r="S69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0" s="99">
        <f ca="1">IF(PROVEEDORES[[#This Row],[FECHA DE PAGO]]=0,TODAY()-PROVEEDORES[[#This Row],[FECHA DE FACTURACIÓN]]-PROVEEDORES[[#This Row],[PLAZO Días]],0)</f>
        <v>0</v>
      </c>
      <c r="U690" s="149">
        <f>+VLOOKUP(PROVEEDORES[[#This Row],[PROVEEDOR]],Terceros!$A:$E,5,FALSE)</f>
        <v>0</v>
      </c>
      <c r="V690" s="150">
        <f>+YEAR(PROVEEDORES[[#This Row],[FECHA DE FACTURACIÓN]])</f>
        <v>2021</v>
      </c>
      <c r="W690" s="150">
        <f>+MATCH(PROVEEDORES[[#This Row],[año facturado]],Retenciones!$1:$1,0)</f>
        <v>4</v>
      </c>
      <c r="X690" s="151">
        <f>+VLOOKUP(PROVEEDORES[[#This Row],[ID RETENCION]],Retenciones!$A$1:$O$24,PROVEEDORES[[#This Row],[indicador de columna]],FALSE)</f>
        <v>0</v>
      </c>
      <c r="Y690" s="152">
        <f>+VLOOKUP(PROVEEDORES[[#This Row],[ID RETENCION]],Retenciones!$A$1:$O$24,2,FALSE)</f>
        <v>0</v>
      </c>
      <c r="Z690" s="26"/>
      <c r="AA690" s="26"/>
      <c r="AB690" s="26"/>
      <c r="AC690" s="26"/>
      <c r="AD690" s="26"/>
      <c r="AE690" s="26"/>
    </row>
    <row r="691" spans="1:31" ht="21.95" customHeight="1" x14ac:dyDescent="0.25">
      <c r="A691" s="97" t="str">
        <f>+IF(PROVEEDORES[[#This Row],[FECHA DE PAGO]]=PROVEEDORES[[#This Row],[FECHA DE FACTURACIÓN]],"DE CONTADO","CRÉDITO")</f>
        <v>DE CONTADO</v>
      </c>
      <c r="B691" s="41" t="b">
        <f>+IF((PROVEEDORES[[#This Row],[FECHA DE PAGO]]-PROVEEDORES[[#This Row],[FECHA DE FACTURACIÓN]])&gt;PROVEEDORES[[#This Row],[PLAZO Días]],"PAGO VENCIDO")</f>
        <v>0</v>
      </c>
      <c r="C691" s="22">
        <f>+VLOOKUP(PROVEEDORES[[#This Row],[PROVEEDOR]],TERCEROS_INFO[#All],2,FALSE)</f>
        <v>30</v>
      </c>
      <c r="D691" s="27">
        <f>+SUMIFS(PROVEEDORES[Total],PROVEEDORES[PROVEEDOR],PROVEEDORES[[#This Row],[PROVEEDOR]],PROVEEDORES[FECHA DE PAGO],"")</f>
        <v>0</v>
      </c>
      <c r="E691" s="27"/>
      <c r="F691" s="62">
        <f>+VLOOKUP(PROVEEDORES[[#This Row],[PROVEEDOR]],
                       Terceros!$A:$G,
                       6,
                       FALSE)</f>
        <v>0</v>
      </c>
      <c r="G691" s="95">
        <v>44431</v>
      </c>
      <c r="H691" s="28" t="s">
        <v>1041</v>
      </c>
      <c r="I691" s="95">
        <v>44431</v>
      </c>
      <c r="J691" s="38" t="s">
        <v>796</v>
      </c>
      <c r="K691" s="23">
        <v>1000000</v>
      </c>
      <c r="L691" s="23"/>
      <c r="M691" s="24">
        <v>0</v>
      </c>
      <c r="N691" s="25"/>
      <c r="O691" s="24">
        <v>0</v>
      </c>
      <c r="P691" s="136">
        <f>+IF(PROVEEDORES[[#This Row],[SUBTOTAL]]&lt;PROVEEDORES[[#This Row],[base retencion]],0,PROVEEDORES[[#This Row],[retención aplicada]])</f>
        <v>0</v>
      </c>
      <c r="Q691" s="24">
        <f>+PROVEEDORES[[#This Row],[Rete Fuente %]]*PROVEEDORES[[#This Row],[SUBTOTAL]]</f>
        <v>0</v>
      </c>
      <c r="R691" s="23">
        <v>1000000</v>
      </c>
      <c r="S69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1" s="99">
        <f ca="1">IF(PROVEEDORES[[#This Row],[FECHA DE PAGO]]=0,TODAY()-PROVEEDORES[[#This Row],[FECHA DE FACTURACIÓN]]-PROVEEDORES[[#This Row],[PLAZO Días]],0)</f>
        <v>0</v>
      </c>
      <c r="U691" s="149">
        <f>+VLOOKUP(PROVEEDORES[[#This Row],[PROVEEDOR]],Terceros!$A:$E,5,FALSE)</f>
        <v>0</v>
      </c>
      <c r="V691" s="150">
        <f>+YEAR(PROVEEDORES[[#This Row],[FECHA DE FACTURACIÓN]])</f>
        <v>2021</v>
      </c>
      <c r="W691" s="150">
        <f>+MATCH(PROVEEDORES[[#This Row],[año facturado]],Retenciones!$1:$1,0)</f>
        <v>4</v>
      </c>
      <c r="X691" s="151">
        <f>+VLOOKUP(PROVEEDORES[[#This Row],[ID RETENCION]],Retenciones!$A$1:$O$24,PROVEEDORES[[#This Row],[indicador de columna]],FALSE)</f>
        <v>0</v>
      </c>
      <c r="Y691" s="152">
        <f>+VLOOKUP(PROVEEDORES[[#This Row],[ID RETENCION]],Retenciones!$A$1:$O$24,2,FALSE)</f>
        <v>0</v>
      </c>
      <c r="Z691" s="26"/>
      <c r="AA691" s="26"/>
      <c r="AB691" s="26"/>
      <c r="AC691" s="26"/>
      <c r="AD691" s="26"/>
      <c r="AE691" s="26"/>
    </row>
    <row r="692" spans="1:31" ht="21.95" customHeight="1" x14ac:dyDescent="0.25">
      <c r="A692" s="97" t="str">
        <f>+IF(PROVEEDORES[[#This Row],[FECHA DE PAGO]]=PROVEEDORES[[#This Row],[FECHA DE FACTURACIÓN]],"DE CONTADO","CRÉDITO")</f>
        <v>CRÉDITO</v>
      </c>
      <c r="B692" s="41" t="str">
        <f>+IF((PROVEEDORES[[#This Row],[FECHA DE PAGO]]-PROVEEDORES[[#This Row],[FECHA DE FACTURACIÓN]])&gt;PROVEEDORES[[#This Row],[PLAZO Días]],"PAGO VENCIDO")</f>
        <v>PAGO VENCIDO</v>
      </c>
      <c r="C692" s="22">
        <f>+VLOOKUP(PROVEEDORES[[#This Row],[PROVEEDOR]],TERCEROS_INFO[#All],2,FALSE)</f>
        <v>90</v>
      </c>
      <c r="D692" s="27">
        <f>+SUMIFS(PROVEEDORES[Total],PROVEEDORES[PROVEEDOR],PROVEEDORES[[#This Row],[PROVEEDOR]],PROVEEDORES[FECHA DE PAGO],"")</f>
        <v>26364243.66155</v>
      </c>
      <c r="E692" s="27"/>
      <c r="F692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692" s="95">
        <v>44533</v>
      </c>
      <c r="H692" s="28" t="s">
        <v>12</v>
      </c>
      <c r="I692" s="95">
        <v>44431</v>
      </c>
      <c r="J692" s="38" t="s">
        <v>485</v>
      </c>
      <c r="K692" s="23">
        <v>1527733</v>
      </c>
      <c r="L692" s="23"/>
      <c r="M692" s="24">
        <v>290269.27</v>
      </c>
      <c r="N692" s="25"/>
      <c r="O692" s="24">
        <v>0</v>
      </c>
      <c r="P692" s="136">
        <f>+IF(PROVEEDORES[[#This Row],[SUBTOTAL]]&lt;PROVEEDORES[[#This Row],[base retencion]],0,PROVEEDORES[[#This Row],[retención aplicada]])</f>
        <v>2.5000000000000001E-2</v>
      </c>
      <c r="Q692" s="24">
        <f>+PROVEEDORES[[#This Row],[Rete Fuente %]]*PROVEEDORES[[#This Row],[SUBTOTAL]]</f>
        <v>38193.325000000004</v>
      </c>
      <c r="R692" s="23">
        <v>1779808.9450000001</v>
      </c>
      <c r="S69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2" s="99">
        <f ca="1">IF(PROVEEDORES[[#This Row],[FECHA DE PAGO]]=0,TODAY()-PROVEEDORES[[#This Row],[FECHA DE FACTURACIÓN]]-PROVEEDORES[[#This Row],[PLAZO Días]],0)</f>
        <v>0</v>
      </c>
      <c r="U692" s="149" t="str">
        <f>+VLOOKUP(PROVEEDORES[[#This Row],[PROVEEDOR]],Terceros!$A:$E,5,FALSE)</f>
        <v>2,5% con base</v>
      </c>
      <c r="V692" s="150">
        <f>+YEAR(PROVEEDORES[[#This Row],[FECHA DE FACTURACIÓN]])</f>
        <v>2021</v>
      </c>
      <c r="W692" s="150">
        <f>+MATCH(PROVEEDORES[[#This Row],[año facturado]],Retenciones!$1:$1,0)</f>
        <v>4</v>
      </c>
      <c r="X692" s="151">
        <f>+VLOOKUP(PROVEEDORES[[#This Row],[ID RETENCION]],Retenciones!$A$1:$O$24,PROVEEDORES[[#This Row],[indicador de columna]],FALSE)</f>
        <v>980000</v>
      </c>
      <c r="Y692" s="152">
        <f>+VLOOKUP(PROVEEDORES[[#This Row],[ID RETENCION]],Retenciones!$A$1:$O$24,2,FALSE)</f>
        <v>2.5000000000000001E-2</v>
      </c>
      <c r="Z692" s="26"/>
      <c r="AA692" s="26"/>
      <c r="AB692" s="26"/>
      <c r="AC692" s="26"/>
      <c r="AD692" s="26"/>
      <c r="AE692" s="26"/>
    </row>
    <row r="693" spans="1:31" ht="21.95" customHeight="1" x14ac:dyDescent="0.25">
      <c r="A693" s="97" t="str">
        <f>+IF(PROVEEDORES[[#This Row],[FECHA DE PAGO]]=PROVEEDORES[[#This Row],[FECHA DE FACTURACIÓN]],"DE CONTADO","CRÉDITO")</f>
        <v>DE CONTADO</v>
      </c>
      <c r="B693" s="41" t="b">
        <f>+IF((PROVEEDORES[[#This Row],[FECHA DE PAGO]]-PROVEEDORES[[#This Row],[FECHA DE FACTURACIÓN]])&gt;PROVEEDORES[[#This Row],[PLAZO Días]],"PAGO VENCIDO")</f>
        <v>0</v>
      </c>
      <c r="C693" s="22">
        <f>+VLOOKUP(PROVEEDORES[[#This Row],[PROVEEDOR]],TERCEROS_INFO[#All],2,FALSE)</f>
        <v>30</v>
      </c>
      <c r="D693" s="27">
        <f>+SUMIFS(PROVEEDORES[Total],PROVEEDORES[PROVEEDOR],PROVEEDORES[[#This Row],[PROVEEDOR]],PROVEEDORES[FECHA DE PAGO],"")</f>
        <v>0</v>
      </c>
      <c r="E693" s="27"/>
      <c r="F693" s="62" t="str">
        <f>+VLOOKUP(PROVEEDORES[[#This Row],[PROVEEDOR]],
                       Terceros!$A:$G,
                       6,
                       FALSE)</f>
        <v/>
      </c>
      <c r="G693" s="95">
        <v>44431</v>
      </c>
      <c r="H693" s="28" t="s">
        <v>1001</v>
      </c>
      <c r="I693" s="95">
        <v>44431</v>
      </c>
      <c r="J693" s="38" t="s">
        <v>795</v>
      </c>
      <c r="K693" s="23">
        <v>8149000</v>
      </c>
      <c r="L693" s="23"/>
      <c r="M693" s="24">
        <v>0</v>
      </c>
      <c r="N693" s="25"/>
      <c r="O693" s="24">
        <v>0</v>
      </c>
      <c r="P693" s="136">
        <f>+IF(PROVEEDORES[[#This Row],[SUBTOTAL]]&lt;PROVEEDORES[[#This Row],[base retencion]],0,PROVEEDORES[[#This Row],[retención aplicada]])</f>
        <v>0</v>
      </c>
      <c r="Q693" s="24">
        <f>+PROVEEDORES[[#This Row],[Rete Fuente %]]*PROVEEDORES[[#This Row],[SUBTOTAL]]</f>
        <v>0</v>
      </c>
      <c r="R693" s="23">
        <v>8149000</v>
      </c>
      <c r="S69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3" s="99">
        <f ca="1">IF(PROVEEDORES[[#This Row],[FECHA DE PAGO]]=0,TODAY()-PROVEEDORES[[#This Row],[FECHA DE FACTURACIÓN]]-PROVEEDORES[[#This Row],[PLAZO Días]],0)</f>
        <v>0</v>
      </c>
      <c r="U693" s="149">
        <f>+VLOOKUP(PROVEEDORES[[#This Row],[PROVEEDOR]],Terceros!$A:$E,5,FALSE)</f>
        <v>0</v>
      </c>
      <c r="V693" s="150">
        <f>+YEAR(PROVEEDORES[[#This Row],[FECHA DE FACTURACIÓN]])</f>
        <v>2021</v>
      </c>
      <c r="W693" s="150">
        <f>+MATCH(PROVEEDORES[[#This Row],[año facturado]],Retenciones!$1:$1,0)</f>
        <v>4</v>
      </c>
      <c r="X693" s="151">
        <f>+VLOOKUP(PROVEEDORES[[#This Row],[ID RETENCION]],Retenciones!$A$1:$O$24,PROVEEDORES[[#This Row],[indicador de columna]],FALSE)</f>
        <v>0</v>
      </c>
      <c r="Y693" s="152">
        <f>+VLOOKUP(PROVEEDORES[[#This Row],[ID RETENCION]],Retenciones!$A$1:$O$24,2,FALSE)</f>
        <v>0</v>
      </c>
      <c r="Z693" s="26"/>
      <c r="AA693" s="26"/>
      <c r="AB693" s="26"/>
      <c r="AC693" s="26"/>
      <c r="AD693" s="26"/>
      <c r="AE693" s="26"/>
    </row>
    <row r="694" spans="1:31" ht="21.95" customHeight="1" x14ac:dyDescent="0.25">
      <c r="A694" s="97" t="str">
        <f>+IF(PROVEEDORES[[#This Row],[FECHA DE PAGO]]=PROVEEDORES[[#This Row],[FECHA DE FACTURACIÓN]],"DE CONTADO","CRÉDITO")</f>
        <v>CRÉDITO</v>
      </c>
      <c r="B694" s="41" t="b">
        <f>+IF((PROVEEDORES[[#This Row],[FECHA DE PAGO]]-PROVEEDORES[[#This Row],[FECHA DE FACTURACIÓN]])&gt;PROVEEDORES[[#This Row],[PLAZO Días]],"PAGO VENCIDO")</f>
        <v>0</v>
      </c>
      <c r="C694" s="22">
        <f>+VLOOKUP(PROVEEDORES[[#This Row],[PROVEEDOR]],TERCEROS_INFO[#All],2,FALSE)</f>
        <v>30</v>
      </c>
      <c r="D694" s="27">
        <f>+SUMIFS(PROVEEDORES[Total],PROVEEDORES[PROVEEDOR],PROVEEDORES[[#This Row],[PROVEEDOR]],PROVEEDORES[FECHA DE PAGO],"")</f>
        <v>0</v>
      </c>
      <c r="E694" s="27"/>
      <c r="F694" s="62" t="str">
        <f>+VLOOKUP(PROVEEDORES[[#This Row],[PROVEEDOR]],
                       Terceros!$A:$G,
                       6,
                       FALSE)</f>
        <v>PSE</v>
      </c>
      <c r="G694" s="95">
        <v>44456</v>
      </c>
      <c r="H694" s="28" t="s">
        <v>350</v>
      </c>
      <c r="I694" s="95">
        <v>44440</v>
      </c>
      <c r="J694" s="38" t="s">
        <v>352</v>
      </c>
      <c r="K694" s="23">
        <v>743959</v>
      </c>
      <c r="L694" s="23"/>
      <c r="M694" s="24">
        <v>0</v>
      </c>
      <c r="N694" s="25"/>
      <c r="O694" s="24">
        <v>0</v>
      </c>
      <c r="P694" s="136">
        <f>+IF(PROVEEDORES[[#This Row],[SUBTOTAL]]&lt;PROVEEDORES[[#This Row],[base retencion]],0,PROVEEDORES[[#This Row],[retención aplicada]])</f>
        <v>0</v>
      </c>
      <c r="Q694" s="24">
        <f>+PROVEEDORES[[#This Row],[Rete Fuente %]]*PROVEEDORES[[#This Row],[SUBTOTAL]]</f>
        <v>0</v>
      </c>
      <c r="R694" s="23">
        <v>743959</v>
      </c>
      <c r="S69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4" s="99">
        <f ca="1">IF(PROVEEDORES[[#This Row],[FECHA DE PAGO]]=0,TODAY()-PROVEEDORES[[#This Row],[FECHA DE FACTURACIÓN]]-PROVEEDORES[[#This Row],[PLAZO Días]],0)</f>
        <v>0</v>
      </c>
      <c r="U694" s="149">
        <f>+VLOOKUP(PROVEEDORES[[#This Row],[PROVEEDOR]],Terceros!$A:$E,5,FALSE)</f>
        <v>0</v>
      </c>
      <c r="V694" s="150">
        <f>+YEAR(PROVEEDORES[[#This Row],[FECHA DE FACTURACIÓN]])</f>
        <v>2021</v>
      </c>
      <c r="W694" s="150">
        <f>+MATCH(PROVEEDORES[[#This Row],[año facturado]],Retenciones!$1:$1,0)</f>
        <v>4</v>
      </c>
      <c r="X694" s="151">
        <f>+VLOOKUP(PROVEEDORES[[#This Row],[ID RETENCION]],Retenciones!$A$1:$O$24,PROVEEDORES[[#This Row],[indicador de columna]],FALSE)</f>
        <v>0</v>
      </c>
      <c r="Y694" s="152">
        <f>+VLOOKUP(PROVEEDORES[[#This Row],[ID RETENCION]],Retenciones!$A$1:$O$24,2,FALSE)</f>
        <v>0</v>
      </c>
      <c r="Z694" s="26"/>
      <c r="AA694" s="26"/>
      <c r="AB694" s="26"/>
      <c r="AC694" s="26"/>
      <c r="AD694" s="26"/>
      <c r="AE694" s="26"/>
    </row>
    <row r="695" spans="1:31" ht="21.95" customHeight="1" x14ac:dyDescent="0.25">
      <c r="A695" s="97" t="str">
        <f>+IF(PROVEEDORES[[#This Row],[FECHA DE PAGO]]=PROVEEDORES[[#This Row],[FECHA DE FACTURACIÓN]],"DE CONTADO","CRÉDITO")</f>
        <v>CRÉDITO</v>
      </c>
      <c r="B695" s="41" t="b">
        <f>+IF((PROVEEDORES[[#This Row],[FECHA DE PAGO]]-PROVEEDORES[[#This Row],[FECHA DE FACTURACIÓN]])&gt;PROVEEDORES[[#This Row],[PLAZO Días]],"PAGO VENCIDO")</f>
        <v>0</v>
      </c>
      <c r="C695" s="22">
        <f>+VLOOKUP(PROVEEDORES[[#This Row],[PROVEEDOR]],TERCEROS_INFO[#All],2,FALSE)</f>
        <v>20</v>
      </c>
      <c r="D695" s="27">
        <f>+SUMIFS(PROVEEDORES[Total],PROVEEDORES[PROVEEDOR],PROVEEDORES[[#This Row],[PROVEEDOR]],PROVEEDORES[FECHA DE PAGO],"")</f>
        <v>0</v>
      </c>
      <c r="E695" s="27"/>
      <c r="F695" s="62" t="str">
        <f>+VLOOKUP(PROVEEDORES[[#This Row],[PROVEEDOR]],
                       Terceros!$A:$G,
                       6,
                       FALSE)</f>
        <v>pse</v>
      </c>
      <c r="G695" s="95">
        <v>44456</v>
      </c>
      <c r="H695" s="28" t="s">
        <v>371</v>
      </c>
      <c r="I695" s="95">
        <v>44440</v>
      </c>
      <c r="J695" s="38"/>
      <c r="K695" s="23">
        <v>871994</v>
      </c>
      <c r="L695" s="23"/>
      <c r="M695" s="24">
        <v>0</v>
      </c>
      <c r="N695" s="25"/>
      <c r="O695" s="24">
        <v>0</v>
      </c>
      <c r="P695" s="136">
        <f>+IF(PROVEEDORES[[#This Row],[SUBTOTAL]]&lt;PROVEEDORES[[#This Row],[base retencion]],0,PROVEEDORES[[#This Row],[retención aplicada]])</f>
        <v>0</v>
      </c>
      <c r="Q695" s="24">
        <f>+PROVEEDORES[[#This Row],[Rete Fuente %]]*PROVEEDORES[[#This Row],[SUBTOTAL]]</f>
        <v>0</v>
      </c>
      <c r="R695" s="23">
        <v>871994</v>
      </c>
      <c r="S69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5" s="99">
        <f ca="1">IF(PROVEEDORES[[#This Row],[FECHA DE PAGO]]=0,TODAY()-PROVEEDORES[[#This Row],[FECHA DE FACTURACIÓN]]-PROVEEDORES[[#This Row],[PLAZO Días]],0)</f>
        <v>0</v>
      </c>
      <c r="U695" s="149">
        <f>+VLOOKUP(PROVEEDORES[[#This Row],[PROVEEDOR]],Terceros!$A:$E,5,FALSE)</f>
        <v>0</v>
      </c>
      <c r="V695" s="150">
        <f>+YEAR(PROVEEDORES[[#This Row],[FECHA DE FACTURACIÓN]])</f>
        <v>2021</v>
      </c>
      <c r="W695" s="150">
        <f>+MATCH(PROVEEDORES[[#This Row],[año facturado]],Retenciones!$1:$1,0)</f>
        <v>4</v>
      </c>
      <c r="X695" s="151">
        <f>+VLOOKUP(PROVEEDORES[[#This Row],[ID RETENCION]],Retenciones!$A$1:$O$24,PROVEEDORES[[#This Row],[indicador de columna]],FALSE)</f>
        <v>0</v>
      </c>
      <c r="Y695" s="152">
        <f>+VLOOKUP(PROVEEDORES[[#This Row],[ID RETENCION]],Retenciones!$A$1:$O$24,2,FALSE)</f>
        <v>0</v>
      </c>
      <c r="Z695" s="26"/>
      <c r="AA695" s="26"/>
      <c r="AB695" s="26"/>
      <c r="AC695" s="26"/>
      <c r="AD695" s="26"/>
      <c r="AE695" s="26"/>
    </row>
    <row r="696" spans="1:31" ht="21.95" customHeight="1" x14ac:dyDescent="0.25">
      <c r="A696" s="97" t="str">
        <f>+IF(PROVEEDORES[[#This Row],[FECHA DE PAGO]]=PROVEEDORES[[#This Row],[FECHA DE FACTURACIÓN]],"DE CONTADO","CRÉDITO")</f>
        <v>CRÉDITO</v>
      </c>
      <c r="B696" s="41" t="b">
        <f>+IF((PROVEEDORES[[#This Row],[FECHA DE PAGO]]-PROVEEDORES[[#This Row],[FECHA DE FACTURACIÓN]])&gt;PROVEEDORES[[#This Row],[PLAZO Días]],"PAGO VENCIDO")</f>
        <v>0</v>
      </c>
      <c r="C696" s="22">
        <f>+VLOOKUP(PROVEEDORES[[#This Row],[PROVEEDOR]],TERCEROS_INFO[#All],2,FALSE)</f>
        <v>30</v>
      </c>
      <c r="D696" s="27">
        <f>+SUMIFS(PROVEEDORES[Total],PROVEEDORES[PROVEEDOR],PROVEEDORES[[#This Row],[PROVEEDOR]],PROVEEDORES[FECHA DE PAGO],"")</f>
        <v>0</v>
      </c>
      <c r="E696" s="27"/>
      <c r="F696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696" s="95">
        <v>44442</v>
      </c>
      <c r="H696" s="28" t="s">
        <v>453</v>
      </c>
      <c r="I696" s="95">
        <v>44432</v>
      </c>
      <c r="J696" s="38" t="s">
        <v>492</v>
      </c>
      <c r="K696" s="23">
        <v>4158.2</v>
      </c>
      <c r="L696" s="23"/>
      <c r="M696" s="24">
        <v>0</v>
      </c>
      <c r="N696" s="25"/>
      <c r="O696" s="24">
        <v>0</v>
      </c>
      <c r="P696" s="136">
        <f>+IF(PROVEEDORES[[#This Row],[SUBTOTAL]]&lt;PROVEEDORES[[#This Row],[base retencion]],0,PROVEEDORES[[#This Row],[retención aplicada]])</f>
        <v>0</v>
      </c>
      <c r="Q696" s="24">
        <f>+PROVEEDORES[[#This Row],[Rete Fuente %]]*PROVEEDORES[[#This Row],[SUBTOTAL]]</f>
        <v>0</v>
      </c>
      <c r="R696" s="23">
        <v>4158.2</v>
      </c>
      <c r="S69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6" s="99">
        <f ca="1">IF(PROVEEDORES[[#This Row],[FECHA DE PAGO]]=0,TODAY()-PROVEEDORES[[#This Row],[FECHA DE FACTURACIÓN]]-PROVEEDORES[[#This Row],[PLAZO Días]],0)</f>
        <v>0</v>
      </c>
      <c r="U696" s="149">
        <f>+VLOOKUP(PROVEEDORES[[#This Row],[PROVEEDOR]],Terceros!$A:$E,5,FALSE)</f>
        <v>0</v>
      </c>
      <c r="V696" s="150">
        <f>+YEAR(PROVEEDORES[[#This Row],[FECHA DE FACTURACIÓN]])</f>
        <v>2021</v>
      </c>
      <c r="W696" s="150">
        <f>+MATCH(PROVEEDORES[[#This Row],[año facturado]],Retenciones!$1:$1,0)</f>
        <v>4</v>
      </c>
      <c r="X696" s="151">
        <f>+VLOOKUP(PROVEEDORES[[#This Row],[ID RETENCION]],Retenciones!$A$1:$O$24,PROVEEDORES[[#This Row],[indicador de columna]],FALSE)</f>
        <v>0</v>
      </c>
      <c r="Y696" s="152">
        <f>+VLOOKUP(PROVEEDORES[[#This Row],[ID RETENCION]],Retenciones!$A$1:$O$24,2,FALSE)</f>
        <v>0</v>
      </c>
      <c r="Z696" s="26"/>
      <c r="AA696" s="26"/>
      <c r="AB696" s="26"/>
      <c r="AC696" s="26"/>
      <c r="AD696" s="26"/>
      <c r="AE696" s="26"/>
    </row>
    <row r="697" spans="1:31" ht="21.95" customHeight="1" x14ac:dyDescent="0.25">
      <c r="A697" s="97" t="str">
        <f>+IF(PROVEEDORES[[#This Row],[FECHA DE PAGO]]=PROVEEDORES[[#This Row],[FECHA DE FACTURACIÓN]],"DE CONTADO","CRÉDITO")</f>
        <v>CRÉDITO</v>
      </c>
      <c r="B697" s="41" t="str">
        <f>+IF((PROVEEDORES[[#This Row],[FECHA DE PAGO]]-PROVEEDORES[[#This Row],[FECHA DE FACTURACIÓN]])&gt;PROVEEDORES[[#This Row],[PLAZO Días]],"PAGO VENCIDO")</f>
        <v>PAGO VENCIDO</v>
      </c>
      <c r="C697" s="22">
        <f>+VLOOKUP(PROVEEDORES[[#This Row],[PROVEEDOR]],TERCEROS_INFO[#All],2,FALSE)</f>
        <v>30</v>
      </c>
      <c r="D697" s="27">
        <f>+SUMIFS(PROVEEDORES[Total],PROVEEDORES[PROVEEDOR],PROVEEDORES[[#This Row],[PROVEEDOR]],PROVEEDORES[FECHA DE PAGO],"")</f>
        <v>0</v>
      </c>
      <c r="E697" s="27"/>
      <c r="F697" s="62" t="str">
        <f>+VLOOKUP(PROVEEDORES[[#This Row],[PROVEEDOR]],
                       Terceros!$A:$G,
                       6,
                       FALSE)</f>
        <v>supervisorventasbridge@gmail.com;newtimewatches1@gmail.com;girlesa.ruiz@servipilas.com;joriescobar64@gmail.com</v>
      </c>
      <c r="G697" s="95">
        <v>44488</v>
      </c>
      <c r="H697" s="28" t="s">
        <v>135</v>
      </c>
      <c r="I697" s="95">
        <v>44432</v>
      </c>
      <c r="J697" s="38">
        <v>40</v>
      </c>
      <c r="K697" s="23">
        <v>522353</v>
      </c>
      <c r="L697" s="23"/>
      <c r="M697" s="24">
        <v>99247.07</v>
      </c>
      <c r="N697" s="25"/>
      <c r="O697" s="24">
        <v>0</v>
      </c>
      <c r="P697" s="136">
        <f>+IF(PROVEEDORES[[#This Row],[SUBTOTAL]]&lt;PROVEEDORES[[#This Row],[base retencion]],0,PROVEEDORES[[#This Row],[retención aplicada]])</f>
        <v>0</v>
      </c>
      <c r="Q697" s="24">
        <f>+PROVEEDORES[[#This Row],[Rete Fuente %]]*PROVEEDORES[[#This Row],[SUBTOTAL]]</f>
        <v>0</v>
      </c>
      <c r="R697" s="23">
        <v>621600.07000000007</v>
      </c>
      <c r="S69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7" s="99">
        <f ca="1">IF(PROVEEDORES[[#This Row],[FECHA DE PAGO]]=0,TODAY()-PROVEEDORES[[#This Row],[FECHA DE FACTURACIÓN]]-PROVEEDORES[[#This Row],[PLAZO Días]],0)</f>
        <v>0</v>
      </c>
      <c r="U697" s="149" t="str">
        <f>+VLOOKUP(PROVEEDORES[[#This Row],[PROVEEDOR]],Terceros!$A:$E,5,FALSE)</f>
        <v>2,5% con base</v>
      </c>
      <c r="V697" s="150">
        <f>+YEAR(PROVEEDORES[[#This Row],[FECHA DE FACTURACIÓN]])</f>
        <v>2021</v>
      </c>
      <c r="W697" s="150">
        <f>+MATCH(PROVEEDORES[[#This Row],[año facturado]],Retenciones!$1:$1,0)</f>
        <v>4</v>
      </c>
      <c r="X697" s="151">
        <f>+VLOOKUP(PROVEEDORES[[#This Row],[ID RETENCION]],Retenciones!$A$1:$O$24,PROVEEDORES[[#This Row],[indicador de columna]],FALSE)</f>
        <v>980000</v>
      </c>
      <c r="Y697" s="152">
        <f>+VLOOKUP(PROVEEDORES[[#This Row],[ID RETENCION]],Retenciones!$A$1:$O$24,2,FALSE)</f>
        <v>2.5000000000000001E-2</v>
      </c>
      <c r="Z697" s="26"/>
      <c r="AA697" s="26"/>
      <c r="AB697" s="26"/>
      <c r="AC697" s="26"/>
      <c r="AD697" s="26"/>
      <c r="AE697" s="26"/>
    </row>
    <row r="698" spans="1:31" ht="21.95" customHeight="1" x14ac:dyDescent="0.25">
      <c r="A698" s="97" t="str">
        <f>+IF(PROVEEDORES[[#This Row],[FECHA DE PAGO]]=PROVEEDORES[[#This Row],[FECHA DE FACTURACIÓN]],"DE CONTADO","CRÉDITO")</f>
        <v>CRÉDITO</v>
      </c>
      <c r="B698" s="41" t="str">
        <f>+IF((PROVEEDORES[[#This Row],[FECHA DE PAGO]]-PROVEEDORES[[#This Row],[FECHA DE FACTURACIÓN]])&gt;PROVEEDORES[[#This Row],[PLAZO Días]],"PAGO VENCIDO")</f>
        <v>PAGO VENCIDO</v>
      </c>
      <c r="C698" s="22">
        <f>+VLOOKUP(PROVEEDORES[[#This Row],[PROVEEDOR]],TERCEROS_INFO[#All],2,FALSE)</f>
        <v>30</v>
      </c>
      <c r="D698" s="27">
        <f>+SUMIFS(PROVEEDORES[Total],PROVEEDORES[PROVEEDOR],PROVEEDORES[[#This Row],[PROVEEDOR]],PROVEEDORES[FECHA DE PAGO],"")</f>
        <v>144400</v>
      </c>
      <c r="E698" s="27"/>
      <c r="F698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698" s="95">
        <v>44466</v>
      </c>
      <c r="H698" s="28" t="s">
        <v>1071</v>
      </c>
      <c r="I698" s="95">
        <v>44432</v>
      </c>
      <c r="J698" s="38" t="s">
        <v>799</v>
      </c>
      <c r="K698" s="23">
        <v>811750</v>
      </c>
      <c r="L698" s="23"/>
      <c r="M698" s="24">
        <v>0</v>
      </c>
      <c r="N698" s="25"/>
      <c r="O698" s="24">
        <v>0</v>
      </c>
      <c r="P698" s="136">
        <f>+IF(PROVEEDORES[[#This Row],[SUBTOTAL]]&lt;PROVEEDORES[[#This Row],[base retencion]],0,PROVEEDORES[[#This Row],[retención aplicada]])</f>
        <v>0</v>
      </c>
      <c r="Q698" s="24">
        <f>+PROVEEDORES[[#This Row],[Rete Fuente %]]*PROVEEDORES[[#This Row],[SUBTOTAL]]</f>
        <v>0</v>
      </c>
      <c r="R698" s="23">
        <v>811750</v>
      </c>
      <c r="S69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8" s="99">
        <f ca="1">IF(PROVEEDORES[[#This Row],[FECHA DE PAGO]]=0,TODAY()-PROVEEDORES[[#This Row],[FECHA DE FACTURACIÓN]]-PROVEEDORES[[#This Row],[PLAZO Días]],0)</f>
        <v>0</v>
      </c>
      <c r="U698" s="149">
        <f>+VLOOKUP(PROVEEDORES[[#This Row],[PROVEEDOR]],Terceros!$A:$E,5,FALSE)</f>
        <v>0</v>
      </c>
      <c r="V698" s="150">
        <f>+YEAR(PROVEEDORES[[#This Row],[FECHA DE FACTURACIÓN]])</f>
        <v>2021</v>
      </c>
      <c r="W698" s="150">
        <f>+MATCH(PROVEEDORES[[#This Row],[año facturado]],Retenciones!$1:$1,0)</f>
        <v>4</v>
      </c>
      <c r="X698" s="151">
        <f>+VLOOKUP(PROVEEDORES[[#This Row],[ID RETENCION]],Retenciones!$A$1:$O$24,PROVEEDORES[[#This Row],[indicador de columna]],FALSE)</f>
        <v>0</v>
      </c>
      <c r="Y698" s="152">
        <f>+VLOOKUP(PROVEEDORES[[#This Row],[ID RETENCION]],Retenciones!$A$1:$O$24,2,FALSE)</f>
        <v>0</v>
      </c>
      <c r="Z698" s="26"/>
      <c r="AA698" s="26"/>
      <c r="AB698" s="26"/>
      <c r="AC698" s="26"/>
      <c r="AD698" s="26"/>
      <c r="AE698" s="26"/>
    </row>
    <row r="699" spans="1:31" ht="21.95" customHeight="1" x14ac:dyDescent="0.25">
      <c r="A699" s="97" t="str">
        <f>+IF(PROVEEDORES[[#This Row],[FECHA DE PAGO]]=PROVEEDORES[[#This Row],[FECHA DE FACTURACIÓN]],"DE CONTADO","CRÉDITO")</f>
        <v>CRÉDITO</v>
      </c>
      <c r="B699" s="41" t="b">
        <f>+IF((PROVEEDORES[[#This Row],[FECHA DE PAGO]]-PROVEEDORES[[#This Row],[FECHA DE FACTURACIÓN]])&gt;PROVEEDORES[[#This Row],[PLAZO Días]],"PAGO VENCIDO")</f>
        <v>0</v>
      </c>
      <c r="C699" s="22">
        <f>+VLOOKUP(PROVEEDORES[[#This Row],[PROVEEDOR]],TERCEROS_INFO[#All],2,FALSE)</f>
        <v>30</v>
      </c>
      <c r="D699" s="27">
        <f>+SUMIFS(PROVEEDORES[Total],PROVEEDORES[PROVEEDOR],PROVEEDORES[[#This Row],[PROVEEDOR]],PROVEEDORES[FECHA DE PAGO],"")</f>
        <v>1979529.3</v>
      </c>
      <c r="E699" s="27"/>
      <c r="F699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699" s="95">
        <v>44461</v>
      </c>
      <c r="H699" s="28" t="s">
        <v>17</v>
      </c>
      <c r="I699" s="95">
        <v>44432</v>
      </c>
      <c r="J699" s="38">
        <v>1803380</v>
      </c>
      <c r="K699" s="23">
        <v>849915</v>
      </c>
      <c r="L699" s="23"/>
      <c r="M699" s="24">
        <v>161483.85</v>
      </c>
      <c r="N699" s="25"/>
      <c r="O699" s="24">
        <v>0</v>
      </c>
      <c r="P699" s="136">
        <f>+IF(PROVEEDORES[[#This Row],[SUBTOTAL]]&lt;PROVEEDORES[[#This Row],[base retencion]],0,PROVEEDORES[[#This Row],[retención aplicada]])</f>
        <v>0</v>
      </c>
      <c r="Q699" s="24">
        <f>+PROVEEDORES[[#This Row],[Rete Fuente %]]*PROVEEDORES[[#This Row],[SUBTOTAL]]</f>
        <v>0</v>
      </c>
      <c r="R699" s="23">
        <v>1011398.85</v>
      </c>
      <c r="S69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9" s="99">
        <f ca="1">IF(PROVEEDORES[[#This Row],[FECHA DE PAGO]]=0,TODAY()-PROVEEDORES[[#This Row],[FECHA DE FACTURACIÓN]]-PROVEEDORES[[#This Row],[PLAZO Días]],0)</f>
        <v>0</v>
      </c>
      <c r="U699" s="149">
        <f>+VLOOKUP(PROVEEDORES[[#This Row],[PROVEEDOR]],Terceros!$A:$E,5,FALSE)</f>
        <v>0</v>
      </c>
      <c r="V699" s="150">
        <f>+YEAR(PROVEEDORES[[#This Row],[FECHA DE FACTURACIÓN]])</f>
        <v>2021</v>
      </c>
      <c r="W699" s="150">
        <f>+MATCH(PROVEEDORES[[#This Row],[año facturado]],Retenciones!$1:$1,0)</f>
        <v>4</v>
      </c>
      <c r="X699" s="151">
        <f>+VLOOKUP(PROVEEDORES[[#This Row],[ID RETENCION]],Retenciones!$A$1:$O$24,PROVEEDORES[[#This Row],[indicador de columna]],FALSE)</f>
        <v>0</v>
      </c>
      <c r="Y699" s="152">
        <f>+VLOOKUP(PROVEEDORES[[#This Row],[ID RETENCION]],Retenciones!$A$1:$O$24,2,FALSE)</f>
        <v>0</v>
      </c>
      <c r="Z699" s="26"/>
      <c r="AA699" s="26"/>
      <c r="AB699" s="26"/>
      <c r="AC699" s="26"/>
      <c r="AD699" s="26"/>
      <c r="AE699" s="26"/>
    </row>
    <row r="700" spans="1:31" ht="21.95" customHeight="1" x14ac:dyDescent="0.25">
      <c r="A700" s="97" t="str">
        <f>+IF(PROVEEDORES[[#This Row],[FECHA DE PAGO]]=PROVEEDORES[[#This Row],[FECHA DE FACTURACIÓN]],"DE CONTADO","CRÉDITO")</f>
        <v>CRÉDITO</v>
      </c>
      <c r="B700" s="41" t="str">
        <f>+IF((PROVEEDORES[[#This Row],[FECHA DE PAGO]]-PROVEEDORES[[#This Row],[FECHA DE FACTURACIÓN]])&gt;PROVEEDORES[[#This Row],[PLAZO Días]],"PAGO VENCIDO")</f>
        <v>PAGO VENCIDO</v>
      </c>
      <c r="C700" s="22">
        <f>+VLOOKUP(PROVEEDORES[[#This Row],[PROVEEDOR]],TERCEROS_INFO[#All],2,FALSE)</f>
        <v>30</v>
      </c>
      <c r="D700" s="27">
        <f>+SUMIFS(PROVEEDORES[Total],PROVEEDORES[PROVEEDOR],PROVEEDORES[[#This Row],[PROVEEDOR]],PROVEEDORES[FECHA DE PAGO],"")</f>
        <v>0</v>
      </c>
      <c r="E700" s="27"/>
      <c r="F700" s="62" t="str">
        <f>+VLOOKUP(PROVEEDORES[[#This Row],[PROVEEDOR]],
                       Terceros!$A:$G,
                       6,
                       FALSE)</f>
        <v>tesoreria@makingbusiness.com.co;girlesa.ruiz@servipilas.com;joriescobar64@gmail.com</v>
      </c>
      <c r="G700" s="95">
        <v>44481</v>
      </c>
      <c r="H700" s="28" t="s">
        <v>32</v>
      </c>
      <c r="I700" s="95">
        <v>44432</v>
      </c>
      <c r="J700" s="38">
        <v>14801</v>
      </c>
      <c r="K700" s="23">
        <v>1064369.75</v>
      </c>
      <c r="L700" s="23"/>
      <c r="M700" s="24">
        <v>202230.2525</v>
      </c>
      <c r="N700" s="25"/>
      <c r="O700" s="24">
        <v>0</v>
      </c>
      <c r="P700" s="136">
        <f>+IF(PROVEEDORES[[#This Row],[SUBTOTAL]]&lt;PROVEEDORES[[#This Row],[base retencion]],0,PROVEEDORES[[#This Row],[retención aplicada]])</f>
        <v>2.5000000000000001E-2</v>
      </c>
      <c r="Q700" s="24">
        <f>+PROVEEDORES[[#This Row],[Rete Fuente %]]*PROVEEDORES[[#This Row],[SUBTOTAL]]</f>
        <v>26609.243750000001</v>
      </c>
      <c r="R700" s="23">
        <v>1239990.75875</v>
      </c>
      <c r="S70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0" s="99">
        <f ca="1">IF(PROVEEDORES[[#This Row],[FECHA DE PAGO]]=0,TODAY()-PROVEEDORES[[#This Row],[FECHA DE FACTURACIÓN]]-PROVEEDORES[[#This Row],[PLAZO Días]],0)</f>
        <v>0</v>
      </c>
      <c r="U700" s="149" t="str">
        <f>+VLOOKUP(PROVEEDORES[[#This Row],[PROVEEDOR]],Terceros!$A:$E,5,FALSE)</f>
        <v>2,5% con base</v>
      </c>
      <c r="V700" s="150">
        <f>+YEAR(PROVEEDORES[[#This Row],[FECHA DE FACTURACIÓN]])</f>
        <v>2021</v>
      </c>
      <c r="W700" s="150">
        <f>+MATCH(PROVEEDORES[[#This Row],[año facturado]],Retenciones!$1:$1,0)</f>
        <v>4</v>
      </c>
      <c r="X700" s="151">
        <f>+VLOOKUP(PROVEEDORES[[#This Row],[ID RETENCION]],Retenciones!$A$1:$O$24,PROVEEDORES[[#This Row],[indicador de columna]],FALSE)</f>
        <v>980000</v>
      </c>
      <c r="Y700" s="152">
        <f>+VLOOKUP(PROVEEDORES[[#This Row],[ID RETENCION]],Retenciones!$A$1:$O$24,2,FALSE)</f>
        <v>2.5000000000000001E-2</v>
      </c>
      <c r="Z700" s="26"/>
      <c r="AA700" s="26"/>
      <c r="AB700" s="26"/>
      <c r="AC700" s="26"/>
      <c r="AD700" s="26"/>
      <c r="AE700" s="26"/>
    </row>
    <row r="701" spans="1:31" ht="21.95" customHeight="1" x14ac:dyDescent="0.25">
      <c r="A701" s="97" t="str">
        <f>+IF(PROVEEDORES[[#This Row],[FECHA DE PAGO]]=PROVEEDORES[[#This Row],[FECHA DE FACTURACIÓN]],"DE CONTADO","CRÉDITO")</f>
        <v>CRÉDITO</v>
      </c>
      <c r="B701" s="41" t="str">
        <f>+IF((PROVEEDORES[[#This Row],[FECHA DE PAGO]]-PROVEEDORES[[#This Row],[FECHA DE FACTURACIÓN]])&gt;PROVEEDORES[[#This Row],[PLAZO Días]],"PAGO VENCIDO")</f>
        <v>PAGO VENCIDO</v>
      </c>
      <c r="C701" s="22">
        <f>+VLOOKUP(PROVEEDORES[[#This Row],[PROVEEDOR]],TERCEROS_INFO[#All],2,FALSE)</f>
        <v>30</v>
      </c>
      <c r="D701" s="27">
        <f>+SUMIFS(PROVEEDORES[Total],PROVEEDORES[PROVEEDOR],PROVEEDORES[[#This Row],[PROVEEDOR]],PROVEEDORES[FECHA DE PAGO],"")</f>
        <v>936000</v>
      </c>
      <c r="E701" s="27"/>
      <c r="F701" s="62" t="str">
        <f>+VLOOKUP(PROVEEDORES[[#This Row],[PROVEEDOR]],
                       Terceros!$A:$G,
                       6,
                       FALSE)</f>
        <v>stabarbaradistronik@gmail.com;girlesa.ruiz@servipilas.com;joriescobar64@gmail.com</v>
      </c>
      <c r="G701" s="95">
        <v>44477</v>
      </c>
      <c r="H701" s="28" t="s">
        <v>1066</v>
      </c>
      <c r="I701" s="95">
        <v>44432</v>
      </c>
      <c r="J701" s="38" t="s">
        <v>798</v>
      </c>
      <c r="K701" s="23">
        <v>2317000</v>
      </c>
      <c r="L701" s="23"/>
      <c r="M701" s="24">
        <v>0</v>
      </c>
      <c r="N701" s="25"/>
      <c r="O701" s="24">
        <v>0</v>
      </c>
      <c r="P701" s="136">
        <f>+IF(PROVEEDORES[[#This Row],[SUBTOTAL]]&lt;PROVEEDORES[[#This Row],[base retencion]],0,PROVEEDORES[[#This Row],[retención aplicada]])</f>
        <v>0</v>
      </c>
      <c r="Q701" s="24">
        <f>+PROVEEDORES[[#This Row],[Rete Fuente %]]*PROVEEDORES[[#This Row],[SUBTOTAL]]</f>
        <v>0</v>
      </c>
      <c r="R701" s="23">
        <v>2317000</v>
      </c>
      <c r="S70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1" s="99">
        <f ca="1">IF(PROVEEDORES[[#This Row],[FECHA DE PAGO]]=0,TODAY()-PROVEEDORES[[#This Row],[FECHA DE FACTURACIÓN]]-PROVEEDORES[[#This Row],[PLAZO Días]],0)</f>
        <v>0</v>
      </c>
      <c r="U701" s="149">
        <f>+VLOOKUP(PROVEEDORES[[#This Row],[PROVEEDOR]],Terceros!$A:$E,5,FALSE)</f>
        <v>0</v>
      </c>
      <c r="V701" s="150">
        <f>+YEAR(PROVEEDORES[[#This Row],[FECHA DE FACTURACIÓN]])</f>
        <v>2021</v>
      </c>
      <c r="W701" s="150">
        <f>+MATCH(PROVEEDORES[[#This Row],[año facturado]],Retenciones!$1:$1,0)</f>
        <v>4</v>
      </c>
      <c r="X701" s="151">
        <f>+VLOOKUP(PROVEEDORES[[#This Row],[ID RETENCION]],Retenciones!$A$1:$O$24,PROVEEDORES[[#This Row],[indicador de columna]],FALSE)</f>
        <v>0</v>
      </c>
      <c r="Y701" s="152">
        <f>+VLOOKUP(PROVEEDORES[[#This Row],[ID RETENCION]],Retenciones!$A$1:$O$24,2,FALSE)</f>
        <v>0</v>
      </c>
      <c r="Z701" s="26"/>
      <c r="AA701" s="26"/>
      <c r="AB701" s="26"/>
      <c r="AC701" s="26"/>
      <c r="AD701" s="26"/>
      <c r="AE701" s="26"/>
    </row>
    <row r="702" spans="1:31" ht="21.95" customHeight="1" x14ac:dyDescent="0.25">
      <c r="A702" s="97" t="str">
        <f>+IF(PROVEEDORES[[#This Row],[FECHA DE PAGO]]=PROVEEDORES[[#This Row],[FECHA DE FACTURACIÓN]],"DE CONTADO","CRÉDITO")</f>
        <v>CRÉDITO</v>
      </c>
      <c r="B702" s="41" t="str">
        <f>+IF((PROVEEDORES[[#This Row],[FECHA DE PAGO]]-PROVEEDORES[[#This Row],[FECHA DE FACTURACIÓN]])&gt;PROVEEDORES[[#This Row],[PLAZO Días]],"PAGO VENCIDO")</f>
        <v>PAGO VENCIDO</v>
      </c>
      <c r="C702" s="22">
        <f>+VLOOKUP(PROVEEDORES[[#This Row],[PROVEEDOR]],TERCEROS_INFO[#All],2,FALSE)</f>
        <v>30</v>
      </c>
      <c r="D702" s="27">
        <f>+SUMIFS(PROVEEDORES[Total],PROVEEDORES[PROVEEDOR],PROVEEDORES[[#This Row],[PROVEEDOR]],PROVEEDORES[FECHA DE PAGO],"")</f>
        <v>3844432.4999000002</v>
      </c>
      <c r="E702" s="27"/>
      <c r="F702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702" s="95">
        <v>44482</v>
      </c>
      <c r="H702" s="28" t="s">
        <v>18</v>
      </c>
      <c r="I702" s="95">
        <v>44432</v>
      </c>
      <c r="J702" s="38">
        <v>1042098</v>
      </c>
      <c r="K702" s="23">
        <v>4739218.08</v>
      </c>
      <c r="L702" s="23"/>
      <c r="M702" s="24">
        <v>900451.43520000007</v>
      </c>
      <c r="N702" s="25"/>
      <c r="O702" s="24">
        <v>0</v>
      </c>
      <c r="P702" s="136">
        <f>+IF(PROVEEDORES[[#This Row],[SUBTOTAL]]&lt;PROVEEDORES[[#This Row],[base retencion]],0,PROVEEDORES[[#This Row],[retención aplicada]])</f>
        <v>2.5000000000000001E-2</v>
      </c>
      <c r="Q702" s="24">
        <f>+PROVEEDORES[[#This Row],[Rete Fuente %]]*PROVEEDORES[[#This Row],[SUBTOTAL]]</f>
        <v>118480.452</v>
      </c>
      <c r="R702" s="23">
        <v>5521189.0632000007</v>
      </c>
      <c r="S70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2" s="99">
        <f ca="1">IF(PROVEEDORES[[#This Row],[FECHA DE PAGO]]=0,TODAY()-PROVEEDORES[[#This Row],[FECHA DE FACTURACIÓN]]-PROVEEDORES[[#This Row],[PLAZO Días]],0)</f>
        <v>0</v>
      </c>
      <c r="U702" s="149" t="str">
        <f>+VLOOKUP(PROVEEDORES[[#This Row],[PROVEEDOR]],Terceros!$A:$E,5,FALSE)</f>
        <v>2,5% con base</v>
      </c>
      <c r="V702" s="150">
        <f>+YEAR(PROVEEDORES[[#This Row],[FECHA DE FACTURACIÓN]])</f>
        <v>2021</v>
      </c>
      <c r="W702" s="150">
        <f>+MATCH(PROVEEDORES[[#This Row],[año facturado]],Retenciones!$1:$1,0)</f>
        <v>4</v>
      </c>
      <c r="X702" s="151">
        <f>+VLOOKUP(PROVEEDORES[[#This Row],[ID RETENCION]],Retenciones!$A$1:$O$24,PROVEEDORES[[#This Row],[indicador de columna]],FALSE)</f>
        <v>980000</v>
      </c>
      <c r="Y702" s="152">
        <f>+VLOOKUP(PROVEEDORES[[#This Row],[ID RETENCION]],Retenciones!$A$1:$O$24,2,FALSE)</f>
        <v>2.5000000000000001E-2</v>
      </c>
      <c r="Z702" s="26"/>
      <c r="AA702" s="26"/>
      <c r="AB702" s="26"/>
      <c r="AC702" s="26"/>
      <c r="AD702" s="26"/>
      <c r="AE702" s="26"/>
    </row>
    <row r="703" spans="1:31" ht="21.95" customHeight="1" x14ac:dyDescent="0.25">
      <c r="A703" s="97" t="str">
        <f>+IF(PROVEEDORES[[#This Row],[FECHA DE PAGO]]=PROVEEDORES[[#This Row],[FECHA DE FACTURACIÓN]],"DE CONTADO","CRÉDITO")</f>
        <v>CRÉDITO</v>
      </c>
      <c r="B703" s="41" t="str">
        <f>+IF((PROVEEDORES[[#This Row],[FECHA DE PAGO]]-PROVEEDORES[[#This Row],[FECHA DE FACTURACIÓN]])&gt;PROVEEDORES[[#This Row],[PLAZO Días]],"PAGO VENCIDO")</f>
        <v>PAGO VENCIDO</v>
      </c>
      <c r="C703" s="22">
        <f>+VLOOKUP(PROVEEDORES[[#This Row],[PROVEEDOR]],TERCEROS_INFO[#All],2,FALSE)</f>
        <v>30</v>
      </c>
      <c r="D703" s="27">
        <f>+SUMIFS(PROVEEDORES[Total],PROVEEDORES[PROVEEDOR],PROVEEDORES[[#This Row],[PROVEEDOR]],PROVEEDORES[FECHA DE PAGO],"")</f>
        <v>0</v>
      </c>
      <c r="E703" s="27"/>
      <c r="F703" s="62" t="str">
        <f>+VLOOKUP(PROVEEDORES[[#This Row],[PROVEEDOR]],
                       Terceros!$A:$G,
                       6,
                       FALSE)</f>
        <v>gerencia@som-tec.com</v>
      </c>
      <c r="G703" s="95">
        <v>44483</v>
      </c>
      <c r="H703" s="28" t="s">
        <v>1026</v>
      </c>
      <c r="I703" s="95">
        <v>44433</v>
      </c>
      <c r="J703" s="38" t="s">
        <v>801</v>
      </c>
      <c r="K703" s="23">
        <v>-120000</v>
      </c>
      <c r="L703" s="23"/>
      <c r="M703" s="24">
        <v>0</v>
      </c>
      <c r="N703" s="25"/>
      <c r="O703" s="24">
        <v>0</v>
      </c>
      <c r="P703" s="136">
        <f>+IF(PROVEEDORES[[#This Row],[SUBTOTAL]]&lt;PROVEEDORES[[#This Row],[base retencion]],0,PROVEEDORES[[#This Row],[retención aplicada]])</f>
        <v>0</v>
      </c>
      <c r="Q703" s="24">
        <f>+PROVEEDORES[[#This Row],[Rete Fuente %]]*PROVEEDORES[[#This Row],[SUBTOTAL]]</f>
        <v>0</v>
      </c>
      <c r="R703" s="23">
        <v>-120000</v>
      </c>
      <c r="S70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3" s="99">
        <f ca="1">IF(PROVEEDORES[[#This Row],[FECHA DE PAGO]]=0,TODAY()-PROVEEDORES[[#This Row],[FECHA DE FACTURACIÓN]]-PROVEEDORES[[#This Row],[PLAZO Días]],0)</f>
        <v>0</v>
      </c>
      <c r="U703" s="149">
        <f>+VLOOKUP(PROVEEDORES[[#This Row],[PROVEEDOR]],Terceros!$A:$E,5,FALSE)</f>
        <v>0</v>
      </c>
      <c r="V703" s="150">
        <f>+YEAR(PROVEEDORES[[#This Row],[FECHA DE FACTURACIÓN]])</f>
        <v>2021</v>
      </c>
      <c r="W703" s="150">
        <f>+MATCH(PROVEEDORES[[#This Row],[año facturado]],Retenciones!$1:$1,0)</f>
        <v>4</v>
      </c>
      <c r="X703" s="151">
        <f>+VLOOKUP(PROVEEDORES[[#This Row],[ID RETENCION]],Retenciones!$A$1:$O$24,PROVEEDORES[[#This Row],[indicador de columna]],FALSE)</f>
        <v>0</v>
      </c>
      <c r="Y703" s="152">
        <f>+VLOOKUP(PROVEEDORES[[#This Row],[ID RETENCION]],Retenciones!$A$1:$O$24,2,FALSE)</f>
        <v>0</v>
      </c>
      <c r="Z703" s="26"/>
      <c r="AA703" s="26"/>
      <c r="AB703" s="26"/>
      <c r="AC703" s="26"/>
      <c r="AD703" s="26"/>
      <c r="AE703" s="26"/>
    </row>
    <row r="704" spans="1:31" ht="21.95" customHeight="1" x14ac:dyDescent="0.25">
      <c r="A704" s="97" t="str">
        <f>+IF(PROVEEDORES[[#This Row],[FECHA DE PAGO]]=PROVEEDORES[[#This Row],[FECHA DE FACTURACIÓN]],"DE CONTADO","CRÉDITO")</f>
        <v>CRÉDITO</v>
      </c>
      <c r="B704" s="41" t="b">
        <f>+IF((PROVEEDORES[[#This Row],[FECHA DE PAGO]]-PROVEEDORES[[#This Row],[FECHA DE FACTURACIÓN]])&gt;PROVEEDORES[[#This Row],[PLAZO Días]],"PAGO VENCIDO")</f>
        <v>0</v>
      </c>
      <c r="C704" s="22">
        <f>+VLOOKUP(PROVEEDORES[[#This Row],[PROVEEDOR]],TERCEROS_INFO[#All],2,FALSE)</f>
        <v>30</v>
      </c>
      <c r="D704" s="27">
        <f>+SUMIFS(PROVEEDORES[Total],PROVEEDORES[PROVEEDOR],PROVEEDORES[[#This Row],[PROVEEDOR]],PROVEEDORES[FECHA DE PAGO],"")</f>
        <v>479654.98979999998</v>
      </c>
      <c r="E704" s="27"/>
      <c r="F704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704" s="95">
        <v>44442</v>
      </c>
      <c r="H704" s="28" t="s">
        <v>1139</v>
      </c>
      <c r="I704" s="95">
        <v>44433</v>
      </c>
      <c r="J704" s="38" t="s">
        <v>501</v>
      </c>
      <c r="K704" s="23">
        <v>-95378.15</v>
      </c>
      <c r="L704" s="23"/>
      <c r="M704" s="24">
        <v>-18121.8485</v>
      </c>
      <c r="N704" s="25"/>
      <c r="O704" s="24">
        <v>0</v>
      </c>
      <c r="P704" s="136">
        <f>+IF(PROVEEDORES[[#This Row],[SUBTOTAL]]&lt;PROVEEDORES[[#This Row],[base retencion]],0,PROVEEDORES[[#This Row],[retención aplicada]])</f>
        <v>0</v>
      </c>
      <c r="Q704" s="24">
        <f>+PROVEEDORES[[#This Row],[Rete Fuente %]]*PROVEEDORES[[#This Row],[SUBTOTAL]]</f>
        <v>0</v>
      </c>
      <c r="R704" s="23">
        <v>-113499.99849999999</v>
      </c>
      <c r="S70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4" s="99">
        <f ca="1">IF(PROVEEDORES[[#This Row],[FECHA DE PAGO]]=0,TODAY()-PROVEEDORES[[#This Row],[FECHA DE FACTURACIÓN]]-PROVEEDORES[[#This Row],[PLAZO Días]],0)</f>
        <v>0</v>
      </c>
      <c r="U704" s="149" t="str">
        <f>+VLOOKUP(PROVEEDORES[[#This Row],[PROVEEDOR]],Terceros!$A:$E,5,FALSE)</f>
        <v>2,5% con base</v>
      </c>
      <c r="V704" s="150">
        <f>+YEAR(PROVEEDORES[[#This Row],[FECHA DE FACTURACIÓN]])</f>
        <v>2021</v>
      </c>
      <c r="W704" s="150">
        <f>+MATCH(PROVEEDORES[[#This Row],[año facturado]],Retenciones!$1:$1,0)</f>
        <v>4</v>
      </c>
      <c r="X704" s="151">
        <f>+VLOOKUP(PROVEEDORES[[#This Row],[ID RETENCION]],Retenciones!$A$1:$O$24,PROVEEDORES[[#This Row],[indicador de columna]],FALSE)</f>
        <v>980000</v>
      </c>
      <c r="Y704" s="152">
        <f>+VLOOKUP(PROVEEDORES[[#This Row],[ID RETENCION]],Retenciones!$A$1:$O$24,2,FALSE)</f>
        <v>2.5000000000000001E-2</v>
      </c>
      <c r="Z704" s="26"/>
      <c r="AA704" s="26"/>
      <c r="AB704" s="26"/>
      <c r="AC704" s="26"/>
      <c r="AD704" s="26"/>
      <c r="AE704" s="26"/>
    </row>
    <row r="705" spans="1:31" ht="21.95" customHeight="1" x14ac:dyDescent="0.25">
      <c r="A705" s="97" t="str">
        <f>+IF(PROVEEDORES[[#This Row],[FECHA DE PAGO]]=PROVEEDORES[[#This Row],[FECHA DE FACTURACIÓN]],"DE CONTADO","CRÉDITO")</f>
        <v>CRÉDITO</v>
      </c>
      <c r="B705" s="41" t="str">
        <f>+IF((PROVEEDORES[[#This Row],[FECHA DE PAGO]]-PROVEEDORES[[#This Row],[FECHA DE FACTURACIÓN]])&gt;PROVEEDORES[[#This Row],[PLAZO Días]],"PAGO VENCIDO")</f>
        <v>PAGO VENCIDO</v>
      </c>
      <c r="C705" s="22">
        <f>+VLOOKUP(PROVEEDORES[[#This Row],[PROVEEDOR]],TERCEROS_INFO[#All],2,FALSE)</f>
        <v>30</v>
      </c>
      <c r="D705" s="27">
        <f>+SUMIFS(PROVEEDORES[Total],PROVEEDORES[PROVEEDOR],PROVEEDORES[[#This Row],[PROVEEDOR]],PROVEEDORES[FECHA DE PAGO],"")</f>
        <v>0</v>
      </c>
      <c r="E705" s="27"/>
      <c r="F705" s="62" t="str">
        <f>+VLOOKUP(PROVEEDORES[[#This Row],[PROVEEDOR]],
                       Terceros!$A:$G,
                       6,
                       FALSE)</f>
        <v>cartera@jeway.com.co;girlesa.ruiz@servipilas.com;joriescobar64@gmail.com</v>
      </c>
      <c r="G705" s="95">
        <v>44562</v>
      </c>
      <c r="H705" s="28" t="s">
        <v>34</v>
      </c>
      <c r="I705" s="95">
        <v>44433</v>
      </c>
      <c r="J705" s="38" t="s">
        <v>484</v>
      </c>
      <c r="K705" s="23">
        <v>0</v>
      </c>
      <c r="L705" s="23"/>
      <c r="M705" s="24">
        <v>0</v>
      </c>
      <c r="N705" s="25"/>
      <c r="O705" s="24">
        <v>0</v>
      </c>
      <c r="P705" s="136">
        <f>+IF(PROVEEDORES[[#This Row],[SUBTOTAL]]&lt;PROVEEDORES[[#This Row],[base retencion]],0,PROVEEDORES[[#This Row],[retención aplicada]])</f>
        <v>0</v>
      </c>
      <c r="Q705" s="24">
        <f>+PROVEEDORES[[#This Row],[Rete Fuente %]]*PROVEEDORES[[#This Row],[SUBTOTAL]]</f>
        <v>0</v>
      </c>
      <c r="R705" s="23">
        <v>-12185</v>
      </c>
      <c r="S70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5" s="99">
        <f ca="1">IF(PROVEEDORES[[#This Row],[FECHA DE PAGO]]=0,TODAY()-PROVEEDORES[[#This Row],[FECHA DE FACTURACIÓN]]-PROVEEDORES[[#This Row],[PLAZO Días]],0)</f>
        <v>0</v>
      </c>
      <c r="U705" s="149" t="str">
        <f>+VLOOKUP(PROVEEDORES[[#This Row],[PROVEEDOR]],Terceros!$A:$E,5,FALSE)</f>
        <v>2,5% con base</v>
      </c>
      <c r="V705" s="150">
        <f>+YEAR(PROVEEDORES[[#This Row],[FECHA DE FACTURACIÓN]])</f>
        <v>2021</v>
      </c>
      <c r="W705" s="150">
        <f>+MATCH(PROVEEDORES[[#This Row],[año facturado]],Retenciones!$1:$1,0)</f>
        <v>4</v>
      </c>
      <c r="X705" s="151">
        <f>+VLOOKUP(PROVEEDORES[[#This Row],[ID RETENCION]],Retenciones!$A$1:$O$24,PROVEEDORES[[#This Row],[indicador de columna]],FALSE)</f>
        <v>980000</v>
      </c>
      <c r="Y705" s="152">
        <f>+VLOOKUP(PROVEEDORES[[#This Row],[ID RETENCION]],Retenciones!$A$1:$O$24,2,FALSE)</f>
        <v>2.5000000000000001E-2</v>
      </c>
      <c r="Z705" s="26"/>
      <c r="AA705" s="26"/>
      <c r="AB705" s="26"/>
      <c r="AC705" s="26"/>
      <c r="AD705" s="26"/>
      <c r="AE705" s="26"/>
    </row>
    <row r="706" spans="1:31" ht="21.95" customHeight="1" x14ac:dyDescent="0.25">
      <c r="A706" s="97" t="str">
        <f>+IF(PROVEEDORES[[#This Row],[FECHA DE PAGO]]=PROVEEDORES[[#This Row],[FECHA DE FACTURACIÓN]],"DE CONTADO","CRÉDITO")</f>
        <v>DE CONTADO</v>
      </c>
      <c r="B706" s="41" t="b">
        <f>+IF((PROVEEDORES[[#This Row],[FECHA DE PAGO]]-PROVEEDORES[[#This Row],[FECHA DE FACTURACIÓN]])&gt;PROVEEDORES[[#This Row],[PLAZO Días]],"PAGO VENCIDO")</f>
        <v>0</v>
      </c>
      <c r="C706" s="22">
        <f>+VLOOKUP(PROVEEDORES[[#This Row],[PROVEEDOR]],TERCEROS_INFO[#All],2,FALSE)</f>
        <v>30</v>
      </c>
      <c r="D706" s="27">
        <f>+SUMIFS(PROVEEDORES[Total],PROVEEDORES[PROVEEDOR],PROVEEDORES[[#This Row],[PROVEEDOR]],PROVEEDORES[FECHA DE PAGO],"")</f>
        <v>0</v>
      </c>
      <c r="E706" s="27"/>
      <c r="F706" s="62" t="str">
        <f>+VLOOKUP(PROVEEDORES[[#This Row],[PROVEEDOR]],
                       Terceros!$A:$G,
                       6,
                       FALSE)</f>
        <v>??;girlesa.ruiz@servipilas.com;joriescobar64@gmail.com</v>
      </c>
      <c r="G706" s="95">
        <v>44433</v>
      </c>
      <c r="H706" s="28" t="s">
        <v>1012</v>
      </c>
      <c r="I706" s="95">
        <v>44433</v>
      </c>
      <c r="J706" s="38" t="s">
        <v>800</v>
      </c>
      <c r="K706" s="23">
        <v>696000</v>
      </c>
      <c r="L706" s="23"/>
      <c r="M706" s="24">
        <v>0</v>
      </c>
      <c r="N706" s="25">
        <v>0.1</v>
      </c>
      <c r="O706" s="24">
        <v>69600</v>
      </c>
      <c r="P706" s="136">
        <f>+IF(PROVEEDORES[[#This Row],[SUBTOTAL]]&lt;PROVEEDORES[[#This Row],[base retencion]],0,PROVEEDORES[[#This Row],[retención aplicada]])</f>
        <v>0</v>
      </c>
      <c r="Q706" s="24">
        <f>+PROVEEDORES[[#This Row],[Rete Fuente %]]*PROVEEDORES[[#This Row],[SUBTOTAL]]</f>
        <v>0</v>
      </c>
      <c r="R706" s="23">
        <v>626400</v>
      </c>
      <c r="S70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6" s="99">
        <f ca="1">IF(PROVEEDORES[[#This Row],[FECHA DE PAGO]]=0,TODAY()-PROVEEDORES[[#This Row],[FECHA DE FACTURACIÓN]]-PROVEEDORES[[#This Row],[PLAZO Días]],0)</f>
        <v>0</v>
      </c>
      <c r="U706" s="149">
        <f>+VLOOKUP(PROVEEDORES[[#This Row],[PROVEEDOR]],Terceros!$A:$E,5,FALSE)</f>
        <v>0</v>
      </c>
      <c r="V706" s="150">
        <f>+YEAR(PROVEEDORES[[#This Row],[FECHA DE FACTURACIÓN]])</f>
        <v>2021</v>
      </c>
      <c r="W706" s="150">
        <f>+MATCH(PROVEEDORES[[#This Row],[año facturado]],Retenciones!$1:$1,0)</f>
        <v>4</v>
      </c>
      <c r="X706" s="151">
        <f>+VLOOKUP(PROVEEDORES[[#This Row],[ID RETENCION]],Retenciones!$A$1:$O$24,PROVEEDORES[[#This Row],[indicador de columna]],FALSE)</f>
        <v>0</v>
      </c>
      <c r="Y706" s="152">
        <f>+VLOOKUP(PROVEEDORES[[#This Row],[ID RETENCION]],Retenciones!$A$1:$O$24,2,FALSE)</f>
        <v>0</v>
      </c>
      <c r="Z706" s="26"/>
      <c r="AA706" s="26"/>
      <c r="AB706" s="26"/>
      <c r="AC706" s="26"/>
      <c r="AD706" s="26"/>
      <c r="AE706" s="26"/>
    </row>
    <row r="707" spans="1:31" ht="21.95" customHeight="1" x14ac:dyDescent="0.25">
      <c r="A707" s="97" t="str">
        <f>+IF(PROVEEDORES[[#This Row],[FECHA DE PAGO]]=PROVEEDORES[[#This Row],[FECHA DE FACTURACIÓN]],"DE CONTADO","CRÉDITO")</f>
        <v>CRÉDITO</v>
      </c>
      <c r="B707" s="41" t="str">
        <f>+IF((PROVEEDORES[[#This Row],[FECHA DE PAGO]]-PROVEEDORES[[#This Row],[FECHA DE FACTURACIÓN]])&gt;PROVEEDORES[[#This Row],[PLAZO Días]],"PAGO VENCIDO")</f>
        <v>PAGO VENCIDO</v>
      </c>
      <c r="C707" s="22">
        <f>+VLOOKUP(PROVEEDORES[[#This Row],[PROVEEDOR]],TERCEROS_INFO[#All],2,FALSE)</f>
        <v>90</v>
      </c>
      <c r="D707" s="27">
        <f>+SUMIFS(PROVEEDORES[Total],PROVEEDORES[PROVEEDOR],PROVEEDORES[[#This Row],[PROVEEDOR]],PROVEEDORES[FECHA DE PAGO],"")</f>
        <v>26364243.66155</v>
      </c>
      <c r="E707" s="27"/>
      <c r="F707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707" s="95">
        <v>44533</v>
      </c>
      <c r="H707" s="28" t="s">
        <v>12</v>
      </c>
      <c r="I707" s="95">
        <v>44433</v>
      </c>
      <c r="J707" s="38" t="s">
        <v>486</v>
      </c>
      <c r="K707" s="23">
        <v>949580</v>
      </c>
      <c r="L707" s="23"/>
      <c r="M707" s="24">
        <v>180420.2</v>
      </c>
      <c r="N707" s="25"/>
      <c r="O707" s="24">
        <v>0</v>
      </c>
      <c r="P707" s="136">
        <f>+IF(PROVEEDORES[[#This Row],[SUBTOTAL]]&lt;PROVEEDORES[[#This Row],[base retencion]],0,PROVEEDORES[[#This Row],[retención aplicada]])</f>
        <v>0</v>
      </c>
      <c r="Q707" s="24">
        <f>+PROVEEDORES[[#This Row],[Rete Fuente %]]*PROVEEDORES[[#This Row],[SUBTOTAL]]</f>
        <v>0</v>
      </c>
      <c r="R707" s="23">
        <v>1130000.2</v>
      </c>
      <c r="S70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7" s="99">
        <f ca="1">IF(PROVEEDORES[[#This Row],[FECHA DE PAGO]]=0,TODAY()-PROVEEDORES[[#This Row],[FECHA DE FACTURACIÓN]]-PROVEEDORES[[#This Row],[PLAZO Días]],0)</f>
        <v>0</v>
      </c>
      <c r="U707" s="149" t="str">
        <f>+VLOOKUP(PROVEEDORES[[#This Row],[PROVEEDOR]],Terceros!$A:$E,5,FALSE)</f>
        <v>2,5% con base</v>
      </c>
      <c r="V707" s="150">
        <f>+YEAR(PROVEEDORES[[#This Row],[FECHA DE FACTURACIÓN]])</f>
        <v>2021</v>
      </c>
      <c r="W707" s="150">
        <f>+MATCH(PROVEEDORES[[#This Row],[año facturado]],Retenciones!$1:$1,0)</f>
        <v>4</v>
      </c>
      <c r="X707" s="151">
        <f>+VLOOKUP(PROVEEDORES[[#This Row],[ID RETENCION]],Retenciones!$A$1:$O$24,PROVEEDORES[[#This Row],[indicador de columna]],FALSE)</f>
        <v>980000</v>
      </c>
      <c r="Y707" s="152">
        <f>+VLOOKUP(PROVEEDORES[[#This Row],[ID RETENCION]],Retenciones!$A$1:$O$24,2,FALSE)</f>
        <v>2.5000000000000001E-2</v>
      </c>
      <c r="Z707" s="26"/>
      <c r="AA707" s="26"/>
      <c r="AB707" s="26"/>
      <c r="AC707" s="26"/>
      <c r="AD707" s="26"/>
      <c r="AE707" s="26"/>
    </row>
    <row r="708" spans="1:31" ht="21.95" customHeight="1" x14ac:dyDescent="0.25">
      <c r="A708" s="97" t="str">
        <f>+IF(PROVEEDORES[[#This Row],[FECHA DE PAGO]]=PROVEEDORES[[#This Row],[FECHA DE FACTURACIÓN]],"DE CONTADO","CRÉDITO")</f>
        <v>DE CONTADO</v>
      </c>
      <c r="B708" s="41" t="b">
        <f>+IF((PROVEEDORES[[#This Row],[FECHA DE PAGO]]-PROVEEDORES[[#This Row],[FECHA DE FACTURACIÓN]])&gt;PROVEEDORES[[#This Row],[PLAZO Días]],"PAGO VENCIDO")</f>
        <v>0</v>
      </c>
      <c r="C708" s="22">
        <f>+VLOOKUP(PROVEEDORES[[#This Row],[PROVEEDOR]],TERCEROS_INFO[#All],2,FALSE)</f>
        <v>30</v>
      </c>
      <c r="D708" s="27">
        <f>+SUMIFS(PROVEEDORES[Total],PROVEEDORES[PROVEEDOR],PROVEEDORES[[#This Row],[PROVEEDOR]],PROVEEDORES[FECHA DE PAGO],"")</f>
        <v>0</v>
      </c>
      <c r="E708" s="27"/>
      <c r="F708" s="62" t="str">
        <f>+VLOOKUP(PROVEEDORES[[#This Row],[PROVEEDOR]],
                       Terceros!$A:$G,
                       6,
                       FALSE)</f>
        <v/>
      </c>
      <c r="G708" s="95">
        <v>44434</v>
      </c>
      <c r="H708" s="28" t="s">
        <v>1046</v>
      </c>
      <c r="I708" s="95">
        <v>44434</v>
      </c>
      <c r="J708" s="38"/>
      <c r="K708" s="23">
        <v>810000</v>
      </c>
      <c r="L708" s="23"/>
      <c r="M708" s="24">
        <v>0</v>
      </c>
      <c r="N708" s="25"/>
      <c r="O708" s="24">
        <v>0</v>
      </c>
      <c r="P708" s="136">
        <f>+IF(PROVEEDORES[[#This Row],[SUBTOTAL]]&lt;PROVEEDORES[[#This Row],[base retencion]],0,PROVEEDORES[[#This Row],[retención aplicada]])</f>
        <v>0</v>
      </c>
      <c r="Q708" s="24">
        <f>+PROVEEDORES[[#This Row],[Rete Fuente %]]*PROVEEDORES[[#This Row],[SUBTOTAL]]</f>
        <v>0</v>
      </c>
      <c r="R708" s="23">
        <v>810000</v>
      </c>
      <c r="S70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8" s="99">
        <f ca="1">IF(PROVEEDORES[[#This Row],[FECHA DE PAGO]]=0,TODAY()-PROVEEDORES[[#This Row],[FECHA DE FACTURACIÓN]]-PROVEEDORES[[#This Row],[PLAZO Días]],0)</f>
        <v>0</v>
      </c>
      <c r="U708" s="149">
        <f>+VLOOKUP(PROVEEDORES[[#This Row],[PROVEEDOR]],Terceros!$A:$E,5,FALSE)</f>
        <v>0</v>
      </c>
      <c r="V708" s="150">
        <f>+YEAR(PROVEEDORES[[#This Row],[FECHA DE FACTURACIÓN]])</f>
        <v>2021</v>
      </c>
      <c r="W708" s="150">
        <f>+MATCH(PROVEEDORES[[#This Row],[año facturado]],Retenciones!$1:$1,0)</f>
        <v>4</v>
      </c>
      <c r="X708" s="151">
        <f>+VLOOKUP(PROVEEDORES[[#This Row],[ID RETENCION]],Retenciones!$A$1:$O$24,PROVEEDORES[[#This Row],[indicador de columna]],FALSE)</f>
        <v>0</v>
      </c>
      <c r="Y708" s="152">
        <f>+VLOOKUP(PROVEEDORES[[#This Row],[ID RETENCION]],Retenciones!$A$1:$O$24,2,FALSE)</f>
        <v>0</v>
      </c>
      <c r="Z708" s="26"/>
      <c r="AA708" s="26"/>
      <c r="AB708" s="26"/>
      <c r="AC708" s="26"/>
      <c r="AD708" s="26"/>
      <c r="AE708" s="26"/>
    </row>
    <row r="709" spans="1:31" ht="21.95" customHeight="1" x14ac:dyDescent="0.25">
      <c r="A709" s="97" t="str">
        <f>+IF(PROVEEDORES[[#This Row],[FECHA DE PAGO]]=PROVEEDORES[[#This Row],[FECHA DE FACTURACIÓN]],"DE CONTADO","CRÉDITO")</f>
        <v>DE CONTADO</v>
      </c>
      <c r="B709" s="41" t="b">
        <f>+IF((PROVEEDORES[[#This Row],[FECHA DE PAGO]]-PROVEEDORES[[#This Row],[FECHA DE FACTURACIÓN]])&gt;PROVEEDORES[[#This Row],[PLAZO Días]],"PAGO VENCIDO")</f>
        <v>0</v>
      </c>
      <c r="C709" s="22">
        <f>+VLOOKUP(PROVEEDORES[[#This Row],[PROVEEDOR]],TERCEROS_INFO[#All],2,FALSE)</f>
        <v>30</v>
      </c>
      <c r="D709" s="27">
        <f>+SUMIFS(PROVEEDORES[Total],PROVEEDORES[PROVEEDOR],PROVEEDORES[[#This Row],[PROVEEDOR]],PROVEEDORES[FECHA DE PAGO],"")</f>
        <v>0</v>
      </c>
      <c r="E709" s="27"/>
      <c r="F709" s="62" t="str">
        <f>+VLOOKUP(PROVEEDORES[[#This Row],[PROVEEDOR]],
                       Terceros!$A:$G,
                       6,
                       FALSE)</f>
        <v/>
      </c>
      <c r="G709" s="95">
        <v>44434</v>
      </c>
      <c r="H709" s="28" t="s">
        <v>1046</v>
      </c>
      <c r="I709" s="95">
        <v>44434</v>
      </c>
      <c r="J709" s="38"/>
      <c r="K709" s="23">
        <v>1000000</v>
      </c>
      <c r="L709" s="23"/>
      <c r="M709" s="24">
        <v>0</v>
      </c>
      <c r="N709" s="25"/>
      <c r="O709" s="24">
        <v>0</v>
      </c>
      <c r="P709" s="136">
        <f>+IF(PROVEEDORES[[#This Row],[SUBTOTAL]]&lt;PROVEEDORES[[#This Row],[base retencion]],0,PROVEEDORES[[#This Row],[retención aplicada]])</f>
        <v>0</v>
      </c>
      <c r="Q709" s="24">
        <f>+PROVEEDORES[[#This Row],[Rete Fuente %]]*PROVEEDORES[[#This Row],[SUBTOTAL]]</f>
        <v>0</v>
      </c>
      <c r="R709" s="23">
        <v>1000000</v>
      </c>
      <c r="S70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9" s="99">
        <f ca="1">IF(PROVEEDORES[[#This Row],[FECHA DE PAGO]]=0,TODAY()-PROVEEDORES[[#This Row],[FECHA DE FACTURACIÓN]]-PROVEEDORES[[#This Row],[PLAZO Días]],0)</f>
        <v>0</v>
      </c>
      <c r="U709" s="149">
        <f>+VLOOKUP(PROVEEDORES[[#This Row],[PROVEEDOR]],Terceros!$A:$E,5,FALSE)</f>
        <v>0</v>
      </c>
      <c r="V709" s="150">
        <f>+YEAR(PROVEEDORES[[#This Row],[FECHA DE FACTURACIÓN]])</f>
        <v>2021</v>
      </c>
      <c r="W709" s="150">
        <f>+MATCH(PROVEEDORES[[#This Row],[año facturado]],Retenciones!$1:$1,0)</f>
        <v>4</v>
      </c>
      <c r="X709" s="151">
        <f>+VLOOKUP(PROVEEDORES[[#This Row],[ID RETENCION]],Retenciones!$A$1:$O$24,PROVEEDORES[[#This Row],[indicador de columna]],FALSE)</f>
        <v>0</v>
      </c>
      <c r="Y709" s="152">
        <f>+VLOOKUP(PROVEEDORES[[#This Row],[ID RETENCION]],Retenciones!$A$1:$O$24,2,FALSE)</f>
        <v>0</v>
      </c>
      <c r="Z709" s="26"/>
      <c r="AA709" s="26"/>
      <c r="AB709" s="26"/>
      <c r="AC709" s="26"/>
      <c r="AD709" s="26"/>
      <c r="AE709" s="26"/>
    </row>
    <row r="710" spans="1:31" ht="21.95" customHeight="1" x14ac:dyDescent="0.25">
      <c r="A710" s="97" t="str">
        <f>+IF(PROVEEDORES[[#This Row],[FECHA DE PAGO]]=PROVEEDORES[[#This Row],[FECHA DE FACTURACIÓN]],"DE CONTADO","CRÉDITO")</f>
        <v>CRÉDITO</v>
      </c>
      <c r="B710" s="41" t="str">
        <f>+IF((PROVEEDORES[[#This Row],[FECHA DE PAGO]]-PROVEEDORES[[#This Row],[FECHA DE FACTURACIÓN]])&gt;PROVEEDORES[[#This Row],[PLAZO Días]],"PAGO VENCIDO")</f>
        <v>PAGO VENCIDO</v>
      </c>
      <c r="C710" s="22">
        <f>+VLOOKUP(PROVEEDORES[[#This Row],[PROVEEDOR]],TERCEROS_INFO[#All],2,FALSE)</f>
        <v>30</v>
      </c>
      <c r="D710" s="27">
        <f>+SUMIFS(PROVEEDORES[Total],PROVEEDORES[PROVEEDOR],PROVEEDORES[[#This Row],[PROVEEDOR]],PROVEEDORES[FECHA DE PAGO],"")</f>
        <v>2588352.5</v>
      </c>
      <c r="E710" s="27"/>
      <c r="F710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710" s="95">
        <v>44498</v>
      </c>
      <c r="H710" s="28" t="s">
        <v>1088</v>
      </c>
      <c r="I710" s="95">
        <v>44434</v>
      </c>
      <c r="J710" s="38">
        <v>22248</v>
      </c>
      <c r="K710" s="23">
        <v>1912672</v>
      </c>
      <c r="L710" s="23">
        <v>88792</v>
      </c>
      <c r="M710" s="24">
        <v>346537.2</v>
      </c>
      <c r="N710" s="25"/>
      <c r="O710" s="24">
        <v>0</v>
      </c>
      <c r="P710" s="136">
        <f>+IF(PROVEEDORES[[#This Row],[SUBTOTAL]]&lt;PROVEEDORES[[#This Row],[base retencion]],0,PROVEEDORES[[#This Row],[retención aplicada]])</f>
        <v>2.5000000000000001E-2</v>
      </c>
      <c r="Q710" s="24">
        <f>+PROVEEDORES[[#This Row],[Rete Fuente %]]*PROVEEDORES[[#This Row],[SUBTOTAL]]</f>
        <v>47816.800000000003</v>
      </c>
      <c r="R710" s="23">
        <v>2124820.2000000002</v>
      </c>
      <c r="S71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0" s="99">
        <f ca="1">IF(PROVEEDORES[[#This Row],[FECHA DE PAGO]]=0,TODAY()-PROVEEDORES[[#This Row],[FECHA DE FACTURACIÓN]]-PROVEEDORES[[#This Row],[PLAZO Días]],0)</f>
        <v>0</v>
      </c>
      <c r="U710" s="149" t="str">
        <f>+VLOOKUP(PROVEEDORES[[#This Row],[PROVEEDOR]],Terceros!$A:$E,5,FALSE)</f>
        <v>2,5% con base</v>
      </c>
      <c r="V710" s="150">
        <f>+YEAR(PROVEEDORES[[#This Row],[FECHA DE FACTURACIÓN]])</f>
        <v>2021</v>
      </c>
      <c r="W710" s="150">
        <f>+MATCH(PROVEEDORES[[#This Row],[año facturado]],Retenciones!$1:$1,0)</f>
        <v>4</v>
      </c>
      <c r="X710" s="151">
        <f>+VLOOKUP(PROVEEDORES[[#This Row],[ID RETENCION]],Retenciones!$A$1:$O$24,PROVEEDORES[[#This Row],[indicador de columna]],FALSE)</f>
        <v>980000</v>
      </c>
      <c r="Y710" s="152">
        <f>+VLOOKUP(PROVEEDORES[[#This Row],[ID RETENCION]],Retenciones!$A$1:$O$24,2,FALSE)</f>
        <v>2.5000000000000001E-2</v>
      </c>
      <c r="Z710" s="26"/>
      <c r="AA710" s="26"/>
      <c r="AB710" s="26"/>
      <c r="AC710" s="26"/>
      <c r="AD710" s="26"/>
      <c r="AE710" s="26"/>
    </row>
    <row r="711" spans="1:31" ht="21.95" customHeight="1" x14ac:dyDescent="0.25">
      <c r="A711" s="97" t="str">
        <f>+IF(PROVEEDORES[[#This Row],[FECHA DE PAGO]]=PROVEEDORES[[#This Row],[FECHA DE FACTURACIÓN]],"DE CONTADO","CRÉDITO")</f>
        <v>CRÉDITO</v>
      </c>
      <c r="B711" s="41" t="b">
        <f>+IF((PROVEEDORES[[#This Row],[FECHA DE PAGO]]-PROVEEDORES[[#This Row],[FECHA DE FACTURACIÓN]])&gt;PROVEEDORES[[#This Row],[PLAZO Días]],"PAGO VENCIDO")</f>
        <v>0</v>
      </c>
      <c r="C711" s="22">
        <f>+VLOOKUP(PROVEEDORES[[#This Row],[PROVEEDOR]],TERCEROS_INFO[#All],2,FALSE)</f>
        <v>10</v>
      </c>
      <c r="D711" s="27">
        <f>+SUMIFS(PROVEEDORES[Total],PROVEEDORES[PROVEEDOR],PROVEEDORES[[#This Row],[PROVEEDOR]],PROVEEDORES[FECHA DE PAGO],"")</f>
        <v>0</v>
      </c>
      <c r="E711" s="27"/>
      <c r="F711" s="62" t="str">
        <f>+VLOOKUP(PROVEEDORES[[#This Row],[PROVEEDOR]],
                       Terceros!$A:$G,
                       6,
                       FALSE)</f>
        <v>juanzuluaga@ducon.com.co;girlesa.ruiz@servipilas.com;joriescobar64@gmail.com</v>
      </c>
      <c r="G711" s="95">
        <v>44460</v>
      </c>
      <c r="H711" s="28" t="s">
        <v>525</v>
      </c>
      <c r="I711" s="95">
        <v>44455</v>
      </c>
      <c r="J711" s="38">
        <v>18203</v>
      </c>
      <c r="K711" s="23">
        <v>405000</v>
      </c>
      <c r="L711" s="23"/>
      <c r="M711" s="24">
        <v>76950</v>
      </c>
      <c r="N711" s="25"/>
      <c r="O711" s="24">
        <v>0</v>
      </c>
      <c r="P711" s="136">
        <f>+IF(PROVEEDORES[[#This Row],[SUBTOTAL]]&lt;PROVEEDORES[[#This Row],[base retencion]],0,PROVEEDORES[[#This Row],[retención aplicada]])</f>
        <v>0</v>
      </c>
      <c r="Q711" s="24">
        <f>+PROVEEDORES[[#This Row],[Rete Fuente %]]*PROVEEDORES[[#This Row],[SUBTOTAL]]</f>
        <v>0</v>
      </c>
      <c r="R711" s="23">
        <v>481950</v>
      </c>
      <c r="S71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1" s="99">
        <f ca="1">IF(PROVEEDORES[[#This Row],[FECHA DE PAGO]]=0,TODAY()-PROVEEDORES[[#This Row],[FECHA DE FACTURACIÓN]]-PROVEEDORES[[#This Row],[PLAZO Días]],0)</f>
        <v>0</v>
      </c>
      <c r="U711" s="149">
        <f>+VLOOKUP(PROVEEDORES[[#This Row],[PROVEEDOR]],Terceros!$A:$E,5,FALSE)</f>
        <v>0</v>
      </c>
      <c r="V711" s="150">
        <f>+YEAR(PROVEEDORES[[#This Row],[FECHA DE FACTURACIÓN]])</f>
        <v>2021</v>
      </c>
      <c r="W711" s="150">
        <f>+MATCH(PROVEEDORES[[#This Row],[año facturado]],Retenciones!$1:$1,0)</f>
        <v>4</v>
      </c>
      <c r="X711" s="151">
        <f>+VLOOKUP(PROVEEDORES[[#This Row],[ID RETENCION]],Retenciones!$A$1:$O$24,PROVEEDORES[[#This Row],[indicador de columna]],FALSE)</f>
        <v>0</v>
      </c>
      <c r="Y711" s="152">
        <f>+VLOOKUP(PROVEEDORES[[#This Row],[ID RETENCION]],Retenciones!$A$1:$O$24,2,FALSE)</f>
        <v>0</v>
      </c>
      <c r="Z711" s="26"/>
      <c r="AA711" s="26"/>
      <c r="AB711" s="26"/>
      <c r="AC711" s="26"/>
      <c r="AD711" s="26"/>
      <c r="AE711" s="26"/>
    </row>
    <row r="712" spans="1:31" ht="21.95" customHeight="1" x14ac:dyDescent="0.25">
      <c r="A712" s="97" t="str">
        <f>+IF(PROVEEDORES[[#This Row],[FECHA DE PAGO]]=PROVEEDORES[[#This Row],[FECHA DE FACTURACIÓN]],"DE CONTADO","CRÉDITO")</f>
        <v>CRÉDITO</v>
      </c>
      <c r="B712" s="41" t="str">
        <f>+IF((PROVEEDORES[[#This Row],[FECHA DE PAGO]]-PROVEEDORES[[#This Row],[FECHA DE FACTURACIÓN]])&gt;PROVEEDORES[[#This Row],[PLAZO Días]],"PAGO VENCIDO")</f>
        <v>PAGO VENCIDO</v>
      </c>
      <c r="C712" s="22">
        <f>+VLOOKUP(PROVEEDORES[[#This Row],[PROVEEDOR]],TERCEROS_INFO[#All],2,FALSE)</f>
        <v>30</v>
      </c>
      <c r="D712" s="27">
        <f>+SUMIFS(PROVEEDORES[Total],PROVEEDORES[PROVEEDOR],PROVEEDORES[[#This Row],[PROVEEDOR]],PROVEEDORES[FECHA DE PAGO],"")</f>
        <v>21832129.73</v>
      </c>
      <c r="E712" s="27"/>
      <c r="F712" s="62" t="str">
        <f>+VLOOKUP(PROVEEDORES[[#This Row],[PROVEEDOR]],
                       Terceros!$A:$G,
                       6,
                       FALSE)</f>
        <v>cartera1@grupostatur.com;girlesa.ruiz@servipilas.com;joriescobar64@gmail.com</v>
      </c>
      <c r="G712" s="95">
        <v>44537</v>
      </c>
      <c r="H712" s="28" t="s">
        <v>9</v>
      </c>
      <c r="I712" s="95">
        <v>44435</v>
      </c>
      <c r="J712" s="38">
        <v>71594</v>
      </c>
      <c r="K712" s="23">
        <v>289527</v>
      </c>
      <c r="L712" s="23"/>
      <c r="M712" s="24">
        <v>55010.13</v>
      </c>
      <c r="N712" s="25"/>
      <c r="O712" s="24">
        <v>0</v>
      </c>
      <c r="P712" s="136">
        <f>+IF(PROVEEDORES[[#This Row],[SUBTOTAL]]&lt;PROVEEDORES[[#This Row],[base retencion]],0,PROVEEDORES[[#This Row],[retención aplicada]])</f>
        <v>0</v>
      </c>
      <c r="Q712" s="24">
        <f>+PROVEEDORES[[#This Row],[Rete Fuente %]]*PROVEEDORES[[#This Row],[SUBTOTAL]]</f>
        <v>0</v>
      </c>
      <c r="R712" s="23">
        <v>344537.13</v>
      </c>
      <c r="S71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2" s="99">
        <f ca="1">IF(PROVEEDORES[[#This Row],[FECHA DE PAGO]]=0,TODAY()-PROVEEDORES[[#This Row],[FECHA DE FACTURACIÓN]]-PROVEEDORES[[#This Row],[PLAZO Días]],0)</f>
        <v>0</v>
      </c>
      <c r="U712" s="149" t="str">
        <f>+VLOOKUP(PROVEEDORES[[#This Row],[PROVEEDOR]],Terceros!$A:$E,5,FALSE)</f>
        <v>2,5% con base</v>
      </c>
      <c r="V712" s="150">
        <f>+YEAR(PROVEEDORES[[#This Row],[FECHA DE FACTURACIÓN]])</f>
        <v>2021</v>
      </c>
      <c r="W712" s="150">
        <f>+MATCH(PROVEEDORES[[#This Row],[año facturado]],Retenciones!$1:$1,0)</f>
        <v>4</v>
      </c>
      <c r="X712" s="151">
        <f>+VLOOKUP(PROVEEDORES[[#This Row],[ID RETENCION]],Retenciones!$A$1:$O$24,PROVEEDORES[[#This Row],[indicador de columna]],FALSE)</f>
        <v>980000</v>
      </c>
      <c r="Y712" s="152">
        <f>+VLOOKUP(PROVEEDORES[[#This Row],[ID RETENCION]],Retenciones!$A$1:$O$24,2,FALSE)</f>
        <v>2.5000000000000001E-2</v>
      </c>
      <c r="Z712" s="26"/>
      <c r="AA712" s="26"/>
      <c r="AB712" s="26"/>
      <c r="AC712" s="26"/>
      <c r="AD712" s="26"/>
      <c r="AE712" s="26"/>
    </row>
    <row r="713" spans="1:31" ht="21.95" customHeight="1" x14ac:dyDescent="0.25">
      <c r="A713" s="97" t="str">
        <f>+IF(PROVEEDORES[[#This Row],[FECHA DE PAGO]]=PROVEEDORES[[#This Row],[FECHA DE FACTURACIÓN]],"DE CONTADO","CRÉDITO")</f>
        <v>CRÉDITO</v>
      </c>
      <c r="B713" s="41" t="b">
        <f>+IF((PROVEEDORES[[#This Row],[FECHA DE PAGO]]-PROVEEDORES[[#This Row],[FECHA DE FACTURACIÓN]])&gt;PROVEEDORES[[#This Row],[PLAZO Días]],"PAGO VENCIDO")</f>
        <v>0</v>
      </c>
      <c r="C713" s="22">
        <f>+VLOOKUP(PROVEEDORES[[#This Row],[PROVEEDOR]],TERCEROS_INFO[#All],2,FALSE)</f>
        <v>30</v>
      </c>
      <c r="D713" s="27">
        <f>+SUMIFS(PROVEEDORES[Total],PROVEEDORES[PROVEEDOR],PROVEEDORES[[#This Row],[PROVEEDOR]],PROVEEDORES[FECHA DE PAGO],"")</f>
        <v>3320000</v>
      </c>
      <c r="E713" s="27"/>
      <c r="F713" s="62" t="str">
        <f>+VLOOKUP(PROVEEDORES[[#This Row],[PROVEEDOR]],
                       Terceros!$A:$G,
                       6,
                       FALSE)</f>
        <v>Pygimportadora@gmail.com;girlesa.ruiz@servipilas.com;joriescobar64@gmail.com</v>
      </c>
      <c r="G713" s="95">
        <v>44445</v>
      </c>
      <c r="H713" s="28" t="s">
        <v>1062</v>
      </c>
      <c r="I713" s="95">
        <v>44435</v>
      </c>
      <c r="J713" s="38" t="s">
        <v>802</v>
      </c>
      <c r="K713" s="23">
        <v>1500000</v>
      </c>
      <c r="L713" s="23"/>
      <c r="M713" s="24">
        <v>0</v>
      </c>
      <c r="N713" s="25"/>
      <c r="O713" s="24">
        <v>0</v>
      </c>
      <c r="P713" s="136">
        <f>+IF(PROVEEDORES[[#This Row],[SUBTOTAL]]&lt;PROVEEDORES[[#This Row],[base retencion]],0,PROVEEDORES[[#This Row],[retención aplicada]])</f>
        <v>0</v>
      </c>
      <c r="Q713" s="24">
        <f>+PROVEEDORES[[#This Row],[Rete Fuente %]]*PROVEEDORES[[#This Row],[SUBTOTAL]]</f>
        <v>0</v>
      </c>
      <c r="R713" s="23">
        <v>1500000</v>
      </c>
      <c r="S71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3" s="99">
        <f ca="1">IF(PROVEEDORES[[#This Row],[FECHA DE PAGO]]=0,TODAY()-PROVEEDORES[[#This Row],[FECHA DE FACTURACIÓN]]-PROVEEDORES[[#This Row],[PLAZO Días]],0)</f>
        <v>0</v>
      </c>
      <c r="U713" s="149">
        <f>+VLOOKUP(PROVEEDORES[[#This Row],[PROVEEDOR]],Terceros!$A:$E,5,FALSE)</f>
        <v>0</v>
      </c>
      <c r="V713" s="150">
        <f>+YEAR(PROVEEDORES[[#This Row],[FECHA DE FACTURACIÓN]])</f>
        <v>2021</v>
      </c>
      <c r="W713" s="150">
        <f>+MATCH(PROVEEDORES[[#This Row],[año facturado]],Retenciones!$1:$1,0)</f>
        <v>4</v>
      </c>
      <c r="X713" s="151">
        <f>+VLOOKUP(PROVEEDORES[[#This Row],[ID RETENCION]],Retenciones!$A$1:$O$24,PROVEEDORES[[#This Row],[indicador de columna]],FALSE)</f>
        <v>0</v>
      </c>
      <c r="Y713" s="152">
        <f>+VLOOKUP(PROVEEDORES[[#This Row],[ID RETENCION]],Retenciones!$A$1:$O$24,2,FALSE)</f>
        <v>0</v>
      </c>
      <c r="Z713" s="26"/>
      <c r="AA713" s="26"/>
      <c r="AB713" s="26"/>
      <c r="AC713" s="26"/>
      <c r="AD713" s="26"/>
      <c r="AE713" s="26"/>
    </row>
    <row r="714" spans="1:31" ht="21.95" customHeight="1" x14ac:dyDescent="0.25">
      <c r="A714" s="97" t="str">
        <f>+IF(PROVEEDORES[[#This Row],[FECHA DE PAGO]]=PROVEEDORES[[#This Row],[FECHA DE FACTURACIÓN]],"DE CONTADO","CRÉDITO")</f>
        <v>CRÉDITO</v>
      </c>
      <c r="B714" s="41" t="str">
        <f>+IF((PROVEEDORES[[#This Row],[FECHA DE PAGO]]-PROVEEDORES[[#This Row],[FECHA DE FACTURACIÓN]])&gt;PROVEEDORES[[#This Row],[PLAZO Días]],"PAGO VENCIDO")</f>
        <v>PAGO VENCIDO</v>
      </c>
      <c r="C714" s="22">
        <f>+VLOOKUP(PROVEEDORES[[#This Row],[PROVEEDOR]],TERCEROS_INFO[#All],2,FALSE)</f>
        <v>30</v>
      </c>
      <c r="D714" s="27">
        <f>+SUMIFS(PROVEEDORES[Total],PROVEEDORES[PROVEEDOR],PROVEEDORES[[#This Row],[PROVEEDOR]],PROVEEDORES[FECHA DE PAGO],"")</f>
        <v>4641412.7745000003</v>
      </c>
      <c r="E714" s="27"/>
      <c r="F714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714" s="95">
        <v>44476</v>
      </c>
      <c r="H714" s="28" t="s">
        <v>20</v>
      </c>
      <c r="I714" s="95">
        <v>44435</v>
      </c>
      <c r="J714" s="38">
        <v>4659</v>
      </c>
      <c r="K714" s="23">
        <v>1955400</v>
      </c>
      <c r="L714" s="23"/>
      <c r="M714" s="24">
        <v>371526</v>
      </c>
      <c r="N714" s="25"/>
      <c r="O714" s="24">
        <v>0</v>
      </c>
      <c r="P714" s="136">
        <f>+IF(PROVEEDORES[[#This Row],[SUBTOTAL]]&lt;PROVEEDORES[[#This Row],[base retencion]],0,PROVEEDORES[[#This Row],[retención aplicada]])</f>
        <v>2.5000000000000001E-2</v>
      </c>
      <c r="Q714" s="24">
        <f>+PROVEEDORES[[#This Row],[Rete Fuente %]]*PROVEEDORES[[#This Row],[SUBTOTAL]]</f>
        <v>48885</v>
      </c>
      <c r="R714" s="23">
        <v>2278041</v>
      </c>
      <c r="S71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4" s="99">
        <f ca="1">IF(PROVEEDORES[[#This Row],[FECHA DE PAGO]]=0,TODAY()-PROVEEDORES[[#This Row],[FECHA DE FACTURACIÓN]]-PROVEEDORES[[#This Row],[PLAZO Días]],0)</f>
        <v>0</v>
      </c>
      <c r="U714" s="149" t="str">
        <f>+VLOOKUP(PROVEEDORES[[#This Row],[PROVEEDOR]],Terceros!$A:$E,5,FALSE)</f>
        <v>2,5% con base</v>
      </c>
      <c r="V714" s="150">
        <f>+YEAR(PROVEEDORES[[#This Row],[FECHA DE FACTURACIÓN]])</f>
        <v>2021</v>
      </c>
      <c r="W714" s="150">
        <f>+MATCH(PROVEEDORES[[#This Row],[año facturado]],Retenciones!$1:$1,0)</f>
        <v>4</v>
      </c>
      <c r="X714" s="151">
        <f>+VLOOKUP(PROVEEDORES[[#This Row],[ID RETENCION]],Retenciones!$A$1:$O$24,PROVEEDORES[[#This Row],[indicador de columna]],FALSE)</f>
        <v>980000</v>
      </c>
      <c r="Y714" s="152">
        <f>+VLOOKUP(PROVEEDORES[[#This Row],[ID RETENCION]],Retenciones!$A$1:$O$24,2,FALSE)</f>
        <v>2.5000000000000001E-2</v>
      </c>
      <c r="Z714" s="26"/>
      <c r="AA714" s="26"/>
      <c r="AB714" s="26"/>
      <c r="AC714" s="26"/>
      <c r="AD714" s="26"/>
      <c r="AE714" s="26"/>
    </row>
    <row r="715" spans="1:31" ht="21.95" customHeight="1" x14ac:dyDescent="0.25">
      <c r="A715" s="97" t="str">
        <f>+IF(PROVEEDORES[[#This Row],[FECHA DE PAGO]]=PROVEEDORES[[#This Row],[FECHA DE FACTURACIÓN]],"DE CONTADO","CRÉDITO")</f>
        <v>CRÉDITO</v>
      </c>
      <c r="B715" s="41" t="str">
        <f>+IF((PROVEEDORES[[#This Row],[FECHA DE PAGO]]-PROVEEDORES[[#This Row],[FECHA DE FACTURACIÓN]])&gt;PROVEEDORES[[#This Row],[PLAZO Días]],"PAGO VENCIDO")</f>
        <v>PAGO VENCIDO</v>
      </c>
      <c r="C715" s="22">
        <f>+VLOOKUP(PROVEEDORES[[#This Row],[PROVEEDOR]],TERCEROS_INFO[#All],2,FALSE)</f>
        <v>30</v>
      </c>
      <c r="D715" s="27">
        <f>+SUMIFS(PROVEEDORES[Total],PROVEEDORES[PROVEEDOR],PROVEEDORES[[#This Row],[PROVEEDOR]],PROVEEDORES[FECHA DE PAGO],"")</f>
        <v>3844432.4999000002</v>
      </c>
      <c r="E715" s="27"/>
      <c r="F715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715" s="95">
        <v>44482</v>
      </c>
      <c r="H715" s="28" t="s">
        <v>18</v>
      </c>
      <c r="I715" s="95">
        <v>44435</v>
      </c>
      <c r="J715" s="38">
        <v>1042278</v>
      </c>
      <c r="K715" s="23">
        <v>3032560.8</v>
      </c>
      <c r="L715" s="23"/>
      <c r="M715" s="24">
        <v>576186.55200000003</v>
      </c>
      <c r="N715" s="25"/>
      <c r="O715" s="24">
        <v>0</v>
      </c>
      <c r="P715" s="136">
        <f>+IF(PROVEEDORES[[#This Row],[SUBTOTAL]]&lt;PROVEEDORES[[#This Row],[base retencion]],0,PROVEEDORES[[#This Row],[retención aplicada]])</f>
        <v>2.5000000000000001E-2</v>
      </c>
      <c r="Q715" s="24">
        <f>+PROVEEDORES[[#This Row],[Rete Fuente %]]*PROVEEDORES[[#This Row],[SUBTOTAL]]</f>
        <v>75814.02</v>
      </c>
      <c r="R715" s="23">
        <v>3532933.3319999999</v>
      </c>
      <c r="S71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5" s="99">
        <f ca="1">IF(PROVEEDORES[[#This Row],[FECHA DE PAGO]]=0,TODAY()-PROVEEDORES[[#This Row],[FECHA DE FACTURACIÓN]]-PROVEEDORES[[#This Row],[PLAZO Días]],0)</f>
        <v>0</v>
      </c>
      <c r="U715" s="149" t="str">
        <f>+VLOOKUP(PROVEEDORES[[#This Row],[PROVEEDOR]],Terceros!$A:$E,5,FALSE)</f>
        <v>2,5% con base</v>
      </c>
      <c r="V715" s="150">
        <f>+YEAR(PROVEEDORES[[#This Row],[FECHA DE FACTURACIÓN]])</f>
        <v>2021</v>
      </c>
      <c r="W715" s="150">
        <f>+MATCH(PROVEEDORES[[#This Row],[año facturado]],Retenciones!$1:$1,0)</f>
        <v>4</v>
      </c>
      <c r="X715" s="151">
        <f>+VLOOKUP(PROVEEDORES[[#This Row],[ID RETENCION]],Retenciones!$A$1:$O$24,PROVEEDORES[[#This Row],[indicador de columna]],FALSE)</f>
        <v>980000</v>
      </c>
      <c r="Y715" s="152">
        <f>+VLOOKUP(PROVEEDORES[[#This Row],[ID RETENCION]],Retenciones!$A$1:$O$24,2,FALSE)</f>
        <v>2.5000000000000001E-2</v>
      </c>
      <c r="Z715" s="26"/>
      <c r="AA715" s="26"/>
      <c r="AB715" s="26"/>
      <c r="AC715" s="26"/>
      <c r="AD715" s="26"/>
      <c r="AE715" s="26"/>
    </row>
    <row r="716" spans="1:31" ht="21.95" customHeight="1" x14ac:dyDescent="0.25">
      <c r="A716" s="97" t="str">
        <f>+IF(PROVEEDORES[[#This Row],[FECHA DE PAGO]]=PROVEEDORES[[#This Row],[FECHA DE FACTURACIÓN]],"DE CONTADO","CRÉDITO")</f>
        <v>CRÉDITO</v>
      </c>
      <c r="B716" s="41" t="str">
        <f>+IF((PROVEEDORES[[#This Row],[FECHA DE PAGO]]-PROVEEDORES[[#This Row],[FECHA DE FACTURACIÓN]])&gt;PROVEEDORES[[#This Row],[PLAZO Días]],"PAGO VENCIDO")</f>
        <v>PAGO VENCIDO</v>
      </c>
      <c r="C716" s="22">
        <f>+VLOOKUP(PROVEEDORES[[#This Row],[PROVEEDOR]],TERCEROS_INFO[#All],2,FALSE)</f>
        <v>30</v>
      </c>
      <c r="D716" s="27">
        <f>+SUMIFS(PROVEEDORES[Total],PROVEEDORES[PROVEEDOR],PROVEEDORES[[#This Row],[PROVEEDOR]],PROVEEDORES[FECHA DE PAGO],"")</f>
        <v>0</v>
      </c>
      <c r="E716" s="27"/>
      <c r="F716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716" s="95">
        <v>44485</v>
      </c>
      <c r="H716" s="28" t="s">
        <v>24</v>
      </c>
      <c r="I716" s="95">
        <v>44435</v>
      </c>
      <c r="J716" s="38" t="s">
        <v>504</v>
      </c>
      <c r="K716" s="23">
        <v>3096632</v>
      </c>
      <c r="L716" s="23"/>
      <c r="M716" s="24">
        <v>588360.07999999996</v>
      </c>
      <c r="N716" s="25"/>
      <c r="O716" s="24">
        <v>0</v>
      </c>
      <c r="P716" s="136">
        <f>+IF(PROVEEDORES[[#This Row],[SUBTOTAL]]&lt;PROVEEDORES[[#This Row],[base retencion]],0,PROVEEDORES[[#This Row],[retención aplicada]])</f>
        <v>2.5000000000000001E-2</v>
      </c>
      <c r="Q716" s="24">
        <f>+PROVEEDORES[[#This Row],[Rete Fuente %]]*PROVEEDORES[[#This Row],[SUBTOTAL]]</f>
        <v>77415.8</v>
      </c>
      <c r="R716" s="23">
        <v>3607576.2800000003</v>
      </c>
      <c r="S71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6" s="99">
        <f ca="1">IF(PROVEEDORES[[#This Row],[FECHA DE PAGO]]=0,TODAY()-PROVEEDORES[[#This Row],[FECHA DE FACTURACIÓN]]-PROVEEDORES[[#This Row],[PLAZO Días]],0)</f>
        <v>0</v>
      </c>
      <c r="U716" s="149" t="str">
        <f>+VLOOKUP(PROVEEDORES[[#This Row],[PROVEEDOR]],Terceros!$A:$E,5,FALSE)</f>
        <v>2,5% con base</v>
      </c>
      <c r="V716" s="150">
        <f>+YEAR(PROVEEDORES[[#This Row],[FECHA DE FACTURACIÓN]])</f>
        <v>2021</v>
      </c>
      <c r="W716" s="150">
        <f>+MATCH(PROVEEDORES[[#This Row],[año facturado]],Retenciones!$1:$1,0)</f>
        <v>4</v>
      </c>
      <c r="X716" s="151">
        <f>+VLOOKUP(PROVEEDORES[[#This Row],[ID RETENCION]],Retenciones!$A$1:$O$24,PROVEEDORES[[#This Row],[indicador de columna]],FALSE)</f>
        <v>980000</v>
      </c>
      <c r="Y716" s="152">
        <f>+VLOOKUP(PROVEEDORES[[#This Row],[ID RETENCION]],Retenciones!$A$1:$O$24,2,FALSE)</f>
        <v>2.5000000000000001E-2</v>
      </c>
      <c r="Z716" s="26"/>
      <c r="AA716" s="26"/>
      <c r="AB716" s="26"/>
      <c r="AC716" s="26"/>
      <c r="AD716" s="26"/>
      <c r="AE716" s="26"/>
    </row>
    <row r="717" spans="1:31" ht="21.95" customHeight="1" x14ac:dyDescent="0.25">
      <c r="A717" s="97" t="str">
        <f>+IF(PROVEEDORES[[#This Row],[FECHA DE PAGO]]=PROVEEDORES[[#This Row],[FECHA DE FACTURACIÓN]],"DE CONTADO","CRÉDITO")</f>
        <v>CRÉDITO</v>
      </c>
      <c r="B717" s="41" t="str">
        <f>+IF((PROVEEDORES[[#This Row],[FECHA DE PAGO]]-PROVEEDORES[[#This Row],[FECHA DE FACTURACIÓN]])&gt;PROVEEDORES[[#This Row],[PLAZO Días]],"PAGO VENCIDO")</f>
        <v>PAGO VENCIDO</v>
      </c>
      <c r="C717" s="22">
        <f>+VLOOKUP(PROVEEDORES[[#This Row],[PROVEEDOR]],TERCEROS_INFO[#All],2,FALSE)</f>
        <v>30</v>
      </c>
      <c r="D717" s="27">
        <f>+SUMIFS(PROVEEDORES[Total],PROVEEDORES[PROVEEDOR],PROVEEDORES[[#This Row],[PROVEEDOR]],PROVEEDORES[FECHA DE PAGO],"")</f>
        <v>21832129.73</v>
      </c>
      <c r="E717" s="27"/>
      <c r="F717" s="62" t="str">
        <f>+VLOOKUP(PROVEEDORES[[#This Row],[PROVEEDOR]],
                       Terceros!$A:$G,
                       6,
                       FALSE)</f>
        <v>cartera1@grupostatur.com;girlesa.ruiz@servipilas.com;joriescobar64@gmail.com</v>
      </c>
      <c r="G717" s="95">
        <v>44533</v>
      </c>
      <c r="H717" s="28" t="s">
        <v>9</v>
      </c>
      <c r="I717" s="95">
        <v>44435</v>
      </c>
      <c r="J717" s="38">
        <v>71593</v>
      </c>
      <c r="K717" s="23">
        <v>14809823</v>
      </c>
      <c r="L717" s="23"/>
      <c r="M717" s="24">
        <v>2813866.37</v>
      </c>
      <c r="N717" s="25"/>
      <c r="O717" s="24">
        <v>0</v>
      </c>
      <c r="P717" s="136">
        <f>+IF(PROVEEDORES[[#This Row],[SUBTOTAL]]&lt;PROVEEDORES[[#This Row],[base retencion]],0,PROVEEDORES[[#This Row],[retención aplicada]])</f>
        <v>2.5000000000000001E-2</v>
      </c>
      <c r="Q717" s="24">
        <f>+PROVEEDORES[[#This Row],[Rete Fuente %]]*PROVEEDORES[[#This Row],[SUBTOTAL]]</f>
        <v>370245.57500000001</v>
      </c>
      <c r="R717" s="23">
        <v>17253443.795000002</v>
      </c>
      <c r="S71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7" s="99">
        <f ca="1">IF(PROVEEDORES[[#This Row],[FECHA DE PAGO]]=0,TODAY()-PROVEEDORES[[#This Row],[FECHA DE FACTURACIÓN]]-PROVEEDORES[[#This Row],[PLAZO Días]],0)</f>
        <v>0</v>
      </c>
      <c r="U717" s="149" t="str">
        <f>+VLOOKUP(PROVEEDORES[[#This Row],[PROVEEDOR]],Terceros!$A:$E,5,FALSE)</f>
        <v>2,5% con base</v>
      </c>
      <c r="V717" s="150">
        <f>+YEAR(PROVEEDORES[[#This Row],[FECHA DE FACTURACIÓN]])</f>
        <v>2021</v>
      </c>
      <c r="W717" s="150">
        <f>+MATCH(PROVEEDORES[[#This Row],[año facturado]],Retenciones!$1:$1,0)</f>
        <v>4</v>
      </c>
      <c r="X717" s="151">
        <f>+VLOOKUP(PROVEEDORES[[#This Row],[ID RETENCION]],Retenciones!$A$1:$O$24,PROVEEDORES[[#This Row],[indicador de columna]],FALSE)</f>
        <v>980000</v>
      </c>
      <c r="Y717" s="152">
        <f>+VLOOKUP(PROVEEDORES[[#This Row],[ID RETENCION]],Retenciones!$A$1:$O$24,2,FALSE)</f>
        <v>2.5000000000000001E-2</v>
      </c>
      <c r="Z717" s="26"/>
      <c r="AA717" s="26"/>
      <c r="AB717" s="26"/>
      <c r="AC717" s="26"/>
      <c r="AD717" s="26"/>
      <c r="AE717" s="26"/>
    </row>
    <row r="718" spans="1:31" ht="21.95" customHeight="1" x14ac:dyDescent="0.25">
      <c r="A718" s="97" t="str">
        <f>+IF(PROVEEDORES[[#This Row],[FECHA DE PAGO]]=PROVEEDORES[[#This Row],[FECHA DE FACTURACIÓN]],"DE CONTADO","CRÉDITO")</f>
        <v>DE CONTADO</v>
      </c>
      <c r="B718" s="41" t="b">
        <f>+IF((PROVEEDORES[[#This Row],[FECHA DE PAGO]]-PROVEEDORES[[#This Row],[FECHA DE FACTURACIÓN]])&gt;PROVEEDORES[[#This Row],[PLAZO Días]],"PAGO VENCIDO")</f>
        <v>0</v>
      </c>
      <c r="C718" s="22">
        <f>+VLOOKUP(PROVEEDORES[[#This Row],[PROVEEDOR]],TERCEROS_INFO[#All],2,FALSE)</f>
        <v>30</v>
      </c>
      <c r="D718" s="27">
        <f>+SUMIFS(PROVEEDORES[Total],PROVEEDORES[PROVEEDOR],PROVEEDORES[[#This Row],[PROVEEDOR]],PROVEEDORES[FECHA DE PAGO],"")</f>
        <v>0</v>
      </c>
      <c r="E718" s="27"/>
      <c r="F718" s="62" t="str">
        <f>+VLOOKUP(PROVEEDORES[[#This Row],[PROVEEDOR]],
                       Terceros!$A:$G,
                       6,
                       FALSE)</f>
        <v/>
      </c>
      <c r="G718" s="95">
        <v>44438</v>
      </c>
      <c r="H718" s="28" t="s">
        <v>1010</v>
      </c>
      <c r="I718" s="95">
        <v>44438</v>
      </c>
      <c r="J718" s="38" t="s">
        <v>663</v>
      </c>
      <c r="K718" s="23">
        <v>12000</v>
      </c>
      <c r="L718" s="23"/>
      <c r="M718" s="24">
        <v>0</v>
      </c>
      <c r="N718" s="25"/>
      <c r="O718" s="24">
        <v>0</v>
      </c>
      <c r="P718" s="136">
        <f>+IF(PROVEEDORES[[#This Row],[SUBTOTAL]]&lt;PROVEEDORES[[#This Row],[base retencion]],0,PROVEEDORES[[#This Row],[retención aplicada]])</f>
        <v>0</v>
      </c>
      <c r="Q718" s="24">
        <f>+PROVEEDORES[[#This Row],[Rete Fuente %]]*PROVEEDORES[[#This Row],[SUBTOTAL]]</f>
        <v>0</v>
      </c>
      <c r="R718" s="23">
        <v>12000</v>
      </c>
      <c r="S71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8" s="99">
        <f ca="1">IF(PROVEEDORES[[#This Row],[FECHA DE PAGO]]=0,TODAY()-PROVEEDORES[[#This Row],[FECHA DE FACTURACIÓN]]-PROVEEDORES[[#This Row],[PLAZO Días]],0)</f>
        <v>0</v>
      </c>
      <c r="U718" s="149">
        <f>+VLOOKUP(PROVEEDORES[[#This Row],[PROVEEDOR]],Terceros!$A:$E,5,FALSE)</f>
        <v>0</v>
      </c>
      <c r="V718" s="150">
        <f>+YEAR(PROVEEDORES[[#This Row],[FECHA DE FACTURACIÓN]])</f>
        <v>2021</v>
      </c>
      <c r="W718" s="150">
        <f>+MATCH(PROVEEDORES[[#This Row],[año facturado]],Retenciones!$1:$1,0)</f>
        <v>4</v>
      </c>
      <c r="X718" s="151">
        <f>+VLOOKUP(PROVEEDORES[[#This Row],[ID RETENCION]],Retenciones!$A$1:$O$24,PROVEEDORES[[#This Row],[indicador de columna]],FALSE)</f>
        <v>0</v>
      </c>
      <c r="Y718" s="152">
        <f>+VLOOKUP(PROVEEDORES[[#This Row],[ID RETENCION]],Retenciones!$A$1:$O$24,2,FALSE)</f>
        <v>0</v>
      </c>
      <c r="Z718" s="26"/>
      <c r="AA718" s="26"/>
      <c r="AB718" s="26"/>
      <c r="AC718" s="26"/>
      <c r="AD718" s="26"/>
      <c r="AE718" s="26"/>
    </row>
    <row r="719" spans="1:31" ht="21.95" customHeight="1" x14ac:dyDescent="0.25">
      <c r="A719" s="97" t="str">
        <f>+IF(PROVEEDORES[[#This Row],[FECHA DE PAGO]]=PROVEEDORES[[#This Row],[FECHA DE FACTURACIÓN]],"DE CONTADO","CRÉDITO")</f>
        <v>DE CONTADO</v>
      </c>
      <c r="B719" s="41" t="b">
        <f>+IF((PROVEEDORES[[#This Row],[FECHA DE PAGO]]-PROVEEDORES[[#This Row],[FECHA DE FACTURACIÓN]])&gt;PROVEEDORES[[#This Row],[PLAZO Días]],"PAGO VENCIDO")</f>
        <v>0</v>
      </c>
      <c r="C719" s="22">
        <f>+VLOOKUP(PROVEEDORES[[#This Row],[PROVEEDOR]],TERCEROS_INFO[#All],2,FALSE)</f>
        <v>30</v>
      </c>
      <c r="D719" s="27">
        <f>+SUMIFS(PROVEEDORES[Total],PROVEEDORES[PROVEEDOR],PROVEEDORES[[#This Row],[PROVEEDOR]],PROVEEDORES[FECHA DE PAGO],"")</f>
        <v>0</v>
      </c>
      <c r="E719" s="27"/>
      <c r="F719" s="62" t="str">
        <f>+VLOOKUP(PROVEEDORES[[#This Row],[PROVEEDOR]],
                       Terceros!$A:$G,
                       6,
                       FALSE)</f>
        <v/>
      </c>
      <c r="G719" s="95">
        <v>44438</v>
      </c>
      <c r="H719" s="28" t="s">
        <v>1010</v>
      </c>
      <c r="I719" s="95">
        <v>44438</v>
      </c>
      <c r="J719" s="38" t="s">
        <v>803</v>
      </c>
      <c r="K719" s="23">
        <v>150000</v>
      </c>
      <c r="L719" s="23"/>
      <c r="M719" s="24">
        <v>0</v>
      </c>
      <c r="N719" s="25"/>
      <c r="O719" s="24">
        <v>0</v>
      </c>
      <c r="P719" s="136">
        <f>+IF(PROVEEDORES[[#This Row],[SUBTOTAL]]&lt;PROVEEDORES[[#This Row],[base retencion]],0,PROVEEDORES[[#This Row],[retención aplicada]])</f>
        <v>0</v>
      </c>
      <c r="Q719" s="24">
        <f>+PROVEEDORES[[#This Row],[Rete Fuente %]]*PROVEEDORES[[#This Row],[SUBTOTAL]]</f>
        <v>0</v>
      </c>
      <c r="R719" s="23">
        <v>150000</v>
      </c>
      <c r="S71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9" s="99">
        <f ca="1">IF(PROVEEDORES[[#This Row],[FECHA DE PAGO]]=0,TODAY()-PROVEEDORES[[#This Row],[FECHA DE FACTURACIÓN]]-PROVEEDORES[[#This Row],[PLAZO Días]],0)</f>
        <v>0</v>
      </c>
      <c r="U719" s="149">
        <f>+VLOOKUP(PROVEEDORES[[#This Row],[PROVEEDOR]],Terceros!$A:$E,5,FALSE)</f>
        <v>0</v>
      </c>
      <c r="V719" s="150">
        <f>+YEAR(PROVEEDORES[[#This Row],[FECHA DE FACTURACIÓN]])</f>
        <v>2021</v>
      </c>
      <c r="W719" s="150">
        <f>+MATCH(PROVEEDORES[[#This Row],[año facturado]],Retenciones!$1:$1,0)</f>
        <v>4</v>
      </c>
      <c r="X719" s="151">
        <f>+VLOOKUP(PROVEEDORES[[#This Row],[ID RETENCION]],Retenciones!$A$1:$O$24,PROVEEDORES[[#This Row],[indicador de columna]],FALSE)</f>
        <v>0</v>
      </c>
      <c r="Y719" s="152">
        <f>+VLOOKUP(PROVEEDORES[[#This Row],[ID RETENCION]],Retenciones!$A$1:$O$24,2,FALSE)</f>
        <v>0</v>
      </c>
      <c r="Z719" s="26"/>
      <c r="AA719" s="26"/>
      <c r="AB719" s="26"/>
      <c r="AC719" s="26"/>
      <c r="AD719" s="26"/>
      <c r="AE719" s="26"/>
    </row>
    <row r="720" spans="1:31" ht="21.95" customHeight="1" x14ac:dyDescent="0.25">
      <c r="A720" s="97" t="str">
        <f>+IF(PROVEEDORES[[#This Row],[FECHA DE PAGO]]=PROVEEDORES[[#This Row],[FECHA DE FACTURACIÓN]],"DE CONTADO","CRÉDITO")</f>
        <v>DE CONTADO</v>
      </c>
      <c r="B720" s="41" t="b">
        <f>+IF((PROVEEDORES[[#This Row],[FECHA DE PAGO]]-PROVEEDORES[[#This Row],[FECHA DE FACTURACIÓN]])&gt;PROVEEDORES[[#This Row],[PLAZO Días]],"PAGO VENCIDO")</f>
        <v>0</v>
      </c>
      <c r="C720" s="22">
        <f>+VLOOKUP(PROVEEDORES[[#This Row],[PROVEEDOR]],TERCEROS_INFO[#All],2,FALSE)</f>
        <v>30</v>
      </c>
      <c r="D720" s="27">
        <f>+SUMIFS(PROVEEDORES[Total],PROVEEDORES[PROVEEDOR],PROVEEDORES[[#This Row],[PROVEEDOR]],PROVEEDORES[FECHA DE PAGO],"")</f>
        <v>0</v>
      </c>
      <c r="E720" s="27"/>
      <c r="F720" s="62" t="str">
        <f>+VLOOKUP(PROVEEDORES[[#This Row],[PROVEEDOR]],
                       Terceros!$A:$G,
                       6,
                       FALSE)</f>
        <v/>
      </c>
      <c r="G720" s="95">
        <v>44438</v>
      </c>
      <c r="H720" s="28" t="s">
        <v>1010</v>
      </c>
      <c r="I720" s="95">
        <v>44438</v>
      </c>
      <c r="J720" s="38" t="s">
        <v>664</v>
      </c>
      <c r="K720" s="23">
        <v>216000</v>
      </c>
      <c r="L720" s="23"/>
      <c r="M720" s="24">
        <v>0</v>
      </c>
      <c r="N720" s="25"/>
      <c r="O720" s="24">
        <v>0</v>
      </c>
      <c r="P720" s="136">
        <f>+IF(PROVEEDORES[[#This Row],[SUBTOTAL]]&lt;PROVEEDORES[[#This Row],[base retencion]],0,PROVEEDORES[[#This Row],[retención aplicada]])</f>
        <v>0</v>
      </c>
      <c r="Q720" s="24">
        <f>+PROVEEDORES[[#This Row],[Rete Fuente %]]*PROVEEDORES[[#This Row],[SUBTOTAL]]</f>
        <v>0</v>
      </c>
      <c r="R720" s="23">
        <v>216000</v>
      </c>
      <c r="S72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0" s="99">
        <f ca="1">IF(PROVEEDORES[[#This Row],[FECHA DE PAGO]]=0,TODAY()-PROVEEDORES[[#This Row],[FECHA DE FACTURACIÓN]]-PROVEEDORES[[#This Row],[PLAZO Días]],0)</f>
        <v>0</v>
      </c>
      <c r="U720" s="149">
        <f>+VLOOKUP(PROVEEDORES[[#This Row],[PROVEEDOR]],Terceros!$A:$E,5,FALSE)</f>
        <v>0</v>
      </c>
      <c r="V720" s="150">
        <f>+YEAR(PROVEEDORES[[#This Row],[FECHA DE FACTURACIÓN]])</f>
        <v>2021</v>
      </c>
      <c r="W720" s="150">
        <f>+MATCH(PROVEEDORES[[#This Row],[año facturado]],Retenciones!$1:$1,0)</f>
        <v>4</v>
      </c>
      <c r="X720" s="151">
        <f>+VLOOKUP(PROVEEDORES[[#This Row],[ID RETENCION]],Retenciones!$A$1:$O$24,PROVEEDORES[[#This Row],[indicador de columna]],FALSE)</f>
        <v>0</v>
      </c>
      <c r="Y720" s="152">
        <f>+VLOOKUP(PROVEEDORES[[#This Row],[ID RETENCION]],Retenciones!$A$1:$O$24,2,FALSE)</f>
        <v>0</v>
      </c>
      <c r="Z720" s="26"/>
      <c r="AA720" s="26"/>
      <c r="AB720" s="26"/>
      <c r="AC720" s="26"/>
      <c r="AD720" s="26"/>
      <c r="AE720" s="26"/>
    </row>
    <row r="721" spans="1:31" ht="21.95" customHeight="1" x14ac:dyDescent="0.25">
      <c r="A721" s="97" t="str">
        <f>+IF(PROVEEDORES[[#This Row],[FECHA DE PAGO]]=PROVEEDORES[[#This Row],[FECHA DE FACTURACIÓN]],"DE CONTADO","CRÉDITO")</f>
        <v>DE CONTADO</v>
      </c>
      <c r="B721" s="41" t="b">
        <f>+IF((PROVEEDORES[[#This Row],[FECHA DE PAGO]]-PROVEEDORES[[#This Row],[FECHA DE FACTURACIÓN]])&gt;PROVEEDORES[[#This Row],[PLAZO Días]],"PAGO VENCIDO")</f>
        <v>0</v>
      </c>
      <c r="C721" s="22">
        <f>+VLOOKUP(PROVEEDORES[[#This Row],[PROVEEDOR]],TERCEROS_INFO[#All],2,FALSE)</f>
        <v>30</v>
      </c>
      <c r="D721" s="27">
        <f>+SUMIFS(PROVEEDORES[Total],PROVEEDORES[PROVEEDOR],PROVEEDORES[[#This Row],[PROVEEDOR]],PROVEEDORES[FECHA DE PAGO],"")</f>
        <v>0</v>
      </c>
      <c r="E721" s="27"/>
      <c r="F721" s="62" t="str">
        <f>+VLOOKUP(PROVEEDORES[[#This Row],[PROVEEDOR]],
                       Terceros!$A:$G,
                       6,
                       FALSE)</f>
        <v/>
      </c>
      <c r="G721" s="95">
        <v>44438</v>
      </c>
      <c r="H721" s="28" t="s">
        <v>1010</v>
      </c>
      <c r="I721" s="95">
        <v>44438</v>
      </c>
      <c r="J721" s="38" t="s">
        <v>76</v>
      </c>
      <c r="K721" s="23">
        <v>338900</v>
      </c>
      <c r="L721" s="23"/>
      <c r="M721" s="24">
        <v>0</v>
      </c>
      <c r="N721" s="25"/>
      <c r="O721" s="24">
        <v>0</v>
      </c>
      <c r="P721" s="136">
        <f>+IF(PROVEEDORES[[#This Row],[SUBTOTAL]]&lt;PROVEEDORES[[#This Row],[base retencion]],0,PROVEEDORES[[#This Row],[retención aplicada]])</f>
        <v>0</v>
      </c>
      <c r="Q721" s="24">
        <f>+PROVEEDORES[[#This Row],[Rete Fuente %]]*PROVEEDORES[[#This Row],[SUBTOTAL]]</f>
        <v>0</v>
      </c>
      <c r="R721" s="23">
        <v>338900</v>
      </c>
      <c r="S72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1" s="99">
        <f ca="1">IF(PROVEEDORES[[#This Row],[FECHA DE PAGO]]=0,TODAY()-PROVEEDORES[[#This Row],[FECHA DE FACTURACIÓN]]-PROVEEDORES[[#This Row],[PLAZO Días]],0)</f>
        <v>0</v>
      </c>
      <c r="U721" s="149">
        <f>+VLOOKUP(PROVEEDORES[[#This Row],[PROVEEDOR]],Terceros!$A:$E,5,FALSE)</f>
        <v>0</v>
      </c>
      <c r="V721" s="150">
        <f>+YEAR(PROVEEDORES[[#This Row],[FECHA DE FACTURACIÓN]])</f>
        <v>2021</v>
      </c>
      <c r="W721" s="150">
        <f>+MATCH(PROVEEDORES[[#This Row],[año facturado]],Retenciones!$1:$1,0)</f>
        <v>4</v>
      </c>
      <c r="X721" s="151">
        <f>+VLOOKUP(PROVEEDORES[[#This Row],[ID RETENCION]],Retenciones!$A$1:$O$24,PROVEEDORES[[#This Row],[indicador de columna]],FALSE)</f>
        <v>0</v>
      </c>
      <c r="Y721" s="152">
        <f>+VLOOKUP(PROVEEDORES[[#This Row],[ID RETENCION]],Retenciones!$A$1:$O$24,2,FALSE)</f>
        <v>0</v>
      </c>
      <c r="Z721" s="26"/>
      <c r="AA721" s="26"/>
      <c r="AB721" s="26"/>
      <c r="AC721" s="26"/>
      <c r="AD721" s="26"/>
      <c r="AE721" s="26"/>
    </row>
    <row r="722" spans="1:31" ht="21.95" customHeight="1" x14ac:dyDescent="0.25">
      <c r="A722" s="97" t="str">
        <f>+IF(PROVEEDORES[[#This Row],[FECHA DE PAGO]]=PROVEEDORES[[#This Row],[FECHA DE FACTURACIÓN]],"DE CONTADO","CRÉDITO")</f>
        <v>CRÉDITO</v>
      </c>
      <c r="B722" s="41" t="str">
        <f>+IF((PROVEEDORES[[#This Row],[FECHA DE PAGO]]-PROVEEDORES[[#This Row],[FECHA DE FACTURACIÓN]])&gt;PROVEEDORES[[#This Row],[PLAZO Días]],"PAGO VENCIDO")</f>
        <v>PAGO VENCIDO</v>
      </c>
      <c r="C722" s="22">
        <f>+VLOOKUP(PROVEEDORES[[#This Row],[PROVEEDOR]],TERCEROS_INFO[#All],2,FALSE)</f>
        <v>45</v>
      </c>
      <c r="D722" s="27">
        <f>+SUMIFS(PROVEEDORES[Total],PROVEEDORES[PROVEEDOR],PROVEEDORES[[#This Row],[PROVEEDOR]],PROVEEDORES[FECHA DE PAGO],"")</f>
        <v>3412539.2</v>
      </c>
      <c r="E722" s="27"/>
      <c r="F722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722" s="95">
        <v>44510</v>
      </c>
      <c r="H722" s="28" t="s">
        <v>10</v>
      </c>
      <c r="I722" s="95">
        <v>44438</v>
      </c>
      <c r="J722" s="38" t="s">
        <v>499</v>
      </c>
      <c r="K722" s="23">
        <v>400000</v>
      </c>
      <c r="L722" s="23"/>
      <c r="M722" s="24">
        <v>76000</v>
      </c>
      <c r="N722" s="25"/>
      <c r="O722" s="24">
        <v>0</v>
      </c>
      <c r="P722" s="136">
        <f>+IF(PROVEEDORES[[#This Row],[SUBTOTAL]]&lt;PROVEEDORES[[#This Row],[base retencion]],0,PROVEEDORES[[#This Row],[retención aplicada]])</f>
        <v>0</v>
      </c>
      <c r="Q722" s="24">
        <f>+PROVEEDORES[[#This Row],[Rete Fuente %]]*PROVEEDORES[[#This Row],[SUBTOTAL]]</f>
        <v>0</v>
      </c>
      <c r="R722" s="23">
        <v>476000</v>
      </c>
      <c r="S72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2" s="99">
        <f ca="1">IF(PROVEEDORES[[#This Row],[FECHA DE PAGO]]=0,TODAY()-PROVEEDORES[[#This Row],[FECHA DE FACTURACIÓN]]-PROVEEDORES[[#This Row],[PLAZO Días]],0)</f>
        <v>0</v>
      </c>
      <c r="U722" s="149">
        <f>+VLOOKUP(PROVEEDORES[[#This Row],[PROVEEDOR]],Terceros!$A:$E,5,FALSE)</f>
        <v>0</v>
      </c>
      <c r="V722" s="150">
        <f>+YEAR(PROVEEDORES[[#This Row],[FECHA DE FACTURACIÓN]])</f>
        <v>2021</v>
      </c>
      <c r="W722" s="150">
        <f>+MATCH(PROVEEDORES[[#This Row],[año facturado]],Retenciones!$1:$1,0)</f>
        <v>4</v>
      </c>
      <c r="X722" s="151">
        <f>+VLOOKUP(PROVEEDORES[[#This Row],[ID RETENCION]],Retenciones!$A$1:$O$24,PROVEEDORES[[#This Row],[indicador de columna]],FALSE)</f>
        <v>0</v>
      </c>
      <c r="Y722" s="152">
        <f>+VLOOKUP(PROVEEDORES[[#This Row],[ID RETENCION]],Retenciones!$A$1:$O$24,2,FALSE)</f>
        <v>0</v>
      </c>
      <c r="Z722" s="26"/>
      <c r="AA722" s="26"/>
      <c r="AB722" s="26"/>
      <c r="AC722" s="26"/>
      <c r="AD722" s="26"/>
      <c r="AE722" s="26"/>
    </row>
    <row r="723" spans="1:31" ht="21.95" customHeight="1" x14ac:dyDescent="0.25">
      <c r="A723" s="97" t="str">
        <f>+IF(PROVEEDORES[[#This Row],[FECHA DE PAGO]]=PROVEEDORES[[#This Row],[FECHA DE FACTURACIÓN]],"DE CONTADO","CRÉDITO")</f>
        <v>CRÉDITO</v>
      </c>
      <c r="B723" s="41" t="str">
        <f>+IF((PROVEEDORES[[#This Row],[FECHA DE PAGO]]-PROVEEDORES[[#This Row],[FECHA DE FACTURACIÓN]])&gt;PROVEEDORES[[#This Row],[PLAZO Días]],"PAGO VENCIDO")</f>
        <v>PAGO VENCIDO</v>
      </c>
      <c r="C723" s="22">
        <f>+VLOOKUP(PROVEEDORES[[#This Row],[PROVEEDOR]],TERCEROS_INFO[#All],2,FALSE)</f>
        <v>90</v>
      </c>
      <c r="D723" s="27">
        <f>+SUMIFS(PROVEEDORES[Total],PROVEEDORES[PROVEEDOR],PROVEEDORES[[#This Row],[PROVEEDOR]],PROVEEDORES[FECHA DE PAGO],"")</f>
        <v>26364243.66155</v>
      </c>
      <c r="E723" s="27"/>
      <c r="F723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723" s="95">
        <v>44533</v>
      </c>
      <c r="H723" s="28" t="s">
        <v>12</v>
      </c>
      <c r="I723" s="95">
        <v>44438</v>
      </c>
      <c r="J723" s="38" t="s">
        <v>505</v>
      </c>
      <c r="K723" s="23">
        <v>1033614</v>
      </c>
      <c r="L723" s="23"/>
      <c r="M723" s="24">
        <v>196386.66</v>
      </c>
      <c r="N723" s="25"/>
      <c r="O723" s="24">
        <v>0</v>
      </c>
      <c r="P723" s="136">
        <f>+IF(PROVEEDORES[[#This Row],[SUBTOTAL]]&lt;PROVEEDORES[[#This Row],[base retencion]],0,PROVEEDORES[[#This Row],[retención aplicada]])</f>
        <v>2.5000000000000001E-2</v>
      </c>
      <c r="Q723" s="24">
        <f>+PROVEEDORES[[#This Row],[Rete Fuente %]]*PROVEEDORES[[#This Row],[SUBTOTAL]]</f>
        <v>25840.350000000002</v>
      </c>
      <c r="R723" s="23">
        <v>1204160.3099999998</v>
      </c>
      <c r="S72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3" s="99">
        <f ca="1">IF(PROVEEDORES[[#This Row],[FECHA DE PAGO]]=0,TODAY()-PROVEEDORES[[#This Row],[FECHA DE FACTURACIÓN]]-PROVEEDORES[[#This Row],[PLAZO Días]],0)</f>
        <v>0</v>
      </c>
      <c r="U723" s="149" t="str">
        <f>+VLOOKUP(PROVEEDORES[[#This Row],[PROVEEDOR]],Terceros!$A:$E,5,FALSE)</f>
        <v>2,5% con base</v>
      </c>
      <c r="V723" s="150">
        <f>+YEAR(PROVEEDORES[[#This Row],[FECHA DE FACTURACIÓN]])</f>
        <v>2021</v>
      </c>
      <c r="W723" s="150">
        <f>+MATCH(PROVEEDORES[[#This Row],[año facturado]],Retenciones!$1:$1,0)</f>
        <v>4</v>
      </c>
      <c r="X723" s="151">
        <f>+VLOOKUP(PROVEEDORES[[#This Row],[ID RETENCION]],Retenciones!$A$1:$O$24,PROVEEDORES[[#This Row],[indicador de columna]],FALSE)</f>
        <v>980000</v>
      </c>
      <c r="Y723" s="152">
        <f>+VLOOKUP(PROVEEDORES[[#This Row],[ID RETENCION]],Retenciones!$A$1:$O$24,2,FALSE)</f>
        <v>2.5000000000000001E-2</v>
      </c>
      <c r="Z723" s="26"/>
      <c r="AA723" s="26"/>
      <c r="AB723" s="26"/>
      <c r="AC723" s="26"/>
      <c r="AD723" s="26"/>
      <c r="AE723" s="26"/>
    </row>
    <row r="724" spans="1:31" ht="21.95" customHeight="1" x14ac:dyDescent="0.25">
      <c r="A724" s="97" t="str">
        <f>+IF(PROVEEDORES[[#This Row],[FECHA DE PAGO]]=PROVEEDORES[[#This Row],[FECHA DE FACTURACIÓN]],"DE CONTADO","CRÉDITO")</f>
        <v>DE CONTADO</v>
      </c>
      <c r="B724" s="41" t="b">
        <f>+IF((PROVEEDORES[[#This Row],[FECHA DE PAGO]]-PROVEEDORES[[#This Row],[FECHA DE FACTURACIÓN]])&gt;PROVEEDORES[[#This Row],[PLAZO Días]],"PAGO VENCIDO")</f>
        <v>0</v>
      </c>
      <c r="C724" s="22">
        <f>+VLOOKUP(PROVEEDORES[[#This Row],[PROVEEDOR]],TERCEROS_INFO[#All],2,FALSE)</f>
        <v>30</v>
      </c>
      <c r="D724" s="27">
        <f>+SUMIFS(PROVEEDORES[Total],PROVEEDORES[PROVEEDOR],PROVEEDORES[[#This Row],[PROVEEDOR]],PROVEEDORES[FECHA DE PAGO],"")</f>
        <v>0</v>
      </c>
      <c r="E724" s="27"/>
      <c r="F724" s="62">
        <f>+VLOOKUP(PROVEEDORES[[#This Row],[PROVEEDOR]],
                       Terceros!$A:$G,
                       6,
                       FALSE)</f>
        <v>0</v>
      </c>
      <c r="G724" s="95">
        <v>44438</v>
      </c>
      <c r="H724" s="28" t="s">
        <v>495</v>
      </c>
      <c r="I724" s="95">
        <v>44438</v>
      </c>
      <c r="J724" s="38" t="s">
        <v>496</v>
      </c>
      <c r="K724" s="23">
        <v>1608000</v>
      </c>
      <c r="L724" s="23"/>
      <c r="M724" s="24">
        <v>305520</v>
      </c>
      <c r="N724" s="25"/>
      <c r="O724" s="24">
        <v>0</v>
      </c>
      <c r="P724" s="136">
        <f>+IF(PROVEEDORES[[#This Row],[SUBTOTAL]]&lt;PROVEEDORES[[#This Row],[base retencion]],0,PROVEEDORES[[#This Row],[retención aplicada]])</f>
        <v>2.5000000000000001E-2</v>
      </c>
      <c r="Q724" s="24">
        <f>+PROVEEDORES[[#This Row],[Rete Fuente %]]*PROVEEDORES[[#This Row],[SUBTOTAL]]</f>
        <v>40200</v>
      </c>
      <c r="R724" s="23">
        <v>1873320</v>
      </c>
      <c r="S72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4" s="99">
        <f ca="1">IF(PROVEEDORES[[#This Row],[FECHA DE PAGO]]=0,TODAY()-PROVEEDORES[[#This Row],[FECHA DE FACTURACIÓN]]-PROVEEDORES[[#This Row],[PLAZO Días]],0)</f>
        <v>0</v>
      </c>
      <c r="U724" s="149" t="str">
        <f>+VLOOKUP(PROVEEDORES[[#This Row],[PROVEEDOR]],Terceros!$A:$E,5,FALSE)</f>
        <v>2,5% con base</v>
      </c>
      <c r="V724" s="150">
        <f>+YEAR(PROVEEDORES[[#This Row],[FECHA DE FACTURACIÓN]])</f>
        <v>2021</v>
      </c>
      <c r="W724" s="150">
        <f>+MATCH(PROVEEDORES[[#This Row],[año facturado]],Retenciones!$1:$1,0)</f>
        <v>4</v>
      </c>
      <c r="X724" s="151">
        <f>+VLOOKUP(PROVEEDORES[[#This Row],[ID RETENCION]],Retenciones!$A$1:$O$24,PROVEEDORES[[#This Row],[indicador de columna]],FALSE)</f>
        <v>980000</v>
      </c>
      <c r="Y724" s="152">
        <f>+VLOOKUP(PROVEEDORES[[#This Row],[ID RETENCION]],Retenciones!$A$1:$O$24,2,FALSE)</f>
        <v>2.5000000000000001E-2</v>
      </c>
      <c r="Z724" s="26"/>
      <c r="AA724" s="26"/>
      <c r="AB724" s="26"/>
      <c r="AC724" s="26"/>
      <c r="AD724" s="26"/>
      <c r="AE724" s="26"/>
    </row>
    <row r="725" spans="1:31" ht="21.95" customHeight="1" x14ac:dyDescent="0.25">
      <c r="A725" s="97" t="str">
        <f>+IF(PROVEEDORES[[#This Row],[FECHA DE PAGO]]=PROVEEDORES[[#This Row],[FECHA DE FACTURACIÓN]],"DE CONTADO","CRÉDITO")</f>
        <v>DE CONTADO</v>
      </c>
      <c r="B725" s="41" t="b">
        <f>+IF((PROVEEDORES[[#This Row],[FECHA DE PAGO]]-PROVEEDORES[[#This Row],[FECHA DE FACTURACIÓN]])&gt;PROVEEDORES[[#This Row],[PLAZO Días]],"PAGO VENCIDO")</f>
        <v>0</v>
      </c>
      <c r="C725" s="22">
        <f>+VLOOKUP(PROVEEDORES[[#This Row],[PROVEEDOR]],TERCEROS_INFO[#All],2,FALSE)</f>
        <v>30</v>
      </c>
      <c r="D725" s="27">
        <f>+SUMIFS(PROVEEDORES[Total],PROVEEDORES[PROVEEDOR],PROVEEDORES[[#This Row],[PROVEEDOR]],PROVEEDORES[FECHA DE PAGO],"")</f>
        <v>0</v>
      </c>
      <c r="E725" s="27"/>
      <c r="F725" s="62" t="str">
        <f>+VLOOKUP(PROVEEDORES[[#This Row],[PROVEEDOR]],
                       Terceros!$A:$G,
                       6,
                       FALSE)</f>
        <v/>
      </c>
      <c r="G725" s="95">
        <v>44438</v>
      </c>
      <c r="H725" s="28" t="s">
        <v>1010</v>
      </c>
      <c r="I725" s="95">
        <v>44438</v>
      </c>
      <c r="J725" s="38" t="s">
        <v>665</v>
      </c>
      <c r="K725" s="23">
        <v>2229109</v>
      </c>
      <c r="L725" s="23"/>
      <c r="M725" s="24">
        <v>0</v>
      </c>
      <c r="N725" s="25"/>
      <c r="O725" s="24">
        <v>0</v>
      </c>
      <c r="P725" s="136">
        <f>+IF(PROVEEDORES[[#This Row],[SUBTOTAL]]&lt;PROVEEDORES[[#This Row],[base retencion]],0,PROVEEDORES[[#This Row],[retención aplicada]])</f>
        <v>0</v>
      </c>
      <c r="Q725" s="24">
        <f>+PROVEEDORES[[#This Row],[Rete Fuente %]]*PROVEEDORES[[#This Row],[SUBTOTAL]]</f>
        <v>0</v>
      </c>
      <c r="R725" s="23">
        <v>2229109</v>
      </c>
      <c r="S72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5" s="99">
        <f ca="1">IF(PROVEEDORES[[#This Row],[FECHA DE PAGO]]=0,TODAY()-PROVEEDORES[[#This Row],[FECHA DE FACTURACIÓN]]-PROVEEDORES[[#This Row],[PLAZO Días]],0)</f>
        <v>0</v>
      </c>
      <c r="U725" s="149">
        <f>+VLOOKUP(PROVEEDORES[[#This Row],[PROVEEDOR]],Terceros!$A:$E,5,FALSE)</f>
        <v>0</v>
      </c>
      <c r="V725" s="150">
        <f>+YEAR(PROVEEDORES[[#This Row],[FECHA DE FACTURACIÓN]])</f>
        <v>2021</v>
      </c>
      <c r="W725" s="150">
        <f>+MATCH(PROVEEDORES[[#This Row],[año facturado]],Retenciones!$1:$1,0)</f>
        <v>4</v>
      </c>
      <c r="X725" s="151">
        <f>+VLOOKUP(PROVEEDORES[[#This Row],[ID RETENCION]],Retenciones!$A$1:$O$24,PROVEEDORES[[#This Row],[indicador de columna]],FALSE)</f>
        <v>0</v>
      </c>
      <c r="Y725" s="152">
        <f>+VLOOKUP(PROVEEDORES[[#This Row],[ID RETENCION]],Retenciones!$A$1:$O$24,2,FALSE)</f>
        <v>0</v>
      </c>
      <c r="Z725" s="26"/>
      <c r="AA725" s="26"/>
      <c r="AB725" s="26"/>
      <c r="AC725" s="26"/>
      <c r="AD725" s="26"/>
      <c r="AE725" s="26"/>
    </row>
    <row r="726" spans="1:31" ht="21.95" customHeight="1" x14ac:dyDescent="0.25">
      <c r="A726" s="97" t="str">
        <f>+IF(PROVEEDORES[[#This Row],[FECHA DE PAGO]]=PROVEEDORES[[#This Row],[FECHA DE FACTURACIÓN]],"DE CONTADO","CRÉDITO")</f>
        <v>DE CONTADO</v>
      </c>
      <c r="B726" s="41" t="b">
        <f>+IF((PROVEEDORES[[#This Row],[FECHA DE PAGO]]-PROVEEDORES[[#This Row],[FECHA DE FACTURACIÓN]])&gt;PROVEEDORES[[#This Row],[PLAZO Días]],"PAGO VENCIDO")</f>
        <v>0</v>
      </c>
      <c r="C726" s="22">
        <f>+VLOOKUP(PROVEEDORES[[#This Row],[PROVEEDOR]],TERCEROS_INFO[#All],2,FALSE)</f>
        <v>10</v>
      </c>
      <c r="D726" s="27">
        <f>+SUMIFS(PROVEEDORES[Total],PROVEEDORES[PROVEEDOR],PROVEEDORES[[#This Row],[PROVEEDOR]],PROVEEDORES[FECHA DE PAGO],"")</f>
        <v>0</v>
      </c>
      <c r="E726" s="27"/>
      <c r="F726" s="62" t="str">
        <f>+VLOOKUP(PROVEEDORES[[#This Row],[PROVEEDOR]],
                       Terceros!$A:$G,
                       6,
                       FALSE)</f>
        <v/>
      </c>
      <c r="G726" s="95">
        <v>44438</v>
      </c>
      <c r="H726" s="28" t="s">
        <v>23</v>
      </c>
      <c r="I726" s="95">
        <v>44438</v>
      </c>
      <c r="J726" s="38">
        <v>284796</v>
      </c>
      <c r="K726" s="23">
        <v>2399826</v>
      </c>
      <c r="L726" s="23"/>
      <c r="M726" s="24">
        <v>0</v>
      </c>
      <c r="N726" s="25"/>
      <c r="O726" s="24">
        <v>0</v>
      </c>
      <c r="P726" s="136">
        <f>+IF(PROVEEDORES[[#This Row],[SUBTOTAL]]&lt;PROVEEDORES[[#This Row],[base retencion]],0,PROVEEDORES[[#This Row],[retención aplicada]])</f>
        <v>0</v>
      </c>
      <c r="Q726" s="24">
        <f>+PROVEEDORES[[#This Row],[Rete Fuente %]]*PROVEEDORES[[#This Row],[SUBTOTAL]]</f>
        <v>0</v>
      </c>
      <c r="R726" s="23">
        <v>2399826</v>
      </c>
      <c r="S72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6" s="99">
        <f ca="1">IF(PROVEEDORES[[#This Row],[FECHA DE PAGO]]=0,TODAY()-PROVEEDORES[[#This Row],[FECHA DE FACTURACIÓN]]-PROVEEDORES[[#This Row],[PLAZO Días]],0)</f>
        <v>0</v>
      </c>
      <c r="U726" s="149">
        <f>+VLOOKUP(PROVEEDORES[[#This Row],[PROVEEDOR]],Terceros!$A:$E,5,FALSE)</f>
        <v>0</v>
      </c>
      <c r="V726" s="150">
        <f>+YEAR(PROVEEDORES[[#This Row],[FECHA DE FACTURACIÓN]])</f>
        <v>2021</v>
      </c>
      <c r="W726" s="150">
        <f>+MATCH(PROVEEDORES[[#This Row],[año facturado]],Retenciones!$1:$1,0)</f>
        <v>4</v>
      </c>
      <c r="X726" s="151">
        <f>+VLOOKUP(PROVEEDORES[[#This Row],[ID RETENCION]],Retenciones!$A$1:$O$24,PROVEEDORES[[#This Row],[indicador de columna]],FALSE)</f>
        <v>0</v>
      </c>
      <c r="Y726" s="152">
        <f>+VLOOKUP(PROVEEDORES[[#This Row],[ID RETENCION]],Retenciones!$A$1:$O$24,2,FALSE)</f>
        <v>0</v>
      </c>
      <c r="Z726" s="26"/>
      <c r="AA726" s="26"/>
      <c r="AB726" s="26"/>
      <c r="AC726" s="26"/>
      <c r="AD726" s="26"/>
      <c r="AE726" s="26"/>
    </row>
    <row r="727" spans="1:31" ht="21.95" customHeight="1" x14ac:dyDescent="0.25">
      <c r="A727" s="97" t="str">
        <f>+IF(PROVEEDORES[[#This Row],[FECHA DE PAGO]]=PROVEEDORES[[#This Row],[FECHA DE FACTURACIÓN]],"DE CONTADO","CRÉDITO")</f>
        <v>CRÉDITO</v>
      </c>
      <c r="B727" s="41" t="b">
        <f>+IF((PROVEEDORES[[#This Row],[FECHA DE PAGO]]-PROVEEDORES[[#This Row],[FECHA DE FACTURACIÓN]])&gt;PROVEEDORES[[#This Row],[PLAZO Días]],"PAGO VENCIDO")</f>
        <v>0</v>
      </c>
      <c r="C727" s="22">
        <f>+VLOOKUP(PROVEEDORES[[#This Row],[PROVEEDOR]],TERCEROS_INFO[#All],2,FALSE)</f>
        <v>45</v>
      </c>
      <c r="D727" s="27">
        <f>+SUMIFS(PROVEEDORES[Total],PROVEEDORES[PROVEEDOR],PROVEEDORES[[#This Row],[PROVEEDOR]],PROVEEDORES[FECHA DE PAGO],"")</f>
        <v>37184068.039999999</v>
      </c>
      <c r="E727" s="27"/>
      <c r="F727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727" s="95">
        <v>44476</v>
      </c>
      <c r="H727" s="28" t="s">
        <v>19</v>
      </c>
      <c r="I727" s="95">
        <v>44438</v>
      </c>
      <c r="J727" s="38" t="s">
        <v>503</v>
      </c>
      <c r="K727" s="23">
        <v>4283520</v>
      </c>
      <c r="L727" s="23"/>
      <c r="M727" s="24">
        <v>813868.8</v>
      </c>
      <c r="N727" s="25"/>
      <c r="O727" s="24">
        <v>0</v>
      </c>
      <c r="P727" s="136">
        <f>+IF(PROVEEDORES[[#This Row],[SUBTOTAL]]&lt;PROVEEDORES[[#This Row],[base retencion]],0,PROVEEDORES[[#This Row],[retención aplicada]])</f>
        <v>0</v>
      </c>
      <c r="Q727" s="24">
        <f>+PROVEEDORES[[#This Row],[Rete Fuente %]]*PROVEEDORES[[#This Row],[SUBTOTAL]]</f>
        <v>0</v>
      </c>
      <c r="R727" s="23">
        <v>5097388.8</v>
      </c>
      <c r="S72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7" s="99">
        <f ca="1">IF(PROVEEDORES[[#This Row],[FECHA DE PAGO]]=0,TODAY()-PROVEEDORES[[#This Row],[FECHA DE FACTURACIÓN]]-PROVEEDORES[[#This Row],[PLAZO Días]],0)</f>
        <v>0</v>
      </c>
      <c r="U727" s="149">
        <f>+VLOOKUP(PROVEEDORES[[#This Row],[PROVEEDOR]],Terceros!$A:$E,5,FALSE)</f>
        <v>0</v>
      </c>
      <c r="V727" s="150">
        <f>+YEAR(PROVEEDORES[[#This Row],[FECHA DE FACTURACIÓN]])</f>
        <v>2021</v>
      </c>
      <c r="W727" s="150">
        <f>+MATCH(PROVEEDORES[[#This Row],[año facturado]],Retenciones!$1:$1,0)</f>
        <v>4</v>
      </c>
      <c r="X727" s="151">
        <f>+VLOOKUP(PROVEEDORES[[#This Row],[ID RETENCION]],Retenciones!$A$1:$O$24,PROVEEDORES[[#This Row],[indicador de columna]],FALSE)</f>
        <v>0</v>
      </c>
      <c r="Y727" s="152">
        <f>+VLOOKUP(PROVEEDORES[[#This Row],[ID RETENCION]],Retenciones!$A$1:$O$24,2,FALSE)</f>
        <v>0</v>
      </c>
      <c r="Z727" s="26"/>
      <c r="AA727" s="26"/>
      <c r="AB727" s="26"/>
      <c r="AC727" s="26"/>
      <c r="AD727" s="26"/>
      <c r="AE727" s="26"/>
    </row>
    <row r="728" spans="1:31" ht="21.95" customHeight="1" x14ac:dyDescent="0.25">
      <c r="A728" s="97" t="str">
        <f>+IF(PROVEEDORES[[#This Row],[FECHA DE PAGO]]=PROVEEDORES[[#This Row],[FECHA DE FACTURACIÓN]],"DE CONTADO","CRÉDITO")</f>
        <v>CRÉDITO</v>
      </c>
      <c r="B728" s="41" t="b">
        <f>+IF((PROVEEDORES[[#This Row],[FECHA DE PAGO]]-PROVEEDORES[[#This Row],[FECHA DE FACTURACIÓN]])&gt;PROVEEDORES[[#This Row],[PLAZO Días]],"PAGO VENCIDO")</f>
        <v>0</v>
      </c>
      <c r="C728" s="22">
        <f>+VLOOKUP(PROVEEDORES[[#This Row],[PROVEEDOR]],TERCEROS_INFO[#All],2,FALSE)</f>
        <v>90</v>
      </c>
      <c r="D728" s="27">
        <f>+SUMIFS(PROVEEDORES[Total],PROVEEDORES[PROVEEDOR],PROVEEDORES[[#This Row],[PROVEEDOR]],PROVEEDORES[FECHA DE PAGO],"")</f>
        <v>0</v>
      </c>
      <c r="E728" s="27"/>
      <c r="F728" s="62" t="str">
        <f>+VLOOKUP(PROVEEDORES[[#This Row],[PROVEEDOR]],
                       Terceros!$A:$G,
                       6,
                       FALSE)</f>
        <v/>
      </c>
      <c r="G728" s="95">
        <v>44516</v>
      </c>
      <c r="H728" s="28" t="s">
        <v>1018</v>
      </c>
      <c r="I728" s="95">
        <v>44439</v>
      </c>
      <c r="J728" s="38" t="s">
        <v>804</v>
      </c>
      <c r="K728" s="23">
        <v>605000</v>
      </c>
      <c r="L728" s="23"/>
      <c r="M728" s="24">
        <v>0</v>
      </c>
      <c r="N728" s="25"/>
      <c r="O728" s="24">
        <v>0</v>
      </c>
      <c r="P728" s="136">
        <f>+IF(PROVEEDORES[[#This Row],[SUBTOTAL]]&lt;PROVEEDORES[[#This Row],[base retencion]],0,PROVEEDORES[[#This Row],[retención aplicada]])</f>
        <v>0</v>
      </c>
      <c r="Q728" s="24">
        <f>+PROVEEDORES[[#This Row],[Rete Fuente %]]*PROVEEDORES[[#This Row],[SUBTOTAL]]</f>
        <v>0</v>
      </c>
      <c r="R728" s="23">
        <v>605000</v>
      </c>
      <c r="S72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8" s="99">
        <f ca="1">IF(PROVEEDORES[[#This Row],[FECHA DE PAGO]]=0,TODAY()-PROVEEDORES[[#This Row],[FECHA DE FACTURACIÓN]]-PROVEEDORES[[#This Row],[PLAZO Días]],0)</f>
        <v>0</v>
      </c>
      <c r="U728" s="149">
        <f>+VLOOKUP(PROVEEDORES[[#This Row],[PROVEEDOR]],Terceros!$A:$E,5,FALSE)</f>
        <v>0</v>
      </c>
      <c r="V728" s="150">
        <f>+YEAR(PROVEEDORES[[#This Row],[FECHA DE FACTURACIÓN]])</f>
        <v>2021</v>
      </c>
      <c r="W728" s="150">
        <f>+MATCH(PROVEEDORES[[#This Row],[año facturado]],Retenciones!$1:$1,0)</f>
        <v>4</v>
      </c>
      <c r="X728" s="151">
        <f>+VLOOKUP(PROVEEDORES[[#This Row],[ID RETENCION]],Retenciones!$A$1:$O$24,PROVEEDORES[[#This Row],[indicador de columna]],FALSE)</f>
        <v>0</v>
      </c>
      <c r="Y728" s="152">
        <f>+VLOOKUP(PROVEEDORES[[#This Row],[ID RETENCION]],Retenciones!$A$1:$O$24,2,FALSE)</f>
        <v>0</v>
      </c>
      <c r="Z728" s="26"/>
      <c r="AA728" s="26"/>
      <c r="AB728" s="26"/>
      <c r="AC728" s="26"/>
      <c r="AD728" s="26"/>
      <c r="AE728" s="26"/>
    </row>
    <row r="729" spans="1:31" ht="21.95" customHeight="1" x14ac:dyDescent="0.25">
      <c r="A729" s="97" t="str">
        <f>+IF(PROVEEDORES[[#This Row],[FECHA DE PAGO]]=PROVEEDORES[[#This Row],[FECHA DE FACTURACIÓN]],"DE CONTADO","CRÉDITO")</f>
        <v>CRÉDITO</v>
      </c>
      <c r="B729" s="41" t="str">
        <f>+IF((PROVEEDORES[[#This Row],[FECHA DE PAGO]]-PROVEEDORES[[#This Row],[FECHA DE FACTURACIÓN]])&gt;PROVEEDORES[[#This Row],[PLAZO Días]],"PAGO VENCIDO")</f>
        <v>PAGO VENCIDO</v>
      </c>
      <c r="C729" s="22">
        <f>+VLOOKUP(PROVEEDORES[[#This Row],[PROVEEDOR]],TERCEROS_INFO[#All],2,FALSE)</f>
        <v>30</v>
      </c>
      <c r="D729" s="27">
        <f>+SUMIFS(PROVEEDORES[Total],PROVEEDORES[PROVEEDOR],PROVEEDORES[[#This Row],[PROVEEDOR]],PROVEEDORES[FECHA DE PAGO],"")</f>
        <v>1741040.075</v>
      </c>
      <c r="E729" s="27"/>
      <c r="F729" s="62" t="str">
        <f>+VLOOKUP(PROVEEDORES[[#This Row],[PROVEEDOR]],
                       Terceros!$A:$G,
                       6,
                       FALSE)</f>
        <v>sfonnegra@nanicastation.com.co;facturas@nanicastation.com.co;girlesa.ruiz@servipilas.com;joriescobar64@gmail.com</v>
      </c>
      <c r="G729" s="95">
        <v>44498</v>
      </c>
      <c r="H729" s="28" t="s">
        <v>567</v>
      </c>
      <c r="I729" s="95">
        <v>44439</v>
      </c>
      <c r="J729" s="38" t="s">
        <v>516</v>
      </c>
      <c r="K729" s="23">
        <v>854457</v>
      </c>
      <c r="L729" s="23"/>
      <c r="M729" s="24">
        <v>162346.83000000002</v>
      </c>
      <c r="N729" s="25"/>
      <c r="O729" s="24">
        <v>0</v>
      </c>
      <c r="P729" s="136">
        <f>+IF(PROVEEDORES[[#This Row],[SUBTOTAL]]&lt;PROVEEDORES[[#This Row],[base retencion]],0,PROVEEDORES[[#This Row],[retención aplicada]])</f>
        <v>0</v>
      </c>
      <c r="Q729" s="24">
        <f>+PROVEEDORES[[#This Row],[Rete Fuente %]]*PROVEEDORES[[#This Row],[SUBTOTAL]]</f>
        <v>0</v>
      </c>
      <c r="R729" s="23">
        <v>1016803.8300000001</v>
      </c>
      <c r="S72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9" s="99">
        <f ca="1">IF(PROVEEDORES[[#This Row],[FECHA DE PAGO]]=0,TODAY()-PROVEEDORES[[#This Row],[FECHA DE FACTURACIÓN]]-PROVEEDORES[[#This Row],[PLAZO Días]],0)</f>
        <v>0</v>
      </c>
      <c r="U729" s="149" t="str">
        <f>+VLOOKUP(PROVEEDORES[[#This Row],[PROVEEDOR]],Terceros!$A:$E,5,FALSE)</f>
        <v>2,5% con base</v>
      </c>
      <c r="V729" s="150">
        <f>+YEAR(PROVEEDORES[[#This Row],[FECHA DE FACTURACIÓN]])</f>
        <v>2021</v>
      </c>
      <c r="W729" s="150">
        <f>+MATCH(PROVEEDORES[[#This Row],[año facturado]],Retenciones!$1:$1,0)</f>
        <v>4</v>
      </c>
      <c r="X729" s="151">
        <f>+VLOOKUP(PROVEEDORES[[#This Row],[ID RETENCION]],Retenciones!$A$1:$O$24,PROVEEDORES[[#This Row],[indicador de columna]],FALSE)</f>
        <v>980000</v>
      </c>
      <c r="Y729" s="152">
        <f>+VLOOKUP(PROVEEDORES[[#This Row],[ID RETENCION]],Retenciones!$A$1:$O$24,2,FALSE)</f>
        <v>2.5000000000000001E-2</v>
      </c>
      <c r="Z729" s="26"/>
      <c r="AA729" s="26"/>
      <c r="AB729" s="26"/>
      <c r="AC729" s="26"/>
      <c r="AD729" s="26"/>
      <c r="AE729" s="26"/>
    </row>
    <row r="730" spans="1:31" ht="21.95" customHeight="1" x14ac:dyDescent="0.25">
      <c r="A730" s="97" t="str">
        <f>+IF(PROVEEDORES[[#This Row],[FECHA DE PAGO]]=PROVEEDORES[[#This Row],[FECHA DE FACTURACIÓN]],"DE CONTADO","CRÉDITO")</f>
        <v>CRÉDITO</v>
      </c>
      <c r="B730" s="41" t="str">
        <f>+IF((PROVEEDORES[[#This Row],[FECHA DE PAGO]]-PROVEEDORES[[#This Row],[FECHA DE FACTURACIÓN]])&gt;PROVEEDORES[[#This Row],[PLAZO Días]],"PAGO VENCIDO")</f>
        <v>PAGO VENCIDO</v>
      </c>
      <c r="C730" s="22">
        <f>+VLOOKUP(PROVEEDORES[[#This Row],[PROVEEDOR]],TERCEROS_INFO[#All],2,FALSE)</f>
        <v>30</v>
      </c>
      <c r="D730" s="27">
        <f>+SUMIFS(PROVEEDORES[Total],PROVEEDORES[PROVEEDOR],PROVEEDORES[[#This Row],[PROVEEDOR]],PROVEEDORES[FECHA DE PAGO],"")</f>
        <v>3844432.4999000002</v>
      </c>
      <c r="E730" s="27"/>
      <c r="F730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730" s="95">
        <v>44488</v>
      </c>
      <c r="H730" s="28" t="s">
        <v>18</v>
      </c>
      <c r="I730" s="95">
        <v>44439</v>
      </c>
      <c r="J730" s="38">
        <v>1042459</v>
      </c>
      <c r="K730" s="23">
        <v>3346303.2</v>
      </c>
      <c r="L730" s="23"/>
      <c r="M730" s="24">
        <v>635797.60800000001</v>
      </c>
      <c r="N730" s="25"/>
      <c r="O730" s="24">
        <v>0</v>
      </c>
      <c r="P730" s="136">
        <f>+IF(PROVEEDORES[[#This Row],[SUBTOTAL]]&lt;PROVEEDORES[[#This Row],[base retencion]],0,PROVEEDORES[[#This Row],[retención aplicada]])</f>
        <v>2.5000000000000001E-2</v>
      </c>
      <c r="Q730" s="24">
        <f>+PROVEEDORES[[#This Row],[Rete Fuente %]]*PROVEEDORES[[#This Row],[SUBTOTAL]]</f>
        <v>83657.580000000016</v>
      </c>
      <c r="R730" s="23">
        <v>3898443.2280000001</v>
      </c>
      <c r="S73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0" s="99">
        <f ca="1">IF(PROVEEDORES[[#This Row],[FECHA DE PAGO]]=0,TODAY()-PROVEEDORES[[#This Row],[FECHA DE FACTURACIÓN]]-PROVEEDORES[[#This Row],[PLAZO Días]],0)</f>
        <v>0</v>
      </c>
      <c r="U730" s="149" t="str">
        <f>+VLOOKUP(PROVEEDORES[[#This Row],[PROVEEDOR]],Terceros!$A:$E,5,FALSE)</f>
        <v>2,5% con base</v>
      </c>
      <c r="V730" s="150">
        <f>+YEAR(PROVEEDORES[[#This Row],[FECHA DE FACTURACIÓN]])</f>
        <v>2021</v>
      </c>
      <c r="W730" s="150">
        <f>+MATCH(PROVEEDORES[[#This Row],[año facturado]],Retenciones!$1:$1,0)</f>
        <v>4</v>
      </c>
      <c r="X730" s="151">
        <f>+VLOOKUP(PROVEEDORES[[#This Row],[ID RETENCION]],Retenciones!$A$1:$O$24,PROVEEDORES[[#This Row],[indicador de columna]],FALSE)</f>
        <v>980000</v>
      </c>
      <c r="Y730" s="152">
        <f>+VLOOKUP(PROVEEDORES[[#This Row],[ID RETENCION]],Retenciones!$A$1:$O$24,2,FALSE)</f>
        <v>2.5000000000000001E-2</v>
      </c>
      <c r="Z730" s="26"/>
      <c r="AA730" s="26"/>
      <c r="AB730" s="26"/>
      <c r="AC730" s="26"/>
      <c r="AD730" s="26"/>
      <c r="AE730" s="26"/>
    </row>
    <row r="731" spans="1:31" ht="21.95" customHeight="1" x14ac:dyDescent="0.25">
      <c r="A731" s="97" t="str">
        <f>+IF(PROVEEDORES[[#This Row],[FECHA DE PAGO]]=PROVEEDORES[[#This Row],[FECHA DE FACTURACIÓN]],"DE CONTADO","CRÉDITO")</f>
        <v>DE CONTADO</v>
      </c>
      <c r="B731" s="41" t="b">
        <f>+IF((PROVEEDORES[[#This Row],[FECHA DE PAGO]]-PROVEEDORES[[#This Row],[FECHA DE FACTURACIÓN]])&gt;PROVEEDORES[[#This Row],[PLAZO Días]],"PAGO VENCIDO")</f>
        <v>0</v>
      </c>
      <c r="C731" s="22">
        <f>+VLOOKUP(PROVEEDORES[[#This Row],[PROVEEDOR]],TERCEROS_INFO[#All],2,FALSE)</f>
        <v>30</v>
      </c>
      <c r="D731" s="27">
        <f>+SUMIFS(PROVEEDORES[Total],PROVEEDORES[PROVEEDOR],PROVEEDORES[[#This Row],[PROVEEDOR]],PROVEEDORES[FECHA DE PAGO],"")</f>
        <v>0</v>
      </c>
      <c r="E731" s="27"/>
      <c r="F731" s="62" t="str">
        <f>+VLOOKUP(PROVEEDORES[[#This Row],[PROVEEDOR]],
                       Terceros!$A:$G,
                       6,
                       FALSE)</f>
        <v/>
      </c>
      <c r="G731" s="95">
        <v>44440</v>
      </c>
      <c r="H731" s="28" t="s">
        <v>1010</v>
      </c>
      <c r="I731" s="95">
        <v>44440</v>
      </c>
      <c r="J731" s="38" t="s">
        <v>805</v>
      </c>
      <c r="K731" s="23">
        <v>50000</v>
      </c>
      <c r="L731" s="23"/>
      <c r="M731" s="24">
        <v>0</v>
      </c>
      <c r="N731" s="25"/>
      <c r="O731" s="24">
        <v>0</v>
      </c>
      <c r="P731" s="136">
        <f>+IF(PROVEEDORES[[#This Row],[SUBTOTAL]]&lt;PROVEEDORES[[#This Row],[base retencion]],0,PROVEEDORES[[#This Row],[retención aplicada]])</f>
        <v>0</v>
      </c>
      <c r="Q731" s="24">
        <f>+PROVEEDORES[[#This Row],[Rete Fuente %]]*PROVEEDORES[[#This Row],[SUBTOTAL]]</f>
        <v>0</v>
      </c>
      <c r="R731" s="23">
        <v>50000</v>
      </c>
      <c r="S73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1" s="99">
        <f ca="1">IF(PROVEEDORES[[#This Row],[FECHA DE PAGO]]=0,TODAY()-PROVEEDORES[[#This Row],[FECHA DE FACTURACIÓN]]-PROVEEDORES[[#This Row],[PLAZO Días]],0)</f>
        <v>0</v>
      </c>
      <c r="U731" s="149">
        <f>+VLOOKUP(PROVEEDORES[[#This Row],[PROVEEDOR]],Terceros!$A:$E,5,FALSE)</f>
        <v>0</v>
      </c>
      <c r="V731" s="150">
        <f>+YEAR(PROVEEDORES[[#This Row],[FECHA DE FACTURACIÓN]])</f>
        <v>2021</v>
      </c>
      <c r="W731" s="150">
        <f>+MATCH(PROVEEDORES[[#This Row],[año facturado]],Retenciones!$1:$1,0)</f>
        <v>4</v>
      </c>
      <c r="X731" s="151">
        <f>+VLOOKUP(PROVEEDORES[[#This Row],[ID RETENCION]],Retenciones!$A$1:$O$24,PROVEEDORES[[#This Row],[indicador de columna]],FALSE)</f>
        <v>0</v>
      </c>
      <c r="Y731" s="152">
        <f>+VLOOKUP(PROVEEDORES[[#This Row],[ID RETENCION]],Retenciones!$A$1:$O$24,2,FALSE)</f>
        <v>0</v>
      </c>
      <c r="Z731" s="26"/>
      <c r="AA731" s="26"/>
      <c r="AB731" s="26"/>
      <c r="AC731" s="26"/>
      <c r="AD731" s="26"/>
      <c r="AE731" s="26"/>
    </row>
    <row r="732" spans="1:31" ht="21.95" customHeight="1" x14ac:dyDescent="0.25">
      <c r="A732" s="97" t="str">
        <f>+IF(PROVEEDORES[[#This Row],[FECHA DE PAGO]]=PROVEEDORES[[#This Row],[FECHA DE FACTURACIÓN]],"DE CONTADO","CRÉDITO")</f>
        <v>CRÉDITO</v>
      </c>
      <c r="B732" s="41" t="b">
        <f>+IF((PROVEEDORES[[#This Row],[FECHA DE PAGO]]-PROVEEDORES[[#This Row],[FECHA DE FACTURACIÓN]])&gt;PROVEEDORES[[#This Row],[PLAZO Días]],"PAGO VENCIDO")</f>
        <v>0</v>
      </c>
      <c r="C732" s="22">
        <f>+VLOOKUP(PROVEEDORES[[#This Row],[PROVEEDOR]],TERCEROS_INFO[#All],2,FALSE)</f>
        <v>30</v>
      </c>
      <c r="D732" s="27">
        <f>+SUMIFS(PROVEEDORES[Total],PROVEEDORES[PROVEEDOR],PROVEEDORES[[#This Row],[PROVEEDOR]],PROVEEDORES[FECHA DE PAGO],"")</f>
        <v>0</v>
      </c>
      <c r="E732" s="27"/>
      <c r="F732" s="62">
        <f>+VLOOKUP(PROVEEDORES[[#This Row],[PROVEEDOR]],
                       Terceros!$A:$G,
                       6,
                       FALSE)</f>
        <v>0</v>
      </c>
      <c r="G732" s="95">
        <v>44453</v>
      </c>
      <c r="H732" s="28" t="s">
        <v>1041</v>
      </c>
      <c r="I732" s="95">
        <v>44440</v>
      </c>
      <c r="J732" s="38" t="s">
        <v>807</v>
      </c>
      <c r="K732" s="23">
        <v>77875.25</v>
      </c>
      <c r="L732" s="23"/>
      <c r="M732" s="24">
        <v>0</v>
      </c>
      <c r="N732" s="25"/>
      <c r="O732" s="24">
        <v>0</v>
      </c>
      <c r="P732" s="136">
        <f>+IF(PROVEEDORES[[#This Row],[SUBTOTAL]]&lt;PROVEEDORES[[#This Row],[base retencion]],0,PROVEEDORES[[#This Row],[retención aplicada]])</f>
        <v>0</v>
      </c>
      <c r="Q732" s="24">
        <f>+PROVEEDORES[[#This Row],[Rete Fuente %]]*PROVEEDORES[[#This Row],[SUBTOTAL]]</f>
        <v>0</v>
      </c>
      <c r="R732" s="23">
        <v>77875.25</v>
      </c>
      <c r="S73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2" s="99">
        <f ca="1">IF(PROVEEDORES[[#This Row],[FECHA DE PAGO]]=0,TODAY()-PROVEEDORES[[#This Row],[FECHA DE FACTURACIÓN]]-PROVEEDORES[[#This Row],[PLAZO Días]],0)</f>
        <v>0</v>
      </c>
      <c r="U732" s="149">
        <f>+VLOOKUP(PROVEEDORES[[#This Row],[PROVEEDOR]],Terceros!$A:$E,5,FALSE)</f>
        <v>0</v>
      </c>
      <c r="V732" s="150">
        <f>+YEAR(PROVEEDORES[[#This Row],[FECHA DE FACTURACIÓN]])</f>
        <v>2021</v>
      </c>
      <c r="W732" s="150">
        <f>+MATCH(PROVEEDORES[[#This Row],[año facturado]],Retenciones!$1:$1,0)</f>
        <v>4</v>
      </c>
      <c r="X732" s="151">
        <f>+VLOOKUP(PROVEEDORES[[#This Row],[ID RETENCION]],Retenciones!$A$1:$O$24,PROVEEDORES[[#This Row],[indicador de columna]],FALSE)</f>
        <v>0</v>
      </c>
      <c r="Y732" s="152">
        <f>+VLOOKUP(PROVEEDORES[[#This Row],[ID RETENCION]],Retenciones!$A$1:$O$24,2,FALSE)</f>
        <v>0</v>
      </c>
      <c r="Z732" s="26"/>
      <c r="AA732" s="26"/>
      <c r="AB732" s="26"/>
      <c r="AC732" s="26"/>
      <c r="AD732" s="26"/>
      <c r="AE732" s="26"/>
    </row>
    <row r="733" spans="1:31" ht="21.95" customHeight="1" x14ac:dyDescent="0.25">
      <c r="A733" s="97" t="str">
        <f>+IF(PROVEEDORES[[#This Row],[FECHA DE PAGO]]=PROVEEDORES[[#This Row],[FECHA DE FACTURACIÓN]],"DE CONTADO","CRÉDITO")</f>
        <v>CRÉDITO</v>
      </c>
      <c r="B733" s="41" t="str">
        <f>+IF((PROVEEDORES[[#This Row],[FECHA DE PAGO]]-PROVEEDORES[[#This Row],[FECHA DE FACTURACIÓN]])&gt;PROVEEDORES[[#This Row],[PLAZO Días]],"PAGO VENCIDO")</f>
        <v>PAGO VENCIDO</v>
      </c>
      <c r="C733" s="22">
        <f>+VLOOKUP(PROVEEDORES[[#This Row],[PROVEEDOR]],TERCEROS_INFO[#All],2,FALSE)</f>
        <v>30</v>
      </c>
      <c r="D733" s="27">
        <f>+SUMIFS(PROVEEDORES[Total],PROVEEDORES[PROVEEDOR],PROVEEDORES[[#This Row],[PROVEEDOR]],PROVEEDORES[FECHA DE PAGO],"")</f>
        <v>4862586.33</v>
      </c>
      <c r="E733" s="27"/>
      <c r="F733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733" s="95">
        <v>44461</v>
      </c>
      <c r="H733" s="28" t="s">
        <v>345</v>
      </c>
      <c r="I733" s="95">
        <v>44317</v>
      </c>
      <c r="J733" s="38" t="s">
        <v>321</v>
      </c>
      <c r="K733" s="23">
        <v>3061166</v>
      </c>
      <c r="L733" s="23"/>
      <c r="M733" s="24">
        <v>581621.54</v>
      </c>
      <c r="N733" s="25"/>
      <c r="O733" s="24">
        <v>0</v>
      </c>
      <c r="P733" s="136">
        <f>+IF(PROVEEDORES[[#This Row],[SUBTOTAL]]&lt;PROVEEDORES[[#This Row],[base retencion]],0,PROVEEDORES[[#This Row],[retención aplicada]])</f>
        <v>0</v>
      </c>
      <c r="Q733" s="24">
        <f>+PROVEEDORES[[#This Row],[Rete Fuente %]]*PROVEEDORES[[#This Row],[SUBTOTAL]]</f>
        <v>0</v>
      </c>
      <c r="R733" s="23">
        <v>3642787.54</v>
      </c>
      <c r="S73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3" s="99">
        <f ca="1">IF(PROVEEDORES[[#This Row],[FECHA DE PAGO]]=0,TODAY()-PROVEEDORES[[#This Row],[FECHA DE FACTURACIÓN]]-PROVEEDORES[[#This Row],[PLAZO Días]],0)</f>
        <v>0</v>
      </c>
      <c r="U733" s="149">
        <f>+VLOOKUP(PROVEEDORES[[#This Row],[PROVEEDOR]],Terceros!$A:$E,5,FALSE)</f>
        <v>0</v>
      </c>
      <c r="V733" s="150">
        <f>+YEAR(PROVEEDORES[[#This Row],[FECHA DE FACTURACIÓN]])</f>
        <v>2021</v>
      </c>
      <c r="W733" s="150">
        <f>+MATCH(PROVEEDORES[[#This Row],[año facturado]],Retenciones!$1:$1,0)</f>
        <v>4</v>
      </c>
      <c r="X733" s="151">
        <f>+VLOOKUP(PROVEEDORES[[#This Row],[ID RETENCION]],Retenciones!$A$1:$O$24,PROVEEDORES[[#This Row],[indicador de columna]],FALSE)</f>
        <v>0</v>
      </c>
      <c r="Y733" s="152">
        <f>+VLOOKUP(PROVEEDORES[[#This Row],[ID RETENCION]],Retenciones!$A$1:$O$24,2,FALSE)</f>
        <v>0</v>
      </c>
      <c r="Z733" s="26"/>
      <c r="AA733" s="26"/>
      <c r="AB733" s="26"/>
      <c r="AC733" s="26"/>
      <c r="AD733" s="26"/>
      <c r="AE733" s="26"/>
    </row>
    <row r="734" spans="1:31" ht="21.95" customHeight="1" x14ac:dyDescent="0.25">
      <c r="A734" s="97" t="str">
        <f>+IF(PROVEEDORES[[#This Row],[FECHA DE PAGO]]=PROVEEDORES[[#This Row],[FECHA DE FACTURACIÓN]],"DE CONTADO","CRÉDITO")</f>
        <v>CRÉDITO</v>
      </c>
      <c r="B734" s="41" t="b">
        <f>+IF((PROVEEDORES[[#This Row],[FECHA DE PAGO]]-PROVEEDORES[[#This Row],[FECHA DE FACTURACIÓN]])&gt;PROVEEDORES[[#This Row],[PLAZO Días]],"PAGO VENCIDO")</f>
        <v>0</v>
      </c>
      <c r="C734" s="22">
        <f>+VLOOKUP(PROVEEDORES[[#This Row],[PROVEEDOR]],TERCEROS_INFO[#All],2,FALSE)</f>
        <v>30</v>
      </c>
      <c r="D734" s="27">
        <f>+SUMIFS(PROVEEDORES[Total],PROVEEDORES[PROVEEDOR],PROVEEDORES[[#This Row],[PROVEEDOR]],PROVEEDORES[FECHA DE PAGO],"")</f>
        <v>248736.18000000002</v>
      </c>
      <c r="E734" s="27"/>
      <c r="F734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G734" s="95">
        <v>44461</v>
      </c>
      <c r="H734" s="28" t="s">
        <v>343</v>
      </c>
      <c r="I734" s="95">
        <v>44440</v>
      </c>
      <c r="J734" s="38" t="s">
        <v>506</v>
      </c>
      <c r="K734" s="23">
        <v>203897</v>
      </c>
      <c r="L734" s="23"/>
      <c r="M734" s="24">
        <v>38740.43</v>
      </c>
      <c r="N734" s="25"/>
      <c r="O734" s="24">
        <v>0</v>
      </c>
      <c r="P734" s="136">
        <f>+IF(PROVEEDORES[[#This Row],[SUBTOTAL]]&lt;PROVEEDORES[[#This Row],[base retencion]],0,PROVEEDORES[[#This Row],[retención aplicada]])</f>
        <v>3.5000000000000003E-2</v>
      </c>
      <c r="Q734" s="24">
        <f>+PROVEEDORES[[#This Row],[Rete Fuente %]]*PROVEEDORES[[#This Row],[SUBTOTAL]]</f>
        <v>7136.3950000000004</v>
      </c>
      <c r="R734" s="23">
        <v>0</v>
      </c>
      <c r="S73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4" s="99">
        <f ca="1">IF(PROVEEDORES[[#This Row],[FECHA DE PAGO]]=0,TODAY()-PROVEEDORES[[#This Row],[FECHA DE FACTURACIÓN]]-PROVEEDORES[[#This Row],[PLAZO Días]],0)</f>
        <v>0</v>
      </c>
      <c r="U734" s="149" t="str">
        <f>+VLOOKUP(PROVEEDORES[[#This Row],[PROVEEDOR]],Terceros!$A:$E,5,FALSE)</f>
        <v>3,5% sin base</v>
      </c>
      <c r="V734" s="150">
        <f>+YEAR(PROVEEDORES[[#This Row],[FECHA DE FACTURACIÓN]])</f>
        <v>2021</v>
      </c>
      <c r="W734" s="150">
        <f>+MATCH(PROVEEDORES[[#This Row],[año facturado]],Retenciones!$1:$1,0)</f>
        <v>4</v>
      </c>
      <c r="X734" s="151">
        <f>+VLOOKUP(PROVEEDORES[[#This Row],[ID RETENCION]],Retenciones!$A$1:$O$24,PROVEEDORES[[#This Row],[indicador de columna]],FALSE)</f>
        <v>0</v>
      </c>
      <c r="Y734" s="152">
        <f>+VLOOKUP(PROVEEDORES[[#This Row],[ID RETENCION]],Retenciones!$A$1:$O$24,2,FALSE)</f>
        <v>3.5000000000000003E-2</v>
      </c>
      <c r="Z734" s="26"/>
      <c r="AA734" s="26"/>
      <c r="AB734" s="26"/>
      <c r="AC734" s="26"/>
      <c r="AD734" s="26"/>
      <c r="AE734" s="26"/>
    </row>
    <row r="735" spans="1:31" ht="21.95" customHeight="1" x14ac:dyDescent="0.25">
      <c r="A735" s="97" t="str">
        <f>+IF(PROVEEDORES[[#This Row],[FECHA DE PAGO]]=PROVEEDORES[[#This Row],[FECHA DE FACTURACIÓN]],"DE CONTADO","CRÉDITO")</f>
        <v>CRÉDITO</v>
      </c>
      <c r="B735" s="41" t="b">
        <f>+IF((PROVEEDORES[[#This Row],[FECHA DE PAGO]]-PROVEEDORES[[#This Row],[FECHA DE FACTURACIÓN]])&gt;PROVEEDORES[[#This Row],[PLAZO Días]],"PAGO VENCIDO")</f>
        <v>0</v>
      </c>
      <c r="C735" s="22">
        <f>+VLOOKUP(PROVEEDORES[[#This Row],[PROVEEDOR]],TERCEROS_INFO[#All],2,FALSE)</f>
        <v>30</v>
      </c>
      <c r="D735" s="27">
        <f>+SUMIFS(PROVEEDORES[Total],PROVEEDORES[PROVEEDOR],PROVEEDORES[[#This Row],[PROVEEDOR]],PROVEEDORES[FECHA DE PAGO],"")</f>
        <v>4862586.33</v>
      </c>
      <c r="E735" s="27"/>
      <c r="F735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735" s="95">
        <v>44461</v>
      </c>
      <c r="H735" s="28" t="s">
        <v>345</v>
      </c>
      <c r="I735" s="95">
        <v>44440</v>
      </c>
      <c r="J735" s="38" t="s">
        <v>583</v>
      </c>
      <c r="K735" s="23">
        <v>716544</v>
      </c>
      <c r="L735" s="23"/>
      <c r="M735" s="24">
        <v>136143.36000000002</v>
      </c>
      <c r="N735" s="25"/>
      <c r="O735" s="24">
        <v>0</v>
      </c>
      <c r="P735" s="136">
        <f>+IF(PROVEEDORES[[#This Row],[SUBTOTAL]]&lt;PROVEEDORES[[#This Row],[base retencion]],0,PROVEEDORES[[#This Row],[retención aplicada]])</f>
        <v>0</v>
      </c>
      <c r="Q735" s="24">
        <f>+PROVEEDORES[[#This Row],[Rete Fuente %]]*PROVEEDORES[[#This Row],[SUBTOTAL]]</f>
        <v>0</v>
      </c>
      <c r="R735" s="23">
        <v>852687.35999999999</v>
      </c>
      <c r="S73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5" s="99">
        <f ca="1">IF(PROVEEDORES[[#This Row],[FECHA DE PAGO]]=0,TODAY()-PROVEEDORES[[#This Row],[FECHA DE FACTURACIÓN]]-PROVEEDORES[[#This Row],[PLAZO Días]],0)</f>
        <v>0</v>
      </c>
      <c r="U735" s="149">
        <f>+VLOOKUP(PROVEEDORES[[#This Row],[PROVEEDOR]],Terceros!$A:$E,5,FALSE)</f>
        <v>0</v>
      </c>
      <c r="V735" s="150">
        <f>+YEAR(PROVEEDORES[[#This Row],[FECHA DE FACTURACIÓN]])</f>
        <v>2021</v>
      </c>
      <c r="W735" s="150">
        <f>+MATCH(PROVEEDORES[[#This Row],[año facturado]],Retenciones!$1:$1,0)</f>
        <v>4</v>
      </c>
      <c r="X735" s="151">
        <f>+VLOOKUP(PROVEEDORES[[#This Row],[ID RETENCION]],Retenciones!$A$1:$O$24,PROVEEDORES[[#This Row],[indicador de columna]],FALSE)</f>
        <v>0</v>
      </c>
      <c r="Y735" s="152">
        <f>+VLOOKUP(PROVEEDORES[[#This Row],[ID RETENCION]],Retenciones!$A$1:$O$24,2,FALSE)</f>
        <v>0</v>
      </c>
      <c r="Z735" s="26"/>
      <c r="AA735" s="26"/>
      <c r="AB735" s="26"/>
      <c r="AC735" s="26"/>
      <c r="AD735" s="26"/>
      <c r="AE735" s="26"/>
    </row>
    <row r="736" spans="1:31" ht="21.95" customHeight="1" x14ac:dyDescent="0.25">
      <c r="A736" s="97" t="str">
        <f>+IF(PROVEEDORES[[#This Row],[FECHA DE PAGO]]=PROVEEDORES[[#This Row],[FECHA DE FACTURACIÓN]],"DE CONTADO","CRÉDITO")</f>
        <v>CRÉDITO</v>
      </c>
      <c r="B736" s="41" t="b">
        <f>+IF((PROVEEDORES[[#This Row],[FECHA DE PAGO]]-PROVEEDORES[[#This Row],[FECHA DE FACTURACIÓN]])&gt;PROVEEDORES[[#This Row],[PLAZO Días]],"PAGO VENCIDO")</f>
        <v>0</v>
      </c>
      <c r="C736" s="22">
        <f>+VLOOKUP(PROVEEDORES[[#This Row],[PROVEEDOR]],TERCEROS_INFO[#All],2,FALSE)</f>
        <v>30</v>
      </c>
      <c r="D736" s="27">
        <f>+SUMIFS(PROVEEDORES[Total],PROVEEDORES[PROVEEDOR],PROVEEDORES[[#This Row],[PROVEEDOR]],PROVEEDORES[FECHA DE PAGO],"")</f>
        <v>0</v>
      </c>
      <c r="E736" s="27"/>
      <c r="F736" s="62" t="str">
        <f>+VLOOKUP(PROVEEDORES[[#This Row],[PROVEEDOR]],
                       Terceros!$A:$G,
                       6,
                       FALSE)</f>
        <v>tesoreria@lacentral.com.co;girlesa.ruiz@servipilas.com;joriescobar64@gmail.com</v>
      </c>
      <c r="G736" s="95">
        <v>44461</v>
      </c>
      <c r="H736" s="28" t="s">
        <v>332</v>
      </c>
      <c r="I736" s="95">
        <v>44440</v>
      </c>
      <c r="J736" s="38">
        <v>8919</v>
      </c>
      <c r="K736" s="23">
        <v>1547710</v>
      </c>
      <c r="L736" s="23"/>
      <c r="M736" s="24">
        <v>0</v>
      </c>
      <c r="N736" s="25"/>
      <c r="O736" s="24">
        <v>75639</v>
      </c>
      <c r="P736" s="136">
        <f>+IF(PROVEEDORES[[#This Row],[SUBTOTAL]]&lt;PROVEEDORES[[#This Row],[base retencion]],0,PROVEEDORES[[#This Row],[retención aplicada]])</f>
        <v>0</v>
      </c>
      <c r="Q736" s="24">
        <f>+PROVEEDORES[[#This Row],[Rete Fuente %]]*PROVEEDORES[[#This Row],[SUBTOTAL]]</f>
        <v>0</v>
      </c>
      <c r="R736" s="23">
        <v>1472071</v>
      </c>
      <c r="S73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6" s="99">
        <f ca="1">IF(PROVEEDORES[[#This Row],[FECHA DE PAGO]]=0,TODAY()-PROVEEDORES[[#This Row],[FECHA DE FACTURACIÓN]]-PROVEEDORES[[#This Row],[PLAZO Días]],0)</f>
        <v>0</v>
      </c>
      <c r="U736" s="149">
        <f>+VLOOKUP(PROVEEDORES[[#This Row],[PROVEEDOR]],Terceros!$A:$E,5,FALSE)</f>
        <v>0</v>
      </c>
      <c r="V736" s="150">
        <f>+YEAR(PROVEEDORES[[#This Row],[FECHA DE FACTURACIÓN]])</f>
        <v>2021</v>
      </c>
      <c r="W736" s="150">
        <f>+MATCH(PROVEEDORES[[#This Row],[año facturado]],Retenciones!$1:$1,0)</f>
        <v>4</v>
      </c>
      <c r="X736" s="151">
        <f>+VLOOKUP(PROVEEDORES[[#This Row],[ID RETENCION]],Retenciones!$A$1:$O$24,PROVEEDORES[[#This Row],[indicador de columna]],FALSE)</f>
        <v>0</v>
      </c>
      <c r="Y736" s="152">
        <f>+VLOOKUP(PROVEEDORES[[#This Row],[ID RETENCION]],Retenciones!$A$1:$O$24,2,FALSE)</f>
        <v>0</v>
      </c>
      <c r="Z736" s="26"/>
      <c r="AA736" s="26"/>
      <c r="AB736" s="26"/>
      <c r="AC736" s="26"/>
      <c r="AD736" s="26"/>
      <c r="AE736" s="26"/>
    </row>
    <row r="737" spans="1:31" ht="21.95" customHeight="1" x14ac:dyDescent="0.25">
      <c r="A737" s="97" t="str">
        <f>+IF(PROVEEDORES[[#This Row],[FECHA DE PAGO]]=PROVEEDORES[[#This Row],[FECHA DE FACTURACIÓN]],"DE CONTADO","CRÉDITO")</f>
        <v>CRÉDITO</v>
      </c>
      <c r="B737" s="41" t="str">
        <f>+IF((PROVEEDORES[[#This Row],[FECHA DE PAGO]]-PROVEEDORES[[#This Row],[FECHA DE FACTURACIÓN]])&gt;PROVEEDORES[[#This Row],[PLAZO Días]],"PAGO VENCIDO")</f>
        <v>PAGO VENCIDO</v>
      </c>
      <c r="C737" s="22">
        <f>+VLOOKUP(PROVEEDORES[[#This Row],[PROVEEDOR]],TERCEROS_INFO[#All],2,FALSE)</f>
        <v>30</v>
      </c>
      <c r="D737" s="27">
        <f>+SUMIFS(PROVEEDORES[Total],PROVEEDORES[PROVEEDOR],PROVEEDORES[[#This Row],[PROVEEDOR]],PROVEEDORES[FECHA DE PAGO],"")</f>
        <v>0</v>
      </c>
      <c r="E737" s="27"/>
      <c r="F737" s="62" t="str">
        <f>+VLOOKUP(PROVEEDORES[[#This Row],[PROVEEDOR]],
                       Terceros!$A:$G,
                       6,
                       FALSE)</f>
        <v>gerencia@som-tec.com</v>
      </c>
      <c r="G737" s="95">
        <v>44483</v>
      </c>
      <c r="H737" s="28" t="s">
        <v>1026</v>
      </c>
      <c r="I737" s="95">
        <v>44440</v>
      </c>
      <c r="J737" s="38" t="s">
        <v>806</v>
      </c>
      <c r="K737" s="23">
        <v>550000</v>
      </c>
      <c r="L737" s="23"/>
      <c r="M737" s="24">
        <v>0</v>
      </c>
      <c r="N737" s="25"/>
      <c r="O737" s="24">
        <v>0</v>
      </c>
      <c r="P737" s="136">
        <f>+IF(PROVEEDORES[[#This Row],[SUBTOTAL]]&lt;PROVEEDORES[[#This Row],[base retencion]],0,PROVEEDORES[[#This Row],[retención aplicada]])</f>
        <v>0</v>
      </c>
      <c r="Q737" s="24">
        <f>+PROVEEDORES[[#This Row],[Rete Fuente %]]*PROVEEDORES[[#This Row],[SUBTOTAL]]</f>
        <v>0</v>
      </c>
      <c r="R737" s="23">
        <v>550000</v>
      </c>
      <c r="S73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7" s="99">
        <f ca="1">IF(PROVEEDORES[[#This Row],[FECHA DE PAGO]]=0,TODAY()-PROVEEDORES[[#This Row],[FECHA DE FACTURACIÓN]]-PROVEEDORES[[#This Row],[PLAZO Días]],0)</f>
        <v>0</v>
      </c>
      <c r="U737" s="149">
        <f>+VLOOKUP(PROVEEDORES[[#This Row],[PROVEEDOR]],Terceros!$A:$E,5,FALSE)</f>
        <v>0</v>
      </c>
      <c r="V737" s="150">
        <f>+YEAR(PROVEEDORES[[#This Row],[FECHA DE FACTURACIÓN]])</f>
        <v>2021</v>
      </c>
      <c r="W737" s="150">
        <f>+MATCH(PROVEEDORES[[#This Row],[año facturado]],Retenciones!$1:$1,0)</f>
        <v>4</v>
      </c>
      <c r="X737" s="151">
        <f>+VLOOKUP(PROVEEDORES[[#This Row],[ID RETENCION]],Retenciones!$A$1:$O$24,PROVEEDORES[[#This Row],[indicador de columna]],FALSE)</f>
        <v>0</v>
      </c>
      <c r="Y737" s="152">
        <f>+VLOOKUP(PROVEEDORES[[#This Row],[ID RETENCION]],Retenciones!$A$1:$O$24,2,FALSE)</f>
        <v>0</v>
      </c>
      <c r="Z737" s="26"/>
      <c r="AA737" s="26"/>
      <c r="AB737" s="26"/>
      <c r="AC737" s="26"/>
      <c r="AD737" s="26"/>
      <c r="AE737" s="26"/>
    </row>
    <row r="738" spans="1:31" ht="21.95" customHeight="1" x14ac:dyDescent="0.25">
      <c r="A738" s="97" t="str">
        <f>+IF(PROVEEDORES[[#This Row],[FECHA DE PAGO]]=PROVEEDORES[[#This Row],[FECHA DE FACTURACIÓN]],"DE CONTADO","CRÉDITO")</f>
        <v>CRÉDITO</v>
      </c>
      <c r="B738" s="41" t="b">
        <f>+IF((PROVEEDORES[[#This Row],[FECHA DE PAGO]]-PROVEEDORES[[#This Row],[FECHA DE FACTURACIÓN]])&gt;PROVEEDORES[[#This Row],[PLAZO Días]],"PAGO VENCIDO")</f>
        <v>0</v>
      </c>
      <c r="C738" s="22">
        <f>+VLOOKUP(PROVEEDORES[[#This Row],[PROVEEDOR]],TERCEROS_INFO[#All],2,FALSE)</f>
        <v>30</v>
      </c>
      <c r="D738" s="27">
        <f>+SUMIFS(PROVEEDORES[Total],PROVEEDORES[PROVEEDOR],PROVEEDORES[[#This Row],[PROVEEDOR]],PROVEEDORES[FECHA DE PAGO],"")</f>
        <v>0</v>
      </c>
      <c r="E738" s="27"/>
      <c r="F738" s="62" t="str">
        <f>+VLOOKUP(PROVEEDORES[[#This Row],[PROVEEDOR]],
                       Terceros!$A:$G,
                       6,
                       FALSE)</f>
        <v>propertymarketingsas@hotmail.com;girlesa.ruiz@servipilas.com;joriescobar64@gmail.com</v>
      </c>
      <c r="G738" s="95">
        <v>44461</v>
      </c>
      <c r="H738" s="28" t="s">
        <v>483</v>
      </c>
      <c r="I738" s="95">
        <v>44440</v>
      </c>
      <c r="J738" s="38" t="s">
        <v>808</v>
      </c>
      <c r="K738" s="23">
        <v>2789636</v>
      </c>
      <c r="L738" s="23"/>
      <c r="M738" s="24">
        <v>0</v>
      </c>
      <c r="N738" s="25"/>
      <c r="O738" s="24">
        <v>0</v>
      </c>
      <c r="P738" s="136">
        <f>+IF(PROVEEDORES[[#This Row],[SUBTOTAL]]&lt;PROVEEDORES[[#This Row],[base retencion]],0,PROVEEDORES[[#This Row],[retención aplicada]])</f>
        <v>3.5000000000000003E-2</v>
      </c>
      <c r="Q738" s="24">
        <f>+PROVEEDORES[[#This Row],[Rete Fuente %]]*PROVEEDORES[[#This Row],[SUBTOTAL]]</f>
        <v>97637.260000000009</v>
      </c>
      <c r="R738" s="23">
        <v>2691998.74</v>
      </c>
      <c r="S73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8" s="99">
        <f ca="1">IF(PROVEEDORES[[#This Row],[FECHA DE PAGO]]=0,TODAY()-PROVEEDORES[[#This Row],[FECHA DE FACTURACIÓN]]-PROVEEDORES[[#This Row],[PLAZO Días]],0)</f>
        <v>0</v>
      </c>
      <c r="U738" s="149" t="str">
        <f>+VLOOKUP(PROVEEDORES[[#This Row],[PROVEEDOR]],Terceros!$A:$E,5,FALSE)</f>
        <v>3,5% sin base</v>
      </c>
      <c r="V738" s="150">
        <f>+YEAR(PROVEEDORES[[#This Row],[FECHA DE FACTURACIÓN]])</f>
        <v>2021</v>
      </c>
      <c r="W738" s="150">
        <f>+MATCH(PROVEEDORES[[#This Row],[año facturado]],Retenciones!$1:$1,0)</f>
        <v>4</v>
      </c>
      <c r="X738" s="151">
        <f>+VLOOKUP(PROVEEDORES[[#This Row],[ID RETENCION]],Retenciones!$A$1:$O$24,PROVEEDORES[[#This Row],[indicador de columna]],FALSE)</f>
        <v>0</v>
      </c>
      <c r="Y738" s="152">
        <f>+VLOOKUP(PROVEEDORES[[#This Row],[ID RETENCION]],Retenciones!$A$1:$O$24,2,FALSE)</f>
        <v>3.5000000000000003E-2</v>
      </c>
      <c r="Z738" s="26"/>
      <c r="AA738" s="26"/>
      <c r="AB738" s="26"/>
      <c r="AC738" s="26"/>
      <c r="AD738" s="26"/>
      <c r="AE738" s="26"/>
    </row>
    <row r="739" spans="1:31" ht="21.95" customHeight="1" x14ac:dyDescent="0.25">
      <c r="A739" s="97" t="str">
        <f>+IF(PROVEEDORES[[#This Row],[FECHA DE PAGO]]=PROVEEDORES[[#This Row],[FECHA DE FACTURACIÓN]],"DE CONTADO","CRÉDITO")</f>
        <v>CRÉDITO</v>
      </c>
      <c r="B739" s="41" t="b">
        <f>+IF((PROVEEDORES[[#This Row],[FECHA DE PAGO]]-PROVEEDORES[[#This Row],[FECHA DE FACTURACIÓN]])&gt;PROVEEDORES[[#This Row],[PLAZO Días]],"PAGO VENCIDO")</f>
        <v>0</v>
      </c>
      <c r="C739" s="22">
        <f>+VLOOKUP(PROVEEDORES[[#This Row],[PROVEEDOR]],TERCEROS_INFO[#All],2,FALSE)</f>
        <v>30</v>
      </c>
      <c r="D739" s="27">
        <f>+SUMIFS(PROVEEDORES[Total],PROVEEDORES[PROVEEDOR],PROVEEDORES[[#This Row],[PROVEEDOR]],PROVEEDORES[FECHA DE PAGO],"")</f>
        <v>0</v>
      </c>
      <c r="E739" s="27"/>
      <c r="F739" s="62" t="str">
        <f>+VLOOKUP(PROVEEDORES[[#This Row],[PROVEEDOR]],
                       Terceros!$A:$G,
                       6,
                       FALSE)</f>
        <v>girlesa.ruiz@servipilas.com;joriescobar64@gmail.com</v>
      </c>
      <c r="G739" s="95">
        <v>44461</v>
      </c>
      <c r="H739" s="28" t="s">
        <v>336</v>
      </c>
      <c r="I739" s="95">
        <v>44440</v>
      </c>
      <c r="J739" s="38" t="s">
        <v>929</v>
      </c>
      <c r="K739" s="23">
        <v>3023387</v>
      </c>
      <c r="L739" s="23"/>
      <c r="M739" s="24">
        <v>0</v>
      </c>
      <c r="N739" s="25"/>
      <c r="O739" s="24">
        <v>0</v>
      </c>
      <c r="P739" s="136">
        <f>+IF(PROVEEDORES[[#This Row],[SUBTOTAL]]&lt;PROVEEDORES[[#This Row],[base retencion]],0,PROVEEDORES[[#This Row],[retención aplicada]])</f>
        <v>3.5000000000000003E-2</v>
      </c>
      <c r="Q739" s="24">
        <f>+PROVEEDORES[[#This Row],[Rete Fuente %]]*PROVEEDORES[[#This Row],[SUBTOTAL]]</f>
        <v>105818.54500000001</v>
      </c>
      <c r="R739" s="23">
        <v>2917568.4550000001</v>
      </c>
      <c r="S73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9" s="99">
        <f ca="1">IF(PROVEEDORES[[#This Row],[FECHA DE PAGO]]=0,TODAY()-PROVEEDORES[[#This Row],[FECHA DE FACTURACIÓN]]-PROVEEDORES[[#This Row],[PLAZO Días]],0)</f>
        <v>0</v>
      </c>
      <c r="U739" s="149" t="str">
        <f>+VLOOKUP(PROVEEDORES[[#This Row],[PROVEEDOR]],Terceros!$A:$E,5,FALSE)</f>
        <v>3,5% sin base</v>
      </c>
      <c r="V739" s="150">
        <f>+YEAR(PROVEEDORES[[#This Row],[FECHA DE FACTURACIÓN]])</f>
        <v>2021</v>
      </c>
      <c r="W739" s="150">
        <f>+MATCH(PROVEEDORES[[#This Row],[año facturado]],Retenciones!$1:$1,0)</f>
        <v>4</v>
      </c>
      <c r="X739" s="151">
        <f>+VLOOKUP(PROVEEDORES[[#This Row],[ID RETENCION]],Retenciones!$A$1:$O$24,PROVEEDORES[[#This Row],[indicador de columna]],FALSE)</f>
        <v>0</v>
      </c>
      <c r="Y739" s="152">
        <f>+VLOOKUP(PROVEEDORES[[#This Row],[ID RETENCION]],Retenciones!$A$1:$O$24,2,FALSE)</f>
        <v>3.5000000000000003E-2</v>
      </c>
      <c r="Z739" s="26"/>
      <c r="AA739" s="26"/>
      <c r="AB739" s="26"/>
      <c r="AC739" s="26"/>
      <c r="AD739" s="26"/>
      <c r="AE739" s="26"/>
    </row>
    <row r="740" spans="1:31" ht="21.95" customHeight="1" x14ac:dyDescent="0.25">
      <c r="A740" s="97" t="str">
        <f>+IF(PROVEEDORES[[#This Row],[FECHA DE PAGO]]=PROVEEDORES[[#This Row],[FECHA DE FACTURACIÓN]],"DE CONTADO","CRÉDITO")</f>
        <v>CRÉDITO</v>
      </c>
      <c r="B740" s="41" t="b">
        <f>+IF((PROVEEDORES[[#This Row],[FECHA DE PAGO]]-PROVEEDORES[[#This Row],[FECHA DE FACTURACIÓN]])&gt;PROVEEDORES[[#This Row],[PLAZO Días]],"PAGO VENCIDO")</f>
        <v>0</v>
      </c>
      <c r="C740" s="22">
        <f>+VLOOKUP(PROVEEDORES[[#This Row],[PROVEEDOR]],TERCEROS_INFO[#All],2,FALSE)</f>
        <v>30</v>
      </c>
      <c r="D740" s="27">
        <f>+SUMIFS(PROVEEDORES[Total],PROVEEDORES[PROVEEDOR],PROVEEDORES[[#This Row],[PROVEEDOR]],PROVEEDORES[FECHA DE PAGO],"")</f>
        <v>4862586.33</v>
      </c>
      <c r="E740" s="27"/>
      <c r="F740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740" s="95">
        <v>44461</v>
      </c>
      <c r="H740" s="28" t="s">
        <v>345</v>
      </c>
      <c r="I740" s="95">
        <v>44440</v>
      </c>
      <c r="J740" s="38" t="s">
        <v>584</v>
      </c>
      <c r="K740" s="23">
        <v>3061166</v>
      </c>
      <c r="L740" s="23"/>
      <c r="M740" s="24">
        <v>581621.54</v>
      </c>
      <c r="N740" s="25"/>
      <c r="O740" s="24">
        <v>0</v>
      </c>
      <c r="P740" s="136">
        <f>+IF(PROVEEDORES[[#This Row],[SUBTOTAL]]&lt;PROVEEDORES[[#This Row],[base retencion]],0,PROVEEDORES[[#This Row],[retención aplicada]])</f>
        <v>0</v>
      </c>
      <c r="Q740" s="24">
        <f>+PROVEEDORES[[#This Row],[Rete Fuente %]]*PROVEEDORES[[#This Row],[SUBTOTAL]]</f>
        <v>0</v>
      </c>
      <c r="R740" s="23">
        <v>3642787.54</v>
      </c>
      <c r="S74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0" s="99">
        <f ca="1">IF(PROVEEDORES[[#This Row],[FECHA DE PAGO]]=0,TODAY()-PROVEEDORES[[#This Row],[FECHA DE FACTURACIÓN]]-PROVEEDORES[[#This Row],[PLAZO Días]],0)</f>
        <v>0</v>
      </c>
      <c r="U740" s="149">
        <f>+VLOOKUP(PROVEEDORES[[#This Row],[PROVEEDOR]],Terceros!$A:$E,5,FALSE)</f>
        <v>0</v>
      </c>
      <c r="V740" s="150">
        <f>+YEAR(PROVEEDORES[[#This Row],[FECHA DE FACTURACIÓN]])</f>
        <v>2021</v>
      </c>
      <c r="W740" s="150">
        <f>+MATCH(PROVEEDORES[[#This Row],[año facturado]],Retenciones!$1:$1,0)</f>
        <v>4</v>
      </c>
      <c r="X740" s="151">
        <f>+VLOOKUP(PROVEEDORES[[#This Row],[ID RETENCION]],Retenciones!$A$1:$O$24,PROVEEDORES[[#This Row],[indicador de columna]],FALSE)</f>
        <v>0</v>
      </c>
      <c r="Y740" s="152">
        <f>+VLOOKUP(PROVEEDORES[[#This Row],[ID RETENCION]],Retenciones!$A$1:$O$24,2,FALSE)</f>
        <v>0</v>
      </c>
      <c r="Z740" s="26"/>
      <c r="AA740" s="26"/>
      <c r="AB740" s="26"/>
      <c r="AC740" s="26"/>
      <c r="AD740" s="26"/>
      <c r="AE740" s="26"/>
    </row>
    <row r="741" spans="1:31" ht="21.95" customHeight="1" x14ac:dyDescent="0.25">
      <c r="A741" s="97" t="str">
        <f>+IF(PROVEEDORES[[#This Row],[FECHA DE PAGO]]=PROVEEDORES[[#This Row],[FECHA DE FACTURACIÓN]],"DE CONTADO","CRÉDITO")</f>
        <v>CRÉDITO</v>
      </c>
      <c r="B741" s="41" t="b">
        <f>+IF((PROVEEDORES[[#This Row],[FECHA DE PAGO]]-PROVEEDORES[[#This Row],[FECHA DE FACTURACIÓN]])&gt;PROVEEDORES[[#This Row],[PLAZO Días]],"PAGO VENCIDO")</f>
        <v>0</v>
      </c>
      <c r="C741" s="22">
        <f>+VLOOKUP(PROVEEDORES[[#This Row],[PROVEEDOR]],TERCEROS_INFO[#All],2,FALSE)</f>
        <v>30</v>
      </c>
      <c r="D741" s="27">
        <f>+SUMIFS(PROVEEDORES[Total],PROVEEDORES[PROVEEDOR],PROVEEDORES[[#This Row],[PROVEEDOR]],PROVEEDORES[FECHA DE PAGO],"")</f>
        <v>5463150</v>
      </c>
      <c r="E741" s="27"/>
      <c r="F741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741" s="95">
        <v>44461</v>
      </c>
      <c r="H741" s="28" t="s">
        <v>344</v>
      </c>
      <c r="I741" s="95">
        <v>44440</v>
      </c>
      <c r="J741" s="38">
        <v>40299</v>
      </c>
      <c r="K741" s="23">
        <v>4430000</v>
      </c>
      <c r="L741" s="23"/>
      <c r="M741" s="24">
        <v>841700</v>
      </c>
      <c r="N741" s="25"/>
      <c r="O741" s="24">
        <v>0</v>
      </c>
      <c r="P741" s="136">
        <f>+IF(PROVEEDORES[[#This Row],[SUBTOTAL]]&lt;PROVEEDORES[[#This Row],[base retencion]],0,PROVEEDORES[[#This Row],[retención aplicada]])</f>
        <v>3.5000000000000003E-2</v>
      </c>
      <c r="Q741" s="24">
        <f>+PROVEEDORES[[#This Row],[Rete Fuente %]]*PROVEEDORES[[#This Row],[SUBTOTAL]]</f>
        <v>155050.00000000003</v>
      </c>
      <c r="R741" s="23">
        <v>5116650</v>
      </c>
      <c r="S74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1" s="99">
        <f ca="1">IF(PROVEEDORES[[#This Row],[FECHA DE PAGO]]=0,TODAY()-PROVEEDORES[[#This Row],[FECHA DE FACTURACIÓN]]-PROVEEDORES[[#This Row],[PLAZO Días]],0)</f>
        <v>0</v>
      </c>
      <c r="U741" s="149" t="str">
        <f>+VLOOKUP(PROVEEDORES[[#This Row],[PROVEEDOR]],Terceros!$A:$E,5,FALSE)</f>
        <v>3,5% con base</v>
      </c>
      <c r="V741" s="150">
        <f>+YEAR(PROVEEDORES[[#This Row],[FECHA DE FACTURACIÓN]])</f>
        <v>2021</v>
      </c>
      <c r="W741" s="150">
        <f>+MATCH(PROVEEDORES[[#This Row],[año facturado]],Retenciones!$1:$1,0)</f>
        <v>4</v>
      </c>
      <c r="X741" s="151">
        <f>+VLOOKUP(PROVEEDORES[[#This Row],[ID RETENCION]],Retenciones!$A$1:$O$24,PROVEEDORES[[#This Row],[indicador de columna]],FALSE)</f>
        <v>980000</v>
      </c>
      <c r="Y741" s="152">
        <f>+VLOOKUP(PROVEEDORES[[#This Row],[ID RETENCION]],Retenciones!$A$1:$O$24,2,FALSE)</f>
        <v>3.5000000000000003E-2</v>
      </c>
      <c r="Z741" s="26"/>
      <c r="AA741" s="26"/>
      <c r="AB741" s="26"/>
      <c r="AC741" s="26"/>
      <c r="AD741" s="26"/>
      <c r="AE741" s="26"/>
    </row>
    <row r="742" spans="1:31" ht="21.95" customHeight="1" x14ac:dyDescent="0.25">
      <c r="A742" s="97" t="str">
        <f>+IF(PROVEEDORES[[#This Row],[FECHA DE PAGO]]=PROVEEDORES[[#This Row],[FECHA DE FACTURACIÓN]],"DE CONTADO","CRÉDITO")</f>
        <v>CRÉDITO</v>
      </c>
      <c r="B742" s="41" t="b">
        <f>+IF((PROVEEDORES[[#This Row],[FECHA DE PAGO]]-PROVEEDORES[[#This Row],[FECHA DE FACTURACIÓN]])&gt;PROVEEDORES[[#This Row],[PLAZO Días]],"PAGO VENCIDO")</f>
        <v>0</v>
      </c>
      <c r="C742" s="22">
        <f>+VLOOKUP(PROVEEDORES[[#This Row],[PROVEEDOR]],TERCEROS_INFO[#All],2,FALSE)</f>
        <v>30</v>
      </c>
      <c r="D742" s="27">
        <f>+SUMIFS(PROVEEDORES[Total],PROVEEDORES[PROVEEDOR],PROVEEDORES[[#This Row],[PROVEEDOR]],PROVEEDORES[FECHA DE PAGO],"")</f>
        <v>0</v>
      </c>
      <c r="E742" s="27"/>
      <c r="F742" s="62">
        <f>+VLOOKUP(PROVEEDORES[[#This Row],[PROVEEDOR]],
                       Terceros!$A:$G,
                       6,
                       FALSE)</f>
        <v>0</v>
      </c>
      <c r="G742" s="95">
        <v>44477</v>
      </c>
      <c r="H742" s="28" t="s">
        <v>1097</v>
      </c>
      <c r="I742" s="95">
        <v>44470</v>
      </c>
      <c r="J742" s="38" t="s">
        <v>837</v>
      </c>
      <c r="K742" s="23">
        <v>200000</v>
      </c>
      <c r="L742" s="23"/>
      <c r="M742" s="24">
        <v>0</v>
      </c>
      <c r="N742" s="25"/>
      <c r="O742" s="24">
        <v>0</v>
      </c>
      <c r="P742" s="136">
        <f>+IF(PROVEEDORES[[#This Row],[SUBTOTAL]]&lt;PROVEEDORES[[#This Row],[base retencion]],0,PROVEEDORES[[#This Row],[retención aplicada]])</f>
        <v>0</v>
      </c>
      <c r="Q742" s="24">
        <f>+PROVEEDORES[[#This Row],[Rete Fuente %]]*PROVEEDORES[[#This Row],[SUBTOTAL]]</f>
        <v>0</v>
      </c>
      <c r="R742" s="23">
        <v>200000</v>
      </c>
      <c r="S74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2" s="99">
        <f ca="1">IF(PROVEEDORES[[#This Row],[FECHA DE PAGO]]=0,TODAY()-PROVEEDORES[[#This Row],[FECHA DE FACTURACIÓN]]-PROVEEDORES[[#This Row],[PLAZO Días]],0)</f>
        <v>0</v>
      </c>
      <c r="U742" s="149">
        <f>+VLOOKUP(PROVEEDORES[[#This Row],[PROVEEDOR]],Terceros!$A:$E,5,FALSE)</f>
        <v>0</v>
      </c>
      <c r="V742" s="150">
        <f>+YEAR(PROVEEDORES[[#This Row],[FECHA DE FACTURACIÓN]])</f>
        <v>2021</v>
      </c>
      <c r="W742" s="150">
        <f>+MATCH(PROVEEDORES[[#This Row],[año facturado]],Retenciones!$1:$1,0)</f>
        <v>4</v>
      </c>
      <c r="X742" s="151">
        <f>+VLOOKUP(PROVEEDORES[[#This Row],[ID RETENCION]],Retenciones!$A$1:$O$24,PROVEEDORES[[#This Row],[indicador de columna]],FALSE)</f>
        <v>0</v>
      </c>
      <c r="Y742" s="152">
        <f>+VLOOKUP(PROVEEDORES[[#This Row],[ID RETENCION]],Retenciones!$A$1:$O$24,2,FALSE)</f>
        <v>0</v>
      </c>
      <c r="Z742" s="26"/>
      <c r="AA742" s="26"/>
      <c r="AB742" s="26"/>
      <c r="AC742" s="26"/>
      <c r="AD742" s="26"/>
      <c r="AE742" s="26"/>
    </row>
    <row r="743" spans="1:31" ht="21.95" customHeight="1" x14ac:dyDescent="0.25">
      <c r="A743" s="97" t="str">
        <f>+IF(PROVEEDORES[[#This Row],[FECHA DE PAGO]]=PROVEEDORES[[#This Row],[FECHA DE FACTURACIÓN]],"DE CONTADO","CRÉDITO")</f>
        <v>CRÉDITO</v>
      </c>
      <c r="B743" s="41" t="b">
        <f>+IF((PROVEEDORES[[#This Row],[FECHA DE PAGO]]-PROVEEDORES[[#This Row],[FECHA DE FACTURACIÓN]])&gt;PROVEEDORES[[#This Row],[PLAZO Días]],"PAGO VENCIDO")</f>
        <v>0</v>
      </c>
      <c r="C743" s="22">
        <f>+VLOOKUP(PROVEEDORES[[#This Row],[PROVEEDOR]],TERCEROS_INFO[#All],2,FALSE)</f>
        <v>20</v>
      </c>
      <c r="D743" s="27">
        <f>+SUMIFS(PROVEEDORES[Total],PROVEEDORES[PROVEEDOR],PROVEEDORES[[#This Row],[PROVEEDOR]],PROVEEDORES[FECHA DE PAGO],"")</f>
        <v>0</v>
      </c>
      <c r="E743" s="27"/>
      <c r="F743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743" s="95">
        <v>44452</v>
      </c>
      <c r="H743" s="28" t="s">
        <v>447</v>
      </c>
      <c r="I743" s="95">
        <v>44440</v>
      </c>
      <c r="J743" s="38" t="s">
        <v>500</v>
      </c>
      <c r="K743" s="23">
        <v>1958000</v>
      </c>
      <c r="L743" s="23"/>
      <c r="M743" s="24">
        <v>0</v>
      </c>
      <c r="N743" s="25"/>
      <c r="O743" s="24">
        <v>0</v>
      </c>
      <c r="P743" s="136">
        <f>+IF(PROVEEDORES[[#This Row],[SUBTOTAL]]&lt;PROVEEDORES[[#This Row],[base retencion]],0,PROVEEDORES[[#This Row],[retención aplicada]])</f>
        <v>0.01</v>
      </c>
      <c r="Q743" s="24">
        <f>+PROVEEDORES[[#This Row],[Rete Fuente %]]*PROVEEDORES[[#This Row],[SUBTOTAL]]</f>
        <v>19580</v>
      </c>
      <c r="R743" s="23">
        <v>1958000</v>
      </c>
      <c r="S74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3" s="99">
        <f ca="1">IF(PROVEEDORES[[#This Row],[FECHA DE PAGO]]=0,TODAY()-PROVEEDORES[[#This Row],[FECHA DE FACTURACIÓN]]-PROVEEDORES[[#This Row],[PLAZO Días]],0)</f>
        <v>0</v>
      </c>
      <c r="U743" s="149" t="str">
        <f>+VLOOKUP(PROVEEDORES[[#This Row],[PROVEEDOR]],Terceros!$A:$E,5,FALSE)</f>
        <v>1% con base</v>
      </c>
      <c r="V743" s="150">
        <f>+YEAR(PROVEEDORES[[#This Row],[FECHA DE FACTURACIÓN]])</f>
        <v>2021</v>
      </c>
      <c r="W743" s="150">
        <f>+MATCH(PROVEEDORES[[#This Row],[año facturado]],Retenciones!$1:$1,0)</f>
        <v>4</v>
      </c>
      <c r="X743" s="151">
        <f>+VLOOKUP(PROVEEDORES[[#This Row],[ID RETENCION]],Retenciones!$A$1:$O$24,PROVEEDORES[[#This Row],[indicador de columna]],FALSE)</f>
        <v>145000</v>
      </c>
      <c r="Y743" s="152">
        <f>+VLOOKUP(PROVEEDORES[[#This Row],[ID RETENCION]],Retenciones!$A$1:$O$24,2,FALSE)</f>
        <v>0.01</v>
      </c>
      <c r="Z743" s="26"/>
      <c r="AA743" s="26"/>
      <c r="AB743" s="26"/>
      <c r="AC743" s="26"/>
      <c r="AD743" s="26"/>
      <c r="AE743" s="26"/>
    </row>
    <row r="744" spans="1:31" ht="21.95" customHeight="1" x14ac:dyDescent="0.25">
      <c r="A744" s="97" t="str">
        <f>+IF(PROVEEDORES[[#This Row],[FECHA DE PAGO]]=PROVEEDORES[[#This Row],[FECHA DE FACTURACIÓN]],"DE CONTADO","CRÉDITO")</f>
        <v>CRÉDITO</v>
      </c>
      <c r="B744" s="41" t="str">
        <f>+IF((PROVEEDORES[[#This Row],[FECHA DE PAGO]]-PROVEEDORES[[#This Row],[FECHA DE FACTURACIÓN]])&gt;PROVEEDORES[[#This Row],[PLAZO Días]],"PAGO VENCIDO")</f>
        <v>PAGO VENCIDO</v>
      </c>
      <c r="C744" s="22">
        <f>+VLOOKUP(PROVEEDORES[[#This Row],[PROVEEDOR]],TERCEROS_INFO[#All],2,FALSE)</f>
        <v>30</v>
      </c>
      <c r="D744" s="27">
        <f>+SUMIFS(PROVEEDORES[Total],PROVEEDORES[PROVEEDOR],PROVEEDORES[[#This Row],[PROVEEDOR]],PROVEEDORES[FECHA DE PAGO],"")</f>
        <v>0</v>
      </c>
      <c r="E744" s="27"/>
      <c r="F744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744" s="95">
        <v>44502</v>
      </c>
      <c r="H744" s="28" t="s">
        <v>511</v>
      </c>
      <c r="I744" s="95">
        <v>44440</v>
      </c>
      <c r="J744" s="38" t="s">
        <v>517</v>
      </c>
      <c r="K744" s="23">
        <v>2267904</v>
      </c>
      <c r="L744" s="23"/>
      <c r="M744" s="24">
        <v>430901.76000000001</v>
      </c>
      <c r="N744" s="25"/>
      <c r="O744" s="24">
        <v>0</v>
      </c>
      <c r="P744" s="136">
        <f>+IF(PROVEEDORES[[#This Row],[SUBTOTAL]]&lt;PROVEEDORES[[#This Row],[base retencion]],0,PROVEEDORES[[#This Row],[retención aplicada]])</f>
        <v>0</v>
      </c>
      <c r="Q744" s="24">
        <f>+PROVEEDORES[[#This Row],[Rete Fuente %]]*PROVEEDORES[[#This Row],[SUBTOTAL]]</f>
        <v>0</v>
      </c>
      <c r="R744" s="23">
        <v>2698805.76</v>
      </c>
      <c r="S74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4" s="99">
        <f ca="1">IF(PROVEEDORES[[#This Row],[FECHA DE PAGO]]=0,TODAY()-PROVEEDORES[[#This Row],[FECHA DE FACTURACIÓN]]-PROVEEDORES[[#This Row],[PLAZO Días]],0)</f>
        <v>0</v>
      </c>
      <c r="U744" s="149">
        <f>+VLOOKUP(PROVEEDORES[[#This Row],[PROVEEDOR]],Terceros!$A:$E,5,FALSE)</f>
        <v>0</v>
      </c>
      <c r="V744" s="150">
        <f>+YEAR(PROVEEDORES[[#This Row],[FECHA DE FACTURACIÓN]])</f>
        <v>2021</v>
      </c>
      <c r="W744" s="150">
        <f>+MATCH(PROVEEDORES[[#This Row],[año facturado]],Retenciones!$1:$1,0)</f>
        <v>4</v>
      </c>
      <c r="X744" s="151">
        <f>+VLOOKUP(PROVEEDORES[[#This Row],[ID RETENCION]],Retenciones!$A$1:$O$24,PROVEEDORES[[#This Row],[indicador de columna]],FALSE)</f>
        <v>0</v>
      </c>
      <c r="Y744" s="152">
        <f>+VLOOKUP(PROVEEDORES[[#This Row],[ID RETENCION]],Retenciones!$A$1:$O$24,2,FALSE)</f>
        <v>0</v>
      </c>
      <c r="Z744" s="26"/>
      <c r="AA744" s="26"/>
      <c r="AB744" s="26"/>
      <c r="AC744" s="26"/>
      <c r="AD744" s="26"/>
      <c r="AE744" s="26"/>
    </row>
    <row r="745" spans="1:31" ht="21.95" customHeight="1" x14ac:dyDescent="0.25">
      <c r="A745" s="97" t="str">
        <f>+IF(PROVEEDORES[[#This Row],[FECHA DE PAGO]]=PROVEEDORES[[#This Row],[FECHA DE FACTURACIÓN]],"DE CONTADO","CRÉDITO")</f>
        <v>CRÉDITO</v>
      </c>
      <c r="B745" s="41" t="b">
        <f>+IF((PROVEEDORES[[#This Row],[FECHA DE PAGO]]-PROVEEDORES[[#This Row],[FECHA DE FACTURACIÓN]])&gt;PROVEEDORES[[#This Row],[PLAZO Días]],"PAGO VENCIDO")</f>
        <v>0</v>
      </c>
      <c r="C745" s="22">
        <f>+VLOOKUP(PROVEEDORES[[#This Row],[PROVEEDOR]],TERCEROS_INFO[#All],2,FALSE)</f>
        <v>30</v>
      </c>
      <c r="D745" s="27">
        <f>+SUMIFS(PROVEEDORES[Total],PROVEEDORES[PROVEEDOR],PROVEEDORES[[#This Row],[PROVEEDOR]],PROVEEDORES[FECHA DE PAGO],"")</f>
        <v>275944.33</v>
      </c>
      <c r="E745" s="27"/>
      <c r="F745" s="62" t="str">
        <f>+VLOOKUP(PROVEEDORES[[#This Row],[PROVEEDOR]],
                       Terceros!$A:$G,
                       6,
                       FALSE)</f>
        <v>facturacion@losmolinos.com.co</v>
      </c>
      <c r="G745" s="95">
        <v>44483</v>
      </c>
      <c r="H745" s="28" t="s">
        <v>342</v>
      </c>
      <c r="I745" s="95">
        <v>44470</v>
      </c>
      <c r="J745" s="38" t="s">
        <v>838</v>
      </c>
      <c r="K745" s="23">
        <v>122980</v>
      </c>
      <c r="L745" s="23"/>
      <c r="M745" s="24">
        <v>23366.2</v>
      </c>
      <c r="N745" s="25"/>
      <c r="O745" s="24">
        <v>0</v>
      </c>
      <c r="P745" s="136">
        <f>+IF(PROVEEDORES[[#This Row],[SUBTOTAL]]&lt;PROVEEDORES[[#This Row],[base retencion]],0,PROVEEDORES[[#This Row],[retención aplicada]])</f>
        <v>0</v>
      </c>
      <c r="Q745" s="24">
        <f>+PROVEEDORES[[#This Row],[Rete Fuente %]]*PROVEEDORES[[#This Row],[SUBTOTAL]]</f>
        <v>0</v>
      </c>
      <c r="R745" s="23">
        <v>146346.20000000001</v>
      </c>
      <c r="S74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5" s="99">
        <f ca="1">IF(PROVEEDORES[[#This Row],[FECHA DE PAGO]]=0,TODAY()-PROVEEDORES[[#This Row],[FECHA DE FACTURACIÓN]]-PROVEEDORES[[#This Row],[PLAZO Días]],0)</f>
        <v>0</v>
      </c>
      <c r="U745" s="149">
        <f>+VLOOKUP(PROVEEDORES[[#This Row],[PROVEEDOR]],Terceros!$A:$E,5,FALSE)</f>
        <v>0</v>
      </c>
      <c r="V745" s="150">
        <f>+YEAR(PROVEEDORES[[#This Row],[FECHA DE FACTURACIÓN]])</f>
        <v>2021</v>
      </c>
      <c r="W745" s="150">
        <f>+MATCH(PROVEEDORES[[#This Row],[año facturado]],Retenciones!$1:$1,0)</f>
        <v>4</v>
      </c>
      <c r="X745" s="151">
        <f>+VLOOKUP(PROVEEDORES[[#This Row],[ID RETENCION]],Retenciones!$A$1:$O$24,PROVEEDORES[[#This Row],[indicador de columna]],FALSE)</f>
        <v>0</v>
      </c>
      <c r="Y745" s="152">
        <f>+VLOOKUP(PROVEEDORES[[#This Row],[ID RETENCION]],Retenciones!$A$1:$O$24,2,FALSE)</f>
        <v>0</v>
      </c>
      <c r="Z745" s="26"/>
      <c r="AA745" s="26"/>
      <c r="AB745" s="26"/>
      <c r="AC745" s="26"/>
      <c r="AD745" s="26"/>
      <c r="AE745" s="26"/>
    </row>
    <row r="746" spans="1:31" ht="21.95" customHeight="1" x14ac:dyDescent="0.25">
      <c r="A746" s="97" t="str">
        <f>+IF(PROVEEDORES[[#This Row],[FECHA DE PAGO]]=PROVEEDORES[[#This Row],[FECHA DE FACTURACIÓN]],"DE CONTADO","CRÉDITO")</f>
        <v>CRÉDITO</v>
      </c>
      <c r="B746" s="41" t="b">
        <f>+IF((PROVEEDORES[[#This Row],[FECHA DE PAGO]]-PROVEEDORES[[#This Row],[FECHA DE FACTURACIÓN]])&gt;PROVEEDORES[[#This Row],[PLAZO Días]],"PAGO VENCIDO")</f>
        <v>0</v>
      </c>
      <c r="C746" s="22">
        <f>+VLOOKUP(PROVEEDORES[[#This Row],[PROVEEDOR]],TERCEROS_INFO[#All],2,FALSE)</f>
        <v>30</v>
      </c>
      <c r="D746" s="27">
        <f>+SUMIFS(PROVEEDORES[Total],PROVEEDORES[PROVEEDOR],PROVEEDORES[[#This Row],[PROVEEDOR]],PROVEEDORES[FECHA DE PAGO],"")</f>
        <v>275944.33</v>
      </c>
      <c r="E746" s="27"/>
      <c r="F746" s="62" t="str">
        <f>+VLOOKUP(PROVEEDORES[[#This Row],[PROVEEDOR]],
                       Terceros!$A:$G,
                       6,
                       FALSE)</f>
        <v>facturacion@losmolinos.com.co</v>
      </c>
      <c r="G746" s="95">
        <v>44483</v>
      </c>
      <c r="H746" s="28" t="s">
        <v>342</v>
      </c>
      <c r="I746" s="95">
        <v>44470</v>
      </c>
      <c r="J746" s="38">
        <v>64608</v>
      </c>
      <c r="K746" s="23">
        <v>302624.74</v>
      </c>
      <c r="L746" s="23"/>
      <c r="M746" s="24">
        <v>0</v>
      </c>
      <c r="N746" s="25"/>
      <c r="O746" s="24">
        <v>54722.770000000004</v>
      </c>
      <c r="P746" s="136">
        <f>+IF(PROVEEDORES[[#This Row],[SUBTOTAL]]&lt;PROVEEDORES[[#This Row],[base retencion]],0,PROVEEDORES[[#This Row],[retención aplicada]])</f>
        <v>0</v>
      </c>
      <c r="Q746" s="24">
        <f>+PROVEEDORES[[#This Row],[Rete Fuente %]]*PROVEEDORES[[#This Row],[SUBTOTAL]]</f>
        <v>0</v>
      </c>
      <c r="R746" s="23">
        <v>247901.96999999997</v>
      </c>
      <c r="S74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6" s="99">
        <f ca="1">IF(PROVEEDORES[[#This Row],[FECHA DE PAGO]]=0,TODAY()-PROVEEDORES[[#This Row],[FECHA DE FACTURACIÓN]]-PROVEEDORES[[#This Row],[PLAZO Días]],0)</f>
        <v>0</v>
      </c>
      <c r="U746" s="149">
        <f>+VLOOKUP(PROVEEDORES[[#This Row],[PROVEEDOR]],Terceros!$A:$E,5,FALSE)</f>
        <v>0</v>
      </c>
      <c r="V746" s="150">
        <f>+YEAR(PROVEEDORES[[#This Row],[FECHA DE FACTURACIÓN]])</f>
        <v>2021</v>
      </c>
      <c r="W746" s="150">
        <f>+MATCH(PROVEEDORES[[#This Row],[año facturado]],Retenciones!$1:$1,0)</f>
        <v>4</v>
      </c>
      <c r="X746" s="151">
        <f>+VLOOKUP(PROVEEDORES[[#This Row],[ID RETENCION]],Retenciones!$A$1:$O$24,PROVEEDORES[[#This Row],[indicador de columna]],FALSE)</f>
        <v>0</v>
      </c>
      <c r="Y746" s="152">
        <f>+VLOOKUP(PROVEEDORES[[#This Row],[ID RETENCION]],Retenciones!$A$1:$O$24,2,FALSE)</f>
        <v>0</v>
      </c>
      <c r="Z746" s="26"/>
      <c r="AA746" s="26"/>
      <c r="AB746" s="26"/>
      <c r="AC746" s="26"/>
      <c r="AD746" s="26"/>
      <c r="AE746" s="26"/>
    </row>
    <row r="747" spans="1:31" ht="21.95" customHeight="1" x14ac:dyDescent="0.25">
      <c r="A747" s="97" t="str">
        <f>+IF(PROVEEDORES[[#This Row],[FECHA DE PAGO]]=PROVEEDORES[[#This Row],[FECHA DE FACTURACIÓN]],"DE CONTADO","CRÉDITO")</f>
        <v>CRÉDITO</v>
      </c>
      <c r="B747" s="41" t="b">
        <f>+IF((PROVEEDORES[[#This Row],[FECHA DE PAGO]]-PROVEEDORES[[#This Row],[FECHA DE FACTURACIÓN]])&gt;PROVEEDORES[[#This Row],[PLAZO Días]],"PAGO VENCIDO")</f>
        <v>0</v>
      </c>
      <c r="C747" s="22">
        <f>+VLOOKUP(PROVEEDORES[[#This Row],[PROVEEDOR]],TERCEROS_INFO[#All],2,FALSE)</f>
        <v>13</v>
      </c>
      <c r="D747" s="27">
        <f>+SUMIFS(PROVEEDORES[Total],PROVEEDORES[PROVEEDOR],PROVEEDORES[[#This Row],[PROVEEDOR]],PROVEEDORES[FECHA DE PAGO],"")</f>
        <v>2130283</v>
      </c>
      <c r="E747" s="27"/>
      <c r="F747" s="62">
        <f>+VLOOKUP(PROVEEDORES[[#This Row],[PROVEEDOR]],
                       Terceros!$A:$G,
                       6,
                       FALSE)</f>
        <v>0</v>
      </c>
      <c r="G747" s="95">
        <v>44483</v>
      </c>
      <c r="H747" s="28" t="s">
        <v>326</v>
      </c>
      <c r="I747" s="95">
        <v>44470</v>
      </c>
      <c r="J747" s="38" t="s">
        <v>328</v>
      </c>
      <c r="K747" s="23">
        <v>313385</v>
      </c>
      <c r="L747" s="23"/>
      <c r="M747" s="24">
        <v>0</v>
      </c>
      <c r="N747" s="25"/>
      <c r="O747" s="24">
        <v>0</v>
      </c>
      <c r="P747" s="136">
        <f>+IF(PROVEEDORES[[#This Row],[SUBTOTAL]]&lt;PROVEEDORES[[#This Row],[base retencion]],0,PROVEEDORES[[#This Row],[retención aplicada]])</f>
        <v>0</v>
      </c>
      <c r="Q747" s="24">
        <f>+PROVEEDORES[[#This Row],[Rete Fuente %]]*PROVEEDORES[[#This Row],[SUBTOTAL]]</f>
        <v>0</v>
      </c>
      <c r="R747" s="23">
        <v>313385</v>
      </c>
      <c r="S74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7" s="99">
        <f ca="1">IF(PROVEEDORES[[#This Row],[FECHA DE PAGO]]=0,TODAY()-PROVEEDORES[[#This Row],[FECHA DE FACTURACIÓN]]-PROVEEDORES[[#This Row],[PLAZO Días]],0)</f>
        <v>0</v>
      </c>
      <c r="U747" s="149">
        <f>+VLOOKUP(PROVEEDORES[[#This Row],[PROVEEDOR]],Terceros!$A:$E,5,FALSE)</f>
        <v>0</v>
      </c>
      <c r="V747" s="150">
        <f>+YEAR(PROVEEDORES[[#This Row],[FECHA DE FACTURACIÓN]])</f>
        <v>2021</v>
      </c>
      <c r="W747" s="150">
        <f>+MATCH(PROVEEDORES[[#This Row],[año facturado]],Retenciones!$1:$1,0)</f>
        <v>4</v>
      </c>
      <c r="X747" s="151">
        <f>+VLOOKUP(PROVEEDORES[[#This Row],[ID RETENCION]],Retenciones!$A$1:$O$24,PROVEEDORES[[#This Row],[indicador de columna]],FALSE)</f>
        <v>0</v>
      </c>
      <c r="Y747" s="152">
        <f>+VLOOKUP(PROVEEDORES[[#This Row],[ID RETENCION]],Retenciones!$A$1:$O$24,2,FALSE)</f>
        <v>0</v>
      </c>
      <c r="Z747" s="26"/>
      <c r="AA747" s="26"/>
      <c r="AB747" s="26"/>
      <c r="AC747" s="26"/>
      <c r="AD747" s="26"/>
      <c r="AE747" s="26"/>
    </row>
    <row r="748" spans="1:31" ht="21.95" customHeight="1" x14ac:dyDescent="0.25">
      <c r="A748" s="97" t="str">
        <f>+IF(PROVEEDORES[[#This Row],[FECHA DE PAGO]]=PROVEEDORES[[#This Row],[FECHA DE FACTURACIÓN]],"DE CONTADO","CRÉDITO")</f>
        <v>CRÉDITO</v>
      </c>
      <c r="B748" s="41" t="b">
        <f>+IF((PROVEEDORES[[#This Row],[FECHA DE PAGO]]-PROVEEDORES[[#This Row],[FECHA DE FACTURACIÓN]])&gt;PROVEEDORES[[#This Row],[PLAZO Días]],"PAGO VENCIDO")</f>
        <v>0</v>
      </c>
      <c r="C748" s="22">
        <f>+VLOOKUP(PROVEEDORES[[#This Row],[PROVEEDOR]],TERCEROS_INFO[#All],2,FALSE)</f>
        <v>18</v>
      </c>
      <c r="D748" s="27">
        <f>+SUMIFS(PROVEEDORES[Total],PROVEEDORES[PROVEEDOR],PROVEEDORES[[#This Row],[PROVEEDOR]],PROVEEDORES[FECHA DE PAGO],"")</f>
        <v>0</v>
      </c>
      <c r="E748" s="27"/>
      <c r="F748" s="62">
        <f>+VLOOKUP(PROVEEDORES[[#This Row],[PROVEEDOR]],
                       Terceros!$A:$G,
                       6,
                       FALSE)</f>
        <v>0</v>
      </c>
      <c r="G748" s="95">
        <v>44484</v>
      </c>
      <c r="H748" s="28" t="s">
        <v>546</v>
      </c>
      <c r="I748" s="95">
        <v>44470</v>
      </c>
      <c r="J748" s="38" t="s">
        <v>839</v>
      </c>
      <c r="K748" s="23">
        <v>199164</v>
      </c>
      <c r="L748" s="23"/>
      <c r="M748" s="24">
        <v>0</v>
      </c>
      <c r="N748" s="25"/>
      <c r="O748" s="24">
        <v>0</v>
      </c>
      <c r="P748" s="136">
        <f>+IF(PROVEEDORES[[#This Row],[SUBTOTAL]]&lt;PROVEEDORES[[#This Row],[base retencion]],0,PROVEEDORES[[#This Row],[retención aplicada]])</f>
        <v>0</v>
      </c>
      <c r="Q748" s="24">
        <f>+PROVEEDORES[[#This Row],[Rete Fuente %]]*PROVEEDORES[[#This Row],[SUBTOTAL]]</f>
        <v>0</v>
      </c>
      <c r="R748" s="23">
        <v>199164</v>
      </c>
      <c r="S74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8" s="99">
        <f ca="1">IF(PROVEEDORES[[#This Row],[FECHA DE PAGO]]=0,TODAY()-PROVEEDORES[[#This Row],[FECHA DE FACTURACIÓN]]-PROVEEDORES[[#This Row],[PLAZO Días]],0)</f>
        <v>0</v>
      </c>
      <c r="U748" s="149">
        <f>+VLOOKUP(PROVEEDORES[[#This Row],[PROVEEDOR]],Terceros!$A:$E,5,FALSE)</f>
        <v>0</v>
      </c>
      <c r="V748" s="150">
        <f>+YEAR(PROVEEDORES[[#This Row],[FECHA DE FACTURACIÓN]])</f>
        <v>2021</v>
      </c>
      <c r="W748" s="150">
        <f>+MATCH(PROVEEDORES[[#This Row],[año facturado]],Retenciones!$1:$1,0)</f>
        <v>4</v>
      </c>
      <c r="X748" s="151">
        <f>+VLOOKUP(PROVEEDORES[[#This Row],[ID RETENCION]],Retenciones!$A$1:$O$24,PROVEEDORES[[#This Row],[indicador de columna]],FALSE)</f>
        <v>0</v>
      </c>
      <c r="Y748" s="152">
        <f>+VLOOKUP(PROVEEDORES[[#This Row],[ID RETENCION]],Retenciones!$A$1:$O$24,2,FALSE)</f>
        <v>0</v>
      </c>
      <c r="Z748" s="26"/>
      <c r="AA748" s="26"/>
      <c r="AB748" s="26"/>
      <c r="AC748" s="26"/>
      <c r="AD748" s="26"/>
      <c r="AE748" s="26"/>
    </row>
    <row r="749" spans="1:31" ht="21.95" customHeight="1" x14ac:dyDescent="0.25">
      <c r="A749" s="97" t="str">
        <f>+IF(PROVEEDORES[[#This Row],[FECHA DE PAGO]]=PROVEEDORES[[#This Row],[FECHA DE FACTURACIÓN]],"DE CONTADO","CRÉDITO")</f>
        <v>CRÉDITO</v>
      </c>
      <c r="B749" s="41" t="str">
        <f>+IF((PROVEEDORES[[#This Row],[FECHA DE PAGO]]-PROVEEDORES[[#This Row],[FECHA DE FACTURACIÓN]])&gt;PROVEEDORES[[#This Row],[PLAZO Días]],"PAGO VENCIDO")</f>
        <v>PAGO VENCIDO</v>
      </c>
      <c r="C749" s="22">
        <f>+VLOOKUP(PROVEEDORES[[#This Row],[PROVEEDOR]],TERCEROS_INFO[#All],2,FALSE)</f>
        <v>30</v>
      </c>
      <c r="D749" s="27">
        <f>+SUMIFS(PROVEEDORES[Total],PROVEEDORES[PROVEEDOR],PROVEEDORES[[#This Row],[PROVEEDOR]],PROVEEDORES[FECHA DE PAGO],"")</f>
        <v>3844432.4999000002</v>
      </c>
      <c r="E749" s="27"/>
      <c r="F749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749" s="95">
        <v>44488</v>
      </c>
      <c r="H749" s="28" t="s">
        <v>18</v>
      </c>
      <c r="I749" s="95">
        <v>44441</v>
      </c>
      <c r="J749" s="38">
        <v>1042560</v>
      </c>
      <c r="K749" s="23">
        <v>658286.4</v>
      </c>
      <c r="L749" s="23"/>
      <c r="M749" s="24">
        <v>125074.41600000001</v>
      </c>
      <c r="N749" s="25"/>
      <c r="O749" s="24">
        <v>0</v>
      </c>
      <c r="P749" s="136">
        <f>+IF(PROVEEDORES[[#This Row],[SUBTOTAL]]&lt;PROVEEDORES[[#This Row],[base retencion]],0,PROVEEDORES[[#This Row],[retención aplicada]])</f>
        <v>0</v>
      </c>
      <c r="Q749" s="24">
        <f>+PROVEEDORES[[#This Row],[Rete Fuente %]]*PROVEEDORES[[#This Row],[SUBTOTAL]]</f>
        <v>0</v>
      </c>
      <c r="R749" s="23">
        <v>783360.81599999999</v>
      </c>
      <c r="S74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9" s="99">
        <f ca="1">IF(PROVEEDORES[[#This Row],[FECHA DE PAGO]]=0,TODAY()-PROVEEDORES[[#This Row],[FECHA DE FACTURACIÓN]]-PROVEEDORES[[#This Row],[PLAZO Días]],0)</f>
        <v>0</v>
      </c>
      <c r="U749" s="149" t="str">
        <f>+VLOOKUP(PROVEEDORES[[#This Row],[PROVEEDOR]],Terceros!$A:$E,5,FALSE)</f>
        <v>2,5% con base</v>
      </c>
      <c r="V749" s="150">
        <f>+YEAR(PROVEEDORES[[#This Row],[FECHA DE FACTURACIÓN]])</f>
        <v>2021</v>
      </c>
      <c r="W749" s="150">
        <f>+MATCH(PROVEEDORES[[#This Row],[año facturado]],Retenciones!$1:$1,0)</f>
        <v>4</v>
      </c>
      <c r="X749" s="151">
        <f>+VLOOKUP(PROVEEDORES[[#This Row],[ID RETENCION]],Retenciones!$A$1:$O$24,PROVEEDORES[[#This Row],[indicador de columna]],FALSE)</f>
        <v>980000</v>
      </c>
      <c r="Y749" s="152">
        <f>+VLOOKUP(PROVEEDORES[[#This Row],[ID RETENCION]],Retenciones!$A$1:$O$24,2,FALSE)</f>
        <v>2.5000000000000001E-2</v>
      </c>
      <c r="Z749" s="26"/>
      <c r="AA749" s="26"/>
      <c r="AB749" s="26"/>
      <c r="AC749" s="26"/>
      <c r="AD749" s="26"/>
      <c r="AE749" s="26"/>
    </row>
    <row r="750" spans="1:31" ht="21.95" customHeight="1" x14ac:dyDescent="0.25">
      <c r="A750" s="97" t="str">
        <f>+IF(PROVEEDORES[[#This Row],[FECHA DE PAGO]]=PROVEEDORES[[#This Row],[FECHA DE FACTURACIÓN]],"DE CONTADO","CRÉDITO")</f>
        <v>CRÉDITO</v>
      </c>
      <c r="B750" s="41" t="str">
        <f>+IF((PROVEEDORES[[#This Row],[FECHA DE PAGO]]-PROVEEDORES[[#This Row],[FECHA DE FACTURACIÓN]])&gt;PROVEEDORES[[#This Row],[PLAZO Días]],"PAGO VENCIDO")</f>
        <v>PAGO VENCIDO</v>
      </c>
      <c r="C750" s="22">
        <f>+VLOOKUP(PROVEEDORES[[#This Row],[PROVEEDOR]],TERCEROS_INFO[#All],2,FALSE)</f>
        <v>45</v>
      </c>
      <c r="D750" s="27">
        <f>+SUMIFS(PROVEEDORES[Total],PROVEEDORES[PROVEEDOR],PROVEEDORES[[#This Row],[PROVEEDOR]],PROVEEDORES[FECHA DE PAGO],"")</f>
        <v>37184068.039999999</v>
      </c>
      <c r="E750" s="27"/>
      <c r="F750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750" s="95">
        <v>44498</v>
      </c>
      <c r="H750" s="28" t="s">
        <v>19</v>
      </c>
      <c r="I750" s="95">
        <v>44441</v>
      </c>
      <c r="J750" s="38" t="s">
        <v>515</v>
      </c>
      <c r="K750" s="23">
        <v>708480</v>
      </c>
      <c r="L750" s="23"/>
      <c r="M750" s="24">
        <v>134611.20000000001</v>
      </c>
      <c r="N750" s="25"/>
      <c r="O750" s="24">
        <v>0</v>
      </c>
      <c r="P750" s="136">
        <f>+IF(PROVEEDORES[[#This Row],[SUBTOTAL]]&lt;PROVEEDORES[[#This Row],[base retencion]],0,PROVEEDORES[[#This Row],[retención aplicada]])</f>
        <v>0</v>
      </c>
      <c r="Q750" s="24">
        <f>+PROVEEDORES[[#This Row],[Rete Fuente %]]*PROVEEDORES[[#This Row],[SUBTOTAL]]</f>
        <v>0</v>
      </c>
      <c r="R750" s="23">
        <v>843091.2</v>
      </c>
      <c r="S75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0" s="99">
        <f ca="1">IF(PROVEEDORES[[#This Row],[FECHA DE PAGO]]=0,TODAY()-PROVEEDORES[[#This Row],[FECHA DE FACTURACIÓN]]-PROVEEDORES[[#This Row],[PLAZO Días]],0)</f>
        <v>0</v>
      </c>
      <c r="U750" s="149">
        <f>+VLOOKUP(PROVEEDORES[[#This Row],[PROVEEDOR]],Terceros!$A:$E,5,FALSE)</f>
        <v>0</v>
      </c>
      <c r="V750" s="150">
        <f>+YEAR(PROVEEDORES[[#This Row],[FECHA DE FACTURACIÓN]])</f>
        <v>2021</v>
      </c>
      <c r="W750" s="150">
        <f>+MATCH(PROVEEDORES[[#This Row],[año facturado]],Retenciones!$1:$1,0)</f>
        <v>4</v>
      </c>
      <c r="X750" s="151">
        <f>+VLOOKUP(PROVEEDORES[[#This Row],[ID RETENCION]],Retenciones!$A$1:$O$24,PROVEEDORES[[#This Row],[indicador de columna]],FALSE)</f>
        <v>0</v>
      </c>
      <c r="Y750" s="152">
        <f>+VLOOKUP(PROVEEDORES[[#This Row],[ID RETENCION]],Retenciones!$A$1:$O$24,2,FALSE)</f>
        <v>0</v>
      </c>
      <c r="Z750" s="26"/>
      <c r="AA750" s="26"/>
      <c r="AB750" s="26"/>
      <c r="AC750" s="26"/>
      <c r="AD750" s="26"/>
      <c r="AE750" s="26"/>
    </row>
    <row r="751" spans="1:31" ht="21.95" customHeight="1" x14ac:dyDescent="0.25">
      <c r="A751" s="97" t="str">
        <f>+IF(PROVEEDORES[[#This Row],[FECHA DE PAGO]]=PROVEEDORES[[#This Row],[FECHA DE FACTURACIÓN]],"DE CONTADO","CRÉDITO")</f>
        <v>CRÉDITO</v>
      </c>
      <c r="B751" s="41" t="str">
        <f>+IF((PROVEEDORES[[#This Row],[FECHA DE PAGO]]-PROVEEDORES[[#This Row],[FECHA DE FACTURACIÓN]])&gt;PROVEEDORES[[#This Row],[PLAZO Días]],"PAGO VENCIDO")</f>
        <v>PAGO VENCIDO</v>
      </c>
      <c r="C751" s="22">
        <f>+VLOOKUP(PROVEEDORES[[#This Row],[PROVEEDOR]],TERCEROS_INFO[#All],2,FALSE)</f>
        <v>45</v>
      </c>
      <c r="D751" s="27">
        <f>+SUMIFS(PROVEEDORES[Total],PROVEEDORES[PROVEEDOR],PROVEEDORES[[#This Row],[PROVEEDOR]],PROVEEDORES[FECHA DE PAGO],"")</f>
        <v>37184068.039999999</v>
      </c>
      <c r="E751" s="27"/>
      <c r="F751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751" s="95">
        <v>44491</v>
      </c>
      <c r="H751" s="28" t="s">
        <v>19</v>
      </c>
      <c r="I751" s="95">
        <v>44441</v>
      </c>
      <c r="J751" s="38" t="s">
        <v>514</v>
      </c>
      <c r="K751" s="23">
        <v>10347345</v>
      </c>
      <c r="L751" s="23"/>
      <c r="M751" s="24">
        <v>1965995.55</v>
      </c>
      <c r="N751" s="25"/>
      <c r="O751" s="24">
        <v>0</v>
      </c>
      <c r="P751" s="136">
        <f>+IF(PROVEEDORES[[#This Row],[SUBTOTAL]]&lt;PROVEEDORES[[#This Row],[base retencion]],0,PROVEEDORES[[#This Row],[retención aplicada]])</f>
        <v>0</v>
      </c>
      <c r="Q751" s="24">
        <f>+PROVEEDORES[[#This Row],[Rete Fuente %]]*PROVEEDORES[[#This Row],[SUBTOTAL]]</f>
        <v>0</v>
      </c>
      <c r="R751" s="23">
        <v>12313340.550000001</v>
      </c>
      <c r="S75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1" s="99">
        <f ca="1">IF(PROVEEDORES[[#This Row],[FECHA DE PAGO]]=0,TODAY()-PROVEEDORES[[#This Row],[FECHA DE FACTURACIÓN]]-PROVEEDORES[[#This Row],[PLAZO Días]],0)</f>
        <v>0</v>
      </c>
      <c r="U751" s="149">
        <f>+VLOOKUP(PROVEEDORES[[#This Row],[PROVEEDOR]],Terceros!$A:$E,5,FALSE)</f>
        <v>0</v>
      </c>
      <c r="V751" s="150">
        <f>+YEAR(PROVEEDORES[[#This Row],[FECHA DE FACTURACIÓN]])</f>
        <v>2021</v>
      </c>
      <c r="W751" s="150">
        <f>+MATCH(PROVEEDORES[[#This Row],[año facturado]],Retenciones!$1:$1,0)</f>
        <v>4</v>
      </c>
      <c r="X751" s="151">
        <f>+VLOOKUP(PROVEEDORES[[#This Row],[ID RETENCION]],Retenciones!$A$1:$O$24,PROVEEDORES[[#This Row],[indicador de columna]],FALSE)</f>
        <v>0</v>
      </c>
      <c r="Y751" s="152">
        <f>+VLOOKUP(PROVEEDORES[[#This Row],[ID RETENCION]],Retenciones!$A$1:$O$24,2,FALSE)</f>
        <v>0</v>
      </c>
      <c r="Z751" s="26"/>
      <c r="AA751" s="26"/>
      <c r="AB751" s="26"/>
      <c r="AC751" s="26"/>
      <c r="AD751" s="26"/>
      <c r="AE751" s="26"/>
    </row>
    <row r="752" spans="1:31" ht="21.95" customHeight="1" x14ac:dyDescent="0.25">
      <c r="A752" s="97" t="str">
        <f>+IF(PROVEEDORES[[#This Row],[FECHA DE PAGO]]=PROVEEDORES[[#This Row],[FECHA DE FACTURACIÓN]],"DE CONTADO","CRÉDITO")</f>
        <v>CRÉDITO</v>
      </c>
      <c r="B752" s="41" t="b">
        <f>+IF((PROVEEDORES[[#This Row],[FECHA DE PAGO]]-PROVEEDORES[[#This Row],[FECHA DE FACTURACIÓN]])&gt;PROVEEDORES[[#This Row],[PLAZO Días]],"PAGO VENCIDO")</f>
        <v>0</v>
      </c>
      <c r="C752" s="22">
        <f>+VLOOKUP(PROVEEDORES[[#This Row],[PROVEEDOR]],TERCEROS_INFO[#All],2,FALSE)</f>
        <v>20</v>
      </c>
      <c r="D752" s="27">
        <f>+SUMIFS(PROVEEDORES[Total],PROVEEDORES[PROVEEDOR],PROVEEDORES[[#This Row],[PROVEEDOR]],PROVEEDORES[FECHA DE PAGO],"")</f>
        <v>0</v>
      </c>
      <c r="E752" s="27"/>
      <c r="F752" s="62" t="str">
        <f>+VLOOKUP(PROVEEDORES[[#This Row],[PROVEEDOR]],
                       Terceros!$A:$G,
                       6,
                       FALSE)</f>
        <v>pse</v>
      </c>
      <c r="G752" s="95">
        <v>44484</v>
      </c>
      <c r="H752" s="28" t="s">
        <v>370</v>
      </c>
      <c r="I752" s="95">
        <v>44470</v>
      </c>
      <c r="J752" s="38"/>
      <c r="K752" s="23">
        <v>329148</v>
      </c>
      <c r="L752" s="23"/>
      <c r="M752" s="24">
        <v>0</v>
      </c>
      <c r="N752" s="25"/>
      <c r="O752" s="24">
        <v>0</v>
      </c>
      <c r="P752" s="136">
        <f>+IF(PROVEEDORES[[#This Row],[SUBTOTAL]]&lt;PROVEEDORES[[#This Row],[base retencion]],0,PROVEEDORES[[#This Row],[retención aplicada]])</f>
        <v>0</v>
      </c>
      <c r="Q752" s="24">
        <f>+PROVEEDORES[[#This Row],[Rete Fuente %]]*PROVEEDORES[[#This Row],[SUBTOTAL]]</f>
        <v>0</v>
      </c>
      <c r="R752" s="23">
        <v>329148</v>
      </c>
      <c r="S75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2" s="99">
        <f ca="1">IF(PROVEEDORES[[#This Row],[FECHA DE PAGO]]=0,TODAY()-PROVEEDORES[[#This Row],[FECHA DE FACTURACIÓN]]-PROVEEDORES[[#This Row],[PLAZO Días]],0)</f>
        <v>0</v>
      </c>
      <c r="U752" s="149">
        <f>+VLOOKUP(PROVEEDORES[[#This Row],[PROVEEDOR]],Terceros!$A:$E,5,FALSE)</f>
        <v>0</v>
      </c>
      <c r="V752" s="150">
        <f>+YEAR(PROVEEDORES[[#This Row],[FECHA DE FACTURACIÓN]])</f>
        <v>2021</v>
      </c>
      <c r="W752" s="150">
        <f>+MATCH(PROVEEDORES[[#This Row],[año facturado]],Retenciones!$1:$1,0)</f>
        <v>4</v>
      </c>
      <c r="X752" s="151">
        <f>+VLOOKUP(PROVEEDORES[[#This Row],[ID RETENCION]],Retenciones!$A$1:$O$24,PROVEEDORES[[#This Row],[indicador de columna]],FALSE)</f>
        <v>0</v>
      </c>
      <c r="Y752" s="152">
        <f>+VLOOKUP(PROVEEDORES[[#This Row],[ID RETENCION]],Retenciones!$A$1:$O$24,2,FALSE)</f>
        <v>0</v>
      </c>
      <c r="Z752" s="26"/>
      <c r="AA752" s="26"/>
      <c r="AB752" s="26"/>
      <c r="AC752" s="26"/>
      <c r="AD752" s="26"/>
      <c r="AE752" s="26"/>
    </row>
    <row r="753" spans="1:31" ht="21.95" customHeight="1" x14ac:dyDescent="0.25">
      <c r="A753" s="97" t="str">
        <f>+IF(PROVEEDORES[[#This Row],[FECHA DE PAGO]]=PROVEEDORES[[#This Row],[FECHA DE FACTURACIÓN]],"DE CONTADO","CRÉDITO")</f>
        <v>CRÉDITO</v>
      </c>
      <c r="B753" s="41" t="str">
        <f>+IF((PROVEEDORES[[#This Row],[FECHA DE PAGO]]-PROVEEDORES[[#This Row],[FECHA DE FACTURACIÓN]])&gt;PROVEEDORES[[#This Row],[PLAZO Días]],"PAGO VENCIDO")</f>
        <v>PAGO VENCIDO</v>
      </c>
      <c r="C753" s="22">
        <f>+VLOOKUP(PROVEEDORES[[#This Row],[PROVEEDOR]],TERCEROS_INFO[#All],2,FALSE)</f>
        <v>30</v>
      </c>
      <c r="D753" s="27">
        <f>+SUMIFS(PROVEEDORES[Total],PROVEEDORES[PROVEEDOR],PROVEEDORES[[#This Row],[PROVEEDOR]],PROVEEDORES[FECHA DE PAGO],"")</f>
        <v>452687.9</v>
      </c>
      <c r="E753" s="27"/>
      <c r="F753" s="62" t="str">
        <f>+VLOOKUP(PROVEEDORES[[#This Row],[PROVEEDOR]],
                       Terceros!$A:$G,
                       6,
                       FALSE)</f>
        <v>soluenergiacentro@une.net.co;girlesa.ruiz@servipilas.com;joriescobar64@gmail.com</v>
      </c>
      <c r="G753" s="95">
        <v>44476</v>
      </c>
      <c r="H753" s="28" t="s">
        <v>39</v>
      </c>
      <c r="I753" s="95">
        <v>44442</v>
      </c>
      <c r="J753" s="38">
        <v>785</v>
      </c>
      <c r="K753" s="23">
        <v>519820</v>
      </c>
      <c r="L753" s="23"/>
      <c r="M753" s="24">
        <v>98765.8</v>
      </c>
      <c r="N753" s="25"/>
      <c r="O753" s="24">
        <v>0</v>
      </c>
      <c r="P753" s="136">
        <f>+IF(PROVEEDORES[[#This Row],[SUBTOTAL]]&lt;PROVEEDORES[[#This Row],[base retencion]],0,PROVEEDORES[[#This Row],[retención aplicada]])</f>
        <v>0</v>
      </c>
      <c r="Q753" s="24">
        <f>+PROVEEDORES[[#This Row],[Rete Fuente %]]*PROVEEDORES[[#This Row],[SUBTOTAL]]</f>
        <v>0</v>
      </c>
      <c r="R753" s="23">
        <v>618585.80000000005</v>
      </c>
      <c r="S75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3" s="99">
        <f ca="1">IF(PROVEEDORES[[#This Row],[FECHA DE PAGO]]=0,TODAY()-PROVEEDORES[[#This Row],[FECHA DE FACTURACIÓN]]-PROVEEDORES[[#This Row],[PLAZO Días]],0)</f>
        <v>0</v>
      </c>
      <c r="U753" s="149" t="str">
        <f>+VLOOKUP(PROVEEDORES[[#This Row],[PROVEEDOR]],Terceros!$A:$E,5,FALSE)</f>
        <v>2,5% con base</v>
      </c>
      <c r="V753" s="150">
        <f>+YEAR(PROVEEDORES[[#This Row],[FECHA DE FACTURACIÓN]])</f>
        <v>2021</v>
      </c>
      <c r="W753" s="150">
        <f>+MATCH(PROVEEDORES[[#This Row],[año facturado]],Retenciones!$1:$1,0)</f>
        <v>4</v>
      </c>
      <c r="X753" s="151">
        <f>+VLOOKUP(PROVEEDORES[[#This Row],[ID RETENCION]],Retenciones!$A$1:$O$24,PROVEEDORES[[#This Row],[indicador de columna]],FALSE)</f>
        <v>980000</v>
      </c>
      <c r="Y753" s="152">
        <f>+VLOOKUP(PROVEEDORES[[#This Row],[ID RETENCION]],Retenciones!$A$1:$O$24,2,FALSE)</f>
        <v>2.5000000000000001E-2</v>
      </c>
      <c r="Z753" s="26"/>
      <c r="AA753" s="26"/>
      <c r="AB753" s="26"/>
      <c r="AC753" s="26"/>
      <c r="AD753" s="26"/>
      <c r="AE753" s="26"/>
    </row>
    <row r="754" spans="1:31" ht="21.95" customHeight="1" x14ac:dyDescent="0.25">
      <c r="A754" s="97" t="str">
        <f>+IF(PROVEEDORES[[#This Row],[FECHA DE PAGO]]=PROVEEDORES[[#This Row],[FECHA DE FACTURACIÓN]],"DE CONTADO","CRÉDITO")</f>
        <v>DE CONTADO</v>
      </c>
      <c r="B754" s="41" t="b">
        <f>+IF((PROVEEDORES[[#This Row],[FECHA DE PAGO]]-PROVEEDORES[[#This Row],[FECHA DE FACTURACIÓN]])&gt;PROVEEDORES[[#This Row],[PLAZO Días]],"PAGO VENCIDO")</f>
        <v>0</v>
      </c>
      <c r="C754" s="22">
        <f>+VLOOKUP(PROVEEDORES[[#This Row],[PROVEEDOR]],TERCEROS_INFO[#All],2,FALSE)</f>
        <v>30</v>
      </c>
      <c r="D754" s="27">
        <f>+SUMIFS(PROVEEDORES[Total],PROVEEDORES[PROVEEDOR],PROVEEDORES[[#This Row],[PROVEEDOR]],PROVEEDORES[FECHA DE PAGO],"")</f>
        <v>0</v>
      </c>
      <c r="E754" s="27"/>
      <c r="F754" s="62" t="str">
        <f>+VLOOKUP(PROVEEDORES[[#This Row],[PROVEEDOR]],
                       Terceros!$A:$G,
                       6,
                       FALSE)</f>
        <v/>
      </c>
      <c r="G754" s="95">
        <v>44442</v>
      </c>
      <c r="H754" s="28" t="s">
        <v>1046</v>
      </c>
      <c r="I754" s="95">
        <v>44442</v>
      </c>
      <c r="J754" s="38"/>
      <c r="K754" s="23">
        <v>1000000</v>
      </c>
      <c r="L754" s="23"/>
      <c r="M754" s="24">
        <v>0</v>
      </c>
      <c r="N754" s="25"/>
      <c r="O754" s="24">
        <v>0</v>
      </c>
      <c r="P754" s="136">
        <f>+IF(PROVEEDORES[[#This Row],[SUBTOTAL]]&lt;PROVEEDORES[[#This Row],[base retencion]],0,PROVEEDORES[[#This Row],[retención aplicada]])</f>
        <v>0</v>
      </c>
      <c r="Q754" s="24">
        <f>+PROVEEDORES[[#This Row],[Rete Fuente %]]*PROVEEDORES[[#This Row],[SUBTOTAL]]</f>
        <v>0</v>
      </c>
      <c r="R754" s="23">
        <v>1000000</v>
      </c>
      <c r="S75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4" s="99">
        <f ca="1">IF(PROVEEDORES[[#This Row],[FECHA DE PAGO]]=0,TODAY()-PROVEEDORES[[#This Row],[FECHA DE FACTURACIÓN]]-PROVEEDORES[[#This Row],[PLAZO Días]],0)</f>
        <v>0</v>
      </c>
      <c r="U754" s="149">
        <f>+VLOOKUP(PROVEEDORES[[#This Row],[PROVEEDOR]],Terceros!$A:$E,5,FALSE)</f>
        <v>0</v>
      </c>
      <c r="V754" s="150">
        <f>+YEAR(PROVEEDORES[[#This Row],[FECHA DE FACTURACIÓN]])</f>
        <v>2021</v>
      </c>
      <c r="W754" s="150">
        <f>+MATCH(PROVEEDORES[[#This Row],[año facturado]],Retenciones!$1:$1,0)</f>
        <v>4</v>
      </c>
      <c r="X754" s="151">
        <f>+VLOOKUP(PROVEEDORES[[#This Row],[ID RETENCION]],Retenciones!$A$1:$O$24,PROVEEDORES[[#This Row],[indicador de columna]],FALSE)</f>
        <v>0</v>
      </c>
      <c r="Y754" s="152">
        <f>+VLOOKUP(PROVEEDORES[[#This Row],[ID RETENCION]],Retenciones!$A$1:$O$24,2,FALSE)</f>
        <v>0</v>
      </c>
      <c r="Z754" s="26"/>
      <c r="AA754" s="26"/>
      <c r="AB754" s="26"/>
      <c r="AC754" s="26"/>
      <c r="AD754" s="26"/>
      <c r="AE754" s="26"/>
    </row>
    <row r="755" spans="1:31" ht="21.95" customHeight="1" x14ac:dyDescent="0.25">
      <c r="A755" s="97" t="str">
        <f>+IF(PROVEEDORES[[#This Row],[FECHA DE PAGO]]=PROVEEDORES[[#This Row],[FECHA DE FACTURACIÓN]],"DE CONTADO","CRÉDITO")</f>
        <v>CRÉDITO</v>
      </c>
      <c r="B755" s="41" t="b">
        <f>+IF((PROVEEDORES[[#This Row],[FECHA DE PAGO]]-PROVEEDORES[[#This Row],[FECHA DE FACTURACIÓN]])&gt;PROVEEDORES[[#This Row],[PLAZO Días]],"PAGO VENCIDO")</f>
        <v>0</v>
      </c>
      <c r="C755" s="22">
        <f>+VLOOKUP(PROVEEDORES[[#This Row],[PROVEEDOR]],TERCEROS_INFO[#All],2,FALSE)</f>
        <v>90</v>
      </c>
      <c r="D755" s="27">
        <f>+SUMIFS(PROVEEDORES[Total],PROVEEDORES[PROVEEDOR],PROVEEDORES[[#This Row],[PROVEEDOR]],PROVEEDORES[FECHA DE PAGO],"")</f>
        <v>26364243.66155</v>
      </c>
      <c r="E755" s="27"/>
      <c r="F755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755" s="95">
        <v>44488</v>
      </c>
      <c r="H755" s="28" t="s">
        <v>12</v>
      </c>
      <c r="I755" s="95">
        <v>44445</v>
      </c>
      <c r="J755" s="38" t="s">
        <v>550</v>
      </c>
      <c r="K755" s="23">
        <v>0</v>
      </c>
      <c r="L755" s="23"/>
      <c r="M755" s="24">
        <v>0</v>
      </c>
      <c r="N755" s="25"/>
      <c r="O755" s="24">
        <v>0</v>
      </c>
      <c r="P755" s="136">
        <f>+IF(PROVEEDORES[[#This Row],[SUBTOTAL]]&lt;PROVEEDORES[[#This Row],[base retencion]],0,PROVEEDORES[[#This Row],[retención aplicada]])</f>
        <v>0</v>
      </c>
      <c r="Q755" s="24">
        <f>+PROVEEDORES[[#This Row],[Rete Fuente %]]*PROVEEDORES[[#This Row],[SUBTOTAL]]</f>
        <v>0</v>
      </c>
      <c r="R755" s="23">
        <v>0</v>
      </c>
      <c r="S75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5" s="99">
        <f ca="1">IF(PROVEEDORES[[#This Row],[FECHA DE PAGO]]=0,TODAY()-PROVEEDORES[[#This Row],[FECHA DE FACTURACIÓN]]-PROVEEDORES[[#This Row],[PLAZO Días]],0)</f>
        <v>0</v>
      </c>
      <c r="U755" s="149" t="str">
        <f>+VLOOKUP(PROVEEDORES[[#This Row],[PROVEEDOR]],Terceros!$A:$E,5,FALSE)</f>
        <v>2,5% con base</v>
      </c>
      <c r="V755" s="150">
        <f>+YEAR(PROVEEDORES[[#This Row],[FECHA DE FACTURACIÓN]])</f>
        <v>2021</v>
      </c>
      <c r="W755" s="150">
        <f>+MATCH(PROVEEDORES[[#This Row],[año facturado]],Retenciones!$1:$1,0)</f>
        <v>4</v>
      </c>
      <c r="X755" s="151">
        <f>+VLOOKUP(PROVEEDORES[[#This Row],[ID RETENCION]],Retenciones!$A$1:$O$24,PROVEEDORES[[#This Row],[indicador de columna]],FALSE)</f>
        <v>980000</v>
      </c>
      <c r="Y755" s="152">
        <f>+VLOOKUP(PROVEEDORES[[#This Row],[ID RETENCION]],Retenciones!$A$1:$O$24,2,FALSE)</f>
        <v>2.5000000000000001E-2</v>
      </c>
      <c r="Z755" s="26"/>
      <c r="AA755" s="26"/>
      <c r="AB755" s="26"/>
      <c r="AC755" s="26"/>
      <c r="AD755" s="26"/>
      <c r="AE755" s="26"/>
    </row>
    <row r="756" spans="1:31" ht="21.95" customHeight="1" x14ac:dyDescent="0.25">
      <c r="A756" s="97" t="str">
        <f>+IF(PROVEEDORES[[#This Row],[FECHA DE PAGO]]=PROVEEDORES[[#This Row],[FECHA DE FACTURACIÓN]],"DE CONTADO","CRÉDITO")</f>
        <v>CRÉDITO</v>
      </c>
      <c r="B756" s="41" t="b">
        <f>+IF((PROVEEDORES[[#This Row],[FECHA DE PAGO]]-PROVEEDORES[[#This Row],[FECHA DE FACTURACIÓN]])&gt;PROVEEDORES[[#This Row],[PLAZO Días]],"PAGO VENCIDO")</f>
        <v>0</v>
      </c>
      <c r="C756" s="22">
        <f>+VLOOKUP(PROVEEDORES[[#This Row],[PROVEEDOR]],TERCEROS_INFO[#All],2,FALSE)</f>
        <v>90</v>
      </c>
      <c r="D756" s="27">
        <f>+SUMIFS(PROVEEDORES[Total],PROVEEDORES[PROVEEDOR],PROVEEDORES[[#This Row],[PROVEEDOR]],PROVEEDORES[FECHA DE PAGO],"")</f>
        <v>26364243.66155</v>
      </c>
      <c r="E756" s="27"/>
      <c r="F756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756" s="95">
        <v>44491</v>
      </c>
      <c r="H756" s="28" t="s">
        <v>12</v>
      </c>
      <c r="I756" s="95">
        <v>44445</v>
      </c>
      <c r="J756" s="38" t="s">
        <v>551</v>
      </c>
      <c r="K756" s="23">
        <v>0</v>
      </c>
      <c r="L756" s="23"/>
      <c r="M756" s="24">
        <v>0</v>
      </c>
      <c r="N756" s="25"/>
      <c r="O756" s="24">
        <v>0</v>
      </c>
      <c r="P756" s="136">
        <f>+IF(PROVEEDORES[[#This Row],[SUBTOTAL]]&lt;PROVEEDORES[[#This Row],[base retencion]],0,PROVEEDORES[[#This Row],[retención aplicada]])</f>
        <v>0</v>
      </c>
      <c r="Q756" s="24">
        <f>+PROVEEDORES[[#This Row],[Rete Fuente %]]*PROVEEDORES[[#This Row],[SUBTOTAL]]</f>
        <v>0</v>
      </c>
      <c r="R756" s="23">
        <v>0</v>
      </c>
      <c r="S75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6" s="99">
        <f ca="1">IF(PROVEEDORES[[#This Row],[FECHA DE PAGO]]=0,TODAY()-PROVEEDORES[[#This Row],[FECHA DE FACTURACIÓN]]-PROVEEDORES[[#This Row],[PLAZO Días]],0)</f>
        <v>0</v>
      </c>
      <c r="U756" s="149" t="str">
        <f>+VLOOKUP(PROVEEDORES[[#This Row],[PROVEEDOR]],Terceros!$A:$E,5,FALSE)</f>
        <v>2,5% con base</v>
      </c>
      <c r="V756" s="150">
        <f>+YEAR(PROVEEDORES[[#This Row],[FECHA DE FACTURACIÓN]])</f>
        <v>2021</v>
      </c>
      <c r="W756" s="150">
        <f>+MATCH(PROVEEDORES[[#This Row],[año facturado]],Retenciones!$1:$1,0)</f>
        <v>4</v>
      </c>
      <c r="X756" s="151">
        <f>+VLOOKUP(PROVEEDORES[[#This Row],[ID RETENCION]],Retenciones!$A$1:$O$24,PROVEEDORES[[#This Row],[indicador de columna]],FALSE)</f>
        <v>980000</v>
      </c>
      <c r="Y756" s="152">
        <f>+VLOOKUP(PROVEEDORES[[#This Row],[ID RETENCION]],Retenciones!$A$1:$O$24,2,FALSE)</f>
        <v>2.5000000000000001E-2</v>
      </c>
      <c r="Z756" s="26"/>
      <c r="AA756" s="26"/>
      <c r="AB756" s="26"/>
      <c r="AC756" s="26"/>
      <c r="AD756" s="26"/>
      <c r="AE756" s="26"/>
    </row>
    <row r="757" spans="1:31" ht="21.95" customHeight="1" x14ac:dyDescent="0.25">
      <c r="A757" s="97" t="str">
        <f>+IF(PROVEEDORES[[#This Row],[FECHA DE PAGO]]=PROVEEDORES[[#This Row],[FECHA DE FACTURACIÓN]],"DE CONTADO","CRÉDITO")</f>
        <v>CRÉDITO</v>
      </c>
      <c r="B757" s="41" t="b">
        <f>+IF((PROVEEDORES[[#This Row],[FECHA DE PAGO]]-PROVEEDORES[[#This Row],[FECHA DE FACTURACIÓN]])&gt;PROVEEDORES[[#This Row],[PLAZO Días]],"PAGO VENCIDO")</f>
        <v>0</v>
      </c>
      <c r="C757" s="22">
        <f>+VLOOKUP(PROVEEDORES[[#This Row],[PROVEEDOR]],TERCEROS_INFO[#All],2,FALSE)</f>
        <v>90</v>
      </c>
      <c r="D757" s="27">
        <f>+SUMIFS(PROVEEDORES[Total],PROVEEDORES[PROVEEDOR],PROVEEDORES[[#This Row],[PROVEEDOR]],PROVEEDORES[FECHA DE PAGO],"")</f>
        <v>26364243.66155</v>
      </c>
      <c r="E757" s="27"/>
      <c r="F757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757" s="95">
        <v>44517</v>
      </c>
      <c r="H757" s="28" t="s">
        <v>12</v>
      </c>
      <c r="I757" s="95">
        <v>44445</v>
      </c>
      <c r="J757" s="38" t="s">
        <v>552</v>
      </c>
      <c r="K757" s="23">
        <v>0</v>
      </c>
      <c r="L757" s="23"/>
      <c r="M757" s="24">
        <v>0</v>
      </c>
      <c r="N757" s="25"/>
      <c r="O757" s="24">
        <v>0</v>
      </c>
      <c r="P757" s="136">
        <f>+IF(PROVEEDORES[[#This Row],[SUBTOTAL]]&lt;PROVEEDORES[[#This Row],[base retencion]],0,PROVEEDORES[[#This Row],[retención aplicada]])</f>
        <v>0</v>
      </c>
      <c r="Q757" s="24">
        <f>+PROVEEDORES[[#This Row],[Rete Fuente %]]*PROVEEDORES[[#This Row],[SUBTOTAL]]</f>
        <v>0</v>
      </c>
      <c r="R757" s="23">
        <v>0</v>
      </c>
      <c r="S75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7" s="99">
        <f ca="1">IF(PROVEEDORES[[#This Row],[FECHA DE PAGO]]=0,TODAY()-PROVEEDORES[[#This Row],[FECHA DE FACTURACIÓN]]-PROVEEDORES[[#This Row],[PLAZO Días]],0)</f>
        <v>0</v>
      </c>
      <c r="U757" s="149" t="str">
        <f>+VLOOKUP(PROVEEDORES[[#This Row],[PROVEEDOR]],Terceros!$A:$E,5,FALSE)</f>
        <v>2,5% con base</v>
      </c>
      <c r="V757" s="150">
        <f>+YEAR(PROVEEDORES[[#This Row],[FECHA DE FACTURACIÓN]])</f>
        <v>2021</v>
      </c>
      <c r="W757" s="150">
        <f>+MATCH(PROVEEDORES[[#This Row],[año facturado]],Retenciones!$1:$1,0)</f>
        <v>4</v>
      </c>
      <c r="X757" s="151">
        <f>+VLOOKUP(PROVEEDORES[[#This Row],[ID RETENCION]],Retenciones!$A$1:$O$24,PROVEEDORES[[#This Row],[indicador de columna]],FALSE)</f>
        <v>980000</v>
      </c>
      <c r="Y757" s="152">
        <f>+VLOOKUP(PROVEEDORES[[#This Row],[ID RETENCION]],Retenciones!$A$1:$O$24,2,FALSE)</f>
        <v>2.5000000000000001E-2</v>
      </c>
      <c r="Z757" s="26"/>
      <c r="AA757" s="26"/>
      <c r="AB757" s="26"/>
      <c r="AC757" s="26"/>
      <c r="AD757" s="26"/>
      <c r="AE757" s="26"/>
    </row>
    <row r="758" spans="1:31" ht="21.95" customHeight="1" x14ac:dyDescent="0.25">
      <c r="A758" s="97" t="str">
        <f>+IF(PROVEEDORES[[#This Row],[FECHA DE PAGO]]=PROVEEDORES[[#This Row],[FECHA DE FACTURACIÓN]],"DE CONTADO","CRÉDITO")</f>
        <v>CRÉDITO</v>
      </c>
      <c r="B758" s="41" t="str">
        <f>+IF((PROVEEDORES[[#This Row],[FECHA DE PAGO]]-PROVEEDORES[[#This Row],[FECHA DE FACTURACIÓN]])&gt;PROVEEDORES[[#This Row],[PLAZO Días]],"PAGO VENCIDO")</f>
        <v>PAGO VENCIDO</v>
      </c>
      <c r="C758" s="22">
        <f>+VLOOKUP(PROVEEDORES[[#This Row],[PROVEEDOR]],TERCEROS_INFO[#All],2,FALSE)</f>
        <v>30</v>
      </c>
      <c r="D758" s="27">
        <f>+SUMIFS(PROVEEDORES[Total],PROVEEDORES[PROVEEDOR],PROVEEDORES[[#This Row],[PROVEEDOR]],PROVEEDORES[FECHA DE PAGO],"")</f>
        <v>3750700</v>
      </c>
      <c r="E758" s="27"/>
      <c r="F758" s="62" t="str">
        <f>+VLOOKUP(PROVEEDORES[[#This Row],[PROVEEDOR]],
                       Terceros!$A:$G,
                       6,
                       FALSE)</f>
        <v/>
      </c>
      <c r="G758" s="95">
        <v>44494</v>
      </c>
      <c r="H758" s="28" t="s">
        <v>990</v>
      </c>
      <c r="I758" s="95">
        <v>44445</v>
      </c>
      <c r="J758" s="38" t="s">
        <v>809</v>
      </c>
      <c r="K758" s="23">
        <v>75000</v>
      </c>
      <c r="L758" s="23"/>
      <c r="M758" s="24">
        <v>0</v>
      </c>
      <c r="N758" s="25"/>
      <c r="O758" s="24">
        <v>0</v>
      </c>
      <c r="P758" s="136">
        <f>+IF(PROVEEDORES[[#This Row],[SUBTOTAL]]&lt;PROVEEDORES[[#This Row],[base retencion]],0,PROVEEDORES[[#This Row],[retención aplicada]])</f>
        <v>0</v>
      </c>
      <c r="Q758" s="24">
        <f>+PROVEEDORES[[#This Row],[Rete Fuente %]]*PROVEEDORES[[#This Row],[SUBTOTAL]]</f>
        <v>0</v>
      </c>
      <c r="R758" s="23">
        <v>75000</v>
      </c>
      <c r="S75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8" s="99">
        <f ca="1">IF(PROVEEDORES[[#This Row],[FECHA DE PAGO]]=0,TODAY()-PROVEEDORES[[#This Row],[FECHA DE FACTURACIÓN]]-PROVEEDORES[[#This Row],[PLAZO Días]],0)</f>
        <v>0</v>
      </c>
      <c r="U758" s="149">
        <f>+VLOOKUP(PROVEEDORES[[#This Row],[PROVEEDOR]],Terceros!$A:$E,5,FALSE)</f>
        <v>0</v>
      </c>
      <c r="V758" s="150">
        <f>+YEAR(PROVEEDORES[[#This Row],[FECHA DE FACTURACIÓN]])</f>
        <v>2021</v>
      </c>
      <c r="W758" s="150">
        <f>+MATCH(PROVEEDORES[[#This Row],[año facturado]],Retenciones!$1:$1,0)</f>
        <v>4</v>
      </c>
      <c r="X758" s="151">
        <f>+VLOOKUP(PROVEEDORES[[#This Row],[ID RETENCION]],Retenciones!$A$1:$O$24,PROVEEDORES[[#This Row],[indicador de columna]],FALSE)</f>
        <v>0</v>
      </c>
      <c r="Y758" s="152">
        <f>+VLOOKUP(PROVEEDORES[[#This Row],[ID RETENCION]],Retenciones!$A$1:$O$24,2,FALSE)</f>
        <v>0</v>
      </c>
      <c r="Z758" s="26"/>
      <c r="AA758" s="26"/>
      <c r="AB758" s="26"/>
      <c r="AC758" s="26"/>
      <c r="AD758" s="26"/>
      <c r="AE758" s="26"/>
    </row>
    <row r="759" spans="1:31" ht="21.95" customHeight="1" x14ac:dyDescent="0.25">
      <c r="A759" s="97" t="str">
        <f>+IF(PROVEEDORES[[#This Row],[FECHA DE PAGO]]=PROVEEDORES[[#This Row],[FECHA DE FACTURACIÓN]],"DE CONTADO","CRÉDITO")</f>
        <v>DE CONTADO</v>
      </c>
      <c r="B759" s="41" t="b">
        <f>+IF((PROVEEDORES[[#This Row],[FECHA DE PAGO]]-PROVEEDORES[[#This Row],[FECHA DE FACTURACIÓN]])&gt;PROVEEDORES[[#This Row],[PLAZO Días]],"PAGO VENCIDO")</f>
        <v>0</v>
      </c>
      <c r="C759" s="22">
        <f>+VLOOKUP(PROVEEDORES[[#This Row],[PROVEEDOR]],TERCEROS_INFO[#All],2,FALSE)</f>
        <v>30</v>
      </c>
      <c r="D759" s="27">
        <f>+SUMIFS(PROVEEDORES[Total],PROVEEDORES[PROVEEDOR],PROVEEDORES[[#This Row],[PROVEEDOR]],PROVEEDORES[FECHA DE PAGO],"")</f>
        <v>0</v>
      </c>
      <c r="E759" s="27"/>
      <c r="F759" s="62">
        <f>+VLOOKUP(PROVEEDORES[[#This Row],[PROVEEDOR]],
                       Terceros!$A:$G,
                       6,
                       FALSE)</f>
        <v>0</v>
      </c>
      <c r="G759" s="95">
        <v>44445</v>
      </c>
      <c r="H759" s="28" t="s">
        <v>518</v>
      </c>
      <c r="I759" s="95">
        <v>44445</v>
      </c>
      <c r="J759" s="38">
        <v>209815</v>
      </c>
      <c r="K759" s="23">
        <v>293277</v>
      </c>
      <c r="L759" s="23"/>
      <c r="M759" s="24">
        <v>55774</v>
      </c>
      <c r="N759" s="25"/>
      <c r="O759" s="24">
        <v>0</v>
      </c>
      <c r="P759" s="136">
        <f>+IF(PROVEEDORES[[#This Row],[SUBTOTAL]]&lt;PROVEEDORES[[#This Row],[base retencion]],0,PROVEEDORES[[#This Row],[retención aplicada]])</f>
        <v>0</v>
      </c>
      <c r="Q759" s="24">
        <f>+PROVEEDORES[[#This Row],[Rete Fuente %]]*PROVEEDORES[[#This Row],[SUBTOTAL]]</f>
        <v>0</v>
      </c>
      <c r="R759" s="23">
        <v>349051</v>
      </c>
      <c r="S75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9" s="99">
        <f ca="1">IF(PROVEEDORES[[#This Row],[FECHA DE PAGO]]=0,TODAY()-PROVEEDORES[[#This Row],[FECHA DE FACTURACIÓN]]-PROVEEDORES[[#This Row],[PLAZO Días]],0)</f>
        <v>0</v>
      </c>
      <c r="U759" s="149">
        <f>+VLOOKUP(PROVEEDORES[[#This Row],[PROVEEDOR]],Terceros!$A:$E,5,FALSE)</f>
        <v>0</v>
      </c>
      <c r="V759" s="150">
        <f>+YEAR(PROVEEDORES[[#This Row],[FECHA DE FACTURACIÓN]])</f>
        <v>2021</v>
      </c>
      <c r="W759" s="150">
        <f>+MATCH(PROVEEDORES[[#This Row],[año facturado]],Retenciones!$1:$1,0)</f>
        <v>4</v>
      </c>
      <c r="X759" s="151">
        <f>+VLOOKUP(PROVEEDORES[[#This Row],[ID RETENCION]],Retenciones!$A$1:$O$24,PROVEEDORES[[#This Row],[indicador de columna]],FALSE)</f>
        <v>0</v>
      </c>
      <c r="Y759" s="152">
        <f>+VLOOKUP(PROVEEDORES[[#This Row],[ID RETENCION]],Retenciones!$A$1:$O$24,2,FALSE)</f>
        <v>0</v>
      </c>
      <c r="Z759" s="26"/>
      <c r="AA759" s="26"/>
      <c r="AB759" s="26"/>
      <c r="AC759" s="26"/>
      <c r="AD759" s="26"/>
      <c r="AE759" s="26"/>
    </row>
    <row r="760" spans="1:31" ht="21.95" customHeight="1" x14ac:dyDescent="0.25">
      <c r="A760" s="97" t="str">
        <f>+IF(PROVEEDORES[[#This Row],[FECHA DE PAGO]]=PROVEEDORES[[#This Row],[FECHA DE FACTURACIÓN]],"DE CONTADO","CRÉDITO")</f>
        <v>CRÉDITO</v>
      </c>
      <c r="B760" s="41" t="str">
        <f>+IF((PROVEEDORES[[#This Row],[FECHA DE PAGO]]-PROVEEDORES[[#This Row],[FECHA DE FACTURACIÓN]])&gt;PROVEEDORES[[#This Row],[PLAZO Días]],"PAGO VENCIDO")</f>
        <v>PAGO VENCIDO</v>
      </c>
      <c r="C760" s="22">
        <f>+VLOOKUP(PROVEEDORES[[#This Row],[PROVEEDOR]],TERCEROS_INFO[#All],2,FALSE)</f>
        <v>30</v>
      </c>
      <c r="D760" s="27">
        <f>+SUMIFS(PROVEEDORES[Total],PROVEEDORES[PROVEEDOR],PROVEEDORES[[#This Row],[PROVEEDOR]],PROVEEDORES[FECHA DE PAGO],"")</f>
        <v>3099000</v>
      </c>
      <c r="E760" s="27"/>
      <c r="F760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760" s="95">
        <v>44509</v>
      </c>
      <c r="H760" s="28" t="s">
        <v>1079</v>
      </c>
      <c r="I760" s="95">
        <v>44445</v>
      </c>
      <c r="J760" s="38" t="s">
        <v>811</v>
      </c>
      <c r="K760" s="23">
        <v>748000</v>
      </c>
      <c r="L760" s="23"/>
      <c r="M760" s="24">
        <v>0</v>
      </c>
      <c r="N760" s="25"/>
      <c r="O760" s="24">
        <v>0</v>
      </c>
      <c r="P760" s="136">
        <f>+IF(PROVEEDORES[[#This Row],[SUBTOTAL]]&lt;PROVEEDORES[[#This Row],[base retencion]],0,PROVEEDORES[[#This Row],[retención aplicada]])</f>
        <v>0</v>
      </c>
      <c r="Q760" s="24">
        <f>+PROVEEDORES[[#This Row],[Rete Fuente %]]*PROVEEDORES[[#This Row],[SUBTOTAL]]</f>
        <v>0</v>
      </c>
      <c r="R760" s="23">
        <v>748000</v>
      </c>
      <c r="S76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0" s="99">
        <f ca="1">IF(PROVEEDORES[[#This Row],[FECHA DE PAGO]]=0,TODAY()-PROVEEDORES[[#This Row],[FECHA DE FACTURACIÓN]]-PROVEEDORES[[#This Row],[PLAZO Días]],0)</f>
        <v>0</v>
      </c>
      <c r="U760" s="149">
        <f>+VLOOKUP(PROVEEDORES[[#This Row],[PROVEEDOR]],Terceros!$A:$E,5,FALSE)</f>
        <v>0</v>
      </c>
      <c r="V760" s="150">
        <f>+YEAR(PROVEEDORES[[#This Row],[FECHA DE FACTURACIÓN]])</f>
        <v>2021</v>
      </c>
      <c r="W760" s="150">
        <f>+MATCH(PROVEEDORES[[#This Row],[año facturado]],Retenciones!$1:$1,0)</f>
        <v>4</v>
      </c>
      <c r="X760" s="151">
        <f>+VLOOKUP(PROVEEDORES[[#This Row],[ID RETENCION]],Retenciones!$A$1:$O$24,PROVEEDORES[[#This Row],[indicador de columna]],FALSE)</f>
        <v>0</v>
      </c>
      <c r="Y760" s="152">
        <f>+VLOOKUP(PROVEEDORES[[#This Row],[ID RETENCION]],Retenciones!$A$1:$O$24,2,FALSE)</f>
        <v>0</v>
      </c>
      <c r="Z760" s="26"/>
      <c r="AA760" s="26"/>
      <c r="AB760" s="26"/>
      <c r="AC760" s="26"/>
      <c r="AD760" s="26"/>
      <c r="AE760" s="26"/>
    </row>
    <row r="761" spans="1:31" ht="21.95" customHeight="1" x14ac:dyDescent="0.25">
      <c r="A761" s="97" t="str">
        <f>+IF(PROVEEDORES[[#This Row],[FECHA DE PAGO]]=PROVEEDORES[[#This Row],[FECHA DE FACTURACIÓN]],"DE CONTADO","CRÉDITO")</f>
        <v>CRÉDITO</v>
      </c>
      <c r="B761" s="41" t="str">
        <f>+IF((PROVEEDORES[[#This Row],[FECHA DE PAGO]]-PROVEEDORES[[#This Row],[FECHA DE FACTURACIÓN]])&gt;PROVEEDORES[[#This Row],[PLAZO Días]],"PAGO VENCIDO")</f>
        <v>PAGO VENCIDO</v>
      </c>
      <c r="C761" s="22">
        <f>+VLOOKUP(PROVEEDORES[[#This Row],[PROVEEDOR]],TERCEROS_INFO[#All],2,FALSE)</f>
        <v>30</v>
      </c>
      <c r="D761" s="27">
        <f>+SUMIFS(PROVEEDORES[Total],PROVEEDORES[PROVEEDOR],PROVEEDORES[[#This Row],[PROVEEDOR]],PROVEEDORES[FECHA DE PAGO],"")</f>
        <v>4641412.7745000003</v>
      </c>
      <c r="E761" s="27"/>
      <c r="F761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761" s="95">
        <v>44476</v>
      </c>
      <c r="H761" s="28" t="s">
        <v>20</v>
      </c>
      <c r="I761" s="95">
        <v>44445</v>
      </c>
      <c r="J761" s="38">
        <v>5005</v>
      </c>
      <c r="K761" s="23">
        <v>926808</v>
      </c>
      <c r="L761" s="23"/>
      <c r="M761" s="24">
        <v>176093.52</v>
      </c>
      <c r="N761" s="25"/>
      <c r="O761" s="24">
        <v>0</v>
      </c>
      <c r="P761" s="136">
        <f>+IF(PROVEEDORES[[#This Row],[SUBTOTAL]]&lt;PROVEEDORES[[#This Row],[base retencion]],0,PROVEEDORES[[#This Row],[retención aplicada]])</f>
        <v>0</v>
      </c>
      <c r="Q761" s="24">
        <f>+PROVEEDORES[[#This Row],[Rete Fuente %]]*PROVEEDORES[[#This Row],[SUBTOTAL]]</f>
        <v>0</v>
      </c>
      <c r="R761" s="23">
        <v>1102901.52</v>
      </c>
      <c r="S76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1" s="99">
        <f ca="1">IF(PROVEEDORES[[#This Row],[FECHA DE PAGO]]=0,TODAY()-PROVEEDORES[[#This Row],[FECHA DE FACTURACIÓN]]-PROVEEDORES[[#This Row],[PLAZO Días]],0)</f>
        <v>0</v>
      </c>
      <c r="U761" s="149" t="str">
        <f>+VLOOKUP(PROVEEDORES[[#This Row],[PROVEEDOR]],Terceros!$A:$E,5,FALSE)</f>
        <v>2,5% con base</v>
      </c>
      <c r="V761" s="150">
        <f>+YEAR(PROVEEDORES[[#This Row],[FECHA DE FACTURACIÓN]])</f>
        <v>2021</v>
      </c>
      <c r="W761" s="150">
        <f>+MATCH(PROVEEDORES[[#This Row],[año facturado]],Retenciones!$1:$1,0)</f>
        <v>4</v>
      </c>
      <c r="X761" s="151">
        <f>+VLOOKUP(PROVEEDORES[[#This Row],[ID RETENCION]],Retenciones!$A$1:$O$24,PROVEEDORES[[#This Row],[indicador de columna]],FALSE)</f>
        <v>980000</v>
      </c>
      <c r="Y761" s="152">
        <f>+VLOOKUP(PROVEEDORES[[#This Row],[ID RETENCION]],Retenciones!$A$1:$O$24,2,FALSE)</f>
        <v>2.5000000000000001E-2</v>
      </c>
      <c r="Z761" s="26"/>
      <c r="AA761" s="26"/>
      <c r="AB761" s="26"/>
      <c r="AC761" s="26"/>
      <c r="AD761" s="26"/>
      <c r="AE761" s="26"/>
    </row>
    <row r="762" spans="1:31" ht="21.95" customHeight="1" x14ac:dyDescent="0.25">
      <c r="A762" s="97" t="str">
        <f>+IF(PROVEEDORES[[#This Row],[FECHA DE PAGO]]=PROVEEDORES[[#This Row],[FECHA DE FACTURACIÓN]],"DE CONTADO","CRÉDITO")</f>
        <v>CRÉDITO</v>
      </c>
      <c r="B762" s="41" t="str">
        <f>+IF((PROVEEDORES[[#This Row],[FECHA DE PAGO]]-PROVEEDORES[[#This Row],[FECHA DE FACTURACIÓN]])&gt;PROVEEDORES[[#This Row],[PLAZO Días]],"PAGO VENCIDO")</f>
        <v>PAGO VENCIDO</v>
      </c>
      <c r="C762" s="22">
        <f>+VLOOKUP(PROVEEDORES[[#This Row],[PROVEEDOR]],TERCEROS_INFO[#All],2,FALSE)</f>
        <v>30</v>
      </c>
      <c r="D762" s="27">
        <f>+SUMIFS(PROVEEDORES[Total],PROVEEDORES[PROVEEDOR],PROVEEDORES[[#This Row],[PROVEEDOR]],PROVEEDORES[FECHA DE PAGO],"")</f>
        <v>3099000</v>
      </c>
      <c r="E762" s="27"/>
      <c r="F762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762" s="95">
        <v>44509</v>
      </c>
      <c r="H762" s="28" t="s">
        <v>1079</v>
      </c>
      <c r="I762" s="95">
        <v>44445</v>
      </c>
      <c r="J762" s="38" t="s">
        <v>810</v>
      </c>
      <c r="K762" s="23">
        <v>1370000</v>
      </c>
      <c r="L762" s="23"/>
      <c r="M762" s="24">
        <v>0</v>
      </c>
      <c r="N762" s="25"/>
      <c r="O762" s="24">
        <v>0</v>
      </c>
      <c r="P762" s="136">
        <f>+IF(PROVEEDORES[[#This Row],[SUBTOTAL]]&lt;PROVEEDORES[[#This Row],[base retencion]],0,PROVEEDORES[[#This Row],[retención aplicada]])</f>
        <v>0</v>
      </c>
      <c r="Q762" s="24">
        <f>+PROVEEDORES[[#This Row],[Rete Fuente %]]*PROVEEDORES[[#This Row],[SUBTOTAL]]</f>
        <v>0</v>
      </c>
      <c r="R762" s="23">
        <v>1370000</v>
      </c>
      <c r="S76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2" s="99">
        <f ca="1">IF(PROVEEDORES[[#This Row],[FECHA DE PAGO]]=0,TODAY()-PROVEEDORES[[#This Row],[FECHA DE FACTURACIÓN]]-PROVEEDORES[[#This Row],[PLAZO Días]],0)</f>
        <v>0</v>
      </c>
      <c r="U762" s="149">
        <f>+VLOOKUP(PROVEEDORES[[#This Row],[PROVEEDOR]],Terceros!$A:$E,5,FALSE)</f>
        <v>0</v>
      </c>
      <c r="V762" s="150">
        <f>+YEAR(PROVEEDORES[[#This Row],[FECHA DE FACTURACIÓN]])</f>
        <v>2021</v>
      </c>
      <c r="W762" s="150">
        <f>+MATCH(PROVEEDORES[[#This Row],[año facturado]],Retenciones!$1:$1,0)</f>
        <v>4</v>
      </c>
      <c r="X762" s="151">
        <f>+VLOOKUP(PROVEEDORES[[#This Row],[ID RETENCION]],Retenciones!$A$1:$O$24,PROVEEDORES[[#This Row],[indicador de columna]],FALSE)</f>
        <v>0</v>
      </c>
      <c r="Y762" s="152">
        <f>+VLOOKUP(PROVEEDORES[[#This Row],[ID RETENCION]],Retenciones!$A$1:$O$24,2,FALSE)</f>
        <v>0</v>
      </c>
      <c r="Z762" s="26"/>
      <c r="AA762" s="26"/>
      <c r="AB762" s="26"/>
      <c r="AC762" s="26"/>
      <c r="AD762" s="26"/>
      <c r="AE762" s="26"/>
    </row>
    <row r="763" spans="1:31" ht="21.95" customHeight="1" x14ac:dyDescent="0.25">
      <c r="A763" s="97" t="str">
        <f>+IF(PROVEEDORES[[#This Row],[FECHA DE PAGO]]=PROVEEDORES[[#This Row],[FECHA DE FACTURACIÓN]],"DE CONTADO","CRÉDITO")</f>
        <v>CRÉDITO</v>
      </c>
      <c r="B763" s="41" t="str">
        <f>+IF((PROVEEDORES[[#This Row],[FECHA DE PAGO]]-PROVEEDORES[[#This Row],[FECHA DE FACTURACIÓN]])&gt;PROVEEDORES[[#This Row],[PLAZO Días]],"PAGO VENCIDO")</f>
        <v>PAGO VENCIDO</v>
      </c>
      <c r="C763" s="22">
        <f>+VLOOKUP(PROVEEDORES[[#This Row],[PROVEEDOR]],TERCEROS_INFO[#All],2,FALSE)</f>
        <v>30</v>
      </c>
      <c r="D763" s="27">
        <f>+SUMIFS(PROVEEDORES[Total],PROVEEDORES[PROVEEDOR],PROVEEDORES[[#This Row],[PROVEEDOR]],PROVEEDORES[FECHA DE PAGO],"")</f>
        <v>4641412.7745000003</v>
      </c>
      <c r="E763" s="27"/>
      <c r="F763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763" s="95">
        <v>44476</v>
      </c>
      <c r="H763" s="28" t="s">
        <v>20</v>
      </c>
      <c r="I763" s="95">
        <v>44445</v>
      </c>
      <c r="J763" s="38">
        <v>5004</v>
      </c>
      <c r="K763" s="23">
        <v>1407490</v>
      </c>
      <c r="L763" s="23"/>
      <c r="M763" s="24">
        <v>267423.09999999998</v>
      </c>
      <c r="N763" s="25"/>
      <c r="O763" s="24">
        <v>0</v>
      </c>
      <c r="P763" s="136">
        <f>+IF(PROVEEDORES[[#This Row],[SUBTOTAL]]&lt;PROVEEDORES[[#This Row],[base retencion]],0,PROVEEDORES[[#This Row],[retención aplicada]])</f>
        <v>2.5000000000000001E-2</v>
      </c>
      <c r="Q763" s="24">
        <f>+PROVEEDORES[[#This Row],[Rete Fuente %]]*PROVEEDORES[[#This Row],[SUBTOTAL]]</f>
        <v>35187.25</v>
      </c>
      <c r="R763" s="23">
        <v>1639725.85</v>
      </c>
      <c r="S76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3" s="99">
        <f ca="1">IF(PROVEEDORES[[#This Row],[FECHA DE PAGO]]=0,TODAY()-PROVEEDORES[[#This Row],[FECHA DE FACTURACIÓN]]-PROVEEDORES[[#This Row],[PLAZO Días]],0)</f>
        <v>0</v>
      </c>
      <c r="U763" s="149" t="str">
        <f>+VLOOKUP(PROVEEDORES[[#This Row],[PROVEEDOR]],Terceros!$A:$E,5,FALSE)</f>
        <v>2,5% con base</v>
      </c>
      <c r="V763" s="150">
        <f>+YEAR(PROVEEDORES[[#This Row],[FECHA DE FACTURACIÓN]])</f>
        <v>2021</v>
      </c>
      <c r="W763" s="150">
        <f>+MATCH(PROVEEDORES[[#This Row],[año facturado]],Retenciones!$1:$1,0)</f>
        <v>4</v>
      </c>
      <c r="X763" s="151">
        <f>+VLOOKUP(PROVEEDORES[[#This Row],[ID RETENCION]],Retenciones!$A$1:$O$24,PROVEEDORES[[#This Row],[indicador de columna]],FALSE)</f>
        <v>980000</v>
      </c>
      <c r="Y763" s="152">
        <f>+VLOOKUP(PROVEEDORES[[#This Row],[ID RETENCION]],Retenciones!$A$1:$O$24,2,FALSE)</f>
        <v>2.5000000000000001E-2</v>
      </c>
      <c r="Z763" s="26"/>
      <c r="AA763" s="26"/>
      <c r="AB763" s="26"/>
      <c r="AC763" s="26"/>
      <c r="AD763" s="26"/>
      <c r="AE763" s="26"/>
    </row>
    <row r="764" spans="1:31" ht="21.95" customHeight="1" x14ac:dyDescent="0.25">
      <c r="A764" s="97" t="str">
        <f>+IF(PROVEEDORES[[#This Row],[FECHA DE PAGO]]=PROVEEDORES[[#This Row],[FECHA DE FACTURACIÓN]],"DE CONTADO","CRÉDITO")</f>
        <v>CRÉDITO</v>
      </c>
      <c r="B764" s="41" t="b">
        <f>+IF((PROVEEDORES[[#This Row],[FECHA DE PAGO]]-PROVEEDORES[[#This Row],[FECHA DE FACTURACIÓN]])&gt;PROVEEDORES[[#This Row],[PLAZO Días]],"PAGO VENCIDO")</f>
        <v>0</v>
      </c>
      <c r="C764" s="22">
        <f>+VLOOKUP(PROVEEDORES[[#This Row],[PROVEEDOR]],TERCEROS_INFO[#All],2,FALSE)</f>
        <v>30</v>
      </c>
      <c r="D764" s="27">
        <f>+SUMIFS(PROVEEDORES[Total],PROVEEDORES[PROVEEDOR],PROVEEDORES[[#This Row],[PROVEEDOR]],PROVEEDORES[FECHA DE PAGO],"")</f>
        <v>833999.83799999999</v>
      </c>
      <c r="E764" s="27"/>
      <c r="F764" s="62" t="str">
        <f>+VLOOKUP(PROVEEDORES[[#This Row],[PROVEEDOR]],
                       Terceros!$A:$G,
                       6,
                       FALSE)</f>
        <v>juan.suarez@cosostenible.com;girlesa.ruiz@servipilas.com;joriescobar64@gmail.com</v>
      </c>
      <c r="G764" s="95">
        <v>44476</v>
      </c>
      <c r="H764" s="28" t="s">
        <v>50</v>
      </c>
      <c r="I764" s="95">
        <v>44446</v>
      </c>
      <c r="J764" s="38">
        <v>3993</v>
      </c>
      <c r="K764" s="23">
        <v>840336</v>
      </c>
      <c r="L764" s="23"/>
      <c r="M764" s="24">
        <v>159663.84</v>
      </c>
      <c r="N764" s="25"/>
      <c r="O764" s="24">
        <v>0</v>
      </c>
      <c r="P764" s="136">
        <f>+IF(PROVEEDORES[[#This Row],[SUBTOTAL]]&lt;PROVEEDORES[[#This Row],[base retencion]],0,PROVEEDORES[[#This Row],[retención aplicada]])</f>
        <v>0</v>
      </c>
      <c r="Q764" s="24">
        <f>+PROVEEDORES[[#This Row],[Rete Fuente %]]*PROVEEDORES[[#This Row],[SUBTOTAL]]</f>
        <v>0</v>
      </c>
      <c r="R764" s="23">
        <v>999999.84</v>
      </c>
      <c r="S76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4" s="99">
        <f ca="1">IF(PROVEEDORES[[#This Row],[FECHA DE PAGO]]=0,TODAY()-PROVEEDORES[[#This Row],[FECHA DE FACTURACIÓN]]-PROVEEDORES[[#This Row],[PLAZO Días]],0)</f>
        <v>0</v>
      </c>
      <c r="U764" s="149" t="str">
        <f>+VLOOKUP(PROVEEDORES[[#This Row],[PROVEEDOR]],Terceros!$A:$E,5,FALSE)</f>
        <v>2,5% con base</v>
      </c>
      <c r="V764" s="150">
        <f>+YEAR(PROVEEDORES[[#This Row],[FECHA DE FACTURACIÓN]])</f>
        <v>2021</v>
      </c>
      <c r="W764" s="150">
        <f>+MATCH(PROVEEDORES[[#This Row],[año facturado]],Retenciones!$1:$1,0)</f>
        <v>4</v>
      </c>
      <c r="X764" s="151">
        <f>+VLOOKUP(PROVEEDORES[[#This Row],[ID RETENCION]],Retenciones!$A$1:$O$24,PROVEEDORES[[#This Row],[indicador de columna]],FALSE)</f>
        <v>980000</v>
      </c>
      <c r="Y764" s="152">
        <f>+VLOOKUP(PROVEEDORES[[#This Row],[ID RETENCION]],Retenciones!$A$1:$O$24,2,FALSE)</f>
        <v>2.5000000000000001E-2</v>
      </c>
      <c r="Z764" s="26"/>
      <c r="AA764" s="26"/>
      <c r="AB764" s="26"/>
      <c r="AC764" s="26"/>
      <c r="AD764" s="26"/>
      <c r="AE764" s="26"/>
    </row>
    <row r="765" spans="1:31" ht="21.95" customHeight="1" x14ac:dyDescent="0.25">
      <c r="A765" s="97" t="str">
        <f>+IF(PROVEEDORES[[#This Row],[FECHA DE PAGO]]=PROVEEDORES[[#This Row],[FECHA DE FACTURACIÓN]],"DE CONTADO","CRÉDITO")</f>
        <v>CRÉDITO</v>
      </c>
      <c r="B765" s="41" t="str">
        <f>+IF((PROVEEDORES[[#This Row],[FECHA DE PAGO]]-PROVEEDORES[[#This Row],[FECHA DE FACTURACIÓN]])&gt;PROVEEDORES[[#This Row],[PLAZO Días]],"PAGO VENCIDO")</f>
        <v>PAGO VENCIDO</v>
      </c>
      <c r="C765" s="22">
        <f>+VLOOKUP(PROVEEDORES[[#This Row],[PROVEEDOR]],TERCEROS_INFO[#All],2,FALSE)</f>
        <v>30</v>
      </c>
      <c r="D765" s="27">
        <f>+SUMIFS(PROVEEDORES[Total],PROVEEDORES[PROVEEDOR],PROVEEDORES[[#This Row],[PROVEEDOR]],PROVEEDORES[FECHA DE PAGO],"")</f>
        <v>0</v>
      </c>
      <c r="E765" s="27"/>
      <c r="F765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765" s="95">
        <v>44483</v>
      </c>
      <c r="H765" s="28" t="s">
        <v>1124</v>
      </c>
      <c r="I765" s="95">
        <v>44446</v>
      </c>
      <c r="J765" s="38">
        <v>21793</v>
      </c>
      <c r="K765" s="23">
        <v>1314400</v>
      </c>
      <c r="L765" s="23"/>
      <c r="M765" s="24">
        <v>249736</v>
      </c>
      <c r="N765" s="25"/>
      <c r="O765" s="24">
        <v>0</v>
      </c>
      <c r="P765" s="136">
        <f>+IF(PROVEEDORES[[#This Row],[SUBTOTAL]]&lt;PROVEEDORES[[#This Row],[base retencion]],0,PROVEEDORES[[#This Row],[retención aplicada]])</f>
        <v>2.5000000000000001E-2</v>
      </c>
      <c r="Q765" s="24">
        <f>+PROVEEDORES[[#This Row],[Rete Fuente %]]*PROVEEDORES[[#This Row],[SUBTOTAL]]</f>
        <v>32860</v>
      </c>
      <c r="R765" s="23">
        <v>1531276</v>
      </c>
      <c r="S76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5" s="99">
        <f ca="1">IF(PROVEEDORES[[#This Row],[FECHA DE PAGO]]=0,TODAY()-PROVEEDORES[[#This Row],[FECHA DE FACTURACIÓN]]-PROVEEDORES[[#This Row],[PLAZO Días]],0)</f>
        <v>0</v>
      </c>
      <c r="U765" s="149" t="str">
        <f>+VLOOKUP(PROVEEDORES[[#This Row],[PROVEEDOR]],Terceros!$A:$E,5,FALSE)</f>
        <v>2,5% con base</v>
      </c>
      <c r="V765" s="150">
        <f>+YEAR(PROVEEDORES[[#This Row],[FECHA DE FACTURACIÓN]])</f>
        <v>2021</v>
      </c>
      <c r="W765" s="150">
        <f>+MATCH(PROVEEDORES[[#This Row],[año facturado]],Retenciones!$1:$1,0)</f>
        <v>4</v>
      </c>
      <c r="X765" s="151">
        <f>+VLOOKUP(PROVEEDORES[[#This Row],[ID RETENCION]],Retenciones!$A$1:$O$24,PROVEEDORES[[#This Row],[indicador de columna]],FALSE)</f>
        <v>980000</v>
      </c>
      <c r="Y765" s="152">
        <f>+VLOOKUP(PROVEEDORES[[#This Row],[ID RETENCION]],Retenciones!$A$1:$O$24,2,FALSE)</f>
        <v>2.5000000000000001E-2</v>
      </c>
      <c r="Z765" s="26"/>
      <c r="AA765" s="26"/>
      <c r="AB765" s="26"/>
      <c r="AC765" s="26"/>
      <c r="AD765" s="26"/>
      <c r="AE765" s="26"/>
    </row>
    <row r="766" spans="1:31" ht="21.95" customHeight="1" x14ac:dyDescent="0.25">
      <c r="A766" s="97" t="str">
        <f>+IF(PROVEEDORES[[#This Row],[FECHA DE PAGO]]=PROVEEDORES[[#This Row],[FECHA DE FACTURACIÓN]],"DE CONTADO","CRÉDITO")</f>
        <v>DE CONTADO</v>
      </c>
      <c r="B766" s="41" t="b">
        <f>+IF((PROVEEDORES[[#This Row],[FECHA DE PAGO]]-PROVEEDORES[[#This Row],[FECHA DE FACTURACIÓN]])&gt;PROVEEDORES[[#This Row],[PLAZO Días]],"PAGO VENCIDO")</f>
        <v>0</v>
      </c>
      <c r="C766" s="22">
        <f>+VLOOKUP(PROVEEDORES[[#This Row],[PROVEEDOR]],TERCEROS_INFO[#All],2,FALSE)</f>
        <v>30</v>
      </c>
      <c r="D766" s="27">
        <f>+SUMIFS(PROVEEDORES[Total],PROVEEDORES[PROVEEDOR],PROVEEDORES[[#This Row],[PROVEEDOR]],PROVEEDORES[FECHA DE PAGO],"")</f>
        <v>0</v>
      </c>
      <c r="E766" s="27"/>
      <c r="F766" s="62" t="str">
        <f>+VLOOKUP(PROVEEDORES[[#This Row],[PROVEEDOR]],
                       Terceros!$A:$G,
                       6,
                       FALSE)</f>
        <v/>
      </c>
      <c r="G766" s="95">
        <v>44447</v>
      </c>
      <c r="H766" s="28" t="s">
        <v>1073</v>
      </c>
      <c r="I766" s="95">
        <v>44447</v>
      </c>
      <c r="J766" s="38" t="s">
        <v>814</v>
      </c>
      <c r="K766" s="23">
        <v>182000</v>
      </c>
      <c r="L766" s="23"/>
      <c r="M766" s="24">
        <v>0</v>
      </c>
      <c r="N766" s="25"/>
      <c r="O766" s="24">
        <v>0</v>
      </c>
      <c r="P766" s="136">
        <f>+IF(PROVEEDORES[[#This Row],[SUBTOTAL]]&lt;PROVEEDORES[[#This Row],[base retencion]],0,PROVEEDORES[[#This Row],[retención aplicada]])</f>
        <v>0</v>
      </c>
      <c r="Q766" s="24">
        <f>+PROVEEDORES[[#This Row],[Rete Fuente %]]*PROVEEDORES[[#This Row],[SUBTOTAL]]</f>
        <v>0</v>
      </c>
      <c r="R766" s="23">
        <v>182000</v>
      </c>
      <c r="S76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6" s="99">
        <f ca="1">IF(PROVEEDORES[[#This Row],[FECHA DE PAGO]]=0,TODAY()-PROVEEDORES[[#This Row],[FECHA DE FACTURACIÓN]]-PROVEEDORES[[#This Row],[PLAZO Días]],0)</f>
        <v>0</v>
      </c>
      <c r="U766" s="149">
        <f>+VLOOKUP(PROVEEDORES[[#This Row],[PROVEEDOR]],Terceros!$A:$E,5,FALSE)</f>
        <v>0</v>
      </c>
      <c r="V766" s="150">
        <f>+YEAR(PROVEEDORES[[#This Row],[FECHA DE FACTURACIÓN]])</f>
        <v>2021</v>
      </c>
      <c r="W766" s="150">
        <f>+MATCH(PROVEEDORES[[#This Row],[año facturado]],Retenciones!$1:$1,0)</f>
        <v>4</v>
      </c>
      <c r="X766" s="151">
        <f>+VLOOKUP(PROVEEDORES[[#This Row],[ID RETENCION]],Retenciones!$A$1:$O$24,PROVEEDORES[[#This Row],[indicador de columna]],FALSE)</f>
        <v>0</v>
      </c>
      <c r="Y766" s="152">
        <f>+VLOOKUP(PROVEEDORES[[#This Row],[ID RETENCION]],Retenciones!$A$1:$O$24,2,FALSE)</f>
        <v>0</v>
      </c>
      <c r="Z766" s="26"/>
      <c r="AA766" s="26"/>
      <c r="AB766" s="26"/>
      <c r="AC766" s="26"/>
      <c r="AD766" s="26"/>
      <c r="AE766" s="26"/>
    </row>
    <row r="767" spans="1:31" ht="21.95" customHeight="1" x14ac:dyDescent="0.25">
      <c r="A767" s="97" t="str">
        <f>+IF(PROVEEDORES[[#This Row],[FECHA DE PAGO]]=PROVEEDORES[[#This Row],[FECHA DE FACTURACIÓN]],"DE CONTADO","CRÉDITO")</f>
        <v>DE CONTADO</v>
      </c>
      <c r="B767" s="41" t="b">
        <f>+IF((PROVEEDORES[[#This Row],[FECHA DE PAGO]]-PROVEEDORES[[#This Row],[FECHA DE FACTURACIÓN]])&gt;PROVEEDORES[[#This Row],[PLAZO Días]],"PAGO VENCIDO")</f>
        <v>0</v>
      </c>
      <c r="C767" s="22">
        <f>+VLOOKUP(PROVEEDORES[[#This Row],[PROVEEDOR]],TERCEROS_INFO[#All],2,FALSE)</f>
        <v>30</v>
      </c>
      <c r="D767" s="27">
        <f>+SUMIFS(PROVEEDORES[Total],PROVEEDORES[PROVEEDOR],PROVEEDORES[[#This Row],[PROVEEDOR]],PROVEEDORES[FECHA DE PAGO],"")</f>
        <v>0</v>
      </c>
      <c r="E767" s="27"/>
      <c r="F767" s="62" t="str">
        <f>+VLOOKUP(PROVEEDORES[[#This Row],[PROVEEDOR]],
                       Terceros!$A:$G,
                       6,
                       FALSE)</f>
        <v/>
      </c>
      <c r="G767" s="95">
        <v>44447</v>
      </c>
      <c r="H767" s="28" t="s">
        <v>997</v>
      </c>
      <c r="I767" s="95">
        <v>44447</v>
      </c>
      <c r="J767" s="38" t="s">
        <v>813</v>
      </c>
      <c r="K767" s="23">
        <v>510000</v>
      </c>
      <c r="L767" s="23"/>
      <c r="M767" s="24">
        <v>0</v>
      </c>
      <c r="N767" s="25"/>
      <c r="O767" s="24">
        <v>0</v>
      </c>
      <c r="P767" s="136">
        <f>+IF(PROVEEDORES[[#This Row],[SUBTOTAL]]&lt;PROVEEDORES[[#This Row],[base retencion]],0,PROVEEDORES[[#This Row],[retención aplicada]])</f>
        <v>0</v>
      </c>
      <c r="Q767" s="24">
        <f>+PROVEEDORES[[#This Row],[Rete Fuente %]]*PROVEEDORES[[#This Row],[SUBTOTAL]]</f>
        <v>0</v>
      </c>
      <c r="R767" s="23">
        <v>510000</v>
      </c>
      <c r="S76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7" s="99">
        <f ca="1">IF(PROVEEDORES[[#This Row],[FECHA DE PAGO]]=0,TODAY()-PROVEEDORES[[#This Row],[FECHA DE FACTURACIÓN]]-PROVEEDORES[[#This Row],[PLAZO Días]],0)</f>
        <v>0</v>
      </c>
      <c r="U767" s="149">
        <f>+VLOOKUP(PROVEEDORES[[#This Row],[PROVEEDOR]],Terceros!$A:$E,5,FALSE)</f>
        <v>0</v>
      </c>
      <c r="V767" s="150">
        <f>+YEAR(PROVEEDORES[[#This Row],[FECHA DE FACTURACIÓN]])</f>
        <v>2021</v>
      </c>
      <c r="W767" s="150">
        <f>+MATCH(PROVEEDORES[[#This Row],[año facturado]],Retenciones!$1:$1,0)</f>
        <v>4</v>
      </c>
      <c r="X767" s="151">
        <f>+VLOOKUP(PROVEEDORES[[#This Row],[ID RETENCION]],Retenciones!$A$1:$O$24,PROVEEDORES[[#This Row],[indicador de columna]],FALSE)</f>
        <v>0</v>
      </c>
      <c r="Y767" s="152">
        <f>+VLOOKUP(PROVEEDORES[[#This Row],[ID RETENCION]],Retenciones!$A$1:$O$24,2,FALSE)</f>
        <v>0</v>
      </c>
      <c r="Z767" s="26"/>
      <c r="AA767" s="26"/>
      <c r="AB767" s="26"/>
      <c r="AC767" s="26"/>
      <c r="AD767" s="26"/>
      <c r="AE767" s="26"/>
    </row>
    <row r="768" spans="1:31" ht="21.95" customHeight="1" x14ac:dyDescent="0.25">
      <c r="A768" s="97" t="str">
        <f>+IF(PROVEEDORES[[#This Row],[FECHA DE PAGO]]=PROVEEDORES[[#This Row],[FECHA DE FACTURACIÓN]],"DE CONTADO","CRÉDITO")</f>
        <v>DE CONTADO</v>
      </c>
      <c r="B768" s="41" t="b">
        <f>+IF((PROVEEDORES[[#This Row],[FECHA DE PAGO]]-PROVEEDORES[[#This Row],[FECHA DE FACTURACIÓN]])&gt;PROVEEDORES[[#This Row],[PLAZO Días]],"PAGO VENCIDO")</f>
        <v>0</v>
      </c>
      <c r="C768" s="22">
        <f>+VLOOKUP(PROVEEDORES[[#This Row],[PROVEEDOR]],TERCEROS_INFO[#All],2,FALSE)</f>
        <v>30</v>
      </c>
      <c r="D768" s="27">
        <f>+SUMIFS(PROVEEDORES[Total],PROVEEDORES[PROVEEDOR],PROVEEDORES[[#This Row],[PROVEEDOR]],PROVEEDORES[FECHA DE PAGO],"")</f>
        <v>0</v>
      </c>
      <c r="E768" s="27"/>
      <c r="F768" s="62" t="str">
        <f>+VLOOKUP(PROVEEDORES[[#This Row],[PROVEEDOR]],
                       Terceros!$A:$G,
                       6,
                       FALSE)</f>
        <v/>
      </c>
      <c r="G768" s="95">
        <v>44447</v>
      </c>
      <c r="H768" s="28" t="s">
        <v>983</v>
      </c>
      <c r="I768" s="95">
        <v>44447</v>
      </c>
      <c r="J768" s="38" t="s">
        <v>812</v>
      </c>
      <c r="K768" s="23">
        <v>612000</v>
      </c>
      <c r="L768" s="23"/>
      <c r="M768" s="24">
        <v>0</v>
      </c>
      <c r="N768" s="25"/>
      <c r="O768" s="24">
        <v>0</v>
      </c>
      <c r="P768" s="136">
        <f>+IF(PROVEEDORES[[#This Row],[SUBTOTAL]]&lt;PROVEEDORES[[#This Row],[base retencion]],0,PROVEEDORES[[#This Row],[retención aplicada]])</f>
        <v>0</v>
      </c>
      <c r="Q768" s="24">
        <f>+PROVEEDORES[[#This Row],[Rete Fuente %]]*PROVEEDORES[[#This Row],[SUBTOTAL]]</f>
        <v>0</v>
      </c>
      <c r="R768" s="23">
        <v>612000</v>
      </c>
      <c r="S76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8" s="99">
        <f ca="1">IF(PROVEEDORES[[#This Row],[FECHA DE PAGO]]=0,TODAY()-PROVEEDORES[[#This Row],[FECHA DE FACTURACIÓN]]-PROVEEDORES[[#This Row],[PLAZO Días]],0)</f>
        <v>0</v>
      </c>
      <c r="U768" s="149">
        <f>+VLOOKUP(PROVEEDORES[[#This Row],[PROVEEDOR]],Terceros!$A:$E,5,FALSE)</f>
        <v>0</v>
      </c>
      <c r="V768" s="150">
        <f>+YEAR(PROVEEDORES[[#This Row],[FECHA DE FACTURACIÓN]])</f>
        <v>2021</v>
      </c>
      <c r="W768" s="150">
        <f>+MATCH(PROVEEDORES[[#This Row],[año facturado]],Retenciones!$1:$1,0)</f>
        <v>4</v>
      </c>
      <c r="X768" s="151">
        <f>+VLOOKUP(PROVEEDORES[[#This Row],[ID RETENCION]],Retenciones!$A$1:$O$24,PROVEEDORES[[#This Row],[indicador de columna]],FALSE)</f>
        <v>0</v>
      </c>
      <c r="Y768" s="152">
        <f>+VLOOKUP(PROVEEDORES[[#This Row],[ID RETENCION]],Retenciones!$A$1:$O$24,2,FALSE)</f>
        <v>0</v>
      </c>
      <c r="Z768" s="26"/>
      <c r="AA768" s="26"/>
      <c r="AB768" s="26"/>
      <c r="AC768" s="26"/>
      <c r="AD768" s="26"/>
      <c r="AE768" s="26"/>
    </row>
    <row r="769" spans="1:31" ht="21.95" customHeight="1" x14ac:dyDescent="0.25">
      <c r="A769" s="97" t="str">
        <f>+IF(PROVEEDORES[[#This Row],[FECHA DE PAGO]]=PROVEEDORES[[#This Row],[FECHA DE FACTURACIÓN]],"DE CONTADO","CRÉDITO")</f>
        <v>CRÉDITO</v>
      </c>
      <c r="B769" s="41" t="str">
        <f>+IF((PROVEEDORES[[#This Row],[FECHA DE PAGO]]-PROVEEDORES[[#This Row],[FECHA DE FACTURACIÓN]])&gt;PROVEEDORES[[#This Row],[PLAZO Días]],"PAGO VENCIDO")</f>
        <v>PAGO VENCIDO</v>
      </c>
      <c r="C769" s="22">
        <f>+VLOOKUP(PROVEEDORES[[#This Row],[PROVEEDOR]],TERCEROS_INFO[#All],2,FALSE)</f>
        <v>30</v>
      </c>
      <c r="D769" s="27">
        <f>+SUMIFS(PROVEEDORES[Total],PROVEEDORES[PROVEEDOR],PROVEEDORES[[#This Row],[PROVEEDOR]],PROVEEDORES[FECHA DE PAGO],"")</f>
        <v>6932910</v>
      </c>
      <c r="E769" s="27"/>
      <c r="F769" s="62" t="str">
        <f>+VLOOKUP(PROVEEDORES[[#This Row],[PROVEEDOR]],
                       Terceros!$A:$G,
                       6,
                       FALSE)</f>
        <v>admin@kinocompanysas.com.co;girlesa.ruiz@servipilas.com;joriescobar64@gmail.com</v>
      </c>
      <c r="G769" s="95">
        <v>44537</v>
      </c>
      <c r="H769" s="28" t="s">
        <v>33</v>
      </c>
      <c r="I769" s="95">
        <v>44447</v>
      </c>
      <c r="J769" s="38">
        <v>1408</v>
      </c>
      <c r="K769" s="23">
        <v>2298000</v>
      </c>
      <c r="L769" s="23"/>
      <c r="M769" s="24">
        <v>436620</v>
      </c>
      <c r="N769" s="25"/>
      <c r="O769" s="24">
        <v>0</v>
      </c>
      <c r="P769" s="136">
        <f>+IF(PROVEEDORES[[#This Row],[SUBTOTAL]]&lt;PROVEEDORES[[#This Row],[base retencion]],0,PROVEEDORES[[#This Row],[retención aplicada]])</f>
        <v>2.5000000000000001E-2</v>
      </c>
      <c r="Q769" s="24">
        <f>+PROVEEDORES[[#This Row],[Rete Fuente %]]*PROVEEDORES[[#This Row],[SUBTOTAL]]</f>
        <v>57450</v>
      </c>
      <c r="R769" s="23">
        <v>2677170</v>
      </c>
      <c r="S76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9" s="99">
        <f ca="1">IF(PROVEEDORES[[#This Row],[FECHA DE PAGO]]=0,TODAY()-PROVEEDORES[[#This Row],[FECHA DE FACTURACIÓN]]-PROVEEDORES[[#This Row],[PLAZO Días]],0)</f>
        <v>0</v>
      </c>
      <c r="U769" s="149" t="str">
        <f>+VLOOKUP(PROVEEDORES[[#This Row],[PROVEEDOR]],Terceros!$A:$E,5,FALSE)</f>
        <v>2,5% con base</v>
      </c>
      <c r="V769" s="150">
        <f>+YEAR(PROVEEDORES[[#This Row],[FECHA DE FACTURACIÓN]])</f>
        <v>2021</v>
      </c>
      <c r="W769" s="150">
        <f>+MATCH(PROVEEDORES[[#This Row],[año facturado]],Retenciones!$1:$1,0)</f>
        <v>4</v>
      </c>
      <c r="X769" s="151">
        <f>+VLOOKUP(PROVEEDORES[[#This Row],[ID RETENCION]],Retenciones!$A$1:$O$24,PROVEEDORES[[#This Row],[indicador de columna]],FALSE)</f>
        <v>980000</v>
      </c>
      <c r="Y769" s="152">
        <f>+VLOOKUP(PROVEEDORES[[#This Row],[ID RETENCION]],Retenciones!$A$1:$O$24,2,FALSE)</f>
        <v>2.5000000000000001E-2</v>
      </c>
      <c r="Z769" s="26"/>
      <c r="AA769" s="26"/>
      <c r="AB769" s="26"/>
      <c r="AC769" s="26"/>
      <c r="AD769" s="26"/>
      <c r="AE769" s="26"/>
    </row>
    <row r="770" spans="1:31" ht="21.95" customHeight="1" x14ac:dyDescent="0.25">
      <c r="A770" s="97" t="str">
        <f>+IF(PROVEEDORES[[#This Row],[FECHA DE PAGO]]=PROVEEDORES[[#This Row],[FECHA DE FACTURACIÓN]],"DE CONTADO","CRÉDITO")</f>
        <v>CRÉDITO</v>
      </c>
      <c r="B770" s="41" t="b">
        <f>+IF((PROVEEDORES[[#This Row],[FECHA DE PAGO]]-PROVEEDORES[[#This Row],[FECHA DE FACTURACIÓN]])&gt;PROVEEDORES[[#This Row],[PLAZO Días]],"PAGO VENCIDO")</f>
        <v>0</v>
      </c>
      <c r="C770" s="22">
        <f>+VLOOKUP(PROVEEDORES[[#This Row],[PROVEEDOR]],TERCEROS_INFO[#All],2,FALSE)</f>
        <v>30</v>
      </c>
      <c r="D770" s="27">
        <f>+SUMIFS(PROVEEDORES[Total],PROVEEDORES[PROVEEDOR],PROVEEDORES[[#This Row],[PROVEEDOR]],PROVEEDORES[FECHA DE PAGO],"")</f>
        <v>195500</v>
      </c>
      <c r="E770" s="27"/>
      <c r="F770" s="62" t="str">
        <f>+VLOOKUP(PROVEEDORES[[#This Row],[PROVEEDOR]],
                       Terceros!$A:$G,
                       6,
                       FALSE)</f>
        <v/>
      </c>
      <c r="G770" s="95">
        <v>44466</v>
      </c>
      <c r="H770" s="28" t="s">
        <v>1047</v>
      </c>
      <c r="I770" s="95">
        <v>44448</v>
      </c>
      <c r="J770" s="38" t="s">
        <v>815</v>
      </c>
      <c r="K770" s="23">
        <v>227900</v>
      </c>
      <c r="L770" s="23"/>
      <c r="M770" s="24">
        <v>0</v>
      </c>
      <c r="N770" s="25"/>
      <c r="O770" s="24">
        <v>0</v>
      </c>
      <c r="P770" s="136">
        <f>+IF(PROVEEDORES[[#This Row],[SUBTOTAL]]&lt;PROVEEDORES[[#This Row],[base retencion]],0,PROVEEDORES[[#This Row],[retención aplicada]])</f>
        <v>0</v>
      </c>
      <c r="Q770" s="24">
        <f>+PROVEEDORES[[#This Row],[Rete Fuente %]]*PROVEEDORES[[#This Row],[SUBTOTAL]]</f>
        <v>0</v>
      </c>
      <c r="R770" s="23">
        <v>227900</v>
      </c>
      <c r="S77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0" s="99">
        <f ca="1">IF(PROVEEDORES[[#This Row],[FECHA DE PAGO]]=0,TODAY()-PROVEEDORES[[#This Row],[FECHA DE FACTURACIÓN]]-PROVEEDORES[[#This Row],[PLAZO Días]],0)</f>
        <v>0</v>
      </c>
      <c r="U770" s="149">
        <f>+VLOOKUP(PROVEEDORES[[#This Row],[PROVEEDOR]],Terceros!$A:$E,5,FALSE)</f>
        <v>0</v>
      </c>
      <c r="V770" s="150">
        <f>+YEAR(PROVEEDORES[[#This Row],[FECHA DE FACTURACIÓN]])</f>
        <v>2021</v>
      </c>
      <c r="W770" s="150">
        <f>+MATCH(PROVEEDORES[[#This Row],[año facturado]],Retenciones!$1:$1,0)</f>
        <v>4</v>
      </c>
      <c r="X770" s="151">
        <f>+VLOOKUP(PROVEEDORES[[#This Row],[ID RETENCION]],Retenciones!$A$1:$O$24,PROVEEDORES[[#This Row],[indicador de columna]],FALSE)</f>
        <v>0</v>
      </c>
      <c r="Y770" s="152">
        <f>+VLOOKUP(PROVEEDORES[[#This Row],[ID RETENCION]],Retenciones!$A$1:$O$24,2,FALSE)</f>
        <v>0</v>
      </c>
      <c r="Z770" s="26"/>
      <c r="AA770" s="26"/>
      <c r="AB770" s="26"/>
      <c r="AC770" s="26"/>
      <c r="AD770" s="26"/>
      <c r="AE770" s="26"/>
    </row>
    <row r="771" spans="1:31" ht="21.95" customHeight="1" x14ac:dyDescent="0.25">
      <c r="A771" s="97" t="str">
        <f>+IF(PROVEEDORES[[#This Row],[FECHA DE PAGO]]=PROVEEDORES[[#This Row],[FECHA DE FACTURACIÓN]],"DE CONTADO","CRÉDITO")</f>
        <v>CRÉDITO</v>
      </c>
      <c r="B771" s="41" t="str">
        <f>+IF((PROVEEDORES[[#This Row],[FECHA DE PAGO]]-PROVEEDORES[[#This Row],[FECHA DE FACTURACIÓN]])&gt;PROVEEDORES[[#This Row],[PLAZO Días]],"PAGO VENCIDO")</f>
        <v>PAGO VENCIDO</v>
      </c>
      <c r="C771" s="22">
        <f>+VLOOKUP(PROVEEDORES[[#This Row],[PROVEEDOR]],TERCEROS_INFO[#All],2,FALSE)</f>
        <v>45</v>
      </c>
      <c r="D771" s="27">
        <f>+SUMIFS(PROVEEDORES[Total],PROVEEDORES[PROVEEDOR],PROVEEDORES[[#This Row],[PROVEEDOR]],PROVEEDORES[FECHA DE PAGO],"")</f>
        <v>3412539.2</v>
      </c>
      <c r="E771" s="27"/>
      <c r="F771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771" s="95">
        <v>44510</v>
      </c>
      <c r="H771" s="28" t="s">
        <v>10</v>
      </c>
      <c r="I771" s="95">
        <v>44448</v>
      </c>
      <c r="J771" s="38" t="s">
        <v>520</v>
      </c>
      <c r="K771" s="23">
        <v>725000</v>
      </c>
      <c r="L771" s="23"/>
      <c r="M771" s="24">
        <v>137750</v>
      </c>
      <c r="N771" s="25"/>
      <c r="O771" s="24">
        <v>0</v>
      </c>
      <c r="P771" s="136">
        <f>+IF(PROVEEDORES[[#This Row],[SUBTOTAL]]&lt;PROVEEDORES[[#This Row],[base retencion]],0,PROVEEDORES[[#This Row],[retención aplicada]])</f>
        <v>0</v>
      </c>
      <c r="Q771" s="24">
        <f>+PROVEEDORES[[#This Row],[Rete Fuente %]]*PROVEEDORES[[#This Row],[SUBTOTAL]]</f>
        <v>0</v>
      </c>
      <c r="R771" s="23">
        <v>862750</v>
      </c>
      <c r="S77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1" s="99">
        <f ca="1">IF(PROVEEDORES[[#This Row],[FECHA DE PAGO]]=0,TODAY()-PROVEEDORES[[#This Row],[FECHA DE FACTURACIÓN]]-PROVEEDORES[[#This Row],[PLAZO Días]],0)</f>
        <v>0</v>
      </c>
      <c r="U771" s="149">
        <f>+VLOOKUP(PROVEEDORES[[#This Row],[PROVEEDOR]],Terceros!$A:$E,5,FALSE)</f>
        <v>0</v>
      </c>
      <c r="V771" s="150">
        <f>+YEAR(PROVEEDORES[[#This Row],[FECHA DE FACTURACIÓN]])</f>
        <v>2021</v>
      </c>
      <c r="W771" s="150">
        <f>+MATCH(PROVEEDORES[[#This Row],[año facturado]],Retenciones!$1:$1,0)</f>
        <v>4</v>
      </c>
      <c r="X771" s="151">
        <f>+VLOOKUP(PROVEEDORES[[#This Row],[ID RETENCION]],Retenciones!$A$1:$O$24,PROVEEDORES[[#This Row],[indicador de columna]],FALSE)</f>
        <v>0</v>
      </c>
      <c r="Y771" s="152">
        <f>+VLOOKUP(PROVEEDORES[[#This Row],[ID RETENCION]],Retenciones!$A$1:$O$24,2,FALSE)</f>
        <v>0</v>
      </c>
      <c r="Z771" s="26"/>
      <c r="AA771" s="26"/>
      <c r="AB771" s="26"/>
      <c r="AC771" s="26"/>
      <c r="AD771" s="26"/>
      <c r="AE771" s="26"/>
    </row>
    <row r="772" spans="1:31" ht="21.95" customHeight="1" x14ac:dyDescent="0.25">
      <c r="A772" s="97" t="str">
        <f>+IF(PROVEEDORES[[#This Row],[FECHA DE PAGO]]=PROVEEDORES[[#This Row],[FECHA DE FACTURACIÓN]],"DE CONTADO","CRÉDITO")</f>
        <v>CRÉDITO</v>
      </c>
      <c r="B772" s="41" t="str">
        <f>+IF((PROVEEDORES[[#This Row],[FECHA DE PAGO]]-PROVEEDORES[[#This Row],[FECHA DE FACTURACIÓN]])&gt;PROVEEDORES[[#This Row],[PLAZO Días]],"PAGO VENCIDO")</f>
        <v>PAGO VENCIDO</v>
      </c>
      <c r="C772" s="22">
        <f>+VLOOKUP(PROVEEDORES[[#This Row],[PROVEEDOR]],TERCEROS_INFO[#All],2,FALSE)</f>
        <v>30</v>
      </c>
      <c r="D772" s="27">
        <f>+SUMIFS(PROVEEDORES[Total],PROVEEDORES[PROVEEDOR],PROVEEDORES[[#This Row],[PROVEEDOR]],PROVEEDORES[FECHA DE PAGO],"")</f>
        <v>1860500</v>
      </c>
      <c r="E772" s="27"/>
      <c r="F772" s="62" t="str">
        <f>+VLOOKUP(PROVEEDORES[[#This Row],[PROVEEDOR]],
                       Terceros!$A:$G,
                       6,
                       FALSE)</f>
        <v/>
      </c>
      <c r="G772" s="95">
        <v>44482</v>
      </c>
      <c r="H772" s="28" t="s">
        <v>1064</v>
      </c>
      <c r="I772" s="95">
        <v>44448</v>
      </c>
      <c r="J772" s="38" t="s">
        <v>817</v>
      </c>
      <c r="K772" s="23">
        <v>821000</v>
      </c>
      <c r="L772" s="23"/>
      <c r="M772" s="24">
        <v>0</v>
      </c>
      <c r="N772" s="25"/>
      <c r="O772" s="24">
        <v>0</v>
      </c>
      <c r="P772" s="136">
        <f>+IF(PROVEEDORES[[#This Row],[SUBTOTAL]]&lt;PROVEEDORES[[#This Row],[base retencion]],0,PROVEEDORES[[#This Row],[retención aplicada]])</f>
        <v>0</v>
      </c>
      <c r="Q772" s="24">
        <f>+PROVEEDORES[[#This Row],[Rete Fuente %]]*PROVEEDORES[[#This Row],[SUBTOTAL]]</f>
        <v>0</v>
      </c>
      <c r="R772" s="23">
        <v>821000</v>
      </c>
      <c r="S77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2" s="99">
        <f ca="1">IF(PROVEEDORES[[#This Row],[FECHA DE PAGO]]=0,TODAY()-PROVEEDORES[[#This Row],[FECHA DE FACTURACIÓN]]-PROVEEDORES[[#This Row],[PLAZO Días]],0)</f>
        <v>0</v>
      </c>
      <c r="U772" s="149">
        <f>+VLOOKUP(PROVEEDORES[[#This Row],[PROVEEDOR]],Terceros!$A:$E,5,FALSE)</f>
        <v>0</v>
      </c>
      <c r="V772" s="150">
        <f>+YEAR(PROVEEDORES[[#This Row],[FECHA DE FACTURACIÓN]])</f>
        <v>2021</v>
      </c>
      <c r="W772" s="150">
        <f>+MATCH(PROVEEDORES[[#This Row],[año facturado]],Retenciones!$1:$1,0)</f>
        <v>4</v>
      </c>
      <c r="X772" s="151">
        <f>+VLOOKUP(PROVEEDORES[[#This Row],[ID RETENCION]],Retenciones!$A$1:$O$24,PROVEEDORES[[#This Row],[indicador de columna]],FALSE)</f>
        <v>0</v>
      </c>
      <c r="Y772" s="152">
        <f>+VLOOKUP(PROVEEDORES[[#This Row],[ID RETENCION]],Retenciones!$A$1:$O$24,2,FALSE)</f>
        <v>0</v>
      </c>
      <c r="Z772" s="26"/>
      <c r="AA772" s="26"/>
      <c r="AB772" s="26"/>
      <c r="AC772" s="26"/>
      <c r="AD772" s="26"/>
      <c r="AE772" s="26"/>
    </row>
    <row r="773" spans="1:31" ht="21.95" customHeight="1" x14ac:dyDescent="0.25">
      <c r="A773" s="97" t="str">
        <f>+IF(PROVEEDORES[[#This Row],[FECHA DE PAGO]]=PROVEEDORES[[#This Row],[FECHA DE FACTURACIÓN]],"DE CONTADO","CRÉDITO")</f>
        <v>CRÉDITO</v>
      </c>
      <c r="B773" s="41" t="str">
        <f>+IF((PROVEEDORES[[#This Row],[FECHA DE PAGO]]-PROVEEDORES[[#This Row],[FECHA DE FACTURACIÓN]])&gt;PROVEEDORES[[#This Row],[PLAZO Días]],"PAGO VENCIDO")</f>
        <v>PAGO VENCIDO</v>
      </c>
      <c r="C773" s="22">
        <f>+VLOOKUP(PROVEEDORES[[#This Row],[PROVEEDOR]],TERCEROS_INFO[#All],2,FALSE)</f>
        <v>30</v>
      </c>
      <c r="D773" s="27">
        <f>+SUMIFS(PROVEEDORES[Total],PROVEEDORES[PROVEEDOR],PROVEEDORES[[#This Row],[PROVEEDOR]],PROVEEDORES[FECHA DE PAGO],"")</f>
        <v>1850000</v>
      </c>
      <c r="E773" s="27"/>
      <c r="F773" s="62" t="str">
        <f>+VLOOKUP(PROVEEDORES[[#This Row],[PROVEEDOR]],
                       Terceros!$A:$G,
                       6,
                       FALSE)</f>
        <v>globalpowerc2018@gmail.com;girlesa.ruiz@servipilas.com;joriescobar64@gmail.com</v>
      </c>
      <c r="G773" s="95">
        <v>44480</v>
      </c>
      <c r="H773" s="28" t="s">
        <v>1051</v>
      </c>
      <c r="I773" s="95">
        <v>44448</v>
      </c>
      <c r="J773" s="38" t="s">
        <v>816</v>
      </c>
      <c r="K773" s="23">
        <v>850000</v>
      </c>
      <c r="L773" s="23"/>
      <c r="M773" s="24">
        <v>0</v>
      </c>
      <c r="N773" s="25"/>
      <c r="O773" s="24">
        <v>0</v>
      </c>
      <c r="P773" s="136">
        <f>+IF(PROVEEDORES[[#This Row],[SUBTOTAL]]&lt;PROVEEDORES[[#This Row],[base retencion]],0,PROVEEDORES[[#This Row],[retención aplicada]])</f>
        <v>0</v>
      </c>
      <c r="Q773" s="24">
        <f>+PROVEEDORES[[#This Row],[Rete Fuente %]]*PROVEEDORES[[#This Row],[SUBTOTAL]]</f>
        <v>0</v>
      </c>
      <c r="R773" s="23">
        <v>850000</v>
      </c>
      <c r="S77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3" s="99">
        <f ca="1">IF(PROVEEDORES[[#This Row],[FECHA DE PAGO]]=0,TODAY()-PROVEEDORES[[#This Row],[FECHA DE FACTURACIÓN]]-PROVEEDORES[[#This Row],[PLAZO Días]],0)</f>
        <v>0</v>
      </c>
      <c r="U773" s="149">
        <f>+VLOOKUP(PROVEEDORES[[#This Row],[PROVEEDOR]],Terceros!$A:$E,5,FALSE)</f>
        <v>0</v>
      </c>
      <c r="V773" s="150">
        <f>+YEAR(PROVEEDORES[[#This Row],[FECHA DE FACTURACIÓN]])</f>
        <v>2021</v>
      </c>
      <c r="W773" s="150">
        <f>+MATCH(PROVEEDORES[[#This Row],[año facturado]],Retenciones!$1:$1,0)</f>
        <v>4</v>
      </c>
      <c r="X773" s="151">
        <f>+VLOOKUP(PROVEEDORES[[#This Row],[ID RETENCION]],Retenciones!$A$1:$O$24,PROVEEDORES[[#This Row],[indicador de columna]],FALSE)</f>
        <v>0</v>
      </c>
      <c r="Y773" s="152">
        <f>+VLOOKUP(PROVEEDORES[[#This Row],[ID RETENCION]],Retenciones!$A$1:$O$24,2,FALSE)</f>
        <v>0</v>
      </c>
      <c r="Z773" s="26"/>
      <c r="AA773" s="26"/>
      <c r="AB773" s="26"/>
      <c r="AC773" s="26"/>
      <c r="AD773" s="26"/>
      <c r="AE773" s="26"/>
    </row>
    <row r="774" spans="1:31" ht="21.95" customHeight="1" x14ac:dyDescent="0.25">
      <c r="A774" s="97" t="str">
        <f>+IF(PROVEEDORES[[#This Row],[FECHA DE PAGO]]=PROVEEDORES[[#This Row],[FECHA DE FACTURACIÓN]],"DE CONTADO","CRÉDITO")</f>
        <v>DE CONTADO</v>
      </c>
      <c r="B774" s="41" t="b">
        <f>+IF((PROVEEDORES[[#This Row],[FECHA DE PAGO]]-PROVEEDORES[[#This Row],[FECHA DE FACTURACIÓN]])&gt;PROVEEDORES[[#This Row],[PLAZO Días]],"PAGO VENCIDO")</f>
        <v>0</v>
      </c>
      <c r="C774" s="22">
        <f>+VLOOKUP(PROVEEDORES[[#This Row],[PROVEEDOR]],TERCEROS_INFO[#All],2,FALSE)</f>
        <v>30</v>
      </c>
      <c r="D774" s="27">
        <f>+SUMIFS(PROVEEDORES[Total],PROVEEDORES[PROVEEDOR],PROVEEDORES[[#This Row],[PROVEEDOR]],PROVEEDORES[FECHA DE PAGO],"")</f>
        <v>0</v>
      </c>
      <c r="E774" s="27"/>
      <c r="F774" s="62">
        <f>+VLOOKUP(PROVEEDORES[[#This Row],[PROVEEDOR]],
                       Terceros!$A:$G,
                       6,
                       FALSE)</f>
        <v>0</v>
      </c>
      <c r="G774" s="95">
        <v>44449</v>
      </c>
      <c r="H774" s="28" t="s">
        <v>518</v>
      </c>
      <c r="I774" s="95">
        <v>44449</v>
      </c>
      <c r="J774" s="38">
        <v>301659</v>
      </c>
      <c r="K774" s="23">
        <v>146639</v>
      </c>
      <c r="L774" s="23"/>
      <c r="M774" s="24">
        <v>27861.41</v>
      </c>
      <c r="N774" s="25"/>
      <c r="O774" s="24">
        <v>0</v>
      </c>
      <c r="P774" s="136">
        <f>+IF(PROVEEDORES[[#This Row],[SUBTOTAL]]&lt;PROVEEDORES[[#This Row],[base retencion]],0,PROVEEDORES[[#This Row],[retención aplicada]])</f>
        <v>0</v>
      </c>
      <c r="Q774" s="24">
        <f>+PROVEEDORES[[#This Row],[Rete Fuente %]]*PROVEEDORES[[#This Row],[SUBTOTAL]]</f>
        <v>0</v>
      </c>
      <c r="R774" s="23">
        <v>174500.41</v>
      </c>
      <c r="S77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4" s="99">
        <f ca="1">IF(PROVEEDORES[[#This Row],[FECHA DE PAGO]]=0,TODAY()-PROVEEDORES[[#This Row],[FECHA DE FACTURACIÓN]]-PROVEEDORES[[#This Row],[PLAZO Días]],0)</f>
        <v>0</v>
      </c>
      <c r="U774" s="149">
        <f>+VLOOKUP(PROVEEDORES[[#This Row],[PROVEEDOR]],Terceros!$A:$E,5,FALSE)</f>
        <v>0</v>
      </c>
      <c r="V774" s="150">
        <f>+YEAR(PROVEEDORES[[#This Row],[FECHA DE FACTURACIÓN]])</f>
        <v>2021</v>
      </c>
      <c r="W774" s="150">
        <f>+MATCH(PROVEEDORES[[#This Row],[año facturado]],Retenciones!$1:$1,0)</f>
        <v>4</v>
      </c>
      <c r="X774" s="151">
        <f>+VLOOKUP(PROVEEDORES[[#This Row],[ID RETENCION]],Retenciones!$A$1:$O$24,PROVEEDORES[[#This Row],[indicador de columna]],FALSE)</f>
        <v>0</v>
      </c>
      <c r="Y774" s="152">
        <f>+VLOOKUP(PROVEEDORES[[#This Row],[ID RETENCION]],Retenciones!$A$1:$O$24,2,FALSE)</f>
        <v>0</v>
      </c>
      <c r="Z774" s="26"/>
      <c r="AA774" s="26"/>
      <c r="AB774" s="26"/>
      <c r="AC774" s="26"/>
      <c r="AD774" s="26"/>
      <c r="AE774" s="26"/>
    </row>
    <row r="775" spans="1:31" ht="21.95" customHeight="1" x14ac:dyDescent="0.25">
      <c r="A775" s="97" t="str">
        <f>+IF(PROVEEDORES[[#This Row],[FECHA DE PAGO]]=PROVEEDORES[[#This Row],[FECHA DE FACTURACIÓN]],"DE CONTADO","CRÉDITO")</f>
        <v>CRÉDITO</v>
      </c>
      <c r="B775" s="41" t="str">
        <f>+IF((PROVEEDORES[[#This Row],[FECHA DE PAGO]]-PROVEEDORES[[#This Row],[FECHA DE FACTURACIÓN]])&gt;PROVEEDORES[[#This Row],[PLAZO Días]],"PAGO VENCIDO")</f>
        <v>PAGO VENCIDO</v>
      </c>
      <c r="C775" s="22">
        <f>+VLOOKUP(PROVEEDORES[[#This Row],[PROVEEDOR]],TERCEROS_INFO[#All],2,FALSE)</f>
        <v>30</v>
      </c>
      <c r="D775" s="27">
        <f>+SUMIFS(PROVEEDORES[Total],PROVEEDORES[PROVEEDOR],PROVEEDORES[[#This Row],[PROVEEDOR]],PROVEEDORES[FECHA DE PAGO],"")</f>
        <v>7458000</v>
      </c>
      <c r="E775" s="27"/>
      <c r="F775" s="62" t="str">
        <f>+VLOOKUP(PROVEEDORES[[#This Row],[PROVEEDOR]],
                       Terceros!$A:$G,
                       6,
                       FALSE)</f>
        <v/>
      </c>
      <c r="G775" s="95">
        <v>44510</v>
      </c>
      <c r="H775" s="28" t="s">
        <v>1043</v>
      </c>
      <c r="I775" s="95">
        <v>44449</v>
      </c>
      <c r="J775" s="38" t="s">
        <v>818</v>
      </c>
      <c r="K775" s="23">
        <v>1140000</v>
      </c>
      <c r="L775" s="23"/>
      <c r="M775" s="24">
        <v>0</v>
      </c>
      <c r="N775" s="25"/>
      <c r="O775" s="24">
        <v>0</v>
      </c>
      <c r="P775" s="136">
        <f>+IF(PROVEEDORES[[#This Row],[SUBTOTAL]]&lt;PROVEEDORES[[#This Row],[base retencion]],0,PROVEEDORES[[#This Row],[retención aplicada]])</f>
        <v>0</v>
      </c>
      <c r="Q775" s="24">
        <f>+PROVEEDORES[[#This Row],[Rete Fuente %]]*PROVEEDORES[[#This Row],[SUBTOTAL]]</f>
        <v>0</v>
      </c>
      <c r="R775" s="23">
        <v>1140000</v>
      </c>
      <c r="S77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5" s="99">
        <f ca="1">IF(PROVEEDORES[[#This Row],[FECHA DE PAGO]]=0,TODAY()-PROVEEDORES[[#This Row],[FECHA DE FACTURACIÓN]]-PROVEEDORES[[#This Row],[PLAZO Días]],0)</f>
        <v>0</v>
      </c>
      <c r="U775" s="149">
        <f>+VLOOKUP(PROVEEDORES[[#This Row],[PROVEEDOR]],Terceros!$A:$E,5,FALSE)</f>
        <v>0</v>
      </c>
      <c r="V775" s="150">
        <f>+YEAR(PROVEEDORES[[#This Row],[FECHA DE FACTURACIÓN]])</f>
        <v>2021</v>
      </c>
      <c r="W775" s="150">
        <f>+MATCH(PROVEEDORES[[#This Row],[año facturado]],Retenciones!$1:$1,0)</f>
        <v>4</v>
      </c>
      <c r="X775" s="151">
        <f>+VLOOKUP(PROVEEDORES[[#This Row],[ID RETENCION]],Retenciones!$A$1:$O$24,PROVEEDORES[[#This Row],[indicador de columna]],FALSE)</f>
        <v>0</v>
      </c>
      <c r="Y775" s="152">
        <f>+VLOOKUP(PROVEEDORES[[#This Row],[ID RETENCION]],Retenciones!$A$1:$O$24,2,FALSE)</f>
        <v>0</v>
      </c>
      <c r="Z775" s="26"/>
      <c r="AA775" s="26"/>
      <c r="AB775" s="26"/>
      <c r="AC775" s="26"/>
      <c r="AD775" s="26"/>
      <c r="AE775" s="26"/>
    </row>
    <row r="776" spans="1:31" ht="21.95" customHeight="1" x14ac:dyDescent="0.25">
      <c r="A776" s="97" t="str">
        <f>+IF(PROVEEDORES[[#This Row],[FECHA DE PAGO]]=PROVEEDORES[[#This Row],[FECHA DE FACTURACIÓN]],"DE CONTADO","CRÉDITO")</f>
        <v>CRÉDITO</v>
      </c>
      <c r="B776" s="41" t="str">
        <f>+IF((PROVEEDORES[[#This Row],[FECHA DE PAGO]]-PROVEEDORES[[#This Row],[FECHA DE FACTURACIÓN]])&gt;PROVEEDORES[[#This Row],[PLAZO Días]],"PAGO VENCIDO")</f>
        <v>PAGO VENCIDO</v>
      </c>
      <c r="C776" s="22">
        <f>+VLOOKUP(PROVEEDORES[[#This Row],[PROVEEDOR]],TERCEROS_INFO[#All],2,FALSE)</f>
        <v>30</v>
      </c>
      <c r="D776" s="27">
        <f>+SUMIFS(PROVEEDORES[Total],PROVEEDORES[PROVEEDOR],PROVEEDORES[[#This Row],[PROVEEDOR]],PROVEEDORES[FECHA DE PAGO],"")</f>
        <v>0</v>
      </c>
      <c r="E776" s="27"/>
      <c r="F776" s="62" t="str">
        <f>+VLOOKUP(PROVEEDORES[[#This Row],[PROVEEDOR]],
                       Terceros!$A:$G,
                       6,
                       FALSE)</f>
        <v>Pygimportadora@gmail.com;girlesa.ruiz@servipilas.com;joriescobar64@gmail.com</v>
      </c>
      <c r="G776" s="95">
        <v>44496</v>
      </c>
      <c r="H776" s="28" t="s">
        <v>26</v>
      </c>
      <c r="I776" s="95">
        <v>44449</v>
      </c>
      <c r="J776" s="38" t="s">
        <v>524</v>
      </c>
      <c r="K776" s="23">
        <v>2720000</v>
      </c>
      <c r="L776" s="23"/>
      <c r="M776" s="24">
        <v>516800</v>
      </c>
      <c r="N776" s="25"/>
      <c r="O776" s="24">
        <v>0</v>
      </c>
      <c r="P776" s="136">
        <f>+IF(PROVEEDORES[[#This Row],[SUBTOTAL]]&lt;PROVEEDORES[[#This Row],[base retencion]],0,PROVEEDORES[[#This Row],[retención aplicada]])</f>
        <v>2.5000000000000001E-2</v>
      </c>
      <c r="Q776" s="24">
        <f>+PROVEEDORES[[#This Row],[Rete Fuente %]]*PROVEEDORES[[#This Row],[SUBTOTAL]]</f>
        <v>68000</v>
      </c>
      <c r="R776" s="23">
        <v>3168800</v>
      </c>
      <c r="S77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6" s="99">
        <f ca="1">IF(PROVEEDORES[[#This Row],[FECHA DE PAGO]]=0,TODAY()-PROVEEDORES[[#This Row],[FECHA DE FACTURACIÓN]]-PROVEEDORES[[#This Row],[PLAZO Días]],0)</f>
        <v>0</v>
      </c>
      <c r="U776" s="149" t="str">
        <f>+VLOOKUP(PROVEEDORES[[#This Row],[PROVEEDOR]],Terceros!$A:$E,5,FALSE)</f>
        <v>2,5% con base</v>
      </c>
      <c r="V776" s="150">
        <f>+YEAR(PROVEEDORES[[#This Row],[FECHA DE FACTURACIÓN]])</f>
        <v>2021</v>
      </c>
      <c r="W776" s="150">
        <f>+MATCH(PROVEEDORES[[#This Row],[año facturado]],Retenciones!$1:$1,0)</f>
        <v>4</v>
      </c>
      <c r="X776" s="151">
        <f>+VLOOKUP(PROVEEDORES[[#This Row],[ID RETENCION]],Retenciones!$A$1:$O$24,PROVEEDORES[[#This Row],[indicador de columna]],FALSE)</f>
        <v>980000</v>
      </c>
      <c r="Y776" s="152">
        <f>+VLOOKUP(PROVEEDORES[[#This Row],[ID RETENCION]],Retenciones!$A$1:$O$24,2,FALSE)</f>
        <v>2.5000000000000001E-2</v>
      </c>
      <c r="Z776" s="26"/>
      <c r="AA776" s="26"/>
      <c r="AB776" s="26"/>
      <c r="AC776" s="26"/>
      <c r="AD776" s="26"/>
      <c r="AE776" s="26"/>
    </row>
    <row r="777" spans="1:31" ht="21.95" customHeight="1" x14ac:dyDescent="0.25">
      <c r="A777" s="97" t="str">
        <f>+IF(PROVEEDORES[[#This Row],[FECHA DE PAGO]]=PROVEEDORES[[#This Row],[FECHA DE FACTURACIÓN]],"DE CONTADO","CRÉDITO")</f>
        <v>CRÉDITO</v>
      </c>
      <c r="B777" s="41" t="b">
        <f>+IF((PROVEEDORES[[#This Row],[FECHA DE PAGO]]-PROVEEDORES[[#This Row],[FECHA DE FACTURACIÓN]])&gt;PROVEEDORES[[#This Row],[PLAZO Días]],"PAGO VENCIDO")</f>
        <v>0</v>
      </c>
      <c r="C777" s="22">
        <f>+VLOOKUP(PROVEEDORES[[#This Row],[PROVEEDOR]],TERCEROS_INFO[#All],2,FALSE)</f>
        <v>30</v>
      </c>
      <c r="D777" s="27">
        <f>+SUMIFS(PROVEEDORES[Total],PROVEEDORES[PROVEEDOR],PROVEEDORES[[#This Row],[PROVEEDOR]],PROVEEDORES[FECHA DE PAGO],"")</f>
        <v>0</v>
      </c>
      <c r="E777" s="27"/>
      <c r="F777" s="62" t="str">
        <f>+VLOOKUP(PROVEEDORES[[#This Row],[PROVEEDOR]],
                       Terceros!$A:$G,
                       6,
                       FALSE)</f>
        <v/>
      </c>
      <c r="G777" s="95">
        <v>44459</v>
      </c>
      <c r="H777" s="28" t="s">
        <v>1057</v>
      </c>
      <c r="I777" s="95">
        <v>44450</v>
      </c>
      <c r="J777" s="38"/>
      <c r="K777" s="23">
        <v>1200000</v>
      </c>
      <c r="L777" s="23"/>
      <c r="M777" s="24">
        <v>0</v>
      </c>
      <c r="N777" s="25"/>
      <c r="O777" s="24">
        <v>0</v>
      </c>
      <c r="P777" s="136">
        <f>+IF(PROVEEDORES[[#This Row],[SUBTOTAL]]&lt;PROVEEDORES[[#This Row],[base retencion]],0,PROVEEDORES[[#This Row],[retención aplicada]])</f>
        <v>0</v>
      </c>
      <c r="Q777" s="24">
        <f>+PROVEEDORES[[#This Row],[Rete Fuente %]]*PROVEEDORES[[#This Row],[SUBTOTAL]]</f>
        <v>0</v>
      </c>
      <c r="R777" s="23">
        <v>1200000</v>
      </c>
      <c r="S77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7" s="99">
        <f ca="1">IF(PROVEEDORES[[#This Row],[FECHA DE PAGO]]=0,TODAY()-PROVEEDORES[[#This Row],[FECHA DE FACTURACIÓN]]-PROVEEDORES[[#This Row],[PLAZO Días]],0)</f>
        <v>0</v>
      </c>
      <c r="U777" s="149">
        <f>+VLOOKUP(PROVEEDORES[[#This Row],[PROVEEDOR]],Terceros!$A:$E,5,FALSE)</f>
        <v>0</v>
      </c>
      <c r="V777" s="150">
        <f>+YEAR(PROVEEDORES[[#This Row],[FECHA DE FACTURACIÓN]])</f>
        <v>2021</v>
      </c>
      <c r="W777" s="150">
        <f>+MATCH(PROVEEDORES[[#This Row],[año facturado]],Retenciones!$1:$1,0)</f>
        <v>4</v>
      </c>
      <c r="X777" s="151">
        <f>+VLOOKUP(PROVEEDORES[[#This Row],[ID RETENCION]],Retenciones!$A$1:$O$24,PROVEEDORES[[#This Row],[indicador de columna]],FALSE)</f>
        <v>0</v>
      </c>
      <c r="Y777" s="152">
        <f>+VLOOKUP(PROVEEDORES[[#This Row],[ID RETENCION]],Retenciones!$A$1:$O$24,2,FALSE)</f>
        <v>0</v>
      </c>
      <c r="Z777" s="26"/>
      <c r="AA777" s="26"/>
      <c r="AB777" s="26"/>
      <c r="AC777" s="26"/>
      <c r="AD777" s="26"/>
      <c r="AE777" s="26"/>
    </row>
    <row r="778" spans="1:31" ht="21.95" customHeight="1" x14ac:dyDescent="0.25">
      <c r="A778" s="97" t="str">
        <f>+IF(PROVEEDORES[[#This Row],[FECHA DE PAGO]]=PROVEEDORES[[#This Row],[FECHA DE FACTURACIÓN]],"DE CONTADO","CRÉDITO")</f>
        <v>CRÉDITO</v>
      </c>
      <c r="B778" s="41" t="b">
        <f>+IF((PROVEEDORES[[#This Row],[FECHA DE PAGO]]-PROVEEDORES[[#This Row],[FECHA DE FACTURACIÓN]])&gt;PROVEEDORES[[#This Row],[PLAZO Días]],"PAGO VENCIDO")</f>
        <v>0</v>
      </c>
      <c r="C778" s="22">
        <f>+VLOOKUP(PROVEEDORES[[#This Row],[PROVEEDOR]],TERCEROS_INFO[#All],2,FALSE)</f>
        <v>30</v>
      </c>
      <c r="D778" s="27">
        <f>+SUMIFS(PROVEEDORES[Total],PROVEEDORES[PROVEEDOR],PROVEEDORES[[#This Row],[PROVEEDOR]],PROVEEDORES[FECHA DE PAGO],"")</f>
        <v>195500</v>
      </c>
      <c r="E778" s="27"/>
      <c r="F778" s="62" t="str">
        <f>+VLOOKUP(PROVEEDORES[[#This Row],[PROVEEDOR]],
                       Terceros!$A:$G,
                       6,
                       FALSE)</f>
        <v/>
      </c>
      <c r="G778" s="95">
        <v>44466</v>
      </c>
      <c r="H778" s="28" t="s">
        <v>1047</v>
      </c>
      <c r="I778" s="95">
        <v>44452</v>
      </c>
      <c r="J778" s="38" t="s">
        <v>819</v>
      </c>
      <c r="K778" s="23">
        <v>199600</v>
      </c>
      <c r="L778" s="23"/>
      <c r="M778" s="24">
        <v>0</v>
      </c>
      <c r="N778" s="25"/>
      <c r="O778" s="24">
        <v>0</v>
      </c>
      <c r="P778" s="136">
        <f>+IF(PROVEEDORES[[#This Row],[SUBTOTAL]]&lt;PROVEEDORES[[#This Row],[base retencion]],0,PROVEEDORES[[#This Row],[retención aplicada]])</f>
        <v>0</v>
      </c>
      <c r="Q778" s="24">
        <f>+PROVEEDORES[[#This Row],[Rete Fuente %]]*PROVEEDORES[[#This Row],[SUBTOTAL]]</f>
        <v>0</v>
      </c>
      <c r="R778" s="23">
        <v>199600</v>
      </c>
      <c r="S77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8" s="99">
        <f ca="1">IF(PROVEEDORES[[#This Row],[FECHA DE PAGO]]=0,TODAY()-PROVEEDORES[[#This Row],[FECHA DE FACTURACIÓN]]-PROVEEDORES[[#This Row],[PLAZO Días]],0)</f>
        <v>0</v>
      </c>
      <c r="U778" s="149">
        <f>+VLOOKUP(PROVEEDORES[[#This Row],[PROVEEDOR]],Terceros!$A:$E,5,FALSE)</f>
        <v>0</v>
      </c>
      <c r="V778" s="150">
        <f>+YEAR(PROVEEDORES[[#This Row],[FECHA DE FACTURACIÓN]])</f>
        <v>2021</v>
      </c>
      <c r="W778" s="150">
        <f>+MATCH(PROVEEDORES[[#This Row],[año facturado]],Retenciones!$1:$1,0)</f>
        <v>4</v>
      </c>
      <c r="X778" s="151">
        <f>+VLOOKUP(PROVEEDORES[[#This Row],[ID RETENCION]],Retenciones!$A$1:$O$24,PROVEEDORES[[#This Row],[indicador de columna]],FALSE)</f>
        <v>0</v>
      </c>
      <c r="Y778" s="152">
        <f>+VLOOKUP(PROVEEDORES[[#This Row],[ID RETENCION]],Retenciones!$A$1:$O$24,2,FALSE)</f>
        <v>0</v>
      </c>
      <c r="Z778" s="26"/>
      <c r="AA778" s="26"/>
      <c r="AB778" s="26"/>
      <c r="AC778" s="26"/>
      <c r="AD778" s="26"/>
      <c r="AE778" s="26"/>
    </row>
    <row r="779" spans="1:31" ht="21.95" customHeight="1" x14ac:dyDescent="0.25">
      <c r="A779" s="97" t="str">
        <f>+IF(PROVEEDORES[[#This Row],[FECHA DE PAGO]]=PROVEEDORES[[#This Row],[FECHA DE FACTURACIÓN]],"DE CONTADO","CRÉDITO")</f>
        <v>CRÉDITO</v>
      </c>
      <c r="B779" s="41" t="b">
        <f>+IF((PROVEEDORES[[#This Row],[FECHA DE PAGO]]-PROVEEDORES[[#This Row],[FECHA DE FACTURACIÓN]])&gt;PROVEEDORES[[#This Row],[PLAZO Días]],"PAGO VENCIDO")</f>
        <v>0</v>
      </c>
      <c r="C779" s="22">
        <f>+VLOOKUP(PROVEEDORES[[#This Row],[PROVEEDOR]],TERCEROS_INFO[#All],2,FALSE)</f>
        <v>30</v>
      </c>
      <c r="D779" s="27">
        <f>+SUMIFS(PROVEEDORES[Total],PROVEEDORES[PROVEEDOR],PROVEEDORES[[#This Row],[PROVEEDOR]],PROVEEDORES[FECHA DE PAGO],"")</f>
        <v>264406</v>
      </c>
      <c r="E779" s="27"/>
      <c r="F779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779" s="95">
        <v>44453</v>
      </c>
      <c r="H779" s="28" t="s">
        <v>390</v>
      </c>
      <c r="I779" s="95">
        <v>44452</v>
      </c>
      <c r="J779" s="38" t="s">
        <v>820</v>
      </c>
      <c r="K779" s="23">
        <v>1791000</v>
      </c>
      <c r="L779" s="23"/>
      <c r="M779" s="24">
        <v>0</v>
      </c>
      <c r="N779" s="25"/>
      <c r="O779" s="24">
        <v>0</v>
      </c>
      <c r="P779" s="136">
        <f>+IF(PROVEEDORES[[#This Row],[SUBTOTAL]]&lt;PROVEEDORES[[#This Row],[base retencion]],0,PROVEEDORES[[#This Row],[retención aplicada]])</f>
        <v>0</v>
      </c>
      <c r="Q779" s="24">
        <f>+PROVEEDORES[[#This Row],[Rete Fuente %]]*PROVEEDORES[[#This Row],[SUBTOTAL]]</f>
        <v>0</v>
      </c>
      <c r="R779" s="23">
        <v>1791000</v>
      </c>
      <c r="S77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9" s="99">
        <f ca="1">IF(PROVEEDORES[[#This Row],[FECHA DE PAGO]]=0,TODAY()-PROVEEDORES[[#This Row],[FECHA DE FACTURACIÓN]]-PROVEEDORES[[#This Row],[PLAZO Días]],0)</f>
        <v>0</v>
      </c>
      <c r="U779" s="149">
        <f>+VLOOKUP(PROVEEDORES[[#This Row],[PROVEEDOR]],Terceros!$A:$E,5,FALSE)</f>
        <v>0</v>
      </c>
      <c r="V779" s="150">
        <f>+YEAR(PROVEEDORES[[#This Row],[FECHA DE FACTURACIÓN]])</f>
        <v>2021</v>
      </c>
      <c r="W779" s="150">
        <f>+MATCH(PROVEEDORES[[#This Row],[año facturado]],Retenciones!$1:$1,0)</f>
        <v>4</v>
      </c>
      <c r="X779" s="151">
        <f>+VLOOKUP(PROVEEDORES[[#This Row],[ID RETENCION]],Retenciones!$A$1:$O$24,PROVEEDORES[[#This Row],[indicador de columna]],FALSE)</f>
        <v>0</v>
      </c>
      <c r="Y779" s="152">
        <f>+VLOOKUP(PROVEEDORES[[#This Row],[ID RETENCION]],Retenciones!$A$1:$O$24,2,FALSE)</f>
        <v>0</v>
      </c>
      <c r="Z779" s="26"/>
      <c r="AA779" s="26"/>
      <c r="AB779" s="26"/>
      <c r="AC779" s="26"/>
      <c r="AD779" s="26"/>
      <c r="AE779" s="26"/>
    </row>
    <row r="780" spans="1:31" ht="21.95" customHeight="1" x14ac:dyDescent="0.25">
      <c r="A780" s="97" t="str">
        <f>+IF(PROVEEDORES[[#This Row],[FECHA DE PAGO]]=PROVEEDORES[[#This Row],[FECHA DE FACTURACIÓN]],"DE CONTADO","CRÉDITO")</f>
        <v>DE CONTADO</v>
      </c>
      <c r="B780" s="41" t="b">
        <f>+IF((PROVEEDORES[[#This Row],[FECHA DE PAGO]]-PROVEEDORES[[#This Row],[FECHA DE FACTURACIÓN]])&gt;PROVEEDORES[[#This Row],[PLAZO Días]],"PAGO VENCIDO")</f>
        <v>0</v>
      </c>
      <c r="C780" s="22">
        <f>+VLOOKUP(PROVEEDORES[[#This Row],[PROVEEDOR]],TERCEROS_INFO[#All],2,FALSE)</f>
        <v>20</v>
      </c>
      <c r="D780" s="27">
        <f>+SUMIFS(PROVEEDORES[Total],PROVEEDORES[PROVEEDOR],PROVEEDORES[[#This Row],[PROVEEDOR]],PROVEEDORES[FECHA DE PAGO],"")</f>
        <v>0</v>
      </c>
      <c r="E780" s="27"/>
      <c r="F780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780" s="95">
        <v>44452</v>
      </c>
      <c r="H780" s="28" t="s">
        <v>374</v>
      </c>
      <c r="I780" s="95">
        <v>44452</v>
      </c>
      <c r="J780" s="38" t="s">
        <v>522</v>
      </c>
      <c r="K780" s="23">
        <v>3374743.75</v>
      </c>
      <c r="L780" s="23"/>
      <c r="M780" s="24">
        <v>95264.194999999992</v>
      </c>
      <c r="N780" s="25"/>
      <c r="O780" s="24">
        <v>0</v>
      </c>
      <c r="P780" s="136">
        <f>+IF(PROVEEDORES[[#This Row],[SUBTOTAL]]&lt;PROVEEDORES[[#This Row],[base retencion]],0,PROVEEDORES[[#This Row],[retención aplicada]])</f>
        <v>0.04</v>
      </c>
      <c r="Q780" s="24">
        <f>+PROVEEDORES[[#This Row],[Rete Fuente %]]*PROVEEDORES[[#This Row],[SUBTOTAL]]</f>
        <v>134989.75</v>
      </c>
      <c r="R780" s="23">
        <v>3449952.3249999997</v>
      </c>
      <c r="S78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0" s="99">
        <f ca="1">IF(PROVEEDORES[[#This Row],[FECHA DE PAGO]]=0,TODAY()-PROVEEDORES[[#This Row],[FECHA DE FACTURACIÓN]]-PROVEEDORES[[#This Row],[PLAZO Días]],0)</f>
        <v>0</v>
      </c>
      <c r="U780" s="149" t="str">
        <f>+VLOOKUP(PROVEEDORES[[#This Row],[PROVEEDOR]],Terceros!$A:$E,5,FALSE)</f>
        <v>4% sin base</v>
      </c>
      <c r="V780" s="150">
        <f>+YEAR(PROVEEDORES[[#This Row],[FECHA DE FACTURACIÓN]])</f>
        <v>2021</v>
      </c>
      <c r="W780" s="150">
        <f>+MATCH(PROVEEDORES[[#This Row],[año facturado]],Retenciones!$1:$1,0)</f>
        <v>4</v>
      </c>
      <c r="X780" s="151">
        <f>+VLOOKUP(PROVEEDORES[[#This Row],[ID RETENCION]],Retenciones!$A$1:$O$24,PROVEEDORES[[#This Row],[indicador de columna]],FALSE)</f>
        <v>0</v>
      </c>
      <c r="Y780" s="152">
        <f>+VLOOKUP(PROVEEDORES[[#This Row],[ID RETENCION]],Retenciones!$A$1:$O$24,2,FALSE)</f>
        <v>0.04</v>
      </c>
      <c r="Z780" s="26"/>
      <c r="AA780" s="26"/>
      <c r="AB780" s="26"/>
      <c r="AC780" s="26"/>
      <c r="AD780" s="26"/>
      <c r="AE780" s="26"/>
    </row>
    <row r="781" spans="1:31" ht="21.95" customHeight="1" x14ac:dyDescent="0.25">
      <c r="A781" s="97" t="str">
        <f>+IF(PROVEEDORES[[#This Row],[FECHA DE PAGO]]=PROVEEDORES[[#This Row],[FECHA DE FACTURACIÓN]],"DE CONTADO","CRÉDITO")</f>
        <v>CRÉDITO</v>
      </c>
      <c r="B781" s="41" t="b">
        <f>+IF((PROVEEDORES[[#This Row],[FECHA DE PAGO]]-PROVEEDORES[[#This Row],[FECHA DE FACTURACIÓN]])&gt;PROVEEDORES[[#This Row],[PLAZO Días]],"PAGO VENCIDO")</f>
        <v>0</v>
      </c>
      <c r="C781" s="22">
        <f>+VLOOKUP(PROVEEDORES[[#This Row],[PROVEEDOR]],TERCEROS_INFO[#All],2,FALSE)</f>
        <v>30</v>
      </c>
      <c r="D781" s="27">
        <f>+SUMIFS(PROVEEDORES[Total],PROVEEDORES[PROVEEDOR],PROVEEDORES[[#This Row],[PROVEEDOR]],PROVEEDORES[FECHA DE PAGO],"")</f>
        <v>395010</v>
      </c>
      <c r="E781" s="27"/>
      <c r="F781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781" s="95">
        <v>44459</v>
      </c>
      <c r="H781" s="28" t="s">
        <v>141</v>
      </c>
      <c r="I781" s="95">
        <v>44453</v>
      </c>
      <c r="J781" s="38">
        <v>135</v>
      </c>
      <c r="K781" s="23">
        <v>592000</v>
      </c>
      <c r="L781" s="23"/>
      <c r="M781" s="24">
        <v>112480</v>
      </c>
      <c r="N781" s="25"/>
      <c r="O781" s="24">
        <v>0</v>
      </c>
      <c r="P781" s="136">
        <f>+IF(PROVEEDORES[[#This Row],[SUBTOTAL]]&lt;PROVEEDORES[[#This Row],[base retencion]],0,PROVEEDORES[[#This Row],[retención aplicada]])</f>
        <v>0.01</v>
      </c>
      <c r="Q781" s="24">
        <f>+PROVEEDORES[[#This Row],[Rete Fuente %]]*PROVEEDORES[[#This Row],[SUBTOTAL]]</f>
        <v>5920</v>
      </c>
      <c r="R781" s="23">
        <v>698560</v>
      </c>
      <c r="S78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1" s="99">
        <f ca="1">IF(PROVEEDORES[[#This Row],[FECHA DE PAGO]]=0,TODAY()-PROVEEDORES[[#This Row],[FECHA DE FACTURACIÓN]]-PROVEEDORES[[#This Row],[PLAZO Días]],0)</f>
        <v>0</v>
      </c>
      <c r="U781" s="149" t="str">
        <f>+VLOOKUP(PROVEEDORES[[#This Row],[PROVEEDOR]],Terceros!$A:$E,5,FALSE)</f>
        <v>1% con base</v>
      </c>
      <c r="V781" s="150">
        <f>+YEAR(PROVEEDORES[[#This Row],[FECHA DE FACTURACIÓN]])</f>
        <v>2021</v>
      </c>
      <c r="W781" s="150">
        <f>+MATCH(PROVEEDORES[[#This Row],[año facturado]],Retenciones!$1:$1,0)</f>
        <v>4</v>
      </c>
      <c r="X781" s="151">
        <f>+VLOOKUP(PROVEEDORES[[#This Row],[ID RETENCION]],Retenciones!$A$1:$O$24,PROVEEDORES[[#This Row],[indicador de columna]],FALSE)</f>
        <v>145000</v>
      </c>
      <c r="Y781" s="152">
        <f>+VLOOKUP(PROVEEDORES[[#This Row],[ID RETENCION]],Retenciones!$A$1:$O$24,2,FALSE)</f>
        <v>0.01</v>
      </c>
      <c r="Z781" s="26"/>
      <c r="AA781" s="26"/>
      <c r="AB781" s="26"/>
      <c r="AC781" s="26"/>
      <c r="AD781" s="26"/>
      <c r="AE781" s="26"/>
    </row>
    <row r="782" spans="1:31" ht="21.95" customHeight="1" x14ac:dyDescent="0.25">
      <c r="A782" s="97" t="str">
        <f>+IF(PROVEEDORES[[#This Row],[FECHA DE PAGO]]=PROVEEDORES[[#This Row],[FECHA DE FACTURACIÓN]],"DE CONTADO","CRÉDITO")</f>
        <v>CRÉDITO</v>
      </c>
      <c r="B782" s="41" t="b">
        <f>+IF((PROVEEDORES[[#This Row],[FECHA DE PAGO]]-PROVEEDORES[[#This Row],[FECHA DE FACTURACIÓN]])&gt;PROVEEDORES[[#This Row],[PLAZO Días]],"PAGO VENCIDO")</f>
        <v>0</v>
      </c>
      <c r="C782" s="22">
        <f>+VLOOKUP(PROVEEDORES[[#This Row],[PROVEEDOR]],TERCEROS_INFO[#All],2,FALSE)</f>
        <v>30</v>
      </c>
      <c r="D782" s="27">
        <f>+SUMIFS(PROVEEDORES[Total],PROVEEDORES[PROVEEDOR],PROVEEDORES[[#This Row],[PROVEEDOR]],PROVEEDORES[FECHA DE PAGO],"")</f>
        <v>0</v>
      </c>
      <c r="E782" s="27"/>
      <c r="F782" s="62" t="str">
        <f>+VLOOKUP(PROVEEDORES[[#This Row],[PROVEEDOR]],
                       Terceros!$A:$G,
                       6,
                       FALSE)</f>
        <v/>
      </c>
      <c r="G782" s="95">
        <v>44454</v>
      </c>
      <c r="H782" s="28" t="s">
        <v>1001</v>
      </c>
      <c r="I782" s="95">
        <v>44453</v>
      </c>
      <c r="J782" s="38" t="s">
        <v>821</v>
      </c>
      <c r="K782" s="23">
        <v>1106000</v>
      </c>
      <c r="L782" s="23"/>
      <c r="M782" s="24">
        <v>0</v>
      </c>
      <c r="N782" s="25"/>
      <c r="O782" s="24">
        <v>0</v>
      </c>
      <c r="P782" s="136">
        <f>+IF(PROVEEDORES[[#This Row],[SUBTOTAL]]&lt;PROVEEDORES[[#This Row],[base retencion]],0,PROVEEDORES[[#This Row],[retención aplicada]])</f>
        <v>0</v>
      </c>
      <c r="Q782" s="24">
        <f>+PROVEEDORES[[#This Row],[Rete Fuente %]]*PROVEEDORES[[#This Row],[SUBTOTAL]]</f>
        <v>0</v>
      </c>
      <c r="R782" s="23">
        <v>1106000</v>
      </c>
      <c r="S78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2" s="99">
        <f ca="1">IF(PROVEEDORES[[#This Row],[FECHA DE PAGO]]=0,TODAY()-PROVEEDORES[[#This Row],[FECHA DE FACTURACIÓN]]-PROVEEDORES[[#This Row],[PLAZO Días]],0)</f>
        <v>0</v>
      </c>
      <c r="U782" s="149">
        <f>+VLOOKUP(PROVEEDORES[[#This Row],[PROVEEDOR]],Terceros!$A:$E,5,FALSE)</f>
        <v>0</v>
      </c>
      <c r="V782" s="150">
        <f>+YEAR(PROVEEDORES[[#This Row],[FECHA DE FACTURACIÓN]])</f>
        <v>2021</v>
      </c>
      <c r="W782" s="150">
        <f>+MATCH(PROVEEDORES[[#This Row],[año facturado]],Retenciones!$1:$1,0)</f>
        <v>4</v>
      </c>
      <c r="X782" s="151">
        <f>+VLOOKUP(PROVEEDORES[[#This Row],[ID RETENCION]],Retenciones!$A$1:$O$24,PROVEEDORES[[#This Row],[indicador de columna]],FALSE)</f>
        <v>0</v>
      </c>
      <c r="Y782" s="152">
        <f>+VLOOKUP(PROVEEDORES[[#This Row],[ID RETENCION]],Retenciones!$A$1:$O$24,2,FALSE)</f>
        <v>0</v>
      </c>
      <c r="Z782" s="26"/>
      <c r="AA782" s="26"/>
      <c r="AB782" s="26"/>
      <c r="AC782" s="26"/>
      <c r="AD782" s="26"/>
      <c r="AE782" s="26"/>
    </row>
    <row r="783" spans="1:31" ht="21.95" customHeight="1" x14ac:dyDescent="0.25">
      <c r="A783" s="97" t="str">
        <f>+IF(PROVEEDORES[[#This Row],[FECHA DE PAGO]]=PROVEEDORES[[#This Row],[FECHA DE FACTURACIÓN]],"DE CONTADO","CRÉDITO")</f>
        <v>CRÉDITO</v>
      </c>
      <c r="B783" s="41" t="b">
        <f>+IF((PROVEEDORES[[#This Row],[FECHA DE PAGO]]-PROVEEDORES[[#This Row],[FECHA DE FACTURACIÓN]])&gt;PROVEEDORES[[#This Row],[PLAZO Días]],"PAGO VENCIDO")</f>
        <v>0</v>
      </c>
      <c r="C783" s="22">
        <f>+VLOOKUP(PROVEEDORES[[#This Row],[PROVEEDOR]],TERCEROS_INFO[#All],2,FALSE)</f>
        <v>10</v>
      </c>
      <c r="D783" s="27">
        <f>+SUMIFS(PROVEEDORES[Total],PROVEEDORES[PROVEEDOR],PROVEEDORES[[#This Row],[PROVEEDOR]],PROVEEDORES[FECHA DE PAGO],"")</f>
        <v>0</v>
      </c>
      <c r="E783" s="27"/>
      <c r="F783" s="62" t="str">
        <f>+VLOOKUP(PROVEEDORES[[#This Row],[PROVEEDOR]],
                       Terceros!$A:$G,
                       6,
                       FALSE)</f>
        <v/>
      </c>
      <c r="G783" s="95">
        <v>44454</v>
      </c>
      <c r="H783" s="28" t="s">
        <v>23</v>
      </c>
      <c r="I783" s="95">
        <v>44453</v>
      </c>
      <c r="J783" s="38">
        <v>284978</v>
      </c>
      <c r="K783" s="23">
        <v>9674769</v>
      </c>
      <c r="L783" s="23"/>
      <c r="M783" s="24">
        <v>0</v>
      </c>
      <c r="N783" s="25"/>
      <c r="O783" s="24">
        <v>0</v>
      </c>
      <c r="P783" s="136">
        <f>+IF(PROVEEDORES[[#This Row],[SUBTOTAL]]&lt;PROVEEDORES[[#This Row],[base retencion]],0,PROVEEDORES[[#This Row],[retención aplicada]])</f>
        <v>0</v>
      </c>
      <c r="Q783" s="24">
        <f>+PROVEEDORES[[#This Row],[Rete Fuente %]]*PROVEEDORES[[#This Row],[SUBTOTAL]]</f>
        <v>0</v>
      </c>
      <c r="R783" s="23">
        <v>9674769</v>
      </c>
      <c r="S78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3" s="99">
        <f ca="1">IF(PROVEEDORES[[#This Row],[FECHA DE PAGO]]=0,TODAY()-PROVEEDORES[[#This Row],[FECHA DE FACTURACIÓN]]-PROVEEDORES[[#This Row],[PLAZO Días]],0)</f>
        <v>0</v>
      </c>
      <c r="U783" s="149">
        <f>+VLOOKUP(PROVEEDORES[[#This Row],[PROVEEDOR]],Terceros!$A:$E,5,FALSE)</f>
        <v>0</v>
      </c>
      <c r="V783" s="150">
        <f>+YEAR(PROVEEDORES[[#This Row],[FECHA DE FACTURACIÓN]])</f>
        <v>2021</v>
      </c>
      <c r="W783" s="150">
        <f>+MATCH(PROVEEDORES[[#This Row],[año facturado]],Retenciones!$1:$1,0)</f>
        <v>4</v>
      </c>
      <c r="X783" s="151">
        <f>+VLOOKUP(PROVEEDORES[[#This Row],[ID RETENCION]],Retenciones!$A$1:$O$24,PROVEEDORES[[#This Row],[indicador de columna]],FALSE)</f>
        <v>0</v>
      </c>
      <c r="Y783" s="152">
        <f>+VLOOKUP(PROVEEDORES[[#This Row],[ID RETENCION]],Retenciones!$A$1:$O$24,2,FALSE)</f>
        <v>0</v>
      </c>
      <c r="Z783" s="26"/>
      <c r="AA783" s="26"/>
      <c r="AB783" s="26"/>
      <c r="AC783" s="26"/>
      <c r="AD783" s="26"/>
      <c r="AE783" s="26"/>
    </row>
    <row r="784" spans="1:31" ht="21.95" customHeight="1" x14ac:dyDescent="0.25">
      <c r="A784" s="97" t="str">
        <f>+IF(PROVEEDORES[[#This Row],[FECHA DE PAGO]]=PROVEEDORES[[#This Row],[FECHA DE FACTURACIÓN]],"DE CONTADO","CRÉDITO")</f>
        <v>CRÉDITO</v>
      </c>
      <c r="B784" s="41" t="str">
        <f>+IF((PROVEEDORES[[#This Row],[FECHA DE PAGO]]-PROVEEDORES[[#This Row],[FECHA DE FACTURACIÓN]])&gt;PROVEEDORES[[#This Row],[PLAZO Días]],"PAGO VENCIDO")</f>
        <v>PAGO VENCIDO</v>
      </c>
      <c r="C784" s="22">
        <f>+VLOOKUP(PROVEEDORES[[#This Row],[PROVEEDOR]],TERCEROS_INFO[#All],2,FALSE)</f>
        <v>30</v>
      </c>
      <c r="D784" s="27">
        <f>+SUMIFS(PROVEEDORES[Total],PROVEEDORES[PROVEEDOR],PROVEEDORES[[#This Row],[PROVEEDOR]],PROVEEDORES[FECHA DE PAGO],"")</f>
        <v>6151200</v>
      </c>
      <c r="E784" s="27"/>
      <c r="F784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784" s="95">
        <v>44503</v>
      </c>
      <c r="H784" s="28" t="s">
        <v>11</v>
      </c>
      <c r="I784" s="95">
        <v>44454</v>
      </c>
      <c r="J784" s="38" t="s">
        <v>527</v>
      </c>
      <c r="K784" s="23">
        <v>1980000</v>
      </c>
      <c r="L784" s="23"/>
      <c r="M784" s="24">
        <v>376200</v>
      </c>
      <c r="N784" s="25"/>
      <c r="O784" s="24">
        <v>0</v>
      </c>
      <c r="P784" s="136">
        <f>+IF(PROVEEDORES[[#This Row],[SUBTOTAL]]&lt;PROVEEDORES[[#This Row],[base retencion]],0,PROVEEDORES[[#This Row],[retención aplicada]])</f>
        <v>2.5000000000000001E-2</v>
      </c>
      <c r="Q784" s="24">
        <f>+PROVEEDORES[[#This Row],[Rete Fuente %]]*PROVEEDORES[[#This Row],[SUBTOTAL]]</f>
        <v>49500</v>
      </c>
      <c r="R784" s="23">
        <v>2306700</v>
      </c>
      <c r="S78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4" s="99">
        <f ca="1">IF(PROVEEDORES[[#This Row],[FECHA DE PAGO]]=0,TODAY()-PROVEEDORES[[#This Row],[FECHA DE FACTURACIÓN]]-PROVEEDORES[[#This Row],[PLAZO Días]],0)</f>
        <v>0</v>
      </c>
      <c r="U784" s="149" t="str">
        <f>+VLOOKUP(PROVEEDORES[[#This Row],[PROVEEDOR]],Terceros!$A:$E,5,FALSE)</f>
        <v>2,5% con base</v>
      </c>
      <c r="V784" s="150">
        <f>+YEAR(PROVEEDORES[[#This Row],[FECHA DE FACTURACIÓN]])</f>
        <v>2021</v>
      </c>
      <c r="W784" s="150">
        <f>+MATCH(PROVEEDORES[[#This Row],[año facturado]],Retenciones!$1:$1,0)</f>
        <v>4</v>
      </c>
      <c r="X784" s="151">
        <f>+VLOOKUP(PROVEEDORES[[#This Row],[ID RETENCION]],Retenciones!$A$1:$O$24,PROVEEDORES[[#This Row],[indicador de columna]],FALSE)</f>
        <v>980000</v>
      </c>
      <c r="Y784" s="152">
        <f>+VLOOKUP(PROVEEDORES[[#This Row],[ID RETENCION]],Retenciones!$A$1:$O$24,2,FALSE)</f>
        <v>2.5000000000000001E-2</v>
      </c>
      <c r="Z784" s="26"/>
      <c r="AA784" s="26"/>
      <c r="AB784" s="26"/>
      <c r="AC784" s="26"/>
      <c r="AD784" s="26"/>
      <c r="AE784" s="26"/>
    </row>
    <row r="785" spans="1:31" ht="21.95" customHeight="1" x14ac:dyDescent="0.25">
      <c r="A785" s="97" t="str">
        <f>+IF(PROVEEDORES[[#This Row],[FECHA DE PAGO]]=PROVEEDORES[[#This Row],[FECHA DE FACTURACIÓN]],"DE CONTADO","CRÉDITO")</f>
        <v>CRÉDITO</v>
      </c>
      <c r="B785" s="41" t="str">
        <f>+IF((PROVEEDORES[[#This Row],[FECHA DE PAGO]]-PROVEEDORES[[#This Row],[FECHA DE FACTURACIÓN]])&gt;PROVEEDORES[[#This Row],[PLAZO Días]],"PAGO VENCIDO")</f>
        <v>PAGO VENCIDO</v>
      </c>
      <c r="C785" s="22">
        <f>+VLOOKUP(PROVEEDORES[[#This Row],[PROVEEDOR]],TERCEROS_INFO[#All],2,FALSE)</f>
        <v>30</v>
      </c>
      <c r="D785" s="27">
        <f>+SUMIFS(PROVEEDORES[Total],PROVEEDORES[PROVEEDOR],PROVEEDORES[[#This Row],[PROVEEDOR]],PROVEEDORES[FECHA DE PAGO],"")</f>
        <v>7458000</v>
      </c>
      <c r="E785" s="27"/>
      <c r="F785" s="62" t="str">
        <f>+VLOOKUP(PROVEEDORES[[#This Row],[PROVEEDOR]],
                       Terceros!$A:$G,
                       6,
                       FALSE)</f>
        <v/>
      </c>
      <c r="G785" s="95">
        <v>44524</v>
      </c>
      <c r="H785" s="28" t="s">
        <v>1043</v>
      </c>
      <c r="I785" s="95">
        <v>44454</v>
      </c>
      <c r="J785" s="38" t="s">
        <v>822</v>
      </c>
      <c r="K785" s="23">
        <v>4740000</v>
      </c>
      <c r="L785" s="23"/>
      <c r="M785" s="24">
        <v>0</v>
      </c>
      <c r="N785" s="25"/>
      <c r="O785" s="24">
        <v>0</v>
      </c>
      <c r="P785" s="136">
        <f>+IF(PROVEEDORES[[#This Row],[SUBTOTAL]]&lt;PROVEEDORES[[#This Row],[base retencion]],0,PROVEEDORES[[#This Row],[retención aplicada]])</f>
        <v>0</v>
      </c>
      <c r="Q785" s="24">
        <f>+PROVEEDORES[[#This Row],[Rete Fuente %]]*PROVEEDORES[[#This Row],[SUBTOTAL]]</f>
        <v>0</v>
      </c>
      <c r="R785" s="23">
        <v>4740000</v>
      </c>
      <c r="S78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5" s="99">
        <f ca="1">IF(PROVEEDORES[[#This Row],[FECHA DE PAGO]]=0,TODAY()-PROVEEDORES[[#This Row],[FECHA DE FACTURACIÓN]]-PROVEEDORES[[#This Row],[PLAZO Días]],0)</f>
        <v>0</v>
      </c>
      <c r="U785" s="149">
        <f>+VLOOKUP(PROVEEDORES[[#This Row],[PROVEEDOR]],Terceros!$A:$E,5,FALSE)</f>
        <v>0</v>
      </c>
      <c r="V785" s="150">
        <f>+YEAR(PROVEEDORES[[#This Row],[FECHA DE FACTURACIÓN]])</f>
        <v>2021</v>
      </c>
      <c r="W785" s="150">
        <f>+MATCH(PROVEEDORES[[#This Row],[año facturado]],Retenciones!$1:$1,0)</f>
        <v>4</v>
      </c>
      <c r="X785" s="151">
        <f>+VLOOKUP(PROVEEDORES[[#This Row],[ID RETENCION]],Retenciones!$A$1:$O$24,PROVEEDORES[[#This Row],[indicador de columna]],FALSE)</f>
        <v>0</v>
      </c>
      <c r="Y785" s="152">
        <f>+VLOOKUP(PROVEEDORES[[#This Row],[ID RETENCION]],Retenciones!$A$1:$O$24,2,FALSE)</f>
        <v>0</v>
      </c>
      <c r="Z785" s="26"/>
      <c r="AA785" s="26"/>
      <c r="AB785" s="26"/>
      <c r="AC785" s="26"/>
      <c r="AD785" s="26"/>
      <c r="AE785" s="26"/>
    </row>
    <row r="786" spans="1:31" ht="21.95" customHeight="1" x14ac:dyDescent="0.25">
      <c r="A786" s="97" t="str">
        <f>+IF(PROVEEDORES[[#This Row],[FECHA DE PAGO]]=PROVEEDORES[[#This Row],[FECHA DE FACTURACIÓN]],"DE CONTADO","CRÉDITO")</f>
        <v>CRÉDITO</v>
      </c>
      <c r="B786" s="41" t="b">
        <f>+IF((PROVEEDORES[[#This Row],[FECHA DE PAGO]]-PROVEEDORES[[#This Row],[FECHA DE FACTURACIÓN]])&gt;PROVEEDORES[[#This Row],[PLAZO Días]],"PAGO VENCIDO")</f>
        <v>0</v>
      </c>
      <c r="C786" s="22">
        <f>+VLOOKUP(PROVEEDORES[[#This Row],[PROVEEDOR]],TERCEROS_INFO[#All],2,FALSE)</f>
        <v>30</v>
      </c>
      <c r="D786" s="27">
        <f>+SUMIFS(PROVEEDORES[Total],PROVEEDORES[PROVEEDOR],PROVEEDORES[[#This Row],[PROVEEDOR]],PROVEEDORES[FECHA DE PAGO],"")</f>
        <v>0</v>
      </c>
      <c r="E786" s="27"/>
      <c r="F786" s="62" t="str">
        <f>+VLOOKUP(PROVEEDORES[[#This Row],[PROVEEDOR]],
                       Terceros!$A:$G,
                       6,
                       FALSE)</f>
        <v>PSE</v>
      </c>
      <c r="G786" s="95">
        <v>44484</v>
      </c>
      <c r="H786" s="28" t="s">
        <v>350</v>
      </c>
      <c r="I786" s="95">
        <v>44470</v>
      </c>
      <c r="J786" s="38" t="s">
        <v>351</v>
      </c>
      <c r="K786" s="23">
        <v>727051</v>
      </c>
      <c r="L786" s="23"/>
      <c r="M786" s="24">
        <v>0</v>
      </c>
      <c r="N786" s="25"/>
      <c r="O786" s="24">
        <v>0</v>
      </c>
      <c r="P786" s="136">
        <f>+IF(PROVEEDORES[[#This Row],[SUBTOTAL]]&lt;PROVEEDORES[[#This Row],[base retencion]],0,PROVEEDORES[[#This Row],[retención aplicada]])</f>
        <v>0</v>
      </c>
      <c r="Q786" s="24">
        <f>+PROVEEDORES[[#This Row],[Rete Fuente %]]*PROVEEDORES[[#This Row],[SUBTOTAL]]</f>
        <v>0</v>
      </c>
      <c r="R786" s="23">
        <v>727051</v>
      </c>
      <c r="S78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6" s="99">
        <f ca="1">IF(PROVEEDORES[[#This Row],[FECHA DE PAGO]]=0,TODAY()-PROVEEDORES[[#This Row],[FECHA DE FACTURACIÓN]]-PROVEEDORES[[#This Row],[PLAZO Días]],0)</f>
        <v>0</v>
      </c>
      <c r="U786" s="149">
        <f>+VLOOKUP(PROVEEDORES[[#This Row],[PROVEEDOR]],Terceros!$A:$E,5,FALSE)</f>
        <v>0</v>
      </c>
      <c r="V786" s="150">
        <f>+YEAR(PROVEEDORES[[#This Row],[FECHA DE FACTURACIÓN]])</f>
        <v>2021</v>
      </c>
      <c r="W786" s="150">
        <f>+MATCH(PROVEEDORES[[#This Row],[año facturado]],Retenciones!$1:$1,0)</f>
        <v>4</v>
      </c>
      <c r="X786" s="151">
        <f>+VLOOKUP(PROVEEDORES[[#This Row],[ID RETENCION]],Retenciones!$A$1:$O$24,PROVEEDORES[[#This Row],[indicador de columna]],FALSE)</f>
        <v>0</v>
      </c>
      <c r="Y786" s="152">
        <f>+VLOOKUP(PROVEEDORES[[#This Row],[ID RETENCION]],Retenciones!$A$1:$O$24,2,FALSE)</f>
        <v>0</v>
      </c>
      <c r="Z786" s="26"/>
      <c r="AA786" s="26"/>
      <c r="AB786" s="26"/>
      <c r="AC786" s="26"/>
      <c r="AD786" s="26"/>
      <c r="AE786" s="26"/>
    </row>
    <row r="787" spans="1:31" ht="21.95" customHeight="1" x14ac:dyDescent="0.25">
      <c r="A787" s="97" t="str">
        <f>+IF(PROVEEDORES[[#This Row],[FECHA DE PAGO]]=PROVEEDORES[[#This Row],[FECHA DE FACTURACIÓN]],"DE CONTADO","CRÉDITO")</f>
        <v>DE CONTADO</v>
      </c>
      <c r="B787" s="41" t="b">
        <f>+IF((PROVEEDORES[[#This Row],[FECHA DE PAGO]]-PROVEEDORES[[#This Row],[FECHA DE FACTURACIÓN]])&gt;PROVEEDORES[[#This Row],[PLAZO Días]],"PAGO VENCIDO")</f>
        <v>0</v>
      </c>
      <c r="C787" s="22">
        <f>+VLOOKUP(PROVEEDORES[[#This Row],[PROVEEDOR]],TERCEROS_INFO[#All],2,FALSE)</f>
        <v>30</v>
      </c>
      <c r="D787" s="27">
        <f>+SUMIFS(PROVEEDORES[Total],PROVEEDORES[PROVEEDOR],PROVEEDORES[[#This Row],[PROVEEDOR]],PROVEEDORES[FECHA DE PAGO],"")</f>
        <v>0</v>
      </c>
      <c r="E787" s="27"/>
      <c r="F787" s="62" t="str">
        <f>+VLOOKUP(PROVEEDORES[[#This Row],[PROVEEDOR]],
                       Terceros!$A:$G,
                       6,
                       FALSE)</f>
        <v/>
      </c>
      <c r="G787" s="95">
        <v>44455</v>
      </c>
      <c r="H787" s="28" t="s">
        <v>1046</v>
      </c>
      <c r="I787" s="95">
        <v>44455</v>
      </c>
      <c r="J787" s="38"/>
      <c r="K787" s="23">
        <v>1000000</v>
      </c>
      <c r="L787" s="23"/>
      <c r="M787" s="24">
        <v>0</v>
      </c>
      <c r="N787" s="25"/>
      <c r="O787" s="24">
        <v>0</v>
      </c>
      <c r="P787" s="136">
        <f>+IF(PROVEEDORES[[#This Row],[SUBTOTAL]]&lt;PROVEEDORES[[#This Row],[base retencion]],0,PROVEEDORES[[#This Row],[retención aplicada]])</f>
        <v>0</v>
      </c>
      <c r="Q787" s="24">
        <f>+PROVEEDORES[[#This Row],[Rete Fuente %]]*PROVEEDORES[[#This Row],[SUBTOTAL]]</f>
        <v>0</v>
      </c>
      <c r="R787" s="23">
        <v>1000000</v>
      </c>
      <c r="S78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7" s="99">
        <f ca="1">IF(PROVEEDORES[[#This Row],[FECHA DE PAGO]]=0,TODAY()-PROVEEDORES[[#This Row],[FECHA DE FACTURACIÓN]]-PROVEEDORES[[#This Row],[PLAZO Días]],0)</f>
        <v>0</v>
      </c>
      <c r="U787" s="149">
        <f>+VLOOKUP(PROVEEDORES[[#This Row],[PROVEEDOR]],Terceros!$A:$E,5,FALSE)</f>
        <v>0</v>
      </c>
      <c r="V787" s="150">
        <f>+YEAR(PROVEEDORES[[#This Row],[FECHA DE FACTURACIÓN]])</f>
        <v>2021</v>
      </c>
      <c r="W787" s="150">
        <f>+MATCH(PROVEEDORES[[#This Row],[año facturado]],Retenciones!$1:$1,0)</f>
        <v>4</v>
      </c>
      <c r="X787" s="151">
        <f>+VLOOKUP(PROVEEDORES[[#This Row],[ID RETENCION]],Retenciones!$A$1:$O$24,PROVEEDORES[[#This Row],[indicador de columna]],FALSE)</f>
        <v>0</v>
      </c>
      <c r="Y787" s="152">
        <f>+VLOOKUP(PROVEEDORES[[#This Row],[ID RETENCION]],Retenciones!$A$1:$O$24,2,FALSE)</f>
        <v>0</v>
      </c>
      <c r="Z787" s="26"/>
      <c r="AA787" s="26"/>
      <c r="AB787" s="26"/>
      <c r="AC787" s="26"/>
      <c r="AD787" s="26"/>
      <c r="AE787" s="26"/>
    </row>
    <row r="788" spans="1:31" ht="21.95" customHeight="1" x14ac:dyDescent="0.25">
      <c r="A788" s="97" t="str">
        <f>+IF(PROVEEDORES[[#This Row],[FECHA DE PAGO]]=PROVEEDORES[[#This Row],[FECHA DE FACTURACIÓN]],"DE CONTADO","CRÉDITO")</f>
        <v>CRÉDITO</v>
      </c>
      <c r="B788" s="41" t="str">
        <f>+IF((PROVEEDORES[[#This Row],[FECHA DE PAGO]]-PROVEEDORES[[#This Row],[FECHA DE FACTURACIÓN]])&gt;PROVEEDORES[[#This Row],[PLAZO Días]],"PAGO VENCIDO")</f>
        <v>PAGO VENCIDO</v>
      </c>
      <c r="C788" s="22">
        <f>+VLOOKUP(PROVEEDORES[[#This Row],[PROVEEDOR]],TERCEROS_INFO[#All],2,FALSE)</f>
        <v>30</v>
      </c>
      <c r="D788" s="27">
        <f>+SUMIFS(PROVEEDORES[Total],PROVEEDORES[PROVEEDOR],PROVEEDORES[[#This Row],[PROVEEDOR]],PROVEEDORES[FECHA DE PAGO],"")</f>
        <v>1979529.3</v>
      </c>
      <c r="E788" s="27"/>
      <c r="F788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788" s="95">
        <v>44488</v>
      </c>
      <c r="H788" s="28" t="s">
        <v>17</v>
      </c>
      <c r="I788" s="95">
        <v>44456</v>
      </c>
      <c r="J788" s="38">
        <v>1815050</v>
      </c>
      <c r="K788" s="23">
        <v>210000</v>
      </c>
      <c r="L788" s="23"/>
      <c r="M788" s="24">
        <v>39900</v>
      </c>
      <c r="N788" s="25"/>
      <c r="O788" s="24">
        <v>0</v>
      </c>
      <c r="P788" s="136">
        <f>+IF(PROVEEDORES[[#This Row],[SUBTOTAL]]&lt;PROVEEDORES[[#This Row],[base retencion]],0,PROVEEDORES[[#This Row],[retención aplicada]])</f>
        <v>0</v>
      </c>
      <c r="Q788" s="24">
        <f>+PROVEEDORES[[#This Row],[Rete Fuente %]]*PROVEEDORES[[#This Row],[SUBTOTAL]]</f>
        <v>0</v>
      </c>
      <c r="R788" s="23">
        <v>249900</v>
      </c>
      <c r="S78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8" s="99">
        <f ca="1">IF(PROVEEDORES[[#This Row],[FECHA DE PAGO]]=0,TODAY()-PROVEEDORES[[#This Row],[FECHA DE FACTURACIÓN]]-PROVEEDORES[[#This Row],[PLAZO Días]],0)</f>
        <v>0</v>
      </c>
      <c r="U788" s="149">
        <f>+VLOOKUP(PROVEEDORES[[#This Row],[PROVEEDOR]],Terceros!$A:$E,5,FALSE)</f>
        <v>0</v>
      </c>
      <c r="V788" s="150">
        <f>+YEAR(PROVEEDORES[[#This Row],[FECHA DE FACTURACIÓN]])</f>
        <v>2021</v>
      </c>
      <c r="W788" s="150">
        <f>+MATCH(PROVEEDORES[[#This Row],[año facturado]],Retenciones!$1:$1,0)</f>
        <v>4</v>
      </c>
      <c r="X788" s="151">
        <f>+VLOOKUP(PROVEEDORES[[#This Row],[ID RETENCION]],Retenciones!$A$1:$O$24,PROVEEDORES[[#This Row],[indicador de columna]],FALSE)</f>
        <v>0</v>
      </c>
      <c r="Y788" s="152">
        <f>+VLOOKUP(PROVEEDORES[[#This Row],[ID RETENCION]],Retenciones!$A$1:$O$24,2,FALSE)</f>
        <v>0</v>
      </c>
      <c r="Z788" s="26"/>
      <c r="AA788" s="26"/>
      <c r="AB788" s="26"/>
      <c r="AC788" s="26"/>
      <c r="AD788" s="26"/>
      <c r="AE788" s="26"/>
    </row>
    <row r="789" spans="1:31" ht="21.95" customHeight="1" x14ac:dyDescent="0.25">
      <c r="A789" s="97" t="str">
        <f>+IF(PROVEEDORES[[#This Row],[FECHA DE PAGO]]=PROVEEDORES[[#This Row],[FECHA DE FACTURACIÓN]],"DE CONTADO","CRÉDITO")</f>
        <v>CRÉDITO</v>
      </c>
      <c r="B789" s="41" t="str">
        <f>+IF((PROVEEDORES[[#This Row],[FECHA DE PAGO]]-PROVEEDORES[[#This Row],[FECHA DE FACTURACIÓN]])&gt;PROVEEDORES[[#This Row],[PLAZO Días]],"PAGO VENCIDO")</f>
        <v>PAGO VENCIDO</v>
      </c>
      <c r="C789" s="22">
        <f>+VLOOKUP(PROVEEDORES[[#This Row],[PROVEEDOR]],TERCEROS_INFO[#All],2,FALSE)</f>
        <v>30</v>
      </c>
      <c r="D789" s="27">
        <f>+SUMIFS(PROVEEDORES[Total],PROVEEDORES[PROVEEDOR],PROVEEDORES[[#This Row],[PROVEEDOR]],PROVEEDORES[FECHA DE PAGO],"")</f>
        <v>3844432.4999000002</v>
      </c>
      <c r="E789" s="27"/>
      <c r="F789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789" s="95">
        <v>44488</v>
      </c>
      <c r="H789" s="28" t="s">
        <v>18</v>
      </c>
      <c r="I789" s="95">
        <v>44456</v>
      </c>
      <c r="J789" s="38">
        <v>1043275</v>
      </c>
      <c r="K789" s="23">
        <v>526630.07999999996</v>
      </c>
      <c r="L789" s="23"/>
      <c r="M789" s="24">
        <v>100059.71519999999</v>
      </c>
      <c r="N789" s="25"/>
      <c r="O789" s="24">
        <v>0</v>
      </c>
      <c r="P789" s="136">
        <f>+IF(PROVEEDORES[[#This Row],[SUBTOTAL]]&lt;PROVEEDORES[[#This Row],[base retencion]],0,PROVEEDORES[[#This Row],[retención aplicada]])</f>
        <v>0</v>
      </c>
      <c r="Q789" s="24">
        <f>+PROVEEDORES[[#This Row],[Rete Fuente %]]*PROVEEDORES[[#This Row],[SUBTOTAL]]</f>
        <v>0</v>
      </c>
      <c r="R789" s="23">
        <v>626689.79519999993</v>
      </c>
      <c r="S78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9" s="99">
        <f ca="1">IF(PROVEEDORES[[#This Row],[FECHA DE PAGO]]=0,TODAY()-PROVEEDORES[[#This Row],[FECHA DE FACTURACIÓN]]-PROVEEDORES[[#This Row],[PLAZO Días]],0)</f>
        <v>0</v>
      </c>
      <c r="U789" s="149" t="str">
        <f>+VLOOKUP(PROVEEDORES[[#This Row],[PROVEEDOR]],Terceros!$A:$E,5,FALSE)</f>
        <v>2,5% con base</v>
      </c>
      <c r="V789" s="150">
        <f>+YEAR(PROVEEDORES[[#This Row],[FECHA DE FACTURACIÓN]])</f>
        <v>2021</v>
      </c>
      <c r="W789" s="150">
        <f>+MATCH(PROVEEDORES[[#This Row],[año facturado]],Retenciones!$1:$1,0)</f>
        <v>4</v>
      </c>
      <c r="X789" s="151">
        <f>+VLOOKUP(PROVEEDORES[[#This Row],[ID RETENCION]],Retenciones!$A$1:$O$24,PROVEEDORES[[#This Row],[indicador de columna]],FALSE)</f>
        <v>980000</v>
      </c>
      <c r="Y789" s="152">
        <f>+VLOOKUP(PROVEEDORES[[#This Row],[ID RETENCION]],Retenciones!$A$1:$O$24,2,FALSE)</f>
        <v>2.5000000000000001E-2</v>
      </c>
      <c r="Z789" s="26"/>
      <c r="AA789" s="26"/>
      <c r="AB789" s="26"/>
      <c r="AC789" s="26"/>
      <c r="AD789" s="26"/>
      <c r="AE789" s="26"/>
    </row>
    <row r="790" spans="1:31" ht="21.95" customHeight="1" x14ac:dyDescent="0.25">
      <c r="A790" s="97" t="str">
        <f>+IF(PROVEEDORES[[#This Row],[FECHA DE PAGO]]=PROVEEDORES[[#This Row],[FECHA DE FACTURACIÓN]],"DE CONTADO","CRÉDITO")</f>
        <v>CRÉDITO</v>
      </c>
      <c r="B790" s="41" t="str">
        <f>+IF((PROVEEDORES[[#This Row],[FECHA DE PAGO]]-PROVEEDORES[[#This Row],[FECHA DE FACTURACIÓN]])&gt;PROVEEDORES[[#This Row],[PLAZO Días]],"PAGO VENCIDO")</f>
        <v>PAGO VENCIDO</v>
      </c>
      <c r="C790" s="22">
        <f>+VLOOKUP(PROVEEDORES[[#This Row],[PROVEEDOR]],TERCEROS_INFO[#All],2,FALSE)</f>
        <v>30</v>
      </c>
      <c r="D790" s="27">
        <f>+SUMIFS(PROVEEDORES[Total],PROVEEDORES[PROVEEDOR],PROVEEDORES[[#This Row],[PROVEEDOR]],PROVEEDORES[FECHA DE PAGO],"")</f>
        <v>144400</v>
      </c>
      <c r="E790" s="27"/>
      <c r="F790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790" s="95">
        <v>44488</v>
      </c>
      <c r="H790" s="28" t="s">
        <v>1071</v>
      </c>
      <c r="I790" s="95">
        <v>44456</v>
      </c>
      <c r="J790" s="38" t="s">
        <v>824</v>
      </c>
      <c r="K790" s="23">
        <v>1192550</v>
      </c>
      <c r="L790" s="23"/>
      <c r="M790" s="24">
        <v>0</v>
      </c>
      <c r="N790" s="25"/>
      <c r="O790" s="24">
        <v>0</v>
      </c>
      <c r="P790" s="136">
        <f>+IF(PROVEEDORES[[#This Row],[SUBTOTAL]]&lt;PROVEEDORES[[#This Row],[base retencion]],0,PROVEEDORES[[#This Row],[retención aplicada]])</f>
        <v>0</v>
      </c>
      <c r="Q790" s="24">
        <f>+PROVEEDORES[[#This Row],[Rete Fuente %]]*PROVEEDORES[[#This Row],[SUBTOTAL]]</f>
        <v>0</v>
      </c>
      <c r="R790" s="23">
        <v>1192550</v>
      </c>
      <c r="S79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0" s="99">
        <f ca="1">IF(PROVEEDORES[[#This Row],[FECHA DE PAGO]]=0,TODAY()-PROVEEDORES[[#This Row],[FECHA DE FACTURACIÓN]]-PROVEEDORES[[#This Row],[PLAZO Días]],0)</f>
        <v>0</v>
      </c>
      <c r="U790" s="149">
        <f>+VLOOKUP(PROVEEDORES[[#This Row],[PROVEEDOR]],Terceros!$A:$E,5,FALSE)</f>
        <v>0</v>
      </c>
      <c r="V790" s="150">
        <f>+YEAR(PROVEEDORES[[#This Row],[FECHA DE FACTURACIÓN]])</f>
        <v>2021</v>
      </c>
      <c r="W790" s="150">
        <f>+MATCH(PROVEEDORES[[#This Row],[año facturado]],Retenciones!$1:$1,0)</f>
        <v>4</v>
      </c>
      <c r="X790" s="151">
        <f>+VLOOKUP(PROVEEDORES[[#This Row],[ID RETENCION]],Retenciones!$A$1:$O$24,PROVEEDORES[[#This Row],[indicador de columna]],FALSE)</f>
        <v>0</v>
      </c>
      <c r="Y790" s="152">
        <f>+VLOOKUP(PROVEEDORES[[#This Row],[ID RETENCION]],Retenciones!$A$1:$O$24,2,FALSE)</f>
        <v>0</v>
      </c>
      <c r="Z790" s="26"/>
      <c r="AA790" s="26"/>
      <c r="AB790" s="26"/>
      <c r="AC790" s="26"/>
      <c r="AD790" s="26"/>
      <c r="AE790" s="26"/>
    </row>
    <row r="791" spans="1:31" ht="21.95" customHeight="1" x14ac:dyDescent="0.25">
      <c r="A791" s="97" t="str">
        <f>+IF(PROVEEDORES[[#This Row],[FECHA DE PAGO]]=PROVEEDORES[[#This Row],[FECHA DE FACTURACIÓN]],"DE CONTADO","CRÉDITO")</f>
        <v>CRÉDITO</v>
      </c>
      <c r="B791" s="41" t="b">
        <f>+IF((PROVEEDORES[[#This Row],[FECHA DE PAGO]]-PROVEEDORES[[#This Row],[FECHA DE FACTURACIÓN]])&gt;PROVEEDORES[[#This Row],[PLAZO Días]],"PAGO VENCIDO")</f>
        <v>0</v>
      </c>
      <c r="C791" s="22">
        <f>+VLOOKUP(PROVEEDORES[[#This Row],[PROVEEDOR]],TERCEROS_INFO[#All],2,FALSE)</f>
        <v>20</v>
      </c>
      <c r="D791" s="27">
        <f>+SUMIFS(PROVEEDORES[Total],PROVEEDORES[PROVEEDOR],PROVEEDORES[[#This Row],[PROVEEDOR]],PROVEEDORES[FECHA DE PAGO],"")</f>
        <v>0</v>
      </c>
      <c r="E791" s="27"/>
      <c r="F791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791" s="95">
        <v>44459</v>
      </c>
      <c r="H791" s="28" t="s">
        <v>374</v>
      </c>
      <c r="I791" s="95">
        <v>44456</v>
      </c>
      <c r="J791" s="38" t="s">
        <v>528</v>
      </c>
      <c r="K791" s="23">
        <v>2015034</v>
      </c>
      <c r="L791" s="23"/>
      <c r="M791" s="24">
        <v>94802.551999999996</v>
      </c>
      <c r="N791" s="25"/>
      <c r="O791" s="24">
        <v>0</v>
      </c>
      <c r="P791" s="136">
        <f>+IF(PROVEEDORES[[#This Row],[SUBTOTAL]]&lt;PROVEEDORES[[#This Row],[base retencion]],0,PROVEEDORES[[#This Row],[retención aplicada]])</f>
        <v>0.04</v>
      </c>
      <c r="Q791" s="24">
        <f>+PROVEEDORES[[#This Row],[Rete Fuente %]]*PROVEEDORES[[#This Row],[SUBTOTAL]]</f>
        <v>80601.36</v>
      </c>
      <c r="R791" s="23">
        <v>0</v>
      </c>
      <c r="S79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1" s="99">
        <f ca="1">IF(PROVEEDORES[[#This Row],[FECHA DE PAGO]]=0,TODAY()-PROVEEDORES[[#This Row],[FECHA DE FACTURACIÓN]]-PROVEEDORES[[#This Row],[PLAZO Días]],0)</f>
        <v>0</v>
      </c>
      <c r="U791" s="149" t="str">
        <f>+VLOOKUP(PROVEEDORES[[#This Row],[PROVEEDOR]],Terceros!$A:$E,5,FALSE)</f>
        <v>4% sin base</v>
      </c>
      <c r="V791" s="150">
        <f>+YEAR(PROVEEDORES[[#This Row],[FECHA DE FACTURACIÓN]])</f>
        <v>2021</v>
      </c>
      <c r="W791" s="150">
        <f>+MATCH(PROVEEDORES[[#This Row],[año facturado]],Retenciones!$1:$1,0)</f>
        <v>4</v>
      </c>
      <c r="X791" s="151">
        <f>+VLOOKUP(PROVEEDORES[[#This Row],[ID RETENCION]],Retenciones!$A$1:$O$24,PROVEEDORES[[#This Row],[indicador de columna]],FALSE)</f>
        <v>0</v>
      </c>
      <c r="Y791" s="152">
        <f>+VLOOKUP(PROVEEDORES[[#This Row],[ID RETENCION]],Retenciones!$A$1:$O$24,2,FALSE)</f>
        <v>0.04</v>
      </c>
      <c r="Z791" s="26"/>
      <c r="AA791" s="26"/>
      <c r="AB791" s="26"/>
      <c r="AC791" s="26"/>
      <c r="AD791" s="26"/>
      <c r="AE791" s="26"/>
    </row>
    <row r="792" spans="1:31" ht="21.95" customHeight="1" x14ac:dyDescent="0.25">
      <c r="A792" s="97" t="str">
        <f>+IF(PROVEEDORES[[#This Row],[FECHA DE PAGO]]=PROVEEDORES[[#This Row],[FECHA DE FACTURACIÓN]],"DE CONTADO","CRÉDITO")</f>
        <v>CRÉDITO</v>
      </c>
      <c r="B792" s="41" t="b">
        <f>+IF((PROVEEDORES[[#This Row],[FECHA DE PAGO]]-PROVEEDORES[[#This Row],[FECHA DE FACTURACIÓN]])&gt;PROVEEDORES[[#This Row],[PLAZO Días]],"PAGO VENCIDO")</f>
        <v>0</v>
      </c>
      <c r="C792" s="22">
        <f>+VLOOKUP(PROVEEDORES[[#This Row],[PROVEEDOR]],TERCEROS_INFO[#All],2,FALSE)</f>
        <v>30</v>
      </c>
      <c r="D792" s="27">
        <f>+SUMIFS(PROVEEDORES[Total],PROVEEDORES[PROVEEDOR],PROVEEDORES[[#This Row],[PROVEEDOR]],PROVEEDORES[FECHA DE PAGO],"")</f>
        <v>3750700</v>
      </c>
      <c r="E792" s="27"/>
      <c r="F792" s="62" t="str">
        <f>+VLOOKUP(PROVEEDORES[[#This Row],[PROVEEDOR]],
                       Terceros!$A:$G,
                       6,
                       FALSE)</f>
        <v/>
      </c>
      <c r="G792" s="95">
        <v>44482</v>
      </c>
      <c r="H792" s="28" t="s">
        <v>990</v>
      </c>
      <c r="I792" s="95">
        <v>44456</v>
      </c>
      <c r="J792" s="38" t="s">
        <v>823</v>
      </c>
      <c r="K792" s="23">
        <v>2180000</v>
      </c>
      <c r="L792" s="23"/>
      <c r="M792" s="24">
        <v>0</v>
      </c>
      <c r="N792" s="25"/>
      <c r="O792" s="24">
        <v>0</v>
      </c>
      <c r="P792" s="136">
        <f>+IF(PROVEEDORES[[#This Row],[SUBTOTAL]]&lt;PROVEEDORES[[#This Row],[base retencion]],0,PROVEEDORES[[#This Row],[retención aplicada]])</f>
        <v>0</v>
      </c>
      <c r="Q792" s="24">
        <f>+PROVEEDORES[[#This Row],[Rete Fuente %]]*PROVEEDORES[[#This Row],[SUBTOTAL]]</f>
        <v>0</v>
      </c>
      <c r="R792" s="23">
        <v>2180000</v>
      </c>
      <c r="S79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2" s="99">
        <f ca="1">IF(PROVEEDORES[[#This Row],[FECHA DE PAGO]]=0,TODAY()-PROVEEDORES[[#This Row],[FECHA DE FACTURACIÓN]]-PROVEEDORES[[#This Row],[PLAZO Días]],0)</f>
        <v>0</v>
      </c>
      <c r="U792" s="149">
        <f>+VLOOKUP(PROVEEDORES[[#This Row],[PROVEEDOR]],Terceros!$A:$E,5,FALSE)</f>
        <v>0</v>
      </c>
      <c r="V792" s="150">
        <f>+YEAR(PROVEEDORES[[#This Row],[FECHA DE FACTURACIÓN]])</f>
        <v>2021</v>
      </c>
      <c r="W792" s="150">
        <f>+MATCH(PROVEEDORES[[#This Row],[año facturado]],Retenciones!$1:$1,0)</f>
        <v>4</v>
      </c>
      <c r="X792" s="151">
        <f>+VLOOKUP(PROVEEDORES[[#This Row],[ID RETENCION]],Retenciones!$A$1:$O$24,PROVEEDORES[[#This Row],[indicador de columna]],FALSE)</f>
        <v>0</v>
      </c>
      <c r="Y792" s="152">
        <f>+VLOOKUP(PROVEEDORES[[#This Row],[ID RETENCION]],Retenciones!$A$1:$O$24,2,FALSE)</f>
        <v>0</v>
      </c>
      <c r="Z792" s="26"/>
      <c r="AA792" s="26"/>
      <c r="AB792" s="26"/>
      <c r="AC792" s="26"/>
      <c r="AD792" s="26"/>
      <c r="AE792" s="26"/>
    </row>
    <row r="793" spans="1:31" ht="21.95" customHeight="1" x14ac:dyDescent="0.25">
      <c r="A793" s="97" t="str">
        <f>+IF(PROVEEDORES[[#This Row],[FECHA DE PAGO]]=PROVEEDORES[[#This Row],[FECHA DE FACTURACIÓN]],"DE CONTADO","CRÉDITO")</f>
        <v>CRÉDITO</v>
      </c>
      <c r="B793" s="41" t="str">
        <f>+IF((PROVEEDORES[[#This Row],[FECHA DE PAGO]]-PROVEEDORES[[#This Row],[FECHA DE FACTURACIÓN]])&gt;PROVEEDORES[[#This Row],[PLAZO Días]],"PAGO VENCIDO")</f>
        <v>PAGO VENCIDO</v>
      </c>
      <c r="C793" s="22">
        <f>+VLOOKUP(PROVEEDORES[[#This Row],[PROVEEDOR]],TERCEROS_INFO[#All],2,FALSE)</f>
        <v>30</v>
      </c>
      <c r="D793" s="27">
        <f>+SUMIFS(PROVEEDORES[Total],PROVEEDORES[PROVEEDOR],PROVEEDORES[[#This Row],[PROVEEDOR]],PROVEEDORES[FECHA DE PAGO],"")</f>
        <v>0</v>
      </c>
      <c r="E793" s="27"/>
      <c r="F793" s="62">
        <f>+VLOOKUP(PROVEEDORES[[#This Row],[PROVEEDOR]],
                       Terceros!$A:$G,
                       6,
                       FALSE)</f>
        <v>0</v>
      </c>
      <c r="G793" s="95">
        <v>44522</v>
      </c>
      <c r="H793" s="28" t="s">
        <v>988</v>
      </c>
      <c r="I793" s="95">
        <v>44457</v>
      </c>
      <c r="J793" s="38" t="s">
        <v>825</v>
      </c>
      <c r="K793" s="23">
        <v>500000</v>
      </c>
      <c r="L793" s="23"/>
      <c r="M793" s="24">
        <v>0</v>
      </c>
      <c r="N793" s="25"/>
      <c r="O793" s="24">
        <v>0</v>
      </c>
      <c r="P793" s="136">
        <f>+IF(PROVEEDORES[[#This Row],[SUBTOTAL]]&lt;PROVEEDORES[[#This Row],[base retencion]],0,PROVEEDORES[[#This Row],[retención aplicada]])</f>
        <v>0</v>
      </c>
      <c r="Q793" s="24">
        <f>+PROVEEDORES[[#This Row],[Rete Fuente %]]*PROVEEDORES[[#This Row],[SUBTOTAL]]</f>
        <v>0</v>
      </c>
      <c r="R793" s="23">
        <v>500000</v>
      </c>
      <c r="S79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3" s="99">
        <f ca="1">IF(PROVEEDORES[[#This Row],[FECHA DE PAGO]]=0,TODAY()-PROVEEDORES[[#This Row],[FECHA DE FACTURACIÓN]]-PROVEEDORES[[#This Row],[PLAZO Días]],0)</f>
        <v>0</v>
      </c>
      <c r="U793" s="149">
        <f>+VLOOKUP(PROVEEDORES[[#This Row],[PROVEEDOR]],Terceros!$A:$E,5,FALSE)</f>
        <v>0</v>
      </c>
      <c r="V793" s="150">
        <f>+YEAR(PROVEEDORES[[#This Row],[FECHA DE FACTURACIÓN]])</f>
        <v>2021</v>
      </c>
      <c r="W793" s="150">
        <f>+MATCH(PROVEEDORES[[#This Row],[año facturado]],Retenciones!$1:$1,0)</f>
        <v>4</v>
      </c>
      <c r="X793" s="151">
        <f>+VLOOKUP(PROVEEDORES[[#This Row],[ID RETENCION]],Retenciones!$A$1:$O$24,PROVEEDORES[[#This Row],[indicador de columna]],FALSE)</f>
        <v>0</v>
      </c>
      <c r="Y793" s="152">
        <f>+VLOOKUP(PROVEEDORES[[#This Row],[ID RETENCION]],Retenciones!$A$1:$O$24,2,FALSE)</f>
        <v>0</v>
      </c>
      <c r="Z793" s="26"/>
      <c r="AA793" s="26"/>
      <c r="AB793" s="26"/>
      <c r="AC793" s="26"/>
      <c r="AD793" s="26"/>
      <c r="AE793" s="26"/>
    </row>
    <row r="794" spans="1:31" ht="21.95" customHeight="1" x14ac:dyDescent="0.25">
      <c r="A794" s="97" t="str">
        <f>+IF(PROVEEDORES[[#This Row],[FECHA DE PAGO]]=PROVEEDORES[[#This Row],[FECHA DE FACTURACIÓN]],"DE CONTADO","CRÉDITO")</f>
        <v>DE CONTADO</v>
      </c>
      <c r="B794" s="41" t="b">
        <f>+IF((PROVEEDORES[[#This Row],[FECHA DE PAGO]]-PROVEEDORES[[#This Row],[FECHA DE FACTURACIÓN]])&gt;PROVEEDORES[[#This Row],[PLAZO Días]],"PAGO VENCIDO")</f>
        <v>0</v>
      </c>
      <c r="C794" s="22">
        <f>+VLOOKUP(PROVEEDORES[[#This Row],[PROVEEDOR]],TERCEROS_INFO[#All],2,FALSE)</f>
        <v>30</v>
      </c>
      <c r="D794" s="27">
        <f>+SUMIFS(PROVEEDORES[Total],PROVEEDORES[PROVEEDOR],PROVEEDORES[[#This Row],[PROVEEDOR]],PROVEEDORES[FECHA DE PAGO],"")</f>
        <v>0</v>
      </c>
      <c r="E794" s="27"/>
      <c r="F794" s="62" t="str">
        <f>+VLOOKUP(PROVEEDORES[[#This Row],[PROVEEDOR]],
                       Terceros!$A:$G,
                       6,
                       FALSE)</f>
        <v/>
      </c>
      <c r="G794" s="95">
        <v>44459</v>
      </c>
      <c r="H794" s="28" t="s">
        <v>1046</v>
      </c>
      <c r="I794" s="95">
        <v>44459</v>
      </c>
      <c r="J794" s="38"/>
      <c r="K794" s="23">
        <v>1000000</v>
      </c>
      <c r="L794" s="23"/>
      <c r="M794" s="24">
        <v>0</v>
      </c>
      <c r="N794" s="25"/>
      <c r="O794" s="24">
        <v>0</v>
      </c>
      <c r="P794" s="136">
        <f>+IF(PROVEEDORES[[#This Row],[SUBTOTAL]]&lt;PROVEEDORES[[#This Row],[base retencion]],0,PROVEEDORES[[#This Row],[retención aplicada]])</f>
        <v>0</v>
      </c>
      <c r="Q794" s="24">
        <f>+PROVEEDORES[[#This Row],[Rete Fuente %]]*PROVEEDORES[[#This Row],[SUBTOTAL]]</f>
        <v>0</v>
      </c>
      <c r="R794" s="23">
        <v>1000000</v>
      </c>
      <c r="S79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4" s="99">
        <f ca="1">IF(PROVEEDORES[[#This Row],[FECHA DE PAGO]]=0,TODAY()-PROVEEDORES[[#This Row],[FECHA DE FACTURACIÓN]]-PROVEEDORES[[#This Row],[PLAZO Días]],0)</f>
        <v>0</v>
      </c>
      <c r="U794" s="149">
        <f>+VLOOKUP(PROVEEDORES[[#This Row],[PROVEEDOR]],Terceros!$A:$E,5,FALSE)</f>
        <v>0</v>
      </c>
      <c r="V794" s="150">
        <f>+YEAR(PROVEEDORES[[#This Row],[FECHA DE FACTURACIÓN]])</f>
        <v>2021</v>
      </c>
      <c r="W794" s="150">
        <f>+MATCH(PROVEEDORES[[#This Row],[año facturado]],Retenciones!$1:$1,0)</f>
        <v>4</v>
      </c>
      <c r="X794" s="151">
        <f>+VLOOKUP(PROVEEDORES[[#This Row],[ID RETENCION]],Retenciones!$A$1:$O$24,PROVEEDORES[[#This Row],[indicador de columna]],FALSE)</f>
        <v>0</v>
      </c>
      <c r="Y794" s="152">
        <f>+VLOOKUP(PROVEEDORES[[#This Row],[ID RETENCION]],Retenciones!$A$1:$O$24,2,FALSE)</f>
        <v>0</v>
      </c>
      <c r="Z794" s="26"/>
      <c r="AA794" s="26"/>
      <c r="AB794" s="26"/>
      <c r="AC794" s="26"/>
      <c r="AD794" s="26"/>
      <c r="AE794" s="26"/>
    </row>
    <row r="795" spans="1:31" ht="21.95" customHeight="1" x14ac:dyDescent="0.25">
      <c r="A795" s="97" t="str">
        <f>+IF(PROVEEDORES[[#This Row],[FECHA DE PAGO]]=PROVEEDORES[[#This Row],[FECHA DE FACTURACIÓN]],"DE CONTADO","CRÉDITO")</f>
        <v>CRÉDITO</v>
      </c>
      <c r="B795" s="41" t="str">
        <f>+IF((PROVEEDORES[[#This Row],[FECHA DE PAGO]]-PROVEEDORES[[#This Row],[FECHA DE FACTURACIÓN]])&gt;PROVEEDORES[[#This Row],[PLAZO Días]],"PAGO VENCIDO")</f>
        <v>PAGO VENCIDO</v>
      </c>
      <c r="C795" s="22">
        <f>+VLOOKUP(PROVEEDORES[[#This Row],[PROVEEDOR]],TERCEROS_INFO[#All],2,FALSE)</f>
        <v>30</v>
      </c>
      <c r="D795" s="27">
        <f>+SUMIFS(PROVEEDORES[Total],PROVEEDORES[PROVEEDOR],PROVEEDORES[[#This Row],[PROVEEDOR]],PROVEEDORES[FECHA DE PAGO],"")</f>
        <v>1850000</v>
      </c>
      <c r="E795" s="27"/>
      <c r="F795" s="62" t="str">
        <f>+VLOOKUP(PROVEEDORES[[#This Row],[PROVEEDOR]],
                       Terceros!$A:$G,
                       6,
                       FALSE)</f>
        <v>globalpowerc2018@gmail.com;girlesa.ruiz@servipilas.com;joriescobar64@gmail.com</v>
      </c>
      <c r="G795" s="95">
        <v>44494</v>
      </c>
      <c r="H795" s="28" t="s">
        <v>1051</v>
      </c>
      <c r="I795" s="95">
        <v>44459</v>
      </c>
      <c r="J795" s="38" t="s">
        <v>827</v>
      </c>
      <c r="K795" s="23">
        <v>1082500</v>
      </c>
      <c r="L795" s="23"/>
      <c r="M795" s="24">
        <v>0</v>
      </c>
      <c r="N795" s="25"/>
      <c r="O795" s="24">
        <v>0</v>
      </c>
      <c r="P795" s="136">
        <f>+IF(PROVEEDORES[[#This Row],[SUBTOTAL]]&lt;PROVEEDORES[[#This Row],[base retencion]],0,PROVEEDORES[[#This Row],[retención aplicada]])</f>
        <v>0</v>
      </c>
      <c r="Q795" s="24">
        <f>+PROVEEDORES[[#This Row],[Rete Fuente %]]*PROVEEDORES[[#This Row],[SUBTOTAL]]</f>
        <v>0</v>
      </c>
      <c r="R795" s="23">
        <v>1082500</v>
      </c>
      <c r="S79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5" s="99">
        <f ca="1">IF(PROVEEDORES[[#This Row],[FECHA DE PAGO]]=0,TODAY()-PROVEEDORES[[#This Row],[FECHA DE FACTURACIÓN]]-PROVEEDORES[[#This Row],[PLAZO Días]],0)</f>
        <v>0</v>
      </c>
      <c r="U795" s="149">
        <f>+VLOOKUP(PROVEEDORES[[#This Row],[PROVEEDOR]],Terceros!$A:$E,5,FALSE)</f>
        <v>0</v>
      </c>
      <c r="V795" s="150">
        <f>+YEAR(PROVEEDORES[[#This Row],[FECHA DE FACTURACIÓN]])</f>
        <v>2021</v>
      </c>
      <c r="W795" s="150">
        <f>+MATCH(PROVEEDORES[[#This Row],[año facturado]],Retenciones!$1:$1,0)</f>
        <v>4</v>
      </c>
      <c r="X795" s="151">
        <f>+VLOOKUP(PROVEEDORES[[#This Row],[ID RETENCION]],Retenciones!$A$1:$O$24,PROVEEDORES[[#This Row],[indicador de columna]],FALSE)</f>
        <v>0</v>
      </c>
      <c r="Y795" s="152">
        <f>+VLOOKUP(PROVEEDORES[[#This Row],[ID RETENCION]],Retenciones!$A$1:$O$24,2,FALSE)</f>
        <v>0</v>
      </c>
      <c r="Z795" s="26"/>
      <c r="AA795" s="26"/>
      <c r="AB795" s="26"/>
      <c r="AC795" s="26"/>
      <c r="AD795" s="26"/>
      <c r="AE795" s="26"/>
    </row>
    <row r="796" spans="1:31" ht="21.95" customHeight="1" x14ac:dyDescent="0.25">
      <c r="A796" s="97" t="str">
        <f>+IF(PROVEEDORES[[#This Row],[FECHA DE PAGO]]=PROVEEDORES[[#This Row],[FECHA DE FACTURACIÓN]],"DE CONTADO","CRÉDITO")</f>
        <v>CRÉDITO</v>
      </c>
      <c r="B796" s="41" t="str">
        <f>+IF((PROVEEDORES[[#This Row],[FECHA DE PAGO]]-PROVEEDORES[[#This Row],[FECHA DE FACTURACIÓN]])&gt;PROVEEDORES[[#This Row],[PLAZO Días]],"PAGO VENCIDO")</f>
        <v>PAGO VENCIDO</v>
      </c>
      <c r="C796" s="22">
        <f>+VLOOKUP(PROVEEDORES[[#This Row],[PROVEEDOR]],TERCEROS_INFO[#All],2,FALSE)</f>
        <v>30</v>
      </c>
      <c r="D796" s="27">
        <f>+SUMIFS(PROVEEDORES[Total],PROVEEDORES[PROVEEDOR],PROVEEDORES[[#This Row],[PROVEEDOR]],PROVEEDORES[FECHA DE PAGO],"")</f>
        <v>0</v>
      </c>
      <c r="E796" s="27"/>
      <c r="F796" s="62" t="str">
        <f>+VLOOKUP(PROVEEDORES[[#This Row],[PROVEEDOR]],
                       Terceros!$A:$G,
                       6,
                       FALSE)</f>
        <v>BRIGHTSIDELED2019@gmail.com;girlesa.ruiz@servipilas.com;joriescobar64@gmail.com</v>
      </c>
      <c r="G796" s="95">
        <v>44490</v>
      </c>
      <c r="H796" s="28" t="s">
        <v>1038</v>
      </c>
      <c r="I796" s="95">
        <v>44459</v>
      </c>
      <c r="J796" s="38" t="s">
        <v>826</v>
      </c>
      <c r="K796" s="23">
        <v>1500000</v>
      </c>
      <c r="L796" s="23"/>
      <c r="M796" s="24">
        <v>0</v>
      </c>
      <c r="N796" s="25"/>
      <c r="O796" s="24">
        <v>0</v>
      </c>
      <c r="P796" s="136">
        <f>+IF(PROVEEDORES[[#This Row],[SUBTOTAL]]&lt;PROVEEDORES[[#This Row],[base retencion]],0,PROVEEDORES[[#This Row],[retención aplicada]])</f>
        <v>0</v>
      </c>
      <c r="Q796" s="24">
        <f>+PROVEEDORES[[#This Row],[Rete Fuente %]]*PROVEEDORES[[#This Row],[SUBTOTAL]]</f>
        <v>0</v>
      </c>
      <c r="R796" s="23">
        <v>1500000</v>
      </c>
      <c r="S79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6" s="99">
        <f ca="1">IF(PROVEEDORES[[#This Row],[FECHA DE PAGO]]=0,TODAY()-PROVEEDORES[[#This Row],[FECHA DE FACTURACIÓN]]-PROVEEDORES[[#This Row],[PLAZO Días]],0)</f>
        <v>0</v>
      </c>
      <c r="U796" s="149">
        <f>+VLOOKUP(PROVEEDORES[[#This Row],[PROVEEDOR]],Terceros!$A:$E,5,FALSE)</f>
        <v>0</v>
      </c>
      <c r="V796" s="150">
        <f>+YEAR(PROVEEDORES[[#This Row],[FECHA DE FACTURACIÓN]])</f>
        <v>2021</v>
      </c>
      <c r="W796" s="150">
        <f>+MATCH(PROVEEDORES[[#This Row],[año facturado]],Retenciones!$1:$1,0)</f>
        <v>4</v>
      </c>
      <c r="X796" s="151">
        <f>+VLOOKUP(PROVEEDORES[[#This Row],[ID RETENCION]],Retenciones!$A$1:$O$24,PROVEEDORES[[#This Row],[indicador de columna]],FALSE)</f>
        <v>0</v>
      </c>
      <c r="Y796" s="152">
        <f>+VLOOKUP(PROVEEDORES[[#This Row],[ID RETENCION]],Retenciones!$A$1:$O$24,2,FALSE)</f>
        <v>0</v>
      </c>
      <c r="Z796" s="26"/>
      <c r="AA796" s="26"/>
      <c r="AB796" s="26"/>
      <c r="AC796" s="26"/>
      <c r="AD796" s="26"/>
      <c r="AE796" s="26"/>
    </row>
    <row r="797" spans="1:31" ht="21.95" customHeight="1" x14ac:dyDescent="0.25">
      <c r="A797" s="97" t="str">
        <f>+IF(PROVEEDORES[[#This Row],[FECHA DE PAGO]]=PROVEEDORES[[#This Row],[FECHA DE FACTURACIÓN]],"DE CONTADO","CRÉDITO")</f>
        <v>CRÉDITO</v>
      </c>
      <c r="B797" s="41" t="b">
        <f>+IF((PROVEEDORES[[#This Row],[FECHA DE PAGO]]-PROVEEDORES[[#This Row],[FECHA DE FACTURACIÓN]])&gt;PROVEEDORES[[#This Row],[PLAZO Días]],"PAGO VENCIDO")</f>
        <v>0</v>
      </c>
      <c r="C797" s="22">
        <f>+VLOOKUP(PROVEEDORES[[#This Row],[PROVEEDOR]],TERCEROS_INFO[#All],2,FALSE)</f>
        <v>30</v>
      </c>
      <c r="D797" s="27">
        <f>+SUMIFS(PROVEEDORES[Total],PROVEEDORES[PROVEEDOR],PROVEEDORES[[#This Row],[PROVEEDOR]],PROVEEDORES[FECHA DE PAGO],"")</f>
        <v>264406</v>
      </c>
      <c r="E797" s="27"/>
      <c r="F797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797" s="95">
        <v>44460</v>
      </c>
      <c r="H797" s="28" t="s">
        <v>390</v>
      </c>
      <c r="I797" s="95">
        <v>44459</v>
      </c>
      <c r="J797" s="38" t="s">
        <v>828</v>
      </c>
      <c r="K797" s="23">
        <v>1895000</v>
      </c>
      <c r="L797" s="23"/>
      <c r="M797" s="24">
        <v>0</v>
      </c>
      <c r="N797" s="25"/>
      <c r="O797" s="24">
        <v>0</v>
      </c>
      <c r="P797" s="136">
        <f>+IF(PROVEEDORES[[#This Row],[SUBTOTAL]]&lt;PROVEEDORES[[#This Row],[base retencion]],0,PROVEEDORES[[#This Row],[retención aplicada]])</f>
        <v>0</v>
      </c>
      <c r="Q797" s="24">
        <f>+PROVEEDORES[[#This Row],[Rete Fuente %]]*PROVEEDORES[[#This Row],[SUBTOTAL]]</f>
        <v>0</v>
      </c>
      <c r="R797" s="23">
        <v>1895000</v>
      </c>
      <c r="S79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7" s="99">
        <f ca="1">IF(PROVEEDORES[[#This Row],[FECHA DE PAGO]]=0,TODAY()-PROVEEDORES[[#This Row],[FECHA DE FACTURACIÓN]]-PROVEEDORES[[#This Row],[PLAZO Días]],0)</f>
        <v>0</v>
      </c>
      <c r="U797" s="149">
        <f>+VLOOKUP(PROVEEDORES[[#This Row],[PROVEEDOR]],Terceros!$A:$E,5,FALSE)</f>
        <v>0</v>
      </c>
      <c r="V797" s="150">
        <f>+YEAR(PROVEEDORES[[#This Row],[FECHA DE FACTURACIÓN]])</f>
        <v>2021</v>
      </c>
      <c r="W797" s="150">
        <f>+MATCH(PROVEEDORES[[#This Row],[año facturado]],Retenciones!$1:$1,0)</f>
        <v>4</v>
      </c>
      <c r="X797" s="151">
        <f>+VLOOKUP(PROVEEDORES[[#This Row],[ID RETENCION]],Retenciones!$A$1:$O$24,PROVEEDORES[[#This Row],[indicador de columna]],FALSE)</f>
        <v>0</v>
      </c>
      <c r="Y797" s="152">
        <f>+VLOOKUP(PROVEEDORES[[#This Row],[ID RETENCION]],Retenciones!$A$1:$O$24,2,FALSE)</f>
        <v>0</v>
      </c>
      <c r="Z797" s="26"/>
      <c r="AA797" s="26"/>
      <c r="AB797" s="26"/>
      <c r="AC797" s="26"/>
      <c r="AD797" s="26"/>
      <c r="AE797" s="26"/>
    </row>
    <row r="798" spans="1:31" ht="21.95" customHeight="1" x14ac:dyDescent="0.25">
      <c r="A798" s="97" t="str">
        <f>+IF(PROVEEDORES[[#This Row],[FECHA DE PAGO]]=PROVEEDORES[[#This Row],[FECHA DE FACTURACIÓN]],"DE CONTADO","CRÉDITO")</f>
        <v>CRÉDITO</v>
      </c>
      <c r="B798" s="41" t="b">
        <f>+IF((PROVEEDORES[[#This Row],[FECHA DE PAGO]]-PROVEEDORES[[#This Row],[FECHA DE FACTURACIÓN]])&gt;PROVEEDORES[[#This Row],[PLAZO Días]],"PAGO VENCIDO")</f>
        <v>0</v>
      </c>
      <c r="C798" s="22">
        <f>+VLOOKUP(PROVEEDORES[[#This Row],[PROVEEDOR]],TERCEROS_INFO[#All],2,FALSE)</f>
        <v>30</v>
      </c>
      <c r="D798" s="27">
        <f>+SUMIFS(PROVEEDORES[Total],PROVEEDORES[PROVEEDOR],PROVEEDORES[[#This Row],[PROVEEDOR]],PROVEEDORES[FECHA DE PAGO],"")</f>
        <v>0</v>
      </c>
      <c r="E798" s="27"/>
      <c r="F798" s="62" t="str">
        <f>+VLOOKUP(PROVEEDORES[[#This Row],[PROVEEDOR]],
                       Terceros!$A:$G,
                       6,
                       FALSE)</f>
        <v/>
      </c>
      <c r="G798" s="95">
        <v>44460</v>
      </c>
      <c r="H798" s="28" t="s">
        <v>54</v>
      </c>
      <c r="I798" s="95">
        <v>44459</v>
      </c>
      <c r="J798" s="38">
        <v>284978</v>
      </c>
      <c r="K798" s="23">
        <v>2619000</v>
      </c>
      <c r="L798" s="23"/>
      <c r="M798" s="24">
        <v>0</v>
      </c>
      <c r="N798" s="25"/>
      <c r="O798" s="24">
        <v>0</v>
      </c>
      <c r="P798" s="136">
        <f>+IF(PROVEEDORES[[#This Row],[SUBTOTAL]]&lt;PROVEEDORES[[#This Row],[base retencion]],0,PROVEEDORES[[#This Row],[retención aplicada]])</f>
        <v>0</v>
      </c>
      <c r="Q798" s="24">
        <f>+PROVEEDORES[[#This Row],[Rete Fuente %]]*PROVEEDORES[[#This Row],[SUBTOTAL]]</f>
        <v>0</v>
      </c>
      <c r="R798" s="23">
        <v>2619000</v>
      </c>
      <c r="S79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8" s="99">
        <f ca="1">IF(PROVEEDORES[[#This Row],[FECHA DE PAGO]]=0,TODAY()-PROVEEDORES[[#This Row],[FECHA DE FACTURACIÓN]]-PROVEEDORES[[#This Row],[PLAZO Días]],0)</f>
        <v>0</v>
      </c>
      <c r="U798" s="149">
        <f>+VLOOKUP(PROVEEDORES[[#This Row],[PROVEEDOR]],Terceros!$A:$E,5,FALSE)</f>
        <v>0</v>
      </c>
      <c r="V798" s="150">
        <f>+YEAR(PROVEEDORES[[#This Row],[FECHA DE FACTURACIÓN]])</f>
        <v>2021</v>
      </c>
      <c r="W798" s="150">
        <f>+MATCH(PROVEEDORES[[#This Row],[año facturado]],Retenciones!$1:$1,0)</f>
        <v>4</v>
      </c>
      <c r="X798" s="151">
        <f>+VLOOKUP(PROVEEDORES[[#This Row],[ID RETENCION]],Retenciones!$A$1:$O$24,PROVEEDORES[[#This Row],[indicador de columna]],FALSE)</f>
        <v>0</v>
      </c>
      <c r="Y798" s="152">
        <f>+VLOOKUP(PROVEEDORES[[#This Row],[ID RETENCION]],Retenciones!$A$1:$O$24,2,FALSE)</f>
        <v>0</v>
      </c>
      <c r="Z798" s="26"/>
      <c r="AA798" s="26"/>
      <c r="AB798" s="26"/>
      <c r="AC798" s="26"/>
      <c r="AD798" s="26"/>
      <c r="AE798" s="26"/>
    </row>
    <row r="799" spans="1:31" ht="21.95" customHeight="1" x14ac:dyDescent="0.25">
      <c r="A799" s="97" t="str">
        <f>+IF(PROVEEDORES[[#This Row],[FECHA DE PAGO]]=PROVEEDORES[[#This Row],[FECHA DE FACTURACIÓN]],"DE CONTADO","CRÉDITO")</f>
        <v>DE CONTADO</v>
      </c>
      <c r="B799" s="41" t="b">
        <f>+IF((PROVEEDORES[[#This Row],[FECHA DE PAGO]]-PROVEEDORES[[#This Row],[FECHA DE FACTURACIÓN]])&gt;PROVEEDORES[[#This Row],[PLAZO Días]],"PAGO VENCIDO")</f>
        <v>0</v>
      </c>
      <c r="C799" s="22">
        <f>+VLOOKUP(PROVEEDORES[[#This Row],[PROVEEDOR]],TERCEROS_INFO[#All],2,FALSE)</f>
        <v>30</v>
      </c>
      <c r="D799" s="27">
        <f>+SUMIFS(PROVEEDORES[Total],PROVEEDORES[PROVEEDOR],PROVEEDORES[[#This Row],[PROVEEDOR]],PROVEEDORES[FECHA DE PAGO],"")</f>
        <v>0</v>
      </c>
      <c r="E799" s="27"/>
      <c r="F799" s="62" t="str">
        <f>+VLOOKUP(PROVEEDORES[[#This Row],[PROVEEDOR]],
                       Terceros!$A:$G,
                       6,
                       FALSE)</f>
        <v/>
      </c>
      <c r="G799" s="95">
        <v>44460</v>
      </c>
      <c r="H799" s="28" t="s">
        <v>1010</v>
      </c>
      <c r="I799" s="95">
        <v>44460</v>
      </c>
      <c r="J799" s="38" t="s">
        <v>829</v>
      </c>
      <c r="K799" s="23">
        <v>480000</v>
      </c>
      <c r="L799" s="23"/>
      <c r="M799" s="24">
        <v>0</v>
      </c>
      <c r="N799" s="25"/>
      <c r="O799" s="24">
        <v>0</v>
      </c>
      <c r="P799" s="136">
        <f>+IF(PROVEEDORES[[#This Row],[SUBTOTAL]]&lt;PROVEEDORES[[#This Row],[base retencion]],0,PROVEEDORES[[#This Row],[retención aplicada]])</f>
        <v>0</v>
      </c>
      <c r="Q799" s="24">
        <f>+PROVEEDORES[[#This Row],[Rete Fuente %]]*PROVEEDORES[[#This Row],[SUBTOTAL]]</f>
        <v>0</v>
      </c>
      <c r="R799" s="23">
        <v>480000</v>
      </c>
      <c r="S79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9" s="99">
        <f ca="1">IF(PROVEEDORES[[#This Row],[FECHA DE PAGO]]=0,TODAY()-PROVEEDORES[[#This Row],[FECHA DE FACTURACIÓN]]-PROVEEDORES[[#This Row],[PLAZO Días]],0)</f>
        <v>0</v>
      </c>
      <c r="U799" s="149">
        <f>+VLOOKUP(PROVEEDORES[[#This Row],[PROVEEDOR]],Terceros!$A:$E,5,FALSE)</f>
        <v>0</v>
      </c>
      <c r="V799" s="150">
        <f>+YEAR(PROVEEDORES[[#This Row],[FECHA DE FACTURACIÓN]])</f>
        <v>2021</v>
      </c>
      <c r="W799" s="150">
        <f>+MATCH(PROVEEDORES[[#This Row],[año facturado]],Retenciones!$1:$1,0)</f>
        <v>4</v>
      </c>
      <c r="X799" s="151">
        <f>+VLOOKUP(PROVEEDORES[[#This Row],[ID RETENCION]],Retenciones!$A$1:$O$24,PROVEEDORES[[#This Row],[indicador de columna]],FALSE)</f>
        <v>0</v>
      </c>
      <c r="Y799" s="152">
        <f>+VLOOKUP(PROVEEDORES[[#This Row],[ID RETENCION]],Retenciones!$A$1:$O$24,2,FALSE)</f>
        <v>0</v>
      </c>
      <c r="Z799" s="26"/>
      <c r="AA799" s="26"/>
      <c r="AB799" s="26"/>
      <c r="AC799" s="26"/>
      <c r="AD799" s="26"/>
      <c r="AE799" s="26"/>
    </row>
    <row r="800" spans="1:31" ht="21.95" customHeight="1" x14ac:dyDescent="0.25">
      <c r="A800" s="97" t="str">
        <f>+IF(PROVEEDORES[[#This Row],[FECHA DE PAGO]]=PROVEEDORES[[#This Row],[FECHA DE FACTURACIÓN]],"DE CONTADO","CRÉDITO")</f>
        <v>CRÉDITO</v>
      </c>
      <c r="B800" s="41" t="str">
        <f>+IF((PROVEEDORES[[#This Row],[FECHA DE PAGO]]-PROVEEDORES[[#This Row],[FECHA DE FACTURACIÓN]])&gt;PROVEEDORES[[#This Row],[PLAZO Días]],"PAGO VENCIDO")</f>
        <v>PAGO VENCIDO</v>
      </c>
      <c r="C800" s="22">
        <f>+VLOOKUP(PROVEEDORES[[#This Row],[PROVEEDOR]],TERCEROS_INFO[#All],2,FALSE)</f>
        <v>30</v>
      </c>
      <c r="D800" s="27">
        <f>+SUMIFS(PROVEEDORES[Total],PROVEEDORES[PROVEEDOR],PROVEEDORES[[#This Row],[PROVEEDOR]],PROVEEDORES[FECHA DE PAGO],"")</f>
        <v>1979529.3</v>
      </c>
      <c r="E800" s="27"/>
      <c r="F800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800" s="95">
        <v>44498</v>
      </c>
      <c r="H800" s="28" t="s">
        <v>17</v>
      </c>
      <c r="I800" s="95">
        <v>44460</v>
      </c>
      <c r="J800" s="38">
        <v>1815851</v>
      </c>
      <c r="K800" s="23">
        <v>718000</v>
      </c>
      <c r="L800" s="23"/>
      <c r="M800" s="24">
        <v>136420</v>
      </c>
      <c r="N800" s="25"/>
      <c r="O800" s="24">
        <v>0</v>
      </c>
      <c r="P800" s="136">
        <f>+IF(PROVEEDORES[[#This Row],[SUBTOTAL]]&lt;PROVEEDORES[[#This Row],[base retencion]],0,PROVEEDORES[[#This Row],[retención aplicada]])</f>
        <v>0</v>
      </c>
      <c r="Q800" s="24">
        <f>+PROVEEDORES[[#This Row],[Rete Fuente %]]*PROVEEDORES[[#This Row],[SUBTOTAL]]</f>
        <v>0</v>
      </c>
      <c r="R800" s="23">
        <v>854420</v>
      </c>
      <c r="S80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0" s="99">
        <f ca="1">IF(PROVEEDORES[[#This Row],[FECHA DE PAGO]]=0,TODAY()-PROVEEDORES[[#This Row],[FECHA DE FACTURACIÓN]]-PROVEEDORES[[#This Row],[PLAZO Días]],0)</f>
        <v>0</v>
      </c>
      <c r="U800" s="149">
        <f>+VLOOKUP(PROVEEDORES[[#This Row],[PROVEEDOR]],Terceros!$A:$E,5,FALSE)</f>
        <v>0</v>
      </c>
      <c r="V800" s="150">
        <f>+YEAR(PROVEEDORES[[#This Row],[FECHA DE FACTURACIÓN]])</f>
        <v>2021</v>
      </c>
      <c r="W800" s="150">
        <f>+MATCH(PROVEEDORES[[#This Row],[año facturado]],Retenciones!$1:$1,0)</f>
        <v>4</v>
      </c>
      <c r="X800" s="151">
        <f>+VLOOKUP(PROVEEDORES[[#This Row],[ID RETENCION]],Retenciones!$A$1:$O$24,PROVEEDORES[[#This Row],[indicador de columna]],FALSE)</f>
        <v>0</v>
      </c>
      <c r="Y800" s="152">
        <f>+VLOOKUP(PROVEEDORES[[#This Row],[ID RETENCION]],Retenciones!$A$1:$O$24,2,FALSE)</f>
        <v>0</v>
      </c>
      <c r="Z800" s="26"/>
      <c r="AA800" s="26"/>
      <c r="AB800" s="26"/>
      <c r="AC800" s="26"/>
      <c r="AD800" s="26"/>
      <c r="AE800" s="26"/>
    </row>
    <row r="801" spans="1:31" ht="21.95" customHeight="1" x14ac:dyDescent="0.25">
      <c r="A801" s="97" t="str">
        <f>+IF(PROVEEDORES[[#This Row],[FECHA DE PAGO]]=PROVEEDORES[[#This Row],[FECHA DE FACTURACIÓN]],"DE CONTADO","CRÉDITO")</f>
        <v>CRÉDITO</v>
      </c>
      <c r="B801" s="41" t="str">
        <f>+IF((PROVEEDORES[[#This Row],[FECHA DE PAGO]]-PROVEEDORES[[#This Row],[FECHA DE FACTURACIÓN]])&gt;PROVEEDORES[[#This Row],[PLAZO Días]],"PAGO VENCIDO")</f>
        <v>PAGO VENCIDO</v>
      </c>
      <c r="C801" s="22">
        <f>+VLOOKUP(PROVEEDORES[[#This Row],[PROVEEDOR]],TERCEROS_INFO[#All],2,FALSE)</f>
        <v>30</v>
      </c>
      <c r="D801" s="27">
        <f>+SUMIFS(PROVEEDORES[Total],PROVEEDORES[PROVEEDOR],PROVEEDORES[[#This Row],[PROVEEDOR]],PROVEEDORES[FECHA DE PAGO],"")</f>
        <v>1860500</v>
      </c>
      <c r="E801" s="27"/>
      <c r="F801" s="62" t="str">
        <f>+VLOOKUP(PROVEEDORES[[#This Row],[PROVEEDOR]],
                       Terceros!$A:$G,
                       6,
                       FALSE)</f>
        <v/>
      </c>
      <c r="G801" s="95">
        <v>44494</v>
      </c>
      <c r="H801" s="28" t="s">
        <v>1064</v>
      </c>
      <c r="I801" s="95">
        <v>44460</v>
      </c>
      <c r="J801" s="38" t="s">
        <v>830</v>
      </c>
      <c r="K801" s="23">
        <v>796800</v>
      </c>
      <c r="L801" s="23"/>
      <c r="M801" s="24">
        <v>0</v>
      </c>
      <c r="N801" s="25"/>
      <c r="O801" s="24">
        <v>0</v>
      </c>
      <c r="P801" s="136">
        <f>+IF(PROVEEDORES[[#This Row],[SUBTOTAL]]&lt;PROVEEDORES[[#This Row],[base retencion]],0,PROVEEDORES[[#This Row],[retención aplicada]])</f>
        <v>0</v>
      </c>
      <c r="Q801" s="24">
        <f>+PROVEEDORES[[#This Row],[Rete Fuente %]]*PROVEEDORES[[#This Row],[SUBTOTAL]]</f>
        <v>0</v>
      </c>
      <c r="R801" s="23">
        <v>796800</v>
      </c>
      <c r="S80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1" s="99">
        <f ca="1">IF(PROVEEDORES[[#This Row],[FECHA DE PAGO]]=0,TODAY()-PROVEEDORES[[#This Row],[FECHA DE FACTURACIÓN]]-PROVEEDORES[[#This Row],[PLAZO Días]],0)</f>
        <v>0</v>
      </c>
      <c r="U801" s="149">
        <f>+VLOOKUP(PROVEEDORES[[#This Row],[PROVEEDOR]],Terceros!$A:$E,5,FALSE)</f>
        <v>0</v>
      </c>
      <c r="V801" s="150">
        <f>+YEAR(PROVEEDORES[[#This Row],[FECHA DE FACTURACIÓN]])</f>
        <v>2021</v>
      </c>
      <c r="W801" s="150">
        <f>+MATCH(PROVEEDORES[[#This Row],[año facturado]],Retenciones!$1:$1,0)</f>
        <v>4</v>
      </c>
      <c r="X801" s="151">
        <f>+VLOOKUP(PROVEEDORES[[#This Row],[ID RETENCION]],Retenciones!$A$1:$O$24,PROVEEDORES[[#This Row],[indicador de columna]],FALSE)</f>
        <v>0</v>
      </c>
      <c r="Y801" s="152">
        <f>+VLOOKUP(PROVEEDORES[[#This Row],[ID RETENCION]],Retenciones!$A$1:$O$24,2,FALSE)</f>
        <v>0</v>
      </c>
      <c r="Z801" s="26"/>
      <c r="AA801" s="26"/>
      <c r="AB801" s="26"/>
      <c r="AC801" s="26"/>
      <c r="AD801" s="26"/>
      <c r="AE801" s="26"/>
    </row>
    <row r="802" spans="1:31" ht="21.95" customHeight="1" x14ac:dyDescent="0.25">
      <c r="A802" s="97" t="str">
        <f>+IF(PROVEEDORES[[#This Row],[FECHA DE PAGO]]=PROVEEDORES[[#This Row],[FECHA DE FACTURACIÓN]],"DE CONTADO","CRÉDITO")</f>
        <v>CRÉDITO</v>
      </c>
      <c r="B802" s="41" t="str">
        <f>+IF((PROVEEDORES[[#This Row],[FECHA DE PAGO]]-PROVEEDORES[[#This Row],[FECHA DE FACTURACIÓN]])&gt;PROVEEDORES[[#This Row],[PLAZO Días]],"PAGO VENCIDO")</f>
        <v>PAGO VENCIDO</v>
      </c>
      <c r="C802" s="22">
        <f>+VLOOKUP(PROVEEDORES[[#This Row],[PROVEEDOR]],TERCEROS_INFO[#All],2,FALSE)</f>
        <v>30</v>
      </c>
      <c r="D802" s="27">
        <f>+SUMIFS(PROVEEDORES[Total],PROVEEDORES[PROVEEDOR],PROVEEDORES[[#This Row],[PROVEEDOR]],PROVEEDORES[FECHA DE PAGO],"")</f>
        <v>479654.98979999998</v>
      </c>
      <c r="E802" s="27"/>
      <c r="F802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802" s="95">
        <v>44523</v>
      </c>
      <c r="H802" s="28" t="s">
        <v>1139</v>
      </c>
      <c r="I802" s="95">
        <v>44460</v>
      </c>
      <c r="J802" s="38">
        <v>1759</v>
      </c>
      <c r="K802" s="23">
        <v>2299075.62</v>
      </c>
      <c r="L802" s="23"/>
      <c r="M802" s="24">
        <v>436824.36780000001</v>
      </c>
      <c r="N802" s="25"/>
      <c r="O802" s="24">
        <v>0</v>
      </c>
      <c r="P802" s="136">
        <f>+IF(PROVEEDORES[[#This Row],[SUBTOTAL]]&lt;PROVEEDORES[[#This Row],[base retencion]],0,PROVEEDORES[[#This Row],[retención aplicada]])</f>
        <v>2.5000000000000001E-2</v>
      </c>
      <c r="Q802" s="24">
        <f>+PROVEEDORES[[#This Row],[Rete Fuente %]]*PROVEEDORES[[#This Row],[SUBTOTAL]]</f>
        <v>57476.890500000009</v>
      </c>
      <c r="R802" s="23">
        <v>2678423.0973</v>
      </c>
      <c r="S80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2" s="99">
        <f ca="1">IF(PROVEEDORES[[#This Row],[FECHA DE PAGO]]=0,TODAY()-PROVEEDORES[[#This Row],[FECHA DE FACTURACIÓN]]-PROVEEDORES[[#This Row],[PLAZO Días]],0)</f>
        <v>0</v>
      </c>
      <c r="U802" s="149" t="str">
        <f>+VLOOKUP(PROVEEDORES[[#This Row],[PROVEEDOR]],Terceros!$A:$E,5,FALSE)</f>
        <v>2,5% con base</v>
      </c>
      <c r="V802" s="150">
        <f>+YEAR(PROVEEDORES[[#This Row],[FECHA DE FACTURACIÓN]])</f>
        <v>2021</v>
      </c>
      <c r="W802" s="150">
        <f>+MATCH(PROVEEDORES[[#This Row],[año facturado]],Retenciones!$1:$1,0)</f>
        <v>4</v>
      </c>
      <c r="X802" s="151">
        <f>+VLOOKUP(PROVEEDORES[[#This Row],[ID RETENCION]],Retenciones!$A$1:$O$24,PROVEEDORES[[#This Row],[indicador de columna]],FALSE)</f>
        <v>980000</v>
      </c>
      <c r="Y802" s="152">
        <f>+VLOOKUP(PROVEEDORES[[#This Row],[ID RETENCION]],Retenciones!$A$1:$O$24,2,FALSE)</f>
        <v>2.5000000000000001E-2</v>
      </c>
      <c r="Z802" s="26"/>
      <c r="AA802" s="26"/>
      <c r="AB802" s="26"/>
      <c r="AC802" s="26"/>
      <c r="AD802" s="26"/>
      <c r="AE802" s="26"/>
    </row>
    <row r="803" spans="1:31" ht="21.95" customHeight="1" x14ac:dyDescent="0.25">
      <c r="A803" s="97" t="str">
        <f>+IF(PROVEEDORES[[#This Row],[FECHA DE PAGO]]=PROVEEDORES[[#This Row],[FECHA DE FACTURACIÓN]],"DE CONTADO","CRÉDITO")</f>
        <v>CRÉDITO</v>
      </c>
      <c r="B803" s="41" t="str">
        <f>+IF((PROVEEDORES[[#This Row],[FECHA DE PAGO]]-PROVEEDORES[[#This Row],[FECHA DE FACTURACIÓN]])&gt;PROVEEDORES[[#This Row],[PLAZO Días]],"PAGO VENCIDO")</f>
        <v>PAGO VENCIDO</v>
      </c>
      <c r="C803" s="22">
        <f>+VLOOKUP(PROVEEDORES[[#This Row],[PROVEEDOR]],TERCEROS_INFO[#All],2,FALSE)</f>
        <v>45</v>
      </c>
      <c r="D803" s="27">
        <f>+SUMIFS(PROVEEDORES[Total],PROVEEDORES[PROVEEDOR],PROVEEDORES[[#This Row],[PROVEEDOR]],PROVEEDORES[FECHA DE PAGO],"")</f>
        <v>37184068.039999999</v>
      </c>
      <c r="E803" s="27"/>
      <c r="F803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803" s="95">
        <v>44523</v>
      </c>
      <c r="H803" s="28" t="s">
        <v>19</v>
      </c>
      <c r="I803" s="95">
        <v>44460</v>
      </c>
      <c r="J803" s="38" t="s">
        <v>530</v>
      </c>
      <c r="K803" s="23">
        <v>3429810</v>
      </c>
      <c r="L803" s="23"/>
      <c r="M803" s="24">
        <v>651663.9</v>
      </c>
      <c r="N803" s="25"/>
      <c r="O803" s="24">
        <v>0</v>
      </c>
      <c r="P803" s="136">
        <f>+IF(PROVEEDORES[[#This Row],[SUBTOTAL]]&lt;PROVEEDORES[[#This Row],[base retencion]],0,PROVEEDORES[[#This Row],[retención aplicada]])</f>
        <v>0</v>
      </c>
      <c r="Q803" s="24">
        <f>+PROVEEDORES[[#This Row],[Rete Fuente %]]*PROVEEDORES[[#This Row],[SUBTOTAL]]</f>
        <v>0</v>
      </c>
      <c r="R803" s="23">
        <v>4081473.9</v>
      </c>
      <c r="S80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3" s="99">
        <f ca="1">IF(PROVEEDORES[[#This Row],[FECHA DE PAGO]]=0,TODAY()-PROVEEDORES[[#This Row],[FECHA DE FACTURACIÓN]]-PROVEEDORES[[#This Row],[PLAZO Días]],0)</f>
        <v>0</v>
      </c>
      <c r="U803" s="149">
        <f>+VLOOKUP(PROVEEDORES[[#This Row],[PROVEEDOR]],Terceros!$A:$E,5,FALSE)</f>
        <v>0</v>
      </c>
      <c r="V803" s="150">
        <f>+YEAR(PROVEEDORES[[#This Row],[FECHA DE FACTURACIÓN]])</f>
        <v>2021</v>
      </c>
      <c r="W803" s="150">
        <f>+MATCH(PROVEEDORES[[#This Row],[año facturado]],Retenciones!$1:$1,0)</f>
        <v>4</v>
      </c>
      <c r="X803" s="151">
        <f>+VLOOKUP(PROVEEDORES[[#This Row],[ID RETENCION]],Retenciones!$A$1:$O$24,PROVEEDORES[[#This Row],[indicador de columna]],FALSE)</f>
        <v>0</v>
      </c>
      <c r="Y803" s="152">
        <f>+VLOOKUP(PROVEEDORES[[#This Row],[ID RETENCION]],Retenciones!$A$1:$O$24,2,FALSE)</f>
        <v>0</v>
      </c>
      <c r="Z803" s="26"/>
      <c r="AA803" s="26"/>
      <c r="AB803" s="26"/>
      <c r="AC803" s="26"/>
      <c r="AD803" s="26"/>
      <c r="AE803" s="26"/>
    </row>
    <row r="804" spans="1:31" ht="21.95" customHeight="1" x14ac:dyDescent="0.25">
      <c r="A804" s="97" t="str">
        <f>+IF(PROVEEDORES[[#This Row],[FECHA DE PAGO]]=PROVEEDORES[[#This Row],[FECHA DE FACTURACIÓN]],"DE CONTADO","CRÉDITO")</f>
        <v>CRÉDITO</v>
      </c>
      <c r="B804" s="41" t="b">
        <f>+IF((PROVEEDORES[[#This Row],[FECHA DE PAGO]]-PROVEEDORES[[#This Row],[FECHA DE FACTURACIÓN]])&gt;PROVEEDORES[[#This Row],[PLAZO Días]],"PAGO VENCIDO")</f>
        <v>0</v>
      </c>
      <c r="C804" s="22">
        <f>+VLOOKUP(PROVEEDORES[[#This Row],[PROVEEDOR]],TERCEROS_INFO[#All],2,FALSE)</f>
        <v>30</v>
      </c>
      <c r="D804" s="27">
        <f>+SUMIFS(PROVEEDORES[Total],PROVEEDORES[PROVEEDOR],PROVEEDORES[[#This Row],[PROVEEDOR]],PROVEEDORES[FECHA DE PAGO],"")</f>
        <v>0</v>
      </c>
      <c r="E804" s="27"/>
      <c r="F804" s="62" t="str">
        <f>+VLOOKUP(PROVEEDORES[[#This Row],[PROVEEDOR]],
                       Terceros!$A:$G,
                       6,
                       FALSE)</f>
        <v>PSE</v>
      </c>
      <c r="G804" s="95">
        <v>44484</v>
      </c>
      <c r="H804" s="28" t="s">
        <v>350</v>
      </c>
      <c r="I804" s="95">
        <v>44470</v>
      </c>
      <c r="J804" s="38" t="s">
        <v>352</v>
      </c>
      <c r="K804" s="23">
        <v>743959</v>
      </c>
      <c r="L804" s="23"/>
      <c r="M804" s="24">
        <v>0</v>
      </c>
      <c r="N804" s="25"/>
      <c r="O804" s="24">
        <v>0</v>
      </c>
      <c r="P804" s="136">
        <f>+IF(PROVEEDORES[[#This Row],[SUBTOTAL]]&lt;PROVEEDORES[[#This Row],[base retencion]],0,PROVEEDORES[[#This Row],[retención aplicada]])</f>
        <v>0</v>
      </c>
      <c r="Q804" s="24">
        <f>+PROVEEDORES[[#This Row],[Rete Fuente %]]*PROVEEDORES[[#This Row],[SUBTOTAL]]</f>
        <v>0</v>
      </c>
      <c r="R804" s="23">
        <v>743959</v>
      </c>
      <c r="S80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4" s="99">
        <f ca="1">IF(PROVEEDORES[[#This Row],[FECHA DE PAGO]]=0,TODAY()-PROVEEDORES[[#This Row],[FECHA DE FACTURACIÓN]]-PROVEEDORES[[#This Row],[PLAZO Días]],0)</f>
        <v>0</v>
      </c>
      <c r="U804" s="149">
        <f>+VLOOKUP(PROVEEDORES[[#This Row],[PROVEEDOR]],Terceros!$A:$E,5,FALSE)</f>
        <v>0</v>
      </c>
      <c r="V804" s="150">
        <f>+YEAR(PROVEEDORES[[#This Row],[FECHA DE FACTURACIÓN]])</f>
        <v>2021</v>
      </c>
      <c r="W804" s="150">
        <f>+MATCH(PROVEEDORES[[#This Row],[año facturado]],Retenciones!$1:$1,0)</f>
        <v>4</v>
      </c>
      <c r="X804" s="151">
        <f>+VLOOKUP(PROVEEDORES[[#This Row],[ID RETENCION]],Retenciones!$A$1:$O$24,PROVEEDORES[[#This Row],[indicador de columna]],FALSE)</f>
        <v>0</v>
      </c>
      <c r="Y804" s="152">
        <f>+VLOOKUP(PROVEEDORES[[#This Row],[ID RETENCION]],Retenciones!$A$1:$O$24,2,FALSE)</f>
        <v>0</v>
      </c>
      <c r="Z804" s="26"/>
      <c r="AA804" s="26"/>
      <c r="AB804" s="26"/>
      <c r="AC804" s="26"/>
      <c r="AD804" s="26"/>
      <c r="AE804" s="26"/>
    </row>
    <row r="805" spans="1:31" ht="21.95" customHeight="1" x14ac:dyDescent="0.25">
      <c r="A805" s="97" t="str">
        <f>+IF(PROVEEDORES[[#This Row],[FECHA DE PAGO]]=PROVEEDORES[[#This Row],[FECHA DE FACTURACIÓN]],"DE CONTADO","CRÉDITO")</f>
        <v>CRÉDITO</v>
      </c>
      <c r="B805" s="41" t="str">
        <f>+IF((PROVEEDORES[[#This Row],[FECHA DE PAGO]]-PROVEEDORES[[#This Row],[FECHA DE FACTURACIÓN]])&gt;PROVEEDORES[[#This Row],[PLAZO Días]],"PAGO VENCIDO")</f>
        <v>PAGO VENCIDO</v>
      </c>
      <c r="C805" s="22">
        <f>+VLOOKUP(PROVEEDORES[[#This Row],[PROVEEDOR]],TERCEROS_INFO[#All],2,FALSE)</f>
        <v>30</v>
      </c>
      <c r="D805" s="27">
        <f>+SUMIFS(PROVEEDORES[Total],PROVEEDORES[PROVEEDOR],PROVEEDORES[[#This Row],[PROVEEDOR]],PROVEEDORES[FECHA DE PAGO],"")</f>
        <v>3844432.4999000002</v>
      </c>
      <c r="E805" s="27"/>
      <c r="F805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805" s="95">
        <v>44517</v>
      </c>
      <c r="H805" s="28" t="s">
        <v>18</v>
      </c>
      <c r="I805" s="95">
        <v>44462</v>
      </c>
      <c r="J805" s="38" t="s">
        <v>609</v>
      </c>
      <c r="K805" s="23">
        <v>-60000</v>
      </c>
      <c r="L805" s="23"/>
      <c r="M805" s="24">
        <v>0</v>
      </c>
      <c r="N805" s="25"/>
      <c r="O805" s="24">
        <v>0</v>
      </c>
      <c r="P805" s="136">
        <f>+IF(PROVEEDORES[[#This Row],[SUBTOTAL]]&lt;PROVEEDORES[[#This Row],[base retencion]],0,PROVEEDORES[[#This Row],[retención aplicada]])</f>
        <v>0</v>
      </c>
      <c r="Q805" s="24">
        <f>+PROVEEDORES[[#This Row],[Rete Fuente %]]*PROVEEDORES[[#This Row],[SUBTOTAL]]</f>
        <v>0</v>
      </c>
      <c r="R805" s="23">
        <v>-60000</v>
      </c>
      <c r="S80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5" s="99">
        <f ca="1">IF(PROVEEDORES[[#This Row],[FECHA DE PAGO]]=0,TODAY()-PROVEEDORES[[#This Row],[FECHA DE FACTURACIÓN]]-PROVEEDORES[[#This Row],[PLAZO Días]],0)</f>
        <v>0</v>
      </c>
      <c r="U805" s="149" t="str">
        <f>+VLOOKUP(PROVEEDORES[[#This Row],[PROVEEDOR]],Terceros!$A:$E,5,FALSE)</f>
        <v>2,5% con base</v>
      </c>
      <c r="V805" s="150">
        <f>+YEAR(PROVEEDORES[[#This Row],[FECHA DE FACTURACIÓN]])</f>
        <v>2021</v>
      </c>
      <c r="W805" s="150">
        <f>+MATCH(PROVEEDORES[[#This Row],[año facturado]],Retenciones!$1:$1,0)</f>
        <v>4</v>
      </c>
      <c r="X805" s="151">
        <f>+VLOOKUP(PROVEEDORES[[#This Row],[ID RETENCION]],Retenciones!$A$1:$O$24,PROVEEDORES[[#This Row],[indicador de columna]],FALSE)</f>
        <v>980000</v>
      </c>
      <c r="Y805" s="152">
        <f>+VLOOKUP(PROVEEDORES[[#This Row],[ID RETENCION]],Retenciones!$A$1:$O$24,2,FALSE)</f>
        <v>2.5000000000000001E-2</v>
      </c>
      <c r="Z805" s="26"/>
      <c r="AA805" s="26"/>
      <c r="AB805" s="26"/>
      <c r="AC805" s="26"/>
      <c r="AD805" s="26"/>
      <c r="AE805" s="26"/>
    </row>
    <row r="806" spans="1:31" ht="21.95" customHeight="1" x14ac:dyDescent="0.25">
      <c r="A806" s="97" t="str">
        <f>+IF(PROVEEDORES[[#This Row],[FECHA DE PAGO]]=PROVEEDORES[[#This Row],[FECHA DE FACTURACIÓN]],"DE CONTADO","CRÉDITO")</f>
        <v>CRÉDITO</v>
      </c>
      <c r="B806" s="41" t="str">
        <f>+IF((PROVEEDORES[[#This Row],[FECHA DE PAGO]]-PROVEEDORES[[#This Row],[FECHA DE FACTURACIÓN]])&gt;PROVEEDORES[[#This Row],[PLAZO Días]],"PAGO VENCIDO")</f>
        <v>PAGO VENCIDO</v>
      </c>
      <c r="C806" s="22">
        <f>+VLOOKUP(PROVEEDORES[[#This Row],[PROVEEDOR]],TERCEROS_INFO[#All],2,FALSE)</f>
        <v>90</v>
      </c>
      <c r="D806" s="27">
        <f>+SUMIFS(PROVEEDORES[Total],PROVEEDORES[PROVEEDOR],PROVEEDORES[[#This Row],[PROVEEDOR]],PROVEEDORES[FECHA DE PAGO],"")</f>
        <v>26364243.66155</v>
      </c>
      <c r="E806" s="27"/>
      <c r="F806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806" s="95">
        <v>44554</v>
      </c>
      <c r="H806" s="28" t="s">
        <v>12</v>
      </c>
      <c r="I806" s="95">
        <v>44462</v>
      </c>
      <c r="J806" s="38" t="s">
        <v>533</v>
      </c>
      <c r="K806" s="23">
        <v>3836134</v>
      </c>
      <c r="L806" s="23"/>
      <c r="M806" s="24">
        <v>728865.46</v>
      </c>
      <c r="N806" s="25"/>
      <c r="O806" s="24">
        <v>0</v>
      </c>
      <c r="P806" s="136">
        <f>+IF(PROVEEDORES[[#This Row],[SUBTOTAL]]&lt;PROVEEDORES[[#This Row],[base retencion]],0,PROVEEDORES[[#This Row],[retención aplicada]])</f>
        <v>2.5000000000000001E-2</v>
      </c>
      <c r="Q806" s="24">
        <f>+PROVEEDORES[[#This Row],[Rete Fuente %]]*PROVEEDORES[[#This Row],[SUBTOTAL]]</f>
        <v>95903.35</v>
      </c>
      <c r="R806" s="23">
        <v>4469096.1100000003</v>
      </c>
      <c r="S80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6" s="99">
        <f ca="1">IF(PROVEEDORES[[#This Row],[FECHA DE PAGO]]=0,TODAY()-PROVEEDORES[[#This Row],[FECHA DE FACTURACIÓN]]-PROVEEDORES[[#This Row],[PLAZO Días]],0)</f>
        <v>0</v>
      </c>
      <c r="U806" s="149" t="str">
        <f>+VLOOKUP(PROVEEDORES[[#This Row],[PROVEEDOR]],Terceros!$A:$E,5,FALSE)</f>
        <v>2,5% con base</v>
      </c>
      <c r="V806" s="150">
        <f>+YEAR(PROVEEDORES[[#This Row],[FECHA DE FACTURACIÓN]])</f>
        <v>2021</v>
      </c>
      <c r="W806" s="150">
        <f>+MATCH(PROVEEDORES[[#This Row],[año facturado]],Retenciones!$1:$1,0)</f>
        <v>4</v>
      </c>
      <c r="X806" s="151">
        <f>+VLOOKUP(PROVEEDORES[[#This Row],[ID RETENCION]],Retenciones!$A$1:$O$24,PROVEEDORES[[#This Row],[indicador de columna]],FALSE)</f>
        <v>980000</v>
      </c>
      <c r="Y806" s="152">
        <f>+VLOOKUP(PROVEEDORES[[#This Row],[ID RETENCION]],Retenciones!$A$1:$O$24,2,FALSE)</f>
        <v>2.5000000000000001E-2</v>
      </c>
      <c r="Z806" s="26"/>
      <c r="AA806" s="26"/>
      <c r="AB806" s="26"/>
      <c r="AC806" s="26"/>
      <c r="AD806" s="26"/>
      <c r="AE806" s="26"/>
    </row>
    <row r="807" spans="1:31" ht="21.95" customHeight="1" x14ac:dyDescent="0.25">
      <c r="A807" s="97" t="str">
        <f>+IF(PROVEEDORES[[#This Row],[FECHA DE PAGO]]=PROVEEDORES[[#This Row],[FECHA DE FACTURACIÓN]],"DE CONTADO","CRÉDITO")</f>
        <v>CRÉDITO</v>
      </c>
      <c r="B807" s="41" t="b">
        <f>+IF((PROVEEDORES[[#This Row],[FECHA DE PAGO]]-PROVEEDORES[[#This Row],[FECHA DE FACTURACIÓN]])&gt;PROVEEDORES[[#This Row],[PLAZO Días]],"PAGO VENCIDO")</f>
        <v>0</v>
      </c>
      <c r="C807" s="22">
        <f>+VLOOKUP(PROVEEDORES[[#This Row],[PROVEEDOR]],TERCEROS_INFO[#All],2,FALSE)</f>
        <v>90</v>
      </c>
      <c r="D807" s="27">
        <f>+SUMIFS(PROVEEDORES[Total],PROVEEDORES[PROVEEDOR],PROVEEDORES[[#This Row],[PROVEEDOR]],PROVEEDORES[FECHA DE PAGO],"")</f>
        <v>26364243.66155</v>
      </c>
      <c r="E807" s="27"/>
      <c r="F807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807" s="95">
        <v>44543</v>
      </c>
      <c r="H807" s="28" t="s">
        <v>12</v>
      </c>
      <c r="I807" s="95">
        <v>44462</v>
      </c>
      <c r="J807" s="38" t="s">
        <v>532</v>
      </c>
      <c r="K807" s="23">
        <v>5963030</v>
      </c>
      <c r="L807" s="23"/>
      <c r="M807" s="24">
        <v>1132975.7</v>
      </c>
      <c r="N807" s="25"/>
      <c r="O807" s="24">
        <v>0</v>
      </c>
      <c r="P807" s="136">
        <f>+IF(PROVEEDORES[[#This Row],[SUBTOTAL]]&lt;PROVEEDORES[[#This Row],[base retencion]],0,PROVEEDORES[[#This Row],[retención aplicada]])</f>
        <v>2.5000000000000001E-2</v>
      </c>
      <c r="Q807" s="24">
        <f>+PROVEEDORES[[#This Row],[Rete Fuente %]]*PROVEEDORES[[#This Row],[SUBTOTAL]]</f>
        <v>149075.75</v>
      </c>
      <c r="R807" s="23">
        <v>0</v>
      </c>
      <c r="S80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7" s="99">
        <f ca="1">IF(PROVEEDORES[[#This Row],[FECHA DE PAGO]]=0,TODAY()-PROVEEDORES[[#This Row],[FECHA DE FACTURACIÓN]]-PROVEEDORES[[#This Row],[PLAZO Días]],0)</f>
        <v>0</v>
      </c>
      <c r="U807" s="149" t="str">
        <f>+VLOOKUP(PROVEEDORES[[#This Row],[PROVEEDOR]],Terceros!$A:$E,5,FALSE)</f>
        <v>2,5% con base</v>
      </c>
      <c r="V807" s="150">
        <f>+YEAR(PROVEEDORES[[#This Row],[FECHA DE FACTURACIÓN]])</f>
        <v>2021</v>
      </c>
      <c r="W807" s="150">
        <f>+MATCH(PROVEEDORES[[#This Row],[año facturado]],Retenciones!$1:$1,0)</f>
        <v>4</v>
      </c>
      <c r="X807" s="151">
        <f>+VLOOKUP(PROVEEDORES[[#This Row],[ID RETENCION]],Retenciones!$A$1:$O$24,PROVEEDORES[[#This Row],[indicador de columna]],FALSE)</f>
        <v>980000</v>
      </c>
      <c r="Y807" s="152">
        <f>+VLOOKUP(PROVEEDORES[[#This Row],[ID RETENCION]],Retenciones!$A$1:$O$24,2,FALSE)</f>
        <v>2.5000000000000001E-2</v>
      </c>
      <c r="Z807" s="26"/>
      <c r="AA807" s="26"/>
      <c r="AB807" s="26"/>
      <c r="AC807" s="26"/>
      <c r="AD807" s="26"/>
      <c r="AE807" s="26"/>
    </row>
    <row r="808" spans="1:31" ht="21.95" customHeight="1" x14ac:dyDescent="0.25">
      <c r="A808" s="97" t="str">
        <f>+IF(PROVEEDORES[[#This Row],[FECHA DE PAGO]]=PROVEEDORES[[#This Row],[FECHA DE FACTURACIÓN]],"DE CONTADO","CRÉDITO")</f>
        <v>CRÉDITO</v>
      </c>
      <c r="B808" s="41" t="str">
        <f>+IF((PROVEEDORES[[#This Row],[FECHA DE PAGO]]-PROVEEDORES[[#This Row],[FECHA DE FACTURACIÓN]])&gt;PROVEEDORES[[#This Row],[PLAZO Días]],"PAGO VENCIDO")</f>
        <v>PAGO VENCIDO</v>
      </c>
      <c r="C808" s="22">
        <f>+VLOOKUP(PROVEEDORES[[#This Row],[PROVEEDOR]],TERCEROS_INFO[#All],2,FALSE)</f>
        <v>30</v>
      </c>
      <c r="D808" s="27">
        <f>+SUMIFS(PROVEEDORES[Total],PROVEEDORES[PROVEEDOR],PROVEEDORES[[#This Row],[PROVEEDOR]],PROVEEDORES[FECHA DE PAGO],"")</f>
        <v>4965738.5050000008</v>
      </c>
      <c r="E808" s="27"/>
      <c r="F808" s="62" t="str">
        <f>+VLOOKUP(PROVEEDORES[[#This Row],[PROVEEDOR]],
                       Terceros!$A:$G,
                       6,
                       FALSE)</f>
        <v>aleja-1305agudelo@hotmail.com;provecol@une.net.co;girlesa.ruiz@servipilas.com;joriescobar64@gmail.com</v>
      </c>
      <c r="G808" s="95">
        <v>44498</v>
      </c>
      <c r="H808" s="28" t="s">
        <v>457</v>
      </c>
      <c r="I808" s="95">
        <v>44464</v>
      </c>
      <c r="J808" s="38">
        <v>141124</v>
      </c>
      <c r="K808" s="23">
        <v>1048754</v>
      </c>
      <c r="L808" s="23"/>
      <c r="M808" s="24">
        <v>199263.26</v>
      </c>
      <c r="N808" s="25"/>
      <c r="O808" s="24">
        <v>0</v>
      </c>
      <c r="P808" s="136">
        <f>+IF(PROVEEDORES[[#This Row],[SUBTOTAL]]&lt;PROVEEDORES[[#This Row],[base retencion]],0,PROVEEDORES[[#This Row],[retención aplicada]])</f>
        <v>0</v>
      </c>
      <c r="Q808" s="24">
        <f>+PROVEEDORES[[#This Row],[Rete Fuente %]]*PROVEEDORES[[#This Row],[SUBTOTAL]]</f>
        <v>0</v>
      </c>
      <c r="R808" s="23">
        <v>1248017.26</v>
      </c>
      <c r="S80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8" s="99">
        <f ca="1">IF(PROVEEDORES[[#This Row],[FECHA DE PAGO]]=0,TODAY()-PROVEEDORES[[#This Row],[FECHA DE FACTURACIÓN]]-PROVEEDORES[[#This Row],[PLAZO Días]],0)</f>
        <v>0</v>
      </c>
      <c r="U808" s="149">
        <f>+VLOOKUP(PROVEEDORES[[#This Row],[PROVEEDOR]],Terceros!$A:$E,5,FALSE)</f>
        <v>0</v>
      </c>
      <c r="V808" s="150">
        <f>+YEAR(PROVEEDORES[[#This Row],[FECHA DE FACTURACIÓN]])</f>
        <v>2021</v>
      </c>
      <c r="W808" s="150">
        <f>+MATCH(PROVEEDORES[[#This Row],[año facturado]],Retenciones!$1:$1,0)</f>
        <v>4</v>
      </c>
      <c r="X808" s="151">
        <f>+VLOOKUP(PROVEEDORES[[#This Row],[ID RETENCION]],Retenciones!$A$1:$O$24,PROVEEDORES[[#This Row],[indicador de columna]],FALSE)</f>
        <v>0</v>
      </c>
      <c r="Y808" s="152">
        <f>+VLOOKUP(PROVEEDORES[[#This Row],[ID RETENCION]],Retenciones!$A$1:$O$24,2,FALSE)</f>
        <v>0</v>
      </c>
      <c r="Z808" s="26"/>
      <c r="AA808" s="26"/>
      <c r="AB808" s="26"/>
      <c r="AC808" s="26"/>
      <c r="AD808" s="26"/>
      <c r="AE808" s="26"/>
    </row>
    <row r="809" spans="1:31" ht="21.95" customHeight="1" x14ac:dyDescent="0.25">
      <c r="A809" s="97" t="str">
        <f>+IF(PROVEEDORES[[#This Row],[FECHA DE PAGO]]=PROVEEDORES[[#This Row],[FECHA DE FACTURACIÓN]],"DE CONTADO","CRÉDITO")</f>
        <v>CRÉDITO</v>
      </c>
      <c r="B809" s="41" t="b">
        <f>+IF((PROVEEDORES[[#This Row],[FECHA DE PAGO]]-PROVEEDORES[[#This Row],[FECHA DE FACTURACIÓN]])&gt;PROVEEDORES[[#This Row],[PLAZO Días]],"PAGO VENCIDO")</f>
        <v>0</v>
      </c>
      <c r="C809" s="22">
        <f>+VLOOKUP(PROVEEDORES[[#This Row],[PROVEEDOR]],TERCEROS_INFO[#All],2,FALSE)</f>
        <v>30</v>
      </c>
      <c r="D809" s="27">
        <f>+SUMIFS(PROVEEDORES[Total],PROVEEDORES[PROVEEDOR],PROVEEDORES[[#This Row],[PROVEEDOR]],PROVEEDORES[FECHA DE PAGO],"")</f>
        <v>195500</v>
      </c>
      <c r="E809" s="27"/>
      <c r="F809" s="62" t="str">
        <f>+VLOOKUP(PROVEEDORES[[#This Row],[PROVEEDOR]],
                       Terceros!$A:$G,
                       6,
                       FALSE)</f>
        <v/>
      </c>
      <c r="G809" s="95">
        <v>44484</v>
      </c>
      <c r="H809" s="28" t="s">
        <v>1047</v>
      </c>
      <c r="I809" s="95">
        <v>44466</v>
      </c>
      <c r="J809" s="38" t="s">
        <v>831</v>
      </c>
      <c r="K809" s="23">
        <v>1217933</v>
      </c>
      <c r="L809" s="23"/>
      <c r="M809" s="24">
        <v>0</v>
      </c>
      <c r="N809" s="25"/>
      <c r="O809" s="24">
        <v>0</v>
      </c>
      <c r="P809" s="136">
        <f>+IF(PROVEEDORES[[#This Row],[SUBTOTAL]]&lt;PROVEEDORES[[#This Row],[base retencion]],0,PROVEEDORES[[#This Row],[retención aplicada]])</f>
        <v>0</v>
      </c>
      <c r="Q809" s="24">
        <f>+PROVEEDORES[[#This Row],[Rete Fuente %]]*PROVEEDORES[[#This Row],[SUBTOTAL]]</f>
        <v>0</v>
      </c>
      <c r="R809" s="23">
        <v>1217933</v>
      </c>
      <c r="S80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9" s="99">
        <f ca="1">IF(PROVEEDORES[[#This Row],[FECHA DE PAGO]]=0,TODAY()-PROVEEDORES[[#This Row],[FECHA DE FACTURACIÓN]]-PROVEEDORES[[#This Row],[PLAZO Días]],0)</f>
        <v>0</v>
      </c>
      <c r="U809" s="149">
        <f>+VLOOKUP(PROVEEDORES[[#This Row],[PROVEEDOR]],Terceros!$A:$E,5,FALSE)</f>
        <v>0</v>
      </c>
      <c r="V809" s="150">
        <f>+YEAR(PROVEEDORES[[#This Row],[FECHA DE FACTURACIÓN]])</f>
        <v>2021</v>
      </c>
      <c r="W809" s="150">
        <f>+MATCH(PROVEEDORES[[#This Row],[año facturado]],Retenciones!$1:$1,0)</f>
        <v>4</v>
      </c>
      <c r="X809" s="151">
        <f>+VLOOKUP(PROVEEDORES[[#This Row],[ID RETENCION]],Retenciones!$A$1:$O$24,PROVEEDORES[[#This Row],[indicador de columna]],FALSE)</f>
        <v>0</v>
      </c>
      <c r="Y809" s="152">
        <f>+VLOOKUP(PROVEEDORES[[#This Row],[ID RETENCION]],Retenciones!$A$1:$O$24,2,FALSE)</f>
        <v>0</v>
      </c>
      <c r="Z809" s="26"/>
      <c r="AA809" s="26"/>
      <c r="AB809" s="26"/>
      <c r="AC809" s="26"/>
      <c r="AD809" s="26"/>
      <c r="AE809" s="26"/>
    </row>
    <row r="810" spans="1:31" ht="21.95" customHeight="1" x14ac:dyDescent="0.25">
      <c r="A810" s="97" t="str">
        <f>+IF(PROVEEDORES[[#This Row],[FECHA DE PAGO]]=PROVEEDORES[[#This Row],[FECHA DE FACTURACIÓN]],"DE CONTADO","CRÉDITO")</f>
        <v>CRÉDITO</v>
      </c>
      <c r="B810" s="41" t="str">
        <f>+IF((PROVEEDORES[[#This Row],[FECHA DE PAGO]]-PROVEEDORES[[#This Row],[FECHA DE FACTURACIÓN]])&gt;PROVEEDORES[[#This Row],[PLAZO Días]],"PAGO VENCIDO")</f>
        <v>PAGO VENCIDO</v>
      </c>
      <c r="C810" s="22">
        <f>+VLOOKUP(PROVEEDORES[[#This Row],[PROVEEDOR]],TERCEROS_INFO[#All],2,FALSE)</f>
        <v>30</v>
      </c>
      <c r="D810" s="27">
        <f>+SUMIFS(PROVEEDORES[Total],PROVEEDORES[PROVEEDOR],PROVEEDORES[[#This Row],[PROVEEDOR]],PROVEEDORES[FECHA DE PAGO],"")</f>
        <v>4641412.7745000003</v>
      </c>
      <c r="E810" s="27"/>
      <c r="F810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810" s="95">
        <v>44517</v>
      </c>
      <c r="H810" s="28" t="s">
        <v>20</v>
      </c>
      <c r="I810" s="95">
        <v>44467</v>
      </c>
      <c r="J810" s="38">
        <v>5196</v>
      </c>
      <c r="K810" s="23">
        <v>1014100</v>
      </c>
      <c r="L810" s="23"/>
      <c r="M810" s="24">
        <v>192679</v>
      </c>
      <c r="N810" s="25"/>
      <c r="O810" s="24">
        <v>0</v>
      </c>
      <c r="P810" s="136">
        <f>+IF(PROVEEDORES[[#This Row],[SUBTOTAL]]&lt;PROVEEDORES[[#This Row],[base retencion]],0,PROVEEDORES[[#This Row],[retención aplicada]])</f>
        <v>2.5000000000000001E-2</v>
      </c>
      <c r="Q810" s="24">
        <f>+PROVEEDORES[[#This Row],[Rete Fuente %]]*PROVEEDORES[[#This Row],[SUBTOTAL]]</f>
        <v>25352.5</v>
      </c>
      <c r="R810" s="23">
        <v>1181426.5</v>
      </c>
      <c r="S81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0" s="99">
        <f ca="1">IF(PROVEEDORES[[#This Row],[FECHA DE PAGO]]=0,TODAY()-PROVEEDORES[[#This Row],[FECHA DE FACTURACIÓN]]-PROVEEDORES[[#This Row],[PLAZO Días]],0)</f>
        <v>0</v>
      </c>
      <c r="U810" s="149" t="str">
        <f>+VLOOKUP(PROVEEDORES[[#This Row],[PROVEEDOR]],Terceros!$A:$E,5,FALSE)</f>
        <v>2,5% con base</v>
      </c>
      <c r="V810" s="150">
        <f>+YEAR(PROVEEDORES[[#This Row],[FECHA DE FACTURACIÓN]])</f>
        <v>2021</v>
      </c>
      <c r="W810" s="150">
        <f>+MATCH(PROVEEDORES[[#This Row],[año facturado]],Retenciones!$1:$1,0)</f>
        <v>4</v>
      </c>
      <c r="X810" s="151">
        <f>+VLOOKUP(PROVEEDORES[[#This Row],[ID RETENCION]],Retenciones!$A$1:$O$24,PROVEEDORES[[#This Row],[indicador de columna]],FALSE)</f>
        <v>980000</v>
      </c>
      <c r="Y810" s="152">
        <f>+VLOOKUP(PROVEEDORES[[#This Row],[ID RETENCION]],Retenciones!$A$1:$O$24,2,FALSE)</f>
        <v>2.5000000000000001E-2</v>
      </c>
      <c r="Z810" s="26"/>
      <c r="AA810" s="26"/>
      <c r="AB810" s="26"/>
      <c r="AC810" s="26"/>
      <c r="AD810" s="26"/>
      <c r="AE810" s="26"/>
    </row>
    <row r="811" spans="1:31" ht="21.95" customHeight="1" x14ac:dyDescent="0.25">
      <c r="A811" s="97" t="str">
        <f>+IF(PROVEEDORES[[#This Row],[FECHA DE PAGO]]=PROVEEDORES[[#This Row],[FECHA DE FACTURACIÓN]],"DE CONTADO","CRÉDITO")</f>
        <v>CRÉDITO</v>
      </c>
      <c r="B811" s="41" t="str">
        <f>+IF((PROVEEDORES[[#This Row],[FECHA DE PAGO]]-PROVEEDORES[[#This Row],[FECHA DE FACTURACIÓN]])&gt;PROVEEDORES[[#This Row],[PLAZO Días]],"PAGO VENCIDO")</f>
        <v>PAGO VENCIDO</v>
      </c>
      <c r="C811" s="22">
        <f>+VLOOKUP(PROVEEDORES[[#This Row],[PROVEEDOR]],TERCEROS_INFO[#All],2,FALSE)</f>
        <v>30</v>
      </c>
      <c r="D811" s="27">
        <f>+SUMIFS(PROVEEDORES[Total],PROVEEDORES[PROVEEDOR],PROVEEDORES[[#This Row],[PROVEEDOR]],PROVEEDORES[FECHA DE PAGO],"")</f>
        <v>3844432.4999000002</v>
      </c>
      <c r="E811" s="27"/>
      <c r="F811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811" s="95">
        <v>44517</v>
      </c>
      <c r="H811" s="28" t="s">
        <v>18</v>
      </c>
      <c r="I811" s="95">
        <v>44467</v>
      </c>
      <c r="J811" s="38">
        <v>1043661</v>
      </c>
      <c r="K811" s="23">
        <v>1593286.4</v>
      </c>
      <c r="L811" s="23"/>
      <c r="M811" s="24">
        <v>302724.41599999997</v>
      </c>
      <c r="N811" s="25"/>
      <c r="O811" s="24">
        <v>0</v>
      </c>
      <c r="P811" s="136">
        <f>+IF(PROVEEDORES[[#This Row],[SUBTOTAL]]&lt;PROVEEDORES[[#This Row],[base retencion]],0,PROVEEDORES[[#This Row],[retención aplicada]])</f>
        <v>2.5000000000000001E-2</v>
      </c>
      <c r="Q811" s="24">
        <f>+PROVEEDORES[[#This Row],[Rete Fuente %]]*PROVEEDORES[[#This Row],[SUBTOTAL]]</f>
        <v>39832.160000000003</v>
      </c>
      <c r="R811" s="23">
        <v>1856178.656</v>
      </c>
      <c r="S81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1" s="99">
        <f ca="1">IF(PROVEEDORES[[#This Row],[FECHA DE PAGO]]=0,TODAY()-PROVEEDORES[[#This Row],[FECHA DE FACTURACIÓN]]-PROVEEDORES[[#This Row],[PLAZO Días]],0)</f>
        <v>0</v>
      </c>
      <c r="U811" s="149" t="str">
        <f>+VLOOKUP(PROVEEDORES[[#This Row],[PROVEEDOR]],Terceros!$A:$E,5,FALSE)</f>
        <v>2,5% con base</v>
      </c>
      <c r="V811" s="150">
        <f>+YEAR(PROVEEDORES[[#This Row],[FECHA DE FACTURACIÓN]])</f>
        <v>2021</v>
      </c>
      <c r="W811" s="150">
        <f>+MATCH(PROVEEDORES[[#This Row],[año facturado]],Retenciones!$1:$1,0)</f>
        <v>4</v>
      </c>
      <c r="X811" s="151">
        <f>+VLOOKUP(PROVEEDORES[[#This Row],[ID RETENCION]],Retenciones!$A$1:$O$24,PROVEEDORES[[#This Row],[indicador de columna]],FALSE)</f>
        <v>980000</v>
      </c>
      <c r="Y811" s="152">
        <f>+VLOOKUP(PROVEEDORES[[#This Row],[ID RETENCION]],Retenciones!$A$1:$O$24,2,FALSE)</f>
        <v>2.5000000000000001E-2</v>
      </c>
      <c r="Z811" s="26"/>
      <c r="AA811" s="26"/>
      <c r="AB811" s="26"/>
      <c r="AC811" s="26"/>
      <c r="AD811" s="26"/>
      <c r="AE811" s="26"/>
    </row>
    <row r="812" spans="1:31" ht="21.95" customHeight="1" x14ac:dyDescent="0.25">
      <c r="A812" s="97" t="str">
        <f>+IF(PROVEEDORES[[#This Row],[FECHA DE PAGO]]=PROVEEDORES[[#This Row],[FECHA DE FACTURACIÓN]],"DE CONTADO","CRÉDITO")</f>
        <v>CRÉDITO</v>
      </c>
      <c r="B812" s="41" t="b">
        <f>+IF((PROVEEDORES[[#This Row],[FECHA DE PAGO]]-PROVEEDORES[[#This Row],[FECHA DE FACTURACIÓN]])&gt;PROVEEDORES[[#This Row],[PLAZO Días]],"PAGO VENCIDO")</f>
        <v>0</v>
      </c>
      <c r="C812" s="22">
        <f>+VLOOKUP(PROVEEDORES[[#This Row],[PROVEEDOR]],TERCEROS_INFO[#All],2,FALSE)</f>
        <v>30</v>
      </c>
      <c r="D812" s="27">
        <f>+SUMIFS(PROVEEDORES[Total],PROVEEDORES[PROVEEDOR],PROVEEDORES[[#This Row],[PROVEEDOR]],PROVEEDORES[FECHA DE PAGO],"")</f>
        <v>0</v>
      </c>
      <c r="E812" s="27"/>
      <c r="F812" s="62" t="str">
        <f>+VLOOKUP(PROVEEDORES[[#This Row],[PROVEEDOR]],
                       Terceros!$A:$G,
                       6,
                       FALSE)</f>
        <v/>
      </c>
      <c r="G812" s="95">
        <v>44468</v>
      </c>
      <c r="H812" s="28" t="s">
        <v>1001</v>
      </c>
      <c r="I812" s="95">
        <v>44467</v>
      </c>
      <c r="J812" s="38" t="s">
        <v>833</v>
      </c>
      <c r="K812" s="23">
        <v>2029404</v>
      </c>
      <c r="L812" s="23"/>
      <c r="M812" s="24">
        <v>0</v>
      </c>
      <c r="N812" s="25"/>
      <c r="O812" s="24">
        <v>0</v>
      </c>
      <c r="P812" s="136">
        <f>+IF(PROVEEDORES[[#This Row],[SUBTOTAL]]&lt;PROVEEDORES[[#This Row],[base retencion]],0,PROVEEDORES[[#This Row],[retención aplicada]])</f>
        <v>0</v>
      </c>
      <c r="Q812" s="24">
        <f>+PROVEEDORES[[#This Row],[Rete Fuente %]]*PROVEEDORES[[#This Row],[SUBTOTAL]]</f>
        <v>0</v>
      </c>
      <c r="R812" s="23">
        <v>2029404</v>
      </c>
      <c r="S81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2" s="99">
        <f ca="1">IF(PROVEEDORES[[#This Row],[FECHA DE PAGO]]=0,TODAY()-PROVEEDORES[[#This Row],[FECHA DE FACTURACIÓN]]-PROVEEDORES[[#This Row],[PLAZO Días]],0)</f>
        <v>0</v>
      </c>
      <c r="U812" s="149">
        <f>+VLOOKUP(PROVEEDORES[[#This Row],[PROVEEDOR]],Terceros!$A:$E,5,FALSE)</f>
        <v>0</v>
      </c>
      <c r="V812" s="150">
        <f>+YEAR(PROVEEDORES[[#This Row],[FECHA DE FACTURACIÓN]])</f>
        <v>2021</v>
      </c>
      <c r="W812" s="150">
        <f>+MATCH(PROVEEDORES[[#This Row],[año facturado]],Retenciones!$1:$1,0)</f>
        <v>4</v>
      </c>
      <c r="X812" s="151">
        <f>+VLOOKUP(PROVEEDORES[[#This Row],[ID RETENCION]],Retenciones!$A$1:$O$24,PROVEEDORES[[#This Row],[indicador de columna]],FALSE)</f>
        <v>0</v>
      </c>
      <c r="Y812" s="152">
        <f>+VLOOKUP(PROVEEDORES[[#This Row],[ID RETENCION]],Retenciones!$A$1:$O$24,2,FALSE)</f>
        <v>0</v>
      </c>
      <c r="Z812" s="26"/>
      <c r="AA812" s="26"/>
      <c r="AB812" s="26"/>
      <c r="AC812" s="26"/>
      <c r="AD812" s="26"/>
      <c r="AE812" s="26"/>
    </row>
    <row r="813" spans="1:31" ht="21.95" customHeight="1" x14ac:dyDescent="0.25">
      <c r="A813" s="97" t="str">
        <f>+IF(PROVEEDORES[[#This Row],[FECHA DE PAGO]]=PROVEEDORES[[#This Row],[FECHA DE FACTURACIÓN]],"DE CONTADO","CRÉDITO")</f>
        <v>CRÉDITO</v>
      </c>
      <c r="B813" s="41" t="str">
        <f>+IF((PROVEEDORES[[#This Row],[FECHA DE PAGO]]-PROVEEDORES[[#This Row],[FECHA DE FACTURACIÓN]])&gt;PROVEEDORES[[#This Row],[PLAZO Días]],"PAGO VENCIDO")</f>
        <v>PAGO VENCIDO</v>
      </c>
      <c r="C813" s="22">
        <f>+VLOOKUP(PROVEEDORES[[#This Row],[PROVEEDOR]],TERCEROS_INFO[#All],2,FALSE)</f>
        <v>30</v>
      </c>
      <c r="D813" s="27">
        <f>+SUMIFS(PROVEEDORES[Total],PROVEEDORES[PROVEEDOR],PROVEEDORES[[#This Row],[PROVEEDOR]],PROVEEDORES[FECHA DE PAGO],"")</f>
        <v>3750700</v>
      </c>
      <c r="E813" s="27"/>
      <c r="F813" s="62" t="str">
        <f>+VLOOKUP(PROVEEDORES[[#This Row],[PROVEEDOR]],
                       Terceros!$A:$G,
                       6,
                       FALSE)</f>
        <v/>
      </c>
      <c r="G813" s="95">
        <v>44509</v>
      </c>
      <c r="H813" s="28" t="s">
        <v>990</v>
      </c>
      <c r="I813" s="95">
        <v>44467</v>
      </c>
      <c r="J813" s="38" t="s">
        <v>832</v>
      </c>
      <c r="K813" s="23">
        <v>2408000</v>
      </c>
      <c r="L813" s="23"/>
      <c r="M813" s="24">
        <v>0</v>
      </c>
      <c r="N813" s="25"/>
      <c r="O813" s="24">
        <v>0</v>
      </c>
      <c r="P813" s="136">
        <f>+IF(PROVEEDORES[[#This Row],[SUBTOTAL]]&lt;PROVEEDORES[[#This Row],[base retencion]],0,PROVEEDORES[[#This Row],[retención aplicada]])</f>
        <v>0</v>
      </c>
      <c r="Q813" s="24">
        <f>+PROVEEDORES[[#This Row],[Rete Fuente %]]*PROVEEDORES[[#This Row],[SUBTOTAL]]</f>
        <v>0</v>
      </c>
      <c r="R813" s="23">
        <v>2408000</v>
      </c>
      <c r="S81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3" s="99">
        <f ca="1">IF(PROVEEDORES[[#This Row],[FECHA DE PAGO]]=0,TODAY()-PROVEEDORES[[#This Row],[FECHA DE FACTURACIÓN]]-PROVEEDORES[[#This Row],[PLAZO Días]],0)</f>
        <v>0</v>
      </c>
      <c r="U813" s="149">
        <f>+VLOOKUP(PROVEEDORES[[#This Row],[PROVEEDOR]],Terceros!$A:$E,5,FALSE)</f>
        <v>0</v>
      </c>
      <c r="V813" s="150">
        <f>+YEAR(PROVEEDORES[[#This Row],[FECHA DE FACTURACIÓN]])</f>
        <v>2021</v>
      </c>
      <c r="W813" s="150">
        <f>+MATCH(PROVEEDORES[[#This Row],[año facturado]],Retenciones!$1:$1,0)</f>
        <v>4</v>
      </c>
      <c r="X813" s="151">
        <f>+VLOOKUP(PROVEEDORES[[#This Row],[ID RETENCION]],Retenciones!$A$1:$O$24,PROVEEDORES[[#This Row],[indicador de columna]],FALSE)</f>
        <v>0</v>
      </c>
      <c r="Y813" s="152">
        <f>+VLOOKUP(PROVEEDORES[[#This Row],[ID RETENCION]],Retenciones!$A$1:$O$24,2,FALSE)</f>
        <v>0</v>
      </c>
      <c r="Z813" s="26"/>
      <c r="AA813" s="26"/>
      <c r="AB813" s="26"/>
      <c r="AC813" s="26"/>
      <c r="AD813" s="26"/>
      <c r="AE813" s="26"/>
    </row>
    <row r="814" spans="1:31" ht="21.95" customHeight="1" x14ac:dyDescent="0.25">
      <c r="A814" s="97" t="str">
        <f>+IF(PROVEEDORES[[#This Row],[FECHA DE PAGO]]=PROVEEDORES[[#This Row],[FECHA DE FACTURACIÓN]],"DE CONTADO","CRÉDITO")</f>
        <v>CRÉDITO</v>
      </c>
      <c r="B814" s="41" t="b">
        <f>+IF((PROVEEDORES[[#This Row],[FECHA DE PAGO]]-PROVEEDORES[[#This Row],[FECHA DE FACTURACIÓN]])&gt;PROVEEDORES[[#This Row],[PLAZO Días]],"PAGO VENCIDO")</f>
        <v>0</v>
      </c>
      <c r="C814" s="22">
        <f>+VLOOKUP(PROVEEDORES[[#This Row],[PROVEEDOR]],TERCEROS_INFO[#All],2,FALSE)</f>
        <v>30</v>
      </c>
      <c r="D814" s="27">
        <f>+SUMIFS(PROVEEDORES[Total],PROVEEDORES[PROVEEDOR],PROVEEDORES[[#This Row],[PROVEEDOR]],PROVEEDORES[FECHA DE PAGO],"")</f>
        <v>264406</v>
      </c>
      <c r="E814" s="27"/>
      <c r="F814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814" s="95">
        <v>44476</v>
      </c>
      <c r="H814" s="28" t="s">
        <v>390</v>
      </c>
      <c r="I814" s="95">
        <v>44468</v>
      </c>
      <c r="J814" s="38" t="s">
        <v>535</v>
      </c>
      <c r="K814" s="23">
        <v>1628.52</v>
      </c>
      <c r="L814" s="23"/>
      <c r="M814" s="24">
        <v>0</v>
      </c>
      <c r="N814" s="25"/>
      <c r="O814" s="24">
        <v>0</v>
      </c>
      <c r="P814" s="136">
        <f>+IF(PROVEEDORES[[#This Row],[SUBTOTAL]]&lt;PROVEEDORES[[#This Row],[base retencion]],0,PROVEEDORES[[#This Row],[retención aplicada]])</f>
        <v>0</v>
      </c>
      <c r="Q814" s="24">
        <f>+PROVEEDORES[[#This Row],[Rete Fuente %]]*PROVEEDORES[[#This Row],[SUBTOTAL]]</f>
        <v>0</v>
      </c>
      <c r="R814" s="23">
        <v>1628.52</v>
      </c>
      <c r="S81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4" s="99">
        <f ca="1">IF(PROVEEDORES[[#This Row],[FECHA DE PAGO]]=0,TODAY()-PROVEEDORES[[#This Row],[FECHA DE FACTURACIÓN]]-PROVEEDORES[[#This Row],[PLAZO Días]],0)</f>
        <v>0</v>
      </c>
      <c r="U814" s="149">
        <f>+VLOOKUP(PROVEEDORES[[#This Row],[PROVEEDOR]],Terceros!$A:$E,5,FALSE)</f>
        <v>0</v>
      </c>
      <c r="V814" s="150">
        <f>+YEAR(PROVEEDORES[[#This Row],[FECHA DE FACTURACIÓN]])</f>
        <v>2021</v>
      </c>
      <c r="W814" s="150">
        <f>+MATCH(PROVEEDORES[[#This Row],[año facturado]],Retenciones!$1:$1,0)</f>
        <v>4</v>
      </c>
      <c r="X814" s="151">
        <f>+VLOOKUP(PROVEEDORES[[#This Row],[ID RETENCION]],Retenciones!$A$1:$O$24,PROVEEDORES[[#This Row],[indicador de columna]],FALSE)</f>
        <v>0</v>
      </c>
      <c r="Y814" s="152">
        <f>+VLOOKUP(PROVEEDORES[[#This Row],[ID RETENCION]],Retenciones!$A$1:$O$24,2,FALSE)</f>
        <v>0</v>
      </c>
      <c r="Z814" s="26"/>
      <c r="AA814" s="26"/>
      <c r="AB814" s="26"/>
      <c r="AC814" s="26"/>
      <c r="AD814" s="26"/>
      <c r="AE814" s="26"/>
    </row>
    <row r="815" spans="1:31" ht="21.95" customHeight="1" x14ac:dyDescent="0.25">
      <c r="A815" s="97" t="str">
        <f>+IF(PROVEEDORES[[#This Row],[FECHA DE PAGO]]=PROVEEDORES[[#This Row],[FECHA DE FACTURACIÓN]],"DE CONTADO","CRÉDITO")</f>
        <v>CRÉDITO</v>
      </c>
      <c r="B815" s="41" t="b">
        <f>+IF((PROVEEDORES[[#This Row],[FECHA DE PAGO]]-PROVEEDORES[[#This Row],[FECHA DE FACTURACIÓN]])&gt;PROVEEDORES[[#This Row],[PLAZO Días]],"PAGO VENCIDO")</f>
        <v>0</v>
      </c>
      <c r="C815" s="22">
        <f>+VLOOKUP(PROVEEDORES[[#This Row],[PROVEEDOR]],TERCEROS_INFO[#All],2,FALSE)</f>
        <v>30</v>
      </c>
      <c r="D815" s="27">
        <f>+SUMIFS(PROVEEDORES[Total],PROVEEDORES[PROVEEDOR],PROVEEDORES[[#This Row],[PROVEEDOR]],PROVEEDORES[FECHA DE PAGO],"")</f>
        <v>264406</v>
      </c>
      <c r="E815" s="27"/>
      <c r="F815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815" s="95">
        <v>44476</v>
      </c>
      <c r="H815" s="28" t="s">
        <v>390</v>
      </c>
      <c r="I815" s="95">
        <v>44468</v>
      </c>
      <c r="J815" s="38" t="s">
        <v>534</v>
      </c>
      <c r="K815" s="23">
        <v>4297</v>
      </c>
      <c r="L815" s="23"/>
      <c r="M815" s="24">
        <v>0</v>
      </c>
      <c r="N815" s="25"/>
      <c r="O815" s="24">
        <v>0</v>
      </c>
      <c r="P815" s="136">
        <f>+IF(PROVEEDORES[[#This Row],[SUBTOTAL]]&lt;PROVEEDORES[[#This Row],[base retencion]],0,PROVEEDORES[[#This Row],[retención aplicada]])</f>
        <v>0</v>
      </c>
      <c r="Q815" s="24">
        <f>+PROVEEDORES[[#This Row],[Rete Fuente %]]*PROVEEDORES[[#This Row],[SUBTOTAL]]</f>
        <v>0</v>
      </c>
      <c r="R815" s="23">
        <v>4297</v>
      </c>
      <c r="S81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5" s="99">
        <f ca="1">IF(PROVEEDORES[[#This Row],[FECHA DE PAGO]]=0,TODAY()-PROVEEDORES[[#This Row],[FECHA DE FACTURACIÓN]]-PROVEEDORES[[#This Row],[PLAZO Días]],0)</f>
        <v>0</v>
      </c>
      <c r="U815" s="149">
        <f>+VLOOKUP(PROVEEDORES[[#This Row],[PROVEEDOR]],Terceros!$A:$E,5,FALSE)</f>
        <v>0</v>
      </c>
      <c r="V815" s="150">
        <f>+YEAR(PROVEEDORES[[#This Row],[FECHA DE FACTURACIÓN]])</f>
        <v>2021</v>
      </c>
      <c r="W815" s="150">
        <f>+MATCH(PROVEEDORES[[#This Row],[año facturado]],Retenciones!$1:$1,0)</f>
        <v>4</v>
      </c>
      <c r="X815" s="151">
        <f>+VLOOKUP(PROVEEDORES[[#This Row],[ID RETENCION]],Retenciones!$A$1:$O$24,PROVEEDORES[[#This Row],[indicador de columna]],FALSE)</f>
        <v>0</v>
      </c>
      <c r="Y815" s="152">
        <f>+VLOOKUP(PROVEEDORES[[#This Row],[ID RETENCION]],Retenciones!$A$1:$O$24,2,FALSE)</f>
        <v>0</v>
      </c>
      <c r="Z815" s="26"/>
      <c r="AA815" s="26"/>
      <c r="AB815" s="26"/>
      <c r="AC815" s="26"/>
      <c r="AD815" s="26"/>
      <c r="AE815" s="26"/>
    </row>
    <row r="816" spans="1:31" ht="21.95" customHeight="1" x14ac:dyDescent="0.25">
      <c r="A816" s="97" t="str">
        <f>+IF(PROVEEDORES[[#This Row],[FECHA DE PAGO]]=PROVEEDORES[[#This Row],[FECHA DE FACTURACIÓN]],"DE CONTADO","CRÉDITO")</f>
        <v>DE CONTADO</v>
      </c>
      <c r="B816" s="41" t="b">
        <f>+IF((PROVEEDORES[[#This Row],[FECHA DE PAGO]]-PROVEEDORES[[#This Row],[FECHA DE FACTURACIÓN]])&gt;PROVEEDORES[[#This Row],[PLAZO Días]],"PAGO VENCIDO")</f>
        <v>0</v>
      </c>
      <c r="C816" s="22">
        <f>+VLOOKUP(PROVEEDORES[[#This Row],[PROVEEDOR]],TERCEROS_INFO[#All],2,FALSE)</f>
        <v>30</v>
      </c>
      <c r="D816" s="27">
        <f>+SUMIFS(PROVEEDORES[Total],PROVEEDORES[PROVEEDOR],PROVEEDORES[[#This Row],[PROVEEDOR]],PROVEEDORES[FECHA DE PAGO],"")</f>
        <v>0</v>
      </c>
      <c r="E816" s="27"/>
      <c r="F816" s="62" t="str">
        <f>+VLOOKUP(PROVEEDORES[[#This Row],[PROVEEDOR]],
                       Terceros!$A:$G,
                       6,
                       FALSE)</f>
        <v/>
      </c>
      <c r="G816" s="95">
        <v>44469</v>
      </c>
      <c r="H816" s="28" t="s">
        <v>1010</v>
      </c>
      <c r="I816" s="95">
        <v>44469</v>
      </c>
      <c r="J816" s="38" t="s">
        <v>834</v>
      </c>
      <c r="K816" s="23">
        <v>93000</v>
      </c>
      <c r="L816" s="23"/>
      <c r="M816" s="24">
        <v>0</v>
      </c>
      <c r="N816" s="25"/>
      <c r="O816" s="24">
        <v>0</v>
      </c>
      <c r="P816" s="136">
        <f>+IF(PROVEEDORES[[#This Row],[SUBTOTAL]]&lt;PROVEEDORES[[#This Row],[base retencion]],0,PROVEEDORES[[#This Row],[retención aplicada]])</f>
        <v>0</v>
      </c>
      <c r="Q816" s="24">
        <f>+PROVEEDORES[[#This Row],[Rete Fuente %]]*PROVEEDORES[[#This Row],[SUBTOTAL]]</f>
        <v>0</v>
      </c>
      <c r="R816" s="23">
        <v>93000</v>
      </c>
      <c r="S81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6" s="99">
        <f ca="1">IF(PROVEEDORES[[#This Row],[FECHA DE PAGO]]=0,TODAY()-PROVEEDORES[[#This Row],[FECHA DE FACTURACIÓN]]-PROVEEDORES[[#This Row],[PLAZO Días]],0)</f>
        <v>0</v>
      </c>
      <c r="U816" s="149">
        <f>+VLOOKUP(PROVEEDORES[[#This Row],[PROVEEDOR]],Terceros!$A:$E,5,FALSE)</f>
        <v>0</v>
      </c>
      <c r="V816" s="150">
        <f>+YEAR(PROVEEDORES[[#This Row],[FECHA DE FACTURACIÓN]])</f>
        <v>2021</v>
      </c>
      <c r="W816" s="150">
        <f>+MATCH(PROVEEDORES[[#This Row],[año facturado]],Retenciones!$1:$1,0)</f>
        <v>4</v>
      </c>
      <c r="X816" s="151">
        <f>+VLOOKUP(PROVEEDORES[[#This Row],[ID RETENCION]],Retenciones!$A$1:$O$24,PROVEEDORES[[#This Row],[indicador de columna]],FALSE)</f>
        <v>0</v>
      </c>
      <c r="Y816" s="152">
        <f>+VLOOKUP(PROVEEDORES[[#This Row],[ID RETENCION]],Retenciones!$A$1:$O$24,2,FALSE)</f>
        <v>0</v>
      </c>
      <c r="Z816" s="26"/>
      <c r="AA816" s="26"/>
      <c r="AB816" s="26"/>
      <c r="AC816" s="26"/>
      <c r="AD816" s="26"/>
      <c r="AE816" s="26"/>
    </row>
    <row r="817" spans="1:31" ht="21.95" customHeight="1" x14ac:dyDescent="0.25">
      <c r="A817" s="97" t="str">
        <f>+IF(PROVEEDORES[[#This Row],[FECHA DE PAGO]]=PROVEEDORES[[#This Row],[FECHA DE FACTURACIÓN]],"DE CONTADO","CRÉDITO")</f>
        <v>DE CONTADO</v>
      </c>
      <c r="B817" s="41" t="b">
        <f>+IF((PROVEEDORES[[#This Row],[FECHA DE PAGO]]-PROVEEDORES[[#This Row],[FECHA DE FACTURACIÓN]])&gt;PROVEEDORES[[#This Row],[PLAZO Días]],"PAGO VENCIDO")</f>
        <v>0</v>
      </c>
      <c r="C817" s="22">
        <f>+VLOOKUP(PROVEEDORES[[#This Row],[PROVEEDOR]],TERCEROS_INFO[#All],2,FALSE)</f>
        <v>30</v>
      </c>
      <c r="D817" s="27">
        <f>+SUMIFS(PROVEEDORES[Total],PROVEEDORES[PROVEEDOR],PROVEEDORES[[#This Row],[PROVEEDOR]],PROVEEDORES[FECHA DE PAGO],"")</f>
        <v>0</v>
      </c>
      <c r="E817" s="27"/>
      <c r="F817" s="62" t="str">
        <f>+VLOOKUP(PROVEEDORES[[#This Row],[PROVEEDOR]],
                       Terceros!$A:$G,
                       6,
                       FALSE)</f>
        <v/>
      </c>
      <c r="G817" s="95">
        <v>44469</v>
      </c>
      <c r="H817" s="28" t="s">
        <v>1010</v>
      </c>
      <c r="I817" s="95">
        <v>44469</v>
      </c>
      <c r="J817" s="38" t="s">
        <v>803</v>
      </c>
      <c r="K817" s="23">
        <v>140000</v>
      </c>
      <c r="L817" s="23"/>
      <c r="M817" s="24">
        <v>0</v>
      </c>
      <c r="N817" s="25"/>
      <c r="O817" s="24">
        <v>0</v>
      </c>
      <c r="P817" s="136">
        <f>+IF(PROVEEDORES[[#This Row],[SUBTOTAL]]&lt;PROVEEDORES[[#This Row],[base retencion]],0,PROVEEDORES[[#This Row],[retención aplicada]])</f>
        <v>0</v>
      </c>
      <c r="Q817" s="24">
        <f>+PROVEEDORES[[#This Row],[Rete Fuente %]]*PROVEEDORES[[#This Row],[SUBTOTAL]]</f>
        <v>0</v>
      </c>
      <c r="R817" s="23">
        <v>140000</v>
      </c>
      <c r="S81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7" s="99">
        <f ca="1">IF(PROVEEDORES[[#This Row],[FECHA DE PAGO]]=0,TODAY()-PROVEEDORES[[#This Row],[FECHA DE FACTURACIÓN]]-PROVEEDORES[[#This Row],[PLAZO Días]],0)</f>
        <v>0</v>
      </c>
      <c r="U817" s="149">
        <f>+VLOOKUP(PROVEEDORES[[#This Row],[PROVEEDOR]],Terceros!$A:$E,5,FALSE)</f>
        <v>0</v>
      </c>
      <c r="V817" s="150">
        <f>+YEAR(PROVEEDORES[[#This Row],[FECHA DE FACTURACIÓN]])</f>
        <v>2021</v>
      </c>
      <c r="W817" s="150">
        <f>+MATCH(PROVEEDORES[[#This Row],[año facturado]],Retenciones!$1:$1,0)</f>
        <v>4</v>
      </c>
      <c r="X817" s="151">
        <f>+VLOOKUP(PROVEEDORES[[#This Row],[ID RETENCION]],Retenciones!$A$1:$O$24,PROVEEDORES[[#This Row],[indicador de columna]],FALSE)</f>
        <v>0</v>
      </c>
      <c r="Y817" s="152">
        <f>+VLOOKUP(PROVEEDORES[[#This Row],[ID RETENCION]],Retenciones!$A$1:$O$24,2,FALSE)</f>
        <v>0</v>
      </c>
      <c r="Z817" s="26"/>
      <c r="AA817" s="26"/>
      <c r="AB817" s="26"/>
      <c r="AC817" s="26"/>
      <c r="AD817" s="26"/>
      <c r="AE817" s="26"/>
    </row>
    <row r="818" spans="1:31" ht="21.95" customHeight="1" x14ac:dyDescent="0.25">
      <c r="A818" s="97" t="str">
        <f>+IF(PROVEEDORES[[#This Row],[FECHA DE PAGO]]=PROVEEDORES[[#This Row],[FECHA DE FACTURACIÓN]],"DE CONTADO","CRÉDITO")</f>
        <v>DE CONTADO</v>
      </c>
      <c r="B818" s="41" t="b">
        <f>+IF((PROVEEDORES[[#This Row],[FECHA DE PAGO]]-PROVEEDORES[[#This Row],[FECHA DE FACTURACIÓN]])&gt;PROVEEDORES[[#This Row],[PLAZO Días]],"PAGO VENCIDO")</f>
        <v>0</v>
      </c>
      <c r="C818" s="22">
        <f>+VLOOKUP(PROVEEDORES[[#This Row],[PROVEEDOR]],TERCEROS_INFO[#All],2,FALSE)</f>
        <v>30</v>
      </c>
      <c r="D818" s="27">
        <f>+SUMIFS(PROVEEDORES[Total],PROVEEDORES[PROVEEDOR],PROVEEDORES[[#This Row],[PROVEEDOR]],PROVEEDORES[FECHA DE PAGO],"")</f>
        <v>0</v>
      </c>
      <c r="E818" s="27"/>
      <c r="F818" s="62" t="str">
        <f>+VLOOKUP(PROVEEDORES[[#This Row],[PROVEEDOR]],
                       Terceros!$A:$G,
                       6,
                       FALSE)</f>
        <v/>
      </c>
      <c r="G818" s="95">
        <v>44469</v>
      </c>
      <c r="H818" s="28" t="s">
        <v>1010</v>
      </c>
      <c r="I818" s="95">
        <v>44469</v>
      </c>
      <c r="J818" s="38" t="s">
        <v>76</v>
      </c>
      <c r="K818" s="23">
        <v>222000</v>
      </c>
      <c r="L818" s="23"/>
      <c r="M818" s="24">
        <v>0</v>
      </c>
      <c r="N818" s="25"/>
      <c r="O818" s="24">
        <v>0</v>
      </c>
      <c r="P818" s="136">
        <f>+IF(PROVEEDORES[[#This Row],[SUBTOTAL]]&lt;PROVEEDORES[[#This Row],[base retencion]],0,PROVEEDORES[[#This Row],[retención aplicada]])</f>
        <v>0</v>
      </c>
      <c r="Q818" s="24">
        <f>+PROVEEDORES[[#This Row],[Rete Fuente %]]*PROVEEDORES[[#This Row],[SUBTOTAL]]</f>
        <v>0</v>
      </c>
      <c r="R818" s="23">
        <v>222000</v>
      </c>
      <c r="S81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8" s="99">
        <f ca="1">IF(PROVEEDORES[[#This Row],[FECHA DE PAGO]]=0,TODAY()-PROVEEDORES[[#This Row],[FECHA DE FACTURACIÓN]]-PROVEEDORES[[#This Row],[PLAZO Días]],0)</f>
        <v>0</v>
      </c>
      <c r="U818" s="149">
        <f>+VLOOKUP(PROVEEDORES[[#This Row],[PROVEEDOR]],Terceros!$A:$E,5,FALSE)</f>
        <v>0</v>
      </c>
      <c r="V818" s="150">
        <f>+YEAR(PROVEEDORES[[#This Row],[FECHA DE FACTURACIÓN]])</f>
        <v>2021</v>
      </c>
      <c r="W818" s="150">
        <f>+MATCH(PROVEEDORES[[#This Row],[año facturado]],Retenciones!$1:$1,0)</f>
        <v>4</v>
      </c>
      <c r="X818" s="151">
        <f>+VLOOKUP(PROVEEDORES[[#This Row],[ID RETENCION]],Retenciones!$A$1:$O$24,PROVEEDORES[[#This Row],[indicador de columna]],FALSE)</f>
        <v>0</v>
      </c>
      <c r="Y818" s="152">
        <f>+VLOOKUP(PROVEEDORES[[#This Row],[ID RETENCION]],Retenciones!$A$1:$O$24,2,FALSE)</f>
        <v>0</v>
      </c>
      <c r="Z818" s="26"/>
      <c r="AA818" s="26"/>
      <c r="AB818" s="26"/>
      <c r="AC818" s="26"/>
      <c r="AD818" s="26"/>
      <c r="AE818" s="26"/>
    </row>
    <row r="819" spans="1:31" ht="21.95" customHeight="1" x14ac:dyDescent="0.25">
      <c r="A819" s="97" t="str">
        <f>+IF(PROVEEDORES[[#This Row],[FECHA DE PAGO]]=PROVEEDORES[[#This Row],[FECHA DE FACTURACIÓN]],"DE CONTADO","CRÉDITO")</f>
        <v>DE CONTADO</v>
      </c>
      <c r="B819" s="41" t="b">
        <f>+IF((PROVEEDORES[[#This Row],[FECHA DE PAGO]]-PROVEEDORES[[#This Row],[FECHA DE FACTURACIÓN]])&gt;PROVEEDORES[[#This Row],[PLAZO Días]],"PAGO VENCIDO")</f>
        <v>0</v>
      </c>
      <c r="C819" s="22">
        <f>+VLOOKUP(PROVEEDORES[[#This Row],[PROVEEDOR]],TERCEROS_INFO[#All],2,FALSE)</f>
        <v>30</v>
      </c>
      <c r="D819" s="27">
        <f>+SUMIFS(PROVEEDORES[Total],PROVEEDORES[PROVEEDOR],PROVEEDORES[[#This Row],[PROVEEDOR]],PROVEEDORES[FECHA DE PAGO],"")</f>
        <v>0</v>
      </c>
      <c r="E819" s="27"/>
      <c r="F819" s="62" t="str">
        <f>+VLOOKUP(PROVEEDORES[[#This Row],[PROVEEDOR]],
                       Terceros!$A:$G,
                       6,
                       FALSE)</f>
        <v/>
      </c>
      <c r="G819" s="95">
        <v>44469</v>
      </c>
      <c r="H819" s="28" t="s">
        <v>1010</v>
      </c>
      <c r="I819" s="95">
        <v>44469</v>
      </c>
      <c r="J819" s="38" t="s">
        <v>663</v>
      </c>
      <c r="K819" s="23">
        <v>251000</v>
      </c>
      <c r="L819" s="23"/>
      <c r="M819" s="24">
        <v>0</v>
      </c>
      <c r="N819" s="25"/>
      <c r="O819" s="24">
        <v>0</v>
      </c>
      <c r="P819" s="136">
        <f>+IF(PROVEEDORES[[#This Row],[SUBTOTAL]]&lt;PROVEEDORES[[#This Row],[base retencion]],0,PROVEEDORES[[#This Row],[retención aplicada]])</f>
        <v>0</v>
      </c>
      <c r="Q819" s="24">
        <f>+PROVEEDORES[[#This Row],[Rete Fuente %]]*PROVEEDORES[[#This Row],[SUBTOTAL]]</f>
        <v>0</v>
      </c>
      <c r="R819" s="23">
        <v>251000</v>
      </c>
      <c r="S81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9" s="99">
        <f ca="1">IF(PROVEEDORES[[#This Row],[FECHA DE PAGO]]=0,TODAY()-PROVEEDORES[[#This Row],[FECHA DE FACTURACIÓN]]-PROVEEDORES[[#This Row],[PLAZO Días]],0)</f>
        <v>0</v>
      </c>
      <c r="U819" s="149">
        <f>+VLOOKUP(PROVEEDORES[[#This Row],[PROVEEDOR]],Terceros!$A:$E,5,FALSE)</f>
        <v>0</v>
      </c>
      <c r="V819" s="150">
        <f>+YEAR(PROVEEDORES[[#This Row],[FECHA DE FACTURACIÓN]])</f>
        <v>2021</v>
      </c>
      <c r="W819" s="150">
        <f>+MATCH(PROVEEDORES[[#This Row],[año facturado]],Retenciones!$1:$1,0)</f>
        <v>4</v>
      </c>
      <c r="X819" s="151">
        <f>+VLOOKUP(PROVEEDORES[[#This Row],[ID RETENCION]],Retenciones!$A$1:$O$24,PROVEEDORES[[#This Row],[indicador de columna]],FALSE)</f>
        <v>0</v>
      </c>
      <c r="Y819" s="152">
        <f>+VLOOKUP(PROVEEDORES[[#This Row],[ID RETENCION]],Retenciones!$A$1:$O$24,2,FALSE)</f>
        <v>0</v>
      </c>
      <c r="Z819" s="26"/>
      <c r="AA819" s="26"/>
      <c r="AB819" s="26"/>
      <c r="AC819" s="26"/>
      <c r="AD819" s="26"/>
      <c r="AE819" s="26"/>
    </row>
    <row r="820" spans="1:31" ht="21.95" customHeight="1" x14ac:dyDescent="0.25">
      <c r="A820" s="97" t="str">
        <f>+IF(PROVEEDORES[[#This Row],[FECHA DE PAGO]]=PROVEEDORES[[#This Row],[FECHA DE FACTURACIÓN]],"DE CONTADO","CRÉDITO")</f>
        <v>DE CONTADO</v>
      </c>
      <c r="B820" s="41" t="b">
        <f>+IF((PROVEEDORES[[#This Row],[FECHA DE PAGO]]-PROVEEDORES[[#This Row],[FECHA DE FACTURACIÓN]])&gt;PROVEEDORES[[#This Row],[PLAZO Días]],"PAGO VENCIDO")</f>
        <v>0</v>
      </c>
      <c r="C820" s="22">
        <f>+VLOOKUP(PROVEEDORES[[#This Row],[PROVEEDOR]],TERCEROS_INFO[#All],2,FALSE)</f>
        <v>30</v>
      </c>
      <c r="D820" s="27">
        <f>+SUMIFS(PROVEEDORES[Total],PROVEEDORES[PROVEEDOR],PROVEEDORES[[#This Row],[PROVEEDOR]],PROVEEDORES[FECHA DE PAGO],"")</f>
        <v>0</v>
      </c>
      <c r="E820" s="27"/>
      <c r="F820" s="62" t="str">
        <f>+VLOOKUP(PROVEEDORES[[#This Row],[PROVEEDOR]],
                       Terceros!$A:$G,
                       6,
                       FALSE)</f>
        <v/>
      </c>
      <c r="G820" s="95">
        <v>44469</v>
      </c>
      <c r="H820" s="28" t="s">
        <v>1010</v>
      </c>
      <c r="I820" s="95">
        <v>44469</v>
      </c>
      <c r="J820" s="38" t="s">
        <v>664</v>
      </c>
      <c r="K820" s="23">
        <v>724000</v>
      </c>
      <c r="L820" s="23"/>
      <c r="M820" s="24">
        <v>0</v>
      </c>
      <c r="N820" s="25"/>
      <c r="O820" s="24">
        <v>0</v>
      </c>
      <c r="P820" s="136">
        <f>+IF(PROVEEDORES[[#This Row],[SUBTOTAL]]&lt;PROVEEDORES[[#This Row],[base retencion]],0,PROVEEDORES[[#This Row],[retención aplicada]])</f>
        <v>0</v>
      </c>
      <c r="Q820" s="24">
        <f>+PROVEEDORES[[#This Row],[Rete Fuente %]]*PROVEEDORES[[#This Row],[SUBTOTAL]]</f>
        <v>0</v>
      </c>
      <c r="R820" s="23">
        <v>724000</v>
      </c>
      <c r="S82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0" s="99">
        <f ca="1">IF(PROVEEDORES[[#This Row],[FECHA DE PAGO]]=0,TODAY()-PROVEEDORES[[#This Row],[FECHA DE FACTURACIÓN]]-PROVEEDORES[[#This Row],[PLAZO Días]],0)</f>
        <v>0</v>
      </c>
      <c r="U820" s="149">
        <f>+VLOOKUP(PROVEEDORES[[#This Row],[PROVEEDOR]],Terceros!$A:$E,5,FALSE)</f>
        <v>0</v>
      </c>
      <c r="V820" s="150">
        <f>+YEAR(PROVEEDORES[[#This Row],[FECHA DE FACTURACIÓN]])</f>
        <v>2021</v>
      </c>
      <c r="W820" s="150">
        <f>+MATCH(PROVEEDORES[[#This Row],[año facturado]],Retenciones!$1:$1,0)</f>
        <v>4</v>
      </c>
      <c r="X820" s="151">
        <f>+VLOOKUP(PROVEEDORES[[#This Row],[ID RETENCION]],Retenciones!$A$1:$O$24,PROVEEDORES[[#This Row],[indicador de columna]],FALSE)</f>
        <v>0</v>
      </c>
      <c r="Y820" s="152">
        <f>+VLOOKUP(PROVEEDORES[[#This Row],[ID RETENCION]],Retenciones!$A$1:$O$24,2,FALSE)</f>
        <v>0</v>
      </c>
      <c r="Z820" s="26"/>
      <c r="AA820" s="26"/>
      <c r="AB820" s="26"/>
      <c r="AC820" s="26"/>
      <c r="AD820" s="26"/>
      <c r="AE820" s="26"/>
    </row>
    <row r="821" spans="1:31" ht="21.95" customHeight="1" x14ac:dyDescent="0.25">
      <c r="A821" s="97" t="str">
        <f>+IF(PROVEEDORES[[#This Row],[FECHA DE PAGO]]=PROVEEDORES[[#This Row],[FECHA DE FACTURACIÓN]],"DE CONTADO","CRÉDITO")</f>
        <v>DE CONTADO</v>
      </c>
      <c r="B821" s="41" t="b">
        <f>+IF((PROVEEDORES[[#This Row],[FECHA DE PAGO]]-PROVEEDORES[[#This Row],[FECHA DE FACTURACIÓN]])&gt;PROVEEDORES[[#This Row],[PLAZO Días]],"PAGO VENCIDO")</f>
        <v>0</v>
      </c>
      <c r="C821" s="22">
        <f>+VLOOKUP(PROVEEDORES[[#This Row],[PROVEEDOR]],TERCEROS_INFO[#All],2,FALSE)</f>
        <v>30</v>
      </c>
      <c r="D821" s="27">
        <f>+SUMIFS(PROVEEDORES[Total],PROVEEDORES[PROVEEDOR],PROVEEDORES[[#This Row],[PROVEEDOR]],PROVEEDORES[FECHA DE PAGO],"")</f>
        <v>0</v>
      </c>
      <c r="E821" s="27"/>
      <c r="F821" s="62" t="str">
        <f>+VLOOKUP(PROVEEDORES[[#This Row],[PROVEEDOR]],
                       Terceros!$A:$G,
                       6,
                       FALSE)</f>
        <v/>
      </c>
      <c r="G821" s="95">
        <v>44469</v>
      </c>
      <c r="H821" s="28" t="s">
        <v>1046</v>
      </c>
      <c r="I821" s="95">
        <v>44469</v>
      </c>
      <c r="J821" s="38"/>
      <c r="K821" s="23">
        <v>1000000</v>
      </c>
      <c r="L821" s="23"/>
      <c r="M821" s="24">
        <v>0</v>
      </c>
      <c r="N821" s="25"/>
      <c r="O821" s="24">
        <v>0</v>
      </c>
      <c r="P821" s="136">
        <f>+IF(PROVEEDORES[[#This Row],[SUBTOTAL]]&lt;PROVEEDORES[[#This Row],[base retencion]],0,PROVEEDORES[[#This Row],[retención aplicada]])</f>
        <v>0</v>
      </c>
      <c r="Q821" s="24">
        <f>+PROVEEDORES[[#This Row],[Rete Fuente %]]*PROVEEDORES[[#This Row],[SUBTOTAL]]</f>
        <v>0</v>
      </c>
      <c r="R821" s="23">
        <v>1000000</v>
      </c>
      <c r="S82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1" s="99">
        <f ca="1">IF(PROVEEDORES[[#This Row],[FECHA DE PAGO]]=0,TODAY()-PROVEEDORES[[#This Row],[FECHA DE FACTURACIÓN]]-PROVEEDORES[[#This Row],[PLAZO Días]],0)</f>
        <v>0</v>
      </c>
      <c r="U821" s="149">
        <f>+VLOOKUP(PROVEEDORES[[#This Row],[PROVEEDOR]],Terceros!$A:$E,5,FALSE)</f>
        <v>0</v>
      </c>
      <c r="V821" s="150">
        <f>+YEAR(PROVEEDORES[[#This Row],[FECHA DE FACTURACIÓN]])</f>
        <v>2021</v>
      </c>
      <c r="W821" s="150">
        <f>+MATCH(PROVEEDORES[[#This Row],[año facturado]],Retenciones!$1:$1,0)</f>
        <v>4</v>
      </c>
      <c r="X821" s="151">
        <f>+VLOOKUP(PROVEEDORES[[#This Row],[ID RETENCION]],Retenciones!$A$1:$O$24,PROVEEDORES[[#This Row],[indicador de columna]],FALSE)</f>
        <v>0</v>
      </c>
      <c r="Y821" s="152">
        <f>+VLOOKUP(PROVEEDORES[[#This Row],[ID RETENCION]],Retenciones!$A$1:$O$24,2,FALSE)</f>
        <v>0</v>
      </c>
      <c r="Z821" s="26"/>
      <c r="AA821" s="26"/>
      <c r="AB821" s="26"/>
      <c r="AC821" s="26"/>
      <c r="AD821" s="26"/>
      <c r="AE821" s="26"/>
    </row>
    <row r="822" spans="1:31" ht="21.95" customHeight="1" x14ac:dyDescent="0.25">
      <c r="A822" s="97" t="str">
        <f>+IF(PROVEEDORES[[#This Row],[FECHA DE PAGO]]=PROVEEDORES[[#This Row],[FECHA DE FACTURACIÓN]],"DE CONTADO","CRÉDITO")</f>
        <v>DE CONTADO</v>
      </c>
      <c r="B822" s="41" t="b">
        <f>+IF((PROVEEDORES[[#This Row],[FECHA DE PAGO]]-PROVEEDORES[[#This Row],[FECHA DE FACTURACIÓN]])&gt;PROVEEDORES[[#This Row],[PLAZO Días]],"PAGO VENCIDO")</f>
        <v>0</v>
      </c>
      <c r="C822" s="22">
        <f>+VLOOKUP(PROVEEDORES[[#This Row],[PROVEEDOR]],TERCEROS_INFO[#All],2,FALSE)</f>
        <v>30</v>
      </c>
      <c r="D822" s="27">
        <f>+SUMIFS(PROVEEDORES[Total],PROVEEDORES[PROVEEDOR],PROVEEDORES[[#This Row],[PROVEEDOR]],PROVEEDORES[FECHA DE PAGO],"")</f>
        <v>0</v>
      </c>
      <c r="E822" s="27"/>
      <c r="F822" s="62" t="str">
        <f>+VLOOKUP(PROVEEDORES[[#This Row],[PROVEEDOR]],
                       Terceros!$A:$G,
                       6,
                       FALSE)</f>
        <v/>
      </c>
      <c r="G822" s="95">
        <v>44469</v>
      </c>
      <c r="H822" s="28" t="s">
        <v>1010</v>
      </c>
      <c r="I822" s="95">
        <v>44469</v>
      </c>
      <c r="J822" s="38" t="s">
        <v>665</v>
      </c>
      <c r="K822" s="23">
        <v>3116500</v>
      </c>
      <c r="L822" s="23"/>
      <c r="M822" s="24">
        <v>0</v>
      </c>
      <c r="N822" s="25"/>
      <c r="O822" s="24">
        <v>0</v>
      </c>
      <c r="P822" s="136">
        <f>+IF(PROVEEDORES[[#This Row],[SUBTOTAL]]&lt;PROVEEDORES[[#This Row],[base retencion]],0,PROVEEDORES[[#This Row],[retención aplicada]])</f>
        <v>0</v>
      </c>
      <c r="Q822" s="24">
        <f>+PROVEEDORES[[#This Row],[Rete Fuente %]]*PROVEEDORES[[#This Row],[SUBTOTAL]]</f>
        <v>0</v>
      </c>
      <c r="R822" s="23">
        <v>3116500</v>
      </c>
      <c r="S82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2" s="99">
        <f ca="1">IF(PROVEEDORES[[#This Row],[FECHA DE PAGO]]=0,TODAY()-PROVEEDORES[[#This Row],[FECHA DE FACTURACIÓN]]-PROVEEDORES[[#This Row],[PLAZO Días]],0)</f>
        <v>0</v>
      </c>
      <c r="U822" s="149">
        <f>+VLOOKUP(PROVEEDORES[[#This Row],[PROVEEDOR]],Terceros!$A:$E,5,FALSE)</f>
        <v>0</v>
      </c>
      <c r="V822" s="150">
        <f>+YEAR(PROVEEDORES[[#This Row],[FECHA DE FACTURACIÓN]])</f>
        <v>2021</v>
      </c>
      <c r="W822" s="150">
        <f>+MATCH(PROVEEDORES[[#This Row],[año facturado]],Retenciones!$1:$1,0)</f>
        <v>4</v>
      </c>
      <c r="X822" s="151">
        <f>+VLOOKUP(PROVEEDORES[[#This Row],[ID RETENCION]],Retenciones!$A$1:$O$24,PROVEEDORES[[#This Row],[indicador de columna]],FALSE)</f>
        <v>0</v>
      </c>
      <c r="Y822" s="152">
        <f>+VLOOKUP(PROVEEDORES[[#This Row],[ID RETENCION]],Retenciones!$A$1:$O$24,2,FALSE)</f>
        <v>0</v>
      </c>
      <c r="Z822" s="26"/>
      <c r="AA822" s="26"/>
      <c r="AB822" s="26"/>
      <c r="AC822" s="26"/>
      <c r="AD822" s="26"/>
      <c r="AE822" s="26"/>
    </row>
    <row r="823" spans="1:31" ht="21.95" customHeight="1" x14ac:dyDescent="0.25">
      <c r="A823" s="97" t="str">
        <f>+IF(PROVEEDORES[[#This Row],[FECHA DE PAGO]]=PROVEEDORES[[#This Row],[FECHA DE FACTURACIÓN]],"DE CONTADO","CRÉDITO")</f>
        <v>CRÉDITO</v>
      </c>
      <c r="B823" s="41" t="str">
        <f>+IF((PROVEEDORES[[#This Row],[FECHA DE PAGO]]-PROVEEDORES[[#This Row],[FECHA DE FACTURACIÓN]])&gt;PROVEEDORES[[#This Row],[PLAZO Días]],"PAGO VENCIDO")</f>
        <v>PAGO VENCIDO</v>
      </c>
      <c r="C823" s="22">
        <f>+VLOOKUP(PROVEEDORES[[#This Row],[PROVEEDOR]],TERCEROS_INFO[#All],2,FALSE)</f>
        <v>45</v>
      </c>
      <c r="D823" s="27">
        <f>+SUMIFS(PROVEEDORES[Total],PROVEEDORES[PROVEEDOR],PROVEEDORES[[#This Row],[PROVEEDOR]],PROVEEDORES[FECHA DE PAGO],"")</f>
        <v>37184068.039999999</v>
      </c>
      <c r="E823" s="27"/>
      <c r="F823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823" s="95">
        <v>44523</v>
      </c>
      <c r="H823" s="28" t="s">
        <v>19</v>
      </c>
      <c r="I823" s="95">
        <v>44469</v>
      </c>
      <c r="J823" s="38" t="s">
        <v>536</v>
      </c>
      <c r="K823" s="23">
        <v>10316800</v>
      </c>
      <c r="L823" s="23"/>
      <c r="M823" s="24">
        <v>1960192</v>
      </c>
      <c r="N823" s="25"/>
      <c r="O823" s="24">
        <v>0</v>
      </c>
      <c r="P823" s="136">
        <f>+IF(PROVEEDORES[[#This Row],[SUBTOTAL]]&lt;PROVEEDORES[[#This Row],[base retencion]],0,PROVEEDORES[[#This Row],[retención aplicada]])</f>
        <v>0</v>
      </c>
      <c r="Q823" s="24">
        <f>+PROVEEDORES[[#This Row],[Rete Fuente %]]*PROVEEDORES[[#This Row],[SUBTOTAL]]</f>
        <v>0</v>
      </c>
      <c r="R823" s="23">
        <v>12276992</v>
      </c>
      <c r="S82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3" s="99">
        <f ca="1">IF(PROVEEDORES[[#This Row],[FECHA DE PAGO]]=0,TODAY()-PROVEEDORES[[#This Row],[FECHA DE FACTURACIÓN]]-PROVEEDORES[[#This Row],[PLAZO Días]],0)</f>
        <v>0</v>
      </c>
      <c r="U823" s="149">
        <f>+VLOOKUP(PROVEEDORES[[#This Row],[PROVEEDOR]],Terceros!$A:$E,5,FALSE)</f>
        <v>0</v>
      </c>
      <c r="V823" s="150">
        <f>+YEAR(PROVEEDORES[[#This Row],[FECHA DE FACTURACIÓN]])</f>
        <v>2021</v>
      </c>
      <c r="W823" s="150">
        <f>+MATCH(PROVEEDORES[[#This Row],[año facturado]],Retenciones!$1:$1,0)</f>
        <v>4</v>
      </c>
      <c r="X823" s="151">
        <f>+VLOOKUP(PROVEEDORES[[#This Row],[ID RETENCION]],Retenciones!$A$1:$O$24,PROVEEDORES[[#This Row],[indicador de columna]],FALSE)</f>
        <v>0</v>
      </c>
      <c r="Y823" s="152">
        <f>+VLOOKUP(PROVEEDORES[[#This Row],[ID RETENCION]],Retenciones!$A$1:$O$24,2,FALSE)</f>
        <v>0</v>
      </c>
      <c r="Z823" s="26"/>
      <c r="AA823" s="26"/>
      <c r="AB823" s="26"/>
      <c r="AC823" s="26"/>
      <c r="AD823" s="26"/>
      <c r="AE823" s="26"/>
    </row>
    <row r="824" spans="1:31" ht="21.95" customHeight="1" x14ac:dyDescent="0.25">
      <c r="A824" s="97" t="str">
        <f>+IF(PROVEEDORES[[#This Row],[FECHA DE PAGO]]=PROVEEDORES[[#This Row],[FECHA DE FACTURACIÓN]],"DE CONTADO","CRÉDITO")</f>
        <v>CRÉDITO</v>
      </c>
      <c r="B824" s="41" t="b">
        <f>+IF((PROVEEDORES[[#This Row],[FECHA DE PAGO]]-PROVEEDORES[[#This Row],[FECHA DE FACTURACIÓN]])&gt;PROVEEDORES[[#This Row],[PLAZO Días]],"PAGO VENCIDO")</f>
        <v>0</v>
      </c>
      <c r="C824" s="22">
        <f>+VLOOKUP(PROVEEDORES[[#This Row],[PROVEEDOR]],TERCEROS_INFO[#All],2,FALSE)</f>
        <v>20</v>
      </c>
      <c r="D824" s="27">
        <f>+SUMIFS(PROVEEDORES[Total],PROVEEDORES[PROVEEDOR],PROVEEDORES[[#This Row],[PROVEEDOR]],PROVEEDORES[FECHA DE PAGO],"")</f>
        <v>0</v>
      </c>
      <c r="E824" s="27"/>
      <c r="F824" s="62" t="str">
        <f>+VLOOKUP(PROVEEDORES[[#This Row],[PROVEEDOR]],
                       Terceros!$A:$G,
                       6,
                       FALSE)</f>
        <v>pse</v>
      </c>
      <c r="G824" s="95">
        <v>44484</v>
      </c>
      <c r="H824" s="28" t="s">
        <v>371</v>
      </c>
      <c r="I824" s="95">
        <v>44470</v>
      </c>
      <c r="J824" s="38"/>
      <c r="K824" s="23">
        <v>871998</v>
      </c>
      <c r="L824" s="23"/>
      <c r="M824" s="24">
        <v>0</v>
      </c>
      <c r="N824" s="25"/>
      <c r="O824" s="24">
        <v>0</v>
      </c>
      <c r="P824" s="136">
        <f>+IF(PROVEEDORES[[#This Row],[SUBTOTAL]]&lt;PROVEEDORES[[#This Row],[base retencion]],0,PROVEEDORES[[#This Row],[retención aplicada]])</f>
        <v>0</v>
      </c>
      <c r="Q824" s="24">
        <f>+PROVEEDORES[[#This Row],[Rete Fuente %]]*PROVEEDORES[[#This Row],[SUBTOTAL]]</f>
        <v>0</v>
      </c>
      <c r="R824" s="23">
        <v>871998</v>
      </c>
      <c r="S82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4" s="99">
        <f ca="1">IF(PROVEEDORES[[#This Row],[FECHA DE PAGO]]=0,TODAY()-PROVEEDORES[[#This Row],[FECHA DE FACTURACIÓN]]-PROVEEDORES[[#This Row],[PLAZO Días]],0)</f>
        <v>0</v>
      </c>
      <c r="U824" s="149">
        <f>+VLOOKUP(PROVEEDORES[[#This Row],[PROVEEDOR]],Terceros!$A:$E,5,FALSE)</f>
        <v>0</v>
      </c>
      <c r="V824" s="150">
        <f>+YEAR(PROVEEDORES[[#This Row],[FECHA DE FACTURACIÓN]])</f>
        <v>2021</v>
      </c>
      <c r="W824" s="150">
        <f>+MATCH(PROVEEDORES[[#This Row],[año facturado]],Retenciones!$1:$1,0)</f>
        <v>4</v>
      </c>
      <c r="X824" s="151">
        <f>+VLOOKUP(PROVEEDORES[[#This Row],[ID RETENCION]],Retenciones!$A$1:$O$24,PROVEEDORES[[#This Row],[indicador de columna]],FALSE)</f>
        <v>0</v>
      </c>
      <c r="Y824" s="152">
        <f>+VLOOKUP(PROVEEDORES[[#This Row],[ID RETENCION]],Retenciones!$A$1:$O$24,2,FALSE)</f>
        <v>0</v>
      </c>
      <c r="Z824" s="26"/>
      <c r="AA824" s="26"/>
      <c r="AB824" s="26"/>
      <c r="AC824" s="26"/>
      <c r="AD824" s="26"/>
      <c r="AE824" s="26"/>
    </row>
    <row r="825" spans="1:31" ht="21.95" customHeight="1" x14ac:dyDescent="0.25">
      <c r="A825" s="97" t="str">
        <f>+IF(PROVEEDORES[[#This Row],[FECHA DE PAGO]]=PROVEEDORES[[#This Row],[FECHA DE FACTURACIÓN]],"DE CONTADO","CRÉDITO")</f>
        <v>CRÉDITO</v>
      </c>
      <c r="B825" s="41" t="b">
        <f>+IF((PROVEEDORES[[#This Row],[FECHA DE PAGO]]-PROVEEDORES[[#This Row],[FECHA DE FACTURACIÓN]])&gt;PROVEEDORES[[#This Row],[PLAZO Días]],"PAGO VENCIDO")</f>
        <v>0</v>
      </c>
      <c r="C825" s="22">
        <f>+VLOOKUP(PROVEEDORES[[#This Row],[PROVEEDOR]],TERCEROS_INFO[#All],2,FALSE)</f>
        <v>60</v>
      </c>
      <c r="D825" s="27">
        <f>+SUMIFS(PROVEEDORES[Total],PROVEEDORES[PROVEEDOR],PROVEEDORES[[#This Row],[PROVEEDOR]],PROVEEDORES[FECHA DE PAGO],"")</f>
        <v>758800</v>
      </c>
      <c r="E825" s="27"/>
      <c r="F825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G825" s="95">
        <v>44503</v>
      </c>
      <c r="H825" s="28" t="s">
        <v>604</v>
      </c>
      <c r="I825" s="95">
        <v>44470</v>
      </c>
      <c r="J825" s="38" t="s">
        <v>575</v>
      </c>
      <c r="K825" s="23">
        <v>184752</v>
      </c>
      <c r="L825" s="23"/>
      <c r="M825" s="24">
        <v>0</v>
      </c>
      <c r="N825" s="25"/>
      <c r="O825" s="24">
        <v>0</v>
      </c>
      <c r="P825" s="136">
        <f>+IF(PROVEEDORES[[#This Row],[SUBTOTAL]]&lt;PROVEEDORES[[#This Row],[base retencion]],0,PROVEEDORES[[#This Row],[retención aplicada]])</f>
        <v>0</v>
      </c>
      <c r="Q825" s="24">
        <f>+PROVEEDORES[[#This Row],[Rete Fuente %]]*PROVEEDORES[[#This Row],[SUBTOTAL]]</f>
        <v>0</v>
      </c>
      <c r="R825" s="23">
        <v>184752</v>
      </c>
      <c r="S82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5" s="99">
        <f ca="1">IF(PROVEEDORES[[#This Row],[FECHA DE PAGO]]=0,TODAY()-PROVEEDORES[[#This Row],[FECHA DE FACTURACIÓN]]-PROVEEDORES[[#This Row],[PLAZO Días]],0)</f>
        <v>0</v>
      </c>
      <c r="U825" s="149">
        <f>+VLOOKUP(PROVEEDORES[[#This Row],[PROVEEDOR]],Terceros!$A:$E,5,FALSE)</f>
        <v>0</v>
      </c>
      <c r="V825" s="150">
        <f>+YEAR(PROVEEDORES[[#This Row],[FECHA DE FACTURACIÓN]])</f>
        <v>2021</v>
      </c>
      <c r="W825" s="150">
        <f>+MATCH(PROVEEDORES[[#This Row],[año facturado]],Retenciones!$1:$1,0)</f>
        <v>4</v>
      </c>
      <c r="X825" s="151">
        <f>+VLOOKUP(PROVEEDORES[[#This Row],[ID RETENCION]],Retenciones!$A$1:$O$24,PROVEEDORES[[#This Row],[indicador de columna]],FALSE)</f>
        <v>0</v>
      </c>
      <c r="Y825" s="152">
        <f>+VLOOKUP(PROVEEDORES[[#This Row],[ID RETENCION]],Retenciones!$A$1:$O$24,2,FALSE)</f>
        <v>0</v>
      </c>
      <c r="Z825" s="26"/>
      <c r="AA825" s="26"/>
      <c r="AB825" s="26"/>
      <c r="AC825" s="26"/>
      <c r="AD825" s="26"/>
      <c r="AE825" s="26"/>
    </row>
    <row r="826" spans="1:31" ht="21.95" customHeight="1" x14ac:dyDescent="0.25">
      <c r="A826" s="97" t="str">
        <f>+IF(PROVEEDORES[[#This Row],[FECHA DE PAGO]]=PROVEEDORES[[#This Row],[FECHA DE FACTURACIÓN]],"DE CONTADO","CRÉDITO")</f>
        <v>CRÉDITO</v>
      </c>
      <c r="B826" s="41" t="b">
        <f>+IF((PROVEEDORES[[#This Row],[FECHA DE PAGO]]-PROVEEDORES[[#This Row],[FECHA DE FACTURACIÓN]])&gt;PROVEEDORES[[#This Row],[PLAZO Días]],"PAGO VENCIDO")</f>
        <v>0</v>
      </c>
      <c r="C826" s="22">
        <f>+VLOOKUP(PROVEEDORES[[#This Row],[PROVEEDOR]],TERCEROS_INFO[#All],2,FALSE)</f>
        <v>30</v>
      </c>
      <c r="D826" s="27">
        <f>+SUMIFS(PROVEEDORES[Total],PROVEEDORES[PROVEEDOR],PROVEEDORES[[#This Row],[PROVEEDOR]],PROVEEDORES[FECHA DE PAGO],"")</f>
        <v>0</v>
      </c>
      <c r="E826" s="27"/>
      <c r="F826" s="62" t="str">
        <f>+VLOOKUP(PROVEEDORES[[#This Row],[PROVEEDOR]],
                       Terceros!$A:$G,
                       6,
                       FALSE)</f>
        <v>pse</v>
      </c>
      <c r="G826" s="95">
        <v>44484</v>
      </c>
      <c r="H826" s="28" t="s">
        <v>538</v>
      </c>
      <c r="I826" s="95">
        <v>44473</v>
      </c>
      <c r="J826" s="38" t="s">
        <v>842</v>
      </c>
      <c r="K826" s="23">
        <v>1869843</v>
      </c>
      <c r="L826" s="23"/>
      <c r="M826" s="24">
        <v>355270.17</v>
      </c>
      <c r="N826" s="25"/>
      <c r="O826" s="24">
        <v>0</v>
      </c>
      <c r="P826" s="136">
        <f>+IF(PROVEEDORES[[#This Row],[SUBTOTAL]]&lt;PROVEEDORES[[#This Row],[base retencion]],0,PROVEEDORES[[#This Row],[retención aplicada]])</f>
        <v>0</v>
      </c>
      <c r="Q826" s="24">
        <f>+PROVEEDORES[[#This Row],[Rete Fuente %]]*PROVEEDORES[[#This Row],[SUBTOTAL]]</f>
        <v>0</v>
      </c>
      <c r="R826" s="23">
        <v>2225113.17</v>
      </c>
      <c r="S82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6" s="99">
        <f ca="1">IF(PROVEEDORES[[#This Row],[FECHA DE PAGO]]=0,TODAY()-PROVEEDORES[[#This Row],[FECHA DE FACTURACIÓN]]-PROVEEDORES[[#This Row],[PLAZO Días]],0)</f>
        <v>0</v>
      </c>
      <c r="U826" s="149">
        <f>+VLOOKUP(PROVEEDORES[[#This Row],[PROVEEDOR]],Terceros!$A:$E,5,FALSE)</f>
        <v>0</v>
      </c>
      <c r="V826" s="150">
        <f>+YEAR(PROVEEDORES[[#This Row],[FECHA DE FACTURACIÓN]])</f>
        <v>2021</v>
      </c>
      <c r="W826" s="150">
        <f>+MATCH(PROVEEDORES[[#This Row],[año facturado]],Retenciones!$1:$1,0)</f>
        <v>4</v>
      </c>
      <c r="X826" s="151">
        <f>+VLOOKUP(PROVEEDORES[[#This Row],[ID RETENCION]],Retenciones!$A$1:$O$24,PROVEEDORES[[#This Row],[indicador de columna]],FALSE)</f>
        <v>0</v>
      </c>
      <c r="Y826" s="152">
        <f>+VLOOKUP(PROVEEDORES[[#This Row],[ID RETENCION]],Retenciones!$A$1:$O$24,2,FALSE)</f>
        <v>0</v>
      </c>
      <c r="Z826" s="26"/>
      <c r="AA826" s="26"/>
      <c r="AB826" s="26"/>
      <c r="AC826" s="26"/>
      <c r="AD826" s="26"/>
      <c r="AE826" s="26"/>
    </row>
    <row r="827" spans="1:31" ht="21.95" customHeight="1" x14ac:dyDescent="0.25">
      <c r="A827" s="97" t="str">
        <f>+IF(PROVEEDORES[[#This Row],[FECHA DE PAGO]]=PROVEEDORES[[#This Row],[FECHA DE FACTURACIÓN]],"DE CONTADO","CRÉDITO")</f>
        <v>DE CONTADO</v>
      </c>
      <c r="B827" s="41" t="b">
        <f>+IF((PROVEEDORES[[#This Row],[FECHA DE PAGO]]-PROVEEDORES[[#This Row],[FECHA DE FACTURACIÓN]])&gt;PROVEEDORES[[#This Row],[PLAZO Días]],"PAGO VENCIDO")</f>
        <v>0</v>
      </c>
      <c r="C827" s="22">
        <f>+VLOOKUP(PROVEEDORES[[#This Row],[PROVEEDOR]],TERCEROS_INFO[#All],2,FALSE)</f>
        <v>30</v>
      </c>
      <c r="D827" s="27">
        <f>+SUMIFS(PROVEEDORES[Total],PROVEEDORES[PROVEEDOR],PROVEEDORES[[#This Row],[PROVEEDOR]],PROVEEDORES[FECHA DE PAGO],"")</f>
        <v>0</v>
      </c>
      <c r="E827" s="27"/>
      <c r="F827" s="62" t="str">
        <f>+VLOOKUP(PROVEEDORES[[#This Row],[PROVEEDOR]],
                       Terceros!$A:$G,
                       6,
                       FALSE)</f>
        <v/>
      </c>
      <c r="G827" s="95">
        <v>44470</v>
      </c>
      <c r="H827" s="28" t="s">
        <v>1060</v>
      </c>
      <c r="I827" s="95">
        <v>44470</v>
      </c>
      <c r="J827" s="38" t="s">
        <v>835</v>
      </c>
      <c r="K827" s="23">
        <v>200000</v>
      </c>
      <c r="L827" s="23"/>
      <c r="M827" s="24">
        <v>0</v>
      </c>
      <c r="N827" s="25"/>
      <c r="O827" s="24">
        <v>0</v>
      </c>
      <c r="P827" s="136">
        <f>+IF(PROVEEDORES[[#This Row],[SUBTOTAL]]&lt;PROVEEDORES[[#This Row],[base retencion]],0,PROVEEDORES[[#This Row],[retención aplicada]])</f>
        <v>0</v>
      </c>
      <c r="Q827" s="24">
        <f>+PROVEEDORES[[#This Row],[Rete Fuente %]]*PROVEEDORES[[#This Row],[SUBTOTAL]]</f>
        <v>0</v>
      </c>
      <c r="R827" s="23">
        <v>200000</v>
      </c>
      <c r="S82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7" s="99">
        <f ca="1">IF(PROVEEDORES[[#This Row],[FECHA DE PAGO]]=0,TODAY()-PROVEEDORES[[#This Row],[FECHA DE FACTURACIÓN]]-PROVEEDORES[[#This Row],[PLAZO Días]],0)</f>
        <v>0</v>
      </c>
      <c r="U827" s="149">
        <f>+VLOOKUP(PROVEEDORES[[#This Row],[PROVEEDOR]],Terceros!$A:$E,5,FALSE)</f>
        <v>0</v>
      </c>
      <c r="V827" s="150">
        <f>+YEAR(PROVEEDORES[[#This Row],[FECHA DE FACTURACIÓN]])</f>
        <v>2021</v>
      </c>
      <c r="W827" s="150">
        <f>+MATCH(PROVEEDORES[[#This Row],[año facturado]],Retenciones!$1:$1,0)</f>
        <v>4</v>
      </c>
      <c r="X827" s="151">
        <f>+VLOOKUP(PROVEEDORES[[#This Row],[ID RETENCION]],Retenciones!$A$1:$O$24,PROVEEDORES[[#This Row],[indicador de columna]],FALSE)</f>
        <v>0</v>
      </c>
      <c r="Y827" s="152">
        <f>+VLOOKUP(PROVEEDORES[[#This Row],[ID RETENCION]],Retenciones!$A$1:$O$24,2,FALSE)</f>
        <v>0</v>
      </c>
      <c r="Z827" s="26"/>
      <c r="AA827" s="26"/>
      <c r="AB827" s="26"/>
      <c r="AC827" s="26"/>
      <c r="AD827" s="26"/>
      <c r="AE827" s="26"/>
    </row>
    <row r="828" spans="1:31" ht="21.95" customHeight="1" x14ac:dyDescent="0.25">
      <c r="A828" s="97" t="str">
        <f>+IF(PROVEEDORES[[#This Row],[FECHA DE PAGO]]=PROVEEDORES[[#This Row],[FECHA DE FACTURACIÓN]],"DE CONTADO","CRÉDITO")</f>
        <v>CRÉDITO</v>
      </c>
      <c r="B828" s="41" t="b">
        <f>+IF((PROVEEDORES[[#This Row],[FECHA DE PAGO]]-PROVEEDORES[[#This Row],[FECHA DE FACTURACIÓN]])&gt;PROVEEDORES[[#This Row],[PLAZO Días]],"PAGO VENCIDO")</f>
        <v>0</v>
      </c>
      <c r="C828" s="22">
        <f>+VLOOKUP(PROVEEDORES[[#This Row],[PROVEEDOR]],TERCEROS_INFO[#All],2,FALSE)</f>
        <v>30</v>
      </c>
      <c r="D828" s="27">
        <f>+SUMIFS(PROVEEDORES[Total],PROVEEDORES[PROVEEDOR],PROVEEDORES[[#This Row],[PROVEEDOR]],PROVEEDORES[FECHA DE PAGO],"")</f>
        <v>6466720</v>
      </c>
      <c r="E828" s="27"/>
      <c r="F828" s="62" t="str">
        <f>+VLOOKUP(PROVEEDORES[[#This Row],[PROVEEDOR]],
                       Terceros!$A:$G,
                       6,
                       FALSE)</f>
        <v>PSE</v>
      </c>
      <c r="G828" s="95">
        <v>44484</v>
      </c>
      <c r="H828" s="28" t="s">
        <v>369</v>
      </c>
      <c r="I828" s="95">
        <v>44483</v>
      </c>
      <c r="J828" s="38" t="s">
        <v>610</v>
      </c>
      <c r="K828" s="23">
        <v>524986</v>
      </c>
      <c r="L828" s="23"/>
      <c r="M828" s="24">
        <v>0</v>
      </c>
      <c r="N828" s="25"/>
      <c r="O828" s="24">
        <v>0</v>
      </c>
      <c r="P828" s="136">
        <f>+IF(PROVEEDORES[[#This Row],[SUBTOTAL]]&lt;PROVEEDORES[[#This Row],[base retencion]],0,PROVEEDORES[[#This Row],[retención aplicada]])</f>
        <v>0</v>
      </c>
      <c r="Q828" s="24">
        <f>+PROVEEDORES[[#This Row],[Rete Fuente %]]*PROVEEDORES[[#This Row],[SUBTOTAL]]</f>
        <v>0</v>
      </c>
      <c r="R828" s="23">
        <v>524986</v>
      </c>
      <c r="S82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8" s="99">
        <f ca="1">IF(PROVEEDORES[[#This Row],[FECHA DE PAGO]]=0,TODAY()-PROVEEDORES[[#This Row],[FECHA DE FACTURACIÓN]]-PROVEEDORES[[#This Row],[PLAZO Días]],0)</f>
        <v>0</v>
      </c>
      <c r="U828" s="149">
        <f>+VLOOKUP(PROVEEDORES[[#This Row],[PROVEEDOR]],Terceros!$A:$E,5,FALSE)</f>
        <v>0</v>
      </c>
      <c r="V828" s="150">
        <f>+YEAR(PROVEEDORES[[#This Row],[FECHA DE FACTURACIÓN]])</f>
        <v>2021</v>
      </c>
      <c r="W828" s="150">
        <f>+MATCH(PROVEEDORES[[#This Row],[año facturado]],Retenciones!$1:$1,0)</f>
        <v>4</v>
      </c>
      <c r="X828" s="151">
        <f>+VLOOKUP(PROVEEDORES[[#This Row],[ID RETENCION]],Retenciones!$A$1:$O$24,PROVEEDORES[[#This Row],[indicador de columna]],FALSE)</f>
        <v>0</v>
      </c>
      <c r="Y828" s="152">
        <f>+VLOOKUP(PROVEEDORES[[#This Row],[ID RETENCION]],Retenciones!$A$1:$O$24,2,FALSE)</f>
        <v>0</v>
      </c>
      <c r="Z828" s="26"/>
      <c r="AA828" s="26"/>
      <c r="AB828" s="26"/>
      <c r="AC828" s="26"/>
      <c r="AD828" s="26"/>
      <c r="AE828" s="26"/>
    </row>
    <row r="829" spans="1:31" ht="21.95" customHeight="1" x14ac:dyDescent="0.25">
      <c r="A829" s="97" t="str">
        <f>+IF(PROVEEDORES[[#This Row],[FECHA DE PAGO]]=PROVEEDORES[[#This Row],[FECHA DE FACTURACIÓN]],"DE CONTADO","CRÉDITO")</f>
        <v>CRÉDITO</v>
      </c>
      <c r="B829" s="41" t="str">
        <f>+IF((PROVEEDORES[[#This Row],[FECHA DE PAGO]]-PROVEEDORES[[#This Row],[FECHA DE FACTURACIÓN]])&gt;PROVEEDORES[[#This Row],[PLAZO Días]],"PAGO VENCIDO")</f>
        <v>PAGO VENCIDO</v>
      </c>
      <c r="C829" s="22">
        <f>+VLOOKUP(PROVEEDORES[[#This Row],[PROVEEDOR]],TERCEROS_INFO[#All],2,FALSE)</f>
        <v>30</v>
      </c>
      <c r="D829" s="27">
        <f>+SUMIFS(PROVEEDORES[Total],PROVEEDORES[PROVEEDOR],PROVEEDORES[[#This Row],[PROVEEDOR]],PROVEEDORES[FECHA DE PAGO],"")</f>
        <v>5463150</v>
      </c>
      <c r="E829" s="27"/>
      <c r="F829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829" s="95">
        <v>44496</v>
      </c>
      <c r="H829" s="28" t="s">
        <v>344</v>
      </c>
      <c r="I829" s="95">
        <v>44287</v>
      </c>
      <c r="J829" s="38">
        <v>38743</v>
      </c>
      <c r="K829" s="23">
        <v>4142000</v>
      </c>
      <c r="L829" s="23"/>
      <c r="M829" s="24">
        <v>786980</v>
      </c>
      <c r="N829" s="25"/>
      <c r="O829" s="24">
        <v>0</v>
      </c>
      <c r="P829" s="136">
        <f>+IF(PROVEEDORES[[#This Row],[SUBTOTAL]]&lt;PROVEEDORES[[#This Row],[base retencion]],0,PROVEEDORES[[#This Row],[retención aplicada]])</f>
        <v>3.5000000000000003E-2</v>
      </c>
      <c r="Q829" s="24">
        <f>+PROVEEDORES[[#This Row],[Rete Fuente %]]*PROVEEDORES[[#This Row],[SUBTOTAL]]</f>
        <v>144970</v>
      </c>
      <c r="R829" s="23">
        <v>4784010</v>
      </c>
      <c r="S82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9" s="99">
        <f ca="1">IF(PROVEEDORES[[#This Row],[FECHA DE PAGO]]=0,TODAY()-PROVEEDORES[[#This Row],[FECHA DE FACTURACIÓN]]-PROVEEDORES[[#This Row],[PLAZO Días]],0)</f>
        <v>0</v>
      </c>
      <c r="U829" s="149" t="str">
        <f>+VLOOKUP(PROVEEDORES[[#This Row],[PROVEEDOR]],Terceros!$A:$E,5,FALSE)</f>
        <v>3,5% con base</v>
      </c>
      <c r="V829" s="150">
        <f>+YEAR(PROVEEDORES[[#This Row],[FECHA DE FACTURACIÓN]])</f>
        <v>2021</v>
      </c>
      <c r="W829" s="150">
        <f>+MATCH(PROVEEDORES[[#This Row],[año facturado]],Retenciones!$1:$1,0)</f>
        <v>4</v>
      </c>
      <c r="X829" s="151">
        <f>+VLOOKUP(PROVEEDORES[[#This Row],[ID RETENCION]],Retenciones!$A$1:$O$24,PROVEEDORES[[#This Row],[indicador de columna]],FALSE)</f>
        <v>980000</v>
      </c>
      <c r="Y829" s="152">
        <f>+VLOOKUP(PROVEEDORES[[#This Row],[ID RETENCION]],Retenciones!$A$1:$O$24,2,FALSE)</f>
        <v>3.5000000000000003E-2</v>
      </c>
      <c r="Z829" s="26"/>
      <c r="AA829" s="26"/>
      <c r="AB829" s="26"/>
      <c r="AC829" s="26"/>
      <c r="AD829" s="26"/>
      <c r="AE829" s="26"/>
    </row>
    <row r="830" spans="1:31" ht="21.95" customHeight="1" x14ac:dyDescent="0.25">
      <c r="A830" s="97" t="str">
        <f>+IF(PROVEEDORES[[#This Row],[FECHA DE PAGO]]=PROVEEDORES[[#This Row],[FECHA DE FACTURACIÓN]],"DE CONTADO","CRÉDITO")</f>
        <v>CRÉDITO</v>
      </c>
      <c r="B830" s="41" t="str">
        <f>+IF((PROVEEDORES[[#This Row],[FECHA DE PAGO]]-PROVEEDORES[[#This Row],[FECHA DE FACTURACIÓN]])&gt;PROVEEDORES[[#This Row],[PLAZO Días]],"PAGO VENCIDO")</f>
        <v>PAGO VENCIDO</v>
      </c>
      <c r="C830" s="22">
        <f>+VLOOKUP(PROVEEDORES[[#This Row],[PROVEEDOR]],TERCEROS_INFO[#All],2,FALSE)</f>
        <v>30</v>
      </c>
      <c r="D830" s="27">
        <f>+SUMIFS(PROVEEDORES[Total],PROVEEDORES[PROVEEDOR],PROVEEDORES[[#This Row],[PROVEEDOR]],PROVEEDORES[FECHA DE PAGO],"")</f>
        <v>5463150</v>
      </c>
      <c r="E830" s="27"/>
      <c r="F830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830" s="95">
        <v>44496</v>
      </c>
      <c r="H830" s="28" t="s">
        <v>344</v>
      </c>
      <c r="I830" s="95">
        <v>44369</v>
      </c>
      <c r="J830" s="38" t="s">
        <v>934</v>
      </c>
      <c r="K830" s="23">
        <v>-956801</v>
      </c>
      <c r="L830" s="23"/>
      <c r="M830" s="24">
        <v>0</v>
      </c>
      <c r="N830" s="25"/>
      <c r="O830" s="24">
        <v>0</v>
      </c>
      <c r="P830" s="136">
        <f>+IF(PROVEEDORES[[#This Row],[SUBTOTAL]]&lt;PROVEEDORES[[#This Row],[base retencion]],0,PROVEEDORES[[#This Row],[retención aplicada]])</f>
        <v>0</v>
      </c>
      <c r="Q830" s="24">
        <f>+PROVEEDORES[[#This Row],[Rete Fuente %]]*PROVEEDORES[[#This Row],[SUBTOTAL]]</f>
        <v>0</v>
      </c>
      <c r="R830" s="23">
        <v>-956801</v>
      </c>
      <c r="S83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0" s="99">
        <f ca="1">IF(PROVEEDORES[[#This Row],[FECHA DE PAGO]]=0,TODAY()-PROVEEDORES[[#This Row],[FECHA DE FACTURACIÓN]]-PROVEEDORES[[#This Row],[PLAZO Días]],0)</f>
        <v>0</v>
      </c>
      <c r="U830" s="149" t="str">
        <f>+VLOOKUP(PROVEEDORES[[#This Row],[PROVEEDOR]],Terceros!$A:$E,5,FALSE)</f>
        <v>3,5% con base</v>
      </c>
      <c r="V830" s="150">
        <f>+YEAR(PROVEEDORES[[#This Row],[FECHA DE FACTURACIÓN]])</f>
        <v>2021</v>
      </c>
      <c r="W830" s="150">
        <f>+MATCH(PROVEEDORES[[#This Row],[año facturado]],Retenciones!$1:$1,0)</f>
        <v>4</v>
      </c>
      <c r="X830" s="151">
        <f>+VLOOKUP(PROVEEDORES[[#This Row],[ID RETENCION]],Retenciones!$A$1:$O$24,PROVEEDORES[[#This Row],[indicador de columna]],FALSE)</f>
        <v>980000</v>
      </c>
      <c r="Y830" s="152">
        <f>+VLOOKUP(PROVEEDORES[[#This Row],[ID RETENCION]],Retenciones!$A$1:$O$24,2,FALSE)</f>
        <v>3.5000000000000003E-2</v>
      </c>
      <c r="Z830" s="26"/>
      <c r="AA830" s="26"/>
      <c r="AB830" s="26"/>
      <c r="AC830" s="26"/>
      <c r="AD830" s="26"/>
      <c r="AE830" s="26"/>
    </row>
    <row r="831" spans="1:31" ht="21.95" customHeight="1" x14ac:dyDescent="0.25">
      <c r="A831" s="97" t="str">
        <f>+IF(PROVEEDORES[[#This Row],[FECHA DE PAGO]]=PROVEEDORES[[#This Row],[FECHA DE FACTURACIÓN]],"DE CONTADO","CRÉDITO")</f>
        <v>CRÉDITO</v>
      </c>
      <c r="B831" s="41" t="str">
        <f>+IF((PROVEEDORES[[#This Row],[FECHA DE PAGO]]-PROVEEDORES[[#This Row],[FECHA DE FACTURACIÓN]])&gt;PROVEEDORES[[#This Row],[PLAZO Días]],"PAGO VENCIDO")</f>
        <v>PAGO VENCIDO</v>
      </c>
      <c r="C831" s="22">
        <f>+VLOOKUP(PROVEEDORES[[#This Row],[PROVEEDOR]],TERCEROS_INFO[#All],2,FALSE)</f>
        <v>30</v>
      </c>
      <c r="D831" s="27">
        <f>+SUMIFS(PROVEEDORES[Total],PROVEEDORES[PROVEEDOR],PROVEEDORES[[#This Row],[PROVEEDOR]],PROVEEDORES[FECHA DE PAGO],"")</f>
        <v>5463150</v>
      </c>
      <c r="E831" s="27"/>
      <c r="F831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831" s="95">
        <v>44496</v>
      </c>
      <c r="H831" s="28" t="s">
        <v>344</v>
      </c>
      <c r="I831" s="95">
        <v>44396</v>
      </c>
      <c r="J831" s="38" t="s">
        <v>934</v>
      </c>
      <c r="K831" s="23">
        <v>-956801</v>
      </c>
      <c r="L831" s="23"/>
      <c r="M831" s="24">
        <v>0</v>
      </c>
      <c r="N831" s="25"/>
      <c r="O831" s="24">
        <v>0</v>
      </c>
      <c r="P831" s="136">
        <f>+IF(PROVEEDORES[[#This Row],[SUBTOTAL]]&lt;PROVEEDORES[[#This Row],[base retencion]],0,PROVEEDORES[[#This Row],[retención aplicada]])</f>
        <v>0</v>
      </c>
      <c r="Q831" s="24">
        <f>+PROVEEDORES[[#This Row],[Rete Fuente %]]*PROVEEDORES[[#This Row],[SUBTOTAL]]</f>
        <v>0</v>
      </c>
      <c r="R831" s="23">
        <v>-956801</v>
      </c>
      <c r="S83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1" s="99">
        <f ca="1">IF(PROVEEDORES[[#This Row],[FECHA DE PAGO]]=0,TODAY()-PROVEEDORES[[#This Row],[FECHA DE FACTURACIÓN]]-PROVEEDORES[[#This Row],[PLAZO Días]],0)</f>
        <v>0</v>
      </c>
      <c r="U831" s="149" t="str">
        <f>+VLOOKUP(PROVEEDORES[[#This Row],[PROVEEDOR]],Terceros!$A:$E,5,FALSE)</f>
        <v>3,5% con base</v>
      </c>
      <c r="V831" s="150">
        <f>+YEAR(PROVEEDORES[[#This Row],[FECHA DE FACTURACIÓN]])</f>
        <v>2021</v>
      </c>
      <c r="W831" s="150">
        <f>+MATCH(PROVEEDORES[[#This Row],[año facturado]],Retenciones!$1:$1,0)</f>
        <v>4</v>
      </c>
      <c r="X831" s="151">
        <f>+VLOOKUP(PROVEEDORES[[#This Row],[ID RETENCION]],Retenciones!$A$1:$O$24,PROVEEDORES[[#This Row],[indicador de columna]],FALSE)</f>
        <v>980000</v>
      </c>
      <c r="Y831" s="152">
        <f>+VLOOKUP(PROVEEDORES[[#This Row],[ID RETENCION]],Retenciones!$A$1:$O$24,2,FALSE)</f>
        <v>3.5000000000000003E-2</v>
      </c>
      <c r="Z831" s="26"/>
      <c r="AA831" s="26"/>
      <c r="AB831" s="26"/>
      <c r="AC831" s="26"/>
      <c r="AD831" s="26"/>
      <c r="AE831" s="26"/>
    </row>
    <row r="832" spans="1:31" ht="21.95" customHeight="1" x14ac:dyDescent="0.25">
      <c r="A832" s="97" t="str">
        <f>+IF(PROVEEDORES[[#This Row],[FECHA DE PAGO]]=PROVEEDORES[[#This Row],[FECHA DE FACTURACIÓN]],"DE CONTADO","CRÉDITO")</f>
        <v>CRÉDITO</v>
      </c>
      <c r="B832" s="41" t="str">
        <f>+IF((PROVEEDORES[[#This Row],[FECHA DE PAGO]]-PROVEEDORES[[#This Row],[FECHA DE FACTURACIÓN]])&gt;PROVEEDORES[[#This Row],[PLAZO Días]],"PAGO VENCIDO")</f>
        <v>PAGO VENCIDO</v>
      </c>
      <c r="C832" s="22">
        <f>+VLOOKUP(PROVEEDORES[[#This Row],[PROVEEDOR]],TERCEROS_INFO[#All],2,FALSE)</f>
        <v>30</v>
      </c>
      <c r="D832" s="27">
        <f>+SUMIFS(PROVEEDORES[Total],PROVEEDORES[PROVEEDOR],PROVEEDORES[[#This Row],[PROVEEDOR]],PROVEEDORES[FECHA DE PAGO],"")</f>
        <v>5463150</v>
      </c>
      <c r="E832" s="27"/>
      <c r="F832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832" s="95">
        <v>44496</v>
      </c>
      <c r="H832" s="28" t="s">
        <v>344</v>
      </c>
      <c r="I832" s="95">
        <v>44432</v>
      </c>
      <c r="J832" s="38" t="s">
        <v>934</v>
      </c>
      <c r="K832" s="23">
        <v>-956801</v>
      </c>
      <c r="L832" s="23"/>
      <c r="M832" s="24">
        <v>0</v>
      </c>
      <c r="N832" s="25"/>
      <c r="O832" s="24">
        <v>0</v>
      </c>
      <c r="P832" s="136">
        <f>+IF(PROVEEDORES[[#This Row],[SUBTOTAL]]&lt;PROVEEDORES[[#This Row],[base retencion]],0,PROVEEDORES[[#This Row],[retención aplicada]])</f>
        <v>0</v>
      </c>
      <c r="Q832" s="24">
        <f>+PROVEEDORES[[#This Row],[Rete Fuente %]]*PROVEEDORES[[#This Row],[SUBTOTAL]]</f>
        <v>0</v>
      </c>
      <c r="R832" s="23">
        <v>-956801</v>
      </c>
      <c r="S83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2" s="99">
        <f ca="1">IF(PROVEEDORES[[#This Row],[FECHA DE PAGO]]=0,TODAY()-PROVEEDORES[[#This Row],[FECHA DE FACTURACIÓN]]-PROVEEDORES[[#This Row],[PLAZO Días]],0)</f>
        <v>0</v>
      </c>
      <c r="U832" s="149" t="str">
        <f>+VLOOKUP(PROVEEDORES[[#This Row],[PROVEEDOR]],Terceros!$A:$E,5,FALSE)</f>
        <v>3,5% con base</v>
      </c>
      <c r="V832" s="150">
        <f>+YEAR(PROVEEDORES[[#This Row],[FECHA DE FACTURACIÓN]])</f>
        <v>2021</v>
      </c>
      <c r="W832" s="150">
        <f>+MATCH(PROVEEDORES[[#This Row],[año facturado]],Retenciones!$1:$1,0)</f>
        <v>4</v>
      </c>
      <c r="X832" s="151">
        <f>+VLOOKUP(PROVEEDORES[[#This Row],[ID RETENCION]],Retenciones!$A$1:$O$24,PROVEEDORES[[#This Row],[indicador de columna]],FALSE)</f>
        <v>980000</v>
      </c>
      <c r="Y832" s="152">
        <f>+VLOOKUP(PROVEEDORES[[#This Row],[ID RETENCION]],Retenciones!$A$1:$O$24,2,FALSE)</f>
        <v>3.5000000000000003E-2</v>
      </c>
      <c r="Z832" s="26"/>
      <c r="AA832" s="26"/>
      <c r="AB832" s="26"/>
      <c r="AC832" s="26"/>
      <c r="AD832" s="26"/>
      <c r="AE832" s="26"/>
    </row>
    <row r="833" spans="1:31" ht="21.95" customHeight="1" x14ac:dyDescent="0.25">
      <c r="A833" s="97" t="str">
        <f>+IF(PROVEEDORES[[#This Row],[FECHA DE PAGO]]=PROVEEDORES[[#This Row],[FECHA DE FACTURACIÓN]],"DE CONTADO","CRÉDITO")</f>
        <v>CRÉDITO</v>
      </c>
      <c r="B833" s="41" t="str">
        <f>+IF((PROVEEDORES[[#This Row],[FECHA DE PAGO]]-PROVEEDORES[[#This Row],[FECHA DE FACTURACIÓN]])&gt;PROVEEDORES[[#This Row],[PLAZO Días]],"PAGO VENCIDO")</f>
        <v>PAGO VENCIDO</v>
      </c>
      <c r="C833" s="22">
        <f>+VLOOKUP(PROVEEDORES[[#This Row],[PROVEEDOR]],TERCEROS_INFO[#All],2,FALSE)</f>
        <v>30</v>
      </c>
      <c r="D833" s="27">
        <f>+SUMIFS(PROVEEDORES[Total],PROVEEDORES[PROVEEDOR],PROVEEDORES[[#This Row],[PROVEEDOR]],PROVEEDORES[FECHA DE PAGO],"")</f>
        <v>5463150</v>
      </c>
      <c r="E833" s="27"/>
      <c r="F833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833" s="95">
        <v>44496</v>
      </c>
      <c r="H833" s="28" t="s">
        <v>344</v>
      </c>
      <c r="I833" s="95">
        <v>44461</v>
      </c>
      <c r="J833" s="38" t="s">
        <v>934</v>
      </c>
      <c r="K833" s="23">
        <v>-956801</v>
      </c>
      <c r="L833" s="23"/>
      <c r="M833" s="24">
        <v>0</v>
      </c>
      <c r="N833" s="25"/>
      <c r="O833" s="24">
        <v>0</v>
      </c>
      <c r="P833" s="136">
        <f>+IF(PROVEEDORES[[#This Row],[SUBTOTAL]]&lt;PROVEEDORES[[#This Row],[base retencion]],0,PROVEEDORES[[#This Row],[retención aplicada]])</f>
        <v>0</v>
      </c>
      <c r="Q833" s="24">
        <f>+PROVEEDORES[[#This Row],[Rete Fuente %]]*PROVEEDORES[[#This Row],[SUBTOTAL]]</f>
        <v>0</v>
      </c>
      <c r="R833" s="23">
        <v>-956801</v>
      </c>
      <c r="S83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3" s="99">
        <f ca="1">IF(PROVEEDORES[[#This Row],[FECHA DE PAGO]]=0,TODAY()-PROVEEDORES[[#This Row],[FECHA DE FACTURACIÓN]]-PROVEEDORES[[#This Row],[PLAZO Días]],0)</f>
        <v>0</v>
      </c>
      <c r="U833" s="149" t="str">
        <f>+VLOOKUP(PROVEEDORES[[#This Row],[PROVEEDOR]],Terceros!$A:$E,5,FALSE)</f>
        <v>3,5% con base</v>
      </c>
      <c r="V833" s="150">
        <f>+YEAR(PROVEEDORES[[#This Row],[FECHA DE FACTURACIÓN]])</f>
        <v>2021</v>
      </c>
      <c r="W833" s="150">
        <f>+MATCH(PROVEEDORES[[#This Row],[año facturado]],Retenciones!$1:$1,0)</f>
        <v>4</v>
      </c>
      <c r="X833" s="151">
        <f>+VLOOKUP(PROVEEDORES[[#This Row],[ID RETENCION]],Retenciones!$A$1:$O$24,PROVEEDORES[[#This Row],[indicador de columna]],FALSE)</f>
        <v>980000</v>
      </c>
      <c r="Y833" s="152">
        <f>+VLOOKUP(PROVEEDORES[[#This Row],[ID RETENCION]],Retenciones!$A$1:$O$24,2,FALSE)</f>
        <v>3.5000000000000003E-2</v>
      </c>
      <c r="Z833" s="26"/>
      <c r="AA833" s="26"/>
      <c r="AB833" s="26"/>
      <c r="AC833" s="26"/>
      <c r="AD833" s="26"/>
      <c r="AE833" s="26"/>
    </row>
    <row r="834" spans="1:31" ht="21.95" customHeight="1" x14ac:dyDescent="0.25">
      <c r="A834" s="97" t="str">
        <f>+IF(PROVEEDORES[[#This Row],[FECHA DE PAGO]]=PROVEEDORES[[#This Row],[FECHA DE FACTURACIÓN]],"DE CONTADO","CRÉDITO")</f>
        <v>CRÉDITO</v>
      </c>
      <c r="B834" s="41" t="b">
        <f>+IF((PROVEEDORES[[#This Row],[FECHA DE PAGO]]-PROVEEDORES[[#This Row],[FECHA DE FACTURACIÓN]])&gt;PROVEEDORES[[#This Row],[PLAZO Días]],"PAGO VENCIDO")</f>
        <v>0</v>
      </c>
      <c r="C834" s="22">
        <f>+VLOOKUP(PROVEEDORES[[#This Row],[PROVEEDOR]],TERCEROS_INFO[#All],2,FALSE)</f>
        <v>30</v>
      </c>
      <c r="D834" s="27">
        <f>+SUMIFS(PROVEEDORES[Total],PROVEEDORES[PROVEEDOR],PROVEEDORES[[#This Row],[PROVEEDOR]],PROVEEDORES[FECHA DE PAGO],"")</f>
        <v>248736.18000000002</v>
      </c>
      <c r="E834" s="27"/>
      <c r="F834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G834" s="95">
        <v>44496</v>
      </c>
      <c r="H834" s="28" t="s">
        <v>343</v>
      </c>
      <c r="I834" s="95">
        <v>44470</v>
      </c>
      <c r="J834" s="38" t="s">
        <v>562</v>
      </c>
      <c r="K834" s="23">
        <v>203897</v>
      </c>
      <c r="L834" s="23"/>
      <c r="M834" s="24">
        <v>38740.43</v>
      </c>
      <c r="N834" s="25"/>
      <c r="O834" s="24">
        <v>0</v>
      </c>
      <c r="P834" s="136">
        <f>+IF(PROVEEDORES[[#This Row],[SUBTOTAL]]&lt;PROVEEDORES[[#This Row],[base retencion]],0,PROVEEDORES[[#This Row],[retención aplicada]])</f>
        <v>3.5000000000000003E-2</v>
      </c>
      <c r="Q834" s="24">
        <f>+PROVEEDORES[[#This Row],[Rete Fuente %]]*PROVEEDORES[[#This Row],[SUBTOTAL]]</f>
        <v>7136.3950000000004</v>
      </c>
      <c r="R834" s="23">
        <v>235501.035</v>
      </c>
      <c r="S83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4" s="99">
        <f ca="1">IF(PROVEEDORES[[#This Row],[FECHA DE PAGO]]=0,TODAY()-PROVEEDORES[[#This Row],[FECHA DE FACTURACIÓN]]-PROVEEDORES[[#This Row],[PLAZO Días]],0)</f>
        <v>0</v>
      </c>
      <c r="U834" s="149" t="str">
        <f>+VLOOKUP(PROVEEDORES[[#This Row],[PROVEEDOR]],Terceros!$A:$E,5,FALSE)</f>
        <v>3,5% sin base</v>
      </c>
      <c r="V834" s="150">
        <f>+YEAR(PROVEEDORES[[#This Row],[FECHA DE FACTURACIÓN]])</f>
        <v>2021</v>
      </c>
      <c r="W834" s="150">
        <f>+MATCH(PROVEEDORES[[#This Row],[año facturado]],Retenciones!$1:$1,0)</f>
        <v>4</v>
      </c>
      <c r="X834" s="151">
        <f>+VLOOKUP(PROVEEDORES[[#This Row],[ID RETENCION]],Retenciones!$A$1:$O$24,PROVEEDORES[[#This Row],[indicador de columna]],FALSE)</f>
        <v>0</v>
      </c>
      <c r="Y834" s="152">
        <f>+VLOOKUP(PROVEEDORES[[#This Row],[ID RETENCION]],Retenciones!$A$1:$O$24,2,FALSE)</f>
        <v>3.5000000000000003E-2</v>
      </c>
      <c r="Z834" s="26"/>
      <c r="AA834" s="26"/>
      <c r="AB834" s="26"/>
      <c r="AC834" s="26"/>
      <c r="AD834" s="26"/>
      <c r="AE834" s="26"/>
    </row>
    <row r="835" spans="1:31" ht="21.95" customHeight="1" x14ac:dyDescent="0.25">
      <c r="A835" s="97" t="str">
        <f>+IF(PROVEEDORES[[#This Row],[FECHA DE PAGO]]=PROVEEDORES[[#This Row],[FECHA DE FACTURACIÓN]],"DE CONTADO","CRÉDITO")</f>
        <v>CRÉDITO</v>
      </c>
      <c r="B835" s="41" t="b">
        <f>+IF((PROVEEDORES[[#This Row],[FECHA DE PAGO]]-PROVEEDORES[[#This Row],[FECHA DE FACTURACIÓN]])&gt;PROVEEDORES[[#This Row],[PLAZO Días]],"PAGO VENCIDO")</f>
        <v>0</v>
      </c>
      <c r="C835" s="22">
        <f>+VLOOKUP(PROVEEDORES[[#This Row],[PROVEEDOR]],TERCEROS_INFO[#All],2,FALSE)</f>
        <v>30</v>
      </c>
      <c r="D835" s="27">
        <f>+SUMIFS(PROVEEDORES[Total],PROVEEDORES[PROVEEDOR],PROVEEDORES[[#This Row],[PROVEEDOR]],PROVEEDORES[FECHA DE PAGO],"")</f>
        <v>4862586.33</v>
      </c>
      <c r="E835" s="27"/>
      <c r="F835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835" s="95">
        <v>44496</v>
      </c>
      <c r="H835" s="28" t="s">
        <v>345</v>
      </c>
      <c r="I835" s="95">
        <v>44470</v>
      </c>
      <c r="J835" s="38" t="s">
        <v>585</v>
      </c>
      <c r="K835" s="23">
        <v>716544</v>
      </c>
      <c r="L835" s="23"/>
      <c r="M835" s="24">
        <v>136143.36000000002</v>
      </c>
      <c r="N835" s="25"/>
      <c r="O835" s="24">
        <v>0</v>
      </c>
      <c r="P835" s="136">
        <f>+IF(PROVEEDORES[[#This Row],[SUBTOTAL]]&lt;PROVEEDORES[[#This Row],[base retencion]],0,PROVEEDORES[[#This Row],[retención aplicada]])</f>
        <v>0</v>
      </c>
      <c r="Q835" s="24">
        <f>+PROVEEDORES[[#This Row],[Rete Fuente %]]*PROVEEDORES[[#This Row],[SUBTOTAL]]</f>
        <v>0</v>
      </c>
      <c r="R835" s="23">
        <v>852687.35999999999</v>
      </c>
      <c r="S83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5" s="99">
        <f ca="1">IF(PROVEEDORES[[#This Row],[FECHA DE PAGO]]=0,TODAY()-PROVEEDORES[[#This Row],[FECHA DE FACTURACIÓN]]-PROVEEDORES[[#This Row],[PLAZO Días]],0)</f>
        <v>0</v>
      </c>
      <c r="U835" s="149">
        <f>+VLOOKUP(PROVEEDORES[[#This Row],[PROVEEDOR]],Terceros!$A:$E,5,FALSE)</f>
        <v>0</v>
      </c>
      <c r="V835" s="150">
        <f>+YEAR(PROVEEDORES[[#This Row],[FECHA DE FACTURACIÓN]])</f>
        <v>2021</v>
      </c>
      <c r="W835" s="150">
        <f>+MATCH(PROVEEDORES[[#This Row],[año facturado]],Retenciones!$1:$1,0)</f>
        <v>4</v>
      </c>
      <c r="X835" s="151">
        <f>+VLOOKUP(PROVEEDORES[[#This Row],[ID RETENCION]],Retenciones!$A$1:$O$24,PROVEEDORES[[#This Row],[indicador de columna]],FALSE)</f>
        <v>0</v>
      </c>
      <c r="Y835" s="152">
        <f>+VLOOKUP(PROVEEDORES[[#This Row],[ID RETENCION]],Retenciones!$A$1:$O$24,2,FALSE)</f>
        <v>0</v>
      </c>
      <c r="Z835" s="26"/>
      <c r="AA835" s="26"/>
      <c r="AB835" s="26"/>
      <c r="AC835" s="26"/>
      <c r="AD835" s="26"/>
      <c r="AE835" s="26"/>
    </row>
    <row r="836" spans="1:31" ht="21.95" customHeight="1" x14ac:dyDescent="0.25">
      <c r="A836" s="97" t="str">
        <f>+IF(PROVEEDORES[[#This Row],[FECHA DE PAGO]]=PROVEEDORES[[#This Row],[FECHA DE FACTURACIÓN]],"DE CONTADO","CRÉDITO")</f>
        <v>CRÉDITO</v>
      </c>
      <c r="B836" s="41" t="b">
        <f>+IF((PROVEEDORES[[#This Row],[FECHA DE PAGO]]-PROVEEDORES[[#This Row],[FECHA DE FACTURACIÓN]])&gt;PROVEEDORES[[#This Row],[PLAZO Días]],"PAGO VENCIDO")</f>
        <v>0</v>
      </c>
      <c r="C836" s="22">
        <f>+VLOOKUP(PROVEEDORES[[#This Row],[PROVEEDOR]],TERCEROS_INFO[#All],2,FALSE)</f>
        <v>30</v>
      </c>
      <c r="D836" s="27">
        <f>+SUMIFS(PROVEEDORES[Total],PROVEEDORES[PROVEEDOR],PROVEEDORES[[#This Row],[PROVEEDOR]],PROVEEDORES[FECHA DE PAGO],"")</f>
        <v>0</v>
      </c>
      <c r="E836" s="27"/>
      <c r="F836" s="62" t="str">
        <f>+VLOOKUP(PROVEEDORES[[#This Row],[PROVEEDOR]],
                       Terceros!$A:$G,
                       6,
                       FALSE)</f>
        <v>tesoreria@lacentral.com.co;girlesa.ruiz@servipilas.com;joriescobar64@gmail.com</v>
      </c>
      <c r="G836" s="95">
        <v>44496</v>
      </c>
      <c r="H836" s="28" t="s">
        <v>332</v>
      </c>
      <c r="I836" s="95">
        <v>44470</v>
      </c>
      <c r="J836" s="38">
        <v>9120</v>
      </c>
      <c r="K836" s="23">
        <v>1547710</v>
      </c>
      <c r="L836" s="23"/>
      <c r="M836" s="24">
        <v>0</v>
      </c>
      <c r="N836" s="25"/>
      <c r="O836" s="24">
        <v>75639</v>
      </c>
      <c r="P836" s="136">
        <f>+IF(PROVEEDORES[[#This Row],[SUBTOTAL]]&lt;PROVEEDORES[[#This Row],[base retencion]],0,PROVEEDORES[[#This Row],[retención aplicada]])</f>
        <v>0</v>
      </c>
      <c r="Q836" s="24">
        <f>+PROVEEDORES[[#This Row],[Rete Fuente %]]*PROVEEDORES[[#This Row],[SUBTOTAL]]</f>
        <v>0</v>
      </c>
      <c r="R836" s="23">
        <v>1472071</v>
      </c>
      <c r="S83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6" s="99">
        <f ca="1">IF(PROVEEDORES[[#This Row],[FECHA DE PAGO]]=0,TODAY()-PROVEEDORES[[#This Row],[FECHA DE FACTURACIÓN]]-PROVEEDORES[[#This Row],[PLAZO Días]],0)</f>
        <v>0</v>
      </c>
      <c r="U836" s="149">
        <f>+VLOOKUP(PROVEEDORES[[#This Row],[PROVEEDOR]],Terceros!$A:$E,5,FALSE)</f>
        <v>0</v>
      </c>
      <c r="V836" s="150">
        <f>+YEAR(PROVEEDORES[[#This Row],[FECHA DE FACTURACIÓN]])</f>
        <v>2021</v>
      </c>
      <c r="W836" s="150">
        <f>+MATCH(PROVEEDORES[[#This Row],[año facturado]],Retenciones!$1:$1,0)</f>
        <v>4</v>
      </c>
      <c r="X836" s="151">
        <f>+VLOOKUP(PROVEEDORES[[#This Row],[ID RETENCION]],Retenciones!$A$1:$O$24,PROVEEDORES[[#This Row],[indicador de columna]],FALSE)</f>
        <v>0</v>
      </c>
      <c r="Y836" s="152">
        <f>+VLOOKUP(PROVEEDORES[[#This Row],[ID RETENCION]],Retenciones!$A$1:$O$24,2,FALSE)</f>
        <v>0</v>
      </c>
      <c r="Z836" s="26"/>
      <c r="AA836" s="26"/>
      <c r="AB836" s="26"/>
      <c r="AC836" s="26"/>
      <c r="AD836" s="26"/>
      <c r="AE836" s="26"/>
    </row>
    <row r="837" spans="1:31" ht="21.95" customHeight="1" x14ac:dyDescent="0.25">
      <c r="A837" s="97" t="str">
        <f>+IF(PROVEEDORES[[#This Row],[FECHA DE PAGO]]=PROVEEDORES[[#This Row],[FECHA DE FACTURACIÓN]],"DE CONTADO","CRÉDITO")</f>
        <v>CRÉDITO</v>
      </c>
      <c r="B837" s="41" t="b">
        <f>+IF((PROVEEDORES[[#This Row],[FECHA DE PAGO]]-PROVEEDORES[[#This Row],[FECHA DE FACTURACIÓN]])&gt;PROVEEDORES[[#This Row],[PLAZO Días]],"PAGO VENCIDO")</f>
        <v>0</v>
      </c>
      <c r="C837" s="22">
        <f>+VLOOKUP(PROVEEDORES[[#This Row],[PROVEEDOR]],TERCEROS_INFO[#All],2,FALSE)</f>
        <v>30</v>
      </c>
      <c r="D837" s="27">
        <f>+SUMIFS(PROVEEDORES[Total],PROVEEDORES[PROVEEDOR],PROVEEDORES[[#This Row],[PROVEEDOR]],PROVEEDORES[FECHA DE PAGO],"")</f>
        <v>0</v>
      </c>
      <c r="E837" s="27"/>
      <c r="F837" s="62" t="str">
        <f>+VLOOKUP(PROVEEDORES[[#This Row],[PROVEEDOR]],
                       Terceros!$A:$G,
                       6,
                       FALSE)</f>
        <v>propertymarketingsas@hotmail.com;girlesa.ruiz@servipilas.com;joriescobar64@gmail.com</v>
      </c>
      <c r="G837" s="95">
        <v>44496</v>
      </c>
      <c r="H837" s="28" t="s">
        <v>483</v>
      </c>
      <c r="I837" s="95">
        <v>44470</v>
      </c>
      <c r="J837" s="38" t="s">
        <v>840</v>
      </c>
      <c r="K837" s="23">
        <v>2789636</v>
      </c>
      <c r="L837" s="23"/>
      <c r="M837" s="24">
        <v>0</v>
      </c>
      <c r="N837" s="25"/>
      <c r="O837" s="24">
        <v>0</v>
      </c>
      <c r="P837" s="136">
        <f>+IF(PROVEEDORES[[#This Row],[SUBTOTAL]]&lt;PROVEEDORES[[#This Row],[base retencion]],0,PROVEEDORES[[#This Row],[retención aplicada]])</f>
        <v>3.5000000000000003E-2</v>
      </c>
      <c r="Q837" s="24">
        <f>+PROVEEDORES[[#This Row],[Rete Fuente %]]*PROVEEDORES[[#This Row],[SUBTOTAL]]</f>
        <v>97637.260000000009</v>
      </c>
      <c r="R837" s="23">
        <v>2691998.74</v>
      </c>
      <c r="S83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7" s="99">
        <f ca="1">IF(PROVEEDORES[[#This Row],[FECHA DE PAGO]]=0,TODAY()-PROVEEDORES[[#This Row],[FECHA DE FACTURACIÓN]]-PROVEEDORES[[#This Row],[PLAZO Días]],0)</f>
        <v>0</v>
      </c>
      <c r="U837" s="149" t="str">
        <f>+VLOOKUP(PROVEEDORES[[#This Row],[PROVEEDOR]],Terceros!$A:$E,5,FALSE)</f>
        <v>3,5% sin base</v>
      </c>
      <c r="V837" s="150">
        <f>+YEAR(PROVEEDORES[[#This Row],[FECHA DE FACTURACIÓN]])</f>
        <v>2021</v>
      </c>
      <c r="W837" s="150">
        <f>+MATCH(PROVEEDORES[[#This Row],[año facturado]],Retenciones!$1:$1,0)</f>
        <v>4</v>
      </c>
      <c r="X837" s="151">
        <f>+VLOOKUP(PROVEEDORES[[#This Row],[ID RETENCION]],Retenciones!$A$1:$O$24,PROVEEDORES[[#This Row],[indicador de columna]],FALSE)</f>
        <v>0</v>
      </c>
      <c r="Y837" s="152">
        <f>+VLOOKUP(PROVEEDORES[[#This Row],[ID RETENCION]],Retenciones!$A$1:$O$24,2,FALSE)</f>
        <v>3.5000000000000003E-2</v>
      </c>
      <c r="Z837" s="26"/>
      <c r="AA837" s="26"/>
      <c r="AB837" s="26"/>
      <c r="AC837" s="26"/>
      <c r="AD837" s="26"/>
      <c r="AE837" s="26"/>
    </row>
    <row r="838" spans="1:31" ht="21.95" customHeight="1" x14ac:dyDescent="0.25">
      <c r="A838" s="97" t="str">
        <f>+IF(PROVEEDORES[[#This Row],[FECHA DE PAGO]]=PROVEEDORES[[#This Row],[FECHA DE FACTURACIÓN]],"DE CONTADO","CRÉDITO")</f>
        <v>DE CONTADO</v>
      </c>
      <c r="B838" s="41" t="b">
        <f>+IF((PROVEEDORES[[#This Row],[FECHA DE PAGO]]-PROVEEDORES[[#This Row],[FECHA DE FACTURACIÓN]])&gt;PROVEEDORES[[#This Row],[PLAZO Días]],"PAGO VENCIDO")</f>
        <v>0</v>
      </c>
      <c r="C838" s="22">
        <f>+VLOOKUP(PROVEEDORES[[#This Row],[PROVEEDOR]],TERCEROS_INFO[#All],2,FALSE)</f>
        <v>30</v>
      </c>
      <c r="D838" s="27">
        <f>+SUMIFS(PROVEEDORES[Total],PROVEEDORES[PROVEEDOR],PROVEEDORES[[#This Row],[PROVEEDOR]],PROVEEDORES[FECHA DE PAGO],"")</f>
        <v>390000</v>
      </c>
      <c r="E838" s="27"/>
      <c r="F838" s="62">
        <f>+VLOOKUP(PROVEEDORES[[#This Row],[PROVEEDOR]],
                       Terceros!$A:$G,
                       6,
                       FALSE)</f>
        <v>0</v>
      </c>
      <c r="G838" s="95">
        <v>44470</v>
      </c>
      <c r="H838" s="28" t="s">
        <v>1080</v>
      </c>
      <c r="I838" s="95">
        <v>44470</v>
      </c>
      <c r="J838" s="38" t="s">
        <v>836</v>
      </c>
      <c r="K838" s="23">
        <v>1170000</v>
      </c>
      <c r="L838" s="23"/>
      <c r="M838" s="24">
        <v>0</v>
      </c>
      <c r="N838" s="25"/>
      <c r="O838" s="24">
        <v>0</v>
      </c>
      <c r="P838" s="136">
        <f>+IF(PROVEEDORES[[#This Row],[SUBTOTAL]]&lt;PROVEEDORES[[#This Row],[base retencion]],0,PROVEEDORES[[#This Row],[retención aplicada]])</f>
        <v>0</v>
      </c>
      <c r="Q838" s="24">
        <f>+PROVEEDORES[[#This Row],[Rete Fuente %]]*PROVEEDORES[[#This Row],[SUBTOTAL]]</f>
        <v>0</v>
      </c>
      <c r="R838" s="23">
        <v>1170000</v>
      </c>
      <c r="S83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8" s="99">
        <f ca="1">IF(PROVEEDORES[[#This Row],[FECHA DE PAGO]]=0,TODAY()-PROVEEDORES[[#This Row],[FECHA DE FACTURACIÓN]]-PROVEEDORES[[#This Row],[PLAZO Días]],0)</f>
        <v>0</v>
      </c>
      <c r="U838" s="149">
        <f>+VLOOKUP(PROVEEDORES[[#This Row],[PROVEEDOR]],Terceros!$A:$E,5,FALSE)</f>
        <v>0</v>
      </c>
      <c r="V838" s="150">
        <f>+YEAR(PROVEEDORES[[#This Row],[FECHA DE FACTURACIÓN]])</f>
        <v>2021</v>
      </c>
      <c r="W838" s="150">
        <f>+MATCH(PROVEEDORES[[#This Row],[año facturado]],Retenciones!$1:$1,0)</f>
        <v>4</v>
      </c>
      <c r="X838" s="151">
        <f>+VLOOKUP(PROVEEDORES[[#This Row],[ID RETENCION]],Retenciones!$A$1:$O$24,PROVEEDORES[[#This Row],[indicador de columna]],FALSE)</f>
        <v>0</v>
      </c>
      <c r="Y838" s="152">
        <f>+VLOOKUP(PROVEEDORES[[#This Row],[ID RETENCION]],Retenciones!$A$1:$O$24,2,FALSE)</f>
        <v>0</v>
      </c>
      <c r="Z838" s="26"/>
      <c r="AA838" s="26"/>
      <c r="AB838" s="26"/>
      <c r="AC838" s="26"/>
      <c r="AD838" s="26"/>
      <c r="AE838" s="26"/>
    </row>
    <row r="839" spans="1:31" ht="21.95" customHeight="1" x14ac:dyDescent="0.25">
      <c r="A839" s="97" t="str">
        <f>+IF(PROVEEDORES[[#This Row],[FECHA DE PAGO]]=PROVEEDORES[[#This Row],[FECHA DE FACTURACIÓN]],"DE CONTADO","CRÉDITO")</f>
        <v>CRÉDITO</v>
      </c>
      <c r="B839" s="41" t="b">
        <f>+IF((PROVEEDORES[[#This Row],[FECHA DE PAGO]]-PROVEEDORES[[#This Row],[FECHA DE FACTURACIÓN]])&gt;PROVEEDORES[[#This Row],[PLAZO Días]],"PAGO VENCIDO")</f>
        <v>0</v>
      </c>
      <c r="C839" s="22">
        <f>+VLOOKUP(PROVEEDORES[[#This Row],[PROVEEDOR]],TERCEROS_INFO[#All],2,FALSE)</f>
        <v>30</v>
      </c>
      <c r="D839" s="27">
        <f>+SUMIFS(PROVEEDORES[Total],PROVEEDORES[PROVEEDOR],PROVEEDORES[[#This Row],[PROVEEDOR]],PROVEEDORES[FECHA DE PAGO],"")</f>
        <v>4862586.33</v>
      </c>
      <c r="E839" s="27"/>
      <c r="F839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839" s="95">
        <v>44496</v>
      </c>
      <c r="H839" s="28" t="s">
        <v>345</v>
      </c>
      <c r="I839" s="95">
        <v>44470</v>
      </c>
      <c r="J839" s="38" t="s">
        <v>586</v>
      </c>
      <c r="K839" s="23">
        <v>3061166</v>
      </c>
      <c r="L839" s="23"/>
      <c r="M839" s="24">
        <v>581621.54</v>
      </c>
      <c r="N839" s="25"/>
      <c r="O839" s="24">
        <v>0</v>
      </c>
      <c r="P839" s="136">
        <f>+IF(PROVEEDORES[[#This Row],[SUBTOTAL]]&lt;PROVEEDORES[[#This Row],[base retencion]],0,PROVEEDORES[[#This Row],[retención aplicada]])</f>
        <v>0</v>
      </c>
      <c r="Q839" s="24">
        <f>+PROVEEDORES[[#This Row],[Rete Fuente %]]*PROVEEDORES[[#This Row],[SUBTOTAL]]</f>
        <v>0</v>
      </c>
      <c r="R839" s="23">
        <v>3642787.54</v>
      </c>
      <c r="S83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9" s="99">
        <f ca="1">IF(PROVEEDORES[[#This Row],[FECHA DE PAGO]]=0,TODAY()-PROVEEDORES[[#This Row],[FECHA DE FACTURACIÓN]]-PROVEEDORES[[#This Row],[PLAZO Días]],0)</f>
        <v>0</v>
      </c>
      <c r="U839" s="149">
        <f>+VLOOKUP(PROVEEDORES[[#This Row],[PROVEEDOR]],Terceros!$A:$E,5,FALSE)</f>
        <v>0</v>
      </c>
      <c r="V839" s="150">
        <f>+YEAR(PROVEEDORES[[#This Row],[FECHA DE FACTURACIÓN]])</f>
        <v>2021</v>
      </c>
      <c r="W839" s="150">
        <f>+MATCH(PROVEEDORES[[#This Row],[año facturado]],Retenciones!$1:$1,0)</f>
        <v>4</v>
      </c>
      <c r="X839" s="151">
        <f>+VLOOKUP(PROVEEDORES[[#This Row],[ID RETENCION]],Retenciones!$A$1:$O$24,PROVEEDORES[[#This Row],[indicador de columna]],FALSE)</f>
        <v>0</v>
      </c>
      <c r="Y839" s="152">
        <f>+VLOOKUP(PROVEEDORES[[#This Row],[ID RETENCION]],Retenciones!$A$1:$O$24,2,FALSE)</f>
        <v>0</v>
      </c>
      <c r="Z839" s="26"/>
      <c r="AA839" s="26"/>
      <c r="AB839" s="26"/>
      <c r="AC839" s="26"/>
      <c r="AD839" s="26"/>
      <c r="AE839" s="26"/>
    </row>
    <row r="840" spans="1:31" ht="21.95" customHeight="1" x14ac:dyDescent="0.25">
      <c r="A840" s="97" t="str">
        <f>+IF(PROVEEDORES[[#This Row],[FECHA DE PAGO]]=PROVEEDORES[[#This Row],[FECHA DE FACTURACIÓN]],"DE CONTADO","CRÉDITO")</f>
        <v>CRÉDITO</v>
      </c>
      <c r="B840" s="41" t="b">
        <f>+IF((PROVEEDORES[[#This Row],[FECHA DE PAGO]]-PROVEEDORES[[#This Row],[FECHA DE FACTURACIÓN]])&gt;PROVEEDORES[[#This Row],[PLAZO Días]],"PAGO VENCIDO")</f>
        <v>0</v>
      </c>
      <c r="C840" s="22">
        <f>+VLOOKUP(PROVEEDORES[[#This Row],[PROVEEDOR]],TERCEROS_INFO[#All],2,FALSE)</f>
        <v>30</v>
      </c>
      <c r="D840" s="27">
        <f>+SUMIFS(PROVEEDORES[Total],PROVEEDORES[PROVEEDOR],PROVEEDORES[[#This Row],[PROVEEDOR]],PROVEEDORES[FECHA DE PAGO],"")</f>
        <v>0</v>
      </c>
      <c r="E840" s="27"/>
      <c r="F840" s="62" t="str">
        <f>+VLOOKUP(PROVEEDORES[[#This Row],[PROVEEDOR]],
                       Terceros!$A:$G,
                       6,
                       FALSE)</f>
        <v>girlesa.ruiz@servipilas.com;joriescobar64@gmail.com</v>
      </c>
      <c r="G840" s="95">
        <v>44496</v>
      </c>
      <c r="H840" s="28" t="s">
        <v>336</v>
      </c>
      <c r="I840" s="95">
        <v>44470</v>
      </c>
      <c r="J840" s="38" t="s">
        <v>930</v>
      </c>
      <c r="K840" s="23">
        <v>3124305</v>
      </c>
      <c r="L840" s="23"/>
      <c r="M840" s="24">
        <v>0</v>
      </c>
      <c r="N840" s="25"/>
      <c r="O840" s="24">
        <v>0</v>
      </c>
      <c r="P840" s="136">
        <f>+IF(PROVEEDORES[[#This Row],[SUBTOTAL]]&lt;PROVEEDORES[[#This Row],[base retencion]],0,PROVEEDORES[[#This Row],[retención aplicada]])</f>
        <v>3.5000000000000003E-2</v>
      </c>
      <c r="Q840" s="24">
        <f>+PROVEEDORES[[#This Row],[Rete Fuente %]]*PROVEEDORES[[#This Row],[SUBTOTAL]]</f>
        <v>109350.67500000002</v>
      </c>
      <c r="R840" s="23">
        <v>3014954.3250000002</v>
      </c>
      <c r="S84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0" s="99">
        <f ca="1">IF(PROVEEDORES[[#This Row],[FECHA DE PAGO]]=0,TODAY()-PROVEEDORES[[#This Row],[FECHA DE FACTURACIÓN]]-PROVEEDORES[[#This Row],[PLAZO Días]],0)</f>
        <v>0</v>
      </c>
      <c r="U840" s="149" t="str">
        <f>+VLOOKUP(PROVEEDORES[[#This Row],[PROVEEDOR]],Terceros!$A:$E,5,FALSE)</f>
        <v>3,5% sin base</v>
      </c>
      <c r="V840" s="150">
        <f>+YEAR(PROVEEDORES[[#This Row],[FECHA DE FACTURACIÓN]])</f>
        <v>2021</v>
      </c>
      <c r="W840" s="150">
        <f>+MATCH(PROVEEDORES[[#This Row],[año facturado]],Retenciones!$1:$1,0)</f>
        <v>4</v>
      </c>
      <c r="X840" s="151">
        <f>+VLOOKUP(PROVEEDORES[[#This Row],[ID RETENCION]],Retenciones!$A$1:$O$24,PROVEEDORES[[#This Row],[indicador de columna]],FALSE)</f>
        <v>0</v>
      </c>
      <c r="Y840" s="152">
        <f>+VLOOKUP(PROVEEDORES[[#This Row],[ID RETENCION]],Retenciones!$A$1:$O$24,2,FALSE)</f>
        <v>3.5000000000000003E-2</v>
      </c>
      <c r="Z840" s="26"/>
      <c r="AA840" s="26"/>
      <c r="AB840" s="26"/>
      <c r="AC840" s="26"/>
      <c r="AD840" s="26"/>
      <c r="AE840" s="26"/>
    </row>
    <row r="841" spans="1:31" ht="21.95" customHeight="1" x14ac:dyDescent="0.25">
      <c r="A841" s="97" t="str">
        <f>+IF(PROVEEDORES[[#This Row],[FECHA DE PAGO]]=PROVEEDORES[[#This Row],[FECHA DE FACTURACIÓN]],"DE CONTADO","CRÉDITO")</f>
        <v>CRÉDITO</v>
      </c>
      <c r="B841" s="41" t="str">
        <f>+IF((PROVEEDORES[[#This Row],[FECHA DE PAGO]]-PROVEEDORES[[#This Row],[FECHA DE FACTURACIÓN]])&gt;PROVEEDORES[[#This Row],[PLAZO Días]],"PAGO VENCIDO")</f>
        <v>PAGO VENCIDO</v>
      </c>
      <c r="C841" s="22">
        <f>+VLOOKUP(PROVEEDORES[[#This Row],[PROVEEDOR]],TERCEROS_INFO[#All],2,FALSE)</f>
        <v>30</v>
      </c>
      <c r="D841" s="27">
        <f>+SUMIFS(PROVEEDORES[Total],PROVEEDORES[PROVEEDOR],PROVEEDORES[[#This Row],[PROVEEDOR]],PROVEEDORES[FECHA DE PAGO],"")</f>
        <v>0</v>
      </c>
      <c r="E841" s="27"/>
      <c r="F841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841" s="95">
        <v>44519</v>
      </c>
      <c r="H841" s="28" t="s">
        <v>511</v>
      </c>
      <c r="I841" s="95">
        <v>44470</v>
      </c>
      <c r="J841" s="38" t="s">
        <v>544</v>
      </c>
      <c r="K841" s="23">
        <v>2433607</v>
      </c>
      <c r="L841" s="23"/>
      <c r="M841" s="24">
        <v>462385.33</v>
      </c>
      <c r="N841" s="25"/>
      <c r="O841" s="24">
        <v>0</v>
      </c>
      <c r="P841" s="136">
        <f>+IF(PROVEEDORES[[#This Row],[SUBTOTAL]]&lt;PROVEEDORES[[#This Row],[base retencion]],0,PROVEEDORES[[#This Row],[retención aplicada]])</f>
        <v>0</v>
      </c>
      <c r="Q841" s="24">
        <f>+PROVEEDORES[[#This Row],[Rete Fuente %]]*PROVEEDORES[[#This Row],[SUBTOTAL]]</f>
        <v>0</v>
      </c>
      <c r="R841" s="23">
        <v>2895992.33</v>
      </c>
      <c r="S84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1" s="99">
        <f ca="1">IF(PROVEEDORES[[#This Row],[FECHA DE PAGO]]=0,TODAY()-PROVEEDORES[[#This Row],[FECHA DE FACTURACIÓN]]-PROVEEDORES[[#This Row],[PLAZO Días]],0)</f>
        <v>0</v>
      </c>
      <c r="U841" s="149">
        <f>+VLOOKUP(PROVEEDORES[[#This Row],[PROVEEDOR]],Terceros!$A:$E,5,FALSE)</f>
        <v>0</v>
      </c>
      <c r="V841" s="150">
        <f>+YEAR(PROVEEDORES[[#This Row],[FECHA DE FACTURACIÓN]])</f>
        <v>2021</v>
      </c>
      <c r="W841" s="150">
        <f>+MATCH(PROVEEDORES[[#This Row],[año facturado]],Retenciones!$1:$1,0)</f>
        <v>4</v>
      </c>
      <c r="X841" s="151">
        <f>+VLOOKUP(PROVEEDORES[[#This Row],[ID RETENCION]],Retenciones!$A$1:$O$24,PROVEEDORES[[#This Row],[indicador de columna]],FALSE)</f>
        <v>0</v>
      </c>
      <c r="Y841" s="152">
        <f>+VLOOKUP(PROVEEDORES[[#This Row],[ID RETENCION]],Retenciones!$A$1:$O$24,2,FALSE)</f>
        <v>0</v>
      </c>
      <c r="Z841" s="26"/>
      <c r="AA841" s="26"/>
      <c r="AB841" s="26"/>
      <c r="AC841" s="26"/>
      <c r="AD841" s="26"/>
      <c r="AE841" s="26"/>
    </row>
    <row r="842" spans="1:31" ht="21.95" customHeight="1" x14ac:dyDescent="0.25">
      <c r="A842" s="97" t="str">
        <f>+IF(PROVEEDORES[[#This Row],[FECHA DE PAGO]]=PROVEEDORES[[#This Row],[FECHA DE FACTURACIÓN]],"DE CONTADO","CRÉDITO")</f>
        <v>CRÉDITO</v>
      </c>
      <c r="B842" s="41" t="b">
        <f>+IF((PROVEEDORES[[#This Row],[FECHA DE PAGO]]-PROVEEDORES[[#This Row],[FECHA DE FACTURACIÓN]])&gt;PROVEEDORES[[#This Row],[PLAZO Días]],"PAGO VENCIDO")</f>
        <v>0</v>
      </c>
      <c r="C842" s="22">
        <f>+VLOOKUP(PROVEEDORES[[#This Row],[PROVEEDOR]],TERCEROS_INFO[#All],2,FALSE)</f>
        <v>30</v>
      </c>
      <c r="D842" s="27">
        <f>+SUMIFS(PROVEEDORES[Total],PROVEEDORES[PROVEEDOR],PROVEEDORES[[#This Row],[PROVEEDOR]],PROVEEDORES[FECHA DE PAGO],"")</f>
        <v>5463150</v>
      </c>
      <c r="E842" s="27"/>
      <c r="F842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842" s="95">
        <v>44496</v>
      </c>
      <c r="H842" s="28" t="s">
        <v>344</v>
      </c>
      <c r="I842" s="95">
        <v>44470</v>
      </c>
      <c r="J842" s="38">
        <v>40617</v>
      </c>
      <c r="K842" s="23">
        <v>4430000</v>
      </c>
      <c r="L842" s="23"/>
      <c r="M842" s="24">
        <v>841700</v>
      </c>
      <c r="N842" s="25"/>
      <c r="O842" s="24">
        <v>0</v>
      </c>
      <c r="P842" s="136">
        <f>+IF(PROVEEDORES[[#This Row],[SUBTOTAL]]&lt;PROVEEDORES[[#This Row],[base retencion]],0,PROVEEDORES[[#This Row],[retención aplicada]])</f>
        <v>3.5000000000000003E-2</v>
      </c>
      <c r="Q842" s="24">
        <f>+PROVEEDORES[[#This Row],[Rete Fuente %]]*PROVEEDORES[[#This Row],[SUBTOTAL]]</f>
        <v>155050.00000000003</v>
      </c>
      <c r="R842" s="23">
        <v>5116650</v>
      </c>
      <c r="S84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2" s="99">
        <f ca="1">IF(PROVEEDORES[[#This Row],[FECHA DE PAGO]]=0,TODAY()-PROVEEDORES[[#This Row],[FECHA DE FACTURACIÓN]]-PROVEEDORES[[#This Row],[PLAZO Días]],0)</f>
        <v>0</v>
      </c>
      <c r="U842" s="149" t="str">
        <f>+VLOOKUP(PROVEEDORES[[#This Row],[PROVEEDOR]],Terceros!$A:$E,5,FALSE)</f>
        <v>3,5% con base</v>
      </c>
      <c r="V842" s="150">
        <f>+YEAR(PROVEEDORES[[#This Row],[FECHA DE FACTURACIÓN]])</f>
        <v>2021</v>
      </c>
      <c r="W842" s="150">
        <f>+MATCH(PROVEEDORES[[#This Row],[año facturado]],Retenciones!$1:$1,0)</f>
        <v>4</v>
      </c>
      <c r="X842" s="151">
        <f>+VLOOKUP(PROVEEDORES[[#This Row],[ID RETENCION]],Retenciones!$A$1:$O$24,PROVEEDORES[[#This Row],[indicador de columna]],FALSE)</f>
        <v>980000</v>
      </c>
      <c r="Y842" s="152">
        <f>+VLOOKUP(PROVEEDORES[[#This Row],[ID RETENCION]],Retenciones!$A$1:$O$24,2,FALSE)</f>
        <v>3.5000000000000003E-2</v>
      </c>
      <c r="Z842" s="26"/>
      <c r="AA842" s="26"/>
      <c r="AB842" s="26"/>
      <c r="AC842" s="26"/>
      <c r="AD842" s="26"/>
      <c r="AE842" s="26"/>
    </row>
    <row r="843" spans="1:31" ht="21.95" customHeight="1" x14ac:dyDescent="0.25">
      <c r="A843" s="97" t="str">
        <f>+IF(PROVEEDORES[[#This Row],[FECHA DE PAGO]]=PROVEEDORES[[#This Row],[FECHA DE FACTURACIÓN]],"DE CONTADO","CRÉDITO")</f>
        <v>CRÉDITO</v>
      </c>
      <c r="B843" s="41" t="b">
        <f>+IF((PROVEEDORES[[#This Row],[FECHA DE PAGO]]-PROVEEDORES[[#This Row],[FECHA DE FACTURACIÓN]])&gt;PROVEEDORES[[#This Row],[PLAZO Días]],"PAGO VENCIDO")</f>
        <v>0</v>
      </c>
      <c r="C843" s="22">
        <f>+VLOOKUP(PROVEEDORES[[#This Row],[PROVEEDOR]],TERCEROS_INFO[#All],2,FALSE)</f>
        <v>30</v>
      </c>
      <c r="D843" s="27">
        <f>+SUMIFS(PROVEEDORES[Total],PROVEEDORES[PROVEEDOR],PROVEEDORES[[#This Row],[PROVEEDOR]],PROVEEDORES[FECHA DE PAGO],"")</f>
        <v>0</v>
      </c>
      <c r="E843" s="27"/>
      <c r="F843" s="62" t="str">
        <f>+VLOOKUP(PROVEEDORES[[#This Row],[PROVEEDOR]],
                       Terceros!$A:$G,
                       6,
                       FALSE)</f>
        <v>girlesa.ruiz@servipilas.com;joriescobar64@gmail.com</v>
      </c>
      <c r="G843" s="95">
        <v>44496</v>
      </c>
      <c r="H843" s="28" t="s">
        <v>336</v>
      </c>
      <c r="I843" s="95">
        <v>44480</v>
      </c>
      <c r="J843" s="38" t="s">
        <v>931</v>
      </c>
      <c r="K843" s="23">
        <v>756882</v>
      </c>
      <c r="L843" s="23"/>
      <c r="M843" s="24">
        <v>0</v>
      </c>
      <c r="N843" s="25"/>
      <c r="O843" s="24">
        <v>0</v>
      </c>
      <c r="P843" s="136">
        <f>+IF(PROVEEDORES[[#This Row],[SUBTOTAL]]&lt;PROVEEDORES[[#This Row],[base retencion]],0,PROVEEDORES[[#This Row],[retención aplicada]])</f>
        <v>3.5000000000000003E-2</v>
      </c>
      <c r="Q843" s="24">
        <f>+PROVEEDORES[[#This Row],[Rete Fuente %]]*PROVEEDORES[[#This Row],[SUBTOTAL]]</f>
        <v>26490.870000000003</v>
      </c>
      <c r="R843" s="23">
        <v>730391.13</v>
      </c>
      <c r="S84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3" s="99">
        <f ca="1">IF(PROVEEDORES[[#This Row],[FECHA DE PAGO]]=0,TODAY()-PROVEEDORES[[#This Row],[FECHA DE FACTURACIÓN]]-PROVEEDORES[[#This Row],[PLAZO Días]],0)</f>
        <v>0</v>
      </c>
      <c r="U843" s="149" t="str">
        <f>+VLOOKUP(PROVEEDORES[[#This Row],[PROVEEDOR]],Terceros!$A:$E,5,FALSE)</f>
        <v>3,5% sin base</v>
      </c>
      <c r="V843" s="150">
        <f>+YEAR(PROVEEDORES[[#This Row],[FECHA DE FACTURACIÓN]])</f>
        <v>2021</v>
      </c>
      <c r="W843" s="150">
        <f>+MATCH(PROVEEDORES[[#This Row],[año facturado]],Retenciones!$1:$1,0)</f>
        <v>4</v>
      </c>
      <c r="X843" s="151">
        <f>+VLOOKUP(PROVEEDORES[[#This Row],[ID RETENCION]],Retenciones!$A$1:$O$24,PROVEEDORES[[#This Row],[indicador de columna]],FALSE)</f>
        <v>0</v>
      </c>
      <c r="Y843" s="152">
        <f>+VLOOKUP(PROVEEDORES[[#This Row],[ID RETENCION]],Retenciones!$A$1:$O$24,2,FALSE)</f>
        <v>3.5000000000000003E-2</v>
      </c>
      <c r="Z843" s="26"/>
      <c r="AA843" s="26"/>
      <c r="AB843" s="26"/>
      <c r="AC843" s="26"/>
      <c r="AD843" s="26"/>
      <c r="AE843" s="26"/>
    </row>
    <row r="844" spans="1:31" ht="21.95" customHeight="1" x14ac:dyDescent="0.25">
      <c r="A844" s="97" t="str">
        <f>+IF(PROVEEDORES[[#This Row],[FECHA DE PAGO]]=PROVEEDORES[[#This Row],[FECHA DE FACTURACIÓN]],"DE CONTADO","CRÉDITO")</f>
        <v>DE CONTADO</v>
      </c>
      <c r="B844" s="41" t="b">
        <f>+IF((PROVEEDORES[[#This Row],[FECHA DE PAGO]]-PROVEEDORES[[#This Row],[FECHA DE FACTURACIÓN]])&gt;PROVEEDORES[[#This Row],[PLAZO Días]],"PAGO VENCIDO")</f>
        <v>0</v>
      </c>
      <c r="C844" s="22">
        <f>+VLOOKUP(PROVEEDORES[[#This Row],[PROVEEDOR]],TERCEROS_INFO[#All],2,FALSE)</f>
        <v>30</v>
      </c>
      <c r="D844" s="27">
        <f>+SUMIFS(PROVEEDORES[Total],PROVEEDORES[PROVEEDOR],PROVEEDORES[[#This Row],[PROVEEDOR]],PROVEEDORES[FECHA DE PAGO],"")</f>
        <v>5463150</v>
      </c>
      <c r="E844" s="27"/>
      <c r="F844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844" s="95">
        <v>44496</v>
      </c>
      <c r="H844" s="28" t="s">
        <v>344</v>
      </c>
      <c r="I844" s="95">
        <v>44496</v>
      </c>
      <c r="J844" s="38" t="s">
        <v>934</v>
      </c>
      <c r="K844" s="23">
        <v>-956806</v>
      </c>
      <c r="L844" s="23"/>
      <c r="M844" s="24">
        <v>-181793.14</v>
      </c>
      <c r="N844" s="25"/>
      <c r="O844" s="24">
        <v>0</v>
      </c>
      <c r="P844" s="136">
        <f>+IF(PROVEEDORES[[#This Row],[SUBTOTAL]]&lt;PROVEEDORES[[#This Row],[base retencion]],0,PROVEEDORES[[#This Row],[retención aplicada]])</f>
        <v>0</v>
      </c>
      <c r="Q844" s="24">
        <f>+PROVEEDORES[[#This Row],[Rete Fuente %]]*PROVEEDORES[[#This Row],[SUBTOTAL]]</f>
        <v>0</v>
      </c>
      <c r="R844" s="23">
        <v>-1138599.1400000001</v>
      </c>
      <c r="S84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4" s="99">
        <f ca="1">IF(PROVEEDORES[[#This Row],[FECHA DE PAGO]]=0,TODAY()-PROVEEDORES[[#This Row],[FECHA DE FACTURACIÓN]]-PROVEEDORES[[#This Row],[PLAZO Días]],0)</f>
        <v>0</v>
      </c>
      <c r="U844" s="149" t="str">
        <f>+VLOOKUP(PROVEEDORES[[#This Row],[PROVEEDOR]],Terceros!$A:$E,5,FALSE)</f>
        <v>3,5% con base</v>
      </c>
      <c r="V844" s="150">
        <f>+YEAR(PROVEEDORES[[#This Row],[FECHA DE FACTURACIÓN]])</f>
        <v>2021</v>
      </c>
      <c r="W844" s="150">
        <f>+MATCH(PROVEEDORES[[#This Row],[año facturado]],Retenciones!$1:$1,0)</f>
        <v>4</v>
      </c>
      <c r="X844" s="151">
        <f>+VLOOKUP(PROVEEDORES[[#This Row],[ID RETENCION]],Retenciones!$A$1:$O$24,PROVEEDORES[[#This Row],[indicador de columna]],FALSE)</f>
        <v>980000</v>
      </c>
      <c r="Y844" s="152">
        <f>+VLOOKUP(PROVEEDORES[[#This Row],[ID RETENCION]],Retenciones!$A$1:$O$24,2,FALSE)</f>
        <v>3.5000000000000003E-2</v>
      </c>
      <c r="Z844" s="26"/>
      <c r="AA844" s="26"/>
      <c r="AB844" s="26"/>
      <c r="AC844" s="26"/>
      <c r="AD844" s="26"/>
      <c r="AE844" s="26"/>
    </row>
    <row r="845" spans="1:31" ht="21.95" customHeight="1" x14ac:dyDescent="0.25">
      <c r="A845" s="97" t="str">
        <f>+IF(PROVEEDORES[[#This Row],[FECHA DE PAGO]]=PROVEEDORES[[#This Row],[FECHA DE FACTURACIÓN]],"DE CONTADO","CRÉDITO")</f>
        <v>CRÉDITO</v>
      </c>
      <c r="B845" s="41" t="str">
        <f>+IF((PROVEEDORES[[#This Row],[FECHA DE PAGO]]-PROVEEDORES[[#This Row],[FECHA DE FACTURACIÓN]])&gt;PROVEEDORES[[#This Row],[PLAZO Días]],"PAGO VENCIDO")</f>
        <v>PAGO VENCIDO</v>
      </c>
      <c r="C845" s="22">
        <f>+VLOOKUP(PROVEEDORES[[#This Row],[PROVEEDOR]],TERCEROS_INFO[#All],2,FALSE)</f>
        <v>30</v>
      </c>
      <c r="D845" s="27">
        <f>+SUMIFS(PROVEEDORES[Total],PROVEEDORES[PROVEEDOR],PROVEEDORES[[#This Row],[PROVEEDOR]],PROVEEDORES[FECHA DE PAGO],"")</f>
        <v>0</v>
      </c>
      <c r="E845" s="27"/>
      <c r="F845" s="62" t="str">
        <f>+VLOOKUP(PROVEEDORES[[#This Row],[PROVEEDOR]],
                       Terceros!$A:$G,
                       6,
                       FALSE)</f>
        <v>tesoreria@lacentral.com.co;girlesa.ruiz@servipilas.com;joriescobar64@gmail.com</v>
      </c>
      <c r="G845" s="95">
        <v>44498</v>
      </c>
      <c r="H845" s="28" t="s">
        <v>332</v>
      </c>
      <c r="I845" s="95">
        <v>44314</v>
      </c>
      <c r="J845" s="38" t="s">
        <v>693</v>
      </c>
      <c r="K845" s="23">
        <v>240387</v>
      </c>
      <c r="L845" s="23"/>
      <c r="M845" s="24">
        <v>0</v>
      </c>
      <c r="N845" s="25"/>
      <c r="O845" s="24">
        <v>0</v>
      </c>
      <c r="P845" s="136">
        <f>+IF(PROVEEDORES[[#This Row],[SUBTOTAL]]&lt;PROVEEDORES[[#This Row],[base retencion]],0,PROVEEDORES[[#This Row],[retención aplicada]])</f>
        <v>0</v>
      </c>
      <c r="Q845" s="24">
        <f>+PROVEEDORES[[#This Row],[Rete Fuente %]]*PROVEEDORES[[#This Row],[SUBTOTAL]]</f>
        <v>0</v>
      </c>
      <c r="R845" s="23">
        <v>240387</v>
      </c>
      <c r="S84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5" s="99">
        <f ca="1">IF(PROVEEDORES[[#This Row],[FECHA DE PAGO]]=0,TODAY()-PROVEEDORES[[#This Row],[FECHA DE FACTURACIÓN]]-PROVEEDORES[[#This Row],[PLAZO Días]],0)</f>
        <v>0</v>
      </c>
      <c r="U845" s="149">
        <f>+VLOOKUP(PROVEEDORES[[#This Row],[PROVEEDOR]],Terceros!$A:$E,5,FALSE)</f>
        <v>0</v>
      </c>
      <c r="V845" s="150">
        <f>+YEAR(PROVEEDORES[[#This Row],[FECHA DE FACTURACIÓN]])</f>
        <v>2021</v>
      </c>
      <c r="W845" s="150">
        <f>+MATCH(PROVEEDORES[[#This Row],[año facturado]],Retenciones!$1:$1,0)</f>
        <v>4</v>
      </c>
      <c r="X845" s="151">
        <f>+VLOOKUP(PROVEEDORES[[#This Row],[ID RETENCION]],Retenciones!$A$1:$O$24,PROVEEDORES[[#This Row],[indicador de columna]],FALSE)</f>
        <v>0</v>
      </c>
      <c r="Y845" s="152">
        <f>+VLOOKUP(PROVEEDORES[[#This Row],[ID RETENCION]],Retenciones!$A$1:$O$24,2,FALSE)</f>
        <v>0</v>
      </c>
      <c r="Z845" s="26"/>
      <c r="AA845" s="26"/>
      <c r="AB845" s="26"/>
      <c r="AC845" s="26"/>
      <c r="AD845" s="26"/>
      <c r="AE845" s="26"/>
    </row>
    <row r="846" spans="1:31" ht="21.95" customHeight="1" x14ac:dyDescent="0.25">
      <c r="A846" s="97" t="str">
        <f>+IF(PROVEEDORES[[#This Row],[FECHA DE PAGO]]=PROVEEDORES[[#This Row],[FECHA DE FACTURACIÓN]],"DE CONTADO","CRÉDITO")</f>
        <v>CRÉDITO</v>
      </c>
      <c r="B846" s="41" t="str">
        <f>+IF((PROVEEDORES[[#This Row],[FECHA DE PAGO]]-PROVEEDORES[[#This Row],[FECHA DE FACTURACIÓN]])&gt;PROVEEDORES[[#This Row],[PLAZO Días]],"PAGO VENCIDO")</f>
        <v>PAGO VENCIDO</v>
      </c>
      <c r="C846" s="22">
        <f>+VLOOKUP(PROVEEDORES[[#This Row],[PROVEEDOR]],TERCEROS_INFO[#All],2,FALSE)</f>
        <v>30</v>
      </c>
      <c r="D846" s="27">
        <f>+SUMIFS(PROVEEDORES[Total],PROVEEDORES[PROVEEDOR],PROVEEDORES[[#This Row],[PROVEEDOR]],PROVEEDORES[FECHA DE PAGO],"")</f>
        <v>479654.98979999998</v>
      </c>
      <c r="E846" s="27"/>
      <c r="F846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846" s="95">
        <v>44523</v>
      </c>
      <c r="H846" s="28" t="s">
        <v>1139</v>
      </c>
      <c r="I846" s="95">
        <v>44471</v>
      </c>
      <c r="J846" s="38" t="s">
        <v>537</v>
      </c>
      <c r="K846" s="23">
        <v>56302.52</v>
      </c>
      <c r="L846" s="23"/>
      <c r="M846" s="24">
        <v>10697.478799999999</v>
      </c>
      <c r="N846" s="25"/>
      <c r="O846" s="24">
        <v>0</v>
      </c>
      <c r="P846" s="136">
        <f>+IF(PROVEEDORES[[#This Row],[SUBTOTAL]]&lt;PROVEEDORES[[#This Row],[base retencion]],0,PROVEEDORES[[#This Row],[retención aplicada]])</f>
        <v>0</v>
      </c>
      <c r="Q846" s="24">
        <f>+PROVEEDORES[[#This Row],[Rete Fuente %]]*PROVEEDORES[[#This Row],[SUBTOTAL]]</f>
        <v>0</v>
      </c>
      <c r="R846" s="23">
        <v>65592.435800000007</v>
      </c>
      <c r="S84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6" s="99">
        <f ca="1">IF(PROVEEDORES[[#This Row],[FECHA DE PAGO]]=0,TODAY()-PROVEEDORES[[#This Row],[FECHA DE FACTURACIÓN]]-PROVEEDORES[[#This Row],[PLAZO Días]],0)</f>
        <v>0</v>
      </c>
      <c r="U846" s="149" t="str">
        <f>+VLOOKUP(PROVEEDORES[[#This Row],[PROVEEDOR]],Terceros!$A:$E,5,FALSE)</f>
        <v>2,5% con base</v>
      </c>
      <c r="V846" s="150">
        <f>+YEAR(PROVEEDORES[[#This Row],[FECHA DE FACTURACIÓN]])</f>
        <v>2021</v>
      </c>
      <c r="W846" s="150">
        <f>+MATCH(PROVEEDORES[[#This Row],[año facturado]],Retenciones!$1:$1,0)</f>
        <v>4</v>
      </c>
      <c r="X846" s="151">
        <f>+VLOOKUP(PROVEEDORES[[#This Row],[ID RETENCION]],Retenciones!$A$1:$O$24,PROVEEDORES[[#This Row],[indicador de columna]],FALSE)</f>
        <v>980000</v>
      </c>
      <c r="Y846" s="152">
        <f>+VLOOKUP(PROVEEDORES[[#This Row],[ID RETENCION]],Retenciones!$A$1:$O$24,2,FALSE)</f>
        <v>2.5000000000000001E-2</v>
      </c>
      <c r="Z846" s="26"/>
      <c r="AA846" s="26"/>
      <c r="AB846" s="26"/>
      <c r="AC846" s="26"/>
      <c r="AD846" s="26"/>
      <c r="AE846" s="26"/>
    </row>
    <row r="847" spans="1:31" ht="21.95" customHeight="1" x14ac:dyDescent="0.25">
      <c r="A847" s="97" t="str">
        <f>+IF(PROVEEDORES[[#This Row],[FECHA DE PAGO]]=PROVEEDORES[[#This Row],[FECHA DE FACTURACIÓN]],"DE CONTADO","CRÉDITO")</f>
        <v>CRÉDITO</v>
      </c>
      <c r="B847" s="41" t="str">
        <f>+IF((PROVEEDORES[[#This Row],[FECHA DE PAGO]]-PROVEEDORES[[#This Row],[FECHA DE FACTURACIÓN]])&gt;PROVEEDORES[[#This Row],[PLAZO Días]],"PAGO VENCIDO")</f>
        <v>PAGO VENCIDO</v>
      </c>
      <c r="C847" s="22">
        <f>+VLOOKUP(PROVEEDORES[[#This Row],[PROVEEDOR]],TERCEROS_INFO[#All],2,FALSE)</f>
        <v>30</v>
      </c>
      <c r="D847" s="27">
        <f>+SUMIFS(PROVEEDORES[Total],PROVEEDORES[PROVEEDOR],PROVEEDORES[[#This Row],[PROVEEDOR]],PROVEEDORES[FECHA DE PAGO],"")</f>
        <v>0</v>
      </c>
      <c r="E847" s="27"/>
      <c r="F847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847" s="95">
        <v>44510</v>
      </c>
      <c r="H847" s="28" t="s">
        <v>1124</v>
      </c>
      <c r="I847" s="95">
        <v>44471</v>
      </c>
      <c r="J847" s="38">
        <v>22921</v>
      </c>
      <c r="K847" s="23">
        <v>3732000</v>
      </c>
      <c r="L847" s="23"/>
      <c r="M847" s="24">
        <v>709080</v>
      </c>
      <c r="N847" s="25"/>
      <c r="O847" s="24">
        <v>0</v>
      </c>
      <c r="P847" s="136">
        <f>+IF(PROVEEDORES[[#This Row],[SUBTOTAL]]&lt;PROVEEDORES[[#This Row],[base retencion]],0,PROVEEDORES[[#This Row],[retención aplicada]])</f>
        <v>2.5000000000000001E-2</v>
      </c>
      <c r="Q847" s="24">
        <f>+PROVEEDORES[[#This Row],[Rete Fuente %]]*PROVEEDORES[[#This Row],[SUBTOTAL]]</f>
        <v>93300</v>
      </c>
      <c r="R847" s="23">
        <v>4347780</v>
      </c>
      <c r="S84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7" s="99">
        <f ca="1">IF(PROVEEDORES[[#This Row],[FECHA DE PAGO]]=0,TODAY()-PROVEEDORES[[#This Row],[FECHA DE FACTURACIÓN]]-PROVEEDORES[[#This Row],[PLAZO Días]],0)</f>
        <v>0</v>
      </c>
      <c r="U847" s="149" t="str">
        <f>+VLOOKUP(PROVEEDORES[[#This Row],[PROVEEDOR]],Terceros!$A:$E,5,FALSE)</f>
        <v>2,5% con base</v>
      </c>
      <c r="V847" s="150">
        <f>+YEAR(PROVEEDORES[[#This Row],[FECHA DE FACTURACIÓN]])</f>
        <v>2021</v>
      </c>
      <c r="W847" s="150">
        <f>+MATCH(PROVEEDORES[[#This Row],[año facturado]],Retenciones!$1:$1,0)</f>
        <v>4</v>
      </c>
      <c r="X847" s="151">
        <f>+VLOOKUP(PROVEEDORES[[#This Row],[ID RETENCION]],Retenciones!$A$1:$O$24,PROVEEDORES[[#This Row],[indicador de columna]],FALSE)</f>
        <v>980000</v>
      </c>
      <c r="Y847" s="152">
        <f>+VLOOKUP(PROVEEDORES[[#This Row],[ID RETENCION]],Retenciones!$A$1:$O$24,2,FALSE)</f>
        <v>2.5000000000000001E-2</v>
      </c>
      <c r="Z847" s="26"/>
      <c r="AA847" s="26"/>
      <c r="AB847" s="26"/>
      <c r="AC847" s="26"/>
      <c r="AD847" s="26"/>
      <c r="AE847" s="26"/>
    </row>
    <row r="848" spans="1:31" ht="21.95" customHeight="1" x14ac:dyDescent="0.25">
      <c r="A848" s="97" t="str">
        <f>+IF(PROVEEDORES[[#This Row],[FECHA DE PAGO]]=PROVEEDORES[[#This Row],[FECHA DE FACTURACIÓN]],"DE CONTADO","CRÉDITO")</f>
        <v>CRÉDITO</v>
      </c>
      <c r="B848" s="41" t="b">
        <f>+IF((PROVEEDORES[[#This Row],[FECHA DE PAGO]]-PROVEEDORES[[#This Row],[FECHA DE FACTURACIÓN]])&gt;PROVEEDORES[[#This Row],[PLAZO Días]],"PAGO VENCIDO")</f>
        <v>0</v>
      </c>
      <c r="C848" s="22">
        <f>+VLOOKUP(PROVEEDORES[[#This Row],[PROVEEDOR]],TERCEROS_INFO[#All],2,FALSE)</f>
        <v>30</v>
      </c>
      <c r="D848" s="27">
        <f>+SUMIFS(PROVEEDORES[Total],PROVEEDORES[PROVEEDOR],PROVEEDORES[[#This Row],[PROVEEDOR]],PROVEEDORES[FECHA DE PAGO],"")</f>
        <v>0</v>
      </c>
      <c r="E848" s="27"/>
      <c r="F848" s="62" t="str">
        <f>+VLOOKUP(PROVEEDORES[[#This Row],[PROVEEDOR]],
                       Terceros!$A:$G,
                       6,
                       FALSE)</f>
        <v>gerencia@som-tec.com</v>
      </c>
      <c r="G848" s="95">
        <v>44483</v>
      </c>
      <c r="H848" s="28" t="s">
        <v>1026</v>
      </c>
      <c r="I848" s="95">
        <v>44473</v>
      </c>
      <c r="J848" s="38" t="s">
        <v>841</v>
      </c>
      <c r="K848" s="23">
        <v>325000</v>
      </c>
      <c r="L848" s="23"/>
      <c r="M848" s="24">
        <v>0</v>
      </c>
      <c r="N848" s="25"/>
      <c r="O848" s="24">
        <v>0</v>
      </c>
      <c r="P848" s="136">
        <f>+IF(PROVEEDORES[[#This Row],[SUBTOTAL]]&lt;PROVEEDORES[[#This Row],[base retencion]],0,PROVEEDORES[[#This Row],[retención aplicada]])</f>
        <v>0</v>
      </c>
      <c r="Q848" s="24">
        <f>+PROVEEDORES[[#This Row],[Rete Fuente %]]*PROVEEDORES[[#This Row],[SUBTOTAL]]</f>
        <v>0</v>
      </c>
      <c r="R848" s="23">
        <v>-144891</v>
      </c>
      <c r="S84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8" s="99">
        <f ca="1">IF(PROVEEDORES[[#This Row],[FECHA DE PAGO]]=0,TODAY()-PROVEEDORES[[#This Row],[FECHA DE FACTURACIÓN]]-PROVEEDORES[[#This Row],[PLAZO Días]],0)</f>
        <v>0</v>
      </c>
      <c r="U848" s="149">
        <f>+VLOOKUP(PROVEEDORES[[#This Row],[PROVEEDOR]],Terceros!$A:$E,5,FALSE)</f>
        <v>0</v>
      </c>
      <c r="V848" s="150">
        <f>+YEAR(PROVEEDORES[[#This Row],[FECHA DE FACTURACIÓN]])</f>
        <v>2021</v>
      </c>
      <c r="W848" s="150">
        <f>+MATCH(PROVEEDORES[[#This Row],[año facturado]],Retenciones!$1:$1,0)</f>
        <v>4</v>
      </c>
      <c r="X848" s="151">
        <f>+VLOOKUP(PROVEEDORES[[#This Row],[ID RETENCION]],Retenciones!$A$1:$O$24,PROVEEDORES[[#This Row],[indicador de columna]],FALSE)</f>
        <v>0</v>
      </c>
      <c r="Y848" s="152">
        <f>+VLOOKUP(PROVEEDORES[[#This Row],[ID RETENCION]],Retenciones!$A$1:$O$24,2,FALSE)</f>
        <v>0</v>
      </c>
      <c r="Z848" s="26"/>
      <c r="AA848" s="26"/>
      <c r="AB848" s="26"/>
      <c r="AC848" s="26"/>
      <c r="AD848" s="26"/>
      <c r="AE848" s="26"/>
    </row>
    <row r="849" spans="1:31" ht="21.95" customHeight="1" x14ac:dyDescent="0.25">
      <c r="A849" s="97" t="str">
        <f>+IF(PROVEEDORES[[#This Row],[FECHA DE PAGO]]=PROVEEDORES[[#This Row],[FECHA DE FACTURACIÓN]],"DE CONTADO","CRÉDITO")</f>
        <v>CRÉDITO</v>
      </c>
      <c r="B849" s="41" t="b">
        <f>+IF((PROVEEDORES[[#This Row],[FECHA DE PAGO]]-PROVEEDORES[[#This Row],[FECHA DE FACTURACIÓN]])&gt;PROVEEDORES[[#This Row],[PLAZO Días]],"PAGO VENCIDO")</f>
        <v>0</v>
      </c>
      <c r="C849" s="22">
        <f>+VLOOKUP(PROVEEDORES[[#This Row],[PROVEEDOR]],TERCEROS_INFO[#All],2,FALSE)</f>
        <v>10</v>
      </c>
      <c r="D849" s="27">
        <f>+SUMIFS(PROVEEDORES[Total],PROVEEDORES[PROVEEDOR],PROVEEDORES[[#This Row],[PROVEEDOR]],PROVEEDORES[FECHA DE PAGO],"")</f>
        <v>0</v>
      </c>
      <c r="E849" s="27"/>
      <c r="F849" s="62" t="str">
        <f>+VLOOKUP(PROVEEDORES[[#This Row],[PROVEEDOR]],
                       Terceros!$A:$G,
                       6,
                       FALSE)</f>
        <v>ventasonline@disantioquia.com.co;girlesa.ruiz@servipilas.com;joriescobar64@gmail.com</v>
      </c>
      <c r="G849" s="95">
        <v>44498</v>
      </c>
      <c r="H849" s="28" t="s">
        <v>566</v>
      </c>
      <c r="I849" s="95">
        <v>44492</v>
      </c>
      <c r="J849" s="38">
        <v>273100</v>
      </c>
      <c r="K849" s="23">
        <v>440292</v>
      </c>
      <c r="L849" s="23"/>
      <c r="M849" s="24">
        <v>83655.48</v>
      </c>
      <c r="N849" s="25"/>
      <c r="O849" s="24">
        <v>0</v>
      </c>
      <c r="P849" s="136">
        <f>+IF(PROVEEDORES[[#This Row],[SUBTOTAL]]&lt;PROVEEDORES[[#This Row],[base retencion]],0,PROVEEDORES[[#This Row],[retención aplicada]])</f>
        <v>0</v>
      </c>
      <c r="Q849" s="24">
        <f>+PROVEEDORES[[#This Row],[Rete Fuente %]]*PROVEEDORES[[#This Row],[SUBTOTAL]]</f>
        <v>0</v>
      </c>
      <c r="R849" s="23">
        <v>523947.48</v>
      </c>
      <c r="S84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9" s="99">
        <f ca="1">IF(PROVEEDORES[[#This Row],[FECHA DE PAGO]]=0,TODAY()-PROVEEDORES[[#This Row],[FECHA DE FACTURACIÓN]]-PROVEEDORES[[#This Row],[PLAZO Días]],0)</f>
        <v>0</v>
      </c>
      <c r="U849" s="149" t="str">
        <f>+VLOOKUP(PROVEEDORES[[#This Row],[PROVEEDOR]],Terceros!$A:$E,5,FALSE)</f>
        <v>2,5% con base</v>
      </c>
      <c r="V849" s="150">
        <f>+YEAR(PROVEEDORES[[#This Row],[FECHA DE FACTURACIÓN]])</f>
        <v>2021</v>
      </c>
      <c r="W849" s="150">
        <f>+MATCH(PROVEEDORES[[#This Row],[año facturado]],Retenciones!$1:$1,0)</f>
        <v>4</v>
      </c>
      <c r="X849" s="151">
        <f>+VLOOKUP(PROVEEDORES[[#This Row],[ID RETENCION]],Retenciones!$A$1:$O$24,PROVEEDORES[[#This Row],[indicador de columna]],FALSE)</f>
        <v>980000</v>
      </c>
      <c r="Y849" s="152">
        <f>+VLOOKUP(PROVEEDORES[[#This Row],[ID RETENCION]],Retenciones!$A$1:$O$24,2,FALSE)</f>
        <v>2.5000000000000001E-2</v>
      </c>
      <c r="Z849" s="26"/>
      <c r="AA849" s="26"/>
      <c r="AB849" s="26"/>
      <c r="AC849" s="26"/>
      <c r="AD849" s="26"/>
      <c r="AE849" s="26"/>
    </row>
    <row r="850" spans="1:31" ht="21.95" customHeight="1" x14ac:dyDescent="0.25">
      <c r="A850" s="97" t="str">
        <f>+IF(PROVEEDORES[[#This Row],[FECHA DE PAGO]]=PROVEEDORES[[#This Row],[FECHA DE FACTURACIÓN]],"DE CONTADO","CRÉDITO")</f>
        <v>CRÉDITO</v>
      </c>
      <c r="B850" s="41" t="str">
        <f>+IF((PROVEEDORES[[#This Row],[FECHA DE PAGO]]-PROVEEDORES[[#This Row],[FECHA DE FACTURACIÓN]])&gt;PROVEEDORES[[#This Row],[PLAZO Días]],"PAGO VENCIDO")</f>
        <v>PAGO VENCIDO</v>
      </c>
      <c r="C850" s="22">
        <f>+VLOOKUP(PROVEEDORES[[#This Row],[PROVEEDOR]],TERCEROS_INFO[#All],2,FALSE)</f>
        <v>30</v>
      </c>
      <c r="D850" s="27">
        <f>+SUMIFS(PROVEEDORES[Total],PROVEEDORES[PROVEEDOR],PROVEEDORES[[#This Row],[PROVEEDOR]],PROVEEDORES[FECHA DE PAGO],"")</f>
        <v>1979529.3</v>
      </c>
      <c r="E850" s="27"/>
      <c r="F850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850" s="95">
        <v>44510</v>
      </c>
      <c r="H850" s="28" t="s">
        <v>17</v>
      </c>
      <c r="I850" s="95">
        <v>44474</v>
      </c>
      <c r="J850" s="38">
        <v>1823038</v>
      </c>
      <c r="K850" s="23">
        <v>501900</v>
      </c>
      <c r="L850" s="23"/>
      <c r="M850" s="24">
        <v>95361</v>
      </c>
      <c r="N850" s="25"/>
      <c r="O850" s="24">
        <v>0</v>
      </c>
      <c r="P850" s="136">
        <f>+IF(PROVEEDORES[[#This Row],[SUBTOTAL]]&lt;PROVEEDORES[[#This Row],[base retencion]],0,PROVEEDORES[[#This Row],[retención aplicada]])</f>
        <v>0</v>
      </c>
      <c r="Q850" s="24">
        <f>+PROVEEDORES[[#This Row],[Rete Fuente %]]*PROVEEDORES[[#This Row],[SUBTOTAL]]</f>
        <v>0</v>
      </c>
      <c r="R850" s="23">
        <v>597261</v>
      </c>
      <c r="S85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0" s="99">
        <f ca="1">IF(PROVEEDORES[[#This Row],[FECHA DE PAGO]]=0,TODAY()-PROVEEDORES[[#This Row],[FECHA DE FACTURACIÓN]]-PROVEEDORES[[#This Row],[PLAZO Días]],0)</f>
        <v>0</v>
      </c>
      <c r="U850" s="149">
        <f>+VLOOKUP(PROVEEDORES[[#This Row],[PROVEEDOR]],Terceros!$A:$E,5,FALSE)</f>
        <v>0</v>
      </c>
      <c r="V850" s="150">
        <f>+YEAR(PROVEEDORES[[#This Row],[FECHA DE FACTURACIÓN]])</f>
        <v>2021</v>
      </c>
      <c r="W850" s="150">
        <f>+MATCH(PROVEEDORES[[#This Row],[año facturado]],Retenciones!$1:$1,0)</f>
        <v>4</v>
      </c>
      <c r="X850" s="151">
        <f>+VLOOKUP(PROVEEDORES[[#This Row],[ID RETENCION]],Retenciones!$A$1:$O$24,PROVEEDORES[[#This Row],[indicador de columna]],FALSE)</f>
        <v>0</v>
      </c>
      <c r="Y850" s="152">
        <f>+VLOOKUP(PROVEEDORES[[#This Row],[ID RETENCION]],Retenciones!$A$1:$O$24,2,FALSE)</f>
        <v>0</v>
      </c>
      <c r="Z850" s="26"/>
      <c r="AA850" s="26"/>
      <c r="AB850" s="26"/>
      <c r="AC850" s="26"/>
      <c r="AD850" s="26"/>
      <c r="AE850" s="26"/>
    </row>
    <row r="851" spans="1:31" ht="21.95" customHeight="1" x14ac:dyDescent="0.25">
      <c r="A851" s="97" t="str">
        <f>+IF(PROVEEDORES[[#This Row],[FECHA DE PAGO]]=PROVEEDORES[[#This Row],[FECHA DE FACTURACIÓN]],"DE CONTADO","CRÉDITO")</f>
        <v>CRÉDITO</v>
      </c>
      <c r="B851" s="41" t="str">
        <f>+IF((PROVEEDORES[[#This Row],[FECHA DE PAGO]]-PROVEEDORES[[#This Row],[FECHA DE FACTURACIÓN]])&gt;PROVEEDORES[[#This Row],[PLAZO Días]],"PAGO VENCIDO")</f>
        <v>PAGO VENCIDO</v>
      </c>
      <c r="C851" s="22">
        <f>+VLOOKUP(PROVEEDORES[[#This Row],[PROVEEDOR]],TERCEROS_INFO[#All],2,FALSE)</f>
        <v>30</v>
      </c>
      <c r="D851" s="27">
        <f>+SUMIFS(PROVEEDORES[Total],PROVEEDORES[PROVEEDOR],PROVEEDORES[[#This Row],[PROVEEDOR]],PROVEEDORES[FECHA DE PAGO],"")</f>
        <v>1979529.3</v>
      </c>
      <c r="E851" s="27"/>
      <c r="F851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851" s="95">
        <v>44510</v>
      </c>
      <c r="H851" s="28" t="s">
        <v>17</v>
      </c>
      <c r="I851" s="95">
        <v>44474</v>
      </c>
      <c r="J851" s="38">
        <v>1822901</v>
      </c>
      <c r="K851" s="23">
        <v>521600</v>
      </c>
      <c r="L851" s="23"/>
      <c r="M851" s="24">
        <v>99104</v>
      </c>
      <c r="N851" s="25"/>
      <c r="O851" s="24">
        <v>0</v>
      </c>
      <c r="P851" s="136">
        <f>+IF(PROVEEDORES[[#This Row],[SUBTOTAL]]&lt;PROVEEDORES[[#This Row],[base retencion]],0,PROVEEDORES[[#This Row],[retención aplicada]])</f>
        <v>0</v>
      </c>
      <c r="Q851" s="24">
        <f>+PROVEEDORES[[#This Row],[Rete Fuente %]]*PROVEEDORES[[#This Row],[SUBTOTAL]]</f>
        <v>0</v>
      </c>
      <c r="R851" s="23">
        <v>620704</v>
      </c>
      <c r="S85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1" s="99">
        <f ca="1">IF(PROVEEDORES[[#This Row],[FECHA DE PAGO]]=0,TODAY()-PROVEEDORES[[#This Row],[FECHA DE FACTURACIÓN]]-PROVEEDORES[[#This Row],[PLAZO Días]],0)</f>
        <v>0</v>
      </c>
      <c r="U851" s="149">
        <f>+VLOOKUP(PROVEEDORES[[#This Row],[PROVEEDOR]],Terceros!$A:$E,5,FALSE)</f>
        <v>0</v>
      </c>
      <c r="V851" s="150">
        <f>+YEAR(PROVEEDORES[[#This Row],[FECHA DE FACTURACIÓN]])</f>
        <v>2021</v>
      </c>
      <c r="W851" s="150">
        <f>+MATCH(PROVEEDORES[[#This Row],[año facturado]],Retenciones!$1:$1,0)</f>
        <v>4</v>
      </c>
      <c r="X851" s="151">
        <f>+VLOOKUP(PROVEEDORES[[#This Row],[ID RETENCION]],Retenciones!$A$1:$O$24,PROVEEDORES[[#This Row],[indicador de columna]],FALSE)</f>
        <v>0</v>
      </c>
      <c r="Y851" s="152">
        <f>+VLOOKUP(PROVEEDORES[[#This Row],[ID RETENCION]],Retenciones!$A$1:$O$24,2,FALSE)</f>
        <v>0</v>
      </c>
      <c r="Z851" s="26"/>
      <c r="AA851" s="26"/>
      <c r="AB851" s="26"/>
      <c r="AC851" s="26"/>
      <c r="AD851" s="26"/>
      <c r="AE851" s="26"/>
    </row>
    <row r="852" spans="1:31" ht="21.95" customHeight="1" x14ac:dyDescent="0.25">
      <c r="A852" s="97" t="str">
        <f>+IF(PROVEEDORES[[#This Row],[FECHA DE PAGO]]=PROVEEDORES[[#This Row],[FECHA DE FACTURACIÓN]],"DE CONTADO","CRÉDITO")</f>
        <v>CRÉDITO</v>
      </c>
      <c r="B852" s="41" t="str">
        <f>+IF((PROVEEDORES[[#This Row],[FECHA DE PAGO]]-PROVEEDORES[[#This Row],[FECHA DE FACTURACIÓN]])&gt;PROVEEDORES[[#This Row],[PLAZO Días]],"PAGO VENCIDO")</f>
        <v>PAGO VENCIDO</v>
      </c>
      <c r="C852" s="22">
        <f>+VLOOKUP(PROVEEDORES[[#This Row],[PROVEEDOR]],TERCEROS_INFO[#All],2,FALSE)</f>
        <v>30</v>
      </c>
      <c r="D852" s="27">
        <f>+SUMIFS(PROVEEDORES[Total],PROVEEDORES[PROVEEDOR],PROVEEDORES[[#This Row],[PROVEEDOR]],PROVEEDORES[FECHA DE PAGO],"")</f>
        <v>627113.34</v>
      </c>
      <c r="E852" s="27"/>
      <c r="F852" s="62" t="str">
        <f>+VLOOKUP(PROVEEDORES[[#This Row],[PROVEEDOR]],
                       Terceros!$A:$G,
                       6,
                       FALSE)</f>
        <v>ventas@ismartsas.com;girlesa.ruiz@servipilas.com;joriescobar64@gmail.com</v>
      </c>
      <c r="G852" s="95">
        <v>44533</v>
      </c>
      <c r="H852" s="28" t="s">
        <v>48</v>
      </c>
      <c r="I852" s="95">
        <v>44474</v>
      </c>
      <c r="J852" s="38">
        <v>32109</v>
      </c>
      <c r="K852" s="23">
        <v>1524544</v>
      </c>
      <c r="L852" s="23"/>
      <c r="M852" s="24">
        <v>289663.35999999999</v>
      </c>
      <c r="N852" s="25"/>
      <c r="O852" s="24">
        <v>0</v>
      </c>
      <c r="P852" s="136">
        <f>+IF(PROVEEDORES[[#This Row],[SUBTOTAL]]&lt;PROVEEDORES[[#This Row],[base retencion]],0,PROVEEDORES[[#This Row],[retención aplicada]])</f>
        <v>2.5000000000000001E-2</v>
      </c>
      <c r="Q852" s="24">
        <f>+PROVEEDORES[[#This Row],[Rete Fuente %]]*PROVEEDORES[[#This Row],[SUBTOTAL]]</f>
        <v>38113.599999999999</v>
      </c>
      <c r="R852" s="23">
        <v>1776093.7599999998</v>
      </c>
      <c r="S85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2" s="99">
        <f ca="1">IF(PROVEEDORES[[#This Row],[FECHA DE PAGO]]=0,TODAY()-PROVEEDORES[[#This Row],[FECHA DE FACTURACIÓN]]-PROVEEDORES[[#This Row],[PLAZO Días]],0)</f>
        <v>0</v>
      </c>
      <c r="U852" s="149" t="str">
        <f>+VLOOKUP(PROVEEDORES[[#This Row],[PROVEEDOR]],Terceros!$A:$E,5,FALSE)</f>
        <v>2,5% con base</v>
      </c>
      <c r="V852" s="150">
        <f>+YEAR(PROVEEDORES[[#This Row],[FECHA DE FACTURACIÓN]])</f>
        <v>2021</v>
      </c>
      <c r="W852" s="150">
        <f>+MATCH(PROVEEDORES[[#This Row],[año facturado]],Retenciones!$1:$1,0)</f>
        <v>4</v>
      </c>
      <c r="X852" s="151">
        <f>+VLOOKUP(PROVEEDORES[[#This Row],[ID RETENCION]],Retenciones!$A$1:$O$24,PROVEEDORES[[#This Row],[indicador de columna]],FALSE)</f>
        <v>980000</v>
      </c>
      <c r="Y852" s="152">
        <f>+VLOOKUP(PROVEEDORES[[#This Row],[ID RETENCION]],Retenciones!$A$1:$O$24,2,FALSE)</f>
        <v>2.5000000000000001E-2</v>
      </c>
      <c r="Z852" s="26"/>
      <c r="AA852" s="26"/>
      <c r="AB852" s="26"/>
      <c r="AC852" s="26"/>
      <c r="AD852" s="26"/>
      <c r="AE852" s="26"/>
    </row>
    <row r="853" spans="1:31" ht="21.95" customHeight="1" x14ac:dyDescent="0.25">
      <c r="A853" s="97" t="str">
        <f>+IF(PROVEEDORES[[#This Row],[FECHA DE PAGO]]=PROVEEDORES[[#This Row],[FECHA DE FACTURACIÓN]],"DE CONTADO","CRÉDITO")</f>
        <v>CRÉDITO</v>
      </c>
      <c r="B853" s="41" t="str">
        <f>+IF((PROVEEDORES[[#This Row],[FECHA DE PAGO]]-PROVEEDORES[[#This Row],[FECHA DE FACTURACIÓN]])&gt;PROVEEDORES[[#This Row],[PLAZO Días]],"PAGO VENCIDO")</f>
        <v>PAGO VENCIDO</v>
      </c>
      <c r="C853" s="22">
        <f>+VLOOKUP(PROVEEDORES[[#This Row],[PROVEEDOR]],TERCEROS_INFO[#All],2,FALSE)</f>
        <v>30</v>
      </c>
      <c r="D853" s="27">
        <f>+SUMIFS(PROVEEDORES[Total],PROVEEDORES[PROVEEDOR],PROVEEDORES[[#This Row],[PROVEEDOR]],PROVEEDORES[FECHA DE PAGO],"")</f>
        <v>0</v>
      </c>
      <c r="E853" s="27"/>
      <c r="F853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853" s="95">
        <v>44510</v>
      </c>
      <c r="H853" s="28" t="s">
        <v>569</v>
      </c>
      <c r="I853" s="95">
        <v>44474</v>
      </c>
      <c r="J853" s="38" t="s">
        <v>543</v>
      </c>
      <c r="K853" s="23">
        <v>2312400</v>
      </c>
      <c r="L853" s="23"/>
      <c r="M853" s="24">
        <v>439356</v>
      </c>
      <c r="N853" s="25"/>
      <c r="O853" s="24">
        <v>0</v>
      </c>
      <c r="P853" s="136">
        <f>+IF(PROVEEDORES[[#This Row],[SUBTOTAL]]&lt;PROVEEDORES[[#This Row],[base retencion]],0,PROVEEDORES[[#This Row],[retención aplicada]])</f>
        <v>0</v>
      </c>
      <c r="Q853" s="24">
        <f>+PROVEEDORES[[#This Row],[Rete Fuente %]]*PROVEEDORES[[#This Row],[SUBTOTAL]]</f>
        <v>0</v>
      </c>
      <c r="R853" s="23">
        <v>2751756</v>
      </c>
      <c r="S85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3" s="99">
        <f ca="1">IF(PROVEEDORES[[#This Row],[FECHA DE PAGO]]=0,TODAY()-PROVEEDORES[[#This Row],[FECHA DE FACTURACIÓN]]-PROVEEDORES[[#This Row],[PLAZO Días]],0)</f>
        <v>0</v>
      </c>
      <c r="U853" s="149">
        <f>+VLOOKUP(PROVEEDORES[[#This Row],[PROVEEDOR]],Terceros!$A:$E,5,FALSE)</f>
        <v>0</v>
      </c>
      <c r="V853" s="150">
        <f>+YEAR(PROVEEDORES[[#This Row],[FECHA DE FACTURACIÓN]])</f>
        <v>2021</v>
      </c>
      <c r="W853" s="150">
        <f>+MATCH(PROVEEDORES[[#This Row],[año facturado]],Retenciones!$1:$1,0)</f>
        <v>4</v>
      </c>
      <c r="X853" s="151">
        <f>+VLOOKUP(PROVEEDORES[[#This Row],[ID RETENCION]],Retenciones!$A$1:$O$24,PROVEEDORES[[#This Row],[indicador de columna]],FALSE)</f>
        <v>0</v>
      </c>
      <c r="Y853" s="152">
        <f>+VLOOKUP(PROVEEDORES[[#This Row],[ID RETENCION]],Retenciones!$A$1:$O$24,2,FALSE)</f>
        <v>0</v>
      </c>
      <c r="Z853" s="26"/>
      <c r="AA853" s="26"/>
      <c r="AB853" s="26"/>
      <c r="AC853" s="26"/>
      <c r="AD853" s="26"/>
      <c r="AE853" s="26"/>
    </row>
    <row r="854" spans="1:31" ht="21.95" customHeight="1" x14ac:dyDescent="0.25">
      <c r="A854" s="97" t="str">
        <f>+IF(PROVEEDORES[[#This Row],[FECHA DE PAGO]]=PROVEEDORES[[#This Row],[FECHA DE FACTURACIÓN]],"DE CONTADO","CRÉDITO")</f>
        <v>CRÉDITO</v>
      </c>
      <c r="B854" s="41" t="str">
        <f>+IF((PROVEEDORES[[#This Row],[FECHA DE PAGO]]-PROVEEDORES[[#This Row],[FECHA DE FACTURACIÓN]])&gt;PROVEEDORES[[#This Row],[PLAZO Días]],"PAGO VENCIDO")</f>
        <v>PAGO VENCIDO</v>
      </c>
      <c r="C854" s="22">
        <f>+VLOOKUP(PROVEEDORES[[#This Row],[PROVEEDOR]],TERCEROS_INFO[#All],2,FALSE)</f>
        <v>30</v>
      </c>
      <c r="D854" s="27">
        <f>+SUMIFS(PROVEEDORES[Total],PROVEEDORES[PROVEEDOR],PROVEEDORES[[#This Row],[PROVEEDOR]],PROVEEDORES[FECHA DE PAGO],"")</f>
        <v>833999.83799999999</v>
      </c>
      <c r="E854" s="27"/>
      <c r="F854" s="62" t="str">
        <f>+VLOOKUP(PROVEEDORES[[#This Row],[PROVEEDOR]],
                       Terceros!$A:$G,
                       6,
                       FALSE)</f>
        <v>juan.suarez@cosostenible.com;girlesa.ruiz@servipilas.com;joriescobar64@gmail.com</v>
      </c>
      <c r="G854" s="95">
        <v>44517</v>
      </c>
      <c r="H854" s="28" t="s">
        <v>50</v>
      </c>
      <c r="I854" s="95">
        <v>44474</v>
      </c>
      <c r="J854" s="38" t="s">
        <v>545</v>
      </c>
      <c r="K854" s="23">
        <v>2336134</v>
      </c>
      <c r="L854" s="23"/>
      <c r="M854" s="24">
        <v>443865.46</v>
      </c>
      <c r="N854" s="25"/>
      <c r="O854" s="24">
        <v>0</v>
      </c>
      <c r="P854" s="136">
        <f>+IF(PROVEEDORES[[#This Row],[SUBTOTAL]]&lt;PROVEEDORES[[#This Row],[base retencion]],0,PROVEEDORES[[#This Row],[retención aplicada]])</f>
        <v>2.5000000000000001E-2</v>
      </c>
      <c r="Q854" s="24">
        <f>+PROVEEDORES[[#This Row],[Rete Fuente %]]*PROVEEDORES[[#This Row],[SUBTOTAL]]</f>
        <v>58403.350000000006</v>
      </c>
      <c r="R854" s="23">
        <v>2721596.11</v>
      </c>
      <c r="S85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4" s="99">
        <f ca="1">IF(PROVEEDORES[[#This Row],[FECHA DE PAGO]]=0,TODAY()-PROVEEDORES[[#This Row],[FECHA DE FACTURACIÓN]]-PROVEEDORES[[#This Row],[PLAZO Días]],0)</f>
        <v>0</v>
      </c>
      <c r="U854" s="149" t="str">
        <f>+VLOOKUP(PROVEEDORES[[#This Row],[PROVEEDOR]],Terceros!$A:$E,5,FALSE)</f>
        <v>2,5% con base</v>
      </c>
      <c r="V854" s="150">
        <f>+YEAR(PROVEEDORES[[#This Row],[FECHA DE FACTURACIÓN]])</f>
        <v>2021</v>
      </c>
      <c r="W854" s="150">
        <f>+MATCH(PROVEEDORES[[#This Row],[año facturado]],Retenciones!$1:$1,0)</f>
        <v>4</v>
      </c>
      <c r="X854" s="151">
        <f>+VLOOKUP(PROVEEDORES[[#This Row],[ID RETENCION]],Retenciones!$A$1:$O$24,PROVEEDORES[[#This Row],[indicador de columna]],FALSE)</f>
        <v>980000</v>
      </c>
      <c r="Y854" s="152">
        <f>+VLOOKUP(PROVEEDORES[[#This Row],[ID RETENCION]],Retenciones!$A$1:$O$24,2,FALSE)</f>
        <v>2.5000000000000001E-2</v>
      </c>
      <c r="Z854" s="26"/>
      <c r="AA854" s="26"/>
      <c r="AB854" s="26"/>
      <c r="AC854" s="26"/>
      <c r="AD854" s="26"/>
      <c r="AE854" s="26"/>
    </row>
    <row r="855" spans="1:31" ht="21.95" customHeight="1" x14ac:dyDescent="0.25">
      <c r="A855" s="97" t="str">
        <f>+IF(PROVEEDORES[[#This Row],[FECHA DE PAGO]]=PROVEEDORES[[#This Row],[FECHA DE FACTURACIÓN]],"DE CONTADO","CRÉDITO")</f>
        <v>CRÉDITO</v>
      </c>
      <c r="B855" s="41" t="str">
        <f>+IF((PROVEEDORES[[#This Row],[FECHA DE PAGO]]-PROVEEDORES[[#This Row],[FECHA DE FACTURACIÓN]])&gt;PROVEEDORES[[#This Row],[PLAZO Días]],"PAGO VENCIDO")</f>
        <v>PAGO VENCIDO</v>
      </c>
      <c r="C855" s="22">
        <f>+VLOOKUP(PROVEEDORES[[#This Row],[PROVEEDOR]],TERCEROS_INFO[#All],2,FALSE)</f>
        <v>30</v>
      </c>
      <c r="D855" s="27">
        <f>+SUMIFS(PROVEEDORES[Total],PROVEEDORES[PROVEEDOR],PROVEEDORES[[#This Row],[PROVEEDOR]],PROVEEDORES[FECHA DE PAGO],"")</f>
        <v>2588352.5</v>
      </c>
      <c r="E855" s="27"/>
      <c r="F855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855" s="95">
        <v>44537</v>
      </c>
      <c r="H855" s="28" t="s">
        <v>1088</v>
      </c>
      <c r="I855" s="95">
        <v>44475</v>
      </c>
      <c r="J855" s="38">
        <v>22816</v>
      </c>
      <c r="K855" s="23">
        <v>870000</v>
      </c>
      <c r="L855" s="23"/>
      <c r="M855" s="24">
        <v>165300</v>
      </c>
      <c r="N855" s="25"/>
      <c r="O855" s="24">
        <v>0</v>
      </c>
      <c r="P855" s="136">
        <f>+IF(PROVEEDORES[[#This Row],[SUBTOTAL]]&lt;PROVEEDORES[[#This Row],[base retencion]],0,PROVEEDORES[[#This Row],[retención aplicada]])</f>
        <v>0</v>
      </c>
      <c r="Q855" s="24">
        <f>+PROVEEDORES[[#This Row],[Rete Fuente %]]*PROVEEDORES[[#This Row],[SUBTOTAL]]</f>
        <v>0</v>
      </c>
      <c r="R855" s="23">
        <v>1035300</v>
      </c>
      <c r="S85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5" s="99">
        <f ca="1">IF(PROVEEDORES[[#This Row],[FECHA DE PAGO]]=0,TODAY()-PROVEEDORES[[#This Row],[FECHA DE FACTURACIÓN]]-PROVEEDORES[[#This Row],[PLAZO Días]],0)</f>
        <v>0</v>
      </c>
      <c r="U855" s="149" t="str">
        <f>+VLOOKUP(PROVEEDORES[[#This Row],[PROVEEDOR]],Terceros!$A:$E,5,FALSE)</f>
        <v>2,5% con base</v>
      </c>
      <c r="V855" s="150">
        <f>+YEAR(PROVEEDORES[[#This Row],[FECHA DE FACTURACIÓN]])</f>
        <v>2021</v>
      </c>
      <c r="W855" s="150">
        <f>+MATCH(PROVEEDORES[[#This Row],[año facturado]],Retenciones!$1:$1,0)</f>
        <v>4</v>
      </c>
      <c r="X855" s="151">
        <f>+VLOOKUP(PROVEEDORES[[#This Row],[ID RETENCION]],Retenciones!$A$1:$O$24,PROVEEDORES[[#This Row],[indicador de columna]],FALSE)</f>
        <v>980000</v>
      </c>
      <c r="Y855" s="152">
        <f>+VLOOKUP(PROVEEDORES[[#This Row],[ID RETENCION]],Retenciones!$A$1:$O$24,2,FALSE)</f>
        <v>2.5000000000000001E-2</v>
      </c>
      <c r="Z855" s="26"/>
      <c r="AA855" s="26"/>
      <c r="AB855" s="26"/>
      <c r="AC855" s="26"/>
      <c r="AD855" s="26"/>
      <c r="AE855" s="26"/>
    </row>
    <row r="856" spans="1:31" ht="21.95" customHeight="1" x14ac:dyDescent="0.25">
      <c r="A856" s="97" t="str">
        <f>+IF(PROVEEDORES[[#This Row],[FECHA DE PAGO]]=PROVEEDORES[[#This Row],[FECHA DE FACTURACIÓN]],"DE CONTADO","CRÉDITO")</f>
        <v>CRÉDITO</v>
      </c>
      <c r="B856" s="41" t="str">
        <f>+IF((PROVEEDORES[[#This Row],[FECHA DE PAGO]]-PROVEEDORES[[#This Row],[FECHA DE FACTURACIÓN]])&gt;PROVEEDORES[[#This Row],[PLAZO Días]],"PAGO VENCIDO")</f>
        <v>PAGO VENCIDO</v>
      </c>
      <c r="C856" s="22">
        <f>+VLOOKUP(PROVEEDORES[[#This Row],[PROVEEDOR]],TERCEROS_INFO[#All],2,FALSE)</f>
        <v>30</v>
      </c>
      <c r="D856" s="27">
        <f>+SUMIFS(PROVEEDORES[Total],PROVEEDORES[PROVEEDOR],PROVEEDORES[[#This Row],[PROVEEDOR]],PROVEEDORES[FECHA DE PAGO],"")</f>
        <v>1979529.3</v>
      </c>
      <c r="E856" s="27"/>
      <c r="F856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856" s="95">
        <v>44510</v>
      </c>
      <c r="H856" s="28" t="s">
        <v>17</v>
      </c>
      <c r="I856" s="95">
        <v>44475</v>
      </c>
      <c r="J856" s="38" t="s">
        <v>843</v>
      </c>
      <c r="K856" s="23">
        <v>1336624</v>
      </c>
      <c r="L856" s="23"/>
      <c r="M856" s="24">
        <v>0</v>
      </c>
      <c r="N856" s="25"/>
      <c r="O856" s="24">
        <v>0</v>
      </c>
      <c r="P856" s="136">
        <f>+IF(PROVEEDORES[[#This Row],[SUBTOTAL]]&lt;PROVEEDORES[[#This Row],[base retencion]],0,PROVEEDORES[[#This Row],[retención aplicada]])</f>
        <v>0</v>
      </c>
      <c r="Q856" s="24">
        <f>+PROVEEDORES[[#This Row],[Rete Fuente %]]*PROVEEDORES[[#This Row],[SUBTOTAL]]</f>
        <v>0</v>
      </c>
      <c r="R856" s="23">
        <v>1336624</v>
      </c>
      <c r="S85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6" s="99">
        <f ca="1">IF(PROVEEDORES[[#This Row],[FECHA DE PAGO]]=0,TODAY()-PROVEEDORES[[#This Row],[FECHA DE FACTURACIÓN]]-PROVEEDORES[[#This Row],[PLAZO Días]],0)</f>
        <v>0</v>
      </c>
      <c r="U856" s="149">
        <f>+VLOOKUP(PROVEEDORES[[#This Row],[PROVEEDOR]],Terceros!$A:$E,5,FALSE)</f>
        <v>0</v>
      </c>
      <c r="V856" s="150">
        <f>+YEAR(PROVEEDORES[[#This Row],[FECHA DE FACTURACIÓN]])</f>
        <v>2021</v>
      </c>
      <c r="W856" s="150">
        <f>+MATCH(PROVEEDORES[[#This Row],[año facturado]],Retenciones!$1:$1,0)</f>
        <v>4</v>
      </c>
      <c r="X856" s="151">
        <f>+VLOOKUP(PROVEEDORES[[#This Row],[ID RETENCION]],Retenciones!$A$1:$O$24,PROVEEDORES[[#This Row],[indicador de columna]],FALSE)</f>
        <v>0</v>
      </c>
      <c r="Y856" s="152">
        <f>+VLOOKUP(PROVEEDORES[[#This Row],[ID RETENCION]],Retenciones!$A$1:$O$24,2,FALSE)</f>
        <v>0</v>
      </c>
      <c r="Z856" s="26"/>
      <c r="AA856" s="26"/>
      <c r="AB856" s="26"/>
      <c r="AC856" s="26"/>
      <c r="AD856" s="26"/>
      <c r="AE856" s="26"/>
    </row>
    <row r="857" spans="1:31" ht="21.95" customHeight="1" x14ac:dyDescent="0.25">
      <c r="A857" s="97" t="str">
        <f>+IF(PROVEEDORES[[#This Row],[FECHA DE PAGO]]=PROVEEDORES[[#This Row],[FECHA DE FACTURACIÓN]],"DE CONTADO","CRÉDITO")</f>
        <v>CRÉDITO</v>
      </c>
      <c r="B857" s="41" t="str">
        <f>+IF((PROVEEDORES[[#This Row],[FECHA DE PAGO]]-PROVEEDORES[[#This Row],[FECHA DE FACTURACIÓN]])&gt;PROVEEDORES[[#This Row],[PLAZO Días]],"PAGO VENCIDO")</f>
        <v>PAGO VENCIDO</v>
      </c>
      <c r="C857" s="22">
        <f>+VLOOKUP(PROVEEDORES[[#This Row],[PROVEEDOR]],TERCEROS_INFO[#All],2,FALSE)</f>
        <v>30</v>
      </c>
      <c r="D857" s="27">
        <f>+SUMIFS(PROVEEDORES[Total],PROVEEDORES[PROVEEDOR],PROVEEDORES[[#This Row],[PROVEEDOR]],PROVEEDORES[FECHA DE PAGO],"")</f>
        <v>0</v>
      </c>
      <c r="E857" s="27"/>
      <c r="F857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857" s="95">
        <v>44510</v>
      </c>
      <c r="H857" s="28" t="s">
        <v>1124</v>
      </c>
      <c r="I857" s="95">
        <v>44475</v>
      </c>
      <c r="J857" s="38">
        <v>23081</v>
      </c>
      <c r="K857" s="23">
        <v>1770000</v>
      </c>
      <c r="L857" s="23"/>
      <c r="M857" s="24">
        <v>336300</v>
      </c>
      <c r="N857" s="25"/>
      <c r="O857" s="24">
        <v>0</v>
      </c>
      <c r="P857" s="136">
        <f>+IF(PROVEEDORES[[#This Row],[SUBTOTAL]]&lt;PROVEEDORES[[#This Row],[base retencion]],0,PROVEEDORES[[#This Row],[retención aplicada]])</f>
        <v>2.5000000000000001E-2</v>
      </c>
      <c r="Q857" s="24">
        <f>+PROVEEDORES[[#This Row],[Rete Fuente %]]*PROVEEDORES[[#This Row],[SUBTOTAL]]</f>
        <v>44250</v>
      </c>
      <c r="R857" s="23">
        <v>2062050</v>
      </c>
      <c r="S85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7" s="99">
        <f ca="1">IF(PROVEEDORES[[#This Row],[FECHA DE PAGO]]=0,TODAY()-PROVEEDORES[[#This Row],[FECHA DE FACTURACIÓN]]-PROVEEDORES[[#This Row],[PLAZO Días]],0)</f>
        <v>0</v>
      </c>
      <c r="U857" s="149" t="str">
        <f>+VLOOKUP(PROVEEDORES[[#This Row],[PROVEEDOR]],Terceros!$A:$E,5,FALSE)</f>
        <v>2,5% con base</v>
      </c>
      <c r="V857" s="150">
        <f>+YEAR(PROVEEDORES[[#This Row],[FECHA DE FACTURACIÓN]])</f>
        <v>2021</v>
      </c>
      <c r="W857" s="150">
        <f>+MATCH(PROVEEDORES[[#This Row],[año facturado]],Retenciones!$1:$1,0)</f>
        <v>4</v>
      </c>
      <c r="X857" s="151">
        <f>+VLOOKUP(PROVEEDORES[[#This Row],[ID RETENCION]],Retenciones!$A$1:$O$24,PROVEEDORES[[#This Row],[indicador de columna]],FALSE)</f>
        <v>980000</v>
      </c>
      <c r="Y857" s="152">
        <f>+VLOOKUP(PROVEEDORES[[#This Row],[ID RETENCION]],Retenciones!$A$1:$O$24,2,FALSE)</f>
        <v>2.5000000000000001E-2</v>
      </c>
      <c r="Z857" s="26"/>
      <c r="AA857" s="26"/>
      <c r="AB857" s="26"/>
      <c r="AC857" s="26"/>
      <c r="AD857" s="26"/>
      <c r="AE857" s="26"/>
    </row>
    <row r="858" spans="1:31" ht="21.95" customHeight="1" x14ac:dyDescent="0.25">
      <c r="A858" s="97" t="str">
        <f>+IF(PROVEEDORES[[#This Row],[FECHA DE PAGO]]=PROVEEDORES[[#This Row],[FECHA DE FACTURACIÓN]],"DE CONTADO","CRÉDITO")</f>
        <v>CRÉDITO</v>
      </c>
      <c r="B858" s="41" t="b">
        <f>+IF((PROVEEDORES[[#This Row],[FECHA DE PAGO]]-PROVEEDORES[[#This Row],[FECHA DE FACTURACIÓN]])&gt;PROVEEDORES[[#This Row],[PLAZO Días]],"PAGO VENCIDO")</f>
        <v>0</v>
      </c>
      <c r="C858" s="22">
        <f>+VLOOKUP(PROVEEDORES[[#This Row],[PROVEEDOR]],TERCEROS_INFO[#All],2,FALSE)</f>
        <v>10</v>
      </c>
      <c r="D858" s="27">
        <f>+SUMIFS(PROVEEDORES[Total],PROVEEDORES[PROVEEDOR],PROVEEDORES[[#This Row],[PROVEEDOR]],PROVEEDORES[FECHA DE PAGO],"")</f>
        <v>0</v>
      </c>
      <c r="E858" s="27"/>
      <c r="F858" s="62" t="str">
        <f>+VLOOKUP(PROVEEDORES[[#This Row],[PROVEEDOR]],
                       Terceros!$A:$G,
                       6,
                       FALSE)</f>
        <v/>
      </c>
      <c r="G858" s="95">
        <v>44484</v>
      </c>
      <c r="H858" s="28" t="s">
        <v>23</v>
      </c>
      <c r="I858" s="95">
        <v>44475</v>
      </c>
      <c r="J858" s="38">
        <v>285759</v>
      </c>
      <c r="K858" s="23">
        <v>7167218</v>
      </c>
      <c r="L858" s="23"/>
      <c r="M858" s="24">
        <v>0</v>
      </c>
      <c r="N858" s="25"/>
      <c r="O858" s="24">
        <v>0</v>
      </c>
      <c r="P858" s="136">
        <f>+IF(PROVEEDORES[[#This Row],[SUBTOTAL]]&lt;PROVEEDORES[[#This Row],[base retencion]],0,PROVEEDORES[[#This Row],[retención aplicada]])</f>
        <v>0</v>
      </c>
      <c r="Q858" s="24">
        <f>+PROVEEDORES[[#This Row],[Rete Fuente %]]*PROVEEDORES[[#This Row],[SUBTOTAL]]</f>
        <v>0</v>
      </c>
      <c r="R858" s="23">
        <v>7167218</v>
      </c>
      <c r="S85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8" s="99">
        <f ca="1">IF(PROVEEDORES[[#This Row],[FECHA DE PAGO]]=0,TODAY()-PROVEEDORES[[#This Row],[FECHA DE FACTURACIÓN]]-PROVEEDORES[[#This Row],[PLAZO Días]],0)</f>
        <v>0</v>
      </c>
      <c r="U858" s="149">
        <f>+VLOOKUP(PROVEEDORES[[#This Row],[PROVEEDOR]],Terceros!$A:$E,5,FALSE)</f>
        <v>0</v>
      </c>
      <c r="V858" s="150">
        <f>+YEAR(PROVEEDORES[[#This Row],[FECHA DE FACTURACIÓN]])</f>
        <v>2021</v>
      </c>
      <c r="W858" s="150">
        <f>+MATCH(PROVEEDORES[[#This Row],[año facturado]],Retenciones!$1:$1,0)</f>
        <v>4</v>
      </c>
      <c r="X858" s="151">
        <f>+VLOOKUP(PROVEEDORES[[#This Row],[ID RETENCION]],Retenciones!$A$1:$O$24,PROVEEDORES[[#This Row],[indicador de columna]],FALSE)</f>
        <v>0</v>
      </c>
      <c r="Y858" s="152">
        <f>+VLOOKUP(PROVEEDORES[[#This Row],[ID RETENCION]],Retenciones!$A$1:$O$24,2,FALSE)</f>
        <v>0</v>
      </c>
      <c r="Z858" s="26"/>
      <c r="AA858" s="26"/>
      <c r="AB858" s="26"/>
      <c r="AC858" s="26"/>
      <c r="AD858" s="26"/>
      <c r="AE858" s="26"/>
    </row>
    <row r="859" spans="1:31" ht="21.95" customHeight="1" x14ac:dyDescent="0.25">
      <c r="A859" s="97" t="str">
        <f>+IF(PROVEEDORES[[#This Row],[FECHA DE PAGO]]=PROVEEDORES[[#This Row],[FECHA DE FACTURACIÓN]],"DE CONTADO","CRÉDITO")</f>
        <v>CRÉDITO</v>
      </c>
      <c r="B859" s="41" t="str">
        <f>+IF((PROVEEDORES[[#This Row],[FECHA DE PAGO]]-PROVEEDORES[[#This Row],[FECHA DE FACTURACIÓN]])&gt;PROVEEDORES[[#This Row],[PLAZO Días]],"PAGO VENCIDO")</f>
        <v>PAGO VENCIDO</v>
      </c>
      <c r="C859" s="22">
        <f>+VLOOKUP(PROVEEDORES[[#This Row],[PROVEEDOR]],TERCEROS_INFO[#All],2,FALSE)</f>
        <v>30</v>
      </c>
      <c r="D859" s="27">
        <f>+SUMIFS(PROVEEDORES[Total],PROVEEDORES[PROVEEDOR],PROVEEDORES[[#This Row],[PROVEEDOR]],PROVEEDORES[FECHA DE PAGO],"")</f>
        <v>4641412.7745000003</v>
      </c>
      <c r="E859" s="27"/>
      <c r="F859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859" s="95">
        <v>44517</v>
      </c>
      <c r="H859" s="28" t="s">
        <v>20</v>
      </c>
      <c r="I859" s="95">
        <v>44476</v>
      </c>
      <c r="J859" s="38" t="s">
        <v>844</v>
      </c>
      <c r="K859" s="23">
        <v>-237267</v>
      </c>
      <c r="L859" s="23"/>
      <c r="M859" s="24">
        <v>0</v>
      </c>
      <c r="N859" s="25"/>
      <c r="O859" s="24">
        <v>0</v>
      </c>
      <c r="P859" s="136">
        <f>+IF(PROVEEDORES[[#This Row],[SUBTOTAL]]&lt;PROVEEDORES[[#This Row],[base retencion]],0,PROVEEDORES[[#This Row],[retención aplicada]])</f>
        <v>0</v>
      </c>
      <c r="Q859" s="24">
        <f>+PROVEEDORES[[#This Row],[Rete Fuente %]]*PROVEEDORES[[#This Row],[SUBTOTAL]]</f>
        <v>0</v>
      </c>
      <c r="R859" s="23">
        <v>-237267</v>
      </c>
      <c r="S85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9" s="99">
        <f ca="1">IF(PROVEEDORES[[#This Row],[FECHA DE PAGO]]=0,TODAY()-PROVEEDORES[[#This Row],[FECHA DE FACTURACIÓN]]-PROVEEDORES[[#This Row],[PLAZO Días]],0)</f>
        <v>0</v>
      </c>
      <c r="U859" s="149" t="str">
        <f>+VLOOKUP(PROVEEDORES[[#This Row],[PROVEEDOR]],Terceros!$A:$E,5,FALSE)</f>
        <v>2,5% con base</v>
      </c>
      <c r="V859" s="150">
        <f>+YEAR(PROVEEDORES[[#This Row],[FECHA DE FACTURACIÓN]])</f>
        <v>2021</v>
      </c>
      <c r="W859" s="150">
        <f>+MATCH(PROVEEDORES[[#This Row],[año facturado]],Retenciones!$1:$1,0)</f>
        <v>4</v>
      </c>
      <c r="X859" s="151">
        <f>+VLOOKUP(PROVEEDORES[[#This Row],[ID RETENCION]],Retenciones!$A$1:$O$24,PROVEEDORES[[#This Row],[indicador de columna]],FALSE)</f>
        <v>980000</v>
      </c>
      <c r="Y859" s="152">
        <f>+VLOOKUP(PROVEEDORES[[#This Row],[ID RETENCION]],Retenciones!$A$1:$O$24,2,FALSE)</f>
        <v>2.5000000000000001E-2</v>
      </c>
      <c r="Z859" s="26"/>
      <c r="AA859" s="26"/>
      <c r="AB859" s="26"/>
      <c r="AC859" s="26"/>
      <c r="AD859" s="26"/>
      <c r="AE859" s="26"/>
    </row>
    <row r="860" spans="1:31" ht="21.95" customHeight="1" x14ac:dyDescent="0.25">
      <c r="A860" s="97" t="str">
        <f>+IF(PROVEEDORES[[#This Row],[FECHA DE PAGO]]=PROVEEDORES[[#This Row],[FECHA DE FACTURACIÓN]],"DE CONTADO","CRÉDITO")</f>
        <v>DE CONTADO</v>
      </c>
      <c r="B860" s="41" t="b">
        <f>+IF((PROVEEDORES[[#This Row],[FECHA DE PAGO]]-PROVEEDORES[[#This Row],[FECHA DE FACTURACIÓN]])&gt;PROVEEDORES[[#This Row],[PLAZO Días]],"PAGO VENCIDO")</f>
        <v>0</v>
      </c>
      <c r="C860" s="22">
        <f>+VLOOKUP(PROVEEDORES[[#This Row],[PROVEEDOR]],TERCEROS_INFO[#All],2,FALSE)</f>
        <v>30</v>
      </c>
      <c r="D860" s="27">
        <f>+SUMIFS(PROVEEDORES[Total],PROVEEDORES[PROVEEDOR],PROVEEDORES[[#This Row],[PROVEEDOR]],PROVEEDORES[FECHA DE PAGO],"")</f>
        <v>0</v>
      </c>
      <c r="E860" s="27"/>
      <c r="F860" s="62" t="str">
        <f>+VLOOKUP(PROVEEDORES[[#This Row],[PROVEEDOR]],
                       Terceros!$A:$G,
                       6,
                       FALSE)</f>
        <v/>
      </c>
      <c r="G860" s="95">
        <v>44476</v>
      </c>
      <c r="H860" s="28" t="s">
        <v>1046</v>
      </c>
      <c r="I860" s="95">
        <v>44476</v>
      </c>
      <c r="J860" s="38"/>
      <c r="K860" s="23">
        <v>1000000</v>
      </c>
      <c r="L860" s="23"/>
      <c r="M860" s="24">
        <v>0</v>
      </c>
      <c r="N860" s="25"/>
      <c r="O860" s="24">
        <v>0</v>
      </c>
      <c r="P860" s="136">
        <f>+IF(PROVEEDORES[[#This Row],[SUBTOTAL]]&lt;PROVEEDORES[[#This Row],[base retencion]],0,PROVEEDORES[[#This Row],[retención aplicada]])</f>
        <v>0</v>
      </c>
      <c r="Q860" s="24">
        <f>+PROVEEDORES[[#This Row],[Rete Fuente %]]*PROVEEDORES[[#This Row],[SUBTOTAL]]</f>
        <v>0</v>
      </c>
      <c r="R860" s="23">
        <v>1000000</v>
      </c>
      <c r="S86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0" s="99">
        <f ca="1">IF(PROVEEDORES[[#This Row],[FECHA DE PAGO]]=0,TODAY()-PROVEEDORES[[#This Row],[FECHA DE FACTURACIÓN]]-PROVEEDORES[[#This Row],[PLAZO Días]],0)</f>
        <v>0</v>
      </c>
      <c r="U860" s="149">
        <f>+VLOOKUP(PROVEEDORES[[#This Row],[PROVEEDOR]],Terceros!$A:$E,5,FALSE)</f>
        <v>0</v>
      </c>
      <c r="V860" s="150">
        <f>+YEAR(PROVEEDORES[[#This Row],[FECHA DE FACTURACIÓN]])</f>
        <v>2021</v>
      </c>
      <c r="W860" s="150">
        <f>+MATCH(PROVEEDORES[[#This Row],[año facturado]],Retenciones!$1:$1,0)</f>
        <v>4</v>
      </c>
      <c r="X860" s="151">
        <f>+VLOOKUP(PROVEEDORES[[#This Row],[ID RETENCION]],Retenciones!$A$1:$O$24,PROVEEDORES[[#This Row],[indicador de columna]],FALSE)</f>
        <v>0</v>
      </c>
      <c r="Y860" s="152">
        <f>+VLOOKUP(PROVEEDORES[[#This Row],[ID RETENCION]],Retenciones!$A$1:$O$24,2,FALSE)</f>
        <v>0</v>
      </c>
      <c r="Z860" s="26"/>
      <c r="AA860" s="26"/>
      <c r="AB860" s="26"/>
      <c r="AC860" s="26"/>
      <c r="AD860" s="26"/>
      <c r="AE860" s="26"/>
    </row>
    <row r="861" spans="1:31" ht="21.95" customHeight="1" x14ac:dyDescent="0.25">
      <c r="A861" s="97" t="str">
        <f>+IF(PROVEEDORES[[#This Row],[FECHA DE PAGO]]=PROVEEDORES[[#This Row],[FECHA DE FACTURACIÓN]],"DE CONTADO","CRÉDITO")</f>
        <v>CRÉDITO</v>
      </c>
      <c r="B861" s="41" t="str">
        <f>+IF((PROVEEDORES[[#This Row],[FECHA DE PAGO]]-PROVEEDORES[[#This Row],[FECHA DE FACTURACIÓN]])&gt;PROVEEDORES[[#This Row],[PLAZO Días]],"PAGO VENCIDO")</f>
        <v>PAGO VENCIDO</v>
      </c>
      <c r="C861" s="22">
        <f>+VLOOKUP(PROVEEDORES[[#This Row],[PROVEEDOR]],TERCEROS_INFO[#All],2,FALSE)</f>
        <v>10</v>
      </c>
      <c r="D861" s="27">
        <f>+SUMIFS(PROVEEDORES[Total],PROVEEDORES[PROVEEDOR],PROVEEDORES[[#This Row],[PROVEEDOR]],PROVEEDORES[FECHA DE PAGO],"")</f>
        <v>0</v>
      </c>
      <c r="E861" s="27"/>
      <c r="F861" s="62" t="str">
        <f>+VLOOKUP(PROVEEDORES[[#This Row],[PROVEEDOR]],
                       Terceros!$A:$G,
                       6,
                       FALSE)</f>
        <v/>
      </c>
      <c r="G861" s="95">
        <v>44487</v>
      </c>
      <c r="H861" s="28" t="s">
        <v>23</v>
      </c>
      <c r="I861" s="95">
        <v>44476</v>
      </c>
      <c r="J861" s="38">
        <v>285851</v>
      </c>
      <c r="K861" s="23">
        <v>18021500</v>
      </c>
      <c r="L861" s="23"/>
      <c r="M861" s="24">
        <v>0</v>
      </c>
      <c r="N861" s="25"/>
      <c r="O861" s="24">
        <v>0</v>
      </c>
      <c r="P861" s="136">
        <f>+IF(PROVEEDORES[[#This Row],[SUBTOTAL]]&lt;PROVEEDORES[[#This Row],[base retencion]],0,PROVEEDORES[[#This Row],[retención aplicada]])</f>
        <v>0</v>
      </c>
      <c r="Q861" s="24">
        <f>+PROVEEDORES[[#This Row],[Rete Fuente %]]*PROVEEDORES[[#This Row],[SUBTOTAL]]</f>
        <v>0</v>
      </c>
      <c r="R861" s="23">
        <v>18021500</v>
      </c>
      <c r="S86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1" s="99">
        <f ca="1">IF(PROVEEDORES[[#This Row],[FECHA DE PAGO]]=0,TODAY()-PROVEEDORES[[#This Row],[FECHA DE FACTURACIÓN]]-PROVEEDORES[[#This Row],[PLAZO Días]],0)</f>
        <v>0</v>
      </c>
      <c r="U861" s="149">
        <f>+VLOOKUP(PROVEEDORES[[#This Row],[PROVEEDOR]],Terceros!$A:$E,5,FALSE)</f>
        <v>0</v>
      </c>
      <c r="V861" s="150">
        <f>+YEAR(PROVEEDORES[[#This Row],[FECHA DE FACTURACIÓN]])</f>
        <v>2021</v>
      </c>
      <c r="W861" s="150">
        <f>+MATCH(PROVEEDORES[[#This Row],[año facturado]],Retenciones!$1:$1,0)</f>
        <v>4</v>
      </c>
      <c r="X861" s="151">
        <f>+VLOOKUP(PROVEEDORES[[#This Row],[ID RETENCION]],Retenciones!$A$1:$O$24,PROVEEDORES[[#This Row],[indicador de columna]],FALSE)</f>
        <v>0</v>
      </c>
      <c r="Y861" s="152">
        <f>+VLOOKUP(PROVEEDORES[[#This Row],[ID RETENCION]],Retenciones!$A$1:$O$24,2,FALSE)</f>
        <v>0</v>
      </c>
      <c r="Z861" s="26"/>
      <c r="AA861" s="26"/>
      <c r="AB861" s="26"/>
      <c r="AC861" s="26"/>
      <c r="AD861" s="26"/>
      <c r="AE861" s="26"/>
    </row>
    <row r="862" spans="1:31" ht="21.95" customHeight="1" x14ac:dyDescent="0.25">
      <c r="A862" s="97" t="str">
        <f>+IF(PROVEEDORES[[#This Row],[FECHA DE PAGO]]=PROVEEDORES[[#This Row],[FECHA DE FACTURACIÓN]],"DE CONTADO","CRÉDITO")</f>
        <v>DE CONTADO</v>
      </c>
      <c r="B862" s="41" t="b">
        <f>+IF((PROVEEDORES[[#This Row],[FECHA DE PAGO]]-PROVEEDORES[[#This Row],[FECHA DE FACTURACIÓN]])&gt;PROVEEDORES[[#This Row],[PLAZO Días]],"PAGO VENCIDO")</f>
        <v>0</v>
      </c>
      <c r="C862" s="22">
        <f>+VLOOKUP(PROVEEDORES[[#This Row],[PROVEEDOR]],TERCEROS_INFO[#All],2,FALSE)</f>
        <v>30</v>
      </c>
      <c r="D862" s="27">
        <f>+SUMIFS(PROVEEDORES[Total],PROVEEDORES[PROVEEDOR],PROVEEDORES[[#This Row],[PROVEEDOR]],PROVEEDORES[FECHA DE PAGO],"")</f>
        <v>390000</v>
      </c>
      <c r="E862" s="27"/>
      <c r="F862" s="62">
        <f>+VLOOKUP(PROVEEDORES[[#This Row],[PROVEEDOR]],
                       Terceros!$A:$G,
                       6,
                       FALSE)</f>
        <v>0</v>
      </c>
      <c r="G862" s="95">
        <v>44477</v>
      </c>
      <c r="H862" s="28" t="s">
        <v>1080</v>
      </c>
      <c r="I862" s="95">
        <v>44477</v>
      </c>
      <c r="J862" s="38" t="s">
        <v>845</v>
      </c>
      <c r="K862" s="23">
        <v>468000</v>
      </c>
      <c r="L862" s="23"/>
      <c r="M862" s="24">
        <v>0</v>
      </c>
      <c r="N862" s="25"/>
      <c r="O862" s="24">
        <v>0</v>
      </c>
      <c r="P862" s="136">
        <f>+IF(PROVEEDORES[[#This Row],[SUBTOTAL]]&lt;PROVEEDORES[[#This Row],[base retencion]],0,PROVEEDORES[[#This Row],[retención aplicada]])</f>
        <v>0</v>
      </c>
      <c r="Q862" s="24">
        <f>+PROVEEDORES[[#This Row],[Rete Fuente %]]*PROVEEDORES[[#This Row],[SUBTOTAL]]</f>
        <v>0</v>
      </c>
      <c r="R862" s="23">
        <v>468000</v>
      </c>
      <c r="S86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2" s="99">
        <f ca="1">IF(PROVEEDORES[[#This Row],[FECHA DE PAGO]]=0,TODAY()-PROVEEDORES[[#This Row],[FECHA DE FACTURACIÓN]]-PROVEEDORES[[#This Row],[PLAZO Días]],0)</f>
        <v>0</v>
      </c>
      <c r="U862" s="149">
        <f>+VLOOKUP(PROVEEDORES[[#This Row],[PROVEEDOR]],Terceros!$A:$E,5,FALSE)</f>
        <v>0</v>
      </c>
      <c r="V862" s="150">
        <f>+YEAR(PROVEEDORES[[#This Row],[FECHA DE FACTURACIÓN]])</f>
        <v>2021</v>
      </c>
      <c r="W862" s="150">
        <f>+MATCH(PROVEEDORES[[#This Row],[año facturado]],Retenciones!$1:$1,0)</f>
        <v>4</v>
      </c>
      <c r="X862" s="151">
        <f>+VLOOKUP(PROVEEDORES[[#This Row],[ID RETENCION]],Retenciones!$A$1:$O$24,PROVEEDORES[[#This Row],[indicador de columna]],FALSE)</f>
        <v>0</v>
      </c>
      <c r="Y862" s="152">
        <f>+VLOOKUP(PROVEEDORES[[#This Row],[ID RETENCION]],Retenciones!$A$1:$O$24,2,FALSE)</f>
        <v>0</v>
      </c>
      <c r="Z862" s="26"/>
      <c r="AA862" s="26"/>
      <c r="AB862" s="26"/>
      <c r="AC862" s="26"/>
      <c r="AD862" s="26"/>
      <c r="AE862" s="26"/>
    </row>
    <row r="863" spans="1:31" ht="21.95" customHeight="1" x14ac:dyDescent="0.25">
      <c r="A863" s="97" t="str">
        <f>+IF(PROVEEDORES[[#This Row],[FECHA DE PAGO]]=PROVEEDORES[[#This Row],[FECHA DE FACTURACIÓN]],"DE CONTADO","CRÉDITO")</f>
        <v>CRÉDITO</v>
      </c>
      <c r="B863" s="41" t="str">
        <f>+IF((PROVEEDORES[[#This Row],[FECHA DE PAGO]]-PROVEEDORES[[#This Row],[FECHA DE FACTURACIÓN]])&gt;PROVEEDORES[[#This Row],[PLAZO Días]],"PAGO VENCIDO")</f>
        <v>PAGO VENCIDO</v>
      </c>
      <c r="C863" s="22">
        <f>+VLOOKUP(PROVEEDORES[[#This Row],[PROVEEDOR]],TERCEROS_INFO[#All],2,FALSE)</f>
        <v>30</v>
      </c>
      <c r="D863" s="27">
        <f>+SUMIFS(PROVEEDORES[Total],PROVEEDORES[PROVEEDOR],PROVEEDORES[[#This Row],[PROVEEDOR]],PROVEEDORES[FECHA DE PAGO],"")</f>
        <v>4641412.7745000003</v>
      </c>
      <c r="E863" s="27"/>
      <c r="F863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863" s="95">
        <v>44517</v>
      </c>
      <c r="H863" s="28" t="s">
        <v>20</v>
      </c>
      <c r="I863" s="95">
        <v>44477</v>
      </c>
      <c r="J863" s="38">
        <v>5290</v>
      </c>
      <c r="K863" s="23">
        <v>2908629</v>
      </c>
      <c r="L863" s="23"/>
      <c r="M863" s="24">
        <v>552639.51</v>
      </c>
      <c r="N863" s="25"/>
      <c r="O863" s="24">
        <v>0</v>
      </c>
      <c r="P863" s="136">
        <f>+IF(PROVEEDORES[[#This Row],[SUBTOTAL]]&lt;PROVEEDORES[[#This Row],[base retencion]],0,PROVEEDORES[[#This Row],[retención aplicada]])</f>
        <v>2.5000000000000001E-2</v>
      </c>
      <c r="Q863" s="24">
        <f>+PROVEEDORES[[#This Row],[Rete Fuente %]]*PROVEEDORES[[#This Row],[SUBTOTAL]]</f>
        <v>72715.725000000006</v>
      </c>
      <c r="R863" s="23">
        <v>3388552.7849999997</v>
      </c>
      <c r="S86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3" s="99">
        <f ca="1">IF(PROVEEDORES[[#This Row],[FECHA DE PAGO]]=0,TODAY()-PROVEEDORES[[#This Row],[FECHA DE FACTURACIÓN]]-PROVEEDORES[[#This Row],[PLAZO Días]],0)</f>
        <v>0</v>
      </c>
      <c r="U863" s="149" t="str">
        <f>+VLOOKUP(PROVEEDORES[[#This Row],[PROVEEDOR]],Terceros!$A:$E,5,FALSE)</f>
        <v>2,5% con base</v>
      </c>
      <c r="V863" s="150">
        <f>+YEAR(PROVEEDORES[[#This Row],[FECHA DE FACTURACIÓN]])</f>
        <v>2021</v>
      </c>
      <c r="W863" s="150">
        <f>+MATCH(PROVEEDORES[[#This Row],[año facturado]],Retenciones!$1:$1,0)</f>
        <v>4</v>
      </c>
      <c r="X863" s="151">
        <f>+VLOOKUP(PROVEEDORES[[#This Row],[ID RETENCION]],Retenciones!$A$1:$O$24,PROVEEDORES[[#This Row],[indicador de columna]],FALSE)</f>
        <v>980000</v>
      </c>
      <c r="Y863" s="152">
        <f>+VLOOKUP(PROVEEDORES[[#This Row],[ID RETENCION]],Retenciones!$A$1:$O$24,2,FALSE)</f>
        <v>2.5000000000000001E-2</v>
      </c>
      <c r="Z863" s="26"/>
      <c r="AA863" s="26"/>
      <c r="AB863" s="26"/>
      <c r="AC863" s="26"/>
      <c r="AD863" s="26"/>
      <c r="AE863" s="26"/>
    </row>
    <row r="864" spans="1:31" ht="21.95" customHeight="1" x14ac:dyDescent="0.25">
      <c r="A864" s="97" t="str">
        <f>+IF(PROVEEDORES[[#This Row],[FECHA DE PAGO]]=PROVEEDORES[[#This Row],[FECHA DE FACTURACIÓN]],"DE CONTADO","CRÉDITO")</f>
        <v>CRÉDITO</v>
      </c>
      <c r="B864" s="41" t="str">
        <f>+IF((PROVEEDORES[[#This Row],[FECHA DE PAGO]]-PROVEEDORES[[#This Row],[FECHA DE FACTURACIÓN]])&gt;PROVEEDORES[[#This Row],[PLAZO Días]],"PAGO VENCIDO")</f>
        <v>PAGO VENCIDO</v>
      </c>
      <c r="C864" s="22">
        <f>+VLOOKUP(PROVEEDORES[[#This Row],[PROVEEDOR]],TERCEROS_INFO[#All],2,FALSE)</f>
        <v>30</v>
      </c>
      <c r="D864" s="27">
        <f>+SUMIFS(PROVEEDORES[Total],PROVEEDORES[PROVEEDOR],PROVEEDORES[[#This Row],[PROVEEDOR]],PROVEEDORES[FECHA DE PAGO],"")</f>
        <v>6151200</v>
      </c>
      <c r="E864" s="27"/>
      <c r="F864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864" s="95">
        <v>44517</v>
      </c>
      <c r="H864" s="28" t="s">
        <v>11</v>
      </c>
      <c r="I864" s="95">
        <v>44477</v>
      </c>
      <c r="J864" s="38" t="s">
        <v>542</v>
      </c>
      <c r="K864" s="23">
        <v>3300000</v>
      </c>
      <c r="L864" s="23"/>
      <c r="M864" s="24">
        <v>627000</v>
      </c>
      <c r="N864" s="25"/>
      <c r="O864" s="24">
        <v>0</v>
      </c>
      <c r="P864" s="136">
        <f>+IF(PROVEEDORES[[#This Row],[SUBTOTAL]]&lt;PROVEEDORES[[#This Row],[base retencion]],0,PROVEEDORES[[#This Row],[retención aplicada]])</f>
        <v>2.5000000000000001E-2</v>
      </c>
      <c r="Q864" s="24">
        <f>+PROVEEDORES[[#This Row],[Rete Fuente %]]*PROVEEDORES[[#This Row],[SUBTOTAL]]</f>
        <v>82500</v>
      </c>
      <c r="R864" s="23">
        <v>3844500</v>
      </c>
      <c r="S86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4" s="99">
        <f ca="1">IF(PROVEEDORES[[#This Row],[FECHA DE PAGO]]=0,TODAY()-PROVEEDORES[[#This Row],[FECHA DE FACTURACIÓN]]-PROVEEDORES[[#This Row],[PLAZO Días]],0)</f>
        <v>0</v>
      </c>
      <c r="U864" s="149" t="str">
        <f>+VLOOKUP(PROVEEDORES[[#This Row],[PROVEEDOR]],Terceros!$A:$E,5,FALSE)</f>
        <v>2,5% con base</v>
      </c>
      <c r="V864" s="150">
        <f>+YEAR(PROVEEDORES[[#This Row],[FECHA DE FACTURACIÓN]])</f>
        <v>2021</v>
      </c>
      <c r="W864" s="150">
        <f>+MATCH(PROVEEDORES[[#This Row],[año facturado]],Retenciones!$1:$1,0)</f>
        <v>4</v>
      </c>
      <c r="X864" s="151">
        <f>+VLOOKUP(PROVEEDORES[[#This Row],[ID RETENCION]],Retenciones!$A$1:$O$24,PROVEEDORES[[#This Row],[indicador de columna]],FALSE)</f>
        <v>980000</v>
      </c>
      <c r="Y864" s="152">
        <f>+VLOOKUP(PROVEEDORES[[#This Row],[ID RETENCION]],Retenciones!$A$1:$O$24,2,FALSE)</f>
        <v>2.5000000000000001E-2</v>
      </c>
      <c r="Z864" s="26"/>
      <c r="AA864" s="26"/>
      <c r="AB864" s="26"/>
      <c r="AC864" s="26"/>
      <c r="AD864" s="26"/>
      <c r="AE864" s="26"/>
    </row>
    <row r="865" spans="1:31" ht="21.95" customHeight="1" x14ac:dyDescent="0.25">
      <c r="A865" s="97" t="str">
        <f>+IF(PROVEEDORES[[#This Row],[FECHA DE PAGO]]=PROVEEDORES[[#This Row],[FECHA DE FACTURACIÓN]],"DE CONTADO","CRÉDITO")</f>
        <v>DE CONTADO</v>
      </c>
      <c r="B865" s="41" t="b">
        <f>+IF((PROVEEDORES[[#This Row],[FECHA DE PAGO]]-PROVEEDORES[[#This Row],[FECHA DE FACTURACIÓN]])&gt;PROVEEDORES[[#This Row],[PLAZO Días]],"PAGO VENCIDO")</f>
        <v>0</v>
      </c>
      <c r="C865" s="22">
        <f>+VLOOKUP(PROVEEDORES[[#This Row],[PROVEEDOR]],TERCEROS_INFO[#All],2,FALSE)</f>
        <v>30</v>
      </c>
      <c r="D865" s="27">
        <f>+SUMIFS(PROVEEDORES[Total],PROVEEDORES[PROVEEDOR],PROVEEDORES[[#This Row],[PROVEEDOR]],PROVEEDORES[FECHA DE PAGO],"")</f>
        <v>0</v>
      </c>
      <c r="E865" s="27"/>
      <c r="F865" s="62" t="str">
        <f>+VLOOKUP(PROVEEDORES[[#This Row],[PROVEEDOR]],
                       Terceros!$A:$G,
                       6,
                       FALSE)</f>
        <v/>
      </c>
      <c r="G865" s="95">
        <v>44478</v>
      </c>
      <c r="H865" s="28" t="s">
        <v>997</v>
      </c>
      <c r="I865" s="95">
        <v>44478</v>
      </c>
      <c r="J865" s="38" t="s">
        <v>846</v>
      </c>
      <c r="K865" s="23">
        <v>485000</v>
      </c>
      <c r="L865" s="23"/>
      <c r="M865" s="24">
        <v>0</v>
      </c>
      <c r="N865" s="25"/>
      <c r="O865" s="24">
        <v>0</v>
      </c>
      <c r="P865" s="136">
        <f>+IF(PROVEEDORES[[#This Row],[SUBTOTAL]]&lt;PROVEEDORES[[#This Row],[base retencion]],0,PROVEEDORES[[#This Row],[retención aplicada]])</f>
        <v>0</v>
      </c>
      <c r="Q865" s="24">
        <f>+PROVEEDORES[[#This Row],[Rete Fuente %]]*PROVEEDORES[[#This Row],[SUBTOTAL]]</f>
        <v>0</v>
      </c>
      <c r="R865" s="23">
        <v>485000</v>
      </c>
      <c r="S86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5" s="99">
        <f ca="1">IF(PROVEEDORES[[#This Row],[FECHA DE PAGO]]=0,TODAY()-PROVEEDORES[[#This Row],[FECHA DE FACTURACIÓN]]-PROVEEDORES[[#This Row],[PLAZO Días]],0)</f>
        <v>0</v>
      </c>
      <c r="U865" s="149">
        <f>+VLOOKUP(PROVEEDORES[[#This Row],[PROVEEDOR]],Terceros!$A:$E,5,FALSE)</f>
        <v>0</v>
      </c>
      <c r="V865" s="150">
        <f>+YEAR(PROVEEDORES[[#This Row],[FECHA DE FACTURACIÓN]])</f>
        <v>2021</v>
      </c>
      <c r="W865" s="150">
        <f>+MATCH(PROVEEDORES[[#This Row],[año facturado]],Retenciones!$1:$1,0)</f>
        <v>4</v>
      </c>
      <c r="X865" s="151">
        <f>+VLOOKUP(PROVEEDORES[[#This Row],[ID RETENCION]],Retenciones!$A$1:$O$24,PROVEEDORES[[#This Row],[indicador de columna]],FALSE)</f>
        <v>0</v>
      </c>
      <c r="Y865" s="152">
        <f>+VLOOKUP(PROVEEDORES[[#This Row],[ID RETENCION]],Retenciones!$A$1:$O$24,2,FALSE)</f>
        <v>0</v>
      </c>
      <c r="Z865" s="26"/>
      <c r="AA865" s="26"/>
      <c r="AB865" s="26"/>
      <c r="AC865" s="26"/>
      <c r="AD865" s="26"/>
      <c r="AE865" s="26"/>
    </row>
    <row r="866" spans="1:31" ht="21.95" customHeight="1" x14ac:dyDescent="0.25">
      <c r="A866" s="97" t="str">
        <f>+IF(PROVEEDORES[[#This Row],[FECHA DE PAGO]]=PROVEEDORES[[#This Row],[FECHA DE FACTURACIÓN]],"DE CONTADO","CRÉDITO")</f>
        <v>DE CONTADO</v>
      </c>
      <c r="B866" s="41" t="b">
        <f>+IF((PROVEEDORES[[#This Row],[FECHA DE PAGO]]-PROVEEDORES[[#This Row],[FECHA DE FACTURACIÓN]])&gt;PROVEEDORES[[#This Row],[PLAZO Días]],"PAGO VENCIDO")</f>
        <v>0</v>
      </c>
      <c r="C866" s="22">
        <f>+VLOOKUP(PROVEEDORES[[#This Row],[PROVEEDOR]],TERCEROS_INFO[#All],2,FALSE)</f>
        <v>30</v>
      </c>
      <c r="D866" s="27">
        <f>+SUMIFS(PROVEEDORES[Total],PROVEEDORES[PROVEEDOR],PROVEEDORES[[#This Row],[PROVEEDOR]],PROVEEDORES[FECHA DE PAGO],"")</f>
        <v>0</v>
      </c>
      <c r="E866" s="27"/>
      <c r="F866" s="62" t="str">
        <f>+VLOOKUP(PROVEEDORES[[#This Row],[PROVEEDOR]],
                       Terceros!$A:$G,
                       6,
                       FALSE)</f>
        <v/>
      </c>
      <c r="G866" s="95">
        <v>44478</v>
      </c>
      <c r="H866" s="28" t="s">
        <v>1031</v>
      </c>
      <c r="I866" s="95">
        <v>44478</v>
      </c>
      <c r="J866" s="38" t="s">
        <v>847</v>
      </c>
      <c r="K866" s="23">
        <v>1576000</v>
      </c>
      <c r="L866" s="23"/>
      <c r="M866" s="24">
        <v>0</v>
      </c>
      <c r="N866" s="25"/>
      <c r="O866" s="24">
        <v>0</v>
      </c>
      <c r="P866" s="136">
        <f>+IF(PROVEEDORES[[#This Row],[SUBTOTAL]]&lt;PROVEEDORES[[#This Row],[base retencion]],0,PROVEEDORES[[#This Row],[retención aplicada]])</f>
        <v>0</v>
      </c>
      <c r="Q866" s="24">
        <f>+PROVEEDORES[[#This Row],[Rete Fuente %]]*PROVEEDORES[[#This Row],[SUBTOTAL]]</f>
        <v>0</v>
      </c>
      <c r="R866" s="23">
        <v>1576000</v>
      </c>
      <c r="S86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6" s="99">
        <f ca="1">IF(PROVEEDORES[[#This Row],[FECHA DE PAGO]]=0,TODAY()-PROVEEDORES[[#This Row],[FECHA DE FACTURACIÓN]]-PROVEEDORES[[#This Row],[PLAZO Días]],0)</f>
        <v>0</v>
      </c>
      <c r="U866" s="149">
        <f>+VLOOKUP(PROVEEDORES[[#This Row],[PROVEEDOR]],Terceros!$A:$E,5,FALSE)</f>
        <v>0</v>
      </c>
      <c r="V866" s="150">
        <f>+YEAR(PROVEEDORES[[#This Row],[FECHA DE FACTURACIÓN]])</f>
        <v>2021</v>
      </c>
      <c r="W866" s="150">
        <f>+MATCH(PROVEEDORES[[#This Row],[año facturado]],Retenciones!$1:$1,0)</f>
        <v>4</v>
      </c>
      <c r="X866" s="151">
        <f>+VLOOKUP(PROVEEDORES[[#This Row],[ID RETENCION]],Retenciones!$A$1:$O$24,PROVEEDORES[[#This Row],[indicador de columna]],FALSE)</f>
        <v>0</v>
      </c>
      <c r="Y866" s="152">
        <f>+VLOOKUP(PROVEEDORES[[#This Row],[ID RETENCION]],Retenciones!$A$1:$O$24,2,FALSE)</f>
        <v>0</v>
      </c>
      <c r="Z866" s="26"/>
      <c r="AA866" s="26"/>
      <c r="AB866" s="26"/>
      <c r="AC866" s="26"/>
      <c r="AD866" s="26"/>
      <c r="AE866" s="26"/>
    </row>
    <row r="867" spans="1:31" ht="21.95" customHeight="1" x14ac:dyDescent="0.25">
      <c r="A867" s="97" t="str">
        <f>+IF(PROVEEDORES[[#This Row],[FECHA DE PAGO]]=PROVEEDORES[[#This Row],[FECHA DE FACTURACIÓN]],"DE CONTADO","CRÉDITO")</f>
        <v>CRÉDITO</v>
      </c>
      <c r="B867" s="41" t="b">
        <f>+IF((PROVEEDORES[[#This Row],[FECHA DE PAGO]]-PROVEEDORES[[#This Row],[FECHA DE FACTURACIÓN]])&gt;PROVEEDORES[[#This Row],[PLAZO Días]],"PAGO VENCIDO")</f>
        <v>0</v>
      </c>
      <c r="C867" s="22">
        <f>+VLOOKUP(PROVEEDORES[[#This Row],[PROVEEDOR]],TERCEROS_INFO[#All],2,FALSE)</f>
        <v>20</v>
      </c>
      <c r="D867" s="27">
        <f>+SUMIFS(PROVEEDORES[Total],PROVEEDORES[PROVEEDOR],PROVEEDORES[[#This Row],[PROVEEDOR]],PROVEEDORES[FECHA DE PAGO],"")</f>
        <v>0</v>
      </c>
      <c r="E867" s="27"/>
      <c r="F867" s="62">
        <f>+VLOOKUP(PROVEEDORES[[#This Row],[PROVEEDOR]],
                       Terceros!$A:$G,
                       6,
                       FALSE)</f>
        <v>0</v>
      </c>
      <c r="G867" s="95">
        <v>44490</v>
      </c>
      <c r="H867" s="28" t="s">
        <v>1072</v>
      </c>
      <c r="I867" s="95">
        <v>44479</v>
      </c>
      <c r="J867" s="38"/>
      <c r="K867" s="23">
        <v>108000</v>
      </c>
      <c r="L867" s="23"/>
      <c r="M867" s="24">
        <v>0</v>
      </c>
      <c r="N867" s="25"/>
      <c r="O867" s="24">
        <v>0</v>
      </c>
      <c r="P867" s="136">
        <f>+IF(PROVEEDORES[[#This Row],[SUBTOTAL]]&lt;PROVEEDORES[[#This Row],[base retencion]],0,PROVEEDORES[[#This Row],[retención aplicada]])</f>
        <v>0</v>
      </c>
      <c r="Q867" s="24">
        <f>+PROVEEDORES[[#This Row],[Rete Fuente %]]*PROVEEDORES[[#This Row],[SUBTOTAL]]</f>
        <v>0</v>
      </c>
      <c r="R867" s="23">
        <v>108000</v>
      </c>
      <c r="S86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7" s="99">
        <f ca="1">IF(PROVEEDORES[[#This Row],[FECHA DE PAGO]]=0,TODAY()-PROVEEDORES[[#This Row],[FECHA DE FACTURACIÓN]]-PROVEEDORES[[#This Row],[PLAZO Días]],0)</f>
        <v>0</v>
      </c>
      <c r="U867" s="149">
        <f>+VLOOKUP(PROVEEDORES[[#This Row],[PROVEEDOR]],Terceros!$A:$E,5,FALSE)</f>
        <v>0</v>
      </c>
      <c r="V867" s="150">
        <f>+YEAR(PROVEEDORES[[#This Row],[FECHA DE FACTURACIÓN]])</f>
        <v>2021</v>
      </c>
      <c r="W867" s="150">
        <f>+MATCH(PROVEEDORES[[#This Row],[año facturado]],Retenciones!$1:$1,0)</f>
        <v>4</v>
      </c>
      <c r="X867" s="151">
        <f>+VLOOKUP(PROVEEDORES[[#This Row],[ID RETENCION]],Retenciones!$A$1:$O$24,PROVEEDORES[[#This Row],[indicador de columna]],FALSE)</f>
        <v>0</v>
      </c>
      <c r="Y867" s="152">
        <f>+VLOOKUP(PROVEEDORES[[#This Row],[ID RETENCION]],Retenciones!$A$1:$O$24,2,FALSE)</f>
        <v>0</v>
      </c>
      <c r="Z867" s="26"/>
      <c r="AA867" s="26"/>
      <c r="AB867" s="26"/>
      <c r="AC867" s="26"/>
      <c r="AD867" s="26"/>
      <c r="AE867" s="26"/>
    </row>
    <row r="868" spans="1:31" ht="21.95" customHeight="1" x14ac:dyDescent="0.25">
      <c r="A868" s="97" t="str">
        <f>+IF(PROVEEDORES[[#This Row],[FECHA DE PAGO]]=PROVEEDORES[[#This Row],[FECHA DE FACTURACIÓN]],"DE CONTADO","CRÉDITO")</f>
        <v>CRÉDITO</v>
      </c>
      <c r="B868" s="41" t="b">
        <f>+IF((PROVEEDORES[[#This Row],[FECHA DE PAGO]]-PROVEEDORES[[#This Row],[FECHA DE FACTURACIÓN]])&gt;PROVEEDORES[[#This Row],[PLAZO Días]],"PAGO VENCIDO")</f>
        <v>0</v>
      </c>
      <c r="C868" s="22">
        <f>+VLOOKUP(PROVEEDORES[[#This Row],[PROVEEDOR]],TERCEROS_INFO[#All],2,FALSE)</f>
        <v>45</v>
      </c>
      <c r="D868" s="27">
        <f>+SUMIFS(PROVEEDORES[Total],PROVEEDORES[PROVEEDOR],PROVEEDORES[[#This Row],[PROVEEDOR]],PROVEEDORES[FECHA DE PAGO],"")</f>
        <v>0</v>
      </c>
      <c r="E868" s="27"/>
      <c r="F868" s="62">
        <f>+VLOOKUP(PROVEEDORES[[#This Row],[PROVEEDOR]],
                       Terceros!$A:$G,
                       6,
                       FALSE)</f>
        <v>0</v>
      </c>
      <c r="G868" s="95">
        <v>44504</v>
      </c>
      <c r="H868" s="28" t="s">
        <v>559</v>
      </c>
      <c r="I868" s="95">
        <v>44489</v>
      </c>
      <c r="J868" s="38" t="s">
        <v>851</v>
      </c>
      <c r="K868" s="23">
        <v>800000</v>
      </c>
      <c r="L868" s="23"/>
      <c r="M868" s="24">
        <v>0</v>
      </c>
      <c r="N868" s="25"/>
      <c r="O868" s="24">
        <v>0</v>
      </c>
      <c r="P868" s="136">
        <f>+IF(PROVEEDORES[[#This Row],[SUBTOTAL]]&lt;PROVEEDORES[[#This Row],[base retencion]],0,PROVEEDORES[[#This Row],[retención aplicada]])</f>
        <v>0</v>
      </c>
      <c r="Q868" s="24">
        <f>+PROVEEDORES[[#This Row],[Rete Fuente %]]*PROVEEDORES[[#This Row],[SUBTOTAL]]</f>
        <v>0</v>
      </c>
      <c r="R868" s="23">
        <v>800000</v>
      </c>
      <c r="S86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8" s="99">
        <f ca="1">IF(PROVEEDORES[[#This Row],[FECHA DE PAGO]]=0,TODAY()-PROVEEDORES[[#This Row],[FECHA DE FACTURACIÓN]]-PROVEEDORES[[#This Row],[PLAZO Días]],0)</f>
        <v>0</v>
      </c>
      <c r="U868" s="149">
        <f>+VLOOKUP(PROVEEDORES[[#This Row],[PROVEEDOR]],Terceros!$A:$E,5,FALSE)</f>
        <v>0</v>
      </c>
      <c r="V868" s="150">
        <f>+YEAR(PROVEEDORES[[#This Row],[FECHA DE FACTURACIÓN]])</f>
        <v>2021</v>
      </c>
      <c r="W868" s="150">
        <f>+MATCH(PROVEEDORES[[#This Row],[año facturado]],Retenciones!$1:$1,0)</f>
        <v>4</v>
      </c>
      <c r="X868" s="151">
        <f>+VLOOKUP(PROVEEDORES[[#This Row],[ID RETENCION]],Retenciones!$A$1:$O$24,PROVEEDORES[[#This Row],[indicador de columna]],FALSE)</f>
        <v>0</v>
      </c>
      <c r="Y868" s="152">
        <f>+VLOOKUP(PROVEEDORES[[#This Row],[ID RETENCION]],Retenciones!$A$1:$O$24,2,FALSE)</f>
        <v>0</v>
      </c>
      <c r="Z868" s="26"/>
      <c r="AA868" s="26"/>
      <c r="AB868" s="26"/>
      <c r="AC868" s="26"/>
      <c r="AD868" s="26"/>
      <c r="AE868" s="26"/>
    </row>
    <row r="869" spans="1:31" ht="21.95" customHeight="1" x14ac:dyDescent="0.25">
      <c r="A869" s="97" t="str">
        <f>+IF(PROVEEDORES[[#This Row],[FECHA DE PAGO]]=PROVEEDORES[[#This Row],[FECHA DE FACTURACIÓN]],"DE CONTADO","CRÉDITO")</f>
        <v>CRÉDITO</v>
      </c>
      <c r="B869" s="41" t="b">
        <f>+IF((PROVEEDORES[[#This Row],[FECHA DE PAGO]]-PROVEEDORES[[#This Row],[FECHA DE FACTURACIÓN]])&gt;PROVEEDORES[[#This Row],[PLAZO Días]],"PAGO VENCIDO")</f>
        <v>0</v>
      </c>
      <c r="C869" s="22">
        <f>+VLOOKUP(PROVEEDORES[[#This Row],[PROVEEDOR]],TERCEROS_INFO[#All],2,FALSE)</f>
        <v>30</v>
      </c>
      <c r="D869" s="27">
        <f>+SUMIFS(PROVEEDORES[Total],PROVEEDORES[PROVEEDOR],PROVEEDORES[[#This Row],[PROVEEDOR]],PROVEEDORES[FECHA DE PAGO],"")</f>
        <v>1850000</v>
      </c>
      <c r="E869" s="27"/>
      <c r="F869" s="62" t="str">
        <f>+VLOOKUP(PROVEEDORES[[#This Row],[PROVEEDOR]],
                       Terceros!$A:$G,
                       6,
                       FALSE)</f>
        <v>globalpowerc2018@gmail.com;girlesa.ruiz@servipilas.com;joriescobar64@gmail.com</v>
      </c>
      <c r="G869" s="95">
        <v>44509</v>
      </c>
      <c r="H869" s="28" t="s">
        <v>1051</v>
      </c>
      <c r="I869" s="95">
        <v>44480</v>
      </c>
      <c r="J869" s="38" t="s">
        <v>848</v>
      </c>
      <c r="K869" s="23">
        <v>1750000</v>
      </c>
      <c r="L869" s="23"/>
      <c r="M869" s="24">
        <v>0</v>
      </c>
      <c r="N869" s="25"/>
      <c r="O869" s="24">
        <v>0</v>
      </c>
      <c r="P869" s="136">
        <f>+IF(PROVEEDORES[[#This Row],[SUBTOTAL]]&lt;PROVEEDORES[[#This Row],[base retencion]],0,PROVEEDORES[[#This Row],[retención aplicada]])</f>
        <v>0</v>
      </c>
      <c r="Q869" s="24">
        <f>+PROVEEDORES[[#This Row],[Rete Fuente %]]*PROVEEDORES[[#This Row],[SUBTOTAL]]</f>
        <v>0</v>
      </c>
      <c r="R869" s="23">
        <v>1750000</v>
      </c>
      <c r="S86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9" s="99">
        <f ca="1">IF(PROVEEDORES[[#This Row],[FECHA DE PAGO]]=0,TODAY()-PROVEEDORES[[#This Row],[FECHA DE FACTURACIÓN]]-PROVEEDORES[[#This Row],[PLAZO Días]],0)</f>
        <v>0</v>
      </c>
      <c r="U869" s="149">
        <f>+VLOOKUP(PROVEEDORES[[#This Row],[PROVEEDOR]],Terceros!$A:$E,5,FALSE)</f>
        <v>0</v>
      </c>
      <c r="V869" s="150">
        <f>+YEAR(PROVEEDORES[[#This Row],[FECHA DE FACTURACIÓN]])</f>
        <v>2021</v>
      </c>
      <c r="W869" s="150">
        <f>+MATCH(PROVEEDORES[[#This Row],[año facturado]],Retenciones!$1:$1,0)</f>
        <v>4</v>
      </c>
      <c r="X869" s="151">
        <f>+VLOOKUP(PROVEEDORES[[#This Row],[ID RETENCION]],Retenciones!$A$1:$O$24,PROVEEDORES[[#This Row],[indicador de columna]],FALSE)</f>
        <v>0</v>
      </c>
      <c r="Y869" s="152">
        <f>+VLOOKUP(PROVEEDORES[[#This Row],[ID RETENCION]],Retenciones!$A$1:$O$24,2,FALSE)</f>
        <v>0</v>
      </c>
      <c r="Z869" s="26"/>
      <c r="AA869" s="26"/>
      <c r="AB869" s="26"/>
      <c r="AC869" s="26"/>
      <c r="AD869" s="26"/>
      <c r="AE869" s="26"/>
    </row>
    <row r="870" spans="1:31" ht="21.95" customHeight="1" x14ac:dyDescent="0.25">
      <c r="A870" s="97" t="str">
        <f>+IF(PROVEEDORES[[#This Row],[FECHA DE PAGO]]=PROVEEDORES[[#This Row],[FECHA DE FACTURACIÓN]],"DE CONTADO","CRÉDITO")</f>
        <v>CRÉDITO</v>
      </c>
      <c r="B870" s="41" t="str">
        <f>+IF((PROVEEDORES[[#This Row],[FECHA DE PAGO]]-PROVEEDORES[[#This Row],[FECHA DE FACTURACIÓN]])&gt;PROVEEDORES[[#This Row],[PLAZO Días]],"PAGO VENCIDO")</f>
        <v>PAGO VENCIDO</v>
      </c>
      <c r="C870" s="22">
        <f>+VLOOKUP(PROVEEDORES[[#This Row],[PROVEEDOR]],TERCEROS_INFO[#All],2,FALSE)</f>
        <v>30</v>
      </c>
      <c r="D870" s="27">
        <f>+SUMIFS(PROVEEDORES[Total],PROVEEDORES[PROVEEDOR],PROVEEDORES[[#This Row],[PROVEEDOR]],PROVEEDORES[FECHA DE PAGO],"")</f>
        <v>452687.9</v>
      </c>
      <c r="E870" s="27"/>
      <c r="F870" s="62" t="str">
        <f>+VLOOKUP(PROVEEDORES[[#This Row],[PROVEEDOR]],
                       Terceros!$A:$G,
                       6,
                       FALSE)</f>
        <v>soluenergiacentro@une.net.co;girlesa.ruiz@servipilas.com;joriescobar64@gmail.com</v>
      </c>
      <c r="G870" s="95">
        <v>44523</v>
      </c>
      <c r="H870" s="28" t="s">
        <v>39</v>
      </c>
      <c r="I870" s="95">
        <v>44481</v>
      </c>
      <c r="J870" s="38">
        <v>876</v>
      </c>
      <c r="K870" s="23">
        <v>305486</v>
      </c>
      <c r="L870" s="23"/>
      <c r="M870" s="24">
        <v>58042.340000000004</v>
      </c>
      <c r="N870" s="25"/>
      <c r="O870" s="24">
        <v>0</v>
      </c>
      <c r="P870" s="136">
        <f>+IF(PROVEEDORES[[#This Row],[SUBTOTAL]]&lt;PROVEEDORES[[#This Row],[base retencion]],0,PROVEEDORES[[#This Row],[retención aplicada]])</f>
        <v>0</v>
      </c>
      <c r="Q870" s="24">
        <f>+PROVEEDORES[[#This Row],[Rete Fuente %]]*PROVEEDORES[[#This Row],[SUBTOTAL]]</f>
        <v>0</v>
      </c>
      <c r="R870" s="23">
        <v>363528.34</v>
      </c>
      <c r="S87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0" s="99">
        <f ca="1">IF(PROVEEDORES[[#This Row],[FECHA DE PAGO]]=0,TODAY()-PROVEEDORES[[#This Row],[FECHA DE FACTURACIÓN]]-PROVEEDORES[[#This Row],[PLAZO Días]],0)</f>
        <v>0</v>
      </c>
      <c r="U870" s="149" t="str">
        <f>+VLOOKUP(PROVEEDORES[[#This Row],[PROVEEDOR]],Terceros!$A:$E,5,FALSE)</f>
        <v>2,5% con base</v>
      </c>
      <c r="V870" s="150">
        <f>+YEAR(PROVEEDORES[[#This Row],[FECHA DE FACTURACIÓN]])</f>
        <v>2021</v>
      </c>
      <c r="W870" s="150">
        <f>+MATCH(PROVEEDORES[[#This Row],[año facturado]],Retenciones!$1:$1,0)</f>
        <v>4</v>
      </c>
      <c r="X870" s="151">
        <f>+VLOOKUP(PROVEEDORES[[#This Row],[ID RETENCION]],Retenciones!$A$1:$O$24,PROVEEDORES[[#This Row],[indicador de columna]],FALSE)</f>
        <v>980000</v>
      </c>
      <c r="Y870" s="152">
        <f>+VLOOKUP(PROVEEDORES[[#This Row],[ID RETENCION]],Retenciones!$A$1:$O$24,2,FALSE)</f>
        <v>2.5000000000000001E-2</v>
      </c>
      <c r="Z870" s="26"/>
      <c r="AA870" s="26"/>
      <c r="AB870" s="26"/>
      <c r="AC870" s="26"/>
      <c r="AD870" s="26"/>
      <c r="AE870" s="26"/>
    </row>
    <row r="871" spans="1:31" ht="21.95" customHeight="1" x14ac:dyDescent="0.25">
      <c r="A871" s="97" t="str">
        <f>+IF(PROVEEDORES[[#This Row],[FECHA DE PAGO]]=PROVEEDORES[[#This Row],[FECHA DE FACTURACIÓN]],"DE CONTADO","CRÉDITO")</f>
        <v>CRÉDITO</v>
      </c>
      <c r="B871" s="41" t="str">
        <f>+IF((PROVEEDORES[[#This Row],[FECHA DE PAGO]]-PROVEEDORES[[#This Row],[FECHA DE FACTURACIÓN]])&gt;PROVEEDORES[[#This Row],[PLAZO Días]],"PAGO VENCIDO")</f>
        <v>PAGO VENCIDO</v>
      </c>
      <c r="C871" s="22">
        <f>+VLOOKUP(PROVEEDORES[[#This Row],[PROVEEDOR]],TERCEROS_INFO[#All],2,FALSE)</f>
        <v>45</v>
      </c>
      <c r="D871" s="27">
        <f>+SUMIFS(PROVEEDORES[Total],PROVEEDORES[PROVEEDOR],PROVEEDORES[[#This Row],[PROVEEDOR]],PROVEEDORES[FECHA DE PAGO],"")</f>
        <v>37184068.039999999</v>
      </c>
      <c r="E871" s="27"/>
      <c r="F871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871" s="95">
        <v>44537</v>
      </c>
      <c r="H871" s="28" t="s">
        <v>19</v>
      </c>
      <c r="I871" s="95">
        <v>44481</v>
      </c>
      <c r="J871" s="38" t="s">
        <v>548</v>
      </c>
      <c r="K871" s="23">
        <v>2475375</v>
      </c>
      <c r="L871" s="23"/>
      <c r="M871" s="24">
        <v>470321.25</v>
      </c>
      <c r="N871" s="25"/>
      <c r="O871" s="24">
        <v>0</v>
      </c>
      <c r="P871" s="136">
        <f>+IF(PROVEEDORES[[#This Row],[SUBTOTAL]]&lt;PROVEEDORES[[#This Row],[base retencion]],0,PROVEEDORES[[#This Row],[retención aplicada]])</f>
        <v>0</v>
      </c>
      <c r="Q871" s="24">
        <f>+PROVEEDORES[[#This Row],[Rete Fuente %]]*PROVEEDORES[[#This Row],[SUBTOTAL]]</f>
        <v>0</v>
      </c>
      <c r="R871" s="23">
        <v>2945696.25</v>
      </c>
      <c r="S87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1" s="99">
        <f ca="1">IF(PROVEEDORES[[#This Row],[FECHA DE PAGO]]=0,TODAY()-PROVEEDORES[[#This Row],[FECHA DE FACTURACIÓN]]-PROVEEDORES[[#This Row],[PLAZO Días]],0)</f>
        <v>0</v>
      </c>
      <c r="U871" s="149">
        <f>+VLOOKUP(PROVEEDORES[[#This Row],[PROVEEDOR]],Terceros!$A:$E,5,FALSE)</f>
        <v>0</v>
      </c>
      <c r="V871" s="150">
        <f>+YEAR(PROVEEDORES[[#This Row],[FECHA DE FACTURACIÓN]])</f>
        <v>2021</v>
      </c>
      <c r="W871" s="150">
        <f>+MATCH(PROVEEDORES[[#This Row],[año facturado]],Retenciones!$1:$1,0)</f>
        <v>4</v>
      </c>
      <c r="X871" s="151">
        <f>+VLOOKUP(PROVEEDORES[[#This Row],[ID RETENCION]],Retenciones!$A$1:$O$24,PROVEEDORES[[#This Row],[indicador de columna]],FALSE)</f>
        <v>0</v>
      </c>
      <c r="Y871" s="152">
        <f>+VLOOKUP(PROVEEDORES[[#This Row],[ID RETENCION]],Retenciones!$A$1:$O$24,2,FALSE)</f>
        <v>0</v>
      </c>
      <c r="Z871" s="26"/>
      <c r="AA871" s="26"/>
      <c r="AB871" s="26"/>
      <c r="AC871" s="26"/>
      <c r="AD871" s="26"/>
      <c r="AE871" s="26"/>
    </row>
    <row r="872" spans="1:31" ht="21.95" customHeight="1" x14ac:dyDescent="0.25">
      <c r="A872" s="97" t="str">
        <f>+IF(PROVEEDORES[[#This Row],[FECHA DE PAGO]]=PROVEEDORES[[#This Row],[FECHA DE FACTURACIÓN]],"DE CONTADO","CRÉDITO")</f>
        <v>CRÉDITO</v>
      </c>
      <c r="B872" s="41" t="str">
        <f>+IF((PROVEEDORES[[#This Row],[FECHA DE PAGO]]-PROVEEDORES[[#This Row],[FECHA DE FACTURACIÓN]])&gt;PROVEEDORES[[#This Row],[PLAZO Días]],"PAGO VENCIDO")</f>
        <v>PAGO VENCIDO</v>
      </c>
      <c r="C872" s="22">
        <f>+VLOOKUP(PROVEEDORES[[#This Row],[PROVEEDOR]],TERCEROS_INFO[#All],2,FALSE)</f>
        <v>30</v>
      </c>
      <c r="D872" s="27">
        <f>+SUMIFS(PROVEEDORES[Total],PROVEEDORES[PROVEEDOR],PROVEEDORES[[#This Row],[PROVEEDOR]],PROVEEDORES[FECHA DE PAGO],"")</f>
        <v>2588352.5</v>
      </c>
      <c r="E872" s="27"/>
      <c r="F872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872" s="95">
        <v>44537</v>
      </c>
      <c r="H872" s="28" t="s">
        <v>1088</v>
      </c>
      <c r="I872" s="95">
        <v>44482</v>
      </c>
      <c r="J872" s="38">
        <v>22907</v>
      </c>
      <c r="K872" s="23">
        <v>300000</v>
      </c>
      <c r="L872" s="23"/>
      <c r="M872" s="24">
        <v>57000</v>
      </c>
      <c r="N872" s="25"/>
      <c r="O872" s="24">
        <v>0</v>
      </c>
      <c r="P872" s="136">
        <f>+IF(PROVEEDORES[[#This Row],[SUBTOTAL]]&lt;PROVEEDORES[[#This Row],[base retencion]],0,PROVEEDORES[[#This Row],[retención aplicada]])</f>
        <v>0</v>
      </c>
      <c r="Q872" s="24">
        <f>+PROVEEDORES[[#This Row],[Rete Fuente %]]*PROVEEDORES[[#This Row],[SUBTOTAL]]</f>
        <v>0</v>
      </c>
      <c r="R872" s="23">
        <v>357000</v>
      </c>
      <c r="S87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2" s="99">
        <f ca="1">IF(PROVEEDORES[[#This Row],[FECHA DE PAGO]]=0,TODAY()-PROVEEDORES[[#This Row],[FECHA DE FACTURACIÓN]]-PROVEEDORES[[#This Row],[PLAZO Días]],0)</f>
        <v>0</v>
      </c>
      <c r="U872" s="149" t="str">
        <f>+VLOOKUP(PROVEEDORES[[#This Row],[PROVEEDOR]],Terceros!$A:$E,5,FALSE)</f>
        <v>2,5% con base</v>
      </c>
      <c r="V872" s="150">
        <f>+YEAR(PROVEEDORES[[#This Row],[FECHA DE FACTURACIÓN]])</f>
        <v>2021</v>
      </c>
      <c r="W872" s="150">
        <f>+MATCH(PROVEEDORES[[#This Row],[año facturado]],Retenciones!$1:$1,0)</f>
        <v>4</v>
      </c>
      <c r="X872" s="151">
        <f>+VLOOKUP(PROVEEDORES[[#This Row],[ID RETENCION]],Retenciones!$A$1:$O$24,PROVEEDORES[[#This Row],[indicador de columna]],FALSE)</f>
        <v>980000</v>
      </c>
      <c r="Y872" s="152">
        <f>+VLOOKUP(PROVEEDORES[[#This Row],[ID RETENCION]],Retenciones!$A$1:$O$24,2,FALSE)</f>
        <v>2.5000000000000001E-2</v>
      </c>
      <c r="Z872" s="26"/>
      <c r="AA872" s="26"/>
      <c r="AB872" s="26"/>
      <c r="AC872" s="26"/>
      <c r="AD872" s="26"/>
      <c r="AE872" s="26"/>
    </row>
    <row r="873" spans="1:31" ht="21.95" customHeight="1" x14ac:dyDescent="0.25">
      <c r="A873" s="97" t="str">
        <f>+IF(PROVEEDORES[[#This Row],[FECHA DE PAGO]]=PROVEEDORES[[#This Row],[FECHA DE FACTURACIÓN]],"DE CONTADO","CRÉDITO")</f>
        <v>CRÉDITO</v>
      </c>
      <c r="B873" s="41" t="b">
        <f>+IF((PROVEEDORES[[#This Row],[FECHA DE PAGO]]-PROVEEDORES[[#This Row],[FECHA DE FACTURACIÓN]])&gt;PROVEEDORES[[#This Row],[PLAZO Días]],"PAGO VENCIDO")</f>
        <v>0</v>
      </c>
      <c r="C873" s="22">
        <f>+VLOOKUP(PROVEEDORES[[#This Row],[PROVEEDOR]],TERCEROS_INFO[#All],2,FALSE)</f>
        <v>30</v>
      </c>
      <c r="D873" s="27">
        <f>+SUMIFS(PROVEEDORES[Total],PROVEEDORES[PROVEEDOR],PROVEEDORES[[#This Row],[PROVEEDOR]],PROVEEDORES[FECHA DE PAGO],"")</f>
        <v>0</v>
      </c>
      <c r="E873" s="27"/>
      <c r="F873" s="62" t="str">
        <f>+VLOOKUP(PROVEEDORES[[#This Row],[PROVEEDOR]],
                       Terceros!$A:$G,
                       6,
                       FALSE)</f>
        <v>PSE</v>
      </c>
      <c r="G873" s="95">
        <v>44509</v>
      </c>
      <c r="H873" s="28" t="s">
        <v>330</v>
      </c>
      <c r="I873" s="95">
        <v>44504</v>
      </c>
      <c r="J873" s="38"/>
      <c r="K873" s="23">
        <v>168360</v>
      </c>
      <c r="L873" s="23"/>
      <c r="M873" s="24">
        <v>31988.400000000001</v>
      </c>
      <c r="N873" s="25"/>
      <c r="O873" s="24">
        <v>0</v>
      </c>
      <c r="P873" s="136">
        <f>+IF(PROVEEDORES[[#This Row],[SUBTOTAL]]&lt;PROVEEDORES[[#This Row],[base retencion]],0,PROVEEDORES[[#This Row],[retención aplicada]])</f>
        <v>0</v>
      </c>
      <c r="Q873" s="24">
        <f>+PROVEEDORES[[#This Row],[Rete Fuente %]]*PROVEEDORES[[#This Row],[SUBTOTAL]]</f>
        <v>0</v>
      </c>
      <c r="R873" s="23">
        <v>200348.4</v>
      </c>
      <c r="S87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3" s="99">
        <f ca="1">IF(PROVEEDORES[[#This Row],[FECHA DE PAGO]]=0,TODAY()-PROVEEDORES[[#This Row],[FECHA DE FACTURACIÓN]]-PROVEEDORES[[#This Row],[PLAZO Días]],0)</f>
        <v>0</v>
      </c>
      <c r="U873" s="149" t="str">
        <f>+VLOOKUP(PROVEEDORES[[#This Row],[PROVEEDOR]],Terceros!$A:$E,5,FALSE)</f>
        <v>2,5% con base</v>
      </c>
      <c r="V873" s="150">
        <f>+YEAR(PROVEEDORES[[#This Row],[FECHA DE FACTURACIÓN]])</f>
        <v>2021</v>
      </c>
      <c r="W873" s="150">
        <f>+MATCH(PROVEEDORES[[#This Row],[año facturado]],Retenciones!$1:$1,0)</f>
        <v>4</v>
      </c>
      <c r="X873" s="151">
        <f>+VLOOKUP(PROVEEDORES[[#This Row],[ID RETENCION]],Retenciones!$A$1:$O$24,PROVEEDORES[[#This Row],[indicador de columna]],FALSE)</f>
        <v>980000</v>
      </c>
      <c r="Y873" s="152">
        <f>+VLOOKUP(PROVEEDORES[[#This Row],[ID RETENCION]],Retenciones!$A$1:$O$24,2,FALSE)</f>
        <v>2.5000000000000001E-2</v>
      </c>
      <c r="Z873" s="26"/>
      <c r="AA873" s="26"/>
      <c r="AB873" s="26"/>
      <c r="AC873" s="26"/>
      <c r="AD873" s="26"/>
      <c r="AE873" s="26"/>
    </row>
    <row r="874" spans="1:31" ht="21.95" customHeight="1" x14ac:dyDescent="0.25">
      <c r="A874" s="97" t="str">
        <f>+IF(PROVEEDORES[[#This Row],[FECHA DE PAGO]]=PROVEEDORES[[#This Row],[FECHA DE FACTURACIÓN]],"DE CONTADO","CRÉDITO")</f>
        <v>DE CONTADO</v>
      </c>
      <c r="B874" s="41" t="b">
        <f>+IF((PROVEEDORES[[#This Row],[FECHA DE PAGO]]-PROVEEDORES[[#This Row],[FECHA DE FACTURACIÓN]])&gt;PROVEEDORES[[#This Row],[PLAZO Días]],"PAGO VENCIDO")</f>
        <v>0</v>
      </c>
      <c r="C874" s="22">
        <f>+VLOOKUP(PROVEEDORES[[#This Row],[PROVEEDOR]],TERCEROS_INFO[#All],2,FALSE)</f>
        <v>30</v>
      </c>
      <c r="D874" s="27">
        <f>+SUMIFS(PROVEEDORES[Total],PROVEEDORES[PROVEEDOR],PROVEEDORES[[#This Row],[PROVEEDOR]],PROVEEDORES[FECHA DE PAGO],"")</f>
        <v>0</v>
      </c>
      <c r="E874" s="27"/>
      <c r="F874" s="62" t="str">
        <f>+VLOOKUP(PROVEEDORES[[#This Row],[PROVEEDOR]],
                       Terceros!$A:$G,
                       6,
                       FALSE)</f>
        <v/>
      </c>
      <c r="G874" s="95">
        <v>44483</v>
      </c>
      <c r="H874" s="28" t="s">
        <v>1046</v>
      </c>
      <c r="I874" s="95">
        <v>44483</v>
      </c>
      <c r="J874" s="38"/>
      <c r="K874" s="23">
        <v>1000000</v>
      </c>
      <c r="L874" s="23"/>
      <c r="M874" s="24">
        <v>0</v>
      </c>
      <c r="N874" s="25"/>
      <c r="O874" s="24">
        <v>0</v>
      </c>
      <c r="P874" s="136">
        <f>+IF(PROVEEDORES[[#This Row],[SUBTOTAL]]&lt;PROVEEDORES[[#This Row],[base retencion]],0,PROVEEDORES[[#This Row],[retención aplicada]])</f>
        <v>0</v>
      </c>
      <c r="Q874" s="24">
        <f>+PROVEEDORES[[#This Row],[Rete Fuente %]]*PROVEEDORES[[#This Row],[SUBTOTAL]]</f>
        <v>0</v>
      </c>
      <c r="R874" s="23">
        <v>-289781</v>
      </c>
      <c r="S87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4" s="99">
        <f ca="1">IF(PROVEEDORES[[#This Row],[FECHA DE PAGO]]=0,TODAY()-PROVEEDORES[[#This Row],[FECHA DE FACTURACIÓN]]-PROVEEDORES[[#This Row],[PLAZO Días]],0)</f>
        <v>0</v>
      </c>
      <c r="U874" s="149">
        <f>+VLOOKUP(PROVEEDORES[[#This Row],[PROVEEDOR]],Terceros!$A:$E,5,FALSE)</f>
        <v>0</v>
      </c>
      <c r="V874" s="150">
        <f>+YEAR(PROVEEDORES[[#This Row],[FECHA DE FACTURACIÓN]])</f>
        <v>2021</v>
      </c>
      <c r="W874" s="150">
        <f>+MATCH(PROVEEDORES[[#This Row],[año facturado]],Retenciones!$1:$1,0)</f>
        <v>4</v>
      </c>
      <c r="X874" s="151">
        <f>+VLOOKUP(PROVEEDORES[[#This Row],[ID RETENCION]],Retenciones!$A$1:$O$24,PROVEEDORES[[#This Row],[indicador de columna]],FALSE)</f>
        <v>0</v>
      </c>
      <c r="Y874" s="152">
        <f>+VLOOKUP(PROVEEDORES[[#This Row],[ID RETENCION]],Retenciones!$A$1:$O$24,2,FALSE)</f>
        <v>0</v>
      </c>
      <c r="Z874" s="26"/>
      <c r="AA874" s="26"/>
      <c r="AB874" s="26"/>
      <c r="AC874" s="26"/>
      <c r="AD874" s="26"/>
      <c r="AE874" s="26"/>
    </row>
    <row r="875" spans="1:31" ht="21.95" customHeight="1" x14ac:dyDescent="0.25">
      <c r="A875" s="97" t="str">
        <f>+IF(PROVEEDORES[[#This Row],[FECHA DE PAGO]]=PROVEEDORES[[#This Row],[FECHA DE FACTURACIÓN]],"DE CONTADO","CRÉDITO")</f>
        <v>CRÉDITO</v>
      </c>
      <c r="B875" s="41" t="str">
        <f>+IF((PROVEEDORES[[#This Row],[FECHA DE PAGO]]-PROVEEDORES[[#This Row],[FECHA DE FACTURACIÓN]])&gt;PROVEEDORES[[#This Row],[PLAZO Días]],"PAGO VENCIDO")</f>
        <v>PAGO VENCIDO</v>
      </c>
      <c r="C875" s="22">
        <f>+VLOOKUP(PROVEEDORES[[#This Row],[PROVEEDOR]],TERCEROS_INFO[#All],2,FALSE)</f>
        <v>30</v>
      </c>
      <c r="D875" s="27">
        <f>+SUMIFS(PROVEEDORES[Total],PROVEEDORES[PROVEEDOR],PROVEEDORES[[#This Row],[PROVEEDOR]],PROVEEDORES[FECHA DE PAGO],"")</f>
        <v>1979529.3</v>
      </c>
      <c r="E875" s="27"/>
      <c r="F875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875" s="95">
        <v>44523</v>
      </c>
      <c r="H875" s="28" t="s">
        <v>17</v>
      </c>
      <c r="I875" s="95">
        <v>44483</v>
      </c>
      <c r="J875" s="38" t="s">
        <v>849</v>
      </c>
      <c r="K875" s="23">
        <v>1753211.05</v>
      </c>
      <c r="L875" s="23"/>
      <c r="M875" s="24">
        <v>14289</v>
      </c>
      <c r="N875" s="25"/>
      <c r="O875" s="24">
        <v>0</v>
      </c>
      <c r="P875" s="136">
        <f>+IF(PROVEEDORES[[#This Row],[SUBTOTAL]]&lt;PROVEEDORES[[#This Row],[base retencion]],0,PROVEEDORES[[#This Row],[retención aplicada]])</f>
        <v>0</v>
      </c>
      <c r="Q875" s="24">
        <f>+PROVEEDORES[[#This Row],[Rete Fuente %]]*PROVEEDORES[[#This Row],[SUBTOTAL]]</f>
        <v>0</v>
      </c>
      <c r="R875" s="23">
        <v>1767500.05</v>
      </c>
      <c r="S87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5" s="99">
        <f ca="1">IF(PROVEEDORES[[#This Row],[FECHA DE PAGO]]=0,TODAY()-PROVEEDORES[[#This Row],[FECHA DE FACTURACIÓN]]-PROVEEDORES[[#This Row],[PLAZO Días]],0)</f>
        <v>0</v>
      </c>
      <c r="U875" s="149">
        <f>+VLOOKUP(PROVEEDORES[[#This Row],[PROVEEDOR]],Terceros!$A:$E,5,FALSE)</f>
        <v>0</v>
      </c>
      <c r="V875" s="150">
        <f>+YEAR(PROVEEDORES[[#This Row],[FECHA DE FACTURACIÓN]])</f>
        <v>2021</v>
      </c>
      <c r="W875" s="150">
        <f>+MATCH(PROVEEDORES[[#This Row],[año facturado]],Retenciones!$1:$1,0)</f>
        <v>4</v>
      </c>
      <c r="X875" s="151">
        <f>+VLOOKUP(PROVEEDORES[[#This Row],[ID RETENCION]],Retenciones!$A$1:$O$24,PROVEEDORES[[#This Row],[indicador de columna]],FALSE)</f>
        <v>0</v>
      </c>
      <c r="Y875" s="152">
        <f>+VLOOKUP(PROVEEDORES[[#This Row],[ID RETENCION]],Retenciones!$A$1:$O$24,2,FALSE)</f>
        <v>0</v>
      </c>
      <c r="Z875" s="26"/>
      <c r="AA875" s="26"/>
      <c r="AB875" s="26"/>
      <c r="AC875" s="26"/>
      <c r="AD875" s="26"/>
      <c r="AE875" s="26"/>
    </row>
    <row r="876" spans="1:31" ht="21.95" customHeight="1" x14ac:dyDescent="0.25">
      <c r="A876" s="97" t="str">
        <f>+IF(PROVEEDORES[[#This Row],[FECHA DE PAGO]]=PROVEEDORES[[#This Row],[FECHA DE FACTURACIÓN]],"DE CONTADO","CRÉDITO")</f>
        <v>CRÉDITO</v>
      </c>
      <c r="B876" s="41" t="str">
        <f>+IF((PROVEEDORES[[#This Row],[FECHA DE PAGO]]-PROVEEDORES[[#This Row],[FECHA DE FACTURACIÓN]])&gt;PROVEEDORES[[#This Row],[PLAZO Días]],"PAGO VENCIDO")</f>
        <v>PAGO VENCIDO</v>
      </c>
      <c r="C876" s="22">
        <f>+VLOOKUP(PROVEEDORES[[#This Row],[PROVEEDOR]],TERCEROS_INFO[#All],2,FALSE)</f>
        <v>30</v>
      </c>
      <c r="D876" s="27">
        <f>+SUMIFS(PROVEEDORES[Total],PROVEEDORES[PROVEEDOR],PROVEEDORES[[#This Row],[PROVEEDOR]],PROVEEDORES[FECHA DE PAGO],"")</f>
        <v>3844432.4999000002</v>
      </c>
      <c r="E876" s="27"/>
      <c r="F876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876" s="95">
        <v>44523</v>
      </c>
      <c r="H876" s="28" t="s">
        <v>18</v>
      </c>
      <c r="I876" s="95">
        <v>44484</v>
      </c>
      <c r="J876" s="38">
        <v>1044547</v>
      </c>
      <c r="K876" s="23">
        <v>4632580.5599999996</v>
      </c>
      <c r="L876" s="23"/>
      <c r="M876" s="24">
        <v>880190.30639999988</v>
      </c>
      <c r="N876" s="25"/>
      <c r="O876" s="24">
        <v>0</v>
      </c>
      <c r="P876" s="136">
        <f>+IF(PROVEEDORES[[#This Row],[SUBTOTAL]]&lt;PROVEEDORES[[#This Row],[base retencion]],0,PROVEEDORES[[#This Row],[retención aplicada]])</f>
        <v>2.5000000000000001E-2</v>
      </c>
      <c r="Q876" s="24">
        <f>+PROVEEDORES[[#This Row],[Rete Fuente %]]*PROVEEDORES[[#This Row],[SUBTOTAL]]</f>
        <v>115814.514</v>
      </c>
      <c r="R876" s="23">
        <v>5396956.3523999993</v>
      </c>
      <c r="S87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6" s="99">
        <f ca="1">IF(PROVEEDORES[[#This Row],[FECHA DE PAGO]]=0,TODAY()-PROVEEDORES[[#This Row],[FECHA DE FACTURACIÓN]]-PROVEEDORES[[#This Row],[PLAZO Días]],0)</f>
        <v>0</v>
      </c>
      <c r="U876" s="149" t="str">
        <f>+VLOOKUP(PROVEEDORES[[#This Row],[PROVEEDOR]],Terceros!$A:$E,5,FALSE)</f>
        <v>2,5% con base</v>
      </c>
      <c r="V876" s="150">
        <f>+YEAR(PROVEEDORES[[#This Row],[FECHA DE FACTURACIÓN]])</f>
        <v>2021</v>
      </c>
      <c r="W876" s="150">
        <f>+MATCH(PROVEEDORES[[#This Row],[año facturado]],Retenciones!$1:$1,0)</f>
        <v>4</v>
      </c>
      <c r="X876" s="151">
        <f>+VLOOKUP(PROVEEDORES[[#This Row],[ID RETENCION]],Retenciones!$A$1:$O$24,PROVEEDORES[[#This Row],[indicador de columna]],FALSE)</f>
        <v>980000</v>
      </c>
      <c r="Y876" s="152">
        <f>+VLOOKUP(PROVEEDORES[[#This Row],[ID RETENCION]],Retenciones!$A$1:$O$24,2,FALSE)</f>
        <v>2.5000000000000001E-2</v>
      </c>
      <c r="Z876" s="26"/>
      <c r="AA876" s="26"/>
      <c r="AB876" s="26"/>
      <c r="AC876" s="26"/>
      <c r="AD876" s="26"/>
      <c r="AE876" s="26"/>
    </row>
    <row r="877" spans="1:31" ht="21.95" customHeight="1" x14ac:dyDescent="0.25">
      <c r="A877" s="97" t="str">
        <f>+IF(PROVEEDORES[[#This Row],[FECHA DE PAGO]]=PROVEEDORES[[#This Row],[FECHA DE FACTURACIÓN]],"DE CONTADO","CRÉDITO")</f>
        <v>CRÉDITO</v>
      </c>
      <c r="B877" s="41" t="b">
        <f>+IF((PROVEEDORES[[#This Row],[FECHA DE PAGO]]-PROVEEDORES[[#This Row],[FECHA DE FACTURACIÓN]])&gt;PROVEEDORES[[#This Row],[PLAZO Días]],"PAGO VENCIDO")</f>
        <v>0</v>
      </c>
      <c r="C877" s="22">
        <f>+VLOOKUP(PROVEEDORES[[#This Row],[PROVEEDOR]],TERCEROS_INFO[#All],2,FALSE)</f>
        <v>90</v>
      </c>
      <c r="D877" s="27">
        <f>+SUMIFS(PROVEEDORES[Total],PROVEEDORES[PROVEEDOR],PROVEEDORES[[#This Row],[PROVEEDOR]],PROVEEDORES[FECHA DE PAGO],"")</f>
        <v>103407118</v>
      </c>
      <c r="E877" s="27"/>
      <c r="F877" s="62" t="str">
        <f>+VLOOKUP(PROVEEDORES[[#This Row],[PROVEEDOR]],
                       Terceros!$A:$G,
                       6,
                       FALSE)</f>
        <v>mcastillo@kenextrading.com;agarcia@kenextrading.com;girlesa.ruiz@servipilas.com;joriescobar64@gmail.com</v>
      </c>
      <c r="G877" s="95">
        <v>44531</v>
      </c>
      <c r="H877" s="28" t="s">
        <v>31</v>
      </c>
      <c r="I877" s="95">
        <v>44487</v>
      </c>
      <c r="J877" s="38">
        <v>55161</v>
      </c>
      <c r="K877" s="23">
        <v>31856297.426000003</v>
      </c>
      <c r="L877" s="23"/>
      <c r="M877" s="24">
        <v>0</v>
      </c>
      <c r="N877" s="25"/>
      <c r="O877" s="24">
        <v>0</v>
      </c>
      <c r="P877" s="136">
        <f>+IF(PROVEEDORES[[#This Row],[SUBTOTAL]]&lt;PROVEEDORES[[#This Row],[base retencion]],0,PROVEEDORES[[#This Row],[retención aplicada]])</f>
        <v>0</v>
      </c>
      <c r="Q877" s="24">
        <f>+PROVEEDORES[[#This Row],[Rete Fuente %]]*PROVEEDORES[[#This Row],[SUBTOTAL]]</f>
        <v>0</v>
      </c>
      <c r="R877" s="23">
        <v>0</v>
      </c>
      <c r="S87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7" s="99">
        <f ca="1">IF(PROVEEDORES[[#This Row],[FECHA DE PAGO]]=0,TODAY()-PROVEEDORES[[#This Row],[FECHA DE FACTURACIÓN]]-PROVEEDORES[[#This Row],[PLAZO Días]],0)</f>
        <v>0</v>
      </c>
      <c r="U877" s="149">
        <f>+VLOOKUP(PROVEEDORES[[#This Row],[PROVEEDOR]],Terceros!$A:$E,5,FALSE)</f>
        <v>0</v>
      </c>
      <c r="V877" s="150">
        <f>+YEAR(PROVEEDORES[[#This Row],[FECHA DE FACTURACIÓN]])</f>
        <v>2021</v>
      </c>
      <c r="W877" s="150">
        <f>+MATCH(PROVEEDORES[[#This Row],[año facturado]],Retenciones!$1:$1,0)</f>
        <v>4</v>
      </c>
      <c r="X877" s="151">
        <f>+VLOOKUP(PROVEEDORES[[#This Row],[ID RETENCION]],Retenciones!$A$1:$O$24,PROVEEDORES[[#This Row],[indicador de columna]],FALSE)</f>
        <v>0</v>
      </c>
      <c r="Y877" s="152">
        <f>+VLOOKUP(PROVEEDORES[[#This Row],[ID RETENCION]],Retenciones!$A$1:$O$24,2,FALSE)</f>
        <v>0</v>
      </c>
      <c r="Z877" s="26"/>
      <c r="AA877" s="26"/>
      <c r="AB877" s="26"/>
      <c r="AC877" s="26"/>
      <c r="AD877" s="26"/>
      <c r="AE877" s="26"/>
    </row>
    <row r="878" spans="1:31" ht="21.95" customHeight="1" x14ac:dyDescent="0.25">
      <c r="A878" s="97" t="str">
        <f>+IF(PROVEEDORES[[#This Row],[FECHA DE PAGO]]=PROVEEDORES[[#This Row],[FECHA DE FACTURACIÓN]],"DE CONTADO","CRÉDITO")</f>
        <v>CRÉDITO</v>
      </c>
      <c r="B878" s="41" t="str">
        <f>+IF((PROVEEDORES[[#This Row],[FECHA DE PAGO]]-PROVEEDORES[[#This Row],[FECHA DE FACTURACIÓN]])&gt;PROVEEDORES[[#This Row],[PLAZO Días]],"PAGO VENCIDO")</f>
        <v>PAGO VENCIDO</v>
      </c>
      <c r="C878" s="22">
        <f>+VLOOKUP(PROVEEDORES[[#This Row],[PROVEEDOR]],TERCEROS_INFO[#All],2,FALSE)</f>
        <v>45</v>
      </c>
      <c r="D878" s="27">
        <f>+SUMIFS(PROVEEDORES[Total],PROVEEDORES[PROVEEDOR],PROVEEDORES[[#This Row],[PROVEEDOR]],PROVEEDORES[FECHA DE PAGO],"")</f>
        <v>3412539.2</v>
      </c>
      <c r="E878" s="27"/>
      <c r="F878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878" s="95">
        <v>44537</v>
      </c>
      <c r="H878" s="28" t="s">
        <v>10</v>
      </c>
      <c r="I878" s="95">
        <v>44488</v>
      </c>
      <c r="J878" s="38" t="s">
        <v>553</v>
      </c>
      <c r="K878" s="23">
        <v>408000</v>
      </c>
      <c r="L878" s="23"/>
      <c r="M878" s="24">
        <v>77520</v>
      </c>
      <c r="N878" s="25"/>
      <c r="O878" s="24">
        <v>0</v>
      </c>
      <c r="P878" s="136">
        <f>+IF(PROVEEDORES[[#This Row],[SUBTOTAL]]&lt;PROVEEDORES[[#This Row],[base retencion]],0,PROVEEDORES[[#This Row],[retención aplicada]])</f>
        <v>0</v>
      </c>
      <c r="Q878" s="24">
        <f>+PROVEEDORES[[#This Row],[Rete Fuente %]]*PROVEEDORES[[#This Row],[SUBTOTAL]]</f>
        <v>0</v>
      </c>
      <c r="R878" s="23">
        <v>485520</v>
      </c>
      <c r="S87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8" s="99">
        <f ca="1">IF(PROVEEDORES[[#This Row],[FECHA DE PAGO]]=0,TODAY()-PROVEEDORES[[#This Row],[FECHA DE FACTURACIÓN]]-PROVEEDORES[[#This Row],[PLAZO Días]],0)</f>
        <v>0</v>
      </c>
      <c r="U878" s="149">
        <f>+VLOOKUP(PROVEEDORES[[#This Row],[PROVEEDOR]],Terceros!$A:$E,5,FALSE)</f>
        <v>0</v>
      </c>
      <c r="V878" s="150">
        <f>+YEAR(PROVEEDORES[[#This Row],[FECHA DE FACTURACIÓN]])</f>
        <v>2021</v>
      </c>
      <c r="W878" s="150">
        <f>+MATCH(PROVEEDORES[[#This Row],[año facturado]],Retenciones!$1:$1,0)</f>
        <v>4</v>
      </c>
      <c r="X878" s="151">
        <f>+VLOOKUP(PROVEEDORES[[#This Row],[ID RETENCION]],Retenciones!$A$1:$O$24,PROVEEDORES[[#This Row],[indicador de columna]],FALSE)</f>
        <v>0</v>
      </c>
      <c r="Y878" s="152">
        <f>+VLOOKUP(PROVEEDORES[[#This Row],[ID RETENCION]],Retenciones!$A$1:$O$24,2,FALSE)</f>
        <v>0</v>
      </c>
      <c r="Z878" s="26"/>
      <c r="AA878" s="26"/>
      <c r="AB878" s="26"/>
      <c r="AC878" s="26"/>
      <c r="AD878" s="26"/>
      <c r="AE878" s="26"/>
    </row>
    <row r="879" spans="1:31" ht="21.95" customHeight="1" x14ac:dyDescent="0.25">
      <c r="A879" s="97" t="str">
        <f>+IF(PROVEEDORES[[#This Row],[FECHA DE PAGO]]=PROVEEDORES[[#This Row],[FECHA DE FACTURACIÓN]],"DE CONTADO","CRÉDITO")</f>
        <v>CRÉDITO</v>
      </c>
      <c r="B879" s="41" t="b">
        <f>+IF((PROVEEDORES[[#This Row],[FECHA DE PAGO]]-PROVEEDORES[[#This Row],[FECHA DE FACTURACIÓN]])&gt;PROVEEDORES[[#This Row],[PLAZO Días]],"PAGO VENCIDO")</f>
        <v>0</v>
      </c>
      <c r="C879" s="22">
        <f>+VLOOKUP(PROVEEDORES[[#This Row],[PROVEEDOR]],TERCEROS_INFO[#All],2,FALSE)</f>
        <v>30</v>
      </c>
      <c r="D879" s="27">
        <f>+SUMIFS(PROVEEDORES[Total],PROVEEDORES[PROVEEDOR],PROVEEDORES[[#This Row],[PROVEEDOR]],PROVEEDORES[FECHA DE PAGO],"")</f>
        <v>395010</v>
      </c>
      <c r="E879" s="27"/>
      <c r="F879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879" s="95">
        <v>44491</v>
      </c>
      <c r="H879" s="28" t="s">
        <v>141</v>
      </c>
      <c r="I879" s="95">
        <v>44488</v>
      </c>
      <c r="J879" s="38">
        <v>151</v>
      </c>
      <c r="K879" s="23">
        <v>740000</v>
      </c>
      <c r="L879" s="23"/>
      <c r="M879" s="24">
        <v>140600</v>
      </c>
      <c r="N879" s="25"/>
      <c r="O879" s="24">
        <v>0</v>
      </c>
      <c r="P879" s="136">
        <f>+IF(PROVEEDORES[[#This Row],[SUBTOTAL]]&lt;PROVEEDORES[[#This Row],[base retencion]],0,PROVEEDORES[[#This Row],[retención aplicada]])</f>
        <v>0.01</v>
      </c>
      <c r="Q879" s="24">
        <f>+PROVEEDORES[[#This Row],[Rete Fuente %]]*PROVEEDORES[[#This Row],[SUBTOTAL]]</f>
        <v>7400</v>
      </c>
      <c r="R879" s="23">
        <v>873200</v>
      </c>
      <c r="S87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9" s="99">
        <f ca="1">IF(PROVEEDORES[[#This Row],[FECHA DE PAGO]]=0,TODAY()-PROVEEDORES[[#This Row],[FECHA DE FACTURACIÓN]]-PROVEEDORES[[#This Row],[PLAZO Días]],0)</f>
        <v>0</v>
      </c>
      <c r="U879" s="149" t="str">
        <f>+VLOOKUP(PROVEEDORES[[#This Row],[PROVEEDOR]],Terceros!$A:$E,5,FALSE)</f>
        <v>1% con base</v>
      </c>
      <c r="V879" s="150">
        <f>+YEAR(PROVEEDORES[[#This Row],[FECHA DE FACTURACIÓN]])</f>
        <v>2021</v>
      </c>
      <c r="W879" s="150">
        <f>+MATCH(PROVEEDORES[[#This Row],[año facturado]],Retenciones!$1:$1,0)</f>
        <v>4</v>
      </c>
      <c r="X879" s="151">
        <f>+VLOOKUP(PROVEEDORES[[#This Row],[ID RETENCION]],Retenciones!$A$1:$O$24,PROVEEDORES[[#This Row],[indicador de columna]],FALSE)</f>
        <v>145000</v>
      </c>
      <c r="Y879" s="152">
        <f>+VLOOKUP(PROVEEDORES[[#This Row],[ID RETENCION]],Retenciones!$A$1:$O$24,2,FALSE)</f>
        <v>0.01</v>
      </c>
      <c r="Z879" s="26"/>
      <c r="AA879" s="26"/>
      <c r="AB879" s="26"/>
      <c r="AC879" s="26"/>
      <c r="AD879" s="26"/>
      <c r="AE879" s="26"/>
    </row>
    <row r="880" spans="1:31" ht="21.95" customHeight="1" x14ac:dyDescent="0.25">
      <c r="A880" s="97" t="str">
        <f>+IF(PROVEEDORES[[#This Row],[FECHA DE PAGO]]=PROVEEDORES[[#This Row],[FECHA DE FACTURACIÓN]],"DE CONTADO","CRÉDITO")</f>
        <v>CRÉDITO</v>
      </c>
      <c r="B880" s="41" t="str">
        <f>+IF((PROVEEDORES[[#This Row],[FECHA DE PAGO]]-PROVEEDORES[[#This Row],[FECHA DE FACTURACIÓN]])&gt;PROVEEDORES[[#This Row],[PLAZO Días]],"PAGO VENCIDO")</f>
        <v>PAGO VENCIDO</v>
      </c>
      <c r="C880" s="22">
        <f>+VLOOKUP(PROVEEDORES[[#This Row],[PROVEEDOR]],TERCEROS_INFO[#All],2,FALSE)</f>
        <v>30</v>
      </c>
      <c r="D880" s="27">
        <f>+SUMIFS(PROVEEDORES[Total],PROVEEDORES[PROVEEDOR],PROVEEDORES[[#This Row],[PROVEEDOR]],PROVEEDORES[FECHA DE PAGO],"")</f>
        <v>0</v>
      </c>
      <c r="E880" s="27"/>
      <c r="F880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880" s="95">
        <v>44523</v>
      </c>
      <c r="H880" s="28" t="s">
        <v>1124</v>
      </c>
      <c r="I880" s="95">
        <v>44488</v>
      </c>
      <c r="J880" s="38">
        <v>23594</v>
      </c>
      <c r="K880" s="23">
        <v>936200</v>
      </c>
      <c r="L880" s="23"/>
      <c r="M880" s="24">
        <v>177878</v>
      </c>
      <c r="N880" s="25"/>
      <c r="O880" s="24">
        <v>0</v>
      </c>
      <c r="P880" s="136">
        <f>+IF(PROVEEDORES[[#This Row],[SUBTOTAL]]&lt;PROVEEDORES[[#This Row],[base retencion]],0,PROVEEDORES[[#This Row],[retención aplicada]])</f>
        <v>0</v>
      </c>
      <c r="Q880" s="24">
        <f>+PROVEEDORES[[#This Row],[Rete Fuente %]]*PROVEEDORES[[#This Row],[SUBTOTAL]]</f>
        <v>0</v>
      </c>
      <c r="R880" s="23">
        <v>1114078</v>
      </c>
      <c r="S88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0" s="99">
        <f ca="1">IF(PROVEEDORES[[#This Row],[FECHA DE PAGO]]=0,TODAY()-PROVEEDORES[[#This Row],[FECHA DE FACTURACIÓN]]-PROVEEDORES[[#This Row],[PLAZO Días]],0)</f>
        <v>0</v>
      </c>
      <c r="U880" s="149" t="str">
        <f>+VLOOKUP(PROVEEDORES[[#This Row],[PROVEEDOR]],Terceros!$A:$E,5,FALSE)</f>
        <v>2,5% con base</v>
      </c>
      <c r="V880" s="150">
        <f>+YEAR(PROVEEDORES[[#This Row],[FECHA DE FACTURACIÓN]])</f>
        <v>2021</v>
      </c>
      <c r="W880" s="150">
        <f>+MATCH(PROVEEDORES[[#This Row],[año facturado]],Retenciones!$1:$1,0)</f>
        <v>4</v>
      </c>
      <c r="X880" s="151">
        <f>+VLOOKUP(PROVEEDORES[[#This Row],[ID RETENCION]],Retenciones!$A$1:$O$24,PROVEEDORES[[#This Row],[indicador de columna]],FALSE)</f>
        <v>980000</v>
      </c>
      <c r="Y880" s="152">
        <f>+VLOOKUP(PROVEEDORES[[#This Row],[ID RETENCION]],Retenciones!$A$1:$O$24,2,FALSE)</f>
        <v>2.5000000000000001E-2</v>
      </c>
      <c r="Z880" s="26"/>
      <c r="AA880" s="26"/>
      <c r="AB880" s="26"/>
      <c r="AC880" s="26"/>
      <c r="AD880" s="26"/>
      <c r="AE880" s="26"/>
    </row>
    <row r="881" spans="1:31" ht="21.95" customHeight="1" x14ac:dyDescent="0.25">
      <c r="A881" s="97" t="str">
        <f>+IF(PROVEEDORES[[#This Row],[FECHA DE PAGO]]=PROVEEDORES[[#This Row],[FECHA DE FACTURACIÓN]],"DE CONTADO","CRÉDITO")</f>
        <v>CRÉDITO</v>
      </c>
      <c r="B881" s="41" t="b">
        <f>+IF((PROVEEDORES[[#This Row],[FECHA DE PAGO]]-PROVEEDORES[[#This Row],[FECHA DE FACTURACIÓN]])&gt;PROVEEDORES[[#This Row],[PLAZO Días]],"PAGO VENCIDO")</f>
        <v>0</v>
      </c>
      <c r="C881" s="22">
        <f>+VLOOKUP(PROVEEDORES[[#This Row],[PROVEEDOR]],TERCEROS_INFO[#All],2,FALSE)</f>
        <v>30</v>
      </c>
      <c r="D881" s="27">
        <f>+SUMIFS(PROVEEDORES[Total],PROVEEDORES[PROVEEDOR],PROVEEDORES[[#This Row],[PROVEEDOR]],PROVEEDORES[FECHA DE PAGO],"")</f>
        <v>0</v>
      </c>
      <c r="E881" s="27"/>
      <c r="F881" s="62" t="str">
        <f>+VLOOKUP(PROVEEDORES[[#This Row],[PROVEEDOR]],
                       Terceros!$A:$G,
                       6,
                       FALSE)</f>
        <v/>
      </c>
      <c r="G881" s="95">
        <v>44489</v>
      </c>
      <c r="H881" s="28" t="s">
        <v>54</v>
      </c>
      <c r="I881" s="95">
        <v>44488</v>
      </c>
      <c r="J881" s="38">
        <v>285851</v>
      </c>
      <c r="K881" s="23">
        <v>1531000</v>
      </c>
      <c r="L881" s="23"/>
      <c r="M881" s="24">
        <v>0</v>
      </c>
      <c r="N881" s="25"/>
      <c r="O881" s="24">
        <v>0</v>
      </c>
      <c r="P881" s="136">
        <f>+IF(PROVEEDORES[[#This Row],[SUBTOTAL]]&lt;PROVEEDORES[[#This Row],[base retencion]],0,PROVEEDORES[[#This Row],[retención aplicada]])</f>
        <v>0</v>
      </c>
      <c r="Q881" s="24">
        <f>+PROVEEDORES[[#This Row],[Rete Fuente %]]*PROVEEDORES[[#This Row],[SUBTOTAL]]</f>
        <v>0</v>
      </c>
      <c r="R881" s="23">
        <v>1531000</v>
      </c>
      <c r="S88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1" s="99">
        <f ca="1">IF(PROVEEDORES[[#This Row],[FECHA DE PAGO]]=0,TODAY()-PROVEEDORES[[#This Row],[FECHA DE FACTURACIÓN]]-PROVEEDORES[[#This Row],[PLAZO Días]],0)</f>
        <v>0</v>
      </c>
      <c r="U881" s="149">
        <f>+VLOOKUP(PROVEEDORES[[#This Row],[PROVEEDOR]],Terceros!$A:$E,5,FALSE)</f>
        <v>0</v>
      </c>
      <c r="V881" s="150">
        <f>+YEAR(PROVEEDORES[[#This Row],[FECHA DE FACTURACIÓN]])</f>
        <v>2021</v>
      </c>
      <c r="W881" s="150">
        <f>+MATCH(PROVEEDORES[[#This Row],[año facturado]],Retenciones!$1:$1,0)</f>
        <v>4</v>
      </c>
      <c r="X881" s="151">
        <f>+VLOOKUP(PROVEEDORES[[#This Row],[ID RETENCION]],Retenciones!$A$1:$O$24,PROVEEDORES[[#This Row],[indicador de columna]],FALSE)</f>
        <v>0</v>
      </c>
      <c r="Y881" s="152">
        <f>+VLOOKUP(PROVEEDORES[[#This Row],[ID RETENCION]],Retenciones!$A$1:$O$24,2,FALSE)</f>
        <v>0</v>
      </c>
      <c r="Z881" s="26"/>
      <c r="AA881" s="26"/>
      <c r="AB881" s="26"/>
      <c r="AC881" s="26"/>
      <c r="AD881" s="26"/>
      <c r="AE881" s="26"/>
    </row>
    <row r="882" spans="1:31" ht="21.95" customHeight="1" x14ac:dyDescent="0.25">
      <c r="A882" s="97" t="str">
        <f>+IF(PROVEEDORES[[#This Row],[FECHA DE PAGO]]=PROVEEDORES[[#This Row],[FECHA DE FACTURACIÓN]],"DE CONTADO","CRÉDITO")</f>
        <v>CRÉDITO</v>
      </c>
      <c r="B882" s="41" t="b">
        <f>+IF((PROVEEDORES[[#This Row],[FECHA DE PAGO]]-PROVEEDORES[[#This Row],[FECHA DE FACTURACIÓN]])&gt;PROVEEDORES[[#This Row],[PLAZO Días]],"PAGO VENCIDO")</f>
        <v>0</v>
      </c>
      <c r="C882" s="22">
        <f>+VLOOKUP(PROVEEDORES[[#This Row],[PROVEEDOR]],TERCEROS_INFO[#All],2,FALSE)</f>
        <v>30</v>
      </c>
      <c r="D882" s="27">
        <f>+SUMIFS(PROVEEDORES[Total],PROVEEDORES[PROVEEDOR],PROVEEDORES[[#This Row],[PROVEEDOR]],PROVEEDORES[FECHA DE PAGO],"")</f>
        <v>264406</v>
      </c>
      <c r="E882" s="27"/>
      <c r="F882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882" s="95">
        <v>44489</v>
      </c>
      <c r="H882" s="28" t="s">
        <v>390</v>
      </c>
      <c r="I882" s="95">
        <v>44488</v>
      </c>
      <c r="J882" s="38" t="s">
        <v>850</v>
      </c>
      <c r="K882" s="23">
        <v>1781000</v>
      </c>
      <c r="L882" s="23"/>
      <c r="M882" s="24">
        <v>0</v>
      </c>
      <c r="N882" s="25"/>
      <c r="O882" s="24">
        <v>0</v>
      </c>
      <c r="P882" s="136">
        <f>+IF(PROVEEDORES[[#This Row],[SUBTOTAL]]&lt;PROVEEDORES[[#This Row],[base retencion]],0,PROVEEDORES[[#This Row],[retención aplicada]])</f>
        <v>0</v>
      </c>
      <c r="Q882" s="24">
        <f>+PROVEEDORES[[#This Row],[Rete Fuente %]]*PROVEEDORES[[#This Row],[SUBTOTAL]]</f>
        <v>0</v>
      </c>
      <c r="R882" s="23">
        <v>1781000</v>
      </c>
      <c r="S88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2" s="99">
        <f ca="1">IF(PROVEEDORES[[#This Row],[FECHA DE PAGO]]=0,TODAY()-PROVEEDORES[[#This Row],[FECHA DE FACTURACIÓN]]-PROVEEDORES[[#This Row],[PLAZO Días]],0)</f>
        <v>0</v>
      </c>
      <c r="U882" s="149">
        <f>+VLOOKUP(PROVEEDORES[[#This Row],[PROVEEDOR]],Terceros!$A:$E,5,FALSE)</f>
        <v>0</v>
      </c>
      <c r="V882" s="150">
        <f>+YEAR(PROVEEDORES[[#This Row],[FECHA DE FACTURACIÓN]])</f>
        <v>2021</v>
      </c>
      <c r="W882" s="150">
        <f>+MATCH(PROVEEDORES[[#This Row],[año facturado]],Retenciones!$1:$1,0)</f>
        <v>4</v>
      </c>
      <c r="X882" s="151">
        <f>+VLOOKUP(PROVEEDORES[[#This Row],[ID RETENCION]],Retenciones!$A$1:$O$24,PROVEEDORES[[#This Row],[indicador de columna]],FALSE)</f>
        <v>0</v>
      </c>
      <c r="Y882" s="152">
        <f>+VLOOKUP(PROVEEDORES[[#This Row],[ID RETENCION]],Retenciones!$A$1:$O$24,2,FALSE)</f>
        <v>0</v>
      </c>
      <c r="Z882" s="26"/>
      <c r="AA882" s="26"/>
      <c r="AB882" s="26"/>
      <c r="AC882" s="26"/>
      <c r="AD882" s="26"/>
      <c r="AE882" s="26"/>
    </row>
    <row r="883" spans="1:31" ht="21.95" customHeight="1" x14ac:dyDescent="0.25">
      <c r="A883" s="97" t="str">
        <f>+IF(PROVEEDORES[[#This Row],[FECHA DE PAGO]]=PROVEEDORES[[#This Row],[FECHA DE FACTURACIÓN]],"DE CONTADO","CRÉDITO")</f>
        <v>CRÉDITO</v>
      </c>
      <c r="B883" s="41" t="b">
        <f>+IF((PROVEEDORES[[#This Row],[FECHA DE PAGO]]-PROVEEDORES[[#This Row],[FECHA DE FACTURACIÓN]])&gt;PROVEEDORES[[#This Row],[PLAZO Días]],"PAGO VENCIDO")</f>
        <v>0</v>
      </c>
      <c r="C883" s="22">
        <f>+VLOOKUP(PROVEEDORES[[#This Row],[PROVEEDOR]],TERCEROS_INFO[#All],2,FALSE)</f>
        <v>20</v>
      </c>
      <c r="D883" s="27">
        <f>+SUMIFS(PROVEEDORES[Total],PROVEEDORES[PROVEEDOR],PROVEEDORES[[#This Row],[PROVEEDOR]],PROVEEDORES[FECHA DE PAGO],"")</f>
        <v>0</v>
      </c>
      <c r="E883" s="27"/>
      <c r="F883" s="62" t="str">
        <f>+VLOOKUP(PROVEEDORES[[#This Row],[PROVEEDOR]],
                       Terceros!$A:$G,
                       6,
                       FALSE)</f>
        <v>alexenriquez73.ae@gmail.com;girlesa.ruiz@servipilas.com;joriescobar64@gmail.com;info@servipilas.com</v>
      </c>
      <c r="G883" s="95">
        <v>44494</v>
      </c>
      <c r="H883" s="28" t="s">
        <v>554</v>
      </c>
      <c r="I883" s="95">
        <v>44488</v>
      </c>
      <c r="J883" s="38" t="s">
        <v>556</v>
      </c>
      <c r="K883" s="23">
        <v>12000000</v>
      </c>
      <c r="L883" s="23"/>
      <c r="M883" s="24">
        <v>0</v>
      </c>
      <c r="N883" s="25"/>
      <c r="O883" s="24">
        <v>0</v>
      </c>
      <c r="P883" s="136">
        <f>+IF(PROVEEDORES[[#This Row],[SUBTOTAL]]&lt;PROVEEDORES[[#This Row],[base retencion]],0,PROVEEDORES[[#This Row],[retención aplicada]])</f>
        <v>0.04</v>
      </c>
      <c r="Q883" s="24">
        <f>+PROVEEDORES[[#This Row],[Rete Fuente %]]*PROVEEDORES[[#This Row],[SUBTOTAL]]</f>
        <v>480000</v>
      </c>
      <c r="R883" s="23">
        <v>11520000</v>
      </c>
      <c r="S88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3" s="99">
        <f ca="1">IF(PROVEEDORES[[#This Row],[FECHA DE PAGO]]=0,TODAY()-PROVEEDORES[[#This Row],[FECHA DE FACTURACIÓN]]-PROVEEDORES[[#This Row],[PLAZO Días]],0)</f>
        <v>0</v>
      </c>
      <c r="U883" s="149" t="str">
        <f>+VLOOKUP(PROVEEDORES[[#This Row],[PROVEEDOR]],Terceros!$A:$E,5,FALSE)</f>
        <v>4% sin base</v>
      </c>
      <c r="V883" s="150">
        <f>+YEAR(PROVEEDORES[[#This Row],[FECHA DE FACTURACIÓN]])</f>
        <v>2021</v>
      </c>
      <c r="W883" s="150">
        <f>+MATCH(PROVEEDORES[[#This Row],[año facturado]],Retenciones!$1:$1,0)</f>
        <v>4</v>
      </c>
      <c r="X883" s="151">
        <f>+VLOOKUP(PROVEEDORES[[#This Row],[ID RETENCION]],Retenciones!$A$1:$O$24,PROVEEDORES[[#This Row],[indicador de columna]],FALSE)</f>
        <v>0</v>
      </c>
      <c r="Y883" s="152">
        <f>+VLOOKUP(PROVEEDORES[[#This Row],[ID RETENCION]],Retenciones!$A$1:$O$24,2,FALSE)</f>
        <v>0.04</v>
      </c>
      <c r="Z883" s="26"/>
      <c r="AA883" s="26"/>
      <c r="AB883" s="26"/>
      <c r="AC883" s="26"/>
      <c r="AD883" s="26"/>
      <c r="AE883" s="26"/>
    </row>
    <row r="884" spans="1:31" ht="21.95" customHeight="1" x14ac:dyDescent="0.25">
      <c r="A884" s="97" t="str">
        <f>+IF(PROVEEDORES[[#This Row],[FECHA DE PAGO]]=PROVEEDORES[[#This Row],[FECHA DE FACTURACIÓN]],"DE CONTADO","CRÉDITO")</f>
        <v>CRÉDITO</v>
      </c>
      <c r="B884" s="41" t="str">
        <f>+IF((PROVEEDORES[[#This Row],[FECHA DE PAGO]]-PROVEEDORES[[#This Row],[FECHA DE FACTURACIÓN]])&gt;PROVEEDORES[[#This Row],[PLAZO Días]],"PAGO VENCIDO")</f>
        <v>PAGO VENCIDO</v>
      </c>
      <c r="C884" s="22">
        <f>+VLOOKUP(PROVEEDORES[[#This Row],[PROVEEDOR]],TERCEROS_INFO[#All],2,FALSE)</f>
        <v>30</v>
      </c>
      <c r="D884" s="27">
        <f>+SUMIFS(PROVEEDORES[Total],PROVEEDORES[PROVEEDOR],PROVEEDORES[[#This Row],[PROVEEDOR]],PROVEEDORES[FECHA DE PAGO],"")</f>
        <v>192000.0264</v>
      </c>
      <c r="E884" s="27"/>
      <c r="F884" s="62" t="str">
        <f>+VLOOKUP(PROVEEDORES[[#This Row],[PROVEEDOR]],
                       Terceros!$A:$G,
                       6,
                       FALSE)</f>
        <v>Tuspilas.co@gmail.com;girlesa.ruiz@servipilas.com;joriescobar64@gmail.com</v>
      </c>
      <c r="G884" s="95">
        <v>44524</v>
      </c>
      <c r="H884" s="28" t="s">
        <v>43</v>
      </c>
      <c r="I884" s="95">
        <v>44489</v>
      </c>
      <c r="J884" s="38" t="s">
        <v>558</v>
      </c>
      <c r="K884" s="23">
        <v>137143.20000000001</v>
      </c>
      <c r="L884" s="23"/>
      <c r="M884" s="24">
        <v>26057.208000000002</v>
      </c>
      <c r="N884" s="25"/>
      <c r="O884" s="24">
        <v>0</v>
      </c>
      <c r="P884" s="136">
        <f>+IF(PROVEEDORES[[#This Row],[SUBTOTAL]]&lt;PROVEEDORES[[#This Row],[base retencion]],0,PROVEEDORES[[#This Row],[retención aplicada]])</f>
        <v>0</v>
      </c>
      <c r="Q884" s="24">
        <f>+PROVEEDORES[[#This Row],[Rete Fuente %]]*PROVEEDORES[[#This Row],[SUBTOTAL]]</f>
        <v>0</v>
      </c>
      <c r="R884" s="23">
        <v>163200.40800000002</v>
      </c>
      <c r="S88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4" s="99">
        <f ca="1">IF(PROVEEDORES[[#This Row],[FECHA DE PAGO]]=0,TODAY()-PROVEEDORES[[#This Row],[FECHA DE FACTURACIÓN]]-PROVEEDORES[[#This Row],[PLAZO Días]],0)</f>
        <v>0</v>
      </c>
      <c r="U884" s="149" t="str">
        <f>+VLOOKUP(PROVEEDORES[[#This Row],[PROVEEDOR]],Terceros!$A:$E,5,FALSE)</f>
        <v>2,5% con base</v>
      </c>
      <c r="V884" s="150">
        <f>+YEAR(PROVEEDORES[[#This Row],[FECHA DE FACTURACIÓN]])</f>
        <v>2021</v>
      </c>
      <c r="W884" s="150">
        <f>+MATCH(PROVEEDORES[[#This Row],[año facturado]],Retenciones!$1:$1,0)</f>
        <v>4</v>
      </c>
      <c r="X884" s="151">
        <f>+VLOOKUP(PROVEEDORES[[#This Row],[ID RETENCION]],Retenciones!$A$1:$O$24,PROVEEDORES[[#This Row],[indicador de columna]],FALSE)</f>
        <v>980000</v>
      </c>
      <c r="Y884" s="152">
        <f>+VLOOKUP(PROVEEDORES[[#This Row],[ID RETENCION]],Retenciones!$A$1:$O$24,2,FALSE)</f>
        <v>2.5000000000000001E-2</v>
      </c>
      <c r="Z884" s="26"/>
      <c r="AA884" s="26"/>
      <c r="AB884" s="26"/>
      <c r="AC884" s="26"/>
      <c r="AD884" s="26"/>
      <c r="AE884" s="26"/>
    </row>
    <row r="885" spans="1:31" ht="21.95" customHeight="1" x14ac:dyDescent="0.25">
      <c r="A885" s="97" t="str">
        <f>+IF(PROVEEDORES[[#This Row],[FECHA DE PAGO]]=PROVEEDORES[[#This Row],[FECHA DE FACTURACIÓN]],"DE CONTADO","CRÉDITO")</f>
        <v>CRÉDITO</v>
      </c>
      <c r="B885" s="41" t="b">
        <f>+IF((PROVEEDORES[[#This Row],[FECHA DE PAGO]]-PROVEEDORES[[#This Row],[FECHA DE FACTURACIÓN]])&gt;PROVEEDORES[[#This Row],[PLAZO Días]],"PAGO VENCIDO")</f>
        <v>0</v>
      </c>
      <c r="C885" s="22">
        <f>+VLOOKUP(PROVEEDORES[[#This Row],[PROVEEDOR]],TERCEROS_INFO[#All],2,FALSE)</f>
        <v>30</v>
      </c>
      <c r="D885" s="27">
        <f>+SUMIFS(PROVEEDORES[Total],PROVEEDORES[PROVEEDOR],PROVEEDORES[[#This Row],[PROVEEDOR]],PROVEEDORES[FECHA DE PAGO],"")</f>
        <v>195500</v>
      </c>
      <c r="E885" s="27"/>
      <c r="F885" s="62" t="str">
        <f>+VLOOKUP(PROVEEDORES[[#This Row],[PROVEEDOR]],
                       Terceros!$A:$G,
                       6,
                       FALSE)</f>
        <v/>
      </c>
      <c r="G885" s="95">
        <v>44498</v>
      </c>
      <c r="H885" s="28" t="s">
        <v>1047</v>
      </c>
      <c r="I885" s="95">
        <v>44489</v>
      </c>
      <c r="J885" s="38" t="s">
        <v>819</v>
      </c>
      <c r="K885" s="23">
        <v>149700</v>
      </c>
      <c r="L885" s="23"/>
      <c r="M885" s="24">
        <v>0</v>
      </c>
      <c r="N885" s="25"/>
      <c r="O885" s="24">
        <v>0</v>
      </c>
      <c r="P885" s="136">
        <f>+IF(PROVEEDORES[[#This Row],[SUBTOTAL]]&lt;PROVEEDORES[[#This Row],[base retencion]],0,PROVEEDORES[[#This Row],[retención aplicada]])</f>
        <v>0</v>
      </c>
      <c r="Q885" s="24">
        <f>+PROVEEDORES[[#This Row],[Rete Fuente %]]*PROVEEDORES[[#This Row],[SUBTOTAL]]</f>
        <v>0</v>
      </c>
      <c r="R885" s="23">
        <v>149700</v>
      </c>
      <c r="S88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5" s="99">
        <f ca="1">IF(PROVEEDORES[[#This Row],[FECHA DE PAGO]]=0,TODAY()-PROVEEDORES[[#This Row],[FECHA DE FACTURACIÓN]]-PROVEEDORES[[#This Row],[PLAZO Días]],0)</f>
        <v>0</v>
      </c>
      <c r="U885" s="149">
        <f>+VLOOKUP(PROVEEDORES[[#This Row],[PROVEEDOR]],Terceros!$A:$E,5,FALSE)</f>
        <v>0</v>
      </c>
      <c r="V885" s="150">
        <f>+YEAR(PROVEEDORES[[#This Row],[FECHA DE FACTURACIÓN]])</f>
        <v>2021</v>
      </c>
      <c r="W885" s="150">
        <f>+MATCH(PROVEEDORES[[#This Row],[año facturado]],Retenciones!$1:$1,0)</f>
        <v>4</v>
      </c>
      <c r="X885" s="151">
        <f>+VLOOKUP(PROVEEDORES[[#This Row],[ID RETENCION]],Retenciones!$A$1:$O$24,PROVEEDORES[[#This Row],[indicador de columna]],FALSE)</f>
        <v>0</v>
      </c>
      <c r="Y885" s="152">
        <f>+VLOOKUP(PROVEEDORES[[#This Row],[ID RETENCION]],Retenciones!$A$1:$O$24,2,FALSE)</f>
        <v>0</v>
      </c>
      <c r="Z885" s="26"/>
      <c r="AA885" s="26"/>
      <c r="AB885" s="26"/>
      <c r="AC885" s="26"/>
      <c r="AD885" s="26"/>
      <c r="AE885" s="26"/>
    </row>
    <row r="886" spans="1:31" ht="21.95" customHeight="1" x14ac:dyDescent="0.25">
      <c r="A886" s="97" t="str">
        <f>+IF(PROVEEDORES[[#This Row],[FECHA DE PAGO]]=PROVEEDORES[[#This Row],[FECHA DE FACTURACIÓN]],"DE CONTADO","CRÉDITO")</f>
        <v>CRÉDITO</v>
      </c>
      <c r="B886" s="41" t="str">
        <f>+IF((PROVEEDORES[[#This Row],[FECHA DE PAGO]]-PROVEEDORES[[#This Row],[FECHA DE FACTURACIÓN]])&gt;PROVEEDORES[[#This Row],[PLAZO Días]],"PAGO VENCIDO")</f>
        <v>PAGO VENCIDO</v>
      </c>
      <c r="C886" s="22">
        <f>+VLOOKUP(PROVEEDORES[[#This Row],[PROVEEDOR]],TERCEROS_INFO[#All],2,FALSE)</f>
        <v>30</v>
      </c>
      <c r="D886" s="27">
        <f>+SUMIFS(PROVEEDORES[Total],PROVEEDORES[PROVEEDOR],PROVEEDORES[[#This Row],[PROVEEDOR]],PROVEEDORES[FECHA DE PAGO],"")</f>
        <v>192000.0264</v>
      </c>
      <c r="E886" s="27"/>
      <c r="F886" s="62" t="str">
        <f>+VLOOKUP(PROVEEDORES[[#This Row],[PROVEEDOR]],
                       Terceros!$A:$G,
                       6,
                       FALSE)</f>
        <v>Tuspilas.co@gmail.com;girlesa.ruiz@servipilas.com;joriescobar64@gmail.com</v>
      </c>
      <c r="G886" s="95">
        <v>44524</v>
      </c>
      <c r="H886" s="28" t="s">
        <v>43</v>
      </c>
      <c r="I886" s="95">
        <v>44489</v>
      </c>
      <c r="J886" s="38" t="s">
        <v>557</v>
      </c>
      <c r="K886" s="23">
        <v>475143.2</v>
      </c>
      <c r="L886" s="23"/>
      <c r="M886" s="24">
        <v>90277.207999999999</v>
      </c>
      <c r="N886" s="25"/>
      <c r="O886" s="24">
        <v>0</v>
      </c>
      <c r="P886" s="136">
        <f>+IF(PROVEEDORES[[#This Row],[SUBTOTAL]]&lt;PROVEEDORES[[#This Row],[base retencion]],0,PROVEEDORES[[#This Row],[retención aplicada]])</f>
        <v>0</v>
      </c>
      <c r="Q886" s="24">
        <f>+PROVEEDORES[[#This Row],[Rete Fuente %]]*PROVEEDORES[[#This Row],[SUBTOTAL]]</f>
        <v>0</v>
      </c>
      <c r="R886" s="23">
        <v>565420.40800000005</v>
      </c>
      <c r="S88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6" s="99">
        <f ca="1">IF(PROVEEDORES[[#This Row],[FECHA DE PAGO]]=0,TODAY()-PROVEEDORES[[#This Row],[FECHA DE FACTURACIÓN]]-PROVEEDORES[[#This Row],[PLAZO Días]],0)</f>
        <v>0</v>
      </c>
      <c r="U886" s="149" t="str">
        <f>+VLOOKUP(PROVEEDORES[[#This Row],[PROVEEDOR]],Terceros!$A:$E,5,FALSE)</f>
        <v>2,5% con base</v>
      </c>
      <c r="V886" s="150">
        <f>+YEAR(PROVEEDORES[[#This Row],[FECHA DE FACTURACIÓN]])</f>
        <v>2021</v>
      </c>
      <c r="W886" s="150">
        <f>+MATCH(PROVEEDORES[[#This Row],[año facturado]],Retenciones!$1:$1,0)</f>
        <v>4</v>
      </c>
      <c r="X886" s="151">
        <f>+VLOOKUP(PROVEEDORES[[#This Row],[ID RETENCION]],Retenciones!$A$1:$O$24,PROVEEDORES[[#This Row],[indicador de columna]],FALSE)</f>
        <v>980000</v>
      </c>
      <c r="Y886" s="152">
        <f>+VLOOKUP(PROVEEDORES[[#This Row],[ID RETENCION]],Retenciones!$A$1:$O$24,2,FALSE)</f>
        <v>2.5000000000000001E-2</v>
      </c>
      <c r="Z886" s="26"/>
      <c r="AA886" s="26"/>
      <c r="AB886" s="26"/>
      <c r="AC886" s="26"/>
      <c r="AD886" s="26"/>
      <c r="AE886" s="26"/>
    </row>
    <row r="887" spans="1:31" ht="21.95" customHeight="1" x14ac:dyDescent="0.25">
      <c r="A887" s="97" t="str">
        <f>+IF(PROVEEDORES[[#This Row],[FECHA DE PAGO]]=PROVEEDORES[[#This Row],[FECHA DE FACTURACIÓN]],"DE CONTADO","CRÉDITO")</f>
        <v>CRÉDITO</v>
      </c>
      <c r="B887" s="41" t="str">
        <f>+IF((PROVEEDORES[[#This Row],[FECHA DE PAGO]]-PROVEEDORES[[#This Row],[FECHA DE FACTURACIÓN]])&gt;PROVEEDORES[[#This Row],[PLAZO Días]],"PAGO VENCIDO")</f>
        <v>PAGO VENCIDO</v>
      </c>
      <c r="C887" s="22">
        <f>+VLOOKUP(PROVEEDORES[[#This Row],[PROVEEDOR]],TERCEROS_INFO[#All],2,FALSE)</f>
        <v>30</v>
      </c>
      <c r="D887" s="27">
        <f>+SUMIFS(PROVEEDORES[Total],PROVEEDORES[PROVEEDOR],PROVEEDORES[[#This Row],[PROVEEDOR]],PROVEEDORES[FECHA DE PAGO],"")</f>
        <v>0</v>
      </c>
      <c r="E887" s="27"/>
      <c r="F887" s="62" t="str">
        <f>+VLOOKUP(PROVEEDORES[[#This Row],[PROVEEDOR]],
                       Terceros!$A:$G,
                       6,
                       FALSE)</f>
        <v>lpena@tbplusenergy.com;girlesa.ruiz@servipilas.com;joriescobar64@gmail.com</v>
      </c>
      <c r="G887" s="95">
        <v>44537</v>
      </c>
      <c r="H887" s="28" t="s">
        <v>471</v>
      </c>
      <c r="I887" s="95">
        <v>44489</v>
      </c>
      <c r="J887" s="38">
        <v>10568</v>
      </c>
      <c r="K887" s="23">
        <v>580000</v>
      </c>
      <c r="L887" s="23"/>
      <c r="M887" s="24">
        <v>110200</v>
      </c>
      <c r="N887" s="25"/>
      <c r="O887" s="24">
        <v>0</v>
      </c>
      <c r="P887" s="136">
        <f>+IF(PROVEEDORES[[#This Row],[SUBTOTAL]]&lt;PROVEEDORES[[#This Row],[base retencion]],0,PROVEEDORES[[#This Row],[retención aplicada]])</f>
        <v>0</v>
      </c>
      <c r="Q887" s="24">
        <f>+PROVEEDORES[[#This Row],[Rete Fuente %]]*PROVEEDORES[[#This Row],[SUBTOTAL]]</f>
        <v>0</v>
      </c>
      <c r="R887" s="23">
        <v>690200</v>
      </c>
      <c r="S88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7" s="99">
        <f ca="1">IF(PROVEEDORES[[#This Row],[FECHA DE PAGO]]=0,TODAY()-PROVEEDORES[[#This Row],[FECHA DE FACTURACIÓN]]-PROVEEDORES[[#This Row],[PLAZO Días]],0)</f>
        <v>0</v>
      </c>
      <c r="U887" s="149" t="str">
        <f>+VLOOKUP(PROVEEDORES[[#This Row],[PROVEEDOR]],Terceros!$A:$E,5,FALSE)</f>
        <v>2,5% con base</v>
      </c>
      <c r="V887" s="150">
        <f>+YEAR(PROVEEDORES[[#This Row],[FECHA DE FACTURACIÓN]])</f>
        <v>2021</v>
      </c>
      <c r="W887" s="150">
        <f>+MATCH(PROVEEDORES[[#This Row],[año facturado]],Retenciones!$1:$1,0)</f>
        <v>4</v>
      </c>
      <c r="X887" s="151">
        <f>+VLOOKUP(PROVEEDORES[[#This Row],[ID RETENCION]],Retenciones!$A$1:$O$24,PROVEEDORES[[#This Row],[indicador de columna]],FALSE)</f>
        <v>980000</v>
      </c>
      <c r="Y887" s="152">
        <f>+VLOOKUP(PROVEEDORES[[#This Row],[ID RETENCION]],Retenciones!$A$1:$O$24,2,FALSE)</f>
        <v>2.5000000000000001E-2</v>
      </c>
      <c r="Z887" s="26"/>
      <c r="AA887" s="26"/>
      <c r="AB887" s="26"/>
      <c r="AC887" s="26"/>
      <c r="AD887" s="26"/>
      <c r="AE887" s="26"/>
    </row>
    <row r="888" spans="1:31" ht="21.95" customHeight="1" x14ac:dyDescent="0.25">
      <c r="A888" s="97" t="str">
        <f>+IF(PROVEEDORES[[#This Row],[FECHA DE PAGO]]=PROVEEDORES[[#This Row],[FECHA DE FACTURACIÓN]],"DE CONTADO","CRÉDITO")</f>
        <v>CRÉDITO</v>
      </c>
      <c r="B888" s="41" t="str">
        <f>+IF((PROVEEDORES[[#This Row],[FECHA DE PAGO]]-PROVEEDORES[[#This Row],[FECHA DE FACTURACIÓN]])&gt;PROVEEDORES[[#This Row],[PLAZO Días]],"PAGO VENCIDO")</f>
        <v>PAGO VENCIDO</v>
      </c>
      <c r="C888" s="22">
        <f>+VLOOKUP(PROVEEDORES[[#This Row],[PROVEEDOR]],TERCEROS_INFO[#All],2,FALSE)</f>
        <v>13</v>
      </c>
      <c r="D888" s="27">
        <f>+SUMIFS(PROVEEDORES[Total],PROVEEDORES[PROVEEDOR],PROVEEDORES[[#This Row],[PROVEEDOR]],PROVEEDORES[FECHA DE PAGO],"")</f>
        <v>2130283</v>
      </c>
      <c r="E888" s="27"/>
      <c r="F888" s="62">
        <f>+VLOOKUP(PROVEEDORES[[#This Row],[PROVEEDOR]],
                       Terceros!$A:$G,
                       6,
                       FALSE)</f>
        <v>0</v>
      </c>
      <c r="G888" s="95">
        <v>44516</v>
      </c>
      <c r="H888" s="28" t="s">
        <v>326</v>
      </c>
      <c r="I888" s="95">
        <v>44501</v>
      </c>
      <c r="J888" s="38" t="s">
        <v>920</v>
      </c>
      <c r="K888" s="23">
        <v>268209</v>
      </c>
      <c r="L888" s="23"/>
      <c r="M888" s="24">
        <v>0</v>
      </c>
      <c r="N888" s="25"/>
      <c r="O888" s="24">
        <v>0</v>
      </c>
      <c r="P888" s="136">
        <f>+IF(PROVEEDORES[[#This Row],[SUBTOTAL]]&lt;PROVEEDORES[[#This Row],[base retencion]],0,PROVEEDORES[[#This Row],[retención aplicada]])</f>
        <v>0</v>
      </c>
      <c r="Q888" s="24">
        <f>+PROVEEDORES[[#This Row],[Rete Fuente %]]*PROVEEDORES[[#This Row],[SUBTOTAL]]</f>
        <v>0</v>
      </c>
      <c r="R888" s="23">
        <v>268209</v>
      </c>
      <c r="S88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8" s="99">
        <f ca="1">IF(PROVEEDORES[[#This Row],[FECHA DE PAGO]]=0,TODAY()-PROVEEDORES[[#This Row],[FECHA DE FACTURACIÓN]]-PROVEEDORES[[#This Row],[PLAZO Días]],0)</f>
        <v>0</v>
      </c>
      <c r="U888" s="149">
        <f>+VLOOKUP(PROVEEDORES[[#This Row],[PROVEEDOR]],Terceros!$A:$E,5,FALSE)</f>
        <v>0</v>
      </c>
      <c r="V888" s="150">
        <f>+YEAR(PROVEEDORES[[#This Row],[FECHA DE FACTURACIÓN]])</f>
        <v>2021</v>
      </c>
      <c r="W888" s="150">
        <f>+MATCH(PROVEEDORES[[#This Row],[año facturado]],Retenciones!$1:$1,0)</f>
        <v>4</v>
      </c>
      <c r="X888" s="151">
        <f>+VLOOKUP(PROVEEDORES[[#This Row],[ID RETENCION]],Retenciones!$A$1:$O$24,PROVEEDORES[[#This Row],[indicador de columna]],FALSE)</f>
        <v>0</v>
      </c>
      <c r="Y888" s="152">
        <f>+VLOOKUP(PROVEEDORES[[#This Row],[ID RETENCION]],Retenciones!$A$1:$O$24,2,FALSE)</f>
        <v>0</v>
      </c>
      <c r="Z888" s="26"/>
      <c r="AA888" s="26"/>
      <c r="AB888" s="26"/>
      <c r="AC888" s="26"/>
      <c r="AD888" s="26"/>
      <c r="AE888" s="26"/>
    </row>
    <row r="889" spans="1:31" ht="21.95" customHeight="1" x14ac:dyDescent="0.25">
      <c r="A889" s="97" t="str">
        <f>+IF(PROVEEDORES[[#This Row],[FECHA DE PAGO]]=PROVEEDORES[[#This Row],[FECHA DE FACTURACIÓN]],"DE CONTADO","CRÉDITO")</f>
        <v>CRÉDITO</v>
      </c>
      <c r="B889" s="41" t="str">
        <f>+IF((PROVEEDORES[[#This Row],[FECHA DE PAGO]]-PROVEEDORES[[#This Row],[FECHA DE FACTURACIÓN]])&gt;PROVEEDORES[[#This Row],[PLAZO Días]],"PAGO VENCIDO")</f>
        <v>PAGO VENCIDO</v>
      </c>
      <c r="C889" s="22">
        <f>+VLOOKUP(PROVEEDORES[[#This Row],[PROVEEDOR]],TERCEROS_INFO[#All],2,FALSE)</f>
        <v>30</v>
      </c>
      <c r="D889" s="27">
        <f>+SUMIFS(PROVEEDORES[Total],PROVEEDORES[PROVEEDOR],PROVEEDORES[[#This Row],[PROVEEDOR]],PROVEEDORES[FECHA DE PAGO],"")</f>
        <v>0</v>
      </c>
      <c r="E889" s="27"/>
      <c r="F889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889" s="95">
        <v>44530</v>
      </c>
      <c r="H889" s="28" t="s">
        <v>511</v>
      </c>
      <c r="I889" s="95">
        <v>44489</v>
      </c>
      <c r="J889" s="38" t="s">
        <v>572</v>
      </c>
      <c r="K889" s="23">
        <v>3176062</v>
      </c>
      <c r="L889" s="23"/>
      <c r="M889" s="24">
        <v>603451.78</v>
      </c>
      <c r="N889" s="25"/>
      <c r="O889" s="24">
        <v>0</v>
      </c>
      <c r="P889" s="136">
        <f>+IF(PROVEEDORES[[#This Row],[SUBTOTAL]]&lt;PROVEEDORES[[#This Row],[base retencion]],0,PROVEEDORES[[#This Row],[retención aplicada]])</f>
        <v>0</v>
      </c>
      <c r="Q889" s="24">
        <f>+PROVEEDORES[[#This Row],[Rete Fuente %]]*PROVEEDORES[[#This Row],[SUBTOTAL]]</f>
        <v>0</v>
      </c>
      <c r="R889" s="23">
        <v>3779513.7800000003</v>
      </c>
      <c r="S88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9" s="99">
        <f ca="1">IF(PROVEEDORES[[#This Row],[FECHA DE PAGO]]=0,TODAY()-PROVEEDORES[[#This Row],[FECHA DE FACTURACIÓN]]-PROVEEDORES[[#This Row],[PLAZO Días]],0)</f>
        <v>0</v>
      </c>
      <c r="U889" s="149">
        <f>+VLOOKUP(PROVEEDORES[[#This Row],[PROVEEDOR]],Terceros!$A:$E,5,FALSE)</f>
        <v>0</v>
      </c>
      <c r="V889" s="150">
        <f>+YEAR(PROVEEDORES[[#This Row],[FECHA DE FACTURACIÓN]])</f>
        <v>2021</v>
      </c>
      <c r="W889" s="150">
        <f>+MATCH(PROVEEDORES[[#This Row],[año facturado]],Retenciones!$1:$1,0)</f>
        <v>4</v>
      </c>
      <c r="X889" s="151">
        <f>+VLOOKUP(PROVEEDORES[[#This Row],[ID RETENCION]],Retenciones!$A$1:$O$24,PROVEEDORES[[#This Row],[indicador de columna]],FALSE)</f>
        <v>0</v>
      </c>
      <c r="Y889" s="152">
        <f>+VLOOKUP(PROVEEDORES[[#This Row],[ID RETENCION]],Retenciones!$A$1:$O$24,2,FALSE)</f>
        <v>0</v>
      </c>
      <c r="Z889" s="26"/>
      <c r="AA889" s="26"/>
      <c r="AB889" s="26"/>
      <c r="AC889" s="26"/>
      <c r="AD889" s="26"/>
      <c r="AE889" s="26"/>
    </row>
    <row r="890" spans="1:31" ht="21.95" customHeight="1" x14ac:dyDescent="0.25">
      <c r="A890" s="97" t="str">
        <f>+IF(PROVEEDORES[[#This Row],[FECHA DE PAGO]]=PROVEEDORES[[#This Row],[FECHA DE FACTURACIÓN]],"DE CONTADO","CRÉDITO")</f>
        <v>CRÉDITO</v>
      </c>
      <c r="B890" s="41" t="str">
        <f>+IF((PROVEEDORES[[#This Row],[FECHA DE PAGO]]-PROVEEDORES[[#This Row],[FECHA DE FACTURACIÓN]])&gt;PROVEEDORES[[#This Row],[PLAZO Días]],"PAGO VENCIDO")</f>
        <v>PAGO VENCIDO</v>
      </c>
      <c r="C890" s="22">
        <f>+VLOOKUP(PROVEEDORES[[#This Row],[PROVEEDOR]],TERCEROS_INFO[#All],2,FALSE)</f>
        <v>30</v>
      </c>
      <c r="D890" s="27">
        <f>+SUMIFS(PROVEEDORES[Total],PROVEEDORES[PROVEEDOR],PROVEEDORES[[#This Row],[PROVEEDOR]],PROVEEDORES[FECHA DE PAGO],"")</f>
        <v>144400</v>
      </c>
      <c r="E890" s="27"/>
      <c r="F890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890" s="95">
        <v>44536</v>
      </c>
      <c r="H890" s="28" t="s">
        <v>1071</v>
      </c>
      <c r="I890" s="95">
        <v>44490</v>
      </c>
      <c r="J890" s="38" t="s">
        <v>853</v>
      </c>
      <c r="K890" s="23">
        <v>133000</v>
      </c>
      <c r="L890" s="23"/>
      <c r="M890" s="24">
        <v>0</v>
      </c>
      <c r="N890" s="25"/>
      <c r="O890" s="24">
        <v>0</v>
      </c>
      <c r="P890" s="136">
        <f>+IF(PROVEEDORES[[#This Row],[SUBTOTAL]]&lt;PROVEEDORES[[#This Row],[base retencion]],0,PROVEEDORES[[#This Row],[retención aplicada]])</f>
        <v>0</v>
      </c>
      <c r="Q890" s="24">
        <f>+PROVEEDORES[[#This Row],[Rete Fuente %]]*PROVEEDORES[[#This Row],[SUBTOTAL]]</f>
        <v>0</v>
      </c>
      <c r="R890" s="23">
        <v>133000</v>
      </c>
      <c r="S89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0" s="99">
        <f ca="1">IF(PROVEEDORES[[#This Row],[FECHA DE PAGO]]=0,TODAY()-PROVEEDORES[[#This Row],[FECHA DE FACTURACIÓN]]-PROVEEDORES[[#This Row],[PLAZO Días]],0)</f>
        <v>0</v>
      </c>
      <c r="U890" s="149">
        <f>+VLOOKUP(PROVEEDORES[[#This Row],[PROVEEDOR]],Terceros!$A:$E,5,FALSE)</f>
        <v>0</v>
      </c>
      <c r="V890" s="150">
        <f>+YEAR(PROVEEDORES[[#This Row],[FECHA DE FACTURACIÓN]])</f>
        <v>2021</v>
      </c>
      <c r="W890" s="150">
        <f>+MATCH(PROVEEDORES[[#This Row],[año facturado]],Retenciones!$1:$1,0)</f>
        <v>4</v>
      </c>
      <c r="X890" s="151">
        <f>+VLOOKUP(PROVEEDORES[[#This Row],[ID RETENCION]],Retenciones!$A$1:$O$24,PROVEEDORES[[#This Row],[indicador de columna]],FALSE)</f>
        <v>0</v>
      </c>
      <c r="Y890" s="152">
        <f>+VLOOKUP(PROVEEDORES[[#This Row],[ID RETENCION]],Retenciones!$A$1:$O$24,2,FALSE)</f>
        <v>0</v>
      </c>
      <c r="Z890" s="26"/>
      <c r="AA890" s="26"/>
      <c r="AB890" s="26"/>
      <c r="AC890" s="26"/>
      <c r="AD890" s="26"/>
      <c r="AE890" s="26"/>
    </row>
    <row r="891" spans="1:31" ht="21.95" customHeight="1" x14ac:dyDescent="0.25">
      <c r="A891" s="97" t="str">
        <f>+IF(PROVEEDORES[[#This Row],[FECHA DE PAGO]]=PROVEEDORES[[#This Row],[FECHA DE FACTURACIÓN]],"DE CONTADO","CRÉDITO")</f>
        <v>CRÉDITO</v>
      </c>
      <c r="B891" s="41" t="str">
        <f>+IF((PROVEEDORES[[#This Row],[FECHA DE PAGO]]-PROVEEDORES[[#This Row],[FECHA DE FACTURACIÓN]])&gt;PROVEEDORES[[#This Row],[PLAZO Días]],"PAGO VENCIDO")</f>
        <v>PAGO VENCIDO</v>
      </c>
      <c r="C891" s="22">
        <f>+VLOOKUP(PROVEEDORES[[#This Row],[PROVEEDOR]],TERCEROS_INFO[#All],2,FALSE)</f>
        <v>30</v>
      </c>
      <c r="D891" s="27">
        <f>+SUMIFS(PROVEEDORES[Total],PROVEEDORES[PROVEEDOR],PROVEEDORES[[#This Row],[PROVEEDOR]],PROVEEDORES[FECHA DE PAGO],"")</f>
        <v>144400</v>
      </c>
      <c r="E891" s="27"/>
      <c r="F891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891" s="95">
        <v>44536</v>
      </c>
      <c r="H891" s="28" t="s">
        <v>1071</v>
      </c>
      <c r="I891" s="95">
        <v>44490</v>
      </c>
      <c r="J891" s="38" t="s">
        <v>852</v>
      </c>
      <c r="K891" s="23">
        <v>712300</v>
      </c>
      <c r="L891" s="23"/>
      <c r="M891" s="24">
        <v>0</v>
      </c>
      <c r="N891" s="25"/>
      <c r="O891" s="24">
        <v>0</v>
      </c>
      <c r="P891" s="136">
        <f>+IF(PROVEEDORES[[#This Row],[SUBTOTAL]]&lt;PROVEEDORES[[#This Row],[base retencion]],0,PROVEEDORES[[#This Row],[retención aplicada]])</f>
        <v>0</v>
      </c>
      <c r="Q891" s="24">
        <f>+PROVEEDORES[[#This Row],[Rete Fuente %]]*PROVEEDORES[[#This Row],[SUBTOTAL]]</f>
        <v>0</v>
      </c>
      <c r="R891" s="23">
        <v>712300</v>
      </c>
      <c r="S89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1" s="99">
        <f ca="1">IF(PROVEEDORES[[#This Row],[FECHA DE PAGO]]=0,TODAY()-PROVEEDORES[[#This Row],[FECHA DE FACTURACIÓN]]-PROVEEDORES[[#This Row],[PLAZO Días]],0)</f>
        <v>0</v>
      </c>
      <c r="U891" s="149">
        <f>+VLOOKUP(PROVEEDORES[[#This Row],[PROVEEDOR]],Terceros!$A:$E,5,FALSE)</f>
        <v>0</v>
      </c>
      <c r="V891" s="150">
        <f>+YEAR(PROVEEDORES[[#This Row],[FECHA DE FACTURACIÓN]])</f>
        <v>2021</v>
      </c>
      <c r="W891" s="150">
        <f>+MATCH(PROVEEDORES[[#This Row],[año facturado]],Retenciones!$1:$1,0)</f>
        <v>4</v>
      </c>
      <c r="X891" s="151">
        <f>+VLOOKUP(PROVEEDORES[[#This Row],[ID RETENCION]],Retenciones!$A$1:$O$24,PROVEEDORES[[#This Row],[indicador de columna]],FALSE)</f>
        <v>0</v>
      </c>
      <c r="Y891" s="152">
        <f>+VLOOKUP(PROVEEDORES[[#This Row],[ID RETENCION]],Retenciones!$A$1:$O$24,2,FALSE)</f>
        <v>0</v>
      </c>
      <c r="Z891" s="26"/>
      <c r="AA891" s="26"/>
      <c r="AB891" s="26"/>
      <c r="AC891" s="26"/>
      <c r="AD891" s="26"/>
      <c r="AE891" s="26"/>
    </row>
    <row r="892" spans="1:31" ht="21.95" customHeight="1" x14ac:dyDescent="0.25">
      <c r="A892" s="97" t="str">
        <f>+IF(PROVEEDORES[[#This Row],[FECHA DE PAGO]]=PROVEEDORES[[#This Row],[FECHA DE FACTURACIÓN]],"DE CONTADO","CRÉDITO")</f>
        <v>DE CONTADO</v>
      </c>
      <c r="B892" s="41" t="b">
        <f>+IF((PROVEEDORES[[#This Row],[FECHA DE PAGO]]-PROVEEDORES[[#This Row],[FECHA DE FACTURACIÓN]])&gt;PROVEEDORES[[#This Row],[PLAZO Días]],"PAGO VENCIDO")</f>
        <v>0</v>
      </c>
      <c r="C892" s="22">
        <f>+VLOOKUP(PROVEEDORES[[#This Row],[PROVEEDOR]],TERCEROS_INFO[#All],2,FALSE)</f>
        <v>30</v>
      </c>
      <c r="D892" s="27">
        <f>+SUMIFS(PROVEEDORES[Total],PROVEEDORES[PROVEEDOR],PROVEEDORES[[#This Row],[PROVEEDOR]],PROVEEDORES[FECHA DE PAGO],"")</f>
        <v>0</v>
      </c>
      <c r="E892" s="27"/>
      <c r="F892" s="62" t="str">
        <f>+VLOOKUP(PROVEEDORES[[#This Row],[PROVEEDOR]],
                       Terceros!$A:$G,
                       6,
                       FALSE)</f>
        <v/>
      </c>
      <c r="G892" s="95">
        <v>44490</v>
      </c>
      <c r="H892" s="28" t="s">
        <v>1046</v>
      </c>
      <c r="I892" s="95">
        <v>44490</v>
      </c>
      <c r="J892" s="38"/>
      <c r="K892" s="23">
        <v>1000000</v>
      </c>
      <c r="L892" s="23"/>
      <c r="M892" s="24">
        <v>0</v>
      </c>
      <c r="N892" s="25"/>
      <c r="O892" s="24">
        <v>0</v>
      </c>
      <c r="P892" s="136">
        <f>+IF(PROVEEDORES[[#This Row],[SUBTOTAL]]&lt;PROVEEDORES[[#This Row],[base retencion]],0,PROVEEDORES[[#This Row],[retención aplicada]])</f>
        <v>0</v>
      </c>
      <c r="Q892" s="24">
        <f>+PROVEEDORES[[#This Row],[Rete Fuente %]]*PROVEEDORES[[#This Row],[SUBTOTAL]]</f>
        <v>0</v>
      </c>
      <c r="R892" s="23">
        <v>1000000</v>
      </c>
      <c r="S89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2" s="99">
        <f ca="1">IF(PROVEEDORES[[#This Row],[FECHA DE PAGO]]=0,TODAY()-PROVEEDORES[[#This Row],[FECHA DE FACTURACIÓN]]-PROVEEDORES[[#This Row],[PLAZO Días]],0)</f>
        <v>0</v>
      </c>
      <c r="U892" s="149">
        <f>+VLOOKUP(PROVEEDORES[[#This Row],[PROVEEDOR]],Terceros!$A:$E,5,FALSE)</f>
        <v>0</v>
      </c>
      <c r="V892" s="150">
        <f>+YEAR(PROVEEDORES[[#This Row],[FECHA DE FACTURACIÓN]])</f>
        <v>2021</v>
      </c>
      <c r="W892" s="150">
        <f>+MATCH(PROVEEDORES[[#This Row],[año facturado]],Retenciones!$1:$1,0)</f>
        <v>4</v>
      </c>
      <c r="X892" s="151">
        <f>+VLOOKUP(PROVEEDORES[[#This Row],[ID RETENCION]],Retenciones!$A$1:$O$24,PROVEEDORES[[#This Row],[indicador de columna]],FALSE)</f>
        <v>0</v>
      </c>
      <c r="Y892" s="152">
        <f>+VLOOKUP(PROVEEDORES[[#This Row],[ID RETENCION]],Retenciones!$A$1:$O$24,2,FALSE)</f>
        <v>0</v>
      </c>
      <c r="Z892" s="26"/>
      <c r="AA892" s="26"/>
      <c r="AB892" s="26"/>
      <c r="AC892" s="26"/>
      <c r="AD892" s="26"/>
      <c r="AE892" s="26"/>
    </row>
    <row r="893" spans="1:31" ht="21.95" customHeight="1" x14ac:dyDescent="0.25">
      <c r="A893" s="97" t="str">
        <f>+IF(PROVEEDORES[[#This Row],[FECHA DE PAGO]]=PROVEEDORES[[#This Row],[FECHA DE FACTURACIÓN]],"DE CONTADO","CRÉDITO")</f>
        <v>CRÉDITO</v>
      </c>
      <c r="B893" s="41" t="b">
        <f>+IF((PROVEEDORES[[#This Row],[FECHA DE PAGO]]-PROVEEDORES[[#This Row],[FECHA DE FACTURACIÓN]])&gt;PROVEEDORES[[#This Row],[PLAZO Días]],"PAGO VENCIDO")</f>
        <v>0</v>
      </c>
      <c r="C893" s="22">
        <f>+VLOOKUP(PROVEEDORES[[#This Row],[PROVEEDOR]],TERCEROS_INFO[#All],2,FALSE)</f>
        <v>45</v>
      </c>
      <c r="D893" s="27">
        <f>+SUMIFS(PROVEEDORES[Total],PROVEEDORES[PROVEEDOR],PROVEEDORES[[#This Row],[PROVEEDOR]],PROVEEDORES[FECHA DE PAGO],"")</f>
        <v>1328100</v>
      </c>
      <c r="E893" s="27"/>
      <c r="F893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G893" s="95">
        <v>44503</v>
      </c>
      <c r="H893" s="28" t="s">
        <v>606</v>
      </c>
      <c r="I893" s="95">
        <v>44490</v>
      </c>
      <c r="J893" s="38" t="s">
        <v>560</v>
      </c>
      <c r="K893" s="23">
        <v>1636363.8599999999</v>
      </c>
      <c r="L893" s="23"/>
      <c r="M893" s="24">
        <v>0</v>
      </c>
      <c r="N893" s="25"/>
      <c r="O893" s="24">
        <v>0</v>
      </c>
      <c r="P893" s="136">
        <f>+IF(PROVEEDORES[[#This Row],[SUBTOTAL]]&lt;PROVEEDORES[[#This Row],[base retencion]],0,PROVEEDORES[[#This Row],[retención aplicada]])</f>
        <v>0</v>
      </c>
      <c r="Q893" s="24">
        <f>+PROVEEDORES[[#This Row],[Rete Fuente %]]*PROVEEDORES[[#This Row],[SUBTOTAL]]</f>
        <v>0</v>
      </c>
      <c r="R893" s="23">
        <v>1636363.8599999999</v>
      </c>
      <c r="S89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3" s="99">
        <f ca="1">IF(PROVEEDORES[[#This Row],[FECHA DE PAGO]]=0,TODAY()-PROVEEDORES[[#This Row],[FECHA DE FACTURACIÓN]]-PROVEEDORES[[#This Row],[PLAZO Días]],0)</f>
        <v>0</v>
      </c>
      <c r="U893" s="149">
        <f>+VLOOKUP(PROVEEDORES[[#This Row],[PROVEEDOR]],Terceros!$A:$E,5,FALSE)</f>
        <v>0</v>
      </c>
      <c r="V893" s="150">
        <f>+YEAR(PROVEEDORES[[#This Row],[FECHA DE FACTURACIÓN]])</f>
        <v>2021</v>
      </c>
      <c r="W893" s="150">
        <f>+MATCH(PROVEEDORES[[#This Row],[año facturado]],Retenciones!$1:$1,0)</f>
        <v>4</v>
      </c>
      <c r="X893" s="151">
        <f>+VLOOKUP(PROVEEDORES[[#This Row],[ID RETENCION]],Retenciones!$A$1:$O$24,PROVEEDORES[[#This Row],[indicador de columna]],FALSE)</f>
        <v>0</v>
      </c>
      <c r="Y893" s="152">
        <f>+VLOOKUP(PROVEEDORES[[#This Row],[ID RETENCION]],Retenciones!$A$1:$O$24,2,FALSE)</f>
        <v>0</v>
      </c>
      <c r="Z893" s="26"/>
      <c r="AA893" s="26"/>
      <c r="AB893" s="26"/>
      <c r="AC893" s="26"/>
      <c r="AD893" s="26"/>
      <c r="AE893" s="26"/>
    </row>
    <row r="894" spans="1:31" ht="21.95" customHeight="1" x14ac:dyDescent="0.25">
      <c r="A894" s="97" t="str">
        <f>+IF(PROVEEDORES[[#This Row],[FECHA DE PAGO]]=PROVEEDORES[[#This Row],[FECHA DE FACTURACIÓN]],"DE CONTADO","CRÉDITO")</f>
        <v>CRÉDITO</v>
      </c>
      <c r="B894" s="41" t="str">
        <f>+IF((PROVEEDORES[[#This Row],[FECHA DE PAGO]]-PROVEEDORES[[#This Row],[FECHA DE FACTURACIÓN]])&gt;PROVEEDORES[[#This Row],[PLAZO Días]],"PAGO VENCIDO")</f>
        <v>PAGO VENCIDO</v>
      </c>
      <c r="C894" s="22">
        <f>+VLOOKUP(PROVEEDORES[[#This Row],[PROVEEDOR]],TERCEROS_INFO[#All],2,FALSE)</f>
        <v>30</v>
      </c>
      <c r="D894" s="27">
        <f>+SUMIFS(PROVEEDORES[Total],PROVEEDORES[PROVEEDOR],PROVEEDORES[[#This Row],[PROVEEDOR]],PROVEEDORES[FECHA DE PAGO],"")</f>
        <v>2588352.5</v>
      </c>
      <c r="E894" s="27"/>
      <c r="F894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894" s="95">
        <v>44537</v>
      </c>
      <c r="H894" s="28" t="s">
        <v>1088</v>
      </c>
      <c r="I894" s="95">
        <v>44490</v>
      </c>
      <c r="J894" s="38">
        <v>23042</v>
      </c>
      <c r="K894" s="23">
        <v>2798870</v>
      </c>
      <c r="L894" s="23">
        <v>110990</v>
      </c>
      <c r="M894" s="24">
        <v>510697.2</v>
      </c>
      <c r="N894" s="25"/>
      <c r="O894" s="24">
        <v>0</v>
      </c>
      <c r="P894" s="136">
        <f>+IF(PROVEEDORES[[#This Row],[SUBTOTAL]]&lt;PROVEEDORES[[#This Row],[base retencion]],0,PROVEEDORES[[#This Row],[retención aplicada]])</f>
        <v>2.5000000000000001E-2</v>
      </c>
      <c r="Q894" s="24">
        <f>+PROVEEDORES[[#This Row],[Rete Fuente %]]*PROVEEDORES[[#This Row],[SUBTOTAL]]</f>
        <v>69971.75</v>
      </c>
      <c r="R894" s="23">
        <v>3131380.2</v>
      </c>
      <c r="S89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4" s="99">
        <f ca="1">IF(PROVEEDORES[[#This Row],[FECHA DE PAGO]]=0,TODAY()-PROVEEDORES[[#This Row],[FECHA DE FACTURACIÓN]]-PROVEEDORES[[#This Row],[PLAZO Días]],0)</f>
        <v>0</v>
      </c>
      <c r="U894" s="149" t="str">
        <f>+VLOOKUP(PROVEEDORES[[#This Row],[PROVEEDOR]],Terceros!$A:$E,5,FALSE)</f>
        <v>2,5% con base</v>
      </c>
      <c r="V894" s="150">
        <f>+YEAR(PROVEEDORES[[#This Row],[FECHA DE FACTURACIÓN]])</f>
        <v>2021</v>
      </c>
      <c r="W894" s="150">
        <f>+MATCH(PROVEEDORES[[#This Row],[año facturado]],Retenciones!$1:$1,0)</f>
        <v>4</v>
      </c>
      <c r="X894" s="151">
        <f>+VLOOKUP(PROVEEDORES[[#This Row],[ID RETENCION]],Retenciones!$A$1:$O$24,PROVEEDORES[[#This Row],[indicador de columna]],FALSE)</f>
        <v>980000</v>
      </c>
      <c r="Y894" s="152">
        <f>+VLOOKUP(PROVEEDORES[[#This Row],[ID RETENCION]],Retenciones!$A$1:$O$24,2,FALSE)</f>
        <v>2.5000000000000001E-2</v>
      </c>
      <c r="Z894" s="26"/>
      <c r="AA894" s="26"/>
      <c r="AB894" s="26"/>
      <c r="AC894" s="26"/>
      <c r="AD894" s="26"/>
      <c r="AE894" s="26"/>
    </row>
    <row r="895" spans="1:31" ht="21.95" customHeight="1" x14ac:dyDescent="0.25">
      <c r="A895" s="97" t="str">
        <f>+IF(PROVEEDORES[[#This Row],[FECHA DE PAGO]]=PROVEEDORES[[#This Row],[FECHA DE FACTURACIÓN]],"DE CONTADO","CRÉDITO")</f>
        <v>CRÉDITO</v>
      </c>
      <c r="B895" s="41" t="str">
        <f>+IF((PROVEEDORES[[#This Row],[FECHA DE PAGO]]-PROVEEDORES[[#This Row],[FECHA DE FACTURACIÓN]])&gt;PROVEEDORES[[#This Row],[PLAZO Días]],"PAGO VENCIDO")</f>
        <v>PAGO VENCIDO</v>
      </c>
      <c r="C895" s="22">
        <f>+VLOOKUP(PROVEEDORES[[#This Row],[PROVEEDOR]],TERCEROS_INFO[#All],2,FALSE)</f>
        <v>30</v>
      </c>
      <c r="D895" s="27">
        <f>+SUMIFS(PROVEEDORES[Total],PROVEEDORES[PROVEEDOR],PROVEEDORES[[#This Row],[PROVEEDOR]],PROVEEDORES[FECHA DE PAGO],"")</f>
        <v>0</v>
      </c>
      <c r="E895" s="27"/>
      <c r="F895" s="62" t="str">
        <f>+VLOOKUP(PROVEEDORES[[#This Row],[PROVEEDOR]],
                       Terceros!$A:$G,
                       6,
                       FALSE)</f>
        <v>supervisorventasbridge@gmail.com;newtimewatches1@gmail.com;girlesa.ruiz@servipilas.com;joriescobar64@gmail.com</v>
      </c>
      <c r="G895" s="95">
        <v>44537</v>
      </c>
      <c r="H895" s="28" t="s">
        <v>135</v>
      </c>
      <c r="I895" s="95">
        <v>44491</v>
      </c>
      <c r="J895" s="38">
        <v>43</v>
      </c>
      <c r="K895" s="23">
        <v>522353</v>
      </c>
      <c r="L895" s="23"/>
      <c r="M895" s="24">
        <v>99247.07</v>
      </c>
      <c r="N895" s="25"/>
      <c r="O895" s="24">
        <v>0</v>
      </c>
      <c r="P895" s="136">
        <f>+IF(PROVEEDORES[[#This Row],[SUBTOTAL]]&lt;PROVEEDORES[[#This Row],[base retencion]],0,PROVEEDORES[[#This Row],[retención aplicada]])</f>
        <v>0</v>
      </c>
      <c r="Q895" s="24">
        <f>+PROVEEDORES[[#This Row],[Rete Fuente %]]*PROVEEDORES[[#This Row],[SUBTOTAL]]</f>
        <v>0</v>
      </c>
      <c r="R895" s="23">
        <v>621600.07000000007</v>
      </c>
      <c r="S89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5" s="99">
        <f ca="1">IF(PROVEEDORES[[#This Row],[FECHA DE PAGO]]=0,TODAY()-PROVEEDORES[[#This Row],[FECHA DE FACTURACIÓN]]-PROVEEDORES[[#This Row],[PLAZO Días]],0)</f>
        <v>0</v>
      </c>
      <c r="U895" s="149" t="str">
        <f>+VLOOKUP(PROVEEDORES[[#This Row],[PROVEEDOR]],Terceros!$A:$E,5,FALSE)</f>
        <v>2,5% con base</v>
      </c>
      <c r="V895" s="150">
        <f>+YEAR(PROVEEDORES[[#This Row],[FECHA DE FACTURACIÓN]])</f>
        <v>2021</v>
      </c>
      <c r="W895" s="150">
        <f>+MATCH(PROVEEDORES[[#This Row],[año facturado]],Retenciones!$1:$1,0)</f>
        <v>4</v>
      </c>
      <c r="X895" s="151">
        <f>+VLOOKUP(PROVEEDORES[[#This Row],[ID RETENCION]],Retenciones!$A$1:$O$24,PROVEEDORES[[#This Row],[indicador de columna]],FALSE)</f>
        <v>980000</v>
      </c>
      <c r="Y895" s="152">
        <f>+VLOOKUP(PROVEEDORES[[#This Row],[ID RETENCION]],Retenciones!$A$1:$O$24,2,FALSE)</f>
        <v>2.5000000000000001E-2</v>
      </c>
      <c r="Z895" s="26"/>
      <c r="AA895" s="26"/>
      <c r="AB895" s="26"/>
      <c r="AC895" s="26"/>
      <c r="AD895" s="26"/>
      <c r="AE895" s="26"/>
    </row>
    <row r="896" spans="1:31" ht="21.95" customHeight="1" x14ac:dyDescent="0.25">
      <c r="A896" s="97" t="str">
        <f>+IF(PROVEEDORES[[#This Row],[FECHA DE PAGO]]=PROVEEDORES[[#This Row],[FECHA DE FACTURACIÓN]],"DE CONTADO","CRÉDITO")</f>
        <v>CRÉDITO</v>
      </c>
      <c r="B896" s="41" t="b">
        <f>+IF((PROVEEDORES[[#This Row],[FECHA DE PAGO]]-PROVEEDORES[[#This Row],[FECHA DE FACTURACIÓN]])&gt;PROVEEDORES[[#This Row],[PLAZO Días]],"PAGO VENCIDO")</f>
        <v>0</v>
      </c>
      <c r="C896" s="22">
        <f>+VLOOKUP(PROVEEDORES[[#This Row],[PROVEEDOR]],TERCEROS_INFO[#All],2,FALSE)</f>
        <v>30</v>
      </c>
      <c r="D896" s="27">
        <f>+SUMIFS(PROVEEDORES[Total],PROVEEDORES[PROVEEDOR],PROVEEDORES[[#This Row],[PROVEEDOR]],PROVEEDORES[FECHA DE PAGO],"")</f>
        <v>0</v>
      </c>
      <c r="E896" s="27"/>
      <c r="F896" s="62" t="str">
        <f>+VLOOKUP(PROVEEDORES[[#This Row],[PROVEEDOR]],
                       Terceros!$A:$G,
                       6,
                       FALSE)</f>
        <v/>
      </c>
      <c r="G896" s="95">
        <v>44492</v>
      </c>
      <c r="H896" s="28" t="s">
        <v>1069</v>
      </c>
      <c r="I896" s="95">
        <v>44491</v>
      </c>
      <c r="J896" s="38" t="s">
        <v>854</v>
      </c>
      <c r="K896" s="23">
        <v>1327986</v>
      </c>
      <c r="L896" s="23"/>
      <c r="M896" s="24">
        <v>0</v>
      </c>
      <c r="N896" s="25"/>
      <c r="O896" s="24">
        <v>0</v>
      </c>
      <c r="P896" s="136">
        <f>+IF(PROVEEDORES[[#This Row],[SUBTOTAL]]&lt;PROVEEDORES[[#This Row],[base retencion]],0,PROVEEDORES[[#This Row],[retención aplicada]])</f>
        <v>0</v>
      </c>
      <c r="Q896" s="24">
        <f>+PROVEEDORES[[#This Row],[Rete Fuente %]]*PROVEEDORES[[#This Row],[SUBTOTAL]]</f>
        <v>0</v>
      </c>
      <c r="R896" s="23">
        <v>1327986</v>
      </c>
      <c r="S89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6" s="99">
        <f ca="1">IF(PROVEEDORES[[#This Row],[FECHA DE PAGO]]=0,TODAY()-PROVEEDORES[[#This Row],[FECHA DE FACTURACIÓN]]-PROVEEDORES[[#This Row],[PLAZO Días]],0)</f>
        <v>0</v>
      </c>
      <c r="U896" s="149">
        <f>+VLOOKUP(PROVEEDORES[[#This Row],[PROVEEDOR]],Terceros!$A:$E,5,FALSE)</f>
        <v>0</v>
      </c>
      <c r="V896" s="150">
        <f>+YEAR(PROVEEDORES[[#This Row],[FECHA DE FACTURACIÓN]])</f>
        <v>2021</v>
      </c>
      <c r="W896" s="150">
        <f>+MATCH(PROVEEDORES[[#This Row],[año facturado]],Retenciones!$1:$1,0)</f>
        <v>4</v>
      </c>
      <c r="X896" s="151">
        <f>+VLOOKUP(PROVEEDORES[[#This Row],[ID RETENCION]],Retenciones!$A$1:$O$24,PROVEEDORES[[#This Row],[indicador de columna]],FALSE)</f>
        <v>0</v>
      </c>
      <c r="Y896" s="152">
        <f>+VLOOKUP(PROVEEDORES[[#This Row],[ID RETENCION]],Retenciones!$A$1:$O$24,2,FALSE)</f>
        <v>0</v>
      </c>
      <c r="Z896" s="26"/>
      <c r="AA896" s="26"/>
      <c r="AB896" s="26"/>
      <c r="AC896" s="26"/>
      <c r="AD896" s="26"/>
      <c r="AE896" s="26"/>
    </row>
    <row r="897" spans="1:31" ht="21.95" customHeight="1" x14ac:dyDescent="0.25">
      <c r="A897" s="97" t="str">
        <f>+IF(PROVEEDORES[[#This Row],[FECHA DE PAGO]]=PROVEEDORES[[#This Row],[FECHA DE FACTURACIÓN]],"DE CONTADO","CRÉDITO")</f>
        <v>CRÉDITO</v>
      </c>
      <c r="B897" s="41" t="b">
        <f>+IF((PROVEEDORES[[#This Row],[FECHA DE PAGO]]-PROVEEDORES[[#This Row],[FECHA DE FACTURACIÓN]])&gt;PROVEEDORES[[#This Row],[PLAZO Días]],"PAGO VENCIDO")</f>
        <v>0</v>
      </c>
      <c r="C897" s="22">
        <f>+VLOOKUP(PROVEEDORES[[#This Row],[PROVEEDOR]],TERCEROS_INFO[#All],2,FALSE)</f>
        <v>30</v>
      </c>
      <c r="D897" s="27">
        <f>+SUMIFS(PROVEEDORES[Total],PROVEEDORES[PROVEEDOR],PROVEEDORES[[#This Row],[PROVEEDOR]],PROVEEDORES[FECHA DE PAGO],"")</f>
        <v>275944.33</v>
      </c>
      <c r="E897" s="27"/>
      <c r="F897" s="62" t="str">
        <f>+VLOOKUP(PROVEEDORES[[#This Row],[PROVEEDOR]],
                       Terceros!$A:$G,
                       6,
                       FALSE)</f>
        <v>facturacion@losmolinos.com.co</v>
      </c>
      <c r="G897" s="95">
        <v>44516</v>
      </c>
      <c r="H897" s="28" t="s">
        <v>342</v>
      </c>
      <c r="I897" s="95">
        <v>44501</v>
      </c>
      <c r="J897" s="38">
        <v>64995</v>
      </c>
      <c r="K897" s="23">
        <v>302624.74</v>
      </c>
      <c r="L897" s="23"/>
      <c r="M897" s="24">
        <v>0</v>
      </c>
      <c r="N897" s="25"/>
      <c r="O897" s="24">
        <v>49511.08</v>
      </c>
      <c r="P897" s="136">
        <f>+IF(PROVEEDORES[[#This Row],[SUBTOTAL]]&lt;PROVEEDORES[[#This Row],[base retencion]],0,PROVEEDORES[[#This Row],[retención aplicada]])</f>
        <v>0</v>
      </c>
      <c r="Q897" s="24">
        <f>+PROVEEDORES[[#This Row],[Rete Fuente %]]*PROVEEDORES[[#This Row],[SUBTOTAL]]</f>
        <v>0</v>
      </c>
      <c r="R897" s="23">
        <v>253113.65999999997</v>
      </c>
      <c r="S89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7" s="99">
        <f ca="1">IF(PROVEEDORES[[#This Row],[FECHA DE PAGO]]=0,TODAY()-PROVEEDORES[[#This Row],[FECHA DE FACTURACIÓN]]-PROVEEDORES[[#This Row],[PLAZO Días]],0)</f>
        <v>0</v>
      </c>
      <c r="U897" s="149">
        <f>+VLOOKUP(PROVEEDORES[[#This Row],[PROVEEDOR]],Terceros!$A:$E,5,FALSE)</f>
        <v>0</v>
      </c>
      <c r="V897" s="150">
        <f>+YEAR(PROVEEDORES[[#This Row],[FECHA DE FACTURACIÓN]])</f>
        <v>2021</v>
      </c>
      <c r="W897" s="150">
        <f>+MATCH(PROVEEDORES[[#This Row],[año facturado]],Retenciones!$1:$1,0)</f>
        <v>4</v>
      </c>
      <c r="X897" s="151">
        <f>+VLOOKUP(PROVEEDORES[[#This Row],[ID RETENCION]],Retenciones!$A$1:$O$24,PROVEEDORES[[#This Row],[indicador de columna]],FALSE)</f>
        <v>0</v>
      </c>
      <c r="Y897" s="152">
        <f>+VLOOKUP(PROVEEDORES[[#This Row],[ID RETENCION]],Retenciones!$A$1:$O$24,2,FALSE)</f>
        <v>0</v>
      </c>
      <c r="Z897" s="26"/>
      <c r="AA897" s="26"/>
      <c r="AB897" s="26"/>
      <c r="AC897" s="26"/>
      <c r="AD897" s="26"/>
      <c r="AE897" s="26"/>
    </row>
    <row r="898" spans="1:31" ht="21.95" customHeight="1" x14ac:dyDescent="0.25">
      <c r="A898" s="97" t="str">
        <f>+IF(PROVEEDORES[[#This Row],[FECHA DE PAGO]]=PROVEEDORES[[#This Row],[FECHA DE FACTURACIÓN]],"DE CONTADO","CRÉDITO")</f>
        <v>CRÉDITO</v>
      </c>
      <c r="B898" s="41" t="str">
        <f>+IF((PROVEEDORES[[#This Row],[FECHA DE PAGO]]-PROVEEDORES[[#This Row],[FECHA DE FACTURACIÓN]])&gt;PROVEEDORES[[#This Row],[PLAZO Días]],"PAGO VENCIDO")</f>
        <v>PAGO VENCIDO</v>
      </c>
      <c r="C898" s="22">
        <f>+VLOOKUP(PROVEEDORES[[#This Row],[PROVEEDOR]],TERCEROS_INFO[#All],2,FALSE)</f>
        <v>30</v>
      </c>
      <c r="D898" s="27">
        <f>+SUMIFS(PROVEEDORES[Total],PROVEEDORES[PROVEEDOR],PROVEEDORES[[#This Row],[PROVEEDOR]],PROVEEDORES[FECHA DE PAGO],"")</f>
        <v>4965738.5050000008</v>
      </c>
      <c r="E898" s="27"/>
      <c r="F898" s="62" t="str">
        <f>+VLOOKUP(PROVEEDORES[[#This Row],[PROVEEDOR]],
                       Terceros!$A:$G,
                       6,
                       FALSE)</f>
        <v>aleja-1305agudelo@hotmail.com;provecol@une.net.co;girlesa.ruiz@servipilas.com;joriescobar64@gmail.com</v>
      </c>
      <c r="G898" s="95">
        <v>44533</v>
      </c>
      <c r="H898" s="28" t="s">
        <v>457</v>
      </c>
      <c r="I898" s="95">
        <v>44492</v>
      </c>
      <c r="J898" s="38">
        <v>147039</v>
      </c>
      <c r="K898" s="23">
        <v>3784145</v>
      </c>
      <c r="L898" s="23"/>
      <c r="M898" s="24">
        <v>718987.55</v>
      </c>
      <c r="N898" s="25"/>
      <c r="O898" s="24">
        <v>0</v>
      </c>
      <c r="P898" s="136">
        <f>+IF(PROVEEDORES[[#This Row],[SUBTOTAL]]&lt;PROVEEDORES[[#This Row],[base retencion]],0,PROVEEDORES[[#This Row],[retención aplicada]])</f>
        <v>0</v>
      </c>
      <c r="Q898" s="24">
        <f>+PROVEEDORES[[#This Row],[Rete Fuente %]]*PROVEEDORES[[#This Row],[SUBTOTAL]]</f>
        <v>0</v>
      </c>
      <c r="R898" s="23">
        <v>4503132.55</v>
      </c>
      <c r="S89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8" s="99">
        <f ca="1">IF(PROVEEDORES[[#This Row],[FECHA DE PAGO]]=0,TODAY()-PROVEEDORES[[#This Row],[FECHA DE FACTURACIÓN]]-PROVEEDORES[[#This Row],[PLAZO Días]],0)</f>
        <v>0</v>
      </c>
      <c r="U898" s="149">
        <f>+VLOOKUP(PROVEEDORES[[#This Row],[PROVEEDOR]],Terceros!$A:$E,5,FALSE)</f>
        <v>0</v>
      </c>
      <c r="V898" s="150">
        <f>+YEAR(PROVEEDORES[[#This Row],[FECHA DE FACTURACIÓN]])</f>
        <v>2021</v>
      </c>
      <c r="W898" s="150">
        <f>+MATCH(PROVEEDORES[[#This Row],[año facturado]],Retenciones!$1:$1,0)</f>
        <v>4</v>
      </c>
      <c r="X898" s="151">
        <f>+VLOOKUP(PROVEEDORES[[#This Row],[ID RETENCION]],Retenciones!$A$1:$O$24,PROVEEDORES[[#This Row],[indicador de columna]],FALSE)</f>
        <v>0</v>
      </c>
      <c r="Y898" s="152">
        <f>+VLOOKUP(PROVEEDORES[[#This Row],[ID RETENCION]],Retenciones!$A$1:$O$24,2,FALSE)</f>
        <v>0</v>
      </c>
      <c r="Z898" s="26"/>
      <c r="AA898" s="26"/>
      <c r="AB898" s="26"/>
      <c r="AC898" s="26"/>
      <c r="AD898" s="26"/>
      <c r="AE898" s="26"/>
    </row>
    <row r="899" spans="1:31" ht="21.95" customHeight="1" x14ac:dyDescent="0.25">
      <c r="A899" s="97" t="str">
        <f>+IF(PROVEEDORES[[#This Row],[FECHA DE PAGO]]=PROVEEDORES[[#This Row],[FECHA DE FACTURACIÓN]],"DE CONTADO","CRÉDITO")</f>
        <v>CRÉDITO</v>
      </c>
      <c r="B899" s="41" t="b">
        <f>+IF((PROVEEDORES[[#This Row],[FECHA DE PAGO]]-PROVEEDORES[[#This Row],[FECHA DE FACTURACIÓN]])&gt;PROVEEDORES[[#This Row],[PLAZO Días]],"PAGO VENCIDO")</f>
        <v>0</v>
      </c>
      <c r="C899" s="22">
        <f>+VLOOKUP(PROVEEDORES[[#This Row],[PROVEEDOR]],TERCEROS_INFO[#All],2,FALSE)</f>
        <v>30</v>
      </c>
      <c r="D899" s="27">
        <f>+SUMIFS(PROVEEDORES[Total],PROVEEDORES[PROVEEDOR],PROVEEDORES[[#This Row],[PROVEEDOR]],PROVEEDORES[FECHA DE PAGO],"")</f>
        <v>264406</v>
      </c>
      <c r="E899" s="27"/>
      <c r="F899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899" s="95">
        <v>44494</v>
      </c>
      <c r="H899" s="28" t="s">
        <v>390</v>
      </c>
      <c r="I899" s="95">
        <v>44493</v>
      </c>
      <c r="J899" s="38" t="s">
        <v>596</v>
      </c>
      <c r="K899" s="23">
        <v>1141000</v>
      </c>
      <c r="L899" s="23"/>
      <c r="M899" s="24">
        <v>0</v>
      </c>
      <c r="N899" s="25"/>
      <c r="O899" s="24">
        <v>0</v>
      </c>
      <c r="P899" s="136">
        <f>+IF(PROVEEDORES[[#This Row],[SUBTOTAL]]&lt;PROVEEDORES[[#This Row],[base retencion]],0,PROVEEDORES[[#This Row],[retención aplicada]])</f>
        <v>0</v>
      </c>
      <c r="Q899" s="24">
        <f>+PROVEEDORES[[#This Row],[Rete Fuente %]]*PROVEEDORES[[#This Row],[SUBTOTAL]]</f>
        <v>0</v>
      </c>
      <c r="R899" s="23">
        <v>1141000</v>
      </c>
      <c r="S89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9" s="99">
        <f ca="1">IF(PROVEEDORES[[#This Row],[FECHA DE PAGO]]=0,TODAY()-PROVEEDORES[[#This Row],[FECHA DE FACTURACIÓN]]-PROVEEDORES[[#This Row],[PLAZO Días]],0)</f>
        <v>0</v>
      </c>
      <c r="U899" s="149">
        <f>+VLOOKUP(PROVEEDORES[[#This Row],[PROVEEDOR]],Terceros!$A:$E,5,FALSE)</f>
        <v>0</v>
      </c>
      <c r="V899" s="150">
        <f>+YEAR(PROVEEDORES[[#This Row],[FECHA DE FACTURACIÓN]])</f>
        <v>2021</v>
      </c>
      <c r="W899" s="150">
        <f>+MATCH(PROVEEDORES[[#This Row],[año facturado]],Retenciones!$1:$1,0)</f>
        <v>4</v>
      </c>
      <c r="X899" s="151">
        <f>+VLOOKUP(PROVEEDORES[[#This Row],[ID RETENCION]],Retenciones!$A$1:$O$24,PROVEEDORES[[#This Row],[indicador de columna]],FALSE)</f>
        <v>0</v>
      </c>
      <c r="Y899" s="152">
        <f>+VLOOKUP(PROVEEDORES[[#This Row],[ID RETENCION]],Retenciones!$A$1:$O$24,2,FALSE)</f>
        <v>0</v>
      </c>
      <c r="Z899" s="26"/>
      <c r="AA899" s="26"/>
      <c r="AB899" s="26"/>
      <c r="AC899" s="26"/>
      <c r="AD899" s="26"/>
      <c r="AE899" s="26"/>
    </row>
    <row r="900" spans="1:31" ht="21.95" customHeight="1" x14ac:dyDescent="0.25">
      <c r="A900" s="97" t="str">
        <f>+IF(PROVEEDORES[[#This Row],[FECHA DE PAGO]]=PROVEEDORES[[#This Row],[FECHA DE FACTURACIÓN]],"DE CONTADO","CRÉDITO")</f>
        <v>CRÉDITO</v>
      </c>
      <c r="B900" s="41" t="b">
        <f>+IF((PROVEEDORES[[#This Row],[FECHA DE PAGO]]-PROVEEDORES[[#This Row],[FECHA DE FACTURACIÓN]])&gt;PROVEEDORES[[#This Row],[PLAZO Días]],"PAGO VENCIDO")</f>
        <v>0</v>
      </c>
      <c r="C900" s="22">
        <f>+VLOOKUP(PROVEEDORES[[#This Row],[PROVEEDOR]],TERCEROS_INFO[#All],2,FALSE)</f>
        <v>30</v>
      </c>
      <c r="D900" s="27">
        <f>+SUMIFS(PROVEEDORES[Total],PROVEEDORES[PROVEEDOR],PROVEEDORES[[#This Row],[PROVEEDOR]],PROVEEDORES[FECHA DE PAGO],"")</f>
        <v>0</v>
      </c>
      <c r="E900" s="27"/>
      <c r="F900" s="62" t="str">
        <f>+VLOOKUP(PROVEEDORES[[#This Row],[PROVEEDOR]],
                       Terceros!$A:$G,
                       6,
                       FALSE)</f>
        <v/>
      </c>
      <c r="G900" s="95">
        <v>44494</v>
      </c>
      <c r="H900" s="28" t="s">
        <v>54</v>
      </c>
      <c r="I900" s="95">
        <v>44493</v>
      </c>
      <c r="J900" s="38">
        <v>285759</v>
      </c>
      <c r="K900" s="23">
        <v>4847000</v>
      </c>
      <c r="L900" s="23"/>
      <c r="M900" s="24">
        <v>0</v>
      </c>
      <c r="N900" s="25"/>
      <c r="O900" s="24">
        <v>0</v>
      </c>
      <c r="P900" s="136">
        <f>+IF(PROVEEDORES[[#This Row],[SUBTOTAL]]&lt;PROVEEDORES[[#This Row],[base retencion]],0,PROVEEDORES[[#This Row],[retención aplicada]])</f>
        <v>0</v>
      </c>
      <c r="Q900" s="24">
        <f>+PROVEEDORES[[#This Row],[Rete Fuente %]]*PROVEEDORES[[#This Row],[SUBTOTAL]]</f>
        <v>0</v>
      </c>
      <c r="R900" s="23">
        <v>4847000</v>
      </c>
      <c r="S90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0" s="99">
        <f ca="1">IF(PROVEEDORES[[#This Row],[FECHA DE PAGO]]=0,TODAY()-PROVEEDORES[[#This Row],[FECHA DE FACTURACIÓN]]-PROVEEDORES[[#This Row],[PLAZO Días]],0)</f>
        <v>0</v>
      </c>
      <c r="U900" s="149">
        <f>+VLOOKUP(PROVEEDORES[[#This Row],[PROVEEDOR]],Terceros!$A:$E,5,FALSE)</f>
        <v>0</v>
      </c>
      <c r="V900" s="150">
        <f>+YEAR(PROVEEDORES[[#This Row],[FECHA DE FACTURACIÓN]])</f>
        <v>2021</v>
      </c>
      <c r="W900" s="150">
        <f>+MATCH(PROVEEDORES[[#This Row],[año facturado]],Retenciones!$1:$1,0)</f>
        <v>4</v>
      </c>
      <c r="X900" s="151">
        <f>+VLOOKUP(PROVEEDORES[[#This Row],[ID RETENCION]],Retenciones!$A$1:$O$24,PROVEEDORES[[#This Row],[indicador de columna]],FALSE)</f>
        <v>0</v>
      </c>
      <c r="Y900" s="152">
        <f>+VLOOKUP(PROVEEDORES[[#This Row],[ID RETENCION]],Retenciones!$A$1:$O$24,2,FALSE)</f>
        <v>0</v>
      </c>
      <c r="Z900" s="26"/>
      <c r="AA900" s="26"/>
      <c r="AB900" s="26"/>
      <c r="AC900" s="26"/>
      <c r="AD900" s="26"/>
      <c r="AE900" s="26"/>
    </row>
    <row r="901" spans="1:31" ht="21.95" customHeight="1" x14ac:dyDescent="0.25">
      <c r="A901" s="97" t="str">
        <f>+IF(PROVEEDORES[[#This Row],[FECHA DE PAGO]]=PROVEEDORES[[#This Row],[FECHA DE FACTURACIÓN]],"DE CONTADO","CRÉDITO")</f>
        <v>CRÉDITO</v>
      </c>
      <c r="B901" s="41" t="str">
        <f>+IF((PROVEEDORES[[#This Row],[FECHA DE PAGO]]-PROVEEDORES[[#This Row],[FECHA DE FACTURACIÓN]])&gt;PROVEEDORES[[#This Row],[PLAZO Días]],"PAGO VENCIDO")</f>
        <v>PAGO VENCIDO</v>
      </c>
      <c r="C901" s="22">
        <f>+VLOOKUP(PROVEEDORES[[#This Row],[PROVEEDOR]],TERCEROS_INFO[#All],2,FALSE)</f>
        <v>30</v>
      </c>
      <c r="D901" s="27">
        <f>+SUMIFS(PROVEEDORES[Total],PROVEEDORES[PROVEEDOR],PROVEEDORES[[#This Row],[PROVEEDOR]],PROVEEDORES[FECHA DE PAGO],"")</f>
        <v>4965738.5050000008</v>
      </c>
      <c r="E901" s="27"/>
      <c r="F901" s="62" t="str">
        <f>+VLOOKUP(PROVEEDORES[[#This Row],[PROVEEDOR]],
                       Terceros!$A:$G,
                       6,
                       FALSE)</f>
        <v>aleja-1305agudelo@hotmail.com;provecol@une.net.co;girlesa.ruiz@servipilas.com;joriescobar64@gmail.com</v>
      </c>
      <c r="G901" s="95">
        <v>44533</v>
      </c>
      <c r="H901" s="28" t="s">
        <v>457</v>
      </c>
      <c r="I901" s="95">
        <v>44494</v>
      </c>
      <c r="J901" s="38">
        <v>147279</v>
      </c>
      <c r="K901" s="23">
        <v>370237</v>
      </c>
      <c r="L901" s="23"/>
      <c r="M901" s="24">
        <v>70345.03</v>
      </c>
      <c r="N901" s="25"/>
      <c r="O901" s="24">
        <v>0</v>
      </c>
      <c r="P901" s="136">
        <f>+IF(PROVEEDORES[[#This Row],[SUBTOTAL]]&lt;PROVEEDORES[[#This Row],[base retencion]],0,PROVEEDORES[[#This Row],[retención aplicada]])</f>
        <v>0</v>
      </c>
      <c r="Q901" s="24">
        <f>+PROVEEDORES[[#This Row],[Rete Fuente %]]*PROVEEDORES[[#This Row],[SUBTOTAL]]</f>
        <v>0</v>
      </c>
      <c r="R901" s="23">
        <v>440582.03</v>
      </c>
      <c r="S90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1" s="99">
        <f ca="1">IF(PROVEEDORES[[#This Row],[FECHA DE PAGO]]=0,TODAY()-PROVEEDORES[[#This Row],[FECHA DE FACTURACIÓN]]-PROVEEDORES[[#This Row],[PLAZO Días]],0)</f>
        <v>0</v>
      </c>
      <c r="U901" s="149">
        <f>+VLOOKUP(PROVEEDORES[[#This Row],[PROVEEDOR]],Terceros!$A:$E,5,FALSE)</f>
        <v>0</v>
      </c>
      <c r="V901" s="150">
        <f>+YEAR(PROVEEDORES[[#This Row],[FECHA DE FACTURACIÓN]])</f>
        <v>2021</v>
      </c>
      <c r="W901" s="150">
        <f>+MATCH(PROVEEDORES[[#This Row],[año facturado]],Retenciones!$1:$1,0)</f>
        <v>4</v>
      </c>
      <c r="X901" s="151">
        <f>+VLOOKUP(PROVEEDORES[[#This Row],[ID RETENCION]],Retenciones!$A$1:$O$24,PROVEEDORES[[#This Row],[indicador de columna]],FALSE)</f>
        <v>0</v>
      </c>
      <c r="Y901" s="152">
        <f>+VLOOKUP(PROVEEDORES[[#This Row],[ID RETENCION]],Retenciones!$A$1:$O$24,2,FALSE)</f>
        <v>0</v>
      </c>
      <c r="Z901" s="26"/>
      <c r="AA901" s="26"/>
      <c r="AB901" s="26"/>
      <c r="AC901" s="26"/>
      <c r="AD901" s="26"/>
      <c r="AE901" s="26"/>
    </row>
    <row r="902" spans="1:31" ht="21.95" customHeight="1" x14ac:dyDescent="0.25">
      <c r="A902" s="97" t="str">
        <f>+IF(PROVEEDORES[[#This Row],[FECHA DE PAGO]]=PROVEEDORES[[#This Row],[FECHA DE FACTURACIÓN]],"DE CONTADO","CRÉDITO")</f>
        <v>CRÉDITO</v>
      </c>
      <c r="B902" s="41" t="str">
        <f>+IF((PROVEEDORES[[#This Row],[FECHA DE PAGO]]-PROVEEDORES[[#This Row],[FECHA DE FACTURACIÓN]])&gt;PROVEEDORES[[#This Row],[PLAZO Días]],"PAGO VENCIDO")</f>
        <v>PAGO VENCIDO</v>
      </c>
      <c r="C902" s="22">
        <f>+VLOOKUP(PROVEEDORES[[#This Row],[PROVEEDOR]],TERCEROS_INFO[#All],2,FALSE)</f>
        <v>30</v>
      </c>
      <c r="D902" s="27">
        <f>+SUMIFS(PROVEEDORES[Total],PROVEEDORES[PROVEEDOR],PROVEEDORES[[#This Row],[PROVEEDOR]],PROVEEDORES[FECHA DE PAGO],"")</f>
        <v>833999.83799999999</v>
      </c>
      <c r="E902" s="27"/>
      <c r="F902" s="62" t="str">
        <f>+VLOOKUP(PROVEEDORES[[#This Row],[PROVEEDOR]],
                       Terceros!$A:$G,
                       6,
                       FALSE)</f>
        <v>juan.suarez@cosostenible.com;girlesa.ruiz@servipilas.com;joriescobar64@gmail.com</v>
      </c>
      <c r="G902" s="95">
        <v>44533</v>
      </c>
      <c r="H902" s="28" t="s">
        <v>50</v>
      </c>
      <c r="I902" s="95">
        <v>44494</v>
      </c>
      <c r="J902" s="38">
        <v>4554</v>
      </c>
      <c r="K902" s="23">
        <v>617646.41</v>
      </c>
      <c r="L902" s="23"/>
      <c r="M902" s="24">
        <v>117352.81790000001</v>
      </c>
      <c r="N902" s="25"/>
      <c r="O902" s="24">
        <v>0</v>
      </c>
      <c r="P902" s="136">
        <f>+IF(PROVEEDORES[[#This Row],[SUBTOTAL]]&lt;PROVEEDORES[[#This Row],[base retencion]],0,PROVEEDORES[[#This Row],[retención aplicada]])</f>
        <v>0</v>
      </c>
      <c r="Q902" s="24">
        <f>+PROVEEDORES[[#This Row],[Rete Fuente %]]*PROVEEDORES[[#This Row],[SUBTOTAL]]</f>
        <v>0</v>
      </c>
      <c r="R902" s="23">
        <v>734999.22790000006</v>
      </c>
      <c r="S90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2" s="99">
        <f ca="1">IF(PROVEEDORES[[#This Row],[FECHA DE PAGO]]=0,TODAY()-PROVEEDORES[[#This Row],[FECHA DE FACTURACIÓN]]-PROVEEDORES[[#This Row],[PLAZO Días]],0)</f>
        <v>0</v>
      </c>
      <c r="U902" s="149" t="str">
        <f>+VLOOKUP(PROVEEDORES[[#This Row],[PROVEEDOR]],Terceros!$A:$E,5,FALSE)</f>
        <v>2,5% con base</v>
      </c>
      <c r="V902" s="150">
        <f>+YEAR(PROVEEDORES[[#This Row],[FECHA DE FACTURACIÓN]])</f>
        <v>2021</v>
      </c>
      <c r="W902" s="150">
        <f>+MATCH(PROVEEDORES[[#This Row],[año facturado]],Retenciones!$1:$1,0)</f>
        <v>4</v>
      </c>
      <c r="X902" s="151">
        <f>+VLOOKUP(PROVEEDORES[[#This Row],[ID RETENCION]],Retenciones!$A$1:$O$24,PROVEEDORES[[#This Row],[indicador de columna]],FALSE)</f>
        <v>980000</v>
      </c>
      <c r="Y902" s="152">
        <f>+VLOOKUP(PROVEEDORES[[#This Row],[ID RETENCION]],Retenciones!$A$1:$O$24,2,FALSE)</f>
        <v>2.5000000000000001E-2</v>
      </c>
      <c r="Z902" s="26"/>
      <c r="AA902" s="26"/>
      <c r="AB902" s="26"/>
      <c r="AC902" s="26"/>
      <c r="AD902" s="26"/>
      <c r="AE902" s="26"/>
    </row>
    <row r="903" spans="1:31" ht="21.95" customHeight="1" x14ac:dyDescent="0.25">
      <c r="A903" s="97" t="str">
        <f>+IF(PROVEEDORES[[#This Row],[FECHA DE PAGO]]=PROVEEDORES[[#This Row],[FECHA DE FACTURACIÓN]],"DE CONTADO","CRÉDITO")</f>
        <v>CRÉDITO</v>
      </c>
      <c r="B903" s="41" t="str">
        <f>+IF((PROVEEDORES[[#This Row],[FECHA DE PAGO]]-PROVEEDORES[[#This Row],[FECHA DE FACTURACIÓN]])&gt;PROVEEDORES[[#This Row],[PLAZO Días]],"PAGO VENCIDO")</f>
        <v>PAGO VENCIDO</v>
      </c>
      <c r="C903" s="22">
        <f>+VLOOKUP(PROVEEDORES[[#This Row],[PROVEEDOR]],TERCEROS_INFO[#All],2,FALSE)</f>
        <v>30</v>
      </c>
      <c r="D903" s="27">
        <f>+SUMIFS(PROVEEDORES[Total],PROVEEDORES[PROVEEDOR],PROVEEDORES[[#This Row],[PROVEEDOR]],PROVEEDORES[FECHA DE PAGO],"")</f>
        <v>0</v>
      </c>
      <c r="E903" s="27"/>
      <c r="F903" s="62" t="str">
        <f>+VLOOKUP(PROVEEDORES[[#This Row],[PROVEEDOR]],
                       Terceros!$A:$G,
                       6,
                       FALSE)</f>
        <v>avelinacomer@gmail.com;girlesa.ruiz@servipilas.com;joriescobar64@gmail.com</v>
      </c>
      <c r="G903" s="95">
        <v>44546</v>
      </c>
      <c r="H903" s="28" t="s">
        <v>994</v>
      </c>
      <c r="I903" s="95">
        <v>44494</v>
      </c>
      <c r="J903" s="38" t="s">
        <v>858</v>
      </c>
      <c r="K903" s="23">
        <v>740200</v>
      </c>
      <c r="L903" s="23"/>
      <c r="M903" s="24">
        <v>0</v>
      </c>
      <c r="N903" s="25"/>
      <c r="O903" s="24">
        <v>0</v>
      </c>
      <c r="P903" s="136">
        <f>+IF(PROVEEDORES[[#This Row],[SUBTOTAL]]&lt;PROVEEDORES[[#This Row],[base retencion]],0,PROVEEDORES[[#This Row],[retención aplicada]])</f>
        <v>0</v>
      </c>
      <c r="Q903" s="24">
        <f>+PROVEEDORES[[#This Row],[Rete Fuente %]]*PROVEEDORES[[#This Row],[SUBTOTAL]]</f>
        <v>0</v>
      </c>
      <c r="R903" s="23">
        <v>740200</v>
      </c>
      <c r="S90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3" s="99">
        <f ca="1">IF(PROVEEDORES[[#This Row],[FECHA DE PAGO]]=0,TODAY()-PROVEEDORES[[#This Row],[FECHA DE FACTURACIÓN]]-PROVEEDORES[[#This Row],[PLAZO Días]],0)</f>
        <v>0</v>
      </c>
      <c r="U903" s="149">
        <f>+VLOOKUP(PROVEEDORES[[#This Row],[PROVEEDOR]],Terceros!$A:$E,5,FALSE)</f>
        <v>0</v>
      </c>
      <c r="V903" s="150">
        <f>+YEAR(PROVEEDORES[[#This Row],[FECHA DE FACTURACIÓN]])</f>
        <v>2021</v>
      </c>
      <c r="W903" s="150">
        <f>+MATCH(PROVEEDORES[[#This Row],[año facturado]],Retenciones!$1:$1,0)</f>
        <v>4</v>
      </c>
      <c r="X903" s="151">
        <f>+VLOOKUP(PROVEEDORES[[#This Row],[ID RETENCION]],Retenciones!$A$1:$O$24,PROVEEDORES[[#This Row],[indicador de columna]],FALSE)</f>
        <v>0</v>
      </c>
      <c r="Y903" s="152">
        <f>+VLOOKUP(PROVEEDORES[[#This Row],[ID RETENCION]],Retenciones!$A$1:$O$24,2,FALSE)</f>
        <v>0</v>
      </c>
      <c r="Z903" s="26"/>
      <c r="AA903" s="26"/>
      <c r="AB903" s="26"/>
      <c r="AC903" s="26"/>
      <c r="AD903" s="26"/>
      <c r="AE903" s="26"/>
    </row>
    <row r="904" spans="1:31" ht="21.95" customHeight="1" x14ac:dyDescent="0.25">
      <c r="A904" s="97" t="str">
        <f>+IF(PROVEEDORES[[#This Row],[FECHA DE PAGO]]=PROVEEDORES[[#This Row],[FECHA DE FACTURACIÓN]],"DE CONTADO","CRÉDITO")</f>
        <v>CRÉDITO</v>
      </c>
      <c r="B904" s="41" t="str">
        <f>+IF((PROVEEDORES[[#This Row],[FECHA DE PAGO]]-PROVEEDORES[[#This Row],[FECHA DE FACTURACIÓN]])&gt;PROVEEDORES[[#This Row],[PLAZO Días]],"PAGO VENCIDO")</f>
        <v>PAGO VENCIDO</v>
      </c>
      <c r="C904" s="22">
        <f>+VLOOKUP(PROVEEDORES[[#This Row],[PROVEEDOR]],TERCEROS_INFO[#All],2,FALSE)</f>
        <v>30</v>
      </c>
      <c r="D904" s="27">
        <f>+SUMIFS(PROVEEDORES[Total],PROVEEDORES[PROVEEDOR],PROVEEDORES[[#This Row],[PROVEEDOR]],PROVEEDORES[FECHA DE PAGO],"")</f>
        <v>0</v>
      </c>
      <c r="E904" s="27"/>
      <c r="F904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904" s="95">
        <v>44530</v>
      </c>
      <c r="H904" s="28" t="s">
        <v>569</v>
      </c>
      <c r="I904" s="95">
        <v>44494</v>
      </c>
      <c r="J904" s="38" t="s">
        <v>570</v>
      </c>
      <c r="K904" s="23">
        <v>1152264</v>
      </c>
      <c r="L904" s="23"/>
      <c r="M904" s="24">
        <v>218930.16</v>
      </c>
      <c r="N904" s="25"/>
      <c r="O904" s="24">
        <v>0</v>
      </c>
      <c r="P904" s="136">
        <f>+IF(PROVEEDORES[[#This Row],[SUBTOTAL]]&lt;PROVEEDORES[[#This Row],[base retencion]],0,PROVEEDORES[[#This Row],[retención aplicada]])</f>
        <v>0</v>
      </c>
      <c r="Q904" s="24">
        <f>+PROVEEDORES[[#This Row],[Rete Fuente %]]*PROVEEDORES[[#This Row],[SUBTOTAL]]</f>
        <v>0</v>
      </c>
      <c r="R904" s="23">
        <v>1371194.16</v>
      </c>
      <c r="S90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4" s="99">
        <f ca="1">IF(PROVEEDORES[[#This Row],[FECHA DE PAGO]]=0,TODAY()-PROVEEDORES[[#This Row],[FECHA DE FACTURACIÓN]]-PROVEEDORES[[#This Row],[PLAZO Días]],0)</f>
        <v>0</v>
      </c>
      <c r="U904" s="149">
        <f>+VLOOKUP(PROVEEDORES[[#This Row],[PROVEEDOR]],Terceros!$A:$E,5,FALSE)</f>
        <v>0</v>
      </c>
      <c r="V904" s="150">
        <f>+YEAR(PROVEEDORES[[#This Row],[FECHA DE FACTURACIÓN]])</f>
        <v>2021</v>
      </c>
      <c r="W904" s="150">
        <f>+MATCH(PROVEEDORES[[#This Row],[año facturado]],Retenciones!$1:$1,0)</f>
        <v>4</v>
      </c>
      <c r="X904" s="151">
        <f>+VLOOKUP(PROVEEDORES[[#This Row],[ID RETENCION]],Retenciones!$A$1:$O$24,PROVEEDORES[[#This Row],[indicador de columna]],FALSE)</f>
        <v>0</v>
      </c>
      <c r="Y904" s="152">
        <f>+VLOOKUP(PROVEEDORES[[#This Row],[ID RETENCION]],Retenciones!$A$1:$O$24,2,FALSE)</f>
        <v>0</v>
      </c>
      <c r="Z904" s="26"/>
      <c r="AA904" s="26"/>
      <c r="AB904" s="26"/>
      <c r="AC904" s="26"/>
      <c r="AD904" s="26"/>
      <c r="AE904" s="26"/>
    </row>
    <row r="905" spans="1:31" ht="21.95" customHeight="1" x14ac:dyDescent="0.25">
      <c r="A905" s="97" t="str">
        <f>+IF(PROVEEDORES[[#This Row],[FECHA DE PAGO]]=PROVEEDORES[[#This Row],[FECHA DE FACTURACIÓN]],"DE CONTADO","CRÉDITO")</f>
        <v>CRÉDITO</v>
      </c>
      <c r="B905" s="41" t="str">
        <f>+IF((PROVEEDORES[[#This Row],[FECHA DE PAGO]]-PROVEEDORES[[#This Row],[FECHA DE FACTURACIÓN]])&gt;PROVEEDORES[[#This Row],[PLAZO Días]],"PAGO VENCIDO")</f>
        <v>PAGO VENCIDO</v>
      </c>
      <c r="C905" s="22">
        <f>+VLOOKUP(PROVEEDORES[[#This Row],[PROVEEDOR]],TERCEROS_INFO[#All],2,FALSE)</f>
        <v>30</v>
      </c>
      <c r="D905" s="27">
        <f>+SUMIFS(PROVEEDORES[Total],PROVEEDORES[PROVEEDOR],PROVEEDORES[[#This Row],[PROVEEDOR]],PROVEEDORES[FECHA DE PAGO],"")</f>
        <v>0</v>
      </c>
      <c r="E905" s="27"/>
      <c r="F905" s="62" t="str">
        <f>+VLOOKUP(PROVEEDORES[[#This Row],[PROVEEDOR]],
                       Terceros!$A:$G,
                       6,
                       FALSE)</f>
        <v/>
      </c>
      <c r="G905" s="95">
        <v>44552</v>
      </c>
      <c r="H905" s="28" t="s">
        <v>986</v>
      </c>
      <c r="I905" s="95">
        <v>44494</v>
      </c>
      <c r="J905" s="38" t="s">
        <v>857</v>
      </c>
      <c r="K905" s="23">
        <v>1255000</v>
      </c>
      <c r="L905" s="23"/>
      <c r="M905" s="24">
        <v>0</v>
      </c>
      <c r="N905" s="25">
        <v>0.05</v>
      </c>
      <c r="O905" s="24">
        <v>62750</v>
      </c>
      <c r="P905" s="136">
        <f>+IF(PROVEEDORES[[#This Row],[SUBTOTAL]]&lt;PROVEEDORES[[#This Row],[base retencion]],0,PROVEEDORES[[#This Row],[retención aplicada]])</f>
        <v>0</v>
      </c>
      <c r="Q905" s="24">
        <f>+PROVEEDORES[[#This Row],[Rete Fuente %]]*PROVEEDORES[[#This Row],[SUBTOTAL]]</f>
        <v>0</v>
      </c>
      <c r="R905" s="23">
        <v>1192250</v>
      </c>
      <c r="S90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5" s="99">
        <f ca="1">IF(PROVEEDORES[[#This Row],[FECHA DE PAGO]]=0,TODAY()-PROVEEDORES[[#This Row],[FECHA DE FACTURACIÓN]]-PROVEEDORES[[#This Row],[PLAZO Días]],0)</f>
        <v>0</v>
      </c>
      <c r="U905" s="149">
        <f>+VLOOKUP(PROVEEDORES[[#This Row],[PROVEEDOR]],Terceros!$A:$E,5,FALSE)</f>
        <v>0</v>
      </c>
      <c r="V905" s="150">
        <f>+YEAR(PROVEEDORES[[#This Row],[FECHA DE FACTURACIÓN]])</f>
        <v>2021</v>
      </c>
      <c r="W905" s="150">
        <f>+MATCH(PROVEEDORES[[#This Row],[año facturado]],Retenciones!$1:$1,0)</f>
        <v>4</v>
      </c>
      <c r="X905" s="151">
        <f>+VLOOKUP(PROVEEDORES[[#This Row],[ID RETENCION]],Retenciones!$A$1:$O$24,PROVEEDORES[[#This Row],[indicador de columna]],FALSE)</f>
        <v>0</v>
      </c>
      <c r="Y905" s="152">
        <f>+VLOOKUP(PROVEEDORES[[#This Row],[ID RETENCION]],Retenciones!$A$1:$O$24,2,FALSE)</f>
        <v>0</v>
      </c>
      <c r="Z905" s="26"/>
      <c r="AA905" s="26"/>
      <c r="AB905" s="26"/>
      <c r="AC905" s="26"/>
      <c r="AD905" s="26"/>
      <c r="AE905" s="26"/>
    </row>
    <row r="906" spans="1:31" ht="21.95" customHeight="1" x14ac:dyDescent="0.25">
      <c r="A906" s="97" t="str">
        <f>+IF(PROVEEDORES[[#This Row],[FECHA DE PAGO]]=PROVEEDORES[[#This Row],[FECHA DE FACTURACIÓN]],"DE CONTADO","CRÉDITO")</f>
        <v>CRÉDITO</v>
      </c>
      <c r="B906" s="41" t="str">
        <f>+IF((PROVEEDORES[[#This Row],[FECHA DE PAGO]]-PROVEEDORES[[#This Row],[FECHA DE FACTURACIÓN]])&gt;PROVEEDORES[[#This Row],[PLAZO Días]],"PAGO VENCIDO")</f>
        <v>PAGO VENCIDO</v>
      </c>
      <c r="C906" s="22">
        <f>+VLOOKUP(PROVEEDORES[[#This Row],[PROVEEDOR]],TERCEROS_INFO[#All],2,FALSE)</f>
        <v>30</v>
      </c>
      <c r="D906" s="27">
        <f>+SUMIFS(PROVEEDORES[Total],PROVEEDORES[PROVEEDOR],PROVEEDORES[[#This Row],[PROVEEDOR]],PROVEEDORES[FECHA DE PAGO],"")</f>
        <v>3355018.0749999997</v>
      </c>
      <c r="E906" s="27"/>
      <c r="F906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906" s="95">
        <v>44552</v>
      </c>
      <c r="H906" s="28" t="s">
        <v>222</v>
      </c>
      <c r="I906" s="95">
        <v>44494</v>
      </c>
      <c r="J906" s="38">
        <v>410</v>
      </c>
      <c r="K906" s="23">
        <v>1807563</v>
      </c>
      <c r="L906" s="23"/>
      <c r="M906" s="24">
        <v>343436.97000000003</v>
      </c>
      <c r="N906" s="25"/>
      <c r="O906" s="24">
        <v>0</v>
      </c>
      <c r="P906" s="136">
        <f>+IF(PROVEEDORES[[#This Row],[SUBTOTAL]]&lt;PROVEEDORES[[#This Row],[base retencion]],0,PROVEEDORES[[#This Row],[retención aplicada]])</f>
        <v>2.5000000000000001E-2</v>
      </c>
      <c r="Q906" s="24">
        <f>+PROVEEDORES[[#This Row],[Rete Fuente %]]*PROVEEDORES[[#This Row],[SUBTOTAL]]</f>
        <v>45189.075000000004</v>
      </c>
      <c r="R906" s="23">
        <v>2105810.895</v>
      </c>
      <c r="S90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6" s="99">
        <f ca="1">IF(PROVEEDORES[[#This Row],[FECHA DE PAGO]]=0,TODAY()-PROVEEDORES[[#This Row],[FECHA DE FACTURACIÓN]]-PROVEEDORES[[#This Row],[PLAZO Días]],0)</f>
        <v>0</v>
      </c>
      <c r="U906" s="149" t="str">
        <f>+VLOOKUP(PROVEEDORES[[#This Row],[PROVEEDOR]],Terceros!$A:$E,5,FALSE)</f>
        <v>2,5% con base</v>
      </c>
      <c r="V906" s="150">
        <f>+YEAR(PROVEEDORES[[#This Row],[FECHA DE FACTURACIÓN]])</f>
        <v>2021</v>
      </c>
      <c r="W906" s="150">
        <f>+MATCH(PROVEEDORES[[#This Row],[año facturado]],Retenciones!$1:$1,0)</f>
        <v>4</v>
      </c>
      <c r="X906" s="151">
        <f>+VLOOKUP(PROVEEDORES[[#This Row],[ID RETENCION]],Retenciones!$A$1:$O$24,PROVEEDORES[[#This Row],[indicador de columna]],FALSE)</f>
        <v>980000</v>
      </c>
      <c r="Y906" s="152">
        <f>+VLOOKUP(PROVEEDORES[[#This Row],[ID RETENCION]],Retenciones!$A$1:$O$24,2,FALSE)</f>
        <v>2.5000000000000001E-2</v>
      </c>
      <c r="Z906" s="26"/>
      <c r="AA906" s="26"/>
      <c r="AB906" s="26"/>
      <c r="AC906" s="26"/>
      <c r="AD906" s="26"/>
      <c r="AE906" s="26"/>
    </row>
    <row r="907" spans="1:31" ht="21.95" customHeight="1" x14ac:dyDescent="0.25">
      <c r="A907" s="97" t="str">
        <f>+IF(PROVEEDORES[[#This Row],[FECHA DE PAGO]]=PROVEEDORES[[#This Row],[FECHA DE FACTURACIÓN]],"DE CONTADO","CRÉDITO")</f>
        <v>CRÉDITO</v>
      </c>
      <c r="B907" s="41" t="b">
        <f>+IF((PROVEEDORES[[#This Row],[FECHA DE PAGO]]-PROVEEDORES[[#This Row],[FECHA DE FACTURACIÓN]])&gt;PROVEEDORES[[#This Row],[PLAZO Días]],"PAGO VENCIDO")</f>
        <v>0</v>
      </c>
      <c r="C907" s="22">
        <f>+VLOOKUP(PROVEEDORES[[#This Row],[PROVEEDOR]],TERCEROS_INFO[#All],2,FALSE)</f>
        <v>30</v>
      </c>
      <c r="D907" s="27">
        <f>+SUMIFS(PROVEEDORES[Total],PROVEEDORES[PROVEEDOR],PROVEEDORES[[#This Row],[PROVEEDOR]],PROVEEDORES[FECHA DE PAGO],"")</f>
        <v>0</v>
      </c>
      <c r="E907" s="27"/>
      <c r="F907" s="62" t="str">
        <f>+VLOOKUP(PROVEEDORES[[#This Row],[PROVEEDOR]],
                       Terceros!$A:$G,
                       6,
                       FALSE)</f>
        <v>cartera@aerosan.com;girlesa.ruiz@servipilas.com;joriescobar64@gmail.com</v>
      </c>
      <c r="G907" s="95">
        <v>44495</v>
      </c>
      <c r="H907" s="28" t="s">
        <v>57</v>
      </c>
      <c r="I907" s="95">
        <v>44494</v>
      </c>
      <c r="J907" s="38" t="s">
        <v>565</v>
      </c>
      <c r="K907" s="23">
        <v>3584000</v>
      </c>
      <c r="L907" s="23"/>
      <c r="M907" s="24">
        <v>32254</v>
      </c>
      <c r="N907" s="25"/>
      <c r="O907" s="24">
        <v>0</v>
      </c>
      <c r="P907" s="136">
        <f>+IF(PROVEEDORES[[#This Row],[SUBTOTAL]]&lt;PROVEEDORES[[#This Row],[base retencion]],0,PROVEEDORES[[#This Row],[retención aplicada]])</f>
        <v>0</v>
      </c>
      <c r="Q907" s="24">
        <f>+PROVEEDORES[[#This Row],[Rete Fuente %]]*PROVEEDORES[[#This Row],[SUBTOTAL]]</f>
        <v>0</v>
      </c>
      <c r="R907" s="23">
        <v>3616254</v>
      </c>
      <c r="S90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7" s="99">
        <f ca="1">IF(PROVEEDORES[[#This Row],[FECHA DE PAGO]]=0,TODAY()-PROVEEDORES[[#This Row],[FECHA DE FACTURACIÓN]]-PROVEEDORES[[#This Row],[PLAZO Días]],0)</f>
        <v>0</v>
      </c>
      <c r="U907" s="149">
        <f>+VLOOKUP(PROVEEDORES[[#This Row],[PROVEEDOR]],Terceros!$A:$E,5,FALSE)</f>
        <v>0</v>
      </c>
      <c r="V907" s="150">
        <f>+YEAR(PROVEEDORES[[#This Row],[FECHA DE FACTURACIÓN]])</f>
        <v>2021</v>
      </c>
      <c r="W907" s="150">
        <f>+MATCH(PROVEEDORES[[#This Row],[año facturado]],Retenciones!$1:$1,0)</f>
        <v>4</v>
      </c>
      <c r="X907" s="151">
        <f>+VLOOKUP(PROVEEDORES[[#This Row],[ID RETENCION]],Retenciones!$A$1:$O$24,PROVEEDORES[[#This Row],[indicador de columna]],FALSE)</f>
        <v>0</v>
      </c>
      <c r="Y907" s="152">
        <f>+VLOOKUP(PROVEEDORES[[#This Row],[ID RETENCION]],Retenciones!$A$1:$O$24,2,FALSE)</f>
        <v>0</v>
      </c>
      <c r="Z907" s="26"/>
      <c r="AA907" s="26"/>
      <c r="AB907" s="26"/>
      <c r="AC907" s="26"/>
      <c r="AD907" s="26"/>
      <c r="AE907" s="26"/>
    </row>
    <row r="908" spans="1:31" ht="21.95" customHeight="1" x14ac:dyDescent="0.25">
      <c r="A908" s="97" t="str">
        <f>+IF(PROVEEDORES[[#This Row],[FECHA DE PAGO]]=PROVEEDORES[[#This Row],[FECHA DE FACTURACIÓN]],"DE CONTADO","CRÉDITO")</f>
        <v>CRÉDITO</v>
      </c>
      <c r="B908" s="41" t="str">
        <f>+IF((PROVEEDORES[[#This Row],[FECHA DE PAGO]]-PROVEEDORES[[#This Row],[FECHA DE FACTURACIÓN]])&gt;PROVEEDORES[[#This Row],[PLAZO Días]],"PAGO VENCIDO")</f>
        <v>PAGO VENCIDO</v>
      </c>
      <c r="C908" s="22">
        <f>+VLOOKUP(PROVEEDORES[[#This Row],[PROVEEDOR]],TERCEROS_INFO[#All],2,FALSE)</f>
        <v>30</v>
      </c>
      <c r="D908" s="27">
        <f>+SUMIFS(PROVEEDORES[Total],PROVEEDORES[PROVEEDOR],PROVEEDORES[[#This Row],[PROVEEDOR]],PROVEEDORES[FECHA DE PAGO],"")</f>
        <v>0</v>
      </c>
      <c r="E908" s="27"/>
      <c r="F908" s="62" t="str">
        <f>+VLOOKUP(PROVEEDORES[[#This Row],[PROVEEDOR]],
                       Terceros!$A:$G,
                       6,
                       FALSE)</f>
        <v/>
      </c>
      <c r="G908" s="95">
        <v>44552</v>
      </c>
      <c r="H908" s="28" t="s">
        <v>986</v>
      </c>
      <c r="I908" s="95">
        <v>44494</v>
      </c>
      <c r="J908" s="38" t="s">
        <v>856</v>
      </c>
      <c r="K908" s="23">
        <v>4715000</v>
      </c>
      <c r="L908" s="23"/>
      <c r="M908" s="24">
        <v>0</v>
      </c>
      <c r="N908" s="25">
        <v>0.1</v>
      </c>
      <c r="O908" s="24">
        <v>471500</v>
      </c>
      <c r="P908" s="136">
        <f>+IF(PROVEEDORES[[#This Row],[SUBTOTAL]]&lt;PROVEEDORES[[#This Row],[base retencion]],0,PROVEEDORES[[#This Row],[retención aplicada]])</f>
        <v>0</v>
      </c>
      <c r="Q908" s="24">
        <f>+PROVEEDORES[[#This Row],[Rete Fuente %]]*PROVEEDORES[[#This Row],[SUBTOTAL]]</f>
        <v>0</v>
      </c>
      <c r="R908" s="23">
        <v>4243500</v>
      </c>
      <c r="S90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8" s="99">
        <f ca="1">IF(PROVEEDORES[[#This Row],[FECHA DE PAGO]]=0,TODAY()-PROVEEDORES[[#This Row],[FECHA DE FACTURACIÓN]]-PROVEEDORES[[#This Row],[PLAZO Días]],0)</f>
        <v>0</v>
      </c>
      <c r="U908" s="149">
        <f>+VLOOKUP(PROVEEDORES[[#This Row],[PROVEEDOR]],Terceros!$A:$E,5,FALSE)</f>
        <v>0</v>
      </c>
      <c r="V908" s="150">
        <f>+YEAR(PROVEEDORES[[#This Row],[FECHA DE FACTURACIÓN]])</f>
        <v>2021</v>
      </c>
      <c r="W908" s="150">
        <f>+MATCH(PROVEEDORES[[#This Row],[año facturado]],Retenciones!$1:$1,0)</f>
        <v>4</v>
      </c>
      <c r="X908" s="151">
        <f>+VLOOKUP(PROVEEDORES[[#This Row],[ID RETENCION]],Retenciones!$A$1:$O$24,PROVEEDORES[[#This Row],[indicador de columna]],FALSE)</f>
        <v>0</v>
      </c>
      <c r="Y908" s="152">
        <f>+VLOOKUP(PROVEEDORES[[#This Row],[ID RETENCION]],Retenciones!$A$1:$O$24,2,FALSE)</f>
        <v>0</v>
      </c>
      <c r="Z908" s="26"/>
      <c r="AA908" s="26"/>
      <c r="AB908" s="26"/>
      <c r="AC908" s="26"/>
      <c r="AD908" s="26"/>
      <c r="AE908" s="26"/>
    </row>
    <row r="909" spans="1:31" ht="21.95" customHeight="1" x14ac:dyDescent="0.25">
      <c r="A909" s="97" t="str">
        <f>+IF(PROVEEDORES[[#This Row],[FECHA DE PAGO]]=PROVEEDORES[[#This Row],[FECHA DE FACTURACIÓN]],"DE CONTADO","CRÉDITO")</f>
        <v>CRÉDITO</v>
      </c>
      <c r="B909" s="41" t="str">
        <f>+IF((PROVEEDORES[[#This Row],[FECHA DE PAGO]]-PROVEEDORES[[#This Row],[FECHA DE FACTURACIÓN]])&gt;PROVEEDORES[[#This Row],[PLAZO Días]],"PAGO VENCIDO")</f>
        <v>PAGO VENCIDO</v>
      </c>
      <c r="C909" s="22">
        <f>+VLOOKUP(PROVEEDORES[[#This Row],[PROVEEDOR]],TERCEROS_INFO[#All],2,FALSE)</f>
        <v>30</v>
      </c>
      <c r="D909" s="27">
        <f>+SUMIFS(PROVEEDORES[Total],PROVEEDORES[PROVEEDOR],PROVEEDORES[[#This Row],[PROVEEDOR]],PROVEEDORES[FECHA DE PAGO],"")</f>
        <v>0</v>
      </c>
      <c r="E909" s="27"/>
      <c r="F909" s="62" t="str">
        <f>+VLOOKUP(PROVEEDORES[[#This Row],[PROVEEDOR]],
                       Terceros!$A:$G,
                       6,
                       FALSE)</f>
        <v/>
      </c>
      <c r="G909" s="95">
        <v>44552</v>
      </c>
      <c r="H909" s="28" t="s">
        <v>986</v>
      </c>
      <c r="I909" s="95">
        <v>44494</v>
      </c>
      <c r="J909" s="38" t="s">
        <v>855</v>
      </c>
      <c r="K909" s="23">
        <v>5036000</v>
      </c>
      <c r="L909" s="23"/>
      <c r="M909" s="24">
        <v>0</v>
      </c>
      <c r="N909" s="25">
        <v>0.04</v>
      </c>
      <c r="O909" s="24">
        <v>201440</v>
      </c>
      <c r="P909" s="136">
        <f>+IF(PROVEEDORES[[#This Row],[SUBTOTAL]]&lt;PROVEEDORES[[#This Row],[base retencion]],0,PROVEEDORES[[#This Row],[retención aplicada]])</f>
        <v>0</v>
      </c>
      <c r="Q909" s="24">
        <f>+PROVEEDORES[[#This Row],[Rete Fuente %]]*PROVEEDORES[[#This Row],[SUBTOTAL]]</f>
        <v>0</v>
      </c>
      <c r="R909" s="23">
        <v>4834560</v>
      </c>
      <c r="S90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9" s="99">
        <f ca="1">IF(PROVEEDORES[[#This Row],[FECHA DE PAGO]]=0,TODAY()-PROVEEDORES[[#This Row],[FECHA DE FACTURACIÓN]]-PROVEEDORES[[#This Row],[PLAZO Días]],0)</f>
        <v>0</v>
      </c>
      <c r="U909" s="149">
        <f>+VLOOKUP(PROVEEDORES[[#This Row],[PROVEEDOR]],Terceros!$A:$E,5,FALSE)</f>
        <v>0</v>
      </c>
      <c r="V909" s="150">
        <f>+YEAR(PROVEEDORES[[#This Row],[FECHA DE FACTURACIÓN]])</f>
        <v>2021</v>
      </c>
      <c r="W909" s="150">
        <f>+MATCH(PROVEEDORES[[#This Row],[año facturado]],Retenciones!$1:$1,0)</f>
        <v>4</v>
      </c>
      <c r="X909" s="151">
        <f>+VLOOKUP(PROVEEDORES[[#This Row],[ID RETENCION]],Retenciones!$A$1:$O$24,PROVEEDORES[[#This Row],[indicador de columna]],FALSE)</f>
        <v>0</v>
      </c>
      <c r="Y909" s="152">
        <f>+VLOOKUP(PROVEEDORES[[#This Row],[ID RETENCION]],Retenciones!$A$1:$O$24,2,FALSE)</f>
        <v>0</v>
      </c>
      <c r="Z909" s="26"/>
      <c r="AA909" s="26"/>
      <c r="AB909" s="26"/>
      <c r="AC909" s="26"/>
      <c r="AD909" s="26"/>
      <c r="AE909" s="26"/>
    </row>
    <row r="910" spans="1:31" ht="21.95" customHeight="1" x14ac:dyDescent="0.25">
      <c r="A910" s="97" t="str">
        <f>+IF(PROVEEDORES[[#This Row],[FECHA DE PAGO]]=PROVEEDORES[[#This Row],[FECHA DE FACTURACIÓN]],"DE CONTADO","CRÉDITO")</f>
        <v>CRÉDITO</v>
      </c>
      <c r="B910" s="41" t="b">
        <f>+IF((PROVEEDORES[[#This Row],[FECHA DE PAGO]]-PROVEEDORES[[#This Row],[FECHA DE FACTURACIÓN]])&gt;PROVEEDORES[[#This Row],[PLAZO Días]],"PAGO VENCIDO")</f>
        <v>0</v>
      </c>
      <c r="C910" s="22">
        <f>+VLOOKUP(PROVEEDORES[[#This Row],[PROVEEDOR]],TERCEROS_INFO[#All],2,FALSE)</f>
        <v>90</v>
      </c>
      <c r="D910" s="27">
        <f>+SUMIFS(PROVEEDORES[Total],PROVEEDORES[PROVEEDOR],PROVEEDORES[[#This Row],[PROVEEDOR]],PROVEEDORES[FECHA DE PAGO],"")</f>
        <v>26364243.66155</v>
      </c>
      <c r="E910" s="27"/>
      <c r="F910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910" s="95">
        <v>44568</v>
      </c>
      <c r="H910" s="28" t="s">
        <v>12</v>
      </c>
      <c r="I910" s="95">
        <v>44495</v>
      </c>
      <c r="J910" s="38" t="s">
        <v>914</v>
      </c>
      <c r="K910" s="23">
        <v>-124370</v>
      </c>
      <c r="L910" s="23"/>
      <c r="M910" s="24">
        <v>-23630.3</v>
      </c>
      <c r="N910" s="25"/>
      <c r="O910" s="24">
        <v>0</v>
      </c>
      <c r="P910" s="136">
        <f>+IF(PROVEEDORES[[#This Row],[SUBTOTAL]]&lt;PROVEEDORES[[#This Row],[base retencion]],0,PROVEEDORES[[#This Row],[retención aplicada]])</f>
        <v>0</v>
      </c>
      <c r="Q910" s="24">
        <f>+PROVEEDORES[[#This Row],[Rete Fuente %]]*PROVEEDORES[[#This Row],[SUBTOTAL]]</f>
        <v>0</v>
      </c>
      <c r="R910" s="23">
        <v>-148000.29999999999</v>
      </c>
      <c r="S91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0" s="99">
        <f ca="1">IF(PROVEEDORES[[#This Row],[FECHA DE PAGO]]=0,TODAY()-PROVEEDORES[[#This Row],[FECHA DE FACTURACIÓN]]-PROVEEDORES[[#This Row],[PLAZO Días]],0)</f>
        <v>0</v>
      </c>
      <c r="U910" s="149" t="str">
        <f>+VLOOKUP(PROVEEDORES[[#This Row],[PROVEEDOR]],Terceros!$A:$E,5,FALSE)</f>
        <v>2,5% con base</v>
      </c>
      <c r="V910" s="150">
        <f>+YEAR(PROVEEDORES[[#This Row],[FECHA DE FACTURACIÓN]])</f>
        <v>2021</v>
      </c>
      <c r="W910" s="150">
        <f>+MATCH(PROVEEDORES[[#This Row],[año facturado]],Retenciones!$1:$1,0)</f>
        <v>4</v>
      </c>
      <c r="X910" s="151">
        <f>+VLOOKUP(PROVEEDORES[[#This Row],[ID RETENCION]],Retenciones!$A$1:$O$24,PROVEEDORES[[#This Row],[indicador de columna]],FALSE)</f>
        <v>980000</v>
      </c>
      <c r="Y910" s="152">
        <f>+VLOOKUP(PROVEEDORES[[#This Row],[ID RETENCION]],Retenciones!$A$1:$O$24,2,FALSE)</f>
        <v>2.5000000000000001E-2</v>
      </c>
      <c r="Z910" s="26"/>
      <c r="AA910" s="26"/>
      <c r="AB910" s="26"/>
      <c r="AC910" s="26"/>
      <c r="AD910" s="26"/>
      <c r="AE910" s="26"/>
    </row>
    <row r="911" spans="1:31" ht="21.95" customHeight="1" x14ac:dyDescent="0.25">
      <c r="A911" s="97" t="str">
        <f>+IF(PROVEEDORES[[#This Row],[FECHA DE PAGO]]=PROVEEDORES[[#This Row],[FECHA DE FACTURACIÓN]],"DE CONTADO","CRÉDITO")</f>
        <v>CRÉDITO</v>
      </c>
      <c r="B911" s="41" t="str">
        <f>+IF((PROVEEDORES[[#This Row],[FECHA DE PAGO]]-PROVEEDORES[[#This Row],[FECHA DE FACTURACIÓN]])&gt;PROVEEDORES[[#This Row],[PLAZO Días]],"PAGO VENCIDO")</f>
        <v>PAGO VENCIDO</v>
      </c>
      <c r="C911" s="22">
        <f>+VLOOKUP(PROVEEDORES[[#This Row],[PROVEEDOR]],TERCEROS_INFO[#All],2,FALSE)</f>
        <v>30</v>
      </c>
      <c r="D911" s="27">
        <f>+SUMIFS(PROVEEDORES[Total],PROVEEDORES[PROVEEDOR],PROVEEDORES[[#This Row],[PROVEEDOR]],PROVEEDORES[FECHA DE PAGO],"")</f>
        <v>0</v>
      </c>
      <c r="E911" s="27"/>
      <c r="F911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911" s="95">
        <v>44543</v>
      </c>
      <c r="H911" s="28" t="s">
        <v>571</v>
      </c>
      <c r="I911" s="95">
        <v>44495</v>
      </c>
      <c r="J911" s="38">
        <v>144</v>
      </c>
      <c r="K911" s="23">
        <v>1340840.3400000001</v>
      </c>
      <c r="L911" s="23"/>
      <c r="M911" s="24">
        <v>254759.66460000002</v>
      </c>
      <c r="N911" s="25"/>
      <c r="O911" s="24">
        <v>0</v>
      </c>
      <c r="P911" s="136">
        <f>+IF(PROVEEDORES[[#This Row],[SUBTOTAL]]&lt;PROVEEDORES[[#This Row],[base retencion]],0,PROVEEDORES[[#This Row],[retención aplicada]])</f>
        <v>2.5000000000000001E-2</v>
      </c>
      <c r="Q911" s="24">
        <f>+PROVEEDORES[[#This Row],[Rete Fuente %]]*PROVEEDORES[[#This Row],[SUBTOTAL]]</f>
        <v>33521.008500000004</v>
      </c>
      <c r="R911" s="23">
        <v>1562078.9961000001</v>
      </c>
      <c r="S91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1" s="99">
        <f ca="1">IF(PROVEEDORES[[#This Row],[FECHA DE PAGO]]=0,TODAY()-PROVEEDORES[[#This Row],[FECHA DE FACTURACIÓN]]-PROVEEDORES[[#This Row],[PLAZO Días]],0)</f>
        <v>0</v>
      </c>
      <c r="U911" s="149" t="str">
        <f>+VLOOKUP(PROVEEDORES[[#This Row],[PROVEEDOR]],Terceros!$A:$E,5,FALSE)</f>
        <v>2,5% con base</v>
      </c>
      <c r="V911" s="150">
        <f>+YEAR(PROVEEDORES[[#This Row],[FECHA DE FACTURACIÓN]])</f>
        <v>2021</v>
      </c>
      <c r="W911" s="150">
        <f>+MATCH(PROVEEDORES[[#This Row],[año facturado]],Retenciones!$1:$1,0)</f>
        <v>4</v>
      </c>
      <c r="X911" s="151">
        <f>+VLOOKUP(PROVEEDORES[[#This Row],[ID RETENCION]],Retenciones!$A$1:$O$24,PROVEEDORES[[#This Row],[indicador de columna]],FALSE)</f>
        <v>980000</v>
      </c>
      <c r="Y911" s="152">
        <f>+VLOOKUP(PROVEEDORES[[#This Row],[ID RETENCION]],Retenciones!$A$1:$O$24,2,FALSE)</f>
        <v>2.5000000000000001E-2</v>
      </c>
      <c r="Z911" s="26"/>
      <c r="AA911" s="26"/>
      <c r="AB911" s="26"/>
      <c r="AC911" s="26"/>
      <c r="AD911" s="26"/>
      <c r="AE911" s="26"/>
    </row>
    <row r="912" spans="1:31" ht="21.95" customHeight="1" x14ac:dyDescent="0.25">
      <c r="A912" s="97" t="str">
        <f>+IF(PROVEEDORES[[#This Row],[FECHA DE PAGO]]=PROVEEDORES[[#This Row],[FECHA DE FACTURACIÓN]],"DE CONTADO","CRÉDITO")</f>
        <v>CRÉDITO</v>
      </c>
      <c r="B912" s="41" t="b">
        <f>+IF((PROVEEDORES[[#This Row],[FECHA DE PAGO]]-PROVEEDORES[[#This Row],[FECHA DE FACTURACIÓN]])&gt;PROVEEDORES[[#This Row],[PLAZO Días]],"PAGO VENCIDO")</f>
        <v>0</v>
      </c>
      <c r="C912" s="22">
        <f>+VLOOKUP(PROVEEDORES[[#This Row],[PROVEEDOR]],TERCEROS_INFO[#All],2,FALSE)</f>
        <v>45</v>
      </c>
      <c r="D912" s="27">
        <f>+SUMIFS(PROVEEDORES[Total],PROVEEDORES[PROVEEDOR],PROVEEDORES[[#This Row],[PROVEEDOR]],PROVEEDORES[FECHA DE PAGO],"")</f>
        <v>1328100</v>
      </c>
      <c r="E912" s="27"/>
      <c r="F912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G912" s="95">
        <v>44503</v>
      </c>
      <c r="H912" s="28" t="s">
        <v>606</v>
      </c>
      <c r="I912" s="95">
        <v>44495</v>
      </c>
      <c r="J912" s="38" t="s">
        <v>564</v>
      </c>
      <c r="K912" s="23">
        <v>2424870</v>
      </c>
      <c r="L912" s="23"/>
      <c r="M912" s="24">
        <v>0</v>
      </c>
      <c r="N912" s="25"/>
      <c r="O912" s="24">
        <v>0</v>
      </c>
      <c r="P912" s="136">
        <f>+IF(PROVEEDORES[[#This Row],[SUBTOTAL]]&lt;PROVEEDORES[[#This Row],[base retencion]],0,PROVEEDORES[[#This Row],[retención aplicada]])</f>
        <v>0</v>
      </c>
      <c r="Q912" s="24">
        <f>+PROVEEDORES[[#This Row],[Rete Fuente %]]*PROVEEDORES[[#This Row],[SUBTOTAL]]</f>
        <v>0</v>
      </c>
      <c r="R912" s="23">
        <v>2424870</v>
      </c>
      <c r="S91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2" s="99">
        <f ca="1">IF(PROVEEDORES[[#This Row],[FECHA DE PAGO]]=0,TODAY()-PROVEEDORES[[#This Row],[FECHA DE FACTURACIÓN]]-PROVEEDORES[[#This Row],[PLAZO Días]],0)</f>
        <v>0</v>
      </c>
      <c r="U912" s="149">
        <f>+VLOOKUP(PROVEEDORES[[#This Row],[PROVEEDOR]],Terceros!$A:$E,5,FALSE)</f>
        <v>0</v>
      </c>
      <c r="V912" s="150">
        <f>+YEAR(PROVEEDORES[[#This Row],[FECHA DE FACTURACIÓN]])</f>
        <v>2021</v>
      </c>
      <c r="W912" s="150">
        <f>+MATCH(PROVEEDORES[[#This Row],[año facturado]],Retenciones!$1:$1,0)</f>
        <v>4</v>
      </c>
      <c r="X912" s="151">
        <f>+VLOOKUP(PROVEEDORES[[#This Row],[ID RETENCION]],Retenciones!$A$1:$O$24,PROVEEDORES[[#This Row],[indicador de columna]],FALSE)</f>
        <v>0</v>
      </c>
      <c r="Y912" s="152">
        <f>+VLOOKUP(PROVEEDORES[[#This Row],[ID RETENCION]],Retenciones!$A$1:$O$24,2,FALSE)</f>
        <v>0</v>
      </c>
      <c r="Z912" s="26"/>
      <c r="AA912" s="26"/>
      <c r="AB912" s="26"/>
      <c r="AC912" s="26"/>
      <c r="AD912" s="26"/>
      <c r="AE912" s="26"/>
    </row>
    <row r="913" spans="1:31" ht="21.95" customHeight="1" x14ac:dyDescent="0.25">
      <c r="A913" s="97" t="str">
        <f>+IF(PROVEEDORES[[#This Row],[FECHA DE PAGO]]=PROVEEDORES[[#This Row],[FECHA DE FACTURACIÓN]],"DE CONTADO","CRÉDITO")</f>
        <v>CRÉDITO</v>
      </c>
      <c r="B913" s="41" t="str">
        <f>+IF((PROVEEDORES[[#This Row],[FECHA DE PAGO]]-PROVEEDORES[[#This Row],[FECHA DE FACTURACIÓN]])&gt;PROVEEDORES[[#This Row],[PLAZO Días]],"PAGO VENCIDO")</f>
        <v>PAGO VENCIDO</v>
      </c>
      <c r="C913" s="22">
        <f>+VLOOKUP(PROVEEDORES[[#This Row],[PROVEEDOR]],TERCEROS_INFO[#All],2,FALSE)</f>
        <v>30</v>
      </c>
      <c r="D913" s="27">
        <f>+SUMIFS(PROVEEDORES[Total],PROVEEDORES[PROVEEDOR],PROVEEDORES[[#This Row],[PROVEEDOR]],PROVEEDORES[FECHA DE PAGO],"")</f>
        <v>1039000</v>
      </c>
      <c r="E913" s="27"/>
      <c r="F913" s="62" t="str">
        <f>+VLOOKUP(PROVEEDORES[[#This Row],[PROVEEDOR]],
                       Terceros!$A:$G,
                       6,
                       FALSE)</f>
        <v>variedades.sfg@gmail.com;girlesa.ruiz@servipilas.com;joriescobar64@gmail.com</v>
      </c>
      <c r="G913" s="95">
        <v>44551</v>
      </c>
      <c r="H913" s="28" t="s">
        <v>982</v>
      </c>
      <c r="I913" s="95">
        <v>44495</v>
      </c>
      <c r="J913" s="38" t="s">
        <v>859</v>
      </c>
      <c r="K913" s="23">
        <v>3345300</v>
      </c>
      <c r="L913" s="23"/>
      <c r="M913" s="24">
        <v>0</v>
      </c>
      <c r="N913" s="25"/>
      <c r="O913" s="24">
        <v>0</v>
      </c>
      <c r="P913" s="136">
        <f>+IF(PROVEEDORES[[#This Row],[SUBTOTAL]]&lt;PROVEEDORES[[#This Row],[base retencion]],0,PROVEEDORES[[#This Row],[retención aplicada]])</f>
        <v>0</v>
      </c>
      <c r="Q913" s="24">
        <f>+PROVEEDORES[[#This Row],[Rete Fuente %]]*PROVEEDORES[[#This Row],[SUBTOTAL]]</f>
        <v>0</v>
      </c>
      <c r="R913" s="23">
        <v>3345300</v>
      </c>
      <c r="S91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3" s="99">
        <f ca="1">IF(PROVEEDORES[[#This Row],[FECHA DE PAGO]]=0,TODAY()-PROVEEDORES[[#This Row],[FECHA DE FACTURACIÓN]]-PROVEEDORES[[#This Row],[PLAZO Días]],0)</f>
        <v>0</v>
      </c>
      <c r="U913" s="149">
        <f>+VLOOKUP(PROVEEDORES[[#This Row],[PROVEEDOR]],Terceros!$A:$E,5,FALSE)</f>
        <v>0</v>
      </c>
      <c r="V913" s="150">
        <f>+YEAR(PROVEEDORES[[#This Row],[FECHA DE FACTURACIÓN]])</f>
        <v>2021</v>
      </c>
      <c r="W913" s="150">
        <f>+MATCH(PROVEEDORES[[#This Row],[año facturado]],Retenciones!$1:$1,0)</f>
        <v>4</v>
      </c>
      <c r="X913" s="151">
        <f>+VLOOKUP(PROVEEDORES[[#This Row],[ID RETENCION]],Retenciones!$A$1:$O$24,PROVEEDORES[[#This Row],[indicador de columna]],FALSE)</f>
        <v>0</v>
      </c>
      <c r="Y913" s="152">
        <f>+VLOOKUP(PROVEEDORES[[#This Row],[ID RETENCION]],Retenciones!$A$1:$O$24,2,FALSE)</f>
        <v>0</v>
      </c>
      <c r="Z913" s="26"/>
      <c r="AA913" s="26"/>
      <c r="AB913" s="26"/>
      <c r="AC913" s="26"/>
      <c r="AD913" s="26"/>
      <c r="AE913" s="26"/>
    </row>
    <row r="914" spans="1:31" ht="21.95" customHeight="1" x14ac:dyDescent="0.25">
      <c r="A914" s="97" t="str">
        <f>+IF(PROVEEDORES[[#This Row],[FECHA DE PAGO]]=PROVEEDORES[[#This Row],[FECHA DE FACTURACIÓN]],"DE CONTADO","CRÉDITO")</f>
        <v>CRÉDITO</v>
      </c>
      <c r="B914" s="41" t="b">
        <f>+IF((PROVEEDORES[[#This Row],[FECHA DE PAGO]]-PROVEEDORES[[#This Row],[FECHA DE FACTURACIÓN]])&gt;PROVEEDORES[[#This Row],[PLAZO Días]],"PAGO VENCIDO")</f>
        <v>0</v>
      </c>
      <c r="C914" s="22">
        <f>+VLOOKUP(PROVEEDORES[[#This Row],[PROVEEDOR]],TERCEROS_INFO[#All],2,FALSE)</f>
        <v>90</v>
      </c>
      <c r="D914" s="27">
        <f>+SUMIFS(PROVEEDORES[Total],PROVEEDORES[PROVEEDOR],PROVEEDORES[[#This Row],[PROVEEDOR]],PROVEEDORES[FECHA DE PAGO],"")</f>
        <v>26364243.66155</v>
      </c>
      <c r="E914" s="27"/>
      <c r="F914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914" s="95">
        <v>44568</v>
      </c>
      <c r="H914" s="28" t="s">
        <v>12</v>
      </c>
      <c r="I914" s="95">
        <v>44495</v>
      </c>
      <c r="J914" s="38" t="s">
        <v>573</v>
      </c>
      <c r="K914" s="23">
        <v>12134469</v>
      </c>
      <c r="L914" s="23"/>
      <c r="M914" s="24">
        <v>2305549.11</v>
      </c>
      <c r="N914" s="25"/>
      <c r="O914" s="24">
        <v>0</v>
      </c>
      <c r="P914" s="136">
        <f>+IF(PROVEEDORES[[#This Row],[SUBTOTAL]]&lt;PROVEEDORES[[#This Row],[base retencion]],0,PROVEEDORES[[#This Row],[retención aplicada]])</f>
        <v>2.5000000000000001E-2</v>
      </c>
      <c r="Q914" s="24">
        <f>+PROVEEDORES[[#This Row],[Rete Fuente %]]*PROVEEDORES[[#This Row],[SUBTOTAL]]</f>
        <v>303361.72500000003</v>
      </c>
      <c r="R914" s="23">
        <v>14136656.385</v>
      </c>
      <c r="S91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4" s="99">
        <f ca="1">IF(PROVEEDORES[[#This Row],[FECHA DE PAGO]]=0,TODAY()-PROVEEDORES[[#This Row],[FECHA DE FACTURACIÓN]]-PROVEEDORES[[#This Row],[PLAZO Días]],0)</f>
        <v>0</v>
      </c>
      <c r="U914" s="149" t="str">
        <f>+VLOOKUP(PROVEEDORES[[#This Row],[PROVEEDOR]],Terceros!$A:$E,5,FALSE)</f>
        <v>2,5% con base</v>
      </c>
      <c r="V914" s="150">
        <f>+YEAR(PROVEEDORES[[#This Row],[FECHA DE FACTURACIÓN]])</f>
        <v>2021</v>
      </c>
      <c r="W914" s="150">
        <f>+MATCH(PROVEEDORES[[#This Row],[año facturado]],Retenciones!$1:$1,0)</f>
        <v>4</v>
      </c>
      <c r="X914" s="151">
        <f>+VLOOKUP(PROVEEDORES[[#This Row],[ID RETENCION]],Retenciones!$A$1:$O$24,PROVEEDORES[[#This Row],[indicador de columna]],FALSE)</f>
        <v>980000</v>
      </c>
      <c r="Y914" s="152">
        <f>+VLOOKUP(PROVEEDORES[[#This Row],[ID RETENCION]],Retenciones!$A$1:$O$24,2,FALSE)</f>
        <v>2.5000000000000001E-2</v>
      </c>
      <c r="Z914" s="26"/>
      <c r="AA914" s="26"/>
      <c r="AB914" s="26"/>
      <c r="AC914" s="26"/>
      <c r="AD914" s="26"/>
      <c r="AE914" s="26"/>
    </row>
    <row r="915" spans="1:31" ht="21.95" customHeight="1" x14ac:dyDescent="0.25">
      <c r="A915" s="97" t="str">
        <f>+IF(PROVEEDORES[[#This Row],[FECHA DE PAGO]]=PROVEEDORES[[#This Row],[FECHA DE FACTURACIÓN]],"DE CONTADO","CRÉDITO")</f>
        <v>CRÉDITO</v>
      </c>
      <c r="B915" s="41" t="str">
        <f>+IF((PROVEEDORES[[#This Row],[FECHA DE PAGO]]-PROVEEDORES[[#This Row],[FECHA DE FACTURACIÓN]])&gt;PROVEEDORES[[#This Row],[PLAZO Días]],"PAGO VENCIDO")</f>
        <v>PAGO VENCIDO</v>
      </c>
      <c r="C915" s="22">
        <f>+VLOOKUP(PROVEEDORES[[#This Row],[PROVEEDOR]],TERCEROS_INFO[#All],2,FALSE)</f>
        <v>13</v>
      </c>
      <c r="D915" s="27">
        <f>+SUMIFS(PROVEEDORES[Total],PROVEEDORES[PROVEEDOR],PROVEEDORES[[#This Row],[PROVEEDOR]],PROVEEDORES[FECHA DE PAGO],"")</f>
        <v>2130283</v>
      </c>
      <c r="E915" s="27"/>
      <c r="F915" s="62">
        <f>+VLOOKUP(PROVEEDORES[[#This Row],[PROVEEDOR]],
                       Terceros!$A:$G,
                       6,
                       FALSE)</f>
        <v>0</v>
      </c>
      <c r="G915" s="95">
        <v>44516</v>
      </c>
      <c r="H915" s="28" t="s">
        <v>326</v>
      </c>
      <c r="I915" s="95">
        <v>44501</v>
      </c>
      <c r="J915" s="38" t="s">
        <v>328</v>
      </c>
      <c r="K915" s="23">
        <v>313385</v>
      </c>
      <c r="L915" s="23"/>
      <c r="M915" s="24">
        <v>0</v>
      </c>
      <c r="N915" s="25"/>
      <c r="O915" s="24">
        <v>0</v>
      </c>
      <c r="P915" s="136">
        <f>+IF(PROVEEDORES[[#This Row],[SUBTOTAL]]&lt;PROVEEDORES[[#This Row],[base retencion]],0,PROVEEDORES[[#This Row],[retención aplicada]])</f>
        <v>0</v>
      </c>
      <c r="Q915" s="24">
        <f>+PROVEEDORES[[#This Row],[Rete Fuente %]]*PROVEEDORES[[#This Row],[SUBTOTAL]]</f>
        <v>0</v>
      </c>
      <c r="R915" s="23">
        <v>313385</v>
      </c>
      <c r="S91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5" s="99">
        <f ca="1">IF(PROVEEDORES[[#This Row],[FECHA DE PAGO]]=0,TODAY()-PROVEEDORES[[#This Row],[FECHA DE FACTURACIÓN]]-PROVEEDORES[[#This Row],[PLAZO Días]],0)</f>
        <v>0</v>
      </c>
      <c r="U915" s="149">
        <f>+VLOOKUP(PROVEEDORES[[#This Row],[PROVEEDOR]],Terceros!$A:$E,5,FALSE)</f>
        <v>0</v>
      </c>
      <c r="V915" s="150">
        <f>+YEAR(PROVEEDORES[[#This Row],[FECHA DE FACTURACIÓN]])</f>
        <v>2021</v>
      </c>
      <c r="W915" s="150">
        <f>+MATCH(PROVEEDORES[[#This Row],[año facturado]],Retenciones!$1:$1,0)</f>
        <v>4</v>
      </c>
      <c r="X915" s="151">
        <f>+VLOOKUP(PROVEEDORES[[#This Row],[ID RETENCION]],Retenciones!$A$1:$O$24,PROVEEDORES[[#This Row],[indicador de columna]],FALSE)</f>
        <v>0</v>
      </c>
      <c r="Y915" s="152">
        <f>+VLOOKUP(PROVEEDORES[[#This Row],[ID RETENCION]],Retenciones!$A$1:$O$24,2,FALSE)</f>
        <v>0</v>
      </c>
      <c r="Z915" s="26"/>
      <c r="AA915" s="26"/>
      <c r="AB915" s="26"/>
      <c r="AC915" s="26"/>
      <c r="AD915" s="26"/>
      <c r="AE915" s="26"/>
    </row>
    <row r="916" spans="1:31" ht="21.95" customHeight="1" x14ac:dyDescent="0.25">
      <c r="A916" s="97" t="str">
        <f>+IF(PROVEEDORES[[#This Row],[FECHA DE PAGO]]=PROVEEDORES[[#This Row],[FECHA DE FACTURACIÓN]],"DE CONTADO","CRÉDITO")</f>
        <v>DE CONTADO</v>
      </c>
      <c r="B916" s="41" t="b">
        <f>+IF((PROVEEDORES[[#This Row],[FECHA DE PAGO]]-PROVEEDORES[[#This Row],[FECHA DE FACTURACIÓN]])&gt;PROVEEDORES[[#This Row],[PLAZO Días]],"PAGO VENCIDO")</f>
        <v>0</v>
      </c>
      <c r="C916" s="22">
        <f>+VLOOKUP(PROVEEDORES[[#This Row],[PROVEEDOR]],TERCEROS_INFO[#All],2,FALSE)</f>
        <v>30</v>
      </c>
      <c r="D916" s="27">
        <f>+SUMIFS(PROVEEDORES[Total],PROVEEDORES[PROVEEDOR],PROVEEDORES[[#This Row],[PROVEEDOR]],PROVEEDORES[FECHA DE PAGO],"")</f>
        <v>0</v>
      </c>
      <c r="E916" s="27"/>
      <c r="F916" s="62" t="str">
        <f>+VLOOKUP(PROVEEDORES[[#This Row],[PROVEEDOR]],
                       Terceros!$A:$G,
                       6,
                       FALSE)</f>
        <v/>
      </c>
      <c r="G916" s="95">
        <v>44496</v>
      </c>
      <c r="H916" s="28" t="s">
        <v>1010</v>
      </c>
      <c r="I916" s="95">
        <v>44496</v>
      </c>
      <c r="J916" s="38" t="s">
        <v>861</v>
      </c>
      <c r="K916" s="23">
        <v>18000</v>
      </c>
      <c r="L916" s="23"/>
      <c r="M916" s="24">
        <v>0</v>
      </c>
      <c r="N916" s="25"/>
      <c r="O916" s="24">
        <v>0</v>
      </c>
      <c r="P916" s="136">
        <f>+IF(PROVEEDORES[[#This Row],[SUBTOTAL]]&lt;PROVEEDORES[[#This Row],[base retencion]],0,PROVEEDORES[[#This Row],[retención aplicada]])</f>
        <v>0</v>
      </c>
      <c r="Q916" s="24">
        <f>+PROVEEDORES[[#This Row],[Rete Fuente %]]*PROVEEDORES[[#This Row],[SUBTOTAL]]</f>
        <v>0</v>
      </c>
      <c r="R916" s="23">
        <v>18000</v>
      </c>
      <c r="S91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6" s="99">
        <f ca="1">IF(PROVEEDORES[[#This Row],[FECHA DE PAGO]]=0,TODAY()-PROVEEDORES[[#This Row],[FECHA DE FACTURACIÓN]]-PROVEEDORES[[#This Row],[PLAZO Días]],0)</f>
        <v>0</v>
      </c>
      <c r="U916" s="149">
        <f>+VLOOKUP(PROVEEDORES[[#This Row],[PROVEEDOR]],Terceros!$A:$E,5,FALSE)</f>
        <v>0</v>
      </c>
      <c r="V916" s="150">
        <f>+YEAR(PROVEEDORES[[#This Row],[FECHA DE FACTURACIÓN]])</f>
        <v>2021</v>
      </c>
      <c r="W916" s="150">
        <f>+MATCH(PROVEEDORES[[#This Row],[año facturado]],Retenciones!$1:$1,0)</f>
        <v>4</v>
      </c>
      <c r="X916" s="151">
        <f>+VLOOKUP(PROVEEDORES[[#This Row],[ID RETENCION]],Retenciones!$A$1:$O$24,PROVEEDORES[[#This Row],[indicador de columna]],FALSE)</f>
        <v>0</v>
      </c>
      <c r="Y916" s="152">
        <f>+VLOOKUP(PROVEEDORES[[#This Row],[ID RETENCION]],Retenciones!$A$1:$O$24,2,FALSE)</f>
        <v>0</v>
      </c>
      <c r="Z916" s="26"/>
      <c r="AA916" s="26"/>
      <c r="AB916" s="26"/>
      <c r="AC916" s="26"/>
      <c r="AD916" s="26"/>
      <c r="AE916" s="26"/>
    </row>
    <row r="917" spans="1:31" ht="21.95" customHeight="1" x14ac:dyDescent="0.25">
      <c r="A917" s="97" t="str">
        <f>+IF(PROVEEDORES[[#This Row],[FECHA DE PAGO]]=PROVEEDORES[[#This Row],[FECHA DE FACTURACIÓN]],"DE CONTADO","CRÉDITO")</f>
        <v>CRÉDITO</v>
      </c>
      <c r="B917" s="41" t="str">
        <f>+IF((PROVEEDORES[[#This Row],[FECHA DE PAGO]]-PROVEEDORES[[#This Row],[FECHA DE FACTURACIÓN]])&gt;PROVEEDORES[[#This Row],[PLAZO Días]],"PAGO VENCIDO")</f>
        <v>PAGO VENCIDO</v>
      </c>
      <c r="C917" s="22">
        <f>+VLOOKUP(PROVEEDORES[[#This Row],[PROVEEDOR]],TERCEROS_INFO[#All],2,FALSE)</f>
        <v>30</v>
      </c>
      <c r="D917" s="27">
        <f>+SUMIFS(PROVEEDORES[Total],PROVEEDORES[PROVEEDOR],PROVEEDORES[[#This Row],[PROVEEDOR]],PROVEEDORES[FECHA DE PAGO],"")</f>
        <v>3750700</v>
      </c>
      <c r="E917" s="27"/>
      <c r="F917" s="62" t="str">
        <f>+VLOOKUP(PROVEEDORES[[#This Row],[PROVEEDOR]],
                       Terceros!$A:$G,
                       6,
                       FALSE)</f>
        <v/>
      </c>
      <c r="G917" s="95">
        <v>44539</v>
      </c>
      <c r="H917" s="28" t="s">
        <v>990</v>
      </c>
      <c r="I917" s="95">
        <v>44496</v>
      </c>
      <c r="J917" s="38" t="s">
        <v>860</v>
      </c>
      <c r="K917" s="23">
        <v>3265000</v>
      </c>
      <c r="L917" s="23"/>
      <c r="M917" s="24">
        <v>0</v>
      </c>
      <c r="N917" s="25"/>
      <c r="O917" s="24">
        <v>0</v>
      </c>
      <c r="P917" s="136">
        <f>+IF(PROVEEDORES[[#This Row],[SUBTOTAL]]&lt;PROVEEDORES[[#This Row],[base retencion]],0,PROVEEDORES[[#This Row],[retención aplicada]])</f>
        <v>0</v>
      </c>
      <c r="Q917" s="24">
        <f>+PROVEEDORES[[#This Row],[Rete Fuente %]]*PROVEEDORES[[#This Row],[SUBTOTAL]]</f>
        <v>0</v>
      </c>
      <c r="R917" s="23">
        <v>3265000</v>
      </c>
      <c r="S91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7" s="99">
        <f ca="1">IF(PROVEEDORES[[#This Row],[FECHA DE PAGO]]=0,TODAY()-PROVEEDORES[[#This Row],[FECHA DE FACTURACIÓN]]-PROVEEDORES[[#This Row],[PLAZO Días]],0)</f>
        <v>0</v>
      </c>
      <c r="U917" s="149">
        <f>+VLOOKUP(PROVEEDORES[[#This Row],[PROVEEDOR]],Terceros!$A:$E,5,FALSE)</f>
        <v>0</v>
      </c>
      <c r="V917" s="150">
        <f>+YEAR(PROVEEDORES[[#This Row],[FECHA DE FACTURACIÓN]])</f>
        <v>2021</v>
      </c>
      <c r="W917" s="150">
        <f>+MATCH(PROVEEDORES[[#This Row],[año facturado]],Retenciones!$1:$1,0)</f>
        <v>4</v>
      </c>
      <c r="X917" s="151">
        <f>+VLOOKUP(PROVEEDORES[[#This Row],[ID RETENCION]],Retenciones!$A$1:$O$24,PROVEEDORES[[#This Row],[indicador de columna]],FALSE)</f>
        <v>0</v>
      </c>
      <c r="Y917" s="152">
        <f>+VLOOKUP(PROVEEDORES[[#This Row],[ID RETENCION]],Retenciones!$A$1:$O$24,2,FALSE)</f>
        <v>0</v>
      </c>
      <c r="Z917" s="26"/>
      <c r="AA917" s="26"/>
      <c r="AB917" s="26"/>
      <c r="AC917" s="26"/>
      <c r="AD917" s="26"/>
      <c r="AE917" s="26"/>
    </row>
    <row r="918" spans="1:31" ht="21.95" customHeight="1" x14ac:dyDescent="0.25">
      <c r="A918" s="97" t="str">
        <f>+IF(PROVEEDORES[[#This Row],[FECHA DE PAGO]]=PROVEEDORES[[#This Row],[FECHA DE FACTURACIÓN]],"DE CONTADO","CRÉDITO")</f>
        <v>CRÉDITO</v>
      </c>
      <c r="B918" s="41" t="str">
        <f>+IF((PROVEEDORES[[#This Row],[FECHA DE PAGO]]-PROVEEDORES[[#This Row],[FECHA DE FACTURACIÓN]])&gt;PROVEEDORES[[#This Row],[PLAZO Días]],"PAGO VENCIDO")</f>
        <v>PAGO VENCIDO</v>
      </c>
      <c r="C918" s="22">
        <f>+VLOOKUP(PROVEEDORES[[#This Row],[PROVEEDOR]],TERCEROS_INFO[#All],2,FALSE)</f>
        <v>30</v>
      </c>
      <c r="D918" s="27">
        <f>+SUMIFS(PROVEEDORES[Total],PROVEEDORES[PROVEEDOR],PROVEEDORES[[#This Row],[PROVEEDOR]],PROVEEDORES[FECHA DE PAGO],"")</f>
        <v>0</v>
      </c>
      <c r="E918" s="27"/>
      <c r="F918" s="62" t="str">
        <f>+VLOOKUP(PROVEEDORES[[#This Row],[PROVEEDOR]],
                       Terceros!$A:$G,
                       6,
                       FALSE)</f>
        <v/>
      </c>
      <c r="G918" s="95">
        <v>44557</v>
      </c>
      <c r="H918" s="28" t="s">
        <v>983</v>
      </c>
      <c r="I918" s="95">
        <v>44497</v>
      </c>
      <c r="J918" s="38" t="s">
        <v>862</v>
      </c>
      <c r="K918" s="23">
        <v>264000</v>
      </c>
      <c r="L918" s="23"/>
      <c r="M918" s="24">
        <v>0</v>
      </c>
      <c r="N918" s="25"/>
      <c r="O918" s="24">
        <v>0</v>
      </c>
      <c r="P918" s="136">
        <f>+IF(PROVEEDORES[[#This Row],[SUBTOTAL]]&lt;PROVEEDORES[[#This Row],[base retencion]],0,PROVEEDORES[[#This Row],[retención aplicada]])</f>
        <v>0</v>
      </c>
      <c r="Q918" s="24">
        <f>+PROVEEDORES[[#This Row],[Rete Fuente %]]*PROVEEDORES[[#This Row],[SUBTOTAL]]</f>
        <v>0</v>
      </c>
      <c r="R918" s="23">
        <v>264000</v>
      </c>
      <c r="S91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8" s="99">
        <f ca="1">IF(PROVEEDORES[[#This Row],[FECHA DE PAGO]]=0,TODAY()-PROVEEDORES[[#This Row],[FECHA DE FACTURACIÓN]]-PROVEEDORES[[#This Row],[PLAZO Días]],0)</f>
        <v>0</v>
      </c>
      <c r="U918" s="149">
        <f>+VLOOKUP(PROVEEDORES[[#This Row],[PROVEEDOR]],Terceros!$A:$E,5,FALSE)</f>
        <v>0</v>
      </c>
      <c r="V918" s="150">
        <f>+YEAR(PROVEEDORES[[#This Row],[FECHA DE FACTURACIÓN]])</f>
        <v>2021</v>
      </c>
      <c r="W918" s="150">
        <f>+MATCH(PROVEEDORES[[#This Row],[año facturado]],Retenciones!$1:$1,0)</f>
        <v>4</v>
      </c>
      <c r="X918" s="151">
        <f>+VLOOKUP(PROVEEDORES[[#This Row],[ID RETENCION]],Retenciones!$A$1:$O$24,PROVEEDORES[[#This Row],[indicador de columna]],FALSE)</f>
        <v>0</v>
      </c>
      <c r="Y918" s="152">
        <f>+VLOOKUP(PROVEEDORES[[#This Row],[ID RETENCION]],Retenciones!$A$1:$O$24,2,FALSE)</f>
        <v>0</v>
      </c>
      <c r="Z918" s="26"/>
      <c r="AA918" s="26"/>
      <c r="AB918" s="26"/>
      <c r="AC918" s="26"/>
      <c r="AD918" s="26"/>
      <c r="AE918" s="26"/>
    </row>
    <row r="919" spans="1:31" ht="21.95" customHeight="1" x14ac:dyDescent="0.25">
      <c r="A919" s="97" t="str">
        <f>+IF(PROVEEDORES[[#This Row],[FECHA DE PAGO]]=PROVEEDORES[[#This Row],[FECHA DE FACTURACIÓN]],"DE CONTADO","CRÉDITO")</f>
        <v>CRÉDITO</v>
      </c>
      <c r="B919" s="41" t="str">
        <f>+IF((PROVEEDORES[[#This Row],[FECHA DE PAGO]]-PROVEEDORES[[#This Row],[FECHA DE FACTURACIÓN]])&gt;PROVEEDORES[[#This Row],[PLAZO Días]],"PAGO VENCIDO")</f>
        <v>PAGO VENCIDO</v>
      </c>
      <c r="C919" s="22">
        <f>+VLOOKUP(PROVEEDORES[[#This Row],[PROVEEDOR]],TERCEROS_INFO[#All],2,FALSE)</f>
        <v>30</v>
      </c>
      <c r="D919" s="27">
        <f>+SUMIFS(PROVEEDORES[Total],PROVEEDORES[PROVEEDOR],PROVEEDORES[[#This Row],[PROVEEDOR]],PROVEEDORES[FECHA DE PAGO],"")</f>
        <v>0</v>
      </c>
      <c r="E919" s="27"/>
      <c r="F919" s="62" t="str">
        <f>+VLOOKUP(PROVEEDORES[[#This Row],[PROVEEDOR]],
                       Terceros!$A:$G,
                       6,
                       FALSE)</f>
        <v>lpena@tbplusenergy.com;girlesa.ruiz@servipilas.com;joriescobar64@gmail.com</v>
      </c>
      <c r="G919" s="95">
        <v>44537</v>
      </c>
      <c r="H919" s="28" t="s">
        <v>471</v>
      </c>
      <c r="I919" s="95">
        <v>44497</v>
      </c>
      <c r="J919" s="38">
        <v>10615</v>
      </c>
      <c r="K919" s="23">
        <v>1380000</v>
      </c>
      <c r="L919" s="23"/>
      <c r="M919" s="24">
        <v>262200</v>
      </c>
      <c r="N919" s="25"/>
      <c r="O919" s="24">
        <v>0</v>
      </c>
      <c r="P919" s="136">
        <f>+IF(PROVEEDORES[[#This Row],[SUBTOTAL]]&lt;PROVEEDORES[[#This Row],[base retencion]],0,PROVEEDORES[[#This Row],[retención aplicada]])</f>
        <v>2.5000000000000001E-2</v>
      </c>
      <c r="Q919" s="24">
        <f>+PROVEEDORES[[#This Row],[Rete Fuente %]]*PROVEEDORES[[#This Row],[SUBTOTAL]]</f>
        <v>34500</v>
      </c>
      <c r="R919" s="23">
        <v>1607700</v>
      </c>
      <c r="S91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9" s="99">
        <f ca="1">IF(PROVEEDORES[[#This Row],[FECHA DE PAGO]]=0,TODAY()-PROVEEDORES[[#This Row],[FECHA DE FACTURACIÓN]]-PROVEEDORES[[#This Row],[PLAZO Días]],0)</f>
        <v>0</v>
      </c>
      <c r="U919" s="149" t="str">
        <f>+VLOOKUP(PROVEEDORES[[#This Row],[PROVEEDOR]],Terceros!$A:$E,5,FALSE)</f>
        <v>2,5% con base</v>
      </c>
      <c r="V919" s="150">
        <f>+YEAR(PROVEEDORES[[#This Row],[FECHA DE FACTURACIÓN]])</f>
        <v>2021</v>
      </c>
      <c r="W919" s="150">
        <f>+MATCH(PROVEEDORES[[#This Row],[año facturado]],Retenciones!$1:$1,0)</f>
        <v>4</v>
      </c>
      <c r="X919" s="151">
        <f>+VLOOKUP(PROVEEDORES[[#This Row],[ID RETENCION]],Retenciones!$A$1:$O$24,PROVEEDORES[[#This Row],[indicador de columna]],FALSE)</f>
        <v>980000</v>
      </c>
      <c r="Y919" s="152">
        <f>+VLOOKUP(PROVEEDORES[[#This Row],[ID RETENCION]],Retenciones!$A$1:$O$24,2,FALSE)</f>
        <v>2.5000000000000001E-2</v>
      </c>
      <c r="Z919" s="26"/>
      <c r="AA919" s="26"/>
      <c r="AB919" s="26"/>
      <c r="AC919" s="26"/>
      <c r="AD919" s="26"/>
      <c r="AE919" s="26"/>
    </row>
    <row r="920" spans="1:31" ht="21.95" customHeight="1" x14ac:dyDescent="0.25">
      <c r="A920" s="97" t="str">
        <f>+IF(PROVEEDORES[[#This Row],[FECHA DE PAGO]]=PROVEEDORES[[#This Row],[FECHA DE FACTURACIÓN]],"DE CONTADO","CRÉDITO")</f>
        <v>CRÉDITO</v>
      </c>
      <c r="B920" s="41" t="b">
        <f>+IF((PROVEEDORES[[#This Row],[FECHA DE PAGO]]-PROVEEDORES[[#This Row],[FECHA DE FACTURACIÓN]])&gt;PROVEEDORES[[#This Row],[PLAZO Días]],"PAGO VENCIDO")</f>
        <v>0</v>
      </c>
      <c r="C920" s="22">
        <f>+VLOOKUP(PROVEEDORES[[#This Row],[PROVEEDOR]],TERCEROS_INFO[#All],2,FALSE)</f>
        <v>30</v>
      </c>
      <c r="D920" s="27">
        <f>+SUMIFS(PROVEEDORES[Total],PROVEEDORES[PROVEEDOR],PROVEEDORES[[#This Row],[PROVEEDOR]],PROVEEDORES[FECHA DE PAGO],"")</f>
        <v>0</v>
      </c>
      <c r="E920" s="27"/>
      <c r="F920" s="62" t="str">
        <f>+VLOOKUP(PROVEEDORES[[#This Row],[PROVEEDOR]],
                       Terceros!$A:$G,
                       6,
                       FALSE)</f>
        <v/>
      </c>
      <c r="G920" s="95">
        <v>44498</v>
      </c>
      <c r="H920" s="28" t="s">
        <v>1001</v>
      </c>
      <c r="I920" s="95">
        <v>44497</v>
      </c>
      <c r="J920" s="38" t="s">
        <v>863</v>
      </c>
      <c r="K920" s="23">
        <v>3984500</v>
      </c>
      <c r="L920" s="23"/>
      <c r="M920" s="24">
        <v>0</v>
      </c>
      <c r="N920" s="25"/>
      <c r="O920" s="24">
        <v>0</v>
      </c>
      <c r="P920" s="136">
        <f>+IF(PROVEEDORES[[#This Row],[SUBTOTAL]]&lt;PROVEEDORES[[#This Row],[base retencion]],0,PROVEEDORES[[#This Row],[retención aplicada]])</f>
        <v>0</v>
      </c>
      <c r="Q920" s="24">
        <f>+PROVEEDORES[[#This Row],[Rete Fuente %]]*PROVEEDORES[[#This Row],[SUBTOTAL]]</f>
        <v>0</v>
      </c>
      <c r="R920" s="23">
        <v>3984500</v>
      </c>
      <c r="S92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0" s="99">
        <f ca="1">IF(PROVEEDORES[[#This Row],[FECHA DE PAGO]]=0,TODAY()-PROVEEDORES[[#This Row],[FECHA DE FACTURACIÓN]]-PROVEEDORES[[#This Row],[PLAZO Días]],0)</f>
        <v>0</v>
      </c>
      <c r="U920" s="149">
        <f>+VLOOKUP(PROVEEDORES[[#This Row],[PROVEEDOR]],Terceros!$A:$E,5,FALSE)</f>
        <v>0</v>
      </c>
      <c r="V920" s="150">
        <f>+YEAR(PROVEEDORES[[#This Row],[FECHA DE FACTURACIÓN]])</f>
        <v>2021</v>
      </c>
      <c r="W920" s="150">
        <f>+MATCH(PROVEEDORES[[#This Row],[año facturado]],Retenciones!$1:$1,0)</f>
        <v>4</v>
      </c>
      <c r="X920" s="151">
        <f>+VLOOKUP(PROVEEDORES[[#This Row],[ID RETENCION]],Retenciones!$A$1:$O$24,PROVEEDORES[[#This Row],[indicador de columna]],FALSE)</f>
        <v>0</v>
      </c>
      <c r="Y920" s="152">
        <f>+VLOOKUP(PROVEEDORES[[#This Row],[ID RETENCION]],Retenciones!$A$1:$O$24,2,FALSE)</f>
        <v>0</v>
      </c>
      <c r="Z920" s="26"/>
      <c r="AA920" s="26"/>
      <c r="AB920" s="26"/>
      <c r="AC920" s="26"/>
      <c r="AD920" s="26"/>
      <c r="AE920" s="26"/>
    </row>
    <row r="921" spans="1:31" ht="21.95" customHeight="1" x14ac:dyDescent="0.25">
      <c r="A921" s="97" t="str">
        <f>+IF(PROVEEDORES[[#This Row],[FECHA DE PAGO]]=PROVEEDORES[[#This Row],[FECHA DE FACTURACIÓN]],"DE CONTADO","CRÉDITO")</f>
        <v>CRÉDITO</v>
      </c>
      <c r="B921" s="41" t="str">
        <f>+IF((PROVEEDORES[[#This Row],[FECHA DE PAGO]]-PROVEEDORES[[#This Row],[FECHA DE FACTURACIÓN]])&gt;PROVEEDORES[[#This Row],[PLAZO Días]],"PAGO VENCIDO")</f>
        <v>PAGO VENCIDO</v>
      </c>
      <c r="C921" s="22">
        <f>+VLOOKUP(PROVEEDORES[[#This Row],[PROVEEDOR]],TERCEROS_INFO[#All],2,FALSE)</f>
        <v>30</v>
      </c>
      <c r="D921" s="27">
        <f>+SUMIFS(PROVEEDORES[Total],PROVEEDORES[PROVEEDOR],PROVEEDORES[[#This Row],[PROVEEDOR]],PROVEEDORES[FECHA DE PAGO],"")</f>
        <v>3844432.4999000002</v>
      </c>
      <c r="E921" s="27"/>
      <c r="F921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921" s="95">
        <v>44543</v>
      </c>
      <c r="H921" s="28" t="s">
        <v>18</v>
      </c>
      <c r="I921" s="95">
        <v>44497</v>
      </c>
      <c r="J921" s="38">
        <v>1045170</v>
      </c>
      <c r="K921" s="23">
        <v>4549510.08</v>
      </c>
      <c r="L921" s="23"/>
      <c r="M921" s="24">
        <v>864406.91520000005</v>
      </c>
      <c r="N921" s="25"/>
      <c r="O921" s="24">
        <v>0</v>
      </c>
      <c r="P921" s="136">
        <f>+IF(PROVEEDORES[[#This Row],[SUBTOTAL]]&lt;PROVEEDORES[[#This Row],[base retencion]],0,PROVEEDORES[[#This Row],[retención aplicada]])</f>
        <v>2.5000000000000001E-2</v>
      </c>
      <c r="Q921" s="24">
        <f>+PROVEEDORES[[#This Row],[Rete Fuente %]]*PROVEEDORES[[#This Row],[SUBTOTAL]]</f>
        <v>113737.75200000001</v>
      </c>
      <c r="R921" s="23">
        <v>5300179.2431999994</v>
      </c>
      <c r="S92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1" s="99">
        <f ca="1">IF(PROVEEDORES[[#This Row],[FECHA DE PAGO]]=0,TODAY()-PROVEEDORES[[#This Row],[FECHA DE FACTURACIÓN]]-PROVEEDORES[[#This Row],[PLAZO Días]],0)</f>
        <v>0</v>
      </c>
      <c r="U921" s="149" t="str">
        <f>+VLOOKUP(PROVEEDORES[[#This Row],[PROVEEDOR]],Terceros!$A:$E,5,FALSE)</f>
        <v>2,5% con base</v>
      </c>
      <c r="V921" s="150">
        <f>+YEAR(PROVEEDORES[[#This Row],[FECHA DE FACTURACIÓN]])</f>
        <v>2021</v>
      </c>
      <c r="W921" s="150">
        <f>+MATCH(PROVEEDORES[[#This Row],[año facturado]],Retenciones!$1:$1,0)</f>
        <v>4</v>
      </c>
      <c r="X921" s="151">
        <f>+VLOOKUP(PROVEEDORES[[#This Row],[ID RETENCION]],Retenciones!$A$1:$O$24,PROVEEDORES[[#This Row],[indicador de columna]],FALSE)</f>
        <v>980000</v>
      </c>
      <c r="Y921" s="152">
        <f>+VLOOKUP(PROVEEDORES[[#This Row],[ID RETENCION]],Retenciones!$A$1:$O$24,2,FALSE)</f>
        <v>2.5000000000000001E-2</v>
      </c>
      <c r="Z921" s="26"/>
      <c r="AA921" s="26"/>
      <c r="AB921" s="26"/>
      <c r="AC921" s="26"/>
      <c r="AD921" s="26"/>
      <c r="AE921" s="26"/>
    </row>
    <row r="922" spans="1:31" ht="21.95" customHeight="1" x14ac:dyDescent="0.25">
      <c r="A922" s="97" t="str">
        <f>+IF(PROVEEDORES[[#This Row],[FECHA DE PAGO]]=PROVEEDORES[[#This Row],[FECHA DE FACTURACIÓN]],"DE CONTADO","CRÉDITO")</f>
        <v>CRÉDITO</v>
      </c>
      <c r="B922" s="41" t="str">
        <f>+IF((PROVEEDORES[[#This Row],[FECHA DE PAGO]]-PROVEEDORES[[#This Row],[FECHA DE FACTURACIÓN]])&gt;PROVEEDORES[[#This Row],[PLAZO Días]],"PAGO VENCIDO")</f>
        <v>PAGO VENCIDO</v>
      </c>
      <c r="C922" s="22">
        <f>+VLOOKUP(PROVEEDORES[[#This Row],[PROVEEDOR]],TERCEROS_INFO[#All],2,FALSE)</f>
        <v>30</v>
      </c>
      <c r="D922" s="27">
        <f>+SUMIFS(PROVEEDORES[Total],PROVEEDORES[PROVEEDOR],PROVEEDORES[[#This Row],[PROVEEDOR]],PROVEEDORES[FECHA DE PAGO],"")</f>
        <v>21832129.73</v>
      </c>
      <c r="E922" s="27"/>
      <c r="F922" s="62" t="str">
        <f>+VLOOKUP(PROVEEDORES[[#This Row],[PROVEEDOR]],
                       Terceros!$A:$G,
                       6,
                       FALSE)</f>
        <v>cartera1@grupostatur.com;girlesa.ruiz@servipilas.com;joriescobar64@gmail.com</v>
      </c>
      <c r="G922" s="95">
        <v>44533</v>
      </c>
      <c r="H922" s="28" t="s">
        <v>9</v>
      </c>
      <c r="I922" s="95">
        <v>44498</v>
      </c>
      <c r="J922" s="38" t="s">
        <v>867</v>
      </c>
      <c r="K922" s="23">
        <v>-5000000</v>
      </c>
      <c r="L922" s="23"/>
      <c r="M922" s="24">
        <v>0</v>
      </c>
      <c r="N922" s="25"/>
      <c r="O922" s="24">
        <v>0</v>
      </c>
      <c r="P922" s="136">
        <f>+IF(PROVEEDORES[[#This Row],[SUBTOTAL]]&lt;PROVEEDORES[[#This Row],[base retencion]],0,PROVEEDORES[[#This Row],[retención aplicada]])</f>
        <v>0</v>
      </c>
      <c r="Q922" s="24">
        <f>+PROVEEDORES[[#This Row],[Rete Fuente %]]*PROVEEDORES[[#This Row],[SUBTOTAL]]</f>
        <v>0</v>
      </c>
      <c r="R922" s="23">
        <v>-5000000</v>
      </c>
      <c r="S92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2" s="99">
        <f ca="1">IF(PROVEEDORES[[#This Row],[FECHA DE PAGO]]=0,TODAY()-PROVEEDORES[[#This Row],[FECHA DE FACTURACIÓN]]-PROVEEDORES[[#This Row],[PLAZO Días]],0)</f>
        <v>0</v>
      </c>
      <c r="U922" s="149" t="str">
        <f>+VLOOKUP(PROVEEDORES[[#This Row],[PROVEEDOR]],Terceros!$A:$E,5,FALSE)</f>
        <v>2,5% con base</v>
      </c>
      <c r="V922" s="150">
        <f>+YEAR(PROVEEDORES[[#This Row],[FECHA DE FACTURACIÓN]])</f>
        <v>2021</v>
      </c>
      <c r="W922" s="150">
        <f>+MATCH(PROVEEDORES[[#This Row],[año facturado]],Retenciones!$1:$1,0)</f>
        <v>4</v>
      </c>
      <c r="X922" s="151">
        <f>+VLOOKUP(PROVEEDORES[[#This Row],[ID RETENCION]],Retenciones!$A$1:$O$24,PROVEEDORES[[#This Row],[indicador de columna]],FALSE)</f>
        <v>980000</v>
      </c>
      <c r="Y922" s="152">
        <f>+VLOOKUP(PROVEEDORES[[#This Row],[ID RETENCION]],Retenciones!$A$1:$O$24,2,FALSE)</f>
        <v>2.5000000000000001E-2</v>
      </c>
      <c r="Z922" s="26"/>
      <c r="AA922" s="26"/>
      <c r="AB922" s="26"/>
      <c r="AC922" s="26"/>
      <c r="AD922" s="26"/>
      <c r="AE922" s="26"/>
    </row>
    <row r="923" spans="1:31" ht="21.95" customHeight="1" x14ac:dyDescent="0.25">
      <c r="A923" s="97" t="str">
        <f>+IF(PROVEEDORES[[#This Row],[FECHA DE PAGO]]=PROVEEDORES[[#This Row],[FECHA DE FACTURACIÓN]],"DE CONTADO","CRÉDITO")</f>
        <v>DE CONTADO</v>
      </c>
      <c r="B923" s="41" t="b">
        <f>+IF((PROVEEDORES[[#This Row],[FECHA DE PAGO]]-PROVEEDORES[[#This Row],[FECHA DE FACTURACIÓN]])&gt;PROVEEDORES[[#This Row],[PLAZO Días]],"PAGO VENCIDO")</f>
        <v>0</v>
      </c>
      <c r="C923" s="22">
        <f>+VLOOKUP(PROVEEDORES[[#This Row],[PROVEEDOR]],TERCEROS_INFO[#All],2,FALSE)</f>
        <v>30</v>
      </c>
      <c r="D923" s="27">
        <f>+SUMIFS(PROVEEDORES[Total],PROVEEDORES[PROVEEDOR],PROVEEDORES[[#This Row],[PROVEEDOR]],PROVEEDORES[FECHA DE PAGO],"")</f>
        <v>0</v>
      </c>
      <c r="E923" s="27"/>
      <c r="F923" s="62" t="str">
        <f>+VLOOKUP(PROVEEDORES[[#This Row],[PROVEEDOR]],
                       Terceros!$A:$G,
                       6,
                       FALSE)</f>
        <v/>
      </c>
      <c r="G923" s="95">
        <v>44498</v>
      </c>
      <c r="H923" s="28" t="s">
        <v>1010</v>
      </c>
      <c r="I923" s="95">
        <v>44498</v>
      </c>
      <c r="J923" s="38" t="s">
        <v>866</v>
      </c>
      <c r="K923" s="23">
        <v>35000</v>
      </c>
      <c r="L923" s="23"/>
      <c r="M923" s="24">
        <v>0</v>
      </c>
      <c r="N923" s="25"/>
      <c r="O923" s="24">
        <v>0</v>
      </c>
      <c r="P923" s="136">
        <f>+IF(PROVEEDORES[[#This Row],[SUBTOTAL]]&lt;PROVEEDORES[[#This Row],[base retencion]],0,PROVEEDORES[[#This Row],[retención aplicada]])</f>
        <v>0</v>
      </c>
      <c r="Q923" s="24">
        <f>+PROVEEDORES[[#This Row],[Rete Fuente %]]*PROVEEDORES[[#This Row],[SUBTOTAL]]</f>
        <v>0</v>
      </c>
      <c r="R923" s="23">
        <v>35000</v>
      </c>
      <c r="S92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3" s="99">
        <f ca="1">IF(PROVEEDORES[[#This Row],[FECHA DE PAGO]]=0,TODAY()-PROVEEDORES[[#This Row],[FECHA DE FACTURACIÓN]]-PROVEEDORES[[#This Row],[PLAZO Días]],0)</f>
        <v>0</v>
      </c>
      <c r="U923" s="149">
        <f>+VLOOKUP(PROVEEDORES[[#This Row],[PROVEEDOR]],Terceros!$A:$E,5,FALSE)</f>
        <v>0</v>
      </c>
      <c r="V923" s="150">
        <f>+YEAR(PROVEEDORES[[#This Row],[FECHA DE FACTURACIÓN]])</f>
        <v>2021</v>
      </c>
      <c r="W923" s="150">
        <f>+MATCH(PROVEEDORES[[#This Row],[año facturado]],Retenciones!$1:$1,0)</f>
        <v>4</v>
      </c>
      <c r="X923" s="151">
        <f>+VLOOKUP(PROVEEDORES[[#This Row],[ID RETENCION]],Retenciones!$A$1:$O$24,PROVEEDORES[[#This Row],[indicador de columna]],FALSE)</f>
        <v>0</v>
      </c>
      <c r="Y923" s="152">
        <f>+VLOOKUP(PROVEEDORES[[#This Row],[ID RETENCION]],Retenciones!$A$1:$O$24,2,FALSE)</f>
        <v>0</v>
      </c>
      <c r="Z923" s="26"/>
      <c r="AA923" s="26"/>
      <c r="AB923" s="26"/>
      <c r="AC923" s="26"/>
      <c r="AD923" s="26"/>
      <c r="AE923" s="26"/>
    </row>
    <row r="924" spans="1:31" ht="21.95" customHeight="1" x14ac:dyDescent="0.25">
      <c r="A924" s="97" t="str">
        <f>+IF(PROVEEDORES[[#This Row],[FECHA DE PAGO]]=PROVEEDORES[[#This Row],[FECHA DE FACTURACIÓN]],"DE CONTADO","CRÉDITO")</f>
        <v>CRÉDITO</v>
      </c>
      <c r="B924" s="41" t="str">
        <f>+IF((PROVEEDORES[[#This Row],[FECHA DE PAGO]]-PROVEEDORES[[#This Row],[FECHA DE FACTURACIÓN]])&gt;PROVEEDORES[[#This Row],[PLAZO Días]],"PAGO VENCIDO")</f>
        <v>PAGO VENCIDO</v>
      </c>
      <c r="C924" s="22">
        <f>+VLOOKUP(PROVEEDORES[[#This Row],[PROVEEDOR]],TERCEROS_INFO[#All],2,FALSE)</f>
        <v>30</v>
      </c>
      <c r="D924" s="27">
        <f>+SUMIFS(PROVEEDORES[Total],PROVEEDORES[PROVEEDOR],PROVEEDORES[[#This Row],[PROVEEDOR]],PROVEEDORES[FECHA DE PAGO],"")</f>
        <v>0</v>
      </c>
      <c r="E924" s="27"/>
      <c r="F924" s="62" t="str">
        <f>+VLOOKUP(PROVEEDORES[[#This Row],[PROVEEDOR]],
                       Terceros!$A:$G,
                       6,
                       FALSE)</f>
        <v/>
      </c>
      <c r="G924" s="95">
        <v>44557</v>
      </c>
      <c r="H924" s="28" t="s">
        <v>983</v>
      </c>
      <c r="I924" s="95">
        <v>44498</v>
      </c>
      <c r="J924" s="38" t="s">
        <v>864</v>
      </c>
      <c r="K924" s="23">
        <v>168000</v>
      </c>
      <c r="L924" s="23"/>
      <c r="M924" s="24">
        <v>0</v>
      </c>
      <c r="N924" s="25"/>
      <c r="O924" s="24">
        <v>0</v>
      </c>
      <c r="P924" s="136">
        <f>+IF(PROVEEDORES[[#This Row],[SUBTOTAL]]&lt;PROVEEDORES[[#This Row],[base retencion]],0,PROVEEDORES[[#This Row],[retención aplicada]])</f>
        <v>0</v>
      </c>
      <c r="Q924" s="24">
        <f>+PROVEEDORES[[#This Row],[Rete Fuente %]]*PROVEEDORES[[#This Row],[SUBTOTAL]]</f>
        <v>0</v>
      </c>
      <c r="R924" s="23">
        <v>168000</v>
      </c>
      <c r="S92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4" s="99">
        <f ca="1">IF(PROVEEDORES[[#This Row],[FECHA DE PAGO]]=0,TODAY()-PROVEEDORES[[#This Row],[FECHA DE FACTURACIÓN]]-PROVEEDORES[[#This Row],[PLAZO Días]],0)</f>
        <v>0</v>
      </c>
      <c r="U924" s="149">
        <f>+VLOOKUP(PROVEEDORES[[#This Row],[PROVEEDOR]],Terceros!$A:$E,5,FALSE)</f>
        <v>0</v>
      </c>
      <c r="V924" s="150">
        <f>+YEAR(PROVEEDORES[[#This Row],[FECHA DE FACTURACIÓN]])</f>
        <v>2021</v>
      </c>
      <c r="W924" s="150">
        <f>+MATCH(PROVEEDORES[[#This Row],[año facturado]],Retenciones!$1:$1,0)</f>
        <v>4</v>
      </c>
      <c r="X924" s="151">
        <f>+VLOOKUP(PROVEEDORES[[#This Row],[ID RETENCION]],Retenciones!$A$1:$O$24,PROVEEDORES[[#This Row],[indicador de columna]],FALSE)</f>
        <v>0</v>
      </c>
      <c r="Y924" s="152">
        <f>+VLOOKUP(PROVEEDORES[[#This Row],[ID RETENCION]],Retenciones!$A$1:$O$24,2,FALSE)</f>
        <v>0</v>
      </c>
      <c r="Z924" s="26"/>
      <c r="AA924" s="26"/>
      <c r="AB924" s="26"/>
      <c r="AC924" s="26"/>
      <c r="AD924" s="26"/>
      <c r="AE924" s="26"/>
    </row>
    <row r="925" spans="1:31" ht="21.95" customHeight="1" x14ac:dyDescent="0.25">
      <c r="A925" s="97" t="str">
        <f>+IF(PROVEEDORES[[#This Row],[FECHA DE PAGO]]=PROVEEDORES[[#This Row],[FECHA DE FACTURACIÓN]],"DE CONTADO","CRÉDITO")</f>
        <v>CRÉDITO</v>
      </c>
      <c r="B925" s="41" t="str">
        <f>+IF((PROVEEDORES[[#This Row],[FECHA DE PAGO]]-PROVEEDORES[[#This Row],[FECHA DE FACTURACIÓN]])&gt;PROVEEDORES[[#This Row],[PLAZO Días]],"PAGO VENCIDO")</f>
        <v>PAGO VENCIDO</v>
      </c>
      <c r="C925" s="22">
        <f>+VLOOKUP(PROVEEDORES[[#This Row],[PROVEEDOR]],TERCEROS_INFO[#All],2,FALSE)</f>
        <v>30</v>
      </c>
      <c r="D925" s="27">
        <f>+SUMIFS(PROVEEDORES[Total],PROVEEDORES[PROVEEDOR],PROVEEDORES[[#This Row],[PROVEEDOR]],PROVEEDORES[FECHA DE PAGO],"")</f>
        <v>0</v>
      </c>
      <c r="E925" s="27"/>
      <c r="F925" s="62" t="str">
        <f>+VLOOKUP(PROVEEDORES[[#This Row],[PROVEEDOR]],
                       Terceros!$A:$G,
                       6,
                       FALSE)</f>
        <v>avelinacomer@gmail.com;girlesa.ruiz@servipilas.com;joriescobar64@gmail.com</v>
      </c>
      <c r="G925" s="95">
        <v>44546</v>
      </c>
      <c r="H925" s="28" t="s">
        <v>994</v>
      </c>
      <c r="I925" s="95">
        <v>44498</v>
      </c>
      <c r="J925" s="38" t="s">
        <v>865</v>
      </c>
      <c r="K925" s="23">
        <v>180800</v>
      </c>
      <c r="L925" s="23"/>
      <c r="M925" s="24">
        <v>0</v>
      </c>
      <c r="N925" s="25"/>
      <c r="O925" s="24">
        <v>0</v>
      </c>
      <c r="P925" s="136">
        <f>+IF(PROVEEDORES[[#This Row],[SUBTOTAL]]&lt;PROVEEDORES[[#This Row],[base retencion]],0,PROVEEDORES[[#This Row],[retención aplicada]])</f>
        <v>0</v>
      </c>
      <c r="Q925" s="24">
        <f>+PROVEEDORES[[#This Row],[Rete Fuente %]]*PROVEEDORES[[#This Row],[SUBTOTAL]]</f>
        <v>0</v>
      </c>
      <c r="R925" s="23">
        <v>180800</v>
      </c>
      <c r="S92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5" s="99">
        <f ca="1">IF(PROVEEDORES[[#This Row],[FECHA DE PAGO]]=0,TODAY()-PROVEEDORES[[#This Row],[FECHA DE FACTURACIÓN]]-PROVEEDORES[[#This Row],[PLAZO Días]],0)</f>
        <v>0</v>
      </c>
      <c r="U925" s="149">
        <f>+VLOOKUP(PROVEEDORES[[#This Row],[PROVEEDOR]],Terceros!$A:$E,5,FALSE)</f>
        <v>0</v>
      </c>
      <c r="V925" s="150">
        <f>+YEAR(PROVEEDORES[[#This Row],[FECHA DE FACTURACIÓN]])</f>
        <v>2021</v>
      </c>
      <c r="W925" s="150">
        <f>+MATCH(PROVEEDORES[[#This Row],[año facturado]],Retenciones!$1:$1,0)</f>
        <v>4</v>
      </c>
      <c r="X925" s="151">
        <f>+VLOOKUP(PROVEEDORES[[#This Row],[ID RETENCION]],Retenciones!$A$1:$O$24,PROVEEDORES[[#This Row],[indicador de columna]],FALSE)</f>
        <v>0</v>
      </c>
      <c r="Y925" s="152">
        <f>+VLOOKUP(PROVEEDORES[[#This Row],[ID RETENCION]],Retenciones!$A$1:$O$24,2,FALSE)</f>
        <v>0</v>
      </c>
      <c r="Z925" s="26"/>
      <c r="AA925" s="26"/>
      <c r="AB925" s="26"/>
      <c r="AC925" s="26"/>
      <c r="AD925" s="26"/>
      <c r="AE925" s="26"/>
    </row>
    <row r="926" spans="1:31" ht="21.95" customHeight="1" x14ac:dyDescent="0.25">
      <c r="A926" s="97" t="str">
        <f>+IF(PROVEEDORES[[#This Row],[FECHA DE PAGO]]=PROVEEDORES[[#This Row],[FECHA DE FACTURACIÓN]],"DE CONTADO","CRÉDITO")</f>
        <v>DE CONTADO</v>
      </c>
      <c r="B926" s="41" t="b">
        <f>+IF((PROVEEDORES[[#This Row],[FECHA DE PAGO]]-PROVEEDORES[[#This Row],[FECHA DE FACTURACIÓN]])&gt;PROVEEDORES[[#This Row],[PLAZO Días]],"PAGO VENCIDO")</f>
        <v>0</v>
      </c>
      <c r="C926" s="22">
        <f>+VLOOKUP(PROVEEDORES[[#This Row],[PROVEEDOR]],TERCEROS_INFO[#All],2,FALSE)</f>
        <v>30</v>
      </c>
      <c r="D926" s="27">
        <f>+SUMIFS(PROVEEDORES[Total],PROVEEDORES[PROVEEDOR],PROVEEDORES[[#This Row],[PROVEEDOR]],PROVEEDORES[FECHA DE PAGO],"")</f>
        <v>0</v>
      </c>
      <c r="E926" s="27"/>
      <c r="F926" s="62" t="str">
        <f>+VLOOKUP(PROVEEDORES[[#This Row],[PROVEEDOR]],
                       Terceros!$A:$G,
                       6,
                       FALSE)</f>
        <v/>
      </c>
      <c r="G926" s="95">
        <v>44498</v>
      </c>
      <c r="H926" s="28" t="s">
        <v>1046</v>
      </c>
      <c r="I926" s="95">
        <v>44498</v>
      </c>
      <c r="J926" s="38"/>
      <c r="K926" s="23">
        <v>1000000</v>
      </c>
      <c r="L926" s="23"/>
      <c r="M926" s="24">
        <v>0</v>
      </c>
      <c r="N926" s="25"/>
      <c r="O926" s="24">
        <v>0</v>
      </c>
      <c r="P926" s="136">
        <f>+IF(PROVEEDORES[[#This Row],[SUBTOTAL]]&lt;PROVEEDORES[[#This Row],[base retencion]],0,PROVEEDORES[[#This Row],[retención aplicada]])</f>
        <v>0</v>
      </c>
      <c r="Q926" s="24">
        <f>+PROVEEDORES[[#This Row],[Rete Fuente %]]*PROVEEDORES[[#This Row],[SUBTOTAL]]</f>
        <v>0</v>
      </c>
      <c r="R926" s="23">
        <v>1000000</v>
      </c>
      <c r="S92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6" s="99">
        <f ca="1">IF(PROVEEDORES[[#This Row],[FECHA DE PAGO]]=0,TODAY()-PROVEEDORES[[#This Row],[FECHA DE FACTURACIÓN]]-PROVEEDORES[[#This Row],[PLAZO Días]],0)</f>
        <v>0</v>
      </c>
      <c r="U926" s="149">
        <f>+VLOOKUP(PROVEEDORES[[#This Row],[PROVEEDOR]],Terceros!$A:$E,5,FALSE)</f>
        <v>0</v>
      </c>
      <c r="V926" s="150">
        <f>+YEAR(PROVEEDORES[[#This Row],[FECHA DE FACTURACIÓN]])</f>
        <v>2021</v>
      </c>
      <c r="W926" s="150">
        <f>+MATCH(PROVEEDORES[[#This Row],[año facturado]],Retenciones!$1:$1,0)</f>
        <v>4</v>
      </c>
      <c r="X926" s="151">
        <f>+VLOOKUP(PROVEEDORES[[#This Row],[ID RETENCION]],Retenciones!$A$1:$O$24,PROVEEDORES[[#This Row],[indicador de columna]],FALSE)</f>
        <v>0</v>
      </c>
      <c r="Y926" s="152">
        <f>+VLOOKUP(PROVEEDORES[[#This Row],[ID RETENCION]],Retenciones!$A$1:$O$24,2,FALSE)</f>
        <v>0</v>
      </c>
      <c r="Z926" s="26"/>
      <c r="AA926" s="26"/>
      <c r="AB926" s="26"/>
      <c r="AC926" s="26"/>
      <c r="AD926" s="26"/>
      <c r="AE926" s="26"/>
    </row>
    <row r="927" spans="1:31" ht="21.95" customHeight="1" x14ac:dyDescent="0.25">
      <c r="A927" s="97" t="str">
        <f>+IF(PROVEEDORES[[#This Row],[FECHA DE PAGO]]=PROVEEDORES[[#This Row],[FECHA DE FACTURACIÓN]],"DE CONTADO","CRÉDITO")</f>
        <v>DE CONTADO</v>
      </c>
      <c r="B927" s="41" t="b">
        <f>+IF((PROVEEDORES[[#This Row],[FECHA DE PAGO]]-PROVEEDORES[[#This Row],[FECHA DE FACTURACIÓN]])&gt;PROVEEDORES[[#This Row],[PLAZO Días]],"PAGO VENCIDO")</f>
        <v>0</v>
      </c>
      <c r="C927" s="22">
        <f>+VLOOKUP(PROVEEDORES[[#This Row],[PROVEEDOR]],TERCEROS_INFO[#All],2,FALSE)</f>
        <v>30</v>
      </c>
      <c r="D927" s="27">
        <f>+SUMIFS(PROVEEDORES[Total],PROVEEDORES[PROVEEDOR],PROVEEDORES[[#This Row],[PROVEEDOR]],PROVEEDORES[FECHA DE PAGO],"")</f>
        <v>0</v>
      </c>
      <c r="E927" s="27"/>
      <c r="F927" s="62" t="str">
        <f>+VLOOKUP(PROVEEDORES[[#This Row],[PROVEEDOR]],
                       Terceros!$A:$G,
                       6,
                       FALSE)</f>
        <v/>
      </c>
      <c r="G927" s="95">
        <v>44500</v>
      </c>
      <c r="H927" s="28" t="s">
        <v>1010</v>
      </c>
      <c r="I927" s="95">
        <v>44500</v>
      </c>
      <c r="J927" s="38" t="s">
        <v>664</v>
      </c>
      <c r="K927" s="23">
        <v>101500</v>
      </c>
      <c r="L927" s="23"/>
      <c r="M927" s="24">
        <v>0</v>
      </c>
      <c r="N927" s="25"/>
      <c r="O927" s="24">
        <v>0</v>
      </c>
      <c r="P927" s="136">
        <f>+IF(PROVEEDORES[[#This Row],[SUBTOTAL]]&lt;PROVEEDORES[[#This Row],[base retencion]],0,PROVEEDORES[[#This Row],[retención aplicada]])</f>
        <v>0</v>
      </c>
      <c r="Q927" s="24">
        <f>+PROVEEDORES[[#This Row],[Rete Fuente %]]*PROVEEDORES[[#This Row],[SUBTOTAL]]</f>
        <v>0</v>
      </c>
      <c r="R927" s="23">
        <v>101500</v>
      </c>
      <c r="S92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7" s="99">
        <f ca="1">IF(PROVEEDORES[[#This Row],[FECHA DE PAGO]]=0,TODAY()-PROVEEDORES[[#This Row],[FECHA DE FACTURACIÓN]]-PROVEEDORES[[#This Row],[PLAZO Días]],0)</f>
        <v>0</v>
      </c>
      <c r="U927" s="149">
        <f>+VLOOKUP(PROVEEDORES[[#This Row],[PROVEEDOR]],Terceros!$A:$E,5,FALSE)</f>
        <v>0</v>
      </c>
      <c r="V927" s="150">
        <f>+YEAR(PROVEEDORES[[#This Row],[FECHA DE FACTURACIÓN]])</f>
        <v>2021</v>
      </c>
      <c r="W927" s="150">
        <f>+MATCH(PROVEEDORES[[#This Row],[año facturado]],Retenciones!$1:$1,0)</f>
        <v>4</v>
      </c>
      <c r="X927" s="151">
        <f>+VLOOKUP(PROVEEDORES[[#This Row],[ID RETENCION]],Retenciones!$A$1:$O$24,PROVEEDORES[[#This Row],[indicador de columna]],FALSE)</f>
        <v>0</v>
      </c>
      <c r="Y927" s="152">
        <f>+VLOOKUP(PROVEEDORES[[#This Row],[ID RETENCION]],Retenciones!$A$1:$O$24,2,FALSE)</f>
        <v>0</v>
      </c>
      <c r="Z927" s="26"/>
      <c r="AA927" s="26"/>
      <c r="AB927" s="26"/>
      <c r="AC927" s="26"/>
      <c r="AD927" s="26"/>
      <c r="AE927" s="26"/>
    </row>
    <row r="928" spans="1:31" ht="21.95" customHeight="1" x14ac:dyDescent="0.25">
      <c r="A928" s="97" t="str">
        <f>+IF(PROVEEDORES[[#This Row],[FECHA DE PAGO]]=PROVEEDORES[[#This Row],[FECHA DE FACTURACIÓN]],"DE CONTADO","CRÉDITO")</f>
        <v>DE CONTADO</v>
      </c>
      <c r="B928" s="41" t="b">
        <f>+IF((PROVEEDORES[[#This Row],[FECHA DE PAGO]]-PROVEEDORES[[#This Row],[FECHA DE FACTURACIÓN]])&gt;PROVEEDORES[[#This Row],[PLAZO Días]],"PAGO VENCIDO")</f>
        <v>0</v>
      </c>
      <c r="C928" s="22">
        <f>+VLOOKUP(PROVEEDORES[[#This Row],[PROVEEDOR]],TERCEROS_INFO[#All],2,FALSE)</f>
        <v>30</v>
      </c>
      <c r="D928" s="27">
        <f>+SUMIFS(PROVEEDORES[Total],PROVEEDORES[PROVEEDOR],PROVEEDORES[[#This Row],[PROVEEDOR]],PROVEEDORES[FECHA DE PAGO],"")</f>
        <v>0</v>
      </c>
      <c r="E928" s="27"/>
      <c r="F928" s="62" t="str">
        <f>+VLOOKUP(PROVEEDORES[[#This Row],[PROVEEDOR]],
                       Terceros!$A:$G,
                       6,
                       FALSE)</f>
        <v/>
      </c>
      <c r="G928" s="95">
        <v>44500</v>
      </c>
      <c r="H928" s="28" t="s">
        <v>1010</v>
      </c>
      <c r="I928" s="95">
        <v>44500</v>
      </c>
      <c r="J928" s="38" t="s">
        <v>663</v>
      </c>
      <c r="K928" s="23">
        <v>213000</v>
      </c>
      <c r="L928" s="23"/>
      <c r="M928" s="24">
        <v>0</v>
      </c>
      <c r="N928" s="25"/>
      <c r="O928" s="24">
        <v>0</v>
      </c>
      <c r="P928" s="136">
        <f>+IF(PROVEEDORES[[#This Row],[SUBTOTAL]]&lt;PROVEEDORES[[#This Row],[base retencion]],0,PROVEEDORES[[#This Row],[retención aplicada]])</f>
        <v>0</v>
      </c>
      <c r="Q928" s="24">
        <f>+PROVEEDORES[[#This Row],[Rete Fuente %]]*PROVEEDORES[[#This Row],[SUBTOTAL]]</f>
        <v>0</v>
      </c>
      <c r="R928" s="23">
        <v>213000</v>
      </c>
      <c r="S92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8" s="99">
        <f ca="1">IF(PROVEEDORES[[#This Row],[FECHA DE PAGO]]=0,TODAY()-PROVEEDORES[[#This Row],[FECHA DE FACTURACIÓN]]-PROVEEDORES[[#This Row],[PLAZO Días]],0)</f>
        <v>0</v>
      </c>
      <c r="U928" s="149">
        <f>+VLOOKUP(PROVEEDORES[[#This Row],[PROVEEDOR]],Terceros!$A:$E,5,FALSE)</f>
        <v>0</v>
      </c>
      <c r="V928" s="150">
        <f>+YEAR(PROVEEDORES[[#This Row],[FECHA DE FACTURACIÓN]])</f>
        <v>2021</v>
      </c>
      <c r="W928" s="150">
        <f>+MATCH(PROVEEDORES[[#This Row],[año facturado]],Retenciones!$1:$1,0)</f>
        <v>4</v>
      </c>
      <c r="X928" s="151">
        <f>+VLOOKUP(PROVEEDORES[[#This Row],[ID RETENCION]],Retenciones!$A$1:$O$24,PROVEEDORES[[#This Row],[indicador de columna]],FALSE)</f>
        <v>0</v>
      </c>
      <c r="Y928" s="152">
        <f>+VLOOKUP(PROVEEDORES[[#This Row],[ID RETENCION]],Retenciones!$A$1:$O$24,2,FALSE)</f>
        <v>0</v>
      </c>
      <c r="Z928" s="26"/>
      <c r="AA928" s="26"/>
      <c r="AB928" s="26"/>
      <c r="AC928" s="26"/>
      <c r="AD928" s="26"/>
      <c r="AE928" s="26"/>
    </row>
    <row r="929" spans="1:31" ht="21.95" customHeight="1" x14ac:dyDescent="0.25">
      <c r="A929" s="97" t="str">
        <f>+IF(PROVEEDORES[[#This Row],[FECHA DE PAGO]]=PROVEEDORES[[#This Row],[FECHA DE FACTURACIÓN]],"DE CONTADO","CRÉDITO")</f>
        <v>DE CONTADO</v>
      </c>
      <c r="B929" s="41" t="b">
        <f>+IF((PROVEEDORES[[#This Row],[FECHA DE PAGO]]-PROVEEDORES[[#This Row],[FECHA DE FACTURACIÓN]])&gt;PROVEEDORES[[#This Row],[PLAZO Días]],"PAGO VENCIDO")</f>
        <v>0</v>
      </c>
      <c r="C929" s="22">
        <f>+VLOOKUP(PROVEEDORES[[#This Row],[PROVEEDOR]],TERCEROS_INFO[#All],2,FALSE)</f>
        <v>30</v>
      </c>
      <c r="D929" s="27">
        <f>+SUMIFS(PROVEEDORES[Total],PROVEEDORES[PROVEEDOR],PROVEEDORES[[#This Row],[PROVEEDOR]],PROVEEDORES[FECHA DE PAGO],"")</f>
        <v>0</v>
      </c>
      <c r="E929" s="27"/>
      <c r="F929" s="62" t="str">
        <f>+VLOOKUP(PROVEEDORES[[#This Row],[PROVEEDOR]],
                       Terceros!$A:$G,
                       6,
                       FALSE)</f>
        <v/>
      </c>
      <c r="G929" s="95">
        <v>44500</v>
      </c>
      <c r="H929" s="28" t="s">
        <v>1010</v>
      </c>
      <c r="I929" s="95">
        <v>44500</v>
      </c>
      <c r="J929" s="38" t="s">
        <v>803</v>
      </c>
      <c r="K929" s="23">
        <v>244000</v>
      </c>
      <c r="L929" s="23"/>
      <c r="M929" s="24">
        <v>0</v>
      </c>
      <c r="N929" s="25"/>
      <c r="O929" s="24">
        <v>0</v>
      </c>
      <c r="P929" s="136">
        <f>+IF(PROVEEDORES[[#This Row],[SUBTOTAL]]&lt;PROVEEDORES[[#This Row],[base retencion]],0,PROVEEDORES[[#This Row],[retención aplicada]])</f>
        <v>0</v>
      </c>
      <c r="Q929" s="24">
        <f>+PROVEEDORES[[#This Row],[Rete Fuente %]]*PROVEEDORES[[#This Row],[SUBTOTAL]]</f>
        <v>0</v>
      </c>
      <c r="R929" s="23">
        <v>244000</v>
      </c>
      <c r="S92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9" s="99">
        <f ca="1">IF(PROVEEDORES[[#This Row],[FECHA DE PAGO]]=0,TODAY()-PROVEEDORES[[#This Row],[FECHA DE FACTURACIÓN]]-PROVEEDORES[[#This Row],[PLAZO Días]],0)</f>
        <v>0</v>
      </c>
      <c r="U929" s="149">
        <f>+VLOOKUP(PROVEEDORES[[#This Row],[PROVEEDOR]],Terceros!$A:$E,5,FALSE)</f>
        <v>0</v>
      </c>
      <c r="V929" s="150">
        <f>+YEAR(PROVEEDORES[[#This Row],[FECHA DE FACTURACIÓN]])</f>
        <v>2021</v>
      </c>
      <c r="W929" s="150">
        <f>+MATCH(PROVEEDORES[[#This Row],[año facturado]],Retenciones!$1:$1,0)</f>
        <v>4</v>
      </c>
      <c r="X929" s="151">
        <f>+VLOOKUP(PROVEEDORES[[#This Row],[ID RETENCION]],Retenciones!$A$1:$O$24,PROVEEDORES[[#This Row],[indicador de columna]],FALSE)</f>
        <v>0</v>
      </c>
      <c r="Y929" s="152">
        <f>+VLOOKUP(PROVEEDORES[[#This Row],[ID RETENCION]],Retenciones!$A$1:$O$24,2,FALSE)</f>
        <v>0</v>
      </c>
      <c r="Z929" s="26"/>
      <c r="AA929" s="26"/>
      <c r="AB929" s="26"/>
      <c r="AC929" s="26"/>
      <c r="AD929" s="26"/>
      <c r="AE929" s="26"/>
    </row>
    <row r="930" spans="1:31" ht="21.95" customHeight="1" x14ac:dyDescent="0.25">
      <c r="A930" s="97" t="str">
        <f>+IF(PROVEEDORES[[#This Row],[FECHA DE PAGO]]=PROVEEDORES[[#This Row],[FECHA DE FACTURACIÓN]],"DE CONTADO","CRÉDITO")</f>
        <v>DE CONTADO</v>
      </c>
      <c r="B930" s="41" t="b">
        <f>+IF((PROVEEDORES[[#This Row],[FECHA DE PAGO]]-PROVEEDORES[[#This Row],[FECHA DE FACTURACIÓN]])&gt;PROVEEDORES[[#This Row],[PLAZO Días]],"PAGO VENCIDO")</f>
        <v>0</v>
      </c>
      <c r="C930" s="22">
        <f>+VLOOKUP(PROVEEDORES[[#This Row],[PROVEEDOR]],TERCEROS_INFO[#All],2,FALSE)</f>
        <v>30</v>
      </c>
      <c r="D930" s="27">
        <f>+SUMIFS(PROVEEDORES[Total],PROVEEDORES[PROVEEDOR],PROVEEDORES[[#This Row],[PROVEEDOR]],PROVEEDORES[FECHA DE PAGO],"")</f>
        <v>0</v>
      </c>
      <c r="E930" s="27"/>
      <c r="F930" s="62" t="str">
        <f>+VLOOKUP(PROVEEDORES[[#This Row],[PROVEEDOR]],
                       Terceros!$A:$G,
                       6,
                       FALSE)</f>
        <v/>
      </c>
      <c r="G930" s="95">
        <v>44500</v>
      </c>
      <c r="H930" s="28" t="s">
        <v>1010</v>
      </c>
      <c r="I930" s="95">
        <v>44500</v>
      </c>
      <c r="J930" s="38" t="s">
        <v>76</v>
      </c>
      <c r="K930" s="23">
        <v>440400</v>
      </c>
      <c r="L930" s="23"/>
      <c r="M930" s="24">
        <v>0</v>
      </c>
      <c r="N930" s="25"/>
      <c r="O930" s="24">
        <v>0</v>
      </c>
      <c r="P930" s="136">
        <f>+IF(PROVEEDORES[[#This Row],[SUBTOTAL]]&lt;PROVEEDORES[[#This Row],[base retencion]],0,PROVEEDORES[[#This Row],[retención aplicada]])</f>
        <v>0</v>
      </c>
      <c r="Q930" s="24">
        <f>+PROVEEDORES[[#This Row],[Rete Fuente %]]*PROVEEDORES[[#This Row],[SUBTOTAL]]</f>
        <v>0</v>
      </c>
      <c r="R930" s="23">
        <v>440400</v>
      </c>
      <c r="S93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0" s="99">
        <f ca="1">IF(PROVEEDORES[[#This Row],[FECHA DE PAGO]]=0,TODAY()-PROVEEDORES[[#This Row],[FECHA DE FACTURACIÓN]]-PROVEEDORES[[#This Row],[PLAZO Días]],0)</f>
        <v>0</v>
      </c>
      <c r="U930" s="149">
        <f>+VLOOKUP(PROVEEDORES[[#This Row],[PROVEEDOR]],Terceros!$A:$E,5,FALSE)</f>
        <v>0</v>
      </c>
      <c r="V930" s="150">
        <f>+YEAR(PROVEEDORES[[#This Row],[FECHA DE FACTURACIÓN]])</f>
        <v>2021</v>
      </c>
      <c r="W930" s="150">
        <f>+MATCH(PROVEEDORES[[#This Row],[año facturado]],Retenciones!$1:$1,0)</f>
        <v>4</v>
      </c>
      <c r="X930" s="151">
        <f>+VLOOKUP(PROVEEDORES[[#This Row],[ID RETENCION]],Retenciones!$A$1:$O$24,PROVEEDORES[[#This Row],[indicador de columna]],FALSE)</f>
        <v>0</v>
      </c>
      <c r="Y930" s="152">
        <f>+VLOOKUP(PROVEEDORES[[#This Row],[ID RETENCION]],Retenciones!$A$1:$O$24,2,FALSE)</f>
        <v>0</v>
      </c>
      <c r="Z930" s="26"/>
      <c r="AA930" s="26"/>
      <c r="AB930" s="26"/>
      <c r="AC930" s="26"/>
      <c r="AD930" s="26"/>
      <c r="AE930" s="26"/>
    </row>
    <row r="931" spans="1:31" ht="21.95" customHeight="1" x14ac:dyDescent="0.25">
      <c r="A931" s="97" t="str">
        <f>+IF(PROVEEDORES[[#This Row],[FECHA DE PAGO]]=PROVEEDORES[[#This Row],[FECHA DE FACTURACIÓN]],"DE CONTADO","CRÉDITO")</f>
        <v>DE CONTADO</v>
      </c>
      <c r="B931" s="41" t="b">
        <f>+IF((PROVEEDORES[[#This Row],[FECHA DE PAGO]]-PROVEEDORES[[#This Row],[FECHA DE FACTURACIÓN]])&gt;PROVEEDORES[[#This Row],[PLAZO Días]],"PAGO VENCIDO")</f>
        <v>0</v>
      </c>
      <c r="C931" s="22">
        <f>+VLOOKUP(PROVEEDORES[[#This Row],[PROVEEDOR]],TERCEROS_INFO[#All],2,FALSE)</f>
        <v>30</v>
      </c>
      <c r="D931" s="27">
        <f>+SUMIFS(PROVEEDORES[Total],PROVEEDORES[PROVEEDOR],PROVEEDORES[[#This Row],[PROVEEDOR]],PROVEEDORES[FECHA DE PAGO],"")</f>
        <v>0</v>
      </c>
      <c r="E931" s="27"/>
      <c r="F931" s="62" t="str">
        <f>+VLOOKUP(PROVEEDORES[[#This Row],[PROVEEDOR]],
                       Terceros!$A:$G,
                       6,
                       FALSE)</f>
        <v/>
      </c>
      <c r="G931" s="95">
        <v>44500</v>
      </c>
      <c r="H931" s="28" t="s">
        <v>1010</v>
      </c>
      <c r="I931" s="95">
        <v>44500</v>
      </c>
      <c r="J931" s="38" t="s">
        <v>834</v>
      </c>
      <c r="K931" s="23">
        <v>453200</v>
      </c>
      <c r="L931" s="23"/>
      <c r="M931" s="24">
        <v>0</v>
      </c>
      <c r="N931" s="25"/>
      <c r="O931" s="24">
        <v>0</v>
      </c>
      <c r="P931" s="136">
        <f>+IF(PROVEEDORES[[#This Row],[SUBTOTAL]]&lt;PROVEEDORES[[#This Row],[base retencion]],0,PROVEEDORES[[#This Row],[retención aplicada]])</f>
        <v>0</v>
      </c>
      <c r="Q931" s="24">
        <f>+PROVEEDORES[[#This Row],[Rete Fuente %]]*PROVEEDORES[[#This Row],[SUBTOTAL]]</f>
        <v>0</v>
      </c>
      <c r="R931" s="23">
        <v>453200</v>
      </c>
      <c r="S93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1" s="99">
        <f ca="1">IF(PROVEEDORES[[#This Row],[FECHA DE PAGO]]=0,TODAY()-PROVEEDORES[[#This Row],[FECHA DE FACTURACIÓN]]-PROVEEDORES[[#This Row],[PLAZO Días]],0)</f>
        <v>0</v>
      </c>
      <c r="U931" s="149">
        <f>+VLOOKUP(PROVEEDORES[[#This Row],[PROVEEDOR]],Terceros!$A:$E,5,FALSE)</f>
        <v>0</v>
      </c>
      <c r="V931" s="150">
        <f>+YEAR(PROVEEDORES[[#This Row],[FECHA DE FACTURACIÓN]])</f>
        <v>2021</v>
      </c>
      <c r="W931" s="150">
        <f>+MATCH(PROVEEDORES[[#This Row],[año facturado]],Retenciones!$1:$1,0)</f>
        <v>4</v>
      </c>
      <c r="X931" s="151">
        <f>+VLOOKUP(PROVEEDORES[[#This Row],[ID RETENCION]],Retenciones!$A$1:$O$24,PROVEEDORES[[#This Row],[indicador de columna]],FALSE)</f>
        <v>0</v>
      </c>
      <c r="Y931" s="152">
        <f>+VLOOKUP(PROVEEDORES[[#This Row],[ID RETENCION]],Retenciones!$A$1:$O$24,2,FALSE)</f>
        <v>0</v>
      </c>
      <c r="Z931" s="26"/>
      <c r="AA931" s="26"/>
      <c r="AB931" s="26"/>
      <c r="AC931" s="26"/>
      <c r="AD931" s="26"/>
      <c r="AE931" s="26"/>
    </row>
    <row r="932" spans="1:31" ht="21.95" customHeight="1" x14ac:dyDescent="0.25">
      <c r="A932" s="97" t="str">
        <f>+IF(PROVEEDORES[[#This Row],[FECHA DE PAGO]]=PROVEEDORES[[#This Row],[FECHA DE FACTURACIÓN]],"DE CONTADO","CRÉDITO")</f>
        <v>CRÉDITO</v>
      </c>
      <c r="B932" s="41" t="b">
        <f>+IF((PROVEEDORES[[#This Row],[FECHA DE PAGO]]-PROVEEDORES[[#This Row],[FECHA DE FACTURACIÓN]])&gt;PROVEEDORES[[#This Row],[PLAZO Días]],"PAGO VENCIDO")</f>
        <v>0</v>
      </c>
      <c r="C932" s="22">
        <f>+VLOOKUP(PROVEEDORES[[#This Row],[PROVEEDOR]],TERCEROS_INFO[#All],2,FALSE)</f>
        <v>60</v>
      </c>
      <c r="D932" s="27">
        <f>+SUMIFS(PROVEEDORES[Total],PROVEEDORES[PROVEEDOR],PROVEEDORES[[#This Row],[PROVEEDOR]],PROVEEDORES[FECHA DE PAGO],"")</f>
        <v>758800</v>
      </c>
      <c r="E932" s="27"/>
      <c r="F932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G932" s="95">
        <v>44503</v>
      </c>
      <c r="H932" s="28" t="s">
        <v>604</v>
      </c>
      <c r="I932" s="95">
        <v>44500</v>
      </c>
      <c r="J932" s="38" t="s">
        <v>574</v>
      </c>
      <c r="K932" s="23">
        <v>571961.4</v>
      </c>
      <c r="L932" s="23"/>
      <c r="M932" s="24">
        <v>0</v>
      </c>
      <c r="N932" s="25"/>
      <c r="O932" s="24">
        <v>0</v>
      </c>
      <c r="P932" s="136">
        <f>+IF(PROVEEDORES[[#This Row],[SUBTOTAL]]&lt;PROVEEDORES[[#This Row],[base retencion]],0,PROVEEDORES[[#This Row],[retención aplicada]])</f>
        <v>0</v>
      </c>
      <c r="Q932" s="24">
        <f>+PROVEEDORES[[#This Row],[Rete Fuente %]]*PROVEEDORES[[#This Row],[SUBTOTAL]]</f>
        <v>0</v>
      </c>
      <c r="R932" s="23">
        <v>571961.4</v>
      </c>
      <c r="S93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2" s="99">
        <f ca="1">IF(PROVEEDORES[[#This Row],[FECHA DE PAGO]]=0,TODAY()-PROVEEDORES[[#This Row],[FECHA DE FACTURACIÓN]]-PROVEEDORES[[#This Row],[PLAZO Días]],0)</f>
        <v>0</v>
      </c>
      <c r="U932" s="149">
        <f>+VLOOKUP(PROVEEDORES[[#This Row],[PROVEEDOR]],Terceros!$A:$E,5,FALSE)</f>
        <v>0</v>
      </c>
      <c r="V932" s="150">
        <f>+YEAR(PROVEEDORES[[#This Row],[FECHA DE FACTURACIÓN]])</f>
        <v>2021</v>
      </c>
      <c r="W932" s="150">
        <f>+MATCH(PROVEEDORES[[#This Row],[año facturado]],Retenciones!$1:$1,0)</f>
        <v>4</v>
      </c>
      <c r="X932" s="151">
        <f>+VLOOKUP(PROVEEDORES[[#This Row],[ID RETENCION]],Retenciones!$A$1:$O$24,PROVEEDORES[[#This Row],[indicador de columna]],FALSE)</f>
        <v>0</v>
      </c>
      <c r="Y932" s="152">
        <f>+VLOOKUP(PROVEEDORES[[#This Row],[ID RETENCION]],Retenciones!$A$1:$O$24,2,FALSE)</f>
        <v>0</v>
      </c>
      <c r="Z932" s="26"/>
      <c r="AA932" s="26"/>
      <c r="AB932" s="26"/>
      <c r="AC932" s="26"/>
      <c r="AD932" s="26"/>
      <c r="AE932" s="26"/>
    </row>
    <row r="933" spans="1:31" ht="21.95" customHeight="1" x14ac:dyDescent="0.25">
      <c r="A933" s="97" t="str">
        <f>+IF(PROVEEDORES[[#This Row],[FECHA DE PAGO]]=PROVEEDORES[[#This Row],[FECHA DE FACTURACIÓN]],"DE CONTADO","CRÉDITO")</f>
        <v>DE CONTADO</v>
      </c>
      <c r="B933" s="41" t="b">
        <f>+IF((PROVEEDORES[[#This Row],[FECHA DE PAGO]]-PROVEEDORES[[#This Row],[FECHA DE FACTURACIÓN]])&gt;PROVEEDORES[[#This Row],[PLAZO Días]],"PAGO VENCIDO")</f>
        <v>0</v>
      </c>
      <c r="C933" s="22">
        <f>+VLOOKUP(PROVEEDORES[[#This Row],[PROVEEDOR]],TERCEROS_INFO[#All],2,FALSE)</f>
        <v>30</v>
      </c>
      <c r="D933" s="27">
        <f>+SUMIFS(PROVEEDORES[Total],PROVEEDORES[PROVEEDOR],PROVEEDORES[[#This Row],[PROVEEDOR]],PROVEEDORES[FECHA DE PAGO],"")</f>
        <v>0</v>
      </c>
      <c r="E933" s="27"/>
      <c r="F933" s="62" t="str">
        <f>+VLOOKUP(PROVEEDORES[[#This Row],[PROVEEDOR]],
                       Terceros!$A:$G,
                       6,
                       FALSE)</f>
        <v/>
      </c>
      <c r="G933" s="95">
        <v>44500</v>
      </c>
      <c r="H933" s="28" t="s">
        <v>1010</v>
      </c>
      <c r="I933" s="95">
        <v>44500</v>
      </c>
      <c r="J933" s="38" t="s">
        <v>665</v>
      </c>
      <c r="K933" s="23">
        <v>2991750</v>
      </c>
      <c r="L933" s="23"/>
      <c r="M933" s="24">
        <v>0</v>
      </c>
      <c r="N933" s="25"/>
      <c r="O933" s="24">
        <v>0</v>
      </c>
      <c r="P933" s="136">
        <f>+IF(PROVEEDORES[[#This Row],[SUBTOTAL]]&lt;PROVEEDORES[[#This Row],[base retencion]],0,PROVEEDORES[[#This Row],[retención aplicada]])</f>
        <v>0</v>
      </c>
      <c r="Q933" s="24">
        <f>+PROVEEDORES[[#This Row],[Rete Fuente %]]*PROVEEDORES[[#This Row],[SUBTOTAL]]</f>
        <v>0</v>
      </c>
      <c r="R933" s="23">
        <v>2991750</v>
      </c>
      <c r="S93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3" s="99">
        <f ca="1">IF(PROVEEDORES[[#This Row],[FECHA DE PAGO]]=0,TODAY()-PROVEEDORES[[#This Row],[FECHA DE FACTURACIÓN]]-PROVEEDORES[[#This Row],[PLAZO Días]],0)</f>
        <v>0</v>
      </c>
      <c r="U933" s="149">
        <f>+VLOOKUP(PROVEEDORES[[#This Row],[PROVEEDOR]],Terceros!$A:$E,5,FALSE)</f>
        <v>0</v>
      </c>
      <c r="V933" s="150">
        <f>+YEAR(PROVEEDORES[[#This Row],[FECHA DE FACTURACIÓN]])</f>
        <v>2021</v>
      </c>
      <c r="W933" s="150">
        <f>+MATCH(PROVEEDORES[[#This Row],[año facturado]],Retenciones!$1:$1,0)</f>
        <v>4</v>
      </c>
      <c r="X933" s="151">
        <f>+VLOOKUP(PROVEEDORES[[#This Row],[ID RETENCION]],Retenciones!$A$1:$O$24,PROVEEDORES[[#This Row],[indicador de columna]],FALSE)</f>
        <v>0</v>
      </c>
      <c r="Y933" s="152">
        <f>+VLOOKUP(PROVEEDORES[[#This Row],[ID RETENCION]],Retenciones!$A$1:$O$24,2,FALSE)</f>
        <v>0</v>
      </c>
      <c r="Z933" s="26"/>
      <c r="AA933" s="26"/>
      <c r="AB933" s="26"/>
      <c r="AC933" s="26"/>
      <c r="AD933" s="26"/>
      <c r="AE933" s="26"/>
    </row>
    <row r="934" spans="1:31" ht="21.95" customHeight="1" x14ac:dyDescent="0.25">
      <c r="A934" s="97" t="str">
        <f>+IF(PROVEEDORES[[#This Row],[FECHA DE PAGO]]=PROVEEDORES[[#This Row],[FECHA DE FACTURACIÓN]],"DE CONTADO","CRÉDITO")</f>
        <v>CRÉDITO</v>
      </c>
      <c r="B934" s="41" t="b">
        <f>+IF((PROVEEDORES[[#This Row],[FECHA DE PAGO]]-PROVEEDORES[[#This Row],[FECHA DE FACTURACIÓN]])&gt;PROVEEDORES[[#This Row],[PLAZO Días]],"PAGO VENCIDO")</f>
        <v>0</v>
      </c>
      <c r="C934" s="22">
        <f>+VLOOKUP(PROVEEDORES[[#This Row],[PROVEEDOR]],TERCEROS_INFO[#All],2,FALSE)</f>
        <v>20</v>
      </c>
      <c r="D934" s="27">
        <f>+SUMIFS(PROVEEDORES[Total],PROVEEDORES[PROVEEDOR],PROVEEDORES[[#This Row],[PROVEEDOR]],PROVEEDORES[FECHA DE PAGO],"")</f>
        <v>0</v>
      </c>
      <c r="E934" s="27"/>
      <c r="F934" s="62" t="str">
        <f>+VLOOKUP(PROVEEDORES[[#This Row],[PROVEEDOR]],
                       Terceros!$A:$G,
                       6,
                       FALSE)</f>
        <v>pse</v>
      </c>
      <c r="G934" s="95">
        <v>44516</v>
      </c>
      <c r="H934" s="28" t="s">
        <v>370</v>
      </c>
      <c r="I934" s="95">
        <v>44501</v>
      </c>
      <c r="J934" s="38"/>
      <c r="K934" s="23">
        <v>326243</v>
      </c>
      <c r="L934" s="23"/>
      <c r="M934" s="24">
        <v>0</v>
      </c>
      <c r="N934" s="25"/>
      <c r="O934" s="24">
        <v>0</v>
      </c>
      <c r="P934" s="136">
        <f>+IF(PROVEEDORES[[#This Row],[SUBTOTAL]]&lt;PROVEEDORES[[#This Row],[base retencion]],0,PROVEEDORES[[#This Row],[retención aplicada]])</f>
        <v>0</v>
      </c>
      <c r="Q934" s="24">
        <f>+PROVEEDORES[[#This Row],[Rete Fuente %]]*PROVEEDORES[[#This Row],[SUBTOTAL]]</f>
        <v>0</v>
      </c>
      <c r="R934" s="23">
        <v>326243</v>
      </c>
      <c r="S93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4" s="99">
        <f ca="1">IF(PROVEEDORES[[#This Row],[FECHA DE PAGO]]=0,TODAY()-PROVEEDORES[[#This Row],[FECHA DE FACTURACIÓN]]-PROVEEDORES[[#This Row],[PLAZO Días]],0)</f>
        <v>0</v>
      </c>
      <c r="U934" s="149">
        <f>+VLOOKUP(PROVEEDORES[[#This Row],[PROVEEDOR]],Terceros!$A:$E,5,FALSE)</f>
        <v>0</v>
      </c>
      <c r="V934" s="150">
        <f>+YEAR(PROVEEDORES[[#This Row],[FECHA DE FACTURACIÓN]])</f>
        <v>2021</v>
      </c>
      <c r="W934" s="150">
        <f>+MATCH(PROVEEDORES[[#This Row],[año facturado]],Retenciones!$1:$1,0)</f>
        <v>4</v>
      </c>
      <c r="X934" s="151">
        <f>+VLOOKUP(PROVEEDORES[[#This Row],[ID RETENCION]],Retenciones!$A$1:$O$24,PROVEEDORES[[#This Row],[indicador de columna]],FALSE)</f>
        <v>0</v>
      </c>
      <c r="Y934" s="152">
        <f>+VLOOKUP(PROVEEDORES[[#This Row],[ID RETENCION]],Retenciones!$A$1:$O$24,2,FALSE)</f>
        <v>0</v>
      </c>
      <c r="Z934" s="26"/>
      <c r="AA934" s="26"/>
      <c r="AB934" s="26"/>
      <c r="AC934" s="26"/>
      <c r="AD934" s="26"/>
      <c r="AE934" s="26"/>
    </row>
    <row r="935" spans="1:31" ht="21.95" customHeight="1" x14ac:dyDescent="0.25">
      <c r="A935" s="97" t="str">
        <f>+IF(PROVEEDORES[[#This Row],[FECHA DE PAGO]]=PROVEEDORES[[#This Row],[FECHA DE FACTURACIÓN]],"DE CONTADO","CRÉDITO")</f>
        <v>CRÉDITO</v>
      </c>
      <c r="B935" s="41" t="str">
        <f>+IF((PROVEEDORES[[#This Row],[FECHA DE PAGO]]-PROVEEDORES[[#This Row],[FECHA DE FACTURACIÓN]])&gt;PROVEEDORES[[#This Row],[PLAZO Días]],"PAGO VENCIDO")</f>
        <v>PAGO VENCIDO</v>
      </c>
      <c r="C935" s="22">
        <f>+VLOOKUP(PROVEEDORES[[#This Row],[PROVEEDOR]],TERCEROS_INFO[#All],2,FALSE)</f>
        <v>60</v>
      </c>
      <c r="D935" s="27">
        <f>+SUMIFS(PROVEEDORES[Total],PROVEEDORES[PROVEEDOR],PROVEEDORES[[#This Row],[PROVEEDOR]],PROVEEDORES[FECHA DE PAGO],"")</f>
        <v>758800</v>
      </c>
      <c r="E935" s="27"/>
      <c r="F935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G935" s="95">
        <v>44586</v>
      </c>
      <c r="H935" s="28" t="s">
        <v>604</v>
      </c>
      <c r="I935" s="95">
        <v>44501</v>
      </c>
      <c r="J935" s="38" t="s">
        <v>868</v>
      </c>
      <c r="K935" s="23">
        <v>235200</v>
      </c>
      <c r="L935" s="23"/>
      <c r="M935" s="24">
        <v>0</v>
      </c>
      <c r="N935" s="25"/>
      <c r="O935" s="24">
        <v>0</v>
      </c>
      <c r="P935" s="136">
        <f>+IF(PROVEEDORES[[#This Row],[SUBTOTAL]]&lt;PROVEEDORES[[#This Row],[base retencion]],0,PROVEEDORES[[#This Row],[retención aplicada]])</f>
        <v>0</v>
      </c>
      <c r="Q935" s="24">
        <f>+PROVEEDORES[[#This Row],[Rete Fuente %]]*PROVEEDORES[[#This Row],[SUBTOTAL]]</f>
        <v>0</v>
      </c>
      <c r="R935" s="23">
        <v>235200</v>
      </c>
      <c r="S93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5" s="99">
        <f ca="1">IF(PROVEEDORES[[#This Row],[FECHA DE PAGO]]=0,TODAY()-PROVEEDORES[[#This Row],[FECHA DE FACTURACIÓN]]-PROVEEDORES[[#This Row],[PLAZO Días]],0)</f>
        <v>0</v>
      </c>
      <c r="U935" s="149">
        <f>+VLOOKUP(PROVEEDORES[[#This Row],[PROVEEDOR]],Terceros!$A:$E,5,FALSE)</f>
        <v>0</v>
      </c>
      <c r="V935" s="150">
        <f>+YEAR(PROVEEDORES[[#This Row],[FECHA DE FACTURACIÓN]])</f>
        <v>2021</v>
      </c>
      <c r="W935" s="150">
        <f>+MATCH(PROVEEDORES[[#This Row],[año facturado]],Retenciones!$1:$1,0)</f>
        <v>4</v>
      </c>
      <c r="X935" s="151">
        <f>+VLOOKUP(PROVEEDORES[[#This Row],[ID RETENCION]],Retenciones!$A$1:$O$24,PROVEEDORES[[#This Row],[indicador de columna]],FALSE)</f>
        <v>0</v>
      </c>
      <c r="Y935" s="152">
        <f>+VLOOKUP(PROVEEDORES[[#This Row],[ID RETENCION]],Retenciones!$A$1:$O$24,2,FALSE)</f>
        <v>0</v>
      </c>
      <c r="Z935" s="26"/>
      <c r="AA935" s="26"/>
      <c r="AB935" s="26"/>
      <c r="AC935" s="26"/>
      <c r="AD935" s="26"/>
      <c r="AE935" s="26"/>
    </row>
    <row r="936" spans="1:31" ht="21.95" customHeight="1" x14ac:dyDescent="0.25">
      <c r="A936" s="97" t="str">
        <f>+IF(PROVEEDORES[[#This Row],[FECHA DE PAGO]]=PROVEEDORES[[#This Row],[FECHA DE FACTURACIÓN]],"DE CONTADO","CRÉDITO")</f>
        <v>CRÉDITO</v>
      </c>
      <c r="B936" s="41" t="b">
        <f>+IF((PROVEEDORES[[#This Row],[FECHA DE PAGO]]-PROVEEDORES[[#This Row],[FECHA DE FACTURACIÓN]])&gt;PROVEEDORES[[#This Row],[PLAZO Días]],"PAGO VENCIDO")</f>
        <v>0</v>
      </c>
      <c r="C936" s="22">
        <f>+VLOOKUP(PROVEEDORES[[#This Row],[PROVEEDOR]],TERCEROS_INFO[#All],2,FALSE)</f>
        <v>30</v>
      </c>
      <c r="D936" s="27">
        <f>+SUMIFS(PROVEEDORES[Total],PROVEEDORES[PROVEEDOR],PROVEEDORES[[#This Row],[PROVEEDOR]],PROVEEDORES[FECHA DE PAGO],"")</f>
        <v>0</v>
      </c>
      <c r="E936" s="27"/>
      <c r="F936" s="62" t="str">
        <f>+VLOOKUP(PROVEEDORES[[#This Row],[PROVEEDOR]],
                       Terceros!$A:$G,
                       6,
                       FALSE)</f>
        <v>PSE</v>
      </c>
      <c r="G936" s="95">
        <v>44516</v>
      </c>
      <c r="H936" s="28" t="s">
        <v>350</v>
      </c>
      <c r="I936" s="95">
        <v>44501</v>
      </c>
      <c r="J936" s="38" t="s">
        <v>351</v>
      </c>
      <c r="K936" s="23">
        <v>727051</v>
      </c>
      <c r="L936" s="23"/>
      <c r="M936" s="24">
        <v>0</v>
      </c>
      <c r="N936" s="25"/>
      <c r="O936" s="24">
        <v>0</v>
      </c>
      <c r="P936" s="136">
        <f>+IF(PROVEEDORES[[#This Row],[SUBTOTAL]]&lt;PROVEEDORES[[#This Row],[base retencion]],0,PROVEEDORES[[#This Row],[retención aplicada]])</f>
        <v>0</v>
      </c>
      <c r="Q936" s="24">
        <f>+PROVEEDORES[[#This Row],[Rete Fuente %]]*PROVEEDORES[[#This Row],[SUBTOTAL]]</f>
        <v>0</v>
      </c>
      <c r="R936" s="23">
        <v>727051</v>
      </c>
      <c r="S93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6" s="99">
        <f ca="1">IF(PROVEEDORES[[#This Row],[FECHA DE PAGO]]=0,TODAY()-PROVEEDORES[[#This Row],[FECHA DE FACTURACIÓN]]-PROVEEDORES[[#This Row],[PLAZO Días]],0)</f>
        <v>0</v>
      </c>
      <c r="U936" s="149">
        <f>+VLOOKUP(PROVEEDORES[[#This Row],[PROVEEDOR]],Terceros!$A:$E,5,FALSE)</f>
        <v>0</v>
      </c>
      <c r="V936" s="150">
        <f>+YEAR(PROVEEDORES[[#This Row],[FECHA DE FACTURACIÓN]])</f>
        <v>2021</v>
      </c>
      <c r="W936" s="150">
        <f>+MATCH(PROVEEDORES[[#This Row],[año facturado]],Retenciones!$1:$1,0)</f>
        <v>4</v>
      </c>
      <c r="X936" s="151">
        <f>+VLOOKUP(PROVEEDORES[[#This Row],[ID RETENCION]],Retenciones!$A$1:$O$24,PROVEEDORES[[#This Row],[indicador de columna]],FALSE)</f>
        <v>0</v>
      </c>
      <c r="Y936" s="152">
        <f>+VLOOKUP(PROVEEDORES[[#This Row],[ID RETENCION]],Retenciones!$A$1:$O$24,2,FALSE)</f>
        <v>0</v>
      </c>
      <c r="Z936" s="26"/>
      <c r="AA936" s="26"/>
      <c r="AB936" s="26"/>
      <c r="AC936" s="26"/>
      <c r="AD936" s="26"/>
      <c r="AE936" s="26"/>
    </row>
    <row r="937" spans="1:31" ht="21.95" customHeight="1" x14ac:dyDescent="0.25">
      <c r="A937" s="97" t="str">
        <f>+IF(PROVEEDORES[[#This Row],[FECHA DE PAGO]]=PROVEEDORES[[#This Row],[FECHA DE FACTURACIÓN]],"DE CONTADO","CRÉDITO")</f>
        <v>CRÉDITO</v>
      </c>
      <c r="B937" s="41" t="b">
        <f>+IF((PROVEEDORES[[#This Row],[FECHA DE PAGO]]-PROVEEDORES[[#This Row],[FECHA DE FACTURACIÓN]])&gt;PROVEEDORES[[#This Row],[PLAZO Días]],"PAGO VENCIDO")</f>
        <v>0</v>
      </c>
      <c r="C937" s="22">
        <f>+VLOOKUP(PROVEEDORES[[#This Row],[PROVEEDOR]],TERCEROS_INFO[#All],2,FALSE)</f>
        <v>30</v>
      </c>
      <c r="D937" s="27">
        <f>+SUMIFS(PROVEEDORES[Total],PROVEEDORES[PROVEEDOR],PROVEEDORES[[#This Row],[PROVEEDOR]],PROVEEDORES[FECHA DE PAGO],"")</f>
        <v>0</v>
      </c>
      <c r="E937" s="27"/>
      <c r="F937" s="62" t="str">
        <f>+VLOOKUP(PROVEEDORES[[#This Row],[PROVEEDOR]],
                       Terceros!$A:$G,
                       6,
                       FALSE)</f>
        <v>PSE</v>
      </c>
      <c r="G937" s="95">
        <v>44516</v>
      </c>
      <c r="H937" s="28" t="s">
        <v>350</v>
      </c>
      <c r="I937" s="95">
        <v>44501</v>
      </c>
      <c r="J937" s="38" t="s">
        <v>352</v>
      </c>
      <c r="K937" s="23">
        <v>743959</v>
      </c>
      <c r="L937" s="23"/>
      <c r="M937" s="24">
        <v>0</v>
      </c>
      <c r="N937" s="25"/>
      <c r="O937" s="24">
        <v>0</v>
      </c>
      <c r="P937" s="136">
        <f>+IF(PROVEEDORES[[#This Row],[SUBTOTAL]]&lt;PROVEEDORES[[#This Row],[base retencion]],0,PROVEEDORES[[#This Row],[retención aplicada]])</f>
        <v>0</v>
      </c>
      <c r="Q937" s="24">
        <f>+PROVEEDORES[[#This Row],[Rete Fuente %]]*PROVEEDORES[[#This Row],[SUBTOTAL]]</f>
        <v>0</v>
      </c>
      <c r="R937" s="23">
        <v>743959</v>
      </c>
      <c r="S93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7" s="99">
        <f ca="1">IF(PROVEEDORES[[#This Row],[FECHA DE PAGO]]=0,TODAY()-PROVEEDORES[[#This Row],[FECHA DE FACTURACIÓN]]-PROVEEDORES[[#This Row],[PLAZO Días]],0)</f>
        <v>0</v>
      </c>
      <c r="U937" s="149">
        <f>+VLOOKUP(PROVEEDORES[[#This Row],[PROVEEDOR]],Terceros!$A:$E,5,FALSE)</f>
        <v>0</v>
      </c>
      <c r="V937" s="150">
        <f>+YEAR(PROVEEDORES[[#This Row],[FECHA DE FACTURACIÓN]])</f>
        <v>2021</v>
      </c>
      <c r="W937" s="150">
        <f>+MATCH(PROVEEDORES[[#This Row],[año facturado]],Retenciones!$1:$1,0)</f>
        <v>4</v>
      </c>
      <c r="X937" s="151">
        <f>+VLOOKUP(PROVEEDORES[[#This Row],[ID RETENCION]],Retenciones!$A$1:$O$24,PROVEEDORES[[#This Row],[indicador de columna]],FALSE)</f>
        <v>0</v>
      </c>
      <c r="Y937" s="152">
        <f>+VLOOKUP(PROVEEDORES[[#This Row],[ID RETENCION]],Retenciones!$A$1:$O$24,2,FALSE)</f>
        <v>0</v>
      </c>
      <c r="Z937" s="26"/>
      <c r="AA937" s="26"/>
      <c r="AB937" s="26"/>
      <c r="AC937" s="26"/>
      <c r="AD937" s="26"/>
      <c r="AE937" s="26"/>
    </row>
    <row r="938" spans="1:31" ht="21.95" customHeight="1" x14ac:dyDescent="0.25">
      <c r="A938" s="97" t="str">
        <f>+IF(PROVEEDORES[[#This Row],[FECHA DE PAGO]]=PROVEEDORES[[#This Row],[FECHA DE FACTURACIÓN]],"DE CONTADO","CRÉDITO")</f>
        <v>CRÉDITO</v>
      </c>
      <c r="B938" s="41" t="b">
        <f>+IF((PROVEEDORES[[#This Row],[FECHA DE PAGO]]-PROVEEDORES[[#This Row],[FECHA DE FACTURACIÓN]])&gt;PROVEEDORES[[#This Row],[PLAZO Días]],"PAGO VENCIDO")</f>
        <v>0</v>
      </c>
      <c r="C938" s="22">
        <f>+VLOOKUP(PROVEEDORES[[#This Row],[PROVEEDOR]],TERCEROS_INFO[#All],2,FALSE)</f>
        <v>20</v>
      </c>
      <c r="D938" s="27">
        <f>+SUMIFS(PROVEEDORES[Total],PROVEEDORES[PROVEEDOR],PROVEEDORES[[#This Row],[PROVEEDOR]],PROVEEDORES[FECHA DE PAGO],"")</f>
        <v>0</v>
      </c>
      <c r="E938" s="27"/>
      <c r="F938" s="62" t="str">
        <f>+VLOOKUP(PROVEEDORES[[#This Row],[PROVEEDOR]],
                       Terceros!$A:$G,
                       6,
                       FALSE)</f>
        <v>pse</v>
      </c>
      <c r="G938" s="95">
        <v>44516</v>
      </c>
      <c r="H938" s="28" t="s">
        <v>371</v>
      </c>
      <c r="I938" s="95">
        <v>44501</v>
      </c>
      <c r="J938" s="38"/>
      <c r="K938" s="23">
        <v>895265</v>
      </c>
      <c r="L938" s="23"/>
      <c r="M938" s="24">
        <v>0</v>
      </c>
      <c r="N938" s="25"/>
      <c r="O938" s="24">
        <v>0</v>
      </c>
      <c r="P938" s="136">
        <f>+IF(PROVEEDORES[[#This Row],[SUBTOTAL]]&lt;PROVEEDORES[[#This Row],[base retencion]],0,PROVEEDORES[[#This Row],[retención aplicada]])</f>
        <v>0</v>
      </c>
      <c r="Q938" s="24">
        <f>+PROVEEDORES[[#This Row],[Rete Fuente %]]*PROVEEDORES[[#This Row],[SUBTOTAL]]</f>
        <v>0</v>
      </c>
      <c r="R938" s="23">
        <v>895265</v>
      </c>
      <c r="S93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8" s="99">
        <f ca="1">IF(PROVEEDORES[[#This Row],[FECHA DE PAGO]]=0,TODAY()-PROVEEDORES[[#This Row],[FECHA DE FACTURACIÓN]]-PROVEEDORES[[#This Row],[PLAZO Días]],0)</f>
        <v>0</v>
      </c>
      <c r="U938" s="149">
        <f>+VLOOKUP(PROVEEDORES[[#This Row],[PROVEEDOR]],Terceros!$A:$E,5,FALSE)</f>
        <v>0</v>
      </c>
      <c r="V938" s="150">
        <f>+YEAR(PROVEEDORES[[#This Row],[FECHA DE FACTURACIÓN]])</f>
        <v>2021</v>
      </c>
      <c r="W938" s="150">
        <f>+MATCH(PROVEEDORES[[#This Row],[año facturado]],Retenciones!$1:$1,0)</f>
        <v>4</v>
      </c>
      <c r="X938" s="151">
        <f>+VLOOKUP(PROVEEDORES[[#This Row],[ID RETENCION]],Retenciones!$A$1:$O$24,PROVEEDORES[[#This Row],[indicador de columna]],FALSE)</f>
        <v>0</v>
      </c>
      <c r="Y938" s="152">
        <f>+VLOOKUP(PROVEEDORES[[#This Row],[ID RETENCION]],Retenciones!$A$1:$O$24,2,FALSE)</f>
        <v>0</v>
      </c>
      <c r="Z938" s="26"/>
      <c r="AA938" s="26"/>
      <c r="AB938" s="26"/>
      <c r="AC938" s="26"/>
      <c r="AD938" s="26"/>
      <c r="AE938" s="26"/>
    </row>
    <row r="939" spans="1:31" ht="21.95" customHeight="1" x14ac:dyDescent="0.25">
      <c r="A939" s="97" t="str">
        <f>+IF(PROVEEDORES[[#This Row],[FECHA DE PAGO]]=PROVEEDORES[[#This Row],[FECHA DE FACTURACIÓN]],"DE CONTADO","CRÉDITO")</f>
        <v>CRÉDITO</v>
      </c>
      <c r="B939" s="41" t="b">
        <f>+IF((PROVEEDORES[[#This Row],[FECHA DE PAGO]]-PROVEEDORES[[#This Row],[FECHA DE FACTURACIÓN]])&gt;PROVEEDORES[[#This Row],[PLAZO Días]],"PAGO VENCIDO")</f>
        <v>0</v>
      </c>
      <c r="C939" s="22">
        <f>+VLOOKUP(PROVEEDORES[[#This Row],[PROVEEDOR]],TERCEROS_INFO[#All],2,FALSE)</f>
        <v>30</v>
      </c>
      <c r="D939" s="27">
        <f>+SUMIFS(PROVEEDORES[Total],PROVEEDORES[PROVEEDOR],PROVEEDORES[[#This Row],[PROVEEDOR]],PROVEEDORES[FECHA DE PAGO],"")</f>
        <v>248736.18000000002</v>
      </c>
      <c r="E939" s="27"/>
      <c r="F939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G939" s="95">
        <v>44527</v>
      </c>
      <c r="H939" s="28" t="s">
        <v>343</v>
      </c>
      <c r="I939" s="95">
        <v>44501</v>
      </c>
      <c r="J939" s="38" t="s">
        <v>589</v>
      </c>
      <c r="K939" s="23">
        <v>203897</v>
      </c>
      <c r="L939" s="23"/>
      <c r="M939" s="24">
        <v>38740.43</v>
      </c>
      <c r="N939" s="25"/>
      <c r="O939" s="24">
        <v>0</v>
      </c>
      <c r="P939" s="136">
        <f>+IF(PROVEEDORES[[#This Row],[SUBTOTAL]]&lt;PROVEEDORES[[#This Row],[base retencion]],0,PROVEEDORES[[#This Row],[retención aplicada]])</f>
        <v>3.5000000000000003E-2</v>
      </c>
      <c r="Q939" s="24">
        <f>+PROVEEDORES[[#This Row],[Rete Fuente %]]*PROVEEDORES[[#This Row],[SUBTOTAL]]</f>
        <v>7136.3950000000004</v>
      </c>
      <c r="R939" s="23">
        <v>235501.035</v>
      </c>
      <c r="S93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9" s="99">
        <f ca="1">IF(PROVEEDORES[[#This Row],[FECHA DE PAGO]]=0,TODAY()-PROVEEDORES[[#This Row],[FECHA DE FACTURACIÓN]]-PROVEEDORES[[#This Row],[PLAZO Días]],0)</f>
        <v>0</v>
      </c>
      <c r="U939" s="149" t="str">
        <f>+VLOOKUP(PROVEEDORES[[#This Row],[PROVEEDOR]],Terceros!$A:$E,5,FALSE)</f>
        <v>3,5% sin base</v>
      </c>
      <c r="V939" s="150">
        <f>+YEAR(PROVEEDORES[[#This Row],[FECHA DE FACTURACIÓN]])</f>
        <v>2021</v>
      </c>
      <c r="W939" s="150">
        <f>+MATCH(PROVEEDORES[[#This Row],[año facturado]],Retenciones!$1:$1,0)</f>
        <v>4</v>
      </c>
      <c r="X939" s="151">
        <f>+VLOOKUP(PROVEEDORES[[#This Row],[ID RETENCION]],Retenciones!$A$1:$O$24,PROVEEDORES[[#This Row],[indicador de columna]],FALSE)</f>
        <v>0</v>
      </c>
      <c r="Y939" s="152">
        <f>+VLOOKUP(PROVEEDORES[[#This Row],[ID RETENCION]],Retenciones!$A$1:$O$24,2,FALSE)</f>
        <v>3.5000000000000003E-2</v>
      </c>
      <c r="Z939" s="26"/>
      <c r="AA939" s="26"/>
      <c r="AB939" s="26"/>
      <c r="AC939" s="26"/>
      <c r="AD939" s="26"/>
      <c r="AE939" s="26"/>
    </row>
    <row r="940" spans="1:31" ht="21.95" customHeight="1" x14ac:dyDescent="0.25">
      <c r="A940" s="97" t="str">
        <f>+IF(PROVEEDORES[[#This Row],[FECHA DE PAGO]]=PROVEEDORES[[#This Row],[FECHA DE FACTURACIÓN]],"DE CONTADO","CRÉDITO")</f>
        <v>CRÉDITO</v>
      </c>
      <c r="B940" s="41" t="b">
        <f>+IF((PROVEEDORES[[#This Row],[FECHA DE PAGO]]-PROVEEDORES[[#This Row],[FECHA DE FACTURACIÓN]])&gt;PROVEEDORES[[#This Row],[PLAZO Días]],"PAGO VENCIDO")</f>
        <v>0</v>
      </c>
      <c r="C940" s="22">
        <f>+VLOOKUP(PROVEEDORES[[#This Row],[PROVEEDOR]],TERCEROS_INFO[#All],2,FALSE)</f>
        <v>30</v>
      </c>
      <c r="D940" s="27">
        <f>+SUMIFS(PROVEEDORES[Total],PROVEEDORES[PROVEEDOR],PROVEEDORES[[#This Row],[PROVEEDOR]],PROVEEDORES[FECHA DE PAGO],"")</f>
        <v>4862586.33</v>
      </c>
      <c r="E940" s="27"/>
      <c r="F940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940" s="95">
        <v>44527</v>
      </c>
      <c r="H940" s="28" t="s">
        <v>345</v>
      </c>
      <c r="I940" s="95">
        <v>44501</v>
      </c>
      <c r="J940" s="38" t="s">
        <v>588</v>
      </c>
      <c r="K940" s="23">
        <v>716544</v>
      </c>
      <c r="L940" s="23"/>
      <c r="M940" s="24">
        <v>136143.36000000002</v>
      </c>
      <c r="N940" s="25"/>
      <c r="O940" s="24">
        <v>0</v>
      </c>
      <c r="P940" s="136">
        <f>+IF(PROVEEDORES[[#This Row],[SUBTOTAL]]&lt;PROVEEDORES[[#This Row],[base retencion]],0,PROVEEDORES[[#This Row],[retención aplicada]])</f>
        <v>0</v>
      </c>
      <c r="Q940" s="24">
        <f>+PROVEEDORES[[#This Row],[Rete Fuente %]]*PROVEEDORES[[#This Row],[SUBTOTAL]]</f>
        <v>0</v>
      </c>
      <c r="R940" s="23">
        <v>852687.35999999999</v>
      </c>
      <c r="S94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0" s="99">
        <f ca="1">IF(PROVEEDORES[[#This Row],[FECHA DE PAGO]]=0,TODAY()-PROVEEDORES[[#This Row],[FECHA DE FACTURACIÓN]]-PROVEEDORES[[#This Row],[PLAZO Días]],0)</f>
        <v>0</v>
      </c>
      <c r="U940" s="149">
        <f>+VLOOKUP(PROVEEDORES[[#This Row],[PROVEEDOR]],Terceros!$A:$E,5,FALSE)</f>
        <v>0</v>
      </c>
      <c r="V940" s="150">
        <f>+YEAR(PROVEEDORES[[#This Row],[FECHA DE FACTURACIÓN]])</f>
        <v>2021</v>
      </c>
      <c r="W940" s="150">
        <f>+MATCH(PROVEEDORES[[#This Row],[año facturado]],Retenciones!$1:$1,0)</f>
        <v>4</v>
      </c>
      <c r="X940" s="151">
        <f>+VLOOKUP(PROVEEDORES[[#This Row],[ID RETENCION]],Retenciones!$A$1:$O$24,PROVEEDORES[[#This Row],[indicador de columna]],FALSE)</f>
        <v>0</v>
      </c>
      <c r="Y940" s="152">
        <f>+VLOOKUP(PROVEEDORES[[#This Row],[ID RETENCION]],Retenciones!$A$1:$O$24,2,FALSE)</f>
        <v>0</v>
      </c>
      <c r="Z940" s="26"/>
      <c r="AA940" s="26"/>
      <c r="AB940" s="26"/>
      <c r="AC940" s="26"/>
      <c r="AD940" s="26"/>
      <c r="AE940" s="26"/>
    </row>
    <row r="941" spans="1:31" ht="21.95" customHeight="1" x14ac:dyDescent="0.25">
      <c r="A941" s="97" t="str">
        <f>+IF(PROVEEDORES[[#This Row],[FECHA DE PAGO]]=PROVEEDORES[[#This Row],[FECHA DE FACTURACIÓN]],"DE CONTADO","CRÉDITO")</f>
        <v>CRÉDITO</v>
      </c>
      <c r="B941" s="41" t="b">
        <f>+IF((PROVEEDORES[[#This Row],[FECHA DE PAGO]]-PROVEEDORES[[#This Row],[FECHA DE FACTURACIÓN]])&gt;PROVEEDORES[[#This Row],[PLAZO Días]],"PAGO VENCIDO")</f>
        <v>0</v>
      </c>
      <c r="C941" s="22">
        <f>+VLOOKUP(PROVEEDORES[[#This Row],[PROVEEDOR]],TERCEROS_INFO[#All],2,FALSE)</f>
        <v>30</v>
      </c>
      <c r="D941" s="27">
        <f>+SUMIFS(PROVEEDORES[Total],PROVEEDORES[PROVEEDOR],PROVEEDORES[[#This Row],[PROVEEDOR]],PROVEEDORES[FECHA DE PAGO],"")</f>
        <v>0</v>
      </c>
      <c r="E941" s="27"/>
      <c r="F941" s="62" t="str">
        <f>+VLOOKUP(PROVEEDORES[[#This Row],[PROVEEDOR]],
                       Terceros!$A:$G,
                       6,
                       FALSE)</f>
        <v>tesoreria@lacentral.com.co;girlesa.ruiz@servipilas.com;joriescobar64@gmail.com</v>
      </c>
      <c r="G941" s="95">
        <v>44527</v>
      </c>
      <c r="H941" s="28" t="s">
        <v>332</v>
      </c>
      <c r="I941" s="95">
        <v>44501</v>
      </c>
      <c r="J941" s="38">
        <v>9319</v>
      </c>
      <c r="K941" s="23">
        <v>1547710</v>
      </c>
      <c r="L941" s="23"/>
      <c r="M941" s="24">
        <v>0</v>
      </c>
      <c r="N941" s="25"/>
      <c r="O941" s="24">
        <v>75639</v>
      </c>
      <c r="P941" s="136">
        <f>+IF(PROVEEDORES[[#This Row],[SUBTOTAL]]&lt;PROVEEDORES[[#This Row],[base retencion]],0,PROVEEDORES[[#This Row],[retención aplicada]])</f>
        <v>0</v>
      </c>
      <c r="Q941" s="24">
        <f>+PROVEEDORES[[#This Row],[Rete Fuente %]]*PROVEEDORES[[#This Row],[SUBTOTAL]]</f>
        <v>0</v>
      </c>
      <c r="R941" s="23">
        <v>1472071</v>
      </c>
      <c r="S94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1" s="99">
        <f ca="1">IF(PROVEEDORES[[#This Row],[FECHA DE PAGO]]=0,TODAY()-PROVEEDORES[[#This Row],[FECHA DE FACTURACIÓN]]-PROVEEDORES[[#This Row],[PLAZO Días]],0)</f>
        <v>0</v>
      </c>
      <c r="U941" s="149">
        <f>+VLOOKUP(PROVEEDORES[[#This Row],[PROVEEDOR]],Terceros!$A:$E,5,FALSE)</f>
        <v>0</v>
      </c>
      <c r="V941" s="150">
        <f>+YEAR(PROVEEDORES[[#This Row],[FECHA DE FACTURACIÓN]])</f>
        <v>2021</v>
      </c>
      <c r="W941" s="150">
        <f>+MATCH(PROVEEDORES[[#This Row],[año facturado]],Retenciones!$1:$1,0)</f>
        <v>4</v>
      </c>
      <c r="X941" s="151">
        <f>+VLOOKUP(PROVEEDORES[[#This Row],[ID RETENCION]],Retenciones!$A$1:$O$24,PROVEEDORES[[#This Row],[indicador de columna]],FALSE)</f>
        <v>0</v>
      </c>
      <c r="Y941" s="152">
        <f>+VLOOKUP(PROVEEDORES[[#This Row],[ID RETENCION]],Retenciones!$A$1:$O$24,2,FALSE)</f>
        <v>0</v>
      </c>
      <c r="Z941" s="26"/>
      <c r="AA941" s="26"/>
      <c r="AB941" s="26"/>
      <c r="AC941" s="26"/>
      <c r="AD941" s="26"/>
      <c r="AE941" s="26"/>
    </row>
    <row r="942" spans="1:31" ht="21.95" customHeight="1" x14ac:dyDescent="0.25">
      <c r="A942" s="97" t="str">
        <f>+IF(PROVEEDORES[[#This Row],[FECHA DE PAGO]]=PROVEEDORES[[#This Row],[FECHA DE FACTURACIÓN]],"DE CONTADO","CRÉDITO")</f>
        <v>CRÉDITO</v>
      </c>
      <c r="B942" s="41" t="b">
        <f>+IF((PROVEEDORES[[#This Row],[FECHA DE PAGO]]-PROVEEDORES[[#This Row],[FECHA DE FACTURACIÓN]])&gt;PROVEEDORES[[#This Row],[PLAZO Días]],"PAGO VENCIDO")</f>
        <v>0</v>
      </c>
      <c r="C942" s="22">
        <f>+VLOOKUP(PROVEEDORES[[#This Row],[PROVEEDOR]],TERCEROS_INFO[#All],2,FALSE)</f>
        <v>30</v>
      </c>
      <c r="D942" s="27">
        <f>+SUMIFS(PROVEEDORES[Total],PROVEEDORES[PROVEEDOR],PROVEEDORES[[#This Row],[PROVEEDOR]],PROVEEDORES[FECHA DE PAGO],"")</f>
        <v>0</v>
      </c>
      <c r="E942" s="27"/>
      <c r="F942" s="62" t="str">
        <f>+VLOOKUP(PROVEEDORES[[#This Row],[PROVEEDOR]],
                       Terceros!$A:$G,
                       6,
                       FALSE)</f>
        <v>propertymarketingsas@hotmail.com;girlesa.ruiz@servipilas.com;joriescobar64@gmail.com</v>
      </c>
      <c r="G942" s="95">
        <v>44527</v>
      </c>
      <c r="H942" s="28" t="s">
        <v>483</v>
      </c>
      <c r="I942" s="95">
        <v>44501</v>
      </c>
      <c r="J942" s="38" t="s">
        <v>598</v>
      </c>
      <c r="K942" s="23">
        <v>2789636</v>
      </c>
      <c r="L942" s="23"/>
      <c r="M942" s="24">
        <v>0</v>
      </c>
      <c r="N942" s="25"/>
      <c r="O942" s="24">
        <v>0</v>
      </c>
      <c r="P942" s="136">
        <f>+IF(PROVEEDORES[[#This Row],[SUBTOTAL]]&lt;PROVEEDORES[[#This Row],[base retencion]],0,PROVEEDORES[[#This Row],[retención aplicada]])</f>
        <v>3.5000000000000003E-2</v>
      </c>
      <c r="Q942" s="24">
        <f>+PROVEEDORES[[#This Row],[Rete Fuente %]]*PROVEEDORES[[#This Row],[SUBTOTAL]]</f>
        <v>97637.260000000009</v>
      </c>
      <c r="R942" s="23">
        <v>2691998.74</v>
      </c>
      <c r="S94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2" s="99">
        <f ca="1">IF(PROVEEDORES[[#This Row],[FECHA DE PAGO]]=0,TODAY()-PROVEEDORES[[#This Row],[FECHA DE FACTURACIÓN]]-PROVEEDORES[[#This Row],[PLAZO Días]],0)</f>
        <v>0</v>
      </c>
      <c r="U942" s="149" t="str">
        <f>+VLOOKUP(PROVEEDORES[[#This Row],[PROVEEDOR]],Terceros!$A:$E,5,FALSE)</f>
        <v>3,5% sin base</v>
      </c>
      <c r="V942" s="150">
        <f>+YEAR(PROVEEDORES[[#This Row],[FECHA DE FACTURACIÓN]])</f>
        <v>2021</v>
      </c>
      <c r="W942" s="150">
        <f>+MATCH(PROVEEDORES[[#This Row],[año facturado]],Retenciones!$1:$1,0)</f>
        <v>4</v>
      </c>
      <c r="X942" s="151">
        <f>+VLOOKUP(PROVEEDORES[[#This Row],[ID RETENCION]],Retenciones!$A$1:$O$24,PROVEEDORES[[#This Row],[indicador de columna]],FALSE)</f>
        <v>0</v>
      </c>
      <c r="Y942" s="152">
        <f>+VLOOKUP(PROVEEDORES[[#This Row],[ID RETENCION]],Retenciones!$A$1:$O$24,2,FALSE)</f>
        <v>3.5000000000000003E-2</v>
      </c>
      <c r="Z942" s="26"/>
      <c r="AA942" s="26"/>
      <c r="AB942" s="26"/>
      <c r="AC942" s="26"/>
      <c r="AD942" s="26"/>
      <c r="AE942" s="26"/>
    </row>
    <row r="943" spans="1:31" ht="21.95" customHeight="1" x14ac:dyDescent="0.25">
      <c r="A943" s="97" t="str">
        <f>+IF(PROVEEDORES[[#This Row],[FECHA DE PAGO]]=PROVEEDORES[[#This Row],[FECHA DE FACTURACIÓN]],"DE CONTADO","CRÉDITO")</f>
        <v>CRÉDITO</v>
      </c>
      <c r="B943" s="41" t="b">
        <f>+IF((PROVEEDORES[[#This Row],[FECHA DE PAGO]]-PROVEEDORES[[#This Row],[FECHA DE FACTURACIÓN]])&gt;PROVEEDORES[[#This Row],[PLAZO Días]],"PAGO VENCIDO")</f>
        <v>0</v>
      </c>
      <c r="C943" s="22">
        <f>+VLOOKUP(PROVEEDORES[[#This Row],[PROVEEDOR]],TERCEROS_INFO[#All],2,FALSE)</f>
        <v>30</v>
      </c>
      <c r="D943" s="27">
        <f>+SUMIFS(PROVEEDORES[Total],PROVEEDORES[PROVEEDOR],PROVEEDORES[[#This Row],[PROVEEDOR]],PROVEEDORES[FECHA DE PAGO],"")</f>
        <v>4862586.33</v>
      </c>
      <c r="E943" s="27"/>
      <c r="F943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943" s="95">
        <v>44527</v>
      </c>
      <c r="H943" s="28" t="s">
        <v>345</v>
      </c>
      <c r="I943" s="95">
        <v>44501</v>
      </c>
      <c r="J943" s="38" t="s">
        <v>587</v>
      </c>
      <c r="K943" s="23">
        <v>3061166</v>
      </c>
      <c r="L943" s="23"/>
      <c r="M943" s="24">
        <v>581621.54</v>
      </c>
      <c r="N943" s="25"/>
      <c r="O943" s="24">
        <v>0</v>
      </c>
      <c r="P943" s="136">
        <f>+IF(PROVEEDORES[[#This Row],[SUBTOTAL]]&lt;PROVEEDORES[[#This Row],[base retencion]],0,PROVEEDORES[[#This Row],[retención aplicada]])</f>
        <v>0</v>
      </c>
      <c r="Q943" s="24">
        <f>+PROVEEDORES[[#This Row],[Rete Fuente %]]*PROVEEDORES[[#This Row],[SUBTOTAL]]</f>
        <v>0</v>
      </c>
      <c r="R943" s="23">
        <v>3642787.54</v>
      </c>
      <c r="S94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3" s="99">
        <f ca="1">IF(PROVEEDORES[[#This Row],[FECHA DE PAGO]]=0,TODAY()-PROVEEDORES[[#This Row],[FECHA DE FACTURACIÓN]]-PROVEEDORES[[#This Row],[PLAZO Días]],0)</f>
        <v>0</v>
      </c>
      <c r="U943" s="149">
        <f>+VLOOKUP(PROVEEDORES[[#This Row],[PROVEEDOR]],Terceros!$A:$E,5,FALSE)</f>
        <v>0</v>
      </c>
      <c r="V943" s="150">
        <f>+YEAR(PROVEEDORES[[#This Row],[FECHA DE FACTURACIÓN]])</f>
        <v>2021</v>
      </c>
      <c r="W943" s="150">
        <f>+MATCH(PROVEEDORES[[#This Row],[año facturado]],Retenciones!$1:$1,0)</f>
        <v>4</v>
      </c>
      <c r="X943" s="151">
        <f>+VLOOKUP(PROVEEDORES[[#This Row],[ID RETENCION]],Retenciones!$A$1:$O$24,PROVEEDORES[[#This Row],[indicador de columna]],FALSE)</f>
        <v>0</v>
      </c>
      <c r="Y943" s="152">
        <f>+VLOOKUP(PROVEEDORES[[#This Row],[ID RETENCION]],Retenciones!$A$1:$O$24,2,FALSE)</f>
        <v>0</v>
      </c>
      <c r="Z943" s="26"/>
      <c r="AA943" s="26"/>
      <c r="AB943" s="26"/>
      <c r="AC943" s="26"/>
      <c r="AD943" s="26"/>
      <c r="AE943" s="26"/>
    </row>
    <row r="944" spans="1:31" ht="21.95" customHeight="1" x14ac:dyDescent="0.25">
      <c r="A944" s="97" t="str">
        <f>+IF(PROVEEDORES[[#This Row],[FECHA DE PAGO]]=PROVEEDORES[[#This Row],[FECHA DE FACTURACIÓN]],"DE CONTADO","CRÉDITO")</f>
        <v>CRÉDITO</v>
      </c>
      <c r="B944" s="41" t="b">
        <f>+IF((PROVEEDORES[[#This Row],[FECHA DE PAGO]]-PROVEEDORES[[#This Row],[FECHA DE FACTURACIÓN]])&gt;PROVEEDORES[[#This Row],[PLAZO Días]],"PAGO VENCIDO")</f>
        <v>0</v>
      </c>
      <c r="C944" s="22">
        <f>+VLOOKUP(PROVEEDORES[[#This Row],[PROVEEDOR]],TERCEROS_INFO[#All],2,FALSE)</f>
        <v>30</v>
      </c>
      <c r="D944" s="27">
        <f>+SUMIFS(PROVEEDORES[Total],PROVEEDORES[PROVEEDOR],PROVEEDORES[[#This Row],[PROVEEDOR]],PROVEEDORES[FECHA DE PAGO],"")</f>
        <v>367873.4</v>
      </c>
      <c r="E944" s="27"/>
      <c r="F944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944" s="95">
        <v>44502</v>
      </c>
      <c r="H944" s="28" t="s">
        <v>120</v>
      </c>
      <c r="I944" s="95">
        <v>44501</v>
      </c>
      <c r="J944" s="38" t="s">
        <v>869</v>
      </c>
      <c r="K944" s="23">
        <v>1481000</v>
      </c>
      <c r="L944" s="23"/>
      <c r="M944" s="24">
        <v>0</v>
      </c>
      <c r="N944" s="25"/>
      <c r="O944" s="24">
        <v>0</v>
      </c>
      <c r="P944" s="136">
        <f>+IF(PROVEEDORES[[#This Row],[SUBTOTAL]]&lt;PROVEEDORES[[#This Row],[base retencion]],0,PROVEEDORES[[#This Row],[retención aplicada]])</f>
        <v>0</v>
      </c>
      <c r="Q944" s="24">
        <f>+PROVEEDORES[[#This Row],[Rete Fuente %]]*PROVEEDORES[[#This Row],[SUBTOTAL]]</f>
        <v>0</v>
      </c>
      <c r="R944" s="23">
        <v>1481000</v>
      </c>
      <c r="S94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4" s="99">
        <f ca="1">IF(PROVEEDORES[[#This Row],[FECHA DE PAGO]]=0,TODAY()-PROVEEDORES[[#This Row],[FECHA DE FACTURACIÓN]]-PROVEEDORES[[#This Row],[PLAZO Días]],0)</f>
        <v>0</v>
      </c>
      <c r="U944" s="149">
        <f>+VLOOKUP(PROVEEDORES[[#This Row],[PROVEEDOR]],Terceros!$A:$E,5,FALSE)</f>
        <v>0</v>
      </c>
      <c r="V944" s="150">
        <f>+YEAR(PROVEEDORES[[#This Row],[FECHA DE FACTURACIÓN]])</f>
        <v>2021</v>
      </c>
      <c r="W944" s="150">
        <f>+MATCH(PROVEEDORES[[#This Row],[año facturado]],Retenciones!$1:$1,0)</f>
        <v>4</v>
      </c>
      <c r="X944" s="151">
        <f>+VLOOKUP(PROVEEDORES[[#This Row],[ID RETENCION]],Retenciones!$A$1:$O$24,PROVEEDORES[[#This Row],[indicador de columna]],FALSE)</f>
        <v>0</v>
      </c>
      <c r="Y944" s="152">
        <f>+VLOOKUP(PROVEEDORES[[#This Row],[ID RETENCION]],Retenciones!$A$1:$O$24,2,FALSE)</f>
        <v>0</v>
      </c>
      <c r="Z944" s="26"/>
      <c r="AA944" s="26"/>
      <c r="AB944" s="26"/>
      <c r="AC944" s="26"/>
      <c r="AD944" s="26"/>
      <c r="AE944" s="26"/>
    </row>
    <row r="945" spans="1:31" ht="21.95" customHeight="1" x14ac:dyDescent="0.25">
      <c r="A945" s="97" t="str">
        <f>+IF(PROVEEDORES[[#This Row],[FECHA DE PAGO]]=PROVEEDORES[[#This Row],[FECHA DE FACTURACIÓN]],"DE CONTADO","CRÉDITO")</f>
        <v>CRÉDITO</v>
      </c>
      <c r="B945" s="41" t="b">
        <f>+IF((PROVEEDORES[[#This Row],[FECHA DE PAGO]]-PROVEEDORES[[#This Row],[FECHA DE FACTURACIÓN]])&gt;PROVEEDORES[[#This Row],[PLAZO Días]],"PAGO VENCIDO")</f>
        <v>0</v>
      </c>
      <c r="C945" s="22">
        <f>+VLOOKUP(PROVEEDORES[[#This Row],[PROVEEDOR]],TERCEROS_INFO[#All],2,FALSE)</f>
        <v>30</v>
      </c>
      <c r="D945" s="27">
        <f>+SUMIFS(PROVEEDORES[Total],PROVEEDORES[PROVEEDOR],PROVEEDORES[[#This Row],[PROVEEDOR]],PROVEEDORES[FECHA DE PAGO],"")</f>
        <v>0</v>
      </c>
      <c r="E945" s="27"/>
      <c r="F945" s="62" t="str">
        <f>+VLOOKUP(PROVEEDORES[[#This Row],[PROVEEDOR]],
                       Terceros!$A:$G,
                       6,
                       FALSE)</f>
        <v>girlesa.ruiz@servipilas.com;joriescobar64@gmail.com</v>
      </c>
      <c r="G945" s="95">
        <v>44527</v>
      </c>
      <c r="H945" s="28" t="s">
        <v>336</v>
      </c>
      <c r="I945" s="95">
        <v>44501</v>
      </c>
      <c r="J945" s="38" t="s">
        <v>932</v>
      </c>
      <c r="K945" s="23">
        <v>3124305</v>
      </c>
      <c r="L945" s="23"/>
      <c r="M945" s="24">
        <v>0</v>
      </c>
      <c r="N945" s="25"/>
      <c r="O945" s="24">
        <v>0</v>
      </c>
      <c r="P945" s="136">
        <f>+IF(PROVEEDORES[[#This Row],[SUBTOTAL]]&lt;PROVEEDORES[[#This Row],[base retencion]],0,PROVEEDORES[[#This Row],[retención aplicada]])</f>
        <v>3.5000000000000003E-2</v>
      </c>
      <c r="Q945" s="24">
        <f>+PROVEEDORES[[#This Row],[Rete Fuente %]]*PROVEEDORES[[#This Row],[SUBTOTAL]]</f>
        <v>109350.67500000002</v>
      </c>
      <c r="R945" s="23">
        <v>3014954.3250000002</v>
      </c>
      <c r="S94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5" s="99">
        <f ca="1">IF(PROVEEDORES[[#This Row],[FECHA DE PAGO]]=0,TODAY()-PROVEEDORES[[#This Row],[FECHA DE FACTURACIÓN]]-PROVEEDORES[[#This Row],[PLAZO Días]],0)</f>
        <v>0</v>
      </c>
      <c r="U945" s="149" t="str">
        <f>+VLOOKUP(PROVEEDORES[[#This Row],[PROVEEDOR]],Terceros!$A:$E,5,FALSE)</f>
        <v>3,5% sin base</v>
      </c>
      <c r="V945" s="150">
        <f>+YEAR(PROVEEDORES[[#This Row],[FECHA DE FACTURACIÓN]])</f>
        <v>2021</v>
      </c>
      <c r="W945" s="150">
        <f>+MATCH(PROVEEDORES[[#This Row],[año facturado]],Retenciones!$1:$1,0)</f>
        <v>4</v>
      </c>
      <c r="X945" s="151">
        <f>+VLOOKUP(PROVEEDORES[[#This Row],[ID RETENCION]],Retenciones!$A$1:$O$24,PROVEEDORES[[#This Row],[indicador de columna]],FALSE)</f>
        <v>0</v>
      </c>
      <c r="Y945" s="152">
        <f>+VLOOKUP(PROVEEDORES[[#This Row],[ID RETENCION]],Retenciones!$A$1:$O$24,2,FALSE)</f>
        <v>3.5000000000000003E-2</v>
      </c>
      <c r="Z945" s="26"/>
      <c r="AA945" s="26"/>
      <c r="AB945" s="26"/>
      <c r="AC945" s="26"/>
      <c r="AD945" s="26"/>
      <c r="AE945" s="26"/>
    </row>
    <row r="946" spans="1:31" ht="21.95" customHeight="1" x14ac:dyDescent="0.25">
      <c r="A946" s="97" t="str">
        <f>+IF(PROVEEDORES[[#This Row],[FECHA DE PAGO]]=PROVEEDORES[[#This Row],[FECHA DE FACTURACIÓN]],"DE CONTADO","CRÉDITO")</f>
        <v>CRÉDITO</v>
      </c>
      <c r="B946" s="41" t="b">
        <f>+IF((PROVEEDORES[[#This Row],[FECHA DE PAGO]]-PROVEEDORES[[#This Row],[FECHA DE FACTURACIÓN]])&gt;PROVEEDORES[[#This Row],[PLAZO Días]],"PAGO VENCIDO")</f>
        <v>0</v>
      </c>
      <c r="C946" s="22">
        <f>+VLOOKUP(PROVEEDORES[[#This Row],[PROVEEDOR]],TERCEROS_INFO[#All],2,FALSE)</f>
        <v>30</v>
      </c>
      <c r="D946" s="27">
        <f>+SUMIFS(PROVEEDORES[Total],PROVEEDORES[PROVEEDOR],PROVEEDORES[[#This Row],[PROVEEDOR]],PROVEEDORES[FECHA DE PAGO],"")</f>
        <v>5463150</v>
      </c>
      <c r="E946" s="27"/>
      <c r="F946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946" s="95">
        <v>44527</v>
      </c>
      <c r="H946" s="28" t="s">
        <v>344</v>
      </c>
      <c r="I946" s="95">
        <v>44501</v>
      </c>
      <c r="J946" s="38">
        <v>40950</v>
      </c>
      <c r="K946" s="23">
        <v>4430000</v>
      </c>
      <c r="L946" s="23"/>
      <c r="M946" s="24">
        <v>841700</v>
      </c>
      <c r="N946" s="25"/>
      <c r="O946" s="24">
        <v>0</v>
      </c>
      <c r="P946" s="136">
        <f>+IF(PROVEEDORES[[#This Row],[SUBTOTAL]]&lt;PROVEEDORES[[#This Row],[base retencion]],0,PROVEEDORES[[#This Row],[retención aplicada]])</f>
        <v>3.5000000000000003E-2</v>
      </c>
      <c r="Q946" s="24">
        <f>+PROVEEDORES[[#This Row],[Rete Fuente %]]*PROVEEDORES[[#This Row],[SUBTOTAL]]</f>
        <v>155050.00000000003</v>
      </c>
      <c r="R946" s="23">
        <v>5116650</v>
      </c>
      <c r="S94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6" s="99">
        <f ca="1">IF(PROVEEDORES[[#This Row],[FECHA DE PAGO]]=0,TODAY()-PROVEEDORES[[#This Row],[FECHA DE FACTURACIÓN]]-PROVEEDORES[[#This Row],[PLAZO Días]],0)</f>
        <v>0</v>
      </c>
      <c r="U946" s="149" t="str">
        <f>+VLOOKUP(PROVEEDORES[[#This Row],[PROVEEDOR]],Terceros!$A:$E,5,FALSE)</f>
        <v>3,5% con base</v>
      </c>
      <c r="V946" s="150">
        <f>+YEAR(PROVEEDORES[[#This Row],[FECHA DE FACTURACIÓN]])</f>
        <v>2021</v>
      </c>
      <c r="W946" s="150">
        <f>+MATCH(PROVEEDORES[[#This Row],[año facturado]],Retenciones!$1:$1,0)</f>
        <v>4</v>
      </c>
      <c r="X946" s="151">
        <f>+VLOOKUP(PROVEEDORES[[#This Row],[ID RETENCION]],Retenciones!$A$1:$O$24,PROVEEDORES[[#This Row],[indicador de columna]],FALSE)</f>
        <v>980000</v>
      </c>
      <c r="Y946" s="152">
        <f>+VLOOKUP(PROVEEDORES[[#This Row],[ID RETENCION]],Retenciones!$A$1:$O$24,2,FALSE)</f>
        <v>3.5000000000000003E-2</v>
      </c>
      <c r="Z946" s="26"/>
      <c r="AA946" s="26"/>
      <c r="AB946" s="26"/>
      <c r="AC946" s="26"/>
      <c r="AD946" s="26"/>
      <c r="AE946" s="26"/>
    </row>
    <row r="947" spans="1:31" ht="21.95" customHeight="1" x14ac:dyDescent="0.25">
      <c r="A947" s="97" t="str">
        <f>+IF(PROVEEDORES[[#This Row],[FECHA DE PAGO]]=PROVEEDORES[[#This Row],[FECHA DE FACTURACIÓN]],"DE CONTADO","CRÉDITO")</f>
        <v>CRÉDITO</v>
      </c>
      <c r="B947" s="41" t="b">
        <f>+IF((PROVEEDORES[[#This Row],[FECHA DE PAGO]]-PROVEEDORES[[#This Row],[FECHA DE FACTURACIÓN]])&gt;PROVEEDORES[[#This Row],[PLAZO Días]],"PAGO VENCIDO")</f>
        <v>0</v>
      </c>
      <c r="C947" s="22">
        <f>+VLOOKUP(PROVEEDORES[[#This Row],[PROVEEDOR]],TERCEROS_INFO[#All],2,FALSE)</f>
        <v>30</v>
      </c>
      <c r="D947" s="27">
        <f>+SUMIFS(PROVEEDORES[Total],PROVEEDORES[PROVEEDOR],PROVEEDORES[[#This Row],[PROVEEDOR]],PROVEEDORES[FECHA DE PAGO],"")</f>
        <v>0</v>
      </c>
      <c r="E947" s="27"/>
      <c r="F947" s="62">
        <f>+VLOOKUP(PROVEEDORES[[#This Row],[PROVEEDOR]],
                       Terceros!$A:$G,
                       6,
                       FALSE)</f>
        <v>0</v>
      </c>
      <c r="G947" s="95">
        <v>44537</v>
      </c>
      <c r="H947" s="28" t="s">
        <v>626</v>
      </c>
      <c r="I947" s="95">
        <v>44523</v>
      </c>
      <c r="J947" s="38" t="s">
        <v>878</v>
      </c>
      <c r="K947" s="23">
        <v>1848739.49</v>
      </c>
      <c r="L947" s="23"/>
      <c r="M947" s="24">
        <v>351260.50310000003</v>
      </c>
      <c r="N947" s="25"/>
      <c r="O947" s="24">
        <v>0</v>
      </c>
      <c r="P947" s="136">
        <f>+IF(PROVEEDORES[[#This Row],[SUBTOTAL]]&lt;PROVEEDORES[[#This Row],[base retencion]],0,PROVEEDORES[[#This Row],[retención aplicada]])</f>
        <v>0.04</v>
      </c>
      <c r="Q947" s="24">
        <f>+PROVEEDORES[[#This Row],[Rete Fuente %]]*PROVEEDORES[[#This Row],[SUBTOTAL]]</f>
        <v>73949.579599999997</v>
      </c>
      <c r="R947" s="23">
        <v>0</v>
      </c>
      <c r="S94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7" s="99">
        <f ca="1">IF(PROVEEDORES[[#This Row],[FECHA DE PAGO]]=0,TODAY()-PROVEEDORES[[#This Row],[FECHA DE FACTURACIÓN]]-PROVEEDORES[[#This Row],[PLAZO Días]],0)</f>
        <v>0</v>
      </c>
      <c r="U947" s="149" t="str">
        <f>+VLOOKUP(PROVEEDORES[[#This Row],[PROVEEDOR]],Terceros!$A:$E,5,FALSE)</f>
        <v>4% sin base</v>
      </c>
      <c r="V947" s="150">
        <f>+YEAR(PROVEEDORES[[#This Row],[FECHA DE FACTURACIÓN]])</f>
        <v>2021</v>
      </c>
      <c r="W947" s="150">
        <f>+MATCH(PROVEEDORES[[#This Row],[año facturado]],Retenciones!$1:$1,0)</f>
        <v>4</v>
      </c>
      <c r="X947" s="151">
        <f>+VLOOKUP(PROVEEDORES[[#This Row],[ID RETENCION]],Retenciones!$A$1:$O$24,PROVEEDORES[[#This Row],[indicador de columna]],FALSE)</f>
        <v>0</v>
      </c>
      <c r="Y947" s="152">
        <f>+VLOOKUP(PROVEEDORES[[#This Row],[ID RETENCION]],Retenciones!$A$1:$O$24,2,FALSE)</f>
        <v>0.04</v>
      </c>
      <c r="Z947" s="26"/>
      <c r="AA947" s="26"/>
      <c r="AB947" s="26"/>
      <c r="AC947" s="26"/>
      <c r="AD947" s="26"/>
      <c r="AE947" s="26"/>
    </row>
    <row r="948" spans="1:31" ht="21.95" customHeight="1" x14ac:dyDescent="0.25">
      <c r="A948" s="97" t="str">
        <f>+IF(PROVEEDORES[[#This Row],[FECHA DE PAGO]]=PROVEEDORES[[#This Row],[FECHA DE FACTURACIÓN]],"DE CONTADO","CRÉDITO")</f>
        <v>CRÉDITO</v>
      </c>
      <c r="B948" s="41" t="b">
        <f>+IF((PROVEEDORES[[#This Row],[FECHA DE PAGO]]-PROVEEDORES[[#This Row],[FECHA DE FACTURACIÓN]])&gt;PROVEEDORES[[#This Row],[PLAZO Días]],"PAGO VENCIDO")</f>
        <v>0</v>
      </c>
      <c r="C948" s="22">
        <f>+VLOOKUP(PROVEEDORES[[#This Row],[PROVEEDOR]],TERCEROS_INFO[#All],2,FALSE)</f>
        <v>20</v>
      </c>
      <c r="D948" s="27">
        <f>+SUMIFS(PROVEEDORES[Total],PROVEEDORES[PROVEEDOR],PROVEEDORES[[#This Row],[PROVEEDOR]],PROVEEDORES[FECHA DE PAGO],"")</f>
        <v>0</v>
      </c>
      <c r="E948" s="27"/>
      <c r="F948" s="62" t="str">
        <f>+VLOOKUP(PROVEEDORES[[#This Row],[PROVEEDOR]],
                       Terceros!$A:$G,
                       6,
                       FALSE)</f>
        <v>pse</v>
      </c>
      <c r="G948" s="95">
        <v>44540</v>
      </c>
      <c r="H948" s="28" t="s">
        <v>371</v>
      </c>
      <c r="I948" s="95">
        <v>44531</v>
      </c>
      <c r="J948" s="38"/>
      <c r="K948" s="23">
        <v>934412</v>
      </c>
      <c r="L948" s="23"/>
      <c r="M948" s="24">
        <v>0</v>
      </c>
      <c r="N948" s="25"/>
      <c r="O948" s="24">
        <v>0</v>
      </c>
      <c r="P948" s="136">
        <f>+IF(PROVEEDORES[[#This Row],[SUBTOTAL]]&lt;PROVEEDORES[[#This Row],[base retencion]],0,PROVEEDORES[[#This Row],[retención aplicada]])</f>
        <v>0</v>
      </c>
      <c r="Q948" s="24">
        <f>+PROVEEDORES[[#This Row],[Rete Fuente %]]*PROVEEDORES[[#This Row],[SUBTOTAL]]</f>
        <v>0</v>
      </c>
      <c r="R948" s="23">
        <v>934412</v>
      </c>
      <c r="S94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8" s="99">
        <f ca="1">IF(PROVEEDORES[[#This Row],[FECHA DE PAGO]]=0,TODAY()-PROVEEDORES[[#This Row],[FECHA DE FACTURACIÓN]]-PROVEEDORES[[#This Row],[PLAZO Días]],0)</f>
        <v>0</v>
      </c>
      <c r="U948" s="149">
        <f>+VLOOKUP(PROVEEDORES[[#This Row],[PROVEEDOR]],Terceros!$A:$E,5,FALSE)</f>
        <v>0</v>
      </c>
      <c r="V948" s="150">
        <f>+YEAR(PROVEEDORES[[#This Row],[FECHA DE FACTURACIÓN]])</f>
        <v>2021</v>
      </c>
      <c r="W948" s="150">
        <f>+MATCH(PROVEEDORES[[#This Row],[año facturado]],Retenciones!$1:$1,0)</f>
        <v>4</v>
      </c>
      <c r="X948" s="151">
        <f>+VLOOKUP(PROVEEDORES[[#This Row],[ID RETENCION]],Retenciones!$A$1:$O$24,PROVEEDORES[[#This Row],[indicador de columna]],FALSE)</f>
        <v>0</v>
      </c>
      <c r="Y948" s="152">
        <f>+VLOOKUP(PROVEEDORES[[#This Row],[ID RETENCION]],Retenciones!$A$1:$O$24,2,FALSE)</f>
        <v>0</v>
      </c>
      <c r="Z948" s="26"/>
      <c r="AA948" s="26"/>
      <c r="AB948" s="26"/>
      <c r="AC948" s="26"/>
      <c r="AD948" s="26"/>
      <c r="AE948" s="26"/>
    </row>
    <row r="949" spans="1:31" ht="21.95" customHeight="1" x14ac:dyDescent="0.25">
      <c r="A949" s="97" t="str">
        <f>+IF(PROVEEDORES[[#This Row],[FECHA DE PAGO]]=PROVEEDORES[[#This Row],[FECHA DE FACTURACIÓN]],"DE CONTADO","CRÉDITO")</f>
        <v>CRÉDITO</v>
      </c>
      <c r="B949" s="41" t="b">
        <f>+IF((PROVEEDORES[[#This Row],[FECHA DE PAGO]]-PROVEEDORES[[#This Row],[FECHA DE FACTURACIÓN]])&gt;PROVEEDORES[[#This Row],[PLAZO Días]],"PAGO VENCIDO")</f>
        <v>0</v>
      </c>
      <c r="C949" s="22">
        <f>+VLOOKUP(PROVEEDORES[[#This Row],[PROVEEDOR]],TERCEROS_INFO[#All],2,FALSE)</f>
        <v>10</v>
      </c>
      <c r="D949" s="27">
        <f>+SUMIFS(PROVEEDORES[Total],PROVEEDORES[PROVEEDOR],PROVEEDORES[[#This Row],[PROVEEDOR]],PROVEEDORES[FECHA DE PAGO],"")</f>
        <v>0</v>
      </c>
      <c r="E949" s="27"/>
      <c r="F949" s="62">
        <f>+VLOOKUP(PROVEEDORES[[#This Row],[PROVEEDOR]],
                       Terceros!$A:$G,
                       6,
                       FALSE)</f>
        <v>0</v>
      </c>
      <c r="G949" s="95">
        <v>44540</v>
      </c>
      <c r="H949" s="28" t="s">
        <v>642</v>
      </c>
      <c r="I949" s="95">
        <v>44539</v>
      </c>
      <c r="J949" s="38" t="s">
        <v>643</v>
      </c>
      <c r="K949" s="23">
        <v>100840.34</v>
      </c>
      <c r="L949" s="23"/>
      <c r="M949" s="24">
        <v>19159.6646</v>
      </c>
      <c r="N949" s="25"/>
      <c r="O949" s="24">
        <v>0</v>
      </c>
      <c r="P949" s="136">
        <f>+IF(PROVEEDORES[[#This Row],[SUBTOTAL]]&lt;PROVEEDORES[[#This Row],[base retencion]],0,PROVEEDORES[[#This Row],[retención aplicada]])</f>
        <v>0</v>
      </c>
      <c r="Q949" s="24">
        <f>+PROVEEDORES[[#This Row],[Rete Fuente %]]*PROVEEDORES[[#This Row],[SUBTOTAL]]</f>
        <v>0</v>
      </c>
      <c r="R949" s="23">
        <v>120000.0046</v>
      </c>
      <c r="S94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9" s="99">
        <f ca="1">IF(PROVEEDORES[[#This Row],[FECHA DE PAGO]]=0,TODAY()-PROVEEDORES[[#This Row],[FECHA DE FACTURACIÓN]]-PROVEEDORES[[#This Row],[PLAZO Días]],0)</f>
        <v>0</v>
      </c>
      <c r="U949" s="149">
        <f>+VLOOKUP(PROVEEDORES[[#This Row],[PROVEEDOR]],Terceros!$A:$E,5,FALSE)</f>
        <v>0</v>
      </c>
      <c r="V949" s="150">
        <f>+YEAR(PROVEEDORES[[#This Row],[FECHA DE FACTURACIÓN]])</f>
        <v>2021</v>
      </c>
      <c r="W949" s="150">
        <f>+MATCH(PROVEEDORES[[#This Row],[año facturado]],Retenciones!$1:$1,0)</f>
        <v>4</v>
      </c>
      <c r="X949" s="151">
        <f>+VLOOKUP(PROVEEDORES[[#This Row],[ID RETENCION]],Retenciones!$A$1:$O$24,PROVEEDORES[[#This Row],[indicador de columna]],FALSE)</f>
        <v>0</v>
      </c>
      <c r="Y949" s="152">
        <f>+VLOOKUP(PROVEEDORES[[#This Row],[ID RETENCION]],Retenciones!$A$1:$O$24,2,FALSE)</f>
        <v>0</v>
      </c>
      <c r="Z949" s="26"/>
      <c r="AA949" s="26"/>
      <c r="AB949" s="26"/>
      <c r="AC949" s="26"/>
      <c r="AD949" s="26"/>
      <c r="AE949" s="26"/>
    </row>
    <row r="950" spans="1:31" ht="21.95" customHeight="1" x14ac:dyDescent="0.25">
      <c r="A950" s="97" t="str">
        <f>+IF(PROVEEDORES[[#This Row],[FECHA DE PAGO]]=PROVEEDORES[[#This Row],[FECHA DE FACTURACIÓN]],"DE CONTADO","CRÉDITO")</f>
        <v>CRÉDITO</v>
      </c>
      <c r="B950" s="41" t="b">
        <f>+IF((PROVEEDORES[[#This Row],[FECHA DE PAGO]]-PROVEEDORES[[#This Row],[FECHA DE FACTURACIÓN]])&gt;PROVEEDORES[[#This Row],[PLAZO Días]],"PAGO VENCIDO")</f>
        <v>0</v>
      </c>
      <c r="C950" s="22">
        <f>+VLOOKUP(PROVEEDORES[[#This Row],[PROVEEDOR]],TERCEROS_INFO[#All],2,FALSE)</f>
        <v>30</v>
      </c>
      <c r="D950" s="27">
        <f>+SUMIFS(PROVEEDORES[Total],PROVEEDORES[PROVEEDOR],PROVEEDORES[[#This Row],[PROVEEDOR]],PROVEEDORES[FECHA DE PAGO],"")</f>
        <v>0</v>
      </c>
      <c r="E950" s="27"/>
      <c r="F950" s="62" t="str">
        <f>+VLOOKUP(PROVEEDORES[[#This Row],[PROVEEDOR]],
                       Terceros!$A:$G,
                       6,
                       FALSE)</f>
        <v/>
      </c>
      <c r="G950" s="95">
        <v>44502</v>
      </c>
      <c r="H950" s="28" t="s">
        <v>56</v>
      </c>
      <c r="I950" s="95">
        <v>44501</v>
      </c>
      <c r="J950" s="38">
        <v>55161</v>
      </c>
      <c r="K950" s="23">
        <v>8172000</v>
      </c>
      <c r="L950" s="23"/>
      <c r="M950" s="24">
        <v>0</v>
      </c>
      <c r="N950" s="25"/>
      <c r="O950" s="24">
        <v>0</v>
      </c>
      <c r="P950" s="136">
        <f>+IF(PROVEEDORES[[#This Row],[SUBTOTAL]]&lt;PROVEEDORES[[#This Row],[base retencion]],0,PROVEEDORES[[#This Row],[retención aplicada]])</f>
        <v>0</v>
      </c>
      <c r="Q950" s="24">
        <f>+PROVEEDORES[[#This Row],[Rete Fuente %]]*PROVEEDORES[[#This Row],[SUBTOTAL]]</f>
        <v>0</v>
      </c>
      <c r="R950" s="23">
        <v>8172000</v>
      </c>
      <c r="S95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0" s="99">
        <f ca="1">IF(PROVEEDORES[[#This Row],[FECHA DE PAGO]]=0,TODAY()-PROVEEDORES[[#This Row],[FECHA DE FACTURACIÓN]]-PROVEEDORES[[#This Row],[PLAZO Días]],0)</f>
        <v>0</v>
      </c>
      <c r="U950" s="149">
        <f>+VLOOKUP(PROVEEDORES[[#This Row],[PROVEEDOR]],Terceros!$A:$E,5,FALSE)</f>
        <v>0</v>
      </c>
      <c r="V950" s="150">
        <f>+YEAR(PROVEEDORES[[#This Row],[FECHA DE FACTURACIÓN]])</f>
        <v>2021</v>
      </c>
      <c r="W950" s="150">
        <f>+MATCH(PROVEEDORES[[#This Row],[año facturado]],Retenciones!$1:$1,0)</f>
        <v>4</v>
      </c>
      <c r="X950" s="151">
        <f>+VLOOKUP(PROVEEDORES[[#This Row],[ID RETENCION]],Retenciones!$A$1:$O$24,PROVEEDORES[[#This Row],[indicador de columna]],FALSE)</f>
        <v>0</v>
      </c>
      <c r="Y950" s="152">
        <f>+VLOOKUP(PROVEEDORES[[#This Row],[ID RETENCION]],Retenciones!$A$1:$O$24,2,FALSE)</f>
        <v>0</v>
      </c>
      <c r="Z950" s="26"/>
      <c r="AA950" s="26"/>
      <c r="AB950" s="26"/>
      <c r="AC950" s="26"/>
      <c r="AD950" s="26"/>
      <c r="AE950" s="26"/>
    </row>
    <row r="951" spans="1:31" ht="21.95" customHeight="1" x14ac:dyDescent="0.25">
      <c r="A951" s="97" t="str">
        <f>+IF(PROVEEDORES[[#This Row],[FECHA DE PAGO]]=PROVEEDORES[[#This Row],[FECHA DE FACTURACIÓN]],"DE CONTADO","CRÉDITO")</f>
        <v>CRÉDITO</v>
      </c>
      <c r="B951" s="41" t="str">
        <f>+IF((PROVEEDORES[[#This Row],[FECHA DE PAGO]]-PROVEEDORES[[#This Row],[FECHA DE FACTURACIÓN]])&gt;PROVEEDORES[[#This Row],[PLAZO Días]],"PAGO VENCIDO")</f>
        <v>PAGO VENCIDO</v>
      </c>
      <c r="C951" s="22">
        <f>+VLOOKUP(PROVEEDORES[[#This Row],[PROVEEDOR]],TERCEROS_INFO[#All],2,FALSE)</f>
        <v>45</v>
      </c>
      <c r="D951" s="27">
        <f>+SUMIFS(PROVEEDORES[Total],PROVEEDORES[PROVEEDOR],PROVEEDORES[[#This Row],[PROVEEDOR]],PROVEEDORES[FECHA DE PAGO],"")</f>
        <v>3412539.2</v>
      </c>
      <c r="E951" s="27"/>
      <c r="F951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951" s="95">
        <v>44552</v>
      </c>
      <c r="H951" s="28" t="s">
        <v>10</v>
      </c>
      <c r="I951" s="95">
        <v>44503</v>
      </c>
      <c r="J951" s="38" t="s">
        <v>600</v>
      </c>
      <c r="K951" s="23">
        <v>-7200000</v>
      </c>
      <c r="L951" s="23"/>
      <c r="M951" s="24">
        <v>-1368000</v>
      </c>
      <c r="N951" s="25"/>
      <c r="O951" s="24">
        <v>0</v>
      </c>
      <c r="P951" s="136">
        <f>+IF(PROVEEDORES[[#This Row],[SUBTOTAL]]&lt;PROVEEDORES[[#This Row],[base retencion]],0,PROVEEDORES[[#This Row],[retención aplicada]])</f>
        <v>0</v>
      </c>
      <c r="Q951" s="24">
        <f>+PROVEEDORES[[#This Row],[Rete Fuente %]]*PROVEEDORES[[#This Row],[SUBTOTAL]]</f>
        <v>0</v>
      </c>
      <c r="R951" s="23">
        <v>-8568000</v>
      </c>
      <c r="S95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1" s="99">
        <f ca="1">IF(PROVEEDORES[[#This Row],[FECHA DE PAGO]]=0,TODAY()-PROVEEDORES[[#This Row],[FECHA DE FACTURACIÓN]]-PROVEEDORES[[#This Row],[PLAZO Días]],0)</f>
        <v>0</v>
      </c>
      <c r="U951" s="149">
        <f>+VLOOKUP(PROVEEDORES[[#This Row],[PROVEEDOR]],Terceros!$A:$E,5,FALSE)</f>
        <v>0</v>
      </c>
      <c r="V951" s="150">
        <f>+YEAR(PROVEEDORES[[#This Row],[FECHA DE FACTURACIÓN]])</f>
        <v>2021</v>
      </c>
      <c r="W951" s="150">
        <f>+MATCH(PROVEEDORES[[#This Row],[año facturado]],Retenciones!$1:$1,0)</f>
        <v>4</v>
      </c>
      <c r="X951" s="151">
        <f>+VLOOKUP(PROVEEDORES[[#This Row],[ID RETENCION]],Retenciones!$A$1:$O$24,PROVEEDORES[[#This Row],[indicador de columna]],FALSE)</f>
        <v>0</v>
      </c>
      <c r="Y951" s="152">
        <f>+VLOOKUP(PROVEEDORES[[#This Row],[ID RETENCION]],Retenciones!$A$1:$O$24,2,FALSE)</f>
        <v>0</v>
      </c>
      <c r="Z951" s="26"/>
      <c r="AA951" s="26"/>
      <c r="AB951" s="26"/>
      <c r="AC951" s="26"/>
      <c r="AD951" s="26"/>
      <c r="AE951" s="26"/>
    </row>
    <row r="952" spans="1:31" ht="21.95" customHeight="1" x14ac:dyDescent="0.25">
      <c r="A952" s="97" t="str">
        <f>+IF(PROVEEDORES[[#This Row],[FECHA DE PAGO]]=PROVEEDORES[[#This Row],[FECHA DE FACTURACIÓN]],"DE CONTADO","CRÉDITO")</f>
        <v>CRÉDITO</v>
      </c>
      <c r="B952" s="41" t="b">
        <f>+IF((PROVEEDORES[[#This Row],[FECHA DE PAGO]]-PROVEEDORES[[#This Row],[FECHA DE FACTURACIÓN]])&gt;PROVEEDORES[[#This Row],[PLAZO Días]],"PAGO VENCIDO")</f>
        <v>0</v>
      </c>
      <c r="C952" s="22">
        <f>+VLOOKUP(PROVEEDORES[[#This Row],[PROVEEDOR]],TERCEROS_INFO[#All],2,FALSE)</f>
        <v>30</v>
      </c>
      <c r="D952" s="27">
        <f>+SUMIFS(PROVEEDORES[Total],PROVEEDORES[PROVEEDOR],PROVEEDORES[[#This Row],[PROVEEDOR]],PROVEEDORES[FECHA DE PAGO],"")</f>
        <v>833999.83799999999</v>
      </c>
      <c r="E952" s="27"/>
      <c r="F952" s="62" t="str">
        <f>+VLOOKUP(PROVEEDORES[[#This Row],[PROVEEDOR]],
                       Terceros!$A:$G,
                       6,
                       FALSE)</f>
        <v>juan.suarez@cosostenible.com;girlesa.ruiz@servipilas.com;joriescobar64@gmail.com</v>
      </c>
      <c r="G952" s="95">
        <v>44533</v>
      </c>
      <c r="H952" s="28" t="s">
        <v>50</v>
      </c>
      <c r="I952" s="95">
        <v>44503</v>
      </c>
      <c r="J952" s="38">
        <v>4693</v>
      </c>
      <c r="K952" s="23">
        <v>100840.4</v>
      </c>
      <c r="L952" s="23"/>
      <c r="M952" s="24">
        <v>19159.675999999999</v>
      </c>
      <c r="N952" s="25"/>
      <c r="O952" s="24">
        <v>0</v>
      </c>
      <c r="P952" s="136">
        <f>+IF(PROVEEDORES[[#This Row],[SUBTOTAL]]&lt;PROVEEDORES[[#This Row],[base retencion]],0,PROVEEDORES[[#This Row],[retención aplicada]])</f>
        <v>0</v>
      </c>
      <c r="Q952" s="24">
        <f>+PROVEEDORES[[#This Row],[Rete Fuente %]]*PROVEEDORES[[#This Row],[SUBTOTAL]]</f>
        <v>0</v>
      </c>
      <c r="R952" s="23">
        <v>120000.076</v>
      </c>
      <c r="S95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2" s="99">
        <f ca="1">IF(PROVEEDORES[[#This Row],[FECHA DE PAGO]]=0,TODAY()-PROVEEDORES[[#This Row],[FECHA DE FACTURACIÓN]]-PROVEEDORES[[#This Row],[PLAZO Días]],0)</f>
        <v>0</v>
      </c>
      <c r="U952" s="149" t="str">
        <f>+VLOOKUP(PROVEEDORES[[#This Row],[PROVEEDOR]],Terceros!$A:$E,5,FALSE)</f>
        <v>2,5% con base</v>
      </c>
      <c r="V952" s="150">
        <f>+YEAR(PROVEEDORES[[#This Row],[FECHA DE FACTURACIÓN]])</f>
        <v>2021</v>
      </c>
      <c r="W952" s="150">
        <f>+MATCH(PROVEEDORES[[#This Row],[año facturado]],Retenciones!$1:$1,0)</f>
        <v>4</v>
      </c>
      <c r="X952" s="151">
        <f>+VLOOKUP(PROVEEDORES[[#This Row],[ID RETENCION]],Retenciones!$A$1:$O$24,PROVEEDORES[[#This Row],[indicador de columna]],FALSE)</f>
        <v>980000</v>
      </c>
      <c r="Y952" s="152">
        <f>+VLOOKUP(PROVEEDORES[[#This Row],[ID RETENCION]],Retenciones!$A$1:$O$24,2,FALSE)</f>
        <v>2.5000000000000001E-2</v>
      </c>
      <c r="Z952" s="26"/>
      <c r="AA952" s="26"/>
      <c r="AB952" s="26"/>
      <c r="AC952" s="26"/>
      <c r="AD952" s="26"/>
      <c r="AE952" s="26"/>
    </row>
    <row r="953" spans="1:31" ht="21.95" customHeight="1" x14ac:dyDescent="0.25">
      <c r="A953" s="97" t="str">
        <f>+IF(PROVEEDORES[[#This Row],[FECHA DE PAGO]]=PROVEEDORES[[#This Row],[FECHA DE FACTURACIÓN]],"DE CONTADO","CRÉDITO")</f>
        <v>CRÉDITO</v>
      </c>
      <c r="B953" s="41" t="str">
        <f>+IF((PROVEEDORES[[#This Row],[FECHA DE PAGO]]-PROVEEDORES[[#This Row],[FECHA DE FACTURACIÓN]])&gt;PROVEEDORES[[#This Row],[PLAZO Días]],"PAGO VENCIDO")</f>
        <v>PAGO VENCIDO</v>
      </c>
      <c r="C953" s="22">
        <f>+VLOOKUP(PROVEEDORES[[#This Row],[PROVEEDOR]],TERCEROS_INFO[#All],2,FALSE)</f>
        <v>30</v>
      </c>
      <c r="D953" s="27">
        <f>+SUMIFS(PROVEEDORES[Total],PROVEEDORES[PROVEEDOR],PROVEEDORES[[#This Row],[PROVEEDOR]],PROVEEDORES[FECHA DE PAGO],"")</f>
        <v>6151200</v>
      </c>
      <c r="E953" s="27"/>
      <c r="F953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953" s="95">
        <v>44545</v>
      </c>
      <c r="H953" s="28" t="s">
        <v>11</v>
      </c>
      <c r="I953" s="95">
        <v>44503</v>
      </c>
      <c r="J953" s="38" t="s">
        <v>591</v>
      </c>
      <c r="K953" s="23">
        <v>4086050</v>
      </c>
      <c r="L953" s="23"/>
      <c r="M953" s="24">
        <v>776349.5</v>
      </c>
      <c r="N953" s="25"/>
      <c r="O953" s="24">
        <v>0</v>
      </c>
      <c r="P953" s="136">
        <f>+IF(PROVEEDORES[[#This Row],[SUBTOTAL]]&lt;PROVEEDORES[[#This Row],[base retencion]],0,PROVEEDORES[[#This Row],[retención aplicada]])</f>
        <v>2.5000000000000001E-2</v>
      </c>
      <c r="Q953" s="24">
        <f>+PROVEEDORES[[#This Row],[Rete Fuente %]]*PROVEEDORES[[#This Row],[SUBTOTAL]]</f>
        <v>102151.25</v>
      </c>
      <c r="R953" s="23">
        <v>4760248.25</v>
      </c>
      <c r="S95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3" s="99">
        <f ca="1">IF(PROVEEDORES[[#This Row],[FECHA DE PAGO]]=0,TODAY()-PROVEEDORES[[#This Row],[FECHA DE FACTURACIÓN]]-PROVEEDORES[[#This Row],[PLAZO Días]],0)</f>
        <v>0</v>
      </c>
      <c r="U953" s="149" t="str">
        <f>+VLOOKUP(PROVEEDORES[[#This Row],[PROVEEDOR]],Terceros!$A:$E,5,FALSE)</f>
        <v>2,5% con base</v>
      </c>
      <c r="V953" s="150">
        <f>+YEAR(PROVEEDORES[[#This Row],[FECHA DE FACTURACIÓN]])</f>
        <v>2021</v>
      </c>
      <c r="W953" s="150">
        <f>+MATCH(PROVEEDORES[[#This Row],[año facturado]],Retenciones!$1:$1,0)</f>
        <v>4</v>
      </c>
      <c r="X953" s="151">
        <f>+VLOOKUP(PROVEEDORES[[#This Row],[ID RETENCION]],Retenciones!$A$1:$O$24,PROVEEDORES[[#This Row],[indicador de columna]],FALSE)</f>
        <v>980000</v>
      </c>
      <c r="Y953" s="152">
        <f>+VLOOKUP(PROVEEDORES[[#This Row],[ID RETENCION]],Retenciones!$A$1:$O$24,2,FALSE)</f>
        <v>2.5000000000000001E-2</v>
      </c>
      <c r="Z953" s="26"/>
      <c r="AA953" s="26"/>
      <c r="AB953" s="26"/>
      <c r="AC953" s="26"/>
      <c r="AD953" s="26"/>
      <c r="AE953" s="26"/>
    </row>
    <row r="954" spans="1:31" ht="21.95" customHeight="1" x14ac:dyDescent="0.25">
      <c r="A954" s="97" t="str">
        <f>+IF(PROVEEDORES[[#This Row],[FECHA DE PAGO]]=PROVEEDORES[[#This Row],[FECHA DE FACTURACIÓN]],"DE CONTADO","CRÉDITO")</f>
        <v>CRÉDITO</v>
      </c>
      <c r="B954" s="41" t="str">
        <f>+IF((PROVEEDORES[[#This Row],[FECHA DE PAGO]]-PROVEEDORES[[#This Row],[FECHA DE FACTURACIÓN]])&gt;PROVEEDORES[[#This Row],[PLAZO Días]],"PAGO VENCIDO")</f>
        <v>PAGO VENCIDO</v>
      </c>
      <c r="C954" s="22">
        <f>+VLOOKUP(PROVEEDORES[[#This Row],[PROVEEDOR]],TERCEROS_INFO[#All],2,FALSE)</f>
        <v>45</v>
      </c>
      <c r="D954" s="27">
        <f>+SUMIFS(PROVEEDORES[Total],PROVEEDORES[PROVEEDOR],PROVEEDORES[[#This Row],[PROVEEDOR]],PROVEEDORES[FECHA DE PAGO],"")</f>
        <v>3412539.2</v>
      </c>
      <c r="E954" s="27"/>
      <c r="F954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954" s="95">
        <v>44552</v>
      </c>
      <c r="H954" s="28" t="s">
        <v>10</v>
      </c>
      <c r="I954" s="95">
        <v>44503</v>
      </c>
      <c r="J954" s="38" t="s">
        <v>599</v>
      </c>
      <c r="K954" s="23">
        <v>8899600</v>
      </c>
      <c r="L954" s="23"/>
      <c r="M954" s="24">
        <v>1690924</v>
      </c>
      <c r="N954" s="25"/>
      <c r="O954" s="24">
        <v>0</v>
      </c>
      <c r="P954" s="136">
        <f>+IF(PROVEEDORES[[#This Row],[SUBTOTAL]]&lt;PROVEEDORES[[#This Row],[base retencion]],0,PROVEEDORES[[#This Row],[retención aplicada]])</f>
        <v>0</v>
      </c>
      <c r="Q954" s="24">
        <f>+PROVEEDORES[[#This Row],[Rete Fuente %]]*PROVEEDORES[[#This Row],[SUBTOTAL]]</f>
        <v>0</v>
      </c>
      <c r="R954" s="23">
        <v>10590524</v>
      </c>
      <c r="S95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4" s="99">
        <f ca="1">IF(PROVEEDORES[[#This Row],[FECHA DE PAGO]]=0,TODAY()-PROVEEDORES[[#This Row],[FECHA DE FACTURACIÓN]]-PROVEEDORES[[#This Row],[PLAZO Días]],0)</f>
        <v>0</v>
      </c>
      <c r="U954" s="149">
        <f>+VLOOKUP(PROVEEDORES[[#This Row],[PROVEEDOR]],Terceros!$A:$E,5,FALSE)</f>
        <v>0</v>
      </c>
      <c r="V954" s="150">
        <f>+YEAR(PROVEEDORES[[#This Row],[FECHA DE FACTURACIÓN]])</f>
        <v>2021</v>
      </c>
      <c r="W954" s="150">
        <f>+MATCH(PROVEEDORES[[#This Row],[año facturado]],Retenciones!$1:$1,0)</f>
        <v>4</v>
      </c>
      <c r="X954" s="151">
        <f>+VLOOKUP(PROVEEDORES[[#This Row],[ID RETENCION]],Retenciones!$A$1:$O$24,PROVEEDORES[[#This Row],[indicador de columna]],FALSE)</f>
        <v>0</v>
      </c>
      <c r="Y954" s="152">
        <f>+VLOOKUP(PROVEEDORES[[#This Row],[ID RETENCION]],Retenciones!$A$1:$O$24,2,FALSE)</f>
        <v>0</v>
      </c>
      <c r="Z954" s="26"/>
      <c r="AA954" s="26"/>
      <c r="AB954" s="26"/>
      <c r="AC954" s="26"/>
      <c r="AD954" s="26"/>
      <c r="AE954" s="26"/>
    </row>
    <row r="955" spans="1:31" ht="21.95" customHeight="1" x14ac:dyDescent="0.25">
      <c r="A955" s="97" t="str">
        <f>+IF(PROVEEDORES[[#This Row],[FECHA DE PAGO]]=PROVEEDORES[[#This Row],[FECHA DE FACTURACIÓN]],"DE CONTADO","CRÉDITO")</f>
        <v>CRÉDITO</v>
      </c>
      <c r="B955" s="41" t="b">
        <f>+IF((PROVEEDORES[[#This Row],[FECHA DE PAGO]]-PROVEEDORES[[#This Row],[FECHA DE FACTURACIÓN]])&gt;PROVEEDORES[[#This Row],[PLAZO Días]],"PAGO VENCIDO")</f>
        <v>0</v>
      </c>
      <c r="C955" s="22">
        <f>+VLOOKUP(PROVEEDORES[[#This Row],[PROVEEDOR]],TERCEROS_INFO[#All],2,FALSE)</f>
        <v>13</v>
      </c>
      <c r="D955" s="27">
        <f>+SUMIFS(PROVEEDORES[Total],PROVEEDORES[PROVEEDOR],PROVEEDORES[[#This Row],[PROVEEDOR]],PROVEEDORES[FECHA DE PAGO],"")</f>
        <v>2130283</v>
      </c>
      <c r="E955" s="27"/>
      <c r="F955" s="62">
        <f>+VLOOKUP(PROVEEDORES[[#This Row],[PROVEEDOR]],
                       Terceros!$A:$G,
                       6,
                       FALSE)</f>
        <v>0</v>
      </c>
      <c r="G955" s="95">
        <v>44543</v>
      </c>
      <c r="H955" s="28" t="s">
        <v>326</v>
      </c>
      <c r="I955" s="95">
        <v>44531</v>
      </c>
      <c r="J955" s="38" t="s">
        <v>328</v>
      </c>
      <c r="K955" s="23">
        <v>293847</v>
      </c>
      <c r="L955" s="23"/>
      <c r="M955" s="24">
        <v>0</v>
      </c>
      <c r="N955" s="25"/>
      <c r="O955" s="24">
        <v>0</v>
      </c>
      <c r="P955" s="136">
        <f>+IF(PROVEEDORES[[#This Row],[SUBTOTAL]]&lt;PROVEEDORES[[#This Row],[base retencion]],0,PROVEEDORES[[#This Row],[retención aplicada]])</f>
        <v>0</v>
      </c>
      <c r="Q955" s="24">
        <f>+PROVEEDORES[[#This Row],[Rete Fuente %]]*PROVEEDORES[[#This Row],[SUBTOTAL]]</f>
        <v>0</v>
      </c>
      <c r="R955" s="23">
        <v>293847</v>
      </c>
      <c r="S95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5" s="99">
        <f ca="1">IF(PROVEEDORES[[#This Row],[FECHA DE PAGO]]=0,TODAY()-PROVEEDORES[[#This Row],[FECHA DE FACTURACIÓN]]-PROVEEDORES[[#This Row],[PLAZO Días]],0)</f>
        <v>0</v>
      </c>
      <c r="U955" s="149">
        <f>+VLOOKUP(PROVEEDORES[[#This Row],[PROVEEDOR]],Terceros!$A:$E,5,FALSE)</f>
        <v>0</v>
      </c>
      <c r="V955" s="150">
        <f>+YEAR(PROVEEDORES[[#This Row],[FECHA DE FACTURACIÓN]])</f>
        <v>2021</v>
      </c>
      <c r="W955" s="150">
        <f>+MATCH(PROVEEDORES[[#This Row],[año facturado]],Retenciones!$1:$1,0)</f>
        <v>4</v>
      </c>
      <c r="X955" s="151">
        <f>+VLOOKUP(PROVEEDORES[[#This Row],[ID RETENCION]],Retenciones!$A$1:$O$24,PROVEEDORES[[#This Row],[indicador de columna]],FALSE)</f>
        <v>0</v>
      </c>
      <c r="Y955" s="152">
        <f>+VLOOKUP(PROVEEDORES[[#This Row],[ID RETENCION]],Retenciones!$A$1:$O$24,2,FALSE)</f>
        <v>0</v>
      </c>
      <c r="Z955" s="26"/>
      <c r="AA955" s="26"/>
      <c r="AB955" s="26"/>
      <c r="AC955" s="26"/>
      <c r="AD955" s="26"/>
      <c r="AE955" s="26"/>
    </row>
    <row r="956" spans="1:31" ht="21.95" customHeight="1" x14ac:dyDescent="0.25">
      <c r="A956" s="97" t="str">
        <f>+IF(PROVEEDORES[[#This Row],[FECHA DE PAGO]]=PROVEEDORES[[#This Row],[FECHA DE FACTURACIÓN]],"DE CONTADO","CRÉDITO")</f>
        <v>DE CONTADO</v>
      </c>
      <c r="B956" s="41" t="b">
        <f>+IF((PROVEEDORES[[#This Row],[FECHA DE PAGO]]-PROVEEDORES[[#This Row],[FECHA DE FACTURACIÓN]])&gt;PROVEEDORES[[#This Row],[PLAZO Días]],"PAGO VENCIDO")</f>
        <v>0</v>
      </c>
      <c r="C956" s="22">
        <f>+VLOOKUP(PROVEEDORES[[#This Row],[PROVEEDOR]],TERCEROS_INFO[#All],2,FALSE)</f>
        <v>30</v>
      </c>
      <c r="D956" s="27">
        <f>+SUMIFS(PROVEEDORES[Total],PROVEEDORES[PROVEEDOR],PROVEEDORES[[#This Row],[PROVEEDOR]],PROVEEDORES[FECHA DE PAGO],"")</f>
        <v>0</v>
      </c>
      <c r="E956" s="27"/>
      <c r="F956" s="62" t="str">
        <f>+VLOOKUP(PROVEEDORES[[#This Row],[PROVEEDOR]],
                       Terceros!$A:$G,
                       6,
                       FALSE)</f>
        <v/>
      </c>
      <c r="G956" s="95">
        <v>44504</v>
      </c>
      <c r="H956" s="28" t="s">
        <v>1046</v>
      </c>
      <c r="I956" s="95">
        <v>44504</v>
      </c>
      <c r="J956" s="38"/>
      <c r="K956" s="23">
        <v>1000000</v>
      </c>
      <c r="L956" s="23"/>
      <c r="M956" s="24">
        <v>0</v>
      </c>
      <c r="N956" s="25"/>
      <c r="O956" s="24">
        <v>0</v>
      </c>
      <c r="P956" s="136">
        <f>+IF(PROVEEDORES[[#This Row],[SUBTOTAL]]&lt;PROVEEDORES[[#This Row],[base retencion]],0,PROVEEDORES[[#This Row],[retención aplicada]])</f>
        <v>0</v>
      </c>
      <c r="Q956" s="24">
        <f>+PROVEEDORES[[#This Row],[Rete Fuente %]]*PROVEEDORES[[#This Row],[SUBTOTAL]]</f>
        <v>0</v>
      </c>
      <c r="R956" s="23">
        <v>1000000</v>
      </c>
      <c r="S95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6" s="99">
        <f ca="1">IF(PROVEEDORES[[#This Row],[FECHA DE PAGO]]=0,TODAY()-PROVEEDORES[[#This Row],[FECHA DE FACTURACIÓN]]-PROVEEDORES[[#This Row],[PLAZO Días]],0)</f>
        <v>0</v>
      </c>
      <c r="U956" s="149">
        <f>+VLOOKUP(PROVEEDORES[[#This Row],[PROVEEDOR]],Terceros!$A:$E,5,FALSE)</f>
        <v>0</v>
      </c>
      <c r="V956" s="150">
        <f>+YEAR(PROVEEDORES[[#This Row],[FECHA DE FACTURACIÓN]])</f>
        <v>2021</v>
      </c>
      <c r="W956" s="150">
        <f>+MATCH(PROVEEDORES[[#This Row],[año facturado]],Retenciones!$1:$1,0)</f>
        <v>4</v>
      </c>
      <c r="X956" s="151">
        <f>+VLOOKUP(PROVEEDORES[[#This Row],[ID RETENCION]],Retenciones!$A$1:$O$24,PROVEEDORES[[#This Row],[indicador de columna]],FALSE)</f>
        <v>0</v>
      </c>
      <c r="Y956" s="152">
        <f>+VLOOKUP(PROVEEDORES[[#This Row],[ID RETENCION]],Retenciones!$A$1:$O$24,2,FALSE)</f>
        <v>0</v>
      </c>
      <c r="Z956" s="26"/>
      <c r="AA956" s="26"/>
      <c r="AB956" s="26"/>
      <c r="AC956" s="26"/>
      <c r="AD956" s="26"/>
      <c r="AE956" s="26"/>
    </row>
    <row r="957" spans="1:31" ht="21.95" customHeight="1" x14ac:dyDescent="0.25">
      <c r="A957" s="97" t="str">
        <f>+IF(PROVEEDORES[[#This Row],[FECHA DE PAGO]]=PROVEEDORES[[#This Row],[FECHA DE FACTURACIÓN]],"DE CONTADO","CRÉDITO")</f>
        <v>CRÉDITO</v>
      </c>
      <c r="B957" s="41" t="b">
        <f>+IF((PROVEEDORES[[#This Row],[FECHA DE PAGO]]-PROVEEDORES[[#This Row],[FECHA DE FACTURACIÓN]])&gt;PROVEEDORES[[#This Row],[PLAZO Días]],"PAGO VENCIDO")</f>
        <v>0</v>
      </c>
      <c r="C957" s="22">
        <f>+VLOOKUP(PROVEEDORES[[#This Row],[PROVEEDOR]],TERCEROS_INFO[#All],2,FALSE)</f>
        <v>30</v>
      </c>
      <c r="D957" s="27">
        <f>+SUMIFS(PROVEEDORES[Total],PROVEEDORES[PROVEEDOR],PROVEEDORES[[#This Row],[PROVEEDOR]],PROVEEDORES[FECHA DE PAGO],"")</f>
        <v>0</v>
      </c>
      <c r="E957" s="27"/>
      <c r="F957" s="62" t="str">
        <f>+VLOOKUP(PROVEEDORES[[#This Row],[PROVEEDOR]],
                       Terceros!$A:$G,
                       6,
                       FALSE)</f>
        <v/>
      </c>
      <c r="G957" s="95">
        <v>44505</v>
      </c>
      <c r="H957" s="28" t="s">
        <v>27</v>
      </c>
      <c r="I957" s="95">
        <v>44504</v>
      </c>
      <c r="J957" s="38" t="s">
        <v>593</v>
      </c>
      <c r="K957" s="23">
        <v>6054360</v>
      </c>
      <c r="L957" s="23"/>
      <c r="M957" s="24">
        <v>0</v>
      </c>
      <c r="N957" s="25"/>
      <c r="O957" s="24">
        <v>0</v>
      </c>
      <c r="P957" s="136">
        <f>+IF(PROVEEDORES[[#This Row],[SUBTOTAL]]&lt;PROVEEDORES[[#This Row],[base retencion]],0,PROVEEDORES[[#This Row],[retención aplicada]])</f>
        <v>0</v>
      </c>
      <c r="Q957" s="24">
        <f>+PROVEEDORES[[#This Row],[Rete Fuente %]]*PROVEEDORES[[#This Row],[SUBTOTAL]]</f>
        <v>0</v>
      </c>
      <c r="R957" s="23">
        <v>6054360</v>
      </c>
      <c r="S95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7" s="99">
        <f ca="1">IF(PROVEEDORES[[#This Row],[FECHA DE PAGO]]=0,TODAY()-PROVEEDORES[[#This Row],[FECHA DE FACTURACIÓN]]-PROVEEDORES[[#This Row],[PLAZO Días]],0)</f>
        <v>0</v>
      </c>
      <c r="U957" s="149">
        <f>+VLOOKUP(PROVEEDORES[[#This Row],[PROVEEDOR]],Terceros!$A:$E,5,FALSE)</f>
        <v>0</v>
      </c>
      <c r="V957" s="150">
        <f>+YEAR(PROVEEDORES[[#This Row],[FECHA DE FACTURACIÓN]])</f>
        <v>2021</v>
      </c>
      <c r="W957" s="150">
        <f>+MATCH(PROVEEDORES[[#This Row],[año facturado]],Retenciones!$1:$1,0)</f>
        <v>4</v>
      </c>
      <c r="X957" s="151">
        <f>+VLOOKUP(PROVEEDORES[[#This Row],[ID RETENCION]],Retenciones!$A$1:$O$24,PROVEEDORES[[#This Row],[indicador de columna]],FALSE)</f>
        <v>0</v>
      </c>
      <c r="Y957" s="152">
        <f>+VLOOKUP(PROVEEDORES[[#This Row],[ID RETENCION]],Retenciones!$A$1:$O$24,2,FALSE)</f>
        <v>0</v>
      </c>
      <c r="Z957" s="26"/>
      <c r="AA957" s="26"/>
      <c r="AB957" s="26"/>
      <c r="AC957" s="26"/>
      <c r="AD957" s="26"/>
      <c r="AE957" s="26"/>
    </row>
    <row r="958" spans="1:31" ht="21.95" customHeight="1" x14ac:dyDescent="0.25">
      <c r="A958" s="97" t="str">
        <f>+IF(PROVEEDORES[[#This Row],[FECHA DE PAGO]]=PROVEEDORES[[#This Row],[FECHA DE FACTURACIÓN]],"DE CONTADO","CRÉDITO")</f>
        <v>CRÉDITO</v>
      </c>
      <c r="B958" s="41" t="b">
        <f>+IF((PROVEEDORES[[#This Row],[FECHA DE PAGO]]-PROVEEDORES[[#This Row],[FECHA DE FACTURACIÓN]])&gt;PROVEEDORES[[#This Row],[PLAZO Días]],"PAGO VENCIDO")</f>
        <v>0</v>
      </c>
      <c r="C958" s="22">
        <f>+VLOOKUP(PROVEEDORES[[#This Row],[PROVEEDOR]],TERCEROS_INFO[#All],2,FALSE)</f>
        <v>30</v>
      </c>
      <c r="D958" s="27">
        <f>+SUMIFS(PROVEEDORES[Total],PROVEEDORES[PROVEEDOR],PROVEEDORES[[#This Row],[PROVEEDOR]],PROVEEDORES[FECHA DE PAGO],"")</f>
        <v>264406</v>
      </c>
      <c r="E958" s="27"/>
      <c r="F958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958" s="95">
        <v>44510</v>
      </c>
      <c r="H958" s="28" t="s">
        <v>390</v>
      </c>
      <c r="I958" s="95">
        <v>44505</v>
      </c>
      <c r="J958" s="38" t="s">
        <v>594</v>
      </c>
      <c r="K958" s="23">
        <v>551501.68000000005</v>
      </c>
      <c r="L958" s="23"/>
      <c r="M958" s="24">
        <v>0</v>
      </c>
      <c r="N958" s="25"/>
      <c r="O958" s="24">
        <v>0</v>
      </c>
      <c r="P958" s="136">
        <f>+IF(PROVEEDORES[[#This Row],[SUBTOTAL]]&lt;PROVEEDORES[[#This Row],[base retencion]],0,PROVEEDORES[[#This Row],[retención aplicada]])</f>
        <v>0</v>
      </c>
      <c r="Q958" s="24">
        <f>+PROVEEDORES[[#This Row],[Rete Fuente %]]*PROVEEDORES[[#This Row],[SUBTOTAL]]</f>
        <v>0</v>
      </c>
      <c r="R958" s="23">
        <v>551501.68000000005</v>
      </c>
      <c r="S95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8" s="99">
        <f ca="1">IF(PROVEEDORES[[#This Row],[FECHA DE PAGO]]=0,TODAY()-PROVEEDORES[[#This Row],[FECHA DE FACTURACIÓN]]-PROVEEDORES[[#This Row],[PLAZO Días]],0)</f>
        <v>0</v>
      </c>
      <c r="U958" s="149">
        <f>+VLOOKUP(PROVEEDORES[[#This Row],[PROVEEDOR]],Terceros!$A:$E,5,FALSE)</f>
        <v>0</v>
      </c>
      <c r="V958" s="150">
        <f>+YEAR(PROVEEDORES[[#This Row],[FECHA DE FACTURACIÓN]])</f>
        <v>2021</v>
      </c>
      <c r="W958" s="150">
        <f>+MATCH(PROVEEDORES[[#This Row],[año facturado]],Retenciones!$1:$1,0)</f>
        <v>4</v>
      </c>
      <c r="X958" s="151">
        <f>+VLOOKUP(PROVEEDORES[[#This Row],[ID RETENCION]],Retenciones!$A$1:$O$24,PROVEEDORES[[#This Row],[indicador de columna]],FALSE)</f>
        <v>0</v>
      </c>
      <c r="Y958" s="152">
        <f>+VLOOKUP(PROVEEDORES[[#This Row],[ID RETENCION]],Retenciones!$A$1:$O$24,2,FALSE)</f>
        <v>0</v>
      </c>
      <c r="Z958" s="26"/>
      <c r="AA958" s="26"/>
      <c r="AB958" s="26"/>
      <c r="AC958" s="26"/>
      <c r="AD958" s="26"/>
      <c r="AE958" s="26"/>
    </row>
    <row r="959" spans="1:31" ht="21.95" customHeight="1" x14ac:dyDescent="0.25">
      <c r="A959" s="97" t="str">
        <f>+IF(PROVEEDORES[[#This Row],[FECHA DE PAGO]]=PROVEEDORES[[#This Row],[FECHA DE FACTURACIÓN]],"DE CONTADO","CRÉDITO")</f>
        <v>CRÉDITO</v>
      </c>
      <c r="B959" s="41" t="b">
        <f>+IF((PROVEEDORES[[#This Row],[FECHA DE PAGO]]-PROVEEDORES[[#This Row],[FECHA DE FACTURACIÓN]])&gt;PROVEEDORES[[#This Row],[PLAZO Días]],"PAGO VENCIDO")</f>
        <v>0</v>
      </c>
      <c r="C959" s="22">
        <f>+VLOOKUP(PROVEEDORES[[#This Row],[PROVEEDOR]],TERCEROS_INFO[#All],2,FALSE)</f>
        <v>30</v>
      </c>
      <c r="D959" s="27">
        <f>+SUMIFS(PROVEEDORES[Total],PROVEEDORES[PROVEEDOR],PROVEEDORES[[#This Row],[PROVEEDOR]],PROVEEDORES[FECHA DE PAGO],"")</f>
        <v>0</v>
      </c>
      <c r="E959" s="27"/>
      <c r="F959" s="62" t="str">
        <f>+VLOOKUP(PROVEEDORES[[#This Row],[PROVEEDOR]],
                       Terceros!$A:$G,
                       6,
                       FALSE)</f>
        <v/>
      </c>
      <c r="G959" s="95">
        <v>44509</v>
      </c>
      <c r="H959" s="28" t="s">
        <v>1075</v>
      </c>
      <c r="I959" s="95">
        <v>44506</v>
      </c>
      <c r="J959" s="38" t="s">
        <v>595</v>
      </c>
      <c r="K959" s="23">
        <v>461000</v>
      </c>
      <c r="L959" s="23"/>
      <c r="M959" s="24">
        <v>0</v>
      </c>
      <c r="N959" s="25"/>
      <c r="O959" s="24">
        <v>0</v>
      </c>
      <c r="P959" s="136">
        <f>+IF(PROVEEDORES[[#This Row],[SUBTOTAL]]&lt;PROVEEDORES[[#This Row],[base retencion]],0,PROVEEDORES[[#This Row],[retención aplicada]])</f>
        <v>0</v>
      </c>
      <c r="Q959" s="24">
        <f>+PROVEEDORES[[#This Row],[Rete Fuente %]]*PROVEEDORES[[#This Row],[SUBTOTAL]]</f>
        <v>0</v>
      </c>
      <c r="R959" s="23">
        <v>461000</v>
      </c>
      <c r="S95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9" s="99">
        <f ca="1">IF(PROVEEDORES[[#This Row],[FECHA DE PAGO]]=0,TODAY()-PROVEEDORES[[#This Row],[FECHA DE FACTURACIÓN]]-PROVEEDORES[[#This Row],[PLAZO Días]],0)</f>
        <v>0</v>
      </c>
      <c r="U959" s="149">
        <f>+VLOOKUP(PROVEEDORES[[#This Row],[PROVEEDOR]],Terceros!$A:$E,5,FALSE)</f>
        <v>0</v>
      </c>
      <c r="V959" s="150">
        <f>+YEAR(PROVEEDORES[[#This Row],[FECHA DE FACTURACIÓN]])</f>
        <v>2021</v>
      </c>
      <c r="W959" s="150">
        <f>+MATCH(PROVEEDORES[[#This Row],[año facturado]],Retenciones!$1:$1,0)</f>
        <v>4</v>
      </c>
      <c r="X959" s="151">
        <f>+VLOOKUP(PROVEEDORES[[#This Row],[ID RETENCION]],Retenciones!$A$1:$O$24,PROVEEDORES[[#This Row],[indicador de columna]],FALSE)</f>
        <v>0</v>
      </c>
      <c r="Y959" s="152">
        <f>+VLOOKUP(PROVEEDORES[[#This Row],[ID RETENCION]],Retenciones!$A$1:$O$24,2,FALSE)</f>
        <v>0</v>
      </c>
      <c r="Z959" s="26"/>
      <c r="AA959" s="26"/>
      <c r="AB959" s="26"/>
      <c r="AC959" s="26"/>
      <c r="AD959" s="26"/>
      <c r="AE959" s="26"/>
    </row>
    <row r="960" spans="1:31" ht="21.95" customHeight="1" x14ac:dyDescent="0.25">
      <c r="A960" s="97" t="str">
        <f>+IF(PROVEEDORES[[#This Row],[FECHA DE PAGO]]=PROVEEDORES[[#This Row],[FECHA DE FACTURACIÓN]],"DE CONTADO","CRÉDITO")</f>
        <v>CRÉDITO</v>
      </c>
      <c r="B960" s="41" t="str">
        <f>+IF((PROVEEDORES[[#This Row],[FECHA DE PAGO]]-PROVEEDORES[[#This Row],[FECHA DE FACTURACIÓN]])&gt;PROVEEDORES[[#This Row],[PLAZO Días]],"PAGO VENCIDO")</f>
        <v>PAGO VENCIDO</v>
      </c>
      <c r="C960" s="22">
        <f>+VLOOKUP(PROVEEDORES[[#This Row],[PROVEEDOR]],TERCEROS_INFO[#All],2,FALSE)</f>
        <v>30</v>
      </c>
      <c r="D960" s="27">
        <f>+SUMIFS(PROVEEDORES[Total],PROVEEDORES[PROVEEDOR],PROVEEDORES[[#This Row],[PROVEEDOR]],PROVEEDORES[FECHA DE PAGO],"")</f>
        <v>1860500</v>
      </c>
      <c r="E960" s="27"/>
      <c r="F960" s="62" t="str">
        <f>+VLOOKUP(PROVEEDORES[[#This Row],[PROVEEDOR]],
                       Terceros!$A:$G,
                       6,
                       FALSE)</f>
        <v/>
      </c>
      <c r="G960" s="95">
        <v>44543</v>
      </c>
      <c r="H960" s="28" t="s">
        <v>1064</v>
      </c>
      <c r="I960" s="95">
        <v>44506</v>
      </c>
      <c r="J960" s="38" t="s">
        <v>870</v>
      </c>
      <c r="K960" s="23">
        <v>529000</v>
      </c>
      <c r="L960" s="23"/>
      <c r="M960" s="24">
        <v>0</v>
      </c>
      <c r="N960" s="25"/>
      <c r="O960" s="24">
        <v>0</v>
      </c>
      <c r="P960" s="136">
        <f>+IF(PROVEEDORES[[#This Row],[SUBTOTAL]]&lt;PROVEEDORES[[#This Row],[base retencion]],0,PROVEEDORES[[#This Row],[retención aplicada]])</f>
        <v>0</v>
      </c>
      <c r="Q960" s="24">
        <f>+PROVEEDORES[[#This Row],[Rete Fuente %]]*PROVEEDORES[[#This Row],[SUBTOTAL]]</f>
        <v>0</v>
      </c>
      <c r="R960" s="23">
        <v>529000</v>
      </c>
      <c r="S96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0" s="99">
        <f ca="1">IF(PROVEEDORES[[#This Row],[FECHA DE PAGO]]=0,TODAY()-PROVEEDORES[[#This Row],[FECHA DE FACTURACIÓN]]-PROVEEDORES[[#This Row],[PLAZO Días]],0)</f>
        <v>0</v>
      </c>
      <c r="U960" s="149">
        <f>+VLOOKUP(PROVEEDORES[[#This Row],[PROVEEDOR]],Terceros!$A:$E,5,FALSE)</f>
        <v>0</v>
      </c>
      <c r="V960" s="150">
        <f>+YEAR(PROVEEDORES[[#This Row],[FECHA DE FACTURACIÓN]])</f>
        <v>2021</v>
      </c>
      <c r="W960" s="150">
        <f>+MATCH(PROVEEDORES[[#This Row],[año facturado]],Retenciones!$1:$1,0)</f>
        <v>4</v>
      </c>
      <c r="X960" s="151">
        <f>+VLOOKUP(PROVEEDORES[[#This Row],[ID RETENCION]],Retenciones!$A$1:$O$24,PROVEEDORES[[#This Row],[indicador de columna]],FALSE)</f>
        <v>0</v>
      </c>
      <c r="Y960" s="152">
        <f>+VLOOKUP(PROVEEDORES[[#This Row],[ID RETENCION]],Retenciones!$A$1:$O$24,2,FALSE)</f>
        <v>0</v>
      </c>
      <c r="Z960" s="26"/>
      <c r="AA960" s="26"/>
      <c r="AB960" s="26"/>
      <c r="AC960" s="26"/>
      <c r="AD960" s="26"/>
      <c r="AE960" s="26"/>
    </row>
    <row r="961" spans="1:31" ht="21.95" customHeight="1" x14ac:dyDescent="0.25">
      <c r="A961" s="97" t="str">
        <f>+IF(PROVEEDORES[[#This Row],[FECHA DE PAGO]]=PROVEEDORES[[#This Row],[FECHA DE FACTURACIÓN]],"DE CONTADO","CRÉDITO")</f>
        <v>CRÉDITO</v>
      </c>
      <c r="B961" s="41" t="b">
        <f>+IF((PROVEEDORES[[#This Row],[FECHA DE PAGO]]-PROVEEDORES[[#This Row],[FECHA DE FACTURACIÓN]])&gt;PROVEEDORES[[#This Row],[PLAZO Días]],"PAGO VENCIDO")</f>
        <v>0</v>
      </c>
      <c r="C961" s="22">
        <f>+VLOOKUP(PROVEEDORES[[#This Row],[PROVEEDOR]],TERCEROS_INFO[#All],2,FALSE)</f>
        <v>30</v>
      </c>
      <c r="D961" s="27">
        <f>+SUMIFS(PROVEEDORES[Total],PROVEEDORES[PROVEEDOR],PROVEEDORES[[#This Row],[PROVEEDOR]],PROVEEDORES[FECHA DE PAGO],"")</f>
        <v>395010</v>
      </c>
      <c r="E961" s="27"/>
      <c r="F961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961" s="95">
        <v>44510</v>
      </c>
      <c r="H961" s="28" t="s">
        <v>141</v>
      </c>
      <c r="I961" s="95">
        <v>44508</v>
      </c>
      <c r="J961" s="38">
        <v>159</v>
      </c>
      <c r="K961" s="23">
        <v>624000</v>
      </c>
      <c r="L961" s="23"/>
      <c r="M961" s="24">
        <v>0</v>
      </c>
      <c r="N961" s="25"/>
      <c r="O961" s="24">
        <v>0</v>
      </c>
      <c r="P961" s="136">
        <f>+IF(PROVEEDORES[[#This Row],[SUBTOTAL]]&lt;PROVEEDORES[[#This Row],[base retencion]],0,PROVEEDORES[[#This Row],[retención aplicada]])</f>
        <v>0.01</v>
      </c>
      <c r="Q961" s="24">
        <f>+PROVEEDORES[[#This Row],[Rete Fuente %]]*PROVEEDORES[[#This Row],[SUBTOTAL]]</f>
        <v>6240</v>
      </c>
      <c r="R961" s="23">
        <v>617760</v>
      </c>
      <c r="S96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1" s="99">
        <f ca="1">IF(PROVEEDORES[[#This Row],[FECHA DE PAGO]]=0,TODAY()-PROVEEDORES[[#This Row],[FECHA DE FACTURACIÓN]]-PROVEEDORES[[#This Row],[PLAZO Días]],0)</f>
        <v>0</v>
      </c>
      <c r="U961" s="149" t="str">
        <f>+VLOOKUP(PROVEEDORES[[#This Row],[PROVEEDOR]],Terceros!$A:$E,5,FALSE)</f>
        <v>1% con base</v>
      </c>
      <c r="V961" s="150">
        <f>+YEAR(PROVEEDORES[[#This Row],[FECHA DE FACTURACIÓN]])</f>
        <v>2021</v>
      </c>
      <c r="W961" s="150">
        <f>+MATCH(PROVEEDORES[[#This Row],[año facturado]],Retenciones!$1:$1,0)</f>
        <v>4</v>
      </c>
      <c r="X961" s="151">
        <f>+VLOOKUP(PROVEEDORES[[#This Row],[ID RETENCION]],Retenciones!$A$1:$O$24,PROVEEDORES[[#This Row],[indicador de columna]],FALSE)</f>
        <v>145000</v>
      </c>
      <c r="Y961" s="152">
        <f>+VLOOKUP(PROVEEDORES[[#This Row],[ID RETENCION]],Retenciones!$A$1:$O$24,2,FALSE)</f>
        <v>0.01</v>
      </c>
      <c r="Z961" s="26"/>
      <c r="AA961" s="26"/>
      <c r="AB961" s="26"/>
      <c r="AC961" s="26"/>
      <c r="AD961" s="26"/>
      <c r="AE961" s="26"/>
    </row>
    <row r="962" spans="1:31" ht="21.95" customHeight="1" x14ac:dyDescent="0.25">
      <c r="A962" s="97" t="str">
        <f>+IF(PROVEEDORES[[#This Row],[FECHA DE PAGO]]=PROVEEDORES[[#This Row],[FECHA DE FACTURACIÓN]],"DE CONTADO","CRÉDITO")</f>
        <v>CRÉDITO</v>
      </c>
      <c r="B962" s="41" t="str">
        <f>+IF((PROVEEDORES[[#This Row],[FECHA DE PAGO]]-PROVEEDORES[[#This Row],[FECHA DE FACTURACIÓN]])&gt;PROVEEDORES[[#This Row],[PLAZO Días]],"PAGO VENCIDO")</f>
        <v>PAGO VENCIDO</v>
      </c>
      <c r="C962" s="22">
        <f>+VLOOKUP(PROVEEDORES[[#This Row],[PROVEEDOR]],TERCEROS_INFO[#All],2,FALSE)</f>
        <v>30</v>
      </c>
      <c r="D962" s="27">
        <f>+SUMIFS(PROVEEDORES[Total],PROVEEDORES[PROVEEDOR],PROVEEDORES[[#This Row],[PROVEEDOR]],PROVEEDORES[FECHA DE PAGO],"")</f>
        <v>0</v>
      </c>
      <c r="E962" s="27"/>
      <c r="F962" s="62" t="str">
        <f>+VLOOKUP(PROVEEDORES[[#This Row],[PROVEEDOR]],
                       Terceros!$A:$G,
                       6,
                       FALSE)</f>
        <v>globalpowerc2018@gmail.com;girlesa.ruiz@servipilas.com;joriescobar64@gmail.com</v>
      </c>
      <c r="G962" s="95">
        <v>44546</v>
      </c>
      <c r="H962" s="28" t="s">
        <v>479</v>
      </c>
      <c r="I962" s="95">
        <v>44508</v>
      </c>
      <c r="J962" s="38" t="s">
        <v>871</v>
      </c>
      <c r="K962" s="23">
        <v>1650000</v>
      </c>
      <c r="L962" s="23"/>
      <c r="M962" s="24">
        <v>313500</v>
      </c>
      <c r="N962" s="25"/>
      <c r="O962" s="24">
        <v>0</v>
      </c>
      <c r="P962" s="136">
        <f>+IF(PROVEEDORES[[#This Row],[SUBTOTAL]]&lt;PROVEEDORES[[#This Row],[base retencion]],0,PROVEEDORES[[#This Row],[retención aplicada]])</f>
        <v>2.5000000000000001E-2</v>
      </c>
      <c r="Q962" s="24">
        <f>+PROVEEDORES[[#This Row],[Rete Fuente %]]*PROVEEDORES[[#This Row],[SUBTOTAL]]</f>
        <v>41250</v>
      </c>
      <c r="R962" s="23">
        <v>1922250</v>
      </c>
      <c r="S96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2" s="99">
        <f ca="1">IF(PROVEEDORES[[#This Row],[FECHA DE PAGO]]=0,TODAY()-PROVEEDORES[[#This Row],[FECHA DE FACTURACIÓN]]-PROVEEDORES[[#This Row],[PLAZO Días]],0)</f>
        <v>0</v>
      </c>
      <c r="U962" s="149" t="str">
        <f>+VLOOKUP(PROVEEDORES[[#This Row],[PROVEEDOR]],Terceros!$A:$E,5,FALSE)</f>
        <v>2,5% con base</v>
      </c>
      <c r="V962" s="150">
        <f>+YEAR(PROVEEDORES[[#This Row],[FECHA DE FACTURACIÓN]])</f>
        <v>2021</v>
      </c>
      <c r="W962" s="150">
        <f>+MATCH(PROVEEDORES[[#This Row],[año facturado]],Retenciones!$1:$1,0)</f>
        <v>4</v>
      </c>
      <c r="X962" s="151">
        <f>+VLOOKUP(PROVEEDORES[[#This Row],[ID RETENCION]],Retenciones!$A$1:$O$24,PROVEEDORES[[#This Row],[indicador de columna]],FALSE)</f>
        <v>980000</v>
      </c>
      <c r="Y962" s="152">
        <f>+VLOOKUP(PROVEEDORES[[#This Row],[ID RETENCION]],Retenciones!$A$1:$O$24,2,FALSE)</f>
        <v>2.5000000000000001E-2</v>
      </c>
      <c r="Z962" s="26"/>
      <c r="AA962" s="26"/>
      <c r="AB962" s="26"/>
      <c r="AC962" s="26"/>
      <c r="AD962" s="26"/>
      <c r="AE962" s="26"/>
    </row>
    <row r="963" spans="1:31" ht="21.95" customHeight="1" x14ac:dyDescent="0.25">
      <c r="A963" s="97" t="str">
        <f>+IF(PROVEEDORES[[#This Row],[FECHA DE PAGO]]=PROVEEDORES[[#This Row],[FECHA DE FACTURACIÓN]],"DE CONTADO","CRÉDITO")</f>
        <v>DE CONTADO</v>
      </c>
      <c r="B963" s="41" t="b">
        <f>+IF((PROVEEDORES[[#This Row],[FECHA DE PAGO]]-PROVEEDORES[[#This Row],[FECHA DE FACTURACIÓN]])&gt;PROVEEDORES[[#This Row],[PLAZO Días]],"PAGO VENCIDO")</f>
        <v>0</v>
      </c>
      <c r="C963" s="22">
        <f>+VLOOKUP(PROVEEDORES[[#This Row],[PROVEEDOR]],TERCEROS_INFO[#All],2,FALSE)</f>
        <v>30</v>
      </c>
      <c r="D963" s="27">
        <f>+SUMIFS(PROVEEDORES[Total],PROVEEDORES[PROVEEDOR],PROVEEDORES[[#This Row],[PROVEEDOR]],PROVEEDORES[FECHA DE PAGO],"")</f>
        <v>0</v>
      </c>
      <c r="E963" s="27"/>
      <c r="F963" s="62" t="str">
        <f>+VLOOKUP(PROVEEDORES[[#This Row],[PROVEEDOR]],
                       Terceros!$A:$G,
                       6,
                       FALSE)</f>
        <v/>
      </c>
      <c r="G963" s="95">
        <v>44509</v>
      </c>
      <c r="H963" s="28" t="s">
        <v>1010</v>
      </c>
      <c r="I963" s="95">
        <v>44509</v>
      </c>
      <c r="J963" s="38" t="s">
        <v>872</v>
      </c>
      <c r="K963" s="23">
        <v>40000</v>
      </c>
      <c r="L963" s="23"/>
      <c r="M963" s="24">
        <v>0</v>
      </c>
      <c r="N963" s="25"/>
      <c r="O963" s="24">
        <v>0</v>
      </c>
      <c r="P963" s="136">
        <f>+IF(PROVEEDORES[[#This Row],[SUBTOTAL]]&lt;PROVEEDORES[[#This Row],[base retencion]],0,PROVEEDORES[[#This Row],[retención aplicada]])</f>
        <v>0</v>
      </c>
      <c r="Q963" s="24">
        <f>+PROVEEDORES[[#This Row],[Rete Fuente %]]*PROVEEDORES[[#This Row],[SUBTOTAL]]</f>
        <v>0</v>
      </c>
      <c r="R963" s="23">
        <v>40000</v>
      </c>
      <c r="S96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3" s="99">
        <f ca="1">IF(PROVEEDORES[[#This Row],[FECHA DE PAGO]]=0,TODAY()-PROVEEDORES[[#This Row],[FECHA DE FACTURACIÓN]]-PROVEEDORES[[#This Row],[PLAZO Días]],0)</f>
        <v>0</v>
      </c>
      <c r="U963" s="149">
        <f>+VLOOKUP(PROVEEDORES[[#This Row],[PROVEEDOR]],Terceros!$A:$E,5,FALSE)</f>
        <v>0</v>
      </c>
      <c r="V963" s="150">
        <f>+YEAR(PROVEEDORES[[#This Row],[FECHA DE FACTURACIÓN]])</f>
        <v>2021</v>
      </c>
      <c r="W963" s="150">
        <f>+MATCH(PROVEEDORES[[#This Row],[año facturado]],Retenciones!$1:$1,0)</f>
        <v>4</v>
      </c>
      <c r="X963" s="151">
        <f>+VLOOKUP(PROVEEDORES[[#This Row],[ID RETENCION]],Retenciones!$A$1:$O$24,PROVEEDORES[[#This Row],[indicador de columna]],FALSE)</f>
        <v>0</v>
      </c>
      <c r="Y963" s="152">
        <f>+VLOOKUP(PROVEEDORES[[#This Row],[ID RETENCION]],Retenciones!$A$1:$O$24,2,FALSE)</f>
        <v>0</v>
      </c>
      <c r="Z963" s="26"/>
      <c r="AA963" s="26"/>
      <c r="AB963" s="26"/>
      <c r="AC963" s="26"/>
      <c r="AD963" s="26"/>
      <c r="AE963" s="26"/>
    </row>
    <row r="964" spans="1:31" ht="21.95" customHeight="1" x14ac:dyDescent="0.25">
      <c r="A964" s="97" t="str">
        <f>+IF(PROVEEDORES[[#This Row],[FECHA DE PAGO]]=PROVEEDORES[[#This Row],[FECHA DE FACTURACIÓN]],"DE CONTADO","CRÉDITO")</f>
        <v>CRÉDITO</v>
      </c>
      <c r="B964" s="41" t="str">
        <f>+IF((PROVEEDORES[[#This Row],[FECHA DE PAGO]]-PROVEEDORES[[#This Row],[FECHA DE FACTURACIÓN]])&gt;PROVEEDORES[[#This Row],[PLAZO Días]],"PAGO VENCIDO")</f>
        <v>PAGO VENCIDO</v>
      </c>
      <c r="C964" s="22">
        <f>+VLOOKUP(PROVEEDORES[[#This Row],[PROVEEDOR]],TERCEROS_INFO[#All],2,FALSE)</f>
        <v>30</v>
      </c>
      <c r="D964" s="27">
        <f>+SUMIFS(PROVEEDORES[Total],PROVEEDORES[PROVEEDOR],PROVEEDORES[[#This Row],[PROVEEDOR]],PROVEEDORES[FECHA DE PAGO],"")</f>
        <v>936000</v>
      </c>
      <c r="E964" s="27"/>
      <c r="F964" s="62" t="str">
        <f>+VLOOKUP(PROVEEDORES[[#This Row],[PROVEEDOR]],
                       Terceros!$A:$G,
                       6,
                       FALSE)</f>
        <v>stabarbaradistronik@gmail.com;girlesa.ruiz@servipilas.com;joriescobar64@gmail.com</v>
      </c>
      <c r="G964" s="95">
        <v>44543</v>
      </c>
      <c r="H964" s="28" t="s">
        <v>1066</v>
      </c>
      <c r="I964" s="95">
        <v>44509</v>
      </c>
      <c r="J964" s="38" t="s">
        <v>873</v>
      </c>
      <c r="K964" s="23">
        <v>1470000</v>
      </c>
      <c r="L964" s="23"/>
      <c r="M964" s="24">
        <v>0</v>
      </c>
      <c r="N964" s="25"/>
      <c r="O964" s="24">
        <v>0</v>
      </c>
      <c r="P964" s="136">
        <f>+IF(PROVEEDORES[[#This Row],[SUBTOTAL]]&lt;PROVEEDORES[[#This Row],[base retencion]],0,PROVEEDORES[[#This Row],[retención aplicada]])</f>
        <v>0</v>
      </c>
      <c r="Q964" s="24">
        <f>+PROVEEDORES[[#This Row],[Rete Fuente %]]*PROVEEDORES[[#This Row],[SUBTOTAL]]</f>
        <v>0</v>
      </c>
      <c r="R964" s="23">
        <v>1470000</v>
      </c>
      <c r="S96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4" s="99">
        <f ca="1">IF(PROVEEDORES[[#This Row],[FECHA DE PAGO]]=0,TODAY()-PROVEEDORES[[#This Row],[FECHA DE FACTURACIÓN]]-PROVEEDORES[[#This Row],[PLAZO Días]],0)</f>
        <v>0</v>
      </c>
      <c r="U964" s="149">
        <f>+VLOOKUP(PROVEEDORES[[#This Row],[PROVEEDOR]],Terceros!$A:$E,5,FALSE)</f>
        <v>0</v>
      </c>
      <c r="V964" s="150">
        <f>+YEAR(PROVEEDORES[[#This Row],[FECHA DE FACTURACIÓN]])</f>
        <v>2021</v>
      </c>
      <c r="W964" s="150">
        <f>+MATCH(PROVEEDORES[[#This Row],[año facturado]],Retenciones!$1:$1,0)</f>
        <v>4</v>
      </c>
      <c r="X964" s="151">
        <f>+VLOOKUP(PROVEEDORES[[#This Row],[ID RETENCION]],Retenciones!$A$1:$O$24,PROVEEDORES[[#This Row],[indicador de columna]],FALSE)</f>
        <v>0</v>
      </c>
      <c r="Y964" s="152">
        <f>+VLOOKUP(PROVEEDORES[[#This Row],[ID RETENCION]],Retenciones!$A$1:$O$24,2,FALSE)</f>
        <v>0</v>
      </c>
      <c r="Z964" s="26"/>
      <c r="AA964" s="26"/>
      <c r="AB964" s="26"/>
      <c r="AC964" s="26"/>
      <c r="AD964" s="26"/>
      <c r="AE964" s="26"/>
    </row>
    <row r="965" spans="1:31" ht="21.95" customHeight="1" x14ac:dyDescent="0.25">
      <c r="A965" s="97" t="str">
        <f>+IF(PROVEEDORES[[#This Row],[FECHA DE PAGO]]=PROVEEDORES[[#This Row],[FECHA DE FACTURACIÓN]],"DE CONTADO","CRÉDITO")</f>
        <v>CRÉDITO</v>
      </c>
      <c r="B965" s="41" t="str">
        <f>+IF((PROVEEDORES[[#This Row],[FECHA DE PAGO]]-PROVEEDORES[[#This Row],[FECHA DE FACTURACIÓN]])&gt;PROVEEDORES[[#This Row],[PLAZO Días]],"PAGO VENCIDO")</f>
        <v>PAGO VENCIDO</v>
      </c>
      <c r="C965" s="22">
        <f>+VLOOKUP(PROVEEDORES[[#This Row],[PROVEEDOR]],TERCEROS_INFO[#All],2,FALSE)</f>
        <v>30</v>
      </c>
      <c r="D965" s="27">
        <f>+SUMIFS(PROVEEDORES[Total],PROVEEDORES[PROVEEDOR],PROVEEDORES[[#This Row],[PROVEEDOR]],PROVEEDORES[FECHA DE PAGO],"")</f>
        <v>0</v>
      </c>
      <c r="E965" s="27"/>
      <c r="F965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965" s="95">
        <v>44543</v>
      </c>
      <c r="H965" s="28" t="s">
        <v>1124</v>
      </c>
      <c r="I965" s="95">
        <v>44509</v>
      </c>
      <c r="J965" s="38">
        <v>24521</v>
      </c>
      <c r="K965" s="23">
        <v>3180000</v>
      </c>
      <c r="L965" s="23"/>
      <c r="M965" s="24">
        <v>604200</v>
      </c>
      <c r="N965" s="25"/>
      <c r="O965" s="24">
        <v>0</v>
      </c>
      <c r="P965" s="136">
        <f>+IF(PROVEEDORES[[#This Row],[SUBTOTAL]]&lt;PROVEEDORES[[#This Row],[base retencion]],0,PROVEEDORES[[#This Row],[retención aplicada]])</f>
        <v>2.5000000000000001E-2</v>
      </c>
      <c r="Q965" s="24">
        <f>+PROVEEDORES[[#This Row],[Rete Fuente %]]*PROVEEDORES[[#This Row],[SUBTOTAL]]</f>
        <v>79500</v>
      </c>
      <c r="R965" s="23">
        <v>3704700</v>
      </c>
      <c r="S96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5" s="99">
        <f ca="1">IF(PROVEEDORES[[#This Row],[FECHA DE PAGO]]=0,TODAY()-PROVEEDORES[[#This Row],[FECHA DE FACTURACIÓN]]-PROVEEDORES[[#This Row],[PLAZO Días]],0)</f>
        <v>0</v>
      </c>
      <c r="U965" s="149" t="str">
        <f>+VLOOKUP(PROVEEDORES[[#This Row],[PROVEEDOR]],Terceros!$A:$E,5,FALSE)</f>
        <v>2,5% con base</v>
      </c>
      <c r="V965" s="150">
        <f>+YEAR(PROVEEDORES[[#This Row],[FECHA DE FACTURACIÓN]])</f>
        <v>2021</v>
      </c>
      <c r="W965" s="150">
        <f>+MATCH(PROVEEDORES[[#This Row],[año facturado]],Retenciones!$1:$1,0)</f>
        <v>4</v>
      </c>
      <c r="X965" s="151">
        <f>+VLOOKUP(PROVEEDORES[[#This Row],[ID RETENCION]],Retenciones!$A$1:$O$24,PROVEEDORES[[#This Row],[indicador de columna]],FALSE)</f>
        <v>980000</v>
      </c>
      <c r="Y965" s="152">
        <f>+VLOOKUP(PROVEEDORES[[#This Row],[ID RETENCION]],Retenciones!$A$1:$O$24,2,FALSE)</f>
        <v>2.5000000000000001E-2</v>
      </c>
      <c r="Z965" s="26"/>
      <c r="AA965" s="26"/>
      <c r="AB965" s="26"/>
      <c r="AC965" s="26"/>
      <c r="AD965" s="26"/>
      <c r="AE965" s="26"/>
    </row>
    <row r="966" spans="1:31" ht="21.95" customHeight="1" x14ac:dyDescent="0.25">
      <c r="A966" s="97" t="str">
        <f>+IF(PROVEEDORES[[#This Row],[FECHA DE PAGO]]=PROVEEDORES[[#This Row],[FECHA DE FACTURACIÓN]],"DE CONTADO","CRÉDITO")</f>
        <v>CRÉDITO</v>
      </c>
      <c r="B966" s="41" t="b">
        <f>+IF((PROVEEDORES[[#This Row],[FECHA DE PAGO]]-PROVEEDORES[[#This Row],[FECHA DE FACTURACIÓN]])&gt;PROVEEDORES[[#This Row],[PLAZO Días]],"PAGO VENCIDO")</f>
        <v>0</v>
      </c>
      <c r="C966" s="22">
        <f>+VLOOKUP(PROVEEDORES[[#This Row],[PROVEEDOR]],TERCEROS_INFO[#All],2,FALSE)</f>
        <v>90</v>
      </c>
      <c r="D966" s="27">
        <f>+SUMIFS(PROVEEDORES[Total],PROVEEDORES[PROVEEDOR],PROVEEDORES[[#This Row],[PROVEEDOR]],PROVEEDORES[FECHA DE PAGO],"")</f>
        <v>28052953.019999996</v>
      </c>
      <c r="E966" s="27"/>
      <c r="F966" s="62" t="str">
        <f>+VLOOKUP(PROVEEDORES[[#This Row],[PROVEEDOR]],
                       Terceros!$A:$G,
                       6,
                       FALSE)</f>
        <v>criszapata1234@gmail.com;girlesa.ruiz@servipilas.com;joriescobar64@gmail.com</v>
      </c>
      <c r="G966" s="95">
        <v>44533</v>
      </c>
      <c r="H966" s="28" t="s">
        <v>78</v>
      </c>
      <c r="I966" s="95">
        <v>44510</v>
      </c>
      <c r="J966" s="38" t="s">
        <v>597</v>
      </c>
      <c r="K966" s="23">
        <v>-3000000</v>
      </c>
      <c r="L966" s="23"/>
      <c r="M966" s="24">
        <v>0</v>
      </c>
      <c r="N966" s="25"/>
      <c r="O966" s="24">
        <v>0</v>
      </c>
      <c r="P966" s="136">
        <f>+IF(PROVEEDORES[[#This Row],[SUBTOTAL]]&lt;PROVEEDORES[[#This Row],[base retencion]],0,PROVEEDORES[[#This Row],[retención aplicada]])</f>
        <v>0</v>
      </c>
      <c r="Q966" s="24">
        <f>+PROVEEDORES[[#This Row],[Rete Fuente %]]*PROVEEDORES[[#This Row],[SUBTOTAL]]</f>
        <v>0</v>
      </c>
      <c r="R966" s="23">
        <v>-3000000</v>
      </c>
      <c r="S96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6" s="99">
        <f ca="1">IF(PROVEEDORES[[#This Row],[FECHA DE PAGO]]=0,TODAY()-PROVEEDORES[[#This Row],[FECHA DE FACTURACIÓN]]-PROVEEDORES[[#This Row],[PLAZO Días]],0)</f>
        <v>0</v>
      </c>
      <c r="U966" s="149" t="str">
        <f>+VLOOKUP(PROVEEDORES[[#This Row],[PROVEEDOR]],Terceros!$A:$E,5,FALSE)</f>
        <v>2,5% con base</v>
      </c>
      <c r="V966" s="150">
        <f>+YEAR(PROVEEDORES[[#This Row],[FECHA DE FACTURACIÓN]])</f>
        <v>2021</v>
      </c>
      <c r="W966" s="150">
        <f>+MATCH(PROVEEDORES[[#This Row],[año facturado]],Retenciones!$1:$1,0)</f>
        <v>4</v>
      </c>
      <c r="X966" s="151">
        <f>+VLOOKUP(PROVEEDORES[[#This Row],[ID RETENCION]],Retenciones!$A$1:$O$24,PROVEEDORES[[#This Row],[indicador de columna]],FALSE)</f>
        <v>980000</v>
      </c>
      <c r="Y966" s="152">
        <f>+VLOOKUP(PROVEEDORES[[#This Row],[ID RETENCION]],Retenciones!$A$1:$O$24,2,FALSE)</f>
        <v>2.5000000000000001E-2</v>
      </c>
      <c r="Z966" s="26"/>
      <c r="AA966" s="26"/>
      <c r="AB966" s="26"/>
      <c r="AC966" s="26"/>
      <c r="AD966" s="26"/>
      <c r="AE966" s="26"/>
    </row>
    <row r="967" spans="1:31" ht="21.95" customHeight="1" x14ac:dyDescent="0.25">
      <c r="A967" s="97" t="str">
        <f>+IF(PROVEEDORES[[#This Row],[FECHA DE PAGO]]=PROVEEDORES[[#This Row],[FECHA DE FACTURACIÓN]],"DE CONTADO","CRÉDITO")</f>
        <v>CRÉDITO</v>
      </c>
      <c r="B967" s="41" t="str">
        <f>+IF((PROVEEDORES[[#This Row],[FECHA DE PAGO]]-PROVEEDORES[[#This Row],[FECHA DE FACTURACIÓN]])&gt;PROVEEDORES[[#This Row],[PLAZO Días]],"PAGO VENCIDO")</f>
        <v>PAGO VENCIDO</v>
      </c>
      <c r="C967" s="22">
        <f>+VLOOKUP(PROVEEDORES[[#This Row],[PROVEEDOR]],TERCEROS_INFO[#All],2,FALSE)</f>
        <v>60</v>
      </c>
      <c r="D967" s="27">
        <f>+SUMIFS(PROVEEDORES[Total],PROVEEDORES[PROVEEDOR],PROVEEDORES[[#This Row],[PROVEEDOR]],PROVEEDORES[FECHA DE PAGO],"")</f>
        <v>758800</v>
      </c>
      <c r="E967" s="27"/>
      <c r="F967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G967" s="95">
        <v>44586</v>
      </c>
      <c r="H967" s="28" t="s">
        <v>604</v>
      </c>
      <c r="I967" s="95">
        <v>44510</v>
      </c>
      <c r="J967" s="38" t="s">
        <v>601</v>
      </c>
      <c r="K967" s="23">
        <v>285600</v>
      </c>
      <c r="L967" s="23"/>
      <c r="M967" s="24">
        <v>0</v>
      </c>
      <c r="N967" s="25"/>
      <c r="O967" s="24">
        <v>0</v>
      </c>
      <c r="P967" s="136">
        <f>+IF(PROVEEDORES[[#This Row],[SUBTOTAL]]&lt;PROVEEDORES[[#This Row],[base retencion]],0,PROVEEDORES[[#This Row],[retención aplicada]])</f>
        <v>0</v>
      </c>
      <c r="Q967" s="24">
        <f>+PROVEEDORES[[#This Row],[Rete Fuente %]]*PROVEEDORES[[#This Row],[SUBTOTAL]]</f>
        <v>0</v>
      </c>
      <c r="R967" s="23">
        <v>0</v>
      </c>
      <c r="S96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7" s="99">
        <f ca="1">IF(PROVEEDORES[[#This Row],[FECHA DE PAGO]]=0,TODAY()-PROVEEDORES[[#This Row],[FECHA DE FACTURACIÓN]]-PROVEEDORES[[#This Row],[PLAZO Días]],0)</f>
        <v>0</v>
      </c>
      <c r="U967" s="149">
        <f>+VLOOKUP(PROVEEDORES[[#This Row],[PROVEEDOR]],Terceros!$A:$E,5,FALSE)</f>
        <v>0</v>
      </c>
      <c r="V967" s="150">
        <f>+YEAR(PROVEEDORES[[#This Row],[FECHA DE FACTURACIÓN]])</f>
        <v>2021</v>
      </c>
      <c r="W967" s="150">
        <f>+MATCH(PROVEEDORES[[#This Row],[año facturado]],Retenciones!$1:$1,0)</f>
        <v>4</v>
      </c>
      <c r="X967" s="151">
        <f>+VLOOKUP(PROVEEDORES[[#This Row],[ID RETENCION]],Retenciones!$A$1:$O$24,PROVEEDORES[[#This Row],[indicador de columna]],FALSE)</f>
        <v>0</v>
      </c>
      <c r="Y967" s="152">
        <f>+VLOOKUP(PROVEEDORES[[#This Row],[ID RETENCION]],Retenciones!$A$1:$O$24,2,FALSE)</f>
        <v>0</v>
      </c>
      <c r="Z967" s="26"/>
      <c r="AA967" s="26"/>
      <c r="AB967" s="26"/>
      <c r="AC967" s="26"/>
      <c r="AD967" s="26"/>
      <c r="AE967" s="26"/>
    </row>
    <row r="968" spans="1:31" ht="21.95" customHeight="1" x14ac:dyDescent="0.25">
      <c r="A968" s="97" t="str">
        <f>+IF(PROVEEDORES[[#This Row],[FECHA DE PAGO]]=PROVEEDORES[[#This Row],[FECHA DE FACTURACIÓN]],"DE CONTADO","CRÉDITO")</f>
        <v>CRÉDITO</v>
      </c>
      <c r="B968" s="41" t="str">
        <f>+IF((PROVEEDORES[[#This Row],[FECHA DE PAGO]]-PROVEEDORES[[#This Row],[FECHA DE FACTURACIÓN]])&gt;PROVEEDORES[[#This Row],[PLAZO Días]],"PAGO VENCIDO")</f>
        <v>PAGO VENCIDO</v>
      </c>
      <c r="C968" s="22">
        <f>+VLOOKUP(PROVEEDORES[[#This Row],[PROVEEDOR]],TERCEROS_INFO[#All],2,FALSE)</f>
        <v>30</v>
      </c>
      <c r="D968" s="27">
        <f>+SUMIFS(PROVEEDORES[Total],PROVEEDORES[PROVEEDOR],PROVEEDORES[[#This Row],[PROVEEDOR]],PROVEEDORES[FECHA DE PAGO],"")</f>
        <v>0</v>
      </c>
      <c r="E968" s="27"/>
      <c r="F968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968" s="95">
        <v>44558</v>
      </c>
      <c r="H968" s="28" t="s">
        <v>571</v>
      </c>
      <c r="I968" s="95">
        <v>44510</v>
      </c>
      <c r="J968" s="38">
        <v>252</v>
      </c>
      <c r="K968" s="23">
        <v>428571.43</v>
      </c>
      <c r="L968" s="23"/>
      <c r="M968" s="24">
        <v>81428.5717</v>
      </c>
      <c r="N968" s="25"/>
      <c r="O968" s="24">
        <v>0</v>
      </c>
      <c r="P968" s="136">
        <f>+IF(PROVEEDORES[[#This Row],[SUBTOTAL]]&lt;PROVEEDORES[[#This Row],[base retencion]],0,PROVEEDORES[[#This Row],[retención aplicada]])</f>
        <v>0</v>
      </c>
      <c r="Q968" s="24">
        <f>+PROVEEDORES[[#This Row],[Rete Fuente %]]*PROVEEDORES[[#This Row],[SUBTOTAL]]</f>
        <v>0</v>
      </c>
      <c r="R968" s="23">
        <v>510000.00170000002</v>
      </c>
      <c r="S96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8" s="99">
        <f ca="1">IF(PROVEEDORES[[#This Row],[FECHA DE PAGO]]=0,TODAY()-PROVEEDORES[[#This Row],[FECHA DE FACTURACIÓN]]-PROVEEDORES[[#This Row],[PLAZO Días]],0)</f>
        <v>0</v>
      </c>
      <c r="U968" s="149" t="str">
        <f>+VLOOKUP(PROVEEDORES[[#This Row],[PROVEEDOR]],Terceros!$A:$E,5,FALSE)</f>
        <v>2,5% con base</v>
      </c>
      <c r="V968" s="150">
        <f>+YEAR(PROVEEDORES[[#This Row],[FECHA DE FACTURACIÓN]])</f>
        <v>2021</v>
      </c>
      <c r="W968" s="150">
        <f>+MATCH(PROVEEDORES[[#This Row],[año facturado]],Retenciones!$1:$1,0)</f>
        <v>4</v>
      </c>
      <c r="X968" s="151">
        <f>+VLOOKUP(PROVEEDORES[[#This Row],[ID RETENCION]],Retenciones!$A$1:$O$24,PROVEEDORES[[#This Row],[indicador de columna]],FALSE)</f>
        <v>980000</v>
      </c>
      <c r="Y968" s="152">
        <f>+VLOOKUP(PROVEEDORES[[#This Row],[ID RETENCION]],Retenciones!$A$1:$O$24,2,FALSE)</f>
        <v>2.5000000000000001E-2</v>
      </c>
      <c r="Z968" s="26"/>
      <c r="AA968" s="26"/>
      <c r="AB968" s="26"/>
      <c r="AC968" s="26"/>
      <c r="AD968" s="26"/>
      <c r="AE968" s="26"/>
    </row>
    <row r="969" spans="1:31" ht="21.95" customHeight="1" x14ac:dyDescent="0.25">
      <c r="A969" s="97" t="str">
        <f>+IF(PROVEEDORES[[#This Row],[FECHA DE PAGO]]=PROVEEDORES[[#This Row],[FECHA DE FACTURACIÓN]],"DE CONTADO","CRÉDITO")</f>
        <v>CRÉDITO</v>
      </c>
      <c r="B969" s="41" t="str">
        <f>+IF((PROVEEDORES[[#This Row],[FECHA DE PAGO]]-PROVEEDORES[[#This Row],[FECHA DE FACTURACIÓN]])&gt;PROVEEDORES[[#This Row],[PLAZO Días]],"PAGO VENCIDO")</f>
        <v>PAGO VENCIDO</v>
      </c>
      <c r="C969" s="22">
        <f>+VLOOKUP(PROVEEDORES[[#This Row],[PROVEEDOR]],TERCEROS_INFO[#All],2,FALSE)</f>
        <v>30</v>
      </c>
      <c r="D969" s="27">
        <f>+SUMIFS(PROVEEDORES[Total],PROVEEDORES[PROVEEDOR],PROVEEDORES[[#This Row],[PROVEEDOR]],PROVEEDORES[FECHA DE PAGO],"")</f>
        <v>0</v>
      </c>
      <c r="E969" s="27"/>
      <c r="F969" s="62" t="str">
        <f>+VLOOKUP(PROVEEDORES[[#This Row],[PROVEEDOR]],
                       Terceros!$A:$G,
                       6,
                       FALSE)</f>
        <v>tesoreria@makingbusiness.com.co;girlesa.ruiz@servipilas.com;joriescobar64@gmail.com</v>
      </c>
      <c r="G969" s="95">
        <v>44543</v>
      </c>
      <c r="H969" s="28" t="s">
        <v>32</v>
      </c>
      <c r="I969" s="95">
        <v>44510</v>
      </c>
      <c r="J969" s="38" t="s">
        <v>608</v>
      </c>
      <c r="K969" s="23">
        <v>2248066.5</v>
      </c>
      <c r="L969" s="23"/>
      <c r="M969" s="24">
        <v>427132.63500000001</v>
      </c>
      <c r="N969" s="25"/>
      <c r="O969" s="24">
        <v>0</v>
      </c>
      <c r="P969" s="136">
        <f>+IF(PROVEEDORES[[#This Row],[SUBTOTAL]]&lt;PROVEEDORES[[#This Row],[base retencion]],0,PROVEEDORES[[#This Row],[retención aplicada]])</f>
        <v>2.5000000000000001E-2</v>
      </c>
      <c r="Q969" s="24">
        <f>+PROVEEDORES[[#This Row],[Rete Fuente %]]*PROVEEDORES[[#This Row],[SUBTOTAL]]</f>
        <v>56201.662500000006</v>
      </c>
      <c r="R969" s="23">
        <v>2618997.4724999997</v>
      </c>
      <c r="S96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9" s="99">
        <f ca="1">IF(PROVEEDORES[[#This Row],[FECHA DE PAGO]]=0,TODAY()-PROVEEDORES[[#This Row],[FECHA DE FACTURACIÓN]]-PROVEEDORES[[#This Row],[PLAZO Días]],0)</f>
        <v>0</v>
      </c>
      <c r="U969" s="149" t="str">
        <f>+VLOOKUP(PROVEEDORES[[#This Row],[PROVEEDOR]],Terceros!$A:$E,5,FALSE)</f>
        <v>2,5% con base</v>
      </c>
      <c r="V969" s="150">
        <f>+YEAR(PROVEEDORES[[#This Row],[FECHA DE FACTURACIÓN]])</f>
        <v>2021</v>
      </c>
      <c r="W969" s="150">
        <f>+MATCH(PROVEEDORES[[#This Row],[año facturado]],Retenciones!$1:$1,0)</f>
        <v>4</v>
      </c>
      <c r="X969" s="151">
        <f>+VLOOKUP(PROVEEDORES[[#This Row],[ID RETENCION]],Retenciones!$A$1:$O$24,PROVEEDORES[[#This Row],[indicador de columna]],FALSE)</f>
        <v>980000</v>
      </c>
      <c r="Y969" s="152">
        <f>+VLOOKUP(PROVEEDORES[[#This Row],[ID RETENCION]],Retenciones!$A$1:$O$24,2,FALSE)</f>
        <v>2.5000000000000001E-2</v>
      </c>
      <c r="Z969" s="26"/>
      <c r="AA969" s="26"/>
      <c r="AB969" s="26"/>
      <c r="AC969" s="26"/>
      <c r="AD969" s="26"/>
      <c r="AE969" s="26"/>
    </row>
    <row r="970" spans="1:31" ht="21.95" customHeight="1" x14ac:dyDescent="0.25">
      <c r="A970" s="97" t="str">
        <f>+IF(PROVEEDORES[[#This Row],[FECHA DE PAGO]]=PROVEEDORES[[#This Row],[FECHA DE FACTURACIÓN]],"DE CONTADO","CRÉDITO")</f>
        <v>CRÉDITO</v>
      </c>
      <c r="B970" s="41" t="str">
        <f>+IF((PROVEEDORES[[#This Row],[FECHA DE PAGO]]-PROVEEDORES[[#This Row],[FECHA DE FACTURACIÓN]])&gt;PROVEEDORES[[#This Row],[PLAZO Días]],"PAGO VENCIDO")</f>
        <v>PAGO VENCIDO</v>
      </c>
      <c r="C970" s="22">
        <f>+VLOOKUP(PROVEEDORES[[#This Row],[PROVEEDOR]],TERCEROS_INFO[#All],2,FALSE)</f>
        <v>30</v>
      </c>
      <c r="D970" s="27">
        <f>+SUMIFS(PROVEEDORES[Total],PROVEEDORES[PROVEEDOR],PROVEEDORES[[#This Row],[PROVEEDOR]],PROVEEDORES[FECHA DE PAGO],"")</f>
        <v>3099000</v>
      </c>
      <c r="E970" s="27"/>
      <c r="F970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970" s="95">
        <v>44568</v>
      </c>
      <c r="H970" s="28" t="s">
        <v>1079</v>
      </c>
      <c r="I970" s="95">
        <v>44511</v>
      </c>
      <c r="J970" s="38" t="s">
        <v>874</v>
      </c>
      <c r="K970" s="23">
        <v>942000</v>
      </c>
      <c r="L970" s="23"/>
      <c r="M970" s="24">
        <v>0</v>
      </c>
      <c r="N970" s="25"/>
      <c r="O970" s="24">
        <v>0</v>
      </c>
      <c r="P970" s="136">
        <f>+IF(PROVEEDORES[[#This Row],[SUBTOTAL]]&lt;PROVEEDORES[[#This Row],[base retencion]],0,PROVEEDORES[[#This Row],[retención aplicada]])</f>
        <v>0</v>
      </c>
      <c r="Q970" s="24">
        <f>+PROVEEDORES[[#This Row],[Rete Fuente %]]*PROVEEDORES[[#This Row],[SUBTOTAL]]</f>
        <v>0</v>
      </c>
      <c r="R970" s="23">
        <v>942000</v>
      </c>
      <c r="S97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0" s="99">
        <f ca="1">IF(PROVEEDORES[[#This Row],[FECHA DE PAGO]]=0,TODAY()-PROVEEDORES[[#This Row],[FECHA DE FACTURACIÓN]]-PROVEEDORES[[#This Row],[PLAZO Días]],0)</f>
        <v>0</v>
      </c>
      <c r="U970" s="149">
        <f>+VLOOKUP(PROVEEDORES[[#This Row],[PROVEEDOR]],Terceros!$A:$E,5,FALSE)</f>
        <v>0</v>
      </c>
      <c r="V970" s="150">
        <f>+YEAR(PROVEEDORES[[#This Row],[FECHA DE FACTURACIÓN]])</f>
        <v>2021</v>
      </c>
      <c r="W970" s="150">
        <f>+MATCH(PROVEEDORES[[#This Row],[año facturado]],Retenciones!$1:$1,0)</f>
        <v>4</v>
      </c>
      <c r="X970" s="151">
        <f>+VLOOKUP(PROVEEDORES[[#This Row],[ID RETENCION]],Retenciones!$A$1:$O$24,PROVEEDORES[[#This Row],[indicador de columna]],FALSE)</f>
        <v>0</v>
      </c>
      <c r="Y970" s="152">
        <f>+VLOOKUP(PROVEEDORES[[#This Row],[ID RETENCION]],Retenciones!$A$1:$O$24,2,FALSE)</f>
        <v>0</v>
      </c>
      <c r="Z970" s="26"/>
      <c r="AA970" s="26"/>
      <c r="AB970" s="26"/>
      <c r="AC970" s="26"/>
      <c r="AD970" s="26"/>
      <c r="AE970" s="26"/>
    </row>
    <row r="971" spans="1:31" ht="21.95" customHeight="1" x14ac:dyDescent="0.25">
      <c r="A971" s="97" t="str">
        <f>+IF(PROVEEDORES[[#This Row],[FECHA DE PAGO]]=PROVEEDORES[[#This Row],[FECHA DE FACTURACIÓN]],"DE CONTADO","CRÉDITO")</f>
        <v>CRÉDITO</v>
      </c>
      <c r="B971" s="41" t="str">
        <f>+IF((PROVEEDORES[[#This Row],[FECHA DE PAGO]]-PROVEEDORES[[#This Row],[FECHA DE FACTURACIÓN]])&gt;PROVEEDORES[[#This Row],[PLAZO Días]],"PAGO VENCIDO")</f>
        <v>PAGO VENCIDO</v>
      </c>
      <c r="C971" s="22">
        <f>+VLOOKUP(PROVEEDORES[[#This Row],[PROVEEDOR]],TERCEROS_INFO[#All],2,FALSE)</f>
        <v>30</v>
      </c>
      <c r="D971" s="27">
        <f>+SUMIFS(PROVEEDORES[Total],PROVEEDORES[PROVEEDOR],PROVEEDORES[[#This Row],[PROVEEDOR]],PROVEEDORES[FECHA DE PAGO],"")</f>
        <v>936000</v>
      </c>
      <c r="E971" s="27"/>
      <c r="F971" s="62" t="str">
        <f>+VLOOKUP(PROVEEDORES[[#This Row],[PROVEEDOR]],
                       Terceros!$A:$G,
                       6,
                       FALSE)</f>
        <v>stabarbaradistronik@gmail.com;girlesa.ruiz@servipilas.com;joriescobar64@gmail.com</v>
      </c>
      <c r="G971" s="95">
        <v>44543</v>
      </c>
      <c r="H971" s="28" t="s">
        <v>1066</v>
      </c>
      <c r="I971" s="95">
        <v>44511</v>
      </c>
      <c r="J971" s="38" t="s">
        <v>620</v>
      </c>
      <c r="K971" s="23">
        <v>1750000</v>
      </c>
      <c r="L971" s="23"/>
      <c r="M971" s="24">
        <v>0</v>
      </c>
      <c r="N971" s="25"/>
      <c r="O971" s="24">
        <v>0</v>
      </c>
      <c r="P971" s="136">
        <f>+IF(PROVEEDORES[[#This Row],[SUBTOTAL]]&lt;PROVEEDORES[[#This Row],[base retencion]],0,PROVEEDORES[[#This Row],[retención aplicada]])</f>
        <v>0</v>
      </c>
      <c r="Q971" s="24">
        <f>+PROVEEDORES[[#This Row],[Rete Fuente %]]*PROVEEDORES[[#This Row],[SUBTOTAL]]</f>
        <v>0</v>
      </c>
      <c r="R971" s="23">
        <v>1750000</v>
      </c>
      <c r="S97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1" s="99">
        <f ca="1">IF(PROVEEDORES[[#This Row],[FECHA DE PAGO]]=0,TODAY()-PROVEEDORES[[#This Row],[FECHA DE FACTURACIÓN]]-PROVEEDORES[[#This Row],[PLAZO Días]],0)</f>
        <v>0</v>
      </c>
      <c r="U971" s="149">
        <f>+VLOOKUP(PROVEEDORES[[#This Row],[PROVEEDOR]],Terceros!$A:$E,5,FALSE)</f>
        <v>0</v>
      </c>
      <c r="V971" s="150">
        <f>+YEAR(PROVEEDORES[[#This Row],[FECHA DE FACTURACIÓN]])</f>
        <v>2021</v>
      </c>
      <c r="W971" s="150">
        <f>+MATCH(PROVEEDORES[[#This Row],[año facturado]],Retenciones!$1:$1,0)</f>
        <v>4</v>
      </c>
      <c r="X971" s="151">
        <f>+VLOOKUP(PROVEEDORES[[#This Row],[ID RETENCION]],Retenciones!$A$1:$O$24,PROVEEDORES[[#This Row],[indicador de columna]],FALSE)</f>
        <v>0</v>
      </c>
      <c r="Y971" s="152">
        <f>+VLOOKUP(PROVEEDORES[[#This Row],[ID RETENCION]],Retenciones!$A$1:$O$24,2,FALSE)</f>
        <v>0</v>
      </c>
      <c r="Z971" s="26"/>
      <c r="AA971" s="26"/>
      <c r="AB971" s="26"/>
      <c r="AC971" s="26"/>
      <c r="AD971" s="26"/>
      <c r="AE971" s="26"/>
    </row>
    <row r="972" spans="1:31" ht="21.95" customHeight="1" x14ac:dyDescent="0.25">
      <c r="A972" s="97" t="str">
        <f>+IF(PROVEEDORES[[#This Row],[FECHA DE PAGO]]=PROVEEDORES[[#This Row],[FECHA DE FACTURACIÓN]],"DE CONTADO","CRÉDITO")</f>
        <v>CRÉDITO</v>
      </c>
      <c r="B972" s="41" t="b">
        <f>+IF((PROVEEDORES[[#This Row],[FECHA DE PAGO]]-PROVEEDORES[[#This Row],[FECHA DE FACTURACIÓN]])&gt;PROVEEDORES[[#This Row],[PLAZO Días]],"PAGO VENCIDO")</f>
        <v>0</v>
      </c>
      <c r="C972" s="22">
        <f>+VLOOKUP(PROVEEDORES[[#This Row],[PROVEEDOR]],TERCEROS_INFO[#All],2,FALSE)</f>
        <v>30</v>
      </c>
      <c r="D972" s="27">
        <f>+SUMIFS(PROVEEDORES[Total],PROVEEDORES[PROVEEDOR],PROVEEDORES[[#This Row],[PROVEEDOR]],PROVEEDORES[FECHA DE PAGO],"")</f>
        <v>0</v>
      </c>
      <c r="E972" s="27"/>
      <c r="F972" s="62" t="str">
        <f>+VLOOKUP(PROVEEDORES[[#This Row],[PROVEEDOR]],
                       Terceros!$A:$G,
                       6,
                       FALSE)</f>
        <v/>
      </c>
      <c r="G972" s="95">
        <v>44512</v>
      </c>
      <c r="H972" s="28" t="s">
        <v>1001</v>
      </c>
      <c r="I972" s="95">
        <v>44511</v>
      </c>
      <c r="J972" s="38" t="s">
        <v>603</v>
      </c>
      <c r="K972" s="23">
        <v>3847000</v>
      </c>
      <c r="L972" s="23"/>
      <c r="M972" s="24">
        <v>0</v>
      </c>
      <c r="N972" s="25"/>
      <c r="O972" s="24">
        <v>0</v>
      </c>
      <c r="P972" s="136">
        <f>+IF(PROVEEDORES[[#This Row],[SUBTOTAL]]&lt;PROVEEDORES[[#This Row],[base retencion]],0,PROVEEDORES[[#This Row],[retención aplicada]])</f>
        <v>0</v>
      </c>
      <c r="Q972" s="24">
        <f>+PROVEEDORES[[#This Row],[Rete Fuente %]]*PROVEEDORES[[#This Row],[SUBTOTAL]]</f>
        <v>0</v>
      </c>
      <c r="R972" s="23">
        <v>3847000</v>
      </c>
      <c r="S97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2" s="99">
        <f ca="1">IF(PROVEEDORES[[#This Row],[FECHA DE PAGO]]=0,TODAY()-PROVEEDORES[[#This Row],[FECHA DE FACTURACIÓN]]-PROVEEDORES[[#This Row],[PLAZO Días]],0)</f>
        <v>0</v>
      </c>
      <c r="U972" s="149">
        <f>+VLOOKUP(PROVEEDORES[[#This Row],[PROVEEDOR]],Terceros!$A:$E,5,FALSE)</f>
        <v>0</v>
      </c>
      <c r="V972" s="150">
        <f>+YEAR(PROVEEDORES[[#This Row],[FECHA DE FACTURACIÓN]])</f>
        <v>2021</v>
      </c>
      <c r="W972" s="150">
        <f>+MATCH(PROVEEDORES[[#This Row],[año facturado]],Retenciones!$1:$1,0)</f>
        <v>4</v>
      </c>
      <c r="X972" s="151">
        <f>+VLOOKUP(PROVEEDORES[[#This Row],[ID RETENCION]],Retenciones!$A$1:$O$24,PROVEEDORES[[#This Row],[indicador de columna]],FALSE)</f>
        <v>0</v>
      </c>
      <c r="Y972" s="152">
        <f>+VLOOKUP(PROVEEDORES[[#This Row],[ID RETENCION]],Retenciones!$A$1:$O$24,2,FALSE)</f>
        <v>0</v>
      </c>
      <c r="Z972" s="26"/>
      <c r="AA972" s="26"/>
      <c r="AB972" s="26"/>
      <c r="AC972" s="26"/>
      <c r="AD972" s="26"/>
      <c r="AE972" s="26"/>
    </row>
    <row r="973" spans="1:31" ht="21.95" customHeight="1" x14ac:dyDescent="0.25">
      <c r="A973" s="97" t="str">
        <f>+IF(PROVEEDORES[[#This Row],[FECHA DE PAGO]]=PROVEEDORES[[#This Row],[FECHA DE FACTURACIÓN]],"DE CONTADO","CRÉDITO")</f>
        <v>CRÉDITO</v>
      </c>
      <c r="B973" s="41" t="b">
        <f>+IF((PROVEEDORES[[#This Row],[FECHA DE PAGO]]-PROVEEDORES[[#This Row],[FECHA DE FACTURACIÓN]])&gt;PROVEEDORES[[#This Row],[PLAZO Días]],"PAGO VENCIDO")</f>
        <v>0</v>
      </c>
      <c r="C973" s="22">
        <f>+VLOOKUP(PROVEEDORES[[#This Row],[PROVEEDOR]],TERCEROS_INFO[#All],2,FALSE)</f>
        <v>90</v>
      </c>
      <c r="D973" s="27">
        <f>+SUMIFS(PROVEEDORES[Total],PROVEEDORES[PROVEEDOR],PROVEEDORES[[#This Row],[PROVEEDOR]],PROVEEDORES[FECHA DE PAGO],"")</f>
        <v>28052953.019999996</v>
      </c>
      <c r="E973" s="27"/>
      <c r="F973" s="62" t="str">
        <f>+VLOOKUP(PROVEEDORES[[#This Row],[PROVEEDOR]],
                       Terceros!$A:$G,
                       6,
                       FALSE)</f>
        <v>criszapata1234@gmail.com;girlesa.ruiz@servipilas.com;joriescobar64@gmail.com</v>
      </c>
      <c r="G973" s="95">
        <v>44561</v>
      </c>
      <c r="H973" s="28" t="s">
        <v>78</v>
      </c>
      <c r="I973" s="95">
        <v>44511</v>
      </c>
      <c r="J973" s="38" t="s">
        <v>616</v>
      </c>
      <c r="K973" s="23">
        <v>34382322</v>
      </c>
      <c r="L973" s="23"/>
      <c r="M973" s="24">
        <v>6532641.1799999997</v>
      </c>
      <c r="N973" s="25">
        <v>0.06</v>
      </c>
      <c r="O973" s="24">
        <v>2062939.3199999998</v>
      </c>
      <c r="P973" s="136">
        <f>+IF(PROVEEDORES[[#This Row],[SUBTOTAL]]&lt;PROVEEDORES[[#This Row],[base retencion]],0,PROVEEDORES[[#This Row],[retención aplicada]])</f>
        <v>2.5000000000000001E-2</v>
      </c>
      <c r="Q973" s="24">
        <f>+PROVEEDORES[[#This Row],[Rete Fuente %]]*PROVEEDORES[[#This Row],[SUBTOTAL]]</f>
        <v>859558.05</v>
      </c>
      <c r="R973" s="23">
        <v>37992465.810000002</v>
      </c>
      <c r="S97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3" s="99">
        <f ca="1">IF(PROVEEDORES[[#This Row],[FECHA DE PAGO]]=0,TODAY()-PROVEEDORES[[#This Row],[FECHA DE FACTURACIÓN]]-PROVEEDORES[[#This Row],[PLAZO Días]],0)</f>
        <v>0</v>
      </c>
      <c r="U973" s="149" t="str">
        <f>+VLOOKUP(PROVEEDORES[[#This Row],[PROVEEDOR]],Terceros!$A:$E,5,FALSE)</f>
        <v>2,5% con base</v>
      </c>
      <c r="V973" s="150">
        <f>+YEAR(PROVEEDORES[[#This Row],[FECHA DE FACTURACIÓN]])</f>
        <v>2021</v>
      </c>
      <c r="W973" s="150">
        <f>+MATCH(PROVEEDORES[[#This Row],[año facturado]],Retenciones!$1:$1,0)</f>
        <v>4</v>
      </c>
      <c r="X973" s="151">
        <f>+VLOOKUP(PROVEEDORES[[#This Row],[ID RETENCION]],Retenciones!$A$1:$O$24,PROVEEDORES[[#This Row],[indicador de columna]],FALSE)</f>
        <v>980000</v>
      </c>
      <c r="Y973" s="152">
        <f>+VLOOKUP(PROVEEDORES[[#This Row],[ID RETENCION]],Retenciones!$A$1:$O$24,2,FALSE)</f>
        <v>2.5000000000000001E-2</v>
      </c>
      <c r="Z973" s="26"/>
      <c r="AA973" s="26"/>
      <c r="AB973" s="26"/>
      <c r="AC973" s="26"/>
      <c r="AD973" s="26"/>
      <c r="AE973" s="26"/>
    </row>
    <row r="974" spans="1:31" ht="21.95" customHeight="1" x14ac:dyDescent="0.25">
      <c r="A974" s="97" t="str">
        <f>+IF(PROVEEDORES[[#This Row],[FECHA DE PAGO]]=PROVEEDORES[[#This Row],[FECHA DE FACTURACIÓN]],"DE CONTADO","CRÉDITO")</f>
        <v>CRÉDITO</v>
      </c>
      <c r="B974" s="41" t="b">
        <f>+IF((PROVEEDORES[[#This Row],[FECHA DE PAGO]]-PROVEEDORES[[#This Row],[FECHA DE FACTURACIÓN]])&gt;PROVEEDORES[[#This Row],[PLAZO Días]],"PAGO VENCIDO")</f>
        <v>0</v>
      </c>
      <c r="C974" s="22">
        <f>+VLOOKUP(PROVEEDORES[[#This Row],[PROVEEDOR]],TERCEROS_INFO[#All],2,FALSE)</f>
        <v>90</v>
      </c>
      <c r="D974" s="27">
        <f>+SUMIFS(PROVEEDORES[Total],PROVEEDORES[PROVEEDOR],PROVEEDORES[[#This Row],[PROVEEDOR]],PROVEEDORES[FECHA DE PAGO],"")</f>
        <v>28052953.019999996</v>
      </c>
      <c r="E974" s="27"/>
      <c r="F974" s="62" t="str">
        <f>+VLOOKUP(PROVEEDORES[[#This Row],[PROVEEDOR]],
                       Terceros!$A:$G,
                       6,
                       FALSE)</f>
        <v>criszapata1234@gmail.com;girlesa.ruiz@servipilas.com;joriescobar64@gmail.com</v>
      </c>
      <c r="G974" s="95">
        <v>44533</v>
      </c>
      <c r="H974" s="28" t="s">
        <v>78</v>
      </c>
      <c r="I974" s="95">
        <v>44512</v>
      </c>
      <c r="J974" s="38" t="s">
        <v>597</v>
      </c>
      <c r="K974" s="23">
        <v>-2000000</v>
      </c>
      <c r="L974" s="23"/>
      <c r="M974" s="24">
        <v>0</v>
      </c>
      <c r="N974" s="25"/>
      <c r="O974" s="24">
        <v>0</v>
      </c>
      <c r="P974" s="136">
        <f>+IF(PROVEEDORES[[#This Row],[SUBTOTAL]]&lt;PROVEEDORES[[#This Row],[base retencion]],0,PROVEEDORES[[#This Row],[retención aplicada]])</f>
        <v>0</v>
      </c>
      <c r="Q974" s="24">
        <f>+PROVEEDORES[[#This Row],[Rete Fuente %]]*PROVEEDORES[[#This Row],[SUBTOTAL]]</f>
        <v>0</v>
      </c>
      <c r="R974" s="23">
        <v>-2000000</v>
      </c>
      <c r="S97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4" s="99">
        <f ca="1">IF(PROVEEDORES[[#This Row],[FECHA DE PAGO]]=0,TODAY()-PROVEEDORES[[#This Row],[FECHA DE FACTURACIÓN]]-PROVEEDORES[[#This Row],[PLAZO Días]],0)</f>
        <v>0</v>
      </c>
      <c r="U974" s="149" t="str">
        <f>+VLOOKUP(PROVEEDORES[[#This Row],[PROVEEDOR]],Terceros!$A:$E,5,FALSE)</f>
        <v>2,5% con base</v>
      </c>
      <c r="V974" s="150">
        <f>+YEAR(PROVEEDORES[[#This Row],[FECHA DE FACTURACIÓN]])</f>
        <v>2021</v>
      </c>
      <c r="W974" s="150">
        <f>+MATCH(PROVEEDORES[[#This Row],[año facturado]],Retenciones!$1:$1,0)</f>
        <v>4</v>
      </c>
      <c r="X974" s="151">
        <f>+VLOOKUP(PROVEEDORES[[#This Row],[ID RETENCION]],Retenciones!$A$1:$O$24,PROVEEDORES[[#This Row],[indicador de columna]],FALSE)</f>
        <v>980000</v>
      </c>
      <c r="Y974" s="152">
        <f>+VLOOKUP(PROVEEDORES[[#This Row],[ID RETENCION]],Retenciones!$A$1:$O$24,2,FALSE)</f>
        <v>2.5000000000000001E-2</v>
      </c>
      <c r="Z974" s="26"/>
      <c r="AA974" s="26"/>
      <c r="AB974" s="26"/>
      <c r="AC974" s="26"/>
      <c r="AD974" s="26"/>
      <c r="AE974" s="26"/>
    </row>
    <row r="975" spans="1:31" ht="21.95" customHeight="1" x14ac:dyDescent="0.25">
      <c r="A975" s="97" t="str">
        <f>+IF(PROVEEDORES[[#This Row],[FECHA DE PAGO]]=PROVEEDORES[[#This Row],[FECHA DE FACTURACIÓN]],"DE CONTADO","CRÉDITO")</f>
        <v>CRÉDITO</v>
      </c>
      <c r="B975" s="41" t="str">
        <f>+IF((PROVEEDORES[[#This Row],[FECHA DE PAGO]]-PROVEEDORES[[#This Row],[FECHA DE FACTURACIÓN]])&gt;PROVEEDORES[[#This Row],[PLAZO Días]],"PAGO VENCIDO")</f>
        <v>PAGO VENCIDO</v>
      </c>
      <c r="C975" s="22">
        <f>+VLOOKUP(PROVEEDORES[[#This Row],[PROVEEDOR]],TERCEROS_INFO[#All],2,FALSE)</f>
        <v>30</v>
      </c>
      <c r="D975" s="27">
        <f>+SUMIFS(PROVEEDORES[Total],PROVEEDORES[PROVEEDOR],PROVEEDORES[[#This Row],[PROVEEDOR]],PROVEEDORES[FECHA DE PAGO],"")</f>
        <v>0</v>
      </c>
      <c r="E975" s="27"/>
      <c r="F975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975" s="95">
        <v>44550</v>
      </c>
      <c r="H975" s="28" t="s">
        <v>1124</v>
      </c>
      <c r="I975" s="95">
        <v>44512</v>
      </c>
      <c r="J975" s="38">
        <v>24688</v>
      </c>
      <c r="K975" s="23">
        <v>897164.80000000005</v>
      </c>
      <c r="L975" s="23"/>
      <c r="M975" s="24">
        <v>170461.31200000001</v>
      </c>
      <c r="N975" s="25"/>
      <c r="O975" s="24">
        <v>0</v>
      </c>
      <c r="P975" s="136">
        <f>+IF(PROVEEDORES[[#This Row],[SUBTOTAL]]&lt;PROVEEDORES[[#This Row],[base retencion]],0,PROVEEDORES[[#This Row],[retención aplicada]])</f>
        <v>0</v>
      </c>
      <c r="Q975" s="24">
        <f>+PROVEEDORES[[#This Row],[Rete Fuente %]]*PROVEEDORES[[#This Row],[SUBTOTAL]]</f>
        <v>0</v>
      </c>
      <c r="R975" s="23">
        <v>1067626.112</v>
      </c>
      <c r="S97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5" s="99">
        <f ca="1">IF(PROVEEDORES[[#This Row],[FECHA DE PAGO]]=0,TODAY()-PROVEEDORES[[#This Row],[FECHA DE FACTURACIÓN]]-PROVEEDORES[[#This Row],[PLAZO Días]],0)</f>
        <v>0</v>
      </c>
      <c r="U975" s="149" t="str">
        <f>+VLOOKUP(PROVEEDORES[[#This Row],[PROVEEDOR]],Terceros!$A:$E,5,FALSE)</f>
        <v>2,5% con base</v>
      </c>
      <c r="V975" s="150">
        <f>+YEAR(PROVEEDORES[[#This Row],[FECHA DE FACTURACIÓN]])</f>
        <v>2021</v>
      </c>
      <c r="W975" s="150">
        <f>+MATCH(PROVEEDORES[[#This Row],[año facturado]],Retenciones!$1:$1,0)</f>
        <v>4</v>
      </c>
      <c r="X975" s="151">
        <f>+VLOOKUP(PROVEEDORES[[#This Row],[ID RETENCION]],Retenciones!$A$1:$O$24,PROVEEDORES[[#This Row],[indicador de columna]],FALSE)</f>
        <v>980000</v>
      </c>
      <c r="Y975" s="152">
        <f>+VLOOKUP(PROVEEDORES[[#This Row],[ID RETENCION]],Retenciones!$A$1:$O$24,2,FALSE)</f>
        <v>2.5000000000000001E-2</v>
      </c>
      <c r="Z975" s="26"/>
      <c r="AA975" s="26"/>
      <c r="AB975" s="26"/>
      <c r="AC975" s="26"/>
      <c r="AD975" s="26"/>
      <c r="AE975" s="26"/>
    </row>
    <row r="976" spans="1:31" ht="21.95" customHeight="1" x14ac:dyDescent="0.25">
      <c r="A976" s="97" t="str">
        <f>+IF(PROVEEDORES[[#This Row],[FECHA DE PAGO]]=PROVEEDORES[[#This Row],[FECHA DE FACTURACIÓN]],"DE CONTADO","CRÉDITO")</f>
        <v>DE CONTADO</v>
      </c>
      <c r="B976" s="41" t="b">
        <f>+IF((PROVEEDORES[[#This Row],[FECHA DE PAGO]]-PROVEEDORES[[#This Row],[FECHA DE FACTURACIÓN]])&gt;PROVEEDORES[[#This Row],[PLAZO Días]],"PAGO VENCIDO")</f>
        <v>0</v>
      </c>
      <c r="C976" s="22">
        <f>+VLOOKUP(PROVEEDORES[[#This Row],[PROVEEDOR]],TERCEROS_INFO[#All],2,FALSE)</f>
        <v>30</v>
      </c>
      <c r="D976" s="27">
        <f>+SUMIFS(PROVEEDORES[Total],PROVEEDORES[PROVEEDOR],PROVEEDORES[[#This Row],[PROVEEDOR]],PROVEEDORES[FECHA DE PAGO],"")</f>
        <v>0</v>
      </c>
      <c r="E976" s="27"/>
      <c r="F976" s="62" t="str">
        <f>+VLOOKUP(PROVEEDORES[[#This Row],[PROVEEDOR]],
                       Terceros!$A:$G,
                       6,
                       FALSE)</f>
        <v/>
      </c>
      <c r="G976" s="95">
        <v>44512</v>
      </c>
      <c r="H976" s="28" t="s">
        <v>1046</v>
      </c>
      <c r="I976" s="95">
        <v>44512</v>
      </c>
      <c r="J976" s="38"/>
      <c r="K976" s="23">
        <v>1000000</v>
      </c>
      <c r="L976" s="23"/>
      <c r="M976" s="24">
        <v>0</v>
      </c>
      <c r="N976" s="25"/>
      <c r="O976" s="24">
        <v>0</v>
      </c>
      <c r="P976" s="136">
        <f>+IF(PROVEEDORES[[#This Row],[SUBTOTAL]]&lt;PROVEEDORES[[#This Row],[base retencion]],0,PROVEEDORES[[#This Row],[retención aplicada]])</f>
        <v>0</v>
      </c>
      <c r="Q976" s="24">
        <f>+PROVEEDORES[[#This Row],[Rete Fuente %]]*PROVEEDORES[[#This Row],[SUBTOTAL]]</f>
        <v>0</v>
      </c>
      <c r="R976" s="23">
        <v>1000000</v>
      </c>
      <c r="S97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6" s="99">
        <f ca="1">IF(PROVEEDORES[[#This Row],[FECHA DE PAGO]]=0,TODAY()-PROVEEDORES[[#This Row],[FECHA DE FACTURACIÓN]]-PROVEEDORES[[#This Row],[PLAZO Días]],0)</f>
        <v>0</v>
      </c>
      <c r="U976" s="149">
        <f>+VLOOKUP(PROVEEDORES[[#This Row],[PROVEEDOR]],Terceros!$A:$E,5,FALSE)</f>
        <v>0</v>
      </c>
      <c r="V976" s="150">
        <f>+YEAR(PROVEEDORES[[#This Row],[FECHA DE FACTURACIÓN]])</f>
        <v>2021</v>
      </c>
      <c r="W976" s="150">
        <f>+MATCH(PROVEEDORES[[#This Row],[año facturado]],Retenciones!$1:$1,0)</f>
        <v>4</v>
      </c>
      <c r="X976" s="151">
        <f>+VLOOKUP(PROVEEDORES[[#This Row],[ID RETENCION]],Retenciones!$A$1:$O$24,PROVEEDORES[[#This Row],[indicador de columna]],FALSE)</f>
        <v>0</v>
      </c>
      <c r="Y976" s="152">
        <f>+VLOOKUP(PROVEEDORES[[#This Row],[ID RETENCION]],Retenciones!$A$1:$O$24,2,FALSE)</f>
        <v>0</v>
      </c>
      <c r="Z976" s="26"/>
      <c r="AA976" s="26"/>
      <c r="AB976" s="26"/>
      <c r="AC976" s="26"/>
      <c r="AD976" s="26"/>
      <c r="AE976" s="26"/>
    </row>
    <row r="977" spans="1:31" ht="21.95" customHeight="1" x14ac:dyDescent="0.25">
      <c r="A977" s="97" t="str">
        <f>+IF(PROVEEDORES[[#This Row],[FECHA DE PAGO]]=PROVEEDORES[[#This Row],[FECHA DE FACTURACIÓN]],"DE CONTADO","CRÉDITO")</f>
        <v>DE CONTADO</v>
      </c>
      <c r="B977" s="41" t="b">
        <f>+IF((PROVEEDORES[[#This Row],[FECHA DE PAGO]]-PROVEEDORES[[#This Row],[FECHA DE FACTURACIÓN]])&gt;PROVEEDORES[[#This Row],[PLAZO Días]],"PAGO VENCIDO")</f>
        <v>0</v>
      </c>
      <c r="C977" s="22">
        <f>+VLOOKUP(PROVEEDORES[[#This Row],[PROVEEDOR]],TERCEROS_INFO[#All],2,FALSE)</f>
        <v>30</v>
      </c>
      <c r="D977" s="27">
        <f>+SUMIFS(PROVEEDORES[Total],PROVEEDORES[PROVEEDOR],PROVEEDORES[[#This Row],[PROVEEDOR]],PROVEEDORES[FECHA DE PAGO],"")</f>
        <v>0</v>
      </c>
      <c r="E977" s="27"/>
      <c r="F977" s="62">
        <f>+VLOOKUP(PROVEEDORES[[#This Row],[PROVEEDOR]],
                       Terceros!$A:$G,
                       6,
                       FALSE)</f>
        <v>0</v>
      </c>
      <c r="G977" s="95">
        <v>44512</v>
      </c>
      <c r="H977" s="28" t="s">
        <v>613</v>
      </c>
      <c r="I977" s="95">
        <v>44512</v>
      </c>
      <c r="J977" s="38">
        <v>65</v>
      </c>
      <c r="K977" s="23">
        <v>1976320</v>
      </c>
      <c r="L977" s="23"/>
      <c r="M977" s="24">
        <v>375500.79999999999</v>
      </c>
      <c r="N977" s="25"/>
      <c r="O977" s="24">
        <v>0</v>
      </c>
      <c r="P977" s="136">
        <f>+IF(PROVEEDORES[[#This Row],[SUBTOTAL]]&lt;PROVEEDORES[[#This Row],[base retencion]],0,PROVEEDORES[[#This Row],[retención aplicada]])</f>
        <v>2.5000000000000001E-2</v>
      </c>
      <c r="Q977" s="24">
        <f>+PROVEEDORES[[#This Row],[Rete Fuente %]]*PROVEEDORES[[#This Row],[SUBTOTAL]]</f>
        <v>49408</v>
      </c>
      <c r="R977" s="23">
        <v>2302412.7999999998</v>
      </c>
      <c r="S97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7" s="99">
        <f ca="1">IF(PROVEEDORES[[#This Row],[FECHA DE PAGO]]=0,TODAY()-PROVEEDORES[[#This Row],[FECHA DE FACTURACIÓN]]-PROVEEDORES[[#This Row],[PLAZO Días]],0)</f>
        <v>0</v>
      </c>
      <c r="U977" s="149" t="str">
        <f>+VLOOKUP(PROVEEDORES[[#This Row],[PROVEEDOR]],Terceros!$A:$E,5,FALSE)</f>
        <v>2,5% con base</v>
      </c>
      <c r="V977" s="150">
        <f>+YEAR(PROVEEDORES[[#This Row],[FECHA DE FACTURACIÓN]])</f>
        <v>2021</v>
      </c>
      <c r="W977" s="150">
        <f>+MATCH(PROVEEDORES[[#This Row],[año facturado]],Retenciones!$1:$1,0)</f>
        <v>4</v>
      </c>
      <c r="X977" s="151">
        <f>+VLOOKUP(PROVEEDORES[[#This Row],[ID RETENCION]],Retenciones!$A$1:$O$24,PROVEEDORES[[#This Row],[indicador de columna]],FALSE)</f>
        <v>980000</v>
      </c>
      <c r="Y977" s="152">
        <f>+VLOOKUP(PROVEEDORES[[#This Row],[ID RETENCION]],Retenciones!$A$1:$O$24,2,FALSE)</f>
        <v>2.5000000000000001E-2</v>
      </c>
      <c r="Z977" s="26"/>
      <c r="AA977" s="26"/>
      <c r="AB977" s="26"/>
      <c r="AC977" s="26"/>
      <c r="AD977" s="26"/>
      <c r="AE977" s="26"/>
    </row>
    <row r="978" spans="1:31" ht="21.95" customHeight="1" x14ac:dyDescent="0.25">
      <c r="A978" s="97" t="str">
        <f>+IF(PROVEEDORES[[#This Row],[FECHA DE PAGO]]=PROVEEDORES[[#This Row],[FECHA DE FACTURACIÓN]],"DE CONTADO","CRÉDITO")</f>
        <v>CRÉDITO</v>
      </c>
      <c r="B978" s="41" t="str">
        <f>+IF((PROVEEDORES[[#This Row],[FECHA DE PAGO]]-PROVEEDORES[[#This Row],[FECHA DE FACTURACIÓN]])&gt;PROVEEDORES[[#This Row],[PLAZO Días]],"PAGO VENCIDO")</f>
        <v>PAGO VENCIDO</v>
      </c>
      <c r="C978" s="22">
        <f>+VLOOKUP(PROVEEDORES[[#This Row],[PROVEEDOR]],TERCEROS_INFO[#All],2,FALSE)</f>
        <v>30</v>
      </c>
      <c r="D978" s="27">
        <f>+SUMIFS(PROVEEDORES[Total],PROVEEDORES[PROVEEDOR],PROVEEDORES[[#This Row],[PROVEEDOR]],PROVEEDORES[FECHA DE PAGO],"")</f>
        <v>0</v>
      </c>
      <c r="E978" s="27"/>
      <c r="F978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978" s="95">
        <v>44552</v>
      </c>
      <c r="H978" s="28" t="s">
        <v>24</v>
      </c>
      <c r="I978" s="95">
        <v>44512</v>
      </c>
      <c r="J978" s="38" t="s">
        <v>602</v>
      </c>
      <c r="K978" s="23">
        <v>4635150</v>
      </c>
      <c r="L978" s="23"/>
      <c r="M978" s="24">
        <v>880678.5</v>
      </c>
      <c r="N978" s="25"/>
      <c r="O978" s="24">
        <v>0</v>
      </c>
      <c r="P978" s="136">
        <f>+IF(PROVEEDORES[[#This Row],[SUBTOTAL]]&lt;PROVEEDORES[[#This Row],[base retencion]],0,PROVEEDORES[[#This Row],[retención aplicada]])</f>
        <v>2.5000000000000001E-2</v>
      </c>
      <c r="Q978" s="24">
        <f>+PROVEEDORES[[#This Row],[Rete Fuente %]]*PROVEEDORES[[#This Row],[SUBTOTAL]]</f>
        <v>115878.75</v>
      </c>
      <c r="R978" s="23">
        <v>5399949.75</v>
      </c>
      <c r="S97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8" s="99">
        <f ca="1">IF(PROVEEDORES[[#This Row],[FECHA DE PAGO]]=0,TODAY()-PROVEEDORES[[#This Row],[FECHA DE FACTURACIÓN]]-PROVEEDORES[[#This Row],[PLAZO Días]],0)</f>
        <v>0</v>
      </c>
      <c r="U978" s="149" t="str">
        <f>+VLOOKUP(PROVEEDORES[[#This Row],[PROVEEDOR]],Terceros!$A:$E,5,FALSE)</f>
        <v>2,5% con base</v>
      </c>
      <c r="V978" s="150">
        <f>+YEAR(PROVEEDORES[[#This Row],[FECHA DE FACTURACIÓN]])</f>
        <v>2021</v>
      </c>
      <c r="W978" s="150">
        <f>+MATCH(PROVEEDORES[[#This Row],[año facturado]],Retenciones!$1:$1,0)</f>
        <v>4</v>
      </c>
      <c r="X978" s="151">
        <f>+VLOOKUP(PROVEEDORES[[#This Row],[ID RETENCION]],Retenciones!$A$1:$O$24,PROVEEDORES[[#This Row],[indicador de columna]],FALSE)</f>
        <v>980000</v>
      </c>
      <c r="Y978" s="152">
        <f>+VLOOKUP(PROVEEDORES[[#This Row],[ID RETENCION]],Retenciones!$A$1:$O$24,2,FALSE)</f>
        <v>2.5000000000000001E-2</v>
      </c>
      <c r="Z978" s="26"/>
      <c r="AA978" s="26"/>
      <c r="AB978" s="26"/>
      <c r="AC978" s="26"/>
      <c r="AD978" s="26"/>
      <c r="AE978" s="26"/>
    </row>
    <row r="979" spans="1:31" ht="21.95" customHeight="1" x14ac:dyDescent="0.25">
      <c r="A979" s="97" t="str">
        <f>+IF(PROVEEDORES[[#This Row],[FECHA DE PAGO]]=PROVEEDORES[[#This Row],[FECHA DE FACTURACIÓN]],"DE CONTADO","CRÉDITO")</f>
        <v>CRÉDITO</v>
      </c>
      <c r="B979" s="41" t="str">
        <f>+IF((PROVEEDORES[[#This Row],[FECHA DE PAGO]]-PROVEEDORES[[#This Row],[FECHA DE FACTURACIÓN]])&gt;PROVEEDORES[[#This Row],[PLAZO Días]],"PAGO VENCIDO")</f>
        <v>PAGO VENCIDO</v>
      </c>
      <c r="C979" s="22">
        <f>+VLOOKUP(PROVEEDORES[[#This Row],[PROVEEDOR]],TERCEROS_INFO[#All],2,FALSE)</f>
        <v>30</v>
      </c>
      <c r="D979" s="27">
        <f>+SUMIFS(PROVEEDORES[Total],PROVEEDORES[PROVEEDOR],PROVEEDORES[[#This Row],[PROVEEDOR]],PROVEEDORES[FECHA DE PAGO],"")</f>
        <v>1741040.075</v>
      </c>
      <c r="E979" s="27"/>
      <c r="F979" s="62" t="str">
        <f>+VLOOKUP(PROVEEDORES[[#This Row],[PROVEEDOR]],
                       Terceros!$A:$G,
                       6,
                       FALSE)</f>
        <v>sfonnegra@nanicastation.com.co;facturas@nanicastation.com.co;girlesa.ruiz@servipilas.com;joriescobar64@gmail.com</v>
      </c>
      <c r="G979" s="95">
        <v>44552</v>
      </c>
      <c r="H979" s="28" t="s">
        <v>567</v>
      </c>
      <c r="I979" s="95">
        <v>44513</v>
      </c>
      <c r="J979" s="38" t="s">
        <v>617</v>
      </c>
      <c r="K979" s="23">
        <v>968910</v>
      </c>
      <c r="L979" s="23"/>
      <c r="M979" s="24">
        <v>184092.9</v>
      </c>
      <c r="N979" s="25"/>
      <c r="O979" s="24">
        <v>0</v>
      </c>
      <c r="P979" s="136">
        <f>+IF(PROVEEDORES[[#This Row],[SUBTOTAL]]&lt;PROVEEDORES[[#This Row],[base retencion]],0,PROVEEDORES[[#This Row],[retención aplicada]])</f>
        <v>0</v>
      </c>
      <c r="Q979" s="24">
        <f>+PROVEEDORES[[#This Row],[Rete Fuente %]]*PROVEEDORES[[#This Row],[SUBTOTAL]]</f>
        <v>0</v>
      </c>
      <c r="R979" s="23">
        <v>1153002.8999999999</v>
      </c>
      <c r="S97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9" s="99">
        <f ca="1">IF(PROVEEDORES[[#This Row],[FECHA DE PAGO]]=0,TODAY()-PROVEEDORES[[#This Row],[FECHA DE FACTURACIÓN]]-PROVEEDORES[[#This Row],[PLAZO Días]],0)</f>
        <v>0</v>
      </c>
      <c r="U979" s="149" t="str">
        <f>+VLOOKUP(PROVEEDORES[[#This Row],[PROVEEDOR]],Terceros!$A:$E,5,FALSE)</f>
        <v>2,5% con base</v>
      </c>
      <c r="V979" s="150">
        <f>+YEAR(PROVEEDORES[[#This Row],[FECHA DE FACTURACIÓN]])</f>
        <v>2021</v>
      </c>
      <c r="W979" s="150">
        <f>+MATCH(PROVEEDORES[[#This Row],[año facturado]],Retenciones!$1:$1,0)</f>
        <v>4</v>
      </c>
      <c r="X979" s="151">
        <f>+VLOOKUP(PROVEEDORES[[#This Row],[ID RETENCION]],Retenciones!$A$1:$O$24,PROVEEDORES[[#This Row],[indicador de columna]],FALSE)</f>
        <v>980000</v>
      </c>
      <c r="Y979" s="152">
        <f>+VLOOKUP(PROVEEDORES[[#This Row],[ID RETENCION]],Retenciones!$A$1:$O$24,2,FALSE)</f>
        <v>2.5000000000000001E-2</v>
      </c>
      <c r="Z979" s="26"/>
      <c r="AA979" s="26"/>
      <c r="AB979" s="26"/>
      <c r="AC979" s="26"/>
      <c r="AD979" s="26"/>
      <c r="AE979" s="26"/>
    </row>
    <row r="980" spans="1:31" ht="21.95" customHeight="1" x14ac:dyDescent="0.25">
      <c r="A980" s="97" t="str">
        <f>+IF(PROVEEDORES[[#This Row],[FECHA DE PAGO]]=PROVEEDORES[[#This Row],[FECHA DE FACTURACIÓN]],"DE CONTADO","CRÉDITO")</f>
        <v>DE CONTADO</v>
      </c>
      <c r="B980" s="41" t="b">
        <f>+IF((PROVEEDORES[[#This Row],[FECHA DE PAGO]]-PROVEEDORES[[#This Row],[FECHA DE FACTURACIÓN]])&gt;PROVEEDORES[[#This Row],[PLAZO Días]],"PAGO VENCIDO")</f>
        <v>0</v>
      </c>
      <c r="C980" s="22">
        <f>+VLOOKUP(PROVEEDORES[[#This Row],[PROVEEDOR]],TERCEROS_INFO[#All],2,FALSE)</f>
        <v>30</v>
      </c>
      <c r="D980" s="27">
        <f>+SUMIFS(PROVEEDORES[Total],PROVEEDORES[PROVEEDOR],PROVEEDORES[[#This Row],[PROVEEDOR]],PROVEEDORES[FECHA DE PAGO],"")</f>
        <v>0</v>
      </c>
      <c r="E980" s="27"/>
      <c r="F980" s="62" t="str">
        <f>+VLOOKUP(PROVEEDORES[[#This Row],[PROVEEDOR]],
                       Terceros!$A:$G,
                       6,
                       FALSE)</f>
        <v/>
      </c>
      <c r="G980" s="95">
        <v>44513</v>
      </c>
      <c r="H980" s="28" t="s">
        <v>997</v>
      </c>
      <c r="I980" s="95">
        <v>44513</v>
      </c>
      <c r="J980" s="38" t="s">
        <v>614</v>
      </c>
      <c r="K980" s="23">
        <v>990000</v>
      </c>
      <c r="L980" s="23"/>
      <c r="M980" s="24">
        <v>0</v>
      </c>
      <c r="N980" s="25"/>
      <c r="O980" s="24">
        <v>0</v>
      </c>
      <c r="P980" s="136">
        <f>+IF(PROVEEDORES[[#This Row],[SUBTOTAL]]&lt;PROVEEDORES[[#This Row],[base retencion]],0,PROVEEDORES[[#This Row],[retención aplicada]])</f>
        <v>0</v>
      </c>
      <c r="Q980" s="24">
        <f>+PROVEEDORES[[#This Row],[Rete Fuente %]]*PROVEEDORES[[#This Row],[SUBTOTAL]]</f>
        <v>0</v>
      </c>
      <c r="R980" s="23">
        <v>990000</v>
      </c>
      <c r="S98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0" s="99">
        <f ca="1">IF(PROVEEDORES[[#This Row],[FECHA DE PAGO]]=0,TODAY()-PROVEEDORES[[#This Row],[FECHA DE FACTURACIÓN]]-PROVEEDORES[[#This Row],[PLAZO Días]],0)</f>
        <v>0</v>
      </c>
      <c r="U980" s="149">
        <f>+VLOOKUP(PROVEEDORES[[#This Row],[PROVEEDOR]],Terceros!$A:$E,5,FALSE)</f>
        <v>0</v>
      </c>
      <c r="V980" s="150">
        <f>+YEAR(PROVEEDORES[[#This Row],[FECHA DE FACTURACIÓN]])</f>
        <v>2021</v>
      </c>
      <c r="W980" s="150">
        <f>+MATCH(PROVEEDORES[[#This Row],[año facturado]],Retenciones!$1:$1,0)</f>
        <v>4</v>
      </c>
      <c r="X980" s="151">
        <f>+VLOOKUP(PROVEEDORES[[#This Row],[ID RETENCION]],Retenciones!$A$1:$O$24,PROVEEDORES[[#This Row],[indicador de columna]],FALSE)</f>
        <v>0</v>
      </c>
      <c r="Y980" s="152">
        <f>+VLOOKUP(PROVEEDORES[[#This Row],[ID RETENCION]],Retenciones!$A$1:$O$24,2,FALSE)</f>
        <v>0</v>
      </c>
      <c r="Z980" s="26"/>
      <c r="AA980" s="26"/>
      <c r="AB980" s="26"/>
      <c r="AC980" s="26"/>
      <c r="AD980" s="26"/>
      <c r="AE980" s="26"/>
    </row>
    <row r="981" spans="1:31" ht="21.95" customHeight="1" x14ac:dyDescent="0.25">
      <c r="A981" s="97" t="str">
        <f>+IF(PROVEEDORES[[#This Row],[FECHA DE PAGO]]=PROVEEDORES[[#This Row],[FECHA DE FACTURACIÓN]],"DE CONTADO","CRÉDITO")</f>
        <v>CRÉDITO</v>
      </c>
      <c r="B981" s="41" t="str">
        <f>+IF((PROVEEDORES[[#This Row],[FECHA DE PAGO]]-PROVEEDORES[[#This Row],[FECHA DE FACTURACIÓN]])&gt;PROVEEDORES[[#This Row],[PLAZO Días]],"PAGO VENCIDO")</f>
        <v>PAGO VENCIDO</v>
      </c>
      <c r="C981" s="22">
        <f>+VLOOKUP(PROVEEDORES[[#This Row],[PROVEEDOR]],TERCEROS_INFO[#All],2,FALSE)</f>
        <v>30</v>
      </c>
      <c r="D981" s="27">
        <f>+SUMIFS(PROVEEDORES[Total],PROVEEDORES[PROVEEDOR],PROVEEDORES[[#This Row],[PROVEEDOR]],PROVEEDORES[FECHA DE PAGO],"")</f>
        <v>0</v>
      </c>
      <c r="E981" s="27"/>
      <c r="F981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981" s="95">
        <v>44550</v>
      </c>
      <c r="H981" s="28" t="s">
        <v>1124</v>
      </c>
      <c r="I981" s="95">
        <v>44513</v>
      </c>
      <c r="J981" s="38">
        <v>24746</v>
      </c>
      <c r="K981" s="23">
        <v>1294560</v>
      </c>
      <c r="L981" s="23"/>
      <c r="M981" s="24">
        <v>245966.4</v>
      </c>
      <c r="N981" s="25"/>
      <c r="O981" s="24">
        <v>0</v>
      </c>
      <c r="P981" s="136">
        <f>+IF(PROVEEDORES[[#This Row],[SUBTOTAL]]&lt;PROVEEDORES[[#This Row],[base retencion]],0,PROVEEDORES[[#This Row],[retención aplicada]])</f>
        <v>2.5000000000000001E-2</v>
      </c>
      <c r="Q981" s="24">
        <f>+PROVEEDORES[[#This Row],[Rete Fuente %]]*PROVEEDORES[[#This Row],[SUBTOTAL]]</f>
        <v>32364</v>
      </c>
      <c r="R981" s="23">
        <v>1508162.4</v>
      </c>
      <c r="S98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1" s="99">
        <f ca="1">IF(PROVEEDORES[[#This Row],[FECHA DE PAGO]]=0,TODAY()-PROVEEDORES[[#This Row],[FECHA DE FACTURACIÓN]]-PROVEEDORES[[#This Row],[PLAZO Días]],0)</f>
        <v>0</v>
      </c>
      <c r="U981" s="149" t="str">
        <f>+VLOOKUP(PROVEEDORES[[#This Row],[PROVEEDOR]],Terceros!$A:$E,5,FALSE)</f>
        <v>2,5% con base</v>
      </c>
      <c r="V981" s="150">
        <f>+YEAR(PROVEEDORES[[#This Row],[FECHA DE FACTURACIÓN]])</f>
        <v>2021</v>
      </c>
      <c r="W981" s="150">
        <f>+MATCH(PROVEEDORES[[#This Row],[año facturado]],Retenciones!$1:$1,0)</f>
        <v>4</v>
      </c>
      <c r="X981" s="151">
        <f>+VLOOKUP(PROVEEDORES[[#This Row],[ID RETENCION]],Retenciones!$A$1:$O$24,PROVEEDORES[[#This Row],[indicador de columna]],FALSE)</f>
        <v>980000</v>
      </c>
      <c r="Y981" s="152">
        <f>+VLOOKUP(PROVEEDORES[[#This Row],[ID RETENCION]],Retenciones!$A$1:$O$24,2,FALSE)</f>
        <v>2.5000000000000001E-2</v>
      </c>
      <c r="Z981" s="26"/>
      <c r="AA981" s="26"/>
      <c r="AB981" s="26"/>
      <c r="AC981" s="26"/>
      <c r="AD981" s="26"/>
      <c r="AE981" s="26"/>
    </row>
    <row r="982" spans="1:31" ht="21.95" customHeight="1" x14ac:dyDescent="0.25">
      <c r="A982" s="97" t="str">
        <f>+IF(PROVEEDORES[[#This Row],[FECHA DE PAGO]]=PROVEEDORES[[#This Row],[FECHA DE FACTURACIÓN]],"DE CONTADO","CRÉDITO")</f>
        <v>CRÉDITO</v>
      </c>
      <c r="B982" s="41" t="str">
        <f>+IF((PROVEEDORES[[#This Row],[FECHA DE PAGO]]-PROVEEDORES[[#This Row],[FECHA DE FACTURACIÓN]])&gt;PROVEEDORES[[#This Row],[PLAZO Días]],"PAGO VENCIDO")</f>
        <v>PAGO VENCIDO</v>
      </c>
      <c r="C982" s="22">
        <f>+VLOOKUP(PROVEEDORES[[#This Row],[PROVEEDOR]],TERCEROS_INFO[#All],2,FALSE)</f>
        <v>30</v>
      </c>
      <c r="D982" s="27">
        <f>+SUMIFS(PROVEEDORES[Total],PROVEEDORES[PROVEEDOR],PROVEEDORES[[#This Row],[PROVEEDOR]],PROVEEDORES[FECHA DE PAGO],"")</f>
        <v>3320000</v>
      </c>
      <c r="E982" s="27"/>
      <c r="F982" s="62" t="str">
        <f>+VLOOKUP(PROVEEDORES[[#This Row],[PROVEEDOR]],
                       Terceros!$A:$G,
                       6,
                       FALSE)</f>
        <v>Pygimportadora@gmail.com;girlesa.ruiz@servipilas.com;joriescobar64@gmail.com</v>
      </c>
      <c r="G982" s="95">
        <v>44560</v>
      </c>
      <c r="H982" s="28" t="s">
        <v>1062</v>
      </c>
      <c r="I982" s="95">
        <v>44513</v>
      </c>
      <c r="J982" s="38" t="s">
        <v>621</v>
      </c>
      <c r="K982" s="23">
        <v>3024000</v>
      </c>
      <c r="L982" s="23"/>
      <c r="M982" s="24">
        <v>0</v>
      </c>
      <c r="N982" s="25"/>
      <c r="O982" s="24">
        <v>0</v>
      </c>
      <c r="P982" s="136">
        <f>+IF(PROVEEDORES[[#This Row],[SUBTOTAL]]&lt;PROVEEDORES[[#This Row],[base retencion]],0,PROVEEDORES[[#This Row],[retención aplicada]])</f>
        <v>0</v>
      </c>
      <c r="Q982" s="24">
        <f>+PROVEEDORES[[#This Row],[Rete Fuente %]]*PROVEEDORES[[#This Row],[SUBTOTAL]]</f>
        <v>0</v>
      </c>
      <c r="R982" s="23">
        <v>3024000</v>
      </c>
      <c r="S98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2" s="99">
        <f ca="1">IF(PROVEEDORES[[#This Row],[FECHA DE PAGO]]=0,TODAY()-PROVEEDORES[[#This Row],[FECHA DE FACTURACIÓN]]-PROVEEDORES[[#This Row],[PLAZO Días]],0)</f>
        <v>0</v>
      </c>
      <c r="U982" s="149">
        <f>+VLOOKUP(PROVEEDORES[[#This Row],[PROVEEDOR]],Terceros!$A:$E,5,FALSE)</f>
        <v>0</v>
      </c>
      <c r="V982" s="150">
        <f>+YEAR(PROVEEDORES[[#This Row],[FECHA DE FACTURACIÓN]])</f>
        <v>2021</v>
      </c>
      <c r="W982" s="150">
        <f>+MATCH(PROVEEDORES[[#This Row],[año facturado]],Retenciones!$1:$1,0)</f>
        <v>4</v>
      </c>
      <c r="X982" s="151">
        <f>+VLOOKUP(PROVEEDORES[[#This Row],[ID RETENCION]],Retenciones!$A$1:$O$24,PROVEEDORES[[#This Row],[indicador de columna]],FALSE)</f>
        <v>0</v>
      </c>
      <c r="Y982" s="152">
        <f>+VLOOKUP(PROVEEDORES[[#This Row],[ID RETENCION]],Retenciones!$A$1:$O$24,2,FALSE)</f>
        <v>0</v>
      </c>
      <c r="Z982" s="26"/>
      <c r="AA982" s="26"/>
      <c r="AB982" s="26"/>
      <c r="AC982" s="26"/>
      <c r="AD982" s="26"/>
      <c r="AE982" s="26"/>
    </row>
    <row r="983" spans="1:31" ht="21.95" customHeight="1" x14ac:dyDescent="0.25">
      <c r="A983" s="97" t="str">
        <f>+IF(PROVEEDORES[[#This Row],[FECHA DE PAGO]]=PROVEEDORES[[#This Row],[FECHA DE FACTURACIÓN]],"DE CONTADO","CRÉDITO")</f>
        <v>CRÉDITO</v>
      </c>
      <c r="B983" s="41" t="str">
        <f>+IF((PROVEEDORES[[#This Row],[FECHA DE PAGO]]-PROVEEDORES[[#This Row],[FECHA DE FACTURACIÓN]])&gt;PROVEEDORES[[#This Row],[PLAZO Días]],"PAGO VENCIDO")</f>
        <v>PAGO VENCIDO</v>
      </c>
      <c r="C983" s="22">
        <f>+VLOOKUP(PROVEEDORES[[#This Row],[PROVEEDOR]],TERCEROS_INFO[#All],2,FALSE)</f>
        <v>30</v>
      </c>
      <c r="D983" s="27">
        <f>+SUMIFS(PROVEEDORES[Total],PROVEEDORES[PROVEEDOR],PROVEEDORES[[#This Row],[PROVEEDOR]],PROVEEDORES[FECHA DE PAGO],"")</f>
        <v>3320000</v>
      </c>
      <c r="E983" s="27"/>
      <c r="F983" s="62" t="str">
        <f>+VLOOKUP(PROVEEDORES[[#This Row],[PROVEEDOR]],
                       Terceros!$A:$G,
                       6,
                       FALSE)</f>
        <v>Pygimportadora@gmail.com;girlesa.ruiz@servipilas.com;joriescobar64@gmail.com</v>
      </c>
      <c r="G983" s="95">
        <v>44560</v>
      </c>
      <c r="H983" s="28" t="s">
        <v>1062</v>
      </c>
      <c r="I983" s="95">
        <v>44515</v>
      </c>
      <c r="J983" s="38" t="s">
        <v>29</v>
      </c>
      <c r="K983" s="23">
        <v>2000000</v>
      </c>
      <c r="L983" s="23"/>
      <c r="M983" s="24">
        <v>0</v>
      </c>
      <c r="N983" s="25"/>
      <c r="O983" s="24">
        <v>0</v>
      </c>
      <c r="P983" s="136">
        <f>+IF(PROVEEDORES[[#This Row],[SUBTOTAL]]&lt;PROVEEDORES[[#This Row],[base retencion]],0,PROVEEDORES[[#This Row],[retención aplicada]])</f>
        <v>0</v>
      </c>
      <c r="Q983" s="24">
        <f>+PROVEEDORES[[#This Row],[Rete Fuente %]]*PROVEEDORES[[#This Row],[SUBTOTAL]]</f>
        <v>0</v>
      </c>
      <c r="R983" s="23">
        <v>2000000</v>
      </c>
      <c r="S98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3" s="99">
        <f ca="1">IF(PROVEEDORES[[#This Row],[FECHA DE PAGO]]=0,TODAY()-PROVEEDORES[[#This Row],[FECHA DE FACTURACIÓN]]-PROVEEDORES[[#This Row],[PLAZO Días]],0)</f>
        <v>0</v>
      </c>
      <c r="U983" s="149">
        <f>+VLOOKUP(PROVEEDORES[[#This Row],[PROVEEDOR]],Terceros!$A:$E,5,FALSE)</f>
        <v>0</v>
      </c>
      <c r="V983" s="150">
        <f>+YEAR(PROVEEDORES[[#This Row],[FECHA DE FACTURACIÓN]])</f>
        <v>2021</v>
      </c>
      <c r="W983" s="150">
        <f>+MATCH(PROVEEDORES[[#This Row],[año facturado]],Retenciones!$1:$1,0)</f>
        <v>4</v>
      </c>
      <c r="X983" s="151">
        <f>+VLOOKUP(PROVEEDORES[[#This Row],[ID RETENCION]],Retenciones!$A$1:$O$24,PROVEEDORES[[#This Row],[indicador de columna]],FALSE)</f>
        <v>0</v>
      </c>
      <c r="Y983" s="152">
        <f>+VLOOKUP(PROVEEDORES[[#This Row],[ID RETENCION]],Retenciones!$A$1:$O$24,2,FALSE)</f>
        <v>0</v>
      </c>
      <c r="Z983" s="26"/>
      <c r="AA983" s="26"/>
      <c r="AB983" s="26"/>
      <c r="AC983" s="26"/>
      <c r="AD983" s="26"/>
      <c r="AE983" s="26"/>
    </row>
    <row r="984" spans="1:31" ht="21.95" customHeight="1" x14ac:dyDescent="0.25">
      <c r="A984" s="97" t="str">
        <f>+IF(PROVEEDORES[[#This Row],[FECHA DE PAGO]]=PROVEEDORES[[#This Row],[FECHA DE FACTURACIÓN]],"DE CONTADO","CRÉDITO")</f>
        <v>CRÉDITO</v>
      </c>
      <c r="B984" s="41" t="b">
        <f>+IF((PROVEEDORES[[#This Row],[FECHA DE PAGO]]-PROVEEDORES[[#This Row],[FECHA DE FACTURACIÓN]])&gt;PROVEEDORES[[#This Row],[PLAZO Días]],"PAGO VENCIDO")</f>
        <v>0</v>
      </c>
      <c r="C984" s="22">
        <f>+VLOOKUP(PROVEEDORES[[#This Row],[PROVEEDOR]],TERCEROS_INFO[#All],2,FALSE)</f>
        <v>30</v>
      </c>
      <c r="D984" s="27">
        <f>+SUMIFS(PROVEEDORES[Total],PROVEEDORES[PROVEEDOR],PROVEEDORES[[#This Row],[PROVEEDOR]],PROVEEDORES[FECHA DE PAGO],"")</f>
        <v>0</v>
      </c>
      <c r="E984" s="27"/>
      <c r="F984" s="62" t="str">
        <f>+VLOOKUP(PROVEEDORES[[#This Row],[PROVEEDOR]],
                       Terceros!$A:$G,
                       6,
                       FALSE)</f>
        <v>cxc11@unitecusa.com.co;jefecartera@unitecusa.com.co;girlesa.ruiz@servipilas.com;joriescobar64@gmail.com</v>
      </c>
      <c r="G984" s="95">
        <v>44533</v>
      </c>
      <c r="H984" s="28" t="s">
        <v>14</v>
      </c>
      <c r="I984" s="95">
        <v>44516</v>
      </c>
      <c r="J984" s="38" t="s">
        <v>611</v>
      </c>
      <c r="K984" s="23">
        <v>160672</v>
      </c>
      <c r="L984" s="23"/>
      <c r="M984" s="24">
        <v>30527.68</v>
      </c>
      <c r="N984" s="25"/>
      <c r="O984" s="24">
        <v>0</v>
      </c>
      <c r="P984" s="136">
        <f>+IF(PROVEEDORES[[#This Row],[SUBTOTAL]]&lt;PROVEEDORES[[#This Row],[base retencion]],0,PROVEEDORES[[#This Row],[retención aplicada]])</f>
        <v>0</v>
      </c>
      <c r="Q984" s="24">
        <f>+PROVEEDORES[[#This Row],[Rete Fuente %]]*PROVEEDORES[[#This Row],[SUBTOTAL]]</f>
        <v>0</v>
      </c>
      <c r="R984" s="23">
        <v>191199.68</v>
      </c>
      <c r="S98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4" s="99">
        <f ca="1">IF(PROVEEDORES[[#This Row],[FECHA DE PAGO]]=0,TODAY()-PROVEEDORES[[#This Row],[FECHA DE FACTURACIÓN]]-PROVEEDORES[[#This Row],[PLAZO Días]],0)</f>
        <v>0</v>
      </c>
      <c r="U984" s="149" t="str">
        <f>+VLOOKUP(PROVEEDORES[[#This Row],[PROVEEDOR]],Terceros!$A:$E,5,FALSE)</f>
        <v>2,5% con base</v>
      </c>
      <c r="V984" s="150">
        <f>+YEAR(PROVEEDORES[[#This Row],[FECHA DE FACTURACIÓN]])</f>
        <v>2021</v>
      </c>
      <c r="W984" s="150">
        <f>+MATCH(PROVEEDORES[[#This Row],[año facturado]],Retenciones!$1:$1,0)</f>
        <v>4</v>
      </c>
      <c r="X984" s="151">
        <f>+VLOOKUP(PROVEEDORES[[#This Row],[ID RETENCION]],Retenciones!$A$1:$O$24,PROVEEDORES[[#This Row],[indicador de columna]],FALSE)</f>
        <v>980000</v>
      </c>
      <c r="Y984" s="152">
        <f>+VLOOKUP(PROVEEDORES[[#This Row],[ID RETENCION]],Retenciones!$A$1:$O$24,2,FALSE)</f>
        <v>2.5000000000000001E-2</v>
      </c>
      <c r="Z984" s="26"/>
      <c r="AA984" s="26"/>
      <c r="AB984" s="26"/>
      <c r="AC984" s="26"/>
      <c r="AD984" s="26"/>
      <c r="AE984" s="26"/>
    </row>
    <row r="985" spans="1:31" ht="21.95" customHeight="1" x14ac:dyDescent="0.25">
      <c r="A985" s="97" t="str">
        <f>+IF(PROVEEDORES[[#This Row],[FECHA DE PAGO]]=PROVEEDORES[[#This Row],[FECHA DE FACTURACIÓN]],"DE CONTADO","CRÉDITO")</f>
        <v>CRÉDITO</v>
      </c>
      <c r="B985" s="41" t="b">
        <f>+IF((PROVEEDORES[[#This Row],[FECHA DE PAGO]]-PROVEEDORES[[#This Row],[FECHA DE FACTURACIÓN]])&gt;PROVEEDORES[[#This Row],[PLAZO Días]],"PAGO VENCIDO")</f>
        <v>0</v>
      </c>
      <c r="C985" s="22">
        <f>+VLOOKUP(PROVEEDORES[[#This Row],[PROVEEDOR]],TERCEROS_INFO[#All],2,FALSE)</f>
        <v>45</v>
      </c>
      <c r="D985" s="27">
        <f>+SUMIFS(PROVEEDORES[Total],PROVEEDORES[PROVEEDOR],PROVEEDORES[[#This Row],[PROVEEDOR]],PROVEEDORES[FECHA DE PAGO],"")</f>
        <v>3412539.2</v>
      </c>
      <c r="E985" s="27"/>
      <c r="F985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985" s="95">
        <v>44558</v>
      </c>
      <c r="H985" s="28" t="s">
        <v>10</v>
      </c>
      <c r="I985" s="95">
        <v>44516</v>
      </c>
      <c r="J985" s="38" t="s">
        <v>612</v>
      </c>
      <c r="K985" s="23">
        <v>740000</v>
      </c>
      <c r="L985" s="23"/>
      <c r="M985" s="24">
        <v>140600</v>
      </c>
      <c r="N985" s="25"/>
      <c r="O985" s="24">
        <v>0</v>
      </c>
      <c r="P985" s="136">
        <f>+IF(PROVEEDORES[[#This Row],[SUBTOTAL]]&lt;PROVEEDORES[[#This Row],[base retencion]],0,PROVEEDORES[[#This Row],[retención aplicada]])</f>
        <v>0</v>
      </c>
      <c r="Q985" s="24">
        <f>+PROVEEDORES[[#This Row],[Rete Fuente %]]*PROVEEDORES[[#This Row],[SUBTOTAL]]</f>
        <v>0</v>
      </c>
      <c r="R985" s="23">
        <v>880600</v>
      </c>
      <c r="S98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5" s="99">
        <f ca="1">IF(PROVEEDORES[[#This Row],[FECHA DE PAGO]]=0,TODAY()-PROVEEDORES[[#This Row],[FECHA DE FACTURACIÓN]]-PROVEEDORES[[#This Row],[PLAZO Días]],0)</f>
        <v>0</v>
      </c>
      <c r="U985" s="149">
        <f>+VLOOKUP(PROVEEDORES[[#This Row],[PROVEEDOR]],Terceros!$A:$E,5,FALSE)</f>
        <v>0</v>
      </c>
      <c r="V985" s="150">
        <f>+YEAR(PROVEEDORES[[#This Row],[FECHA DE FACTURACIÓN]])</f>
        <v>2021</v>
      </c>
      <c r="W985" s="150">
        <f>+MATCH(PROVEEDORES[[#This Row],[año facturado]],Retenciones!$1:$1,0)</f>
        <v>4</v>
      </c>
      <c r="X985" s="151">
        <f>+VLOOKUP(PROVEEDORES[[#This Row],[ID RETENCION]],Retenciones!$A$1:$O$24,PROVEEDORES[[#This Row],[indicador de columna]],FALSE)</f>
        <v>0</v>
      </c>
      <c r="Y985" s="152">
        <f>+VLOOKUP(PROVEEDORES[[#This Row],[ID RETENCION]],Retenciones!$A$1:$O$24,2,FALSE)</f>
        <v>0</v>
      </c>
      <c r="Z985" s="26"/>
      <c r="AA985" s="26"/>
      <c r="AB985" s="26"/>
      <c r="AC985" s="26"/>
      <c r="AD985" s="26"/>
      <c r="AE985" s="26"/>
    </row>
    <row r="986" spans="1:31" ht="21.95" customHeight="1" x14ac:dyDescent="0.25">
      <c r="A986" s="97" t="str">
        <f>+IF(PROVEEDORES[[#This Row],[FECHA DE PAGO]]=PROVEEDORES[[#This Row],[FECHA DE FACTURACIÓN]],"DE CONTADO","CRÉDITO")</f>
        <v>CRÉDITO</v>
      </c>
      <c r="B986" s="41" t="str">
        <f>+IF((PROVEEDORES[[#This Row],[FECHA DE PAGO]]-PROVEEDORES[[#This Row],[FECHA DE FACTURACIÓN]])&gt;PROVEEDORES[[#This Row],[PLAZO Días]],"PAGO VENCIDO")</f>
        <v>PAGO VENCIDO</v>
      </c>
      <c r="C986" s="22">
        <f>+VLOOKUP(PROVEEDORES[[#This Row],[PROVEEDOR]],TERCEROS_INFO[#All],2,FALSE)</f>
        <v>30</v>
      </c>
      <c r="D986" s="27">
        <f>+SUMIFS(PROVEEDORES[Total],PROVEEDORES[PROVEEDOR],PROVEEDORES[[#This Row],[PROVEEDOR]],PROVEEDORES[FECHA DE PAGO],"")</f>
        <v>0</v>
      </c>
      <c r="E986" s="27"/>
      <c r="F986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986" s="95">
        <v>44575</v>
      </c>
      <c r="H986" s="28" t="s">
        <v>511</v>
      </c>
      <c r="I986" s="95">
        <v>44516</v>
      </c>
      <c r="J986" s="38" t="s">
        <v>619</v>
      </c>
      <c r="K986" s="23">
        <v>2576302</v>
      </c>
      <c r="L986" s="23"/>
      <c r="M986" s="24">
        <v>489497.38</v>
      </c>
      <c r="N986" s="25"/>
      <c r="O986" s="24">
        <v>0</v>
      </c>
      <c r="P986" s="136">
        <f>+IF(PROVEEDORES[[#This Row],[SUBTOTAL]]&lt;PROVEEDORES[[#This Row],[base retencion]],0,PROVEEDORES[[#This Row],[retención aplicada]])</f>
        <v>0</v>
      </c>
      <c r="Q986" s="24">
        <f>+PROVEEDORES[[#This Row],[Rete Fuente %]]*PROVEEDORES[[#This Row],[SUBTOTAL]]</f>
        <v>0</v>
      </c>
      <c r="R986" s="23">
        <v>3065799.38</v>
      </c>
      <c r="S98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6" s="99">
        <f ca="1">IF(PROVEEDORES[[#This Row],[FECHA DE PAGO]]=0,TODAY()-PROVEEDORES[[#This Row],[FECHA DE FACTURACIÓN]]-PROVEEDORES[[#This Row],[PLAZO Días]],0)</f>
        <v>0</v>
      </c>
      <c r="U986" s="149">
        <f>+VLOOKUP(PROVEEDORES[[#This Row],[PROVEEDOR]],Terceros!$A:$E,5,FALSE)</f>
        <v>0</v>
      </c>
      <c r="V986" s="150">
        <f>+YEAR(PROVEEDORES[[#This Row],[FECHA DE FACTURACIÓN]])</f>
        <v>2021</v>
      </c>
      <c r="W986" s="150">
        <f>+MATCH(PROVEEDORES[[#This Row],[año facturado]],Retenciones!$1:$1,0)</f>
        <v>4</v>
      </c>
      <c r="X986" s="151">
        <f>+VLOOKUP(PROVEEDORES[[#This Row],[ID RETENCION]],Retenciones!$A$1:$O$24,PROVEEDORES[[#This Row],[indicador de columna]],FALSE)</f>
        <v>0</v>
      </c>
      <c r="Y986" s="152">
        <f>+VLOOKUP(PROVEEDORES[[#This Row],[ID RETENCION]],Retenciones!$A$1:$O$24,2,FALSE)</f>
        <v>0</v>
      </c>
      <c r="Z986" s="26"/>
      <c r="AA986" s="26"/>
      <c r="AB986" s="26"/>
      <c r="AC986" s="26"/>
      <c r="AD986" s="26"/>
      <c r="AE986" s="26"/>
    </row>
    <row r="987" spans="1:31" ht="21.95" customHeight="1" x14ac:dyDescent="0.25">
      <c r="A987" s="97" t="str">
        <f>+IF(PROVEEDORES[[#This Row],[FECHA DE PAGO]]=PROVEEDORES[[#This Row],[FECHA DE FACTURACIÓN]],"DE CONTADO","CRÉDITO")</f>
        <v>CRÉDITO</v>
      </c>
      <c r="B987" s="41" t="b">
        <f>+IF((PROVEEDORES[[#This Row],[FECHA DE PAGO]]-PROVEEDORES[[#This Row],[FECHA DE FACTURACIÓN]])&gt;PROVEEDORES[[#This Row],[PLAZO Días]],"PAGO VENCIDO")</f>
        <v>0</v>
      </c>
      <c r="C987" s="22">
        <f>+VLOOKUP(PROVEEDORES[[#This Row],[PROVEEDOR]],TERCEROS_INFO[#All],2,FALSE)</f>
        <v>30</v>
      </c>
      <c r="D987" s="27">
        <f>+SUMIFS(PROVEEDORES[Total],PROVEEDORES[PROVEEDOR],PROVEEDORES[[#This Row],[PROVEEDOR]],PROVEEDORES[FECHA DE PAGO],"")</f>
        <v>936000</v>
      </c>
      <c r="E987" s="27"/>
      <c r="F987" s="62" t="str">
        <f>+VLOOKUP(PROVEEDORES[[#This Row],[PROVEEDOR]],
                       Terceros!$A:$G,
                       6,
                       FALSE)</f>
        <v>stabarbaradistronik@gmail.com;girlesa.ruiz@servipilas.com;joriescobar64@gmail.com</v>
      </c>
      <c r="G987" s="95">
        <v>44543</v>
      </c>
      <c r="H987" s="28" t="s">
        <v>1066</v>
      </c>
      <c r="I987" s="95">
        <v>44517</v>
      </c>
      <c r="J987" s="38" t="s">
        <v>624</v>
      </c>
      <c r="K987" s="23">
        <v>-49000</v>
      </c>
      <c r="L987" s="23"/>
      <c r="M987" s="24">
        <v>0</v>
      </c>
      <c r="N987" s="25"/>
      <c r="O987" s="24">
        <v>0</v>
      </c>
      <c r="P987" s="136">
        <f>+IF(PROVEEDORES[[#This Row],[SUBTOTAL]]&lt;PROVEEDORES[[#This Row],[base retencion]],0,PROVEEDORES[[#This Row],[retención aplicada]])</f>
        <v>0</v>
      </c>
      <c r="Q987" s="24">
        <f>+PROVEEDORES[[#This Row],[Rete Fuente %]]*PROVEEDORES[[#This Row],[SUBTOTAL]]</f>
        <v>0</v>
      </c>
      <c r="R987" s="23">
        <v>-49000</v>
      </c>
      <c r="S98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7" s="99">
        <f ca="1">IF(PROVEEDORES[[#This Row],[FECHA DE PAGO]]=0,TODAY()-PROVEEDORES[[#This Row],[FECHA DE FACTURACIÓN]]-PROVEEDORES[[#This Row],[PLAZO Días]],0)</f>
        <v>0</v>
      </c>
      <c r="U987" s="149">
        <f>+VLOOKUP(PROVEEDORES[[#This Row],[PROVEEDOR]],Terceros!$A:$E,5,FALSE)</f>
        <v>0</v>
      </c>
      <c r="V987" s="150">
        <f>+YEAR(PROVEEDORES[[#This Row],[FECHA DE FACTURACIÓN]])</f>
        <v>2021</v>
      </c>
      <c r="W987" s="150">
        <f>+MATCH(PROVEEDORES[[#This Row],[año facturado]],Retenciones!$1:$1,0)</f>
        <v>4</v>
      </c>
      <c r="X987" s="151">
        <f>+VLOOKUP(PROVEEDORES[[#This Row],[ID RETENCION]],Retenciones!$A$1:$O$24,PROVEEDORES[[#This Row],[indicador de columna]],FALSE)</f>
        <v>0</v>
      </c>
      <c r="Y987" s="152">
        <f>+VLOOKUP(PROVEEDORES[[#This Row],[ID RETENCION]],Retenciones!$A$1:$O$24,2,FALSE)</f>
        <v>0</v>
      </c>
      <c r="Z987" s="26"/>
      <c r="AA987" s="26"/>
      <c r="AB987" s="26"/>
      <c r="AC987" s="26"/>
      <c r="AD987" s="26"/>
      <c r="AE987" s="26"/>
    </row>
    <row r="988" spans="1:31" ht="21.95" customHeight="1" x14ac:dyDescent="0.25">
      <c r="A988" s="97" t="str">
        <f>+IF(PROVEEDORES[[#This Row],[FECHA DE PAGO]]=PROVEEDORES[[#This Row],[FECHA DE FACTURACIÓN]],"DE CONTADO","CRÉDITO")</f>
        <v>CRÉDITO</v>
      </c>
      <c r="B988" s="41" t="b">
        <f>+IF((PROVEEDORES[[#This Row],[FECHA DE PAGO]]-PROVEEDORES[[#This Row],[FECHA DE FACTURACIÓN]])&gt;PROVEEDORES[[#This Row],[PLAZO Días]],"PAGO VENCIDO")</f>
        <v>0</v>
      </c>
      <c r="C988" s="22">
        <f>+VLOOKUP(PROVEEDORES[[#This Row],[PROVEEDOR]],TERCEROS_INFO[#All],2,FALSE)</f>
        <v>30</v>
      </c>
      <c r="D988" s="27">
        <f>+SUMIFS(PROVEEDORES[Total],PROVEEDORES[PROVEEDOR],PROVEEDORES[[#This Row],[PROVEEDOR]],PROVEEDORES[FECHA DE PAGO],"")</f>
        <v>1979529.3</v>
      </c>
      <c r="E988" s="27"/>
      <c r="F988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988" s="95">
        <v>44537</v>
      </c>
      <c r="H988" s="28" t="s">
        <v>17</v>
      </c>
      <c r="I988" s="95">
        <v>44517</v>
      </c>
      <c r="J988" s="38">
        <v>1840884</v>
      </c>
      <c r="K988" s="23">
        <v>361000</v>
      </c>
      <c r="L988" s="23"/>
      <c r="M988" s="24">
        <v>68590</v>
      </c>
      <c r="N988" s="25"/>
      <c r="O988" s="24">
        <v>0</v>
      </c>
      <c r="P988" s="136">
        <f>+IF(PROVEEDORES[[#This Row],[SUBTOTAL]]&lt;PROVEEDORES[[#This Row],[base retencion]],0,PROVEEDORES[[#This Row],[retención aplicada]])</f>
        <v>0</v>
      </c>
      <c r="Q988" s="24">
        <f>+PROVEEDORES[[#This Row],[Rete Fuente %]]*PROVEEDORES[[#This Row],[SUBTOTAL]]</f>
        <v>0</v>
      </c>
      <c r="R988" s="23">
        <v>429590</v>
      </c>
      <c r="S98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8" s="99">
        <f ca="1">IF(PROVEEDORES[[#This Row],[FECHA DE PAGO]]=0,TODAY()-PROVEEDORES[[#This Row],[FECHA DE FACTURACIÓN]]-PROVEEDORES[[#This Row],[PLAZO Días]],0)</f>
        <v>0</v>
      </c>
      <c r="U988" s="149">
        <f>+VLOOKUP(PROVEEDORES[[#This Row],[PROVEEDOR]],Terceros!$A:$E,5,FALSE)</f>
        <v>0</v>
      </c>
      <c r="V988" s="150">
        <f>+YEAR(PROVEEDORES[[#This Row],[FECHA DE FACTURACIÓN]])</f>
        <v>2021</v>
      </c>
      <c r="W988" s="150">
        <f>+MATCH(PROVEEDORES[[#This Row],[año facturado]],Retenciones!$1:$1,0)</f>
        <v>4</v>
      </c>
      <c r="X988" s="151">
        <f>+VLOOKUP(PROVEEDORES[[#This Row],[ID RETENCION]],Retenciones!$A$1:$O$24,PROVEEDORES[[#This Row],[indicador de columna]],FALSE)</f>
        <v>0</v>
      </c>
      <c r="Y988" s="152">
        <f>+VLOOKUP(PROVEEDORES[[#This Row],[ID RETENCION]],Retenciones!$A$1:$O$24,2,FALSE)</f>
        <v>0</v>
      </c>
      <c r="Z988" s="26"/>
      <c r="AA988" s="26"/>
      <c r="AB988" s="26"/>
      <c r="AC988" s="26"/>
      <c r="AD988" s="26"/>
      <c r="AE988" s="26"/>
    </row>
    <row r="989" spans="1:31" ht="21.95" customHeight="1" x14ac:dyDescent="0.25">
      <c r="A989" s="97" t="str">
        <f>+IF(PROVEEDORES[[#This Row],[FECHA DE PAGO]]=PROVEEDORES[[#This Row],[FECHA DE FACTURACIÓN]],"DE CONTADO","CRÉDITO")</f>
        <v>CRÉDITO</v>
      </c>
      <c r="B989" s="41" t="b">
        <f>+IF((PROVEEDORES[[#This Row],[FECHA DE PAGO]]-PROVEEDORES[[#This Row],[FECHA DE FACTURACIÓN]])&gt;PROVEEDORES[[#This Row],[PLAZO Días]],"PAGO VENCIDO")</f>
        <v>0</v>
      </c>
      <c r="C989" s="22">
        <f>+VLOOKUP(PROVEEDORES[[#This Row],[PROVEEDOR]],TERCEROS_INFO[#All],2,FALSE)</f>
        <v>30</v>
      </c>
      <c r="D989" s="27">
        <f>+SUMIFS(PROVEEDORES[Total],PROVEEDORES[PROVEEDOR],PROVEEDORES[[#This Row],[PROVEEDOR]],PROVEEDORES[FECHA DE PAGO],"")</f>
        <v>1979529.3</v>
      </c>
      <c r="E989" s="27"/>
      <c r="F989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989" s="95">
        <v>44537</v>
      </c>
      <c r="H989" s="28" t="s">
        <v>17</v>
      </c>
      <c r="I989" s="95">
        <v>44517</v>
      </c>
      <c r="J989" s="38">
        <v>1840740</v>
      </c>
      <c r="K989" s="23">
        <v>753350</v>
      </c>
      <c r="L989" s="23"/>
      <c r="M989" s="24">
        <v>143136.5</v>
      </c>
      <c r="N989" s="25"/>
      <c r="O989" s="24">
        <v>0</v>
      </c>
      <c r="P989" s="136">
        <f>+IF(PROVEEDORES[[#This Row],[SUBTOTAL]]&lt;PROVEEDORES[[#This Row],[base retencion]],0,PROVEEDORES[[#This Row],[retención aplicada]])</f>
        <v>0</v>
      </c>
      <c r="Q989" s="24">
        <f>+PROVEEDORES[[#This Row],[Rete Fuente %]]*PROVEEDORES[[#This Row],[SUBTOTAL]]</f>
        <v>0</v>
      </c>
      <c r="R989" s="23">
        <v>896486.5</v>
      </c>
      <c r="S98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9" s="99">
        <f ca="1">IF(PROVEEDORES[[#This Row],[FECHA DE PAGO]]=0,TODAY()-PROVEEDORES[[#This Row],[FECHA DE FACTURACIÓN]]-PROVEEDORES[[#This Row],[PLAZO Días]],0)</f>
        <v>0</v>
      </c>
      <c r="U989" s="149">
        <f>+VLOOKUP(PROVEEDORES[[#This Row],[PROVEEDOR]],Terceros!$A:$E,5,FALSE)</f>
        <v>0</v>
      </c>
      <c r="V989" s="150">
        <f>+YEAR(PROVEEDORES[[#This Row],[FECHA DE FACTURACIÓN]])</f>
        <v>2021</v>
      </c>
      <c r="W989" s="150">
        <f>+MATCH(PROVEEDORES[[#This Row],[año facturado]],Retenciones!$1:$1,0)</f>
        <v>4</v>
      </c>
      <c r="X989" s="151">
        <f>+VLOOKUP(PROVEEDORES[[#This Row],[ID RETENCION]],Retenciones!$A$1:$O$24,PROVEEDORES[[#This Row],[indicador de columna]],FALSE)</f>
        <v>0</v>
      </c>
      <c r="Y989" s="152">
        <f>+VLOOKUP(PROVEEDORES[[#This Row],[ID RETENCION]],Retenciones!$A$1:$O$24,2,FALSE)</f>
        <v>0</v>
      </c>
      <c r="Z989" s="26"/>
      <c r="AA989" s="26"/>
      <c r="AB989" s="26"/>
      <c r="AC989" s="26"/>
      <c r="AD989" s="26"/>
      <c r="AE989" s="26"/>
    </row>
    <row r="990" spans="1:31" ht="21.95" customHeight="1" x14ac:dyDescent="0.25">
      <c r="A990" s="97" t="str">
        <f>+IF(PROVEEDORES[[#This Row],[FECHA DE PAGO]]=PROVEEDORES[[#This Row],[FECHA DE FACTURACIÓN]],"DE CONTADO","CRÉDITO")</f>
        <v>CRÉDITO</v>
      </c>
      <c r="B990" s="41" t="b">
        <f>+IF((PROVEEDORES[[#This Row],[FECHA DE PAGO]]-PROVEEDORES[[#This Row],[FECHA DE FACTURACIÓN]])&gt;PROVEEDORES[[#This Row],[PLAZO Días]],"PAGO VENCIDO")</f>
        <v>0</v>
      </c>
      <c r="C990" s="22">
        <f>+VLOOKUP(PROVEEDORES[[#This Row],[PROVEEDOR]],TERCEROS_INFO[#All],2,FALSE)</f>
        <v>30</v>
      </c>
      <c r="D990" s="27">
        <f>+SUMIFS(PROVEEDORES[Total],PROVEEDORES[PROVEEDOR],PROVEEDORES[[#This Row],[PROVEEDOR]],PROVEEDORES[FECHA DE PAGO],"")</f>
        <v>1979529.3</v>
      </c>
      <c r="E990" s="27"/>
      <c r="F990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990" s="95">
        <v>44537</v>
      </c>
      <c r="H990" s="28" t="s">
        <v>17</v>
      </c>
      <c r="I990" s="95">
        <v>44517</v>
      </c>
      <c r="J990" s="38">
        <v>1840769</v>
      </c>
      <c r="K990" s="23">
        <v>775710</v>
      </c>
      <c r="L990" s="23"/>
      <c r="M990" s="24">
        <v>147384.9</v>
      </c>
      <c r="N990" s="25"/>
      <c r="O990" s="24">
        <v>0</v>
      </c>
      <c r="P990" s="136">
        <f>+IF(PROVEEDORES[[#This Row],[SUBTOTAL]]&lt;PROVEEDORES[[#This Row],[base retencion]],0,PROVEEDORES[[#This Row],[retención aplicada]])</f>
        <v>0</v>
      </c>
      <c r="Q990" s="24">
        <f>+PROVEEDORES[[#This Row],[Rete Fuente %]]*PROVEEDORES[[#This Row],[SUBTOTAL]]</f>
        <v>0</v>
      </c>
      <c r="R990" s="23">
        <v>923094.9</v>
      </c>
      <c r="S99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0" s="99">
        <f ca="1">IF(PROVEEDORES[[#This Row],[FECHA DE PAGO]]=0,TODAY()-PROVEEDORES[[#This Row],[FECHA DE FACTURACIÓN]]-PROVEEDORES[[#This Row],[PLAZO Días]],0)</f>
        <v>0</v>
      </c>
      <c r="U990" s="149">
        <f>+VLOOKUP(PROVEEDORES[[#This Row],[PROVEEDOR]],Terceros!$A:$E,5,FALSE)</f>
        <v>0</v>
      </c>
      <c r="V990" s="150">
        <f>+YEAR(PROVEEDORES[[#This Row],[FECHA DE FACTURACIÓN]])</f>
        <v>2021</v>
      </c>
      <c r="W990" s="150">
        <f>+MATCH(PROVEEDORES[[#This Row],[año facturado]],Retenciones!$1:$1,0)</f>
        <v>4</v>
      </c>
      <c r="X990" s="151">
        <f>+VLOOKUP(PROVEEDORES[[#This Row],[ID RETENCION]],Retenciones!$A$1:$O$24,PROVEEDORES[[#This Row],[indicador de columna]],FALSE)</f>
        <v>0</v>
      </c>
      <c r="Y990" s="152">
        <f>+VLOOKUP(PROVEEDORES[[#This Row],[ID RETENCION]],Retenciones!$A$1:$O$24,2,FALSE)</f>
        <v>0</v>
      </c>
      <c r="Z990" s="26"/>
      <c r="AA990" s="26"/>
      <c r="AB990" s="26"/>
      <c r="AC990" s="26"/>
      <c r="AD990" s="26"/>
      <c r="AE990" s="26"/>
    </row>
    <row r="991" spans="1:31" ht="21.95" customHeight="1" x14ac:dyDescent="0.25">
      <c r="A991" s="97" t="str">
        <f>+IF(PROVEEDORES[[#This Row],[FECHA DE PAGO]]=PROVEEDORES[[#This Row],[FECHA DE FACTURACIÓN]],"DE CONTADO","CRÉDITO")</f>
        <v>DE CONTADO</v>
      </c>
      <c r="B991" s="41" t="b">
        <f>+IF((PROVEEDORES[[#This Row],[FECHA DE PAGO]]-PROVEEDORES[[#This Row],[FECHA DE FACTURACIÓN]])&gt;PROVEEDORES[[#This Row],[PLAZO Días]],"PAGO VENCIDO")</f>
        <v>0</v>
      </c>
      <c r="C991" s="22">
        <f>+VLOOKUP(PROVEEDORES[[#This Row],[PROVEEDOR]],TERCEROS_INFO[#All],2,FALSE)</f>
        <v>45</v>
      </c>
      <c r="D991" s="27">
        <f>+SUMIFS(PROVEEDORES[Total],PROVEEDORES[PROVEEDOR],PROVEEDORES[[#This Row],[PROVEEDOR]],PROVEEDORES[FECHA DE PAGO],"")</f>
        <v>0</v>
      </c>
      <c r="E991" s="27"/>
      <c r="F991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G991" s="95">
        <v>44517</v>
      </c>
      <c r="H991" s="28" t="s">
        <v>605</v>
      </c>
      <c r="I991" s="95">
        <v>44517</v>
      </c>
      <c r="J991" s="38" t="s">
        <v>607</v>
      </c>
      <c r="K991" s="23">
        <v>2471127</v>
      </c>
      <c r="L991" s="23"/>
      <c r="M991" s="24">
        <v>0</v>
      </c>
      <c r="N991" s="25"/>
      <c r="O991" s="24">
        <v>0</v>
      </c>
      <c r="P991" s="136">
        <f>+IF(PROVEEDORES[[#This Row],[SUBTOTAL]]&lt;PROVEEDORES[[#This Row],[base retencion]],0,PROVEEDORES[[#This Row],[retención aplicada]])</f>
        <v>0</v>
      </c>
      <c r="Q991" s="24">
        <f>+PROVEEDORES[[#This Row],[Rete Fuente %]]*PROVEEDORES[[#This Row],[SUBTOTAL]]</f>
        <v>0</v>
      </c>
      <c r="R991" s="23">
        <v>2471127</v>
      </c>
      <c r="S99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1" s="99">
        <f ca="1">IF(PROVEEDORES[[#This Row],[FECHA DE PAGO]]=0,TODAY()-PROVEEDORES[[#This Row],[FECHA DE FACTURACIÓN]]-PROVEEDORES[[#This Row],[PLAZO Días]],0)</f>
        <v>0</v>
      </c>
      <c r="U991" s="149">
        <f>+VLOOKUP(PROVEEDORES[[#This Row],[PROVEEDOR]],Terceros!$A:$E,5,FALSE)</f>
        <v>0</v>
      </c>
      <c r="V991" s="150">
        <f>+YEAR(PROVEEDORES[[#This Row],[FECHA DE FACTURACIÓN]])</f>
        <v>2021</v>
      </c>
      <c r="W991" s="150">
        <f>+MATCH(PROVEEDORES[[#This Row],[año facturado]],Retenciones!$1:$1,0)</f>
        <v>4</v>
      </c>
      <c r="X991" s="151">
        <f>+VLOOKUP(PROVEEDORES[[#This Row],[ID RETENCION]],Retenciones!$A$1:$O$24,PROVEEDORES[[#This Row],[indicador de columna]],FALSE)</f>
        <v>0</v>
      </c>
      <c r="Y991" s="152">
        <f>+VLOOKUP(PROVEEDORES[[#This Row],[ID RETENCION]],Retenciones!$A$1:$O$24,2,FALSE)</f>
        <v>0</v>
      </c>
      <c r="Z991" s="26"/>
      <c r="AA991" s="26"/>
      <c r="AB991" s="26"/>
      <c r="AC991" s="26"/>
      <c r="AD991" s="26"/>
      <c r="AE991" s="26"/>
    </row>
    <row r="992" spans="1:31" ht="21.95" customHeight="1" x14ac:dyDescent="0.25">
      <c r="A992" s="97" t="str">
        <f>+IF(PROVEEDORES[[#This Row],[FECHA DE PAGO]]=PROVEEDORES[[#This Row],[FECHA DE FACTURACIÓN]],"DE CONTADO","CRÉDITO")</f>
        <v>CRÉDITO</v>
      </c>
      <c r="B992" s="41" t="b">
        <f>+IF((PROVEEDORES[[#This Row],[FECHA DE PAGO]]-PROVEEDORES[[#This Row],[FECHA DE FACTURACIÓN]])&gt;PROVEEDORES[[#This Row],[PLAZO Días]],"PAGO VENCIDO")</f>
        <v>0</v>
      </c>
      <c r="C992" s="22">
        <f>+VLOOKUP(PROVEEDORES[[#This Row],[PROVEEDOR]],TERCEROS_INFO[#All],2,FALSE)</f>
        <v>90</v>
      </c>
      <c r="D992" s="27">
        <f>+SUMIFS(PROVEEDORES[Total],PROVEEDORES[PROVEEDOR],PROVEEDORES[[#This Row],[PROVEEDOR]],PROVEEDORES[FECHA DE PAGO],"")</f>
        <v>0</v>
      </c>
      <c r="E992" s="27"/>
      <c r="F992" s="62" t="str">
        <f>+VLOOKUP(PROVEEDORES[[#This Row],[PROVEEDOR]],
                       Terceros!$A:$G,
                       6,
                       FALSE)</f>
        <v/>
      </c>
      <c r="G992" s="95">
        <v>44567</v>
      </c>
      <c r="H992" s="28" t="s">
        <v>1018</v>
      </c>
      <c r="I992" s="95">
        <v>44517</v>
      </c>
      <c r="J992" s="38" t="s">
        <v>622</v>
      </c>
      <c r="K992" s="23">
        <v>8659500</v>
      </c>
      <c r="L992" s="23"/>
      <c r="M992" s="24">
        <v>0</v>
      </c>
      <c r="N992" s="25"/>
      <c r="O992" s="24">
        <v>0</v>
      </c>
      <c r="P992" s="136">
        <f>+IF(PROVEEDORES[[#This Row],[SUBTOTAL]]&lt;PROVEEDORES[[#This Row],[base retencion]],0,PROVEEDORES[[#This Row],[retención aplicada]])</f>
        <v>0</v>
      </c>
      <c r="Q992" s="24">
        <f>+PROVEEDORES[[#This Row],[Rete Fuente %]]*PROVEEDORES[[#This Row],[SUBTOTAL]]</f>
        <v>0</v>
      </c>
      <c r="R992" s="23">
        <v>8659500</v>
      </c>
      <c r="S99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2" s="99">
        <f ca="1">IF(PROVEEDORES[[#This Row],[FECHA DE PAGO]]=0,TODAY()-PROVEEDORES[[#This Row],[FECHA DE FACTURACIÓN]]-PROVEEDORES[[#This Row],[PLAZO Días]],0)</f>
        <v>0</v>
      </c>
      <c r="U992" s="149">
        <f>+VLOOKUP(PROVEEDORES[[#This Row],[PROVEEDOR]],Terceros!$A:$E,5,FALSE)</f>
        <v>0</v>
      </c>
      <c r="V992" s="150">
        <f>+YEAR(PROVEEDORES[[#This Row],[FECHA DE FACTURACIÓN]])</f>
        <v>2021</v>
      </c>
      <c r="W992" s="150">
        <f>+MATCH(PROVEEDORES[[#This Row],[año facturado]],Retenciones!$1:$1,0)</f>
        <v>4</v>
      </c>
      <c r="X992" s="151">
        <f>+VLOOKUP(PROVEEDORES[[#This Row],[ID RETENCION]],Retenciones!$A$1:$O$24,PROVEEDORES[[#This Row],[indicador de columna]],FALSE)</f>
        <v>0</v>
      </c>
      <c r="Y992" s="152">
        <f>+VLOOKUP(PROVEEDORES[[#This Row],[ID RETENCION]],Retenciones!$A$1:$O$24,2,FALSE)</f>
        <v>0</v>
      </c>
      <c r="Z992" s="26"/>
      <c r="AA992" s="26"/>
      <c r="AB992" s="26"/>
      <c r="AC992" s="26"/>
      <c r="AD992" s="26"/>
      <c r="AE992" s="26"/>
    </row>
    <row r="993" spans="1:31" ht="21.95" customHeight="1" x14ac:dyDescent="0.25">
      <c r="A993" s="97" t="str">
        <f>+IF(PROVEEDORES[[#This Row],[FECHA DE PAGO]]=PROVEEDORES[[#This Row],[FECHA DE FACTURACIÓN]],"DE CONTADO","CRÉDITO")</f>
        <v>CRÉDITO</v>
      </c>
      <c r="B993" s="41" t="str">
        <f>+IF((PROVEEDORES[[#This Row],[FECHA DE PAGO]]-PROVEEDORES[[#This Row],[FECHA DE FACTURACIÓN]])&gt;PROVEEDORES[[#This Row],[PLAZO Días]],"PAGO VENCIDO")</f>
        <v>PAGO VENCIDO</v>
      </c>
      <c r="C993" s="22">
        <f>+VLOOKUP(PROVEEDORES[[#This Row],[PROVEEDOR]],TERCEROS_INFO[#All],2,FALSE)</f>
        <v>30</v>
      </c>
      <c r="D993" s="27">
        <f>+SUMIFS(PROVEEDORES[Total],PROVEEDORES[PROVEEDOR],PROVEEDORES[[#This Row],[PROVEEDOR]],PROVEEDORES[FECHA DE PAGO],"")</f>
        <v>0</v>
      </c>
      <c r="E993" s="27"/>
      <c r="F993" s="62" t="str">
        <f>+VLOOKUP(PROVEEDORES[[#This Row],[PROVEEDOR]],
                       Terceros!$A:$G,
                       6,
                       FALSE)</f>
        <v>BRIGHTSIDELED2019@gmail.com;girlesa.ruiz@servipilas.com;joriescobar64@gmail.com</v>
      </c>
      <c r="G993" s="95">
        <v>44551</v>
      </c>
      <c r="H993" s="28" t="s">
        <v>1038</v>
      </c>
      <c r="I993" s="95">
        <v>44518</v>
      </c>
      <c r="J993" s="38" t="s">
        <v>875</v>
      </c>
      <c r="K993" s="23">
        <v>1163000</v>
      </c>
      <c r="L993" s="23"/>
      <c r="M993" s="24">
        <v>0</v>
      </c>
      <c r="N993" s="25"/>
      <c r="O993" s="24">
        <v>0</v>
      </c>
      <c r="P993" s="136">
        <f>+IF(PROVEEDORES[[#This Row],[SUBTOTAL]]&lt;PROVEEDORES[[#This Row],[base retencion]],0,PROVEEDORES[[#This Row],[retención aplicada]])</f>
        <v>0</v>
      </c>
      <c r="Q993" s="24">
        <f>+PROVEEDORES[[#This Row],[Rete Fuente %]]*PROVEEDORES[[#This Row],[SUBTOTAL]]</f>
        <v>0</v>
      </c>
      <c r="R993" s="23">
        <v>1163000</v>
      </c>
      <c r="S99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3" s="99">
        <f ca="1">IF(PROVEEDORES[[#This Row],[FECHA DE PAGO]]=0,TODAY()-PROVEEDORES[[#This Row],[FECHA DE FACTURACIÓN]]-PROVEEDORES[[#This Row],[PLAZO Días]],0)</f>
        <v>0</v>
      </c>
      <c r="U993" s="149">
        <f>+VLOOKUP(PROVEEDORES[[#This Row],[PROVEEDOR]],Terceros!$A:$E,5,FALSE)</f>
        <v>0</v>
      </c>
      <c r="V993" s="150">
        <f>+YEAR(PROVEEDORES[[#This Row],[FECHA DE FACTURACIÓN]])</f>
        <v>2021</v>
      </c>
      <c r="W993" s="150">
        <f>+MATCH(PROVEEDORES[[#This Row],[año facturado]],Retenciones!$1:$1,0)</f>
        <v>4</v>
      </c>
      <c r="X993" s="151">
        <f>+VLOOKUP(PROVEEDORES[[#This Row],[ID RETENCION]],Retenciones!$A$1:$O$24,PROVEEDORES[[#This Row],[indicador de columna]],FALSE)</f>
        <v>0</v>
      </c>
      <c r="Y993" s="152">
        <f>+VLOOKUP(PROVEEDORES[[#This Row],[ID RETENCION]],Retenciones!$A$1:$O$24,2,FALSE)</f>
        <v>0</v>
      </c>
      <c r="Z993" s="26"/>
      <c r="AA993" s="26"/>
      <c r="AB993" s="26"/>
      <c r="AC993" s="26"/>
      <c r="AD993" s="26"/>
      <c r="AE993" s="26"/>
    </row>
    <row r="994" spans="1:31" ht="21.95" customHeight="1" x14ac:dyDescent="0.25">
      <c r="A994" s="97" t="str">
        <f>+IF(PROVEEDORES[[#This Row],[FECHA DE PAGO]]=PROVEEDORES[[#This Row],[FECHA DE FACTURACIÓN]],"DE CONTADO","CRÉDITO")</f>
        <v>CRÉDITO</v>
      </c>
      <c r="B994" s="41" t="str">
        <f>+IF((PROVEEDORES[[#This Row],[FECHA DE PAGO]]-PROVEEDORES[[#This Row],[FECHA DE FACTURACIÓN]])&gt;PROVEEDORES[[#This Row],[PLAZO Días]],"PAGO VENCIDO")</f>
        <v>PAGO VENCIDO</v>
      </c>
      <c r="C994" s="22">
        <f>+VLOOKUP(PROVEEDORES[[#This Row],[PROVEEDOR]],TERCEROS_INFO[#All],2,FALSE)</f>
        <v>30</v>
      </c>
      <c r="D994" s="27">
        <f>+SUMIFS(PROVEEDORES[Total],PROVEEDORES[PROVEEDOR],PROVEEDORES[[#This Row],[PROVEEDOR]],PROVEEDORES[FECHA DE PAGO],"")</f>
        <v>4641412.7745000003</v>
      </c>
      <c r="E994" s="27"/>
      <c r="F994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994" s="95">
        <v>44552</v>
      </c>
      <c r="H994" s="28" t="s">
        <v>20</v>
      </c>
      <c r="I994" s="95">
        <v>44518</v>
      </c>
      <c r="J994" s="38">
        <v>5616</v>
      </c>
      <c r="K994" s="23">
        <v>1848336.11</v>
      </c>
      <c r="L994" s="23"/>
      <c r="M994" s="24">
        <v>351183.86090000003</v>
      </c>
      <c r="N994" s="25"/>
      <c r="O994" s="24">
        <v>0</v>
      </c>
      <c r="P994" s="136">
        <f>+IF(PROVEEDORES[[#This Row],[SUBTOTAL]]&lt;PROVEEDORES[[#This Row],[base retencion]],0,PROVEEDORES[[#This Row],[retención aplicada]])</f>
        <v>2.5000000000000001E-2</v>
      </c>
      <c r="Q994" s="24">
        <f>+PROVEEDORES[[#This Row],[Rete Fuente %]]*PROVEEDORES[[#This Row],[SUBTOTAL]]</f>
        <v>46208.402750000008</v>
      </c>
      <c r="R994" s="23">
        <v>2153311.5681500002</v>
      </c>
      <c r="S99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4" s="99">
        <f ca="1">IF(PROVEEDORES[[#This Row],[FECHA DE PAGO]]=0,TODAY()-PROVEEDORES[[#This Row],[FECHA DE FACTURACIÓN]]-PROVEEDORES[[#This Row],[PLAZO Días]],0)</f>
        <v>0</v>
      </c>
      <c r="U994" s="149" t="str">
        <f>+VLOOKUP(PROVEEDORES[[#This Row],[PROVEEDOR]],Terceros!$A:$E,5,FALSE)</f>
        <v>2,5% con base</v>
      </c>
      <c r="V994" s="150">
        <f>+YEAR(PROVEEDORES[[#This Row],[FECHA DE FACTURACIÓN]])</f>
        <v>2021</v>
      </c>
      <c r="W994" s="150">
        <f>+MATCH(PROVEEDORES[[#This Row],[año facturado]],Retenciones!$1:$1,0)</f>
        <v>4</v>
      </c>
      <c r="X994" s="151">
        <f>+VLOOKUP(PROVEEDORES[[#This Row],[ID RETENCION]],Retenciones!$A$1:$O$24,PROVEEDORES[[#This Row],[indicador de columna]],FALSE)</f>
        <v>980000</v>
      </c>
      <c r="Y994" s="152">
        <f>+VLOOKUP(PROVEEDORES[[#This Row],[ID RETENCION]],Retenciones!$A$1:$O$24,2,FALSE)</f>
        <v>2.5000000000000001E-2</v>
      </c>
      <c r="Z994" s="26"/>
      <c r="AA994" s="26"/>
      <c r="AB994" s="26"/>
      <c r="AC994" s="26"/>
      <c r="AD994" s="26"/>
      <c r="AE994" s="26"/>
    </row>
    <row r="995" spans="1:31" ht="21.95" customHeight="1" x14ac:dyDescent="0.25">
      <c r="A995" s="97" t="str">
        <f>+IF(PROVEEDORES[[#This Row],[FECHA DE PAGO]]=PROVEEDORES[[#This Row],[FECHA DE FACTURACIÓN]],"DE CONTADO","CRÉDITO")</f>
        <v>CRÉDITO</v>
      </c>
      <c r="B995" s="41" t="str">
        <f>+IF((PROVEEDORES[[#This Row],[FECHA DE PAGO]]-PROVEEDORES[[#This Row],[FECHA DE FACTURACIÓN]])&gt;PROVEEDORES[[#This Row],[PLAZO Días]],"PAGO VENCIDO")</f>
        <v>PAGO VENCIDO</v>
      </c>
      <c r="C995" s="22">
        <f>+VLOOKUP(PROVEEDORES[[#This Row],[PROVEEDOR]],TERCEROS_INFO[#All],2,FALSE)</f>
        <v>30</v>
      </c>
      <c r="D995" s="27">
        <f>+SUMIFS(PROVEEDORES[Total],PROVEEDORES[PROVEEDOR],PROVEEDORES[[#This Row],[PROVEEDOR]],PROVEEDORES[FECHA DE PAGO],"")</f>
        <v>0</v>
      </c>
      <c r="E995" s="27"/>
      <c r="F995" s="62" t="str">
        <f>+VLOOKUP(PROVEEDORES[[#This Row],[PROVEEDOR]],
                       Terceros!$A:$G,
                       6,
                       FALSE)</f>
        <v>lpena@tbplusenergy.com;girlesa.ruiz@servipilas.com;joriescobar64@gmail.com</v>
      </c>
      <c r="G995" s="95">
        <v>44552</v>
      </c>
      <c r="H995" s="28" t="s">
        <v>471</v>
      </c>
      <c r="I995" s="95">
        <v>44518</v>
      </c>
      <c r="J995" s="38">
        <v>10765</v>
      </c>
      <c r="K995" s="23">
        <v>2304000</v>
      </c>
      <c r="L995" s="23"/>
      <c r="M995" s="24">
        <v>437760</v>
      </c>
      <c r="N995" s="25"/>
      <c r="O995" s="24">
        <v>0</v>
      </c>
      <c r="P995" s="136">
        <f>+IF(PROVEEDORES[[#This Row],[SUBTOTAL]]&lt;PROVEEDORES[[#This Row],[base retencion]],0,PROVEEDORES[[#This Row],[retención aplicada]])</f>
        <v>2.5000000000000001E-2</v>
      </c>
      <c r="Q995" s="24">
        <f>+PROVEEDORES[[#This Row],[Rete Fuente %]]*PROVEEDORES[[#This Row],[SUBTOTAL]]</f>
        <v>57600</v>
      </c>
      <c r="R995" s="23">
        <v>2684160</v>
      </c>
      <c r="S99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5" s="99">
        <f ca="1">IF(PROVEEDORES[[#This Row],[FECHA DE PAGO]]=0,TODAY()-PROVEEDORES[[#This Row],[FECHA DE FACTURACIÓN]]-PROVEEDORES[[#This Row],[PLAZO Días]],0)</f>
        <v>0</v>
      </c>
      <c r="U995" s="149" t="str">
        <f>+VLOOKUP(PROVEEDORES[[#This Row],[PROVEEDOR]],Terceros!$A:$E,5,FALSE)</f>
        <v>2,5% con base</v>
      </c>
      <c r="V995" s="150">
        <f>+YEAR(PROVEEDORES[[#This Row],[FECHA DE FACTURACIÓN]])</f>
        <v>2021</v>
      </c>
      <c r="W995" s="150">
        <f>+MATCH(PROVEEDORES[[#This Row],[año facturado]],Retenciones!$1:$1,0)</f>
        <v>4</v>
      </c>
      <c r="X995" s="151">
        <f>+VLOOKUP(PROVEEDORES[[#This Row],[ID RETENCION]],Retenciones!$A$1:$O$24,PROVEEDORES[[#This Row],[indicador de columna]],FALSE)</f>
        <v>980000</v>
      </c>
      <c r="Y995" s="152">
        <f>+VLOOKUP(PROVEEDORES[[#This Row],[ID RETENCION]],Retenciones!$A$1:$O$24,2,FALSE)</f>
        <v>2.5000000000000001E-2</v>
      </c>
      <c r="Z995" s="26"/>
      <c r="AA995" s="26"/>
      <c r="AB995" s="26"/>
      <c r="AC995" s="26"/>
      <c r="AD995" s="26"/>
      <c r="AE995" s="26"/>
    </row>
    <row r="996" spans="1:31" ht="21.95" customHeight="1" x14ac:dyDescent="0.25">
      <c r="A996" s="97" t="str">
        <f>+IF(PROVEEDORES[[#This Row],[FECHA DE PAGO]]=PROVEEDORES[[#This Row],[FECHA DE FACTURACIÓN]],"DE CONTADO","CRÉDITO")</f>
        <v>CRÉDITO</v>
      </c>
      <c r="B996" s="41" t="str">
        <f>+IF((PROVEEDORES[[#This Row],[FECHA DE PAGO]]-PROVEEDORES[[#This Row],[FECHA DE FACTURACIÓN]])&gt;PROVEEDORES[[#This Row],[PLAZO Días]],"PAGO VENCIDO")</f>
        <v>PAGO VENCIDO</v>
      </c>
      <c r="C996" s="22">
        <f>+VLOOKUP(PROVEEDORES[[#This Row],[PROVEEDOR]],TERCEROS_INFO[#All],2,FALSE)</f>
        <v>30</v>
      </c>
      <c r="D996" s="27">
        <f>+SUMIFS(PROVEEDORES[Total],PROVEEDORES[PROVEEDOR],PROVEEDORES[[#This Row],[PROVEEDOR]],PROVEEDORES[FECHA DE PAGO],"")</f>
        <v>833999.83799999999</v>
      </c>
      <c r="E996" s="27"/>
      <c r="F996" s="62" t="str">
        <f>+VLOOKUP(PROVEEDORES[[#This Row],[PROVEEDOR]],
                       Terceros!$A:$G,
                       6,
                       FALSE)</f>
        <v>juan.suarez@cosostenible.com;girlesa.ruiz@servipilas.com;joriescobar64@gmail.com</v>
      </c>
      <c r="G996" s="95">
        <v>44552</v>
      </c>
      <c r="H996" s="28" t="s">
        <v>50</v>
      </c>
      <c r="I996" s="95">
        <v>44518</v>
      </c>
      <c r="J996" s="38">
        <v>4887</v>
      </c>
      <c r="K996" s="23">
        <v>2336200</v>
      </c>
      <c r="L996" s="23"/>
      <c r="M996" s="24">
        <v>443878</v>
      </c>
      <c r="N996" s="25"/>
      <c r="O996" s="24">
        <v>0</v>
      </c>
      <c r="P996" s="136">
        <f>+IF(PROVEEDORES[[#This Row],[SUBTOTAL]]&lt;PROVEEDORES[[#This Row],[base retencion]],0,PROVEEDORES[[#This Row],[retención aplicada]])</f>
        <v>2.5000000000000001E-2</v>
      </c>
      <c r="Q996" s="24">
        <f>+PROVEEDORES[[#This Row],[Rete Fuente %]]*PROVEEDORES[[#This Row],[SUBTOTAL]]</f>
        <v>58405</v>
      </c>
      <c r="R996" s="23">
        <v>2721673</v>
      </c>
      <c r="S99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6" s="99">
        <f ca="1">IF(PROVEEDORES[[#This Row],[FECHA DE PAGO]]=0,TODAY()-PROVEEDORES[[#This Row],[FECHA DE FACTURACIÓN]]-PROVEEDORES[[#This Row],[PLAZO Días]],0)</f>
        <v>0</v>
      </c>
      <c r="U996" s="149" t="str">
        <f>+VLOOKUP(PROVEEDORES[[#This Row],[PROVEEDOR]],Terceros!$A:$E,5,FALSE)</f>
        <v>2,5% con base</v>
      </c>
      <c r="V996" s="150">
        <f>+YEAR(PROVEEDORES[[#This Row],[FECHA DE FACTURACIÓN]])</f>
        <v>2021</v>
      </c>
      <c r="W996" s="150">
        <f>+MATCH(PROVEEDORES[[#This Row],[año facturado]],Retenciones!$1:$1,0)</f>
        <v>4</v>
      </c>
      <c r="X996" s="151">
        <f>+VLOOKUP(PROVEEDORES[[#This Row],[ID RETENCION]],Retenciones!$A$1:$O$24,PROVEEDORES[[#This Row],[indicador de columna]],FALSE)</f>
        <v>980000</v>
      </c>
      <c r="Y996" s="152">
        <f>+VLOOKUP(PROVEEDORES[[#This Row],[ID RETENCION]],Retenciones!$A$1:$O$24,2,FALSE)</f>
        <v>2.5000000000000001E-2</v>
      </c>
      <c r="Z996" s="26"/>
      <c r="AA996" s="26"/>
      <c r="AB996" s="26"/>
      <c r="AC996" s="26"/>
      <c r="AD996" s="26"/>
      <c r="AE996" s="26"/>
    </row>
    <row r="997" spans="1:31" ht="21.95" customHeight="1" x14ac:dyDescent="0.25">
      <c r="A997" s="97" t="str">
        <f>+IF(PROVEEDORES[[#This Row],[FECHA DE PAGO]]=PROVEEDORES[[#This Row],[FECHA DE FACTURACIÓN]],"DE CONTADO","CRÉDITO")</f>
        <v>CRÉDITO</v>
      </c>
      <c r="B997" s="41" t="str">
        <f>+IF((PROVEEDORES[[#This Row],[FECHA DE PAGO]]-PROVEEDORES[[#This Row],[FECHA DE FACTURACIÓN]])&gt;PROVEEDORES[[#This Row],[PLAZO Días]],"PAGO VENCIDO")</f>
        <v>PAGO VENCIDO</v>
      </c>
      <c r="C997" s="22">
        <f>+VLOOKUP(PROVEEDORES[[#This Row],[PROVEEDOR]],TERCEROS_INFO[#All],2,FALSE)</f>
        <v>30</v>
      </c>
      <c r="D997" s="27">
        <f>+SUMIFS(PROVEEDORES[Total],PROVEEDORES[PROVEEDOR],PROVEEDORES[[#This Row],[PROVEEDOR]],PROVEEDORES[FECHA DE PAGO],"")</f>
        <v>3844432.4999000002</v>
      </c>
      <c r="E997" s="27"/>
      <c r="F997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997" s="95">
        <v>44552</v>
      </c>
      <c r="H997" s="28" t="s">
        <v>18</v>
      </c>
      <c r="I997" s="95">
        <v>44519</v>
      </c>
      <c r="J997" s="38">
        <v>1046143</v>
      </c>
      <c r="K997" s="23">
        <v>2166866.4</v>
      </c>
      <c r="L997" s="23"/>
      <c r="M997" s="24">
        <v>411704.61599999998</v>
      </c>
      <c r="N997" s="25"/>
      <c r="O997" s="24">
        <v>0</v>
      </c>
      <c r="P997" s="136">
        <f>+IF(PROVEEDORES[[#This Row],[SUBTOTAL]]&lt;PROVEEDORES[[#This Row],[base retencion]],0,PROVEEDORES[[#This Row],[retención aplicada]])</f>
        <v>2.5000000000000001E-2</v>
      </c>
      <c r="Q997" s="24">
        <f>+PROVEEDORES[[#This Row],[Rete Fuente %]]*PROVEEDORES[[#This Row],[SUBTOTAL]]</f>
        <v>54171.66</v>
      </c>
      <c r="R997" s="23">
        <v>2524399.3559999997</v>
      </c>
      <c r="S99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7" s="99">
        <f ca="1">IF(PROVEEDORES[[#This Row],[FECHA DE PAGO]]=0,TODAY()-PROVEEDORES[[#This Row],[FECHA DE FACTURACIÓN]]-PROVEEDORES[[#This Row],[PLAZO Días]],0)</f>
        <v>0</v>
      </c>
      <c r="U997" s="149" t="str">
        <f>+VLOOKUP(PROVEEDORES[[#This Row],[PROVEEDOR]],Terceros!$A:$E,5,FALSE)</f>
        <v>2,5% con base</v>
      </c>
      <c r="V997" s="150">
        <f>+YEAR(PROVEEDORES[[#This Row],[FECHA DE FACTURACIÓN]])</f>
        <v>2021</v>
      </c>
      <c r="W997" s="150">
        <f>+MATCH(PROVEEDORES[[#This Row],[año facturado]],Retenciones!$1:$1,0)</f>
        <v>4</v>
      </c>
      <c r="X997" s="151">
        <f>+VLOOKUP(PROVEEDORES[[#This Row],[ID RETENCION]],Retenciones!$A$1:$O$24,PROVEEDORES[[#This Row],[indicador de columna]],FALSE)</f>
        <v>980000</v>
      </c>
      <c r="Y997" s="152">
        <f>+VLOOKUP(PROVEEDORES[[#This Row],[ID RETENCION]],Retenciones!$A$1:$O$24,2,FALSE)</f>
        <v>2.5000000000000001E-2</v>
      </c>
      <c r="Z997" s="26"/>
      <c r="AA997" s="26"/>
      <c r="AB997" s="26"/>
      <c r="AC997" s="26"/>
      <c r="AD997" s="26"/>
      <c r="AE997" s="26"/>
    </row>
    <row r="998" spans="1:31" ht="21.95" customHeight="1" x14ac:dyDescent="0.25">
      <c r="A998" s="97" t="str">
        <f>+IF(PROVEEDORES[[#This Row],[FECHA DE PAGO]]=PROVEEDORES[[#This Row],[FECHA DE FACTURACIÓN]],"DE CONTADO","CRÉDITO")</f>
        <v>CRÉDITO</v>
      </c>
      <c r="B998" s="41" t="str">
        <f>+IF((PROVEEDORES[[#This Row],[FECHA DE PAGO]]-PROVEEDORES[[#This Row],[FECHA DE FACTURACIÓN]])&gt;PROVEEDORES[[#This Row],[PLAZO Días]],"PAGO VENCIDO")</f>
        <v>PAGO VENCIDO</v>
      </c>
      <c r="C998" s="22">
        <f>+VLOOKUP(PROVEEDORES[[#This Row],[PROVEEDOR]],TERCEROS_INFO[#All],2,FALSE)</f>
        <v>30</v>
      </c>
      <c r="D998" s="27">
        <f>+SUMIFS(PROVEEDORES[Total],PROVEEDORES[PROVEEDOR],PROVEEDORES[[#This Row],[PROVEEDOR]],PROVEEDORES[FECHA DE PAGO],"")</f>
        <v>0</v>
      </c>
      <c r="E998" s="27"/>
      <c r="F998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998" s="95">
        <v>44575</v>
      </c>
      <c r="H998" s="28" t="s">
        <v>511</v>
      </c>
      <c r="I998" s="95">
        <v>44519</v>
      </c>
      <c r="J998" s="38" t="s">
        <v>618</v>
      </c>
      <c r="K998" s="23">
        <v>6535284</v>
      </c>
      <c r="L998" s="23"/>
      <c r="M998" s="24">
        <v>1241703.96</v>
      </c>
      <c r="N998" s="25"/>
      <c r="O998" s="24">
        <v>0</v>
      </c>
      <c r="P998" s="136">
        <f>+IF(PROVEEDORES[[#This Row],[SUBTOTAL]]&lt;PROVEEDORES[[#This Row],[base retencion]],0,PROVEEDORES[[#This Row],[retención aplicada]])</f>
        <v>0</v>
      </c>
      <c r="Q998" s="24">
        <f>+PROVEEDORES[[#This Row],[Rete Fuente %]]*PROVEEDORES[[#This Row],[SUBTOTAL]]</f>
        <v>0</v>
      </c>
      <c r="R998" s="23">
        <v>7776987.96</v>
      </c>
      <c r="S99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8" s="99">
        <f ca="1">IF(PROVEEDORES[[#This Row],[FECHA DE PAGO]]=0,TODAY()-PROVEEDORES[[#This Row],[FECHA DE FACTURACIÓN]]-PROVEEDORES[[#This Row],[PLAZO Días]],0)</f>
        <v>0</v>
      </c>
      <c r="U998" s="149">
        <f>+VLOOKUP(PROVEEDORES[[#This Row],[PROVEEDOR]],Terceros!$A:$E,5,FALSE)</f>
        <v>0</v>
      </c>
      <c r="V998" s="150">
        <f>+YEAR(PROVEEDORES[[#This Row],[FECHA DE FACTURACIÓN]])</f>
        <v>2021</v>
      </c>
      <c r="W998" s="150">
        <f>+MATCH(PROVEEDORES[[#This Row],[año facturado]],Retenciones!$1:$1,0)</f>
        <v>4</v>
      </c>
      <c r="X998" s="151">
        <f>+VLOOKUP(PROVEEDORES[[#This Row],[ID RETENCION]],Retenciones!$A$1:$O$24,PROVEEDORES[[#This Row],[indicador de columna]],FALSE)</f>
        <v>0</v>
      </c>
      <c r="Y998" s="152">
        <f>+VLOOKUP(PROVEEDORES[[#This Row],[ID RETENCION]],Retenciones!$A$1:$O$24,2,FALSE)</f>
        <v>0</v>
      </c>
      <c r="Z998" s="26"/>
      <c r="AA998" s="26"/>
      <c r="AB998" s="26"/>
      <c r="AC998" s="26"/>
      <c r="AD998" s="26"/>
      <c r="AE998" s="26"/>
    </row>
    <row r="999" spans="1:31" ht="21.95" customHeight="1" x14ac:dyDescent="0.25">
      <c r="A999" s="97" t="str">
        <f>+IF(PROVEEDORES[[#This Row],[FECHA DE PAGO]]=PROVEEDORES[[#This Row],[FECHA DE FACTURACIÓN]],"DE CONTADO","CRÉDITO")</f>
        <v>DE CONTADO</v>
      </c>
      <c r="B999" s="41" t="b">
        <f>+IF((PROVEEDORES[[#This Row],[FECHA DE PAGO]]-PROVEEDORES[[#This Row],[FECHA DE FACTURACIÓN]])&gt;PROVEEDORES[[#This Row],[PLAZO Días]],"PAGO VENCIDO")</f>
        <v>0</v>
      </c>
      <c r="C999" s="22">
        <f>+VLOOKUP(PROVEEDORES[[#This Row],[PROVEEDOR]],TERCEROS_INFO[#All],2,FALSE)</f>
        <v>30</v>
      </c>
      <c r="D999" s="27">
        <f>+SUMIFS(PROVEEDORES[Total],PROVEEDORES[PROVEEDOR],PROVEEDORES[[#This Row],[PROVEEDOR]],PROVEEDORES[FECHA DE PAGO],"")</f>
        <v>0</v>
      </c>
      <c r="E999" s="27"/>
      <c r="F999" s="62" t="str">
        <f>+VLOOKUP(PROVEEDORES[[#This Row],[PROVEEDOR]],
                       Terceros!$A:$G,
                       6,
                       FALSE)</f>
        <v/>
      </c>
      <c r="G999" s="95">
        <v>44520</v>
      </c>
      <c r="H999" s="28" t="s">
        <v>1010</v>
      </c>
      <c r="I999" s="95">
        <v>44520</v>
      </c>
      <c r="J999" s="38" t="s">
        <v>615</v>
      </c>
      <c r="K999" s="23">
        <v>350000</v>
      </c>
      <c r="L999" s="23"/>
      <c r="M999" s="24">
        <v>0</v>
      </c>
      <c r="N999" s="25"/>
      <c r="O999" s="24">
        <v>0</v>
      </c>
      <c r="P999" s="136">
        <f>+IF(PROVEEDORES[[#This Row],[SUBTOTAL]]&lt;PROVEEDORES[[#This Row],[base retencion]],0,PROVEEDORES[[#This Row],[retención aplicada]])</f>
        <v>0</v>
      </c>
      <c r="Q999" s="24">
        <f>+PROVEEDORES[[#This Row],[Rete Fuente %]]*PROVEEDORES[[#This Row],[SUBTOTAL]]</f>
        <v>0</v>
      </c>
      <c r="R999" s="23">
        <v>350000</v>
      </c>
      <c r="S99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9" s="99">
        <f ca="1">IF(PROVEEDORES[[#This Row],[FECHA DE PAGO]]=0,TODAY()-PROVEEDORES[[#This Row],[FECHA DE FACTURACIÓN]]-PROVEEDORES[[#This Row],[PLAZO Días]],0)</f>
        <v>0</v>
      </c>
      <c r="U999" s="149">
        <f>+VLOOKUP(PROVEEDORES[[#This Row],[PROVEEDOR]],Terceros!$A:$E,5,FALSE)</f>
        <v>0</v>
      </c>
      <c r="V999" s="150">
        <f>+YEAR(PROVEEDORES[[#This Row],[FECHA DE FACTURACIÓN]])</f>
        <v>2021</v>
      </c>
      <c r="W999" s="150">
        <f>+MATCH(PROVEEDORES[[#This Row],[año facturado]],Retenciones!$1:$1,0)</f>
        <v>4</v>
      </c>
      <c r="X999" s="151">
        <f>+VLOOKUP(PROVEEDORES[[#This Row],[ID RETENCION]],Retenciones!$A$1:$O$24,PROVEEDORES[[#This Row],[indicador de columna]],FALSE)</f>
        <v>0</v>
      </c>
      <c r="Y999" s="152">
        <f>+VLOOKUP(PROVEEDORES[[#This Row],[ID RETENCION]],Retenciones!$A$1:$O$24,2,FALSE)</f>
        <v>0</v>
      </c>
      <c r="Z999" s="26"/>
      <c r="AA999" s="26"/>
      <c r="AB999" s="26"/>
      <c r="AC999" s="26"/>
      <c r="AD999" s="26"/>
      <c r="AE999" s="26"/>
    </row>
    <row r="1000" spans="1:31" ht="21.95" customHeight="1" x14ac:dyDescent="0.25">
      <c r="A1000" s="97" t="str">
        <f>+IF(PROVEEDORES[[#This Row],[FECHA DE PAGO]]=PROVEEDORES[[#This Row],[FECHA DE FACTURACIÓN]],"DE CONTADO","CRÉDITO")</f>
        <v>DE CONTADO</v>
      </c>
      <c r="B1000" s="41" t="b">
        <f>+IF((PROVEEDORES[[#This Row],[FECHA DE PAGO]]-PROVEEDORES[[#This Row],[FECHA DE FACTURACIÓN]])&gt;PROVEEDORES[[#This Row],[PLAZO Días]],"PAGO VENCIDO")</f>
        <v>0</v>
      </c>
      <c r="C1000" s="22">
        <f>+VLOOKUP(PROVEEDORES[[#This Row],[PROVEEDOR]],TERCEROS_INFO[#All],2,FALSE)</f>
        <v>30</v>
      </c>
      <c r="D1000" s="27">
        <f>+SUMIFS(PROVEEDORES[Total],PROVEEDORES[PROVEEDOR],PROVEEDORES[[#This Row],[PROVEEDOR]],PROVEEDORES[FECHA DE PAGO],"")</f>
        <v>0</v>
      </c>
      <c r="E1000" s="27"/>
      <c r="F1000" s="62" t="str">
        <f>+VLOOKUP(PROVEEDORES[[#This Row],[PROVEEDOR]],
                       Terceros!$A:$G,
                       6,
                       FALSE)</f>
        <v/>
      </c>
      <c r="G1000" s="95">
        <v>44520</v>
      </c>
      <c r="H1000" s="28" t="s">
        <v>1046</v>
      </c>
      <c r="I1000" s="95">
        <v>44520</v>
      </c>
      <c r="J1000" s="38"/>
      <c r="K1000" s="23">
        <v>1000000</v>
      </c>
      <c r="L1000" s="23"/>
      <c r="M1000" s="24">
        <v>0</v>
      </c>
      <c r="N1000" s="25"/>
      <c r="O1000" s="24">
        <v>0</v>
      </c>
      <c r="P1000" s="136">
        <f>+IF(PROVEEDORES[[#This Row],[SUBTOTAL]]&lt;PROVEEDORES[[#This Row],[base retencion]],0,PROVEEDORES[[#This Row],[retención aplicada]])</f>
        <v>0</v>
      </c>
      <c r="Q1000" s="24">
        <f>+PROVEEDORES[[#This Row],[Rete Fuente %]]*PROVEEDORES[[#This Row],[SUBTOTAL]]</f>
        <v>0</v>
      </c>
      <c r="R1000" s="23">
        <v>1000000</v>
      </c>
      <c r="S100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0" s="99">
        <f ca="1">IF(PROVEEDORES[[#This Row],[FECHA DE PAGO]]=0,TODAY()-PROVEEDORES[[#This Row],[FECHA DE FACTURACIÓN]]-PROVEEDORES[[#This Row],[PLAZO Días]],0)</f>
        <v>0</v>
      </c>
      <c r="U1000" s="149">
        <f>+VLOOKUP(PROVEEDORES[[#This Row],[PROVEEDOR]],Terceros!$A:$E,5,FALSE)</f>
        <v>0</v>
      </c>
      <c r="V1000" s="150">
        <f>+YEAR(PROVEEDORES[[#This Row],[FECHA DE FACTURACIÓN]])</f>
        <v>2021</v>
      </c>
      <c r="W1000" s="150">
        <f>+MATCH(PROVEEDORES[[#This Row],[año facturado]],Retenciones!$1:$1,0)</f>
        <v>4</v>
      </c>
      <c r="X1000" s="151">
        <f>+VLOOKUP(PROVEEDORES[[#This Row],[ID RETENCION]],Retenciones!$A$1:$O$24,PROVEEDORES[[#This Row],[indicador de columna]],FALSE)</f>
        <v>0</v>
      </c>
      <c r="Y1000" s="152">
        <f>+VLOOKUP(PROVEEDORES[[#This Row],[ID RETENCION]],Retenciones!$A$1:$O$24,2,FALSE)</f>
        <v>0</v>
      </c>
      <c r="Z1000" s="26"/>
      <c r="AA1000" s="26"/>
      <c r="AB1000" s="26"/>
      <c r="AC1000" s="26"/>
      <c r="AD1000" s="26"/>
      <c r="AE1000" s="26"/>
    </row>
    <row r="1001" spans="1:31" ht="21.95" customHeight="1" x14ac:dyDescent="0.25">
      <c r="A1001" s="97" t="str">
        <f>+IF(PROVEEDORES[[#This Row],[FECHA DE PAGO]]=PROVEEDORES[[#This Row],[FECHA DE FACTURACIÓN]],"DE CONTADO","CRÉDITO")</f>
        <v>CRÉDITO</v>
      </c>
      <c r="B1001" s="41" t="str">
        <f>+IF((PROVEEDORES[[#This Row],[FECHA DE PAGO]]-PROVEEDORES[[#This Row],[FECHA DE FACTURACIÓN]])&gt;PROVEEDORES[[#This Row],[PLAZO Días]],"PAGO VENCIDO")</f>
        <v>PAGO VENCIDO</v>
      </c>
      <c r="C1001" s="22">
        <f>+VLOOKUP(PROVEEDORES[[#This Row],[PROVEEDOR]],TERCEROS_INFO[#All],2,FALSE)</f>
        <v>30</v>
      </c>
      <c r="D1001" s="27">
        <f>+SUMIFS(PROVEEDORES[Total],PROVEEDORES[PROVEEDOR],PROVEEDORES[[#This Row],[PROVEEDOR]],PROVEEDORES[FECHA DE PAGO],"")</f>
        <v>2588352.5</v>
      </c>
      <c r="E1001" s="27"/>
      <c r="F1001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1001" s="95">
        <v>44554</v>
      </c>
      <c r="H1001" s="28" t="s">
        <v>1088</v>
      </c>
      <c r="I1001" s="95">
        <v>44522</v>
      </c>
      <c r="J1001" s="38">
        <v>7732</v>
      </c>
      <c r="K1001" s="23">
        <v>256000</v>
      </c>
      <c r="L1001" s="23"/>
      <c r="M1001" s="24">
        <v>48640</v>
      </c>
      <c r="N1001" s="25"/>
      <c r="O1001" s="24">
        <v>0</v>
      </c>
      <c r="P1001" s="136">
        <f>+IF(PROVEEDORES[[#This Row],[SUBTOTAL]]&lt;PROVEEDORES[[#This Row],[base retencion]],0,PROVEEDORES[[#This Row],[retención aplicada]])</f>
        <v>0</v>
      </c>
      <c r="Q1001" s="24">
        <f>+PROVEEDORES[[#This Row],[Rete Fuente %]]*PROVEEDORES[[#This Row],[SUBTOTAL]]</f>
        <v>0</v>
      </c>
      <c r="R1001" s="23">
        <v>304640</v>
      </c>
      <c r="S100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1" s="99">
        <f ca="1">IF(PROVEEDORES[[#This Row],[FECHA DE PAGO]]=0,TODAY()-PROVEEDORES[[#This Row],[FECHA DE FACTURACIÓN]]-PROVEEDORES[[#This Row],[PLAZO Días]],0)</f>
        <v>0</v>
      </c>
      <c r="U1001" s="149" t="str">
        <f>+VLOOKUP(PROVEEDORES[[#This Row],[PROVEEDOR]],Terceros!$A:$E,5,FALSE)</f>
        <v>2,5% con base</v>
      </c>
      <c r="V1001" s="150">
        <f>+YEAR(PROVEEDORES[[#This Row],[FECHA DE FACTURACIÓN]])</f>
        <v>2021</v>
      </c>
      <c r="W1001" s="150">
        <f>+MATCH(PROVEEDORES[[#This Row],[año facturado]],Retenciones!$1:$1,0)</f>
        <v>4</v>
      </c>
      <c r="X1001" s="151">
        <f>+VLOOKUP(PROVEEDORES[[#This Row],[ID RETENCION]],Retenciones!$A$1:$O$24,PROVEEDORES[[#This Row],[indicador de columna]],FALSE)</f>
        <v>980000</v>
      </c>
      <c r="Y1001" s="152">
        <f>+VLOOKUP(PROVEEDORES[[#This Row],[ID RETENCION]],Retenciones!$A$1:$O$24,2,FALSE)</f>
        <v>2.5000000000000001E-2</v>
      </c>
      <c r="Z1001" s="26"/>
      <c r="AA1001" s="26"/>
      <c r="AB1001" s="26"/>
      <c r="AC1001" s="26"/>
      <c r="AD1001" s="26"/>
      <c r="AE1001" s="26"/>
    </row>
    <row r="1002" spans="1:31" ht="21.95" customHeight="1" x14ac:dyDescent="0.25">
      <c r="A1002" s="97" t="str">
        <f>+IF(PROVEEDORES[[#This Row],[FECHA DE PAGO]]=PROVEEDORES[[#This Row],[FECHA DE FACTURACIÓN]],"DE CONTADO","CRÉDITO")</f>
        <v>CRÉDITO</v>
      </c>
      <c r="B1002" s="41" t="b">
        <f>+IF((PROVEEDORES[[#This Row],[FECHA DE PAGO]]-PROVEEDORES[[#This Row],[FECHA DE FACTURACIÓN]])&gt;PROVEEDORES[[#This Row],[PLAZO Días]],"PAGO VENCIDO")</f>
        <v>0</v>
      </c>
      <c r="C1002" s="22">
        <f>+VLOOKUP(PROVEEDORES[[#This Row],[PROVEEDOR]],TERCEROS_INFO[#All],2,FALSE)</f>
        <v>30</v>
      </c>
      <c r="D1002" s="27">
        <f>+SUMIFS(PROVEEDORES[Total],PROVEEDORES[PROVEEDOR],PROVEEDORES[[#This Row],[PROVEEDOR]],PROVEEDORES[FECHA DE PAGO],"")</f>
        <v>21832129.73</v>
      </c>
      <c r="E1002" s="27"/>
      <c r="F1002" s="62" t="str">
        <f>+VLOOKUP(PROVEEDORES[[#This Row],[PROVEEDOR]],
                       Terceros!$A:$G,
                       6,
                       FALSE)</f>
        <v>cartera1@grupostatur.com;girlesa.ruiz@servipilas.com;joriescobar64@gmail.com</v>
      </c>
      <c r="G1002" s="95">
        <v>44533</v>
      </c>
      <c r="H1002" s="28" t="s">
        <v>9</v>
      </c>
      <c r="I1002" s="95">
        <v>44523</v>
      </c>
      <c r="J1002" s="38" t="s">
        <v>867</v>
      </c>
      <c r="K1002" s="23">
        <v>-6000000</v>
      </c>
      <c r="L1002" s="23"/>
      <c r="M1002" s="24">
        <v>0</v>
      </c>
      <c r="N1002" s="25"/>
      <c r="O1002" s="24">
        <v>0</v>
      </c>
      <c r="P1002" s="136">
        <f>+IF(PROVEEDORES[[#This Row],[SUBTOTAL]]&lt;PROVEEDORES[[#This Row],[base retencion]],0,PROVEEDORES[[#This Row],[retención aplicada]])</f>
        <v>0</v>
      </c>
      <c r="Q1002" s="24">
        <f>+PROVEEDORES[[#This Row],[Rete Fuente %]]*PROVEEDORES[[#This Row],[SUBTOTAL]]</f>
        <v>0</v>
      </c>
      <c r="R1002" s="23">
        <v>-6000000</v>
      </c>
      <c r="S100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2" s="99">
        <f ca="1">IF(PROVEEDORES[[#This Row],[FECHA DE PAGO]]=0,TODAY()-PROVEEDORES[[#This Row],[FECHA DE FACTURACIÓN]]-PROVEEDORES[[#This Row],[PLAZO Días]],0)</f>
        <v>0</v>
      </c>
      <c r="U1002" s="149" t="str">
        <f>+VLOOKUP(PROVEEDORES[[#This Row],[PROVEEDOR]],Terceros!$A:$E,5,FALSE)</f>
        <v>2,5% con base</v>
      </c>
      <c r="V1002" s="150">
        <f>+YEAR(PROVEEDORES[[#This Row],[FECHA DE FACTURACIÓN]])</f>
        <v>2021</v>
      </c>
      <c r="W1002" s="150">
        <f>+MATCH(PROVEEDORES[[#This Row],[año facturado]],Retenciones!$1:$1,0)</f>
        <v>4</v>
      </c>
      <c r="X1002" s="151">
        <f>+VLOOKUP(PROVEEDORES[[#This Row],[ID RETENCION]],Retenciones!$A$1:$O$24,PROVEEDORES[[#This Row],[indicador de columna]],FALSE)</f>
        <v>980000</v>
      </c>
      <c r="Y1002" s="152">
        <f>+VLOOKUP(PROVEEDORES[[#This Row],[ID RETENCION]],Retenciones!$A$1:$O$24,2,FALSE)</f>
        <v>2.5000000000000001E-2</v>
      </c>
      <c r="Z1002" s="26"/>
      <c r="AA1002" s="26"/>
      <c r="AB1002" s="26"/>
      <c r="AC1002" s="26"/>
      <c r="AD1002" s="26"/>
      <c r="AE1002" s="26"/>
    </row>
    <row r="1003" spans="1:31" ht="21.95" customHeight="1" x14ac:dyDescent="0.25">
      <c r="A1003" s="97" t="str">
        <f>+IF(PROVEEDORES[[#This Row],[FECHA DE PAGO]]=PROVEEDORES[[#This Row],[FECHA DE FACTURACIÓN]],"DE CONTADO","CRÉDITO")</f>
        <v>CRÉDITO</v>
      </c>
      <c r="B1003" s="41" t="b">
        <f>+IF((PROVEEDORES[[#This Row],[FECHA DE PAGO]]-PROVEEDORES[[#This Row],[FECHA DE FACTURACIÓN]])&gt;PROVEEDORES[[#This Row],[PLAZO Días]],"PAGO VENCIDO")</f>
        <v>0</v>
      </c>
      <c r="C1003" s="22">
        <f>+VLOOKUP(PROVEEDORES[[#This Row],[PROVEEDOR]],TERCEROS_INFO[#All],2,FALSE)</f>
        <v>90</v>
      </c>
      <c r="D1003" s="27">
        <f>+SUMIFS(PROVEEDORES[Total],PROVEEDORES[PROVEEDOR],PROVEEDORES[[#This Row],[PROVEEDOR]],PROVEEDORES[FECHA DE PAGO],"")</f>
        <v>28052953.019999996</v>
      </c>
      <c r="E1003" s="27"/>
      <c r="F1003" s="62" t="str">
        <f>+VLOOKUP(PROVEEDORES[[#This Row],[PROVEEDOR]],
                       Terceros!$A:$G,
                       6,
                       FALSE)</f>
        <v>criszapata1234@gmail.com;girlesa.ruiz@servipilas.com;joriescobar64@gmail.com</v>
      </c>
      <c r="G1003" s="95">
        <v>44533</v>
      </c>
      <c r="H1003" s="28" t="s">
        <v>78</v>
      </c>
      <c r="I1003" s="95">
        <v>44523</v>
      </c>
      <c r="J1003" s="38" t="s">
        <v>597</v>
      </c>
      <c r="K1003" s="23">
        <v>-2000000</v>
      </c>
      <c r="L1003" s="23"/>
      <c r="M1003" s="24">
        <v>0</v>
      </c>
      <c r="N1003" s="25"/>
      <c r="O1003" s="24">
        <v>0</v>
      </c>
      <c r="P1003" s="136">
        <f>+IF(PROVEEDORES[[#This Row],[SUBTOTAL]]&lt;PROVEEDORES[[#This Row],[base retencion]],0,PROVEEDORES[[#This Row],[retención aplicada]])</f>
        <v>0</v>
      </c>
      <c r="Q1003" s="24">
        <f>+PROVEEDORES[[#This Row],[Rete Fuente %]]*PROVEEDORES[[#This Row],[SUBTOTAL]]</f>
        <v>0</v>
      </c>
      <c r="R1003" s="23">
        <v>-2000000</v>
      </c>
      <c r="S100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3" s="99">
        <f ca="1">IF(PROVEEDORES[[#This Row],[FECHA DE PAGO]]=0,TODAY()-PROVEEDORES[[#This Row],[FECHA DE FACTURACIÓN]]-PROVEEDORES[[#This Row],[PLAZO Días]],0)</f>
        <v>0</v>
      </c>
      <c r="U1003" s="149" t="str">
        <f>+VLOOKUP(PROVEEDORES[[#This Row],[PROVEEDOR]],Terceros!$A:$E,5,FALSE)</f>
        <v>2,5% con base</v>
      </c>
      <c r="V1003" s="150">
        <f>+YEAR(PROVEEDORES[[#This Row],[FECHA DE FACTURACIÓN]])</f>
        <v>2021</v>
      </c>
      <c r="W1003" s="150">
        <f>+MATCH(PROVEEDORES[[#This Row],[año facturado]],Retenciones!$1:$1,0)</f>
        <v>4</v>
      </c>
      <c r="X1003" s="151">
        <f>+VLOOKUP(PROVEEDORES[[#This Row],[ID RETENCION]],Retenciones!$A$1:$O$24,PROVEEDORES[[#This Row],[indicador de columna]],FALSE)</f>
        <v>980000</v>
      </c>
      <c r="Y1003" s="152">
        <f>+VLOOKUP(PROVEEDORES[[#This Row],[ID RETENCION]],Retenciones!$A$1:$O$24,2,FALSE)</f>
        <v>2.5000000000000001E-2</v>
      </c>
      <c r="Z1003" s="26"/>
      <c r="AA1003" s="26"/>
      <c r="AB1003" s="26"/>
      <c r="AC1003" s="26"/>
      <c r="AD1003" s="26"/>
      <c r="AE1003" s="26"/>
    </row>
    <row r="1004" spans="1:31" ht="21.95" customHeight="1" x14ac:dyDescent="0.25">
      <c r="A1004" s="97" t="str">
        <f>+IF(PROVEEDORES[[#This Row],[FECHA DE PAGO]]=PROVEEDORES[[#This Row],[FECHA DE FACTURACIÓN]],"DE CONTADO","CRÉDITO")</f>
        <v>CRÉDITO</v>
      </c>
      <c r="B1004" s="41" t="b">
        <f>+IF((PROVEEDORES[[#This Row],[FECHA DE PAGO]]-PROVEEDORES[[#This Row],[FECHA DE FACTURACIÓN]])&gt;PROVEEDORES[[#This Row],[PLAZO Días]],"PAGO VENCIDO")</f>
        <v>0</v>
      </c>
      <c r="C1004" s="22">
        <f>+VLOOKUP(PROVEEDORES[[#This Row],[PROVEEDOR]],TERCEROS_INFO[#All],2,FALSE)</f>
        <v>30</v>
      </c>
      <c r="D1004" s="27">
        <f>+SUMIFS(PROVEEDORES[Total],PROVEEDORES[PROVEEDOR],PROVEEDORES[[#This Row],[PROVEEDOR]],PROVEEDORES[FECHA DE PAGO],"")</f>
        <v>264406</v>
      </c>
      <c r="E1004" s="27"/>
      <c r="F1004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1004" s="95">
        <v>44533</v>
      </c>
      <c r="H1004" s="28" t="s">
        <v>390</v>
      </c>
      <c r="I1004" s="95">
        <v>44523</v>
      </c>
      <c r="J1004" s="38" t="s">
        <v>627</v>
      </c>
      <c r="K1004" s="23">
        <v>3402</v>
      </c>
      <c r="L1004" s="23"/>
      <c r="M1004" s="24">
        <v>0</v>
      </c>
      <c r="N1004" s="25"/>
      <c r="O1004" s="24">
        <v>0</v>
      </c>
      <c r="P1004" s="136">
        <f>+IF(PROVEEDORES[[#This Row],[SUBTOTAL]]&lt;PROVEEDORES[[#This Row],[base retencion]],0,PROVEEDORES[[#This Row],[retención aplicada]])</f>
        <v>0</v>
      </c>
      <c r="Q1004" s="24">
        <f>+PROVEEDORES[[#This Row],[Rete Fuente %]]*PROVEEDORES[[#This Row],[SUBTOTAL]]</f>
        <v>0</v>
      </c>
      <c r="R1004" s="23">
        <v>3402</v>
      </c>
      <c r="S100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4" s="99">
        <f ca="1">IF(PROVEEDORES[[#This Row],[FECHA DE PAGO]]=0,TODAY()-PROVEEDORES[[#This Row],[FECHA DE FACTURACIÓN]]-PROVEEDORES[[#This Row],[PLAZO Días]],0)</f>
        <v>0</v>
      </c>
      <c r="U1004" s="149">
        <f>+VLOOKUP(PROVEEDORES[[#This Row],[PROVEEDOR]],Terceros!$A:$E,5,FALSE)</f>
        <v>0</v>
      </c>
      <c r="V1004" s="150">
        <f>+YEAR(PROVEEDORES[[#This Row],[FECHA DE FACTURACIÓN]])</f>
        <v>2021</v>
      </c>
      <c r="W1004" s="150">
        <f>+MATCH(PROVEEDORES[[#This Row],[año facturado]],Retenciones!$1:$1,0)</f>
        <v>4</v>
      </c>
      <c r="X1004" s="151">
        <f>+VLOOKUP(PROVEEDORES[[#This Row],[ID RETENCION]],Retenciones!$A$1:$O$24,PROVEEDORES[[#This Row],[indicador de columna]],FALSE)</f>
        <v>0</v>
      </c>
      <c r="Y1004" s="152">
        <f>+VLOOKUP(PROVEEDORES[[#This Row],[ID RETENCION]],Retenciones!$A$1:$O$24,2,FALSE)</f>
        <v>0</v>
      </c>
      <c r="Z1004" s="26"/>
      <c r="AA1004" s="26"/>
      <c r="AB1004" s="26"/>
      <c r="AC1004" s="26"/>
      <c r="AD1004" s="26"/>
      <c r="AE1004" s="26"/>
    </row>
    <row r="1005" spans="1:31" ht="21.95" customHeight="1" x14ac:dyDescent="0.25">
      <c r="A1005" s="97" t="str">
        <f>+IF(PROVEEDORES[[#This Row],[FECHA DE PAGO]]=PROVEEDORES[[#This Row],[FECHA DE FACTURACIÓN]],"DE CONTADO","CRÉDITO")</f>
        <v>DE CONTADO</v>
      </c>
      <c r="B1005" s="41" t="b">
        <f>+IF((PROVEEDORES[[#This Row],[FECHA DE PAGO]]-PROVEEDORES[[#This Row],[FECHA DE FACTURACIÓN]])&gt;PROVEEDORES[[#This Row],[PLAZO Días]],"PAGO VENCIDO")</f>
        <v>0</v>
      </c>
      <c r="C1005" s="22">
        <f>+VLOOKUP(PROVEEDORES[[#This Row],[PROVEEDOR]],TERCEROS_INFO[#All],2,FALSE)</f>
        <v>30</v>
      </c>
      <c r="D1005" s="27">
        <f>+SUMIFS(PROVEEDORES[Total],PROVEEDORES[PROVEEDOR],PROVEEDORES[[#This Row],[PROVEEDOR]],PROVEEDORES[FECHA DE PAGO],"")</f>
        <v>0</v>
      </c>
      <c r="E1005" s="27"/>
      <c r="F1005" s="62" t="str">
        <f>+VLOOKUP(PROVEEDORES[[#This Row],[PROVEEDOR]],
                       Terceros!$A:$G,
                       6,
                       FALSE)</f>
        <v/>
      </c>
      <c r="G1005" s="95">
        <v>44523</v>
      </c>
      <c r="H1005" s="28" t="s">
        <v>1010</v>
      </c>
      <c r="I1005" s="95">
        <v>44523</v>
      </c>
      <c r="J1005" s="38" t="s">
        <v>877</v>
      </c>
      <c r="K1005" s="23">
        <v>35000</v>
      </c>
      <c r="L1005" s="23"/>
      <c r="M1005" s="24">
        <v>0</v>
      </c>
      <c r="N1005" s="25"/>
      <c r="O1005" s="24">
        <v>0</v>
      </c>
      <c r="P1005" s="136">
        <f>+IF(PROVEEDORES[[#This Row],[SUBTOTAL]]&lt;PROVEEDORES[[#This Row],[base retencion]],0,PROVEEDORES[[#This Row],[retención aplicada]])</f>
        <v>0</v>
      </c>
      <c r="Q1005" s="24">
        <f>+PROVEEDORES[[#This Row],[Rete Fuente %]]*PROVEEDORES[[#This Row],[SUBTOTAL]]</f>
        <v>0</v>
      </c>
      <c r="R1005" s="23">
        <v>35000</v>
      </c>
      <c r="S100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5" s="99">
        <f ca="1">IF(PROVEEDORES[[#This Row],[FECHA DE PAGO]]=0,TODAY()-PROVEEDORES[[#This Row],[FECHA DE FACTURACIÓN]]-PROVEEDORES[[#This Row],[PLAZO Días]],0)</f>
        <v>0</v>
      </c>
      <c r="U1005" s="149">
        <f>+VLOOKUP(PROVEEDORES[[#This Row],[PROVEEDOR]],Terceros!$A:$E,5,FALSE)</f>
        <v>0</v>
      </c>
      <c r="V1005" s="150">
        <f>+YEAR(PROVEEDORES[[#This Row],[FECHA DE FACTURACIÓN]])</f>
        <v>2021</v>
      </c>
      <c r="W1005" s="150">
        <f>+MATCH(PROVEEDORES[[#This Row],[año facturado]],Retenciones!$1:$1,0)</f>
        <v>4</v>
      </c>
      <c r="X1005" s="151">
        <f>+VLOOKUP(PROVEEDORES[[#This Row],[ID RETENCION]],Retenciones!$A$1:$O$24,PROVEEDORES[[#This Row],[indicador de columna]],FALSE)</f>
        <v>0</v>
      </c>
      <c r="Y1005" s="152">
        <f>+VLOOKUP(PROVEEDORES[[#This Row],[ID RETENCION]],Retenciones!$A$1:$O$24,2,FALSE)</f>
        <v>0</v>
      </c>
      <c r="Z1005" s="26"/>
      <c r="AA1005" s="26"/>
      <c r="AB1005" s="26"/>
      <c r="AC1005" s="26"/>
      <c r="AD1005" s="26"/>
      <c r="AE1005" s="26"/>
    </row>
    <row r="1006" spans="1:31" ht="21.95" customHeight="1" x14ac:dyDescent="0.25">
      <c r="A1006" s="97" t="str">
        <f>+IF(PROVEEDORES[[#This Row],[FECHA DE PAGO]]=PROVEEDORES[[#This Row],[FECHA DE FACTURACIÓN]],"DE CONTADO","CRÉDITO")</f>
        <v>CRÉDITO</v>
      </c>
      <c r="B1006" s="41" t="str">
        <f>+IF((PROVEEDORES[[#This Row],[FECHA DE PAGO]]-PROVEEDORES[[#This Row],[FECHA DE FACTURACIÓN]])&gt;PROVEEDORES[[#This Row],[PLAZO Días]],"PAGO VENCIDO")</f>
        <v>PAGO VENCIDO</v>
      </c>
      <c r="C1006" s="22">
        <f>+VLOOKUP(PROVEEDORES[[#This Row],[PROVEEDOR]],TERCEROS_INFO[#All],2,FALSE)</f>
        <v>30</v>
      </c>
      <c r="D1006" s="27">
        <f>+SUMIFS(PROVEEDORES[Total],PROVEEDORES[PROVEEDOR],PROVEEDORES[[#This Row],[PROVEEDOR]],PROVEEDORES[FECHA DE PAGO],"")</f>
        <v>0</v>
      </c>
      <c r="E1006" s="27"/>
      <c r="F1006" s="62" t="str">
        <f>+VLOOKUP(PROVEEDORES[[#This Row],[PROVEEDOR]],
                       Terceros!$A:$G,
                       6,
                       FALSE)</f>
        <v/>
      </c>
      <c r="G1006" s="95">
        <v>44557</v>
      </c>
      <c r="H1006" s="28" t="s">
        <v>983</v>
      </c>
      <c r="I1006" s="95">
        <v>44523</v>
      </c>
      <c r="J1006" s="38" t="s">
        <v>876</v>
      </c>
      <c r="K1006" s="23">
        <v>1796500</v>
      </c>
      <c r="L1006" s="23"/>
      <c r="M1006" s="24">
        <v>0</v>
      </c>
      <c r="N1006" s="25"/>
      <c r="O1006" s="24">
        <v>0</v>
      </c>
      <c r="P1006" s="136">
        <f>+IF(PROVEEDORES[[#This Row],[SUBTOTAL]]&lt;PROVEEDORES[[#This Row],[base retencion]],0,PROVEEDORES[[#This Row],[retención aplicada]])</f>
        <v>0</v>
      </c>
      <c r="Q1006" s="24">
        <f>+PROVEEDORES[[#This Row],[Rete Fuente %]]*PROVEEDORES[[#This Row],[SUBTOTAL]]</f>
        <v>0</v>
      </c>
      <c r="R1006" s="23">
        <v>1796500</v>
      </c>
      <c r="S100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6" s="99">
        <f ca="1">IF(PROVEEDORES[[#This Row],[FECHA DE PAGO]]=0,TODAY()-PROVEEDORES[[#This Row],[FECHA DE FACTURACIÓN]]-PROVEEDORES[[#This Row],[PLAZO Días]],0)</f>
        <v>0</v>
      </c>
      <c r="U1006" s="149">
        <f>+VLOOKUP(PROVEEDORES[[#This Row],[PROVEEDOR]],Terceros!$A:$E,5,FALSE)</f>
        <v>0</v>
      </c>
      <c r="V1006" s="150">
        <f>+YEAR(PROVEEDORES[[#This Row],[FECHA DE FACTURACIÓN]])</f>
        <v>2021</v>
      </c>
      <c r="W1006" s="150">
        <f>+MATCH(PROVEEDORES[[#This Row],[año facturado]],Retenciones!$1:$1,0)</f>
        <v>4</v>
      </c>
      <c r="X1006" s="151">
        <f>+VLOOKUP(PROVEEDORES[[#This Row],[ID RETENCION]],Retenciones!$A$1:$O$24,PROVEEDORES[[#This Row],[indicador de columna]],FALSE)</f>
        <v>0</v>
      </c>
      <c r="Y1006" s="152">
        <f>+VLOOKUP(PROVEEDORES[[#This Row],[ID RETENCION]],Retenciones!$A$1:$O$24,2,FALSE)</f>
        <v>0</v>
      </c>
      <c r="Z1006" s="26"/>
      <c r="AA1006" s="26"/>
      <c r="AB1006" s="26"/>
      <c r="AC1006" s="26"/>
      <c r="AD1006" s="26"/>
      <c r="AE1006" s="26"/>
    </row>
    <row r="1007" spans="1:31" ht="21.95" customHeight="1" x14ac:dyDescent="0.25">
      <c r="A1007" s="97" t="str">
        <f>+IF(PROVEEDORES[[#This Row],[FECHA DE PAGO]]=PROVEEDORES[[#This Row],[FECHA DE FACTURACIÓN]],"DE CONTADO","CRÉDITO")</f>
        <v>CRÉDITO</v>
      </c>
      <c r="B1007" s="41" t="b">
        <f>+IF((PROVEEDORES[[#This Row],[FECHA DE PAGO]]-PROVEEDORES[[#This Row],[FECHA DE FACTURACIÓN]])&gt;PROVEEDORES[[#This Row],[PLAZO Días]],"PAGO VENCIDO")</f>
        <v>0</v>
      </c>
      <c r="C1007" s="22">
        <f>+VLOOKUP(PROVEEDORES[[#This Row],[PROVEEDOR]],TERCEROS_INFO[#All],2,FALSE)</f>
        <v>30</v>
      </c>
      <c r="D1007" s="27">
        <f>+SUMIFS(PROVEEDORES[Total],PROVEEDORES[PROVEEDOR],PROVEEDORES[[#This Row],[PROVEEDOR]],PROVEEDORES[FECHA DE PAGO],"")</f>
        <v>275944.33</v>
      </c>
      <c r="E1007" s="27"/>
      <c r="F1007" s="62" t="str">
        <f>+VLOOKUP(PROVEEDORES[[#This Row],[PROVEEDOR]],
                       Terceros!$A:$G,
                       6,
                       FALSE)</f>
        <v>facturacion@losmolinos.com.co</v>
      </c>
      <c r="G1007" s="95">
        <v>44543</v>
      </c>
      <c r="H1007" s="28" t="s">
        <v>342</v>
      </c>
      <c r="I1007" s="95">
        <v>44531</v>
      </c>
      <c r="J1007" s="38">
        <v>65384</v>
      </c>
      <c r="K1007" s="23">
        <v>302624.74</v>
      </c>
      <c r="L1007" s="23"/>
      <c r="M1007" s="24">
        <v>0</v>
      </c>
      <c r="N1007" s="25"/>
      <c r="O1007" s="24">
        <v>49511.08</v>
      </c>
      <c r="P1007" s="136">
        <f>+IF(PROVEEDORES[[#This Row],[SUBTOTAL]]&lt;PROVEEDORES[[#This Row],[base retencion]],0,PROVEEDORES[[#This Row],[retención aplicada]])</f>
        <v>0</v>
      </c>
      <c r="Q1007" s="24">
        <f>+PROVEEDORES[[#This Row],[Rete Fuente %]]*PROVEEDORES[[#This Row],[SUBTOTAL]]</f>
        <v>0</v>
      </c>
      <c r="R1007" s="23">
        <v>253113.65999999997</v>
      </c>
      <c r="S100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7" s="99">
        <f ca="1">IF(PROVEEDORES[[#This Row],[FECHA DE PAGO]]=0,TODAY()-PROVEEDORES[[#This Row],[FECHA DE FACTURACIÓN]]-PROVEEDORES[[#This Row],[PLAZO Días]],0)</f>
        <v>0</v>
      </c>
      <c r="U1007" s="149">
        <f>+VLOOKUP(PROVEEDORES[[#This Row],[PROVEEDOR]],Terceros!$A:$E,5,FALSE)</f>
        <v>0</v>
      </c>
      <c r="V1007" s="150">
        <f>+YEAR(PROVEEDORES[[#This Row],[FECHA DE FACTURACIÓN]])</f>
        <v>2021</v>
      </c>
      <c r="W1007" s="150">
        <f>+MATCH(PROVEEDORES[[#This Row],[año facturado]],Retenciones!$1:$1,0)</f>
        <v>4</v>
      </c>
      <c r="X1007" s="151">
        <f>+VLOOKUP(PROVEEDORES[[#This Row],[ID RETENCION]],Retenciones!$A$1:$O$24,PROVEEDORES[[#This Row],[indicador de columna]],FALSE)</f>
        <v>0</v>
      </c>
      <c r="Y1007" s="152">
        <f>+VLOOKUP(PROVEEDORES[[#This Row],[ID RETENCION]],Retenciones!$A$1:$O$24,2,FALSE)</f>
        <v>0</v>
      </c>
      <c r="Z1007" s="26"/>
      <c r="AA1007" s="26"/>
      <c r="AB1007" s="26"/>
      <c r="AC1007" s="26"/>
      <c r="AD1007" s="26"/>
      <c r="AE1007" s="26"/>
    </row>
    <row r="1008" spans="1:31" ht="21.95" customHeight="1" x14ac:dyDescent="0.25">
      <c r="A1008" s="97" t="str">
        <f>+IF(PROVEEDORES[[#This Row],[FECHA DE PAGO]]=PROVEEDORES[[#This Row],[FECHA DE FACTURACIÓN]],"DE CONTADO","CRÉDITO")</f>
        <v>CRÉDITO</v>
      </c>
      <c r="B1008" s="41" t="str">
        <f>+IF((PROVEEDORES[[#This Row],[FECHA DE PAGO]]-PROVEEDORES[[#This Row],[FECHA DE FACTURACIÓN]])&gt;PROVEEDORES[[#This Row],[PLAZO Días]],"PAGO VENCIDO")</f>
        <v>PAGO VENCIDO</v>
      </c>
      <c r="C1008" s="22">
        <f>+VLOOKUP(PROVEEDORES[[#This Row],[PROVEEDOR]],TERCEROS_INFO[#All],2,FALSE)</f>
        <v>30</v>
      </c>
      <c r="D1008" s="27">
        <f>+SUMIFS(PROVEEDORES[Total],PROVEEDORES[PROVEEDOR],PROVEEDORES[[#This Row],[PROVEEDOR]],PROVEEDORES[FECHA DE PAGO],"")</f>
        <v>1979529.3</v>
      </c>
      <c r="E1008" s="27"/>
      <c r="F1008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1008" s="95">
        <v>44558</v>
      </c>
      <c r="H1008" s="28" t="s">
        <v>17</v>
      </c>
      <c r="I1008" s="95">
        <v>44524</v>
      </c>
      <c r="J1008" s="38">
        <v>1844279</v>
      </c>
      <c r="K1008" s="23">
        <v>219500</v>
      </c>
      <c r="L1008" s="23"/>
      <c r="M1008" s="24">
        <v>41705</v>
      </c>
      <c r="N1008" s="25"/>
      <c r="O1008" s="24">
        <v>0</v>
      </c>
      <c r="P1008" s="136">
        <f>+IF(PROVEEDORES[[#This Row],[SUBTOTAL]]&lt;PROVEEDORES[[#This Row],[base retencion]],0,PROVEEDORES[[#This Row],[retención aplicada]])</f>
        <v>0</v>
      </c>
      <c r="Q1008" s="24">
        <f>+PROVEEDORES[[#This Row],[Rete Fuente %]]*PROVEEDORES[[#This Row],[SUBTOTAL]]</f>
        <v>0</v>
      </c>
      <c r="R1008" s="23">
        <v>261205</v>
      </c>
      <c r="S100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8" s="99">
        <f ca="1">IF(PROVEEDORES[[#This Row],[FECHA DE PAGO]]=0,TODAY()-PROVEEDORES[[#This Row],[FECHA DE FACTURACIÓN]]-PROVEEDORES[[#This Row],[PLAZO Días]],0)</f>
        <v>0</v>
      </c>
      <c r="U1008" s="149">
        <f>+VLOOKUP(PROVEEDORES[[#This Row],[PROVEEDOR]],Terceros!$A:$E,5,FALSE)</f>
        <v>0</v>
      </c>
      <c r="V1008" s="150">
        <f>+YEAR(PROVEEDORES[[#This Row],[FECHA DE FACTURACIÓN]])</f>
        <v>2021</v>
      </c>
      <c r="W1008" s="150">
        <f>+MATCH(PROVEEDORES[[#This Row],[año facturado]],Retenciones!$1:$1,0)</f>
        <v>4</v>
      </c>
      <c r="X1008" s="151">
        <f>+VLOOKUP(PROVEEDORES[[#This Row],[ID RETENCION]],Retenciones!$A$1:$O$24,PROVEEDORES[[#This Row],[indicador de columna]],FALSE)</f>
        <v>0</v>
      </c>
      <c r="Y1008" s="152">
        <f>+VLOOKUP(PROVEEDORES[[#This Row],[ID RETENCION]],Retenciones!$A$1:$O$24,2,FALSE)</f>
        <v>0</v>
      </c>
      <c r="Z1008" s="26"/>
      <c r="AA1008" s="26"/>
      <c r="AB1008" s="26"/>
      <c r="AC1008" s="26"/>
      <c r="AD1008" s="26"/>
      <c r="AE1008" s="26"/>
    </row>
    <row r="1009" spans="1:31" ht="21.95" customHeight="1" x14ac:dyDescent="0.25">
      <c r="A1009" s="97" t="str">
        <f>+IF(PROVEEDORES[[#This Row],[FECHA DE PAGO]]=PROVEEDORES[[#This Row],[FECHA DE FACTURACIÓN]],"DE CONTADO","CRÉDITO")</f>
        <v>CRÉDITO</v>
      </c>
      <c r="B1009" s="41" t="str">
        <f>+IF((PROVEEDORES[[#This Row],[FECHA DE PAGO]]-PROVEEDORES[[#This Row],[FECHA DE FACTURACIÓN]])&gt;PROVEEDORES[[#This Row],[PLAZO Días]],"PAGO VENCIDO")</f>
        <v>PAGO VENCIDO</v>
      </c>
      <c r="C1009" s="22">
        <f>+VLOOKUP(PROVEEDORES[[#This Row],[PROVEEDOR]],TERCEROS_INFO[#All],2,FALSE)</f>
        <v>30</v>
      </c>
      <c r="D1009" s="27">
        <f>+SUMIFS(PROVEEDORES[Total],PROVEEDORES[PROVEEDOR],PROVEEDORES[[#This Row],[PROVEEDOR]],PROVEEDORES[FECHA DE PAGO],"")</f>
        <v>452687.9</v>
      </c>
      <c r="E1009" s="27"/>
      <c r="F1009" s="62" t="str">
        <f>+VLOOKUP(PROVEEDORES[[#This Row],[PROVEEDOR]],
                       Terceros!$A:$G,
                       6,
                       FALSE)</f>
        <v>soluenergiacentro@une.net.co;girlesa.ruiz@servipilas.com;joriescobar64@gmail.com</v>
      </c>
      <c r="G1009" s="95">
        <v>44558</v>
      </c>
      <c r="H1009" s="28" t="s">
        <v>39</v>
      </c>
      <c r="I1009" s="95">
        <v>44524</v>
      </c>
      <c r="J1009" s="38">
        <v>954</v>
      </c>
      <c r="K1009" s="23">
        <v>469800</v>
      </c>
      <c r="L1009" s="23"/>
      <c r="M1009" s="24">
        <v>89262</v>
      </c>
      <c r="N1009" s="25"/>
      <c r="O1009" s="24">
        <v>0</v>
      </c>
      <c r="P1009" s="136">
        <f>+IF(PROVEEDORES[[#This Row],[SUBTOTAL]]&lt;PROVEEDORES[[#This Row],[base retencion]],0,PROVEEDORES[[#This Row],[retención aplicada]])</f>
        <v>0</v>
      </c>
      <c r="Q1009" s="24">
        <f>+PROVEEDORES[[#This Row],[Rete Fuente %]]*PROVEEDORES[[#This Row],[SUBTOTAL]]</f>
        <v>0</v>
      </c>
      <c r="R1009" s="23">
        <v>559062</v>
      </c>
      <c r="S100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9" s="99">
        <f ca="1">IF(PROVEEDORES[[#This Row],[FECHA DE PAGO]]=0,TODAY()-PROVEEDORES[[#This Row],[FECHA DE FACTURACIÓN]]-PROVEEDORES[[#This Row],[PLAZO Días]],0)</f>
        <v>0</v>
      </c>
      <c r="U1009" s="149" t="str">
        <f>+VLOOKUP(PROVEEDORES[[#This Row],[PROVEEDOR]],Terceros!$A:$E,5,FALSE)</f>
        <v>2,5% con base</v>
      </c>
      <c r="V1009" s="150">
        <f>+YEAR(PROVEEDORES[[#This Row],[FECHA DE FACTURACIÓN]])</f>
        <v>2021</v>
      </c>
      <c r="W1009" s="150">
        <f>+MATCH(PROVEEDORES[[#This Row],[año facturado]],Retenciones!$1:$1,0)</f>
        <v>4</v>
      </c>
      <c r="X1009" s="151">
        <f>+VLOOKUP(PROVEEDORES[[#This Row],[ID RETENCION]],Retenciones!$A$1:$O$24,PROVEEDORES[[#This Row],[indicador de columna]],FALSE)</f>
        <v>980000</v>
      </c>
      <c r="Y1009" s="152">
        <f>+VLOOKUP(PROVEEDORES[[#This Row],[ID RETENCION]],Retenciones!$A$1:$O$24,2,FALSE)</f>
        <v>2.5000000000000001E-2</v>
      </c>
      <c r="Z1009" s="26"/>
      <c r="AA1009" s="26"/>
      <c r="AB1009" s="26"/>
      <c r="AC1009" s="26"/>
      <c r="AD1009" s="26"/>
      <c r="AE1009" s="26"/>
    </row>
    <row r="1010" spans="1:31" ht="21.95" customHeight="1" x14ac:dyDescent="0.25">
      <c r="A1010" s="97" t="str">
        <f>+IF(PROVEEDORES[[#This Row],[FECHA DE PAGO]]=PROVEEDORES[[#This Row],[FECHA DE FACTURACIÓN]],"DE CONTADO","CRÉDITO")</f>
        <v>CRÉDITO</v>
      </c>
      <c r="B1010" s="41" t="str">
        <f>+IF((PROVEEDORES[[#This Row],[FECHA DE PAGO]]-PROVEEDORES[[#This Row],[FECHA DE FACTURACIÓN]])&gt;PROVEEDORES[[#This Row],[PLAZO Días]],"PAGO VENCIDO")</f>
        <v>PAGO VENCIDO</v>
      </c>
      <c r="C1010" s="22">
        <f>+VLOOKUP(PROVEEDORES[[#This Row],[PROVEEDOR]],TERCEROS_INFO[#All],2,FALSE)</f>
        <v>30</v>
      </c>
      <c r="D1010" s="27">
        <f>+SUMIFS(PROVEEDORES[Total],PROVEEDORES[PROVEEDOR],PROVEEDORES[[#This Row],[PROVEEDOR]],PROVEEDORES[FECHA DE PAGO],"")</f>
        <v>1979529.3</v>
      </c>
      <c r="E1010" s="27"/>
      <c r="F1010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1010" s="95">
        <v>44558</v>
      </c>
      <c r="H1010" s="28" t="s">
        <v>17</v>
      </c>
      <c r="I1010" s="95">
        <v>44524</v>
      </c>
      <c r="J1010" s="38">
        <v>1844241</v>
      </c>
      <c r="K1010" s="23">
        <v>594000</v>
      </c>
      <c r="L1010" s="23"/>
      <c r="M1010" s="24">
        <v>112860</v>
      </c>
      <c r="N1010" s="25"/>
      <c r="O1010" s="24">
        <v>0</v>
      </c>
      <c r="P1010" s="136">
        <f>+IF(PROVEEDORES[[#This Row],[SUBTOTAL]]&lt;PROVEEDORES[[#This Row],[base retencion]],0,PROVEEDORES[[#This Row],[retención aplicada]])</f>
        <v>0</v>
      </c>
      <c r="Q1010" s="24">
        <f>+PROVEEDORES[[#This Row],[Rete Fuente %]]*PROVEEDORES[[#This Row],[SUBTOTAL]]</f>
        <v>0</v>
      </c>
      <c r="R1010" s="23">
        <v>706860</v>
      </c>
      <c r="S101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0" s="99">
        <f ca="1">IF(PROVEEDORES[[#This Row],[FECHA DE PAGO]]=0,TODAY()-PROVEEDORES[[#This Row],[FECHA DE FACTURACIÓN]]-PROVEEDORES[[#This Row],[PLAZO Días]],0)</f>
        <v>0</v>
      </c>
      <c r="U1010" s="149">
        <f>+VLOOKUP(PROVEEDORES[[#This Row],[PROVEEDOR]],Terceros!$A:$E,5,FALSE)</f>
        <v>0</v>
      </c>
      <c r="V1010" s="150">
        <f>+YEAR(PROVEEDORES[[#This Row],[FECHA DE FACTURACIÓN]])</f>
        <v>2021</v>
      </c>
      <c r="W1010" s="150">
        <f>+MATCH(PROVEEDORES[[#This Row],[año facturado]],Retenciones!$1:$1,0)</f>
        <v>4</v>
      </c>
      <c r="X1010" s="151">
        <f>+VLOOKUP(PROVEEDORES[[#This Row],[ID RETENCION]],Retenciones!$A$1:$O$24,PROVEEDORES[[#This Row],[indicador de columna]],FALSE)</f>
        <v>0</v>
      </c>
      <c r="Y1010" s="152">
        <f>+VLOOKUP(PROVEEDORES[[#This Row],[ID RETENCION]],Retenciones!$A$1:$O$24,2,FALSE)</f>
        <v>0</v>
      </c>
      <c r="Z1010" s="26"/>
      <c r="AA1010" s="26"/>
      <c r="AB1010" s="26"/>
      <c r="AC1010" s="26"/>
      <c r="AD1010" s="26"/>
      <c r="AE1010" s="26"/>
    </row>
    <row r="1011" spans="1:31" ht="21.95" customHeight="1" x14ac:dyDescent="0.25">
      <c r="A1011" s="97" t="str">
        <f>+IF(PROVEEDORES[[#This Row],[FECHA DE PAGO]]=PROVEEDORES[[#This Row],[FECHA DE FACTURACIÓN]],"DE CONTADO","CRÉDITO")</f>
        <v>DE CONTADO</v>
      </c>
      <c r="B1011" s="41" t="b">
        <f>+IF((PROVEEDORES[[#This Row],[FECHA DE PAGO]]-PROVEEDORES[[#This Row],[FECHA DE FACTURACIÓN]])&gt;PROVEEDORES[[#This Row],[PLAZO Días]],"PAGO VENCIDO")</f>
        <v>0</v>
      </c>
      <c r="C1011" s="22">
        <f>+VLOOKUP(PROVEEDORES[[#This Row],[PROVEEDOR]],TERCEROS_INFO[#All],2,FALSE)</f>
        <v>30</v>
      </c>
      <c r="D1011" s="27">
        <f>+SUMIFS(PROVEEDORES[Total],PROVEEDORES[PROVEEDOR],PROVEEDORES[[#This Row],[PROVEEDOR]],PROVEEDORES[FECHA DE PAGO],"")</f>
        <v>0</v>
      </c>
      <c r="E1011" s="27"/>
      <c r="F1011" s="62">
        <f>+VLOOKUP(PROVEEDORES[[#This Row],[PROVEEDOR]],
                       Terceros!$A:$G,
                       6,
                       FALSE)</f>
        <v>0</v>
      </c>
      <c r="G1011" s="95">
        <v>44525</v>
      </c>
      <c r="H1011" s="28" t="s">
        <v>1014</v>
      </c>
      <c r="I1011" s="95">
        <v>44525</v>
      </c>
      <c r="J1011" s="38" t="s">
        <v>632</v>
      </c>
      <c r="K1011" s="23">
        <v>350000</v>
      </c>
      <c r="L1011" s="23"/>
      <c r="M1011" s="24">
        <v>0</v>
      </c>
      <c r="N1011" s="25"/>
      <c r="O1011" s="24">
        <v>0</v>
      </c>
      <c r="P1011" s="136">
        <f>+IF(PROVEEDORES[[#This Row],[SUBTOTAL]]&lt;PROVEEDORES[[#This Row],[base retencion]],0,PROVEEDORES[[#This Row],[retención aplicada]])</f>
        <v>0</v>
      </c>
      <c r="Q1011" s="24">
        <f>+PROVEEDORES[[#This Row],[Rete Fuente %]]*PROVEEDORES[[#This Row],[SUBTOTAL]]</f>
        <v>0</v>
      </c>
      <c r="R1011" s="23">
        <v>350000</v>
      </c>
      <c r="S101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1" s="99">
        <f ca="1">IF(PROVEEDORES[[#This Row],[FECHA DE PAGO]]=0,TODAY()-PROVEEDORES[[#This Row],[FECHA DE FACTURACIÓN]]-PROVEEDORES[[#This Row],[PLAZO Días]],0)</f>
        <v>0</v>
      </c>
      <c r="U1011" s="149">
        <f>+VLOOKUP(PROVEEDORES[[#This Row],[PROVEEDOR]],Terceros!$A:$E,5,FALSE)</f>
        <v>0</v>
      </c>
      <c r="V1011" s="150">
        <f>+YEAR(PROVEEDORES[[#This Row],[FECHA DE FACTURACIÓN]])</f>
        <v>2021</v>
      </c>
      <c r="W1011" s="150">
        <f>+MATCH(PROVEEDORES[[#This Row],[año facturado]],Retenciones!$1:$1,0)</f>
        <v>4</v>
      </c>
      <c r="X1011" s="151">
        <f>+VLOOKUP(PROVEEDORES[[#This Row],[ID RETENCION]],Retenciones!$A$1:$O$24,PROVEEDORES[[#This Row],[indicador de columna]],FALSE)</f>
        <v>0</v>
      </c>
      <c r="Y1011" s="152">
        <f>+VLOOKUP(PROVEEDORES[[#This Row],[ID RETENCION]],Retenciones!$A$1:$O$24,2,FALSE)</f>
        <v>0</v>
      </c>
      <c r="Z1011" s="26"/>
      <c r="AA1011" s="26"/>
      <c r="AB1011" s="26"/>
      <c r="AC1011" s="26"/>
      <c r="AD1011" s="26"/>
      <c r="AE1011" s="26"/>
    </row>
    <row r="1012" spans="1:31" ht="21.95" customHeight="1" x14ac:dyDescent="0.25">
      <c r="A1012" s="97" t="str">
        <f>+IF(PROVEEDORES[[#This Row],[FECHA DE PAGO]]=PROVEEDORES[[#This Row],[FECHA DE FACTURACIÓN]],"DE CONTADO","CRÉDITO")</f>
        <v>CRÉDITO</v>
      </c>
      <c r="B1012" s="41" t="str">
        <f>+IF((PROVEEDORES[[#This Row],[FECHA DE PAGO]]-PROVEEDORES[[#This Row],[FECHA DE FACTURACIÓN]])&gt;PROVEEDORES[[#This Row],[PLAZO Días]],"PAGO VENCIDO")</f>
        <v>PAGO VENCIDO</v>
      </c>
      <c r="C1012" s="22">
        <f>+VLOOKUP(PROVEEDORES[[#This Row],[PROVEEDOR]],TERCEROS_INFO[#All],2,FALSE)</f>
        <v>30</v>
      </c>
      <c r="D1012" s="27">
        <f>+SUMIFS(PROVEEDORES[Total],PROVEEDORES[PROVEEDOR],PROVEEDORES[[#This Row],[PROVEEDOR]],PROVEEDORES[FECHA DE PAGO],"")</f>
        <v>1860500</v>
      </c>
      <c r="E1012" s="27"/>
      <c r="F1012" s="62" t="str">
        <f>+VLOOKUP(PROVEEDORES[[#This Row],[PROVEEDOR]],
                       Terceros!$A:$G,
                       6,
                       FALSE)</f>
        <v/>
      </c>
      <c r="G1012" s="95">
        <v>44557</v>
      </c>
      <c r="H1012" s="28" t="s">
        <v>1064</v>
      </c>
      <c r="I1012" s="95">
        <v>44525</v>
      </c>
      <c r="J1012" s="38" t="s">
        <v>881</v>
      </c>
      <c r="K1012" s="23">
        <v>500000</v>
      </c>
      <c r="L1012" s="23"/>
      <c r="M1012" s="24">
        <v>0</v>
      </c>
      <c r="N1012" s="25"/>
      <c r="O1012" s="24">
        <v>0</v>
      </c>
      <c r="P1012" s="136">
        <f>+IF(PROVEEDORES[[#This Row],[SUBTOTAL]]&lt;PROVEEDORES[[#This Row],[base retencion]],0,PROVEEDORES[[#This Row],[retención aplicada]])</f>
        <v>0</v>
      </c>
      <c r="Q1012" s="24">
        <f>+PROVEEDORES[[#This Row],[Rete Fuente %]]*PROVEEDORES[[#This Row],[SUBTOTAL]]</f>
        <v>0</v>
      </c>
      <c r="R1012" s="23">
        <v>500000</v>
      </c>
      <c r="S101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2" s="99">
        <f ca="1">IF(PROVEEDORES[[#This Row],[FECHA DE PAGO]]=0,TODAY()-PROVEEDORES[[#This Row],[FECHA DE FACTURACIÓN]]-PROVEEDORES[[#This Row],[PLAZO Días]],0)</f>
        <v>0</v>
      </c>
      <c r="U1012" s="149">
        <f>+VLOOKUP(PROVEEDORES[[#This Row],[PROVEEDOR]],Terceros!$A:$E,5,FALSE)</f>
        <v>0</v>
      </c>
      <c r="V1012" s="150">
        <f>+YEAR(PROVEEDORES[[#This Row],[FECHA DE FACTURACIÓN]])</f>
        <v>2021</v>
      </c>
      <c r="W1012" s="150">
        <f>+MATCH(PROVEEDORES[[#This Row],[año facturado]],Retenciones!$1:$1,0)</f>
        <v>4</v>
      </c>
      <c r="X1012" s="151">
        <f>+VLOOKUP(PROVEEDORES[[#This Row],[ID RETENCION]],Retenciones!$A$1:$O$24,PROVEEDORES[[#This Row],[indicador de columna]],FALSE)</f>
        <v>0</v>
      </c>
      <c r="Y1012" s="152">
        <f>+VLOOKUP(PROVEEDORES[[#This Row],[ID RETENCION]],Retenciones!$A$1:$O$24,2,FALSE)</f>
        <v>0</v>
      </c>
      <c r="Z1012" s="26"/>
      <c r="AA1012" s="26"/>
      <c r="AB1012" s="26"/>
      <c r="AC1012" s="26"/>
      <c r="AD1012" s="26"/>
      <c r="AE1012" s="26"/>
    </row>
    <row r="1013" spans="1:31" ht="21.95" customHeight="1" x14ac:dyDescent="0.25">
      <c r="A1013" s="97" t="str">
        <f>+IF(PROVEEDORES[[#This Row],[FECHA DE PAGO]]=PROVEEDORES[[#This Row],[FECHA DE FACTURACIÓN]],"DE CONTADO","CRÉDITO")</f>
        <v>CRÉDITO</v>
      </c>
      <c r="B1013" s="41" t="b">
        <f>+IF((PROVEEDORES[[#This Row],[FECHA DE PAGO]]-PROVEEDORES[[#This Row],[FECHA DE FACTURACIÓN]])&gt;PROVEEDORES[[#This Row],[PLAZO Días]],"PAGO VENCIDO")</f>
        <v>0</v>
      </c>
      <c r="C1013" s="22">
        <f>+VLOOKUP(PROVEEDORES[[#This Row],[PROVEEDOR]],TERCEROS_INFO[#All],2,FALSE)</f>
        <v>30</v>
      </c>
      <c r="D1013" s="27">
        <f>+SUMIFS(PROVEEDORES[Total],PROVEEDORES[PROVEEDOR],PROVEEDORES[[#This Row],[PROVEEDOR]],PROVEEDORES[FECHA DE PAGO],"")</f>
        <v>0</v>
      </c>
      <c r="E1013" s="27"/>
      <c r="F1013" s="62" t="str">
        <f>+VLOOKUP(PROVEEDORES[[#This Row],[PROVEEDOR]],
                       Terceros!$A:$G,
                       6,
                       FALSE)</f>
        <v/>
      </c>
      <c r="G1013" s="95">
        <v>44527</v>
      </c>
      <c r="H1013" s="28" t="s">
        <v>1001</v>
      </c>
      <c r="I1013" s="95">
        <v>44525</v>
      </c>
      <c r="J1013" s="38" t="s">
        <v>879</v>
      </c>
      <c r="K1013" s="23">
        <v>636000</v>
      </c>
      <c r="L1013" s="23"/>
      <c r="M1013" s="24">
        <v>0</v>
      </c>
      <c r="N1013" s="25"/>
      <c r="O1013" s="24">
        <v>0</v>
      </c>
      <c r="P1013" s="136">
        <f>+IF(PROVEEDORES[[#This Row],[SUBTOTAL]]&lt;PROVEEDORES[[#This Row],[base retencion]],0,PROVEEDORES[[#This Row],[retención aplicada]])</f>
        <v>0</v>
      </c>
      <c r="Q1013" s="24">
        <f>+PROVEEDORES[[#This Row],[Rete Fuente %]]*PROVEEDORES[[#This Row],[SUBTOTAL]]</f>
        <v>0</v>
      </c>
      <c r="R1013" s="23">
        <v>0</v>
      </c>
      <c r="S101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3" s="99">
        <f ca="1">IF(PROVEEDORES[[#This Row],[FECHA DE PAGO]]=0,TODAY()-PROVEEDORES[[#This Row],[FECHA DE FACTURACIÓN]]-PROVEEDORES[[#This Row],[PLAZO Días]],0)</f>
        <v>0</v>
      </c>
      <c r="U1013" s="149">
        <f>+VLOOKUP(PROVEEDORES[[#This Row],[PROVEEDOR]],Terceros!$A:$E,5,FALSE)</f>
        <v>0</v>
      </c>
      <c r="V1013" s="150">
        <f>+YEAR(PROVEEDORES[[#This Row],[FECHA DE FACTURACIÓN]])</f>
        <v>2021</v>
      </c>
      <c r="W1013" s="150">
        <f>+MATCH(PROVEEDORES[[#This Row],[año facturado]],Retenciones!$1:$1,0)</f>
        <v>4</v>
      </c>
      <c r="X1013" s="151">
        <f>+VLOOKUP(PROVEEDORES[[#This Row],[ID RETENCION]],Retenciones!$A$1:$O$24,PROVEEDORES[[#This Row],[indicador de columna]],FALSE)</f>
        <v>0</v>
      </c>
      <c r="Y1013" s="152">
        <f>+VLOOKUP(PROVEEDORES[[#This Row],[ID RETENCION]],Retenciones!$A$1:$O$24,2,FALSE)</f>
        <v>0</v>
      </c>
      <c r="Z1013" s="26"/>
      <c r="AA1013" s="26"/>
      <c r="AB1013" s="26"/>
      <c r="AC1013" s="26"/>
      <c r="AD1013" s="26"/>
      <c r="AE1013" s="26"/>
    </row>
    <row r="1014" spans="1:31" ht="21.95" customHeight="1" x14ac:dyDescent="0.25">
      <c r="A1014" s="97" t="str">
        <f>+IF(PROVEEDORES[[#This Row],[FECHA DE PAGO]]=PROVEEDORES[[#This Row],[FECHA DE FACTURACIÓN]],"DE CONTADO","CRÉDITO")</f>
        <v>CRÉDITO</v>
      </c>
      <c r="B1014" s="41" t="str">
        <f>+IF((PROVEEDORES[[#This Row],[FECHA DE PAGO]]-PROVEEDORES[[#This Row],[FECHA DE FACTURACIÓN]])&gt;PROVEEDORES[[#This Row],[PLAZO Días]],"PAGO VENCIDO")</f>
        <v>PAGO VENCIDO</v>
      </c>
      <c r="C1014" s="22">
        <f>+VLOOKUP(PROVEEDORES[[#This Row],[PROVEEDOR]],TERCEROS_INFO[#All],2,FALSE)</f>
        <v>30</v>
      </c>
      <c r="D1014" s="27">
        <f>+SUMIFS(PROVEEDORES[Total],PROVEEDORES[PROVEEDOR],PROVEEDORES[[#This Row],[PROVEEDOR]],PROVEEDORES[FECHA DE PAGO],"")</f>
        <v>0</v>
      </c>
      <c r="E1014" s="27"/>
      <c r="F1014" s="62" t="str">
        <f>+VLOOKUP(PROVEEDORES[[#This Row],[PROVEEDOR]],
                       Terceros!$A:$G,
                       6,
                       FALSE)</f>
        <v>alejovelas0426@gmail.com;girlesa.ruiz@servipilas.com;joriescobar64@gmail.com</v>
      </c>
      <c r="G1014" s="95">
        <v>44568</v>
      </c>
      <c r="H1014" s="28" t="s">
        <v>980</v>
      </c>
      <c r="I1014" s="95">
        <v>44525</v>
      </c>
      <c r="J1014" s="38" t="s">
        <v>633</v>
      </c>
      <c r="K1014" s="23">
        <v>990000</v>
      </c>
      <c r="L1014" s="23"/>
      <c r="M1014" s="24">
        <v>0</v>
      </c>
      <c r="N1014" s="25"/>
      <c r="O1014" s="24">
        <v>0</v>
      </c>
      <c r="P1014" s="136">
        <f>+IF(PROVEEDORES[[#This Row],[SUBTOTAL]]&lt;PROVEEDORES[[#This Row],[base retencion]],0,PROVEEDORES[[#This Row],[retención aplicada]])</f>
        <v>0</v>
      </c>
      <c r="Q1014" s="24">
        <f>+PROVEEDORES[[#This Row],[Rete Fuente %]]*PROVEEDORES[[#This Row],[SUBTOTAL]]</f>
        <v>0</v>
      </c>
      <c r="R1014" s="23">
        <v>990000</v>
      </c>
      <c r="S101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4" s="99">
        <f ca="1">IF(PROVEEDORES[[#This Row],[FECHA DE PAGO]]=0,TODAY()-PROVEEDORES[[#This Row],[FECHA DE FACTURACIÓN]]-PROVEEDORES[[#This Row],[PLAZO Días]],0)</f>
        <v>0</v>
      </c>
      <c r="U1014" s="149">
        <f>+VLOOKUP(PROVEEDORES[[#This Row],[PROVEEDOR]],Terceros!$A:$E,5,FALSE)</f>
        <v>0</v>
      </c>
      <c r="V1014" s="150">
        <f>+YEAR(PROVEEDORES[[#This Row],[FECHA DE FACTURACIÓN]])</f>
        <v>2021</v>
      </c>
      <c r="W1014" s="150">
        <f>+MATCH(PROVEEDORES[[#This Row],[año facturado]],Retenciones!$1:$1,0)</f>
        <v>4</v>
      </c>
      <c r="X1014" s="151">
        <f>+VLOOKUP(PROVEEDORES[[#This Row],[ID RETENCION]],Retenciones!$A$1:$O$24,PROVEEDORES[[#This Row],[indicador de columna]],FALSE)</f>
        <v>0</v>
      </c>
      <c r="Y1014" s="152">
        <f>+VLOOKUP(PROVEEDORES[[#This Row],[ID RETENCION]],Retenciones!$A$1:$O$24,2,FALSE)</f>
        <v>0</v>
      </c>
      <c r="Z1014" s="26"/>
      <c r="AA1014" s="26"/>
      <c r="AB1014" s="26"/>
      <c r="AC1014" s="26"/>
      <c r="AD1014" s="26"/>
      <c r="AE1014" s="26"/>
    </row>
    <row r="1015" spans="1:31" ht="21.95" customHeight="1" x14ac:dyDescent="0.25">
      <c r="A1015" s="97" t="str">
        <f>+IF(PROVEEDORES[[#This Row],[FECHA DE PAGO]]=PROVEEDORES[[#This Row],[FECHA DE FACTURACIÓN]],"DE CONTADO","CRÉDITO")</f>
        <v>DE CONTADO</v>
      </c>
      <c r="B1015" s="41" t="b">
        <f>+IF((PROVEEDORES[[#This Row],[FECHA DE PAGO]]-PROVEEDORES[[#This Row],[FECHA DE FACTURACIÓN]])&gt;PROVEEDORES[[#This Row],[PLAZO Días]],"PAGO VENCIDO")</f>
        <v>0</v>
      </c>
      <c r="C1015" s="22">
        <f>+VLOOKUP(PROVEEDORES[[#This Row],[PROVEEDOR]],TERCEROS_INFO[#All],2,FALSE)</f>
        <v>30</v>
      </c>
      <c r="D1015" s="27">
        <f>+SUMIFS(PROVEEDORES[Total],PROVEEDORES[PROVEEDOR],PROVEEDORES[[#This Row],[PROVEEDOR]],PROVEEDORES[FECHA DE PAGO],"")</f>
        <v>0</v>
      </c>
      <c r="E1015" s="27"/>
      <c r="F1015" s="62" t="str">
        <f>+VLOOKUP(PROVEEDORES[[#This Row],[PROVEEDOR]],
                       Terceros!$A:$G,
                       6,
                       FALSE)</f>
        <v/>
      </c>
      <c r="G1015" s="95">
        <v>44525</v>
      </c>
      <c r="H1015" s="28" t="s">
        <v>1046</v>
      </c>
      <c r="I1015" s="95">
        <v>44525</v>
      </c>
      <c r="J1015" s="38"/>
      <c r="K1015" s="23">
        <v>1000000</v>
      </c>
      <c r="L1015" s="23"/>
      <c r="M1015" s="24">
        <v>0</v>
      </c>
      <c r="N1015" s="25"/>
      <c r="O1015" s="24">
        <v>0</v>
      </c>
      <c r="P1015" s="136">
        <f>+IF(PROVEEDORES[[#This Row],[SUBTOTAL]]&lt;PROVEEDORES[[#This Row],[base retencion]],0,PROVEEDORES[[#This Row],[retención aplicada]])</f>
        <v>0</v>
      </c>
      <c r="Q1015" s="24">
        <f>+PROVEEDORES[[#This Row],[Rete Fuente %]]*PROVEEDORES[[#This Row],[SUBTOTAL]]</f>
        <v>0</v>
      </c>
      <c r="R1015" s="23">
        <v>1000000</v>
      </c>
      <c r="S101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5" s="99">
        <f ca="1">IF(PROVEEDORES[[#This Row],[FECHA DE PAGO]]=0,TODAY()-PROVEEDORES[[#This Row],[FECHA DE FACTURACIÓN]]-PROVEEDORES[[#This Row],[PLAZO Días]],0)</f>
        <v>0</v>
      </c>
      <c r="U1015" s="149">
        <f>+VLOOKUP(PROVEEDORES[[#This Row],[PROVEEDOR]],Terceros!$A:$E,5,FALSE)</f>
        <v>0</v>
      </c>
      <c r="V1015" s="150">
        <f>+YEAR(PROVEEDORES[[#This Row],[FECHA DE FACTURACIÓN]])</f>
        <v>2021</v>
      </c>
      <c r="W1015" s="150">
        <f>+MATCH(PROVEEDORES[[#This Row],[año facturado]],Retenciones!$1:$1,0)</f>
        <v>4</v>
      </c>
      <c r="X1015" s="151">
        <f>+VLOOKUP(PROVEEDORES[[#This Row],[ID RETENCION]],Retenciones!$A$1:$O$24,PROVEEDORES[[#This Row],[indicador de columna]],FALSE)</f>
        <v>0</v>
      </c>
      <c r="Y1015" s="152">
        <f>+VLOOKUP(PROVEEDORES[[#This Row],[ID RETENCION]],Retenciones!$A$1:$O$24,2,FALSE)</f>
        <v>0</v>
      </c>
      <c r="Z1015" s="26"/>
      <c r="AA1015" s="26"/>
      <c r="AB1015" s="26"/>
      <c r="AC1015" s="26"/>
      <c r="AD1015" s="26"/>
      <c r="AE1015" s="26"/>
    </row>
    <row r="1016" spans="1:31" ht="21.95" customHeight="1" x14ac:dyDescent="0.25">
      <c r="A1016" s="97" t="str">
        <f>+IF(PROVEEDORES[[#This Row],[FECHA DE PAGO]]=PROVEEDORES[[#This Row],[FECHA DE FACTURACIÓN]],"DE CONTADO","CRÉDITO")</f>
        <v>CRÉDITO</v>
      </c>
      <c r="B1016" s="41" t="str">
        <f>+IF((PROVEEDORES[[#This Row],[FECHA DE PAGO]]-PROVEEDORES[[#This Row],[FECHA DE FACTURACIÓN]])&gt;PROVEEDORES[[#This Row],[PLAZO Días]],"PAGO VENCIDO")</f>
        <v>PAGO VENCIDO</v>
      </c>
      <c r="C1016" s="22">
        <f>+VLOOKUP(PROVEEDORES[[#This Row],[PROVEEDOR]],TERCEROS_INFO[#All],2,FALSE)</f>
        <v>30</v>
      </c>
      <c r="D1016" s="27">
        <f>+SUMIFS(PROVEEDORES[Total],PROVEEDORES[PROVEEDOR],PROVEEDORES[[#This Row],[PROVEEDOR]],PROVEEDORES[FECHA DE PAGO],"")</f>
        <v>3320000</v>
      </c>
      <c r="E1016" s="27"/>
      <c r="F1016" s="62" t="str">
        <f>+VLOOKUP(PROVEEDORES[[#This Row],[PROVEEDOR]],
                       Terceros!$A:$G,
                       6,
                       FALSE)</f>
        <v>Pygimportadora@gmail.com;girlesa.ruiz@servipilas.com;joriescobar64@gmail.com</v>
      </c>
      <c r="G1016" s="95">
        <v>44557</v>
      </c>
      <c r="H1016" s="28" t="s">
        <v>1062</v>
      </c>
      <c r="I1016" s="95">
        <v>44525</v>
      </c>
      <c r="J1016" s="38" t="s">
        <v>880</v>
      </c>
      <c r="K1016" s="23">
        <v>2880000</v>
      </c>
      <c r="L1016" s="23"/>
      <c r="M1016" s="24">
        <v>0</v>
      </c>
      <c r="N1016" s="25"/>
      <c r="O1016" s="24">
        <v>0</v>
      </c>
      <c r="P1016" s="136">
        <f>+IF(PROVEEDORES[[#This Row],[SUBTOTAL]]&lt;PROVEEDORES[[#This Row],[base retencion]],0,PROVEEDORES[[#This Row],[retención aplicada]])</f>
        <v>0</v>
      </c>
      <c r="Q1016" s="24">
        <f>+PROVEEDORES[[#This Row],[Rete Fuente %]]*PROVEEDORES[[#This Row],[SUBTOTAL]]</f>
        <v>0</v>
      </c>
      <c r="R1016" s="23">
        <v>2880000</v>
      </c>
      <c r="S101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6" s="99">
        <f ca="1">IF(PROVEEDORES[[#This Row],[FECHA DE PAGO]]=0,TODAY()-PROVEEDORES[[#This Row],[FECHA DE FACTURACIÓN]]-PROVEEDORES[[#This Row],[PLAZO Días]],0)</f>
        <v>0</v>
      </c>
      <c r="U1016" s="149">
        <f>+VLOOKUP(PROVEEDORES[[#This Row],[PROVEEDOR]],Terceros!$A:$E,5,FALSE)</f>
        <v>0</v>
      </c>
      <c r="V1016" s="150">
        <f>+YEAR(PROVEEDORES[[#This Row],[FECHA DE FACTURACIÓN]])</f>
        <v>2021</v>
      </c>
      <c r="W1016" s="150">
        <f>+MATCH(PROVEEDORES[[#This Row],[año facturado]],Retenciones!$1:$1,0)</f>
        <v>4</v>
      </c>
      <c r="X1016" s="151">
        <f>+VLOOKUP(PROVEEDORES[[#This Row],[ID RETENCION]],Retenciones!$A$1:$O$24,PROVEEDORES[[#This Row],[indicador de columna]],FALSE)</f>
        <v>0</v>
      </c>
      <c r="Y1016" s="152">
        <f>+VLOOKUP(PROVEEDORES[[#This Row],[ID RETENCION]],Retenciones!$A$1:$O$24,2,FALSE)</f>
        <v>0</v>
      </c>
      <c r="Z1016" s="26"/>
      <c r="AA1016" s="26"/>
      <c r="AB1016" s="26"/>
      <c r="AC1016" s="26"/>
      <c r="AD1016" s="26"/>
      <c r="AE1016" s="26"/>
    </row>
    <row r="1017" spans="1:31" ht="21.95" customHeight="1" x14ac:dyDescent="0.25">
      <c r="A1017" s="97" t="str">
        <f>+IF(PROVEEDORES[[#This Row],[FECHA DE PAGO]]=PROVEEDORES[[#This Row],[FECHA DE FACTURACIÓN]],"DE CONTADO","CRÉDITO")</f>
        <v>CRÉDITO</v>
      </c>
      <c r="B1017" s="41" t="str">
        <f>+IF((PROVEEDORES[[#This Row],[FECHA DE PAGO]]-PROVEEDORES[[#This Row],[FECHA DE FACTURACIÓN]])&gt;PROVEEDORES[[#This Row],[PLAZO Días]],"PAGO VENCIDO")</f>
        <v>PAGO VENCIDO</v>
      </c>
      <c r="C1017" s="22">
        <f>+VLOOKUP(PROVEEDORES[[#This Row],[PROVEEDOR]],TERCEROS_INFO[#All],2,FALSE)</f>
        <v>30</v>
      </c>
      <c r="D1017" s="27">
        <f>+SUMIFS(PROVEEDORES[Total],PROVEEDORES[PROVEEDOR],PROVEEDORES[[#This Row],[PROVEEDOR]],PROVEEDORES[FECHA DE PAGO],"")</f>
        <v>6151200</v>
      </c>
      <c r="E1017" s="27"/>
      <c r="F1017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1017" s="95">
        <v>44558</v>
      </c>
      <c r="H1017" s="28" t="s">
        <v>11</v>
      </c>
      <c r="I1017" s="95">
        <v>44526</v>
      </c>
      <c r="J1017" s="38" t="s">
        <v>631</v>
      </c>
      <c r="K1017" s="23">
        <v>2700504</v>
      </c>
      <c r="L1017" s="23"/>
      <c r="M1017" s="24">
        <v>513095.76</v>
      </c>
      <c r="N1017" s="25"/>
      <c r="O1017" s="24">
        <v>0</v>
      </c>
      <c r="P1017" s="136">
        <f>+IF(PROVEEDORES[[#This Row],[SUBTOTAL]]&lt;PROVEEDORES[[#This Row],[base retencion]],0,PROVEEDORES[[#This Row],[retención aplicada]])</f>
        <v>2.5000000000000001E-2</v>
      </c>
      <c r="Q1017" s="24">
        <f>+PROVEEDORES[[#This Row],[Rete Fuente %]]*PROVEEDORES[[#This Row],[SUBTOTAL]]</f>
        <v>67512.600000000006</v>
      </c>
      <c r="R1017" s="23">
        <v>3146087.1599999997</v>
      </c>
      <c r="S101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7" s="99">
        <f ca="1">IF(PROVEEDORES[[#This Row],[FECHA DE PAGO]]=0,TODAY()-PROVEEDORES[[#This Row],[FECHA DE FACTURACIÓN]]-PROVEEDORES[[#This Row],[PLAZO Días]],0)</f>
        <v>0</v>
      </c>
      <c r="U1017" s="149" t="str">
        <f>+VLOOKUP(PROVEEDORES[[#This Row],[PROVEEDOR]],Terceros!$A:$E,5,FALSE)</f>
        <v>2,5% con base</v>
      </c>
      <c r="V1017" s="150">
        <f>+YEAR(PROVEEDORES[[#This Row],[FECHA DE FACTURACIÓN]])</f>
        <v>2021</v>
      </c>
      <c r="W1017" s="150">
        <f>+MATCH(PROVEEDORES[[#This Row],[año facturado]],Retenciones!$1:$1,0)</f>
        <v>4</v>
      </c>
      <c r="X1017" s="151">
        <f>+VLOOKUP(PROVEEDORES[[#This Row],[ID RETENCION]],Retenciones!$A$1:$O$24,PROVEEDORES[[#This Row],[indicador de columna]],FALSE)</f>
        <v>980000</v>
      </c>
      <c r="Y1017" s="152">
        <f>+VLOOKUP(PROVEEDORES[[#This Row],[ID RETENCION]],Retenciones!$A$1:$O$24,2,FALSE)</f>
        <v>2.5000000000000001E-2</v>
      </c>
      <c r="Z1017" s="26"/>
      <c r="AA1017" s="26"/>
      <c r="AB1017" s="26"/>
      <c r="AC1017" s="26"/>
      <c r="AD1017" s="26"/>
      <c r="AE1017" s="26"/>
    </row>
    <row r="1018" spans="1:31" ht="21.95" customHeight="1" x14ac:dyDescent="0.25">
      <c r="A1018" s="97" t="str">
        <f>+IF(PROVEEDORES[[#This Row],[FECHA DE PAGO]]=PROVEEDORES[[#This Row],[FECHA DE FACTURACIÓN]],"DE CONTADO","CRÉDITO")</f>
        <v>CRÉDITO</v>
      </c>
      <c r="B1018" s="41" t="str">
        <f>+IF((PROVEEDORES[[#This Row],[FECHA DE PAGO]]-PROVEEDORES[[#This Row],[FECHA DE FACTURACIÓN]])&gt;PROVEEDORES[[#This Row],[PLAZO Días]],"PAGO VENCIDO")</f>
        <v>PAGO VENCIDO</v>
      </c>
      <c r="C1018" s="22">
        <f>+VLOOKUP(PROVEEDORES[[#This Row],[PROVEEDOR]],TERCEROS_INFO[#All],2,FALSE)</f>
        <v>30</v>
      </c>
      <c r="D1018" s="27">
        <f>+SUMIFS(PROVEEDORES[Total],PROVEEDORES[PROVEEDOR],PROVEEDORES[[#This Row],[PROVEEDOR]],PROVEEDORES[FECHA DE PAGO],"")</f>
        <v>627113.34</v>
      </c>
      <c r="E1018" s="27"/>
      <c r="F1018" s="62" t="str">
        <f>+VLOOKUP(PROVEEDORES[[#This Row],[PROVEEDOR]],
                       Terceros!$A:$G,
                       6,
                       FALSE)</f>
        <v>ventas@ismartsas.com;girlesa.ruiz@servipilas.com;joriescobar64@gmail.com</v>
      </c>
      <c r="G1018" s="95">
        <v>44558</v>
      </c>
      <c r="H1018" s="28" t="s">
        <v>48</v>
      </c>
      <c r="I1018" s="95">
        <v>44527</v>
      </c>
      <c r="J1018" s="38">
        <v>33548</v>
      </c>
      <c r="K1018" s="23">
        <v>1057979</v>
      </c>
      <c r="L1018" s="23"/>
      <c r="M1018" s="24">
        <v>201016.01</v>
      </c>
      <c r="N1018" s="25"/>
      <c r="O1018" s="24">
        <v>0</v>
      </c>
      <c r="P1018" s="136">
        <f>+IF(PROVEEDORES[[#This Row],[SUBTOTAL]]&lt;PROVEEDORES[[#This Row],[base retencion]],0,PROVEEDORES[[#This Row],[retención aplicada]])</f>
        <v>2.5000000000000001E-2</v>
      </c>
      <c r="Q1018" s="24">
        <f>+PROVEEDORES[[#This Row],[Rete Fuente %]]*PROVEEDORES[[#This Row],[SUBTOTAL]]</f>
        <v>26449.475000000002</v>
      </c>
      <c r="R1018" s="23">
        <v>1232545.5349999999</v>
      </c>
      <c r="S101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8" s="99">
        <f ca="1">IF(PROVEEDORES[[#This Row],[FECHA DE PAGO]]=0,TODAY()-PROVEEDORES[[#This Row],[FECHA DE FACTURACIÓN]]-PROVEEDORES[[#This Row],[PLAZO Días]],0)</f>
        <v>0</v>
      </c>
      <c r="U1018" s="149" t="str">
        <f>+VLOOKUP(PROVEEDORES[[#This Row],[PROVEEDOR]],Terceros!$A:$E,5,FALSE)</f>
        <v>2,5% con base</v>
      </c>
      <c r="V1018" s="150">
        <f>+YEAR(PROVEEDORES[[#This Row],[FECHA DE FACTURACIÓN]])</f>
        <v>2021</v>
      </c>
      <c r="W1018" s="150">
        <f>+MATCH(PROVEEDORES[[#This Row],[año facturado]],Retenciones!$1:$1,0)</f>
        <v>4</v>
      </c>
      <c r="X1018" s="151">
        <f>+VLOOKUP(PROVEEDORES[[#This Row],[ID RETENCION]],Retenciones!$A$1:$O$24,PROVEEDORES[[#This Row],[indicador de columna]],FALSE)</f>
        <v>980000</v>
      </c>
      <c r="Y1018" s="152">
        <f>+VLOOKUP(PROVEEDORES[[#This Row],[ID RETENCION]],Retenciones!$A$1:$O$24,2,FALSE)</f>
        <v>2.5000000000000001E-2</v>
      </c>
      <c r="Z1018" s="26"/>
      <c r="AA1018" s="26"/>
      <c r="AB1018" s="26"/>
      <c r="AC1018" s="26"/>
      <c r="AD1018" s="26"/>
      <c r="AE1018" s="26"/>
    </row>
    <row r="1019" spans="1:31" ht="21.95" customHeight="1" x14ac:dyDescent="0.25">
      <c r="A1019" s="97" t="str">
        <f>+IF(PROVEEDORES[[#This Row],[FECHA DE PAGO]]=PROVEEDORES[[#This Row],[FECHA DE FACTURACIÓN]],"DE CONTADO","CRÉDITO")</f>
        <v>CRÉDITO</v>
      </c>
      <c r="B1019" s="41" t="str">
        <f>+IF((PROVEEDORES[[#This Row],[FECHA DE PAGO]]-PROVEEDORES[[#This Row],[FECHA DE FACTURACIÓN]])&gt;PROVEEDORES[[#This Row],[PLAZO Días]],"PAGO VENCIDO")</f>
        <v>PAGO VENCIDO</v>
      </c>
      <c r="C1019" s="22">
        <f>+VLOOKUP(PROVEEDORES[[#This Row],[PROVEEDOR]],TERCEROS_INFO[#All],2,FALSE)</f>
        <v>30</v>
      </c>
      <c r="D1019" s="27">
        <f>+SUMIFS(PROVEEDORES[Total],PROVEEDORES[PROVEEDOR],PROVEEDORES[[#This Row],[PROVEEDOR]],PROVEEDORES[FECHA DE PAGO],"")</f>
        <v>6932910</v>
      </c>
      <c r="E1019" s="27"/>
      <c r="F1019" s="62" t="str">
        <f>+VLOOKUP(PROVEEDORES[[#This Row],[PROVEEDOR]],
                       Terceros!$A:$G,
                       6,
                       FALSE)</f>
        <v>admin@kinocompanysas.com.co;girlesa.ruiz@servipilas.com;joriescobar64@gmail.com</v>
      </c>
      <c r="G1019" s="95">
        <v>44600</v>
      </c>
      <c r="H1019" s="28" t="s">
        <v>33</v>
      </c>
      <c r="I1019" s="95">
        <v>44527</v>
      </c>
      <c r="J1019" s="38">
        <v>1728</v>
      </c>
      <c r="K1019" s="23">
        <v>9365300</v>
      </c>
      <c r="L1019" s="23"/>
      <c r="M1019" s="24">
        <v>1779407</v>
      </c>
      <c r="N1019" s="25"/>
      <c r="O1019" s="24">
        <v>0</v>
      </c>
      <c r="P1019" s="136">
        <f>+IF(PROVEEDORES[[#This Row],[SUBTOTAL]]&lt;PROVEEDORES[[#This Row],[base retencion]],0,PROVEEDORES[[#This Row],[retención aplicada]])</f>
        <v>2.5000000000000001E-2</v>
      </c>
      <c r="Q1019" s="24">
        <f>+PROVEEDORES[[#This Row],[Rete Fuente %]]*PROVEEDORES[[#This Row],[SUBTOTAL]]</f>
        <v>234132.5</v>
      </c>
      <c r="R1019" s="23">
        <v>10910574.5</v>
      </c>
      <c r="S101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9" s="99">
        <f ca="1">IF(PROVEEDORES[[#This Row],[FECHA DE PAGO]]=0,TODAY()-PROVEEDORES[[#This Row],[FECHA DE FACTURACIÓN]]-PROVEEDORES[[#This Row],[PLAZO Días]],0)</f>
        <v>0</v>
      </c>
      <c r="U1019" s="149" t="str">
        <f>+VLOOKUP(PROVEEDORES[[#This Row],[PROVEEDOR]],Terceros!$A:$E,5,FALSE)</f>
        <v>2,5% con base</v>
      </c>
      <c r="V1019" s="150">
        <f>+YEAR(PROVEEDORES[[#This Row],[FECHA DE FACTURACIÓN]])</f>
        <v>2021</v>
      </c>
      <c r="W1019" s="150">
        <f>+MATCH(PROVEEDORES[[#This Row],[año facturado]],Retenciones!$1:$1,0)</f>
        <v>4</v>
      </c>
      <c r="X1019" s="151">
        <f>+VLOOKUP(PROVEEDORES[[#This Row],[ID RETENCION]],Retenciones!$A$1:$O$24,PROVEEDORES[[#This Row],[indicador de columna]],FALSE)</f>
        <v>980000</v>
      </c>
      <c r="Y1019" s="152">
        <f>+VLOOKUP(PROVEEDORES[[#This Row],[ID RETENCION]],Retenciones!$A$1:$O$24,2,FALSE)</f>
        <v>2.5000000000000001E-2</v>
      </c>
      <c r="Z1019" s="26"/>
      <c r="AA1019" s="26"/>
      <c r="AB1019" s="26"/>
      <c r="AC1019" s="26"/>
      <c r="AD1019" s="26"/>
      <c r="AE1019" s="26"/>
    </row>
    <row r="1020" spans="1:31" ht="21.95" customHeight="1" x14ac:dyDescent="0.25">
      <c r="A1020" s="97" t="str">
        <f>+IF(PROVEEDORES[[#This Row],[FECHA DE PAGO]]=PROVEEDORES[[#This Row],[FECHA DE FACTURACIÓN]],"DE CONTADO","CRÉDITO")</f>
        <v>CRÉDITO</v>
      </c>
      <c r="B1020" s="41" t="str">
        <f>+IF((PROVEEDORES[[#This Row],[FECHA DE PAGO]]-PROVEEDORES[[#This Row],[FECHA DE FACTURACIÓN]])&gt;PROVEEDORES[[#This Row],[PLAZO Días]],"PAGO VENCIDO")</f>
        <v>PAGO VENCIDO</v>
      </c>
      <c r="C1020" s="22">
        <f>+VLOOKUP(PROVEEDORES[[#This Row],[PROVEEDOR]],TERCEROS_INFO[#All],2,FALSE)</f>
        <v>30</v>
      </c>
      <c r="D1020" s="27">
        <f>+SUMIFS(PROVEEDORES[Total],PROVEEDORES[PROVEEDOR],PROVEEDORES[[#This Row],[PROVEEDOR]],PROVEEDORES[FECHA DE PAGO],"")</f>
        <v>3099000</v>
      </c>
      <c r="E1020" s="27"/>
      <c r="F1020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1020" s="95">
        <v>44568</v>
      </c>
      <c r="H1020" s="28" t="s">
        <v>1079</v>
      </c>
      <c r="I1020" s="95">
        <v>44529</v>
      </c>
      <c r="J1020" s="38" t="s">
        <v>883</v>
      </c>
      <c r="K1020" s="23">
        <v>56250</v>
      </c>
      <c r="L1020" s="23"/>
      <c r="M1020" s="24">
        <v>0</v>
      </c>
      <c r="N1020" s="25"/>
      <c r="O1020" s="24">
        <v>0</v>
      </c>
      <c r="P1020" s="136">
        <f>+IF(PROVEEDORES[[#This Row],[SUBTOTAL]]&lt;PROVEEDORES[[#This Row],[base retencion]],0,PROVEEDORES[[#This Row],[retención aplicada]])</f>
        <v>0</v>
      </c>
      <c r="Q1020" s="24">
        <f>+PROVEEDORES[[#This Row],[Rete Fuente %]]*PROVEEDORES[[#This Row],[SUBTOTAL]]</f>
        <v>0</v>
      </c>
      <c r="R1020" s="23">
        <v>56250</v>
      </c>
      <c r="S102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0" s="99">
        <f ca="1">IF(PROVEEDORES[[#This Row],[FECHA DE PAGO]]=0,TODAY()-PROVEEDORES[[#This Row],[FECHA DE FACTURACIÓN]]-PROVEEDORES[[#This Row],[PLAZO Días]],0)</f>
        <v>0</v>
      </c>
      <c r="U1020" s="149">
        <f>+VLOOKUP(PROVEEDORES[[#This Row],[PROVEEDOR]],Terceros!$A:$E,5,FALSE)</f>
        <v>0</v>
      </c>
      <c r="V1020" s="150">
        <f>+YEAR(PROVEEDORES[[#This Row],[FECHA DE FACTURACIÓN]])</f>
        <v>2021</v>
      </c>
      <c r="W1020" s="150">
        <f>+MATCH(PROVEEDORES[[#This Row],[año facturado]],Retenciones!$1:$1,0)</f>
        <v>4</v>
      </c>
      <c r="X1020" s="151">
        <f>+VLOOKUP(PROVEEDORES[[#This Row],[ID RETENCION]],Retenciones!$A$1:$O$24,PROVEEDORES[[#This Row],[indicador de columna]],FALSE)</f>
        <v>0</v>
      </c>
      <c r="Y1020" s="152">
        <f>+VLOOKUP(PROVEEDORES[[#This Row],[ID RETENCION]],Retenciones!$A$1:$O$24,2,FALSE)</f>
        <v>0</v>
      </c>
      <c r="Z1020" s="26"/>
      <c r="AA1020" s="26"/>
      <c r="AB1020" s="26"/>
      <c r="AC1020" s="26"/>
      <c r="AD1020" s="26"/>
      <c r="AE1020" s="26"/>
    </row>
    <row r="1021" spans="1:31" ht="21.95" customHeight="1" x14ac:dyDescent="0.25">
      <c r="A1021" s="97" t="str">
        <f>+IF(PROVEEDORES[[#This Row],[FECHA DE PAGO]]=PROVEEDORES[[#This Row],[FECHA DE FACTURACIÓN]],"DE CONTADO","CRÉDITO")</f>
        <v>CRÉDITO</v>
      </c>
      <c r="B1021" s="41" t="b">
        <f>+IF((PROVEEDORES[[#This Row],[FECHA DE PAGO]]-PROVEEDORES[[#This Row],[FECHA DE FACTURACIÓN]])&gt;PROVEEDORES[[#This Row],[PLAZO Días]],"PAGO VENCIDO")</f>
        <v>0</v>
      </c>
      <c r="C1021" s="22">
        <f>+VLOOKUP(PROVEEDORES[[#This Row],[PROVEEDOR]],TERCEROS_INFO[#All],2,FALSE)</f>
        <v>30</v>
      </c>
      <c r="D1021" s="27">
        <f>+SUMIFS(PROVEEDORES[Total],PROVEEDORES[PROVEEDOR],PROVEEDORES[[#This Row],[PROVEEDOR]],PROVEEDORES[FECHA DE PAGO],"")</f>
        <v>1979529.3</v>
      </c>
      <c r="E1021" s="27"/>
      <c r="F1021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1021" s="95">
        <v>44558</v>
      </c>
      <c r="H1021" s="28" t="s">
        <v>17</v>
      </c>
      <c r="I1021" s="95">
        <v>44529</v>
      </c>
      <c r="J1021" s="38">
        <v>1846298</v>
      </c>
      <c r="K1021" s="23">
        <v>300000</v>
      </c>
      <c r="L1021" s="23"/>
      <c r="M1021" s="24">
        <v>57000</v>
      </c>
      <c r="N1021" s="25"/>
      <c r="O1021" s="24">
        <v>0</v>
      </c>
      <c r="P1021" s="136">
        <f>+IF(PROVEEDORES[[#This Row],[SUBTOTAL]]&lt;PROVEEDORES[[#This Row],[base retencion]],0,PROVEEDORES[[#This Row],[retención aplicada]])</f>
        <v>0</v>
      </c>
      <c r="Q1021" s="24">
        <f>+PROVEEDORES[[#This Row],[Rete Fuente %]]*PROVEEDORES[[#This Row],[SUBTOTAL]]</f>
        <v>0</v>
      </c>
      <c r="R1021" s="23">
        <v>357000</v>
      </c>
      <c r="S102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1" s="99">
        <f ca="1">IF(PROVEEDORES[[#This Row],[FECHA DE PAGO]]=0,TODAY()-PROVEEDORES[[#This Row],[FECHA DE FACTURACIÓN]]-PROVEEDORES[[#This Row],[PLAZO Días]],0)</f>
        <v>0</v>
      </c>
      <c r="U1021" s="149">
        <f>+VLOOKUP(PROVEEDORES[[#This Row],[PROVEEDOR]],Terceros!$A:$E,5,FALSE)</f>
        <v>0</v>
      </c>
      <c r="V1021" s="150">
        <f>+YEAR(PROVEEDORES[[#This Row],[FECHA DE FACTURACIÓN]])</f>
        <v>2021</v>
      </c>
      <c r="W1021" s="150">
        <f>+MATCH(PROVEEDORES[[#This Row],[año facturado]],Retenciones!$1:$1,0)</f>
        <v>4</v>
      </c>
      <c r="X1021" s="151">
        <f>+VLOOKUP(PROVEEDORES[[#This Row],[ID RETENCION]],Retenciones!$A$1:$O$24,PROVEEDORES[[#This Row],[indicador de columna]],FALSE)</f>
        <v>0</v>
      </c>
      <c r="Y1021" s="152">
        <f>+VLOOKUP(PROVEEDORES[[#This Row],[ID RETENCION]],Retenciones!$A$1:$O$24,2,FALSE)</f>
        <v>0</v>
      </c>
      <c r="Z1021" s="26"/>
      <c r="AA1021" s="26"/>
      <c r="AB1021" s="26"/>
      <c r="AC1021" s="26"/>
      <c r="AD1021" s="26"/>
      <c r="AE1021" s="26"/>
    </row>
    <row r="1022" spans="1:31" ht="21.95" customHeight="1" x14ac:dyDescent="0.25">
      <c r="A1022" s="97" t="str">
        <f>+IF(PROVEEDORES[[#This Row],[FECHA DE PAGO]]=PROVEEDORES[[#This Row],[FECHA DE FACTURACIÓN]],"DE CONTADO","CRÉDITO")</f>
        <v>CRÉDITO</v>
      </c>
      <c r="B1022" s="41" t="b">
        <f>+IF((PROVEEDORES[[#This Row],[FECHA DE PAGO]]-PROVEEDORES[[#This Row],[FECHA DE FACTURACIÓN]])&gt;PROVEEDORES[[#This Row],[PLAZO Días]],"PAGO VENCIDO")</f>
        <v>0</v>
      </c>
      <c r="C1022" s="22">
        <f>+VLOOKUP(PROVEEDORES[[#This Row],[PROVEEDOR]],TERCEROS_INFO[#All],2,FALSE)</f>
        <v>30</v>
      </c>
      <c r="D1022" s="27">
        <f>+SUMIFS(PROVEEDORES[Total],PROVEEDORES[PROVEEDOR],PROVEEDORES[[#This Row],[PROVEEDOR]],PROVEEDORES[FECHA DE PAGO],"")</f>
        <v>3844432.4999000002</v>
      </c>
      <c r="E1022" s="27"/>
      <c r="F1022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1022" s="95">
        <v>44558</v>
      </c>
      <c r="H1022" s="28" t="s">
        <v>18</v>
      </c>
      <c r="I1022" s="95">
        <v>44529</v>
      </c>
      <c r="J1022" s="38">
        <v>1046554</v>
      </c>
      <c r="K1022" s="23">
        <v>1627880</v>
      </c>
      <c r="L1022" s="23"/>
      <c r="M1022" s="24">
        <v>309297.2</v>
      </c>
      <c r="N1022" s="25"/>
      <c r="O1022" s="24">
        <v>0</v>
      </c>
      <c r="P1022" s="136">
        <f>+IF(PROVEEDORES[[#This Row],[SUBTOTAL]]&lt;PROVEEDORES[[#This Row],[base retencion]],0,PROVEEDORES[[#This Row],[retención aplicada]])</f>
        <v>2.5000000000000001E-2</v>
      </c>
      <c r="Q1022" s="24">
        <f>+PROVEEDORES[[#This Row],[Rete Fuente %]]*PROVEEDORES[[#This Row],[SUBTOTAL]]</f>
        <v>40697</v>
      </c>
      <c r="R1022" s="23">
        <v>1896480.2</v>
      </c>
      <c r="S102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2" s="99">
        <f ca="1">IF(PROVEEDORES[[#This Row],[FECHA DE PAGO]]=0,TODAY()-PROVEEDORES[[#This Row],[FECHA DE FACTURACIÓN]]-PROVEEDORES[[#This Row],[PLAZO Días]],0)</f>
        <v>0</v>
      </c>
      <c r="U1022" s="149" t="str">
        <f>+VLOOKUP(PROVEEDORES[[#This Row],[PROVEEDOR]],Terceros!$A:$E,5,FALSE)</f>
        <v>2,5% con base</v>
      </c>
      <c r="V1022" s="150">
        <f>+YEAR(PROVEEDORES[[#This Row],[FECHA DE FACTURACIÓN]])</f>
        <v>2021</v>
      </c>
      <c r="W1022" s="150">
        <f>+MATCH(PROVEEDORES[[#This Row],[año facturado]],Retenciones!$1:$1,0)</f>
        <v>4</v>
      </c>
      <c r="X1022" s="151">
        <f>+VLOOKUP(PROVEEDORES[[#This Row],[ID RETENCION]],Retenciones!$A$1:$O$24,PROVEEDORES[[#This Row],[indicador de columna]],FALSE)</f>
        <v>980000</v>
      </c>
      <c r="Y1022" s="152">
        <f>+VLOOKUP(PROVEEDORES[[#This Row],[ID RETENCION]],Retenciones!$A$1:$O$24,2,FALSE)</f>
        <v>2.5000000000000001E-2</v>
      </c>
      <c r="Z1022" s="26"/>
      <c r="AA1022" s="26"/>
      <c r="AB1022" s="26"/>
      <c r="AC1022" s="26"/>
      <c r="AD1022" s="26"/>
      <c r="AE1022" s="26"/>
    </row>
    <row r="1023" spans="1:31" ht="21.95" customHeight="1" x14ac:dyDescent="0.25">
      <c r="A1023" s="97" t="str">
        <f>+IF(PROVEEDORES[[#This Row],[FECHA DE PAGO]]=PROVEEDORES[[#This Row],[FECHA DE FACTURACIÓN]],"DE CONTADO","CRÉDITO")</f>
        <v>CRÉDITO</v>
      </c>
      <c r="B1023" s="41" t="str">
        <f>+IF((PROVEEDORES[[#This Row],[FECHA DE PAGO]]-PROVEEDORES[[#This Row],[FECHA DE FACTURACIÓN]])&gt;PROVEEDORES[[#This Row],[PLAZO Días]],"PAGO VENCIDO")</f>
        <v>PAGO VENCIDO</v>
      </c>
      <c r="C1023" s="22">
        <f>+VLOOKUP(PROVEEDORES[[#This Row],[PROVEEDOR]],TERCEROS_INFO[#All],2,FALSE)</f>
        <v>30</v>
      </c>
      <c r="D1023" s="27">
        <f>+SUMIFS(PROVEEDORES[Total],PROVEEDORES[PROVEEDOR],PROVEEDORES[[#This Row],[PROVEEDOR]],PROVEEDORES[FECHA DE PAGO],"")</f>
        <v>3320000</v>
      </c>
      <c r="E1023" s="27"/>
      <c r="F1023" s="62" t="str">
        <f>+VLOOKUP(PROVEEDORES[[#This Row],[PROVEEDOR]],
                       Terceros!$A:$G,
                       6,
                       FALSE)</f>
        <v>Pygimportadora@gmail.com;girlesa.ruiz@servipilas.com;joriescobar64@gmail.com</v>
      </c>
      <c r="G1023" s="95">
        <v>44568</v>
      </c>
      <c r="H1023" s="28" t="s">
        <v>1062</v>
      </c>
      <c r="I1023" s="95">
        <v>44529</v>
      </c>
      <c r="J1023" s="38" t="s">
        <v>882</v>
      </c>
      <c r="K1023" s="23">
        <v>1678000</v>
      </c>
      <c r="L1023" s="23"/>
      <c r="M1023" s="24">
        <v>0</v>
      </c>
      <c r="N1023" s="25"/>
      <c r="O1023" s="24">
        <v>0</v>
      </c>
      <c r="P1023" s="136">
        <f>+IF(PROVEEDORES[[#This Row],[SUBTOTAL]]&lt;PROVEEDORES[[#This Row],[base retencion]],0,PROVEEDORES[[#This Row],[retención aplicada]])</f>
        <v>0</v>
      </c>
      <c r="Q1023" s="24">
        <f>+PROVEEDORES[[#This Row],[Rete Fuente %]]*PROVEEDORES[[#This Row],[SUBTOTAL]]</f>
        <v>0</v>
      </c>
      <c r="R1023" s="23">
        <v>1678000</v>
      </c>
      <c r="S102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3" s="99">
        <f ca="1">IF(PROVEEDORES[[#This Row],[FECHA DE PAGO]]=0,TODAY()-PROVEEDORES[[#This Row],[FECHA DE FACTURACIÓN]]-PROVEEDORES[[#This Row],[PLAZO Días]],0)</f>
        <v>0</v>
      </c>
      <c r="U1023" s="149">
        <f>+VLOOKUP(PROVEEDORES[[#This Row],[PROVEEDOR]],Terceros!$A:$E,5,FALSE)</f>
        <v>0</v>
      </c>
      <c r="V1023" s="150">
        <f>+YEAR(PROVEEDORES[[#This Row],[FECHA DE FACTURACIÓN]])</f>
        <v>2021</v>
      </c>
      <c r="W1023" s="150">
        <f>+MATCH(PROVEEDORES[[#This Row],[año facturado]],Retenciones!$1:$1,0)</f>
        <v>4</v>
      </c>
      <c r="X1023" s="151">
        <f>+VLOOKUP(PROVEEDORES[[#This Row],[ID RETENCION]],Retenciones!$A$1:$O$24,PROVEEDORES[[#This Row],[indicador de columna]],FALSE)</f>
        <v>0</v>
      </c>
      <c r="Y1023" s="152">
        <f>+VLOOKUP(PROVEEDORES[[#This Row],[ID RETENCION]],Retenciones!$A$1:$O$24,2,FALSE)</f>
        <v>0</v>
      </c>
      <c r="Z1023" s="26"/>
      <c r="AA1023" s="26"/>
      <c r="AB1023" s="26"/>
      <c r="AC1023" s="26"/>
      <c r="AD1023" s="26"/>
      <c r="AE1023" s="26"/>
    </row>
    <row r="1024" spans="1:31" ht="21.95" customHeight="1" x14ac:dyDescent="0.25">
      <c r="A1024" s="97" t="str">
        <f>+IF(PROVEEDORES[[#This Row],[FECHA DE PAGO]]=PROVEEDORES[[#This Row],[FECHA DE FACTURACIÓN]],"DE CONTADO","CRÉDITO")</f>
        <v>DE CONTADO</v>
      </c>
      <c r="B1024" s="41" t="b">
        <f>+IF((PROVEEDORES[[#This Row],[FECHA DE PAGO]]-PROVEEDORES[[#This Row],[FECHA DE FACTURACIÓN]])&gt;PROVEEDORES[[#This Row],[PLAZO Días]],"PAGO VENCIDO")</f>
        <v>0</v>
      </c>
      <c r="C1024" s="22">
        <f>+VLOOKUP(PROVEEDORES[[#This Row],[PROVEEDOR]],TERCEROS_INFO[#All],2,FALSE)</f>
        <v>30</v>
      </c>
      <c r="D1024" s="27">
        <f>+SUMIFS(PROVEEDORES[Total],PROVEEDORES[PROVEEDOR],PROVEEDORES[[#This Row],[PROVEEDOR]],PROVEEDORES[FECHA DE PAGO],"")</f>
        <v>0</v>
      </c>
      <c r="E1024" s="27"/>
      <c r="F1024" s="62" t="str">
        <f>+VLOOKUP(PROVEEDORES[[#This Row],[PROVEEDOR]],
                       Terceros!$A:$G,
                       6,
                       FALSE)</f>
        <v/>
      </c>
      <c r="G1024" s="95">
        <v>44530</v>
      </c>
      <c r="H1024" s="28" t="s">
        <v>1010</v>
      </c>
      <c r="I1024" s="95">
        <v>44530</v>
      </c>
      <c r="J1024" s="38" t="s">
        <v>663</v>
      </c>
      <c r="K1024" s="23">
        <v>78000</v>
      </c>
      <c r="L1024" s="23"/>
      <c r="M1024" s="24">
        <v>0</v>
      </c>
      <c r="N1024" s="25"/>
      <c r="O1024" s="24">
        <v>0</v>
      </c>
      <c r="P1024" s="136">
        <f>+IF(PROVEEDORES[[#This Row],[SUBTOTAL]]&lt;PROVEEDORES[[#This Row],[base retencion]],0,PROVEEDORES[[#This Row],[retención aplicada]])</f>
        <v>0</v>
      </c>
      <c r="Q1024" s="24">
        <f>+PROVEEDORES[[#This Row],[Rete Fuente %]]*PROVEEDORES[[#This Row],[SUBTOTAL]]</f>
        <v>0</v>
      </c>
      <c r="R1024" s="23">
        <v>78000</v>
      </c>
      <c r="S102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4" s="99">
        <f ca="1">IF(PROVEEDORES[[#This Row],[FECHA DE PAGO]]=0,TODAY()-PROVEEDORES[[#This Row],[FECHA DE FACTURACIÓN]]-PROVEEDORES[[#This Row],[PLAZO Días]],0)</f>
        <v>0</v>
      </c>
      <c r="U1024" s="149">
        <f>+VLOOKUP(PROVEEDORES[[#This Row],[PROVEEDOR]],Terceros!$A:$E,5,FALSE)</f>
        <v>0</v>
      </c>
      <c r="V1024" s="150">
        <f>+YEAR(PROVEEDORES[[#This Row],[FECHA DE FACTURACIÓN]])</f>
        <v>2021</v>
      </c>
      <c r="W1024" s="150">
        <f>+MATCH(PROVEEDORES[[#This Row],[año facturado]],Retenciones!$1:$1,0)</f>
        <v>4</v>
      </c>
      <c r="X1024" s="151">
        <f>+VLOOKUP(PROVEEDORES[[#This Row],[ID RETENCION]],Retenciones!$A$1:$O$24,PROVEEDORES[[#This Row],[indicador de columna]],FALSE)</f>
        <v>0</v>
      </c>
      <c r="Y1024" s="152">
        <f>+VLOOKUP(PROVEEDORES[[#This Row],[ID RETENCION]],Retenciones!$A$1:$O$24,2,FALSE)</f>
        <v>0</v>
      </c>
      <c r="Z1024" s="26"/>
      <c r="AA1024" s="26"/>
      <c r="AB1024" s="26"/>
      <c r="AC1024" s="26"/>
      <c r="AD1024" s="26"/>
      <c r="AE1024" s="26"/>
    </row>
    <row r="1025" spans="1:31" ht="21.95" customHeight="1" x14ac:dyDescent="0.25">
      <c r="A1025" s="97" t="str">
        <f>+IF(PROVEEDORES[[#This Row],[FECHA DE PAGO]]=PROVEEDORES[[#This Row],[FECHA DE FACTURACIÓN]],"DE CONTADO","CRÉDITO")</f>
        <v>DE CONTADO</v>
      </c>
      <c r="B1025" s="41" t="b">
        <f>+IF((PROVEEDORES[[#This Row],[FECHA DE PAGO]]-PROVEEDORES[[#This Row],[FECHA DE FACTURACIÓN]])&gt;PROVEEDORES[[#This Row],[PLAZO Días]],"PAGO VENCIDO")</f>
        <v>0</v>
      </c>
      <c r="C1025" s="22">
        <f>+VLOOKUP(PROVEEDORES[[#This Row],[PROVEEDOR]],TERCEROS_INFO[#All],2,FALSE)</f>
        <v>30</v>
      </c>
      <c r="D1025" s="27">
        <f>+SUMIFS(PROVEEDORES[Total],PROVEEDORES[PROVEEDOR],PROVEEDORES[[#This Row],[PROVEEDOR]],PROVEEDORES[FECHA DE PAGO],"")</f>
        <v>0</v>
      </c>
      <c r="E1025" s="27"/>
      <c r="F1025" s="62" t="str">
        <f>+VLOOKUP(PROVEEDORES[[#This Row],[PROVEEDOR]],
                       Terceros!$A:$G,
                       6,
                       FALSE)</f>
        <v/>
      </c>
      <c r="G1025" s="95">
        <v>44530</v>
      </c>
      <c r="H1025" s="28" t="s">
        <v>1010</v>
      </c>
      <c r="I1025" s="95">
        <v>44530</v>
      </c>
      <c r="J1025" s="38" t="s">
        <v>834</v>
      </c>
      <c r="K1025" s="23">
        <v>154000</v>
      </c>
      <c r="L1025" s="23"/>
      <c r="M1025" s="24">
        <v>0</v>
      </c>
      <c r="N1025" s="25"/>
      <c r="O1025" s="24">
        <v>0</v>
      </c>
      <c r="P1025" s="136">
        <f>+IF(PROVEEDORES[[#This Row],[SUBTOTAL]]&lt;PROVEEDORES[[#This Row],[base retencion]],0,PROVEEDORES[[#This Row],[retención aplicada]])</f>
        <v>0</v>
      </c>
      <c r="Q1025" s="24">
        <f>+PROVEEDORES[[#This Row],[Rete Fuente %]]*PROVEEDORES[[#This Row],[SUBTOTAL]]</f>
        <v>0</v>
      </c>
      <c r="R1025" s="23">
        <v>154000</v>
      </c>
      <c r="S102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5" s="99">
        <f ca="1">IF(PROVEEDORES[[#This Row],[FECHA DE PAGO]]=0,TODAY()-PROVEEDORES[[#This Row],[FECHA DE FACTURACIÓN]]-PROVEEDORES[[#This Row],[PLAZO Días]],0)</f>
        <v>0</v>
      </c>
      <c r="U1025" s="149">
        <f>+VLOOKUP(PROVEEDORES[[#This Row],[PROVEEDOR]],Terceros!$A:$E,5,FALSE)</f>
        <v>0</v>
      </c>
      <c r="V1025" s="150">
        <f>+YEAR(PROVEEDORES[[#This Row],[FECHA DE FACTURACIÓN]])</f>
        <v>2021</v>
      </c>
      <c r="W1025" s="150">
        <f>+MATCH(PROVEEDORES[[#This Row],[año facturado]],Retenciones!$1:$1,0)</f>
        <v>4</v>
      </c>
      <c r="X1025" s="151">
        <f>+VLOOKUP(PROVEEDORES[[#This Row],[ID RETENCION]],Retenciones!$A$1:$O$24,PROVEEDORES[[#This Row],[indicador de columna]],FALSE)</f>
        <v>0</v>
      </c>
      <c r="Y1025" s="152">
        <f>+VLOOKUP(PROVEEDORES[[#This Row],[ID RETENCION]],Retenciones!$A$1:$O$24,2,FALSE)</f>
        <v>0</v>
      </c>
      <c r="Z1025" s="26"/>
      <c r="AA1025" s="26"/>
      <c r="AB1025" s="26"/>
      <c r="AC1025" s="26"/>
      <c r="AD1025" s="26"/>
      <c r="AE1025" s="26"/>
    </row>
    <row r="1026" spans="1:31" ht="21.95" customHeight="1" x14ac:dyDescent="0.25">
      <c r="A1026" s="97" t="str">
        <f>+IF(PROVEEDORES[[#This Row],[FECHA DE PAGO]]=PROVEEDORES[[#This Row],[FECHA DE FACTURACIÓN]],"DE CONTADO","CRÉDITO")</f>
        <v>DE CONTADO</v>
      </c>
      <c r="B1026" s="41" t="b">
        <f>+IF((PROVEEDORES[[#This Row],[FECHA DE PAGO]]-PROVEEDORES[[#This Row],[FECHA DE FACTURACIÓN]])&gt;PROVEEDORES[[#This Row],[PLAZO Días]],"PAGO VENCIDO")</f>
        <v>0</v>
      </c>
      <c r="C1026" s="22">
        <f>+VLOOKUP(PROVEEDORES[[#This Row],[PROVEEDOR]],TERCEROS_INFO[#All],2,FALSE)</f>
        <v>30</v>
      </c>
      <c r="D1026" s="27">
        <f>+SUMIFS(PROVEEDORES[Total],PROVEEDORES[PROVEEDOR],PROVEEDORES[[#This Row],[PROVEEDOR]],PROVEEDORES[FECHA DE PAGO],"")</f>
        <v>0</v>
      </c>
      <c r="E1026" s="27"/>
      <c r="F1026" s="62" t="str">
        <f>+VLOOKUP(PROVEEDORES[[#This Row],[PROVEEDOR]],
                       Terceros!$A:$G,
                       6,
                       FALSE)</f>
        <v/>
      </c>
      <c r="G1026" s="95">
        <v>44530</v>
      </c>
      <c r="H1026" s="28" t="s">
        <v>1010</v>
      </c>
      <c r="I1026" s="95">
        <v>44530</v>
      </c>
      <c r="J1026" s="38" t="s">
        <v>884</v>
      </c>
      <c r="K1026" s="23">
        <v>385000</v>
      </c>
      <c r="L1026" s="23"/>
      <c r="M1026" s="24">
        <v>0</v>
      </c>
      <c r="N1026" s="25"/>
      <c r="O1026" s="24">
        <v>0</v>
      </c>
      <c r="P1026" s="136">
        <f>+IF(PROVEEDORES[[#This Row],[SUBTOTAL]]&lt;PROVEEDORES[[#This Row],[base retencion]],0,PROVEEDORES[[#This Row],[retención aplicada]])</f>
        <v>0</v>
      </c>
      <c r="Q1026" s="24">
        <f>+PROVEEDORES[[#This Row],[Rete Fuente %]]*PROVEEDORES[[#This Row],[SUBTOTAL]]</f>
        <v>0</v>
      </c>
      <c r="R1026" s="23">
        <v>385000</v>
      </c>
      <c r="S102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6" s="99">
        <f ca="1">IF(PROVEEDORES[[#This Row],[FECHA DE PAGO]]=0,TODAY()-PROVEEDORES[[#This Row],[FECHA DE FACTURACIÓN]]-PROVEEDORES[[#This Row],[PLAZO Días]],0)</f>
        <v>0</v>
      </c>
      <c r="U1026" s="149">
        <f>+VLOOKUP(PROVEEDORES[[#This Row],[PROVEEDOR]],Terceros!$A:$E,5,FALSE)</f>
        <v>0</v>
      </c>
      <c r="V1026" s="150">
        <f>+YEAR(PROVEEDORES[[#This Row],[FECHA DE FACTURACIÓN]])</f>
        <v>2021</v>
      </c>
      <c r="W1026" s="150">
        <f>+MATCH(PROVEEDORES[[#This Row],[año facturado]],Retenciones!$1:$1,0)</f>
        <v>4</v>
      </c>
      <c r="X1026" s="151">
        <f>+VLOOKUP(PROVEEDORES[[#This Row],[ID RETENCION]],Retenciones!$A$1:$O$24,PROVEEDORES[[#This Row],[indicador de columna]],FALSE)</f>
        <v>0</v>
      </c>
      <c r="Y1026" s="152">
        <f>+VLOOKUP(PROVEEDORES[[#This Row],[ID RETENCION]],Retenciones!$A$1:$O$24,2,FALSE)</f>
        <v>0</v>
      </c>
      <c r="Z1026" s="26"/>
      <c r="AA1026" s="26"/>
      <c r="AB1026" s="26"/>
      <c r="AC1026" s="26"/>
      <c r="AD1026" s="26"/>
      <c r="AE1026" s="26"/>
    </row>
    <row r="1027" spans="1:31" ht="21.95" customHeight="1" x14ac:dyDescent="0.25">
      <c r="A1027" s="97" t="str">
        <f>+IF(PROVEEDORES[[#This Row],[FECHA DE PAGO]]=PROVEEDORES[[#This Row],[FECHA DE FACTURACIÓN]],"DE CONTADO","CRÉDITO")</f>
        <v>CRÉDITO</v>
      </c>
      <c r="B1027" s="41" t="b">
        <f>+IF((PROVEEDORES[[#This Row],[FECHA DE PAGO]]-PROVEEDORES[[#This Row],[FECHA DE FACTURACIÓN]])&gt;PROVEEDORES[[#This Row],[PLAZO Días]],"PAGO VENCIDO")</f>
        <v>0</v>
      </c>
      <c r="C1027" s="22">
        <f>+VLOOKUP(PROVEEDORES[[#This Row],[PROVEEDOR]],TERCEROS_INFO[#All],2,FALSE)</f>
        <v>30</v>
      </c>
      <c r="D1027" s="27">
        <f>+SUMIFS(PROVEEDORES[Total],PROVEEDORES[PROVEEDOR],PROVEEDORES[[#This Row],[PROVEEDOR]],PROVEEDORES[FECHA DE PAGO],"")</f>
        <v>0</v>
      </c>
      <c r="E1027" s="27"/>
      <c r="F1027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1027" s="95">
        <v>44558</v>
      </c>
      <c r="H1027" s="28" t="s">
        <v>24</v>
      </c>
      <c r="I1027" s="95">
        <v>44530</v>
      </c>
      <c r="J1027" s="38" t="s">
        <v>637</v>
      </c>
      <c r="K1027" s="23">
        <v>710400</v>
      </c>
      <c r="L1027" s="23"/>
      <c r="M1027" s="24">
        <v>134976</v>
      </c>
      <c r="N1027" s="25"/>
      <c r="O1027" s="24">
        <v>0</v>
      </c>
      <c r="P1027" s="136">
        <f>+IF(PROVEEDORES[[#This Row],[SUBTOTAL]]&lt;PROVEEDORES[[#This Row],[base retencion]],0,PROVEEDORES[[#This Row],[retención aplicada]])</f>
        <v>0</v>
      </c>
      <c r="Q1027" s="24">
        <f>+PROVEEDORES[[#This Row],[Rete Fuente %]]*PROVEEDORES[[#This Row],[SUBTOTAL]]</f>
        <v>0</v>
      </c>
      <c r="R1027" s="23">
        <v>845376</v>
      </c>
      <c r="S102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7" s="99">
        <f ca="1">IF(PROVEEDORES[[#This Row],[FECHA DE PAGO]]=0,TODAY()-PROVEEDORES[[#This Row],[FECHA DE FACTURACIÓN]]-PROVEEDORES[[#This Row],[PLAZO Días]],0)</f>
        <v>0</v>
      </c>
      <c r="U1027" s="149" t="str">
        <f>+VLOOKUP(PROVEEDORES[[#This Row],[PROVEEDOR]],Terceros!$A:$E,5,FALSE)</f>
        <v>2,5% con base</v>
      </c>
      <c r="V1027" s="150">
        <f>+YEAR(PROVEEDORES[[#This Row],[FECHA DE FACTURACIÓN]])</f>
        <v>2021</v>
      </c>
      <c r="W1027" s="150">
        <f>+MATCH(PROVEEDORES[[#This Row],[año facturado]],Retenciones!$1:$1,0)</f>
        <v>4</v>
      </c>
      <c r="X1027" s="151">
        <f>+VLOOKUP(PROVEEDORES[[#This Row],[ID RETENCION]],Retenciones!$A$1:$O$24,PROVEEDORES[[#This Row],[indicador de columna]],FALSE)</f>
        <v>980000</v>
      </c>
      <c r="Y1027" s="152">
        <f>+VLOOKUP(PROVEEDORES[[#This Row],[ID RETENCION]],Retenciones!$A$1:$O$24,2,FALSE)</f>
        <v>2.5000000000000001E-2</v>
      </c>
      <c r="Z1027" s="26"/>
      <c r="AA1027" s="26"/>
      <c r="AB1027" s="26"/>
      <c r="AC1027" s="26"/>
      <c r="AD1027" s="26"/>
      <c r="AE1027" s="26"/>
    </row>
    <row r="1028" spans="1:31" ht="21.95" customHeight="1" x14ac:dyDescent="0.25">
      <c r="A1028" s="97" t="str">
        <f>+IF(PROVEEDORES[[#This Row],[FECHA DE PAGO]]=PROVEEDORES[[#This Row],[FECHA DE FACTURACIÓN]],"DE CONTADO","CRÉDITO")</f>
        <v>CRÉDITO</v>
      </c>
      <c r="B1028" s="41" t="b">
        <f>+IF((PROVEEDORES[[#This Row],[FECHA DE PAGO]]-PROVEEDORES[[#This Row],[FECHA DE FACTURACIÓN]])&gt;PROVEEDORES[[#This Row],[PLAZO Días]],"PAGO VENCIDO")</f>
        <v>0</v>
      </c>
      <c r="C1028" s="22">
        <f>+VLOOKUP(PROVEEDORES[[#This Row],[PROVEEDOR]],TERCEROS_INFO[#All],2,FALSE)</f>
        <v>30</v>
      </c>
      <c r="D1028" s="27">
        <f>+SUMIFS(PROVEEDORES[Total],PROVEEDORES[PROVEEDOR],PROVEEDORES[[#This Row],[PROVEEDOR]],PROVEEDORES[FECHA DE PAGO],"")</f>
        <v>2588352.5</v>
      </c>
      <c r="E1028" s="27"/>
      <c r="F1028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1028" s="95">
        <v>44558</v>
      </c>
      <c r="H1028" s="28" t="s">
        <v>1088</v>
      </c>
      <c r="I1028" s="95">
        <v>44530</v>
      </c>
      <c r="J1028" s="38">
        <v>23709</v>
      </c>
      <c r="K1028" s="23">
        <v>736000</v>
      </c>
      <c r="L1028" s="23"/>
      <c r="M1028" s="24">
        <v>139840</v>
      </c>
      <c r="N1028" s="25"/>
      <c r="O1028" s="24">
        <v>0</v>
      </c>
      <c r="P1028" s="136">
        <f>+IF(PROVEEDORES[[#This Row],[SUBTOTAL]]&lt;PROVEEDORES[[#This Row],[base retencion]],0,PROVEEDORES[[#This Row],[retención aplicada]])</f>
        <v>0</v>
      </c>
      <c r="Q1028" s="24">
        <f>+PROVEEDORES[[#This Row],[Rete Fuente %]]*PROVEEDORES[[#This Row],[SUBTOTAL]]</f>
        <v>0</v>
      </c>
      <c r="R1028" s="23">
        <v>875840</v>
      </c>
      <c r="S102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8" s="99">
        <f ca="1">IF(PROVEEDORES[[#This Row],[FECHA DE PAGO]]=0,TODAY()-PROVEEDORES[[#This Row],[FECHA DE FACTURACIÓN]]-PROVEEDORES[[#This Row],[PLAZO Días]],0)</f>
        <v>0</v>
      </c>
      <c r="U1028" s="149" t="str">
        <f>+VLOOKUP(PROVEEDORES[[#This Row],[PROVEEDOR]],Terceros!$A:$E,5,FALSE)</f>
        <v>2,5% con base</v>
      </c>
      <c r="V1028" s="150">
        <f>+YEAR(PROVEEDORES[[#This Row],[FECHA DE FACTURACIÓN]])</f>
        <v>2021</v>
      </c>
      <c r="W1028" s="150">
        <f>+MATCH(PROVEEDORES[[#This Row],[año facturado]],Retenciones!$1:$1,0)</f>
        <v>4</v>
      </c>
      <c r="X1028" s="151">
        <f>+VLOOKUP(PROVEEDORES[[#This Row],[ID RETENCION]],Retenciones!$A$1:$O$24,PROVEEDORES[[#This Row],[indicador de columna]],FALSE)</f>
        <v>980000</v>
      </c>
      <c r="Y1028" s="152">
        <f>+VLOOKUP(PROVEEDORES[[#This Row],[ID RETENCION]],Retenciones!$A$1:$O$24,2,FALSE)</f>
        <v>2.5000000000000001E-2</v>
      </c>
      <c r="Z1028" s="26"/>
      <c r="AA1028" s="26"/>
      <c r="AB1028" s="26"/>
      <c r="AC1028" s="26"/>
      <c r="AD1028" s="26"/>
      <c r="AE1028" s="26"/>
    </row>
    <row r="1029" spans="1:31" ht="21.95" customHeight="1" x14ac:dyDescent="0.25">
      <c r="A1029" s="97" t="str">
        <f>+IF(PROVEEDORES[[#This Row],[FECHA DE PAGO]]=PROVEEDORES[[#This Row],[FECHA DE FACTURACIÓN]],"DE CONTADO","CRÉDITO")</f>
        <v>DE CONTADO</v>
      </c>
      <c r="B1029" s="41" t="b">
        <f>+IF((PROVEEDORES[[#This Row],[FECHA DE PAGO]]-PROVEEDORES[[#This Row],[FECHA DE FACTURACIÓN]])&gt;PROVEEDORES[[#This Row],[PLAZO Días]],"PAGO VENCIDO")</f>
        <v>0</v>
      </c>
      <c r="C1029" s="22">
        <f>+VLOOKUP(PROVEEDORES[[#This Row],[PROVEEDOR]],TERCEROS_INFO[#All],2,FALSE)</f>
        <v>30</v>
      </c>
      <c r="D1029" s="27">
        <f>+SUMIFS(PROVEEDORES[Total],PROVEEDORES[PROVEEDOR],PROVEEDORES[[#This Row],[PROVEEDOR]],PROVEEDORES[FECHA DE PAGO],"")</f>
        <v>0</v>
      </c>
      <c r="E1029" s="27"/>
      <c r="F1029" s="62" t="str">
        <f>+VLOOKUP(PROVEEDORES[[#This Row],[PROVEEDOR]],
                       Terceros!$A:$G,
                       6,
                       FALSE)</f>
        <v/>
      </c>
      <c r="G1029" s="95">
        <v>44530</v>
      </c>
      <c r="H1029" s="28" t="s">
        <v>1010</v>
      </c>
      <c r="I1029" s="95">
        <v>44530</v>
      </c>
      <c r="J1029" s="38" t="s">
        <v>76</v>
      </c>
      <c r="K1029" s="23">
        <v>739000</v>
      </c>
      <c r="L1029" s="23"/>
      <c r="M1029" s="24">
        <v>0</v>
      </c>
      <c r="N1029" s="25"/>
      <c r="O1029" s="24">
        <v>0</v>
      </c>
      <c r="P1029" s="136">
        <f>+IF(PROVEEDORES[[#This Row],[SUBTOTAL]]&lt;PROVEEDORES[[#This Row],[base retencion]],0,PROVEEDORES[[#This Row],[retención aplicada]])</f>
        <v>0</v>
      </c>
      <c r="Q1029" s="24">
        <f>+PROVEEDORES[[#This Row],[Rete Fuente %]]*PROVEEDORES[[#This Row],[SUBTOTAL]]</f>
        <v>0</v>
      </c>
      <c r="R1029" s="23">
        <v>739000</v>
      </c>
      <c r="S102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9" s="99">
        <f ca="1">IF(PROVEEDORES[[#This Row],[FECHA DE PAGO]]=0,TODAY()-PROVEEDORES[[#This Row],[FECHA DE FACTURACIÓN]]-PROVEEDORES[[#This Row],[PLAZO Días]],0)</f>
        <v>0</v>
      </c>
      <c r="U1029" s="149">
        <f>+VLOOKUP(PROVEEDORES[[#This Row],[PROVEEDOR]],Terceros!$A:$E,5,FALSE)</f>
        <v>0</v>
      </c>
      <c r="V1029" s="150">
        <f>+YEAR(PROVEEDORES[[#This Row],[FECHA DE FACTURACIÓN]])</f>
        <v>2021</v>
      </c>
      <c r="W1029" s="150">
        <f>+MATCH(PROVEEDORES[[#This Row],[año facturado]],Retenciones!$1:$1,0)</f>
        <v>4</v>
      </c>
      <c r="X1029" s="151">
        <f>+VLOOKUP(PROVEEDORES[[#This Row],[ID RETENCION]],Retenciones!$A$1:$O$24,PROVEEDORES[[#This Row],[indicador de columna]],FALSE)</f>
        <v>0</v>
      </c>
      <c r="Y1029" s="152">
        <f>+VLOOKUP(PROVEEDORES[[#This Row],[ID RETENCION]],Retenciones!$A$1:$O$24,2,FALSE)</f>
        <v>0</v>
      </c>
      <c r="Z1029" s="26"/>
      <c r="AA1029" s="26"/>
      <c r="AB1029" s="26"/>
      <c r="AC1029" s="26"/>
      <c r="AD1029" s="26"/>
      <c r="AE1029" s="26"/>
    </row>
    <row r="1030" spans="1:31" ht="21.95" customHeight="1" x14ac:dyDescent="0.25">
      <c r="A1030" s="97" t="str">
        <f>+IF(PROVEEDORES[[#This Row],[FECHA DE PAGO]]=PROVEEDORES[[#This Row],[FECHA DE FACTURACIÓN]],"DE CONTADO","CRÉDITO")</f>
        <v>DE CONTADO</v>
      </c>
      <c r="B1030" s="41" t="b">
        <f>+IF((PROVEEDORES[[#This Row],[FECHA DE PAGO]]-PROVEEDORES[[#This Row],[FECHA DE FACTURACIÓN]])&gt;PROVEEDORES[[#This Row],[PLAZO Días]],"PAGO VENCIDO")</f>
        <v>0</v>
      </c>
      <c r="C1030" s="22">
        <f>+VLOOKUP(PROVEEDORES[[#This Row],[PROVEEDOR]],TERCEROS_INFO[#All],2,FALSE)</f>
        <v>30</v>
      </c>
      <c r="D1030" s="27">
        <f>+SUMIFS(PROVEEDORES[Total],PROVEEDORES[PROVEEDOR],PROVEEDORES[[#This Row],[PROVEEDOR]],PROVEEDORES[FECHA DE PAGO],"")</f>
        <v>0</v>
      </c>
      <c r="E1030" s="27"/>
      <c r="F1030" s="62" t="str">
        <f>+VLOOKUP(PROVEEDORES[[#This Row],[PROVEEDOR]],
                       Terceros!$A:$G,
                       6,
                       FALSE)</f>
        <v/>
      </c>
      <c r="G1030" s="95">
        <v>44530</v>
      </c>
      <c r="H1030" s="28" t="s">
        <v>1010</v>
      </c>
      <c r="I1030" s="95">
        <v>44530</v>
      </c>
      <c r="J1030" s="38" t="s">
        <v>664</v>
      </c>
      <c r="K1030" s="23">
        <v>755000</v>
      </c>
      <c r="L1030" s="23"/>
      <c r="M1030" s="24">
        <v>0</v>
      </c>
      <c r="N1030" s="25"/>
      <c r="O1030" s="24">
        <v>0</v>
      </c>
      <c r="P1030" s="136">
        <f>+IF(PROVEEDORES[[#This Row],[SUBTOTAL]]&lt;PROVEEDORES[[#This Row],[base retencion]],0,PROVEEDORES[[#This Row],[retención aplicada]])</f>
        <v>0</v>
      </c>
      <c r="Q1030" s="24">
        <f>+PROVEEDORES[[#This Row],[Rete Fuente %]]*PROVEEDORES[[#This Row],[SUBTOTAL]]</f>
        <v>0</v>
      </c>
      <c r="R1030" s="23">
        <v>755000</v>
      </c>
      <c r="S103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0" s="99">
        <f ca="1">IF(PROVEEDORES[[#This Row],[FECHA DE PAGO]]=0,TODAY()-PROVEEDORES[[#This Row],[FECHA DE FACTURACIÓN]]-PROVEEDORES[[#This Row],[PLAZO Días]],0)</f>
        <v>0</v>
      </c>
      <c r="U1030" s="149">
        <f>+VLOOKUP(PROVEEDORES[[#This Row],[PROVEEDOR]],Terceros!$A:$E,5,FALSE)</f>
        <v>0</v>
      </c>
      <c r="V1030" s="150">
        <f>+YEAR(PROVEEDORES[[#This Row],[FECHA DE FACTURACIÓN]])</f>
        <v>2021</v>
      </c>
      <c r="W1030" s="150">
        <f>+MATCH(PROVEEDORES[[#This Row],[año facturado]],Retenciones!$1:$1,0)</f>
        <v>4</v>
      </c>
      <c r="X1030" s="151">
        <f>+VLOOKUP(PROVEEDORES[[#This Row],[ID RETENCION]],Retenciones!$A$1:$O$24,PROVEEDORES[[#This Row],[indicador de columna]],FALSE)</f>
        <v>0</v>
      </c>
      <c r="Y1030" s="152">
        <f>+VLOOKUP(PROVEEDORES[[#This Row],[ID RETENCION]],Retenciones!$A$1:$O$24,2,FALSE)</f>
        <v>0</v>
      </c>
      <c r="Z1030" s="26"/>
      <c r="AA1030" s="26"/>
      <c r="AB1030" s="26"/>
      <c r="AC1030" s="26"/>
      <c r="AD1030" s="26"/>
      <c r="AE1030" s="26"/>
    </row>
    <row r="1031" spans="1:31" ht="21.95" customHeight="1" x14ac:dyDescent="0.25">
      <c r="A1031" s="97" t="str">
        <f>+IF(PROVEEDORES[[#This Row],[FECHA DE PAGO]]=PROVEEDORES[[#This Row],[FECHA DE FACTURACIÓN]],"DE CONTADO","CRÉDITO")</f>
        <v>CRÉDITO</v>
      </c>
      <c r="B1031" s="41" t="b">
        <f>+IF((PROVEEDORES[[#This Row],[FECHA DE PAGO]]-PROVEEDORES[[#This Row],[FECHA DE FACTURACIÓN]])&gt;PROVEEDORES[[#This Row],[PLAZO Días]],"PAGO VENCIDO")</f>
        <v>0</v>
      </c>
      <c r="C1031" s="22">
        <f>+VLOOKUP(PROVEEDORES[[#This Row],[PROVEEDOR]],TERCEROS_INFO[#All],2,FALSE)</f>
        <v>30</v>
      </c>
      <c r="D1031" s="27">
        <f>+SUMIFS(PROVEEDORES[Total],PROVEEDORES[PROVEEDOR],PROVEEDORES[[#This Row],[PROVEEDOR]],PROVEEDORES[FECHA DE PAGO],"")</f>
        <v>3355018.0749999997</v>
      </c>
      <c r="E1031" s="27"/>
      <c r="F1031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1031" s="95">
        <v>44552</v>
      </c>
      <c r="H1031" s="28" t="s">
        <v>222</v>
      </c>
      <c r="I1031" s="95">
        <v>44530</v>
      </c>
      <c r="J1031" s="38">
        <v>437</v>
      </c>
      <c r="K1031" s="23">
        <v>1452941</v>
      </c>
      <c r="L1031" s="23"/>
      <c r="M1031" s="24">
        <v>276058.78999999998</v>
      </c>
      <c r="N1031" s="25"/>
      <c r="O1031" s="24">
        <v>0</v>
      </c>
      <c r="P1031" s="136">
        <f>+IF(PROVEEDORES[[#This Row],[SUBTOTAL]]&lt;PROVEEDORES[[#This Row],[base retencion]],0,PROVEEDORES[[#This Row],[retención aplicada]])</f>
        <v>2.5000000000000001E-2</v>
      </c>
      <c r="Q1031" s="24">
        <f>+PROVEEDORES[[#This Row],[Rete Fuente %]]*PROVEEDORES[[#This Row],[SUBTOTAL]]</f>
        <v>36323.525000000001</v>
      </c>
      <c r="R1031" s="23">
        <v>1692676.2650000001</v>
      </c>
      <c r="S103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1" s="99">
        <f ca="1">IF(PROVEEDORES[[#This Row],[FECHA DE PAGO]]=0,TODAY()-PROVEEDORES[[#This Row],[FECHA DE FACTURACIÓN]]-PROVEEDORES[[#This Row],[PLAZO Días]],0)</f>
        <v>0</v>
      </c>
      <c r="U1031" s="149" t="str">
        <f>+VLOOKUP(PROVEEDORES[[#This Row],[PROVEEDOR]],Terceros!$A:$E,5,FALSE)</f>
        <v>2,5% con base</v>
      </c>
      <c r="V1031" s="150">
        <f>+YEAR(PROVEEDORES[[#This Row],[FECHA DE FACTURACIÓN]])</f>
        <v>2021</v>
      </c>
      <c r="W1031" s="150">
        <f>+MATCH(PROVEEDORES[[#This Row],[año facturado]],Retenciones!$1:$1,0)</f>
        <v>4</v>
      </c>
      <c r="X1031" s="151">
        <f>+VLOOKUP(PROVEEDORES[[#This Row],[ID RETENCION]],Retenciones!$A$1:$O$24,PROVEEDORES[[#This Row],[indicador de columna]],FALSE)</f>
        <v>980000</v>
      </c>
      <c r="Y1031" s="152">
        <f>+VLOOKUP(PROVEEDORES[[#This Row],[ID RETENCION]],Retenciones!$A$1:$O$24,2,FALSE)</f>
        <v>2.5000000000000001E-2</v>
      </c>
      <c r="Z1031" s="26"/>
      <c r="AA1031" s="26"/>
      <c r="AB1031" s="26"/>
      <c r="AC1031" s="26"/>
      <c r="AD1031" s="26"/>
      <c r="AE1031" s="26"/>
    </row>
    <row r="1032" spans="1:31" ht="21.95" customHeight="1" x14ac:dyDescent="0.25">
      <c r="A1032" s="97" t="str">
        <f>+IF(PROVEEDORES[[#This Row],[FECHA DE PAGO]]=PROVEEDORES[[#This Row],[FECHA DE FACTURACIÓN]],"DE CONTADO","CRÉDITO")</f>
        <v>DE CONTADO</v>
      </c>
      <c r="B1032" s="41" t="b">
        <f>+IF((PROVEEDORES[[#This Row],[FECHA DE PAGO]]-PROVEEDORES[[#This Row],[FECHA DE FACTURACIÓN]])&gt;PROVEEDORES[[#This Row],[PLAZO Días]],"PAGO VENCIDO")</f>
        <v>0</v>
      </c>
      <c r="C1032" s="22">
        <f>+VLOOKUP(PROVEEDORES[[#This Row],[PROVEEDOR]],TERCEROS_INFO[#All],2,FALSE)</f>
        <v>30</v>
      </c>
      <c r="D1032" s="27">
        <f>+SUMIFS(PROVEEDORES[Total],PROVEEDORES[PROVEEDOR],PROVEEDORES[[#This Row],[PROVEEDOR]],PROVEEDORES[FECHA DE PAGO],"")</f>
        <v>0</v>
      </c>
      <c r="E1032" s="27"/>
      <c r="F1032" s="62" t="str">
        <f>+VLOOKUP(PROVEEDORES[[#This Row],[PROVEEDOR]],
                       Terceros!$A:$G,
                       6,
                       FALSE)</f>
        <v/>
      </c>
      <c r="G1032" s="95">
        <v>44530</v>
      </c>
      <c r="H1032" s="28" t="s">
        <v>1010</v>
      </c>
      <c r="I1032" s="95">
        <v>44530</v>
      </c>
      <c r="J1032" s="38" t="s">
        <v>665</v>
      </c>
      <c r="K1032" s="23">
        <v>3153500</v>
      </c>
      <c r="L1032" s="23"/>
      <c r="M1032" s="24">
        <v>0</v>
      </c>
      <c r="N1032" s="25"/>
      <c r="O1032" s="24">
        <v>0</v>
      </c>
      <c r="P1032" s="136">
        <f>+IF(PROVEEDORES[[#This Row],[SUBTOTAL]]&lt;PROVEEDORES[[#This Row],[base retencion]],0,PROVEEDORES[[#This Row],[retención aplicada]])</f>
        <v>0</v>
      </c>
      <c r="Q1032" s="24">
        <f>+PROVEEDORES[[#This Row],[Rete Fuente %]]*PROVEEDORES[[#This Row],[SUBTOTAL]]</f>
        <v>0</v>
      </c>
      <c r="R1032" s="23">
        <v>3153500</v>
      </c>
      <c r="S103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2" s="99">
        <f ca="1">IF(PROVEEDORES[[#This Row],[FECHA DE PAGO]]=0,TODAY()-PROVEEDORES[[#This Row],[FECHA DE FACTURACIÓN]]-PROVEEDORES[[#This Row],[PLAZO Días]],0)</f>
        <v>0</v>
      </c>
      <c r="U1032" s="149">
        <f>+VLOOKUP(PROVEEDORES[[#This Row],[PROVEEDOR]],Terceros!$A:$E,5,FALSE)</f>
        <v>0</v>
      </c>
      <c r="V1032" s="150">
        <f>+YEAR(PROVEEDORES[[#This Row],[FECHA DE FACTURACIÓN]])</f>
        <v>2021</v>
      </c>
      <c r="W1032" s="150">
        <f>+MATCH(PROVEEDORES[[#This Row],[año facturado]],Retenciones!$1:$1,0)</f>
        <v>4</v>
      </c>
      <c r="X1032" s="151">
        <f>+VLOOKUP(PROVEEDORES[[#This Row],[ID RETENCION]],Retenciones!$A$1:$O$24,PROVEEDORES[[#This Row],[indicador de columna]],FALSE)</f>
        <v>0</v>
      </c>
      <c r="Y1032" s="152">
        <f>+VLOOKUP(PROVEEDORES[[#This Row],[ID RETENCION]],Retenciones!$A$1:$O$24,2,FALSE)</f>
        <v>0</v>
      </c>
      <c r="Z1032" s="26"/>
      <c r="AA1032" s="26"/>
      <c r="AB1032" s="26"/>
      <c r="AC1032" s="26"/>
      <c r="AD1032" s="26"/>
      <c r="AE1032" s="26"/>
    </row>
    <row r="1033" spans="1:31" ht="21.95" customHeight="1" x14ac:dyDescent="0.25">
      <c r="A1033" s="97" t="str">
        <f>+IF(PROVEEDORES[[#This Row],[FECHA DE PAGO]]=PROVEEDORES[[#This Row],[FECHA DE FACTURACIÓN]],"DE CONTADO","CRÉDITO")</f>
        <v>CRÉDITO</v>
      </c>
      <c r="B1033" s="41" t="b">
        <f>+IF((PROVEEDORES[[#This Row],[FECHA DE PAGO]]-PROVEEDORES[[#This Row],[FECHA DE FACTURACIÓN]])&gt;PROVEEDORES[[#This Row],[PLAZO Días]],"PAGO VENCIDO")</f>
        <v>0</v>
      </c>
      <c r="C1033" s="22">
        <f>+VLOOKUP(PROVEEDORES[[#This Row],[PROVEEDOR]],TERCEROS_INFO[#All],2,FALSE)</f>
        <v>30</v>
      </c>
      <c r="D1033" s="27">
        <f>+SUMIFS(PROVEEDORES[Total],PROVEEDORES[PROVEEDOR],PROVEEDORES[[#This Row],[PROVEEDOR]],PROVEEDORES[FECHA DE PAGO],"")</f>
        <v>0</v>
      </c>
      <c r="E1033" s="27"/>
      <c r="F1033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1033" s="95">
        <v>44558</v>
      </c>
      <c r="H1033" s="28" t="s">
        <v>569</v>
      </c>
      <c r="I1033" s="95">
        <v>44530</v>
      </c>
      <c r="J1033" s="38" t="s">
        <v>636</v>
      </c>
      <c r="K1033" s="23">
        <v>8804052</v>
      </c>
      <c r="L1033" s="23"/>
      <c r="M1033" s="24">
        <v>1672769.8800000001</v>
      </c>
      <c r="N1033" s="25"/>
      <c r="O1033" s="24">
        <v>0</v>
      </c>
      <c r="P1033" s="136">
        <f>+IF(PROVEEDORES[[#This Row],[SUBTOTAL]]&lt;PROVEEDORES[[#This Row],[base retencion]],0,PROVEEDORES[[#This Row],[retención aplicada]])</f>
        <v>0</v>
      </c>
      <c r="Q1033" s="24">
        <f>+PROVEEDORES[[#This Row],[Rete Fuente %]]*PROVEEDORES[[#This Row],[SUBTOTAL]]</f>
        <v>0</v>
      </c>
      <c r="R1033" s="23">
        <v>10476821.880000001</v>
      </c>
      <c r="S103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3" s="99">
        <f ca="1">IF(PROVEEDORES[[#This Row],[FECHA DE PAGO]]=0,TODAY()-PROVEEDORES[[#This Row],[FECHA DE FACTURACIÓN]]-PROVEEDORES[[#This Row],[PLAZO Días]],0)</f>
        <v>0</v>
      </c>
      <c r="U1033" s="149">
        <f>+VLOOKUP(PROVEEDORES[[#This Row],[PROVEEDOR]],Terceros!$A:$E,5,FALSE)</f>
        <v>0</v>
      </c>
      <c r="V1033" s="150">
        <f>+YEAR(PROVEEDORES[[#This Row],[FECHA DE FACTURACIÓN]])</f>
        <v>2021</v>
      </c>
      <c r="W1033" s="150">
        <f>+MATCH(PROVEEDORES[[#This Row],[año facturado]],Retenciones!$1:$1,0)</f>
        <v>4</v>
      </c>
      <c r="X1033" s="151">
        <f>+VLOOKUP(PROVEEDORES[[#This Row],[ID RETENCION]],Retenciones!$A$1:$O$24,PROVEEDORES[[#This Row],[indicador de columna]],FALSE)</f>
        <v>0</v>
      </c>
      <c r="Y1033" s="152">
        <f>+VLOOKUP(PROVEEDORES[[#This Row],[ID RETENCION]],Retenciones!$A$1:$O$24,2,FALSE)</f>
        <v>0</v>
      </c>
      <c r="Z1033" s="26"/>
      <c r="AA1033" s="26"/>
      <c r="AB1033" s="26"/>
      <c r="AC1033" s="26"/>
      <c r="AD1033" s="26"/>
      <c r="AE1033" s="26"/>
    </row>
    <row r="1034" spans="1:31" ht="21.95" customHeight="1" x14ac:dyDescent="0.25">
      <c r="A1034" s="97" t="str">
        <f>+IF(PROVEEDORES[[#This Row],[FECHA DE PAGO]]=PROVEEDORES[[#This Row],[FECHA DE FACTURACIÓN]],"DE CONTADO","CRÉDITO")</f>
        <v>CRÉDITO</v>
      </c>
      <c r="B1034" s="41" t="b">
        <f>+IF((PROVEEDORES[[#This Row],[FECHA DE PAGO]]-PROVEEDORES[[#This Row],[FECHA DE FACTURACIÓN]])&gt;PROVEEDORES[[#This Row],[PLAZO Días]],"PAGO VENCIDO")</f>
        <v>0</v>
      </c>
      <c r="C1034" s="22">
        <f>+VLOOKUP(PROVEEDORES[[#This Row],[PROVEEDOR]],TERCEROS_INFO[#All],2,FALSE)</f>
        <v>30</v>
      </c>
      <c r="D1034" s="27">
        <f>+SUMIFS(PROVEEDORES[Total],PROVEEDORES[PROVEEDOR],PROVEEDORES[[#This Row],[PROVEEDOR]],PROVEEDORES[FECHA DE PAGO],"")</f>
        <v>0</v>
      </c>
      <c r="E1034" s="27"/>
      <c r="F1034" s="62" t="str">
        <f>+VLOOKUP(PROVEEDORES[[#This Row],[PROVEEDOR]],
                       Terceros!$A:$G,
                       6,
                       FALSE)</f>
        <v>PSE</v>
      </c>
      <c r="G1034" s="95">
        <v>44543</v>
      </c>
      <c r="H1034" s="28" t="s">
        <v>350</v>
      </c>
      <c r="I1034" s="95">
        <v>44531</v>
      </c>
      <c r="J1034" s="38" t="s">
        <v>351</v>
      </c>
      <c r="K1034" s="23">
        <v>727051</v>
      </c>
      <c r="L1034" s="23"/>
      <c r="M1034" s="24">
        <v>0</v>
      </c>
      <c r="N1034" s="25"/>
      <c r="O1034" s="24">
        <v>0</v>
      </c>
      <c r="P1034" s="136">
        <f>+IF(PROVEEDORES[[#This Row],[SUBTOTAL]]&lt;PROVEEDORES[[#This Row],[base retencion]],0,PROVEEDORES[[#This Row],[retención aplicada]])</f>
        <v>0</v>
      </c>
      <c r="Q1034" s="24">
        <f>+PROVEEDORES[[#This Row],[Rete Fuente %]]*PROVEEDORES[[#This Row],[SUBTOTAL]]</f>
        <v>0</v>
      </c>
      <c r="R1034" s="23">
        <v>727051</v>
      </c>
      <c r="S103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4" s="99">
        <f ca="1">IF(PROVEEDORES[[#This Row],[FECHA DE PAGO]]=0,TODAY()-PROVEEDORES[[#This Row],[FECHA DE FACTURACIÓN]]-PROVEEDORES[[#This Row],[PLAZO Días]],0)</f>
        <v>0</v>
      </c>
      <c r="U1034" s="149">
        <f>+VLOOKUP(PROVEEDORES[[#This Row],[PROVEEDOR]],Terceros!$A:$E,5,FALSE)</f>
        <v>0</v>
      </c>
      <c r="V1034" s="150">
        <f>+YEAR(PROVEEDORES[[#This Row],[FECHA DE FACTURACIÓN]])</f>
        <v>2021</v>
      </c>
      <c r="W1034" s="150">
        <f>+MATCH(PROVEEDORES[[#This Row],[año facturado]],Retenciones!$1:$1,0)</f>
        <v>4</v>
      </c>
      <c r="X1034" s="151">
        <f>+VLOOKUP(PROVEEDORES[[#This Row],[ID RETENCION]],Retenciones!$A$1:$O$24,PROVEEDORES[[#This Row],[indicador de columna]],FALSE)</f>
        <v>0</v>
      </c>
      <c r="Y1034" s="152">
        <f>+VLOOKUP(PROVEEDORES[[#This Row],[ID RETENCION]],Retenciones!$A$1:$O$24,2,FALSE)</f>
        <v>0</v>
      </c>
      <c r="Z1034" s="26"/>
      <c r="AA1034" s="26"/>
      <c r="AB1034" s="26"/>
      <c r="AC1034" s="26"/>
      <c r="AD1034" s="26"/>
      <c r="AE1034" s="26"/>
    </row>
    <row r="1035" spans="1:31" ht="21.95" customHeight="1" x14ac:dyDescent="0.25">
      <c r="A1035" s="97" t="str">
        <f>+IF(PROVEEDORES[[#This Row],[FECHA DE PAGO]]=PROVEEDORES[[#This Row],[FECHA DE FACTURACIÓN]],"DE CONTADO","CRÉDITO")</f>
        <v>CRÉDITO</v>
      </c>
      <c r="B1035" s="41" t="b">
        <f>+IF((PROVEEDORES[[#This Row],[FECHA DE PAGO]]-PROVEEDORES[[#This Row],[FECHA DE FACTURACIÓN]])&gt;PROVEEDORES[[#This Row],[PLAZO Días]],"PAGO VENCIDO")</f>
        <v>0</v>
      </c>
      <c r="C1035" s="22">
        <f>+VLOOKUP(PROVEEDORES[[#This Row],[PROVEEDOR]],TERCEROS_INFO[#All],2,FALSE)</f>
        <v>30</v>
      </c>
      <c r="D1035" s="27">
        <f>+SUMIFS(PROVEEDORES[Total],PROVEEDORES[PROVEEDOR],PROVEEDORES[[#This Row],[PROVEEDOR]],PROVEEDORES[FECHA DE PAGO],"")</f>
        <v>0</v>
      </c>
      <c r="E1035" s="27"/>
      <c r="F1035" s="62" t="str">
        <f>+VLOOKUP(PROVEEDORES[[#This Row],[PROVEEDOR]],
                       Terceros!$A:$G,
                       6,
                       FALSE)</f>
        <v>PSE</v>
      </c>
      <c r="G1035" s="95">
        <v>44543</v>
      </c>
      <c r="H1035" s="28" t="s">
        <v>350</v>
      </c>
      <c r="I1035" s="95">
        <v>44531</v>
      </c>
      <c r="J1035" s="38" t="s">
        <v>352</v>
      </c>
      <c r="K1035" s="23">
        <v>743959</v>
      </c>
      <c r="L1035" s="23"/>
      <c r="M1035" s="24">
        <v>0</v>
      </c>
      <c r="N1035" s="25"/>
      <c r="O1035" s="24">
        <v>0</v>
      </c>
      <c r="P1035" s="136">
        <f>+IF(PROVEEDORES[[#This Row],[SUBTOTAL]]&lt;PROVEEDORES[[#This Row],[base retencion]],0,PROVEEDORES[[#This Row],[retención aplicada]])</f>
        <v>0</v>
      </c>
      <c r="Q1035" s="24">
        <f>+PROVEEDORES[[#This Row],[Rete Fuente %]]*PROVEEDORES[[#This Row],[SUBTOTAL]]</f>
        <v>0</v>
      </c>
      <c r="R1035" s="23">
        <v>743959</v>
      </c>
      <c r="S103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5" s="99">
        <f ca="1">IF(PROVEEDORES[[#This Row],[FECHA DE PAGO]]=0,TODAY()-PROVEEDORES[[#This Row],[FECHA DE FACTURACIÓN]]-PROVEEDORES[[#This Row],[PLAZO Días]],0)</f>
        <v>0</v>
      </c>
      <c r="U1035" s="149">
        <f>+VLOOKUP(PROVEEDORES[[#This Row],[PROVEEDOR]],Terceros!$A:$E,5,FALSE)</f>
        <v>0</v>
      </c>
      <c r="V1035" s="150">
        <f>+YEAR(PROVEEDORES[[#This Row],[FECHA DE FACTURACIÓN]])</f>
        <v>2021</v>
      </c>
      <c r="W1035" s="150">
        <f>+MATCH(PROVEEDORES[[#This Row],[año facturado]],Retenciones!$1:$1,0)</f>
        <v>4</v>
      </c>
      <c r="X1035" s="151">
        <f>+VLOOKUP(PROVEEDORES[[#This Row],[ID RETENCION]],Retenciones!$A$1:$O$24,PROVEEDORES[[#This Row],[indicador de columna]],FALSE)</f>
        <v>0</v>
      </c>
      <c r="Y1035" s="152">
        <f>+VLOOKUP(PROVEEDORES[[#This Row],[ID RETENCION]],Retenciones!$A$1:$O$24,2,FALSE)</f>
        <v>0</v>
      </c>
      <c r="Z1035" s="26"/>
      <c r="AA1035" s="26"/>
      <c r="AB1035" s="26"/>
      <c r="AC1035" s="26"/>
      <c r="AD1035" s="26"/>
      <c r="AE1035" s="26"/>
    </row>
    <row r="1036" spans="1:31" ht="21.95" customHeight="1" x14ac:dyDescent="0.25">
      <c r="A1036" s="97" t="str">
        <f>+IF(PROVEEDORES[[#This Row],[FECHA DE PAGO]]=PROVEEDORES[[#This Row],[FECHA DE FACTURACIÓN]],"DE CONTADO","CRÉDITO")</f>
        <v>CRÉDITO</v>
      </c>
      <c r="B1036" s="41" t="str">
        <f>+IF((PROVEEDORES[[#This Row],[FECHA DE PAGO]]-PROVEEDORES[[#This Row],[FECHA DE FACTURACIÓN]])&gt;PROVEEDORES[[#This Row],[PLAZO Días]],"PAGO VENCIDO")</f>
        <v>PAGO VENCIDO</v>
      </c>
      <c r="C1036" s="22">
        <f>+VLOOKUP(PROVEEDORES[[#This Row],[PROVEEDOR]],TERCEROS_INFO[#All],2,FALSE)</f>
        <v>30</v>
      </c>
      <c r="D1036" s="27">
        <f>+SUMIFS(PROVEEDORES[Total],PROVEEDORES[PROVEEDOR],PROVEEDORES[[#This Row],[PROVEEDOR]],PROVEEDORES[FECHA DE PAGO],"")</f>
        <v>0</v>
      </c>
      <c r="E1036" s="27"/>
      <c r="F1036" s="62" t="str">
        <f>+VLOOKUP(PROVEEDORES[[#This Row],[PROVEEDOR]],
                       Terceros!$A:$G,
                       6,
                       FALSE)</f>
        <v/>
      </c>
      <c r="G1036" s="95">
        <v>44565</v>
      </c>
      <c r="H1036" s="28" t="s">
        <v>1075</v>
      </c>
      <c r="I1036" s="95">
        <v>44531</v>
      </c>
      <c r="J1036" s="38" t="s">
        <v>916</v>
      </c>
      <c r="K1036" s="23">
        <v>304800</v>
      </c>
      <c r="L1036" s="23"/>
      <c r="M1036" s="24">
        <v>0</v>
      </c>
      <c r="N1036" s="25"/>
      <c r="O1036" s="24">
        <v>0</v>
      </c>
      <c r="P1036" s="136">
        <f>+IF(PROVEEDORES[[#This Row],[SUBTOTAL]]&lt;PROVEEDORES[[#This Row],[base retencion]],0,PROVEEDORES[[#This Row],[retención aplicada]])</f>
        <v>0</v>
      </c>
      <c r="Q1036" s="24">
        <f>+PROVEEDORES[[#This Row],[Rete Fuente %]]*PROVEEDORES[[#This Row],[SUBTOTAL]]</f>
        <v>0</v>
      </c>
      <c r="R1036" s="23">
        <v>304800</v>
      </c>
      <c r="S103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6" s="99">
        <f ca="1">IF(PROVEEDORES[[#This Row],[FECHA DE PAGO]]=0,TODAY()-PROVEEDORES[[#This Row],[FECHA DE FACTURACIÓN]]-PROVEEDORES[[#This Row],[PLAZO Días]],0)</f>
        <v>0</v>
      </c>
      <c r="U1036" s="149">
        <f>+VLOOKUP(PROVEEDORES[[#This Row],[PROVEEDOR]],Terceros!$A:$E,5,FALSE)</f>
        <v>0</v>
      </c>
      <c r="V1036" s="150">
        <f>+YEAR(PROVEEDORES[[#This Row],[FECHA DE FACTURACIÓN]])</f>
        <v>2021</v>
      </c>
      <c r="W1036" s="150">
        <f>+MATCH(PROVEEDORES[[#This Row],[año facturado]],Retenciones!$1:$1,0)</f>
        <v>4</v>
      </c>
      <c r="X1036" s="151">
        <f>+VLOOKUP(PROVEEDORES[[#This Row],[ID RETENCION]],Retenciones!$A$1:$O$24,PROVEEDORES[[#This Row],[indicador de columna]],FALSE)</f>
        <v>0</v>
      </c>
      <c r="Y1036" s="152">
        <f>+VLOOKUP(PROVEEDORES[[#This Row],[ID RETENCION]],Retenciones!$A$1:$O$24,2,FALSE)</f>
        <v>0</v>
      </c>
      <c r="Z1036" s="26"/>
      <c r="AA1036" s="26"/>
      <c r="AB1036" s="26"/>
      <c r="AC1036" s="26"/>
      <c r="AD1036" s="26"/>
      <c r="AE1036" s="26"/>
    </row>
    <row r="1037" spans="1:31" ht="21.95" customHeight="1" x14ac:dyDescent="0.25">
      <c r="A1037" s="97" t="str">
        <f>+IF(PROVEEDORES[[#This Row],[FECHA DE PAGO]]=PROVEEDORES[[#This Row],[FECHA DE FACTURACIÓN]],"DE CONTADO","CRÉDITO")</f>
        <v>CRÉDITO</v>
      </c>
      <c r="B1037" s="41" t="str">
        <f>+IF((PROVEEDORES[[#This Row],[FECHA DE PAGO]]-PROVEEDORES[[#This Row],[FECHA DE FACTURACIÓN]])&gt;PROVEEDORES[[#This Row],[PLAZO Días]],"PAGO VENCIDO")</f>
        <v>PAGO VENCIDO</v>
      </c>
      <c r="C1037" s="22">
        <f>+VLOOKUP(PROVEEDORES[[#This Row],[PROVEEDOR]],TERCEROS_INFO[#All],2,FALSE)</f>
        <v>13</v>
      </c>
      <c r="D1037" s="27">
        <f>+SUMIFS(PROVEEDORES[Total],PROVEEDORES[PROVEEDOR],PROVEEDORES[[#This Row],[PROVEEDOR]],PROVEEDORES[FECHA DE PAGO],"")</f>
        <v>2130283</v>
      </c>
      <c r="E1037" s="27"/>
      <c r="F1037" s="62">
        <f>+VLOOKUP(PROVEEDORES[[#This Row],[PROVEEDOR]],
                       Terceros!$A:$G,
                       6,
                       FALSE)</f>
        <v>0</v>
      </c>
      <c r="G1037" s="95">
        <v>44550</v>
      </c>
      <c r="H1037" s="28" t="s">
        <v>326</v>
      </c>
      <c r="I1037" s="95">
        <v>44531</v>
      </c>
      <c r="J1037" s="38" t="s">
        <v>921</v>
      </c>
      <c r="K1037" s="23">
        <v>5450061</v>
      </c>
      <c r="L1037" s="23"/>
      <c r="M1037" s="24">
        <v>0</v>
      </c>
      <c r="N1037" s="25"/>
      <c r="O1037" s="24">
        <v>0</v>
      </c>
      <c r="P1037" s="136">
        <f>+IF(PROVEEDORES[[#This Row],[SUBTOTAL]]&lt;PROVEEDORES[[#This Row],[base retencion]],0,PROVEEDORES[[#This Row],[retención aplicada]])</f>
        <v>0</v>
      </c>
      <c r="Q1037" s="24">
        <f>+PROVEEDORES[[#This Row],[Rete Fuente %]]*PROVEEDORES[[#This Row],[SUBTOTAL]]</f>
        <v>0</v>
      </c>
      <c r="R1037" s="23">
        <v>5450061</v>
      </c>
      <c r="S103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7" s="99">
        <f ca="1">IF(PROVEEDORES[[#This Row],[FECHA DE PAGO]]=0,TODAY()-PROVEEDORES[[#This Row],[FECHA DE FACTURACIÓN]]-PROVEEDORES[[#This Row],[PLAZO Días]],0)</f>
        <v>0</v>
      </c>
      <c r="U1037" s="149">
        <f>+VLOOKUP(PROVEEDORES[[#This Row],[PROVEEDOR]],Terceros!$A:$E,5,FALSE)</f>
        <v>0</v>
      </c>
      <c r="V1037" s="150">
        <f>+YEAR(PROVEEDORES[[#This Row],[FECHA DE FACTURACIÓN]])</f>
        <v>2021</v>
      </c>
      <c r="W1037" s="150">
        <f>+MATCH(PROVEEDORES[[#This Row],[año facturado]],Retenciones!$1:$1,0)</f>
        <v>4</v>
      </c>
      <c r="X1037" s="151">
        <f>+VLOOKUP(PROVEEDORES[[#This Row],[ID RETENCION]],Retenciones!$A$1:$O$24,PROVEEDORES[[#This Row],[indicador de columna]],FALSE)</f>
        <v>0</v>
      </c>
      <c r="Y1037" s="152">
        <f>+VLOOKUP(PROVEEDORES[[#This Row],[ID RETENCION]],Retenciones!$A$1:$O$24,2,FALSE)</f>
        <v>0</v>
      </c>
      <c r="Z1037" s="26"/>
      <c r="AA1037" s="26"/>
      <c r="AB1037" s="26"/>
      <c r="AC1037" s="26"/>
      <c r="AD1037" s="26"/>
      <c r="AE1037" s="26"/>
    </row>
    <row r="1038" spans="1:31" ht="21.95" customHeight="1" x14ac:dyDescent="0.25">
      <c r="A1038" s="97" t="str">
        <f>+IF(PROVEEDORES[[#This Row],[FECHA DE PAGO]]=PROVEEDORES[[#This Row],[FECHA DE FACTURACIÓN]],"DE CONTADO","CRÉDITO")</f>
        <v>DE CONTADO</v>
      </c>
      <c r="B1038" s="41" t="b">
        <f>+IF((PROVEEDORES[[#This Row],[FECHA DE PAGO]]-PROVEEDORES[[#This Row],[FECHA DE FACTURACIÓN]])&gt;PROVEEDORES[[#This Row],[PLAZO Días]],"PAGO VENCIDO")</f>
        <v>0</v>
      </c>
      <c r="C1038" s="22">
        <f>+VLOOKUP(PROVEEDORES[[#This Row],[PROVEEDOR]],TERCEROS_INFO[#All],2,FALSE)</f>
        <v>90</v>
      </c>
      <c r="D1038" s="27">
        <f>+SUMIFS(PROVEEDORES[Total],PROVEEDORES[PROVEEDOR],PROVEEDORES[[#This Row],[PROVEEDOR]],PROVEEDORES[FECHA DE PAGO],"")</f>
        <v>103407118</v>
      </c>
      <c r="E1038" s="27"/>
      <c r="F1038" s="62" t="str">
        <f>+VLOOKUP(PROVEEDORES[[#This Row],[PROVEEDOR]],
                       Terceros!$A:$G,
                       6,
                       FALSE)</f>
        <v>mcastillo@kenextrading.com;agarcia@kenextrading.com;girlesa.ruiz@servipilas.com;joriescobar64@gmail.com</v>
      </c>
      <c r="G1038" s="95">
        <v>44531</v>
      </c>
      <c r="H1038" s="28" t="s">
        <v>31</v>
      </c>
      <c r="I1038" s="95">
        <v>44531</v>
      </c>
      <c r="J1038" s="38">
        <v>55161</v>
      </c>
      <c r="K1038" s="23">
        <v>536088</v>
      </c>
      <c r="L1038" s="23"/>
      <c r="M1038" s="24">
        <v>0</v>
      </c>
      <c r="N1038" s="25"/>
      <c r="O1038" s="24">
        <v>0</v>
      </c>
      <c r="P1038" s="136">
        <f>+IF(PROVEEDORES[[#This Row],[SUBTOTAL]]&lt;PROVEEDORES[[#This Row],[base retencion]],0,PROVEEDORES[[#This Row],[retención aplicada]])</f>
        <v>0</v>
      </c>
      <c r="Q1038" s="24">
        <f>+PROVEEDORES[[#This Row],[Rete Fuente %]]*PROVEEDORES[[#This Row],[SUBTOTAL]]</f>
        <v>0</v>
      </c>
      <c r="R1038" s="23">
        <v>536088</v>
      </c>
      <c r="S103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8" s="99">
        <f ca="1">IF(PROVEEDORES[[#This Row],[FECHA DE PAGO]]=0,TODAY()-PROVEEDORES[[#This Row],[FECHA DE FACTURACIÓN]]-PROVEEDORES[[#This Row],[PLAZO Días]],0)</f>
        <v>0</v>
      </c>
      <c r="U1038" s="149">
        <f>+VLOOKUP(PROVEEDORES[[#This Row],[PROVEEDOR]],Terceros!$A:$E,5,FALSE)</f>
        <v>0</v>
      </c>
      <c r="V1038" s="150">
        <f>+YEAR(PROVEEDORES[[#This Row],[FECHA DE FACTURACIÓN]])</f>
        <v>2021</v>
      </c>
      <c r="W1038" s="150">
        <f>+MATCH(PROVEEDORES[[#This Row],[año facturado]],Retenciones!$1:$1,0)</f>
        <v>4</v>
      </c>
      <c r="X1038" s="151">
        <f>+VLOOKUP(PROVEEDORES[[#This Row],[ID RETENCION]],Retenciones!$A$1:$O$24,PROVEEDORES[[#This Row],[indicador de columna]],FALSE)</f>
        <v>0</v>
      </c>
      <c r="Y1038" s="152">
        <f>+VLOOKUP(PROVEEDORES[[#This Row],[ID RETENCION]],Retenciones!$A$1:$O$24,2,FALSE)</f>
        <v>0</v>
      </c>
      <c r="Z1038" s="26"/>
      <c r="AA1038" s="26"/>
      <c r="AB1038" s="26"/>
      <c r="AC1038" s="26"/>
      <c r="AD1038" s="26"/>
      <c r="AE1038" s="26"/>
    </row>
    <row r="1039" spans="1:31" ht="21.95" customHeight="1" x14ac:dyDescent="0.25">
      <c r="A1039" s="97" t="str">
        <f>+IF(PROVEEDORES[[#This Row],[FECHA DE PAGO]]=PROVEEDORES[[#This Row],[FECHA DE FACTURACIÓN]],"DE CONTADO","CRÉDITO")</f>
        <v>CRÉDITO</v>
      </c>
      <c r="B1039" s="41" t="b">
        <f>+IF((PROVEEDORES[[#This Row],[FECHA DE PAGO]]-PROVEEDORES[[#This Row],[FECHA DE FACTURACIÓN]])&gt;PROVEEDORES[[#This Row],[PLAZO Días]],"PAGO VENCIDO")</f>
        <v>0</v>
      </c>
      <c r="C1039" s="22">
        <f>+VLOOKUP(PROVEEDORES[[#This Row],[PROVEEDOR]],TERCEROS_INFO[#All],2,FALSE)</f>
        <v>30</v>
      </c>
      <c r="D1039" s="27">
        <f>+SUMIFS(PROVEEDORES[Total],PROVEEDORES[PROVEEDOR],PROVEEDORES[[#This Row],[PROVEEDOR]],PROVEEDORES[FECHA DE PAGO],"")</f>
        <v>0</v>
      </c>
      <c r="E1039" s="27"/>
      <c r="F1039" s="62" t="str">
        <f>+VLOOKUP(PROVEEDORES[[#This Row],[PROVEEDOR]],
                       Terceros!$A:$G,
                       6,
                       FALSE)</f>
        <v>senalizacionyavisos@gmail.com;girlesa.ruiz@servipilas.com;joriescobar64@gmail.com</v>
      </c>
      <c r="G1039" s="95">
        <v>44550</v>
      </c>
      <c r="H1039" s="28" t="s">
        <v>338</v>
      </c>
      <c r="I1039" s="95">
        <v>44544</v>
      </c>
      <c r="J1039" s="38">
        <v>765</v>
      </c>
      <c r="K1039" s="23">
        <v>500000</v>
      </c>
      <c r="L1039" s="23"/>
      <c r="M1039" s="24">
        <v>95000</v>
      </c>
      <c r="N1039" s="25"/>
      <c r="O1039" s="24">
        <v>0</v>
      </c>
      <c r="P1039" s="136">
        <f>+IF(PROVEEDORES[[#This Row],[SUBTOTAL]]&lt;PROVEEDORES[[#This Row],[base retencion]],0,PROVEEDORES[[#This Row],[retención aplicada]])</f>
        <v>0</v>
      </c>
      <c r="Q1039" s="24">
        <f>+PROVEEDORES[[#This Row],[Rete Fuente %]]*PROVEEDORES[[#This Row],[SUBTOTAL]]</f>
        <v>0</v>
      </c>
      <c r="R1039" s="23">
        <v>0</v>
      </c>
      <c r="S103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9" s="99">
        <f ca="1">IF(PROVEEDORES[[#This Row],[FECHA DE PAGO]]=0,TODAY()-PROVEEDORES[[#This Row],[FECHA DE FACTURACIÓN]]-PROVEEDORES[[#This Row],[PLAZO Días]],0)</f>
        <v>0</v>
      </c>
      <c r="U1039" s="149" t="str">
        <f>+VLOOKUP(PROVEEDORES[[#This Row],[PROVEEDOR]],Terceros!$A:$E,5,FALSE)</f>
        <v>2,5% con base</v>
      </c>
      <c r="V1039" s="150">
        <f>+YEAR(PROVEEDORES[[#This Row],[FECHA DE FACTURACIÓN]])</f>
        <v>2021</v>
      </c>
      <c r="W1039" s="150">
        <f>+MATCH(PROVEEDORES[[#This Row],[año facturado]],Retenciones!$1:$1,0)</f>
        <v>4</v>
      </c>
      <c r="X1039" s="151">
        <f>+VLOOKUP(PROVEEDORES[[#This Row],[ID RETENCION]],Retenciones!$A$1:$O$24,PROVEEDORES[[#This Row],[indicador de columna]],FALSE)</f>
        <v>980000</v>
      </c>
      <c r="Y1039" s="152">
        <f>+VLOOKUP(PROVEEDORES[[#This Row],[ID RETENCION]],Retenciones!$A$1:$O$24,2,FALSE)</f>
        <v>2.5000000000000001E-2</v>
      </c>
      <c r="Z1039" s="26"/>
      <c r="AA1039" s="26"/>
      <c r="AB1039" s="26"/>
      <c r="AC1039" s="26"/>
      <c r="AD1039" s="26"/>
      <c r="AE1039" s="26"/>
    </row>
    <row r="1040" spans="1:31" ht="21.95" customHeight="1" x14ac:dyDescent="0.25">
      <c r="A1040" s="97" t="str">
        <f>+IF(PROVEEDORES[[#This Row],[FECHA DE PAGO]]=PROVEEDORES[[#This Row],[FECHA DE FACTURACIÓN]],"DE CONTADO","CRÉDITO")</f>
        <v>CRÉDITO</v>
      </c>
      <c r="B1040" s="41" t="str">
        <f>+IF((PROVEEDORES[[#This Row],[FECHA DE PAGO]]-PROVEEDORES[[#This Row],[FECHA DE FACTURACIÓN]])&gt;PROVEEDORES[[#This Row],[PLAZO Días]],"PAGO VENCIDO")</f>
        <v>PAGO VENCIDO</v>
      </c>
      <c r="C1040" s="22">
        <f>+VLOOKUP(PROVEEDORES[[#This Row],[PROVEEDOR]],TERCEROS_INFO[#All],2,FALSE)</f>
        <v>30</v>
      </c>
      <c r="D1040" s="27">
        <f>+SUMIFS(PROVEEDORES[Total],PROVEEDORES[PROVEEDOR],PROVEEDORES[[#This Row],[PROVEEDOR]],PROVEEDORES[FECHA DE PAGO],"")</f>
        <v>0</v>
      </c>
      <c r="E1040" s="27"/>
      <c r="F1040" s="62" t="str">
        <f>+VLOOKUP(PROVEEDORES[[#This Row],[PROVEEDOR]],
                       Terceros!$A:$G,
                       6,
                       FALSE)</f>
        <v>contabilidad@comercialweb.com.co;info@servipilas.com</v>
      </c>
      <c r="G1040" s="95">
        <v>44552</v>
      </c>
      <c r="H1040" s="28" t="s">
        <v>341</v>
      </c>
      <c r="I1040" s="95">
        <v>44393</v>
      </c>
      <c r="J1040" s="38" t="s">
        <v>648</v>
      </c>
      <c r="K1040" s="23">
        <v>-21000</v>
      </c>
      <c r="L1040" s="23"/>
      <c r="M1040" s="24">
        <v>0</v>
      </c>
      <c r="N1040" s="25"/>
      <c r="O1040" s="24">
        <v>0</v>
      </c>
      <c r="P1040" s="136">
        <f>+IF(PROVEEDORES[[#This Row],[SUBTOTAL]]&lt;PROVEEDORES[[#This Row],[base retencion]],0,PROVEEDORES[[#This Row],[retención aplicada]])</f>
        <v>0</v>
      </c>
      <c r="Q1040" s="24">
        <f>+PROVEEDORES[[#This Row],[Rete Fuente %]]*PROVEEDORES[[#This Row],[SUBTOTAL]]</f>
        <v>0</v>
      </c>
      <c r="R1040" s="23">
        <v>-21000</v>
      </c>
      <c r="S104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0" s="99">
        <f ca="1">IF(PROVEEDORES[[#This Row],[FECHA DE PAGO]]=0,TODAY()-PROVEEDORES[[#This Row],[FECHA DE FACTURACIÓN]]-PROVEEDORES[[#This Row],[PLAZO Días]],0)</f>
        <v>0</v>
      </c>
      <c r="U1040" s="149" t="str">
        <f>+VLOOKUP(PROVEEDORES[[#This Row],[PROVEEDOR]],Terceros!$A:$E,5,FALSE)</f>
        <v>3,5% sin base</v>
      </c>
      <c r="V1040" s="150">
        <f>+YEAR(PROVEEDORES[[#This Row],[FECHA DE FACTURACIÓN]])</f>
        <v>2021</v>
      </c>
      <c r="W1040" s="150">
        <f>+MATCH(PROVEEDORES[[#This Row],[año facturado]],Retenciones!$1:$1,0)</f>
        <v>4</v>
      </c>
      <c r="X1040" s="151">
        <f>+VLOOKUP(PROVEEDORES[[#This Row],[ID RETENCION]],Retenciones!$A$1:$O$24,PROVEEDORES[[#This Row],[indicador de columna]],FALSE)</f>
        <v>0</v>
      </c>
      <c r="Y1040" s="152">
        <f>+VLOOKUP(PROVEEDORES[[#This Row],[ID RETENCION]],Retenciones!$A$1:$O$24,2,FALSE)</f>
        <v>3.5000000000000003E-2</v>
      </c>
      <c r="Z1040" s="26"/>
      <c r="AA1040" s="26"/>
      <c r="AB1040" s="26"/>
      <c r="AC1040" s="26"/>
      <c r="AD1040" s="26"/>
      <c r="AE1040" s="26"/>
    </row>
    <row r="1041" spans="1:31" ht="21.95" customHeight="1" x14ac:dyDescent="0.25">
      <c r="A1041" s="97" t="str">
        <f>+IF(PROVEEDORES[[#This Row],[FECHA DE PAGO]]=PROVEEDORES[[#This Row],[FECHA DE FACTURACIÓN]],"DE CONTADO","CRÉDITO")</f>
        <v>CRÉDITO</v>
      </c>
      <c r="B1041" s="41" t="b">
        <f>+IF((PROVEEDORES[[#This Row],[FECHA DE PAGO]]-PROVEEDORES[[#This Row],[FECHA DE FACTURACIÓN]])&gt;PROVEEDORES[[#This Row],[PLAZO Días]],"PAGO VENCIDO")</f>
        <v>0</v>
      </c>
      <c r="C1041" s="22">
        <f>+VLOOKUP(PROVEEDORES[[#This Row],[PROVEEDOR]],TERCEROS_INFO[#All],2,FALSE)</f>
        <v>30</v>
      </c>
      <c r="D1041" s="27">
        <f>+SUMIFS(PROVEEDORES[Total],PROVEEDORES[PROVEEDOR],PROVEEDORES[[#This Row],[PROVEEDOR]],PROVEEDORES[FECHA DE PAGO],"")</f>
        <v>0</v>
      </c>
      <c r="E1041" s="27"/>
      <c r="F1041" s="62" t="str">
        <f>+VLOOKUP(PROVEEDORES[[#This Row],[PROVEEDOR]],
                       Terceros!$A:$G,
                       6,
                       FALSE)</f>
        <v>contabilidad@comercialweb.com.co;info@servipilas.com</v>
      </c>
      <c r="G1041" s="95">
        <v>44552</v>
      </c>
      <c r="H1041" s="28" t="s">
        <v>341</v>
      </c>
      <c r="I1041" s="95">
        <v>44536</v>
      </c>
      <c r="J1041" s="38">
        <v>804</v>
      </c>
      <c r="K1041" s="23">
        <v>600000</v>
      </c>
      <c r="L1041" s="23"/>
      <c r="M1041" s="24">
        <v>0</v>
      </c>
      <c r="N1041" s="25"/>
      <c r="O1041" s="24">
        <v>0</v>
      </c>
      <c r="P1041" s="136">
        <f>+IF(PROVEEDORES[[#This Row],[SUBTOTAL]]&lt;PROVEEDORES[[#This Row],[base retencion]],0,PROVEEDORES[[#This Row],[retención aplicada]])</f>
        <v>3.5000000000000003E-2</v>
      </c>
      <c r="Q1041" s="24">
        <f>+PROVEEDORES[[#This Row],[Rete Fuente %]]*PROVEEDORES[[#This Row],[SUBTOTAL]]</f>
        <v>21000.000000000004</v>
      </c>
      <c r="R1041" s="23">
        <v>600000</v>
      </c>
      <c r="S104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1" s="99">
        <f ca="1">IF(PROVEEDORES[[#This Row],[FECHA DE PAGO]]=0,TODAY()-PROVEEDORES[[#This Row],[FECHA DE FACTURACIÓN]]-PROVEEDORES[[#This Row],[PLAZO Días]],0)</f>
        <v>0</v>
      </c>
      <c r="U1041" s="149" t="str">
        <f>+VLOOKUP(PROVEEDORES[[#This Row],[PROVEEDOR]],Terceros!$A:$E,5,FALSE)</f>
        <v>3,5% sin base</v>
      </c>
      <c r="V1041" s="150">
        <f>+YEAR(PROVEEDORES[[#This Row],[FECHA DE FACTURACIÓN]])</f>
        <v>2021</v>
      </c>
      <c r="W1041" s="150">
        <f>+MATCH(PROVEEDORES[[#This Row],[año facturado]],Retenciones!$1:$1,0)</f>
        <v>4</v>
      </c>
      <c r="X1041" s="151">
        <f>+VLOOKUP(PROVEEDORES[[#This Row],[ID RETENCION]],Retenciones!$A$1:$O$24,PROVEEDORES[[#This Row],[indicador de columna]],FALSE)</f>
        <v>0</v>
      </c>
      <c r="Y1041" s="152">
        <f>+VLOOKUP(PROVEEDORES[[#This Row],[ID RETENCION]],Retenciones!$A$1:$O$24,2,FALSE)</f>
        <v>3.5000000000000003E-2</v>
      </c>
      <c r="Z1041" s="26"/>
      <c r="AA1041" s="26"/>
      <c r="AB1041" s="26"/>
      <c r="AC1041" s="26"/>
      <c r="AD1041" s="26"/>
      <c r="AE1041" s="26"/>
    </row>
    <row r="1042" spans="1:31" ht="21.95" customHeight="1" x14ac:dyDescent="0.25">
      <c r="A1042" s="97" t="str">
        <f>+IF(PROVEEDORES[[#This Row],[FECHA DE PAGO]]=PROVEEDORES[[#This Row],[FECHA DE FACTURACIÓN]],"DE CONTADO","CRÉDITO")</f>
        <v>CRÉDITO</v>
      </c>
      <c r="B1042" s="41" t="str">
        <f>+IF((PROVEEDORES[[#This Row],[FECHA DE PAGO]]-PROVEEDORES[[#This Row],[FECHA DE FACTURACIÓN]])&gt;PROVEEDORES[[#This Row],[PLAZO Días]],"PAGO VENCIDO")</f>
        <v>PAGO VENCIDO</v>
      </c>
      <c r="C1042" s="22">
        <f>+VLOOKUP(PROVEEDORES[[#This Row],[PROVEEDOR]],TERCEROS_INFO[#All],2,FALSE)</f>
        <v>30</v>
      </c>
      <c r="D1042" s="27">
        <f>+SUMIFS(PROVEEDORES[Total],PROVEEDORES[PROVEEDOR],PROVEEDORES[[#This Row],[PROVEEDOR]],PROVEEDORES[FECHA DE PAGO],"")</f>
        <v>1856492</v>
      </c>
      <c r="E1042" s="27"/>
      <c r="F1042" s="62" t="str">
        <f>+VLOOKUP(PROVEEDORES[[#This Row],[PROVEEDOR]],
                       Terceros!$A:$G,
                       6,
                       FALSE)</f>
        <v>PSE</v>
      </c>
      <c r="G1042" s="95">
        <v>44554</v>
      </c>
      <c r="H1042" s="28" t="s">
        <v>334</v>
      </c>
      <c r="I1042" s="95">
        <v>44470</v>
      </c>
      <c r="J1042" s="38" t="s">
        <v>319</v>
      </c>
      <c r="K1042" s="23">
        <v>256261</v>
      </c>
      <c r="L1042" s="23"/>
      <c r="M1042" s="24">
        <v>0</v>
      </c>
      <c r="N1042" s="25"/>
      <c r="O1042" s="24">
        <v>0</v>
      </c>
      <c r="P1042" s="136">
        <f>+IF(PROVEEDORES[[#This Row],[SUBTOTAL]]&lt;PROVEEDORES[[#This Row],[base retencion]],0,PROVEEDORES[[#This Row],[retención aplicada]])</f>
        <v>0</v>
      </c>
      <c r="Q1042" s="24">
        <f>+PROVEEDORES[[#This Row],[Rete Fuente %]]*PROVEEDORES[[#This Row],[SUBTOTAL]]</f>
        <v>0</v>
      </c>
      <c r="R1042" s="23">
        <v>256261</v>
      </c>
      <c r="S104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2" s="99">
        <f ca="1">IF(PROVEEDORES[[#This Row],[FECHA DE PAGO]]=0,TODAY()-PROVEEDORES[[#This Row],[FECHA DE FACTURACIÓN]]-PROVEEDORES[[#This Row],[PLAZO Días]],0)</f>
        <v>0</v>
      </c>
      <c r="U1042" s="149">
        <f>+VLOOKUP(PROVEEDORES[[#This Row],[PROVEEDOR]],Terceros!$A:$E,5,FALSE)</f>
        <v>0</v>
      </c>
      <c r="V1042" s="150">
        <f>+YEAR(PROVEEDORES[[#This Row],[FECHA DE FACTURACIÓN]])</f>
        <v>2021</v>
      </c>
      <c r="W1042" s="150">
        <f>+MATCH(PROVEEDORES[[#This Row],[año facturado]],Retenciones!$1:$1,0)</f>
        <v>4</v>
      </c>
      <c r="X1042" s="151">
        <f>+VLOOKUP(PROVEEDORES[[#This Row],[ID RETENCION]],Retenciones!$A$1:$O$24,PROVEEDORES[[#This Row],[indicador de columna]],FALSE)</f>
        <v>0</v>
      </c>
      <c r="Y1042" s="152">
        <f>+VLOOKUP(PROVEEDORES[[#This Row],[ID RETENCION]],Retenciones!$A$1:$O$24,2,FALSE)</f>
        <v>0</v>
      </c>
      <c r="Z1042" s="26"/>
      <c r="AA1042" s="26"/>
      <c r="AB1042" s="26"/>
      <c r="AC1042" s="26"/>
      <c r="AD1042" s="26"/>
      <c r="AE1042" s="26"/>
    </row>
    <row r="1043" spans="1:31" ht="21.95" customHeight="1" x14ac:dyDescent="0.25">
      <c r="A1043" s="97" t="str">
        <f>+IF(PROVEEDORES[[#This Row],[FECHA DE PAGO]]=PROVEEDORES[[#This Row],[FECHA DE FACTURACIÓN]],"DE CONTADO","CRÉDITO")</f>
        <v>CRÉDITO</v>
      </c>
      <c r="B1043" s="41" t="str">
        <f>+IF((PROVEEDORES[[#This Row],[FECHA DE PAGO]]-PROVEEDORES[[#This Row],[FECHA DE FACTURACIÓN]])&gt;PROVEEDORES[[#This Row],[PLAZO Días]],"PAGO VENCIDO")</f>
        <v>PAGO VENCIDO</v>
      </c>
      <c r="C1043" s="22">
        <f>+VLOOKUP(PROVEEDORES[[#This Row],[PROVEEDOR]],TERCEROS_INFO[#All],2,FALSE)</f>
        <v>30</v>
      </c>
      <c r="D1043" s="27">
        <f>+SUMIFS(PROVEEDORES[Total],PROVEEDORES[PROVEEDOR],PROVEEDORES[[#This Row],[PROVEEDOR]],PROVEEDORES[FECHA DE PAGO],"")</f>
        <v>1856492</v>
      </c>
      <c r="E1043" s="27"/>
      <c r="F1043" s="62" t="str">
        <f>+VLOOKUP(PROVEEDORES[[#This Row],[PROVEEDOR]],
                       Terceros!$A:$G,
                       6,
                       FALSE)</f>
        <v>PSE</v>
      </c>
      <c r="G1043" s="95">
        <v>44554</v>
      </c>
      <c r="H1043" s="28" t="s">
        <v>334</v>
      </c>
      <c r="I1043" s="95">
        <v>44470</v>
      </c>
      <c r="J1043" s="38" t="s">
        <v>318</v>
      </c>
      <c r="K1043" s="23">
        <v>1545030</v>
      </c>
      <c r="L1043" s="23"/>
      <c r="M1043" s="24">
        <v>0</v>
      </c>
      <c r="N1043" s="25"/>
      <c r="O1043" s="24">
        <v>0</v>
      </c>
      <c r="P1043" s="136">
        <f>+IF(PROVEEDORES[[#This Row],[SUBTOTAL]]&lt;PROVEEDORES[[#This Row],[base retencion]],0,PROVEEDORES[[#This Row],[retención aplicada]])</f>
        <v>0</v>
      </c>
      <c r="Q1043" s="24">
        <f>+PROVEEDORES[[#This Row],[Rete Fuente %]]*PROVEEDORES[[#This Row],[SUBTOTAL]]</f>
        <v>0</v>
      </c>
      <c r="R1043" s="23">
        <v>1545030</v>
      </c>
      <c r="S104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3" s="99">
        <f ca="1">IF(PROVEEDORES[[#This Row],[FECHA DE PAGO]]=0,TODAY()-PROVEEDORES[[#This Row],[FECHA DE FACTURACIÓN]]-PROVEEDORES[[#This Row],[PLAZO Días]],0)</f>
        <v>0</v>
      </c>
      <c r="U1043" s="149">
        <f>+VLOOKUP(PROVEEDORES[[#This Row],[PROVEEDOR]],Terceros!$A:$E,5,FALSE)</f>
        <v>0</v>
      </c>
      <c r="V1043" s="150">
        <f>+YEAR(PROVEEDORES[[#This Row],[FECHA DE FACTURACIÓN]])</f>
        <v>2021</v>
      </c>
      <c r="W1043" s="150">
        <f>+MATCH(PROVEEDORES[[#This Row],[año facturado]],Retenciones!$1:$1,0)</f>
        <v>4</v>
      </c>
      <c r="X1043" s="151">
        <f>+VLOOKUP(PROVEEDORES[[#This Row],[ID RETENCION]],Retenciones!$A$1:$O$24,PROVEEDORES[[#This Row],[indicador de columna]],FALSE)</f>
        <v>0</v>
      </c>
      <c r="Y1043" s="152">
        <f>+VLOOKUP(PROVEEDORES[[#This Row],[ID RETENCION]],Retenciones!$A$1:$O$24,2,FALSE)</f>
        <v>0</v>
      </c>
      <c r="Z1043" s="26"/>
      <c r="AA1043" s="26"/>
      <c r="AB1043" s="26"/>
      <c r="AC1043" s="26"/>
      <c r="AD1043" s="26"/>
      <c r="AE1043" s="26"/>
    </row>
    <row r="1044" spans="1:31" ht="21.95" customHeight="1" x14ac:dyDescent="0.25">
      <c r="A1044" s="97" t="str">
        <f>+IF(PROVEEDORES[[#This Row],[FECHA DE PAGO]]=PROVEEDORES[[#This Row],[FECHA DE FACTURACIÓN]],"DE CONTADO","CRÉDITO")</f>
        <v>CRÉDITO</v>
      </c>
      <c r="B1044" s="41" t="b">
        <f>+IF((PROVEEDORES[[#This Row],[FECHA DE PAGO]]-PROVEEDORES[[#This Row],[FECHA DE FACTURACIÓN]])&gt;PROVEEDORES[[#This Row],[PLAZO Días]],"PAGO VENCIDO")</f>
        <v>0</v>
      </c>
      <c r="C1044" s="22">
        <f>+VLOOKUP(PROVEEDORES[[#This Row],[PROVEEDOR]],TERCEROS_INFO[#All],2,FALSE)</f>
        <v>30</v>
      </c>
      <c r="D1044" s="27">
        <f>+SUMIFS(PROVEEDORES[Total],PROVEEDORES[PROVEEDOR],PROVEEDORES[[#This Row],[PROVEEDOR]],PROVEEDORES[FECHA DE PAGO],"")</f>
        <v>0</v>
      </c>
      <c r="E1044" s="27"/>
      <c r="F1044" s="62" t="str">
        <f>+VLOOKUP(PROVEEDORES[[#This Row],[PROVEEDOR]],
                       Terceros!$A:$G,
                       6,
                       FALSE)</f>
        <v/>
      </c>
      <c r="G1044" s="95">
        <v>44536</v>
      </c>
      <c r="H1044" s="28" t="s">
        <v>1069</v>
      </c>
      <c r="I1044" s="95">
        <v>44531</v>
      </c>
      <c r="J1044" s="38" t="s">
        <v>650</v>
      </c>
      <c r="K1044" s="23">
        <v>2377245</v>
      </c>
      <c r="L1044" s="23"/>
      <c r="M1044" s="24">
        <v>0</v>
      </c>
      <c r="N1044" s="25"/>
      <c r="O1044" s="24">
        <v>0</v>
      </c>
      <c r="P1044" s="136">
        <f>+IF(PROVEEDORES[[#This Row],[SUBTOTAL]]&lt;PROVEEDORES[[#This Row],[base retencion]],0,PROVEEDORES[[#This Row],[retención aplicada]])</f>
        <v>0</v>
      </c>
      <c r="Q1044" s="24">
        <f>+PROVEEDORES[[#This Row],[Rete Fuente %]]*PROVEEDORES[[#This Row],[SUBTOTAL]]</f>
        <v>0</v>
      </c>
      <c r="R1044" s="23">
        <v>2377245</v>
      </c>
      <c r="S104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4" s="99">
        <f ca="1">IF(PROVEEDORES[[#This Row],[FECHA DE PAGO]]=0,TODAY()-PROVEEDORES[[#This Row],[FECHA DE FACTURACIÓN]]-PROVEEDORES[[#This Row],[PLAZO Días]],0)</f>
        <v>0</v>
      </c>
      <c r="U1044" s="149">
        <f>+VLOOKUP(PROVEEDORES[[#This Row],[PROVEEDOR]],Terceros!$A:$E,5,FALSE)</f>
        <v>0</v>
      </c>
      <c r="V1044" s="150">
        <f>+YEAR(PROVEEDORES[[#This Row],[FECHA DE FACTURACIÓN]])</f>
        <v>2021</v>
      </c>
      <c r="W1044" s="150">
        <f>+MATCH(PROVEEDORES[[#This Row],[año facturado]],Retenciones!$1:$1,0)</f>
        <v>4</v>
      </c>
      <c r="X1044" s="151">
        <f>+VLOOKUP(PROVEEDORES[[#This Row],[ID RETENCION]],Retenciones!$A$1:$O$24,PROVEEDORES[[#This Row],[indicador de columna]],FALSE)</f>
        <v>0</v>
      </c>
      <c r="Y1044" s="152">
        <f>+VLOOKUP(PROVEEDORES[[#This Row],[ID RETENCION]],Retenciones!$A$1:$O$24,2,FALSE)</f>
        <v>0</v>
      </c>
      <c r="Z1044" s="26"/>
      <c r="AA1044" s="26"/>
      <c r="AB1044" s="26"/>
      <c r="AC1044" s="26"/>
      <c r="AD1044" s="26"/>
      <c r="AE1044" s="26"/>
    </row>
    <row r="1045" spans="1:31" ht="21.95" customHeight="1" x14ac:dyDescent="0.25">
      <c r="A1045" s="97" t="str">
        <f>+IF(PROVEEDORES[[#This Row],[FECHA DE PAGO]]=PROVEEDORES[[#This Row],[FECHA DE FACTURACIÓN]],"DE CONTADO","CRÉDITO")</f>
        <v>CRÉDITO</v>
      </c>
      <c r="B1045" s="41" t="str">
        <f>+IF((PROVEEDORES[[#This Row],[FECHA DE PAGO]]-PROVEEDORES[[#This Row],[FECHA DE FACTURACIÓN]])&gt;PROVEEDORES[[#This Row],[PLAZO Días]],"PAGO VENCIDO")</f>
        <v>PAGO VENCIDO</v>
      </c>
      <c r="C1045" s="22">
        <f>+VLOOKUP(PROVEEDORES[[#This Row],[PROVEEDOR]],TERCEROS_INFO[#All],2,FALSE)</f>
        <v>20</v>
      </c>
      <c r="D1045" s="27">
        <f>+SUMIFS(PROVEEDORES[Total],PROVEEDORES[PROVEEDOR],PROVEEDORES[[#This Row],[PROVEEDOR]],PROVEEDORES[FECHA DE PAGO],"")</f>
        <v>0</v>
      </c>
      <c r="E1045" s="27"/>
      <c r="F1045" s="62" t="str">
        <f>+VLOOKUP(PROVEEDORES[[#This Row],[PROVEEDOR]],
                       Terceros!$A:$G,
                       6,
                       FALSE)</f>
        <v>pse</v>
      </c>
      <c r="G1045" s="95">
        <v>44554</v>
      </c>
      <c r="H1045" s="28" t="s">
        <v>370</v>
      </c>
      <c r="I1045" s="95">
        <v>44531</v>
      </c>
      <c r="J1045" s="38"/>
      <c r="K1045" s="23">
        <v>326243</v>
      </c>
      <c r="L1045" s="23"/>
      <c r="M1045" s="24">
        <v>0</v>
      </c>
      <c r="N1045" s="25"/>
      <c r="O1045" s="24">
        <v>0</v>
      </c>
      <c r="P1045" s="136">
        <f>+IF(PROVEEDORES[[#This Row],[SUBTOTAL]]&lt;PROVEEDORES[[#This Row],[base retencion]],0,PROVEEDORES[[#This Row],[retención aplicada]])</f>
        <v>0</v>
      </c>
      <c r="Q1045" s="24">
        <f>+PROVEEDORES[[#This Row],[Rete Fuente %]]*PROVEEDORES[[#This Row],[SUBTOTAL]]</f>
        <v>0</v>
      </c>
      <c r="R1045" s="23">
        <v>326243</v>
      </c>
      <c r="S104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5" s="99">
        <f ca="1">IF(PROVEEDORES[[#This Row],[FECHA DE PAGO]]=0,TODAY()-PROVEEDORES[[#This Row],[FECHA DE FACTURACIÓN]]-PROVEEDORES[[#This Row],[PLAZO Días]],0)</f>
        <v>0</v>
      </c>
      <c r="U1045" s="149">
        <f>+VLOOKUP(PROVEEDORES[[#This Row],[PROVEEDOR]],Terceros!$A:$E,5,FALSE)</f>
        <v>0</v>
      </c>
      <c r="V1045" s="150">
        <f>+YEAR(PROVEEDORES[[#This Row],[FECHA DE FACTURACIÓN]])</f>
        <v>2021</v>
      </c>
      <c r="W1045" s="150">
        <f>+MATCH(PROVEEDORES[[#This Row],[año facturado]],Retenciones!$1:$1,0)</f>
        <v>4</v>
      </c>
      <c r="X1045" s="151">
        <f>+VLOOKUP(PROVEEDORES[[#This Row],[ID RETENCION]],Retenciones!$A$1:$O$24,PROVEEDORES[[#This Row],[indicador de columna]],FALSE)</f>
        <v>0</v>
      </c>
      <c r="Y1045" s="152">
        <f>+VLOOKUP(PROVEEDORES[[#This Row],[ID RETENCION]],Retenciones!$A$1:$O$24,2,FALSE)</f>
        <v>0</v>
      </c>
      <c r="Z1045" s="26"/>
      <c r="AA1045" s="26"/>
      <c r="AB1045" s="26"/>
      <c r="AC1045" s="26"/>
      <c r="AD1045" s="26"/>
      <c r="AE1045" s="26"/>
    </row>
    <row r="1046" spans="1:31" ht="21.95" customHeight="1" x14ac:dyDescent="0.25">
      <c r="A1046" s="97" t="str">
        <f>+IF(PROVEEDORES[[#This Row],[FECHA DE PAGO]]=PROVEEDORES[[#This Row],[FECHA DE FACTURACIÓN]],"DE CONTADO","CRÉDITO")</f>
        <v>CRÉDITO</v>
      </c>
      <c r="B1046" s="41" t="b">
        <f>+IF((PROVEEDORES[[#This Row],[FECHA DE PAGO]]-PROVEEDORES[[#This Row],[FECHA DE FACTURACIÓN]])&gt;PROVEEDORES[[#This Row],[PLAZO Días]],"PAGO VENCIDO")</f>
        <v>0</v>
      </c>
      <c r="C1046" s="22">
        <f>+VLOOKUP(PROVEEDORES[[#This Row],[PROVEEDOR]],TERCEROS_INFO[#All],2,FALSE)</f>
        <v>30</v>
      </c>
      <c r="D1046" s="27">
        <f>+SUMIFS(PROVEEDORES[Total],PROVEEDORES[PROVEEDOR],PROVEEDORES[[#This Row],[PROVEEDOR]],PROVEEDORES[FECHA DE PAGO],"")</f>
        <v>4862586.33</v>
      </c>
      <c r="E1046" s="27"/>
      <c r="F1046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1046" s="95">
        <v>44554</v>
      </c>
      <c r="H1046" s="28" t="s">
        <v>345</v>
      </c>
      <c r="I1046" s="95">
        <v>44531</v>
      </c>
      <c r="J1046" s="38" t="s">
        <v>634</v>
      </c>
      <c r="K1046" s="23">
        <v>716544</v>
      </c>
      <c r="L1046" s="23"/>
      <c r="M1046" s="24">
        <v>136143.36000000002</v>
      </c>
      <c r="N1046" s="25"/>
      <c r="O1046" s="24">
        <v>0</v>
      </c>
      <c r="P1046" s="136">
        <f>+IF(PROVEEDORES[[#This Row],[SUBTOTAL]]&lt;PROVEEDORES[[#This Row],[base retencion]],0,PROVEEDORES[[#This Row],[retención aplicada]])</f>
        <v>0</v>
      </c>
      <c r="Q1046" s="24">
        <f>+PROVEEDORES[[#This Row],[Rete Fuente %]]*PROVEEDORES[[#This Row],[SUBTOTAL]]</f>
        <v>0</v>
      </c>
      <c r="R1046" s="23">
        <v>852687.35999999999</v>
      </c>
      <c r="S104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6" s="99">
        <f ca="1">IF(PROVEEDORES[[#This Row],[FECHA DE PAGO]]=0,TODAY()-PROVEEDORES[[#This Row],[FECHA DE FACTURACIÓN]]-PROVEEDORES[[#This Row],[PLAZO Días]],0)</f>
        <v>0</v>
      </c>
      <c r="U1046" s="149">
        <f>+VLOOKUP(PROVEEDORES[[#This Row],[PROVEEDOR]],Terceros!$A:$E,5,FALSE)</f>
        <v>0</v>
      </c>
      <c r="V1046" s="150">
        <f>+YEAR(PROVEEDORES[[#This Row],[FECHA DE FACTURACIÓN]])</f>
        <v>2021</v>
      </c>
      <c r="W1046" s="150">
        <f>+MATCH(PROVEEDORES[[#This Row],[año facturado]],Retenciones!$1:$1,0)</f>
        <v>4</v>
      </c>
      <c r="X1046" s="151">
        <f>+VLOOKUP(PROVEEDORES[[#This Row],[ID RETENCION]],Retenciones!$A$1:$O$24,PROVEEDORES[[#This Row],[indicador de columna]],FALSE)</f>
        <v>0</v>
      </c>
      <c r="Y1046" s="152">
        <f>+VLOOKUP(PROVEEDORES[[#This Row],[ID RETENCION]],Retenciones!$A$1:$O$24,2,FALSE)</f>
        <v>0</v>
      </c>
      <c r="Z1046" s="26"/>
      <c r="AA1046" s="26"/>
      <c r="AB1046" s="26"/>
      <c r="AC1046" s="26"/>
      <c r="AD1046" s="26"/>
      <c r="AE1046" s="26"/>
    </row>
    <row r="1047" spans="1:31" ht="21.95" customHeight="1" x14ac:dyDescent="0.25">
      <c r="A1047" s="97" t="str">
        <f>+IF(PROVEEDORES[[#This Row],[FECHA DE PAGO]]=PROVEEDORES[[#This Row],[FECHA DE FACTURACIÓN]],"DE CONTADO","CRÉDITO")</f>
        <v>CRÉDITO</v>
      </c>
      <c r="B1047" s="41" t="b">
        <f>+IF((PROVEEDORES[[#This Row],[FECHA DE PAGO]]-PROVEEDORES[[#This Row],[FECHA DE FACTURACIÓN]])&gt;PROVEEDORES[[#This Row],[PLAZO Días]],"PAGO VENCIDO")</f>
        <v>0</v>
      </c>
      <c r="C1047" s="22">
        <f>+VLOOKUP(PROVEEDORES[[#This Row],[PROVEEDOR]],TERCEROS_INFO[#All],2,FALSE)</f>
        <v>30</v>
      </c>
      <c r="D1047" s="27">
        <f>+SUMIFS(PROVEEDORES[Total],PROVEEDORES[PROVEEDOR],PROVEEDORES[[#This Row],[PROVEEDOR]],PROVEEDORES[FECHA DE PAGO],"")</f>
        <v>0</v>
      </c>
      <c r="E1047" s="27"/>
      <c r="F1047" s="62" t="str">
        <f>+VLOOKUP(PROVEEDORES[[#This Row],[PROVEEDOR]],
                       Terceros!$A:$G,
                       6,
                       FALSE)</f>
        <v>tesoreria@lacentral.com.co;girlesa.ruiz@servipilas.com;joriescobar64@gmail.com</v>
      </c>
      <c r="G1047" s="95">
        <v>44554</v>
      </c>
      <c r="H1047" s="28" t="s">
        <v>332</v>
      </c>
      <c r="I1047" s="95">
        <v>44531</v>
      </c>
      <c r="J1047" s="38">
        <v>9520</v>
      </c>
      <c r="K1047" s="23">
        <v>1803180</v>
      </c>
      <c r="L1047" s="23"/>
      <c r="M1047" s="24">
        <v>0</v>
      </c>
      <c r="N1047" s="25"/>
      <c r="O1047" s="24">
        <v>331109</v>
      </c>
      <c r="P1047" s="136">
        <f>+IF(PROVEEDORES[[#This Row],[SUBTOTAL]]&lt;PROVEEDORES[[#This Row],[base retencion]],0,PROVEEDORES[[#This Row],[retención aplicada]])</f>
        <v>0</v>
      </c>
      <c r="Q1047" s="24">
        <f>+PROVEEDORES[[#This Row],[Rete Fuente %]]*PROVEEDORES[[#This Row],[SUBTOTAL]]</f>
        <v>0</v>
      </c>
      <c r="R1047" s="23">
        <v>1472071</v>
      </c>
      <c r="S104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7" s="99">
        <f ca="1">IF(PROVEEDORES[[#This Row],[FECHA DE PAGO]]=0,TODAY()-PROVEEDORES[[#This Row],[FECHA DE FACTURACIÓN]]-PROVEEDORES[[#This Row],[PLAZO Días]],0)</f>
        <v>0</v>
      </c>
      <c r="U1047" s="149">
        <f>+VLOOKUP(PROVEEDORES[[#This Row],[PROVEEDOR]],Terceros!$A:$E,5,FALSE)</f>
        <v>0</v>
      </c>
      <c r="V1047" s="150">
        <f>+YEAR(PROVEEDORES[[#This Row],[FECHA DE FACTURACIÓN]])</f>
        <v>2021</v>
      </c>
      <c r="W1047" s="150">
        <f>+MATCH(PROVEEDORES[[#This Row],[año facturado]],Retenciones!$1:$1,0)</f>
        <v>4</v>
      </c>
      <c r="X1047" s="151">
        <f>+VLOOKUP(PROVEEDORES[[#This Row],[ID RETENCION]],Retenciones!$A$1:$O$24,PROVEEDORES[[#This Row],[indicador de columna]],FALSE)</f>
        <v>0</v>
      </c>
      <c r="Y1047" s="152">
        <f>+VLOOKUP(PROVEEDORES[[#This Row],[ID RETENCION]],Retenciones!$A$1:$O$24,2,FALSE)</f>
        <v>0</v>
      </c>
      <c r="Z1047" s="26"/>
      <c r="AA1047" s="26"/>
      <c r="AB1047" s="26"/>
      <c r="AC1047" s="26"/>
      <c r="AD1047" s="26"/>
      <c r="AE1047" s="26"/>
    </row>
    <row r="1048" spans="1:31" ht="21.95" customHeight="1" x14ac:dyDescent="0.25">
      <c r="A1048" s="97" t="str">
        <f>+IF(PROVEEDORES[[#This Row],[FECHA DE PAGO]]=PROVEEDORES[[#This Row],[FECHA DE FACTURACIÓN]],"DE CONTADO","CRÉDITO")</f>
        <v>CRÉDITO</v>
      </c>
      <c r="B1048" s="41" t="b">
        <f>+IF((PROVEEDORES[[#This Row],[FECHA DE PAGO]]-PROVEEDORES[[#This Row],[FECHA DE FACTURACIÓN]])&gt;PROVEEDORES[[#This Row],[PLAZO Días]],"PAGO VENCIDO")</f>
        <v>0</v>
      </c>
      <c r="C1048" s="22">
        <f>+VLOOKUP(PROVEEDORES[[#This Row],[PROVEEDOR]],TERCEROS_INFO[#All],2,FALSE)</f>
        <v>30</v>
      </c>
      <c r="D1048" s="27">
        <f>+SUMIFS(PROVEEDORES[Total],PROVEEDORES[PROVEEDOR],PROVEEDORES[[#This Row],[PROVEEDOR]],PROVEEDORES[FECHA DE PAGO],"")</f>
        <v>0</v>
      </c>
      <c r="E1048" s="27"/>
      <c r="F1048" s="62" t="str">
        <f>+VLOOKUP(PROVEEDORES[[#This Row],[PROVEEDOR]],
                       Terceros!$A:$G,
                       6,
                       FALSE)</f>
        <v>propertymarketingsas@hotmail.com;girlesa.ruiz@servipilas.com;joriescobar64@gmail.com</v>
      </c>
      <c r="G1048" s="95">
        <v>44554</v>
      </c>
      <c r="H1048" s="28" t="s">
        <v>483</v>
      </c>
      <c r="I1048" s="95">
        <v>44531</v>
      </c>
      <c r="J1048" s="38" t="s">
        <v>646</v>
      </c>
      <c r="K1048" s="23">
        <v>2789636</v>
      </c>
      <c r="L1048" s="23"/>
      <c r="M1048" s="24">
        <v>0</v>
      </c>
      <c r="N1048" s="25"/>
      <c r="O1048" s="24">
        <v>0</v>
      </c>
      <c r="P1048" s="136">
        <f>+IF(PROVEEDORES[[#This Row],[SUBTOTAL]]&lt;PROVEEDORES[[#This Row],[base retencion]],0,PROVEEDORES[[#This Row],[retención aplicada]])</f>
        <v>3.5000000000000003E-2</v>
      </c>
      <c r="Q1048" s="24">
        <f>+PROVEEDORES[[#This Row],[Rete Fuente %]]*PROVEEDORES[[#This Row],[SUBTOTAL]]</f>
        <v>97637.260000000009</v>
      </c>
      <c r="R1048" s="23">
        <v>2691998.74</v>
      </c>
      <c r="S104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8" s="99">
        <f ca="1">IF(PROVEEDORES[[#This Row],[FECHA DE PAGO]]=0,TODAY()-PROVEEDORES[[#This Row],[FECHA DE FACTURACIÓN]]-PROVEEDORES[[#This Row],[PLAZO Días]],0)</f>
        <v>0</v>
      </c>
      <c r="U1048" s="149" t="str">
        <f>+VLOOKUP(PROVEEDORES[[#This Row],[PROVEEDOR]],Terceros!$A:$E,5,FALSE)</f>
        <v>3,5% sin base</v>
      </c>
      <c r="V1048" s="150">
        <f>+YEAR(PROVEEDORES[[#This Row],[FECHA DE FACTURACIÓN]])</f>
        <v>2021</v>
      </c>
      <c r="W1048" s="150">
        <f>+MATCH(PROVEEDORES[[#This Row],[año facturado]],Retenciones!$1:$1,0)</f>
        <v>4</v>
      </c>
      <c r="X1048" s="151">
        <f>+VLOOKUP(PROVEEDORES[[#This Row],[ID RETENCION]],Retenciones!$A$1:$O$24,PROVEEDORES[[#This Row],[indicador de columna]],FALSE)</f>
        <v>0</v>
      </c>
      <c r="Y1048" s="152">
        <f>+VLOOKUP(PROVEEDORES[[#This Row],[ID RETENCION]],Retenciones!$A$1:$O$24,2,FALSE)</f>
        <v>3.5000000000000003E-2</v>
      </c>
      <c r="Z1048" s="26"/>
      <c r="AA1048" s="26"/>
      <c r="AB1048" s="26"/>
      <c r="AC1048" s="26"/>
      <c r="AD1048" s="26"/>
      <c r="AE1048" s="26"/>
    </row>
    <row r="1049" spans="1:31" ht="21.95" customHeight="1" x14ac:dyDescent="0.25">
      <c r="A1049" s="97" t="str">
        <f>+IF(PROVEEDORES[[#This Row],[FECHA DE PAGO]]=PROVEEDORES[[#This Row],[FECHA DE FACTURACIÓN]],"DE CONTADO","CRÉDITO")</f>
        <v>CRÉDITO</v>
      </c>
      <c r="B1049" s="41" t="str">
        <f>+IF((PROVEEDORES[[#This Row],[FECHA DE PAGO]]-PROVEEDORES[[#This Row],[FECHA DE FACTURACIÓN]])&gt;PROVEEDORES[[#This Row],[PLAZO Días]],"PAGO VENCIDO")</f>
        <v>PAGO VENCIDO</v>
      </c>
      <c r="C1049" s="22">
        <f>+VLOOKUP(PROVEEDORES[[#This Row],[PROVEEDOR]],TERCEROS_INFO[#All],2,FALSE)</f>
        <v>30</v>
      </c>
      <c r="D1049" s="27">
        <f>+SUMIFS(PROVEEDORES[Total],PROVEEDORES[PROVEEDOR],PROVEEDORES[[#This Row],[PROVEEDOR]],PROVEEDORES[FECHA DE PAGO],"")</f>
        <v>0</v>
      </c>
      <c r="E1049" s="27"/>
      <c r="F1049" s="62" t="str">
        <f>+VLOOKUP(PROVEEDORES[[#This Row],[PROVEEDOR]],
                       Terceros!$A:$G,
                       6,
                       FALSE)</f>
        <v>vcortes@power-sonic.com;alexander.baur@power-sonic.com;jirias@power-sonic.com;girlesa.ruiz@servipilas.com;joriescobar64@gmail.com;info@servipilas.com</v>
      </c>
      <c r="G1049" s="95">
        <v>44572</v>
      </c>
      <c r="H1049" s="28" t="s">
        <v>38</v>
      </c>
      <c r="I1049" s="95">
        <v>44531</v>
      </c>
      <c r="J1049" s="38" t="s">
        <v>918</v>
      </c>
      <c r="K1049" s="23">
        <v>5091096</v>
      </c>
      <c r="L1049" s="23"/>
      <c r="M1049" s="24">
        <v>0</v>
      </c>
      <c r="N1049" s="25"/>
      <c r="O1049" s="24">
        <v>0</v>
      </c>
      <c r="P1049" s="136">
        <f>+IF(PROVEEDORES[[#This Row],[SUBTOTAL]]&lt;PROVEEDORES[[#This Row],[base retencion]],0,PROVEEDORES[[#This Row],[retención aplicada]])</f>
        <v>0</v>
      </c>
      <c r="Q1049" s="24">
        <f>+PROVEEDORES[[#This Row],[Rete Fuente %]]*PROVEEDORES[[#This Row],[SUBTOTAL]]</f>
        <v>0</v>
      </c>
      <c r="R1049" s="23">
        <v>5091096</v>
      </c>
      <c r="S104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9" s="99">
        <f ca="1">IF(PROVEEDORES[[#This Row],[FECHA DE PAGO]]=0,TODAY()-PROVEEDORES[[#This Row],[FECHA DE FACTURACIÓN]]-PROVEEDORES[[#This Row],[PLAZO Días]],0)</f>
        <v>0</v>
      </c>
      <c r="U1049" s="149">
        <f>+VLOOKUP(PROVEEDORES[[#This Row],[PROVEEDOR]],Terceros!$A:$E,5,FALSE)</f>
        <v>0</v>
      </c>
      <c r="V1049" s="150">
        <f>+YEAR(PROVEEDORES[[#This Row],[FECHA DE FACTURACIÓN]])</f>
        <v>2021</v>
      </c>
      <c r="W1049" s="150">
        <f>+MATCH(PROVEEDORES[[#This Row],[año facturado]],Retenciones!$1:$1,0)</f>
        <v>4</v>
      </c>
      <c r="X1049" s="151">
        <f>+VLOOKUP(PROVEEDORES[[#This Row],[ID RETENCION]],Retenciones!$A$1:$O$24,PROVEEDORES[[#This Row],[indicador de columna]],FALSE)</f>
        <v>0</v>
      </c>
      <c r="Y1049" s="152">
        <f>+VLOOKUP(PROVEEDORES[[#This Row],[ID RETENCION]],Retenciones!$A$1:$O$24,2,FALSE)</f>
        <v>0</v>
      </c>
      <c r="Z1049" s="26"/>
      <c r="AA1049" s="26"/>
      <c r="AB1049" s="26"/>
      <c r="AC1049" s="26"/>
      <c r="AD1049" s="26"/>
      <c r="AE1049" s="26"/>
    </row>
    <row r="1050" spans="1:31" ht="21.95" customHeight="1" x14ac:dyDescent="0.25">
      <c r="A1050" s="175" t="str">
        <f>+IF(PROVEEDORES[[#This Row],[FECHA DE PAGO]]=PROVEEDORES[[#This Row],[FECHA DE FACTURACIÓN]],"DE CONTADO","CRÉDITO")</f>
        <v>CRÉDITO</v>
      </c>
      <c r="B1050" s="41" t="str">
        <f>+IF((PROVEEDORES[[#This Row],[FECHA DE PAGO]]-PROVEEDORES[[#This Row],[FECHA DE FACTURACIÓN]])&gt;PROVEEDORES[[#This Row],[PLAZO Días]],"PAGO VENCIDO")</f>
        <v>PAGO VENCIDO</v>
      </c>
      <c r="C1050" s="22">
        <f>+VLOOKUP(PROVEEDORES[[#This Row],[PROVEEDOR]],TERCEROS_INFO[#All],2,FALSE)</f>
        <v>30</v>
      </c>
      <c r="D1050" s="27">
        <f>+SUMIFS(PROVEEDORES[Total],PROVEEDORES[PROVEEDOR],PROVEEDORES[[#This Row],[PROVEEDOR]],PROVEEDORES[FECHA DE PAGO],"")</f>
        <v>3099000</v>
      </c>
      <c r="E1050" s="27"/>
      <c r="F1050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1050" s="95">
        <v>44671</v>
      </c>
      <c r="H1050" s="28" t="s">
        <v>1079</v>
      </c>
      <c r="I1050" s="95">
        <v>44511</v>
      </c>
      <c r="J1050" s="38" t="s">
        <v>1278</v>
      </c>
      <c r="K1050" s="23">
        <v>1306000</v>
      </c>
      <c r="L1050" s="23"/>
      <c r="M1050" s="24">
        <f>(PROVEEDORES[[#This Row],[SUBTOTAL]]-PROVEEDORES[[#This Row],[descuento antes de IVA]])*VLOOKUP(PROVEEDORES[[#This Row],[PROVEEDOR]],TERCEROS_INFO[#All],3,FALSE)</f>
        <v>0</v>
      </c>
      <c r="N1050" s="25"/>
      <c r="O1050" s="24">
        <f>+PROVEEDORES[[#This Row],[Descuento sobre subtotal %]]*(PROVEEDORES[[#This Row],[SUBTOTAL]]-PROVEEDORES[[#This Row],[descuento antes de IVA]])</f>
        <v>0</v>
      </c>
      <c r="P1050" s="136">
        <f>+IF(PROVEEDORES[[#This Row],[SUBTOTAL]]&lt;PROVEEDORES[[#This Row],[base retencion]],0,PROVEEDORES[[#This Row],[retención aplicada]])</f>
        <v>0</v>
      </c>
      <c r="Q1050" s="24">
        <f>+PROVEEDORES[[#This Row],[Rete Fuente %]]*PROVEEDORES[[#This Row],[SUBTOTAL]]</f>
        <v>0</v>
      </c>
      <c r="R1050" s="23">
        <f>+PROVEEDORES[[#This Row],[SUBTOTAL]]+PROVEEDORES[[#This Row],[IVA 19%]]-PROVEEDORES[[#This Row],[descuento antes de IVA]]-PROVEEDORES[[#This Row],[Descuento sobre subtotal $]]-PROVEEDORES[[#This Row],[Rete Fuente $]]</f>
        <v>1306000</v>
      </c>
      <c r="S1050" s="1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0" s="176">
        <f ca="1">IF(PROVEEDORES[[#This Row],[FECHA DE PAGO]]=0,TODAY()-PROVEEDORES[[#This Row],[FECHA DE FACTURACIÓN]]-PROVEEDORES[[#This Row],[PLAZO Días]],0)</f>
        <v>0</v>
      </c>
      <c r="U1050" s="178">
        <f>+VLOOKUP(PROVEEDORES[[#This Row],[PROVEEDOR]],Terceros!$A:$E,5,FALSE)</f>
        <v>0</v>
      </c>
      <c r="V1050" s="179">
        <f>+YEAR(PROVEEDORES[[#This Row],[FECHA DE FACTURACIÓN]])</f>
        <v>2021</v>
      </c>
      <c r="W1050" s="179">
        <f>+MATCH(PROVEEDORES[[#This Row],[año facturado]],Retenciones!$1:$1,0)</f>
        <v>4</v>
      </c>
      <c r="X1050" s="180">
        <f>+VLOOKUP(PROVEEDORES[[#This Row],[ID RETENCION]],Retenciones!$A$1:$O$24,PROVEEDORES[[#This Row],[indicador de columna]],FALSE)</f>
        <v>0</v>
      </c>
      <c r="Y1050" s="181">
        <f>+VLOOKUP(PROVEEDORES[[#This Row],[ID RETENCION]],Retenciones!$A$1:$O$24,2,FALSE)</f>
        <v>0</v>
      </c>
      <c r="Z1050" s="26"/>
      <c r="AA1050" s="26"/>
      <c r="AB1050" s="26"/>
      <c r="AC1050" s="26"/>
      <c r="AD1050" s="26"/>
      <c r="AE1050" s="26"/>
    </row>
    <row r="1051" spans="1:31" ht="21.95" customHeight="1" x14ac:dyDescent="0.25">
      <c r="A1051" s="97" t="str">
        <f>+IF(PROVEEDORES[[#This Row],[FECHA DE PAGO]]=PROVEEDORES[[#This Row],[FECHA DE FACTURACIÓN]],"DE CONTADO","CRÉDITO")</f>
        <v>CRÉDITO</v>
      </c>
      <c r="B1051" s="41" t="b">
        <f>+IF((PROVEEDORES[[#This Row],[FECHA DE PAGO]]-PROVEEDORES[[#This Row],[FECHA DE FACTURACIÓN]])&gt;PROVEEDORES[[#This Row],[PLAZO Días]],"PAGO VENCIDO")</f>
        <v>0</v>
      </c>
      <c r="C1051" s="22">
        <f>+VLOOKUP(PROVEEDORES[[#This Row],[PROVEEDOR]],TERCEROS_INFO[#All],2,FALSE)</f>
        <v>30</v>
      </c>
      <c r="D1051" s="27">
        <f>+SUMIFS(PROVEEDORES[Total],PROVEEDORES[PROVEEDOR],PROVEEDORES[[#This Row],[PROVEEDOR]],PROVEEDORES[FECHA DE PAGO],"")</f>
        <v>4862586.33</v>
      </c>
      <c r="E1051" s="27"/>
      <c r="F1051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1051" s="95">
        <v>44554</v>
      </c>
      <c r="H1051" s="28" t="s">
        <v>345</v>
      </c>
      <c r="I1051" s="95">
        <v>44531</v>
      </c>
      <c r="J1051" s="38" t="s">
        <v>635</v>
      </c>
      <c r="K1051" s="23">
        <v>3061166</v>
      </c>
      <c r="L1051" s="23"/>
      <c r="M1051" s="24">
        <v>581621.54</v>
      </c>
      <c r="N1051" s="25"/>
      <c r="O1051" s="24">
        <v>0</v>
      </c>
      <c r="P1051" s="136">
        <f>+IF(PROVEEDORES[[#This Row],[SUBTOTAL]]&lt;PROVEEDORES[[#This Row],[base retencion]],0,PROVEEDORES[[#This Row],[retención aplicada]])</f>
        <v>0</v>
      </c>
      <c r="Q1051" s="24">
        <f>+PROVEEDORES[[#This Row],[Rete Fuente %]]*PROVEEDORES[[#This Row],[SUBTOTAL]]</f>
        <v>0</v>
      </c>
      <c r="R1051" s="23">
        <v>3642787.54</v>
      </c>
      <c r="S105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1" s="99">
        <f ca="1">IF(PROVEEDORES[[#This Row],[FECHA DE PAGO]]=0,TODAY()-PROVEEDORES[[#This Row],[FECHA DE FACTURACIÓN]]-PROVEEDORES[[#This Row],[PLAZO Días]],0)</f>
        <v>0</v>
      </c>
      <c r="U1051" s="149">
        <f>+VLOOKUP(PROVEEDORES[[#This Row],[PROVEEDOR]],Terceros!$A:$E,5,FALSE)</f>
        <v>0</v>
      </c>
      <c r="V1051" s="150">
        <f>+YEAR(PROVEEDORES[[#This Row],[FECHA DE FACTURACIÓN]])</f>
        <v>2021</v>
      </c>
      <c r="W1051" s="150">
        <f>+MATCH(PROVEEDORES[[#This Row],[año facturado]],Retenciones!$1:$1,0)</f>
        <v>4</v>
      </c>
      <c r="X1051" s="151">
        <f>+VLOOKUP(PROVEEDORES[[#This Row],[ID RETENCION]],Retenciones!$A$1:$O$24,PROVEEDORES[[#This Row],[indicador de columna]],FALSE)</f>
        <v>0</v>
      </c>
      <c r="Y1051" s="152">
        <f>+VLOOKUP(PROVEEDORES[[#This Row],[ID RETENCION]],Retenciones!$A$1:$O$24,2,FALSE)</f>
        <v>0</v>
      </c>
      <c r="Z1051" s="26"/>
      <c r="AA1051" s="26"/>
      <c r="AB1051" s="26"/>
      <c r="AC1051" s="26"/>
      <c r="AD1051" s="26"/>
      <c r="AE1051" s="26"/>
    </row>
    <row r="1052" spans="1:31" ht="21.95" customHeight="1" x14ac:dyDescent="0.25">
      <c r="A1052" s="97" t="str">
        <f>+IF(PROVEEDORES[[#This Row],[FECHA DE PAGO]]=PROVEEDORES[[#This Row],[FECHA DE FACTURACIÓN]],"DE CONTADO","CRÉDITO")</f>
        <v>CRÉDITO</v>
      </c>
      <c r="B1052" s="41" t="b">
        <f>+IF((PROVEEDORES[[#This Row],[FECHA DE PAGO]]-PROVEEDORES[[#This Row],[FECHA DE FACTURACIÓN]])&gt;PROVEEDORES[[#This Row],[PLAZO Días]],"PAGO VENCIDO")</f>
        <v>0</v>
      </c>
      <c r="C1052" s="22">
        <f>+VLOOKUP(PROVEEDORES[[#This Row],[PROVEEDOR]],TERCEROS_INFO[#All],2,FALSE)</f>
        <v>10</v>
      </c>
      <c r="D1052" s="27">
        <f>+SUMIFS(PROVEEDORES[Total],PROVEEDORES[PROVEEDOR],PROVEEDORES[[#This Row],[PROVEEDOR]],PROVEEDORES[FECHA DE PAGO],"")</f>
        <v>0</v>
      </c>
      <c r="E1052" s="27"/>
      <c r="F1052" s="62" t="str">
        <f>+VLOOKUP(PROVEEDORES[[#This Row],[PROVEEDOR]],
                       Terceros!$A:$G,
                       6,
                       FALSE)</f>
        <v/>
      </c>
      <c r="G1052" s="95">
        <v>44536</v>
      </c>
      <c r="H1052" s="28" t="s">
        <v>23</v>
      </c>
      <c r="I1052" s="95">
        <v>44531</v>
      </c>
      <c r="J1052" s="38">
        <v>286942</v>
      </c>
      <c r="K1052" s="23">
        <v>10287615</v>
      </c>
      <c r="L1052" s="23"/>
      <c r="M1052" s="24">
        <v>0</v>
      </c>
      <c r="N1052" s="25"/>
      <c r="O1052" s="24">
        <v>0</v>
      </c>
      <c r="P1052" s="136">
        <f>+IF(PROVEEDORES[[#This Row],[SUBTOTAL]]&lt;PROVEEDORES[[#This Row],[base retencion]],0,PROVEEDORES[[#This Row],[retención aplicada]])</f>
        <v>0</v>
      </c>
      <c r="Q1052" s="24">
        <f>+PROVEEDORES[[#This Row],[Rete Fuente %]]*PROVEEDORES[[#This Row],[SUBTOTAL]]</f>
        <v>0</v>
      </c>
      <c r="R1052" s="23">
        <v>10287615</v>
      </c>
      <c r="S105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2" s="99">
        <f ca="1">IF(PROVEEDORES[[#This Row],[FECHA DE PAGO]]=0,TODAY()-PROVEEDORES[[#This Row],[FECHA DE FACTURACIÓN]]-PROVEEDORES[[#This Row],[PLAZO Días]],0)</f>
        <v>0</v>
      </c>
      <c r="U1052" s="149">
        <f>+VLOOKUP(PROVEEDORES[[#This Row],[PROVEEDOR]],Terceros!$A:$E,5,FALSE)</f>
        <v>0</v>
      </c>
      <c r="V1052" s="150">
        <f>+YEAR(PROVEEDORES[[#This Row],[FECHA DE FACTURACIÓN]])</f>
        <v>2021</v>
      </c>
      <c r="W1052" s="150">
        <f>+MATCH(PROVEEDORES[[#This Row],[año facturado]],Retenciones!$1:$1,0)</f>
        <v>4</v>
      </c>
      <c r="X1052" s="151">
        <f>+VLOOKUP(PROVEEDORES[[#This Row],[ID RETENCION]],Retenciones!$A$1:$O$24,PROVEEDORES[[#This Row],[indicador de columna]],FALSE)</f>
        <v>0</v>
      </c>
      <c r="Y1052" s="152">
        <f>+VLOOKUP(PROVEEDORES[[#This Row],[ID RETENCION]],Retenciones!$A$1:$O$24,2,FALSE)</f>
        <v>0</v>
      </c>
      <c r="Z1052" s="26"/>
      <c r="AA1052" s="26"/>
      <c r="AB1052" s="26"/>
      <c r="AC1052" s="26"/>
      <c r="AD1052" s="26"/>
      <c r="AE1052" s="26"/>
    </row>
    <row r="1053" spans="1:31" ht="21.95" customHeight="1" x14ac:dyDescent="0.25">
      <c r="A1053" s="97" t="str">
        <f>+IF(PROVEEDORES[[#This Row],[FECHA DE PAGO]]=PROVEEDORES[[#This Row],[FECHA DE FACTURACIÓN]],"DE CONTADO","CRÉDITO")</f>
        <v>CRÉDITO</v>
      </c>
      <c r="B1053" s="41" t="str">
        <f>+IF((PROVEEDORES[[#This Row],[FECHA DE PAGO]]-PROVEEDORES[[#This Row],[FECHA DE FACTURACIÓN]])&gt;PROVEEDORES[[#This Row],[PLAZO Días]],"PAGO VENCIDO")</f>
        <v>PAGO VENCIDO</v>
      </c>
      <c r="C1053" s="22">
        <f>+VLOOKUP(PROVEEDORES[[#This Row],[PROVEEDOR]],TERCEROS_INFO[#All],2,FALSE)</f>
        <v>30</v>
      </c>
      <c r="D1053" s="27">
        <f>+SUMIFS(PROVEEDORES[Total],PROVEEDORES[PROVEEDOR],PROVEEDORES[[#This Row],[PROVEEDOR]],PROVEEDORES[FECHA DE PAGO],"")</f>
        <v>0</v>
      </c>
      <c r="E1053" s="27"/>
      <c r="F1053" s="62" t="str">
        <f>+VLOOKUP(PROVEEDORES[[#This Row],[PROVEEDOR]],
                       Terceros!$A:$G,
                       6,
                       FALSE)</f>
        <v>vcortes@power-sonic.com;alexander.baur@power-sonic.com;jirias@power-sonic.com;girlesa.ruiz@servipilas.com;joriescobar64@gmail.com;info@servipilas.com</v>
      </c>
      <c r="G1053" s="95">
        <v>44572</v>
      </c>
      <c r="H1053" s="28" t="s">
        <v>38</v>
      </c>
      <c r="I1053" s="95">
        <v>44531</v>
      </c>
      <c r="J1053" s="38" t="s">
        <v>919</v>
      </c>
      <c r="K1053" s="23">
        <v>22083872</v>
      </c>
      <c r="L1053" s="23"/>
      <c r="M1053" s="24">
        <v>0</v>
      </c>
      <c r="N1053" s="25"/>
      <c r="O1053" s="24">
        <v>0</v>
      </c>
      <c r="P1053" s="136">
        <f>+IF(PROVEEDORES[[#This Row],[SUBTOTAL]]&lt;PROVEEDORES[[#This Row],[base retencion]],0,PROVEEDORES[[#This Row],[retención aplicada]])</f>
        <v>0</v>
      </c>
      <c r="Q1053" s="24">
        <f>+PROVEEDORES[[#This Row],[Rete Fuente %]]*PROVEEDORES[[#This Row],[SUBTOTAL]]</f>
        <v>0</v>
      </c>
      <c r="R1053" s="23">
        <v>22083872</v>
      </c>
      <c r="S105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3" s="99">
        <f ca="1">IF(PROVEEDORES[[#This Row],[FECHA DE PAGO]]=0,TODAY()-PROVEEDORES[[#This Row],[FECHA DE FACTURACIÓN]]-PROVEEDORES[[#This Row],[PLAZO Días]],0)</f>
        <v>0</v>
      </c>
      <c r="U1053" s="149">
        <f>+VLOOKUP(PROVEEDORES[[#This Row],[PROVEEDOR]],Terceros!$A:$E,5,FALSE)</f>
        <v>0</v>
      </c>
      <c r="V1053" s="150">
        <f>+YEAR(PROVEEDORES[[#This Row],[FECHA DE FACTURACIÓN]])</f>
        <v>2021</v>
      </c>
      <c r="W1053" s="150">
        <f>+MATCH(PROVEEDORES[[#This Row],[año facturado]],Retenciones!$1:$1,0)</f>
        <v>4</v>
      </c>
      <c r="X1053" s="151">
        <f>+VLOOKUP(PROVEEDORES[[#This Row],[ID RETENCION]],Retenciones!$A$1:$O$24,PROVEEDORES[[#This Row],[indicador de columna]],FALSE)</f>
        <v>0</v>
      </c>
      <c r="Y1053" s="152">
        <f>+VLOOKUP(PROVEEDORES[[#This Row],[ID RETENCION]],Retenciones!$A$1:$O$24,2,FALSE)</f>
        <v>0</v>
      </c>
      <c r="Z1053" s="26"/>
      <c r="AA1053" s="26"/>
      <c r="AB1053" s="26"/>
      <c r="AC1053" s="26"/>
      <c r="AD1053" s="26"/>
      <c r="AE1053" s="26"/>
    </row>
    <row r="1054" spans="1:31" ht="21.95" customHeight="1" x14ac:dyDescent="0.25">
      <c r="A1054" s="97" t="str">
        <f>+IF(PROVEEDORES[[#This Row],[FECHA DE PAGO]]=PROVEEDORES[[#This Row],[FECHA DE FACTURACIÓN]],"DE CONTADO","CRÉDITO")</f>
        <v>CRÉDITO</v>
      </c>
      <c r="B1054" s="41" t="b">
        <f>+IF((PROVEEDORES[[#This Row],[FECHA DE PAGO]]-PROVEEDORES[[#This Row],[FECHA DE FACTURACIÓN]])&gt;PROVEEDORES[[#This Row],[PLAZO Días]],"PAGO VENCIDO")</f>
        <v>0</v>
      </c>
      <c r="C1054" s="22">
        <f>+VLOOKUP(PROVEEDORES[[#This Row],[PROVEEDOR]],TERCEROS_INFO[#All],2,FALSE)</f>
        <v>90</v>
      </c>
      <c r="D1054" s="27">
        <f>+SUMIFS(PROVEEDORES[Total],PROVEEDORES[PROVEEDOR],PROVEEDORES[[#This Row],[PROVEEDOR]],PROVEEDORES[FECHA DE PAGO],"")</f>
        <v>103407118</v>
      </c>
      <c r="E1054" s="27"/>
      <c r="F1054" s="62" t="str">
        <f>+VLOOKUP(PROVEEDORES[[#This Row],[PROVEEDOR]],
                       Terceros!$A:$G,
                       6,
                       FALSE)</f>
        <v>mcastillo@kenextrading.com;agarcia@kenextrading.com;girlesa.ruiz@servipilas.com;joriescobar64@gmail.com</v>
      </c>
      <c r="G1054" s="95">
        <v>44578</v>
      </c>
      <c r="H1054" s="28" t="s">
        <v>31</v>
      </c>
      <c r="I1054" s="95">
        <v>44531</v>
      </c>
      <c r="J1054" s="38">
        <v>55546</v>
      </c>
      <c r="K1054" s="23">
        <v>57896217.960000001</v>
      </c>
      <c r="L1054" s="23"/>
      <c r="M1054" s="24">
        <v>0</v>
      </c>
      <c r="N1054" s="25"/>
      <c r="O1054" s="24">
        <v>0</v>
      </c>
      <c r="P1054" s="136">
        <f>+IF(PROVEEDORES[[#This Row],[SUBTOTAL]]&lt;PROVEEDORES[[#This Row],[base retencion]],0,PROVEEDORES[[#This Row],[retención aplicada]])</f>
        <v>0</v>
      </c>
      <c r="Q1054" s="24">
        <f>+PROVEEDORES[[#This Row],[Rete Fuente %]]*PROVEEDORES[[#This Row],[SUBTOTAL]]</f>
        <v>0</v>
      </c>
      <c r="R1054" s="23">
        <v>57896217.960000001</v>
      </c>
      <c r="S105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4" s="99">
        <f ca="1">IF(PROVEEDORES[[#This Row],[FECHA DE PAGO]]=0,TODAY()-PROVEEDORES[[#This Row],[FECHA DE FACTURACIÓN]]-PROVEEDORES[[#This Row],[PLAZO Días]],0)</f>
        <v>0</v>
      </c>
      <c r="U1054" s="149">
        <f>+VLOOKUP(PROVEEDORES[[#This Row],[PROVEEDOR]],Terceros!$A:$E,5,FALSE)</f>
        <v>0</v>
      </c>
      <c r="V1054" s="150">
        <f>+YEAR(PROVEEDORES[[#This Row],[FECHA DE FACTURACIÓN]])</f>
        <v>2021</v>
      </c>
      <c r="W1054" s="150">
        <f>+MATCH(PROVEEDORES[[#This Row],[año facturado]],Retenciones!$1:$1,0)</f>
        <v>4</v>
      </c>
      <c r="X1054" s="151">
        <f>+VLOOKUP(PROVEEDORES[[#This Row],[ID RETENCION]],Retenciones!$A$1:$O$24,PROVEEDORES[[#This Row],[indicador de columna]],FALSE)</f>
        <v>0</v>
      </c>
      <c r="Y1054" s="152">
        <f>+VLOOKUP(PROVEEDORES[[#This Row],[ID RETENCION]],Retenciones!$A$1:$O$24,2,FALSE)</f>
        <v>0</v>
      </c>
      <c r="Z1054" s="26"/>
      <c r="AA1054" s="26"/>
      <c r="AB1054" s="26"/>
      <c r="AC1054" s="26"/>
      <c r="AD1054" s="26"/>
      <c r="AE1054" s="26"/>
    </row>
    <row r="1055" spans="1:31" ht="21.95" customHeight="1" x14ac:dyDescent="0.25">
      <c r="A1055" s="97" t="str">
        <f>+IF(PROVEEDORES[[#This Row],[FECHA DE PAGO]]=PROVEEDORES[[#This Row],[FECHA DE FACTURACIÓN]],"DE CONTADO","CRÉDITO")</f>
        <v>DE CONTADO</v>
      </c>
      <c r="B1055" s="41" t="b">
        <f>+IF((PROVEEDORES[[#This Row],[FECHA DE PAGO]]-PROVEEDORES[[#This Row],[FECHA DE FACTURACIÓN]])&gt;PROVEEDORES[[#This Row],[PLAZO Días]],"PAGO VENCIDO")</f>
        <v>0</v>
      </c>
      <c r="C1055" s="22">
        <f>+VLOOKUP(PROVEEDORES[[#This Row],[PROVEEDOR]],TERCEROS_INFO[#All],2,FALSE)</f>
        <v>30</v>
      </c>
      <c r="D1055" s="27">
        <f>+SUMIFS(PROVEEDORES[Total],PROVEEDORES[PROVEEDOR],PROVEEDORES[[#This Row],[PROVEEDOR]],PROVEEDORES[FECHA DE PAGO],"")</f>
        <v>0</v>
      </c>
      <c r="E1055" s="27"/>
      <c r="F1055" s="62" t="str">
        <f>+VLOOKUP(PROVEEDORES[[#This Row],[PROVEEDOR]],
                       Terceros!$A:$G,
                       6,
                       FALSE)</f>
        <v/>
      </c>
      <c r="G1055" s="95">
        <v>44532</v>
      </c>
      <c r="H1055" s="28" t="s">
        <v>1010</v>
      </c>
      <c r="I1055" s="95">
        <v>44532</v>
      </c>
      <c r="J1055" s="38" t="s">
        <v>886</v>
      </c>
      <c r="K1055" s="23">
        <v>124000</v>
      </c>
      <c r="L1055" s="23"/>
      <c r="M1055" s="24">
        <v>0</v>
      </c>
      <c r="N1055" s="25"/>
      <c r="O1055" s="24">
        <v>0</v>
      </c>
      <c r="P1055" s="136">
        <f>+IF(PROVEEDORES[[#This Row],[SUBTOTAL]]&lt;PROVEEDORES[[#This Row],[base retencion]],0,PROVEEDORES[[#This Row],[retención aplicada]])</f>
        <v>0</v>
      </c>
      <c r="Q1055" s="24">
        <f>+PROVEEDORES[[#This Row],[Rete Fuente %]]*PROVEEDORES[[#This Row],[SUBTOTAL]]</f>
        <v>0</v>
      </c>
      <c r="R1055" s="23">
        <v>124000</v>
      </c>
      <c r="S105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5" s="99">
        <f ca="1">IF(PROVEEDORES[[#This Row],[FECHA DE PAGO]]=0,TODAY()-PROVEEDORES[[#This Row],[FECHA DE FACTURACIÓN]]-PROVEEDORES[[#This Row],[PLAZO Días]],0)</f>
        <v>0</v>
      </c>
      <c r="U1055" s="149">
        <f>+VLOOKUP(PROVEEDORES[[#This Row],[PROVEEDOR]],Terceros!$A:$E,5,FALSE)</f>
        <v>0</v>
      </c>
      <c r="V1055" s="150">
        <f>+YEAR(PROVEEDORES[[#This Row],[FECHA DE FACTURACIÓN]])</f>
        <v>2021</v>
      </c>
      <c r="W1055" s="150">
        <f>+MATCH(PROVEEDORES[[#This Row],[año facturado]],Retenciones!$1:$1,0)</f>
        <v>4</v>
      </c>
      <c r="X1055" s="151">
        <f>+VLOOKUP(PROVEEDORES[[#This Row],[ID RETENCION]],Retenciones!$A$1:$O$24,PROVEEDORES[[#This Row],[indicador de columna]],FALSE)</f>
        <v>0</v>
      </c>
      <c r="Y1055" s="152">
        <f>+VLOOKUP(PROVEEDORES[[#This Row],[ID RETENCION]],Retenciones!$A$1:$O$24,2,FALSE)</f>
        <v>0</v>
      </c>
      <c r="Z1055" s="26"/>
      <c r="AA1055" s="26"/>
      <c r="AB1055" s="26"/>
      <c r="AC1055" s="26"/>
      <c r="AD1055" s="26"/>
      <c r="AE1055" s="26"/>
    </row>
    <row r="1056" spans="1:31" ht="21.95" customHeight="1" x14ac:dyDescent="0.25">
      <c r="A1056" s="97" t="str">
        <f>+IF(PROVEEDORES[[#This Row],[FECHA DE PAGO]]=PROVEEDORES[[#This Row],[FECHA DE FACTURACIÓN]],"DE CONTADO","CRÉDITO")</f>
        <v>DE CONTADO</v>
      </c>
      <c r="B1056" s="41" t="b">
        <f>+IF((PROVEEDORES[[#This Row],[FECHA DE PAGO]]-PROVEEDORES[[#This Row],[FECHA DE FACTURACIÓN]])&gt;PROVEEDORES[[#This Row],[PLAZO Días]],"PAGO VENCIDO")</f>
        <v>0</v>
      </c>
      <c r="C1056" s="22">
        <f>+VLOOKUP(PROVEEDORES[[#This Row],[PROVEEDOR]],TERCEROS_INFO[#All],2,FALSE)</f>
        <v>30</v>
      </c>
      <c r="D1056" s="27">
        <f>+SUMIFS(PROVEEDORES[Total],PROVEEDORES[PROVEEDOR],PROVEEDORES[[#This Row],[PROVEEDOR]],PROVEEDORES[FECHA DE PAGO],"")</f>
        <v>0</v>
      </c>
      <c r="E1056" s="27"/>
      <c r="F1056" s="62">
        <f>+VLOOKUP(PROVEEDORES[[#This Row],[PROVEEDOR]],
                       Terceros!$A:$G,
                       6,
                       FALSE)</f>
        <v>0</v>
      </c>
      <c r="G1056" s="95">
        <v>44532</v>
      </c>
      <c r="H1056" s="28" t="s">
        <v>1083</v>
      </c>
      <c r="I1056" s="95">
        <v>44532</v>
      </c>
      <c r="J1056" s="38">
        <v>310</v>
      </c>
      <c r="K1056" s="23">
        <v>130252</v>
      </c>
      <c r="L1056" s="23"/>
      <c r="M1056" s="24">
        <v>24747.88</v>
      </c>
      <c r="N1056" s="25"/>
      <c r="O1056" s="24">
        <v>0</v>
      </c>
      <c r="P1056" s="136">
        <f>+IF(PROVEEDORES[[#This Row],[SUBTOTAL]]&lt;PROVEEDORES[[#This Row],[base retencion]],0,PROVEEDORES[[#This Row],[retención aplicada]])</f>
        <v>0</v>
      </c>
      <c r="Q1056" s="24">
        <f>+PROVEEDORES[[#This Row],[Rete Fuente %]]*PROVEEDORES[[#This Row],[SUBTOTAL]]</f>
        <v>0</v>
      </c>
      <c r="R1056" s="23">
        <v>154999.88</v>
      </c>
      <c r="S105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6" s="99">
        <f ca="1">IF(PROVEEDORES[[#This Row],[FECHA DE PAGO]]=0,TODAY()-PROVEEDORES[[#This Row],[FECHA DE FACTURACIÓN]]-PROVEEDORES[[#This Row],[PLAZO Días]],0)</f>
        <v>0</v>
      </c>
      <c r="U1056" s="149" t="str">
        <f>+VLOOKUP(PROVEEDORES[[#This Row],[PROVEEDOR]],Terceros!$A:$E,5,FALSE)</f>
        <v>2,5% con base</v>
      </c>
      <c r="V1056" s="150">
        <f>+YEAR(PROVEEDORES[[#This Row],[FECHA DE FACTURACIÓN]])</f>
        <v>2021</v>
      </c>
      <c r="W1056" s="150">
        <f>+MATCH(PROVEEDORES[[#This Row],[año facturado]],Retenciones!$1:$1,0)</f>
        <v>4</v>
      </c>
      <c r="X1056" s="151">
        <f>+VLOOKUP(PROVEEDORES[[#This Row],[ID RETENCION]],Retenciones!$A$1:$O$24,PROVEEDORES[[#This Row],[indicador de columna]],FALSE)</f>
        <v>980000</v>
      </c>
      <c r="Y1056" s="152">
        <f>+VLOOKUP(PROVEEDORES[[#This Row],[ID RETENCION]],Retenciones!$A$1:$O$24,2,FALSE)</f>
        <v>2.5000000000000001E-2</v>
      </c>
      <c r="Z1056" s="26"/>
      <c r="AA1056" s="26"/>
      <c r="AB1056" s="26"/>
      <c r="AC1056" s="26"/>
      <c r="AD1056" s="26"/>
      <c r="AE1056" s="26"/>
    </row>
    <row r="1057" spans="1:31" ht="21.95" customHeight="1" x14ac:dyDescent="0.25">
      <c r="A1057" s="97" t="str">
        <f>+IF(PROVEEDORES[[#This Row],[FECHA DE PAGO]]=PROVEEDORES[[#This Row],[FECHA DE FACTURACIÓN]],"DE CONTADO","CRÉDITO")</f>
        <v>CRÉDITO</v>
      </c>
      <c r="B1057" s="41" t="b">
        <f>+IF((PROVEEDORES[[#This Row],[FECHA DE PAGO]]-PROVEEDORES[[#This Row],[FECHA DE FACTURACIÓN]])&gt;PROVEEDORES[[#This Row],[PLAZO Días]],"PAGO VENCIDO")</f>
        <v>0</v>
      </c>
      <c r="C1057" s="22">
        <f>+VLOOKUP(PROVEEDORES[[#This Row],[PROVEEDOR]],TERCEROS_INFO[#All],2,FALSE)</f>
        <v>30</v>
      </c>
      <c r="D1057" s="27">
        <f>+SUMIFS(PROVEEDORES[Total],PROVEEDORES[PROVEEDOR],PROVEEDORES[[#This Row],[PROVEEDOR]],PROVEEDORES[FECHA DE PAGO],"")</f>
        <v>3844432.4999000002</v>
      </c>
      <c r="E1057" s="27"/>
      <c r="F1057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1057" s="95">
        <v>44558</v>
      </c>
      <c r="H1057" s="28" t="s">
        <v>18</v>
      </c>
      <c r="I1057" s="95">
        <v>44532</v>
      </c>
      <c r="J1057" s="38">
        <v>1046801</v>
      </c>
      <c r="K1057" s="23">
        <v>4441621.4400000004</v>
      </c>
      <c r="L1057" s="23"/>
      <c r="M1057" s="24">
        <v>843908.07360000012</v>
      </c>
      <c r="N1057" s="25"/>
      <c r="O1057" s="24">
        <v>0</v>
      </c>
      <c r="P1057" s="136">
        <f>+IF(PROVEEDORES[[#This Row],[SUBTOTAL]]&lt;PROVEEDORES[[#This Row],[base retencion]],0,PROVEEDORES[[#This Row],[retención aplicada]])</f>
        <v>2.5000000000000001E-2</v>
      </c>
      <c r="Q1057" s="24">
        <f>+PROVEEDORES[[#This Row],[Rete Fuente %]]*PROVEEDORES[[#This Row],[SUBTOTAL]]</f>
        <v>111040.53600000002</v>
      </c>
      <c r="R1057" s="23">
        <v>5174488.9775999999</v>
      </c>
      <c r="S105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7" s="99">
        <f ca="1">IF(PROVEEDORES[[#This Row],[FECHA DE PAGO]]=0,TODAY()-PROVEEDORES[[#This Row],[FECHA DE FACTURACIÓN]]-PROVEEDORES[[#This Row],[PLAZO Días]],0)</f>
        <v>0</v>
      </c>
      <c r="U1057" s="149" t="str">
        <f>+VLOOKUP(PROVEEDORES[[#This Row],[PROVEEDOR]],Terceros!$A:$E,5,FALSE)</f>
        <v>2,5% con base</v>
      </c>
      <c r="V1057" s="150">
        <f>+YEAR(PROVEEDORES[[#This Row],[FECHA DE FACTURACIÓN]])</f>
        <v>2021</v>
      </c>
      <c r="W1057" s="150">
        <f>+MATCH(PROVEEDORES[[#This Row],[año facturado]],Retenciones!$1:$1,0)</f>
        <v>4</v>
      </c>
      <c r="X1057" s="151">
        <f>+VLOOKUP(PROVEEDORES[[#This Row],[ID RETENCION]],Retenciones!$A$1:$O$24,PROVEEDORES[[#This Row],[indicador de columna]],FALSE)</f>
        <v>980000</v>
      </c>
      <c r="Y1057" s="152">
        <f>+VLOOKUP(PROVEEDORES[[#This Row],[ID RETENCION]],Retenciones!$A$1:$O$24,2,FALSE)</f>
        <v>2.5000000000000001E-2</v>
      </c>
      <c r="Z1057" s="26"/>
      <c r="AA1057" s="26"/>
      <c r="AB1057" s="26"/>
      <c r="AC1057" s="26"/>
      <c r="AD1057" s="26"/>
      <c r="AE1057" s="26"/>
    </row>
    <row r="1058" spans="1:31" ht="21.95" customHeight="1" x14ac:dyDescent="0.25">
      <c r="A1058" s="97" t="str">
        <f>+IF(PROVEEDORES[[#This Row],[FECHA DE PAGO]]=PROVEEDORES[[#This Row],[FECHA DE FACTURACIÓN]],"DE CONTADO","CRÉDITO")</f>
        <v>CRÉDITO</v>
      </c>
      <c r="B1058" s="41" t="str">
        <f>+IF((PROVEEDORES[[#This Row],[FECHA DE PAGO]]-PROVEEDORES[[#This Row],[FECHA DE FACTURACIÓN]])&gt;PROVEEDORES[[#This Row],[PLAZO Días]],"PAGO VENCIDO")</f>
        <v>PAGO VENCIDO</v>
      </c>
      <c r="C1058" s="22">
        <f>+VLOOKUP(PROVEEDORES[[#This Row],[PROVEEDOR]],TERCEROS_INFO[#All],2,FALSE)</f>
        <v>45</v>
      </c>
      <c r="D1058" s="27">
        <f>+SUMIFS(PROVEEDORES[Total],PROVEEDORES[PROVEEDOR],PROVEEDORES[[#This Row],[PROVEEDOR]],PROVEEDORES[FECHA DE PAGO],"")</f>
        <v>3412539.2</v>
      </c>
      <c r="E1058" s="27"/>
      <c r="F1058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1058" s="95">
        <v>44600</v>
      </c>
      <c r="H1058" s="28" t="s">
        <v>10</v>
      </c>
      <c r="I1058" s="95">
        <v>44532</v>
      </c>
      <c r="J1058" s="38" t="s">
        <v>639</v>
      </c>
      <c r="K1058" s="23">
        <v>420000</v>
      </c>
      <c r="L1058" s="23"/>
      <c r="M1058" s="24">
        <v>79800</v>
      </c>
      <c r="N1058" s="25"/>
      <c r="O1058" s="24">
        <v>0</v>
      </c>
      <c r="P1058" s="136">
        <f>+IF(PROVEEDORES[[#This Row],[SUBTOTAL]]&lt;PROVEEDORES[[#This Row],[base retencion]],0,PROVEEDORES[[#This Row],[retención aplicada]])</f>
        <v>0</v>
      </c>
      <c r="Q1058" s="24">
        <f>+PROVEEDORES[[#This Row],[Rete Fuente %]]*PROVEEDORES[[#This Row],[SUBTOTAL]]</f>
        <v>0</v>
      </c>
      <c r="R1058" s="23">
        <v>499800</v>
      </c>
      <c r="S105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8" s="99">
        <f ca="1">IF(PROVEEDORES[[#This Row],[FECHA DE PAGO]]=0,TODAY()-PROVEEDORES[[#This Row],[FECHA DE FACTURACIÓN]]-PROVEEDORES[[#This Row],[PLAZO Días]],0)</f>
        <v>0</v>
      </c>
      <c r="U1058" s="149">
        <f>+VLOOKUP(PROVEEDORES[[#This Row],[PROVEEDOR]],Terceros!$A:$E,5,FALSE)</f>
        <v>0</v>
      </c>
      <c r="V1058" s="150">
        <f>+YEAR(PROVEEDORES[[#This Row],[FECHA DE FACTURACIÓN]])</f>
        <v>2021</v>
      </c>
      <c r="W1058" s="150">
        <f>+MATCH(PROVEEDORES[[#This Row],[año facturado]],Retenciones!$1:$1,0)</f>
        <v>4</v>
      </c>
      <c r="X1058" s="151">
        <f>+VLOOKUP(PROVEEDORES[[#This Row],[ID RETENCION]],Retenciones!$A$1:$O$24,PROVEEDORES[[#This Row],[indicador de columna]],FALSE)</f>
        <v>0</v>
      </c>
      <c r="Y1058" s="152">
        <f>+VLOOKUP(PROVEEDORES[[#This Row],[ID RETENCION]],Retenciones!$A$1:$O$24,2,FALSE)</f>
        <v>0</v>
      </c>
      <c r="Z1058" s="26"/>
      <c r="AA1058" s="26"/>
      <c r="AB1058" s="26"/>
      <c r="AC1058" s="26"/>
      <c r="AD1058" s="26"/>
      <c r="AE1058" s="26"/>
    </row>
    <row r="1059" spans="1:31" ht="21.95" customHeight="1" x14ac:dyDescent="0.25">
      <c r="A1059" s="97" t="str">
        <f>+IF(PROVEEDORES[[#This Row],[FECHA DE PAGO]]=PROVEEDORES[[#This Row],[FECHA DE FACTURACIÓN]],"DE CONTADO","CRÉDITO")</f>
        <v>CRÉDITO</v>
      </c>
      <c r="B1059" s="41" t="b">
        <f>+IF((PROVEEDORES[[#This Row],[FECHA DE PAGO]]-PROVEEDORES[[#This Row],[FECHA DE FACTURACIÓN]])&gt;PROVEEDORES[[#This Row],[PLAZO Días]],"PAGO VENCIDO")</f>
        <v>0</v>
      </c>
      <c r="C1059" s="22">
        <f>+VLOOKUP(PROVEEDORES[[#This Row],[PROVEEDOR]],TERCEROS_INFO[#All],2,FALSE)</f>
        <v>30</v>
      </c>
      <c r="D1059" s="27">
        <f>+SUMIFS(PROVEEDORES[Total],PROVEEDORES[PROVEEDOR],PROVEEDORES[[#This Row],[PROVEEDOR]],PROVEEDORES[FECHA DE PAGO],"")</f>
        <v>3844432.4999000002</v>
      </c>
      <c r="E1059" s="27"/>
      <c r="F1059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1059" s="95">
        <v>44558</v>
      </c>
      <c r="H1059" s="28" t="s">
        <v>18</v>
      </c>
      <c r="I1059" s="95">
        <v>44532</v>
      </c>
      <c r="J1059" s="38">
        <v>1046842</v>
      </c>
      <c r="K1059" s="23">
        <v>850000</v>
      </c>
      <c r="L1059" s="23"/>
      <c r="M1059" s="24">
        <v>161500</v>
      </c>
      <c r="N1059" s="25"/>
      <c r="O1059" s="24">
        <v>0</v>
      </c>
      <c r="P1059" s="136">
        <f>+IF(PROVEEDORES[[#This Row],[SUBTOTAL]]&lt;PROVEEDORES[[#This Row],[base retencion]],0,PROVEEDORES[[#This Row],[retención aplicada]])</f>
        <v>0</v>
      </c>
      <c r="Q1059" s="24">
        <f>+PROVEEDORES[[#This Row],[Rete Fuente %]]*PROVEEDORES[[#This Row],[SUBTOTAL]]</f>
        <v>0</v>
      </c>
      <c r="R1059" s="23">
        <v>1011500</v>
      </c>
      <c r="S105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9" s="99">
        <f ca="1">IF(PROVEEDORES[[#This Row],[FECHA DE PAGO]]=0,TODAY()-PROVEEDORES[[#This Row],[FECHA DE FACTURACIÓN]]-PROVEEDORES[[#This Row],[PLAZO Días]],0)</f>
        <v>0</v>
      </c>
      <c r="U1059" s="149" t="str">
        <f>+VLOOKUP(PROVEEDORES[[#This Row],[PROVEEDOR]],Terceros!$A:$E,5,FALSE)</f>
        <v>2,5% con base</v>
      </c>
      <c r="V1059" s="150">
        <f>+YEAR(PROVEEDORES[[#This Row],[FECHA DE FACTURACIÓN]])</f>
        <v>2021</v>
      </c>
      <c r="W1059" s="150">
        <f>+MATCH(PROVEEDORES[[#This Row],[año facturado]],Retenciones!$1:$1,0)</f>
        <v>4</v>
      </c>
      <c r="X1059" s="151">
        <f>+VLOOKUP(PROVEEDORES[[#This Row],[ID RETENCION]],Retenciones!$A$1:$O$24,PROVEEDORES[[#This Row],[indicador de columna]],FALSE)</f>
        <v>980000</v>
      </c>
      <c r="Y1059" s="152">
        <f>+VLOOKUP(PROVEEDORES[[#This Row],[ID RETENCION]],Retenciones!$A$1:$O$24,2,FALSE)</f>
        <v>2.5000000000000001E-2</v>
      </c>
      <c r="Z1059" s="26"/>
      <c r="AA1059" s="26"/>
      <c r="AB1059" s="26"/>
      <c r="AC1059" s="26"/>
      <c r="AD1059" s="26"/>
      <c r="AE1059" s="26"/>
    </row>
    <row r="1060" spans="1:31" ht="21.95" customHeight="1" x14ac:dyDescent="0.25">
      <c r="A1060" s="97" t="str">
        <f>+IF(PROVEEDORES[[#This Row],[FECHA DE PAGO]]=PROVEEDORES[[#This Row],[FECHA DE FACTURACIÓN]],"DE CONTADO","CRÉDITO")</f>
        <v>CRÉDITO</v>
      </c>
      <c r="B1060" s="41" t="b">
        <f>+IF((PROVEEDORES[[#This Row],[FECHA DE PAGO]]-PROVEEDORES[[#This Row],[FECHA DE FACTURACIÓN]])&gt;PROVEEDORES[[#This Row],[PLAZO Días]],"PAGO VENCIDO")</f>
        <v>0</v>
      </c>
      <c r="C1060" s="22">
        <f>+VLOOKUP(PROVEEDORES[[#This Row],[PROVEEDOR]],TERCEROS_INFO[#All],2,FALSE)</f>
        <v>30</v>
      </c>
      <c r="D1060" s="27">
        <f>+SUMIFS(PROVEEDORES[Total],PROVEEDORES[PROVEEDOR],PROVEEDORES[[#This Row],[PROVEEDOR]],PROVEEDORES[FECHA DE PAGO],"")</f>
        <v>3844432.4999000002</v>
      </c>
      <c r="E1060" s="27"/>
      <c r="F1060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1060" s="95">
        <v>44558</v>
      </c>
      <c r="H1060" s="28" t="s">
        <v>18</v>
      </c>
      <c r="I1060" s="95">
        <v>44532</v>
      </c>
      <c r="J1060" s="38">
        <v>1046843</v>
      </c>
      <c r="K1060" s="23">
        <v>164571.6</v>
      </c>
      <c r="L1060" s="23"/>
      <c r="M1060" s="24">
        <v>31268.604000000003</v>
      </c>
      <c r="N1060" s="25"/>
      <c r="O1060" s="24">
        <v>0</v>
      </c>
      <c r="P1060" s="136">
        <f>+IF(PROVEEDORES[[#This Row],[SUBTOTAL]]&lt;PROVEEDORES[[#This Row],[base retencion]],0,PROVEEDORES[[#This Row],[retención aplicada]])</f>
        <v>0</v>
      </c>
      <c r="Q1060" s="24">
        <f>+PROVEEDORES[[#This Row],[Rete Fuente %]]*PROVEEDORES[[#This Row],[SUBTOTAL]]</f>
        <v>0</v>
      </c>
      <c r="R1060" s="23">
        <v>0</v>
      </c>
      <c r="S106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0" s="99">
        <f ca="1">IF(PROVEEDORES[[#This Row],[FECHA DE PAGO]]=0,TODAY()-PROVEEDORES[[#This Row],[FECHA DE FACTURACIÓN]]-PROVEEDORES[[#This Row],[PLAZO Días]],0)</f>
        <v>0</v>
      </c>
      <c r="U1060" s="149" t="str">
        <f>+VLOOKUP(PROVEEDORES[[#This Row],[PROVEEDOR]],Terceros!$A:$E,5,FALSE)</f>
        <v>2,5% con base</v>
      </c>
      <c r="V1060" s="150">
        <f>+YEAR(PROVEEDORES[[#This Row],[FECHA DE FACTURACIÓN]])</f>
        <v>2021</v>
      </c>
      <c r="W1060" s="150">
        <f>+MATCH(PROVEEDORES[[#This Row],[año facturado]],Retenciones!$1:$1,0)</f>
        <v>4</v>
      </c>
      <c r="X1060" s="151">
        <f>+VLOOKUP(PROVEEDORES[[#This Row],[ID RETENCION]],Retenciones!$A$1:$O$24,PROVEEDORES[[#This Row],[indicador de columna]],FALSE)</f>
        <v>980000</v>
      </c>
      <c r="Y1060" s="152">
        <f>+VLOOKUP(PROVEEDORES[[#This Row],[ID RETENCION]],Retenciones!$A$1:$O$24,2,FALSE)</f>
        <v>2.5000000000000001E-2</v>
      </c>
      <c r="Z1060" s="26"/>
      <c r="AA1060" s="26"/>
      <c r="AB1060" s="26"/>
      <c r="AC1060" s="26"/>
      <c r="AD1060" s="26"/>
      <c r="AE1060" s="26"/>
    </row>
    <row r="1061" spans="1:31" ht="21.95" customHeight="1" x14ac:dyDescent="0.25">
      <c r="A1061" s="97" t="str">
        <f>+IF(PROVEEDORES[[#This Row],[FECHA DE PAGO]]=PROVEEDORES[[#This Row],[FECHA DE FACTURACIÓN]],"DE CONTADO","CRÉDITO")</f>
        <v>DE CONTADO</v>
      </c>
      <c r="B1061" s="41" t="b">
        <f>+IF((PROVEEDORES[[#This Row],[FECHA DE PAGO]]-PROVEEDORES[[#This Row],[FECHA DE FACTURACIÓN]])&gt;PROVEEDORES[[#This Row],[PLAZO Días]],"PAGO VENCIDO")</f>
        <v>0</v>
      </c>
      <c r="C1061" s="22">
        <f>+VLOOKUP(PROVEEDORES[[#This Row],[PROVEEDOR]],TERCEROS_INFO[#All],2,FALSE)</f>
        <v>90</v>
      </c>
      <c r="D1061" s="27">
        <f>+SUMIFS(PROVEEDORES[Total],PROVEEDORES[PROVEEDOR],PROVEEDORES[[#This Row],[PROVEEDOR]],PROVEEDORES[FECHA DE PAGO],"")</f>
        <v>28052953.019999996</v>
      </c>
      <c r="E1061" s="27"/>
      <c r="F1061" s="62" t="str">
        <f>+VLOOKUP(PROVEEDORES[[#This Row],[PROVEEDOR]],
                       Terceros!$A:$G,
                       6,
                       FALSE)</f>
        <v>criszapata1234@gmail.com;girlesa.ruiz@servipilas.com;joriescobar64@gmail.com</v>
      </c>
      <c r="G1061" s="95">
        <v>44533</v>
      </c>
      <c r="H1061" s="28" t="s">
        <v>78</v>
      </c>
      <c r="I1061" s="95">
        <v>44533</v>
      </c>
      <c r="J1061" s="38" t="s">
        <v>597</v>
      </c>
      <c r="K1061" s="23">
        <v>-11772165</v>
      </c>
      <c r="L1061" s="23"/>
      <c r="M1061" s="24">
        <v>0</v>
      </c>
      <c r="N1061" s="25"/>
      <c r="O1061" s="24">
        <v>0</v>
      </c>
      <c r="P1061" s="136">
        <f>+IF(PROVEEDORES[[#This Row],[SUBTOTAL]]&lt;PROVEEDORES[[#This Row],[base retencion]],0,PROVEEDORES[[#This Row],[retención aplicada]])</f>
        <v>0</v>
      </c>
      <c r="Q1061" s="24">
        <f>+PROVEEDORES[[#This Row],[Rete Fuente %]]*PROVEEDORES[[#This Row],[SUBTOTAL]]</f>
        <v>0</v>
      </c>
      <c r="R1061" s="23">
        <v>-11772165</v>
      </c>
      <c r="S106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1" s="99">
        <f ca="1">IF(PROVEEDORES[[#This Row],[FECHA DE PAGO]]=0,TODAY()-PROVEEDORES[[#This Row],[FECHA DE FACTURACIÓN]]-PROVEEDORES[[#This Row],[PLAZO Días]],0)</f>
        <v>0</v>
      </c>
      <c r="U1061" s="149" t="str">
        <f>+VLOOKUP(PROVEEDORES[[#This Row],[PROVEEDOR]],Terceros!$A:$E,5,FALSE)</f>
        <v>2,5% con base</v>
      </c>
      <c r="V1061" s="150">
        <f>+YEAR(PROVEEDORES[[#This Row],[FECHA DE FACTURACIÓN]])</f>
        <v>2021</v>
      </c>
      <c r="W1061" s="150">
        <f>+MATCH(PROVEEDORES[[#This Row],[año facturado]],Retenciones!$1:$1,0)</f>
        <v>4</v>
      </c>
      <c r="X1061" s="151">
        <f>+VLOOKUP(PROVEEDORES[[#This Row],[ID RETENCION]],Retenciones!$A$1:$O$24,PROVEEDORES[[#This Row],[indicador de columna]],FALSE)</f>
        <v>980000</v>
      </c>
      <c r="Y1061" s="152">
        <f>+VLOOKUP(PROVEEDORES[[#This Row],[ID RETENCION]],Retenciones!$A$1:$O$24,2,FALSE)</f>
        <v>2.5000000000000001E-2</v>
      </c>
      <c r="Z1061" s="26"/>
      <c r="AA1061" s="26"/>
      <c r="AB1061" s="26"/>
      <c r="AC1061" s="26"/>
      <c r="AD1061" s="26"/>
      <c r="AE1061" s="26"/>
    </row>
    <row r="1062" spans="1:31" ht="21.95" customHeight="1" x14ac:dyDescent="0.25">
      <c r="A1062" s="97" t="str">
        <f>+IF(PROVEEDORES[[#This Row],[FECHA DE PAGO]]=PROVEEDORES[[#This Row],[FECHA DE FACTURACIÓN]],"DE CONTADO","CRÉDITO")</f>
        <v>DE CONTADO</v>
      </c>
      <c r="B1062" s="41" t="b">
        <f>+IF((PROVEEDORES[[#This Row],[FECHA DE PAGO]]-PROVEEDORES[[#This Row],[FECHA DE FACTURACIÓN]])&gt;PROVEEDORES[[#This Row],[PLAZO Días]],"PAGO VENCIDO")</f>
        <v>0</v>
      </c>
      <c r="C1062" s="22">
        <f>+VLOOKUP(PROVEEDORES[[#This Row],[PROVEEDOR]],TERCEROS_INFO[#All],2,FALSE)</f>
        <v>30</v>
      </c>
      <c r="D1062" s="27">
        <f>+SUMIFS(PROVEEDORES[Total],PROVEEDORES[PROVEEDOR],PROVEEDORES[[#This Row],[PROVEEDOR]],PROVEEDORES[FECHA DE PAGO],"")</f>
        <v>21832129.73</v>
      </c>
      <c r="E1062" s="27"/>
      <c r="F1062" s="62" t="str">
        <f>+VLOOKUP(PROVEEDORES[[#This Row],[PROVEEDOR]],
                       Terceros!$A:$G,
                       6,
                       FALSE)</f>
        <v>cartera1@grupostatur.com;girlesa.ruiz@servipilas.com;joriescobar64@gmail.com</v>
      </c>
      <c r="G1062" s="95">
        <v>44533</v>
      </c>
      <c r="H1062" s="28" t="s">
        <v>9</v>
      </c>
      <c r="I1062" s="95">
        <v>44533</v>
      </c>
      <c r="J1062" s="38" t="s">
        <v>867</v>
      </c>
      <c r="K1062" s="23">
        <v>-6253444</v>
      </c>
      <c r="L1062" s="23"/>
      <c r="M1062" s="24">
        <v>0</v>
      </c>
      <c r="N1062" s="25"/>
      <c r="O1062" s="24">
        <v>0</v>
      </c>
      <c r="P1062" s="136">
        <f>+IF(PROVEEDORES[[#This Row],[SUBTOTAL]]&lt;PROVEEDORES[[#This Row],[base retencion]],0,PROVEEDORES[[#This Row],[retención aplicada]])</f>
        <v>0</v>
      </c>
      <c r="Q1062" s="24">
        <f>+PROVEEDORES[[#This Row],[Rete Fuente %]]*PROVEEDORES[[#This Row],[SUBTOTAL]]</f>
        <v>0</v>
      </c>
      <c r="R1062" s="23">
        <v>-6253444</v>
      </c>
      <c r="S106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2" s="99">
        <f ca="1">IF(PROVEEDORES[[#This Row],[FECHA DE PAGO]]=0,TODAY()-PROVEEDORES[[#This Row],[FECHA DE FACTURACIÓN]]-PROVEEDORES[[#This Row],[PLAZO Días]],0)</f>
        <v>0</v>
      </c>
      <c r="U1062" s="149" t="str">
        <f>+VLOOKUP(PROVEEDORES[[#This Row],[PROVEEDOR]],Terceros!$A:$E,5,FALSE)</f>
        <v>2,5% con base</v>
      </c>
      <c r="V1062" s="150">
        <f>+YEAR(PROVEEDORES[[#This Row],[FECHA DE FACTURACIÓN]])</f>
        <v>2021</v>
      </c>
      <c r="W1062" s="150">
        <f>+MATCH(PROVEEDORES[[#This Row],[año facturado]],Retenciones!$1:$1,0)</f>
        <v>4</v>
      </c>
      <c r="X1062" s="151">
        <f>+VLOOKUP(PROVEEDORES[[#This Row],[ID RETENCION]],Retenciones!$A$1:$O$24,PROVEEDORES[[#This Row],[indicador de columna]],FALSE)</f>
        <v>980000</v>
      </c>
      <c r="Y1062" s="152">
        <f>+VLOOKUP(PROVEEDORES[[#This Row],[ID RETENCION]],Retenciones!$A$1:$O$24,2,FALSE)</f>
        <v>2.5000000000000001E-2</v>
      </c>
      <c r="Z1062" s="26"/>
      <c r="AA1062" s="26"/>
      <c r="AB1062" s="26"/>
      <c r="AC1062" s="26"/>
      <c r="AD1062" s="26"/>
      <c r="AE1062" s="26"/>
    </row>
    <row r="1063" spans="1:31" ht="21.95" customHeight="1" x14ac:dyDescent="0.25">
      <c r="A1063" s="97" t="str">
        <f>+IF(PROVEEDORES[[#This Row],[FECHA DE PAGO]]=PROVEEDORES[[#This Row],[FECHA DE FACTURACIÓN]],"DE CONTADO","CRÉDITO")</f>
        <v>CRÉDITO</v>
      </c>
      <c r="B1063" s="41" t="str">
        <f>+IF((PROVEEDORES[[#This Row],[FECHA DE PAGO]]-PROVEEDORES[[#This Row],[FECHA DE FACTURACIÓN]])&gt;PROVEEDORES[[#This Row],[PLAZO Días]],"PAGO VENCIDO")</f>
        <v>PAGO VENCIDO</v>
      </c>
      <c r="C1063" s="22">
        <f>+VLOOKUP(PROVEEDORES[[#This Row],[PROVEEDOR]],TERCEROS_INFO[#All],2,FALSE)</f>
        <v>30</v>
      </c>
      <c r="D1063" s="27">
        <f>+SUMIFS(PROVEEDORES[Total],PROVEEDORES[PROVEEDOR],PROVEEDORES[[#This Row],[PROVEEDOR]],PROVEEDORES[FECHA DE PAGO],"")</f>
        <v>4965738.5050000008</v>
      </c>
      <c r="E1063" s="27"/>
      <c r="F1063" s="62" t="str">
        <f>+VLOOKUP(PROVEEDORES[[#This Row],[PROVEEDOR]],
                       Terceros!$A:$G,
                       6,
                       FALSE)</f>
        <v>aleja-1305agudelo@hotmail.com;provecol@une.net.co;girlesa.ruiz@servipilas.com;joriescobar64@gmail.com</v>
      </c>
      <c r="G1063" s="95">
        <v>44600</v>
      </c>
      <c r="H1063" s="28" t="s">
        <v>457</v>
      </c>
      <c r="I1063" s="95">
        <v>44533</v>
      </c>
      <c r="J1063" s="38" t="s">
        <v>1151</v>
      </c>
      <c r="K1063" s="23">
        <v>-4503132.55</v>
      </c>
      <c r="L1063" s="23"/>
      <c r="M1063" s="24">
        <v>0</v>
      </c>
      <c r="N1063" s="25"/>
      <c r="O1063" s="24">
        <v>0</v>
      </c>
      <c r="P1063" s="136">
        <f>+IF(PROVEEDORES[[#This Row],[SUBTOTAL]]&lt;PROVEEDORES[[#This Row],[base retencion]],0,PROVEEDORES[[#This Row],[retención aplicada]])</f>
        <v>0</v>
      </c>
      <c r="Q1063" s="24">
        <f>+PROVEEDORES[[#This Row],[Rete Fuente %]]*PROVEEDORES[[#This Row],[SUBTOTAL]]</f>
        <v>0</v>
      </c>
      <c r="R1063" s="23">
        <v>-4503132.55</v>
      </c>
      <c r="S106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3" s="99">
        <f ca="1">IF(PROVEEDORES[[#This Row],[FECHA DE PAGO]]=0,TODAY()-PROVEEDORES[[#This Row],[FECHA DE FACTURACIÓN]]-PROVEEDORES[[#This Row],[PLAZO Días]],0)</f>
        <v>0</v>
      </c>
      <c r="U1063" s="149">
        <f>+VLOOKUP(PROVEEDORES[[#This Row],[PROVEEDOR]],Terceros!$A:$E,5,FALSE)</f>
        <v>0</v>
      </c>
      <c r="V1063" s="150">
        <f>+YEAR(PROVEEDORES[[#This Row],[FECHA DE FACTURACIÓN]])</f>
        <v>2021</v>
      </c>
      <c r="W1063" s="150">
        <f>+MATCH(PROVEEDORES[[#This Row],[año facturado]],Retenciones!$1:$1,0)</f>
        <v>4</v>
      </c>
      <c r="X1063" s="151">
        <f>+VLOOKUP(PROVEEDORES[[#This Row],[ID RETENCION]],Retenciones!$A$1:$O$24,PROVEEDORES[[#This Row],[indicador de columna]],FALSE)</f>
        <v>0</v>
      </c>
      <c r="Y1063" s="152">
        <f>+VLOOKUP(PROVEEDORES[[#This Row],[ID RETENCION]],Retenciones!$A$1:$O$24,2,FALSE)</f>
        <v>0</v>
      </c>
      <c r="Z1063" s="26"/>
      <c r="AA1063" s="26"/>
      <c r="AB1063" s="26"/>
      <c r="AC1063" s="26"/>
      <c r="AD1063" s="26"/>
      <c r="AE1063" s="26"/>
    </row>
    <row r="1064" spans="1:31" ht="21.95" customHeight="1" x14ac:dyDescent="0.25">
      <c r="A1064" s="97" t="str">
        <f>+IF(PROVEEDORES[[#This Row],[FECHA DE PAGO]]=PROVEEDORES[[#This Row],[FECHA DE FACTURACIÓN]],"DE CONTADO","CRÉDITO")</f>
        <v>CRÉDITO</v>
      </c>
      <c r="B1064" s="41" t="b">
        <f>+IF((PROVEEDORES[[#This Row],[FECHA DE PAGO]]-PROVEEDORES[[#This Row],[FECHA DE FACTURACIÓN]])&gt;PROVEEDORES[[#This Row],[PLAZO Días]],"PAGO VENCIDO")</f>
        <v>0</v>
      </c>
      <c r="C1064" s="22">
        <f>+VLOOKUP(PROVEEDORES[[#This Row],[PROVEEDOR]],TERCEROS_INFO[#All],2,FALSE)</f>
        <v>60</v>
      </c>
      <c r="D1064" s="27">
        <f>+SUMIFS(PROVEEDORES[Total],PROVEEDORES[PROVEEDOR],PROVEEDORES[[#This Row],[PROVEEDOR]],PROVEEDORES[FECHA DE PAGO],"")</f>
        <v>758800</v>
      </c>
      <c r="E1064" s="27"/>
      <c r="F1064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G1064" s="95">
        <v>44586</v>
      </c>
      <c r="H1064" s="28" t="s">
        <v>604</v>
      </c>
      <c r="I1064" s="95">
        <v>44533</v>
      </c>
      <c r="J1064" s="38" t="s">
        <v>888</v>
      </c>
      <c r="K1064" s="23">
        <v>201600</v>
      </c>
      <c r="L1064" s="23"/>
      <c r="M1064" s="24">
        <v>0</v>
      </c>
      <c r="N1064" s="25"/>
      <c r="O1064" s="24">
        <v>0</v>
      </c>
      <c r="P1064" s="136">
        <f>+IF(PROVEEDORES[[#This Row],[SUBTOTAL]]&lt;PROVEEDORES[[#This Row],[base retencion]],0,PROVEEDORES[[#This Row],[retención aplicada]])</f>
        <v>0</v>
      </c>
      <c r="Q1064" s="24">
        <f>+PROVEEDORES[[#This Row],[Rete Fuente %]]*PROVEEDORES[[#This Row],[SUBTOTAL]]</f>
        <v>0</v>
      </c>
      <c r="R1064" s="23">
        <v>201600</v>
      </c>
      <c r="S106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4" s="99">
        <f ca="1">IF(PROVEEDORES[[#This Row],[FECHA DE PAGO]]=0,TODAY()-PROVEEDORES[[#This Row],[FECHA DE FACTURACIÓN]]-PROVEEDORES[[#This Row],[PLAZO Días]],0)</f>
        <v>0</v>
      </c>
      <c r="U1064" s="149">
        <f>+VLOOKUP(PROVEEDORES[[#This Row],[PROVEEDOR]],Terceros!$A:$E,5,FALSE)</f>
        <v>0</v>
      </c>
      <c r="V1064" s="150">
        <f>+YEAR(PROVEEDORES[[#This Row],[FECHA DE FACTURACIÓN]])</f>
        <v>2021</v>
      </c>
      <c r="W1064" s="150">
        <f>+MATCH(PROVEEDORES[[#This Row],[año facturado]],Retenciones!$1:$1,0)</f>
        <v>4</v>
      </c>
      <c r="X1064" s="151">
        <f>+VLOOKUP(PROVEEDORES[[#This Row],[ID RETENCION]],Retenciones!$A$1:$O$24,PROVEEDORES[[#This Row],[indicador de columna]],FALSE)</f>
        <v>0</v>
      </c>
      <c r="Y1064" s="152">
        <f>+VLOOKUP(PROVEEDORES[[#This Row],[ID RETENCION]],Retenciones!$A$1:$O$24,2,FALSE)</f>
        <v>0</v>
      </c>
      <c r="Z1064" s="26"/>
      <c r="AA1064" s="26"/>
      <c r="AB1064" s="26"/>
      <c r="AC1064" s="26"/>
      <c r="AD1064" s="26"/>
      <c r="AE1064" s="26"/>
    </row>
    <row r="1065" spans="1:31" ht="21.95" customHeight="1" x14ac:dyDescent="0.25">
      <c r="A1065" s="97" t="str">
        <f>+IF(PROVEEDORES[[#This Row],[FECHA DE PAGO]]=PROVEEDORES[[#This Row],[FECHA DE FACTURACIÓN]],"DE CONTADO","CRÉDITO")</f>
        <v>CRÉDITO</v>
      </c>
      <c r="B1065" s="41" t="b">
        <f>+IF((PROVEEDORES[[#This Row],[FECHA DE PAGO]]-PROVEEDORES[[#This Row],[FECHA DE FACTURACIÓN]])&gt;PROVEEDORES[[#This Row],[PLAZO Días]],"PAGO VENCIDO")</f>
        <v>0</v>
      </c>
      <c r="C1065" s="22">
        <f>+VLOOKUP(PROVEEDORES[[#This Row],[PROVEEDOR]],TERCEROS_INFO[#All],2,FALSE)</f>
        <v>30</v>
      </c>
      <c r="D1065" s="27">
        <f>+SUMIFS(PROVEEDORES[Total],PROVEEDORES[PROVEEDOR],PROVEEDORES[[#This Row],[PROVEEDOR]],PROVEEDORES[FECHA DE PAGO],"")</f>
        <v>192000.0264</v>
      </c>
      <c r="E1065" s="27"/>
      <c r="F1065" s="62" t="str">
        <f>+VLOOKUP(PROVEEDORES[[#This Row],[PROVEEDOR]],
                       Terceros!$A:$G,
                       6,
                       FALSE)</f>
        <v>Tuspilas.co@gmail.com;girlesa.ruiz@servipilas.com;joriescobar64@gmail.com</v>
      </c>
      <c r="G1065" s="95">
        <v>44550</v>
      </c>
      <c r="H1065" s="28" t="s">
        <v>43</v>
      </c>
      <c r="I1065" s="95">
        <v>44533</v>
      </c>
      <c r="J1065" s="38" t="s">
        <v>645</v>
      </c>
      <c r="K1065" s="23">
        <v>297278.40000000002</v>
      </c>
      <c r="L1065" s="23"/>
      <c r="M1065" s="24">
        <v>56482.896000000008</v>
      </c>
      <c r="N1065" s="25"/>
      <c r="O1065" s="24">
        <v>0</v>
      </c>
      <c r="P1065" s="136">
        <f>+IF(PROVEEDORES[[#This Row],[SUBTOTAL]]&lt;PROVEEDORES[[#This Row],[base retencion]],0,PROVEEDORES[[#This Row],[retención aplicada]])</f>
        <v>0</v>
      </c>
      <c r="Q1065" s="24">
        <f>+PROVEEDORES[[#This Row],[Rete Fuente %]]*PROVEEDORES[[#This Row],[SUBTOTAL]]</f>
        <v>0</v>
      </c>
      <c r="R1065" s="23">
        <v>353761.29600000003</v>
      </c>
      <c r="S106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5" s="99">
        <f ca="1">IF(PROVEEDORES[[#This Row],[FECHA DE PAGO]]=0,TODAY()-PROVEEDORES[[#This Row],[FECHA DE FACTURACIÓN]]-PROVEEDORES[[#This Row],[PLAZO Días]],0)</f>
        <v>0</v>
      </c>
      <c r="U1065" s="149" t="str">
        <f>+VLOOKUP(PROVEEDORES[[#This Row],[PROVEEDOR]],Terceros!$A:$E,5,FALSE)</f>
        <v>2,5% con base</v>
      </c>
      <c r="V1065" s="150">
        <f>+YEAR(PROVEEDORES[[#This Row],[FECHA DE FACTURACIÓN]])</f>
        <v>2021</v>
      </c>
      <c r="W1065" s="150">
        <f>+MATCH(PROVEEDORES[[#This Row],[año facturado]],Retenciones!$1:$1,0)</f>
        <v>4</v>
      </c>
      <c r="X1065" s="151">
        <f>+VLOOKUP(PROVEEDORES[[#This Row],[ID RETENCION]],Retenciones!$A$1:$O$24,PROVEEDORES[[#This Row],[indicador de columna]],FALSE)</f>
        <v>980000</v>
      </c>
      <c r="Y1065" s="152">
        <f>+VLOOKUP(PROVEEDORES[[#This Row],[ID RETENCION]],Retenciones!$A$1:$O$24,2,FALSE)</f>
        <v>2.5000000000000001E-2</v>
      </c>
      <c r="Z1065" s="26"/>
      <c r="AA1065" s="26"/>
      <c r="AB1065" s="26"/>
      <c r="AC1065" s="26"/>
      <c r="AD1065" s="26"/>
      <c r="AE1065" s="26"/>
    </row>
    <row r="1066" spans="1:31" ht="21.95" customHeight="1" x14ac:dyDescent="0.25">
      <c r="A1066" s="97" t="str">
        <f>+IF(PROVEEDORES[[#This Row],[FECHA DE PAGO]]=PROVEEDORES[[#This Row],[FECHA DE FACTURACIÓN]],"DE CONTADO","CRÉDITO")</f>
        <v>DE CONTADO</v>
      </c>
      <c r="B1066" s="41" t="b">
        <f>+IF((PROVEEDORES[[#This Row],[FECHA DE PAGO]]-PROVEEDORES[[#This Row],[FECHA DE FACTURACIÓN]])&gt;PROVEEDORES[[#This Row],[PLAZO Días]],"PAGO VENCIDO")</f>
        <v>0</v>
      </c>
      <c r="C1066" s="22">
        <f>+VLOOKUP(PROVEEDORES[[#This Row],[PROVEEDOR]],TERCEROS_INFO[#All],2,FALSE)</f>
        <v>30</v>
      </c>
      <c r="D1066" s="27">
        <f>+SUMIFS(PROVEEDORES[Total],PROVEEDORES[PROVEEDOR],PROVEEDORES[[#This Row],[PROVEEDOR]],PROVEEDORES[FECHA DE PAGO],"")</f>
        <v>0</v>
      </c>
      <c r="E1066" s="27"/>
      <c r="F1066" s="62" t="str">
        <f>+VLOOKUP(PROVEEDORES[[#This Row],[PROVEEDOR]],
                       Terceros!$A:$G,
                       6,
                       FALSE)</f>
        <v/>
      </c>
      <c r="G1066" s="95">
        <v>44533</v>
      </c>
      <c r="H1066" s="28" t="s">
        <v>1031</v>
      </c>
      <c r="I1066" s="95">
        <v>44533</v>
      </c>
      <c r="J1066" s="38" t="s">
        <v>887</v>
      </c>
      <c r="K1066" s="23">
        <v>424000</v>
      </c>
      <c r="L1066" s="23"/>
      <c r="M1066" s="24">
        <v>0</v>
      </c>
      <c r="N1066" s="25"/>
      <c r="O1066" s="24">
        <v>0</v>
      </c>
      <c r="P1066" s="136">
        <f>+IF(PROVEEDORES[[#This Row],[SUBTOTAL]]&lt;PROVEEDORES[[#This Row],[base retencion]],0,PROVEEDORES[[#This Row],[retención aplicada]])</f>
        <v>0</v>
      </c>
      <c r="Q1066" s="24">
        <f>+PROVEEDORES[[#This Row],[Rete Fuente %]]*PROVEEDORES[[#This Row],[SUBTOTAL]]</f>
        <v>0</v>
      </c>
      <c r="R1066" s="23">
        <v>424000</v>
      </c>
      <c r="S106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6" s="99">
        <f ca="1">IF(PROVEEDORES[[#This Row],[FECHA DE PAGO]]=0,TODAY()-PROVEEDORES[[#This Row],[FECHA DE FACTURACIÓN]]-PROVEEDORES[[#This Row],[PLAZO Días]],0)</f>
        <v>0</v>
      </c>
      <c r="U1066" s="149">
        <f>+VLOOKUP(PROVEEDORES[[#This Row],[PROVEEDOR]],Terceros!$A:$E,5,FALSE)</f>
        <v>0</v>
      </c>
      <c r="V1066" s="150">
        <f>+YEAR(PROVEEDORES[[#This Row],[FECHA DE FACTURACIÓN]])</f>
        <v>2021</v>
      </c>
      <c r="W1066" s="150">
        <f>+MATCH(PROVEEDORES[[#This Row],[año facturado]],Retenciones!$1:$1,0)</f>
        <v>4</v>
      </c>
      <c r="X1066" s="151">
        <f>+VLOOKUP(PROVEEDORES[[#This Row],[ID RETENCION]],Retenciones!$A$1:$O$24,PROVEEDORES[[#This Row],[indicador de columna]],FALSE)</f>
        <v>0</v>
      </c>
      <c r="Y1066" s="152">
        <f>+VLOOKUP(PROVEEDORES[[#This Row],[ID RETENCION]],Retenciones!$A$1:$O$24,2,FALSE)</f>
        <v>0</v>
      </c>
      <c r="Z1066" s="26"/>
      <c r="AA1066" s="26"/>
      <c r="AB1066" s="26"/>
      <c r="AC1066" s="26"/>
      <c r="AD1066" s="26"/>
      <c r="AE1066" s="26"/>
    </row>
    <row r="1067" spans="1:31" ht="21.95" customHeight="1" x14ac:dyDescent="0.25">
      <c r="A1067" s="97" t="str">
        <f>+IF(PROVEEDORES[[#This Row],[FECHA DE PAGO]]=PROVEEDORES[[#This Row],[FECHA DE FACTURACIÓN]],"DE CONTADO","CRÉDITO")</f>
        <v>CRÉDITO</v>
      </c>
      <c r="B1067" s="41" t="b">
        <f>+IF((PROVEEDORES[[#This Row],[FECHA DE PAGO]]-PROVEEDORES[[#This Row],[FECHA DE FACTURACIÓN]])&gt;PROVEEDORES[[#This Row],[PLAZO Días]],"PAGO VENCIDO")</f>
        <v>0</v>
      </c>
      <c r="C1067" s="22">
        <f>+VLOOKUP(PROVEEDORES[[#This Row],[PROVEEDOR]],TERCEROS_INFO[#All],2,FALSE)</f>
        <v>60</v>
      </c>
      <c r="D1067" s="27">
        <f>+SUMIFS(PROVEEDORES[Total],PROVEEDORES[PROVEEDOR],PROVEEDORES[[#This Row],[PROVEEDOR]],PROVEEDORES[FECHA DE PAGO],"")</f>
        <v>758800</v>
      </c>
      <c r="E1067" s="27"/>
      <c r="F1067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G1067" s="95">
        <v>44586</v>
      </c>
      <c r="H1067" s="28" t="s">
        <v>604</v>
      </c>
      <c r="I1067" s="95">
        <v>44533</v>
      </c>
      <c r="J1067" s="38" t="s">
        <v>889</v>
      </c>
      <c r="K1067" s="23">
        <v>487200</v>
      </c>
      <c r="L1067" s="23"/>
      <c r="M1067" s="24">
        <v>0</v>
      </c>
      <c r="N1067" s="25"/>
      <c r="O1067" s="24">
        <v>0</v>
      </c>
      <c r="P1067" s="136">
        <f>+IF(PROVEEDORES[[#This Row],[SUBTOTAL]]&lt;PROVEEDORES[[#This Row],[base retencion]],0,PROVEEDORES[[#This Row],[retención aplicada]])</f>
        <v>0</v>
      </c>
      <c r="Q1067" s="24">
        <f>+PROVEEDORES[[#This Row],[Rete Fuente %]]*PROVEEDORES[[#This Row],[SUBTOTAL]]</f>
        <v>0</v>
      </c>
      <c r="R1067" s="23">
        <v>487200</v>
      </c>
      <c r="S106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7" s="99">
        <f ca="1">IF(PROVEEDORES[[#This Row],[FECHA DE PAGO]]=0,TODAY()-PROVEEDORES[[#This Row],[FECHA DE FACTURACIÓN]]-PROVEEDORES[[#This Row],[PLAZO Días]],0)</f>
        <v>0</v>
      </c>
      <c r="U1067" s="149">
        <f>+VLOOKUP(PROVEEDORES[[#This Row],[PROVEEDOR]],Terceros!$A:$E,5,FALSE)</f>
        <v>0</v>
      </c>
      <c r="V1067" s="150">
        <f>+YEAR(PROVEEDORES[[#This Row],[FECHA DE FACTURACIÓN]])</f>
        <v>2021</v>
      </c>
      <c r="W1067" s="150">
        <f>+MATCH(PROVEEDORES[[#This Row],[año facturado]],Retenciones!$1:$1,0)</f>
        <v>4</v>
      </c>
      <c r="X1067" s="151">
        <f>+VLOOKUP(PROVEEDORES[[#This Row],[ID RETENCION]],Retenciones!$A$1:$O$24,PROVEEDORES[[#This Row],[indicador de columna]],FALSE)</f>
        <v>0</v>
      </c>
      <c r="Y1067" s="152">
        <f>+VLOOKUP(PROVEEDORES[[#This Row],[ID RETENCION]],Retenciones!$A$1:$O$24,2,FALSE)</f>
        <v>0</v>
      </c>
      <c r="Z1067" s="26"/>
      <c r="AA1067" s="26"/>
      <c r="AB1067" s="26"/>
      <c r="AC1067" s="26"/>
      <c r="AD1067" s="26"/>
      <c r="AE1067" s="26"/>
    </row>
    <row r="1068" spans="1:31" ht="21.95" customHeight="1" x14ac:dyDescent="0.25">
      <c r="A1068" s="97" t="str">
        <f>+IF(PROVEEDORES[[#This Row],[FECHA DE PAGO]]=PROVEEDORES[[#This Row],[FECHA DE FACTURACIÓN]],"DE CONTADO","CRÉDITO")</f>
        <v>DE CONTADO</v>
      </c>
      <c r="B1068" s="41" t="b">
        <f>+IF((PROVEEDORES[[#This Row],[FECHA DE PAGO]]-PROVEEDORES[[#This Row],[FECHA DE FACTURACIÓN]])&gt;PROVEEDORES[[#This Row],[PLAZO Días]],"PAGO VENCIDO")</f>
        <v>0</v>
      </c>
      <c r="C1068" s="22">
        <f>+VLOOKUP(PROVEEDORES[[#This Row],[PROVEEDOR]],TERCEROS_INFO[#All],2,FALSE)</f>
        <v>30</v>
      </c>
      <c r="D1068" s="27">
        <f>+SUMIFS(PROVEEDORES[Total],PROVEEDORES[PROVEEDOR],PROVEEDORES[[#This Row],[PROVEEDOR]],PROVEEDORES[FECHA DE PAGO],"")</f>
        <v>0</v>
      </c>
      <c r="E1068" s="27"/>
      <c r="F1068" s="62" t="str">
        <f>+VLOOKUP(PROVEEDORES[[#This Row],[PROVEEDOR]],
                       Terceros!$A:$G,
                       6,
                       FALSE)</f>
        <v/>
      </c>
      <c r="G1068" s="95">
        <v>44533</v>
      </c>
      <c r="H1068" s="28" t="s">
        <v>1046</v>
      </c>
      <c r="I1068" s="95">
        <v>44533</v>
      </c>
      <c r="J1068" s="38"/>
      <c r="K1068" s="23">
        <v>1000000</v>
      </c>
      <c r="L1068" s="23"/>
      <c r="M1068" s="24">
        <v>0</v>
      </c>
      <c r="N1068" s="25"/>
      <c r="O1068" s="24">
        <v>0</v>
      </c>
      <c r="P1068" s="136">
        <f>+IF(PROVEEDORES[[#This Row],[SUBTOTAL]]&lt;PROVEEDORES[[#This Row],[base retencion]],0,PROVEEDORES[[#This Row],[retención aplicada]])</f>
        <v>0</v>
      </c>
      <c r="Q1068" s="24">
        <f>+PROVEEDORES[[#This Row],[Rete Fuente %]]*PROVEEDORES[[#This Row],[SUBTOTAL]]</f>
        <v>0</v>
      </c>
      <c r="R1068" s="23">
        <v>1000000</v>
      </c>
      <c r="S106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8" s="99">
        <f ca="1">IF(PROVEEDORES[[#This Row],[FECHA DE PAGO]]=0,TODAY()-PROVEEDORES[[#This Row],[FECHA DE FACTURACIÓN]]-PROVEEDORES[[#This Row],[PLAZO Días]],0)</f>
        <v>0</v>
      </c>
      <c r="U1068" s="149">
        <f>+VLOOKUP(PROVEEDORES[[#This Row],[PROVEEDOR]],Terceros!$A:$E,5,FALSE)</f>
        <v>0</v>
      </c>
      <c r="V1068" s="150">
        <f>+YEAR(PROVEEDORES[[#This Row],[FECHA DE FACTURACIÓN]])</f>
        <v>2021</v>
      </c>
      <c r="W1068" s="150">
        <f>+MATCH(PROVEEDORES[[#This Row],[año facturado]],Retenciones!$1:$1,0)</f>
        <v>4</v>
      </c>
      <c r="X1068" s="151">
        <f>+VLOOKUP(PROVEEDORES[[#This Row],[ID RETENCION]],Retenciones!$A$1:$O$24,PROVEEDORES[[#This Row],[indicador de columna]],FALSE)</f>
        <v>0</v>
      </c>
      <c r="Y1068" s="152">
        <f>+VLOOKUP(PROVEEDORES[[#This Row],[ID RETENCION]],Retenciones!$A$1:$O$24,2,FALSE)</f>
        <v>0</v>
      </c>
      <c r="Z1068" s="26"/>
      <c r="AA1068" s="26"/>
      <c r="AB1068" s="26"/>
      <c r="AC1068" s="26"/>
      <c r="AD1068" s="26"/>
      <c r="AE1068" s="26"/>
    </row>
    <row r="1069" spans="1:31" ht="21.95" customHeight="1" x14ac:dyDescent="0.25">
      <c r="A1069" s="97" t="str">
        <f>+IF(PROVEEDORES[[#This Row],[FECHA DE PAGO]]=PROVEEDORES[[#This Row],[FECHA DE FACTURACIÓN]],"DE CONTADO","CRÉDITO")</f>
        <v>CRÉDITO</v>
      </c>
      <c r="B1069" s="41" t="b">
        <f>+IF((PROVEEDORES[[#This Row],[FECHA DE PAGO]]-PROVEEDORES[[#This Row],[FECHA DE FACTURACIÓN]])&gt;PROVEEDORES[[#This Row],[PLAZO Días]],"PAGO VENCIDO")</f>
        <v>0</v>
      </c>
      <c r="C1069" s="22">
        <f>+VLOOKUP(PROVEEDORES[[#This Row],[PROVEEDOR]],TERCEROS_INFO[#All],2,FALSE)</f>
        <v>30</v>
      </c>
      <c r="D1069" s="27">
        <f>+SUMIFS(PROVEEDORES[Total],PROVEEDORES[PROVEEDOR],PROVEEDORES[[#This Row],[PROVEEDOR]],PROVEEDORES[FECHA DE PAGO],"")</f>
        <v>6151200</v>
      </c>
      <c r="E1069" s="27"/>
      <c r="F1069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1069" s="95">
        <v>44558</v>
      </c>
      <c r="H1069" s="28" t="s">
        <v>11</v>
      </c>
      <c r="I1069" s="95">
        <v>44533</v>
      </c>
      <c r="J1069" s="38" t="s">
        <v>644</v>
      </c>
      <c r="K1069" s="23">
        <v>4995000</v>
      </c>
      <c r="L1069" s="23"/>
      <c r="M1069" s="24">
        <v>949050</v>
      </c>
      <c r="N1069" s="25"/>
      <c r="O1069" s="24">
        <v>0</v>
      </c>
      <c r="P1069" s="136">
        <f>+IF(PROVEEDORES[[#This Row],[SUBTOTAL]]&lt;PROVEEDORES[[#This Row],[base retencion]],0,PROVEEDORES[[#This Row],[retención aplicada]])</f>
        <v>2.5000000000000001E-2</v>
      </c>
      <c r="Q1069" s="24">
        <f>+PROVEEDORES[[#This Row],[Rete Fuente %]]*PROVEEDORES[[#This Row],[SUBTOTAL]]</f>
        <v>124875</v>
      </c>
      <c r="R1069" s="23">
        <v>5819175</v>
      </c>
      <c r="S106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9" s="99">
        <f ca="1">IF(PROVEEDORES[[#This Row],[FECHA DE PAGO]]=0,TODAY()-PROVEEDORES[[#This Row],[FECHA DE FACTURACIÓN]]-PROVEEDORES[[#This Row],[PLAZO Días]],0)</f>
        <v>0</v>
      </c>
      <c r="U1069" s="149" t="str">
        <f>+VLOOKUP(PROVEEDORES[[#This Row],[PROVEEDOR]],Terceros!$A:$E,5,FALSE)</f>
        <v>2,5% con base</v>
      </c>
      <c r="V1069" s="150">
        <f>+YEAR(PROVEEDORES[[#This Row],[FECHA DE FACTURACIÓN]])</f>
        <v>2021</v>
      </c>
      <c r="W1069" s="150">
        <f>+MATCH(PROVEEDORES[[#This Row],[año facturado]],Retenciones!$1:$1,0)</f>
        <v>4</v>
      </c>
      <c r="X1069" s="151">
        <f>+VLOOKUP(PROVEEDORES[[#This Row],[ID RETENCION]],Retenciones!$A$1:$O$24,PROVEEDORES[[#This Row],[indicador de columna]],FALSE)</f>
        <v>980000</v>
      </c>
      <c r="Y1069" s="152">
        <f>+VLOOKUP(PROVEEDORES[[#This Row],[ID RETENCION]],Retenciones!$A$1:$O$24,2,FALSE)</f>
        <v>2.5000000000000001E-2</v>
      </c>
      <c r="Z1069" s="26"/>
      <c r="AA1069" s="26"/>
      <c r="AB1069" s="26"/>
      <c r="AC1069" s="26"/>
      <c r="AD1069" s="26"/>
      <c r="AE1069" s="26"/>
    </row>
    <row r="1070" spans="1:31" ht="21.95" customHeight="1" x14ac:dyDescent="0.25">
      <c r="A1070" s="97" t="str">
        <f>+IF(PROVEEDORES[[#This Row],[FECHA DE PAGO]]=PROVEEDORES[[#This Row],[FECHA DE FACTURACIÓN]],"DE CONTADO","CRÉDITO")</f>
        <v>CRÉDITO</v>
      </c>
      <c r="B1070" s="41" t="b">
        <f>+IF((PROVEEDORES[[#This Row],[FECHA DE PAGO]]-PROVEEDORES[[#This Row],[FECHA DE FACTURACIÓN]])&gt;PROVEEDORES[[#This Row],[PLAZO Días]],"PAGO VENCIDO")</f>
        <v>0</v>
      </c>
      <c r="C1070" s="22">
        <f>+VLOOKUP(PROVEEDORES[[#This Row],[PROVEEDOR]],TERCEROS_INFO[#All],2,FALSE)</f>
        <v>30</v>
      </c>
      <c r="D1070" s="27">
        <f>+SUMIFS(PROVEEDORES[Total],PROVEEDORES[PROVEEDOR],PROVEEDORES[[#This Row],[PROVEEDOR]],PROVEEDORES[FECHA DE PAGO],"")</f>
        <v>0</v>
      </c>
      <c r="E1070" s="27"/>
      <c r="F1070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1070" s="95">
        <v>44558</v>
      </c>
      <c r="H1070" s="28" t="s">
        <v>24</v>
      </c>
      <c r="I1070" s="95">
        <v>44533</v>
      </c>
      <c r="J1070" s="38" t="s">
        <v>647</v>
      </c>
      <c r="K1070" s="23">
        <v>7960000</v>
      </c>
      <c r="L1070" s="23"/>
      <c r="M1070" s="24">
        <v>1512400</v>
      </c>
      <c r="N1070" s="25"/>
      <c r="O1070" s="24">
        <v>0</v>
      </c>
      <c r="P1070" s="136">
        <f>+IF(PROVEEDORES[[#This Row],[SUBTOTAL]]&lt;PROVEEDORES[[#This Row],[base retencion]],0,PROVEEDORES[[#This Row],[retención aplicada]])</f>
        <v>2.5000000000000001E-2</v>
      </c>
      <c r="Q1070" s="24">
        <f>+PROVEEDORES[[#This Row],[Rete Fuente %]]*PROVEEDORES[[#This Row],[SUBTOTAL]]</f>
        <v>199000</v>
      </c>
      <c r="R1070" s="23">
        <v>0</v>
      </c>
      <c r="S107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0" s="99">
        <f ca="1">IF(PROVEEDORES[[#This Row],[FECHA DE PAGO]]=0,TODAY()-PROVEEDORES[[#This Row],[FECHA DE FACTURACIÓN]]-PROVEEDORES[[#This Row],[PLAZO Días]],0)</f>
        <v>0</v>
      </c>
      <c r="U1070" s="149" t="str">
        <f>+VLOOKUP(PROVEEDORES[[#This Row],[PROVEEDOR]],Terceros!$A:$E,5,FALSE)</f>
        <v>2,5% con base</v>
      </c>
      <c r="V1070" s="150">
        <f>+YEAR(PROVEEDORES[[#This Row],[FECHA DE FACTURACIÓN]])</f>
        <v>2021</v>
      </c>
      <c r="W1070" s="150">
        <f>+MATCH(PROVEEDORES[[#This Row],[año facturado]],Retenciones!$1:$1,0)</f>
        <v>4</v>
      </c>
      <c r="X1070" s="151">
        <f>+VLOOKUP(PROVEEDORES[[#This Row],[ID RETENCION]],Retenciones!$A$1:$O$24,PROVEEDORES[[#This Row],[indicador de columna]],FALSE)</f>
        <v>980000</v>
      </c>
      <c r="Y1070" s="152">
        <f>+VLOOKUP(PROVEEDORES[[#This Row],[ID RETENCION]],Retenciones!$A$1:$O$24,2,FALSE)</f>
        <v>2.5000000000000001E-2</v>
      </c>
      <c r="Z1070" s="26"/>
      <c r="AA1070" s="26"/>
      <c r="AB1070" s="26"/>
      <c r="AC1070" s="26"/>
      <c r="AD1070" s="26"/>
      <c r="AE1070" s="26"/>
    </row>
    <row r="1071" spans="1:31" ht="21.95" customHeight="1" x14ac:dyDescent="0.25">
      <c r="A1071" s="97" t="str">
        <f>+IF(PROVEEDORES[[#This Row],[FECHA DE PAGO]]=PROVEEDORES[[#This Row],[FECHA DE FACTURACIÓN]],"DE CONTADO","CRÉDITO")</f>
        <v>CRÉDITO</v>
      </c>
      <c r="B1071" s="41" t="b">
        <f>+IF((PROVEEDORES[[#This Row],[FECHA DE PAGO]]-PROVEEDORES[[#This Row],[FECHA DE FACTURACIÓN]])&gt;PROVEEDORES[[#This Row],[PLAZO Días]],"PAGO VENCIDO")</f>
        <v>0</v>
      </c>
      <c r="C1071" s="22">
        <f>+VLOOKUP(PROVEEDORES[[#This Row],[PROVEEDOR]],TERCEROS_INFO[#All],2,FALSE)</f>
        <v>30</v>
      </c>
      <c r="D1071" s="27">
        <f>+SUMIFS(PROVEEDORES[Total],PROVEEDORES[PROVEEDOR],PROVEEDORES[[#This Row],[PROVEEDOR]],PROVEEDORES[FECHA DE PAGO],"")</f>
        <v>0</v>
      </c>
      <c r="E1071" s="27"/>
      <c r="F1071" s="62" t="str">
        <f>+VLOOKUP(PROVEEDORES[[#This Row],[PROVEEDOR]],
                       Terceros!$A:$G,
                       6,
                       FALSE)</f>
        <v>girlesa.ruiz@servipilas.com;joriescobar64@gmail.com</v>
      </c>
      <c r="G1071" s="95">
        <v>44554</v>
      </c>
      <c r="H1071" s="28" t="s">
        <v>336</v>
      </c>
      <c r="I1071" s="95">
        <v>44531</v>
      </c>
      <c r="J1071" s="38" t="s">
        <v>933</v>
      </c>
      <c r="K1071" s="23">
        <v>3937653</v>
      </c>
      <c r="L1071" s="23"/>
      <c r="M1071" s="24">
        <v>0</v>
      </c>
      <c r="N1071" s="25"/>
      <c r="O1071" s="24">
        <v>0</v>
      </c>
      <c r="P1071" s="136">
        <f>+IF(PROVEEDORES[[#This Row],[SUBTOTAL]]&lt;PROVEEDORES[[#This Row],[base retencion]],0,PROVEEDORES[[#This Row],[retención aplicada]])</f>
        <v>3.5000000000000003E-2</v>
      </c>
      <c r="Q1071" s="24">
        <f>+PROVEEDORES[[#This Row],[Rete Fuente %]]*PROVEEDORES[[#This Row],[SUBTOTAL]]</f>
        <v>137817.85500000001</v>
      </c>
      <c r="R1071" s="23">
        <v>3799835.145</v>
      </c>
      <c r="S107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1" s="99">
        <f ca="1">IF(PROVEEDORES[[#This Row],[FECHA DE PAGO]]=0,TODAY()-PROVEEDORES[[#This Row],[FECHA DE FACTURACIÓN]]-PROVEEDORES[[#This Row],[PLAZO Días]],0)</f>
        <v>0</v>
      </c>
      <c r="U1071" s="149" t="str">
        <f>+VLOOKUP(PROVEEDORES[[#This Row],[PROVEEDOR]],Terceros!$A:$E,5,FALSE)</f>
        <v>3,5% sin base</v>
      </c>
      <c r="V1071" s="150">
        <f>+YEAR(PROVEEDORES[[#This Row],[FECHA DE FACTURACIÓN]])</f>
        <v>2021</v>
      </c>
      <c r="W1071" s="150">
        <f>+MATCH(PROVEEDORES[[#This Row],[año facturado]],Retenciones!$1:$1,0)</f>
        <v>4</v>
      </c>
      <c r="X1071" s="151">
        <f>+VLOOKUP(PROVEEDORES[[#This Row],[ID RETENCION]],Retenciones!$A$1:$O$24,PROVEEDORES[[#This Row],[indicador de columna]],FALSE)</f>
        <v>0</v>
      </c>
      <c r="Y1071" s="152">
        <f>+VLOOKUP(PROVEEDORES[[#This Row],[ID RETENCION]],Retenciones!$A$1:$O$24,2,FALSE)</f>
        <v>3.5000000000000003E-2</v>
      </c>
      <c r="Z1071" s="26"/>
      <c r="AA1071" s="26"/>
      <c r="AB1071" s="26"/>
      <c r="AC1071" s="26"/>
      <c r="AD1071" s="26"/>
      <c r="AE1071" s="26"/>
    </row>
    <row r="1072" spans="1:31" ht="21.95" customHeight="1" x14ac:dyDescent="0.25">
      <c r="A1072" s="97" t="str">
        <f>+IF(PROVEEDORES[[#This Row],[FECHA DE PAGO]]=PROVEEDORES[[#This Row],[FECHA DE FACTURACIÓN]],"DE CONTADO","CRÉDITO")</f>
        <v>CRÉDITO</v>
      </c>
      <c r="B1072" s="41" t="b">
        <f>+IF((PROVEEDORES[[#This Row],[FECHA DE PAGO]]-PROVEEDORES[[#This Row],[FECHA DE FACTURACIÓN]])&gt;PROVEEDORES[[#This Row],[PLAZO Días]],"PAGO VENCIDO")</f>
        <v>0</v>
      </c>
      <c r="C1072" s="22">
        <f>+VLOOKUP(PROVEEDORES[[#This Row],[PROVEEDOR]],TERCEROS_INFO[#All],2,FALSE)</f>
        <v>30</v>
      </c>
      <c r="D1072" s="27">
        <f>+SUMIFS(PROVEEDORES[Total],PROVEEDORES[PROVEEDOR],PROVEEDORES[[#This Row],[PROVEEDOR]],PROVEEDORES[FECHA DE PAGO],"")</f>
        <v>395010</v>
      </c>
      <c r="E1072" s="27"/>
      <c r="F1072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1072" s="95">
        <v>44543</v>
      </c>
      <c r="H1072" s="28" t="s">
        <v>141</v>
      </c>
      <c r="I1072" s="95">
        <v>44536</v>
      </c>
      <c r="J1072" s="38">
        <v>176</v>
      </c>
      <c r="K1072" s="23">
        <v>767000</v>
      </c>
      <c r="L1072" s="23"/>
      <c r="M1072" s="24">
        <v>0</v>
      </c>
      <c r="N1072" s="25"/>
      <c r="O1072" s="24">
        <v>0</v>
      </c>
      <c r="P1072" s="136">
        <f>+IF(PROVEEDORES[[#This Row],[SUBTOTAL]]&lt;PROVEEDORES[[#This Row],[base retencion]],0,PROVEEDORES[[#This Row],[retención aplicada]])</f>
        <v>0.01</v>
      </c>
      <c r="Q1072" s="24">
        <f>+PROVEEDORES[[#This Row],[Rete Fuente %]]*PROVEEDORES[[#This Row],[SUBTOTAL]]</f>
        <v>7670</v>
      </c>
      <c r="R1072" s="23">
        <v>759330</v>
      </c>
      <c r="S107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2" s="99">
        <f ca="1">IF(PROVEEDORES[[#This Row],[FECHA DE PAGO]]=0,TODAY()-PROVEEDORES[[#This Row],[FECHA DE FACTURACIÓN]]-PROVEEDORES[[#This Row],[PLAZO Días]],0)</f>
        <v>0</v>
      </c>
      <c r="U1072" s="149" t="str">
        <f>+VLOOKUP(PROVEEDORES[[#This Row],[PROVEEDOR]],Terceros!$A:$E,5,FALSE)</f>
        <v>1% con base</v>
      </c>
      <c r="V1072" s="150">
        <f>+YEAR(PROVEEDORES[[#This Row],[FECHA DE FACTURACIÓN]])</f>
        <v>2021</v>
      </c>
      <c r="W1072" s="150">
        <f>+MATCH(PROVEEDORES[[#This Row],[año facturado]],Retenciones!$1:$1,0)</f>
        <v>4</v>
      </c>
      <c r="X1072" s="151">
        <f>+VLOOKUP(PROVEEDORES[[#This Row],[ID RETENCION]],Retenciones!$A$1:$O$24,PROVEEDORES[[#This Row],[indicador de columna]],FALSE)</f>
        <v>145000</v>
      </c>
      <c r="Y1072" s="152">
        <f>+VLOOKUP(PROVEEDORES[[#This Row],[ID RETENCION]],Retenciones!$A$1:$O$24,2,FALSE)</f>
        <v>0.01</v>
      </c>
      <c r="Z1072" s="26"/>
      <c r="AA1072" s="26"/>
      <c r="AB1072" s="26"/>
      <c r="AC1072" s="26"/>
      <c r="AD1072" s="26"/>
      <c r="AE1072" s="26"/>
    </row>
    <row r="1073" spans="1:31" ht="21.95" customHeight="1" x14ac:dyDescent="0.25">
      <c r="A1073" s="97" t="str">
        <f>+IF(PROVEEDORES[[#This Row],[FECHA DE PAGO]]=PROVEEDORES[[#This Row],[FECHA DE FACTURACIÓN]],"DE CONTADO","CRÉDITO")</f>
        <v>CRÉDITO</v>
      </c>
      <c r="B1073" s="41" t="b">
        <f>+IF((PROVEEDORES[[#This Row],[FECHA DE PAGO]]-PROVEEDORES[[#This Row],[FECHA DE FACTURACIÓN]])&gt;PROVEEDORES[[#This Row],[PLAZO Días]],"PAGO VENCIDO")</f>
        <v>0</v>
      </c>
      <c r="C1073" s="22">
        <f>+VLOOKUP(PROVEEDORES[[#This Row],[PROVEEDOR]],TERCEROS_INFO[#All],2,FALSE)</f>
        <v>30</v>
      </c>
      <c r="D1073" s="27">
        <f>+SUMIFS(PROVEEDORES[Total],PROVEEDORES[PROVEEDOR],PROVEEDORES[[#This Row],[PROVEEDOR]],PROVEEDORES[FECHA DE PAGO],"")</f>
        <v>264406</v>
      </c>
      <c r="E1073" s="27"/>
      <c r="F1073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1073" s="95">
        <v>44537</v>
      </c>
      <c r="H1073" s="28" t="s">
        <v>390</v>
      </c>
      <c r="I1073" s="95">
        <v>44536</v>
      </c>
      <c r="J1073" s="38" t="s">
        <v>890</v>
      </c>
      <c r="K1073" s="23">
        <v>1781000</v>
      </c>
      <c r="L1073" s="23"/>
      <c r="M1073" s="24">
        <v>0</v>
      </c>
      <c r="N1073" s="25"/>
      <c r="O1073" s="24">
        <v>0</v>
      </c>
      <c r="P1073" s="136">
        <f>+IF(PROVEEDORES[[#This Row],[SUBTOTAL]]&lt;PROVEEDORES[[#This Row],[base retencion]],0,PROVEEDORES[[#This Row],[retención aplicada]])</f>
        <v>0</v>
      </c>
      <c r="Q1073" s="24">
        <f>+PROVEEDORES[[#This Row],[Rete Fuente %]]*PROVEEDORES[[#This Row],[SUBTOTAL]]</f>
        <v>0</v>
      </c>
      <c r="R1073" s="23">
        <v>1781000</v>
      </c>
      <c r="S107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3" s="99">
        <f ca="1">IF(PROVEEDORES[[#This Row],[FECHA DE PAGO]]=0,TODAY()-PROVEEDORES[[#This Row],[FECHA DE FACTURACIÓN]]-PROVEEDORES[[#This Row],[PLAZO Días]],0)</f>
        <v>0</v>
      </c>
      <c r="U1073" s="149">
        <f>+VLOOKUP(PROVEEDORES[[#This Row],[PROVEEDOR]],Terceros!$A:$E,5,FALSE)</f>
        <v>0</v>
      </c>
      <c r="V1073" s="150">
        <f>+YEAR(PROVEEDORES[[#This Row],[FECHA DE FACTURACIÓN]])</f>
        <v>2021</v>
      </c>
      <c r="W1073" s="150">
        <f>+MATCH(PROVEEDORES[[#This Row],[año facturado]],Retenciones!$1:$1,0)</f>
        <v>4</v>
      </c>
      <c r="X1073" s="151">
        <f>+VLOOKUP(PROVEEDORES[[#This Row],[ID RETENCION]],Retenciones!$A$1:$O$24,PROVEEDORES[[#This Row],[indicador de columna]],FALSE)</f>
        <v>0</v>
      </c>
      <c r="Y1073" s="152">
        <f>+VLOOKUP(PROVEEDORES[[#This Row],[ID RETENCION]],Retenciones!$A$1:$O$24,2,FALSE)</f>
        <v>0</v>
      </c>
      <c r="Z1073" s="26"/>
      <c r="AA1073" s="26"/>
      <c r="AB1073" s="26"/>
      <c r="AC1073" s="26"/>
      <c r="AD1073" s="26"/>
      <c r="AE1073" s="26"/>
    </row>
    <row r="1074" spans="1:31" ht="21.95" customHeight="1" x14ac:dyDescent="0.25">
      <c r="A1074" s="97" t="str">
        <f>+IF(PROVEEDORES[[#This Row],[FECHA DE PAGO]]=PROVEEDORES[[#This Row],[FECHA DE FACTURACIÓN]],"DE CONTADO","CRÉDITO")</f>
        <v>CRÉDITO</v>
      </c>
      <c r="B1074" s="41" t="b">
        <f>+IF((PROVEEDORES[[#This Row],[FECHA DE PAGO]]-PROVEEDORES[[#This Row],[FECHA DE FACTURACIÓN]])&gt;PROVEEDORES[[#This Row],[PLAZO Días]],"PAGO VENCIDO")</f>
        <v>0</v>
      </c>
      <c r="C1074" s="22">
        <f>+VLOOKUP(PROVEEDORES[[#This Row],[PROVEEDOR]],TERCEROS_INFO[#All],2,FALSE)</f>
        <v>30</v>
      </c>
      <c r="D1074" s="27">
        <f>+SUMIFS(PROVEEDORES[Total],PROVEEDORES[PROVEEDOR],PROVEEDORES[[#This Row],[PROVEEDOR]],PROVEEDORES[FECHA DE PAGO],"")</f>
        <v>0</v>
      </c>
      <c r="E1074" s="27"/>
      <c r="F1074" s="62" t="str">
        <f>+VLOOKUP(PROVEEDORES[[#This Row],[PROVEEDOR]],
                       Terceros!$A:$G,
                       6,
                       FALSE)</f>
        <v/>
      </c>
      <c r="G1074" s="95">
        <v>44537</v>
      </c>
      <c r="H1074" s="28" t="s">
        <v>54</v>
      </c>
      <c r="I1074" s="95">
        <v>44536</v>
      </c>
      <c r="J1074" s="38">
        <v>286942</v>
      </c>
      <c r="K1074" s="23">
        <v>2175000</v>
      </c>
      <c r="L1074" s="23"/>
      <c r="M1074" s="24">
        <v>0</v>
      </c>
      <c r="N1074" s="25"/>
      <c r="O1074" s="24">
        <v>0</v>
      </c>
      <c r="P1074" s="136">
        <f>+IF(PROVEEDORES[[#This Row],[SUBTOTAL]]&lt;PROVEEDORES[[#This Row],[base retencion]],0,PROVEEDORES[[#This Row],[retención aplicada]])</f>
        <v>0</v>
      </c>
      <c r="Q1074" s="24">
        <f>+PROVEEDORES[[#This Row],[Rete Fuente %]]*PROVEEDORES[[#This Row],[SUBTOTAL]]</f>
        <v>0</v>
      </c>
      <c r="R1074" s="23">
        <v>2175000</v>
      </c>
      <c r="S107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4" s="99">
        <f ca="1">IF(PROVEEDORES[[#This Row],[FECHA DE PAGO]]=0,TODAY()-PROVEEDORES[[#This Row],[FECHA DE FACTURACIÓN]]-PROVEEDORES[[#This Row],[PLAZO Días]],0)</f>
        <v>0</v>
      </c>
      <c r="U1074" s="149">
        <f>+VLOOKUP(PROVEEDORES[[#This Row],[PROVEEDOR]],Terceros!$A:$E,5,FALSE)</f>
        <v>0</v>
      </c>
      <c r="V1074" s="150">
        <f>+YEAR(PROVEEDORES[[#This Row],[FECHA DE FACTURACIÓN]])</f>
        <v>2021</v>
      </c>
      <c r="W1074" s="150">
        <f>+MATCH(PROVEEDORES[[#This Row],[año facturado]],Retenciones!$1:$1,0)</f>
        <v>4</v>
      </c>
      <c r="X1074" s="151">
        <f>+VLOOKUP(PROVEEDORES[[#This Row],[ID RETENCION]],Retenciones!$A$1:$O$24,PROVEEDORES[[#This Row],[indicador de columna]],FALSE)</f>
        <v>0</v>
      </c>
      <c r="Y1074" s="152">
        <f>+VLOOKUP(PROVEEDORES[[#This Row],[ID RETENCION]],Retenciones!$A$1:$O$24,2,FALSE)</f>
        <v>0</v>
      </c>
      <c r="Z1074" s="26"/>
      <c r="AA1074" s="26"/>
      <c r="AB1074" s="26"/>
      <c r="AC1074" s="26"/>
      <c r="AD1074" s="26"/>
      <c r="AE1074" s="26"/>
    </row>
    <row r="1075" spans="1:31" ht="21.95" customHeight="1" x14ac:dyDescent="0.25">
      <c r="A1075" s="97" t="str">
        <f>+IF(PROVEEDORES[[#This Row],[FECHA DE PAGO]]=PROVEEDORES[[#This Row],[FECHA DE FACTURACIÓN]],"DE CONTADO","CRÉDITO")</f>
        <v>CRÉDITO</v>
      </c>
      <c r="B1075" s="41" t="b">
        <f>+IF((PROVEEDORES[[#This Row],[FECHA DE PAGO]]-PROVEEDORES[[#This Row],[FECHA DE FACTURACIÓN]])&gt;PROVEEDORES[[#This Row],[PLAZO Días]],"PAGO VENCIDO")</f>
        <v>0</v>
      </c>
      <c r="C1075" s="22">
        <f>+VLOOKUP(PROVEEDORES[[#This Row],[PROVEEDOR]],TERCEROS_INFO[#All],2,FALSE)</f>
        <v>30</v>
      </c>
      <c r="D1075" s="27">
        <f>+SUMIFS(PROVEEDORES[Total],PROVEEDORES[PROVEEDOR],PROVEEDORES[[#This Row],[PROVEEDOR]],PROVEEDORES[FECHA DE PAGO],"")</f>
        <v>195500</v>
      </c>
      <c r="E1075" s="27"/>
      <c r="F1075" s="62" t="str">
        <f>+VLOOKUP(PROVEEDORES[[#This Row],[PROVEEDOR]],
                       Terceros!$A:$G,
                       6,
                       FALSE)</f>
        <v/>
      </c>
      <c r="G1075" s="95">
        <v>44553</v>
      </c>
      <c r="H1075" s="28" t="s">
        <v>1047</v>
      </c>
      <c r="I1075" s="95">
        <v>44537</v>
      </c>
      <c r="J1075" s="38" t="s">
        <v>891</v>
      </c>
      <c r="K1075" s="23">
        <v>119980</v>
      </c>
      <c r="L1075" s="23"/>
      <c r="M1075" s="24">
        <v>0</v>
      </c>
      <c r="N1075" s="25"/>
      <c r="O1075" s="24">
        <v>0</v>
      </c>
      <c r="P1075" s="136">
        <f>+IF(PROVEEDORES[[#This Row],[SUBTOTAL]]&lt;PROVEEDORES[[#This Row],[base retencion]],0,PROVEEDORES[[#This Row],[retención aplicada]])</f>
        <v>0</v>
      </c>
      <c r="Q1075" s="24">
        <f>+PROVEEDORES[[#This Row],[Rete Fuente %]]*PROVEEDORES[[#This Row],[SUBTOTAL]]</f>
        <v>0</v>
      </c>
      <c r="R1075" s="23">
        <v>119980</v>
      </c>
      <c r="S107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5" s="99">
        <f ca="1">IF(PROVEEDORES[[#This Row],[FECHA DE PAGO]]=0,TODAY()-PROVEEDORES[[#This Row],[FECHA DE FACTURACIÓN]]-PROVEEDORES[[#This Row],[PLAZO Días]],0)</f>
        <v>0</v>
      </c>
      <c r="U1075" s="149">
        <f>+VLOOKUP(PROVEEDORES[[#This Row],[PROVEEDOR]],Terceros!$A:$E,5,FALSE)</f>
        <v>0</v>
      </c>
      <c r="V1075" s="150">
        <f>+YEAR(PROVEEDORES[[#This Row],[FECHA DE FACTURACIÓN]])</f>
        <v>2021</v>
      </c>
      <c r="W1075" s="150">
        <f>+MATCH(PROVEEDORES[[#This Row],[año facturado]],Retenciones!$1:$1,0)</f>
        <v>4</v>
      </c>
      <c r="X1075" s="151">
        <f>+VLOOKUP(PROVEEDORES[[#This Row],[ID RETENCION]],Retenciones!$A$1:$O$24,PROVEEDORES[[#This Row],[indicador de columna]],FALSE)</f>
        <v>0</v>
      </c>
      <c r="Y1075" s="152">
        <f>+VLOOKUP(PROVEEDORES[[#This Row],[ID RETENCION]],Retenciones!$A$1:$O$24,2,FALSE)</f>
        <v>0</v>
      </c>
      <c r="Z1075" s="26"/>
      <c r="AA1075" s="26"/>
      <c r="AB1075" s="26"/>
      <c r="AC1075" s="26"/>
      <c r="AD1075" s="26"/>
      <c r="AE1075" s="26"/>
    </row>
    <row r="1076" spans="1:31" ht="21.95" customHeight="1" x14ac:dyDescent="0.25">
      <c r="A1076" s="97" t="str">
        <f>+IF(PROVEEDORES[[#This Row],[FECHA DE PAGO]]=PROVEEDORES[[#This Row],[FECHA DE FACTURACIÓN]],"DE CONTADO","CRÉDITO")</f>
        <v>CRÉDITO</v>
      </c>
      <c r="B1076" s="41" t="b">
        <f>+IF((PROVEEDORES[[#This Row],[FECHA DE PAGO]]-PROVEEDORES[[#This Row],[FECHA DE FACTURACIÓN]])&gt;PROVEEDORES[[#This Row],[PLAZO Días]],"PAGO VENCIDO")</f>
        <v>0</v>
      </c>
      <c r="C1076" s="22">
        <f>+VLOOKUP(PROVEEDORES[[#This Row],[PROVEEDOR]],TERCEROS_INFO[#All],2,FALSE)</f>
        <v>60</v>
      </c>
      <c r="D1076" s="27">
        <f>+SUMIFS(PROVEEDORES[Total],PROVEEDORES[PROVEEDOR],PROVEEDORES[[#This Row],[PROVEEDOR]],PROVEEDORES[FECHA DE PAGO],"")</f>
        <v>758800</v>
      </c>
      <c r="E1076" s="27"/>
      <c r="F1076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G1076" s="95">
        <v>44586</v>
      </c>
      <c r="H1076" s="28" t="s">
        <v>604</v>
      </c>
      <c r="I1076" s="95">
        <v>44537</v>
      </c>
      <c r="J1076" s="38" t="s">
        <v>892</v>
      </c>
      <c r="K1076" s="23">
        <v>252000</v>
      </c>
      <c r="L1076" s="23"/>
      <c r="M1076" s="24">
        <v>0</v>
      </c>
      <c r="N1076" s="25"/>
      <c r="O1076" s="24">
        <v>0</v>
      </c>
      <c r="P1076" s="136">
        <f>+IF(PROVEEDORES[[#This Row],[SUBTOTAL]]&lt;PROVEEDORES[[#This Row],[base retencion]],0,PROVEEDORES[[#This Row],[retención aplicada]])</f>
        <v>0</v>
      </c>
      <c r="Q1076" s="24">
        <f>+PROVEEDORES[[#This Row],[Rete Fuente %]]*PROVEEDORES[[#This Row],[SUBTOTAL]]</f>
        <v>0</v>
      </c>
      <c r="R1076" s="23">
        <v>252000</v>
      </c>
      <c r="S107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6" s="99">
        <f ca="1">IF(PROVEEDORES[[#This Row],[FECHA DE PAGO]]=0,TODAY()-PROVEEDORES[[#This Row],[FECHA DE FACTURACIÓN]]-PROVEEDORES[[#This Row],[PLAZO Días]],0)</f>
        <v>0</v>
      </c>
      <c r="U1076" s="149">
        <f>+VLOOKUP(PROVEEDORES[[#This Row],[PROVEEDOR]],Terceros!$A:$E,5,FALSE)</f>
        <v>0</v>
      </c>
      <c r="V1076" s="150">
        <f>+YEAR(PROVEEDORES[[#This Row],[FECHA DE FACTURACIÓN]])</f>
        <v>2021</v>
      </c>
      <c r="W1076" s="150">
        <f>+MATCH(PROVEEDORES[[#This Row],[año facturado]],Retenciones!$1:$1,0)</f>
        <v>4</v>
      </c>
      <c r="X1076" s="151">
        <f>+VLOOKUP(PROVEEDORES[[#This Row],[ID RETENCION]],Retenciones!$A$1:$O$24,PROVEEDORES[[#This Row],[indicador de columna]],FALSE)</f>
        <v>0</v>
      </c>
      <c r="Y1076" s="152">
        <f>+VLOOKUP(PROVEEDORES[[#This Row],[ID RETENCION]],Retenciones!$A$1:$O$24,2,FALSE)</f>
        <v>0</v>
      </c>
      <c r="Z1076" s="26"/>
      <c r="AA1076" s="26"/>
      <c r="AB1076" s="26"/>
      <c r="AC1076" s="26"/>
      <c r="AD1076" s="26"/>
      <c r="AE1076" s="26"/>
    </row>
    <row r="1077" spans="1:31" ht="21.95" customHeight="1" x14ac:dyDescent="0.25">
      <c r="A1077" s="97" t="str">
        <f>+IF(PROVEEDORES[[#This Row],[FECHA DE PAGO]]=PROVEEDORES[[#This Row],[FECHA DE FACTURACIÓN]],"DE CONTADO","CRÉDITO")</f>
        <v>CRÉDITO</v>
      </c>
      <c r="B1077" s="41" t="b">
        <f>+IF((PROVEEDORES[[#This Row],[FECHA DE PAGO]]-PROVEEDORES[[#This Row],[FECHA DE FACTURACIÓN]])&gt;PROVEEDORES[[#This Row],[PLAZO Días]],"PAGO VENCIDO")</f>
        <v>0</v>
      </c>
      <c r="C1077" s="22">
        <f>+VLOOKUP(PROVEEDORES[[#This Row],[PROVEEDOR]],TERCEROS_INFO[#All],2,FALSE)</f>
        <v>30</v>
      </c>
      <c r="D1077" s="27">
        <f>+SUMIFS(PROVEEDORES[Total],PROVEEDORES[PROVEEDOR],PROVEEDORES[[#This Row],[PROVEEDOR]],PROVEEDORES[FECHA DE PAGO],"")</f>
        <v>5463150</v>
      </c>
      <c r="E1077" s="27"/>
      <c r="F1077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1077" s="95">
        <v>44554</v>
      </c>
      <c r="H1077" s="28" t="s">
        <v>344</v>
      </c>
      <c r="I1077" s="95">
        <v>44531</v>
      </c>
      <c r="J1077" s="38">
        <v>41293</v>
      </c>
      <c r="K1077" s="23">
        <v>4430000</v>
      </c>
      <c r="L1077" s="23"/>
      <c r="M1077" s="24">
        <v>841700</v>
      </c>
      <c r="N1077" s="25"/>
      <c r="O1077" s="24">
        <v>0</v>
      </c>
      <c r="P1077" s="136">
        <f>+IF(PROVEEDORES[[#This Row],[SUBTOTAL]]&lt;PROVEEDORES[[#This Row],[base retencion]],0,PROVEEDORES[[#This Row],[retención aplicada]])</f>
        <v>3.5000000000000003E-2</v>
      </c>
      <c r="Q1077" s="24">
        <f>+PROVEEDORES[[#This Row],[Rete Fuente %]]*PROVEEDORES[[#This Row],[SUBTOTAL]]</f>
        <v>155050.00000000003</v>
      </c>
      <c r="R1077" s="23">
        <v>5116650</v>
      </c>
      <c r="S107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7" s="99">
        <f ca="1">IF(PROVEEDORES[[#This Row],[FECHA DE PAGO]]=0,TODAY()-PROVEEDORES[[#This Row],[FECHA DE FACTURACIÓN]]-PROVEEDORES[[#This Row],[PLAZO Días]],0)</f>
        <v>0</v>
      </c>
      <c r="U1077" s="149" t="str">
        <f>+VLOOKUP(PROVEEDORES[[#This Row],[PROVEEDOR]],Terceros!$A:$E,5,FALSE)</f>
        <v>3,5% con base</v>
      </c>
      <c r="V1077" s="150">
        <f>+YEAR(PROVEEDORES[[#This Row],[FECHA DE FACTURACIÓN]])</f>
        <v>2021</v>
      </c>
      <c r="W1077" s="150">
        <f>+MATCH(PROVEEDORES[[#This Row],[año facturado]],Retenciones!$1:$1,0)</f>
        <v>4</v>
      </c>
      <c r="X1077" s="151">
        <f>+VLOOKUP(PROVEEDORES[[#This Row],[ID RETENCION]],Retenciones!$A$1:$O$24,PROVEEDORES[[#This Row],[indicador de columna]],FALSE)</f>
        <v>980000</v>
      </c>
      <c r="Y1077" s="152">
        <f>+VLOOKUP(PROVEEDORES[[#This Row],[ID RETENCION]],Retenciones!$A$1:$O$24,2,FALSE)</f>
        <v>3.5000000000000003E-2</v>
      </c>
      <c r="Z1077" s="26"/>
      <c r="AA1077" s="26"/>
      <c r="AB1077" s="26"/>
      <c r="AC1077" s="26"/>
      <c r="AD1077" s="26"/>
      <c r="AE1077" s="26"/>
    </row>
    <row r="1078" spans="1:31" ht="21.95" customHeight="1" x14ac:dyDescent="0.25">
      <c r="A1078" s="97" t="str">
        <f>+IF(PROVEEDORES[[#This Row],[FECHA DE PAGO]]=PROVEEDORES[[#This Row],[FECHA DE FACTURACIÓN]],"DE CONTADO","CRÉDITO")</f>
        <v>CRÉDITO</v>
      </c>
      <c r="B1078" s="41" t="b">
        <f>+IF((PROVEEDORES[[#This Row],[FECHA DE PAGO]]-PROVEEDORES[[#This Row],[FECHA DE FACTURACIÓN]])&gt;PROVEEDORES[[#This Row],[PLAZO Días]],"PAGO VENCIDO")</f>
        <v>0</v>
      </c>
      <c r="C1078" s="22">
        <f>+VLOOKUP(PROVEEDORES[[#This Row],[PROVEEDOR]],TERCEROS_INFO[#All],2,FALSE)</f>
        <v>30</v>
      </c>
      <c r="D1078" s="27">
        <f>+SUMIFS(PROVEEDORES[Total],PROVEEDORES[PROVEEDOR],PROVEEDORES[[#This Row],[PROVEEDOR]],PROVEEDORES[FECHA DE PAGO],"")</f>
        <v>390000</v>
      </c>
      <c r="E1078" s="27"/>
      <c r="F1078" s="62">
        <f>+VLOOKUP(PROVEEDORES[[#This Row],[PROVEEDOR]],
                       Terceros!$A:$G,
                       6,
                       FALSE)</f>
        <v>0</v>
      </c>
      <c r="G1078" s="95">
        <v>44543</v>
      </c>
      <c r="H1078" s="28" t="s">
        <v>1080</v>
      </c>
      <c r="I1078" s="95">
        <v>44539</v>
      </c>
      <c r="J1078" s="38" t="s">
        <v>894</v>
      </c>
      <c r="K1078" s="23">
        <v>1001000</v>
      </c>
      <c r="L1078" s="23"/>
      <c r="M1078" s="24">
        <v>0</v>
      </c>
      <c r="N1078" s="25"/>
      <c r="O1078" s="24">
        <v>0</v>
      </c>
      <c r="P1078" s="136">
        <f>+IF(PROVEEDORES[[#This Row],[SUBTOTAL]]&lt;PROVEEDORES[[#This Row],[base retencion]],0,PROVEEDORES[[#This Row],[retención aplicada]])</f>
        <v>0</v>
      </c>
      <c r="Q1078" s="24">
        <f>+PROVEEDORES[[#This Row],[Rete Fuente %]]*PROVEEDORES[[#This Row],[SUBTOTAL]]</f>
        <v>0</v>
      </c>
      <c r="R1078" s="23">
        <v>1001000</v>
      </c>
      <c r="S107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8" s="99">
        <f ca="1">IF(PROVEEDORES[[#This Row],[FECHA DE PAGO]]=0,TODAY()-PROVEEDORES[[#This Row],[FECHA DE FACTURACIÓN]]-PROVEEDORES[[#This Row],[PLAZO Días]],0)</f>
        <v>0</v>
      </c>
      <c r="U1078" s="149">
        <f>+VLOOKUP(PROVEEDORES[[#This Row],[PROVEEDOR]],Terceros!$A:$E,5,FALSE)</f>
        <v>0</v>
      </c>
      <c r="V1078" s="150">
        <f>+YEAR(PROVEEDORES[[#This Row],[FECHA DE FACTURACIÓN]])</f>
        <v>2021</v>
      </c>
      <c r="W1078" s="150">
        <f>+MATCH(PROVEEDORES[[#This Row],[año facturado]],Retenciones!$1:$1,0)</f>
        <v>4</v>
      </c>
      <c r="X1078" s="151">
        <f>+VLOOKUP(PROVEEDORES[[#This Row],[ID RETENCION]],Retenciones!$A$1:$O$24,PROVEEDORES[[#This Row],[indicador de columna]],FALSE)</f>
        <v>0</v>
      </c>
      <c r="Y1078" s="152">
        <f>+VLOOKUP(PROVEEDORES[[#This Row],[ID RETENCION]],Retenciones!$A$1:$O$24,2,FALSE)</f>
        <v>0</v>
      </c>
      <c r="Z1078" s="26"/>
      <c r="AA1078" s="26"/>
      <c r="AB1078" s="26"/>
      <c r="AC1078" s="26"/>
      <c r="AD1078" s="26"/>
      <c r="AE1078" s="26"/>
    </row>
    <row r="1079" spans="1:31" ht="21.95" customHeight="1" x14ac:dyDescent="0.25">
      <c r="A1079" s="97" t="str">
        <f>+IF(PROVEEDORES[[#This Row],[FECHA DE PAGO]]=PROVEEDORES[[#This Row],[FECHA DE FACTURACIÓN]],"DE CONTADO","CRÉDITO")</f>
        <v>CRÉDITO</v>
      </c>
      <c r="B1079" s="41" t="b">
        <f>+IF((PROVEEDORES[[#This Row],[FECHA DE PAGO]]-PROVEEDORES[[#This Row],[FECHA DE FACTURACIÓN]])&gt;PROVEEDORES[[#This Row],[PLAZO Días]],"PAGO VENCIDO")</f>
        <v>0</v>
      </c>
      <c r="C1079" s="22">
        <f>+VLOOKUP(PROVEEDORES[[#This Row],[PROVEEDOR]],TERCEROS_INFO[#All],2,FALSE)</f>
        <v>30</v>
      </c>
      <c r="D1079" s="27">
        <f>+SUMIFS(PROVEEDORES[Total],PROVEEDORES[PROVEEDOR],PROVEEDORES[[#This Row],[PROVEEDOR]],PROVEEDORES[FECHA DE PAGO],"")</f>
        <v>1979529.3</v>
      </c>
      <c r="E1079" s="27"/>
      <c r="F1079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1079" s="95">
        <v>44558</v>
      </c>
      <c r="H1079" s="28" t="s">
        <v>17</v>
      </c>
      <c r="I1079" s="95">
        <v>44539</v>
      </c>
      <c r="J1079" s="38">
        <v>1851854</v>
      </c>
      <c r="K1079" s="23">
        <v>1045000</v>
      </c>
      <c r="L1079" s="23"/>
      <c r="M1079" s="24">
        <v>198550</v>
      </c>
      <c r="N1079" s="25"/>
      <c r="O1079" s="24">
        <v>0</v>
      </c>
      <c r="P1079" s="136">
        <f>+IF(PROVEEDORES[[#This Row],[SUBTOTAL]]&lt;PROVEEDORES[[#This Row],[base retencion]],0,PROVEEDORES[[#This Row],[retención aplicada]])</f>
        <v>0</v>
      </c>
      <c r="Q1079" s="24">
        <f>+PROVEEDORES[[#This Row],[Rete Fuente %]]*PROVEEDORES[[#This Row],[SUBTOTAL]]</f>
        <v>0</v>
      </c>
      <c r="R1079" s="23">
        <v>1243550</v>
      </c>
      <c r="S107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9" s="99">
        <f ca="1">IF(PROVEEDORES[[#This Row],[FECHA DE PAGO]]=0,TODAY()-PROVEEDORES[[#This Row],[FECHA DE FACTURACIÓN]]-PROVEEDORES[[#This Row],[PLAZO Días]],0)</f>
        <v>0</v>
      </c>
      <c r="U1079" s="149">
        <f>+VLOOKUP(PROVEEDORES[[#This Row],[PROVEEDOR]],Terceros!$A:$E,5,FALSE)</f>
        <v>0</v>
      </c>
      <c r="V1079" s="150">
        <f>+YEAR(PROVEEDORES[[#This Row],[FECHA DE FACTURACIÓN]])</f>
        <v>2021</v>
      </c>
      <c r="W1079" s="150">
        <f>+MATCH(PROVEEDORES[[#This Row],[año facturado]],Retenciones!$1:$1,0)</f>
        <v>4</v>
      </c>
      <c r="X1079" s="151">
        <f>+VLOOKUP(PROVEEDORES[[#This Row],[ID RETENCION]],Retenciones!$A$1:$O$24,PROVEEDORES[[#This Row],[indicador de columna]],FALSE)</f>
        <v>0</v>
      </c>
      <c r="Y1079" s="152">
        <f>+VLOOKUP(PROVEEDORES[[#This Row],[ID RETENCION]],Retenciones!$A$1:$O$24,2,FALSE)</f>
        <v>0</v>
      </c>
      <c r="Z1079" s="26"/>
      <c r="AA1079" s="26"/>
      <c r="AB1079" s="26"/>
      <c r="AC1079" s="26"/>
      <c r="AD1079" s="26"/>
      <c r="AE1079" s="26"/>
    </row>
    <row r="1080" spans="1:31" ht="21.95" customHeight="1" x14ac:dyDescent="0.25">
      <c r="A1080" s="97" t="str">
        <f>+IF(PROVEEDORES[[#This Row],[FECHA DE PAGO]]=PROVEEDORES[[#This Row],[FECHA DE FACTURACIÓN]],"DE CONTADO","CRÉDITO")</f>
        <v>CRÉDITO</v>
      </c>
      <c r="B1080" s="41" t="str">
        <f>+IF((PROVEEDORES[[#This Row],[FECHA DE PAGO]]-PROVEEDORES[[#This Row],[FECHA DE FACTURACIÓN]])&gt;PROVEEDORES[[#This Row],[PLAZO Días]],"PAGO VENCIDO")</f>
        <v>PAGO VENCIDO</v>
      </c>
      <c r="C1080" s="22">
        <f>+VLOOKUP(PROVEEDORES[[#This Row],[PROVEEDOR]],TERCEROS_INFO[#All],2,FALSE)</f>
        <v>30</v>
      </c>
      <c r="D1080" s="27">
        <f>+SUMIFS(PROVEEDORES[Total],PROVEEDORES[PROVEEDOR],PROVEEDORES[[#This Row],[PROVEEDOR]],PROVEEDORES[FECHA DE PAGO],"")</f>
        <v>4641412.7745000003</v>
      </c>
      <c r="E1080" s="27"/>
      <c r="F1080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1080" s="95">
        <v>44588</v>
      </c>
      <c r="H1080" s="28" t="s">
        <v>20</v>
      </c>
      <c r="I1080" s="95">
        <v>44539</v>
      </c>
      <c r="J1080" s="38">
        <v>5819</v>
      </c>
      <c r="K1080" s="23">
        <v>1053853.1000000001</v>
      </c>
      <c r="L1080" s="23"/>
      <c r="M1080" s="24">
        <v>200232.08900000001</v>
      </c>
      <c r="N1080" s="25"/>
      <c r="O1080" s="24">
        <v>0</v>
      </c>
      <c r="P1080" s="136">
        <f>+IF(PROVEEDORES[[#This Row],[SUBTOTAL]]&lt;PROVEEDORES[[#This Row],[base retencion]],0,PROVEEDORES[[#This Row],[retención aplicada]])</f>
        <v>2.5000000000000001E-2</v>
      </c>
      <c r="Q1080" s="24">
        <f>+PROVEEDORES[[#This Row],[Rete Fuente %]]*PROVEEDORES[[#This Row],[SUBTOTAL]]</f>
        <v>26346.327500000003</v>
      </c>
      <c r="R1080" s="23">
        <v>1227738.8615000001</v>
      </c>
      <c r="S108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0" s="99">
        <f ca="1">IF(PROVEEDORES[[#This Row],[FECHA DE PAGO]]=0,TODAY()-PROVEEDORES[[#This Row],[FECHA DE FACTURACIÓN]]-PROVEEDORES[[#This Row],[PLAZO Días]],0)</f>
        <v>0</v>
      </c>
      <c r="U1080" s="149" t="str">
        <f>+VLOOKUP(PROVEEDORES[[#This Row],[PROVEEDOR]],Terceros!$A:$E,5,FALSE)</f>
        <v>2,5% con base</v>
      </c>
      <c r="V1080" s="150">
        <f>+YEAR(PROVEEDORES[[#This Row],[FECHA DE FACTURACIÓN]])</f>
        <v>2021</v>
      </c>
      <c r="W1080" s="150">
        <f>+MATCH(PROVEEDORES[[#This Row],[año facturado]],Retenciones!$1:$1,0)</f>
        <v>4</v>
      </c>
      <c r="X1080" s="151">
        <f>+VLOOKUP(PROVEEDORES[[#This Row],[ID RETENCION]],Retenciones!$A$1:$O$24,PROVEEDORES[[#This Row],[indicador de columna]],FALSE)</f>
        <v>980000</v>
      </c>
      <c r="Y1080" s="152">
        <f>+VLOOKUP(PROVEEDORES[[#This Row],[ID RETENCION]],Retenciones!$A$1:$O$24,2,FALSE)</f>
        <v>2.5000000000000001E-2</v>
      </c>
      <c r="Z1080" s="26"/>
      <c r="AA1080" s="26"/>
      <c r="AB1080" s="26"/>
      <c r="AC1080" s="26"/>
      <c r="AD1080" s="26"/>
      <c r="AE1080" s="26"/>
    </row>
    <row r="1081" spans="1:31" ht="21.95" customHeight="1" x14ac:dyDescent="0.25">
      <c r="A1081" s="97" t="str">
        <f>+IF(PROVEEDORES[[#This Row],[FECHA DE PAGO]]=PROVEEDORES[[#This Row],[FECHA DE FACTURACIÓN]],"DE CONTADO","CRÉDITO")</f>
        <v>CRÉDITO</v>
      </c>
      <c r="B1081" s="41" t="str">
        <f>+IF((PROVEEDORES[[#This Row],[FECHA DE PAGO]]-PROVEEDORES[[#This Row],[FECHA DE FACTURACIÓN]])&gt;PROVEEDORES[[#This Row],[PLAZO Días]],"PAGO VENCIDO")</f>
        <v>PAGO VENCIDO</v>
      </c>
      <c r="C1081" s="22">
        <f>+VLOOKUP(PROVEEDORES[[#This Row],[PROVEEDOR]],TERCEROS_INFO[#All],2,FALSE)</f>
        <v>45</v>
      </c>
      <c r="D1081" s="27">
        <f>+SUMIFS(PROVEEDORES[Total],PROVEEDORES[PROVEEDOR],PROVEEDORES[[#This Row],[PROVEEDOR]],PROVEEDORES[FECHA DE PAGO],"")</f>
        <v>1328100</v>
      </c>
      <c r="E1081" s="27"/>
      <c r="F1081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G1081" s="95">
        <v>44586</v>
      </c>
      <c r="H1081" s="28" t="s">
        <v>606</v>
      </c>
      <c r="I1081" s="95">
        <v>44539</v>
      </c>
      <c r="J1081" s="38" t="s">
        <v>655</v>
      </c>
      <c r="K1081" s="23">
        <v>2352000</v>
      </c>
      <c r="L1081" s="23"/>
      <c r="M1081" s="24">
        <v>0</v>
      </c>
      <c r="N1081" s="25"/>
      <c r="O1081" s="24">
        <v>0</v>
      </c>
      <c r="P1081" s="136">
        <f>+IF(PROVEEDORES[[#This Row],[SUBTOTAL]]&lt;PROVEEDORES[[#This Row],[base retencion]],0,PROVEEDORES[[#This Row],[retención aplicada]])</f>
        <v>0</v>
      </c>
      <c r="Q1081" s="24">
        <f>+PROVEEDORES[[#This Row],[Rete Fuente %]]*PROVEEDORES[[#This Row],[SUBTOTAL]]</f>
        <v>0</v>
      </c>
      <c r="R1081" s="23">
        <v>2352000</v>
      </c>
      <c r="S108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1" s="99">
        <f ca="1">IF(PROVEEDORES[[#This Row],[FECHA DE PAGO]]=0,TODAY()-PROVEEDORES[[#This Row],[FECHA DE FACTURACIÓN]]-PROVEEDORES[[#This Row],[PLAZO Días]],0)</f>
        <v>0</v>
      </c>
      <c r="U1081" s="149">
        <f>+VLOOKUP(PROVEEDORES[[#This Row],[PROVEEDOR]],Terceros!$A:$E,5,FALSE)</f>
        <v>0</v>
      </c>
      <c r="V1081" s="150">
        <f>+YEAR(PROVEEDORES[[#This Row],[FECHA DE FACTURACIÓN]])</f>
        <v>2021</v>
      </c>
      <c r="W1081" s="150">
        <f>+MATCH(PROVEEDORES[[#This Row],[año facturado]],Retenciones!$1:$1,0)</f>
        <v>4</v>
      </c>
      <c r="X1081" s="151">
        <f>+VLOOKUP(PROVEEDORES[[#This Row],[ID RETENCION]],Retenciones!$A$1:$O$24,PROVEEDORES[[#This Row],[indicador de columna]],FALSE)</f>
        <v>0</v>
      </c>
      <c r="Y1081" s="152">
        <f>+VLOOKUP(PROVEEDORES[[#This Row],[ID RETENCION]],Retenciones!$A$1:$O$24,2,FALSE)</f>
        <v>0</v>
      </c>
      <c r="Z1081" s="26"/>
      <c r="AA1081" s="26"/>
      <c r="AB1081" s="26"/>
      <c r="AC1081" s="26"/>
      <c r="AD1081" s="26"/>
      <c r="AE1081" s="26"/>
    </row>
    <row r="1082" spans="1:31" ht="21.95" customHeight="1" x14ac:dyDescent="0.25">
      <c r="A1082" s="97" t="str">
        <f>+IF(PROVEEDORES[[#This Row],[FECHA DE PAGO]]=PROVEEDORES[[#This Row],[FECHA DE FACTURACIÓN]],"DE CONTADO","CRÉDITO")</f>
        <v>CRÉDITO</v>
      </c>
      <c r="B1082" s="41" t="b">
        <f>+IF((PROVEEDORES[[#This Row],[FECHA DE PAGO]]-PROVEEDORES[[#This Row],[FECHA DE FACTURACIÓN]])&gt;PROVEEDORES[[#This Row],[PLAZO Días]],"PAGO VENCIDO")</f>
        <v>0</v>
      </c>
      <c r="C1082" s="22">
        <f>+VLOOKUP(PROVEEDORES[[#This Row],[PROVEEDOR]],TERCEROS_INFO[#All],2,FALSE)</f>
        <v>30</v>
      </c>
      <c r="D1082" s="27">
        <f>+SUMIFS(PROVEEDORES[Total],PROVEEDORES[PROVEEDOR],PROVEEDORES[[#This Row],[PROVEEDOR]],PROVEEDORES[FECHA DE PAGO],"")</f>
        <v>0</v>
      </c>
      <c r="E1082" s="27"/>
      <c r="F1082" s="62" t="str">
        <f>+VLOOKUP(PROVEEDORES[[#This Row],[PROVEEDOR]],
                       Terceros!$A:$G,
                       6,
                       FALSE)</f>
        <v>cartera@aerosan.com;girlesa.ruiz@servipilas.com;joriescobar64@gmail.com</v>
      </c>
      <c r="G1082" s="95">
        <v>44540</v>
      </c>
      <c r="H1082" s="28" t="s">
        <v>57</v>
      </c>
      <c r="I1082" s="95">
        <v>44539</v>
      </c>
      <c r="J1082" s="38" t="s">
        <v>649</v>
      </c>
      <c r="K1082" s="23">
        <v>3853480</v>
      </c>
      <c r="L1082" s="23"/>
      <c r="M1082" s="24">
        <v>732161.2</v>
      </c>
      <c r="N1082" s="25"/>
      <c r="O1082" s="24">
        <v>0</v>
      </c>
      <c r="P1082" s="136">
        <f>+IF(PROVEEDORES[[#This Row],[SUBTOTAL]]&lt;PROVEEDORES[[#This Row],[base retencion]],0,PROVEEDORES[[#This Row],[retención aplicada]])</f>
        <v>0</v>
      </c>
      <c r="Q1082" s="24">
        <f>+PROVEEDORES[[#This Row],[Rete Fuente %]]*PROVEEDORES[[#This Row],[SUBTOTAL]]</f>
        <v>0</v>
      </c>
      <c r="R1082" s="23">
        <v>4489304.2</v>
      </c>
      <c r="S108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2" s="99">
        <f ca="1">IF(PROVEEDORES[[#This Row],[FECHA DE PAGO]]=0,TODAY()-PROVEEDORES[[#This Row],[FECHA DE FACTURACIÓN]]-PROVEEDORES[[#This Row],[PLAZO Días]],0)</f>
        <v>0</v>
      </c>
      <c r="U1082" s="149">
        <f>+VLOOKUP(PROVEEDORES[[#This Row],[PROVEEDOR]],Terceros!$A:$E,5,FALSE)</f>
        <v>0</v>
      </c>
      <c r="V1082" s="150">
        <f>+YEAR(PROVEEDORES[[#This Row],[FECHA DE FACTURACIÓN]])</f>
        <v>2021</v>
      </c>
      <c r="W1082" s="150">
        <f>+MATCH(PROVEEDORES[[#This Row],[año facturado]],Retenciones!$1:$1,0)</f>
        <v>4</v>
      </c>
      <c r="X1082" s="151">
        <f>+VLOOKUP(PROVEEDORES[[#This Row],[ID RETENCION]],Retenciones!$A$1:$O$24,PROVEEDORES[[#This Row],[indicador de columna]],FALSE)</f>
        <v>0</v>
      </c>
      <c r="Y1082" s="152">
        <f>+VLOOKUP(PROVEEDORES[[#This Row],[ID RETENCION]],Retenciones!$A$1:$O$24,2,FALSE)</f>
        <v>0</v>
      </c>
      <c r="Z1082" s="26"/>
      <c r="AA1082" s="26"/>
      <c r="AB1082" s="26"/>
      <c r="AC1082" s="26"/>
      <c r="AD1082" s="26"/>
      <c r="AE1082" s="26"/>
    </row>
    <row r="1083" spans="1:31" ht="21.95" customHeight="1" x14ac:dyDescent="0.25">
      <c r="A1083" s="97" t="str">
        <f>+IF(PROVEEDORES[[#This Row],[FECHA DE PAGO]]=PROVEEDORES[[#This Row],[FECHA DE FACTURACIÓN]],"DE CONTADO","CRÉDITO")</f>
        <v>CRÉDITO</v>
      </c>
      <c r="B1083" s="41" t="b">
        <f>+IF((PROVEEDORES[[#This Row],[FECHA DE PAGO]]-PROVEEDORES[[#This Row],[FECHA DE FACTURACIÓN]])&gt;PROVEEDORES[[#This Row],[PLAZO Días]],"PAGO VENCIDO")</f>
        <v>0</v>
      </c>
      <c r="C1083" s="22">
        <f>+VLOOKUP(PROVEEDORES[[#This Row],[PROVEEDOR]],TERCEROS_INFO[#All],2,FALSE)</f>
        <v>30</v>
      </c>
      <c r="D1083" s="27">
        <f>+SUMIFS(PROVEEDORES[Total],PROVEEDORES[PROVEEDOR],PROVEEDORES[[#This Row],[PROVEEDOR]],PROVEEDORES[FECHA DE PAGO],"")</f>
        <v>0</v>
      </c>
      <c r="E1083" s="27"/>
      <c r="F1083" s="62" t="str">
        <f>+VLOOKUP(PROVEEDORES[[#This Row],[PROVEEDOR]],
                       Terceros!$A:$G,
                       6,
                       FALSE)</f>
        <v/>
      </c>
      <c r="G1083" s="95">
        <v>44540</v>
      </c>
      <c r="H1083" s="28" t="s">
        <v>1001</v>
      </c>
      <c r="I1083" s="95">
        <v>44539</v>
      </c>
      <c r="J1083" s="38" t="s">
        <v>893</v>
      </c>
      <c r="K1083" s="23">
        <v>7237400</v>
      </c>
      <c r="L1083" s="23"/>
      <c r="M1083" s="24">
        <v>0</v>
      </c>
      <c r="N1083" s="25"/>
      <c r="O1083" s="24">
        <v>0</v>
      </c>
      <c r="P1083" s="136">
        <f>+IF(PROVEEDORES[[#This Row],[SUBTOTAL]]&lt;PROVEEDORES[[#This Row],[base retencion]],0,PROVEEDORES[[#This Row],[retención aplicada]])</f>
        <v>0</v>
      </c>
      <c r="Q1083" s="24">
        <f>+PROVEEDORES[[#This Row],[Rete Fuente %]]*PROVEEDORES[[#This Row],[SUBTOTAL]]</f>
        <v>0</v>
      </c>
      <c r="R1083" s="23">
        <v>7237400</v>
      </c>
      <c r="S108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3" s="99">
        <f ca="1">IF(PROVEEDORES[[#This Row],[FECHA DE PAGO]]=0,TODAY()-PROVEEDORES[[#This Row],[FECHA DE FACTURACIÓN]]-PROVEEDORES[[#This Row],[PLAZO Días]],0)</f>
        <v>0</v>
      </c>
      <c r="U1083" s="149">
        <f>+VLOOKUP(PROVEEDORES[[#This Row],[PROVEEDOR]],Terceros!$A:$E,5,FALSE)</f>
        <v>0</v>
      </c>
      <c r="V1083" s="150">
        <f>+YEAR(PROVEEDORES[[#This Row],[FECHA DE FACTURACIÓN]])</f>
        <v>2021</v>
      </c>
      <c r="W1083" s="150">
        <f>+MATCH(PROVEEDORES[[#This Row],[año facturado]],Retenciones!$1:$1,0)</f>
        <v>4</v>
      </c>
      <c r="X1083" s="151">
        <f>+VLOOKUP(PROVEEDORES[[#This Row],[ID RETENCION]],Retenciones!$A$1:$O$24,PROVEEDORES[[#This Row],[indicador de columna]],FALSE)</f>
        <v>0</v>
      </c>
      <c r="Y1083" s="152">
        <f>+VLOOKUP(PROVEEDORES[[#This Row],[ID RETENCION]],Retenciones!$A$1:$O$24,2,FALSE)</f>
        <v>0</v>
      </c>
      <c r="Z1083" s="26"/>
      <c r="AA1083" s="26"/>
      <c r="AB1083" s="26"/>
      <c r="AC1083" s="26"/>
      <c r="AD1083" s="26"/>
      <c r="AE1083" s="26"/>
    </row>
    <row r="1084" spans="1:31" ht="21.95" customHeight="1" x14ac:dyDescent="0.25">
      <c r="A1084" s="97" t="str">
        <f>+IF(PROVEEDORES[[#This Row],[FECHA DE PAGO]]=PROVEEDORES[[#This Row],[FECHA DE FACTURACIÓN]],"DE CONTADO","CRÉDITO")</f>
        <v>CRÉDITO</v>
      </c>
      <c r="B1084" s="41" t="str">
        <f>+IF((PROVEEDORES[[#This Row],[FECHA DE PAGO]]-PROVEEDORES[[#This Row],[FECHA DE FACTURACIÓN]])&gt;PROVEEDORES[[#This Row],[PLAZO Días]],"PAGO VENCIDO")</f>
        <v>PAGO VENCIDO</v>
      </c>
      <c r="C1084" s="22">
        <f>+VLOOKUP(PROVEEDORES[[#This Row],[PROVEEDOR]],TERCEROS_INFO[#All],2,FALSE)</f>
        <v>30</v>
      </c>
      <c r="D1084" s="27">
        <f>+SUMIFS(PROVEEDORES[Total],PROVEEDORES[PROVEEDOR],PROVEEDORES[[#This Row],[PROVEEDOR]],PROVEEDORES[FECHA DE PAGO],"")</f>
        <v>0</v>
      </c>
      <c r="E1084" s="27"/>
      <c r="F1084" s="62" t="str">
        <f>+VLOOKUP(PROVEEDORES[[#This Row],[PROVEEDOR]],
                       Terceros!$A:$G,
                       6,
                       FALSE)</f>
        <v>jarlysas@gmail.com;o.clockinternational@gmail.com;girlesa.ruiz@servipilas.com;joriescobar64@gmail.com</v>
      </c>
      <c r="G1084" s="95">
        <v>44573</v>
      </c>
      <c r="H1084" s="28" t="s">
        <v>1042</v>
      </c>
      <c r="I1084" s="95">
        <v>44539</v>
      </c>
      <c r="J1084" s="38" t="s">
        <v>659</v>
      </c>
      <c r="K1084" s="23">
        <v>9473700</v>
      </c>
      <c r="L1084" s="23"/>
      <c r="M1084" s="24">
        <v>0</v>
      </c>
      <c r="N1084" s="25">
        <v>0.09</v>
      </c>
      <c r="O1084" s="24">
        <v>852633</v>
      </c>
      <c r="P1084" s="136">
        <f>+IF(PROVEEDORES[[#This Row],[SUBTOTAL]]&lt;PROVEEDORES[[#This Row],[base retencion]],0,PROVEEDORES[[#This Row],[retención aplicada]])</f>
        <v>0</v>
      </c>
      <c r="Q1084" s="24">
        <f>+PROVEEDORES[[#This Row],[Rete Fuente %]]*PROVEEDORES[[#This Row],[SUBTOTAL]]</f>
        <v>0</v>
      </c>
      <c r="R1084" s="23">
        <v>8621067</v>
      </c>
      <c r="S108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4" s="99">
        <f ca="1">IF(PROVEEDORES[[#This Row],[FECHA DE PAGO]]=0,TODAY()-PROVEEDORES[[#This Row],[FECHA DE FACTURACIÓN]]-PROVEEDORES[[#This Row],[PLAZO Días]],0)</f>
        <v>0</v>
      </c>
      <c r="U1084" s="149">
        <f>+VLOOKUP(PROVEEDORES[[#This Row],[PROVEEDOR]],Terceros!$A:$E,5,FALSE)</f>
        <v>0</v>
      </c>
      <c r="V1084" s="150">
        <f>+YEAR(PROVEEDORES[[#This Row],[FECHA DE FACTURACIÓN]])</f>
        <v>2021</v>
      </c>
      <c r="W1084" s="150">
        <f>+MATCH(PROVEEDORES[[#This Row],[año facturado]],Retenciones!$1:$1,0)</f>
        <v>4</v>
      </c>
      <c r="X1084" s="151">
        <f>+VLOOKUP(PROVEEDORES[[#This Row],[ID RETENCION]],Retenciones!$A$1:$O$24,PROVEEDORES[[#This Row],[indicador de columna]],FALSE)</f>
        <v>0</v>
      </c>
      <c r="Y1084" s="152">
        <f>+VLOOKUP(PROVEEDORES[[#This Row],[ID RETENCION]],Retenciones!$A$1:$O$24,2,FALSE)</f>
        <v>0</v>
      </c>
      <c r="Z1084" s="26"/>
      <c r="AA1084" s="26"/>
      <c r="AB1084" s="26"/>
      <c r="AC1084" s="26"/>
      <c r="AD1084" s="26"/>
      <c r="AE1084" s="26"/>
    </row>
    <row r="1085" spans="1:31" ht="21.95" customHeight="1" x14ac:dyDescent="0.25">
      <c r="A1085" s="97" t="str">
        <f>+IF(PROVEEDORES[[#This Row],[FECHA DE PAGO]]=PROVEEDORES[[#This Row],[FECHA DE FACTURACIÓN]],"DE CONTADO","CRÉDITO")</f>
        <v>CRÉDITO</v>
      </c>
      <c r="B1085" s="41" t="str">
        <f>+IF((PROVEEDORES[[#This Row],[FECHA DE PAGO]]-PROVEEDORES[[#This Row],[FECHA DE FACTURACIÓN]])&gt;PROVEEDORES[[#This Row],[PLAZO Días]],"PAGO VENCIDO")</f>
        <v>PAGO VENCIDO</v>
      </c>
      <c r="C1085" s="22">
        <f>+VLOOKUP(PROVEEDORES[[#This Row],[PROVEEDOR]],TERCEROS_INFO[#All],2,FALSE)</f>
        <v>30</v>
      </c>
      <c r="D1085" s="27">
        <f>+SUMIFS(PROVEEDORES[Total],PROVEEDORES[PROVEEDOR],PROVEEDORES[[#This Row],[PROVEEDOR]],PROVEEDORES[FECHA DE PAGO],"")</f>
        <v>0</v>
      </c>
      <c r="E1085" s="27"/>
      <c r="F1085" s="62" t="str">
        <f>+VLOOKUP(PROVEEDORES[[#This Row],[PROVEEDOR]],
                       Terceros!$A:$G,
                       6,
                       FALSE)</f>
        <v>jarlysas@gmail.com;o.clockinternational@gmail.com;girlesa.ruiz@servipilas.com;joriescobar64@gmail.com</v>
      </c>
      <c r="G1085" s="95">
        <v>44592</v>
      </c>
      <c r="H1085" s="28" t="s">
        <v>456</v>
      </c>
      <c r="I1085" s="95">
        <v>44539</v>
      </c>
      <c r="J1085" s="38">
        <v>111</v>
      </c>
      <c r="K1085" s="23">
        <v>21679100</v>
      </c>
      <c r="L1085" s="23"/>
      <c r="M1085" s="24">
        <v>4119029</v>
      </c>
      <c r="N1085" s="25">
        <v>0.09</v>
      </c>
      <c r="O1085" s="24">
        <v>1951119</v>
      </c>
      <c r="P1085" s="136">
        <f>+IF(PROVEEDORES[[#This Row],[SUBTOTAL]]&lt;PROVEEDORES[[#This Row],[base retencion]],0,PROVEEDORES[[#This Row],[retención aplicada]])</f>
        <v>2.5000000000000001E-2</v>
      </c>
      <c r="Q1085" s="24">
        <f>+PROVEEDORES[[#This Row],[Rete Fuente %]]*PROVEEDORES[[#This Row],[SUBTOTAL]]</f>
        <v>541977.5</v>
      </c>
      <c r="R1085" s="23">
        <v>23305032.5</v>
      </c>
      <c r="S108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5" s="99">
        <f ca="1">IF(PROVEEDORES[[#This Row],[FECHA DE PAGO]]=0,TODAY()-PROVEEDORES[[#This Row],[FECHA DE FACTURACIÓN]]-PROVEEDORES[[#This Row],[PLAZO Días]],0)</f>
        <v>0</v>
      </c>
      <c r="U1085" s="149" t="str">
        <f>+VLOOKUP(PROVEEDORES[[#This Row],[PROVEEDOR]],Terceros!$A:$E,5,FALSE)</f>
        <v>2,5% con base</v>
      </c>
      <c r="V1085" s="150">
        <f>+YEAR(PROVEEDORES[[#This Row],[FECHA DE FACTURACIÓN]])</f>
        <v>2021</v>
      </c>
      <c r="W1085" s="150">
        <f>+MATCH(PROVEEDORES[[#This Row],[año facturado]],Retenciones!$1:$1,0)</f>
        <v>4</v>
      </c>
      <c r="X1085" s="151">
        <f>+VLOOKUP(PROVEEDORES[[#This Row],[ID RETENCION]],Retenciones!$A$1:$O$24,PROVEEDORES[[#This Row],[indicador de columna]],FALSE)</f>
        <v>980000</v>
      </c>
      <c r="Y1085" s="152">
        <f>+VLOOKUP(PROVEEDORES[[#This Row],[ID RETENCION]],Retenciones!$A$1:$O$24,2,FALSE)</f>
        <v>2.5000000000000001E-2</v>
      </c>
      <c r="Z1085" s="26"/>
      <c r="AA1085" s="26"/>
      <c r="AB1085" s="26"/>
      <c r="AC1085" s="26"/>
      <c r="AD1085" s="26"/>
      <c r="AE1085" s="26"/>
    </row>
    <row r="1086" spans="1:31" ht="21.95" customHeight="1" x14ac:dyDescent="0.25">
      <c r="A1086" s="97" t="str">
        <f>+IF(PROVEEDORES[[#This Row],[FECHA DE PAGO]]=PROVEEDORES[[#This Row],[FECHA DE FACTURACIÓN]],"DE CONTADO","CRÉDITO")</f>
        <v>CRÉDITO</v>
      </c>
      <c r="B1086" s="41" t="str">
        <f>+IF((PROVEEDORES[[#This Row],[FECHA DE PAGO]]-PROVEEDORES[[#This Row],[FECHA DE FACTURACIÓN]])&gt;PROVEEDORES[[#This Row],[PLAZO Días]],"PAGO VENCIDO")</f>
        <v>PAGO VENCIDO</v>
      </c>
      <c r="C1086" s="22">
        <f>+VLOOKUP(PROVEEDORES[[#This Row],[PROVEEDOR]],TERCEROS_INFO[#All],2,FALSE)</f>
        <v>30</v>
      </c>
      <c r="D1086" s="27">
        <f>+SUMIFS(PROVEEDORES[Total],PROVEEDORES[PROVEEDOR],PROVEEDORES[[#This Row],[PROVEEDOR]],PROVEEDORES[FECHA DE PAGO],"")</f>
        <v>21832129.73</v>
      </c>
      <c r="E1086" s="27"/>
      <c r="F1086" s="62" t="str">
        <f>+VLOOKUP(PROVEEDORES[[#This Row],[PROVEEDOR]],
                       Terceros!$A:$G,
                       6,
                       FALSE)</f>
        <v>cartera1@grupostatur.com;girlesa.ruiz@servipilas.com;joriescobar64@gmail.com</v>
      </c>
      <c r="G1086" s="95">
        <v>44643</v>
      </c>
      <c r="H1086" s="28" t="s">
        <v>9</v>
      </c>
      <c r="I1086" s="95">
        <v>44539</v>
      </c>
      <c r="J1086" s="38">
        <v>73279</v>
      </c>
      <c r="K1086" s="23">
        <v>25587085</v>
      </c>
      <c r="L1086" s="23"/>
      <c r="M1086" s="24">
        <v>4861546.1500000004</v>
      </c>
      <c r="N1086" s="25"/>
      <c r="O1086" s="24">
        <v>0</v>
      </c>
      <c r="P1086" s="136">
        <f>+IF(PROVEEDORES[[#This Row],[SUBTOTAL]]&lt;PROVEEDORES[[#This Row],[base retencion]],0,PROVEEDORES[[#This Row],[retención aplicada]])</f>
        <v>2.5000000000000001E-2</v>
      </c>
      <c r="Q1086" s="24">
        <f>+PROVEEDORES[[#This Row],[Rete Fuente %]]*PROVEEDORES[[#This Row],[SUBTOTAL]]</f>
        <v>639677.125</v>
      </c>
      <c r="R1086" s="23">
        <v>29808954.024999999</v>
      </c>
      <c r="S108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6" s="99">
        <f ca="1">IF(PROVEEDORES[[#This Row],[FECHA DE PAGO]]=0,TODAY()-PROVEEDORES[[#This Row],[FECHA DE FACTURACIÓN]]-PROVEEDORES[[#This Row],[PLAZO Días]],0)</f>
        <v>0</v>
      </c>
      <c r="U1086" s="149" t="str">
        <f>+VLOOKUP(PROVEEDORES[[#This Row],[PROVEEDOR]],Terceros!$A:$E,5,FALSE)</f>
        <v>2,5% con base</v>
      </c>
      <c r="V1086" s="150">
        <f>+YEAR(PROVEEDORES[[#This Row],[FECHA DE FACTURACIÓN]])</f>
        <v>2021</v>
      </c>
      <c r="W1086" s="150">
        <f>+MATCH(PROVEEDORES[[#This Row],[año facturado]],Retenciones!$1:$1,0)</f>
        <v>4</v>
      </c>
      <c r="X1086" s="151">
        <f>+VLOOKUP(PROVEEDORES[[#This Row],[ID RETENCION]],Retenciones!$A$1:$O$24,PROVEEDORES[[#This Row],[indicador de columna]],FALSE)</f>
        <v>980000</v>
      </c>
      <c r="Y1086" s="152">
        <f>+VLOOKUP(PROVEEDORES[[#This Row],[ID RETENCION]],Retenciones!$A$1:$O$24,2,FALSE)</f>
        <v>2.5000000000000001E-2</v>
      </c>
      <c r="Z1086" s="26"/>
      <c r="AA1086" s="26"/>
      <c r="AB1086" s="26"/>
      <c r="AC1086" s="26"/>
      <c r="AD1086" s="26"/>
      <c r="AE1086" s="26"/>
    </row>
    <row r="1087" spans="1:31" ht="21.95" customHeight="1" x14ac:dyDescent="0.25">
      <c r="A1087" s="97" t="str">
        <f>+IF(PROVEEDORES[[#This Row],[FECHA DE PAGO]]=PROVEEDORES[[#This Row],[FECHA DE FACTURACIÓN]],"DE CONTADO","CRÉDITO")</f>
        <v>CRÉDITO</v>
      </c>
      <c r="B1087" s="41" t="str">
        <f>+IF((PROVEEDORES[[#This Row],[FECHA DE PAGO]]-PROVEEDORES[[#This Row],[FECHA DE FACTURACIÓN]])&gt;PROVEEDORES[[#This Row],[PLAZO Días]],"PAGO VENCIDO")</f>
        <v>PAGO VENCIDO</v>
      </c>
      <c r="C1087" s="22">
        <f>+VLOOKUP(PROVEEDORES[[#This Row],[PROVEEDOR]],TERCEROS_INFO[#All],2,FALSE)</f>
        <v>30</v>
      </c>
      <c r="D1087" s="27">
        <f>+SUMIFS(PROVEEDORES[Total],PROVEEDORES[PROVEEDOR],PROVEEDORES[[#This Row],[PROVEEDOR]],PROVEEDORES[FECHA DE PAGO],"")</f>
        <v>936000</v>
      </c>
      <c r="E1087" s="27"/>
      <c r="F1087" s="62" t="str">
        <f>+VLOOKUP(PROVEEDORES[[#This Row],[PROVEEDOR]],
                       Terceros!$A:$G,
                       6,
                       FALSE)</f>
        <v>stabarbaradistronik@gmail.com;girlesa.ruiz@servipilas.com;joriescobar64@gmail.com</v>
      </c>
      <c r="G1087" s="95">
        <v>44592</v>
      </c>
      <c r="H1087" s="28" t="s">
        <v>1066</v>
      </c>
      <c r="I1087" s="95">
        <v>44540</v>
      </c>
      <c r="J1087" s="38" t="s">
        <v>660</v>
      </c>
      <c r="K1087" s="23">
        <v>700000</v>
      </c>
      <c r="L1087" s="23"/>
      <c r="M1087" s="24">
        <v>0</v>
      </c>
      <c r="N1087" s="25"/>
      <c r="O1087" s="24">
        <v>0</v>
      </c>
      <c r="P1087" s="136">
        <f>+IF(PROVEEDORES[[#This Row],[SUBTOTAL]]&lt;PROVEEDORES[[#This Row],[base retencion]],0,PROVEEDORES[[#This Row],[retención aplicada]])</f>
        <v>0</v>
      </c>
      <c r="Q1087" s="24">
        <f>+PROVEEDORES[[#This Row],[Rete Fuente %]]*PROVEEDORES[[#This Row],[SUBTOTAL]]</f>
        <v>0</v>
      </c>
      <c r="R1087" s="23">
        <v>700000</v>
      </c>
      <c r="S108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7" s="99">
        <f ca="1">IF(PROVEEDORES[[#This Row],[FECHA DE PAGO]]=0,TODAY()-PROVEEDORES[[#This Row],[FECHA DE FACTURACIÓN]]-PROVEEDORES[[#This Row],[PLAZO Días]],0)</f>
        <v>0</v>
      </c>
      <c r="U1087" s="149">
        <f>+VLOOKUP(PROVEEDORES[[#This Row],[PROVEEDOR]],Terceros!$A:$E,5,FALSE)</f>
        <v>0</v>
      </c>
      <c r="V1087" s="150">
        <f>+YEAR(PROVEEDORES[[#This Row],[FECHA DE FACTURACIÓN]])</f>
        <v>2021</v>
      </c>
      <c r="W1087" s="150">
        <f>+MATCH(PROVEEDORES[[#This Row],[año facturado]],Retenciones!$1:$1,0)</f>
        <v>4</v>
      </c>
      <c r="X1087" s="151">
        <f>+VLOOKUP(PROVEEDORES[[#This Row],[ID RETENCION]],Retenciones!$A$1:$O$24,PROVEEDORES[[#This Row],[indicador de columna]],FALSE)</f>
        <v>0</v>
      </c>
      <c r="Y1087" s="152">
        <f>+VLOOKUP(PROVEEDORES[[#This Row],[ID RETENCION]],Retenciones!$A$1:$O$24,2,FALSE)</f>
        <v>0</v>
      </c>
      <c r="Z1087" s="26"/>
      <c r="AA1087" s="26"/>
      <c r="AB1087" s="26"/>
      <c r="AC1087" s="26"/>
      <c r="AD1087" s="26"/>
      <c r="AE1087" s="26"/>
    </row>
    <row r="1088" spans="1:31" ht="21.95" customHeight="1" x14ac:dyDescent="0.25">
      <c r="A1088" s="97" t="str">
        <f>+IF(PROVEEDORES[[#This Row],[FECHA DE PAGO]]=PROVEEDORES[[#This Row],[FECHA DE FACTURACIÓN]],"DE CONTADO","CRÉDITO")</f>
        <v>CRÉDITO</v>
      </c>
      <c r="B1088" s="41" t="str">
        <f>+IF((PROVEEDORES[[#This Row],[FECHA DE PAGO]]-PROVEEDORES[[#This Row],[FECHA DE FACTURACIÓN]])&gt;PROVEEDORES[[#This Row],[PLAZO Días]],"PAGO VENCIDO")</f>
        <v>PAGO VENCIDO</v>
      </c>
      <c r="C1088" s="22">
        <f>+VLOOKUP(PROVEEDORES[[#This Row],[PROVEEDOR]],TERCEROS_INFO[#All],2,FALSE)</f>
        <v>45</v>
      </c>
      <c r="D1088" s="27">
        <f>+SUMIFS(PROVEEDORES[Total],PROVEEDORES[PROVEEDOR],PROVEEDORES[[#This Row],[PROVEEDOR]],PROVEEDORES[FECHA DE PAGO],"")</f>
        <v>3412539.2</v>
      </c>
      <c r="E1088" s="27"/>
      <c r="F1088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1088" s="95">
        <v>44600</v>
      </c>
      <c r="H1088" s="28" t="s">
        <v>10</v>
      </c>
      <c r="I1088" s="95">
        <v>44540</v>
      </c>
      <c r="J1088" s="38" t="s">
        <v>651</v>
      </c>
      <c r="K1088" s="23">
        <v>770000</v>
      </c>
      <c r="L1088" s="23"/>
      <c r="M1088" s="24">
        <v>146300</v>
      </c>
      <c r="N1088" s="25"/>
      <c r="O1088" s="24">
        <v>0</v>
      </c>
      <c r="P1088" s="136">
        <f>+IF(PROVEEDORES[[#This Row],[SUBTOTAL]]&lt;PROVEEDORES[[#This Row],[base retencion]],0,PROVEEDORES[[#This Row],[retención aplicada]])</f>
        <v>0</v>
      </c>
      <c r="Q1088" s="24">
        <f>+PROVEEDORES[[#This Row],[Rete Fuente %]]*PROVEEDORES[[#This Row],[SUBTOTAL]]</f>
        <v>0</v>
      </c>
      <c r="R1088" s="23">
        <v>916300</v>
      </c>
      <c r="S108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8" s="99">
        <f ca="1">IF(PROVEEDORES[[#This Row],[FECHA DE PAGO]]=0,TODAY()-PROVEEDORES[[#This Row],[FECHA DE FACTURACIÓN]]-PROVEEDORES[[#This Row],[PLAZO Días]],0)</f>
        <v>0</v>
      </c>
      <c r="U1088" s="149">
        <f>+VLOOKUP(PROVEEDORES[[#This Row],[PROVEEDOR]],Terceros!$A:$E,5,FALSE)</f>
        <v>0</v>
      </c>
      <c r="V1088" s="150">
        <f>+YEAR(PROVEEDORES[[#This Row],[FECHA DE FACTURACIÓN]])</f>
        <v>2021</v>
      </c>
      <c r="W1088" s="150">
        <f>+MATCH(PROVEEDORES[[#This Row],[año facturado]],Retenciones!$1:$1,0)</f>
        <v>4</v>
      </c>
      <c r="X1088" s="151">
        <f>+VLOOKUP(PROVEEDORES[[#This Row],[ID RETENCION]],Retenciones!$A$1:$O$24,PROVEEDORES[[#This Row],[indicador de columna]],FALSE)</f>
        <v>0</v>
      </c>
      <c r="Y1088" s="152">
        <f>+VLOOKUP(PROVEEDORES[[#This Row],[ID RETENCION]],Retenciones!$A$1:$O$24,2,FALSE)</f>
        <v>0</v>
      </c>
      <c r="Z1088" s="26"/>
      <c r="AA1088" s="26"/>
      <c r="AB1088" s="26"/>
      <c r="AC1088" s="26"/>
      <c r="AD1088" s="26"/>
      <c r="AE1088" s="26"/>
    </row>
    <row r="1089" spans="1:31" ht="21.95" customHeight="1" x14ac:dyDescent="0.25">
      <c r="A1089" s="97" t="str">
        <f>+IF(PROVEEDORES[[#This Row],[FECHA DE PAGO]]=PROVEEDORES[[#This Row],[FECHA DE FACTURACIÓN]],"DE CONTADO","CRÉDITO")</f>
        <v>CRÉDITO</v>
      </c>
      <c r="B1089" s="41" t="b">
        <f>+IF((PROVEEDORES[[#This Row],[FECHA DE PAGO]]-PROVEEDORES[[#This Row],[FECHA DE FACTURACIÓN]])&gt;PROVEEDORES[[#This Row],[PLAZO Días]],"PAGO VENCIDO")</f>
        <v>0</v>
      </c>
      <c r="C1089" s="22">
        <f>+VLOOKUP(PROVEEDORES[[#This Row],[PROVEEDOR]],TERCEROS_INFO[#All],2,FALSE)</f>
        <v>30</v>
      </c>
      <c r="D1089" s="27">
        <f>+SUMIFS(PROVEEDORES[Total],PROVEEDORES[PROVEEDOR],PROVEEDORES[[#This Row],[PROVEEDOR]],PROVEEDORES[FECHA DE PAGO],"")</f>
        <v>0</v>
      </c>
      <c r="E1089" s="27"/>
      <c r="F1089" s="62" t="str">
        <f>+VLOOKUP(PROVEEDORES[[#This Row],[PROVEEDOR]],
                       Terceros!$A:$G,
                       6,
                       FALSE)</f>
        <v/>
      </c>
      <c r="G1089" s="95">
        <v>44557</v>
      </c>
      <c r="H1089" s="28" t="s">
        <v>1001</v>
      </c>
      <c r="I1089" s="95">
        <v>44540</v>
      </c>
      <c r="J1089" s="38" t="s">
        <v>909</v>
      </c>
      <c r="K1089" s="23">
        <v>1444000</v>
      </c>
      <c r="L1089" s="23"/>
      <c r="M1089" s="24">
        <v>0</v>
      </c>
      <c r="N1089" s="25"/>
      <c r="O1089" s="24">
        <v>0</v>
      </c>
      <c r="P1089" s="136">
        <f>+IF(PROVEEDORES[[#This Row],[SUBTOTAL]]&lt;PROVEEDORES[[#This Row],[base retencion]],0,PROVEEDORES[[#This Row],[retención aplicada]])</f>
        <v>0</v>
      </c>
      <c r="Q1089" s="24">
        <f>+PROVEEDORES[[#This Row],[Rete Fuente %]]*PROVEEDORES[[#This Row],[SUBTOTAL]]</f>
        <v>0</v>
      </c>
      <c r="R1089" s="23">
        <v>1444000</v>
      </c>
      <c r="S108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9" s="99">
        <f ca="1">IF(PROVEEDORES[[#This Row],[FECHA DE PAGO]]=0,TODAY()-PROVEEDORES[[#This Row],[FECHA DE FACTURACIÓN]]-PROVEEDORES[[#This Row],[PLAZO Días]],0)</f>
        <v>0</v>
      </c>
      <c r="U1089" s="149">
        <f>+VLOOKUP(PROVEEDORES[[#This Row],[PROVEEDOR]],Terceros!$A:$E,5,FALSE)</f>
        <v>0</v>
      </c>
      <c r="V1089" s="150">
        <f>+YEAR(PROVEEDORES[[#This Row],[FECHA DE FACTURACIÓN]])</f>
        <v>2021</v>
      </c>
      <c r="W1089" s="150">
        <f>+MATCH(PROVEEDORES[[#This Row],[año facturado]],Retenciones!$1:$1,0)</f>
        <v>4</v>
      </c>
      <c r="X1089" s="151">
        <f>+VLOOKUP(PROVEEDORES[[#This Row],[ID RETENCION]],Retenciones!$A$1:$O$24,PROVEEDORES[[#This Row],[indicador de columna]],FALSE)</f>
        <v>0</v>
      </c>
      <c r="Y1089" s="152">
        <f>+VLOOKUP(PROVEEDORES[[#This Row],[ID RETENCION]],Retenciones!$A$1:$O$24,2,FALSE)</f>
        <v>0</v>
      </c>
      <c r="Z1089" s="26"/>
      <c r="AA1089" s="26"/>
      <c r="AB1089" s="26"/>
      <c r="AC1089" s="26"/>
      <c r="AD1089" s="26"/>
      <c r="AE1089" s="26"/>
    </row>
    <row r="1090" spans="1:31" ht="21.95" customHeight="1" x14ac:dyDescent="0.25">
      <c r="A1090" s="97" t="str">
        <f>+IF(PROVEEDORES[[#This Row],[FECHA DE PAGO]]=PROVEEDORES[[#This Row],[FECHA DE FACTURACIÓN]],"DE CONTADO","CRÉDITO")</f>
        <v>CRÉDITO</v>
      </c>
      <c r="B1090" s="41" t="str">
        <f>+IF((PROVEEDORES[[#This Row],[FECHA DE PAGO]]-PROVEEDORES[[#This Row],[FECHA DE FACTURACIÓN]])&gt;PROVEEDORES[[#This Row],[PLAZO Días]],"PAGO VENCIDO")</f>
        <v>PAGO VENCIDO</v>
      </c>
      <c r="C1090" s="22">
        <f>+VLOOKUP(PROVEEDORES[[#This Row],[PROVEEDOR]],TERCEROS_INFO[#All],2,FALSE)</f>
        <v>30</v>
      </c>
      <c r="D1090" s="27">
        <f>+SUMIFS(PROVEEDORES[Total],PROVEEDORES[PROVEEDOR],PROVEEDORES[[#This Row],[PROVEEDOR]],PROVEEDORES[FECHA DE PAGO],"")</f>
        <v>3844432.4999000002</v>
      </c>
      <c r="E1090" s="27"/>
      <c r="F1090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1090" s="95">
        <v>44582</v>
      </c>
      <c r="H1090" s="28" t="s">
        <v>18</v>
      </c>
      <c r="I1090" s="95">
        <v>44540</v>
      </c>
      <c r="J1090" s="38">
        <v>1047095</v>
      </c>
      <c r="K1090" s="23">
        <v>5212873.47</v>
      </c>
      <c r="L1090" s="23"/>
      <c r="M1090" s="24">
        <v>990445.95929999999</v>
      </c>
      <c r="N1090" s="25"/>
      <c r="O1090" s="24">
        <v>0</v>
      </c>
      <c r="P1090" s="136">
        <f>+IF(PROVEEDORES[[#This Row],[SUBTOTAL]]&lt;PROVEEDORES[[#This Row],[base retencion]],0,PROVEEDORES[[#This Row],[retención aplicada]])</f>
        <v>2.5000000000000001E-2</v>
      </c>
      <c r="Q1090" s="24">
        <f>+PROVEEDORES[[#This Row],[Rete Fuente %]]*PROVEEDORES[[#This Row],[SUBTOTAL]]</f>
        <v>130321.83675</v>
      </c>
      <c r="R1090" s="23">
        <v>6072997.5925500002</v>
      </c>
      <c r="S109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0" s="99">
        <f ca="1">IF(PROVEEDORES[[#This Row],[FECHA DE PAGO]]=0,TODAY()-PROVEEDORES[[#This Row],[FECHA DE FACTURACIÓN]]-PROVEEDORES[[#This Row],[PLAZO Días]],0)</f>
        <v>0</v>
      </c>
      <c r="U1090" s="149" t="str">
        <f>+VLOOKUP(PROVEEDORES[[#This Row],[PROVEEDOR]],Terceros!$A:$E,5,FALSE)</f>
        <v>2,5% con base</v>
      </c>
      <c r="V1090" s="150">
        <f>+YEAR(PROVEEDORES[[#This Row],[FECHA DE FACTURACIÓN]])</f>
        <v>2021</v>
      </c>
      <c r="W1090" s="150">
        <f>+MATCH(PROVEEDORES[[#This Row],[año facturado]],Retenciones!$1:$1,0)</f>
        <v>4</v>
      </c>
      <c r="X1090" s="151">
        <f>+VLOOKUP(PROVEEDORES[[#This Row],[ID RETENCION]],Retenciones!$A$1:$O$24,PROVEEDORES[[#This Row],[indicador de columna]],FALSE)</f>
        <v>980000</v>
      </c>
      <c r="Y1090" s="152">
        <f>+VLOOKUP(PROVEEDORES[[#This Row],[ID RETENCION]],Retenciones!$A$1:$O$24,2,FALSE)</f>
        <v>2.5000000000000001E-2</v>
      </c>
      <c r="Z1090" s="26"/>
      <c r="AA1090" s="26"/>
      <c r="AB1090" s="26"/>
      <c r="AC1090" s="26"/>
      <c r="AD1090" s="26"/>
      <c r="AE1090" s="26"/>
    </row>
    <row r="1091" spans="1:31" ht="21.95" customHeight="1" x14ac:dyDescent="0.25">
      <c r="A1091" s="97" t="str">
        <f>+IF(PROVEEDORES[[#This Row],[FECHA DE PAGO]]=PROVEEDORES[[#This Row],[FECHA DE FACTURACIÓN]],"DE CONTADO","CRÉDITO")</f>
        <v>CRÉDITO</v>
      </c>
      <c r="B1091" s="41" t="b">
        <f>+IF((PROVEEDORES[[#This Row],[FECHA DE PAGO]]-PROVEEDORES[[#This Row],[FECHA DE FACTURACIÓN]])&gt;PROVEEDORES[[#This Row],[PLAZO Días]],"PAGO VENCIDO")</f>
        <v>0</v>
      </c>
      <c r="C1091" s="22">
        <f>+VLOOKUP(PROVEEDORES[[#This Row],[PROVEEDOR]],TERCEROS_INFO[#All],2,FALSE)</f>
        <v>30</v>
      </c>
      <c r="D1091" s="27">
        <f>+SUMIFS(PROVEEDORES[Total],PROVEEDORES[PROVEEDOR],PROVEEDORES[[#This Row],[PROVEEDOR]],PROVEEDORES[FECHA DE PAGO],"")</f>
        <v>627113.34</v>
      </c>
      <c r="E1091" s="27"/>
      <c r="F1091" s="62" t="str">
        <f>+VLOOKUP(PROVEEDORES[[#This Row],[PROVEEDOR]],
                       Terceros!$A:$G,
                       6,
                       FALSE)</f>
        <v>ventas@ismartsas.com;girlesa.ruiz@servipilas.com;joriescobar64@gmail.com</v>
      </c>
      <c r="G1091" s="95">
        <v>44558</v>
      </c>
      <c r="H1091" s="28" t="s">
        <v>48</v>
      </c>
      <c r="I1091" s="95">
        <v>44541</v>
      </c>
      <c r="J1091" s="38">
        <v>33923</v>
      </c>
      <c r="K1091" s="23">
        <v>766609</v>
      </c>
      <c r="L1091" s="23"/>
      <c r="M1091" s="24">
        <v>145655.71</v>
      </c>
      <c r="N1091" s="25"/>
      <c r="O1091" s="24">
        <v>0</v>
      </c>
      <c r="P1091" s="136">
        <f>+IF(PROVEEDORES[[#This Row],[SUBTOTAL]]&lt;PROVEEDORES[[#This Row],[base retencion]],0,PROVEEDORES[[#This Row],[retención aplicada]])</f>
        <v>0</v>
      </c>
      <c r="Q1091" s="24">
        <f>+PROVEEDORES[[#This Row],[Rete Fuente %]]*PROVEEDORES[[#This Row],[SUBTOTAL]]</f>
        <v>0</v>
      </c>
      <c r="R1091" s="23">
        <v>912264.71</v>
      </c>
      <c r="S109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1" s="99">
        <f ca="1">IF(PROVEEDORES[[#This Row],[FECHA DE PAGO]]=0,TODAY()-PROVEEDORES[[#This Row],[FECHA DE FACTURACIÓN]]-PROVEEDORES[[#This Row],[PLAZO Días]],0)</f>
        <v>0</v>
      </c>
      <c r="U1091" s="149" t="str">
        <f>+VLOOKUP(PROVEEDORES[[#This Row],[PROVEEDOR]],Terceros!$A:$E,5,FALSE)</f>
        <v>2,5% con base</v>
      </c>
      <c r="V1091" s="150">
        <f>+YEAR(PROVEEDORES[[#This Row],[FECHA DE FACTURACIÓN]])</f>
        <v>2021</v>
      </c>
      <c r="W1091" s="150">
        <f>+MATCH(PROVEEDORES[[#This Row],[año facturado]],Retenciones!$1:$1,0)</f>
        <v>4</v>
      </c>
      <c r="X1091" s="151">
        <f>+VLOOKUP(PROVEEDORES[[#This Row],[ID RETENCION]],Retenciones!$A$1:$O$24,PROVEEDORES[[#This Row],[indicador de columna]],FALSE)</f>
        <v>980000</v>
      </c>
      <c r="Y1091" s="152">
        <f>+VLOOKUP(PROVEEDORES[[#This Row],[ID RETENCION]],Retenciones!$A$1:$O$24,2,FALSE)</f>
        <v>2.5000000000000001E-2</v>
      </c>
      <c r="Z1091" s="26"/>
      <c r="AA1091" s="26"/>
      <c r="AB1091" s="26"/>
      <c r="AC1091" s="26"/>
      <c r="AD1091" s="26"/>
      <c r="AE1091" s="26"/>
    </row>
    <row r="1092" spans="1:31" ht="21.95" customHeight="1" x14ac:dyDescent="0.25">
      <c r="A1092" s="97" t="str">
        <f>+IF(PROVEEDORES[[#This Row],[FECHA DE PAGO]]=PROVEEDORES[[#This Row],[FECHA DE FACTURACIÓN]],"DE CONTADO","CRÉDITO")</f>
        <v>DE CONTADO</v>
      </c>
      <c r="B1092" s="41" t="b">
        <f>+IF((PROVEEDORES[[#This Row],[FECHA DE PAGO]]-PROVEEDORES[[#This Row],[FECHA DE FACTURACIÓN]])&gt;PROVEEDORES[[#This Row],[PLAZO Días]],"PAGO VENCIDO")</f>
        <v>0</v>
      </c>
      <c r="C1092" s="22">
        <f>+VLOOKUP(PROVEEDORES[[#This Row],[PROVEEDOR]],TERCEROS_INFO[#All],2,FALSE)</f>
        <v>30</v>
      </c>
      <c r="D1092" s="27">
        <f>+SUMIFS(PROVEEDORES[Total],PROVEEDORES[PROVEEDOR],PROVEEDORES[[#This Row],[PROVEEDOR]],PROVEEDORES[FECHA DE PAGO],"")</f>
        <v>0</v>
      </c>
      <c r="E1092" s="27"/>
      <c r="F1092" s="62" t="str">
        <f>+VLOOKUP(PROVEEDORES[[#This Row],[PROVEEDOR]],
                       Terceros!$A:$G,
                       6,
                       FALSE)</f>
        <v/>
      </c>
      <c r="G1092" s="95">
        <v>44541</v>
      </c>
      <c r="H1092" s="28" t="s">
        <v>1046</v>
      </c>
      <c r="I1092" s="95">
        <v>44541</v>
      </c>
      <c r="J1092" s="38"/>
      <c r="K1092" s="23">
        <v>1000000</v>
      </c>
      <c r="L1092" s="23"/>
      <c r="M1092" s="24">
        <v>0</v>
      </c>
      <c r="N1092" s="25"/>
      <c r="O1092" s="24">
        <v>0</v>
      </c>
      <c r="P1092" s="136">
        <f>+IF(PROVEEDORES[[#This Row],[SUBTOTAL]]&lt;PROVEEDORES[[#This Row],[base retencion]],0,PROVEEDORES[[#This Row],[retención aplicada]])</f>
        <v>0</v>
      </c>
      <c r="Q1092" s="24">
        <f>+PROVEEDORES[[#This Row],[Rete Fuente %]]*PROVEEDORES[[#This Row],[SUBTOTAL]]</f>
        <v>0</v>
      </c>
      <c r="R1092" s="23">
        <v>1000000</v>
      </c>
      <c r="S109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2" s="99">
        <f ca="1">IF(PROVEEDORES[[#This Row],[FECHA DE PAGO]]=0,TODAY()-PROVEEDORES[[#This Row],[FECHA DE FACTURACIÓN]]-PROVEEDORES[[#This Row],[PLAZO Días]],0)</f>
        <v>0</v>
      </c>
      <c r="U1092" s="149">
        <f>+VLOOKUP(PROVEEDORES[[#This Row],[PROVEEDOR]],Terceros!$A:$E,5,FALSE)</f>
        <v>0</v>
      </c>
      <c r="V1092" s="150">
        <f>+YEAR(PROVEEDORES[[#This Row],[FECHA DE FACTURACIÓN]])</f>
        <v>2021</v>
      </c>
      <c r="W1092" s="150">
        <f>+MATCH(PROVEEDORES[[#This Row],[año facturado]],Retenciones!$1:$1,0)</f>
        <v>4</v>
      </c>
      <c r="X1092" s="151">
        <f>+VLOOKUP(PROVEEDORES[[#This Row],[ID RETENCION]],Retenciones!$A$1:$O$24,PROVEEDORES[[#This Row],[indicador de columna]],FALSE)</f>
        <v>0</v>
      </c>
      <c r="Y1092" s="152">
        <f>+VLOOKUP(PROVEEDORES[[#This Row],[ID RETENCION]],Retenciones!$A$1:$O$24,2,FALSE)</f>
        <v>0</v>
      </c>
      <c r="Z1092" s="26"/>
      <c r="AA1092" s="26"/>
      <c r="AB1092" s="26"/>
      <c r="AC1092" s="26"/>
      <c r="AD1092" s="26"/>
      <c r="AE1092" s="26"/>
    </row>
    <row r="1093" spans="1:31" ht="21.95" customHeight="1" x14ac:dyDescent="0.25">
      <c r="A1093" s="97" t="str">
        <f>+IF(PROVEEDORES[[#This Row],[FECHA DE PAGO]]=PROVEEDORES[[#This Row],[FECHA DE FACTURACIÓN]],"DE CONTADO","CRÉDITO")</f>
        <v>CRÉDITO</v>
      </c>
      <c r="B1093" s="41" t="b">
        <f>+IF((PROVEEDORES[[#This Row],[FECHA DE PAGO]]-PROVEEDORES[[#This Row],[FECHA DE FACTURACIÓN]])&gt;PROVEEDORES[[#This Row],[PLAZO Días]],"PAGO VENCIDO")</f>
        <v>0</v>
      </c>
      <c r="C1093" s="22">
        <f>+VLOOKUP(PROVEEDORES[[#This Row],[PROVEEDOR]],TERCEROS_INFO[#All],2,FALSE)</f>
        <v>90</v>
      </c>
      <c r="D1093" s="27">
        <f>+SUMIFS(PROVEEDORES[Total],PROVEEDORES[PROVEEDOR],PROVEEDORES[[#This Row],[PROVEEDOR]],PROVEEDORES[FECHA DE PAGO],"")</f>
        <v>26364243.66155</v>
      </c>
      <c r="E1093" s="27"/>
      <c r="F1093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1093" s="95">
        <v>44624</v>
      </c>
      <c r="H1093" s="28" t="s">
        <v>12</v>
      </c>
      <c r="I1093" s="95">
        <v>44541</v>
      </c>
      <c r="J1093" s="38" t="s">
        <v>654</v>
      </c>
      <c r="K1093" s="23">
        <v>2907563</v>
      </c>
      <c r="L1093" s="23"/>
      <c r="M1093" s="24">
        <v>552436.97</v>
      </c>
      <c r="N1093" s="25"/>
      <c r="O1093" s="24">
        <v>0</v>
      </c>
      <c r="P1093" s="136">
        <f>+IF(PROVEEDORES[[#This Row],[SUBTOTAL]]&lt;PROVEEDORES[[#This Row],[base retencion]],0,PROVEEDORES[[#This Row],[retención aplicada]])</f>
        <v>2.5000000000000001E-2</v>
      </c>
      <c r="Q1093" s="24">
        <f>+PROVEEDORES[[#This Row],[Rete Fuente %]]*PROVEEDORES[[#This Row],[SUBTOTAL]]</f>
        <v>72689.074999999997</v>
      </c>
      <c r="R1093" s="23">
        <v>3387310.8949999996</v>
      </c>
      <c r="S109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3" s="99">
        <f ca="1">IF(PROVEEDORES[[#This Row],[FECHA DE PAGO]]=0,TODAY()-PROVEEDORES[[#This Row],[FECHA DE FACTURACIÓN]]-PROVEEDORES[[#This Row],[PLAZO Días]],0)</f>
        <v>0</v>
      </c>
      <c r="U1093" s="149" t="str">
        <f>+VLOOKUP(PROVEEDORES[[#This Row],[PROVEEDOR]],Terceros!$A:$E,5,FALSE)</f>
        <v>2,5% con base</v>
      </c>
      <c r="V1093" s="150">
        <f>+YEAR(PROVEEDORES[[#This Row],[FECHA DE FACTURACIÓN]])</f>
        <v>2021</v>
      </c>
      <c r="W1093" s="150">
        <f>+MATCH(PROVEEDORES[[#This Row],[año facturado]],Retenciones!$1:$1,0)</f>
        <v>4</v>
      </c>
      <c r="X1093" s="151">
        <f>+VLOOKUP(PROVEEDORES[[#This Row],[ID RETENCION]],Retenciones!$A$1:$O$24,PROVEEDORES[[#This Row],[indicador de columna]],FALSE)</f>
        <v>980000</v>
      </c>
      <c r="Y1093" s="152">
        <f>+VLOOKUP(PROVEEDORES[[#This Row],[ID RETENCION]],Retenciones!$A$1:$O$24,2,FALSE)</f>
        <v>2.5000000000000001E-2</v>
      </c>
      <c r="Z1093" s="26"/>
      <c r="AA1093" s="26"/>
      <c r="AB1093" s="26"/>
      <c r="AC1093" s="26"/>
      <c r="AD1093" s="26"/>
      <c r="AE1093" s="26"/>
    </row>
    <row r="1094" spans="1:31" ht="21.95" customHeight="1" x14ac:dyDescent="0.25">
      <c r="A1094" s="97" t="str">
        <f>+IF(PROVEEDORES[[#This Row],[FECHA DE PAGO]]=PROVEEDORES[[#This Row],[FECHA DE FACTURACIÓN]],"DE CONTADO","CRÉDITO")</f>
        <v>CRÉDITO</v>
      </c>
      <c r="B1094" s="41" t="str">
        <f>+IF((PROVEEDORES[[#This Row],[FECHA DE PAGO]]-PROVEEDORES[[#This Row],[FECHA DE FACTURACIÓN]])&gt;PROVEEDORES[[#This Row],[PLAZO Días]],"PAGO VENCIDO")</f>
        <v>PAGO VENCIDO</v>
      </c>
      <c r="C1094" s="22">
        <f>+VLOOKUP(PROVEEDORES[[#This Row],[PROVEEDOR]],TERCEROS_INFO[#All],2,FALSE)</f>
        <v>30</v>
      </c>
      <c r="D1094" s="27">
        <f>+SUMIFS(PROVEEDORES[Total],PROVEEDORES[PROVEEDOR],PROVEEDORES[[#This Row],[PROVEEDOR]],PROVEEDORES[FECHA DE PAGO],"")</f>
        <v>0</v>
      </c>
      <c r="E1094" s="27"/>
      <c r="F1094" s="62" t="str">
        <f>+VLOOKUP(PROVEEDORES[[#This Row],[PROVEEDOR]],
                       Terceros!$A:$G,
                       6,
                       FALSE)</f>
        <v>supervisorventasbridge@gmail.com;newtimewatches1@gmail.com;girlesa.ruiz@servipilas.com;joriescobar64@gmail.com</v>
      </c>
      <c r="G1094" s="95">
        <v>44635</v>
      </c>
      <c r="H1094" s="28" t="s">
        <v>135</v>
      </c>
      <c r="I1094" s="95">
        <v>44541</v>
      </c>
      <c r="J1094" s="38"/>
      <c r="K1094" s="23">
        <v>3986635</v>
      </c>
      <c r="L1094" s="23"/>
      <c r="M1094" s="24">
        <v>757460.65</v>
      </c>
      <c r="N1094" s="25"/>
      <c r="O1094" s="24">
        <v>0</v>
      </c>
      <c r="P1094" s="136">
        <f>+IF(PROVEEDORES[[#This Row],[SUBTOTAL]]&lt;PROVEEDORES[[#This Row],[base retencion]],0,PROVEEDORES[[#This Row],[retención aplicada]])</f>
        <v>2.5000000000000001E-2</v>
      </c>
      <c r="Q1094" s="24">
        <f>+PROVEEDORES[[#This Row],[Rete Fuente %]]*PROVEEDORES[[#This Row],[SUBTOTAL]]</f>
        <v>99665.875</v>
      </c>
      <c r="R1094" s="23">
        <v>4644429.7750000004</v>
      </c>
      <c r="S109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4" s="99">
        <f ca="1">IF(PROVEEDORES[[#This Row],[FECHA DE PAGO]]=0,TODAY()-PROVEEDORES[[#This Row],[FECHA DE FACTURACIÓN]]-PROVEEDORES[[#This Row],[PLAZO Días]],0)</f>
        <v>0</v>
      </c>
      <c r="U1094" s="149" t="str">
        <f>+VLOOKUP(PROVEEDORES[[#This Row],[PROVEEDOR]],Terceros!$A:$E,5,FALSE)</f>
        <v>2,5% con base</v>
      </c>
      <c r="V1094" s="150">
        <f>+YEAR(PROVEEDORES[[#This Row],[FECHA DE FACTURACIÓN]])</f>
        <v>2021</v>
      </c>
      <c r="W1094" s="150">
        <f>+MATCH(PROVEEDORES[[#This Row],[año facturado]],Retenciones!$1:$1,0)</f>
        <v>4</v>
      </c>
      <c r="X1094" s="151">
        <f>+VLOOKUP(PROVEEDORES[[#This Row],[ID RETENCION]],Retenciones!$A$1:$O$24,PROVEEDORES[[#This Row],[indicador de columna]],FALSE)</f>
        <v>980000</v>
      </c>
      <c r="Y1094" s="152">
        <f>+VLOOKUP(PROVEEDORES[[#This Row],[ID RETENCION]],Retenciones!$A$1:$O$24,2,FALSE)</f>
        <v>2.5000000000000001E-2</v>
      </c>
      <c r="Z1094" s="26"/>
      <c r="AA1094" s="26"/>
      <c r="AB1094" s="26"/>
      <c r="AC1094" s="26"/>
      <c r="AD1094" s="26"/>
      <c r="AE1094" s="26"/>
    </row>
    <row r="1095" spans="1:31" ht="21.95" customHeight="1" x14ac:dyDescent="0.25">
      <c r="A1095" s="97" t="str">
        <f>+IF(PROVEEDORES[[#This Row],[FECHA DE PAGO]]=PROVEEDORES[[#This Row],[FECHA DE FACTURACIÓN]],"DE CONTADO","CRÉDITO")</f>
        <v>CRÉDITO</v>
      </c>
      <c r="B1095" s="41" t="b">
        <f>+IF((PROVEEDORES[[#This Row],[FECHA DE PAGO]]-PROVEEDORES[[#This Row],[FECHA DE FACTURACIÓN]])&gt;PROVEEDORES[[#This Row],[PLAZO Días]],"PAGO VENCIDO")</f>
        <v>0</v>
      </c>
      <c r="C1095" s="22">
        <f>+VLOOKUP(PROVEEDORES[[#This Row],[PROVEEDOR]],TERCEROS_INFO[#All],2,FALSE)</f>
        <v>90</v>
      </c>
      <c r="D1095" s="27">
        <f>+SUMIFS(PROVEEDORES[Total],PROVEEDORES[PROVEEDOR],PROVEEDORES[[#This Row],[PROVEEDOR]],PROVEEDORES[FECHA DE PAGO],"")</f>
        <v>26364243.66155</v>
      </c>
      <c r="E1095" s="27"/>
      <c r="F1095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1095" s="95">
        <v>44624</v>
      </c>
      <c r="H1095" s="28" t="s">
        <v>12</v>
      </c>
      <c r="I1095" s="95">
        <v>44541</v>
      </c>
      <c r="J1095" s="38" t="s">
        <v>653</v>
      </c>
      <c r="K1095" s="23">
        <v>7164707</v>
      </c>
      <c r="L1095" s="23"/>
      <c r="M1095" s="24">
        <v>1361294.33</v>
      </c>
      <c r="N1095" s="25"/>
      <c r="O1095" s="24">
        <v>0</v>
      </c>
      <c r="P1095" s="136">
        <f>+IF(PROVEEDORES[[#This Row],[SUBTOTAL]]&lt;PROVEEDORES[[#This Row],[base retencion]],0,PROVEEDORES[[#This Row],[retención aplicada]])</f>
        <v>2.5000000000000001E-2</v>
      </c>
      <c r="Q1095" s="24">
        <f>+PROVEEDORES[[#This Row],[Rete Fuente %]]*PROVEEDORES[[#This Row],[SUBTOTAL]]</f>
        <v>179117.67500000002</v>
      </c>
      <c r="R1095" s="23">
        <v>8346883.6550000003</v>
      </c>
      <c r="S109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5" s="99">
        <f ca="1">IF(PROVEEDORES[[#This Row],[FECHA DE PAGO]]=0,TODAY()-PROVEEDORES[[#This Row],[FECHA DE FACTURACIÓN]]-PROVEEDORES[[#This Row],[PLAZO Días]],0)</f>
        <v>0</v>
      </c>
      <c r="U1095" s="149" t="str">
        <f>+VLOOKUP(PROVEEDORES[[#This Row],[PROVEEDOR]],Terceros!$A:$E,5,FALSE)</f>
        <v>2,5% con base</v>
      </c>
      <c r="V1095" s="150">
        <f>+YEAR(PROVEEDORES[[#This Row],[FECHA DE FACTURACIÓN]])</f>
        <v>2021</v>
      </c>
      <c r="W1095" s="150">
        <f>+MATCH(PROVEEDORES[[#This Row],[año facturado]],Retenciones!$1:$1,0)</f>
        <v>4</v>
      </c>
      <c r="X1095" s="151">
        <f>+VLOOKUP(PROVEEDORES[[#This Row],[ID RETENCION]],Retenciones!$A$1:$O$24,PROVEEDORES[[#This Row],[indicador de columna]],FALSE)</f>
        <v>980000</v>
      </c>
      <c r="Y1095" s="152">
        <f>+VLOOKUP(PROVEEDORES[[#This Row],[ID RETENCION]],Retenciones!$A$1:$O$24,2,FALSE)</f>
        <v>2.5000000000000001E-2</v>
      </c>
      <c r="Z1095" s="26"/>
      <c r="AA1095" s="26"/>
      <c r="AB1095" s="26"/>
      <c r="AC1095" s="26"/>
      <c r="AD1095" s="26"/>
      <c r="AE1095" s="26"/>
    </row>
    <row r="1096" spans="1:31" ht="21.95" customHeight="1" x14ac:dyDescent="0.25">
      <c r="A1096" s="97" t="str">
        <f>+IF(PROVEEDORES[[#This Row],[FECHA DE PAGO]]=PROVEEDORES[[#This Row],[FECHA DE FACTURACIÓN]],"DE CONTADO","CRÉDITO")</f>
        <v>CRÉDITO</v>
      </c>
      <c r="B1096" s="41" t="b">
        <f>+IF((PROVEEDORES[[#This Row],[FECHA DE PAGO]]-PROVEEDORES[[#This Row],[FECHA DE FACTURACIÓN]])&gt;PROVEEDORES[[#This Row],[PLAZO Días]],"PAGO VENCIDO")</f>
        <v>0</v>
      </c>
      <c r="C1096" s="22">
        <f>+VLOOKUP(PROVEEDORES[[#This Row],[PROVEEDOR]],TERCEROS_INFO[#All],2,FALSE)</f>
        <v>30</v>
      </c>
      <c r="D1096" s="27">
        <f>+SUMIFS(PROVEEDORES[Total],PROVEEDORES[PROVEEDOR],PROVEEDORES[[#This Row],[PROVEEDOR]],PROVEEDORES[FECHA DE PAGO],"")</f>
        <v>367873.4</v>
      </c>
      <c r="E1096" s="27"/>
      <c r="F1096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1096" s="95">
        <v>44543</v>
      </c>
      <c r="H1096" s="28" t="s">
        <v>120</v>
      </c>
      <c r="I1096" s="95">
        <v>44542</v>
      </c>
      <c r="J1096" s="38" t="s">
        <v>895</v>
      </c>
      <c r="K1096" s="23">
        <v>1715000</v>
      </c>
      <c r="L1096" s="23"/>
      <c r="M1096" s="24">
        <v>0</v>
      </c>
      <c r="N1096" s="25"/>
      <c r="O1096" s="24">
        <v>0</v>
      </c>
      <c r="P1096" s="136">
        <f>+IF(PROVEEDORES[[#This Row],[SUBTOTAL]]&lt;PROVEEDORES[[#This Row],[base retencion]],0,PROVEEDORES[[#This Row],[retención aplicada]])</f>
        <v>0</v>
      </c>
      <c r="Q1096" s="24">
        <f>+PROVEEDORES[[#This Row],[Rete Fuente %]]*PROVEEDORES[[#This Row],[SUBTOTAL]]</f>
        <v>0</v>
      </c>
      <c r="R1096" s="23">
        <v>1715000</v>
      </c>
      <c r="S109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6" s="99">
        <f ca="1">IF(PROVEEDORES[[#This Row],[FECHA DE PAGO]]=0,TODAY()-PROVEEDORES[[#This Row],[FECHA DE FACTURACIÓN]]-PROVEEDORES[[#This Row],[PLAZO Días]],0)</f>
        <v>0</v>
      </c>
      <c r="U1096" s="149">
        <f>+VLOOKUP(PROVEEDORES[[#This Row],[PROVEEDOR]],Terceros!$A:$E,5,FALSE)</f>
        <v>0</v>
      </c>
      <c r="V1096" s="150">
        <f>+YEAR(PROVEEDORES[[#This Row],[FECHA DE FACTURACIÓN]])</f>
        <v>2021</v>
      </c>
      <c r="W1096" s="150">
        <f>+MATCH(PROVEEDORES[[#This Row],[año facturado]],Retenciones!$1:$1,0)</f>
        <v>4</v>
      </c>
      <c r="X1096" s="151">
        <f>+VLOOKUP(PROVEEDORES[[#This Row],[ID RETENCION]],Retenciones!$A$1:$O$24,PROVEEDORES[[#This Row],[indicador de columna]],FALSE)</f>
        <v>0</v>
      </c>
      <c r="Y1096" s="152">
        <f>+VLOOKUP(PROVEEDORES[[#This Row],[ID RETENCION]],Retenciones!$A$1:$O$24,2,FALSE)</f>
        <v>0</v>
      </c>
      <c r="Z1096" s="26"/>
      <c r="AA1096" s="26"/>
      <c r="AB1096" s="26"/>
      <c r="AC1096" s="26"/>
      <c r="AD1096" s="26"/>
      <c r="AE1096" s="26"/>
    </row>
    <row r="1097" spans="1:31" ht="21.95" customHeight="1" x14ac:dyDescent="0.25">
      <c r="A1097" s="97" t="str">
        <f>+IF(PROVEEDORES[[#This Row],[FECHA DE PAGO]]=PROVEEDORES[[#This Row],[FECHA DE FACTURACIÓN]],"DE CONTADO","CRÉDITO")</f>
        <v>CRÉDITO</v>
      </c>
      <c r="B1097" s="41" t="b">
        <f>+IF((PROVEEDORES[[#This Row],[FECHA DE PAGO]]-PROVEEDORES[[#This Row],[FECHA DE FACTURACIÓN]])&gt;PROVEEDORES[[#This Row],[PLAZO Días]],"PAGO VENCIDO")</f>
        <v>0</v>
      </c>
      <c r="C1097" s="22">
        <f>+VLOOKUP(PROVEEDORES[[#This Row],[PROVEEDOR]],TERCEROS_INFO[#All],2,FALSE)</f>
        <v>30</v>
      </c>
      <c r="D1097" s="27">
        <f>+SUMIFS(PROVEEDORES[Total],PROVEEDORES[PROVEEDOR],PROVEEDORES[[#This Row],[PROVEEDOR]],PROVEEDORES[FECHA DE PAGO],"")</f>
        <v>0</v>
      </c>
      <c r="E1097" s="27"/>
      <c r="F1097" s="62" t="str">
        <f>+VLOOKUP(PROVEEDORES[[#This Row],[PROVEEDOR]],
                       Terceros!$A:$G,
                       6,
                       FALSE)</f>
        <v/>
      </c>
      <c r="G1097" s="95">
        <v>44543</v>
      </c>
      <c r="H1097" s="28" t="s">
        <v>56</v>
      </c>
      <c r="I1097" s="95">
        <v>44542</v>
      </c>
      <c r="J1097" s="38">
        <v>55546</v>
      </c>
      <c r="K1097" s="23">
        <v>14909000</v>
      </c>
      <c r="L1097" s="23"/>
      <c r="M1097" s="24">
        <v>0</v>
      </c>
      <c r="N1097" s="25"/>
      <c r="O1097" s="24">
        <v>0</v>
      </c>
      <c r="P1097" s="136">
        <f>+IF(PROVEEDORES[[#This Row],[SUBTOTAL]]&lt;PROVEEDORES[[#This Row],[base retencion]],0,PROVEEDORES[[#This Row],[retención aplicada]])</f>
        <v>0</v>
      </c>
      <c r="Q1097" s="24">
        <f>+PROVEEDORES[[#This Row],[Rete Fuente %]]*PROVEEDORES[[#This Row],[SUBTOTAL]]</f>
        <v>0</v>
      </c>
      <c r="R1097" s="23">
        <v>14909000</v>
      </c>
      <c r="S109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7" s="99">
        <f ca="1">IF(PROVEEDORES[[#This Row],[FECHA DE PAGO]]=0,TODAY()-PROVEEDORES[[#This Row],[FECHA DE FACTURACIÓN]]-PROVEEDORES[[#This Row],[PLAZO Días]],0)</f>
        <v>0</v>
      </c>
      <c r="U1097" s="149">
        <f>+VLOOKUP(PROVEEDORES[[#This Row],[PROVEEDOR]],Terceros!$A:$E,5,FALSE)</f>
        <v>0</v>
      </c>
      <c r="V1097" s="150">
        <f>+YEAR(PROVEEDORES[[#This Row],[FECHA DE FACTURACIÓN]])</f>
        <v>2021</v>
      </c>
      <c r="W1097" s="150">
        <f>+MATCH(PROVEEDORES[[#This Row],[año facturado]],Retenciones!$1:$1,0)</f>
        <v>4</v>
      </c>
      <c r="X1097" s="151">
        <f>+VLOOKUP(PROVEEDORES[[#This Row],[ID RETENCION]],Retenciones!$A$1:$O$24,PROVEEDORES[[#This Row],[indicador de columna]],FALSE)</f>
        <v>0</v>
      </c>
      <c r="Y1097" s="152">
        <f>+VLOOKUP(PROVEEDORES[[#This Row],[ID RETENCION]],Retenciones!$A$1:$O$24,2,FALSE)</f>
        <v>0</v>
      </c>
      <c r="Z1097" s="26"/>
      <c r="AA1097" s="26"/>
      <c r="AB1097" s="26"/>
      <c r="AC1097" s="26"/>
      <c r="AD1097" s="26"/>
      <c r="AE1097" s="26"/>
    </row>
    <row r="1098" spans="1:31" ht="21.95" customHeight="1" x14ac:dyDescent="0.25">
      <c r="A1098" s="97" t="str">
        <f>+IF(PROVEEDORES[[#This Row],[FECHA DE PAGO]]=PROVEEDORES[[#This Row],[FECHA DE FACTURACIÓN]],"DE CONTADO","CRÉDITO")</f>
        <v>CRÉDITO</v>
      </c>
      <c r="B1098" s="41" t="b">
        <f>+IF((PROVEEDORES[[#This Row],[FECHA DE PAGO]]-PROVEEDORES[[#This Row],[FECHA DE FACTURACIÓN]])&gt;PROVEEDORES[[#This Row],[PLAZO Días]],"PAGO VENCIDO")</f>
        <v>0</v>
      </c>
      <c r="C1098" s="22">
        <f>+VLOOKUP(PROVEEDORES[[#This Row],[PROVEEDOR]],TERCEROS_INFO[#All],2,FALSE)</f>
        <v>30</v>
      </c>
      <c r="D1098" s="27">
        <f>+SUMIFS(PROVEEDORES[Total],PROVEEDORES[PROVEEDOR],PROVEEDORES[[#This Row],[PROVEEDOR]],PROVEEDORES[FECHA DE PAGO],"")</f>
        <v>0</v>
      </c>
      <c r="E1098" s="27"/>
      <c r="F1098" s="62" t="str">
        <f>+VLOOKUP(PROVEEDORES[[#This Row],[PROVEEDOR]],
                       Terceros!$A:$G,
                       6,
                       FALSE)</f>
        <v/>
      </c>
      <c r="G1098" s="95">
        <v>44561</v>
      </c>
      <c r="H1098" s="28" t="s">
        <v>1037</v>
      </c>
      <c r="I1098" s="95">
        <v>44544</v>
      </c>
      <c r="J1098" s="38" t="s">
        <v>905</v>
      </c>
      <c r="K1098" s="23">
        <v>96000</v>
      </c>
      <c r="L1098" s="23"/>
      <c r="M1098" s="24">
        <v>0</v>
      </c>
      <c r="N1098" s="25"/>
      <c r="O1098" s="24">
        <v>0</v>
      </c>
      <c r="P1098" s="136">
        <f>+IF(PROVEEDORES[[#This Row],[SUBTOTAL]]&lt;PROVEEDORES[[#This Row],[base retencion]],0,PROVEEDORES[[#This Row],[retención aplicada]])</f>
        <v>0</v>
      </c>
      <c r="Q1098" s="24">
        <f>+PROVEEDORES[[#This Row],[Rete Fuente %]]*PROVEEDORES[[#This Row],[SUBTOTAL]]</f>
        <v>0</v>
      </c>
      <c r="R1098" s="23">
        <v>96000</v>
      </c>
      <c r="S109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8" s="99">
        <f ca="1">IF(PROVEEDORES[[#This Row],[FECHA DE PAGO]]=0,TODAY()-PROVEEDORES[[#This Row],[FECHA DE FACTURACIÓN]]-PROVEEDORES[[#This Row],[PLAZO Días]],0)</f>
        <v>0</v>
      </c>
      <c r="U1098" s="149">
        <f>+VLOOKUP(PROVEEDORES[[#This Row],[PROVEEDOR]],Terceros!$A:$E,5,FALSE)</f>
        <v>0</v>
      </c>
      <c r="V1098" s="150">
        <f>+YEAR(PROVEEDORES[[#This Row],[FECHA DE FACTURACIÓN]])</f>
        <v>2021</v>
      </c>
      <c r="W1098" s="150">
        <f>+MATCH(PROVEEDORES[[#This Row],[año facturado]],Retenciones!$1:$1,0)</f>
        <v>4</v>
      </c>
      <c r="X1098" s="151">
        <f>+VLOOKUP(PROVEEDORES[[#This Row],[ID RETENCION]],Retenciones!$A$1:$O$24,PROVEEDORES[[#This Row],[indicador de columna]],FALSE)</f>
        <v>0</v>
      </c>
      <c r="Y1098" s="152">
        <f>+VLOOKUP(PROVEEDORES[[#This Row],[ID RETENCION]],Retenciones!$A$1:$O$24,2,FALSE)</f>
        <v>0</v>
      </c>
      <c r="Z1098" s="26"/>
      <c r="AA1098" s="26"/>
      <c r="AB1098" s="26"/>
      <c r="AC1098" s="26"/>
      <c r="AD1098" s="26"/>
      <c r="AE1098" s="26"/>
    </row>
    <row r="1099" spans="1:31" ht="21.95" customHeight="1" x14ac:dyDescent="0.25">
      <c r="A1099" s="97" t="str">
        <f>+IF(PROVEEDORES[[#This Row],[FECHA DE PAGO]]=PROVEEDORES[[#This Row],[FECHA DE FACTURACIÓN]],"DE CONTADO","CRÉDITO")</f>
        <v>CRÉDITO</v>
      </c>
      <c r="B1099" s="41" t="b">
        <f>+IF((PROVEEDORES[[#This Row],[FECHA DE PAGO]]-PROVEEDORES[[#This Row],[FECHA DE FACTURACIÓN]])&gt;PROVEEDORES[[#This Row],[PLAZO Días]],"PAGO VENCIDO")</f>
        <v>0</v>
      </c>
      <c r="C1099" s="22">
        <f>+VLOOKUP(PROVEEDORES[[#This Row],[PROVEEDOR]],TERCEROS_INFO[#All],2,FALSE)</f>
        <v>30</v>
      </c>
      <c r="D1099" s="27">
        <f>+SUMIFS(PROVEEDORES[Total],PROVEEDORES[PROVEEDOR],PROVEEDORES[[#This Row],[PROVEEDOR]],PROVEEDORES[FECHA DE PAGO],"")</f>
        <v>248736.18000000002</v>
      </c>
      <c r="E1099" s="27"/>
      <c r="F1099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G1099" s="95">
        <v>44554</v>
      </c>
      <c r="H1099" s="28" t="s">
        <v>343</v>
      </c>
      <c r="I1099" s="95">
        <v>44557</v>
      </c>
      <c r="J1099" s="38" t="s">
        <v>638</v>
      </c>
      <c r="K1099" s="23">
        <v>203897</v>
      </c>
      <c r="L1099" s="23"/>
      <c r="M1099" s="24">
        <v>38740.43</v>
      </c>
      <c r="N1099" s="25"/>
      <c r="O1099" s="24">
        <v>0</v>
      </c>
      <c r="P1099" s="136">
        <f>+IF(PROVEEDORES[[#This Row],[SUBTOTAL]]&lt;PROVEEDORES[[#This Row],[base retencion]],0,PROVEEDORES[[#This Row],[retención aplicada]])</f>
        <v>3.5000000000000003E-2</v>
      </c>
      <c r="Q1099" s="24">
        <f>+PROVEEDORES[[#This Row],[Rete Fuente %]]*PROVEEDORES[[#This Row],[SUBTOTAL]]</f>
        <v>7136.3950000000004</v>
      </c>
      <c r="R1099" s="23">
        <v>235501.035</v>
      </c>
      <c r="S109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9" s="99">
        <f ca="1">IF(PROVEEDORES[[#This Row],[FECHA DE PAGO]]=0,TODAY()-PROVEEDORES[[#This Row],[FECHA DE FACTURACIÓN]]-PROVEEDORES[[#This Row],[PLAZO Días]],0)</f>
        <v>0</v>
      </c>
      <c r="U1099" s="149" t="str">
        <f>+VLOOKUP(PROVEEDORES[[#This Row],[PROVEEDOR]],Terceros!$A:$E,5,FALSE)</f>
        <v>3,5% sin base</v>
      </c>
      <c r="V1099" s="150">
        <f>+YEAR(PROVEEDORES[[#This Row],[FECHA DE FACTURACIÓN]])</f>
        <v>2021</v>
      </c>
      <c r="W1099" s="150">
        <f>+MATCH(PROVEEDORES[[#This Row],[año facturado]],Retenciones!$1:$1,0)</f>
        <v>4</v>
      </c>
      <c r="X1099" s="151">
        <f>+VLOOKUP(PROVEEDORES[[#This Row],[ID RETENCION]],Retenciones!$A$1:$O$24,PROVEEDORES[[#This Row],[indicador de columna]],FALSE)</f>
        <v>0</v>
      </c>
      <c r="Y1099" s="152">
        <f>+VLOOKUP(PROVEEDORES[[#This Row],[ID RETENCION]],Retenciones!$A$1:$O$24,2,FALSE)</f>
        <v>3.5000000000000003E-2</v>
      </c>
      <c r="Z1099" s="26"/>
      <c r="AA1099" s="26"/>
      <c r="AB1099" s="26"/>
      <c r="AC1099" s="26"/>
      <c r="AD1099" s="26"/>
      <c r="AE1099" s="26"/>
    </row>
    <row r="1100" spans="1:31" ht="21.95" customHeight="1" x14ac:dyDescent="0.25">
      <c r="A1100" s="97" t="str">
        <f>+IF(PROVEEDORES[[#This Row],[FECHA DE PAGO]]=PROVEEDORES[[#This Row],[FECHA DE FACTURACIÓN]],"DE CONTADO","CRÉDITO")</f>
        <v>CRÉDITO</v>
      </c>
      <c r="B1100" s="41" t="str">
        <f>+IF((PROVEEDORES[[#This Row],[FECHA DE PAGO]]-PROVEEDORES[[#This Row],[FECHA DE FACTURACIÓN]])&gt;PROVEEDORES[[#This Row],[PLAZO Días]],"PAGO VENCIDO")</f>
        <v>PAGO VENCIDO</v>
      </c>
      <c r="C1100" s="22">
        <f>+VLOOKUP(PROVEEDORES[[#This Row],[PROVEEDOR]],TERCEROS_INFO[#All],2,FALSE)</f>
        <v>60</v>
      </c>
      <c r="D1100" s="27">
        <f>+SUMIFS(PROVEEDORES[Total],PROVEEDORES[PROVEEDOR],PROVEEDORES[[#This Row],[PROVEEDOR]],PROVEEDORES[FECHA DE PAGO],"")</f>
        <v>0</v>
      </c>
      <c r="E1100" s="27"/>
      <c r="F1100" s="62" t="str">
        <f>+VLOOKUP(PROVEEDORES[[#This Row],[PROVEEDOR]],
                       Terceros!$A:$G,
                       6,
                       FALSE)</f>
        <v>gloritasz@gmail.com;girlesa.ruiz@servipilas.com;joriescobar64@gmail.com</v>
      </c>
      <c r="G1100" s="95">
        <v>44658</v>
      </c>
      <c r="H1100" s="28" t="s">
        <v>1030</v>
      </c>
      <c r="I1100" s="95">
        <v>44531</v>
      </c>
      <c r="J1100" s="38" t="s">
        <v>885</v>
      </c>
      <c r="K1100" s="23">
        <v>5285000</v>
      </c>
      <c r="L1100" s="23"/>
      <c r="M1100" s="24">
        <v>0</v>
      </c>
      <c r="N1100" s="25"/>
      <c r="O1100" s="24">
        <v>0</v>
      </c>
      <c r="P1100" s="136">
        <f>+IF(PROVEEDORES[[#This Row],[SUBTOTAL]]&lt;PROVEEDORES[[#This Row],[base retencion]],0,PROVEEDORES[[#This Row],[retención aplicada]])</f>
        <v>0</v>
      </c>
      <c r="Q1100" s="24">
        <f>+PROVEEDORES[[#This Row],[Rete Fuente %]]*PROVEEDORES[[#This Row],[SUBTOTAL]]</f>
        <v>0</v>
      </c>
      <c r="R1100" s="23">
        <v>5285000</v>
      </c>
      <c r="S110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0" s="99">
        <f ca="1">IF(PROVEEDORES[[#This Row],[FECHA DE PAGO]]=0,TODAY()-PROVEEDORES[[#This Row],[FECHA DE FACTURACIÓN]]-PROVEEDORES[[#This Row],[PLAZO Días]],0)</f>
        <v>0</v>
      </c>
      <c r="U1100" s="149">
        <f>+VLOOKUP(PROVEEDORES[[#This Row],[PROVEEDOR]],Terceros!$A:$E,5,FALSE)</f>
        <v>0</v>
      </c>
      <c r="V1100" s="150">
        <f>+YEAR(PROVEEDORES[[#This Row],[FECHA DE FACTURACIÓN]])</f>
        <v>2021</v>
      </c>
      <c r="W1100" s="150">
        <f>+MATCH(PROVEEDORES[[#This Row],[año facturado]],Retenciones!$1:$1,0)</f>
        <v>4</v>
      </c>
      <c r="X1100" s="151">
        <f>+VLOOKUP(PROVEEDORES[[#This Row],[ID RETENCION]],Retenciones!$A$1:$O$24,PROVEEDORES[[#This Row],[indicador de columna]],FALSE)</f>
        <v>0</v>
      </c>
      <c r="Y1100" s="152">
        <f>+VLOOKUP(PROVEEDORES[[#This Row],[ID RETENCION]],Retenciones!$A$1:$O$24,2,FALSE)</f>
        <v>0</v>
      </c>
      <c r="Z1100" s="26"/>
      <c r="AA1100" s="26"/>
      <c r="AB1100" s="26"/>
      <c r="AC1100" s="26"/>
      <c r="AD1100" s="26"/>
      <c r="AE1100" s="26"/>
    </row>
    <row r="1101" spans="1:31" ht="21.95" customHeight="1" x14ac:dyDescent="0.25">
      <c r="A1101" s="97" t="str">
        <f>+IF(PROVEEDORES[[#This Row],[FECHA DE PAGO]]=PROVEEDORES[[#This Row],[FECHA DE FACTURACIÓN]],"DE CONTADO","CRÉDITO")</f>
        <v>DE CONTADO</v>
      </c>
      <c r="B1101" s="41" t="b">
        <f>+IF((PROVEEDORES[[#This Row],[FECHA DE PAGO]]-PROVEEDORES[[#This Row],[FECHA DE FACTURACIÓN]])&gt;PROVEEDORES[[#This Row],[PLAZO Días]],"PAGO VENCIDO")</f>
        <v>0</v>
      </c>
      <c r="C1101" s="22">
        <f>+VLOOKUP(PROVEEDORES[[#This Row],[PROVEEDOR]],TERCEROS_INFO[#All],2,FALSE)</f>
        <v>30</v>
      </c>
      <c r="D1101" s="27">
        <f>+SUMIFS(PROVEEDORES[Total],PROVEEDORES[PROVEEDOR],PROVEEDORES[[#This Row],[PROVEEDOR]],PROVEEDORES[FECHA DE PAGO],"")</f>
        <v>0</v>
      </c>
      <c r="E1101" s="27"/>
      <c r="F1101" s="62">
        <f>+VLOOKUP(PROVEEDORES[[#This Row],[PROVEEDOR]],
                       Terceros!$A:$G,
                       6,
                       FALSE)</f>
        <v>0</v>
      </c>
      <c r="G1101" s="95">
        <v>44545</v>
      </c>
      <c r="H1101" s="28" t="s">
        <v>495</v>
      </c>
      <c r="I1101" s="95">
        <v>44545</v>
      </c>
      <c r="J1101" s="38" t="s">
        <v>652</v>
      </c>
      <c r="K1101" s="23">
        <v>4470000</v>
      </c>
      <c r="L1101" s="23"/>
      <c r="M1101" s="24">
        <v>849300</v>
      </c>
      <c r="N1101" s="25"/>
      <c r="O1101" s="24">
        <v>0</v>
      </c>
      <c r="P1101" s="136">
        <f>+IF(PROVEEDORES[[#This Row],[SUBTOTAL]]&lt;PROVEEDORES[[#This Row],[base retencion]],0,PROVEEDORES[[#This Row],[retención aplicada]])</f>
        <v>2.5000000000000001E-2</v>
      </c>
      <c r="Q1101" s="24">
        <f>+PROVEEDORES[[#This Row],[Rete Fuente %]]*PROVEEDORES[[#This Row],[SUBTOTAL]]</f>
        <v>111750</v>
      </c>
      <c r="R1101" s="23">
        <v>5207550</v>
      </c>
      <c r="S110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1" s="99">
        <f ca="1">IF(PROVEEDORES[[#This Row],[FECHA DE PAGO]]=0,TODAY()-PROVEEDORES[[#This Row],[FECHA DE FACTURACIÓN]]-PROVEEDORES[[#This Row],[PLAZO Días]],0)</f>
        <v>0</v>
      </c>
      <c r="U1101" s="149" t="str">
        <f>+VLOOKUP(PROVEEDORES[[#This Row],[PROVEEDOR]],Terceros!$A:$E,5,FALSE)</f>
        <v>2,5% con base</v>
      </c>
      <c r="V1101" s="150">
        <f>+YEAR(PROVEEDORES[[#This Row],[FECHA DE FACTURACIÓN]])</f>
        <v>2021</v>
      </c>
      <c r="W1101" s="150">
        <f>+MATCH(PROVEEDORES[[#This Row],[año facturado]],Retenciones!$1:$1,0)</f>
        <v>4</v>
      </c>
      <c r="X1101" s="151">
        <f>+VLOOKUP(PROVEEDORES[[#This Row],[ID RETENCION]],Retenciones!$A$1:$O$24,PROVEEDORES[[#This Row],[indicador de columna]],FALSE)</f>
        <v>980000</v>
      </c>
      <c r="Y1101" s="152">
        <f>+VLOOKUP(PROVEEDORES[[#This Row],[ID RETENCION]],Retenciones!$A$1:$O$24,2,FALSE)</f>
        <v>2.5000000000000001E-2</v>
      </c>
      <c r="Z1101" s="26"/>
      <c r="AA1101" s="26"/>
      <c r="AB1101" s="26"/>
      <c r="AC1101" s="26"/>
      <c r="AD1101" s="26"/>
      <c r="AE1101" s="26"/>
    </row>
    <row r="1102" spans="1:31" ht="21.95" customHeight="1" x14ac:dyDescent="0.25">
      <c r="A1102" s="97" t="str">
        <f>+IF(PROVEEDORES[[#This Row],[FECHA DE PAGO]]=PROVEEDORES[[#This Row],[FECHA DE FACTURACIÓN]],"DE CONTADO","CRÉDITO")</f>
        <v>CRÉDITO</v>
      </c>
      <c r="B1102" s="41" t="str">
        <f>+IF((PROVEEDORES[[#This Row],[FECHA DE PAGO]]-PROVEEDORES[[#This Row],[FECHA DE FACTURACIÓN]])&gt;PROVEEDORES[[#This Row],[PLAZO Días]],"PAGO VENCIDO")</f>
        <v>PAGO VENCIDO</v>
      </c>
      <c r="C1102" s="22">
        <f>+VLOOKUP(PROVEEDORES[[#This Row],[PROVEEDOR]],TERCEROS_INFO[#All],2,FALSE)</f>
        <v>30</v>
      </c>
      <c r="D1102" s="27">
        <f>+SUMIFS(PROVEEDORES[Total],PROVEEDORES[PROVEEDOR],PROVEEDORES[[#This Row],[PROVEEDOR]],PROVEEDORES[FECHA DE PAGO],"")</f>
        <v>7458000</v>
      </c>
      <c r="E1102" s="27"/>
      <c r="F1102" s="62" t="str">
        <f>+VLOOKUP(PROVEEDORES[[#This Row],[PROVEEDOR]],
                       Terceros!$A:$G,
                       6,
                       FALSE)</f>
        <v/>
      </c>
      <c r="G1102" s="95">
        <v>44620</v>
      </c>
      <c r="H1102" s="28" t="s">
        <v>1043</v>
      </c>
      <c r="I1102" s="95">
        <v>44545</v>
      </c>
      <c r="J1102" s="38" t="s">
        <v>903</v>
      </c>
      <c r="K1102" s="23">
        <v>7060000</v>
      </c>
      <c r="L1102" s="23"/>
      <c r="M1102" s="24">
        <v>0</v>
      </c>
      <c r="N1102" s="25"/>
      <c r="O1102" s="24">
        <v>0</v>
      </c>
      <c r="P1102" s="136">
        <f>+IF(PROVEEDORES[[#This Row],[SUBTOTAL]]&lt;PROVEEDORES[[#This Row],[base retencion]],0,PROVEEDORES[[#This Row],[retención aplicada]])</f>
        <v>0</v>
      </c>
      <c r="Q1102" s="24">
        <f>+PROVEEDORES[[#This Row],[Rete Fuente %]]*PROVEEDORES[[#This Row],[SUBTOTAL]]</f>
        <v>0</v>
      </c>
      <c r="R1102" s="23">
        <v>7060000</v>
      </c>
      <c r="S110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2" s="99">
        <f ca="1">IF(PROVEEDORES[[#This Row],[FECHA DE PAGO]]=0,TODAY()-PROVEEDORES[[#This Row],[FECHA DE FACTURACIÓN]]-PROVEEDORES[[#This Row],[PLAZO Días]],0)</f>
        <v>0</v>
      </c>
      <c r="U1102" s="149">
        <f>+VLOOKUP(PROVEEDORES[[#This Row],[PROVEEDOR]],Terceros!$A:$E,5,FALSE)</f>
        <v>0</v>
      </c>
      <c r="V1102" s="150">
        <f>+YEAR(PROVEEDORES[[#This Row],[FECHA DE FACTURACIÓN]])</f>
        <v>2021</v>
      </c>
      <c r="W1102" s="150">
        <f>+MATCH(PROVEEDORES[[#This Row],[año facturado]],Retenciones!$1:$1,0)</f>
        <v>4</v>
      </c>
      <c r="X1102" s="151">
        <f>+VLOOKUP(PROVEEDORES[[#This Row],[ID RETENCION]],Retenciones!$A$1:$O$24,PROVEEDORES[[#This Row],[indicador de columna]],FALSE)</f>
        <v>0</v>
      </c>
      <c r="Y1102" s="152">
        <f>+VLOOKUP(PROVEEDORES[[#This Row],[ID RETENCION]],Retenciones!$A$1:$O$24,2,FALSE)</f>
        <v>0</v>
      </c>
      <c r="Z1102" s="26"/>
      <c r="AA1102" s="26"/>
      <c r="AB1102" s="26"/>
      <c r="AC1102" s="26"/>
      <c r="AD1102" s="26"/>
      <c r="AE1102" s="26"/>
    </row>
    <row r="1103" spans="1:31" ht="21.95" customHeight="1" x14ac:dyDescent="0.25">
      <c r="A1103" s="97" t="str">
        <f>+IF(PROVEEDORES[[#This Row],[FECHA DE PAGO]]=PROVEEDORES[[#This Row],[FECHA DE FACTURACIÓN]],"DE CONTADO","CRÉDITO")</f>
        <v>CRÉDITO</v>
      </c>
      <c r="B1103" s="41" t="b">
        <f>+IF((PROVEEDORES[[#This Row],[FECHA DE PAGO]]-PROVEEDORES[[#This Row],[FECHA DE FACTURACIÓN]])&gt;PROVEEDORES[[#This Row],[PLAZO Días]],"PAGO VENCIDO")</f>
        <v>0</v>
      </c>
      <c r="C1103" s="22">
        <f>+VLOOKUP(PROVEEDORES[[#This Row],[PROVEEDOR]],TERCEROS_INFO[#All],2,FALSE)</f>
        <v>30</v>
      </c>
      <c r="D1103" s="27">
        <f>+SUMIFS(PROVEEDORES[Total],PROVEEDORES[PROVEEDOR],PROVEEDORES[[#This Row],[PROVEEDOR]],PROVEEDORES[FECHA DE PAGO],"")</f>
        <v>367873.4</v>
      </c>
      <c r="E1103" s="27"/>
      <c r="F1103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1103" s="95">
        <v>44550</v>
      </c>
      <c r="H1103" s="28" t="s">
        <v>120</v>
      </c>
      <c r="I1103" s="95">
        <v>44546</v>
      </c>
      <c r="J1103" s="38" t="s">
        <v>656</v>
      </c>
      <c r="K1103" s="23">
        <v>627659</v>
      </c>
      <c r="L1103" s="23"/>
      <c r="M1103" s="24">
        <v>0</v>
      </c>
      <c r="N1103" s="25"/>
      <c r="O1103" s="24">
        <v>0</v>
      </c>
      <c r="P1103" s="136">
        <f>+IF(PROVEEDORES[[#This Row],[SUBTOTAL]]&lt;PROVEEDORES[[#This Row],[base retencion]],0,PROVEEDORES[[#This Row],[retención aplicada]])</f>
        <v>0</v>
      </c>
      <c r="Q1103" s="24">
        <f>+PROVEEDORES[[#This Row],[Rete Fuente %]]*PROVEEDORES[[#This Row],[SUBTOTAL]]</f>
        <v>0</v>
      </c>
      <c r="R1103" s="23">
        <v>0</v>
      </c>
      <c r="S110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3" s="99">
        <f ca="1">IF(PROVEEDORES[[#This Row],[FECHA DE PAGO]]=0,TODAY()-PROVEEDORES[[#This Row],[FECHA DE FACTURACIÓN]]-PROVEEDORES[[#This Row],[PLAZO Días]],0)</f>
        <v>0</v>
      </c>
      <c r="U1103" s="149">
        <f>+VLOOKUP(PROVEEDORES[[#This Row],[PROVEEDOR]],Terceros!$A:$E,5,FALSE)</f>
        <v>0</v>
      </c>
      <c r="V1103" s="150">
        <f>+YEAR(PROVEEDORES[[#This Row],[FECHA DE FACTURACIÓN]])</f>
        <v>2021</v>
      </c>
      <c r="W1103" s="150">
        <f>+MATCH(PROVEEDORES[[#This Row],[año facturado]],Retenciones!$1:$1,0)</f>
        <v>4</v>
      </c>
      <c r="X1103" s="151">
        <f>+VLOOKUP(PROVEEDORES[[#This Row],[ID RETENCION]],Retenciones!$A$1:$O$24,PROVEEDORES[[#This Row],[indicador de columna]],FALSE)</f>
        <v>0</v>
      </c>
      <c r="Y1103" s="152">
        <f>+VLOOKUP(PROVEEDORES[[#This Row],[ID RETENCION]],Retenciones!$A$1:$O$24,2,FALSE)</f>
        <v>0</v>
      </c>
      <c r="Z1103" s="26"/>
      <c r="AA1103" s="26"/>
      <c r="AB1103" s="26"/>
      <c r="AC1103" s="26"/>
      <c r="AD1103" s="26"/>
      <c r="AE1103" s="26"/>
    </row>
    <row r="1104" spans="1:31" ht="21.95" customHeight="1" x14ac:dyDescent="0.25">
      <c r="A1104" s="97" t="str">
        <f>+IF(PROVEEDORES[[#This Row],[FECHA DE PAGO]]=PROVEEDORES[[#This Row],[FECHA DE FACTURACIÓN]],"DE CONTADO","CRÉDITO")</f>
        <v>CRÉDITO</v>
      </c>
      <c r="B1104" s="41" t="str">
        <f>+IF((PROVEEDORES[[#This Row],[FECHA DE PAGO]]-PROVEEDORES[[#This Row],[FECHA DE FACTURACIÓN]])&gt;PROVEEDORES[[#This Row],[PLAZO Días]],"PAGO VENCIDO")</f>
        <v>PAGO VENCIDO</v>
      </c>
      <c r="C1104" s="22">
        <f>+VLOOKUP(PROVEEDORES[[#This Row],[PROVEEDOR]],TERCEROS_INFO[#All],2,FALSE)</f>
        <v>60</v>
      </c>
      <c r="D1104" s="27">
        <f>+SUMIFS(PROVEEDORES[Total],PROVEEDORES[PROVEEDOR],PROVEEDORES[[#This Row],[PROVEEDOR]],PROVEEDORES[FECHA DE PAGO],"")</f>
        <v>11143041</v>
      </c>
      <c r="E1104" s="27"/>
      <c r="F1104" s="62">
        <f>+VLOOKUP(PROVEEDORES[[#This Row],[PROVEEDOR]],
                       Terceros!$A:$G,
                       6,
                       FALSE)</f>
        <v>0</v>
      </c>
      <c r="G1104" s="95">
        <v>44656</v>
      </c>
      <c r="H1104" s="28" t="s">
        <v>507</v>
      </c>
      <c r="I1104" s="95">
        <v>44546</v>
      </c>
      <c r="J1104" s="38" t="s">
        <v>1119</v>
      </c>
      <c r="K1104" s="23">
        <v>5190000</v>
      </c>
      <c r="L1104" s="23"/>
      <c r="M1104" s="24">
        <v>986100</v>
      </c>
      <c r="N1104" s="25"/>
      <c r="O1104" s="24">
        <v>0</v>
      </c>
      <c r="P1104" s="136">
        <f>+IF(PROVEEDORES[[#This Row],[SUBTOTAL]]&lt;PROVEEDORES[[#This Row],[base retencion]],0,PROVEEDORES[[#This Row],[retención aplicada]])</f>
        <v>0</v>
      </c>
      <c r="Q1104" s="24">
        <f>+PROVEEDORES[[#This Row],[Rete Fuente %]]*PROVEEDORES[[#This Row],[SUBTOTAL]]</f>
        <v>0</v>
      </c>
      <c r="R1104" s="23">
        <v>6046350</v>
      </c>
      <c r="S110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4" s="99">
        <f ca="1">IF(PROVEEDORES[[#This Row],[FECHA DE PAGO]]=0,TODAY()-PROVEEDORES[[#This Row],[FECHA DE FACTURACIÓN]]-PROVEEDORES[[#This Row],[PLAZO Días]],0)</f>
        <v>0</v>
      </c>
      <c r="U1104" s="149">
        <f>+VLOOKUP(PROVEEDORES[[#This Row],[PROVEEDOR]],Terceros!$A:$E,5,FALSE)</f>
        <v>0</v>
      </c>
      <c r="V1104" s="150">
        <f>+YEAR(PROVEEDORES[[#This Row],[FECHA DE FACTURACIÓN]])</f>
        <v>2021</v>
      </c>
      <c r="W1104" s="150">
        <f>+MATCH(PROVEEDORES[[#This Row],[año facturado]],Retenciones!$1:$1,0)</f>
        <v>4</v>
      </c>
      <c r="X1104" s="151">
        <f>+VLOOKUP(PROVEEDORES[[#This Row],[ID RETENCION]],Retenciones!$A$1:$O$24,PROVEEDORES[[#This Row],[indicador de columna]],FALSE)</f>
        <v>0</v>
      </c>
      <c r="Y1104" s="152">
        <f>+VLOOKUP(PROVEEDORES[[#This Row],[ID RETENCION]],Retenciones!$A$1:$O$24,2,FALSE)</f>
        <v>0</v>
      </c>
      <c r="Z1104" s="26"/>
      <c r="AA1104" s="26"/>
      <c r="AB1104" s="26"/>
      <c r="AC1104" s="26"/>
      <c r="AD1104" s="26"/>
      <c r="AE1104" s="26"/>
    </row>
    <row r="1105" spans="1:31" ht="21.95" customHeight="1" x14ac:dyDescent="0.25">
      <c r="A1105" s="97" t="str">
        <f>+IF(PROVEEDORES[[#This Row],[FECHA DE PAGO]]=PROVEEDORES[[#This Row],[FECHA DE FACTURACIÓN]],"DE CONTADO","CRÉDITO")</f>
        <v>DE CONTADO</v>
      </c>
      <c r="B1105" s="41" t="b">
        <f>+IF((PROVEEDORES[[#This Row],[FECHA DE PAGO]]-PROVEEDORES[[#This Row],[FECHA DE FACTURACIÓN]])&gt;PROVEEDORES[[#This Row],[PLAZO Días]],"PAGO VENCIDO")</f>
        <v>0</v>
      </c>
      <c r="C1105" s="22">
        <f>+VLOOKUP(PROVEEDORES[[#This Row],[PROVEEDOR]],TERCEROS_INFO[#All],2,FALSE)</f>
        <v>30</v>
      </c>
      <c r="D1105" s="27">
        <f>+SUMIFS(PROVEEDORES[Total],PROVEEDORES[PROVEEDOR],PROVEEDORES[[#This Row],[PROVEEDOR]],PROVEEDORES[FECHA DE PAGO],"")</f>
        <v>0</v>
      </c>
      <c r="E1105" s="27"/>
      <c r="F1105" s="62">
        <f>+VLOOKUP(PROVEEDORES[[#This Row],[PROVEEDOR]],
                       Terceros!$A:$G,
                       6,
                       FALSE)</f>
        <v>0</v>
      </c>
      <c r="G1105" s="95">
        <v>44547</v>
      </c>
      <c r="H1105" s="28" t="s">
        <v>1008</v>
      </c>
      <c r="I1105" s="95">
        <v>44547</v>
      </c>
      <c r="J1105" s="38" t="s">
        <v>657</v>
      </c>
      <c r="K1105" s="23">
        <v>320000</v>
      </c>
      <c r="L1105" s="23"/>
      <c r="M1105" s="24">
        <v>0</v>
      </c>
      <c r="N1105" s="25"/>
      <c r="O1105" s="24">
        <v>0</v>
      </c>
      <c r="P1105" s="136">
        <f>+IF(PROVEEDORES[[#This Row],[SUBTOTAL]]&lt;PROVEEDORES[[#This Row],[base retencion]],0,PROVEEDORES[[#This Row],[retención aplicada]])</f>
        <v>0</v>
      </c>
      <c r="Q1105" s="24">
        <f>+PROVEEDORES[[#This Row],[Rete Fuente %]]*PROVEEDORES[[#This Row],[SUBTOTAL]]</f>
        <v>0</v>
      </c>
      <c r="R1105" s="23">
        <v>320000</v>
      </c>
      <c r="S110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5" s="99">
        <f ca="1">IF(PROVEEDORES[[#This Row],[FECHA DE PAGO]]=0,TODAY()-PROVEEDORES[[#This Row],[FECHA DE FACTURACIÓN]]-PROVEEDORES[[#This Row],[PLAZO Días]],0)</f>
        <v>0</v>
      </c>
      <c r="U1105" s="149">
        <f>+VLOOKUP(PROVEEDORES[[#This Row],[PROVEEDOR]],Terceros!$A:$E,5,FALSE)</f>
        <v>0</v>
      </c>
      <c r="V1105" s="150">
        <f>+YEAR(PROVEEDORES[[#This Row],[FECHA DE FACTURACIÓN]])</f>
        <v>2021</v>
      </c>
      <c r="W1105" s="150">
        <f>+MATCH(PROVEEDORES[[#This Row],[año facturado]],Retenciones!$1:$1,0)</f>
        <v>4</v>
      </c>
      <c r="X1105" s="151">
        <f>+VLOOKUP(PROVEEDORES[[#This Row],[ID RETENCION]],Retenciones!$A$1:$O$24,PROVEEDORES[[#This Row],[indicador de columna]],FALSE)</f>
        <v>0</v>
      </c>
      <c r="Y1105" s="152">
        <f>+VLOOKUP(PROVEEDORES[[#This Row],[ID RETENCION]],Retenciones!$A$1:$O$24,2,FALSE)</f>
        <v>0</v>
      </c>
      <c r="Z1105" s="26"/>
      <c r="AA1105" s="26"/>
      <c r="AB1105" s="26"/>
      <c r="AC1105" s="26"/>
      <c r="AD1105" s="26"/>
      <c r="AE1105" s="26"/>
    </row>
    <row r="1106" spans="1:31" ht="21.95" customHeight="1" x14ac:dyDescent="0.25">
      <c r="A1106" s="97" t="str">
        <f>+IF(PROVEEDORES[[#This Row],[FECHA DE PAGO]]=PROVEEDORES[[#This Row],[FECHA DE FACTURACIÓN]],"DE CONTADO","CRÉDITO")</f>
        <v>DE CONTADO</v>
      </c>
      <c r="B1106" s="41" t="b">
        <f>+IF((PROVEEDORES[[#This Row],[FECHA DE PAGO]]-PROVEEDORES[[#This Row],[FECHA DE FACTURACIÓN]])&gt;PROVEEDORES[[#This Row],[PLAZO Días]],"PAGO VENCIDO")</f>
        <v>0</v>
      </c>
      <c r="C1106" s="22">
        <f>+VLOOKUP(PROVEEDORES[[#This Row],[PROVEEDOR]],TERCEROS_INFO[#All],2,FALSE)</f>
        <v>30</v>
      </c>
      <c r="D1106" s="27">
        <f>+SUMIFS(PROVEEDORES[Total],PROVEEDORES[PROVEEDOR],PROVEEDORES[[#This Row],[PROVEEDOR]],PROVEEDORES[FECHA DE PAGO],"")</f>
        <v>0</v>
      </c>
      <c r="E1106" s="27"/>
      <c r="F1106" s="62">
        <f>+VLOOKUP(PROVEEDORES[[#This Row],[PROVEEDOR]],
                       Terceros!$A:$G,
                       6,
                       FALSE)</f>
        <v>0</v>
      </c>
      <c r="G1106" s="95">
        <v>44547</v>
      </c>
      <c r="H1106" s="28" t="s">
        <v>1008</v>
      </c>
      <c r="I1106" s="95">
        <v>44547</v>
      </c>
      <c r="J1106" s="38" t="s">
        <v>658</v>
      </c>
      <c r="K1106" s="23">
        <v>963000</v>
      </c>
      <c r="L1106" s="23"/>
      <c r="M1106" s="24">
        <v>0</v>
      </c>
      <c r="N1106" s="25"/>
      <c r="O1106" s="24">
        <v>0</v>
      </c>
      <c r="P1106" s="136">
        <f>+IF(PROVEEDORES[[#This Row],[SUBTOTAL]]&lt;PROVEEDORES[[#This Row],[base retencion]],0,PROVEEDORES[[#This Row],[retención aplicada]])</f>
        <v>0</v>
      </c>
      <c r="Q1106" s="24">
        <f>+PROVEEDORES[[#This Row],[Rete Fuente %]]*PROVEEDORES[[#This Row],[SUBTOTAL]]</f>
        <v>0</v>
      </c>
      <c r="R1106" s="23">
        <v>963000</v>
      </c>
      <c r="S110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6" s="99">
        <f ca="1">IF(PROVEEDORES[[#This Row],[FECHA DE PAGO]]=0,TODAY()-PROVEEDORES[[#This Row],[FECHA DE FACTURACIÓN]]-PROVEEDORES[[#This Row],[PLAZO Días]],0)</f>
        <v>0</v>
      </c>
      <c r="U1106" s="149">
        <f>+VLOOKUP(PROVEEDORES[[#This Row],[PROVEEDOR]],Terceros!$A:$E,5,FALSE)</f>
        <v>0</v>
      </c>
      <c r="V1106" s="150">
        <f>+YEAR(PROVEEDORES[[#This Row],[FECHA DE FACTURACIÓN]])</f>
        <v>2021</v>
      </c>
      <c r="W1106" s="150">
        <f>+MATCH(PROVEEDORES[[#This Row],[año facturado]],Retenciones!$1:$1,0)</f>
        <v>4</v>
      </c>
      <c r="X1106" s="151">
        <f>+VLOOKUP(PROVEEDORES[[#This Row],[ID RETENCION]],Retenciones!$A$1:$O$24,PROVEEDORES[[#This Row],[indicador de columna]],FALSE)</f>
        <v>0</v>
      </c>
      <c r="Y1106" s="152">
        <f>+VLOOKUP(PROVEEDORES[[#This Row],[ID RETENCION]],Retenciones!$A$1:$O$24,2,FALSE)</f>
        <v>0</v>
      </c>
      <c r="Z1106" s="26"/>
      <c r="AA1106" s="26"/>
      <c r="AB1106" s="26"/>
      <c r="AC1106" s="26"/>
      <c r="AD1106" s="26"/>
      <c r="AE1106" s="26"/>
    </row>
    <row r="1107" spans="1:31" ht="21.95" customHeight="1" x14ac:dyDescent="0.25">
      <c r="A1107" s="97" t="str">
        <f>+IF(PROVEEDORES[[#This Row],[FECHA DE PAGO]]=PROVEEDORES[[#This Row],[FECHA DE FACTURACIÓN]],"DE CONTADO","CRÉDITO")</f>
        <v>DE CONTADO</v>
      </c>
      <c r="B1107" s="41" t="b">
        <f>+IF((PROVEEDORES[[#This Row],[FECHA DE PAGO]]-PROVEEDORES[[#This Row],[FECHA DE FACTURACIÓN]])&gt;PROVEEDORES[[#This Row],[PLAZO Días]],"PAGO VENCIDO")</f>
        <v>0</v>
      </c>
      <c r="C1107" s="22">
        <f>+VLOOKUP(PROVEEDORES[[#This Row],[PROVEEDOR]],TERCEROS_INFO[#All],2,FALSE)</f>
        <v>30</v>
      </c>
      <c r="D1107" s="27">
        <f>+SUMIFS(PROVEEDORES[Total],PROVEEDORES[PROVEEDOR],PROVEEDORES[[#This Row],[PROVEEDOR]],PROVEEDORES[FECHA DE PAGO],"")</f>
        <v>0</v>
      </c>
      <c r="E1107" s="27"/>
      <c r="F1107" s="62" t="str">
        <f>+VLOOKUP(PROVEEDORES[[#This Row],[PROVEEDOR]],
                       Terceros!$A:$G,
                       6,
                       FALSE)</f>
        <v/>
      </c>
      <c r="G1107" s="95">
        <v>44547</v>
      </c>
      <c r="H1107" s="28" t="s">
        <v>1046</v>
      </c>
      <c r="I1107" s="95">
        <v>44547</v>
      </c>
      <c r="J1107" s="38"/>
      <c r="K1107" s="23">
        <v>2100000</v>
      </c>
      <c r="L1107" s="23"/>
      <c r="M1107" s="24">
        <v>0</v>
      </c>
      <c r="N1107" s="25"/>
      <c r="O1107" s="24">
        <v>0</v>
      </c>
      <c r="P1107" s="136">
        <f>+IF(PROVEEDORES[[#This Row],[SUBTOTAL]]&lt;PROVEEDORES[[#This Row],[base retencion]],0,PROVEEDORES[[#This Row],[retención aplicada]])</f>
        <v>0</v>
      </c>
      <c r="Q1107" s="24">
        <f>+PROVEEDORES[[#This Row],[Rete Fuente %]]*PROVEEDORES[[#This Row],[SUBTOTAL]]</f>
        <v>0</v>
      </c>
      <c r="R1107" s="23">
        <v>2100000</v>
      </c>
      <c r="S110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7" s="99">
        <f ca="1">IF(PROVEEDORES[[#This Row],[FECHA DE PAGO]]=0,TODAY()-PROVEEDORES[[#This Row],[FECHA DE FACTURACIÓN]]-PROVEEDORES[[#This Row],[PLAZO Días]],0)</f>
        <v>0</v>
      </c>
      <c r="U1107" s="149">
        <f>+VLOOKUP(PROVEEDORES[[#This Row],[PROVEEDOR]],Terceros!$A:$E,5,FALSE)</f>
        <v>0</v>
      </c>
      <c r="V1107" s="150">
        <f>+YEAR(PROVEEDORES[[#This Row],[FECHA DE FACTURACIÓN]])</f>
        <v>2021</v>
      </c>
      <c r="W1107" s="150">
        <f>+MATCH(PROVEEDORES[[#This Row],[año facturado]],Retenciones!$1:$1,0)</f>
        <v>4</v>
      </c>
      <c r="X1107" s="151">
        <f>+VLOOKUP(PROVEEDORES[[#This Row],[ID RETENCION]],Retenciones!$A$1:$O$24,PROVEEDORES[[#This Row],[indicador de columna]],FALSE)</f>
        <v>0</v>
      </c>
      <c r="Y1107" s="152">
        <f>+VLOOKUP(PROVEEDORES[[#This Row],[ID RETENCION]],Retenciones!$A$1:$O$24,2,FALSE)</f>
        <v>0</v>
      </c>
      <c r="Z1107" s="26"/>
      <c r="AA1107" s="26"/>
      <c r="AB1107" s="26"/>
      <c r="AC1107" s="26"/>
      <c r="AD1107" s="26"/>
      <c r="AE1107" s="26"/>
    </row>
    <row r="1108" spans="1:31" ht="21.95" customHeight="1" x14ac:dyDescent="0.25">
      <c r="A1108" s="97" t="str">
        <f>+IF(PROVEEDORES[[#This Row],[FECHA DE PAGO]]=PROVEEDORES[[#This Row],[FECHA DE FACTURACIÓN]],"DE CONTADO","CRÉDITO")</f>
        <v>CRÉDITO</v>
      </c>
      <c r="B1108" s="41" t="str">
        <f>+IF((PROVEEDORES[[#This Row],[FECHA DE PAGO]]-PROVEEDORES[[#This Row],[FECHA DE FACTURACIÓN]])&gt;PROVEEDORES[[#This Row],[PLAZO Días]],"PAGO VENCIDO")</f>
        <v>PAGO VENCIDO</v>
      </c>
      <c r="C1108" s="22">
        <f>+VLOOKUP(PROVEEDORES[[#This Row],[PROVEEDOR]],TERCEROS_INFO[#All],2,FALSE)</f>
        <v>30</v>
      </c>
      <c r="D1108" s="27">
        <f>+SUMIFS(PROVEEDORES[Total],PROVEEDORES[PROVEEDOR],PROVEEDORES[[#This Row],[PROVEEDOR]],PROVEEDORES[FECHA DE PAGO],"")</f>
        <v>0</v>
      </c>
      <c r="E1108" s="27"/>
      <c r="F1108" s="62" t="str">
        <f>+VLOOKUP(PROVEEDORES[[#This Row],[PROVEEDOR]],
                       Terceros!$A:$G,
                       6,
                       FALSE)</f>
        <v>jarlysas@gmail.com;o.clockinternational@gmail.com;girlesa.ruiz@servipilas.com;joriescobar64@gmail.com</v>
      </c>
      <c r="G1108" s="95">
        <v>44652</v>
      </c>
      <c r="H1108" s="28" t="s">
        <v>1042</v>
      </c>
      <c r="I1108" s="95">
        <v>44545</v>
      </c>
      <c r="J1108" s="38" t="s">
        <v>904</v>
      </c>
      <c r="K1108" s="23">
        <v>2365000</v>
      </c>
      <c r="L1108" s="23"/>
      <c r="M1108" s="24">
        <v>0</v>
      </c>
      <c r="N1108" s="25"/>
      <c r="O1108" s="24">
        <v>0</v>
      </c>
      <c r="P1108" s="136">
        <f>+IF(PROVEEDORES[[#This Row],[SUBTOTAL]]&lt;PROVEEDORES[[#This Row],[base retencion]],0,PROVEEDORES[[#This Row],[retención aplicada]])</f>
        <v>0</v>
      </c>
      <c r="Q1108" s="24">
        <f>+PROVEEDORES[[#This Row],[Rete Fuente %]]*PROVEEDORES[[#This Row],[SUBTOTAL]]</f>
        <v>0</v>
      </c>
      <c r="R1108" s="23">
        <v>2365000</v>
      </c>
      <c r="S110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8" s="99">
        <f ca="1">IF(PROVEEDORES[[#This Row],[FECHA DE PAGO]]=0,TODAY()-PROVEEDORES[[#This Row],[FECHA DE FACTURACIÓN]]-PROVEEDORES[[#This Row],[PLAZO Días]],0)</f>
        <v>0</v>
      </c>
      <c r="U1108" s="149">
        <f>+VLOOKUP(PROVEEDORES[[#This Row],[PROVEEDOR]],Terceros!$A:$E,5,FALSE)</f>
        <v>0</v>
      </c>
      <c r="V1108" s="150">
        <f>+YEAR(PROVEEDORES[[#This Row],[FECHA DE FACTURACIÓN]])</f>
        <v>2021</v>
      </c>
      <c r="W1108" s="150">
        <f>+MATCH(PROVEEDORES[[#This Row],[año facturado]],Retenciones!$1:$1,0)</f>
        <v>4</v>
      </c>
      <c r="X1108" s="151">
        <f>+VLOOKUP(PROVEEDORES[[#This Row],[ID RETENCION]],Retenciones!$A$1:$O$24,PROVEEDORES[[#This Row],[indicador de columna]],FALSE)</f>
        <v>0</v>
      </c>
      <c r="Y1108" s="152">
        <f>+VLOOKUP(PROVEEDORES[[#This Row],[ID RETENCION]],Retenciones!$A$1:$O$24,2,FALSE)</f>
        <v>0</v>
      </c>
      <c r="Z1108" s="26"/>
      <c r="AA1108" s="26"/>
      <c r="AB1108" s="26"/>
      <c r="AC1108" s="26"/>
      <c r="AD1108" s="26"/>
      <c r="AE1108" s="26"/>
    </row>
    <row r="1109" spans="1:31" ht="21.95" customHeight="1" x14ac:dyDescent="0.25">
      <c r="A1109" s="97" t="str">
        <f>+IF(PROVEEDORES[[#This Row],[FECHA DE PAGO]]=PROVEEDORES[[#This Row],[FECHA DE FACTURACIÓN]],"DE CONTADO","CRÉDITO")</f>
        <v>CRÉDITO</v>
      </c>
      <c r="B1109" s="41" t="str">
        <f>+IF((PROVEEDORES[[#This Row],[FECHA DE PAGO]]-PROVEEDORES[[#This Row],[FECHA DE FACTURACIÓN]])&gt;PROVEEDORES[[#This Row],[PLAZO Días]],"PAGO VENCIDO")</f>
        <v>PAGO VENCIDO</v>
      </c>
      <c r="C1109" s="22">
        <f>+VLOOKUP(PROVEEDORES[[#This Row],[PROVEEDOR]],TERCEROS_INFO[#All],2,FALSE)</f>
        <v>30</v>
      </c>
      <c r="D1109" s="27">
        <f>+SUMIFS(PROVEEDORES[Total],PROVEEDORES[PROVEEDOR],PROVEEDORES[[#This Row],[PROVEEDOR]],PROVEEDORES[FECHA DE PAGO],"")</f>
        <v>144400</v>
      </c>
      <c r="E1109" s="27"/>
      <c r="F1109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1109" s="95">
        <v>44652</v>
      </c>
      <c r="H1109" s="28" t="s">
        <v>1071</v>
      </c>
      <c r="I1109" s="95">
        <v>44548</v>
      </c>
      <c r="J1109" s="38" t="s">
        <v>907</v>
      </c>
      <c r="K1109" s="23">
        <v>165300</v>
      </c>
      <c r="L1109" s="23"/>
      <c r="M1109" s="24">
        <v>0</v>
      </c>
      <c r="N1109" s="25"/>
      <c r="O1109" s="24">
        <v>0</v>
      </c>
      <c r="P1109" s="136">
        <f>+IF(PROVEEDORES[[#This Row],[SUBTOTAL]]&lt;PROVEEDORES[[#This Row],[base retencion]],0,PROVEEDORES[[#This Row],[retención aplicada]])</f>
        <v>0</v>
      </c>
      <c r="Q1109" s="24">
        <f>+PROVEEDORES[[#This Row],[Rete Fuente %]]*PROVEEDORES[[#This Row],[SUBTOTAL]]</f>
        <v>0</v>
      </c>
      <c r="R1109" s="23">
        <v>165300</v>
      </c>
      <c r="S110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9" s="99">
        <f ca="1">IF(PROVEEDORES[[#This Row],[FECHA DE PAGO]]=0,TODAY()-PROVEEDORES[[#This Row],[FECHA DE FACTURACIÓN]]-PROVEEDORES[[#This Row],[PLAZO Días]],0)</f>
        <v>0</v>
      </c>
      <c r="U1109" s="149">
        <f>+VLOOKUP(PROVEEDORES[[#This Row],[PROVEEDOR]],Terceros!$A:$E,5,FALSE)</f>
        <v>0</v>
      </c>
      <c r="V1109" s="150">
        <f>+YEAR(PROVEEDORES[[#This Row],[FECHA DE FACTURACIÓN]])</f>
        <v>2021</v>
      </c>
      <c r="W1109" s="150">
        <f>+MATCH(PROVEEDORES[[#This Row],[año facturado]],Retenciones!$1:$1,0)</f>
        <v>4</v>
      </c>
      <c r="X1109" s="151">
        <f>+VLOOKUP(PROVEEDORES[[#This Row],[ID RETENCION]],Retenciones!$A$1:$O$24,PROVEEDORES[[#This Row],[indicador de columna]],FALSE)</f>
        <v>0</v>
      </c>
      <c r="Y1109" s="152">
        <f>+VLOOKUP(PROVEEDORES[[#This Row],[ID RETENCION]],Retenciones!$A$1:$O$24,2,FALSE)</f>
        <v>0</v>
      </c>
      <c r="Z1109" s="26"/>
      <c r="AA1109" s="26"/>
      <c r="AB1109" s="26"/>
      <c r="AC1109" s="26"/>
      <c r="AD1109" s="26"/>
      <c r="AE1109" s="26"/>
    </row>
    <row r="1110" spans="1:31" ht="21.95" customHeight="1" x14ac:dyDescent="0.25">
      <c r="A1110" s="97" t="str">
        <f>+IF(PROVEEDORES[[#This Row],[FECHA DE PAGO]]=PROVEEDORES[[#This Row],[FECHA DE FACTURACIÓN]],"DE CONTADO","CRÉDITO")</f>
        <v>DE CONTADO</v>
      </c>
      <c r="B1110" s="41" t="b">
        <f>+IF((PROVEEDORES[[#This Row],[FECHA DE PAGO]]-PROVEEDORES[[#This Row],[FECHA DE FACTURACIÓN]])&gt;PROVEEDORES[[#This Row],[PLAZO Días]],"PAGO VENCIDO")</f>
        <v>0</v>
      </c>
      <c r="C1110" s="22">
        <f>+VLOOKUP(PROVEEDORES[[#This Row],[PROVEEDOR]],TERCEROS_INFO[#All],2,FALSE)</f>
        <v>30</v>
      </c>
      <c r="D1110" s="27">
        <f>+SUMIFS(PROVEEDORES[Total],PROVEEDORES[PROVEEDOR],PROVEEDORES[[#This Row],[PROVEEDOR]],PROVEEDORES[FECHA DE PAGO],"")</f>
        <v>0</v>
      </c>
      <c r="E1110" s="27"/>
      <c r="F1110" s="62" t="str">
        <f>+VLOOKUP(PROVEEDORES[[#This Row],[PROVEEDOR]],
                       Terceros!$A:$G,
                       6,
                       FALSE)</f>
        <v/>
      </c>
      <c r="G1110" s="95">
        <v>44550</v>
      </c>
      <c r="H1110" s="28" t="s">
        <v>997</v>
      </c>
      <c r="I1110" s="95">
        <v>44550</v>
      </c>
      <c r="J1110" s="38" t="s">
        <v>915</v>
      </c>
      <c r="K1110" s="23">
        <v>610000</v>
      </c>
      <c r="L1110" s="23"/>
      <c r="M1110" s="24">
        <v>0</v>
      </c>
      <c r="N1110" s="25"/>
      <c r="O1110" s="24">
        <v>0</v>
      </c>
      <c r="P1110" s="136">
        <f>+IF(PROVEEDORES[[#This Row],[SUBTOTAL]]&lt;PROVEEDORES[[#This Row],[base retencion]],0,PROVEEDORES[[#This Row],[retención aplicada]])</f>
        <v>0</v>
      </c>
      <c r="Q1110" s="24">
        <f>+PROVEEDORES[[#This Row],[Rete Fuente %]]*PROVEEDORES[[#This Row],[SUBTOTAL]]</f>
        <v>0</v>
      </c>
      <c r="R1110" s="23">
        <v>610000</v>
      </c>
      <c r="S111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0" s="99">
        <f ca="1">IF(PROVEEDORES[[#This Row],[FECHA DE PAGO]]=0,TODAY()-PROVEEDORES[[#This Row],[FECHA DE FACTURACIÓN]]-PROVEEDORES[[#This Row],[PLAZO Días]],0)</f>
        <v>0</v>
      </c>
      <c r="U1110" s="149">
        <f>+VLOOKUP(PROVEEDORES[[#This Row],[PROVEEDOR]],Terceros!$A:$E,5,FALSE)</f>
        <v>0</v>
      </c>
      <c r="V1110" s="150">
        <f>+YEAR(PROVEEDORES[[#This Row],[FECHA DE FACTURACIÓN]])</f>
        <v>2021</v>
      </c>
      <c r="W1110" s="150">
        <f>+MATCH(PROVEEDORES[[#This Row],[año facturado]],Retenciones!$1:$1,0)</f>
        <v>4</v>
      </c>
      <c r="X1110" s="151">
        <f>+VLOOKUP(PROVEEDORES[[#This Row],[ID RETENCION]],Retenciones!$A$1:$O$24,PROVEEDORES[[#This Row],[indicador de columna]],FALSE)</f>
        <v>0</v>
      </c>
      <c r="Y1110" s="152">
        <f>+VLOOKUP(PROVEEDORES[[#This Row],[ID RETENCION]],Retenciones!$A$1:$O$24,2,FALSE)</f>
        <v>0</v>
      </c>
      <c r="Z1110" s="26"/>
      <c r="AA1110" s="26"/>
      <c r="AB1110" s="26"/>
      <c r="AC1110" s="26"/>
      <c r="AD1110" s="26"/>
      <c r="AE1110" s="26"/>
    </row>
    <row r="1111" spans="1:31" ht="21.95" customHeight="1" x14ac:dyDescent="0.25">
      <c r="A1111" s="97" t="str">
        <f>+IF(PROVEEDORES[[#This Row],[FECHA DE PAGO]]=PROVEEDORES[[#This Row],[FECHA DE FACTURACIÓN]],"DE CONTADO","CRÉDITO")</f>
        <v>CRÉDITO</v>
      </c>
      <c r="B1111" s="41" t="b">
        <f>+IF((PROVEEDORES[[#This Row],[FECHA DE PAGO]]-PROVEEDORES[[#This Row],[FECHA DE FACTURACIÓN]])&gt;PROVEEDORES[[#This Row],[PLAZO Días]],"PAGO VENCIDO")</f>
        <v>0</v>
      </c>
      <c r="C1111" s="22">
        <f>+VLOOKUP(PROVEEDORES[[#This Row],[PROVEEDOR]],TERCEROS_INFO[#All],2,FALSE)</f>
        <v>30</v>
      </c>
      <c r="D1111" s="27">
        <f>+SUMIFS(PROVEEDORES[Total],PROVEEDORES[PROVEEDOR],PROVEEDORES[[#This Row],[PROVEEDOR]],PROVEEDORES[FECHA DE PAGO],"")</f>
        <v>3750700</v>
      </c>
      <c r="E1111" s="27"/>
      <c r="F1111" s="62" t="str">
        <f>+VLOOKUP(PROVEEDORES[[#This Row],[PROVEEDOR]],
                       Terceros!$A:$G,
                       6,
                       FALSE)</f>
        <v/>
      </c>
      <c r="G1111" s="95">
        <v>44200</v>
      </c>
      <c r="H1111" s="28" t="s">
        <v>990</v>
      </c>
      <c r="I1111" s="95">
        <v>44550</v>
      </c>
      <c r="J1111" s="38" t="s">
        <v>901</v>
      </c>
      <c r="K1111" s="23">
        <v>1045000</v>
      </c>
      <c r="L1111" s="23"/>
      <c r="M1111" s="24">
        <v>0</v>
      </c>
      <c r="N1111" s="25"/>
      <c r="O1111" s="24">
        <v>0</v>
      </c>
      <c r="P1111" s="136">
        <f>+IF(PROVEEDORES[[#This Row],[SUBTOTAL]]&lt;PROVEEDORES[[#This Row],[base retencion]],0,PROVEEDORES[[#This Row],[retención aplicada]])</f>
        <v>0</v>
      </c>
      <c r="Q1111" s="24">
        <f>+PROVEEDORES[[#This Row],[Rete Fuente %]]*PROVEEDORES[[#This Row],[SUBTOTAL]]</f>
        <v>0</v>
      </c>
      <c r="R1111" s="23">
        <v>1045000</v>
      </c>
      <c r="S111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1" s="99">
        <f ca="1">IF(PROVEEDORES[[#This Row],[FECHA DE PAGO]]=0,TODAY()-PROVEEDORES[[#This Row],[FECHA DE FACTURACIÓN]]-PROVEEDORES[[#This Row],[PLAZO Días]],0)</f>
        <v>0</v>
      </c>
      <c r="U1111" s="149">
        <f>+VLOOKUP(PROVEEDORES[[#This Row],[PROVEEDOR]],Terceros!$A:$E,5,FALSE)</f>
        <v>0</v>
      </c>
      <c r="V1111" s="150">
        <f>+YEAR(PROVEEDORES[[#This Row],[FECHA DE FACTURACIÓN]])</f>
        <v>2021</v>
      </c>
      <c r="W1111" s="150">
        <f>+MATCH(PROVEEDORES[[#This Row],[año facturado]],Retenciones!$1:$1,0)</f>
        <v>4</v>
      </c>
      <c r="X1111" s="151">
        <f>+VLOOKUP(PROVEEDORES[[#This Row],[ID RETENCION]],Retenciones!$A$1:$O$24,PROVEEDORES[[#This Row],[indicador de columna]],FALSE)</f>
        <v>0</v>
      </c>
      <c r="Y1111" s="152">
        <f>+VLOOKUP(PROVEEDORES[[#This Row],[ID RETENCION]],Retenciones!$A$1:$O$24,2,FALSE)</f>
        <v>0</v>
      </c>
      <c r="Z1111" s="26"/>
      <c r="AA1111" s="26"/>
      <c r="AB1111" s="26"/>
      <c r="AC1111" s="26"/>
      <c r="AD1111" s="26"/>
      <c r="AE1111" s="26"/>
    </row>
    <row r="1112" spans="1:31" ht="21.95" customHeight="1" x14ac:dyDescent="0.25">
      <c r="A1112" s="97" t="str">
        <f>+IF(PROVEEDORES[[#This Row],[FECHA DE PAGO]]=PROVEEDORES[[#This Row],[FECHA DE FACTURACIÓN]],"DE CONTADO","CRÉDITO")</f>
        <v>CRÉDITO</v>
      </c>
      <c r="B1112" s="41" t="b">
        <f>+IF((PROVEEDORES[[#This Row],[FECHA DE PAGO]]-PROVEEDORES[[#This Row],[FECHA DE FACTURACIÓN]])&gt;PROVEEDORES[[#This Row],[PLAZO Días]],"PAGO VENCIDO")</f>
        <v>0</v>
      </c>
      <c r="C1112" s="22">
        <f>+VLOOKUP(PROVEEDORES[[#This Row],[PROVEEDOR]],TERCEROS_INFO[#All],2,FALSE)</f>
        <v>30</v>
      </c>
      <c r="D1112" s="27">
        <f>+SUMIFS(PROVEEDORES[Total],PROVEEDORES[PROVEEDOR],PROVEEDORES[[#This Row],[PROVEEDOR]],PROVEEDORES[FECHA DE PAGO],"")</f>
        <v>390000</v>
      </c>
      <c r="E1112" s="27"/>
      <c r="F1112" s="62">
        <f>+VLOOKUP(PROVEEDORES[[#This Row],[PROVEEDOR]],
                       Terceros!$A:$G,
                       6,
                       FALSE)</f>
        <v>0</v>
      </c>
      <c r="G1112" s="95">
        <v>44554</v>
      </c>
      <c r="H1112" s="28" t="s">
        <v>1080</v>
      </c>
      <c r="I1112" s="95">
        <v>44550</v>
      </c>
      <c r="J1112" s="38" t="s">
        <v>899</v>
      </c>
      <c r="K1112" s="23">
        <v>1950000</v>
      </c>
      <c r="L1112" s="23"/>
      <c r="M1112" s="24">
        <v>0</v>
      </c>
      <c r="N1112" s="25"/>
      <c r="O1112" s="24">
        <v>0</v>
      </c>
      <c r="P1112" s="136">
        <f>+IF(PROVEEDORES[[#This Row],[SUBTOTAL]]&lt;PROVEEDORES[[#This Row],[base retencion]],0,PROVEEDORES[[#This Row],[retención aplicada]])</f>
        <v>0</v>
      </c>
      <c r="Q1112" s="24">
        <f>+PROVEEDORES[[#This Row],[Rete Fuente %]]*PROVEEDORES[[#This Row],[SUBTOTAL]]</f>
        <v>0</v>
      </c>
      <c r="R1112" s="23">
        <v>1950000</v>
      </c>
      <c r="S111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2" s="99">
        <f ca="1">IF(PROVEEDORES[[#This Row],[FECHA DE PAGO]]=0,TODAY()-PROVEEDORES[[#This Row],[FECHA DE FACTURACIÓN]]-PROVEEDORES[[#This Row],[PLAZO Días]],0)</f>
        <v>0</v>
      </c>
      <c r="U1112" s="149">
        <f>+VLOOKUP(PROVEEDORES[[#This Row],[PROVEEDOR]],Terceros!$A:$E,5,FALSE)</f>
        <v>0</v>
      </c>
      <c r="V1112" s="150">
        <f>+YEAR(PROVEEDORES[[#This Row],[FECHA DE FACTURACIÓN]])</f>
        <v>2021</v>
      </c>
      <c r="W1112" s="150">
        <f>+MATCH(PROVEEDORES[[#This Row],[año facturado]],Retenciones!$1:$1,0)</f>
        <v>4</v>
      </c>
      <c r="X1112" s="151">
        <f>+VLOOKUP(PROVEEDORES[[#This Row],[ID RETENCION]],Retenciones!$A$1:$O$24,PROVEEDORES[[#This Row],[indicador de columna]],FALSE)</f>
        <v>0</v>
      </c>
      <c r="Y1112" s="152">
        <f>+VLOOKUP(PROVEEDORES[[#This Row],[ID RETENCION]],Retenciones!$A$1:$O$24,2,FALSE)</f>
        <v>0</v>
      </c>
      <c r="Z1112" s="26"/>
      <c r="AA1112" s="26"/>
      <c r="AB1112" s="26"/>
      <c r="AC1112" s="26"/>
      <c r="AD1112" s="26"/>
      <c r="AE1112" s="26"/>
    </row>
    <row r="1113" spans="1:31" ht="21.95" customHeight="1" x14ac:dyDescent="0.25">
      <c r="A1113" s="97" t="str">
        <f>+IF(PROVEEDORES[[#This Row],[FECHA DE PAGO]]=PROVEEDORES[[#This Row],[FECHA DE FACTURACIÓN]],"DE CONTADO","CRÉDITO")</f>
        <v>CRÉDITO</v>
      </c>
      <c r="B1113" s="41" t="str">
        <f>+IF((PROVEEDORES[[#This Row],[FECHA DE PAGO]]-PROVEEDORES[[#This Row],[FECHA DE FACTURACIÓN]])&gt;PROVEEDORES[[#This Row],[PLAZO Días]],"PAGO VENCIDO")</f>
        <v>PAGO VENCIDO</v>
      </c>
      <c r="C1113" s="22">
        <f>+VLOOKUP(PROVEEDORES[[#This Row],[PROVEEDOR]],TERCEROS_INFO[#All],2,FALSE)</f>
        <v>30</v>
      </c>
      <c r="D1113" s="27">
        <f>+SUMIFS(PROVEEDORES[Total],PROVEEDORES[PROVEEDOR],PROVEEDORES[[#This Row],[PROVEEDOR]],PROVEEDORES[FECHA DE PAGO],"")</f>
        <v>2588352.5</v>
      </c>
      <c r="E1113" s="27"/>
      <c r="F1113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1113" s="95">
        <v>44614</v>
      </c>
      <c r="H1113" s="28" t="s">
        <v>1088</v>
      </c>
      <c r="I1113" s="95">
        <v>44550</v>
      </c>
      <c r="J1113" s="38">
        <v>24019</v>
      </c>
      <c r="K1113" s="23">
        <v>2885740</v>
      </c>
      <c r="L1113" s="23"/>
      <c r="M1113" s="24">
        <v>548290.6</v>
      </c>
      <c r="N1113" s="25"/>
      <c r="O1113" s="24">
        <v>0</v>
      </c>
      <c r="P1113" s="136">
        <f>+IF(PROVEEDORES[[#This Row],[SUBTOTAL]]&lt;PROVEEDORES[[#This Row],[base retencion]],0,PROVEEDORES[[#This Row],[retención aplicada]])</f>
        <v>2.5000000000000001E-2</v>
      </c>
      <c r="Q1113" s="24">
        <f>+PROVEEDORES[[#This Row],[Rete Fuente %]]*PROVEEDORES[[#This Row],[SUBTOTAL]]</f>
        <v>72143.5</v>
      </c>
      <c r="R1113" s="23">
        <v>3361887.1</v>
      </c>
      <c r="S111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3" s="99">
        <f ca="1">IF(PROVEEDORES[[#This Row],[FECHA DE PAGO]]=0,TODAY()-PROVEEDORES[[#This Row],[FECHA DE FACTURACIÓN]]-PROVEEDORES[[#This Row],[PLAZO Días]],0)</f>
        <v>0</v>
      </c>
      <c r="U1113" s="149" t="str">
        <f>+VLOOKUP(PROVEEDORES[[#This Row],[PROVEEDOR]],Terceros!$A:$E,5,FALSE)</f>
        <v>2,5% con base</v>
      </c>
      <c r="V1113" s="150">
        <f>+YEAR(PROVEEDORES[[#This Row],[FECHA DE FACTURACIÓN]])</f>
        <v>2021</v>
      </c>
      <c r="W1113" s="150">
        <f>+MATCH(PROVEEDORES[[#This Row],[año facturado]],Retenciones!$1:$1,0)</f>
        <v>4</v>
      </c>
      <c r="X1113" s="151">
        <f>+VLOOKUP(PROVEEDORES[[#This Row],[ID RETENCION]],Retenciones!$A$1:$O$24,PROVEEDORES[[#This Row],[indicador de columna]],FALSE)</f>
        <v>980000</v>
      </c>
      <c r="Y1113" s="152">
        <f>+VLOOKUP(PROVEEDORES[[#This Row],[ID RETENCION]],Retenciones!$A$1:$O$24,2,FALSE)</f>
        <v>2.5000000000000001E-2</v>
      </c>
      <c r="Z1113" s="26"/>
      <c r="AA1113" s="26"/>
      <c r="AB1113" s="26"/>
      <c r="AC1113" s="26"/>
      <c r="AD1113" s="26"/>
      <c r="AE1113" s="26"/>
    </row>
    <row r="1114" spans="1:31" ht="21.95" customHeight="1" x14ac:dyDescent="0.25">
      <c r="A1114" s="97" t="str">
        <f>+IF(PROVEEDORES[[#This Row],[FECHA DE PAGO]]=PROVEEDORES[[#This Row],[FECHA DE FACTURACIÓN]],"DE CONTADO","CRÉDITO")</f>
        <v>CRÉDITO</v>
      </c>
      <c r="B1114" s="41" t="str">
        <f>+IF((PROVEEDORES[[#This Row],[FECHA DE PAGO]]-PROVEEDORES[[#This Row],[FECHA DE FACTURACIÓN]])&gt;PROVEEDORES[[#This Row],[PLAZO Días]],"PAGO VENCIDO")</f>
        <v>PAGO VENCIDO</v>
      </c>
      <c r="C1114" s="22">
        <f>+VLOOKUP(PROVEEDORES[[#This Row],[PROVEEDOR]],TERCEROS_INFO[#All],2,FALSE)</f>
        <v>60</v>
      </c>
      <c r="D1114" s="27">
        <f>+SUMIFS(PROVEEDORES[Total],PROVEEDORES[PROVEEDOR],PROVEEDORES[[#This Row],[PROVEEDOR]],PROVEEDORES[FECHA DE PAGO],"")</f>
        <v>11143041</v>
      </c>
      <c r="E1114" s="27"/>
      <c r="F1114" s="62">
        <f>+VLOOKUP(PROVEEDORES[[#This Row],[PROVEEDOR]],
                       Terceros!$A:$G,
                       6,
                       FALSE)</f>
        <v>0</v>
      </c>
      <c r="G1114" s="95">
        <v>44638</v>
      </c>
      <c r="H1114" s="28" t="s">
        <v>507</v>
      </c>
      <c r="I1114" s="95">
        <v>44550</v>
      </c>
      <c r="J1114" s="38" t="s">
        <v>1120</v>
      </c>
      <c r="K1114" s="23">
        <v>6258400</v>
      </c>
      <c r="L1114" s="23"/>
      <c r="M1114" s="24">
        <v>1189096</v>
      </c>
      <c r="N1114" s="25"/>
      <c r="O1114" s="24">
        <v>0</v>
      </c>
      <c r="P1114" s="136">
        <f>+IF(PROVEEDORES[[#This Row],[SUBTOTAL]]&lt;PROVEEDORES[[#This Row],[base retencion]],0,PROVEEDORES[[#This Row],[retención aplicada]])</f>
        <v>0</v>
      </c>
      <c r="Q1114" s="24">
        <f>+PROVEEDORES[[#This Row],[Rete Fuente %]]*PROVEEDORES[[#This Row],[SUBTOTAL]]</f>
        <v>0</v>
      </c>
      <c r="R1114" s="23">
        <v>7291036</v>
      </c>
      <c r="S111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4" s="99">
        <f ca="1">IF(PROVEEDORES[[#This Row],[FECHA DE PAGO]]=0,TODAY()-PROVEEDORES[[#This Row],[FECHA DE FACTURACIÓN]]-PROVEEDORES[[#This Row],[PLAZO Días]],0)</f>
        <v>0</v>
      </c>
      <c r="U1114" s="149">
        <f>+VLOOKUP(PROVEEDORES[[#This Row],[PROVEEDOR]],Terceros!$A:$E,5,FALSE)</f>
        <v>0</v>
      </c>
      <c r="V1114" s="150">
        <f>+YEAR(PROVEEDORES[[#This Row],[FECHA DE FACTURACIÓN]])</f>
        <v>2021</v>
      </c>
      <c r="W1114" s="150">
        <f>+MATCH(PROVEEDORES[[#This Row],[año facturado]],Retenciones!$1:$1,0)</f>
        <v>4</v>
      </c>
      <c r="X1114" s="151">
        <f>+VLOOKUP(PROVEEDORES[[#This Row],[ID RETENCION]],Retenciones!$A$1:$O$24,PROVEEDORES[[#This Row],[indicador de columna]],FALSE)</f>
        <v>0</v>
      </c>
      <c r="Y1114" s="152">
        <f>+VLOOKUP(PROVEEDORES[[#This Row],[ID RETENCION]],Retenciones!$A$1:$O$24,2,FALSE)</f>
        <v>0</v>
      </c>
      <c r="Z1114" s="26"/>
      <c r="AA1114" s="26"/>
      <c r="AB1114" s="26"/>
      <c r="AC1114" s="26"/>
      <c r="AD1114" s="26"/>
      <c r="AE1114" s="26"/>
    </row>
    <row r="1115" spans="1:31" ht="21.95" customHeight="1" x14ac:dyDescent="0.25">
      <c r="A1115" s="97" t="str">
        <f>+IF(PROVEEDORES[[#This Row],[FECHA DE PAGO]]=PROVEEDORES[[#This Row],[FECHA DE FACTURACIÓN]],"DE CONTADO","CRÉDITO")</f>
        <v>DE CONTADO</v>
      </c>
      <c r="B1115" s="41" t="b">
        <f>+IF((PROVEEDORES[[#This Row],[FECHA DE PAGO]]-PROVEEDORES[[#This Row],[FECHA DE FACTURACIÓN]])&gt;PROVEEDORES[[#This Row],[PLAZO Días]],"PAGO VENCIDO")</f>
        <v>0</v>
      </c>
      <c r="C1115" s="22">
        <f>+VLOOKUP(PROVEEDORES[[#This Row],[PROVEEDOR]],TERCEROS_INFO[#All],2,FALSE)</f>
        <v>30</v>
      </c>
      <c r="D1115" s="27">
        <f>+SUMIFS(PROVEEDORES[Total],PROVEEDORES[PROVEEDOR],PROVEEDORES[[#This Row],[PROVEEDOR]],PROVEEDORES[FECHA DE PAGO],"")</f>
        <v>0</v>
      </c>
      <c r="E1115" s="27"/>
      <c r="F1115" s="62" t="str">
        <f>+VLOOKUP(PROVEEDORES[[#This Row],[PROVEEDOR]],
                       Terceros!$A:$G,
                       6,
                       FALSE)</f>
        <v/>
      </c>
      <c r="G1115" s="95">
        <v>44551</v>
      </c>
      <c r="H1115" s="28" t="s">
        <v>1010</v>
      </c>
      <c r="I1115" s="95">
        <v>44551</v>
      </c>
      <c r="J1115" s="38" t="s">
        <v>898</v>
      </c>
      <c r="K1115" s="23">
        <v>92000</v>
      </c>
      <c r="L1115" s="23"/>
      <c r="M1115" s="24">
        <v>0</v>
      </c>
      <c r="N1115" s="25"/>
      <c r="O1115" s="24">
        <v>0</v>
      </c>
      <c r="P1115" s="136">
        <f>+IF(PROVEEDORES[[#This Row],[SUBTOTAL]]&lt;PROVEEDORES[[#This Row],[base retencion]],0,PROVEEDORES[[#This Row],[retención aplicada]])</f>
        <v>0</v>
      </c>
      <c r="Q1115" s="24">
        <f>+PROVEEDORES[[#This Row],[Rete Fuente %]]*PROVEEDORES[[#This Row],[SUBTOTAL]]</f>
        <v>0</v>
      </c>
      <c r="R1115" s="23">
        <v>92000</v>
      </c>
      <c r="S111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5" s="99">
        <f ca="1">IF(PROVEEDORES[[#This Row],[FECHA DE PAGO]]=0,TODAY()-PROVEEDORES[[#This Row],[FECHA DE FACTURACIÓN]]-PROVEEDORES[[#This Row],[PLAZO Días]],0)</f>
        <v>0</v>
      </c>
      <c r="U1115" s="149">
        <f>+VLOOKUP(PROVEEDORES[[#This Row],[PROVEEDOR]],Terceros!$A:$E,5,FALSE)</f>
        <v>0</v>
      </c>
      <c r="V1115" s="150">
        <f>+YEAR(PROVEEDORES[[#This Row],[FECHA DE FACTURACIÓN]])</f>
        <v>2021</v>
      </c>
      <c r="W1115" s="150">
        <f>+MATCH(PROVEEDORES[[#This Row],[año facturado]],Retenciones!$1:$1,0)</f>
        <v>4</v>
      </c>
      <c r="X1115" s="151">
        <f>+VLOOKUP(PROVEEDORES[[#This Row],[ID RETENCION]],Retenciones!$A$1:$O$24,PROVEEDORES[[#This Row],[indicador de columna]],FALSE)</f>
        <v>0</v>
      </c>
      <c r="Y1115" s="152">
        <f>+VLOOKUP(PROVEEDORES[[#This Row],[ID RETENCION]],Retenciones!$A$1:$O$24,2,FALSE)</f>
        <v>0</v>
      </c>
      <c r="Z1115" s="26"/>
      <c r="AA1115" s="26"/>
      <c r="AB1115" s="26"/>
      <c r="AC1115" s="26"/>
      <c r="AD1115" s="26"/>
      <c r="AE1115" s="26"/>
    </row>
    <row r="1116" spans="1:31" ht="21.95" customHeight="1" x14ac:dyDescent="0.25">
      <c r="A1116" s="97" t="str">
        <f>+IF(PROVEEDORES[[#This Row],[FECHA DE PAGO]]=PROVEEDORES[[#This Row],[FECHA DE FACTURACIÓN]],"DE CONTADO","CRÉDITO")</f>
        <v>CRÉDITO</v>
      </c>
      <c r="B1116" s="41" t="str">
        <f>+IF((PROVEEDORES[[#This Row],[FECHA DE PAGO]]-PROVEEDORES[[#This Row],[FECHA DE FACTURACIÓN]])&gt;PROVEEDORES[[#This Row],[PLAZO Días]],"PAGO VENCIDO")</f>
        <v>PAGO VENCIDO</v>
      </c>
      <c r="C1116" s="22">
        <f>+VLOOKUP(PROVEEDORES[[#This Row],[PROVEEDOR]],TERCEROS_INFO[#All],2,FALSE)</f>
        <v>30</v>
      </c>
      <c r="D1116" s="27">
        <f>+SUMIFS(PROVEEDORES[Total],PROVEEDORES[PROVEEDOR],PROVEEDORES[[#This Row],[PROVEEDOR]],PROVEEDORES[FECHA DE PAGO],"")</f>
        <v>3320000</v>
      </c>
      <c r="E1116" s="27"/>
      <c r="F1116" s="62" t="str">
        <f>+VLOOKUP(PROVEEDORES[[#This Row],[PROVEEDOR]],
                       Terceros!$A:$G,
                       6,
                       FALSE)</f>
        <v>Pygimportadora@gmail.com;girlesa.ruiz@servipilas.com;joriescobar64@gmail.com</v>
      </c>
      <c r="G1116" s="95">
        <v>44592</v>
      </c>
      <c r="H1116" s="28" t="s">
        <v>1062</v>
      </c>
      <c r="I1116" s="95">
        <v>44551</v>
      </c>
      <c r="J1116" s="38" t="s">
        <v>661</v>
      </c>
      <c r="K1116" s="23">
        <v>105000</v>
      </c>
      <c r="L1116" s="23"/>
      <c r="M1116" s="24">
        <v>0</v>
      </c>
      <c r="N1116" s="25"/>
      <c r="O1116" s="24">
        <v>0</v>
      </c>
      <c r="P1116" s="136">
        <f>+IF(PROVEEDORES[[#This Row],[SUBTOTAL]]&lt;PROVEEDORES[[#This Row],[base retencion]],0,PROVEEDORES[[#This Row],[retención aplicada]])</f>
        <v>0</v>
      </c>
      <c r="Q1116" s="24">
        <f>+PROVEEDORES[[#This Row],[Rete Fuente %]]*PROVEEDORES[[#This Row],[SUBTOTAL]]</f>
        <v>0</v>
      </c>
      <c r="R1116" s="23">
        <v>105000</v>
      </c>
      <c r="S111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6" s="99">
        <f ca="1">IF(PROVEEDORES[[#This Row],[FECHA DE PAGO]]=0,TODAY()-PROVEEDORES[[#This Row],[FECHA DE FACTURACIÓN]]-PROVEEDORES[[#This Row],[PLAZO Días]],0)</f>
        <v>0</v>
      </c>
      <c r="U1116" s="149">
        <f>+VLOOKUP(PROVEEDORES[[#This Row],[PROVEEDOR]],Terceros!$A:$E,5,FALSE)</f>
        <v>0</v>
      </c>
      <c r="V1116" s="150">
        <f>+YEAR(PROVEEDORES[[#This Row],[FECHA DE FACTURACIÓN]])</f>
        <v>2021</v>
      </c>
      <c r="W1116" s="150">
        <f>+MATCH(PROVEEDORES[[#This Row],[año facturado]],Retenciones!$1:$1,0)</f>
        <v>4</v>
      </c>
      <c r="X1116" s="151">
        <f>+VLOOKUP(PROVEEDORES[[#This Row],[ID RETENCION]],Retenciones!$A$1:$O$24,PROVEEDORES[[#This Row],[indicador de columna]],FALSE)</f>
        <v>0</v>
      </c>
      <c r="Y1116" s="152">
        <f>+VLOOKUP(PROVEEDORES[[#This Row],[ID RETENCION]],Retenciones!$A$1:$O$24,2,FALSE)</f>
        <v>0</v>
      </c>
      <c r="Z1116" s="26"/>
      <c r="AA1116" s="26"/>
      <c r="AB1116" s="26"/>
      <c r="AC1116" s="26"/>
      <c r="AD1116" s="26"/>
      <c r="AE1116" s="26"/>
    </row>
    <row r="1117" spans="1:31" ht="21.95" customHeight="1" x14ac:dyDescent="0.25">
      <c r="A1117" s="97" t="str">
        <f>+IF(PROVEEDORES[[#This Row],[FECHA DE PAGO]]=PROVEEDORES[[#This Row],[FECHA DE FACTURACIÓN]],"DE CONTADO","CRÉDITO")</f>
        <v>CRÉDITO</v>
      </c>
      <c r="B1117" s="41" t="b">
        <f>+IF((PROVEEDORES[[#This Row],[FECHA DE PAGO]]-PROVEEDORES[[#This Row],[FECHA DE FACTURACIÓN]])&gt;PROVEEDORES[[#This Row],[PLAZO Días]],"PAGO VENCIDO")</f>
        <v>0</v>
      </c>
      <c r="C1117" s="22">
        <f>+VLOOKUP(PROVEEDORES[[#This Row],[PROVEEDOR]],TERCEROS_INFO[#All],2,FALSE)</f>
        <v>30</v>
      </c>
      <c r="D1117" s="27">
        <f>+SUMIFS(PROVEEDORES[Total],PROVEEDORES[PROVEEDOR],PROVEEDORES[[#This Row],[PROVEEDOR]],PROVEEDORES[FECHA DE PAGO],"")</f>
        <v>395010</v>
      </c>
      <c r="E1117" s="27"/>
      <c r="F1117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1117" s="95">
        <v>44554</v>
      </c>
      <c r="H1117" s="28" t="s">
        <v>141</v>
      </c>
      <c r="I1117" s="95">
        <v>44551</v>
      </c>
      <c r="J1117" s="38">
        <v>186</v>
      </c>
      <c r="K1117" s="23">
        <v>135000</v>
      </c>
      <c r="L1117" s="23"/>
      <c r="M1117" s="24">
        <v>0</v>
      </c>
      <c r="N1117" s="25"/>
      <c r="O1117" s="24">
        <v>0</v>
      </c>
      <c r="P1117" s="136">
        <f>+IF(PROVEEDORES[[#This Row],[SUBTOTAL]]&lt;PROVEEDORES[[#This Row],[base retencion]],0,PROVEEDORES[[#This Row],[retención aplicada]])</f>
        <v>0</v>
      </c>
      <c r="Q1117" s="24">
        <f>+PROVEEDORES[[#This Row],[Rete Fuente %]]*PROVEEDORES[[#This Row],[SUBTOTAL]]</f>
        <v>0</v>
      </c>
      <c r="R1117" s="23">
        <v>135000</v>
      </c>
      <c r="S111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7" s="99">
        <f ca="1">IF(PROVEEDORES[[#This Row],[FECHA DE PAGO]]=0,TODAY()-PROVEEDORES[[#This Row],[FECHA DE FACTURACIÓN]]-PROVEEDORES[[#This Row],[PLAZO Días]],0)</f>
        <v>0</v>
      </c>
      <c r="U1117" s="149" t="str">
        <f>+VLOOKUP(PROVEEDORES[[#This Row],[PROVEEDOR]],Terceros!$A:$E,5,FALSE)</f>
        <v>1% con base</v>
      </c>
      <c r="V1117" s="150">
        <f>+YEAR(PROVEEDORES[[#This Row],[FECHA DE FACTURACIÓN]])</f>
        <v>2021</v>
      </c>
      <c r="W1117" s="150">
        <f>+MATCH(PROVEEDORES[[#This Row],[año facturado]],Retenciones!$1:$1,0)</f>
        <v>4</v>
      </c>
      <c r="X1117" s="151">
        <f>+VLOOKUP(PROVEEDORES[[#This Row],[ID RETENCION]],Retenciones!$A$1:$O$24,PROVEEDORES[[#This Row],[indicador de columna]],FALSE)</f>
        <v>145000</v>
      </c>
      <c r="Y1117" s="152">
        <f>+VLOOKUP(PROVEEDORES[[#This Row],[ID RETENCION]],Retenciones!$A$1:$O$24,2,FALSE)</f>
        <v>0.01</v>
      </c>
      <c r="Z1117" s="26"/>
      <c r="AA1117" s="26"/>
      <c r="AB1117" s="26"/>
      <c r="AC1117" s="26"/>
      <c r="AD1117" s="26"/>
      <c r="AE1117" s="26"/>
    </row>
    <row r="1118" spans="1:31" ht="21.95" customHeight="1" x14ac:dyDescent="0.25">
      <c r="A1118" s="97" t="str">
        <f>+IF(PROVEEDORES[[#This Row],[FECHA DE PAGO]]=PROVEEDORES[[#This Row],[FECHA DE FACTURACIÓN]],"DE CONTADO","CRÉDITO")</f>
        <v>CRÉDITO</v>
      </c>
      <c r="B1118" s="41" t="str">
        <f>+IF((PROVEEDORES[[#This Row],[FECHA DE PAGO]]-PROVEEDORES[[#This Row],[FECHA DE FACTURACIÓN]])&gt;PROVEEDORES[[#This Row],[PLAZO Días]],"PAGO VENCIDO")</f>
        <v>PAGO VENCIDO</v>
      </c>
      <c r="C1118" s="22">
        <f>+VLOOKUP(PROVEEDORES[[#This Row],[PROVEEDOR]],TERCEROS_INFO[#All],2,FALSE)</f>
        <v>30</v>
      </c>
      <c r="D1118" s="27">
        <f>+SUMIFS(PROVEEDORES[Total],PROVEEDORES[PROVEEDOR],PROVEEDORES[[#This Row],[PROVEEDOR]],PROVEEDORES[FECHA DE PAGO],"")</f>
        <v>3355018.0749999997</v>
      </c>
      <c r="E1118" s="27"/>
      <c r="F1118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G1118" s="95">
        <v>44636</v>
      </c>
      <c r="H1118" s="28" t="s">
        <v>222</v>
      </c>
      <c r="I1118" s="95">
        <v>44551</v>
      </c>
      <c r="J1118" s="38">
        <v>458</v>
      </c>
      <c r="K1118" s="23">
        <v>1281933</v>
      </c>
      <c r="L1118" s="23"/>
      <c r="M1118" s="24">
        <v>243567.27</v>
      </c>
      <c r="N1118" s="25"/>
      <c r="O1118" s="24">
        <v>0</v>
      </c>
      <c r="P1118" s="136">
        <f>+IF(PROVEEDORES[[#This Row],[SUBTOTAL]]&lt;PROVEEDORES[[#This Row],[base retencion]],0,PROVEEDORES[[#This Row],[retención aplicada]])</f>
        <v>2.5000000000000001E-2</v>
      </c>
      <c r="Q1118" s="24">
        <f>+PROVEEDORES[[#This Row],[Rete Fuente %]]*PROVEEDORES[[#This Row],[SUBTOTAL]]</f>
        <v>32048.325000000001</v>
      </c>
      <c r="R1118" s="23">
        <v>1493451.9450000001</v>
      </c>
      <c r="S111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8" s="99">
        <f ca="1">IF(PROVEEDORES[[#This Row],[FECHA DE PAGO]]=0,TODAY()-PROVEEDORES[[#This Row],[FECHA DE FACTURACIÓN]]-PROVEEDORES[[#This Row],[PLAZO Días]],0)</f>
        <v>0</v>
      </c>
      <c r="U1118" s="149" t="str">
        <f>+VLOOKUP(PROVEEDORES[[#This Row],[PROVEEDOR]],Terceros!$A:$E,5,FALSE)</f>
        <v>2,5% con base</v>
      </c>
      <c r="V1118" s="150">
        <f>+YEAR(PROVEEDORES[[#This Row],[FECHA DE FACTURACIÓN]])</f>
        <v>2021</v>
      </c>
      <c r="W1118" s="150">
        <f>+MATCH(PROVEEDORES[[#This Row],[año facturado]],Retenciones!$1:$1,0)</f>
        <v>4</v>
      </c>
      <c r="X1118" s="151">
        <f>+VLOOKUP(PROVEEDORES[[#This Row],[ID RETENCION]],Retenciones!$A$1:$O$24,PROVEEDORES[[#This Row],[indicador de columna]],FALSE)</f>
        <v>980000</v>
      </c>
      <c r="Y1118" s="152">
        <f>+VLOOKUP(PROVEEDORES[[#This Row],[ID RETENCION]],Retenciones!$A$1:$O$24,2,FALSE)</f>
        <v>2.5000000000000001E-2</v>
      </c>
      <c r="Z1118" s="26"/>
      <c r="AA1118" s="26"/>
      <c r="AB1118" s="26"/>
      <c r="AC1118" s="26"/>
      <c r="AD1118" s="26"/>
      <c r="AE1118" s="26"/>
    </row>
    <row r="1119" spans="1:31" ht="21.95" customHeight="1" x14ac:dyDescent="0.25">
      <c r="A1119" s="97" t="str">
        <f>+IF(PROVEEDORES[[#This Row],[FECHA DE PAGO]]=PROVEEDORES[[#This Row],[FECHA DE FACTURACIÓN]],"DE CONTADO","CRÉDITO")</f>
        <v>CRÉDITO</v>
      </c>
      <c r="B1119" s="41" t="str">
        <f>+IF((PROVEEDORES[[#This Row],[FECHA DE PAGO]]-PROVEEDORES[[#This Row],[FECHA DE FACTURACIÓN]])&gt;PROVEEDORES[[#This Row],[PLAZO Días]],"PAGO VENCIDO")</f>
        <v>PAGO VENCIDO</v>
      </c>
      <c r="C1119" s="22">
        <f>+VLOOKUP(PROVEEDORES[[#This Row],[PROVEEDOR]],TERCEROS_INFO[#All],2,FALSE)</f>
        <v>90</v>
      </c>
      <c r="D1119" s="27">
        <f>+SUMIFS(PROVEEDORES[Total],PROVEEDORES[PROVEEDOR],PROVEEDORES[[#This Row],[PROVEEDOR]],PROVEEDORES[FECHA DE PAGO],"")</f>
        <v>26364243.66155</v>
      </c>
      <c r="E1119" s="27"/>
      <c r="F1119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G1119" s="95">
        <v>44648</v>
      </c>
      <c r="H1119" s="28" t="s">
        <v>12</v>
      </c>
      <c r="I1119" s="95">
        <v>44551</v>
      </c>
      <c r="J1119" s="38" t="s">
        <v>911</v>
      </c>
      <c r="K1119" s="23">
        <v>7573109</v>
      </c>
      <c r="L1119" s="23"/>
      <c r="M1119" s="24">
        <v>1438890.71</v>
      </c>
      <c r="N1119" s="25"/>
      <c r="O1119" s="24">
        <v>0</v>
      </c>
      <c r="P1119" s="136">
        <f>+IF(PROVEEDORES[[#This Row],[SUBTOTAL]]&lt;PROVEEDORES[[#This Row],[base retencion]],0,PROVEEDORES[[#This Row],[retención aplicada]])</f>
        <v>2.5000000000000001E-2</v>
      </c>
      <c r="Q1119" s="24">
        <f>+PROVEEDORES[[#This Row],[Rete Fuente %]]*PROVEEDORES[[#This Row],[SUBTOTAL]]</f>
        <v>189327.72500000001</v>
      </c>
      <c r="R1119" s="23">
        <v>8822671.9850000013</v>
      </c>
      <c r="S111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9" s="99">
        <f ca="1">IF(PROVEEDORES[[#This Row],[FECHA DE PAGO]]=0,TODAY()-PROVEEDORES[[#This Row],[FECHA DE FACTURACIÓN]]-PROVEEDORES[[#This Row],[PLAZO Días]],0)</f>
        <v>0</v>
      </c>
      <c r="U1119" s="149" t="str">
        <f>+VLOOKUP(PROVEEDORES[[#This Row],[PROVEEDOR]],Terceros!$A:$E,5,FALSE)</f>
        <v>2,5% con base</v>
      </c>
      <c r="V1119" s="150">
        <f>+YEAR(PROVEEDORES[[#This Row],[FECHA DE FACTURACIÓN]])</f>
        <v>2021</v>
      </c>
      <c r="W1119" s="150">
        <f>+MATCH(PROVEEDORES[[#This Row],[año facturado]],Retenciones!$1:$1,0)</f>
        <v>4</v>
      </c>
      <c r="X1119" s="151">
        <f>+VLOOKUP(PROVEEDORES[[#This Row],[ID RETENCION]],Retenciones!$A$1:$O$24,PROVEEDORES[[#This Row],[indicador de columna]],FALSE)</f>
        <v>980000</v>
      </c>
      <c r="Y1119" s="152">
        <f>+VLOOKUP(PROVEEDORES[[#This Row],[ID RETENCION]],Retenciones!$A$1:$O$24,2,FALSE)</f>
        <v>2.5000000000000001E-2</v>
      </c>
      <c r="Z1119" s="26"/>
      <c r="AA1119" s="26"/>
      <c r="AB1119" s="26"/>
      <c r="AC1119" s="26"/>
      <c r="AD1119" s="26"/>
      <c r="AE1119" s="26"/>
    </row>
    <row r="1120" spans="1:31" ht="21.95" customHeight="1" x14ac:dyDescent="0.25">
      <c r="A1120" s="97" t="str">
        <f>+IF(PROVEEDORES[[#This Row],[FECHA DE PAGO]]=PROVEEDORES[[#This Row],[FECHA DE FACTURACIÓN]],"DE CONTADO","CRÉDITO")</f>
        <v>CRÉDITO</v>
      </c>
      <c r="B1120" s="41" t="str">
        <f>+IF((PROVEEDORES[[#This Row],[FECHA DE PAGO]]-PROVEEDORES[[#This Row],[FECHA DE FACTURACIÓN]])&gt;PROVEEDORES[[#This Row],[PLAZO Días]],"PAGO VENCIDO")</f>
        <v>PAGO VENCIDO</v>
      </c>
      <c r="C1120" s="22">
        <f>+VLOOKUP(PROVEEDORES[[#This Row],[PROVEEDOR]],TERCEROS_INFO[#All],2,FALSE)</f>
        <v>45</v>
      </c>
      <c r="D1120" s="27">
        <f>+SUMIFS(PROVEEDORES[Total],PROVEEDORES[PROVEEDOR],PROVEEDORES[[#This Row],[PROVEEDOR]],PROVEEDORES[FECHA DE PAGO],"")</f>
        <v>37184068.039999999</v>
      </c>
      <c r="E1120" s="27"/>
      <c r="F1120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1120" s="95">
        <v>44608</v>
      </c>
      <c r="H1120" s="28" t="s">
        <v>19</v>
      </c>
      <c r="I1120" s="95">
        <v>44551</v>
      </c>
      <c r="J1120" s="38" t="s">
        <v>910</v>
      </c>
      <c r="K1120" s="23">
        <v>10867200</v>
      </c>
      <c r="L1120" s="23"/>
      <c r="M1120" s="24">
        <v>2064768</v>
      </c>
      <c r="N1120" s="25"/>
      <c r="O1120" s="24">
        <v>0</v>
      </c>
      <c r="P1120" s="136">
        <f>+IF(PROVEEDORES[[#This Row],[SUBTOTAL]]&lt;PROVEEDORES[[#This Row],[base retencion]],0,PROVEEDORES[[#This Row],[retención aplicada]])</f>
        <v>0</v>
      </c>
      <c r="Q1120" s="24">
        <f>+PROVEEDORES[[#This Row],[Rete Fuente %]]*PROVEEDORES[[#This Row],[SUBTOTAL]]</f>
        <v>0</v>
      </c>
      <c r="R1120" s="23">
        <v>12931968</v>
      </c>
      <c r="S112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0" s="99">
        <f ca="1">IF(PROVEEDORES[[#This Row],[FECHA DE PAGO]]=0,TODAY()-PROVEEDORES[[#This Row],[FECHA DE FACTURACIÓN]]-PROVEEDORES[[#This Row],[PLAZO Días]],0)</f>
        <v>0</v>
      </c>
      <c r="U1120" s="149">
        <f>+VLOOKUP(PROVEEDORES[[#This Row],[PROVEEDOR]],Terceros!$A:$E,5,FALSE)</f>
        <v>0</v>
      </c>
      <c r="V1120" s="150">
        <f>+YEAR(PROVEEDORES[[#This Row],[FECHA DE FACTURACIÓN]])</f>
        <v>2021</v>
      </c>
      <c r="W1120" s="150">
        <f>+MATCH(PROVEEDORES[[#This Row],[año facturado]],Retenciones!$1:$1,0)</f>
        <v>4</v>
      </c>
      <c r="X1120" s="151">
        <f>+VLOOKUP(PROVEEDORES[[#This Row],[ID RETENCION]],Retenciones!$A$1:$O$24,PROVEEDORES[[#This Row],[indicador de columna]],FALSE)</f>
        <v>0</v>
      </c>
      <c r="Y1120" s="152">
        <f>+VLOOKUP(PROVEEDORES[[#This Row],[ID RETENCION]],Retenciones!$A$1:$O$24,2,FALSE)</f>
        <v>0</v>
      </c>
      <c r="Z1120" s="26"/>
      <c r="AA1120" s="26"/>
      <c r="AB1120" s="26"/>
      <c r="AC1120" s="26"/>
      <c r="AD1120" s="26"/>
      <c r="AE1120" s="26"/>
    </row>
    <row r="1121" spans="1:31" ht="21.95" customHeight="1" x14ac:dyDescent="0.25">
      <c r="A1121" s="97" t="str">
        <f>+IF(PROVEEDORES[[#This Row],[FECHA DE PAGO]]=PROVEEDORES[[#This Row],[FECHA DE FACTURACIÓN]],"DE CONTADO","CRÉDITO")</f>
        <v>CRÉDITO</v>
      </c>
      <c r="B1121" s="41" t="str">
        <f>+IF((PROVEEDORES[[#This Row],[FECHA DE PAGO]]-PROVEEDORES[[#This Row],[FECHA DE FACTURACIÓN]])&gt;PROVEEDORES[[#This Row],[PLAZO Días]],"PAGO VENCIDO")</f>
        <v>PAGO VENCIDO</v>
      </c>
      <c r="C1121" s="22">
        <f>+VLOOKUP(PROVEEDORES[[#This Row],[PROVEEDOR]],TERCEROS_INFO[#All],2,FALSE)</f>
        <v>30</v>
      </c>
      <c r="D1121" s="27">
        <f>+SUMIFS(PROVEEDORES[Total],PROVEEDORES[PROVEEDOR],PROVEEDORES[[#This Row],[PROVEEDOR]],PROVEEDORES[FECHA DE PAGO],"")</f>
        <v>18000</v>
      </c>
      <c r="E1121" s="27"/>
      <c r="F1121" s="62" t="str">
        <f>+VLOOKUP(PROVEEDORES[[#This Row],[PROVEEDOR]],
                       Terceros!$A:$G,
                       6,
                       FALSE)</f>
        <v/>
      </c>
      <c r="G1121" s="95">
        <v>44600</v>
      </c>
      <c r="H1121" s="28" t="s">
        <v>1054</v>
      </c>
      <c r="I1121" s="95">
        <v>44552</v>
      </c>
      <c r="J1121" s="38" t="s">
        <v>897</v>
      </c>
      <c r="K1121" s="23">
        <v>112000</v>
      </c>
      <c r="L1121" s="23"/>
      <c r="M1121" s="24">
        <v>0</v>
      </c>
      <c r="N1121" s="25"/>
      <c r="O1121" s="24">
        <v>0</v>
      </c>
      <c r="P1121" s="136">
        <f>+IF(PROVEEDORES[[#This Row],[SUBTOTAL]]&lt;PROVEEDORES[[#This Row],[base retencion]],0,PROVEEDORES[[#This Row],[retención aplicada]])</f>
        <v>0</v>
      </c>
      <c r="Q1121" s="24">
        <f>+PROVEEDORES[[#This Row],[Rete Fuente %]]*PROVEEDORES[[#This Row],[SUBTOTAL]]</f>
        <v>0</v>
      </c>
      <c r="R1121" s="23">
        <v>112000</v>
      </c>
      <c r="S112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1" s="99">
        <f ca="1">IF(PROVEEDORES[[#This Row],[FECHA DE PAGO]]=0,TODAY()-PROVEEDORES[[#This Row],[FECHA DE FACTURACIÓN]]-PROVEEDORES[[#This Row],[PLAZO Días]],0)</f>
        <v>0</v>
      </c>
      <c r="U1121" s="149">
        <f>+VLOOKUP(PROVEEDORES[[#This Row],[PROVEEDOR]],Terceros!$A:$E,5,FALSE)</f>
        <v>0</v>
      </c>
      <c r="V1121" s="150">
        <f>+YEAR(PROVEEDORES[[#This Row],[FECHA DE FACTURACIÓN]])</f>
        <v>2021</v>
      </c>
      <c r="W1121" s="150">
        <f>+MATCH(PROVEEDORES[[#This Row],[año facturado]],Retenciones!$1:$1,0)</f>
        <v>4</v>
      </c>
      <c r="X1121" s="151">
        <f>+VLOOKUP(PROVEEDORES[[#This Row],[ID RETENCION]],Retenciones!$A$1:$O$24,PROVEEDORES[[#This Row],[indicador de columna]],FALSE)</f>
        <v>0</v>
      </c>
      <c r="Y1121" s="152">
        <f>+VLOOKUP(PROVEEDORES[[#This Row],[ID RETENCION]],Retenciones!$A$1:$O$24,2,FALSE)</f>
        <v>0</v>
      </c>
      <c r="Z1121" s="26"/>
      <c r="AA1121" s="26"/>
      <c r="AB1121" s="26"/>
      <c r="AC1121" s="26"/>
      <c r="AD1121" s="26"/>
      <c r="AE1121" s="26"/>
    </row>
    <row r="1122" spans="1:31" ht="21.95" customHeight="1" x14ac:dyDescent="0.25">
      <c r="A1122" s="97" t="str">
        <f>+IF(PROVEEDORES[[#This Row],[FECHA DE PAGO]]=PROVEEDORES[[#This Row],[FECHA DE FACTURACIÓN]],"DE CONTADO","CRÉDITO")</f>
        <v>CRÉDITO</v>
      </c>
      <c r="B1122" s="41" t="b">
        <f>+IF((PROVEEDORES[[#This Row],[FECHA DE PAGO]]-PROVEEDORES[[#This Row],[FECHA DE FACTURACIÓN]])&gt;PROVEEDORES[[#This Row],[PLAZO Días]],"PAGO VENCIDO")</f>
        <v>0</v>
      </c>
      <c r="C1122" s="22">
        <f>+VLOOKUP(PROVEEDORES[[#This Row],[PROVEEDOR]],TERCEROS_INFO[#All],2,FALSE)</f>
        <v>30</v>
      </c>
      <c r="D1122" s="27">
        <f>+SUMIFS(PROVEEDORES[Total],PROVEEDORES[PROVEEDOR],PROVEEDORES[[#This Row],[PROVEEDOR]],PROVEEDORES[FECHA DE PAGO],"")</f>
        <v>0</v>
      </c>
      <c r="E1122" s="27"/>
      <c r="F1122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1122" s="95">
        <v>44553</v>
      </c>
      <c r="H1122" s="28" t="s">
        <v>1040</v>
      </c>
      <c r="I1122" s="95">
        <v>44552</v>
      </c>
      <c r="J1122" s="38">
        <v>316</v>
      </c>
      <c r="K1122" s="23">
        <v>154000</v>
      </c>
      <c r="L1122" s="23"/>
      <c r="M1122" s="24">
        <v>0</v>
      </c>
      <c r="N1122" s="25"/>
      <c r="O1122" s="24">
        <v>0</v>
      </c>
      <c r="P1122" s="136">
        <f>+IF(PROVEEDORES[[#This Row],[SUBTOTAL]]&lt;PROVEEDORES[[#This Row],[base retencion]],0,PROVEEDORES[[#This Row],[retención aplicada]])</f>
        <v>0</v>
      </c>
      <c r="Q1122" s="24">
        <f>+PROVEEDORES[[#This Row],[Rete Fuente %]]*PROVEEDORES[[#This Row],[SUBTOTAL]]</f>
        <v>0</v>
      </c>
      <c r="R1122" s="23">
        <v>154000</v>
      </c>
      <c r="S112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2" s="99">
        <f ca="1">IF(PROVEEDORES[[#This Row],[FECHA DE PAGO]]=0,TODAY()-PROVEEDORES[[#This Row],[FECHA DE FACTURACIÓN]]-PROVEEDORES[[#This Row],[PLAZO Días]],0)</f>
        <v>0</v>
      </c>
      <c r="U1122" s="149">
        <f>+VLOOKUP(PROVEEDORES[[#This Row],[PROVEEDOR]],Terceros!$A:$E,5,FALSE)</f>
        <v>0</v>
      </c>
      <c r="V1122" s="150">
        <f>+YEAR(PROVEEDORES[[#This Row],[FECHA DE FACTURACIÓN]])</f>
        <v>2021</v>
      </c>
      <c r="W1122" s="150">
        <f>+MATCH(PROVEEDORES[[#This Row],[año facturado]],Retenciones!$1:$1,0)</f>
        <v>4</v>
      </c>
      <c r="X1122" s="151">
        <f>+VLOOKUP(PROVEEDORES[[#This Row],[ID RETENCION]],Retenciones!$A$1:$O$24,PROVEEDORES[[#This Row],[indicador de columna]],FALSE)</f>
        <v>0</v>
      </c>
      <c r="Y1122" s="152">
        <f>+VLOOKUP(PROVEEDORES[[#This Row],[ID RETENCION]],Retenciones!$A$1:$O$24,2,FALSE)</f>
        <v>0</v>
      </c>
      <c r="Z1122" s="26"/>
      <c r="AA1122" s="26"/>
      <c r="AB1122" s="26"/>
      <c r="AC1122" s="26"/>
      <c r="AD1122" s="26"/>
      <c r="AE1122" s="26"/>
    </row>
    <row r="1123" spans="1:31" ht="21.95" customHeight="1" x14ac:dyDescent="0.25">
      <c r="A1123" s="97" t="str">
        <f>+IF(PROVEEDORES[[#This Row],[FECHA DE PAGO]]=PROVEEDORES[[#This Row],[FECHA DE FACTURACIÓN]],"DE CONTADO","CRÉDITO")</f>
        <v>CRÉDITO</v>
      </c>
      <c r="B1123" s="41" t="str">
        <f>+IF((PROVEEDORES[[#This Row],[FECHA DE PAGO]]-PROVEEDORES[[#This Row],[FECHA DE FACTURACIÓN]])&gt;PROVEEDORES[[#This Row],[PLAZO Días]],"PAGO VENCIDO")</f>
        <v>PAGO VENCIDO</v>
      </c>
      <c r="C1123" s="22">
        <f>+VLOOKUP(PROVEEDORES[[#This Row],[PROVEEDOR]],TERCEROS_INFO[#All],2,FALSE)</f>
        <v>60</v>
      </c>
      <c r="D1123" s="27">
        <f>+SUMIFS(PROVEEDORES[Total],PROVEEDORES[PROVEEDOR],PROVEEDORES[[#This Row],[PROVEEDOR]],PROVEEDORES[FECHA DE PAGO],"")</f>
        <v>758800</v>
      </c>
      <c r="E1123" s="27"/>
      <c r="F1123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G1123" s="95">
        <v>44623</v>
      </c>
      <c r="H1123" s="28" t="s">
        <v>604</v>
      </c>
      <c r="I1123" s="95">
        <v>44552</v>
      </c>
      <c r="J1123" s="38" t="s">
        <v>913</v>
      </c>
      <c r="K1123" s="23">
        <v>319200</v>
      </c>
      <c r="L1123" s="23"/>
      <c r="M1123" s="24">
        <v>0</v>
      </c>
      <c r="N1123" s="25"/>
      <c r="O1123" s="24">
        <v>0</v>
      </c>
      <c r="P1123" s="136">
        <f>+IF(PROVEEDORES[[#This Row],[SUBTOTAL]]&lt;PROVEEDORES[[#This Row],[base retencion]],0,PROVEEDORES[[#This Row],[retención aplicada]])</f>
        <v>0</v>
      </c>
      <c r="Q1123" s="24">
        <f>+PROVEEDORES[[#This Row],[Rete Fuente %]]*PROVEEDORES[[#This Row],[SUBTOTAL]]</f>
        <v>0</v>
      </c>
      <c r="R1123" s="23">
        <v>319200</v>
      </c>
      <c r="S112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3" s="99">
        <f ca="1">IF(PROVEEDORES[[#This Row],[FECHA DE PAGO]]=0,TODAY()-PROVEEDORES[[#This Row],[FECHA DE FACTURACIÓN]]-PROVEEDORES[[#This Row],[PLAZO Días]],0)</f>
        <v>0</v>
      </c>
      <c r="U1123" s="149">
        <f>+VLOOKUP(PROVEEDORES[[#This Row],[PROVEEDOR]],Terceros!$A:$E,5,FALSE)</f>
        <v>0</v>
      </c>
      <c r="V1123" s="150">
        <f>+YEAR(PROVEEDORES[[#This Row],[FECHA DE FACTURACIÓN]])</f>
        <v>2021</v>
      </c>
      <c r="W1123" s="150">
        <f>+MATCH(PROVEEDORES[[#This Row],[año facturado]],Retenciones!$1:$1,0)</f>
        <v>4</v>
      </c>
      <c r="X1123" s="151">
        <f>+VLOOKUP(PROVEEDORES[[#This Row],[ID RETENCION]],Retenciones!$A$1:$O$24,PROVEEDORES[[#This Row],[indicador de columna]],FALSE)</f>
        <v>0</v>
      </c>
      <c r="Y1123" s="152">
        <f>+VLOOKUP(PROVEEDORES[[#This Row],[ID RETENCION]],Retenciones!$A$1:$O$24,2,FALSE)</f>
        <v>0</v>
      </c>
      <c r="Z1123" s="26"/>
      <c r="AA1123" s="26"/>
      <c r="AB1123" s="26"/>
      <c r="AC1123" s="26"/>
      <c r="AD1123" s="26"/>
      <c r="AE1123" s="26"/>
    </row>
    <row r="1124" spans="1:31" ht="21.95" customHeight="1" x14ac:dyDescent="0.25">
      <c r="A1124" s="97" t="str">
        <f>+IF(PROVEEDORES[[#This Row],[FECHA DE PAGO]]=PROVEEDORES[[#This Row],[FECHA DE FACTURACIÓN]],"DE CONTADO","CRÉDITO")</f>
        <v>DE CONTADO</v>
      </c>
      <c r="B1124" s="41" t="b">
        <f>+IF((PROVEEDORES[[#This Row],[FECHA DE PAGO]]-PROVEEDORES[[#This Row],[FECHA DE FACTURACIÓN]])&gt;PROVEEDORES[[#This Row],[PLAZO Días]],"PAGO VENCIDO")</f>
        <v>0</v>
      </c>
      <c r="C1124" s="22">
        <f>+VLOOKUP(PROVEEDORES[[#This Row],[PROVEEDOR]],TERCEROS_INFO[#All],2,FALSE)</f>
        <v>30</v>
      </c>
      <c r="D1124" s="27">
        <f>+SUMIFS(PROVEEDORES[Total],PROVEEDORES[PROVEEDOR],PROVEEDORES[[#This Row],[PROVEEDOR]],PROVEEDORES[FECHA DE PAGO],"")</f>
        <v>0</v>
      </c>
      <c r="E1124" s="27"/>
      <c r="F1124" s="62" t="str">
        <f>+VLOOKUP(PROVEEDORES[[#This Row],[PROVEEDOR]],
                       Terceros!$A:$G,
                       6,
                       FALSE)</f>
        <v/>
      </c>
      <c r="G1124" s="95">
        <v>44552</v>
      </c>
      <c r="H1124" s="28" t="s">
        <v>1031</v>
      </c>
      <c r="I1124" s="95">
        <v>44552</v>
      </c>
      <c r="J1124" s="38" t="s">
        <v>900</v>
      </c>
      <c r="K1124" s="23">
        <v>820000</v>
      </c>
      <c r="L1124" s="23"/>
      <c r="M1124" s="24">
        <v>0</v>
      </c>
      <c r="N1124" s="25"/>
      <c r="O1124" s="24">
        <v>0</v>
      </c>
      <c r="P1124" s="136">
        <f>+IF(PROVEEDORES[[#This Row],[SUBTOTAL]]&lt;PROVEEDORES[[#This Row],[base retencion]],0,PROVEEDORES[[#This Row],[retención aplicada]])</f>
        <v>0</v>
      </c>
      <c r="Q1124" s="24">
        <f>+PROVEEDORES[[#This Row],[Rete Fuente %]]*PROVEEDORES[[#This Row],[SUBTOTAL]]</f>
        <v>0</v>
      </c>
      <c r="R1124" s="23">
        <v>820000</v>
      </c>
      <c r="S112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4" s="99">
        <f ca="1">IF(PROVEEDORES[[#This Row],[FECHA DE PAGO]]=0,TODAY()-PROVEEDORES[[#This Row],[FECHA DE FACTURACIÓN]]-PROVEEDORES[[#This Row],[PLAZO Días]],0)</f>
        <v>0</v>
      </c>
      <c r="U1124" s="149">
        <f>+VLOOKUP(PROVEEDORES[[#This Row],[PROVEEDOR]],Terceros!$A:$E,5,FALSE)</f>
        <v>0</v>
      </c>
      <c r="V1124" s="150">
        <f>+YEAR(PROVEEDORES[[#This Row],[FECHA DE FACTURACIÓN]])</f>
        <v>2021</v>
      </c>
      <c r="W1124" s="150">
        <f>+MATCH(PROVEEDORES[[#This Row],[año facturado]],Retenciones!$1:$1,0)</f>
        <v>4</v>
      </c>
      <c r="X1124" s="151">
        <f>+VLOOKUP(PROVEEDORES[[#This Row],[ID RETENCION]],Retenciones!$A$1:$O$24,PROVEEDORES[[#This Row],[indicador de columna]],FALSE)</f>
        <v>0</v>
      </c>
      <c r="Y1124" s="152">
        <f>+VLOOKUP(PROVEEDORES[[#This Row],[ID RETENCION]],Retenciones!$A$1:$O$24,2,FALSE)</f>
        <v>0</v>
      </c>
      <c r="Z1124" s="26"/>
      <c r="AA1124" s="26"/>
      <c r="AB1124" s="26"/>
      <c r="AC1124" s="26"/>
      <c r="AD1124" s="26"/>
      <c r="AE1124" s="26"/>
    </row>
    <row r="1125" spans="1:31" ht="21.95" customHeight="1" x14ac:dyDescent="0.25">
      <c r="A1125" s="97" t="str">
        <f>+IF(PROVEEDORES[[#This Row],[FECHA DE PAGO]]=PROVEEDORES[[#This Row],[FECHA DE FACTURACIÓN]],"DE CONTADO","CRÉDITO")</f>
        <v>CRÉDITO</v>
      </c>
      <c r="B1125" s="41" t="str">
        <f>+IF((PROVEEDORES[[#This Row],[FECHA DE PAGO]]-PROVEEDORES[[#This Row],[FECHA DE FACTURACIÓN]])&gt;PROVEEDORES[[#This Row],[PLAZO Días]],"PAGO VENCIDO")</f>
        <v>PAGO VENCIDO</v>
      </c>
      <c r="C1125" s="22">
        <f>+VLOOKUP(PROVEEDORES[[#This Row],[PROVEEDOR]],TERCEROS_INFO[#All],2,FALSE)</f>
        <v>30</v>
      </c>
      <c r="D1125" s="27">
        <f>+SUMIFS(PROVEEDORES[Total],PROVEEDORES[PROVEEDOR],PROVEEDORES[[#This Row],[PROVEEDOR]],PROVEEDORES[FECHA DE PAGO],"")</f>
        <v>3750700</v>
      </c>
      <c r="E1125" s="27"/>
      <c r="F1125" s="62" t="str">
        <f>+VLOOKUP(PROVEEDORES[[#This Row],[PROVEEDOR]],
                       Terceros!$A:$G,
                       6,
                       FALSE)</f>
        <v/>
      </c>
      <c r="G1125" s="95">
        <v>44586</v>
      </c>
      <c r="H1125" s="28" t="s">
        <v>990</v>
      </c>
      <c r="I1125" s="95">
        <v>44552</v>
      </c>
      <c r="J1125" s="38" t="s">
        <v>902</v>
      </c>
      <c r="K1125" s="23">
        <v>2380000</v>
      </c>
      <c r="L1125" s="23"/>
      <c r="M1125" s="24">
        <v>0</v>
      </c>
      <c r="N1125" s="25"/>
      <c r="O1125" s="24">
        <v>0</v>
      </c>
      <c r="P1125" s="136">
        <f>+IF(PROVEEDORES[[#This Row],[SUBTOTAL]]&lt;PROVEEDORES[[#This Row],[base retencion]],0,PROVEEDORES[[#This Row],[retención aplicada]])</f>
        <v>0</v>
      </c>
      <c r="Q1125" s="24">
        <f>+PROVEEDORES[[#This Row],[Rete Fuente %]]*PROVEEDORES[[#This Row],[SUBTOTAL]]</f>
        <v>0</v>
      </c>
      <c r="R1125" s="23">
        <v>2380000</v>
      </c>
      <c r="S112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5" s="99">
        <f ca="1">IF(PROVEEDORES[[#This Row],[FECHA DE PAGO]]=0,TODAY()-PROVEEDORES[[#This Row],[FECHA DE FACTURACIÓN]]-PROVEEDORES[[#This Row],[PLAZO Días]],0)</f>
        <v>0</v>
      </c>
      <c r="U1125" s="149">
        <f>+VLOOKUP(PROVEEDORES[[#This Row],[PROVEEDOR]],Terceros!$A:$E,5,FALSE)</f>
        <v>0</v>
      </c>
      <c r="V1125" s="150">
        <f>+YEAR(PROVEEDORES[[#This Row],[FECHA DE FACTURACIÓN]])</f>
        <v>2021</v>
      </c>
      <c r="W1125" s="150">
        <f>+MATCH(PROVEEDORES[[#This Row],[año facturado]],Retenciones!$1:$1,0)</f>
        <v>4</v>
      </c>
      <c r="X1125" s="151">
        <f>+VLOOKUP(PROVEEDORES[[#This Row],[ID RETENCION]],Retenciones!$A$1:$O$24,PROVEEDORES[[#This Row],[indicador de columna]],FALSE)</f>
        <v>0</v>
      </c>
      <c r="Y1125" s="152">
        <f>+VLOOKUP(PROVEEDORES[[#This Row],[ID RETENCION]],Retenciones!$A$1:$O$24,2,FALSE)</f>
        <v>0</v>
      </c>
      <c r="Z1125" s="26"/>
      <c r="AA1125" s="26"/>
      <c r="AB1125" s="26"/>
      <c r="AC1125" s="26"/>
      <c r="AD1125" s="26"/>
      <c r="AE1125" s="26"/>
    </row>
    <row r="1126" spans="1:31" ht="21.95" customHeight="1" x14ac:dyDescent="0.25">
      <c r="A1126" s="97" t="str">
        <f>+IF(PROVEEDORES[[#This Row],[FECHA DE PAGO]]=PROVEEDORES[[#This Row],[FECHA DE FACTURACIÓN]],"DE CONTADO","CRÉDITO")</f>
        <v>CRÉDITO</v>
      </c>
      <c r="B1126" s="41" t="str">
        <f>+IF((PROVEEDORES[[#This Row],[FECHA DE PAGO]]-PROVEEDORES[[#This Row],[FECHA DE FACTURACIÓN]])&gt;PROVEEDORES[[#This Row],[PLAZO Días]],"PAGO VENCIDO")</f>
        <v>PAGO VENCIDO</v>
      </c>
      <c r="C1126" s="22">
        <f>+VLOOKUP(PROVEEDORES[[#This Row],[PROVEEDOR]],TERCEROS_INFO[#All],2,FALSE)</f>
        <v>30</v>
      </c>
      <c r="D1126" s="27">
        <f>+SUMIFS(PROVEEDORES[Total],PROVEEDORES[PROVEEDOR],PROVEEDORES[[#This Row],[PROVEEDOR]],PROVEEDORES[FECHA DE PAGO],"")</f>
        <v>7458000</v>
      </c>
      <c r="E1126" s="27"/>
      <c r="F1126" s="62" t="str">
        <f>+VLOOKUP(PROVEEDORES[[#This Row],[PROVEEDOR]],
                       Terceros!$A:$G,
                       6,
                       FALSE)</f>
        <v/>
      </c>
      <c r="G1126" s="95">
        <v>44586</v>
      </c>
      <c r="H1126" s="28" t="s">
        <v>1043</v>
      </c>
      <c r="I1126" s="95">
        <v>44552</v>
      </c>
      <c r="J1126" s="38" t="s">
        <v>896</v>
      </c>
      <c r="K1126" s="23">
        <v>4310000</v>
      </c>
      <c r="L1126" s="23"/>
      <c r="M1126" s="24">
        <v>0</v>
      </c>
      <c r="N1126" s="25"/>
      <c r="O1126" s="24">
        <v>0</v>
      </c>
      <c r="P1126" s="136">
        <f>+IF(PROVEEDORES[[#This Row],[SUBTOTAL]]&lt;PROVEEDORES[[#This Row],[base retencion]],0,PROVEEDORES[[#This Row],[retención aplicada]])</f>
        <v>0</v>
      </c>
      <c r="Q1126" s="24">
        <f>+PROVEEDORES[[#This Row],[Rete Fuente %]]*PROVEEDORES[[#This Row],[SUBTOTAL]]</f>
        <v>0</v>
      </c>
      <c r="R1126" s="23">
        <v>4310000</v>
      </c>
      <c r="S112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6" s="99">
        <f ca="1">IF(PROVEEDORES[[#This Row],[FECHA DE PAGO]]=0,TODAY()-PROVEEDORES[[#This Row],[FECHA DE FACTURACIÓN]]-PROVEEDORES[[#This Row],[PLAZO Días]],0)</f>
        <v>0</v>
      </c>
      <c r="U1126" s="149">
        <f>+VLOOKUP(PROVEEDORES[[#This Row],[PROVEEDOR]],Terceros!$A:$E,5,FALSE)</f>
        <v>0</v>
      </c>
      <c r="V1126" s="150">
        <f>+YEAR(PROVEEDORES[[#This Row],[FECHA DE FACTURACIÓN]])</f>
        <v>2021</v>
      </c>
      <c r="W1126" s="150">
        <f>+MATCH(PROVEEDORES[[#This Row],[año facturado]],Retenciones!$1:$1,0)</f>
        <v>4</v>
      </c>
      <c r="X1126" s="151">
        <f>+VLOOKUP(PROVEEDORES[[#This Row],[ID RETENCION]],Retenciones!$A$1:$O$24,PROVEEDORES[[#This Row],[indicador de columna]],FALSE)</f>
        <v>0</v>
      </c>
      <c r="Y1126" s="152">
        <f>+VLOOKUP(PROVEEDORES[[#This Row],[ID RETENCION]],Retenciones!$A$1:$O$24,2,FALSE)</f>
        <v>0</v>
      </c>
      <c r="Z1126" s="26"/>
      <c r="AA1126" s="26"/>
      <c r="AB1126" s="26"/>
      <c r="AC1126" s="26"/>
      <c r="AD1126" s="26"/>
      <c r="AE1126" s="26"/>
    </row>
    <row r="1127" spans="1:31" ht="21.95" customHeight="1" x14ac:dyDescent="0.25">
      <c r="A1127" s="97" t="str">
        <f>+IF(PROVEEDORES[[#This Row],[FECHA DE PAGO]]=PROVEEDORES[[#This Row],[FECHA DE FACTURACIÓN]],"DE CONTADO","CRÉDITO")</f>
        <v>DE CONTADO</v>
      </c>
      <c r="B1127" s="41" t="b">
        <f>+IF((PROVEEDORES[[#This Row],[FECHA DE PAGO]]-PROVEEDORES[[#This Row],[FECHA DE FACTURACIÓN]])&gt;PROVEEDORES[[#This Row],[PLAZO Días]],"PAGO VENCIDO")</f>
        <v>0</v>
      </c>
      <c r="C1127" s="22">
        <f>+VLOOKUP(PROVEEDORES[[#This Row],[PROVEEDOR]],TERCEROS_INFO[#All],2,FALSE)</f>
        <v>30</v>
      </c>
      <c r="D1127" s="27">
        <f>+SUMIFS(PROVEEDORES[Total],PROVEEDORES[PROVEEDOR],PROVEEDORES[[#This Row],[PROVEEDOR]],PROVEEDORES[FECHA DE PAGO],"")</f>
        <v>0</v>
      </c>
      <c r="E1127" s="27"/>
      <c r="F1127" s="62" t="str">
        <f>+VLOOKUP(PROVEEDORES[[#This Row],[PROVEEDOR]],
                       Terceros!$A:$G,
                       6,
                       FALSE)</f>
        <v/>
      </c>
      <c r="G1127" s="95">
        <v>44553</v>
      </c>
      <c r="H1127" s="28" t="s">
        <v>1046</v>
      </c>
      <c r="I1127" s="95">
        <v>44553</v>
      </c>
      <c r="J1127" s="38"/>
      <c r="K1127" s="23">
        <v>2000000</v>
      </c>
      <c r="L1127" s="23"/>
      <c r="M1127" s="24">
        <v>0</v>
      </c>
      <c r="N1127" s="25"/>
      <c r="O1127" s="24">
        <v>0</v>
      </c>
      <c r="P1127" s="136">
        <f>+IF(PROVEEDORES[[#This Row],[SUBTOTAL]]&lt;PROVEEDORES[[#This Row],[base retencion]],0,PROVEEDORES[[#This Row],[retención aplicada]])</f>
        <v>0</v>
      </c>
      <c r="Q1127" s="24">
        <f>+PROVEEDORES[[#This Row],[Rete Fuente %]]*PROVEEDORES[[#This Row],[SUBTOTAL]]</f>
        <v>0</v>
      </c>
      <c r="R1127" s="23">
        <v>2000000</v>
      </c>
      <c r="S112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7" s="99">
        <f ca="1">IF(PROVEEDORES[[#This Row],[FECHA DE PAGO]]=0,TODAY()-PROVEEDORES[[#This Row],[FECHA DE FACTURACIÓN]]-PROVEEDORES[[#This Row],[PLAZO Días]],0)</f>
        <v>0</v>
      </c>
      <c r="U1127" s="149">
        <f>+VLOOKUP(PROVEEDORES[[#This Row],[PROVEEDOR]],Terceros!$A:$E,5,FALSE)</f>
        <v>0</v>
      </c>
      <c r="V1127" s="150">
        <f>+YEAR(PROVEEDORES[[#This Row],[FECHA DE FACTURACIÓN]])</f>
        <v>2021</v>
      </c>
      <c r="W1127" s="150">
        <f>+MATCH(PROVEEDORES[[#This Row],[año facturado]],Retenciones!$1:$1,0)</f>
        <v>4</v>
      </c>
      <c r="X1127" s="151">
        <f>+VLOOKUP(PROVEEDORES[[#This Row],[ID RETENCION]],Retenciones!$A$1:$O$24,PROVEEDORES[[#This Row],[indicador de columna]],FALSE)</f>
        <v>0</v>
      </c>
      <c r="Y1127" s="152">
        <f>+VLOOKUP(PROVEEDORES[[#This Row],[ID RETENCION]],Retenciones!$A$1:$O$24,2,FALSE)</f>
        <v>0</v>
      </c>
      <c r="Z1127" s="26"/>
      <c r="AA1127" s="26"/>
      <c r="AB1127" s="26"/>
      <c r="AC1127" s="26"/>
      <c r="AD1127" s="26"/>
      <c r="AE1127" s="26"/>
    </row>
    <row r="1128" spans="1:31" ht="21.95" customHeight="1" x14ac:dyDescent="0.25">
      <c r="A1128" s="97" t="str">
        <f>+IF(PROVEEDORES[[#This Row],[FECHA DE PAGO]]=PROVEEDORES[[#This Row],[FECHA DE FACTURACIÓN]],"DE CONTADO","CRÉDITO")</f>
        <v>CRÉDITO</v>
      </c>
      <c r="B1128" s="41" t="b">
        <f>+IF((PROVEEDORES[[#This Row],[FECHA DE PAGO]]-PROVEEDORES[[#This Row],[FECHA DE FACTURACIÓN]])&gt;PROVEEDORES[[#This Row],[PLAZO Días]],"PAGO VENCIDO")</f>
        <v>0</v>
      </c>
      <c r="C1128" s="22">
        <f>+VLOOKUP(PROVEEDORES[[#This Row],[PROVEEDOR]],TERCEROS_INFO[#All],2,FALSE)</f>
        <v>30</v>
      </c>
      <c r="D1128" s="27">
        <f>+SUMIFS(PROVEEDORES[Total],PROVEEDORES[PROVEEDOR],PROVEEDORES[[#This Row],[PROVEEDOR]],PROVEEDORES[FECHA DE PAGO],"")</f>
        <v>3320000</v>
      </c>
      <c r="E1128" s="27"/>
      <c r="F1128" s="62" t="str">
        <f>+VLOOKUP(PROVEEDORES[[#This Row],[PROVEEDOR]],
                       Terceros!$A:$G,
                       6,
                       FALSE)</f>
        <v>Pygimportadora@gmail.com;girlesa.ruiz@servipilas.com;joriescobar64@gmail.com</v>
      </c>
      <c r="G1128" s="95">
        <v>44560</v>
      </c>
      <c r="H1128" s="28" t="s">
        <v>1062</v>
      </c>
      <c r="I1128" s="95">
        <v>44557</v>
      </c>
      <c r="J1128" s="38" t="s">
        <v>906</v>
      </c>
      <c r="K1128" s="23">
        <v>-1100000</v>
      </c>
      <c r="L1128" s="23"/>
      <c r="M1128" s="24">
        <v>0</v>
      </c>
      <c r="N1128" s="25"/>
      <c r="O1128" s="24">
        <v>0</v>
      </c>
      <c r="P1128" s="136">
        <f>+IF(PROVEEDORES[[#This Row],[SUBTOTAL]]&lt;PROVEEDORES[[#This Row],[base retencion]],0,PROVEEDORES[[#This Row],[retención aplicada]])</f>
        <v>0</v>
      </c>
      <c r="Q1128" s="24">
        <f>+PROVEEDORES[[#This Row],[Rete Fuente %]]*PROVEEDORES[[#This Row],[SUBTOTAL]]</f>
        <v>0</v>
      </c>
      <c r="R1128" s="23">
        <v>-1100000</v>
      </c>
      <c r="S112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8" s="99">
        <f ca="1">IF(PROVEEDORES[[#This Row],[FECHA DE PAGO]]=0,TODAY()-PROVEEDORES[[#This Row],[FECHA DE FACTURACIÓN]]-PROVEEDORES[[#This Row],[PLAZO Días]],0)</f>
        <v>0</v>
      </c>
      <c r="U1128" s="149">
        <f>+VLOOKUP(PROVEEDORES[[#This Row],[PROVEEDOR]],Terceros!$A:$E,5,FALSE)</f>
        <v>0</v>
      </c>
      <c r="V1128" s="150">
        <f>+YEAR(PROVEEDORES[[#This Row],[FECHA DE FACTURACIÓN]])</f>
        <v>2021</v>
      </c>
      <c r="W1128" s="150">
        <f>+MATCH(PROVEEDORES[[#This Row],[año facturado]],Retenciones!$1:$1,0)</f>
        <v>4</v>
      </c>
      <c r="X1128" s="151">
        <f>+VLOOKUP(PROVEEDORES[[#This Row],[ID RETENCION]],Retenciones!$A$1:$O$24,PROVEEDORES[[#This Row],[indicador de columna]],FALSE)</f>
        <v>0</v>
      </c>
      <c r="Y1128" s="152">
        <f>+VLOOKUP(PROVEEDORES[[#This Row],[ID RETENCION]],Retenciones!$A$1:$O$24,2,FALSE)</f>
        <v>0</v>
      </c>
      <c r="Z1128" s="26"/>
      <c r="AA1128" s="26"/>
      <c r="AB1128" s="26"/>
      <c r="AC1128" s="26"/>
      <c r="AD1128" s="26"/>
      <c r="AE1128" s="26"/>
    </row>
    <row r="1129" spans="1:31" ht="21.95" customHeight="1" x14ac:dyDescent="0.25">
      <c r="A1129" s="97" t="str">
        <f>+IF(PROVEEDORES[[#This Row],[FECHA DE PAGO]]=PROVEEDORES[[#This Row],[FECHA DE FACTURACIÓN]],"DE CONTADO","CRÉDITO")</f>
        <v>DE CONTADO</v>
      </c>
      <c r="B1129" s="41" t="b">
        <f>+IF((PROVEEDORES[[#This Row],[FECHA DE PAGO]]-PROVEEDORES[[#This Row],[FECHA DE FACTURACIÓN]])&gt;PROVEEDORES[[#This Row],[PLAZO Días]],"PAGO VENCIDO")</f>
        <v>0</v>
      </c>
      <c r="C1129" s="22">
        <f>+VLOOKUP(PROVEEDORES[[#This Row],[PROVEEDOR]],TERCEROS_INFO[#All],2,FALSE)</f>
        <v>30</v>
      </c>
      <c r="D1129" s="27">
        <f>+SUMIFS(PROVEEDORES[Total],PROVEEDORES[PROVEEDOR],PROVEEDORES[[#This Row],[PROVEEDOR]],PROVEEDORES[FECHA DE PAGO],"")</f>
        <v>0</v>
      </c>
      <c r="E1129" s="27"/>
      <c r="F1129" s="62" t="str">
        <f>+VLOOKUP(PROVEEDORES[[#This Row],[PROVEEDOR]],
                       Terceros!$A:$G,
                       6,
                       FALSE)</f>
        <v/>
      </c>
      <c r="G1129" s="95">
        <v>44557</v>
      </c>
      <c r="H1129" s="28" t="s">
        <v>37</v>
      </c>
      <c r="I1129" s="95">
        <v>44557</v>
      </c>
      <c r="J1129" s="38" t="s">
        <v>912</v>
      </c>
      <c r="K1129" s="23">
        <v>143500</v>
      </c>
      <c r="L1129" s="23"/>
      <c r="M1129" s="24">
        <v>27265</v>
      </c>
      <c r="N1129" s="25"/>
      <c r="O1129" s="24">
        <v>0</v>
      </c>
      <c r="P1129" s="136">
        <f>+IF(PROVEEDORES[[#This Row],[SUBTOTAL]]&lt;PROVEEDORES[[#This Row],[base retencion]],0,PROVEEDORES[[#This Row],[retención aplicada]])</f>
        <v>0</v>
      </c>
      <c r="Q1129" s="24">
        <f>+PROVEEDORES[[#This Row],[Rete Fuente %]]*PROVEEDORES[[#This Row],[SUBTOTAL]]</f>
        <v>0</v>
      </c>
      <c r="R1129" s="23">
        <v>170765</v>
      </c>
      <c r="S112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9" s="99">
        <f ca="1">IF(PROVEEDORES[[#This Row],[FECHA DE PAGO]]=0,TODAY()-PROVEEDORES[[#This Row],[FECHA DE FACTURACIÓN]]-PROVEEDORES[[#This Row],[PLAZO Días]],0)</f>
        <v>0</v>
      </c>
      <c r="U1129" s="149" t="str">
        <f>+VLOOKUP(PROVEEDORES[[#This Row],[PROVEEDOR]],Terceros!$A:$E,5,FALSE)</f>
        <v>2,5% con base</v>
      </c>
      <c r="V1129" s="150">
        <f>+YEAR(PROVEEDORES[[#This Row],[FECHA DE FACTURACIÓN]])</f>
        <v>2021</v>
      </c>
      <c r="W1129" s="150">
        <f>+MATCH(PROVEEDORES[[#This Row],[año facturado]],Retenciones!$1:$1,0)</f>
        <v>4</v>
      </c>
      <c r="X1129" s="151">
        <f>+VLOOKUP(PROVEEDORES[[#This Row],[ID RETENCION]],Retenciones!$A$1:$O$24,PROVEEDORES[[#This Row],[indicador de columna]],FALSE)</f>
        <v>980000</v>
      </c>
      <c r="Y1129" s="152">
        <f>+VLOOKUP(PROVEEDORES[[#This Row],[ID RETENCION]],Retenciones!$A$1:$O$24,2,FALSE)</f>
        <v>2.5000000000000001E-2</v>
      </c>
      <c r="Z1129" s="26"/>
      <c r="AA1129" s="26"/>
      <c r="AB1129" s="26"/>
      <c r="AC1129" s="26"/>
      <c r="AD1129" s="26"/>
      <c r="AE1129" s="26"/>
    </row>
    <row r="1130" spans="1:31" ht="21.95" customHeight="1" x14ac:dyDescent="0.25">
      <c r="A1130" s="97" t="str">
        <f>+IF(PROVEEDORES[[#This Row],[FECHA DE PAGO]]=PROVEEDORES[[#This Row],[FECHA DE FACTURACIÓN]],"DE CONTADO","CRÉDITO")</f>
        <v>CRÉDITO</v>
      </c>
      <c r="B1130" s="41" t="str">
        <f>+IF((PROVEEDORES[[#This Row],[FECHA DE PAGO]]-PROVEEDORES[[#This Row],[FECHA DE FACTURACIÓN]])&gt;PROVEEDORES[[#This Row],[PLAZO Días]],"PAGO VENCIDO")</f>
        <v>PAGO VENCIDO</v>
      </c>
      <c r="C1130" s="22">
        <f>+VLOOKUP(PROVEEDORES[[#This Row],[PROVEEDOR]],TERCEROS_INFO[#All],2,FALSE)</f>
        <v>30</v>
      </c>
      <c r="D1130" s="27">
        <f>+SUMIFS(PROVEEDORES[Total],PROVEEDORES[PROVEEDOR],PROVEEDORES[[#This Row],[PROVEEDOR]],PROVEEDORES[FECHA DE PAGO],"")</f>
        <v>0</v>
      </c>
      <c r="E1130" s="27"/>
      <c r="F1130" s="62" t="str">
        <f>+VLOOKUP(PROVEEDORES[[#This Row],[PROVEEDOR]],
                       Terceros!$A:$G,
                       6,
                       FALSE)</f>
        <v>Info.patex@gmail.com;girlesa.ruiz@servipilas.com;joriescobar64@gmail.com</v>
      </c>
      <c r="G1130" s="95">
        <v>44561</v>
      </c>
      <c r="H1130" s="28" t="s">
        <v>335</v>
      </c>
      <c r="I1130" s="95">
        <v>44431</v>
      </c>
      <c r="J1130" s="38" t="s">
        <v>797</v>
      </c>
      <c r="K1130" s="23">
        <v>-1300000</v>
      </c>
      <c r="L1130" s="23"/>
      <c r="M1130" s="24">
        <v>0</v>
      </c>
      <c r="N1130" s="25"/>
      <c r="O1130" s="24">
        <v>0</v>
      </c>
      <c r="P1130" s="136">
        <f>+IF(PROVEEDORES[[#This Row],[SUBTOTAL]]&lt;PROVEEDORES[[#This Row],[base retencion]],0,PROVEEDORES[[#This Row],[retención aplicada]])</f>
        <v>0</v>
      </c>
      <c r="Q1130" s="24">
        <f>+PROVEEDORES[[#This Row],[Rete Fuente %]]*PROVEEDORES[[#This Row],[SUBTOTAL]]</f>
        <v>0</v>
      </c>
      <c r="R1130" s="23">
        <v>-1300000</v>
      </c>
      <c r="S113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0" s="99">
        <f ca="1">IF(PROVEEDORES[[#This Row],[FECHA DE PAGO]]=0,TODAY()-PROVEEDORES[[#This Row],[FECHA DE FACTURACIÓN]]-PROVEEDORES[[#This Row],[PLAZO Días]],0)</f>
        <v>0</v>
      </c>
      <c r="U1130" s="149" t="str">
        <f>+VLOOKUP(PROVEEDORES[[#This Row],[PROVEEDOR]],Terceros!$A:$E,5,FALSE)</f>
        <v>2,5% con base</v>
      </c>
      <c r="V1130" s="150">
        <f>+YEAR(PROVEEDORES[[#This Row],[FECHA DE FACTURACIÓN]])</f>
        <v>2021</v>
      </c>
      <c r="W1130" s="150">
        <f>+MATCH(PROVEEDORES[[#This Row],[año facturado]],Retenciones!$1:$1,0)</f>
        <v>4</v>
      </c>
      <c r="X1130" s="151">
        <f>+VLOOKUP(PROVEEDORES[[#This Row],[ID RETENCION]],Retenciones!$A$1:$O$24,PROVEEDORES[[#This Row],[indicador de columna]],FALSE)</f>
        <v>980000</v>
      </c>
      <c r="Y1130" s="152">
        <f>+VLOOKUP(PROVEEDORES[[#This Row],[ID RETENCION]],Retenciones!$A$1:$O$24,2,FALSE)</f>
        <v>2.5000000000000001E-2</v>
      </c>
      <c r="Z1130" s="26"/>
      <c r="AA1130" s="26"/>
      <c r="AB1130" s="26"/>
      <c r="AC1130" s="26"/>
      <c r="AD1130" s="26"/>
      <c r="AE1130" s="26"/>
    </row>
    <row r="1131" spans="1:31" ht="21.95" customHeight="1" x14ac:dyDescent="0.25">
      <c r="A1131" s="97" t="str">
        <f>+IF(PROVEEDORES[[#This Row],[FECHA DE PAGO]]=PROVEEDORES[[#This Row],[FECHA DE FACTURACIÓN]],"DE CONTADO","CRÉDITO")</f>
        <v>CRÉDITO</v>
      </c>
      <c r="B1131" s="41" t="str">
        <f>+IF((PROVEEDORES[[#This Row],[FECHA DE PAGO]]-PROVEEDORES[[#This Row],[FECHA DE FACTURACIÓN]])&gt;PROVEEDORES[[#This Row],[PLAZO Días]],"PAGO VENCIDO")</f>
        <v>PAGO VENCIDO</v>
      </c>
      <c r="C1131" s="22">
        <f>+VLOOKUP(PROVEEDORES[[#This Row],[PROVEEDOR]],TERCEROS_INFO[#All],2,FALSE)</f>
        <v>60</v>
      </c>
      <c r="D1131" s="27">
        <f>+SUMIFS(PROVEEDORES[Total],PROVEEDORES[PROVEEDOR],PROVEEDORES[[#This Row],[PROVEEDOR]],PROVEEDORES[FECHA DE PAGO],"")</f>
        <v>758800</v>
      </c>
      <c r="E1131" s="27"/>
      <c r="F1131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G1131" s="95">
        <v>44623</v>
      </c>
      <c r="H1131" s="28" t="s">
        <v>604</v>
      </c>
      <c r="I1131" s="95">
        <v>44557</v>
      </c>
      <c r="J1131" s="38">
        <v>1293</v>
      </c>
      <c r="K1131" s="23">
        <v>235200</v>
      </c>
      <c r="L1131" s="23"/>
      <c r="M1131" s="24">
        <v>0</v>
      </c>
      <c r="N1131" s="25"/>
      <c r="O1131" s="24">
        <v>0</v>
      </c>
      <c r="P1131" s="136">
        <f>+IF(PROVEEDORES[[#This Row],[SUBTOTAL]]&lt;PROVEEDORES[[#This Row],[base retencion]],0,PROVEEDORES[[#This Row],[retención aplicada]])</f>
        <v>0</v>
      </c>
      <c r="Q1131" s="24">
        <f>+PROVEEDORES[[#This Row],[Rete Fuente %]]*PROVEEDORES[[#This Row],[SUBTOTAL]]</f>
        <v>0</v>
      </c>
      <c r="R1131" s="23">
        <v>235200</v>
      </c>
      <c r="S113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1" s="99">
        <f ca="1">IF(PROVEEDORES[[#This Row],[FECHA DE PAGO]]=0,TODAY()-PROVEEDORES[[#This Row],[FECHA DE FACTURACIÓN]]-PROVEEDORES[[#This Row],[PLAZO Días]],0)</f>
        <v>0</v>
      </c>
      <c r="U1131" s="149">
        <f>+VLOOKUP(PROVEEDORES[[#This Row],[PROVEEDOR]],Terceros!$A:$E,5,FALSE)</f>
        <v>0</v>
      </c>
      <c r="V1131" s="150">
        <f>+YEAR(PROVEEDORES[[#This Row],[FECHA DE FACTURACIÓN]])</f>
        <v>2021</v>
      </c>
      <c r="W1131" s="150">
        <f>+MATCH(PROVEEDORES[[#This Row],[año facturado]],Retenciones!$1:$1,0)</f>
        <v>4</v>
      </c>
      <c r="X1131" s="151">
        <f>+VLOOKUP(PROVEEDORES[[#This Row],[ID RETENCION]],Retenciones!$A$1:$O$24,PROVEEDORES[[#This Row],[indicador de columna]],FALSE)</f>
        <v>0</v>
      </c>
      <c r="Y1131" s="152">
        <f>+VLOOKUP(PROVEEDORES[[#This Row],[ID RETENCION]],Retenciones!$A$1:$O$24,2,FALSE)</f>
        <v>0</v>
      </c>
      <c r="Z1131" s="26"/>
      <c r="AA1131" s="26"/>
      <c r="AB1131" s="26"/>
      <c r="AC1131" s="26"/>
      <c r="AD1131" s="26"/>
      <c r="AE1131" s="26"/>
    </row>
    <row r="1132" spans="1:31" ht="21.95" customHeight="1" x14ac:dyDescent="0.25">
      <c r="A1132" s="97" t="str">
        <f>+IF(PROVEEDORES[[#This Row],[FECHA DE PAGO]]=PROVEEDORES[[#This Row],[FECHA DE FACTURACIÓN]],"DE CONTADO","CRÉDITO")</f>
        <v>CRÉDITO</v>
      </c>
      <c r="B1132" s="41" t="str">
        <f>+IF((PROVEEDORES[[#This Row],[FECHA DE PAGO]]-PROVEEDORES[[#This Row],[FECHA DE FACTURACIÓN]])&gt;PROVEEDORES[[#This Row],[PLAZO Días]],"PAGO VENCIDO")</f>
        <v>PAGO VENCIDO</v>
      </c>
      <c r="C1132" s="22">
        <f>+VLOOKUP(PROVEEDORES[[#This Row],[PROVEEDOR]],TERCEROS_INFO[#All],2,FALSE)</f>
        <v>60</v>
      </c>
      <c r="D1132" s="27">
        <f>+SUMIFS(PROVEEDORES[Total],PROVEEDORES[PROVEEDOR],PROVEEDORES[[#This Row],[PROVEEDOR]],PROVEEDORES[FECHA DE PAGO],"")</f>
        <v>758800</v>
      </c>
      <c r="E1132" s="27"/>
      <c r="F1132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G1132" s="95">
        <v>44623</v>
      </c>
      <c r="H1132" s="28" t="s">
        <v>604</v>
      </c>
      <c r="I1132" s="95">
        <v>44557</v>
      </c>
      <c r="J1132" s="38">
        <v>1294</v>
      </c>
      <c r="K1132" s="23">
        <v>252000</v>
      </c>
      <c r="L1132" s="23"/>
      <c r="M1132" s="24">
        <v>0</v>
      </c>
      <c r="N1132" s="25"/>
      <c r="O1132" s="24">
        <v>0</v>
      </c>
      <c r="P1132" s="136">
        <f>+IF(PROVEEDORES[[#This Row],[SUBTOTAL]]&lt;PROVEEDORES[[#This Row],[base retencion]],0,PROVEEDORES[[#This Row],[retención aplicada]])</f>
        <v>0</v>
      </c>
      <c r="Q1132" s="24">
        <f>+PROVEEDORES[[#This Row],[Rete Fuente %]]*PROVEEDORES[[#This Row],[SUBTOTAL]]</f>
        <v>0</v>
      </c>
      <c r="R1132" s="23">
        <v>252000</v>
      </c>
      <c r="S113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2" s="99">
        <f ca="1">IF(PROVEEDORES[[#This Row],[FECHA DE PAGO]]=0,TODAY()-PROVEEDORES[[#This Row],[FECHA DE FACTURACIÓN]]-PROVEEDORES[[#This Row],[PLAZO Días]],0)</f>
        <v>0</v>
      </c>
      <c r="U1132" s="149">
        <f>+VLOOKUP(PROVEEDORES[[#This Row],[PROVEEDOR]],Terceros!$A:$E,5,FALSE)</f>
        <v>0</v>
      </c>
      <c r="V1132" s="150">
        <f>+YEAR(PROVEEDORES[[#This Row],[FECHA DE FACTURACIÓN]])</f>
        <v>2021</v>
      </c>
      <c r="W1132" s="150">
        <f>+MATCH(PROVEEDORES[[#This Row],[año facturado]],Retenciones!$1:$1,0)</f>
        <v>4</v>
      </c>
      <c r="X1132" s="151">
        <f>+VLOOKUP(PROVEEDORES[[#This Row],[ID RETENCION]],Retenciones!$A$1:$O$24,PROVEEDORES[[#This Row],[indicador de columna]],FALSE)</f>
        <v>0</v>
      </c>
      <c r="Y1132" s="152">
        <f>+VLOOKUP(PROVEEDORES[[#This Row],[ID RETENCION]],Retenciones!$A$1:$O$24,2,FALSE)</f>
        <v>0</v>
      </c>
      <c r="Z1132" s="26"/>
      <c r="AA1132" s="26"/>
      <c r="AB1132" s="26"/>
      <c r="AC1132" s="26"/>
      <c r="AD1132" s="26"/>
      <c r="AE1132" s="26"/>
    </row>
    <row r="1133" spans="1:31" ht="21.95" customHeight="1" x14ac:dyDescent="0.25">
      <c r="A1133" s="97" t="str">
        <f>+IF(PROVEEDORES[[#This Row],[FECHA DE PAGO]]=PROVEEDORES[[#This Row],[FECHA DE FACTURACIÓN]],"DE CONTADO","CRÉDITO")</f>
        <v>CRÉDITO</v>
      </c>
      <c r="B1133" s="41" t="str">
        <f>+IF((PROVEEDORES[[#This Row],[FECHA DE PAGO]]-PROVEEDORES[[#This Row],[FECHA DE FACTURACIÓN]])&gt;PROVEEDORES[[#This Row],[PLAZO Días]],"PAGO VENCIDO")</f>
        <v>PAGO VENCIDO</v>
      </c>
      <c r="C1133" s="22">
        <f>+VLOOKUP(PROVEEDORES[[#This Row],[PROVEEDOR]],TERCEROS_INFO[#All],2,FALSE)</f>
        <v>45</v>
      </c>
      <c r="D1133" s="27">
        <f>+SUMIFS(PROVEEDORES[Total],PROVEEDORES[PROVEEDOR],PROVEEDORES[[#This Row],[PROVEEDOR]],PROVEEDORES[FECHA DE PAGO],"")</f>
        <v>0</v>
      </c>
      <c r="E1133" s="27"/>
      <c r="F1133" s="62" t="str">
        <f>+VLOOKUP(PROVEEDORES[[#This Row],[PROVEEDOR]],
                       Terceros!$A:$G,
                       6,
                       FALSE)</f>
        <v>jessica.barrios@carpainternacional;girlesa.ruiz@servipilas.com;joriescobar64@gmail.com</v>
      </c>
      <c r="G1133" s="95">
        <v>44623</v>
      </c>
      <c r="H1133" s="28" t="s">
        <v>944</v>
      </c>
      <c r="I1133" s="95">
        <v>44557</v>
      </c>
      <c r="J1133" s="38" t="s">
        <v>945</v>
      </c>
      <c r="K1133" s="23">
        <v>2919000</v>
      </c>
      <c r="L1133" s="23"/>
      <c r="M1133" s="24">
        <v>0</v>
      </c>
      <c r="N1133" s="25"/>
      <c r="O1133" s="24">
        <v>0</v>
      </c>
      <c r="P1133" s="136">
        <f>+IF(PROVEEDORES[[#This Row],[SUBTOTAL]]&lt;PROVEEDORES[[#This Row],[base retencion]],0,PROVEEDORES[[#This Row],[retención aplicada]])</f>
        <v>0</v>
      </c>
      <c r="Q1133" s="24">
        <f>+PROVEEDORES[[#This Row],[Rete Fuente %]]*PROVEEDORES[[#This Row],[SUBTOTAL]]</f>
        <v>0</v>
      </c>
      <c r="R1133" s="23">
        <v>2919000</v>
      </c>
      <c r="S113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3" s="99">
        <f ca="1">IF(PROVEEDORES[[#This Row],[FECHA DE PAGO]]=0,TODAY()-PROVEEDORES[[#This Row],[FECHA DE FACTURACIÓN]]-PROVEEDORES[[#This Row],[PLAZO Días]],0)</f>
        <v>0</v>
      </c>
      <c r="U1133" s="149">
        <f>+VLOOKUP(PROVEEDORES[[#This Row],[PROVEEDOR]],Terceros!$A:$E,5,FALSE)</f>
        <v>0</v>
      </c>
      <c r="V1133" s="150">
        <f>+YEAR(PROVEEDORES[[#This Row],[FECHA DE FACTURACIÓN]])</f>
        <v>2021</v>
      </c>
      <c r="W1133" s="150">
        <f>+MATCH(PROVEEDORES[[#This Row],[año facturado]],Retenciones!$1:$1,0)</f>
        <v>4</v>
      </c>
      <c r="X1133" s="151">
        <f>+VLOOKUP(PROVEEDORES[[#This Row],[ID RETENCION]],Retenciones!$A$1:$O$24,PROVEEDORES[[#This Row],[indicador de columna]],FALSE)</f>
        <v>0</v>
      </c>
      <c r="Y1133" s="152">
        <f>+VLOOKUP(PROVEEDORES[[#This Row],[ID RETENCION]],Retenciones!$A$1:$O$24,2,FALSE)</f>
        <v>0</v>
      </c>
      <c r="Z1133" s="26"/>
      <c r="AA1133" s="26"/>
      <c r="AB1133" s="26"/>
      <c r="AC1133" s="26"/>
      <c r="AD1133" s="26"/>
      <c r="AE1133" s="26"/>
    </row>
    <row r="1134" spans="1:31" ht="21.95" customHeight="1" x14ac:dyDescent="0.25">
      <c r="A1134" s="97" t="str">
        <f>+IF(PROVEEDORES[[#This Row],[FECHA DE PAGO]]=PROVEEDORES[[#This Row],[FECHA DE FACTURACIÓN]],"DE CONTADO","CRÉDITO")</f>
        <v>DE CONTADO</v>
      </c>
      <c r="B1134" s="41" t="b">
        <f>+IF((PROVEEDORES[[#This Row],[FECHA DE PAGO]]-PROVEEDORES[[#This Row],[FECHA DE FACTURACIÓN]])&gt;PROVEEDORES[[#This Row],[PLAZO Días]],"PAGO VENCIDO")</f>
        <v>0</v>
      </c>
      <c r="C1134" s="22">
        <f>+VLOOKUP(PROVEEDORES[[#This Row],[PROVEEDOR]],TERCEROS_INFO[#All],2,FALSE)</f>
        <v>30</v>
      </c>
      <c r="D1134" s="27">
        <f>+SUMIFS(PROVEEDORES[Total],PROVEEDORES[PROVEEDOR],PROVEEDORES[[#This Row],[PROVEEDOR]],PROVEEDORES[FECHA DE PAGO],"")</f>
        <v>3320000</v>
      </c>
      <c r="E1134" s="27"/>
      <c r="F1134" s="62" t="str">
        <f>+VLOOKUP(PROVEEDORES[[#This Row],[PROVEEDOR]],
                       Terceros!$A:$G,
                       6,
                       FALSE)</f>
        <v>Pygimportadora@gmail.com;girlesa.ruiz@servipilas.com;joriescobar64@gmail.com</v>
      </c>
      <c r="G1134" s="95">
        <v>44560</v>
      </c>
      <c r="H1134" s="28" t="s">
        <v>1062</v>
      </c>
      <c r="I1134" s="95">
        <v>44560</v>
      </c>
      <c r="J1134" s="38" t="s">
        <v>906</v>
      </c>
      <c r="K1134" s="23">
        <v>-1924000</v>
      </c>
      <c r="L1134" s="23"/>
      <c r="M1134" s="24">
        <v>0</v>
      </c>
      <c r="N1134" s="25"/>
      <c r="O1134" s="24">
        <v>0</v>
      </c>
      <c r="P1134" s="136">
        <f>+IF(PROVEEDORES[[#This Row],[SUBTOTAL]]&lt;PROVEEDORES[[#This Row],[base retencion]],0,PROVEEDORES[[#This Row],[retención aplicada]])</f>
        <v>0</v>
      </c>
      <c r="Q1134" s="24">
        <f>+PROVEEDORES[[#This Row],[Rete Fuente %]]*PROVEEDORES[[#This Row],[SUBTOTAL]]</f>
        <v>0</v>
      </c>
      <c r="R1134" s="23">
        <v>-1924000</v>
      </c>
      <c r="S113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4" s="99">
        <f ca="1">IF(PROVEEDORES[[#This Row],[FECHA DE PAGO]]=0,TODAY()-PROVEEDORES[[#This Row],[FECHA DE FACTURACIÓN]]-PROVEEDORES[[#This Row],[PLAZO Días]],0)</f>
        <v>0</v>
      </c>
      <c r="U1134" s="149">
        <f>+VLOOKUP(PROVEEDORES[[#This Row],[PROVEEDOR]],Terceros!$A:$E,5,FALSE)</f>
        <v>0</v>
      </c>
      <c r="V1134" s="150">
        <f>+YEAR(PROVEEDORES[[#This Row],[FECHA DE FACTURACIÓN]])</f>
        <v>2021</v>
      </c>
      <c r="W1134" s="150">
        <f>+MATCH(PROVEEDORES[[#This Row],[año facturado]],Retenciones!$1:$1,0)</f>
        <v>4</v>
      </c>
      <c r="X1134" s="151">
        <f>+VLOOKUP(PROVEEDORES[[#This Row],[ID RETENCION]],Retenciones!$A$1:$O$24,PROVEEDORES[[#This Row],[indicador de columna]],FALSE)</f>
        <v>0</v>
      </c>
      <c r="Y1134" s="152">
        <f>+VLOOKUP(PROVEEDORES[[#This Row],[ID RETENCION]],Retenciones!$A$1:$O$24,2,FALSE)</f>
        <v>0</v>
      </c>
      <c r="Z1134" s="26"/>
      <c r="AA1134" s="26"/>
      <c r="AB1134" s="26"/>
      <c r="AC1134" s="26"/>
      <c r="AD1134" s="26"/>
      <c r="AE1134" s="26"/>
    </row>
    <row r="1135" spans="1:31" ht="21.95" customHeight="1" x14ac:dyDescent="0.25">
      <c r="A1135" s="97" t="str">
        <f>+IF(PROVEEDORES[[#This Row],[FECHA DE PAGO]]=PROVEEDORES[[#This Row],[FECHA DE FACTURACIÓN]],"DE CONTADO","CRÉDITO")</f>
        <v>CRÉDITO</v>
      </c>
      <c r="B1135" s="41" t="b">
        <f>+IF((PROVEEDORES[[#This Row],[FECHA DE PAGO]]-PROVEEDORES[[#This Row],[FECHA DE FACTURACIÓN]])&gt;PROVEEDORES[[#This Row],[PLAZO Días]],"PAGO VENCIDO")</f>
        <v>0</v>
      </c>
      <c r="C1135" s="22">
        <f>+VLOOKUP(PROVEEDORES[[#This Row],[PROVEEDOR]],TERCEROS_INFO[#All],2,FALSE)</f>
        <v>90</v>
      </c>
      <c r="D1135" s="27">
        <f>+SUMIFS(PROVEEDORES[Total],PROVEEDORES[PROVEEDOR],PROVEEDORES[[#This Row],[PROVEEDOR]],PROVEEDORES[FECHA DE PAGO],"")</f>
        <v>0</v>
      </c>
      <c r="E1135" s="27"/>
      <c r="F1135" s="62" t="str">
        <f>+VLOOKUP(PROVEEDORES[[#This Row],[PROVEEDOR]],
                       Terceros!$A:$G,
                       6,
                       FALSE)</f>
        <v/>
      </c>
      <c r="G1135" s="95">
        <v>44567</v>
      </c>
      <c r="H1135" s="28" t="s">
        <v>1027</v>
      </c>
      <c r="I1135" s="95">
        <v>44561</v>
      </c>
      <c r="J1135" s="38"/>
      <c r="K1135" s="23">
        <v>-15184000</v>
      </c>
      <c r="L1135" s="23"/>
      <c r="M1135" s="24">
        <v>0</v>
      </c>
      <c r="N1135" s="25"/>
      <c r="O1135" s="24">
        <v>0</v>
      </c>
      <c r="P1135" s="136">
        <f>+IF(PROVEEDORES[[#This Row],[SUBTOTAL]]&lt;PROVEEDORES[[#This Row],[base retencion]],0,PROVEEDORES[[#This Row],[retención aplicada]])</f>
        <v>0</v>
      </c>
      <c r="Q1135" s="24">
        <f>+PROVEEDORES[[#This Row],[Rete Fuente %]]*PROVEEDORES[[#This Row],[SUBTOTAL]]</f>
        <v>0</v>
      </c>
      <c r="R1135" s="23">
        <v>-15184000</v>
      </c>
      <c r="S113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5" s="99">
        <f ca="1">IF(PROVEEDORES[[#This Row],[FECHA DE PAGO]]=0,TODAY()-PROVEEDORES[[#This Row],[FECHA DE FACTURACIÓN]]-PROVEEDORES[[#This Row],[PLAZO Días]],0)</f>
        <v>0</v>
      </c>
      <c r="U1135" s="149">
        <f>+VLOOKUP(PROVEEDORES[[#This Row],[PROVEEDOR]],Terceros!$A:$E,5,FALSE)</f>
        <v>0</v>
      </c>
      <c r="V1135" s="150">
        <f>+YEAR(PROVEEDORES[[#This Row],[FECHA DE FACTURACIÓN]])</f>
        <v>2021</v>
      </c>
      <c r="W1135" s="150">
        <f>+MATCH(PROVEEDORES[[#This Row],[año facturado]],Retenciones!$1:$1,0)</f>
        <v>4</v>
      </c>
      <c r="X1135" s="151">
        <f>+VLOOKUP(PROVEEDORES[[#This Row],[ID RETENCION]],Retenciones!$A$1:$O$24,PROVEEDORES[[#This Row],[indicador de columna]],FALSE)</f>
        <v>0</v>
      </c>
      <c r="Y1135" s="152">
        <f>+VLOOKUP(PROVEEDORES[[#This Row],[ID RETENCION]],Retenciones!$A$1:$O$24,2,FALSE)</f>
        <v>0</v>
      </c>
      <c r="Z1135" s="26"/>
      <c r="AA1135" s="26"/>
      <c r="AB1135" s="26"/>
      <c r="AC1135" s="26"/>
      <c r="AD1135" s="26"/>
      <c r="AE1135" s="26"/>
    </row>
    <row r="1136" spans="1:31" ht="21.95" customHeight="1" x14ac:dyDescent="0.25">
      <c r="A1136" s="97" t="str">
        <f>+IF(PROVEEDORES[[#This Row],[FECHA DE PAGO]]=PROVEEDORES[[#This Row],[FECHA DE FACTURACIÓN]],"DE CONTADO","CRÉDITO")</f>
        <v>DE CONTADO</v>
      </c>
      <c r="B1136" s="41" t="b">
        <f>+IF((PROVEEDORES[[#This Row],[FECHA DE PAGO]]-PROVEEDORES[[#This Row],[FECHA DE FACTURACIÓN]])&gt;PROVEEDORES[[#This Row],[PLAZO Días]],"PAGO VENCIDO")</f>
        <v>0</v>
      </c>
      <c r="C1136" s="22">
        <f>+VLOOKUP(PROVEEDORES[[#This Row],[PROVEEDOR]],TERCEROS_INFO[#All],2,FALSE)</f>
        <v>30</v>
      </c>
      <c r="D1136" s="27">
        <f>+SUMIFS(PROVEEDORES[Total],PROVEEDORES[PROVEEDOR],PROVEEDORES[[#This Row],[PROVEEDOR]],PROVEEDORES[FECHA DE PAGO],"")</f>
        <v>0</v>
      </c>
      <c r="E1136" s="27"/>
      <c r="F1136" s="62" t="str">
        <f>+VLOOKUP(PROVEEDORES[[#This Row],[PROVEEDOR]],
                       Terceros!$A:$G,
                       6,
                       FALSE)</f>
        <v/>
      </c>
      <c r="G1136" s="95">
        <v>44561</v>
      </c>
      <c r="H1136" s="28" t="s">
        <v>1010</v>
      </c>
      <c r="I1136" s="95">
        <v>44561</v>
      </c>
      <c r="J1136" s="38" t="s">
        <v>941</v>
      </c>
      <c r="K1136" s="23">
        <v>30000</v>
      </c>
      <c r="L1136" s="23"/>
      <c r="M1136" s="24">
        <v>0</v>
      </c>
      <c r="N1136" s="25"/>
      <c r="O1136" s="24">
        <v>0</v>
      </c>
      <c r="P1136" s="136">
        <f>+IF(PROVEEDORES[[#This Row],[SUBTOTAL]]&lt;PROVEEDORES[[#This Row],[base retencion]],0,PROVEEDORES[[#This Row],[retención aplicada]])</f>
        <v>0</v>
      </c>
      <c r="Q1136" s="24">
        <f>+PROVEEDORES[[#This Row],[Rete Fuente %]]*PROVEEDORES[[#This Row],[SUBTOTAL]]</f>
        <v>0</v>
      </c>
      <c r="R1136" s="23">
        <v>30000</v>
      </c>
      <c r="S113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6" s="99">
        <f ca="1">IF(PROVEEDORES[[#This Row],[FECHA DE PAGO]]=0,TODAY()-PROVEEDORES[[#This Row],[FECHA DE FACTURACIÓN]]-PROVEEDORES[[#This Row],[PLAZO Días]],0)</f>
        <v>0</v>
      </c>
      <c r="U1136" s="149">
        <f>+VLOOKUP(PROVEEDORES[[#This Row],[PROVEEDOR]],Terceros!$A:$E,5,FALSE)</f>
        <v>0</v>
      </c>
      <c r="V1136" s="150">
        <f>+YEAR(PROVEEDORES[[#This Row],[FECHA DE FACTURACIÓN]])</f>
        <v>2021</v>
      </c>
      <c r="W1136" s="150">
        <f>+MATCH(PROVEEDORES[[#This Row],[año facturado]],Retenciones!$1:$1,0)</f>
        <v>4</v>
      </c>
      <c r="X1136" s="151">
        <f>+VLOOKUP(PROVEEDORES[[#This Row],[ID RETENCION]],Retenciones!$A$1:$O$24,PROVEEDORES[[#This Row],[indicador de columna]],FALSE)</f>
        <v>0</v>
      </c>
      <c r="Y1136" s="152">
        <f>+VLOOKUP(PROVEEDORES[[#This Row],[ID RETENCION]],Retenciones!$A$1:$O$24,2,FALSE)</f>
        <v>0</v>
      </c>
      <c r="Z1136" s="26"/>
      <c r="AA1136" s="26"/>
      <c r="AB1136" s="26"/>
      <c r="AC1136" s="26"/>
      <c r="AD1136" s="26"/>
      <c r="AE1136" s="26"/>
    </row>
    <row r="1137" spans="1:31" ht="21.95" customHeight="1" x14ac:dyDescent="0.25">
      <c r="A1137" s="97" t="str">
        <f>+IF(PROVEEDORES[[#This Row],[FECHA DE PAGO]]=PROVEEDORES[[#This Row],[FECHA DE FACTURACIÓN]],"DE CONTADO","CRÉDITO")</f>
        <v>DE CONTADO</v>
      </c>
      <c r="B1137" s="41" t="b">
        <f>+IF((PROVEEDORES[[#This Row],[FECHA DE PAGO]]-PROVEEDORES[[#This Row],[FECHA DE FACTURACIÓN]])&gt;PROVEEDORES[[#This Row],[PLAZO Días]],"PAGO VENCIDO")</f>
        <v>0</v>
      </c>
      <c r="C1137" s="22">
        <f>+VLOOKUP(PROVEEDORES[[#This Row],[PROVEEDOR]],TERCEROS_INFO[#All],2,FALSE)</f>
        <v>30</v>
      </c>
      <c r="D1137" s="27">
        <f>+SUMIFS(PROVEEDORES[Total],PROVEEDORES[PROVEEDOR],PROVEEDORES[[#This Row],[PROVEEDOR]],PROVEEDORES[FECHA DE PAGO],"")</f>
        <v>0</v>
      </c>
      <c r="E1137" s="27"/>
      <c r="F1137" s="62" t="str">
        <f>+VLOOKUP(PROVEEDORES[[#This Row],[PROVEEDOR]],
                       Terceros!$A:$G,
                       6,
                       FALSE)</f>
        <v/>
      </c>
      <c r="G1137" s="95">
        <v>44561</v>
      </c>
      <c r="H1137" s="28" t="s">
        <v>1010</v>
      </c>
      <c r="I1137" s="95">
        <v>44561</v>
      </c>
      <c r="J1137" s="38" t="s">
        <v>884</v>
      </c>
      <c r="K1137" s="23">
        <v>300800</v>
      </c>
      <c r="L1137" s="23"/>
      <c r="M1137" s="24">
        <v>0</v>
      </c>
      <c r="N1137" s="25"/>
      <c r="O1137" s="24">
        <v>0</v>
      </c>
      <c r="P1137" s="136">
        <f>+IF(PROVEEDORES[[#This Row],[SUBTOTAL]]&lt;PROVEEDORES[[#This Row],[base retencion]],0,PROVEEDORES[[#This Row],[retención aplicada]])</f>
        <v>0</v>
      </c>
      <c r="Q1137" s="24">
        <f>+PROVEEDORES[[#This Row],[Rete Fuente %]]*PROVEEDORES[[#This Row],[SUBTOTAL]]</f>
        <v>0</v>
      </c>
      <c r="R1137" s="23">
        <v>300800</v>
      </c>
      <c r="S113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7" s="99">
        <f ca="1">IF(PROVEEDORES[[#This Row],[FECHA DE PAGO]]=0,TODAY()-PROVEEDORES[[#This Row],[FECHA DE FACTURACIÓN]]-PROVEEDORES[[#This Row],[PLAZO Días]],0)</f>
        <v>0</v>
      </c>
      <c r="U1137" s="149">
        <f>+VLOOKUP(PROVEEDORES[[#This Row],[PROVEEDOR]],Terceros!$A:$E,5,FALSE)</f>
        <v>0</v>
      </c>
      <c r="V1137" s="150">
        <f>+YEAR(PROVEEDORES[[#This Row],[FECHA DE FACTURACIÓN]])</f>
        <v>2021</v>
      </c>
      <c r="W1137" s="150">
        <f>+MATCH(PROVEEDORES[[#This Row],[año facturado]],Retenciones!$1:$1,0)</f>
        <v>4</v>
      </c>
      <c r="X1137" s="151">
        <f>+VLOOKUP(PROVEEDORES[[#This Row],[ID RETENCION]],Retenciones!$A$1:$O$24,PROVEEDORES[[#This Row],[indicador de columna]],FALSE)</f>
        <v>0</v>
      </c>
      <c r="Y1137" s="152">
        <f>+VLOOKUP(PROVEEDORES[[#This Row],[ID RETENCION]],Retenciones!$A$1:$O$24,2,FALSE)</f>
        <v>0</v>
      </c>
      <c r="Z1137" s="26"/>
      <c r="AA1137" s="26"/>
      <c r="AB1137" s="26"/>
      <c r="AC1137" s="26"/>
      <c r="AD1137" s="26"/>
      <c r="AE1137" s="26"/>
    </row>
    <row r="1138" spans="1:31" ht="21.95" customHeight="1" x14ac:dyDescent="0.25">
      <c r="A1138" s="97" t="str">
        <f>+IF(PROVEEDORES[[#This Row],[FECHA DE PAGO]]=PROVEEDORES[[#This Row],[FECHA DE FACTURACIÓN]],"DE CONTADO","CRÉDITO")</f>
        <v>DE CONTADO</v>
      </c>
      <c r="B1138" s="41" t="b">
        <f>+IF((PROVEEDORES[[#This Row],[FECHA DE PAGO]]-PROVEEDORES[[#This Row],[FECHA DE FACTURACIÓN]])&gt;PROVEEDORES[[#This Row],[PLAZO Días]],"PAGO VENCIDO")</f>
        <v>0</v>
      </c>
      <c r="C1138" s="22">
        <f>+VLOOKUP(PROVEEDORES[[#This Row],[PROVEEDOR]],TERCEROS_INFO[#All],2,FALSE)</f>
        <v>30</v>
      </c>
      <c r="D1138" s="27">
        <f>+SUMIFS(PROVEEDORES[Total],PROVEEDORES[PROVEEDOR],PROVEEDORES[[#This Row],[PROVEEDOR]],PROVEEDORES[FECHA DE PAGO],"")</f>
        <v>0</v>
      </c>
      <c r="E1138" s="27"/>
      <c r="F1138" s="62" t="str">
        <f>+VLOOKUP(PROVEEDORES[[#This Row],[PROVEEDOR]],
                       Terceros!$A:$G,
                       6,
                       FALSE)</f>
        <v/>
      </c>
      <c r="G1138" s="95">
        <v>44561</v>
      </c>
      <c r="H1138" s="28" t="s">
        <v>1010</v>
      </c>
      <c r="I1138" s="95">
        <v>44561</v>
      </c>
      <c r="J1138" s="38" t="s">
        <v>943</v>
      </c>
      <c r="K1138" s="23">
        <v>702500</v>
      </c>
      <c r="L1138" s="23"/>
      <c r="M1138" s="24">
        <v>0</v>
      </c>
      <c r="N1138" s="25"/>
      <c r="O1138" s="24">
        <v>0</v>
      </c>
      <c r="P1138" s="136">
        <f>+IF(PROVEEDORES[[#This Row],[SUBTOTAL]]&lt;PROVEEDORES[[#This Row],[base retencion]],0,PROVEEDORES[[#This Row],[retención aplicada]])</f>
        <v>0</v>
      </c>
      <c r="Q1138" s="24">
        <f>+PROVEEDORES[[#This Row],[Rete Fuente %]]*PROVEEDORES[[#This Row],[SUBTOTAL]]</f>
        <v>0</v>
      </c>
      <c r="R1138" s="23">
        <v>702500</v>
      </c>
      <c r="S113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8" s="99">
        <f ca="1">IF(PROVEEDORES[[#This Row],[FECHA DE PAGO]]=0,TODAY()-PROVEEDORES[[#This Row],[FECHA DE FACTURACIÓN]]-PROVEEDORES[[#This Row],[PLAZO Días]],0)</f>
        <v>0</v>
      </c>
      <c r="U1138" s="149">
        <f>+VLOOKUP(PROVEEDORES[[#This Row],[PROVEEDOR]],Terceros!$A:$E,5,FALSE)</f>
        <v>0</v>
      </c>
      <c r="V1138" s="150">
        <f>+YEAR(PROVEEDORES[[#This Row],[FECHA DE FACTURACIÓN]])</f>
        <v>2021</v>
      </c>
      <c r="W1138" s="150">
        <f>+MATCH(PROVEEDORES[[#This Row],[año facturado]],Retenciones!$1:$1,0)</f>
        <v>4</v>
      </c>
      <c r="X1138" s="151">
        <f>+VLOOKUP(PROVEEDORES[[#This Row],[ID RETENCION]],Retenciones!$A$1:$O$24,PROVEEDORES[[#This Row],[indicador de columna]],FALSE)</f>
        <v>0</v>
      </c>
      <c r="Y1138" s="152">
        <f>+VLOOKUP(PROVEEDORES[[#This Row],[ID RETENCION]],Retenciones!$A$1:$O$24,2,FALSE)</f>
        <v>0</v>
      </c>
      <c r="Z1138" s="26"/>
      <c r="AA1138" s="26"/>
      <c r="AB1138" s="26"/>
      <c r="AC1138" s="26"/>
      <c r="AD1138" s="26"/>
      <c r="AE1138" s="26"/>
    </row>
    <row r="1139" spans="1:31" ht="21.95" customHeight="1" x14ac:dyDescent="0.25">
      <c r="A1139" s="97" t="str">
        <f>+IF(PROVEEDORES[[#This Row],[FECHA DE PAGO]]=PROVEEDORES[[#This Row],[FECHA DE FACTURACIÓN]],"DE CONTADO","CRÉDITO")</f>
        <v>DE CONTADO</v>
      </c>
      <c r="B1139" s="41" t="b">
        <f>+IF((PROVEEDORES[[#This Row],[FECHA DE PAGO]]-PROVEEDORES[[#This Row],[FECHA DE FACTURACIÓN]])&gt;PROVEEDORES[[#This Row],[PLAZO Días]],"PAGO VENCIDO")</f>
        <v>0</v>
      </c>
      <c r="C1139" s="22">
        <f>+VLOOKUP(PROVEEDORES[[#This Row],[PROVEEDOR]],TERCEROS_INFO[#All],2,FALSE)</f>
        <v>30</v>
      </c>
      <c r="D1139" s="27">
        <f>+SUMIFS(PROVEEDORES[Total],PROVEEDORES[PROVEEDOR],PROVEEDORES[[#This Row],[PROVEEDOR]],PROVEEDORES[FECHA DE PAGO],"")</f>
        <v>0</v>
      </c>
      <c r="E1139" s="27"/>
      <c r="F1139" s="62" t="str">
        <f>+VLOOKUP(PROVEEDORES[[#This Row],[PROVEEDOR]],
                       Terceros!$A:$G,
                       6,
                       FALSE)</f>
        <v/>
      </c>
      <c r="G1139" s="95">
        <v>44561</v>
      </c>
      <c r="H1139" s="28" t="s">
        <v>1010</v>
      </c>
      <c r="I1139" s="95">
        <v>44561</v>
      </c>
      <c r="J1139" s="38" t="s">
        <v>180</v>
      </c>
      <c r="K1139" s="23">
        <v>784600</v>
      </c>
      <c r="L1139" s="23"/>
      <c r="M1139" s="24">
        <v>0</v>
      </c>
      <c r="N1139" s="25"/>
      <c r="O1139" s="24">
        <v>0</v>
      </c>
      <c r="P1139" s="136">
        <f>+IF(PROVEEDORES[[#This Row],[SUBTOTAL]]&lt;PROVEEDORES[[#This Row],[base retencion]],0,PROVEEDORES[[#This Row],[retención aplicada]])</f>
        <v>0</v>
      </c>
      <c r="Q1139" s="24">
        <f>+PROVEEDORES[[#This Row],[Rete Fuente %]]*PROVEEDORES[[#This Row],[SUBTOTAL]]</f>
        <v>0</v>
      </c>
      <c r="R1139" s="23">
        <v>784600</v>
      </c>
      <c r="S113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9" s="99">
        <f ca="1">IF(PROVEEDORES[[#This Row],[FECHA DE PAGO]]=0,TODAY()-PROVEEDORES[[#This Row],[FECHA DE FACTURACIÓN]]-PROVEEDORES[[#This Row],[PLAZO Días]],0)</f>
        <v>0</v>
      </c>
      <c r="U1139" s="149">
        <f>+VLOOKUP(PROVEEDORES[[#This Row],[PROVEEDOR]],Terceros!$A:$E,5,FALSE)</f>
        <v>0</v>
      </c>
      <c r="V1139" s="150">
        <f>+YEAR(PROVEEDORES[[#This Row],[FECHA DE FACTURACIÓN]])</f>
        <v>2021</v>
      </c>
      <c r="W1139" s="150">
        <f>+MATCH(PROVEEDORES[[#This Row],[año facturado]],Retenciones!$1:$1,0)</f>
        <v>4</v>
      </c>
      <c r="X1139" s="151">
        <f>+VLOOKUP(PROVEEDORES[[#This Row],[ID RETENCION]],Retenciones!$A$1:$O$24,PROVEEDORES[[#This Row],[indicador de columna]],FALSE)</f>
        <v>0</v>
      </c>
      <c r="Y1139" s="152">
        <f>+VLOOKUP(PROVEEDORES[[#This Row],[ID RETENCION]],Retenciones!$A$1:$O$24,2,FALSE)</f>
        <v>0</v>
      </c>
      <c r="Z1139" s="26"/>
      <c r="AA1139" s="26"/>
      <c r="AB1139" s="26"/>
      <c r="AC1139" s="26"/>
      <c r="AD1139" s="26"/>
      <c r="AE1139" s="26"/>
    </row>
    <row r="1140" spans="1:31" ht="21.95" customHeight="1" x14ac:dyDescent="0.25">
      <c r="A1140" s="97" t="str">
        <f>+IF(PROVEEDORES[[#This Row],[FECHA DE PAGO]]=PROVEEDORES[[#This Row],[FECHA DE FACTURACIÓN]],"DE CONTADO","CRÉDITO")</f>
        <v>DE CONTADO</v>
      </c>
      <c r="B1140" s="41" t="b">
        <f>+IF((PROVEEDORES[[#This Row],[FECHA DE PAGO]]-PROVEEDORES[[#This Row],[FECHA DE FACTURACIÓN]])&gt;PROVEEDORES[[#This Row],[PLAZO Días]],"PAGO VENCIDO")</f>
        <v>0</v>
      </c>
      <c r="C1140" s="22">
        <f>+VLOOKUP(PROVEEDORES[[#This Row],[PROVEEDOR]],TERCEROS_INFO[#All],2,FALSE)</f>
        <v>30</v>
      </c>
      <c r="D1140" s="27">
        <f>+SUMIFS(PROVEEDORES[Total],PROVEEDORES[PROVEEDOR],PROVEEDORES[[#This Row],[PROVEEDOR]],PROVEEDORES[FECHA DE PAGO],"")</f>
        <v>0</v>
      </c>
      <c r="E1140" s="27"/>
      <c r="F1140" s="62" t="str">
        <f>+VLOOKUP(PROVEEDORES[[#This Row],[PROVEEDOR]],
                       Terceros!$A:$G,
                       6,
                       FALSE)</f>
        <v/>
      </c>
      <c r="G1140" s="95">
        <v>44561</v>
      </c>
      <c r="H1140" s="28" t="s">
        <v>1010</v>
      </c>
      <c r="I1140" s="95">
        <v>44561</v>
      </c>
      <c r="J1140" s="38" t="s">
        <v>942</v>
      </c>
      <c r="K1140" s="23">
        <v>922000</v>
      </c>
      <c r="L1140" s="23"/>
      <c r="M1140" s="24">
        <v>0</v>
      </c>
      <c r="N1140" s="25"/>
      <c r="O1140" s="24">
        <v>0</v>
      </c>
      <c r="P1140" s="136">
        <f>+IF(PROVEEDORES[[#This Row],[SUBTOTAL]]&lt;PROVEEDORES[[#This Row],[base retencion]],0,PROVEEDORES[[#This Row],[retención aplicada]])</f>
        <v>0</v>
      </c>
      <c r="Q1140" s="24">
        <f>+PROVEEDORES[[#This Row],[Rete Fuente %]]*PROVEEDORES[[#This Row],[SUBTOTAL]]</f>
        <v>0</v>
      </c>
      <c r="R1140" s="23">
        <v>922000</v>
      </c>
      <c r="S114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0" s="99">
        <f ca="1">IF(PROVEEDORES[[#This Row],[FECHA DE PAGO]]=0,TODAY()-PROVEEDORES[[#This Row],[FECHA DE FACTURACIÓN]]-PROVEEDORES[[#This Row],[PLAZO Días]],0)</f>
        <v>0</v>
      </c>
      <c r="U1140" s="149">
        <f>+VLOOKUP(PROVEEDORES[[#This Row],[PROVEEDOR]],Terceros!$A:$E,5,FALSE)</f>
        <v>0</v>
      </c>
      <c r="V1140" s="150">
        <f>+YEAR(PROVEEDORES[[#This Row],[FECHA DE FACTURACIÓN]])</f>
        <v>2021</v>
      </c>
      <c r="W1140" s="150">
        <f>+MATCH(PROVEEDORES[[#This Row],[año facturado]],Retenciones!$1:$1,0)</f>
        <v>4</v>
      </c>
      <c r="X1140" s="151">
        <f>+VLOOKUP(PROVEEDORES[[#This Row],[ID RETENCION]],Retenciones!$A$1:$O$24,PROVEEDORES[[#This Row],[indicador de columna]],FALSE)</f>
        <v>0</v>
      </c>
      <c r="Y1140" s="152">
        <f>+VLOOKUP(PROVEEDORES[[#This Row],[ID RETENCION]],Retenciones!$A$1:$O$24,2,FALSE)</f>
        <v>0</v>
      </c>
      <c r="Z1140" s="26"/>
      <c r="AA1140" s="26"/>
      <c r="AB1140" s="26"/>
      <c r="AC1140" s="26"/>
      <c r="AD1140" s="26"/>
      <c r="AE1140" s="26"/>
    </row>
    <row r="1141" spans="1:31" ht="21.95" customHeight="1" x14ac:dyDescent="0.25">
      <c r="A1141" s="97" t="str">
        <f>+IF(PROVEEDORES[[#This Row],[FECHA DE PAGO]]=PROVEEDORES[[#This Row],[FECHA DE FACTURACIÓN]],"DE CONTADO","CRÉDITO")</f>
        <v>DE CONTADO</v>
      </c>
      <c r="B1141" s="41" t="b">
        <f>+IF((PROVEEDORES[[#This Row],[FECHA DE PAGO]]-PROVEEDORES[[#This Row],[FECHA DE FACTURACIÓN]])&gt;PROVEEDORES[[#This Row],[PLAZO Días]],"PAGO VENCIDO")</f>
        <v>0</v>
      </c>
      <c r="C1141" s="22">
        <f>+VLOOKUP(PROVEEDORES[[#This Row],[PROVEEDOR]],TERCEROS_INFO[#All],2,FALSE)</f>
        <v>30</v>
      </c>
      <c r="D1141" s="27">
        <f>+SUMIFS(PROVEEDORES[Total],PROVEEDORES[PROVEEDOR],PROVEEDORES[[#This Row],[PROVEEDOR]],PROVEEDORES[FECHA DE PAGO],"")</f>
        <v>0</v>
      </c>
      <c r="E1141" s="27"/>
      <c r="F1141" s="62" t="str">
        <f>+VLOOKUP(PROVEEDORES[[#This Row],[PROVEEDOR]],
                       Terceros!$A:$G,
                       6,
                       FALSE)</f>
        <v/>
      </c>
      <c r="G1141" s="95">
        <v>44561</v>
      </c>
      <c r="H1141" s="28" t="s">
        <v>1010</v>
      </c>
      <c r="I1141" s="95">
        <v>44561</v>
      </c>
      <c r="J1141" s="38" t="s">
        <v>940</v>
      </c>
      <c r="K1141" s="23">
        <v>4909000</v>
      </c>
      <c r="L1141" s="23"/>
      <c r="M1141" s="24">
        <v>0</v>
      </c>
      <c r="N1141" s="25"/>
      <c r="O1141" s="24">
        <v>0</v>
      </c>
      <c r="P1141" s="136">
        <f>+IF(PROVEEDORES[[#This Row],[SUBTOTAL]]&lt;PROVEEDORES[[#This Row],[base retencion]],0,PROVEEDORES[[#This Row],[retención aplicada]])</f>
        <v>0</v>
      </c>
      <c r="Q1141" s="24">
        <f>+PROVEEDORES[[#This Row],[Rete Fuente %]]*PROVEEDORES[[#This Row],[SUBTOTAL]]</f>
        <v>0</v>
      </c>
      <c r="R1141" s="23">
        <v>4909000</v>
      </c>
      <c r="S114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1" s="99">
        <f ca="1">IF(PROVEEDORES[[#This Row],[FECHA DE PAGO]]=0,TODAY()-PROVEEDORES[[#This Row],[FECHA DE FACTURACIÓN]]-PROVEEDORES[[#This Row],[PLAZO Días]],0)</f>
        <v>0</v>
      </c>
      <c r="U1141" s="149">
        <f>+VLOOKUP(PROVEEDORES[[#This Row],[PROVEEDOR]],Terceros!$A:$E,5,FALSE)</f>
        <v>0</v>
      </c>
      <c r="V1141" s="150">
        <f>+YEAR(PROVEEDORES[[#This Row],[FECHA DE FACTURACIÓN]])</f>
        <v>2021</v>
      </c>
      <c r="W1141" s="150">
        <f>+MATCH(PROVEEDORES[[#This Row],[año facturado]],Retenciones!$1:$1,0)</f>
        <v>4</v>
      </c>
      <c r="X1141" s="151">
        <f>+VLOOKUP(PROVEEDORES[[#This Row],[ID RETENCION]],Retenciones!$A$1:$O$24,PROVEEDORES[[#This Row],[indicador de columna]],FALSE)</f>
        <v>0</v>
      </c>
      <c r="Y1141" s="152">
        <f>+VLOOKUP(PROVEEDORES[[#This Row],[ID RETENCION]],Retenciones!$A$1:$O$24,2,FALSE)</f>
        <v>0</v>
      </c>
      <c r="Z1141" s="26"/>
      <c r="AA1141" s="26"/>
      <c r="AB1141" s="26"/>
      <c r="AC1141" s="26"/>
      <c r="AD1141" s="26"/>
      <c r="AE1141" s="26"/>
    </row>
    <row r="1142" spans="1:31" ht="21.95" customHeight="1" x14ac:dyDescent="0.25">
      <c r="A1142" s="97" t="str">
        <f>+IF(PROVEEDORES[[#This Row],[FECHA DE PAGO]]=PROVEEDORES[[#This Row],[FECHA DE FACTURACIÓN]],"DE CONTADO","CRÉDITO")</f>
        <v>CRÉDITO</v>
      </c>
      <c r="B1142" s="41" t="b">
        <f>+IF((PROVEEDORES[[#This Row],[FECHA DE PAGO]]-PROVEEDORES[[#This Row],[FECHA DE FACTURACIÓN]])&gt;PROVEEDORES[[#This Row],[PLAZO Días]],"PAGO VENCIDO")</f>
        <v>0</v>
      </c>
      <c r="C1142" s="22">
        <f>+VLOOKUP(PROVEEDORES[[#This Row],[PROVEEDOR]],TERCEROS_INFO[#All],2,FALSE)</f>
        <v>13</v>
      </c>
      <c r="D1142" s="27">
        <f>+SUMIFS(PROVEEDORES[Total],PROVEEDORES[PROVEEDOR],PROVEEDORES[[#This Row],[PROVEEDOR]],PROVEEDORES[FECHA DE PAGO],"")</f>
        <v>2130283</v>
      </c>
      <c r="E1142" s="27"/>
      <c r="F1142" s="62">
        <f>+VLOOKUP(PROVEEDORES[[#This Row],[PROVEEDOR]],
                       Terceros!$A:$G,
                       6,
                       FALSE)</f>
        <v>0</v>
      </c>
      <c r="G1142" s="95">
        <v>44575</v>
      </c>
      <c r="H1142" s="28" t="s">
        <v>326</v>
      </c>
      <c r="I1142" s="95">
        <v>44562</v>
      </c>
      <c r="J1142" s="38" t="s">
        <v>328</v>
      </c>
      <c r="K1142" s="23">
        <v>313385</v>
      </c>
      <c r="L1142" s="23"/>
      <c r="M1142" s="24">
        <v>0</v>
      </c>
      <c r="N1142" s="25"/>
      <c r="O1142" s="24">
        <v>0</v>
      </c>
      <c r="P1142" s="136">
        <f>+IF(PROVEEDORES[[#This Row],[SUBTOTAL]]&lt;PROVEEDORES[[#This Row],[base retencion]],0,PROVEEDORES[[#This Row],[retención aplicada]])</f>
        <v>0</v>
      </c>
      <c r="Q1142" s="24">
        <f>+PROVEEDORES[[#This Row],[Rete Fuente %]]*PROVEEDORES[[#This Row],[SUBTOTAL]]</f>
        <v>0</v>
      </c>
      <c r="R1142" s="23">
        <v>313385</v>
      </c>
      <c r="S114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2" s="99">
        <f ca="1">IF(PROVEEDORES[[#This Row],[FECHA DE PAGO]]=0,TODAY()-PROVEEDORES[[#This Row],[FECHA DE FACTURACIÓN]]-PROVEEDORES[[#This Row],[PLAZO Días]],0)</f>
        <v>0</v>
      </c>
      <c r="U1142" s="149">
        <f>+VLOOKUP(PROVEEDORES[[#This Row],[PROVEEDOR]],Terceros!$A:$E,5,FALSE)</f>
        <v>0</v>
      </c>
      <c r="V1142" s="150">
        <f>+YEAR(PROVEEDORES[[#This Row],[FECHA DE FACTURACIÓN]])</f>
        <v>2022</v>
      </c>
      <c r="W1142" s="150">
        <f>+MATCH(PROVEEDORES[[#This Row],[año facturado]],Retenciones!$1:$1,0)</f>
        <v>5</v>
      </c>
      <c r="X1142" s="151">
        <f>+VLOOKUP(PROVEEDORES[[#This Row],[ID RETENCION]],Retenciones!$A$1:$O$24,PROVEEDORES[[#This Row],[indicador de columna]],FALSE)</f>
        <v>0</v>
      </c>
      <c r="Y1142" s="152">
        <f>+VLOOKUP(PROVEEDORES[[#This Row],[ID RETENCION]],Retenciones!$A$1:$O$24,2,FALSE)</f>
        <v>0</v>
      </c>
      <c r="Z1142" s="26"/>
      <c r="AA1142" s="26"/>
      <c r="AB1142" s="26"/>
      <c r="AC1142" s="26"/>
      <c r="AD1142" s="26"/>
      <c r="AE1142" s="26"/>
    </row>
    <row r="1143" spans="1:31" ht="21.95" customHeight="1" x14ac:dyDescent="0.25">
      <c r="A1143" s="97" t="str">
        <f>+IF(PROVEEDORES[[#This Row],[FECHA DE PAGO]]=PROVEEDORES[[#This Row],[FECHA DE FACTURACIÓN]],"DE CONTADO","CRÉDITO")</f>
        <v>CRÉDITO</v>
      </c>
      <c r="B1143" s="41" t="b">
        <f>+IF((PROVEEDORES[[#This Row],[FECHA DE PAGO]]-PROVEEDORES[[#This Row],[FECHA DE FACTURACIÓN]])&gt;PROVEEDORES[[#This Row],[PLAZO Días]],"PAGO VENCIDO")</f>
        <v>0</v>
      </c>
      <c r="C1143" s="22">
        <f>+VLOOKUP(PROVEEDORES[[#This Row],[PROVEEDOR]],TERCEROS_INFO[#All],2,FALSE)</f>
        <v>30</v>
      </c>
      <c r="D1143" s="27">
        <f>+SUMIFS(PROVEEDORES[Total],PROVEEDORES[PROVEEDOR],PROVEEDORES[[#This Row],[PROVEEDOR]],PROVEEDORES[FECHA DE PAGO],"")</f>
        <v>275944.33</v>
      </c>
      <c r="E1143" s="27"/>
      <c r="F1143" s="62" t="str">
        <f>+VLOOKUP(PROVEEDORES[[#This Row],[PROVEEDOR]],
                       Terceros!$A:$G,
                       6,
                       FALSE)</f>
        <v>facturacion@losmolinos.com.co</v>
      </c>
      <c r="G1143" s="95">
        <v>44575</v>
      </c>
      <c r="H1143" s="28" t="s">
        <v>342</v>
      </c>
      <c r="I1143" s="95">
        <v>44562</v>
      </c>
      <c r="J1143" s="38">
        <v>65772</v>
      </c>
      <c r="K1143" s="23">
        <v>329920.96000000002</v>
      </c>
      <c r="L1143" s="23"/>
      <c r="M1143" s="24">
        <v>0</v>
      </c>
      <c r="N1143" s="25"/>
      <c r="O1143" s="24">
        <v>0</v>
      </c>
      <c r="P1143" s="136">
        <f>+IF(PROVEEDORES[[#This Row],[SUBTOTAL]]&lt;PROVEEDORES[[#This Row],[base retencion]],0,PROVEEDORES[[#This Row],[retención aplicada]])</f>
        <v>0</v>
      </c>
      <c r="Q1143" s="24">
        <f>+PROVEEDORES[[#This Row],[Rete Fuente %]]*PROVEEDORES[[#This Row],[SUBTOTAL]]</f>
        <v>0</v>
      </c>
      <c r="R1143" s="23">
        <v>329920.96000000002</v>
      </c>
      <c r="S114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3" s="99">
        <f ca="1">IF(PROVEEDORES[[#This Row],[FECHA DE PAGO]]=0,TODAY()-PROVEEDORES[[#This Row],[FECHA DE FACTURACIÓN]]-PROVEEDORES[[#This Row],[PLAZO Días]],0)</f>
        <v>0</v>
      </c>
      <c r="U1143" s="149">
        <f>+VLOOKUP(PROVEEDORES[[#This Row],[PROVEEDOR]],Terceros!$A:$E,5,FALSE)</f>
        <v>0</v>
      </c>
      <c r="V1143" s="150">
        <f>+YEAR(PROVEEDORES[[#This Row],[FECHA DE FACTURACIÓN]])</f>
        <v>2022</v>
      </c>
      <c r="W1143" s="150">
        <f>+MATCH(PROVEEDORES[[#This Row],[año facturado]],Retenciones!$1:$1,0)</f>
        <v>5</v>
      </c>
      <c r="X1143" s="151">
        <f>+VLOOKUP(PROVEEDORES[[#This Row],[ID RETENCION]],Retenciones!$A$1:$O$24,PROVEEDORES[[#This Row],[indicador de columna]],FALSE)</f>
        <v>0</v>
      </c>
      <c r="Y1143" s="152">
        <f>+VLOOKUP(PROVEEDORES[[#This Row],[ID RETENCION]],Retenciones!$A$1:$O$24,2,FALSE)</f>
        <v>0</v>
      </c>
      <c r="Z1143" s="26"/>
      <c r="AA1143" s="26"/>
      <c r="AB1143" s="26"/>
      <c r="AC1143" s="26"/>
      <c r="AD1143" s="26"/>
      <c r="AE1143" s="26"/>
    </row>
    <row r="1144" spans="1:31" ht="21.95" customHeight="1" x14ac:dyDescent="0.25">
      <c r="A1144" s="97" t="str">
        <f>+IF(PROVEEDORES[[#This Row],[FECHA DE PAGO]]=PROVEEDORES[[#This Row],[FECHA DE FACTURACIÓN]],"DE CONTADO","CRÉDITO")</f>
        <v>CRÉDITO</v>
      </c>
      <c r="B1144" s="41" t="b">
        <f>+IF((PROVEEDORES[[#This Row],[FECHA DE PAGO]]-PROVEEDORES[[#This Row],[FECHA DE FACTURACIÓN]])&gt;PROVEEDORES[[#This Row],[PLAZO Días]],"PAGO VENCIDO")</f>
        <v>0</v>
      </c>
      <c r="C1144" s="22">
        <f>+VLOOKUP(PROVEEDORES[[#This Row],[PROVEEDOR]],TERCEROS_INFO[#All],2,FALSE)</f>
        <v>30</v>
      </c>
      <c r="D1144" s="27">
        <f>+SUMIFS(PROVEEDORES[Total],PROVEEDORES[PROVEEDOR],PROVEEDORES[[#This Row],[PROVEEDOR]],PROVEEDORES[FECHA DE PAGO],"")</f>
        <v>0</v>
      </c>
      <c r="E1144" s="27"/>
      <c r="F1144" s="62" t="str">
        <f>+VLOOKUP(PROVEEDORES[[#This Row],[PROVEEDOR]],
                       Terceros!$A:$G,
                       6,
                       FALSE)</f>
        <v>PSE</v>
      </c>
      <c r="G1144" s="95">
        <v>44575</v>
      </c>
      <c r="H1144" s="28" t="s">
        <v>350</v>
      </c>
      <c r="I1144" s="95">
        <v>44562</v>
      </c>
      <c r="J1144" s="38">
        <v>12657</v>
      </c>
      <c r="K1144" s="23">
        <v>800264</v>
      </c>
      <c r="L1144" s="23"/>
      <c r="M1144" s="24">
        <v>0</v>
      </c>
      <c r="N1144" s="25"/>
      <c r="O1144" s="24">
        <v>0</v>
      </c>
      <c r="P1144" s="136">
        <f>+IF(PROVEEDORES[[#This Row],[SUBTOTAL]]&lt;PROVEEDORES[[#This Row],[base retencion]],0,PROVEEDORES[[#This Row],[retención aplicada]])</f>
        <v>0</v>
      </c>
      <c r="Q1144" s="24">
        <f>+PROVEEDORES[[#This Row],[Rete Fuente %]]*PROVEEDORES[[#This Row],[SUBTOTAL]]</f>
        <v>0</v>
      </c>
      <c r="R1144" s="23">
        <v>800264</v>
      </c>
      <c r="S114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4" s="99">
        <f ca="1">IF(PROVEEDORES[[#This Row],[FECHA DE PAGO]]=0,TODAY()-PROVEEDORES[[#This Row],[FECHA DE FACTURACIÓN]]-PROVEEDORES[[#This Row],[PLAZO Días]],0)</f>
        <v>0</v>
      </c>
      <c r="U1144" s="149">
        <f>+VLOOKUP(PROVEEDORES[[#This Row],[PROVEEDOR]],Terceros!$A:$E,5,FALSE)</f>
        <v>0</v>
      </c>
      <c r="V1144" s="150">
        <f>+YEAR(PROVEEDORES[[#This Row],[FECHA DE FACTURACIÓN]])</f>
        <v>2022</v>
      </c>
      <c r="W1144" s="150">
        <f>+MATCH(PROVEEDORES[[#This Row],[año facturado]],Retenciones!$1:$1,0)</f>
        <v>5</v>
      </c>
      <c r="X1144" s="151">
        <f>+VLOOKUP(PROVEEDORES[[#This Row],[ID RETENCION]],Retenciones!$A$1:$O$24,PROVEEDORES[[#This Row],[indicador de columna]],FALSE)</f>
        <v>0</v>
      </c>
      <c r="Y1144" s="152">
        <f>+VLOOKUP(PROVEEDORES[[#This Row],[ID RETENCION]],Retenciones!$A$1:$O$24,2,FALSE)</f>
        <v>0</v>
      </c>
      <c r="Z1144" s="26"/>
      <c r="AA1144" s="26"/>
      <c r="AB1144" s="26"/>
      <c r="AC1144" s="26"/>
      <c r="AD1144" s="26"/>
      <c r="AE1144" s="26"/>
    </row>
    <row r="1145" spans="1:31" ht="21.95" customHeight="1" x14ac:dyDescent="0.25">
      <c r="A1145" s="97" t="str">
        <f>+IF(PROVEEDORES[[#This Row],[FECHA DE PAGO]]=PROVEEDORES[[#This Row],[FECHA DE FACTURACIÓN]],"DE CONTADO","CRÉDITO")</f>
        <v>CRÉDITO</v>
      </c>
      <c r="B1145" s="41" t="b">
        <f>+IF((PROVEEDORES[[#This Row],[FECHA DE PAGO]]-PROVEEDORES[[#This Row],[FECHA DE FACTURACIÓN]])&gt;PROVEEDORES[[#This Row],[PLAZO Días]],"PAGO VENCIDO")</f>
        <v>0</v>
      </c>
      <c r="C1145" s="22">
        <f>+VLOOKUP(PROVEEDORES[[#This Row],[PROVEEDOR]],TERCEROS_INFO[#All],2,FALSE)</f>
        <v>30</v>
      </c>
      <c r="D1145" s="27">
        <f>+SUMIFS(PROVEEDORES[Total],PROVEEDORES[PROVEEDOR],PROVEEDORES[[#This Row],[PROVEEDOR]],PROVEEDORES[FECHA DE PAGO],"")</f>
        <v>1979529.3</v>
      </c>
      <c r="E1145" s="27"/>
      <c r="F1145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1145" s="95">
        <v>44575</v>
      </c>
      <c r="H1145" s="28" t="s">
        <v>17</v>
      </c>
      <c r="I1145" s="95">
        <v>44562</v>
      </c>
      <c r="J1145" s="38">
        <v>1852120</v>
      </c>
      <c r="K1145" s="23">
        <v>285600</v>
      </c>
      <c r="L1145" s="23"/>
      <c r="M1145" s="24">
        <v>54264</v>
      </c>
      <c r="N1145" s="25"/>
      <c r="O1145" s="24">
        <v>0</v>
      </c>
      <c r="P1145" s="136">
        <f>+IF(PROVEEDORES[[#This Row],[SUBTOTAL]]&lt;PROVEEDORES[[#This Row],[base retencion]],0,PROVEEDORES[[#This Row],[retención aplicada]])</f>
        <v>0</v>
      </c>
      <c r="Q1145" s="24">
        <f>+PROVEEDORES[[#This Row],[Rete Fuente %]]*PROVEEDORES[[#This Row],[SUBTOTAL]]</f>
        <v>0</v>
      </c>
      <c r="R1145" s="23">
        <v>339864</v>
      </c>
      <c r="S114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5" s="99">
        <f ca="1">IF(PROVEEDORES[[#This Row],[FECHA DE PAGO]]=0,TODAY()-PROVEEDORES[[#This Row],[FECHA DE FACTURACIÓN]]-PROVEEDORES[[#This Row],[PLAZO Días]],0)</f>
        <v>0</v>
      </c>
      <c r="U1145" s="149">
        <f>+VLOOKUP(PROVEEDORES[[#This Row],[PROVEEDOR]],Terceros!$A:$E,5,FALSE)</f>
        <v>0</v>
      </c>
      <c r="V1145" s="150">
        <f>+YEAR(PROVEEDORES[[#This Row],[FECHA DE FACTURACIÓN]])</f>
        <v>2022</v>
      </c>
      <c r="W1145" s="150">
        <f>+MATCH(PROVEEDORES[[#This Row],[año facturado]],Retenciones!$1:$1,0)</f>
        <v>5</v>
      </c>
      <c r="X1145" s="151">
        <f>+VLOOKUP(PROVEEDORES[[#This Row],[ID RETENCION]],Retenciones!$A$1:$O$24,PROVEEDORES[[#This Row],[indicador de columna]],FALSE)</f>
        <v>0</v>
      </c>
      <c r="Y1145" s="152">
        <f>+VLOOKUP(PROVEEDORES[[#This Row],[ID RETENCION]],Retenciones!$A$1:$O$24,2,FALSE)</f>
        <v>0</v>
      </c>
      <c r="Z1145" s="26"/>
      <c r="AA1145" s="26"/>
      <c r="AB1145" s="26"/>
      <c r="AC1145" s="26"/>
      <c r="AD1145" s="26"/>
      <c r="AE1145" s="26"/>
    </row>
    <row r="1146" spans="1:31" ht="21.95" customHeight="1" x14ac:dyDescent="0.25">
      <c r="A1146" s="97" t="str">
        <f>+IF(PROVEEDORES[[#This Row],[FECHA DE PAGO]]=PROVEEDORES[[#This Row],[FECHA DE FACTURACIÓN]],"DE CONTADO","CRÉDITO")</f>
        <v>CRÉDITO</v>
      </c>
      <c r="B1146" s="41" t="b">
        <f>+IF((PROVEEDORES[[#This Row],[FECHA DE PAGO]]-PROVEEDORES[[#This Row],[FECHA DE FACTURACIÓN]])&gt;PROVEEDORES[[#This Row],[PLAZO Días]],"PAGO VENCIDO")</f>
        <v>0</v>
      </c>
      <c r="C1146" s="22">
        <f>+VLOOKUP(PROVEEDORES[[#This Row],[PROVEEDOR]],TERCEROS_INFO[#All],2,FALSE)</f>
        <v>30</v>
      </c>
      <c r="D1146" s="27">
        <f>+SUMIFS(PROVEEDORES[Total],PROVEEDORES[PROVEEDOR],PROVEEDORES[[#This Row],[PROVEEDOR]],PROVEEDORES[FECHA DE PAGO],"")</f>
        <v>0</v>
      </c>
      <c r="E1146" s="27"/>
      <c r="F1146" s="62" t="str">
        <f>+VLOOKUP(PROVEEDORES[[#This Row],[PROVEEDOR]],
                       Terceros!$A:$G,
                       6,
                       FALSE)</f>
        <v>PSE</v>
      </c>
      <c r="G1146" s="95">
        <v>44575</v>
      </c>
      <c r="H1146" s="28" t="s">
        <v>350</v>
      </c>
      <c r="I1146" s="95">
        <v>44562</v>
      </c>
      <c r="J1146" s="38">
        <v>12698</v>
      </c>
      <c r="K1146" s="23">
        <v>818874</v>
      </c>
      <c r="L1146" s="23"/>
      <c r="M1146" s="24">
        <v>0</v>
      </c>
      <c r="N1146" s="25"/>
      <c r="O1146" s="24">
        <v>0</v>
      </c>
      <c r="P1146" s="136">
        <f>+IF(PROVEEDORES[[#This Row],[SUBTOTAL]]&lt;PROVEEDORES[[#This Row],[base retencion]],0,PROVEEDORES[[#This Row],[retención aplicada]])</f>
        <v>0</v>
      </c>
      <c r="Q1146" s="24">
        <f>+PROVEEDORES[[#This Row],[Rete Fuente %]]*PROVEEDORES[[#This Row],[SUBTOTAL]]</f>
        <v>0</v>
      </c>
      <c r="R1146" s="23">
        <v>818874</v>
      </c>
      <c r="S114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6" s="99">
        <f ca="1">IF(PROVEEDORES[[#This Row],[FECHA DE PAGO]]=0,TODAY()-PROVEEDORES[[#This Row],[FECHA DE FACTURACIÓN]]-PROVEEDORES[[#This Row],[PLAZO Días]],0)</f>
        <v>0</v>
      </c>
      <c r="U1146" s="149">
        <f>+VLOOKUP(PROVEEDORES[[#This Row],[PROVEEDOR]],Terceros!$A:$E,5,FALSE)</f>
        <v>0</v>
      </c>
      <c r="V1146" s="150">
        <f>+YEAR(PROVEEDORES[[#This Row],[FECHA DE FACTURACIÓN]])</f>
        <v>2022</v>
      </c>
      <c r="W1146" s="150">
        <f>+MATCH(PROVEEDORES[[#This Row],[año facturado]],Retenciones!$1:$1,0)</f>
        <v>5</v>
      </c>
      <c r="X1146" s="151">
        <f>+VLOOKUP(PROVEEDORES[[#This Row],[ID RETENCION]],Retenciones!$A$1:$O$24,PROVEEDORES[[#This Row],[indicador de columna]],FALSE)</f>
        <v>0</v>
      </c>
      <c r="Y1146" s="152">
        <f>+VLOOKUP(PROVEEDORES[[#This Row],[ID RETENCION]],Retenciones!$A$1:$O$24,2,FALSE)</f>
        <v>0</v>
      </c>
      <c r="Z1146" s="26"/>
      <c r="AA1146" s="26"/>
      <c r="AB1146" s="26"/>
      <c r="AC1146" s="26"/>
      <c r="AD1146" s="26"/>
      <c r="AE1146" s="26"/>
    </row>
    <row r="1147" spans="1:31" ht="21.95" customHeight="1" x14ac:dyDescent="0.25">
      <c r="A1147" s="97" t="str">
        <f>+IF(PROVEEDORES[[#This Row],[FECHA DE PAGO]]=PROVEEDORES[[#This Row],[FECHA DE FACTURACIÓN]],"DE CONTADO","CRÉDITO")</f>
        <v>CRÉDITO</v>
      </c>
      <c r="B1147" s="41" t="b">
        <f>+IF((PROVEEDORES[[#This Row],[FECHA DE PAGO]]-PROVEEDORES[[#This Row],[FECHA DE FACTURACIÓN]])&gt;PROVEEDORES[[#This Row],[PLAZO Días]],"PAGO VENCIDO")</f>
        <v>0</v>
      </c>
      <c r="C1147" s="22">
        <f>+VLOOKUP(PROVEEDORES[[#This Row],[PROVEEDOR]],TERCEROS_INFO[#All],2,FALSE)</f>
        <v>20</v>
      </c>
      <c r="D1147" s="27">
        <f>+SUMIFS(PROVEEDORES[Total],PROVEEDORES[PROVEEDOR],PROVEEDORES[[#This Row],[PROVEEDOR]],PROVEEDORES[FECHA DE PAGO],"")</f>
        <v>0</v>
      </c>
      <c r="E1147" s="27"/>
      <c r="F1147" s="62" t="str">
        <f>+VLOOKUP(PROVEEDORES[[#This Row],[PROVEEDOR]],
                       Terceros!$A:$G,
                       6,
                       FALSE)</f>
        <v>pse</v>
      </c>
      <c r="G1147" s="95">
        <v>44579</v>
      </c>
      <c r="H1147" s="28" t="s">
        <v>371</v>
      </c>
      <c r="I1147" s="95">
        <v>44562</v>
      </c>
      <c r="J1147" s="38"/>
      <c r="K1147" s="23">
        <v>944086</v>
      </c>
      <c r="L1147" s="23"/>
      <c r="M1147" s="24">
        <v>0</v>
      </c>
      <c r="N1147" s="25"/>
      <c r="O1147" s="24">
        <v>0</v>
      </c>
      <c r="P1147" s="136">
        <f>+IF(PROVEEDORES[[#This Row],[SUBTOTAL]]&lt;PROVEEDORES[[#This Row],[base retencion]],0,PROVEEDORES[[#This Row],[retención aplicada]])</f>
        <v>0</v>
      </c>
      <c r="Q1147" s="24">
        <f>+PROVEEDORES[[#This Row],[Rete Fuente %]]*PROVEEDORES[[#This Row],[SUBTOTAL]]</f>
        <v>0</v>
      </c>
      <c r="R1147" s="23">
        <v>944086</v>
      </c>
      <c r="S114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7" s="99">
        <f ca="1">IF(PROVEEDORES[[#This Row],[FECHA DE PAGO]]=0,TODAY()-PROVEEDORES[[#This Row],[FECHA DE FACTURACIÓN]]-PROVEEDORES[[#This Row],[PLAZO Días]],0)</f>
        <v>0</v>
      </c>
      <c r="U1147" s="149">
        <f>+VLOOKUP(PROVEEDORES[[#This Row],[PROVEEDOR]],Terceros!$A:$E,5,FALSE)</f>
        <v>0</v>
      </c>
      <c r="V1147" s="150">
        <f>+YEAR(PROVEEDORES[[#This Row],[FECHA DE FACTURACIÓN]])</f>
        <v>2022</v>
      </c>
      <c r="W1147" s="150">
        <f>+MATCH(PROVEEDORES[[#This Row],[año facturado]],Retenciones!$1:$1,0)</f>
        <v>5</v>
      </c>
      <c r="X1147" s="151">
        <f>+VLOOKUP(PROVEEDORES[[#This Row],[ID RETENCION]],Retenciones!$A$1:$O$24,PROVEEDORES[[#This Row],[indicador de columna]],FALSE)</f>
        <v>0</v>
      </c>
      <c r="Y1147" s="152">
        <f>+VLOOKUP(PROVEEDORES[[#This Row],[ID RETENCION]],Retenciones!$A$1:$O$24,2,FALSE)</f>
        <v>0</v>
      </c>
      <c r="Z1147" s="26"/>
      <c r="AA1147" s="26"/>
      <c r="AB1147" s="26"/>
      <c r="AC1147" s="26"/>
      <c r="AD1147" s="26"/>
      <c r="AE1147" s="26"/>
    </row>
    <row r="1148" spans="1:31" ht="21.95" customHeight="1" x14ac:dyDescent="0.25">
      <c r="A1148" s="97" t="str">
        <f>+IF(PROVEEDORES[[#This Row],[FECHA DE PAGO]]=PROVEEDORES[[#This Row],[FECHA DE FACTURACIÓN]],"DE CONTADO","CRÉDITO")</f>
        <v>DE CONTADO</v>
      </c>
      <c r="B1148" s="41" t="b">
        <f>+IF((PROVEEDORES[[#This Row],[FECHA DE PAGO]]-PROVEEDORES[[#This Row],[FECHA DE FACTURACIÓN]])&gt;PROVEEDORES[[#This Row],[PLAZO Días]],"PAGO VENCIDO")</f>
        <v>0</v>
      </c>
      <c r="C1148" s="22">
        <f>+VLOOKUP(PROVEEDORES[[#This Row],[PROVEEDOR]],TERCEROS_INFO[#All],2,FALSE)</f>
        <v>30</v>
      </c>
      <c r="D1148" s="27">
        <f>+SUMIFS(PROVEEDORES[Total],PROVEEDORES[PROVEEDOR],PROVEEDORES[[#This Row],[PROVEEDOR]],PROVEEDORES[FECHA DE PAGO],"")</f>
        <v>0</v>
      </c>
      <c r="E1148" s="27"/>
      <c r="F1148" s="62" t="str">
        <f>+VLOOKUP(PROVEEDORES[[#This Row],[PROVEEDOR]],
                       Terceros!$A:$G,
                       6,
                       FALSE)</f>
        <v/>
      </c>
      <c r="G1148" s="95">
        <v>44562</v>
      </c>
      <c r="H1148" s="28" t="s">
        <v>1001</v>
      </c>
      <c r="I1148" s="95">
        <v>44562</v>
      </c>
      <c r="J1148" s="38" t="s">
        <v>947</v>
      </c>
      <c r="K1148" s="23">
        <v>693200</v>
      </c>
      <c r="L1148" s="23"/>
      <c r="M1148" s="24">
        <v>0</v>
      </c>
      <c r="N1148" s="25"/>
      <c r="O1148" s="24">
        <v>0</v>
      </c>
      <c r="P1148" s="136">
        <f>+IF(PROVEEDORES[[#This Row],[SUBTOTAL]]&lt;PROVEEDORES[[#This Row],[base retencion]],0,PROVEEDORES[[#This Row],[retención aplicada]])</f>
        <v>0</v>
      </c>
      <c r="Q1148" s="24">
        <f>+PROVEEDORES[[#This Row],[Rete Fuente %]]*PROVEEDORES[[#This Row],[SUBTOTAL]]</f>
        <v>0</v>
      </c>
      <c r="R1148" s="23">
        <v>693200</v>
      </c>
      <c r="S114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8" s="99">
        <f ca="1">IF(PROVEEDORES[[#This Row],[FECHA DE PAGO]]=0,TODAY()-PROVEEDORES[[#This Row],[FECHA DE FACTURACIÓN]]-PROVEEDORES[[#This Row],[PLAZO Días]],0)</f>
        <v>0</v>
      </c>
      <c r="U1148" s="149">
        <f>+VLOOKUP(PROVEEDORES[[#This Row],[PROVEEDOR]],Terceros!$A:$E,5,FALSE)</f>
        <v>0</v>
      </c>
      <c r="V1148" s="150">
        <f>+YEAR(PROVEEDORES[[#This Row],[FECHA DE FACTURACIÓN]])</f>
        <v>2022</v>
      </c>
      <c r="W1148" s="150">
        <f>+MATCH(PROVEEDORES[[#This Row],[año facturado]],Retenciones!$1:$1,0)</f>
        <v>5</v>
      </c>
      <c r="X1148" s="151">
        <f>+VLOOKUP(PROVEEDORES[[#This Row],[ID RETENCION]],Retenciones!$A$1:$O$24,PROVEEDORES[[#This Row],[indicador de columna]],FALSE)</f>
        <v>0</v>
      </c>
      <c r="Y1148" s="152">
        <f>+VLOOKUP(PROVEEDORES[[#This Row],[ID RETENCION]],Retenciones!$A$1:$O$24,2,FALSE)</f>
        <v>0</v>
      </c>
      <c r="Z1148" s="26"/>
      <c r="AA1148" s="26"/>
      <c r="AB1148" s="26"/>
      <c r="AC1148" s="26"/>
      <c r="AD1148" s="26"/>
      <c r="AE1148" s="26"/>
    </row>
    <row r="1149" spans="1:31" ht="21.95" customHeight="1" x14ac:dyDescent="0.25">
      <c r="A1149" s="97" t="str">
        <f>+IF(PROVEEDORES[[#This Row],[FECHA DE PAGO]]=PROVEEDORES[[#This Row],[FECHA DE FACTURACIÓN]],"DE CONTADO","CRÉDITO")</f>
        <v>CRÉDITO</v>
      </c>
      <c r="B1149" s="41" t="b">
        <f>+IF((PROVEEDORES[[#This Row],[FECHA DE PAGO]]-PROVEEDORES[[#This Row],[FECHA DE FACTURACIÓN]])&gt;PROVEEDORES[[#This Row],[PLAZO Días]],"PAGO VENCIDO")</f>
        <v>0</v>
      </c>
      <c r="C1149" s="22">
        <f>+VLOOKUP(PROVEEDORES[[#This Row],[PROVEEDOR]],TERCEROS_INFO[#All],2,FALSE)</f>
        <v>10</v>
      </c>
      <c r="D1149" s="27">
        <f>+SUMIFS(PROVEEDORES[Total],PROVEEDORES[PROVEEDOR],PROVEEDORES[[#This Row],[PROVEEDOR]],PROVEEDORES[FECHA DE PAGO],"")</f>
        <v>0</v>
      </c>
      <c r="E1149" s="27"/>
      <c r="F1149" s="62" t="str">
        <f>+VLOOKUP(PROVEEDORES[[#This Row],[PROVEEDOR]],
                       Terceros!$A:$G,
                       6,
                       FALSE)</f>
        <v>dotaciones.ohana.eu@gmail.com;girlesa.ruiz@servipilas.com;joriescobar64@gmail.com</v>
      </c>
      <c r="G1149" s="95">
        <v>44579</v>
      </c>
      <c r="H1149" s="28" t="s">
        <v>1025</v>
      </c>
      <c r="I1149" s="95">
        <v>44574</v>
      </c>
      <c r="J1149" s="38" t="s">
        <v>961</v>
      </c>
      <c r="K1149" s="23">
        <v>372000</v>
      </c>
      <c r="L1149" s="23"/>
      <c r="M1149" s="24">
        <v>0</v>
      </c>
      <c r="N1149" s="25"/>
      <c r="O1149" s="24">
        <v>0</v>
      </c>
      <c r="P1149" s="136">
        <f>+IF(PROVEEDORES[[#This Row],[SUBTOTAL]]&lt;PROVEEDORES[[#This Row],[base retencion]],0,PROVEEDORES[[#This Row],[retención aplicada]])</f>
        <v>0</v>
      </c>
      <c r="Q1149" s="24">
        <f>+PROVEEDORES[[#This Row],[Rete Fuente %]]*PROVEEDORES[[#This Row],[SUBTOTAL]]</f>
        <v>0</v>
      </c>
      <c r="R1149" s="23">
        <v>372</v>
      </c>
      <c r="S114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9" s="99">
        <f ca="1">IF(PROVEEDORES[[#This Row],[FECHA DE PAGO]]=0,TODAY()-PROVEEDORES[[#This Row],[FECHA DE FACTURACIÓN]]-PROVEEDORES[[#This Row],[PLAZO Días]],0)</f>
        <v>0</v>
      </c>
      <c r="U1149" s="149">
        <f>+VLOOKUP(PROVEEDORES[[#This Row],[PROVEEDOR]],Terceros!$A:$E,5,FALSE)</f>
        <v>0</v>
      </c>
      <c r="V1149" s="150">
        <f>+YEAR(PROVEEDORES[[#This Row],[FECHA DE FACTURACIÓN]])</f>
        <v>2022</v>
      </c>
      <c r="W1149" s="150">
        <f>+MATCH(PROVEEDORES[[#This Row],[año facturado]],Retenciones!$1:$1,0)</f>
        <v>5</v>
      </c>
      <c r="X1149" s="151">
        <f>+VLOOKUP(PROVEEDORES[[#This Row],[ID RETENCION]],Retenciones!$A$1:$O$24,PROVEEDORES[[#This Row],[indicador de columna]],FALSE)</f>
        <v>0</v>
      </c>
      <c r="Y1149" s="152">
        <f>+VLOOKUP(PROVEEDORES[[#This Row],[ID RETENCION]],Retenciones!$A$1:$O$24,2,FALSE)</f>
        <v>0</v>
      </c>
      <c r="Z1149" s="26"/>
      <c r="AA1149" s="26"/>
      <c r="AB1149" s="26"/>
      <c r="AC1149" s="26"/>
      <c r="AD1149" s="26"/>
      <c r="AE1149" s="26"/>
    </row>
    <row r="1150" spans="1:31" ht="21.95" customHeight="1" x14ac:dyDescent="0.25">
      <c r="A1150" s="97" t="str">
        <f>+IF(PROVEEDORES[[#This Row],[FECHA DE PAGO]]=PROVEEDORES[[#This Row],[FECHA DE FACTURACIÓN]],"DE CONTADO","CRÉDITO")</f>
        <v>CRÉDITO</v>
      </c>
      <c r="B1150" s="41" t="b">
        <f>+IF((PROVEEDORES[[#This Row],[FECHA DE PAGO]]-PROVEEDORES[[#This Row],[FECHA DE FACTURACIÓN]])&gt;PROVEEDORES[[#This Row],[PLAZO Días]],"PAGO VENCIDO")</f>
        <v>0</v>
      </c>
      <c r="C1150" s="22">
        <f>+VLOOKUP(PROVEEDORES[[#This Row],[PROVEEDOR]],TERCEROS_INFO[#All],2,FALSE)</f>
        <v>30</v>
      </c>
      <c r="D1150" s="27">
        <f>+SUMIFS(PROVEEDORES[Total],PROVEEDORES[PROVEEDOR],PROVEEDORES[[#This Row],[PROVEEDOR]],PROVEEDORES[FECHA DE PAGO],"")</f>
        <v>0</v>
      </c>
      <c r="E1150" s="27"/>
      <c r="F1150" s="62" t="str">
        <f>+VLOOKUP(PROVEEDORES[[#This Row],[PROVEEDOR]],
                       Terceros!$A:$G,
                       6,
                       FALSE)</f>
        <v>girlesa.ruiz@servipilas.com;joriescobar64@gmail.com</v>
      </c>
      <c r="G1150" s="95">
        <v>44588</v>
      </c>
      <c r="H1150" s="28" t="s">
        <v>336</v>
      </c>
      <c r="I1150" s="95">
        <v>44562</v>
      </c>
      <c r="J1150" s="38" t="s">
        <v>977</v>
      </c>
      <c r="K1150" s="23">
        <v>20664</v>
      </c>
      <c r="L1150" s="23"/>
      <c r="M1150" s="24">
        <v>0</v>
      </c>
      <c r="N1150" s="25"/>
      <c r="O1150" s="24">
        <v>0</v>
      </c>
      <c r="P1150" s="136">
        <f>+IF(PROVEEDORES[[#This Row],[SUBTOTAL]]&lt;PROVEEDORES[[#This Row],[base retencion]],0,PROVEEDORES[[#This Row],[retención aplicada]])</f>
        <v>3.5000000000000003E-2</v>
      </c>
      <c r="Q1150" s="24">
        <f>+PROVEEDORES[[#This Row],[Rete Fuente %]]*PROVEEDORES[[#This Row],[SUBTOTAL]]</f>
        <v>723.24000000000012</v>
      </c>
      <c r="R1150" s="23">
        <v>20664</v>
      </c>
      <c r="S115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0" s="99">
        <f ca="1">IF(PROVEEDORES[[#This Row],[FECHA DE PAGO]]=0,TODAY()-PROVEEDORES[[#This Row],[FECHA DE FACTURACIÓN]]-PROVEEDORES[[#This Row],[PLAZO Días]],0)</f>
        <v>0</v>
      </c>
      <c r="U1150" s="149" t="str">
        <f>+VLOOKUP(PROVEEDORES[[#This Row],[PROVEEDOR]],Terceros!$A:$E,5,FALSE)</f>
        <v>3,5% sin base</v>
      </c>
      <c r="V1150" s="150">
        <f>+YEAR(PROVEEDORES[[#This Row],[FECHA DE FACTURACIÓN]])</f>
        <v>2022</v>
      </c>
      <c r="W1150" s="150">
        <f>+MATCH(PROVEEDORES[[#This Row],[año facturado]],Retenciones!$1:$1,0)</f>
        <v>5</v>
      </c>
      <c r="X1150" s="151">
        <f>+VLOOKUP(PROVEEDORES[[#This Row],[ID RETENCION]],Retenciones!$A$1:$O$24,PROVEEDORES[[#This Row],[indicador de columna]],FALSE)</f>
        <v>0</v>
      </c>
      <c r="Y1150" s="152">
        <f>+VLOOKUP(PROVEEDORES[[#This Row],[ID RETENCION]],Retenciones!$A$1:$O$24,2,FALSE)</f>
        <v>3.5000000000000003E-2</v>
      </c>
      <c r="Z1150" s="26"/>
      <c r="AA1150" s="26"/>
      <c r="AB1150" s="26"/>
      <c r="AC1150" s="26"/>
      <c r="AD1150" s="26"/>
      <c r="AE1150" s="26"/>
    </row>
    <row r="1151" spans="1:31" ht="21.95" customHeight="1" x14ac:dyDescent="0.25">
      <c r="A1151" s="97" t="str">
        <f>+IF(PROVEEDORES[[#This Row],[FECHA DE PAGO]]=PROVEEDORES[[#This Row],[FECHA DE FACTURACIÓN]],"DE CONTADO","CRÉDITO")</f>
        <v>CRÉDITO</v>
      </c>
      <c r="B1151" s="41" t="b">
        <f>+IF((PROVEEDORES[[#This Row],[FECHA DE PAGO]]-PROVEEDORES[[#This Row],[FECHA DE FACTURACIÓN]])&gt;PROVEEDORES[[#This Row],[PLAZO Días]],"PAGO VENCIDO")</f>
        <v>0</v>
      </c>
      <c r="C1151" s="22">
        <f>+VLOOKUP(PROVEEDORES[[#This Row],[PROVEEDOR]],TERCEROS_INFO[#All],2,FALSE)</f>
        <v>30</v>
      </c>
      <c r="D1151" s="27">
        <f>+SUMIFS(PROVEEDORES[Total],PROVEEDORES[PROVEEDOR],PROVEEDORES[[#This Row],[PROVEEDOR]],PROVEEDORES[FECHA DE PAGO],"")</f>
        <v>248736.18000000002</v>
      </c>
      <c r="E1151" s="27"/>
      <c r="F1151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G1151" s="95">
        <v>44588</v>
      </c>
      <c r="H1151" s="28" t="s">
        <v>343</v>
      </c>
      <c r="I1151" s="95">
        <v>44562</v>
      </c>
      <c r="J1151" s="38" t="s">
        <v>917</v>
      </c>
      <c r="K1151" s="23">
        <v>214622</v>
      </c>
      <c r="L1151" s="23"/>
      <c r="M1151" s="24">
        <v>40778.18</v>
      </c>
      <c r="N1151" s="25"/>
      <c r="O1151" s="24">
        <v>0</v>
      </c>
      <c r="P1151" s="136">
        <f>+IF(PROVEEDORES[[#This Row],[SUBTOTAL]]&lt;PROVEEDORES[[#This Row],[base retencion]],0,PROVEEDORES[[#This Row],[retención aplicada]])</f>
        <v>3.5000000000000003E-2</v>
      </c>
      <c r="Q1151" s="24">
        <f>+PROVEEDORES[[#This Row],[Rete Fuente %]]*PROVEEDORES[[#This Row],[SUBTOTAL]]</f>
        <v>7511.77</v>
      </c>
      <c r="R1151" s="23">
        <v>247888.41</v>
      </c>
      <c r="S115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1" s="99">
        <f ca="1">IF(PROVEEDORES[[#This Row],[FECHA DE PAGO]]=0,TODAY()-PROVEEDORES[[#This Row],[FECHA DE FACTURACIÓN]]-PROVEEDORES[[#This Row],[PLAZO Días]],0)</f>
        <v>0</v>
      </c>
      <c r="U1151" s="149" t="str">
        <f>+VLOOKUP(PROVEEDORES[[#This Row],[PROVEEDOR]],Terceros!$A:$E,5,FALSE)</f>
        <v>3,5% sin base</v>
      </c>
      <c r="V1151" s="150">
        <f>+YEAR(PROVEEDORES[[#This Row],[FECHA DE FACTURACIÓN]])</f>
        <v>2022</v>
      </c>
      <c r="W1151" s="150">
        <f>+MATCH(PROVEEDORES[[#This Row],[año facturado]],Retenciones!$1:$1,0)</f>
        <v>5</v>
      </c>
      <c r="X1151" s="151">
        <f>+VLOOKUP(PROVEEDORES[[#This Row],[ID RETENCION]],Retenciones!$A$1:$O$24,PROVEEDORES[[#This Row],[indicador de columna]],FALSE)</f>
        <v>0</v>
      </c>
      <c r="Y1151" s="152">
        <f>+VLOOKUP(PROVEEDORES[[#This Row],[ID RETENCION]],Retenciones!$A$1:$O$24,2,FALSE)</f>
        <v>3.5000000000000003E-2</v>
      </c>
      <c r="Z1151" s="26"/>
      <c r="AA1151" s="26"/>
      <c r="AB1151" s="26"/>
      <c r="AC1151" s="26"/>
      <c r="AD1151" s="26"/>
      <c r="AE1151" s="26"/>
    </row>
    <row r="1152" spans="1:31" ht="21.95" customHeight="1" x14ac:dyDescent="0.25">
      <c r="A1152" s="97" t="str">
        <f>+IF(PROVEEDORES[[#This Row],[FECHA DE PAGO]]=PROVEEDORES[[#This Row],[FECHA DE FACTURACIÓN]],"DE CONTADO","CRÉDITO")</f>
        <v>CRÉDITO</v>
      </c>
      <c r="B1152" s="41" t="b">
        <f>+IF((PROVEEDORES[[#This Row],[FECHA DE PAGO]]-PROVEEDORES[[#This Row],[FECHA DE FACTURACIÓN]])&gt;PROVEEDORES[[#This Row],[PLAZO Días]],"PAGO VENCIDO")</f>
        <v>0</v>
      </c>
      <c r="C1152" s="22">
        <f>+VLOOKUP(PROVEEDORES[[#This Row],[PROVEEDOR]],TERCEROS_INFO[#All],2,FALSE)</f>
        <v>30</v>
      </c>
      <c r="D1152" s="27">
        <f>+SUMIFS(PROVEEDORES[Total],PROVEEDORES[PROVEEDOR],PROVEEDORES[[#This Row],[PROVEEDOR]],PROVEEDORES[FECHA DE PAGO],"")</f>
        <v>4862586.33</v>
      </c>
      <c r="E1152" s="27"/>
      <c r="F1152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1152" s="95">
        <v>44588</v>
      </c>
      <c r="H1152" s="28" t="s">
        <v>345</v>
      </c>
      <c r="I1152" s="95">
        <v>44562</v>
      </c>
      <c r="J1152" s="38" t="s">
        <v>938</v>
      </c>
      <c r="K1152" s="23">
        <v>716544</v>
      </c>
      <c r="L1152" s="23"/>
      <c r="M1152" s="24">
        <v>136143.36000000002</v>
      </c>
      <c r="N1152" s="25"/>
      <c r="O1152" s="24">
        <v>0</v>
      </c>
      <c r="P1152" s="136">
        <f>+IF(PROVEEDORES[[#This Row],[SUBTOTAL]]&lt;PROVEEDORES[[#This Row],[base retencion]],0,PROVEEDORES[[#This Row],[retención aplicada]])</f>
        <v>0</v>
      </c>
      <c r="Q1152" s="24">
        <f>+PROVEEDORES[[#This Row],[Rete Fuente %]]*PROVEEDORES[[#This Row],[SUBTOTAL]]</f>
        <v>0</v>
      </c>
      <c r="R1152" s="23">
        <v>852687.35999999999</v>
      </c>
      <c r="S115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2" s="99">
        <f ca="1">IF(PROVEEDORES[[#This Row],[FECHA DE PAGO]]=0,TODAY()-PROVEEDORES[[#This Row],[FECHA DE FACTURACIÓN]]-PROVEEDORES[[#This Row],[PLAZO Días]],0)</f>
        <v>0</v>
      </c>
      <c r="U1152" s="149">
        <f>+VLOOKUP(PROVEEDORES[[#This Row],[PROVEEDOR]],Terceros!$A:$E,5,FALSE)</f>
        <v>0</v>
      </c>
      <c r="V1152" s="150">
        <f>+YEAR(PROVEEDORES[[#This Row],[FECHA DE FACTURACIÓN]])</f>
        <v>2022</v>
      </c>
      <c r="W1152" s="150">
        <f>+MATCH(PROVEEDORES[[#This Row],[año facturado]],Retenciones!$1:$1,0)</f>
        <v>5</v>
      </c>
      <c r="X1152" s="151">
        <f>+VLOOKUP(PROVEEDORES[[#This Row],[ID RETENCION]],Retenciones!$A$1:$O$24,PROVEEDORES[[#This Row],[indicador de columna]],FALSE)</f>
        <v>0</v>
      </c>
      <c r="Y1152" s="152">
        <f>+VLOOKUP(PROVEEDORES[[#This Row],[ID RETENCION]],Retenciones!$A$1:$O$24,2,FALSE)</f>
        <v>0</v>
      </c>
      <c r="Z1152" s="26"/>
      <c r="AA1152" s="26"/>
      <c r="AB1152" s="26"/>
      <c r="AC1152" s="26"/>
      <c r="AD1152" s="26"/>
      <c r="AE1152" s="26"/>
    </row>
    <row r="1153" spans="1:31" ht="21.95" customHeight="1" x14ac:dyDescent="0.25">
      <c r="A1153" s="97" t="str">
        <f>+IF(PROVEEDORES[[#This Row],[FECHA DE PAGO]]=PROVEEDORES[[#This Row],[FECHA DE FACTURACIÓN]],"DE CONTADO","CRÉDITO")</f>
        <v>CRÉDITO</v>
      </c>
      <c r="B1153" s="41" t="str">
        <f>+IF((PROVEEDORES[[#This Row],[FECHA DE PAGO]]-PROVEEDORES[[#This Row],[FECHA DE FACTURACIÓN]])&gt;PROVEEDORES[[#This Row],[PLAZO Días]],"PAGO VENCIDO")</f>
        <v>PAGO VENCIDO</v>
      </c>
      <c r="C1153" s="22">
        <f>+VLOOKUP(PROVEEDORES[[#This Row],[PROVEEDOR]],TERCEROS_INFO[#All],2,FALSE)</f>
        <v>10</v>
      </c>
      <c r="D1153" s="27">
        <f>+SUMIFS(PROVEEDORES[Total],PROVEEDORES[PROVEEDOR],PROVEEDORES[[#This Row],[PROVEEDOR]],PROVEEDORES[FECHA DE PAGO],"")</f>
        <v>0</v>
      </c>
      <c r="E1153" s="27"/>
      <c r="F1153" s="62" t="str">
        <f>+VLOOKUP(PROVEEDORES[[#This Row],[PROVEEDOR]],
                       Terceros!$A:$G,
                       6,
                       FALSE)</f>
        <v>carloseuristika@hotmail.com;girlesa.ruiz@servipilas.com;joriescobar64@gmail.com</v>
      </c>
      <c r="G1153" s="95">
        <v>44574</v>
      </c>
      <c r="H1153" s="28" t="s">
        <v>1000</v>
      </c>
      <c r="I1153" s="95">
        <v>44562</v>
      </c>
      <c r="J1153" s="38"/>
      <c r="K1153" s="23">
        <v>1060000</v>
      </c>
      <c r="L1153" s="23"/>
      <c r="M1153" s="24">
        <v>0</v>
      </c>
      <c r="N1153" s="25"/>
      <c r="O1153" s="24">
        <v>0</v>
      </c>
      <c r="P1153" s="136">
        <f>+IF(PROVEEDORES[[#This Row],[SUBTOTAL]]&lt;PROVEEDORES[[#This Row],[base retencion]],0,PROVEEDORES[[#This Row],[retención aplicada]])</f>
        <v>0</v>
      </c>
      <c r="Q1153" s="24">
        <f>+PROVEEDORES[[#This Row],[Rete Fuente %]]*PROVEEDORES[[#This Row],[SUBTOTAL]]</f>
        <v>0</v>
      </c>
      <c r="R1153" s="23">
        <v>1060000</v>
      </c>
      <c r="S115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3" s="99">
        <f ca="1">IF(PROVEEDORES[[#This Row],[FECHA DE PAGO]]=0,TODAY()-PROVEEDORES[[#This Row],[FECHA DE FACTURACIÓN]]-PROVEEDORES[[#This Row],[PLAZO Días]],0)</f>
        <v>0</v>
      </c>
      <c r="U1153" s="149">
        <f>+VLOOKUP(PROVEEDORES[[#This Row],[PROVEEDOR]],Terceros!$A:$E,5,FALSE)</f>
        <v>0</v>
      </c>
      <c r="V1153" s="150">
        <f>+YEAR(PROVEEDORES[[#This Row],[FECHA DE FACTURACIÓN]])</f>
        <v>2022</v>
      </c>
      <c r="W1153" s="150">
        <f>+MATCH(PROVEEDORES[[#This Row],[año facturado]],Retenciones!$1:$1,0)</f>
        <v>5</v>
      </c>
      <c r="X1153" s="151">
        <f>+VLOOKUP(PROVEEDORES[[#This Row],[ID RETENCION]],Retenciones!$A$1:$O$24,PROVEEDORES[[#This Row],[indicador de columna]],FALSE)</f>
        <v>0</v>
      </c>
      <c r="Y1153" s="152">
        <f>+VLOOKUP(PROVEEDORES[[#This Row],[ID RETENCION]],Retenciones!$A$1:$O$24,2,FALSE)</f>
        <v>0</v>
      </c>
      <c r="Z1153" s="26"/>
      <c r="AA1153" s="26"/>
      <c r="AB1153" s="26"/>
      <c r="AC1153" s="26"/>
      <c r="AD1153" s="26"/>
      <c r="AE1153" s="26"/>
    </row>
    <row r="1154" spans="1:31" ht="21.95" customHeight="1" x14ac:dyDescent="0.25">
      <c r="A1154" s="97" t="str">
        <f>+IF(PROVEEDORES[[#This Row],[FECHA DE PAGO]]=PROVEEDORES[[#This Row],[FECHA DE FACTURACIÓN]],"DE CONTADO","CRÉDITO")</f>
        <v>CRÉDITO</v>
      </c>
      <c r="B1154" s="41" t="str">
        <f>+IF((PROVEEDORES[[#This Row],[FECHA DE PAGO]]-PROVEEDORES[[#This Row],[FECHA DE FACTURACIÓN]])&gt;PROVEEDORES[[#This Row],[PLAZO Días]],"PAGO VENCIDO")</f>
        <v>PAGO VENCIDO</v>
      </c>
      <c r="C1154" s="22">
        <f>+VLOOKUP(PROVEEDORES[[#This Row],[PROVEEDOR]],TERCEROS_INFO[#All],2,FALSE)</f>
        <v>30</v>
      </c>
      <c r="D1154" s="27">
        <f>+SUMIFS(PROVEEDORES[Total],PROVEEDORES[PROVEEDOR],PROVEEDORES[[#This Row],[PROVEEDOR]],PROVEEDORES[FECHA DE PAGO],"")</f>
        <v>1850000</v>
      </c>
      <c r="E1154" s="27"/>
      <c r="F1154" s="62" t="str">
        <f>+VLOOKUP(PROVEEDORES[[#This Row],[PROVEEDOR]],
                       Terceros!$A:$G,
                       6,
                       FALSE)</f>
        <v>globalpowerc2018@gmail.com;girlesa.ruiz@servipilas.com;joriescobar64@gmail.com</v>
      </c>
      <c r="G1154" s="95">
        <v>44593</v>
      </c>
      <c r="H1154" s="28" t="s">
        <v>1051</v>
      </c>
      <c r="I1154" s="95">
        <v>44562</v>
      </c>
      <c r="J1154" s="38" t="s">
        <v>947</v>
      </c>
      <c r="K1154" s="23">
        <v>1400000</v>
      </c>
      <c r="L1154" s="23"/>
      <c r="M1154" s="24">
        <v>0</v>
      </c>
      <c r="N1154" s="25"/>
      <c r="O1154" s="24">
        <v>0</v>
      </c>
      <c r="P1154" s="136">
        <f>+IF(PROVEEDORES[[#This Row],[SUBTOTAL]]&lt;PROVEEDORES[[#This Row],[base retencion]],0,PROVEEDORES[[#This Row],[retención aplicada]])</f>
        <v>0</v>
      </c>
      <c r="Q1154" s="24">
        <f>+PROVEEDORES[[#This Row],[Rete Fuente %]]*PROVEEDORES[[#This Row],[SUBTOTAL]]</f>
        <v>0</v>
      </c>
      <c r="R1154" s="23">
        <v>1400000</v>
      </c>
      <c r="S115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4" s="99">
        <f ca="1">IF(PROVEEDORES[[#This Row],[FECHA DE PAGO]]=0,TODAY()-PROVEEDORES[[#This Row],[FECHA DE FACTURACIÓN]]-PROVEEDORES[[#This Row],[PLAZO Días]],0)</f>
        <v>0</v>
      </c>
      <c r="U1154" s="149">
        <f>+VLOOKUP(PROVEEDORES[[#This Row],[PROVEEDOR]],Terceros!$A:$E,5,FALSE)</f>
        <v>0</v>
      </c>
      <c r="V1154" s="150">
        <f>+YEAR(PROVEEDORES[[#This Row],[FECHA DE FACTURACIÓN]])</f>
        <v>2022</v>
      </c>
      <c r="W1154" s="150">
        <f>+MATCH(PROVEEDORES[[#This Row],[año facturado]],Retenciones!$1:$1,0)</f>
        <v>5</v>
      </c>
      <c r="X1154" s="151">
        <f>+VLOOKUP(PROVEEDORES[[#This Row],[ID RETENCION]],Retenciones!$A$1:$O$24,PROVEEDORES[[#This Row],[indicador de columna]],FALSE)</f>
        <v>0</v>
      </c>
      <c r="Y1154" s="152">
        <f>+VLOOKUP(PROVEEDORES[[#This Row],[ID RETENCION]],Retenciones!$A$1:$O$24,2,FALSE)</f>
        <v>0</v>
      </c>
      <c r="Z1154" s="26"/>
      <c r="AA1154" s="26"/>
      <c r="AB1154" s="26"/>
      <c r="AC1154" s="26"/>
      <c r="AD1154" s="26"/>
      <c r="AE1154" s="26"/>
    </row>
    <row r="1155" spans="1:31" ht="21.95" customHeight="1" x14ac:dyDescent="0.25">
      <c r="A1155" s="97" t="str">
        <f>+IF(PROVEEDORES[[#This Row],[FECHA DE PAGO]]=PROVEEDORES[[#This Row],[FECHA DE FACTURACIÓN]],"DE CONTADO","CRÉDITO")</f>
        <v>CRÉDITO</v>
      </c>
      <c r="B1155" s="41" t="b">
        <f>+IF((PROVEEDORES[[#This Row],[FECHA DE PAGO]]-PROVEEDORES[[#This Row],[FECHA DE FACTURACIÓN]])&gt;PROVEEDORES[[#This Row],[PLAZO Días]],"PAGO VENCIDO")</f>
        <v>0</v>
      </c>
      <c r="C1155" s="22">
        <f>+VLOOKUP(PROVEEDORES[[#This Row],[PROVEEDOR]],TERCEROS_INFO[#All],2,FALSE)</f>
        <v>30</v>
      </c>
      <c r="D1155" s="27">
        <f>+SUMIFS(PROVEEDORES[Total],PROVEEDORES[PROVEEDOR],PROVEEDORES[[#This Row],[PROVEEDOR]],PROVEEDORES[FECHA DE PAGO],"")</f>
        <v>0</v>
      </c>
      <c r="E1155" s="27"/>
      <c r="F1155" s="62" t="str">
        <f>+VLOOKUP(PROVEEDORES[[#This Row],[PROVEEDOR]],
                       Terceros!$A:$G,
                       6,
                       FALSE)</f>
        <v>tesoreria@lacentral.com.co;girlesa.ruiz@servipilas.com;joriescobar64@gmail.com</v>
      </c>
      <c r="G1155" s="95">
        <v>44588</v>
      </c>
      <c r="H1155" s="28" t="s">
        <v>332</v>
      </c>
      <c r="I1155" s="95">
        <v>44562</v>
      </c>
      <c r="J1155" s="38">
        <v>9719</v>
      </c>
      <c r="K1155" s="23">
        <v>1904519</v>
      </c>
      <c r="L1155" s="23"/>
      <c r="M1155" s="24">
        <v>0</v>
      </c>
      <c r="N1155" s="25"/>
      <c r="O1155" s="24">
        <v>0</v>
      </c>
      <c r="P1155" s="136">
        <f>+IF(PROVEEDORES[[#This Row],[SUBTOTAL]]&lt;PROVEEDORES[[#This Row],[base retencion]],0,PROVEEDORES[[#This Row],[retención aplicada]])</f>
        <v>0</v>
      </c>
      <c r="Q1155" s="24">
        <f>+PROVEEDORES[[#This Row],[Rete Fuente %]]*PROVEEDORES[[#This Row],[SUBTOTAL]]</f>
        <v>0</v>
      </c>
      <c r="R1155" s="23">
        <v>1904519</v>
      </c>
      <c r="S115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5" s="99">
        <f ca="1">IF(PROVEEDORES[[#This Row],[FECHA DE PAGO]]=0,TODAY()-PROVEEDORES[[#This Row],[FECHA DE FACTURACIÓN]]-PROVEEDORES[[#This Row],[PLAZO Días]],0)</f>
        <v>0</v>
      </c>
      <c r="U1155" s="149">
        <f>+VLOOKUP(PROVEEDORES[[#This Row],[PROVEEDOR]],Terceros!$A:$E,5,FALSE)</f>
        <v>0</v>
      </c>
      <c r="V1155" s="150">
        <f>+YEAR(PROVEEDORES[[#This Row],[FECHA DE FACTURACIÓN]])</f>
        <v>2022</v>
      </c>
      <c r="W1155" s="150">
        <f>+MATCH(PROVEEDORES[[#This Row],[año facturado]],Retenciones!$1:$1,0)</f>
        <v>5</v>
      </c>
      <c r="X1155" s="151">
        <f>+VLOOKUP(PROVEEDORES[[#This Row],[ID RETENCION]],Retenciones!$A$1:$O$24,PROVEEDORES[[#This Row],[indicador de columna]],FALSE)</f>
        <v>0</v>
      </c>
      <c r="Y1155" s="152">
        <f>+VLOOKUP(PROVEEDORES[[#This Row],[ID RETENCION]],Retenciones!$A$1:$O$24,2,FALSE)</f>
        <v>0</v>
      </c>
      <c r="Z1155" s="26"/>
      <c r="AA1155" s="26"/>
      <c r="AB1155" s="26"/>
      <c r="AC1155" s="26"/>
      <c r="AD1155" s="26"/>
      <c r="AE1155" s="26"/>
    </row>
    <row r="1156" spans="1:31" ht="21.95" customHeight="1" x14ac:dyDescent="0.25">
      <c r="A1156" s="97" t="str">
        <f>+IF(PROVEEDORES[[#This Row],[FECHA DE PAGO]]=PROVEEDORES[[#This Row],[FECHA DE FACTURACIÓN]],"DE CONTADO","CRÉDITO")</f>
        <v>CRÉDITO</v>
      </c>
      <c r="B1156" s="41" t="b">
        <f>+IF((PROVEEDORES[[#This Row],[FECHA DE PAGO]]-PROVEEDORES[[#This Row],[FECHA DE FACTURACIÓN]])&gt;PROVEEDORES[[#This Row],[PLAZO Días]],"PAGO VENCIDO")</f>
        <v>0</v>
      </c>
      <c r="C1156" s="22">
        <f>+VLOOKUP(PROVEEDORES[[#This Row],[PROVEEDOR]],TERCEROS_INFO[#All],2,FALSE)</f>
        <v>30</v>
      </c>
      <c r="D1156" s="27">
        <f>+SUMIFS(PROVEEDORES[Total],PROVEEDORES[PROVEEDOR],PROVEEDORES[[#This Row],[PROVEEDOR]],PROVEEDORES[FECHA DE PAGO],"")</f>
        <v>0</v>
      </c>
      <c r="E1156" s="27"/>
      <c r="F1156" s="62" t="str">
        <f>+VLOOKUP(PROVEEDORES[[#This Row],[PROVEEDOR]],
                       Terceros!$A:$G,
                       6,
                       FALSE)</f>
        <v>propertymarketingsas@hotmail.com;girlesa.ruiz@servipilas.com;joriescobar64@gmail.com</v>
      </c>
      <c r="G1156" s="95">
        <v>44588</v>
      </c>
      <c r="H1156" s="28" t="s">
        <v>483</v>
      </c>
      <c r="I1156" s="95">
        <v>44562</v>
      </c>
      <c r="J1156" s="38" t="s">
        <v>948</v>
      </c>
      <c r="K1156" s="23">
        <v>2789636</v>
      </c>
      <c r="L1156" s="23"/>
      <c r="M1156" s="24">
        <v>0</v>
      </c>
      <c r="N1156" s="25"/>
      <c r="O1156" s="24">
        <v>0</v>
      </c>
      <c r="P1156" s="136">
        <f>+IF(PROVEEDORES[[#This Row],[SUBTOTAL]]&lt;PROVEEDORES[[#This Row],[base retencion]],0,PROVEEDORES[[#This Row],[retención aplicada]])</f>
        <v>3.5000000000000003E-2</v>
      </c>
      <c r="Q1156" s="24">
        <f>+PROVEEDORES[[#This Row],[Rete Fuente %]]*PROVEEDORES[[#This Row],[SUBTOTAL]]</f>
        <v>97637.260000000009</v>
      </c>
      <c r="R1156" s="23">
        <v>2691998.74</v>
      </c>
      <c r="S115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6" s="99">
        <f ca="1">IF(PROVEEDORES[[#This Row],[FECHA DE PAGO]]=0,TODAY()-PROVEEDORES[[#This Row],[FECHA DE FACTURACIÓN]]-PROVEEDORES[[#This Row],[PLAZO Días]],0)</f>
        <v>0</v>
      </c>
      <c r="U1156" s="149" t="str">
        <f>+VLOOKUP(PROVEEDORES[[#This Row],[PROVEEDOR]],Terceros!$A:$E,5,FALSE)</f>
        <v>3,5% sin base</v>
      </c>
      <c r="V1156" s="150">
        <f>+YEAR(PROVEEDORES[[#This Row],[FECHA DE FACTURACIÓN]])</f>
        <v>2022</v>
      </c>
      <c r="W1156" s="150">
        <f>+MATCH(PROVEEDORES[[#This Row],[año facturado]],Retenciones!$1:$1,0)</f>
        <v>5</v>
      </c>
      <c r="X1156" s="151">
        <f>+VLOOKUP(PROVEEDORES[[#This Row],[ID RETENCION]],Retenciones!$A$1:$O$24,PROVEEDORES[[#This Row],[indicador de columna]],FALSE)</f>
        <v>0</v>
      </c>
      <c r="Y1156" s="152">
        <f>+VLOOKUP(PROVEEDORES[[#This Row],[ID RETENCION]],Retenciones!$A$1:$O$24,2,FALSE)</f>
        <v>3.5000000000000003E-2</v>
      </c>
      <c r="Z1156" s="26"/>
      <c r="AA1156" s="26"/>
      <c r="AB1156" s="26"/>
      <c r="AC1156" s="26"/>
      <c r="AD1156" s="26"/>
      <c r="AE1156" s="26"/>
    </row>
    <row r="1157" spans="1:31" ht="21.95" customHeight="1" x14ac:dyDescent="0.25">
      <c r="A1157" s="97" t="str">
        <f>+IF(PROVEEDORES[[#This Row],[FECHA DE PAGO]]=PROVEEDORES[[#This Row],[FECHA DE FACTURACIÓN]],"DE CONTADO","CRÉDITO")</f>
        <v>CRÉDITO</v>
      </c>
      <c r="B1157" s="41" t="b">
        <f>+IF((PROVEEDORES[[#This Row],[FECHA DE PAGO]]-PROVEEDORES[[#This Row],[FECHA DE FACTURACIÓN]])&gt;PROVEEDORES[[#This Row],[PLAZO Días]],"PAGO VENCIDO")</f>
        <v>0</v>
      </c>
      <c r="C1157" s="22">
        <f>+VLOOKUP(PROVEEDORES[[#This Row],[PROVEEDOR]],TERCEROS_INFO[#All],2,FALSE)</f>
        <v>30</v>
      </c>
      <c r="D1157" s="27">
        <f>+SUMIFS(PROVEEDORES[Total],PROVEEDORES[PROVEEDOR],PROVEEDORES[[#This Row],[PROVEEDOR]],PROVEEDORES[FECHA DE PAGO],"")</f>
        <v>4862586.33</v>
      </c>
      <c r="E1157" s="27"/>
      <c r="F1157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1157" s="95">
        <v>44588</v>
      </c>
      <c r="H1157" s="28" t="s">
        <v>345</v>
      </c>
      <c r="I1157" s="95">
        <v>44562</v>
      </c>
      <c r="J1157" s="38" t="s">
        <v>937</v>
      </c>
      <c r="K1157" s="23">
        <v>3061166</v>
      </c>
      <c r="L1157" s="23"/>
      <c r="M1157" s="24">
        <v>581621.54</v>
      </c>
      <c r="N1157" s="25"/>
      <c r="O1157" s="24">
        <v>0</v>
      </c>
      <c r="P1157" s="136">
        <f>+IF(PROVEEDORES[[#This Row],[SUBTOTAL]]&lt;PROVEEDORES[[#This Row],[base retencion]],0,PROVEEDORES[[#This Row],[retención aplicada]])</f>
        <v>0</v>
      </c>
      <c r="Q1157" s="24">
        <f>+PROVEEDORES[[#This Row],[Rete Fuente %]]*PROVEEDORES[[#This Row],[SUBTOTAL]]</f>
        <v>0</v>
      </c>
      <c r="R1157" s="23">
        <v>3642787.54</v>
      </c>
      <c r="S115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7" s="99">
        <f ca="1">IF(PROVEEDORES[[#This Row],[FECHA DE PAGO]]=0,TODAY()-PROVEEDORES[[#This Row],[FECHA DE FACTURACIÓN]]-PROVEEDORES[[#This Row],[PLAZO Días]],0)</f>
        <v>0</v>
      </c>
      <c r="U1157" s="149">
        <f>+VLOOKUP(PROVEEDORES[[#This Row],[PROVEEDOR]],Terceros!$A:$E,5,FALSE)</f>
        <v>0</v>
      </c>
      <c r="V1157" s="150">
        <f>+YEAR(PROVEEDORES[[#This Row],[FECHA DE FACTURACIÓN]])</f>
        <v>2022</v>
      </c>
      <c r="W1157" s="150">
        <f>+MATCH(PROVEEDORES[[#This Row],[año facturado]],Retenciones!$1:$1,0)</f>
        <v>5</v>
      </c>
      <c r="X1157" s="151">
        <f>+VLOOKUP(PROVEEDORES[[#This Row],[ID RETENCION]],Retenciones!$A$1:$O$24,PROVEEDORES[[#This Row],[indicador de columna]],FALSE)</f>
        <v>0</v>
      </c>
      <c r="Y1157" s="152">
        <f>+VLOOKUP(PROVEEDORES[[#This Row],[ID RETENCION]],Retenciones!$A$1:$O$24,2,FALSE)</f>
        <v>0</v>
      </c>
      <c r="Z1157" s="26"/>
      <c r="AA1157" s="26"/>
      <c r="AB1157" s="26"/>
      <c r="AC1157" s="26"/>
      <c r="AD1157" s="26"/>
      <c r="AE1157" s="26"/>
    </row>
    <row r="1158" spans="1:31" ht="21.95" customHeight="1" x14ac:dyDescent="0.25">
      <c r="A1158" s="97" t="str">
        <f>+IF(PROVEEDORES[[#This Row],[FECHA DE PAGO]]=PROVEEDORES[[#This Row],[FECHA DE FACTURACIÓN]],"DE CONTADO","CRÉDITO")</f>
        <v>CRÉDITO</v>
      </c>
      <c r="B1158" s="41" t="b">
        <f>+IF((PROVEEDORES[[#This Row],[FECHA DE PAGO]]-PROVEEDORES[[#This Row],[FECHA DE FACTURACIÓN]])&gt;PROVEEDORES[[#This Row],[PLAZO Días]],"PAGO VENCIDO")</f>
        <v>0</v>
      </c>
      <c r="C1158" s="22">
        <f>+VLOOKUP(PROVEEDORES[[#This Row],[PROVEEDOR]],TERCEROS_INFO[#All],2,FALSE)</f>
        <v>30</v>
      </c>
      <c r="D1158" s="27">
        <f>+SUMIFS(PROVEEDORES[Total],PROVEEDORES[PROVEEDOR],PROVEEDORES[[#This Row],[PROVEEDOR]],PROVEEDORES[FECHA DE PAGO],"")</f>
        <v>0</v>
      </c>
      <c r="E1158" s="27"/>
      <c r="F1158" s="62" t="str">
        <f>+VLOOKUP(PROVEEDORES[[#This Row],[PROVEEDOR]],
                       Terceros!$A:$G,
                       6,
                       FALSE)</f>
        <v>girlesa.ruiz@servipilas.com;joriescobar64@gmail.com</v>
      </c>
      <c r="G1158" s="95">
        <v>44588</v>
      </c>
      <c r="H1158" s="28" t="s">
        <v>336</v>
      </c>
      <c r="I1158" s="95">
        <v>44562</v>
      </c>
      <c r="J1158" s="38" t="s">
        <v>922</v>
      </c>
      <c r="K1158" s="23">
        <v>3937653</v>
      </c>
      <c r="L1158" s="23"/>
      <c r="M1158" s="24">
        <v>0</v>
      </c>
      <c r="N1158" s="25"/>
      <c r="O1158" s="24">
        <v>0</v>
      </c>
      <c r="P1158" s="136">
        <f>+IF(PROVEEDORES[[#This Row],[SUBTOTAL]]&lt;PROVEEDORES[[#This Row],[base retencion]],0,PROVEEDORES[[#This Row],[retención aplicada]])</f>
        <v>3.5000000000000003E-2</v>
      </c>
      <c r="Q1158" s="24">
        <f>+PROVEEDORES[[#This Row],[Rete Fuente %]]*PROVEEDORES[[#This Row],[SUBTOTAL]]</f>
        <v>137817.85500000001</v>
      </c>
      <c r="R1158" s="23">
        <v>3799835.145</v>
      </c>
      <c r="S115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8" s="99">
        <f ca="1">IF(PROVEEDORES[[#This Row],[FECHA DE PAGO]]=0,TODAY()-PROVEEDORES[[#This Row],[FECHA DE FACTURACIÓN]]-PROVEEDORES[[#This Row],[PLAZO Días]],0)</f>
        <v>0</v>
      </c>
      <c r="U1158" s="149" t="str">
        <f>+VLOOKUP(PROVEEDORES[[#This Row],[PROVEEDOR]],Terceros!$A:$E,5,FALSE)</f>
        <v>3,5% sin base</v>
      </c>
      <c r="V1158" s="150">
        <f>+YEAR(PROVEEDORES[[#This Row],[FECHA DE FACTURACIÓN]])</f>
        <v>2022</v>
      </c>
      <c r="W1158" s="150">
        <f>+MATCH(PROVEEDORES[[#This Row],[año facturado]],Retenciones!$1:$1,0)</f>
        <v>5</v>
      </c>
      <c r="X1158" s="151">
        <f>+VLOOKUP(PROVEEDORES[[#This Row],[ID RETENCION]],Retenciones!$A$1:$O$24,PROVEEDORES[[#This Row],[indicador de columna]],FALSE)</f>
        <v>0</v>
      </c>
      <c r="Y1158" s="152">
        <f>+VLOOKUP(PROVEEDORES[[#This Row],[ID RETENCION]],Retenciones!$A$1:$O$24,2,FALSE)</f>
        <v>3.5000000000000003E-2</v>
      </c>
      <c r="Z1158" s="26"/>
      <c r="AA1158" s="26"/>
      <c r="AB1158" s="26"/>
      <c r="AC1158" s="26"/>
      <c r="AD1158" s="26"/>
      <c r="AE1158" s="26"/>
    </row>
    <row r="1159" spans="1:31" ht="21.95" customHeight="1" x14ac:dyDescent="0.25">
      <c r="A1159" s="97" t="str">
        <f>+IF(PROVEEDORES[[#This Row],[FECHA DE PAGO]]=PROVEEDORES[[#This Row],[FECHA DE FACTURACIÓN]],"DE CONTADO","CRÉDITO")</f>
        <v>CRÉDITO</v>
      </c>
      <c r="B1159" s="41" t="b">
        <f>+IF((PROVEEDORES[[#This Row],[FECHA DE PAGO]]-PROVEEDORES[[#This Row],[FECHA DE FACTURACIÓN]])&gt;PROVEEDORES[[#This Row],[PLAZO Días]],"PAGO VENCIDO")</f>
        <v>0</v>
      </c>
      <c r="C1159" s="22">
        <f>+VLOOKUP(PROVEEDORES[[#This Row],[PROVEEDOR]],TERCEROS_INFO[#All],2,FALSE)</f>
        <v>30</v>
      </c>
      <c r="D1159" s="27">
        <f>+SUMIFS(PROVEEDORES[Total],PROVEEDORES[PROVEEDOR],PROVEEDORES[[#This Row],[PROVEEDOR]],PROVEEDORES[FECHA DE PAGO],"")</f>
        <v>5463150</v>
      </c>
      <c r="E1159" s="27"/>
      <c r="F1159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1159" s="95">
        <v>44588</v>
      </c>
      <c r="H1159" s="28" t="s">
        <v>344</v>
      </c>
      <c r="I1159" s="95">
        <v>44562</v>
      </c>
      <c r="J1159" s="38">
        <v>41630</v>
      </c>
      <c r="K1159" s="23">
        <v>4430000</v>
      </c>
      <c r="L1159" s="23"/>
      <c r="M1159" s="24">
        <v>841700</v>
      </c>
      <c r="N1159" s="25"/>
      <c r="O1159" s="24">
        <v>0</v>
      </c>
      <c r="P1159" s="136">
        <f>+IF(PROVEEDORES[[#This Row],[SUBTOTAL]]&lt;PROVEEDORES[[#This Row],[base retencion]],0,PROVEEDORES[[#This Row],[retención aplicada]])</f>
        <v>3.5000000000000003E-2</v>
      </c>
      <c r="Q1159" s="24">
        <f>+PROVEEDORES[[#This Row],[Rete Fuente %]]*PROVEEDORES[[#This Row],[SUBTOTAL]]</f>
        <v>155050.00000000003</v>
      </c>
      <c r="R1159" s="23">
        <v>5116650</v>
      </c>
      <c r="S115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9" s="99">
        <f ca="1">IF(PROVEEDORES[[#This Row],[FECHA DE PAGO]]=0,TODAY()-PROVEEDORES[[#This Row],[FECHA DE FACTURACIÓN]]-PROVEEDORES[[#This Row],[PLAZO Días]],0)</f>
        <v>0</v>
      </c>
      <c r="U1159" s="149" t="str">
        <f>+VLOOKUP(PROVEEDORES[[#This Row],[PROVEEDOR]],Terceros!$A:$E,5,FALSE)</f>
        <v>3,5% con base</v>
      </c>
      <c r="V1159" s="150">
        <f>+YEAR(PROVEEDORES[[#This Row],[FECHA DE FACTURACIÓN]])</f>
        <v>2022</v>
      </c>
      <c r="W1159" s="150">
        <f>+MATCH(PROVEEDORES[[#This Row],[año facturado]],Retenciones!$1:$1,0)</f>
        <v>5</v>
      </c>
      <c r="X1159" s="151">
        <f>+VLOOKUP(PROVEEDORES[[#This Row],[ID RETENCION]],Retenciones!$A$1:$O$24,PROVEEDORES[[#This Row],[indicador de columna]],FALSE)</f>
        <v>1026000</v>
      </c>
      <c r="Y1159" s="152">
        <f>+VLOOKUP(PROVEEDORES[[#This Row],[ID RETENCION]],Retenciones!$A$1:$O$24,2,FALSE)</f>
        <v>3.5000000000000003E-2</v>
      </c>
      <c r="Z1159" s="26"/>
      <c r="AA1159" s="26"/>
      <c r="AB1159" s="26"/>
      <c r="AC1159" s="26"/>
      <c r="AD1159" s="26"/>
      <c r="AE1159" s="26"/>
    </row>
    <row r="1160" spans="1:31" ht="21.95" customHeight="1" x14ac:dyDescent="0.25">
      <c r="A1160" s="97" t="str">
        <f>+IF(PROVEEDORES[[#This Row],[FECHA DE PAGO]]=PROVEEDORES[[#This Row],[FECHA DE FACTURACIÓN]],"DE CONTADO","CRÉDITO")</f>
        <v>CRÉDITO</v>
      </c>
      <c r="B1160" s="41" t="b">
        <f>+IF((PROVEEDORES[[#This Row],[FECHA DE PAGO]]-PROVEEDORES[[#This Row],[FECHA DE FACTURACIÓN]])&gt;PROVEEDORES[[#This Row],[PLAZO Días]],"PAGO VENCIDO")</f>
        <v>0</v>
      </c>
      <c r="C1160" s="22">
        <f>+VLOOKUP(PROVEEDORES[[#This Row],[PROVEEDOR]],TERCEROS_INFO[#All],2,FALSE)</f>
        <v>30</v>
      </c>
      <c r="D1160" s="27">
        <f>+SUMIFS(PROVEEDORES[Total],PROVEEDORES[PROVEEDOR],PROVEEDORES[[#This Row],[PROVEEDOR]],PROVEEDORES[FECHA DE PAGO],"")</f>
        <v>0</v>
      </c>
      <c r="E1160" s="27"/>
      <c r="F1160" s="62" t="str">
        <f>+VLOOKUP(PROVEEDORES[[#This Row],[PROVEEDOR]],
                       Terceros!$A:$G,
                       6,
                       FALSE)</f>
        <v>senalizacionyavisos@gmail.com;girlesa.ruiz@servipilas.com;joriescobar64@gmail.com</v>
      </c>
      <c r="G1160" s="95">
        <v>44595</v>
      </c>
      <c r="H1160" s="28" t="s">
        <v>338</v>
      </c>
      <c r="I1160" s="95">
        <v>44593</v>
      </c>
      <c r="J1160" s="38">
        <v>805</v>
      </c>
      <c r="K1160" s="23">
        <v>239200</v>
      </c>
      <c r="L1160" s="23"/>
      <c r="M1160" s="24">
        <v>45448</v>
      </c>
      <c r="N1160" s="25"/>
      <c r="O1160" s="24">
        <v>0</v>
      </c>
      <c r="P1160" s="136">
        <f>+IF(PROVEEDORES[[#This Row],[SUBTOTAL]]&lt;PROVEEDORES[[#This Row],[base retencion]],0,PROVEEDORES[[#This Row],[retención aplicada]])</f>
        <v>0</v>
      </c>
      <c r="Q1160" s="24">
        <f>+PROVEEDORES[[#This Row],[Rete Fuente %]]*PROVEEDORES[[#This Row],[SUBTOTAL]]</f>
        <v>0</v>
      </c>
      <c r="R1160" s="23">
        <v>0</v>
      </c>
      <c r="S116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0" s="99">
        <f ca="1">IF(PROVEEDORES[[#This Row],[FECHA DE PAGO]]=0,TODAY()-PROVEEDORES[[#This Row],[FECHA DE FACTURACIÓN]]-PROVEEDORES[[#This Row],[PLAZO Días]],0)</f>
        <v>0</v>
      </c>
      <c r="U1160" s="149" t="str">
        <f>+VLOOKUP(PROVEEDORES[[#This Row],[PROVEEDOR]],Terceros!$A:$E,5,FALSE)</f>
        <v>2,5% con base</v>
      </c>
      <c r="V1160" s="150">
        <f>+YEAR(PROVEEDORES[[#This Row],[FECHA DE FACTURACIÓN]])</f>
        <v>2022</v>
      </c>
      <c r="W1160" s="150">
        <f>+MATCH(PROVEEDORES[[#This Row],[año facturado]],Retenciones!$1:$1,0)</f>
        <v>5</v>
      </c>
      <c r="X1160" s="151">
        <f>+VLOOKUP(PROVEEDORES[[#This Row],[ID RETENCION]],Retenciones!$A$1:$O$24,PROVEEDORES[[#This Row],[indicador de columna]],FALSE)</f>
        <v>1026000</v>
      </c>
      <c r="Y1160" s="152">
        <f>+VLOOKUP(PROVEEDORES[[#This Row],[ID RETENCION]],Retenciones!$A$1:$O$24,2,FALSE)</f>
        <v>2.5000000000000001E-2</v>
      </c>
      <c r="Z1160" s="26"/>
      <c r="AA1160" s="26"/>
      <c r="AB1160" s="26"/>
      <c r="AC1160" s="26"/>
      <c r="AD1160" s="26"/>
      <c r="AE1160" s="26"/>
    </row>
    <row r="1161" spans="1:31" ht="21.95" customHeight="1" x14ac:dyDescent="0.25">
      <c r="A1161" s="97" t="str">
        <f>+IF(PROVEEDORES[[#This Row],[FECHA DE PAGO]]=PROVEEDORES[[#This Row],[FECHA DE FACTURACIÓN]],"DE CONTADO","CRÉDITO")</f>
        <v>DE CONTADO</v>
      </c>
      <c r="B1161" s="41" t="b">
        <f>+IF((PROVEEDORES[[#This Row],[FECHA DE PAGO]]-PROVEEDORES[[#This Row],[FECHA DE FACTURACIÓN]])&gt;PROVEEDORES[[#This Row],[PLAZO Días]],"PAGO VENCIDO")</f>
        <v>0</v>
      </c>
      <c r="C1161" s="22">
        <f>+VLOOKUP(PROVEEDORES[[#This Row],[PROVEEDOR]],TERCEROS_INFO[#All],2,FALSE)</f>
        <v>30</v>
      </c>
      <c r="D1161" s="27">
        <f>+SUMIFS(PROVEEDORES[Total],PROVEEDORES[PROVEEDOR],PROVEEDORES[[#This Row],[PROVEEDOR]],PROVEEDORES[FECHA DE PAGO],"")</f>
        <v>0</v>
      </c>
      <c r="E1161" s="27"/>
      <c r="F1161" s="62" t="str">
        <f>+VLOOKUP(PROVEEDORES[[#This Row],[PROVEEDOR]],
                       Terceros!$A:$G,
                       6,
                       FALSE)</f>
        <v/>
      </c>
      <c r="G1161" s="95">
        <v>44565</v>
      </c>
      <c r="H1161" s="28" t="s">
        <v>37</v>
      </c>
      <c r="I1161" s="95">
        <v>44565</v>
      </c>
      <c r="J1161" s="38">
        <v>13042</v>
      </c>
      <c r="K1161" s="23">
        <v>42840</v>
      </c>
      <c r="L1161" s="23"/>
      <c r="M1161" s="24">
        <v>8139.6</v>
      </c>
      <c r="N1161" s="25"/>
      <c r="O1161" s="24">
        <v>0</v>
      </c>
      <c r="P1161" s="136">
        <f>+IF(PROVEEDORES[[#This Row],[SUBTOTAL]]&lt;PROVEEDORES[[#This Row],[base retencion]],0,PROVEEDORES[[#This Row],[retención aplicada]])</f>
        <v>0</v>
      </c>
      <c r="Q1161" s="24">
        <f>+PROVEEDORES[[#This Row],[Rete Fuente %]]*PROVEEDORES[[#This Row],[SUBTOTAL]]</f>
        <v>0</v>
      </c>
      <c r="R1161" s="23">
        <v>50979.6</v>
      </c>
      <c r="S116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1" s="99">
        <f ca="1">IF(PROVEEDORES[[#This Row],[FECHA DE PAGO]]=0,TODAY()-PROVEEDORES[[#This Row],[FECHA DE FACTURACIÓN]]-PROVEEDORES[[#This Row],[PLAZO Días]],0)</f>
        <v>0</v>
      </c>
      <c r="U1161" s="149" t="str">
        <f>+VLOOKUP(PROVEEDORES[[#This Row],[PROVEEDOR]],Terceros!$A:$E,5,FALSE)</f>
        <v>2,5% con base</v>
      </c>
      <c r="V1161" s="150">
        <f>+YEAR(PROVEEDORES[[#This Row],[FECHA DE FACTURACIÓN]])</f>
        <v>2022</v>
      </c>
      <c r="W1161" s="150">
        <f>+MATCH(PROVEEDORES[[#This Row],[año facturado]],Retenciones!$1:$1,0)</f>
        <v>5</v>
      </c>
      <c r="X1161" s="151">
        <f>+VLOOKUP(PROVEEDORES[[#This Row],[ID RETENCION]],Retenciones!$A$1:$O$24,PROVEEDORES[[#This Row],[indicador de columna]],FALSE)</f>
        <v>1026000</v>
      </c>
      <c r="Y1161" s="152">
        <f>+VLOOKUP(PROVEEDORES[[#This Row],[ID RETENCION]],Retenciones!$A$1:$O$24,2,FALSE)</f>
        <v>2.5000000000000001E-2</v>
      </c>
      <c r="Z1161" s="26"/>
      <c r="AA1161" s="26"/>
      <c r="AB1161" s="26"/>
      <c r="AC1161" s="26"/>
      <c r="AD1161" s="26"/>
      <c r="AE1161" s="26"/>
    </row>
    <row r="1162" spans="1:31" ht="21.95" customHeight="1" x14ac:dyDescent="0.25">
      <c r="A1162" s="97" t="str">
        <f>+IF(PROVEEDORES[[#This Row],[FECHA DE PAGO]]=PROVEEDORES[[#This Row],[FECHA DE FACTURACIÓN]],"DE CONTADO","CRÉDITO")</f>
        <v>CRÉDITO</v>
      </c>
      <c r="B1162" s="41" t="b">
        <f>+IF((PROVEEDORES[[#This Row],[FECHA DE PAGO]]-PROVEEDORES[[#This Row],[FECHA DE FACTURACIÓN]])&gt;PROVEEDORES[[#This Row],[PLAZO Días]],"PAGO VENCIDO")</f>
        <v>0</v>
      </c>
      <c r="C1162" s="22">
        <f>+VLOOKUP(PROVEEDORES[[#This Row],[PROVEEDOR]],TERCEROS_INFO[#All],2,FALSE)</f>
        <v>30</v>
      </c>
      <c r="D1162" s="27">
        <f>+SUMIFS(PROVEEDORES[Total],PROVEEDORES[PROVEEDOR],PROVEEDORES[[#This Row],[PROVEEDOR]],PROVEEDORES[FECHA DE PAGO],"")</f>
        <v>395010</v>
      </c>
      <c r="E1162" s="27"/>
      <c r="F1162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1162" s="95">
        <v>44567</v>
      </c>
      <c r="H1162" s="28" t="s">
        <v>141</v>
      </c>
      <c r="I1162" s="95">
        <v>44565</v>
      </c>
      <c r="J1162" s="38">
        <v>192</v>
      </c>
      <c r="K1162" s="23">
        <v>135000</v>
      </c>
      <c r="L1162" s="23"/>
      <c r="M1162" s="24">
        <v>0</v>
      </c>
      <c r="N1162" s="25"/>
      <c r="O1162" s="24">
        <v>0</v>
      </c>
      <c r="P1162" s="136">
        <f>+IF(PROVEEDORES[[#This Row],[SUBTOTAL]]&lt;PROVEEDORES[[#This Row],[base retencion]],0,PROVEEDORES[[#This Row],[retención aplicada]])</f>
        <v>0</v>
      </c>
      <c r="Q1162" s="24">
        <f>+PROVEEDORES[[#This Row],[Rete Fuente %]]*PROVEEDORES[[#This Row],[SUBTOTAL]]</f>
        <v>0</v>
      </c>
      <c r="R1162" s="23">
        <v>135000</v>
      </c>
      <c r="S116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2" s="99">
        <f ca="1">IF(PROVEEDORES[[#This Row],[FECHA DE PAGO]]=0,TODAY()-PROVEEDORES[[#This Row],[FECHA DE FACTURACIÓN]]-PROVEEDORES[[#This Row],[PLAZO Días]],0)</f>
        <v>0</v>
      </c>
      <c r="U1162" s="149" t="str">
        <f>+VLOOKUP(PROVEEDORES[[#This Row],[PROVEEDOR]],Terceros!$A:$E,5,FALSE)</f>
        <v>1% con base</v>
      </c>
      <c r="V1162" s="150">
        <f>+YEAR(PROVEEDORES[[#This Row],[FECHA DE FACTURACIÓN]])</f>
        <v>2022</v>
      </c>
      <c r="W1162" s="150">
        <f>+MATCH(PROVEEDORES[[#This Row],[año facturado]],Retenciones!$1:$1,0)</f>
        <v>5</v>
      </c>
      <c r="X1162" s="151">
        <f>+VLOOKUP(PROVEEDORES[[#This Row],[ID RETENCION]],Retenciones!$A$1:$O$24,PROVEEDORES[[#This Row],[indicador de columna]],FALSE)</f>
        <v>152000</v>
      </c>
      <c r="Y1162" s="152">
        <f>+VLOOKUP(PROVEEDORES[[#This Row],[ID RETENCION]],Retenciones!$A$1:$O$24,2,FALSE)</f>
        <v>0.01</v>
      </c>
      <c r="Z1162" s="26"/>
      <c r="AA1162" s="26"/>
      <c r="AB1162" s="26"/>
      <c r="AC1162" s="26"/>
      <c r="AD1162" s="26"/>
      <c r="AE1162" s="26"/>
    </row>
    <row r="1163" spans="1:31" ht="21.95" customHeight="1" x14ac:dyDescent="0.25">
      <c r="A1163" s="97" t="str">
        <f>+IF(PROVEEDORES[[#This Row],[FECHA DE PAGO]]=PROVEEDORES[[#This Row],[FECHA DE FACTURACIÓN]],"DE CONTADO","CRÉDITO")</f>
        <v>CRÉDITO</v>
      </c>
      <c r="B1163" s="41" t="b">
        <f>+IF((PROVEEDORES[[#This Row],[FECHA DE PAGO]]-PROVEEDORES[[#This Row],[FECHA DE FACTURACIÓN]])&gt;PROVEEDORES[[#This Row],[PLAZO Días]],"PAGO VENCIDO")</f>
        <v>0</v>
      </c>
      <c r="C1163" s="22">
        <f>+VLOOKUP(PROVEEDORES[[#This Row],[PROVEEDOR]],TERCEROS_INFO[#All],2,FALSE)</f>
        <v>30</v>
      </c>
      <c r="D1163" s="27">
        <f>+SUMIFS(PROVEEDORES[Total],PROVEEDORES[PROVEEDOR],PROVEEDORES[[#This Row],[PROVEEDOR]],PROVEEDORES[FECHA DE PAGO],"")</f>
        <v>0</v>
      </c>
      <c r="E1163" s="27"/>
      <c r="F1163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1163" s="95">
        <v>44568</v>
      </c>
      <c r="H1163" s="28" t="s">
        <v>1040</v>
      </c>
      <c r="I1163" s="95">
        <v>44565</v>
      </c>
      <c r="J1163" s="38">
        <v>319</v>
      </c>
      <c r="K1163" s="23">
        <v>176000</v>
      </c>
      <c r="L1163" s="23"/>
      <c r="M1163" s="24">
        <v>0</v>
      </c>
      <c r="N1163" s="25"/>
      <c r="O1163" s="24">
        <v>50216.21</v>
      </c>
      <c r="P1163" s="136">
        <f>+IF(PROVEEDORES[[#This Row],[SUBTOTAL]]&lt;PROVEEDORES[[#This Row],[base retencion]],0,PROVEEDORES[[#This Row],[retención aplicada]])</f>
        <v>0</v>
      </c>
      <c r="Q1163" s="24">
        <f>+PROVEEDORES[[#This Row],[Rete Fuente %]]*PROVEEDORES[[#This Row],[SUBTOTAL]]</f>
        <v>0</v>
      </c>
      <c r="R1163" s="23">
        <v>125783.79000000001</v>
      </c>
      <c r="S116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3" s="99">
        <f ca="1">IF(PROVEEDORES[[#This Row],[FECHA DE PAGO]]=0,TODAY()-PROVEEDORES[[#This Row],[FECHA DE FACTURACIÓN]]-PROVEEDORES[[#This Row],[PLAZO Días]],0)</f>
        <v>0</v>
      </c>
      <c r="U1163" s="149">
        <f>+VLOOKUP(PROVEEDORES[[#This Row],[PROVEEDOR]],Terceros!$A:$E,5,FALSE)</f>
        <v>0</v>
      </c>
      <c r="V1163" s="150">
        <f>+YEAR(PROVEEDORES[[#This Row],[FECHA DE FACTURACIÓN]])</f>
        <v>2022</v>
      </c>
      <c r="W1163" s="150">
        <f>+MATCH(PROVEEDORES[[#This Row],[año facturado]],Retenciones!$1:$1,0)</f>
        <v>5</v>
      </c>
      <c r="X1163" s="151">
        <f>+VLOOKUP(PROVEEDORES[[#This Row],[ID RETENCION]],Retenciones!$A$1:$O$24,PROVEEDORES[[#This Row],[indicador de columna]],FALSE)</f>
        <v>0</v>
      </c>
      <c r="Y1163" s="152">
        <f>+VLOOKUP(PROVEEDORES[[#This Row],[ID RETENCION]],Retenciones!$A$1:$O$24,2,FALSE)</f>
        <v>0</v>
      </c>
      <c r="Z1163" s="26"/>
      <c r="AA1163" s="26"/>
      <c r="AB1163" s="26"/>
      <c r="AC1163" s="26"/>
      <c r="AD1163" s="26"/>
      <c r="AE1163" s="26"/>
    </row>
    <row r="1164" spans="1:31" ht="21.95" customHeight="1" x14ac:dyDescent="0.25">
      <c r="A1164" s="97" t="str">
        <f>+IF(PROVEEDORES[[#This Row],[FECHA DE PAGO]]=PROVEEDORES[[#This Row],[FECHA DE FACTURACIÓN]],"DE CONTADO","CRÉDITO")</f>
        <v>CRÉDITO</v>
      </c>
      <c r="B1164" s="41" t="b">
        <f>+IF((PROVEEDORES[[#This Row],[FECHA DE PAGO]]-PROVEEDORES[[#This Row],[FECHA DE FACTURACIÓN]])&gt;PROVEEDORES[[#This Row],[PLAZO Días]],"PAGO VENCIDO")</f>
        <v>0</v>
      </c>
      <c r="C1164" s="22">
        <f>+VLOOKUP(PROVEEDORES[[#This Row],[PROVEEDOR]],TERCEROS_INFO[#All],2,FALSE)</f>
        <v>90</v>
      </c>
      <c r="D1164" s="27">
        <f>+SUMIFS(PROVEEDORES[Total],PROVEEDORES[PROVEEDOR],PROVEEDORES[[#This Row],[PROVEEDOR]],PROVEEDORES[FECHA DE PAGO],"")</f>
        <v>0</v>
      </c>
      <c r="E1164" s="27"/>
      <c r="F1164" s="62" t="str">
        <f>+VLOOKUP(PROVEEDORES[[#This Row],[PROVEEDOR]],
                       Terceros!$A:$G,
                       6,
                       FALSE)</f>
        <v/>
      </c>
      <c r="G1164" s="95">
        <v>44567</v>
      </c>
      <c r="H1164" s="28" t="s">
        <v>1018</v>
      </c>
      <c r="I1164" s="95">
        <v>44566</v>
      </c>
      <c r="J1164" s="38" t="s">
        <v>939</v>
      </c>
      <c r="K1164" s="23">
        <v>-190000</v>
      </c>
      <c r="L1164" s="23"/>
      <c r="M1164" s="24">
        <v>0</v>
      </c>
      <c r="N1164" s="25"/>
      <c r="O1164" s="24">
        <v>0</v>
      </c>
      <c r="P1164" s="136">
        <f>+IF(PROVEEDORES[[#This Row],[SUBTOTAL]]&lt;PROVEEDORES[[#This Row],[base retencion]],0,PROVEEDORES[[#This Row],[retención aplicada]])</f>
        <v>0</v>
      </c>
      <c r="Q1164" s="24">
        <f>+PROVEEDORES[[#This Row],[Rete Fuente %]]*PROVEEDORES[[#This Row],[SUBTOTAL]]</f>
        <v>0</v>
      </c>
      <c r="R1164" s="23">
        <v>-190000</v>
      </c>
      <c r="S116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4" s="99">
        <f ca="1">IF(PROVEEDORES[[#This Row],[FECHA DE PAGO]]=0,TODAY()-PROVEEDORES[[#This Row],[FECHA DE FACTURACIÓN]]-PROVEEDORES[[#This Row],[PLAZO Días]],0)</f>
        <v>0</v>
      </c>
      <c r="U1164" s="149">
        <f>+VLOOKUP(PROVEEDORES[[#This Row],[PROVEEDOR]],Terceros!$A:$E,5,FALSE)</f>
        <v>0</v>
      </c>
      <c r="V1164" s="150">
        <f>+YEAR(PROVEEDORES[[#This Row],[FECHA DE FACTURACIÓN]])</f>
        <v>2022</v>
      </c>
      <c r="W1164" s="150">
        <f>+MATCH(PROVEEDORES[[#This Row],[año facturado]],Retenciones!$1:$1,0)</f>
        <v>5</v>
      </c>
      <c r="X1164" s="151">
        <f>+VLOOKUP(PROVEEDORES[[#This Row],[ID RETENCION]],Retenciones!$A$1:$O$24,PROVEEDORES[[#This Row],[indicador de columna]],FALSE)</f>
        <v>0</v>
      </c>
      <c r="Y1164" s="152">
        <f>+VLOOKUP(PROVEEDORES[[#This Row],[ID RETENCION]],Retenciones!$A$1:$O$24,2,FALSE)</f>
        <v>0</v>
      </c>
      <c r="Z1164" s="26"/>
      <c r="AA1164" s="26"/>
      <c r="AB1164" s="26"/>
      <c r="AC1164" s="26"/>
      <c r="AD1164" s="26"/>
      <c r="AE1164" s="26"/>
    </row>
    <row r="1165" spans="1:31" ht="21.95" customHeight="1" x14ac:dyDescent="0.25">
      <c r="A1165" s="97" t="str">
        <f>+IF(PROVEEDORES[[#This Row],[FECHA DE PAGO]]=PROVEEDORES[[#This Row],[FECHA DE FACTURACIÓN]],"DE CONTADO","CRÉDITO")</f>
        <v>CRÉDITO</v>
      </c>
      <c r="B1165" s="41" t="b">
        <f>+IF((PROVEEDORES[[#This Row],[FECHA DE PAGO]]-PROVEEDORES[[#This Row],[FECHA DE FACTURACIÓN]])&gt;PROVEEDORES[[#This Row],[PLAZO Días]],"PAGO VENCIDO")</f>
        <v>0</v>
      </c>
      <c r="C1165" s="22">
        <f>+VLOOKUP(PROVEEDORES[[#This Row],[PROVEEDOR]],TERCEROS_INFO[#All],2,FALSE)</f>
        <v>30</v>
      </c>
      <c r="D1165" s="27">
        <f>+SUMIFS(PROVEEDORES[Total],PROVEEDORES[PROVEEDOR],PROVEEDORES[[#This Row],[PROVEEDOR]],PROVEEDORES[FECHA DE PAGO],"")</f>
        <v>0</v>
      </c>
      <c r="E1165" s="27"/>
      <c r="F1165" s="62" t="str">
        <f>+VLOOKUP(PROVEEDORES[[#This Row],[PROVEEDOR]],
                       Terceros!$A:$G,
                       6,
                       FALSE)</f>
        <v/>
      </c>
      <c r="G1165" s="95">
        <v>44568</v>
      </c>
      <c r="H1165" s="28" t="s">
        <v>1057</v>
      </c>
      <c r="I1165" s="95">
        <v>44566</v>
      </c>
      <c r="J1165" s="38"/>
      <c r="K1165" s="23">
        <v>1411500</v>
      </c>
      <c r="L1165" s="23"/>
      <c r="M1165" s="24">
        <v>0</v>
      </c>
      <c r="N1165" s="25"/>
      <c r="O1165" s="24">
        <v>0</v>
      </c>
      <c r="P1165" s="136">
        <f>+IF(PROVEEDORES[[#This Row],[SUBTOTAL]]&lt;PROVEEDORES[[#This Row],[base retencion]],0,PROVEEDORES[[#This Row],[retención aplicada]])</f>
        <v>0</v>
      </c>
      <c r="Q1165" s="24">
        <f>+PROVEEDORES[[#This Row],[Rete Fuente %]]*PROVEEDORES[[#This Row],[SUBTOTAL]]</f>
        <v>0</v>
      </c>
      <c r="R1165" s="23">
        <v>1411500</v>
      </c>
      <c r="S116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5" s="99">
        <f ca="1">IF(PROVEEDORES[[#This Row],[FECHA DE PAGO]]=0,TODAY()-PROVEEDORES[[#This Row],[FECHA DE FACTURACIÓN]]-PROVEEDORES[[#This Row],[PLAZO Días]],0)</f>
        <v>0</v>
      </c>
      <c r="U1165" s="149">
        <f>+VLOOKUP(PROVEEDORES[[#This Row],[PROVEEDOR]],Terceros!$A:$E,5,FALSE)</f>
        <v>0</v>
      </c>
      <c r="V1165" s="150">
        <f>+YEAR(PROVEEDORES[[#This Row],[FECHA DE FACTURACIÓN]])</f>
        <v>2022</v>
      </c>
      <c r="W1165" s="150">
        <f>+MATCH(PROVEEDORES[[#This Row],[año facturado]],Retenciones!$1:$1,0)</f>
        <v>5</v>
      </c>
      <c r="X1165" s="151">
        <f>+VLOOKUP(PROVEEDORES[[#This Row],[ID RETENCION]],Retenciones!$A$1:$O$24,PROVEEDORES[[#This Row],[indicador de columna]],FALSE)</f>
        <v>0</v>
      </c>
      <c r="Y1165" s="152">
        <f>+VLOOKUP(PROVEEDORES[[#This Row],[ID RETENCION]],Retenciones!$A$1:$O$24,2,FALSE)</f>
        <v>0</v>
      </c>
      <c r="Z1165" s="26"/>
      <c r="AA1165" s="26"/>
      <c r="AB1165" s="26"/>
      <c r="AC1165" s="26"/>
      <c r="AD1165" s="26"/>
      <c r="AE1165" s="26"/>
    </row>
    <row r="1166" spans="1:31" ht="21.95" customHeight="1" x14ac:dyDescent="0.25">
      <c r="A1166" s="97" t="str">
        <f>+IF(PROVEEDORES[[#This Row],[FECHA DE PAGO]]=PROVEEDORES[[#This Row],[FECHA DE FACTURACIÓN]],"DE CONTADO","CRÉDITO")</f>
        <v>DE CONTADO</v>
      </c>
      <c r="B1166" s="41" t="b">
        <f>+IF((PROVEEDORES[[#This Row],[FECHA DE PAGO]]-PROVEEDORES[[#This Row],[FECHA DE FACTURACIÓN]])&gt;PROVEEDORES[[#This Row],[PLAZO Días]],"PAGO VENCIDO")</f>
        <v>0</v>
      </c>
      <c r="C1166" s="22">
        <f>+VLOOKUP(PROVEEDORES[[#This Row],[PROVEEDOR]],TERCEROS_INFO[#All],2,FALSE)</f>
        <v>90</v>
      </c>
      <c r="D1166" s="27">
        <f>+SUMIFS(PROVEEDORES[Total],PROVEEDORES[PROVEEDOR],PROVEEDORES[[#This Row],[PROVEEDOR]],PROVEEDORES[FECHA DE PAGO],"")</f>
        <v>0</v>
      </c>
      <c r="E1166" s="27"/>
      <c r="F1166" s="62" t="str">
        <f>+VLOOKUP(PROVEEDORES[[#This Row],[PROVEEDOR]],
                       Terceros!$A:$G,
                       6,
                       FALSE)</f>
        <v/>
      </c>
      <c r="G1166" s="95">
        <v>44567</v>
      </c>
      <c r="H1166" s="28" t="s">
        <v>1027</v>
      </c>
      <c r="I1166" s="95">
        <v>44567</v>
      </c>
      <c r="J1166" s="38"/>
      <c r="K1166" s="23">
        <v>-6831935</v>
      </c>
      <c r="L1166" s="23"/>
      <c r="M1166" s="24">
        <v>165300</v>
      </c>
      <c r="N1166" s="25"/>
      <c r="O1166" s="24">
        <v>0</v>
      </c>
      <c r="P1166" s="136">
        <f>+IF(PROVEEDORES[[#This Row],[SUBTOTAL]]&lt;PROVEEDORES[[#This Row],[base retencion]],0,PROVEEDORES[[#This Row],[retención aplicada]])</f>
        <v>0</v>
      </c>
      <c r="Q1166" s="24">
        <f>+PROVEEDORES[[#This Row],[Rete Fuente %]]*PROVEEDORES[[#This Row],[SUBTOTAL]]</f>
        <v>0</v>
      </c>
      <c r="R1166" s="23">
        <v>650282</v>
      </c>
      <c r="S116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6" s="99">
        <f ca="1">IF(PROVEEDORES[[#This Row],[FECHA DE PAGO]]=0,TODAY()-PROVEEDORES[[#This Row],[FECHA DE FACTURACIÓN]]-PROVEEDORES[[#This Row],[PLAZO Días]],0)</f>
        <v>0</v>
      </c>
      <c r="U1166" s="149">
        <f>+VLOOKUP(PROVEEDORES[[#This Row],[PROVEEDOR]],Terceros!$A:$E,5,FALSE)</f>
        <v>0</v>
      </c>
      <c r="V1166" s="150">
        <f>+YEAR(PROVEEDORES[[#This Row],[FECHA DE FACTURACIÓN]])</f>
        <v>2022</v>
      </c>
      <c r="W1166" s="150">
        <f>+MATCH(PROVEEDORES[[#This Row],[año facturado]],Retenciones!$1:$1,0)</f>
        <v>5</v>
      </c>
      <c r="X1166" s="151">
        <f>+VLOOKUP(PROVEEDORES[[#This Row],[ID RETENCION]],Retenciones!$A$1:$O$24,PROVEEDORES[[#This Row],[indicador de columna]],FALSE)</f>
        <v>0</v>
      </c>
      <c r="Y1166" s="152">
        <f>+VLOOKUP(PROVEEDORES[[#This Row],[ID RETENCION]],Retenciones!$A$1:$O$24,2,FALSE)</f>
        <v>0</v>
      </c>
      <c r="Z1166" s="26"/>
      <c r="AA1166" s="26"/>
      <c r="AB1166" s="26"/>
      <c r="AC1166" s="26"/>
      <c r="AD1166" s="26"/>
      <c r="AE1166" s="26"/>
    </row>
    <row r="1167" spans="1:31" ht="21.95" customHeight="1" x14ac:dyDescent="0.25">
      <c r="A1167" s="97" t="str">
        <f>+IF(PROVEEDORES[[#This Row],[FECHA DE PAGO]]=PROVEEDORES[[#This Row],[FECHA DE FACTURACIÓN]],"DE CONTADO","CRÉDITO")</f>
        <v>DE CONTADO</v>
      </c>
      <c r="B1167" s="41" t="b">
        <f>+IF((PROVEEDORES[[#This Row],[FECHA DE PAGO]]-PROVEEDORES[[#This Row],[FECHA DE FACTURACIÓN]])&gt;PROVEEDORES[[#This Row],[PLAZO Días]],"PAGO VENCIDO")</f>
        <v>0</v>
      </c>
      <c r="C1167" s="22">
        <f>+VLOOKUP(PROVEEDORES[[#This Row],[PROVEEDOR]],TERCEROS_INFO[#All],2,FALSE)</f>
        <v>30</v>
      </c>
      <c r="D1167" s="27">
        <f>+SUMIFS(PROVEEDORES[Total],PROVEEDORES[PROVEEDOR],PROVEEDORES[[#This Row],[PROVEEDOR]],PROVEEDORES[FECHA DE PAGO],"")</f>
        <v>395010</v>
      </c>
      <c r="E1167" s="27"/>
      <c r="F1167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1167" s="95">
        <v>44567</v>
      </c>
      <c r="H1167" s="28" t="s">
        <v>141</v>
      </c>
      <c r="I1167" s="95">
        <v>44567</v>
      </c>
      <c r="J1167" s="38" t="s">
        <v>949</v>
      </c>
      <c r="K1167" s="23">
        <v>-135000</v>
      </c>
      <c r="L1167" s="23"/>
      <c r="M1167" s="24">
        <v>0</v>
      </c>
      <c r="N1167" s="25"/>
      <c r="O1167" s="24">
        <v>0</v>
      </c>
      <c r="P1167" s="136">
        <f>+IF(PROVEEDORES[[#This Row],[SUBTOTAL]]&lt;PROVEEDORES[[#This Row],[base retencion]],0,PROVEEDORES[[#This Row],[retención aplicada]])</f>
        <v>0</v>
      </c>
      <c r="Q1167" s="24">
        <f>+PROVEEDORES[[#This Row],[Rete Fuente %]]*PROVEEDORES[[#This Row],[SUBTOTAL]]</f>
        <v>0</v>
      </c>
      <c r="R1167" s="23">
        <v>-135000</v>
      </c>
      <c r="S116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7" s="99">
        <f ca="1">IF(PROVEEDORES[[#This Row],[FECHA DE PAGO]]=0,TODAY()-PROVEEDORES[[#This Row],[FECHA DE FACTURACIÓN]]-PROVEEDORES[[#This Row],[PLAZO Días]],0)</f>
        <v>0</v>
      </c>
      <c r="U1167" s="149" t="str">
        <f>+VLOOKUP(PROVEEDORES[[#This Row],[PROVEEDOR]],Terceros!$A:$E,5,FALSE)</f>
        <v>1% con base</v>
      </c>
      <c r="V1167" s="150">
        <f>+YEAR(PROVEEDORES[[#This Row],[FECHA DE FACTURACIÓN]])</f>
        <v>2022</v>
      </c>
      <c r="W1167" s="150">
        <f>+MATCH(PROVEEDORES[[#This Row],[año facturado]],Retenciones!$1:$1,0)</f>
        <v>5</v>
      </c>
      <c r="X1167" s="151">
        <f>+VLOOKUP(PROVEEDORES[[#This Row],[ID RETENCION]],Retenciones!$A$1:$O$24,PROVEEDORES[[#This Row],[indicador de columna]],FALSE)</f>
        <v>152000</v>
      </c>
      <c r="Y1167" s="152">
        <f>+VLOOKUP(PROVEEDORES[[#This Row],[ID RETENCION]],Retenciones!$A$1:$O$24,2,FALSE)</f>
        <v>0.01</v>
      </c>
      <c r="Z1167" s="26"/>
      <c r="AA1167" s="26"/>
      <c r="AB1167" s="26"/>
      <c r="AC1167" s="26"/>
      <c r="AD1167" s="26"/>
      <c r="AE1167" s="26"/>
    </row>
    <row r="1168" spans="1:31" ht="21.95" customHeight="1" x14ac:dyDescent="0.25">
      <c r="A1168" s="97" t="str">
        <f>+IF(PROVEEDORES[[#This Row],[FECHA DE PAGO]]=PROVEEDORES[[#This Row],[FECHA DE FACTURACIÓN]],"DE CONTADO","CRÉDITO")</f>
        <v>CRÉDITO</v>
      </c>
      <c r="B1168" s="41" t="str">
        <f>+IF((PROVEEDORES[[#This Row],[FECHA DE PAGO]]-PROVEEDORES[[#This Row],[FECHA DE FACTURACIÓN]])&gt;PROVEEDORES[[#This Row],[PLAZO Días]],"PAGO VENCIDO")</f>
        <v>PAGO VENCIDO</v>
      </c>
      <c r="C1168" s="22">
        <f>+VLOOKUP(PROVEEDORES[[#This Row],[PROVEEDOR]],TERCEROS_INFO[#All],2,FALSE)</f>
        <v>30</v>
      </c>
      <c r="D1168" s="27">
        <f>+SUMIFS(PROVEEDORES[Total],PROVEEDORES[PROVEEDOR],PROVEEDORES[[#This Row],[PROVEEDOR]],PROVEEDORES[FECHA DE PAGO],"")</f>
        <v>395010</v>
      </c>
      <c r="E1168" s="27"/>
      <c r="F1168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1168" s="95">
        <v>44608</v>
      </c>
      <c r="H1168" s="28" t="s">
        <v>141</v>
      </c>
      <c r="I1168" s="95">
        <v>44567</v>
      </c>
      <c r="J1168" s="38" t="s">
        <v>946</v>
      </c>
      <c r="K1168" s="23">
        <v>-37730</v>
      </c>
      <c r="L1168" s="23"/>
      <c r="M1168" s="24">
        <v>0</v>
      </c>
      <c r="N1168" s="25"/>
      <c r="O1168" s="24">
        <v>0</v>
      </c>
      <c r="P1168" s="136">
        <f>+IF(PROVEEDORES[[#This Row],[SUBTOTAL]]&lt;PROVEEDORES[[#This Row],[base retencion]],0,PROVEEDORES[[#This Row],[retención aplicada]])</f>
        <v>0</v>
      </c>
      <c r="Q1168" s="24">
        <f>+PROVEEDORES[[#This Row],[Rete Fuente %]]*PROVEEDORES[[#This Row],[SUBTOTAL]]</f>
        <v>0</v>
      </c>
      <c r="R1168" s="23">
        <v>-37730</v>
      </c>
      <c r="S116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8" s="99">
        <f ca="1">IF(PROVEEDORES[[#This Row],[FECHA DE PAGO]]=0,TODAY()-PROVEEDORES[[#This Row],[FECHA DE FACTURACIÓN]]-PROVEEDORES[[#This Row],[PLAZO Días]],0)</f>
        <v>0</v>
      </c>
      <c r="U1168" s="149" t="str">
        <f>+VLOOKUP(PROVEEDORES[[#This Row],[PROVEEDOR]],Terceros!$A:$E,5,FALSE)</f>
        <v>1% con base</v>
      </c>
      <c r="V1168" s="150">
        <f>+YEAR(PROVEEDORES[[#This Row],[FECHA DE FACTURACIÓN]])</f>
        <v>2022</v>
      </c>
      <c r="W1168" s="150">
        <f>+MATCH(PROVEEDORES[[#This Row],[año facturado]],Retenciones!$1:$1,0)</f>
        <v>5</v>
      </c>
      <c r="X1168" s="151">
        <f>+VLOOKUP(PROVEEDORES[[#This Row],[ID RETENCION]],Retenciones!$A$1:$O$24,PROVEEDORES[[#This Row],[indicador de columna]],FALSE)</f>
        <v>152000</v>
      </c>
      <c r="Y1168" s="152">
        <f>+VLOOKUP(PROVEEDORES[[#This Row],[ID RETENCION]],Retenciones!$A$1:$O$24,2,FALSE)</f>
        <v>0.01</v>
      </c>
      <c r="Z1168" s="26"/>
      <c r="AA1168" s="26"/>
      <c r="AB1168" s="26"/>
      <c r="AC1168" s="26"/>
      <c r="AD1168" s="26"/>
      <c r="AE1168" s="26"/>
    </row>
    <row r="1169" spans="1:31" ht="21.95" customHeight="1" x14ac:dyDescent="0.25">
      <c r="A1169" s="97" t="str">
        <f>+IF(PROVEEDORES[[#This Row],[FECHA DE PAGO]]=PROVEEDORES[[#This Row],[FECHA DE FACTURACIÓN]],"DE CONTADO","CRÉDITO")</f>
        <v>DE CONTADO</v>
      </c>
      <c r="B1169" s="41" t="b">
        <f>+IF((PROVEEDORES[[#This Row],[FECHA DE PAGO]]-PROVEEDORES[[#This Row],[FECHA DE FACTURACIÓN]])&gt;PROVEEDORES[[#This Row],[PLAZO Días]],"PAGO VENCIDO")</f>
        <v>0</v>
      </c>
      <c r="C1169" s="22">
        <f>+VLOOKUP(PROVEEDORES[[#This Row],[PROVEEDOR]],TERCEROS_INFO[#All],2,FALSE)</f>
        <v>30</v>
      </c>
      <c r="D1169" s="27">
        <f>+SUMIFS(PROVEEDORES[Total],PROVEEDORES[PROVEEDOR],PROVEEDORES[[#This Row],[PROVEEDOR]],PROVEEDORES[FECHA DE PAGO],"")</f>
        <v>0</v>
      </c>
      <c r="E1169" s="27"/>
      <c r="F1169" s="62" t="str">
        <f>+VLOOKUP(PROVEEDORES[[#This Row],[PROVEEDOR]],
                       Terceros!$A:$G,
                       6,
                       FALSE)</f>
        <v/>
      </c>
      <c r="G1169" s="95">
        <v>44567</v>
      </c>
      <c r="H1169" s="28" t="s">
        <v>1046</v>
      </c>
      <c r="I1169" s="95">
        <v>44567</v>
      </c>
      <c r="J1169" s="38"/>
      <c r="K1169" s="23">
        <v>1000000</v>
      </c>
      <c r="L1169" s="23"/>
      <c r="M1169" s="24">
        <v>0</v>
      </c>
      <c r="N1169" s="25"/>
      <c r="O1169" s="24">
        <v>349718</v>
      </c>
      <c r="P1169" s="136">
        <f>+IF(PROVEEDORES[[#This Row],[SUBTOTAL]]&lt;PROVEEDORES[[#This Row],[base retencion]],0,PROVEEDORES[[#This Row],[retención aplicada]])</f>
        <v>0</v>
      </c>
      <c r="Q1169" s="24">
        <f>+PROVEEDORES[[#This Row],[Rete Fuente %]]*PROVEEDORES[[#This Row],[SUBTOTAL]]</f>
        <v>0</v>
      </c>
      <c r="R1169" s="23">
        <v>-6701435</v>
      </c>
      <c r="S116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9" s="99">
        <f ca="1">IF(PROVEEDORES[[#This Row],[FECHA DE PAGO]]=0,TODAY()-PROVEEDORES[[#This Row],[FECHA DE FACTURACIÓN]]-PROVEEDORES[[#This Row],[PLAZO Días]],0)</f>
        <v>0</v>
      </c>
      <c r="U1169" s="149">
        <f>+VLOOKUP(PROVEEDORES[[#This Row],[PROVEEDOR]],Terceros!$A:$E,5,FALSE)</f>
        <v>0</v>
      </c>
      <c r="V1169" s="150">
        <f>+YEAR(PROVEEDORES[[#This Row],[FECHA DE FACTURACIÓN]])</f>
        <v>2022</v>
      </c>
      <c r="W1169" s="150">
        <f>+MATCH(PROVEEDORES[[#This Row],[año facturado]],Retenciones!$1:$1,0)</f>
        <v>5</v>
      </c>
      <c r="X1169" s="151">
        <f>+VLOOKUP(PROVEEDORES[[#This Row],[ID RETENCION]],Retenciones!$A$1:$O$24,PROVEEDORES[[#This Row],[indicador de columna]],FALSE)</f>
        <v>0</v>
      </c>
      <c r="Y1169" s="152">
        <f>+VLOOKUP(PROVEEDORES[[#This Row],[ID RETENCION]],Retenciones!$A$1:$O$24,2,FALSE)</f>
        <v>0</v>
      </c>
      <c r="Z1169" s="26"/>
      <c r="AA1169" s="26"/>
      <c r="AB1169" s="26"/>
      <c r="AC1169" s="26"/>
      <c r="AD1169" s="26"/>
      <c r="AE1169" s="26"/>
    </row>
    <row r="1170" spans="1:31" ht="21.95" customHeight="1" x14ac:dyDescent="0.25">
      <c r="A1170" s="97" t="str">
        <f>+IF(PROVEEDORES[[#This Row],[FECHA DE PAGO]]=PROVEEDORES[[#This Row],[FECHA DE FACTURACIÓN]],"DE CONTADO","CRÉDITO")</f>
        <v>CRÉDITO</v>
      </c>
      <c r="B1170" s="41" t="str">
        <f>+IF((PROVEEDORES[[#This Row],[FECHA DE PAGO]]-PROVEEDORES[[#This Row],[FECHA DE FACTURACIÓN]])&gt;PROVEEDORES[[#This Row],[PLAZO Días]],"PAGO VENCIDO")</f>
        <v>PAGO VENCIDO</v>
      </c>
      <c r="C1170" s="22">
        <f>+VLOOKUP(PROVEEDORES[[#This Row],[PROVEEDOR]],TERCEROS_INFO[#All],2,FALSE)</f>
        <v>30</v>
      </c>
      <c r="D1170" s="27">
        <f>+SUMIFS(PROVEEDORES[Total],PROVEEDORES[PROVEEDOR],PROVEEDORES[[#This Row],[PROVEEDOR]],PROVEEDORES[FECHA DE PAGO],"")</f>
        <v>1850000</v>
      </c>
      <c r="E1170" s="27"/>
      <c r="F1170" s="62" t="str">
        <f>+VLOOKUP(PROVEEDORES[[#This Row],[PROVEEDOR]],
                       Terceros!$A:$G,
                       6,
                       FALSE)</f>
        <v>globalpowerc2018@gmail.com;girlesa.ruiz@servipilas.com;joriescobar64@gmail.com</v>
      </c>
      <c r="G1170" s="95">
        <v>44600</v>
      </c>
      <c r="H1170" s="28" t="s">
        <v>1051</v>
      </c>
      <c r="I1170" s="95">
        <v>44567</v>
      </c>
      <c r="J1170" s="38" t="s">
        <v>958</v>
      </c>
      <c r="K1170" s="23">
        <v>1350000</v>
      </c>
      <c r="L1170" s="23"/>
      <c r="M1170" s="24">
        <v>0</v>
      </c>
      <c r="N1170" s="25"/>
      <c r="O1170" s="24">
        <v>0</v>
      </c>
      <c r="P1170" s="136">
        <f>+IF(PROVEEDORES[[#This Row],[SUBTOTAL]]&lt;PROVEEDORES[[#This Row],[base retencion]],0,PROVEEDORES[[#This Row],[retención aplicada]])</f>
        <v>0</v>
      </c>
      <c r="Q1170" s="24">
        <f>+PROVEEDORES[[#This Row],[Rete Fuente %]]*PROVEEDORES[[#This Row],[SUBTOTAL]]</f>
        <v>0</v>
      </c>
      <c r="R1170" s="23">
        <v>1350000</v>
      </c>
      <c r="S117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0" s="99">
        <f ca="1">IF(PROVEEDORES[[#This Row],[FECHA DE PAGO]]=0,TODAY()-PROVEEDORES[[#This Row],[FECHA DE FACTURACIÓN]]-PROVEEDORES[[#This Row],[PLAZO Días]],0)</f>
        <v>0</v>
      </c>
      <c r="U1170" s="149">
        <f>+VLOOKUP(PROVEEDORES[[#This Row],[PROVEEDOR]],Terceros!$A:$E,5,FALSE)</f>
        <v>0</v>
      </c>
      <c r="V1170" s="150">
        <f>+YEAR(PROVEEDORES[[#This Row],[FECHA DE FACTURACIÓN]])</f>
        <v>2022</v>
      </c>
      <c r="W1170" s="150">
        <f>+MATCH(PROVEEDORES[[#This Row],[año facturado]],Retenciones!$1:$1,0)</f>
        <v>5</v>
      </c>
      <c r="X1170" s="151">
        <f>+VLOOKUP(PROVEEDORES[[#This Row],[ID RETENCION]],Retenciones!$A$1:$O$24,PROVEEDORES[[#This Row],[indicador de columna]],FALSE)</f>
        <v>0</v>
      </c>
      <c r="Y1170" s="152">
        <f>+VLOOKUP(PROVEEDORES[[#This Row],[ID RETENCION]],Retenciones!$A$1:$O$24,2,FALSE)</f>
        <v>0</v>
      </c>
      <c r="Z1170" s="26"/>
      <c r="AA1170" s="26"/>
      <c r="AB1170" s="26"/>
      <c r="AC1170" s="26"/>
      <c r="AD1170" s="26"/>
      <c r="AE1170" s="26"/>
    </row>
    <row r="1171" spans="1:31" ht="21.95" customHeight="1" x14ac:dyDescent="0.25">
      <c r="A1171" s="97" t="str">
        <f>+IF(PROVEEDORES[[#This Row],[FECHA DE PAGO]]=PROVEEDORES[[#This Row],[FECHA DE FACTURACIÓN]],"DE CONTADO","CRÉDITO")</f>
        <v>CRÉDITO</v>
      </c>
      <c r="B1171" s="41" t="str">
        <f>+IF((PROVEEDORES[[#This Row],[FECHA DE PAGO]]-PROVEEDORES[[#This Row],[FECHA DE FACTURACIÓN]])&gt;PROVEEDORES[[#This Row],[PLAZO Días]],"PAGO VENCIDO")</f>
        <v>PAGO VENCIDO</v>
      </c>
      <c r="C1171" s="22">
        <f>+VLOOKUP(PROVEEDORES[[#This Row],[PROVEEDOR]],TERCEROS_INFO[#All],2,FALSE)</f>
        <v>30</v>
      </c>
      <c r="D1171" s="27">
        <f>+SUMIFS(PROVEEDORES[Total],PROVEEDORES[PROVEEDOR],PROVEEDORES[[#This Row],[PROVEEDOR]],PROVEEDORES[FECHA DE PAGO],"")</f>
        <v>6151200</v>
      </c>
      <c r="E1171" s="27"/>
      <c r="F1171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1171" s="95">
        <v>44602</v>
      </c>
      <c r="H1171" s="28" t="s">
        <v>11</v>
      </c>
      <c r="I1171" s="95">
        <v>44567</v>
      </c>
      <c r="J1171" s="38" t="s">
        <v>974</v>
      </c>
      <c r="K1171" s="23">
        <v>2776134</v>
      </c>
      <c r="L1171" s="23"/>
      <c r="M1171" s="24">
        <v>527465.46</v>
      </c>
      <c r="N1171" s="25"/>
      <c r="O1171" s="24">
        <v>0</v>
      </c>
      <c r="P1171" s="136">
        <f>+IF(PROVEEDORES[[#This Row],[SUBTOTAL]]&lt;PROVEEDORES[[#This Row],[base retencion]],0,PROVEEDORES[[#This Row],[retención aplicada]])</f>
        <v>2.5000000000000001E-2</v>
      </c>
      <c r="Q1171" s="24">
        <f>+PROVEEDORES[[#This Row],[Rete Fuente %]]*PROVEEDORES[[#This Row],[SUBTOTAL]]</f>
        <v>69403.350000000006</v>
      </c>
      <c r="R1171" s="23">
        <v>3234196.11</v>
      </c>
      <c r="S117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1" s="99">
        <f ca="1">IF(PROVEEDORES[[#This Row],[FECHA DE PAGO]]=0,TODAY()-PROVEEDORES[[#This Row],[FECHA DE FACTURACIÓN]]-PROVEEDORES[[#This Row],[PLAZO Días]],0)</f>
        <v>0</v>
      </c>
      <c r="U1171" s="149" t="str">
        <f>+VLOOKUP(PROVEEDORES[[#This Row],[PROVEEDOR]],Terceros!$A:$E,5,FALSE)</f>
        <v>2,5% con base</v>
      </c>
      <c r="V1171" s="150">
        <f>+YEAR(PROVEEDORES[[#This Row],[FECHA DE FACTURACIÓN]])</f>
        <v>2022</v>
      </c>
      <c r="W1171" s="150">
        <f>+MATCH(PROVEEDORES[[#This Row],[año facturado]],Retenciones!$1:$1,0)</f>
        <v>5</v>
      </c>
      <c r="X1171" s="151">
        <f>+VLOOKUP(PROVEEDORES[[#This Row],[ID RETENCION]],Retenciones!$A$1:$O$24,PROVEEDORES[[#This Row],[indicador de columna]],FALSE)</f>
        <v>1026000</v>
      </c>
      <c r="Y1171" s="152">
        <f>+VLOOKUP(PROVEEDORES[[#This Row],[ID RETENCION]],Retenciones!$A$1:$O$24,2,FALSE)</f>
        <v>2.5000000000000001E-2</v>
      </c>
      <c r="Z1171" s="26"/>
      <c r="AA1171" s="26"/>
      <c r="AB1171" s="26"/>
      <c r="AC1171" s="26"/>
      <c r="AD1171" s="26"/>
      <c r="AE1171" s="26"/>
    </row>
    <row r="1172" spans="1:31" ht="21.95" customHeight="1" x14ac:dyDescent="0.25">
      <c r="A1172" s="97" t="str">
        <f>+IF(PROVEEDORES[[#This Row],[FECHA DE PAGO]]=PROVEEDORES[[#This Row],[FECHA DE FACTURACIÓN]],"DE CONTADO","CRÉDITO")</f>
        <v>CRÉDITO</v>
      </c>
      <c r="B1172" s="41" t="str">
        <f>+IF((PROVEEDORES[[#This Row],[FECHA DE PAGO]]-PROVEEDORES[[#This Row],[FECHA DE FACTURACIÓN]])&gt;PROVEEDORES[[#This Row],[PLAZO Días]],"PAGO VENCIDO")</f>
        <v>PAGO VENCIDO</v>
      </c>
      <c r="C1172" s="22">
        <f>+VLOOKUP(PROVEEDORES[[#This Row],[PROVEEDOR]],TERCEROS_INFO[#All],2,FALSE)</f>
        <v>30</v>
      </c>
      <c r="D1172" s="27">
        <f>+SUMIFS(PROVEEDORES[Total],PROVEEDORES[PROVEEDOR],PROVEEDORES[[#This Row],[PROVEEDOR]],PROVEEDORES[FECHA DE PAGO],"")</f>
        <v>144400</v>
      </c>
      <c r="E1172" s="27"/>
      <c r="F1172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G1172" s="95">
        <v>44652</v>
      </c>
      <c r="H1172" s="28" t="s">
        <v>1071</v>
      </c>
      <c r="I1172" s="95">
        <v>44548</v>
      </c>
      <c r="J1172" s="38" t="s">
        <v>908</v>
      </c>
      <c r="K1172" s="23">
        <v>4056200</v>
      </c>
      <c r="L1172" s="23"/>
      <c r="M1172" s="24">
        <v>0</v>
      </c>
      <c r="N1172" s="25"/>
      <c r="O1172" s="24">
        <v>0</v>
      </c>
      <c r="P1172" s="136">
        <f>+IF(PROVEEDORES[[#This Row],[SUBTOTAL]]&lt;PROVEEDORES[[#This Row],[base retencion]],0,PROVEEDORES[[#This Row],[retención aplicada]])</f>
        <v>0</v>
      </c>
      <c r="Q1172" s="24">
        <f>+PROVEEDORES[[#This Row],[Rete Fuente %]]*PROVEEDORES[[#This Row],[SUBTOTAL]]</f>
        <v>0</v>
      </c>
      <c r="R1172" s="23">
        <v>4056200</v>
      </c>
      <c r="S117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2" s="99">
        <f ca="1">IF(PROVEEDORES[[#This Row],[FECHA DE PAGO]]=0,TODAY()-PROVEEDORES[[#This Row],[FECHA DE FACTURACIÓN]]-PROVEEDORES[[#This Row],[PLAZO Días]],0)</f>
        <v>0</v>
      </c>
      <c r="U1172" s="149">
        <f>+VLOOKUP(PROVEEDORES[[#This Row],[PROVEEDOR]],Terceros!$A:$E,5,FALSE)</f>
        <v>0</v>
      </c>
      <c r="V1172" s="150">
        <f>+YEAR(PROVEEDORES[[#This Row],[FECHA DE FACTURACIÓN]])</f>
        <v>2021</v>
      </c>
      <c r="W1172" s="150">
        <f>+MATCH(PROVEEDORES[[#This Row],[año facturado]],Retenciones!$1:$1,0)</f>
        <v>4</v>
      </c>
      <c r="X1172" s="151">
        <f>+VLOOKUP(PROVEEDORES[[#This Row],[ID RETENCION]],Retenciones!$A$1:$O$24,PROVEEDORES[[#This Row],[indicador de columna]],FALSE)</f>
        <v>0</v>
      </c>
      <c r="Y1172" s="152">
        <f>+VLOOKUP(PROVEEDORES[[#This Row],[ID RETENCION]],Retenciones!$A$1:$O$24,2,FALSE)</f>
        <v>0</v>
      </c>
      <c r="Z1172" s="26"/>
      <c r="AA1172" s="26"/>
      <c r="AB1172" s="26"/>
      <c r="AC1172" s="26"/>
      <c r="AD1172" s="26"/>
      <c r="AE1172" s="26"/>
    </row>
    <row r="1173" spans="1:31" ht="21.95" customHeight="1" x14ac:dyDescent="0.25">
      <c r="A1173" s="97" t="str">
        <f>+IF(PROVEEDORES[[#This Row],[FECHA DE PAGO]]=PROVEEDORES[[#This Row],[FECHA DE FACTURACIÓN]],"DE CONTADO","CRÉDITO")</f>
        <v>CRÉDITO</v>
      </c>
      <c r="B1173" s="41" t="b">
        <f>+IF((PROVEEDORES[[#This Row],[FECHA DE PAGO]]-PROVEEDORES[[#This Row],[FECHA DE FACTURACIÓN]])&gt;PROVEEDORES[[#This Row],[PLAZO Días]],"PAGO VENCIDO")</f>
        <v>0</v>
      </c>
      <c r="C1173" s="22">
        <f>+VLOOKUP(PROVEEDORES[[#This Row],[PROVEEDOR]],TERCEROS_INFO[#All],2,FALSE)</f>
        <v>90</v>
      </c>
      <c r="D1173" s="27">
        <f>+SUMIFS(PROVEEDORES[Total],PROVEEDORES[PROVEEDOR],PROVEEDORES[[#This Row],[PROVEEDOR]],PROVEEDORES[FECHA DE PAGO],"")</f>
        <v>0</v>
      </c>
      <c r="E1173" s="27"/>
      <c r="F1173" s="62" t="str">
        <f>+VLOOKUP(PROVEEDORES[[#This Row],[PROVEEDOR]],
                       Terceros!$A:$G,
                       6,
                       FALSE)</f>
        <v/>
      </c>
      <c r="G1173" s="95">
        <v>44656</v>
      </c>
      <c r="H1173" s="28" t="s">
        <v>1018</v>
      </c>
      <c r="I1173" s="95">
        <v>44572</v>
      </c>
      <c r="J1173" s="38" t="s">
        <v>968</v>
      </c>
      <c r="K1173" s="23">
        <v>425000</v>
      </c>
      <c r="L1173" s="23"/>
      <c r="M1173" s="24">
        <v>0</v>
      </c>
      <c r="N1173" s="25"/>
      <c r="O1173" s="24">
        <v>0</v>
      </c>
      <c r="P1173" s="136">
        <f>+IF(PROVEEDORES[[#This Row],[SUBTOTAL]]&lt;PROVEEDORES[[#This Row],[base retencion]],0,PROVEEDORES[[#This Row],[retención aplicada]])</f>
        <v>0</v>
      </c>
      <c r="Q1173" s="24">
        <f>+PROVEEDORES[[#This Row],[Rete Fuente %]]*PROVEEDORES[[#This Row],[SUBTOTAL]]</f>
        <v>0</v>
      </c>
      <c r="R1173" s="23">
        <v>425000</v>
      </c>
      <c r="S117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3" s="99">
        <f ca="1">IF(PROVEEDORES[[#This Row],[FECHA DE PAGO]]=0,TODAY()-PROVEEDORES[[#This Row],[FECHA DE FACTURACIÓN]]-PROVEEDORES[[#This Row],[PLAZO Días]],0)</f>
        <v>0</v>
      </c>
      <c r="U1173" s="149">
        <f>+VLOOKUP(PROVEEDORES[[#This Row],[PROVEEDOR]],Terceros!$A:$E,5,FALSE)</f>
        <v>0</v>
      </c>
      <c r="V1173" s="150">
        <f>+YEAR(PROVEEDORES[[#This Row],[FECHA DE FACTURACIÓN]])</f>
        <v>2022</v>
      </c>
      <c r="W1173" s="150">
        <f>+MATCH(PROVEEDORES[[#This Row],[año facturado]],Retenciones!$1:$1,0)</f>
        <v>5</v>
      </c>
      <c r="X1173" s="151">
        <f>+VLOOKUP(PROVEEDORES[[#This Row],[ID RETENCION]],Retenciones!$A$1:$O$24,PROVEEDORES[[#This Row],[indicador de columna]],FALSE)</f>
        <v>0</v>
      </c>
      <c r="Y1173" s="152">
        <f>+VLOOKUP(PROVEEDORES[[#This Row],[ID RETENCION]],Retenciones!$A$1:$O$24,2,FALSE)</f>
        <v>0</v>
      </c>
      <c r="Z1173" s="26"/>
      <c r="AA1173" s="26"/>
      <c r="AB1173" s="26"/>
      <c r="AC1173" s="26"/>
      <c r="AD1173" s="26"/>
      <c r="AE1173" s="26"/>
    </row>
    <row r="1174" spans="1:31" ht="21.95" customHeight="1" x14ac:dyDescent="0.25">
      <c r="A1174" s="97" t="str">
        <f>+IF(PROVEEDORES[[#This Row],[FECHA DE PAGO]]=PROVEEDORES[[#This Row],[FECHA DE FACTURACIÓN]],"DE CONTADO","CRÉDITO")</f>
        <v>CRÉDITO</v>
      </c>
      <c r="B1174" s="41" t="str">
        <f>+IF((PROVEEDORES[[#This Row],[FECHA DE PAGO]]-PROVEEDORES[[#This Row],[FECHA DE FACTURACIÓN]])&gt;PROVEEDORES[[#This Row],[PLAZO Días]],"PAGO VENCIDO")</f>
        <v>PAGO VENCIDO</v>
      </c>
      <c r="C1174" s="22">
        <f>+VLOOKUP(PROVEEDORES[[#This Row],[PROVEEDOR]],TERCEROS_INFO[#All],2,FALSE)</f>
        <v>30</v>
      </c>
      <c r="D1174" s="27">
        <f>+SUMIFS(PROVEEDORES[Total],PROVEEDORES[PROVEEDOR],PROVEEDORES[[#This Row],[PROVEEDOR]],PROVEEDORES[FECHA DE PAGO],"")</f>
        <v>0</v>
      </c>
      <c r="E1174" s="27"/>
      <c r="F1174" s="62" t="str">
        <f>+VLOOKUP(PROVEEDORES[[#This Row],[PROVEEDOR]],
                       Terceros!$A:$G,
                       6,
                       FALSE)</f>
        <v>jarlysas@gmail.com;o.clockinternational@gmail.com;girlesa.ruiz@servipilas.com;joriescobar64@gmail.com</v>
      </c>
      <c r="G1174" s="95">
        <v>44657</v>
      </c>
      <c r="H1174" s="28" t="s">
        <v>1042</v>
      </c>
      <c r="I1174" s="95">
        <v>44573</v>
      </c>
      <c r="J1174" s="38" t="s">
        <v>966</v>
      </c>
      <c r="K1174" s="23">
        <v>854000</v>
      </c>
      <c r="L1174" s="23"/>
      <c r="M1174" s="24">
        <v>0</v>
      </c>
      <c r="N1174" s="25"/>
      <c r="O1174" s="24">
        <v>0</v>
      </c>
      <c r="P1174" s="136">
        <f>+IF(PROVEEDORES[[#This Row],[SUBTOTAL]]&lt;PROVEEDORES[[#This Row],[base retencion]],0,PROVEEDORES[[#This Row],[retención aplicada]])</f>
        <v>0</v>
      </c>
      <c r="Q1174" s="24">
        <f>+PROVEEDORES[[#This Row],[Rete Fuente %]]*PROVEEDORES[[#This Row],[SUBTOTAL]]</f>
        <v>0</v>
      </c>
      <c r="R1174" s="23">
        <v>854000</v>
      </c>
      <c r="S117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4" s="99">
        <f ca="1">IF(PROVEEDORES[[#This Row],[FECHA DE PAGO]]=0,TODAY()-PROVEEDORES[[#This Row],[FECHA DE FACTURACIÓN]]-PROVEEDORES[[#This Row],[PLAZO Días]],0)</f>
        <v>0</v>
      </c>
      <c r="U1174" s="149">
        <f>+VLOOKUP(PROVEEDORES[[#This Row],[PROVEEDOR]],Terceros!$A:$E,5,FALSE)</f>
        <v>0</v>
      </c>
      <c r="V1174" s="150">
        <f>+YEAR(PROVEEDORES[[#This Row],[FECHA DE FACTURACIÓN]])</f>
        <v>2022</v>
      </c>
      <c r="W1174" s="150">
        <f>+MATCH(PROVEEDORES[[#This Row],[año facturado]],Retenciones!$1:$1,0)</f>
        <v>5</v>
      </c>
      <c r="X1174" s="151">
        <f>+VLOOKUP(PROVEEDORES[[#This Row],[ID RETENCION]],Retenciones!$A$1:$O$24,PROVEEDORES[[#This Row],[indicador de columna]],FALSE)</f>
        <v>0</v>
      </c>
      <c r="Y1174" s="152">
        <f>+VLOOKUP(PROVEEDORES[[#This Row],[ID RETENCION]],Retenciones!$A$1:$O$24,2,FALSE)</f>
        <v>0</v>
      </c>
      <c r="Z1174" s="26"/>
      <c r="AA1174" s="26"/>
      <c r="AB1174" s="26"/>
      <c r="AC1174" s="26"/>
      <c r="AD1174" s="26"/>
      <c r="AE1174" s="26"/>
    </row>
    <row r="1175" spans="1:31" ht="21.95" customHeight="1" x14ac:dyDescent="0.25">
      <c r="A1175" s="97" t="str">
        <f>+IF(PROVEEDORES[[#This Row],[FECHA DE PAGO]]=PROVEEDORES[[#This Row],[FECHA DE FACTURACIÓN]],"DE CONTADO","CRÉDITO")</f>
        <v>CRÉDITO</v>
      </c>
      <c r="B1175" s="41" t="str">
        <f>+IF((PROVEEDORES[[#This Row],[FECHA DE PAGO]]-PROVEEDORES[[#This Row],[FECHA DE FACTURACIÓN]])&gt;PROVEEDORES[[#This Row],[PLAZO Días]],"PAGO VENCIDO")</f>
        <v>PAGO VENCIDO</v>
      </c>
      <c r="C1175" s="22">
        <f>+VLOOKUP(PROVEEDORES[[#This Row],[PROVEEDOR]],TERCEROS_INFO[#All],2,FALSE)</f>
        <v>30</v>
      </c>
      <c r="D1175" s="27">
        <f>+SUMIFS(PROVEEDORES[Total],PROVEEDORES[PROVEEDOR],PROVEEDORES[[#This Row],[PROVEEDOR]],PROVEEDORES[FECHA DE PAGO],"")</f>
        <v>1039000</v>
      </c>
      <c r="E1175" s="27"/>
      <c r="F1175" s="62" t="str">
        <f>+VLOOKUP(PROVEEDORES[[#This Row],[PROVEEDOR]],
                       Terceros!$A:$G,
                       6,
                       FALSE)</f>
        <v>variedades.sfg@gmail.com;girlesa.ruiz@servipilas.com;joriescobar64@gmail.com</v>
      </c>
      <c r="G1175" s="95">
        <v>44652</v>
      </c>
      <c r="H1175" s="28" t="s">
        <v>982</v>
      </c>
      <c r="I1175" s="95">
        <v>44573</v>
      </c>
      <c r="J1175" s="38" t="s">
        <v>971</v>
      </c>
      <c r="K1175" s="23">
        <v>1120000</v>
      </c>
      <c r="L1175" s="23"/>
      <c r="M1175" s="24">
        <v>0</v>
      </c>
      <c r="N1175" s="25"/>
      <c r="O1175" s="24">
        <v>0</v>
      </c>
      <c r="P1175" s="136">
        <f>+IF(PROVEEDORES[[#This Row],[SUBTOTAL]]&lt;PROVEEDORES[[#This Row],[base retencion]],0,PROVEEDORES[[#This Row],[retención aplicada]])</f>
        <v>0</v>
      </c>
      <c r="Q1175" s="24">
        <f>+PROVEEDORES[[#This Row],[Rete Fuente %]]*PROVEEDORES[[#This Row],[SUBTOTAL]]</f>
        <v>0</v>
      </c>
      <c r="R1175" s="23">
        <v>1120000</v>
      </c>
      <c r="S117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5" s="99">
        <f ca="1">IF(PROVEEDORES[[#This Row],[FECHA DE PAGO]]=0,TODAY()-PROVEEDORES[[#This Row],[FECHA DE FACTURACIÓN]]-PROVEEDORES[[#This Row],[PLAZO Días]],0)</f>
        <v>0</v>
      </c>
      <c r="U1175" s="149">
        <f>+VLOOKUP(PROVEEDORES[[#This Row],[PROVEEDOR]],Terceros!$A:$E,5,FALSE)</f>
        <v>0</v>
      </c>
      <c r="V1175" s="150">
        <f>+YEAR(PROVEEDORES[[#This Row],[FECHA DE FACTURACIÓN]])</f>
        <v>2022</v>
      </c>
      <c r="W1175" s="150">
        <f>+MATCH(PROVEEDORES[[#This Row],[año facturado]],Retenciones!$1:$1,0)</f>
        <v>5</v>
      </c>
      <c r="X1175" s="151">
        <f>+VLOOKUP(PROVEEDORES[[#This Row],[ID RETENCION]],Retenciones!$A$1:$O$24,PROVEEDORES[[#This Row],[indicador de columna]],FALSE)</f>
        <v>0</v>
      </c>
      <c r="Y1175" s="152">
        <f>+VLOOKUP(PROVEEDORES[[#This Row],[ID RETENCION]],Retenciones!$A$1:$O$24,2,FALSE)</f>
        <v>0</v>
      </c>
      <c r="Z1175" s="26"/>
      <c r="AA1175" s="26"/>
      <c r="AB1175" s="26"/>
      <c r="AC1175" s="26"/>
      <c r="AD1175" s="26"/>
      <c r="AE1175" s="26"/>
    </row>
    <row r="1176" spans="1:31" ht="21.95" customHeight="1" x14ac:dyDescent="0.25">
      <c r="A1176" s="97" t="str">
        <f>+IF(PROVEEDORES[[#This Row],[FECHA DE PAGO]]=PROVEEDORES[[#This Row],[FECHA DE FACTURACIÓN]],"DE CONTADO","CRÉDITO")</f>
        <v>CRÉDITO</v>
      </c>
      <c r="B1176" s="41" t="str">
        <f>+IF((PROVEEDORES[[#This Row],[FECHA DE PAGO]]-PROVEEDORES[[#This Row],[FECHA DE FACTURACIÓN]])&gt;PROVEEDORES[[#This Row],[PLAZO Días]],"PAGO VENCIDO")</f>
        <v>PAGO VENCIDO</v>
      </c>
      <c r="C1176" s="22">
        <f>+VLOOKUP(PROVEEDORES[[#This Row],[PROVEEDOR]],TERCEROS_INFO[#All],2,FALSE)</f>
        <v>30</v>
      </c>
      <c r="D1176" s="27">
        <f>+SUMIFS(PROVEEDORES[Total],PROVEEDORES[PROVEEDOR],PROVEEDORES[[#This Row],[PROVEEDOR]],PROVEEDORES[FECHA DE PAGO],"")</f>
        <v>0</v>
      </c>
      <c r="E1176" s="27"/>
      <c r="F1176" s="62" t="str">
        <f>+VLOOKUP(PROVEEDORES[[#This Row],[PROVEEDOR]],
                       Terceros!$A:$G,
                       6,
                       FALSE)</f>
        <v>jarlysas@gmail.com;o.clockinternational@gmail.com;girlesa.ruiz@servipilas.com;joriescobar64@gmail.com</v>
      </c>
      <c r="G1176" s="95">
        <v>44657</v>
      </c>
      <c r="H1176" s="28" t="s">
        <v>1042</v>
      </c>
      <c r="I1176" s="95">
        <v>44573</v>
      </c>
      <c r="J1176" s="38" t="s">
        <v>965</v>
      </c>
      <c r="K1176" s="23">
        <v>2011600</v>
      </c>
      <c r="L1176" s="23"/>
      <c r="M1176" s="24">
        <v>0</v>
      </c>
      <c r="N1176" s="25"/>
      <c r="O1176" s="24">
        <v>0</v>
      </c>
      <c r="P1176" s="136">
        <f>+IF(PROVEEDORES[[#This Row],[SUBTOTAL]]&lt;PROVEEDORES[[#This Row],[base retencion]],0,PROVEEDORES[[#This Row],[retención aplicada]])</f>
        <v>0</v>
      </c>
      <c r="Q1176" s="24">
        <f>+PROVEEDORES[[#This Row],[Rete Fuente %]]*PROVEEDORES[[#This Row],[SUBTOTAL]]</f>
        <v>0</v>
      </c>
      <c r="R1176" s="23">
        <v>2011600</v>
      </c>
      <c r="S117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6" s="99">
        <f ca="1">IF(PROVEEDORES[[#This Row],[FECHA DE PAGO]]=0,TODAY()-PROVEEDORES[[#This Row],[FECHA DE FACTURACIÓN]]-PROVEEDORES[[#This Row],[PLAZO Días]],0)</f>
        <v>0</v>
      </c>
      <c r="U1176" s="149">
        <f>+VLOOKUP(PROVEEDORES[[#This Row],[PROVEEDOR]],Terceros!$A:$E,5,FALSE)</f>
        <v>0</v>
      </c>
      <c r="V1176" s="150">
        <f>+YEAR(PROVEEDORES[[#This Row],[FECHA DE FACTURACIÓN]])</f>
        <v>2022</v>
      </c>
      <c r="W1176" s="150">
        <f>+MATCH(PROVEEDORES[[#This Row],[año facturado]],Retenciones!$1:$1,0)</f>
        <v>5</v>
      </c>
      <c r="X1176" s="151">
        <f>+VLOOKUP(PROVEEDORES[[#This Row],[ID RETENCION]],Retenciones!$A$1:$O$24,PROVEEDORES[[#This Row],[indicador de columna]],FALSE)</f>
        <v>0</v>
      </c>
      <c r="Y1176" s="152">
        <f>+VLOOKUP(PROVEEDORES[[#This Row],[ID RETENCION]],Retenciones!$A$1:$O$24,2,FALSE)</f>
        <v>0</v>
      </c>
      <c r="Z1176" s="26"/>
      <c r="AA1176" s="26"/>
      <c r="AB1176" s="26"/>
      <c r="AC1176" s="26"/>
      <c r="AD1176" s="26"/>
      <c r="AE1176" s="26"/>
    </row>
    <row r="1177" spans="1:31" ht="21.95" customHeight="1" x14ac:dyDescent="0.25">
      <c r="A1177" s="97" t="str">
        <f>+IF(PROVEEDORES[[#This Row],[FECHA DE PAGO]]=PROVEEDORES[[#This Row],[FECHA DE FACTURACIÓN]],"DE CONTADO","CRÉDITO")</f>
        <v>CRÉDITO</v>
      </c>
      <c r="B1177" s="41" t="b">
        <f>+IF((PROVEEDORES[[#This Row],[FECHA DE PAGO]]-PROVEEDORES[[#This Row],[FECHA DE FACTURACIÓN]])&gt;PROVEEDORES[[#This Row],[PLAZO Días]],"PAGO VENCIDO")</f>
        <v>0</v>
      </c>
      <c r="C1177" s="22">
        <f>+VLOOKUP(PROVEEDORES[[#This Row],[PROVEEDOR]],TERCEROS_INFO[#All],2,FALSE)</f>
        <v>20</v>
      </c>
      <c r="D1177" s="27">
        <f>+SUMIFS(PROVEEDORES[Total],PROVEEDORES[PROVEEDOR],PROVEEDORES[[#This Row],[PROVEEDOR]],PROVEEDORES[FECHA DE PAGO],"")</f>
        <v>0</v>
      </c>
      <c r="E1177" s="27"/>
      <c r="F1177" s="62" t="str">
        <f>+VLOOKUP(PROVEEDORES[[#This Row],[PROVEEDOR]],
                       Terceros!$A:$G,
                       6,
                       FALSE)</f>
        <v>pse</v>
      </c>
      <c r="G1177" s="95">
        <v>44603</v>
      </c>
      <c r="H1177" s="28" t="s">
        <v>371</v>
      </c>
      <c r="I1177" s="95">
        <v>44593</v>
      </c>
      <c r="J1177" s="38"/>
      <c r="K1177" s="23">
        <v>945022</v>
      </c>
      <c r="L1177" s="23"/>
      <c r="M1177" s="24">
        <v>0</v>
      </c>
      <c r="N1177" s="25"/>
      <c r="O1177" s="24">
        <v>0</v>
      </c>
      <c r="P1177" s="136">
        <f>+IF(PROVEEDORES[[#This Row],[SUBTOTAL]]&lt;PROVEEDORES[[#This Row],[base retencion]],0,PROVEEDORES[[#This Row],[retención aplicada]])</f>
        <v>0</v>
      </c>
      <c r="Q1177" s="24">
        <f>+PROVEEDORES[[#This Row],[Rete Fuente %]]*PROVEEDORES[[#This Row],[SUBTOTAL]]</f>
        <v>0</v>
      </c>
      <c r="R1177" s="23">
        <v>945022</v>
      </c>
      <c r="S117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7" s="99">
        <f ca="1">IF(PROVEEDORES[[#This Row],[FECHA DE PAGO]]=0,TODAY()-PROVEEDORES[[#This Row],[FECHA DE FACTURACIÓN]]-PROVEEDORES[[#This Row],[PLAZO Días]],0)</f>
        <v>0</v>
      </c>
      <c r="U1177" s="149">
        <f>+VLOOKUP(PROVEEDORES[[#This Row],[PROVEEDOR]],Terceros!$A:$E,5,FALSE)</f>
        <v>0</v>
      </c>
      <c r="V1177" s="150">
        <f>+YEAR(PROVEEDORES[[#This Row],[FECHA DE FACTURACIÓN]])</f>
        <v>2022</v>
      </c>
      <c r="W1177" s="150">
        <f>+MATCH(PROVEEDORES[[#This Row],[año facturado]],Retenciones!$1:$1,0)</f>
        <v>5</v>
      </c>
      <c r="X1177" s="151">
        <f>+VLOOKUP(PROVEEDORES[[#This Row],[ID RETENCION]],Retenciones!$A$1:$O$24,PROVEEDORES[[#This Row],[indicador de columna]],FALSE)</f>
        <v>0</v>
      </c>
      <c r="Y1177" s="152">
        <f>+VLOOKUP(PROVEEDORES[[#This Row],[ID RETENCION]],Retenciones!$A$1:$O$24,2,FALSE)</f>
        <v>0</v>
      </c>
      <c r="Z1177" s="26"/>
      <c r="AA1177" s="26"/>
      <c r="AB1177" s="26"/>
      <c r="AC1177" s="26"/>
      <c r="AD1177" s="26"/>
      <c r="AE1177" s="26"/>
    </row>
    <row r="1178" spans="1:31" ht="21.95" customHeight="1" x14ac:dyDescent="0.25">
      <c r="A1178" s="97" t="str">
        <f>+IF(PROVEEDORES[[#This Row],[FECHA DE PAGO]]=PROVEEDORES[[#This Row],[FECHA DE FACTURACIÓN]],"DE CONTADO","CRÉDITO")</f>
        <v>CRÉDITO</v>
      </c>
      <c r="B1178" s="41" t="str">
        <f>+IF((PROVEEDORES[[#This Row],[FECHA DE PAGO]]-PROVEEDORES[[#This Row],[FECHA DE FACTURACIÓN]])&gt;PROVEEDORES[[#This Row],[PLAZO Días]],"PAGO VENCIDO")</f>
        <v>PAGO VENCIDO</v>
      </c>
      <c r="C1178" s="22">
        <f>+VLOOKUP(PROVEEDORES[[#This Row],[PROVEEDOR]],TERCEROS_INFO[#All],2,FALSE)</f>
        <v>30</v>
      </c>
      <c r="D1178" s="27">
        <f>+SUMIFS(PROVEEDORES[Total],PROVEEDORES[PROVEEDOR],PROVEEDORES[[#This Row],[PROVEEDOR]],PROVEEDORES[FECHA DE PAGO],"")</f>
        <v>1741040.075</v>
      </c>
      <c r="E1178" s="27"/>
      <c r="F1178" s="62" t="str">
        <f>+VLOOKUP(PROVEEDORES[[#This Row],[PROVEEDOR]],
                       Terceros!$A:$G,
                       6,
                       FALSE)</f>
        <v>sfonnegra@nanicastation.com.co;facturas@nanicastation.com.co;girlesa.ruiz@servipilas.com;joriescobar64@gmail.com</v>
      </c>
      <c r="G1178" s="95">
        <v>44617</v>
      </c>
      <c r="H1178" s="28" t="s">
        <v>567</v>
      </c>
      <c r="I1178" s="95">
        <v>44574</v>
      </c>
      <c r="J1178" s="38" t="s">
        <v>975</v>
      </c>
      <c r="K1178" s="23">
        <v>1420170</v>
      </c>
      <c r="L1178" s="23"/>
      <c r="M1178" s="24">
        <v>269832.3</v>
      </c>
      <c r="N1178" s="25"/>
      <c r="O1178" s="24">
        <v>0</v>
      </c>
      <c r="P1178" s="136">
        <f>+IF(PROVEEDORES[[#This Row],[SUBTOTAL]]&lt;PROVEEDORES[[#This Row],[base retencion]],0,PROVEEDORES[[#This Row],[retención aplicada]])</f>
        <v>2.5000000000000001E-2</v>
      </c>
      <c r="Q1178" s="24">
        <f>+PROVEEDORES[[#This Row],[Rete Fuente %]]*PROVEEDORES[[#This Row],[SUBTOTAL]]</f>
        <v>35504.25</v>
      </c>
      <c r="R1178" s="23">
        <v>1654498.05</v>
      </c>
      <c r="S117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8" s="99">
        <f ca="1">IF(PROVEEDORES[[#This Row],[FECHA DE PAGO]]=0,TODAY()-PROVEEDORES[[#This Row],[FECHA DE FACTURACIÓN]]-PROVEEDORES[[#This Row],[PLAZO Días]],0)</f>
        <v>0</v>
      </c>
      <c r="U1178" s="149" t="str">
        <f>+VLOOKUP(PROVEEDORES[[#This Row],[PROVEEDOR]],Terceros!$A:$E,5,FALSE)</f>
        <v>2,5% con base</v>
      </c>
      <c r="V1178" s="150">
        <f>+YEAR(PROVEEDORES[[#This Row],[FECHA DE FACTURACIÓN]])</f>
        <v>2022</v>
      </c>
      <c r="W1178" s="150">
        <f>+MATCH(PROVEEDORES[[#This Row],[año facturado]],Retenciones!$1:$1,0)</f>
        <v>5</v>
      </c>
      <c r="X1178" s="151">
        <f>+VLOOKUP(PROVEEDORES[[#This Row],[ID RETENCION]],Retenciones!$A$1:$O$24,PROVEEDORES[[#This Row],[indicador de columna]],FALSE)</f>
        <v>1026000</v>
      </c>
      <c r="Y1178" s="152">
        <f>+VLOOKUP(PROVEEDORES[[#This Row],[ID RETENCION]],Retenciones!$A$1:$O$24,2,FALSE)</f>
        <v>2.5000000000000001E-2</v>
      </c>
      <c r="Z1178" s="26"/>
      <c r="AA1178" s="26"/>
      <c r="AB1178" s="26"/>
      <c r="AC1178" s="26"/>
      <c r="AD1178" s="26"/>
      <c r="AE1178" s="26"/>
    </row>
    <row r="1179" spans="1:31" ht="21.95" customHeight="1" x14ac:dyDescent="0.25">
      <c r="A1179" s="97" t="str">
        <f>+IF(PROVEEDORES[[#This Row],[FECHA DE PAGO]]=PROVEEDORES[[#This Row],[FECHA DE FACTURACIÓN]],"DE CONTADO","CRÉDITO")</f>
        <v>CRÉDITO</v>
      </c>
      <c r="B1179" s="41" t="b">
        <f>+IF((PROVEEDORES[[#This Row],[FECHA DE PAGO]]-PROVEEDORES[[#This Row],[FECHA DE FACTURACIÓN]])&gt;PROVEEDORES[[#This Row],[PLAZO Días]],"PAGO VENCIDO")</f>
        <v>0</v>
      </c>
      <c r="C1179" s="22">
        <f>+VLOOKUP(PROVEEDORES[[#This Row],[PROVEEDOR]],TERCEROS_INFO[#All],2,FALSE)</f>
        <v>10</v>
      </c>
      <c r="D1179" s="27">
        <f>+SUMIFS(PROVEEDORES[Total],PROVEEDORES[PROVEEDOR],PROVEEDORES[[#This Row],[PROVEEDOR]],PROVEEDORES[FECHA DE PAGO],"")</f>
        <v>0</v>
      </c>
      <c r="E1179" s="27"/>
      <c r="F1179" s="62" t="str">
        <f>+VLOOKUP(PROVEEDORES[[#This Row],[PROVEEDOR]],
                       Terceros!$A:$G,
                       6,
                       FALSE)</f>
        <v>howardlondono@impocarga.com;oswaldo.alvarez@logimexsas.com;girlesa.ruiz@servipilas.com;joriescobar64@gmail.com</v>
      </c>
      <c r="G1179" s="95">
        <v>44575</v>
      </c>
      <c r="H1179" s="28" t="s">
        <v>954</v>
      </c>
      <c r="I1179" s="95">
        <v>44574</v>
      </c>
      <c r="J1179" s="38" t="s">
        <v>956</v>
      </c>
      <c r="K1179" s="23">
        <v>3291827</v>
      </c>
      <c r="L1179" s="23"/>
      <c r="M1179" s="24">
        <v>625447.13</v>
      </c>
      <c r="N1179" s="25"/>
      <c r="O1179" s="24">
        <v>0</v>
      </c>
      <c r="P1179" s="136">
        <f>+IF(PROVEEDORES[[#This Row],[SUBTOTAL]]&lt;PROVEEDORES[[#This Row],[base retencion]],0,PROVEEDORES[[#This Row],[retención aplicada]])</f>
        <v>0.04</v>
      </c>
      <c r="Q1179" s="24">
        <f>+PROVEEDORES[[#This Row],[Rete Fuente %]]*PROVEEDORES[[#This Row],[SUBTOTAL]]</f>
        <v>131673.08000000002</v>
      </c>
      <c r="R1179" s="23">
        <v>3917274.13</v>
      </c>
      <c r="S117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9" s="99">
        <f ca="1">IF(PROVEEDORES[[#This Row],[FECHA DE PAGO]]=0,TODAY()-PROVEEDORES[[#This Row],[FECHA DE FACTURACIÓN]]-PROVEEDORES[[#This Row],[PLAZO Días]],0)</f>
        <v>0</v>
      </c>
      <c r="U1179" s="149" t="str">
        <f>+VLOOKUP(PROVEEDORES[[#This Row],[PROVEEDOR]],Terceros!$A:$E,5,FALSE)</f>
        <v>4% sin base</v>
      </c>
      <c r="V1179" s="150">
        <f>+YEAR(PROVEEDORES[[#This Row],[FECHA DE FACTURACIÓN]])</f>
        <v>2022</v>
      </c>
      <c r="W1179" s="150">
        <f>+MATCH(PROVEEDORES[[#This Row],[año facturado]],Retenciones!$1:$1,0)</f>
        <v>5</v>
      </c>
      <c r="X1179" s="151">
        <f>+VLOOKUP(PROVEEDORES[[#This Row],[ID RETENCION]],Retenciones!$A$1:$O$24,PROVEEDORES[[#This Row],[indicador de columna]],FALSE)</f>
        <v>0</v>
      </c>
      <c r="Y1179" s="152">
        <f>+VLOOKUP(PROVEEDORES[[#This Row],[ID RETENCION]],Retenciones!$A$1:$O$24,2,FALSE)</f>
        <v>0.04</v>
      </c>
      <c r="Z1179" s="26"/>
      <c r="AA1179" s="26"/>
      <c r="AB1179" s="26"/>
      <c r="AC1179" s="26"/>
      <c r="AD1179" s="26"/>
      <c r="AE1179" s="26"/>
    </row>
    <row r="1180" spans="1:31" ht="21.95" customHeight="1" x14ac:dyDescent="0.25">
      <c r="A1180" s="97" t="str">
        <f>+IF(PROVEEDORES[[#This Row],[FECHA DE PAGO]]=PROVEEDORES[[#This Row],[FECHA DE FACTURACIÓN]],"DE CONTADO","CRÉDITO")</f>
        <v>CRÉDITO</v>
      </c>
      <c r="B1180" s="41" t="str">
        <f>+IF((PROVEEDORES[[#This Row],[FECHA DE PAGO]]-PROVEEDORES[[#This Row],[FECHA DE FACTURACIÓN]])&gt;PROVEEDORES[[#This Row],[PLAZO Días]],"PAGO VENCIDO")</f>
        <v>PAGO VENCIDO</v>
      </c>
      <c r="C1180" s="22">
        <f>+VLOOKUP(PROVEEDORES[[#This Row],[PROVEEDOR]],TERCEROS_INFO[#All],2,FALSE)</f>
        <v>30</v>
      </c>
      <c r="D1180" s="27">
        <f>+SUMIFS(PROVEEDORES[Total],PROVEEDORES[PROVEEDOR],PROVEEDORES[[#This Row],[PROVEEDOR]],PROVEEDORES[FECHA DE PAGO],"")</f>
        <v>0</v>
      </c>
      <c r="E1180" s="27"/>
      <c r="F1180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1180" s="95">
        <v>44648</v>
      </c>
      <c r="H1180" s="28" t="s">
        <v>571</v>
      </c>
      <c r="I1180" s="95">
        <v>44574</v>
      </c>
      <c r="J1180" s="38">
        <v>635</v>
      </c>
      <c r="K1180" s="23">
        <v>3807563.02</v>
      </c>
      <c r="L1180" s="23"/>
      <c r="M1180" s="24">
        <v>723436.97380000004</v>
      </c>
      <c r="N1180" s="25"/>
      <c r="O1180" s="24">
        <v>0</v>
      </c>
      <c r="P1180" s="136">
        <f>+IF(PROVEEDORES[[#This Row],[SUBTOTAL]]&lt;PROVEEDORES[[#This Row],[base retencion]],0,PROVEEDORES[[#This Row],[retención aplicada]])</f>
        <v>2.5000000000000001E-2</v>
      </c>
      <c r="Q1180" s="24">
        <f>+PROVEEDORES[[#This Row],[Rete Fuente %]]*PROVEEDORES[[#This Row],[SUBTOTAL]]</f>
        <v>95189.075500000006</v>
      </c>
      <c r="R1180" s="23">
        <v>4435810.9183</v>
      </c>
      <c r="S118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0" s="99">
        <f ca="1">IF(PROVEEDORES[[#This Row],[FECHA DE PAGO]]=0,TODAY()-PROVEEDORES[[#This Row],[FECHA DE FACTURACIÓN]]-PROVEEDORES[[#This Row],[PLAZO Días]],0)</f>
        <v>0</v>
      </c>
      <c r="U1180" s="149" t="str">
        <f>+VLOOKUP(PROVEEDORES[[#This Row],[PROVEEDOR]],Terceros!$A:$E,5,FALSE)</f>
        <v>2,5% con base</v>
      </c>
      <c r="V1180" s="150">
        <f>+YEAR(PROVEEDORES[[#This Row],[FECHA DE FACTURACIÓN]])</f>
        <v>2022</v>
      </c>
      <c r="W1180" s="150">
        <f>+MATCH(PROVEEDORES[[#This Row],[año facturado]],Retenciones!$1:$1,0)</f>
        <v>5</v>
      </c>
      <c r="X1180" s="151">
        <f>+VLOOKUP(PROVEEDORES[[#This Row],[ID RETENCION]],Retenciones!$A$1:$O$24,PROVEEDORES[[#This Row],[indicador de columna]],FALSE)</f>
        <v>1026000</v>
      </c>
      <c r="Y1180" s="152">
        <f>+VLOOKUP(PROVEEDORES[[#This Row],[ID RETENCION]],Retenciones!$A$1:$O$24,2,FALSE)</f>
        <v>2.5000000000000001E-2</v>
      </c>
      <c r="Z1180" s="26"/>
      <c r="AA1180" s="26"/>
      <c r="AB1180" s="26"/>
      <c r="AC1180" s="26"/>
      <c r="AD1180" s="26"/>
      <c r="AE1180" s="26"/>
    </row>
    <row r="1181" spans="1:31" ht="21.95" customHeight="1" x14ac:dyDescent="0.25">
      <c r="A1181" s="97" t="str">
        <f>+IF(PROVEEDORES[[#This Row],[FECHA DE PAGO]]=PROVEEDORES[[#This Row],[FECHA DE FACTURACIÓN]],"DE CONTADO","CRÉDITO")</f>
        <v>CRÉDITO</v>
      </c>
      <c r="B1181" s="41" t="b">
        <f>+IF((PROVEEDORES[[#This Row],[FECHA DE PAGO]]-PROVEEDORES[[#This Row],[FECHA DE FACTURACIÓN]])&gt;PROVEEDORES[[#This Row],[PLAZO Días]],"PAGO VENCIDO")</f>
        <v>0</v>
      </c>
      <c r="C1181" s="22">
        <f>+VLOOKUP(PROVEEDORES[[#This Row],[PROVEEDOR]],TERCEROS_INFO[#All],2,FALSE)</f>
        <v>30</v>
      </c>
      <c r="D1181" s="27">
        <f>+SUMIFS(PROVEEDORES[Total],PROVEEDORES[PROVEEDOR],PROVEEDORES[[#This Row],[PROVEEDOR]],PROVEEDORES[FECHA DE PAGO],"")</f>
        <v>4965738.5050000008</v>
      </c>
      <c r="E1181" s="27"/>
      <c r="F1181" s="62" t="str">
        <f>+VLOOKUP(PROVEEDORES[[#This Row],[PROVEEDOR]],
                       Terceros!$A:$G,
                       6,
                       FALSE)</f>
        <v>aleja-1305agudelo@hotmail.com;provecol@une.net.co;girlesa.ruiz@servipilas.com;joriescobar64@gmail.com</v>
      </c>
      <c r="G1181" s="95">
        <v>44600</v>
      </c>
      <c r="H1181" s="28" t="s">
        <v>457</v>
      </c>
      <c r="I1181" s="95">
        <v>44574</v>
      </c>
      <c r="J1181" s="38">
        <v>162642</v>
      </c>
      <c r="K1181" s="23">
        <v>4279357</v>
      </c>
      <c r="L1181" s="23">
        <v>107523</v>
      </c>
      <c r="M1181" s="24">
        <v>813077.83</v>
      </c>
      <c r="N1181" s="25"/>
      <c r="O1181" s="24">
        <v>0</v>
      </c>
      <c r="P1181" s="136">
        <f>+IF(PROVEEDORES[[#This Row],[SUBTOTAL]]&lt;PROVEEDORES[[#This Row],[base retencion]],0,PROVEEDORES[[#This Row],[retención aplicada]])</f>
        <v>0</v>
      </c>
      <c r="Q1181" s="24">
        <f>+PROVEEDORES[[#This Row],[Rete Fuente %]]*PROVEEDORES[[#This Row],[SUBTOTAL]]</f>
        <v>0</v>
      </c>
      <c r="R1181" s="23">
        <v>4984911.83</v>
      </c>
      <c r="S118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1" s="99">
        <f ca="1">IF(PROVEEDORES[[#This Row],[FECHA DE PAGO]]=0,TODAY()-PROVEEDORES[[#This Row],[FECHA DE FACTURACIÓN]]-PROVEEDORES[[#This Row],[PLAZO Días]],0)</f>
        <v>0</v>
      </c>
      <c r="U1181" s="149">
        <f>+VLOOKUP(PROVEEDORES[[#This Row],[PROVEEDOR]],Terceros!$A:$E,5,FALSE)</f>
        <v>0</v>
      </c>
      <c r="V1181" s="150">
        <f>+YEAR(PROVEEDORES[[#This Row],[FECHA DE FACTURACIÓN]])</f>
        <v>2022</v>
      </c>
      <c r="W1181" s="150">
        <f>+MATCH(PROVEEDORES[[#This Row],[año facturado]],Retenciones!$1:$1,0)</f>
        <v>5</v>
      </c>
      <c r="X1181" s="151">
        <f>+VLOOKUP(PROVEEDORES[[#This Row],[ID RETENCION]],Retenciones!$A$1:$O$24,PROVEEDORES[[#This Row],[indicador de columna]],FALSE)</f>
        <v>0</v>
      </c>
      <c r="Y1181" s="152">
        <f>+VLOOKUP(PROVEEDORES[[#This Row],[ID RETENCION]],Retenciones!$A$1:$O$24,2,FALSE)</f>
        <v>0</v>
      </c>
      <c r="Z1181" s="26"/>
      <c r="AA1181" s="26"/>
      <c r="AB1181" s="26"/>
      <c r="AC1181" s="26"/>
      <c r="AD1181" s="26"/>
      <c r="AE1181" s="26"/>
    </row>
    <row r="1182" spans="1:31" ht="21.95" customHeight="1" x14ac:dyDescent="0.25">
      <c r="A1182" s="97" t="str">
        <f>+IF(PROVEEDORES[[#This Row],[FECHA DE PAGO]]=PROVEEDORES[[#This Row],[FECHA DE FACTURACIÓN]],"DE CONTADO","CRÉDITO")</f>
        <v>CRÉDITO</v>
      </c>
      <c r="B1182" s="41" t="str">
        <f>+IF((PROVEEDORES[[#This Row],[FECHA DE PAGO]]-PROVEEDORES[[#This Row],[FECHA DE FACTURACIÓN]])&gt;PROVEEDORES[[#This Row],[PLAZO Días]],"PAGO VENCIDO")</f>
        <v>PAGO VENCIDO</v>
      </c>
      <c r="C1182" s="22">
        <f>+VLOOKUP(PROVEEDORES[[#This Row],[PROVEEDOR]],TERCEROS_INFO[#All],2,FALSE)</f>
        <v>30</v>
      </c>
      <c r="D1182" s="27">
        <f>+SUMIFS(PROVEEDORES[Total],PROVEEDORES[PROVEEDOR],PROVEEDORES[[#This Row],[PROVEEDOR]],PROVEEDORES[FECHA DE PAGO],"")</f>
        <v>3844432.4999000002</v>
      </c>
      <c r="E1182" s="27"/>
      <c r="F1182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1182" s="95">
        <v>44617</v>
      </c>
      <c r="H1182" s="28" t="s">
        <v>18</v>
      </c>
      <c r="I1182" s="95">
        <v>44574</v>
      </c>
      <c r="J1182" s="38">
        <v>1048362</v>
      </c>
      <c r="K1182" s="23">
        <v>7141767.0800000001</v>
      </c>
      <c r="L1182" s="23"/>
      <c r="M1182" s="24">
        <v>1356935.7452</v>
      </c>
      <c r="N1182" s="25"/>
      <c r="O1182" s="24">
        <v>0</v>
      </c>
      <c r="P1182" s="136">
        <f>+IF(PROVEEDORES[[#This Row],[SUBTOTAL]]&lt;PROVEEDORES[[#This Row],[base retencion]],0,PROVEEDORES[[#This Row],[retención aplicada]])</f>
        <v>2.5000000000000001E-2</v>
      </c>
      <c r="Q1182" s="24">
        <f>+PROVEEDORES[[#This Row],[Rete Fuente %]]*PROVEEDORES[[#This Row],[SUBTOTAL]]</f>
        <v>178544.17700000003</v>
      </c>
      <c r="R1182" s="23">
        <v>8320158.6482000006</v>
      </c>
      <c r="S118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2" s="99">
        <f ca="1">IF(PROVEEDORES[[#This Row],[FECHA DE PAGO]]=0,TODAY()-PROVEEDORES[[#This Row],[FECHA DE FACTURACIÓN]]-PROVEEDORES[[#This Row],[PLAZO Días]],0)</f>
        <v>0</v>
      </c>
      <c r="U1182" s="149" t="str">
        <f>+VLOOKUP(PROVEEDORES[[#This Row],[PROVEEDOR]],Terceros!$A:$E,5,FALSE)</f>
        <v>2,5% con base</v>
      </c>
      <c r="V1182" s="150">
        <f>+YEAR(PROVEEDORES[[#This Row],[FECHA DE FACTURACIÓN]])</f>
        <v>2022</v>
      </c>
      <c r="W1182" s="150">
        <f>+MATCH(PROVEEDORES[[#This Row],[año facturado]],Retenciones!$1:$1,0)</f>
        <v>5</v>
      </c>
      <c r="X1182" s="151">
        <f>+VLOOKUP(PROVEEDORES[[#This Row],[ID RETENCION]],Retenciones!$A$1:$O$24,PROVEEDORES[[#This Row],[indicador de columna]],FALSE)</f>
        <v>1026000</v>
      </c>
      <c r="Y1182" s="152">
        <f>+VLOOKUP(PROVEEDORES[[#This Row],[ID RETENCION]],Retenciones!$A$1:$O$24,2,FALSE)</f>
        <v>2.5000000000000001E-2</v>
      </c>
      <c r="Z1182" s="26"/>
      <c r="AA1182" s="26"/>
      <c r="AB1182" s="26"/>
      <c r="AC1182" s="26"/>
      <c r="AD1182" s="26"/>
      <c r="AE1182" s="26"/>
    </row>
    <row r="1183" spans="1:31" ht="21.95" customHeight="1" x14ac:dyDescent="0.25">
      <c r="A1183" s="97" t="str">
        <f>+IF(PROVEEDORES[[#This Row],[FECHA DE PAGO]]=PROVEEDORES[[#This Row],[FECHA DE FACTURACIÓN]],"DE CONTADO","CRÉDITO")</f>
        <v>DE CONTADO</v>
      </c>
      <c r="B1183" s="41" t="b">
        <f>+IF((PROVEEDORES[[#This Row],[FECHA DE PAGO]]-PROVEEDORES[[#This Row],[FECHA DE FACTURACIÓN]])&gt;PROVEEDORES[[#This Row],[PLAZO Días]],"PAGO VENCIDO")</f>
        <v>0</v>
      </c>
      <c r="C1183" s="22">
        <f>+VLOOKUP(PROVEEDORES[[#This Row],[PROVEEDOR]],TERCEROS_INFO[#All],2,FALSE)</f>
        <v>30</v>
      </c>
      <c r="D1183" s="27">
        <f>+SUMIFS(PROVEEDORES[Total],PROVEEDORES[PROVEEDOR],PROVEEDORES[[#This Row],[PROVEEDOR]],PROVEEDORES[FECHA DE PAGO],"")</f>
        <v>0</v>
      </c>
      <c r="E1183" s="27"/>
      <c r="F1183" s="62" t="str">
        <f>+VLOOKUP(PROVEEDORES[[#This Row],[PROVEEDOR]],
                       Terceros!$A:$G,
                       6,
                       FALSE)</f>
        <v/>
      </c>
      <c r="G1183" s="95">
        <v>44575</v>
      </c>
      <c r="H1183" s="28" t="s">
        <v>1046</v>
      </c>
      <c r="I1183" s="95">
        <v>44575</v>
      </c>
      <c r="J1183" s="38"/>
      <c r="K1183" s="23">
        <v>1000000</v>
      </c>
      <c r="L1183" s="23"/>
      <c r="M1183" s="24">
        <v>0</v>
      </c>
      <c r="N1183" s="25"/>
      <c r="O1183" s="24">
        <v>0</v>
      </c>
      <c r="P1183" s="136">
        <f>+IF(PROVEEDORES[[#This Row],[SUBTOTAL]]&lt;PROVEEDORES[[#This Row],[base retencion]],0,PROVEEDORES[[#This Row],[retención aplicada]])</f>
        <v>0</v>
      </c>
      <c r="Q1183" s="24">
        <f>+PROVEEDORES[[#This Row],[Rete Fuente %]]*PROVEEDORES[[#This Row],[SUBTOTAL]]</f>
        <v>0</v>
      </c>
      <c r="R1183" s="23">
        <v>1000000</v>
      </c>
      <c r="S118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3" s="99">
        <f ca="1">IF(PROVEEDORES[[#This Row],[FECHA DE PAGO]]=0,TODAY()-PROVEEDORES[[#This Row],[FECHA DE FACTURACIÓN]]-PROVEEDORES[[#This Row],[PLAZO Días]],0)</f>
        <v>0</v>
      </c>
      <c r="U1183" s="149">
        <f>+VLOOKUP(PROVEEDORES[[#This Row],[PROVEEDOR]],Terceros!$A:$E,5,FALSE)</f>
        <v>0</v>
      </c>
      <c r="V1183" s="150">
        <f>+YEAR(PROVEEDORES[[#This Row],[FECHA DE FACTURACIÓN]])</f>
        <v>2022</v>
      </c>
      <c r="W1183" s="150">
        <f>+MATCH(PROVEEDORES[[#This Row],[año facturado]],Retenciones!$1:$1,0)</f>
        <v>5</v>
      </c>
      <c r="X1183" s="151">
        <f>+VLOOKUP(PROVEEDORES[[#This Row],[ID RETENCION]],Retenciones!$A$1:$O$24,PROVEEDORES[[#This Row],[indicador de columna]],FALSE)</f>
        <v>0</v>
      </c>
      <c r="Y1183" s="152">
        <f>+VLOOKUP(PROVEEDORES[[#This Row],[ID RETENCION]],Retenciones!$A$1:$O$24,2,FALSE)</f>
        <v>0</v>
      </c>
      <c r="Z1183" s="26"/>
      <c r="AA1183" s="26"/>
      <c r="AB1183" s="26"/>
      <c r="AC1183" s="26"/>
      <c r="AD1183" s="26"/>
      <c r="AE1183" s="26"/>
    </row>
    <row r="1184" spans="1:31" ht="21.95" customHeight="1" x14ac:dyDescent="0.25">
      <c r="A1184" s="97" t="str">
        <f>+IF(PROVEEDORES[[#This Row],[FECHA DE PAGO]]=PROVEEDORES[[#This Row],[FECHA DE FACTURACIÓN]],"DE CONTADO","CRÉDITO")</f>
        <v>CRÉDITO</v>
      </c>
      <c r="B1184" s="41" t="b">
        <f>+IF((PROVEEDORES[[#This Row],[FECHA DE PAGO]]-PROVEEDORES[[#This Row],[FECHA DE FACTURACIÓN]])&gt;PROVEEDORES[[#This Row],[PLAZO Días]],"PAGO VENCIDO")</f>
        <v>0</v>
      </c>
      <c r="C1184" s="22">
        <f>+VLOOKUP(PROVEEDORES[[#This Row],[PROVEEDOR]],TERCEROS_INFO[#All],2,FALSE)</f>
        <v>30</v>
      </c>
      <c r="D1184" s="27">
        <f>+SUMIFS(PROVEEDORES[Total],PROVEEDORES[PROVEEDOR],PROVEEDORES[[#This Row],[PROVEEDOR]],PROVEEDORES[FECHA DE PAGO],"")</f>
        <v>3750700</v>
      </c>
      <c r="E1184" s="27"/>
      <c r="F1184" s="62" t="str">
        <f>+VLOOKUP(PROVEEDORES[[#This Row],[PROVEEDOR]],
                       Terceros!$A:$G,
                       6,
                       FALSE)</f>
        <v/>
      </c>
      <c r="G1184" s="95">
        <v>44606</v>
      </c>
      <c r="H1184" s="28" t="s">
        <v>990</v>
      </c>
      <c r="I1184" s="95">
        <v>44576</v>
      </c>
      <c r="J1184" s="38" t="s">
        <v>969</v>
      </c>
      <c r="K1184" s="23">
        <v>560000</v>
      </c>
      <c r="L1184" s="23"/>
      <c r="M1184" s="24">
        <v>0</v>
      </c>
      <c r="N1184" s="25"/>
      <c r="O1184" s="24">
        <v>0</v>
      </c>
      <c r="P1184" s="136">
        <f>+IF(PROVEEDORES[[#This Row],[SUBTOTAL]]&lt;PROVEEDORES[[#This Row],[base retencion]],0,PROVEEDORES[[#This Row],[retención aplicada]])</f>
        <v>0</v>
      </c>
      <c r="Q1184" s="24">
        <f>+PROVEEDORES[[#This Row],[Rete Fuente %]]*PROVEEDORES[[#This Row],[SUBTOTAL]]</f>
        <v>0</v>
      </c>
      <c r="R1184" s="23">
        <v>560000</v>
      </c>
      <c r="S118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4" s="99">
        <f ca="1">IF(PROVEEDORES[[#This Row],[FECHA DE PAGO]]=0,TODAY()-PROVEEDORES[[#This Row],[FECHA DE FACTURACIÓN]]-PROVEEDORES[[#This Row],[PLAZO Días]],0)</f>
        <v>0</v>
      </c>
      <c r="U1184" s="149">
        <f>+VLOOKUP(PROVEEDORES[[#This Row],[PROVEEDOR]],Terceros!$A:$E,5,FALSE)</f>
        <v>0</v>
      </c>
      <c r="V1184" s="150">
        <f>+YEAR(PROVEEDORES[[#This Row],[FECHA DE FACTURACIÓN]])</f>
        <v>2022</v>
      </c>
      <c r="W1184" s="150">
        <f>+MATCH(PROVEEDORES[[#This Row],[año facturado]],Retenciones!$1:$1,0)</f>
        <v>5</v>
      </c>
      <c r="X1184" s="151">
        <f>+VLOOKUP(PROVEEDORES[[#This Row],[ID RETENCION]],Retenciones!$A$1:$O$24,PROVEEDORES[[#This Row],[indicador de columna]],FALSE)</f>
        <v>0</v>
      </c>
      <c r="Y1184" s="152">
        <f>+VLOOKUP(PROVEEDORES[[#This Row],[ID RETENCION]],Retenciones!$A$1:$O$24,2,FALSE)</f>
        <v>0</v>
      </c>
      <c r="Z1184" s="26"/>
      <c r="AA1184" s="26"/>
      <c r="AB1184" s="26"/>
      <c r="AC1184" s="26"/>
      <c r="AD1184" s="26"/>
      <c r="AE1184" s="26"/>
    </row>
    <row r="1185" spans="1:31" ht="21.95" customHeight="1" x14ac:dyDescent="0.25">
      <c r="A1185" s="97" t="str">
        <f>+IF(PROVEEDORES[[#This Row],[FECHA DE PAGO]]=PROVEEDORES[[#This Row],[FECHA DE FACTURACIÓN]],"DE CONTADO","CRÉDITO")</f>
        <v>CRÉDITO</v>
      </c>
      <c r="B1185" s="41" t="b">
        <f>+IF((PROVEEDORES[[#This Row],[FECHA DE PAGO]]-PROVEEDORES[[#This Row],[FECHA DE FACTURACIÓN]])&gt;PROVEEDORES[[#This Row],[PLAZO Días]],"PAGO VENCIDO")</f>
        <v>0</v>
      </c>
      <c r="C1185" s="22">
        <f>+VLOOKUP(PROVEEDORES[[#This Row],[PROVEEDOR]],TERCEROS_INFO[#All],2,FALSE)</f>
        <v>30</v>
      </c>
      <c r="D1185" s="27">
        <f>+SUMIFS(PROVEEDORES[Total],PROVEEDORES[PROVEEDOR],PROVEEDORES[[#This Row],[PROVEEDOR]],PROVEEDORES[FECHA DE PAGO],"")</f>
        <v>3750700</v>
      </c>
      <c r="E1185" s="27"/>
      <c r="F1185" s="62" t="str">
        <f>+VLOOKUP(PROVEEDORES[[#This Row],[PROVEEDOR]],
                       Terceros!$A:$G,
                       6,
                       FALSE)</f>
        <v/>
      </c>
      <c r="G1185" s="95">
        <v>44606</v>
      </c>
      <c r="H1185" s="28" t="s">
        <v>990</v>
      </c>
      <c r="I1185" s="95">
        <v>44576</v>
      </c>
      <c r="J1185" s="38" t="s">
        <v>970</v>
      </c>
      <c r="K1185" s="23">
        <v>1306000</v>
      </c>
      <c r="L1185" s="23"/>
      <c r="M1185" s="24">
        <v>0</v>
      </c>
      <c r="N1185" s="25"/>
      <c r="O1185" s="24">
        <v>0</v>
      </c>
      <c r="P1185" s="136">
        <f>+IF(PROVEEDORES[[#This Row],[SUBTOTAL]]&lt;PROVEEDORES[[#This Row],[base retencion]],0,PROVEEDORES[[#This Row],[retención aplicada]])</f>
        <v>0</v>
      </c>
      <c r="Q1185" s="24">
        <f>+PROVEEDORES[[#This Row],[Rete Fuente %]]*PROVEEDORES[[#This Row],[SUBTOTAL]]</f>
        <v>0</v>
      </c>
      <c r="R1185" s="23">
        <v>1306000</v>
      </c>
      <c r="S118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5" s="99">
        <f ca="1">IF(PROVEEDORES[[#This Row],[FECHA DE PAGO]]=0,TODAY()-PROVEEDORES[[#This Row],[FECHA DE FACTURACIÓN]]-PROVEEDORES[[#This Row],[PLAZO Días]],0)</f>
        <v>0</v>
      </c>
      <c r="U1185" s="149">
        <f>+VLOOKUP(PROVEEDORES[[#This Row],[PROVEEDOR]],Terceros!$A:$E,5,FALSE)</f>
        <v>0</v>
      </c>
      <c r="V1185" s="150">
        <f>+YEAR(PROVEEDORES[[#This Row],[FECHA DE FACTURACIÓN]])</f>
        <v>2022</v>
      </c>
      <c r="W1185" s="150">
        <f>+MATCH(PROVEEDORES[[#This Row],[año facturado]],Retenciones!$1:$1,0)</f>
        <v>5</v>
      </c>
      <c r="X1185" s="151">
        <f>+VLOOKUP(PROVEEDORES[[#This Row],[ID RETENCION]],Retenciones!$A$1:$O$24,PROVEEDORES[[#This Row],[indicador de columna]],FALSE)</f>
        <v>0</v>
      </c>
      <c r="Y1185" s="152">
        <f>+VLOOKUP(PROVEEDORES[[#This Row],[ID RETENCION]],Retenciones!$A$1:$O$24,2,FALSE)</f>
        <v>0</v>
      </c>
      <c r="Z1185" s="26"/>
      <c r="AA1185" s="26"/>
      <c r="AB1185" s="26"/>
      <c r="AC1185" s="26"/>
      <c r="AD1185" s="26"/>
      <c r="AE1185" s="26"/>
    </row>
    <row r="1186" spans="1:31" ht="21.95" customHeight="1" x14ac:dyDescent="0.25">
      <c r="A1186" s="97" t="str">
        <f>+IF(PROVEEDORES[[#This Row],[FECHA DE PAGO]]=PROVEEDORES[[#This Row],[FECHA DE FACTURACIÓN]],"DE CONTADO","CRÉDITO")</f>
        <v>CRÉDITO</v>
      </c>
      <c r="B1186" s="41" t="b">
        <f>+IF((PROVEEDORES[[#This Row],[FECHA DE PAGO]]-PROVEEDORES[[#This Row],[FECHA DE FACTURACIÓN]])&gt;PROVEEDORES[[#This Row],[PLAZO Días]],"PAGO VENCIDO")</f>
        <v>0</v>
      </c>
      <c r="C1186" s="22">
        <f>+VLOOKUP(PROVEEDORES[[#This Row],[PROVEEDOR]],TERCEROS_INFO[#All],2,FALSE)</f>
        <v>30</v>
      </c>
      <c r="D1186" s="27">
        <f>+SUMIFS(PROVEEDORES[Total],PROVEEDORES[PROVEEDOR],PROVEEDORES[[#This Row],[PROVEEDOR]],PROVEEDORES[FECHA DE PAGO],"")</f>
        <v>0</v>
      </c>
      <c r="E1186" s="27"/>
      <c r="F1186" s="62" t="str">
        <f>+VLOOKUP(PROVEEDORES[[#This Row],[PROVEEDOR]],
                       Terceros!$A:$G,
                       6,
                       FALSE)</f>
        <v/>
      </c>
      <c r="G1186" s="95">
        <v>44581</v>
      </c>
      <c r="H1186" s="28" t="s">
        <v>1001</v>
      </c>
      <c r="I1186" s="95">
        <v>44576</v>
      </c>
      <c r="J1186" s="38" t="s">
        <v>1002</v>
      </c>
      <c r="K1186" s="23">
        <v>2056000</v>
      </c>
      <c r="L1186" s="23"/>
      <c r="M1186" s="24">
        <v>0</v>
      </c>
      <c r="N1186" s="25"/>
      <c r="O1186" s="24">
        <v>0</v>
      </c>
      <c r="P1186" s="136">
        <f>+IF(PROVEEDORES[[#This Row],[SUBTOTAL]]&lt;PROVEEDORES[[#This Row],[base retencion]],0,PROVEEDORES[[#This Row],[retención aplicada]])</f>
        <v>0</v>
      </c>
      <c r="Q1186" s="24">
        <f>+PROVEEDORES[[#This Row],[Rete Fuente %]]*PROVEEDORES[[#This Row],[SUBTOTAL]]</f>
        <v>0</v>
      </c>
      <c r="R1186" s="23">
        <v>2056000</v>
      </c>
      <c r="S118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6" s="99">
        <f ca="1">IF(PROVEEDORES[[#This Row],[FECHA DE PAGO]]=0,TODAY()-PROVEEDORES[[#This Row],[FECHA DE FACTURACIÓN]]-PROVEEDORES[[#This Row],[PLAZO Días]],0)</f>
        <v>0</v>
      </c>
      <c r="U1186" s="149">
        <f>+VLOOKUP(PROVEEDORES[[#This Row],[PROVEEDOR]],Terceros!$A:$E,5,FALSE)</f>
        <v>0</v>
      </c>
      <c r="V1186" s="150">
        <f>+YEAR(PROVEEDORES[[#This Row],[FECHA DE FACTURACIÓN]])</f>
        <v>2022</v>
      </c>
      <c r="W1186" s="150">
        <f>+MATCH(PROVEEDORES[[#This Row],[año facturado]],Retenciones!$1:$1,0)</f>
        <v>5</v>
      </c>
      <c r="X1186" s="151">
        <f>+VLOOKUP(PROVEEDORES[[#This Row],[ID RETENCION]],Retenciones!$A$1:$O$24,PROVEEDORES[[#This Row],[indicador de columna]],FALSE)</f>
        <v>0</v>
      </c>
      <c r="Y1186" s="152">
        <f>+VLOOKUP(PROVEEDORES[[#This Row],[ID RETENCION]],Retenciones!$A$1:$O$24,2,FALSE)</f>
        <v>0</v>
      </c>
      <c r="Z1186" s="26"/>
      <c r="AA1186" s="26"/>
      <c r="AB1186" s="26"/>
      <c r="AC1186" s="26"/>
      <c r="AD1186" s="26"/>
      <c r="AE1186" s="26"/>
    </row>
    <row r="1187" spans="1:31" ht="21.95" customHeight="1" x14ac:dyDescent="0.25">
      <c r="A1187" s="97" t="str">
        <f>+IF(PROVEEDORES[[#This Row],[FECHA DE PAGO]]=PROVEEDORES[[#This Row],[FECHA DE FACTURACIÓN]],"DE CONTADO","CRÉDITO")</f>
        <v>CRÉDITO</v>
      </c>
      <c r="B1187" s="41" t="b">
        <f>+IF((PROVEEDORES[[#This Row],[FECHA DE PAGO]]-PROVEEDORES[[#This Row],[FECHA DE FACTURACIÓN]])&gt;PROVEEDORES[[#This Row],[PLAZO Días]],"PAGO VENCIDO")</f>
        <v>0</v>
      </c>
      <c r="C1187" s="22">
        <f>+VLOOKUP(PROVEEDORES[[#This Row],[PROVEEDOR]],TERCEROS_INFO[#All],2,FALSE)</f>
        <v>30</v>
      </c>
      <c r="D1187" s="27">
        <f>+SUMIFS(PROVEEDORES[Total],PROVEEDORES[PROVEEDOR],PROVEEDORES[[#This Row],[PROVEEDOR]],PROVEEDORES[FECHA DE PAGO],"")</f>
        <v>0</v>
      </c>
      <c r="E1187" s="27"/>
      <c r="F1187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1187" s="95">
        <v>44579</v>
      </c>
      <c r="H1187" s="28" t="s">
        <v>963</v>
      </c>
      <c r="I1187" s="95">
        <v>44578</v>
      </c>
      <c r="J1187" s="38" t="s">
        <v>964</v>
      </c>
      <c r="K1187" s="23">
        <v>1776000</v>
      </c>
      <c r="L1187" s="23"/>
      <c r="M1187" s="24">
        <v>0</v>
      </c>
      <c r="N1187" s="25"/>
      <c r="O1187" s="24">
        <v>0</v>
      </c>
      <c r="P1187" s="136">
        <f>+IF(PROVEEDORES[[#This Row],[SUBTOTAL]]&lt;PROVEEDORES[[#This Row],[base retencion]],0,PROVEEDORES[[#This Row],[retención aplicada]])</f>
        <v>0</v>
      </c>
      <c r="Q1187" s="24">
        <f>+PROVEEDORES[[#This Row],[Rete Fuente %]]*PROVEEDORES[[#This Row],[SUBTOTAL]]</f>
        <v>0</v>
      </c>
      <c r="R1187" s="23">
        <v>1776000</v>
      </c>
      <c r="S118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7" s="99">
        <f ca="1">IF(PROVEEDORES[[#This Row],[FECHA DE PAGO]]=0,TODAY()-PROVEEDORES[[#This Row],[FECHA DE FACTURACIÓN]]-PROVEEDORES[[#This Row],[PLAZO Días]],0)</f>
        <v>0</v>
      </c>
      <c r="U1187" s="149">
        <f>+VLOOKUP(PROVEEDORES[[#This Row],[PROVEEDOR]],Terceros!$A:$E,5,FALSE)</f>
        <v>0</v>
      </c>
      <c r="V1187" s="150">
        <f>+YEAR(PROVEEDORES[[#This Row],[FECHA DE FACTURACIÓN]])</f>
        <v>2022</v>
      </c>
      <c r="W1187" s="150">
        <f>+MATCH(PROVEEDORES[[#This Row],[año facturado]],Retenciones!$1:$1,0)</f>
        <v>5</v>
      </c>
      <c r="X1187" s="151">
        <f>+VLOOKUP(PROVEEDORES[[#This Row],[ID RETENCION]],Retenciones!$A$1:$O$24,PROVEEDORES[[#This Row],[indicador de columna]],FALSE)</f>
        <v>0</v>
      </c>
      <c r="Y1187" s="152">
        <f>+VLOOKUP(PROVEEDORES[[#This Row],[ID RETENCION]],Retenciones!$A$1:$O$24,2,FALSE)</f>
        <v>0</v>
      </c>
      <c r="Z1187" s="26"/>
      <c r="AA1187" s="26"/>
      <c r="AB1187" s="26"/>
      <c r="AC1187" s="26"/>
      <c r="AD1187" s="26"/>
      <c r="AE1187" s="26"/>
    </row>
    <row r="1188" spans="1:31" ht="21.95" customHeight="1" x14ac:dyDescent="0.25">
      <c r="A1188" s="97" t="str">
        <f>+IF(PROVEEDORES[[#This Row],[FECHA DE PAGO]]=PROVEEDORES[[#This Row],[FECHA DE FACTURACIÓN]],"DE CONTADO","CRÉDITO")</f>
        <v>CRÉDITO</v>
      </c>
      <c r="B1188" s="41" t="b">
        <f>+IF((PROVEEDORES[[#This Row],[FECHA DE PAGO]]-PROVEEDORES[[#This Row],[FECHA DE FACTURACIÓN]])&gt;PROVEEDORES[[#This Row],[PLAZO Días]],"PAGO VENCIDO")</f>
        <v>0</v>
      </c>
      <c r="C1188" s="22">
        <f>+VLOOKUP(PROVEEDORES[[#This Row],[PROVEEDOR]],TERCEROS_INFO[#All],2,FALSE)</f>
        <v>30</v>
      </c>
      <c r="D1188" s="27">
        <f>+SUMIFS(PROVEEDORES[Total],PROVEEDORES[PROVEEDOR],PROVEEDORES[[#This Row],[PROVEEDOR]],PROVEEDORES[FECHA DE PAGO],"")</f>
        <v>0</v>
      </c>
      <c r="E1188" s="27"/>
      <c r="F1188" s="62" t="str">
        <f>+VLOOKUP(PROVEEDORES[[#This Row],[PROVEEDOR]],
                       Terceros!$A:$G,
                       6,
                       FALSE)</f>
        <v/>
      </c>
      <c r="G1188" s="95">
        <v>44579</v>
      </c>
      <c r="H1188" s="28" t="s">
        <v>117</v>
      </c>
      <c r="I1188" s="95">
        <v>44578</v>
      </c>
      <c r="J1188" s="38" t="s">
        <v>962</v>
      </c>
      <c r="K1188" s="23">
        <v>6935000</v>
      </c>
      <c r="L1188" s="23"/>
      <c r="M1188" s="24">
        <v>0</v>
      </c>
      <c r="N1188" s="25"/>
      <c r="O1188" s="24">
        <v>0</v>
      </c>
      <c r="P1188" s="136">
        <f>+IF(PROVEEDORES[[#This Row],[SUBTOTAL]]&lt;PROVEEDORES[[#This Row],[base retencion]],0,PROVEEDORES[[#This Row],[retención aplicada]])</f>
        <v>0</v>
      </c>
      <c r="Q1188" s="24">
        <f>+PROVEEDORES[[#This Row],[Rete Fuente %]]*PROVEEDORES[[#This Row],[SUBTOTAL]]</f>
        <v>0</v>
      </c>
      <c r="R1188" s="23">
        <v>6935000</v>
      </c>
      <c r="S118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8" s="99">
        <f ca="1">IF(PROVEEDORES[[#This Row],[FECHA DE PAGO]]=0,TODAY()-PROVEEDORES[[#This Row],[FECHA DE FACTURACIÓN]]-PROVEEDORES[[#This Row],[PLAZO Días]],0)</f>
        <v>0</v>
      </c>
      <c r="U1188" s="149">
        <f>+VLOOKUP(PROVEEDORES[[#This Row],[PROVEEDOR]],Terceros!$A:$E,5,FALSE)</f>
        <v>0</v>
      </c>
      <c r="V1188" s="150">
        <f>+YEAR(PROVEEDORES[[#This Row],[FECHA DE FACTURACIÓN]])</f>
        <v>2022</v>
      </c>
      <c r="W1188" s="150">
        <f>+MATCH(PROVEEDORES[[#This Row],[año facturado]],Retenciones!$1:$1,0)</f>
        <v>5</v>
      </c>
      <c r="X1188" s="151">
        <f>+VLOOKUP(PROVEEDORES[[#This Row],[ID RETENCION]],Retenciones!$A$1:$O$24,PROVEEDORES[[#This Row],[indicador de columna]],FALSE)</f>
        <v>0</v>
      </c>
      <c r="Y1188" s="152">
        <f>+VLOOKUP(PROVEEDORES[[#This Row],[ID RETENCION]],Retenciones!$A$1:$O$24,2,FALSE)</f>
        <v>0</v>
      </c>
      <c r="Z1188" s="26"/>
      <c r="AA1188" s="26"/>
      <c r="AB1188" s="26"/>
      <c r="AC1188" s="26"/>
      <c r="AD1188" s="26"/>
      <c r="AE1188" s="26"/>
    </row>
    <row r="1189" spans="1:31" ht="21.95" customHeight="1" x14ac:dyDescent="0.25">
      <c r="A1189" s="97" t="str">
        <f>+IF(PROVEEDORES[[#This Row],[FECHA DE PAGO]]=PROVEEDORES[[#This Row],[FECHA DE FACTURACIÓN]],"DE CONTADO","CRÉDITO")</f>
        <v>CRÉDITO</v>
      </c>
      <c r="B1189" s="41" t="str">
        <f>+IF((PROVEEDORES[[#This Row],[FECHA DE PAGO]]-PROVEEDORES[[#This Row],[FECHA DE FACTURACIÓN]])&gt;PROVEEDORES[[#This Row],[PLAZO Días]],"PAGO VENCIDO")</f>
        <v>PAGO VENCIDO</v>
      </c>
      <c r="C1189" s="22">
        <f>+VLOOKUP(PROVEEDORES[[#This Row],[PROVEEDOR]],TERCEROS_INFO[#All],2,FALSE)</f>
        <v>30</v>
      </c>
      <c r="D1189" s="27">
        <f>+SUMIFS(PROVEEDORES[Total],PROVEEDORES[PROVEEDOR],PROVEEDORES[[#This Row],[PROVEEDOR]],PROVEEDORES[FECHA DE PAGO],"")</f>
        <v>2588352.5</v>
      </c>
      <c r="E1189" s="27"/>
      <c r="F1189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1189" s="95">
        <v>44614</v>
      </c>
      <c r="H1189" s="28" t="s">
        <v>1088</v>
      </c>
      <c r="I1189" s="95">
        <v>44579</v>
      </c>
      <c r="J1189" s="38">
        <v>24344</v>
      </c>
      <c r="K1189" s="23">
        <v>640000</v>
      </c>
      <c r="L1189" s="23"/>
      <c r="M1189" s="24">
        <v>121600</v>
      </c>
      <c r="N1189" s="25"/>
      <c r="O1189" s="24">
        <v>0</v>
      </c>
      <c r="P1189" s="136">
        <f>+IF(PROVEEDORES[[#This Row],[SUBTOTAL]]&lt;PROVEEDORES[[#This Row],[base retencion]],0,PROVEEDORES[[#This Row],[retención aplicada]])</f>
        <v>0</v>
      </c>
      <c r="Q1189" s="24">
        <f>+PROVEEDORES[[#This Row],[Rete Fuente %]]*PROVEEDORES[[#This Row],[SUBTOTAL]]</f>
        <v>0</v>
      </c>
      <c r="R1189" s="23">
        <v>761600</v>
      </c>
      <c r="S118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9" s="99">
        <f ca="1">IF(PROVEEDORES[[#This Row],[FECHA DE PAGO]]=0,TODAY()-PROVEEDORES[[#This Row],[FECHA DE FACTURACIÓN]]-PROVEEDORES[[#This Row],[PLAZO Días]],0)</f>
        <v>0</v>
      </c>
      <c r="U1189" s="149" t="str">
        <f>+VLOOKUP(PROVEEDORES[[#This Row],[PROVEEDOR]],Terceros!$A:$E,5,FALSE)</f>
        <v>2,5% con base</v>
      </c>
      <c r="V1189" s="150">
        <f>+YEAR(PROVEEDORES[[#This Row],[FECHA DE FACTURACIÓN]])</f>
        <v>2022</v>
      </c>
      <c r="W1189" s="150">
        <f>+MATCH(PROVEEDORES[[#This Row],[año facturado]],Retenciones!$1:$1,0)</f>
        <v>5</v>
      </c>
      <c r="X1189" s="151">
        <f>+VLOOKUP(PROVEEDORES[[#This Row],[ID RETENCION]],Retenciones!$A$1:$O$24,PROVEEDORES[[#This Row],[indicador de columna]],FALSE)</f>
        <v>1026000</v>
      </c>
      <c r="Y1189" s="152">
        <f>+VLOOKUP(PROVEEDORES[[#This Row],[ID RETENCION]],Retenciones!$A$1:$O$24,2,FALSE)</f>
        <v>2.5000000000000001E-2</v>
      </c>
      <c r="Z1189" s="26"/>
      <c r="AA1189" s="26"/>
      <c r="AB1189" s="26"/>
      <c r="AC1189" s="26"/>
      <c r="AD1189" s="26"/>
      <c r="AE1189" s="26"/>
    </row>
    <row r="1190" spans="1:31" ht="21.95" customHeight="1" x14ac:dyDescent="0.25">
      <c r="A1190" s="97" t="str">
        <f>+IF(PROVEEDORES[[#This Row],[FECHA DE PAGO]]=PROVEEDORES[[#This Row],[FECHA DE FACTURACIÓN]],"DE CONTADO","CRÉDITO")</f>
        <v>CRÉDITO</v>
      </c>
      <c r="B1190" s="41" t="str">
        <f>+IF((PROVEEDORES[[#This Row],[FECHA DE PAGO]]-PROVEEDORES[[#This Row],[FECHA DE FACTURACIÓN]])&gt;PROVEEDORES[[#This Row],[PLAZO Días]],"PAGO VENCIDO")</f>
        <v>PAGO VENCIDO</v>
      </c>
      <c r="C1190" s="22">
        <f>+VLOOKUP(PROVEEDORES[[#This Row],[PROVEEDOR]],TERCEROS_INFO[#All],2,FALSE)</f>
        <v>45</v>
      </c>
      <c r="D1190" s="27">
        <f>+SUMIFS(PROVEEDORES[Total],PROVEEDORES[PROVEEDOR],PROVEEDORES[[#This Row],[PROVEEDOR]],PROVEEDORES[FECHA DE PAGO],"")</f>
        <v>3412539.2</v>
      </c>
      <c r="E1190" s="27"/>
      <c r="F1190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1190" s="95">
        <v>44650</v>
      </c>
      <c r="H1190" s="28" t="s">
        <v>10</v>
      </c>
      <c r="I1190" s="95">
        <v>44579</v>
      </c>
      <c r="J1190" s="38" t="s">
        <v>1157</v>
      </c>
      <c r="K1190" s="23">
        <v>990000</v>
      </c>
      <c r="L1190" s="23"/>
      <c r="M1190" s="24">
        <v>188100</v>
      </c>
      <c r="N1190" s="25"/>
      <c r="O1190" s="24">
        <v>0</v>
      </c>
      <c r="P1190" s="136">
        <f>+IF(PROVEEDORES[[#This Row],[SUBTOTAL]]&lt;PROVEEDORES[[#This Row],[base retencion]],0,PROVEEDORES[[#This Row],[retención aplicada]])</f>
        <v>0</v>
      </c>
      <c r="Q1190" s="24">
        <f>+PROVEEDORES[[#This Row],[Rete Fuente %]]*PROVEEDORES[[#This Row],[SUBTOTAL]]</f>
        <v>0</v>
      </c>
      <c r="R1190" s="23">
        <v>1178100</v>
      </c>
      <c r="S119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0" s="99">
        <f ca="1">IF(PROVEEDORES[[#This Row],[FECHA DE PAGO]]=0,TODAY()-PROVEEDORES[[#This Row],[FECHA DE FACTURACIÓN]]-PROVEEDORES[[#This Row],[PLAZO Días]],0)</f>
        <v>0</v>
      </c>
      <c r="U1190" s="149">
        <f>+VLOOKUP(PROVEEDORES[[#This Row],[PROVEEDOR]],Terceros!$A:$E,5,FALSE)</f>
        <v>0</v>
      </c>
      <c r="V1190" s="150">
        <f>+YEAR(PROVEEDORES[[#This Row],[FECHA DE FACTURACIÓN]])</f>
        <v>2022</v>
      </c>
      <c r="W1190" s="150">
        <f>+MATCH(PROVEEDORES[[#This Row],[año facturado]],Retenciones!$1:$1,0)</f>
        <v>5</v>
      </c>
      <c r="X1190" s="151">
        <f>+VLOOKUP(PROVEEDORES[[#This Row],[ID RETENCION]],Retenciones!$A$1:$O$24,PROVEEDORES[[#This Row],[indicador de columna]],FALSE)</f>
        <v>0</v>
      </c>
      <c r="Y1190" s="152">
        <f>+VLOOKUP(PROVEEDORES[[#This Row],[ID RETENCION]],Retenciones!$A$1:$O$24,2,FALSE)</f>
        <v>0</v>
      </c>
      <c r="Z1190" s="26"/>
      <c r="AA1190" s="26"/>
      <c r="AB1190" s="26"/>
      <c r="AC1190" s="26"/>
      <c r="AD1190" s="26"/>
      <c r="AE1190" s="26"/>
    </row>
    <row r="1191" spans="1:31" ht="21.95" customHeight="1" x14ac:dyDescent="0.25">
      <c r="A1191" s="97" t="str">
        <f>+IF(PROVEEDORES[[#This Row],[FECHA DE PAGO]]=PROVEEDORES[[#This Row],[FECHA DE FACTURACIÓN]],"DE CONTADO","CRÉDITO")</f>
        <v>CRÉDITO</v>
      </c>
      <c r="B1191" s="41" t="str">
        <f>+IF((PROVEEDORES[[#This Row],[FECHA DE PAGO]]-PROVEEDORES[[#This Row],[FECHA DE FACTURACIÓN]])&gt;PROVEEDORES[[#This Row],[PLAZO Días]],"PAGO VENCIDO")</f>
        <v>PAGO VENCIDO</v>
      </c>
      <c r="C1191" s="22">
        <f>+VLOOKUP(PROVEEDORES[[#This Row],[PROVEEDOR]],TERCEROS_INFO[#All],2,FALSE)</f>
        <v>30</v>
      </c>
      <c r="D1191" s="27">
        <f>+SUMIFS(PROVEEDORES[Total],PROVEEDORES[PROVEEDOR],PROVEEDORES[[#This Row],[PROVEEDOR]],PROVEEDORES[FECHA DE PAGO],"")</f>
        <v>0</v>
      </c>
      <c r="E1191" s="27"/>
      <c r="F1191" s="62" t="str">
        <f>+VLOOKUP(PROVEEDORES[[#This Row],[PROVEEDOR]],
                       Terceros!$A:$G,
                       6,
                       FALSE)</f>
        <v>tesoreria@makingbusiness.com.co;girlesa.ruiz@servipilas.com;joriescobar64@gmail.com</v>
      </c>
      <c r="G1191" s="95">
        <v>44624</v>
      </c>
      <c r="H1191" s="28" t="s">
        <v>32</v>
      </c>
      <c r="I1191" s="95">
        <v>44579</v>
      </c>
      <c r="J1191" s="38" t="s">
        <v>976</v>
      </c>
      <c r="K1191" s="23">
        <v>2379411.12</v>
      </c>
      <c r="L1191" s="23"/>
      <c r="M1191" s="24">
        <v>452088.1128</v>
      </c>
      <c r="N1191" s="25"/>
      <c r="O1191" s="24">
        <v>0</v>
      </c>
      <c r="P1191" s="136">
        <f>+IF(PROVEEDORES[[#This Row],[SUBTOTAL]]&lt;PROVEEDORES[[#This Row],[base retencion]],0,PROVEEDORES[[#This Row],[retención aplicada]])</f>
        <v>2.5000000000000001E-2</v>
      </c>
      <c r="Q1191" s="24">
        <f>+PROVEEDORES[[#This Row],[Rete Fuente %]]*PROVEEDORES[[#This Row],[SUBTOTAL]]</f>
        <v>59485.278000000006</v>
      </c>
      <c r="R1191" s="23">
        <v>2772013.9548000004</v>
      </c>
      <c r="S119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1" s="99">
        <f ca="1">IF(PROVEEDORES[[#This Row],[FECHA DE PAGO]]=0,TODAY()-PROVEEDORES[[#This Row],[FECHA DE FACTURACIÓN]]-PROVEEDORES[[#This Row],[PLAZO Días]],0)</f>
        <v>0</v>
      </c>
      <c r="U1191" s="149" t="str">
        <f>+VLOOKUP(PROVEEDORES[[#This Row],[PROVEEDOR]],Terceros!$A:$E,5,FALSE)</f>
        <v>2,5% con base</v>
      </c>
      <c r="V1191" s="150">
        <f>+YEAR(PROVEEDORES[[#This Row],[FECHA DE FACTURACIÓN]])</f>
        <v>2022</v>
      </c>
      <c r="W1191" s="150">
        <f>+MATCH(PROVEEDORES[[#This Row],[año facturado]],Retenciones!$1:$1,0)</f>
        <v>5</v>
      </c>
      <c r="X1191" s="151">
        <f>+VLOOKUP(PROVEEDORES[[#This Row],[ID RETENCION]],Retenciones!$A$1:$O$24,PROVEEDORES[[#This Row],[indicador de columna]],FALSE)</f>
        <v>1026000</v>
      </c>
      <c r="Y1191" s="152">
        <f>+VLOOKUP(PROVEEDORES[[#This Row],[ID RETENCION]],Retenciones!$A$1:$O$24,2,FALSE)</f>
        <v>2.5000000000000001E-2</v>
      </c>
      <c r="Z1191" s="26"/>
      <c r="AA1191" s="26"/>
      <c r="AB1191" s="26"/>
      <c r="AC1191" s="26"/>
      <c r="AD1191" s="26"/>
      <c r="AE1191" s="26"/>
    </row>
    <row r="1192" spans="1:31" ht="21.95" customHeight="1" x14ac:dyDescent="0.25">
      <c r="A1192" s="97" t="str">
        <f>+IF(PROVEEDORES[[#This Row],[FECHA DE PAGO]]=PROVEEDORES[[#This Row],[FECHA DE FACTURACIÓN]],"DE CONTADO","CRÉDITO")</f>
        <v>CRÉDITO</v>
      </c>
      <c r="B1192" s="41" t="str">
        <f>+IF((PROVEEDORES[[#This Row],[FECHA DE PAGO]]-PROVEEDORES[[#This Row],[FECHA DE FACTURACIÓN]])&gt;PROVEEDORES[[#This Row],[PLAZO Días]],"PAGO VENCIDO")</f>
        <v>PAGO VENCIDO</v>
      </c>
      <c r="C1192" s="22">
        <f>+VLOOKUP(PROVEEDORES[[#This Row],[PROVEEDOR]],TERCEROS_INFO[#All],2,FALSE)</f>
        <v>30</v>
      </c>
      <c r="D1192" s="27">
        <f>+SUMIFS(PROVEEDORES[Total],PROVEEDORES[PROVEEDOR],PROVEEDORES[[#This Row],[PROVEEDOR]],PROVEEDORES[FECHA DE PAGO],"")</f>
        <v>6151200</v>
      </c>
      <c r="E1192" s="27"/>
      <c r="F1192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1192" s="95">
        <v>44624</v>
      </c>
      <c r="H1192" s="28" t="s">
        <v>11</v>
      </c>
      <c r="I1192" s="95">
        <v>44579</v>
      </c>
      <c r="J1192" s="38" t="s">
        <v>973</v>
      </c>
      <c r="K1192" s="23">
        <v>2740840</v>
      </c>
      <c r="L1192" s="23"/>
      <c r="M1192" s="24">
        <v>520759.60000000003</v>
      </c>
      <c r="N1192" s="25"/>
      <c r="O1192" s="24">
        <v>0</v>
      </c>
      <c r="P1192" s="136">
        <f>+IF(PROVEEDORES[[#This Row],[SUBTOTAL]]&lt;PROVEEDORES[[#This Row],[base retencion]],0,PROVEEDORES[[#This Row],[retención aplicada]])</f>
        <v>2.5000000000000001E-2</v>
      </c>
      <c r="Q1192" s="24">
        <f>+PROVEEDORES[[#This Row],[Rete Fuente %]]*PROVEEDORES[[#This Row],[SUBTOTAL]]</f>
        <v>68521</v>
      </c>
      <c r="R1192" s="23">
        <v>3193078.6</v>
      </c>
      <c r="S119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2" s="99">
        <f ca="1">IF(PROVEEDORES[[#This Row],[FECHA DE PAGO]]=0,TODAY()-PROVEEDORES[[#This Row],[FECHA DE FACTURACIÓN]]-PROVEEDORES[[#This Row],[PLAZO Días]],0)</f>
        <v>0</v>
      </c>
      <c r="U1192" s="149" t="str">
        <f>+VLOOKUP(PROVEEDORES[[#This Row],[PROVEEDOR]],Terceros!$A:$E,5,FALSE)</f>
        <v>2,5% con base</v>
      </c>
      <c r="V1192" s="150">
        <f>+YEAR(PROVEEDORES[[#This Row],[FECHA DE FACTURACIÓN]])</f>
        <v>2022</v>
      </c>
      <c r="W1192" s="150">
        <f>+MATCH(PROVEEDORES[[#This Row],[año facturado]],Retenciones!$1:$1,0)</f>
        <v>5</v>
      </c>
      <c r="X1192" s="151">
        <f>+VLOOKUP(PROVEEDORES[[#This Row],[ID RETENCION]],Retenciones!$A$1:$O$24,PROVEEDORES[[#This Row],[indicador de columna]],FALSE)</f>
        <v>1026000</v>
      </c>
      <c r="Y1192" s="152">
        <f>+VLOOKUP(PROVEEDORES[[#This Row],[ID RETENCION]],Retenciones!$A$1:$O$24,2,FALSE)</f>
        <v>2.5000000000000001E-2</v>
      </c>
      <c r="Z1192" s="26"/>
      <c r="AA1192" s="26"/>
      <c r="AB1192" s="26"/>
      <c r="AC1192" s="26"/>
      <c r="AD1192" s="26"/>
      <c r="AE1192" s="26"/>
    </row>
    <row r="1193" spans="1:31" ht="21.95" customHeight="1" x14ac:dyDescent="0.25">
      <c r="A1193" s="97" t="str">
        <f>+IF(PROVEEDORES[[#This Row],[FECHA DE PAGO]]=PROVEEDORES[[#This Row],[FECHA DE FACTURACIÓN]],"DE CONTADO","CRÉDITO")</f>
        <v>CRÉDITO</v>
      </c>
      <c r="B1193" s="41" t="b">
        <f>+IF((PROVEEDORES[[#This Row],[FECHA DE PAGO]]-PROVEEDORES[[#This Row],[FECHA DE FACTURACIÓN]])&gt;PROVEEDORES[[#This Row],[PLAZO Días]],"PAGO VENCIDO")</f>
        <v>0</v>
      </c>
      <c r="C1193" s="22">
        <f>+VLOOKUP(PROVEEDORES[[#This Row],[PROVEEDOR]],TERCEROS_INFO[#All],2,FALSE)</f>
        <v>30</v>
      </c>
      <c r="D1193" s="27">
        <f>+SUMIFS(PROVEEDORES[Total],PROVEEDORES[PROVEEDOR],PROVEEDORES[[#This Row],[PROVEEDOR]],PROVEEDORES[FECHA DE PAGO],"")</f>
        <v>1860500</v>
      </c>
      <c r="E1193" s="27"/>
      <c r="F1193" s="62" t="str">
        <f>+VLOOKUP(PROVEEDORES[[#This Row],[PROVEEDOR]],
                       Terceros!$A:$G,
                       6,
                       FALSE)</f>
        <v/>
      </c>
      <c r="G1193" s="95">
        <v>44588</v>
      </c>
      <c r="H1193" s="28" t="s">
        <v>1064</v>
      </c>
      <c r="I1193" s="95">
        <v>44580</v>
      </c>
      <c r="J1193" s="38" t="s">
        <v>967</v>
      </c>
      <c r="K1193" s="23">
        <v>699000</v>
      </c>
      <c r="L1193" s="23"/>
      <c r="M1193" s="24">
        <v>0</v>
      </c>
      <c r="N1193" s="25"/>
      <c r="O1193" s="24">
        <v>0</v>
      </c>
      <c r="P1193" s="136">
        <f>+IF(PROVEEDORES[[#This Row],[SUBTOTAL]]&lt;PROVEEDORES[[#This Row],[base retencion]],0,PROVEEDORES[[#This Row],[retención aplicada]])</f>
        <v>0</v>
      </c>
      <c r="Q1193" s="24">
        <f>+PROVEEDORES[[#This Row],[Rete Fuente %]]*PROVEEDORES[[#This Row],[SUBTOTAL]]</f>
        <v>0</v>
      </c>
      <c r="R1193" s="23">
        <v>699000</v>
      </c>
      <c r="S119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3" s="99">
        <f ca="1">IF(PROVEEDORES[[#This Row],[FECHA DE PAGO]]=0,TODAY()-PROVEEDORES[[#This Row],[FECHA DE FACTURACIÓN]]-PROVEEDORES[[#This Row],[PLAZO Días]],0)</f>
        <v>0</v>
      </c>
      <c r="U1193" s="149">
        <f>+VLOOKUP(PROVEEDORES[[#This Row],[PROVEEDOR]],Terceros!$A:$E,5,FALSE)</f>
        <v>0</v>
      </c>
      <c r="V1193" s="150">
        <f>+YEAR(PROVEEDORES[[#This Row],[FECHA DE FACTURACIÓN]])</f>
        <v>2022</v>
      </c>
      <c r="W1193" s="150">
        <f>+MATCH(PROVEEDORES[[#This Row],[año facturado]],Retenciones!$1:$1,0)</f>
        <v>5</v>
      </c>
      <c r="X1193" s="151">
        <f>+VLOOKUP(PROVEEDORES[[#This Row],[ID RETENCION]],Retenciones!$A$1:$O$24,PROVEEDORES[[#This Row],[indicador de columna]],FALSE)</f>
        <v>0</v>
      </c>
      <c r="Y1193" s="152">
        <f>+VLOOKUP(PROVEEDORES[[#This Row],[ID RETENCION]],Retenciones!$A$1:$O$24,2,FALSE)</f>
        <v>0</v>
      </c>
      <c r="Z1193" s="26"/>
      <c r="AA1193" s="26"/>
      <c r="AB1193" s="26"/>
      <c r="AC1193" s="26"/>
      <c r="AD1193" s="26"/>
      <c r="AE1193" s="26"/>
    </row>
    <row r="1194" spans="1:31" ht="21.95" customHeight="1" x14ac:dyDescent="0.25">
      <c r="A1194" s="97" t="str">
        <f>+IF(PROVEEDORES[[#This Row],[FECHA DE PAGO]]=PROVEEDORES[[#This Row],[FECHA DE FACTURACIÓN]],"DE CONTADO","CRÉDITO")</f>
        <v>CRÉDITO</v>
      </c>
      <c r="B1194" s="41" t="str">
        <f>+IF((PROVEEDORES[[#This Row],[FECHA DE PAGO]]-PROVEEDORES[[#This Row],[FECHA DE FACTURACIÓN]])&gt;PROVEEDORES[[#This Row],[PLAZO Días]],"PAGO VENCIDO")</f>
        <v>PAGO VENCIDO</v>
      </c>
      <c r="C1194" s="22">
        <f>+VLOOKUP(PROVEEDORES[[#This Row],[PROVEEDOR]],TERCEROS_INFO[#All],2,FALSE)</f>
        <v>30</v>
      </c>
      <c r="D1194" s="27">
        <f>+SUMIFS(PROVEEDORES[Total],PROVEEDORES[PROVEEDOR],PROVEEDORES[[#This Row],[PROVEEDOR]],PROVEEDORES[FECHA DE PAGO],"")</f>
        <v>1979529.3</v>
      </c>
      <c r="E1194" s="27"/>
      <c r="F1194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1194" s="95">
        <v>44617</v>
      </c>
      <c r="H1194" s="28" t="s">
        <v>17</v>
      </c>
      <c r="I1194" s="95">
        <v>44580</v>
      </c>
      <c r="J1194" s="38">
        <v>1864904</v>
      </c>
      <c r="K1194" s="23">
        <v>1440260</v>
      </c>
      <c r="L1194" s="23"/>
      <c r="M1194" s="24">
        <v>273649.40000000002</v>
      </c>
      <c r="N1194" s="25"/>
      <c r="O1194" s="24">
        <v>0</v>
      </c>
      <c r="P1194" s="136">
        <f>+IF(PROVEEDORES[[#This Row],[SUBTOTAL]]&lt;PROVEEDORES[[#This Row],[base retencion]],0,PROVEEDORES[[#This Row],[retención aplicada]])</f>
        <v>0</v>
      </c>
      <c r="Q1194" s="24">
        <f>+PROVEEDORES[[#This Row],[Rete Fuente %]]*PROVEEDORES[[#This Row],[SUBTOTAL]]</f>
        <v>0</v>
      </c>
      <c r="R1194" s="23">
        <v>1713909.4</v>
      </c>
      <c r="S119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4" s="99">
        <f ca="1">IF(PROVEEDORES[[#This Row],[FECHA DE PAGO]]=0,TODAY()-PROVEEDORES[[#This Row],[FECHA DE FACTURACIÓN]]-PROVEEDORES[[#This Row],[PLAZO Días]],0)</f>
        <v>0</v>
      </c>
      <c r="U1194" s="149">
        <f>+VLOOKUP(PROVEEDORES[[#This Row],[PROVEEDOR]],Terceros!$A:$E,5,FALSE)</f>
        <v>0</v>
      </c>
      <c r="V1194" s="150">
        <f>+YEAR(PROVEEDORES[[#This Row],[FECHA DE FACTURACIÓN]])</f>
        <v>2022</v>
      </c>
      <c r="W1194" s="150">
        <f>+MATCH(PROVEEDORES[[#This Row],[año facturado]],Retenciones!$1:$1,0)</f>
        <v>5</v>
      </c>
      <c r="X1194" s="151">
        <f>+VLOOKUP(PROVEEDORES[[#This Row],[ID RETENCION]],Retenciones!$A$1:$O$24,PROVEEDORES[[#This Row],[indicador de columna]],FALSE)</f>
        <v>0</v>
      </c>
      <c r="Y1194" s="152">
        <f>+VLOOKUP(PROVEEDORES[[#This Row],[ID RETENCION]],Retenciones!$A$1:$O$24,2,FALSE)</f>
        <v>0</v>
      </c>
      <c r="Z1194" s="26"/>
      <c r="AA1194" s="26"/>
      <c r="AB1194" s="26"/>
      <c r="AC1194" s="26"/>
      <c r="AD1194" s="26"/>
      <c r="AE1194" s="26"/>
    </row>
    <row r="1195" spans="1:31" ht="21.95" customHeight="1" x14ac:dyDescent="0.25">
      <c r="A1195" s="97" t="str">
        <f>+IF(PROVEEDORES[[#This Row],[FECHA DE PAGO]]=PROVEEDORES[[#This Row],[FECHA DE FACTURACIÓN]],"DE CONTADO","CRÉDITO")</f>
        <v>CRÉDITO</v>
      </c>
      <c r="B1195" s="41" t="b">
        <f>+IF((PROVEEDORES[[#This Row],[FECHA DE PAGO]]-PROVEEDORES[[#This Row],[FECHA DE FACTURACIÓN]])&gt;PROVEEDORES[[#This Row],[PLAZO Días]],"PAGO VENCIDO")</f>
        <v>0</v>
      </c>
      <c r="C1195" s="22">
        <f>+VLOOKUP(PROVEEDORES[[#This Row],[PROVEEDOR]],TERCEROS_INFO[#All],2,FALSE)</f>
        <v>30</v>
      </c>
      <c r="D1195" s="27">
        <f>+SUMIFS(PROVEEDORES[Total],PROVEEDORES[PROVEEDOR],PROVEEDORES[[#This Row],[PROVEEDOR]],PROVEEDORES[FECHA DE PAGO],"")</f>
        <v>0</v>
      </c>
      <c r="E1195" s="27"/>
      <c r="F1195" s="62" t="str">
        <f>+VLOOKUP(PROVEEDORES[[#This Row],[PROVEEDOR]],
                       Terceros!$A:$G,
                       6,
                       FALSE)</f>
        <v/>
      </c>
      <c r="G1195" s="95">
        <v>44585</v>
      </c>
      <c r="H1195" s="28" t="s">
        <v>27</v>
      </c>
      <c r="I1195" s="95">
        <v>44580</v>
      </c>
      <c r="J1195" s="38">
        <v>130713</v>
      </c>
      <c r="K1195" s="23">
        <v>8864000</v>
      </c>
      <c r="L1195" s="23"/>
      <c r="M1195" s="24">
        <v>0</v>
      </c>
      <c r="N1195" s="25"/>
      <c r="O1195" s="24">
        <v>0</v>
      </c>
      <c r="P1195" s="136">
        <f>+IF(PROVEEDORES[[#This Row],[SUBTOTAL]]&lt;PROVEEDORES[[#This Row],[base retencion]],0,PROVEEDORES[[#This Row],[retención aplicada]])</f>
        <v>0</v>
      </c>
      <c r="Q1195" s="24">
        <f>+PROVEEDORES[[#This Row],[Rete Fuente %]]*PROVEEDORES[[#This Row],[SUBTOTAL]]</f>
        <v>0</v>
      </c>
      <c r="R1195" s="23">
        <v>8864000</v>
      </c>
      <c r="S119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5" s="99">
        <f ca="1">IF(PROVEEDORES[[#This Row],[FECHA DE PAGO]]=0,TODAY()-PROVEEDORES[[#This Row],[FECHA DE FACTURACIÓN]]-PROVEEDORES[[#This Row],[PLAZO Días]],0)</f>
        <v>0</v>
      </c>
      <c r="U1195" s="149">
        <f>+VLOOKUP(PROVEEDORES[[#This Row],[PROVEEDOR]],Terceros!$A:$E,5,FALSE)</f>
        <v>0</v>
      </c>
      <c r="V1195" s="150">
        <f>+YEAR(PROVEEDORES[[#This Row],[FECHA DE FACTURACIÓN]])</f>
        <v>2022</v>
      </c>
      <c r="W1195" s="150">
        <f>+MATCH(PROVEEDORES[[#This Row],[año facturado]],Retenciones!$1:$1,0)</f>
        <v>5</v>
      </c>
      <c r="X1195" s="151">
        <f>+VLOOKUP(PROVEEDORES[[#This Row],[ID RETENCION]],Retenciones!$A$1:$O$24,PROVEEDORES[[#This Row],[indicador de columna]],FALSE)</f>
        <v>0</v>
      </c>
      <c r="Y1195" s="152">
        <f>+VLOOKUP(PROVEEDORES[[#This Row],[ID RETENCION]],Retenciones!$A$1:$O$24,2,FALSE)</f>
        <v>0</v>
      </c>
      <c r="Z1195" s="26"/>
      <c r="AA1195" s="26"/>
      <c r="AB1195" s="26"/>
      <c r="AC1195" s="26"/>
      <c r="AD1195" s="26"/>
      <c r="AE1195" s="26"/>
    </row>
    <row r="1196" spans="1:31" ht="21.95" customHeight="1" x14ac:dyDescent="0.25">
      <c r="A1196" s="97" t="str">
        <f>+IF(PROVEEDORES[[#This Row],[FECHA DE PAGO]]=PROVEEDORES[[#This Row],[FECHA DE FACTURACIÓN]],"DE CONTADO","CRÉDITO")</f>
        <v>CRÉDITO</v>
      </c>
      <c r="B1196" s="41" t="str">
        <f>+IF((PROVEEDORES[[#This Row],[FECHA DE PAGO]]-PROVEEDORES[[#This Row],[FECHA DE FACTURACIÓN]])&gt;PROVEEDORES[[#This Row],[PLAZO Días]],"PAGO VENCIDO")</f>
        <v>PAGO VENCIDO</v>
      </c>
      <c r="C1196" s="22">
        <f>+VLOOKUP(PROVEEDORES[[#This Row],[PROVEEDOR]],TERCEROS_INFO[#All],2,FALSE)</f>
        <v>30</v>
      </c>
      <c r="D1196" s="27">
        <f>+SUMIFS(PROVEEDORES[Total],PROVEEDORES[PROVEEDOR],PROVEEDORES[[#This Row],[PROVEEDOR]],PROVEEDORES[FECHA DE PAGO],"")</f>
        <v>0</v>
      </c>
      <c r="E1196" s="27"/>
      <c r="F1196" s="62" t="str">
        <f>+VLOOKUP(PROVEEDORES[[#This Row],[PROVEEDOR]],
                       Terceros!$A:$G,
                       6,
                       FALSE)</f>
        <v>cxc11@unitecusa.com.co;jefecartera@unitecusa.com.co;girlesa.ruiz@servipilas.com;joriescobar64@gmail.com</v>
      </c>
      <c r="G1196" s="95">
        <v>44614</v>
      </c>
      <c r="H1196" s="28" t="s">
        <v>14</v>
      </c>
      <c r="I1196" s="95">
        <v>44581</v>
      </c>
      <c r="J1196" s="38" t="s">
        <v>1164</v>
      </c>
      <c r="K1196" s="23">
        <v>509250</v>
      </c>
      <c r="L1196" s="23"/>
      <c r="M1196" s="24">
        <v>96757.5</v>
      </c>
      <c r="N1196" s="25">
        <v>0.02</v>
      </c>
      <c r="O1196" s="24">
        <v>10185</v>
      </c>
      <c r="P1196" s="136">
        <f>+IF(PROVEEDORES[[#This Row],[SUBTOTAL]]&lt;PROVEEDORES[[#This Row],[base retencion]],0,PROVEEDORES[[#This Row],[retención aplicada]])</f>
        <v>0</v>
      </c>
      <c r="Q1196" s="24">
        <f>+PROVEEDORES[[#This Row],[Rete Fuente %]]*PROVEEDORES[[#This Row],[SUBTOTAL]]</f>
        <v>0</v>
      </c>
      <c r="R1196" s="23">
        <v>595822.5</v>
      </c>
      <c r="S119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6" s="99">
        <f ca="1">IF(PROVEEDORES[[#This Row],[FECHA DE PAGO]]=0,TODAY()-PROVEEDORES[[#This Row],[FECHA DE FACTURACIÓN]]-PROVEEDORES[[#This Row],[PLAZO Días]],0)</f>
        <v>0</v>
      </c>
      <c r="U1196" s="149" t="str">
        <f>+VLOOKUP(PROVEEDORES[[#This Row],[PROVEEDOR]],Terceros!$A:$E,5,FALSE)</f>
        <v>2,5% con base</v>
      </c>
      <c r="V1196" s="150">
        <f>+YEAR(PROVEEDORES[[#This Row],[FECHA DE FACTURACIÓN]])</f>
        <v>2022</v>
      </c>
      <c r="W1196" s="150">
        <f>+MATCH(PROVEEDORES[[#This Row],[año facturado]],Retenciones!$1:$1,0)</f>
        <v>5</v>
      </c>
      <c r="X1196" s="151">
        <f>+VLOOKUP(PROVEEDORES[[#This Row],[ID RETENCION]],Retenciones!$A$1:$O$24,PROVEEDORES[[#This Row],[indicador de columna]],FALSE)</f>
        <v>1026000</v>
      </c>
      <c r="Y1196" s="152">
        <f>+VLOOKUP(PROVEEDORES[[#This Row],[ID RETENCION]],Retenciones!$A$1:$O$24,2,FALSE)</f>
        <v>2.5000000000000001E-2</v>
      </c>
      <c r="Z1196" s="26"/>
      <c r="AA1196" s="26"/>
      <c r="AB1196" s="26"/>
      <c r="AC1196" s="26"/>
      <c r="AD1196" s="26"/>
      <c r="AE1196" s="26"/>
    </row>
    <row r="1197" spans="1:31" ht="21.95" customHeight="1" x14ac:dyDescent="0.25">
      <c r="A1197" s="97" t="str">
        <f>+IF(PROVEEDORES[[#This Row],[FECHA DE PAGO]]=PROVEEDORES[[#This Row],[FECHA DE FACTURACIÓN]],"DE CONTADO","CRÉDITO")</f>
        <v>DE CONTADO</v>
      </c>
      <c r="B1197" s="41" t="b">
        <f>+IF((PROVEEDORES[[#This Row],[FECHA DE PAGO]]-PROVEEDORES[[#This Row],[FECHA DE FACTURACIÓN]])&gt;PROVEEDORES[[#This Row],[PLAZO Días]],"PAGO VENCIDO")</f>
        <v>0</v>
      </c>
      <c r="C1197" s="22">
        <f>+VLOOKUP(PROVEEDORES[[#This Row],[PROVEEDOR]],TERCEROS_INFO[#All],2,FALSE)</f>
        <v>30</v>
      </c>
      <c r="D1197" s="27">
        <f>+SUMIFS(PROVEEDORES[Total],PROVEEDORES[PROVEEDOR],PROVEEDORES[[#This Row],[PROVEEDOR]],PROVEEDORES[FECHA DE PAGO],"")</f>
        <v>0</v>
      </c>
      <c r="E1197" s="27"/>
      <c r="F1197" s="62" t="str">
        <f>+VLOOKUP(PROVEEDORES[[#This Row],[PROVEEDOR]],
                       Terceros!$A:$G,
                       6,
                       FALSE)</f>
        <v/>
      </c>
      <c r="G1197" s="95">
        <v>44581</v>
      </c>
      <c r="H1197" s="28" t="s">
        <v>1001</v>
      </c>
      <c r="I1197" s="95">
        <v>44581</v>
      </c>
      <c r="J1197" s="38" t="s">
        <v>1003</v>
      </c>
      <c r="K1197" s="23">
        <v>1920000</v>
      </c>
      <c r="L1197" s="23"/>
      <c r="M1197" s="24">
        <v>0</v>
      </c>
      <c r="N1197" s="25"/>
      <c r="O1197" s="24">
        <v>0</v>
      </c>
      <c r="P1197" s="136">
        <f>+IF(PROVEEDORES[[#This Row],[SUBTOTAL]]&lt;PROVEEDORES[[#This Row],[base retencion]],0,PROVEEDORES[[#This Row],[retención aplicada]])</f>
        <v>0</v>
      </c>
      <c r="Q1197" s="24">
        <f>+PROVEEDORES[[#This Row],[Rete Fuente %]]*PROVEEDORES[[#This Row],[SUBTOTAL]]</f>
        <v>0</v>
      </c>
      <c r="R1197" s="23">
        <v>0</v>
      </c>
      <c r="S119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7" s="99">
        <f ca="1">IF(PROVEEDORES[[#This Row],[FECHA DE PAGO]]=0,TODAY()-PROVEEDORES[[#This Row],[FECHA DE FACTURACIÓN]]-PROVEEDORES[[#This Row],[PLAZO Días]],0)</f>
        <v>0</v>
      </c>
      <c r="U1197" s="149">
        <f>+VLOOKUP(PROVEEDORES[[#This Row],[PROVEEDOR]],Terceros!$A:$E,5,FALSE)</f>
        <v>0</v>
      </c>
      <c r="V1197" s="150">
        <f>+YEAR(PROVEEDORES[[#This Row],[FECHA DE FACTURACIÓN]])</f>
        <v>2022</v>
      </c>
      <c r="W1197" s="150">
        <f>+MATCH(PROVEEDORES[[#This Row],[año facturado]],Retenciones!$1:$1,0)</f>
        <v>5</v>
      </c>
      <c r="X1197" s="151">
        <f>+VLOOKUP(PROVEEDORES[[#This Row],[ID RETENCION]],Retenciones!$A$1:$O$24,PROVEEDORES[[#This Row],[indicador de columna]],FALSE)</f>
        <v>0</v>
      </c>
      <c r="Y1197" s="152">
        <f>+VLOOKUP(PROVEEDORES[[#This Row],[ID RETENCION]],Retenciones!$A$1:$O$24,2,FALSE)</f>
        <v>0</v>
      </c>
      <c r="Z1197" s="26"/>
      <c r="AA1197" s="26"/>
      <c r="AB1197" s="26"/>
      <c r="AC1197" s="26"/>
      <c r="AD1197" s="26"/>
      <c r="AE1197" s="26"/>
    </row>
    <row r="1198" spans="1:31" ht="21.95" customHeight="1" x14ac:dyDescent="0.25">
      <c r="A1198" s="97" t="str">
        <f>+IF(PROVEEDORES[[#This Row],[FECHA DE PAGO]]=PROVEEDORES[[#This Row],[FECHA DE FACTURACIÓN]],"DE CONTADO","CRÉDITO")</f>
        <v>CRÉDITO</v>
      </c>
      <c r="B1198" s="41" t="b">
        <f>+IF((PROVEEDORES[[#This Row],[FECHA DE PAGO]]-PROVEEDORES[[#This Row],[FECHA DE FACTURACIÓN]])&gt;PROVEEDORES[[#This Row],[PLAZO Días]],"PAGO VENCIDO")</f>
        <v>0</v>
      </c>
      <c r="C1198" s="22">
        <f>+VLOOKUP(PROVEEDORES[[#This Row],[PROVEEDOR]],TERCEROS_INFO[#All],2,FALSE)</f>
        <v>45</v>
      </c>
      <c r="D1198" s="27">
        <f>+SUMIFS(PROVEEDORES[Total],PROVEEDORES[PROVEEDOR],PROVEEDORES[[#This Row],[PROVEEDOR]],PROVEEDORES[FECHA DE PAGO],"")</f>
        <v>37184068.039999999</v>
      </c>
      <c r="E1198" s="27"/>
      <c r="F1198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1198" s="95">
        <v>44624</v>
      </c>
      <c r="H1198" s="28" t="s">
        <v>19</v>
      </c>
      <c r="I1198" s="95">
        <v>44581</v>
      </c>
      <c r="J1198" s="38" t="s">
        <v>1144</v>
      </c>
      <c r="K1198" s="23">
        <v>3491200</v>
      </c>
      <c r="L1198" s="23"/>
      <c r="M1198" s="24">
        <v>663328</v>
      </c>
      <c r="N1198" s="25"/>
      <c r="O1198" s="24">
        <v>0</v>
      </c>
      <c r="P1198" s="136">
        <f>+IF(PROVEEDORES[[#This Row],[SUBTOTAL]]&lt;PROVEEDORES[[#This Row],[base retencion]],0,PROVEEDORES[[#This Row],[retención aplicada]])</f>
        <v>0</v>
      </c>
      <c r="Q1198" s="24">
        <f>+PROVEEDORES[[#This Row],[Rete Fuente %]]*PROVEEDORES[[#This Row],[SUBTOTAL]]</f>
        <v>0</v>
      </c>
      <c r="R1198" s="23">
        <v>4154528</v>
      </c>
      <c r="S119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8" s="99">
        <f ca="1">IF(PROVEEDORES[[#This Row],[FECHA DE PAGO]]=0,TODAY()-PROVEEDORES[[#This Row],[FECHA DE FACTURACIÓN]]-PROVEEDORES[[#This Row],[PLAZO Días]],0)</f>
        <v>0</v>
      </c>
      <c r="U1198" s="149">
        <f>+VLOOKUP(PROVEEDORES[[#This Row],[PROVEEDOR]],Terceros!$A:$E,5,FALSE)</f>
        <v>0</v>
      </c>
      <c r="V1198" s="150">
        <f>+YEAR(PROVEEDORES[[#This Row],[FECHA DE FACTURACIÓN]])</f>
        <v>2022</v>
      </c>
      <c r="W1198" s="150">
        <f>+MATCH(PROVEEDORES[[#This Row],[año facturado]],Retenciones!$1:$1,0)</f>
        <v>5</v>
      </c>
      <c r="X1198" s="151">
        <f>+VLOOKUP(PROVEEDORES[[#This Row],[ID RETENCION]],Retenciones!$A$1:$O$24,PROVEEDORES[[#This Row],[indicador de columna]],FALSE)</f>
        <v>0</v>
      </c>
      <c r="Y1198" s="152">
        <f>+VLOOKUP(PROVEEDORES[[#This Row],[ID RETENCION]],Retenciones!$A$1:$O$24,2,FALSE)</f>
        <v>0</v>
      </c>
      <c r="Z1198" s="26"/>
      <c r="AA1198" s="26"/>
      <c r="AB1198" s="26"/>
      <c r="AC1198" s="26"/>
      <c r="AD1198" s="26"/>
      <c r="AE1198" s="26"/>
    </row>
    <row r="1199" spans="1:31" ht="21.95" customHeight="1" x14ac:dyDescent="0.25">
      <c r="A1199" s="97" t="str">
        <f>+IF(PROVEEDORES[[#This Row],[FECHA DE PAGO]]=PROVEEDORES[[#This Row],[FECHA DE FACTURACIÓN]],"DE CONTADO","CRÉDITO")</f>
        <v>CRÉDITO</v>
      </c>
      <c r="B1199" s="41" t="str">
        <f>+IF((PROVEEDORES[[#This Row],[FECHA DE PAGO]]-PROVEEDORES[[#This Row],[FECHA DE FACTURACIÓN]])&gt;PROVEEDORES[[#This Row],[PLAZO Días]],"PAGO VENCIDO")</f>
        <v>PAGO VENCIDO</v>
      </c>
      <c r="C1199" s="22">
        <f>+VLOOKUP(PROVEEDORES[[#This Row],[PROVEEDOR]],TERCEROS_INFO[#All],2,FALSE)</f>
        <v>30</v>
      </c>
      <c r="D1199" s="27">
        <f>+SUMIFS(PROVEEDORES[Total],PROVEEDORES[PROVEEDOR],PROVEEDORES[[#This Row],[PROVEEDOR]],PROVEEDORES[FECHA DE PAGO],"")</f>
        <v>0</v>
      </c>
      <c r="E1199" s="27"/>
      <c r="F1199" s="62" t="str">
        <f>+VLOOKUP(PROVEEDORES[[#This Row],[PROVEEDOR]],
                       Terceros!$A:$G,
                       6,
                       FALSE)</f>
        <v/>
      </c>
      <c r="G1199" s="95">
        <v>44623</v>
      </c>
      <c r="H1199" s="28" t="s">
        <v>983</v>
      </c>
      <c r="I1199" s="95">
        <v>44582</v>
      </c>
      <c r="J1199" s="38" t="s">
        <v>984</v>
      </c>
      <c r="K1199" s="23">
        <v>811000</v>
      </c>
      <c r="L1199" s="23"/>
      <c r="M1199" s="24">
        <v>0</v>
      </c>
      <c r="N1199" s="25"/>
      <c r="O1199" s="24">
        <v>0</v>
      </c>
      <c r="P1199" s="136">
        <f>+IF(PROVEEDORES[[#This Row],[SUBTOTAL]]&lt;PROVEEDORES[[#This Row],[base retencion]],0,PROVEEDORES[[#This Row],[retención aplicada]])</f>
        <v>0</v>
      </c>
      <c r="Q1199" s="24">
        <f>+PROVEEDORES[[#This Row],[Rete Fuente %]]*PROVEEDORES[[#This Row],[SUBTOTAL]]</f>
        <v>0</v>
      </c>
      <c r="R1199" s="23">
        <v>811000</v>
      </c>
      <c r="S119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9" s="99">
        <f ca="1">IF(PROVEEDORES[[#This Row],[FECHA DE PAGO]]=0,TODAY()-PROVEEDORES[[#This Row],[FECHA DE FACTURACIÓN]]-PROVEEDORES[[#This Row],[PLAZO Días]],0)</f>
        <v>0</v>
      </c>
      <c r="U1199" s="149">
        <f>+VLOOKUP(PROVEEDORES[[#This Row],[PROVEEDOR]],Terceros!$A:$E,5,FALSE)</f>
        <v>0</v>
      </c>
      <c r="V1199" s="150">
        <f>+YEAR(PROVEEDORES[[#This Row],[FECHA DE FACTURACIÓN]])</f>
        <v>2022</v>
      </c>
      <c r="W1199" s="150">
        <f>+MATCH(PROVEEDORES[[#This Row],[año facturado]],Retenciones!$1:$1,0)</f>
        <v>5</v>
      </c>
      <c r="X1199" s="151">
        <f>+VLOOKUP(PROVEEDORES[[#This Row],[ID RETENCION]],Retenciones!$A$1:$O$24,PROVEEDORES[[#This Row],[indicador de columna]],FALSE)</f>
        <v>0</v>
      </c>
      <c r="Y1199" s="152">
        <f>+VLOOKUP(PROVEEDORES[[#This Row],[ID RETENCION]],Retenciones!$A$1:$O$24,2,FALSE)</f>
        <v>0</v>
      </c>
      <c r="Z1199" s="26"/>
      <c r="AA1199" s="26"/>
      <c r="AB1199" s="26"/>
      <c r="AC1199" s="26"/>
      <c r="AD1199" s="26"/>
      <c r="AE1199" s="26"/>
    </row>
    <row r="1200" spans="1:31" ht="21.95" customHeight="1" x14ac:dyDescent="0.25">
      <c r="A1200" s="97" t="str">
        <f>+IF(PROVEEDORES[[#This Row],[FECHA DE PAGO]]=PROVEEDORES[[#This Row],[FECHA DE FACTURACIÓN]],"DE CONTADO","CRÉDITO")</f>
        <v>DE CONTADO</v>
      </c>
      <c r="B1200" s="41" t="b">
        <f>+IF((PROVEEDORES[[#This Row],[FECHA DE PAGO]]-PROVEEDORES[[#This Row],[FECHA DE FACTURACIÓN]])&gt;PROVEEDORES[[#This Row],[PLAZO Días]],"PAGO VENCIDO")</f>
        <v>0</v>
      </c>
      <c r="C1200" s="22">
        <f>+VLOOKUP(PROVEEDORES[[#This Row],[PROVEEDOR]],TERCEROS_INFO[#All],2,FALSE)</f>
        <v>30</v>
      </c>
      <c r="D1200" s="27">
        <f>+SUMIFS(PROVEEDORES[Total],PROVEEDORES[PROVEEDOR],PROVEEDORES[[#This Row],[PROVEEDOR]],PROVEEDORES[FECHA DE PAGO],"")</f>
        <v>0</v>
      </c>
      <c r="E1200" s="27"/>
      <c r="F1200" s="62" t="str">
        <f>+VLOOKUP(PROVEEDORES[[#This Row],[PROVEEDOR]],
                       Terceros!$A:$G,
                       6,
                       FALSE)</f>
        <v/>
      </c>
      <c r="G1200" s="95">
        <v>44582</v>
      </c>
      <c r="H1200" s="28" t="s">
        <v>1046</v>
      </c>
      <c r="I1200" s="95">
        <v>44582</v>
      </c>
      <c r="J1200" s="38"/>
      <c r="K1200" s="23">
        <v>1000000</v>
      </c>
      <c r="L1200" s="23"/>
      <c r="M1200" s="24">
        <v>0</v>
      </c>
      <c r="N1200" s="25"/>
      <c r="O1200" s="24">
        <v>0</v>
      </c>
      <c r="P1200" s="136">
        <f>+IF(PROVEEDORES[[#This Row],[SUBTOTAL]]&lt;PROVEEDORES[[#This Row],[base retencion]],0,PROVEEDORES[[#This Row],[retención aplicada]])</f>
        <v>0</v>
      </c>
      <c r="Q1200" s="24">
        <f>+PROVEEDORES[[#This Row],[Rete Fuente %]]*PROVEEDORES[[#This Row],[SUBTOTAL]]</f>
        <v>0</v>
      </c>
      <c r="R1200" s="23">
        <v>1000000</v>
      </c>
      <c r="S120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0" s="99">
        <f ca="1">IF(PROVEEDORES[[#This Row],[FECHA DE PAGO]]=0,TODAY()-PROVEEDORES[[#This Row],[FECHA DE FACTURACIÓN]]-PROVEEDORES[[#This Row],[PLAZO Días]],0)</f>
        <v>0</v>
      </c>
      <c r="U1200" s="149">
        <f>+VLOOKUP(PROVEEDORES[[#This Row],[PROVEEDOR]],Terceros!$A:$E,5,FALSE)</f>
        <v>0</v>
      </c>
      <c r="V1200" s="150">
        <f>+YEAR(PROVEEDORES[[#This Row],[FECHA DE FACTURACIÓN]])</f>
        <v>2022</v>
      </c>
      <c r="W1200" s="150">
        <f>+MATCH(PROVEEDORES[[#This Row],[año facturado]],Retenciones!$1:$1,0)</f>
        <v>5</v>
      </c>
      <c r="X1200" s="151">
        <f>+VLOOKUP(PROVEEDORES[[#This Row],[ID RETENCION]],Retenciones!$A$1:$O$24,PROVEEDORES[[#This Row],[indicador de columna]],FALSE)</f>
        <v>0</v>
      </c>
      <c r="Y1200" s="152">
        <f>+VLOOKUP(PROVEEDORES[[#This Row],[ID RETENCION]],Retenciones!$A$1:$O$24,2,FALSE)</f>
        <v>0</v>
      </c>
      <c r="Z1200" s="26"/>
      <c r="AA1200" s="26"/>
      <c r="AB1200" s="26"/>
      <c r="AC1200" s="26"/>
      <c r="AD1200" s="26"/>
      <c r="AE1200" s="26"/>
    </row>
    <row r="1201" spans="1:31" ht="21.95" customHeight="1" x14ac:dyDescent="0.25">
      <c r="A1201" s="97" t="str">
        <f>+IF(PROVEEDORES[[#This Row],[FECHA DE PAGO]]=PROVEEDORES[[#This Row],[FECHA DE FACTURACIÓN]],"DE CONTADO","CRÉDITO")</f>
        <v>CRÉDITO</v>
      </c>
      <c r="B1201" s="41" t="str">
        <f>+IF((PROVEEDORES[[#This Row],[FECHA DE PAGO]]-PROVEEDORES[[#This Row],[FECHA DE FACTURACIÓN]])&gt;PROVEEDORES[[#This Row],[PLAZO Días]],"PAGO VENCIDO")</f>
        <v>PAGO VENCIDO</v>
      </c>
      <c r="C1201" s="22">
        <f>+VLOOKUP(PROVEEDORES[[#This Row],[PROVEEDOR]],TERCEROS_INFO[#All],2,FALSE)</f>
        <v>30</v>
      </c>
      <c r="D1201" s="27">
        <f>+SUMIFS(PROVEEDORES[Total],PROVEEDORES[PROVEEDOR],PROVEEDORES[[#This Row],[PROVEEDOR]],PROVEEDORES[FECHA DE PAGO],"")</f>
        <v>1039000</v>
      </c>
      <c r="E1201" s="27"/>
      <c r="F1201" s="62" t="str">
        <f>+VLOOKUP(PROVEEDORES[[#This Row],[PROVEEDOR]],
                       Terceros!$A:$G,
                       6,
                       FALSE)</f>
        <v>variedades.sfg@gmail.com;girlesa.ruiz@servipilas.com;joriescobar64@gmail.com</v>
      </c>
      <c r="G1201" s="95">
        <v>44658</v>
      </c>
      <c r="H1201" s="28" t="s">
        <v>982</v>
      </c>
      <c r="I1201" s="95">
        <v>44573</v>
      </c>
      <c r="J1201" s="38" t="s">
        <v>972</v>
      </c>
      <c r="K1201" s="23">
        <v>5650500</v>
      </c>
      <c r="L1201" s="23"/>
      <c r="M1201" s="24">
        <v>0</v>
      </c>
      <c r="N1201" s="25"/>
      <c r="O1201" s="24">
        <v>0</v>
      </c>
      <c r="P1201" s="136">
        <f>+IF(PROVEEDORES[[#This Row],[SUBTOTAL]]&lt;PROVEEDORES[[#This Row],[base retencion]],0,PROVEEDORES[[#This Row],[retención aplicada]])</f>
        <v>0</v>
      </c>
      <c r="Q1201" s="24">
        <f>+PROVEEDORES[[#This Row],[Rete Fuente %]]*PROVEEDORES[[#This Row],[SUBTOTAL]]</f>
        <v>0</v>
      </c>
      <c r="R1201" s="23">
        <v>5650500</v>
      </c>
      <c r="S120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1" s="99">
        <f ca="1">IF(PROVEEDORES[[#This Row],[FECHA DE PAGO]]=0,TODAY()-PROVEEDORES[[#This Row],[FECHA DE FACTURACIÓN]]-PROVEEDORES[[#This Row],[PLAZO Días]],0)</f>
        <v>0</v>
      </c>
      <c r="U1201" s="149">
        <f>+VLOOKUP(PROVEEDORES[[#This Row],[PROVEEDOR]],Terceros!$A:$E,5,FALSE)</f>
        <v>0</v>
      </c>
      <c r="V1201" s="150">
        <f>+YEAR(PROVEEDORES[[#This Row],[FECHA DE FACTURACIÓN]])</f>
        <v>2022</v>
      </c>
      <c r="W1201" s="150">
        <f>+MATCH(PROVEEDORES[[#This Row],[año facturado]],Retenciones!$1:$1,0)</f>
        <v>5</v>
      </c>
      <c r="X1201" s="151">
        <f>+VLOOKUP(PROVEEDORES[[#This Row],[ID RETENCION]],Retenciones!$A$1:$O$24,PROVEEDORES[[#This Row],[indicador de columna]],FALSE)</f>
        <v>0</v>
      </c>
      <c r="Y1201" s="152">
        <f>+VLOOKUP(PROVEEDORES[[#This Row],[ID RETENCION]],Retenciones!$A$1:$O$24,2,FALSE)</f>
        <v>0</v>
      </c>
      <c r="Z1201" s="26"/>
      <c r="AA1201" s="26"/>
      <c r="AB1201" s="26"/>
      <c r="AC1201" s="26"/>
      <c r="AD1201" s="26"/>
      <c r="AE1201" s="26"/>
    </row>
    <row r="1202" spans="1:31" ht="21.95" customHeight="1" x14ac:dyDescent="0.25">
      <c r="A1202" s="97" t="str">
        <f>+IF(PROVEEDORES[[#This Row],[FECHA DE PAGO]]=PROVEEDORES[[#This Row],[FECHA DE FACTURACIÓN]],"DE CONTADO","CRÉDITO")</f>
        <v>DE CONTADO</v>
      </c>
      <c r="B1202" s="41" t="b">
        <f>+IF((PROVEEDORES[[#This Row],[FECHA DE PAGO]]-PROVEEDORES[[#This Row],[FECHA DE FACTURACIÓN]])&gt;PROVEEDORES[[#This Row],[PLAZO Días]],"PAGO VENCIDO")</f>
        <v>0</v>
      </c>
      <c r="C1202" s="22">
        <f>+VLOOKUP(PROVEEDORES[[#This Row],[PROVEEDOR]],TERCEROS_INFO[#All],2,FALSE)</f>
        <v>30</v>
      </c>
      <c r="D1202" s="27">
        <f>+SUMIFS(PROVEEDORES[Total],PROVEEDORES[PROVEEDOR],PROVEEDORES[[#This Row],[PROVEEDOR]],PROVEEDORES[FECHA DE PAGO],"")</f>
        <v>0</v>
      </c>
      <c r="E1202" s="27"/>
      <c r="F1202" s="62" t="str">
        <f>+VLOOKUP(PROVEEDORES[[#This Row],[PROVEEDOR]],
                       Terceros!$A:$G,
                       6,
                       FALSE)</f>
        <v/>
      </c>
      <c r="G1202" s="95">
        <v>44583</v>
      </c>
      <c r="H1202" s="28" t="s">
        <v>997</v>
      </c>
      <c r="I1202" s="95">
        <v>44583</v>
      </c>
      <c r="J1202" s="38" t="s">
        <v>998</v>
      </c>
      <c r="K1202" s="23">
        <v>510000</v>
      </c>
      <c r="L1202" s="23"/>
      <c r="M1202" s="24">
        <v>0</v>
      </c>
      <c r="N1202" s="25"/>
      <c r="O1202" s="24">
        <v>0</v>
      </c>
      <c r="P1202" s="136">
        <f>+IF(PROVEEDORES[[#This Row],[SUBTOTAL]]&lt;PROVEEDORES[[#This Row],[base retencion]],0,PROVEEDORES[[#This Row],[retención aplicada]])</f>
        <v>0</v>
      </c>
      <c r="Q1202" s="24">
        <f>+PROVEEDORES[[#This Row],[Rete Fuente %]]*PROVEEDORES[[#This Row],[SUBTOTAL]]</f>
        <v>0</v>
      </c>
      <c r="R1202" s="23">
        <v>510000</v>
      </c>
      <c r="S120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2" s="99">
        <f ca="1">IF(PROVEEDORES[[#This Row],[FECHA DE PAGO]]=0,TODAY()-PROVEEDORES[[#This Row],[FECHA DE FACTURACIÓN]]-PROVEEDORES[[#This Row],[PLAZO Días]],0)</f>
        <v>0</v>
      </c>
      <c r="U1202" s="149">
        <f>+VLOOKUP(PROVEEDORES[[#This Row],[PROVEEDOR]],Terceros!$A:$E,5,FALSE)</f>
        <v>0</v>
      </c>
      <c r="V1202" s="150">
        <f>+YEAR(PROVEEDORES[[#This Row],[FECHA DE FACTURACIÓN]])</f>
        <v>2022</v>
      </c>
      <c r="W1202" s="150">
        <f>+MATCH(PROVEEDORES[[#This Row],[año facturado]],Retenciones!$1:$1,0)</f>
        <v>5</v>
      </c>
      <c r="X1202" s="151">
        <f>+VLOOKUP(PROVEEDORES[[#This Row],[ID RETENCION]],Retenciones!$A$1:$O$24,PROVEEDORES[[#This Row],[indicador de columna]],FALSE)</f>
        <v>0</v>
      </c>
      <c r="Y1202" s="152">
        <f>+VLOOKUP(PROVEEDORES[[#This Row],[ID RETENCION]],Retenciones!$A$1:$O$24,2,FALSE)</f>
        <v>0</v>
      </c>
      <c r="Z1202" s="26"/>
      <c r="AA1202" s="26"/>
      <c r="AB1202" s="26"/>
      <c r="AC1202" s="26"/>
      <c r="AD1202" s="26"/>
      <c r="AE1202" s="26"/>
    </row>
    <row r="1203" spans="1:31" ht="21.95" customHeight="1" x14ac:dyDescent="0.25">
      <c r="A1203" s="97" t="str">
        <f>+IF(PROVEEDORES[[#This Row],[FECHA DE PAGO]]=PROVEEDORES[[#This Row],[FECHA DE FACTURACIÓN]],"DE CONTADO","CRÉDITO")</f>
        <v>CRÉDITO</v>
      </c>
      <c r="B1203" s="41" t="str">
        <f>+IF((PROVEEDORES[[#This Row],[FECHA DE PAGO]]-PROVEEDORES[[#This Row],[FECHA DE FACTURACIÓN]])&gt;PROVEEDORES[[#This Row],[PLAZO Días]],"PAGO VENCIDO")</f>
        <v>PAGO VENCIDO</v>
      </c>
      <c r="C1203" s="22">
        <f>+VLOOKUP(PROVEEDORES[[#This Row],[PROVEEDOR]],TERCEROS_INFO[#All],2,FALSE)</f>
        <v>30</v>
      </c>
      <c r="D1203" s="27">
        <f>+SUMIFS(PROVEEDORES[Total],PROVEEDORES[PROVEEDOR],PROVEEDORES[[#This Row],[PROVEEDOR]],PROVEEDORES[FECHA DE PAGO],"")</f>
        <v>1850000</v>
      </c>
      <c r="E1203" s="27"/>
      <c r="F1203" s="62" t="str">
        <f>+VLOOKUP(PROVEEDORES[[#This Row],[PROVEEDOR]],
                       Terceros!$A:$G,
                       6,
                       FALSE)</f>
        <v>globalpowerc2018@gmail.com;girlesa.ruiz@servipilas.com;joriescobar64@gmail.com</v>
      </c>
      <c r="G1203" s="95">
        <v>44621</v>
      </c>
      <c r="H1203" s="28" t="s">
        <v>1051</v>
      </c>
      <c r="I1203" s="95">
        <v>44585</v>
      </c>
      <c r="J1203" s="38" t="s">
        <v>1052</v>
      </c>
      <c r="K1203" s="23">
        <v>2420000</v>
      </c>
      <c r="L1203" s="23"/>
      <c r="M1203" s="24">
        <v>0</v>
      </c>
      <c r="N1203" s="25"/>
      <c r="O1203" s="24">
        <v>0</v>
      </c>
      <c r="P1203" s="136">
        <f>+IF(PROVEEDORES[[#This Row],[SUBTOTAL]]&lt;PROVEEDORES[[#This Row],[base retencion]],0,PROVEEDORES[[#This Row],[retención aplicada]])</f>
        <v>0</v>
      </c>
      <c r="Q1203" s="24">
        <f>+PROVEEDORES[[#This Row],[Rete Fuente %]]*PROVEEDORES[[#This Row],[SUBTOTAL]]</f>
        <v>0</v>
      </c>
      <c r="R1203" s="23">
        <v>2420000</v>
      </c>
      <c r="S120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3" s="99">
        <f ca="1">IF(PROVEEDORES[[#This Row],[FECHA DE PAGO]]=0,TODAY()-PROVEEDORES[[#This Row],[FECHA DE FACTURACIÓN]]-PROVEEDORES[[#This Row],[PLAZO Días]],0)</f>
        <v>0</v>
      </c>
      <c r="U1203" s="149">
        <f>+VLOOKUP(PROVEEDORES[[#This Row],[PROVEEDOR]],Terceros!$A:$E,5,FALSE)</f>
        <v>0</v>
      </c>
      <c r="V1203" s="150">
        <f>+YEAR(PROVEEDORES[[#This Row],[FECHA DE FACTURACIÓN]])</f>
        <v>2022</v>
      </c>
      <c r="W1203" s="150">
        <f>+MATCH(PROVEEDORES[[#This Row],[año facturado]],Retenciones!$1:$1,0)</f>
        <v>5</v>
      </c>
      <c r="X1203" s="151">
        <f>+VLOOKUP(PROVEEDORES[[#This Row],[ID RETENCION]],Retenciones!$A$1:$O$24,PROVEEDORES[[#This Row],[indicador de columna]],FALSE)</f>
        <v>0</v>
      </c>
      <c r="Y1203" s="152">
        <f>+VLOOKUP(PROVEEDORES[[#This Row],[ID RETENCION]],Retenciones!$A$1:$O$24,2,FALSE)</f>
        <v>0</v>
      </c>
      <c r="Z1203" s="26"/>
      <c r="AA1203" s="26"/>
      <c r="AB1203" s="26"/>
      <c r="AC1203" s="26"/>
      <c r="AD1203" s="26"/>
      <c r="AE1203" s="26"/>
    </row>
    <row r="1204" spans="1:31" ht="21.95" customHeight="1" x14ac:dyDescent="0.25">
      <c r="A1204" s="97" t="str">
        <f>+IF(PROVEEDORES[[#This Row],[FECHA DE PAGO]]=PROVEEDORES[[#This Row],[FECHA DE FACTURACIÓN]],"DE CONTADO","CRÉDITO")</f>
        <v>CRÉDITO</v>
      </c>
      <c r="B1204" s="41" t="b">
        <f>+IF((PROVEEDORES[[#This Row],[FECHA DE PAGO]]-PROVEEDORES[[#This Row],[FECHA DE FACTURACIÓN]])&gt;PROVEEDORES[[#This Row],[PLAZO Días]],"PAGO VENCIDO")</f>
        <v>0</v>
      </c>
      <c r="C1204" s="22">
        <f>+VLOOKUP(PROVEEDORES[[#This Row],[PROVEEDOR]],TERCEROS_INFO[#All],2,FALSE)</f>
        <v>90</v>
      </c>
      <c r="D1204" s="27">
        <f>+SUMIFS(PROVEEDORES[Total],PROVEEDORES[PROVEEDOR],PROVEEDORES[[#This Row],[PROVEEDOR]],PROVEEDORES[FECHA DE PAGO],"")</f>
        <v>0</v>
      </c>
      <c r="E1204" s="27"/>
      <c r="F1204" s="62" t="str">
        <f>+VLOOKUP(PROVEEDORES[[#This Row],[PROVEEDOR]],
                       Terceros!$A:$G,
                       6,
                       FALSE)</f>
        <v/>
      </c>
      <c r="G1204" s="95">
        <v>44656</v>
      </c>
      <c r="H1204" s="28" t="s">
        <v>1018</v>
      </c>
      <c r="I1204" s="95">
        <v>44582</v>
      </c>
      <c r="J1204" s="38" t="s">
        <v>1019</v>
      </c>
      <c r="K1204" s="23">
        <v>2842000</v>
      </c>
      <c r="L1204" s="23"/>
      <c r="M1204" s="24">
        <v>0</v>
      </c>
      <c r="N1204" s="25"/>
      <c r="O1204" s="24">
        <v>0</v>
      </c>
      <c r="P1204" s="136">
        <f>+IF(PROVEEDORES[[#This Row],[SUBTOTAL]]&lt;PROVEEDORES[[#This Row],[base retencion]],0,PROVEEDORES[[#This Row],[retención aplicada]])</f>
        <v>0</v>
      </c>
      <c r="Q1204" s="24">
        <f>+PROVEEDORES[[#This Row],[Rete Fuente %]]*PROVEEDORES[[#This Row],[SUBTOTAL]]</f>
        <v>0</v>
      </c>
      <c r="R1204" s="23">
        <v>2842000</v>
      </c>
      <c r="S120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4" s="99">
        <f ca="1">IF(PROVEEDORES[[#This Row],[FECHA DE PAGO]]=0,TODAY()-PROVEEDORES[[#This Row],[FECHA DE FACTURACIÓN]]-PROVEEDORES[[#This Row],[PLAZO Días]],0)</f>
        <v>0</v>
      </c>
      <c r="U1204" s="149">
        <f>+VLOOKUP(PROVEEDORES[[#This Row],[PROVEEDOR]],Terceros!$A:$E,5,FALSE)</f>
        <v>0</v>
      </c>
      <c r="V1204" s="150">
        <f>+YEAR(PROVEEDORES[[#This Row],[FECHA DE FACTURACIÓN]])</f>
        <v>2022</v>
      </c>
      <c r="W1204" s="150">
        <f>+MATCH(PROVEEDORES[[#This Row],[año facturado]],Retenciones!$1:$1,0)</f>
        <v>5</v>
      </c>
      <c r="X1204" s="151">
        <f>+VLOOKUP(PROVEEDORES[[#This Row],[ID RETENCION]],Retenciones!$A$1:$O$24,PROVEEDORES[[#This Row],[indicador de columna]],FALSE)</f>
        <v>0</v>
      </c>
      <c r="Y1204" s="152">
        <f>+VLOOKUP(PROVEEDORES[[#This Row],[ID RETENCION]],Retenciones!$A$1:$O$24,2,FALSE)</f>
        <v>0</v>
      </c>
      <c r="Z1204" s="26"/>
      <c r="AA1204" s="26"/>
      <c r="AB1204" s="26"/>
      <c r="AC1204" s="26"/>
      <c r="AD1204" s="26"/>
      <c r="AE1204" s="26"/>
    </row>
    <row r="1205" spans="1:31" ht="21.95" customHeight="1" x14ac:dyDescent="0.25">
      <c r="A1205" s="97" t="str">
        <f>+IF(PROVEEDORES[[#This Row],[FECHA DE PAGO]]=PROVEEDORES[[#This Row],[FECHA DE FACTURACIÓN]],"DE CONTADO","CRÉDITO")</f>
        <v>CRÉDITO</v>
      </c>
      <c r="B1205" s="41" t="str">
        <f>+IF((PROVEEDORES[[#This Row],[FECHA DE PAGO]]-PROVEEDORES[[#This Row],[FECHA DE FACTURACIÓN]])&gt;PROVEEDORES[[#This Row],[PLAZO Días]],"PAGO VENCIDO")</f>
        <v>PAGO VENCIDO</v>
      </c>
      <c r="C1205" s="22">
        <f>+VLOOKUP(PROVEEDORES[[#This Row],[PROVEEDOR]],TERCEROS_INFO[#All],2,FALSE)</f>
        <v>60</v>
      </c>
      <c r="D1205" s="27">
        <f>+SUMIFS(PROVEEDORES[Total],PROVEEDORES[PROVEEDOR],PROVEEDORES[[#This Row],[PROVEEDOR]],PROVEEDORES[FECHA DE PAGO],"")</f>
        <v>11143041</v>
      </c>
      <c r="E1205" s="27"/>
      <c r="F1205" s="62">
        <f>+VLOOKUP(PROVEEDORES[[#This Row],[PROVEEDOR]],
                       Terceros!$A:$G,
                       6,
                       FALSE)</f>
        <v>0</v>
      </c>
      <c r="G1205" s="95">
        <v>44678</v>
      </c>
      <c r="H1205" s="28" t="s">
        <v>507</v>
      </c>
      <c r="I1205" s="95">
        <v>44585</v>
      </c>
      <c r="J1205" s="38" t="s">
        <v>1172</v>
      </c>
      <c r="K1205" s="23">
        <v>6152000</v>
      </c>
      <c r="L1205" s="23"/>
      <c r="M1205" s="24">
        <f>(PROVEEDORES[[#This Row],[SUBTOTAL]]-PROVEEDORES[[#This Row],[descuento antes de IVA]])*VLOOKUP(PROVEEDORES[[#This Row],[PROVEEDOR]],TERCEROS_INFO[#All],3,FALSE)</f>
        <v>1168880</v>
      </c>
      <c r="N1205" s="25"/>
      <c r="O1205" s="24">
        <f>+PROVEEDORES[[#This Row],[Descuento sobre subtotal %]]*(PROVEEDORES[[#This Row],[SUBTOTAL]]-PROVEEDORES[[#This Row],[descuento antes de IVA]])</f>
        <v>0</v>
      </c>
      <c r="P1205" s="136">
        <f>+IF(PROVEEDORES[[#This Row],[SUBTOTAL]]&lt;PROVEEDORES[[#This Row],[base retencion]],0,PROVEEDORES[[#This Row],[retención aplicada]])</f>
        <v>0</v>
      </c>
      <c r="Q1205" s="24">
        <f>+PROVEEDORES[[#This Row],[Rete Fuente %]]*PROVEEDORES[[#This Row],[SUBTOTAL]]</f>
        <v>0</v>
      </c>
      <c r="R1205" s="23">
        <f>+PROVEEDORES[[#This Row],[SUBTOTAL]]+PROVEEDORES[[#This Row],[IVA 19%]]-PROVEEDORES[[#This Row],[descuento antes de IVA]]-PROVEEDORES[[#This Row],[Descuento sobre subtotal $]]-PROVEEDORES[[#This Row],[Rete Fuente $]]</f>
        <v>7320880</v>
      </c>
      <c r="S120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5" s="99">
        <f ca="1">IF(PROVEEDORES[[#This Row],[FECHA DE PAGO]]=0,TODAY()-PROVEEDORES[[#This Row],[FECHA DE FACTURACIÓN]]-PROVEEDORES[[#This Row],[PLAZO Días]],0)</f>
        <v>0</v>
      </c>
      <c r="U1205" s="149">
        <f>+VLOOKUP(PROVEEDORES[[#This Row],[PROVEEDOR]],Terceros!$A:$E,5,FALSE)</f>
        <v>0</v>
      </c>
      <c r="V1205" s="150">
        <f>+YEAR(PROVEEDORES[[#This Row],[FECHA DE FACTURACIÓN]])</f>
        <v>2022</v>
      </c>
      <c r="W1205" s="150">
        <f>+MATCH(PROVEEDORES[[#This Row],[año facturado]],Retenciones!$1:$1,0)</f>
        <v>5</v>
      </c>
      <c r="X1205" s="151">
        <f>+VLOOKUP(PROVEEDORES[[#This Row],[ID RETENCION]],Retenciones!$A$1:$O$24,PROVEEDORES[[#This Row],[indicador de columna]],FALSE)</f>
        <v>0</v>
      </c>
      <c r="Y1205" s="152">
        <f>+VLOOKUP(PROVEEDORES[[#This Row],[ID RETENCION]],Retenciones!$A$1:$O$24,2,FALSE)</f>
        <v>0</v>
      </c>
      <c r="Z1205" s="26"/>
      <c r="AA1205" s="26"/>
      <c r="AB1205" s="26"/>
      <c r="AC1205" s="26"/>
      <c r="AD1205" s="26"/>
      <c r="AE1205" s="26"/>
    </row>
    <row r="1206" spans="1:31" ht="21.95" customHeight="1" x14ac:dyDescent="0.25">
      <c r="A1206" s="97" t="str">
        <f>+IF(PROVEEDORES[[#This Row],[FECHA DE PAGO]]=PROVEEDORES[[#This Row],[FECHA DE FACTURACIÓN]],"DE CONTADO","CRÉDITO")</f>
        <v>CRÉDITO</v>
      </c>
      <c r="B1206" s="41" t="b">
        <f>+IF((PROVEEDORES[[#This Row],[FECHA DE PAGO]]-PROVEEDORES[[#This Row],[FECHA DE FACTURACIÓN]])&gt;PROVEEDORES[[#This Row],[PLAZO Días]],"PAGO VENCIDO")</f>
        <v>0</v>
      </c>
      <c r="C1206" s="22">
        <f>+VLOOKUP(PROVEEDORES[[#This Row],[PROVEEDOR]],TERCEROS_INFO[#All],2,FALSE)</f>
        <v>60</v>
      </c>
      <c r="D1206" s="27">
        <f>+SUMIFS(PROVEEDORES[Total],PROVEEDORES[PROVEEDOR],PROVEEDORES[[#This Row],[PROVEEDOR]],PROVEEDORES[FECHA DE PAGO],"")</f>
        <v>758800</v>
      </c>
      <c r="E1206" s="27"/>
      <c r="F1206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G1206" s="95">
        <v>44623</v>
      </c>
      <c r="H1206" s="28" t="s">
        <v>604</v>
      </c>
      <c r="I1206" s="95">
        <v>44586</v>
      </c>
      <c r="J1206" s="38" t="s">
        <v>1086</v>
      </c>
      <c r="K1206" s="23">
        <v>180400</v>
      </c>
      <c r="L1206" s="23"/>
      <c r="M1206" s="24">
        <f>(PROVEEDORES[[#This Row],[SUBTOTAL]]-PROVEEDORES[[#This Row],[descuento antes de IVA]])*VLOOKUP(PROVEEDORES[[#This Row],[PROVEEDOR]],TERCEROS_INFO[#All],3,FALSE)</f>
        <v>0</v>
      </c>
      <c r="N1206" s="25"/>
      <c r="O1206" s="24">
        <v>0</v>
      </c>
      <c r="P1206" s="136">
        <f>+IF(PROVEEDORES[[#This Row],[SUBTOTAL]]&lt;PROVEEDORES[[#This Row],[base retencion]],0,PROVEEDORES[[#This Row],[retención aplicada]])</f>
        <v>0</v>
      </c>
      <c r="Q1206" s="24">
        <f>+PROVEEDORES[[#This Row],[Rete Fuente %]]*PROVEEDORES[[#This Row],[SUBTOTAL]]</f>
        <v>0</v>
      </c>
      <c r="R1206" s="23">
        <v>180400</v>
      </c>
      <c r="S120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6" s="99">
        <f ca="1">IF(PROVEEDORES[[#This Row],[FECHA DE PAGO]]=0,TODAY()-PROVEEDORES[[#This Row],[FECHA DE FACTURACIÓN]]-PROVEEDORES[[#This Row],[PLAZO Días]],0)</f>
        <v>0</v>
      </c>
      <c r="U1206" s="149">
        <f>+VLOOKUP(PROVEEDORES[[#This Row],[PROVEEDOR]],Terceros!$A:$E,5,FALSE)</f>
        <v>0</v>
      </c>
      <c r="V1206" s="150">
        <f>+YEAR(PROVEEDORES[[#This Row],[FECHA DE FACTURACIÓN]])</f>
        <v>2022</v>
      </c>
      <c r="W1206" s="150">
        <f>+MATCH(PROVEEDORES[[#This Row],[año facturado]],Retenciones!$1:$1,0)</f>
        <v>5</v>
      </c>
      <c r="X1206" s="151">
        <f>+VLOOKUP(PROVEEDORES[[#This Row],[ID RETENCION]],Retenciones!$A$1:$O$24,PROVEEDORES[[#This Row],[indicador de columna]],FALSE)</f>
        <v>0</v>
      </c>
      <c r="Y1206" s="152">
        <f>+VLOOKUP(PROVEEDORES[[#This Row],[ID RETENCION]],Retenciones!$A$1:$O$24,2,FALSE)</f>
        <v>0</v>
      </c>
      <c r="Z1206" s="26"/>
      <c r="AA1206" s="26"/>
      <c r="AB1206" s="26"/>
      <c r="AC1206" s="26"/>
      <c r="AD1206" s="26"/>
      <c r="AE1206" s="26"/>
    </row>
    <row r="1207" spans="1:31" ht="21.95" customHeight="1" x14ac:dyDescent="0.25">
      <c r="A1207" s="97" t="str">
        <f>+IF(PROVEEDORES[[#This Row],[FECHA DE PAGO]]=PROVEEDORES[[#This Row],[FECHA DE FACTURACIÓN]],"DE CONTADO","CRÉDITO")</f>
        <v>CRÉDITO</v>
      </c>
      <c r="B1207" s="41" t="str">
        <f>+IF((PROVEEDORES[[#This Row],[FECHA DE PAGO]]-PROVEEDORES[[#This Row],[FECHA DE FACTURACIÓN]])&gt;PROVEEDORES[[#This Row],[PLAZO Días]],"PAGO VENCIDO")</f>
        <v>PAGO VENCIDO</v>
      </c>
      <c r="C1207" s="22">
        <f>+VLOOKUP(PROVEEDORES[[#This Row],[PROVEEDOR]],TERCEROS_INFO[#All],2,FALSE)</f>
        <v>30</v>
      </c>
      <c r="D1207" s="27">
        <f>+SUMIFS(PROVEEDORES[Total],PROVEEDORES[PROVEEDOR],PROVEEDORES[[#This Row],[PROVEEDOR]],PROVEEDORES[FECHA DE PAGO],"")</f>
        <v>4641412.7745000003</v>
      </c>
      <c r="E1207" s="27"/>
      <c r="F1207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1207" s="95">
        <v>44657</v>
      </c>
      <c r="H1207" s="28" t="s">
        <v>20</v>
      </c>
      <c r="I1207" s="95">
        <v>44585</v>
      </c>
      <c r="J1207" s="38">
        <v>6124</v>
      </c>
      <c r="K1207" s="23">
        <v>4330819.2</v>
      </c>
      <c r="L1207" s="23"/>
      <c r="M1207" s="24">
        <v>822855.64800000004</v>
      </c>
      <c r="N1207" s="25"/>
      <c r="O1207" s="24">
        <v>0</v>
      </c>
      <c r="P1207" s="136">
        <f>+IF(PROVEEDORES[[#This Row],[SUBTOTAL]]&lt;PROVEEDORES[[#This Row],[base retencion]],0,PROVEEDORES[[#This Row],[retención aplicada]])</f>
        <v>2.5000000000000001E-2</v>
      </c>
      <c r="Q1207" s="24">
        <f>+PROVEEDORES[[#This Row],[Rete Fuente %]]*PROVEEDORES[[#This Row],[SUBTOTAL]]</f>
        <v>108270.48000000001</v>
      </c>
      <c r="R1207" s="23">
        <v>5045404.3679999998</v>
      </c>
      <c r="S120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7" s="99">
        <f ca="1">IF(PROVEEDORES[[#This Row],[FECHA DE PAGO]]=0,TODAY()-PROVEEDORES[[#This Row],[FECHA DE FACTURACIÓN]]-PROVEEDORES[[#This Row],[PLAZO Días]],0)</f>
        <v>0</v>
      </c>
      <c r="U1207" s="149" t="str">
        <f>+VLOOKUP(PROVEEDORES[[#This Row],[PROVEEDOR]],Terceros!$A:$E,5,FALSE)</f>
        <v>2,5% con base</v>
      </c>
      <c r="V1207" s="150">
        <f>+YEAR(PROVEEDORES[[#This Row],[FECHA DE FACTURACIÓN]])</f>
        <v>2022</v>
      </c>
      <c r="W1207" s="150">
        <f>+MATCH(PROVEEDORES[[#This Row],[año facturado]],Retenciones!$1:$1,0)</f>
        <v>5</v>
      </c>
      <c r="X1207" s="151">
        <f>+VLOOKUP(PROVEEDORES[[#This Row],[ID RETENCION]],Retenciones!$A$1:$O$24,PROVEEDORES[[#This Row],[indicador de columna]],FALSE)</f>
        <v>1026000</v>
      </c>
      <c r="Y1207" s="152">
        <f>+VLOOKUP(PROVEEDORES[[#This Row],[ID RETENCION]],Retenciones!$A$1:$O$24,2,FALSE)</f>
        <v>2.5000000000000001E-2</v>
      </c>
      <c r="Z1207" s="26"/>
      <c r="AA1207" s="26"/>
      <c r="AB1207" s="26"/>
      <c r="AC1207" s="26"/>
      <c r="AD1207" s="26"/>
      <c r="AE1207" s="26"/>
    </row>
    <row r="1208" spans="1:31" ht="21.95" customHeight="1" x14ac:dyDescent="0.25">
      <c r="A1208" s="97" t="str">
        <f>+IF(PROVEEDORES[[#This Row],[FECHA DE PAGO]]=PROVEEDORES[[#This Row],[FECHA DE FACTURACIÓN]],"DE CONTADO","CRÉDITO")</f>
        <v>CRÉDITO</v>
      </c>
      <c r="B1208" s="41" t="b">
        <f>+IF((PROVEEDORES[[#This Row],[FECHA DE PAGO]]-PROVEEDORES[[#This Row],[FECHA DE FACTURACIÓN]])&gt;PROVEEDORES[[#This Row],[PLAZO Días]],"PAGO VENCIDO")</f>
        <v>0</v>
      </c>
      <c r="C1208" s="22">
        <f>+VLOOKUP(PROVEEDORES[[#This Row],[PROVEEDOR]],TERCEROS_INFO[#All],2,FALSE)</f>
        <v>30</v>
      </c>
      <c r="D1208" s="27">
        <f>+SUMIFS(PROVEEDORES[Total],PROVEEDORES[PROVEEDOR],PROVEEDORES[[#This Row],[PROVEEDOR]],PROVEEDORES[FECHA DE PAGO],"")</f>
        <v>195500</v>
      </c>
      <c r="E1208" s="27"/>
      <c r="F1208" s="62" t="str">
        <f>+VLOOKUP(PROVEEDORES[[#This Row],[PROVEEDOR]],
                       Terceros!$A:$G,
                       6,
                       FALSE)</f>
        <v/>
      </c>
      <c r="G1208" s="95">
        <v>44609</v>
      </c>
      <c r="H1208" s="28" t="s">
        <v>1047</v>
      </c>
      <c r="I1208" s="95">
        <v>44587</v>
      </c>
      <c r="J1208" s="38" t="s">
        <v>1048</v>
      </c>
      <c r="K1208" s="23">
        <v>271500</v>
      </c>
      <c r="L1208" s="23"/>
      <c r="M1208" s="24">
        <v>0</v>
      </c>
      <c r="N1208" s="25"/>
      <c r="O1208" s="24">
        <v>0</v>
      </c>
      <c r="P1208" s="136">
        <f>+IF(PROVEEDORES[[#This Row],[SUBTOTAL]]&lt;PROVEEDORES[[#This Row],[base retencion]],0,PROVEEDORES[[#This Row],[retención aplicada]])</f>
        <v>0</v>
      </c>
      <c r="Q1208" s="24">
        <f>+PROVEEDORES[[#This Row],[Rete Fuente %]]*PROVEEDORES[[#This Row],[SUBTOTAL]]</f>
        <v>0</v>
      </c>
      <c r="R1208" s="23">
        <v>271500</v>
      </c>
      <c r="S120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8" s="99">
        <f ca="1">IF(PROVEEDORES[[#This Row],[FECHA DE PAGO]]=0,TODAY()-PROVEEDORES[[#This Row],[FECHA DE FACTURACIÓN]]-PROVEEDORES[[#This Row],[PLAZO Días]],0)</f>
        <v>0</v>
      </c>
      <c r="U1208" s="149">
        <f>+VLOOKUP(PROVEEDORES[[#This Row],[PROVEEDOR]],Terceros!$A:$E,5,FALSE)</f>
        <v>0</v>
      </c>
      <c r="V1208" s="150">
        <f>+YEAR(PROVEEDORES[[#This Row],[FECHA DE FACTURACIÓN]])</f>
        <v>2022</v>
      </c>
      <c r="W1208" s="150">
        <f>+MATCH(PROVEEDORES[[#This Row],[año facturado]],Retenciones!$1:$1,0)</f>
        <v>5</v>
      </c>
      <c r="X1208" s="151">
        <f>+VLOOKUP(PROVEEDORES[[#This Row],[ID RETENCION]],Retenciones!$A$1:$O$24,PROVEEDORES[[#This Row],[indicador de columna]],FALSE)</f>
        <v>0</v>
      </c>
      <c r="Y1208" s="152">
        <f>+VLOOKUP(PROVEEDORES[[#This Row],[ID RETENCION]],Retenciones!$A$1:$O$24,2,FALSE)</f>
        <v>0</v>
      </c>
      <c r="Z1208" s="26"/>
      <c r="AA1208" s="26"/>
      <c r="AB1208" s="26"/>
      <c r="AC1208" s="26"/>
      <c r="AD1208" s="26"/>
      <c r="AE1208" s="26"/>
    </row>
    <row r="1209" spans="1:31" ht="21.95" customHeight="1" x14ac:dyDescent="0.25">
      <c r="A1209" s="97" t="str">
        <f>+IF(PROVEEDORES[[#This Row],[FECHA DE PAGO]]=PROVEEDORES[[#This Row],[FECHA DE FACTURACIÓN]],"DE CONTADO","CRÉDITO")</f>
        <v>CRÉDITO</v>
      </c>
      <c r="B1209" s="41" t="b">
        <f>+IF((PROVEEDORES[[#This Row],[FECHA DE PAGO]]-PROVEEDORES[[#This Row],[FECHA DE FACTURACIÓN]])&gt;PROVEEDORES[[#This Row],[PLAZO Días]],"PAGO VENCIDO")</f>
        <v>0</v>
      </c>
      <c r="C1209" s="22">
        <f>+VLOOKUP(PROVEEDORES[[#This Row],[PROVEEDOR]],TERCEROS_INFO[#All],2,FALSE)</f>
        <v>30</v>
      </c>
      <c r="D1209" s="27">
        <f>+SUMIFS(PROVEEDORES[Total],PROVEEDORES[PROVEEDOR],PROVEEDORES[[#This Row],[PROVEEDOR]],PROVEEDORES[FECHA DE PAGO],"")</f>
        <v>-40927.67</v>
      </c>
      <c r="E1209" s="27"/>
      <c r="F1209" s="62" t="str">
        <f>+VLOOKUP(PROVEEDORES[[#This Row],[PROVEEDOR]],
                       Terceros!$A:$G,
                       6,
                       FALSE)</f>
        <v>comercial4@apcmayorista.com;girlesa.ruiz@servipilas.com;joriescobar64@gmail.com</v>
      </c>
      <c r="H1209" s="28" t="s">
        <v>21</v>
      </c>
      <c r="I1209" s="95">
        <v>44587</v>
      </c>
      <c r="J1209" s="38" t="s">
        <v>1171</v>
      </c>
      <c r="K1209" s="23">
        <v>-34393</v>
      </c>
      <c r="L1209" s="23"/>
      <c r="M1209" s="24">
        <v>-6534.67</v>
      </c>
      <c r="N1209" s="25"/>
      <c r="O1209" s="24">
        <v>0</v>
      </c>
      <c r="P1209" s="136">
        <f>+IF(PROVEEDORES[[#This Row],[SUBTOTAL]]&lt;PROVEEDORES[[#This Row],[base retencion]],0,PROVEEDORES[[#This Row],[retención aplicada]])</f>
        <v>0</v>
      </c>
      <c r="Q1209" s="24">
        <f>+PROVEEDORES[[#This Row],[Rete Fuente %]]*PROVEEDORES[[#This Row],[SUBTOTAL]]</f>
        <v>0</v>
      </c>
      <c r="R1209" s="23">
        <v>-40927.67</v>
      </c>
      <c r="S1209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209" s="99">
        <f ca="1">IF(PROVEEDORES[[#This Row],[FECHA DE PAGO]]=0,TODAY()-PROVEEDORES[[#This Row],[FECHA DE FACTURACIÓN]]-PROVEEDORES[[#This Row],[PLAZO Días]],0)</f>
        <v>67</v>
      </c>
      <c r="U1209" s="149" t="str">
        <f>+VLOOKUP(PROVEEDORES[[#This Row],[PROVEEDOR]],Terceros!$A:$E,5,FALSE)</f>
        <v>2,5% con base</v>
      </c>
      <c r="V1209" s="150">
        <f>+YEAR(PROVEEDORES[[#This Row],[FECHA DE FACTURACIÓN]])</f>
        <v>2022</v>
      </c>
      <c r="W1209" s="150">
        <f>+MATCH(PROVEEDORES[[#This Row],[año facturado]],Retenciones!$1:$1,0)</f>
        <v>5</v>
      </c>
      <c r="X1209" s="151">
        <f>+VLOOKUP(PROVEEDORES[[#This Row],[ID RETENCION]],Retenciones!$A$1:$O$24,PROVEEDORES[[#This Row],[indicador de columna]],FALSE)</f>
        <v>1026000</v>
      </c>
      <c r="Y1209" s="152">
        <f>+VLOOKUP(PROVEEDORES[[#This Row],[ID RETENCION]],Retenciones!$A$1:$O$24,2,FALSE)</f>
        <v>2.5000000000000001E-2</v>
      </c>
      <c r="Z1209" s="26"/>
      <c r="AA1209" s="26"/>
      <c r="AB1209" s="26"/>
      <c r="AC1209" s="26"/>
      <c r="AD1209" s="26"/>
      <c r="AE1209" s="26"/>
    </row>
    <row r="1210" spans="1:31" ht="21.95" customHeight="1" x14ac:dyDescent="0.25">
      <c r="A1210" s="97" t="str">
        <f>+IF(PROVEEDORES[[#This Row],[FECHA DE PAGO]]=PROVEEDORES[[#This Row],[FECHA DE FACTURACIÓN]],"DE CONTADO","CRÉDITO")</f>
        <v>CRÉDITO</v>
      </c>
      <c r="B1210" s="41" t="str">
        <f>+IF((PROVEEDORES[[#This Row],[FECHA DE PAGO]]-PROVEEDORES[[#This Row],[FECHA DE FACTURACIÓN]])&gt;PROVEEDORES[[#This Row],[PLAZO Días]],"PAGO VENCIDO")</f>
        <v>PAGO VENCIDO</v>
      </c>
      <c r="C1210" s="22">
        <f>+VLOOKUP(PROVEEDORES[[#This Row],[PROVEEDOR]],TERCEROS_INFO[#All],2,FALSE)</f>
        <v>30</v>
      </c>
      <c r="D1210" s="27">
        <f>+SUMIFS(PROVEEDORES[Total],PROVEEDORES[PROVEEDOR],PROVEEDORES[[#This Row],[PROVEEDOR]],PROVEEDORES[FECHA DE PAGO],"")</f>
        <v>0</v>
      </c>
      <c r="E1210" s="27"/>
      <c r="F1210" s="62" t="str">
        <f>+VLOOKUP(PROVEEDORES[[#This Row],[PROVEEDOR]],
                       Terceros!$A:$G,
                       6,
                       FALSE)</f>
        <v>avelinacomer@gmail.com;girlesa.ruiz@servipilas.com;joriescobar64@gmail.com</v>
      </c>
      <c r="G1210" s="95">
        <v>44620</v>
      </c>
      <c r="H1210" s="28" t="s">
        <v>994</v>
      </c>
      <c r="I1210" s="95">
        <v>44587</v>
      </c>
      <c r="J1210" s="38" t="s">
        <v>995</v>
      </c>
      <c r="K1210" s="23">
        <v>1412800</v>
      </c>
      <c r="L1210" s="23"/>
      <c r="M1210" s="24">
        <v>0</v>
      </c>
      <c r="N1210" s="25"/>
      <c r="O1210" s="24">
        <v>0</v>
      </c>
      <c r="P1210" s="136">
        <f>+IF(PROVEEDORES[[#This Row],[SUBTOTAL]]&lt;PROVEEDORES[[#This Row],[base retencion]],0,PROVEEDORES[[#This Row],[retención aplicada]])</f>
        <v>0</v>
      </c>
      <c r="Q1210" s="24">
        <f>+PROVEEDORES[[#This Row],[Rete Fuente %]]*PROVEEDORES[[#This Row],[SUBTOTAL]]</f>
        <v>0</v>
      </c>
      <c r="R1210" s="23">
        <v>1412800</v>
      </c>
      <c r="S121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0" s="99">
        <f ca="1">IF(PROVEEDORES[[#This Row],[FECHA DE PAGO]]=0,TODAY()-PROVEEDORES[[#This Row],[FECHA DE FACTURACIÓN]]-PROVEEDORES[[#This Row],[PLAZO Días]],0)</f>
        <v>0</v>
      </c>
      <c r="U1210" s="149">
        <f>+VLOOKUP(PROVEEDORES[[#This Row],[PROVEEDOR]],Terceros!$A:$E,5,FALSE)</f>
        <v>0</v>
      </c>
      <c r="V1210" s="150">
        <f>+YEAR(PROVEEDORES[[#This Row],[FECHA DE FACTURACIÓN]])</f>
        <v>2022</v>
      </c>
      <c r="W1210" s="150">
        <f>+MATCH(PROVEEDORES[[#This Row],[año facturado]],Retenciones!$1:$1,0)</f>
        <v>5</v>
      </c>
      <c r="X1210" s="151">
        <f>+VLOOKUP(PROVEEDORES[[#This Row],[ID RETENCION]],Retenciones!$A$1:$O$24,PROVEEDORES[[#This Row],[indicador de columna]],FALSE)</f>
        <v>0</v>
      </c>
      <c r="Y1210" s="152">
        <f>+VLOOKUP(PROVEEDORES[[#This Row],[ID RETENCION]],Retenciones!$A$1:$O$24,2,FALSE)</f>
        <v>0</v>
      </c>
      <c r="Z1210" s="26"/>
      <c r="AA1210" s="26"/>
      <c r="AB1210" s="26"/>
      <c r="AC1210" s="26"/>
      <c r="AD1210" s="26"/>
      <c r="AE1210" s="26"/>
    </row>
    <row r="1211" spans="1:31" ht="21.95" customHeight="1" x14ac:dyDescent="0.25">
      <c r="A1211" s="97" t="str">
        <f>+IF(PROVEEDORES[[#This Row],[FECHA DE PAGO]]=PROVEEDORES[[#This Row],[FECHA DE FACTURACIÓN]],"DE CONTADO","CRÉDITO")</f>
        <v>CRÉDITO</v>
      </c>
      <c r="B1211" s="41" t="str">
        <f>+IF((PROVEEDORES[[#This Row],[FECHA DE PAGO]]-PROVEEDORES[[#This Row],[FECHA DE FACTURACIÓN]])&gt;PROVEEDORES[[#This Row],[PLAZO Días]],"PAGO VENCIDO")</f>
        <v>PAGO VENCIDO</v>
      </c>
      <c r="C1211" s="22">
        <f>+VLOOKUP(PROVEEDORES[[#This Row],[PROVEEDOR]],TERCEROS_INFO[#All],2,FALSE)</f>
        <v>45</v>
      </c>
      <c r="D1211" s="27">
        <f>+SUMIFS(PROVEEDORES[Total],PROVEEDORES[PROVEEDOR],PROVEEDORES[[#This Row],[PROVEEDOR]],PROVEEDORES[FECHA DE PAGO],"")</f>
        <v>3412539.2</v>
      </c>
      <c r="E1211" s="27"/>
      <c r="F1211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1211" s="95">
        <v>44656</v>
      </c>
      <c r="H1211" s="28" t="s">
        <v>10</v>
      </c>
      <c r="I1211" s="95">
        <v>44587</v>
      </c>
      <c r="J1211" s="38" t="s">
        <v>1159</v>
      </c>
      <c r="K1211" s="23">
        <v>1200000</v>
      </c>
      <c r="L1211" s="23"/>
      <c r="M1211" s="24">
        <v>228000</v>
      </c>
      <c r="N1211" s="25"/>
      <c r="O1211" s="24">
        <v>0</v>
      </c>
      <c r="P1211" s="136">
        <f>+IF(PROVEEDORES[[#This Row],[SUBTOTAL]]&lt;PROVEEDORES[[#This Row],[base retencion]],0,PROVEEDORES[[#This Row],[retención aplicada]])</f>
        <v>0</v>
      </c>
      <c r="Q1211" s="24">
        <f>+PROVEEDORES[[#This Row],[Rete Fuente %]]*PROVEEDORES[[#This Row],[SUBTOTAL]]</f>
        <v>0</v>
      </c>
      <c r="R1211" s="23">
        <v>1428000</v>
      </c>
      <c r="S121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1" s="99">
        <f ca="1">IF(PROVEEDORES[[#This Row],[FECHA DE PAGO]]=0,TODAY()-PROVEEDORES[[#This Row],[FECHA DE FACTURACIÓN]]-PROVEEDORES[[#This Row],[PLAZO Días]],0)</f>
        <v>0</v>
      </c>
      <c r="U1211" s="149">
        <f>+VLOOKUP(PROVEEDORES[[#This Row],[PROVEEDOR]],Terceros!$A:$E,5,FALSE)</f>
        <v>0</v>
      </c>
      <c r="V1211" s="150">
        <f>+YEAR(PROVEEDORES[[#This Row],[FECHA DE FACTURACIÓN]])</f>
        <v>2022</v>
      </c>
      <c r="W1211" s="150">
        <f>+MATCH(PROVEEDORES[[#This Row],[año facturado]],Retenciones!$1:$1,0)</f>
        <v>5</v>
      </c>
      <c r="X1211" s="151">
        <f>+VLOOKUP(PROVEEDORES[[#This Row],[ID RETENCION]],Retenciones!$A$1:$O$24,PROVEEDORES[[#This Row],[indicador de columna]],FALSE)</f>
        <v>0</v>
      </c>
      <c r="Y1211" s="152">
        <f>+VLOOKUP(PROVEEDORES[[#This Row],[ID RETENCION]],Retenciones!$A$1:$O$24,2,FALSE)</f>
        <v>0</v>
      </c>
      <c r="Z1211" s="26"/>
      <c r="AA1211" s="26"/>
      <c r="AB1211" s="26"/>
      <c r="AC1211" s="26"/>
      <c r="AD1211" s="26"/>
      <c r="AE1211" s="26"/>
    </row>
    <row r="1212" spans="1:31" ht="21.95" customHeight="1" x14ac:dyDescent="0.25">
      <c r="A1212" s="97" t="str">
        <f>+IF(PROVEEDORES[[#This Row],[FECHA DE PAGO]]=PROVEEDORES[[#This Row],[FECHA DE FACTURACIÓN]],"DE CONTADO","CRÉDITO")</f>
        <v>CRÉDITO</v>
      </c>
      <c r="B1212" s="41" t="b">
        <f>+IF((PROVEEDORES[[#This Row],[FECHA DE PAGO]]-PROVEEDORES[[#This Row],[FECHA DE FACTURACIÓN]])&gt;PROVEEDORES[[#This Row],[PLAZO Días]],"PAGO VENCIDO")</f>
        <v>0</v>
      </c>
      <c r="C1212" s="22">
        <f>+VLOOKUP(PROVEEDORES[[#This Row],[PROVEEDOR]],TERCEROS_INFO[#All],2,FALSE)</f>
        <v>30</v>
      </c>
      <c r="D1212" s="27">
        <f>+SUMIFS(PROVEEDORES[Total],PROVEEDORES[PROVEEDOR],PROVEEDORES[[#This Row],[PROVEEDOR]],PROVEEDORES[FECHA DE PAGO],"")</f>
        <v>0</v>
      </c>
      <c r="E1212" s="27"/>
      <c r="F1212" s="62" t="str">
        <f>+VLOOKUP(PROVEEDORES[[#This Row],[PROVEEDOR]],
                       Terceros!$A:$G,
                       6,
                       FALSE)</f>
        <v>??;girlesa.ruiz@servipilas.com;joriescobar64@gmail.com</v>
      </c>
      <c r="G1212" s="95">
        <v>44588</v>
      </c>
      <c r="H1212" s="28" t="s">
        <v>452</v>
      </c>
      <c r="I1212" s="95">
        <v>44587</v>
      </c>
      <c r="J1212" s="38">
        <v>130713</v>
      </c>
      <c r="K1212" s="23">
        <v>1874000</v>
      </c>
      <c r="L1212" s="23"/>
      <c r="M1212" s="24">
        <v>0</v>
      </c>
      <c r="N1212" s="25"/>
      <c r="O1212" s="24">
        <v>0</v>
      </c>
      <c r="P1212" s="136">
        <f>+IF(PROVEEDORES[[#This Row],[SUBTOTAL]]&lt;PROVEEDORES[[#This Row],[base retencion]],0,PROVEEDORES[[#This Row],[retención aplicada]])</f>
        <v>0</v>
      </c>
      <c r="Q1212" s="24">
        <f>+PROVEEDORES[[#This Row],[Rete Fuente %]]*PROVEEDORES[[#This Row],[SUBTOTAL]]</f>
        <v>0</v>
      </c>
      <c r="R1212" s="23">
        <v>1874000</v>
      </c>
      <c r="S121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2" s="99">
        <f ca="1">IF(PROVEEDORES[[#This Row],[FECHA DE PAGO]]=0,TODAY()-PROVEEDORES[[#This Row],[FECHA DE FACTURACIÓN]]-PROVEEDORES[[#This Row],[PLAZO Días]],0)</f>
        <v>0</v>
      </c>
      <c r="U1212" s="149">
        <f>+VLOOKUP(PROVEEDORES[[#This Row],[PROVEEDOR]],Terceros!$A:$E,5,FALSE)</f>
        <v>0</v>
      </c>
      <c r="V1212" s="150">
        <f>+YEAR(PROVEEDORES[[#This Row],[FECHA DE FACTURACIÓN]])</f>
        <v>2022</v>
      </c>
      <c r="W1212" s="150">
        <f>+MATCH(PROVEEDORES[[#This Row],[año facturado]],Retenciones!$1:$1,0)</f>
        <v>5</v>
      </c>
      <c r="X1212" s="151">
        <f>+VLOOKUP(PROVEEDORES[[#This Row],[ID RETENCION]],Retenciones!$A$1:$O$24,PROVEEDORES[[#This Row],[indicador de columna]],FALSE)</f>
        <v>0</v>
      </c>
      <c r="Y1212" s="152">
        <f>+VLOOKUP(PROVEEDORES[[#This Row],[ID RETENCION]],Retenciones!$A$1:$O$24,2,FALSE)</f>
        <v>0</v>
      </c>
      <c r="Z1212" s="26"/>
      <c r="AA1212" s="26"/>
      <c r="AB1212" s="26"/>
      <c r="AC1212" s="26"/>
      <c r="AD1212" s="26"/>
      <c r="AE1212" s="26"/>
    </row>
    <row r="1213" spans="1:31" ht="21.95" customHeight="1" x14ac:dyDescent="0.25">
      <c r="A1213" s="97" t="str">
        <f>+IF(PROVEEDORES[[#This Row],[FECHA DE PAGO]]=PROVEEDORES[[#This Row],[FECHA DE FACTURACIÓN]],"DE CONTADO","CRÉDITO")</f>
        <v>CRÉDITO</v>
      </c>
      <c r="B1213" s="41" t="b">
        <f>+IF((PROVEEDORES[[#This Row],[FECHA DE PAGO]]-PROVEEDORES[[#This Row],[FECHA DE FACTURACIÓN]])&gt;PROVEEDORES[[#This Row],[PLAZO Días]],"PAGO VENCIDO")</f>
        <v>0</v>
      </c>
      <c r="C1213" s="22">
        <f>+VLOOKUP(PROVEEDORES[[#This Row],[PROVEEDOR]],TERCEROS_INFO[#All],2,FALSE)</f>
        <v>30</v>
      </c>
      <c r="D1213" s="27">
        <f>+SUMIFS(PROVEEDORES[Total],PROVEEDORES[PROVEEDOR],PROVEEDORES[[#This Row],[PROVEEDOR]],PROVEEDORES[FECHA DE PAGO],"")</f>
        <v>0</v>
      </c>
      <c r="E1213" s="27"/>
      <c r="F1213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1213" s="95">
        <v>44588</v>
      </c>
      <c r="H1213" s="28" t="s">
        <v>453</v>
      </c>
      <c r="I1213" s="95">
        <v>44587</v>
      </c>
      <c r="J1213" s="38" t="s">
        <v>1133</v>
      </c>
      <c r="K1213" s="23">
        <v>1919000</v>
      </c>
      <c r="L1213" s="23"/>
      <c r="M1213" s="24">
        <v>0</v>
      </c>
      <c r="N1213" s="25"/>
      <c r="O1213" s="24">
        <v>0</v>
      </c>
      <c r="P1213" s="136">
        <f>+IF(PROVEEDORES[[#This Row],[SUBTOTAL]]&lt;PROVEEDORES[[#This Row],[base retencion]],0,PROVEEDORES[[#This Row],[retención aplicada]])</f>
        <v>0</v>
      </c>
      <c r="Q1213" s="24">
        <f>+PROVEEDORES[[#This Row],[Rete Fuente %]]*PROVEEDORES[[#This Row],[SUBTOTAL]]</f>
        <v>0</v>
      </c>
      <c r="R1213" s="23">
        <v>1919000</v>
      </c>
      <c r="S121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3" s="99">
        <f ca="1">IF(PROVEEDORES[[#This Row],[FECHA DE PAGO]]=0,TODAY()-PROVEEDORES[[#This Row],[FECHA DE FACTURACIÓN]]-PROVEEDORES[[#This Row],[PLAZO Días]],0)</f>
        <v>0</v>
      </c>
      <c r="U1213" s="149">
        <f>+VLOOKUP(PROVEEDORES[[#This Row],[PROVEEDOR]],Terceros!$A:$E,5,FALSE)</f>
        <v>0</v>
      </c>
      <c r="V1213" s="150">
        <f>+YEAR(PROVEEDORES[[#This Row],[FECHA DE FACTURACIÓN]])</f>
        <v>2022</v>
      </c>
      <c r="W1213" s="150">
        <f>+MATCH(PROVEEDORES[[#This Row],[año facturado]],Retenciones!$1:$1,0)</f>
        <v>5</v>
      </c>
      <c r="X1213" s="151">
        <f>+VLOOKUP(PROVEEDORES[[#This Row],[ID RETENCION]],Retenciones!$A$1:$O$24,PROVEEDORES[[#This Row],[indicador de columna]],FALSE)</f>
        <v>0</v>
      </c>
      <c r="Y1213" s="152">
        <f>+VLOOKUP(PROVEEDORES[[#This Row],[ID RETENCION]],Retenciones!$A$1:$O$24,2,FALSE)</f>
        <v>0</v>
      </c>
      <c r="Z1213" s="26"/>
      <c r="AA1213" s="26"/>
      <c r="AB1213" s="26"/>
      <c r="AC1213" s="26"/>
      <c r="AD1213" s="26"/>
      <c r="AE1213" s="26"/>
    </row>
    <row r="1214" spans="1:31" ht="21.95" customHeight="1" x14ac:dyDescent="0.25">
      <c r="A1214" s="97" t="str">
        <f>+IF(PROVEEDORES[[#This Row],[FECHA DE PAGO]]=PROVEEDORES[[#This Row],[FECHA DE FACTURACIÓN]],"DE CONTADO","CRÉDITO")</f>
        <v>CRÉDITO</v>
      </c>
      <c r="B1214" s="41" t="b">
        <f>+IF((PROVEEDORES[[#This Row],[FECHA DE PAGO]]-PROVEEDORES[[#This Row],[FECHA DE FACTURACIÓN]])&gt;PROVEEDORES[[#This Row],[PLAZO Días]],"PAGO VENCIDO")</f>
        <v>0</v>
      </c>
      <c r="C1214" s="22">
        <f>+VLOOKUP(PROVEEDORES[[#This Row],[PROVEEDOR]],TERCEROS_INFO[#All],2,FALSE)</f>
        <v>45</v>
      </c>
      <c r="D1214" s="27">
        <f>+SUMIFS(PROVEEDORES[Total],PROVEEDORES[PROVEEDOR],PROVEEDORES[[#This Row],[PROVEEDOR]],PROVEEDORES[FECHA DE PAGO],"")</f>
        <v>0</v>
      </c>
      <c r="E1214" s="27"/>
      <c r="F1214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G1214" s="95">
        <v>44623</v>
      </c>
      <c r="H1214" s="28" t="s">
        <v>605</v>
      </c>
      <c r="I1214" s="95">
        <v>44587</v>
      </c>
      <c r="J1214" s="38" t="s">
        <v>1089</v>
      </c>
      <c r="K1214" s="23">
        <v>2706000</v>
      </c>
      <c r="L1214" s="23"/>
      <c r="M1214" s="24">
        <v>0</v>
      </c>
      <c r="N1214" s="25"/>
      <c r="O1214" s="24">
        <v>0</v>
      </c>
      <c r="P1214" s="136">
        <f>+IF(PROVEEDORES[[#This Row],[SUBTOTAL]]&lt;PROVEEDORES[[#This Row],[base retencion]],0,PROVEEDORES[[#This Row],[retención aplicada]])</f>
        <v>0</v>
      </c>
      <c r="Q1214" s="24">
        <f>+PROVEEDORES[[#This Row],[Rete Fuente %]]*PROVEEDORES[[#This Row],[SUBTOTAL]]</f>
        <v>0</v>
      </c>
      <c r="R1214" s="23">
        <v>2706000</v>
      </c>
      <c r="S121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4" s="99">
        <f ca="1">IF(PROVEEDORES[[#This Row],[FECHA DE PAGO]]=0,TODAY()-PROVEEDORES[[#This Row],[FECHA DE FACTURACIÓN]]-PROVEEDORES[[#This Row],[PLAZO Días]],0)</f>
        <v>0</v>
      </c>
      <c r="U1214" s="149">
        <f>+VLOOKUP(PROVEEDORES[[#This Row],[PROVEEDOR]],Terceros!$A:$E,5,FALSE)</f>
        <v>0</v>
      </c>
      <c r="V1214" s="150">
        <f>+YEAR(PROVEEDORES[[#This Row],[FECHA DE FACTURACIÓN]])</f>
        <v>2022</v>
      </c>
      <c r="W1214" s="150">
        <f>+MATCH(PROVEEDORES[[#This Row],[año facturado]],Retenciones!$1:$1,0)</f>
        <v>5</v>
      </c>
      <c r="X1214" s="151">
        <f>+VLOOKUP(PROVEEDORES[[#This Row],[ID RETENCION]],Retenciones!$A$1:$O$24,PROVEEDORES[[#This Row],[indicador de columna]],FALSE)</f>
        <v>0</v>
      </c>
      <c r="Y1214" s="152">
        <f>+VLOOKUP(PROVEEDORES[[#This Row],[ID RETENCION]],Retenciones!$A$1:$O$24,2,FALSE)</f>
        <v>0</v>
      </c>
      <c r="Z1214" s="26"/>
      <c r="AA1214" s="26"/>
      <c r="AB1214" s="26"/>
      <c r="AC1214" s="26"/>
      <c r="AD1214" s="26"/>
      <c r="AE1214" s="26"/>
    </row>
    <row r="1215" spans="1:31" ht="21.95" customHeight="1" x14ac:dyDescent="0.25">
      <c r="A1215" s="97" t="str">
        <f>+IF(PROVEEDORES[[#This Row],[FECHA DE PAGO]]=PROVEEDORES[[#This Row],[FECHA DE FACTURACIÓN]],"DE CONTADO","CRÉDITO")</f>
        <v>CRÉDITO</v>
      </c>
      <c r="B1215" s="41" t="str">
        <f>+IF((PROVEEDORES[[#This Row],[FECHA DE PAGO]]-PROVEEDORES[[#This Row],[FECHA DE FACTURACIÓN]])&gt;PROVEEDORES[[#This Row],[PLAZO Días]],"PAGO VENCIDO")</f>
        <v>PAGO VENCIDO</v>
      </c>
      <c r="C1215" s="22">
        <f>+VLOOKUP(PROVEEDORES[[#This Row],[PROVEEDOR]],TERCEROS_INFO[#All],2,FALSE)</f>
        <v>45</v>
      </c>
      <c r="D1215" s="27">
        <f>+SUMIFS(PROVEEDORES[Total],PROVEEDORES[PROVEEDOR],PROVEEDORES[[#This Row],[PROVEEDOR]],PROVEEDORES[FECHA DE PAGO],"")</f>
        <v>3412539.2</v>
      </c>
      <c r="E1215" s="27"/>
      <c r="F1215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1215" s="95">
        <v>44656</v>
      </c>
      <c r="H1215" s="28" t="s">
        <v>10</v>
      </c>
      <c r="I1215" s="95">
        <v>44587</v>
      </c>
      <c r="J1215" s="38" t="s">
        <v>1158</v>
      </c>
      <c r="K1215" s="23">
        <v>1600000</v>
      </c>
      <c r="L1215" s="23"/>
      <c r="M1215" s="24">
        <v>304000</v>
      </c>
      <c r="N1215" s="25"/>
      <c r="O1215" s="24">
        <v>0</v>
      </c>
      <c r="P1215" s="136">
        <f>+IF(PROVEEDORES[[#This Row],[SUBTOTAL]]&lt;PROVEEDORES[[#This Row],[base retencion]],0,PROVEEDORES[[#This Row],[retención aplicada]])</f>
        <v>0</v>
      </c>
      <c r="Q1215" s="24">
        <f>+PROVEEDORES[[#This Row],[Rete Fuente %]]*PROVEEDORES[[#This Row],[SUBTOTAL]]</f>
        <v>0</v>
      </c>
      <c r="R1215" s="23">
        <v>1904000</v>
      </c>
      <c r="S121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5" s="99">
        <f ca="1">IF(PROVEEDORES[[#This Row],[FECHA DE PAGO]]=0,TODAY()-PROVEEDORES[[#This Row],[FECHA DE FACTURACIÓN]]-PROVEEDORES[[#This Row],[PLAZO Días]],0)</f>
        <v>0</v>
      </c>
      <c r="U1215" s="149">
        <f>+VLOOKUP(PROVEEDORES[[#This Row],[PROVEEDOR]],Terceros!$A:$E,5,FALSE)</f>
        <v>0</v>
      </c>
      <c r="V1215" s="150">
        <f>+YEAR(PROVEEDORES[[#This Row],[FECHA DE FACTURACIÓN]])</f>
        <v>2022</v>
      </c>
      <c r="W1215" s="150">
        <f>+MATCH(PROVEEDORES[[#This Row],[año facturado]],Retenciones!$1:$1,0)</f>
        <v>5</v>
      </c>
      <c r="X1215" s="151">
        <f>+VLOOKUP(PROVEEDORES[[#This Row],[ID RETENCION]],Retenciones!$A$1:$O$24,PROVEEDORES[[#This Row],[indicador de columna]],FALSE)</f>
        <v>0</v>
      </c>
      <c r="Y1215" s="152">
        <f>+VLOOKUP(PROVEEDORES[[#This Row],[ID RETENCION]],Retenciones!$A$1:$O$24,2,FALSE)</f>
        <v>0</v>
      </c>
      <c r="Z1215" s="26"/>
      <c r="AA1215" s="26"/>
      <c r="AB1215" s="26"/>
      <c r="AC1215" s="26"/>
      <c r="AD1215" s="26"/>
      <c r="AE1215" s="26"/>
    </row>
    <row r="1216" spans="1:31" ht="21.95" customHeight="1" x14ac:dyDescent="0.25">
      <c r="A1216" s="97" t="str">
        <f>+IF(PROVEEDORES[[#This Row],[FECHA DE PAGO]]=PROVEEDORES[[#This Row],[FECHA DE FACTURACIÓN]],"DE CONTADO","CRÉDITO")</f>
        <v>CRÉDITO</v>
      </c>
      <c r="B1216" s="41" t="str">
        <f>+IF((PROVEEDORES[[#This Row],[FECHA DE PAGO]]-PROVEEDORES[[#This Row],[FECHA DE FACTURACIÓN]])&gt;PROVEEDORES[[#This Row],[PLAZO Días]],"PAGO VENCIDO")</f>
        <v>PAGO VENCIDO</v>
      </c>
      <c r="C1216" s="22">
        <f>+VLOOKUP(PROVEEDORES[[#This Row],[PROVEEDOR]],TERCEROS_INFO[#All],2,FALSE)</f>
        <v>30</v>
      </c>
      <c r="D1216" s="27">
        <f>+SUMIFS(PROVEEDORES[Total],PROVEEDORES[PROVEEDOR],PROVEEDORES[[#This Row],[PROVEEDOR]],PROVEEDORES[FECHA DE PAGO],"")</f>
        <v>4641412.7745000003</v>
      </c>
      <c r="E1216" s="27"/>
      <c r="F1216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1216" s="95">
        <v>44657</v>
      </c>
      <c r="H1216" s="28" t="s">
        <v>20</v>
      </c>
      <c r="I1216" s="95">
        <v>44588</v>
      </c>
      <c r="J1216" s="38" t="s">
        <v>1085</v>
      </c>
      <c r="K1216" s="23">
        <v>-1591200</v>
      </c>
      <c r="L1216" s="23"/>
      <c r="M1216" s="24">
        <v>-302328</v>
      </c>
      <c r="N1216" s="25"/>
      <c r="O1216" s="24">
        <v>0</v>
      </c>
      <c r="P1216" s="136">
        <f>+IF(PROVEEDORES[[#This Row],[SUBTOTAL]]&lt;PROVEEDORES[[#This Row],[base retencion]],0,PROVEEDORES[[#This Row],[retención aplicada]])</f>
        <v>0</v>
      </c>
      <c r="Q1216" s="24">
        <f>+PROVEEDORES[[#This Row],[Rete Fuente %]]*PROVEEDORES[[#This Row],[SUBTOTAL]]</f>
        <v>0</v>
      </c>
      <c r="R1216" s="23">
        <v>-1853748</v>
      </c>
      <c r="S121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6" s="99">
        <f ca="1">IF(PROVEEDORES[[#This Row],[FECHA DE PAGO]]=0,TODAY()-PROVEEDORES[[#This Row],[FECHA DE FACTURACIÓN]]-PROVEEDORES[[#This Row],[PLAZO Días]],0)</f>
        <v>0</v>
      </c>
      <c r="U1216" s="149" t="str">
        <f>+VLOOKUP(PROVEEDORES[[#This Row],[PROVEEDOR]],Terceros!$A:$E,5,FALSE)</f>
        <v>2,5% con base</v>
      </c>
      <c r="V1216" s="150">
        <f>+YEAR(PROVEEDORES[[#This Row],[FECHA DE FACTURACIÓN]])</f>
        <v>2022</v>
      </c>
      <c r="W1216" s="150">
        <f>+MATCH(PROVEEDORES[[#This Row],[año facturado]],Retenciones!$1:$1,0)</f>
        <v>5</v>
      </c>
      <c r="X1216" s="151">
        <f>+VLOOKUP(PROVEEDORES[[#This Row],[ID RETENCION]],Retenciones!$A$1:$O$24,PROVEEDORES[[#This Row],[indicador de columna]],FALSE)</f>
        <v>1026000</v>
      </c>
      <c r="Y1216" s="152">
        <f>+VLOOKUP(PROVEEDORES[[#This Row],[ID RETENCION]],Retenciones!$A$1:$O$24,2,FALSE)</f>
        <v>2.5000000000000001E-2</v>
      </c>
      <c r="Z1216" s="26"/>
      <c r="AA1216" s="26"/>
      <c r="AB1216" s="26"/>
      <c r="AC1216" s="26"/>
      <c r="AD1216" s="26"/>
      <c r="AE1216" s="26"/>
    </row>
    <row r="1217" spans="1:31" ht="21.95" customHeight="1" x14ac:dyDescent="0.25">
      <c r="A1217" s="97" t="str">
        <f>+IF(PROVEEDORES[[#This Row],[FECHA DE PAGO]]=PROVEEDORES[[#This Row],[FECHA DE FACTURACIÓN]],"DE CONTADO","CRÉDITO")</f>
        <v>DE CONTADO</v>
      </c>
      <c r="B1217" s="41" t="b">
        <f>+IF((PROVEEDORES[[#This Row],[FECHA DE PAGO]]-PROVEEDORES[[#This Row],[FECHA DE FACTURACIÓN]])&gt;PROVEEDORES[[#This Row],[PLAZO Días]],"PAGO VENCIDO")</f>
        <v>0</v>
      </c>
      <c r="C1217" s="22">
        <f>+VLOOKUP(PROVEEDORES[[#This Row],[PROVEEDOR]],TERCEROS_INFO[#All],2,FALSE)</f>
        <v>30</v>
      </c>
      <c r="D1217" s="27">
        <f>+SUMIFS(PROVEEDORES[Total],PROVEEDORES[PROVEEDOR],PROVEEDORES[[#This Row],[PROVEEDOR]],PROVEEDORES[FECHA DE PAGO],"")</f>
        <v>0</v>
      </c>
      <c r="E1217" s="27"/>
      <c r="F1217" s="62" t="str">
        <f>+VLOOKUP(PROVEEDORES[[#This Row],[PROVEEDOR]],
                       Terceros!$A:$G,
                       6,
                       FALSE)</f>
        <v/>
      </c>
      <c r="G1217" s="95">
        <v>44588</v>
      </c>
      <c r="H1217" s="28" t="s">
        <v>1021</v>
      </c>
      <c r="I1217" s="95">
        <v>44588</v>
      </c>
      <c r="J1217" s="38" t="s">
        <v>1022</v>
      </c>
      <c r="K1217" s="23">
        <v>280000</v>
      </c>
      <c r="L1217" s="23"/>
      <c r="M1217" s="24">
        <v>0</v>
      </c>
      <c r="N1217" s="25"/>
      <c r="O1217" s="24">
        <v>0</v>
      </c>
      <c r="P1217" s="136">
        <f>+IF(PROVEEDORES[[#This Row],[SUBTOTAL]]&lt;PROVEEDORES[[#This Row],[base retencion]],0,PROVEEDORES[[#This Row],[retención aplicada]])</f>
        <v>0</v>
      </c>
      <c r="Q1217" s="24">
        <f>+PROVEEDORES[[#This Row],[Rete Fuente %]]*PROVEEDORES[[#This Row],[SUBTOTAL]]</f>
        <v>0</v>
      </c>
      <c r="R1217" s="23">
        <v>280000</v>
      </c>
      <c r="S121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7" s="99">
        <f ca="1">IF(PROVEEDORES[[#This Row],[FECHA DE PAGO]]=0,TODAY()-PROVEEDORES[[#This Row],[FECHA DE FACTURACIÓN]]-PROVEEDORES[[#This Row],[PLAZO Días]],0)</f>
        <v>0</v>
      </c>
      <c r="U1217" s="149">
        <f>+VLOOKUP(PROVEEDORES[[#This Row],[PROVEEDOR]],Terceros!$A:$E,5,FALSE)</f>
        <v>0</v>
      </c>
      <c r="V1217" s="150">
        <f>+YEAR(PROVEEDORES[[#This Row],[FECHA DE FACTURACIÓN]])</f>
        <v>2022</v>
      </c>
      <c r="W1217" s="150">
        <f>+MATCH(PROVEEDORES[[#This Row],[año facturado]],Retenciones!$1:$1,0)</f>
        <v>5</v>
      </c>
      <c r="X1217" s="151">
        <f>+VLOOKUP(PROVEEDORES[[#This Row],[ID RETENCION]],Retenciones!$A$1:$O$24,PROVEEDORES[[#This Row],[indicador de columna]],FALSE)</f>
        <v>0</v>
      </c>
      <c r="Y1217" s="152">
        <f>+VLOOKUP(PROVEEDORES[[#This Row],[ID RETENCION]],Retenciones!$A$1:$O$24,2,FALSE)</f>
        <v>0</v>
      </c>
      <c r="Z1217" s="26"/>
      <c r="AA1217" s="26"/>
      <c r="AB1217" s="26"/>
      <c r="AC1217" s="26"/>
      <c r="AD1217" s="26"/>
      <c r="AE1217" s="26"/>
    </row>
    <row r="1218" spans="1:31" ht="21.95" customHeight="1" x14ac:dyDescent="0.25">
      <c r="A1218" s="97" t="str">
        <f>+IF(PROVEEDORES[[#This Row],[FECHA DE PAGO]]=PROVEEDORES[[#This Row],[FECHA DE FACTURACIÓN]],"DE CONTADO","CRÉDITO")</f>
        <v>CRÉDITO</v>
      </c>
      <c r="B1218" s="41" t="str">
        <f>+IF((PROVEEDORES[[#This Row],[FECHA DE PAGO]]-PROVEEDORES[[#This Row],[FECHA DE FACTURACIÓN]])&gt;PROVEEDORES[[#This Row],[PLAZO Días]],"PAGO VENCIDO")</f>
        <v>PAGO VENCIDO</v>
      </c>
      <c r="C1218" s="22">
        <f>+VLOOKUP(PROVEEDORES[[#This Row],[PROVEEDOR]],TERCEROS_INFO[#All],2,FALSE)</f>
        <v>30</v>
      </c>
      <c r="D1218" s="27">
        <f>+SUMIFS(PROVEEDORES[Total],PROVEEDORES[PROVEEDOR],PROVEEDORES[[#This Row],[PROVEEDOR]],PROVEEDORES[FECHA DE PAGO],"")</f>
        <v>4641412.7745000003</v>
      </c>
      <c r="E1218" s="27"/>
      <c r="F1218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1218" s="95">
        <v>44635</v>
      </c>
      <c r="H1218" s="28" t="s">
        <v>20</v>
      </c>
      <c r="I1218" s="95">
        <v>44588</v>
      </c>
      <c r="J1218" s="38">
        <v>6152</v>
      </c>
      <c r="K1218" s="23">
        <v>1591200</v>
      </c>
      <c r="L1218" s="23"/>
      <c r="M1218" s="24">
        <v>302328</v>
      </c>
      <c r="N1218" s="25"/>
      <c r="O1218" s="24">
        <v>0</v>
      </c>
      <c r="P1218" s="136">
        <f>+IF(PROVEEDORES[[#This Row],[SUBTOTAL]]&lt;PROVEEDORES[[#This Row],[base retencion]],0,PROVEEDORES[[#This Row],[retención aplicada]])</f>
        <v>2.5000000000000001E-2</v>
      </c>
      <c r="Q1218" s="24">
        <f>+PROVEEDORES[[#This Row],[Rete Fuente %]]*PROVEEDORES[[#This Row],[SUBTOTAL]]</f>
        <v>39780</v>
      </c>
      <c r="R1218" s="23">
        <v>1853748</v>
      </c>
      <c r="S121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8" s="99">
        <f ca="1">IF(PROVEEDORES[[#This Row],[FECHA DE PAGO]]=0,TODAY()-PROVEEDORES[[#This Row],[FECHA DE FACTURACIÓN]]-PROVEEDORES[[#This Row],[PLAZO Días]],0)</f>
        <v>0</v>
      </c>
      <c r="U1218" s="149" t="str">
        <f>+VLOOKUP(PROVEEDORES[[#This Row],[PROVEEDOR]],Terceros!$A:$E,5,FALSE)</f>
        <v>2,5% con base</v>
      </c>
      <c r="V1218" s="150">
        <f>+YEAR(PROVEEDORES[[#This Row],[FECHA DE FACTURACIÓN]])</f>
        <v>2022</v>
      </c>
      <c r="W1218" s="150">
        <f>+MATCH(PROVEEDORES[[#This Row],[año facturado]],Retenciones!$1:$1,0)</f>
        <v>5</v>
      </c>
      <c r="X1218" s="151">
        <f>+VLOOKUP(PROVEEDORES[[#This Row],[ID RETENCION]],Retenciones!$A$1:$O$24,PROVEEDORES[[#This Row],[indicador de columna]],FALSE)</f>
        <v>1026000</v>
      </c>
      <c r="Y1218" s="152">
        <f>+VLOOKUP(PROVEEDORES[[#This Row],[ID RETENCION]],Retenciones!$A$1:$O$24,2,FALSE)</f>
        <v>2.5000000000000001E-2</v>
      </c>
      <c r="Z1218" s="26"/>
      <c r="AA1218" s="26"/>
      <c r="AB1218" s="26"/>
      <c r="AC1218" s="26"/>
      <c r="AD1218" s="26"/>
      <c r="AE1218" s="26"/>
    </row>
    <row r="1219" spans="1:31" ht="21.95" customHeight="1" x14ac:dyDescent="0.25">
      <c r="A1219" s="97" t="str">
        <f>+IF(PROVEEDORES[[#This Row],[FECHA DE PAGO]]=PROVEEDORES[[#This Row],[FECHA DE FACTURACIÓN]],"DE CONTADO","CRÉDITO")</f>
        <v>CRÉDITO</v>
      </c>
      <c r="B1219" s="41" t="str">
        <f>+IF((PROVEEDORES[[#This Row],[FECHA DE PAGO]]-PROVEEDORES[[#This Row],[FECHA DE FACTURACIÓN]])&gt;PROVEEDORES[[#This Row],[PLAZO Días]],"PAGO VENCIDO")</f>
        <v>PAGO VENCIDO</v>
      </c>
      <c r="C1219" s="22">
        <f>+VLOOKUP(PROVEEDORES[[#This Row],[PROVEEDOR]],TERCEROS_INFO[#All],2,FALSE)</f>
        <v>30</v>
      </c>
      <c r="D1219" s="27">
        <f>+SUMIFS(PROVEEDORES[Total],PROVEEDORES[PROVEEDOR],PROVEEDORES[[#This Row],[PROVEEDOR]],PROVEEDORES[FECHA DE PAGO],"")</f>
        <v>0</v>
      </c>
      <c r="E1219" s="27"/>
      <c r="F1219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1219" s="95">
        <v>44637</v>
      </c>
      <c r="H1219" s="28" t="s">
        <v>511</v>
      </c>
      <c r="I1219" s="95">
        <v>44588</v>
      </c>
      <c r="J1219" s="38" t="s">
        <v>1092</v>
      </c>
      <c r="K1219" s="23">
        <v>7179945</v>
      </c>
      <c r="L1219" s="23"/>
      <c r="M1219" s="24">
        <v>1364189.55</v>
      </c>
      <c r="N1219" s="25"/>
      <c r="O1219" s="24">
        <v>0</v>
      </c>
      <c r="P1219" s="136">
        <f>+IF(PROVEEDORES[[#This Row],[SUBTOTAL]]&lt;PROVEEDORES[[#This Row],[base retencion]],0,PROVEEDORES[[#This Row],[retención aplicada]])</f>
        <v>0</v>
      </c>
      <c r="Q1219" s="24">
        <f>+PROVEEDORES[[#This Row],[Rete Fuente %]]*PROVEEDORES[[#This Row],[SUBTOTAL]]</f>
        <v>0</v>
      </c>
      <c r="R1219" s="23">
        <v>8544134.5500000007</v>
      </c>
      <c r="S121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9" s="99">
        <f ca="1">IF(PROVEEDORES[[#This Row],[FECHA DE PAGO]]=0,TODAY()-PROVEEDORES[[#This Row],[FECHA DE FACTURACIÓN]]-PROVEEDORES[[#This Row],[PLAZO Días]],0)</f>
        <v>0</v>
      </c>
      <c r="U1219" s="149">
        <f>+VLOOKUP(PROVEEDORES[[#This Row],[PROVEEDOR]],Terceros!$A:$E,5,FALSE)</f>
        <v>0</v>
      </c>
      <c r="V1219" s="150">
        <f>+YEAR(PROVEEDORES[[#This Row],[FECHA DE FACTURACIÓN]])</f>
        <v>2022</v>
      </c>
      <c r="W1219" s="150">
        <f>+MATCH(PROVEEDORES[[#This Row],[año facturado]],Retenciones!$1:$1,0)</f>
        <v>5</v>
      </c>
      <c r="X1219" s="151">
        <f>+VLOOKUP(PROVEEDORES[[#This Row],[ID RETENCION]],Retenciones!$A$1:$O$24,PROVEEDORES[[#This Row],[indicador de columna]],FALSE)</f>
        <v>0</v>
      </c>
      <c r="Y1219" s="152">
        <f>+VLOOKUP(PROVEEDORES[[#This Row],[ID RETENCION]],Retenciones!$A$1:$O$24,2,FALSE)</f>
        <v>0</v>
      </c>
      <c r="Z1219" s="26"/>
      <c r="AA1219" s="26"/>
      <c r="AB1219" s="26"/>
      <c r="AC1219" s="26"/>
      <c r="AD1219" s="26"/>
      <c r="AE1219" s="26"/>
    </row>
    <row r="1220" spans="1:31" ht="21.95" customHeight="1" x14ac:dyDescent="0.25">
      <c r="A1220" s="97" t="str">
        <f>+IF(PROVEEDORES[[#This Row],[FECHA DE PAGO]]=PROVEEDORES[[#This Row],[FECHA DE FACTURACIÓN]],"DE CONTADO","CRÉDITO")</f>
        <v>CRÉDITO</v>
      </c>
      <c r="B1220" s="41" t="str">
        <f>+IF((PROVEEDORES[[#This Row],[FECHA DE PAGO]]-PROVEEDORES[[#This Row],[FECHA DE FACTURACIÓN]])&gt;PROVEEDORES[[#This Row],[PLAZO Días]],"PAGO VENCIDO")</f>
        <v>PAGO VENCIDO</v>
      </c>
      <c r="C1220" s="22">
        <f>+VLOOKUP(PROVEEDORES[[#This Row],[PROVEEDOR]],TERCEROS_INFO[#All],2,FALSE)</f>
        <v>45</v>
      </c>
      <c r="D1220" s="27">
        <f>+SUMIFS(PROVEEDORES[Total],PROVEEDORES[PROVEEDOR],PROVEEDORES[[#This Row],[PROVEEDOR]],PROVEEDORES[FECHA DE PAGO],"")</f>
        <v>37184068.039999999</v>
      </c>
      <c r="E1220" s="27"/>
      <c r="F1220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1220" s="95">
        <v>44637</v>
      </c>
      <c r="H1220" s="28" t="s">
        <v>19</v>
      </c>
      <c r="I1220" s="95">
        <v>44588</v>
      </c>
      <c r="J1220" s="38" t="s">
        <v>1145</v>
      </c>
      <c r="K1220" s="23">
        <v>11068800</v>
      </c>
      <c r="L1220" s="23"/>
      <c r="M1220" s="24">
        <v>2103072</v>
      </c>
      <c r="N1220" s="25"/>
      <c r="O1220" s="24">
        <v>0</v>
      </c>
      <c r="P1220" s="136">
        <f>+IF(PROVEEDORES[[#This Row],[SUBTOTAL]]&lt;PROVEEDORES[[#This Row],[base retencion]],0,PROVEEDORES[[#This Row],[retención aplicada]])</f>
        <v>0</v>
      </c>
      <c r="Q1220" s="24">
        <f>+PROVEEDORES[[#This Row],[Rete Fuente %]]*PROVEEDORES[[#This Row],[SUBTOTAL]]</f>
        <v>0</v>
      </c>
      <c r="R1220" s="23">
        <v>13171872</v>
      </c>
      <c r="S122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0" s="99">
        <f ca="1">IF(PROVEEDORES[[#This Row],[FECHA DE PAGO]]=0,TODAY()-PROVEEDORES[[#This Row],[FECHA DE FACTURACIÓN]]-PROVEEDORES[[#This Row],[PLAZO Días]],0)</f>
        <v>0</v>
      </c>
      <c r="U1220" s="149">
        <f>+VLOOKUP(PROVEEDORES[[#This Row],[PROVEEDOR]],Terceros!$A:$E,5,FALSE)</f>
        <v>0</v>
      </c>
      <c r="V1220" s="150">
        <f>+YEAR(PROVEEDORES[[#This Row],[FECHA DE FACTURACIÓN]])</f>
        <v>2022</v>
      </c>
      <c r="W1220" s="150">
        <f>+MATCH(PROVEEDORES[[#This Row],[año facturado]],Retenciones!$1:$1,0)</f>
        <v>5</v>
      </c>
      <c r="X1220" s="151">
        <f>+VLOOKUP(PROVEEDORES[[#This Row],[ID RETENCION]],Retenciones!$A$1:$O$24,PROVEEDORES[[#This Row],[indicador de columna]],FALSE)</f>
        <v>0</v>
      </c>
      <c r="Y1220" s="152">
        <f>+VLOOKUP(PROVEEDORES[[#This Row],[ID RETENCION]],Retenciones!$A$1:$O$24,2,FALSE)</f>
        <v>0</v>
      </c>
      <c r="Z1220" s="26"/>
      <c r="AA1220" s="26"/>
      <c r="AB1220" s="26"/>
      <c r="AC1220" s="26"/>
      <c r="AD1220" s="26"/>
      <c r="AE1220" s="26"/>
    </row>
    <row r="1221" spans="1:31" ht="21.95" customHeight="1" x14ac:dyDescent="0.25">
      <c r="A1221" s="97" t="str">
        <f>+IF(PROVEEDORES[[#This Row],[FECHA DE PAGO]]=PROVEEDORES[[#This Row],[FECHA DE FACTURACIÓN]],"DE CONTADO","CRÉDITO")</f>
        <v>CRÉDITO</v>
      </c>
      <c r="B1221" s="41" t="str">
        <f>+IF((PROVEEDORES[[#This Row],[FECHA DE PAGO]]-PROVEEDORES[[#This Row],[FECHA DE FACTURACIÓN]])&gt;PROVEEDORES[[#This Row],[PLAZO Días]],"PAGO VENCIDO")</f>
        <v>PAGO VENCIDO</v>
      </c>
      <c r="C1221" s="22">
        <f>+VLOOKUP(PROVEEDORES[[#This Row],[PROVEEDOR]],TERCEROS_INFO[#All],2,FALSE)</f>
        <v>30</v>
      </c>
      <c r="D1221" s="27">
        <f>+SUMIFS(PROVEEDORES[Total],PROVEEDORES[PROVEEDOR],PROVEEDORES[[#This Row],[PROVEEDOR]],PROVEEDORES[FECHA DE PAGO],"")</f>
        <v>2588352.5</v>
      </c>
      <c r="E1221" s="27"/>
      <c r="F1221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1221" s="95">
        <v>44635</v>
      </c>
      <c r="H1221" s="28" t="s">
        <v>1088</v>
      </c>
      <c r="I1221" s="95">
        <v>44589</v>
      </c>
      <c r="J1221" s="38">
        <v>24466</v>
      </c>
      <c r="K1221" s="23">
        <v>384000</v>
      </c>
      <c r="L1221" s="23"/>
      <c r="M1221" s="24">
        <v>72960</v>
      </c>
      <c r="N1221" s="25"/>
      <c r="O1221" s="24">
        <v>0</v>
      </c>
      <c r="P1221" s="136">
        <f>+IF(PROVEEDORES[[#This Row],[SUBTOTAL]]&lt;PROVEEDORES[[#This Row],[base retencion]],0,PROVEEDORES[[#This Row],[retención aplicada]])</f>
        <v>0</v>
      </c>
      <c r="Q1221" s="24">
        <f>+PROVEEDORES[[#This Row],[Rete Fuente %]]*PROVEEDORES[[#This Row],[SUBTOTAL]]</f>
        <v>0</v>
      </c>
      <c r="R1221" s="23">
        <v>456960</v>
      </c>
      <c r="S122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1" s="99">
        <f ca="1">IF(PROVEEDORES[[#This Row],[FECHA DE PAGO]]=0,TODAY()-PROVEEDORES[[#This Row],[FECHA DE FACTURACIÓN]]-PROVEEDORES[[#This Row],[PLAZO Días]],0)</f>
        <v>0</v>
      </c>
      <c r="U1221" s="149" t="str">
        <f>+VLOOKUP(PROVEEDORES[[#This Row],[PROVEEDOR]],Terceros!$A:$E,5,FALSE)</f>
        <v>2,5% con base</v>
      </c>
      <c r="V1221" s="150">
        <f>+YEAR(PROVEEDORES[[#This Row],[FECHA DE FACTURACIÓN]])</f>
        <v>2022</v>
      </c>
      <c r="W1221" s="150">
        <f>+MATCH(PROVEEDORES[[#This Row],[año facturado]],Retenciones!$1:$1,0)</f>
        <v>5</v>
      </c>
      <c r="X1221" s="151">
        <f>+VLOOKUP(PROVEEDORES[[#This Row],[ID RETENCION]],Retenciones!$A$1:$O$24,PROVEEDORES[[#This Row],[indicador de columna]],FALSE)</f>
        <v>1026000</v>
      </c>
      <c r="Y1221" s="152">
        <f>+VLOOKUP(PROVEEDORES[[#This Row],[ID RETENCION]],Retenciones!$A$1:$O$24,2,FALSE)</f>
        <v>2.5000000000000001E-2</v>
      </c>
      <c r="Z1221" s="26"/>
      <c r="AA1221" s="26"/>
      <c r="AB1221" s="26"/>
      <c r="AC1221" s="26"/>
      <c r="AD1221" s="26"/>
      <c r="AE1221" s="26"/>
    </row>
    <row r="1222" spans="1:31" ht="21.95" customHeight="1" x14ac:dyDescent="0.25">
      <c r="A1222" s="97" t="str">
        <f>+IF(PROVEEDORES[[#This Row],[FECHA DE PAGO]]=PROVEEDORES[[#This Row],[FECHA DE FACTURACIÓN]],"DE CONTADO","CRÉDITO")</f>
        <v>CRÉDITO</v>
      </c>
      <c r="B1222" s="41" t="str">
        <f>+IF((PROVEEDORES[[#This Row],[FECHA DE PAGO]]-PROVEEDORES[[#This Row],[FECHA DE FACTURACIÓN]])&gt;PROVEEDORES[[#This Row],[PLAZO Días]],"PAGO VENCIDO")</f>
        <v>PAGO VENCIDO</v>
      </c>
      <c r="C1222" s="22">
        <f>+VLOOKUP(PROVEEDORES[[#This Row],[PROVEEDOR]],TERCEROS_INFO[#All],2,FALSE)</f>
        <v>30</v>
      </c>
      <c r="D1222" s="27">
        <f>+SUMIFS(PROVEEDORES[Total],PROVEEDORES[PROVEEDOR],PROVEEDORES[[#This Row],[PROVEEDOR]],PROVEEDORES[FECHA DE PAGO],"")</f>
        <v>1860500</v>
      </c>
      <c r="E1222" s="27"/>
      <c r="F1222" s="62" t="str">
        <f>+VLOOKUP(PROVEEDORES[[#This Row],[PROVEEDOR]],
                       Terceros!$A:$G,
                       6,
                       FALSE)</f>
        <v/>
      </c>
      <c r="G1222" s="95">
        <v>44627</v>
      </c>
      <c r="H1222" s="28" t="s">
        <v>1064</v>
      </c>
      <c r="I1222" s="95">
        <v>44589</v>
      </c>
      <c r="J1222" s="38">
        <v>2371</v>
      </c>
      <c r="K1222" s="23">
        <v>1036500</v>
      </c>
      <c r="L1222" s="23"/>
      <c r="M1222" s="24">
        <v>0</v>
      </c>
      <c r="N1222" s="25"/>
      <c r="O1222" s="24">
        <v>0</v>
      </c>
      <c r="P1222" s="136">
        <f>+IF(PROVEEDORES[[#This Row],[SUBTOTAL]]&lt;PROVEEDORES[[#This Row],[base retencion]],0,PROVEEDORES[[#This Row],[retención aplicada]])</f>
        <v>0</v>
      </c>
      <c r="Q1222" s="24">
        <f>+PROVEEDORES[[#This Row],[Rete Fuente %]]*PROVEEDORES[[#This Row],[SUBTOTAL]]</f>
        <v>0</v>
      </c>
      <c r="R1222" s="23">
        <v>1329000</v>
      </c>
      <c r="S122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2" s="99">
        <f ca="1">IF(PROVEEDORES[[#This Row],[FECHA DE PAGO]]=0,TODAY()-PROVEEDORES[[#This Row],[FECHA DE FACTURACIÓN]]-PROVEEDORES[[#This Row],[PLAZO Días]],0)</f>
        <v>0</v>
      </c>
      <c r="U1222" s="149">
        <f>+VLOOKUP(PROVEEDORES[[#This Row],[PROVEEDOR]],Terceros!$A:$E,5,FALSE)</f>
        <v>0</v>
      </c>
      <c r="V1222" s="150">
        <f>+YEAR(PROVEEDORES[[#This Row],[FECHA DE FACTURACIÓN]])</f>
        <v>2022</v>
      </c>
      <c r="W1222" s="150">
        <f>+MATCH(PROVEEDORES[[#This Row],[año facturado]],Retenciones!$1:$1,0)</f>
        <v>5</v>
      </c>
      <c r="X1222" s="151">
        <f>+VLOOKUP(PROVEEDORES[[#This Row],[ID RETENCION]],Retenciones!$A$1:$O$24,PROVEEDORES[[#This Row],[indicador de columna]],FALSE)</f>
        <v>0</v>
      </c>
      <c r="Y1222" s="152">
        <f>+VLOOKUP(PROVEEDORES[[#This Row],[ID RETENCION]],Retenciones!$A$1:$O$24,2,FALSE)</f>
        <v>0</v>
      </c>
      <c r="Z1222" s="26"/>
      <c r="AA1222" s="26"/>
      <c r="AB1222" s="26"/>
      <c r="AC1222" s="26"/>
      <c r="AD1222" s="26"/>
      <c r="AE1222" s="26"/>
    </row>
    <row r="1223" spans="1:31" ht="21.95" customHeight="1" x14ac:dyDescent="0.25">
      <c r="A1223" s="97" t="str">
        <f>+IF(PROVEEDORES[[#This Row],[FECHA DE PAGO]]=PROVEEDORES[[#This Row],[FECHA DE FACTURACIÓN]],"DE CONTADO","CRÉDITO")</f>
        <v>CRÉDITO</v>
      </c>
      <c r="B1223" s="41" t="b">
        <f>+IF((PROVEEDORES[[#This Row],[FECHA DE PAGO]]-PROVEEDORES[[#This Row],[FECHA DE FACTURACIÓN]])&gt;PROVEEDORES[[#This Row],[PLAZO Días]],"PAGO VENCIDO")</f>
        <v>0</v>
      </c>
      <c r="C1223" s="22">
        <f>+VLOOKUP(PROVEEDORES[[#This Row],[PROVEEDOR]],TERCEROS_INFO[#All],2,FALSE)</f>
        <v>30</v>
      </c>
      <c r="D1223" s="27">
        <f>+SUMIFS(PROVEEDORES[Total],PROVEEDORES[PROVEEDOR],PROVEEDORES[[#This Row],[PROVEEDOR]],PROVEEDORES[FECHA DE PAGO],"")</f>
        <v>390000</v>
      </c>
      <c r="E1223" s="27"/>
      <c r="F1223" s="62">
        <f>+VLOOKUP(PROVEEDORES[[#This Row],[PROVEEDOR]],
                       Terceros!$A:$G,
                       6,
                       FALSE)</f>
        <v>0</v>
      </c>
      <c r="G1223" s="95">
        <v>44594</v>
      </c>
      <c r="H1223" s="28" t="s">
        <v>1080</v>
      </c>
      <c r="I1223" s="95">
        <v>44589</v>
      </c>
      <c r="J1223" s="38" t="s">
        <v>1081</v>
      </c>
      <c r="K1223" s="23">
        <v>3418000</v>
      </c>
      <c r="L1223" s="23"/>
      <c r="M1223" s="24">
        <v>0</v>
      </c>
      <c r="N1223" s="25"/>
      <c r="O1223" s="24">
        <v>0</v>
      </c>
      <c r="P1223" s="136">
        <f>+IF(PROVEEDORES[[#This Row],[SUBTOTAL]]&lt;PROVEEDORES[[#This Row],[base retencion]],0,PROVEEDORES[[#This Row],[retención aplicada]])</f>
        <v>0</v>
      </c>
      <c r="Q1223" s="24">
        <f>+PROVEEDORES[[#This Row],[Rete Fuente %]]*PROVEEDORES[[#This Row],[SUBTOTAL]]</f>
        <v>0</v>
      </c>
      <c r="R1223" s="23">
        <v>3418000</v>
      </c>
      <c r="S122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3" s="99">
        <f ca="1">IF(PROVEEDORES[[#This Row],[FECHA DE PAGO]]=0,TODAY()-PROVEEDORES[[#This Row],[FECHA DE FACTURACIÓN]]-PROVEEDORES[[#This Row],[PLAZO Días]],0)</f>
        <v>0</v>
      </c>
      <c r="U1223" s="149">
        <f>+VLOOKUP(PROVEEDORES[[#This Row],[PROVEEDOR]],Terceros!$A:$E,5,FALSE)</f>
        <v>0</v>
      </c>
      <c r="V1223" s="150">
        <f>+YEAR(PROVEEDORES[[#This Row],[FECHA DE FACTURACIÓN]])</f>
        <v>2022</v>
      </c>
      <c r="W1223" s="150">
        <f>+MATCH(PROVEEDORES[[#This Row],[año facturado]],Retenciones!$1:$1,0)</f>
        <v>5</v>
      </c>
      <c r="X1223" s="151">
        <f>+VLOOKUP(PROVEEDORES[[#This Row],[ID RETENCION]],Retenciones!$A$1:$O$24,PROVEEDORES[[#This Row],[indicador de columna]],FALSE)</f>
        <v>0</v>
      </c>
      <c r="Y1223" s="152">
        <f>+VLOOKUP(PROVEEDORES[[#This Row],[ID RETENCION]],Retenciones!$A$1:$O$24,2,FALSE)</f>
        <v>0</v>
      </c>
      <c r="Z1223" s="26"/>
      <c r="AA1223" s="26"/>
      <c r="AB1223" s="26"/>
      <c r="AC1223" s="26"/>
      <c r="AD1223" s="26"/>
      <c r="AE1223" s="26"/>
    </row>
    <row r="1224" spans="1:31" ht="21.95" customHeight="1" x14ac:dyDescent="0.25">
      <c r="A1224" s="97" t="str">
        <f>+IF(PROVEEDORES[[#This Row],[FECHA DE PAGO]]=PROVEEDORES[[#This Row],[FECHA DE FACTURACIÓN]],"DE CONTADO","CRÉDITO")</f>
        <v>CRÉDITO</v>
      </c>
      <c r="B1224" s="41" t="str">
        <f>+IF((PROVEEDORES[[#This Row],[FECHA DE PAGO]]-PROVEEDORES[[#This Row],[FECHA DE FACTURACIÓN]])&gt;PROVEEDORES[[#This Row],[PLAZO Días]],"PAGO VENCIDO")</f>
        <v>PAGO VENCIDO</v>
      </c>
      <c r="C1224" s="22">
        <f>+VLOOKUP(PROVEEDORES[[#This Row],[PROVEEDOR]],TERCEROS_INFO[#All],2,FALSE)</f>
        <v>30</v>
      </c>
      <c r="D1224" s="27">
        <f>+SUMIFS(PROVEEDORES[Total],PROVEEDORES[PROVEEDOR],PROVEEDORES[[#This Row],[PROVEEDOR]],PROVEEDORES[FECHA DE PAGO],"")</f>
        <v>0</v>
      </c>
      <c r="E1224" s="27"/>
      <c r="F1224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1224" s="95">
        <v>44624</v>
      </c>
      <c r="H1224" s="28" t="s">
        <v>1124</v>
      </c>
      <c r="I1224" s="95">
        <v>44589</v>
      </c>
      <c r="J1224" s="38">
        <v>26650</v>
      </c>
      <c r="K1224" s="23">
        <v>4800000</v>
      </c>
      <c r="L1224" s="23"/>
      <c r="M1224" s="24">
        <v>912000</v>
      </c>
      <c r="N1224" s="25"/>
      <c r="O1224" s="24">
        <v>0</v>
      </c>
      <c r="P1224" s="136">
        <f>+IF(PROVEEDORES[[#This Row],[SUBTOTAL]]&lt;PROVEEDORES[[#This Row],[base retencion]],0,PROVEEDORES[[#This Row],[retención aplicada]])</f>
        <v>2.5000000000000001E-2</v>
      </c>
      <c r="Q1224" s="24">
        <f>+PROVEEDORES[[#This Row],[Rete Fuente %]]*PROVEEDORES[[#This Row],[SUBTOTAL]]</f>
        <v>120000</v>
      </c>
      <c r="R1224" s="23">
        <v>5592000</v>
      </c>
      <c r="S122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4" s="99">
        <f ca="1">IF(PROVEEDORES[[#This Row],[FECHA DE PAGO]]=0,TODAY()-PROVEEDORES[[#This Row],[FECHA DE FACTURACIÓN]]-PROVEEDORES[[#This Row],[PLAZO Días]],0)</f>
        <v>0</v>
      </c>
      <c r="U1224" s="149" t="str">
        <f>+VLOOKUP(PROVEEDORES[[#This Row],[PROVEEDOR]],Terceros!$A:$E,5,FALSE)</f>
        <v>2,5% con base</v>
      </c>
      <c r="V1224" s="150">
        <f>+YEAR(PROVEEDORES[[#This Row],[FECHA DE FACTURACIÓN]])</f>
        <v>2022</v>
      </c>
      <c r="W1224" s="150">
        <f>+MATCH(PROVEEDORES[[#This Row],[año facturado]],Retenciones!$1:$1,0)</f>
        <v>5</v>
      </c>
      <c r="X1224" s="151">
        <f>+VLOOKUP(PROVEEDORES[[#This Row],[ID RETENCION]],Retenciones!$A$1:$O$24,PROVEEDORES[[#This Row],[indicador de columna]],FALSE)</f>
        <v>1026000</v>
      </c>
      <c r="Y1224" s="152">
        <f>+VLOOKUP(PROVEEDORES[[#This Row],[ID RETENCION]],Retenciones!$A$1:$O$24,2,FALSE)</f>
        <v>2.5000000000000001E-2</v>
      </c>
      <c r="Z1224" s="26"/>
      <c r="AA1224" s="26"/>
      <c r="AB1224" s="26"/>
      <c r="AC1224" s="26"/>
      <c r="AD1224" s="26"/>
      <c r="AE1224" s="26"/>
    </row>
    <row r="1225" spans="1:31" ht="21.95" customHeight="1" x14ac:dyDescent="0.25">
      <c r="A1225" s="97" t="str">
        <f>+IF(PROVEEDORES[[#This Row],[FECHA DE PAGO]]=PROVEEDORES[[#This Row],[FECHA DE FACTURACIÓN]],"DE CONTADO","CRÉDITO")</f>
        <v>CRÉDITO</v>
      </c>
      <c r="B1225" s="41" t="str">
        <f>+IF((PROVEEDORES[[#This Row],[FECHA DE PAGO]]-PROVEEDORES[[#This Row],[FECHA DE FACTURACIÓN]])&gt;PROVEEDORES[[#This Row],[PLAZO Días]],"PAGO VENCIDO")</f>
        <v>PAGO VENCIDO</v>
      </c>
      <c r="C1225" s="22">
        <f>+VLOOKUP(PROVEEDORES[[#This Row],[PROVEEDOR]],TERCEROS_INFO[#All],2,FALSE)</f>
        <v>30</v>
      </c>
      <c r="D1225" s="27">
        <f>+SUMIFS(PROVEEDORES[Total],PROVEEDORES[PROVEEDOR],PROVEEDORES[[#This Row],[PROVEEDOR]],PROVEEDORES[FECHA DE PAGO],"")</f>
        <v>0</v>
      </c>
      <c r="E1225" s="27"/>
      <c r="F1225" s="62" t="str">
        <f>+VLOOKUP(PROVEEDORES[[#This Row],[PROVEEDOR]],
                       Terceros!$A:$G,
                       6,
                       FALSE)</f>
        <v>jarlysas@gmail.com;o.clockinternational@gmail.com;girlesa.ruiz@servipilas.com;joriescobar64@gmail.com</v>
      </c>
      <c r="G1225" s="95">
        <v>44671</v>
      </c>
      <c r="H1225" s="28" t="s">
        <v>1042</v>
      </c>
      <c r="I1225" s="95">
        <v>44588</v>
      </c>
      <c r="J1225" s="38" t="s">
        <v>1020</v>
      </c>
      <c r="K1225" s="23">
        <v>148000</v>
      </c>
      <c r="L1225" s="23"/>
      <c r="M1225" s="24">
        <f>(PROVEEDORES[[#This Row],[SUBTOTAL]]-PROVEEDORES[[#This Row],[descuento antes de IVA]])*VLOOKUP(PROVEEDORES[[#This Row],[PROVEEDOR]],TERCEROS_INFO[#All],3,FALSE)</f>
        <v>0</v>
      </c>
      <c r="N1225" s="25"/>
      <c r="O1225" s="24">
        <f>+PROVEEDORES[[#This Row],[Descuento sobre subtotal %]]*(PROVEEDORES[[#This Row],[SUBTOTAL]]-PROVEEDORES[[#This Row],[descuento antes de IVA]])</f>
        <v>0</v>
      </c>
      <c r="P1225" s="136">
        <f>+IF(PROVEEDORES[[#This Row],[SUBTOTAL]]&lt;PROVEEDORES[[#This Row],[base retencion]],0,PROVEEDORES[[#This Row],[retención aplicada]])</f>
        <v>0</v>
      </c>
      <c r="Q1225" s="24">
        <f>+PROVEEDORES[[#This Row],[Rete Fuente %]]*PROVEEDORES[[#This Row],[SUBTOTAL]]</f>
        <v>0</v>
      </c>
      <c r="R1225" s="23">
        <f>+PROVEEDORES[[#This Row],[SUBTOTAL]]+PROVEEDORES[[#This Row],[IVA 19%]]-PROVEEDORES[[#This Row],[descuento antes de IVA]]-PROVEEDORES[[#This Row],[Descuento sobre subtotal $]]-PROVEEDORES[[#This Row],[Rete Fuente $]]</f>
        <v>148000</v>
      </c>
      <c r="S122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5" s="99">
        <f ca="1">IF(PROVEEDORES[[#This Row],[FECHA DE PAGO]]=0,TODAY()-PROVEEDORES[[#This Row],[FECHA DE FACTURACIÓN]]-PROVEEDORES[[#This Row],[PLAZO Días]],0)</f>
        <v>0</v>
      </c>
      <c r="U1225" s="149">
        <f>+VLOOKUP(PROVEEDORES[[#This Row],[PROVEEDOR]],Terceros!$A:$E,5,FALSE)</f>
        <v>0</v>
      </c>
      <c r="V1225" s="150">
        <f>+YEAR(PROVEEDORES[[#This Row],[FECHA DE FACTURACIÓN]])</f>
        <v>2022</v>
      </c>
      <c r="W1225" s="150">
        <f>+MATCH(PROVEEDORES[[#This Row],[año facturado]],Retenciones!$1:$1,0)</f>
        <v>5</v>
      </c>
      <c r="X1225" s="151">
        <f>+VLOOKUP(PROVEEDORES[[#This Row],[ID RETENCION]],Retenciones!$A$1:$O$24,PROVEEDORES[[#This Row],[indicador de columna]],FALSE)</f>
        <v>0</v>
      </c>
      <c r="Y1225" s="152">
        <f>+VLOOKUP(PROVEEDORES[[#This Row],[ID RETENCION]],Retenciones!$A$1:$O$24,2,FALSE)</f>
        <v>0</v>
      </c>
      <c r="Z1225" s="26"/>
      <c r="AA1225" s="26"/>
      <c r="AB1225" s="26"/>
      <c r="AC1225" s="26"/>
      <c r="AD1225" s="26"/>
      <c r="AE1225" s="26"/>
    </row>
    <row r="1226" spans="1:31" ht="21.95" customHeight="1" x14ac:dyDescent="0.25">
      <c r="A1226" s="97" t="str">
        <f>+IF(PROVEEDORES[[#This Row],[FECHA DE PAGO]]=PROVEEDORES[[#This Row],[FECHA DE FACTURACIÓN]],"DE CONTADO","CRÉDITO")</f>
        <v>CRÉDITO</v>
      </c>
      <c r="B1226" s="41" t="str">
        <f>+IF((PROVEEDORES[[#This Row],[FECHA DE PAGO]]-PROVEEDORES[[#This Row],[FECHA DE FACTURACIÓN]])&gt;PROVEEDORES[[#This Row],[PLAZO Días]],"PAGO VENCIDO")</f>
        <v>PAGO VENCIDO</v>
      </c>
      <c r="C1226" s="22">
        <f>+VLOOKUP(PROVEEDORES[[#This Row],[PROVEEDOR]],TERCEROS_INFO[#All],2,FALSE)</f>
        <v>60</v>
      </c>
      <c r="D1226" s="27">
        <f>+SUMIFS(PROVEEDORES[Total],PROVEEDORES[PROVEEDOR],PROVEEDORES[[#This Row],[PROVEEDOR]],PROVEEDORES[FECHA DE PAGO],"")</f>
        <v>11143041</v>
      </c>
      <c r="E1226" s="27"/>
      <c r="F1226" s="62">
        <f>+VLOOKUP(PROVEEDORES[[#This Row],[PROVEEDOR]],
                       Terceros!$A:$G,
                       6,
                       FALSE)</f>
        <v>0</v>
      </c>
      <c r="G1226" s="95">
        <v>44676</v>
      </c>
      <c r="H1226" s="28" t="s">
        <v>507</v>
      </c>
      <c r="I1226" s="95">
        <v>44591</v>
      </c>
      <c r="J1226" s="38" t="s">
        <v>1170</v>
      </c>
      <c r="K1226" s="23">
        <v>7278800</v>
      </c>
      <c r="L1226" s="23"/>
      <c r="M1226" s="24">
        <f>(PROVEEDORES[[#This Row],[SUBTOTAL]]-PROVEEDORES[[#This Row],[descuento antes de IVA]])*VLOOKUP(PROVEEDORES[[#This Row],[PROVEEDOR]],TERCEROS_INFO[#All],3,FALSE)</f>
        <v>1382972</v>
      </c>
      <c r="N1226" s="25"/>
      <c r="O1226" s="24">
        <f>+PROVEEDORES[[#This Row],[Descuento sobre subtotal %]]*(PROVEEDORES[[#This Row],[SUBTOTAL]]-PROVEEDORES[[#This Row],[descuento antes de IVA]])</f>
        <v>0</v>
      </c>
      <c r="P1226" s="136">
        <f>+IF(PROVEEDORES[[#This Row],[SUBTOTAL]]&lt;PROVEEDORES[[#This Row],[base retencion]],0,PROVEEDORES[[#This Row],[retención aplicada]])</f>
        <v>0</v>
      </c>
      <c r="Q1226" s="24">
        <f>+PROVEEDORES[[#This Row],[Rete Fuente %]]*PROVEEDORES[[#This Row],[SUBTOTAL]]</f>
        <v>0</v>
      </c>
      <c r="R1226" s="23">
        <f>+PROVEEDORES[[#This Row],[SUBTOTAL]]+PROVEEDORES[[#This Row],[IVA 19%]]-PROVEEDORES[[#This Row],[descuento antes de IVA]]-PROVEEDORES[[#This Row],[Descuento sobre subtotal $]]-PROVEEDORES[[#This Row],[Rete Fuente $]]</f>
        <v>8661772</v>
      </c>
      <c r="S122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6" s="99">
        <f ca="1">IF(PROVEEDORES[[#This Row],[FECHA DE PAGO]]=0,TODAY()-PROVEEDORES[[#This Row],[FECHA DE FACTURACIÓN]]-PROVEEDORES[[#This Row],[PLAZO Días]],0)</f>
        <v>0</v>
      </c>
      <c r="U1226" s="149">
        <f>+VLOOKUP(PROVEEDORES[[#This Row],[PROVEEDOR]],Terceros!$A:$E,5,FALSE)</f>
        <v>0</v>
      </c>
      <c r="V1226" s="150">
        <f>+YEAR(PROVEEDORES[[#This Row],[FECHA DE FACTURACIÓN]])</f>
        <v>2022</v>
      </c>
      <c r="W1226" s="150">
        <f>+MATCH(PROVEEDORES[[#This Row],[año facturado]],Retenciones!$1:$1,0)</f>
        <v>5</v>
      </c>
      <c r="X1226" s="151">
        <f>+VLOOKUP(PROVEEDORES[[#This Row],[ID RETENCION]],Retenciones!$A$1:$O$24,PROVEEDORES[[#This Row],[indicador de columna]],FALSE)</f>
        <v>0</v>
      </c>
      <c r="Y1226" s="152">
        <f>+VLOOKUP(PROVEEDORES[[#This Row],[ID RETENCION]],Retenciones!$A$1:$O$24,2,FALSE)</f>
        <v>0</v>
      </c>
      <c r="Z1226" s="26"/>
      <c r="AA1226" s="26"/>
      <c r="AB1226" s="26"/>
      <c r="AC1226" s="26"/>
      <c r="AD1226" s="26"/>
      <c r="AE1226" s="26"/>
    </row>
    <row r="1227" spans="1:31" ht="21.95" customHeight="1" x14ac:dyDescent="0.25">
      <c r="A1227" s="97" t="str">
        <f>+IF(PROVEEDORES[[#This Row],[FECHA DE PAGO]]=PROVEEDORES[[#This Row],[FECHA DE FACTURACIÓN]],"DE CONTADO","CRÉDITO")</f>
        <v>CRÉDITO</v>
      </c>
      <c r="B1227" s="41" t="b">
        <f>+IF((PROVEEDORES[[#This Row],[FECHA DE PAGO]]-PROVEEDORES[[#This Row],[FECHA DE FACTURACIÓN]])&gt;PROVEEDORES[[#This Row],[PLAZO Días]],"PAGO VENCIDO")</f>
        <v>0</v>
      </c>
      <c r="C1227" s="22">
        <f>+VLOOKUP(PROVEEDORES[[#This Row],[PROVEEDOR]],TERCEROS_INFO[#All],2,FALSE)</f>
        <v>30</v>
      </c>
      <c r="D1227" s="27">
        <f>+SUMIFS(PROVEEDORES[Total],PROVEEDORES[PROVEEDOR],PROVEEDORES[[#This Row],[PROVEEDOR]],PROVEEDORES[FECHA DE PAGO],"")</f>
        <v>0</v>
      </c>
      <c r="E1227" s="27"/>
      <c r="F1227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1227" s="95">
        <v>44602</v>
      </c>
      <c r="H1227" s="28" t="s">
        <v>963</v>
      </c>
      <c r="I1227" s="95">
        <v>44592</v>
      </c>
      <c r="J1227" s="38" t="s">
        <v>1135</v>
      </c>
      <c r="K1227" s="23">
        <v>253315.8</v>
      </c>
      <c r="L1227" s="23"/>
      <c r="M1227" s="24">
        <v>0</v>
      </c>
      <c r="N1227" s="25"/>
      <c r="O1227" s="24">
        <v>0</v>
      </c>
      <c r="P1227" s="136">
        <f>+IF(PROVEEDORES[[#This Row],[SUBTOTAL]]&lt;PROVEEDORES[[#This Row],[base retencion]],0,PROVEEDORES[[#This Row],[retención aplicada]])</f>
        <v>0</v>
      </c>
      <c r="Q1227" s="24">
        <f>+PROVEEDORES[[#This Row],[Rete Fuente %]]*PROVEEDORES[[#This Row],[SUBTOTAL]]</f>
        <v>0</v>
      </c>
      <c r="R1227" s="23">
        <v>253315.8</v>
      </c>
      <c r="S122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7" s="99">
        <f ca="1">IF(PROVEEDORES[[#This Row],[FECHA DE PAGO]]=0,TODAY()-PROVEEDORES[[#This Row],[FECHA DE FACTURACIÓN]]-PROVEEDORES[[#This Row],[PLAZO Días]],0)</f>
        <v>0</v>
      </c>
      <c r="U1227" s="149">
        <f>+VLOOKUP(PROVEEDORES[[#This Row],[PROVEEDOR]],Terceros!$A:$E,5,FALSE)</f>
        <v>0</v>
      </c>
      <c r="V1227" s="150">
        <f>+YEAR(PROVEEDORES[[#This Row],[FECHA DE FACTURACIÓN]])</f>
        <v>2022</v>
      </c>
      <c r="W1227" s="150">
        <f>+MATCH(PROVEEDORES[[#This Row],[año facturado]],Retenciones!$1:$1,0)</f>
        <v>5</v>
      </c>
      <c r="X1227" s="151">
        <f>+VLOOKUP(PROVEEDORES[[#This Row],[ID RETENCION]],Retenciones!$A$1:$O$24,PROVEEDORES[[#This Row],[indicador de columna]],FALSE)</f>
        <v>0</v>
      </c>
      <c r="Y1227" s="152">
        <f>+VLOOKUP(PROVEEDORES[[#This Row],[ID RETENCION]],Retenciones!$A$1:$O$24,2,FALSE)</f>
        <v>0</v>
      </c>
      <c r="Z1227" s="26"/>
      <c r="AA1227" s="26"/>
      <c r="AB1227" s="26"/>
      <c r="AC1227" s="26"/>
      <c r="AD1227" s="26"/>
      <c r="AE1227" s="26"/>
    </row>
    <row r="1228" spans="1:31" ht="21.95" customHeight="1" x14ac:dyDescent="0.25">
      <c r="A1228" s="97" t="str">
        <f>+IF(PROVEEDORES[[#This Row],[FECHA DE PAGO]]=PROVEEDORES[[#This Row],[FECHA DE FACTURACIÓN]],"DE CONTADO","CRÉDITO")</f>
        <v>CRÉDITO</v>
      </c>
      <c r="B1228" s="41" t="str">
        <f>+IF((PROVEEDORES[[#This Row],[FECHA DE PAGO]]-PROVEEDORES[[#This Row],[FECHA DE FACTURACIÓN]])&gt;PROVEEDORES[[#This Row],[PLAZO Días]],"PAGO VENCIDO")</f>
        <v>PAGO VENCIDO</v>
      </c>
      <c r="C1228" s="22">
        <f>+VLOOKUP(PROVEEDORES[[#This Row],[PROVEEDOR]],TERCEROS_INFO[#All],2,FALSE)</f>
        <v>30</v>
      </c>
      <c r="D1228" s="27">
        <f>+SUMIFS(PROVEEDORES[Total],PROVEEDORES[PROVEEDOR],PROVEEDORES[[#This Row],[PROVEEDOR]],PROVEEDORES[FECHA DE PAGO],"")</f>
        <v>627113.34</v>
      </c>
      <c r="E1228" s="27"/>
      <c r="F1228" s="62" t="str">
        <f>+VLOOKUP(PROVEEDORES[[#This Row],[PROVEEDOR]],
                       Terceros!$A:$G,
                       6,
                       FALSE)</f>
        <v>ventas@ismartsas.com;girlesa.ruiz@servipilas.com;joriescobar64@gmail.com</v>
      </c>
      <c r="G1228" s="95">
        <v>44644</v>
      </c>
      <c r="H1228" s="28" t="s">
        <v>48</v>
      </c>
      <c r="I1228" s="95">
        <v>44592</v>
      </c>
      <c r="J1228" s="38" t="s">
        <v>1125</v>
      </c>
      <c r="K1228" s="23">
        <v>1609330</v>
      </c>
      <c r="L1228" s="23"/>
      <c r="M1228" s="24">
        <v>305772.7</v>
      </c>
      <c r="N1228" s="25"/>
      <c r="O1228" s="24">
        <v>0</v>
      </c>
      <c r="P1228" s="136">
        <f>+IF(PROVEEDORES[[#This Row],[SUBTOTAL]]&lt;PROVEEDORES[[#This Row],[base retencion]],0,PROVEEDORES[[#This Row],[retención aplicada]])</f>
        <v>2.5000000000000001E-2</v>
      </c>
      <c r="Q1228" s="24">
        <f>+PROVEEDORES[[#This Row],[Rete Fuente %]]*PROVEEDORES[[#This Row],[SUBTOTAL]]</f>
        <v>40233.25</v>
      </c>
      <c r="R1228" s="23">
        <v>1874869.45</v>
      </c>
      <c r="S122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8" s="99">
        <f ca="1">IF(PROVEEDORES[[#This Row],[FECHA DE PAGO]]=0,TODAY()-PROVEEDORES[[#This Row],[FECHA DE FACTURACIÓN]]-PROVEEDORES[[#This Row],[PLAZO Días]],0)</f>
        <v>0</v>
      </c>
      <c r="U1228" s="149" t="str">
        <f>+VLOOKUP(PROVEEDORES[[#This Row],[PROVEEDOR]],Terceros!$A:$E,5,FALSE)</f>
        <v>2,5% con base</v>
      </c>
      <c r="V1228" s="150">
        <f>+YEAR(PROVEEDORES[[#This Row],[FECHA DE FACTURACIÓN]])</f>
        <v>2022</v>
      </c>
      <c r="W1228" s="150">
        <f>+MATCH(PROVEEDORES[[#This Row],[año facturado]],Retenciones!$1:$1,0)</f>
        <v>5</v>
      </c>
      <c r="X1228" s="151">
        <f>+VLOOKUP(PROVEEDORES[[#This Row],[ID RETENCION]],Retenciones!$A$1:$O$24,PROVEEDORES[[#This Row],[indicador de columna]],FALSE)</f>
        <v>1026000</v>
      </c>
      <c r="Y1228" s="152">
        <f>+VLOOKUP(PROVEEDORES[[#This Row],[ID RETENCION]],Retenciones!$A$1:$O$24,2,FALSE)</f>
        <v>2.5000000000000001E-2</v>
      </c>
      <c r="Z1228" s="26"/>
      <c r="AA1228" s="26"/>
      <c r="AB1228" s="26"/>
      <c r="AC1228" s="26"/>
      <c r="AD1228" s="26"/>
      <c r="AE1228" s="26"/>
    </row>
    <row r="1229" spans="1:31" ht="21.95" customHeight="1" x14ac:dyDescent="0.25">
      <c r="A1229" s="97" t="str">
        <f>+IF(PROVEEDORES[[#This Row],[FECHA DE PAGO]]=PROVEEDORES[[#This Row],[FECHA DE FACTURACIÓN]],"DE CONTADO","CRÉDITO")</f>
        <v>CRÉDITO</v>
      </c>
      <c r="B1229" s="41" t="b">
        <f>+IF((PROVEEDORES[[#This Row],[FECHA DE PAGO]]-PROVEEDORES[[#This Row],[FECHA DE FACTURACIÓN]])&gt;PROVEEDORES[[#This Row],[PLAZO Días]],"PAGO VENCIDO")</f>
        <v>0</v>
      </c>
      <c r="C1229" s="22">
        <f>+VLOOKUP(PROVEEDORES[[#This Row],[PROVEEDOR]],TERCEROS_INFO[#All],2,FALSE)</f>
        <v>30</v>
      </c>
      <c r="D1229" s="27">
        <f>+SUMIFS(PROVEEDORES[Total],PROVEEDORES[PROVEEDOR],PROVEEDORES[[#This Row],[PROVEEDOR]],PROVEEDORES[FECHA DE PAGO],"")</f>
        <v>264406</v>
      </c>
      <c r="E1229" s="27"/>
      <c r="F1229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1229" s="95">
        <v>44602</v>
      </c>
      <c r="H1229" s="28" t="s">
        <v>390</v>
      </c>
      <c r="I1229" s="95">
        <v>44593</v>
      </c>
      <c r="J1229" s="38" t="s">
        <v>1137</v>
      </c>
      <c r="K1229" s="23">
        <v>3402</v>
      </c>
      <c r="L1229" s="23"/>
      <c r="M1229" s="24">
        <v>0</v>
      </c>
      <c r="N1229" s="25"/>
      <c r="O1229" s="24">
        <v>0</v>
      </c>
      <c r="P1229" s="136">
        <f>+IF(PROVEEDORES[[#This Row],[SUBTOTAL]]&lt;PROVEEDORES[[#This Row],[base retencion]],0,PROVEEDORES[[#This Row],[retención aplicada]])</f>
        <v>0</v>
      </c>
      <c r="Q1229" s="24">
        <f>+PROVEEDORES[[#This Row],[Rete Fuente %]]*PROVEEDORES[[#This Row],[SUBTOTAL]]</f>
        <v>0</v>
      </c>
      <c r="R1229" s="23">
        <v>3402</v>
      </c>
      <c r="S122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9" s="99">
        <f ca="1">IF(PROVEEDORES[[#This Row],[FECHA DE PAGO]]=0,TODAY()-PROVEEDORES[[#This Row],[FECHA DE FACTURACIÓN]]-PROVEEDORES[[#This Row],[PLAZO Días]],0)</f>
        <v>0</v>
      </c>
      <c r="U1229" s="149">
        <f>+VLOOKUP(PROVEEDORES[[#This Row],[PROVEEDOR]],Terceros!$A:$E,5,FALSE)</f>
        <v>0</v>
      </c>
      <c r="V1229" s="150">
        <f>+YEAR(PROVEEDORES[[#This Row],[FECHA DE FACTURACIÓN]])</f>
        <v>2022</v>
      </c>
      <c r="W1229" s="150">
        <f>+MATCH(PROVEEDORES[[#This Row],[año facturado]],Retenciones!$1:$1,0)</f>
        <v>5</v>
      </c>
      <c r="X1229" s="151">
        <f>+VLOOKUP(PROVEEDORES[[#This Row],[ID RETENCION]],Retenciones!$A$1:$O$24,PROVEEDORES[[#This Row],[indicador de columna]],FALSE)</f>
        <v>0</v>
      </c>
      <c r="Y1229" s="152">
        <f>+VLOOKUP(PROVEEDORES[[#This Row],[ID RETENCION]],Retenciones!$A$1:$O$24,2,FALSE)</f>
        <v>0</v>
      </c>
      <c r="Z1229" s="26"/>
      <c r="AA1229" s="26"/>
      <c r="AB1229" s="26"/>
      <c r="AC1229" s="26"/>
      <c r="AD1229" s="26"/>
      <c r="AE1229" s="26"/>
    </row>
    <row r="1230" spans="1:31" ht="21.95" customHeight="1" x14ac:dyDescent="0.25">
      <c r="A1230" s="97" t="str">
        <f>+IF(PROVEEDORES[[#This Row],[FECHA DE PAGO]]=PROVEEDORES[[#This Row],[FECHA DE FACTURACIÓN]],"DE CONTADO","CRÉDITO")</f>
        <v>CRÉDITO</v>
      </c>
      <c r="B1230" s="41" t="b">
        <f>+IF((PROVEEDORES[[#This Row],[FECHA DE PAGO]]-PROVEEDORES[[#This Row],[FECHA DE FACTURACIÓN]])&gt;PROVEEDORES[[#This Row],[PLAZO Días]],"PAGO VENCIDO")</f>
        <v>0</v>
      </c>
      <c r="C1230" s="22">
        <f>+VLOOKUP(PROVEEDORES[[#This Row],[PROVEEDOR]],TERCEROS_INFO[#All],2,FALSE)</f>
        <v>20</v>
      </c>
      <c r="D1230" s="27">
        <f>+SUMIFS(PROVEEDORES[Total],PROVEEDORES[PROVEEDOR],PROVEEDORES[[#This Row],[PROVEEDOR]],PROVEEDORES[FECHA DE PAGO],"")</f>
        <v>0</v>
      </c>
      <c r="E1230" s="27"/>
      <c r="F1230" s="62" t="str">
        <f>+VLOOKUP(PROVEEDORES[[#This Row],[PROVEEDOR]],
                       Terceros!$A:$G,
                       6,
                       FALSE)</f>
        <v>bog.fa1@pressex.co;bog.fm1@pressex.co;kbaumgartner@pressex.co;girlesa.ruiz@servipilas.com;joriescobar64@gmail.com</v>
      </c>
      <c r="G1230" s="95">
        <v>44609</v>
      </c>
      <c r="H1230" s="28" t="s">
        <v>445</v>
      </c>
      <c r="I1230" s="95">
        <v>44593</v>
      </c>
      <c r="J1230" s="38" t="s">
        <v>1150</v>
      </c>
      <c r="K1230" s="23">
        <v>155400</v>
      </c>
      <c r="L1230" s="23"/>
      <c r="M1230" s="24">
        <v>0</v>
      </c>
      <c r="N1230" s="25"/>
      <c r="O1230" s="24">
        <v>0</v>
      </c>
      <c r="P1230" s="136">
        <f>+IF(PROVEEDORES[[#This Row],[SUBTOTAL]]&lt;PROVEEDORES[[#This Row],[base retencion]],0,PROVEEDORES[[#This Row],[retención aplicada]])</f>
        <v>0.01</v>
      </c>
      <c r="Q1230" s="24">
        <f>+PROVEEDORES[[#This Row],[Rete Fuente %]]*PROVEEDORES[[#This Row],[SUBTOTAL]]</f>
        <v>1554</v>
      </c>
      <c r="R1230" s="23">
        <v>153846</v>
      </c>
      <c r="S123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0" s="99">
        <f ca="1">IF(PROVEEDORES[[#This Row],[FECHA DE PAGO]]=0,TODAY()-PROVEEDORES[[#This Row],[FECHA DE FACTURACIÓN]]-PROVEEDORES[[#This Row],[PLAZO Días]],0)</f>
        <v>0</v>
      </c>
      <c r="U1230" s="149" t="str">
        <f>+VLOOKUP(PROVEEDORES[[#This Row],[PROVEEDOR]],Terceros!$A:$E,5,FALSE)</f>
        <v>1% con base</v>
      </c>
      <c r="V1230" s="150">
        <f>+YEAR(PROVEEDORES[[#This Row],[FECHA DE FACTURACIÓN]])</f>
        <v>2022</v>
      </c>
      <c r="W1230" s="150">
        <f>+MATCH(PROVEEDORES[[#This Row],[año facturado]],Retenciones!$1:$1,0)</f>
        <v>5</v>
      </c>
      <c r="X1230" s="151">
        <f>+VLOOKUP(PROVEEDORES[[#This Row],[ID RETENCION]],Retenciones!$A$1:$O$24,PROVEEDORES[[#This Row],[indicador de columna]],FALSE)</f>
        <v>152000</v>
      </c>
      <c r="Y1230" s="152">
        <f>+VLOOKUP(PROVEEDORES[[#This Row],[ID RETENCION]],Retenciones!$A$1:$O$24,2,FALSE)</f>
        <v>0.01</v>
      </c>
      <c r="Z1230" s="26"/>
      <c r="AA1230" s="26"/>
      <c r="AB1230" s="26"/>
      <c r="AC1230" s="26"/>
      <c r="AD1230" s="26"/>
      <c r="AE1230" s="26"/>
    </row>
    <row r="1231" spans="1:31" ht="21.95" customHeight="1" x14ac:dyDescent="0.25">
      <c r="A1231" s="97" t="str">
        <f>+IF(PROVEEDORES[[#This Row],[FECHA DE PAGO]]=PROVEEDORES[[#This Row],[FECHA DE FACTURACIÓN]],"DE CONTADO","CRÉDITO")</f>
        <v>CRÉDITO</v>
      </c>
      <c r="B1231" s="41" t="b">
        <f>+IF((PROVEEDORES[[#This Row],[FECHA DE PAGO]]-PROVEEDORES[[#This Row],[FECHA DE FACTURACIÓN]])&gt;PROVEEDORES[[#This Row],[PLAZO Días]],"PAGO VENCIDO")</f>
        <v>0</v>
      </c>
      <c r="C1231" s="22">
        <f>+VLOOKUP(PROVEEDORES[[#This Row],[PROVEEDOR]],TERCEROS_INFO[#All],2,FALSE)</f>
        <v>30</v>
      </c>
      <c r="D1231" s="27">
        <f>+SUMIFS(PROVEEDORES[Total],PROVEEDORES[PROVEEDOR],PROVEEDORES[[#This Row],[PROVEEDOR]],PROVEEDORES[FECHA DE PAGO],"")</f>
        <v>275944.33</v>
      </c>
      <c r="E1231" s="27"/>
      <c r="F1231" s="62" t="str">
        <f>+VLOOKUP(PROVEEDORES[[#This Row],[PROVEEDOR]],
                       Terceros!$A:$G,
                       6,
                       FALSE)</f>
        <v>facturacion@losmolinos.com.co</v>
      </c>
      <c r="G1231" s="95">
        <v>44607</v>
      </c>
      <c r="H1231" s="28" t="s">
        <v>342</v>
      </c>
      <c r="I1231" s="95">
        <v>44593</v>
      </c>
      <c r="J1231" s="38">
        <v>66158</v>
      </c>
      <c r="K1231" s="23">
        <v>284467</v>
      </c>
      <c r="L1231" s="23"/>
      <c r="M1231" s="24">
        <v>0</v>
      </c>
      <c r="N1231" s="25"/>
      <c r="O1231" s="24">
        <v>0</v>
      </c>
      <c r="P1231" s="136">
        <f>+IF(PROVEEDORES[[#This Row],[SUBTOTAL]]&lt;PROVEEDORES[[#This Row],[base retencion]],0,PROVEEDORES[[#This Row],[retención aplicada]])</f>
        <v>0</v>
      </c>
      <c r="Q1231" s="24">
        <f>+PROVEEDORES[[#This Row],[Rete Fuente %]]*PROVEEDORES[[#This Row],[SUBTOTAL]]</f>
        <v>0</v>
      </c>
      <c r="R1231" s="23">
        <v>284467</v>
      </c>
      <c r="S123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1" s="99">
        <f ca="1">IF(PROVEEDORES[[#This Row],[FECHA DE PAGO]]=0,TODAY()-PROVEEDORES[[#This Row],[FECHA DE FACTURACIÓN]]-PROVEEDORES[[#This Row],[PLAZO Días]],0)</f>
        <v>0</v>
      </c>
      <c r="U1231" s="149">
        <f>+VLOOKUP(PROVEEDORES[[#This Row],[PROVEEDOR]],Terceros!$A:$E,5,FALSE)</f>
        <v>0</v>
      </c>
      <c r="V1231" s="150">
        <f>+YEAR(PROVEEDORES[[#This Row],[FECHA DE FACTURACIÓN]])</f>
        <v>2022</v>
      </c>
      <c r="W1231" s="150">
        <f>+MATCH(PROVEEDORES[[#This Row],[año facturado]],Retenciones!$1:$1,0)</f>
        <v>5</v>
      </c>
      <c r="X1231" s="151">
        <f>+VLOOKUP(PROVEEDORES[[#This Row],[ID RETENCION]],Retenciones!$A$1:$O$24,PROVEEDORES[[#This Row],[indicador de columna]],FALSE)</f>
        <v>0</v>
      </c>
      <c r="Y1231" s="152">
        <f>+VLOOKUP(PROVEEDORES[[#This Row],[ID RETENCION]],Retenciones!$A$1:$O$24,2,FALSE)</f>
        <v>0</v>
      </c>
      <c r="Z1231" s="26"/>
      <c r="AA1231" s="26"/>
      <c r="AB1231" s="26"/>
      <c r="AC1231" s="26"/>
      <c r="AD1231" s="26"/>
      <c r="AE1231" s="26"/>
    </row>
    <row r="1232" spans="1:31" ht="21.95" customHeight="1" x14ac:dyDescent="0.25">
      <c r="A1232" s="97" t="str">
        <f>+IF(PROVEEDORES[[#This Row],[FECHA DE PAGO]]=PROVEEDORES[[#This Row],[FECHA DE FACTURACIÓN]],"DE CONTADO","CRÉDITO")</f>
        <v>CRÉDITO</v>
      </c>
      <c r="B1232" s="41" t="str">
        <f>+IF((PROVEEDORES[[#This Row],[FECHA DE PAGO]]-PROVEEDORES[[#This Row],[FECHA DE FACTURACIÓN]])&gt;PROVEEDORES[[#This Row],[PLAZO Días]],"PAGO VENCIDO")</f>
        <v>PAGO VENCIDO</v>
      </c>
      <c r="C1232" s="22">
        <f>+VLOOKUP(PROVEEDORES[[#This Row],[PROVEEDOR]],TERCEROS_INFO[#All],2,FALSE)</f>
        <v>13</v>
      </c>
      <c r="D1232" s="27">
        <f>+SUMIFS(PROVEEDORES[Total],PROVEEDORES[PROVEEDOR],PROVEEDORES[[#This Row],[PROVEEDOR]],PROVEEDORES[FECHA DE PAGO],"")</f>
        <v>2130283</v>
      </c>
      <c r="E1232" s="27"/>
      <c r="F1232" s="62">
        <f>+VLOOKUP(PROVEEDORES[[#This Row],[PROVEEDOR]],
                       Terceros!$A:$G,
                       6,
                       FALSE)</f>
        <v>0</v>
      </c>
      <c r="G1232" s="95">
        <v>44607</v>
      </c>
      <c r="H1232" s="28" t="s">
        <v>326</v>
      </c>
      <c r="I1232" s="95">
        <v>44593</v>
      </c>
      <c r="J1232" s="38" t="s">
        <v>328</v>
      </c>
      <c r="K1232" s="23">
        <v>313385</v>
      </c>
      <c r="L1232" s="23"/>
      <c r="M1232" s="24">
        <v>0</v>
      </c>
      <c r="N1232" s="25"/>
      <c r="O1232" s="24">
        <v>0</v>
      </c>
      <c r="P1232" s="136">
        <f>+IF(PROVEEDORES[[#This Row],[SUBTOTAL]]&lt;PROVEEDORES[[#This Row],[base retencion]],0,PROVEEDORES[[#This Row],[retención aplicada]])</f>
        <v>0</v>
      </c>
      <c r="Q1232" s="24">
        <f>+PROVEEDORES[[#This Row],[Rete Fuente %]]*PROVEEDORES[[#This Row],[SUBTOTAL]]</f>
        <v>0</v>
      </c>
      <c r="R1232" s="23">
        <v>313385</v>
      </c>
      <c r="S123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2" s="99">
        <f ca="1">IF(PROVEEDORES[[#This Row],[FECHA DE PAGO]]=0,TODAY()-PROVEEDORES[[#This Row],[FECHA DE FACTURACIÓN]]-PROVEEDORES[[#This Row],[PLAZO Días]],0)</f>
        <v>0</v>
      </c>
      <c r="U1232" s="149">
        <f>+VLOOKUP(PROVEEDORES[[#This Row],[PROVEEDOR]],Terceros!$A:$E,5,FALSE)</f>
        <v>0</v>
      </c>
      <c r="V1232" s="150">
        <f>+YEAR(PROVEEDORES[[#This Row],[FECHA DE FACTURACIÓN]])</f>
        <v>2022</v>
      </c>
      <c r="W1232" s="150">
        <f>+MATCH(PROVEEDORES[[#This Row],[año facturado]],Retenciones!$1:$1,0)</f>
        <v>5</v>
      </c>
      <c r="X1232" s="151">
        <f>+VLOOKUP(PROVEEDORES[[#This Row],[ID RETENCION]],Retenciones!$A$1:$O$24,PROVEEDORES[[#This Row],[indicador de columna]],FALSE)</f>
        <v>0</v>
      </c>
      <c r="Y1232" s="152">
        <f>+VLOOKUP(PROVEEDORES[[#This Row],[ID RETENCION]],Retenciones!$A$1:$O$24,2,FALSE)</f>
        <v>0</v>
      </c>
      <c r="Z1232" s="26"/>
      <c r="AA1232" s="26"/>
      <c r="AB1232" s="26"/>
      <c r="AC1232" s="26"/>
      <c r="AD1232" s="26"/>
      <c r="AE1232" s="26"/>
    </row>
    <row r="1233" spans="1:31" ht="21.95" customHeight="1" x14ac:dyDescent="0.25">
      <c r="A1233" s="97" t="str">
        <f>+IF(PROVEEDORES[[#This Row],[FECHA DE PAGO]]=PROVEEDORES[[#This Row],[FECHA DE FACTURACIÓN]],"DE CONTADO","CRÉDITO")</f>
        <v>CRÉDITO</v>
      </c>
      <c r="B1233" s="41" t="b">
        <f>+IF((PROVEEDORES[[#This Row],[FECHA DE PAGO]]-PROVEEDORES[[#This Row],[FECHA DE FACTURACIÓN]])&gt;PROVEEDORES[[#This Row],[PLAZO Días]],"PAGO VENCIDO")</f>
        <v>0</v>
      </c>
      <c r="C1233" s="22">
        <f>+VLOOKUP(PROVEEDORES[[#This Row],[PROVEEDOR]],TERCEROS_INFO[#All],2,FALSE)</f>
        <v>20</v>
      </c>
      <c r="D1233" s="27">
        <f>+SUMIFS(PROVEEDORES[Total],PROVEEDORES[PROVEEDOR],PROVEEDORES[[#This Row],[PROVEEDOR]],PROVEEDORES[FECHA DE PAGO],"")</f>
        <v>0</v>
      </c>
      <c r="E1233" s="27"/>
      <c r="F1233" s="62" t="str">
        <f>+VLOOKUP(PROVEEDORES[[#This Row],[PROVEEDOR]],
                       Terceros!$A:$G,
                       6,
                       FALSE)</f>
        <v>pse</v>
      </c>
      <c r="G1233" s="95">
        <v>44607</v>
      </c>
      <c r="H1233" s="28" t="s">
        <v>370</v>
      </c>
      <c r="I1233" s="95">
        <v>44593</v>
      </c>
      <c r="J1233" s="38"/>
      <c r="K1233" s="23">
        <v>326243</v>
      </c>
      <c r="L1233" s="23"/>
      <c r="M1233" s="24">
        <v>0</v>
      </c>
      <c r="N1233" s="25"/>
      <c r="O1233" s="24">
        <v>0</v>
      </c>
      <c r="P1233" s="136">
        <f>+IF(PROVEEDORES[[#This Row],[SUBTOTAL]]&lt;PROVEEDORES[[#This Row],[base retencion]],0,PROVEEDORES[[#This Row],[retención aplicada]])</f>
        <v>0</v>
      </c>
      <c r="Q1233" s="24">
        <f>+PROVEEDORES[[#This Row],[Rete Fuente %]]*PROVEEDORES[[#This Row],[SUBTOTAL]]</f>
        <v>0</v>
      </c>
      <c r="R1233" s="23">
        <v>326243</v>
      </c>
      <c r="S123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3" s="99">
        <f ca="1">IF(PROVEEDORES[[#This Row],[FECHA DE PAGO]]=0,TODAY()-PROVEEDORES[[#This Row],[FECHA DE FACTURACIÓN]]-PROVEEDORES[[#This Row],[PLAZO Días]],0)</f>
        <v>0</v>
      </c>
      <c r="U1233" s="149">
        <f>+VLOOKUP(PROVEEDORES[[#This Row],[PROVEEDOR]],Terceros!$A:$E,5,FALSE)</f>
        <v>0</v>
      </c>
      <c r="V1233" s="150">
        <f>+YEAR(PROVEEDORES[[#This Row],[FECHA DE FACTURACIÓN]])</f>
        <v>2022</v>
      </c>
      <c r="W1233" s="150">
        <f>+MATCH(PROVEEDORES[[#This Row],[año facturado]],Retenciones!$1:$1,0)</f>
        <v>5</v>
      </c>
      <c r="X1233" s="151">
        <f>+VLOOKUP(PROVEEDORES[[#This Row],[ID RETENCION]],Retenciones!$A$1:$O$24,PROVEEDORES[[#This Row],[indicador de columna]],FALSE)</f>
        <v>0</v>
      </c>
      <c r="Y1233" s="152">
        <f>+VLOOKUP(PROVEEDORES[[#This Row],[ID RETENCION]],Retenciones!$A$1:$O$24,2,FALSE)</f>
        <v>0</v>
      </c>
      <c r="Z1233" s="26"/>
      <c r="AA1233" s="26"/>
      <c r="AB1233" s="26"/>
      <c r="AC1233" s="26"/>
      <c r="AD1233" s="26"/>
      <c r="AE1233" s="26"/>
    </row>
    <row r="1234" spans="1:31" ht="21.95" customHeight="1" x14ac:dyDescent="0.25">
      <c r="A1234" s="97" t="str">
        <f>+IF(PROVEEDORES[[#This Row],[FECHA DE PAGO]]=PROVEEDORES[[#This Row],[FECHA DE FACTURACIÓN]],"DE CONTADO","CRÉDITO")</f>
        <v>CRÉDITO</v>
      </c>
      <c r="B1234" s="41" t="b">
        <f>+IF((PROVEEDORES[[#This Row],[FECHA DE PAGO]]-PROVEEDORES[[#This Row],[FECHA DE FACTURACIÓN]])&gt;PROVEEDORES[[#This Row],[PLAZO Días]],"PAGO VENCIDO")</f>
        <v>0</v>
      </c>
      <c r="C1234" s="22">
        <f>+VLOOKUP(PROVEEDORES[[#This Row],[PROVEEDOR]],TERCEROS_INFO[#All],2,FALSE)</f>
        <v>30</v>
      </c>
      <c r="D1234" s="27">
        <f>+SUMIFS(PROVEEDORES[Total],PROVEEDORES[PROVEEDOR],PROVEEDORES[[#This Row],[PROVEEDOR]],PROVEEDORES[FECHA DE PAGO],"")</f>
        <v>0</v>
      </c>
      <c r="E1234" s="27"/>
      <c r="F1234" s="62" t="str">
        <f>+VLOOKUP(PROVEEDORES[[#This Row],[PROVEEDOR]],
                       Terceros!$A:$G,
                       6,
                       FALSE)</f>
        <v>contabilidad@comercialweb.com.co;info@servipilas.com</v>
      </c>
      <c r="G1234" s="95">
        <v>44614</v>
      </c>
      <c r="H1234" s="28" t="s">
        <v>341</v>
      </c>
      <c r="I1234" s="95">
        <v>44596</v>
      </c>
      <c r="J1234" s="38">
        <v>915</v>
      </c>
      <c r="K1234" s="23">
        <v>600000</v>
      </c>
      <c r="L1234" s="23"/>
      <c r="M1234" s="24">
        <v>0</v>
      </c>
      <c r="N1234" s="25"/>
      <c r="O1234" s="24">
        <v>0</v>
      </c>
      <c r="P1234" s="136">
        <f>+IF(PROVEEDORES[[#This Row],[SUBTOTAL]]&lt;PROVEEDORES[[#This Row],[base retencion]],0,PROVEEDORES[[#This Row],[retención aplicada]])</f>
        <v>3.5000000000000003E-2</v>
      </c>
      <c r="Q1234" s="24">
        <f>+PROVEEDORES[[#This Row],[Rete Fuente %]]*PROVEEDORES[[#This Row],[SUBTOTAL]]</f>
        <v>21000.000000000004</v>
      </c>
      <c r="R1234" s="23">
        <v>600000</v>
      </c>
      <c r="S123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4" s="99">
        <f ca="1">IF(PROVEEDORES[[#This Row],[FECHA DE PAGO]]=0,TODAY()-PROVEEDORES[[#This Row],[FECHA DE FACTURACIÓN]]-PROVEEDORES[[#This Row],[PLAZO Días]],0)</f>
        <v>0</v>
      </c>
      <c r="U1234" s="149" t="str">
        <f>+VLOOKUP(PROVEEDORES[[#This Row],[PROVEEDOR]],Terceros!$A:$E,5,FALSE)</f>
        <v>3,5% sin base</v>
      </c>
      <c r="V1234" s="150">
        <f>+YEAR(PROVEEDORES[[#This Row],[FECHA DE FACTURACIÓN]])</f>
        <v>2022</v>
      </c>
      <c r="W1234" s="150">
        <f>+MATCH(PROVEEDORES[[#This Row],[año facturado]],Retenciones!$1:$1,0)</f>
        <v>5</v>
      </c>
      <c r="X1234" s="151">
        <f>+VLOOKUP(PROVEEDORES[[#This Row],[ID RETENCION]],Retenciones!$A$1:$O$24,PROVEEDORES[[#This Row],[indicador de columna]],FALSE)</f>
        <v>0</v>
      </c>
      <c r="Y1234" s="152">
        <f>+VLOOKUP(PROVEEDORES[[#This Row],[ID RETENCION]],Retenciones!$A$1:$O$24,2,FALSE)</f>
        <v>3.5000000000000003E-2</v>
      </c>
      <c r="Z1234" s="26"/>
      <c r="AA1234" s="26"/>
      <c r="AB1234" s="26"/>
      <c r="AC1234" s="26"/>
      <c r="AD1234" s="26"/>
      <c r="AE1234" s="26"/>
    </row>
    <row r="1235" spans="1:31" ht="21.95" customHeight="1" x14ac:dyDescent="0.25">
      <c r="A1235" s="97" t="str">
        <f>+IF(PROVEEDORES[[#This Row],[FECHA DE PAGO]]=PROVEEDORES[[#This Row],[FECHA DE FACTURACIÓN]],"DE CONTADO","CRÉDITO")</f>
        <v>CRÉDITO</v>
      </c>
      <c r="B1235" s="41" t="b">
        <f>+IF((PROVEEDORES[[#This Row],[FECHA DE PAGO]]-PROVEEDORES[[#This Row],[FECHA DE FACTURACIÓN]])&gt;PROVEEDORES[[#This Row],[PLAZO Días]],"PAGO VENCIDO")</f>
        <v>0</v>
      </c>
      <c r="C1235" s="22">
        <f>+VLOOKUP(PROVEEDORES[[#This Row],[PROVEEDOR]],TERCEROS_INFO[#All],2,FALSE)</f>
        <v>30</v>
      </c>
      <c r="D1235" s="27">
        <f>+SUMIFS(PROVEEDORES[Total],PROVEEDORES[PROVEEDOR],PROVEEDORES[[#This Row],[PROVEEDOR]],PROVEEDORES[FECHA DE PAGO],"")</f>
        <v>6466720</v>
      </c>
      <c r="E1235" s="27"/>
      <c r="F1235" s="62" t="str">
        <f>+VLOOKUP(PROVEEDORES[[#This Row],[PROVEEDOR]],
                       Terceros!$A:$G,
                       6,
                       FALSE)</f>
        <v>PSE</v>
      </c>
      <c r="G1235" s="95">
        <v>44615</v>
      </c>
      <c r="H1235" s="28" t="s">
        <v>369</v>
      </c>
      <c r="I1235" s="95">
        <v>44610</v>
      </c>
      <c r="J1235" s="38">
        <v>94613621</v>
      </c>
      <c r="K1235" s="23">
        <v>130900</v>
      </c>
      <c r="L1235" s="23"/>
      <c r="M1235" s="24">
        <v>24871</v>
      </c>
      <c r="N1235" s="25"/>
      <c r="O1235" s="24">
        <v>0</v>
      </c>
      <c r="P1235" s="136">
        <f>+IF(PROVEEDORES[[#This Row],[SUBTOTAL]]&lt;PROVEEDORES[[#This Row],[base retencion]],0,PROVEEDORES[[#This Row],[retención aplicada]])</f>
        <v>0</v>
      </c>
      <c r="Q1235" s="24">
        <f>+PROVEEDORES[[#This Row],[Rete Fuente %]]*PROVEEDORES[[#This Row],[SUBTOTAL]]</f>
        <v>0</v>
      </c>
      <c r="R1235" s="23">
        <v>155771</v>
      </c>
      <c r="S123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5" s="99">
        <f ca="1">IF(PROVEEDORES[[#This Row],[FECHA DE PAGO]]=0,TODAY()-PROVEEDORES[[#This Row],[FECHA DE FACTURACIÓN]]-PROVEEDORES[[#This Row],[PLAZO Días]],0)</f>
        <v>0</v>
      </c>
      <c r="U1235" s="149">
        <f>+VLOOKUP(PROVEEDORES[[#This Row],[PROVEEDOR]],Terceros!$A:$E,5,FALSE)</f>
        <v>0</v>
      </c>
      <c r="V1235" s="150">
        <f>+YEAR(PROVEEDORES[[#This Row],[FECHA DE FACTURACIÓN]])</f>
        <v>2022</v>
      </c>
      <c r="W1235" s="150">
        <f>+MATCH(PROVEEDORES[[#This Row],[año facturado]],Retenciones!$1:$1,0)</f>
        <v>5</v>
      </c>
      <c r="X1235" s="151">
        <f>+VLOOKUP(PROVEEDORES[[#This Row],[ID RETENCION]],Retenciones!$A$1:$O$24,PROVEEDORES[[#This Row],[indicador de columna]],FALSE)</f>
        <v>0</v>
      </c>
      <c r="Y1235" s="152">
        <f>+VLOOKUP(PROVEEDORES[[#This Row],[ID RETENCION]],Retenciones!$A$1:$O$24,2,FALSE)</f>
        <v>0</v>
      </c>
      <c r="Z1235" s="26"/>
      <c r="AA1235" s="26"/>
      <c r="AB1235" s="26"/>
      <c r="AC1235" s="26"/>
      <c r="AD1235" s="26"/>
      <c r="AE1235" s="26"/>
    </row>
    <row r="1236" spans="1:31" ht="21.95" customHeight="1" x14ac:dyDescent="0.25">
      <c r="A1236" s="97" t="str">
        <f>+IF(PROVEEDORES[[#This Row],[FECHA DE PAGO]]=PROVEEDORES[[#This Row],[FECHA DE FACTURACIÓN]],"DE CONTADO","CRÉDITO")</f>
        <v>CRÉDITO</v>
      </c>
      <c r="B1236" s="41" t="b">
        <f>+IF((PROVEEDORES[[#This Row],[FECHA DE PAGO]]-PROVEEDORES[[#This Row],[FECHA DE FACTURACIÓN]])&gt;PROVEEDORES[[#This Row],[PLAZO Días]],"PAGO VENCIDO")</f>
        <v>0</v>
      </c>
      <c r="C1236" s="22">
        <f>+VLOOKUP(PROVEEDORES[[#This Row],[PROVEEDOR]],TERCEROS_INFO[#All],2,FALSE)</f>
        <v>30</v>
      </c>
      <c r="D1236" s="27">
        <f>+SUMIFS(PROVEEDORES[Total],PROVEEDORES[PROVEEDOR],PROVEEDORES[[#This Row],[PROVEEDOR]],PROVEEDORES[FECHA DE PAGO],"")</f>
        <v>0</v>
      </c>
      <c r="E1236" s="27"/>
      <c r="F1236" s="62" t="str">
        <f>+VLOOKUP(PROVEEDORES[[#This Row],[PROVEEDOR]],
                       Terceros!$A:$G,
                       6,
                       FALSE)</f>
        <v>PSE</v>
      </c>
      <c r="G1236" s="95">
        <v>44616</v>
      </c>
      <c r="H1236" s="28" t="s">
        <v>350</v>
      </c>
      <c r="I1236" s="95">
        <v>44593</v>
      </c>
      <c r="J1236" s="38">
        <v>13188</v>
      </c>
      <c r="K1236" s="23">
        <v>800264</v>
      </c>
      <c r="L1236" s="23"/>
      <c r="M1236" s="24">
        <v>0</v>
      </c>
      <c r="N1236" s="25"/>
      <c r="O1236" s="24">
        <v>0</v>
      </c>
      <c r="P1236" s="136">
        <f>+IF(PROVEEDORES[[#This Row],[SUBTOTAL]]&lt;PROVEEDORES[[#This Row],[base retencion]],0,PROVEEDORES[[#This Row],[retención aplicada]])</f>
        <v>0</v>
      </c>
      <c r="Q1236" s="24">
        <f>+PROVEEDORES[[#This Row],[Rete Fuente %]]*PROVEEDORES[[#This Row],[SUBTOTAL]]</f>
        <v>0</v>
      </c>
      <c r="R1236" s="23">
        <v>800264</v>
      </c>
      <c r="S123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6" s="99">
        <f ca="1">IF(PROVEEDORES[[#This Row],[FECHA DE PAGO]]=0,TODAY()-PROVEEDORES[[#This Row],[FECHA DE FACTURACIÓN]]-PROVEEDORES[[#This Row],[PLAZO Días]],0)</f>
        <v>0</v>
      </c>
      <c r="U1236" s="149">
        <f>+VLOOKUP(PROVEEDORES[[#This Row],[PROVEEDOR]],Terceros!$A:$E,5,FALSE)</f>
        <v>0</v>
      </c>
      <c r="V1236" s="150">
        <f>+YEAR(PROVEEDORES[[#This Row],[FECHA DE FACTURACIÓN]])</f>
        <v>2022</v>
      </c>
      <c r="W1236" s="150">
        <f>+MATCH(PROVEEDORES[[#This Row],[año facturado]],Retenciones!$1:$1,0)</f>
        <v>5</v>
      </c>
      <c r="X1236" s="151">
        <f>+VLOOKUP(PROVEEDORES[[#This Row],[ID RETENCION]],Retenciones!$A$1:$O$24,PROVEEDORES[[#This Row],[indicador de columna]],FALSE)</f>
        <v>0</v>
      </c>
      <c r="Y1236" s="152">
        <f>+VLOOKUP(PROVEEDORES[[#This Row],[ID RETENCION]],Retenciones!$A$1:$O$24,2,FALSE)</f>
        <v>0</v>
      </c>
      <c r="Z1236" s="26"/>
      <c r="AA1236" s="26"/>
      <c r="AB1236" s="26"/>
      <c r="AC1236" s="26"/>
      <c r="AD1236" s="26"/>
      <c r="AE1236" s="26"/>
    </row>
    <row r="1237" spans="1:31" ht="21.95" customHeight="1" x14ac:dyDescent="0.25">
      <c r="A1237" s="97" t="str">
        <f>+IF(PROVEEDORES[[#This Row],[FECHA DE PAGO]]=PROVEEDORES[[#This Row],[FECHA DE FACTURACIÓN]],"DE CONTADO","CRÉDITO")</f>
        <v>CRÉDITO</v>
      </c>
      <c r="B1237" s="41" t="b">
        <f>+IF((PROVEEDORES[[#This Row],[FECHA DE PAGO]]-PROVEEDORES[[#This Row],[FECHA DE FACTURACIÓN]])&gt;PROVEEDORES[[#This Row],[PLAZO Días]],"PAGO VENCIDO")</f>
        <v>0</v>
      </c>
      <c r="C1237" s="22">
        <f>+VLOOKUP(PROVEEDORES[[#This Row],[PROVEEDOR]],TERCEROS_INFO[#All],2,FALSE)</f>
        <v>30</v>
      </c>
      <c r="D1237" s="27">
        <f>+SUMIFS(PROVEEDORES[Total],PROVEEDORES[PROVEEDOR],PROVEEDORES[[#This Row],[PROVEEDOR]],PROVEEDORES[FECHA DE PAGO],"")</f>
        <v>0</v>
      </c>
      <c r="E1237" s="27"/>
      <c r="F1237" s="62" t="str">
        <f>+VLOOKUP(PROVEEDORES[[#This Row],[PROVEEDOR]],
                       Terceros!$A:$G,
                       6,
                       FALSE)</f>
        <v>PSE</v>
      </c>
      <c r="G1237" s="95">
        <v>44616</v>
      </c>
      <c r="H1237" s="28" t="s">
        <v>350</v>
      </c>
      <c r="I1237" s="95">
        <v>44593</v>
      </c>
      <c r="J1237" s="38">
        <v>13229</v>
      </c>
      <c r="K1237" s="23">
        <v>818874</v>
      </c>
      <c r="L1237" s="23"/>
      <c r="M1237" s="24">
        <v>0</v>
      </c>
      <c r="N1237" s="25"/>
      <c r="O1237" s="24">
        <v>0</v>
      </c>
      <c r="P1237" s="136">
        <f>+IF(PROVEEDORES[[#This Row],[SUBTOTAL]]&lt;PROVEEDORES[[#This Row],[base retencion]],0,PROVEEDORES[[#This Row],[retención aplicada]])</f>
        <v>0</v>
      </c>
      <c r="Q1237" s="24">
        <f>+PROVEEDORES[[#This Row],[Rete Fuente %]]*PROVEEDORES[[#This Row],[SUBTOTAL]]</f>
        <v>0</v>
      </c>
      <c r="R1237" s="23">
        <v>818874</v>
      </c>
      <c r="S123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7" s="99">
        <f ca="1">IF(PROVEEDORES[[#This Row],[FECHA DE PAGO]]=0,TODAY()-PROVEEDORES[[#This Row],[FECHA DE FACTURACIÓN]]-PROVEEDORES[[#This Row],[PLAZO Días]],0)</f>
        <v>0</v>
      </c>
      <c r="U1237" s="149">
        <f>+VLOOKUP(PROVEEDORES[[#This Row],[PROVEEDOR]],Terceros!$A:$E,5,FALSE)</f>
        <v>0</v>
      </c>
      <c r="V1237" s="150">
        <f>+YEAR(PROVEEDORES[[#This Row],[FECHA DE FACTURACIÓN]])</f>
        <v>2022</v>
      </c>
      <c r="W1237" s="150">
        <f>+MATCH(PROVEEDORES[[#This Row],[año facturado]],Retenciones!$1:$1,0)</f>
        <v>5</v>
      </c>
      <c r="X1237" s="151">
        <f>+VLOOKUP(PROVEEDORES[[#This Row],[ID RETENCION]],Retenciones!$A$1:$O$24,PROVEEDORES[[#This Row],[indicador de columna]],FALSE)</f>
        <v>0</v>
      </c>
      <c r="Y1237" s="152">
        <f>+VLOOKUP(PROVEEDORES[[#This Row],[ID RETENCION]],Retenciones!$A$1:$O$24,2,FALSE)</f>
        <v>0</v>
      </c>
      <c r="Z1237" s="26"/>
      <c r="AA1237" s="26"/>
      <c r="AB1237" s="26"/>
      <c r="AC1237" s="26"/>
      <c r="AD1237" s="26"/>
      <c r="AE1237" s="26"/>
    </row>
    <row r="1238" spans="1:31" ht="21.95" customHeight="1" x14ac:dyDescent="0.25">
      <c r="A1238" s="97" t="str">
        <f>+IF(PROVEEDORES[[#This Row],[FECHA DE PAGO]]=PROVEEDORES[[#This Row],[FECHA DE FACTURACIÓN]],"DE CONTADO","CRÉDITO")</f>
        <v>CRÉDITO</v>
      </c>
      <c r="B1238" s="41" t="b">
        <f>+IF((PROVEEDORES[[#This Row],[FECHA DE PAGO]]-PROVEEDORES[[#This Row],[FECHA DE FACTURACIÓN]])&gt;PROVEEDORES[[#This Row],[PLAZO Días]],"PAGO VENCIDO")</f>
        <v>0</v>
      </c>
      <c r="C1238" s="22">
        <f>+VLOOKUP(PROVEEDORES[[#This Row],[PROVEEDOR]],TERCEROS_INFO[#All],2,FALSE)</f>
        <v>30</v>
      </c>
      <c r="D1238" s="27">
        <f>+SUMIFS(PROVEEDORES[Total],PROVEEDORES[PROVEEDOR],PROVEEDORES[[#This Row],[PROVEEDOR]],PROVEEDORES[FECHA DE PAGO],"")</f>
        <v>248736.18000000002</v>
      </c>
      <c r="E1238" s="27"/>
      <c r="F1238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G1238" s="95">
        <v>44617</v>
      </c>
      <c r="H1238" s="28" t="s">
        <v>343</v>
      </c>
      <c r="I1238" s="95">
        <v>44593</v>
      </c>
      <c r="J1238" s="38">
        <v>4124</v>
      </c>
      <c r="K1238" s="23">
        <v>215356</v>
      </c>
      <c r="L1238" s="23"/>
      <c r="M1238" s="24">
        <v>40917.64</v>
      </c>
      <c r="N1238" s="25"/>
      <c r="O1238" s="24">
        <v>0</v>
      </c>
      <c r="P1238" s="136">
        <f>+IF(PROVEEDORES[[#This Row],[SUBTOTAL]]&lt;PROVEEDORES[[#This Row],[base retencion]],0,PROVEEDORES[[#This Row],[retención aplicada]])</f>
        <v>3.5000000000000003E-2</v>
      </c>
      <c r="Q1238" s="24">
        <f>+PROVEEDORES[[#This Row],[Rete Fuente %]]*PROVEEDORES[[#This Row],[SUBTOTAL]]</f>
        <v>7537.4600000000009</v>
      </c>
      <c r="R1238" s="23">
        <v>248736.18000000002</v>
      </c>
      <c r="S123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8" s="99">
        <f ca="1">IF(PROVEEDORES[[#This Row],[FECHA DE PAGO]]=0,TODAY()-PROVEEDORES[[#This Row],[FECHA DE FACTURACIÓN]]-PROVEEDORES[[#This Row],[PLAZO Días]],0)</f>
        <v>0</v>
      </c>
      <c r="U1238" s="149" t="str">
        <f>+VLOOKUP(PROVEEDORES[[#This Row],[PROVEEDOR]],Terceros!$A:$E,5,FALSE)</f>
        <v>3,5% sin base</v>
      </c>
      <c r="V1238" s="150">
        <f>+YEAR(PROVEEDORES[[#This Row],[FECHA DE FACTURACIÓN]])</f>
        <v>2022</v>
      </c>
      <c r="W1238" s="150">
        <f>+MATCH(PROVEEDORES[[#This Row],[año facturado]],Retenciones!$1:$1,0)</f>
        <v>5</v>
      </c>
      <c r="X1238" s="151">
        <f>+VLOOKUP(PROVEEDORES[[#This Row],[ID RETENCION]],Retenciones!$A$1:$O$24,PROVEEDORES[[#This Row],[indicador de columna]],FALSE)</f>
        <v>0</v>
      </c>
      <c r="Y1238" s="152">
        <f>+VLOOKUP(PROVEEDORES[[#This Row],[ID RETENCION]],Retenciones!$A$1:$O$24,2,FALSE)</f>
        <v>3.5000000000000003E-2</v>
      </c>
      <c r="Z1238" s="26"/>
      <c r="AA1238" s="26"/>
      <c r="AB1238" s="26"/>
      <c r="AC1238" s="26"/>
      <c r="AD1238" s="26"/>
      <c r="AE1238" s="26"/>
    </row>
    <row r="1239" spans="1:31" ht="21.95" customHeight="1" x14ac:dyDescent="0.25">
      <c r="A1239" s="97" t="str">
        <f>+IF(PROVEEDORES[[#This Row],[FECHA DE PAGO]]=PROVEEDORES[[#This Row],[FECHA DE FACTURACIÓN]],"DE CONTADO","CRÉDITO")</f>
        <v>CRÉDITO</v>
      </c>
      <c r="B1239" s="41" t="b">
        <f>+IF((PROVEEDORES[[#This Row],[FECHA DE PAGO]]-PROVEEDORES[[#This Row],[FECHA DE FACTURACIÓN]])&gt;PROVEEDORES[[#This Row],[PLAZO Días]],"PAGO VENCIDO")</f>
        <v>0</v>
      </c>
      <c r="C1239" s="22">
        <f>+VLOOKUP(PROVEEDORES[[#This Row],[PROVEEDOR]],TERCEROS_INFO[#All],2,FALSE)</f>
        <v>30</v>
      </c>
      <c r="D1239" s="27">
        <f>+SUMIFS(PROVEEDORES[Total],PROVEEDORES[PROVEEDOR],PROVEEDORES[[#This Row],[PROVEEDOR]],PROVEEDORES[FECHA DE PAGO],"")</f>
        <v>4862586.33</v>
      </c>
      <c r="E1239" s="27"/>
      <c r="F1239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1239" s="95">
        <v>44617</v>
      </c>
      <c r="H1239" s="28" t="s">
        <v>345</v>
      </c>
      <c r="I1239" s="95">
        <v>44593</v>
      </c>
      <c r="J1239" s="38" t="s">
        <v>1101</v>
      </c>
      <c r="K1239" s="23">
        <v>716544</v>
      </c>
      <c r="L1239" s="23"/>
      <c r="M1239" s="24">
        <v>136143.36000000002</v>
      </c>
      <c r="N1239" s="25"/>
      <c r="O1239" s="24">
        <v>0</v>
      </c>
      <c r="P1239" s="136">
        <f>+IF(PROVEEDORES[[#This Row],[SUBTOTAL]]&lt;PROVEEDORES[[#This Row],[base retencion]],0,PROVEEDORES[[#This Row],[retención aplicada]])</f>
        <v>0</v>
      </c>
      <c r="Q1239" s="24">
        <f>+PROVEEDORES[[#This Row],[Rete Fuente %]]*PROVEEDORES[[#This Row],[SUBTOTAL]]</f>
        <v>0</v>
      </c>
      <c r="R1239" s="23">
        <v>852687.35999999999</v>
      </c>
      <c r="S123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9" s="99">
        <f ca="1">IF(PROVEEDORES[[#This Row],[FECHA DE PAGO]]=0,TODAY()-PROVEEDORES[[#This Row],[FECHA DE FACTURACIÓN]]-PROVEEDORES[[#This Row],[PLAZO Días]],0)</f>
        <v>0</v>
      </c>
      <c r="U1239" s="149">
        <f>+VLOOKUP(PROVEEDORES[[#This Row],[PROVEEDOR]],Terceros!$A:$E,5,FALSE)</f>
        <v>0</v>
      </c>
      <c r="V1239" s="150">
        <f>+YEAR(PROVEEDORES[[#This Row],[FECHA DE FACTURACIÓN]])</f>
        <v>2022</v>
      </c>
      <c r="W1239" s="150">
        <f>+MATCH(PROVEEDORES[[#This Row],[año facturado]],Retenciones!$1:$1,0)</f>
        <v>5</v>
      </c>
      <c r="X1239" s="151">
        <f>+VLOOKUP(PROVEEDORES[[#This Row],[ID RETENCION]],Retenciones!$A$1:$O$24,PROVEEDORES[[#This Row],[indicador de columna]],FALSE)</f>
        <v>0</v>
      </c>
      <c r="Y1239" s="152">
        <f>+VLOOKUP(PROVEEDORES[[#This Row],[ID RETENCION]],Retenciones!$A$1:$O$24,2,FALSE)</f>
        <v>0</v>
      </c>
      <c r="Z1239" s="26"/>
      <c r="AA1239" s="26"/>
      <c r="AB1239" s="26"/>
      <c r="AC1239" s="26"/>
      <c r="AD1239" s="26"/>
      <c r="AE1239" s="26"/>
    </row>
    <row r="1240" spans="1:31" ht="21.95" customHeight="1" x14ac:dyDescent="0.25">
      <c r="A1240" s="97" t="str">
        <f>+IF(PROVEEDORES[[#This Row],[FECHA DE PAGO]]=PROVEEDORES[[#This Row],[FECHA DE FACTURACIÓN]],"DE CONTADO","CRÉDITO")</f>
        <v>DE CONTADO</v>
      </c>
      <c r="B1240" s="41" t="b">
        <f>+IF((PROVEEDORES[[#This Row],[FECHA DE PAGO]]-PROVEEDORES[[#This Row],[FECHA DE FACTURACIÓN]])&gt;PROVEEDORES[[#This Row],[PLAZO Días]],"PAGO VENCIDO")</f>
        <v>0</v>
      </c>
      <c r="C1240" s="22">
        <f>+VLOOKUP(PROVEEDORES[[#This Row],[PROVEEDOR]],TERCEROS_INFO[#All],2,FALSE)</f>
        <v>30</v>
      </c>
      <c r="D1240" s="27">
        <f>+SUMIFS(PROVEEDORES[Total],PROVEEDORES[PROVEEDOR],PROVEEDORES[[#This Row],[PROVEEDOR]],PROVEEDORES[FECHA DE PAGO],"")</f>
        <v>0</v>
      </c>
      <c r="E1240" s="27"/>
      <c r="F1240" s="62" t="str">
        <f>+VLOOKUP(PROVEEDORES[[#This Row],[PROVEEDOR]],
                       Terceros!$A:$G,
                       6,
                       FALSE)</f>
        <v/>
      </c>
      <c r="G1240" s="95">
        <v>44593</v>
      </c>
      <c r="H1240" s="28" t="s">
        <v>1046</v>
      </c>
      <c r="I1240" s="95">
        <v>44593</v>
      </c>
      <c r="J1240" s="38"/>
      <c r="K1240" s="23">
        <v>1000000</v>
      </c>
      <c r="L1240" s="23"/>
      <c r="M1240" s="24">
        <v>0</v>
      </c>
      <c r="N1240" s="25"/>
      <c r="O1240" s="24">
        <v>0</v>
      </c>
      <c r="P1240" s="136">
        <f>+IF(PROVEEDORES[[#This Row],[SUBTOTAL]]&lt;PROVEEDORES[[#This Row],[base retencion]],0,PROVEEDORES[[#This Row],[retención aplicada]])</f>
        <v>0</v>
      </c>
      <c r="Q1240" s="24">
        <f>+PROVEEDORES[[#This Row],[Rete Fuente %]]*PROVEEDORES[[#This Row],[SUBTOTAL]]</f>
        <v>0</v>
      </c>
      <c r="R1240" s="23">
        <v>0</v>
      </c>
      <c r="S124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0" s="99">
        <f ca="1">IF(PROVEEDORES[[#This Row],[FECHA DE PAGO]]=0,TODAY()-PROVEEDORES[[#This Row],[FECHA DE FACTURACIÓN]]-PROVEEDORES[[#This Row],[PLAZO Días]],0)</f>
        <v>0</v>
      </c>
      <c r="U1240" s="149">
        <f>+VLOOKUP(PROVEEDORES[[#This Row],[PROVEEDOR]],Terceros!$A:$E,5,FALSE)</f>
        <v>0</v>
      </c>
      <c r="V1240" s="150">
        <f>+YEAR(PROVEEDORES[[#This Row],[FECHA DE FACTURACIÓN]])</f>
        <v>2022</v>
      </c>
      <c r="W1240" s="150">
        <f>+MATCH(PROVEEDORES[[#This Row],[año facturado]],Retenciones!$1:$1,0)</f>
        <v>5</v>
      </c>
      <c r="X1240" s="151">
        <f>+VLOOKUP(PROVEEDORES[[#This Row],[ID RETENCION]],Retenciones!$A$1:$O$24,PROVEEDORES[[#This Row],[indicador de columna]],FALSE)</f>
        <v>0</v>
      </c>
      <c r="Y1240" s="152">
        <f>+VLOOKUP(PROVEEDORES[[#This Row],[ID RETENCION]],Retenciones!$A$1:$O$24,2,FALSE)</f>
        <v>0</v>
      </c>
      <c r="Z1240" s="26"/>
      <c r="AA1240" s="26"/>
      <c r="AB1240" s="26"/>
      <c r="AC1240" s="26"/>
      <c r="AD1240" s="26"/>
      <c r="AE1240" s="26"/>
    </row>
    <row r="1241" spans="1:31" ht="21.95" customHeight="1" x14ac:dyDescent="0.25">
      <c r="A1241" s="97" t="str">
        <f>+IF(PROVEEDORES[[#This Row],[FECHA DE PAGO]]=PROVEEDORES[[#This Row],[FECHA DE FACTURACIÓN]],"DE CONTADO","CRÉDITO")</f>
        <v>CRÉDITO</v>
      </c>
      <c r="B1241" s="41" t="b">
        <f>+IF((PROVEEDORES[[#This Row],[FECHA DE PAGO]]-PROVEEDORES[[#This Row],[FECHA DE FACTURACIÓN]])&gt;PROVEEDORES[[#This Row],[PLAZO Días]],"PAGO VENCIDO")</f>
        <v>0</v>
      </c>
      <c r="C1241" s="22">
        <f>+VLOOKUP(PROVEEDORES[[#This Row],[PROVEEDOR]],TERCEROS_INFO[#All],2,FALSE)</f>
        <v>30</v>
      </c>
      <c r="D1241" s="27">
        <f>+SUMIFS(PROVEEDORES[Total],PROVEEDORES[PROVEEDOR],PROVEEDORES[[#This Row],[PROVEEDOR]],PROVEEDORES[FECHA DE PAGO],"")</f>
        <v>0</v>
      </c>
      <c r="E1241" s="27"/>
      <c r="F1241" s="62" t="str">
        <f>+VLOOKUP(PROVEEDORES[[#This Row],[PROVEEDOR]],
                       Terceros!$A:$G,
                       6,
                       FALSE)</f>
        <v>tesoreria@lacentral.com.co;girlesa.ruiz@servipilas.com;joriescobar64@gmail.com</v>
      </c>
      <c r="G1241" s="95">
        <v>44617</v>
      </c>
      <c r="H1241" s="28" t="s">
        <v>332</v>
      </c>
      <c r="I1241" s="95">
        <v>44593</v>
      </c>
      <c r="J1241" s="38">
        <v>9918</v>
      </c>
      <c r="K1241" s="23">
        <v>1634691</v>
      </c>
      <c r="L1241" s="23"/>
      <c r="M1241" s="24">
        <v>0</v>
      </c>
      <c r="N1241" s="25"/>
      <c r="O1241" s="24">
        <v>79890</v>
      </c>
      <c r="P1241" s="136">
        <f>+IF(PROVEEDORES[[#This Row],[SUBTOTAL]]&lt;PROVEEDORES[[#This Row],[base retencion]],0,PROVEEDORES[[#This Row],[retención aplicada]])</f>
        <v>0</v>
      </c>
      <c r="Q1241" s="24">
        <f>+PROVEEDORES[[#This Row],[Rete Fuente %]]*PROVEEDORES[[#This Row],[SUBTOTAL]]</f>
        <v>0</v>
      </c>
      <c r="R1241" s="23">
        <v>1554801</v>
      </c>
      <c r="S124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1" s="99">
        <f ca="1">IF(PROVEEDORES[[#This Row],[FECHA DE PAGO]]=0,TODAY()-PROVEEDORES[[#This Row],[FECHA DE FACTURACIÓN]]-PROVEEDORES[[#This Row],[PLAZO Días]],0)</f>
        <v>0</v>
      </c>
      <c r="U1241" s="149">
        <f>+VLOOKUP(PROVEEDORES[[#This Row],[PROVEEDOR]],Terceros!$A:$E,5,FALSE)</f>
        <v>0</v>
      </c>
      <c r="V1241" s="150">
        <f>+YEAR(PROVEEDORES[[#This Row],[FECHA DE FACTURACIÓN]])</f>
        <v>2022</v>
      </c>
      <c r="W1241" s="150">
        <f>+MATCH(PROVEEDORES[[#This Row],[año facturado]],Retenciones!$1:$1,0)</f>
        <v>5</v>
      </c>
      <c r="X1241" s="151">
        <f>+VLOOKUP(PROVEEDORES[[#This Row],[ID RETENCION]],Retenciones!$A$1:$O$24,PROVEEDORES[[#This Row],[indicador de columna]],FALSE)</f>
        <v>0</v>
      </c>
      <c r="Y1241" s="152">
        <f>+VLOOKUP(PROVEEDORES[[#This Row],[ID RETENCION]],Retenciones!$A$1:$O$24,2,FALSE)</f>
        <v>0</v>
      </c>
      <c r="Z1241" s="26"/>
      <c r="AA1241" s="26"/>
      <c r="AB1241" s="26"/>
      <c r="AC1241" s="26"/>
      <c r="AD1241" s="26"/>
      <c r="AE1241" s="26"/>
    </row>
    <row r="1242" spans="1:31" ht="21.95" customHeight="1" x14ac:dyDescent="0.25">
      <c r="A1242" s="97" t="str">
        <f>+IF(PROVEEDORES[[#This Row],[FECHA DE PAGO]]=PROVEEDORES[[#This Row],[FECHA DE FACTURACIÓN]],"DE CONTADO","CRÉDITO")</f>
        <v>CRÉDITO</v>
      </c>
      <c r="B1242" s="41" t="b">
        <f>+IF((PROVEEDORES[[#This Row],[FECHA DE PAGO]]-PROVEEDORES[[#This Row],[FECHA DE FACTURACIÓN]])&gt;PROVEEDORES[[#This Row],[PLAZO Días]],"PAGO VENCIDO")</f>
        <v>0</v>
      </c>
      <c r="C1242" s="22">
        <f>+VLOOKUP(PROVEEDORES[[#This Row],[PROVEEDOR]],TERCEROS_INFO[#All],2,FALSE)</f>
        <v>30</v>
      </c>
      <c r="D1242" s="27">
        <f>+SUMIFS(PROVEEDORES[Total],PROVEEDORES[PROVEEDOR],PROVEEDORES[[#This Row],[PROVEEDOR]],PROVEEDORES[FECHA DE PAGO],"")</f>
        <v>0</v>
      </c>
      <c r="E1242" s="27"/>
      <c r="F1242" s="62" t="str">
        <f>+VLOOKUP(PROVEEDORES[[#This Row],[PROVEEDOR]],
                       Terceros!$A:$G,
                       6,
                       FALSE)</f>
        <v>propertymarketingsas@hotmail.com;girlesa.ruiz@servipilas.com;joriescobar64@gmail.com</v>
      </c>
      <c r="G1242" s="95">
        <v>44617</v>
      </c>
      <c r="H1242" s="28" t="s">
        <v>483</v>
      </c>
      <c r="I1242" s="95">
        <v>44593</v>
      </c>
      <c r="J1242" s="38">
        <v>2200</v>
      </c>
      <c r="K1242" s="23">
        <v>2789636</v>
      </c>
      <c r="L1242" s="23"/>
      <c r="M1242" s="24">
        <v>0</v>
      </c>
      <c r="N1242" s="25"/>
      <c r="O1242" s="24">
        <v>0</v>
      </c>
      <c r="P1242" s="136">
        <f>+IF(PROVEEDORES[[#This Row],[SUBTOTAL]]&lt;PROVEEDORES[[#This Row],[base retencion]],0,PROVEEDORES[[#This Row],[retención aplicada]])</f>
        <v>3.5000000000000003E-2</v>
      </c>
      <c r="Q1242" s="24">
        <f>+PROVEEDORES[[#This Row],[Rete Fuente %]]*PROVEEDORES[[#This Row],[SUBTOTAL]]</f>
        <v>97637.260000000009</v>
      </c>
      <c r="R1242" s="23">
        <v>2691998.74</v>
      </c>
      <c r="S124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2" s="99">
        <f ca="1">IF(PROVEEDORES[[#This Row],[FECHA DE PAGO]]=0,TODAY()-PROVEEDORES[[#This Row],[FECHA DE FACTURACIÓN]]-PROVEEDORES[[#This Row],[PLAZO Días]],0)</f>
        <v>0</v>
      </c>
      <c r="U1242" s="149" t="str">
        <f>+VLOOKUP(PROVEEDORES[[#This Row],[PROVEEDOR]],Terceros!$A:$E,5,FALSE)</f>
        <v>3,5% sin base</v>
      </c>
      <c r="V1242" s="150">
        <f>+YEAR(PROVEEDORES[[#This Row],[FECHA DE FACTURACIÓN]])</f>
        <v>2022</v>
      </c>
      <c r="W1242" s="150">
        <f>+MATCH(PROVEEDORES[[#This Row],[año facturado]],Retenciones!$1:$1,0)</f>
        <v>5</v>
      </c>
      <c r="X1242" s="151">
        <f>+VLOOKUP(PROVEEDORES[[#This Row],[ID RETENCION]],Retenciones!$A$1:$O$24,PROVEEDORES[[#This Row],[indicador de columna]],FALSE)</f>
        <v>0</v>
      </c>
      <c r="Y1242" s="152">
        <f>+VLOOKUP(PROVEEDORES[[#This Row],[ID RETENCION]],Retenciones!$A$1:$O$24,2,FALSE)</f>
        <v>3.5000000000000003E-2</v>
      </c>
      <c r="Z1242" s="26"/>
      <c r="AA1242" s="26"/>
      <c r="AB1242" s="26"/>
      <c r="AC1242" s="26"/>
      <c r="AD1242" s="26"/>
      <c r="AE1242" s="26"/>
    </row>
    <row r="1243" spans="1:31" ht="21.95" customHeight="1" x14ac:dyDescent="0.25">
      <c r="A1243" s="97" t="str">
        <f>+IF(PROVEEDORES[[#This Row],[FECHA DE PAGO]]=PROVEEDORES[[#This Row],[FECHA DE FACTURACIÓN]],"DE CONTADO","CRÉDITO")</f>
        <v>CRÉDITO</v>
      </c>
      <c r="B1243" s="41" t="b">
        <f>+IF((PROVEEDORES[[#This Row],[FECHA DE PAGO]]-PROVEEDORES[[#This Row],[FECHA DE FACTURACIÓN]])&gt;PROVEEDORES[[#This Row],[PLAZO Días]],"PAGO VENCIDO")</f>
        <v>0</v>
      </c>
      <c r="C1243" s="22">
        <f>+VLOOKUP(PROVEEDORES[[#This Row],[PROVEEDOR]],TERCEROS_INFO[#All],2,FALSE)</f>
        <v>30</v>
      </c>
      <c r="D1243" s="27">
        <f>+SUMIFS(PROVEEDORES[Total],PROVEEDORES[PROVEEDOR],PROVEEDORES[[#This Row],[PROVEEDOR]],PROVEEDORES[FECHA DE PAGO],"")</f>
        <v>4862586.33</v>
      </c>
      <c r="E1243" s="27"/>
      <c r="F1243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1243" s="95">
        <v>44617</v>
      </c>
      <c r="H1243" s="28" t="s">
        <v>345</v>
      </c>
      <c r="I1243" s="95">
        <v>44593</v>
      </c>
      <c r="J1243" s="38" t="s">
        <v>1102</v>
      </c>
      <c r="K1243" s="23">
        <v>3642787</v>
      </c>
      <c r="L1243" s="23"/>
      <c r="M1243" s="24">
        <v>692129.53</v>
      </c>
      <c r="N1243" s="25"/>
      <c r="O1243" s="24">
        <v>0</v>
      </c>
      <c r="P1243" s="136">
        <f>+IF(PROVEEDORES[[#This Row],[SUBTOTAL]]&lt;PROVEEDORES[[#This Row],[base retencion]],0,PROVEEDORES[[#This Row],[retención aplicada]])</f>
        <v>0</v>
      </c>
      <c r="Q1243" s="24">
        <f>+PROVEEDORES[[#This Row],[Rete Fuente %]]*PROVEEDORES[[#This Row],[SUBTOTAL]]</f>
        <v>0</v>
      </c>
      <c r="R1243" s="23">
        <v>4334916.53</v>
      </c>
      <c r="S124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3" s="99">
        <f ca="1">IF(PROVEEDORES[[#This Row],[FECHA DE PAGO]]=0,TODAY()-PROVEEDORES[[#This Row],[FECHA DE FACTURACIÓN]]-PROVEEDORES[[#This Row],[PLAZO Días]],0)</f>
        <v>0</v>
      </c>
      <c r="U1243" s="149">
        <f>+VLOOKUP(PROVEEDORES[[#This Row],[PROVEEDOR]],Terceros!$A:$E,5,FALSE)</f>
        <v>0</v>
      </c>
      <c r="V1243" s="150">
        <f>+YEAR(PROVEEDORES[[#This Row],[FECHA DE FACTURACIÓN]])</f>
        <v>2022</v>
      </c>
      <c r="W1243" s="150">
        <f>+MATCH(PROVEEDORES[[#This Row],[año facturado]],Retenciones!$1:$1,0)</f>
        <v>5</v>
      </c>
      <c r="X1243" s="151">
        <f>+VLOOKUP(PROVEEDORES[[#This Row],[ID RETENCION]],Retenciones!$A$1:$O$24,PROVEEDORES[[#This Row],[indicador de columna]],FALSE)</f>
        <v>0</v>
      </c>
      <c r="Y1243" s="152">
        <f>+VLOOKUP(PROVEEDORES[[#This Row],[ID RETENCION]],Retenciones!$A$1:$O$24,2,FALSE)</f>
        <v>0</v>
      </c>
      <c r="Z1243" s="26"/>
      <c r="AA1243" s="26"/>
      <c r="AB1243" s="26"/>
      <c r="AC1243" s="26"/>
      <c r="AD1243" s="26"/>
      <c r="AE1243" s="26"/>
    </row>
    <row r="1244" spans="1:31" ht="21.95" customHeight="1" x14ac:dyDescent="0.25">
      <c r="A1244" s="97" t="str">
        <f>+IF(PROVEEDORES[[#This Row],[FECHA DE PAGO]]=PROVEEDORES[[#This Row],[FECHA DE FACTURACIÓN]],"DE CONTADO","CRÉDITO")</f>
        <v>CRÉDITO</v>
      </c>
      <c r="B1244" s="41" t="b">
        <f>+IF((PROVEEDORES[[#This Row],[FECHA DE PAGO]]-PROVEEDORES[[#This Row],[FECHA DE FACTURACIÓN]])&gt;PROVEEDORES[[#This Row],[PLAZO Días]],"PAGO VENCIDO")</f>
        <v>0</v>
      </c>
      <c r="C1244" s="22">
        <f>+VLOOKUP(PROVEEDORES[[#This Row],[PROVEEDOR]],TERCEROS_INFO[#All],2,FALSE)</f>
        <v>30</v>
      </c>
      <c r="D1244" s="27">
        <f>+SUMIFS(PROVEEDORES[Total],PROVEEDORES[PROVEEDOR],PROVEEDORES[[#This Row],[PROVEEDOR]],PROVEEDORES[FECHA DE PAGO],"")</f>
        <v>0</v>
      </c>
      <c r="E1244" s="27"/>
      <c r="F1244" s="62" t="str">
        <f>+VLOOKUP(PROVEEDORES[[#This Row],[PROVEEDOR]],
                       Terceros!$A:$G,
                       6,
                       FALSE)</f>
        <v>girlesa.ruiz@servipilas.com;joriescobar64@gmail.com</v>
      </c>
      <c r="G1244" s="95">
        <v>44617</v>
      </c>
      <c r="H1244" s="28" t="s">
        <v>336</v>
      </c>
      <c r="I1244" s="95">
        <v>44593</v>
      </c>
      <c r="J1244" s="38" t="s">
        <v>1113</v>
      </c>
      <c r="K1244" s="23">
        <v>3958317</v>
      </c>
      <c r="L1244" s="23"/>
      <c r="M1244" s="24">
        <v>0</v>
      </c>
      <c r="N1244" s="25"/>
      <c r="O1244" s="24">
        <v>0</v>
      </c>
      <c r="P1244" s="136">
        <f>+IF(PROVEEDORES[[#This Row],[SUBTOTAL]]&lt;PROVEEDORES[[#This Row],[base retencion]],0,PROVEEDORES[[#This Row],[retención aplicada]])</f>
        <v>3.5000000000000003E-2</v>
      </c>
      <c r="Q1244" s="24">
        <f>+PROVEEDORES[[#This Row],[Rete Fuente %]]*PROVEEDORES[[#This Row],[SUBTOTAL]]</f>
        <v>138541.095</v>
      </c>
      <c r="R1244" s="23">
        <v>3819775.9049999998</v>
      </c>
      <c r="S124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4" s="99">
        <f ca="1">IF(PROVEEDORES[[#This Row],[FECHA DE PAGO]]=0,TODAY()-PROVEEDORES[[#This Row],[FECHA DE FACTURACIÓN]]-PROVEEDORES[[#This Row],[PLAZO Días]],0)</f>
        <v>0</v>
      </c>
      <c r="U1244" s="149" t="str">
        <f>+VLOOKUP(PROVEEDORES[[#This Row],[PROVEEDOR]],Terceros!$A:$E,5,FALSE)</f>
        <v>3,5% sin base</v>
      </c>
      <c r="V1244" s="150">
        <f>+YEAR(PROVEEDORES[[#This Row],[FECHA DE FACTURACIÓN]])</f>
        <v>2022</v>
      </c>
      <c r="W1244" s="150">
        <f>+MATCH(PROVEEDORES[[#This Row],[año facturado]],Retenciones!$1:$1,0)</f>
        <v>5</v>
      </c>
      <c r="X1244" s="151">
        <f>+VLOOKUP(PROVEEDORES[[#This Row],[ID RETENCION]],Retenciones!$A$1:$O$24,PROVEEDORES[[#This Row],[indicador de columna]],FALSE)</f>
        <v>0</v>
      </c>
      <c r="Y1244" s="152">
        <f>+VLOOKUP(PROVEEDORES[[#This Row],[ID RETENCION]],Retenciones!$A$1:$O$24,2,FALSE)</f>
        <v>3.5000000000000003E-2</v>
      </c>
      <c r="Z1244" s="26"/>
      <c r="AA1244" s="26"/>
      <c r="AB1244" s="26"/>
      <c r="AC1244" s="26"/>
      <c r="AD1244" s="26"/>
      <c r="AE1244" s="26"/>
    </row>
    <row r="1245" spans="1:31" ht="21.95" customHeight="1" x14ac:dyDescent="0.25">
      <c r="A1245" s="97" t="str">
        <f>+IF(PROVEEDORES[[#This Row],[FECHA DE PAGO]]=PROVEEDORES[[#This Row],[FECHA DE FACTURACIÓN]],"DE CONTADO","CRÉDITO")</f>
        <v>CRÉDITO</v>
      </c>
      <c r="B1245" s="41" t="b">
        <f>+IF((PROVEEDORES[[#This Row],[FECHA DE PAGO]]-PROVEEDORES[[#This Row],[FECHA DE FACTURACIÓN]])&gt;PROVEEDORES[[#This Row],[PLAZO Días]],"PAGO VENCIDO")</f>
        <v>0</v>
      </c>
      <c r="C1245" s="22">
        <f>+VLOOKUP(PROVEEDORES[[#This Row],[PROVEEDOR]],TERCEROS_INFO[#All],2,FALSE)</f>
        <v>30</v>
      </c>
      <c r="D1245" s="27">
        <f>+SUMIFS(PROVEEDORES[Total],PROVEEDORES[PROVEEDOR],PROVEEDORES[[#This Row],[PROVEEDOR]],PROVEEDORES[FECHA DE PAGO],"")</f>
        <v>5463150</v>
      </c>
      <c r="E1245" s="27"/>
      <c r="F1245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1245" s="95">
        <v>44617</v>
      </c>
      <c r="H1245" s="28" t="s">
        <v>344</v>
      </c>
      <c r="I1245" s="95">
        <v>44593</v>
      </c>
      <c r="J1245" s="38">
        <v>41982</v>
      </c>
      <c r="K1245" s="23">
        <v>4430000</v>
      </c>
      <c r="L1245" s="23"/>
      <c r="M1245" s="24">
        <v>841700</v>
      </c>
      <c r="N1245" s="25"/>
      <c r="O1245" s="24">
        <v>0</v>
      </c>
      <c r="P1245" s="136">
        <f>+IF(PROVEEDORES[[#This Row],[SUBTOTAL]]&lt;PROVEEDORES[[#This Row],[base retencion]],0,PROVEEDORES[[#This Row],[retención aplicada]])</f>
        <v>3.5000000000000003E-2</v>
      </c>
      <c r="Q1245" s="24">
        <f>+PROVEEDORES[[#This Row],[Rete Fuente %]]*PROVEEDORES[[#This Row],[SUBTOTAL]]</f>
        <v>155050.00000000003</v>
      </c>
      <c r="R1245" s="23">
        <v>5116650</v>
      </c>
      <c r="S124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5" s="99">
        <f ca="1">IF(PROVEEDORES[[#This Row],[FECHA DE PAGO]]=0,TODAY()-PROVEEDORES[[#This Row],[FECHA DE FACTURACIÓN]]-PROVEEDORES[[#This Row],[PLAZO Días]],0)</f>
        <v>0</v>
      </c>
      <c r="U1245" s="149" t="str">
        <f>+VLOOKUP(PROVEEDORES[[#This Row],[PROVEEDOR]],Terceros!$A:$E,5,FALSE)</f>
        <v>3,5% con base</v>
      </c>
      <c r="V1245" s="150">
        <f>+YEAR(PROVEEDORES[[#This Row],[FECHA DE FACTURACIÓN]])</f>
        <v>2022</v>
      </c>
      <c r="W1245" s="150">
        <f>+MATCH(PROVEEDORES[[#This Row],[año facturado]],Retenciones!$1:$1,0)</f>
        <v>5</v>
      </c>
      <c r="X1245" s="151">
        <f>+VLOOKUP(PROVEEDORES[[#This Row],[ID RETENCION]],Retenciones!$A$1:$O$24,PROVEEDORES[[#This Row],[indicador de columna]],FALSE)</f>
        <v>1026000</v>
      </c>
      <c r="Y1245" s="152">
        <f>+VLOOKUP(PROVEEDORES[[#This Row],[ID RETENCION]],Retenciones!$A$1:$O$24,2,FALSE)</f>
        <v>3.5000000000000003E-2</v>
      </c>
      <c r="Z1245" s="26"/>
      <c r="AA1245" s="26"/>
      <c r="AB1245" s="26"/>
      <c r="AC1245" s="26"/>
      <c r="AD1245" s="26"/>
      <c r="AE1245" s="26"/>
    </row>
    <row r="1246" spans="1:31" ht="21.95" customHeight="1" x14ac:dyDescent="0.25">
      <c r="A1246" s="97" t="str">
        <f>+IF(PROVEEDORES[[#This Row],[FECHA DE PAGO]]=PROVEEDORES[[#This Row],[FECHA DE FACTURACIÓN]],"DE CONTADO","CRÉDITO")</f>
        <v>CRÉDITO</v>
      </c>
      <c r="B1246" s="41" t="b">
        <f>+IF((PROVEEDORES[[#This Row],[FECHA DE PAGO]]-PROVEEDORES[[#This Row],[FECHA DE FACTURACIÓN]])&gt;PROVEEDORES[[#This Row],[PLAZO Días]],"PAGO VENCIDO")</f>
        <v>0</v>
      </c>
      <c r="C1246" s="22">
        <f>+VLOOKUP(PROVEEDORES[[#This Row],[PROVEEDOR]],TERCEROS_INFO[#All],2,FALSE)</f>
        <v>30</v>
      </c>
      <c r="D1246" s="27">
        <f>+SUMIFS(PROVEEDORES[Total],PROVEEDORES[PROVEEDOR],PROVEEDORES[[#This Row],[PROVEEDOR]],PROVEEDORES[FECHA DE PAGO],"")</f>
        <v>479654.98979999998</v>
      </c>
      <c r="E1246" s="27"/>
      <c r="F1246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H1246" s="28" t="s">
        <v>1139</v>
      </c>
      <c r="I1246" s="95">
        <v>44592</v>
      </c>
      <c r="J1246" s="38" t="s">
        <v>1169</v>
      </c>
      <c r="K1246" s="23">
        <v>-25500</v>
      </c>
      <c r="L1246" s="23"/>
      <c r="M1246" s="24">
        <v>-4845</v>
      </c>
      <c r="N1246" s="25"/>
      <c r="O1246" s="24">
        <v>0</v>
      </c>
      <c r="P1246" s="136">
        <f>+IF(PROVEEDORES[[#This Row],[SUBTOTAL]]&lt;PROVEEDORES[[#This Row],[base retencion]],0,PROVEEDORES[[#This Row],[retención aplicada]])</f>
        <v>0</v>
      </c>
      <c r="Q1246" s="24">
        <f>+PROVEEDORES[[#This Row],[Rete Fuente %]]*PROVEEDORES[[#This Row],[SUBTOTAL]]</f>
        <v>0</v>
      </c>
      <c r="R1246" s="23">
        <v>-30345</v>
      </c>
      <c r="S1246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246" s="99">
        <f ca="1">IF(PROVEEDORES[[#This Row],[FECHA DE PAGO]]=0,TODAY()-PROVEEDORES[[#This Row],[FECHA DE FACTURACIÓN]]-PROVEEDORES[[#This Row],[PLAZO Días]],0)</f>
        <v>62</v>
      </c>
      <c r="U1246" s="149" t="str">
        <f>+VLOOKUP(PROVEEDORES[[#This Row],[PROVEEDOR]],Terceros!$A:$E,5,FALSE)</f>
        <v>2,5% con base</v>
      </c>
      <c r="V1246" s="150">
        <f>+YEAR(PROVEEDORES[[#This Row],[FECHA DE FACTURACIÓN]])</f>
        <v>2022</v>
      </c>
      <c r="W1246" s="150">
        <f>+MATCH(PROVEEDORES[[#This Row],[año facturado]],Retenciones!$1:$1,0)</f>
        <v>5</v>
      </c>
      <c r="X1246" s="151">
        <f>+VLOOKUP(PROVEEDORES[[#This Row],[ID RETENCION]],Retenciones!$A$1:$O$24,PROVEEDORES[[#This Row],[indicador de columna]],FALSE)</f>
        <v>1026000</v>
      </c>
      <c r="Y1246" s="152">
        <f>+VLOOKUP(PROVEEDORES[[#This Row],[ID RETENCION]],Retenciones!$A$1:$O$24,2,FALSE)</f>
        <v>2.5000000000000001E-2</v>
      </c>
      <c r="Z1246" s="26"/>
      <c r="AA1246" s="26"/>
      <c r="AB1246" s="26"/>
      <c r="AC1246" s="26"/>
      <c r="AD1246" s="26"/>
      <c r="AE1246" s="26"/>
    </row>
    <row r="1247" spans="1:31" ht="21.95" customHeight="1" x14ac:dyDescent="0.25">
      <c r="A1247" s="97" t="str">
        <f>+IF(PROVEEDORES[[#This Row],[FECHA DE PAGO]]=PROVEEDORES[[#This Row],[FECHA DE FACTURACIÓN]],"DE CONTADO","CRÉDITO")</f>
        <v>CRÉDITO</v>
      </c>
      <c r="B1247" s="41" t="str">
        <f>+IF((PROVEEDORES[[#This Row],[FECHA DE PAGO]]-PROVEEDORES[[#This Row],[FECHA DE FACTURACIÓN]])&gt;PROVEEDORES[[#This Row],[PLAZO Días]],"PAGO VENCIDO")</f>
        <v>PAGO VENCIDO</v>
      </c>
      <c r="C1247" s="22">
        <f>+VLOOKUP(PROVEEDORES[[#This Row],[PROVEEDOR]],TERCEROS_INFO[#All],2,FALSE)</f>
        <v>60</v>
      </c>
      <c r="D1247" s="27">
        <f>+SUMIFS(PROVEEDORES[Total],PROVEEDORES[PROVEEDOR],PROVEEDORES[[#This Row],[PROVEEDOR]],PROVEEDORES[FECHA DE PAGO],"")</f>
        <v>11143041</v>
      </c>
      <c r="E1247" s="27"/>
      <c r="F1247" s="62">
        <f>+VLOOKUP(PROVEEDORES[[#This Row],[PROVEEDOR]],
                       Terceros!$A:$G,
                       6,
                       FALSE)</f>
        <v>0</v>
      </c>
      <c r="G1247" s="95">
        <v>44684</v>
      </c>
      <c r="H1247" s="28" t="s">
        <v>507</v>
      </c>
      <c r="I1247" s="95">
        <v>44593</v>
      </c>
      <c r="J1247" s="38" t="s">
        <v>1168</v>
      </c>
      <c r="K1247" s="23">
        <v>7278800</v>
      </c>
      <c r="L1247" s="23"/>
      <c r="M1247" s="24">
        <f>(PROVEEDORES[[#This Row],[SUBTOTAL]]-PROVEEDORES[[#This Row],[descuento antes de IVA]])*VLOOKUP(PROVEEDORES[[#This Row],[PROVEEDOR]],TERCEROS_INFO[#All],3,FALSE)</f>
        <v>1382972</v>
      </c>
      <c r="N1247" s="25"/>
      <c r="O1247" s="24">
        <f>+PROVEEDORES[[#This Row],[Descuento sobre subtotal %]]*(PROVEEDORES[[#This Row],[SUBTOTAL]]-PROVEEDORES[[#This Row],[descuento antes de IVA]])</f>
        <v>0</v>
      </c>
      <c r="P1247" s="136">
        <f>+IF(PROVEEDORES[[#This Row],[SUBTOTAL]]&lt;PROVEEDORES[[#This Row],[base retencion]],0,PROVEEDORES[[#This Row],[retención aplicada]])</f>
        <v>0</v>
      </c>
      <c r="Q1247" s="24">
        <f>+PROVEEDORES[[#This Row],[Rete Fuente %]]*PROVEEDORES[[#This Row],[SUBTOTAL]]</f>
        <v>0</v>
      </c>
      <c r="R1247" s="23">
        <f>+PROVEEDORES[[#This Row],[SUBTOTAL]]+PROVEEDORES[[#This Row],[IVA 19%]]-PROVEEDORES[[#This Row],[descuento antes de IVA]]-PROVEEDORES[[#This Row],[Descuento sobre subtotal $]]-PROVEEDORES[[#This Row],[Rete Fuente $]]</f>
        <v>8661772</v>
      </c>
      <c r="S124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7" s="99">
        <f ca="1">IF(PROVEEDORES[[#This Row],[FECHA DE PAGO]]=0,TODAY()-PROVEEDORES[[#This Row],[FECHA DE FACTURACIÓN]]-PROVEEDORES[[#This Row],[PLAZO Días]],0)</f>
        <v>0</v>
      </c>
      <c r="U1247" s="149">
        <f>+VLOOKUP(PROVEEDORES[[#This Row],[PROVEEDOR]],Terceros!$A:$E,5,FALSE)</f>
        <v>0</v>
      </c>
      <c r="V1247" s="150">
        <f>+YEAR(PROVEEDORES[[#This Row],[FECHA DE FACTURACIÓN]])</f>
        <v>2022</v>
      </c>
      <c r="W1247" s="150">
        <f>+MATCH(PROVEEDORES[[#This Row],[año facturado]],Retenciones!$1:$1,0)</f>
        <v>5</v>
      </c>
      <c r="X1247" s="151">
        <f>+VLOOKUP(PROVEEDORES[[#This Row],[ID RETENCION]],Retenciones!$A$1:$O$24,PROVEEDORES[[#This Row],[indicador de columna]],FALSE)</f>
        <v>0</v>
      </c>
      <c r="Y1247" s="152">
        <f>+VLOOKUP(PROVEEDORES[[#This Row],[ID RETENCION]],Retenciones!$A$1:$O$24,2,FALSE)</f>
        <v>0</v>
      </c>
      <c r="Z1247" s="26"/>
      <c r="AA1247" s="26"/>
      <c r="AB1247" s="26"/>
      <c r="AC1247" s="26"/>
      <c r="AD1247" s="26"/>
      <c r="AE1247" s="26"/>
    </row>
    <row r="1248" spans="1:31" ht="21.95" customHeight="1" x14ac:dyDescent="0.25">
      <c r="A1248" s="97" t="str">
        <f>+IF(PROVEEDORES[[#This Row],[FECHA DE PAGO]]=PROVEEDORES[[#This Row],[FECHA DE FACTURACIÓN]],"DE CONTADO","CRÉDITO")</f>
        <v>CRÉDITO</v>
      </c>
      <c r="B1248" s="41" t="str">
        <f>+IF((PROVEEDORES[[#This Row],[FECHA DE PAGO]]-PROVEEDORES[[#This Row],[FECHA DE FACTURACIÓN]])&gt;PROVEEDORES[[#This Row],[PLAZO Días]],"PAGO VENCIDO")</f>
        <v>PAGO VENCIDO</v>
      </c>
      <c r="C1248" s="22">
        <f>+VLOOKUP(PROVEEDORES[[#This Row],[PROVEEDOR]],TERCEROS_INFO[#All],2,FALSE)</f>
        <v>30</v>
      </c>
      <c r="D1248" s="27">
        <f>+SUMIFS(PROVEEDORES[Total],PROVEEDORES[PROVEEDOR],PROVEEDORES[[#This Row],[PROVEEDOR]],PROVEEDORES[FECHA DE PAGO],"")</f>
        <v>0</v>
      </c>
      <c r="E1248" s="27"/>
      <c r="F1248" s="62" t="str">
        <f>+VLOOKUP(PROVEEDORES[[#This Row],[PROVEEDOR]],
                       Terceros!$A:$G,
                       6,
                       FALSE)</f>
        <v>jarlysas@gmail.com;o.clockinternational@gmail.com;girlesa.ruiz@servipilas.com;joriescobar64@gmail.com</v>
      </c>
      <c r="G1248" s="95">
        <v>44657</v>
      </c>
      <c r="H1248" s="28" t="s">
        <v>1042</v>
      </c>
      <c r="I1248" s="95">
        <v>44594</v>
      </c>
      <c r="J1248" s="38" t="s">
        <v>1138</v>
      </c>
      <c r="K1248" s="23">
        <v>532400</v>
      </c>
      <c r="L1248" s="23"/>
      <c r="M1248" s="24">
        <v>0</v>
      </c>
      <c r="N1248" s="25"/>
      <c r="O1248" s="24">
        <v>0</v>
      </c>
      <c r="P1248" s="136">
        <f>+IF(PROVEEDORES[[#This Row],[SUBTOTAL]]&lt;PROVEEDORES[[#This Row],[base retencion]],0,PROVEEDORES[[#This Row],[retención aplicada]])</f>
        <v>0</v>
      </c>
      <c r="Q1248" s="24">
        <f>+PROVEEDORES[[#This Row],[Rete Fuente %]]*PROVEEDORES[[#This Row],[SUBTOTAL]]</f>
        <v>0</v>
      </c>
      <c r="R1248" s="23">
        <v>532400</v>
      </c>
      <c r="S124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8" s="99">
        <f ca="1">IF(PROVEEDORES[[#This Row],[FECHA DE PAGO]]=0,TODAY()-PROVEEDORES[[#This Row],[FECHA DE FACTURACIÓN]]-PROVEEDORES[[#This Row],[PLAZO Días]],0)</f>
        <v>0</v>
      </c>
      <c r="U1248" s="149">
        <f>+VLOOKUP(PROVEEDORES[[#This Row],[PROVEEDOR]],Terceros!$A:$E,5,FALSE)</f>
        <v>0</v>
      </c>
      <c r="V1248" s="150">
        <f>+YEAR(PROVEEDORES[[#This Row],[FECHA DE FACTURACIÓN]])</f>
        <v>2022</v>
      </c>
      <c r="W1248" s="150">
        <f>+MATCH(PROVEEDORES[[#This Row],[año facturado]],Retenciones!$1:$1,0)</f>
        <v>5</v>
      </c>
      <c r="X1248" s="151">
        <f>+VLOOKUP(PROVEEDORES[[#This Row],[ID RETENCION]],Retenciones!$A$1:$O$24,PROVEEDORES[[#This Row],[indicador de columna]],FALSE)</f>
        <v>0</v>
      </c>
      <c r="Y1248" s="152">
        <f>+VLOOKUP(PROVEEDORES[[#This Row],[ID RETENCION]],Retenciones!$A$1:$O$24,2,FALSE)</f>
        <v>0</v>
      </c>
      <c r="Z1248" s="26"/>
      <c r="AA1248" s="26"/>
      <c r="AB1248" s="26"/>
      <c r="AC1248" s="26"/>
      <c r="AD1248" s="26"/>
      <c r="AE1248" s="26"/>
    </row>
    <row r="1249" spans="1:31" ht="21.95" customHeight="1" x14ac:dyDescent="0.25">
      <c r="A1249" s="97" t="str">
        <f>+IF(PROVEEDORES[[#This Row],[FECHA DE PAGO]]=PROVEEDORES[[#This Row],[FECHA DE FACTURACIÓN]],"DE CONTADO","CRÉDITO")</f>
        <v>CRÉDITO</v>
      </c>
      <c r="B1249" s="41" t="str">
        <f>+IF((PROVEEDORES[[#This Row],[FECHA DE PAGO]]-PROVEEDORES[[#This Row],[FECHA DE FACTURACIÓN]])&gt;PROVEEDORES[[#This Row],[PLAZO Días]],"PAGO VENCIDO")</f>
        <v>PAGO VENCIDO</v>
      </c>
      <c r="C1249" s="22">
        <f>+VLOOKUP(PROVEEDORES[[#This Row],[PROVEEDOR]],TERCEROS_INFO[#All],2,FALSE)</f>
        <v>45</v>
      </c>
      <c r="D1249" s="27">
        <f>+SUMIFS(PROVEEDORES[Total],PROVEEDORES[PROVEEDOR],PROVEEDORES[[#This Row],[PROVEEDOR]],PROVEEDORES[FECHA DE PAGO],"")</f>
        <v>3412539.2</v>
      </c>
      <c r="E1249" s="27"/>
      <c r="F1249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1249" s="95">
        <v>44656</v>
      </c>
      <c r="H1249" s="28" t="s">
        <v>10</v>
      </c>
      <c r="I1249" s="95">
        <v>44594</v>
      </c>
      <c r="J1249" s="38" t="s">
        <v>1161</v>
      </c>
      <c r="K1249" s="23">
        <v>1140335.8999999999</v>
      </c>
      <c r="L1249" s="23"/>
      <c r="M1249" s="24">
        <v>216663.821</v>
      </c>
      <c r="N1249" s="25"/>
      <c r="O1249" s="24">
        <v>0</v>
      </c>
      <c r="P1249" s="136">
        <f>+IF(PROVEEDORES[[#This Row],[SUBTOTAL]]&lt;PROVEEDORES[[#This Row],[base retencion]],0,PROVEEDORES[[#This Row],[retención aplicada]])</f>
        <v>0</v>
      </c>
      <c r="Q1249" s="24">
        <f>+PROVEEDORES[[#This Row],[Rete Fuente %]]*PROVEEDORES[[#This Row],[SUBTOTAL]]</f>
        <v>0</v>
      </c>
      <c r="R1249" s="23">
        <v>1356999.7209999999</v>
      </c>
      <c r="S124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9" s="99">
        <f ca="1">IF(PROVEEDORES[[#This Row],[FECHA DE PAGO]]=0,TODAY()-PROVEEDORES[[#This Row],[FECHA DE FACTURACIÓN]]-PROVEEDORES[[#This Row],[PLAZO Días]],0)</f>
        <v>0</v>
      </c>
      <c r="U1249" s="149">
        <f>+VLOOKUP(PROVEEDORES[[#This Row],[PROVEEDOR]],Terceros!$A:$E,5,FALSE)</f>
        <v>0</v>
      </c>
      <c r="V1249" s="150">
        <f>+YEAR(PROVEEDORES[[#This Row],[FECHA DE FACTURACIÓN]])</f>
        <v>2022</v>
      </c>
      <c r="W1249" s="150">
        <f>+MATCH(PROVEEDORES[[#This Row],[año facturado]],Retenciones!$1:$1,0)</f>
        <v>5</v>
      </c>
      <c r="X1249" s="151">
        <f>+VLOOKUP(PROVEEDORES[[#This Row],[ID RETENCION]],Retenciones!$A$1:$O$24,PROVEEDORES[[#This Row],[indicador de columna]],FALSE)</f>
        <v>0</v>
      </c>
      <c r="Y1249" s="152">
        <f>+VLOOKUP(PROVEEDORES[[#This Row],[ID RETENCION]],Retenciones!$A$1:$O$24,2,FALSE)</f>
        <v>0</v>
      </c>
      <c r="Z1249" s="26"/>
      <c r="AA1249" s="26"/>
      <c r="AB1249" s="26"/>
      <c r="AC1249" s="26"/>
      <c r="AD1249" s="26"/>
      <c r="AE1249" s="26"/>
    </row>
    <row r="1250" spans="1:31" ht="21.95" customHeight="1" x14ac:dyDescent="0.25">
      <c r="A1250" s="97" t="str">
        <f>+IF(PROVEEDORES[[#This Row],[FECHA DE PAGO]]=PROVEEDORES[[#This Row],[FECHA DE FACTURACIÓN]],"DE CONTADO","CRÉDITO")</f>
        <v>CRÉDITO</v>
      </c>
      <c r="B1250" s="41" t="str">
        <f>+IF((PROVEEDORES[[#This Row],[FECHA DE PAGO]]-PROVEEDORES[[#This Row],[FECHA DE FACTURACIÓN]])&gt;PROVEEDORES[[#This Row],[PLAZO Días]],"PAGO VENCIDO")</f>
        <v>PAGO VENCIDO</v>
      </c>
      <c r="C1250" s="22">
        <f>+VLOOKUP(PROVEEDORES[[#This Row],[PROVEEDOR]],TERCEROS_INFO[#All],2,FALSE)</f>
        <v>30</v>
      </c>
      <c r="D1250" s="27">
        <f>+SUMIFS(PROVEEDORES[Total],PROVEEDORES[PROVEEDOR],PROVEEDORES[[#This Row],[PROVEEDOR]],PROVEEDORES[FECHA DE PAGO],"")</f>
        <v>0</v>
      </c>
      <c r="E1250" s="27"/>
      <c r="F1250" s="62">
        <f>+VLOOKUP(PROVEEDORES[[#This Row],[PROVEEDOR]],
                       Terceros!$A:$G,
                       6,
                       FALSE)</f>
        <v>0</v>
      </c>
      <c r="G1250" s="95">
        <v>44684</v>
      </c>
      <c r="H1250" s="28" t="s">
        <v>1015</v>
      </c>
      <c r="I1250" s="95">
        <v>44594</v>
      </c>
      <c r="J1250" s="38" t="s">
        <v>1167</v>
      </c>
      <c r="K1250" s="23">
        <v>1356000</v>
      </c>
      <c r="L1250" s="23"/>
      <c r="M1250" s="24">
        <f>(PROVEEDORES[[#This Row],[SUBTOTAL]]-PROVEEDORES[[#This Row],[descuento antes de IVA]])*VLOOKUP(PROVEEDORES[[#This Row],[PROVEEDOR]],TERCEROS_INFO[#All],3,FALSE)</f>
        <v>0</v>
      </c>
      <c r="N1250" s="25"/>
      <c r="O1250" s="24">
        <f>+PROVEEDORES[[#This Row],[Descuento sobre subtotal %]]*(PROVEEDORES[[#This Row],[SUBTOTAL]]-PROVEEDORES[[#This Row],[descuento antes de IVA]])</f>
        <v>0</v>
      </c>
      <c r="P1250" s="136">
        <f>+IF(PROVEEDORES[[#This Row],[SUBTOTAL]]&lt;PROVEEDORES[[#This Row],[base retencion]],0,PROVEEDORES[[#This Row],[retención aplicada]])</f>
        <v>0</v>
      </c>
      <c r="Q1250" s="24">
        <f>+PROVEEDORES[[#This Row],[Rete Fuente %]]*PROVEEDORES[[#This Row],[SUBTOTAL]]</f>
        <v>0</v>
      </c>
      <c r="R1250" s="23">
        <f>+PROVEEDORES[[#This Row],[SUBTOTAL]]+PROVEEDORES[[#This Row],[IVA 19%]]-PROVEEDORES[[#This Row],[descuento antes de IVA]]-PROVEEDORES[[#This Row],[Descuento sobre subtotal $]]-PROVEEDORES[[#This Row],[Rete Fuente $]]</f>
        <v>1356000</v>
      </c>
      <c r="S125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0" s="99">
        <f ca="1">IF(PROVEEDORES[[#This Row],[FECHA DE PAGO]]=0,TODAY()-PROVEEDORES[[#This Row],[FECHA DE FACTURACIÓN]]-PROVEEDORES[[#This Row],[PLAZO Días]],0)</f>
        <v>0</v>
      </c>
      <c r="U1250" s="149">
        <f>+VLOOKUP(PROVEEDORES[[#This Row],[PROVEEDOR]],Terceros!$A:$E,5,FALSE)</f>
        <v>0</v>
      </c>
      <c r="V1250" s="150">
        <f>+YEAR(PROVEEDORES[[#This Row],[FECHA DE FACTURACIÓN]])</f>
        <v>2022</v>
      </c>
      <c r="W1250" s="150">
        <f>+MATCH(PROVEEDORES[[#This Row],[año facturado]],Retenciones!$1:$1,0)</f>
        <v>5</v>
      </c>
      <c r="X1250" s="151">
        <f>+VLOOKUP(PROVEEDORES[[#This Row],[ID RETENCION]],Retenciones!$A$1:$O$24,PROVEEDORES[[#This Row],[indicador de columna]],FALSE)</f>
        <v>0</v>
      </c>
      <c r="Y1250" s="152">
        <f>+VLOOKUP(PROVEEDORES[[#This Row],[ID RETENCION]],Retenciones!$A$1:$O$24,2,FALSE)</f>
        <v>0</v>
      </c>
      <c r="Z1250" s="26"/>
      <c r="AA1250" s="26"/>
      <c r="AB1250" s="26"/>
      <c r="AC1250" s="26"/>
      <c r="AD1250" s="26"/>
      <c r="AE1250" s="26"/>
    </row>
    <row r="1251" spans="1:31" ht="21.95" customHeight="1" x14ac:dyDescent="0.25">
      <c r="A1251" s="97" t="str">
        <f>+IF(PROVEEDORES[[#This Row],[FECHA DE PAGO]]=PROVEEDORES[[#This Row],[FECHA DE FACTURACIÓN]],"DE CONTADO","CRÉDITO")</f>
        <v>CRÉDITO</v>
      </c>
      <c r="B1251" s="41" t="str">
        <f>+IF((PROVEEDORES[[#This Row],[FECHA DE PAGO]]-PROVEEDORES[[#This Row],[FECHA DE FACTURACIÓN]])&gt;PROVEEDORES[[#This Row],[PLAZO Días]],"PAGO VENCIDO")</f>
        <v>PAGO VENCIDO</v>
      </c>
      <c r="C1251" s="22">
        <f>+VLOOKUP(PROVEEDORES[[#This Row],[PROVEEDOR]],TERCEROS_INFO[#All],2,FALSE)</f>
        <v>30</v>
      </c>
      <c r="D1251" s="27">
        <f>+SUMIFS(PROVEEDORES[Total],PROVEEDORES[PROVEEDOR],PROVEEDORES[[#This Row],[PROVEEDOR]],PROVEEDORES[FECHA DE PAGO],"")</f>
        <v>3750700</v>
      </c>
      <c r="E1251" s="27"/>
      <c r="F1251" s="62" t="str">
        <f>+VLOOKUP(PROVEEDORES[[#This Row],[PROVEEDOR]],
                       Terceros!$A:$G,
                       6,
                       FALSE)</f>
        <v/>
      </c>
      <c r="G1251" s="95">
        <v>44643</v>
      </c>
      <c r="H1251" s="28" t="s">
        <v>990</v>
      </c>
      <c r="I1251" s="95">
        <v>44594</v>
      </c>
      <c r="J1251" s="38" t="s">
        <v>991</v>
      </c>
      <c r="K1251" s="23">
        <v>1778500</v>
      </c>
      <c r="L1251" s="23"/>
      <c r="M1251" s="24">
        <v>0</v>
      </c>
      <c r="N1251" s="25"/>
      <c r="O1251" s="24">
        <v>0</v>
      </c>
      <c r="P1251" s="136">
        <f>+IF(PROVEEDORES[[#This Row],[SUBTOTAL]]&lt;PROVEEDORES[[#This Row],[base retencion]],0,PROVEEDORES[[#This Row],[retención aplicada]])</f>
        <v>0</v>
      </c>
      <c r="Q1251" s="24">
        <f>+PROVEEDORES[[#This Row],[Rete Fuente %]]*PROVEEDORES[[#This Row],[SUBTOTAL]]</f>
        <v>0</v>
      </c>
      <c r="R1251" s="23">
        <v>1778500</v>
      </c>
      <c r="S125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1" s="99">
        <f ca="1">IF(PROVEEDORES[[#This Row],[FECHA DE PAGO]]=0,TODAY()-PROVEEDORES[[#This Row],[FECHA DE FACTURACIÓN]]-PROVEEDORES[[#This Row],[PLAZO Días]],0)</f>
        <v>0</v>
      </c>
      <c r="U1251" s="149">
        <f>+VLOOKUP(PROVEEDORES[[#This Row],[PROVEEDOR]],Terceros!$A:$E,5,FALSE)</f>
        <v>0</v>
      </c>
      <c r="V1251" s="150">
        <f>+YEAR(PROVEEDORES[[#This Row],[FECHA DE FACTURACIÓN]])</f>
        <v>2022</v>
      </c>
      <c r="W1251" s="150">
        <f>+MATCH(PROVEEDORES[[#This Row],[año facturado]],Retenciones!$1:$1,0)</f>
        <v>5</v>
      </c>
      <c r="X1251" s="151">
        <f>+VLOOKUP(PROVEEDORES[[#This Row],[ID RETENCION]],Retenciones!$A$1:$O$24,PROVEEDORES[[#This Row],[indicador de columna]],FALSE)</f>
        <v>0</v>
      </c>
      <c r="Y1251" s="152">
        <f>+VLOOKUP(PROVEEDORES[[#This Row],[ID RETENCION]],Retenciones!$A$1:$O$24,2,FALSE)</f>
        <v>0</v>
      </c>
      <c r="Z1251" s="26"/>
      <c r="AA1251" s="26"/>
      <c r="AB1251" s="26"/>
      <c r="AC1251" s="26"/>
      <c r="AD1251" s="26"/>
      <c r="AE1251" s="26"/>
    </row>
    <row r="1252" spans="1:31" ht="21.95" customHeight="1" x14ac:dyDescent="0.25">
      <c r="A1252" s="97" t="str">
        <f>+IF(PROVEEDORES[[#This Row],[FECHA DE PAGO]]=PROVEEDORES[[#This Row],[FECHA DE FACTURACIÓN]],"DE CONTADO","CRÉDITO")</f>
        <v>CRÉDITO</v>
      </c>
      <c r="B1252" s="41" t="str">
        <f>+IF((PROVEEDORES[[#This Row],[FECHA DE PAGO]]-PROVEEDORES[[#This Row],[FECHA DE FACTURACIÓN]])&gt;PROVEEDORES[[#This Row],[PLAZO Días]],"PAGO VENCIDO")</f>
        <v>PAGO VENCIDO</v>
      </c>
      <c r="C1252" s="22">
        <f>+VLOOKUP(PROVEEDORES[[#This Row],[PROVEEDOR]],TERCEROS_INFO[#All],2,FALSE)</f>
        <v>45</v>
      </c>
      <c r="D1252" s="27">
        <f>+SUMIFS(PROVEEDORES[Total],PROVEEDORES[PROVEEDOR],PROVEEDORES[[#This Row],[PROVEEDOR]],PROVEEDORES[FECHA DE PAGO],"")</f>
        <v>3412539.2</v>
      </c>
      <c r="E1252" s="27"/>
      <c r="F1252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G1252" s="95">
        <v>44656</v>
      </c>
      <c r="H1252" s="28" t="s">
        <v>10</v>
      </c>
      <c r="I1252" s="95">
        <v>44594</v>
      </c>
      <c r="J1252" s="38" t="s">
        <v>1160</v>
      </c>
      <c r="K1252" s="23">
        <v>1404200</v>
      </c>
      <c r="L1252" s="23"/>
      <c r="M1252" s="24">
        <v>266798</v>
      </c>
      <c r="N1252" s="25"/>
      <c r="O1252" s="24">
        <v>0</v>
      </c>
      <c r="P1252" s="136">
        <f>+IF(PROVEEDORES[[#This Row],[SUBTOTAL]]&lt;PROVEEDORES[[#This Row],[base retencion]],0,PROVEEDORES[[#This Row],[retención aplicada]])</f>
        <v>0</v>
      </c>
      <c r="Q1252" s="24">
        <f>+PROVEEDORES[[#This Row],[Rete Fuente %]]*PROVEEDORES[[#This Row],[SUBTOTAL]]</f>
        <v>0</v>
      </c>
      <c r="R1252" s="23">
        <v>1670998</v>
      </c>
      <c r="S125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2" s="99">
        <f ca="1">IF(PROVEEDORES[[#This Row],[FECHA DE PAGO]]=0,TODAY()-PROVEEDORES[[#This Row],[FECHA DE FACTURACIÓN]]-PROVEEDORES[[#This Row],[PLAZO Días]],0)</f>
        <v>0</v>
      </c>
      <c r="U1252" s="149">
        <f>+VLOOKUP(PROVEEDORES[[#This Row],[PROVEEDOR]],Terceros!$A:$E,5,FALSE)</f>
        <v>0</v>
      </c>
      <c r="V1252" s="150">
        <f>+YEAR(PROVEEDORES[[#This Row],[FECHA DE FACTURACIÓN]])</f>
        <v>2022</v>
      </c>
      <c r="W1252" s="150">
        <f>+MATCH(PROVEEDORES[[#This Row],[año facturado]],Retenciones!$1:$1,0)</f>
        <v>5</v>
      </c>
      <c r="X1252" s="151">
        <f>+VLOOKUP(PROVEEDORES[[#This Row],[ID RETENCION]],Retenciones!$A$1:$O$24,PROVEEDORES[[#This Row],[indicador de columna]],FALSE)</f>
        <v>0</v>
      </c>
      <c r="Y1252" s="152">
        <f>+VLOOKUP(PROVEEDORES[[#This Row],[ID RETENCION]],Retenciones!$A$1:$O$24,2,FALSE)</f>
        <v>0</v>
      </c>
      <c r="Z1252" s="26"/>
      <c r="AA1252" s="26"/>
      <c r="AB1252" s="26"/>
      <c r="AC1252" s="26"/>
      <c r="AD1252" s="26"/>
      <c r="AE1252" s="26"/>
    </row>
    <row r="1253" spans="1:31" ht="21.95" customHeight="1" x14ac:dyDescent="0.25">
      <c r="A1253" s="97" t="str">
        <f>+IF(PROVEEDORES[[#This Row],[FECHA DE PAGO]]=PROVEEDORES[[#This Row],[FECHA DE FACTURACIÓN]],"DE CONTADO","CRÉDITO")</f>
        <v>CRÉDITO</v>
      </c>
      <c r="B1253" s="41" t="str">
        <f>+IF((PROVEEDORES[[#This Row],[FECHA DE PAGO]]-PROVEEDORES[[#This Row],[FECHA DE FACTURACIÓN]])&gt;PROVEEDORES[[#This Row],[PLAZO Días]],"PAGO VENCIDO")</f>
        <v>PAGO VENCIDO</v>
      </c>
      <c r="C1253" s="22">
        <f>+VLOOKUP(PROVEEDORES[[#This Row],[PROVEEDOR]],TERCEROS_INFO[#All],2,FALSE)</f>
        <v>30</v>
      </c>
      <c r="D1253" s="27">
        <f>+SUMIFS(PROVEEDORES[Total],PROVEEDORES[PROVEEDOR],PROVEEDORES[[#This Row],[PROVEEDOR]],PROVEEDORES[FECHA DE PAGO],"")</f>
        <v>0</v>
      </c>
      <c r="E1253" s="27"/>
      <c r="F1253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1253" s="95">
        <v>44662</v>
      </c>
      <c r="H1253" s="28" t="s">
        <v>569</v>
      </c>
      <c r="I1253" s="95">
        <v>44595</v>
      </c>
      <c r="J1253" s="38" t="s">
        <v>1166</v>
      </c>
      <c r="K1253" s="23">
        <v>2130920</v>
      </c>
      <c r="L1253" s="23"/>
      <c r="M1253" s="24">
        <v>404874.8</v>
      </c>
      <c r="N1253" s="25"/>
      <c r="O1253" s="24">
        <v>0</v>
      </c>
      <c r="P1253" s="136">
        <f>+IF(PROVEEDORES[[#This Row],[SUBTOTAL]]&lt;PROVEEDORES[[#This Row],[base retencion]],0,PROVEEDORES[[#This Row],[retención aplicada]])</f>
        <v>0</v>
      </c>
      <c r="Q1253" s="24">
        <f>+PROVEEDORES[[#This Row],[Rete Fuente %]]*PROVEEDORES[[#This Row],[SUBTOTAL]]</f>
        <v>0</v>
      </c>
      <c r="R1253" s="23">
        <v>2535794.7999999998</v>
      </c>
      <c r="S125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3" s="99">
        <f ca="1">IF(PROVEEDORES[[#This Row],[FECHA DE PAGO]]=0,TODAY()-PROVEEDORES[[#This Row],[FECHA DE FACTURACIÓN]]-PROVEEDORES[[#This Row],[PLAZO Días]],0)</f>
        <v>0</v>
      </c>
      <c r="U1253" s="149">
        <f>+VLOOKUP(PROVEEDORES[[#This Row],[PROVEEDOR]],Terceros!$A:$E,5,FALSE)</f>
        <v>0</v>
      </c>
      <c r="V1253" s="150">
        <f>+YEAR(PROVEEDORES[[#This Row],[FECHA DE FACTURACIÓN]])</f>
        <v>2022</v>
      </c>
      <c r="W1253" s="150">
        <f>+MATCH(PROVEEDORES[[#This Row],[año facturado]],Retenciones!$1:$1,0)</f>
        <v>5</v>
      </c>
      <c r="X1253" s="151">
        <f>+VLOOKUP(PROVEEDORES[[#This Row],[ID RETENCION]],Retenciones!$A$1:$O$24,PROVEEDORES[[#This Row],[indicador de columna]],FALSE)</f>
        <v>0</v>
      </c>
      <c r="Y1253" s="152">
        <f>+VLOOKUP(PROVEEDORES[[#This Row],[ID RETENCION]],Retenciones!$A$1:$O$24,2,FALSE)</f>
        <v>0</v>
      </c>
      <c r="Z1253" s="26"/>
      <c r="AA1253" s="26"/>
      <c r="AB1253" s="26"/>
      <c r="AC1253" s="26"/>
      <c r="AD1253" s="26"/>
      <c r="AE1253" s="26"/>
    </row>
    <row r="1254" spans="1:31" ht="21.95" customHeight="1" x14ac:dyDescent="0.25">
      <c r="A1254" s="97" t="str">
        <f>+IF(PROVEEDORES[[#This Row],[FECHA DE PAGO]]=PROVEEDORES[[#This Row],[FECHA DE FACTURACIÓN]],"DE CONTADO","CRÉDITO")</f>
        <v>CRÉDITO</v>
      </c>
      <c r="B1254" s="41" t="b">
        <f>+IF((PROVEEDORES[[#This Row],[FECHA DE PAGO]]-PROVEEDORES[[#This Row],[FECHA DE FACTURACIÓN]])&gt;PROVEEDORES[[#This Row],[PLAZO Días]],"PAGO VENCIDO")</f>
        <v>0</v>
      </c>
      <c r="C1254" s="22">
        <f>+VLOOKUP(PROVEEDORES[[#This Row],[PROVEEDOR]],TERCEROS_INFO[#All],2,FALSE)</f>
        <v>30</v>
      </c>
      <c r="D1254" s="27">
        <f>+SUMIFS(PROVEEDORES[Total],PROVEEDORES[PROVEEDOR],PROVEEDORES[[#This Row],[PROVEEDOR]],PROVEEDORES[FECHA DE PAGO],"")</f>
        <v>0</v>
      </c>
      <c r="E1254" s="27"/>
      <c r="F1254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1254" s="95">
        <v>44602</v>
      </c>
      <c r="H1254" s="28" t="s">
        <v>453</v>
      </c>
      <c r="I1254" s="95">
        <v>44596</v>
      </c>
      <c r="J1254" s="38" t="s">
        <v>1134</v>
      </c>
      <c r="K1254" s="23">
        <v>3400</v>
      </c>
      <c r="L1254" s="23"/>
      <c r="M1254" s="24">
        <v>0</v>
      </c>
      <c r="N1254" s="25"/>
      <c r="O1254" s="24">
        <v>0</v>
      </c>
      <c r="P1254" s="136">
        <f>+IF(PROVEEDORES[[#This Row],[SUBTOTAL]]&lt;PROVEEDORES[[#This Row],[base retencion]],0,PROVEEDORES[[#This Row],[retención aplicada]])</f>
        <v>0</v>
      </c>
      <c r="Q1254" s="24">
        <f>+PROVEEDORES[[#This Row],[Rete Fuente %]]*PROVEEDORES[[#This Row],[SUBTOTAL]]</f>
        <v>0</v>
      </c>
      <c r="R1254" s="23">
        <v>3400</v>
      </c>
      <c r="S125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4" s="99">
        <f ca="1">IF(PROVEEDORES[[#This Row],[FECHA DE PAGO]]=0,TODAY()-PROVEEDORES[[#This Row],[FECHA DE FACTURACIÓN]]-PROVEEDORES[[#This Row],[PLAZO Días]],0)</f>
        <v>0</v>
      </c>
      <c r="U1254" s="149">
        <f>+VLOOKUP(PROVEEDORES[[#This Row],[PROVEEDOR]],Terceros!$A:$E,5,FALSE)</f>
        <v>0</v>
      </c>
      <c r="V1254" s="150">
        <f>+YEAR(PROVEEDORES[[#This Row],[FECHA DE FACTURACIÓN]])</f>
        <v>2022</v>
      </c>
      <c r="W1254" s="150">
        <f>+MATCH(PROVEEDORES[[#This Row],[año facturado]],Retenciones!$1:$1,0)</f>
        <v>5</v>
      </c>
      <c r="X1254" s="151">
        <f>+VLOOKUP(PROVEEDORES[[#This Row],[ID RETENCION]],Retenciones!$A$1:$O$24,PROVEEDORES[[#This Row],[indicador de columna]],FALSE)</f>
        <v>0</v>
      </c>
      <c r="Y1254" s="152">
        <f>+VLOOKUP(PROVEEDORES[[#This Row],[ID RETENCION]],Retenciones!$A$1:$O$24,2,FALSE)</f>
        <v>0</v>
      </c>
      <c r="Z1254" s="26"/>
      <c r="AA1254" s="26"/>
      <c r="AB1254" s="26"/>
      <c r="AC1254" s="26"/>
      <c r="AD1254" s="26"/>
      <c r="AE1254" s="26"/>
    </row>
    <row r="1255" spans="1:31" ht="21.95" customHeight="1" x14ac:dyDescent="0.25">
      <c r="A1255" s="97" t="str">
        <f>+IF(PROVEEDORES[[#This Row],[FECHA DE PAGO]]=PROVEEDORES[[#This Row],[FECHA DE FACTURACIÓN]],"DE CONTADO","CRÉDITO")</f>
        <v>CRÉDITO</v>
      </c>
      <c r="B1255" s="41" t="b">
        <f>+IF((PROVEEDORES[[#This Row],[FECHA DE PAGO]]-PROVEEDORES[[#This Row],[FECHA DE FACTURACIÓN]])&gt;PROVEEDORES[[#This Row],[PLAZO Días]],"PAGO VENCIDO")</f>
        <v>0</v>
      </c>
      <c r="C1255" s="22">
        <f>+VLOOKUP(PROVEEDORES[[#This Row],[PROVEEDOR]],TERCEROS_INFO[#All],2,FALSE)</f>
        <v>90</v>
      </c>
      <c r="D1255" s="27">
        <f>+SUMIFS(PROVEEDORES[Total],PROVEEDORES[PROVEEDOR],PROVEEDORES[[#This Row],[PROVEEDOR]],PROVEEDORES[FECHA DE PAGO],"")</f>
        <v>0</v>
      </c>
      <c r="E1255" s="27"/>
      <c r="F1255" s="62" t="str">
        <f>+VLOOKUP(PROVEEDORES[[#This Row],[PROVEEDOR]],
                       Terceros!$A:$G,
                       6,
                       FALSE)</f>
        <v>dua@cedesistemas.edu.co;girlesa.ruiz@servipilas.com;joriescobar64@gmail.com</v>
      </c>
      <c r="G1255" s="95">
        <v>44678</v>
      </c>
      <c r="H1255" s="28" t="s">
        <v>1099</v>
      </c>
      <c r="I1255" s="95">
        <v>44617</v>
      </c>
      <c r="J1255" s="38" t="s">
        <v>1100</v>
      </c>
      <c r="K1255" s="23">
        <v>-600000</v>
      </c>
      <c r="L1255" s="23"/>
      <c r="M1255" s="24">
        <v>0</v>
      </c>
      <c r="N1255" s="25"/>
      <c r="O1255" s="24">
        <v>0</v>
      </c>
      <c r="P1255" s="136">
        <f>+IF(PROVEEDORES[[#This Row],[SUBTOTAL]]&lt;PROVEEDORES[[#This Row],[base retencion]],0,PROVEEDORES[[#This Row],[retención aplicada]])</f>
        <v>0</v>
      </c>
      <c r="Q1255" s="24">
        <f>+PROVEEDORES[[#This Row],[Rete Fuente %]]*PROVEEDORES[[#This Row],[SUBTOTAL]]</f>
        <v>0</v>
      </c>
      <c r="R1255" s="23">
        <v>-600000</v>
      </c>
      <c r="S125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5" s="99">
        <f ca="1">IF(PROVEEDORES[[#This Row],[FECHA DE PAGO]]=0,TODAY()-PROVEEDORES[[#This Row],[FECHA DE FACTURACIÓN]]-PROVEEDORES[[#This Row],[PLAZO Días]],0)</f>
        <v>0</v>
      </c>
      <c r="U1255" s="149" t="str">
        <f>+VLOOKUP(PROVEEDORES[[#This Row],[PROVEEDOR]],Terceros!$A:$E,5,FALSE)</f>
        <v>3,5% sin base</v>
      </c>
      <c r="V1255" s="150">
        <f>+YEAR(PROVEEDORES[[#This Row],[FECHA DE FACTURACIÓN]])</f>
        <v>2022</v>
      </c>
      <c r="W1255" s="150">
        <f>+MATCH(PROVEEDORES[[#This Row],[año facturado]],Retenciones!$1:$1,0)</f>
        <v>5</v>
      </c>
      <c r="X1255" s="151">
        <f>+VLOOKUP(PROVEEDORES[[#This Row],[ID RETENCION]],Retenciones!$A$1:$O$24,PROVEEDORES[[#This Row],[indicador de columna]],FALSE)</f>
        <v>0</v>
      </c>
      <c r="Y1255" s="152">
        <f>+VLOOKUP(PROVEEDORES[[#This Row],[ID RETENCION]],Retenciones!$A$1:$O$24,2,FALSE)</f>
        <v>3.5000000000000003E-2</v>
      </c>
      <c r="Z1255" s="26"/>
      <c r="AA1255" s="26"/>
      <c r="AB1255" s="26"/>
      <c r="AC1255" s="26"/>
      <c r="AD1255" s="26"/>
      <c r="AE1255" s="26"/>
    </row>
    <row r="1256" spans="1:31" ht="21.95" customHeight="1" x14ac:dyDescent="0.25">
      <c r="A1256" s="97" t="str">
        <f>+IF(PROVEEDORES[[#This Row],[FECHA DE PAGO]]=PROVEEDORES[[#This Row],[FECHA DE FACTURACIÓN]],"DE CONTADO","CRÉDITO")</f>
        <v>CRÉDITO</v>
      </c>
      <c r="B1256" s="41" t="str">
        <f>+IF((PROVEEDORES[[#This Row],[FECHA DE PAGO]]-PROVEEDORES[[#This Row],[FECHA DE FACTURACIÓN]])&gt;PROVEEDORES[[#This Row],[PLAZO Días]],"PAGO VENCIDO")</f>
        <v>PAGO VENCIDO</v>
      </c>
      <c r="C1256" s="22">
        <f>+VLOOKUP(PROVEEDORES[[#This Row],[PROVEEDOR]],TERCEROS_INFO[#All],2,FALSE)</f>
        <v>30</v>
      </c>
      <c r="D1256" s="27">
        <f>+SUMIFS(PROVEEDORES[Total],PROVEEDORES[PROVEEDOR],PROVEEDORES[[#This Row],[PROVEEDOR]],PROVEEDORES[FECHA DE PAGO],"")</f>
        <v>0</v>
      </c>
      <c r="E1256" s="27"/>
      <c r="F1256" s="62" t="str">
        <f>+VLOOKUP(PROVEEDORES[[#This Row],[PROVEEDOR]],
                       Terceros!$A:$G,
                       6,
                       FALSE)</f>
        <v xml:space="preserve"> bateriasindustrialesbogota2@coexito.com.co;girlesa.ruiz@servipilas.com;joriescobar64@gmail.com</v>
      </c>
      <c r="G1256" s="95">
        <v>44662</v>
      </c>
      <c r="H1256" s="28" t="s">
        <v>569</v>
      </c>
      <c r="I1256" s="95">
        <v>44595</v>
      </c>
      <c r="J1256" s="38" t="s">
        <v>1162</v>
      </c>
      <c r="K1256" s="23">
        <v>3264000</v>
      </c>
      <c r="L1256" s="23"/>
      <c r="M1256" s="24">
        <v>620160</v>
      </c>
      <c r="N1256" s="25"/>
      <c r="O1256" s="24">
        <v>0</v>
      </c>
      <c r="P1256" s="136">
        <f>+IF(PROVEEDORES[[#This Row],[SUBTOTAL]]&lt;PROVEEDORES[[#This Row],[base retencion]],0,PROVEEDORES[[#This Row],[retención aplicada]])</f>
        <v>0</v>
      </c>
      <c r="Q1256" s="24">
        <f>+PROVEEDORES[[#This Row],[Rete Fuente %]]*PROVEEDORES[[#This Row],[SUBTOTAL]]</f>
        <v>0</v>
      </c>
      <c r="R1256" s="23">
        <v>3884160</v>
      </c>
      <c r="S125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6" s="99">
        <f ca="1">IF(PROVEEDORES[[#This Row],[FECHA DE PAGO]]=0,TODAY()-PROVEEDORES[[#This Row],[FECHA DE FACTURACIÓN]]-PROVEEDORES[[#This Row],[PLAZO Días]],0)</f>
        <v>0</v>
      </c>
      <c r="U1256" s="149">
        <f>+VLOOKUP(PROVEEDORES[[#This Row],[PROVEEDOR]],Terceros!$A:$E,5,FALSE)</f>
        <v>0</v>
      </c>
      <c r="V1256" s="150">
        <f>+YEAR(PROVEEDORES[[#This Row],[FECHA DE FACTURACIÓN]])</f>
        <v>2022</v>
      </c>
      <c r="W1256" s="150">
        <f>+MATCH(PROVEEDORES[[#This Row],[año facturado]],Retenciones!$1:$1,0)</f>
        <v>5</v>
      </c>
      <c r="X1256" s="151">
        <f>+VLOOKUP(PROVEEDORES[[#This Row],[ID RETENCION]],Retenciones!$A$1:$O$24,PROVEEDORES[[#This Row],[indicador de columna]],FALSE)</f>
        <v>0</v>
      </c>
      <c r="Y1256" s="152">
        <f>+VLOOKUP(PROVEEDORES[[#This Row],[ID RETENCION]],Retenciones!$A$1:$O$24,2,FALSE)</f>
        <v>0</v>
      </c>
      <c r="Z1256" s="26"/>
      <c r="AA1256" s="26"/>
      <c r="AB1256" s="26"/>
      <c r="AC1256" s="26"/>
      <c r="AD1256" s="26"/>
      <c r="AE1256" s="26"/>
    </row>
    <row r="1257" spans="1:31" ht="21.95" customHeight="1" x14ac:dyDescent="0.25">
      <c r="A1257" s="97" t="str">
        <f>+IF(PROVEEDORES[[#This Row],[FECHA DE PAGO]]=PROVEEDORES[[#This Row],[FECHA DE FACTURACIÓN]],"DE CONTADO","CRÉDITO")</f>
        <v>CRÉDITO</v>
      </c>
      <c r="B1257" s="41" t="str">
        <f>+IF((PROVEEDORES[[#This Row],[FECHA DE PAGO]]-PROVEEDORES[[#This Row],[FECHA DE FACTURACIÓN]])&gt;PROVEEDORES[[#This Row],[PLAZO Días]],"PAGO VENCIDO")</f>
        <v>PAGO VENCIDO</v>
      </c>
      <c r="C1257" s="22">
        <f>+VLOOKUP(PROVEEDORES[[#This Row],[PROVEEDOR]],TERCEROS_INFO[#All],2,FALSE)</f>
        <v>45</v>
      </c>
      <c r="D1257" s="27">
        <f>+SUMIFS(PROVEEDORES[Total],PROVEEDORES[PROVEEDOR],PROVEEDORES[[#This Row],[PROVEEDOR]],PROVEEDORES[FECHA DE PAGO],"")</f>
        <v>37184068.039999999</v>
      </c>
      <c r="E1257" s="27"/>
      <c r="F1257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1257" s="95">
        <v>44656</v>
      </c>
      <c r="H1257" s="28" t="s">
        <v>19</v>
      </c>
      <c r="I1257" s="95">
        <v>44596</v>
      </c>
      <c r="J1257" s="38" t="s">
        <v>1146</v>
      </c>
      <c r="K1257" s="23">
        <v>1164160</v>
      </c>
      <c r="L1257" s="23"/>
      <c r="M1257" s="24">
        <v>221190.39999999999</v>
      </c>
      <c r="N1257" s="25"/>
      <c r="O1257" s="24">
        <v>0</v>
      </c>
      <c r="P1257" s="136">
        <f>+IF(PROVEEDORES[[#This Row],[SUBTOTAL]]&lt;PROVEEDORES[[#This Row],[base retencion]],0,PROVEEDORES[[#This Row],[retención aplicada]])</f>
        <v>0</v>
      </c>
      <c r="Q1257" s="24">
        <f>+PROVEEDORES[[#This Row],[Rete Fuente %]]*PROVEEDORES[[#This Row],[SUBTOTAL]]</f>
        <v>0</v>
      </c>
      <c r="R1257" s="23">
        <v>1385350.4</v>
      </c>
      <c r="S125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7" s="99">
        <f ca="1">IF(PROVEEDORES[[#This Row],[FECHA DE PAGO]]=0,TODAY()-PROVEEDORES[[#This Row],[FECHA DE FACTURACIÓN]]-PROVEEDORES[[#This Row],[PLAZO Días]],0)</f>
        <v>0</v>
      </c>
      <c r="U1257" s="149">
        <f>+VLOOKUP(PROVEEDORES[[#This Row],[PROVEEDOR]],Terceros!$A:$E,5,FALSE)</f>
        <v>0</v>
      </c>
      <c r="V1257" s="150">
        <f>+YEAR(PROVEEDORES[[#This Row],[FECHA DE FACTURACIÓN]])</f>
        <v>2022</v>
      </c>
      <c r="W1257" s="150">
        <f>+MATCH(PROVEEDORES[[#This Row],[año facturado]],Retenciones!$1:$1,0)</f>
        <v>5</v>
      </c>
      <c r="X1257" s="151">
        <f>+VLOOKUP(PROVEEDORES[[#This Row],[ID RETENCION]],Retenciones!$A$1:$O$24,PROVEEDORES[[#This Row],[indicador de columna]],FALSE)</f>
        <v>0</v>
      </c>
      <c r="Y1257" s="152">
        <f>+VLOOKUP(PROVEEDORES[[#This Row],[ID RETENCION]],Retenciones!$A$1:$O$24,2,FALSE)</f>
        <v>0</v>
      </c>
      <c r="Z1257" s="26"/>
      <c r="AA1257" s="26"/>
      <c r="AB1257" s="26"/>
      <c r="AC1257" s="26"/>
      <c r="AD1257" s="26"/>
      <c r="AE1257" s="26"/>
    </row>
    <row r="1258" spans="1:31" ht="21.95" customHeight="1" x14ac:dyDescent="0.25">
      <c r="A1258" s="97" t="str">
        <f>+IF(PROVEEDORES[[#This Row],[FECHA DE PAGO]]=PROVEEDORES[[#This Row],[FECHA DE FACTURACIÓN]],"DE CONTADO","CRÉDITO")</f>
        <v>CRÉDITO</v>
      </c>
      <c r="B1258" s="41" t="str">
        <f>+IF((PROVEEDORES[[#This Row],[FECHA DE PAGO]]-PROVEEDORES[[#This Row],[FECHA DE FACTURACIÓN]])&gt;PROVEEDORES[[#This Row],[PLAZO Días]],"PAGO VENCIDO")</f>
        <v>PAGO VENCIDO</v>
      </c>
      <c r="C1258" s="22">
        <f>+VLOOKUP(PROVEEDORES[[#This Row],[PROVEEDOR]],TERCEROS_INFO[#All],2,FALSE)</f>
        <v>30</v>
      </c>
      <c r="D1258" s="27">
        <f>+SUMIFS(PROVEEDORES[Total],PROVEEDORES[PROVEEDOR],PROVEEDORES[[#This Row],[PROVEEDOR]],PROVEEDORES[FECHA DE PAGO],"")</f>
        <v>0</v>
      </c>
      <c r="E1258" s="27"/>
      <c r="F1258" s="62" t="str">
        <f>+VLOOKUP(PROVEEDORES[[#This Row],[PROVEEDOR]],
                       Terceros!$A:$G,
                       6,
                       FALSE)</f>
        <v>supervisorventasbridge@gmail.com;newtimewatches1@gmail.com;girlesa.ruiz@servipilas.com;joriescobar64@gmail.com</v>
      </c>
      <c r="G1258" s="95">
        <v>44684</v>
      </c>
      <c r="H1258" s="28" t="s">
        <v>135</v>
      </c>
      <c r="I1258" s="95">
        <v>44597</v>
      </c>
      <c r="J1258" s="38">
        <v>51</v>
      </c>
      <c r="K1258" s="23">
        <v>914118</v>
      </c>
      <c r="L1258" s="23"/>
      <c r="M1258" s="24">
        <f>(PROVEEDORES[[#This Row],[SUBTOTAL]]-PROVEEDORES[[#This Row],[descuento antes de IVA]])*VLOOKUP(PROVEEDORES[[#This Row],[PROVEEDOR]],TERCEROS_INFO[#All],3,FALSE)</f>
        <v>173682.42</v>
      </c>
      <c r="N1258" s="25"/>
      <c r="O1258" s="24">
        <f>+PROVEEDORES[[#This Row],[Descuento sobre subtotal %]]*(PROVEEDORES[[#This Row],[SUBTOTAL]]-PROVEEDORES[[#This Row],[descuento antes de IVA]])</f>
        <v>0</v>
      </c>
      <c r="P1258" s="136">
        <f>+IF(PROVEEDORES[[#This Row],[SUBTOTAL]]&lt;PROVEEDORES[[#This Row],[base retencion]],0,PROVEEDORES[[#This Row],[retención aplicada]])</f>
        <v>0</v>
      </c>
      <c r="Q1258" s="24">
        <f>+PROVEEDORES[[#This Row],[Rete Fuente %]]*PROVEEDORES[[#This Row],[SUBTOTAL]]</f>
        <v>0</v>
      </c>
      <c r="R1258" s="23">
        <f>+PROVEEDORES[[#This Row],[SUBTOTAL]]+PROVEEDORES[[#This Row],[IVA 19%]]-PROVEEDORES[[#This Row],[descuento antes de IVA]]-PROVEEDORES[[#This Row],[Descuento sobre subtotal $]]-PROVEEDORES[[#This Row],[Rete Fuente $]]</f>
        <v>1087800.42</v>
      </c>
      <c r="S125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8" s="99">
        <f ca="1">IF(PROVEEDORES[[#This Row],[FECHA DE PAGO]]=0,TODAY()-PROVEEDORES[[#This Row],[FECHA DE FACTURACIÓN]]-PROVEEDORES[[#This Row],[PLAZO Días]],0)</f>
        <v>0</v>
      </c>
      <c r="U1258" s="149" t="str">
        <f>+VLOOKUP(PROVEEDORES[[#This Row],[PROVEEDOR]],Terceros!$A:$E,5,FALSE)</f>
        <v>2,5% con base</v>
      </c>
      <c r="V1258" s="150">
        <f>+YEAR(PROVEEDORES[[#This Row],[FECHA DE FACTURACIÓN]])</f>
        <v>2022</v>
      </c>
      <c r="W1258" s="150">
        <f>+MATCH(PROVEEDORES[[#This Row],[año facturado]],Retenciones!$1:$1,0)</f>
        <v>5</v>
      </c>
      <c r="X1258" s="151">
        <f>+VLOOKUP(PROVEEDORES[[#This Row],[ID RETENCION]],Retenciones!$A$1:$O$24,PROVEEDORES[[#This Row],[indicador de columna]],FALSE)</f>
        <v>1026000</v>
      </c>
      <c r="Y1258" s="152">
        <f>+VLOOKUP(PROVEEDORES[[#This Row],[ID RETENCION]],Retenciones!$A$1:$O$24,2,FALSE)</f>
        <v>2.5000000000000001E-2</v>
      </c>
      <c r="Z1258" s="26"/>
      <c r="AA1258" s="26"/>
      <c r="AB1258" s="26"/>
      <c r="AC1258" s="26"/>
      <c r="AD1258" s="26"/>
      <c r="AE1258" s="26"/>
    </row>
    <row r="1259" spans="1:31" ht="21.95" customHeight="1" x14ac:dyDescent="0.25">
      <c r="A1259" s="97" t="str">
        <f>+IF(PROVEEDORES[[#This Row],[FECHA DE PAGO]]=PROVEEDORES[[#This Row],[FECHA DE FACTURACIÓN]],"DE CONTADO","CRÉDITO")</f>
        <v>CRÉDITO</v>
      </c>
      <c r="B1259" s="41" t="str">
        <f>+IF((PROVEEDORES[[#This Row],[FECHA DE PAGO]]-PROVEEDORES[[#This Row],[FECHA DE FACTURACIÓN]])&gt;PROVEEDORES[[#This Row],[PLAZO Días]],"PAGO VENCIDO")</f>
        <v>PAGO VENCIDO</v>
      </c>
      <c r="C1259" s="22">
        <f>+VLOOKUP(PROVEEDORES[[#This Row],[PROVEEDOR]],TERCEROS_INFO[#All],2,FALSE)</f>
        <v>30</v>
      </c>
      <c r="D1259" s="27">
        <f>+SUMIFS(PROVEEDORES[Total],PROVEEDORES[PROVEEDOR],PROVEEDORES[[#This Row],[PROVEEDOR]],PROVEEDORES[FECHA DE PAGO],"")</f>
        <v>936000</v>
      </c>
      <c r="E1259" s="27"/>
      <c r="F1259" s="62" t="str">
        <f>+VLOOKUP(PROVEEDORES[[#This Row],[PROVEEDOR]],
                       Terceros!$A:$G,
                       6,
                       FALSE)</f>
        <v>stabarbaradistronik@gmail.com;girlesa.ruiz@servipilas.com;joriescobar64@gmail.com</v>
      </c>
      <c r="G1259" s="95">
        <v>44656</v>
      </c>
      <c r="H1259" s="28" t="s">
        <v>1066</v>
      </c>
      <c r="I1259" s="95">
        <v>44597</v>
      </c>
      <c r="J1259" s="38" t="s">
        <v>1067</v>
      </c>
      <c r="K1259" s="23">
        <v>1510000</v>
      </c>
      <c r="L1259" s="23"/>
      <c r="M1259" s="24">
        <v>0</v>
      </c>
      <c r="N1259" s="25"/>
      <c r="O1259" s="24">
        <v>0</v>
      </c>
      <c r="P1259" s="136">
        <f>+IF(PROVEEDORES[[#This Row],[SUBTOTAL]]&lt;PROVEEDORES[[#This Row],[base retencion]],0,PROVEEDORES[[#This Row],[retención aplicada]])</f>
        <v>0</v>
      </c>
      <c r="Q1259" s="24">
        <f>+PROVEEDORES[[#This Row],[Rete Fuente %]]*PROVEEDORES[[#This Row],[SUBTOTAL]]</f>
        <v>0</v>
      </c>
      <c r="R1259" s="23">
        <v>1510000</v>
      </c>
      <c r="S125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9" s="99">
        <f ca="1">IF(PROVEEDORES[[#This Row],[FECHA DE PAGO]]=0,TODAY()-PROVEEDORES[[#This Row],[FECHA DE FACTURACIÓN]]-PROVEEDORES[[#This Row],[PLAZO Días]],0)</f>
        <v>0</v>
      </c>
      <c r="U1259" s="149">
        <f>+VLOOKUP(PROVEEDORES[[#This Row],[PROVEEDOR]],Terceros!$A:$E,5,FALSE)</f>
        <v>0</v>
      </c>
      <c r="V1259" s="150">
        <f>+YEAR(PROVEEDORES[[#This Row],[FECHA DE FACTURACIÓN]])</f>
        <v>2022</v>
      </c>
      <c r="W1259" s="150">
        <f>+MATCH(PROVEEDORES[[#This Row],[año facturado]],Retenciones!$1:$1,0)</f>
        <v>5</v>
      </c>
      <c r="X1259" s="151">
        <f>+VLOOKUP(PROVEEDORES[[#This Row],[ID RETENCION]],Retenciones!$A$1:$O$24,PROVEEDORES[[#This Row],[indicador de columna]],FALSE)</f>
        <v>0</v>
      </c>
      <c r="Y1259" s="152">
        <f>+VLOOKUP(PROVEEDORES[[#This Row],[ID RETENCION]],Retenciones!$A$1:$O$24,2,FALSE)</f>
        <v>0</v>
      </c>
      <c r="Z1259" s="26"/>
      <c r="AA1259" s="26"/>
      <c r="AB1259" s="26"/>
      <c r="AC1259" s="26"/>
      <c r="AD1259" s="26"/>
      <c r="AE1259" s="26"/>
    </row>
    <row r="1260" spans="1:31" ht="21.95" customHeight="1" x14ac:dyDescent="0.25">
      <c r="A1260" s="97" t="str">
        <f>+IF(PROVEEDORES[[#This Row],[FECHA DE PAGO]]=PROVEEDORES[[#This Row],[FECHA DE FACTURACIÓN]],"DE CONTADO","CRÉDITO")</f>
        <v>CRÉDITO</v>
      </c>
      <c r="B1260" s="41" t="str">
        <f>+IF((PROVEEDORES[[#This Row],[FECHA DE PAGO]]-PROVEEDORES[[#This Row],[FECHA DE FACTURACIÓN]])&gt;PROVEEDORES[[#This Row],[PLAZO Días]],"PAGO VENCIDO")</f>
        <v>PAGO VENCIDO</v>
      </c>
      <c r="C1260" s="22">
        <f>+VLOOKUP(PROVEEDORES[[#This Row],[PROVEEDOR]],TERCEROS_INFO[#All],2,FALSE)</f>
        <v>30</v>
      </c>
      <c r="D1260" s="27">
        <f>+SUMIFS(PROVEEDORES[Total],PROVEEDORES[PROVEEDOR],PROVEEDORES[[#This Row],[PROVEEDOR]],PROVEEDORES[FECHA DE PAGO],"")</f>
        <v>627113.34</v>
      </c>
      <c r="E1260" s="27"/>
      <c r="F1260" s="62" t="str">
        <f>+VLOOKUP(PROVEEDORES[[#This Row],[PROVEEDOR]],
                       Terceros!$A:$G,
                       6,
                       FALSE)</f>
        <v>ventas@ismartsas.com;girlesa.ruiz@servipilas.com;joriescobar64@gmail.com</v>
      </c>
      <c r="G1260" s="95">
        <v>44652</v>
      </c>
      <c r="H1260" s="28" t="s">
        <v>48</v>
      </c>
      <c r="I1260" s="95">
        <v>44599</v>
      </c>
      <c r="J1260" s="38" t="s">
        <v>1126</v>
      </c>
      <c r="K1260" s="23">
        <v>-97800</v>
      </c>
      <c r="L1260" s="23"/>
      <c r="M1260" s="24">
        <v>-18582</v>
      </c>
      <c r="N1260" s="25"/>
      <c r="O1260" s="24">
        <v>0</v>
      </c>
      <c r="P1260" s="136">
        <f>+IF(PROVEEDORES[[#This Row],[SUBTOTAL]]&lt;PROVEEDORES[[#This Row],[base retencion]],0,PROVEEDORES[[#This Row],[retención aplicada]])</f>
        <v>0</v>
      </c>
      <c r="Q1260" s="24">
        <f>+PROVEEDORES[[#This Row],[Rete Fuente %]]*PROVEEDORES[[#This Row],[SUBTOTAL]]</f>
        <v>0</v>
      </c>
      <c r="R1260" s="23">
        <v>-113937</v>
      </c>
      <c r="S126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0" s="99">
        <f ca="1">IF(PROVEEDORES[[#This Row],[FECHA DE PAGO]]=0,TODAY()-PROVEEDORES[[#This Row],[FECHA DE FACTURACIÓN]]-PROVEEDORES[[#This Row],[PLAZO Días]],0)</f>
        <v>0</v>
      </c>
      <c r="U1260" s="149" t="str">
        <f>+VLOOKUP(PROVEEDORES[[#This Row],[PROVEEDOR]],Terceros!$A:$E,5,FALSE)</f>
        <v>2,5% con base</v>
      </c>
      <c r="V1260" s="150">
        <f>+YEAR(PROVEEDORES[[#This Row],[FECHA DE FACTURACIÓN]])</f>
        <v>2022</v>
      </c>
      <c r="W1260" s="150">
        <f>+MATCH(PROVEEDORES[[#This Row],[año facturado]],Retenciones!$1:$1,0)</f>
        <v>5</v>
      </c>
      <c r="X1260" s="151">
        <f>+VLOOKUP(PROVEEDORES[[#This Row],[ID RETENCION]],Retenciones!$A$1:$O$24,PROVEEDORES[[#This Row],[indicador de columna]],FALSE)</f>
        <v>1026000</v>
      </c>
      <c r="Y1260" s="152">
        <f>+VLOOKUP(PROVEEDORES[[#This Row],[ID RETENCION]],Retenciones!$A$1:$O$24,2,FALSE)</f>
        <v>2.5000000000000001E-2</v>
      </c>
      <c r="Z1260" s="26"/>
      <c r="AA1260" s="26"/>
      <c r="AB1260" s="26"/>
      <c r="AC1260" s="26"/>
      <c r="AD1260" s="26"/>
      <c r="AE1260" s="26"/>
    </row>
    <row r="1261" spans="1:31" ht="21.95" customHeight="1" x14ac:dyDescent="0.25">
      <c r="A1261" s="97" t="str">
        <f>+IF(PROVEEDORES[[#This Row],[FECHA DE PAGO]]=PROVEEDORES[[#This Row],[FECHA DE FACTURACIÓN]],"DE CONTADO","CRÉDITO")</f>
        <v>CRÉDITO</v>
      </c>
      <c r="B1261" s="41" t="b">
        <f>+IF((PROVEEDORES[[#This Row],[FECHA DE PAGO]]-PROVEEDORES[[#This Row],[FECHA DE FACTURACIÓN]])&gt;PROVEEDORES[[#This Row],[PLAZO Días]],"PAGO VENCIDO")</f>
        <v>0</v>
      </c>
      <c r="C1261" s="22">
        <f>+VLOOKUP(PROVEEDORES[[#This Row],[PROVEEDOR]],TERCEROS_INFO[#All],2,FALSE)</f>
        <v>30</v>
      </c>
      <c r="D1261" s="27">
        <f>+SUMIFS(PROVEEDORES[Total],PROVEEDORES[PROVEEDOR],PROVEEDORES[[#This Row],[PROVEEDOR]],PROVEEDORES[FECHA DE PAGO],"")</f>
        <v>0</v>
      </c>
      <c r="E1261" s="27"/>
      <c r="F1261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1261" s="95">
        <v>44609</v>
      </c>
      <c r="H1261" s="28" t="s">
        <v>1040</v>
      </c>
      <c r="I1261" s="95">
        <v>44600</v>
      </c>
      <c r="J1261" s="38">
        <v>329</v>
      </c>
      <c r="K1261" s="23">
        <v>420000</v>
      </c>
      <c r="L1261" s="23"/>
      <c r="M1261" s="24">
        <v>0</v>
      </c>
      <c r="N1261" s="25"/>
      <c r="O1261" s="24">
        <v>0</v>
      </c>
      <c r="P1261" s="136">
        <f>+IF(PROVEEDORES[[#This Row],[SUBTOTAL]]&lt;PROVEEDORES[[#This Row],[base retencion]],0,PROVEEDORES[[#This Row],[retención aplicada]])</f>
        <v>0</v>
      </c>
      <c r="Q1261" s="24">
        <f>+PROVEEDORES[[#This Row],[Rete Fuente %]]*PROVEEDORES[[#This Row],[SUBTOTAL]]</f>
        <v>0</v>
      </c>
      <c r="R1261" s="23">
        <v>420000</v>
      </c>
      <c r="S126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1" s="99">
        <f ca="1">IF(PROVEEDORES[[#This Row],[FECHA DE PAGO]]=0,TODAY()-PROVEEDORES[[#This Row],[FECHA DE FACTURACIÓN]]-PROVEEDORES[[#This Row],[PLAZO Días]],0)</f>
        <v>0</v>
      </c>
      <c r="U1261" s="149">
        <f>+VLOOKUP(PROVEEDORES[[#This Row],[PROVEEDOR]],Terceros!$A:$E,5,FALSE)</f>
        <v>0</v>
      </c>
      <c r="V1261" s="150">
        <f>+YEAR(PROVEEDORES[[#This Row],[FECHA DE FACTURACIÓN]])</f>
        <v>2022</v>
      </c>
      <c r="W1261" s="150">
        <f>+MATCH(PROVEEDORES[[#This Row],[año facturado]],Retenciones!$1:$1,0)</f>
        <v>5</v>
      </c>
      <c r="X1261" s="151">
        <f>+VLOOKUP(PROVEEDORES[[#This Row],[ID RETENCION]],Retenciones!$A$1:$O$24,PROVEEDORES[[#This Row],[indicador de columna]],FALSE)</f>
        <v>0</v>
      </c>
      <c r="Y1261" s="152">
        <f>+VLOOKUP(PROVEEDORES[[#This Row],[ID RETENCION]],Retenciones!$A$1:$O$24,2,FALSE)</f>
        <v>0</v>
      </c>
      <c r="Z1261" s="26"/>
      <c r="AA1261" s="26"/>
      <c r="AB1261" s="26"/>
      <c r="AC1261" s="26"/>
      <c r="AD1261" s="26"/>
      <c r="AE1261" s="26"/>
    </row>
    <row r="1262" spans="1:31" ht="21.95" customHeight="1" x14ac:dyDescent="0.25">
      <c r="A1262" s="97" t="str">
        <f>+IF(PROVEEDORES[[#This Row],[FECHA DE PAGO]]=PROVEEDORES[[#This Row],[FECHA DE FACTURACIÓN]],"DE CONTADO","CRÉDITO")</f>
        <v>DE CONTADO</v>
      </c>
      <c r="B1262" s="41" t="b">
        <f>+IF((PROVEEDORES[[#This Row],[FECHA DE PAGO]]-PROVEEDORES[[#This Row],[FECHA DE FACTURACIÓN]])&gt;PROVEEDORES[[#This Row],[PLAZO Días]],"PAGO VENCIDO")</f>
        <v>0</v>
      </c>
      <c r="C1262" s="22">
        <f>+VLOOKUP(PROVEEDORES[[#This Row],[PROVEEDOR]],TERCEROS_INFO[#All],2,FALSE)</f>
        <v>30</v>
      </c>
      <c r="D1262" s="27">
        <f>+SUMIFS(PROVEEDORES[Total],PROVEEDORES[PROVEEDOR],PROVEEDORES[[#This Row],[PROVEEDOR]],PROVEEDORES[FECHA DE PAGO],"")</f>
        <v>0</v>
      </c>
      <c r="E1262" s="27"/>
      <c r="F1262" s="62" t="str">
        <f>+VLOOKUP(PROVEEDORES[[#This Row],[PROVEEDOR]],
                       Terceros!$A:$G,
                       6,
                       FALSE)</f>
        <v/>
      </c>
      <c r="G1262" s="95">
        <v>44600</v>
      </c>
      <c r="H1262" s="28" t="s">
        <v>1031</v>
      </c>
      <c r="I1262" s="95">
        <v>44600</v>
      </c>
      <c r="J1262" s="38" t="s">
        <v>1032</v>
      </c>
      <c r="K1262" s="23">
        <v>1000000</v>
      </c>
      <c r="L1262" s="23"/>
      <c r="M1262" s="24">
        <v>0</v>
      </c>
      <c r="N1262" s="25"/>
      <c r="O1262" s="24">
        <v>0</v>
      </c>
      <c r="P1262" s="136">
        <f>+IF(PROVEEDORES[[#This Row],[SUBTOTAL]]&lt;PROVEEDORES[[#This Row],[base retencion]],0,PROVEEDORES[[#This Row],[retención aplicada]])</f>
        <v>0</v>
      </c>
      <c r="Q1262" s="24">
        <f>+PROVEEDORES[[#This Row],[Rete Fuente %]]*PROVEEDORES[[#This Row],[SUBTOTAL]]</f>
        <v>0</v>
      </c>
      <c r="R1262" s="23">
        <v>1000000</v>
      </c>
      <c r="S126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2" s="99">
        <f ca="1">IF(PROVEEDORES[[#This Row],[FECHA DE PAGO]]=0,TODAY()-PROVEEDORES[[#This Row],[FECHA DE FACTURACIÓN]]-PROVEEDORES[[#This Row],[PLAZO Días]],0)</f>
        <v>0</v>
      </c>
      <c r="U1262" s="149">
        <f>+VLOOKUP(PROVEEDORES[[#This Row],[PROVEEDOR]],Terceros!$A:$E,5,FALSE)</f>
        <v>0</v>
      </c>
      <c r="V1262" s="150">
        <f>+YEAR(PROVEEDORES[[#This Row],[FECHA DE FACTURACIÓN]])</f>
        <v>2022</v>
      </c>
      <c r="W1262" s="150">
        <f>+MATCH(PROVEEDORES[[#This Row],[año facturado]],Retenciones!$1:$1,0)</f>
        <v>5</v>
      </c>
      <c r="X1262" s="151">
        <f>+VLOOKUP(PROVEEDORES[[#This Row],[ID RETENCION]],Retenciones!$A$1:$O$24,PROVEEDORES[[#This Row],[indicador de columna]],FALSE)</f>
        <v>0</v>
      </c>
      <c r="Y1262" s="152">
        <f>+VLOOKUP(PROVEEDORES[[#This Row],[ID RETENCION]],Retenciones!$A$1:$O$24,2,FALSE)</f>
        <v>0</v>
      </c>
      <c r="Z1262" s="26"/>
      <c r="AA1262" s="26"/>
      <c r="AB1262" s="26"/>
      <c r="AC1262" s="26"/>
      <c r="AD1262" s="26"/>
      <c r="AE1262" s="26"/>
    </row>
    <row r="1263" spans="1:31" ht="21.95" customHeight="1" x14ac:dyDescent="0.25">
      <c r="A1263" s="97" t="str">
        <f>+IF(PROVEEDORES[[#This Row],[FECHA DE PAGO]]=PROVEEDORES[[#This Row],[FECHA DE FACTURACIÓN]],"DE CONTADO","CRÉDITO")</f>
        <v>DE CONTADO</v>
      </c>
      <c r="B1263" s="41" t="b">
        <f>+IF((PROVEEDORES[[#This Row],[FECHA DE PAGO]]-PROVEEDORES[[#This Row],[FECHA DE FACTURACIÓN]])&gt;PROVEEDORES[[#This Row],[PLAZO Días]],"PAGO VENCIDO")</f>
        <v>0</v>
      </c>
      <c r="C1263" s="22">
        <f>+VLOOKUP(PROVEEDORES[[#This Row],[PROVEEDOR]],TERCEROS_INFO[#All],2,FALSE)</f>
        <v>30</v>
      </c>
      <c r="D1263" s="27">
        <f>+SUMIFS(PROVEEDORES[Total],PROVEEDORES[PROVEEDOR],PROVEEDORES[[#This Row],[PROVEEDOR]],PROVEEDORES[FECHA DE PAGO],"")</f>
        <v>0</v>
      </c>
      <c r="E1263" s="27"/>
      <c r="F1263" s="62" t="str">
        <f>+VLOOKUP(PROVEEDORES[[#This Row],[PROVEEDOR]],
                       Terceros!$A:$G,
                       6,
                       FALSE)</f>
        <v/>
      </c>
      <c r="G1263" s="95">
        <v>44600</v>
      </c>
      <c r="H1263" s="28" t="s">
        <v>1046</v>
      </c>
      <c r="I1263" s="95">
        <v>44600</v>
      </c>
      <c r="J1263" s="38"/>
      <c r="K1263" s="23">
        <v>2000000</v>
      </c>
      <c r="L1263" s="23"/>
      <c r="M1263" s="24">
        <v>0</v>
      </c>
      <c r="N1263" s="25"/>
      <c r="O1263" s="24">
        <v>0</v>
      </c>
      <c r="P1263" s="136">
        <f>+IF(PROVEEDORES[[#This Row],[SUBTOTAL]]&lt;PROVEEDORES[[#This Row],[base retencion]],0,PROVEEDORES[[#This Row],[retención aplicada]])</f>
        <v>0</v>
      </c>
      <c r="Q1263" s="24">
        <f>+PROVEEDORES[[#This Row],[Rete Fuente %]]*PROVEEDORES[[#This Row],[SUBTOTAL]]</f>
        <v>0</v>
      </c>
      <c r="R1263" s="23">
        <v>2000000</v>
      </c>
      <c r="S126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3" s="99">
        <f ca="1">IF(PROVEEDORES[[#This Row],[FECHA DE PAGO]]=0,TODAY()-PROVEEDORES[[#This Row],[FECHA DE FACTURACIÓN]]-PROVEEDORES[[#This Row],[PLAZO Días]],0)</f>
        <v>0</v>
      </c>
      <c r="U1263" s="149">
        <f>+VLOOKUP(PROVEEDORES[[#This Row],[PROVEEDOR]],Terceros!$A:$E,5,FALSE)</f>
        <v>0</v>
      </c>
      <c r="V1263" s="150">
        <f>+YEAR(PROVEEDORES[[#This Row],[FECHA DE FACTURACIÓN]])</f>
        <v>2022</v>
      </c>
      <c r="W1263" s="150">
        <f>+MATCH(PROVEEDORES[[#This Row],[año facturado]],Retenciones!$1:$1,0)</f>
        <v>5</v>
      </c>
      <c r="X1263" s="151">
        <f>+VLOOKUP(PROVEEDORES[[#This Row],[ID RETENCION]],Retenciones!$A$1:$O$24,PROVEEDORES[[#This Row],[indicador de columna]],FALSE)</f>
        <v>0</v>
      </c>
      <c r="Y1263" s="152">
        <f>+VLOOKUP(PROVEEDORES[[#This Row],[ID RETENCION]],Retenciones!$A$1:$O$24,2,FALSE)</f>
        <v>0</v>
      </c>
      <c r="Z1263" s="26"/>
      <c r="AA1263" s="26"/>
      <c r="AB1263" s="26"/>
      <c r="AC1263" s="26"/>
      <c r="AD1263" s="26"/>
      <c r="AE1263" s="26"/>
    </row>
    <row r="1264" spans="1:31" ht="21.95" customHeight="1" x14ac:dyDescent="0.25">
      <c r="A1264" s="97" t="str">
        <f>+IF(PROVEEDORES[[#This Row],[FECHA DE PAGO]]=PROVEEDORES[[#This Row],[FECHA DE FACTURACIÓN]],"DE CONTADO","CRÉDITO")</f>
        <v>CRÉDITO</v>
      </c>
      <c r="B1264" s="41" t="b">
        <f>+IF((PROVEEDORES[[#This Row],[FECHA DE PAGO]]-PROVEEDORES[[#This Row],[FECHA DE FACTURACIÓN]])&gt;PROVEEDORES[[#This Row],[PLAZO Días]],"PAGO VENCIDO")</f>
        <v>0</v>
      </c>
      <c r="C1264" s="22">
        <f>+VLOOKUP(PROVEEDORES[[#This Row],[PROVEEDOR]],TERCEROS_INFO[#All],2,FALSE)</f>
        <v>30</v>
      </c>
      <c r="D1264" s="27">
        <f>+SUMIFS(PROVEEDORES[Total],PROVEEDORES[PROVEEDOR],PROVEEDORES[[#This Row],[PROVEEDOR]],PROVEEDORES[FECHA DE PAGO],"")</f>
        <v>395010</v>
      </c>
      <c r="E1264" s="27"/>
      <c r="F1264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1264" s="95">
        <v>44608</v>
      </c>
      <c r="H1264" s="28" t="s">
        <v>141</v>
      </c>
      <c r="I1264" s="95">
        <v>44601</v>
      </c>
      <c r="J1264" s="38">
        <v>201</v>
      </c>
      <c r="K1264" s="23">
        <v>420000</v>
      </c>
      <c r="L1264" s="23"/>
      <c r="M1264" s="24">
        <v>0</v>
      </c>
      <c r="N1264" s="25"/>
      <c r="O1264" s="24">
        <v>0</v>
      </c>
      <c r="P1264" s="136">
        <f>+IF(PROVEEDORES[[#This Row],[SUBTOTAL]]&lt;PROVEEDORES[[#This Row],[base retencion]],0,PROVEEDORES[[#This Row],[retención aplicada]])</f>
        <v>0.01</v>
      </c>
      <c r="Q1264" s="24">
        <f>+PROVEEDORES[[#This Row],[Rete Fuente %]]*PROVEEDORES[[#This Row],[SUBTOTAL]]</f>
        <v>4200</v>
      </c>
      <c r="R1264" s="23">
        <v>415800</v>
      </c>
      <c r="S126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4" s="99">
        <f ca="1">IF(PROVEEDORES[[#This Row],[FECHA DE PAGO]]=0,TODAY()-PROVEEDORES[[#This Row],[FECHA DE FACTURACIÓN]]-PROVEEDORES[[#This Row],[PLAZO Días]],0)</f>
        <v>0</v>
      </c>
      <c r="U1264" s="149" t="str">
        <f>+VLOOKUP(PROVEEDORES[[#This Row],[PROVEEDOR]],Terceros!$A:$E,5,FALSE)</f>
        <v>1% con base</v>
      </c>
      <c r="V1264" s="150">
        <f>+YEAR(PROVEEDORES[[#This Row],[FECHA DE FACTURACIÓN]])</f>
        <v>2022</v>
      </c>
      <c r="W1264" s="150">
        <f>+MATCH(PROVEEDORES[[#This Row],[año facturado]],Retenciones!$1:$1,0)</f>
        <v>5</v>
      </c>
      <c r="X1264" s="151">
        <f>+VLOOKUP(PROVEEDORES[[#This Row],[ID RETENCION]],Retenciones!$A$1:$O$24,PROVEEDORES[[#This Row],[indicador de columna]],FALSE)</f>
        <v>152000</v>
      </c>
      <c r="Y1264" s="152">
        <f>+VLOOKUP(PROVEEDORES[[#This Row],[ID RETENCION]],Retenciones!$A$1:$O$24,2,FALSE)</f>
        <v>0.01</v>
      </c>
      <c r="Z1264" s="26"/>
      <c r="AA1264" s="26"/>
      <c r="AB1264" s="26"/>
      <c r="AC1264" s="26"/>
      <c r="AD1264" s="26"/>
      <c r="AE1264" s="26"/>
    </row>
    <row r="1265" spans="1:31" ht="21.95" customHeight="1" x14ac:dyDescent="0.25">
      <c r="A1265" s="97" t="str">
        <f>+IF(PROVEEDORES[[#This Row],[FECHA DE PAGO]]=PROVEEDORES[[#This Row],[FECHA DE FACTURACIÓN]],"DE CONTADO","CRÉDITO")</f>
        <v>CRÉDITO</v>
      </c>
      <c r="B1265" s="41" t="str">
        <f>+IF((PROVEEDORES[[#This Row],[FECHA DE PAGO]]-PROVEEDORES[[#This Row],[FECHA DE FACTURACIÓN]])&gt;PROVEEDORES[[#This Row],[PLAZO Días]],"PAGO VENCIDO")</f>
        <v>PAGO VENCIDO</v>
      </c>
      <c r="C1265" s="22">
        <f>+VLOOKUP(PROVEEDORES[[#This Row],[PROVEEDOR]],TERCEROS_INFO[#All],2,FALSE)</f>
        <v>30</v>
      </c>
      <c r="D1265" s="27">
        <f>+SUMIFS(PROVEEDORES[Total],PROVEEDORES[PROVEEDOR],PROVEEDORES[[#This Row],[PROVEEDOR]],PROVEEDORES[FECHA DE PAGO],"")</f>
        <v>0</v>
      </c>
      <c r="E1265" s="27"/>
      <c r="F1265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1265" s="95">
        <v>44635</v>
      </c>
      <c r="H1265" s="28" t="s">
        <v>1124</v>
      </c>
      <c r="I1265" s="95">
        <v>44601</v>
      </c>
      <c r="J1265" s="38">
        <v>27066</v>
      </c>
      <c r="K1265" s="23">
        <v>3840000</v>
      </c>
      <c r="L1265" s="23"/>
      <c r="M1265" s="24">
        <v>729600</v>
      </c>
      <c r="N1265" s="25"/>
      <c r="O1265" s="24">
        <v>0</v>
      </c>
      <c r="P1265" s="136">
        <f>+IF(PROVEEDORES[[#This Row],[SUBTOTAL]]&lt;PROVEEDORES[[#This Row],[base retencion]],0,PROVEEDORES[[#This Row],[retención aplicada]])</f>
        <v>2.5000000000000001E-2</v>
      </c>
      <c r="Q1265" s="24">
        <f>+PROVEEDORES[[#This Row],[Rete Fuente %]]*PROVEEDORES[[#This Row],[SUBTOTAL]]</f>
        <v>96000</v>
      </c>
      <c r="R1265" s="23">
        <v>4473600</v>
      </c>
      <c r="S126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5" s="99">
        <f ca="1">IF(PROVEEDORES[[#This Row],[FECHA DE PAGO]]=0,TODAY()-PROVEEDORES[[#This Row],[FECHA DE FACTURACIÓN]]-PROVEEDORES[[#This Row],[PLAZO Días]],0)</f>
        <v>0</v>
      </c>
      <c r="U1265" s="149" t="str">
        <f>+VLOOKUP(PROVEEDORES[[#This Row],[PROVEEDOR]],Terceros!$A:$E,5,FALSE)</f>
        <v>2,5% con base</v>
      </c>
      <c r="V1265" s="150">
        <f>+YEAR(PROVEEDORES[[#This Row],[FECHA DE FACTURACIÓN]])</f>
        <v>2022</v>
      </c>
      <c r="W1265" s="150">
        <f>+MATCH(PROVEEDORES[[#This Row],[año facturado]],Retenciones!$1:$1,0)</f>
        <v>5</v>
      </c>
      <c r="X1265" s="151">
        <f>+VLOOKUP(PROVEEDORES[[#This Row],[ID RETENCION]],Retenciones!$A$1:$O$24,PROVEEDORES[[#This Row],[indicador de columna]],FALSE)</f>
        <v>1026000</v>
      </c>
      <c r="Y1265" s="152">
        <f>+VLOOKUP(PROVEEDORES[[#This Row],[ID RETENCION]],Retenciones!$A$1:$O$24,2,FALSE)</f>
        <v>2.5000000000000001E-2</v>
      </c>
      <c r="Z1265" s="26"/>
      <c r="AA1265" s="26"/>
      <c r="AB1265" s="26"/>
      <c r="AC1265" s="26"/>
      <c r="AD1265" s="26"/>
      <c r="AE1265" s="26"/>
    </row>
    <row r="1266" spans="1:31" ht="21.95" customHeight="1" x14ac:dyDescent="0.25">
      <c r="A1266" s="97" t="str">
        <f>+IF(PROVEEDORES[[#This Row],[FECHA DE PAGO]]=PROVEEDORES[[#This Row],[FECHA DE FACTURACIÓN]],"DE CONTADO","CRÉDITO")</f>
        <v>CRÉDITO</v>
      </c>
      <c r="B1266" s="41" t="b">
        <f>+IF((PROVEEDORES[[#This Row],[FECHA DE PAGO]]-PROVEEDORES[[#This Row],[FECHA DE FACTURACIÓN]])&gt;PROVEEDORES[[#This Row],[PLAZO Días]],"PAGO VENCIDO")</f>
        <v>0</v>
      </c>
      <c r="C1266" s="22">
        <f>+VLOOKUP(PROVEEDORES[[#This Row],[PROVEEDOR]],TERCEROS_INFO[#All],2,FALSE)</f>
        <v>30</v>
      </c>
      <c r="D1266" s="27">
        <f>+SUMIFS(PROVEEDORES[Total],PROVEEDORES[PROVEEDOR],PROVEEDORES[[#This Row],[PROVEEDOR]],PROVEEDORES[FECHA DE PAGO],"")</f>
        <v>18000</v>
      </c>
      <c r="E1266" s="27"/>
      <c r="F1266" s="62" t="str">
        <f>+VLOOKUP(PROVEEDORES[[#This Row],[PROVEEDOR]],
                       Terceros!$A:$G,
                       6,
                       FALSE)</f>
        <v/>
      </c>
      <c r="G1266" s="95">
        <v>44628</v>
      </c>
      <c r="H1266" s="28" t="s">
        <v>1054</v>
      </c>
      <c r="I1266" s="95">
        <v>44602</v>
      </c>
      <c r="J1266" s="38" t="s">
        <v>1055</v>
      </c>
      <c r="K1266" s="23">
        <v>360000</v>
      </c>
      <c r="L1266" s="23"/>
      <c r="M1266" s="24">
        <v>0</v>
      </c>
      <c r="N1266" s="25"/>
      <c r="O1266" s="24">
        <v>0</v>
      </c>
      <c r="P1266" s="136">
        <f>+IF(PROVEEDORES[[#This Row],[SUBTOTAL]]&lt;PROVEEDORES[[#This Row],[base retencion]],0,PROVEEDORES[[#This Row],[retención aplicada]])</f>
        <v>0</v>
      </c>
      <c r="Q1266" s="24">
        <f>+PROVEEDORES[[#This Row],[Rete Fuente %]]*PROVEEDORES[[#This Row],[SUBTOTAL]]</f>
        <v>0</v>
      </c>
      <c r="R1266" s="23">
        <v>360000</v>
      </c>
      <c r="S126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6" s="99">
        <f ca="1">IF(PROVEEDORES[[#This Row],[FECHA DE PAGO]]=0,TODAY()-PROVEEDORES[[#This Row],[FECHA DE FACTURACIÓN]]-PROVEEDORES[[#This Row],[PLAZO Días]],0)</f>
        <v>0</v>
      </c>
      <c r="U1266" s="149">
        <f>+VLOOKUP(PROVEEDORES[[#This Row],[PROVEEDOR]],Terceros!$A:$E,5,FALSE)</f>
        <v>0</v>
      </c>
      <c r="V1266" s="150">
        <f>+YEAR(PROVEEDORES[[#This Row],[FECHA DE FACTURACIÓN]])</f>
        <v>2022</v>
      </c>
      <c r="W1266" s="150">
        <f>+MATCH(PROVEEDORES[[#This Row],[año facturado]],Retenciones!$1:$1,0)</f>
        <v>5</v>
      </c>
      <c r="X1266" s="151">
        <f>+VLOOKUP(PROVEEDORES[[#This Row],[ID RETENCION]],Retenciones!$A$1:$O$24,PROVEEDORES[[#This Row],[indicador de columna]],FALSE)</f>
        <v>0</v>
      </c>
      <c r="Y1266" s="152">
        <f>+VLOOKUP(PROVEEDORES[[#This Row],[ID RETENCION]],Retenciones!$A$1:$O$24,2,FALSE)</f>
        <v>0</v>
      </c>
      <c r="Z1266" s="26"/>
      <c r="AA1266" s="26"/>
      <c r="AB1266" s="26"/>
      <c r="AC1266" s="26"/>
      <c r="AD1266" s="26"/>
      <c r="AE1266" s="26"/>
    </row>
    <row r="1267" spans="1:31" ht="21.95" customHeight="1" x14ac:dyDescent="0.25">
      <c r="A1267" s="97" t="str">
        <f>+IF(PROVEEDORES[[#This Row],[FECHA DE PAGO]]=PROVEEDORES[[#This Row],[FECHA DE FACTURACIÓN]],"DE CONTADO","CRÉDITO")</f>
        <v>CRÉDITO</v>
      </c>
      <c r="B1267" s="41" t="str">
        <f>+IF((PROVEEDORES[[#This Row],[FECHA DE PAGO]]-PROVEEDORES[[#This Row],[FECHA DE FACTURACIÓN]])&gt;PROVEEDORES[[#This Row],[PLAZO Días]],"PAGO VENCIDO")</f>
        <v>PAGO VENCIDO</v>
      </c>
      <c r="C1267" s="22">
        <f>+VLOOKUP(PROVEEDORES[[#This Row],[PROVEEDOR]],TERCEROS_INFO[#All],2,FALSE)</f>
        <v>30</v>
      </c>
      <c r="D1267" s="27">
        <f>+SUMIFS(PROVEEDORES[Total],PROVEEDORES[PROVEEDOR],PROVEEDORES[[#This Row],[PROVEEDOR]],PROVEEDORES[FECHA DE PAGO],"")</f>
        <v>627113.34</v>
      </c>
      <c r="E1267" s="27"/>
      <c r="F1267" s="62" t="str">
        <f>+VLOOKUP(PROVEEDORES[[#This Row],[PROVEEDOR]],
                       Terceros!$A:$G,
                       6,
                       FALSE)</f>
        <v>ventas@ismartsas.com;girlesa.ruiz@servipilas.com;joriescobar64@gmail.com</v>
      </c>
      <c r="G1267" s="95">
        <v>44652</v>
      </c>
      <c r="H1267" s="28" t="s">
        <v>48</v>
      </c>
      <c r="I1267" s="95">
        <v>44599</v>
      </c>
      <c r="J1267" s="38" t="s">
        <v>1127</v>
      </c>
      <c r="K1267" s="23">
        <v>-5851</v>
      </c>
      <c r="L1267" s="23"/>
      <c r="M1267" s="24">
        <v>0</v>
      </c>
      <c r="N1267" s="25"/>
      <c r="O1267" s="24">
        <v>0</v>
      </c>
      <c r="P1267" s="136">
        <f>+IF(PROVEEDORES[[#This Row],[SUBTOTAL]]&lt;PROVEEDORES[[#This Row],[base retencion]],0,PROVEEDORES[[#This Row],[retención aplicada]])</f>
        <v>0</v>
      </c>
      <c r="Q1267" s="24">
        <f>+PROVEEDORES[[#This Row],[Rete Fuente %]]*PROVEEDORES[[#This Row],[SUBTOTAL]]</f>
        <v>0</v>
      </c>
      <c r="R1267" s="23">
        <v>-5851</v>
      </c>
      <c r="S126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7" s="99">
        <f ca="1">IF(PROVEEDORES[[#This Row],[FECHA DE PAGO]]=0,TODAY()-PROVEEDORES[[#This Row],[FECHA DE FACTURACIÓN]]-PROVEEDORES[[#This Row],[PLAZO Días]],0)</f>
        <v>0</v>
      </c>
      <c r="U1267" s="149" t="str">
        <f>+VLOOKUP(PROVEEDORES[[#This Row],[PROVEEDOR]],Terceros!$A:$E,5,FALSE)</f>
        <v>2,5% con base</v>
      </c>
      <c r="V1267" s="150">
        <f>+YEAR(PROVEEDORES[[#This Row],[FECHA DE FACTURACIÓN]])</f>
        <v>2022</v>
      </c>
      <c r="W1267" s="150">
        <f>+MATCH(PROVEEDORES[[#This Row],[año facturado]],Retenciones!$1:$1,0)</f>
        <v>5</v>
      </c>
      <c r="X1267" s="151">
        <f>+VLOOKUP(PROVEEDORES[[#This Row],[ID RETENCION]],Retenciones!$A$1:$O$24,PROVEEDORES[[#This Row],[indicador de columna]],FALSE)</f>
        <v>1026000</v>
      </c>
      <c r="Y1267" s="152">
        <f>+VLOOKUP(PROVEEDORES[[#This Row],[ID RETENCION]],Retenciones!$A$1:$O$24,2,FALSE)</f>
        <v>2.5000000000000001E-2</v>
      </c>
      <c r="Z1267" s="26"/>
      <c r="AA1267" s="26"/>
      <c r="AB1267" s="26"/>
      <c r="AC1267" s="26"/>
      <c r="AD1267" s="26"/>
      <c r="AE1267" s="26"/>
    </row>
    <row r="1268" spans="1:31" ht="21.95" customHeight="1" x14ac:dyDescent="0.25">
      <c r="A1268" s="97" t="str">
        <f>+IF(PROVEEDORES[[#This Row],[FECHA DE PAGO]]=PROVEEDORES[[#This Row],[FECHA DE FACTURACIÓN]],"DE CONTADO","CRÉDITO")</f>
        <v>CRÉDITO</v>
      </c>
      <c r="B1268" s="41" t="str">
        <f>+IF((PROVEEDORES[[#This Row],[FECHA DE PAGO]]-PROVEEDORES[[#This Row],[FECHA DE FACTURACIÓN]])&gt;PROVEEDORES[[#This Row],[PLAZO Días]],"PAGO VENCIDO")</f>
        <v>PAGO VENCIDO</v>
      </c>
      <c r="C1268" s="22">
        <f>+VLOOKUP(PROVEEDORES[[#This Row],[PROVEEDOR]],TERCEROS_INFO[#All],2,FALSE)</f>
        <v>30</v>
      </c>
      <c r="D1268" s="27">
        <f>+SUMIFS(PROVEEDORES[Total],PROVEEDORES[PROVEEDOR],PROVEEDORES[[#This Row],[PROVEEDOR]],PROVEEDORES[FECHA DE PAGO],"")</f>
        <v>3320000</v>
      </c>
      <c r="E1268" s="27"/>
      <c r="F1268" s="62" t="str">
        <f>+VLOOKUP(PROVEEDORES[[#This Row],[PROVEEDOR]],
                       Terceros!$A:$G,
                       6,
                       FALSE)</f>
        <v>Pygimportadora@gmail.com;girlesa.ruiz@servipilas.com;joriescobar64@gmail.com</v>
      </c>
      <c r="G1268" s="95">
        <v>44652</v>
      </c>
      <c r="H1268" s="28" t="s">
        <v>1062</v>
      </c>
      <c r="I1268" s="95">
        <v>44602</v>
      </c>
      <c r="J1268" s="38" t="s">
        <v>1063</v>
      </c>
      <c r="K1268" s="23">
        <v>1608000</v>
      </c>
      <c r="L1268" s="23"/>
      <c r="M1268" s="24">
        <v>0</v>
      </c>
      <c r="N1268" s="25"/>
      <c r="O1268" s="24">
        <v>0</v>
      </c>
      <c r="P1268" s="136">
        <f>+IF(PROVEEDORES[[#This Row],[SUBTOTAL]]&lt;PROVEEDORES[[#This Row],[base retencion]],0,PROVEEDORES[[#This Row],[retención aplicada]])</f>
        <v>0</v>
      </c>
      <c r="Q1268" s="24">
        <f>+PROVEEDORES[[#This Row],[Rete Fuente %]]*PROVEEDORES[[#This Row],[SUBTOTAL]]</f>
        <v>0</v>
      </c>
      <c r="R1268" s="23">
        <v>1608000</v>
      </c>
      <c r="S126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8" s="99">
        <f ca="1">IF(PROVEEDORES[[#This Row],[FECHA DE PAGO]]=0,TODAY()-PROVEEDORES[[#This Row],[FECHA DE FACTURACIÓN]]-PROVEEDORES[[#This Row],[PLAZO Días]],0)</f>
        <v>0</v>
      </c>
      <c r="U1268" s="149">
        <f>+VLOOKUP(PROVEEDORES[[#This Row],[PROVEEDOR]],Terceros!$A:$E,5,FALSE)</f>
        <v>0</v>
      </c>
      <c r="V1268" s="150">
        <f>+YEAR(PROVEEDORES[[#This Row],[FECHA DE FACTURACIÓN]])</f>
        <v>2022</v>
      </c>
      <c r="W1268" s="150">
        <f>+MATCH(PROVEEDORES[[#This Row],[año facturado]],Retenciones!$1:$1,0)</f>
        <v>5</v>
      </c>
      <c r="X1268" s="151">
        <f>+VLOOKUP(PROVEEDORES[[#This Row],[ID RETENCION]],Retenciones!$A$1:$O$24,PROVEEDORES[[#This Row],[indicador de columna]],FALSE)</f>
        <v>0</v>
      </c>
      <c r="Y1268" s="152">
        <f>+VLOOKUP(PROVEEDORES[[#This Row],[ID RETENCION]],Retenciones!$A$1:$O$24,2,FALSE)</f>
        <v>0</v>
      </c>
      <c r="Z1268" s="26"/>
      <c r="AA1268" s="26"/>
      <c r="AB1268" s="26"/>
      <c r="AC1268" s="26"/>
      <c r="AD1268" s="26"/>
      <c r="AE1268" s="26"/>
    </row>
    <row r="1269" spans="1:31" ht="21.95" customHeight="1" x14ac:dyDescent="0.25">
      <c r="A1269" s="97" t="str">
        <f>+IF(PROVEEDORES[[#This Row],[FECHA DE PAGO]]=PROVEEDORES[[#This Row],[FECHA DE FACTURACIÓN]],"DE CONTADO","CRÉDITO")</f>
        <v>CRÉDITO</v>
      </c>
      <c r="B1269" s="41" t="b">
        <f>+IF((PROVEEDORES[[#This Row],[FECHA DE PAGO]]-PROVEEDORES[[#This Row],[FECHA DE FACTURACIÓN]])&gt;PROVEEDORES[[#This Row],[PLAZO Días]],"PAGO VENCIDO")</f>
        <v>0</v>
      </c>
      <c r="C1269" s="22">
        <f>+VLOOKUP(PROVEEDORES[[#This Row],[PROVEEDOR]],TERCEROS_INFO[#All],2,FALSE)</f>
        <v>30</v>
      </c>
      <c r="D1269" s="27">
        <f>+SUMIFS(PROVEEDORES[Total],PROVEEDORES[PROVEEDOR],PROVEEDORES[[#This Row],[PROVEEDOR]],PROVEEDORES[FECHA DE PAGO],"")</f>
        <v>0</v>
      </c>
      <c r="E1269" s="27"/>
      <c r="F1269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1269" s="95">
        <v>44624</v>
      </c>
      <c r="H1269" s="28" t="s">
        <v>963</v>
      </c>
      <c r="I1269" s="95">
        <v>44603</v>
      </c>
      <c r="J1269" s="38" t="s">
        <v>1136</v>
      </c>
      <c r="K1269" s="23">
        <v>182658.72</v>
      </c>
      <c r="L1269" s="23"/>
      <c r="M1269" s="24">
        <v>0</v>
      </c>
      <c r="N1269" s="25"/>
      <c r="O1269" s="24">
        <v>0</v>
      </c>
      <c r="P1269" s="136">
        <f>+IF(PROVEEDORES[[#This Row],[SUBTOTAL]]&lt;PROVEEDORES[[#This Row],[base retencion]],0,PROVEEDORES[[#This Row],[retención aplicada]])</f>
        <v>0</v>
      </c>
      <c r="Q1269" s="24">
        <f>+PROVEEDORES[[#This Row],[Rete Fuente %]]*PROVEEDORES[[#This Row],[SUBTOTAL]]</f>
        <v>0</v>
      </c>
      <c r="R1269" s="23">
        <v>182658.72</v>
      </c>
      <c r="S126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9" s="99">
        <f ca="1">IF(PROVEEDORES[[#This Row],[FECHA DE PAGO]]=0,TODAY()-PROVEEDORES[[#This Row],[FECHA DE FACTURACIÓN]]-PROVEEDORES[[#This Row],[PLAZO Días]],0)</f>
        <v>0</v>
      </c>
      <c r="U1269" s="149">
        <f>+VLOOKUP(PROVEEDORES[[#This Row],[PROVEEDOR]],Terceros!$A:$E,5,FALSE)</f>
        <v>0</v>
      </c>
      <c r="V1269" s="150">
        <f>+YEAR(PROVEEDORES[[#This Row],[FECHA DE FACTURACIÓN]])</f>
        <v>2022</v>
      </c>
      <c r="W1269" s="150">
        <f>+MATCH(PROVEEDORES[[#This Row],[año facturado]],Retenciones!$1:$1,0)</f>
        <v>5</v>
      </c>
      <c r="X1269" s="151">
        <f>+VLOOKUP(PROVEEDORES[[#This Row],[ID RETENCION]],Retenciones!$A$1:$O$24,PROVEEDORES[[#This Row],[indicador de columna]],FALSE)</f>
        <v>0</v>
      </c>
      <c r="Y1269" s="152">
        <f>+VLOOKUP(PROVEEDORES[[#This Row],[ID RETENCION]],Retenciones!$A$1:$O$24,2,FALSE)</f>
        <v>0</v>
      </c>
      <c r="Z1269" s="26"/>
      <c r="AA1269" s="26"/>
      <c r="AB1269" s="26"/>
      <c r="AC1269" s="26"/>
      <c r="AD1269" s="26"/>
      <c r="AE1269" s="26"/>
    </row>
    <row r="1270" spans="1:31" ht="21.95" customHeight="1" x14ac:dyDescent="0.25">
      <c r="A1270" s="97" t="str">
        <f>+IF(PROVEEDORES[[#This Row],[FECHA DE PAGO]]=PROVEEDORES[[#This Row],[FECHA DE FACTURACIÓN]],"DE CONTADO","CRÉDITO")</f>
        <v>CRÉDITO</v>
      </c>
      <c r="B1270" s="41" t="b">
        <f>+IF((PROVEEDORES[[#This Row],[FECHA DE PAGO]]-PROVEEDORES[[#This Row],[FECHA DE FACTURACIÓN]])&gt;PROVEEDORES[[#This Row],[PLAZO Días]],"PAGO VENCIDO")</f>
        <v>0</v>
      </c>
      <c r="C1270" s="22">
        <f>+VLOOKUP(PROVEEDORES[[#This Row],[PROVEEDOR]],TERCEROS_INFO[#All],2,FALSE)</f>
        <v>30</v>
      </c>
      <c r="D1270" s="27">
        <f>+SUMIFS(PROVEEDORES[Total],PROVEEDORES[PROVEEDOR],PROVEEDORES[[#This Row],[PROVEEDOR]],PROVEEDORES[FECHA DE PAGO],"")</f>
        <v>195500</v>
      </c>
      <c r="E1270" s="27"/>
      <c r="F1270" s="62" t="str">
        <f>+VLOOKUP(PROVEEDORES[[#This Row],[PROVEEDOR]],
                       Terceros!$A:$G,
                       6,
                       FALSE)</f>
        <v/>
      </c>
      <c r="G1270" s="95">
        <v>44609</v>
      </c>
      <c r="H1270" s="28" t="s">
        <v>1047</v>
      </c>
      <c r="I1270" s="95">
        <v>44603</v>
      </c>
      <c r="J1270" s="38" t="s">
        <v>1048</v>
      </c>
      <c r="K1270" s="23">
        <v>331400</v>
      </c>
      <c r="L1270" s="23"/>
      <c r="M1270" s="24">
        <v>0</v>
      </c>
      <c r="N1270" s="25"/>
      <c r="O1270" s="24">
        <v>0</v>
      </c>
      <c r="P1270" s="136">
        <f>+IF(PROVEEDORES[[#This Row],[SUBTOTAL]]&lt;PROVEEDORES[[#This Row],[base retencion]],0,PROVEEDORES[[#This Row],[retención aplicada]])</f>
        <v>0</v>
      </c>
      <c r="Q1270" s="24">
        <f>+PROVEEDORES[[#This Row],[Rete Fuente %]]*PROVEEDORES[[#This Row],[SUBTOTAL]]</f>
        <v>0</v>
      </c>
      <c r="R1270" s="23">
        <v>331400</v>
      </c>
      <c r="S127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0" s="99">
        <f ca="1">IF(PROVEEDORES[[#This Row],[FECHA DE PAGO]]=0,TODAY()-PROVEEDORES[[#This Row],[FECHA DE FACTURACIÓN]]-PROVEEDORES[[#This Row],[PLAZO Días]],0)</f>
        <v>0</v>
      </c>
      <c r="U1270" s="149">
        <f>+VLOOKUP(PROVEEDORES[[#This Row],[PROVEEDOR]],Terceros!$A:$E,5,FALSE)</f>
        <v>0</v>
      </c>
      <c r="V1270" s="150">
        <f>+YEAR(PROVEEDORES[[#This Row],[FECHA DE FACTURACIÓN]])</f>
        <v>2022</v>
      </c>
      <c r="W1270" s="150">
        <f>+MATCH(PROVEEDORES[[#This Row],[año facturado]],Retenciones!$1:$1,0)</f>
        <v>5</v>
      </c>
      <c r="X1270" s="151">
        <f>+VLOOKUP(PROVEEDORES[[#This Row],[ID RETENCION]],Retenciones!$A$1:$O$24,PROVEEDORES[[#This Row],[indicador de columna]],FALSE)</f>
        <v>0</v>
      </c>
      <c r="Y1270" s="152">
        <f>+VLOOKUP(PROVEEDORES[[#This Row],[ID RETENCION]],Retenciones!$A$1:$O$24,2,FALSE)</f>
        <v>0</v>
      </c>
      <c r="Z1270" s="26"/>
      <c r="AA1270" s="26"/>
      <c r="AB1270" s="26"/>
      <c r="AC1270" s="26"/>
      <c r="AD1270" s="26"/>
      <c r="AE1270" s="26"/>
    </row>
    <row r="1271" spans="1:31" ht="21.95" customHeight="1" x14ac:dyDescent="0.25">
      <c r="A1271" s="97" t="str">
        <f>+IF(PROVEEDORES[[#This Row],[FECHA DE PAGO]]=PROVEEDORES[[#This Row],[FECHA DE FACTURACIÓN]],"DE CONTADO","CRÉDITO")</f>
        <v>CRÉDITO</v>
      </c>
      <c r="B1271" s="41" t="b">
        <f>+IF((PROVEEDORES[[#This Row],[FECHA DE PAGO]]-PROVEEDORES[[#This Row],[FECHA DE FACTURACIÓN]])&gt;PROVEEDORES[[#This Row],[PLAZO Días]],"PAGO VENCIDO")</f>
        <v>0</v>
      </c>
      <c r="C1271" s="22">
        <f>+VLOOKUP(PROVEEDORES[[#This Row],[PROVEEDOR]],TERCEROS_INFO[#All],2,FALSE)</f>
        <v>30</v>
      </c>
      <c r="D1271" s="27">
        <f>+SUMIFS(PROVEEDORES[Total],PROVEEDORES[PROVEEDOR],PROVEEDORES[[#This Row],[PROVEEDOR]],PROVEEDORES[FECHA DE PAGO],"")</f>
        <v>0</v>
      </c>
      <c r="E1271" s="27"/>
      <c r="F1271" s="62" t="str">
        <f>+VLOOKUP(PROVEEDORES[[#This Row],[PROVEEDOR]],
                       Terceros!$A:$G,
                       6,
                       FALSE)</f>
        <v>mobiliariomasproyectos@gmail.com;girlesa.ruiz@servipilas.com;joriescobar64@gmail.com</v>
      </c>
      <c r="G1271" s="95">
        <v>44620</v>
      </c>
      <c r="H1271" s="28" t="s">
        <v>1110</v>
      </c>
      <c r="I1271" s="95">
        <v>44616</v>
      </c>
      <c r="J1271" s="38" t="s">
        <v>1111</v>
      </c>
      <c r="K1271" s="23">
        <v>2400000</v>
      </c>
      <c r="L1271" s="23"/>
      <c r="M1271" s="24">
        <v>0</v>
      </c>
      <c r="N1271" s="25"/>
      <c r="O1271" s="24">
        <v>0</v>
      </c>
      <c r="P1271" s="136">
        <f>+IF(PROVEEDORES[[#This Row],[SUBTOTAL]]&lt;PROVEEDORES[[#This Row],[base retencion]],0,PROVEEDORES[[#This Row],[retención aplicada]])</f>
        <v>0</v>
      </c>
      <c r="Q1271" s="24">
        <f>+PROVEEDORES[[#This Row],[Rete Fuente %]]*PROVEEDORES[[#This Row],[SUBTOTAL]]</f>
        <v>0</v>
      </c>
      <c r="R1271" s="23">
        <v>2400000</v>
      </c>
      <c r="S127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1" s="99">
        <f ca="1">IF(PROVEEDORES[[#This Row],[FECHA DE PAGO]]=0,TODAY()-PROVEEDORES[[#This Row],[FECHA DE FACTURACIÓN]]-PROVEEDORES[[#This Row],[PLAZO Días]],0)</f>
        <v>0</v>
      </c>
      <c r="U1271" s="149">
        <f>+VLOOKUP(PROVEEDORES[[#This Row],[PROVEEDOR]],Terceros!$A:$E,5,FALSE)</f>
        <v>0</v>
      </c>
      <c r="V1271" s="150">
        <f>+YEAR(PROVEEDORES[[#This Row],[FECHA DE FACTURACIÓN]])</f>
        <v>2022</v>
      </c>
      <c r="W1271" s="150">
        <f>+MATCH(PROVEEDORES[[#This Row],[año facturado]],Retenciones!$1:$1,0)</f>
        <v>5</v>
      </c>
      <c r="X1271" s="151">
        <f>+VLOOKUP(PROVEEDORES[[#This Row],[ID RETENCION]],Retenciones!$A$1:$O$24,PROVEEDORES[[#This Row],[indicador de columna]],FALSE)</f>
        <v>0</v>
      </c>
      <c r="Y1271" s="152">
        <f>+VLOOKUP(PROVEEDORES[[#This Row],[ID RETENCION]],Retenciones!$A$1:$O$24,2,FALSE)</f>
        <v>0</v>
      </c>
      <c r="Z1271" s="26"/>
      <c r="AA1271" s="26"/>
      <c r="AB1271" s="26"/>
      <c r="AC1271" s="26"/>
      <c r="AD1271" s="26"/>
      <c r="AE1271" s="26"/>
    </row>
    <row r="1272" spans="1:31" ht="21.95" customHeight="1" x14ac:dyDescent="0.25">
      <c r="A1272" s="97" t="str">
        <f>+IF(PROVEEDORES[[#This Row],[FECHA DE PAGO]]=PROVEEDORES[[#This Row],[FECHA DE FACTURACIÓN]],"DE CONTADO","CRÉDITO")</f>
        <v>CRÉDITO</v>
      </c>
      <c r="B1272" s="41" t="str">
        <f>+IF((PROVEEDORES[[#This Row],[FECHA DE PAGO]]-PROVEEDORES[[#This Row],[FECHA DE FACTURACIÓN]])&gt;PROVEEDORES[[#This Row],[PLAZO Días]],"PAGO VENCIDO")</f>
        <v>PAGO VENCIDO</v>
      </c>
      <c r="C1272" s="22">
        <f>+VLOOKUP(PROVEEDORES[[#This Row],[PROVEEDOR]],TERCEROS_INFO[#All],2,FALSE)</f>
        <v>30</v>
      </c>
      <c r="D1272" s="27">
        <f>+SUMIFS(PROVEEDORES[Total],PROVEEDORES[PROVEEDOR],PROVEEDORES[[#This Row],[PROVEEDOR]],PROVEEDORES[FECHA DE PAGO],"")</f>
        <v>6151200</v>
      </c>
      <c r="E1272" s="27"/>
      <c r="F1272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1272" s="95">
        <v>44652</v>
      </c>
      <c r="H1272" s="28" t="s">
        <v>11</v>
      </c>
      <c r="I1272" s="95">
        <v>44602</v>
      </c>
      <c r="J1272" s="38" t="s">
        <v>1165</v>
      </c>
      <c r="K1272" s="23">
        <v>3674790</v>
      </c>
      <c r="L1272" s="23"/>
      <c r="M1272" s="24">
        <v>698210.1</v>
      </c>
      <c r="N1272" s="25"/>
      <c r="O1272" s="24">
        <v>0</v>
      </c>
      <c r="P1272" s="136">
        <f>+IF(PROVEEDORES[[#This Row],[SUBTOTAL]]&lt;PROVEEDORES[[#This Row],[base retencion]],0,PROVEEDORES[[#This Row],[retención aplicada]])</f>
        <v>2.5000000000000001E-2</v>
      </c>
      <c r="Q1272" s="24">
        <f>+PROVEEDORES[[#This Row],[Rete Fuente %]]*PROVEEDORES[[#This Row],[SUBTOTAL]]</f>
        <v>91869.75</v>
      </c>
      <c r="R1272" s="23">
        <v>4281130.3499999996</v>
      </c>
      <c r="S127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2" s="99">
        <f ca="1">IF(PROVEEDORES[[#This Row],[FECHA DE PAGO]]=0,TODAY()-PROVEEDORES[[#This Row],[FECHA DE FACTURACIÓN]]-PROVEEDORES[[#This Row],[PLAZO Días]],0)</f>
        <v>0</v>
      </c>
      <c r="U1272" s="149" t="str">
        <f>+VLOOKUP(PROVEEDORES[[#This Row],[PROVEEDOR]],Terceros!$A:$E,5,FALSE)</f>
        <v>2,5% con base</v>
      </c>
      <c r="V1272" s="150">
        <f>+YEAR(PROVEEDORES[[#This Row],[FECHA DE FACTURACIÓN]])</f>
        <v>2022</v>
      </c>
      <c r="W1272" s="150">
        <f>+MATCH(PROVEEDORES[[#This Row],[año facturado]],Retenciones!$1:$1,0)</f>
        <v>5</v>
      </c>
      <c r="X1272" s="151">
        <f>+VLOOKUP(PROVEEDORES[[#This Row],[ID RETENCION]],Retenciones!$A$1:$O$24,PROVEEDORES[[#This Row],[indicador de columna]],FALSE)</f>
        <v>1026000</v>
      </c>
      <c r="Y1272" s="152">
        <f>+VLOOKUP(PROVEEDORES[[#This Row],[ID RETENCION]],Retenciones!$A$1:$O$24,2,FALSE)</f>
        <v>2.5000000000000001E-2</v>
      </c>
      <c r="Z1272" s="26"/>
      <c r="AA1272" s="26"/>
      <c r="AB1272" s="26"/>
      <c r="AC1272" s="26"/>
      <c r="AD1272" s="26"/>
      <c r="AE1272" s="26"/>
    </row>
    <row r="1273" spans="1:31" ht="21.95" customHeight="1" x14ac:dyDescent="0.25">
      <c r="A1273" s="97" t="str">
        <f>+IF(PROVEEDORES[[#This Row],[FECHA DE PAGO]]=PROVEEDORES[[#This Row],[FECHA DE FACTURACIÓN]],"DE CONTADO","CRÉDITO")</f>
        <v>DE CONTADO</v>
      </c>
      <c r="B1273" s="41" t="b">
        <f>+IF((PROVEEDORES[[#This Row],[FECHA DE PAGO]]-PROVEEDORES[[#This Row],[FECHA DE FACTURACIÓN]])&gt;PROVEEDORES[[#This Row],[PLAZO Días]],"PAGO VENCIDO")</f>
        <v>0</v>
      </c>
      <c r="C1273" s="22">
        <f>+VLOOKUP(PROVEEDORES[[#This Row],[PROVEEDOR]],TERCEROS_INFO[#All],2,FALSE)</f>
        <v>10</v>
      </c>
      <c r="D1273" s="27">
        <f>+SUMIFS(PROVEEDORES[Total],PROVEEDORES[PROVEEDOR],PROVEEDORES[[#This Row],[PROVEEDOR]],PROVEEDORES[FECHA DE PAGO],"")</f>
        <v>0</v>
      </c>
      <c r="E1273" s="27"/>
      <c r="F1273" s="62" t="str">
        <f>+VLOOKUP(PROVEEDORES[[#This Row],[PROVEEDOR]],
                       Terceros!$A:$G,
                       6,
                       FALSE)</f>
        <v>dotaciones.ohana.eu@gmail.com;girlesa.ruiz@servipilas.com;joriescobar64@gmail.com</v>
      </c>
      <c r="G1273" s="95">
        <v>44623</v>
      </c>
      <c r="H1273" s="28" t="s">
        <v>1025</v>
      </c>
      <c r="I1273" s="95">
        <v>44623</v>
      </c>
      <c r="J1273" s="38" t="s">
        <v>961</v>
      </c>
      <c r="K1273" s="23">
        <v>2400000</v>
      </c>
      <c r="L1273" s="23"/>
      <c r="M1273" s="24">
        <v>0</v>
      </c>
      <c r="N1273" s="25"/>
      <c r="O1273" s="24">
        <v>0</v>
      </c>
      <c r="P1273" s="136">
        <f>+IF(PROVEEDORES[[#This Row],[SUBTOTAL]]&lt;PROVEEDORES[[#This Row],[base retencion]],0,PROVEEDORES[[#This Row],[retención aplicada]])</f>
        <v>0</v>
      </c>
      <c r="Q1273" s="24">
        <f>+PROVEEDORES[[#This Row],[Rete Fuente %]]*PROVEEDORES[[#This Row],[SUBTOTAL]]</f>
        <v>0</v>
      </c>
      <c r="R1273" s="23">
        <v>2400000</v>
      </c>
      <c r="S127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3" s="99">
        <f ca="1">IF(PROVEEDORES[[#This Row],[FECHA DE PAGO]]=0,TODAY()-PROVEEDORES[[#This Row],[FECHA DE FACTURACIÓN]]-PROVEEDORES[[#This Row],[PLAZO Días]],0)</f>
        <v>0</v>
      </c>
      <c r="U1273" s="149">
        <f>+VLOOKUP(PROVEEDORES[[#This Row],[PROVEEDOR]],Terceros!$A:$E,5,FALSE)</f>
        <v>0</v>
      </c>
      <c r="V1273" s="150">
        <f>+YEAR(PROVEEDORES[[#This Row],[FECHA DE FACTURACIÓN]])</f>
        <v>2022</v>
      </c>
      <c r="W1273" s="150">
        <f>+MATCH(PROVEEDORES[[#This Row],[año facturado]],Retenciones!$1:$1,0)</f>
        <v>5</v>
      </c>
      <c r="X1273" s="151">
        <f>+VLOOKUP(PROVEEDORES[[#This Row],[ID RETENCION]],Retenciones!$A$1:$O$24,PROVEEDORES[[#This Row],[indicador de columna]],FALSE)</f>
        <v>0</v>
      </c>
      <c r="Y1273" s="152">
        <f>+VLOOKUP(PROVEEDORES[[#This Row],[ID RETENCION]],Retenciones!$A$1:$O$24,2,FALSE)</f>
        <v>0</v>
      </c>
      <c r="Z1273" s="26"/>
      <c r="AA1273" s="26"/>
      <c r="AB1273" s="26"/>
      <c r="AC1273" s="26"/>
      <c r="AD1273" s="26"/>
      <c r="AE1273" s="26"/>
    </row>
    <row r="1274" spans="1:31" ht="21.95" customHeight="1" x14ac:dyDescent="0.25">
      <c r="A1274" s="97" t="str">
        <f>+IF(PROVEEDORES[[#This Row],[FECHA DE PAGO]]=PROVEEDORES[[#This Row],[FECHA DE FACTURACIÓN]],"DE CONTADO","CRÉDITO")</f>
        <v>CRÉDITO</v>
      </c>
      <c r="B1274" s="41" t="str">
        <f>+IF((PROVEEDORES[[#This Row],[FECHA DE PAGO]]-PROVEEDORES[[#This Row],[FECHA DE FACTURACIÓN]])&gt;PROVEEDORES[[#This Row],[PLAZO Días]],"PAGO VENCIDO")</f>
        <v>PAGO VENCIDO</v>
      </c>
      <c r="C1274" s="22">
        <f>+VLOOKUP(PROVEEDORES[[#This Row],[PROVEEDOR]],TERCEROS_INFO[#All],2,FALSE)</f>
        <v>30</v>
      </c>
      <c r="D1274" s="27">
        <f>+SUMIFS(PROVEEDORES[Total],PROVEEDORES[PROVEEDOR],PROVEEDORES[[#This Row],[PROVEEDOR]],PROVEEDORES[FECHA DE PAGO],"")</f>
        <v>1856492</v>
      </c>
      <c r="E1274" s="27"/>
      <c r="F1274" s="62" t="str">
        <f>+VLOOKUP(PROVEEDORES[[#This Row],[PROVEEDOR]],
                       Terceros!$A:$G,
                       6,
                       FALSE)</f>
        <v>PSE</v>
      </c>
      <c r="G1274" s="95">
        <v>44630</v>
      </c>
      <c r="H1274" s="28" t="s">
        <v>334</v>
      </c>
      <c r="I1274" s="95">
        <v>44562</v>
      </c>
      <c r="J1274" s="38" t="s">
        <v>319</v>
      </c>
      <c r="K1274" s="23">
        <v>263948</v>
      </c>
      <c r="L1274" s="23"/>
      <c r="M1274" s="24">
        <v>0</v>
      </c>
      <c r="N1274" s="25"/>
      <c r="O1274" s="24">
        <v>0</v>
      </c>
      <c r="P1274" s="136">
        <f>+IF(PROVEEDORES[[#This Row],[SUBTOTAL]]&lt;PROVEEDORES[[#This Row],[base retencion]],0,PROVEEDORES[[#This Row],[retención aplicada]])</f>
        <v>0</v>
      </c>
      <c r="Q1274" s="24">
        <f>+PROVEEDORES[[#This Row],[Rete Fuente %]]*PROVEEDORES[[#This Row],[SUBTOTAL]]</f>
        <v>0</v>
      </c>
      <c r="R1274" s="23">
        <v>263948</v>
      </c>
      <c r="S127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4" s="99">
        <f ca="1">IF(PROVEEDORES[[#This Row],[FECHA DE PAGO]]=0,TODAY()-PROVEEDORES[[#This Row],[FECHA DE FACTURACIÓN]]-PROVEEDORES[[#This Row],[PLAZO Días]],0)</f>
        <v>0</v>
      </c>
      <c r="U1274" s="149">
        <f>+VLOOKUP(PROVEEDORES[[#This Row],[PROVEEDOR]],Terceros!$A:$E,5,FALSE)</f>
        <v>0</v>
      </c>
      <c r="V1274" s="150">
        <f>+YEAR(PROVEEDORES[[#This Row],[FECHA DE FACTURACIÓN]])</f>
        <v>2022</v>
      </c>
      <c r="W1274" s="150">
        <f>+MATCH(PROVEEDORES[[#This Row],[año facturado]],Retenciones!$1:$1,0)</f>
        <v>5</v>
      </c>
      <c r="X1274" s="151">
        <f>+VLOOKUP(PROVEEDORES[[#This Row],[ID RETENCION]],Retenciones!$A$1:$O$24,PROVEEDORES[[#This Row],[indicador de columna]],FALSE)</f>
        <v>0</v>
      </c>
      <c r="Y1274" s="152">
        <f>+VLOOKUP(PROVEEDORES[[#This Row],[ID RETENCION]],Retenciones!$A$1:$O$24,2,FALSE)</f>
        <v>0</v>
      </c>
      <c r="Z1274" s="26"/>
      <c r="AA1274" s="26"/>
      <c r="AB1274" s="26"/>
      <c r="AC1274" s="26"/>
      <c r="AD1274" s="26"/>
      <c r="AE1274" s="26"/>
    </row>
    <row r="1275" spans="1:31" ht="21.95" customHeight="1" x14ac:dyDescent="0.25">
      <c r="A1275" s="97" t="str">
        <f>+IF(PROVEEDORES[[#This Row],[FECHA DE PAGO]]=PROVEEDORES[[#This Row],[FECHA DE FACTURACIÓN]],"DE CONTADO","CRÉDITO")</f>
        <v>CRÉDITO</v>
      </c>
      <c r="B1275" s="41" t="b">
        <f>+IF((PROVEEDORES[[#This Row],[FECHA DE PAGO]]-PROVEEDORES[[#This Row],[FECHA DE FACTURACIÓN]])&gt;PROVEEDORES[[#This Row],[PLAZO Días]],"PAGO VENCIDO")</f>
        <v>0</v>
      </c>
      <c r="C1275" s="22">
        <v>90</v>
      </c>
      <c r="D1275" s="27">
        <f>+SUMIFS(PROVEEDORES[Total],PROVEEDORES[PROVEEDOR],PROVEEDORES[[#This Row],[PROVEEDOR]],PROVEEDORES[FECHA DE PAGO],"")</f>
        <v>758800</v>
      </c>
      <c r="E1275" s="27"/>
      <c r="F1275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H1275" s="28" t="s">
        <v>604</v>
      </c>
      <c r="I1275" s="95">
        <v>44607</v>
      </c>
      <c r="J1275" s="38" t="s">
        <v>1155</v>
      </c>
      <c r="K1275" s="23">
        <v>192000</v>
      </c>
      <c r="L1275" s="23"/>
      <c r="M1275" s="24">
        <f>(PROVEEDORES[[#This Row],[SUBTOTAL]]-PROVEEDORES[[#This Row],[descuento antes de IVA]])*VLOOKUP(PROVEEDORES[[#This Row],[PROVEEDOR]],TERCEROS_INFO[#All],3,FALSE)</f>
        <v>0</v>
      </c>
      <c r="N1275" s="25"/>
      <c r="O1275" s="24">
        <f>+PROVEEDORES[[#This Row],[Descuento sobre subtotal %]]*(PROVEEDORES[[#This Row],[SUBTOTAL]]-PROVEEDORES[[#This Row],[descuento antes de IVA]])</f>
        <v>0</v>
      </c>
      <c r="P1275" s="136">
        <f>+IF(PROVEEDORES[[#This Row],[SUBTOTAL]]&lt;PROVEEDORES[[#This Row],[base retencion]],0,PROVEEDORES[[#This Row],[retención aplicada]])</f>
        <v>0</v>
      </c>
      <c r="Q1275" s="24">
        <f>+PROVEEDORES[[#This Row],[Rete Fuente %]]*PROVEEDORES[[#This Row],[SUBTOTAL]]</f>
        <v>0</v>
      </c>
      <c r="R1275" s="23">
        <f>+PROVEEDORES[[#This Row],[SUBTOTAL]]+PROVEEDORES[[#This Row],[IVA 19%]]-PROVEEDORES[[#This Row],[descuento antes de IVA]]-PROVEEDORES[[#This Row],[Descuento sobre subtotal $]]-PROVEEDORES[[#This Row],[Rete Fuente $]]</f>
        <v>192000</v>
      </c>
      <c r="S1275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75" s="99">
        <f ca="1">IF(PROVEEDORES[[#This Row],[FECHA DE PAGO]]=0,TODAY()-PROVEEDORES[[#This Row],[FECHA DE FACTURACIÓN]]-PROVEEDORES[[#This Row],[PLAZO Días]],0)</f>
        <v>-13</v>
      </c>
      <c r="U1275" s="149">
        <f>+VLOOKUP(PROVEEDORES[[#This Row],[PROVEEDOR]],Terceros!$A:$E,5,FALSE)</f>
        <v>0</v>
      </c>
      <c r="V1275" s="150">
        <f>+YEAR(PROVEEDORES[[#This Row],[FECHA DE FACTURACIÓN]])</f>
        <v>2022</v>
      </c>
      <c r="W1275" s="150">
        <f>+MATCH(PROVEEDORES[[#This Row],[año facturado]],Retenciones!$1:$1,0)</f>
        <v>5</v>
      </c>
      <c r="X1275" s="151">
        <f>+VLOOKUP(PROVEEDORES[[#This Row],[ID RETENCION]],Retenciones!$A$1:$O$24,PROVEEDORES[[#This Row],[indicador de columna]],FALSE)</f>
        <v>0</v>
      </c>
      <c r="Y1275" s="152">
        <f>+VLOOKUP(PROVEEDORES[[#This Row],[ID RETENCION]],Retenciones!$A$1:$O$24,2,FALSE)</f>
        <v>0</v>
      </c>
      <c r="Z1275" s="26"/>
      <c r="AA1275" s="26"/>
      <c r="AB1275" s="26"/>
      <c r="AC1275" s="26"/>
      <c r="AD1275" s="26"/>
      <c r="AE1275" s="26"/>
    </row>
    <row r="1276" spans="1:31" ht="21.95" customHeight="1" x14ac:dyDescent="0.25">
      <c r="A1276" s="97" t="str">
        <f>+IF(PROVEEDORES[[#This Row],[FECHA DE PAGO]]=PROVEEDORES[[#This Row],[FECHA DE FACTURACIÓN]],"DE CONTADO","CRÉDITO")</f>
        <v>CRÉDITO</v>
      </c>
      <c r="B1276" s="41" t="b">
        <f>+IF((PROVEEDORES[[#This Row],[FECHA DE PAGO]]-PROVEEDORES[[#This Row],[FECHA DE FACTURACIÓN]])&gt;PROVEEDORES[[#This Row],[PLAZO Días]],"PAGO VENCIDO")</f>
        <v>0</v>
      </c>
      <c r="C1276" s="22">
        <f>+VLOOKUP(PROVEEDORES[[#This Row],[PROVEEDOR]],TERCEROS_INFO[#All],2,FALSE)</f>
        <v>30</v>
      </c>
      <c r="D1276" s="27">
        <f>+SUMIFS(PROVEEDORES[Total],PROVEEDORES[PROVEEDOR],PROVEEDORES[[#This Row],[PROVEEDOR]],PROVEEDORES[FECHA DE PAGO],"")</f>
        <v>0</v>
      </c>
      <c r="E1276" s="27"/>
      <c r="F1276" s="62" t="str">
        <f>+VLOOKUP(PROVEEDORES[[#This Row],[PROVEEDOR]],
                       Terceros!$A:$G,
                       6,
                       FALSE)</f>
        <v/>
      </c>
      <c r="G1276" s="95">
        <v>44608</v>
      </c>
      <c r="H1276" s="28" t="s">
        <v>1001</v>
      </c>
      <c r="I1276" s="95">
        <v>44607</v>
      </c>
      <c r="J1276" s="38" t="s">
        <v>1004</v>
      </c>
      <c r="K1276" s="23">
        <v>5363000</v>
      </c>
      <c r="L1276" s="23"/>
      <c r="M1276" s="24">
        <v>0</v>
      </c>
      <c r="N1276" s="25"/>
      <c r="O1276" s="24">
        <v>0</v>
      </c>
      <c r="P1276" s="136">
        <f>+IF(PROVEEDORES[[#This Row],[SUBTOTAL]]&lt;PROVEEDORES[[#This Row],[base retencion]],0,PROVEEDORES[[#This Row],[retención aplicada]])</f>
        <v>0</v>
      </c>
      <c r="Q1276" s="24">
        <f>+PROVEEDORES[[#This Row],[Rete Fuente %]]*PROVEEDORES[[#This Row],[SUBTOTAL]]</f>
        <v>0</v>
      </c>
      <c r="R1276" s="23">
        <v>5363000</v>
      </c>
      <c r="S127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6" s="99">
        <f ca="1">IF(PROVEEDORES[[#This Row],[FECHA DE PAGO]]=0,TODAY()-PROVEEDORES[[#This Row],[FECHA DE FACTURACIÓN]]-PROVEEDORES[[#This Row],[PLAZO Días]],0)</f>
        <v>0</v>
      </c>
      <c r="U1276" s="149">
        <f>+VLOOKUP(PROVEEDORES[[#This Row],[PROVEEDOR]],Terceros!$A:$E,5,FALSE)</f>
        <v>0</v>
      </c>
      <c r="V1276" s="150">
        <f>+YEAR(PROVEEDORES[[#This Row],[FECHA DE FACTURACIÓN]])</f>
        <v>2022</v>
      </c>
      <c r="W1276" s="150">
        <f>+MATCH(PROVEEDORES[[#This Row],[año facturado]],Retenciones!$1:$1,0)</f>
        <v>5</v>
      </c>
      <c r="X1276" s="151">
        <f>+VLOOKUP(PROVEEDORES[[#This Row],[ID RETENCION]],Retenciones!$A$1:$O$24,PROVEEDORES[[#This Row],[indicador de columna]],FALSE)</f>
        <v>0</v>
      </c>
      <c r="Y1276" s="152">
        <f>+VLOOKUP(PROVEEDORES[[#This Row],[ID RETENCION]],Retenciones!$A$1:$O$24,2,FALSE)</f>
        <v>0</v>
      </c>
      <c r="Z1276" s="26"/>
      <c r="AA1276" s="26"/>
      <c r="AB1276" s="26"/>
      <c r="AC1276" s="26"/>
      <c r="AD1276" s="26"/>
      <c r="AE1276" s="26"/>
    </row>
    <row r="1277" spans="1:31" ht="21.95" customHeight="1" x14ac:dyDescent="0.25">
      <c r="A1277" s="97" t="str">
        <f>+IF(PROVEEDORES[[#This Row],[FECHA DE PAGO]]=PROVEEDORES[[#This Row],[FECHA DE FACTURACIÓN]],"DE CONTADO","CRÉDITO")</f>
        <v>CRÉDITO</v>
      </c>
      <c r="B1277" s="41" t="str">
        <f>+IF((PROVEEDORES[[#This Row],[FECHA DE PAGO]]-PROVEEDORES[[#This Row],[FECHA DE FACTURACIÓN]])&gt;PROVEEDORES[[#This Row],[PLAZO Días]],"PAGO VENCIDO")</f>
        <v>PAGO VENCIDO</v>
      </c>
      <c r="C1277" s="22">
        <f>+VLOOKUP(PROVEEDORES[[#This Row],[PROVEEDOR]],TERCEROS_INFO[#All],2,FALSE)</f>
        <v>30</v>
      </c>
      <c r="D1277" s="27">
        <f>+SUMIFS(PROVEEDORES[Total],PROVEEDORES[PROVEEDOR],PROVEEDORES[[#This Row],[PROVEEDOR]],PROVEEDORES[FECHA DE PAGO],"")</f>
        <v>21832129.73</v>
      </c>
      <c r="E1277" s="27"/>
      <c r="F1277" s="62" t="str">
        <f>+VLOOKUP(PROVEEDORES[[#This Row],[PROVEEDOR]],
                       Terceros!$A:$G,
                       6,
                       FALSE)</f>
        <v>cartera1@grupostatur.com;girlesa.ruiz@servipilas.com;joriescobar64@gmail.com</v>
      </c>
      <c r="G1277" s="95">
        <v>44643</v>
      </c>
      <c r="H1277" s="28" t="s">
        <v>9</v>
      </c>
      <c r="I1277" s="95">
        <v>44609</v>
      </c>
      <c r="J1277" s="38" t="s">
        <v>1156</v>
      </c>
      <c r="K1277" s="23">
        <v>0</v>
      </c>
      <c r="L1277" s="23"/>
      <c r="M1277" s="24">
        <v>0</v>
      </c>
      <c r="N1277" s="25"/>
      <c r="O1277" s="24">
        <v>0</v>
      </c>
      <c r="P1277" s="136">
        <f>+IF(PROVEEDORES[[#This Row],[SUBTOTAL]]&lt;PROVEEDORES[[#This Row],[base retencion]],0,PROVEEDORES[[#This Row],[retención aplicada]])</f>
        <v>0</v>
      </c>
      <c r="Q1277" s="24">
        <f>+PROVEEDORES[[#This Row],[Rete Fuente %]]*PROVEEDORES[[#This Row],[SUBTOTAL]]</f>
        <v>0</v>
      </c>
      <c r="R1277" s="23">
        <v>-5000000</v>
      </c>
      <c r="S127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7" s="99">
        <f ca="1">IF(PROVEEDORES[[#This Row],[FECHA DE PAGO]]=0,TODAY()-PROVEEDORES[[#This Row],[FECHA DE FACTURACIÓN]]-PROVEEDORES[[#This Row],[PLAZO Días]],0)</f>
        <v>0</v>
      </c>
      <c r="U1277" s="149" t="str">
        <f>+VLOOKUP(PROVEEDORES[[#This Row],[PROVEEDOR]],Terceros!$A:$E,5,FALSE)</f>
        <v>2,5% con base</v>
      </c>
      <c r="V1277" s="150">
        <f>+YEAR(PROVEEDORES[[#This Row],[FECHA DE FACTURACIÓN]])</f>
        <v>2022</v>
      </c>
      <c r="W1277" s="150">
        <f>+MATCH(PROVEEDORES[[#This Row],[año facturado]],Retenciones!$1:$1,0)</f>
        <v>5</v>
      </c>
      <c r="X1277" s="151">
        <f>+VLOOKUP(PROVEEDORES[[#This Row],[ID RETENCION]],Retenciones!$A$1:$O$24,PROVEEDORES[[#This Row],[indicador de columna]],FALSE)</f>
        <v>1026000</v>
      </c>
      <c r="Y1277" s="152">
        <f>+VLOOKUP(PROVEEDORES[[#This Row],[ID RETENCION]],Retenciones!$A$1:$O$24,2,FALSE)</f>
        <v>2.5000000000000001E-2</v>
      </c>
      <c r="Z1277" s="26"/>
      <c r="AA1277" s="26"/>
      <c r="AB1277" s="26"/>
      <c r="AC1277" s="26"/>
      <c r="AD1277" s="26"/>
      <c r="AE1277" s="26"/>
    </row>
    <row r="1278" spans="1:31" ht="21.95" customHeight="1" x14ac:dyDescent="0.25">
      <c r="A1278" s="97" t="str">
        <f>+IF(PROVEEDORES[[#This Row],[FECHA DE PAGO]]=PROVEEDORES[[#This Row],[FECHA DE FACTURACIÓN]],"DE CONTADO","CRÉDITO")</f>
        <v>DE CONTADO</v>
      </c>
      <c r="B1278" s="41" t="b">
        <f>+IF((PROVEEDORES[[#This Row],[FECHA DE PAGO]]-PROVEEDORES[[#This Row],[FECHA DE FACTURACIÓN]])&gt;PROVEEDORES[[#This Row],[PLAZO Días]],"PAGO VENCIDO")</f>
        <v>0</v>
      </c>
      <c r="C1278" s="22">
        <f>+VLOOKUP(PROVEEDORES[[#This Row],[PROVEEDOR]],TERCEROS_INFO[#All],2,FALSE)</f>
        <v>30</v>
      </c>
      <c r="D1278" s="27">
        <f>+SUMIFS(PROVEEDORES[Total],PROVEEDORES[PROVEEDOR],PROVEEDORES[[#This Row],[PROVEEDOR]],PROVEEDORES[FECHA DE PAGO],"")</f>
        <v>0</v>
      </c>
      <c r="E1278" s="27"/>
      <c r="F1278" s="62" t="str">
        <f>+VLOOKUP(PROVEEDORES[[#This Row],[PROVEEDOR]],
                       Terceros!$A:$G,
                       6,
                       FALSE)</f>
        <v/>
      </c>
      <c r="G1278" s="95">
        <v>44609</v>
      </c>
      <c r="H1278" s="28" t="s">
        <v>1046</v>
      </c>
      <c r="I1278" s="95">
        <v>44609</v>
      </c>
      <c r="J1278" s="38"/>
      <c r="K1278" s="23">
        <v>1000000</v>
      </c>
      <c r="L1278" s="23"/>
      <c r="M1278" s="24">
        <v>0</v>
      </c>
      <c r="N1278" s="25"/>
      <c r="O1278" s="24">
        <v>0</v>
      </c>
      <c r="P1278" s="136">
        <f>+IF(PROVEEDORES[[#This Row],[SUBTOTAL]]&lt;PROVEEDORES[[#This Row],[base retencion]],0,PROVEEDORES[[#This Row],[retención aplicada]])</f>
        <v>0</v>
      </c>
      <c r="Q1278" s="24">
        <f>+PROVEEDORES[[#This Row],[Rete Fuente %]]*PROVEEDORES[[#This Row],[SUBTOTAL]]</f>
        <v>0</v>
      </c>
      <c r="R1278" s="23">
        <v>1000000</v>
      </c>
      <c r="S127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8" s="99">
        <f ca="1">IF(PROVEEDORES[[#This Row],[FECHA DE PAGO]]=0,TODAY()-PROVEEDORES[[#This Row],[FECHA DE FACTURACIÓN]]-PROVEEDORES[[#This Row],[PLAZO Días]],0)</f>
        <v>0</v>
      </c>
      <c r="U1278" s="149">
        <f>+VLOOKUP(PROVEEDORES[[#This Row],[PROVEEDOR]],Terceros!$A:$E,5,FALSE)</f>
        <v>0</v>
      </c>
      <c r="V1278" s="150">
        <f>+YEAR(PROVEEDORES[[#This Row],[FECHA DE FACTURACIÓN]])</f>
        <v>2022</v>
      </c>
      <c r="W1278" s="150">
        <f>+MATCH(PROVEEDORES[[#This Row],[año facturado]],Retenciones!$1:$1,0)</f>
        <v>5</v>
      </c>
      <c r="X1278" s="151">
        <f>+VLOOKUP(PROVEEDORES[[#This Row],[ID RETENCION]],Retenciones!$A$1:$O$24,PROVEEDORES[[#This Row],[indicador de columna]],FALSE)</f>
        <v>0</v>
      </c>
      <c r="Y1278" s="152">
        <f>+VLOOKUP(PROVEEDORES[[#This Row],[ID RETENCION]],Retenciones!$A$1:$O$24,2,FALSE)</f>
        <v>0</v>
      </c>
      <c r="Z1278" s="26"/>
      <c r="AA1278" s="26"/>
      <c r="AB1278" s="26"/>
      <c r="AC1278" s="26"/>
      <c r="AD1278" s="26"/>
      <c r="AE1278" s="26"/>
    </row>
    <row r="1279" spans="1:31" ht="21.95" customHeight="1" x14ac:dyDescent="0.25">
      <c r="A1279" s="97" t="str">
        <f>+IF(PROVEEDORES[[#This Row],[FECHA DE PAGO]]=PROVEEDORES[[#This Row],[FECHA DE FACTURACIÓN]],"DE CONTADO","CRÉDITO")</f>
        <v>CRÉDITO</v>
      </c>
      <c r="B1279" s="41" t="str">
        <f>+IF((PROVEEDORES[[#This Row],[FECHA DE PAGO]]-PROVEEDORES[[#This Row],[FECHA DE FACTURACIÓN]])&gt;PROVEEDORES[[#This Row],[PLAZO Días]],"PAGO VENCIDO")</f>
        <v>PAGO VENCIDO</v>
      </c>
      <c r="C1279" s="22">
        <f>+VLOOKUP(PROVEEDORES[[#This Row],[PROVEEDOR]],TERCEROS_INFO[#All],2,FALSE)</f>
        <v>30</v>
      </c>
      <c r="D1279" s="27">
        <f>+SUMIFS(PROVEEDORES[Total],PROVEEDORES[PROVEEDOR],PROVEEDORES[[#This Row],[PROVEEDOR]],PROVEEDORES[FECHA DE PAGO],"")</f>
        <v>1856492</v>
      </c>
      <c r="E1279" s="27"/>
      <c r="F1279" s="62" t="str">
        <f>+VLOOKUP(PROVEEDORES[[#This Row],[PROVEEDOR]],
                       Terceros!$A:$G,
                       6,
                       FALSE)</f>
        <v>PSE</v>
      </c>
      <c r="G1279" s="95">
        <v>44630</v>
      </c>
      <c r="H1279" s="28" t="s">
        <v>334</v>
      </c>
      <c r="I1279" s="95">
        <v>44562</v>
      </c>
      <c r="J1279" s="38" t="s">
        <v>318</v>
      </c>
      <c r="K1279" s="23">
        <v>1591380</v>
      </c>
      <c r="L1279" s="23"/>
      <c r="M1279" s="24">
        <v>0</v>
      </c>
      <c r="N1279" s="25"/>
      <c r="O1279" s="24">
        <v>0</v>
      </c>
      <c r="P1279" s="136">
        <f>+IF(PROVEEDORES[[#This Row],[SUBTOTAL]]&lt;PROVEEDORES[[#This Row],[base retencion]],0,PROVEEDORES[[#This Row],[retención aplicada]])</f>
        <v>0</v>
      </c>
      <c r="Q1279" s="24">
        <f>+PROVEEDORES[[#This Row],[Rete Fuente %]]*PROVEEDORES[[#This Row],[SUBTOTAL]]</f>
        <v>0</v>
      </c>
      <c r="R1279" s="23">
        <v>1591380</v>
      </c>
      <c r="S127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9" s="99">
        <f ca="1">IF(PROVEEDORES[[#This Row],[FECHA DE PAGO]]=0,TODAY()-PROVEEDORES[[#This Row],[FECHA DE FACTURACIÓN]]-PROVEEDORES[[#This Row],[PLAZO Días]],0)</f>
        <v>0</v>
      </c>
      <c r="U1279" s="149">
        <f>+VLOOKUP(PROVEEDORES[[#This Row],[PROVEEDOR]],Terceros!$A:$E,5,FALSE)</f>
        <v>0</v>
      </c>
      <c r="V1279" s="150">
        <f>+YEAR(PROVEEDORES[[#This Row],[FECHA DE FACTURACIÓN]])</f>
        <v>2022</v>
      </c>
      <c r="W1279" s="150">
        <f>+MATCH(PROVEEDORES[[#This Row],[año facturado]],Retenciones!$1:$1,0)</f>
        <v>5</v>
      </c>
      <c r="X1279" s="151">
        <f>+VLOOKUP(PROVEEDORES[[#This Row],[ID RETENCION]],Retenciones!$A$1:$O$24,PROVEEDORES[[#This Row],[indicador de columna]],FALSE)</f>
        <v>0</v>
      </c>
      <c r="Y1279" s="152">
        <f>+VLOOKUP(PROVEEDORES[[#This Row],[ID RETENCION]],Retenciones!$A$1:$O$24,2,FALSE)</f>
        <v>0</v>
      </c>
      <c r="Z1279" s="26"/>
      <c r="AA1279" s="26"/>
      <c r="AB1279" s="26"/>
      <c r="AC1279" s="26"/>
      <c r="AD1279" s="26"/>
      <c r="AE1279" s="26"/>
    </row>
    <row r="1280" spans="1:31" ht="21.95" customHeight="1" x14ac:dyDescent="0.25">
      <c r="A1280" s="97" t="str">
        <f>+IF(PROVEEDORES[[#This Row],[FECHA DE PAGO]]=PROVEEDORES[[#This Row],[FECHA DE FACTURACIÓN]],"DE CONTADO","CRÉDITO")</f>
        <v>CRÉDITO</v>
      </c>
      <c r="B1280" s="41" t="b">
        <f>+IF((PROVEEDORES[[#This Row],[FECHA DE PAGO]]-PROVEEDORES[[#This Row],[FECHA DE FACTURACIÓN]])&gt;PROVEEDORES[[#This Row],[PLAZO Días]],"PAGO VENCIDO")</f>
        <v>0</v>
      </c>
      <c r="C1280" s="22">
        <f>+VLOOKUP(PROVEEDORES[[#This Row],[PROVEEDOR]],TERCEROS_INFO[#All],2,FALSE)</f>
        <v>30</v>
      </c>
      <c r="D1280" s="27">
        <f>+SUMIFS(PROVEEDORES[Total],PROVEEDORES[PROVEEDOR],PROVEEDORES[[#This Row],[PROVEEDOR]],PROVEEDORES[FECHA DE PAGO],"")</f>
        <v>7458000</v>
      </c>
      <c r="E1280" s="27"/>
      <c r="F1280" s="62" t="str">
        <f>+VLOOKUP(PROVEEDORES[[#This Row],[PROVEEDOR]],
                       Terceros!$A:$G,
                       6,
                       FALSE)</f>
        <v/>
      </c>
      <c r="H1280" s="28" t="s">
        <v>1043</v>
      </c>
      <c r="I1280" s="95">
        <v>44607</v>
      </c>
      <c r="J1280" s="38" t="s">
        <v>1154</v>
      </c>
      <c r="K1280" s="23">
        <v>710000</v>
      </c>
      <c r="L1280" s="23"/>
      <c r="M1280" s="24">
        <f>(PROVEEDORES[[#This Row],[SUBTOTAL]]-PROVEEDORES[[#This Row],[descuento antes de IVA]])*VLOOKUP(PROVEEDORES[[#This Row],[PROVEEDOR]],TERCEROS_INFO[#All],3,FALSE)</f>
        <v>0</v>
      </c>
      <c r="N1280" s="25"/>
      <c r="O1280" s="24">
        <f>+PROVEEDORES[[#This Row],[Descuento sobre subtotal %]]*(PROVEEDORES[[#This Row],[SUBTOTAL]]-PROVEEDORES[[#This Row],[descuento antes de IVA]])</f>
        <v>0</v>
      </c>
      <c r="P1280" s="136">
        <f>+IF(PROVEEDORES[[#This Row],[SUBTOTAL]]&lt;PROVEEDORES[[#This Row],[base retencion]],0,PROVEEDORES[[#This Row],[retención aplicada]])</f>
        <v>0</v>
      </c>
      <c r="Q1280" s="24">
        <f>+PROVEEDORES[[#This Row],[Rete Fuente %]]*PROVEEDORES[[#This Row],[SUBTOTAL]]</f>
        <v>0</v>
      </c>
      <c r="R1280" s="23">
        <f>+PROVEEDORES[[#This Row],[SUBTOTAL]]+PROVEEDORES[[#This Row],[IVA 19%]]-PROVEEDORES[[#This Row],[descuento antes de IVA]]-PROVEEDORES[[#This Row],[Descuento sobre subtotal $]]-PROVEEDORES[[#This Row],[Rete Fuente $]]</f>
        <v>710000</v>
      </c>
      <c r="S1280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280" s="99">
        <f ca="1">IF(PROVEEDORES[[#This Row],[FECHA DE PAGO]]=0,TODAY()-PROVEEDORES[[#This Row],[FECHA DE FACTURACIÓN]]-PROVEEDORES[[#This Row],[PLAZO Días]],0)</f>
        <v>47</v>
      </c>
      <c r="U1280" s="149">
        <f>+VLOOKUP(PROVEEDORES[[#This Row],[PROVEEDOR]],Terceros!$A:$E,5,FALSE)</f>
        <v>0</v>
      </c>
      <c r="V1280" s="150">
        <f>+YEAR(PROVEEDORES[[#This Row],[FECHA DE FACTURACIÓN]])</f>
        <v>2022</v>
      </c>
      <c r="W1280" s="150">
        <f>+MATCH(PROVEEDORES[[#This Row],[año facturado]],Retenciones!$1:$1,0)</f>
        <v>5</v>
      </c>
      <c r="X1280" s="151">
        <f>+VLOOKUP(PROVEEDORES[[#This Row],[ID RETENCION]],Retenciones!$A$1:$O$24,PROVEEDORES[[#This Row],[indicador de columna]],FALSE)</f>
        <v>0</v>
      </c>
      <c r="Y1280" s="152">
        <f>+VLOOKUP(PROVEEDORES[[#This Row],[ID RETENCION]],Retenciones!$A$1:$O$24,2,FALSE)</f>
        <v>0</v>
      </c>
      <c r="Z1280" s="26"/>
      <c r="AA1280" s="26"/>
      <c r="AB1280" s="26"/>
      <c r="AC1280" s="26"/>
      <c r="AD1280" s="26"/>
      <c r="AE1280" s="26"/>
    </row>
    <row r="1281" spans="1:31" ht="21.95" customHeight="1" x14ac:dyDescent="0.25">
      <c r="A1281" s="97" t="str">
        <f>+IF(PROVEEDORES[[#This Row],[FECHA DE PAGO]]=PROVEEDORES[[#This Row],[FECHA DE FACTURACIÓN]],"DE CONTADO","CRÉDITO")</f>
        <v>CRÉDITO</v>
      </c>
      <c r="B1281" s="41" t="str">
        <f>+IF((PROVEEDORES[[#This Row],[FECHA DE PAGO]]-PROVEEDORES[[#This Row],[FECHA DE FACTURACIÓN]])&gt;PROVEEDORES[[#This Row],[PLAZO Días]],"PAGO VENCIDO")</f>
        <v>PAGO VENCIDO</v>
      </c>
      <c r="C1281" s="22">
        <f>+VLOOKUP(PROVEEDORES[[#This Row],[PROVEEDOR]],TERCEROS_INFO[#All],2,FALSE)</f>
        <v>30</v>
      </c>
      <c r="D1281" s="27">
        <f>+SUMIFS(PROVEEDORES[Total],PROVEEDORES[PROVEEDOR],PROVEEDORES[[#This Row],[PROVEEDOR]],PROVEEDORES[FECHA DE PAGO],"")</f>
        <v>833999.83799999999</v>
      </c>
      <c r="E1281" s="27"/>
      <c r="F1281" s="62" t="str">
        <f>+VLOOKUP(PROVEEDORES[[#This Row],[PROVEEDOR]],
                       Terceros!$A:$G,
                       6,
                       FALSE)</f>
        <v>juan.suarez@cosostenible.com;girlesa.ruiz@servipilas.com;joriescobar64@gmail.com</v>
      </c>
      <c r="G1281" s="95">
        <v>44642</v>
      </c>
      <c r="H1281" s="28" t="s">
        <v>50</v>
      </c>
      <c r="I1281" s="95">
        <v>44610</v>
      </c>
      <c r="J1281" s="38">
        <v>6049</v>
      </c>
      <c r="K1281" s="23">
        <v>840336</v>
      </c>
      <c r="L1281" s="23"/>
      <c r="M1281" s="24">
        <v>159663.84</v>
      </c>
      <c r="N1281" s="25"/>
      <c r="O1281" s="24">
        <v>0</v>
      </c>
      <c r="P1281" s="136">
        <f>+IF(PROVEEDORES[[#This Row],[SUBTOTAL]]&lt;PROVEEDORES[[#This Row],[base retencion]],0,PROVEEDORES[[#This Row],[retención aplicada]])</f>
        <v>0</v>
      </c>
      <c r="Q1281" s="24">
        <f>+PROVEEDORES[[#This Row],[Rete Fuente %]]*PROVEEDORES[[#This Row],[SUBTOTAL]]</f>
        <v>0</v>
      </c>
      <c r="R1281" s="23">
        <v>999999.84</v>
      </c>
      <c r="S128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1" s="99">
        <f ca="1">IF(PROVEEDORES[[#This Row],[FECHA DE PAGO]]=0,TODAY()-PROVEEDORES[[#This Row],[FECHA DE FACTURACIÓN]]-PROVEEDORES[[#This Row],[PLAZO Días]],0)</f>
        <v>0</v>
      </c>
      <c r="U1281" s="149" t="str">
        <f>+VLOOKUP(PROVEEDORES[[#This Row],[PROVEEDOR]],Terceros!$A:$E,5,FALSE)</f>
        <v>2,5% con base</v>
      </c>
      <c r="V1281" s="150">
        <f>+YEAR(PROVEEDORES[[#This Row],[FECHA DE FACTURACIÓN]])</f>
        <v>2022</v>
      </c>
      <c r="W1281" s="150">
        <f>+MATCH(PROVEEDORES[[#This Row],[año facturado]],Retenciones!$1:$1,0)</f>
        <v>5</v>
      </c>
      <c r="X1281" s="151">
        <f>+VLOOKUP(PROVEEDORES[[#This Row],[ID RETENCION]],Retenciones!$A$1:$O$24,PROVEEDORES[[#This Row],[indicador de columna]],FALSE)</f>
        <v>1026000</v>
      </c>
      <c r="Y1281" s="152">
        <f>+VLOOKUP(PROVEEDORES[[#This Row],[ID RETENCION]],Retenciones!$A$1:$O$24,2,FALSE)</f>
        <v>2.5000000000000001E-2</v>
      </c>
      <c r="Z1281" s="26"/>
      <c r="AA1281" s="26"/>
      <c r="AB1281" s="26"/>
      <c r="AC1281" s="26"/>
      <c r="AD1281" s="26"/>
      <c r="AE1281" s="26"/>
    </row>
    <row r="1282" spans="1:31" ht="21.95" customHeight="1" x14ac:dyDescent="0.25">
      <c r="A1282" s="97" t="str">
        <f>+IF(PROVEEDORES[[#This Row],[FECHA DE PAGO]]=PROVEEDORES[[#This Row],[FECHA DE FACTURACIÓN]],"DE CONTADO","CRÉDITO")</f>
        <v>CRÉDITO</v>
      </c>
      <c r="B1282" s="41" t="str">
        <f>+IF((PROVEEDORES[[#This Row],[FECHA DE PAGO]]-PROVEEDORES[[#This Row],[FECHA DE FACTURACIÓN]])&gt;PROVEEDORES[[#This Row],[PLAZO Días]],"PAGO VENCIDO")</f>
        <v>PAGO VENCIDO</v>
      </c>
      <c r="C1282" s="22">
        <f>+VLOOKUP(PROVEEDORES[[#This Row],[PROVEEDOR]],TERCEROS_INFO[#All],2,FALSE)</f>
        <v>30</v>
      </c>
      <c r="D1282" s="27">
        <f>+SUMIFS(PROVEEDORES[Total],PROVEEDORES[PROVEEDOR],PROVEEDORES[[#This Row],[PROVEEDOR]],PROVEEDORES[FECHA DE PAGO],"")</f>
        <v>1979529.3</v>
      </c>
      <c r="E1282" s="27"/>
      <c r="F1282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1282" s="95">
        <v>44642</v>
      </c>
      <c r="H1282" s="28" t="s">
        <v>17</v>
      </c>
      <c r="I1282" s="95">
        <v>44610</v>
      </c>
      <c r="J1282" s="38">
        <v>1878591</v>
      </c>
      <c r="K1282" s="23">
        <v>1415605.8</v>
      </c>
      <c r="L1282" s="23"/>
      <c r="M1282" s="24">
        <v>0</v>
      </c>
      <c r="N1282" s="25"/>
      <c r="O1282" s="24">
        <v>0</v>
      </c>
      <c r="P1282" s="136">
        <f>+IF(PROVEEDORES[[#This Row],[SUBTOTAL]]&lt;PROVEEDORES[[#This Row],[base retencion]],0,PROVEEDORES[[#This Row],[retención aplicada]])</f>
        <v>0</v>
      </c>
      <c r="Q1282" s="24">
        <f>+PROVEEDORES[[#This Row],[Rete Fuente %]]*PROVEEDORES[[#This Row],[SUBTOTAL]]</f>
        <v>0</v>
      </c>
      <c r="R1282" s="23">
        <v>1415605.8</v>
      </c>
      <c r="S128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2" s="99">
        <f ca="1">IF(PROVEEDORES[[#This Row],[FECHA DE PAGO]]=0,TODAY()-PROVEEDORES[[#This Row],[FECHA DE FACTURACIÓN]]-PROVEEDORES[[#This Row],[PLAZO Días]],0)</f>
        <v>0</v>
      </c>
      <c r="U1282" s="149">
        <f>+VLOOKUP(PROVEEDORES[[#This Row],[PROVEEDOR]],Terceros!$A:$E,5,FALSE)</f>
        <v>0</v>
      </c>
      <c r="V1282" s="150">
        <f>+YEAR(PROVEEDORES[[#This Row],[FECHA DE FACTURACIÓN]])</f>
        <v>2022</v>
      </c>
      <c r="W1282" s="150">
        <f>+MATCH(PROVEEDORES[[#This Row],[año facturado]],Retenciones!$1:$1,0)</f>
        <v>5</v>
      </c>
      <c r="X1282" s="151">
        <f>+VLOOKUP(PROVEEDORES[[#This Row],[ID RETENCION]],Retenciones!$A$1:$O$24,PROVEEDORES[[#This Row],[indicador de columna]],FALSE)</f>
        <v>0</v>
      </c>
      <c r="Y1282" s="152">
        <f>+VLOOKUP(PROVEEDORES[[#This Row],[ID RETENCION]],Retenciones!$A$1:$O$24,2,FALSE)</f>
        <v>0</v>
      </c>
      <c r="Z1282" s="26"/>
      <c r="AA1282" s="26"/>
      <c r="AB1282" s="26"/>
      <c r="AC1282" s="26"/>
      <c r="AD1282" s="26"/>
      <c r="AE1282" s="26"/>
    </row>
    <row r="1283" spans="1:31" ht="21.95" customHeight="1" x14ac:dyDescent="0.25">
      <c r="A1283" s="97" t="str">
        <f>+IF(PROVEEDORES[[#This Row],[FECHA DE PAGO]]=PROVEEDORES[[#This Row],[FECHA DE FACTURACIÓN]],"DE CONTADO","CRÉDITO")</f>
        <v>CRÉDITO</v>
      </c>
      <c r="B1283" s="41" t="str">
        <f>+IF((PROVEEDORES[[#This Row],[FECHA DE PAGO]]-PROVEEDORES[[#This Row],[FECHA DE FACTURACIÓN]])&gt;PROVEEDORES[[#This Row],[PLAZO Días]],"PAGO VENCIDO")</f>
        <v>PAGO VENCIDO</v>
      </c>
      <c r="C1283" s="22">
        <f>+VLOOKUP(PROVEEDORES[[#This Row],[PROVEEDOR]],TERCEROS_INFO[#All],2,FALSE)</f>
        <v>30</v>
      </c>
      <c r="D1283" s="27">
        <f>+SUMIFS(PROVEEDORES[Total],PROVEEDORES[PROVEEDOR],PROVEEDORES[[#This Row],[PROVEEDOR]],PROVEEDORES[FECHA DE PAGO],"")</f>
        <v>3844432.4999000002</v>
      </c>
      <c r="E1283" s="27"/>
      <c r="F1283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1283" s="95">
        <v>44652</v>
      </c>
      <c r="H1283" s="28" t="s">
        <v>18</v>
      </c>
      <c r="I1283" s="95">
        <v>44610</v>
      </c>
      <c r="J1283" s="38">
        <v>1050001</v>
      </c>
      <c r="K1283" s="23">
        <v>545207</v>
      </c>
      <c r="L1283" s="23"/>
      <c r="M1283" s="24">
        <v>103589.33</v>
      </c>
      <c r="N1283" s="25"/>
      <c r="O1283" s="24">
        <v>0</v>
      </c>
      <c r="P1283" s="136">
        <f>+IF(PROVEEDORES[[#This Row],[SUBTOTAL]]&lt;PROVEEDORES[[#This Row],[base retencion]],0,PROVEEDORES[[#This Row],[retención aplicada]])</f>
        <v>0</v>
      </c>
      <c r="Q1283" s="24">
        <f>+PROVEEDORES[[#This Row],[Rete Fuente %]]*PROVEEDORES[[#This Row],[SUBTOTAL]]</f>
        <v>0</v>
      </c>
      <c r="R1283" s="23">
        <v>648796.32999999996</v>
      </c>
      <c r="S128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3" s="99">
        <f ca="1">IF(PROVEEDORES[[#This Row],[FECHA DE PAGO]]=0,TODAY()-PROVEEDORES[[#This Row],[FECHA DE FACTURACIÓN]]-PROVEEDORES[[#This Row],[PLAZO Días]],0)</f>
        <v>0</v>
      </c>
      <c r="U1283" s="149" t="str">
        <f>+VLOOKUP(PROVEEDORES[[#This Row],[PROVEEDOR]],Terceros!$A:$E,5,FALSE)</f>
        <v>2,5% con base</v>
      </c>
      <c r="V1283" s="150">
        <f>+YEAR(PROVEEDORES[[#This Row],[FECHA DE FACTURACIÓN]])</f>
        <v>2022</v>
      </c>
      <c r="W1283" s="150">
        <f>+MATCH(PROVEEDORES[[#This Row],[año facturado]],Retenciones!$1:$1,0)</f>
        <v>5</v>
      </c>
      <c r="X1283" s="151">
        <f>+VLOOKUP(PROVEEDORES[[#This Row],[ID RETENCION]],Retenciones!$A$1:$O$24,PROVEEDORES[[#This Row],[indicador de columna]],FALSE)</f>
        <v>1026000</v>
      </c>
      <c r="Y1283" s="152">
        <f>+VLOOKUP(PROVEEDORES[[#This Row],[ID RETENCION]],Retenciones!$A$1:$O$24,2,FALSE)</f>
        <v>2.5000000000000001E-2</v>
      </c>
      <c r="Z1283" s="26"/>
      <c r="AA1283" s="26"/>
      <c r="AB1283" s="26"/>
      <c r="AC1283" s="26"/>
      <c r="AD1283" s="26"/>
      <c r="AE1283" s="26"/>
    </row>
    <row r="1284" spans="1:31" ht="21.95" customHeight="1" x14ac:dyDescent="0.25">
      <c r="A1284" s="97" t="str">
        <f>+IF(PROVEEDORES[[#This Row],[FECHA DE PAGO]]=PROVEEDORES[[#This Row],[FECHA DE FACTURACIÓN]],"DE CONTADO","CRÉDITO")</f>
        <v>CRÉDITO</v>
      </c>
      <c r="B1284" s="41" t="b">
        <f>+IF((PROVEEDORES[[#This Row],[FECHA DE PAGO]]-PROVEEDORES[[#This Row],[FECHA DE FACTURACIÓN]])&gt;PROVEEDORES[[#This Row],[PLAZO Días]],"PAGO VENCIDO")</f>
        <v>0</v>
      </c>
      <c r="C1284" s="22">
        <f>+VLOOKUP(PROVEEDORES[[#This Row],[PROVEEDOR]],TERCEROS_INFO[#All],2,FALSE)</f>
        <v>30</v>
      </c>
      <c r="D1284" s="27">
        <f>+SUMIFS(PROVEEDORES[Total],PROVEEDORES[PROVEEDOR],PROVEEDORES[[#This Row],[PROVEEDOR]],PROVEEDORES[FECHA DE PAGO],"")</f>
        <v>0</v>
      </c>
      <c r="E1284" s="27"/>
      <c r="F1284" s="62" t="str">
        <f>+VLOOKUP(PROVEEDORES[[#This Row],[PROVEEDOR]],
                       Terceros!$A:$G,
                       6,
                       FALSE)</f>
        <v/>
      </c>
      <c r="G1284" s="95">
        <v>44580</v>
      </c>
      <c r="H1284" s="28" t="s">
        <v>1069</v>
      </c>
      <c r="I1284" s="95">
        <v>44610</v>
      </c>
      <c r="J1284" s="38" t="s">
        <v>1070</v>
      </c>
      <c r="K1284" s="23">
        <v>2516240</v>
      </c>
      <c r="L1284" s="23"/>
      <c r="M1284" s="24">
        <v>0</v>
      </c>
      <c r="N1284" s="25"/>
      <c r="O1284" s="24">
        <v>0</v>
      </c>
      <c r="P1284" s="136">
        <f>+IF(PROVEEDORES[[#This Row],[SUBTOTAL]]&lt;PROVEEDORES[[#This Row],[base retencion]],0,PROVEEDORES[[#This Row],[retención aplicada]])</f>
        <v>0</v>
      </c>
      <c r="Q1284" s="24">
        <f>+PROVEEDORES[[#This Row],[Rete Fuente %]]*PROVEEDORES[[#This Row],[SUBTOTAL]]</f>
        <v>0</v>
      </c>
      <c r="R1284" s="23">
        <v>2516240</v>
      </c>
      <c r="S128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4" s="99">
        <f ca="1">IF(PROVEEDORES[[#This Row],[FECHA DE PAGO]]=0,TODAY()-PROVEEDORES[[#This Row],[FECHA DE FACTURACIÓN]]-PROVEEDORES[[#This Row],[PLAZO Días]],0)</f>
        <v>0</v>
      </c>
      <c r="U1284" s="149">
        <f>+VLOOKUP(PROVEEDORES[[#This Row],[PROVEEDOR]],Terceros!$A:$E,5,FALSE)</f>
        <v>0</v>
      </c>
      <c r="V1284" s="150">
        <f>+YEAR(PROVEEDORES[[#This Row],[FECHA DE FACTURACIÓN]])</f>
        <v>2022</v>
      </c>
      <c r="W1284" s="150">
        <f>+MATCH(PROVEEDORES[[#This Row],[año facturado]],Retenciones!$1:$1,0)</f>
        <v>5</v>
      </c>
      <c r="X1284" s="151">
        <f>+VLOOKUP(PROVEEDORES[[#This Row],[ID RETENCION]],Retenciones!$A$1:$O$24,PROVEEDORES[[#This Row],[indicador de columna]],FALSE)</f>
        <v>0</v>
      </c>
      <c r="Y1284" s="152">
        <f>+VLOOKUP(PROVEEDORES[[#This Row],[ID RETENCION]],Retenciones!$A$1:$O$24,2,FALSE)</f>
        <v>0</v>
      </c>
      <c r="Z1284" s="26"/>
      <c r="AA1284" s="26"/>
      <c r="AB1284" s="26"/>
      <c r="AC1284" s="26"/>
      <c r="AD1284" s="26"/>
      <c r="AE1284" s="26"/>
    </row>
    <row r="1285" spans="1:31" ht="21.95" customHeight="1" x14ac:dyDescent="0.25">
      <c r="A1285" s="97" t="str">
        <f>+IF(PROVEEDORES[[#This Row],[FECHA DE PAGO]]=PROVEEDORES[[#This Row],[FECHA DE FACTURACIÓN]],"DE CONTADO","CRÉDITO")</f>
        <v>CRÉDITO</v>
      </c>
      <c r="B1285" s="41" t="str">
        <f>+IF((PROVEEDORES[[#This Row],[FECHA DE PAGO]]-PROVEEDORES[[#This Row],[FECHA DE FACTURACIÓN]])&gt;PROVEEDORES[[#This Row],[PLAZO Días]],"PAGO VENCIDO")</f>
        <v>PAGO VENCIDO</v>
      </c>
      <c r="C1285" s="22">
        <f>+VLOOKUP(PROVEEDORES[[#This Row],[PROVEEDOR]],TERCEROS_INFO[#All],2,FALSE)</f>
        <v>30</v>
      </c>
      <c r="D1285" s="27">
        <f>+SUMIFS(PROVEEDORES[Total],PROVEEDORES[PROVEEDOR],PROVEEDORES[[#This Row],[PROVEEDOR]],PROVEEDORES[FECHA DE PAGO],"")</f>
        <v>2588352.5</v>
      </c>
      <c r="E1285" s="27"/>
      <c r="F1285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1285" s="95">
        <v>44684</v>
      </c>
      <c r="H1285" s="28" t="s">
        <v>1088</v>
      </c>
      <c r="I1285" s="95">
        <v>44610</v>
      </c>
      <c r="J1285" s="38">
        <v>24751</v>
      </c>
      <c r="K1285" s="23">
        <v>1656000</v>
      </c>
      <c r="L1285" s="23"/>
      <c r="M1285" s="24">
        <f>(PROVEEDORES[[#This Row],[SUBTOTAL]]-PROVEEDORES[[#This Row],[descuento antes de IVA]])*VLOOKUP(PROVEEDORES[[#This Row],[PROVEEDOR]],TERCEROS_INFO[#All],3,FALSE)</f>
        <v>314640</v>
      </c>
      <c r="N1285" s="25"/>
      <c r="O1285" s="24">
        <f>+PROVEEDORES[[#This Row],[Descuento sobre subtotal %]]*(PROVEEDORES[[#This Row],[SUBTOTAL]]-PROVEEDORES[[#This Row],[descuento antes de IVA]])</f>
        <v>0</v>
      </c>
      <c r="P1285" s="136">
        <f>+IF(PROVEEDORES[[#This Row],[SUBTOTAL]]&lt;PROVEEDORES[[#This Row],[base retencion]],0,PROVEEDORES[[#This Row],[retención aplicada]])</f>
        <v>2.5000000000000001E-2</v>
      </c>
      <c r="Q1285" s="24">
        <f>+PROVEEDORES[[#This Row],[Rete Fuente %]]*PROVEEDORES[[#This Row],[SUBTOTAL]]</f>
        <v>41400</v>
      </c>
      <c r="R1285" s="23">
        <f>+PROVEEDORES[[#This Row],[SUBTOTAL]]+PROVEEDORES[[#This Row],[IVA 19%]]-PROVEEDORES[[#This Row],[descuento antes de IVA]]-PROVEEDORES[[#This Row],[Descuento sobre subtotal $]]-PROVEEDORES[[#This Row],[Rete Fuente $]]</f>
        <v>1929240</v>
      </c>
      <c r="S128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5" s="99">
        <f ca="1">IF(PROVEEDORES[[#This Row],[FECHA DE PAGO]]=0,TODAY()-PROVEEDORES[[#This Row],[FECHA DE FACTURACIÓN]]-PROVEEDORES[[#This Row],[PLAZO Días]],0)</f>
        <v>0</v>
      </c>
      <c r="U1285" s="149" t="str">
        <f>+VLOOKUP(PROVEEDORES[[#This Row],[PROVEEDOR]],Terceros!$A:$E,5,FALSE)</f>
        <v>2,5% con base</v>
      </c>
      <c r="V1285" s="150">
        <f>+YEAR(PROVEEDORES[[#This Row],[FECHA DE FACTURACIÓN]])</f>
        <v>2022</v>
      </c>
      <c r="W1285" s="150">
        <f>+MATCH(PROVEEDORES[[#This Row],[año facturado]],Retenciones!$1:$1,0)</f>
        <v>5</v>
      </c>
      <c r="X1285" s="151">
        <f>+VLOOKUP(PROVEEDORES[[#This Row],[ID RETENCION]],Retenciones!$A$1:$O$24,PROVEEDORES[[#This Row],[indicador de columna]],FALSE)</f>
        <v>1026000</v>
      </c>
      <c r="Y1285" s="152">
        <f>+VLOOKUP(PROVEEDORES[[#This Row],[ID RETENCION]],Retenciones!$A$1:$O$24,2,FALSE)</f>
        <v>2.5000000000000001E-2</v>
      </c>
      <c r="Z1285" s="26"/>
      <c r="AA1285" s="26"/>
      <c r="AB1285" s="26"/>
      <c r="AC1285" s="26"/>
      <c r="AD1285" s="26"/>
      <c r="AE1285" s="26"/>
    </row>
    <row r="1286" spans="1:31" ht="21.95" customHeight="1" x14ac:dyDescent="0.25">
      <c r="A1286" s="97" t="str">
        <f>+IF(PROVEEDORES[[#This Row],[FECHA DE PAGO]]=PROVEEDORES[[#This Row],[FECHA DE FACTURACIÓN]],"DE CONTADO","CRÉDITO")</f>
        <v>CRÉDITO</v>
      </c>
      <c r="B1286" s="41" t="b">
        <f>+IF((PROVEEDORES[[#This Row],[FECHA DE PAGO]]-PROVEEDORES[[#This Row],[FECHA DE FACTURACIÓN]])&gt;PROVEEDORES[[#This Row],[PLAZO Días]],"PAGO VENCIDO")</f>
        <v>0</v>
      </c>
      <c r="C1286" s="22">
        <f>+VLOOKUP(PROVEEDORES[[#This Row],[PROVEEDOR]],TERCEROS_INFO[#All],2,FALSE)</f>
        <v>30</v>
      </c>
      <c r="D1286" s="27">
        <f>+SUMIFS(PROVEEDORES[Total],PROVEEDORES[PROVEEDOR],PROVEEDORES[[#This Row],[PROVEEDOR]],PROVEEDORES[FECHA DE PAGO],"")</f>
        <v>390000</v>
      </c>
      <c r="E1286" s="27"/>
      <c r="F1286" s="62">
        <f>+VLOOKUP(PROVEEDORES[[#This Row],[PROVEEDOR]],
                       Terceros!$A:$G,
                       6,
                       FALSE)</f>
        <v>0</v>
      </c>
      <c r="G1286" s="95">
        <v>44623</v>
      </c>
      <c r="H1286" s="28" t="s">
        <v>1080</v>
      </c>
      <c r="I1286" s="95">
        <v>44611</v>
      </c>
      <c r="J1286" s="38" t="s">
        <v>1082</v>
      </c>
      <c r="K1286" s="23">
        <v>637000</v>
      </c>
      <c r="L1286" s="23"/>
      <c r="M1286" s="24">
        <v>0</v>
      </c>
      <c r="N1286" s="25"/>
      <c r="O1286" s="24">
        <v>0</v>
      </c>
      <c r="P1286" s="136">
        <f>+IF(PROVEEDORES[[#This Row],[SUBTOTAL]]&lt;PROVEEDORES[[#This Row],[base retencion]],0,PROVEEDORES[[#This Row],[retención aplicada]])</f>
        <v>0</v>
      </c>
      <c r="Q1286" s="24">
        <f>+PROVEEDORES[[#This Row],[Rete Fuente %]]*PROVEEDORES[[#This Row],[SUBTOTAL]]</f>
        <v>0</v>
      </c>
      <c r="R1286" s="23">
        <v>637000</v>
      </c>
      <c r="S128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6" s="99">
        <f ca="1">IF(PROVEEDORES[[#This Row],[FECHA DE PAGO]]=0,TODAY()-PROVEEDORES[[#This Row],[FECHA DE FACTURACIÓN]]-PROVEEDORES[[#This Row],[PLAZO Días]],0)</f>
        <v>0</v>
      </c>
      <c r="U1286" s="149">
        <f>+VLOOKUP(PROVEEDORES[[#This Row],[PROVEEDOR]],Terceros!$A:$E,5,FALSE)</f>
        <v>0</v>
      </c>
      <c r="V1286" s="150">
        <f>+YEAR(PROVEEDORES[[#This Row],[FECHA DE FACTURACIÓN]])</f>
        <v>2022</v>
      </c>
      <c r="W1286" s="150">
        <f>+MATCH(PROVEEDORES[[#This Row],[año facturado]],Retenciones!$1:$1,0)</f>
        <v>5</v>
      </c>
      <c r="X1286" s="151">
        <f>+VLOOKUP(PROVEEDORES[[#This Row],[ID RETENCION]],Retenciones!$A$1:$O$24,PROVEEDORES[[#This Row],[indicador de columna]],FALSE)</f>
        <v>0</v>
      </c>
      <c r="Y1286" s="152">
        <f>+VLOOKUP(PROVEEDORES[[#This Row],[ID RETENCION]],Retenciones!$A$1:$O$24,2,FALSE)</f>
        <v>0</v>
      </c>
      <c r="Z1286" s="26"/>
      <c r="AA1286" s="26"/>
      <c r="AB1286" s="26"/>
      <c r="AC1286" s="26"/>
      <c r="AD1286" s="26"/>
      <c r="AE1286" s="26"/>
    </row>
    <row r="1287" spans="1:31" ht="21.95" customHeight="1" x14ac:dyDescent="0.25">
      <c r="A1287" s="97" t="str">
        <f>+IF(PROVEEDORES[[#This Row],[FECHA DE PAGO]]=PROVEEDORES[[#This Row],[FECHA DE FACTURACIÓN]],"DE CONTADO","CRÉDITO")</f>
        <v>CRÉDITO</v>
      </c>
      <c r="B1287" s="41" t="str">
        <f>+IF((PROVEEDORES[[#This Row],[FECHA DE PAGO]]-PROVEEDORES[[#This Row],[FECHA DE FACTURACIÓN]])&gt;PROVEEDORES[[#This Row],[PLAZO Días]],"PAGO VENCIDO")</f>
        <v>PAGO VENCIDO</v>
      </c>
      <c r="C1287" s="22">
        <f>+VLOOKUP(PROVEEDORES[[#This Row],[PROVEEDOR]],TERCEROS_INFO[#All],2,FALSE)</f>
        <v>30</v>
      </c>
      <c r="D1287" s="27">
        <f>+SUMIFS(PROVEEDORES[Total],PROVEEDORES[PROVEEDOR],PROVEEDORES[[#This Row],[PROVEEDOR]],PROVEEDORES[FECHA DE PAGO],"")</f>
        <v>192000.0264</v>
      </c>
      <c r="E1287" s="27"/>
      <c r="F1287" s="62" t="str">
        <f>+VLOOKUP(PROVEEDORES[[#This Row],[PROVEEDOR]],
                       Terceros!$A:$G,
                       6,
                       FALSE)</f>
        <v>Tuspilas.co@gmail.com;girlesa.ruiz@servipilas.com;joriescobar64@gmail.com</v>
      </c>
      <c r="G1287" s="95">
        <v>44648</v>
      </c>
      <c r="H1287" s="28" t="s">
        <v>43</v>
      </c>
      <c r="I1287" s="95">
        <v>44613</v>
      </c>
      <c r="J1287" s="38" t="s">
        <v>1163</v>
      </c>
      <c r="K1287" s="23">
        <v>1575633.5</v>
      </c>
      <c r="L1287" s="23"/>
      <c r="M1287" s="24">
        <v>299370.36499999999</v>
      </c>
      <c r="N1287" s="25"/>
      <c r="O1287" s="24">
        <v>0</v>
      </c>
      <c r="P1287" s="136">
        <f>+IF(PROVEEDORES[[#This Row],[SUBTOTAL]]&lt;PROVEEDORES[[#This Row],[base retencion]],0,PROVEEDORES[[#This Row],[retención aplicada]])</f>
        <v>2.5000000000000001E-2</v>
      </c>
      <c r="Q1287" s="24">
        <f>+PROVEEDORES[[#This Row],[Rete Fuente %]]*PROVEEDORES[[#This Row],[SUBTOTAL]]</f>
        <v>39390.837500000001</v>
      </c>
      <c r="R1287" s="23">
        <v>1835613.0275000001</v>
      </c>
      <c r="S128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7" s="99">
        <f ca="1">IF(PROVEEDORES[[#This Row],[FECHA DE PAGO]]=0,TODAY()-PROVEEDORES[[#This Row],[FECHA DE FACTURACIÓN]]-PROVEEDORES[[#This Row],[PLAZO Días]],0)</f>
        <v>0</v>
      </c>
      <c r="U1287" s="149" t="str">
        <f>+VLOOKUP(PROVEEDORES[[#This Row],[PROVEEDOR]],Terceros!$A:$E,5,FALSE)</f>
        <v>2,5% con base</v>
      </c>
      <c r="V1287" s="150">
        <f>+YEAR(PROVEEDORES[[#This Row],[FECHA DE FACTURACIÓN]])</f>
        <v>2022</v>
      </c>
      <c r="W1287" s="150">
        <f>+MATCH(PROVEEDORES[[#This Row],[año facturado]],Retenciones!$1:$1,0)</f>
        <v>5</v>
      </c>
      <c r="X1287" s="151">
        <f>+VLOOKUP(PROVEEDORES[[#This Row],[ID RETENCION]],Retenciones!$A$1:$O$24,PROVEEDORES[[#This Row],[indicador de columna]],FALSE)</f>
        <v>1026000</v>
      </c>
      <c r="Y1287" s="152">
        <f>+VLOOKUP(PROVEEDORES[[#This Row],[ID RETENCION]],Retenciones!$A$1:$O$24,2,FALSE)</f>
        <v>2.5000000000000001E-2</v>
      </c>
      <c r="Z1287" s="26"/>
      <c r="AA1287" s="26"/>
      <c r="AB1287" s="26"/>
      <c r="AC1287" s="26"/>
      <c r="AD1287" s="26"/>
      <c r="AE1287" s="26"/>
    </row>
    <row r="1288" spans="1:31" ht="21.95" customHeight="1" x14ac:dyDescent="0.25">
      <c r="A1288" s="97" t="str">
        <f>+IF(PROVEEDORES[[#This Row],[FECHA DE PAGO]]=PROVEEDORES[[#This Row],[FECHA DE FACTURACIÓN]],"DE CONTADO","CRÉDITO")</f>
        <v>CRÉDITO</v>
      </c>
      <c r="B1288" s="41" t="b">
        <f>+IF((PROVEEDORES[[#This Row],[FECHA DE PAGO]]-PROVEEDORES[[#This Row],[FECHA DE FACTURACIÓN]])&gt;PROVEEDORES[[#This Row],[PLAZO Días]],"PAGO VENCIDO")</f>
        <v>0</v>
      </c>
      <c r="C1288" s="22">
        <f>+VLOOKUP(PROVEEDORES[[#This Row],[PROVEEDOR]],TERCEROS_INFO[#All],2,FALSE)</f>
        <v>30</v>
      </c>
      <c r="D1288" s="27">
        <f>+SUMIFS(PROVEEDORES[Total],PROVEEDORES[PROVEEDOR],PROVEEDORES[[#This Row],[PROVEEDOR]],PROVEEDORES[FECHA DE PAGO],"")</f>
        <v>2588352.5</v>
      </c>
      <c r="E1288" s="27"/>
      <c r="F1288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1288" s="95">
        <v>44635</v>
      </c>
      <c r="H1288" s="28" t="s">
        <v>1088</v>
      </c>
      <c r="I1288" s="95">
        <v>44614</v>
      </c>
      <c r="J1288" s="38" t="s">
        <v>1147</v>
      </c>
      <c r="K1288" s="23">
        <v>-258607</v>
      </c>
      <c r="L1288" s="23"/>
      <c r="M1288" s="24">
        <v>0</v>
      </c>
      <c r="N1288" s="25"/>
      <c r="O1288" s="24">
        <v>0</v>
      </c>
      <c r="P1288" s="136">
        <f>+IF(PROVEEDORES[[#This Row],[SUBTOTAL]]&lt;PROVEEDORES[[#This Row],[base retencion]],0,PROVEEDORES[[#This Row],[retención aplicada]])</f>
        <v>0</v>
      </c>
      <c r="Q1288" s="24">
        <f>+PROVEEDORES[[#This Row],[Rete Fuente %]]*PROVEEDORES[[#This Row],[SUBTOTAL]]</f>
        <v>0</v>
      </c>
      <c r="R1288" s="23">
        <v>-258607</v>
      </c>
      <c r="S128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8" s="99">
        <f ca="1">IF(PROVEEDORES[[#This Row],[FECHA DE PAGO]]=0,TODAY()-PROVEEDORES[[#This Row],[FECHA DE FACTURACIÓN]]-PROVEEDORES[[#This Row],[PLAZO Días]],0)</f>
        <v>0</v>
      </c>
      <c r="U1288" s="149" t="str">
        <f>+VLOOKUP(PROVEEDORES[[#This Row],[PROVEEDOR]],Terceros!$A:$E,5,FALSE)</f>
        <v>2,5% con base</v>
      </c>
      <c r="V1288" s="150">
        <f>+YEAR(PROVEEDORES[[#This Row],[FECHA DE FACTURACIÓN]])</f>
        <v>2022</v>
      </c>
      <c r="W1288" s="150">
        <f>+MATCH(PROVEEDORES[[#This Row],[año facturado]],Retenciones!$1:$1,0)</f>
        <v>5</v>
      </c>
      <c r="X1288" s="151">
        <f>+VLOOKUP(PROVEEDORES[[#This Row],[ID RETENCION]],Retenciones!$A$1:$O$24,PROVEEDORES[[#This Row],[indicador de columna]],FALSE)</f>
        <v>1026000</v>
      </c>
      <c r="Y1288" s="152">
        <f>+VLOOKUP(PROVEEDORES[[#This Row],[ID RETENCION]],Retenciones!$A$1:$O$24,2,FALSE)</f>
        <v>2.5000000000000001E-2</v>
      </c>
      <c r="Z1288" s="26"/>
      <c r="AA1288" s="26"/>
      <c r="AB1288" s="26"/>
      <c r="AC1288" s="26"/>
      <c r="AD1288" s="26"/>
      <c r="AE1288" s="26"/>
    </row>
    <row r="1289" spans="1:31" ht="21.95" customHeight="1" x14ac:dyDescent="0.25">
      <c r="A1289" s="97" t="str">
        <f>+IF(PROVEEDORES[[#This Row],[FECHA DE PAGO]]=PROVEEDORES[[#This Row],[FECHA DE FACTURACIÓN]],"DE CONTADO","CRÉDITO")</f>
        <v>CRÉDITO</v>
      </c>
      <c r="B1289" s="41" t="str">
        <f>+IF((PROVEEDORES[[#This Row],[FECHA DE PAGO]]-PROVEEDORES[[#This Row],[FECHA DE FACTURACIÓN]])&gt;PROVEEDORES[[#This Row],[PLAZO Días]],"PAGO VENCIDO")</f>
        <v>PAGO VENCIDO</v>
      </c>
      <c r="C1289" s="22">
        <f>+VLOOKUP(PROVEEDORES[[#This Row],[PROVEEDOR]],TERCEROS_INFO[#All],2,FALSE)</f>
        <v>30</v>
      </c>
      <c r="D1289" s="27">
        <f>+SUMIFS(PROVEEDORES[Total],PROVEEDORES[PROVEEDOR],PROVEEDORES[[#This Row],[PROVEEDOR]],PROVEEDORES[FECHA DE PAGO],"")</f>
        <v>0</v>
      </c>
      <c r="E1289" s="27"/>
      <c r="F1289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1289" s="95">
        <v>44652</v>
      </c>
      <c r="H1289" s="28" t="s">
        <v>1124</v>
      </c>
      <c r="I1289" s="95">
        <v>44610</v>
      </c>
      <c r="J1289" s="38">
        <v>27516</v>
      </c>
      <c r="K1289" s="23">
        <v>8664000</v>
      </c>
      <c r="L1289" s="23"/>
      <c r="M1289" s="24">
        <v>1646160</v>
      </c>
      <c r="N1289" s="25"/>
      <c r="O1289" s="24">
        <v>0</v>
      </c>
      <c r="P1289" s="136">
        <f>+IF(PROVEEDORES[[#This Row],[SUBTOTAL]]&lt;PROVEEDORES[[#This Row],[base retencion]],0,PROVEEDORES[[#This Row],[retención aplicada]])</f>
        <v>2.5000000000000001E-2</v>
      </c>
      <c r="Q1289" s="24">
        <f>+PROVEEDORES[[#This Row],[Rete Fuente %]]*PROVEEDORES[[#This Row],[SUBTOTAL]]</f>
        <v>216600</v>
      </c>
      <c r="R1289" s="23">
        <v>10093560</v>
      </c>
      <c r="S128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9" s="99">
        <f ca="1">IF(PROVEEDORES[[#This Row],[FECHA DE PAGO]]=0,TODAY()-PROVEEDORES[[#This Row],[FECHA DE FACTURACIÓN]]-PROVEEDORES[[#This Row],[PLAZO Días]],0)</f>
        <v>0</v>
      </c>
      <c r="U1289" s="149" t="str">
        <f>+VLOOKUP(PROVEEDORES[[#This Row],[PROVEEDOR]],Terceros!$A:$E,5,FALSE)</f>
        <v>2,5% con base</v>
      </c>
      <c r="V1289" s="150">
        <f>+YEAR(PROVEEDORES[[#This Row],[FECHA DE FACTURACIÓN]])</f>
        <v>2022</v>
      </c>
      <c r="W1289" s="150">
        <f>+MATCH(PROVEEDORES[[#This Row],[año facturado]],Retenciones!$1:$1,0)</f>
        <v>5</v>
      </c>
      <c r="X1289" s="151">
        <f>+VLOOKUP(PROVEEDORES[[#This Row],[ID RETENCION]],Retenciones!$A$1:$O$24,PROVEEDORES[[#This Row],[indicador de columna]],FALSE)</f>
        <v>1026000</v>
      </c>
      <c r="Y1289" s="152">
        <f>+VLOOKUP(PROVEEDORES[[#This Row],[ID RETENCION]],Retenciones!$A$1:$O$24,2,FALSE)</f>
        <v>2.5000000000000001E-2</v>
      </c>
      <c r="Z1289" s="26"/>
      <c r="AA1289" s="26"/>
      <c r="AB1289" s="26"/>
      <c r="AC1289" s="26"/>
      <c r="AD1289" s="26"/>
      <c r="AE1289" s="26"/>
    </row>
    <row r="1290" spans="1:31" ht="21.95" customHeight="1" x14ac:dyDescent="0.25">
      <c r="A1290" s="97" t="str">
        <f>+IF(PROVEEDORES[[#This Row],[FECHA DE PAGO]]=PROVEEDORES[[#This Row],[FECHA DE FACTURACIÓN]],"DE CONTADO","CRÉDITO")</f>
        <v>CRÉDITO</v>
      </c>
      <c r="B1290" s="41" t="str">
        <f>+IF((PROVEEDORES[[#This Row],[FECHA DE PAGO]]-PROVEEDORES[[#This Row],[FECHA DE FACTURACIÓN]])&gt;PROVEEDORES[[#This Row],[PLAZO Días]],"PAGO VENCIDO")</f>
        <v>PAGO VENCIDO</v>
      </c>
      <c r="C1290" s="22">
        <f>+VLOOKUP(PROVEEDORES[[#This Row],[PROVEEDOR]],TERCEROS_INFO[#All],2,FALSE)</f>
        <v>30</v>
      </c>
      <c r="D1290" s="27">
        <f>+SUMIFS(PROVEEDORES[Total],PROVEEDORES[PROVEEDOR],PROVEEDORES[[#This Row],[PROVEEDOR]],PROVEEDORES[FECHA DE PAGO],"")</f>
        <v>0</v>
      </c>
      <c r="E1290" s="27"/>
      <c r="F1290" s="62" t="str">
        <f>+VLOOKUP(PROVEEDORES[[#This Row],[PROVEEDOR]],
                       Terceros!$A:$G,
                       6,
                       FALSE)</f>
        <v>globalpowerc2018@gmail.com;girlesa.ruiz@servipilas.com;joriescobar64@gmail.com</v>
      </c>
      <c r="G1290" s="95">
        <v>44649</v>
      </c>
      <c r="H1290" s="28" t="s">
        <v>479</v>
      </c>
      <c r="I1290" s="95">
        <v>44616</v>
      </c>
      <c r="J1290" s="38">
        <v>26</v>
      </c>
      <c r="K1290" s="23">
        <v>913000</v>
      </c>
      <c r="L1290" s="23"/>
      <c r="M1290" s="24">
        <v>173470</v>
      </c>
      <c r="N1290" s="25"/>
      <c r="O1290" s="24">
        <v>0</v>
      </c>
      <c r="P1290" s="136">
        <f>+IF(PROVEEDORES[[#This Row],[SUBTOTAL]]&lt;PROVEEDORES[[#This Row],[base retencion]],0,PROVEEDORES[[#This Row],[retención aplicada]])</f>
        <v>0</v>
      </c>
      <c r="Q1290" s="24">
        <f>+PROVEEDORES[[#This Row],[Rete Fuente %]]*PROVEEDORES[[#This Row],[SUBTOTAL]]</f>
        <v>0</v>
      </c>
      <c r="R1290" s="23">
        <v>1086470</v>
      </c>
      <c r="S129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0" s="99">
        <f ca="1">IF(PROVEEDORES[[#This Row],[FECHA DE PAGO]]=0,TODAY()-PROVEEDORES[[#This Row],[FECHA DE FACTURACIÓN]]-PROVEEDORES[[#This Row],[PLAZO Días]],0)</f>
        <v>0</v>
      </c>
      <c r="U1290" s="149" t="str">
        <f>+VLOOKUP(PROVEEDORES[[#This Row],[PROVEEDOR]],Terceros!$A:$E,5,FALSE)</f>
        <v>2,5% con base</v>
      </c>
      <c r="V1290" s="150">
        <f>+YEAR(PROVEEDORES[[#This Row],[FECHA DE FACTURACIÓN]])</f>
        <v>2022</v>
      </c>
      <c r="W1290" s="150">
        <f>+MATCH(PROVEEDORES[[#This Row],[año facturado]],Retenciones!$1:$1,0)</f>
        <v>5</v>
      </c>
      <c r="X1290" s="151">
        <f>+VLOOKUP(PROVEEDORES[[#This Row],[ID RETENCION]],Retenciones!$A$1:$O$24,PROVEEDORES[[#This Row],[indicador de columna]],FALSE)</f>
        <v>1026000</v>
      </c>
      <c r="Y1290" s="152">
        <f>+VLOOKUP(PROVEEDORES[[#This Row],[ID RETENCION]],Retenciones!$A$1:$O$24,2,FALSE)</f>
        <v>2.5000000000000001E-2</v>
      </c>
      <c r="Z1290" s="26"/>
      <c r="AA1290" s="26"/>
      <c r="AB1290" s="26"/>
      <c r="AC1290" s="26"/>
      <c r="AD1290" s="26"/>
      <c r="AE1290" s="26"/>
    </row>
    <row r="1291" spans="1:31" ht="21.95" customHeight="1" x14ac:dyDescent="0.25">
      <c r="A1291" s="97" t="str">
        <f>+IF(PROVEEDORES[[#This Row],[FECHA DE PAGO]]=PROVEEDORES[[#This Row],[FECHA DE FACTURACIÓN]],"DE CONTADO","CRÉDITO")</f>
        <v>DE CONTADO</v>
      </c>
      <c r="B1291" s="41" t="b">
        <f>+IF((PROVEEDORES[[#This Row],[FECHA DE PAGO]]-PROVEEDORES[[#This Row],[FECHA DE FACTURACIÓN]])&gt;PROVEEDORES[[#This Row],[PLAZO Días]],"PAGO VENCIDO")</f>
        <v>0</v>
      </c>
      <c r="C1291" s="22">
        <f>+VLOOKUP(PROVEEDORES[[#This Row],[PROVEEDOR]],TERCEROS_INFO[#All],2,FALSE)</f>
        <v>30</v>
      </c>
      <c r="D1291" s="27">
        <f>+SUMIFS(PROVEEDORES[Total],PROVEEDORES[PROVEEDOR],PROVEEDORES[[#This Row],[PROVEEDOR]],PROVEEDORES[FECHA DE PAGO],"")</f>
        <v>0</v>
      </c>
      <c r="E1291" s="27"/>
      <c r="F1291" s="62" t="str">
        <f>+VLOOKUP(PROVEEDORES[[#This Row],[PROVEEDOR]],
                       Terceros!$A:$G,
                       6,
                       FALSE)</f>
        <v/>
      </c>
      <c r="G1291" s="95">
        <v>44616</v>
      </c>
      <c r="H1291" s="28" t="s">
        <v>1046</v>
      </c>
      <c r="I1291" s="95">
        <v>44616</v>
      </c>
      <c r="J1291" s="38"/>
      <c r="K1291" s="23">
        <v>1000000</v>
      </c>
      <c r="L1291" s="23"/>
      <c r="M1291" s="24">
        <v>0</v>
      </c>
      <c r="N1291" s="25"/>
      <c r="O1291" s="24">
        <v>0</v>
      </c>
      <c r="P1291" s="136">
        <f>+IF(PROVEEDORES[[#This Row],[SUBTOTAL]]&lt;PROVEEDORES[[#This Row],[base retencion]],0,PROVEEDORES[[#This Row],[retención aplicada]])</f>
        <v>0</v>
      </c>
      <c r="Q1291" s="24">
        <f>+PROVEEDORES[[#This Row],[Rete Fuente %]]*PROVEEDORES[[#This Row],[SUBTOTAL]]</f>
        <v>0</v>
      </c>
      <c r="R1291" s="23">
        <v>1000000</v>
      </c>
      <c r="S129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1" s="99">
        <f ca="1">IF(PROVEEDORES[[#This Row],[FECHA DE PAGO]]=0,TODAY()-PROVEEDORES[[#This Row],[FECHA DE FACTURACIÓN]]-PROVEEDORES[[#This Row],[PLAZO Días]],0)</f>
        <v>0</v>
      </c>
      <c r="U1291" s="149">
        <f>+VLOOKUP(PROVEEDORES[[#This Row],[PROVEEDOR]],Terceros!$A:$E,5,FALSE)</f>
        <v>0</v>
      </c>
      <c r="V1291" s="150">
        <f>+YEAR(PROVEEDORES[[#This Row],[FECHA DE FACTURACIÓN]])</f>
        <v>2022</v>
      </c>
      <c r="W1291" s="150">
        <f>+MATCH(PROVEEDORES[[#This Row],[año facturado]],Retenciones!$1:$1,0)</f>
        <v>5</v>
      </c>
      <c r="X1291" s="151">
        <f>+VLOOKUP(PROVEEDORES[[#This Row],[ID RETENCION]],Retenciones!$A$1:$O$24,PROVEEDORES[[#This Row],[indicador de columna]],FALSE)</f>
        <v>0</v>
      </c>
      <c r="Y1291" s="152">
        <f>+VLOOKUP(PROVEEDORES[[#This Row],[ID RETENCION]],Retenciones!$A$1:$O$24,2,FALSE)</f>
        <v>0</v>
      </c>
      <c r="Z1291" s="26"/>
      <c r="AA1291" s="26"/>
      <c r="AB1291" s="26"/>
      <c r="AC1291" s="26"/>
      <c r="AD1291" s="26"/>
      <c r="AE1291" s="26"/>
    </row>
    <row r="1292" spans="1:31" ht="21.95" customHeight="1" x14ac:dyDescent="0.25">
      <c r="A1292" s="97" t="str">
        <f>+IF(PROVEEDORES[[#This Row],[FECHA DE PAGO]]=PROVEEDORES[[#This Row],[FECHA DE FACTURACIÓN]],"DE CONTADO","CRÉDITO")</f>
        <v>CRÉDITO</v>
      </c>
      <c r="B1292" s="41" t="str">
        <f>+IF((PROVEEDORES[[#This Row],[FECHA DE PAGO]]-PROVEEDORES[[#This Row],[FECHA DE FACTURACIÓN]])&gt;PROVEEDORES[[#This Row],[PLAZO Días]],"PAGO VENCIDO")</f>
        <v>PAGO VENCIDO</v>
      </c>
      <c r="C1292" s="22">
        <f>+VLOOKUP(PROVEEDORES[[#This Row],[PROVEEDOR]],TERCEROS_INFO[#All],2,FALSE)</f>
        <v>30</v>
      </c>
      <c r="D1292" s="27">
        <f>+SUMIFS(PROVEEDORES[Total],PROVEEDORES[PROVEEDOR],PROVEEDORES[[#This Row],[PROVEEDOR]],PROVEEDORES[FECHA DE PAGO],"")</f>
        <v>4641412.7745000003</v>
      </c>
      <c r="E1292" s="27"/>
      <c r="F1292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G1292" s="95">
        <v>44670</v>
      </c>
      <c r="H1292" s="28" t="s">
        <v>20</v>
      </c>
      <c r="I1292" s="95">
        <v>44615</v>
      </c>
      <c r="J1292" s="38">
        <v>6379</v>
      </c>
      <c r="K1292" s="23">
        <v>614042</v>
      </c>
      <c r="L1292" s="23"/>
      <c r="M1292" s="24">
        <v>116667.98</v>
      </c>
      <c r="N1292" s="25"/>
      <c r="O1292" s="24">
        <v>0</v>
      </c>
      <c r="P1292" s="136">
        <f>+IF(PROVEEDORES[[#This Row],[SUBTOTAL]]&lt;PROVEEDORES[[#This Row],[base retencion]],0,PROVEEDORES[[#This Row],[retención aplicada]])</f>
        <v>0</v>
      </c>
      <c r="Q1292" s="24">
        <f>+PROVEEDORES[[#This Row],[Rete Fuente %]]*PROVEEDORES[[#This Row],[SUBTOTAL]]</f>
        <v>0</v>
      </c>
      <c r="R1292" s="23">
        <v>730709.98</v>
      </c>
      <c r="S129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2" s="99">
        <f ca="1">IF(PROVEEDORES[[#This Row],[FECHA DE PAGO]]=0,TODAY()-PROVEEDORES[[#This Row],[FECHA DE FACTURACIÓN]]-PROVEEDORES[[#This Row],[PLAZO Días]],0)</f>
        <v>0</v>
      </c>
      <c r="U1292" s="149" t="str">
        <f>+VLOOKUP(PROVEEDORES[[#This Row],[PROVEEDOR]],Terceros!$A:$E,5,FALSE)</f>
        <v>2,5% con base</v>
      </c>
      <c r="V1292" s="150">
        <f>+YEAR(PROVEEDORES[[#This Row],[FECHA DE FACTURACIÓN]])</f>
        <v>2022</v>
      </c>
      <c r="W1292" s="150">
        <f>+MATCH(PROVEEDORES[[#This Row],[año facturado]],Retenciones!$1:$1,0)</f>
        <v>5</v>
      </c>
      <c r="X1292" s="151">
        <f>+VLOOKUP(PROVEEDORES[[#This Row],[ID RETENCION]],Retenciones!$A$1:$O$24,PROVEEDORES[[#This Row],[indicador de columna]],FALSE)</f>
        <v>1026000</v>
      </c>
      <c r="Y1292" s="152">
        <f>+VLOOKUP(PROVEEDORES[[#This Row],[ID RETENCION]],Retenciones!$A$1:$O$24,2,FALSE)</f>
        <v>2.5000000000000001E-2</v>
      </c>
      <c r="Z1292" s="26"/>
      <c r="AA1292" s="26"/>
      <c r="AB1292" s="26"/>
      <c r="AC1292" s="26"/>
      <c r="AD1292" s="26"/>
      <c r="AE1292" s="26"/>
    </row>
    <row r="1293" spans="1:31" ht="21.95" customHeight="1" x14ac:dyDescent="0.25">
      <c r="A1293" s="97" t="str">
        <f>+IF(PROVEEDORES[[#This Row],[FECHA DE PAGO]]=PROVEEDORES[[#This Row],[FECHA DE FACTURACIÓN]],"DE CONTADO","CRÉDITO")</f>
        <v>CRÉDITO</v>
      </c>
      <c r="B1293" s="41" t="b">
        <f>+IF((PROVEEDORES[[#This Row],[FECHA DE PAGO]]-PROVEEDORES[[#This Row],[FECHA DE FACTURACIÓN]])&gt;PROVEEDORES[[#This Row],[PLAZO Días]],"PAGO VENCIDO")</f>
        <v>0</v>
      </c>
      <c r="C1293" s="22">
        <f>+VLOOKUP(PROVEEDORES[[#This Row],[PROVEEDOR]],TERCEROS_INFO[#All],2,FALSE)</f>
        <v>30</v>
      </c>
      <c r="D1293" s="27">
        <f>+SUMIFS(PROVEEDORES[Total],PROVEEDORES[PROVEEDOR],PROVEEDORES[[#This Row],[PROVEEDOR]],PROVEEDORES[FECHA DE PAGO],"")</f>
        <v>275944.33</v>
      </c>
      <c r="E1293" s="27"/>
      <c r="F1293" s="62" t="str">
        <f>+VLOOKUP(PROVEEDORES[[#This Row],[PROVEEDOR]],
                       Terceros!$A:$G,
                       6,
                       FALSE)</f>
        <v>facturacion@losmolinos.com.co</v>
      </c>
      <c r="G1293" s="95">
        <v>44630</v>
      </c>
      <c r="H1293" s="28" t="s">
        <v>342</v>
      </c>
      <c r="I1293" s="95">
        <v>44607</v>
      </c>
      <c r="J1293" s="38" t="s">
        <v>1112</v>
      </c>
      <c r="K1293" s="23">
        <v>-8522.67</v>
      </c>
      <c r="L1293" s="23"/>
      <c r="M1293" s="24">
        <v>0</v>
      </c>
      <c r="N1293" s="25"/>
      <c r="O1293" s="24">
        <v>0</v>
      </c>
      <c r="P1293" s="136">
        <f>+IF(PROVEEDORES[[#This Row],[SUBTOTAL]]&lt;PROVEEDORES[[#This Row],[base retencion]],0,PROVEEDORES[[#This Row],[retención aplicada]])</f>
        <v>0</v>
      </c>
      <c r="Q1293" s="24">
        <f>+PROVEEDORES[[#This Row],[Rete Fuente %]]*PROVEEDORES[[#This Row],[SUBTOTAL]]</f>
        <v>0</v>
      </c>
      <c r="R1293" s="23">
        <v>-8522.67</v>
      </c>
      <c r="S129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3" s="99">
        <f ca="1">IF(PROVEEDORES[[#This Row],[FECHA DE PAGO]]=0,TODAY()-PROVEEDORES[[#This Row],[FECHA DE FACTURACIÓN]]-PROVEEDORES[[#This Row],[PLAZO Días]],0)</f>
        <v>0</v>
      </c>
      <c r="U1293" s="149">
        <f>+VLOOKUP(PROVEEDORES[[#This Row],[PROVEEDOR]],Terceros!$A:$E,5,FALSE)</f>
        <v>0</v>
      </c>
      <c r="V1293" s="150">
        <f>+YEAR(PROVEEDORES[[#This Row],[FECHA DE FACTURACIÓN]])</f>
        <v>2022</v>
      </c>
      <c r="W1293" s="150">
        <f>+MATCH(PROVEEDORES[[#This Row],[año facturado]],Retenciones!$1:$1,0)</f>
        <v>5</v>
      </c>
      <c r="X1293" s="151">
        <f>+VLOOKUP(PROVEEDORES[[#This Row],[ID RETENCION]],Retenciones!$A$1:$O$24,PROVEEDORES[[#This Row],[indicador de columna]],FALSE)</f>
        <v>0</v>
      </c>
      <c r="Y1293" s="152">
        <f>+VLOOKUP(PROVEEDORES[[#This Row],[ID RETENCION]],Retenciones!$A$1:$O$24,2,FALSE)</f>
        <v>0</v>
      </c>
      <c r="Z1293" s="26"/>
      <c r="AA1293" s="26"/>
      <c r="AB1293" s="26"/>
      <c r="AC1293" s="26"/>
      <c r="AD1293" s="26"/>
      <c r="AE1293" s="26"/>
    </row>
    <row r="1294" spans="1:31" ht="21.95" customHeight="1" x14ac:dyDescent="0.25">
      <c r="A1294" s="97" t="str">
        <f>+IF(PROVEEDORES[[#This Row],[FECHA DE PAGO]]=PROVEEDORES[[#This Row],[FECHA DE FACTURACIÓN]],"DE CONTADO","CRÉDITO")</f>
        <v>CRÉDITO</v>
      </c>
      <c r="B1294" s="41" t="b">
        <f>+IF((PROVEEDORES[[#This Row],[FECHA DE PAGO]]-PROVEEDORES[[#This Row],[FECHA DE FACTURACIÓN]])&gt;PROVEEDORES[[#This Row],[PLAZO Días]],"PAGO VENCIDO")</f>
        <v>0</v>
      </c>
      <c r="C1294" s="22">
        <f>+VLOOKUP(PROVEEDORES[[#This Row],[PROVEEDOR]],TERCEROS_INFO[#All],2,FALSE)</f>
        <v>13</v>
      </c>
      <c r="D1294" s="27">
        <f>+SUMIFS(PROVEEDORES[Total],PROVEEDORES[PROVEEDOR],PROVEEDORES[[#This Row],[PROVEEDOR]],PROVEEDORES[FECHA DE PAGO],"")</f>
        <v>2130283</v>
      </c>
      <c r="E1294" s="27"/>
      <c r="F1294" s="62">
        <f>+VLOOKUP(PROVEEDORES[[#This Row],[PROVEEDOR]],
                       Terceros!$A:$G,
                       6,
                       FALSE)</f>
        <v>0</v>
      </c>
      <c r="G1294" s="95">
        <v>44630</v>
      </c>
      <c r="H1294" s="28" t="s">
        <v>326</v>
      </c>
      <c r="I1294" s="95">
        <v>44621</v>
      </c>
      <c r="J1294" s="38" t="s">
        <v>328</v>
      </c>
      <c r="K1294" s="23">
        <v>282057</v>
      </c>
      <c r="L1294" s="23"/>
      <c r="M1294" s="24">
        <v>0</v>
      </c>
      <c r="N1294" s="25"/>
      <c r="O1294" s="24">
        <v>0</v>
      </c>
      <c r="P1294" s="136">
        <f>+IF(PROVEEDORES[[#This Row],[SUBTOTAL]]&lt;PROVEEDORES[[#This Row],[base retencion]],0,PROVEEDORES[[#This Row],[retención aplicada]])</f>
        <v>0</v>
      </c>
      <c r="Q1294" s="24">
        <f>+PROVEEDORES[[#This Row],[Rete Fuente %]]*PROVEEDORES[[#This Row],[SUBTOTAL]]</f>
        <v>0</v>
      </c>
      <c r="R1294" s="23">
        <v>282057</v>
      </c>
      <c r="S129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4" s="99">
        <f ca="1">IF(PROVEEDORES[[#This Row],[FECHA DE PAGO]]=0,TODAY()-PROVEEDORES[[#This Row],[FECHA DE FACTURACIÓN]]-PROVEEDORES[[#This Row],[PLAZO Días]],0)</f>
        <v>0</v>
      </c>
      <c r="U1294" s="149">
        <f>+VLOOKUP(PROVEEDORES[[#This Row],[PROVEEDOR]],Terceros!$A:$E,5,FALSE)</f>
        <v>0</v>
      </c>
      <c r="V1294" s="150">
        <f>+YEAR(PROVEEDORES[[#This Row],[FECHA DE FACTURACIÓN]])</f>
        <v>2022</v>
      </c>
      <c r="W1294" s="150">
        <f>+MATCH(PROVEEDORES[[#This Row],[año facturado]],Retenciones!$1:$1,0)</f>
        <v>5</v>
      </c>
      <c r="X1294" s="151">
        <f>+VLOOKUP(PROVEEDORES[[#This Row],[ID RETENCION]],Retenciones!$A$1:$O$24,PROVEEDORES[[#This Row],[indicador de columna]],FALSE)</f>
        <v>0</v>
      </c>
      <c r="Y1294" s="152">
        <f>+VLOOKUP(PROVEEDORES[[#This Row],[ID RETENCION]],Retenciones!$A$1:$O$24,2,FALSE)</f>
        <v>0</v>
      </c>
      <c r="Z1294" s="26"/>
      <c r="AA1294" s="26"/>
      <c r="AB1294" s="26"/>
      <c r="AC1294" s="26"/>
      <c r="AD1294" s="26"/>
      <c r="AE1294" s="26"/>
    </row>
    <row r="1295" spans="1:31" ht="21.95" customHeight="1" x14ac:dyDescent="0.25">
      <c r="A1295" s="97" t="str">
        <f>+IF(PROVEEDORES[[#This Row],[FECHA DE PAGO]]=PROVEEDORES[[#This Row],[FECHA DE FACTURACIÓN]],"DE CONTADO","CRÉDITO")</f>
        <v>CRÉDITO</v>
      </c>
      <c r="B1295" s="41" t="b">
        <f>+IF((PROVEEDORES[[#This Row],[FECHA DE PAGO]]-PROVEEDORES[[#This Row],[FECHA DE FACTURACIÓN]])&gt;PROVEEDORES[[#This Row],[PLAZO Días]],"PAGO VENCIDO")</f>
        <v>0</v>
      </c>
      <c r="C1295" s="22">
        <f>+VLOOKUP(PROVEEDORES[[#This Row],[PROVEEDOR]],TERCEROS_INFO[#All],2,FALSE)</f>
        <v>30</v>
      </c>
      <c r="D1295" s="27">
        <f>+SUMIFS(PROVEEDORES[Total],PROVEEDORES[PROVEEDOR],PROVEEDORES[[#This Row],[PROVEEDOR]],PROVEEDORES[FECHA DE PAGO],"")</f>
        <v>275944.33</v>
      </c>
      <c r="E1295" s="27"/>
      <c r="F1295" s="62" t="str">
        <f>+VLOOKUP(PROVEEDORES[[#This Row],[PROVEEDOR]],
                       Terceros!$A:$G,
                       6,
                       FALSE)</f>
        <v>facturacion@losmolinos.com.co</v>
      </c>
      <c r="G1295" s="95">
        <v>44630</v>
      </c>
      <c r="H1295" s="28" t="s">
        <v>342</v>
      </c>
      <c r="I1295" s="95">
        <v>44621</v>
      </c>
      <c r="J1295" s="38">
        <v>66543</v>
      </c>
      <c r="K1295" s="23">
        <v>284467</v>
      </c>
      <c r="L1295" s="23"/>
      <c r="M1295" s="24">
        <v>0</v>
      </c>
      <c r="N1295" s="25"/>
      <c r="O1295" s="24">
        <v>8522.67</v>
      </c>
      <c r="P1295" s="136">
        <f>+IF(PROVEEDORES[[#This Row],[SUBTOTAL]]&lt;PROVEEDORES[[#This Row],[base retencion]],0,PROVEEDORES[[#This Row],[retención aplicada]])</f>
        <v>0</v>
      </c>
      <c r="Q1295" s="24">
        <f>+PROVEEDORES[[#This Row],[Rete Fuente %]]*PROVEEDORES[[#This Row],[SUBTOTAL]]</f>
        <v>0</v>
      </c>
      <c r="R1295" s="23">
        <v>275944.33</v>
      </c>
      <c r="S129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5" s="99">
        <f ca="1">IF(PROVEEDORES[[#This Row],[FECHA DE PAGO]]=0,TODAY()-PROVEEDORES[[#This Row],[FECHA DE FACTURACIÓN]]-PROVEEDORES[[#This Row],[PLAZO Días]],0)</f>
        <v>0</v>
      </c>
      <c r="U1295" s="149">
        <f>+VLOOKUP(PROVEEDORES[[#This Row],[PROVEEDOR]],Terceros!$A:$E,5,FALSE)</f>
        <v>0</v>
      </c>
      <c r="V1295" s="150">
        <f>+YEAR(PROVEEDORES[[#This Row],[FECHA DE FACTURACIÓN]])</f>
        <v>2022</v>
      </c>
      <c r="W1295" s="150">
        <f>+MATCH(PROVEEDORES[[#This Row],[año facturado]],Retenciones!$1:$1,0)</f>
        <v>5</v>
      </c>
      <c r="X1295" s="151">
        <f>+VLOOKUP(PROVEEDORES[[#This Row],[ID RETENCION]],Retenciones!$A$1:$O$24,PROVEEDORES[[#This Row],[indicador de columna]],FALSE)</f>
        <v>0</v>
      </c>
      <c r="Y1295" s="152">
        <f>+VLOOKUP(PROVEEDORES[[#This Row],[ID RETENCION]],Retenciones!$A$1:$O$24,2,FALSE)</f>
        <v>0</v>
      </c>
      <c r="Z1295" s="26"/>
      <c r="AA1295" s="26"/>
      <c r="AB1295" s="26"/>
      <c r="AC1295" s="26"/>
      <c r="AD1295" s="26"/>
      <c r="AE1295" s="26"/>
    </row>
    <row r="1296" spans="1:31" ht="21.95" customHeight="1" x14ac:dyDescent="0.25">
      <c r="A1296" s="97" t="str">
        <f>+IF(PROVEEDORES[[#This Row],[FECHA DE PAGO]]=PROVEEDORES[[#This Row],[FECHA DE FACTURACIÓN]],"DE CONTADO","CRÉDITO")</f>
        <v>CRÉDITO</v>
      </c>
      <c r="B1296" s="41" t="str">
        <f>+IF((PROVEEDORES[[#This Row],[FECHA DE PAGO]]-PROVEEDORES[[#This Row],[FECHA DE FACTURACIÓN]])&gt;PROVEEDORES[[#This Row],[PLAZO Días]],"PAGO VENCIDO")</f>
        <v>PAGO VENCIDO</v>
      </c>
      <c r="C1296" s="22">
        <f>+VLOOKUP(PROVEEDORES[[#This Row],[PROVEEDOR]],TERCEROS_INFO[#All],2,FALSE)</f>
        <v>30</v>
      </c>
      <c r="D1296" s="27">
        <f>+SUMIFS(PROVEEDORES[Total],PROVEEDORES[PROVEEDOR],PROVEEDORES[[#This Row],[PROVEEDOR]],PROVEEDORES[FECHA DE PAGO],"")</f>
        <v>3844432.4999000002</v>
      </c>
      <c r="E1296" s="27"/>
      <c r="F1296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1296" s="95">
        <v>44652</v>
      </c>
      <c r="H1296" s="28" t="s">
        <v>18</v>
      </c>
      <c r="I1296" s="95">
        <v>44616</v>
      </c>
      <c r="J1296" s="38">
        <v>1050228</v>
      </c>
      <c r="K1296" s="23">
        <v>2199781.6800000002</v>
      </c>
      <c r="L1296" s="23"/>
      <c r="M1296" s="24">
        <v>417958.51920000004</v>
      </c>
      <c r="N1296" s="25"/>
      <c r="O1296" s="24">
        <v>0</v>
      </c>
      <c r="P1296" s="136">
        <f>+IF(PROVEEDORES[[#This Row],[SUBTOTAL]]&lt;PROVEEDORES[[#This Row],[base retencion]],0,PROVEEDORES[[#This Row],[retención aplicada]])</f>
        <v>2.5000000000000001E-2</v>
      </c>
      <c r="Q1296" s="24">
        <f>+PROVEEDORES[[#This Row],[Rete Fuente %]]*PROVEEDORES[[#This Row],[SUBTOTAL]]</f>
        <v>54994.542000000009</v>
      </c>
      <c r="R1296" s="23">
        <v>2562745.6572000002</v>
      </c>
      <c r="S129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6" s="99">
        <f ca="1">IF(PROVEEDORES[[#This Row],[FECHA DE PAGO]]=0,TODAY()-PROVEEDORES[[#This Row],[FECHA DE FACTURACIÓN]]-PROVEEDORES[[#This Row],[PLAZO Días]],0)</f>
        <v>0</v>
      </c>
      <c r="U1296" s="149" t="str">
        <f>+VLOOKUP(PROVEEDORES[[#This Row],[PROVEEDOR]],Terceros!$A:$E,5,FALSE)</f>
        <v>2,5% con base</v>
      </c>
      <c r="V1296" s="150">
        <f>+YEAR(PROVEEDORES[[#This Row],[FECHA DE FACTURACIÓN]])</f>
        <v>2022</v>
      </c>
      <c r="W1296" s="150">
        <f>+MATCH(PROVEEDORES[[#This Row],[año facturado]],Retenciones!$1:$1,0)</f>
        <v>5</v>
      </c>
      <c r="X1296" s="151">
        <f>+VLOOKUP(PROVEEDORES[[#This Row],[ID RETENCION]],Retenciones!$A$1:$O$24,PROVEEDORES[[#This Row],[indicador de columna]],FALSE)</f>
        <v>1026000</v>
      </c>
      <c r="Y1296" s="152">
        <f>+VLOOKUP(PROVEEDORES[[#This Row],[ID RETENCION]],Retenciones!$A$1:$O$24,2,FALSE)</f>
        <v>2.5000000000000001E-2</v>
      </c>
      <c r="Z1296" s="26"/>
      <c r="AA1296" s="26"/>
      <c r="AB1296" s="26"/>
      <c r="AC1296" s="26"/>
      <c r="AD1296" s="26"/>
      <c r="AE1296" s="26"/>
    </row>
    <row r="1297" spans="1:31" ht="21.95" customHeight="1" x14ac:dyDescent="0.25">
      <c r="A1297" s="97" t="str">
        <f>+IF(PROVEEDORES[[#This Row],[FECHA DE PAGO]]=PROVEEDORES[[#This Row],[FECHA DE FACTURACIÓN]],"DE CONTADO","CRÉDITO")</f>
        <v>CRÉDITO</v>
      </c>
      <c r="B1297" s="41" t="b">
        <f>+IF((PROVEEDORES[[#This Row],[FECHA DE PAGO]]-PROVEEDORES[[#This Row],[FECHA DE FACTURACIÓN]])&gt;PROVEEDORES[[#This Row],[PLAZO Días]],"PAGO VENCIDO")</f>
        <v>0</v>
      </c>
      <c r="C1297" s="22">
        <f>+VLOOKUP(PROVEEDORES[[#This Row],[PROVEEDOR]],TERCEROS_INFO[#All],2,FALSE)</f>
        <v>60</v>
      </c>
      <c r="D1297" s="27">
        <f>+SUMIFS(PROVEEDORES[Total],PROVEEDORES[PROVEEDOR],PROVEEDORES[[#This Row],[PROVEEDOR]],PROVEEDORES[FECHA DE PAGO],"")</f>
        <v>758800</v>
      </c>
      <c r="E1297" s="27"/>
      <c r="F1297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H1297" s="28" t="s">
        <v>604</v>
      </c>
      <c r="I1297" s="95">
        <v>44617</v>
      </c>
      <c r="J1297" s="38" t="s">
        <v>1148</v>
      </c>
      <c r="K1297" s="23">
        <v>202800</v>
      </c>
      <c r="L1297" s="23"/>
      <c r="M1297" s="24">
        <f>(PROVEEDORES[[#This Row],[SUBTOTAL]]-PROVEEDORES[[#This Row],[descuento antes de IVA]])*VLOOKUP(PROVEEDORES[[#This Row],[PROVEEDOR]],TERCEROS_INFO[#All],3,FALSE)</f>
        <v>0</v>
      </c>
      <c r="N1297" s="25"/>
      <c r="O1297" s="24">
        <f>+PROVEEDORES[[#This Row],[Descuento sobre subtotal %]]*(PROVEEDORES[[#This Row],[SUBTOTAL]]-PROVEEDORES[[#This Row],[descuento antes de IVA]])</f>
        <v>0</v>
      </c>
      <c r="P1297" s="136">
        <f>+IF(PROVEEDORES[[#This Row],[SUBTOTAL]]&lt;PROVEEDORES[[#This Row],[base retencion]],0,PROVEEDORES[[#This Row],[retención aplicada]])</f>
        <v>0</v>
      </c>
      <c r="Q1297" s="24">
        <f>+PROVEEDORES[[#This Row],[Rete Fuente %]]*PROVEEDORES[[#This Row],[SUBTOTAL]]</f>
        <v>0</v>
      </c>
      <c r="R1297" s="23">
        <f>+PROVEEDORES[[#This Row],[SUBTOTAL]]+PROVEEDORES[[#This Row],[IVA 19%]]-PROVEEDORES[[#This Row],[descuento antes de IVA]]-PROVEEDORES[[#This Row],[Descuento sobre subtotal $]]-PROVEEDORES[[#This Row],[Rete Fuente $]]</f>
        <v>202800</v>
      </c>
      <c r="S1297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297" s="99">
        <f ca="1">IF(PROVEEDORES[[#This Row],[FECHA DE PAGO]]=0,TODAY()-PROVEEDORES[[#This Row],[FECHA DE FACTURACIÓN]]-PROVEEDORES[[#This Row],[PLAZO Días]],0)</f>
        <v>7</v>
      </c>
      <c r="U1297" s="149">
        <f>+VLOOKUP(PROVEEDORES[[#This Row],[PROVEEDOR]],Terceros!$A:$E,5,FALSE)</f>
        <v>0</v>
      </c>
      <c r="V1297" s="150">
        <f>+YEAR(PROVEEDORES[[#This Row],[FECHA DE FACTURACIÓN]])</f>
        <v>2022</v>
      </c>
      <c r="W1297" s="150">
        <f>+MATCH(PROVEEDORES[[#This Row],[año facturado]],Retenciones!$1:$1,0)</f>
        <v>5</v>
      </c>
      <c r="X1297" s="151">
        <f>+VLOOKUP(PROVEEDORES[[#This Row],[ID RETENCION]],Retenciones!$A$1:$O$24,PROVEEDORES[[#This Row],[indicador de columna]],FALSE)</f>
        <v>0</v>
      </c>
      <c r="Y1297" s="152">
        <f>+VLOOKUP(PROVEEDORES[[#This Row],[ID RETENCION]],Retenciones!$A$1:$O$24,2,FALSE)</f>
        <v>0</v>
      </c>
      <c r="Z1297" s="26"/>
      <c r="AA1297" s="26"/>
      <c r="AB1297" s="26"/>
      <c r="AC1297" s="26"/>
      <c r="AD1297" s="26"/>
      <c r="AE1297" s="26"/>
    </row>
    <row r="1298" spans="1:31" ht="21.95" customHeight="1" x14ac:dyDescent="0.25">
      <c r="A1298" s="97" t="str">
        <f>+IF(PROVEEDORES[[#This Row],[FECHA DE PAGO]]=PROVEEDORES[[#This Row],[FECHA DE FACTURACIÓN]],"DE CONTADO","CRÉDITO")</f>
        <v>CRÉDITO</v>
      </c>
      <c r="B1298" s="41" t="b">
        <f>+IF((PROVEEDORES[[#This Row],[FECHA DE PAGO]]-PROVEEDORES[[#This Row],[FECHA DE FACTURACIÓN]])&gt;PROVEEDORES[[#This Row],[PLAZO Días]],"PAGO VENCIDO")</f>
        <v>0</v>
      </c>
      <c r="C1298" s="22">
        <f>+VLOOKUP(PROVEEDORES[[#This Row],[PROVEEDOR]],TERCEROS_INFO[#All],2,FALSE)</f>
        <v>60</v>
      </c>
      <c r="D1298" s="27">
        <f>+SUMIFS(PROVEEDORES[Total],PROVEEDORES[PROVEEDOR],PROVEEDORES[[#This Row],[PROVEEDOR]],PROVEEDORES[FECHA DE PAGO],"")</f>
        <v>758800</v>
      </c>
      <c r="E1298" s="27"/>
      <c r="F1298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H1298" s="28" t="s">
        <v>604</v>
      </c>
      <c r="I1298" s="95">
        <v>44617</v>
      </c>
      <c r="J1298" s="38">
        <v>1342</v>
      </c>
      <c r="K1298" s="23">
        <v>208000</v>
      </c>
      <c r="L1298" s="23"/>
      <c r="M1298" s="24">
        <f>(PROVEEDORES[[#This Row],[SUBTOTAL]]-PROVEEDORES[[#This Row],[descuento antes de IVA]])*VLOOKUP(PROVEEDORES[[#This Row],[PROVEEDOR]],TERCEROS_INFO[#All],3,FALSE)</f>
        <v>0</v>
      </c>
      <c r="N1298" s="25"/>
      <c r="O1298" s="24">
        <f>+PROVEEDORES[[#This Row],[Descuento sobre subtotal %]]*(PROVEEDORES[[#This Row],[SUBTOTAL]]-PROVEEDORES[[#This Row],[descuento antes de IVA]])</f>
        <v>0</v>
      </c>
      <c r="P1298" s="136">
        <f>+IF(PROVEEDORES[[#This Row],[SUBTOTAL]]&lt;PROVEEDORES[[#This Row],[base retencion]],0,PROVEEDORES[[#This Row],[retención aplicada]])</f>
        <v>0</v>
      </c>
      <c r="Q1298" s="24">
        <f>+PROVEEDORES[[#This Row],[Rete Fuente %]]*PROVEEDORES[[#This Row],[SUBTOTAL]]</f>
        <v>0</v>
      </c>
      <c r="R1298" s="23">
        <f>+PROVEEDORES[[#This Row],[SUBTOTAL]]+PROVEEDORES[[#This Row],[IVA 19%]]-PROVEEDORES[[#This Row],[descuento antes de IVA]]-PROVEEDORES[[#This Row],[Descuento sobre subtotal $]]-PROVEEDORES[[#This Row],[Rete Fuente $]]</f>
        <v>208000</v>
      </c>
      <c r="S1298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298" s="99">
        <f ca="1">IF(PROVEEDORES[[#This Row],[FECHA DE PAGO]]=0,TODAY()-PROVEEDORES[[#This Row],[FECHA DE FACTURACIÓN]]-PROVEEDORES[[#This Row],[PLAZO Días]],0)</f>
        <v>7</v>
      </c>
      <c r="U1298" s="149">
        <f>+VLOOKUP(PROVEEDORES[[#This Row],[PROVEEDOR]],Terceros!$A:$E,5,FALSE)</f>
        <v>0</v>
      </c>
      <c r="V1298" s="150">
        <f>+YEAR(PROVEEDORES[[#This Row],[FECHA DE FACTURACIÓN]])</f>
        <v>2022</v>
      </c>
      <c r="W1298" s="150">
        <f>+MATCH(PROVEEDORES[[#This Row],[año facturado]],Retenciones!$1:$1,0)</f>
        <v>5</v>
      </c>
      <c r="X1298" s="151">
        <f>+VLOOKUP(PROVEEDORES[[#This Row],[ID RETENCION]],Retenciones!$A$1:$O$24,PROVEEDORES[[#This Row],[indicador de columna]],FALSE)</f>
        <v>0</v>
      </c>
      <c r="Y1298" s="152">
        <f>+VLOOKUP(PROVEEDORES[[#This Row],[ID RETENCION]],Retenciones!$A$1:$O$24,2,FALSE)</f>
        <v>0</v>
      </c>
      <c r="Z1298" s="26"/>
      <c r="AA1298" s="26"/>
      <c r="AB1298" s="26"/>
      <c r="AC1298" s="26"/>
      <c r="AD1298" s="26"/>
      <c r="AE1298" s="26"/>
    </row>
    <row r="1299" spans="1:31" ht="21.95" customHeight="1" x14ac:dyDescent="0.25">
      <c r="A1299" s="97" t="str">
        <f>+IF(PROVEEDORES[[#This Row],[FECHA DE PAGO]]=PROVEEDORES[[#This Row],[FECHA DE FACTURACIÓN]],"DE CONTADO","CRÉDITO")</f>
        <v>CRÉDITO</v>
      </c>
      <c r="B1299" s="41" t="b">
        <f>+IF((PROVEEDORES[[#This Row],[FECHA DE PAGO]]-PROVEEDORES[[#This Row],[FECHA DE FACTURACIÓN]])&gt;PROVEEDORES[[#This Row],[PLAZO Días]],"PAGO VENCIDO")</f>
        <v>0</v>
      </c>
      <c r="C1299" s="22">
        <f>+VLOOKUP(PROVEEDORES[[#This Row],[PROVEEDOR]],TERCEROS_INFO[#All],2,FALSE)</f>
        <v>30</v>
      </c>
      <c r="D1299" s="27">
        <f>+SUMIFS(PROVEEDORES[Total],PROVEEDORES[PROVEEDOR],PROVEEDORES[[#This Row],[PROVEEDOR]],PROVEEDORES[FECHA DE PAGO],"")</f>
        <v>0</v>
      </c>
      <c r="E1299" s="27"/>
      <c r="F1299" s="62" t="str">
        <f>+VLOOKUP(PROVEEDORES[[#This Row],[PROVEEDOR]],
                       Terceros!$A:$G,
                       6,
                       FALSE)</f>
        <v/>
      </c>
      <c r="G1299" s="95">
        <v>44620</v>
      </c>
      <c r="H1299" s="28" t="s">
        <v>1021</v>
      </c>
      <c r="I1299" s="95">
        <v>44619</v>
      </c>
      <c r="J1299" s="38" t="s">
        <v>1023</v>
      </c>
      <c r="K1299" s="23">
        <v>360000</v>
      </c>
      <c r="L1299" s="23"/>
      <c r="M1299" s="24">
        <v>0</v>
      </c>
      <c r="N1299" s="25"/>
      <c r="O1299" s="24">
        <v>0</v>
      </c>
      <c r="P1299" s="136">
        <f>+IF(PROVEEDORES[[#This Row],[SUBTOTAL]]&lt;PROVEEDORES[[#This Row],[base retencion]],0,PROVEEDORES[[#This Row],[retención aplicada]])</f>
        <v>0</v>
      </c>
      <c r="Q1299" s="24">
        <f>+PROVEEDORES[[#This Row],[Rete Fuente %]]*PROVEEDORES[[#This Row],[SUBTOTAL]]</f>
        <v>0</v>
      </c>
      <c r="R1299" s="23">
        <v>360000</v>
      </c>
      <c r="S129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9" s="99">
        <f ca="1">IF(PROVEEDORES[[#This Row],[FECHA DE PAGO]]=0,TODAY()-PROVEEDORES[[#This Row],[FECHA DE FACTURACIÓN]]-PROVEEDORES[[#This Row],[PLAZO Días]],0)</f>
        <v>0</v>
      </c>
      <c r="U1299" s="149">
        <f>+VLOOKUP(PROVEEDORES[[#This Row],[PROVEEDOR]],Terceros!$A:$E,5,FALSE)</f>
        <v>0</v>
      </c>
      <c r="V1299" s="150">
        <f>+YEAR(PROVEEDORES[[#This Row],[FECHA DE FACTURACIÓN]])</f>
        <v>2022</v>
      </c>
      <c r="W1299" s="150">
        <f>+MATCH(PROVEEDORES[[#This Row],[año facturado]],Retenciones!$1:$1,0)</f>
        <v>5</v>
      </c>
      <c r="X1299" s="151">
        <f>+VLOOKUP(PROVEEDORES[[#This Row],[ID RETENCION]],Retenciones!$A$1:$O$24,PROVEEDORES[[#This Row],[indicador de columna]],FALSE)</f>
        <v>0</v>
      </c>
      <c r="Y1299" s="152">
        <f>+VLOOKUP(PROVEEDORES[[#This Row],[ID RETENCION]],Retenciones!$A$1:$O$24,2,FALSE)</f>
        <v>0</v>
      </c>
      <c r="Z1299" s="26"/>
      <c r="AA1299" s="26"/>
      <c r="AB1299" s="26"/>
      <c r="AC1299" s="26"/>
      <c r="AD1299" s="26"/>
      <c r="AE1299" s="26"/>
    </row>
    <row r="1300" spans="1:31" ht="21.95" customHeight="1" x14ac:dyDescent="0.25">
      <c r="A1300" s="97" t="str">
        <f>+IF(PROVEEDORES[[#This Row],[FECHA DE PAGO]]=PROVEEDORES[[#This Row],[FECHA DE FACTURACIÓN]],"DE CONTADO","CRÉDITO")</f>
        <v>DE CONTADO</v>
      </c>
      <c r="B1300" s="41" t="b">
        <f>+IF((PROVEEDORES[[#This Row],[FECHA DE PAGO]]-PROVEEDORES[[#This Row],[FECHA DE FACTURACIÓN]])&gt;PROVEEDORES[[#This Row],[PLAZO Días]],"PAGO VENCIDO")</f>
        <v>0</v>
      </c>
      <c r="C1300" s="22">
        <f>+VLOOKUP(PROVEEDORES[[#This Row],[PROVEEDOR]],TERCEROS_INFO[#All],2,FALSE)</f>
        <v>30</v>
      </c>
      <c r="D1300" s="27">
        <f>+SUMIFS(PROVEEDORES[Total],PROVEEDORES[PROVEEDOR],PROVEEDORES[[#This Row],[PROVEEDOR]],PROVEEDORES[FECHA DE PAGO],"")</f>
        <v>0</v>
      </c>
      <c r="E1300" s="27"/>
      <c r="F1300" s="62" t="str">
        <f>+VLOOKUP(PROVEEDORES[[#This Row],[PROVEEDOR]],
                       Terceros!$A:$G,
                       6,
                       FALSE)</f>
        <v/>
      </c>
      <c r="G1300" s="95">
        <v>44620</v>
      </c>
      <c r="H1300" s="28" t="s">
        <v>1010</v>
      </c>
      <c r="I1300" s="95">
        <v>44620</v>
      </c>
      <c r="J1300" s="38" t="s">
        <v>942</v>
      </c>
      <c r="K1300" s="23">
        <v>442</v>
      </c>
      <c r="L1300" s="23"/>
      <c r="M1300" s="24">
        <v>0</v>
      </c>
      <c r="N1300" s="25"/>
      <c r="O1300" s="24">
        <v>0</v>
      </c>
      <c r="P1300" s="136">
        <f>+IF(PROVEEDORES[[#This Row],[SUBTOTAL]]&lt;PROVEEDORES[[#This Row],[base retencion]],0,PROVEEDORES[[#This Row],[retención aplicada]])</f>
        <v>0</v>
      </c>
      <c r="Q1300" s="24">
        <f>+PROVEEDORES[[#This Row],[Rete Fuente %]]*PROVEEDORES[[#This Row],[SUBTOTAL]]</f>
        <v>0</v>
      </c>
      <c r="R1300" s="23">
        <v>442</v>
      </c>
      <c r="S130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0" s="99">
        <f ca="1">IF(PROVEEDORES[[#This Row],[FECHA DE PAGO]]=0,TODAY()-PROVEEDORES[[#This Row],[FECHA DE FACTURACIÓN]]-PROVEEDORES[[#This Row],[PLAZO Días]],0)</f>
        <v>0</v>
      </c>
      <c r="U1300" s="149">
        <f>+VLOOKUP(PROVEEDORES[[#This Row],[PROVEEDOR]],Terceros!$A:$E,5,FALSE)</f>
        <v>0</v>
      </c>
      <c r="V1300" s="150">
        <f>+YEAR(PROVEEDORES[[#This Row],[FECHA DE FACTURACIÓN]])</f>
        <v>2022</v>
      </c>
      <c r="W1300" s="150">
        <f>+MATCH(PROVEEDORES[[#This Row],[año facturado]],Retenciones!$1:$1,0)</f>
        <v>5</v>
      </c>
      <c r="X1300" s="151">
        <f>+VLOOKUP(PROVEEDORES[[#This Row],[ID RETENCION]],Retenciones!$A$1:$O$24,PROVEEDORES[[#This Row],[indicador de columna]],FALSE)</f>
        <v>0</v>
      </c>
      <c r="Y1300" s="152">
        <f>+VLOOKUP(PROVEEDORES[[#This Row],[ID RETENCION]],Retenciones!$A$1:$O$24,2,FALSE)</f>
        <v>0</v>
      </c>
      <c r="Z1300" s="26"/>
      <c r="AA1300" s="26"/>
      <c r="AB1300" s="26"/>
      <c r="AC1300" s="26"/>
      <c r="AD1300" s="26"/>
      <c r="AE1300" s="26"/>
    </row>
    <row r="1301" spans="1:31" ht="21.95" customHeight="1" x14ac:dyDescent="0.25">
      <c r="A1301" s="97" t="str">
        <f>+IF(PROVEEDORES[[#This Row],[FECHA DE PAGO]]=PROVEEDORES[[#This Row],[FECHA DE FACTURACIÓN]],"DE CONTADO","CRÉDITO")</f>
        <v>DE CONTADO</v>
      </c>
      <c r="B1301" s="41" t="b">
        <f>+IF((PROVEEDORES[[#This Row],[FECHA DE PAGO]]-PROVEEDORES[[#This Row],[FECHA DE FACTURACIÓN]])&gt;PROVEEDORES[[#This Row],[PLAZO Días]],"PAGO VENCIDO")</f>
        <v>0</v>
      </c>
      <c r="C1301" s="22">
        <f>+VLOOKUP(PROVEEDORES[[#This Row],[PROVEEDOR]],TERCEROS_INFO[#All],2,FALSE)</f>
        <v>30</v>
      </c>
      <c r="D1301" s="27">
        <f>+SUMIFS(PROVEEDORES[Total],PROVEEDORES[PROVEEDOR],PROVEEDORES[[#This Row],[PROVEEDOR]],PROVEEDORES[FECHA DE PAGO],"")</f>
        <v>0</v>
      </c>
      <c r="E1301" s="27"/>
      <c r="F1301" s="62" t="str">
        <f>+VLOOKUP(PROVEEDORES[[#This Row],[PROVEEDOR]],
                       Terceros!$A:$G,
                       6,
                       FALSE)</f>
        <v/>
      </c>
      <c r="G1301" s="95">
        <v>44620</v>
      </c>
      <c r="H1301" s="28" t="s">
        <v>1010</v>
      </c>
      <c r="I1301" s="95">
        <v>44620</v>
      </c>
      <c r="J1301" s="38" t="s">
        <v>941</v>
      </c>
      <c r="K1301" s="23">
        <v>45000</v>
      </c>
      <c r="L1301" s="23"/>
      <c r="M1301" s="24">
        <v>0</v>
      </c>
      <c r="N1301" s="25"/>
      <c r="O1301" s="24">
        <v>0</v>
      </c>
      <c r="P1301" s="136">
        <f>+IF(PROVEEDORES[[#This Row],[SUBTOTAL]]&lt;PROVEEDORES[[#This Row],[base retencion]],0,PROVEEDORES[[#This Row],[retención aplicada]])</f>
        <v>0</v>
      </c>
      <c r="Q1301" s="24">
        <f>+PROVEEDORES[[#This Row],[Rete Fuente %]]*PROVEEDORES[[#This Row],[SUBTOTAL]]</f>
        <v>0</v>
      </c>
      <c r="R1301" s="23">
        <v>45000</v>
      </c>
      <c r="S130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1" s="99">
        <f ca="1">IF(PROVEEDORES[[#This Row],[FECHA DE PAGO]]=0,TODAY()-PROVEEDORES[[#This Row],[FECHA DE FACTURACIÓN]]-PROVEEDORES[[#This Row],[PLAZO Días]],0)</f>
        <v>0</v>
      </c>
      <c r="U1301" s="149">
        <f>+VLOOKUP(PROVEEDORES[[#This Row],[PROVEEDOR]],Terceros!$A:$E,5,FALSE)</f>
        <v>0</v>
      </c>
      <c r="V1301" s="150">
        <f>+YEAR(PROVEEDORES[[#This Row],[FECHA DE FACTURACIÓN]])</f>
        <v>2022</v>
      </c>
      <c r="W1301" s="150">
        <f>+MATCH(PROVEEDORES[[#This Row],[año facturado]],Retenciones!$1:$1,0)</f>
        <v>5</v>
      </c>
      <c r="X1301" s="151">
        <f>+VLOOKUP(PROVEEDORES[[#This Row],[ID RETENCION]],Retenciones!$A$1:$O$24,PROVEEDORES[[#This Row],[indicador de columna]],FALSE)</f>
        <v>0</v>
      </c>
      <c r="Y1301" s="152">
        <f>+VLOOKUP(PROVEEDORES[[#This Row],[ID RETENCION]],Retenciones!$A$1:$O$24,2,FALSE)</f>
        <v>0</v>
      </c>
      <c r="Z1301" s="26"/>
      <c r="AA1301" s="26"/>
      <c r="AB1301" s="26"/>
      <c r="AC1301" s="26"/>
      <c r="AD1301" s="26"/>
      <c r="AE1301" s="26"/>
    </row>
    <row r="1302" spans="1:31" ht="21.95" customHeight="1" x14ac:dyDescent="0.25">
      <c r="A1302" s="97" t="str">
        <f>+IF(PROVEEDORES[[#This Row],[FECHA DE PAGO]]=PROVEEDORES[[#This Row],[FECHA DE FACTURACIÓN]],"DE CONTADO","CRÉDITO")</f>
        <v>DE CONTADO</v>
      </c>
      <c r="B1302" s="41" t="b">
        <f>+IF((PROVEEDORES[[#This Row],[FECHA DE PAGO]]-PROVEEDORES[[#This Row],[FECHA DE FACTURACIÓN]])&gt;PROVEEDORES[[#This Row],[PLAZO Días]],"PAGO VENCIDO")</f>
        <v>0</v>
      </c>
      <c r="C1302" s="22">
        <f>+VLOOKUP(PROVEEDORES[[#This Row],[PROVEEDOR]],TERCEROS_INFO[#All],2,FALSE)</f>
        <v>30</v>
      </c>
      <c r="D1302" s="27">
        <f>+SUMIFS(PROVEEDORES[Total],PROVEEDORES[PROVEEDOR],PROVEEDORES[[#This Row],[PROVEEDOR]],PROVEEDORES[FECHA DE PAGO],"")</f>
        <v>0</v>
      </c>
      <c r="E1302" s="27"/>
      <c r="F1302" s="62" t="str">
        <f>+VLOOKUP(PROVEEDORES[[#This Row],[PROVEEDOR]],
                       Terceros!$A:$G,
                       6,
                       FALSE)</f>
        <v/>
      </c>
      <c r="G1302" s="95">
        <v>44620</v>
      </c>
      <c r="H1302" s="28" t="s">
        <v>1010</v>
      </c>
      <c r="I1302" s="95">
        <v>44620</v>
      </c>
      <c r="J1302" s="38" t="s">
        <v>943</v>
      </c>
      <c r="K1302" s="23">
        <v>218000</v>
      </c>
      <c r="L1302" s="23"/>
      <c r="M1302" s="24">
        <v>0</v>
      </c>
      <c r="N1302" s="25"/>
      <c r="O1302" s="24">
        <v>0</v>
      </c>
      <c r="P1302" s="136">
        <f>+IF(PROVEEDORES[[#This Row],[SUBTOTAL]]&lt;PROVEEDORES[[#This Row],[base retencion]],0,PROVEEDORES[[#This Row],[retención aplicada]])</f>
        <v>0</v>
      </c>
      <c r="Q1302" s="24">
        <f>+PROVEEDORES[[#This Row],[Rete Fuente %]]*PROVEEDORES[[#This Row],[SUBTOTAL]]</f>
        <v>0</v>
      </c>
      <c r="R1302" s="23">
        <v>218000</v>
      </c>
      <c r="S130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2" s="99">
        <f ca="1">IF(PROVEEDORES[[#This Row],[FECHA DE PAGO]]=0,TODAY()-PROVEEDORES[[#This Row],[FECHA DE FACTURACIÓN]]-PROVEEDORES[[#This Row],[PLAZO Días]],0)</f>
        <v>0</v>
      </c>
      <c r="U1302" s="149">
        <f>+VLOOKUP(PROVEEDORES[[#This Row],[PROVEEDOR]],Terceros!$A:$E,5,FALSE)</f>
        <v>0</v>
      </c>
      <c r="V1302" s="150">
        <f>+YEAR(PROVEEDORES[[#This Row],[FECHA DE FACTURACIÓN]])</f>
        <v>2022</v>
      </c>
      <c r="W1302" s="150">
        <f>+MATCH(PROVEEDORES[[#This Row],[año facturado]],Retenciones!$1:$1,0)</f>
        <v>5</v>
      </c>
      <c r="X1302" s="151">
        <f>+VLOOKUP(PROVEEDORES[[#This Row],[ID RETENCION]],Retenciones!$A$1:$O$24,PROVEEDORES[[#This Row],[indicador de columna]],FALSE)</f>
        <v>0</v>
      </c>
      <c r="Y1302" s="152">
        <f>+VLOOKUP(PROVEEDORES[[#This Row],[ID RETENCION]],Retenciones!$A$1:$O$24,2,FALSE)</f>
        <v>0</v>
      </c>
      <c r="Z1302" s="26"/>
      <c r="AA1302" s="26"/>
      <c r="AB1302" s="26"/>
      <c r="AC1302" s="26"/>
      <c r="AD1302" s="26"/>
      <c r="AE1302" s="26"/>
    </row>
    <row r="1303" spans="1:31" ht="21.95" customHeight="1" x14ac:dyDescent="0.25">
      <c r="A1303" s="97" t="str">
        <f>+IF(PROVEEDORES[[#This Row],[FECHA DE PAGO]]=PROVEEDORES[[#This Row],[FECHA DE FACTURACIÓN]],"DE CONTADO","CRÉDITO")</f>
        <v>DE CONTADO</v>
      </c>
      <c r="B1303" s="41" t="b">
        <f>+IF((PROVEEDORES[[#This Row],[FECHA DE PAGO]]-PROVEEDORES[[#This Row],[FECHA DE FACTURACIÓN]])&gt;PROVEEDORES[[#This Row],[PLAZO Días]],"PAGO VENCIDO")</f>
        <v>0</v>
      </c>
      <c r="C1303" s="22">
        <f>+VLOOKUP(PROVEEDORES[[#This Row],[PROVEEDOR]],TERCEROS_INFO[#All],2,FALSE)</f>
        <v>30</v>
      </c>
      <c r="D1303" s="27">
        <f>+SUMIFS(PROVEEDORES[Total],PROVEEDORES[PROVEEDOR],PROVEEDORES[[#This Row],[PROVEEDOR]],PROVEEDORES[FECHA DE PAGO],"")</f>
        <v>0</v>
      </c>
      <c r="E1303" s="27"/>
      <c r="F1303" s="62" t="str">
        <f>+VLOOKUP(PROVEEDORES[[#This Row],[PROVEEDOR]],
                       Terceros!$A:$G,
                       6,
                       FALSE)</f>
        <v/>
      </c>
      <c r="G1303" s="95">
        <v>44620</v>
      </c>
      <c r="H1303" s="28" t="s">
        <v>1010</v>
      </c>
      <c r="I1303" s="95">
        <v>44620</v>
      </c>
      <c r="J1303" s="38" t="s">
        <v>1011</v>
      </c>
      <c r="K1303" s="23">
        <v>220000</v>
      </c>
      <c r="L1303" s="23"/>
      <c r="M1303" s="24">
        <v>0</v>
      </c>
      <c r="N1303" s="25"/>
      <c r="O1303" s="24">
        <v>0</v>
      </c>
      <c r="P1303" s="136">
        <f>+IF(PROVEEDORES[[#This Row],[SUBTOTAL]]&lt;PROVEEDORES[[#This Row],[base retencion]],0,PROVEEDORES[[#This Row],[retención aplicada]])</f>
        <v>0</v>
      </c>
      <c r="Q1303" s="24">
        <f>+PROVEEDORES[[#This Row],[Rete Fuente %]]*PROVEEDORES[[#This Row],[SUBTOTAL]]</f>
        <v>0</v>
      </c>
      <c r="R1303" s="23">
        <v>220000</v>
      </c>
      <c r="S130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3" s="99">
        <f ca="1">IF(PROVEEDORES[[#This Row],[FECHA DE PAGO]]=0,TODAY()-PROVEEDORES[[#This Row],[FECHA DE FACTURACIÓN]]-PROVEEDORES[[#This Row],[PLAZO Días]],0)</f>
        <v>0</v>
      </c>
      <c r="U1303" s="149">
        <f>+VLOOKUP(PROVEEDORES[[#This Row],[PROVEEDOR]],Terceros!$A:$E,5,FALSE)</f>
        <v>0</v>
      </c>
      <c r="V1303" s="150">
        <f>+YEAR(PROVEEDORES[[#This Row],[FECHA DE FACTURACIÓN]])</f>
        <v>2022</v>
      </c>
      <c r="W1303" s="150">
        <f>+MATCH(PROVEEDORES[[#This Row],[año facturado]],Retenciones!$1:$1,0)</f>
        <v>5</v>
      </c>
      <c r="X1303" s="151">
        <f>+VLOOKUP(PROVEEDORES[[#This Row],[ID RETENCION]],Retenciones!$A$1:$O$24,PROVEEDORES[[#This Row],[indicador de columna]],FALSE)</f>
        <v>0</v>
      </c>
      <c r="Y1303" s="152">
        <f>+VLOOKUP(PROVEEDORES[[#This Row],[ID RETENCION]],Retenciones!$A$1:$O$24,2,FALSE)</f>
        <v>0</v>
      </c>
      <c r="Z1303" s="26"/>
      <c r="AA1303" s="26"/>
      <c r="AB1303" s="26"/>
      <c r="AC1303" s="26"/>
      <c r="AD1303" s="26"/>
      <c r="AE1303" s="26"/>
    </row>
    <row r="1304" spans="1:31" ht="21.95" customHeight="1" x14ac:dyDescent="0.25">
      <c r="A1304" s="97" t="str">
        <f>+IF(PROVEEDORES[[#This Row],[FECHA DE PAGO]]=PROVEEDORES[[#This Row],[FECHA DE FACTURACIÓN]],"DE CONTADO","CRÉDITO")</f>
        <v>DE CONTADO</v>
      </c>
      <c r="B1304" s="41" t="b">
        <f>+IF((PROVEEDORES[[#This Row],[FECHA DE PAGO]]-PROVEEDORES[[#This Row],[FECHA DE FACTURACIÓN]])&gt;PROVEEDORES[[#This Row],[PLAZO Días]],"PAGO VENCIDO")</f>
        <v>0</v>
      </c>
      <c r="C1304" s="22">
        <f>+VLOOKUP(PROVEEDORES[[#This Row],[PROVEEDOR]],TERCEROS_INFO[#All],2,FALSE)</f>
        <v>30</v>
      </c>
      <c r="D1304" s="27">
        <f>+SUMIFS(PROVEEDORES[Total],PROVEEDORES[PROVEEDOR],PROVEEDORES[[#This Row],[PROVEEDOR]],PROVEEDORES[FECHA DE PAGO],"")</f>
        <v>0</v>
      </c>
      <c r="E1304" s="27"/>
      <c r="F1304" s="62" t="str">
        <f>+VLOOKUP(PROVEEDORES[[#This Row],[PROVEEDOR]],
                       Terceros!$A:$G,
                       6,
                       FALSE)</f>
        <v/>
      </c>
      <c r="G1304" s="95">
        <v>44620</v>
      </c>
      <c r="H1304" s="28" t="s">
        <v>1010</v>
      </c>
      <c r="I1304" s="95">
        <v>44620</v>
      </c>
      <c r="J1304" s="38" t="s">
        <v>180</v>
      </c>
      <c r="K1304" s="23">
        <v>320000</v>
      </c>
      <c r="L1304" s="23"/>
      <c r="M1304" s="24">
        <v>0</v>
      </c>
      <c r="N1304" s="25"/>
      <c r="O1304" s="24">
        <v>0</v>
      </c>
      <c r="P1304" s="136">
        <f>+IF(PROVEEDORES[[#This Row],[SUBTOTAL]]&lt;PROVEEDORES[[#This Row],[base retencion]],0,PROVEEDORES[[#This Row],[retención aplicada]])</f>
        <v>0</v>
      </c>
      <c r="Q1304" s="24">
        <f>+PROVEEDORES[[#This Row],[Rete Fuente %]]*PROVEEDORES[[#This Row],[SUBTOTAL]]</f>
        <v>0</v>
      </c>
      <c r="R1304" s="23">
        <v>320000</v>
      </c>
      <c r="S130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4" s="99">
        <f ca="1">IF(PROVEEDORES[[#This Row],[FECHA DE PAGO]]=0,TODAY()-PROVEEDORES[[#This Row],[FECHA DE FACTURACIÓN]]-PROVEEDORES[[#This Row],[PLAZO Días]],0)</f>
        <v>0</v>
      </c>
      <c r="U1304" s="149">
        <f>+VLOOKUP(PROVEEDORES[[#This Row],[PROVEEDOR]],Terceros!$A:$E,5,FALSE)</f>
        <v>0</v>
      </c>
      <c r="V1304" s="150">
        <f>+YEAR(PROVEEDORES[[#This Row],[FECHA DE FACTURACIÓN]])</f>
        <v>2022</v>
      </c>
      <c r="W1304" s="150">
        <f>+MATCH(PROVEEDORES[[#This Row],[año facturado]],Retenciones!$1:$1,0)</f>
        <v>5</v>
      </c>
      <c r="X1304" s="151">
        <f>+VLOOKUP(PROVEEDORES[[#This Row],[ID RETENCION]],Retenciones!$A$1:$O$24,PROVEEDORES[[#This Row],[indicador de columna]],FALSE)</f>
        <v>0</v>
      </c>
      <c r="Y1304" s="152">
        <f>+VLOOKUP(PROVEEDORES[[#This Row],[ID RETENCION]],Retenciones!$A$1:$O$24,2,FALSE)</f>
        <v>0</v>
      </c>
      <c r="Z1304" s="26"/>
      <c r="AA1304" s="26"/>
      <c r="AB1304" s="26"/>
      <c r="AC1304" s="26"/>
      <c r="AD1304" s="26"/>
      <c r="AE1304" s="26"/>
    </row>
    <row r="1305" spans="1:31" ht="21.95" customHeight="1" x14ac:dyDescent="0.25">
      <c r="A1305" s="97" t="str">
        <f>+IF(PROVEEDORES[[#This Row],[FECHA DE PAGO]]=PROVEEDORES[[#This Row],[FECHA DE FACTURACIÓN]],"DE CONTADO","CRÉDITO")</f>
        <v>CRÉDITO</v>
      </c>
      <c r="B1305" s="41" t="b">
        <f>+IF((PROVEEDORES[[#This Row],[FECHA DE PAGO]]-PROVEEDORES[[#This Row],[FECHA DE FACTURACIÓN]])&gt;PROVEEDORES[[#This Row],[PLAZO Días]],"PAGO VENCIDO")</f>
        <v>0</v>
      </c>
      <c r="C1305" s="22">
        <f>+VLOOKUP(PROVEEDORES[[#This Row],[PROVEEDOR]],TERCEROS_INFO[#All],2,FALSE)</f>
        <v>30</v>
      </c>
      <c r="D1305" s="27">
        <f>+SUMIFS(PROVEEDORES[Total],PROVEEDORES[PROVEEDOR],PROVEEDORES[[#This Row],[PROVEEDOR]],PROVEEDORES[FECHA DE PAGO],"")</f>
        <v>3215400</v>
      </c>
      <c r="E1305" s="27"/>
      <c r="F1305" s="62">
        <f>+VLOOKUP(PROVEEDORES[[#This Row],[PROVEEDOR]],
                       Terceros!$A:$G,
                       6,
                       FALSE)</f>
        <v>0</v>
      </c>
      <c r="H1305" s="28" t="s">
        <v>623</v>
      </c>
      <c r="I1305" s="95">
        <v>44617</v>
      </c>
      <c r="J1305" s="38" t="s">
        <v>1149</v>
      </c>
      <c r="K1305" s="23">
        <v>2760000</v>
      </c>
      <c r="L1305" s="23"/>
      <c r="M1305" s="24">
        <f>(PROVEEDORES[[#This Row],[SUBTOTAL]]-PROVEEDORES[[#This Row],[descuento antes de IVA]])*VLOOKUP(PROVEEDORES[[#This Row],[PROVEEDOR]],TERCEROS_INFO[#All],3,FALSE)</f>
        <v>524400</v>
      </c>
      <c r="N1305" s="25"/>
      <c r="O1305" s="24">
        <f>+PROVEEDORES[[#This Row],[Descuento sobre subtotal %]]*(PROVEEDORES[[#This Row],[SUBTOTAL]]-PROVEEDORES[[#This Row],[descuento antes de IVA]])</f>
        <v>0</v>
      </c>
      <c r="P1305" s="136">
        <f>+IF(PROVEEDORES[[#This Row],[SUBTOTAL]]&lt;PROVEEDORES[[#This Row],[base retencion]],0,PROVEEDORES[[#This Row],[retención aplicada]])</f>
        <v>2.5000000000000001E-2</v>
      </c>
      <c r="Q1305" s="24">
        <f>+PROVEEDORES[[#This Row],[Rete Fuente %]]*PROVEEDORES[[#This Row],[SUBTOTAL]]</f>
        <v>69000</v>
      </c>
      <c r="R1305" s="23">
        <f>+PROVEEDORES[[#This Row],[SUBTOTAL]]+PROVEEDORES[[#This Row],[IVA 19%]]-PROVEEDORES[[#This Row],[descuento antes de IVA]]-PROVEEDORES[[#This Row],[Descuento sobre subtotal $]]-PROVEEDORES[[#This Row],[Rete Fuente $]]</f>
        <v>3215400</v>
      </c>
      <c r="S1305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05" s="99">
        <f ca="1">IF(PROVEEDORES[[#This Row],[FECHA DE PAGO]]=0,TODAY()-PROVEEDORES[[#This Row],[FECHA DE FACTURACIÓN]]-PROVEEDORES[[#This Row],[PLAZO Días]],0)</f>
        <v>37</v>
      </c>
      <c r="U1305" s="149" t="str">
        <f>+VLOOKUP(PROVEEDORES[[#This Row],[PROVEEDOR]],Terceros!$A:$E,5,FALSE)</f>
        <v>2,5% con base</v>
      </c>
      <c r="V1305" s="150">
        <f>+YEAR(PROVEEDORES[[#This Row],[FECHA DE FACTURACIÓN]])</f>
        <v>2022</v>
      </c>
      <c r="W1305" s="150">
        <f>+MATCH(PROVEEDORES[[#This Row],[año facturado]],Retenciones!$1:$1,0)</f>
        <v>5</v>
      </c>
      <c r="X1305" s="151">
        <f>+VLOOKUP(PROVEEDORES[[#This Row],[ID RETENCION]],Retenciones!$A$1:$O$24,PROVEEDORES[[#This Row],[indicador de columna]],FALSE)</f>
        <v>1026000</v>
      </c>
      <c r="Y1305" s="152">
        <f>+VLOOKUP(PROVEEDORES[[#This Row],[ID RETENCION]],Retenciones!$A$1:$O$24,2,FALSE)</f>
        <v>2.5000000000000001E-2</v>
      </c>
      <c r="Z1305" s="26"/>
      <c r="AA1305" s="26"/>
      <c r="AB1305" s="26"/>
      <c r="AC1305" s="26"/>
      <c r="AD1305" s="26"/>
      <c r="AE1305" s="26"/>
    </row>
    <row r="1306" spans="1:31" ht="21.95" customHeight="1" x14ac:dyDescent="0.25">
      <c r="A1306" s="97" t="str">
        <f>+IF(PROVEEDORES[[#This Row],[FECHA DE PAGO]]=PROVEEDORES[[#This Row],[FECHA DE FACTURACIÓN]],"DE CONTADO","CRÉDITO")</f>
        <v>CRÉDITO</v>
      </c>
      <c r="B1306" s="41" t="str">
        <f>+IF((PROVEEDORES[[#This Row],[FECHA DE PAGO]]-PROVEEDORES[[#This Row],[FECHA DE FACTURACIÓN]])&gt;PROVEEDORES[[#This Row],[PLAZO Días]],"PAGO VENCIDO")</f>
        <v>PAGO VENCIDO</v>
      </c>
      <c r="C1306" s="22">
        <f>+VLOOKUP(PROVEEDORES[[#This Row],[PROVEEDOR]],TERCEROS_INFO[#All],2,FALSE)</f>
        <v>30</v>
      </c>
      <c r="D1306" s="27">
        <f>+SUMIFS(PROVEEDORES[Total],PROVEEDORES[PROVEEDOR],PROVEEDORES[[#This Row],[PROVEEDOR]],PROVEEDORES[FECHA DE PAGO],"")</f>
        <v>1741040.075</v>
      </c>
      <c r="E1306" s="27"/>
      <c r="F1306" s="62" t="str">
        <f>+VLOOKUP(PROVEEDORES[[#This Row],[PROVEEDOR]],
                       Terceros!$A:$G,
                       6,
                       FALSE)</f>
        <v>sfonnegra@nanicastation.com.co;facturas@nanicastation.com.co;girlesa.ruiz@servipilas.com;joriescobar64@gmail.com</v>
      </c>
      <c r="G1306" s="95">
        <v>44656</v>
      </c>
      <c r="H1306" s="28" t="s">
        <v>567</v>
      </c>
      <c r="I1306" s="95">
        <v>44620</v>
      </c>
      <c r="J1306" s="38" t="s">
        <v>1129</v>
      </c>
      <c r="K1306" s="23">
        <v>585212</v>
      </c>
      <c r="L1306" s="23"/>
      <c r="M1306" s="24">
        <v>111190.28</v>
      </c>
      <c r="N1306" s="25"/>
      <c r="O1306" s="24">
        <v>0</v>
      </c>
      <c r="P1306" s="136">
        <f>+IF(PROVEEDORES[[#This Row],[SUBTOTAL]]&lt;PROVEEDORES[[#This Row],[base retencion]],0,PROVEEDORES[[#This Row],[retención aplicada]])</f>
        <v>0</v>
      </c>
      <c r="Q1306" s="24">
        <f>+PROVEEDORES[[#This Row],[Rete Fuente %]]*PROVEEDORES[[#This Row],[SUBTOTAL]]</f>
        <v>0</v>
      </c>
      <c r="R1306" s="23">
        <v>696402.28</v>
      </c>
      <c r="S130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6" s="99">
        <f ca="1">IF(PROVEEDORES[[#This Row],[FECHA DE PAGO]]=0,TODAY()-PROVEEDORES[[#This Row],[FECHA DE FACTURACIÓN]]-PROVEEDORES[[#This Row],[PLAZO Días]],0)</f>
        <v>0</v>
      </c>
      <c r="U1306" s="149" t="str">
        <f>+VLOOKUP(PROVEEDORES[[#This Row],[PROVEEDOR]],Terceros!$A:$E,5,FALSE)</f>
        <v>2,5% con base</v>
      </c>
      <c r="V1306" s="150">
        <f>+YEAR(PROVEEDORES[[#This Row],[FECHA DE FACTURACIÓN]])</f>
        <v>2022</v>
      </c>
      <c r="W1306" s="150">
        <f>+MATCH(PROVEEDORES[[#This Row],[año facturado]],Retenciones!$1:$1,0)</f>
        <v>5</v>
      </c>
      <c r="X1306" s="151">
        <f>+VLOOKUP(PROVEEDORES[[#This Row],[ID RETENCION]],Retenciones!$A$1:$O$24,PROVEEDORES[[#This Row],[indicador de columna]],FALSE)</f>
        <v>1026000</v>
      </c>
      <c r="Y1306" s="152">
        <f>+VLOOKUP(PROVEEDORES[[#This Row],[ID RETENCION]],Retenciones!$A$1:$O$24,2,FALSE)</f>
        <v>2.5000000000000001E-2</v>
      </c>
      <c r="Z1306" s="26"/>
      <c r="AA1306" s="26"/>
      <c r="AB1306" s="26"/>
      <c r="AC1306" s="26"/>
      <c r="AD1306" s="26"/>
      <c r="AE1306" s="26"/>
    </row>
    <row r="1307" spans="1:31" ht="21.95" customHeight="1" x14ac:dyDescent="0.25">
      <c r="A1307" s="97" t="str">
        <f>+IF(PROVEEDORES[[#This Row],[FECHA DE PAGO]]=PROVEEDORES[[#This Row],[FECHA DE FACTURACIÓN]],"DE CONTADO","CRÉDITO")</f>
        <v>DE CONTADO</v>
      </c>
      <c r="B1307" s="41" t="b">
        <f>+IF((PROVEEDORES[[#This Row],[FECHA DE PAGO]]-PROVEEDORES[[#This Row],[FECHA DE FACTURACIÓN]])&gt;PROVEEDORES[[#This Row],[PLAZO Días]],"PAGO VENCIDO")</f>
        <v>0</v>
      </c>
      <c r="C1307" s="22">
        <f>+VLOOKUP(PROVEEDORES[[#This Row],[PROVEEDOR]],TERCEROS_INFO[#All],2,FALSE)</f>
        <v>30</v>
      </c>
      <c r="D1307" s="27">
        <f>+SUMIFS(PROVEEDORES[Total],PROVEEDORES[PROVEEDOR],PROVEEDORES[[#This Row],[PROVEEDOR]],PROVEEDORES[FECHA DE PAGO],"")</f>
        <v>0</v>
      </c>
      <c r="E1307" s="27"/>
      <c r="F1307" s="62" t="str">
        <f>+VLOOKUP(PROVEEDORES[[#This Row],[PROVEEDOR]],
                       Terceros!$A:$G,
                       6,
                       FALSE)</f>
        <v/>
      </c>
      <c r="G1307" s="95">
        <v>44620</v>
      </c>
      <c r="H1307" s="28" t="s">
        <v>1010</v>
      </c>
      <c r="I1307" s="95">
        <v>44620</v>
      </c>
      <c r="J1307" s="38" t="s">
        <v>940</v>
      </c>
      <c r="K1307" s="23">
        <v>4028650</v>
      </c>
      <c r="L1307" s="23"/>
      <c r="M1307" s="24">
        <v>0</v>
      </c>
      <c r="N1307" s="25"/>
      <c r="O1307" s="24">
        <v>0</v>
      </c>
      <c r="P1307" s="136">
        <f>+IF(PROVEEDORES[[#This Row],[SUBTOTAL]]&lt;PROVEEDORES[[#This Row],[base retencion]],0,PROVEEDORES[[#This Row],[retención aplicada]])</f>
        <v>0</v>
      </c>
      <c r="Q1307" s="24">
        <f>+PROVEEDORES[[#This Row],[Rete Fuente %]]*PROVEEDORES[[#This Row],[SUBTOTAL]]</f>
        <v>0</v>
      </c>
      <c r="R1307" s="23">
        <v>4028650</v>
      </c>
      <c r="S130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7" s="99">
        <f ca="1">IF(PROVEEDORES[[#This Row],[FECHA DE PAGO]]=0,TODAY()-PROVEEDORES[[#This Row],[FECHA DE FACTURACIÓN]]-PROVEEDORES[[#This Row],[PLAZO Días]],0)</f>
        <v>0</v>
      </c>
      <c r="U1307" s="149">
        <f>+VLOOKUP(PROVEEDORES[[#This Row],[PROVEEDOR]],Terceros!$A:$E,5,FALSE)</f>
        <v>0</v>
      </c>
      <c r="V1307" s="150">
        <f>+YEAR(PROVEEDORES[[#This Row],[FECHA DE FACTURACIÓN]])</f>
        <v>2022</v>
      </c>
      <c r="W1307" s="150">
        <f>+MATCH(PROVEEDORES[[#This Row],[año facturado]],Retenciones!$1:$1,0)</f>
        <v>5</v>
      </c>
      <c r="X1307" s="151">
        <f>+VLOOKUP(PROVEEDORES[[#This Row],[ID RETENCION]],Retenciones!$A$1:$O$24,PROVEEDORES[[#This Row],[indicador de columna]],FALSE)</f>
        <v>0</v>
      </c>
      <c r="Y1307" s="152">
        <f>+VLOOKUP(PROVEEDORES[[#This Row],[ID RETENCION]],Retenciones!$A$1:$O$24,2,FALSE)</f>
        <v>0</v>
      </c>
      <c r="Z1307" s="26"/>
      <c r="AA1307" s="26"/>
      <c r="AB1307" s="26"/>
      <c r="AC1307" s="26"/>
      <c r="AD1307" s="26"/>
      <c r="AE1307" s="26"/>
    </row>
    <row r="1308" spans="1:31" ht="21.95" customHeight="1" x14ac:dyDescent="0.25">
      <c r="A1308" s="97" t="str">
        <f>+IF(PROVEEDORES[[#This Row],[FECHA DE PAGO]]=PROVEEDORES[[#This Row],[FECHA DE FACTURACIÓN]],"DE CONTADO","CRÉDITO")</f>
        <v>CRÉDITO</v>
      </c>
      <c r="B1308" s="41" t="str">
        <f>+IF((PROVEEDORES[[#This Row],[FECHA DE PAGO]]-PROVEEDORES[[#This Row],[FECHA DE FACTURACIÓN]])&gt;PROVEEDORES[[#This Row],[PLAZO Días]],"PAGO VENCIDO")</f>
        <v>PAGO VENCIDO</v>
      </c>
      <c r="C1308" s="22">
        <f>+VLOOKUP(PROVEEDORES[[#This Row],[PROVEEDOR]],TERCEROS_INFO[#All],2,FALSE)</f>
        <v>30</v>
      </c>
      <c r="D1308" s="27">
        <f>+SUMIFS(PROVEEDORES[Total],PROVEEDORES[PROVEEDOR],PROVEEDORES[[#This Row],[PROVEEDOR]],PROVEEDORES[FECHA DE PAGO],"")</f>
        <v>1979529.3</v>
      </c>
      <c r="E1308" s="27"/>
      <c r="F1308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1308" s="95">
        <v>44652</v>
      </c>
      <c r="H1308" s="28" t="s">
        <v>17</v>
      </c>
      <c r="I1308" s="95">
        <v>44620</v>
      </c>
      <c r="J1308" s="38">
        <v>1882198</v>
      </c>
      <c r="K1308" s="23">
        <v>1817647</v>
      </c>
      <c r="L1308" s="23"/>
      <c r="M1308" s="24">
        <v>345352.93</v>
      </c>
      <c r="N1308" s="25"/>
      <c r="O1308" s="24">
        <v>0</v>
      </c>
      <c r="P1308" s="136">
        <f>+IF(PROVEEDORES[[#This Row],[SUBTOTAL]]&lt;PROVEEDORES[[#This Row],[base retencion]],0,PROVEEDORES[[#This Row],[retención aplicada]])</f>
        <v>0</v>
      </c>
      <c r="Q1308" s="24">
        <f>+PROVEEDORES[[#This Row],[Rete Fuente %]]*PROVEEDORES[[#This Row],[SUBTOTAL]]</f>
        <v>0</v>
      </c>
      <c r="R1308" s="23">
        <v>2162999.9300000002</v>
      </c>
      <c r="S130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8" s="99">
        <f ca="1">IF(PROVEEDORES[[#This Row],[FECHA DE PAGO]]=0,TODAY()-PROVEEDORES[[#This Row],[FECHA DE FACTURACIÓN]]-PROVEEDORES[[#This Row],[PLAZO Días]],0)</f>
        <v>0</v>
      </c>
      <c r="U1308" s="149">
        <f>+VLOOKUP(PROVEEDORES[[#This Row],[PROVEEDOR]],Terceros!$A:$E,5,FALSE)</f>
        <v>0</v>
      </c>
      <c r="V1308" s="150">
        <f>+YEAR(PROVEEDORES[[#This Row],[FECHA DE FACTURACIÓN]])</f>
        <v>2022</v>
      </c>
      <c r="W1308" s="150">
        <f>+MATCH(PROVEEDORES[[#This Row],[año facturado]],Retenciones!$1:$1,0)</f>
        <v>5</v>
      </c>
      <c r="X1308" s="151">
        <f>+VLOOKUP(PROVEEDORES[[#This Row],[ID RETENCION]],Retenciones!$A$1:$O$24,PROVEEDORES[[#This Row],[indicador de columna]],FALSE)</f>
        <v>0</v>
      </c>
      <c r="Y1308" s="152">
        <f>+VLOOKUP(PROVEEDORES[[#This Row],[ID RETENCION]],Retenciones!$A$1:$O$24,2,FALSE)</f>
        <v>0</v>
      </c>
      <c r="Z1308" s="26"/>
      <c r="AA1308" s="26"/>
      <c r="AB1308" s="26"/>
      <c r="AC1308" s="26"/>
      <c r="AD1308" s="26"/>
      <c r="AE1308" s="26"/>
    </row>
    <row r="1309" spans="1:31" ht="21.95" customHeight="1" x14ac:dyDescent="0.25">
      <c r="A1309" s="97" t="str">
        <f>+IF(PROVEEDORES[[#This Row],[FECHA DE PAGO]]=PROVEEDORES[[#This Row],[FECHA DE FACTURACIÓN]],"DE CONTADO","CRÉDITO")</f>
        <v>CRÉDITO</v>
      </c>
      <c r="B1309" s="41" t="b">
        <f>+IF((PROVEEDORES[[#This Row],[FECHA DE PAGO]]-PROVEEDORES[[#This Row],[FECHA DE FACTURACIÓN]])&gt;PROVEEDORES[[#This Row],[PLAZO Días]],"PAGO VENCIDO")</f>
        <v>0</v>
      </c>
      <c r="C1309" s="22">
        <f>+VLOOKUP(PROVEEDORES[[#This Row],[PROVEEDOR]],TERCEROS_INFO[#All],2,FALSE)</f>
        <v>30</v>
      </c>
      <c r="D1309" s="27">
        <f>+SUMIFS(PROVEEDORES[Total],PROVEEDORES[PROVEEDOR],PROVEEDORES[[#This Row],[PROVEEDOR]],PROVEEDORES[FECHA DE PAGO],"")</f>
        <v>0</v>
      </c>
      <c r="E1309" s="27"/>
      <c r="F1309" s="62" t="str">
        <f>+VLOOKUP(PROVEEDORES[[#This Row],[PROVEEDOR]],
                       Terceros!$A:$G,
                       6,
                       FALSE)</f>
        <v>PSE</v>
      </c>
      <c r="G1309" s="95">
        <v>44630</v>
      </c>
      <c r="H1309" s="28" t="s">
        <v>350</v>
      </c>
      <c r="I1309" s="95">
        <v>44621</v>
      </c>
      <c r="J1309" s="38" t="s">
        <v>351</v>
      </c>
      <c r="K1309" s="23">
        <v>800264</v>
      </c>
      <c r="L1309" s="23"/>
      <c r="M1309" s="24">
        <v>0</v>
      </c>
      <c r="N1309" s="25"/>
      <c r="O1309" s="24">
        <v>0</v>
      </c>
      <c r="P1309" s="136">
        <f>+IF(PROVEEDORES[[#This Row],[SUBTOTAL]]&lt;PROVEEDORES[[#This Row],[base retencion]],0,PROVEEDORES[[#This Row],[retención aplicada]])</f>
        <v>0</v>
      </c>
      <c r="Q1309" s="24">
        <f>+PROVEEDORES[[#This Row],[Rete Fuente %]]*PROVEEDORES[[#This Row],[SUBTOTAL]]</f>
        <v>0</v>
      </c>
      <c r="R1309" s="23">
        <v>800264</v>
      </c>
      <c r="S130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9" s="99">
        <f ca="1">IF(PROVEEDORES[[#This Row],[FECHA DE PAGO]]=0,TODAY()-PROVEEDORES[[#This Row],[FECHA DE FACTURACIÓN]]-PROVEEDORES[[#This Row],[PLAZO Días]],0)</f>
        <v>0</v>
      </c>
      <c r="U1309" s="149">
        <f>+VLOOKUP(PROVEEDORES[[#This Row],[PROVEEDOR]],Terceros!$A:$E,5,FALSE)</f>
        <v>0</v>
      </c>
      <c r="V1309" s="150">
        <f>+YEAR(PROVEEDORES[[#This Row],[FECHA DE FACTURACIÓN]])</f>
        <v>2022</v>
      </c>
      <c r="W1309" s="150">
        <f>+MATCH(PROVEEDORES[[#This Row],[año facturado]],Retenciones!$1:$1,0)</f>
        <v>5</v>
      </c>
      <c r="X1309" s="151">
        <f>+VLOOKUP(PROVEEDORES[[#This Row],[ID RETENCION]],Retenciones!$A$1:$O$24,PROVEEDORES[[#This Row],[indicador de columna]],FALSE)</f>
        <v>0</v>
      </c>
      <c r="Y1309" s="152">
        <f>+VLOOKUP(PROVEEDORES[[#This Row],[ID RETENCION]],Retenciones!$A$1:$O$24,2,FALSE)</f>
        <v>0</v>
      </c>
      <c r="Z1309" s="26"/>
      <c r="AA1309" s="26"/>
      <c r="AB1309" s="26"/>
      <c r="AC1309" s="26"/>
      <c r="AD1309" s="26"/>
      <c r="AE1309" s="26"/>
    </row>
    <row r="1310" spans="1:31" ht="21.95" customHeight="1" x14ac:dyDescent="0.25">
      <c r="A1310" s="97" t="str">
        <f>+IF(PROVEEDORES[[#This Row],[FECHA DE PAGO]]=PROVEEDORES[[#This Row],[FECHA DE FACTURACIÓN]],"DE CONTADO","CRÉDITO")</f>
        <v>CRÉDITO</v>
      </c>
      <c r="B1310" s="41" t="b">
        <f>+IF((PROVEEDORES[[#This Row],[FECHA DE PAGO]]-PROVEEDORES[[#This Row],[FECHA DE FACTURACIÓN]])&gt;PROVEEDORES[[#This Row],[PLAZO Días]],"PAGO VENCIDO")</f>
        <v>0</v>
      </c>
      <c r="C1310" s="22">
        <f>+VLOOKUP(PROVEEDORES[[#This Row],[PROVEEDOR]],TERCEROS_INFO[#All],2,FALSE)</f>
        <v>30</v>
      </c>
      <c r="D1310" s="27">
        <f>+SUMIFS(PROVEEDORES[Total],PROVEEDORES[PROVEEDOR],PROVEEDORES[[#This Row],[PROVEEDOR]],PROVEEDORES[FECHA DE PAGO],"")</f>
        <v>0</v>
      </c>
      <c r="E1310" s="27"/>
      <c r="F1310" s="62" t="str">
        <f>+VLOOKUP(PROVEEDORES[[#This Row],[PROVEEDOR]],
                       Terceros!$A:$G,
                       6,
                       FALSE)</f>
        <v>PSE</v>
      </c>
      <c r="G1310" s="95">
        <v>44630</v>
      </c>
      <c r="H1310" s="28" t="s">
        <v>350</v>
      </c>
      <c r="I1310" s="95">
        <v>44621</v>
      </c>
      <c r="J1310" s="38" t="s">
        <v>352</v>
      </c>
      <c r="K1310" s="23">
        <v>818874</v>
      </c>
      <c r="L1310" s="23"/>
      <c r="M1310" s="24">
        <v>0</v>
      </c>
      <c r="N1310" s="25"/>
      <c r="O1310" s="24">
        <v>0</v>
      </c>
      <c r="P1310" s="136">
        <f>+IF(PROVEEDORES[[#This Row],[SUBTOTAL]]&lt;PROVEEDORES[[#This Row],[base retencion]],0,PROVEEDORES[[#This Row],[retención aplicada]])</f>
        <v>0</v>
      </c>
      <c r="Q1310" s="24">
        <f>+PROVEEDORES[[#This Row],[Rete Fuente %]]*PROVEEDORES[[#This Row],[SUBTOTAL]]</f>
        <v>0</v>
      </c>
      <c r="R1310" s="23">
        <v>818874</v>
      </c>
      <c r="S131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0" s="99">
        <f ca="1">IF(PROVEEDORES[[#This Row],[FECHA DE PAGO]]=0,TODAY()-PROVEEDORES[[#This Row],[FECHA DE FACTURACIÓN]]-PROVEEDORES[[#This Row],[PLAZO Días]],0)</f>
        <v>0</v>
      </c>
      <c r="U1310" s="149">
        <f>+VLOOKUP(PROVEEDORES[[#This Row],[PROVEEDOR]],Terceros!$A:$E,5,FALSE)</f>
        <v>0</v>
      </c>
      <c r="V1310" s="150">
        <f>+YEAR(PROVEEDORES[[#This Row],[FECHA DE FACTURACIÓN]])</f>
        <v>2022</v>
      </c>
      <c r="W1310" s="150">
        <f>+MATCH(PROVEEDORES[[#This Row],[año facturado]],Retenciones!$1:$1,0)</f>
        <v>5</v>
      </c>
      <c r="X1310" s="151">
        <f>+VLOOKUP(PROVEEDORES[[#This Row],[ID RETENCION]],Retenciones!$A$1:$O$24,PROVEEDORES[[#This Row],[indicador de columna]],FALSE)</f>
        <v>0</v>
      </c>
      <c r="Y1310" s="152">
        <f>+VLOOKUP(PROVEEDORES[[#This Row],[ID RETENCION]],Retenciones!$A$1:$O$24,2,FALSE)</f>
        <v>0</v>
      </c>
      <c r="Z1310" s="26"/>
      <c r="AA1310" s="26"/>
      <c r="AB1310" s="26"/>
      <c r="AC1310" s="26"/>
      <c r="AD1310" s="26"/>
      <c r="AE1310" s="26"/>
    </row>
    <row r="1311" spans="1:31" ht="21.95" customHeight="1" x14ac:dyDescent="0.25">
      <c r="A1311" s="97" t="str">
        <f>+IF(PROVEEDORES[[#This Row],[FECHA DE PAGO]]=PROVEEDORES[[#This Row],[FECHA DE FACTURACIÓN]],"DE CONTADO","CRÉDITO")</f>
        <v>CRÉDITO</v>
      </c>
      <c r="B1311" s="41" t="b">
        <f>+IF((PROVEEDORES[[#This Row],[FECHA DE PAGO]]-PROVEEDORES[[#This Row],[FECHA DE FACTURACIÓN]])&gt;PROVEEDORES[[#This Row],[PLAZO Días]],"PAGO VENCIDO")</f>
        <v>0</v>
      </c>
      <c r="C1311" s="22">
        <f>+VLOOKUP(PROVEEDORES[[#This Row],[PROVEEDOR]],TERCEROS_INFO[#All],2,FALSE)</f>
        <v>20</v>
      </c>
      <c r="D1311" s="27">
        <f>+SUMIFS(PROVEEDORES[Total],PROVEEDORES[PROVEEDOR],PROVEEDORES[[#This Row],[PROVEEDOR]],PROVEEDORES[FECHA DE PAGO],"")</f>
        <v>0</v>
      </c>
      <c r="E1311" s="27"/>
      <c r="F1311" s="62" t="str">
        <f>+VLOOKUP(PROVEEDORES[[#This Row],[PROVEEDOR]],
                       Terceros!$A:$G,
                       6,
                       FALSE)</f>
        <v>pse</v>
      </c>
      <c r="G1311" s="95">
        <v>44630</v>
      </c>
      <c r="H1311" s="28" t="s">
        <v>371</v>
      </c>
      <c r="I1311" s="95">
        <v>44621</v>
      </c>
      <c r="J1311" s="38"/>
      <c r="K1311" s="23">
        <v>941847</v>
      </c>
      <c r="L1311" s="23"/>
      <c r="M1311" s="24">
        <v>0</v>
      </c>
      <c r="N1311" s="25"/>
      <c r="O1311" s="24">
        <v>0</v>
      </c>
      <c r="P1311" s="136">
        <f>+IF(PROVEEDORES[[#This Row],[SUBTOTAL]]&lt;PROVEEDORES[[#This Row],[base retencion]],0,PROVEEDORES[[#This Row],[retención aplicada]])</f>
        <v>0</v>
      </c>
      <c r="Q1311" s="24">
        <f>+PROVEEDORES[[#This Row],[Rete Fuente %]]*PROVEEDORES[[#This Row],[SUBTOTAL]]</f>
        <v>0</v>
      </c>
      <c r="R1311" s="23">
        <v>941847</v>
      </c>
      <c r="S131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1" s="99">
        <f ca="1">IF(PROVEEDORES[[#This Row],[FECHA DE PAGO]]=0,TODAY()-PROVEEDORES[[#This Row],[FECHA DE FACTURACIÓN]]-PROVEEDORES[[#This Row],[PLAZO Días]],0)</f>
        <v>0</v>
      </c>
      <c r="U1311" s="149">
        <f>+VLOOKUP(PROVEEDORES[[#This Row],[PROVEEDOR]],Terceros!$A:$E,5,FALSE)</f>
        <v>0</v>
      </c>
      <c r="V1311" s="150">
        <f>+YEAR(PROVEEDORES[[#This Row],[FECHA DE FACTURACIÓN]])</f>
        <v>2022</v>
      </c>
      <c r="W1311" s="150">
        <f>+MATCH(PROVEEDORES[[#This Row],[año facturado]],Retenciones!$1:$1,0)</f>
        <v>5</v>
      </c>
      <c r="X1311" s="151">
        <f>+VLOOKUP(PROVEEDORES[[#This Row],[ID RETENCION]],Retenciones!$A$1:$O$24,PROVEEDORES[[#This Row],[indicador de columna]],FALSE)</f>
        <v>0</v>
      </c>
      <c r="Y1311" s="152">
        <f>+VLOOKUP(PROVEEDORES[[#This Row],[ID RETENCION]],Retenciones!$A$1:$O$24,2,FALSE)</f>
        <v>0</v>
      </c>
      <c r="Z1311" s="26"/>
      <c r="AA1311" s="26"/>
      <c r="AB1311" s="26"/>
      <c r="AC1311" s="26"/>
      <c r="AD1311" s="26"/>
      <c r="AE1311" s="26"/>
    </row>
    <row r="1312" spans="1:31" ht="21.95" customHeight="1" x14ac:dyDescent="0.25">
      <c r="A1312" s="97" t="str">
        <f>+IF(PROVEEDORES[[#This Row],[FECHA DE PAGO]]=PROVEEDORES[[#This Row],[FECHA DE FACTURACIÓN]],"DE CONTADO","CRÉDITO")</f>
        <v>CRÉDITO</v>
      </c>
      <c r="B1312" s="41" t="b">
        <f>+IF((PROVEEDORES[[#This Row],[FECHA DE PAGO]]-PROVEEDORES[[#This Row],[FECHA DE FACTURACIÓN]])&gt;PROVEEDORES[[#This Row],[PLAZO Días]],"PAGO VENCIDO")</f>
        <v>0</v>
      </c>
      <c r="C1312" s="22">
        <f>+VLOOKUP(PROVEEDORES[[#This Row],[PROVEEDOR]],TERCEROS_INFO[#All],2,FALSE)</f>
        <v>20</v>
      </c>
      <c r="D1312" s="27">
        <f>+SUMIFS(PROVEEDORES[Total],PROVEEDORES[PROVEEDOR],PROVEEDORES[[#This Row],[PROVEEDOR]],PROVEEDORES[FECHA DE PAGO],"")</f>
        <v>0</v>
      </c>
      <c r="E1312" s="27"/>
      <c r="F1312" s="62" t="str">
        <f>+VLOOKUP(PROVEEDORES[[#This Row],[PROVEEDOR]],
                       Terceros!$A:$G,
                       6,
                       FALSE)</f>
        <v>pse</v>
      </c>
      <c r="G1312" s="95">
        <v>44638</v>
      </c>
      <c r="H1312" s="28" t="s">
        <v>370</v>
      </c>
      <c r="I1312" s="95">
        <v>44621</v>
      </c>
      <c r="J1312" s="38"/>
      <c r="K1312" s="23">
        <v>326243</v>
      </c>
      <c r="L1312" s="23"/>
      <c r="M1312" s="24">
        <v>0</v>
      </c>
      <c r="N1312" s="25"/>
      <c r="O1312" s="24">
        <v>0</v>
      </c>
      <c r="P1312" s="136">
        <f>+IF(PROVEEDORES[[#This Row],[SUBTOTAL]]&lt;PROVEEDORES[[#This Row],[base retencion]],0,PROVEEDORES[[#This Row],[retención aplicada]])</f>
        <v>0</v>
      </c>
      <c r="Q1312" s="24">
        <f>+PROVEEDORES[[#This Row],[Rete Fuente %]]*PROVEEDORES[[#This Row],[SUBTOTAL]]</f>
        <v>0</v>
      </c>
      <c r="R1312" s="23">
        <v>326243</v>
      </c>
      <c r="S131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2" s="99">
        <f ca="1">IF(PROVEEDORES[[#This Row],[FECHA DE PAGO]]=0,TODAY()-PROVEEDORES[[#This Row],[FECHA DE FACTURACIÓN]]-PROVEEDORES[[#This Row],[PLAZO Días]],0)</f>
        <v>0</v>
      </c>
      <c r="U1312" s="149">
        <f>+VLOOKUP(PROVEEDORES[[#This Row],[PROVEEDOR]],Terceros!$A:$E,5,FALSE)</f>
        <v>0</v>
      </c>
      <c r="V1312" s="150">
        <f>+YEAR(PROVEEDORES[[#This Row],[FECHA DE FACTURACIÓN]])</f>
        <v>2022</v>
      </c>
      <c r="W1312" s="150">
        <f>+MATCH(PROVEEDORES[[#This Row],[año facturado]],Retenciones!$1:$1,0)</f>
        <v>5</v>
      </c>
      <c r="X1312" s="151">
        <f>+VLOOKUP(PROVEEDORES[[#This Row],[ID RETENCION]],Retenciones!$A$1:$O$24,PROVEEDORES[[#This Row],[indicador de columna]],FALSE)</f>
        <v>0</v>
      </c>
      <c r="Y1312" s="152">
        <f>+VLOOKUP(PROVEEDORES[[#This Row],[ID RETENCION]],Retenciones!$A$1:$O$24,2,FALSE)</f>
        <v>0</v>
      </c>
      <c r="Z1312" s="26"/>
      <c r="AA1312" s="26"/>
      <c r="AB1312" s="26"/>
      <c r="AC1312" s="26"/>
      <c r="AD1312" s="26"/>
      <c r="AE1312" s="26"/>
    </row>
    <row r="1313" spans="1:31" ht="21.95" customHeight="1" x14ac:dyDescent="0.25">
      <c r="A1313" s="97" t="str">
        <f>+IF(PROVEEDORES[[#This Row],[FECHA DE PAGO]]=PROVEEDORES[[#This Row],[FECHA DE FACTURACIÓN]],"DE CONTADO","CRÉDITO")</f>
        <v>CRÉDITO</v>
      </c>
      <c r="B1313" s="41" t="b">
        <f>+IF((PROVEEDORES[[#This Row],[FECHA DE PAGO]]-PROVEEDORES[[#This Row],[FECHA DE FACTURACIÓN]])&gt;PROVEEDORES[[#This Row],[PLAZO Días]],"PAGO VENCIDO")</f>
        <v>0</v>
      </c>
      <c r="C1313" s="22">
        <f>+VLOOKUP(PROVEEDORES[[#This Row],[PROVEEDOR]],TERCEROS_INFO[#All],2,FALSE)</f>
        <v>30</v>
      </c>
      <c r="D1313" s="27">
        <f>+SUMIFS(PROVEEDORES[Total],PROVEEDORES[PROVEEDOR],PROVEEDORES[[#This Row],[PROVEEDOR]],PROVEEDORES[FECHA DE PAGO],"")</f>
        <v>0</v>
      </c>
      <c r="E1313" s="27"/>
      <c r="F1313" s="62" t="str">
        <f>+VLOOKUP(PROVEEDORES[[#This Row],[PROVEEDOR]],
                       Terceros!$A:$G,
                       6,
                       FALSE)</f>
        <v>girlesa.ruiz@servipilas.com;joriescobar64@gmail.com</v>
      </c>
      <c r="G1313" s="95">
        <v>44648</v>
      </c>
      <c r="H1313" s="28" t="s">
        <v>336</v>
      </c>
      <c r="I1313" s="95">
        <v>44621</v>
      </c>
      <c r="J1313" s="38" t="s">
        <v>1114</v>
      </c>
      <c r="K1313" s="23">
        <v>3958317</v>
      </c>
      <c r="L1313" s="23"/>
      <c r="M1313" s="24">
        <v>0</v>
      </c>
      <c r="N1313" s="25"/>
      <c r="O1313" s="24">
        <v>0</v>
      </c>
      <c r="P1313" s="136">
        <f>+IF(PROVEEDORES[[#This Row],[SUBTOTAL]]&lt;PROVEEDORES[[#This Row],[base retencion]],0,PROVEEDORES[[#This Row],[retención aplicada]])</f>
        <v>3.5000000000000003E-2</v>
      </c>
      <c r="Q1313" s="24">
        <f>+PROVEEDORES[[#This Row],[Rete Fuente %]]*PROVEEDORES[[#This Row],[SUBTOTAL]]</f>
        <v>138541.095</v>
      </c>
      <c r="R1313" s="23">
        <v>3819775.9049999998</v>
      </c>
      <c r="S131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3" s="99">
        <f ca="1">IF(PROVEEDORES[[#This Row],[FECHA DE PAGO]]=0,TODAY()-PROVEEDORES[[#This Row],[FECHA DE FACTURACIÓN]]-PROVEEDORES[[#This Row],[PLAZO Días]],0)</f>
        <v>0</v>
      </c>
      <c r="U1313" s="149" t="str">
        <f>+VLOOKUP(PROVEEDORES[[#This Row],[PROVEEDOR]],Terceros!$A:$E,5,FALSE)</f>
        <v>3,5% sin base</v>
      </c>
      <c r="V1313" s="150">
        <f>+YEAR(PROVEEDORES[[#This Row],[FECHA DE FACTURACIÓN]])</f>
        <v>2022</v>
      </c>
      <c r="W1313" s="150">
        <f>+MATCH(PROVEEDORES[[#This Row],[año facturado]],Retenciones!$1:$1,0)</f>
        <v>5</v>
      </c>
      <c r="X1313" s="151">
        <f>+VLOOKUP(PROVEEDORES[[#This Row],[ID RETENCION]],Retenciones!$A$1:$O$24,PROVEEDORES[[#This Row],[indicador de columna]],FALSE)</f>
        <v>0</v>
      </c>
      <c r="Y1313" s="152">
        <f>+VLOOKUP(PROVEEDORES[[#This Row],[ID RETENCION]],Retenciones!$A$1:$O$24,2,FALSE)</f>
        <v>3.5000000000000003E-2</v>
      </c>
      <c r="Z1313" s="26"/>
      <c r="AA1313" s="26"/>
      <c r="AB1313" s="26"/>
      <c r="AC1313" s="26"/>
      <c r="AD1313" s="26"/>
      <c r="AE1313" s="26"/>
    </row>
    <row r="1314" spans="1:31" ht="21.95" customHeight="1" x14ac:dyDescent="0.25">
      <c r="A1314" s="97" t="str">
        <f>+IF(PROVEEDORES[[#This Row],[FECHA DE PAGO]]=PROVEEDORES[[#This Row],[FECHA DE FACTURACIÓN]],"DE CONTADO","CRÉDITO")</f>
        <v>CRÉDITO</v>
      </c>
      <c r="B1314" s="41" t="str">
        <f>+IF((PROVEEDORES[[#This Row],[FECHA DE PAGO]]-PROVEEDORES[[#This Row],[FECHA DE FACTURACIÓN]])&gt;PROVEEDORES[[#This Row],[PLAZO Días]],"PAGO VENCIDO")</f>
        <v>PAGO VENCIDO</v>
      </c>
      <c r="C1314" s="22">
        <f>+VLOOKUP(PROVEEDORES[[#This Row],[PROVEEDOR]],TERCEROS_INFO[#All],2,FALSE)</f>
        <v>30</v>
      </c>
      <c r="D1314" s="27">
        <f>+SUMIFS(PROVEEDORES[Total],PROVEEDORES[PROVEEDOR],PROVEEDORES[[#This Row],[PROVEEDOR]],PROVEEDORES[FECHA DE PAGO],"")</f>
        <v>4862586.33</v>
      </c>
      <c r="E1314" s="27"/>
      <c r="F1314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1314" s="95">
        <v>44650</v>
      </c>
      <c r="H1314" s="28" t="s">
        <v>345</v>
      </c>
      <c r="I1314" s="95">
        <v>44617</v>
      </c>
      <c r="J1314" s="38" t="s">
        <v>1103</v>
      </c>
      <c r="K1314" s="23">
        <v>-692129.53</v>
      </c>
      <c r="L1314" s="23"/>
      <c r="M1314" s="24">
        <v>0</v>
      </c>
      <c r="N1314" s="25"/>
      <c r="O1314" s="24">
        <v>0</v>
      </c>
      <c r="P1314" s="136">
        <f>+IF(PROVEEDORES[[#This Row],[SUBTOTAL]]&lt;PROVEEDORES[[#This Row],[base retencion]],0,PROVEEDORES[[#This Row],[retención aplicada]])</f>
        <v>0</v>
      </c>
      <c r="Q1314" s="24">
        <f>+PROVEEDORES[[#This Row],[Rete Fuente %]]*PROVEEDORES[[#This Row],[SUBTOTAL]]</f>
        <v>0</v>
      </c>
      <c r="R1314" s="23">
        <v>-692129.53</v>
      </c>
      <c r="S131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4" s="99">
        <f ca="1">IF(PROVEEDORES[[#This Row],[FECHA DE PAGO]]=0,TODAY()-PROVEEDORES[[#This Row],[FECHA DE FACTURACIÓN]]-PROVEEDORES[[#This Row],[PLAZO Días]],0)</f>
        <v>0</v>
      </c>
      <c r="U1314" s="149">
        <f>+VLOOKUP(PROVEEDORES[[#This Row],[PROVEEDOR]],Terceros!$A:$E,5,FALSE)</f>
        <v>0</v>
      </c>
      <c r="V1314" s="150">
        <f>+YEAR(PROVEEDORES[[#This Row],[FECHA DE FACTURACIÓN]])</f>
        <v>2022</v>
      </c>
      <c r="W1314" s="150">
        <f>+MATCH(PROVEEDORES[[#This Row],[año facturado]],Retenciones!$1:$1,0)</f>
        <v>5</v>
      </c>
      <c r="X1314" s="151">
        <f>+VLOOKUP(PROVEEDORES[[#This Row],[ID RETENCION]],Retenciones!$A$1:$O$24,PROVEEDORES[[#This Row],[indicador de columna]],FALSE)</f>
        <v>0</v>
      </c>
      <c r="Y1314" s="152">
        <f>+VLOOKUP(PROVEEDORES[[#This Row],[ID RETENCION]],Retenciones!$A$1:$O$24,2,FALSE)</f>
        <v>0</v>
      </c>
      <c r="Z1314" s="26"/>
      <c r="AA1314" s="26"/>
      <c r="AB1314" s="26"/>
      <c r="AC1314" s="26"/>
      <c r="AD1314" s="26"/>
      <c r="AE1314" s="26"/>
    </row>
    <row r="1315" spans="1:31" ht="21.95" customHeight="1" x14ac:dyDescent="0.25">
      <c r="A1315" s="97" t="str">
        <f>+IF(PROVEEDORES[[#This Row],[FECHA DE PAGO]]=PROVEEDORES[[#This Row],[FECHA DE FACTURACIÓN]],"DE CONTADO","CRÉDITO")</f>
        <v>CRÉDITO</v>
      </c>
      <c r="B1315" s="41" t="str">
        <f>+IF((PROVEEDORES[[#This Row],[FECHA DE PAGO]]-PROVEEDORES[[#This Row],[FECHA DE FACTURACIÓN]])&gt;PROVEEDORES[[#This Row],[PLAZO Días]],"PAGO VENCIDO")</f>
        <v>PAGO VENCIDO</v>
      </c>
      <c r="C1315" s="22">
        <f>+VLOOKUP(PROVEEDORES[[#This Row],[PROVEEDOR]],TERCEROS_INFO[#All],2,FALSE)</f>
        <v>30</v>
      </c>
      <c r="D1315" s="27">
        <f>+SUMIFS(PROVEEDORES[Total],PROVEEDORES[PROVEEDOR],PROVEEDORES[[#This Row],[PROVEEDOR]],PROVEEDORES[FECHA DE PAGO],"")</f>
        <v>5463150</v>
      </c>
      <c r="E1315" s="27"/>
      <c r="F1315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1315" s="95">
        <v>44650</v>
      </c>
      <c r="H1315" s="28" t="s">
        <v>344</v>
      </c>
      <c r="I1315" s="95">
        <v>44617</v>
      </c>
      <c r="J1315" s="38" t="s">
        <v>1116</v>
      </c>
      <c r="K1315" s="23">
        <v>-248736</v>
      </c>
      <c r="L1315" s="23"/>
      <c r="M1315" s="24">
        <v>-47259.840000000004</v>
      </c>
      <c r="N1315" s="25"/>
      <c r="O1315" s="24">
        <v>0</v>
      </c>
      <c r="P1315" s="136">
        <f>+IF(PROVEEDORES[[#This Row],[SUBTOTAL]]&lt;PROVEEDORES[[#This Row],[base retencion]],0,PROVEEDORES[[#This Row],[retención aplicada]])</f>
        <v>0</v>
      </c>
      <c r="Q1315" s="24">
        <f>+PROVEEDORES[[#This Row],[Rete Fuente %]]*PROVEEDORES[[#This Row],[SUBTOTAL]]</f>
        <v>0</v>
      </c>
      <c r="R1315" s="23">
        <v>-295995.84000000003</v>
      </c>
      <c r="S131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5" s="99">
        <f ca="1">IF(PROVEEDORES[[#This Row],[FECHA DE PAGO]]=0,TODAY()-PROVEEDORES[[#This Row],[FECHA DE FACTURACIÓN]]-PROVEEDORES[[#This Row],[PLAZO Días]],0)</f>
        <v>0</v>
      </c>
      <c r="U1315" s="149" t="str">
        <f>+VLOOKUP(PROVEEDORES[[#This Row],[PROVEEDOR]],Terceros!$A:$E,5,FALSE)</f>
        <v>3,5% con base</v>
      </c>
      <c r="V1315" s="150">
        <f>+YEAR(PROVEEDORES[[#This Row],[FECHA DE FACTURACIÓN]])</f>
        <v>2022</v>
      </c>
      <c r="W1315" s="150">
        <f>+MATCH(PROVEEDORES[[#This Row],[año facturado]],Retenciones!$1:$1,0)</f>
        <v>5</v>
      </c>
      <c r="X1315" s="151">
        <f>+VLOOKUP(PROVEEDORES[[#This Row],[ID RETENCION]],Retenciones!$A$1:$O$24,PROVEEDORES[[#This Row],[indicador de columna]],FALSE)</f>
        <v>1026000</v>
      </c>
      <c r="Y1315" s="152">
        <f>+VLOOKUP(PROVEEDORES[[#This Row],[ID RETENCION]],Retenciones!$A$1:$O$24,2,FALSE)</f>
        <v>3.5000000000000003E-2</v>
      </c>
      <c r="Z1315" s="26"/>
      <c r="AA1315" s="26"/>
      <c r="AB1315" s="26"/>
      <c r="AC1315" s="26"/>
      <c r="AD1315" s="26"/>
      <c r="AE1315" s="26"/>
    </row>
    <row r="1316" spans="1:31" ht="21.95" customHeight="1" x14ac:dyDescent="0.25">
      <c r="A1316" s="97" t="str">
        <f>+IF(PROVEEDORES[[#This Row],[FECHA DE PAGO]]=PROVEEDORES[[#This Row],[FECHA DE FACTURACIÓN]],"DE CONTADO","CRÉDITO")</f>
        <v>CRÉDITO</v>
      </c>
      <c r="B1316" s="41" t="b">
        <f>+IF((PROVEEDORES[[#This Row],[FECHA DE PAGO]]-PROVEEDORES[[#This Row],[FECHA DE FACTURACIÓN]])&gt;PROVEEDORES[[#This Row],[PLAZO Días]],"PAGO VENCIDO")</f>
        <v>0</v>
      </c>
      <c r="C1316" s="22">
        <f>+VLOOKUP(PROVEEDORES[[#This Row],[PROVEEDOR]],TERCEROS_INFO[#All],2,FALSE)</f>
        <v>30</v>
      </c>
      <c r="D1316" s="27">
        <f>+SUMIFS(PROVEEDORES[Total],PROVEEDORES[PROVEEDOR],PROVEEDORES[[#This Row],[PROVEEDOR]],PROVEEDORES[FECHA DE PAGO],"")</f>
        <v>248736.18000000002</v>
      </c>
      <c r="E1316" s="27"/>
      <c r="F1316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G1316" s="95">
        <v>44650</v>
      </c>
      <c r="H1316" s="28" t="s">
        <v>343</v>
      </c>
      <c r="I1316" s="95">
        <v>44621</v>
      </c>
      <c r="J1316" s="38">
        <v>4395</v>
      </c>
      <c r="K1316" s="23">
        <v>215356</v>
      </c>
      <c r="L1316" s="23"/>
      <c r="M1316" s="24">
        <v>40917.64</v>
      </c>
      <c r="N1316" s="25"/>
      <c r="O1316" s="24">
        <v>0</v>
      </c>
      <c r="P1316" s="136">
        <f>+IF(PROVEEDORES[[#This Row],[SUBTOTAL]]&lt;PROVEEDORES[[#This Row],[base retencion]],0,PROVEEDORES[[#This Row],[retención aplicada]])</f>
        <v>3.5000000000000003E-2</v>
      </c>
      <c r="Q1316" s="24">
        <f>+PROVEEDORES[[#This Row],[Rete Fuente %]]*PROVEEDORES[[#This Row],[SUBTOTAL]]</f>
        <v>7537.4600000000009</v>
      </c>
      <c r="R1316" s="23">
        <v>248736.18000000002</v>
      </c>
      <c r="S131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6" s="99">
        <f ca="1">IF(PROVEEDORES[[#This Row],[FECHA DE PAGO]]=0,TODAY()-PROVEEDORES[[#This Row],[FECHA DE FACTURACIÓN]]-PROVEEDORES[[#This Row],[PLAZO Días]],0)</f>
        <v>0</v>
      </c>
      <c r="U1316" s="149" t="str">
        <f>+VLOOKUP(PROVEEDORES[[#This Row],[PROVEEDOR]],Terceros!$A:$E,5,FALSE)</f>
        <v>3,5% sin base</v>
      </c>
      <c r="V1316" s="150">
        <f>+YEAR(PROVEEDORES[[#This Row],[FECHA DE FACTURACIÓN]])</f>
        <v>2022</v>
      </c>
      <c r="W1316" s="150">
        <f>+MATCH(PROVEEDORES[[#This Row],[año facturado]],Retenciones!$1:$1,0)</f>
        <v>5</v>
      </c>
      <c r="X1316" s="151">
        <f>+VLOOKUP(PROVEEDORES[[#This Row],[ID RETENCION]],Retenciones!$A$1:$O$24,PROVEEDORES[[#This Row],[indicador de columna]],FALSE)</f>
        <v>0</v>
      </c>
      <c r="Y1316" s="152">
        <f>+VLOOKUP(PROVEEDORES[[#This Row],[ID RETENCION]],Retenciones!$A$1:$O$24,2,FALSE)</f>
        <v>3.5000000000000003E-2</v>
      </c>
      <c r="Z1316" s="26"/>
      <c r="AA1316" s="26"/>
      <c r="AB1316" s="26"/>
      <c r="AC1316" s="26"/>
      <c r="AD1316" s="26"/>
      <c r="AE1316" s="26"/>
    </row>
    <row r="1317" spans="1:31" ht="21.95" customHeight="1" x14ac:dyDescent="0.25">
      <c r="A1317" s="97" t="str">
        <f>+IF(PROVEEDORES[[#This Row],[FECHA DE PAGO]]=PROVEEDORES[[#This Row],[FECHA DE FACTURACIÓN]],"DE CONTADO","CRÉDITO")</f>
        <v>CRÉDITO</v>
      </c>
      <c r="B1317" s="41" t="b">
        <f>+IF((PROVEEDORES[[#This Row],[FECHA DE PAGO]]-PROVEEDORES[[#This Row],[FECHA DE FACTURACIÓN]])&gt;PROVEEDORES[[#This Row],[PLAZO Días]],"PAGO VENCIDO")</f>
        <v>0</v>
      </c>
      <c r="C1317" s="22">
        <f>+VLOOKUP(PROVEEDORES[[#This Row],[PROVEEDOR]],TERCEROS_INFO[#All],2,FALSE)</f>
        <v>30</v>
      </c>
      <c r="D1317" s="27">
        <f>+SUMIFS(PROVEEDORES[Total],PROVEEDORES[PROVEEDOR],PROVEEDORES[[#This Row],[PROVEEDOR]],PROVEEDORES[FECHA DE PAGO],"")</f>
        <v>0</v>
      </c>
      <c r="E1317" s="27"/>
      <c r="F1317" s="62" t="str">
        <f>+VLOOKUP(PROVEEDORES[[#This Row],[PROVEEDOR]],
                       Terceros!$A:$G,
                       6,
                       FALSE)</f>
        <v/>
      </c>
      <c r="G1317" s="95">
        <v>44622</v>
      </c>
      <c r="H1317" s="28" t="s">
        <v>1001</v>
      </c>
      <c r="I1317" s="95">
        <v>44621</v>
      </c>
      <c r="J1317" s="38" t="s">
        <v>1005</v>
      </c>
      <c r="K1317" s="23">
        <v>1850000</v>
      </c>
      <c r="L1317" s="23"/>
      <c r="M1317" s="24">
        <v>0</v>
      </c>
      <c r="N1317" s="25"/>
      <c r="O1317" s="24">
        <v>0</v>
      </c>
      <c r="P1317" s="136">
        <f>+IF(PROVEEDORES[[#This Row],[SUBTOTAL]]&lt;PROVEEDORES[[#This Row],[base retencion]],0,PROVEEDORES[[#This Row],[retención aplicada]])</f>
        <v>0</v>
      </c>
      <c r="Q1317" s="24">
        <f>+PROVEEDORES[[#This Row],[Rete Fuente %]]*PROVEEDORES[[#This Row],[SUBTOTAL]]</f>
        <v>0</v>
      </c>
      <c r="R1317" s="23">
        <v>1850000</v>
      </c>
      <c r="S131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7" s="99">
        <f ca="1">IF(PROVEEDORES[[#This Row],[FECHA DE PAGO]]=0,TODAY()-PROVEEDORES[[#This Row],[FECHA DE FACTURACIÓN]]-PROVEEDORES[[#This Row],[PLAZO Días]],0)</f>
        <v>0</v>
      </c>
      <c r="U1317" s="149">
        <f>+VLOOKUP(PROVEEDORES[[#This Row],[PROVEEDOR]],Terceros!$A:$E,5,FALSE)</f>
        <v>0</v>
      </c>
      <c r="V1317" s="150">
        <f>+YEAR(PROVEEDORES[[#This Row],[FECHA DE FACTURACIÓN]])</f>
        <v>2022</v>
      </c>
      <c r="W1317" s="150">
        <f>+MATCH(PROVEEDORES[[#This Row],[año facturado]],Retenciones!$1:$1,0)</f>
        <v>5</v>
      </c>
      <c r="X1317" s="151">
        <f>+VLOOKUP(PROVEEDORES[[#This Row],[ID RETENCION]],Retenciones!$A$1:$O$24,PROVEEDORES[[#This Row],[indicador de columna]],FALSE)</f>
        <v>0</v>
      </c>
      <c r="Y1317" s="152">
        <f>+VLOOKUP(PROVEEDORES[[#This Row],[ID RETENCION]],Retenciones!$A$1:$O$24,2,FALSE)</f>
        <v>0</v>
      </c>
      <c r="Z1317" s="26"/>
      <c r="AA1317" s="26"/>
      <c r="AB1317" s="26"/>
      <c r="AC1317" s="26"/>
      <c r="AD1317" s="26"/>
      <c r="AE1317" s="26"/>
    </row>
    <row r="1318" spans="1:31" ht="21.95" customHeight="1" x14ac:dyDescent="0.25">
      <c r="A1318" s="97" t="str">
        <f>+IF(PROVEEDORES[[#This Row],[FECHA DE PAGO]]=PROVEEDORES[[#This Row],[FECHA DE FACTURACIÓN]],"DE CONTADO","CRÉDITO")</f>
        <v>CRÉDITO</v>
      </c>
      <c r="B1318" s="41" t="b">
        <f>+IF((PROVEEDORES[[#This Row],[FECHA DE PAGO]]-PROVEEDORES[[#This Row],[FECHA DE FACTURACIÓN]])&gt;PROVEEDORES[[#This Row],[PLAZO Días]],"PAGO VENCIDO")</f>
        <v>0</v>
      </c>
      <c r="C1318" s="22">
        <f>+VLOOKUP(PROVEEDORES[[#This Row],[PROVEEDOR]],TERCEROS_INFO[#All],2,FALSE)</f>
        <v>30</v>
      </c>
      <c r="D1318" s="27">
        <f>+SUMIFS(PROVEEDORES[Total],PROVEEDORES[PROVEEDOR],PROVEEDORES[[#This Row],[PROVEEDOR]],PROVEEDORES[FECHA DE PAGO],"")</f>
        <v>4862586.33</v>
      </c>
      <c r="E1318" s="27"/>
      <c r="F1318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1318" s="95">
        <v>44650</v>
      </c>
      <c r="H1318" s="28" t="s">
        <v>345</v>
      </c>
      <c r="I1318" s="95">
        <v>44621</v>
      </c>
      <c r="J1318" s="38" t="s">
        <v>1104</v>
      </c>
      <c r="K1318" s="23">
        <v>942255</v>
      </c>
      <c r="L1318" s="23"/>
      <c r="M1318" s="24">
        <v>179028.45</v>
      </c>
      <c r="N1318" s="25"/>
      <c r="O1318" s="24">
        <v>0</v>
      </c>
      <c r="P1318" s="136">
        <f>+IF(PROVEEDORES[[#This Row],[SUBTOTAL]]&lt;PROVEEDORES[[#This Row],[base retencion]],0,PROVEEDORES[[#This Row],[retención aplicada]])</f>
        <v>0</v>
      </c>
      <c r="Q1318" s="24">
        <f>+PROVEEDORES[[#This Row],[Rete Fuente %]]*PROVEEDORES[[#This Row],[SUBTOTAL]]</f>
        <v>0</v>
      </c>
      <c r="R1318" s="23">
        <v>1121283.45</v>
      </c>
      <c r="S131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8" s="99">
        <f ca="1">IF(PROVEEDORES[[#This Row],[FECHA DE PAGO]]=0,TODAY()-PROVEEDORES[[#This Row],[FECHA DE FACTURACIÓN]]-PROVEEDORES[[#This Row],[PLAZO Días]],0)</f>
        <v>0</v>
      </c>
      <c r="U1318" s="149">
        <f>+VLOOKUP(PROVEEDORES[[#This Row],[PROVEEDOR]],Terceros!$A:$E,5,FALSE)</f>
        <v>0</v>
      </c>
      <c r="V1318" s="150">
        <f>+YEAR(PROVEEDORES[[#This Row],[FECHA DE FACTURACIÓN]])</f>
        <v>2022</v>
      </c>
      <c r="W1318" s="150">
        <f>+MATCH(PROVEEDORES[[#This Row],[año facturado]],Retenciones!$1:$1,0)</f>
        <v>5</v>
      </c>
      <c r="X1318" s="151">
        <f>+VLOOKUP(PROVEEDORES[[#This Row],[ID RETENCION]],Retenciones!$A$1:$O$24,PROVEEDORES[[#This Row],[indicador de columna]],FALSE)</f>
        <v>0</v>
      </c>
      <c r="Y1318" s="152">
        <f>+VLOOKUP(PROVEEDORES[[#This Row],[ID RETENCION]],Retenciones!$A$1:$O$24,2,FALSE)</f>
        <v>0</v>
      </c>
      <c r="Z1318" s="26"/>
      <c r="AA1318" s="26"/>
      <c r="AB1318" s="26"/>
      <c r="AC1318" s="26"/>
      <c r="AD1318" s="26"/>
      <c r="AE1318" s="26"/>
    </row>
    <row r="1319" spans="1:31" ht="21.95" customHeight="1" x14ac:dyDescent="0.25">
      <c r="A1319" s="97" t="str">
        <f>+IF(PROVEEDORES[[#This Row],[FECHA DE PAGO]]=PROVEEDORES[[#This Row],[FECHA DE FACTURACIÓN]],"DE CONTADO","CRÉDITO")</f>
        <v>CRÉDITO</v>
      </c>
      <c r="B1319" s="41" t="b">
        <f>+IF((PROVEEDORES[[#This Row],[FECHA DE PAGO]]-PROVEEDORES[[#This Row],[FECHA DE FACTURACIÓN]])&gt;PROVEEDORES[[#This Row],[PLAZO Días]],"PAGO VENCIDO")</f>
        <v>0</v>
      </c>
      <c r="C1319" s="22">
        <f>+VLOOKUP(PROVEEDORES[[#This Row],[PROVEEDOR]],TERCEROS_INFO[#All],2,FALSE)</f>
        <v>30</v>
      </c>
      <c r="D1319" s="27">
        <f>+SUMIFS(PROVEEDORES[Total],PROVEEDORES[PROVEEDOR],PROVEEDORES[[#This Row],[PROVEEDOR]],PROVEEDORES[FECHA DE PAGO],"")</f>
        <v>0</v>
      </c>
      <c r="E1319" s="27"/>
      <c r="F1319" s="62" t="str">
        <f>+VLOOKUP(PROVEEDORES[[#This Row],[PROVEEDOR]],
                       Terceros!$A:$G,
                       6,
                       FALSE)</f>
        <v>tesoreria@lacentral.com.co;girlesa.ruiz@servipilas.com;joriescobar64@gmail.com</v>
      </c>
      <c r="G1319" s="95">
        <v>44650</v>
      </c>
      <c r="H1319" s="28" t="s">
        <v>332</v>
      </c>
      <c r="I1319" s="95">
        <v>44621</v>
      </c>
      <c r="J1319" s="38">
        <v>10117</v>
      </c>
      <c r="K1319" s="23">
        <v>1922190</v>
      </c>
      <c r="L1319" s="23"/>
      <c r="M1319" s="24">
        <v>0</v>
      </c>
      <c r="N1319" s="25"/>
      <c r="O1319" s="24">
        <v>80632</v>
      </c>
      <c r="P1319" s="136">
        <f>+IF(PROVEEDORES[[#This Row],[SUBTOTAL]]&lt;PROVEEDORES[[#This Row],[base retencion]],0,PROVEEDORES[[#This Row],[retención aplicada]])</f>
        <v>0</v>
      </c>
      <c r="Q1319" s="24">
        <f>+PROVEEDORES[[#This Row],[Rete Fuente %]]*PROVEEDORES[[#This Row],[SUBTOTAL]]</f>
        <v>0</v>
      </c>
      <c r="R1319" s="23">
        <v>1841558</v>
      </c>
      <c r="S131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9" s="99">
        <f ca="1">IF(PROVEEDORES[[#This Row],[FECHA DE PAGO]]=0,TODAY()-PROVEEDORES[[#This Row],[FECHA DE FACTURACIÓN]]-PROVEEDORES[[#This Row],[PLAZO Días]],0)</f>
        <v>0</v>
      </c>
      <c r="U1319" s="149">
        <f>+VLOOKUP(PROVEEDORES[[#This Row],[PROVEEDOR]],Terceros!$A:$E,5,FALSE)</f>
        <v>0</v>
      </c>
      <c r="V1319" s="150">
        <f>+YEAR(PROVEEDORES[[#This Row],[FECHA DE FACTURACIÓN]])</f>
        <v>2022</v>
      </c>
      <c r="W1319" s="150">
        <f>+MATCH(PROVEEDORES[[#This Row],[año facturado]],Retenciones!$1:$1,0)</f>
        <v>5</v>
      </c>
      <c r="X1319" s="151">
        <f>+VLOOKUP(PROVEEDORES[[#This Row],[ID RETENCION]],Retenciones!$A$1:$O$24,PROVEEDORES[[#This Row],[indicador de columna]],FALSE)</f>
        <v>0</v>
      </c>
      <c r="Y1319" s="152">
        <f>+VLOOKUP(PROVEEDORES[[#This Row],[ID RETENCION]],Retenciones!$A$1:$O$24,2,FALSE)</f>
        <v>0</v>
      </c>
      <c r="Z1319" s="26"/>
      <c r="AA1319" s="26"/>
      <c r="AB1319" s="26"/>
      <c r="AC1319" s="26"/>
      <c r="AD1319" s="26"/>
      <c r="AE1319" s="26"/>
    </row>
    <row r="1320" spans="1:31" ht="21.95" customHeight="1" x14ac:dyDescent="0.25">
      <c r="A1320" s="97" t="str">
        <f>+IF(PROVEEDORES[[#This Row],[FECHA DE PAGO]]=PROVEEDORES[[#This Row],[FECHA DE FACTURACIÓN]],"DE CONTADO","CRÉDITO")</f>
        <v>CRÉDITO</v>
      </c>
      <c r="B1320" s="41" t="b">
        <f>+IF((PROVEEDORES[[#This Row],[FECHA DE PAGO]]-PROVEEDORES[[#This Row],[FECHA DE FACTURACIÓN]])&gt;PROVEEDORES[[#This Row],[PLAZO Días]],"PAGO VENCIDO")</f>
        <v>0</v>
      </c>
      <c r="C1320" s="22">
        <f>+VLOOKUP(PROVEEDORES[[#This Row],[PROVEEDOR]],TERCEROS_INFO[#All],2,FALSE)</f>
        <v>30</v>
      </c>
      <c r="D1320" s="27">
        <f>+SUMIFS(PROVEEDORES[Total],PROVEEDORES[PROVEEDOR],PROVEEDORES[[#This Row],[PROVEEDOR]],PROVEEDORES[FECHA DE PAGO],"")</f>
        <v>0</v>
      </c>
      <c r="E1320" s="27"/>
      <c r="F1320" s="62" t="str">
        <f>+VLOOKUP(PROVEEDORES[[#This Row],[PROVEEDOR]],
                       Terceros!$A:$G,
                       6,
                       FALSE)</f>
        <v>propertymarketingsas@hotmail.com;girlesa.ruiz@servipilas.com;joriescobar64@gmail.com</v>
      </c>
      <c r="G1320" s="95">
        <v>44650</v>
      </c>
      <c r="H1320" s="28" t="s">
        <v>483</v>
      </c>
      <c r="I1320" s="95">
        <v>44621</v>
      </c>
      <c r="J1320" s="38">
        <v>2524</v>
      </c>
      <c r="K1320" s="23">
        <v>2789636</v>
      </c>
      <c r="L1320" s="23"/>
      <c r="M1320" s="24">
        <v>0</v>
      </c>
      <c r="N1320" s="25"/>
      <c r="O1320" s="24">
        <v>0</v>
      </c>
      <c r="P1320" s="136">
        <f>+IF(PROVEEDORES[[#This Row],[SUBTOTAL]]&lt;PROVEEDORES[[#This Row],[base retencion]],0,PROVEEDORES[[#This Row],[retención aplicada]])</f>
        <v>3.5000000000000003E-2</v>
      </c>
      <c r="Q1320" s="24">
        <f>+PROVEEDORES[[#This Row],[Rete Fuente %]]*PROVEEDORES[[#This Row],[SUBTOTAL]]</f>
        <v>97637.260000000009</v>
      </c>
      <c r="R1320" s="23">
        <v>2691998.74</v>
      </c>
      <c r="S132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0" s="99">
        <f ca="1">IF(PROVEEDORES[[#This Row],[FECHA DE PAGO]]=0,TODAY()-PROVEEDORES[[#This Row],[FECHA DE FACTURACIÓN]]-PROVEEDORES[[#This Row],[PLAZO Días]],0)</f>
        <v>0</v>
      </c>
      <c r="U1320" s="149" t="str">
        <f>+VLOOKUP(PROVEEDORES[[#This Row],[PROVEEDOR]],Terceros!$A:$E,5,FALSE)</f>
        <v>3,5% sin base</v>
      </c>
      <c r="V1320" s="150">
        <f>+YEAR(PROVEEDORES[[#This Row],[FECHA DE FACTURACIÓN]])</f>
        <v>2022</v>
      </c>
      <c r="W1320" s="150">
        <f>+MATCH(PROVEEDORES[[#This Row],[año facturado]],Retenciones!$1:$1,0)</f>
        <v>5</v>
      </c>
      <c r="X1320" s="151">
        <f>+VLOOKUP(PROVEEDORES[[#This Row],[ID RETENCION]],Retenciones!$A$1:$O$24,PROVEEDORES[[#This Row],[indicador de columna]],FALSE)</f>
        <v>0</v>
      </c>
      <c r="Y1320" s="152">
        <f>+VLOOKUP(PROVEEDORES[[#This Row],[ID RETENCION]],Retenciones!$A$1:$O$24,2,FALSE)</f>
        <v>3.5000000000000003E-2</v>
      </c>
      <c r="Z1320" s="26"/>
      <c r="AA1320" s="26"/>
      <c r="AB1320" s="26"/>
      <c r="AC1320" s="26"/>
      <c r="AD1320" s="26"/>
      <c r="AE1320" s="26"/>
    </row>
    <row r="1321" spans="1:31" ht="21.95" customHeight="1" x14ac:dyDescent="0.25">
      <c r="A1321" s="97" t="str">
        <f>+IF(PROVEEDORES[[#This Row],[FECHA DE PAGO]]=PROVEEDORES[[#This Row],[FECHA DE FACTURACIÓN]],"DE CONTADO","CRÉDITO")</f>
        <v>CRÉDITO</v>
      </c>
      <c r="B1321" s="41" t="b">
        <f>+IF((PROVEEDORES[[#This Row],[FECHA DE PAGO]]-PROVEEDORES[[#This Row],[FECHA DE FACTURACIÓN]])&gt;PROVEEDORES[[#This Row],[PLAZO Días]],"PAGO VENCIDO")</f>
        <v>0</v>
      </c>
      <c r="C1321" s="22">
        <f>+VLOOKUP(PROVEEDORES[[#This Row],[PROVEEDOR]],TERCEROS_INFO[#All],2,FALSE)</f>
        <v>30</v>
      </c>
      <c r="D1321" s="27">
        <f>+SUMIFS(PROVEEDORES[Total],PROVEEDORES[PROVEEDOR],PROVEEDORES[[#This Row],[PROVEEDOR]],PROVEEDORES[FECHA DE PAGO],"")</f>
        <v>4862586.33</v>
      </c>
      <c r="E1321" s="27"/>
      <c r="F1321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1321" s="95">
        <v>44650</v>
      </c>
      <c r="H1321" s="28" t="s">
        <v>345</v>
      </c>
      <c r="I1321" s="95">
        <v>44621</v>
      </c>
      <c r="J1321" s="38" t="s">
        <v>1105</v>
      </c>
      <c r="K1321" s="23">
        <v>3061166</v>
      </c>
      <c r="L1321" s="23"/>
      <c r="M1321" s="24">
        <v>581621.54</v>
      </c>
      <c r="N1321" s="25"/>
      <c r="O1321" s="24">
        <v>0</v>
      </c>
      <c r="P1321" s="136">
        <f>+IF(PROVEEDORES[[#This Row],[SUBTOTAL]]&lt;PROVEEDORES[[#This Row],[base retencion]],0,PROVEEDORES[[#This Row],[retención aplicada]])</f>
        <v>0</v>
      </c>
      <c r="Q1321" s="24">
        <f>+PROVEEDORES[[#This Row],[Rete Fuente %]]*PROVEEDORES[[#This Row],[SUBTOTAL]]</f>
        <v>0</v>
      </c>
      <c r="R1321" s="23">
        <v>3642787.54</v>
      </c>
      <c r="S132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1" s="99">
        <f ca="1">IF(PROVEEDORES[[#This Row],[FECHA DE PAGO]]=0,TODAY()-PROVEEDORES[[#This Row],[FECHA DE FACTURACIÓN]]-PROVEEDORES[[#This Row],[PLAZO Días]],0)</f>
        <v>0</v>
      </c>
      <c r="U1321" s="149">
        <f>+VLOOKUP(PROVEEDORES[[#This Row],[PROVEEDOR]],Terceros!$A:$E,5,FALSE)</f>
        <v>0</v>
      </c>
      <c r="V1321" s="150">
        <f>+YEAR(PROVEEDORES[[#This Row],[FECHA DE FACTURACIÓN]])</f>
        <v>2022</v>
      </c>
      <c r="W1321" s="150">
        <f>+MATCH(PROVEEDORES[[#This Row],[año facturado]],Retenciones!$1:$1,0)</f>
        <v>5</v>
      </c>
      <c r="X1321" s="151">
        <f>+VLOOKUP(PROVEEDORES[[#This Row],[ID RETENCION]],Retenciones!$A$1:$O$24,PROVEEDORES[[#This Row],[indicador de columna]],FALSE)</f>
        <v>0</v>
      </c>
      <c r="Y1321" s="152">
        <f>+VLOOKUP(PROVEEDORES[[#This Row],[ID RETENCION]],Retenciones!$A$1:$O$24,2,FALSE)</f>
        <v>0</v>
      </c>
      <c r="Z1321" s="26"/>
      <c r="AA1321" s="26"/>
      <c r="AB1321" s="26"/>
      <c r="AC1321" s="26"/>
      <c r="AD1321" s="26"/>
      <c r="AE1321" s="26"/>
    </row>
    <row r="1322" spans="1:31" ht="21.95" customHeight="1" x14ac:dyDescent="0.25">
      <c r="A1322" s="97" t="str">
        <f>+IF(PROVEEDORES[[#This Row],[FECHA DE PAGO]]=PROVEEDORES[[#This Row],[FECHA DE FACTURACIÓN]],"DE CONTADO","CRÉDITO")</f>
        <v>CRÉDITO</v>
      </c>
      <c r="B1322" s="41" t="b">
        <f>+IF((PROVEEDORES[[#This Row],[FECHA DE PAGO]]-PROVEEDORES[[#This Row],[FECHA DE FACTURACIÓN]])&gt;PROVEEDORES[[#This Row],[PLAZO Días]],"PAGO VENCIDO")</f>
        <v>0</v>
      </c>
      <c r="C1322" s="22">
        <f>+VLOOKUP(PROVEEDORES[[#This Row],[PROVEEDOR]],TERCEROS_INFO[#All],2,FALSE)</f>
        <v>30</v>
      </c>
      <c r="D1322" s="27">
        <f>+SUMIFS(PROVEEDORES[Total],PROVEEDORES[PROVEEDOR],PROVEEDORES[[#This Row],[PROVEEDOR]],PROVEEDORES[FECHA DE PAGO],"")</f>
        <v>5463150</v>
      </c>
      <c r="E1322" s="27"/>
      <c r="F1322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1322" s="95">
        <v>44650</v>
      </c>
      <c r="H1322" s="28" t="s">
        <v>344</v>
      </c>
      <c r="I1322" s="95">
        <v>44621</v>
      </c>
      <c r="J1322" s="38">
        <v>42317</v>
      </c>
      <c r="K1322" s="23">
        <v>4430000</v>
      </c>
      <c r="L1322" s="23"/>
      <c r="M1322" s="24">
        <v>841700</v>
      </c>
      <c r="N1322" s="25"/>
      <c r="O1322" s="24">
        <v>0</v>
      </c>
      <c r="P1322" s="136">
        <f>+IF(PROVEEDORES[[#This Row],[SUBTOTAL]]&lt;PROVEEDORES[[#This Row],[base retencion]],0,PROVEEDORES[[#This Row],[retención aplicada]])</f>
        <v>3.5000000000000003E-2</v>
      </c>
      <c r="Q1322" s="24">
        <f>+PROVEEDORES[[#This Row],[Rete Fuente %]]*PROVEEDORES[[#This Row],[SUBTOTAL]]</f>
        <v>155050.00000000003</v>
      </c>
      <c r="R1322" s="23">
        <v>5116650</v>
      </c>
      <c r="S132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2" s="99">
        <f ca="1">IF(PROVEEDORES[[#This Row],[FECHA DE PAGO]]=0,TODAY()-PROVEEDORES[[#This Row],[FECHA DE FACTURACIÓN]]-PROVEEDORES[[#This Row],[PLAZO Días]],0)</f>
        <v>0</v>
      </c>
      <c r="U1322" s="149" t="str">
        <f>+VLOOKUP(PROVEEDORES[[#This Row],[PROVEEDOR]],Terceros!$A:$E,5,FALSE)</f>
        <v>3,5% con base</v>
      </c>
      <c r="V1322" s="150">
        <f>+YEAR(PROVEEDORES[[#This Row],[FECHA DE FACTURACIÓN]])</f>
        <v>2022</v>
      </c>
      <c r="W1322" s="150">
        <f>+MATCH(PROVEEDORES[[#This Row],[año facturado]],Retenciones!$1:$1,0)</f>
        <v>5</v>
      </c>
      <c r="X1322" s="151">
        <f>+VLOOKUP(PROVEEDORES[[#This Row],[ID RETENCION]],Retenciones!$A$1:$O$24,PROVEEDORES[[#This Row],[indicador de columna]],FALSE)</f>
        <v>1026000</v>
      </c>
      <c r="Y1322" s="152">
        <f>+VLOOKUP(PROVEEDORES[[#This Row],[ID RETENCION]],Retenciones!$A$1:$O$24,2,FALSE)</f>
        <v>3.5000000000000003E-2</v>
      </c>
      <c r="Z1322" s="26"/>
      <c r="AA1322" s="26"/>
      <c r="AB1322" s="26"/>
      <c r="AC1322" s="26"/>
      <c r="AD1322" s="26"/>
      <c r="AE1322" s="26"/>
    </row>
    <row r="1323" spans="1:31" ht="21.95" customHeight="1" x14ac:dyDescent="0.25">
      <c r="A1323" s="97" t="str">
        <f>+IF(PROVEEDORES[[#This Row],[FECHA DE PAGO]]=PROVEEDORES[[#This Row],[FECHA DE FACTURACIÓN]],"DE CONTADO","CRÉDITO")</f>
        <v>CRÉDITO</v>
      </c>
      <c r="B1323" s="41" t="str">
        <f>+IF((PROVEEDORES[[#This Row],[FECHA DE PAGO]]-PROVEEDORES[[#This Row],[FECHA DE FACTURACIÓN]])&gt;PROVEEDORES[[#This Row],[PLAZO Días]],"PAGO VENCIDO")</f>
        <v>PAGO VENCIDO</v>
      </c>
      <c r="C1323" s="22">
        <f>+VLOOKUP(PROVEEDORES[[#This Row],[PROVEEDOR]],TERCEROS_INFO[#All],2,FALSE)</f>
        <v>30</v>
      </c>
      <c r="D1323" s="27">
        <f>+SUMIFS(PROVEEDORES[Total],PROVEEDORES[PROVEEDOR],PROVEEDORES[[#This Row],[PROVEEDOR]],PROVEEDORES[FECHA DE PAGO],"")</f>
        <v>1979529.3</v>
      </c>
      <c r="E1323" s="27"/>
      <c r="F1323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1323" s="95">
        <v>44652</v>
      </c>
      <c r="H1323" s="28" t="s">
        <v>17</v>
      </c>
      <c r="I1323" s="95">
        <v>44621</v>
      </c>
      <c r="J1323" s="38" t="s">
        <v>1141</v>
      </c>
      <c r="K1323" s="23">
        <v>-209000</v>
      </c>
      <c r="L1323" s="23"/>
      <c r="M1323" s="24">
        <v>-39710</v>
      </c>
      <c r="N1323" s="25"/>
      <c r="O1323" s="24">
        <v>0</v>
      </c>
      <c r="P1323" s="136">
        <f>+IF(PROVEEDORES[[#This Row],[SUBTOTAL]]&lt;PROVEEDORES[[#This Row],[base retencion]],0,PROVEEDORES[[#This Row],[retención aplicada]])</f>
        <v>0</v>
      </c>
      <c r="Q1323" s="24">
        <f>+PROVEEDORES[[#This Row],[Rete Fuente %]]*PROVEEDORES[[#This Row],[SUBTOTAL]]</f>
        <v>0</v>
      </c>
      <c r="R1323" s="23">
        <v>-248710</v>
      </c>
      <c r="S132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3" s="99">
        <f ca="1">IF(PROVEEDORES[[#This Row],[FECHA DE PAGO]]=0,TODAY()-PROVEEDORES[[#This Row],[FECHA DE FACTURACIÓN]]-PROVEEDORES[[#This Row],[PLAZO Días]],0)</f>
        <v>0</v>
      </c>
      <c r="U1323" s="149">
        <f>+VLOOKUP(PROVEEDORES[[#This Row],[PROVEEDOR]],Terceros!$A:$E,5,FALSE)</f>
        <v>0</v>
      </c>
      <c r="V1323" s="150">
        <f>+YEAR(PROVEEDORES[[#This Row],[FECHA DE FACTURACIÓN]])</f>
        <v>2022</v>
      </c>
      <c r="W1323" s="150">
        <f>+MATCH(PROVEEDORES[[#This Row],[año facturado]],Retenciones!$1:$1,0)</f>
        <v>5</v>
      </c>
      <c r="X1323" s="151">
        <f>+VLOOKUP(PROVEEDORES[[#This Row],[ID RETENCION]],Retenciones!$A$1:$O$24,PROVEEDORES[[#This Row],[indicador de columna]],FALSE)</f>
        <v>0</v>
      </c>
      <c r="Y1323" s="152">
        <f>+VLOOKUP(PROVEEDORES[[#This Row],[ID RETENCION]],Retenciones!$A$1:$O$24,2,FALSE)</f>
        <v>0</v>
      </c>
      <c r="Z1323" s="26"/>
      <c r="AA1323" s="26"/>
      <c r="AB1323" s="26"/>
      <c r="AC1323" s="26"/>
      <c r="AD1323" s="26"/>
      <c r="AE1323" s="26"/>
    </row>
    <row r="1324" spans="1:31" ht="21.95" customHeight="1" x14ac:dyDescent="0.25">
      <c r="A1324" s="97" t="str">
        <f>+IF(PROVEEDORES[[#This Row],[FECHA DE PAGO]]=PROVEEDORES[[#This Row],[FECHA DE FACTURACIÓN]],"DE CONTADO","CRÉDITO")</f>
        <v>CRÉDITO</v>
      </c>
      <c r="B1324" s="41" t="str">
        <f>+IF((PROVEEDORES[[#This Row],[FECHA DE PAGO]]-PROVEEDORES[[#This Row],[FECHA DE FACTURACIÓN]])&gt;PROVEEDORES[[#This Row],[PLAZO Días]],"PAGO VENCIDO")</f>
        <v>PAGO VENCIDO</v>
      </c>
      <c r="C1324" s="22">
        <f>+VLOOKUP(PROVEEDORES[[#This Row],[PROVEEDOR]],TERCEROS_INFO[#All],2,FALSE)</f>
        <v>30</v>
      </c>
      <c r="D1324" s="27">
        <f>+SUMIFS(PROVEEDORES[Total],PROVEEDORES[PROVEEDOR],PROVEEDORES[[#This Row],[PROVEEDOR]],PROVEEDORES[FECHA DE PAGO],"")</f>
        <v>3844432.4999000002</v>
      </c>
      <c r="E1324" s="27"/>
      <c r="F1324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1324" s="95">
        <v>44662</v>
      </c>
      <c r="H1324" s="28" t="s">
        <v>18</v>
      </c>
      <c r="I1324" s="95">
        <v>44622</v>
      </c>
      <c r="J1324" s="38">
        <v>1050509</v>
      </c>
      <c r="K1324" s="23">
        <v>545207</v>
      </c>
      <c r="L1324" s="23"/>
      <c r="M1324" s="24">
        <v>103589.33</v>
      </c>
      <c r="N1324" s="25"/>
      <c r="O1324" s="24">
        <v>0</v>
      </c>
      <c r="P1324" s="136">
        <f>+IF(PROVEEDORES[[#This Row],[SUBTOTAL]]&lt;PROVEEDORES[[#This Row],[base retencion]],0,PROVEEDORES[[#This Row],[retención aplicada]])</f>
        <v>0</v>
      </c>
      <c r="Q1324" s="24">
        <f>+PROVEEDORES[[#This Row],[Rete Fuente %]]*PROVEEDORES[[#This Row],[SUBTOTAL]]</f>
        <v>0</v>
      </c>
      <c r="R1324" s="23">
        <v>648796.32999999996</v>
      </c>
      <c r="S132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4" s="99">
        <f ca="1">IF(PROVEEDORES[[#This Row],[FECHA DE PAGO]]=0,TODAY()-PROVEEDORES[[#This Row],[FECHA DE FACTURACIÓN]]-PROVEEDORES[[#This Row],[PLAZO Días]],0)</f>
        <v>0</v>
      </c>
      <c r="U1324" s="149" t="str">
        <f>+VLOOKUP(PROVEEDORES[[#This Row],[PROVEEDOR]],Terceros!$A:$E,5,FALSE)</f>
        <v>2,5% con base</v>
      </c>
      <c r="V1324" s="150">
        <f>+YEAR(PROVEEDORES[[#This Row],[FECHA DE FACTURACIÓN]])</f>
        <v>2022</v>
      </c>
      <c r="W1324" s="150">
        <f>+MATCH(PROVEEDORES[[#This Row],[año facturado]],Retenciones!$1:$1,0)</f>
        <v>5</v>
      </c>
      <c r="X1324" s="151">
        <f>+VLOOKUP(PROVEEDORES[[#This Row],[ID RETENCION]],Retenciones!$A$1:$O$24,PROVEEDORES[[#This Row],[indicador de columna]],FALSE)</f>
        <v>1026000</v>
      </c>
      <c r="Y1324" s="152">
        <f>+VLOOKUP(PROVEEDORES[[#This Row],[ID RETENCION]],Retenciones!$A$1:$O$24,2,FALSE)</f>
        <v>2.5000000000000001E-2</v>
      </c>
      <c r="Z1324" s="26"/>
      <c r="AA1324" s="26"/>
      <c r="AB1324" s="26"/>
      <c r="AC1324" s="26"/>
      <c r="AD1324" s="26"/>
      <c r="AE1324" s="26"/>
    </row>
    <row r="1325" spans="1:31" ht="21.95" customHeight="1" x14ac:dyDescent="0.25">
      <c r="A1325" s="97" t="str">
        <f>+IF(PROVEEDORES[[#This Row],[FECHA DE PAGO]]=PROVEEDORES[[#This Row],[FECHA DE FACTURACIÓN]],"DE CONTADO","CRÉDITO")</f>
        <v>CRÉDITO</v>
      </c>
      <c r="B1325" s="41" t="str">
        <f>+IF((PROVEEDORES[[#This Row],[FECHA DE PAGO]]-PROVEEDORES[[#This Row],[FECHA DE FACTURACIÓN]])&gt;PROVEEDORES[[#This Row],[PLAZO Días]],"PAGO VENCIDO")</f>
        <v>PAGO VENCIDO</v>
      </c>
      <c r="C1325" s="22">
        <f>+VLOOKUP(PROVEEDORES[[#This Row],[PROVEEDOR]],TERCEROS_INFO[#All],2,FALSE)</f>
        <v>30</v>
      </c>
      <c r="D1325" s="27">
        <f>+SUMIFS(PROVEEDORES[Total],PROVEEDORES[PROVEEDOR],PROVEEDORES[[#This Row],[PROVEEDOR]],PROVEEDORES[FECHA DE PAGO],"")</f>
        <v>3844432.4999000002</v>
      </c>
      <c r="E1325" s="27"/>
      <c r="F1325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1325" s="95">
        <v>44662</v>
      </c>
      <c r="H1325" s="28" t="s">
        <v>18</v>
      </c>
      <c r="I1325" s="95">
        <v>44622</v>
      </c>
      <c r="J1325" s="38">
        <v>1050519</v>
      </c>
      <c r="K1325" s="23">
        <v>1020000</v>
      </c>
      <c r="L1325" s="23"/>
      <c r="M1325" s="24">
        <v>193800</v>
      </c>
      <c r="N1325" s="25"/>
      <c r="O1325" s="24">
        <v>0</v>
      </c>
      <c r="P1325" s="136">
        <f>+IF(PROVEEDORES[[#This Row],[SUBTOTAL]]&lt;PROVEEDORES[[#This Row],[base retencion]],0,PROVEEDORES[[#This Row],[retención aplicada]])</f>
        <v>0</v>
      </c>
      <c r="Q1325" s="24">
        <f>+PROVEEDORES[[#This Row],[Rete Fuente %]]*PROVEEDORES[[#This Row],[SUBTOTAL]]</f>
        <v>0</v>
      </c>
      <c r="R1325" s="23">
        <v>1213800</v>
      </c>
      <c r="S132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5" s="99">
        <f ca="1">IF(PROVEEDORES[[#This Row],[FECHA DE PAGO]]=0,TODAY()-PROVEEDORES[[#This Row],[FECHA DE FACTURACIÓN]]-PROVEEDORES[[#This Row],[PLAZO Días]],0)</f>
        <v>0</v>
      </c>
      <c r="U1325" s="149" t="str">
        <f>+VLOOKUP(PROVEEDORES[[#This Row],[PROVEEDOR]],Terceros!$A:$E,5,FALSE)</f>
        <v>2,5% con base</v>
      </c>
      <c r="V1325" s="150">
        <f>+YEAR(PROVEEDORES[[#This Row],[FECHA DE FACTURACIÓN]])</f>
        <v>2022</v>
      </c>
      <c r="W1325" s="150">
        <f>+MATCH(PROVEEDORES[[#This Row],[año facturado]],Retenciones!$1:$1,0)</f>
        <v>5</v>
      </c>
      <c r="X1325" s="151">
        <f>+VLOOKUP(PROVEEDORES[[#This Row],[ID RETENCION]],Retenciones!$A$1:$O$24,PROVEEDORES[[#This Row],[indicador de columna]],FALSE)</f>
        <v>1026000</v>
      </c>
      <c r="Y1325" s="152">
        <f>+VLOOKUP(PROVEEDORES[[#This Row],[ID RETENCION]],Retenciones!$A$1:$O$24,2,FALSE)</f>
        <v>2.5000000000000001E-2</v>
      </c>
      <c r="Z1325" s="26"/>
      <c r="AA1325" s="26"/>
      <c r="AB1325" s="26"/>
      <c r="AC1325" s="26"/>
      <c r="AD1325" s="26"/>
      <c r="AE1325" s="26"/>
    </row>
    <row r="1326" spans="1:31" ht="21.95" customHeight="1" x14ac:dyDescent="0.25">
      <c r="A1326" s="97" t="str">
        <f>+IF(PROVEEDORES[[#This Row],[FECHA DE PAGO]]=PROVEEDORES[[#This Row],[FECHA DE FACTURACIÓN]],"DE CONTADO","CRÉDITO")</f>
        <v>DE CONTADO</v>
      </c>
      <c r="B1326" s="41" t="b">
        <f>+IF((PROVEEDORES[[#This Row],[FECHA DE PAGO]]-PROVEEDORES[[#This Row],[FECHA DE FACTURACIÓN]])&gt;PROVEEDORES[[#This Row],[PLAZO Días]],"PAGO VENCIDO")</f>
        <v>0</v>
      </c>
      <c r="C1326" s="22">
        <f>+VLOOKUP(PROVEEDORES[[#This Row],[PROVEEDOR]],TERCEROS_INFO[#All],2,FALSE)</f>
        <v>30</v>
      </c>
      <c r="D1326" s="27">
        <f>+SUMIFS(PROVEEDORES[Total],PROVEEDORES[PROVEEDOR],PROVEEDORES[[#This Row],[PROVEEDOR]],PROVEEDORES[FECHA DE PAGO],"")</f>
        <v>0</v>
      </c>
      <c r="E1326" s="27"/>
      <c r="F1326" s="62" t="str">
        <f>+VLOOKUP(PROVEEDORES[[#This Row],[PROVEEDOR]],
                       Terceros!$A:$G,
                       6,
                       FALSE)</f>
        <v/>
      </c>
      <c r="G1326" s="95">
        <v>44623</v>
      </c>
      <c r="H1326" s="28" t="s">
        <v>1046</v>
      </c>
      <c r="I1326" s="95">
        <v>44623</v>
      </c>
      <c r="J1326" s="38"/>
      <c r="K1326" s="23">
        <v>1000000</v>
      </c>
      <c r="L1326" s="23"/>
      <c r="M1326" s="24">
        <v>0</v>
      </c>
      <c r="N1326" s="25"/>
      <c r="O1326" s="24">
        <v>0</v>
      </c>
      <c r="P1326" s="136">
        <f>+IF(PROVEEDORES[[#This Row],[SUBTOTAL]]&lt;PROVEEDORES[[#This Row],[base retencion]],0,PROVEEDORES[[#This Row],[retención aplicada]])</f>
        <v>0</v>
      </c>
      <c r="Q1326" s="24">
        <f>+PROVEEDORES[[#This Row],[Rete Fuente %]]*PROVEEDORES[[#This Row],[SUBTOTAL]]</f>
        <v>0</v>
      </c>
      <c r="R1326" s="23">
        <v>1000000</v>
      </c>
      <c r="S132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6" s="99">
        <f ca="1">IF(PROVEEDORES[[#This Row],[FECHA DE PAGO]]=0,TODAY()-PROVEEDORES[[#This Row],[FECHA DE FACTURACIÓN]]-PROVEEDORES[[#This Row],[PLAZO Días]],0)</f>
        <v>0</v>
      </c>
      <c r="U1326" s="149">
        <f>+VLOOKUP(PROVEEDORES[[#This Row],[PROVEEDOR]],Terceros!$A:$E,5,FALSE)</f>
        <v>0</v>
      </c>
      <c r="V1326" s="150">
        <f>+YEAR(PROVEEDORES[[#This Row],[FECHA DE FACTURACIÓN]])</f>
        <v>2022</v>
      </c>
      <c r="W1326" s="150">
        <f>+MATCH(PROVEEDORES[[#This Row],[año facturado]],Retenciones!$1:$1,0)</f>
        <v>5</v>
      </c>
      <c r="X1326" s="151">
        <f>+VLOOKUP(PROVEEDORES[[#This Row],[ID RETENCION]],Retenciones!$A$1:$O$24,PROVEEDORES[[#This Row],[indicador de columna]],FALSE)</f>
        <v>0</v>
      </c>
      <c r="Y1326" s="152">
        <f>+VLOOKUP(PROVEEDORES[[#This Row],[ID RETENCION]],Retenciones!$A$1:$O$24,2,FALSE)</f>
        <v>0</v>
      </c>
      <c r="Z1326" s="26"/>
      <c r="AA1326" s="26"/>
      <c r="AB1326" s="26"/>
      <c r="AC1326" s="26"/>
      <c r="AD1326" s="26"/>
      <c r="AE1326" s="26"/>
    </row>
    <row r="1327" spans="1:31" ht="21.95" customHeight="1" x14ac:dyDescent="0.25">
      <c r="A1327" s="97" t="str">
        <f>+IF(PROVEEDORES[[#This Row],[FECHA DE PAGO]]=PROVEEDORES[[#This Row],[FECHA DE FACTURACIÓN]],"DE CONTADO","CRÉDITO")</f>
        <v>CRÉDITO</v>
      </c>
      <c r="B1327" s="41" t="b">
        <f>+IF((PROVEEDORES[[#This Row],[FECHA DE PAGO]]-PROVEEDORES[[#This Row],[FECHA DE FACTURACIÓN]])&gt;PROVEEDORES[[#This Row],[PLAZO Días]],"PAGO VENCIDO")</f>
        <v>0</v>
      </c>
      <c r="C1327" s="22">
        <f>+VLOOKUP(PROVEEDORES[[#This Row],[PROVEEDOR]],TERCEROS_INFO[#All],2,FALSE)</f>
        <v>30</v>
      </c>
      <c r="D1327" s="27">
        <f>+SUMIFS(PROVEEDORES[Total],PROVEEDORES[PROVEEDOR],PROVEEDORES[[#This Row],[PROVEEDOR]],PROVEEDORES[FECHA DE PAGO],"")</f>
        <v>0</v>
      </c>
      <c r="E1327" s="27"/>
      <c r="F1327" s="62" t="str">
        <f>+VLOOKUP(PROVEEDORES[[#This Row],[PROVEEDOR]],
                       Terceros!$A:$G,
                       6,
                       FALSE)</f>
        <v>PSE</v>
      </c>
      <c r="G1327" s="95">
        <v>44663</v>
      </c>
      <c r="H1327" s="28" t="s">
        <v>350</v>
      </c>
      <c r="I1327" s="95">
        <v>44652</v>
      </c>
      <c r="J1327" s="38" t="s">
        <v>1248</v>
      </c>
      <c r="K1327" s="23">
        <f>59583+68166</f>
        <v>127749</v>
      </c>
      <c r="L1327" s="23"/>
      <c r="M1327" s="24">
        <f>(PROVEEDORES[[#This Row],[SUBTOTAL]]-PROVEEDORES[[#This Row],[descuento antes de IVA]])*VLOOKUP(PROVEEDORES[[#This Row],[PROVEEDOR]],TERCEROS_INFO[#All],3,FALSE)</f>
        <v>0</v>
      </c>
      <c r="N1327" s="25"/>
      <c r="O1327" s="24">
        <f>+PROVEEDORES[[#This Row],[Descuento sobre subtotal %]]*(PROVEEDORES[[#This Row],[SUBTOTAL]]-PROVEEDORES[[#This Row],[descuento antes de IVA]])</f>
        <v>0</v>
      </c>
      <c r="P1327" s="136">
        <f>+IF(PROVEEDORES[[#This Row],[SUBTOTAL]]&lt;PROVEEDORES[[#This Row],[base retencion]],0,PROVEEDORES[[#This Row],[retención aplicada]])</f>
        <v>0</v>
      </c>
      <c r="Q1327" s="24">
        <f>+PROVEEDORES[[#This Row],[Rete Fuente %]]*PROVEEDORES[[#This Row],[SUBTOTAL]]</f>
        <v>0</v>
      </c>
      <c r="R1327" s="23">
        <f>+PROVEEDORES[[#This Row],[SUBTOTAL]]+PROVEEDORES[[#This Row],[IVA 19%]]-PROVEEDORES[[#This Row],[descuento antes de IVA]]-PROVEEDORES[[#This Row],[Descuento sobre subtotal $]]-PROVEEDORES[[#This Row],[Rete Fuente $]]</f>
        <v>127749</v>
      </c>
      <c r="S132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7" s="99">
        <f ca="1">IF(PROVEEDORES[[#This Row],[FECHA DE PAGO]]=0,TODAY()-PROVEEDORES[[#This Row],[FECHA DE FACTURACIÓN]]-PROVEEDORES[[#This Row],[PLAZO Días]],0)</f>
        <v>0</v>
      </c>
      <c r="U1327" s="149">
        <f>+VLOOKUP(PROVEEDORES[[#This Row],[PROVEEDOR]],Terceros!$A:$E,5,FALSE)</f>
        <v>0</v>
      </c>
      <c r="V1327" s="150">
        <f>+YEAR(PROVEEDORES[[#This Row],[FECHA DE FACTURACIÓN]])</f>
        <v>2022</v>
      </c>
      <c r="W1327" s="150">
        <f>+MATCH(PROVEEDORES[[#This Row],[año facturado]],Retenciones!$1:$1,0)</f>
        <v>5</v>
      </c>
      <c r="X1327" s="151">
        <f>+VLOOKUP(PROVEEDORES[[#This Row],[ID RETENCION]],Retenciones!$A$1:$O$24,PROVEEDORES[[#This Row],[indicador de columna]],FALSE)</f>
        <v>0</v>
      </c>
      <c r="Y1327" s="152">
        <f>+VLOOKUP(PROVEEDORES[[#This Row],[ID RETENCION]],Retenciones!$A$1:$O$24,2,FALSE)</f>
        <v>0</v>
      </c>
      <c r="Z1327" s="26"/>
      <c r="AA1327" s="26"/>
      <c r="AB1327" s="26"/>
      <c r="AC1327" s="26"/>
      <c r="AD1327" s="26"/>
      <c r="AE1327" s="26"/>
    </row>
    <row r="1328" spans="1:31" ht="21.95" customHeight="1" x14ac:dyDescent="0.25">
      <c r="A1328" s="97" t="str">
        <f>+IF(PROVEEDORES[[#This Row],[FECHA DE PAGO]]=PROVEEDORES[[#This Row],[FECHA DE FACTURACIÓN]],"DE CONTADO","CRÉDITO")</f>
        <v>CRÉDITO</v>
      </c>
      <c r="B1328" s="41" t="str">
        <f>+IF((PROVEEDORES[[#This Row],[FECHA DE PAGO]]-PROVEEDORES[[#This Row],[FECHA DE FACTURACIÓN]])&gt;PROVEEDORES[[#This Row],[PLAZO Días]],"PAGO VENCIDO")</f>
        <v>PAGO VENCIDO</v>
      </c>
      <c r="C1328" s="22">
        <f>+VLOOKUP(PROVEEDORES[[#This Row],[PROVEEDOR]],TERCEROS_INFO[#All],2,FALSE)</f>
        <v>30</v>
      </c>
      <c r="D1328" s="27">
        <f>+SUMIFS(PROVEEDORES[Total],PROVEEDORES[PROVEEDOR],PROVEEDORES[[#This Row],[PROVEEDOR]],PROVEEDORES[FECHA DE PAGO],"")</f>
        <v>0</v>
      </c>
      <c r="E1328" s="27"/>
      <c r="F1328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1328" s="95">
        <v>44662</v>
      </c>
      <c r="H1328" s="28" t="s">
        <v>24</v>
      </c>
      <c r="I1328" s="95">
        <v>44623</v>
      </c>
      <c r="J1328" s="38" t="s">
        <v>1143</v>
      </c>
      <c r="K1328" s="23">
        <v>806050</v>
      </c>
      <c r="L1328" s="23"/>
      <c r="M1328" s="24">
        <v>153149.5</v>
      </c>
      <c r="N1328" s="25"/>
      <c r="O1328" s="24">
        <v>0</v>
      </c>
      <c r="P1328" s="136">
        <f>+IF(PROVEEDORES[[#This Row],[SUBTOTAL]]&lt;PROVEEDORES[[#This Row],[base retencion]],0,PROVEEDORES[[#This Row],[retención aplicada]])</f>
        <v>0</v>
      </c>
      <c r="Q1328" s="24">
        <f>+PROVEEDORES[[#This Row],[Rete Fuente %]]*PROVEEDORES[[#This Row],[SUBTOTAL]]</f>
        <v>0</v>
      </c>
      <c r="R1328" s="23">
        <v>959199.5</v>
      </c>
      <c r="S132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8" s="99">
        <f ca="1">IF(PROVEEDORES[[#This Row],[FECHA DE PAGO]]=0,TODAY()-PROVEEDORES[[#This Row],[FECHA DE FACTURACIÓN]]-PROVEEDORES[[#This Row],[PLAZO Días]],0)</f>
        <v>0</v>
      </c>
      <c r="U1328" s="149" t="str">
        <f>+VLOOKUP(PROVEEDORES[[#This Row],[PROVEEDOR]],Terceros!$A:$E,5,FALSE)</f>
        <v>2,5% con base</v>
      </c>
      <c r="V1328" s="150">
        <f>+YEAR(PROVEEDORES[[#This Row],[FECHA DE FACTURACIÓN]])</f>
        <v>2022</v>
      </c>
      <c r="W1328" s="150">
        <f>+MATCH(PROVEEDORES[[#This Row],[año facturado]],Retenciones!$1:$1,0)</f>
        <v>5</v>
      </c>
      <c r="X1328" s="151">
        <f>+VLOOKUP(PROVEEDORES[[#This Row],[ID RETENCION]],Retenciones!$A$1:$O$24,PROVEEDORES[[#This Row],[indicador de columna]],FALSE)</f>
        <v>1026000</v>
      </c>
      <c r="Y1328" s="152">
        <f>+VLOOKUP(PROVEEDORES[[#This Row],[ID RETENCION]],Retenciones!$A$1:$O$24,2,FALSE)</f>
        <v>2.5000000000000001E-2</v>
      </c>
      <c r="Z1328" s="26"/>
      <c r="AA1328" s="26"/>
      <c r="AB1328" s="26"/>
      <c r="AC1328" s="26"/>
      <c r="AD1328" s="26"/>
      <c r="AE1328" s="26"/>
    </row>
    <row r="1329" spans="1:31" ht="21.95" customHeight="1" x14ac:dyDescent="0.25">
      <c r="A1329" s="97" t="str">
        <f>+IF(PROVEEDORES[[#This Row],[FECHA DE PAGO]]=PROVEEDORES[[#This Row],[FECHA DE FACTURACIÓN]],"DE CONTADO","CRÉDITO")</f>
        <v>CRÉDITO</v>
      </c>
      <c r="B1329" s="41" t="b">
        <f>+IF((PROVEEDORES[[#This Row],[FECHA DE PAGO]]-PROVEEDORES[[#This Row],[FECHA DE FACTURACIÓN]])&gt;PROVEEDORES[[#This Row],[PLAZO Días]],"PAGO VENCIDO")</f>
        <v>0</v>
      </c>
      <c r="C1329" s="22">
        <f>+VLOOKUP(PROVEEDORES[[#This Row],[PROVEEDOR]],TERCEROS_INFO[#All],2,FALSE)</f>
        <v>30</v>
      </c>
      <c r="D1329" s="27">
        <f>+SUMIFS(PROVEEDORES[Total],PROVEEDORES[PROVEEDOR],PROVEEDORES[[#This Row],[PROVEEDOR]],PROVEEDORES[FECHA DE PAGO],"")</f>
        <v>6932910</v>
      </c>
      <c r="E1329" s="27"/>
      <c r="F1329" s="62" t="str">
        <f>+VLOOKUP(PROVEEDORES[[#This Row],[PROVEEDOR]],
                       Terceros!$A:$G,
                       6,
                       FALSE)</f>
        <v>admin@kinocompanysas.com.co;girlesa.ruiz@servipilas.com;joriescobar64@gmail.com</v>
      </c>
      <c r="H1329" s="28" t="s">
        <v>33</v>
      </c>
      <c r="I1329" s="95">
        <v>44623</v>
      </c>
      <c r="J1329" s="38">
        <v>2314</v>
      </c>
      <c r="K1329" s="23">
        <v>5856000</v>
      </c>
      <c r="L1329" s="23"/>
      <c r="M1329" s="24">
        <f>(PROVEEDORES[[#This Row],[SUBTOTAL]]-PROVEEDORES[[#This Row],[descuento antes de IVA]])*VLOOKUP(PROVEEDORES[[#This Row],[PROVEEDOR]],TERCEROS_INFO[#All],3,FALSE)</f>
        <v>1112640</v>
      </c>
      <c r="N1329" s="25"/>
      <c r="O1329" s="24">
        <f>+PROVEEDORES[[#This Row],[Descuento sobre subtotal %]]*(PROVEEDORES[[#This Row],[SUBTOTAL]]-PROVEEDORES[[#This Row],[descuento antes de IVA]])</f>
        <v>0</v>
      </c>
      <c r="P1329" s="136">
        <f>+IF(PROVEEDORES[[#This Row],[SUBTOTAL]]&lt;PROVEEDORES[[#This Row],[base retencion]],0,PROVEEDORES[[#This Row],[retención aplicada]])</f>
        <v>2.5000000000000001E-2</v>
      </c>
      <c r="Q1329" s="24">
        <f>+PROVEEDORES[[#This Row],[Rete Fuente %]]*PROVEEDORES[[#This Row],[SUBTOTAL]]</f>
        <v>146400</v>
      </c>
      <c r="R1329" s="23">
        <f>+PROVEEDORES[[#This Row],[SUBTOTAL]]+PROVEEDORES[[#This Row],[IVA 19%]]-PROVEEDORES[[#This Row],[descuento antes de IVA]]-PROVEEDORES[[#This Row],[Descuento sobre subtotal $]]-PROVEEDORES[[#This Row],[Rete Fuente $]]</f>
        <v>6822240</v>
      </c>
      <c r="S1329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29" s="99">
        <f ca="1">IF(PROVEEDORES[[#This Row],[FECHA DE PAGO]]=0,TODAY()-PROVEEDORES[[#This Row],[FECHA DE FACTURACIÓN]]-PROVEEDORES[[#This Row],[PLAZO Días]],0)</f>
        <v>31</v>
      </c>
      <c r="U1329" s="149" t="str">
        <f>+VLOOKUP(PROVEEDORES[[#This Row],[PROVEEDOR]],Terceros!$A:$E,5,FALSE)</f>
        <v>2,5% con base</v>
      </c>
      <c r="V1329" s="150">
        <f>+YEAR(PROVEEDORES[[#This Row],[FECHA DE FACTURACIÓN]])</f>
        <v>2022</v>
      </c>
      <c r="W1329" s="150">
        <f>+MATCH(PROVEEDORES[[#This Row],[año facturado]],Retenciones!$1:$1,0)</f>
        <v>5</v>
      </c>
      <c r="X1329" s="151">
        <f>+VLOOKUP(PROVEEDORES[[#This Row],[ID RETENCION]],Retenciones!$A$1:$O$24,PROVEEDORES[[#This Row],[indicador de columna]],FALSE)</f>
        <v>1026000</v>
      </c>
      <c r="Y1329" s="152">
        <f>+VLOOKUP(PROVEEDORES[[#This Row],[ID RETENCION]],Retenciones!$A$1:$O$24,2,FALSE)</f>
        <v>2.5000000000000001E-2</v>
      </c>
      <c r="Z1329" s="26"/>
      <c r="AA1329" s="26"/>
      <c r="AB1329" s="26"/>
      <c r="AC1329" s="26"/>
      <c r="AD1329" s="26"/>
      <c r="AE1329" s="26"/>
    </row>
    <row r="1330" spans="1:31" ht="21.95" customHeight="1" x14ac:dyDescent="0.25">
      <c r="A1330" s="97" t="str">
        <f>+IF(PROVEEDORES[[#This Row],[FECHA DE PAGO]]=PROVEEDORES[[#This Row],[FECHA DE FACTURACIÓN]],"DE CONTADO","CRÉDITO")</f>
        <v>CRÉDITO</v>
      </c>
      <c r="B1330" s="41" t="b">
        <f>+IF((PROVEEDORES[[#This Row],[FECHA DE PAGO]]-PROVEEDORES[[#This Row],[FECHA DE FACTURACIÓN]])&gt;PROVEEDORES[[#This Row],[PLAZO Días]],"PAGO VENCIDO")</f>
        <v>0</v>
      </c>
      <c r="C1330" s="22">
        <f>+VLOOKUP(PROVEEDORES[[#This Row],[PROVEEDOR]],TERCEROS_INFO[#All],2,FALSE)</f>
        <v>30</v>
      </c>
      <c r="D1330" s="27">
        <f>+SUMIFS(PROVEEDORES[Total],PROVEEDORES[PROVEEDOR],PROVEEDORES[[#This Row],[PROVEEDOR]],PROVEEDORES[FECHA DE PAGO],"")</f>
        <v>7458000</v>
      </c>
      <c r="E1330" s="27"/>
      <c r="F1330" s="62" t="str">
        <f>+VLOOKUP(PROVEEDORES[[#This Row],[PROVEEDOR]],
                       Terceros!$A:$G,
                       6,
                       FALSE)</f>
        <v/>
      </c>
      <c r="H1330" s="28" t="s">
        <v>1043</v>
      </c>
      <c r="I1330" s="95">
        <v>44624</v>
      </c>
      <c r="J1330" s="38" t="s">
        <v>1142</v>
      </c>
      <c r="K1330" s="23">
        <v>6748000</v>
      </c>
      <c r="L1330" s="23"/>
      <c r="M1330" s="24">
        <f>(PROVEEDORES[[#This Row],[SUBTOTAL]]-PROVEEDORES[[#This Row],[descuento antes de IVA]])*VLOOKUP(PROVEEDORES[[#This Row],[PROVEEDOR]],TERCEROS_INFO[#All],3,FALSE)</f>
        <v>0</v>
      </c>
      <c r="N1330" s="25"/>
      <c r="O1330" s="24">
        <f>+PROVEEDORES[[#This Row],[Descuento sobre subtotal %]]*(PROVEEDORES[[#This Row],[SUBTOTAL]]-PROVEEDORES[[#This Row],[descuento antes de IVA]])</f>
        <v>0</v>
      </c>
      <c r="P1330" s="136">
        <f>+IF(PROVEEDORES[[#This Row],[SUBTOTAL]]&lt;PROVEEDORES[[#This Row],[base retencion]],0,PROVEEDORES[[#This Row],[retención aplicada]])</f>
        <v>0</v>
      </c>
      <c r="Q1330" s="24">
        <f>+PROVEEDORES[[#This Row],[Rete Fuente %]]*PROVEEDORES[[#This Row],[SUBTOTAL]]</f>
        <v>0</v>
      </c>
      <c r="R1330" s="23">
        <f>+PROVEEDORES[[#This Row],[SUBTOTAL]]+PROVEEDORES[[#This Row],[IVA 19%]]-PROVEEDORES[[#This Row],[descuento antes de IVA]]-PROVEEDORES[[#This Row],[Descuento sobre subtotal $]]-PROVEEDORES[[#This Row],[Rete Fuente $]]</f>
        <v>6748000</v>
      </c>
      <c r="S1330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30" s="99">
        <f ca="1">IF(PROVEEDORES[[#This Row],[FECHA DE PAGO]]=0,TODAY()-PROVEEDORES[[#This Row],[FECHA DE FACTURACIÓN]]-PROVEEDORES[[#This Row],[PLAZO Días]],0)</f>
        <v>30</v>
      </c>
      <c r="U1330" s="149">
        <f>+VLOOKUP(PROVEEDORES[[#This Row],[PROVEEDOR]],Terceros!$A:$E,5,FALSE)</f>
        <v>0</v>
      </c>
      <c r="V1330" s="150">
        <f>+YEAR(PROVEEDORES[[#This Row],[FECHA DE FACTURACIÓN]])</f>
        <v>2022</v>
      </c>
      <c r="W1330" s="150">
        <f>+MATCH(PROVEEDORES[[#This Row],[año facturado]],Retenciones!$1:$1,0)</f>
        <v>5</v>
      </c>
      <c r="X1330" s="151">
        <f>+VLOOKUP(PROVEEDORES[[#This Row],[ID RETENCION]],Retenciones!$A$1:$O$24,PROVEEDORES[[#This Row],[indicador de columna]],FALSE)</f>
        <v>0</v>
      </c>
      <c r="Y1330" s="152">
        <f>+VLOOKUP(PROVEEDORES[[#This Row],[ID RETENCION]],Retenciones!$A$1:$O$24,2,FALSE)</f>
        <v>0</v>
      </c>
      <c r="Z1330" s="26"/>
      <c r="AA1330" s="26"/>
      <c r="AB1330" s="26"/>
      <c r="AC1330" s="26"/>
      <c r="AD1330" s="26"/>
      <c r="AE1330" s="26"/>
    </row>
    <row r="1331" spans="1:31" ht="21.95" customHeight="1" x14ac:dyDescent="0.25">
      <c r="A1331" s="97" t="str">
        <f>+IF(PROVEEDORES[[#This Row],[FECHA DE PAGO]]=PROVEEDORES[[#This Row],[FECHA DE FACTURACIÓN]],"DE CONTADO","CRÉDITO")</f>
        <v>CRÉDITO</v>
      </c>
      <c r="B1331" s="41" t="b">
        <f>+IF((PROVEEDORES[[#This Row],[FECHA DE PAGO]]-PROVEEDORES[[#This Row],[FECHA DE FACTURACIÓN]])&gt;PROVEEDORES[[#This Row],[PLAZO Días]],"PAGO VENCIDO")</f>
        <v>0</v>
      </c>
      <c r="C1331" s="22">
        <f>+VLOOKUP(PROVEEDORES[[#This Row],[PROVEEDOR]],TERCEROS_INFO[#All],2,FALSE)</f>
        <v>30</v>
      </c>
      <c r="D1331" s="27">
        <f>+SUMIFS(PROVEEDORES[Total],PROVEEDORES[PROVEEDOR],PROVEEDORES[[#This Row],[PROVEEDOR]],PROVEEDORES[FECHA DE PAGO],"")</f>
        <v>0</v>
      </c>
      <c r="E1331" s="27"/>
      <c r="F1331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1331" s="95">
        <v>44635</v>
      </c>
      <c r="H1331" s="28" t="s">
        <v>1040</v>
      </c>
      <c r="I1331" s="95">
        <v>44627</v>
      </c>
      <c r="J1331" s="38">
        <v>330</v>
      </c>
      <c r="K1331" s="23">
        <v>359500</v>
      </c>
      <c r="L1331" s="23"/>
      <c r="M1331" s="24">
        <v>0</v>
      </c>
      <c r="N1331" s="25"/>
      <c r="O1331" s="24">
        <v>0</v>
      </c>
      <c r="P1331" s="136">
        <f>+IF(PROVEEDORES[[#This Row],[SUBTOTAL]]&lt;PROVEEDORES[[#This Row],[base retencion]],0,PROVEEDORES[[#This Row],[retención aplicada]])</f>
        <v>0</v>
      </c>
      <c r="Q1331" s="24">
        <f>+PROVEEDORES[[#This Row],[Rete Fuente %]]*PROVEEDORES[[#This Row],[SUBTOTAL]]</f>
        <v>0</v>
      </c>
      <c r="R1331" s="23">
        <v>359500</v>
      </c>
      <c r="S133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1" s="99">
        <f ca="1">IF(PROVEEDORES[[#This Row],[FECHA DE PAGO]]=0,TODAY()-PROVEEDORES[[#This Row],[FECHA DE FACTURACIÓN]]-PROVEEDORES[[#This Row],[PLAZO Días]],0)</f>
        <v>0</v>
      </c>
      <c r="U1331" s="149">
        <f>+VLOOKUP(PROVEEDORES[[#This Row],[PROVEEDOR]],Terceros!$A:$E,5,FALSE)</f>
        <v>0</v>
      </c>
      <c r="V1331" s="150">
        <f>+YEAR(PROVEEDORES[[#This Row],[FECHA DE FACTURACIÓN]])</f>
        <v>2022</v>
      </c>
      <c r="W1331" s="150">
        <f>+MATCH(PROVEEDORES[[#This Row],[año facturado]],Retenciones!$1:$1,0)</f>
        <v>5</v>
      </c>
      <c r="X1331" s="151">
        <f>+VLOOKUP(PROVEEDORES[[#This Row],[ID RETENCION]],Retenciones!$A$1:$O$24,PROVEEDORES[[#This Row],[indicador de columna]],FALSE)</f>
        <v>0</v>
      </c>
      <c r="Y1331" s="152">
        <f>+VLOOKUP(PROVEEDORES[[#This Row],[ID RETENCION]],Retenciones!$A$1:$O$24,2,FALSE)</f>
        <v>0</v>
      </c>
      <c r="Z1331" s="26"/>
      <c r="AA1331" s="26"/>
      <c r="AB1331" s="26"/>
      <c r="AC1331" s="26"/>
      <c r="AD1331" s="26"/>
      <c r="AE1331" s="26"/>
    </row>
    <row r="1332" spans="1:31" ht="21.95" customHeight="1" x14ac:dyDescent="0.25">
      <c r="A1332" s="97" t="str">
        <f>+IF(PROVEEDORES[[#This Row],[FECHA DE PAGO]]=PROVEEDORES[[#This Row],[FECHA DE FACTURACIÓN]],"DE CONTADO","CRÉDITO")</f>
        <v>CRÉDITO</v>
      </c>
      <c r="B1332" s="41" t="b">
        <f>+IF((PROVEEDORES[[#This Row],[FECHA DE PAGO]]-PROVEEDORES[[#This Row],[FECHA DE FACTURACIÓN]])&gt;PROVEEDORES[[#This Row],[PLAZO Días]],"PAGO VENCIDO")</f>
        <v>0</v>
      </c>
      <c r="C1332" s="22">
        <f>+VLOOKUP(PROVEEDORES[[#This Row],[PROVEEDOR]],TERCEROS_INFO[#All],2,FALSE)</f>
        <v>30</v>
      </c>
      <c r="D1332" s="27">
        <f>+SUMIFS(PROVEEDORES[Total],PROVEEDORES[PROVEEDOR],PROVEEDORES[[#This Row],[PROVEEDOR]],PROVEEDORES[FECHA DE PAGO],"")</f>
        <v>395010</v>
      </c>
      <c r="E1332" s="27"/>
      <c r="F1332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1332" s="95">
        <v>44635</v>
      </c>
      <c r="H1332" s="28" t="s">
        <v>141</v>
      </c>
      <c r="I1332" s="95">
        <v>44627</v>
      </c>
      <c r="J1332" s="38">
        <v>211</v>
      </c>
      <c r="K1332" s="23">
        <v>359500</v>
      </c>
      <c r="L1332" s="23"/>
      <c r="M1332" s="24">
        <v>0</v>
      </c>
      <c r="N1332" s="25"/>
      <c r="O1332" s="24">
        <v>0</v>
      </c>
      <c r="P1332" s="136">
        <f>+IF(PROVEEDORES[[#This Row],[SUBTOTAL]]&lt;PROVEEDORES[[#This Row],[base retencion]],0,PROVEEDORES[[#This Row],[retención aplicada]])</f>
        <v>0.01</v>
      </c>
      <c r="Q1332" s="24">
        <f>+PROVEEDORES[[#This Row],[Rete Fuente %]]*PROVEEDORES[[#This Row],[SUBTOTAL]]</f>
        <v>3595</v>
      </c>
      <c r="R1332" s="23">
        <v>359500</v>
      </c>
      <c r="S133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2" s="99">
        <f ca="1">IF(PROVEEDORES[[#This Row],[FECHA DE PAGO]]=0,TODAY()-PROVEEDORES[[#This Row],[FECHA DE FACTURACIÓN]]-PROVEEDORES[[#This Row],[PLAZO Días]],0)</f>
        <v>0</v>
      </c>
      <c r="U1332" s="149" t="str">
        <f>+VLOOKUP(PROVEEDORES[[#This Row],[PROVEEDOR]],Terceros!$A:$E,5,FALSE)</f>
        <v>1% con base</v>
      </c>
      <c r="V1332" s="150">
        <f>+YEAR(PROVEEDORES[[#This Row],[FECHA DE FACTURACIÓN]])</f>
        <v>2022</v>
      </c>
      <c r="W1332" s="150">
        <f>+MATCH(PROVEEDORES[[#This Row],[año facturado]],Retenciones!$1:$1,0)</f>
        <v>5</v>
      </c>
      <c r="X1332" s="151">
        <f>+VLOOKUP(PROVEEDORES[[#This Row],[ID RETENCION]],Retenciones!$A$1:$O$24,PROVEEDORES[[#This Row],[indicador de columna]],FALSE)</f>
        <v>152000</v>
      </c>
      <c r="Y1332" s="152">
        <f>+VLOOKUP(PROVEEDORES[[#This Row],[ID RETENCION]],Retenciones!$A$1:$O$24,2,FALSE)</f>
        <v>0.01</v>
      </c>
      <c r="Z1332" s="26"/>
      <c r="AA1332" s="26"/>
      <c r="AB1332" s="26"/>
      <c r="AC1332" s="26"/>
      <c r="AD1332" s="26"/>
      <c r="AE1332" s="26"/>
    </row>
    <row r="1333" spans="1:31" ht="21.95" customHeight="1" x14ac:dyDescent="0.25">
      <c r="A1333" s="97" t="str">
        <f>+IF(PROVEEDORES[[#This Row],[FECHA DE PAGO]]=PROVEEDORES[[#This Row],[FECHA DE FACTURACIÓN]],"DE CONTADO","CRÉDITO")</f>
        <v>DE CONTADO</v>
      </c>
      <c r="B1333" s="41" t="b">
        <f>+IF((PROVEEDORES[[#This Row],[FECHA DE PAGO]]-PROVEEDORES[[#This Row],[FECHA DE FACTURACIÓN]])&gt;PROVEEDORES[[#This Row],[PLAZO Días]],"PAGO VENCIDO")</f>
        <v>0</v>
      </c>
      <c r="C1333" s="22">
        <f>+VLOOKUP(PROVEEDORES[[#This Row],[PROVEEDOR]],TERCEROS_INFO[#All],2,FALSE)</f>
        <v>30</v>
      </c>
      <c r="D1333" s="27">
        <f>+SUMIFS(PROVEEDORES[Total],PROVEEDORES[PROVEEDOR],PROVEEDORES[[#This Row],[PROVEEDOR]],PROVEEDORES[FECHA DE PAGO],"")</f>
        <v>0</v>
      </c>
      <c r="E1333" s="27"/>
      <c r="F1333" s="62" t="str">
        <f>+VLOOKUP(PROVEEDORES[[#This Row],[PROVEEDOR]],
                       Terceros!$A:$G,
                       6,
                       FALSE)</f>
        <v/>
      </c>
      <c r="G1333" s="95">
        <v>44627</v>
      </c>
      <c r="H1333" s="28" t="s">
        <v>1031</v>
      </c>
      <c r="I1333" s="95">
        <v>44627</v>
      </c>
      <c r="J1333" s="38" t="s">
        <v>1033</v>
      </c>
      <c r="K1333" s="23">
        <v>540000</v>
      </c>
      <c r="L1333" s="23"/>
      <c r="M1333" s="24">
        <v>0</v>
      </c>
      <c r="N1333" s="25"/>
      <c r="O1333" s="24">
        <v>0</v>
      </c>
      <c r="P1333" s="136">
        <f>+IF(PROVEEDORES[[#This Row],[SUBTOTAL]]&lt;PROVEEDORES[[#This Row],[base retencion]],0,PROVEEDORES[[#This Row],[retención aplicada]])</f>
        <v>0</v>
      </c>
      <c r="Q1333" s="24">
        <f>+PROVEEDORES[[#This Row],[Rete Fuente %]]*PROVEEDORES[[#This Row],[SUBTOTAL]]</f>
        <v>0</v>
      </c>
      <c r="R1333" s="23">
        <v>540000</v>
      </c>
      <c r="S133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3" s="99">
        <f ca="1">IF(PROVEEDORES[[#This Row],[FECHA DE PAGO]]=0,TODAY()-PROVEEDORES[[#This Row],[FECHA DE FACTURACIÓN]]-PROVEEDORES[[#This Row],[PLAZO Días]],0)</f>
        <v>0</v>
      </c>
      <c r="U1333" s="149">
        <f>+VLOOKUP(PROVEEDORES[[#This Row],[PROVEEDOR]],Terceros!$A:$E,5,FALSE)</f>
        <v>0</v>
      </c>
      <c r="V1333" s="150">
        <f>+YEAR(PROVEEDORES[[#This Row],[FECHA DE FACTURACIÓN]])</f>
        <v>2022</v>
      </c>
      <c r="W1333" s="150">
        <f>+MATCH(PROVEEDORES[[#This Row],[año facturado]],Retenciones!$1:$1,0)</f>
        <v>5</v>
      </c>
      <c r="X1333" s="151">
        <f>+VLOOKUP(PROVEEDORES[[#This Row],[ID RETENCION]],Retenciones!$A$1:$O$24,PROVEEDORES[[#This Row],[indicador de columna]],FALSE)</f>
        <v>0</v>
      </c>
      <c r="Y1333" s="152">
        <f>+VLOOKUP(PROVEEDORES[[#This Row],[ID RETENCION]],Retenciones!$A$1:$O$24,2,FALSE)</f>
        <v>0</v>
      </c>
      <c r="Z1333" s="26"/>
      <c r="AA1333" s="26"/>
      <c r="AB1333" s="26"/>
      <c r="AC1333" s="26"/>
      <c r="AD1333" s="26"/>
      <c r="AE1333" s="26"/>
    </row>
    <row r="1334" spans="1:31" ht="21.95" customHeight="1" x14ac:dyDescent="0.25">
      <c r="A1334" s="97" t="str">
        <f>+IF(PROVEEDORES[[#This Row],[FECHA DE PAGO]]=PROVEEDORES[[#This Row],[FECHA DE FACTURACIÓN]],"DE CONTADO","CRÉDITO")</f>
        <v>CRÉDITO</v>
      </c>
      <c r="B1334" s="41" t="b">
        <f>+IF((PROVEEDORES[[#This Row],[FECHA DE PAGO]]-PROVEEDORES[[#This Row],[FECHA DE FACTURACIÓN]])&gt;PROVEEDORES[[#This Row],[PLAZO Días]],"PAGO VENCIDO")</f>
        <v>0</v>
      </c>
      <c r="C1334" s="22">
        <f>+VLOOKUP(PROVEEDORES[[#This Row],[PROVEEDOR]],TERCEROS_INFO[#All],2,FALSE)</f>
        <v>30</v>
      </c>
      <c r="D1334" s="27">
        <f>+SUMIFS(PROVEEDORES[Total],PROVEEDORES[PROVEEDOR],PROVEEDORES[[#This Row],[PROVEEDOR]],PROVEEDORES[FECHA DE PAGO],"")</f>
        <v>6932910</v>
      </c>
      <c r="E1334" s="27"/>
      <c r="F1334" s="62" t="str">
        <f>+VLOOKUP(PROVEEDORES[[#This Row],[PROVEEDOR]],
                       Terceros!$A:$G,
                       6,
                       FALSE)</f>
        <v>admin@kinocompanysas.com.co;girlesa.ruiz@servipilas.com;joriescobar64@gmail.com</v>
      </c>
      <c r="H1334" s="28" t="s">
        <v>33</v>
      </c>
      <c r="I1334" s="95">
        <v>44627</v>
      </c>
      <c r="J1334" s="38">
        <v>2342</v>
      </c>
      <c r="K1334" s="23">
        <v>93000</v>
      </c>
      <c r="L1334" s="23"/>
      <c r="M1334" s="24">
        <f>(PROVEEDORES[[#This Row],[SUBTOTAL]]-PROVEEDORES[[#This Row],[descuento antes de IVA]])*VLOOKUP(PROVEEDORES[[#This Row],[PROVEEDOR]],TERCEROS_INFO[#All],3,FALSE)</f>
        <v>17670</v>
      </c>
      <c r="N1334" s="25"/>
      <c r="O1334" s="24">
        <f>+PROVEEDORES[[#This Row],[Descuento sobre subtotal %]]*(PROVEEDORES[[#This Row],[SUBTOTAL]]-PROVEEDORES[[#This Row],[descuento antes de IVA]])</f>
        <v>0</v>
      </c>
      <c r="P1334" s="136">
        <f>+IF(PROVEEDORES[[#This Row],[SUBTOTAL]]&lt;PROVEEDORES[[#This Row],[base retencion]],0,PROVEEDORES[[#This Row],[retención aplicada]])</f>
        <v>0</v>
      </c>
      <c r="Q1334" s="24">
        <f>+PROVEEDORES[[#This Row],[Rete Fuente %]]*PROVEEDORES[[#This Row],[SUBTOTAL]]</f>
        <v>0</v>
      </c>
      <c r="R1334" s="23">
        <f>+PROVEEDORES[[#This Row],[SUBTOTAL]]+PROVEEDORES[[#This Row],[IVA 19%]]-PROVEEDORES[[#This Row],[descuento antes de IVA]]-PROVEEDORES[[#This Row],[Descuento sobre subtotal $]]-PROVEEDORES[[#This Row],[Rete Fuente $]]</f>
        <v>110670</v>
      </c>
      <c r="S1334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34" s="99">
        <f ca="1">IF(PROVEEDORES[[#This Row],[FECHA DE PAGO]]=0,TODAY()-PROVEEDORES[[#This Row],[FECHA DE FACTURACIÓN]]-PROVEEDORES[[#This Row],[PLAZO Días]],0)</f>
        <v>27</v>
      </c>
      <c r="U1334" s="149" t="str">
        <f>+VLOOKUP(PROVEEDORES[[#This Row],[PROVEEDOR]],Terceros!$A:$E,5,FALSE)</f>
        <v>2,5% con base</v>
      </c>
      <c r="V1334" s="150">
        <f>+YEAR(PROVEEDORES[[#This Row],[FECHA DE FACTURACIÓN]])</f>
        <v>2022</v>
      </c>
      <c r="W1334" s="150">
        <f>+MATCH(PROVEEDORES[[#This Row],[año facturado]],Retenciones!$1:$1,0)</f>
        <v>5</v>
      </c>
      <c r="X1334" s="151">
        <f>+VLOOKUP(PROVEEDORES[[#This Row],[ID RETENCION]],Retenciones!$A$1:$O$24,PROVEEDORES[[#This Row],[indicador de columna]],FALSE)</f>
        <v>1026000</v>
      </c>
      <c r="Y1334" s="152">
        <f>+VLOOKUP(PROVEEDORES[[#This Row],[ID RETENCION]],Retenciones!$A$1:$O$24,2,FALSE)</f>
        <v>2.5000000000000001E-2</v>
      </c>
      <c r="Z1334" s="26"/>
      <c r="AA1334" s="26"/>
      <c r="AB1334" s="26"/>
      <c r="AC1334" s="26"/>
      <c r="AD1334" s="26"/>
      <c r="AE1334" s="26"/>
    </row>
    <row r="1335" spans="1:31" ht="21.95" customHeight="1" x14ac:dyDescent="0.25">
      <c r="A1335" s="97" t="str">
        <f>+IF(PROVEEDORES[[#This Row],[FECHA DE PAGO]]=PROVEEDORES[[#This Row],[FECHA DE FACTURACIÓN]],"DE CONTADO","CRÉDITO")</f>
        <v>DE CONTADO</v>
      </c>
      <c r="B1335" s="41" t="b">
        <f>+IF((PROVEEDORES[[#This Row],[FECHA DE PAGO]]-PROVEEDORES[[#This Row],[FECHA DE FACTURACIÓN]])&gt;PROVEEDORES[[#This Row],[PLAZO Días]],"PAGO VENCIDO")</f>
        <v>0</v>
      </c>
      <c r="C1335" s="22">
        <f>+VLOOKUP(PROVEEDORES[[#This Row],[PROVEEDOR]],TERCEROS_INFO[#All],2,FALSE)</f>
        <v>30</v>
      </c>
      <c r="D1335" s="27">
        <f>+SUMIFS(PROVEEDORES[Total],PROVEEDORES[PROVEEDOR],PROVEEDORES[[#This Row],[PROVEEDOR]],PROVEEDORES[FECHA DE PAGO],"")</f>
        <v>18000</v>
      </c>
      <c r="E1335" s="27"/>
      <c r="F1335" s="62" t="str">
        <f>+VLOOKUP(PROVEEDORES[[#This Row],[PROVEEDOR]],
                       Terceros!$A:$G,
                       6,
                       FALSE)</f>
        <v/>
      </c>
      <c r="G1335" s="95">
        <v>44628</v>
      </c>
      <c r="H1335" s="28" t="s">
        <v>1054</v>
      </c>
      <c r="I1335" s="95">
        <v>44628</v>
      </c>
      <c r="J1335" s="38" t="s">
        <v>1056</v>
      </c>
      <c r="K1335" s="23">
        <v>630000</v>
      </c>
      <c r="L1335" s="23"/>
      <c r="M1335" s="24">
        <v>0</v>
      </c>
      <c r="N1335" s="25"/>
      <c r="O1335" s="24">
        <v>0</v>
      </c>
      <c r="P1335" s="136">
        <f>+IF(PROVEEDORES[[#This Row],[SUBTOTAL]]&lt;PROVEEDORES[[#This Row],[base retencion]],0,PROVEEDORES[[#This Row],[retención aplicada]])</f>
        <v>0</v>
      </c>
      <c r="Q1335" s="24">
        <f>+PROVEEDORES[[#This Row],[Rete Fuente %]]*PROVEEDORES[[#This Row],[SUBTOTAL]]</f>
        <v>0</v>
      </c>
      <c r="R1335" s="23">
        <v>630000</v>
      </c>
      <c r="S133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5" s="99">
        <f ca="1">IF(PROVEEDORES[[#This Row],[FECHA DE PAGO]]=0,TODAY()-PROVEEDORES[[#This Row],[FECHA DE FACTURACIÓN]]-PROVEEDORES[[#This Row],[PLAZO Días]],0)</f>
        <v>0</v>
      </c>
      <c r="U1335" s="149">
        <f>+VLOOKUP(PROVEEDORES[[#This Row],[PROVEEDOR]],Terceros!$A:$E,5,FALSE)</f>
        <v>0</v>
      </c>
      <c r="V1335" s="150">
        <f>+YEAR(PROVEEDORES[[#This Row],[FECHA DE FACTURACIÓN]])</f>
        <v>2022</v>
      </c>
      <c r="W1335" s="150">
        <f>+MATCH(PROVEEDORES[[#This Row],[año facturado]],Retenciones!$1:$1,0)</f>
        <v>5</v>
      </c>
      <c r="X1335" s="151">
        <f>+VLOOKUP(PROVEEDORES[[#This Row],[ID RETENCION]],Retenciones!$A$1:$O$24,PROVEEDORES[[#This Row],[indicador de columna]],FALSE)</f>
        <v>0</v>
      </c>
      <c r="Y1335" s="152">
        <f>+VLOOKUP(PROVEEDORES[[#This Row],[ID RETENCION]],Retenciones!$A$1:$O$24,2,FALSE)</f>
        <v>0</v>
      </c>
      <c r="Z1335" s="26"/>
      <c r="AA1335" s="26"/>
      <c r="AB1335" s="26"/>
      <c r="AC1335" s="26"/>
      <c r="AD1335" s="26"/>
      <c r="AE1335" s="26"/>
    </row>
    <row r="1336" spans="1:31" ht="21.95" customHeight="1" x14ac:dyDescent="0.25">
      <c r="A1336" s="97" t="str">
        <f>+IF(PROVEEDORES[[#This Row],[FECHA DE PAGO]]=PROVEEDORES[[#This Row],[FECHA DE FACTURACIÓN]],"DE CONTADO","CRÉDITO")</f>
        <v>DE CONTADO</v>
      </c>
      <c r="B1336" s="41" t="b">
        <f>+IF((PROVEEDORES[[#This Row],[FECHA DE PAGO]]-PROVEEDORES[[#This Row],[FECHA DE FACTURACIÓN]])&gt;PROVEEDORES[[#This Row],[PLAZO Días]],"PAGO VENCIDO")</f>
        <v>0</v>
      </c>
      <c r="C1336" s="22">
        <f>+VLOOKUP(PROVEEDORES[[#This Row],[PROVEEDOR]],TERCEROS_INFO[#All],2,FALSE)</f>
        <v>30</v>
      </c>
      <c r="D1336" s="27">
        <f>+SUMIFS(PROVEEDORES[Total],PROVEEDORES[PROVEEDOR],PROVEEDORES[[#This Row],[PROVEEDOR]],PROVEEDORES[FECHA DE PAGO],"")</f>
        <v>21832129.73</v>
      </c>
      <c r="E1336" s="27"/>
      <c r="F1336" s="62" t="str">
        <f>+VLOOKUP(PROVEEDORES[[#This Row],[PROVEEDOR]],
                       Terceros!$A:$G,
                       6,
                       FALSE)</f>
        <v>cartera1@grupostatur.com;girlesa.ruiz@servipilas.com;joriescobar64@gmail.com</v>
      </c>
      <c r="G1336" s="95">
        <v>44629</v>
      </c>
      <c r="H1336" s="28" t="s">
        <v>9</v>
      </c>
      <c r="I1336" s="95">
        <v>44629</v>
      </c>
      <c r="J1336" s="38">
        <v>75251</v>
      </c>
      <c r="K1336" s="23">
        <v>180307</v>
      </c>
      <c r="L1336" s="23"/>
      <c r="M1336" s="24">
        <v>34258.33</v>
      </c>
      <c r="N1336" s="25"/>
      <c r="O1336" s="24">
        <v>0</v>
      </c>
      <c r="P1336" s="136">
        <f>+IF(PROVEEDORES[[#This Row],[SUBTOTAL]]&lt;PROVEEDORES[[#This Row],[base retencion]],0,PROVEEDORES[[#This Row],[retención aplicada]])</f>
        <v>0</v>
      </c>
      <c r="Q1336" s="24">
        <f>+PROVEEDORES[[#This Row],[Rete Fuente %]]*PROVEEDORES[[#This Row],[SUBTOTAL]]</f>
        <v>0</v>
      </c>
      <c r="R1336" s="23">
        <v>214565.33000000002</v>
      </c>
      <c r="S133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6" s="99">
        <f ca="1">IF(PROVEEDORES[[#This Row],[FECHA DE PAGO]]=0,TODAY()-PROVEEDORES[[#This Row],[FECHA DE FACTURACIÓN]]-PROVEEDORES[[#This Row],[PLAZO Días]],0)</f>
        <v>0</v>
      </c>
      <c r="U1336" s="149" t="str">
        <f>+VLOOKUP(PROVEEDORES[[#This Row],[PROVEEDOR]],Terceros!$A:$E,5,FALSE)</f>
        <v>2,5% con base</v>
      </c>
      <c r="V1336" s="150">
        <f>+YEAR(PROVEEDORES[[#This Row],[FECHA DE FACTURACIÓN]])</f>
        <v>2022</v>
      </c>
      <c r="W1336" s="150">
        <f>+MATCH(PROVEEDORES[[#This Row],[año facturado]],Retenciones!$1:$1,0)</f>
        <v>5</v>
      </c>
      <c r="X1336" s="151">
        <f>+VLOOKUP(PROVEEDORES[[#This Row],[ID RETENCION]],Retenciones!$A$1:$O$24,PROVEEDORES[[#This Row],[indicador de columna]],FALSE)</f>
        <v>1026000</v>
      </c>
      <c r="Y1336" s="152">
        <f>+VLOOKUP(PROVEEDORES[[#This Row],[ID RETENCION]],Retenciones!$A$1:$O$24,2,FALSE)</f>
        <v>2.5000000000000001E-2</v>
      </c>
      <c r="Z1336" s="26"/>
      <c r="AA1336" s="26"/>
      <c r="AB1336" s="26"/>
      <c r="AC1336" s="26"/>
      <c r="AD1336" s="26"/>
      <c r="AE1336" s="26"/>
    </row>
    <row r="1337" spans="1:31" ht="21.95" customHeight="1" x14ac:dyDescent="0.25">
      <c r="A1337" s="97" t="str">
        <f>+IF(PROVEEDORES[[#This Row],[FECHA DE PAGO]]=PROVEEDORES[[#This Row],[FECHA DE FACTURACIÓN]],"DE CONTADO","CRÉDITO")</f>
        <v>CRÉDITO</v>
      </c>
      <c r="B1337" s="41" t="str">
        <f>+IF((PROVEEDORES[[#This Row],[FECHA DE PAGO]]-PROVEEDORES[[#This Row],[FECHA DE FACTURACIÓN]])&gt;PROVEEDORES[[#This Row],[PLAZO Días]],"PAGO VENCIDO")</f>
        <v>PAGO VENCIDO</v>
      </c>
      <c r="C1337" s="22">
        <f>+VLOOKUP(PROVEEDORES[[#This Row],[PROVEEDOR]],TERCEROS_INFO[#All],2,FALSE)</f>
        <v>30</v>
      </c>
      <c r="D1337" s="27">
        <f>+SUMIFS(PROVEEDORES[Total],PROVEEDORES[PROVEEDOR],PROVEEDORES[[#This Row],[PROVEEDOR]],PROVEEDORES[FECHA DE PAGO],"")</f>
        <v>6151200</v>
      </c>
      <c r="E1337" s="27"/>
      <c r="F1337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G1337" s="95">
        <v>44684</v>
      </c>
      <c r="H1337" s="28" t="s">
        <v>11</v>
      </c>
      <c r="I1337" s="95">
        <v>44627</v>
      </c>
      <c r="J1337" s="38" t="s">
        <v>1140</v>
      </c>
      <c r="K1337" s="23">
        <v>3960000</v>
      </c>
      <c r="L1337" s="23"/>
      <c r="M1337" s="24">
        <f>(PROVEEDORES[[#This Row],[SUBTOTAL]]-PROVEEDORES[[#This Row],[descuento antes de IVA]])*VLOOKUP(PROVEEDORES[[#This Row],[PROVEEDOR]],TERCEROS_INFO[#All],3,FALSE)</f>
        <v>752400</v>
      </c>
      <c r="N1337" s="25"/>
      <c r="O1337" s="24">
        <f>+PROVEEDORES[[#This Row],[Descuento sobre subtotal %]]*(PROVEEDORES[[#This Row],[SUBTOTAL]]-PROVEEDORES[[#This Row],[descuento antes de IVA]])</f>
        <v>0</v>
      </c>
      <c r="P1337" s="136">
        <f>+IF(PROVEEDORES[[#This Row],[SUBTOTAL]]&lt;PROVEEDORES[[#This Row],[base retencion]],0,PROVEEDORES[[#This Row],[retención aplicada]])</f>
        <v>2.5000000000000001E-2</v>
      </c>
      <c r="Q1337" s="24">
        <f>+PROVEEDORES[[#This Row],[Rete Fuente %]]*PROVEEDORES[[#This Row],[SUBTOTAL]]</f>
        <v>99000</v>
      </c>
      <c r="R1337" s="23">
        <f>+PROVEEDORES[[#This Row],[SUBTOTAL]]+PROVEEDORES[[#This Row],[IVA 19%]]-PROVEEDORES[[#This Row],[descuento antes de IVA]]-PROVEEDORES[[#This Row],[Descuento sobre subtotal $]]-PROVEEDORES[[#This Row],[Rete Fuente $]]</f>
        <v>4613400</v>
      </c>
      <c r="S133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7" s="99">
        <f ca="1">IF(PROVEEDORES[[#This Row],[FECHA DE PAGO]]=0,TODAY()-PROVEEDORES[[#This Row],[FECHA DE FACTURACIÓN]]-PROVEEDORES[[#This Row],[PLAZO Días]],0)</f>
        <v>0</v>
      </c>
      <c r="U1337" s="149" t="str">
        <f>+VLOOKUP(PROVEEDORES[[#This Row],[PROVEEDOR]],Terceros!$A:$E,5,FALSE)</f>
        <v>2,5% con base</v>
      </c>
      <c r="V1337" s="150">
        <f>+YEAR(PROVEEDORES[[#This Row],[FECHA DE FACTURACIÓN]])</f>
        <v>2022</v>
      </c>
      <c r="W1337" s="150">
        <f>+MATCH(PROVEEDORES[[#This Row],[año facturado]],Retenciones!$1:$1,0)</f>
        <v>5</v>
      </c>
      <c r="X1337" s="151">
        <f>+VLOOKUP(PROVEEDORES[[#This Row],[ID RETENCION]],Retenciones!$A$1:$O$24,PROVEEDORES[[#This Row],[indicador de columna]],FALSE)</f>
        <v>1026000</v>
      </c>
      <c r="Y1337" s="152">
        <f>+VLOOKUP(PROVEEDORES[[#This Row],[ID RETENCION]],Retenciones!$A$1:$O$24,2,FALSE)</f>
        <v>2.5000000000000001E-2</v>
      </c>
      <c r="Z1337" s="26"/>
      <c r="AA1337" s="26"/>
      <c r="AB1337" s="26"/>
      <c r="AC1337" s="26"/>
      <c r="AD1337" s="26"/>
      <c r="AE1337" s="26"/>
    </row>
    <row r="1338" spans="1:31" ht="21.95" customHeight="1" x14ac:dyDescent="0.25">
      <c r="A1338" s="97" t="str">
        <f>+IF(PROVEEDORES[[#This Row],[FECHA DE PAGO]]=PROVEEDORES[[#This Row],[FECHA DE FACTURACIÓN]],"DE CONTADO","CRÉDITO")</f>
        <v>CRÉDITO</v>
      </c>
      <c r="B1338" s="41" t="b">
        <f>+IF((PROVEEDORES[[#This Row],[FECHA DE PAGO]]-PROVEEDORES[[#This Row],[FECHA DE FACTURACIÓN]])&gt;PROVEEDORES[[#This Row],[PLAZO Días]],"PAGO VENCIDO")</f>
        <v>0</v>
      </c>
      <c r="C1338" s="22">
        <f>+VLOOKUP(PROVEEDORES[[#This Row],[PROVEEDOR]],TERCEROS_INFO[#All],2,FALSE)</f>
        <v>30</v>
      </c>
      <c r="D1338" s="27">
        <f>+SUMIFS(PROVEEDORES[Total],PROVEEDORES[PROVEEDOR],PROVEEDORES[[#This Row],[PROVEEDOR]],PROVEEDORES[FECHA DE PAGO],"")</f>
        <v>627113.34</v>
      </c>
      <c r="E1338" s="27"/>
      <c r="F1338" s="62" t="str">
        <f>+VLOOKUP(PROVEEDORES[[#This Row],[PROVEEDOR]],
                       Terceros!$A:$G,
                       6,
                       FALSE)</f>
        <v>ventas@ismartsas.com;girlesa.ruiz@servipilas.com;joriescobar64@gmail.com</v>
      </c>
      <c r="G1338" s="95">
        <v>44652</v>
      </c>
      <c r="H1338" s="28" t="s">
        <v>48</v>
      </c>
      <c r="I1338" s="95">
        <v>44629</v>
      </c>
      <c r="J1338" s="38" t="s">
        <v>1128</v>
      </c>
      <c r="K1338" s="23">
        <v>643885</v>
      </c>
      <c r="L1338" s="23"/>
      <c r="M1338" s="24">
        <v>122338.15</v>
      </c>
      <c r="N1338" s="25"/>
      <c r="O1338" s="24">
        <v>0</v>
      </c>
      <c r="P1338" s="136">
        <f>+IF(PROVEEDORES[[#This Row],[SUBTOTAL]]&lt;PROVEEDORES[[#This Row],[base retencion]],0,PROVEEDORES[[#This Row],[retención aplicada]])</f>
        <v>0</v>
      </c>
      <c r="Q1338" s="24">
        <f>+PROVEEDORES[[#This Row],[Rete Fuente %]]*PROVEEDORES[[#This Row],[SUBTOTAL]]</f>
        <v>0</v>
      </c>
      <c r="R1338" s="23">
        <v>766223.15</v>
      </c>
      <c r="S133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8" s="99">
        <f ca="1">IF(PROVEEDORES[[#This Row],[FECHA DE PAGO]]=0,TODAY()-PROVEEDORES[[#This Row],[FECHA DE FACTURACIÓN]]-PROVEEDORES[[#This Row],[PLAZO Días]],0)</f>
        <v>0</v>
      </c>
      <c r="U1338" s="149" t="str">
        <f>+VLOOKUP(PROVEEDORES[[#This Row],[PROVEEDOR]],Terceros!$A:$E,5,FALSE)</f>
        <v>2,5% con base</v>
      </c>
      <c r="V1338" s="150">
        <f>+YEAR(PROVEEDORES[[#This Row],[FECHA DE FACTURACIÓN]])</f>
        <v>2022</v>
      </c>
      <c r="W1338" s="150">
        <f>+MATCH(PROVEEDORES[[#This Row],[año facturado]],Retenciones!$1:$1,0)</f>
        <v>5</v>
      </c>
      <c r="X1338" s="151">
        <f>+VLOOKUP(PROVEEDORES[[#This Row],[ID RETENCION]],Retenciones!$A$1:$O$24,PROVEEDORES[[#This Row],[indicador de columna]],FALSE)</f>
        <v>1026000</v>
      </c>
      <c r="Y1338" s="152">
        <f>+VLOOKUP(PROVEEDORES[[#This Row],[ID RETENCION]],Retenciones!$A$1:$O$24,2,FALSE)</f>
        <v>2.5000000000000001E-2</v>
      </c>
      <c r="Z1338" s="26"/>
      <c r="AA1338" s="26"/>
      <c r="AB1338" s="26"/>
      <c r="AC1338" s="26"/>
      <c r="AD1338" s="26"/>
      <c r="AE1338" s="26"/>
    </row>
    <row r="1339" spans="1:31" ht="21.95" customHeight="1" x14ac:dyDescent="0.25">
      <c r="A1339" s="97" t="str">
        <f>+IF(PROVEEDORES[[#This Row],[FECHA DE PAGO]]=PROVEEDORES[[#This Row],[FECHA DE FACTURACIÓN]],"DE CONTADO","CRÉDITO")</f>
        <v>CRÉDITO</v>
      </c>
      <c r="B1339" s="41" t="str">
        <f>+IF((PROVEEDORES[[#This Row],[FECHA DE PAGO]]-PROVEEDORES[[#This Row],[FECHA DE FACTURACIÓN]])&gt;PROVEEDORES[[#This Row],[PLAZO Días]],"PAGO VENCIDO")</f>
        <v>PAGO VENCIDO</v>
      </c>
      <c r="C1339" s="22">
        <f>+VLOOKUP(PROVEEDORES[[#This Row],[PROVEEDOR]],TERCEROS_INFO[#All],2,FALSE)</f>
        <v>30</v>
      </c>
      <c r="D1339" s="27">
        <f>+SUMIFS(PROVEEDORES[Total],PROVEEDORES[PROVEEDOR],PROVEEDORES[[#This Row],[PROVEEDOR]],PROVEEDORES[FECHA DE PAGO],"")</f>
        <v>3844432.4999000002</v>
      </c>
      <c r="E1339" s="27"/>
      <c r="F1339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1339" s="95">
        <v>44684</v>
      </c>
      <c r="H1339" s="28" t="s">
        <v>18</v>
      </c>
      <c r="I1339" s="95">
        <v>44629</v>
      </c>
      <c r="J1339" s="38">
        <v>1050807</v>
      </c>
      <c r="K1339" s="23">
        <v>850000</v>
      </c>
      <c r="L1339" s="23"/>
      <c r="M1339" s="24">
        <f>(PROVEEDORES[[#This Row],[SUBTOTAL]]-PROVEEDORES[[#This Row],[descuento antes de IVA]])*VLOOKUP(PROVEEDORES[[#This Row],[PROVEEDOR]],TERCEROS_INFO[#All],3,FALSE)</f>
        <v>161500</v>
      </c>
      <c r="N1339" s="25"/>
      <c r="O1339" s="24">
        <f>+PROVEEDORES[[#This Row],[Descuento sobre subtotal %]]*(PROVEEDORES[[#This Row],[SUBTOTAL]]-PROVEEDORES[[#This Row],[descuento antes de IVA]])</f>
        <v>0</v>
      </c>
      <c r="P1339" s="136">
        <f>+IF(PROVEEDORES[[#This Row],[SUBTOTAL]]&lt;PROVEEDORES[[#This Row],[base retencion]],0,PROVEEDORES[[#This Row],[retención aplicada]])</f>
        <v>0</v>
      </c>
      <c r="Q1339" s="24">
        <f>+PROVEEDORES[[#This Row],[Rete Fuente %]]*PROVEEDORES[[#This Row],[SUBTOTAL]]</f>
        <v>0</v>
      </c>
      <c r="R1339" s="23">
        <f>+PROVEEDORES[[#This Row],[SUBTOTAL]]+PROVEEDORES[[#This Row],[IVA 19%]]-PROVEEDORES[[#This Row],[descuento antes de IVA]]-PROVEEDORES[[#This Row],[Descuento sobre subtotal $]]-PROVEEDORES[[#This Row],[Rete Fuente $]]</f>
        <v>1011500</v>
      </c>
      <c r="S133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9" s="99">
        <f ca="1">IF(PROVEEDORES[[#This Row],[FECHA DE PAGO]]=0,TODAY()-PROVEEDORES[[#This Row],[FECHA DE FACTURACIÓN]]-PROVEEDORES[[#This Row],[PLAZO Días]],0)</f>
        <v>0</v>
      </c>
      <c r="U1339" s="149" t="str">
        <f>+VLOOKUP(PROVEEDORES[[#This Row],[PROVEEDOR]],Terceros!$A:$E,5,FALSE)</f>
        <v>2,5% con base</v>
      </c>
      <c r="V1339" s="150">
        <f>+YEAR(PROVEEDORES[[#This Row],[FECHA DE FACTURACIÓN]])</f>
        <v>2022</v>
      </c>
      <c r="W1339" s="150">
        <f>+MATCH(PROVEEDORES[[#This Row],[año facturado]],Retenciones!$1:$1,0)</f>
        <v>5</v>
      </c>
      <c r="X1339" s="151">
        <f>+VLOOKUP(PROVEEDORES[[#This Row],[ID RETENCION]],Retenciones!$A$1:$O$24,PROVEEDORES[[#This Row],[indicador de columna]],FALSE)</f>
        <v>1026000</v>
      </c>
      <c r="Y1339" s="152">
        <f>+VLOOKUP(PROVEEDORES[[#This Row],[ID RETENCION]],Retenciones!$A$1:$O$24,2,FALSE)</f>
        <v>2.5000000000000001E-2</v>
      </c>
      <c r="Z1339" s="26"/>
      <c r="AA1339" s="26"/>
      <c r="AB1339" s="26"/>
      <c r="AC1339" s="26"/>
      <c r="AD1339" s="26"/>
      <c r="AE1339" s="26"/>
    </row>
    <row r="1340" spans="1:31" ht="21.95" customHeight="1" x14ac:dyDescent="0.25">
      <c r="A1340" s="97" t="str">
        <f>+IF(PROVEEDORES[[#This Row],[FECHA DE PAGO]]=PROVEEDORES[[#This Row],[FECHA DE FACTURACIÓN]],"DE CONTADO","CRÉDITO")</f>
        <v>DE CONTADO</v>
      </c>
      <c r="B1340" s="41" t="b">
        <f>+IF((PROVEEDORES[[#This Row],[FECHA DE PAGO]]-PROVEEDORES[[#This Row],[FECHA DE FACTURACIÓN]])&gt;PROVEEDORES[[#This Row],[PLAZO Días]],"PAGO VENCIDO")</f>
        <v>0</v>
      </c>
      <c r="C1340" s="22">
        <f>+VLOOKUP(PROVEEDORES[[#This Row],[PROVEEDOR]],TERCEROS_INFO[#All],2,FALSE)</f>
        <v>30</v>
      </c>
      <c r="D1340" s="27">
        <f>+SUMIFS(PROVEEDORES[Total],PROVEEDORES[PROVEEDOR],PROVEEDORES[[#This Row],[PROVEEDOR]],PROVEEDORES[FECHA DE PAGO],"")</f>
        <v>195500</v>
      </c>
      <c r="E1340" s="27"/>
      <c r="F1340" s="62" t="str">
        <f>+VLOOKUP(PROVEEDORES[[#This Row],[PROVEEDOR]],
                       Terceros!$A:$G,
                       6,
                       FALSE)</f>
        <v/>
      </c>
      <c r="G1340" s="95">
        <v>44630</v>
      </c>
      <c r="H1340" s="28" t="s">
        <v>1047</v>
      </c>
      <c r="I1340" s="95">
        <v>44630</v>
      </c>
      <c r="J1340" s="38" t="s">
        <v>1049</v>
      </c>
      <c r="K1340" s="23">
        <v>70000</v>
      </c>
      <c r="L1340" s="23"/>
      <c r="M1340" s="24">
        <v>0</v>
      </c>
      <c r="N1340" s="25"/>
      <c r="O1340" s="24">
        <v>0</v>
      </c>
      <c r="P1340" s="136">
        <f>+IF(PROVEEDORES[[#This Row],[SUBTOTAL]]&lt;PROVEEDORES[[#This Row],[base retencion]],0,PROVEEDORES[[#This Row],[retención aplicada]])</f>
        <v>0</v>
      </c>
      <c r="Q1340" s="24">
        <f>+PROVEEDORES[[#This Row],[Rete Fuente %]]*PROVEEDORES[[#This Row],[SUBTOTAL]]</f>
        <v>0</v>
      </c>
      <c r="R1340" s="23">
        <v>70000</v>
      </c>
      <c r="S134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0" s="99">
        <f ca="1">IF(PROVEEDORES[[#This Row],[FECHA DE PAGO]]=0,TODAY()-PROVEEDORES[[#This Row],[FECHA DE FACTURACIÓN]]-PROVEEDORES[[#This Row],[PLAZO Días]],0)</f>
        <v>0</v>
      </c>
      <c r="U1340" s="149">
        <f>+VLOOKUP(PROVEEDORES[[#This Row],[PROVEEDOR]],Terceros!$A:$E,5,FALSE)</f>
        <v>0</v>
      </c>
      <c r="V1340" s="150">
        <f>+YEAR(PROVEEDORES[[#This Row],[FECHA DE FACTURACIÓN]])</f>
        <v>2022</v>
      </c>
      <c r="W1340" s="150">
        <f>+MATCH(PROVEEDORES[[#This Row],[año facturado]],Retenciones!$1:$1,0)</f>
        <v>5</v>
      </c>
      <c r="X1340" s="151">
        <f>+VLOOKUP(PROVEEDORES[[#This Row],[ID RETENCION]],Retenciones!$A$1:$O$24,PROVEEDORES[[#This Row],[indicador de columna]],FALSE)</f>
        <v>0</v>
      </c>
      <c r="Y1340" s="152">
        <f>+VLOOKUP(PROVEEDORES[[#This Row],[ID RETENCION]],Retenciones!$A$1:$O$24,2,FALSE)</f>
        <v>0</v>
      </c>
      <c r="Z1340" s="26"/>
      <c r="AA1340" s="26"/>
      <c r="AB1340" s="26"/>
      <c r="AC1340" s="26"/>
      <c r="AD1340" s="26"/>
      <c r="AE1340" s="26"/>
    </row>
    <row r="1341" spans="1:31" ht="21.95" customHeight="1" x14ac:dyDescent="0.25">
      <c r="A1341" s="97" t="str">
        <f>+IF(PROVEEDORES[[#This Row],[FECHA DE PAGO]]=PROVEEDORES[[#This Row],[FECHA DE FACTURACIÓN]],"DE CONTADO","CRÉDITO")</f>
        <v>DE CONTADO</v>
      </c>
      <c r="B1341" s="41" t="b">
        <f>+IF((PROVEEDORES[[#This Row],[FECHA DE PAGO]]-PROVEEDORES[[#This Row],[FECHA DE FACTURACIÓN]])&gt;PROVEEDORES[[#This Row],[PLAZO Días]],"PAGO VENCIDO")</f>
        <v>0</v>
      </c>
      <c r="C1341" s="22">
        <f>+VLOOKUP(PROVEEDORES[[#This Row],[PROVEEDOR]],TERCEROS_INFO[#All],2,FALSE)</f>
        <v>30</v>
      </c>
      <c r="D1341" s="27">
        <f>+SUMIFS(PROVEEDORES[Total],PROVEEDORES[PROVEEDOR],PROVEEDORES[[#This Row],[PROVEEDOR]],PROVEEDORES[FECHA DE PAGO],"")</f>
        <v>0</v>
      </c>
      <c r="E1341" s="27"/>
      <c r="F1341" s="62" t="str">
        <f>+VLOOKUP(PROVEEDORES[[#This Row],[PROVEEDOR]],
                       Terceros!$A:$G,
                       6,
                       FALSE)</f>
        <v/>
      </c>
      <c r="G1341" s="95">
        <v>44630</v>
      </c>
      <c r="H1341" s="28" t="s">
        <v>983</v>
      </c>
      <c r="I1341" s="95">
        <v>44630</v>
      </c>
      <c r="J1341" s="38" t="s">
        <v>985</v>
      </c>
      <c r="K1341" s="23">
        <v>95000</v>
      </c>
      <c r="L1341" s="23"/>
      <c r="M1341" s="24">
        <v>0</v>
      </c>
      <c r="N1341" s="25"/>
      <c r="O1341" s="24">
        <v>0</v>
      </c>
      <c r="P1341" s="136">
        <f>+IF(PROVEEDORES[[#This Row],[SUBTOTAL]]&lt;PROVEEDORES[[#This Row],[base retencion]],0,PROVEEDORES[[#This Row],[retención aplicada]])</f>
        <v>0</v>
      </c>
      <c r="Q1341" s="24">
        <f>+PROVEEDORES[[#This Row],[Rete Fuente %]]*PROVEEDORES[[#This Row],[SUBTOTAL]]</f>
        <v>0</v>
      </c>
      <c r="R1341" s="23">
        <v>95000</v>
      </c>
      <c r="S134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1" s="99">
        <f ca="1">IF(PROVEEDORES[[#This Row],[FECHA DE PAGO]]=0,TODAY()-PROVEEDORES[[#This Row],[FECHA DE FACTURACIÓN]]-PROVEEDORES[[#This Row],[PLAZO Días]],0)</f>
        <v>0</v>
      </c>
      <c r="U1341" s="149">
        <f>+VLOOKUP(PROVEEDORES[[#This Row],[PROVEEDOR]],Terceros!$A:$E,5,FALSE)</f>
        <v>0</v>
      </c>
      <c r="V1341" s="150">
        <f>+YEAR(PROVEEDORES[[#This Row],[FECHA DE FACTURACIÓN]])</f>
        <v>2022</v>
      </c>
      <c r="W1341" s="150">
        <f>+MATCH(PROVEEDORES[[#This Row],[año facturado]],Retenciones!$1:$1,0)</f>
        <v>5</v>
      </c>
      <c r="X1341" s="151">
        <f>+VLOOKUP(PROVEEDORES[[#This Row],[ID RETENCION]],Retenciones!$A$1:$O$24,PROVEEDORES[[#This Row],[indicador de columna]],FALSE)</f>
        <v>0</v>
      </c>
      <c r="Y1341" s="152">
        <f>+VLOOKUP(PROVEEDORES[[#This Row],[ID RETENCION]],Retenciones!$A$1:$O$24,2,FALSE)</f>
        <v>0</v>
      </c>
      <c r="Z1341" s="26"/>
      <c r="AA1341" s="26"/>
      <c r="AB1341" s="26"/>
      <c r="AC1341" s="26"/>
      <c r="AD1341" s="26"/>
      <c r="AE1341" s="26"/>
    </row>
    <row r="1342" spans="1:31" ht="21.95" customHeight="1" x14ac:dyDescent="0.25">
      <c r="A1342" s="97" t="str">
        <f>+IF(PROVEEDORES[[#This Row],[FECHA DE PAGO]]=PROVEEDORES[[#This Row],[FECHA DE FACTURACIÓN]],"DE CONTADO","CRÉDITO")</f>
        <v>CRÉDITO</v>
      </c>
      <c r="B1342" s="41" t="b">
        <f>+IF((PROVEEDORES[[#This Row],[FECHA DE PAGO]]-PROVEEDORES[[#This Row],[FECHA DE FACTURACIÓN]])&gt;PROVEEDORES[[#This Row],[PLAZO Días]],"PAGO VENCIDO")</f>
        <v>0</v>
      </c>
      <c r="C1342" s="22">
        <f>+VLOOKUP(PROVEEDORES[[#This Row],[PROVEEDOR]],TERCEROS_INFO[#All],2,FALSE)</f>
        <v>30</v>
      </c>
      <c r="D1342" s="27">
        <f>+SUMIFS(PROVEEDORES[Total],PROVEEDORES[PROVEEDOR],PROVEEDORES[[#This Row],[PROVEEDOR]],PROVEEDORES[FECHA DE PAGO],"")</f>
        <v>0</v>
      </c>
      <c r="E1342" s="27"/>
      <c r="F1342" s="62" t="str">
        <f>+VLOOKUP(PROVEEDORES[[#This Row],[PROVEEDOR]],
                       Terceros!$A:$G,
                       6,
                       FALSE)</f>
        <v>cartera@aerosan.com;girlesa.ruiz@servipilas.com;joriescobar64@gmail.com</v>
      </c>
      <c r="G1342" s="95">
        <v>44631</v>
      </c>
      <c r="H1342" s="28" t="s">
        <v>57</v>
      </c>
      <c r="I1342" s="95">
        <v>44630</v>
      </c>
      <c r="J1342" s="38" t="s">
        <v>1084</v>
      </c>
      <c r="K1342" s="23">
        <v>404189</v>
      </c>
      <c r="L1342" s="23"/>
      <c r="M1342" s="24">
        <v>33232</v>
      </c>
      <c r="N1342" s="25"/>
      <c r="O1342" s="24">
        <v>0</v>
      </c>
      <c r="P1342" s="136">
        <f>+IF(PROVEEDORES[[#This Row],[SUBTOTAL]]&lt;PROVEEDORES[[#This Row],[base retencion]],0,PROVEEDORES[[#This Row],[retención aplicada]])</f>
        <v>0</v>
      </c>
      <c r="Q1342" s="24">
        <f>+PROVEEDORES[[#This Row],[Rete Fuente %]]*PROVEEDORES[[#This Row],[SUBTOTAL]]</f>
        <v>0</v>
      </c>
      <c r="R1342" s="23">
        <v>3505560</v>
      </c>
      <c r="S134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2" s="99">
        <f ca="1">IF(PROVEEDORES[[#This Row],[FECHA DE PAGO]]=0,TODAY()-PROVEEDORES[[#This Row],[FECHA DE FACTURACIÓN]]-PROVEEDORES[[#This Row],[PLAZO Días]],0)</f>
        <v>0</v>
      </c>
      <c r="U1342" s="149">
        <f>+VLOOKUP(PROVEEDORES[[#This Row],[PROVEEDOR]],Terceros!$A:$E,5,FALSE)</f>
        <v>0</v>
      </c>
      <c r="V1342" s="150">
        <f>+YEAR(PROVEEDORES[[#This Row],[FECHA DE FACTURACIÓN]])</f>
        <v>2022</v>
      </c>
      <c r="W1342" s="150">
        <f>+MATCH(PROVEEDORES[[#This Row],[año facturado]],Retenciones!$1:$1,0)</f>
        <v>5</v>
      </c>
      <c r="X1342" s="151">
        <f>+VLOOKUP(PROVEEDORES[[#This Row],[ID RETENCION]],Retenciones!$A$1:$O$24,PROVEEDORES[[#This Row],[indicador de columna]],FALSE)</f>
        <v>0</v>
      </c>
      <c r="Y1342" s="152">
        <f>+VLOOKUP(PROVEEDORES[[#This Row],[ID RETENCION]],Retenciones!$A$1:$O$24,2,FALSE)</f>
        <v>0</v>
      </c>
      <c r="Z1342" s="26"/>
      <c r="AA1342" s="26"/>
      <c r="AB1342" s="26"/>
      <c r="AC1342" s="26"/>
      <c r="AD1342" s="26"/>
      <c r="AE1342" s="26"/>
    </row>
    <row r="1343" spans="1:31" ht="21.95" customHeight="1" x14ac:dyDescent="0.25">
      <c r="A1343" s="97" t="str">
        <f>+IF(PROVEEDORES[[#This Row],[FECHA DE PAGO]]=PROVEEDORES[[#This Row],[FECHA DE FACTURACIÓN]],"DE CONTADO","CRÉDITO")</f>
        <v>CRÉDITO</v>
      </c>
      <c r="B1343" s="41" t="b">
        <f>+IF((PROVEEDORES[[#This Row],[FECHA DE PAGO]]-PROVEEDORES[[#This Row],[FECHA DE FACTURACIÓN]])&gt;PROVEEDORES[[#This Row],[PLAZO Días]],"PAGO VENCIDO")</f>
        <v>0</v>
      </c>
      <c r="C1343" s="22">
        <f>+VLOOKUP(PROVEEDORES[[#This Row],[PROVEEDOR]],TERCEROS_INFO[#All],2,FALSE)</f>
        <v>30</v>
      </c>
      <c r="D1343" s="27">
        <f>+SUMIFS(PROVEEDORES[Total],PROVEEDORES[PROVEEDOR],PROVEEDORES[[#This Row],[PROVEEDOR]],PROVEEDORES[FECHA DE PAGO],"")</f>
        <v>0</v>
      </c>
      <c r="E1343" s="27"/>
      <c r="F1343" s="62" t="str">
        <f>+VLOOKUP(PROVEEDORES[[#This Row],[PROVEEDOR]],
                       Terceros!$A:$G,
                       6,
                       FALSE)</f>
        <v/>
      </c>
      <c r="G1343" s="95">
        <v>44632</v>
      </c>
      <c r="H1343" s="28" t="s">
        <v>1075</v>
      </c>
      <c r="I1343" s="95">
        <v>44631</v>
      </c>
      <c r="J1343" s="38" t="s">
        <v>1076</v>
      </c>
      <c r="K1343" s="23">
        <v>1180100</v>
      </c>
      <c r="L1343" s="23"/>
      <c r="M1343" s="24">
        <v>0</v>
      </c>
      <c r="N1343" s="25"/>
      <c r="O1343" s="24">
        <v>0</v>
      </c>
      <c r="P1343" s="136">
        <f>+IF(PROVEEDORES[[#This Row],[SUBTOTAL]]&lt;PROVEEDORES[[#This Row],[base retencion]],0,PROVEEDORES[[#This Row],[retención aplicada]])</f>
        <v>0</v>
      </c>
      <c r="Q1343" s="24">
        <f>+PROVEEDORES[[#This Row],[Rete Fuente %]]*PROVEEDORES[[#This Row],[SUBTOTAL]]</f>
        <v>0</v>
      </c>
      <c r="R1343" s="23">
        <v>1180100</v>
      </c>
      <c r="S134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3" s="99">
        <f ca="1">IF(PROVEEDORES[[#This Row],[FECHA DE PAGO]]=0,TODAY()-PROVEEDORES[[#This Row],[FECHA DE FACTURACIÓN]]-PROVEEDORES[[#This Row],[PLAZO Días]],0)</f>
        <v>0</v>
      </c>
      <c r="U1343" s="149">
        <f>+VLOOKUP(PROVEEDORES[[#This Row],[PROVEEDOR]],Terceros!$A:$E,5,FALSE)</f>
        <v>0</v>
      </c>
      <c r="V1343" s="150">
        <f>+YEAR(PROVEEDORES[[#This Row],[FECHA DE FACTURACIÓN]])</f>
        <v>2022</v>
      </c>
      <c r="W1343" s="150">
        <f>+MATCH(PROVEEDORES[[#This Row],[año facturado]],Retenciones!$1:$1,0)</f>
        <v>5</v>
      </c>
      <c r="X1343" s="151">
        <f>+VLOOKUP(PROVEEDORES[[#This Row],[ID RETENCION]],Retenciones!$A$1:$O$24,PROVEEDORES[[#This Row],[indicador de columna]],FALSE)</f>
        <v>0</v>
      </c>
      <c r="Y1343" s="152">
        <f>+VLOOKUP(PROVEEDORES[[#This Row],[ID RETENCION]],Retenciones!$A$1:$O$24,2,FALSE)</f>
        <v>0</v>
      </c>
      <c r="Z1343" s="26"/>
      <c r="AA1343" s="26"/>
      <c r="AB1343" s="26"/>
      <c r="AC1343" s="26"/>
      <c r="AD1343" s="26"/>
      <c r="AE1343" s="26"/>
    </row>
    <row r="1344" spans="1:31" ht="21.95" customHeight="1" x14ac:dyDescent="0.25">
      <c r="A1344" s="97" t="str">
        <f>+IF(PROVEEDORES[[#This Row],[FECHA DE PAGO]]=PROVEEDORES[[#This Row],[FECHA DE FACTURACIÓN]],"DE CONTADO","CRÉDITO")</f>
        <v>CRÉDITO</v>
      </c>
      <c r="B1344" s="41" t="b">
        <f>+IF((PROVEEDORES[[#This Row],[FECHA DE PAGO]]-PROVEEDORES[[#This Row],[FECHA DE FACTURACIÓN]])&gt;PROVEEDORES[[#This Row],[PLAZO Días]],"PAGO VENCIDO")</f>
        <v>0</v>
      </c>
      <c r="C1344" s="22">
        <f>+VLOOKUP(PROVEEDORES[[#This Row],[PROVEEDOR]],TERCEROS_INFO[#All],2,FALSE)</f>
        <v>90</v>
      </c>
      <c r="D1344" s="27">
        <f>+SUMIFS(PROVEEDORES[Total],PROVEEDORES[PROVEEDOR],PROVEEDORES[[#This Row],[PROVEEDOR]],PROVEEDORES[FECHA DE PAGO],"")</f>
        <v>103407118</v>
      </c>
      <c r="E1344" s="27"/>
      <c r="F1344" s="62" t="str">
        <f>+VLOOKUP(PROVEEDORES[[#This Row],[PROVEEDOR]],
                       Terceros!$A:$G,
                       6,
                       FALSE)</f>
        <v>mcastillo@kenextrading.com;agarcia@kenextrading.com;girlesa.ruiz@servipilas.com;joriescobar64@gmail.com</v>
      </c>
      <c r="H1344" s="28" t="s">
        <v>31</v>
      </c>
      <c r="I1344" s="95">
        <v>44629</v>
      </c>
      <c r="J1344" s="38">
        <v>56143</v>
      </c>
      <c r="K1344" s="23">
        <v>39058718</v>
      </c>
      <c r="L1344" s="23"/>
      <c r="M1344" s="24">
        <f>(PROVEEDORES[[#This Row],[SUBTOTAL]]-PROVEEDORES[[#This Row],[descuento antes de IVA]])*VLOOKUP(PROVEEDORES[[#This Row],[PROVEEDOR]],TERCEROS_INFO[#All],3,FALSE)</f>
        <v>0</v>
      </c>
      <c r="N1344" s="25"/>
      <c r="O1344" s="24">
        <f>+PROVEEDORES[[#This Row],[Descuento sobre subtotal %]]*(PROVEEDORES[[#This Row],[SUBTOTAL]]-PROVEEDORES[[#This Row],[descuento antes de IVA]])</f>
        <v>0</v>
      </c>
      <c r="P1344" s="136">
        <f>+IF(PROVEEDORES[[#This Row],[SUBTOTAL]]&lt;PROVEEDORES[[#This Row],[base retencion]],0,PROVEEDORES[[#This Row],[retención aplicada]])</f>
        <v>0</v>
      </c>
      <c r="Q1344" s="24">
        <f>+PROVEEDORES[[#This Row],[Rete Fuente %]]*PROVEEDORES[[#This Row],[SUBTOTAL]]</f>
        <v>0</v>
      </c>
      <c r="R1344" s="23">
        <f>+PROVEEDORES[[#This Row],[SUBTOTAL]]+PROVEEDORES[[#This Row],[IVA 19%]]-PROVEEDORES[[#This Row],[descuento antes de IVA]]-PROVEEDORES[[#This Row],[Descuento sobre subtotal $]]-PROVEEDORES[[#This Row],[Rete Fuente $]]</f>
        <v>39058718</v>
      </c>
      <c r="S1344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344" s="99">
        <f ca="1">IF(PROVEEDORES[[#This Row],[FECHA DE PAGO]]=0,TODAY()-PROVEEDORES[[#This Row],[FECHA DE FACTURACIÓN]]-PROVEEDORES[[#This Row],[PLAZO Días]],0)</f>
        <v>-35</v>
      </c>
      <c r="U1344" s="149">
        <f>+VLOOKUP(PROVEEDORES[[#This Row],[PROVEEDOR]],Terceros!$A:$E,5,FALSE)</f>
        <v>0</v>
      </c>
      <c r="V1344" s="150">
        <f>+YEAR(PROVEEDORES[[#This Row],[FECHA DE FACTURACIÓN]])</f>
        <v>2022</v>
      </c>
      <c r="W1344" s="150">
        <f>+MATCH(PROVEEDORES[[#This Row],[año facturado]],Retenciones!$1:$1,0)</f>
        <v>5</v>
      </c>
      <c r="X1344" s="151">
        <f>+VLOOKUP(PROVEEDORES[[#This Row],[ID RETENCION]],Retenciones!$A$1:$O$24,PROVEEDORES[[#This Row],[indicador de columna]],FALSE)</f>
        <v>0</v>
      </c>
      <c r="Y1344" s="152">
        <f>+VLOOKUP(PROVEEDORES[[#This Row],[ID RETENCION]],Retenciones!$A$1:$O$24,2,FALSE)</f>
        <v>0</v>
      </c>
      <c r="Z1344" s="26"/>
      <c r="AA1344" s="26"/>
      <c r="AB1344" s="26"/>
      <c r="AC1344" s="26"/>
      <c r="AD1344" s="26"/>
      <c r="AE1344" s="26"/>
    </row>
    <row r="1345" spans="1:31" ht="21.95" customHeight="1" x14ac:dyDescent="0.25">
      <c r="A1345" s="97" t="str">
        <f>+IF(PROVEEDORES[[#This Row],[FECHA DE PAGO]]=PROVEEDORES[[#This Row],[FECHA DE FACTURACIÓN]],"DE CONTADO","CRÉDITO")</f>
        <v>DE CONTADO</v>
      </c>
      <c r="B1345" s="41" t="b">
        <f>+IF((PROVEEDORES[[#This Row],[FECHA DE PAGO]]-PROVEEDORES[[#This Row],[FECHA DE FACTURACIÓN]])&gt;PROVEEDORES[[#This Row],[PLAZO Días]],"PAGO VENCIDO")</f>
        <v>0</v>
      </c>
      <c r="C1345" s="22">
        <f>+VLOOKUP(PROVEEDORES[[#This Row],[PROVEEDOR]],TERCEROS_INFO[#All],2,FALSE)</f>
        <v>30</v>
      </c>
      <c r="D1345" s="27">
        <f>+SUMIFS(PROVEEDORES[Total],PROVEEDORES[PROVEEDOR],PROVEEDORES[[#This Row],[PROVEEDOR]],PROVEEDORES[FECHA DE PAGO],"")</f>
        <v>0</v>
      </c>
      <c r="E1345" s="27"/>
      <c r="F1345" s="62" t="str">
        <f>+VLOOKUP(PROVEEDORES[[#This Row],[PROVEEDOR]],
                       Terceros!$A:$G,
                       6,
                       FALSE)</f>
        <v/>
      </c>
      <c r="G1345" s="95">
        <v>44632</v>
      </c>
      <c r="H1345" s="28" t="s">
        <v>1031</v>
      </c>
      <c r="I1345" s="95">
        <v>44632</v>
      </c>
      <c r="J1345" s="38" t="s">
        <v>1034</v>
      </c>
      <c r="K1345" s="23">
        <v>450000</v>
      </c>
      <c r="L1345" s="23"/>
      <c r="M1345" s="24">
        <v>0</v>
      </c>
      <c r="N1345" s="25"/>
      <c r="O1345" s="24">
        <v>0</v>
      </c>
      <c r="P1345" s="136">
        <f>+IF(PROVEEDORES[[#This Row],[SUBTOTAL]]&lt;PROVEEDORES[[#This Row],[base retencion]],0,PROVEEDORES[[#This Row],[retención aplicada]])</f>
        <v>0</v>
      </c>
      <c r="Q1345" s="24">
        <f>+PROVEEDORES[[#This Row],[Rete Fuente %]]*PROVEEDORES[[#This Row],[SUBTOTAL]]</f>
        <v>0</v>
      </c>
      <c r="R1345" s="23">
        <v>450000</v>
      </c>
      <c r="S134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5" s="99">
        <f ca="1">IF(PROVEEDORES[[#This Row],[FECHA DE PAGO]]=0,TODAY()-PROVEEDORES[[#This Row],[FECHA DE FACTURACIÓN]]-PROVEEDORES[[#This Row],[PLAZO Días]],0)</f>
        <v>0</v>
      </c>
      <c r="U1345" s="149">
        <f>+VLOOKUP(PROVEEDORES[[#This Row],[PROVEEDOR]],Terceros!$A:$E,5,FALSE)</f>
        <v>0</v>
      </c>
      <c r="V1345" s="150">
        <f>+YEAR(PROVEEDORES[[#This Row],[FECHA DE FACTURACIÓN]])</f>
        <v>2022</v>
      </c>
      <c r="W1345" s="150">
        <f>+MATCH(PROVEEDORES[[#This Row],[año facturado]],Retenciones!$1:$1,0)</f>
        <v>5</v>
      </c>
      <c r="X1345" s="151">
        <f>+VLOOKUP(PROVEEDORES[[#This Row],[ID RETENCION]],Retenciones!$A$1:$O$24,PROVEEDORES[[#This Row],[indicador de columna]],FALSE)</f>
        <v>0</v>
      </c>
      <c r="Y1345" s="152">
        <f>+VLOOKUP(PROVEEDORES[[#This Row],[ID RETENCION]],Retenciones!$A$1:$O$24,2,FALSE)</f>
        <v>0</v>
      </c>
      <c r="Z1345" s="26"/>
      <c r="AA1345" s="26"/>
      <c r="AB1345" s="26"/>
      <c r="AC1345" s="26"/>
      <c r="AD1345" s="26"/>
      <c r="AE1345" s="26"/>
    </row>
    <row r="1346" spans="1:31" ht="21.95" customHeight="1" x14ac:dyDescent="0.25">
      <c r="A1346" s="97" t="str">
        <f>+IF(PROVEEDORES[[#This Row],[FECHA DE PAGO]]=PROVEEDORES[[#This Row],[FECHA DE FACTURACIÓN]],"DE CONTADO","CRÉDITO")</f>
        <v>DE CONTADO</v>
      </c>
      <c r="B1346" s="41" t="b">
        <f>+IF((PROVEEDORES[[#This Row],[FECHA DE PAGO]]-PROVEEDORES[[#This Row],[FECHA DE FACTURACIÓN]])&gt;PROVEEDORES[[#This Row],[PLAZO Días]],"PAGO VENCIDO")</f>
        <v>0</v>
      </c>
      <c r="C1346" s="22">
        <f>+VLOOKUP(PROVEEDORES[[#This Row],[PROVEEDOR]],TERCEROS_INFO[#All],2,FALSE)</f>
        <v>30</v>
      </c>
      <c r="D1346" s="27">
        <f>+SUMIFS(PROVEEDORES[Total],PROVEEDORES[PROVEEDOR],PROVEEDORES[[#This Row],[PROVEEDOR]],PROVEEDORES[FECHA DE PAGO],"")</f>
        <v>0</v>
      </c>
      <c r="E1346" s="27"/>
      <c r="F1346" s="62" t="str">
        <f>+VLOOKUP(PROVEEDORES[[#This Row],[PROVEEDOR]],
                       Terceros!$A:$G,
                       6,
                       FALSE)</f>
        <v/>
      </c>
      <c r="G1346" s="95">
        <v>44632</v>
      </c>
      <c r="H1346" s="28" t="s">
        <v>1046</v>
      </c>
      <c r="I1346" s="95">
        <v>44632</v>
      </c>
      <c r="J1346" s="38"/>
      <c r="K1346" s="23">
        <v>1000000</v>
      </c>
      <c r="L1346" s="23"/>
      <c r="M1346" s="24">
        <v>0</v>
      </c>
      <c r="N1346" s="25"/>
      <c r="O1346" s="24">
        <v>0</v>
      </c>
      <c r="P1346" s="136">
        <f>+IF(PROVEEDORES[[#This Row],[SUBTOTAL]]&lt;PROVEEDORES[[#This Row],[base retencion]],0,PROVEEDORES[[#This Row],[retención aplicada]])</f>
        <v>0</v>
      </c>
      <c r="Q1346" s="24">
        <f>+PROVEEDORES[[#This Row],[Rete Fuente %]]*PROVEEDORES[[#This Row],[SUBTOTAL]]</f>
        <v>0</v>
      </c>
      <c r="R1346" s="23">
        <v>1000000</v>
      </c>
      <c r="S134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6" s="99">
        <f ca="1">IF(PROVEEDORES[[#This Row],[FECHA DE PAGO]]=0,TODAY()-PROVEEDORES[[#This Row],[FECHA DE FACTURACIÓN]]-PROVEEDORES[[#This Row],[PLAZO Días]],0)</f>
        <v>0</v>
      </c>
      <c r="U1346" s="149">
        <f>+VLOOKUP(PROVEEDORES[[#This Row],[PROVEEDOR]],Terceros!$A:$E,5,FALSE)</f>
        <v>0</v>
      </c>
      <c r="V1346" s="150">
        <f>+YEAR(PROVEEDORES[[#This Row],[FECHA DE FACTURACIÓN]])</f>
        <v>2022</v>
      </c>
      <c r="W1346" s="150">
        <f>+MATCH(PROVEEDORES[[#This Row],[año facturado]],Retenciones!$1:$1,0)</f>
        <v>5</v>
      </c>
      <c r="X1346" s="151">
        <f>+VLOOKUP(PROVEEDORES[[#This Row],[ID RETENCION]],Retenciones!$A$1:$O$24,PROVEEDORES[[#This Row],[indicador de columna]],FALSE)</f>
        <v>0</v>
      </c>
      <c r="Y1346" s="152">
        <f>+VLOOKUP(PROVEEDORES[[#This Row],[ID RETENCION]],Retenciones!$A$1:$O$24,2,FALSE)</f>
        <v>0</v>
      </c>
      <c r="Z1346" s="26"/>
      <c r="AA1346" s="26"/>
      <c r="AB1346" s="26"/>
      <c r="AC1346" s="26"/>
      <c r="AD1346" s="26"/>
      <c r="AE1346" s="26"/>
    </row>
    <row r="1347" spans="1:31" ht="21.95" customHeight="1" x14ac:dyDescent="0.25">
      <c r="A1347" s="97" t="str">
        <f>+IF(PROVEEDORES[[#This Row],[FECHA DE PAGO]]=PROVEEDORES[[#This Row],[FECHA DE FACTURACIÓN]],"DE CONTADO","CRÉDITO")</f>
        <v>CRÉDITO</v>
      </c>
      <c r="B1347" s="41" t="str">
        <f>+IF((PROVEEDORES[[#This Row],[FECHA DE PAGO]]-PROVEEDORES[[#This Row],[FECHA DE FACTURACIÓN]])&gt;PROVEEDORES[[#This Row],[PLAZO Días]],"PAGO VENCIDO")</f>
        <v>PAGO VENCIDO</v>
      </c>
      <c r="C1347" s="22">
        <f>+VLOOKUP(PROVEEDORES[[#This Row],[PROVEEDOR]],TERCEROS_INFO[#All],2,FALSE)</f>
        <v>30</v>
      </c>
      <c r="D1347" s="27">
        <f>+SUMIFS(PROVEEDORES[Total],PROVEEDORES[PROVEEDOR],PROVEEDORES[[#This Row],[PROVEEDOR]],PROVEEDORES[FECHA DE PAGO],"")</f>
        <v>0</v>
      </c>
      <c r="E1347" s="27"/>
      <c r="F1347" s="62" t="str">
        <f>+VLOOKUP(PROVEEDORES[[#This Row],[PROVEEDOR]],
                       Terceros!$A:$G,
                       6,
                       FALSE)</f>
        <v>mdedcnvi@bateriasduncan.com.co;guillermo.bateriasduncan@gmail.com;girlesa.ruiz@servipilas.com;joriescobar64@gmail.com</v>
      </c>
      <c r="G1347" s="95">
        <v>44684</v>
      </c>
      <c r="H1347" s="28" t="s">
        <v>24</v>
      </c>
      <c r="I1347" s="95">
        <v>44631</v>
      </c>
      <c r="J1347" s="38" t="s">
        <v>1131</v>
      </c>
      <c r="K1347" s="23">
        <v>1995291</v>
      </c>
      <c r="L1347" s="23"/>
      <c r="M1347" s="24">
        <f>(PROVEEDORES[[#This Row],[SUBTOTAL]]-PROVEEDORES[[#This Row],[descuento antes de IVA]])*VLOOKUP(PROVEEDORES[[#This Row],[PROVEEDOR]],TERCEROS_INFO[#All],3,FALSE)</f>
        <v>379105.29</v>
      </c>
      <c r="N1347" s="25"/>
      <c r="O1347" s="24">
        <f>+PROVEEDORES[[#This Row],[Descuento sobre subtotal %]]*(PROVEEDORES[[#This Row],[SUBTOTAL]]-PROVEEDORES[[#This Row],[descuento antes de IVA]])</f>
        <v>0</v>
      </c>
      <c r="P1347" s="136">
        <f>+IF(PROVEEDORES[[#This Row],[SUBTOTAL]]&lt;PROVEEDORES[[#This Row],[base retencion]],0,PROVEEDORES[[#This Row],[retención aplicada]])</f>
        <v>2.5000000000000001E-2</v>
      </c>
      <c r="Q1347" s="24">
        <f>+PROVEEDORES[[#This Row],[Rete Fuente %]]*PROVEEDORES[[#This Row],[SUBTOTAL]]</f>
        <v>49882.275000000001</v>
      </c>
      <c r="R1347" s="23">
        <f>+PROVEEDORES[[#This Row],[SUBTOTAL]]+PROVEEDORES[[#This Row],[IVA 19%]]-PROVEEDORES[[#This Row],[descuento antes de IVA]]-PROVEEDORES[[#This Row],[Descuento sobre subtotal $]]-PROVEEDORES[[#This Row],[Rete Fuente $]]</f>
        <v>2324514.0150000001</v>
      </c>
      <c r="S134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7" s="99">
        <f ca="1">IF(PROVEEDORES[[#This Row],[FECHA DE PAGO]]=0,TODAY()-PROVEEDORES[[#This Row],[FECHA DE FACTURACIÓN]]-PROVEEDORES[[#This Row],[PLAZO Días]],0)</f>
        <v>0</v>
      </c>
      <c r="U1347" s="149" t="str">
        <f>+VLOOKUP(PROVEEDORES[[#This Row],[PROVEEDOR]],Terceros!$A:$E,5,FALSE)</f>
        <v>2,5% con base</v>
      </c>
      <c r="V1347" s="150">
        <f>+YEAR(PROVEEDORES[[#This Row],[FECHA DE FACTURACIÓN]])</f>
        <v>2022</v>
      </c>
      <c r="W1347" s="150">
        <f>+MATCH(PROVEEDORES[[#This Row],[año facturado]],Retenciones!$1:$1,0)</f>
        <v>5</v>
      </c>
      <c r="X1347" s="151">
        <f>+VLOOKUP(PROVEEDORES[[#This Row],[ID RETENCION]],Retenciones!$A$1:$O$24,PROVEEDORES[[#This Row],[indicador de columna]],FALSE)</f>
        <v>1026000</v>
      </c>
      <c r="Y1347" s="152">
        <f>+VLOOKUP(PROVEEDORES[[#This Row],[ID RETENCION]],Retenciones!$A$1:$O$24,2,FALSE)</f>
        <v>2.5000000000000001E-2</v>
      </c>
      <c r="Z1347" s="26"/>
      <c r="AA1347" s="26"/>
      <c r="AB1347" s="26"/>
      <c r="AC1347" s="26"/>
      <c r="AD1347" s="26"/>
      <c r="AE1347" s="26"/>
    </row>
    <row r="1348" spans="1:31" ht="21.95" customHeight="1" x14ac:dyDescent="0.25">
      <c r="A1348" s="97" t="str">
        <f>+IF(PROVEEDORES[[#This Row],[FECHA DE PAGO]]=PROVEEDORES[[#This Row],[FECHA DE FACTURACIÓN]],"DE CONTADO","CRÉDITO")</f>
        <v>CRÉDITO</v>
      </c>
      <c r="B1348" s="41" t="str">
        <f>+IF((PROVEEDORES[[#This Row],[FECHA DE PAGO]]-PROVEEDORES[[#This Row],[FECHA DE FACTURACIÓN]])&gt;PROVEEDORES[[#This Row],[PLAZO Días]],"PAGO VENCIDO")</f>
        <v>PAGO VENCIDO</v>
      </c>
      <c r="C1348" s="22">
        <f>+VLOOKUP(PROVEEDORES[[#This Row],[PROVEEDOR]],TERCEROS_INFO[#All],2,FALSE)</f>
        <v>30</v>
      </c>
      <c r="D1348" s="27">
        <f>+SUMIFS(PROVEEDORES[Total],PROVEEDORES[PROVEEDOR],PROVEEDORES[[#This Row],[PROVEEDOR]],PROVEEDORES[FECHA DE PAGO],"")</f>
        <v>0</v>
      </c>
      <c r="E1348" s="27"/>
      <c r="F1348" s="62" t="str">
        <f>+VLOOKUP(PROVEEDORES[[#This Row],[PROVEEDOR]],
                       Terceros!$A:$G,
                       6,
                       FALSE)</f>
        <v>cartera@ienewline.com;andres.arroyave@ienewline.com;girlesa.ruiz@servipilas.com;joriescobar64@gmail.com</v>
      </c>
      <c r="G1348" s="95">
        <v>44684</v>
      </c>
      <c r="H1348" s="28" t="s">
        <v>1124</v>
      </c>
      <c r="I1348" s="95">
        <v>44632</v>
      </c>
      <c r="J1348" s="38">
        <v>28365</v>
      </c>
      <c r="K1348" s="23">
        <v>1246200</v>
      </c>
      <c r="L1348" s="23"/>
      <c r="M1348" s="24">
        <f>(PROVEEDORES[[#This Row],[SUBTOTAL]]-PROVEEDORES[[#This Row],[descuento antes de IVA]])*VLOOKUP(PROVEEDORES[[#This Row],[PROVEEDOR]],TERCEROS_INFO[#All],3,FALSE)</f>
        <v>236778</v>
      </c>
      <c r="N1348" s="25"/>
      <c r="O1348" s="24">
        <f>+PROVEEDORES[[#This Row],[Descuento sobre subtotal %]]*(PROVEEDORES[[#This Row],[SUBTOTAL]]-PROVEEDORES[[#This Row],[descuento antes de IVA]])</f>
        <v>0</v>
      </c>
      <c r="P1348" s="136">
        <f>+IF(PROVEEDORES[[#This Row],[SUBTOTAL]]&lt;PROVEEDORES[[#This Row],[base retencion]],0,PROVEEDORES[[#This Row],[retención aplicada]])</f>
        <v>2.5000000000000001E-2</v>
      </c>
      <c r="Q1348" s="24">
        <f>+PROVEEDORES[[#This Row],[Rete Fuente %]]*PROVEEDORES[[#This Row],[SUBTOTAL]]</f>
        <v>31155</v>
      </c>
      <c r="R1348" s="23">
        <f>+PROVEEDORES[[#This Row],[SUBTOTAL]]+PROVEEDORES[[#This Row],[IVA 19%]]-PROVEEDORES[[#This Row],[descuento antes de IVA]]-PROVEEDORES[[#This Row],[Descuento sobre subtotal $]]-PROVEEDORES[[#This Row],[Rete Fuente $]]</f>
        <v>1451823</v>
      </c>
      <c r="S134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8" s="99">
        <f ca="1">IF(PROVEEDORES[[#This Row],[FECHA DE PAGO]]=0,TODAY()-PROVEEDORES[[#This Row],[FECHA DE FACTURACIÓN]]-PROVEEDORES[[#This Row],[PLAZO Días]],0)</f>
        <v>0</v>
      </c>
      <c r="U1348" s="149" t="str">
        <f>+VLOOKUP(PROVEEDORES[[#This Row],[PROVEEDOR]],Terceros!$A:$E,5,FALSE)</f>
        <v>2,5% con base</v>
      </c>
      <c r="V1348" s="150">
        <f>+YEAR(PROVEEDORES[[#This Row],[FECHA DE FACTURACIÓN]])</f>
        <v>2022</v>
      </c>
      <c r="W1348" s="150">
        <f>+MATCH(PROVEEDORES[[#This Row],[año facturado]],Retenciones!$1:$1,0)</f>
        <v>5</v>
      </c>
      <c r="X1348" s="151">
        <f>+VLOOKUP(PROVEEDORES[[#This Row],[ID RETENCION]],Retenciones!$A$1:$O$24,PROVEEDORES[[#This Row],[indicador de columna]],FALSE)</f>
        <v>1026000</v>
      </c>
      <c r="Y1348" s="152">
        <f>+VLOOKUP(PROVEEDORES[[#This Row],[ID RETENCION]],Retenciones!$A$1:$O$24,2,FALSE)</f>
        <v>2.5000000000000001E-2</v>
      </c>
      <c r="Z1348" s="26"/>
      <c r="AA1348" s="26"/>
      <c r="AB1348" s="26"/>
      <c r="AC1348" s="26"/>
      <c r="AD1348" s="26"/>
      <c r="AE1348" s="26"/>
    </row>
    <row r="1349" spans="1:31" ht="21.95" customHeight="1" x14ac:dyDescent="0.25">
      <c r="A1349" s="97" t="str">
        <f>+IF(PROVEEDORES[[#This Row],[FECHA DE PAGO]]=PROVEEDORES[[#This Row],[FECHA DE FACTURACIÓN]],"DE CONTADO","CRÉDITO")</f>
        <v>CRÉDITO</v>
      </c>
      <c r="B1349" s="41" t="b">
        <f>+IF((PROVEEDORES[[#This Row],[FECHA DE PAGO]]-PROVEEDORES[[#This Row],[FECHA DE FACTURACIÓN]])&gt;PROVEEDORES[[#This Row],[PLAZO Días]],"PAGO VENCIDO")</f>
        <v>0</v>
      </c>
      <c r="C1349" s="22">
        <f>+VLOOKUP(PROVEEDORES[[#This Row],[PROVEEDOR]],TERCEROS_INFO[#All],2,FALSE)</f>
        <v>30</v>
      </c>
      <c r="D1349" s="27">
        <f>+SUMIFS(PROVEEDORES[Total],PROVEEDORES[PROVEEDOR],PROVEEDORES[[#This Row],[PROVEEDOR]],PROVEEDORES[FECHA DE PAGO],"")</f>
        <v>3320000</v>
      </c>
      <c r="E1349" s="27"/>
      <c r="F1349" s="62" t="str">
        <f>+VLOOKUP(PROVEEDORES[[#This Row],[PROVEEDOR]],
                       Terceros!$A:$G,
                       6,
                       FALSE)</f>
        <v>Pygimportadora@gmail.com;girlesa.ruiz@servipilas.com;joriescobar64@gmail.com</v>
      </c>
      <c r="H1349" s="28" t="s">
        <v>1062</v>
      </c>
      <c r="I1349" s="95">
        <v>44632</v>
      </c>
      <c r="J1349" s="38" t="s">
        <v>1130</v>
      </c>
      <c r="K1349" s="23">
        <v>3320000</v>
      </c>
      <c r="L1349" s="23"/>
      <c r="M1349" s="24">
        <f>(PROVEEDORES[[#This Row],[SUBTOTAL]]-PROVEEDORES[[#This Row],[descuento antes de IVA]])*VLOOKUP(PROVEEDORES[[#This Row],[PROVEEDOR]],TERCEROS_INFO[#All],3,FALSE)</f>
        <v>0</v>
      </c>
      <c r="N1349" s="25"/>
      <c r="O1349" s="24">
        <f>+PROVEEDORES[[#This Row],[Descuento sobre subtotal %]]*(PROVEEDORES[[#This Row],[SUBTOTAL]]-PROVEEDORES[[#This Row],[descuento antes de IVA]])</f>
        <v>0</v>
      </c>
      <c r="P1349" s="136">
        <f>+IF(PROVEEDORES[[#This Row],[SUBTOTAL]]&lt;PROVEEDORES[[#This Row],[base retencion]],0,PROVEEDORES[[#This Row],[retención aplicada]])</f>
        <v>0</v>
      </c>
      <c r="Q1349" s="24">
        <f>+PROVEEDORES[[#This Row],[Rete Fuente %]]*PROVEEDORES[[#This Row],[SUBTOTAL]]</f>
        <v>0</v>
      </c>
      <c r="R1349" s="23">
        <f>+PROVEEDORES[[#This Row],[SUBTOTAL]]+PROVEEDORES[[#This Row],[IVA 19%]]-PROVEEDORES[[#This Row],[descuento antes de IVA]]-PROVEEDORES[[#This Row],[Descuento sobre subtotal $]]-PROVEEDORES[[#This Row],[Rete Fuente $]]</f>
        <v>3320000</v>
      </c>
      <c r="S1349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49" s="99">
        <f ca="1">IF(PROVEEDORES[[#This Row],[FECHA DE PAGO]]=0,TODAY()-PROVEEDORES[[#This Row],[FECHA DE FACTURACIÓN]]-PROVEEDORES[[#This Row],[PLAZO Días]],0)</f>
        <v>22</v>
      </c>
      <c r="U1349" s="149">
        <f>+VLOOKUP(PROVEEDORES[[#This Row],[PROVEEDOR]],Terceros!$A:$E,5,FALSE)</f>
        <v>0</v>
      </c>
      <c r="V1349" s="150">
        <f>+YEAR(PROVEEDORES[[#This Row],[FECHA DE FACTURACIÓN]])</f>
        <v>2022</v>
      </c>
      <c r="W1349" s="150">
        <f>+MATCH(PROVEEDORES[[#This Row],[año facturado]],Retenciones!$1:$1,0)</f>
        <v>5</v>
      </c>
      <c r="X1349" s="151">
        <f>+VLOOKUP(PROVEEDORES[[#This Row],[ID RETENCION]],Retenciones!$A$1:$O$24,PROVEEDORES[[#This Row],[indicador de columna]],FALSE)</f>
        <v>0</v>
      </c>
      <c r="Y1349" s="152">
        <f>+VLOOKUP(PROVEEDORES[[#This Row],[ID RETENCION]],Retenciones!$A$1:$O$24,2,FALSE)</f>
        <v>0</v>
      </c>
      <c r="Z1349" s="26"/>
      <c r="AA1349" s="26"/>
      <c r="AB1349" s="26"/>
      <c r="AC1349" s="26"/>
      <c r="AD1349" s="26"/>
      <c r="AE1349" s="26"/>
    </row>
    <row r="1350" spans="1:31" ht="21.95" customHeight="1" x14ac:dyDescent="0.25">
      <c r="A1350" s="97" t="str">
        <f>+IF(PROVEEDORES[[#This Row],[FECHA DE PAGO]]=PROVEEDORES[[#This Row],[FECHA DE FACTURACIÓN]],"DE CONTADO","CRÉDITO")</f>
        <v>CRÉDITO</v>
      </c>
      <c r="B1350" s="41" t="str">
        <f>+IF((PROVEEDORES[[#This Row],[FECHA DE PAGO]]-PROVEEDORES[[#This Row],[FECHA DE FACTURACIÓN]])&gt;PROVEEDORES[[#This Row],[PLAZO Días]],"PAGO VENCIDO")</f>
        <v>PAGO VENCIDO</v>
      </c>
      <c r="C1350" s="22">
        <f>+VLOOKUP(PROVEEDORES[[#This Row],[PROVEEDOR]],TERCEROS_INFO[#All],2,FALSE)</f>
        <v>30</v>
      </c>
      <c r="D1350" s="27">
        <f>+SUMIFS(PROVEEDORES[Total],PROVEEDORES[PROVEEDOR],PROVEEDORES[[#This Row],[PROVEEDOR]],PROVEEDORES[FECHA DE PAGO],"")</f>
        <v>1979529.3</v>
      </c>
      <c r="E1350" s="27"/>
      <c r="F1350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1350" s="95">
        <v>44670</v>
      </c>
      <c r="H1350" s="28" t="s">
        <v>17</v>
      </c>
      <c r="I1350" s="95">
        <v>44634</v>
      </c>
      <c r="J1350" s="38">
        <v>1890430</v>
      </c>
      <c r="K1350" s="23">
        <v>371000</v>
      </c>
      <c r="L1350" s="23"/>
      <c r="M1350" s="24">
        <f>(PROVEEDORES[[#This Row],[SUBTOTAL]]-PROVEEDORES[[#This Row],[descuento antes de IVA]])*VLOOKUP(PROVEEDORES[[#This Row],[PROVEEDOR]],TERCEROS_INFO[#All],3,FALSE)</f>
        <v>70490</v>
      </c>
      <c r="N1350" s="25"/>
      <c r="O1350" s="24">
        <f>+PROVEEDORES[[#This Row],[Descuento sobre subtotal %]]*(PROVEEDORES[[#This Row],[SUBTOTAL]]-PROVEEDORES[[#This Row],[descuento antes de IVA]])</f>
        <v>0</v>
      </c>
      <c r="P1350" s="136">
        <f>+IF(PROVEEDORES[[#This Row],[SUBTOTAL]]&lt;PROVEEDORES[[#This Row],[base retencion]],0,PROVEEDORES[[#This Row],[retención aplicada]])</f>
        <v>0</v>
      </c>
      <c r="Q1350" s="24">
        <f>+PROVEEDORES[[#This Row],[Rete Fuente %]]*PROVEEDORES[[#This Row],[SUBTOTAL]]</f>
        <v>0</v>
      </c>
      <c r="R1350" s="23">
        <f>+PROVEEDORES[[#This Row],[SUBTOTAL]]+PROVEEDORES[[#This Row],[IVA 19%]]-PROVEEDORES[[#This Row],[descuento antes de IVA]]-PROVEEDORES[[#This Row],[Descuento sobre subtotal $]]-PROVEEDORES[[#This Row],[Rete Fuente $]]</f>
        <v>441490</v>
      </c>
      <c r="S135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0" s="99">
        <f ca="1">IF(PROVEEDORES[[#This Row],[FECHA DE PAGO]]=0,TODAY()-PROVEEDORES[[#This Row],[FECHA DE FACTURACIÓN]]-PROVEEDORES[[#This Row],[PLAZO Días]],0)</f>
        <v>0</v>
      </c>
      <c r="U1350" s="149">
        <f>+VLOOKUP(PROVEEDORES[[#This Row],[PROVEEDOR]],Terceros!$A:$E,5,FALSE)</f>
        <v>0</v>
      </c>
      <c r="V1350" s="150">
        <f>+YEAR(PROVEEDORES[[#This Row],[FECHA DE FACTURACIÓN]])</f>
        <v>2022</v>
      </c>
      <c r="W1350" s="150">
        <f>+MATCH(PROVEEDORES[[#This Row],[año facturado]],Retenciones!$1:$1,0)</f>
        <v>5</v>
      </c>
      <c r="X1350" s="151">
        <f>+VLOOKUP(PROVEEDORES[[#This Row],[ID RETENCION]],Retenciones!$A$1:$O$24,PROVEEDORES[[#This Row],[indicador de columna]],FALSE)</f>
        <v>0</v>
      </c>
      <c r="Y1350" s="152">
        <f>+VLOOKUP(PROVEEDORES[[#This Row],[ID RETENCION]],Retenciones!$A$1:$O$24,2,FALSE)</f>
        <v>0</v>
      </c>
      <c r="Z1350" s="26"/>
      <c r="AA1350" s="26"/>
      <c r="AB1350" s="26"/>
      <c r="AC1350" s="26"/>
      <c r="AD1350" s="26"/>
      <c r="AE1350" s="26"/>
    </row>
    <row r="1351" spans="1:31" ht="21.95" customHeight="1" x14ac:dyDescent="0.25">
      <c r="A1351" s="97" t="str">
        <f>+IF(PROVEEDORES[[#This Row],[FECHA DE PAGO]]=PROVEEDORES[[#This Row],[FECHA DE FACTURACIÓN]],"DE CONTADO","CRÉDITO")</f>
        <v>CRÉDITO</v>
      </c>
      <c r="B1351" s="41" t="str">
        <f>+IF((PROVEEDORES[[#This Row],[FECHA DE PAGO]]-PROVEEDORES[[#This Row],[FECHA DE FACTURACIÓN]])&gt;PROVEEDORES[[#This Row],[PLAZO Días]],"PAGO VENCIDO")</f>
        <v>PAGO VENCIDO</v>
      </c>
      <c r="C1351" s="22">
        <f>+VLOOKUP(PROVEEDORES[[#This Row],[PROVEEDOR]],TERCEROS_INFO[#All],2,FALSE)</f>
        <v>30</v>
      </c>
      <c r="D1351" s="27">
        <f>+SUMIFS(PROVEEDORES[Total],PROVEEDORES[PROVEEDOR],PROVEEDORES[[#This Row],[PROVEEDOR]],PROVEEDORES[FECHA DE PAGO],"")</f>
        <v>1979529.3</v>
      </c>
      <c r="E1351" s="27"/>
      <c r="F1351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G1351" s="95">
        <v>44670</v>
      </c>
      <c r="H1351" s="28" t="s">
        <v>17</v>
      </c>
      <c r="I1351" s="95">
        <v>44634</v>
      </c>
      <c r="J1351" s="38">
        <v>1890377</v>
      </c>
      <c r="K1351" s="23">
        <v>570000</v>
      </c>
      <c r="L1351" s="23"/>
      <c r="M1351" s="24">
        <f>(PROVEEDORES[[#This Row],[SUBTOTAL]]-PROVEEDORES[[#This Row],[descuento antes de IVA]])*VLOOKUP(PROVEEDORES[[#This Row],[PROVEEDOR]],TERCEROS_INFO[#All],3,FALSE)</f>
        <v>108300</v>
      </c>
      <c r="N1351" s="25"/>
      <c r="O1351" s="24">
        <f>+PROVEEDORES[[#This Row],[Descuento sobre subtotal %]]*(PROVEEDORES[[#This Row],[SUBTOTAL]]-PROVEEDORES[[#This Row],[descuento antes de IVA]])</f>
        <v>0</v>
      </c>
      <c r="P1351" s="136">
        <f>+IF(PROVEEDORES[[#This Row],[SUBTOTAL]]&lt;PROVEEDORES[[#This Row],[base retencion]],0,PROVEEDORES[[#This Row],[retención aplicada]])</f>
        <v>0</v>
      </c>
      <c r="Q1351" s="24">
        <f>+PROVEEDORES[[#This Row],[Rete Fuente %]]*PROVEEDORES[[#This Row],[SUBTOTAL]]</f>
        <v>0</v>
      </c>
      <c r="R1351" s="23">
        <f>+PROVEEDORES[[#This Row],[SUBTOTAL]]+PROVEEDORES[[#This Row],[IVA 19%]]-PROVEEDORES[[#This Row],[descuento antes de IVA]]-PROVEEDORES[[#This Row],[Descuento sobre subtotal $]]-PROVEEDORES[[#This Row],[Rete Fuente $]]</f>
        <v>678300</v>
      </c>
      <c r="S135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1" s="99">
        <f ca="1">IF(PROVEEDORES[[#This Row],[FECHA DE PAGO]]=0,TODAY()-PROVEEDORES[[#This Row],[FECHA DE FACTURACIÓN]]-PROVEEDORES[[#This Row],[PLAZO Días]],0)</f>
        <v>0</v>
      </c>
      <c r="U1351" s="149">
        <f>+VLOOKUP(PROVEEDORES[[#This Row],[PROVEEDOR]],Terceros!$A:$E,5,FALSE)</f>
        <v>0</v>
      </c>
      <c r="V1351" s="150">
        <f>+YEAR(PROVEEDORES[[#This Row],[FECHA DE FACTURACIÓN]])</f>
        <v>2022</v>
      </c>
      <c r="W1351" s="150">
        <f>+MATCH(PROVEEDORES[[#This Row],[año facturado]],Retenciones!$1:$1,0)</f>
        <v>5</v>
      </c>
      <c r="X1351" s="151">
        <f>+VLOOKUP(PROVEEDORES[[#This Row],[ID RETENCION]],Retenciones!$A$1:$O$24,PROVEEDORES[[#This Row],[indicador de columna]],FALSE)</f>
        <v>0</v>
      </c>
      <c r="Y1351" s="152">
        <f>+VLOOKUP(PROVEEDORES[[#This Row],[ID RETENCION]],Retenciones!$A$1:$O$24,2,FALSE)</f>
        <v>0</v>
      </c>
      <c r="Z1351" s="26"/>
      <c r="AA1351" s="26"/>
      <c r="AB1351" s="26"/>
      <c r="AC1351" s="26"/>
      <c r="AD1351" s="26"/>
      <c r="AE1351" s="26"/>
    </row>
    <row r="1352" spans="1:31" ht="21.95" customHeight="1" x14ac:dyDescent="0.25">
      <c r="A1352" s="97" t="str">
        <f>+IF(PROVEEDORES[[#This Row],[FECHA DE PAGO]]=PROVEEDORES[[#This Row],[FECHA DE FACTURACIÓN]],"DE CONTADO","CRÉDITO")</f>
        <v>CRÉDITO</v>
      </c>
      <c r="B1352" s="41" t="b">
        <f>+IF((PROVEEDORES[[#This Row],[FECHA DE PAGO]]-PROVEEDORES[[#This Row],[FECHA DE FACTURACIÓN]])&gt;PROVEEDORES[[#This Row],[PLAZO Días]],"PAGO VENCIDO")</f>
        <v>0</v>
      </c>
      <c r="C1352" s="22">
        <f>+VLOOKUP(PROVEEDORES[[#This Row],[PROVEEDOR]],TERCEROS_INFO[#All],2,FALSE)</f>
        <v>30</v>
      </c>
      <c r="D1352" s="27">
        <f>+SUMIFS(PROVEEDORES[Total],PROVEEDORES[PROVEEDOR],PROVEEDORES[[#This Row],[PROVEEDOR]],PROVEEDORES[FECHA DE PAGO],"")</f>
        <v>0</v>
      </c>
      <c r="E1352" s="27"/>
      <c r="F1352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G1352" s="95">
        <v>44648</v>
      </c>
      <c r="H1352" s="28" t="s">
        <v>571</v>
      </c>
      <c r="I1352" s="95">
        <v>44635</v>
      </c>
      <c r="J1352" s="38" t="s">
        <v>1093</v>
      </c>
      <c r="K1352" s="23">
        <v>-37815.129999999997</v>
      </c>
      <c r="L1352" s="23"/>
      <c r="M1352" s="24">
        <v>-7184.8746999999994</v>
      </c>
      <c r="N1352" s="25"/>
      <c r="O1352" s="24">
        <v>0</v>
      </c>
      <c r="P1352" s="136">
        <f>+IF(PROVEEDORES[[#This Row],[SUBTOTAL]]&lt;PROVEEDORES[[#This Row],[base retencion]],0,PROVEEDORES[[#This Row],[retención aplicada]])</f>
        <v>0</v>
      </c>
      <c r="Q1352" s="24">
        <f>+PROVEEDORES[[#This Row],[Rete Fuente %]]*PROVEEDORES[[#This Row],[SUBTOTAL]]</f>
        <v>0</v>
      </c>
      <c r="R1352" s="23">
        <v>-44054.626449999996</v>
      </c>
      <c r="S135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2" s="99">
        <f ca="1">IF(PROVEEDORES[[#This Row],[FECHA DE PAGO]]=0,TODAY()-PROVEEDORES[[#This Row],[FECHA DE FACTURACIÓN]]-PROVEEDORES[[#This Row],[PLAZO Días]],0)</f>
        <v>0</v>
      </c>
      <c r="U1352" s="149" t="str">
        <f>+VLOOKUP(PROVEEDORES[[#This Row],[PROVEEDOR]],Terceros!$A:$E,5,FALSE)</f>
        <v>2,5% con base</v>
      </c>
      <c r="V1352" s="150">
        <f>+YEAR(PROVEEDORES[[#This Row],[FECHA DE FACTURACIÓN]])</f>
        <v>2022</v>
      </c>
      <c r="W1352" s="150">
        <f>+MATCH(PROVEEDORES[[#This Row],[año facturado]],Retenciones!$1:$1,0)</f>
        <v>5</v>
      </c>
      <c r="X1352" s="151">
        <f>+VLOOKUP(PROVEEDORES[[#This Row],[ID RETENCION]],Retenciones!$A$1:$O$24,PROVEEDORES[[#This Row],[indicador de columna]],FALSE)</f>
        <v>1026000</v>
      </c>
      <c r="Y1352" s="152">
        <f>+VLOOKUP(PROVEEDORES[[#This Row],[ID RETENCION]],Retenciones!$A$1:$O$24,2,FALSE)</f>
        <v>2.5000000000000001E-2</v>
      </c>
      <c r="Z1352" s="26"/>
      <c r="AA1352" s="26"/>
      <c r="AB1352" s="26"/>
      <c r="AC1352" s="26"/>
      <c r="AD1352" s="26"/>
      <c r="AE1352" s="26"/>
    </row>
    <row r="1353" spans="1:31" ht="21.95" customHeight="1" x14ac:dyDescent="0.25">
      <c r="A1353" s="97" t="str">
        <f>+IF(PROVEEDORES[[#This Row],[FECHA DE PAGO]]=PROVEEDORES[[#This Row],[FECHA DE FACTURACIÓN]],"DE CONTADO","CRÉDITO")</f>
        <v>CRÉDITO</v>
      </c>
      <c r="B1353" s="41" t="str">
        <f>+IF((PROVEEDORES[[#This Row],[FECHA DE PAGO]]-PROVEEDORES[[#This Row],[FECHA DE FACTURACIÓN]])&gt;PROVEEDORES[[#This Row],[PLAZO Días]],"PAGO VENCIDO")</f>
        <v>PAGO VENCIDO</v>
      </c>
      <c r="C1353" s="22">
        <f>+VLOOKUP(PROVEEDORES[[#This Row],[PROVEEDOR]],TERCEROS_INFO[#All],2,FALSE)</f>
        <v>30</v>
      </c>
      <c r="D1353" s="27">
        <f>+SUMIFS(PROVEEDORES[Total],PROVEEDORES[PROVEEDOR],PROVEEDORES[[#This Row],[PROVEEDOR]],PROVEEDORES[FECHA DE PAGO],"")</f>
        <v>3844432.4999000002</v>
      </c>
      <c r="E1353" s="27"/>
      <c r="F1353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1353" s="95">
        <v>44684</v>
      </c>
      <c r="H1353" s="28" t="s">
        <v>18</v>
      </c>
      <c r="I1353" s="95">
        <v>44634</v>
      </c>
      <c r="J1353" s="38">
        <v>1051102</v>
      </c>
      <c r="K1353" s="23">
        <v>3580988</v>
      </c>
      <c r="L1353" s="23"/>
      <c r="M1353" s="24">
        <f>(PROVEEDORES[[#This Row],[SUBTOTAL]]-PROVEEDORES[[#This Row],[descuento antes de IVA]])*VLOOKUP(PROVEEDORES[[#This Row],[PROVEEDOR]],TERCEROS_INFO[#All],3,FALSE)</f>
        <v>680387.72</v>
      </c>
      <c r="N1353" s="25"/>
      <c r="O1353" s="24">
        <f>+PROVEEDORES[[#This Row],[Descuento sobre subtotal %]]*(PROVEEDORES[[#This Row],[SUBTOTAL]]-PROVEEDORES[[#This Row],[descuento antes de IVA]])</f>
        <v>0</v>
      </c>
      <c r="P1353" s="136">
        <f>+IF(PROVEEDORES[[#This Row],[SUBTOTAL]]&lt;PROVEEDORES[[#This Row],[base retencion]],0,PROVEEDORES[[#This Row],[retención aplicada]])</f>
        <v>2.5000000000000001E-2</v>
      </c>
      <c r="Q1353" s="24">
        <f>+PROVEEDORES[[#This Row],[Rete Fuente %]]*PROVEEDORES[[#This Row],[SUBTOTAL]]</f>
        <v>89524.700000000012</v>
      </c>
      <c r="R1353" s="23">
        <f>+PROVEEDORES[[#This Row],[SUBTOTAL]]+PROVEEDORES[[#This Row],[IVA 19%]]-PROVEEDORES[[#This Row],[descuento antes de IVA]]-PROVEEDORES[[#This Row],[Descuento sobre subtotal $]]-PROVEEDORES[[#This Row],[Rete Fuente $]]</f>
        <v>4171851.0199999996</v>
      </c>
      <c r="S135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3" s="99">
        <f ca="1">IF(PROVEEDORES[[#This Row],[FECHA DE PAGO]]=0,TODAY()-PROVEEDORES[[#This Row],[FECHA DE FACTURACIÓN]]-PROVEEDORES[[#This Row],[PLAZO Días]],0)</f>
        <v>0</v>
      </c>
      <c r="U1353" s="149" t="str">
        <f>+VLOOKUP(PROVEEDORES[[#This Row],[PROVEEDOR]],Terceros!$A:$E,5,FALSE)</f>
        <v>2,5% con base</v>
      </c>
      <c r="V1353" s="150">
        <f>+YEAR(PROVEEDORES[[#This Row],[FECHA DE FACTURACIÓN]])</f>
        <v>2022</v>
      </c>
      <c r="W1353" s="150">
        <f>+MATCH(PROVEEDORES[[#This Row],[año facturado]],Retenciones!$1:$1,0)</f>
        <v>5</v>
      </c>
      <c r="X1353" s="151">
        <f>+VLOOKUP(PROVEEDORES[[#This Row],[ID RETENCION]],Retenciones!$A$1:$O$24,PROVEEDORES[[#This Row],[indicador de columna]],FALSE)</f>
        <v>1026000</v>
      </c>
      <c r="Y1353" s="152">
        <f>+VLOOKUP(PROVEEDORES[[#This Row],[ID RETENCION]],Retenciones!$A$1:$O$24,2,FALSE)</f>
        <v>2.5000000000000001E-2</v>
      </c>
      <c r="Z1353" s="26"/>
      <c r="AA1353" s="26"/>
      <c r="AB1353" s="26"/>
      <c r="AC1353" s="26"/>
      <c r="AD1353" s="26"/>
      <c r="AE1353" s="26"/>
    </row>
    <row r="1354" spans="1:31" ht="21.95" customHeight="1" x14ac:dyDescent="0.25">
      <c r="A1354" s="97" t="str">
        <f>+IF(PROVEEDORES[[#This Row],[FECHA DE PAGO]]=PROVEEDORES[[#This Row],[FECHA DE FACTURACIÓN]],"DE CONTADO","CRÉDITO")</f>
        <v>CRÉDITO</v>
      </c>
      <c r="B1354" s="41" t="b">
        <f>+IF((PROVEEDORES[[#This Row],[FECHA DE PAGO]]-PROVEEDORES[[#This Row],[FECHA DE FACTURACIÓN]])&gt;PROVEEDORES[[#This Row],[PLAZO Días]],"PAGO VENCIDO")</f>
        <v>0</v>
      </c>
      <c r="C1354" s="22">
        <f>+VLOOKUP(PROVEEDORES[[#This Row],[PROVEEDOR]],TERCEROS_INFO[#All],2,FALSE)</f>
        <v>30</v>
      </c>
      <c r="D1354" s="27">
        <f>+SUMIFS(PROVEEDORES[Total],PROVEEDORES[PROVEEDOR],PROVEEDORES[[#This Row],[PROVEEDOR]],PROVEEDORES[FECHA DE PAGO],"")</f>
        <v>0</v>
      </c>
      <c r="E1354" s="27"/>
      <c r="F1354" s="62">
        <f>+VLOOKUP(PROVEEDORES[[#This Row],[PROVEEDOR]],
                       Terceros!$A:$G,
                       6,
                       FALSE)</f>
        <v>0</v>
      </c>
      <c r="G1354" s="95">
        <v>44636</v>
      </c>
      <c r="H1354" s="28" t="s">
        <v>1152</v>
      </c>
      <c r="I1354" s="95">
        <v>44635</v>
      </c>
      <c r="J1354" s="38" t="s">
        <v>1153</v>
      </c>
      <c r="K1354" s="23">
        <v>1573500.6</v>
      </c>
      <c r="L1354" s="23"/>
      <c r="M1354" s="24">
        <v>298965.114</v>
      </c>
      <c r="N1354" s="25"/>
      <c r="O1354" s="24">
        <v>0</v>
      </c>
      <c r="P1354" s="136">
        <f>+IF(PROVEEDORES[[#This Row],[SUBTOTAL]]&lt;PROVEEDORES[[#This Row],[base retencion]],0,PROVEEDORES[[#This Row],[retención aplicada]])</f>
        <v>2.5000000000000001E-2</v>
      </c>
      <c r="Q1354" s="24">
        <f>+PROVEEDORES[[#This Row],[Rete Fuente %]]*PROVEEDORES[[#This Row],[SUBTOTAL]]</f>
        <v>39337.515000000007</v>
      </c>
      <c r="R1354" s="23">
        <v>1833128.1990000003</v>
      </c>
      <c r="S135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4" s="99">
        <f ca="1">IF(PROVEEDORES[[#This Row],[FECHA DE PAGO]]=0,TODAY()-PROVEEDORES[[#This Row],[FECHA DE FACTURACIÓN]]-PROVEEDORES[[#This Row],[PLAZO Días]],0)</f>
        <v>0</v>
      </c>
      <c r="U1354" s="149" t="str">
        <f>+VLOOKUP(PROVEEDORES[[#This Row],[PROVEEDOR]],Terceros!$A:$E,5,FALSE)</f>
        <v>2,5% con base</v>
      </c>
      <c r="V1354" s="150">
        <f>+YEAR(PROVEEDORES[[#This Row],[FECHA DE FACTURACIÓN]])</f>
        <v>2022</v>
      </c>
      <c r="W1354" s="150">
        <f>+MATCH(PROVEEDORES[[#This Row],[año facturado]],Retenciones!$1:$1,0)</f>
        <v>5</v>
      </c>
      <c r="X1354" s="151">
        <f>+VLOOKUP(PROVEEDORES[[#This Row],[ID RETENCION]],Retenciones!$A$1:$O$24,PROVEEDORES[[#This Row],[indicador de columna]],FALSE)</f>
        <v>1026000</v>
      </c>
      <c r="Y1354" s="152">
        <f>+VLOOKUP(PROVEEDORES[[#This Row],[ID RETENCION]],Retenciones!$A$1:$O$24,2,FALSE)</f>
        <v>2.5000000000000001E-2</v>
      </c>
      <c r="Z1354" s="26"/>
      <c r="AA1354" s="26"/>
      <c r="AB1354" s="26"/>
      <c r="AC1354" s="26"/>
      <c r="AD1354" s="26"/>
      <c r="AE1354" s="26"/>
    </row>
    <row r="1355" spans="1:31" ht="21.95" customHeight="1" x14ac:dyDescent="0.25">
      <c r="A1355" s="97" t="str">
        <f>+IF(PROVEEDORES[[#This Row],[FECHA DE PAGO]]=PROVEEDORES[[#This Row],[FECHA DE FACTURACIÓN]],"DE CONTADO","CRÉDITO")</f>
        <v>CRÉDITO</v>
      </c>
      <c r="B1355" s="41" t="b">
        <f>+IF((PROVEEDORES[[#This Row],[FECHA DE PAGO]]-PROVEEDORES[[#This Row],[FECHA DE FACTURACIÓN]])&gt;PROVEEDORES[[#This Row],[PLAZO Días]],"PAGO VENCIDO")</f>
        <v>0</v>
      </c>
      <c r="C1355" s="22">
        <f>+VLOOKUP(PROVEEDORES[[#This Row],[PROVEEDOR]],TERCEROS_INFO[#All],2,FALSE)</f>
        <v>30</v>
      </c>
      <c r="D1355" s="27">
        <f>+SUMIFS(PROVEEDORES[Total],PROVEEDORES[PROVEEDOR],PROVEEDORES[[#This Row],[PROVEEDOR]],PROVEEDORES[FECHA DE PAGO],"")</f>
        <v>195500</v>
      </c>
      <c r="E1355" s="27"/>
      <c r="F1355" s="62" t="str">
        <f>+VLOOKUP(PROVEEDORES[[#This Row],[PROVEEDOR]],
                       Terceros!$A:$G,
                       6,
                       FALSE)</f>
        <v/>
      </c>
      <c r="H1355" s="28" t="s">
        <v>1047</v>
      </c>
      <c r="I1355" s="95">
        <v>44635</v>
      </c>
      <c r="J1355" s="38" t="s">
        <v>1123</v>
      </c>
      <c r="K1355" s="23">
        <v>89500</v>
      </c>
      <c r="L1355" s="23"/>
      <c r="M1355" s="24">
        <f>(PROVEEDORES[[#This Row],[SUBTOTAL]]-PROVEEDORES[[#This Row],[descuento antes de IVA]])*VLOOKUP(PROVEEDORES[[#This Row],[PROVEEDOR]],TERCEROS_INFO[#All],3,FALSE)</f>
        <v>0</v>
      </c>
      <c r="N1355" s="25"/>
      <c r="O1355" s="24">
        <f>+PROVEEDORES[[#This Row],[Descuento sobre subtotal %]]*(PROVEEDORES[[#This Row],[SUBTOTAL]]-PROVEEDORES[[#This Row],[descuento antes de IVA]])</f>
        <v>0</v>
      </c>
      <c r="P1355" s="136">
        <f>+IF(PROVEEDORES[[#This Row],[SUBTOTAL]]&lt;PROVEEDORES[[#This Row],[base retencion]],0,PROVEEDORES[[#This Row],[retención aplicada]])</f>
        <v>0</v>
      </c>
      <c r="Q1355" s="24">
        <f>+PROVEEDORES[[#This Row],[Rete Fuente %]]*PROVEEDORES[[#This Row],[SUBTOTAL]]</f>
        <v>0</v>
      </c>
      <c r="R1355" s="23">
        <f>+PROVEEDORES[[#This Row],[SUBTOTAL]]+PROVEEDORES[[#This Row],[IVA 19%]]-PROVEEDORES[[#This Row],[descuento antes de IVA]]-PROVEEDORES[[#This Row],[Descuento sobre subtotal $]]-PROVEEDORES[[#This Row],[Rete Fuente $]]</f>
        <v>89500</v>
      </c>
      <c r="S1355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55" s="99">
        <f ca="1">IF(PROVEEDORES[[#This Row],[FECHA DE PAGO]]=0,TODAY()-PROVEEDORES[[#This Row],[FECHA DE FACTURACIÓN]]-PROVEEDORES[[#This Row],[PLAZO Días]],0)</f>
        <v>19</v>
      </c>
      <c r="U1355" s="149">
        <f>+VLOOKUP(PROVEEDORES[[#This Row],[PROVEEDOR]],Terceros!$A:$E,5,FALSE)</f>
        <v>0</v>
      </c>
      <c r="V1355" s="150">
        <f>+YEAR(PROVEEDORES[[#This Row],[FECHA DE FACTURACIÓN]])</f>
        <v>2022</v>
      </c>
      <c r="W1355" s="150">
        <f>+MATCH(PROVEEDORES[[#This Row],[año facturado]],Retenciones!$1:$1,0)</f>
        <v>5</v>
      </c>
      <c r="X1355" s="151">
        <f>+VLOOKUP(PROVEEDORES[[#This Row],[ID RETENCION]],Retenciones!$A$1:$O$24,PROVEEDORES[[#This Row],[indicador de columna]],FALSE)</f>
        <v>0</v>
      </c>
      <c r="Y1355" s="152">
        <f>+VLOOKUP(PROVEEDORES[[#This Row],[ID RETENCION]],Retenciones!$A$1:$O$24,2,FALSE)</f>
        <v>0</v>
      </c>
      <c r="Z1355" s="26"/>
      <c r="AA1355" s="26"/>
      <c r="AB1355" s="26"/>
      <c r="AC1355" s="26"/>
      <c r="AD1355" s="26"/>
      <c r="AE1355" s="26"/>
    </row>
    <row r="1356" spans="1:31" ht="21.95" customHeight="1" x14ac:dyDescent="0.25">
      <c r="A1356" s="97" t="str">
        <f>+IF(PROVEEDORES[[#This Row],[FECHA DE PAGO]]=PROVEEDORES[[#This Row],[FECHA DE FACTURACIÓN]],"DE CONTADO","CRÉDITO")</f>
        <v>CRÉDITO</v>
      </c>
      <c r="B1356" s="41" t="b">
        <f>+IF((PROVEEDORES[[#This Row],[FECHA DE PAGO]]-PROVEEDORES[[#This Row],[FECHA DE FACTURACIÓN]])&gt;PROVEEDORES[[#This Row],[PLAZO Días]],"PAGO VENCIDO")</f>
        <v>0</v>
      </c>
      <c r="C1356" s="22">
        <f>+VLOOKUP(PROVEEDORES[[#This Row],[PROVEEDOR]],TERCEROS_INFO[#All],2,FALSE)</f>
        <v>30</v>
      </c>
      <c r="D1356" s="27">
        <f>+SUMIFS(PROVEEDORES[Total],PROVEEDORES[PROVEEDOR],PROVEEDORES[[#This Row],[PROVEEDOR]],PROVEEDORES[FECHA DE PAGO],"")</f>
        <v>3355018.0749999997</v>
      </c>
      <c r="E1356" s="27"/>
      <c r="F1356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H1356" s="28" t="s">
        <v>222</v>
      </c>
      <c r="I1356" s="95">
        <v>44636</v>
      </c>
      <c r="J1356" s="38">
        <v>544</v>
      </c>
      <c r="K1356" s="23">
        <v>2519329</v>
      </c>
      <c r="L1356" s="23"/>
      <c r="M1356" s="24">
        <f>(PROVEEDORES[[#This Row],[SUBTOTAL]]-PROVEEDORES[[#This Row],[descuento antes de IVA]])*VLOOKUP(PROVEEDORES[[#This Row],[PROVEEDOR]],TERCEROS_INFO[#All],3,FALSE)</f>
        <v>478672.51</v>
      </c>
      <c r="N1356" s="25"/>
      <c r="O1356" s="24">
        <f>+PROVEEDORES[[#This Row],[Descuento sobre subtotal %]]*(PROVEEDORES[[#This Row],[SUBTOTAL]]-PROVEEDORES[[#This Row],[descuento antes de IVA]])</f>
        <v>0</v>
      </c>
      <c r="P1356" s="136">
        <f>+IF(PROVEEDORES[[#This Row],[SUBTOTAL]]&lt;PROVEEDORES[[#This Row],[base retencion]],0,PROVEEDORES[[#This Row],[retención aplicada]])</f>
        <v>2.5000000000000001E-2</v>
      </c>
      <c r="Q1356" s="24">
        <f>+PROVEEDORES[[#This Row],[Rete Fuente %]]*PROVEEDORES[[#This Row],[SUBTOTAL]]</f>
        <v>62983.225000000006</v>
      </c>
      <c r="R1356" s="23">
        <f>+PROVEEDORES[[#This Row],[SUBTOTAL]]+PROVEEDORES[[#This Row],[IVA 19%]]-PROVEEDORES[[#This Row],[descuento antes de IVA]]-PROVEEDORES[[#This Row],[Descuento sobre subtotal $]]-PROVEEDORES[[#This Row],[Rete Fuente $]]</f>
        <v>2935018.2849999997</v>
      </c>
      <c r="S1356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56" s="99">
        <f ca="1">IF(PROVEEDORES[[#This Row],[FECHA DE PAGO]]=0,TODAY()-PROVEEDORES[[#This Row],[FECHA DE FACTURACIÓN]]-PROVEEDORES[[#This Row],[PLAZO Días]],0)</f>
        <v>18</v>
      </c>
      <c r="U1356" s="149" t="str">
        <f>+VLOOKUP(PROVEEDORES[[#This Row],[PROVEEDOR]],Terceros!$A:$E,5,FALSE)</f>
        <v>2,5% con base</v>
      </c>
      <c r="V1356" s="150">
        <f>+YEAR(PROVEEDORES[[#This Row],[FECHA DE FACTURACIÓN]])</f>
        <v>2022</v>
      </c>
      <c r="W1356" s="150">
        <f>+MATCH(PROVEEDORES[[#This Row],[año facturado]],Retenciones!$1:$1,0)</f>
        <v>5</v>
      </c>
      <c r="X1356" s="151">
        <f>+VLOOKUP(PROVEEDORES[[#This Row],[ID RETENCION]],Retenciones!$A$1:$O$24,PROVEEDORES[[#This Row],[indicador de columna]],FALSE)</f>
        <v>1026000</v>
      </c>
      <c r="Y1356" s="152">
        <f>+VLOOKUP(PROVEEDORES[[#This Row],[ID RETENCION]],Retenciones!$A$1:$O$24,2,FALSE)</f>
        <v>2.5000000000000001E-2</v>
      </c>
      <c r="Z1356" s="26"/>
      <c r="AA1356" s="26"/>
      <c r="AB1356" s="26"/>
      <c r="AC1356" s="26"/>
      <c r="AD1356" s="26"/>
      <c r="AE1356" s="26"/>
    </row>
    <row r="1357" spans="1:31" ht="21.95" customHeight="1" x14ac:dyDescent="0.25">
      <c r="A1357" s="97" t="str">
        <f>+IF(PROVEEDORES[[#This Row],[FECHA DE PAGO]]=PROVEEDORES[[#This Row],[FECHA DE FACTURACIÓN]],"DE CONTADO","CRÉDITO")</f>
        <v>DE CONTADO</v>
      </c>
      <c r="B1357" s="41" t="b">
        <f>+IF((PROVEEDORES[[#This Row],[FECHA DE PAGO]]-PROVEEDORES[[#This Row],[FECHA DE FACTURACIÓN]])&gt;PROVEEDORES[[#This Row],[PLAZO Días]],"PAGO VENCIDO")</f>
        <v>0</v>
      </c>
      <c r="C1357" s="22">
        <f>+VLOOKUP(PROVEEDORES[[#This Row],[PROVEEDOR]],TERCEROS_INFO[#All],2,FALSE)</f>
        <v>30</v>
      </c>
      <c r="D1357" s="27">
        <f>+SUMIFS(PROVEEDORES[Total],PROVEEDORES[PROVEEDOR],PROVEEDORES[[#This Row],[PROVEEDOR]],PROVEEDORES[FECHA DE PAGO],"")</f>
        <v>0</v>
      </c>
      <c r="E1357" s="27"/>
      <c r="F1357" s="62">
        <f>+VLOOKUP(PROVEEDORES[[#This Row],[PROVEEDOR]],
                       Terceros!$A:$G,
                       6,
                       FALSE)</f>
        <v>0</v>
      </c>
      <c r="G1357" s="95">
        <v>44637</v>
      </c>
      <c r="H1357" s="28" t="s">
        <v>1008</v>
      </c>
      <c r="I1357" s="95">
        <v>44637</v>
      </c>
      <c r="J1357" s="38" t="s">
        <v>1009</v>
      </c>
      <c r="K1357" s="23">
        <v>564000</v>
      </c>
      <c r="L1357" s="23"/>
      <c r="M1357" s="24">
        <v>0</v>
      </c>
      <c r="N1357" s="25"/>
      <c r="O1357" s="24">
        <v>0</v>
      </c>
      <c r="P1357" s="136">
        <f>+IF(PROVEEDORES[[#This Row],[SUBTOTAL]]&lt;PROVEEDORES[[#This Row],[base retencion]],0,PROVEEDORES[[#This Row],[retención aplicada]])</f>
        <v>0</v>
      </c>
      <c r="Q1357" s="24">
        <f>+PROVEEDORES[[#This Row],[Rete Fuente %]]*PROVEEDORES[[#This Row],[SUBTOTAL]]</f>
        <v>0</v>
      </c>
      <c r="R1357" s="23">
        <v>564000</v>
      </c>
      <c r="S135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7" s="99">
        <f ca="1">IF(PROVEEDORES[[#This Row],[FECHA DE PAGO]]=0,TODAY()-PROVEEDORES[[#This Row],[FECHA DE FACTURACIÓN]]-PROVEEDORES[[#This Row],[PLAZO Días]],0)</f>
        <v>0</v>
      </c>
      <c r="U1357" s="149">
        <f>+VLOOKUP(PROVEEDORES[[#This Row],[PROVEEDOR]],Terceros!$A:$E,5,FALSE)</f>
        <v>0</v>
      </c>
      <c r="V1357" s="150">
        <f>+YEAR(PROVEEDORES[[#This Row],[FECHA DE FACTURACIÓN]])</f>
        <v>2022</v>
      </c>
      <c r="W1357" s="150">
        <f>+MATCH(PROVEEDORES[[#This Row],[año facturado]],Retenciones!$1:$1,0)</f>
        <v>5</v>
      </c>
      <c r="X1357" s="151">
        <f>+VLOOKUP(PROVEEDORES[[#This Row],[ID RETENCION]],Retenciones!$A$1:$O$24,PROVEEDORES[[#This Row],[indicador de columna]],FALSE)</f>
        <v>0</v>
      </c>
      <c r="Y1357" s="152">
        <f>+VLOOKUP(PROVEEDORES[[#This Row],[ID RETENCION]],Retenciones!$A$1:$O$24,2,FALSE)</f>
        <v>0</v>
      </c>
      <c r="Z1357" s="26"/>
      <c r="AA1357" s="26"/>
      <c r="AB1357" s="26"/>
      <c r="AC1357" s="26"/>
      <c r="AD1357" s="26"/>
      <c r="AE1357" s="26"/>
    </row>
    <row r="1358" spans="1:31" ht="21.95" customHeight="1" x14ac:dyDescent="0.25">
      <c r="A1358" s="97" t="str">
        <f>+IF(PROVEEDORES[[#This Row],[FECHA DE PAGO]]=PROVEEDORES[[#This Row],[FECHA DE FACTURACIÓN]],"DE CONTADO","CRÉDITO")</f>
        <v>CRÉDITO</v>
      </c>
      <c r="B1358" s="41" t="b">
        <f>+IF((PROVEEDORES[[#This Row],[FECHA DE PAGO]]-PROVEEDORES[[#This Row],[FECHA DE FACTURACIÓN]])&gt;PROVEEDORES[[#This Row],[PLAZO Días]],"PAGO VENCIDO")</f>
        <v>0</v>
      </c>
      <c r="C1358" s="22">
        <f>+VLOOKUP(PROVEEDORES[[#This Row],[PROVEEDOR]],TERCEROS_INFO[#All],2,FALSE)</f>
        <v>30</v>
      </c>
      <c r="D1358" s="27">
        <f>+SUMIFS(PROVEEDORES[Total],PROVEEDORES[PROVEEDOR],PROVEEDORES[[#This Row],[PROVEEDOR]],PROVEEDORES[FECHA DE PAGO],"")</f>
        <v>4641412.7745000003</v>
      </c>
      <c r="E1358" s="27"/>
      <c r="F1358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H1358" s="28" t="s">
        <v>20</v>
      </c>
      <c r="I1358" s="95">
        <v>44636</v>
      </c>
      <c r="J1358" s="38">
        <v>6577</v>
      </c>
      <c r="K1358" s="23">
        <v>2918615.3</v>
      </c>
      <c r="L1358" s="23"/>
      <c r="M1358" s="24">
        <f>(PROVEEDORES[[#This Row],[SUBTOTAL]]-PROVEEDORES[[#This Row],[descuento antes de IVA]])*VLOOKUP(PROVEEDORES[[#This Row],[PROVEEDOR]],TERCEROS_INFO[#All],3,FALSE)</f>
        <v>554536.90700000001</v>
      </c>
      <c r="N1358" s="25"/>
      <c r="O1358" s="24">
        <f>+PROVEEDORES[[#This Row],[Descuento sobre subtotal %]]*(PROVEEDORES[[#This Row],[SUBTOTAL]]-PROVEEDORES[[#This Row],[descuento antes de IVA]])</f>
        <v>0</v>
      </c>
      <c r="P1358" s="136">
        <f>+IF(PROVEEDORES[[#This Row],[SUBTOTAL]]&lt;PROVEEDORES[[#This Row],[base retencion]],0,PROVEEDORES[[#This Row],[retención aplicada]])</f>
        <v>2.5000000000000001E-2</v>
      </c>
      <c r="Q1358" s="24">
        <f>+PROVEEDORES[[#This Row],[Rete Fuente %]]*PROVEEDORES[[#This Row],[SUBTOTAL]]</f>
        <v>72965.382499999992</v>
      </c>
      <c r="R1358" s="23">
        <f>+PROVEEDORES[[#This Row],[SUBTOTAL]]+PROVEEDORES[[#This Row],[IVA 19%]]-PROVEEDORES[[#This Row],[descuento antes de IVA]]-PROVEEDORES[[#This Row],[Descuento sobre subtotal $]]-PROVEEDORES[[#This Row],[Rete Fuente $]]</f>
        <v>3400186.8245000001</v>
      </c>
      <c r="S1358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58" s="99">
        <f ca="1">IF(PROVEEDORES[[#This Row],[FECHA DE PAGO]]=0,TODAY()-PROVEEDORES[[#This Row],[FECHA DE FACTURACIÓN]]-PROVEEDORES[[#This Row],[PLAZO Días]],0)</f>
        <v>18</v>
      </c>
      <c r="U1358" s="149" t="str">
        <f>+VLOOKUP(PROVEEDORES[[#This Row],[PROVEEDOR]],Terceros!$A:$E,5,FALSE)</f>
        <v>2,5% con base</v>
      </c>
      <c r="V1358" s="150">
        <f>+YEAR(PROVEEDORES[[#This Row],[FECHA DE FACTURACIÓN]])</f>
        <v>2022</v>
      </c>
      <c r="W1358" s="150">
        <f>+MATCH(PROVEEDORES[[#This Row],[año facturado]],Retenciones!$1:$1,0)</f>
        <v>5</v>
      </c>
      <c r="X1358" s="151">
        <f>+VLOOKUP(PROVEEDORES[[#This Row],[ID RETENCION]],Retenciones!$A$1:$O$24,PROVEEDORES[[#This Row],[indicador de columna]],FALSE)</f>
        <v>1026000</v>
      </c>
      <c r="Y1358" s="152">
        <f>+VLOOKUP(PROVEEDORES[[#This Row],[ID RETENCION]],Retenciones!$A$1:$O$24,2,FALSE)</f>
        <v>2.5000000000000001E-2</v>
      </c>
      <c r="Z1358" s="26"/>
      <c r="AA1358" s="26"/>
      <c r="AB1358" s="26"/>
      <c r="AC1358" s="26"/>
      <c r="AD1358" s="26"/>
      <c r="AE1358" s="26"/>
    </row>
    <row r="1359" spans="1:31" ht="21.95" customHeight="1" x14ac:dyDescent="0.25">
      <c r="A1359" s="97" t="str">
        <f>+IF(PROVEEDORES[[#This Row],[FECHA DE PAGO]]=PROVEEDORES[[#This Row],[FECHA DE FACTURACIÓN]],"DE CONTADO","CRÉDITO")</f>
        <v>CRÉDITO</v>
      </c>
      <c r="B1359" s="41" t="str">
        <f>+IF((PROVEEDORES[[#This Row],[FECHA DE PAGO]]-PROVEEDORES[[#This Row],[FECHA DE FACTURACIÓN]])&gt;PROVEEDORES[[#This Row],[PLAZO Días]],"PAGO VENCIDO")</f>
        <v>PAGO VENCIDO</v>
      </c>
      <c r="C1359" s="22">
        <f>+VLOOKUP(PROVEEDORES[[#This Row],[PROVEEDOR]],TERCEROS_INFO[#All],2,FALSE)</f>
        <v>30</v>
      </c>
      <c r="D1359" s="27">
        <f>+SUMIFS(PROVEEDORES[Total],PROVEEDORES[PROVEEDOR],PROVEEDORES[[#This Row],[PROVEEDOR]],PROVEEDORES[FECHA DE PAGO],"")</f>
        <v>3844432.4999000002</v>
      </c>
      <c r="E1359" s="27"/>
      <c r="F1359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1359" s="95">
        <v>44684</v>
      </c>
      <c r="H1359" s="28" t="s">
        <v>18</v>
      </c>
      <c r="I1359" s="95">
        <v>44638</v>
      </c>
      <c r="J1359" s="38">
        <v>1051239</v>
      </c>
      <c r="K1359" s="23">
        <v>378530.4</v>
      </c>
      <c r="L1359" s="23"/>
      <c r="M1359" s="24">
        <f>(PROVEEDORES[[#This Row],[SUBTOTAL]]-PROVEEDORES[[#This Row],[descuento antes de IVA]])*VLOOKUP(PROVEEDORES[[#This Row],[PROVEEDOR]],TERCEROS_INFO[#All],3,FALSE)</f>
        <v>71920.775999999998</v>
      </c>
      <c r="N1359" s="25"/>
      <c r="O1359" s="24">
        <f>+PROVEEDORES[[#This Row],[Descuento sobre subtotal %]]*(PROVEEDORES[[#This Row],[SUBTOTAL]]-PROVEEDORES[[#This Row],[descuento antes de IVA]])</f>
        <v>0</v>
      </c>
      <c r="P1359" s="136">
        <f>+IF(PROVEEDORES[[#This Row],[SUBTOTAL]]&lt;PROVEEDORES[[#This Row],[base retencion]],0,PROVEEDORES[[#This Row],[retención aplicada]])</f>
        <v>0</v>
      </c>
      <c r="Q1359" s="24">
        <f>+PROVEEDORES[[#This Row],[Rete Fuente %]]*PROVEEDORES[[#This Row],[SUBTOTAL]]</f>
        <v>0</v>
      </c>
      <c r="R1359" s="23">
        <f>+PROVEEDORES[[#This Row],[SUBTOTAL]]+PROVEEDORES[[#This Row],[IVA 19%]]-PROVEEDORES[[#This Row],[descuento antes de IVA]]-PROVEEDORES[[#This Row],[Descuento sobre subtotal $]]-PROVEEDORES[[#This Row],[Rete Fuente $]]</f>
        <v>450451.17600000004</v>
      </c>
      <c r="S135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9" s="99">
        <f ca="1">IF(PROVEEDORES[[#This Row],[FECHA DE PAGO]]=0,TODAY()-PROVEEDORES[[#This Row],[FECHA DE FACTURACIÓN]]-PROVEEDORES[[#This Row],[PLAZO Días]],0)</f>
        <v>0</v>
      </c>
      <c r="U1359" s="149" t="str">
        <f>+VLOOKUP(PROVEEDORES[[#This Row],[PROVEEDOR]],Terceros!$A:$E,5,FALSE)</f>
        <v>2,5% con base</v>
      </c>
      <c r="V1359" s="150">
        <f>+YEAR(PROVEEDORES[[#This Row],[FECHA DE FACTURACIÓN]])</f>
        <v>2022</v>
      </c>
      <c r="W1359" s="150">
        <f>+MATCH(PROVEEDORES[[#This Row],[año facturado]],Retenciones!$1:$1,0)</f>
        <v>5</v>
      </c>
      <c r="X1359" s="151">
        <f>+VLOOKUP(PROVEEDORES[[#This Row],[ID RETENCION]],Retenciones!$A$1:$O$24,PROVEEDORES[[#This Row],[indicador de columna]],FALSE)</f>
        <v>1026000</v>
      </c>
      <c r="Y1359" s="152">
        <f>+VLOOKUP(PROVEEDORES[[#This Row],[ID RETENCION]],Retenciones!$A$1:$O$24,2,FALSE)</f>
        <v>2.5000000000000001E-2</v>
      </c>
      <c r="Z1359" s="26"/>
      <c r="AA1359" s="26"/>
      <c r="AB1359" s="26"/>
      <c r="AC1359" s="26"/>
      <c r="AD1359" s="26"/>
      <c r="AE1359" s="26"/>
    </row>
    <row r="1360" spans="1:31" ht="21.95" customHeight="1" x14ac:dyDescent="0.25">
      <c r="A1360" s="175" t="str">
        <f>+IF(PROVEEDORES[[#This Row],[FECHA DE PAGO]]=PROVEEDORES[[#This Row],[FECHA DE FACTURACIÓN]],"DE CONTADO","CRÉDITO")</f>
        <v>CRÉDITO</v>
      </c>
      <c r="B1360" s="41" t="str">
        <f>+IF((PROVEEDORES[[#This Row],[FECHA DE PAGO]]-PROVEEDORES[[#This Row],[FECHA DE FACTURACIÓN]])&gt;PROVEEDORES[[#This Row],[PLAZO Días]],"PAGO VENCIDO")</f>
        <v>PAGO VENCIDO</v>
      </c>
      <c r="C1360" s="22">
        <f>+VLOOKUP(PROVEEDORES[[#This Row],[PROVEEDOR]],TERCEROS_INFO[#All],2,FALSE)</f>
        <v>45</v>
      </c>
      <c r="D1360" s="27">
        <f>+SUMIFS(PROVEEDORES[Total],PROVEEDORES[PROVEEDOR],PROVEEDORES[[#This Row],[PROVEEDOR]],PROVEEDORES[FECHA DE PAGO],"")</f>
        <v>37184068.039999999</v>
      </c>
      <c r="E1360" s="27"/>
      <c r="F1360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G1360" s="95">
        <v>44676</v>
      </c>
      <c r="H1360" s="28" t="s">
        <v>19</v>
      </c>
      <c r="I1360" s="95">
        <v>44622</v>
      </c>
      <c r="J1360" s="38" t="s">
        <v>1290</v>
      </c>
      <c r="K1360" s="23">
        <v>14220800</v>
      </c>
      <c r="L1360" s="23"/>
      <c r="M1360" s="24">
        <f>(PROVEEDORES[[#This Row],[SUBTOTAL]]-PROVEEDORES[[#This Row],[descuento antes de IVA]])*VLOOKUP(PROVEEDORES[[#This Row],[PROVEEDOR]],TERCEROS_INFO[#All],3,FALSE)</f>
        <v>2701952</v>
      </c>
      <c r="N1360" s="25"/>
      <c r="O1360" s="24">
        <f>+PROVEEDORES[[#This Row],[Descuento sobre subtotal %]]*(PROVEEDORES[[#This Row],[SUBTOTAL]]-PROVEEDORES[[#This Row],[descuento antes de IVA]])</f>
        <v>0</v>
      </c>
      <c r="P1360" s="136">
        <f>+IF(PROVEEDORES[[#This Row],[SUBTOTAL]]&lt;PROVEEDORES[[#This Row],[base retencion]],0,PROVEEDORES[[#This Row],[retención aplicada]])</f>
        <v>0</v>
      </c>
      <c r="Q1360" s="24">
        <f>+PROVEEDORES[[#This Row],[Rete Fuente %]]*PROVEEDORES[[#This Row],[SUBTOTAL]]</f>
        <v>0</v>
      </c>
      <c r="R1360" s="23">
        <f>+PROVEEDORES[[#This Row],[SUBTOTAL]]+PROVEEDORES[[#This Row],[IVA 19%]]-PROVEEDORES[[#This Row],[descuento antes de IVA]]-PROVEEDORES[[#This Row],[Descuento sobre subtotal $]]-PROVEEDORES[[#This Row],[Rete Fuente $]]</f>
        <v>16922752</v>
      </c>
      <c r="S1360" s="1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0" s="176">
        <f ca="1">IF(PROVEEDORES[[#This Row],[FECHA DE PAGO]]=0,TODAY()-PROVEEDORES[[#This Row],[FECHA DE FACTURACIÓN]]-PROVEEDORES[[#This Row],[PLAZO Días]],0)</f>
        <v>0</v>
      </c>
      <c r="U1360" s="178">
        <f>+VLOOKUP(PROVEEDORES[[#This Row],[PROVEEDOR]],Terceros!$A:$E,5,FALSE)</f>
        <v>0</v>
      </c>
      <c r="V1360" s="179">
        <f>+YEAR(PROVEEDORES[[#This Row],[FECHA DE FACTURACIÓN]])</f>
        <v>2022</v>
      </c>
      <c r="W1360" s="179">
        <f>+MATCH(PROVEEDORES[[#This Row],[año facturado]],Retenciones!$1:$1,0)</f>
        <v>5</v>
      </c>
      <c r="X1360" s="184">
        <f>+VLOOKUP(PROVEEDORES[[#This Row],[ID RETENCION]],Retenciones!$A$1:$O$24,PROVEEDORES[[#This Row],[indicador de columna]],FALSE)</f>
        <v>0</v>
      </c>
      <c r="Y1360" s="181">
        <f>+VLOOKUP(PROVEEDORES[[#This Row],[ID RETENCION]],Retenciones!$A$1:$O$24,2,FALSE)</f>
        <v>0</v>
      </c>
      <c r="Z1360" s="26"/>
      <c r="AA1360" s="26"/>
      <c r="AB1360" s="26"/>
      <c r="AC1360" s="26"/>
      <c r="AD1360" s="26"/>
      <c r="AE1360" s="26"/>
    </row>
    <row r="1361" spans="1:31" ht="21.95" customHeight="1" x14ac:dyDescent="0.25">
      <c r="A1361" s="97" t="str">
        <f>+IF(PROVEEDORES[[#This Row],[FECHA DE PAGO]]=PROVEEDORES[[#This Row],[FECHA DE FACTURACIÓN]],"DE CONTADO","CRÉDITO")</f>
        <v>CRÉDITO</v>
      </c>
      <c r="B1361" s="41" t="b">
        <f>+IF((PROVEEDORES[[#This Row],[FECHA DE PAGO]]-PROVEEDORES[[#This Row],[FECHA DE FACTURACIÓN]])&gt;PROVEEDORES[[#This Row],[PLAZO Días]],"PAGO VENCIDO")</f>
        <v>0</v>
      </c>
      <c r="C1361" s="22">
        <f>+VLOOKUP(PROVEEDORES[[#This Row],[PROVEEDOR]],TERCEROS_INFO[#All],2,FALSE)</f>
        <v>45</v>
      </c>
      <c r="D1361" s="27">
        <f>+SUMIFS(PROVEEDORES[Total],PROVEEDORES[PROVEEDOR],PROVEEDORES[[#This Row],[PROVEEDOR]],PROVEEDORES[FECHA DE PAGO],"")</f>
        <v>37184068.039999999</v>
      </c>
      <c r="E1361" s="27"/>
      <c r="F1361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H1361" s="28" t="s">
        <v>19</v>
      </c>
      <c r="I1361" s="95">
        <v>44638</v>
      </c>
      <c r="J1361" s="38" t="s">
        <v>1122</v>
      </c>
      <c r="K1361" s="23">
        <v>2756160</v>
      </c>
      <c r="L1361" s="23"/>
      <c r="M1361" s="24">
        <f>(PROVEEDORES[[#This Row],[SUBTOTAL]]-PROVEEDORES[[#This Row],[descuento antes de IVA]])*VLOOKUP(PROVEEDORES[[#This Row],[PROVEEDOR]],TERCEROS_INFO[#All],3,FALSE)</f>
        <v>523670.4</v>
      </c>
      <c r="N1361" s="25"/>
      <c r="O1361" s="24">
        <f>+PROVEEDORES[[#This Row],[Descuento sobre subtotal %]]*(PROVEEDORES[[#This Row],[SUBTOTAL]]-PROVEEDORES[[#This Row],[descuento antes de IVA]])</f>
        <v>0</v>
      </c>
      <c r="P1361" s="136">
        <f>+IF(PROVEEDORES[[#This Row],[SUBTOTAL]]&lt;PROVEEDORES[[#This Row],[base retencion]],0,PROVEEDORES[[#This Row],[retención aplicada]])</f>
        <v>0</v>
      </c>
      <c r="Q1361" s="24">
        <f>+PROVEEDORES[[#This Row],[Rete Fuente %]]*PROVEEDORES[[#This Row],[SUBTOTAL]]</f>
        <v>0</v>
      </c>
      <c r="R1361" s="23">
        <f>+PROVEEDORES[[#This Row],[SUBTOTAL]]+PROVEEDORES[[#This Row],[IVA 19%]]-PROVEEDORES[[#This Row],[descuento antes de IVA]]-PROVEEDORES[[#This Row],[Descuento sobre subtotal $]]-PROVEEDORES[[#This Row],[Rete Fuente $]]</f>
        <v>3279830.4</v>
      </c>
      <c r="S1361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61" s="99">
        <f ca="1">IF(PROVEEDORES[[#This Row],[FECHA DE PAGO]]=0,TODAY()-PROVEEDORES[[#This Row],[FECHA DE FACTURACIÓN]]-PROVEEDORES[[#This Row],[PLAZO Días]],0)</f>
        <v>1</v>
      </c>
      <c r="U1361" s="149">
        <f>+VLOOKUP(PROVEEDORES[[#This Row],[PROVEEDOR]],Terceros!$A:$E,5,FALSE)</f>
        <v>0</v>
      </c>
      <c r="V1361" s="150">
        <f>+YEAR(PROVEEDORES[[#This Row],[FECHA DE FACTURACIÓN]])</f>
        <v>2022</v>
      </c>
      <c r="W1361" s="150">
        <f>+MATCH(PROVEEDORES[[#This Row],[año facturado]],Retenciones!$1:$1,0)</f>
        <v>5</v>
      </c>
      <c r="X1361" s="151">
        <f>+VLOOKUP(PROVEEDORES[[#This Row],[ID RETENCION]],Retenciones!$A$1:$O$24,PROVEEDORES[[#This Row],[indicador de columna]],FALSE)</f>
        <v>0</v>
      </c>
      <c r="Y1361" s="152">
        <f>+VLOOKUP(PROVEEDORES[[#This Row],[ID RETENCION]],Retenciones!$A$1:$O$24,2,FALSE)</f>
        <v>0</v>
      </c>
      <c r="Z1361" s="26"/>
      <c r="AA1361" s="26"/>
      <c r="AB1361" s="26"/>
      <c r="AC1361" s="26"/>
      <c r="AD1361" s="26"/>
      <c r="AE1361" s="26"/>
    </row>
    <row r="1362" spans="1:31" ht="21.95" customHeight="1" x14ac:dyDescent="0.25">
      <c r="A1362" s="97" t="str">
        <f>+IF(PROVEEDORES[[#This Row],[FECHA DE PAGO]]=PROVEEDORES[[#This Row],[FECHA DE FACTURACIÓN]],"DE CONTADO","CRÉDITO")</f>
        <v>CRÉDITO</v>
      </c>
      <c r="B1362" s="41" t="b">
        <f>+IF((PROVEEDORES[[#This Row],[FECHA DE PAGO]]-PROVEEDORES[[#This Row],[FECHA DE FACTURACIÓN]])&gt;PROVEEDORES[[#This Row],[PLAZO Días]],"PAGO VENCIDO")</f>
        <v>0</v>
      </c>
      <c r="C1362" s="22">
        <f>+VLOOKUP(PROVEEDORES[[#This Row],[PROVEEDOR]],TERCEROS_INFO[#All],2,FALSE)</f>
        <v>10</v>
      </c>
      <c r="D1362" s="27">
        <f>+SUMIFS(PROVEEDORES[Total],PROVEEDORES[PROVEEDOR],PROVEEDORES[[#This Row],[PROVEEDOR]],PROVEEDORES[FECHA DE PAGO],"")</f>
        <v>0</v>
      </c>
      <c r="E1362" s="27"/>
      <c r="F1362" s="62" t="str">
        <f>+VLOOKUP(PROVEEDORES[[#This Row],[PROVEEDOR]],
                       Terceros!$A:$G,
                       6,
                       FALSE)</f>
        <v/>
      </c>
      <c r="G1362" s="95">
        <v>44649</v>
      </c>
      <c r="H1362" s="28" t="s">
        <v>23</v>
      </c>
      <c r="I1362" s="95">
        <v>44640</v>
      </c>
      <c r="J1362" s="38">
        <v>289692</v>
      </c>
      <c r="K1362" s="23">
        <v>17000987.710000001</v>
      </c>
      <c r="L1362" s="23"/>
      <c r="M1362" s="24">
        <v>0</v>
      </c>
      <c r="N1362" s="25"/>
      <c r="O1362" s="24">
        <v>0</v>
      </c>
      <c r="P1362" s="136">
        <f>+IF(PROVEEDORES[[#This Row],[SUBTOTAL]]&lt;PROVEEDORES[[#This Row],[base retencion]],0,PROVEEDORES[[#This Row],[retención aplicada]])</f>
        <v>0</v>
      </c>
      <c r="Q1362" s="24">
        <f>+PROVEEDORES[[#This Row],[Rete Fuente %]]*PROVEEDORES[[#This Row],[SUBTOTAL]]</f>
        <v>0</v>
      </c>
      <c r="R1362" s="23">
        <v>17000987.710000001</v>
      </c>
      <c r="S136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2" s="99">
        <f ca="1">IF(PROVEEDORES[[#This Row],[FECHA DE PAGO]]=0,TODAY()-PROVEEDORES[[#This Row],[FECHA DE FACTURACIÓN]]-PROVEEDORES[[#This Row],[PLAZO Días]],0)</f>
        <v>0</v>
      </c>
      <c r="U1362" s="149">
        <f>+VLOOKUP(PROVEEDORES[[#This Row],[PROVEEDOR]],Terceros!$A:$E,5,FALSE)</f>
        <v>0</v>
      </c>
      <c r="V1362" s="150">
        <f>+YEAR(PROVEEDORES[[#This Row],[FECHA DE FACTURACIÓN]])</f>
        <v>2022</v>
      </c>
      <c r="W1362" s="150">
        <f>+MATCH(PROVEEDORES[[#This Row],[año facturado]],Retenciones!$1:$1,0)</f>
        <v>5</v>
      </c>
      <c r="X1362" s="151">
        <f>+VLOOKUP(PROVEEDORES[[#This Row],[ID RETENCION]],Retenciones!$A$1:$O$24,PROVEEDORES[[#This Row],[indicador de columna]],FALSE)</f>
        <v>0</v>
      </c>
      <c r="Y1362" s="152">
        <f>+VLOOKUP(PROVEEDORES[[#This Row],[ID RETENCION]],Retenciones!$A$1:$O$24,2,FALSE)</f>
        <v>0</v>
      </c>
      <c r="Z1362" s="26"/>
      <c r="AA1362" s="26"/>
      <c r="AB1362" s="26"/>
      <c r="AC1362" s="26"/>
      <c r="AD1362" s="26"/>
      <c r="AE1362" s="26"/>
    </row>
    <row r="1363" spans="1:31" ht="21.95" customHeight="1" x14ac:dyDescent="0.25">
      <c r="A1363" s="97" t="str">
        <f>+IF(PROVEEDORES[[#This Row],[FECHA DE PAGO]]=PROVEEDORES[[#This Row],[FECHA DE FACTURACIÓN]],"DE CONTADO","CRÉDITO")</f>
        <v>CRÉDITO</v>
      </c>
      <c r="B1363" s="41" t="b">
        <f>+IF((PROVEEDORES[[#This Row],[FECHA DE PAGO]]-PROVEEDORES[[#This Row],[FECHA DE FACTURACIÓN]])&gt;PROVEEDORES[[#This Row],[PLAZO Días]],"PAGO VENCIDO")</f>
        <v>0</v>
      </c>
      <c r="C1363" s="22">
        <f>+VLOOKUP(PROVEEDORES[[#This Row],[PROVEEDOR]],TERCEROS_INFO[#All],2,FALSE)</f>
        <v>30</v>
      </c>
      <c r="D1363" s="27">
        <f>+SUMIFS(PROVEEDORES[Total],PROVEEDORES[PROVEEDOR],PROVEEDORES[[#This Row],[PROVEEDOR]],PROVEEDORES[FECHA DE PAGO],"")</f>
        <v>367873.4</v>
      </c>
      <c r="E1363" s="27"/>
      <c r="F1363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1363" s="95">
        <v>44643</v>
      </c>
      <c r="H1363" s="28" t="s">
        <v>120</v>
      </c>
      <c r="I1363" s="95">
        <v>44641</v>
      </c>
      <c r="J1363" s="38" t="s">
        <v>1132</v>
      </c>
      <c r="K1363" s="23">
        <v>1793000</v>
      </c>
      <c r="L1363" s="23"/>
      <c r="M1363" s="24">
        <v>0</v>
      </c>
      <c r="N1363" s="25"/>
      <c r="O1363" s="24">
        <v>0</v>
      </c>
      <c r="P1363" s="136">
        <f>+IF(PROVEEDORES[[#This Row],[SUBTOTAL]]&lt;PROVEEDORES[[#This Row],[base retencion]],0,PROVEEDORES[[#This Row],[retención aplicada]])</f>
        <v>0</v>
      </c>
      <c r="Q1363" s="24">
        <f>+PROVEEDORES[[#This Row],[Rete Fuente %]]*PROVEEDORES[[#This Row],[SUBTOTAL]]</f>
        <v>0</v>
      </c>
      <c r="R1363" s="23">
        <v>1793000</v>
      </c>
      <c r="S136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3" s="99">
        <f ca="1">IF(PROVEEDORES[[#This Row],[FECHA DE PAGO]]=0,TODAY()-PROVEEDORES[[#This Row],[FECHA DE FACTURACIÓN]]-PROVEEDORES[[#This Row],[PLAZO Días]],0)</f>
        <v>0</v>
      </c>
      <c r="U1363" s="149">
        <f>+VLOOKUP(PROVEEDORES[[#This Row],[PROVEEDOR]],Terceros!$A:$E,5,FALSE)</f>
        <v>0</v>
      </c>
      <c r="V1363" s="150">
        <f>+YEAR(PROVEEDORES[[#This Row],[FECHA DE FACTURACIÓN]])</f>
        <v>2022</v>
      </c>
      <c r="W1363" s="150">
        <f>+MATCH(PROVEEDORES[[#This Row],[año facturado]],Retenciones!$1:$1,0)</f>
        <v>5</v>
      </c>
      <c r="X1363" s="151">
        <f>+VLOOKUP(PROVEEDORES[[#This Row],[ID RETENCION]],Retenciones!$A$1:$O$24,PROVEEDORES[[#This Row],[indicador de columna]],FALSE)</f>
        <v>0</v>
      </c>
      <c r="Y1363" s="152">
        <f>+VLOOKUP(PROVEEDORES[[#This Row],[ID RETENCION]],Retenciones!$A$1:$O$24,2,FALSE)</f>
        <v>0</v>
      </c>
      <c r="Z1363" s="26"/>
      <c r="AA1363" s="26"/>
      <c r="AB1363" s="26"/>
      <c r="AC1363" s="26"/>
      <c r="AD1363" s="26"/>
      <c r="AE1363" s="26"/>
    </row>
    <row r="1364" spans="1:31" ht="21.95" customHeight="1" x14ac:dyDescent="0.25">
      <c r="A1364" s="97" t="str">
        <f>+IF(PROVEEDORES[[#This Row],[FECHA DE PAGO]]=PROVEEDORES[[#This Row],[FECHA DE FACTURACIÓN]],"DE CONTADO","CRÉDITO")</f>
        <v>CRÉDITO</v>
      </c>
      <c r="B1364" s="41" t="b">
        <f>+IF((PROVEEDORES[[#This Row],[FECHA DE PAGO]]-PROVEEDORES[[#This Row],[FECHA DE FACTURACIÓN]])&gt;PROVEEDORES[[#This Row],[PLAZO Días]],"PAGO VENCIDO")</f>
        <v>0</v>
      </c>
      <c r="C1364" s="22">
        <f>+VLOOKUP(PROVEEDORES[[#This Row],[PROVEEDOR]],TERCEROS_INFO[#All],2,FALSE)</f>
        <v>30</v>
      </c>
      <c r="D1364" s="27">
        <f>+SUMIFS(PROVEEDORES[Total],PROVEEDORES[PROVEEDOR],PROVEEDORES[[#This Row],[PROVEEDOR]],PROVEEDORES[FECHA DE PAGO],"")</f>
        <v>0</v>
      </c>
      <c r="E1364" s="27"/>
      <c r="F1364" s="62" t="str">
        <f>+VLOOKUP(PROVEEDORES[[#This Row],[PROVEEDOR]],
                       Terceros!$A:$G,
                       6,
                       FALSE)</f>
        <v/>
      </c>
      <c r="G1364" s="95">
        <v>44643</v>
      </c>
      <c r="H1364" s="28" t="s">
        <v>56</v>
      </c>
      <c r="I1364" s="95">
        <v>44641</v>
      </c>
      <c r="J1364" s="38">
        <v>56143</v>
      </c>
      <c r="K1364" s="23">
        <v>10531000</v>
      </c>
      <c r="L1364" s="23"/>
      <c r="M1364" s="24">
        <v>0</v>
      </c>
      <c r="N1364" s="25"/>
      <c r="O1364" s="24">
        <v>0</v>
      </c>
      <c r="P1364" s="136">
        <f>+IF(PROVEEDORES[[#This Row],[SUBTOTAL]]&lt;PROVEEDORES[[#This Row],[base retencion]],0,PROVEEDORES[[#This Row],[retención aplicada]])</f>
        <v>0</v>
      </c>
      <c r="Q1364" s="24">
        <f>+PROVEEDORES[[#This Row],[Rete Fuente %]]*PROVEEDORES[[#This Row],[SUBTOTAL]]</f>
        <v>0</v>
      </c>
      <c r="R1364" s="23">
        <v>10531000</v>
      </c>
      <c r="S136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4" s="99">
        <f ca="1">IF(PROVEEDORES[[#This Row],[FECHA DE PAGO]]=0,TODAY()-PROVEEDORES[[#This Row],[FECHA DE FACTURACIÓN]]-PROVEEDORES[[#This Row],[PLAZO Días]],0)</f>
        <v>0</v>
      </c>
      <c r="U1364" s="149">
        <f>+VLOOKUP(PROVEEDORES[[#This Row],[PROVEEDOR]],Terceros!$A:$E,5,FALSE)</f>
        <v>0</v>
      </c>
      <c r="V1364" s="150">
        <f>+YEAR(PROVEEDORES[[#This Row],[FECHA DE FACTURACIÓN]])</f>
        <v>2022</v>
      </c>
      <c r="W1364" s="150">
        <f>+MATCH(PROVEEDORES[[#This Row],[año facturado]],Retenciones!$1:$1,0)</f>
        <v>5</v>
      </c>
      <c r="X1364" s="151">
        <f>+VLOOKUP(PROVEEDORES[[#This Row],[ID RETENCION]],Retenciones!$A$1:$O$24,PROVEEDORES[[#This Row],[indicador de columna]],FALSE)</f>
        <v>0</v>
      </c>
      <c r="Y1364" s="152">
        <f>+VLOOKUP(PROVEEDORES[[#This Row],[ID RETENCION]],Retenciones!$A$1:$O$24,2,FALSE)</f>
        <v>0</v>
      </c>
      <c r="Z1364" s="26"/>
      <c r="AA1364" s="26"/>
      <c r="AB1364" s="26"/>
      <c r="AC1364" s="26"/>
      <c r="AD1364" s="26"/>
      <c r="AE1364" s="26"/>
    </row>
    <row r="1365" spans="1:31" ht="21.95" customHeight="1" x14ac:dyDescent="0.25">
      <c r="A1365" s="97" t="str">
        <f>+IF(PROVEEDORES[[#This Row],[FECHA DE PAGO]]=PROVEEDORES[[#This Row],[FECHA DE FACTURACIÓN]],"DE CONTADO","CRÉDITO")</f>
        <v>CRÉDITO</v>
      </c>
      <c r="B1365" s="41" t="b">
        <f>+IF((PROVEEDORES[[#This Row],[FECHA DE PAGO]]-PROVEEDORES[[#This Row],[FECHA DE FACTURACIÓN]])&gt;PROVEEDORES[[#This Row],[PLAZO Días]],"PAGO VENCIDO")</f>
        <v>0</v>
      </c>
      <c r="C1365" s="22">
        <f>+VLOOKUP(PROVEEDORES[[#This Row],[PROVEEDOR]],TERCEROS_INFO[#All],2,FALSE)</f>
        <v>30</v>
      </c>
      <c r="D1365" s="27">
        <f>+SUMIFS(PROVEEDORES[Total],PROVEEDORES[PROVEEDOR],PROVEEDORES[[#This Row],[PROVEEDOR]],PROVEEDORES[FECHA DE PAGO],"")</f>
        <v>0</v>
      </c>
      <c r="E1365" s="27"/>
      <c r="F1365" s="62" t="str">
        <f>+VLOOKUP(PROVEEDORES[[#This Row],[PROVEEDOR]],
                       Terceros!$A:$G,
                       6,
                       FALSE)</f>
        <v/>
      </c>
      <c r="G1365" s="95">
        <v>44643</v>
      </c>
      <c r="H1365" s="28" t="s">
        <v>1001</v>
      </c>
      <c r="I1365" s="95">
        <v>44642</v>
      </c>
      <c r="J1365" s="38" t="s">
        <v>1006</v>
      </c>
      <c r="K1365" s="23">
        <v>4891000</v>
      </c>
      <c r="L1365" s="23"/>
      <c r="M1365" s="24">
        <v>0</v>
      </c>
      <c r="N1365" s="25"/>
      <c r="O1365" s="24">
        <v>0</v>
      </c>
      <c r="P1365" s="136">
        <f>+IF(PROVEEDORES[[#This Row],[SUBTOTAL]]&lt;PROVEEDORES[[#This Row],[base retencion]],0,PROVEEDORES[[#This Row],[retención aplicada]])</f>
        <v>0</v>
      </c>
      <c r="Q1365" s="24">
        <f>+PROVEEDORES[[#This Row],[Rete Fuente %]]*PROVEEDORES[[#This Row],[SUBTOTAL]]</f>
        <v>0</v>
      </c>
      <c r="R1365" s="23">
        <v>4891000</v>
      </c>
      <c r="S136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5" s="99">
        <f ca="1">IF(PROVEEDORES[[#This Row],[FECHA DE PAGO]]=0,TODAY()-PROVEEDORES[[#This Row],[FECHA DE FACTURACIÓN]]-PROVEEDORES[[#This Row],[PLAZO Días]],0)</f>
        <v>0</v>
      </c>
      <c r="U1365" s="149">
        <f>+VLOOKUP(PROVEEDORES[[#This Row],[PROVEEDOR]],Terceros!$A:$E,5,FALSE)</f>
        <v>0</v>
      </c>
      <c r="V1365" s="150">
        <f>+YEAR(PROVEEDORES[[#This Row],[FECHA DE FACTURACIÓN]])</f>
        <v>2022</v>
      </c>
      <c r="W1365" s="150">
        <f>+MATCH(PROVEEDORES[[#This Row],[año facturado]],Retenciones!$1:$1,0)</f>
        <v>5</v>
      </c>
      <c r="X1365" s="151">
        <f>+VLOOKUP(PROVEEDORES[[#This Row],[ID RETENCION]],Retenciones!$A$1:$O$24,PROVEEDORES[[#This Row],[indicador de columna]],FALSE)</f>
        <v>0</v>
      </c>
      <c r="Y1365" s="152">
        <f>+VLOOKUP(PROVEEDORES[[#This Row],[ID RETENCION]],Retenciones!$A$1:$O$24,2,FALSE)</f>
        <v>0</v>
      </c>
      <c r="Z1365" s="26"/>
      <c r="AA1365" s="26"/>
      <c r="AB1365" s="26"/>
      <c r="AC1365" s="26"/>
      <c r="AD1365" s="26"/>
      <c r="AE1365" s="26"/>
    </row>
    <row r="1366" spans="1:31" ht="21.95" customHeight="1" x14ac:dyDescent="0.25">
      <c r="A1366" s="97" t="str">
        <f>+IF(PROVEEDORES[[#This Row],[FECHA DE PAGO]]=PROVEEDORES[[#This Row],[FECHA DE FACTURACIÓN]],"DE CONTADO","CRÉDITO")</f>
        <v>DE CONTADO</v>
      </c>
      <c r="B1366" s="41" t="b">
        <f>+IF((PROVEEDORES[[#This Row],[FECHA DE PAGO]]-PROVEEDORES[[#This Row],[FECHA DE FACTURACIÓN]])&gt;PROVEEDORES[[#This Row],[PLAZO Días]],"PAGO VENCIDO")</f>
        <v>0</v>
      </c>
      <c r="C1366" s="22">
        <f>+VLOOKUP(PROVEEDORES[[#This Row],[PROVEEDOR]],TERCEROS_INFO[#All],2,FALSE)</f>
        <v>30</v>
      </c>
      <c r="D1366" s="27">
        <f>+SUMIFS(PROVEEDORES[Total],PROVEEDORES[PROVEEDOR],PROVEEDORES[[#This Row],[PROVEEDOR]],PROVEEDORES[FECHA DE PAGO],"")</f>
        <v>0</v>
      </c>
      <c r="E1366" s="27"/>
      <c r="F1366" s="62" t="str">
        <f>+VLOOKUP(PROVEEDORES[[#This Row],[PROVEEDOR]],
                       Terceros!$A:$G,
                       6,
                       FALSE)</f>
        <v/>
      </c>
      <c r="G1366" s="95">
        <v>44643</v>
      </c>
      <c r="H1366" s="28" t="s">
        <v>1031</v>
      </c>
      <c r="I1366" s="95">
        <v>44643</v>
      </c>
      <c r="J1366" s="38" t="s">
        <v>1035</v>
      </c>
      <c r="K1366" s="23">
        <v>240000</v>
      </c>
      <c r="L1366" s="23"/>
      <c r="M1366" s="24">
        <v>0</v>
      </c>
      <c r="N1366" s="25"/>
      <c r="O1366" s="24">
        <v>0</v>
      </c>
      <c r="P1366" s="136">
        <f>+IF(PROVEEDORES[[#This Row],[SUBTOTAL]]&lt;PROVEEDORES[[#This Row],[base retencion]],0,PROVEEDORES[[#This Row],[retención aplicada]])</f>
        <v>0</v>
      </c>
      <c r="Q1366" s="24">
        <f>+PROVEEDORES[[#This Row],[Rete Fuente %]]*PROVEEDORES[[#This Row],[SUBTOTAL]]</f>
        <v>0</v>
      </c>
      <c r="R1366" s="23">
        <v>240000</v>
      </c>
      <c r="S136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6" s="99">
        <f ca="1">IF(PROVEEDORES[[#This Row],[FECHA DE PAGO]]=0,TODAY()-PROVEEDORES[[#This Row],[FECHA DE FACTURACIÓN]]-PROVEEDORES[[#This Row],[PLAZO Días]],0)</f>
        <v>0</v>
      </c>
      <c r="U1366" s="149">
        <f>+VLOOKUP(PROVEEDORES[[#This Row],[PROVEEDOR]],Terceros!$A:$E,5,FALSE)</f>
        <v>0</v>
      </c>
      <c r="V1366" s="150">
        <f>+YEAR(PROVEEDORES[[#This Row],[FECHA DE FACTURACIÓN]])</f>
        <v>2022</v>
      </c>
      <c r="W1366" s="150">
        <f>+MATCH(PROVEEDORES[[#This Row],[año facturado]],Retenciones!$1:$1,0)</f>
        <v>5</v>
      </c>
      <c r="X1366" s="151">
        <f>+VLOOKUP(PROVEEDORES[[#This Row],[ID RETENCION]],Retenciones!$A$1:$O$24,PROVEEDORES[[#This Row],[indicador de columna]],FALSE)</f>
        <v>0</v>
      </c>
      <c r="Y1366" s="152">
        <f>+VLOOKUP(PROVEEDORES[[#This Row],[ID RETENCION]],Retenciones!$A$1:$O$24,2,FALSE)</f>
        <v>0</v>
      </c>
      <c r="Z1366" s="26"/>
      <c r="AA1366" s="26"/>
      <c r="AB1366" s="26"/>
      <c r="AC1366" s="26"/>
      <c r="AD1366" s="26"/>
      <c r="AE1366" s="26"/>
    </row>
    <row r="1367" spans="1:31" ht="21.95" customHeight="1" x14ac:dyDescent="0.25">
      <c r="A1367" s="97" t="str">
        <f>+IF(PROVEEDORES[[#This Row],[FECHA DE PAGO]]=PROVEEDORES[[#This Row],[FECHA DE FACTURACIÓN]],"DE CONTADO","CRÉDITO")</f>
        <v>CRÉDITO</v>
      </c>
      <c r="B1367" s="41" t="b">
        <f>+IF((PROVEEDORES[[#This Row],[FECHA DE PAGO]]-PROVEEDORES[[#This Row],[FECHA DE FACTURACIÓN]])&gt;PROVEEDORES[[#This Row],[PLAZO Días]],"PAGO VENCIDO")</f>
        <v>0</v>
      </c>
      <c r="C1367" s="22">
        <f>+VLOOKUP(PROVEEDORES[[#This Row],[PROVEEDOR]],TERCEROS_INFO[#All],2,FALSE)</f>
        <v>30</v>
      </c>
      <c r="D1367" s="27">
        <f>+SUMIFS(PROVEEDORES[Total],PROVEEDORES[PROVEEDOR],PROVEEDORES[[#This Row],[PROVEEDOR]],PROVEEDORES[FECHA DE PAGO],"")</f>
        <v>0</v>
      </c>
      <c r="E1367" s="27"/>
      <c r="F1367" s="62" t="str">
        <f>+VLOOKUP(PROVEEDORES[[#This Row],[PROVEEDOR]],
                       Terceros!$A:$G,
                       6,
                       FALSE)</f>
        <v/>
      </c>
      <c r="G1367" s="95">
        <v>44644</v>
      </c>
      <c r="H1367" s="28" t="s">
        <v>1001</v>
      </c>
      <c r="I1367" s="95">
        <v>44643</v>
      </c>
      <c r="J1367" s="38" t="s">
        <v>1117</v>
      </c>
      <c r="K1367" s="23">
        <v>425600</v>
      </c>
      <c r="L1367" s="23"/>
      <c r="M1367" s="24">
        <v>0</v>
      </c>
      <c r="N1367" s="25"/>
      <c r="O1367" s="24">
        <v>0</v>
      </c>
      <c r="P1367" s="136">
        <f>+IF(PROVEEDORES[[#This Row],[SUBTOTAL]]&lt;PROVEEDORES[[#This Row],[base retencion]],0,PROVEEDORES[[#This Row],[retención aplicada]])</f>
        <v>0</v>
      </c>
      <c r="Q1367" s="24">
        <f>+PROVEEDORES[[#This Row],[Rete Fuente %]]*PROVEEDORES[[#This Row],[SUBTOTAL]]</f>
        <v>0</v>
      </c>
      <c r="R1367" s="23">
        <v>425600</v>
      </c>
      <c r="S136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7" s="99">
        <f ca="1">IF(PROVEEDORES[[#This Row],[FECHA DE PAGO]]=0,TODAY()-PROVEEDORES[[#This Row],[FECHA DE FACTURACIÓN]]-PROVEEDORES[[#This Row],[PLAZO Días]],0)</f>
        <v>0</v>
      </c>
      <c r="U1367" s="149">
        <f>+VLOOKUP(PROVEEDORES[[#This Row],[PROVEEDOR]],Terceros!$A:$E,5,FALSE)</f>
        <v>0</v>
      </c>
      <c r="V1367" s="150">
        <f>+YEAR(PROVEEDORES[[#This Row],[FECHA DE FACTURACIÓN]])</f>
        <v>2022</v>
      </c>
      <c r="W1367" s="150">
        <f>+MATCH(PROVEEDORES[[#This Row],[año facturado]],Retenciones!$1:$1,0)</f>
        <v>5</v>
      </c>
      <c r="X1367" s="151">
        <f>+VLOOKUP(PROVEEDORES[[#This Row],[ID RETENCION]],Retenciones!$A$1:$O$24,PROVEEDORES[[#This Row],[indicador de columna]],FALSE)</f>
        <v>0</v>
      </c>
      <c r="Y1367" s="152">
        <f>+VLOOKUP(PROVEEDORES[[#This Row],[ID RETENCION]],Retenciones!$A$1:$O$24,2,FALSE)</f>
        <v>0</v>
      </c>
      <c r="Z1367" s="26"/>
      <c r="AA1367" s="26"/>
      <c r="AB1367" s="26"/>
      <c r="AC1367" s="26"/>
      <c r="AD1367" s="26"/>
      <c r="AE1367" s="26"/>
    </row>
    <row r="1368" spans="1:31" ht="21.95" customHeight="1" x14ac:dyDescent="0.25">
      <c r="A1368" s="97" t="str">
        <f>+IF(PROVEEDORES[[#This Row],[FECHA DE PAGO]]=PROVEEDORES[[#This Row],[FECHA DE FACTURACIÓN]],"DE CONTADO","CRÉDITO")</f>
        <v>DE CONTADO</v>
      </c>
      <c r="B1368" s="41" t="b">
        <f>+IF((PROVEEDORES[[#This Row],[FECHA DE PAGO]]-PROVEEDORES[[#This Row],[FECHA DE FACTURACIÓN]])&gt;PROVEEDORES[[#This Row],[PLAZO Días]],"PAGO VENCIDO")</f>
        <v>0</v>
      </c>
      <c r="C1368" s="22">
        <f>+VLOOKUP(PROVEEDORES[[#This Row],[PROVEEDOR]],TERCEROS_INFO[#All],2,FALSE)</f>
        <v>30</v>
      </c>
      <c r="D1368" s="27">
        <f>+SUMIFS(PROVEEDORES[Total],PROVEEDORES[PROVEEDOR],PROVEEDORES[[#This Row],[PROVEEDOR]],PROVEEDORES[FECHA DE PAGO],"")</f>
        <v>0</v>
      </c>
      <c r="E1368" s="27"/>
      <c r="F1368" s="62">
        <f>+VLOOKUP(PROVEEDORES[[#This Row],[PROVEEDOR]],
                       Terceros!$A:$G,
                       6,
                       FALSE)</f>
        <v>0</v>
      </c>
      <c r="G1368" s="95">
        <v>44644</v>
      </c>
      <c r="H1368" s="28" t="s">
        <v>1008</v>
      </c>
      <c r="I1368" s="95">
        <v>44644</v>
      </c>
      <c r="J1368" s="38">
        <v>101134</v>
      </c>
      <c r="K1368" s="23">
        <v>255000</v>
      </c>
      <c r="L1368" s="23"/>
      <c r="M1368" s="24">
        <v>0</v>
      </c>
      <c r="N1368" s="25"/>
      <c r="O1368" s="24">
        <v>0</v>
      </c>
      <c r="P1368" s="136">
        <f>+IF(PROVEEDORES[[#This Row],[SUBTOTAL]]&lt;PROVEEDORES[[#This Row],[base retencion]],0,PROVEEDORES[[#This Row],[retención aplicada]])</f>
        <v>0</v>
      </c>
      <c r="Q1368" s="24">
        <f>+PROVEEDORES[[#This Row],[Rete Fuente %]]*PROVEEDORES[[#This Row],[SUBTOTAL]]</f>
        <v>0</v>
      </c>
      <c r="R1368" s="23">
        <v>255000</v>
      </c>
      <c r="S136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8" s="99">
        <f ca="1">IF(PROVEEDORES[[#This Row],[FECHA DE PAGO]]=0,TODAY()-PROVEEDORES[[#This Row],[FECHA DE FACTURACIÓN]]-PROVEEDORES[[#This Row],[PLAZO Días]],0)</f>
        <v>0</v>
      </c>
      <c r="U1368" s="149">
        <f>+VLOOKUP(PROVEEDORES[[#This Row],[PROVEEDOR]],Terceros!$A:$E,5,FALSE)</f>
        <v>0</v>
      </c>
      <c r="V1368" s="150">
        <f>+YEAR(PROVEEDORES[[#This Row],[FECHA DE FACTURACIÓN]])</f>
        <v>2022</v>
      </c>
      <c r="W1368" s="150">
        <f>+MATCH(PROVEEDORES[[#This Row],[año facturado]],Retenciones!$1:$1,0)</f>
        <v>5</v>
      </c>
      <c r="X1368" s="151">
        <f>+VLOOKUP(PROVEEDORES[[#This Row],[ID RETENCION]],Retenciones!$A$1:$O$24,PROVEEDORES[[#This Row],[indicador de columna]],FALSE)</f>
        <v>0</v>
      </c>
      <c r="Y1368" s="152">
        <f>+VLOOKUP(PROVEEDORES[[#This Row],[ID RETENCION]],Retenciones!$A$1:$O$24,2,FALSE)</f>
        <v>0</v>
      </c>
      <c r="Z1368" s="26"/>
      <c r="AA1368" s="26"/>
      <c r="AB1368" s="26"/>
      <c r="AC1368" s="26"/>
      <c r="AD1368" s="26"/>
      <c r="AE1368" s="26"/>
    </row>
    <row r="1369" spans="1:31" ht="21.95" customHeight="1" x14ac:dyDescent="0.25">
      <c r="A1369" s="97" t="str">
        <f>+IF(PROVEEDORES[[#This Row],[FECHA DE PAGO]]=PROVEEDORES[[#This Row],[FECHA DE FACTURACIÓN]],"DE CONTADO","CRÉDITO")</f>
        <v>CRÉDITO</v>
      </c>
      <c r="B1369" s="41" t="b">
        <f>+IF((PROVEEDORES[[#This Row],[FECHA DE PAGO]]-PROVEEDORES[[#This Row],[FECHA DE FACTURACIÓN]])&gt;PROVEEDORES[[#This Row],[PLAZO Días]],"PAGO VENCIDO")</f>
        <v>0</v>
      </c>
      <c r="C1369" s="22">
        <f>+VLOOKUP(PROVEEDORES[[#This Row],[PROVEEDOR]],TERCEROS_INFO[#All],2,FALSE)</f>
        <v>90</v>
      </c>
      <c r="D1369" s="27">
        <f>+SUMIFS(PROVEEDORES[Total],PROVEEDORES[PROVEEDOR],PROVEEDORES[[#This Row],[PROVEEDOR]],PROVEEDORES[FECHA DE PAGO],"")</f>
        <v>28052953.019999996</v>
      </c>
      <c r="E1369" s="27"/>
      <c r="F1369" s="62" t="str">
        <f>+VLOOKUP(PROVEEDORES[[#This Row],[PROVEEDOR]],
                       Terceros!$A:$G,
                       6,
                       FALSE)</f>
        <v>criszapata1234@gmail.com;girlesa.ruiz@servipilas.com;joriescobar64@gmail.com</v>
      </c>
      <c r="H1369" s="28" t="s">
        <v>78</v>
      </c>
      <c r="I1369" s="95">
        <v>44639</v>
      </c>
      <c r="J1369" s="38" t="s">
        <v>1118</v>
      </c>
      <c r="K1369" s="23">
        <v>23357104</v>
      </c>
      <c r="L1369" s="23"/>
      <c r="M1369" s="24">
        <f>(PROVEEDORES[[#This Row],[SUBTOTAL]]-PROVEEDORES[[#This Row],[descuento antes de IVA]])*VLOOKUP(PROVEEDORES[[#This Row],[PROVEEDOR]],TERCEROS_INFO[#All],3,FALSE)</f>
        <v>4437849.76</v>
      </c>
      <c r="N1369" s="25"/>
      <c r="O1369" s="24">
        <f>+PROVEEDORES[[#This Row],[Descuento sobre subtotal %]]*(PROVEEDORES[[#This Row],[SUBTOTAL]]-PROVEEDORES[[#This Row],[descuento antes de IVA]])</f>
        <v>0</v>
      </c>
      <c r="P1369" s="136">
        <f>+IF(PROVEEDORES[[#This Row],[SUBTOTAL]]&lt;PROVEEDORES[[#This Row],[base retencion]],0,PROVEEDORES[[#This Row],[retención aplicada]])</f>
        <v>2.5000000000000001E-2</v>
      </c>
      <c r="Q1369" s="24">
        <f>+PROVEEDORES[[#This Row],[Rete Fuente %]]*PROVEEDORES[[#This Row],[SUBTOTAL]]</f>
        <v>583927.6</v>
      </c>
      <c r="R1369" s="23">
        <f>+PROVEEDORES[[#This Row],[SUBTOTAL]]+PROVEEDORES[[#This Row],[IVA 19%]]-PROVEEDORES[[#This Row],[descuento antes de IVA]]-PROVEEDORES[[#This Row],[Descuento sobre subtotal $]]-PROVEEDORES[[#This Row],[Rete Fuente $]]</f>
        <v>27211026.159999996</v>
      </c>
      <c r="S1369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369" s="99">
        <f ca="1">IF(PROVEEDORES[[#This Row],[FECHA DE PAGO]]=0,TODAY()-PROVEEDORES[[#This Row],[FECHA DE FACTURACIÓN]]-PROVEEDORES[[#This Row],[PLAZO Días]],0)</f>
        <v>-45</v>
      </c>
      <c r="U1369" s="149" t="str">
        <f>+VLOOKUP(PROVEEDORES[[#This Row],[PROVEEDOR]],Terceros!$A:$E,5,FALSE)</f>
        <v>2,5% con base</v>
      </c>
      <c r="V1369" s="150">
        <f>+YEAR(PROVEEDORES[[#This Row],[FECHA DE FACTURACIÓN]])</f>
        <v>2022</v>
      </c>
      <c r="W1369" s="150">
        <f>+MATCH(PROVEEDORES[[#This Row],[año facturado]],Retenciones!$1:$1,0)</f>
        <v>5</v>
      </c>
      <c r="X1369" s="151">
        <f>+VLOOKUP(PROVEEDORES[[#This Row],[ID RETENCION]],Retenciones!$A$1:$O$24,PROVEEDORES[[#This Row],[indicador de columna]],FALSE)</f>
        <v>1026000</v>
      </c>
      <c r="Y1369" s="152">
        <f>+VLOOKUP(PROVEEDORES[[#This Row],[ID RETENCION]],Retenciones!$A$1:$O$24,2,FALSE)</f>
        <v>2.5000000000000001E-2</v>
      </c>
      <c r="Z1369" s="26"/>
      <c r="AA1369" s="26"/>
      <c r="AB1369" s="26"/>
      <c r="AC1369" s="26"/>
      <c r="AD1369" s="26"/>
      <c r="AE1369" s="26"/>
    </row>
    <row r="1370" spans="1:31" ht="21.95" customHeight="1" x14ac:dyDescent="0.25">
      <c r="A1370" s="97" t="str">
        <f>+IF(PROVEEDORES[[#This Row],[FECHA DE PAGO]]=PROVEEDORES[[#This Row],[FECHA DE FACTURACIÓN]],"DE CONTADO","CRÉDITO")</f>
        <v>CRÉDITO</v>
      </c>
      <c r="B1370" s="41" t="str">
        <f>+IF((PROVEEDORES[[#This Row],[FECHA DE PAGO]]-PROVEEDORES[[#This Row],[FECHA DE FACTURACIÓN]])&gt;PROVEEDORES[[#This Row],[PLAZO Días]],"PAGO VENCIDO")</f>
        <v>PAGO VENCIDO</v>
      </c>
      <c r="C1370" s="22">
        <f>+VLOOKUP(PROVEEDORES[[#This Row],[PROVEEDOR]],TERCEROS_INFO[#All],2,FALSE)</f>
        <v>30</v>
      </c>
      <c r="D1370" s="27">
        <f>+SUMIFS(PROVEEDORES[Total],PROVEEDORES[PROVEEDOR],PROVEEDORES[[#This Row],[PROVEEDOR]],PROVEEDORES[FECHA DE PAGO],"")</f>
        <v>2588352.5</v>
      </c>
      <c r="E1370" s="27"/>
      <c r="F1370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1370" s="95">
        <v>44684</v>
      </c>
      <c r="H1370" s="28" t="s">
        <v>1088</v>
      </c>
      <c r="I1370" s="95">
        <v>44644</v>
      </c>
      <c r="J1370" s="38">
        <v>25131</v>
      </c>
      <c r="K1370" s="23">
        <v>297600</v>
      </c>
      <c r="L1370" s="23">
        <v>29760</v>
      </c>
      <c r="M1370" s="24">
        <f>(PROVEEDORES[[#This Row],[SUBTOTAL]]-PROVEEDORES[[#This Row],[descuento antes de IVA]])*VLOOKUP(PROVEEDORES[[#This Row],[PROVEEDOR]],TERCEROS_INFO[#All],3,FALSE)</f>
        <v>50889.599999999999</v>
      </c>
      <c r="N1370" s="25"/>
      <c r="O1370" s="24">
        <f>+PROVEEDORES[[#This Row],[Descuento sobre subtotal %]]*(PROVEEDORES[[#This Row],[SUBTOTAL]]-PROVEEDORES[[#This Row],[descuento antes de IVA]])</f>
        <v>0</v>
      </c>
      <c r="P1370" s="136">
        <f>+IF(PROVEEDORES[[#This Row],[SUBTOTAL]]&lt;PROVEEDORES[[#This Row],[base retencion]],0,PROVEEDORES[[#This Row],[retención aplicada]])</f>
        <v>0</v>
      </c>
      <c r="Q1370" s="24">
        <f>+PROVEEDORES[[#This Row],[Rete Fuente %]]*PROVEEDORES[[#This Row],[SUBTOTAL]]</f>
        <v>0</v>
      </c>
      <c r="R1370" s="23">
        <f>+PROVEEDORES[[#This Row],[SUBTOTAL]]+PROVEEDORES[[#This Row],[IVA 19%]]-PROVEEDORES[[#This Row],[descuento antes de IVA]]-PROVEEDORES[[#This Row],[Descuento sobre subtotal $]]-PROVEEDORES[[#This Row],[Rete Fuente $]]</f>
        <v>318729.59999999998</v>
      </c>
      <c r="S137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0" s="99">
        <f ca="1">IF(PROVEEDORES[[#This Row],[FECHA DE PAGO]]=0,TODAY()-PROVEEDORES[[#This Row],[FECHA DE FACTURACIÓN]]-PROVEEDORES[[#This Row],[PLAZO Días]],0)</f>
        <v>0</v>
      </c>
      <c r="U1370" s="149" t="str">
        <f>+VLOOKUP(PROVEEDORES[[#This Row],[PROVEEDOR]],Terceros!$A:$E,5,FALSE)</f>
        <v>2,5% con base</v>
      </c>
      <c r="V1370" s="150">
        <f>+YEAR(PROVEEDORES[[#This Row],[FECHA DE FACTURACIÓN]])</f>
        <v>2022</v>
      </c>
      <c r="W1370" s="150">
        <f>+MATCH(PROVEEDORES[[#This Row],[año facturado]],Retenciones!$1:$1,0)</f>
        <v>5</v>
      </c>
      <c r="X1370" s="151">
        <f>+VLOOKUP(PROVEEDORES[[#This Row],[ID RETENCION]],Retenciones!$A$1:$O$24,PROVEEDORES[[#This Row],[indicador de columna]],FALSE)</f>
        <v>1026000</v>
      </c>
      <c r="Y1370" s="152">
        <f>+VLOOKUP(PROVEEDORES[[#This Row],[ID RETENCION]],Retenciones!$A$1:$O$24,2,FALSE)</f>
        <v>2.5000000000000001E-2</v>
      </c>
      <c r="Z1370" s="26"/>
      <c r="AA1370" s="26"/>
      <c r="AB1370" s="26"/>
      <c r="AC1370" s="26"/>
      <c r="AD1370" s="26"/>
      <c r="AE1370" s="26"/>
    </row>
    <row r="1371" spans="1:31" ht="21.95" customHeight="1" x14ac:dyDescent="0.25">
      <c r="A1371" s="97" t="str">
        <f>+IF(PROVEEDORES[[#This Row],[FECHA DE PAGO]]=PROVEEDORES[[#This Row],[FECHA DE FACTURACIÓN]],"DE CONTADO","CRÉDITO")</f>
        <v>CRÉDITO</v>
      </c>
      <c r="B1371" s="41" t="b">
        <f>+IF((PROVEEDORES[[#This Row],[FECHA DE PAGO]]-PROVEEDORES[[#This Row],[FECHA DE FACTURACIÓN]])&gt;PROVEEDORES[[#This Row],[PLAZO Días]],"PAGO VENCIDO")</f>
        <v>0</v>
      </c>
      <c r="C1371" s="22">
        <f>+VLOOKUP(PROVEEDORES[[#This Row],[PROVEEDOR]],TERCEROS_INFO[#All],2,FALSE)</f>
        <v>30</v>
      </c>
      <c r="D1371" s="27">
        <f>+SUMIFS(PROVEEDORES[Total],PROVEEDORES[PROVEEDOR],PROVEEDORES[[#This Row],[PROVEEDOR]],PROVEEDORES[FECHA DE PAGO],"")</f>
        <v>1860500</v>
      </c>
      <c r="E1371" s="27"/>
      <c r="F1371" s="62" t="str">
        <f>+VLOOKUP(PROVEEDORES[[#This Row],[PROVEEDOR]],
                       Terceros!$A:$G,
                       6,
                       FALSE)</f>
        <v/>
      </c>
      <c r="H1371" s="28" t="s">
        <v>1064</v>
      </c>
      <c r="I1371" s="95">
        <v>44644</v>
      </c>
      <c r="J1371" s="38" t="s">
        <v>1115</v>
      </c>
      <c r="K1371" s="23">
        <v>1645000</v>
      </c>
      <c r="L1371" s="23"/>
      <c r="M1371" s="24">
        <f>(PROVEEDORES[[#This Row],[SUBTOTAL]]-PROVEEDORES[[#This Row],[descuento antes de IVA]])*VLOOKUP(PROVEEDORES[[#This Row],[PROVEEDOR]],TERCEROS_INFO[#All],3,FALSE)</f>
        <v>0</v>
      </c>
      <c r="N1371" s="25"/>
      <c r="O1371" s="24">
        <f>+PROVEEDORES[[#This Row],[Descuento sobre subtotal %]]*(PROVEEDORES[[#This Row],[SUBTOTAL]]-PROVEEDORES[[#This Row],[descuento antes de IVA]])</f>
        <v>0</v>
      </c>
      <c r="P1371" s="136">
        <f>+IF(PROVEEDORES[[#This Row],[SUBTOTAL]]&lt;PROVEEDORES[[#This Row],[base retencion]],0,PROVEEDORES[[#This Row],[retención aplicada]])</f>
        <v>0</v>
      </c>
      <c r="Q1371" s="24">
        <f>+PROVEEDORES[[#This Row],[Rete Fuente %]]*PROVEEDORES[[#This Row],[SUBTOTAL]]</f>
        <v>0</v>
      </c>
      <c r="R1371" s="23">
        <f>+PROVEEDORES[[#This Row],[SUBTOTAL]]+PROVEEDORES[[#This Row],[IVA 19%]]-PROVEEDORES[[#This Row],[descuento antes de IVA]]-PROVEEDORES[[#This Row],[Descuento sobre subtotal $]]-PROVEEDORES[[#This Row],[Rete Fuente $]]</f>
        <v>1645000</v>
      </c>
      <c r="S1371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71" s="99">
        <f ca="1">IF(PROVEEDORES[[#This Row],[FECHA DE PAGO]]=0,TODAY()-PROVEEDORES[[#This Row],[FECHA DE FACTURACIÓN]]-PROVEEDORES[[#This Row],[PLAZO Días]],0)</f>
        <v>10</v>
      </c>
      <c r="U1371" s="149">
        <f>+VLOOKUP(PROVEEDORES[[#This Row],[PROVEEDOR]],Terceros!$A:$E,5,FALSE)</f>
        <v>0</v>
      </c>
      <c r="V1371" s="150">
        <f>+YEAR(PROVEEDORES[[#This Row],[FECHA DE FACTURACIÓN]])</f>
        <v>2022</v>
      </c>
      <c r="W1371" s="150">
        <f>+MATCH(PROVEEDORES[[#This Row],[año facturado]],Retenciones!$1:$1,0)</f>
        <v>5</v>
      </c>
      <c r="X1371" s="151">
        <f>+VLOOKUP(PROVEEDORES[[#This Row],[ID RETENCION]],Retenciones!$A$1:$O$24,PROVEEDORES[[#This Row],[indicador de columna]],FALSE)</f>
        <v>0</v>
      </c>
      <c r="Y1371" s="152">
        <f>+VLOOKUP(PROVEEDORES[[#This Row],[ID RETENCION]],Retenciones!$A$1:$O$24,2,FALSE)</f>
        <v>0</v>
      </c>
      <c r="Z1371" s="26"/>
      <c r="AA1371" s="26"/>
      <c r="AB1371" s="26"/>
      <c r="AC1371" s="26"/>
      <c r="AD1371" s="26"/>
      <c r="AE1371" s="26"/>
    </row>
    <row r="1372" spans="1:31" ht="21.95" customHeight="1" x14ac:dyDescent="0.25">
      <c r="A1372" s="97" t="str">
        <f>+IF(PROVEEDORES[[#This Row],[FECHA DE PAGO]]=PROVEEDORES[[#This Row],[FECHA DE FACTURACIÓN]],"DE CONTADO","CRÉDITO")</f>
        <v>CRÉDITO</v>
      </c>
      <c r="B1372" s="41" t="b">
        <f>+IF((PROVEEDORES[[#This Row],[FECHA DE PAGO]]-PROVEEDORES[[#This Row],[FECHA DE FACTURACIÓN]])&gt;PROVEEDORES[[#This Row],[PLAZO Días]],"PAGO VENCIDO")</f>
        <v>0</v>
      </c>
      <c r="C1372" s="22">
        <f>+VLOOKUP(PROVEEDORES[[#This Row],[PROVEEDOR]],TERCEROS_INFO[#All],2,FALSE)</f>
        <v>30</v>
      </c>
      <c r="D1372" s="27">
        <f>+SUMIFS(PROVEEDORES[Total],PROVEEDORES[PROVEEDOR],PROVEEDORES[[#This Row],[PROVEEDOR]],PROVEEDORES[FECHA DE PAGO],"")</f>
        <v>195500</v>
      </c>
      <c r="E1372" s="27"/>
      <c r="F1372" s="62" t="str">
        <f>+VLOOKUP(PROVEEDORES[[#This Row],[PROVEEDOR]],
                       Terceros!$A:$G,
                       6,
                       FALSE)</f>
        <v/>
      </c>
      <c r="H1372" s="28" t="s">
        <v>1047</v>
      </c>
      <c r="I1372" s="95">
        <v>44645</v>
      </c>
      <c r="J1372" s="38" t="s">
        <v>1108</v>
      </c>
      <c r="K1372" s="23">
        <v>106000</v>
      </c>
      <c r="L1372" s="23"/>
      <c r="M1372" s="24">
        <f>(PROVEEDORES[[#This Row],[SUBTOTAL]]-PROVEEDORES[[#This Row],[descuento antes de IVA]])*VLOOKUP(PROVEEDORES[[#This Row],[PROVEEDOR]],TERCEROS_INFO[#All],3,FALSE)</f>
        <v>0</v>
      </c>
      <c r="N1372" s="25"/>
      <c r="O1372" s="24">
        <f>+PROVEEDORES[[#This Row],[Descuento sobre subtotal %]]*(PROVEEDORES[[#This Row],[SUBTOTAL]]-PROVEEDORES[[#This Row],[descuento antes de IVA]])</f>
        <v>0</v>
      </c>
      <c r="P1372" s="136">
        <f>+IF(PROVEEDORES[[#This Row],[SUBTOTAL]]&lt;PROVEEDORES[[#This Row],[base retencion]],0,PROVEEDORES[[#This Row],[retención aplicada]])</f>
        <v>0</v>
      </c>
      <c r="Q1372" s="24">
        <f>+PROVEEDORES[[#This Row],[Rete Fuente %]]*PROVEEDORES[[#This Row],[SUBTOTAL]]</f>
        <v>0</v>
      </c>
      <c r="R1372" s="23">
        <f>+PROVEEDORES[[#This Row],[SUBTOTAL]]+PROVEEDORES[[#This Row],[IVA 19%]]-PROVEEDORES[[#This Row],[descuento antes de IVA]]-PROVEEDORES[[#This Row],[Descuento sobre subtotal $]]-PROVEEDORES[[#This Row],[Rete Fuente $]]</f>
        <v>106000</v>
      </c>
      <c r="S1372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72" s="99">
        <f ca="1">IF(PROVEEDORES[[#This Row],[FECHA DE PAGO]]=0,TODAY()-PROVEEDORES[[#This Row],[FECHA DE FACTURACIÓN]]-PROVEEDORES[[#This Row],[PLAZO Días]],0)</f>
        <v>9</v>
      </c>
      <c r="U1372" s="149">
        <f>+VLOOKUP(PROVEEDORES[[#This Row],[PROVEEDOR]],Terceros!$A:$E,5,FALSE)</f>
        <v>0</v>
      </c>
      <c r="V1372" s="150">
        <f>+YEAR(PROVEEDORES[[#This Row],[FECHA DE FACTURACIÓN]])</f>
        <v>2022</v>
      </c>
      <c r="W1372" s="150">
        <f>+MATCH(PROVEEDORES[[#This Row],[año facturado]],Retenciones!$1:$1,0)</f>
        <v>5</v>
      </c>
      <c r="X1372" s="151">
        <f>+VLOOKUP(PROVEEDORES[[#This Row],[ID RETENCION]],Retenciones!$A$1:$O$24,PROVEEDORES[[#This Row],[indicador de columna]],FALSE)</f>
        <v>0</v>
      </c>
      <c r="Y1372" s="152">
        <f>+VLOOKUP(PROVEEDORES[[#This Row],[ID RETENCION]],Retenciones!$A$1:$O$24,2,FALSE)</f>
        <v>0</v>
      </c>
      <c r="Z1372" s="26"/>
      <c r="AA1372" s="26"/>
      <c r="AB1372" s="26"/>
      <c r="AC1372" s="26"/>
      <c r="AD1372" s="26"/>
      <c r="AE1372" s="26"/>
    </row>
    <row r="1373" spans="1:31" ht="21.95" customHeight="1" x14ac:dyDescent="0.25">
      <c r="A1373" s="97" t="str">
        <f>+IF(PROVEEDORES[[#This Row],[FECHA DE PAGO]]=PROVEEDORES[[#This Row],[FECHA DE FACTURACIÓN]],"DE CONTADO","CRÉDITO")</f>
        <v>CRÉDITO</v>
      </c>
      <c r="B1373" s="41" t="str">
        <f>+IF((PROVEEDORES[[#This Row],[FECHA DE PAGO]]-PROVEEDORES[[#This Row],[FECHA DE FACTURACIÓN]])&gt;PROVEEDORES[[#This Row],[PLAZO Días]],"PAGO VENCIDO")</f>
        <v>PAGO VENCIDO</v>
      </c>
      <c r="C1373" s="22">
        <f>+VLOOKUP(PROVEEDORES[[#This Row],[PROVEEDOR]],TERCEROS_INFO[#All],2,FALSE)</f>
        <v>30</v>
      </c>
      <c r="D1373" s="27">
        <f>+SUMIFS(PROVEEDORES[Total],PROVEEDORES[PROVEEDOR],PROVEEDORES[[#This Row],[PROVEEDOR]],PROVEEDORES[FECHA DE PAGO],"")</f>
        <v>3844432.4999000002</v>
      </c>
      <c r="E1373" s="27"/>
      <c r="F1373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G1373" s="95">
        <v>44684</v>
      </c>
      <c r="H1373" s="28" t="s">
        <v>18</v>
      </c>
      <c r="I1373" s="95">
        <v>44645</v>
      </c>
      <c r="J1373" s="38">
        <v>1051505</v>
      </c>
      <c r="K1373" s="23">
        <v>713143.68</v>
      </c>
      <c r="L1373" s="23"/>
      <c r="M1373" s="24">
        <f>(PROVEEDORES[[#This Row],[SUBTOTAL]]-PROVEEDORES[[#This Row],[descuento antes de IVA]])*VLOOKUP(PROVEEDORES[[#This Row],[PROVEEDOR]],TERCEROS_INFO[#All],3,FALSE)</f>
        <v>135497.29920000001</v>
      </c>
      <c r="N1373" s="25"/>
      <c r="O1373" s="24">
        <f>+PROVEEDORES[[#This Row],[Descuento sobre subtotal %]]*(PROVEEDORES[[#This Row],[SUBTOTAL]]-PROVEEDORES[[#This Row],[descuento antes de IVA]])</f>
        <v>0</v>
      </c>
      <c r="P1373" s="136">
        <f>+IF(PROVEEDORES[[#This Row],[SUBTOTAL]]&lt;PROVEEDORES[[#This Row],[base retencion]],0,PROVEEDORES[[#This Row],[retención aplicada]])</f>
        <v>0</v>
      </c>
      <c r="Q1373" s="24">
        <f>+PROVEEDORES[[#This Row],[Rete Fuente %]]*PROVEEDORES[[#This Row],[SUBTOTAL]]</f>
        <v>0</v>
      </c>
      <c r="R1373" s="23">
        <f>+PROVEEDORES[[#This Row],[SUBTOTAL]]+PROVEEDORES[[#This Row],[IVA 19%]]-PROVEEDORES[[#This Row],[descuento antes de IVA]]-PROVEEDORES[[#This Row],[Descuento sobre subtotal $]]-PROVEEDORES[[#This Row],[Rete Fuente $]]</f>
        <v>848640.97920000006</v>
      </c>
      <c r="S137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3" s="99">
        <f ca="1">IF(PROVEEDORES[[#This Row],[FECHA DE PAGO]]=0,TODAY()-PROVEEDORES[[#This Row],[FECHA DE FACTURACIÓN]]-PROVEEDORES[[#This Row],[PLAZO Días]],0)</f>
        <v>0</v>
      </c>
      <c r="U1373" s="149" t="str">
        <f>+VLOOKUP(PROVEEDORES[[#This Row],[PROVEEDOR]],Terceros!$A:$E,5,FALSE)</f>
        <v>2,5% con base</v>
      </c>
      <c r="V1373" s="150">
        <f>+YEAR(PROVEEDORES[[#This Row],[FECHA DE FACTURACIÓN]])</f>
        <v>2022</v>
      </c>
      <c r="W1373" s="150">
        <f>+MATCH(PROVEEDORES[[#This Row],[año facturado]],Retenciones!$1:$1,0)</f>
        <v>5</v>
      </c>
      <c r="X1373" s="151">
        <f>+VLOOKUP(PROVEEDORES[[#This Row],[ID RETENCION]],Retenciones!$A$1:$O$24,PROVEEDORES[[#This Row],[indicador de columna]],FALSE)</f>
        <v>1026000</v>
      </c>
      <c r="Y1373" s="152">
        <f>+VLOOKUP(PROVEEDORES[[#This Row],[ID RETENCION]],Retenciones!$A$1:$O$24,2,FALSE)</f>
        <v>2.5000000000000001E-2</v>
      </c>
      <c r="Z1373" s="26"/>
      <c r="AA1373" s="26"/>
      <c r="AB1373" s="26"/>
      <c r="AC1373" s="26"/>
      <c r="AD1373" s="26"/>
      <c r="AE1373" s="26"/>
    </row>
    <row r="1374" spans="1:31" ht="21.95" customHeight="1" x14ac:dyDescent="0.25">
      <c r="A1374" s="97" t="str">
        <f>+IF(PROVEEDORES[[#This Row],[FECHA DE PAGO]]=PROVEEDORES[[#This Row],[FECHA DE FACTURACIÓN]],"DE CONTADO","CRÉDITO")</f>
        <v>CRÉDITO</v>
      </c>
      <c r="B1374" s="41" t="b">
        <f>+IF((PROVEEDORES[[#This Row],[FECHA DE PAGO]]-PROVEEDORES[[#This Row],[FECHA DE FACTURACIÓN]])&gt;PROVEEDORES[[#This Row],[PLAZO Días]],"PAGO VENCIDO")</f>
        <v>0</v>
      </c>
      <c r="C1374" s="22">
        <f>+VLOOKUP(PROVEEDORES[[#This Row],[PROVEEDOR]],TERCEROS_INFO[#All],2,FALSE)</f>
        <v>30</v>
      </c>
      <c r="D1374" s="27">
        <f>+SUMIFS(PROVEEDORES[Total],PROVEEDORES[PROVEEDOR],PROVEEDORES[[#This Row],[PROVEEDOR]],PROVEEDORES[FECHA DE PAGO],"")</f>
        <v>1741040.075</v>
      </c>
      <c r="E1374" s="27"/>
      <c r="F1374" s="62" t="str">
        <f>+VLOOKUP(PROVEEDORES[[#This Row],[PROVEEDOR]],
                       Terceros!$A:$G,
                       6,
                       FALSE)</f>
        <v>sfonnegra@nanicastation.com.co;facturas@nanicastation.com.co;girlesa.ruiz@servipilas.com;joriescobar64@gmail.com</v>
      </c>
      <c r="H1374" s="28" t="s">
        <v>567</v>
      </c>
      <c r="I1374" s="95">
        <v>44646</v>
      </c>
      <c r="J1374" s="38" t="s">
        <v>1107</v>
      </c>
      <c r="K1374" s="23">
        <v>1494455</v>
      </c>
      <c r="L1374" s="23"/>
      <c r="M1374" s="24">
        <f>(PROVEEDORES[[#This Row],[SUBTOTAL]]-PROVEEDORES[[#This Row],[descuento antes de IVA]])*VLOOKUP(PROVEEDORES[[#This Row],[PROVEEDOR]],TERCEROS_INFO[#All],3,FALSE)</f>
        <v>283946.45</v>
      </c>
      <c r="N1374" s="25"/>
      <c r="O1374" s="24">
        <f>+PROVEEDORES[[#This Row],[Descuento sobre subtotal %]]*(PROVEEDORES[[#This Row],[SUBTOTAL]]-PROVEEDORES[[#This Row],[descuento antes de IVA]])</f>
        <v>0</v>
      </c>
      <c r="P1374" s="136">
        <f>+IF(PROVEEDORES[[#This Row],[SUBTOTAL]]&lt;PROVEEDORES[[#This Row],[base retencion]],0,PROVEEDORES[[#This Row],[retención aplicada]])</f>
        <v>2.5000000000000001E-2</v>
      </c>
      <c r="Q1374" s="24">
        <f>+PROVEEDORES[[#This Row],[Rete Fuente %]]*PROVEEDORES[[#This Row],[SUBTOTAL]]</f>
        <v>37361.375</v>
      </c>
      <c r="R1374" s="23">
        <f>+PROVEEDORES[[#This Row],[SUBTOTAL]]+PROVEEDORES[[#This Row],[IVA 19%]]-PROVEEDORES[[#This Row],[descuento antes de IVA]]-PROVEEDORES[[#This Row],[Descuento sobre subtotal $]]-PROVEEDORES[[#This Row],[Rete Fuente $]]</f>
        <v>1741040.075</v>
      </c>
      <c r="S1374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74" s="99">
        <f ca="1">IF(PROVEEDORES[[#This Row],[FECHA DE PAGO]]=0,TODAY()-PROVEEDORES[[#This Row],[FECHA DE FACTURACIÓN]]-PROVEEDORES[[#This Row],[PLAZO Días]],0)</f>
        <v>8</v>
      </c>
      <c r="U1374" s="149" t="str">
        <f>+VLOOKUP(PROVEEDORES[[#This Row],[PROVEEDOR]],Terceros!$A:$E,5,FALSE)</f>
        <v>2,5% con base</v>
      </c>
      <c r="V1374" s="150">
        <f>+YEAR(PROVEEDORES[[#This Row],[FECHA DE FACTURACIÓN]])</f>
        <v>2022</v>
      </c>
      <c r="W1374" s="150">
        <f>+MATCH(PROVEEDORES[[#This Row],[año facturado]],Retenciones!$1:$1,0)</f>
        <v>5</v>
      </c>
      <c r="X1374" s="151">
        <f>+VLOOKUP(PROVEEDORES[[#This Row],[ID RETENCION]],Retenciones!$A$1:$O$24,PROVEEDORES[[#This Row],[indicador de columna]],FALSE)</f>
        <v>1026000</v>
      </c>
      <c r="Y1374" s="152">
        <f>+VLOOKUP(PROVEEDORES[[#This Row],[ID RETENCION]],Retenciones!$A$1:$O$24,2,FALSE)</f>
        <v>2.5000000000000001E-2</v>
      </c>
      <c r="Z1374" s="26"/>
      <c r="AA1374" s="26"/>
      <c r="AB1374" s="26"/>
      <c r="AC1374" s="26"/>
      <c r="AD1374" s="26"/>
      <c r="AE1374" s="26"/>
    </row>
    <row r="1375" spans="1:31" ht="21.95" customHeight="1" x14ac:dyDescent="0.25">
      <c r="A1375" s="97" t="str">
        <f>+IF(PROVEEDORES[[#This Row],[FECHA DE PAGO]]=PROVEEDORES[[#This Row],[FECHA DE FACTURACIÓN]],"DE CONTADO","CRÉDITO")</f>
        <v>CRÉDITO</v>
      </c>
      <c r="B1375" s="41" t="b">
        <f>+IF((PROVEEDORES[[#This Row],[FECHA DE PAGO]]-PROVEEDORES[[#This Row],[FECHA DE FACTURACIÓN]])&gt;PROVEEDORES[[#This Row],[PLAZO Días]],"PAGO VENCIDO")</f>
        <v>0</v>
      </c>
      <c r="C1375" s="22">
        <f>+VLOOKUP(PROVEEDORES[[#This Row],[PROVEEDOR]],TERCEROS_INFO[#All],2,FALSE)</f>
        <v>30</v>
      </c>
      <c r="D1375" s="27">
        <f>+SUMIFS(PROVEEDORES[Total],PROVEEDORES[PROVEEDOR],PROVEEDORES[[#This Row],[PROVEEDOR]],PROVEEDORES[FECHA DE PAGO],"")</f>
        <v>3355018.0749999997</v>
      </c>
      <c r="E1375" s="27"/>
      <c r="F1375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H1375" s="28" t="s">
        <v>222</v>
      </c>
      <c r="I1375" s="95">
        <v>44648</v>
      </c>
      <c r="J1375" s="38">
        <v>556</v>
      </c>
      <c r="K1375" s="23">
        <v>352941</v>
      </c>
      <c r="L1375" s="23"/>
      <c r="M1375" s="24">
        <f>(PROVEEDORES[[#This Row],[SUBTOTAL]]-PROVEEDORES[[#This Row],[descuento antes de IVA]])*VLOOKUP(PROVEEDORES[[#This Row],[PROVEEDOR]],TERCEROS_INFO[#All],3,FALSE)</f>
        <v>67058.789999999994</v>
      </c>
      <c r="N1375" s="25"/>
      <c r="O1375" s="24">
        <f>+PROVEEDORES[[#This Row],[Descuento sobre subtotal %]]*(PROVEEDORES[[#This Row],[SUBTOTAL]]-PROVEEDORES[[#This Row],[descuento antes de IVA]])</f>
        <v>0</v>
      </c>
      <c r="P1375" s="136">
        <f>+IF(PROVEEDORES[[#This Row],[SUBTOTAL]]&lt;PROVEEDORES[[#This Row],[base retencion]],0,PROVEEDORES[[#This Row],[retención aplicada]])</f>
        <v>0</v>
      </c>
      <c r="Q1375" s="24">
        <f>+PROVEEDORES[[#This Row],[Rete Fuente %]]*PROVEEDORES[[#This Row],[SUBTOTAL]]</f>
        <v>0</v>
      </c>
      <c r="R1375" s="23">
        <f>+PROVEEDORES[[#This Row],[SUBTOTAL]]+PROVEEDORES[[#This Row],[IVA 19%]]-PROVEEDORES[[#This Row],[descuento antes de IVA]]-PROVEEDORES[[#This Row],[Descuento sobre subtotal $]]-PROVEEDORES[[#This Row],[Rete Fuente $]]</f>
        <v>419999.79</v>
      </c>
      <c r="S1375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75" s="99">
        <f ca="1">IF(PROVEEDORES[[#This Row],[FECHA DE PAGO]]=0,TODAY()-PROVEEDORES[[#This Row],[FECHA DE FACTURACIÓN]]-PROVEEDORES[[#This Row],[PLAZO Días]],0)</f>
        <v>6</v>
      </c>
      <c r="U1375" s="149" t="str">
        <f>+VLOOKUP(PROVEEDORES[[#This Row],[PROVEEDOR]],Terceros!$A:$E,5,FALSE)</f>
        <v>2,5% con base</v>
      </c>
      <c r="V1375" s="150">
        <f>+YEAR(PROVEEDORES[[#This Row],[FECHA DE FACTURACIÓN]])</f>
        <v>2022</v>
      </c>
      <c r="W1375" s="150">
        <f>+MATCH(PROVEEDORES[[#This Row],[año facturado]],Retenciones!$1:$1,0)</f>
        <v>5</v>
      </c>
      <c r="X1375" s="151">
        <f>+VLOOKUP(PROVEEDORES[[#This Row],[ID RETENCION]],Retenciones!$A$1:$O$24,PROVEEDORES[[#This Row],[indicador de columna]],FALSE)</f>
        <v>1026000</v>
      </c>
      <c r="Y1375" s="152">
        <f>+VLOOKUP(PROVEEDORES[[#This Row],[ID RETENCION]],Retenciones!$A$1:$O$24,2,FALSE)</f>
        <v>2.5000000000000001E-2</v>
      </c>
      <c r="Z1375" s="26"/>
      <c r="AA1375" s="26"/>
      <c r="AB1375" s="26"/>
      <c r="AC1375" s="26"/>
      <c r="AD1375" s="26"/>
      <c r="AE1375" s="26"/>
    </row>
    <row r="1376" spans="1:31" ht="21.95" customHeight="1" x14ac:dyDescent="0.25">
      <c r="A1376" s="97" t="str">
        <f>+IF(PROVEEDORES[[#This Row],[FECHA DE PAGO]]=PROVEEDORES[[#This Row],[FECHA DE FACTURACIÓN]],"DE CONTADO","CRÉDITO")</f>
        <v>CRÉDITO</v>
      </c>
      <c r="B1376" s="41" t="b">
        <f>+IF((PROVEEDORES[[#This Row],[FECHA DE PAGO]]-PROVEEDORES[[#This Row],[FECHA DE FACTURACIÓN]])&gt;PROVEEDORES[[#This Row],[PLAZO Días]],"PAGO VENCIDO")</f>
        <v>0</v>
      </c>
      <c r="C1376" s="22">
        <f>+VLOOKUP(PROVEEDORES[[#This Row],[PROVEEDOR]],TERCEROS_INFO[#All],2,FALSE)</f>
        <v>30</v>
      </c>
      <c r="D1376" s="27">
        <f>+SUMIFS(PROVEEDORES[Total],PROVEEDORES[PROVEEDOR],PROVEEDORES[[#This Row],[PROVEEDOR]],PROVEEDORES[FECHA DE PAGO],"")</f>
        <v>0</v>
      </c>
      <c r="E1376" s="27"/>
      <c r="F1376" s="62" t="str">
        <f>+VLOOKUP(PROVEEDORES[[#This Row],[PROVEEDOR]],
                       Terceros!$A:$G,
                       6,
                       FALSE)</f>
        <v>globalpowerc2018@gmail.com;girlesa.ruiz@servipilas.com;joriescobar64@gmail.com</v>
      </c>
      <c r="G1376" s="95">
        <v>44673</v>
      </c>
      <c r="H1376" s="28" t="s">
        <v>479</v>
      </c>
      <c r="I1376" s="95">
        <v>44648</v>
      </c>
      <c r="J1376" s="38">
        <v>28</v>
      </c>
      <c r="K1376" s="23">
        <v>3480500</v>
      </c>
      <c r="L1376" s="23"/>
      <c r="M1376" s="24">
        <f>(PROVEEDORES[[#This Row],[SUBTOTAL]]-PROVEEDORES[[#This Row],[descuento antes de IVA]])*VLOOKUP(PROVEEDORES[[#This Row],[PROVEEDOR]],TERCEROS_INFO[#All],3,FALSE)</f>
        <v>661295</v>
      </c>
      <c r="N1376" s="25"/>
      <c r="O1376" s="24">
        <f>+PROVEEDORES[[#This Row],[Descuento sobre subtotal %]]*(PROVEEDORES[[#This Row],[SUBTOTAL]]-PROVEEDORES[[#This Row],[descuento antes de IVA]])</f>
        <v>0</v>
      </c>
      <c r="P1376" s="136">
        <f>+IF(PROVEEDORES[[#This Row],[SUBTOTAL]]&lt;PROVEEDORES[[#This Row],[base retencion]],0,PROVEEDORES[[#This Row],[retención aplicada]])</f>
        <v>2.5000000000000001E-2</v>
      </c>
      <c r="Q1376" s="24">
        <f>+PROVEEDORES[[#This Row],[Rete Fuente %]]*PROVEEDORES[[#This Row],[SUBTOTAL]]</f>
        <v>87012.5</v>
      </c>
      <c r="R1376" s="23">
        <f>+PROVEEDORES[[#This Row],[SUBTOTAL]]+PROVEEDORES[[#This Row],[IVA 19%]]-PROVEEDORES[[#This Row],[descuento antes de IVA]]-PROVEEDORES[[#This Row],[Descuento sobre subtotal $]]-PROVEEDORES[[#This Row],[Rete Fuente $]]</f>
        <v>4054782.5</v>
      </c>
      <c r="S137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6" s="99">
        <f ca="1">IF(PROVEEDORES[[#This Row],[FECHA DE PAGO]]=0,TODAY()-PROVEEDORES[[#This Row],[FECHA DE FACTURACIÓN]]-PROVEEDORES[[#This Row],[PLAZO Días]],0)</f>
        <v>0</v>
      </c>
      <c r="U1376" s="149" t="str">
        <f>+VLOOKUP(PROVEEDORES[[#This Row],[PROVEEDOR]],Terceros!$A:$E,5,FALSE)</f>
        <v>2,5% con base</v>
      </c>
      <c r="V1376" s="150">
        <f>+YEAR(PROVEEDORES[[#This Row],[FECHA DE FACTURACIÓN]])</f>
        <v>2022</v>
      </c>
      <c r="W1376" s="150">
        <f>+MATCH(PROVEEDORES[[#This Row],[año facturado]],Retenciones!$1:$1,0)</f>
        <v>5</v>
      </c>
      <c r="X1376" s="151">
        <f>+VLOOKUP(PROVEEDORES[[#This Row],[ID RETENCION]],Retenciones!$A$1:$O$24,PROVEEDORES[[#This Row],[indicador de columna]],FALSE)</f>
        <v>1026000</v>
      </c>
      <c r="Y1376" s="152">
        <f>+VLOOKUP(PROVEEDORES[[#This Row],[ID RETENCION]],Retenciones!$A$1:$O$24,2,FALSE)</f>
        <v>2.5000000000000001E-2</v>
      </c>
      <c r="Z1376" s="26"/>
      <c r="AA1376" s="26"/>
      <c r="AB1376" s="26"/>
      <c r="AC1376" s="26"/>
      <c r="AD1376" s="26"/>
      <c r="AE1376" s="26"/>
    </row>
    <row r="1377" spans="1:31" ht="21.95" customHeight="1" x14ac:dyDescent="0.25">
      <c r="A1377" s="97" t="str">
        <f>+IF(PROVEEDORES[[#This Row],[FECHA DE PAGO]]=PROVEEDORES[[#This Row],[FECHA DE FACTURACIÓN]],"DE CONTADO","CRÉDITO")</f>
        <v>CRÉDITO</v>
      </c>
      <c r="B1377" s="41" t="b">
        <f>+IF((PROVEEDORES[[#This Row],[FECHA DE PAGO]]-PROVEEDORES[[#This Row],[FECHA DE FACTURACIÓN]])&gt;PROVEEDORES[[#This Row],[PLAZO Días]],"PAGO VENCIDO")</f>
        <v>0</v>
      </c>
      <c r="C1377" s="22">
        <f>+VLOOKUP(PROVEEDORES[[#This Row],[PROVEEDOR]],TERCEROS_INFO[#All],2,FALSE)</f>
        <v>90</v>
      </c>
      <c r="D1377" s="27">
        <f>+SUMIFS(PROVEEDORES[Total],PROVEEDORES[PROVEEDOR],PROVEEDORES[[#This Row],[PROVEEDOR]],PROVEEDORES[FECHA DE PAGO],"")</f>
        <v>26364243.66155</v>
      </c>
      <c r="E1377" s="27"/>
      <c r="F1377" s="62" t="str">
        <f>+VLOOKUP(PROVEEDORES[[#This Row],[PROVEEDOR]],
                       Terceros!$A:$G,
                       6,
                       FALSE)</f>
        <v>javiergomez_72@hotmail.com ;girlesa.ruiz@servipilas.com;joriescobar64@gmail.com</v>
      </c>
      <c r="H1377" s="28" t="s">
        <v>12</v>
      </c>
      <c r="I1377" s="95">
        <v>44648</v>
      </c>
      <c r="J1377" s="38" t="s">
        <v>1096</v>
      </c>
      <c r="K1377" s="23">
        <v>22630252.07</v>
      </c>
      <c r="L1377" s="23"/>
      <c r="M1377" s="24">
        <f>(PROVEEDORES[[#This Row],[SUBTOTAL]]-PROVEEDORES[[#This Row],[descuento antes de IVA]])*VLOOKUP(PROVEEDORES[[#This Row],[PROVEEDOR]],TERCEROS_INFO[#All],3,FALSE)</f>
        <v>4299747.8932999996</v>
      </c>
      <c r="N1377" s="25"/>
      <c r="O1377" s="24">
        <f>+PROVEEDORES[[#This Row],[Descuento sobre subtotal %]]*(PROVEEDORES[[#This Row],[SUBTOTAL]]-PROVEEDORES[[#This Row],[descuento antes de IVA]])</f>
        <v>0</v>
      </c>
      <c r="P1377" s="136">
        <f>+IF(PROVEEDORES[[#This Row],[SUBTOTAL]]&lt;PROVEEDORES[[#This Row],[base retencion]],0,PROVEEDORES[[#This Row],[retención aplicada]])</f>
        <v>2.5000000000000001E-2</v>
      </c>
      <c r="Q1377" s="24">
        <f>+PROVEEDORES[[#This Row],[Rete Fuente %]]*PROVEEDORES[[#This Row],[SUBTOTAL]]</f>
        <v>565756.30174999998</v>
      </c>
      <c r="R1377" s="23">
        <f>+PROVEEDORES[[#This Row],[SUBTOTAL]]+PROVEEDORES[[#This Row],[IVA 19%]]-PROVEEDORES[[#This Row],[descuento antes de IVA]]-PROVEEDORES[[#This Row],[Descuento sobre subtotal $]]-PROVEEDORES[[#This Row],[Rete Fuente $]]</f>
        <v>26364243.66155</v>
      </c>
      <c r="S1377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377" s="99">
        <f ca="1">IF(PROVEEDORES[[#This Row],[FECHA DE PAGO]]=0,TODAY()-PROVEEDORES[[#This Row],[FECHA DE FACTURACIÓN]]-PROVEEDORES[[#This Row],[PLAZO Días]],0)</f>
        <v>-54</v>
      </c>
      <c r="U1377" s="149" t="str">
        <f>+VLOOKUP(PROVEEDORES[[#This Row],[PROVEEDOR]],Terceros!$A:$E,5,FALSE)</f>
        <v>2,5% con base</v>
      </c>
      <c r="V1377" s="150">
        <f>+YEAR(PROVEEDORES[[#This Row],[FECHA DE FACTURACIÓN]])</f>
        <v>2022</v>
      </c>
      <c r="W1377" s="150">
        <f>+MATCH(PROVEEDORES[[#This Row],[año facturado]],Retenciones!$1:$1,0)</f>
        <v>5</v>
      </c>
      <c r="X1377" s="151">
        <f>+VLOOKUP(PROVEEDORES[[#This Row],[ID RETENCION]],Retenciones!$A$1:$O$24,PROVEEDORES[[#This Row],[indicador de columna]],FALSE)</f>
        <v>1026000</v>
      </c>
      <c r="Y1377" s="152">
        <f>+VLOOKUP(PROVEEDORES[[#This Row],[ID RETENCION]],Retenciones!$A$1:$O$24,2,FALSE)</f>
        <v>2.5000000000000001E-2</v>
      </c>
      <c r="Z1377" s="26"/>
      <c r="AA1377" s="26"/>
      <c r="AB1377" s="26"/>
      <c r="AC1377" s="26"/>
      <c r="AD1377" s="26"/>
      <c r="AE1377" s="26"/>
    </row>
    <row r="1378" spans="1:31" ht="21.95" customHeight="1" x14ac:dyDescent="0.25">
      <c r="A1378" s="97" t="str">
        <f>+IF(PROVEEDORES[[#This Row],[FECHA DE PAGO]]=PROVEEDORES[[#This Row],[FECHA DE FACTURACIÓN]],"DE CONTADO","CRÉDITO")</f>
        <v>CRÉDITO</v>
      </c>
      <c r="B1378" s="41" t="b">
        <f>+IF((PROVEEDORES[[#This Row],[FECHA DE PAGO]]-PROVEEDORES[[#This Row],[FECHA DE FACTURACIÓN]])&gt;PROVEEDORES[[#This Row],[PLAZO Días]],"PAGO VENCIDO")</f>
        <v>0</v>
      </c>
      <c r="C1378" s="22">
        <f>+VLOOKUP(PROVEEDORES[[#This Row],[PROVEEDOR]],TERCEROS_INFO[#All],2,FALSE)</f>
        <v>30</v>
      </c>
      <c r="D1378" s="27">
        <f>+SUMIFS(PROVEEDORES[Total],PROVEEDORES[PROVEEDOR],PROVEEDORES[[#This Row],[PROVEEDOR]],PROVEEDORES[FECHA DE PAGO],"")</f>
        <v>936000</v>
      </c>
      <c r="E1378" s="27"/>
      <c r="F1378" s="62" t="str">
        <f>+VLOOKUP(PROVEEDORES[[#This Row],[PROVEEDOR]],
                       Terceros!$A:$G,
                       6,
                       FALSE)</f>
        <v>stabarbaradistronik@gmail.com;girlesa.ruiz@servipilas.com;joriescobar64@gmail.com</v>
      </c>
      <c r="G1378" s="95">
        <v>44656</v>
      </c>
      <c r="H1378" s="28" t="s">
        <v>1066</v>
      </c>
      <c r="I1378" s="95">
        <v>44649</v>
      </c>
      <c r="J1378" s="38" t="s">
        <v>1068</v>
      </c>
      <c r="K1378" s="23">
        <v>-1200000</v>
      </c>
      <c r="L1378" s="23"/>
      <c r="M1378" s="24">
        <v>0</v>
      </c>
      <c r="N1378" s="25"/>
      <c r="O1378" s="24">
        <v>0</v>
      </c>
      <c r="P1378" s="136">
        <f>+IF(PROVEEDORES[[#This Row],[SUBTOTAL]]&lt;PROVEEDORES[[#This Row],[base retencion]],0,PROVEEDORES[[#This Row],[retención aplicada]])</f>
        <v>0</v>
      </c>
      <c r="Q1378" s="24">
        <f>+PROVEEDORES[[#This Row],[Rete Fuente %]]*PROVEEDORES[[#This Row],[SUBTOTAL]]</f>
        <v>0</v>
      </c>
      <c r="R1378" s="23">
        <v>0</v>
      </c>
      <c r="S137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8" s="99">
        <f ca="1">IF(PROVEEDORES[[#This Row],[FECHA DE PAGO]]=0,TODAY()-PROVEEDORES[[#This Row],[FECHA DE FACTURACIÓN]]-PROVEEDORES[[#This Row],[PLAZO Días]],0)</f>
        <v>0</v>
      </c>
      <c r="U1378" s="149">
        <f>+VLOOKUP(PROVEEDORES[[#This Row],[PROVEEDOR]],Terceros!$A:$E,5,FALSE)</f>
        <v>0</v>
      </c>
      <c r="V1378" s="150">
        <f>+YEAR(PROVEEDORES[[#This Row],[FECHA DE FACTURACIÓN]])</f>
        <v>2022</v>
      </c>
      <c r="W1378" s="150">
        <f>+MATCH(PROVEEDORES[[#This Row],[año facturado]],Retenciones!$1:$1,0)</f>
        <v>5</v>
      </c>
      <c r="X1378" s="151">
        <f>+VLOOKUP(PROVEEDORES[[#This Row],[ID RETENCION]],Retenciones!$A$1:$O$24,PROVEEDORES[[#This Row],[indicador de columna]],FALSE)</f>
        <v>0</v>
      </c>
      <c r="Y1378" s="152">
        <f>+VLOOKUP(PROVEEDORES[[#This Row],[ID RETENCION]],Retenciones!$A$1:$O$24,2,FALSE)</f>
        <v>0</v>
      </c>
      <c r="Z1378" s="26"/>
      <c r="AA1378" s="26"/>
      <c r="AB1378" s="26"/>
      <c r="AC1378" s="26"/>
      <c r="AD1378" s="26"/>
      <c r="AE1378" s="26"/>
    </row>
    <row r="1379" spans="1:31" ht="21.95" customHeight="1" x14ac:dyDescent="0.25">
      <c r="A1379" s="97" t="str">
        <f>+IF(PROVEEDORES[[#This Row],[FECHA DE PAGO]]=PROVEEDORES[[#This Row],[FECHA DE FACTURACIÓN]],"DE CONTADO","CRÉDITO")</f>
        <v>CRÉDITO</v>
      </c>
      <c r="B1379" s="41" t="b">
        <f>+IF((PROVEEDORES[[#This Row],[FECHA DE PAGO]]-PROVEEDORES[[#This Row],[FECHA DE FACTURACIÓN]])&gt;PROVEEDORES[[#This Row],[PLAZO Días]],"PAGO VENCIDO")</f>
        <v>0</v>
      </c>
      <c r="C1379" s="22">
        <f>+VLOOKUP(PROVEEDORES[[#This Row],[PROVEEDOR]],TERCEROS_INFO[#All],2,FALSE)</f>
        <v>30</v>
      </c>
      <c r="D1379" s="27">
        <f>+SUMIFS(PROVEEDORES[Total],PROVEEDORES[PROVEEDOR],PROVEEDORES[[#This Row],[PROVEEDOR]],PROVEEDORES[FECHA DE PAGO],"")</f>
        <v>21832129.73</v>
      </c>
      <c r="E1379" s="27"/>
      <c r="F1379" s="62" t="str">
        <f>+VLOOKUP(PROVEEDORES[[#This Row],[PROVEEDOR]],
                       Terceros!$A:$G,
                       6,
                       FALSE)</f>
        <v>cartera1@grupostatur.com;girlesa.ruiz@servipilas.com;joriescobar64@gmail.com</v>
      </c>
      <c r="H1379" s="28" t="s">
        <v>9</v>
      </c>
      <c r="I1379" s="95">
        <v>44649</v>
      </c>
      <c r="J1379" s="38" t="s">
        <v>1253</v>
      </c>
      <c r="K1379" s="23">
        <v>-344533</v>
      </c>
      <c r="L1379" s="23"/>
      <c r="M1379" s="24">
        <v>0</v>
      </c>
      <c r="N1379" s="25"/>
      <c r="O1379" s="24">
        <f>+PROVEEDORES[[#This Row],[Descuento sobre subtotal %]]*(PROVEEDORES[[#This Row],[SUBTOTAL]]-PROVEEDORES[[#This Row],[descuento antes de IVA]])</f>
        <v>0</v>
      </c>
      <c r="P1379" s="136">
        <f>+IF(PROVEEDORES[[#This Row],[SUBTOTAL]]&lt;PROVEEDORES[[#This Row],[base retencion]],0,PROVEEDORES[[#This Row],[retención aplicada]])</f>
        <v>0</v>
      </c>
      <c r="Q1379" s="24">
        <f>+PROVEEDORES[[#This Row],[Rete Fuente %]]*PROVEEDORES[[#This Row],[SUBTOTAL]]</f>
        <v>0</v>
      </c>
      <c r="R1379" s="23">
        <f>+PROVEEDORES[[#This Row],[SUBTOTAL]]+PROVEEDORES[[#This Row],[IVA 19%]]-PROVEEDORES[[#This Row],[descuento antes de IVA]]-PROVEEDORES[[#This Row],[Descuento sobre subtotal $]]-PROVEEDORES[[#This Row],[Rete Fuente $]]</f>
        <v>-344533</v>
      </c>
      <c r="S1379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79" s="99">
        <f ca="1">IF(PROVEEDORES[[#This Row],[FECHA DE PAGO]]=0,TODAY()-PROVEEDORES[[#This Row],[FECHA DE FACTURACIÓN]]-PROVEEDORES[[#This Row],[PLAZO Días]],0)</f>
        <v>5</v>
      </c>
      <c r="U1379" s="149" t="str">
        <f>+VLOOKUP(PROVEEDORES[[#This Row],[PROVEEDOR]],Terceros!$A:$E,5,FALSE)</f>
        <v>2,5% con base</v>
      </c>
      <c r="V1379" s="150">
        <f>+YEAR(PROVEEDORES[[#This Row],[FECHA DE FACTURACIÓN]])</f>
        <v>2022</v>
      </c>
      <c r="W1379" s="150">
        <f>+MATCH(PROVEEDORES[[#This Row],[año facturado]],Retenciones!$1:$1,0)</f>
        <v>5</v>
      </c>
      <c r="X1379" s="151">
        <f>+VLOOKUP(PROVEEDORES[[#This Row],[ID RETENCION]],Retenciones!$A$1:$O$24,PROVEEDORES[[#This Row],[indicador de columna]],FALSE)</f>
        <v>1026000</v>
      </c>
      <c r="Y1379" s="152">
        <f>+VLOOKUP(PROVEEDORES[[#This Row],[ID RETENCION]],Retenciones!$A$1:$O$24,2,FALSE)</f>
        <v>2.5000000000000001E-2</v>
      </c>
      <c r="Z1379" s="26"/>
      <c r="AA1379" s="26"/>
      <c r="AB1379" s="26"/>
      <c r="AC1379" s="26"/>
      <c r="AD1379" s="26"/>
      <c r="AE1379" s="26"/>
    </row>
    <row r="1380" spans="1:31" ht="21.95" customHeight="1" x14ac:dyDescent="0.25">
      <c r="A1380" s="97" t="str">
        <f>+IF(PROVEEDORES[[#This Row],[FECHA DE PAGO]]=PROVEEDORES[[#This Row],[FECHA DE FACTURACIÓN]],"DE CONTADO","CRÉDITO")</f>
        <v>CRÉDITO</v>
      </c>
      <c r="B1380" s="41" t="b">
        <f>+IF((PROVEEDORES[[#This Row],[FECHA DE PAGO]]-PROVEEDORES[[#This Row],[FECHA DE FACTURACIÓN]])&gt;PROVEEDORES[[#This Row],[PLAZO Días]],"PAGO VENCIDO")</f>
        <v>0</v>
      </c>
      <c r="C1380" s="22">
        <f>+VLOOKUP(PROVEEDORES[[#This Row],[PROVEEDOR]],TERCEROS_INFO[#All],2,FALSE)</f>
        <v>30</v>
      </c>
      <c r="D1380" s="27">
        <f>+SUMIFS(PROVEEDORES[Total],PROVEEDORES[PROVEEDOR],PROVEEDORES[[#This Row],[PROVEEDOR]],PROVEEDORES[FECHA DE PAGO],"")</f>
        <v>936000</v>
      </c>
      <c r="E1380" s="27"/>
      <c r="F1380" s="62" t="str">
        <f>+VLOOKUP(PROVEEDORES[[#This Row],[PROVEEDOR]],
                       Terceros!$A:$G,
                       6,
                       FALSE)</f>
        <v>stabarbaradistronik@gmail.com;girlesa.ruiz@servipilas.com;joriescobar64@gmail.com</v>
      </c>
      <c r="H1380" s="28" t="s">
        <v>1066</v>
      </c>
      <c r="I1380" s="95">
        <v>44649</v>
      </c>
      <c r="J1380" s="38" t="s">
        <v>1095</v>
      </c>
      <c r="K1380" s="23">
        <v>936000</v>
      </c>
      <c r="L1380" s="23"/>
      <c r="M1380" s="24">
        <f>(PROVEEDORES[[#This Row],[SUBTOTAL]]-PROVEEDORES[[#This Row],[descuento antes de IVA]])*VLOOKUP(PROVEEDORES[[#This Row],[PROVEEDOR]],TERCEROS_INFO[#All],3,FALSE)</f>
        <v>0</v>
      </c>
      <c r="N1380" s="25"/>
      <c r="O1380" s="24">
        <f>+PROVEEDORES[[#This Row],[Descuento sobre subtotal %]]*(PROVEEDORES[[#This Row],[SUBTOTAL]]-PROVEEDORES[[#This Row],[descuento antes de IVA]])</f>
        <v>0</v>
      </c>
      <c r="P1380" s="136">
        <f>+IF(PROVEEDORES[[#This Row],[SUBTOTAL]]&lt;PROVEEDORES[[#This Row],[base retencion]],0,PROVEEDORES[[#This Row],[retención aplicada]])</f>
        <v>0</v>
      </c>
      <c r="Q1380" s="24">
        <f>+PROVEEDORES[[#This Row],[Rete Fuente %]]*PROVEEDORES[[#This Row],[SUBTOTAL]]</f>
        <v>0</v>
      </c>
      <c r="R1380" s="23">
        <f>+PROVEEDORES[[#This Row],[SUBTOTAL]]+PROVEEDORES[[#This Row],[IVA 19%]]-PROVEEDORES[[#This Row],[descuento antes de IVA]]-PROVEEDORES[[#This Row],[Descuento sobre subtotal $]]-PROVEEDORES[[#This Row],[Rete Fuente $]]</f>
        <v>936000</v>
      </c>
      <c r="S1380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80" s="99">
        <f ca="1">IF(PROVEEDORES[[#This Row],[FECHA DE PAGO]]=0,TODAY()-PROVEEDORES[[#This Row],[FECHA DE FACTURACIÓN]]-PROVEEDORES[[#This Row],[PLAZO Días]],0)</f>
        <v>5</v>
      </c>
      <c r="U1380" s="149">
        <f>+VLOOKUP(PROVEEDORES[[#This Row],[PROVEEDOR]],Terceros!$A:$E,5,FALSE)</f>
        <v>0</v>
      </c>
      <c r="V1380" s="150">
        <f>+YEAR(PROVEEDORES[[#This Row],[FECHA DE FACTURACIÓN]])</f>
        <v>2022</v>
      </c>
      <c r="W1380" s="150">
        <f>+MATCH(PROVEEDORES[[#This Row],[año facturado]],Retenciones!$1:$1,0)</f>
        <v>5</v>
      </c>
      <c r="X1380" s="151">
        <f>+VLOOKUP(PROVEEDORES[[#This Row],[ID RETENCION]],Retenciones!$A$1:$O$24,PROVEEDORES[[#This Row],[indicador de columna]],FALSE)</f>
        <v>0</v>
      </c>
      <c r="Y1380" s="152">
        <f>+VLOOKUP(PROVEEDORES[[#This Row],[ID RETENCION]],Retenciones!$A$1:$O$24,2,FALSE)</f>
        <v>0</v>
      </c>
      <c r="Z1380" s="26"/>
      <c r="AA1380" s="26"/>
      <c r="AB1380" s="26"/>
      <c r="AC1380" s="26"/>
      <c r="AD1380" s="26"/>
      <c r="AE1380" s="26"/>
    </row>
    <row r="1381" spans="1:31" ht="21.95" customHeight="1" x14ac:dyDescent="0.25">
      <c r="A1381" s="97" t="str">
        <f>+IF(PROVEEDORES[[#This Row],[FECHA DE PAGO]]=PROVEEDORES[[#This Row],[FECHA DE FACTURACIÓN]],"DE CONTADO","CRÉDITO")</f>
        <v>CRÉDITO</v>
      </c>
      <c r="B1381" s="41" t="b">
        <f>+IF((PROVEEDORES[[#This Row],[FECHA DE PAGO]]-PROVEEDORES[[#This Row],[FECHA DE FACTURACIÓN]])&gt;PROVEEDORES[[#This Row],[PLAZO Días]],"PAGO VENCIDO")</f>
        <v>0</v>
      </c>
      <c r="C1381" s="22">
        <f>+VLOOKUP(PROVEEDORES[[#This Row],[PROVEEDOR]],TERCEROS_INFO[#All],2,FALSE)</f>
        <v>30</v>
      </c>
      <c r="D1381" s="27">
        <f>+SUMIFS(PROVEEDORES[Total],PROVEEDORES[PROVEEDOR],PROVEEDORES[[#This Row],[PROVEEDOR]],PROVEEDORES[FECHA DE PAGO],"")</f>
        <v>3750700</v>
      </c>
      <c r="E1381" s="27"/>
      <c r="F1381" s="62" t="str">
        <f>+VLOOKUP(PROVEEDORES[[#This Row],[PROVEEDOR]],
                       Terceros!$A:$G,
                       6,
                       FALSE)</f>
        <v/>
      </c>
      <c r="H1381" s="28" t="s">
        <v>990</v>
      </c>
      <c r="I1381" s="95">
        <v>44649</v>
      </c>
      <c r="J1381" s="38" t="s">
        <v>1094</v>
      </c>
      <c r="K1381" s="23">
        <v>3750700</v>
      </c>
      <c r="L1381" s="23"/>
      <c r="M1381" s="24">
        <f>(PROVEEDORES[[#This Row],[SUBTOTAL]]-PROVEEDORES[[#This Row],[descuento antes de IVA]])*VLOOKUP(PROVEEDORES[[#This Row],[PROVEEDOR]],TERCEROS_INFO[#All],3,FALSE)</f>
        <v>0</v>
      </c>
      <c r="N1381" s="25"/>
      <c r="O1381" s="24">
        <f>+PROVEEDORES[[#This Row],[Descuento sobre subtotal %]]*(PROVEEDORES[[#This Row],[SUBTOTAL]]-PROVEEDORES[[#This Row],[descuento antes de IVA]])</f>
        <v>0</v>
      </c>
      <c r="P1381" s="136">
        <f>+IF(PROVEEDORES[[#This Row],[SUBTOTAL]]&lt;PROVEEDORES[[#This Row],[base retencion]],0,PROVEEDORES[[#This Row],[retención aplicada]])</f>
        <v>0</v>
      </c>
      <c r="Q1381" s="24">
        <f>+PROVEEDORES[[#This Row],[Rete Fuente %]]*PROVEEDORES[[#This Row],[SUBTOTAL]]</f>
        <v>0</v>
      </c>
      <c r="R1381" s="23">
        <f>+PROVEEDORES[[#This Row],[SUBTOTAL]]+PROVEEDORES[[#This Row],[IVA 19%]]-PROVEEDORES[[#This Row],[descuento antes de IVA]]-PROVEEDORES[[#This Row],[Descuento sobre subtotal $]]-PROVEEDORES[[#This Row],[Rete Fuente $]]</f>
        <v>3750700</v>
      </c>
      <c r="S1381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81" s="99">
        <f ca="1">IF(PROVEEDORES[[#This Row],[FECHA DE PAGO]]=0,TODAY()-PROVEEDORES[[#This Row],[FECHA DE FACTURACIÓN]]-PROVEEDORES[[#This Row],[PLAZO Días]],0)</f>
        <v>5</v>
      </c>
      <c r="U1381" s="149">
        <f>+VLOOKUP(PROVEEDORES[[#This Row],[PROVEEDOR]],Terceros!$A:$E,5,FALSE)</f>
        <v>0</v>
      </c>
      <c r="V1381" s="150">
        <f>+YEAR(PROVEEDORES[[#This Row],[FECHA DE FACTURACIÓN]])</f>
        <v>2022</v>
      </c>
      <c r="W1381" s="150">
        <f>+MATCH(PROVEEDORES[[#This Row],[año facturado]],Retenciones!$1:$1,0)</f>
        <v>5</v>
      </c>
      <c r="X1381" s="151">
        <f>+VLOOKUP(PROVEEDORES[[#This Row],[ID RETENCION]],Retenciones!$A$1:$O$24,PROVEEDORES[[#This Row],[indicador de columna]],FALSE)</f>
        <v>0</v>
      </c>
      <c r="Y1381" s="152">
        <f>+VLOOKUP(PROVEEDORES[[#This Row],[ID RETENCION]],Retenciones!$A$1:$O$24,2,FALSE)</f>
        <v>0</v>
      </c>
      <c r="Z1381" s="26"/>
      <c r="AA1381" s="26"/>
      <c r="AB1381" s="26"/>
      <c r="AC1381" s="26"/>
      <c r="AD1381" s="26"/>
      <c r="AE1381" s="26"/>
    </row>
    <row r="1382" spans="1:31" ht="21.95" customHeight="1" x14ac:dyDescent="0.25">
      <c r="A1382" s="97" t="str">
        <f>+IF(PROVEEDORES[[#This Row],[FECHA DE PAGO]]=PROVEEDORES[[#This Row],[FECHA DE FACTURACIÓN]],"DE CONTADO","CRÉDITO")</f>
        <v>CRÉDITO</v>
      </c>
      <c r="B1382" s="41" t="b">
        <f>+IF((PROVEEDORES[[#This Row],[FECHA DE PAGO]]-PROVEEDORES[[#This Row],[FECHA DE FACTURACIÓN]])&gt;PROVEEDORES[[#This Row],[PLAZO Días]],"PAGO VENCIDO")</f>
        <v>0</v>
      </c>
      <c r="C1382" s="22">
        <f>+VLOOKUP(PROVEEDORES[[#This Row],[PROVEEDOR]],TERCEROS_INFO[#All],2,FALSE)</f>
        <v>30</v>
      </c>
      <c r="D1382" s="27">
        <f>+SUMIFS(PROVEEDORES[Total],PROVEEDORES[PROVEEDOR],PROVEEDORES[[#This Row],[PROVEEDOR]],PROVEEDORES[FECHA DE PAGO],"")</f>
        <v>21832129.73</v>
      </c>
      <c r="E1382" s="27"/>
      <c r="F1382" s="62" t="str">
        <f>+VLOOKUP(PROVEEDORES[[#This Row],[PROVEEDOR]],
                       Terceros!$A:$G,
                       6,
                       FALSE)</f>
        <v>cartera1@grupostatur.com;girlesa.ruiz@servipilas.com;joriescobar64@gmail.com</v>
      </c>
      <c r="H1382" s="28" t="s">
        <v>9</v>
      </c>
      <c r="I1382" s="95">
        <v>44649</v>
      </c>
      <c r="J1382" s="38">
        <v>75600</v>
      </c>
      <c r="K1382" s="23">
        <v>19035762</v>
      </c>
      <c r="L1382" s="23"/>
      <c r="M1382" s="24">
        <f>(PROVEEDORES[[#This Row],[SUBTOTAL]]-PROVEEDORES[[#This Row],[descuento antes de IVA]])*VLOOKUP(PROVEEDORES[[#This Row],[PROVEEDOR]],TERCEROS_INFO[#All],3,FALSE)</f>
        <v>3616794.7800000003</v>
      </c>
      <c r="N1382" s="25"/>
      <c r="O1382" s="24">
        <f>+PROVEEDORES[[#This Row],[Descuento sobre subtotal %]]*(PROVEEDORES[[#This Row],[SUBTOTAL]]-PROVEEDORES[[#This Row],[descuento antes de IVA]])</f>
        <v>0</v>
      </c>
      <c r="P1382" s="136">
        <f>+IF(PROVEEDORES[[#This Row],[SUBTOTAL]]&lt;PROVEEDORES[[#This Row],[base retencion]],0,PROVEEDORES[[#This Row],[retención aplicada]])</f>
        <v>2.5000000000000001E-2</v>
      </c>
      <c r="Q1382" s="24">
        <f>+PROVEEDORES[[#This Row],[Rete Fuente %]]*PROVEEDORES[[#This Row],[SUBTOTAL]]</f>
        <v>475894.05000000005</v>
      </c>
      <c r="R1382" s="23">
        <f>+PROVEEDORES[[#This Row],[SUBTOTAL]]+PROVEEDORES[[#This Row],[IVA 19%]]-PROVEEDORES[[#This Row],[descuento antes de IVA]]-PROVEEDORES[[#This Row],[Descuento sobre subtotal $]]-PROVEEDORES[[#This Row],[Rete Fuente $]]</f>
        <v>22176662.73</v>
      </c>
      <c r="S1382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82" s="99">
        <f ca="1">IF(PROVEEDORES[[#This Row],[FECHA DE PAGO]]=0,TODAY()-PROVEEDORES[[#This Row],[FECHA DE FACTURACIÓN]]-PROVEEDORES[[#This Row],[PLAZO Días]],0)</f>
        <v>5</v>
      </c>
      <c r="U1382" s="149" t="str">
        <f>+VLOOKUP(PROVEEDORES[[#This Row],[PROVEEDOR]],Terceros!$A:$E,5,FALSE)</f>
        <v>2,5% con base</v>
      </c>
      <c r="V1382" s="150">
        <f>+YEAR(PROVEEDORES[[#This Row],[FECHA DE FACTURACIÓN]])</f>
        <v>2022</v>
      </c>
      <c r="W1382" s="150">
        <f>+MATCH(PROVEEDORES[[#This Row],[año facturado]],Retenciones!$1:$1,0)</f>
        <v>5</v>
      </c>
      <c r="X1382" s="151">
        <f>+VLOOKUP(PROVEEDORES[[#This Row],[ID RETENCION]],Retenciones!$A$1:$O$24,PROVEEDORES[[#This Row],[indicador de columna]],FALSE)</f>
        <v>1026000</v>
      </c>
      <c r="Y1382" s="152">
        <f>+VLOOKUP(PROVEEDORES[[#This Row],[ID RETENCION]],Retenciones!$A$1:$O$24,2,FALSE)</f>
        <v>2.5000000000000001E-2</v>
      </c>
      <c r="Z1382" s="26"/>
      <c r="AA1382" s="26"/>
      <c r="AB1382" s="26"/>
      <c r="AC1382" s="26"/>
      <c r="AD1382" s="26"/>
      <c r="AE1382" s="26"/>
    </row>
    <row r="1383" spans="1:31" ht="21.95" customHeight="1" x14ac:dyDescent="0.25">
      <c r="A1383" s="97" t="str">
        <f>+IF(PROVEEDORES[[#This Row],[FECHA DE PAGO]]=PROVEEDORES[[#This Row],[FECHA DE FACTURACIÓN]],"DE CONTADO","CRÉDITO")</f>
        <v>CRÉDITO</v>
      </c>
      <c r="B1383" s="41" t="b">
        <f>+IF((PROVEEDORES[[#This Row],[FECHA DE PAGO]]-PROVEEDORES[[#This Row],[FECHA DE FACTURACIÓN]])&gt;PROVEEDORES[[#This Row],[PLAZO Días]],"PAGO VENCIDO")</f>
        <v>0</v>
      </c>
      <c r="C1383" s="22">
        <f>+VLOOKUP(PROVEEDORES[[#This Row],[PROVEEDOR]],TERCEROS_INFO[#All],2,FALSE)</f>
        <v>30</v>
      </c>
      <c r="D1383" s="27">
        <f>+SUMIFS(PROVEEDORES[Total],PROVEEDORES[PROVEEDOR],PROVEEDORES[[#This Row],[PROVEEDOR]],PROVEEDORES[FECHA DE PAGO],"")</f>
        <v>275944.33</v>
      </c>
      <c r="E1383" s="27"/>
      <c r="F1383" s="62" t="str">
        <f>+VLOOKUP(PROVEEDORES[[#This Row],[PROVEEDOR]],
                       Terceros!$A:$G,
                       6,
                       FALSE)</f>
        <v>facturacion@losmolinos.com.co</v>
      </c>
      <c r="G1383" s="95">
        <v>44663</v>
      </c>
      <c r="H1383" s="28" t="s">
        <v>342</v>
      </c>
      <c r="I1383" s="95">
        <v>44652</v>
      </c>
      <c r="J1383" s="38">
        <v>66928</v>
      </c>
      <c r="K1383" s="23">
        <v>284467</v>
      </c>
      <c r="L1383" s="23"/>
      <c r="M1383" s="24">
        <v>0</v>
      </c>
      <c r="N1383" s="25"/>
      <c r="O1383" s="24">
        <v>8522.67</v>
      </c>
      <c r="P1383" s="136">
        <f>+IF(PROVEEDORES[[#This Row],[SUBTOTAL]]&lt;PROVEEDORES[[#This Row],[base retencion]],0,PROVEEDORES[[#This Row],[retención aplicada]])</f>
        <v>0</v>
      </c>
      <c r="Q1383" s="24">
        <f>+PROVEEDORES[[#This Row],[Rete Fuente %]]*PROVEEDORES[[#This Row],[SUBTOTAL]]</f>
        <v>0</v>
      </c>
      <c r="R1383" s="23">
        <v>275944.33</v>
      </c>
      <c r="S138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3" s="99">
        <f ca="1">IF(PROVEEDORES[[#This Row],[FECHA DE PAGO]]=0,TODAY()-PROVEEDORES[[#This Row],[FECHA DE FACTURACIÓN]]-PROVEEDORES[[#This Row],[PLAZO Días]],0)</f>
        <v>0</v>
      </c>
      <c r="U1383" s="149">
        <f>+VLOOKUP(PROVEEDORES[[#This Row],[PROVEEDOR]],Terceros!$A:$E,5,FALSE)</f>
        <v>0</v>
      </c>
      <c r="V1383" s="150">
        <f>+YEAR(PROVEEDORES[[#This Row],[FECHA DE FACTURACIÓN]])</f>
        <v>2022</v>
      </c>
      <c r="W1383" s="150">
        <f>+MATCH(PROVEEDORES[[#This Row],[año facturado]],Retenciones!$1:$1,0)</f>
        <v>5</v>
      </c>
      <c r="X1383" s="151">
        <f>+VLOOKUP(PROVEEDORES[[#This Row],[ID RETENCION]],Retenciones!$A$1:$O$24,PROVEEDORES[[#This Row],[indicador de columna]],FALSE)</f>
        <v>0</v>
      </c>
      <c r="Y1383" s="152">
        <f>+VLOOKUP(PROVEEDORES[[#This Row],[ID RETENCION]],Retenciones!$A$1:$O$24,2,FALSE)</f>
        <v>0</v>
      </c>
      <c r="Z1383" s="26"/>
      <c r="AA1383" s="26"/>
      <c r="AB1383" s="26"/>
      <c r="AC1383" s="26"/>
      <c r="AD1383" s="26"/>
      <c r="AE1383" s="26"/>
    </row>
    <row r="1384" spans="1:31" ht="21.95" customHeight="1" x14ac:dyDescent="0.25">
      <c r="A1384" s="97" t="str">
        <f>+IF(PROVEEDORES[[#This Row],[FECHA DE PAGO]]=PROVEEDORES[[#This Row],[FECHA DE FACTURACIÓN]],"DE CONTADO","CRÉDITO")</f>
        <v>DE CONTADO</v>
      </c>
      <c r="B1384" s="41" t="b">
        <f>+IF((PROVEEDORES[[#This Row],[FECHA DE PAGO]]-PROVEEDORES[[#This Row],[FECHA DE FACTURACIÓN]])&gt;PROVEEDORES[[#This Row],[PLAZO Días]],"PAGO VENCIDO")</f>
        <v>0</v>
      </c>
      <c r="C1384" s="22">
        <f>+VLOOKUP(PROVEEDORES[[#This Row],[PROVEEDOR]],TERCEROS_INFO[#All],2,FALSE)</f>
        <v>30</v>
      </c>
      <c r="D1384" s="27">
        <f>+SUMIFS(PROVEEDORES[Total],PROVEEDORES[PROVEEDOR],PROVEEDORES[[#This Row],[PROVEEDOR]],PROVEEDORES[FECHA DE PAGO],"")</f>
        <v>0</v>
      </c>
      <c r="E1384" s="27"/>
      <c r="F1384" s="62" t="str">
        <f>+VLOOKUP(PROVEEDORES[[#This Row],[PROVEEDOR]],
                       Terceros!$A:$G,
                       6,
                       FALSE)</f>
        <v/>
      </c>
      <c r="G1384" s="95">
        <v>44650</v>
      </c>
      <c r="H1384" s="28" t="s">
        <v>1046</v>
      </c>
      <c r="I1384" s="95">
        <v>44650</v>
      </c>
      <c r="J1384" s="38"/>
      <c r="K1384" s="23">
        <v>1300000</v>
      </c>
      <c r="L1384" s="23"/>
      <c r="M1384" s="24">
        <v>0</v>
      </c>
      <c r="N1384" s="25"/>
      <c r="O1384" s="24">
        <v>0</v>
      </c>
      <c r="P1384" s="136">
        <f>+IF(PROVEEDORES[[#This Row],[SUBTOTAL]]&lt;PROVEEDORES[[#This Row],[base retencion]],0,PROVEEDORES[[#This Row],[retención aplicada]])</f>
        <v>0</v>
      </c>
      <c r="Q1384" s="24">
        <f>+PROVEEDORES[[#This Row],[Rete Fuente %]]*PROVEEDORES[[#This Row],[SUBTOTAL]]</f>
        <v>0</v>
      </c>
      <c r="R1384" s="23">
        <v>1300000</v>
      </c>
      <c r="S138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4" s="99">
        <f ca="1">IF(PROVEEDORES[[#This Row],[FECHA DE PAGO]]=0,TODAY()-PROVEEDORES[[#This Row],[FECHA DE FACTURACIÓN]]-PROVEEDORES[[#This Row],[PLAZO Días]],0)</f>
        <v>0</v>
      </c>
      <c r="U1384" s="149">
        <f>+VLOOKUP(PROVEEDORES[[#This Row],[PROVEEDOR]],Terceros!$A:$E,5,FALSE)</f>
        <v>0</v>
      </c>
      <c r="V1384" s="150">
        <f>+YEAR(PROVEEDORES[[#This Row],[FECHA DE FACTURACIÓN]])</f>
        <v>2022</v>
      </c>
      <c r="W1384" s="150">
        <f>+MATCH(PROVEEDORES[[#This Row],[año facturado]],Retenciones!$1:$1,0)</f>
        <v>5</v>
      </c>
      <c r="X1384" s="151">
        <f>+VLOOKUP(PROVEEDORES[[#This Row],[ID RETENCION]],Retenciones!$A$1:$O$24,PROVEEDORES[[#This Row],[indicador de columna]],FALSE)</f>
        <v>0</v>
      </c>
      <c r="Y1384" s="152">
        <f>+VLOOKUP(PROVEEDORES[[#This Row],[ID RETENCION]],Retenciones!$A$1:$O$24,2,FALSE)</f>
        <v>0</v>
      </c>
      <c r="Z1384" s="26"/>
      <c r="AA1384" s="26"/>
      <c r="AB1384" s="26"/>
      <c r="AC1384" s="26"/>
      <c r="AD1384" s="26"/>
      <c r="AE1384" s="26"/>
    </row>
    <row r="1385" spans="1:31" ht="21.95" customHeight="1" x14ac:dyDescent="0.25">
      <c r="A1385" s="97" t="str">
        <f>+IF(PROVEEDORES[[#This Row],[FECHA DE PAGO]]=PROVEEDORES[[#This Row],[FECHA DE FACTURACIÓN]],"DE CONTADO","CRÉDITO")</f>
        <v>CRÉDITO</v>
      </c>
      <c r="B1385" s="41" t="b">
        <f>+IF((PROVEEDORES[[#This Row],[FECHA DE PAGO]]-PROVEEDORES[[#This Row],[FECHA DE FACTURACIÓN]])&gt;PROVEEDORES[[#This Row],[PLAZO Días]],"PAGO VENCIDO")</f>
        <v>0</v>
      </c>
      <c r="C1385" s="22">
        <f>+VLOOKUP(PROVEEDORES[[#This Row],[PROVEEDOR]],TERCEROS_INFO[#All],2,FALSE)</f>
        <v>45</v>
      </c>
      <c r="D1385" s="27">
        <f>+SUMIFS(PROVEEDORES[Total],PROVEEDORES[PROVEEDOR],PROVEEDORES[[#This Row],[PROVEEDOR]],PROVEEDORES[FECHA DE PAGO],"")</f>
        <v>3412539.2</v>
      </c>
      <c r="E1385" s="27"/>
      <c r="F1385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H1385" s="28" t="s">
        <v>10</v>
      </c>
      <c r="I1385" s="95">
        <v>44650</v>
      </c>
      <c r="J1385" s="38" t="s">
        <v>1091</v>
      </c>
      <c r="K1385" s="23">
        <v>383180</v>
      </c>
      <c r="L1385" s="23"/>
      <c r="M1385" s="24">
        <f>(PROVEEDORES[[#This Row],[SUBTOTAL]]-PROVEEDORES[[#This Row],[descuento antes de IVA]])*VLOOKUP(PROVEEDORES[[#This Row],[PROVEEDOR]],TERCEROS_INFO[#All],3,FALSE)</f>
        <v>72804.2</v>
      </c>
      <c r="N1385" s="25"/>
      <c r="O1385" s="24">
        <f>+PROVEEDORES[[#This Row],[Descuento sobre subtotal %]]*(PROVEEDORES[[#This Row],[SUBTOTAL]]-PROVEEDORES[[#This Row],[descuento antes de IVA]])</f>
        <v>0</v>
      </c>
      <c r="P1385" s="136">
        <f>+IF(PROVEEDORES[[#This Row],[SUBTOTAL]]&lt;PROVEEDORES[[#This Row],[base retencion]],0,PROVEEDORES[[#This Row],[retención aplicada]])</f>
        <v>0</v>
      </c>
      <c r="Q1385" s="24">
        <f>+PROVEEDORES[[#This Row],[Rete Fuente %]]*PROVEEDORES[[#This Row],[SUBTOTAL]]</f>
        <v>0</v>
      </c>
      <c r="R1385" s="23">
        <f>+PROVEEDORES[[#This Row],[SUBTOTAL]]+PROVEEDORES[[#This Row],[IVA 19%]]-PROVEEDORES[[#This Row],[descuento antes de IVA]]-PROVEEDORES[[#This Row],[Descuento sobre subtotal $]]-PROVEEDORES[[#This Row],[Rete Fuente $]]</f>
        <v>455984.2</v>
      </c>
      <c r="S1385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385" s="99">
        <f ca="1">IF(PROVEEDORES[[#This Row],[FECHA DE PAGO]]=0,TODAY()-PROVEEDORES[[#This Row],[FECHA DE FACTURACIÓN]]-PROVEEDORES[[#This Row],[PLAZO Días]],0)</f>
        <v>-11</v>
      </c>
      <c r="U1385" s="149">
        <f>+VLOOKUP(PROVEEDORES[[#This Row],[PROVEEDOR]],Terceros!$A:$E,5,FALSE)</f>
        <v>0</v>
      </c>
      <c r="V1385" s="150">
        <f>+YEAR(PROVEEDORES[[#This Row],[FECHA DE FACTURACIÓN]])</f>
        <v>2022</v>
      </c>
      <c r="W1385" s="150">
        <f>+MATCH(PROVEEDORES[[#This Row],[año facturado]],Retenciones!$1:$1,0)</f>
        <v>5</v>
      </c>
      <c r="X1385" s="151">
        <f>+VLOOKUP(PROVEEDORES[[#This Row],[ID RETENCION]],Retenciones!$A$1:$O$24,PROVEEDORES[[#This Row],[indicador de columna]],FALSE)</f>
        <v>0</v>
      </c>
      <c r="Y1385" s="152">
        <f>+VLOOKUP(PROVEEDORES[[#This Row],[ID RETENCION]],Retenciones!$A$1:$O$24,2,FALSE)</f>
        <v>0</v>
      </c>
      <c r="Z1385" s="26"/>
      <c r="AA1385" s="26"/>
      <c r="AB1385" s="26"/>
      <c r="AC1385" s="26"/>
      <c r="AD1385" s="26"/>
      <c r="AE1385" s="26"/>
    </row>
    <row r="1386" spans="1:31" ht="21.95" customHeight="1" x14ac:dyDescent="0.25">
      <c r="A1386" s="97" t="str">
        <f>+IF(PROVEEDORES[[#This Row],[FECHA DE PAGO]]=PROVEEDORES[[#This Row],[FECHA DE FACTURACIÓN]],"DE CONTADO","CRÉDITO")</f>
        <v>CRÉDITO</v>
      </c>
      <c r="B1386" s="41" t="b">
        <f>+IF((PROVEEDORES[[#This Row],[FECHA DE PAGO]]-PROVEEDORES[[#This Row],[FECHA DE FACTURACIÓN]])&gt;PROVEEDORES[[#This Row],[PLAZO Días]],"PAGO VENCIDO")</f>
        <v>0</v>
      </c>
      <c r="C1386" s="22">
        <f>+VLOOKUP(PROVEEDORES[[#This Row],[PROVEEDOR]],TERCEROS_INFO[#All],2,FALSE)</f>
        <v>30</v>
      </c>
      <c r="D1386" s="27">
        <f>+SUMIFS(PROVEEDORES[Total],PROVEEDORES[PROVEEDOR],PROVEEDORES[[#This Row],[PROVEEDOR]],PROVEEDORES[FECHA DE PAGO],"")</f>
        <v>2588352.5</v>
      </c>
      <c r="E1386" s="27"/>
      <c r="F1386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H1386" s="28" t="s">
        <v>1088</v>
      </c>
      <c r="I1386" s="95">
        <v>44650</v>
      </c>
      <c r="J1386" s="38">
        <v>25208</v>
      </c>
      <c r="K1386" s="23">
        <v>1728540</v>
      </c>
      <c r="L1386" s="23">
        <v>157140</v>
      </c>
      <c r="M1386" s="24">
        <f>(PROVEEDORES[[#This Row],[SUBTOTAL]]-PROVEEDORES[[#This Row],[descuento antes de IVA]])*VLOOKUP(PROVEEDORES[[#This Row],[PROVEEDOR]],TERCEROS_INFO[#All],3,FALSE)</f>
        <v>298566</v>
      </c>
      <c r="N1386" s="25"/>
      <c r="O1386" s="24">
        <f>+PROVEEDORES[[#This Row],[Descuento sobre subtotal %]]*(PROVEEDORES[[#This Row],[SUBTOTAL]]-PROVEEDORES[[#This Row],[descuento antes de IVA]])</f>
        <v>0</v>
      </c>
      <c r="P1386" s="136">
        <f>+IF(PROVEEDORES[[#This Row],[SUBTOTAL]]&lt;PROVEEDORES[[#This Row],[base retencion]],0,PROVEEDORES[[#This Row],[retención aplicada]])</f>
        <v>2.5000000000000001E-2</v>
      </c>
      <c r="Q1386" s="24">
        <f>+PROVEEDORES[[#This Row],[Rete Fuente %]]*PROVEEDORES[[#This Row],[SUBTOTAL]]</f>
        <v>43213.5</v>
      </c>
      <c r="R1386" s="23">
        <f>+PROVEEDORES[[#This Row],[SUBTOTAL]]+PROVEEDORES[[#This Row],[IVA 19%]]-PROVEEDORES[[#This Row],[descuento antes de IVA]]-PROVEEDORES[[#This Row],[Descuento sobre subtotal $]]-PROVEEDORES[[#This Row],[Rete Fuente $]]</f>
        <v>1826752.5</v>
      </c>
      <c r="S1386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86" s="99">
        <f ca="1">IF(PROVEEDORES[[#This Row],[FECHA DE PAGO]]=0,TODAY()-PROVEEDORES[[#This Row],[FECHA DE FACTURACIÓN]]-PROVEEDORES[[#This Row],[PLAZO Días]],0)</f>
        <v>4</v>
      </c>
      <c r="U1386" s="149" t="str">
        <f>+VLOOKUP(PROVEEDORES[[#This Row],[PROVEEDOR]],Terceros!$A:$E,5,FALSE)</f>
        <v>2,5% con base</v>
      </c>
      <c r="V1386" s="150">
        <f>+YEAR(PROVEEDORES[[#This Row],[FECHA DE FACTURACIÓN]])</f>
        <v>2022</v>
      </c>
      <c r="W1386" s="150">
        <f>+MATCH(PROVEEDORES[[#This Row],[año facturado]],Retenciones!$1:$1,0)</f>
        <v>5</v>
      </c>
      <c r="X1386" s="151">
        <f>+VLOOKUP(PROVEEDORES[[#This Row],[ID RETENCION]],Retenciones!$A$1:$O$24,PROVEEDORES[[#This Row],[indicador de columna]],FALSE)</f>
        <v>1026000</v>
      </c>
      <c r="Y1386" s="152">
        <f>+VLOOKUP(PROVEEDORES[[#This Row],[ID RETENCION]],Retenciones!$A$1:$O$24,2,FALSE)</f>
        <v>2.5000000000000001E-2</v>
      </c>
      <c r="Z1386" s="26"/>
      <c r="AA1386" s="26"/>
      <c r="AB1386" s="26"/>
      <c r="AC1386" s="26"/>
      <c r="AD1386" s="26"/>
      <c r="AE1386" s="26"/>
    </row>
    <row r="1387" spans="1:31" ht="21.95" customHeight="1" x14ac:dyDescent="0.25">
      <c r="A1387" s="97" t="str">
        <f>+IF(PROVEEDORES[[#This Row],[FECHA DE PAGO]]=PROVEEDORES[[#This Row],[FECHA DE FACTURACIÓN]],"DE CONTADO","CRÉDITO")</f>
        <v>CRÉDITO</v>
      </c>
      <c r="B1387" s="41" t="b">
        <f>+IF((PROVEEDORES[[#This Row],[FECHA DE PAGO]]-PROVEEDORES[[#This Row],[FECHA DE FACTURACIÓN]])&gt;PROVEEDORES[[#This Row],[PLAZO Días]],"PAGO VENCIDO")</f>
        <v>0</v>
      </c>
      <c r="C1387" s="22">
        <f>+VLOOKUP(PROVEEDORES[[#This Row],[PROVEEDOR]],TERCEROS_INFO[#All],2,FALSE)</f>
        <v>30</v>
      </c>
      <c r="D1387" s="27">
        <f>+SUMIFS(PROVEEDORES[Total],PROVEEDORES[PROVEEDOR],PROVEEDORES[[#This Row],[PROVEEDOR]],PROVEEDORES[FECHA DE PAGO],"")</f>
        <v>4965738.5050000008</v>
      </c>
      <c r="E1387" s="27"/>
      <c r="F1387" s="62" t="str">
        <f>+VLOOKUP(PROVEEDORES[[#This Row],[PROVEEDOR]],
                       Terceros!$A:$G,
                       6,
                       FALSE)</f>
        <v>aleja-1305agudelo@hotmail.com;provecol@une.net.co;girlesa.ruiz@servipilas.com;joriescobar64@gmail.com</v>
      </c>
      <c r="H1387" s="28" t="s">
        <v>457</v>
      </c>
      <c r="I1387" s="95">
        <v>44650</v>
      </c>
      <c r="J1387" s="38" t="s">
        <v>1090</v>
      </c>
      <c r="K1387" s="23">
        <v>2285686.25</v>
      </c>
      <c r="L1387" s="23"/>
      <c r="M1387" s="24">
        <f>(PROVEEDORES[[#This Row],[SUBTOTAL]]-PROVEEDORES[[#This Row],[descuento antes de IVA]])*VLOOKUP(PROVEEDORES[[#This Row],[PROVEEDOR]],TERCEROS_INFO[#All],3,FALSE)</f>
        <v>434280.38750000001</v>
      </c>
      <c r="N1387" s="25"/>
      <c r="O1387" s="24">
        <f>+PROVEEDORES[[#This Row],[Descuento sobre subtotal %]]*(PROVEEDORES[[#This Row],[SUBTOTAL]]-PROVEEDORES[[#This Row],[descuento antes de IVA]])</f>
        <v>0</v>
      </c>
      <c r="P1387" s="136">
        <f>+IF(PROVEEDORES[[#This Row],[SUBTOTAL]]&lt;PROVEEDORES[[#This Row],[base retencion]],0,PROVEEDORES[[#This Row],[retención aplicada]])</f>
        <v>0</v>
      </c>
      <c r="Q1387" s="24">
        <f>+PROVEEDORES[[#This Row],[Rete Fuente %]]*PROVEEDORES[[#This Row],[SUBTOTAL]]</f>
        <v>0</v>
      </c>
      <c r="R1387" s="23">
        <f>+PROVEEDORES[[#This Row],[SUBTOTAL]]+PROVEEDORES[[#This Row],[IVA 19%]]-PROVEEDORES[[#This Row],[descuento antes de IVA]]-PROVEEDORES[[#This Row],[Descuento sobre subtotal $]]-PROVEEDORES[[#This Row],[Rete Fuente $]]</f>
        <v>2719966.6375000002</v>
      </c>
      <c r="S1387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87" s="99">
        <f ca="1">IF(PROVEEDORES[[#This Row],[FECHA DE PAGO]]=0,TODAY()-PROVEEDORES[[#This Row],[FECHA DE FACTURACIÓN]]-PROVEEDORES[[#This Row],[PLAZO Días]],0)</f>
        <v>4</v>
      </c>
      <c r="U1387" s="149">
        <f>+VLOOKUP(PROVEEDORES[[#This Row],[PROVEEDOR]],Terceros!$A:$E,5,FALSE)</f>
        <v>0</v>
      </c>
      <c r="V1387" s="150">
        <f>+YEAR(PROVEEDORES[[#This Row],[FECHA DE FACTURACIÓN]])</f>
        <v>2022</v>
      </c>
      <c r="W1387" s="150">
        <f>+MATCH(PROVEEDORES[[#This Row],[año facturado]],Retenciones!$1:$1,0)</f>
        <v>5</v>
      </c>
      <c r="X1387" s="151">
        <f>+VLOOKUP(PROVEEDORES[[#This Row],[ID RETENCION]],Retenciones!$A$1:$O$24,PROVEEDORES[[#This Row],[indicador de columna]],FALSE)</f>
        <v>0</v>
      </c>
      <c r="Y1387" s="152">
        <f>+VLOOKUP(PROVEEDORES[[#This Row],[ID RETENCION]],Retenciones!$A$1:$O$24,2,FALSE)</f>
        <v>0</v>
      </c>
      <c r="Z1387" s="26"/>
      <c r="AA1387" s="26"/>
      <c r="AB1387" s="26"/>
      <c r="AC1387" s="26"/>
      <c r="AD1387" s="26"/>
      <c r="AE1387" s="26"/>
    </row>
    <row r="1388" spans="1:31" ht="21.95" customHeight="1" x14ac:dyDescent="0.25">
      <c r="A1388" s="97" t="str">
        <f>+IF(PROVEEDORES[[#This Row],[FECHA DE PAGO]]=PROVEEDORES[[#This Row],[FECHA DE FACTURACIÓN]],"DE CONTADO","CRÉDITO")</f>
        <v>DE CONTADO</v>
      </c>
      <c r="B1388" s="41" t="b">
        <f>+IF((PROVEEDORES[[#This Row],[FECHA DE PAGO]]-PROVEEDORES[[#This Row],[FECHA DE FACTURACIÓN]])&gt;PROVEEDORES[[#This Row],[PLAZO Días]],"PAGO VENCIDO")</f>
        <v>0</v>
      </c>
      <c r="C1388" s="22">
        <f>+VLOOKUP(PROVEEDORES[[#This Row],[PROVEEDOR]],TERCEROS_INFO[#All],2,FALSE)</f>
        <v>30</v>
      </c>
      <c r="D1388" s="27">
        <f>+SUMIFS(PROVEEDORES[Total],PROVEEDORES[PROVEEDOR],PROVEEDORES[[#This Row],[PROVEEDOR]],PROVEEDORES[FECHA DE PAGO],"")</f>
        <v>0</v>
      </c>
      <c r="E1388" s="27"/>
      <c r="F1388" s="62" t="str">
        <f>+VLOOKUP(PROVEEDORES[[#This Row],[PROVEEDOR]],
                       Terceros!$A:$G,
                       6,
                       FALSE)</f>
        <v/>
      </c>
      <c r="G1388" s="95">
        <v>44651</v>
      </c>
      <c r="H1388" s="28" t="s">
        <v>1010</v>
      </c>
      <c r="I1388" s="95">
        <v>44651</v>
      </c>
      <c r="J1388" s="38" t="s">
        <v>941</v>
      </c>
      <c r="K1388" s="23">
        <v>29400</v>
      </c>
      <c r="L1388" s="23"/>
      <c r="M1388" s="24">
        <v>0</v>
      </c>
      <c r="N1388" s="25"/>
      <c r="O1388" s="24">
        <v>0</v>
      </c>
      <c r="P1388" s="136">
        <f>+IF(PROVEEDORES[[#This Row],[SUBTOTAL]]&lt;PROVEEDORES[[#This Row],[base retencion]],0,PROVEEDORES[[#This Row],[retención aplicada]])</f>
        <v>0</v>
      </c>
      <c r="Q1388" s="24">
        <f>+PROVEEDORES[[#This Row],[Rete Fuente %]]*PROVEEDORES[[#This Row],[SUBTOTAL]]</f>
        <v>0</v>
      </c>
      <c r="R1388" s="23">
        <v>29400</v>
      </c>
      <c r="S138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8" s="99">
        <f ca="1">IF(PROVEEDORES[[#This Row],[FECHA DE PAGO]]=0,TODAY()-PROVEEDORES[[#This Row],[FECHA DE FACTURACIÓN]]-PROVEEDORES[[#This Row],[PLAZO Días]],0)</f>
        <v>0</v>
      </c>
      <c r="U1388" s="149">
        <f>+VLOOKUP(PROVEEDORES[[#This Row],[PROVEEDOR]],Terceros!$A:$E,5,FALSE)</f>
        <v>0</v>
      </c>
      <c r="V1388" s="150">
        <f>+YEAR(PROVEEDORES[[#This Row],[FECHA DE FACTURACIÓN]])</f>
        <v>2022</v>
      </c>
      <c r="W1388" s="150">
        <f>+MATCH(PROVEEDORES[[#This Row],[año facturado]],Retenciones!$1:$1,0)</f>
        <v>5</v>
      </c>
      <c r="X1388" s="151">
        <f>+VLOOKUP(PROVEEDORES[[#This Row],[ID RETENCION]],Retenciones!$A$1:$O$24,PROVEEDORES[[#This Row],[indicador de columna]],FALSE)</f>
        <v>0</v>
      </c>
      <c r="Y1388" s="152">
        <f>+VLOOKUP(PROVEEDORES[[#This Row],[ID RETENCION]],Retenciones!$A$1:$O$24,2,FALSE)</f>
        <v>0</v>
      </c>
      <c r="Z1388" s="26"/>
      <c r="AA1388" s="26"/>
      <c r="AB1388" s="26"/>
      <c r="AC1388" s="26"/>
      <c r="AD1388" s="26"/>
      <c r="AE1388" s="26"/>
    </row>
    <row r="1389" spans="1:31" ht="21.95" customHeight="1" x14ac:dyDescent="0.25">
      <c r="A1389" s="97" t="str">
        <f>+IF(PROVEEDORES[[#This Row],[FECHA DE PAGO]]=PROVEEDORES[[#This Row],[FECHA DE FACTURACIÓN]],"DE CONTADO","CRÉDITO")</f>
        <v>DE CONTADO</v>
      </c>
      <c r="B1389" s="41" t="b">
        <f>+IF((PROVEEDORES[[#This Row],[FECHA DE PAGO]]-PROVEEDORES[[#This Row],[FECHA DE FACTURACIÓN]])&gt;PROVEEDORES[[#This Row],[PLAZO Días]],"PAGO VENCIDO")</f>
        <v>0</v>
      </c>
      <c r="C1389" s="22">
        <f>+VLOOKUP(PROVEEDORES[[#This Row],[PROVEEDOR]],TERCEROS_INFO[#All],2,FALSE)</f>
        <v>30</v>
      </c>
      <c r="D1389" s="27">
        <f>+SUMIFS(PROVEEDORES[Total],PROVEEDORES[PROVEEDOR],PROVEEDORES[[#This Row],[PROVEEDOR]],PROVEEDORES[FECHA DE PAGO],"")</f>
        <v>0</v>
      </c>
      <c r="E1389" s="27"/>
      <c r="F1389" s="62" t="str">
        <f>+VLOOKUP(PROVEEDORES[[#This Row],[PROVEEDOR]],
                       Terceros!$A:$G,
                       6,
                       FALSE)</f>
        <v/>
      </c>
      <c r="G1389" s="95">
        <v>44651</v>
      </c>
      <c r="H1389" s="28" t="s">
        <v>1010</v>
      </c>
      <c r="I1389" s="95">
        <v>44651</v>
      </c>
      <c r="J1389" s="38" t="s">
        <v>1011</v>
      </c>
      <c r="K1389" s="23">
        <v>38200</v>
      </c>
      <c r="L1389" s="23"/>
      <c r="M1389" s="24">
        <v>0</v>
      </c>
      <c r="N1389" s="25"/>
      <c r="O1389" s="24">
        <v>0</v>
      </c>
      <c r="P1389" s="136">
        <f>+IF(PROVEEDORES[[#This Row],[SUBTOTAL]]&lt;PROVEEDORES[[#This Row],[base retencion]],0,PROVEEDORES[[#This Row],[retención aplicada]])</f>
        <v>0</v>
      </c>
      <c r="Q1389" s="24">
        <f>+PROVEEDORES[[#This Row],[Rete Fuente %]]*PROVEEDORES[[#This Row],[SUBTOTAL]]</f>
        <v>0</v>
      </c>
      <c r="R1389" s="23">
        <v>38200</v>
      </c>
      <c r="S138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9" s="99">
        <f ca="1">IF(PROVEEDORES[[#This Row],[FECHA DE PAGO]]=0,TODAY()-PROVEEDORES[[#This Row],[FECHA DE FACTURACIÓN]]-PROVEEDORES[[#This Row],[PLAZO Días]],0)</f>
        <v>0</v>
      </c>
      <c r="U1389" s="149">
        <f>+VLOOKUP(PROVEEDORES[[#This Row],[PROVEEDOR]],Terceros!$A:$E,5,FALSE)</f>
        <v>0</v>
      </c>
      <c r="V1389" s="150">
        <f>+YEAR(PROVEEDORES[[#This Row],[FECHA DE FACTURACIÓN]])</f>
        <v>2022</v>
      </c>
      <c r="W1389" s="150">
        <f>+MATCH(PROVEEDORES[[#This Row],[año facturado]],Retenciones!$1:$1,0)</f>
        <v>5</v>
      </c>
      <c r="X1389" s="151">
        <f>+VLOOKUP(PROVEEDORES[[#This Row],[ID RETENCION]],Retenciones!$A$1:$O$24,PROVEEDORES[[#This Row],[indicador de columna]],FALSE)</f>
        <v>0</v>
      </c>
      <c r="Y1389" s="152">
        <f>+VLOOKUP(PROVEEDORES[[#This Row],[ID RETENCION]],Retenciones!$A$1:$O$24,2,FALSE)</f>
        <v>0</v>
      </c>
      <c r="Z1389" s="26"/>
      <c r="AA1389" s="26"/>
      <c r="AB1389" s="26"/>
      <c r="AC1389" s="26"/>
      <c r="AD1389" s="26"/>
      <c r="AE1389" s="26"/>
    </row>
    <row r="1390" spans="1:31" ht="21.95" customHeight="1" x14ac:dyDescent="0.25">
      <c r="A1390" s="97" t="str">
        <f>+IF(PROVEEDORES[[#This Row],[FECHA DE PAGO]]=PROVEEDORES[[#This Row],[FECHA DE FACTURACIÓN]],"DE CONTADO","CRÉDITO")</f>
        <v>DE CONTADO</v>
      </c>
      <c r="B1390" s="41" t="b">
        <f>+IF((PROVEEDORES[[#This Row],[FECHA DE PAGO]]-PROVEEDORES[[#This Row],[FECHA DE FACTURACIÓN]])&gt;PROVEEDORES[[#This Row],[PLAZO Días]],"PAGO VENCIDO")</f>
        <v>0</v>
      </c>
      <c r="C1390" s="22">
        <f>+VLOOKUP(PROVEEDORES[[#This Row],[PROVEEDOR]],TERCEROS_INFO[#All],2,FALSE)</f>
        <v>30</v>
      </c>
      <c r="D1390" s="27">
        <f>+SUMIFS(PROVEEDORES[Total],PROVEEDORES[PROVEEDOR],PROVEEDORES[[#This Row],[PROVEEDOR]],PROVEEDORES[FECHA DE PAGO],"")</f>
        <v>0</v>
      </c>
      <c r="E1390" s="27"/>
      <c r="F1390" s="62" t="str">
        <f>+VLOOKUP(PROVEEDORES[[#This Row],[PROVEEDOR]],
                       Terceros!$A:$G,
                       6,
                       FALSE)</f>
        <v/>
      </c>
      <c r="G1390" s="95">
        <v>44651</v>
      </c>
      <c r="H1390" s="28" t="s">
        <v>1010</v>
      </c>
      <c r="I1390" s="95">
        <v>44651</v>
      </c>
      <c r="J1390" s="38" t="s">
        <v>943</v>
      </c>
      <c r="K1390" s="23">
        <v>190500</v>
      </c>
      <c r="L1390" s="23"/>
      <c r="M1390" s="24">
        <v>0</v>
      </c>
      <c r="N1390" s="25"/>
      <c r="O1390" s="24">
        <v>0</v>
      </c>
      <c r="P1390" s="136">
        <f>+IF(PROVEEDORES[[#This Row],[SUBTOTAL]]&lt;PROVEEDORES[[#This Row],[base retencion]],0,PROVEEDORES[[#This Row],[retención aplicada]])</f>
        <v>0</v>
      </c>
      <c r="Q1390" s="24">
        <f>+PROVEEDORES[[#This Row],[Rete Fuente %]]*PROVEEDORES[[#This Row],[SUBTOTAL]]</f>
        <v>0</v>
      </c>
      <c r="R1390" s="23">
        <v>190500</v>
      </c>
      <c r="S139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0" s="99">
        <f ca="1">IF(PROVEEDORES[[#This Row],[FECHA DE PAGO]]=0,TODAY()-PROVEEDORES[[#This Row],[FECHA DE FACTURACIÓN]]-PROVEEDORES[[#This Row],[PLAZO Días]],0)</f>
        <v>0</v>
      </c>
      <c r="U1390" s="149">
        <f>+VLOOKUP(PROVEEDORES[[#This Row],[PROVEEDOR]],Terceros!$A:$E,5,FALSE)</f>
        <v>0</v>
      </c>
      <c r="V1390" s="150">
        <f>+YEAR(PROVEEDORES[[#This Row],[FECHA DE FACTURACIÓN]])</f>
        <v>2022</v>
      </c>
      <c r="W1390" s="150">
        <f>+MATCH(PROVEEDORES[[#This Row],[año facturado]],Retenciones!$1:$1,0)</f>
        <v>5</v>
      </c>
      <c r="X1390" s="151">
        <f>+VLOOKUP(PROVEEDORES[[#This Row],[ID RETENCION]],Retenciones!$A$1:$O$24,PROVEEDORES[[#This Row],[indicador de columna]],FALSE)</f>
        <v>0</v>
      </c>
      <c r="Y1390" s="152">
        <f>+VLOOKUP(PROVEEDORES[[#This Row],[ID RETENCION]],Retenciones!$A$1:$O$24,2,FALSE)</f>
        <v>0</v>
      </c>
      <c r="Z1390" s="26"/>
      <c r="AA1390" s="26"/>
      <c r="AB1390" s="26"/>
      <c r="AC1390" s="26"/>
      <c r="AD1390" s="26"/>
      <c r="AE1390" s="26"/>
    </row>
    <row r="1391" spans="1:31" ht="21.95" customHeight="1" x14ac:dyDescent="0.25">
      <c r="A1391" s="97" t="str">
        <f>+IF(PROVEEDORES[[#This Row],[FECHA DE PAGO]]=PROVEEDORES[[#This Row],[FECHA DE FACTURACIÓN]],"DE CONTADO","CRÉDITO")</f>
        <v>DE CONTADO</v>
      </c>
      <c r="B1391" s="41" t="b">
        <f>+IF((PROVEEDORES[[#This Row],[FECHA DE PAGO]]-PROVEEDORES[[#This Row],[FECHA DE FACTURACIÓN]])&gt;PROVEEDORES[[#This Row],[PLAZO Días]],"PAGO VENCIDO")</f>
        <v>0</v>
      </c>
      <c r="C1391" s="22">
        <f>+VLOOKUP(PROVEEDORES[[#This Row],[PROVEEDOR]],TERCEROS_INFO[#All],2,FALSE)</f>
        <v>30</v>
      </c>
      <c r="D1391" s="27">
        <f>+SUMIFS(PROVEEDORES[Total],PROVEEDORES[PROVEEDOR],PROVEEDORES[[#This Row],[PROVEEDOR]],PROVEEDORES[FECHA DE PAGO],"")</f>
        <v>0</v>
      </c>
      <c r="E1391" s="27"/>
      <c r="F1391" s="62" t="str">
        <f>+VLOOKUP(PROVEEDORES[[#This Row],[PROVEEDOR]],
                       Terceros!$A:$G,
                       6,
                       FALSE)</f>
        <v/>
      </c>
      <c r="G1391" s="95">
        <v>44651</v>
      </c>
      <c r="H1391" s="28" t="s">
        <v>1010</v>
      </c>
      <c r="I1391" s="95">
        <v>44651</v>
      </c>
      <c r="J1391" s="38" t="s">
        <v>942</v>
      </c>
      <c r="K1391" s="23">
        <v>747150</v>
      </c>
      <c r="L1391" s="23"/>
      <c r="M1391" s="24">
        <v>0</v>
      </c>
      <c r="N1391" s="25"/>
      <c r="O1391" s="24">
        <v>0</v>
      </c>
      <c r="P1391" s="136">
        <f>+IF(PROVEEDORES[[#This Row],[SUBTOTAL]]&lt;PROVEEDORES[[#This Row],[base retencion]],0,PROVEEDORES[[#This Row],[retención aplicada]])</f>
        <v>0</v>
      </c>
      <c r="Q1391" s="24">
        <f>+PROVEEDORES[[#This Row],[Rete Fuente %]]*PROVEEDORES[[#This Row],[SUBTOTAL]]</f>
        <v>0</v>
      </c>
      <c r="R1391" s="23">
        <v>747150</v>
      </c>
      <c r="S139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1" s="99">
        <f ca="1">IF(PROVEEDORES[[#This Row],[FECHA DE PAGO]]=0,TODAY()-PROVEEDORES[[#This Row],[FECHA DE FACTURACIÓN]]-PROVEEDORES[[#This Row],[PLAZO Días]],0)</f>
        <v>0</v>
      </c>
      <c r="U1391" s="149">
        <f>+VLOOKUP(PROVEEDORES[[#This Row],[PROVEEDOR]],Terceros!$A:$E,5,FALSE)</f>
        <v>0</v>
      </c>
      <c r="V1391" s="150">
        <f>+YEAR(PROVEEDORES[[#This Row],[FECHA DE FACTURACIÓN]])</f>
        <v>2022</v>
      </c>
      <c r="W1391" s="150">
        <f>+MATCH(PROVEEDORES[[#This Row],[año facturado]],Retenciones!$1:$1,0)</f>
        <v>5</v>
      </c>
      <c r="X1391" s="151">
        <f>+VLOOKUP(PROVEEDORES[[#This Row],[ID RETENCION]],Retenciones!$A$1:$O$24,PROVEEDORES[[#This Row],[indicador de columna]],FALSE)</f>
        <v>0</v>
      </c>
      <c r="Y1391" s="152">
        <f>+VLOOKUP(PROVEEDORES[[#This Row],[ID RETENCION]],Retenciones!$A$1:$O$24,2,FALSE)</f>
        <v>0</v>
      </c>
      <c r="Z1391" s="26"/>
      <c r="AA1391" s="26"/>
      <c r="AB1391" s="26"/>
      <c r="AC1391" s="26"/>
      <c r="AD1391" s="26"/>
      <c r="AE1391" s="26"/>
    </row>
    <row r="1392" spans="1:31" ht="21.95" customHeight="1" x14ac:dyDescent="0.25">
      <c r="A1392" s="97" t="str">
        <f>+IF(PROVEEDORES[[#This Row],[FECHA DE PAGO]]=PROVEEDORES[[#This Row],[FECHA DE FACTURACIÓN]],"DE CONTADO","CRÉDITO")</f>
        <v>DE CONTADO</v>
      </c>
      <c r="B1392" s="41" t="b">
        <f>+IF((PROVEEDORES[[#This Row],[FECHA DE PAGO]]-PROVEEDORES[[#This Row],[FECHA DE FACTURACIÓN]])&gt;PROVEEDORES[[#This Row],[PLAZO Días]],"PAGO VENCIDO")</f>
        <v>0</v>
      </c>
      <c r="C1392" s="22">
        <f>+VLOOKUP(PROVEEDORES[[#This Row],[PROVEEDOR]],TERCEROS_INFO[#All],2,FALSE)</f>
        <v>30</v>
      </c>
      <c r="D1392" s="27">
        <f>+SUMIFS(PROVEEDORES[Total],PROVEEDORES[PROVEEDOR],PROVEEDORES[[#This Row],[PROVEEDOR]],PROVEEDORES[FECHA DE PAGO],"")</f>
        <v>0</v>
      </c>
      <c r="E1392" s="27"/>
      <c r="F1392" s="62" t="str">
        <f>+VLOOKUP(PROVEEDORES[[#This Row],[PROVEEDOR]],
                       Terceros!$A:$G,
                       6,
                       FALSE)</f>
        <v/>
      </c>
      <c r="G1392" s="95">
        <v>44651</v>
      </c>
      <c r="H1392" s="28" t="s">
        <v>1010</v>
      </c>
      <c r="I1392" s="95">
        <v>44651</v>
      </c>
      <c r="J1392" s="38" t="s">
        <v>180</v>
      </c>
      <c r="K1392" s="23">
        <v>807600</v>
      </c>
      <c r="L1392" s="23"/>
      <c r="M1392" s="24">
        <v>0</v>
      </c>
      <c r="N1392" s="25"/>
      <c r="O1392" s="24">
        <v>0</v>
      </c>
      <c r="P1392" s="136">
        <f>+IF(PROVEEDORES[[#This Row],[SUBTOTAL]]&lt;PROVEEDORES[[#This Row],[base retencion]],0,PROVEEDORES[[#This Row],[retención aplicada]])</f>
        <v>0</v>
      </c>
      <c r="Q1392" s="24">
        <f>+PROVEEDORES[[#This Row],[Rete Fuente %]]*PROVEEDORES[[#This Row],[SUBTOTAL]]</f>
        <v>0</v>
      </c>
      <c r="R1392" s="23">
        <v>807600</v>
      </c>
      <c r="S139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2" s="99">
        <f ca="1">IF(PROVEEDORES[[#This Row],[FECHA DE PAGO]]=0,TODAY()-PROVEEDORES[[#This Row],[FECHA DE FACTURACIÓN]]-PROVEEDORES[[#This Row],[PLAZO Días]],0)</f>
        <v>0</v>
      </c>
      <c r="U1392" s="149">
        <f>+VLOOKUP(PROVEEDORES[[#This Row],[PROVEEDOR]],Terceros!$A:$E,5,FALSE)</f>
        <v>0</v>
      </c>
      <c r="V1392" s="150">
        <f>+YEAR(PROVEEDORES[[#This Row],[FECHA DE FACTURACIÓN]])</f>
        <v>2022</v>
      </c>
      <c r="W1392" s="150">
        <f>+MATCH(PROVEEDORES[[#This Row],[año facturado]],Retenciones!$1:$1,0)</f>
        <v>5</v>
      </c>
      <c r="X1392" s="151">
        <f>+VLOOKUP(PROVEEDORES[[#This Row],[ID RETENCION]],Retenciones!$A$1:$O$24,PROVEEDORES[[#This Row],[indicador de columna]],FALSE)</f>
        <v>0</v>
      </c>
      <c r="Y1392" s="152">
        <f>+VLOOKUP(PROVEEDORES[[#This Row],[ID RETENCION]],Retenciones!$A$1:$O$24,2,FALSE)</f>
        <v>0</v>
      </c>
      <c r="Z1392" s="26"/>
      <c r="AA1392" s="26"/>
      <c r="AB1392" s="26"/>
      <c r="AC1392" s="26"/>
      <c r="AD1392" s="26"/>
      <c r="AE1392" s="26"/>
    </row>
    <row r="1393" spans="1:31" ht="21.95" customHeight="1" x14ac:dyDescent="0.25">
      <c r="A1393" s="97" t="str">
        <f>+IF(PROVEEDORES[[#This Row],[FECHA DE PAGO]]=PROVEEDORES[[#This Row],[FECHA DE FACTURACIÓN]],"DE CONTADO","CRÉDITO")</f>
        <v>DE CONTADO</v>
      </c>
      <c r="B1393" s="41" t="b">
        <f>+IF((PROVEEDORES[[#This Row],[FECHA DE PAGO]]-PROVEEDORES[[#This Row],[FECHA DE FACTURACIÓN]])&gt;PROVEEDORES[[#This Row],[PLAZO Días]],"PAGO VENCIDO")</f>
        <v>0</v>
      </c>
      <c r="C1393" s="22">
        <f>+VLOOKUP(PROVEEDORES[[#This Row],[PROVEEDOR]],TERCEROS_INFO[#All],2,FALSE)</f>
        <v>30</v>
      </c>
      <c r="D1393" s="27">
        <f>+SUMIFS(PROVEEDORES[Total],PROVEEDORES[PROVEEDOR],PROVEEDORES[[#This Row],[PROVEEDOR]],PROVEEDORES[FECHA DE PAGO],"")</f>
        <v>0</v>
      </c>
      <c r="E1393" s="27"/>
      <c r="F1393" s="62" t="str">
        <f>+VLOOKUP(PROVEEDORES[[#This Row],[PROVEEDOR]],
                       Terceros!$A:$G,
                       6,
                       FALSE)</f>
        <v/>
      </c>
      <c r="G1393" s="95">
        <v>44651</v>
      </c>
      <c r="H1393" s="28" t="s">
        <v>1010</v>
      </c>
      <c r="I1393" s="95">
        <v>44651</v>
      </c>
      <c r="J1393" s="38" t="s">
        <v>940</v>
      </c>
      <c r="K1393" s="23">
        <v>3637200</v>
      </c>
      <c r="L1393" s="23"/>
      <c r="M1393" s="24">
        <v>0</v>
      </c>
      <c r="N1393" s="25"/>
      <c r="O1393" s="24">
        <v>0</v>
      </c>
      <c r="P1393" s="136">
        <f>+IF(PROVEEDORES[[#This Row],[SUBTOTAL]]&lt;PROVEEDORES[[#This Row],[base retencion]],0,PROVEEDORES[[#This Row],[retención aplicada]])</f>
        <v>0</v>
      </c>
      <c r="Q1393" s="24">
        <f>+PROVEEDORES[[#This Row],[Rete Fuente %]]*PROVEEDORES[[#This Row],[SUBTOTAL]]</f>
        <v>0</v>
      </c>
      <c r="R1393" s="23">
        <v>3637200</v>
      </c>
      <c r="S139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3" s="99">
        <f ca="1">IF(PROVEEDORES[[#This Row],[FECHA DE PAGO]]=0,TODAY()-PROVEEDORES[[#This Row],[FECHA DE FACTURACIÓN]]-PROVEEDORES[[#This Row],[PLAZO Días]],0)</f>
        <v>0</v>
      </c>
      <c r="U1393" s="149">
        <f>+VLOOKUP(PROVEEDORES[[#This Row],[PROVEEDOR]],Terceros!$A:$E,5,FALSE)</f>
        <v>0</v>
      </c>
      <c r="V1393" s="150">
        <f>+YEAR(PROVEEDORES[[#This Row],[FECHA DE FACTURACIÓN]])</f>
        <v>2022</v>
      </c>
      <c r="W1393" s="150">
        <f>+MATCH(PROVEEDORES[[#This Row],[año facturado]],Retenciones!$1:$1,0)</f>
        <v>5</v>
      </c>
      <c r="X1393" s="151">
        <f>+VLOOKUP(PROVEEDORES[[#This Row],[ID RETENCION]],Retenciones!$A$1:$O$24,PROVEEDORES[[#This Row],[indicador de columna]],FALSE)</f>
        <v>0</v>
      </c>
      <c r="Y1393" s="152">
        <f>+VLOOKUP(PROVEEDORES[[#This Row],[ID RETENCION]],Retenciones!$A$1:$O$24,2,FALSE)</f>
        <v>0</v>
      </c>
      <c r="Z1393" s="26"/>
      <c r="AA1393" s="26"/>
      <c r="AB1393" s="26"/>
      <c r="AC1393" s="26"/>
      <c r="AD1393" s="26"/>
      <c r="AE1393" s="26"/>
    </row>
    <row r="1394" spans="1:31" ht="21.95" customHeight="1" x14ac:dyDescent="0.25">
      <c r="A1394" s="97" t="str">
        <f>+IF(PROVEEDORES[[#This Row],[FECHA DE PAGO]]=PROVEEDORES[[#This Row],[FECHA DE FACTURACIÓN]],"DE CONTADO","CRÉDITO")</f>
        <v>CRÉDITO</v>
      </c>
      <c r="B1394" s="41" t="b">
        <f>+IF((PROVEEDORES[[#This Row],[FECHA DE PAGO]]-PROVEEDORES[[#This Row],[FECHA DE FACTURACIÓN]])&gt;PROVEEDORES[[#This Row],[PLAZO Días]],"PAGO VENCIDO")</f>
        <v>0</v>
      </c>
      <c r="C1394" s="22">
        <f>+VLOOKUP(PROVEEDORES[[#This Row],[PROVEEDOR]],TERCEROS_INFO[#All],2,FALSE)</f>
        <v>90</v>
      </c>
      <c r="D1394" s="27">
        <f>+SUMIFS(PROVEEDORES[Total],PROVEEDORES[PROVEEDOR],PROVEEDORES[[#This Row],[PROVEEDOR]],PROVEEDORES[FECHA DE PAGO],"")</f>
        <v>28052953.019999996</v>
      </c>
      <c r="E1394" s="27"/>
      <c r="F1394" s="62" t="str">
        <f>+VLOOKUP(PROVEEDORES[[#This Row],[PROVEEDOR]],
                       Terceros!$A:$G,
                       6,
                       FALSE)</f>
        <v>criszapata1234@gmail.com;girlesa.ruiz@servipilas.com;joriescobar64@gmail.com</v>
      </c>
      <c r="H1394" s="28" t="s">
        <v>78</v>
      </c>
      <c r="I1394" s="95">
        <v>44651</v>
      </c>
      <c r="J1394" s="38" t="s">
        <v>1292</v>
      </c>
      <c r="K1394" s="23">
        <v>-1920170</v>
      </c>
      <c r="L1394" s="23"/>
      <c r="M1394" s="24">
        <f>(PROVEEDORES[[#This Row],[SUBTOTAL]]-PROVEEDORES[[#This Row],[descuento antes de IVA]])*VLOOKUP(PROVEEDORES[[#This Row],[PROVEEDOR]],TERCEROS_INFO[#All],3,FALSE)</f>
        <v>-364832.3</v>
      </c>
      <c r="N1394" s="25"/>
      <c r="O1394" s="24">
        <f>+PROVEEDORES[[#This Row],[Descuento sobre subtotal %]]*(PROVEEDORES[[#This Row],[SUBTOTAL]]-PROVEEDORES[[#This Row],[descuento antes de IVA]])</f>
        <v>0</v>
      </c>
      <c r="P1394" s="136">
        <v>2.5000000000000001E-2</v>
      </c>
      <c r="Q1394" s="24">
        <f>+PROVEEDORES[[#This Row],[Rete Fuente %]]*PROVEEDORES[[#This Row],[SUBTOTAL]]</f>
        <v>-48004.25</v>
      </c>
      <c r="R1394" s="23">
        <f>+PROVEEDORES[[#This Row],[SUBTOTAL]]+PROVEEDORES[[#This Row],[IVA 19%]]-PROVEEDORES[[#This Row],[descuento antes de IVA]]-PROVEEDORES[[#This Row],[Descuento sobre subtotal $]]-PROVEEDORES[[#This Row],[Rete Fuente $]]</f>
        <v>-2236998.0499999998</v>
      </c>
      <c r="S1394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394" s="99">
        <f ca="1">IF(PROVEEDORES[[#This Row],[FECHA DE PAGO]]=0,TODAY()-PROVEEDORES[[#This Row],[FECHA DE FACTURACIÓN]]-PROVEEDORES[[#This Row],[PLAZO Días]],0)</f>
        <v>-57</v>
      </c>
      <c r="U1394" s="149" t="str">
        <f>+VLOOKUP(PROVEEDORES[[#This Row],[PROVEEDOR]],Terceros!$A:$E,5,FALSE)</f>
        <v>2,5% con base</v>
      </c>
      <c r="V1394" s="150">
        <f>+YEAR(PROVEEDORES[[#This Row],[FECHA DE FACTURACIÓN]])</f>
        <v>2022</v>
      </c>
      <c r="W1394" s="150">
        <f>+MATCH(PROVEEDORES[[#This Row],[año facturado]],Retenciones!$1:$1,0)</f>
        <v>5</v>
      </c>
      <c r="X1394" s="151">
        <f>+VLOOKUP(PROVEEDORES[[#This Row],[ID RETENCION]],Retenciones!$A$1:$O$24,PROVEEDORES[[#This Row],[indicador de columna]],FALSE)</f>
        <v>1026000</v>
      </c>
      <c r="Y1394" s="152">
        <f>+VLOOKUP(PROVEEDORES[[#This Row],[ID RETENCION]],Retenciones!$A$1:$O$24,2,FALSE)</f>
        <v>2.5000000000000001E-2</v>
      </c>
      <c r="Z1394" s="26"/>
      <c r="AA1394" s="26"/>
      <c r="AB1394" s="26"/>
      <c r="AC1394" s="26"/>
      <c r="AD1394" s="26"/>
      <c r="AE1394" s="26"/>
    </row>
    <row r="1395" spans="1:31" ht="21.95" customHeight="1" x14ac:dyDescent="0.25">
      <c r="A1395" s="97" t="str">
        <f>+IF(PROVEEDORES[[#This Row],[FECHA DE PAGO]]=PROVEEDORES[[#This Row],[FECHA DE FACTURACIÓN]],"DE CONTADO","CRÉDITO")</f>
        <v>DE CONTADO</v>
      </c>
      <c r="B1395" s="41" t="b">
        <f>+IF((PROVEEDORES[[#This Row],[FECHA DE PAGO]]-PROVEEDORES[[#This Row],[FECHA DE FACTURACIÓN]])&gt;PROVEEDORES[[#This Row],[PLAZO Días]],"PAGO VENCIDO")</f>
        <v>0</v>
      </c>
      <c r="C1395" s="22">
        <f>+VLOOKUP(PROVEEDORES[[#This Row],[PROVEEDOR]],TERCEROS_INFO[#All],2,FALSE)</f>
        <v>30</v>
      </c>
      <c r="D1395" s="27">
        <f>+SUMIFS(PROVEEDORES[Total],PROVEEDORES[PROVEEDOR],PROVEEDORES[[#This Row],[PROVEEDOR]],PROVEEDORES[FECHA DE PAGO],"")</f>
        <v>0</v>
      </c>
      <c r="E1395" s="27"/>
      <c r="F1395" s="62" t="str">
        <f>+VLOOKUP(PROVEEDORES[[#This Row],[PROVEEDOR]],
                       Terceros!$A:$G,
                       6,
                       FALSE)</f>
        <v/>
      </c>
      <c r="G1395" s="95">
        <v>44652</v>
      </c>
      <c r="H1395" s="28" t="s">
        <v>983</v>
      </c>
      <c r="I1395" s="95">
        <v>44652</v>
      </c>
      <c r="J1395" s="38" t="s">
        <v>1251</v>
      </c>
      <c r="K1395" s="23">
        <f>298000-180000</f>
        <v>118000</v>
      </c>
      <c r="L1395" s="23"/>
      <c r="M1395" s="24">
        <f>(PROVEEDORES[[#This Row],[SUBTOTAL]]-PROVEEDORES[[#This Row],[descuento antes de IVA]])*VLOOKUP(PROVEEDORES[[#This Row],[PROVEEDOR]],TERCEROS_INFO[#All],3,FALSE)</f>
        <v>0</v>
      </c>
      <c r="N1395" s="25"/>
      <c r="O1395" s="24">
        <f>+PROVEEDORES[[#This Row],[Descuento sobre subtotal %]]*(PROVEEDORES[[#This Row],[SUBTOTAL]]-PROVEEDORES[[#This Row],[descuento antes de IVA]])</f>
        <v>0</v>
      </c>
      <c r="P1395" s="136">
        <f>+IF(PROVEEDORES[[#This Row],[SUBTOTAL]]&lt;PROVEEDORES[[#This Row],[base retencion]],0,PROVEEDORES[[#This Row],[retención aplicada]])</f>
        <v>0</v>
      </c>
      <c r="Q1395" s="24">
        <f>+PROVEEDORES[[#This Row],[Rete Fuente %]]*PROVEEDORES[[#This Row],[SUBTOTAL]]</f>
        <v>0</v>
      </c>
      <c r="R1395" s="23">
        <f>+PROVEEDORES[[#This Row],[SUBTOTAL]]+PROVEEDORES[[#This Row],[IVA 19%]]-PROVEEDORES[[#This Row],[descuento antes de IVA]]-PROVEEDORES[[#This Row],[Descuento sobre subtotal $]]-PROVEEDORES[[#This Row],[Rete Fuente $]]</f>
        <v>118000</v>
      </c>
      <c r="S139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5" s="99">
        <f ca="1">IF(PROVEEDORES[[#This Row],[FECHA DE PAGO]]=0,TODAY()-PROVEEDORES[[#This Row],[FECHA DE FACTURACIÓN]]-PROVEEDORES[[#This Row],[PLAZO Días]],0)</f>
        <v>0</v>
      </c>
      <c r="U1395" s="149">
        <f>+VLOOKUP(PROVEEDORES[[#This Row],[PROVEEDOR]],Terceros!$A:$E,5,FALSE)</f>
        <v>0</v>
      </c>
      <c r="V1395" s="150">
        <f>+YEAR(PROVEEDORES[[#This Row],[FECHA DE FACTURACIÓN]])</f>
        <v>2022</v>
      </c>
      <c r="W1395" s="150">
        <f>+MATCH(PROVEEDORES[[#This Row],[año facturado]],Retenciones!$1:$1,0)</f>
        <v>5</v>
      </c>
      <c r="X1395" s="151">
        <f>+VLOOKUP(PROVEEDORES[[#This Row],[ID RETENCION]],Retenciones!$A$1:$O$24,PROVEEDORES[[#This Row],[indicador de columna]],FALSE)</f>
        <v>0</v>
      </c>
      <c r="Y1395" s="152">
        <f>+VLOOKUP(PROVEEDORES[[#This Row],[ID RETENCION]],Retenciones!$A$1:$O$24,2,FALSE)</f>
        <v>0</v>
      </c>
      <c r="Z1395" s="26"/>
      <c r="AA1395" s="26"/>
      <c r="AB1395" s="26"/>
      <c r="AC1395" s="26"/>
      <c r="AD1395" s="26"/>
      <c r="AE1395" s="26"/>
    </row>
    <row r="1396" spans="1:31" ht="21.95" customHeight="1" x14ac:dyDescent="0.25">
      <c r="A1396" s="97" t="str">
        <f>+IF(PROVEEDORES[[#This Row],[FECHA DE PAGO]]=PROVEEDORES[[#This Row],[FECHA DE FACTURACIÓN]],"DE CONTADO","CRÉDITO")</f>
        <v>CRÉDITO</v>
      </c>
      <c r="B1396" s="41" t="b">
        <f>+IF((PROVEEDORES[[#This Row],[FECHA DE PAGO]]-PROVEEDORES[[#This Row],[FECHA DE FACTURACIÓN]])&gt;PROVEEDORES[[#This Row],[PLAZO Días]],"PAGO VENCIDO")</f>
        <v>0</v>
      </c>
      <c r="C1396" s="22">
        <f>+VLOOKUP(PROVEEDORES[[#This Row],[PROVEEDOR]],TERCEROS_INFO[#All],2,FALSE)</f>
        <v>13</v>
      </c>
      <c r="D1396" s="27">
        <f>+SUMIFS(PROVEEDORES[Total],PROVEEDORES[PROVEEDOR],PROVEEDORES[[#This Row],[PROVEEDOR]],PROVEEDORES[FECHA DE PAGO],"")</f>
        <v>2130283</v>
      </c>
      <c r="E1396" s="27"/>
      <c r="F1396" s="62">
        <f>+VLOOKUP(PROVEEDORES[[#This Row],[PROVEEDOR]],
                       Terceros!$A:$G,
                       6,
                       FALSE)</f>
        <v>0</v>
      </c>
      <c r="G1396" s="95">
        <v>44663</v>
      </c>
      <c r="H1396" s="28" t="s">
        <v>326</v>
      </c>
      <c r="I1396" s="95">
        <v>44652</v>
      </c>
      <c r="J1396" s="38" t="s">
        <v>328</v>
      </c>
      <c r="K1396" s="23">
        <v>342453</v>
      </c>
      <c r="L1396" s="23"/>
      <c r="M1396" s="24">
        <v>0</v>
      </c>
      <c r="N1396" s="25"/>
      <c r="O1396" s="24">
        <v>0</v>
      </c>
      <c r="P1396" s="136">
        <f>+IF(PROVEEDORES[[#This Row],[SUBTOTAL]]&lt;PROVEEDORES[[#This Row],[base retencion]],0,PROVEEDORES[[#This Row],[retención aplicada]])</f>
        <v>0</v>
      </c>
      <c r="Q1396" s="24">
        <f>+PROVEEDORES[[#This Row],[Rete Fuente %]]*PROVEEDORES[[#This Row],[SUBTOTAL]]</f>
        <v>0</v>
      </c>
      <c r="R1396" s="23">
        <v>342453</v>
      </c>
      <c r="S139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6" s="99">
        <f ca="1">IF(PROVEEDORES[[#This Row],[FECHA DE PAGO]]=0,TODAY()-PROVEEDORES[[#This Row],[FECHA DE FACTURACIÓN]]-PROVEEDORES[[#This Row],[PLAZO Días]],0)</f>
        <v>0</v>
      </c>
      <c r="U1396" s="149">
        <f>+VLOOKUP(PROVEEDORES[[#This Row],[PROVEEDOR]],Terceros!$A:$E,5,FALSE)</f>
        <v>0</v>
      </c>
      <c r="V1396" s="150">
        <f>+YEAR(PROVEEDORES[[#This Row],[FECHA DE FACTURACIÓN]])</f>
        <v>2022</v>
      </c>
      <c r="W1396" s="150">
        <f>+MATCH(PROVEEDORES[[#This Row],[año facturado]],Retenciones!$1:$1,0)</f>
        <v>5</v>
      </c>
      <c r="X1396" s="151">
        <f>+VLOOKUP(PROVEEDORES[[#This Row],[ID RETENCION]],Retenciones!$A$1:$O$24,PROVEEDORES[[#This Row],[indicador de columna]],FALSE)</f>
        <v>0</v>
      </c>
      <c r="Y1396" s="152">
        <f>+VLOOKUP(PROVEEDORES[[#This Row],[ID RETENCION]],Retenciones!$A$1:$O$24,2,FALSE)</f>
        <v>0</v>
      </c>
      <c r="Z1396" s="26"/>
      <c r="AA1396" s="26"/>
      <c r="AB1396" s="26"/>
      <c r="AC1396" s="26"/>
      <c r="AD1396" s="26"/>
      <c r="AE1396" s="26"/>
    </row>
    <row r="1397" spans="1:31" ht="21.95" customHeight="1" x14ac:dyDescent="0.25">
      <c r="A1397" s="97" t="str">
        <f>+IF(PROVEEDORES[[#This Row],[FECHA DE PAGO]]=PROVEEDORES[[#This Row],[FECHA DE FACTURACIÓN]],"DE CONTADO","CRÉDITO")</f>
        <v>CRÉDITO</v>
      </c>
      <c r="B1397" s="41" t="b">
        <f>+IF((PROVEEDORES[[#This Row],[FECHA DE PAGO]]-PROVEEDORES[[#This Row],[FECHA DE FACTURACIÓN]])&gt;PROVEEDORES[[#This Row],[PLAZO Días]],"PAGO VENCIDO")</f>
        <v>0</v>
      </c>
      <c r="C1397" s="22">
        <f>+VLOOKUP(PROVEEDORES[[#This Row],[PROVEEDOR]],TERCEROS_INFO[#All],2,FALSE)</f>
        <v>30</v>
      </c>
      <c r="D1397" s="27">
        <f>+SUMIFS(PROVEEDORES[Total],PROVEEDORES[PROVEEDOR],PROVEEDORES[[#This Row],[PROVEEDOR]],PROVEEDORES[FECHA DE PAGO],"")</f>
        <v>0</v>
      </c>
      <c r="E1397" s="27"/>
      <c r="F1397" s="62" t="str">
        <f>+VLOOKUP(PROVEEDORES[[#This Row],[PROVEEDOR]],
                       Terceros!$A:$G,
                       6,
                       FALSE)</f>
        <v>PSE</v>
      </c>
      <c r="G1397" s="95">
        <v>44663</v>
      </c>
      <c r="H1397" s="28" t="s">
        <v>350</v>
      </c>
      <c r="I1397" s="95">
        <v>44652</v>
      </c>
      <c r="J1397" s="38" t="s">
        <v>352</v>
      </c>
      <c r="K1397" s="23">
        <v>818874</v>
      </c>
      <c r="L1397" s="23"/>
      <c r="M1397" s="24">
        <v>0</v>
      </c>
      <c r="N1397" s="25"/>
      <c r="O1397" s="24">
        <v>0</v>
      </c>
      <c r="P1397" s="136">
        <f>+IF(PROVEEDORES[[#This Row],[SUBTOTAL]]&lt;PROVEEDORES[[#This Row],[base retencion]],0,PROVEEDORES[[#This Row],[retención aplicada]])</f>
        <v>0</v>
      </c>
      <c r="Q1397" s="24">
        <f>+PROVEEDORES[[#This Row],[Rete Fuente %]]*PROVEEDORES[[#This Row],[SUBTOTAL]]</f>
        <v>0</v>
      </c>
      <c r="R1397" s="23">
        <v>818874</v>
      </c>
      <c r="S139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7" s="99">
        <f ca="1">IF(PROVEEDORES[[#This Row],[FECHA DE PAGO]]=0,TODAY()-PROVEEDORES[[#This Row],[FECHA DE FACTURACIÓN]]-PROVEEDORES[[#This Row],[PLAZO Días]],0)</f>
        <v>0</v>
      </c>
      <c r="U1397" s="149">
        <f>+VLOOKUP(PROVEEDORES[[#This Row],[PROVEEDOR]],Terceros!$A:$E,5,FALSE)</f>
        <v>0</v>
      </c>
      <c r="V1397" s="150">
        <f>+YEAR(PROVEEDORES[[#This Row],[FECHA DE FACTURACIÓN]])</f>
        <v>2022</v>
      </c>
      <c r="W1397" s="150">
        <f>+MATCH(PROVEEDORES[[#This Row],[año facturado]],Retenciones!$1:$1,0)</f>
        <v>5</v>
      </c>
      <c r="X1397" s="151">
        <f>+VLOOKUP(PROVEEDORES[[#This Row],[ID RETENCION]],Retenciones!$A$1:$O$24,PROVEEDORES[[#This Row],[indicador de columna]],FALSE)</f>
        <v>0</v>
      </c>
      <c r="Y1397" s="152">
        <f>+VLOOKUP(PROVEEDORES[[#This Row],[ID RETENCION]],Retenciones!$A$1:$O$24,2,FALSE)</f>
        <v>0</v>
      </c>
      <c r="Z1397" s="26"/>
      <c r="AA1397" s="26"/>
      <c r="AB1397" s="26"/>
      <c r="AC1397" s="26"/>
      <c r="AD1397" s="26"/>
      <c r="AE1397" s="26"/>
    </row>
    <row r="1398" spans="1:31" ht="21.95" customHeight="1" x14ac:dyDescent="0.25">
      <c r="A1398" s="97" t="str">
        <f>+IF(PROVEEDORES[[#This Row],[FECHA DE PAGO]]=PROVEEDORES[[#This Row],[FECHA DE FACTURACIÓN]],"DE CONTADO","CRÉDITO")</f>
        <v>CRÉDITO</v>
      </c>
      <c r="B1398" s="41" t="b">
        <f>+IF((PROVEEDORES[[#This Row],[FECHA DE PAGO]]-PROVEEDORES[[#This Row],[FECHA DE FACTURACIÓN]])&gt;PROVEEDORES[[#This Row],[PLAZO Días]],"PAGO VENCIDO")</f>
        <v>0</v>
      </c>
      <c r="C1398" s="22">
        <f>+VLOOKUP(PROVEEDORES[[#This Row],[PROVEEDOR]],TERCEROS_INFO[#All],2,FALSE)</f>
        <v>30</v>
      </c>
      <c r="D1398" s="27">
        <f>+SUMIFS(PROVEEDORES[Total],PROVEEDORES[PROVEEDOR],PROVEEDORES[[#This Row],[PROVEEDOR]],PROVEEDORES[FECHA DE PAGO],"")</f>
        <v>0</v>
      </c>
      <c r="E1398" s="27"/>
      <c r="F1398" s="62" t="str">
        <f>+VLOOKUP(PROVEEDORES[[#This Row],[PROVEEDOR]],
                       Terceros!$A:$G,
                       6,
                       FALSE)</f>
        <v>PSE</v>
      </c>
      <c r="G1398" s="95">
        <v>44663</v>
      </c>
      <c r="H1398" s="28" t="s">
        <v>350</v>
      </c>
      <c r="I1398" s="95">
        <v>44652</v>
      </c>
      <c r="J1398" s="38" t="s">
        <v>351</v>
      </c>
      <c r="K1398" s="23">
        <v>825349</v>
      </c>
      <c r="L1398" s="23"/>
      <c r="M1398" s="24">
        <v>0</v>
      </c>
      <c r="N1398" s="25"/>
      <c r="O1398" s="24">
        <v>0</v>
      </c>
      <c r="P1398" s="136">
        <f>+IF(PROVEEDORES[[#This Row],[SUBTOTAL]]&lt;PROVEEDORES[[#This Row],[base retencion]],0,PROVEEDORES[[#This Row],[retención aplicada]])</f>
        <v>0</v>
      </c>
      <c r="Q1398" s="24">
        <f>+PROVEEDORES[[#This Row],[Rete Fuente %]]*PROVEEDORES[[#This Row],[SUBTOTAL]]</f>
        <v>0</v>
      </c>
      <c r="R1398" s="23">
        <v>825349</v>
      </c>
      <c r="S139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8" s="99">
        <f ca="1">IF(PROVEEDORES[[#This Row],[FECHA DE PAGO]]=0,TODAY()-PROVEEDORES[[#This Row],[FECHA DE FACTURACIÓN]]-PROVEEDORES[[#This Row],[PLAZO Días]],0)</f>
        <v>0</v>
      </c>
      <c r="U1398" s="149">
        <f>+VLOOKUP(PROVEEDORES[[#This Row],[PROVEEDOR]],Terceros!$A:$E,5,FALSE)</f>
        <v>0</v>
      </c>
      <c r="V1398" s="150">
        <f>+YEAR(PROVEEDORES[[#This Row],[FECHA DE FACTURACIÓN]])</f>
        <v>2022</v>
      </c>
      <c r="W1398" s="150">
        <f>+MATCH(PROVEEDORES[[#This Row],[año facturado]],Retenciones!$1:$1,0)</f>
        <v>5</v>
      </c>
      <c r="X1398" s="151">
        <f>+VLOOKUP(PROVEEDORES[[#This Row],[ID RETENCION]],Retenciones!$A$1:$O$24,PROVEEDORES[[#This Row],[indicador de columna]],FALSE)</f>
        <v>0</v>
      </c>
      <c r="Y1398" s="152">
        <f>+VLOOKUP(PROVEEDORES[[#This Row],[ID RETENCION]],Retenciones!$A$1:$O$24,2,FALSE)</f>
        <v>0</v>
      </c>
      <c r="Z1398" s="26"/>
      <c r="AA1398" s="26"/>
      <c r="AB1398" s="26"/>
      <c r="AC1398" s="26"/>
      <c r="AD1398" s="26"/>
      <c r="AE1398" s="26"/>
    </row>
    <row r="1399" spans="1:31" ht="21.95" customHeight="1" x14ac:dyDescent="0.25">
      <c r="A1399" s="97" t="str">
        <f>+IF(PROVEEDORES[[#This Row],[FECHA DE PAGO]]=PROVEEDORES[[#This Row],[FECHA DE FACTURACIÓN]],"DE CONTADO","CRÉDITO")</f>
        <v>CRÉDITO</v>
      </c>
      <c r="B1399" s="41" t="b">
        <f>+IF((PROVEEDORES[[#This Row],[FECHA DE PAGO]]-PROVEEDORES[[#This Row],[FECHA DE FACTURACIÓN]])&gt;PROVEEDORES[[#This Row],[PLAZO Días]],"PAGO VENCIDO")</f>
        <v>0</v>
      </c>
      <c r="C1399" s="22">
        <f>+VLOOKUP(PROVEEDORES[[#This Row],[PROVEEDOR]],TERCEROS_INFO[#All],2,FALSE)</f>
        <v>20</v>
      </c>
      <c r="D1399" s="27">
        <f>+SUMIFS(PROVEEDORES[Total],PROVEEDORES[PROVEEDOR],PROVEEDORES[[#This Row],[PROVEEDOR]],PROVEEDORES[FECHA DE PAGO],"")</f>
        <v>0</v>
      </c>
      <c r="E1399" s="27"/>
      <c r="F1399" s="62" t="str">
        <f>+VLOOKUP(PROVEEDORES[[#This Row],[PROVEEDOR]],
                       Terceros!$A:$G,
                       6,
                       FALSE)</f>
        <v>pse</v>
      </c>
      <c r="G1399" s="95">
        <v>44663</v>
      </c>
      <c r="H1399" s="28" t="s">
        <v>371</v>
      </c>
      <c r="I1399" s="95">
        <v>44652</v>
      </c>
      <c r="J1399" s="38"/>
      <c r="K1399" s="23">
        <v>948924</v>
      </c>
      <c r="L1399" s="23"/>
      <c r="M1399" s="24">
        <f>(PROVEEDORES[[#This Row],[SUBTOTAL]]-PROVEEDORES[[#This Row],[descuento antes de IVA]])*VLOOKUP(PROVEEDORES[[#This Row],[PROVEEDOR]],TERCEROS_INFO[#All],3,FALSE)</f>
        <v>0</v>
      </c>
      <c r="N1399" s="25"/>
      <c r="O1399" s="24">
        <f>+PROVEEDORES[[#This Row],[Descuento sobre subtotal %]]*(PROVEEDORES[[#This Row],[SUBTOTAL]]-PROVEEDORES[[#This Row],[descuento antes de IVA]])</f>
        <v>0</v>
      </c>
      <c r="P1399" s="136">
        <f>+IF(PROVEEDORES[[#This Row],[SUBTOTAL]]&lt;PROVEEDORES[[#This Row],[base retencion]],0,PROVEEDORES[[#This Row],[retención aplicada]])</f>
        <v>0</v>
      </c>
      <c r="Q1399" s="24">
        <f>+PROVEEDORES[[#This Row],[Rete Fuente %]]*PROVEEDORES[[#This Row],[SUBTOTAL]]</f>
        <v>0</v>
      </c>
      <c r="R1399" s="23">
        <f>+PROVEEDORES[[#This Row],[SUBTOTAL]]+PROVEEDORES[[#This Row],[IVA 19%]]-PROVEEDORES[[#This Row],[descuento antes de IVA]]-PROVEEDORES[[#This Row],[Descuento sobre subtotal $]]-PROVEEDORES[[#This Row],[Rete Fuente $]]</f>
        <v>948924</v>
      </c>
      <c r="S139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9" s="99">
        <f ca="1">IF(PROVEEDORES[[#This Row],[FECHA DE PAGO]]=0,TODAY()-PROVEEDORES[[#This Row],[FECHA DE FACTURACIÓN]]-PROVEEDORES[[#This Row],[PLAZO Días]],0)</f>
        <v>0</v>
      </c>
      <c r="U1399" s="149">
        <f>+VLOOKUP(PROVEEDORES[[#This Row],[PROVEEDOR]],Terceros!$A:$E,5,FALSE)</f>
        <v>0</v>
      </c>
      <c r="V1399" s="150">
        <f>+YEAR(PROVEEDORES[[#This Row],[FECHA DE FACTURACIÓN]])</f>
        <v>2022</v>
      </c>
      <c r="W1399" s="150">
        <f>+MATCH(PROVEEDORES[[#This Row],[año facturado]],Retenciones!$1:$1,0)</f>
        <v>5</v>
      </c>
      <c r="X1399" s="151">
        <f>+VLOOKUP(PROVEEDORES[[#This Row],[ID RETENCION]],Retenciones!$A$1:$O$24,PROVEEDORES[[#This Row],[indicador de columna]],FALSE)</f>
        <v>0</v>
      </c>
      <c r="Y1399" s="152">
        <f>+VLOOKUP(PROVEEDORES[[#This Row],[ID RETENCION]],Retenciones!$A$1:$O$24,2,FALSE)</f>
        <v>0</v>
      </c>
      <c r="Z1399" s="26"/>
      <c r="AA1399" s="26"/>
      <c r="AB1399" s="26"/>
      <c r="AC1399" s="26"/>
      <c r="AD1399" s="26"/>
      <c r="AE1399" s="26"/>
    </row>
    <row r="1400" spans="1:31" ht="21.95" customHeight="1" x14ac:dyDescent="0.25">
      <c r="A1400" s="97" t="str">
        <f>+IF(PROVEEDORES[[#This Row],[FECHA DE PAGO]]=PROVEEDORES[[#This Row],[FECHA DE FACTURACIÓN]],"DE CONTADO","CRÉDITO")</f>
        <v>CRÉDITO</v>
      </c>
      <c r="B1400" s="41" t="b">
        <f>+IF((PROVEEDORES[[#This Row],[FECHA DE PAGO]]-PROVEEDORES[[#This Row],[FECHA DE FACTURACIÓN]])&gt;PROVEEDORES[[#This Row],[PLAZO Días]],"PAGO VENCIDO")</f>
        <v>0</v>
      </c>
      <c r="C1400" s="22">
        <f>+VLOOKUP(PROVEEDORES[[#This Row],[PROVEEDOR]],TERCEROS_INFO[#All],2,FALSE)</f>
        <v>90</v>
      </c>
      <c r="D1400" s="27">
        <f>+SUMIFS(PROVEEDORES[Total],PROVEEDORES[PROVEEDOR],PROVEEDORES[[#This Row],[PROVEEDOR]],PROVEEDORES[FECHA DE PAGO],"")</f>
        <v>0</v>
      </c>
      <c r="E1400" s="27"/>
      <c r="F1400" s="62" t="str">
        <f>+VLOOKUP(PROVEEDORES[[#This Row],[PROVEEDOR]],
                       Terceros!$A:$G,
                       6,
                       FALSE)</f>
        <v>dua@cedesistemas.edu.co;girlesa.ruiz@servipilas.com;joriescobar64@gmail.com</v>
      </c>
      <c r="G1400" s="95">
        <v>44678</v>
      </c>
      <c r="H1400" s="28" t="s">
        <v>1099</v>
      </c>
      <c r="I1400" s="95">
        <v>44606</v>
      </c>
      <c r="J1400" s="38">
        <v>556</v>
      </c>
      <c r="K1400" s="23">
        <v>1890000</v>
      </c>
      <c r="L1400" s="23"/>
      <c r="M1400" s="24">
        <f>(PROVEEDORES[[#This Row],[SUBTOTAL]]-PROVEEDORES[[#This Row],[descuento antes de IVA]])*VLOOKUP(PROVEEDORES[[#This Row],[PROVEEDOR]],TERCEROS_INFO[#All],3,FALSE)</f>
        <v>0</v>
      </c>
      <c r="N1400" s="25"/>
      <c r="O1400" s="24">
        <f>+PROVEEDORES[[#This Row],[Descuento sobre subtotal %]]*(PROVEEDORES[[#This Row],[SUBTOTAL]]-PROVEEDORES[[#This Row],[descuento antes de IVA]])</f>
        <v>0</v>
      </c>
      <c r="P1400" s="136">
        <f>+IF(PROVEEDORES[[#This Row],[SUBTOTAL]]&lt;PROVEEDORES[[#This Row],[base retencion]],0,PROVEEDORES[[#This Row],[retención aplicada]])</f>
        <v>3.5000000000000003E-2</v>
      </c>
      <c r="Q1400" s="24">
        <f>+PROVEEDORES[[#This Row],[Rete Fuente %]]*PROVEEDORES[[#This Row],[SUBTOTAL]]</f>
        <v>66150</v>
      </c>
      <c r="R1400" s="23">
        <f>+PROVEEDORES[[#This Row],[SUBTOTAL]]+PROVEEDORES[[#This Row],[IVA 19%]]-PROVEEDORES[[#This Row],[descuento antes de IVA]]-PROVEEDORES[[#This Row],[Descuento sobre subtotal $]]-PROVEEDORES[[#This Row],[Rete Fuente $]]</f>
        <v>1823850</v>
      </c>
      <c r="S140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0" s="99">
        <f ca="1">IF(PROVEEDORES[[#This Row],[FECHA DE PAGO]]=0,TODAY()-PROVEEDORES[[#This Row],[FECHA DE FACTURACIÓN]]-PROVEEDORES[[#This Row],[PLAZO Días]],0)</f>
        <v>0</v>
      </c>
      <c r="U1400" s="149" t="str">
        <f>+VLOOKUP(PROVEEDORES[[#This Row],[PROVEEDOR]],Terceros!$A:$E,5,FALSE)</f>
        <v>3,5% sin base</v>
      </c>
      <c r="V1400" s="150">
        <f>+YEAR(PROVEEDORES[[#This Row],[FECHA DE FACTURACIÓN]])</f>
        <v>2022</v>
      </c>
      <c r="W1400" s="150">
        <f>+MATCH(PROVEEDORES[[#This Row],[año facturado]],Retenciones!$1:$1,0)</f>
        <v>5</v>
      </c>
      <c r="X1400" s="151">
        <f>+VLOOKUP(PROVEEDORES[[#This Row],[ID RETENCION]],Retenciones!$A$1:$O$24,PROVEEDORES[[#This Row],[indicador de columna]],FALSE)</f>
        <v>0</v>
      </c>
      <c r="Y1400" s="152">
        <f>+VLOOKUP(PROVEEDORES[[#This Row],[ID RETENCION]],Retenciones!$A$1:$O$24,2,FALSE)</f>
        <v>3.5000000000000003E-2</v>
      </c>
      <c r="Z1400" s="26"/>
      <c r="AA1400" s="26"/>
      <c r="AB1400" s="26"/>
      <c r="AC1400" s="26"/>
      <c r="AD1400" s="26"/>
      <c r="AE1400" s="26"/>
    </row>
    <row r="1401" spans="1:31" ht="21.95" customHeight="1" x14ac:dyDescent="0.25">
      <c r="A1401" s="97" t="str">
        <f>+IF(PROVEEDORES[[#This Row],[FECHA DE PAGO]]=PROVEEDORES[[#This Row],[FECHA DE FACTURACIÓN]],"DE CONTADO","CRÉDITO")</f>
        <v>CRÉDITO</v>
      </c>
      <c r="B1401" s="41" t="b">
        <f>+IF((PROVEEDORES[[#This Row],[FECHA DE PAGO]]-PROVEEDORES[[#This Row],[FECHA DE FACTURACIÓN]])&gt;PROVEEDORES[[#This Row],[PLAZO Días]],"PAGO VENCIDO")</f>
        <v>0</v>
      </c>
      <c r="C1401" s="22">
        <f>+VLOOKUP(PROVEEDORES[[#This Row],[PROVEEDOR]],TERCEROS_INFO[#All],2,FALSE)</f>
        <v>30</v>
      </c>
      <c r="D1401" s="27">
        <f>+SUMIFS(PROVEEDORES[Total],PROVEEDORES[PROVEEDOR],PROVEEDORES[[#This Row],[PROVEEDOR]],PROVEEDORES[FECHA DE PAGO],"")</f>
        <v>0</v>
      </c>
      <c r="E1401" s="27"/>
      <c r="F1401" s="62" t="str">
        <f>+VLOOKUP(PROVEEDORES[[#This Row],[PROVEEDOR]],
                       Terceros!$A:$G,
                       6,
                       FALSE)</f>
        <v>tesoreria@lacentral.com.co;girlesa.ruiz@servipilas.com;joriescobar64@gmail.com</v>
      </c>
      <c r="G1401" s="95">
        <v>44678</v>
      </c>
      <c r="H1401" s="28" t="s">
        <v>332</v>
      </c>
      <c r="I1401" s="95">
        <v>44650</v>
      </c>
      <c r="J1401" s="38" t="s">
        <v>1087</v>
      </c>
      <c r="K1401" s="23">
        <v>-272331</v>
      </c>
      <c r="L1401" s="23"/>
      <c r="M1401" s="24">
        <v>0</v>
      </c>
      <c r="N1401" s="25"/>
      <c r="O1401" s="24">
        <v>0</v>
      </c>
      <c r="P1401" s="136">
        <f>+IF(PROVEEDORES[[#This Row],[SUBTOTAL]]&lt;PROVEEDORES[[#This Row],[base retencion]],0,PROVEEDORES[[#This Row],[retención aplicada]])</f>
        <v>0</v>
      </c>
      <c r="Q1401" s="24">
        <f>+PROVEEDORES[[#This Row],[Rete Fuente %]]*PROVEEDORES[[#This Row],[SUBTOTAL]]</f>
        <v>0</v>
      </c>
      <c r="R1401" s="23">
        <v>-272331</v>
      </c>
      <c r="S1401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1" s="99">
        <f ca="1">IF(PROVEEDORES[[#This Row],[FECHA DE PAGO]]=0,TODAY()-PROVEEDORES[[#This Row],[FECHA DE FACTURACIÓN]]-PROVEEDORES[[#This Row],[PLAZO Días]],0)</f>
        <v>0</v>
      </c>
      <c r="U1401" s="149">
        <f>+VLOOKUP(PROVEEDORES[[#This Row],[PROVEEDOR]],Terceros!$A:$E,5,FALSE)</f>
        <v>0</v>
      </c>
      <c r="V1401" s="150">
        <f>+YEAR(PROVEEDORES[[#This Row],[FECHA DE FACTURACIÓN]])</f>
        <v>2022</v>
      </c>
      <c r="W1401" s="150">
        <f>+MATCH(PROVEEDORES[[#This Row],[año facturado]],Retenciones!$1:$1,0)</f>
        <v>5</v>
      </c>
      <c r="X1401" s="151">
        <f>+VLOOKUP(PROVEEDORES[[#This Row],[ID RETENCION]],Retenciones!$A$1:$O$24,PROVEEDORES[[#This Row],[indicador de columna]],FALSE)</f>
        <v>0</v>
      </c>
      <c r="Y1401" s="152">
        <f>+VLOOKUP(PROVEEDORES[[#This Row],[ID RETENCION]],Retenciones!$A$1:$O$24,2,FALSE)</f>
        <v>0</v>
      </c>
      <c r="Z1401" s="26"/>
      <c r="AA1401" s="26"/>
      <c r="AB1401" s="26"/>
      <c r="AC1401" s="26"/>
      <c r="AD1401" s="26"/>
      <c r="AE1401" s="26"/>
    </row>
    <row r="1402" spans="1:31" ht="21.95" customHeight="1" x14ac:dyDescent="0.25">
      <c r="A1402" s="97" t="str">
        <f>+IF(PROVEEDORES[[#This Row],[FECHA DE PAGO]]=PROVEEDORES[[#This Row],[FECHA DE FACTURACIÓN]],"DE CONTADO","CRÉDITO")</f>
        <v>CRÉDITO</v>
      </c>
      <c r="B1402" s="41" t="b">
        <f>+IF((PROVEEDORES[[#This Row],[FECHA DE PAGO]]-PROVEEDORES[[#This Row],[FECHA DE FACTURACIÓN]])&gt;PROVEEDORES[[#This Row],[PLAZO Días]],"PAGO VENCIDO")</f>
        <v>0</v>
      </c>
      <c r="C1402" s="22">
        <f>+VLOOKUP(PROVEEDORES[[#This Row],[PROVEEDOR]],TERCEROS_INFO[#All],2,FALSE)</f>
        <v>30</v>
      </c>
      <c r="D1402" s="27">
        <f>+SUMIFS(PROVEEDORES[Total],PROVEEDORES[PROVEEDOR],PROVEEDORES[[#This Row],[PROVEEDOR]],PROVEEDORES[FECHA DE PAGO],"")</f>
        <v>5463150</v>
      </c>
      <c r="E1402" s="27"/>
      <c r="F1402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1402" s="95">
        <v>44678</v>
      </c>
      <c r="H1402" s="28" t="s">
        <v>344</v>
      </c>
      <c r="I1402" s="95">
        <v>44652</v>
      </c>
      <c r="J1402" s="38" t="s">
        <v>1304</v>
      </c>
      <c r="K1402" s="23">
        <v>0</v>
      </c>
      <c r="L1402" s="23"/>
      <c r="M1402" s="24">
        <f>(PROVEEDORES[[#This Row],[SUBTOTAL]]-PROVEEDORES[[#This Row],[descuento antes de IVA]])*VLOOKUP(PROVEEDORES[[#This Row],[PROVEEDOR]],TERCEROS_INFO[#All],3,FALSE)</f>
        <v>0</v>
      </c>
      <c r="N1402" s="25"/>
      <c r="O1402" s="24">
        <v>0</v>
      </c>
      <c r="P1402" s="136">
        <f>+IF(PROVEEDORES[[#This Row],[SUBTOTAL]]&lt;PROVEEDORES[[#This Row],[base retencion]],0,PROVEEDORES[[#This Row],[retención aplicada]])</f>
        <v>0</v>
      </c>
      <c r="Q1402" s="24">
        <f>+PROVEEDORES[[#This Row],[Rete Fuente %]]*PROVEEDORES[[#This Row],[SUBTOTAL]]</f>
        <v>0</v>
      </c>
      <c r="R1402" s="23">
        <v>47260</v>
      </c>
      <c r="S1402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2" s="99">
        <f ca="1">IF(PROVEEDORES[[#This Row],[FECHA DE PAGO]]=0,TODAY()-PROVEEDORES[[#This Row],[FECHA DE FACTURACIÓN]]-PROVEEDORES[[#This Row],[PLAZO Días]],0)</f>
        <v>0</v>
      </c>
      <c r="U1402" s="149" t="str">
        <f>+VLOOKUP(PROVEEDORES[[#This Row],[PROVEEDOR]],Terceros!$A:$E,5,FALSE)</f>
        <v>3,5% con base</v>
      </c>
      <c r="V1402" s="150">
        <f>+YEAR(PROVEEDORES[[#This Row],[FECHA DE FACTURACIÓN]])</f>
        <v>2022</v>
      </c>
      <c r="W1402" s="150">
        <f>+MATCH(PROVEEDORES[[#This Row],[año facturado]],Retenciones!$1:$1,0)</f>
        <v>5</v>
      </c>
      <c r="X1402" s="151">
        <f>+VLOOKUP(PROVEEDORES[[#This Row],[ID RETENCION]],Retenciones!$A$1:$O$24,PROVEEDORES[[#This Row],[indicador de columna]],FALSE)</f>
        <v>1026000</v>
      </c>
      <c r="Y1402" s="152">
        <f>+VLOOKUP(PROVEEDORES[[#This Row],[ID RETENCION]],Retenciones!$A$1:$O$24,2,FALSE)</f>
        <v>3.5000000000000003E-2</v>
      </c>
      <c r="Z1402" s="26"/>
      <c r="AA1402" s="26"/>
      <c r="AB1402" s="26"/>
      <c r="AC1402" s="26"/>
      <c r="AD1402" s="26"/>
      <c r="AE1402" s="26"/>
    </row>
    <row r="1403" spans="1:31" ht="21.95" customHeight="1" x14ac:dyDescent="0.25">
      <c r="A1403" s="97" t="str">
        <f>+IF(PROVEEDORES[[#This Row],[FECHA DE PAGO]]=PROVEEDORES[[#This Row],[FECHA DE FACTURACIÓN]],"DE CONTADO","CRÉDITO")</f>
        <v>CRÉDITO</v>
      </c>
      <c r="B1403" s="41" t="b">
        <f>+IF((PROVEEDORES[[#This Row],[FECHA DE PAGO]]-PROVEEDORES[[#This Row],[FECHA DE FACTURACIÓN]])&gt;PROVEEDORES[[#This Row],[PLAZO Días]],"PAGO VENCIDO")</f>
        <v>0</v>
      </c>
      <c r="C1403" s="22">
        <f>+VLOOKUP(PROVEEDORES[[#This Row],[PROVEEDOR]],TERCEROS_INFO[#All],2,FALSE)</f>
        <v>30</v>
      </c>
      <c r="D1403" s="27">
        <f>+SUMIFS(PROVEEDORES[Total],PROVEEDORES[PROVEEDOR],PROVEEDORES[[#This Row],[PROVEEDOR]],PROVEEDORES[FECHA DE PAGO],"")</f>
        <v>390000</v>
      </c>
      <c r="E1403" s="27"/>
      <c r="F1403" s="62">
        <f>+VLOOKUP(PROVEEDORES[[#This Row],[PROVEEDOR]],
                       Terceros!$A:$G,
                       6,
                       FALSE)</f>
        <v>0</v>
      </c>
      <c r="G1403" s="95">
        <v>44658</v>
      </c>
      <c r="H1403" s="28" t="s">
        <v>1080</v>
      </c>
      <c r="I1403" s="95">
        <v>44652</v>
      </c>
      <c r="J1403" s="38" t="s">
        <v>1252</v>
      </c>
      <c r="K1403" s="23">
        <v>856000</v>
      </c>
      <c r="L1403" s="23"/>
      <c r="M1403" s="24">
        <f>(PROVEEDORES[[#This Row],[SUBTOTAL]]-PROVEEDORES[[#This Row],[descuento antes de IVA]])*VLOOKUP(PROVEEDORES[[#This Row],[PROVEEDOR]],TERCEROS_INFO[#All],3,FALSE)</f>
        <v>0</v>
      </c>
      <c r="N1403" s="25"/>
      <c r="O1403" s="24">
        <f>+PROVEEDORES[[#This Row],[Descuento sobre subtotal %]]*(PROVEEDORES[[#This Row],[SUBTOTAL]]-PROVEEDORES[[#This Row],[descuento antes de IVA]])</f>
        <v>0</v>
      </c>
      <c r="P1403" s="136">
        <f>+IF(PROVEEDORES[[#This Row],[SUBTOTAL]]&lt;PROVEEDORES[[#This Row],[base retencion]],0,PROVEEDORES[[#This Row],[retención aplicada]])</f>
        <v>0</v>
      </c>
      <c r="Q1403" s="24">
        <f>+PROVEEDORES[[#This Row],[Rete Fuente %]]*PROVEEDORES[[#This Row],[SUBTOTAL]]</f>
        <v>0</v>
      </c>
      <c r="R1403" s="23">
        <f>+PROVEEDORES[[#This Row],[SUBTOTAL]]+PROVEEDORES[[#This Row],[IVA 19%]]-PROVEEDORES[[#This Row],[descuento antes de IVA]]-PROVEEDORES[[#This Row],[Descuento sobre subtotal $]]-PROVEEDORES[[#This Row],[Rete Fuente $]]</f>
        <v>856000</v>
      </c>
      <c r="S140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3" s="99">
        <f ca="1">IF(PROVEEDORES[[#This Row],[FECHA DE PAGO]]=0,TODAY()-PROVEEDORES[[#This Row],[FECHA DE FACTURACIÓN]]-PROVEEDORES[[#This Row],[PLAZO Días]],0)</f>
        <v>0</v>
      </c>
      <c r="U1403" s="149">
        <f>+VLOOKUP(PROVEEDORES[[#This Row],[PROVEEDOR]],Terceros!$A:$E,5,FALSE)</f>
        <v>0</v>
      </c>
      <c r="V1403" s="150">
        <f>+YEAR(PROVEEDORES[[#This Row],[FECHA DE FACTURACIÓN]])</f>
        <v>2022</v>
      </c>
      <c r="W1403" s="150">
        <f>+MATCH(PROVEEDORES[[#This Row],[año facturado]],Retenciones!$1:$1,0)</f>
        <v>5</v>
      </c>
      <c r="X1403" s="151">
        <f>+VLOOKUP(PROVEEDORES[[#This Row],[ID RETENCION]],Retenciones!$A$1:$O$24,PROVEEDORES[[#This Row],[indicador de columna]],FALSE)</f>
        <v>0</v>
      </c>
      <c r="Y1403" s="152">
        <f>+VLOOKUP(PROVEEDORES[[#This Row],[ID RETENCION]],Retenciones!$A$1:$O$24,2,FALSE)</f>
        <v>0</v>
      </c>
      <c r="Z1403" s="26"/>
      <c r="AA1403" s="26"/>
      <c r="AB1403" s="26"/>
      <c r="AC1403" s="26"/>
      <c r="AD1403" s="26"/>
      <c r="AE1403" s="26"/>
    </row>
    <row r="1404" spans="1:31" ht="21.95" customHeight="1" x14ac:dyDescent="0.25">
      <c r="A1404" s="97" t="str">
        <f>+IF(PROVEEDORES[[#This Row],[FECHA DE PAGO]]=PROVEEDORES[[#This Row],[FECHA DE FACTURACIÓN]],"DE CONTADO","CRÉDITO")</f>
        <v>CRÉDITO</v>
      </c>
      <c r="B1404" s="41" t="b">
        <f>+IF((PROVEEDORES[[#This Row],[FECHA DE PAGO]]-PROVEEDORES[[#This Row],[FECHA DE FACTURACIÓN]])&gt;PROVEEDORES[[#This Row],[PLAZO Días]],"PAGO VENCIDO")</f>
        <v>0</v>
      </c>
      <c r="C1404" s="22">
        <f>+VLOOKUP(PROVEEDORES[[#This Row],[PROVEEDOR]],TERCEROS_INFO[#All],2,FALSE)</f>
        <v>30</v>
      </c>
      <c r="D1404" s="27">
        <f>+SUMIFS(PROVEEDORES[Total],PROVEEDORES[PROVEEDOR],PROVEEDORES[[#This Row],[PROVEEDOR]],PROVEEDORES[FECHA DE PAGO],"")</f>
        <v>248736.18000000002</v>
      </c>
      <c r="E1404" s="27"/>
      <c r="F1404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G1404" s="95">
        <v>44678</v>
      </c>
      <c r="H1404" s="28" t="s">
        <v>343</v>
      </c>
      <c r="I1404" s="95">
        <v>44652</v>
      </c>
      <c r="J1404" s="38">
        <v>4651</v>
      </c>
      <c r="K1404" s="23">
        <v>215356</v>
      </c>
      <c r="L1404" s="23"/>
      <c r="M1404" s="24">
        <f>(PROVEEDORES[[#This Row],[SUBTOTAL]]-PROVEEDORES[[#This Row],[descuento antes de IVA]])*VLOOKUP(PROVEEDORES[[#This Row],[PROVEEDOR]],TERCEROS_INFO[#All],3,FALSE)</f>
        <v>40917.64</v>
      </c>
      <c r="N1404" s="25"/>
      <c r="O1404" s="24">
        <f>+PROVEEDORES[[#This Row],[Descuento sobre subtotal %]]*(PROVEEDORES[[#This Row],[SUBTOTAL]]-PROVEEDORES[[#This Row],[descuento antes de IVA]])</f>
        <v>0</v>
      </c>
      <c r="P1404" s="136">
        <f>+IF(PROVEEDORES[[#This Row],[SUBTOTAL]]&lt;PROVEEDORES[[#This Row],[base retencion]],0,PROVEEDORES[[#This Row],[retención aplicada]])</f>
        <v>3.5000000000000003E-2</v>
      </c>
      <c r="Q1404" s="24">
        <f>+PROVEEDORES[[#This Row],[Rete Fuente %]]*PROVEEDORES[[#This Row],[SUBTOTAL]]</f>
        <v>7537.4600000000009</v>
      </c>
      <c r="R1404" s="23">
        <f>+PROVEEDORES[[#This Row],[SUBTOTAL]]+PROVEEDORES[[#This Row],[IVA 19%]]-PROVEEDORES[[#This Row],[descuento antes de IVA]]-PROVEEDORES[[#This Row],[Descuento sobre subtotal $]]-PROVEEDORES[[#This Row],[Rete Fuente $]]</f>
        <v>248736.18000000002</v>
      </c>
      <c r="S140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4" s="99">
        <f ca="1">IF(PROVEEDORES[[#This Row],[FECHA DE PAGO]]=0,TODAY()-PROVEEDORES[[#This Row],[FECHA DE FACTURACIÓN]]-PROVEEDORES[[#This Row],[PLAZO Días]],0)</f>
        <v>0</v>
      </c>
      <c r="U1404" s="149" t="str">
        <f>+VLOOKUP(PROVEEDORES[[#This Row],[PROVEEDOR]],Terceros!$A:$E,5,FALSE)</f>
        <v>3,5% sin base</v>
      </c>
      <c r="V1404" s="150">
        <f>+YEAR(PROVEEDORES[[#This Row],[FECHA DE FACTURACIÓN]])</f>
        <v>2022</v>
      </c>
      <c r="W1404" s="150">
        <f>+MATCH(PROVEEDORES[[#This Row],[año facturado]],Retenciones!$1:$1,0)</f>
        <v>5</v>
      </c>
      <c r="X1404" s="151">
        <f>+VLOOKUP(PROVEEDORES[[#This Row],[ID RETENCION]],Retenciones!$A$1:$O$24,PROVEEDORES[[#This Row],[indicador de columna]],FALSE)</f>
        <v>0</v>
      </c>
      <c r="Y1404" s="152">
        <f>+VLOOKUP(PROVEEDORES[[#This Row],[ID RETENCION]],Retenciones!$A$1:$O$24,2,FALSE)</f>
        <v>3.5000000000000003E-2</v>
      </c>
      <c r="Z1404" s="26"/>
      <c r="AA1404" s="26"/>
      <c r="AB1404" s="26"/>
      <c r="AC1404" s="26"/>
      <c r="AD1404" s="26"/>
      <c r="AE1404" s="26"/>
    </row>
    <row r="1405" spans="1:31" ht="21.95" customHeight="1" x14ac:dyDescent="0.25">
      <c r="A1405" s="97" t="str">
        <f>+IF(PROVEEDORES[[#This Row],[FECHA DE PAGO]]=PROVEEDORES[[#This Row],[FECHA DE FACTURACIÓN]],"DE CONTADO","CRÉDITO")</f>
        <v>CRÉDITO</v>
      </c>
      <c r="B1405" s="41" t="b">
        <f>+IF((PROVEEDORES[[#This Row],[FECHA DE PAGO]]-PROVEEDORES[[#This Row],[FECHA DE FACTURACIÓN]])&gt;PROVEEDORES[[#This Row],[PLAZO Días]],"PAGO VENCIDO")</f>
        <v>0</v>
      </c>
      <c r="C1405" s="22">
        <f>+VLOOKUP(PROVEEDORES[[#This Row],[PROVEEDOR]],TERCEROS_INFO[#All],2,FALSE)</f>
        <v>30</v>
      </c>
      <c r="D1405" s="27">
        <f>+SUMIFS(PROVEEDORES[Total],PROVEEDORES[PROVEEDOR],PROVEEDORES[[#This Row],[PROVEEDOR]],PROVEEDORES[FECHA DE PAGO],"")</f>
        <v>4862586.33</v>
      </c>
      <c r="E1405" s="27"/>
      <c r="F1405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1405" s="95">
        <v>44678</v>
      </c>
      <c r="H1405" s="28" t="s">
        <v>345</v>
      </c>
      <c r="I1405" s="95">
        <v>44652</v>
      </c>
      <c r="J1405" s="38" t="s">
        <v>1017</v>
      </c>
      <c r="K1405" s="23">
        <v>791781</v>
      </c>
      <c r="L1405" s="23"/>
      <c r="M1405" s="24">
        <f>(PROVEEDORES[[#This Row],[SUBTOTAL]]-PROVEEDORES[[#This Row],[descuento antes de IVA]])*VLOOKUP(PROVEEDORES[[#This Row],[PROVEEDOR]],TERCEROS_INFO[#All],3,FALSE)</f>
        <v>150438.39000000001</v>
      </c>
      <c r="N1405" s="25"/>
      <c r="O1405" s="24">
        <f>+PROVEEDORES[[#This Row],[Descuento sobre subtotal %]]*(PROVEEDORES[[#This Row],[SUBTOTAL]]-PROVEEDORES[[#This Row],[descuento antes de IVA]])</f>
        <v>0</v>
      </c>
      <c r="P1405" s="136">
        <f>+IF(PROVEEDORES[[#This Row],[SUBTOTAL]]&lt;PROVEEDORES[[#This Row],[base retencion]],0,PROVEEDORES[[#This Row],[retención aplicada]])</f>
        <v>0</v>
      </c>
      <c r="Q1405" s="24">
        <f>+PROVEEDORES[[#This Row],[Rete Fuente %]]*PROVEEDORES[[#This Row],[SUBTOTAL]]</f>
        <v>0</v>
      </c>
      <c r="R1405" s="23">
        <f>+PROVEEDORES[[#This Row],[SUBTOTAL]]+PROVEEDORES[[#This Row],[IVA 19%]]-PROVEEDORES[[#This Row],[descuento antes de IVA]]-PROVEEDORES[[#This Row],[Descuento sobre subtotal $]]-PROVEEDORES[[#This Row],[Rete Fuente $]]</f>
        <v>942219.39</v>
      </c>
      <c r="S1405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5" s="99">
        <f ca="1">IF(PROVEEDORES[[#This Row],[FECHA DE PAGO]]=0,TODAY()-PROVEEDORES[[#This Row],[FECHA DE FACTURACIÓN]]-PROVEEDORES[[#This Row],[PLAZO Días]],0)</f>
        <v>0</v>
      </c>
      <c r="U1405" s="149">
        <f>+VLOOKUP(PROVEEDORES[[#This Row],[PROVEEDOR]],Terceros!$A:$E,5,FALSE)</f>
        <v>0</v>
      </c>
      <c r="V1405" s="150">
        <f>+YEAR(PROVEEDORES[[#This Row],[FECHA DE FACTURACIÓN]])</f>
        <v>2022</v>
      </c>
      <c r="W1405" s="150">
        <f>+MATCH(PROVEEDORES[[#This Row],[año facturado]],Retenciones!$1:$1,0)</f>
        <v>5</v>
      </c>
      <c r="X1405" s="151">
        <f>+VLOOKUP(PROVEEDORES[[#This Row],[ID RETENCION]],Retenciones!$A$1:$O$24,PROVEEDORES[[#This Row],[indicador de columna]],FALSE)</f>
        <v>0</v>
      </c>
      <c r="Y1405" s="152">
        <f>+VLOOKUP(PROVEEDORES[[#This Row],[ID RETENCION]],Retenciones!$A$1:$O$24,2,FALSE)</f>
        <v>0</v>
      </c>
      <c r="Z1405" s="26"/>
      <c r="AA1405" s="26"/>
      <c r="AB1405" s="26"/>
      <c r="AC1405" s="26"/>
      <c r="AD1405" s="26"/>
      <c r="AE1405" s="26"/>
    </row>
    <row r="1406" spans="1:31" ht="21.95" customHeight="1" x14ac:dyDescent="0.25">
      <c r="A1406" s="97" t="str">
        <f>+IF(PROVEEDORES[[#This Row],[FECHA DE PAGO]]=PROVEEDORES[[#This Row],[FECHA DE FACTURACIÓN]],"DE CONTADO","CRÉDITO")</f>
        <v>CRÉDITO</v>
      </c>
      <c r="B1406" s="41" t="b">
        <f>+IF((PROVEEDORES[[#This Row],[FECHA DE PAGO]]-PROVEEDORES[[#This Row],[FECHA DE FACTURACIÓN]])&gt;PROVEEDORES[[#This Row],[PLAZO Días]],"PAGO VENCIDO")</f>
        <v>0</v>
      </c>
      <c r="C1406" s="22">
        <f>+VLOOKUP(PROVEEDORES[[#This Row],[PROVEEDOR]],TERCEROS_INFO[#All],2,FALSE)</f>
        <v>30</v>
      </c>
      <c r="D1406" s="27">
        <f>+SUMIFS(PROVEEDORES[Total],PROVEEDORES[PROVEEDOR],PROVEEDORES[[#This Row],[PROVEEDOR]],PROVEEDORES[FECHA DE PAGO],"")</f>
        <v>4862586.33</v>
      </c>
      <c r="E1406" s="27"/>
      <c r="F1406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G1406" s="95">
        <v>44678</v>
      </c>
      <c r="H1406" s="28" t="s">
        <v>345</v>
      </c>
      <c r="I1406" s="95">
        <v>44652</v>
      </c>
      <c r="J1406" s="38" t="s">
        <v>1044</v>
      </c>
      <c r="K1406" s="23">
        <v>3294426</v>
      </c>
      <c r="L1406" s="23"/>
      <c r="M1406" s="24">
        <f>(PROVEEDORES[[#This Row],[SUBTOTAL]]-PROVEEDORES[[#This Row],[descuento antes de IVA]])*VLOOKUP(PROVEEDORES[[#This Row],[PROVEEDOR]],TERCEROS_INFO[#All],3,FALSE)</f>
        <v>625940.94000000006</v>
      </c>
      <c r="N1406" s="25"/>
      <c r="O1406" s="24">
        <f>+PROVEEDORES[[#This Row],[Descuento sobre subtotal %]]*(PROVEEDORES[[#This Row],[SUBTOTAL]]-PROVEEDORES[[#This Row],[descuento antes de IVA]])</f>
        <v>0</v>
      </c>
      <c r="P1406" s="136">
        <f>+IF(PROVEEDORES[[#This Row],[SUBTOTAL]]&lt;PROVEEDORES[[#This Row],[base retencion]],0,PROVEEDORES[[#This Row],[retención aplicada]])</f>
        <v>0</v>
      </c>
      <c r="Q1406" s="24">
        <f>+PROVEEDORES[[#This Row],[Rete Fuente %]]*PROVEEDORES[[#This Row],[SUBTOTAL]]</f>
        <v>0</v>
      </c>
      <c r="R1406" s="23">
        <f>+PROVEEDORES[[#This Row],[SUBTOTAL]]+PROVEEDORES[[#This Row],[IVA 19%]]-PROVEEDORES[[#This Row],[descuento antes de IVA]]-PROVEEDORES[[#This Row],[Descuento sobre subtotal $]]-PROVEEDORES[[#This Row],[Rete Fuente $]]</f>
        <v>3920366.94</v>
      </c>
      <c r="S140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6" s="99">
        <f ca="1">IF(PROVEEDORES[[#This Row],[FECHA DE PAGO]]=0,TODAY()-PROVEEDORES[[#This Row],[FECHA DE FACTURACIÓN]]-PROVEEDORES[[#This Row],[PLAZO Días]],0)</f>
        <v>0</v>
      </c>
      <c r="U1406" s="149">
        <f>+VLOOKUP(PROVEEDORES[[#This Row],[PROVEEDOR]],Terceros!$A:$E,5,FALSE)</f>
        <v>0</v>
      </c>
      <c r="V1406" s="150">
        <f>+YEAR(PROVEEDORES[[#This Row],[FECHA DE FACTURACIÓN]])</f>
        <v>2022</v>
      </c>
      <c r="W1406" s="150">
        <f>+MATCH(PROVEEDORES[[#This Row],[año facturado]],Retenciones!$1:$1,0)</f>
        <v>5</v>
      </c>
      <c r="X1406" s="151">
        <f>+VLOOKUP(PROVEEDORES[[#This Row],[ID RETENCION]],Retenciones!$A$1:$O$24,PROVEEDORES[[#This Row],[indicador de columna]],FALSE)</f>
        <v>0</v>
      </c>
      <c r="Y1406" s="152">
        <f>+VLOOKUP(PROVEEDORES[[#This Row],[ID RETENCION]],Retenciones!$A$1:$O$24,2,FALSE)</f>
        <v>0</v>
      </c>
      <c r="Z1406" s="26"/>
      <c r="AA1406" s="26"/>
      <c r="AB1406" s="26"/>
      <c r="AC1406" s="26"/>
      <c r="AD1406" s="26"/>
      <c r="AE1406" s="26"/>
    </row>
    <row r="1407" spans="1:31" ht="21.95" customHeight="1" x14ac:dyDescent="0.25">
      <c r="A1407" s="97" t="str">
        <f>+IF(PROVEEDORES[[#This Row],[FECHA DE PAGO]]=PROVEEDORES[[#This Row],[FECHA DE FACTURACIÓN]],"DE CONTADO","CRÉDITO")</f>
        <v>CRÉDITO</v>
      </c>
      <c r="B1407" s="41" t="b">
        <f>+IF((PROVEEDORES[[#This Row],[FECHA DE PAGO]]-PROVEEDORES[[#This Row],[FECHA DE FACTURACIÓN]])&gt;PROVEEDORES[[#This Row],[PLAZO Días]],"PAGO VENCIDO")</f>
        <v>0</v>
      </c>
      <c r="C1407" s="22">
        <f>+VLOOKUP(PROVEEDORES[[#This Row],[PROVEEDOR]],TERCEROS_INFO[#All],2,FALSE)</f>
        <v>30</v>
      </c>
      <c r="D1407" s="27">
        <f>+SUMIFS(PROVEEDORES[Total],PROVEEDORES[PROVEEDOR],PROVEEDORES[[#This Row],[PROVEEDOR]],PROVEEDORES[FECHA DE PAGO],"")</f>
        <v>5463150</v>
      </c>
      <c r="E1407" s="27"/>
      <c r="F1407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G1407" s="95">
        <v>44678</v>
      </c>
      <c r="H1407" s="28" t="s">
        <v>344</v>
      </c>
      <c r="I1407" s="95">
        <v>44652</v>
      </c>
      <c r="J1407" s="38">
        <v>42651</v>
      </c>
      <c r="K1407" s="23">
        <v>4430000</v>
      </c>
      <c r="L1407" s="23"/>
      <c r="M1407" s="24">
        <f>(PROVEEDORES[[#This Row],[SUBTOTAL]]-PROVEEDORES[[#This Row],[descuento antes de IVA]])*VLOOKUP(PROVEEDORES[[#This Row],[PROVEEDOR]],TERCEROS_INFO[#All],3,FALSE)</f>
        <v>841700</v>
      </c>
      <c r="N1407" s="25"/>
      <c r="O1407" s="24">
        <f>+PROVEEDORES[[#This Row],[Descuento sobre subtotal %]]*(PROVEEDORES[[#This Row],[SUBTOTAL]]-PROVEEDORES[[#This Row],[descuento antes de IVA]])</f>
        <v>0</v>
      </c>
      <c r="P1407" s="136">
        <f>+IF(PROVEEDORES[[#This Row],[SUBTOTAL]]&lt;PROVEEDORES[[#This Row],[base retencion]],0,PROVEEDORES[[#This Row],[retención aplicada]])</f>
        <v>3.5000000000000003E-2</v>
      </c>
      <c r="Q1407" s="24">
        <f>+PROVEEDORES[[#This Row],[Rete Fuente %]]*PROVEEDORES[[#This Row],[SUBTOTAL]]</f>
        <v>155050.00000000003</v>
      </c>
      <c r="R1407" s="23">
        <f>+PROVEEDORES[[#This Row],[SUBTOTAL]]+PROVEEDORES[[#This Row],[IVA 19%]]-PROVEEDORES[[#This Row],[descuento antes de IVA]]-PROVEEDORES[[#This Row],[Descuento sobre subtotal $]]-PROVEEDORES[[#This Row],[Rete Fuente $]]</f>
        <v>5116650</v>
      </c>
      <c r="S1407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7" s="99">
        <f ca="1">IF(PROVEEDORES[[#This Row],[FECHA DE PAGO]]=0,TODAY()-PROVEEDORES[[#This Row],[FECHA DE FACTURACIÓN]]-PROVEEDORES[[#This Row],[PLAZO Días]],0)</f>
        <v>0</v>
      </c>
      <c r="U1407" s="149" t="str">
        <f>+VLOOKUP(PROVEEDORES[[#This Row],[PROVEEDOR]],Terceros!$A:$E,5,FALSE)</f>
        <v>3,5% con base</v>
      </c>
      <c r="V1407" s="150">
        <f>+YEAR(PROVEEDORES[[#This Row],[FECHA DE FACTURACIÓN]])</f>
        <v>2022</v>
      </c>
      <c r="W1407" s="150">
        <f>+MATCH(PROVEEDORES[[#This Row],[año facturado]],Retenciones!$1:$1,0)</f>
        <v>5</v>
      </c>
      <c r="X1407" s="151">
        <f>+VLOOKUP(PROVEEDORES[[#This Row],[ID RETENCION]],Retenciones!$A$1:$O$24,PROVEEDORES[[#This Row],[indicador de columna]],FALSE)</f>
        <v>1026000</v>
      </c>
      <c r="Y1407" s="152">
        <f>+VLOOKUP(PROVEEDORES[[#This Row],[ID RETENCION]],Retenciones!$A$1:$O$24,2,FALSE)</f>
        <v>3.5000000000000003E-2</v>
      </c>
      <c r="Z1407" s="26"/>
      <c r="AA1407" s="26"/>
      <c r="AB1407" s="26"/>
      <c r="AC1407" s="26"/>
      <c r="AD1407" s="26"/>
      <c r="AE1407" s="26"/>
    </row>
    <row r="1408" spans="1:31" ht="21.95" customHeight="1" x14ac:dyDescent="0.25">
      <c r="A1408" s="97" t="str">
        <f>+IF(PROVEEDORES[[#This Row],[FECHA DE PAGO]]=PROVEEDORES[[#This Row],[FECHA DE FACTURACIÓN]],"DE CONTADO","CRÉDITO")</f>
        <v>DE CONTADO</v>
      </c>
      <c r="B1408" s="41" t="b">
        <f>+IF((PROVEEDORES[[#This Row],[FECHA DE PAGO]]-PROVEEDORES[[#This Row],[FECHA DE FACTURACIÓN]])&gt;PROVEEDORES[[#This Row],[PLAZO Días]],"PAGO VENCIDO")</f>
        <v>0</v>
      </c>
      <c r="C1408" s="22">
        <f>+VLOOKUP(PROVEEDORES[[#This Row],[PROVEEDOR]],TERCEROS_INFO[#All],2,FALSE)</f>
        <v>30</v>
      </c>
      <c r="D1408" s="27">
        <f>+SUMIFS(PROVEEDORES[Total],PROVEEDORES[PROVEEDOR],PROVEEDORES[[#This Row],[PROVEEDOR]],PROVEEDORES[FECHA DE PAGO],"")</f>
        <v>0</v>
      </c>
      <c r="E1408" s="27"/>
      <c r="F1408" s="62" t="str">
        <f>+VLOOKUP(PROVEEDORES[[#This Row],[PROVEEDOR]],
                       Terceros!$A:$G,
                       6,
                       FALSE)</f>
        <v/>
      </c>
      <c r="G1408" s="95">
        <v>44653</v>
      </c>
      <c r="H1408" s="28" t="s">
        <v>1031</v>
      </c>
      <c r="I1408" s="95">
        <v>44653</v>
      </c>
      <c r="J1408" s="38" t="s">
        <v>1250</v>
      </c>
      <c r="K1408" s="23">
        <v>640000</v>
      </c>
      <c r="L1408" s="23"/>
      <c r="M1408" s="24">
        <f>(PROVEEDORES[[#This Row],[SUBTOTAL]]-PROVEEDORES[[#This Row],[descuento antes de IVA]])*VLOOKUP(PROVEEDORES[[#This Row],[PROVEEDOR]],TERCEROS_INFO[#All],3,FALSE)</f>
        <v>0</v>
      </c>
      <c r="N1408" s="25"/>
      <c r="O1408" s="24">
        <f>+PROVEEDORES[[#This Row],[Descuento sobre subtotal %]]*(PROVEEDORES[[#This Row],[SUBTOTAL]]-PROVEEDORES[[#This Row],[descuento antes de IVA]])</f>
        <v>0</v>
      </c>
      <c r="P1408" s="136">
        <f>+IF(PROVEEDORES[[#This Row],[SUBTOTAL]]&lt;PROVEEDORES[[#This Row],[base retencion]],0,PROVEEDORES[[#This Row],[retención aplicada]])</f>
        <v>0</v>
      </c>
      <c r="Q1408" s="24">
        <f>+PROVEEDORES[[#This Row],[Rete Fuente %]]*PROVEEDORES[[#This Row],[SUBTOTAL]]</f>
        <v>0</v>
      </c>
      <c r="R1408" s="23">
        <f>+PROVEEDORES[[#This Row],[SUBTOTAL]]+PROVEEDORES[[#This Row],[IVA 19%]]-PROVEEDORES[[#This Row],[descuento antes de IVA]]-PROVEEDORES[[#This Row],[Descuento sobre subtotal $]]-PROVEEDORES[[#This Row],[Rete Fuente $]]</f>
        <v>640000</v>
      </c>
      <c r="S1408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8" s="99">
        <f ca="1">IF(PROVEEDORES[[#This Row],[FECHA DE PAGO]]=0,TODAY()-PROVEEDORES[[#This Row],[FECHA DE FACTURACIÓN]]-PROVEEDORES[[#This Row],[PLAZO Días]],0)</f>
        <v>0</v>
      </c>
      <c r="U1408" s="149">
        <f>+VLOOKUP(PROVEEDORES[[#This Row],[PROVEEDOR]],Terceros!$A:$E,5,FALSE)</f>
        <v>0</v>
      </c>
      <c r="V1408" s="150">
        <f>+YEAR(PROVEEDORES[[#This Row],[FECHA DE FACTURACIÓN]])</f>
        <v>2022</v>
      </c>
      <c r="W1408" s="150">
        <f>+MATCH(PROVEEDORES[[#This Row],[año facturado]],Retenciones!$1:$1,0)</f>
        <v>5</v>
      </c>
      <c r="X1408" s="151">
        <f>+VLOOKUP(PROVEEDORES[[#This Row],[ID RETENCION]],Retenciones!$A$1:$O$24,PROVEEDORES[[#This Row],[indicador de columna]],FALSE)</f>
        <v>0</v>
      </c>
      <c r="Y1408" s="152">
        <f>+VLOOKUP(PROVEEDORES[[#This Row],[ID RETENCION]],Retenciones!$A$1:$O$24,2,FALSE)</f>
        <v>0</v>
      </c>
      <c r="Z1408" s="26"/>
      <c r="AA1408" s="26"/>
      <c r="AB1408" s="26"/>
      <c r="AC1408" s="26"/>
      <c r="AD1408" s="26"/>
      <c r="AE1408" s="26"/>
    </row>
    <row r="1409" spans="1:31" ht="21.95" customHeight="1" x14ac:dyDescent="0.25">
      <c r="A1409" s="97" t="str">
        <f>+IF(PROVEEDORES[[#This Row],[FECHA DE PAGO]]=PROVEEDORES[[#This Row],[FECHA DE FACTURACIÓN]],"DE CONTADO","CRÉDITO")</f>
        <v>CRÉDITO</v>
      </c>
      <c r="B1409" s="41" t="b">
        <f>+IF((PROVEEDORES[[#This Row],[FECHA DE PAGO]]-PROVEEDORES[[#This Row],[FECHA DE FACTURACIÓN]])&gt;PROVEEDORES[[#This Row],[PLAZO Días]],"PAGO VENCIDO")</f>
        <v>0</v>
      </c>
      <c r="C1409" s="22">
        <f>+VLOOKUP(PROVEEDORES[[#This Row],[PROVEEDOR]],TERCEROS_INFO[#All],2,FALSE)</f>
        <v>30</v>
      </c>
      <c r="D1409" s="27">
        <f>+SUMIFS(PROVEEDORES[Total],PROVEEDORES[PROVEEDOR],PROVEEDORES[[#This Row],[PROVEEDOR]],PROVEEDORES[FECHA DE PAGO],"")</f>
        <v>0</v>
      </c>
      <c r="E1409" s="27"/>
      <c r="F1409" s="62" t="str">
        <f>+VLOOKUP(PROVEEDORES[[#This Row],[PROVEEDOR]],
                       Terceros!$A:$G,
                       6,
                       FALSE)</f>
        <v>tesoreria@lacentral.com.co;girlesa.ruiz@servipilas.com;joriescobar64@gmail.com</v>
      </c>
      <c r="G1409" s="95">
        <v>44678</v>
      </c>
      <c r="H1409" s="28" t="s">
        <v>332</v>
      </c>
      <c r="I1409" s="95">
        <v>44652</v>
      </c>
      <c r="J1409" s="38">
        <v>10316</v>
      </c>
      <c r="K1409" s="23">
        <v>1922190</v>
      </c>
      <c r="L1409" s="23"/>
      <c r="M1409" s="24">
        <f>(PROVEEDORES[[#This Row],[SUBTOTAL]]-PROVEEDORES[[#This Row],[descuento antes de IVA]])*VLOOKUP(PROVEEDORES[[#This Row],[PROVEEDOR]],TERCEROS_INFO[#All],3,FALSE)</f>
        <v>0</v>
      </c>
      <c r="N1409" s="25"/>
      <c r="O1409" s="24">
        <f>272331+80632</f>
        <v>352963</v>
      </c>
      <c r="P1409" s="136">
        <f>+IF(PROVEEDORES[[#This Row],[SUBTOTAL]]&lt;PROVEEDORES[[#This Row],[base retencion]],0,PROVEEDORES[[#This Row],[retención aplicada]])</f>
        <v>0</v>
      </c>
      <c r="Q1409" s="24">
        <f>+PROVEEDORES[[#This Row],[Rete Fuente %]]*PROVEEDORES[[#This Row],[SUBTOTAL]]</f>
        <v>0</v>
      </c>
      <c r="R1409" s="23">
        <f>+PROVEEDORES[[#This Row],[SUBTOTAL]]+PROVEEDORES[[#This Row],[IVA 19%]]-PROVEEDORES[[#This Row],[descuento antes de IVA]]-PROVEEDORES[[#This Row],[Descuento sobre subtotal $]]-PROVEEDORES[[#This Row],[Rete Fuente $]]</f>
        <v>1569227</v>
      </c>
      <c r="S1409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9" s="99">
        <f ca="1">IF(PROVEEDORES[[#This Row],[FECHA DE PAGO]]=0,TODAY()-PROVEEDORES[[#This Row],[FECHA DE FACTURACIÓN]]-PROVEEDORES[[#This Row],[PLAZO Días]],0)</f>
        <v>0</v>
      </c>
      <c r="U1409" s="149">
        <f>+VLOOKUP(PROVEEDORES[[#This Row],[PROVEEDOR]],Terceros!$A:$E,5,FALSE)</f>
        <v>0</v>
      </c>
      <c r="V1409" s="150">
        <f>+YEAR(PROVEEDORES[[#This Row],[FECHA DE FACTURACIÓN]])</f>
        <v>2022</v>
      </c>
      <c r="W1409" s="150">
        <f>+MATCH(PROVEEDORES[[#This Row],[año facturado]],Retenciones!$1:$1,0)</f>
        <v>5</v>
      </c>
      <c r="X1409" s="151">
        <f>+VLOOKUP(PROVEEDORES[[#This Row],[ID RETENCION]],Retenciones!$A$1:$O$24,PROVEEDORES[[#This Row],[indicador de columna]],FALSE)</f>
        <v>0</v>
      </c>
      <c r="Y1409" s="152">
        <f>+VLOOKUP(PROVEEDORES[[#This Row],[ID RETENCION]],Retenciones!$A$1:$O$24,2,FALSE)</f>
        <v>0</v>
      </c>
      <c r="Z1409" s="26"/>
      <c r="AA1409" s="26"/>
      <c r="AB1409" s="26"/>
      <c r="AC1409" s="26"/>
      <c r="AD1409" s="26"/>
      <c r="AE1409" s="26"/>
    </row>
    <row r="1410" spans="1:31" ht="21.95" customHeight="1" x14ac:dyDescent="0.25">
      <c r="A1410" s="97" t="str">
        <f>+IF(PROVEEDORES[[#This Row],[FECHA DE PAGO]]=PROVEEDORES[[#This Row],[FECHA DE FACTURACIÓN]],"DE CONTADO","CRÉDITO")</f>
        <v>CRÉDITO</v>
      </c>
      <c r="B1410" s="41" t="b">
        <f>+IF((PROVEEDORES[[#This Row],[FECHA DE PAGO]]-PROVEEDORES[[#This Row],[FECHA DE FACTURACIÓN]])&gt;PROVEEDORES[[#This Row],[PLAZO Días]],"PAGO VENCIDO")</f>
        <v>0</v>
      </c>
      <c r="C1410" s="22">
        <f>+VLOOKUP(PROVEEDORES[[#This Row],[PROVEEDOR]],TERCEROS_INFO[#All],2,FALSE)</f>
        <v>30</v>
      </c>
      <c r="D1410" s="27">
        <f>+SUMIFS(PROVEEDORES[Total],PROVEEDORES[PROVEEDOR],PROVEEDORES[[#This Row],[PROVEEDOR]],PROVEEDORES[FECHA DE PAGO],"")</f>
        <v>1856492</v>
      </c>
      <c r="E1410" s="27"/>
      <c r="F1410" s="62" t="str">
        <f>+VLOOKUP(PROVEEDORES[[#This Row],[PROVEEDOR]],
                       Terceros!$A:$G,
                       6,
                       FALSE)</f>
        <v>PSE</v>
      </c>
      <c r="H1410" s="28" t="s">
        <v>334</v>
      </c>
      <c r="I1410" s="95">
        <v>44655</v>
      </c>
      <c r="J1410" s="38" t="s">
        <v>319</v>
      </c>
      <c r="K1410" s="23">
        <v>264114</v>
      </c>
      <c r="L1410" s="23"/>
      <c r="M1410" s="24">
        <f>(PROVEEDORES[[#This Row],[SUBTOTAL]]-PROVEEDORES[[#This Row],[descuento antes de IVA]])*VLOOKUP(PROVEEDORES[[#This Row],[PROVEEDOR]],TERCEROS_INFO[#All],3,FALSE)</f>
        <v>0</v>
      </c>
      <c r="N1410" s="25"/>
      <c r="O1410" s="24">
        <f>+PROVEEDORES[[#This Row],[Descuento sobre subtotal %]]*(PROVEEDORES[[#This Row],[SUBTOTAL]]-PROVEEDORES[[#This Row],[descuento antes de IVA]])</f>
        <v>0</v>
      </c>
      <c r="P1410" s="136">
        <f>+IF(PROVEEDORES[[#This Row],[SUBTOTAL]]&lt;PROVEEDORES[[#This Row],[base retencion]],0,PROVEEDORES[[#This Row],[retención aplicada]])</f>
        <v>0</v>
      </c>
      <c r="Q1410" s="24">
        <f>+PROVEEDORES[[#This Row],[Rete Fuente %]]*PROVEEDORES[[#This Row],[SUBTOTAL]]</f>
        <v>0</v>
      </c>
      <c r="R1410" s="23">
        <f>+PROVEEDORES[[#This Row],[SUBTOTAL]]+PROVEEDORES[[#This Row],[IVA 19%]]-PROVEEDORES[[#This Row],[descuento antes de IVA]]-PROVEEDORES[[#This Row],[Descuento sobre subtotal $]]-PROVEEDORES[[#This Row],[Rete Fuente $]]</f>
        <v>264114</v>
      </c>
      <c r="S1410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10" s="99">
        <f ca="1">IF(PROVEEDORES[[#This Row],[FECHA DE PAGO]]=0,TODAY()-PROVEEDORES[[#This Row],[FECHA DE FACTURACIÓN]]-PROVEEDORES[[#This Row],[PLAZO Días]],0)</f>
        <v>-1</v>
      </c>
      <c r="U1410" s="149">
        <f>+VLOOKUP(PROVEEDORES[[#This Row],[PROVEEDOR]],Terceros!$A:$E,5,FALSE)</f>
        <v>0</v>
      </c>
      <c r="V1410" s="150">
        <f>+YEAR(PROVEEDORES[[#This Row],[FECHA DE FACTURACIÓN]])</f>
        <v>2022</v>
      </c>
      <c r="W1410" s="150">
        <f>+MATCH(PROVEEDORES[[#This Row],[año facturado]],Retenciones!$1:$1,0)</f>
        <v>5</v>
      </c>
      <c r="X1410" s="151">
        <f>+VLOOKUP(PROVEEDORES[[#This Row],[ID RETENCION]],Retenciones!$A$1:$O$24,PROVEEDORES[[#This Row],[indicador de columna]],FALSE)</f>
        <v>0</v>
      </c>
      <c r="Y1410" s="152">
        <f>+VLOOKUP(PROVEEDORES[[#This Row],[ID RETENCION]],Retenciones!$A$1:$O$24,2,FALSE)</f>
        <v>0</v>
      </c>
      <c r="Z1410" s="26"/>
      <c r="AA1410" s="26"/>
      <c r="AB1410" s="26"/>
      <c r="AC1410" s="26"/>
      <c r="AD1410" s="26"/>
      <c r="AE1410" s="26"/>
    </row>
    <row r="1411" spans="1:31" ht="21.95" customHeight="1" x14ac:dyDescent="0.25">
      <c r="A1411" s="97" t="str">
        <f>+IF(PROVEEDORES[[#This Row],[FECHA DE PAGO]]=PROVEEDORES[[#This Row],[FECHA DE FACTURACIÓN]],"DE CONTADO","CRÉDITO")</f>
        <v>CRÉDITO</v>
      </c>
      <c r="B1411" s="41" t="b">
        <f>+IF((PROVEEDORES[[#This Row],[FECHA DE PAGO]]-PROVEEDORES[[#This Row],[FECHA DE FACTURACIÓN]])&gt;PROVEEDORES[[#This Row],[PLAZO Días]],"PAGO VENCIDO")</f>
        <v>0</v>
      </c>
      <c r="C1411" s="22">
        <f>+VLOOKUP(PROVEEDORES[[#This Row],[PROVEEDOR]],TERCEROS_INFO[#All],2,FALSE)</f>
        <v>30</v>
      </c>
      <c r="D1411" s="27">
        <f>+SUMIFS(PROVEEDORES[Total],PROVEEDORES[PROVEEDOR],PROVEEDORES[[#This Row],[PROVEEDOR]],PROVEEDORES[FECHA DE PAGO],"")</f>
        <v>1856492</v>
      </c>
      <c r="E1411" s="27"/>
      <c r="F1411" s="62" t="str">
        <f>+VLOOKUP(PROVEEDORES[[#This Row],[PROVEEDOR]],
                       Terceros!$A:$G,
                       6,
                       FALSE)</f>
        <v>PSE</v>
      </c>
      <c r="H1411" s="28" t="s">
        <v>334</v>
      </c>
      <c r="I1411" s="95">
        <v>44655</v>
      </c>
      <c r="J1411" s="38" t="s">
        <v>318</v>
      </c>
      <c r="K1411" s="23">
        <v>1592378</v>
      </c>
      <c r="L1411" s="23"/>
      <c r="M1411" s="24">
        <f>(PROVEEDORES[[#This Row],[SUBTOTAL]]-PROVEEDORES[[#This Row],[descuento antes de IVA]])*VLOOKUP(PROVEEDORES[[#This Row],[PROVEEDOR]],TERCEROS_INFO[#All],3,FALSE)</f>
        <v>0</v>
      </c>
      <c r="N1411" s="25"/>
      <c r="O1411" s="24">
        <f>+PROVEEDORES[[#This Row],[Descuento sobre subtotal %]]*(PROVEEDORES[[#This Row],[SUBTOTAL]]-PROVEEDORES[[#This Row],[descuento antes de IVA]])</f>
        <v>0</v>
      </c>
      <c r="P1411" s="136">
        <f>+IF(PROVEEDORES[[#This Row],[SUBTOTAL]]&lt;PROVEEDORES[[#This Row],[base retencion]],0,PROVEEDORES[[#This Row],[retención aplicada]])</f>
        <v>0</v>
      </c>
      <c r="Q1411" s="24">
        <f>+PROVEEDORES[[#This Row],[Rete Fuente %]]*PROVEEDORES[[#This Row],[SUBTOTAL]]</f>
        <v>0</v>
      </c>
      <c r="R1411" s="23">
        <f>+PROVEEDORES[[#This Row],[SUBTOTAL]]+PROVEEDORES[[#This Row],[IVA 19%]]-PROVEEDORES[[#This Row],[descuento antes de IVA]]-PROVEEDORES[[#This Row],[Descuento sobre subtotal $]]-PROVEEDORES[[#This Row],[Rete Fuente $]]</f>
        <v>1592378</v>
      </c>
      <c r="S1411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11" s="99">
        <f ca="1">IF(PROVEEDORES[[#This Row],[FECHA DE PAGO]]=0,TODAY()-PROVEEDORES[[#This Row],[FECHA DE FACTURACIÓN]]-PROVEEDORES[[#This Row],[PLAZO Días]],0)</f>
        <v>-1</v>
      </c>
      <c r="U1411" s="149">
        <f>+VLOOKUP(PROVEEDORES[[#This Row],[PROVEEDOR]],Terceros!$A:$E,5,FALSE)</f>
        <v>0</v>
      </c>
      <c r="V1411" s="150">
        <f>+YEAR(PROVEEDORES[[#This Row],[FECHA DE FACTURACIÓN]])</f>
        <v>2022</v>
      </c>
      <c r="W1411" s="150">
        <f>+MATCH(PROVEEDORES[[#This Row],[año facturado]],Retenciones!$1:$1,0)</f>
        <v>5</v>
      </c>
      <c r="X1411" s="151">
        <f>+VLOOKUP(PROVEEDORES[[#This Row],[ID RETENCION]],Retenciones!$A$1:$O$24,PROVEEDORES[[#This Row],[indicador de columna]],FALSE)</f>
        <v>0</v>
      </c>
      <c r="Y1411" s="152">
        <f>+VLOOKUP(PROVEEDORES[[#This Row],[ID RETENCION]],Retenciones!$A$1:$O$24,2,FALSE)</f>
        <v>0</v>
      </c>
      <c r="Z1411" s="26"/>
      <c r="AA1411" s="26"/>
      <c r="AB1411" s="26"/>
      <c r="AC1411" s="26"/>
      <c r="AD1411" s="26"/>
      <c r="AE1411" s="26"/>
    </row>
    <row r="1412" spans="1:31" ht="21.95" customHeight="1" x14ac:dyDescent="0.25">
      <c r="A1412" s="97" t="str">
        <f>+IF(PROVEEDORES[[#This Row],[FECHA DE PAGO]]=PROVEEDORES[[#This Row],[FECHA DE FACTURACIÓN]],"DE CONTADO","CRÉDITO")</f>
        <v>CRÉDITO</v>
      </c>
      <c r="B1412" s="41" t="b">
        <f>+IF((PROVEEDORES[[#This Row],[FECHA DE PAGO]]-PROVEEDORES[[#This Row],[FECHA DE FACTURACIÓN]])&gt;PROVEEDORES[[#This Row],[PLAZO Días]],"PAGO VENCIDO")</f>
        <v>0</v>
      </c>
      <c r="C1412" s="22">
        <f>+VLOOKUP(PROVEEDORES[[#This Row],[PROVEEDOR]],TERCEROS_INFO[#All],2,FALSE)</f>
        <v>30</v>
      </c>
      <c r="D1412" s="27">
        <f>+SUMIFS(PROVEEDORES[Total],PROVEEDORES[PROVEEDOR],PROVEEDORES[[#This Row],[PROVEEDOR]],PROVEEDORES[FECHA DE PAGO],"")</f>
        <v>627113.34</v>
      </c>
      <c r="E1412" s="27"/>
      <c r="F1412" s="62" t="str">
        <f>+VLOOKUP(PROVEEDORES[[#This Row],[PROVEEDOR]],
                       Terceros!$A:$G,
                       6,
                       FALSE)</f>
        <v>ventas@ismartsas.com;girlesa.ruiz@servipilas.com;joriescobar64@gmail.com</v>
      </c>
      <c r="H1412" s="28" t="s">
        <v>48</v>
      </c>
      <c r="I1412" s="95">
        <v>44655</v>
      </c>
      <c r="J1412" s="38" t="s">
        <v>1007</v>
      </c>
      <c r="K1412" s="23">
        <v>3406</v>
      </c>
      <c r="L1412" s="23"/>
      <c r="M1412" s="24">
        <f>(PROVEEDORES[[#This Row],[SUBTOTAL]]-PROVEEDORES[[#This Row],[descuento antes de IVA]])*VLOOKUP(PROVEEDORES[[#This Row],[PROVEEDOR]],TERCEROS_INFO[#All],3,FALSE)</f>
        <v>647.14</v>
      </c>
      <c r="N1412" s="25"/>
      <c r="O1412" s="24">
        <f>+PROVEEDORES[[#This Row],[Descuento sobre subtotal %]]*(PROVEEDORES[[#This Row],[SUBTOTAL]]-PROVEEDORES[[#This Row],[descuento antes de IVA]])</f>
        <v>0</v>
      </c>
      <c r="P1412" s="136">
        <f>+IF(PROVEEDORES[[#This Row],[SUBTOTAL]]&lt;PROVEEDORES[[#This Row],[base retencion]],0,PROVEEDORES[[#This Row],[retención aplicada]])</f>
        <v>0</v>
      </c>
      <c r="Q1412" s="24">
        <f>+PROVEEDORES[[#This Row],[Rete Fuente %]]*PROVEEDORES[[#This Row],[SUBTOTAL]]</f>
        <v>0</v>
      </c>
      <c r="R1412" s="23">
        <f>+PROVEEDORES[[#This Row],[SUBTOTAL]]+PROVEEDORES[[#This Row],[IVA 19%]]-PROVEEDORES[[#This Row],[descuento antes de IVA]]-PROVEEDORES[[#This Row],[Descuento sobre subtotal $]]-PROVEEDORES[[#This Row],[Rete Fuente $]]</f>
        <v>4053.14</v>
      </c>
      <c r="S1412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12" s="99">
        <f ca="1">IF(PROVEEDORES[[#This Row],[FECHA DE PAGO]]=0,TODAY()-PROVEEDORES[[#This Row],[FECHA DE FACTURACIÓN]]-PROVEEDORES[[#This Row],[PLAZO Días]],0)</f>
        <v>-1</v>
      </c>
      <c r="U1412" s="149" t="str">
        <f>+VLOOKUP(PROVEEDORES[[#This Row],[PROVEEDOR]],Terceros!$A:$E,5,FALSE)</f>
        <v>2,5% con base</v>
      </c>
      <c r="V1412" s="150">
        <f>+YEAR(PROVEEDORES[[#This Row],[FECHA DE FACTURACIÓN]])</f>
        <v>2022</v>
      </c>
      <c r="W1412" s="150">
        <f>+MATCH(PROVEEDORES[[#This Row],[año facturado]],Retenciones!$1:$1,0)</f>
        <v>5</v>
      </c>
      <c r="X1412" s="151">
        <f>+VLOOKUP(PROVEEDORES[[#This Row],[ID RETENCION]],Retenciones!$A$1:$O$24,PROVEEDORES[[#This Row],[indicador de columna]],FALSE)</f>
        <v>1026000</v>
      </c>
      <c r="Y1412" s="152">
        <f>+VLOOKUP(PROVEEDORES[[#This Row],[ID RETENCION]],Retenciones!$A$1:$O$24,2,FALSE)</f>
        <v>2.5000000000000001E-2</v>
      </c>
      <c r="Z1412" s="26"/>
      <c r="AA1412" s="26"/>
      <c r="AB1412" s="26"/>
      <c r="AC1412" s="26"/>
      <c r="AD1412" s="26"/>
      <c r="AE1412" s="26"/>
    </row>
    <row r="1413" spans="1:31" ht="21.95" customHeight="1" x14ac:dyDescent="0.25">
      <c r="A1413" s="97" t="str">
        <f>+IF(PROVEEDORES[[#This Row],[FECHA DE PAGO]]=PROVEEDORES[[#This Row],[FECHA DE FACTURACIÓN]],"DE CONTADO","CRÉDITO")</f>
        <v>CRÉDITO</v>
      </c>
      <c r="B1413" s="41" t="b">
        <f>+IF((PROVEEDORES[[#This Row],[FECHA DE PAGO]]-PROVEEDORES[[#This Row],[FECHA DE FACTURACIÓN]])&gt;PROVEEDORES[[#This Row],[PLAZO Días]],"PAGO VENCIDO")</f>
        <v>0</v>
      </c>
      <c r="C1413" s="22">
        <f>+VLOOKUP(PROVEEDORES[[#This Row],[PROVEEDOR]],TERCEROS_INFO[#All],2,FALSE)</f>
        <v>30</v>
      </c>
      <c r="D1413" s="27">
        <f>+SUMIFS(PROVEEDORES[Total],PROVEEDORES[PROVEEDOR],PROVEEDORES[[#This Row],[PROVEEDOR]],PROVEEDORES[FECHA DE PAGO],"")</f>
        <v>264406</v>
      </c>
      <c r="E1413" s="27"/>
      <c r="F1413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G1413" s="95">
        <v>44657</v>
      </c>
      <c r="H1413" s="28" t="s">
        <v>390</v>
      </c>
      <c r="I1413" s="95">
        <v>44656</v>
      </c>
      <c r="J1413" s="38" t="s">
        <v>1173</v>
      </c>
      <c r="K1413" s="23">
        <v>1821000</v>
      </c>
      <c r="L1413" s="23"/>
      <c r="M1413" s="24">
        <v>0</v>
      </c>
      <c r="N1413" s="25"/>
      <c r="O1413" s="24">
        <v>0</v>
      </c>
      <c r="P1413" s="136">
        <f>+IF(PROVEEDORES[[#This Row],[SUBTOTAL]]&lt;PROVEEDORES[[#This Row],[base retencion]],0,PROVEEDORES[[#This Row],[retención aplicada]])</f>
        <v>0</v>
      </c>
      <c r="Q1413" s="24">
        <f>+PROVEEDORES[[#This Row],[Rete Fuente %]]*PROVEEDORES[[#This Row],[SUBTOTAL]]</f>
        <v>0</v>
      </c>
      <c r="R1413" s="23">
        <v>1821000</v>
      </c>
      <c r="S1413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3" s="99">
        <f ca="1">IF(PROVEEDORES[[#This Row],[FECHA DE PAGO]]=0,TODAY()-PROVEEDORES[[#This Row],[FECHA DE FACTURACIÓN]]-PROVEEDORES[[#This Row],[PLAZO Días]],0)</f>
        <v>0</v>
      </c>
      <c r="U1413" s="149">
        <f>+VLOOKUP(PROVEEDORES[[#This Row],[PROVEEDOR]],Terceros!$A:$E,5,FALSE)</f>
        <v>0</v>
      </c>
      <c r="V1413" s="150">
        <f>+YEAR(PROVEEDORES[[#This Row],[FECHA DE FACTURACIÓN]])</f>
        <v>2022</v>
      </c>
      <c r="W1413" s="150">
        <f>+MATCH(PROVEEDORES[[#This Row],[año facturado]],Retenciones!$1:$1,0)</f>
        <v>5</v>
      </c>
      <c r="X1413" s="151">
        <f>+VLOOKUP(PROVEEDORES[[#This Row],[ID RETENCION]],Retenciones!$A$1:$O$24,PROVEEDORES[[#This Row],[indicador de columna]],FALSE)</f>
        <v>0</v>
      </c>
      <c r="Y1413" s="152">
        <f>+VLOOKUP(PROVEEDORES[[#This Row],[ID RETENCION]],Retenciones!$A$1:$O$24,2,FALSE)</f>
        <v>0</v>
      </c>
      <c r="Z1413" s="26"/>
      <c r="AA1413" s="26"/>
      <c r="AB1413" s="26"/>
      <c r="AC1413" s="26"/>
      <c r="AD1413" s="26"/>
      <c r="AE1413" s="26"/>
    </row>
    <row r="1414" spans="1:31" ht="21.95" customHeight="1" x14ac:dyDescent="0.25">
      <c r="A1414" s="97" t="str">
        <f>+IF(PROVEEDORES[[#This Row],[FECHA DE PAGO]]=PROVEEDORES[[#This Row],[FECHA DE FACTURACIÓN]],"DE CONTADO","CRÉDITO")</f>
        <v>CRÉDITO</v>
      </c>
      <c r="B1414" s="41" t="b">
        <f>+IF((PROVEEDORES[[#This Row],[FECHA DE PAGO]]-PROVEEDORES[[#This Row],[FECHA DE FACTURACIÓN]])&gt;PROVEEDORES[[#This Row],[PLAZO Días]],"PAGO VENCIDO")</f>
        <v>0</v>
      </c>
      <c r="C1414" s="22">
        <f>+VLOOKUP(PROVEEDORES[[#This Row],[PROVEEDOR]],TERCEROS_INFO[#All],2,FALSE)</f>
        <v>30</v>
      </c>
      <c r="D1414" s="27">
        <f>+SUMIFS(PROVEEDORES[Total],PROVEEDORES[PROVEEDOR],PROVEEDORES[[#This Row],[PROVEEDOR]],PROVEEDORES[FECHA DE PAGO],"")</f>
        <v>0</v>
      </c>
      <c r="E1414" s="27"/>
      <c r="F1414" s="62" t="str">
        <f>+VLOOKUP(PROVEEDORES[[#This Row],[PROVEEDOR]],
                       Terceros!$A:$G,
                       6,
                       FALSE)</f>
        <v/>
      </c>
      <c r="G1414" s="95">
        <v>44657</v>
      </c>
      <c r="H1414" s="28" t="s">
        <v>54</v>
      </c>
      <c r="I1414" s="95">
        <v>44656</v>
      </c>
      <c r="J1414" s="38">
        <v>289692</v>
      </c>
      <c r="K1414" s="23">
        <v>3918000</v>
      </c>
      <c r="L1414" s="23"/>
      <c r="M1414" s="24">
        <v>0</v>
      </c>
      <c r="N1414" s="25"/>
      <c r="O1414" s="24">
        <v>0</v>
      </c>
      <c r="P1414" s="136">
        <f>+IF(PROVEEDORES[[#This Row],[SUBTOTAL]]&lt;PROVEEDORES[[#This Row],[base retencion]],0,PROVEEDORES[[#This Row],[retención aplicada]])</f>
        <v>0</v>
      </c>
      <c r="Q1414" s="24">
        <f>+PROVEEDORES[[#This Row],[Rete Fuente %]]*PROVEEDORES[[#This Row],[SUBTOTAL]]</f>
        <v>0</v>
      </c>
      <c r="R1414" s="23">
        <v>3918000</v>
      </c>
      <c r="S1414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4" s="99">
        <f ca="1">IF(PROVEEDORES[[#This Row],[FECHA DE PAGO]]=0,TODAY()-PROVEEDORES[[#This Row],[FECHA DE FACTURACIÓN]]-PROVEEDORES[[#This Row],[PLAZO Días]],0)</f>
        <v>0</v>
      </c>
      <c r="U1414" s="149">
        <f>+VLOOKUP(PROVEEDORES[[#This Row],[PROVEEDOR]],Terceros!$A:$E,5,FALSE)</f>
        <v>0</v>
      </c>
      <c r="V1414" s="150">
        <f>+YEAR(PROVEEDORES[[#This Row],[FECHA DE FACTURACIÓN]])</f>
        <v>2022</v>
      </c>
      <c r="W1414" s="150">
        <f>+MATCH(PROVEEDORES[[#This Row],[año facturado]],Retenciones!$1:$1,0)</f>
        <v>5</v>
      </c>
      <c r="X1414" s="151">
        <f>+VLOOKUP(PROVEEDORES[[#This Row],[ID RETENCION]],Retenciones!$A$1:$O$24,PROVEEDORES[[#This Row],[indicador de columna]],FALSE)</f>
        <v>0</v>
      </c>
      <c r="Y1414" s="152">
        <f>+VLOOKUP(PROVEEDORES[[#This Row],[ID RETENCION]],Retenciones!$A$1:$O$24,2,FALSE)</f>
        <v>0</v>
      </c>
      <c r="Z1414" s="26"/>
      <c r="AA1414" s="26"/>
      <c r="AB1414" s="26"/>
      <c r="AC1414" s="26"/>
      <c r="AD1414" s="26"/>
      <c r="AE1414" s="26"/>
    </row>
    <row r="1415" spans="1:31" ht="21.95" customHeight="1" x14ac:dyDescent="0.25">
      <c r="A1415" s="97" t="str">
        <f>+IF(PROVEEDORES[[#This Row],[FECHA DE PAGO]]=PROVEEDORES[[#This Row],[FECHA DE FACTURACIÓN]],"DE CONTADO","CRÉDITO")</f>
        <v>CRÉDITO</v>
      </c>
      <c r="B1415" s="41" t="b">
        <f>+IF((PROVEEDORES[[#This Row],[FECHA DE PAGO]]-PROVEEDORES[[#This Row],[FECHA DE FACTURACIÓN]])&gt;PROVEEDORES[[#This Row],[PLAZO Días]],"PAGO VENCIDO")</f>
        <v>0</v>
      </c>
      <c r="C1415" s="22">
        <f>+VLOOKUP(PROVEEDORES[[#This Row],[PROVEEDOR]],TERCEROS_INFO[#All],2,FALSE)</f>
        <v>45</v>
      </c>
      <c r="D1415" s="27">
        <f>+SUMIFS(PROVEEDORES[Total],PROVEEDORES[PROVEEDOR],PROVEEDORES[[#This Row],[PROVEEDOR]],PROVEEDORES[FECHA DE PAGO],"")</f>
        <v>1328100</v>
      </c>
      <c r="E1415" s="27"/>
      <c r="F1415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H1415" s="28" t="s">
        <v>606</v>
      </c>
      <c r="I1415" s="95">
        <v>44656</v>
      </c>
      <c r="J1415" s="38" t="s">
        <v>993</v>
      </c>
      <c r="K1415" s="23">
        <v>1328100</v>
      </c>
      <c r="L1415" s="23"/>
      <c r="M1415" s="24">
        <f>(PROVEEDORES[[#This Row],[SUBTOTAL]]-PROVEEDORES[[#This Row],[descuento antes de IVA]])*VLOOKUP(PROVEEDORES[[#This Row],[PROVEEDOR]],TERCEROS_INFO[#All],3,FALSE)</f>
        <v>0</v>
      </c>
      <c r="N1415" s="25"/>
      <c r="O1415" s="24">
        <f>+PROVEEDORES[[#This Row],[Descuento sobre subtotal %]]*(PROVEEDORES[[#This Row],[SUBTOTAL]]-PROVEEDORES[[#This Row],[descuento antes de IVA]])</f>
        <v>0</v>
      </c>
      <c r="P1415" s="136">
        <f>+IF(PROVEEDORES[[#This Row],[SUBTOTAL]]&lt;PROVEEDORES[[#This Row],[base retencion]],0,PROVEEDORES[[#This Row],[retención aplicada]])</f>
        <v>0</v>
      </c>
      <c r="Q1415" s="24">
        <f>+PROVEEDORES[[#This Row],[Rete Fuente %]]*PROVEEDORES[[#This Row],[SUBTOTAL]]</f>
        <v>0</v>
      </c>
      <c r="R1415" s="23">
        <f>+PROVEEDORES[[#This Row],[SUBTOTAL]]+PROVEEDORES[[#This Row],[IVA 19%]]-PROVEEDORES[[#This Row],[descuento antes de IVA]]-PROVEEDORES[[#This Row],[Descuento sobre subtotal $]]-PROVEEDORES[[#This Row],[Rete Fuente $]]</f>
        <v>1328100</v>
      </c>
      <c r="S1415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15" s="99">
        <f ca="1">IF(PROVEEDORES[[#This Row],[FECHA DE PAGO]]=0,TODAY()-PROVEEDORES[[#This Row],[FECHA DE FACTURACIÓN]]-PROVEEDORES[[#This Row],[PLAZO Días]],0)</f>
        <v>-17</v>
      </c>
      <c r="U1415" s="149">
        <f>+VLOOKUP(PROVEEDORES[[#This Row],[PROVEEDOR]],Terceros!$A:$E,5,FALSE)</f>
        <v>0</v>
      </c>
      <c r="V1415" s="150">
        <f>+YEAR(PROVEEDORES[[#This Row],[FECHA DE FACTURACIÓN]])</f>
        <v>2022</v>
      </c>
      <c r="W1415" s="150">
        <f>+MATCH(PROVEEDORES[[#This Row],[año facturado]],Retenciones!$1:$1,0)</f>
        <v>5</v>
      </c>
      <c r="X1415" s="151">
        <f>+VLOOKUP(PROVEEDORES[[#This Row],[ID RETENCION]],Retenciones!$A$1:$O$24,PROVEEDORES[[#This Row],[indicador de columna]],FALSE)</f>
        <v>0</v>
      </c>
      <c r="Y1415" s="152">
        <f>+VLOOKUP(PROVEEDORES[[#This Row],[ID RETENCION]],Retenciones!$A$1:$O$24,2,FALSE)</f>
        <v>0</v>
      </c>
      <c r="Z1415" s="26"/>
      <c r="AA1415" s="26"/>
      <c r="AB1415" s="26"/>
      <c r="AC1415" s="26"/>
      <c r="AD1415" s="26"/>
      <c r="AE1415" s="26"/>
    </row>
    <row r="1416" spans="1:31" ht="21.95" customHeight="1" x14ac:dyDescent="0.25">
      <c r="A1416" s="97" t="str">
        <f>+IF(PROVEEDORES[[#This Row],[FECHA DE PAGO]]=PROVEEDORES[[#This Row],[FECHA DE FACTURACIÓN]],"DE CONTADO","CRÉDITO")</f>
        <v>DE CONTADO</v>
      </c>
      <c r="B1416" s="41" t="b">
        <f>+IF((PROVEEDORES[[#This Row],[FECHA DE PAGO]]-PROVEEDORES[[#This Row],[FECHA DE FACTURACIÓN]])&gt;PROVEEDORES[[#This Row],[PLAZO Días]],"PAGO VENCIDO")</f>
        <v>0</v>
      </c>
      <c r="C1416" s="22">
        <f>+VLOOKUP(PROVEEDORES[[#This Row],[PROVEEDOR]],TERCEROS_INFO[#All],2,FALSE)</f>
        <v>30</v>
      </c>
      <c r="D1416" s="27">
        <f>+SUMIFS(PROVEEDORES[Total],PROVEEDORES[PROVEEDOR],PROVEEDORES[[#This Row],[PROVEEDOR]],PROVEEDORES[FECHA DE PAGO],"")</f>
        <v>0</v>
      </c>
      <c r="E1416" s="27"/>
      <c r="F1416" s="62" t="str">
        <f>+VLOOKUP(PROVEEDORES[[#This Row],[PROVEEDOR]],
                       Terceros!$A:$G,
                       6,
                       FALSE)</f>
        <v/>
      </c>
      <c r="G1416" s="95">
        <v>44657</v>
      </c>
      <c r="H1416" s="28" t="s">
        <v>1046</v>
      </c>
      <c r="I1416" s="95">
        <v>44657</v>
      </c>
      <c r="J1416" s="38"/>
      <c r="K1416" s="23">
        <v>1000000</v>
      </c>
      <c r="L1416" s="23"/>
      <c r="M1416" s="24">
        <v>0</v>
      </c>
      <c r="N1416" s="25"/>
      <c r="O1416" s="24">
        <v>0</v>
      </c>
      <c r="P1416" s="136">
        <f>+IF(PROVEEDORES[[#This Row],[SUBTOTAL]]&lt;PROVEEDORES[[#This Row],[base retencion]],0,PROVEEDORES[[#This Row],[retención aplicada]])</f>
        <v>0</v>
      </c>
      <c r="Q1416" s="24">
        <f>+PROVEEDORES[[#This Row],[Rete Fuente %]]*PROVEEDORES[[#This Row],[SUBTOTAL]]</f>
        <v>0</v>
      </c>
      <c r="R1416" s="23">
        <v>1000000</v>
      </c>
      <c r="S1416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6" s="99">
        <f ca="1">IF(PROVEEDORES[[#This Row],[FECHA DE PAGO]]=0,TODAY()-PROVEEDORES[[#This Row],[FECHA DE FACTURACIÓN]]-PROVEEDORES[[#This Row],[PLAZO Días]],0)</f>
        <v>0</v>
      </c>
      <c r="U1416" s="149">
        <f>+VLOOKUP(PROVEEDORES[[#This Row],[PROVEEDOR]],Terceros!$A:$E,5,FALSE)</f>
        <v>0</v>
      </c>
      <c r="V1416" s="150">
        <f>+YEAR(PROVEEDORES[[#This Row],[FECHA DE FACTURACIÓN]])</f>
        <v>2022</v>
      </c>
      <c r="W1416" s="150">
        <f>+MATCH(PROVEEDORES[[#This Row],[año facturado]],Retenciones!$1:$1,0)</f>
        <v>5</v>
      </c>
      <c r="X1416" s="151">
        <f>+VLOOKUP(PROVEEDORES[[#This Row],[ID RETENCION]],Retenciones!$A$1:$O$24,PROVEEDORES[[#This Row],[indicador de columna]],FALSE)</f>
        <v>0</v>
      </c>
      <c r="Y1416" s="152">
        <f>+VLOOKUP(PROVEEDORES[[#This Row],[ID RETENCION]],Retenciones!$A$1:$O$24,2,FALSE)</f>
        <v>0</v>
      </c>
      <c r="Z1416" s="26"/>
      <c r="AA1416" s="26"/>
      <c r="AB1416" s="26"/>
      <c r="AC1416" s="26"/>
      <c r="AD1416" s="26"/>
      <c r="AE1416" s="26"/>
    </row>
    <row r="1417" spans="1:31" ht="21.95" customHeight="1" x14ac:dyDescent="0.25">
      <c r="A1417" s="97" t="str">
        <f>+IF(PROVEEDORES[[#This Row],[FECHA DE PAGO]]=PROVEEDORES[[#This Row],[FECHA DE FACTURACIÓN]],"DE CONTADO","CRÉDITO")</f>
        <v>CRÉDITO</v>
      </c>
      <c r="B1417" s="41" t="b">
        <f>+IF((PROVEEDORES[[#This Row],[FECHA DE PAGO]]-PROVEEDORES[[#This Row],[FECHA DE FACTURACIÓN]])&gt;PROVEEDORES[[#This Row],[PLAZO Días]],"PAGO VENCIDO")</f>
        <v>0</v>
      </c>
      <c r="C1417" s="22">
        <f>+VLOOKUP(PROVEEDORES[[#This Row],[PROVEEDOR]],TERCEROS_INFO[#All],2,FALSE)</f>
        <v>45</v>
      </c>
      <c r="D1417" s="27">
        <f>+SUMIFS(PROVEEDORES[Total],PROVEEDORES[PROVEEDOR],PROVEEDORES[[#This Row],[PROVEEDOR]],PROVEEDORES[FECHA DE PAGO],"")</f>
        <v>3412539.2</v>
      </c>
      <c r="E1417" s="27"/>
      <c r="F1417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H1417" s="28" t="s">
        <v>10</v>
      </c>
      <c r="I1417" s="95">
        <v>44657</v>
      </c>
      <c r="J1417" s="38" t="s">
        <v>1255</v>
      </c>
      <c r="K1417" s="23">
        <v>516000</v>
      </c>
      <c r="L1417" s="23"/>
      <c r="M1417" s="24">
        <f>(PROVEEDORES[[#This Row],[SUBTOTAL]]-PROVEEDORES[[#This Row],[descuento antes de IVA]])*VLOOKUP(PROVEEDORES[[#This Row],[PROVEEDOR]],TERCEROS_INFO[#All],3,FALSE)</f>
        <v>98040</v>
      </c>
      <c r="N1417" s="25"/>
      <c r="O1417" s="24">
        <f>+PROVEEDORES[[#This Row],[Descuento sobre subtotal %]]*(PROVEEDORES[[#This Row],[SUBTOTAL]]-PROVEEDORES[[#This Row],[descuento antes de IVA]])</f>
        <v>0</v>
      </c>
      <c r="P1417" s="136">
        <f>+IF(PROVEEDORES[[#This Row],[SUBTOTAL]]&lt;PROVEEDORES[[#This Row],[base retencion]],0,PROVEEDORES[[#This Row],[retención aplicada]])</f>
        <v>0</v>
      </c>
      <c r="Q1417" s="24">
        <f>+PROVEEDORES[[#This Row],[Rete Fuente %]]*PROVEEDORES[[#This Row],[SUBTOTAL]]</f>
        <v>0</v>
      </c>
      <c r="R1417" s="23">
        <f>+PROVEEDORES[[#This Row],[SUBTOTAL]]+PROVEEDORES[[#This Row],[IVA 19%]]-PROVEEDORES[[#This Row],[descuento antes de IVA]]-PROVEEDORES[[#This Row],[Descuento sobre subtotal $]]-PROVEEDORES[[#This Row],[Rete Fuente $]]</f>
        <v>614040</v>
      </c>
      <c r="S1417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17" s="99">
        <f ca="1">IF(PROVEEDORES[[#This Row],[FECHA DE PAGO]]=0,TODAY()-PROVEEDORES[[#This Row],[FECHA DE FACTURACIÓN]]-PROVEEDORES[[#This Row],[PLAZO Días]],0)</f>
        <v>-18</v>
      </c>
      <c r="U1417" s="149">
        <f>+VLOOKUP(PROVEEDORES[[#This Row],[PROVEEDOR]],Terceros!$A:$E,5,FALSE)</f>
        <v>0</v>
      </c>
      <c r="V1417" s="150">
        <f>+YEAR(PROVEEDORES[[#This Row],[FECHA DE FACTURACIÓN]])</f>
        <v>2022</v>
      </c>
      <c r="W1417" s="150">
        <f>+MATCH(PROVEEDORES[[#This Row],[año facturado]],Retenciones!$1:$1,0)</f>
        <v>5</v>
      </c>
      <c r="X1417" s="151">
        <f>+VLOOKUP(PROVEEDORES[[#This Row],[ID RETENCION]],Retenciones!$A$1:$O$24,PROVEEDORES[[#This Row],[indicador de columna]],FALSE)</f>
        <v>0</v>
      </c>
      <c r="Y1417" s="152">
        <f>+VLOOKUP(PROVEEDORES[[#This Row],[ID RETENCION]],Retenciones!$A$1:$O$24,2,FALSE)</f>
        <v>0</v>
      </c>
      <c r="Z1417" s="26"/>
      <c r="AA1417" s="26"/>
      <c r="AB1417" s="26"/>
      <c r="AC1417" s="26"/>
      <c r="AD1417" s="26"/>
      <c r="AE1417" s="26"/>
    </row>
    <row r="1418" spans="1:31" ht="21.95" customHeight="1" x14ac:dyDescent="0.25">
      <c r="A1418" s="97" t="str">
        <f>+IF(PROVEEDORES[[#This Row],[FECHA DE PAGO]]=PROVEEDORES[[#This Row],[FECHA DE FACTURACIÓN]],"DE CONTADO","CRÉDITO")</f>
        <v>CRÉDITO</v>
      </c>
      <c r="B1418" s="41" t="b">
        <f>+IF((PROVEEDORES[[#This Row],[FECHA DE PAGO]]-PROVEEDORES[[#This Row],[FECHA DE FACTURACIÓN]])&gt;PROVEEDORES[[#This Row],[PLAZO Días]],"PAGO VENCIDO")</f>
        <v>0</v>
      </c>
      <c r="C1418" s="22">
        <f>+VLOOKUP(PROVEEDORES[[#This Row],[PROVEEDOR]],TERCEROS_INFO[#All],2,FALSE)</f>
        <v>30</v>
      </c>
      <c r="D1418" s="27">
        <f>+SUMIFS(PROVEEDORES[Total],PROVEEDORES[PROVEEDOR],PROVEEDORES[[#This Row],[PROVEEDOR]],PROVEEDORES[FECHA DE PAGO],"")</f>
        <v>6151200</v>
      </c>
      <c r="E1418" s="27"/>
      <c r="F1418" s="62" t="str">
        <f>+VLOOKUP(PROVEEDORES[[#This Row],[PROVEEDOR]],
                       Terceros!$A:$G,
                       6,
                       FALSE)</f>
        <v>apresupuesto@widexcolombia.com;girlesa.ruiz@servipilas.com;joriescobar64@gmail.com</v>
      </c>
      <c r="H1418" s="28" t="s">
        <v>11</v>
      </c>
      <c r="I1418" s="95">
        <v>44657</v>
      </c>
      <c r="J1418" s="38" t="s">
        <v>1256</v>
      </c>
      <c r="K1418" s="23">
        <v>5280000</v>
      </c>
      <c r="L1418" s="23"/>
      <c r="M1418" s="24">
        <f>(PROVEEDORES[[#This Row],[SUBTOTAL]]-PROVEEDORES[[#This Row],[descuento antes de IVA]])*VLOOKUP(PROVEEDORES[[#This Row],[PROVEEDOR]],TERCEROS_INFO[#All],3,FALSE)</f>
        <v>1003200</v>
      </c>
      <c r="N1418" s="25"/>
      <c r="O1418" s="24">
        <f>+PROVEEDORES[[#This Row],[Descuento sobre subtotal %]]*(PROVEEDORES[[#This Row],[SUBTOTAL]]-PROVEEDORES[[#This Row],[descuento antes de IVA]])</f>
        <v>0</v>
      </c>
      <c r="P1418" s="136">
        <f>+IF(PROVEEDORES[[#This Row],[SUBTOTAL]]&lt;PROVEEDORES[[#This Row],[base retencion]],0,PROVEEDORES[[#This Row],[retención aplicada]])</f>
        <v>2.5000000000000001E-2</v>
      </c>
      <c r="Q1418" s="24">
        <f>+PROVEEDORES[[#This Row],[Rete Fuente %]]*PROVEEDORES[[#This Row],[SUBTOTAL]]</f>
        <v>132000</v>
      </c>
      <c r="R1418" s="23">
        <f>+PROVEEDORES[[#This Row],[SUBTOTAL]]+PROVEEDORES[[#This Row],[IVA 19%]]-PROVEEDORES[[#This Row],[descuento antes de IVA]]-PROVEEDORES[[#This Row],[Descuento sobre subtotal $]]-PROVEEDORES[[#This Row],[Rete Fuente $]]</f>
        <v>6151200</v>
      </c>
      <c r="S1418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18" s="99">
        <f ca="1">IF(PROVEEDORES[[#This Row],[FECHA DE PAGO]]=0,TODAY()-PROVEEDORES[[#This Row],[FECHA DE FACTURACIÓN]]-PROVEEDORES[[#This Row],[PLAZO Días]],0)</f>
        <v>-3</v>
      </c>
      <c r="U1418" s="149" t="str">
        <f>+VLOOKUP(PROVEEDORES[[#This Row],[PROVEEDOR]],Terceros!$A:$E,5,FALSE)</f>
        <v>2,5% con base</v>
      </c>
      <c r="V1418" s="150">
        <f>+YEAR(PROVEEDORES[[#This Row],[FECHA DE FACTURACIÓN]])</f>
        <v>2022</v>
      </c>
      <c r="W1418" s="150">
        <f>+MATCH(PROVEEDORES[[#This Row],[año facturado]],Retenciones!$1:$1,0)</f>
        <v>5</v>
      </c>
      <c r="X1418" s="151">
        <f>+VLOOKUP(PROVEEDORES[[#This Row],[ID RETENCION]],Retenciones!$A$1:$O$24,PROVEEDORES[[#This Row],[indicador de columna]],FALSE)</f>
        <v>1026000</v>
      </c>
      <c r="Y1418" s="152">
        <f>+VLOOKUP(PROVEEDORES[[#This Row],[ID RETENCION]],Retenciones!$A$1:$O$24,2,FALSE)</f>
        <v>2.5000000000000001E-2</v>
      </c>
      <c r="Z1418" s="26"/>
      <c r="AA1418" s="26"/>
      <c r="AB1418" s="26"/>
      <c r="AC1418" s="26"/>
      <c r="AD1418" s="26"/>
      <c r="AE1418" s="26"/>
    </row>
    <row r="1419" spans="1:31" ht="21.95" customHeight="1" x14ac:dyDescent="0.25">
      <c r="A1419" s="97" t="str">
        <f>+IF(PROVEEDORES[[#This Row],[FECHA DE PAGO]]=PROVEEDORES[[#This Row],[FECHA DE FACTURACIÓN]],"DE CONTADO","CRÉDITO")</f>
        <v>CRÉDITO</v>
      </c>
      <c r="B1419" s="41" t="b">
        <f>+IF((PROVEEDORES[[#This Row],[FECHA DE PAGO]]-PROVEEDORES[[#This Row],[FECHA DE FACTURACIÓN]])&gt;PROVEEDORES[[#This Row],[PLAZO Días]],"PAGO VENCIDO")</f>
        <v>0</v>
      </c>
      <c r="C1419" s="22">
        <f>+VLOOKUP(PROVEEDORES[[#This Row],[PROVEEDOR]],TERCEROS_INFO[#All],2,FALSE)</f>
        <v>30</v>
      </c>
      <c r="D1419" s="27">
        <f>+SUMIFS(PROVEEDORES[Total],PROVEEDORES[PROVEEDOR],PROVEEDORES[[#This Row],[PROVEEDOR]],PROVEEDORES[FECHA DE PAGO],"")</f>
        <v>452687.9</v>
      </c>
      <c r="E1419" s="27"/>
      <c r="F1419" s="62" t="str">
        <f>+VLOOKUP(PROVEEDORES[[#This Row],[PROVEEDOR]],
                       Terceros!$A:$G,
                       6,
                       FALSE)</f>
        <v>soluenergiacentro@une.net.co;girlesa.ruiz@servipilas.com;joriescobar64@gmail.com</v>
      </c>
      <c r="H1419" s="28" t="s">
        <v>39</v>
      </c>
      <c r="I1419" s="95">
        <v>44658</v>
      </c>
      <c r="J1419" s="38">
        <v>1218</v>
      </c>
      <c r="K1419" s="23">
        <v>380410</v>
      </c>
      <c r="L1419" s="23"/>
      <c r="M1419" s="24">
        <f>(PROVEEDORES[[#This Row],[SUBTOTAL]]-PROVEEDORES[[#This Row],[descuento antes de IVA]])*VLOOKUP(PROVEEDORES[[#This Row],[PROVEEDOR]],TERCEROS_INFO[#All],3,FALSE)</f>
        <v>72277.899999999994</v>
      </c>
      <c r="N1419" s="25"/>
      <c r="O1419" s="24">
        <f>+PROVEEDORES[[#This Row],[Descuento sobre subtotal %]]*(PROVEEDORES[[#This Row],[SUBTOTAL]]-PROVEEDORES[[#This Row],[descuento antes de IVA]])</f>
        <v>0</v>
      </c>
      <c r="P1419" s="136">
        <f>+IF(PROVEEDORES[[#This Row],[SUBTOTAL]]&lt;PROVEEDORES[[#This Row],[base retencion]],0,PROVEEDORES[[#This Row],[retención aplicada]])</f>
        <v>0</v>
      </c>
      <c r="Q1419" s="24">
        <f>+PROVEEDORES[[#This Row],[Rete Fuente %]]*PROVEEDORES[[#This Row],[SUBTOTAL]]</f>
        <v>0</v>
      </c>
      <c r="R1419" s="23">
        <f>+PROVEEDORES[[#This Row],[SUBTOTAL]]+PROVEEDORES[[#This Row],[IVA 19%]]-PROVEEDORES[[#This Row],[descuento antes de IVA]]-PROVEEDORES[[#This Row],[Descuento sobre subtotal $]]-PROVEEDORES[[#This Row],[Rete Fuente $]]</f>
        <v>452687.9</v>
      </c>
      <c r="S1419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19" s="99">
        <f ca="1">IF(PROVEEDORES[[#This Row],[FECHA DE PAGO]]=0,TODAY()-PROVEEDORES[[#This Row],[FECHA DE FACTURACIÓN]]-PROVEEDORES[[#This Row],[PLAZO Días]],0)</f>
        <v>-4</v>
      </c>
      <c r="U1419" s="149" t="str">
        <f>+VLOOKUP(PROVEEDORES[[#This Row],[PROVEEDOR]],Terceros!$A:$E,5,FALSE)</f>
        <v>2,5% con base</v>
      </c>
      <c r="V1419" s="150">
        <f>+YEAR(PROVEEDORES[[#This Row],[FECHA DE FACTURACIÓN]])</f>
        <v>2022</v>
      </c>
      <c r="W1419" s="150">
        <f>+MATCH(PROVEEDORES[[#This Row],[año facturado]],Retenciones!$1:$1,0)</f>
        <v>5</v>
      </c>
      <c r="X1419" s="151">
        <f>+VLOOKUP(PROVEEDORES[[#This Row],[ID RETENCION]],Retenciones!$A$1:$O$24,PROVEEDORES[[#This Row],[indicador de columna]],FALSE)</f>
        <v>1026000</v>
      </c>
      <c r="Y1419" s="152">
        <f>+VLOOKUP(PROVEEDORES[[#This Row],[ID RETENCION]],Retenciones!$A$1:$O$24,2,FALSE)</f>
        <v>2.5000000000000001E-2</v>
      </c>
      <c r="Z1419" s="26"/>
      <c r="AA1419" s="26"/>
      <c r="AB1419" s="26"/>
      <c r="AC1419" s="26"/>
      <c r="AD1419" s="26"/>
      <c r="AE1419" s="26"/>
    </row>
    <row r="1420" spans="1:31" ht="21.95" customHeight="1" x14ac:dyDescent="0.25">
      <c r="A1420" s="97" t="str">
        <f>+IF(PROVEEDORES[[#This Row],[FECHA DE PAGO]]=PROVEEDORES[[#This Row],[FECHA DE FACTURACIÓN]],"DE CONTADO","CRÉDITO")</f>
        <v>DE CONTADO</v>
      </c>
      <c r="B1420" s="41" t="b">
        <f>+IF((PROVEEDORES[[#This Row],[FECHA DE PAGO]]-PROVEEDORES[[#This Row],[FECHA DE FACTURACIÓN]])&gt;PROVEEDORES[[#This Row],[PLAZO Días]],"PAGO VENCIDO")</f>
        <v>0</v>
      </c>
      <c r="C1420" s="22">
        <f>+VLOOKUP(PROVEEDORES[[#This Row],[PROVEEDOR]],TERCEROS_INFO[#All],2,FALSE)</f>
        <v>30</v>
      </c>
      <c r="D1420" s="27">
        <f>+SUMIFS(PROVEEDORES[Total],PROVEEDORES[PROVEEDOR],PROVEEDORES[[#This Row],[PROVEEDOR]],PROVEEDORES[FECHA DE PAGO],"")</f>
        <v>0</v>
      </c>
      <c r="E1420" s="27"/>
      <c r="F1420" s="62" t="str">
        <f>+VLOOKUP(PROVEEDORES[[#This Row],[PROVEEDOR]],
                       Terceros!$A:$G,
                       6,
                       FALSE)</f>
        <v/>
      </c>
      <c r="G1420" s="95">
        <v>44660</v>
      </c>
      <c r="H1420" s="28" t="s">
        <v>1031</v>
      </c>
      <c r="I1420" s="95">
        <v>44660</v>
      </c>
      <c r="J1420" s="38" t="s">
        <v>1249</v>
      </c>
      <c r="K1420" s="23">
        <v>150000</v>
      </c>
      <c r="L1420" s="23"/>
      <c r="M1420" s="24">
        <f>(PROVEEDORES[[#This Row],[SUBTOTAL]]-PROVEEDORES[[#This Row],[descuento antes de IVA]])*VLOOKUP(PROVEEDORES[[#This Row],[PROVEEDOR]],TERCEROS_INFO[#All],3,FALSE)</f>
        <v>0</v>
      </c>
      <c r="N1420" s="25"/>
      <c r="O1420" s="24">
        <f>+PROVEEDORES[[#This Row],[Descuento sobre subtotal %]]*(PROVEEDORES[[#This Row],[SUBTOTAL]]-PROVEEDORES[[#This Row],[descuento antes de IVA]])</f>
        <v>0</v>
      </c>
      <c r="P1420" s="136">
        <f>+IF(PROVEEDORES[[#This Row],[SUBTOTAL]]&lt;PROVEEDORES[[#This Row],[base retencion]],0,PROVEEDORES[[#This Row],[retención aplicada]])</f>
        <v>0</v>
      </c>
      <c r="Q1420" s="24">
        <f>+PROVEEDORES[[#This Row],[Rete Fuente %]]*PROVEEDORES[[#This Row],[SUBTOTAL]]</f>
        <v>0</v>
      </c>
      <c r="R1420" s="23">
        <f>+PROVEEDORES[[#This Row],[SUBTOTAL]]+PROVEEDORES[[#This Row],[IVA 19%]]-PROVEEDORES[[#This Row],[descuento antes de IVA]]-PROVEEDORES[[#This Row],[Descuento sobre subtotal $]]-PROVEEDORES[[#This Row],[Rete Fuente $]]</f>
        <v>150000</v>
      </c>
      <c r="S1420" s="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0" s="99">
        <f ca="1">IF(PROVEEDORES[[#This Row],[FECHA DE PAGO]]=0,TODAY()-PROVEEDORES[[#This Row],[FECHA DE FACTURACIÓN]]-PROVEEDORES[[#This Row],[PLAZO Días]],0)</f>
        <v>0</v>
      </c>
      <c r="U1420" s="149">
        <f>+VLOOKUP(PROVEEDORES[[#This Row],[PROVEEDOR]],Terceros!$A:$E,5,FALSE)</f>
        <v>0</v>
      </c>
      <c r="V1420" s="150">
        <f>+YEAR(PROVEEDORES[[#This Row],[FECHA DE FACTURACIÓN]])</f>
        <v>2022</v>
      </c>
      <c r="W1420" s="150">
        <f>+MATCH(PROVEEDORES[[#This Row],[año facturado]],Retenciones!$1:$1,0)</f>
        <v>5</v>
      </c>
      <c r="X1420" s="151">
        <f>+VLOOKUP(PROVEEDORES[[#This Row],[ID RETENCION]],Retenciones!$A$1:$O$24,PROVEEDORES[[#This Row],[indicador de columna]],FALSE)</f>
        <v>0</v>
      </c>
      <c r="Y1420" s="152">
        <f>+VLOOKUP(PROVEEDORES[[#This Row],[ID RETENCION]],Retenciones!$A$1:$O$24,2,FALSE)</f>
        <v>0</v>
      </c>
      <c r="Z1420" s="26"/>
      <c r="AA1420" s="26"/>
      <c r="AB1420" s="26"/>
      <c r="AC1420" s="26"/>
      <c r="AD1420" s="26"/>
      <c r="AE1420" s="26"/>
    </row>
    <row r="1421" spans="1:31" ht="21.95" customHeight="1" x14ac:dyDescent="0.25">
      <c r="A1421" s="97" t="str">
        <f>+IF(PROVEEDORES[[#This Row],[FECHA DE PAGO]]=PROVEEDORES[[#This Row],[FECHA DE FACTURACIÓN]],"DE CONTADO","CRÉDITO")</f>
        <v>CRÉDITO</v>
      </c>
      <c r="B1421" s="41" t="b">
        <f>+IF((PROVEEDORES[[#This Row],[FECHA DE PAGO]]-PROVEEDORES[[#This Row],[FECHA DE FACTURACIÓN]])&gt;PROVEEDORES[[#This Row],[PLAZO Días]],"PAGO VENCIDO")</f>
        <v>0</v>
      </c>
      <c r="C1421" s="22">
        <f>+VLOOKUP(PROVEEDORES[[#This Row],[PROVEEDOR]],TERCEROS_INFO[#All],2,FALSE)</f>
        <v>45</v>
      </c>
      <c r="D1421" s="27">
        <f>+SUMIFS(PROVEEDORES[Total],PROVEEDORES[PROVEEDOR],PROVEEDORES[[#This Row],[PROVEEDOR]],PROVEEDORES[FECHA DE PAGO],"")</f>
        <v>37184068.039999999</v>
      </c>
      <c r="E1421" s="27"/>
      <c r="F1421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H1421" s="28" t="s">
        <v>19</v>
      </c>
      <c r="I1421" s="95">
        <v>44638</v>
      </c>
      <c r="J1421" s="38" t="s">
        <v>1121</v>
      </c>
      <c r="K1421" s="23">
        <v>10665600</v>
      </c>
      <c r="L1421" s="23"/>
      <c r="M1421" s="24">
        <f>(PROVEEDORES[[#This Row],[SUBTOTAL]]-PROVEEDORES[[#This Row],[descuento antes de IVA]])*VLOOKUP(PROVEEDORES[[#This Row],[PROVEEDOR]],TERCEROS_INFO[#All],3,FALSE)</f>
        <v>2026464</v>
      </c>
      <c r="N1421" s="25"/>
      <c r="O1421" s="24">
        <f>+PROVEEDORES[[#This Row],[Descuento sobre subtotal %]]*(PROVEEDORES[[#This Row],[SUBTOTAL]]-PROVEEDORES[[#This Row],[descuento antes de IVA]])</f>
        <v>0</v>
      </c>
      <c r="P1421" s="136">
        <f>+IF(PROVEEDORES[[#This Row],[SUBTOTAL]]&lt;PROVEEDORES[[#This Row],[base retencion]],0,PROVEEDORES[[#This Row],[retención aplicada]])</f>
        <v>0</v>
      </c>
      <c r="Q1421" s="24">
        <f>+PROVEEDORES[[#This Row],[Rete Fuente %]]*PROVEEDORES[[#This Row],[SUBTOTAL]]</f>
        <v>0</v>
      </c>
      <c r="R1421" s="23">
        <f>+PROVEEDORES[[#This Row],[SUBTOTAL]]+PROVEEDORES[[#This Row],[IVA 19%]]-PROVEEDORES[[#This Row],[descuento antes de IVA]]-PROVEEDORES[[#This Row],[Descuento sobre subtotal $]]-PROVEEDORES[[#This Row],[Rete Fuente $]]</f>
        <v>12692064</v>
      </c>
      <c r="S1421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421" s="99">
        <f ca="1">IF(PROVEEDORES[[#This Row],[FECHA DE PAGO]]=0,TODAY()-PROVEEDORES[[#This Row],[FECHA DE FACTURACIÓN]]-PROVEEDORES[[#This Row],[PLAZO Días]],0)</f>
        <v>1</v>
      </c>
      <c r="U1421" s="149">
        <f>+VLOOKUP(PROVEEDORES[[#This Row],[PROVEEDOR]],Terceros!$A:$E,5,FALSE)</f>
        <v>0</v>
      </c>
      <c r="V1421" s="150">
        <f>+YEAR(PROVEEDORES[[#This Row],[FECHA DE FACTURACIÓN]])</f>
        <v>2022</v>
      </c>
      <c r="W1421" s="150">
        <f>+MATCH(PROVEEDORES[[#This Row],[año facturado]],Retenciones!$1:$1,0)</f>
        <v>5</v>
      </c>
      <c r="X1421" s="151">
        <f>+VLOOKUP(PROVEEDORES[[#This Row],[ID RETENCION]],Retenciones!$A$1:$O$24,PROVEEDORES[[#This Row],[indicador de columna]],FALSE)</f>
        <v>0</v>
      </c>
      <c r="Y1421" s="152">
        <f>+VLOOKUP(PROVEEDORES[[#This Row],[ID RETENCION]],Retenciones!$A$1:$O$24,2,FALSE)</f>
        <v>0</v>
      </c>
      <c r="Z1421" s="26"/>
      <c r="AA1421" s="26"/>
      <c r="AB1421" s="26"/>
      <c r="AC1421" s="26"/>
      <c r="AD1421" s="26"/>
      <c r="AE1421" s="26"/>
    </row>
    <row r="1422" spans="1:31" ht="21.95" customHeight="1" x14ac:dyDescent="0.25">
      <c r="A1422" s="97" t="str">
        <f>+IF(PROVEEDORES[[#This Row],[FECHA DE PAGO]]=PROVEEDORES[[#This Row],[FECHA DE FACTURACIÓN]],"DE CONTADO","CRÉDITO")</f>
        <v>CRÉDITO</v>
      </c>
      <c r="B1422" s="41" t="b">
        <f>+IF((PROVEEDORES[[#This Row],[FECHA DE PAGO]]-PROVEEDORES[[#This Row],[FECHA DE FACTURACIÓN]])&gt;PROVEEDORES[[#This Row],[PLAZO Días]],"PAGO VENCIDO")</f>
        <v>0</v>
      </c>
      <c r="C1422" s="22">
        <f>+VLOOKUP(PROVEEDORES[[#This Row],[PROVEEDOR]],TERCEROS_INFO[#All],2,FALSE)</f>
        <v>30</v>
      </c>
      <c r="D1422" s="27">
        <f>+SUMIFS(PROVEEDORES[Total],PROVEEDORES[PROVEEDOR],PROVEEDORES[[#This Row],[PROVEEDOR]],PROVEEDORES[FECHA DE PAGO],"")</f>
        <v>1205709.19</v>
      </c>
      <c r="E1422" s="27"/>
      <c r="F1422" s="62" t="str">
        <f>+VLOOKUP(PROVEEDORES[[#This Row],[PROVEEDOR]],
                       Terceros!$A:$G,
                       6,
                       FALSE)</f>
        <v>avelinacomer@gmail.com;girlesa.ruiz@servipilas.com;joriescobar64@gmail.com</v>
      </c>
      <c r="H1422" s="132" t="s">
        <v>1258</v>
      </c>
      <c r="I1422" s="95">
        <v>44663</v>
      </c>
      <c r="J1422" s="38" t="s">
        <v>1260</v>
      </c>
      <c r="K1422" s="23">
        <v>1013201</v>
      </c>
      <c r="L1422" s="23"/>
      <c r="M1422" s="24">
        <f>(PROVEEDORES[[#This Row],[SUBTOTAL]]-PROVEEDORES[[#This Row],[descuento antes de IVA]])*VLOOKUP(PROVEEDORES[[#This Row],[PROVEEDOR]],TERCEROS_INFO[#All],3,FALSE)</f>
        <v>192508.19</v>
      </c>
      <c r="N1422" s="25"/>
      <c r="O1422" s="24">
        <f>+PROVEEDORES[[#This Row],[Descuento sobre subtotal %]]*(PROVEEDORES[[#This Row],[SUBTOTAL]]-PROVEEDORES[[#This Row],[descuento antes de IVA]])</f>
        <v>0</v>
      </c>
      <c r="P1422" s="136">
        <f>+IF(PROVEEDORES[[#This Row],[SUBTOTAL]]&lt;PROVEEDORES[[#This Row],[base retencion]],0,PROVEEDORES[[#This Row],[retención aplicada]])</f>
        <v>0</v>
      </c>
      <c r="Q1422" s="24">
        <f>+PROVEEDORES[[#This Row],[Rete Fuente %]]*PROVEEDORES[[#This Row],[SUBTOTAL]]</f>
        <v>0</v>
      </c>
      <c r="R1422" s="23">
        <f>+PROVEEDORES[[#This Row],[SUBTOTAL]]+PROVEEDORES[[#This Row],[IVA 19%]]-PROVEEDORES[[#This Row],[descuento antes de IVA]]-PROVEEDORES[[#This Row],[Descuento sobre subtotal $]]-PROVEEDORES[[#This Row],[Rete Fuente $]]</f>
        <v>1205709.19</v>
      </c>
      <c r="S1422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22" s="99">
        <f ca="1">IF(PROVEEDORES[[#This Row],[FECHA DE PAGO]]=0,TODAY()-PROVEEDORES[[#This Row],[FECHA DE FACTURACIÓN]]-PROVEEDORES[[#This Row],[PLAZO Días]],0)</f>
        <v>-9</v>
      </c>
      <c r="U1422" s="149">
        <f>+VLOOKUP(PROVEEDORES[[#This Row],[PROVEEDOR]],Terceros!$A:$E,5,FALSE)</f>
        <v>0</v>
      </c>
      <c r="V1422" s="150">
        <f>+YEAR(PROVEEDORES[[#This Row],[FECHA DE FACTURACIÓN]])</f>
        <v>2022</v>
      </c>
      <c r="W1422" s="150">
        <f>+MATCH(PROVEEDORES[[#This Row],[año facturado]],Retenciones!$1:$1,0)</f>
        <v>5</v>
      </c>
      <c r="X1422" s="151">
        <f>+VLOOKUP(PROVEEDORES[[#This Row],[ID RETENCION]],Retenciones!$A$1:$O$24,PROVEEDORES[[#This Row],[indicador de columna]],FALSE)</f>
        <v>0</v>
      </c>
      <c r="Y1422" s="152">
        <f>+VLOOKUP(PROVEEDORES[[#This Row],[ID RETENCION]],Retenciones!$A$1:$O$24,2,FALSE)</f>
        <v>0</v>
      </c>
      <c r="Z1422" s="26"/>
      <c r="AA1422" s="26"/>
      <c r="AB1422" s="26"/>
      <c r="AC1422" s="26"/>
      <c r="AD1422" s="26"/>
      <c r="AE1422" s="26"/>
    </row>
    <row r="1423" spans="1:31" ht="21.95" customHeight="1" x14ac:dyDescent="0.25">
      <c r="A1423" s="97" t="str">
        <f>+IF(PROVEEDORES[[#This Row],[FECHA DE PAGO]]=PROVEEDORES[[#This Row],[FECHA DE FACTURACIÓN]],"DE CONTADO","CRÉDITO")</f>
        <v>CRÉDITO</v>
      </c>
      <c r="B1423" s="41" t="b">
        <f>+IF((PROVEEDORES[[#This Row],[FECHA DE PAGO]]-PROVEEDORES[[#This Row],[FECHA DE FACTURACIÓN]])&gt;PROVEEDORES[[#This Row],[PLAZO Días]],"PAGO VENCIDO")</f>
        <v>0</v>
      </c>
      <c r="C1423" s="22">
        <f>+VLOOKUP(PROVEEDORES[[#This Row],[PROVEEDOR]],TERCEROS_INFO[#All],2,FALSE)</f>
        <v>30</v>
      </c>
      <c r="D1423" s="27">
        <f>+SUMIFS(PROVEEDORES[Total],PROVEEDORES[PROVEEDOR],PROVEEDORES[[#This Row],[PROVEEDOR]],PROVEEDORES[FECHA DE PAGO],"")</f>
        <v>264406</v>
      </c>
      <c r="E1423" s="27"/>
      <c r="F1423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H1423" s="28" t="s">
        <v>390</v>
      </c>
      <c r="I1423" s="95">
        <v>44665</v>
      </c>
      <c r="J1423" s="38" t="s">
        <v>1257</v>
      </c>
      <c r="K1423" s="23">
        <v>264406</v>
      </c>
      <c r="L1423" s="23"/>
      <c r="M1423" s="24">
        <f>(PROVEEDORES[[#This Row],[SUBTOTAL]]-PROVEEDORES[[#This Row],[descuento antes de IVA]])*VLOOKUP(PROVEEDORES[[#This Row],[PROVEEDOR]],TERCEROS_INFO[#All],3,FALSE)</f>
        <v>0</v>
      </c>
      <c r="N1423" s="25"/>
      <c r="O1423" s="24">
        <f>+PROVEEDORES[[#This Row],[Descuento sobre subtotal %]]*(PROVEEDORES[[#This Row],[SUBTOTAL]]-PROVEEDORES[[#This Row],[descuento antes de IVA]])</f>
        <v>0</v>
      </c>
      <c r="P1423" s="136">
        <f>+IF(PROVEEDORES[[#This Row],[SUBTOTAL]]&lt;PROVEEDORES[[#This Row],[base retencion]],0,PROVEEDORES[[#This Row],[retención aplicada]])</f>
        <v>0</v>
      </c>
      <c r="Q1423" s="24">
        <f>+PROVEEDORES[[#This Row],[Rete Fuente %]]*PROVEEDORES[[#This Row],[SUBTOTAL]]</f>
        <v>0</v>
      </c>
      <c r="R1423" s="23">
        <f>+PROVEEDORES[[#This Row],[SUBTOTAL]]+PROVEEDORES[[#This Row],[IVA 19%]]-PROVEEDORES[[#This Row],[descuento antes de IVA]]-PROVEEDORES[[#This Row],[Descuento sobre subtotal $]]-PROVEEDORES[[#This Row],[Rete Fuente $]]</f>
        <v>264406</v>
      </c>
      <c r="S1423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23" s="99">
        <f ca="1">IF(PROVEEDORES[[#This Row],[FECHA DE PAGO]]=0,TODAY()-PROVEEDORES[[#This Row],[FECHA DE FACTURACIÓN]]-PROVEEDORES[[#This Row],[PLAZO Días]],0)</f>
        <v>-11</v>
      </c>
      <c r="U1423" s="149">
        <f>+VLOOKUP(PROVEEDORES[[#This Row],[PROVEEDOR]],Terceros!$A:$E,5,FALSE)</f>
        <v>0</v>
      </c>
      <c r="V1423" s="150">
        <f>+YEAR(PROVEEDORES[[#This Row],[FECHA DE FACTURACIÓN]])</f>
        <v>2022</v>
      </c>
      <c r="W1423" s="150">
        <f>+MATCH(PROVEEDORES[[#This Row],[año facturado]],Retenciones!$1:$1,0)</f>
        <v>5</v>
      </c>
      <c r="X1423" s="151">
        <f>+VLOOKUP(PROVEEDORES[[#This Row],[ID RETENCION]],Retenciones!$A$1:$O$24,PROVEEDORES[[#This Row],[indicador de columna]],FALSE)</f>
        <v>0</v>
      </c>
      <c r="Y1423" s="152">
        <f>+VLOOKUP(PROVEEDORES[[#This Row],[ID RETENCION]],Retenciones!$A$1:$O$24,2,FALSE)</f>
        <v>0</v>
      </c>
      <c r="Z1423" s="153"/>
      <c r="AA1423" s="154"/>
      <c r="AC1423" s="155"/>
      <c r="AD1423" s="156"/>
      <c r="AE1423" s="26"/>
    </row>
    <row r="1424" spans="1:31" ht="21.95" customHeight="1" x14ac:dyDescent="0.25">
      <c r="A1424" s="175" t="str">
        <f>+IF(PROVEEDORES[[#This Row],[FECHA DE PAGO]]=PROVEEDORES[[#This Row],[FECHA DE FACTURACIÓN]],"DE CONTADO","CRÉDITO")</f>
        <v>CRÉDITO</v>
      </c>
      <c r="B1424" s="41" t="b">
        <f>+IF((PROVEEDORES[[#This Row],[FECHA DE PAGO]]-PROVEEDORES[[#This Row],[FECHA DE FACTURACIÓN]])&gt;PROVEEDORES[[#This Row],[PLAZO Días]],"PAGO VENCIDO")</f>
        <v>0</v>
      </c>
      <c r="C1424" s="22">
        <f>+VLOOKUP(PROVEEDORES[[#This Row],[PROVEEDOR]],TERCEROS_INFO[#All],2,FALSE)</f>
        <v>30</v>
      </c>
      <c r="D1424" s="27">
        <f>+SUMIFS(PROVEEDORES[Total],PROVEEDORES[PROVEEDOR],PROVEEDORES[[#This Row],[PROVEEDOR]],PROVEEDORES[FECHA DE PAGO],"")</f>
        <v>0</v>
      </c>
      <c r="E1424" s="27"/>
      <c r="F1424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G1424" s="95">
        <v>44671</v>
      </c>
      <c r="H1424" s="28" t="s">
        <v>1040</v>
      </c>
      <c r="I1424" s="95">
        <v>44668</v>
      </c>
      <c r="J1424" s="38"/>
      <c r="K1424" s="23">
        <v>400000</v>
      </c>
      <c r="L1424" s="23"/>
      <c r="M1424" s="24">
        <f>(PROVEEDORES[[#This Row],[SUBTOTAL]]-PROVEEDORES[[#This Row],[descuento antes de IVA]])*VLOOKUP(PROVEEDORES[[#This Row],[PROVEEDOR]],TERCEROS_INFO[#All],3,FALSE)</f>
        <v>0</v>
      </c>
      <c r="N1424" s="25"/>
      <c r="O1424" s="24">
        <f>+PROVEEDORES[[#This Row],[Descuento sobre subtotal %]]*(PROVEEDORES[[#This Row],[SUBTOTAL]]-PROVEEDORES[[#This Row],[descuento antes de IVA]])</f>
        <v>0</v>
      </c>
      <c r="P1424" s="136">
        <f>+IF(PROVEEDORES[[#This Row],[SUBTOTAL]]&lt;PROVEEDORES[[#This Row],[base retencion]],0,PROVEEDORES[[#This Row],[retención aplicada]])</f>
        <v>0</v>
      </c>
      <c r="Q1424" s="24">
        <f>+PROVEEDORES[[#This Row],[Rete Fuente %]]*PROVEEDORES[[#This Row],[SUBTOTAL]]</f>
        <v>0</v>
      </c>
      <c r="R1424" s="23">
        <f>+PROVEEDORES[[#This Row],[SUBTOTAL]]+PROVEEDORES[[#This Row],[IVA 19%]]-PROVEEDORES[[#This Row],[descuento antes de IVA]]-PROVEEDORES[[#This Row],[Descuento sobre subtotal $]]-PROVEEDORES[[#This Row],[Rete Fuente $]]</f>
        <v>400000</v>
      </c>
      <c r="S1424" s="17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4" s="176">
        <f ca="1">IF(PROVEEDORES[[#This Row],[FECHA DE PAGO]]=0,TODAY()-PROVEEDORES[[#This Row],[FECHA DE FACTURACIÓN]]-PROVEEDORES[[#This Row],[PLAZO Días]],0)</f>
        <v>0</v>
      </c>
      <c r="U1424" s="178">
        <f>+VLOOKUP(PROVEEDORES[[#This Row],[PROVEEDOR]],Terceros!$A:$E,5,FALSE)</f>
        <v>0</v>
      </c>
      <c r="V1424" s="179">
        <f>+YEAR(PROVEEDORES[[#This Row],[FECHA DE FACTURACIÓN]])</f>
        <v>2022</v>
      </c>
      <c r="W1424" s="179">
        <f>+MATCH(PROVEEDORES[[#This Row],[año facturado]],Retenciones!$1:$1,0)</f>
        <v>5</v>
      </c>
      <c r="X1424" s="180">
        <f>+VLOOKUP(PROVEEDORES[[#This Row],[ID RETENCION]],Retenciones!$A$1:$O$24,PROVEEDORES[[#This Row],[indicador de columna]],FALSE)</f>
        <v>0</v>
      </c>
      <c r="Y1424" s="181">
        <f>+VLOOKUP(PROVEEDORES[[#This Row],[ID RETENCION]],Retenciones!$A$1:$O$24,2,FALSE)</f>
        <v>0</v>
      </c>
      <c r="Z1424" s="153"/>
      <c r="AA1424" s="154"/>
      <c r="AC1424" s="155"/>
      <c r="AD1424" s="156"/>
      <c r="AE1424" s="26"/>
    </row>
    <row r="1425" spans="1:31" ht="21.95" customHeight="1" x14ac:dyDescent="0.25">
      <c r="A1425" s="175" t="str">
        <f>+IF(PROVEEDORES[[#This Row],[FECHA DE PAGO]]=PROVEEDORES[[#This Row],[FECHA DE FACTURACIÓN]],"DE CONTADO","CRÉDITO")</f>
        <v>CRÉDITO</v>
      </c>
      <c r="B1425" s="41" t="b">
        <f>+IF((PROVEEDORES[[#This Row],[FECHA DE PAGO]]-PROVEEDORES[[#This Row],[FECHA DE FACTURACIÓN]])&gt;PROVEEDORES[[#This Row],[PLAZO Días]],"PAGO VENCIDO")</f>
        <v>0</v>
      </c>
      <c r="C1425" s="22">
        <f>+VLOOKUP(PROVEEDORES[[#This Row],[PROVEEDOR]],TERCEROS_INFO[#All],2,FALSE)</f>
        <v>30</v>
      </c>
      <c r="D1425" s="27">
        <f>+SUMIFS(PROVEEDORES[Total],PROVEEDORES[PROVEEDOR],PROVEEDORES[[#This Row],[PROVEEDOR]],PROVEEDORES[FECHA DE PAGO],"")</f>
        <v>395010</v>
      </c>
      <c r="E1425" s="27"/>
      <c r="F1425" s="62" t="str">
        <f>+VLOOKUP(PROVEEDORES[[#This Row],[PROVEEDOR]],
                       Terceros!$A:$G,
                       6,
                       FALSE)</f>
        <v>CARLOSARCILAMENSAJERIA@gmail.com;girlesa.ruiz@servipilas.com;joriescobar64@gmail.com</v>
      </c>
      <c r="H1425" s="28" t="s">
        <v>141</v>
      </c>
      <c r="I1425" s="95">
        <v>44668</v>
      </c>
      <c r="J1425" s="38">
        <v>220</v>
      </c>
      <c r="K1425" s="23">
        <v>399000</v>
      </c>
      <c r="L1425" s="23"/>
      <c r="M1425" s="24">
        <f>(PROVEEDORES[[#This Row],[SUBTOTAL]]-PROVEEDORES[[#This Row],[descuento antes de IVA]])*VLOOKUP(PROVEEDORES[[#This Row],[PROVEEDOR]],TERCEROS_INFO[#All],3,FALSE)</f>
        <v>0</v>
      </c>
      <c r="N1425" s="25"/>
      <c r="O1425" s="24">
        <f>+PROVEEDORES[[#This Row],[Descuento sobre subtotal %]]*(PROVEEDORES[[#This Row],[SUBTOTAL]]-PROVEEDORES[[#This Row],[descuento antes de IVA]])</f>
        <v>0</v>
      </c>
      <c r="P1425" s="136">
        <f>+IF(PROVEEDORES[[#This Row],[SUBTOTAL]]&lt;PROVEEDORES[[#This Row],[base retencion]],0,PROVEEDORES[[#This Row],[retención aplicada]])</f>
        <v>0.01</v>
      </c>
      <c r="Q1425" s="24">
        <f>+PROVEEDORES[[#This Row],[Rete Fuente %]]*PROVEEDORES[[#This Row],[SUBTOTAL]]</f>
        <v>3990</v>
      </c>
      <c r="R1425" s="23">
        <f>+PROVEEDORES[[#This Row],[SUBTOTAL]]+PROVEEDORES[[#This Row],[IVA 19%]]-PROVEEDORES[[#This Row],[descuento antes de IVA]]-PROVEEDORES[[#This Row],[Descuento sobre subtotal $]]-PROVEEDORES[[#This Row],[Rete Fuente $]]</f>
        <v>395010</v>
      </c>
      <c r="S1425" s="17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25" s="176">
        <f ca="1">IF(PROVEEDORES[[#This Row],[FECHA DE PAGO]]=0,TODAY()-PROVEEDORES[[#This Row],[FECHA DE FACTURACIÓN]]-PROVEEDORES[[#This Row],[PLAZO Días]],0)</f>
        <v>-14</v>
      </c>
      <c r="U1425" s="178" t="str">
        <f>+VLOOKUP(PROVEEDORES[[#This Row],[PROVEEDOR]],Terceros!$A:$E,5,FALSE)</f>
        <v>1% con base</v>
      </c>
      <c r="V1425" s="179">
        <f>+YEAR(PROVEEDORES[[#This Row],[FECHA DE FACTURACIÓN]])</f>
        <v>2022</v>
      </c>
      <c r="W1425" s="179">
        <f>+MATCH(PROVEEDORES[[#This Row],[año facturado]],Retenciones!$1:$1,0)</f>
        <v>5</v>
      </c>
      <c r="X1425" s="180">
        <f>+VLOOKUP(PROVEEDORES[[#This Row],[ID RETENCION]],Retenciones!$A$1:$O$24,PROVEEDORES[[#This Row],[indicador de columna]],FALSE)</f>
        <v>152000</v>
      </c>
      <c r="Y1425" s="181">
        <f>+VLOOKUP(PROVEEDORES[[#This Row],[ID RETENCION]],Retenciones!$A$1:$O$24,2,FALSE)</f>
        <v>0.01</v>
      </c>
      <c r="Z1425" s="153"/>
      <c r="AA1425" s="154"/>
      <c r="AC1425" s="155"/>
      <c r="AD1425" s="156"/>
      <c r="AE1425" s="26"/>
    </row>
    <row r="1426" spans="1:31" ht="21.95" customHeight="1" x14ac:dyDescent="0.25">
      <c r="A1426" s="175" t="str">
        <f>+IF(PROVEEDORES[[#This Row],[FECHA DE PAGO]]=PROVEEDORES[[#This Row],[FECHA DE FACTURACIÓN]],"DE CONTADO","CRÉDITO")</f>
        <v>CRÉDITO</v>
      </c>
      <c r="B1426" s="41" t="b">
        <f>+IF((PROVEEDORES[[#This Row],[FECHA DE PAGO]]-PROVEEDORES[[#This Row],[FECHA DE FACTURACIÓN]])&gt;PROVEEDORES[[#This Row],[PLAZO Días]],"PAGO VENCIDO")</f>
        <v>0</v>
      </c>
      <c r="C1426" s="22">
        <f>+VLOOKUP(PROVEEDORES[[#This Row],[PROVEEDOR]],TERCEROS_INFO[#All],2,FALSE)</f>
        <v>30</v>
      </c>
      <c r="D1426" s="27">
        <f>+SUMIFS(PROVEEDORES[Total],PROVEEDORES[PROVEEDOR],PROVEEDORES[[#This Row],[PROVEEDOR]],PROVEEDORES[FECHA DE PAGO],"")</f>
        <v>3099000</v>
      </c>
      <c r="E1426" s="27"/>
      <c r="F1426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H1426" s="28" t="s">
        <v>1079</v>
      </c>
      <c r="I1426" s="95">
        <v>44669</v>
      </c>
      <c r="J1426" s="38" t="s">
        <v>1286</v>
      </c>
      <c r="K1426" s="23">
        <v>703500</v>
      </c>
      <c r="L1426" s="23"/>
      <c r="M1426" s="24">
        <f>(PROVEEDORES[[#This Row],[SUBTOTAL]]-PROVEEDORES[[#This Row],[descuento antes de IVA]])*VLOOKUP(PROVEEDORES[[#This Row],[PROVEEDOR]],TERCEROS_INFO[#All],3,FALSE)</f>
        <v>0</v>
      </c>
      <c r="N1426" s="25"/>
      <c r="O1426" s="24">
        <f>+PROVEEDORES[[#This Row],[Descuento sobre subtotal %]]*(PROVEEDORES[[#This Row],[SUBTOTAL]]-PROVEEDORES[[#This Row],[descuento antes de IVA]])</f>
        <v>0</v>
      </c>
      <c r="P1426" s="136">
        <f>+IF(PROVEEDORES[[#This Row],[SUBTOTAL]]&lt;PROVEEDORES[[#This Row],[base retencion]],0,PROVEEDORES[[#This Row],[retención aplicada]])</f>
        <v>0</v>
      </c>
      <c r="Q1426" s="24">
        <f>+PROVEEDORES[[#This Row],[Rete Fuente %]]*PROVEEDORES[[#This Row],[SUBTOTAL]]</f>
        <v>0</v>
      </c>
      <c r="R1426" s="23">
        <f>+PROVEEDORES[[#This Row],[SUBTOTAL]]+PROVEEDORES[[#This Row],[IVA 19%]]-PROVEEDORES[[#This Row],[descuento antes de IVA]]-PROVEEDORES[[#This Row],[Descuento sobre subtotal $]]-PROVEEDORES[[#This Row],[Rete Fuente $]]</f>
        <v>703500</v>
      </c>
      <c r="S1426" s="17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26" s="176">
        <f ca="1">IF(PROVEEDORES[[#This Row],[FECHA DE PAGO]]=0,TODAY()-PROVEEDORES[[#This Row],[FECHA DE FACTURACIÓN]]-PROVEEDORES[[#This Row],[PLAZO Días]],0)</f>
        <v>-15</v>
      </c>
      <c r="U1426" s="178">
        <f>+VLOOKUP(PROVEEDORES[[#This Row],[PROVEEDOR]],Terceros!$A:$E,5,FALSE)</f>
        <v>0</v>
      </c>
      <c r="V1426" s="179">
        <f>+YEAR(PROVEEDORES[[#This Row],[FECHA DE FACTURACIÓN]])</f>
        <v>2022</v>
      </c>
      <c r="W1426" s="179">
        <f>+MATCH(PROVEEDORES[[#This Row],[año facturado]],Retenciones!$1:$1,0)</f>
        <v>5</v>
      </c>
      <c r="X1426" s="180">
        <f>+VLOOKUP(PROVEEDORES[[#This Row],[ID RETENCION]],Retenciones!$A$1:$O$24,PROVEEDORES[[#This Row],[indicador de columna]],FALSE)</f>
        <v>0</v>
      </c>
      <c r="Y1426" s="181">
        <f>+VLOOKUP(PROVEEDORES[[#This Row],[ID RETENCION]],Retenciones!$A$1:$O$24,2,FALSE)</f>
        <v>0</v>
      </c>
      <c r="Z1426" s="153"/>
      <c r="AA1426" s="154"/>
      <c r="AC1426" s="155"/>
      <c r="AD1426" s="156"/>
      <c r="AE1426" s="26"/>
    </row>
    <row r="1427" spans="1:31" ht="21.95" customHeight="1" x14ac:dyDescent="0.25">
      <c r="A1427" s="175" t="str">
        <f>+IF(PROVEEDORES[[#This Row],[FECHA DE PAGO]]=PROVEEDORES[[#This Row],[FECHA DE FACTURACIÓN]],"DE CONTADO","CRÉDITO")</f>
        <v>CRÉDITO</v>
      </c>
      <c r="B1427" s="41" t="b">
        <f>+IF((PROVEEDORES[[#This Row],[FECHA DE PAGO]]-PROVEEDORES[[#This Row],[FECHA DE FACTURACIÓN]])&gt;PROVEEDORES[[#This Row],[PLAZO Días]],"PAGO VENCIDO")</f>
        <v>0</v>
      </c>
      <c r="C1427" s="22">
        <f>+VLOOKUP(PROVEEDORES[[#This Row],[PROVEEDOR]],TERCEROS_INFO[#All],2,FALSE)</f>
        <v>30</v>
      </c>
      <c r="D1427" s="27">
        <f>+SUMIFS(PROVEEDORES[Total],PROVEEDORES[PROVEEDOR],PROVEEDORES[[#This Row],[PROVEEDOR]],PROVEEDORES[FECHA DE PAGO],"")</f>
        <v>3099000</v>
      </c>
      <c r="E1427" s="27"/>
      <c r="F1427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H1427" s="28" t="s">
        <v>1079</v>
      </c>
      <c r="I1427" s="95">
        <v>44669</v>
      </c>
      <c r="J1427" s="38" t="s">
        <v>1287</v>
      </c>
      <c r="K1427" s="23">
        <v>1341500</v>
      </c>
      <c r="L1427" s="23"/>
      <c r="M1427" s="24">
        <f>(PROVEEDORES[[#This Row],[SUBTOTAL]]-PROVEEDORES[[#This Row],[descuento antes de IVA]])*VLOOKUP(PROVEEDORES[[#This Row],[PROVEEDOR]],TERCEROS_INFO[#All],3,FALSE)</f>
        <v>0</v>
      </c>
      <c r="N1427" s="25"/>
      <c r="O1427" s="24">
        <f>+PROVEEDORES[[#This Row],[Descuento sobre subtotal %]]*(PROVEEDORES[[#This Row],[SUBTOTAL]]-PROVEEDORES[[#This Row],[descuento antes de IVA]])</f>
        <v>0</v>
      </c>
      <c r="P1427" s="136">
        <f>+IF(PROVEEDORES[[#This Row],[SUBTOTAL]]&lt;PROVEEDORES[[#This Row],[base retencion]],0,PROVEEDORES[[#This Row],[retención aplicada]])</f>
        <v>0</v>
      </c>
      <c r="Q1427" s="24">
        <f>+PROVEEDORES[[#This Row],[Rete Fuente %]]*PROVEEDORES[[#This Row],[SUBTOTAL]]</f>
        <v>0</v>
      </c>
      <c r="R1427" s="23">
        <f>+PROVEEDORES[[#This Row],[SUBTOTAL]]+PROVEEDORES[[#This Row],[IVA 19%]]-PROVEEDORES[[#This Row],[descuento antes de IVA]]-PROVEEDORES[[#This Row],[Descuento sobre subtotal $]]-PROVEEDORES[[#This Row],[Rete Fuente $]]</f>
        <v>1341500</v>
      </c>
      <c r="S1427" s="17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27" s="176">
        <f ca="1">IF(PROVEEDORES[[#This Row],[FECHA DE PAGO]]=0,TODAY()-PROVEEDORES[[#This Row],[FECHA DE FACTURACIÓN]]-PROVEEDORES[[#This Row],[PLAZO Días]],0)</f>
        <v>-15</v>
      </c>
      <c r="U1427" s="178">
        <f>+VLOOKUP(PROVEEDORES[[#This Row],[PROVEEDOR]],Terceros!$A:$E,5,FALSE)</f>
        <v>0</v>
      </c>
      <c r="V1427" s="179">
        <f>+YEAR(PROVEEDORES[[#This Row],[FECHA DE FACTURACIÓN]])</f>
        <v>2022</v>
      </c>
      <c r="W1427" s="179">
        <f>+MATCH(PROVEEDORES[[#This Row],[año facturado]],Retenciones!$1:$1,0)</f>
        <v>5</v>
      </c>
      <c r="X1427" s="180">
        <f>+VLOOKUP(PROVEEDORES[[#This Row],[ID RETENCION]],Retenciones!$A$1:$O$24,PROVEEDORES[[#This Row],[indicador de columna]],FALSE)</f>
        <v>0</v>
      </c>
      <c r="Y1427" s="181">
        <f>+VLOOKUP(PROVEEDORES[[#This Row],[ID RETENCION]],Retenciones!$A$1:$O$24,2,FALSE)</f>
        <v>0</v>
      </c>
      <c r="Z1427" s="153"/>
      <c r="AA1427" s="154"/>
      <c r="AC1427" s="155"/>
      <c r="AD1427" s="156"/>
      <c r="AE1427" s="26"/>
    </row>
    <row r="1428" spans="1:31" ht="21.95" customHeight="1" x14ac:dyDescent="0.25">
      <c r="A1428" s="175" t="str">
        <f>+IF(PROVEEDORES[[#This Row],[FECHA DE PAGO]]=PROVEEDORES[[#This Row],[FECHA DE FACTURACIÓN]],"DE CONTADO","CRÉDITO")</f>
        <v>CRÉDITO</v>
      </c>
      <c r="B1428" s="41" t="b">
        <f>+IF((PROVEEDORES[[#This Row],[FECHA DE PAGO]]-PROVEEDORES[[#This Row],[FECHA DE FACTURACIÓN]])&gt;PROVEEDORES[[#This Row],[PLAZO Días]],"PAGO VENCIDO")</f>
        <v>0</v>
      </c>
      <c r="C1428" s="22">
        <f>+VLOOKUP(PROVEEDORES[[#This Row],[PROVEEDOR]],TERCEROS_INFO[#All],2,FALSE)</f>
        <v>30</v>
      </c>
      <c r="D1428" s="27">
        <f>+SUMIFS(PROVEEDORES[Total],PROVEEDORES[PROVEEDOR],PROVEEDORES[[#This Row],[PROVEEDOR]],PROVEEDORES[FECHA DE PAGO],"")</f>
        <v>3099000</v>
      </c>
      <c r="E1428" s="27"/>
      <c r="F1428" s="62" t="str">
        <f>+VLOOKUP(PROVEEDORES[[#This Row],[PROVEEDOR]],
                       Terceros!$A:$G,
                       6,
                       FALSE)</f>
        <v>yermingg@hotmail.com;girlesa.ruiz@servipilas.com;joriescobar64@gmail.com</v>
      </c>
      <c r="H1428" s="28" t="s">
        <v>1079</v>
      </c>
      <c r="I1428" s="95">
        <v>44669</v>
      </c>
      <c r="J1428" s="38" t="s">
        <v>1288</v>
      </c>
      <c r="K1428" s="23">
        <v>1054000</v>
      </c>
      <c r="L1428" s="23"/>
      <c r="M1428" s="24">
        <f>(PROVEEDORES[[#This Row],[SUBTOTAL]]-PROVEEDORES[[#This Row],[descuento antes de IVA]])*VLOOKUP(PROVEEDORES[[#This Row],[PROVEEDOR]],TERCEROS_INFO[#All],3,FALSE)</f>
        <v>0</v>
      </c>
      <c r="N1428" s="25"/>
      <c r="O1428" s="24">
        <f>+PROVEEDORES[[#This Row],[Descuento sobre subtotal %]]*(PROVEEDORES[[#This Row],[SUBTOTAL]]-PROVEEDORES[[#This Row],[descuento antes de IVA]])</f>
        <v>0</v>
      </c>
      <c r="P1428" s="136">
        <f>+IF(PROVEEDORES[[#This Row],[SUBTOTAL]]&lt;PROVEEDORES[[#This Row],[base retencion]],0,PROVEEDORES[[#This Row],[retención aplicada]])</f>
        <v>0</v>
      </c>
      <c r="Q1428" s="24">
        <f>+PROVEEDORES[[#This Row],[Rete Fuente %]]*PROVEEDORES[[#This Row],[SUBTOTAL]]</f>
        <v>0</v>
      </c>
      <c r="R1428" s="23">
        <f>+PROVEEDORES[[#This Row],[SUBTOTAL]]+PROVEEDORES[[#This Row],[IVA 19%]]-PROVEEDORES[[#This Row],[descuento antes de IVA]]-PROVEEDORES[[#This Row],[Descuento sobre subtotal $]]-PROVEEDORES[[#This Row],[Rete Fuente $]]</f>
        <v>1054000</v>
      </c>
      <c r="S1428" s="17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28" s="176">
        <f ca="1">IF(PROVEEDORES[[#This Row],[FECHA DE PAGO]]=0,TODAY()-PROVEEDORES[[#This Row],[FECHA DE FACTURACIÓN]]-PROVEEDORES[[#This Row],[PLAZO Días]],0)</f>
        <v>-15</v>
      </c>
      <c r="U1428" s="178">
        <f>+VLOOKUP(PROVEEDORES[[#This Row],[PROVEEDOR]],Terceros!$A:$E,5,FALSE)</f>
        <v>0</v>
      </c>
      <c r="V1428" s="179">
        <f>+YEAR(PROVEEDORES[[#This Row],[FECHA DE FACTURACIÓN]])</f>
        <v>2022</v>
      </c>
      <c r="W1428" s="179">
        <f>+MATCH(PROVEEDORES[[#This Row],[año facturado]],Retenciones!$1:$1,0)</f>
        <v>5</v>
      </c>
      <c r="X1428" s="180">
        <f>+VLOOKUP(PROVEEDORES[[#This Row],[ID RETENCION]],Retenciones!$A$1:$O$24,PROVEEDORES[[#This Row],[indicador de columna]],FALSE)</f>
        <v>0</v>
      </c>
      <c r="Y1428" s="181">
        <f>+VLOOKUP(PROVEEDORES[[#This Row],[ID RETENCION]],Retenciones!$A$1:$O$24,2,FALSE)</f>
        <v>0</v>
      </c>
      <c r="Z1428" s="153"/>
      <c r="AA1428" s="154"/>
      <c r="AC1428" s="155"/>
      <c r="AD1428" s="156"/>
      <c r="AE1428" s="26"/>
    </row>
    <row r="1429" spans="1:31" ht="21.95" customHeight="1" x14ac:dyDescent="0.25">
      <c r="A1429" s="97" t="str">
        <f>+IF(PROVEEDORES[[#This Row],[FECHA DE PAGO]]=PROVEEDORES[[#This Row],[FECHA DE FACTURACIÓN]],"DE CONTADO","CRÉDITO")</f>
        <v>CRÉDITO</v>
      </c>
      <c r="B1429" s="41" t="b">
        <f>+IF((PROVEEDORES[[#This Row],[FECHA DE PAGO]]-PROVEEDORES[[#This Row],[FECHA DE FACTURACIÓN]])&gt;PROVEEDORES[[#This Row],[PLAZO Días]],"PAGO VENCIDO")</f>
        <v>0</v>
      </c>
      <c r="C1429" s="22">
        <f>+VLOOKUP(PROVEEDORES[[#This Row],[PROVEEDOR]],TERCEROS_INFO[#All],2,FALSE)</f>
        <v>45</v>
      </c>
      <c r="D1429" s="27">
        <f>+SUMIFS(PROVEEDORES[Total],PROVEEDORES[PROVEEDOR],PROVEEDORES[[#This Row],[PROVEEDOR]],PROVEEDORES[FECHA DE PAGO],"")</f>
        <v>37184068.039999999</v>
      </c>
      <c r="E1429" s="27"/>
      <c r="F1429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H1429" s="28" t="s">
        <v>19</v>
      </c>
      <c r="I1429" s="95">
        <v>44658</v>
      </c>
      <c r="J1429" s="38" t="s">
        <v>1254</v>
      </c>
      <c r="K1429" s="23">
        <v>1503180</v>
      </c>
      <c r="L1429" s="23"/>
      <c r="M1429" s="24">
        <f>(PROVEEDORES[[#This Row],[SUBTOTAL]]-PROVEEDORES[[#This Row],[descuento antes de IVA]])*VLOOKUP(PROVEEDORES[[#This Row],[PROVEEDOR]],TERCEROS_INFO[#All],3,FALSE)</f>
        <v>285604.2</v>
      </c>
      <c r="N1429" s="25"/>
      <c r="O1429" s="24">
        <f>+PROVEEDORES[[#This Row],[Descuento sobre subtotal %]]*(PROVEEDORES[[#This Row],[SUBTOTAL]]-PROVEEDORES[[#This Row],[descuento antes de IVA]])</f>
        <v>0</v>
      </c>
      <c r="P1429" s="136">
        <f>+IF(PROVEEDORES[[#This Row],[SUBTOTAL]]&lt;PROVEEDORES[[#This Row],[base retencion]],0,PROVEEDORES[[#This Row],[retención aplicada]])</f>
        <v>0</v>
      </c>
      <c r="Q1429" s="24">
        <f>+PROVEEDORES[[#This Row],[Rete Fuente %]]*PROVEEDORES[[#This Row],[SUBTOTAL]]</f>
        <v>0</v>
      </c>
      <c r="R1429" s="23">
        <f>+PROVEEDORES[[#This Row],[SUBTOTAL]]+PROVEEDORES[[#This Row],[IVA 19%]]-PROVEEDORES[[#This Row],[descuento antes de IVA]]-PROVEEDORES[[#This Row],[Descuento sobre subtotal $]]-PROVEEDORES[[#This Row],[Rete Fuente $]]</f>
        <v>1788784.2</v>
      </c>
      <c r="S1429" s="9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29" s="99">
        <f ca="1">IF(PROVEEDORES[[#This Row],[FECHA DE PAGO]]=0,TODAY()-PROVEEDORES[[#This Row],[FECHA DE FACTURACIÓN]]-PROVEEDORES[[#This Row],[PLAZO Días]],0)</f>
        <v>-19</v>
      </c>
      <c r="U1429" s="149">
        <f>+VLOOKUP(PROVEEDORES[[#This Row],[PROVEEDOR]],Terceros!$A:$E,5,FALSE)</f>
        <v>0</v>
      </c>
      <c r="V1429" s="150">
        <f>+YEAR(PROVEEDORES[[#This Row],[FECHA DE FACTURACIÓN]])</f>
        <v>2022</v>
      </c>
      <c r="W1429" s="150">
        <f>+MATCH(PROVEEDORES[[#This Row],[año facturado]],Retenciones!$1:$1,0)</f>
        <v>5</v>
      </c>
      <c r="X1429" s="151">
        <f>+VLOOKUP(PROVEEDORES[[#This Row],[ID RETENCION]],Retenciones!$A$1:$O$24,PROVEEDORES[[#This Row],[indicador de columna]],FALSE)</f>
        <v>0</v>
      </c>
      <c r="Y1429" s="152">
        <f>+VLOOKUP(PROVEEDORES[[#This Row],[ID RETENCION]],Retenciones!$A$1:$O$24,2,FALSE)</f>
        <v>0</v>
      </c>
    </row>
    <row r="1430" spans="1:31" ht="21.95" customHeight="1" x14ac:dyDescent="0.25">
      <c r="A1430" s="175" t="str">
        <f>+IF(PROVEEDORES[[#This Row],[FECHA DE PAGO]]=PROVEEDORES[[#This Row],[FECHA DE FACTURACIÓN]],"DE CONTADO","CRÉDITO")</f>
        <v>CRÉDITO</v>
      </c>
      <c r="B1430" s="41" t="b">
        <f>+IF((PROVEEDORES[[#This Row],[FECHA DE PAGO]]-PROVEEDORES[[#This Row],[FECHA DE FACTURACIÓN]])&gt;PROVEEDORES[[#This Row],[PLAZO Días]],"PAGO VENCIDO")</f>
        <v>0</v>
      </c>
      <c r="C1430" s="22">
        <f>+VLOOKUP(PROVEEDORES[[#This Row],[PROVEEDOR]],TERCEROS_INFO[#All],2,FALSE)</f>
        <v>30</v>
      </c>
      <c r="D1430" s="27">
        <f>+SUMIFS(PROVEEDORES[Total],PROVEEDORES[PROVEEDOR],PROVEEDORES[[#This Row],[PROVEEDOR]],PROVEEDORES[FECHA DE PAGO],"")</f>
        <v>4641412.7745000003</v>
      </c>
      <c r="E1430" s="27"/>
      <c r="F1430" s="62" t="str">
        <f>+VLOOKUP(PROVEEDORES[[#This Row],[PROVEEDOR]],
                       Terceros!$A:$G,
                       6,
                       FALSE)</f>
        <v>contabilidad@amgimportadora.com;mcastellanos@amgimportadora.com;girlesa.ruiz@servipilas.com;joriescobar64@gmail.com</v>
      </c>
      <c r="H1430" s="28" t="s">
        <v>20</v>
      </c>
      <c r="I1430" s="95">
        <v>44658</v>
      </c>
      <c r="J1430" s="38">
        <v>6737</v>
      </c>
      <c r="K1430" s="23">
        <v>1065430</v>
      </c>
      <c r="L1430" s="23"/>
      <c r="M1430" s="24">
        <f>(PROVEEDORES[[#This Row],[SUBTOTAL]]-PROVEEDORES[[#This Row],[descuento antes de IVA]])*VLOOKUP(PROVEEDORES[[#This Row],[PROVEEDOR]],TERCEROS_INFO[#All],3,FALSE)</f>
        <v>202431.7</v>
      </c>
      <c r="N1430" s="25"/>
      <c r="O1430" s="24">
        <f>+PROVEEDORES[[#This Row],[Descuento sobre subtotal %]]*(PROVEEDORES[[#This Row],[SUBTOTAL]]-PROVEEDORES[[#This Row],[descuento antes de IVA]])</f>
        <v>0</v>
      </c>
      <c r="P1430" s="136">
        <f>+IF(PROVEEDORES[[#This Row],[SUBTOTAL]]&lt;PROVEEDORES[[#This Row],[base retencion]],0,PROVEEDORES[[#This Row],[retención aplicada]])</f>
        <v>2.5000000000000001E-2</v>
      </c>
      <c r="Q1430" s="24">
        <f>+PROVEEDORES[[#This Row],[Rete Fuente %]]*PROVEEDORES[[#This Row],[SUBTOTAL]]</f>
        <v>26635.75</v>
      </c>
      <c r="R1430" s="23">
        <f>+PROVEEDORES[[#This Row],[SUBTOTAL]]+PROVEEDORES[[#This Row],[IVA 19%]]-PROVEEDORES[[#This Row],[descuento antes de IVA]]-PROVEEDORES[[#This Row],[Descuento sobre subtotal $]]-PROVEEDORES[[#This Row],[Rete Fuente $]]</f>
        <v>1241225.95</v>
      </c>
      <c r="S1430" s="18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30" s="176">
        <f ca="1">IF(PROVEEDORES[[#This Row],[FECHA DE PAGO]]=0,TODAY()-PROVEEDORES[[#This Row],[FECHA DE FACTURACIÓN]]-PROVEEDORES[[#This Row],[PLAZO Días]],0)</f>
        <v>-4</v>
      </c>
      <c r="U1430" s="178" t="str">
        <f>+VLOOKUP(PROVEEDORES[[#This Row],[PROVEEDOR]],Terceros!$A:$E,5,FALSE)</f>
        <v>2,5% con base</v>
      </c>
      <c r="V1430" s="179">
        <f>+YEAR(PROVEEDORES[[#This Row],[FECHA DE FACTURACIÓN]])</f>
        <v>2022</v>
      </c>
      <c r="W1430" s="179">
        <f>+MATCH(PROVEEDORES[[#This Row],[año facturado]],Retenciones!$1:$1,0)</f>
        <v>5</v>
      </c>
      <c r="X1430" s="184">
        <f>+VLOOKUP(PROVEEDORES[[#This Row],[ID RETENCION]],Retenciones!$A$1:$O$24,PROVEEDORES[[#This Row],[indicador de columna]],FALSE)</f>
        <v>1026000</v>
      </c>
      <c r="Y1430" s="181">
        <f>+VLOOKUP(PROVEEDORES[[#This Row],[ID RETENCION]],Retenciones!$A$1:$O$24,2,FALSE)</f>
        <v>2.5000000000000001E-2</v>
      </c>
    </row>
    <row r="1431" spans="1:31" ht="21.95" customHeight="1" x14ac:dyDescent="0.25">
      <c r="A1431" s="175" t="str">
        <f>+IF(PROVEEDORES[[#This Row],[FECHA DE PAGO]]=PROVEEDORES[[#This Row],[FECHA DE FACTURACIÓN]],"DE CONTADO","CRÉDITO")</f>
        <v>CRÉDITO</v>
      </c>
      <c r="B1431" s="41" t="b">
        <f>+IF((PROVEEDORES[[#This Row],[FECHA DE PAGO]]-PROVEEDORES[[#This Row],[FECHA DE FACTURACIÓN]])&gt;PROVEEDORES[[#This Row],[PLAZO Días]],"PAGO VENCIDO")</f>
        <v>0</v>
      </c>
      <c r="C1431" s="22">
        <f>+VLOOKUP(PROVEEDORES[[#This Row],[PROVEEDOR]],TERCEROS_INFO[#All],2,FALSE)</f>
        <v>30</v>
      </c>
      <c r="D1431" s="27">
        <f>+SUMIFS(PROVEEDORES[Total],PROVEEDORES[PROVEEDOR],PROVEEDORES[[#This Row],[PROVEEDOR]],PROVEEDORES[FECHA DE PAGO],"")</f>
        <v>3844432.4999000002</v>
      </c>
      <c r="E1431" s="27"/>
      <c r="F1431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H1431" s="28" t="s">
        <v>18</v>
      </c>
      <c r="I1431" s="95">
        <v>44660</v>
      </c>
      <c r="J1431" s="38">
        <v>15</v>
      </c>
      <c r="K1431" s="23">
        <v>1083711.5</v>
      </c>
      <c r="L1431" s="23"/>
      <c r="M1431" s="24">
        <f>(PROVEEDORES[[#This Row],[SUBTOTAL]]-PROVEEDORES[[#This Row],[descuento antes de IVA]])*VLOOKUP(PROVEEDORES[[#This Row],[PROVEEDOR]],TERCEROS_INFO[#All],3,FALSE)</f>
        <v>205905.185</v>
      </c>
      <c r="N1431" s="25"/>
      <c r="O1431" s="24">
        <f>+PROVEEDORES[[#This Row],[Descuento sobre subtotal %]]*(PROVEEDORES[[#This Row],[SUBTOTAL]]-PROVEEDORES[[#This Row],[descuento antes de IVA]])</f>
        <v>0</v>
      </c>
      <c r="P1431" s="136">
        <f>+IF(PROVEEDORES[[#This Row],[SUBTOTAL]]&lt;PROVEEDORES[[#This Row],[base retencion]],0,PROVEEDORES[[#This Row],[retención aplicada]])</f>
        <v>2.5000000000000001E-2</v>
      </c>
      <c r="Q1431" s="24">
        <f>+PROVEEDORES[[#This Row],[Rete Fuente %]]*PROVEEDORES[[#This Row],[SUBTOTAL]]</f>
        <v>27092.787500000002</v>
      </c>
      <c r="R1431" s="23">
        <f>+PROVEEDORES[[#This Row],[SUBTOTAL]]+PROVEEDORES[[#This Row],[IVA 19%]]-PROVEEDORES[[#This Row],[descuento antes de IVA]]-PROVEEDORES[[#This Row],[Descuento sobre subtotal $]]-PROVEEDORES[[#This Row],[Rete Fuente $]]</f>
        <v>1262523.8975</v>
      </c>
      <c r="S1431" s="18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31" s="176">
        <f ca="1">IF(PROVEEDORES[[#This Row],[FECHA DE PAGO]]=0,TODAY()-PROVEEDORES[[#This Row],[FECHA DE FACTURACIÓN]]-PROVEEDORES[[#This Row],[PLAZO Días]],0)</f>
        <v>-6</v>
      </c>
      <c r="U1431" s="178" t="str">
        <f>+VLOOKUP(PROVEEDORES[[#This Row],[PROVEEDOR]],Terceros!$A:$E,5,FALSE)</f>
        <v>2,5% con base</v>
      </c>
      <c r="V1431" s="179">
        <f>+YEAR(PROVEEDORES[[#This Row],[FECHA DE FACTURACIÓN]])</f>
        <v>2022</v>
      </c>
      <c r="W1431" s="179">
        <f>+MATCH(PROVEEDORES[[#This Row],[año facturado]],Retenciones!$1:$1,0)</f>
        <v>5</v>
      </c>
      <c r="X1431" s="184">
        <f>+VLOOKUP(PROVEEDORES[[#This Row],[ID RETENCION]],Retenciones!$A$1:$O$24,PROVEEDORES[[#This Row],[indicador de columna]],FALSE)</f>
        <v>1026000</v>
      </c>
      <c r="Y1431" s="181">
        <f>+VLOOKUP(PROVEEDORES[[#This Row],[ID RETENCION]],Retenciones!$A$1:$O$24,2,FALSE)</f>
        <v>2.5000000000000001E-2</v>
      </c>
    </row>
    <row r="1432" spans="1:31" ht="21.95" customHeight="1" x14ac:dyDescent="0.25">
      <c r="A1432" s="175" t="str">
        <f>+IF(PROVEEDORES[[#This Row],[FECHA DE PAGO]]=PROVEEDORES[[#This Row],[FECHA DE FACTURACIÓN]],"DE CONTADO","CRÉDITO")</f>
        <v>CRÉDITO</v>
      </c>
      <c r="B1432" s="41" t="b">
        <f>+IF((PROVEEDORES[[#This Row],[FECHA DE PAGO]]-PROVEEDORES[[#This Row],[FECHA DE FACTURACIÓN]])&gt;PROVEEDORES[[#This Row],[PLAZO Días]],"PAGO VENCIDO")</f>
        <v>0</v>
      </c>
      <c r="C1432" s="22">
        <f>+VLOOKUP(PROVEEDORES[[#This Row],[PROVEEDOR]],TERCEROS_INFO[#All],2,FALSE)</f>
        <v>30</v>
      </c>
      <c r="D1432" s="27">
        <f>+SUMIFS(PROVEEDORES[Total],PROVEEDORES[PROVEEDOR],PROVEEDORES[[#This Row],[PROVEEDOR]],PROVEEDORES[FECHA DE PAGO],"")</f>
        <v>3844432.4999000002</v>
      </c>
      <c r="E1432" s="27"/>
      <c r="F1432" s="62" t="str">
        <f>+VLOOKUP(PROVEEDORES[[#This Row],[PROVEEDOR]],
                       Terceros!$A:$G,
                       6,
                       FALSE)</f>
        <v>angela.navas@hyrdistribuciones.com;girlesa.ruiz@servipilas.com;joriescobar64@gmail.com</v>
      </c>
      <c r="H1432" s="28" t="s">
        <v>18</v>
      </c>
      <c r="I1432" s="95">
        <v>44670</v>
      </c>
      <c r="J1432" s="38">
        <v>1052292</v>
      </c>
      <c r="K1432" s="23">
        <v>2216230.56</v>
      </c>
      <c r="L1432" s="23"/>
      <c r="M1432" s="24">
        <f>(PROVEEDORES[[#This Row],[SUBTOTAL]]-PROVEEDORES[[#This Row],[descuento antes de IVA]])*VLOOKUP(PROVEEDORES[[#This Row],[PROVEEDOR]],TERCEROS_INFO[#All],3,FALSE)</f>
        <v>421083.8064</v>
      </c>
      <c r="N1432" s="25"/>
      <c r="O1432" s="24">
        <f>+PROVEEDORES[[#This Row],[Descuento sobre subtotal %]]*(PROVEEDORES[[#This Row],[SUBTOTAL]]-PROVEEDORES[[#This Row],[descuento antes de IVA]])</f>
        <v>0</v>
      </c>
      <c r="P1432" s="136">
        <f>+IF(PROVEEDORES[[#This Row],[SUBTOTAL]]&lt;PROVEEDORES[[#This Row],[base retencion]],0,PROVEEDORES[[#This Row],[retención aplicada]])</f>
        <v>2.5000000000000001E-2</v>
      </c>
      <c r="Q1432" s="24">
        <f>+PROVEEDORES[[#This Row],[Rete Fuente %]]*PROVEEDORES[[#This Row],[SUBTOTAL]]</f>
        <v>55405.764000000003</v>
      </c>
      <c r="R1432" s="23">
        <f>+PROVEEDORES[[#This Row],[SUBTOTAL]]+PROVEEDORES[[#This Row],[IVA 19%]]-PROVEEDORES[[#This Row],[descuento antes de IVA]]-PROVEEDORES[[#This Row],[Descuento sobre subtotal $]]-PROVEEDORES[[#This Row],[Rete Fuente $]]</f>
        <v>2581908.6024000002</v>
      </c>
      <c r="S1432" s="18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32" s="176">
        <f ca="1">IF(PROVEEDORES[[#This Row],[FECHA DE PAGO]]=0,TODAY()-PROVEEDORES[[#This Row],[FECHA DE FACTURACIÓN]]-PROVEEDORES[[#This Row],[PLAZO Días]],0)</f>
        <v>-16</v>
      </c>
      <c r="U1432" s="178" t="str">
        <f>+VLOOKUP(PROVEEDORES[[#This Row],[PROVEEDOR]],Terceros!$A:$E,5,FALSE)</f>
        <v>2,5% con base</v>
      </c>
      <c r="V1432" s="179">
        <f>+YEAR(PROVEEDORES[[#This Row],[FECHA DE FACTURACIÓN]])</f>
        <v>2022</v>
      </c>
      <c r="W1432" s="179">
        <f>+MATCH(PROVEEDORES[[#This Row],[año facturado]],Retenciones!$1:$1,0)</f>
        <v>5</v>
      </c>
      <c r="X1432" s="184">
        <f>+VLOOKUP(PROVEEDORES[[#This Row],[ID RETENCION]],Retenciones!$A$1:$O$24,PROVEEDORES[[#This Row],[indicador de columna]],FALSE)</f>
        <v>1026000</v>
      </c>
      <c r="Y1432" s="181">
        <f>+VLOOKUP(PROVEEDORES[[#This Row],[ID RETENCION]],Retenciones!$A$1:$O$24,2,FALSE)</f>
        <v>2.5000000000000001E-2</v>
      </c>
    </row>
    <row r="1433" spans="1:31" ht="21.95" customHeight="1" x14ac:dyDescent="0.25">
      <c r="A1433" s="175" t="str">
        <f>+IF(PROVEEDORES[[#This Row],[FECHA DE PAGO]]=PROVEEDORES[[#This Row],[FECHA DE FACTURACIÓN]],"DE CONTADO","CRÉDITO")</f>
        <v>DE CONTADO</v>
      </c>
      <c r="B1433" s="41" t="b">
        <f>+IF((PROVEEDORES[[#This Row],[FECHA DE PAGO]]-PROVEEDORES[[#This Row],[FECHA DE FACTURACIÓN]])&gt;PROVEEDORES[[#This Row],[PLAZO Días]],"PAGO VENCIDO")</f>
        <v>0</v>
      </c>
      <c r="C1433" s="22">
        <f>+VLOOKUP(PROVEEDORES[[#This Row],[PROVEEDOR]],TERCEROS_INFO[#All],2,FALSE)</f>
        <v>30</v>
      </c>
      <c r="D1433" s="27">
        <f>+SUMIFS(PROVEEDORES[Total],PROVEEDORES[PROVEEDOR],PROVEEDORES[[#This Row],[PROVEEDOR]],PROVEEDORES[FECHA DE PAGO],"")</f>
        <v>192000.0264</v>
      </c>
      <c r="E1433" s="27"/>
      <c r="F1433" s="62" t="str">
        <f>+VLOOKUP(PROVEEDORES[[#This Row],[PROVEEDOR]],
                       Terceros!$A:$G,
                       6,
                       FALSE)</f>
        <v>Tuspilas.co@gmail.com;girlesa.ruiz@servipilas.com;joriescobar64@gmail.com</v>
      </c>
      <c r="G1433" s="95">
        <v>44670</v>
      </c>
      <c r="H1433" s="28" t="s">
        <v>43</v>
      </c>
      <c r="I1433" s="95">
        <v>44670</v>
      </c>
      <c r="J1433" s="38" t="s">
        <v>1291</v>
      </c>
      <c r="K1433" s="23">
        <v>201681</v>
      </c>
      <c r="L1433" s="23"/>
      <c r="M1433" s="24">
        <f>(PROVEEDORES[[#This Row],[SUBTOTAL]]-PROVEEDORES[[#This Row],[descuento antes de IVA]])*VLOOKUP(PROVEEDORES[[#This Row],[PROVEEDOR]],TERCEROS_INFO[#All],3,FALSE)</f>
        <v>38319.39</v>
      </c>
      <c r="N1433" s="25"/>
      <c r="O1433" s="24">
        <f>+PROVEEDORES[[#This Row],[Descuento sobre subtotal %]]*(PROVEEDORES[[#This Row],[SUBTOTAL]]-PROVEEDORES[[#This Row],[descuento antes de IVA]])</f>
        <v>0</v>
      </c>
      <c r="P1433" s="136">
        <f>+IF(PROVEEDORES[[#This Row],[SUBTOTAL]]&lt;PROVEEDORES[[#This Row],[base retencion]],0,PROVEEDORES[[#This Row],[retención aplicada]])</f>
        <v>0</v>
      </c>
      <c r="Q1433" s="24">
        <f>+PROVEEDORES[[#This Row],[Rete Fuente %]]*PROVEEDORES[[#This Row],[SUBTOTAL]]</f>
        <v>0</v>
      </c>
      <c r="R1433" s="23">
        <f>+PROVEEDORES[[#This Row],[SUBTOTAL]]+PROVEEDORES[[#This Row],[IVA 19%]]-PROVEEDORES[[#This Row],[descuento antes de IVA]]-PROVEEDORES[[#This Row],[Descuento sobre subtotal $]]-PROVEEDORES[[#This Row],[Rete Fuente $]]</f>
        <v>240000.39</v>
      </c>
      <c r="S143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3" s="176">
        <f ca="1">IF(PROVEEDORES[[#This Row],[FECHA DE PAGO]]=0,TODAY()-PROVEEDORES[[#This Row],[FECHA DE FACTURACIÓN]]-PROVEEDORES[[#This Row],[PLAZO Días]],0)</f>
        <v>0</v>
      </c>
      <c r="U1433" s="178" t="str">
        <f>+VLOOKUP(PROVEEDORES[[#This Row],[PROVEEDOR]],Terceros!$A:$E,5,FALSE)</f>
        <v>2,5% con base</v>
      </c>
      <c r="V1433" s="179">
        <f>+YEAR(PROVEEDORES[[#This Row],[FECHA DE FACTURACIÓN]])</f>
        <v>2022</v>
      </c>
      <c r="W1433" s="179">
        <f>+MATCH(PROVEEDORES[[#This Row],[año facturado]],Retenciones!$1:$1,0)</f>
        <v>5</v>
      </c>
      <c r="X1433" s="184">
        <f>+VLOOKUP(PROVEEDORES[[#This Row],[ID RETENCION]],Retenciones!$A$1:$O$24,PROVEEDORES[[#This Row],[indicador de columna]],FALSE)</f>
        <v>1026000</v>
      </c>
      <c r="Y1433" s="181">
        <f>+VLOOKUP(PROVEEDORES[[#This Row],[ID RETENCION]],Retenciones!$A$1:$O$24,2,FALSE)</f>
        <v>2.5000000000000001E-2</v>
      </c>
    </row>
    <row r="1434" spans="1:31" ht="21.95" customHeight="1" x14ac:dyDescent="0.25">
      <c r="A1434" s="175" t="str">
        <f>+IF(PROVEEDORES[[#This Row],[FECHA DE PAGO]]=PROVEEDORES[[#This Row],[FECHA DE FACTURACIÓN]],"DE CONTADO","CRÉDITO")</f>
        <v>DE CONTADO</v>
      </c>
      <c r="B1434" s="41" t="b">
        <f>+IF((PROVEEDORES[[#This Row],[FECHA DE PAGO]]-PROVEEDORES[[#This Row],[FECHA DE FACTURACIÓN]])&gt;PROVEEDORES[[#This Row],[PLAZO Días]],"PAGO VENCIDO")</f>
        <v>0</v>
      </c>
      <c r="C1434" s="22">
        <f>+VLOOKUP(PROVEEDORES[[#This Row],[PROVEEDOR]],TERCEROS_INFO[#All],2,FALSE)</f>
        <v>30</v>
      </c>
      <c r="D1434" s="27">
        <f>+SUMIFS(PROVEEDORES[Total],PROVEEDORES[PROVEEDOR],PROVEEDORES[[#This Row],[PROVEEDOR]],PROVEEDORES[FECHA DE PAGO],"")</f>
        <v>0</v>
      </c>
      <c r="E1434" s="27"/>
      <c r="F1434" s="62" t="str">
        <f>+VLOOKUP(PROVEEDORES[[#This Row],[PROVEEDOR]],
                       Terceros!$A:$G,
                       6,
                       FALSE)</f>
        <v/>
      </c>
      <c r="G1434" s="95">
        <v>44673</v>
      </c>
      <c r="H1434" s="28" t="s">
        <v>1046</v>
      </c>
      <c r="I1434" s="95">
        <v>44673</v>
      </c>
      <c r="J1434" s="38"/>
      <c r="K1434" s="23">
        <v>1000000</v>
      </c>
      <c r="L1434" s="23"/>
      <c r="M1434" s="24">
        <f>(PROVEEDORES[[#This Row],[SUBTOTAL]]-PROVEEDORES[[#This Row],[descuento antes de IVA]])*VLOOKUP(PROVEEDORES[[#This Row],[PROVEEDOR]],TERCEROS_INFO[#All],3,FALSE)</f>
        <v>0</v>
      </c>
      <c r="N1434" s="25"/>
      <c r="O1434" s="24">
        <f>+PROVEEDORES[[#This Row],[Descuento sobre subtotal %]]*(PROVEEDORES[[#This Row],[SUBTOTAL]]-PROVEEDORES[[#This Row],[descuento antes de IVA]])</f>
        <v>0</v>
      </c>
      <c r="P1434" s="136">
        <f>+IF(PROVEEDORES[[#This Row],[SUBTOTAL]]&lt;PROVEEDORES[[#This Row],[base retencion]],0,PROVEEDORES[[#This Row],[retención aplicada]])</f>
        <v>0</v>
      </c>
      <c r="Q1434" s="24">
        <f>+PROVEEDORES[[#This Row],[Rete Fuente %]]*PROVEEDORES[[#This Row],[SUBTOTAL]]</f>
        <v>0</v>
      </c>
      <c r="R1434" s="23">
        <f>+PROVEEDORES[[#This Row],[SUBTOTAL]]+PROVEEDORES[[#This Row],[IVA 19%]]-PROVEEDORES[[#This Row],[descuento antes de IVA]]-PROVEEDORES[[#This Row],[Descuento sobre subtotal $]]-PROVEEDORES[[#This Row],[Rete Fuente $]]</f>
        <v>1000000</v>
      </c>
      <c r="S1434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4" s="176">
        <f ca="1">IF(PROVEEDORES[[#This Row],[FECHA DE PAGO]]=0,TODAY()-PROVEEDORES[[#This Row],[FECHA DE FACTURACIÓN]]-PROVEEDORES[[#This Row],[PLAZO Días]],0)</f>
        <v>0</v>
      </c>
      <c r="U1434" s="178">
        <f>+VLOOKUP(PROVEEDORES[[#This Row],[PROVEEDOR]],Terceros!$A:$E,5,FALSE)</f>
        <v>0</v>
      </c>
      <c r="V1434" s="179">
        <f>+YEAR(PROVEEDORES[[#This Row],[FECHA DE FACTURACIÓN]])</f>
        <v>2022</v>
      </c>
      <c r="W1434" s="179">
        <f>+MATCH(PROVEEDORES[[#This Row],[año facturado]],Retenciones!$1:$1,0)</f>
        <v>5</v>
      </c>
      <c r="X1434" s="184">
        <f>+VLOOKUP(PROVEEDORES[[#This Row],[ID RETENCION]],Retenciones!$A$1:$O$24,PROVEEDORES[[#This Row],[indicador de columna]],FALSE)</f>
        <v>0</v>
      </c>
      <c r="Y1434" s="181">
        <f>+VLOOKUP(PROVEEDORES[[#This Row],[ID RETENCION]],Retenciones!$A$1:$O$24,2,FALSE)</f>
        <v>0</v>
      </c>
    </row>
    <row r="1435" spans="1:31" ht="21.95" customHeight="1" x14ac:dyDescent="0.25">
      <c r="A1435" s="187" t="str">
        <f>+IF(PROVEEDORES[[#This Row],[FECHA DE PAGO]]=PROVEEDORES[[#This Row],[FECHA DE FACTURACIÓN]],"DE CONTADO","CRÉDITO")</f>
        <v>CRÉDITO</v>
      </c>
      <c r="B1435" s="41" t="b">
        <f>+IF((PROVEEDORES[[#This Row],[FECHA DE PAGO]]-PROVEEDORES[[#This Row],[FECHA DE FACTURACIÓN]])&gt;PROVEEDORES[[#This Row],[PLAZO Días]],"PAGO VENCIDO")</f>
        <v>0</v>
      </c>
      <c r="C1435" s="22">
        <f>+VLOOKUP(PROVEEDORES[[#This Row],[PROVEEDOR]],TERCEROS_INFO[#All],2,FALSE)</f>
        <v>30</v>
      </c>
      <c r="D1435" s="27">
        <f>+SUMIFS(PROVEEDORES[Total],PROVEEDORES[PROVEEDOR],PROVEEDORES[[#This Row],[PROVEEDOR]],PROVEEDORES[FECHA DE PAGO],"")</f>
        <v>1850000</v>
      </c>
      <c r="E1435" s="27"/>
      <c r="F1435" s="62" t="str">
        <f>+VLOOKUP(PROVEEDORES[[#This Row],[PROVEEDOR]],
                       Terceros!$A:$G,
                       6,
                       FALSE)</f>
        <v>globalpowerc2018@gmail.com;girlesa.ruiz@servipilas.com;joriescobar64@gmail.com</v>
      </c>
      <c r="H1435" s="28" t="s">
        <v>1051</v>
      </c>
      <c r="I1435" s="95">
        <v>44623</v>
      </c>
      <c r="J1435" s="38" t="s">
        <v>1294</v>
      </c>
      <c r="K1435" s="23">
        <v>1850000</v>
      </c>
      <c r="L1435" s="23"/>
      <c r="M1435" s="24">
        <f>(PROVEEDORES[[#This Row],[SUBTOTAL]]-PROVEEDORES[[#This Row],[descuento antes de IVA]])*VLOOKUP(PROVEEDORES[[#This Row],[PROVEEDOR]],TERCEROS_INFO[#All],3,FALSE)</f>
        <v>0</v>
      </c>
      <c r="N1435" s="25"/>
      <c r="O1435" s="24">
        <f>+PROVEEDORES[[#This Row],[Descuento sobre subtotal %]]*(PROVEEDORES[[#This Row],[SUBTOTAL]]-PROVEEDORES[[#This Row],[descuento antes de IVA]])</f>
        <v>0</v>
      </c>
      <c r="P1435" s="136">
        <f>+IF(PROVEEDORES[[#This Row],[SUBTOTAL]]&lt;PROVEEDORES[[#This Row],[base retencion]],0,PROVEEDORES[[#This Row],[retención aplicada]])</f>
        <v>0</v>
      </c>
      <c r="Q1435" s="24">
        <f>+PROVEEDORES[[#This Row],[Rete Fuente %]]*PROVEEDORES[[#This Row],[SUBTOTAL]]</f>
        <v>0</v>
      </c>
      <c r="R1435" s="23">
        <f>+PROVEEDORES[[#This Row],[SUBTOTAL]]+PROVEEDORES[[#This Row],[IVA 19%]]-PROVEEDORES[[#This Row],[descuento antes de IVA]]-PROVEEDORES[[#This Row],[Descuento sobre subtotal $]]-PROVEEDORES[[#This Row],[Rete Fuente $]]</f>
        <v>1850000</v>
      </c>
      <c r="S1435" s="1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435" s="176">
        <f ca="1">IF(PROVEEDORES[[#This Row],[FECHA DE PAGO]]=0,TODAY()-PROVEEDORES[[#This Row],[FECHA DE FACTURACIÓN]]-PROVEEDORES[[#This Row],[PLAZO Días]],0)</f>
        <v>31</v>
      </c>
      <c r="U1435" s="178">
        <f>+VLOOKUP(PROVEEDORES[[#This Row],[PROVEEDOR]],Terceros!$A:$E,5,FALSE)</f>
        <v>0</v>
      </c>
      <c r="V1435" s="179">
        <f>+YEAR(PROVEEDORES[[#This Row],[FECHA DE FACTURACIÓN]])</f>
        <v>2022</v>
      </c>
      <c r="W1435" s="179">
        <f>+MATCH(PROVEEDORES[[#This Row],[año facturado]],Retenciones!$1:$1,0)</f>
        <v>5</v>
      </c>
      <c r="X1435" s="184">
        <f>+VLOOKUP(PROVEEDORES[[#This Row],[ID RETENCION]],Retenciones!$A$1:$O$24,PROVEEDORES[[#This Row],[indicador de columna]],FALSE)</f>
        <v>0</v>
      </c>
      <c r="Y1435" s="181">
        <f>+VLOOKUP(PROVEEDORES[[#This Row],[ID RETENCION]],Retenciones!$A$1:$O$24,2,FALSE)</f>
        <v>0</v>
      </c>
    </row>
    <row r="1436" spans="1:31" ht="21.95" customHeight="1" x14ac:dyDescent="0.25">
      <c r="A1436" s="187" t="str">
        <f>+IF(PROVEEDORES[[#This Row],[FECHA DE PAGO]]=PROVEEDORES[[#This Row],[FECHA DE FACTURACIÓN]],"DE CONTADO","CRÉDITO")</f>
        <v>CRÉDITO</v>
      </c>
      <c r="B1436" s="41" t="b">
        <f>+IF((PROVEEDORES[[#This Row],[FECHA DE PAGO]]-PROVEEDORES[[#This Row],[FECHA DE FACTURACIÓN]])&gt;PROVEEDORES[[#This Row],[PLAZO Días]],"PAGO VENCIDO")</f>
        <v>0</v>
      </c>
      <c r="C1436" s="22">
        <v>90</v>
      </c>
      <c r="D1436" s="27">
        <f>+SUMIFS(PROVEEDORES[Total],PROVEEDORES[PROVEEDOR],PROVEEDORES[[#This Row],[PROVEEDOR]],PROVEEDORES[FECHA DE PAGO],"")</f>
        <v>2130283</v>
      </c>
      <c r="E1436" s="27"/>
      <c r="F1436" s="62">
        <f>+VLOOKUP(PROVEEDORES[[#This Row],[PROVEEDOR]],
                       Terceros!$A:$G,
                       6,
                       FALSE)</f>
        <v>0</v>
      </c>
      <c r="H1436" s="28" t="s">
        <v>326</v>
      </c>
      <c r="I1436" s="95">
        <v>44671</v>
      </c>
      <c r="J1436" s="38" t="s">
        <v>1295</v>
      </c>
      <c r="K1436" s="23">
        <v>1527459</v>
      </c>
      <c r="L1436" s="23"/>
      <c r="M1436" s="24">
        <f>(PROVEEDORES[[#This Row],[SUBTOTAL]]-PROVEEDORES[[#This Row],[descuento antes de IVA]])*VLOOKUP(PROVEEDORES[[#This Row],[PROVEEDOR]],TERCEROS_INFO[#All],3,FALSE)</f>
        <v>0</v>
      </c>
      <c r="N1436" s="25"/>
      <c r="O1436" s="24">
        <f>+PROVEEDORES[[#This Row],[Descuento sobre subtotal %]]*(PROVEEDORES[[#This Row],[SUBTOTAL]]-PROVEEDORES[[#This Row],[descuento antes de IVA]])</f>
        <v>0</v>
      </c>
      <c r="P1436" s="136">
        <f>+IF(PROVEEDORES[[#This Row],[SUBTOTAL]]&lt;PROVEEDORES[[#This Row],[base retencion]],0,PROVEEDORES[[#This Row],[retención aplicada]])</f>
        <v>0</v>
      </c>
      <c r="Q1436" s="24">
        <f>+PROVEEDORES[[#This Row],[Rete Fuente %]]*PROVEEDORES[[#This Row],[SUBTOTAL]]</f>
        <v>0</v>
      </c>
      <c r="R1436" s="23">
        <f>+PROVEEDORES[[#This Row],[SUBTOTAL]]+PROVEEDORES[[#This Row],[IVA 19%]]-PROVEEDORES[[#This Row],[descuento antes de IVA]]-PROVEEDORES[[#This Row],[Descuento sobre subtotal $]]-PROVEEDORES[[#This Row],[Rete Fuente $]]</f>
        <v>1527459</v>
      </c>
      <c r="S1436" s="1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36" s="176">
        <f ca="1">IF(PROVEEDORES[[#This Row],[FECHA DE PAGO]]=0,TODAY()-PROVEEDORES[[#This Row],[FECHA DE FACTURACIÓN]]-PROVEEDORES[[#This Row],[PLAZO Días]],0)</f>
        <v>-77</v>
      </c>
      <c r="U1436" s="178">
        <f>+VLOOKUP(PROVEEDORES[[#This Row],[PROVEEDOR]],Terceros!$A:$E,5,FALSE)</f>
        <v>0</v>
      </c>
      <c r="V1436" s="179">
        <f>+YEAR(PROVEEDORES[[#This Row],[FECHA DE FACTURACIÓN]])</f>
        <v>2022</v>
      </c>
      <c r="W1436" s="179">
        <f>+MATCH(PROVEEDORES[[#This Row],[año facturado]],Retenciones!$1:$1,0)</f>
        <v>5</v>
      </c>
      <c r="X1436" s="184">
        <f>+VLOOKUP(PROVEEDORES[[#This Row],[ID RETENCION]],Retenciones!$A$1:$O$24,PROVEEDORES[[#This Row],[indicador de columna]],FALSE)</f>
        <v>0</v>
      </c>
      <c r="Y1436" s="181">
        <f>+VLOOKUP(PROVEEDORES[[#This Row],[ID RETENCION]],Retenciones!$A$1:$O$24,2,FALSE)</f>
        <v>0</v>
      </c>
    </row>
    <row r="1437" spans="1:31" ht="21.95" customHeight="1" x14ac:dyDescent="0.25">
      <c r="A1437" s="187" t="str">
        <f>+IF(PROVEEDORES[[#This Row],[FECHA DE PAGO]]=PROVEEDORES[[#This Row],[FECHA DE FACTURACIÓN]],"DE CONTADO","CRÉDITO")</f>
        <v>CRÉDITO</v>
      </c>
      <c r="B1437" s="41" t="b">
        <f>+IF((PROVEEDORES[[#This Row],[FECHA DE PAGO]]-PROVEEDORES[[#This Row],[FECHA DE FACTURACIÓN]])&gt;PROVEEDORES[[#This Row],[PLAZO Días]],"PAGO VENCIDO")</f>
        <v>0</v>
      </c>
      <c r="C1437" s="22">
        <f>+VLOOKUP(PROVEEDORES[[#This Row],[PROVEEDOR]],TERCEROS_INFO[#All],2,FALSE)</f>
        <v>13</v>
      </c>
      <c r="D1437" s="27">
        <f>+SUMIFS(PROVEEDORES[Total],PROVEEDORES[PROVEEDOR],PROVEEDORES[[#This Row],[PROVEEDOR]],PROVEEDORES[FECHA DE PAGO],"")</f>
        <v>2130283</v>
      </c>
      <c r="E1437" s="27"/>
      <c r="F1437" s="62">
        <f>+VLOOKUP(PROVEEDORES[[#This Row],[PROVEEDOR]],
                       Terceros!$A:$G,
                       6,
                       FALSE)</f>
        <v>0</v>
      </c>
      <c r="H1437" s="28" t="s">
        <v>326</v>
      </c>
      <c r="I1437" s="95">
        <v>44671</v>
      </c>
      <c r="J1437" s="38" t="s">
        <v>1295</v>
      </c>
      <c r="K1437" s="23">
        <v>188646</v>
      </c>
      <c r="L1437" s="23"/>
      <c r="M1437" s="24">
        <f>(PROVEEDORES[[#This Row],[SUBTOTAL]]-PROVEEDORES[[#This Row],[descuento antes de IVA]])*VLOOKUP(PROVEEDORES[[#This Row],[PROVEEDOR]],TERCEROS_INFO[#All],3,FALSE)</f>
        <v>0</v>
      </c>
      <c r="N1437" s="25"/>
      <c r="O1437" s="24">
        <f>+PROVEEDORES[[#This Row],[Descuento sobre subtotal %]]*(PROVEEDORES[[#This Row],[SUBTOTAL]]-PROVEEDORES[[#This Row],[descuento antes de IVA]])</f>
        <v>0</v>
      </c>
      <c r="P1437" s="136">
        <f>+IF(PROVEEDORES[[#This Row],[SUBTOTAL]]&lt;PROVEEDORES[[#This Row],[base retencion]],0,PROVEEDORES[[#This Row],[retención aplicada]])</f>
        <v>0</v>
      </c>
      <c r="Q1437" s="24">
        <f>+PROVEEDORES[[#This Row],[Rete Fuente %]]*PROVEEDORES[[#This Row],[SUBTOTAL]]</f>
        <v>0</v>
      </c>
      <c r="R1437" s="23">
        <f>+PROVEEDORES[[#This Row],[SUBTOTAL]]+PROVEEDORES[[#This Row],[IVA 19%]]-PROVEEDORES[[#This Row],[descuento antes de IVA]]-PROVEEDORES[[#This Row],[Descuento sobre subtotal $]]-PROVEEDORES[[#This Row],[Rete Fuente $]]</f>
        <v>188646</v>
      </c>
      <c r="S1437" s="1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37" s="176">
        <f ca="1">IF(PROVEEDORES[[#This Row],[FECHA DE PAGO]]=0,TODAY()-PROVEEDORES[[#This Row],[FECHA DE FACTURACIÓN]]-PROVEEDORES[[#This Row],[PLAZO Días]],0)</f>
        <v>0</v>
      </c>
      <c r="U1437" s="178">
        <f>+VLOOKUP(PROVEEDORES[[#This Row],[PROVEEDOR]],Terceros!$A:$E,5,FALSE)</f>
        <v>0</v>
      </c>
      <c r="V1437" s="179">
        <f>+YEAR(PROVEEDORES[[#This Row],[FECHA DE FACTURACIÓN]])</f>
        <v>2022</v>
      </c>
      <c r="W1437" s="179">
        <f>+MATCH(PROVEEDORES[[#This Row],[año facturado]],Retenciones!$1:$1,0)</f>
        <v>5</v>
      </c>
      <c r="X1437" s="184">
        <f>+VLOOKUP(PROVEEDORES[[#This Row],[ID RETENCION]],Retenciones!$A$1:$O$24,PROVEEDORES[[#This Row],[indicador de columna]],FALSE)</f>
        <v>0</v>
      </c>
      <c r="Y1437" s="181">
        <f>+VLOOKUP(PROVEEDORES[[#This Row],[ID RETENCION]],Retenciones!$A$1:$O$24,2,FALSE)</f>
        <v>0</v>
      </c>
    </row>
    <row r="1438" spans="1:31" ht="21.95" customHeight="1" x14ac:dyDescent="0.25">
      <c r="A1438" s="187" t="str">
        <f>+IF(PROVEEDORES[[#This Row],[FECHA DE PAGO]]=PROVEEDORES[[#This Row],[FECHA DE FACTURACIÓN]],"DE CONTADO","CRÉDITO")</f>
        <v>CRÉDITO</v>
      </c>
      <c r="B1438" s="41" t="b">
        <f>+IF((PROVEEDORES[[#This Row],[FECHA DE PAGO]]-PROVEEDORES[[#This Row],[FECHA DE FACTURACIÓN]])&gt;PROVEEDORES[[#This Row],[PLAZO Días]],"PAGO VENCIDO")</f>
        <v>0</v>
      </c>
      <c r="C1438" s="22">
        <f>+VLOOKUP(PROVEEDORES[[#This Row],[PROVEEDOR]],TERCEROS_INFO[#All],2,FALSE)</f>
        <v>45</v>
      </c>
      <c r="D1438" s="27">
        <f>+SUMIFS(PROVEEDORES[Total],PROVEEDORES[PROVEEDOR],PROVEEDORES[[#This Row],[PROVEEDOR]],PROVEEDORES[FECHA DE PAGO],"")</f>
        <v>3412539.2</v>
      </c>
      <c r="E1438" s="27"/>
      <c r="F1438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H1438" s="28" t="s">
        <v>10</v>
      </c>
      <c r="I1438" s="95">
        <v>44673</v>
      </c>
      <c r="J1438" s="38" t="s">
        <v>1296</v>
      </c>
      <c r="K1438" s="23">
        <v>592500</v>
      </c>
      <c r="L1438" s="23"/>
      <c r="M1438" s="24">
        <f>(PROVEEDORES[[#This Row],[SUBTOTAL]]-PROVEEDORES[[#This Row],[descuento antes de IVA]])*VLOOKUP(PROVEEDORES[[#This Row],[PROVEEDOR]],TERCEROS_INFO[#All],3,FALSE)</f>
        <v>112575</v>
      </c>
      <c r="N1438" s="25"/>
      <c r="O1438" s="24">
        <f>+PROVEEDORES[[#This Row],[Descuento sobre subtotal %]]*(PROVEEDORES[[#This Row],[SUBTOTAL]]-PROVEEDORES[[#This Row],[descuento antes de IVA]])</f>
        <v>0</v>
      </c>
      <c r="P1438" s="136">
        <f>+IF(PROVEEDORES[[#This Row],[SUBTOTAL]]&lt;PROVEEDORES[[#This Row],[base retencion]],0,PROVEEDORES[[#This Row],[retención aplicada]])</f>
        <v>0</v>
      </c>
      <c r="Q1438" s="24">
        <f>+PROVEEDORES[[#This Row],[Rete Fuente %]]*PROVEEDORES[[#This Row],[SUBTOTAL]]</f>
        <v>0</v>
      </c>
      <c r="R1438" s="23">
        <f>+PROVEEDORES[[#This Row],[SUBTOTAL]]+PROVEEDORES[[#This Row],[IVA 19%]]-PROVEEDORES[[#This Row],[descuento antes de IVA]]-PROVEEDORES[[#This Row],[Descuento sobre subtotal $]]-PROVEEDORES[[#This Row],[Rete Fuente $]]</f>
        <v>705075</v>
      </c>
      <c r="S1438" s="1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38" s="176">
        <f ca="1">IF(PROVEEDORES[[#This Row],[FECHA DE PAGO]]=0,TODAY()-PROVEEDORES[[#This Row],[FECHA DE FACTURACIÓN]]-PROVEEDORES[[#This Row],[PLAZO Días]],0)</f>
        <v>-34</v>
      </c>
      <c r="U1438" s="178">
        <f>+VLOOKUP(PROVEEDORES[[#This Row],[PROVEEDOR]],Terceros!$A:$E,5,FALSE)</f>
        <v>0</v>
      </c>
      <c r="V1438" s="179">
        <f>+YEAR(PROVEEDORES[[#This Row],[FECHA DE FACTURACIÓN]])</f>
        <v>2022</v>
      </c>
      <c r="W1438" s="179">
        <f>+MATCH(PROVEEDORES[[#This Row],[año facturado]],Retenciones!$1:$1,0)</f>
        <v>5</v>
      </c>
      <c r="X1438" s="184">
        <f>+VLOOKUP(PROVEEDORES[[#This Row],[ID RETENCION]],Retenciones!$A$1:$O$24,PROVEEDORES[[#This Row],[indicador de columna]],FALSE)</f>
        <v>0</v>
      </c>
      <c r="Y1438" s="181">
        <f>+VLOOKUP(PROVEEDORES[[#This Row],[ID RETENCION]],Retenciones!$A$1:$O$24,2,FALSE)</f>
        <v>0</v>
      </c>
    </row>
    <row r="1439" spans="1:31" ht="21.95" customHeight="1" x14ac:dyDescent="0.25">
      <c r="A1439" s="187" t="str">
        <f>+IF(PROVEEDORES[[#This Row],[FECHA DE PAGO]]=PROVEEDORES[[#This Row],[FECHA DE FACTURACIÓN]],"DE CONTADO","CRÉDITO")</f>
        <v>CRÉDITO</v>
      </c>
      <c r="B1439" s="41" t="b">
        <f>+IF((PROVEEDORES[[#This Row],[FECHA DE PAGO]]-PROVEEDORES[[#This Row],[FECHA DE FACTURACIÓN]])&gt;PROVEEDORES[[#This Row],[PLAZO Días]],"PAGO VENCIDO")</f>
        <v>0</v>
      </c>
      <c r="C1439" s="22">
        <f>+VLOOKUP(PROVEEDORES[[#This Row],[PROVEEDOR]],TERCEROS_INFO[#All],2,FALSE)</f>
        <v>45</v>
      </c>
      <c r="D1439" s="27">
        <f>+SUMIFS(PROVEEDORES[Total],PROVEEDORES[PROVEEDOR],PROVEEDORES[[#This Row],[PROVEEDOR]],PROVEEDORES[FECHA DE PAGO],"")</f>
        <v>3412539.2</v>
      </c>
      <c r="E1439" s="27"/>
      <c r="F1439" s="62" t="str">
        <f>+VLOOKUP(PROVEEDORES[[#This Row],[PROVEEDOR]],
                       Terceros!$A:$G,
                       6,
                       FALSE)</f>
        <v>libardopineda@tronex.com;girlesa.ruiz@servipilas.com;joriescobar64@gmail.com</v>
      </c>
      <c r="H1439" s="28" t="s">
        <v>10</v>
      </c>
      <c r="I1439" s="95">
        <v>44672</v>
      </c>
      <c r="J1439" s="38" t="s">
        <v>1297</v>
      </c>
      <c r="K1439" s="23">
        <v>1376000</v>
      </c>
      <c r="L1439" s="23"/>
      <c r="M1439" s="24">
        <f>(PROVEEDORES[[#This Row],[SUBTOTAL]]-PROVEEDORES[[#This Row],[descuento antes de IVA]])*VLOOKUP(PROVEEDORES[[#This Row],[PROVEEDOR]],TERCEROS_INFO[#All],3,FALSE)</f>
        <v>261440</v>
      </c>
      <c r="N1439" s="25"/>
      <c r="O1439" s="24">
        <f>+PROVEEDORES[[#This Row],[Descuento sobre subtotal %]]*(PROVEEDORES[[#This Row],[SUBTOTAL]]-PROVEEDORES[[#This Row],[descuento antes de IVA]])</f>
        <v>0</v>
      </c>
      <c r="P1439" s="136">
        <f>+IF(PROVEEDORES[[#This Row],[SUBTOTAL]]&lt;PROVEEDORES[[#This Row],[base retencion]],0,PROVEEDORES[[#This Row],[retención aplicada]])</f>
        <v>0</v>
      </c>
      <c r="Q1439" s="24">
        <f>+PROVEEDORES[[#This Row],[Rete Fuente %]]*PROVEEDORES[[#This Row],[SUBTOTAL]]</f>
        <v>0</v>
      </c>
      <c r="R1439" s="23">
        <f>+PROVEEDORES[[#This Row],[SUBTOTAL]]+PROVEEDORES[[#This Row],[IVA 19%]]-PROVEEDORES[[#This Row],[descuento antes de IVA]]-PROVEEDORES[[#This Row],[Descuento sobre subtotal $]]-PROVEEDORES[[#This Row],[Rete Fuente $]]</f>
        <v>1637440</v>
      </c>
      <c r="S1439" s="1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39" s="176">
        <f ca="1">IF(PROVEEDORES[[#This Row],[FECHA DE PAGO]]=0,TODAY()-PROVEEDORES[[#This Row],[FECHA DE FACTURACIÓN]]-PROVEEDORES[[#This Row],[PLAZO Días]],0)</f>
        <v>-33</v>
      </c>
      <c r="U1439" s="178">
        <f>+VLOOKUP(PROVEEDORES[[#This Row],[PROVEEDOR]],Terceros!$A:$E,5,FALSE)</f>
        <v>0</v>
      </c>
      <c r="V1439" s="179">
        <f>+YEAR(PROVEEDORES[[#This Row],[FECHA DE FACTURACIÓN]])</f>
        <v>2022</v>
      </c>
      <c r="W1439" s="179">
        <f>+MATCH(PROVEEDORES[[#This Row],[año facturado]],Retenciones!$1:$1,0)</f>
        <v>5</v>
      </c>
      <c r="X1439" s="184">
        <f>+VLOOKUP(PROVEEDORES[[#This Row],[ID RETENCION]],Retenciones!$A$1:$O$24,PROVEEDORES[[#This Row],[indicador de columna]],FALSE)</f>
        <v>0</v>
      </c>
      <c r="Y1439" s="181">
        <f>+VLOOKUP(PROVEEDORES[[#This Row],[ID RETENCION]],Retenciones!$A$1:$O$24,2,FALSE)</f>
        <v>0</v>
      </c>
    </row>
    <row r="1440" spans="1:31" ht="21.95" customHeight="1" x14ac:dyDescent="0.25">
      <c r="A1440" s="187" t="str">
        <f>+IF(PROVEEDORES[[#This Row],[FECHA DE PAGO]]=PROVEEDORES[[#This Row],[FECHA DE FACTURACIÓN]],"DE CONTADO","CRÉDITO")</f>
        <v>CRÉDITO</v>
      </c>
      <c r="B1440" s="41" t="b">
        <f>+IF((PROVEEDORES[[#This Row],[FECHA DE PAGO]]-PROVEEDORES[[#This Row],[FECHA DE FACTURACIÓN]])&gt;PROVEEDORES[[#This Row],[PLAZO Días]],"PAGO VENCIDO")</f>
        <v>0</v>
      </c>
      <c r="C1440" s="22">
        <f>+VLOOKUP(PROVEEDORES[[#This Row],[PROVEEDOR]],TERCEROS_INFO[#All],2,FALSE)</f>
        <v>30</v>
      </c>
      <c r="D1440" s="27">
        <f>+SUMIFS(PROVEEDORES[Total],PROVEEDORES[PROVEEDOR],PROVEEDORES[[#This Row],[PROVEEDOR]],PROVEEDORES[FECHA DE PAGO],"")</f>
        <v>192000.0264</v>
      </c>
      <c r="E1440" s="27"/>
      <c r="F1440" s="62" t="str">
        <f>+VLOOKUP(PROVEEDORES[[#This Row],[PROVEEDOR]],
                       Terceros!$A:$G,
                       6,
                       FALSE)</f>
        <v>Tuspilas.co@gmail.com;girlesa.ruiz@servipilas.com;joriescobar64@gmail.com</v>
      </c>
      <c r="H1440" s="28" t="s">
        <v>43</v>
      </c>
      <c r="I1440" s="95">
        <v>44672</v>
      </c>
      <c r="J1440" s="38" t="s">
        <v>1298</v>
      </c>
      <c r="K1440" s="23">
        <v>161344.56</v>
      </c>
      <c r="L1440" s="23"/>
      <c r="M1440" s="24">
        <f>(PROVEEDORES[[#This Row],[SUBTOTAL]]-PROVEEDORES[[#This Row],[descuento antes de IVA]])*VLOOKUP(PROVEEDORES[[#This Row],[PROVEEDOR]],TERCEROS_INFO[#All],3,FALSE)</f>
        <v>30655.466400000001</v>
      </c>
      <c r="N1440" s="25"/>
      <c r="O1440" s="24">
        <f>+PROVEEDORES[[#This Row],[Descuento sobre subtotal %]]*(PROVEEDORES[[#This Row],[SUBTOTAL]]-PROVEEDORES[[#This Row],[descuento antes de IVA]])</f>
        <v>0</v>
      </c>
      <c r="P1440" s="136">
        <f>+IF(PROVEEDORES[[#This Row],[SUBTOTAL]]&lt;PROVEEDORES[[#This Row],[base retencion]],0,PROVEEDORES[[#This Row],[retención aplicada]])</f>
        <v>0</v>
      </c>
      <c r="Q1440" s="24">
        <f>+PROVEEDORES[[#This Row],[Rete Fuente %]]*PROVEEDORES[[#This Row],[SUBTOTAL]]</f>
        <v>0</v>
      </c>
      <c r="R1440" s="23">
        <f>+PROVEEDORES[[#This Row],[SUBTOTAL]]+PROVEEDORES[[#This Row],[IVA 19%]]-PROVEEDORES[[#This Row],[descuento antes de IVA]]-PROVEEDORES[[#This Row],[Descuento sobre subtotal $]]-PROVEEDORES[[#This Row],[Rete Fuente $]]</f>
        <v>192000.0264</v>
      </c>
      <c r="S1440" s="1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40" s="176">
        <f ca="1">IF(PROVEEDORES[[#This Row],[FECHA DE PAGO]]=0,TODAY()-PROVEEDORES[[#This Row],[FECHA DE FACTURACIÓN]]-PROVEEDORES[[#This Row],[PLAZO Días]],0)</f>
        <v>-18</v>
      </c>
      <c r="U1440" s="178" t="str">
        <f>+VLOOKUP(PROVEEDORES[[#This Row],[PROVEEDOR]],Terceros!$A:$E,5,FALSE)</f>
        <v>2,5% con base</v>
      </c>
      <c r="V1440" s="179">
        <f>+YEAR(PROVEEDORES[[#This Row],[FECHA DE FACTURACIÓN]])</f>
        <v>2022</v>
      </c>
      <c r="W1440" s="179">
        <f>+MATCH(PROVEEDORES[[#This Row],[año facturado]],Retenciones!$1:$1,0)</f>
        <v>5</v>
      </c>
      <c r="X1440" s="184">
        <f>+VLOOKUP(PROVEEDORES[[#This Row],[ID RETENCION]],Retenciones!$A$1:$O$24,PROVEEDORES[[#This Row],[indicador de columna]],FALSE)</f>
        <v>1026000</v>
      </c>
      <c r="Y1440" s="181">
        <f>+VLOOKUP(PROVEEDORES[[#This Row],[ID RETENCION]],Retenciones!$A$1:$O$24,2,FALSE)</f>
        <v>2.5000000000000001E-2</v>
      </c>
    </row>
    <row r="1441" spans="1:25" ht="21.95" customHeight="1" x14ac:dyDescent="0.25">
      <c r="A1441" s="187" t="str">
        <f>+IF(PROVEEDORES[[#This Row],[FECHA DE PAGO]]=PROVEEDORES[[#This Row],[FECHA DE FACTURACIÓN]],"DE CONTADO","CRÉDITO")</f>
        <v>CRÉDITO</v>
      </c>
      <c r="B1441" s="41" t="b">
        <f>+IF((PROVEEDORES[[#This Row],[FECHA DE PAGO]]-PROVEEDORES[[#This Row],[FECHA DE FACTURACIÓN]])&gt;PROVEEDORES[[#This Row],[PLAZO Días]],"PAGO VENCIDO")</f>
        <v>0</v>
      </c>
      <c r="C1441" s="22">
        <f>+VLOOKUP(PROVEEDORES[[#This Row],[PROVEEDOR]],TERCEROS_INFO[#All],2,FALSE)</f>
        <v>30</v>
      </c>
      <c r="D1441" s="27">
        <f>+SUMIFS(PROVEEDORES[Total],PROVEEDORES[PROVEEDOR],PROVEEDORES[[#This Row],[PROVEEDOR]],PROVEEDORES[FECHA DE PAGO],"")</f>
        <v>4965738.5050000008</v>
      </c>
      <c r="E1441" s="27"/>
      <c r="F1441" s="62" t="str">
        <f>+VLOOKUP(PROVEEDORES[[#This Row],[PROVEEDOR]],
                       Terceros!$A:$G,
                       6,
                       FALSE)</f>
        <v>aleja-1305agudelo@hotmail.com;provecol@une.net.co;girlesa.ruiz@servipilas.com;joriescobar64@gmail.com</v>
      </c>
      <c r="H1441" s="28" t="s">
        <v>457</v>
      </c>
      <c r="I1441" s="95">
        <v>44669</v>
      </c>
      <c r="J1441" s="38" t="s">
        <v>1299</v>
      </c>
      <c r="K1441" s="23">
        <v>1887203.25</v>
      </c>
      <c r="L1441" s="23"/>
      <c r="M1441" s="24">
        <f>(PROVEEDORES[[#This Row],[SUBTOTAL]]-PROVEEDORES[[#This Row],[descuento antes de IVA]])*VLOOKUP(PROVEEDORES[[#This Row],[PROVEEDOR]],TERCEROS_INFO[#All],3,FALSE)</f>
        <v>358568.61749999999</v>
      </c>
      <c r="N1441" s="25"/>
      <c r="O1441" s="24">
        <f>+PROVEEDORES[[#This Row],[Descuento sobre subtotal %]]*(PROVEEDORES[[#This Row],[SUBTOTAL]]-PROVEEDORES[[#This Row],[descuento antes de IVA]])</f>
        <v>0</v>
      </c>
      <c r="P1441" s="136">
        <f>+IF(PROVEEDORES[[#This Row],[SUBTOTAL]]&lt;PROVEEDORES[[#This Row],[base retencion]],0,PROVEEDORES[[#This Row],[retención aplicada]])</f>
        <v>0</v>
      </c>
      <c r="Q1441" s="24">
        <f>+PROVEEDORES[[#This Row],[Rete Fuente %]]*PROVEEDORES[[#This Row],[SUBTOTAL]]</f>
        <v>0</v>
      </c>
      <c r="R1441" s="23">
        <f>+PROVEEDORES[[#This Row],[SUBTOTAL]]+PROVEEDORES[[#This Row],[IVA 19%]]-PROVEEDORES[[#This Row],[descuento antes de IVA]]-PROVEEDORES[[#This Row],[Descuento sobre subtotal $]]-PROVEEDORES[[#This Row],[Rete Fuente $]]</f>
        <v>2245771.8675000002</v>
      </c>
      <c r="S1441" s="1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41" s="176">
        <f ca="1">IF(PROVEEDORES[[#This Row],[FECHA DE PAGO]]=0,TODAY()-PROVEEDORES[[#This Row],[FECHA DE FACTURACIÓN]]-PROVEEDORES[[#This Row],[PLAZO Días]],0)</f>
        <v>-15</v>
      </c>
      <c r="U1441" s="178">
        <f>+VLOOKUP(PROVEEDORES[[#This Row],[PROVEEDOR]],Terceros!$A:$E,5,FALSE)</f>
        <v>0</v>
      </c>
      <c r="V1441" s="179">
        <f>+YEAR(PROVEEDORES[[#This Row],[FECHA DE FACTURACIÓN]])</f>
        <v>2022</v>
      </c>
      <c r="W1441" s="179">
        <f>+MATCH(PROVEEDORES[[#This Row],[año facturado]],Retenciones!$1:$1,0)</f>
        <v>5</v>
      </c>
      <c r="X1441" s="184">
        <f>+VLOOKUP(PROVEEDORES[[#This Row],[ID RETENCION]],Retenciones!$A$1:$O$24,PROVEEDORES[[#This Row],[indicador de columna]],FALSE)</f>
        <v>0</v>
      </c>
      <c r="Y1441" s="181">
        <f>+VLOOKUP(PROVEEDORES[[#This Row],[ID RETENCION]],Retenciones!$A$1:$O$24,2,FALSE)</f>
        <v>0</v>
      </c>
    </row>
    <row r="1442" spans="1:25" ht="21.95" customHeight="1" x14ac:dyDescent="0.25">
      <c r="A1442" s="187" t="str">
        <f>+IF(PROVEEDORES[[#This Row],[FECHA DE PAGO]]=PROVEEDORES[[#This Row],[FECHA DE FACTURACIÓN]],"DE CONTADO","CRÉDITO")</f>
        <v>CRÉDITO</v>
      </c>
      <c r="B1442" s="41" t="b">
        <f>+IF((PROVEEDORES[[#This Row],[FECHA DE PAGO]]-PROVEEDORES[[#This Row],[FECHA DE FACTURACIÓN]])&gt;PROVEEDORES[[#This Row],[PLAZO Días]],"PAGO VENCIDO")</f>
        <v>0</v>
      </c>
      <c r="C1442" s="22">
        <f>+VLOOKUP(PROVEEDORES[[#This Row],[PROVEEDOR]],TERCEROS_INFO[#All],2,FALSE)</f>
        <v>30</v>
      </c>
      <c r="D1442" s="27">
        <f>+SUMIFS(PROVEEDORES[Total],PROVEEDORES[PROVEEDOR],PROVEEDORES[[#This Row],[PROVEEDOR]],PROVEEDORES[FECHA DE PAGO],"")</f>
        <v>2588352.5</v>
      </c>
      <c r="E1442" s="27"/>
      <c r="F1442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H1442" s="28" t="s">
        <v>1088</v>
      </c>
      <c r="I1442" s="95">
        <v>44669</v>
      </c>
      <c r="J1442" s="38">
        <v>25352</v>
      </c>
      <c r="K1442" s="23">
        <v>640000</v>
      </c>
      <c r="L1442" s="23"/>
      <c r="M1442" s="24">
        <f>(PROVEEDORES[[#This Row],[SUBTOTAL]]-PROVEEDORES[[#This Row],[descuento antes de IVA]])*VLOOKUP(PROVEEDORES[[#This Row],[PROVEEDOR]],TERCEROS_INFO[#All],3,FALSE)</f>
        <v>121600</v>
      </c>
      <c r="N1442" s="25"/>
      <c r="O1442" s="24">
        <f>+PROVEEDORES[[#This Row],[Descuento sobre subtotal %]]*(PROVEEDORES[[#This Row],[SUBTOTAL]]-PROVEEDORES[[#This Row],[descuento antes de IVA]])</f>
        <v>0</v>
      </c>
      <c r="P1442" s="136">
        <f>+IF(PROVEEDORES[[#This Row],[SUBTOTAL]]&lt;PROVEEDORES[[#This Row],[base retencion]],0,PROVEEDORES[[#This Row],[retención aplicada]])</f>
        <v>0</v>
      </c>
      <c r="Q1442" s="24">
        <f>+PROVEEDORES[[#This Row],[Rete Fuente %]]*PROVEEDORES[[#This Row],[SUBTOTAL]]</f>
        <v>0</v>
      </c>
      <c r="R1442" s="23">
        <f>+PROVEEDORES[[#This Row],[SUBTOTAL]]+PROVEEDORES[[#This Row],[IVA 19%]]-PROVEEDORES[[#This Row],[descuento antes de IVA]]-PROVEEDORES[[#This Row],[Descuento sobre subtotal $]]-PROVEEDORES[[#This Row],[Rete Fuente $]]</f>
        <v>761600</v>
      </c>
      <c r="S1442" s="1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42" s="176">
        <f ca="1">IF(PROVEEDORES[[#This Row],[FECHA DE PAGO]]=0,TODAY()-PROVEEDORES[[#This Row],[FECHA DE FACTURACIÓN]]-PROVEEDORES[[#This Row],[PLAZO Días]],0)</f>
        <v>-15</v>
      </c>
      <c r="U1442" s="178" t="str">
        <f>+VLOOKUP(PROVEEDORES[[#This Row],[PROVEEDOR]],Terceros!$A:$E,5,FALSE)</f>
        <v>2,5% con base</v>
      </c>
      <c r="V1442" s="179">
        <f>+YEAR(PROVEEDORES[[#This Row],[FECHA DE FACTURACIÓN]])</f>
        <v>2022</v>
      </c>
      <c r="W1442" s="179">
        <f>+MATCH(PROVEEDORES[[#This Row],[año facturado]],Retenciones!$1:$1,0)</f>
        <v>5</v>
      </c>
      <c r="X1442" s="184">
        <f>+VLOOKUP(PROVEEDORES[[#This Row],[ID RETENCION]],Retenciones!$A$1:$O$24,PROVEEDORES[[#This Row],[indicador de columna]],FALSE)</f>
        <v>1026000</v>
      </c>
      <c r="Y1442" s="181">
        <f>+VLOOKUP(PROVEEDORES[[#This Row],[ID RETENCION]],Retenciones!$A$1:$O$24,2,FALSE)</f>
        <v>2.5000000000000001E-2</v>
      </c>
    </row>
    <row r="1443" spans="1:25" ht="21.95" customHeight="1" x14ac:dyDescent="0.25">
      <c r="A1443" s="187" t="str">
        <f>+IF(PROVEEDORES[[#This Row],[FECHA DE PAGO]]=PROVEEDORES[[#This Row],[FECHA DE FACTURACIÓN]],"DE CONTADO","CRÉDITO")</f>
        <v>CRÉDITO</v>
      </c>
      <c r="B1443" s="41" t="b">
        <f>+IF((PROVEEDORES[[#This Row],[FECHA DE PAGO]]-PROVEEDORES[[#This Row],[FECHA DE FACTURACIÓN]])&gt;PROVEEDORES[[#This Row],[PLAZO Días]],"PAGO VENCIDO")</f>
        <v>0</v>
      </c>
      <c r="C1443" s="22">
        <f>+VLOOKUP(PROVEEDORES[[#This Row],[PROVEEDOR]],TERCEROS_INFO[#All],2,FALSE)</f>
        <v>30</v>
      </c>
      <c r="D1443" s="27">
        <f>+SUMIFS(PROVEEDORES[Total],PROVEEDORES[PROVEEDOR],PROVEEDORES[[#This Row],[PROVEEDOR]],PROVEEDORES[FECHA DE PAGO],"")</f>
        <v>1979529.3</v>
      </c>
      <c r="E1443" s="27"/>
      <c r="F1443" s="62" t="str">
        <f>+VLOOKUP(PROVEEDORES[[#This Row],[PROVEEDOR]],
                       Terceros!$A:$G,
                       6,
                       FALSE)</f>
        <v>MVALENCIA@mps.com.co;girlesa.ruiz@servipilas.com;joriescobar64@gmail.com</v>
      </c>
      <c r="H1443" s="28" t="s">
        <v>17</v>
      </c>
      <c r="I1443" s="95">
        <v>44670</v>
      </c>
      <c r="J1443" s="38">
        <v>1903629</v>
      </c>
      <c r="K1443" s="23">
        <v>1663470</v>
      </c>
      <c r="L1443" s="23"/>
      <c r="M1443" s="24">
        <f>(PROVEEDORES[[#This Row],[SUBTOTAL]]-PROVEEDORES[[#This Row],[descuento antes de IVA]])*VLOOKUP(PROVEEDORES[[#This Row],[PROVEEDOR]],TERCEROS_INFO[#All],3,FALSE)</f>
        <v>316059.3</v>
      </c>
      <c r="N1443" s="25"/>
      <c r="O1443" s="24">
        <f>+PROVEEDORES[[#This Row],[Descuento sobre subtotal %]]*(PROVEEDORES[[#This Row],[SUBTOTAL]]-PROVEEDORES[[#This Row],[descuento antes de IVA]])</f>
        <v>0</v>
      </c>
      <c r="P1443" s="136">
        <f>+IF(PROVEEDORES[[#This Row],[SUBTOTAL]]&lt;PROVEEDORES[[#This Row],[base retencion]],0,PROVEEDORES[[#This Row],[retención aplicada]])</f>
        <v>0</v>
      </c>
      <c r="Q1443" s="24">
        <f>+PROVEEDORES[[#This Row],[Rete Fuente %]]*PROVEEDORES[[#This Row],[SUBTOTAL]]</f>
        <v>0</v>
      </c>
      <c r="R1443" s="23">
        <f>+PROVEEDORES[[#This Row],[SUBTOTAL]]+PROVEEDORES[[#This Row],[IVA 19%]]-PROVEEDORES[[#This Row],[descuento antes de IVA]]-PROVEEDORES[[#This Row],[Descuento sobre subtotal $]]-PROVEEDORES[[#This Row],[Rete Fuente $]]</f>
        <v>1979529.3</v>
      </c>
      <c r="S1443" s="1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43" s="176">
        <f ca="1">IF(PROVEEDORES[[#This Row],[FECHA DE PAGO]]=0,TODAY()-PROVEEDORES[[#This Row],[FECHA DE FACTURACIÓN]]-PROVEEDORES[[#This Row],[PLAZO Días]],0)</f>
        <v>-16</v>
      </c>
      <c r="U1443" s="178">
        <f>+VLOOKUP(PROVEEDORES[[#This Row],[PROVEEDOR]],Terceros!$A:$E,5,FALSE)</f>
        <v>0</v>
      </c>
      <c r="V1443" s="179">
        <f>+YEAR(PROVEEDORES[[#This Row],[FECHA DE FACTURACIÓN]])</f>
        <v>2022</v>
      </c>
      <c r="W1443" s="179">
        <f>+MATCH(PROVEEDORES[[#This Row],[año facturado]],Retenciones!$1:$1,0)</f>
        <v>5</v>
      </c>
      <c r="X1443" s="184">
        <f>+VLOOKUP(PROVEEDORES[[#This Row],[ID RETENCION]],Retenciones!$A$1:$O$24,PROVEEDORES[[#This Row],[indicador de columna]],FALSE)</f>
        <v>0</v>
      </c>
      <c r="Y1443" s="181">
        <f>+VLOOKUP(PROVEEDORES[[#This Row],[ID RETENCION]],Retenciones!$A$1:$O$24,2,FALSE)</f>
        <v>0</v>
      </c>
    </row>
    <row r="1444" spans="1:25" ht="21.95" customHeight="1" x14ac:dyDescent="0.25">
      <c r="A1444" s="187" t="str">
        <f>+IF(PROVEEDORES[[#This Row],[FECHA DE PAGO]]=PROVEEDORES[[#This Row],[FECHA DE FACTURACIÓN]],"DE CONTADO","CRÉDITO")</f>
        <v>CRÉDITO</v>
      </c>
      <c r="B1444" s="41" t="b">
        <f>+IF((PROVEEDORES[[#This Row],[FECHA DE PAGO]]-PROVEEDORES[[#This Row],[FECHA DE FACTURACIÓN]])&gt;PROVEEDORES[[#This Row],[PLAZO Días]],"PAGO VENCIDO")</f>
        <v>0</v>
      </c>
      <c r="C1444" s="22">
        <f>+VLOOKUP(PROVEEDORES[[#This Row],[PROVEEDOR]],TERCEROS_INFO[#All],2,FALSE)</f>
        <v>90</v>
      </c>
      <c r="D1444" s="27">
        <f>+SUMIFS(PROVEEDORES[Total],PROVEEDORES[PROVEEDOR],PROVEEDORES[[#This Row],[PROVEEDOR]],PROVEEDORES[FECHA DE PAGO],"")</f>
        <v>28052953.019999996</v>
      </c>
      <c r="E1444" s="27"/>
      <c r="F1444" s="62" t="str">
        <f>+VLOOKUP(PROVEEDORES[[#This Row],[PROVEEDOR]],
                       Terceros!$A:$G,
                       6,
                       FALSE)</f>
        <v>criszapata1234@gmail.com;girlesa.ruiz@servipilas.com;joriescobar64@gmail.com</v>
      </c>
      <c r="H1444" s="28" t="s">
        <v>78</v>
      </c>
      <c r="I1444" s="95">
        <v>44669</v>
      </c>
      <c r="J1444" s="38" t="s">
        <v>1300</v>
      </c>
      <c r="K1444" s="23">
        <v>2642854</v>
      </c>
      <c r="L1444" s="23"/>
      <c r="M1444" s="24">
        <f>(PROVEEDORES[[#This Row],[SUBTOTAL]]-PROVEEDORES[[#This Row],[descuento antes de IVA]])*VLOOKUP(PROVEEDORES[[#This Row],[PROVEEDOR]],TERCEROS_INFO[#All],3,FALSE)</f>
        <v>502142.26</v>
      </c>
      <c r="N1444" s="25"/>
      <c r="O1444" s="24">
        <f>+PROVEEDORES[[#This Row],[Descuento sobre subtotal %]]*(PROVEEDORES[[#This Row],[SUBTOTAL]]-PROVEEDORES[[#This Row],[descuento antes de IVA]])</f>
        <v>0</v>
      </c>
      <c r="P1444" s="136">
        <f>+IF(PROVEEDORES[[#This Row],[SUBTOTAL]]&lt;PROVEEDORES[[#This Row],[base retencion]],0,PROVEEDORES[[#This Row],[retención aplicada]])</f>
        <v>2.5000000000000001E-2</v>
      </c>
      <c r="Q1444" s="24">
        <f>+PROVEEDORES[[#This Row],[Rete Fuente %]]*PROVEEDORES[[#This Row],[SUBTOTAL]]</f>
        <v>66071.350000000006</v>
      </c>
      <c r="R1444" s="23">
        <f>+PROVEEDORES[[#This Row],[SUBTOTAL]]+PROVEEDORES[[#This Row],[IVA 19%]]-PROVEEDORES[[#This Row],[descuento antes de IVA]]-PROVEEDORES[[#This Row],[Descuento sobre subtotal $]]-PROVEEDORES[[#This Row],[Rete Fuente $]]</f>
        <v>3078924.9099999997</v>
      </c>
      <c r="S1444" s="1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44" s="176">
        <f ca="1">IF(PROVEEDORES[[#This Row],[FECHA DE PAGO]]=0,TODAY()-PROVEEDORES[[#This Row],[FECHA DE FACTURACIÓN]]-PROVEEDORES[[#This Row],[PLAZO Días]],0)</f>
        <v>-75</v>
      </c>
      <c r="U1444" s="178" t="str">
        <f>+VLOOKUP(PROVEEDORES[[#This Row],[PROVEEDOR]],Terceros!$A:$E,5,FALSE)</f>
        <v>2,5% con base</v>
      </c>
      <c r="V1444" s="179">
        <f>+YEAR(PROVEEDORES[[#This Row],[FECHA DE FACTURACIÓN]])</f>
        <v>2022</v>
      </c>
      <c r="W1444" s="179">
        <f>+MATCH(PROVEEDORES[[#This Row],[año facturado]],Retenciones!$1:$1,0)</f>
        <v>5</v>
      </c>
      <c r="X1444" s="184">
        <f>+VLOOKUP(PROVEEDORES[[#This Row],[ID RETENCION]],Retenciones!$A$1:$O$24,PROVEEDORES[[#This Row],[indicador de columna]],FALSE)</f>
        <v>1026000</v>
      </c>
      <c r="Y1444" s="181">
        <f>+VLOOKUP(PROVEEDORES[[#This Row],[ID RETENCION]],Retenciones!$A$1:$O$24,2,FALSE)</f>
        <v>2.5000000000000001E-2</v>
      </c>
    </row>
    <row r="1445" spans="1:25" ht="21.95" customHeight="1" x14ac:dyDescent="0.25">
      <c r="A1445" s="187" t="str">
        <f>+IF(PROVEEDORES[[#This Row],[FECHA DE PAGO]]=PROVEEDORES[[#This Row],[FECHA DE FACTURACIÓN]],"DE CONTADO","CRÉDITO")</f>
        <v>CRÉDITO</v>
      </c>
      <c r="B1445" s="41" t="b">
        <f>+IF((PROVEEDORES[[#This Row],[FECHA DE PAGO]]-PROVEEDORES[[#This Row],[FECHA DE FACTURACIÓN]])&gt;PROVEEDORES[[#This Row],[PLAZO Días]],"PAGO VENCIDO")</f>
        <v>0</v>
      </c>
      <c r="C1445" s="22">
        <f>+VLOOKUP(PROVEEDORES[[#This Row],[PROVEEDOR]],TERCEROS_INFO[#All],2,FALSE)</f>
        <v>30</v>
      </c>
      <c r="D1445" s="27">
        <f>+SUMIFS(PROVEEDORES[Total],PROVEEDORES[PROVEEDOR],PROVEEDORES[[#This Row],[PROVEEDOR]],PROVEEDORES[FECHA DE PAGO],"")</f>
        <v>479654.98979999998</v>
      </c>
      <c r="E1445" s="27"/>
      <c r="F1445" s="62" t="str">
        <f>+VLOOKUP(PROVEEDORES[[#This Row],[PROVEEDOR]],
                       Terceros!$A:$G,
                       6,
                       FALSE)</f>
        <v>ventasmegamundo@yahoo.es;girlesa.ruiz@servipilas.com;joriescobar64@gmail.com</v>
      </c>
      <c r="H1445" s="28" t="s">
        <v>1139</v>
      </c>
      <c r="I1445" s="95">
        <v>44672</v>
      </c>
      <c r="J1445" s="38">
        <v>2150</v>
      </c>
      <c r="K1445" s="23">
        <v>428571.42</v>
      </c>
      <c r="L1445" s="23"/>
      <c r="M1445" s="24">
        <f>(PROVEEDORES[[#This Row],[SUBTOTAL]]-PROVEEDORES[[#This Row],[descuento antes de IVA]])*VLOOKUP(PROVEEDORES[[#This Row],[PROVEEDOR]],TERCEROS_INFO[#All],3,FALSE)</f>
        <v>81428.569799999997</v>
      </c>
      <c r="N1445" s="25"/>
      <c r="O1445" s="24">
        <f>+PROVEEDORES[[#This Row],[Descuento sobre subtotal %]]*(PROVEEDORES[[#This Row],[SUBTOTAL]]-PROVEEDORES[[#This Row],[descuento antes de IVA]])</f>
        <v>0</v>
      </c>
      <c r="P1445" s="136">
        <f>+IF(PROVEEDORES[[#This Row],[SUBTOTAL]]&lt;PROVEEDORES[[#This Row],[base retencion]],0,PROVEEDORES[[#This Row],[retención aplicada]])</f>
        <v>0</v>
      </c>
      <c r="Q1445" s="24">
        <f>+PROVEEDORES[[#This Row],[Rete Fuente %]]*PROVEEDORES[[#This Row],[SUBTOTAL]]</f>
        <v>0</v>
      </c>
      <c r="R1445" s="23">
        <f>+PROVEEDORES[[#This Row],[SUBTOTAL]]+PROVEEDORES[[#This Row],[IVA 19%]]-PROVEEDORES[[#This Row],[descuento antes de IVA]]-PROVEEDORES[[#This Row],[Descuento sobre subtotal $]]-PROVEEDORES[[#This Row],[Rete Fuente $]]</f>
        <v>509999.98979999998</v>
      </c>
      <c r="S1445" s="1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45" s="176">
        <f ca="1">IF(PROVEEDORES[[#This Row],[FECHA DE PAGO]]=0,TODAY()-PROVEEDORES[[#This Row],[FECHA DE FACTURACIÓN]]-PROVEEDORES[[#This Row],[PLAZO Días]],0)</f>
        <v>-18</v>
      </c>
      <c r="U1445" s="178" t="str">
        <f>+VLOOKUP(PROVEEDORES[[#This Row],[PROVEEDOR]],Terceros!$A:$E,5,FALSE)</f>
        <v>2,5% con base</v>
      </c>
      <c r="V1445" s="179">
        <f>+YEAR(PROVEEDORES[[#This Row],[FECHA DE FACTURACIÓN]])</f>
        <v>2022</v>
      </c>
      <c r="W1445" s="179">
        <f>+MATCH(PROVEEDORES[[#This Row],[año facturado]],Retenciones!$1:$1,0)</f>
        <v>5</v>
      </c>
      <c r="X1445" s="184">
        <f>+VLOOKUP(PROVEEDORES[[#This Row],[ID RETENCION]],Retenciones!$A$1:$O$24,PROVEEDORES[[#This Row],[indicador de columna]],FALSE)</f>
        <v>1026000</v>
      </c>
      <c r="Y1445" s="181">
        <f>+VLOOKUP(PROVEEDORES[[#This Row],[ID RETENCION]],Retenciones!$A$1:$O$24,2,FALSE)</f>
        <v>2.5000000000000001E-2</v>
      </c>
    </row>
    <row r="1446" spans="1:25" ht="21.95" customHeight="1" x14ac:dyDescent="0.25">
      <c r="A1446" s="187" t="str">
        <f>+IF(PROVEEDORES[[#This Row],[FECHA DE PAGO]]=PROVEEDORES[[#This Row],[FECHA DE FACTURACIÓN]],"DE CONTADO","CRÉDITO")</f>
        <v>CRÉDITO</v>
      </c>
      <c r="B1446" s="41" t="b">
        <f>+IF((PROVEEDORES[[#This Row],[FECHA DE PAGO]]-PROVEEDORES[[#This Row],[FECHA DE FACTURACIÓN]])&gt;PROVEEDORES[[#This Row],[PLAZO Días]],"PAGO VENCIDO")</f>
        <v>0</v>
      </c>
      <c r="C1446" s="22">
        <f>+VLOOKUP(PROVEEDORES[[#This Row],[PROVEEDOR]],TERCEROS_INFO[#All],2,FALSE)</f>
        <v>60</v>
      </c>
      <c r="D1446" s="27">
        <f>+SUMIFS(PROVEEDORES[Total],PROVEEDORES[PROVEEDOR],PROVEEDORES[[#This Row],[PROVEEDOR]],PROVEEDORES[FECHA DE PAGO],"")</f>
        <v>11143041</v>
      </c>
      <c r="E1446" s="27"/>
      <c r="F1446" s="62">
        <f>+VLOOKUP(PROVEEDORES[[#This Row],[PROVEEDOR]],
                       Terceros!$A:$G,
                       6,
                       FALSE)</f>
        <v>0</v>
      </c>
      <c r="H1446" s="28" t="s">
        <v>507</v>
      </c>
      <c r="I1446" s="95">
        <v>44672</v>
      </c>
      <c r="J1446" s="38" t="s">
        <v>1301</v>
      </c>
      <c r="K1446" s="23">
        <v>615900</v>
      </c>
      <c r="L1446" s="23"/>
      <c r="M1446" s="24">
        <f>(PROVEEDORES[[#This Row],[SUBTOTAL]]-PROVEEDORES[[#This Row],[descuento antes de IVA]])*VLOOKUP(PROVEEDORES[[#This Row],[PROVEEDOR]],TERCEROS_INFO[#All],3,FALSE)</f>
        <v>117021</v>
      </c>
      <c r="N1446" s="25"/>
      <c r="O1446" s="24">
        <f>+PROVEEDORES[[#This Row],[Descuento sobre subtotal %]]*(PROVEEDORES[[#This Row],[SUBTOTAL]]-PROVEEDORES[[#This Row],[descuento antes de IVA]])</f>
        <v>0</v>
      </c>
      <c r="P1446" s="136">
        <f>+IF(PROVEEDORES[[#This Row],[SUBTOTAL]]&lt;PROVEEDORES[[#This Row],[base retencion]],0,PROVEEDORES[[#This Row],[retención aplicada]])</f>
        <v>0</v>
      </c>
      <c r="Q1446" s="24">
        <f>+PROVEEDORES[[#This Row],[Rete Fuente %]]*PROVEEDORES[[#This Row],[SUBTOTAL]]</f>
        <v>0</v>
      </c>
      <c r="R1446" s="23">
        <f>+PROVEEDORES[[#This Row],[SUBTOTAL]]+PROVEEDORES[[#This Row],[IVA 19%]]-PROVEEDORES[[#This Row],[descuento antes de IVA]]-PROVEEDORES[[#This Row],[Descuento sobre subtotal $]]-PROVEEDORES[[#This Row],[Rete Fuente $]]</f>
        <v>732921</v>
      </c>
      <c r="S1446" s="1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46" s="176">
        <f ca="1">IF(PROVEEDORES[[#This Row],[FECHA DE PAGO]]=0,TODAY()-PROVEEDORES[[#This Row],[FECHA DE FACTURACIÓN]]-PROVEEDORES[[#This Row],[PLAZO Días]],0)</f>
        <v>-48</v>
      </c>
      <c r="U1446" s="178">
        <f>+VLOOKUP(PROVEEDORES[[#This Row],[PROVEEDOR]],Terceros!$A:$E,5,FALSE)</f>
        <v>0</v>
      </c>
      <c r="V1446" s="179">
        <f>+YEAR(PROVEEDORES[[#This Row],[FECHA DE FACTURACIÓN]])</f>
        <v>2022</v>
      </c>
      <c r="W1446" s="179">
        <f>+MATCH(PROVEEDORES[[#This Row],[año facturado]],Retenciones!$1:$1,0)</f>
        <v>5</v>
      </c>
      <c r="X1446" s="184">
        <f>+VLOOKUP(PROVEEDORES[[#This Row],[ID RETENCION]],Retenciones!$A$1:$O$24,PROVEEDORES[[#This Row],[indicador de columna]],FALSE)</f>
        <v>0</v>
      </c>
      <c r="Y1446" s="181">
        <f>+VLOOKUP(PROVEEDORES[[#This Row],[ID RETENCION]],Retenciones!$A$1:$O$24,2,FALSE)</f>
        <v>0</v>
      </c>
    </row>
    <row r="1447" spans="1:25" ht="21.95" customHeight="1" x14ac:dyDescent="0.25">
      <c r="A1447" s="187" t="str">
        <f>+IF(PROVEEDORES[[#This Row],[FECHA DE PAGO]]=PROVEEDORES[[#This Row],[FECHA DE FACTURACIÓN]],"DE CONTADO","CRÉDITO")</f>
        <v>CRÉDITO</v>
      </c>
      <c r="B1447" s="41" t="b">
        <f>+IF((PROVEEDORES[[#This Row],[FECHA DE PAGO]]-PROVEEDORES[[#This Row],[FECHA DE FACTURACIÓN]])&gt;PROVEEDORES[[#This Row],[PLAZO Días]],"PAGO VENCIDO")</f>
        <v>0</v>
      </c>
      <c r="C1447" s="22">
        <f>+VLOOKUP(PROVEEDORES[[#This Row],[PROVEEDOR]],TERCEROS_INFO[#All],2,FALSE)</f>
        <v>30</v>
      </c>
      <c r="D1447" s="27">
        <f>+SUMIFS(PROVEEDORES[Total],PROVEEDORES[PROVEEDOR],PROVEEDORES[[#This Row],[PROVEEDOR]],PROVEEDORES[FECHA DE PAGO],"")</f>
        <v>18000</v>
      </c>
      <c r="E1447" s="27"/>
      <c r="F1447" s="62" t="str">
        <f>+VLOOKUP(PROVEEDORES[[#This Row],[PROVEEDOR]],
                       Terceros!$A:$G,
                       6,
                       FALSE)</f>
        <v/>
      </c>
      <c r="H1447" s="28" t="s">
        <v>1054</v>
      </c>
      <c r="I1447" s="95">
        <v>44674</v>
      </c>
      <c r="J1447" s="38" t="s">
        <v>1302</v>
      </c>
      <c r="K1447" s="23">
        <v>18000</v>
      </c>
      <c r="L1447" s="23"/>
      <c r="M1447" s="24">
        <f>(PROVEEDORES[[#This Row],[SUBTOTAL]]-PROVEEDORES[[#This Row],[descuento antes de IVA]])*VLOOKUP(PROVEEDORES[[#This Row],[PROVEEDOR]],TERCEROS_INFO[#All],3,FALSE)</f>
        <v>0</v>
      </c>
      <c r="N1447" s="25"/>
      <c r="O1447" s="24">
        <f>+PROVEEDORES[[#This Row],[Descuento sobre subtotal %]]*(PROVEEDORES[[#This Row],[SUBTOTAL]]-PROVEEDORES[[#This Row],[descuento antes de IVA]])</f>
        <v>0</v>
      </c>
      <c r="P1447" s="136">
        <f>+IF(PROVEEDORES[[#This Row],[SUBTOTAL]]&lt;PROVEEDORES[[#This Row],[base retencion]],0,PROVEEDORES[[#This Row],[retención aplicada]])</f>
        <v>0</v>
      </c>
      <c r="Q1447" s="24">
        <f>+PROVEEDORES[[#This Row],[Rete Fuente %]]*PROVEEDORES[[#This Row],[SUBTOTAL]]</f>
        <v>0</v>
      </c>
      <c r="R1447" s="23">
        <f>+PROVEEDORES[[#This Row],[SUBTOTAL]]+PROVEEDORES[[#This Row],[IVA 19%]]-PROVEEDORES[[#This Row],[descuento antes de IVA]]-PROVEEDORES[[#This Row],[Descuento sobre subtotal $]]-PROVEEDORES[[#This Row],[Rete Fuente $]]</f>
        <v>18000</v>
      </c>
      <c r="S1447" s="1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47" s="176">
        <f ca="1">IF(PROVEEDORES[[#This Row],[FECHA DE PAGO]]=0,TODAY()-PROVEEDORES[[#This Row],[FECHA DE FACTURACIÓN]]-PROVEEDORES[[#This Row],[PLAZO Días]],0)</f>
        <v>-20</v>
      </c>
      <c r="U1447" s="178">
        <f>+VLOOKUP(PROVEEDORES[[#This Row],[PROVEEDOR]],Terceros!$A:$E,5,FALSE)</f>
        <v>0</v>
      </c>
      <c r="V1447" s="179">
        <f>+YEAR(PROVEEDORES[[#This Row],[FECHA DE FACTURACIÓN]])</f>
        <v>2022</v>
      </c>
      <c r="W1447" s="179">
        <f>+MATCH(PROVEEDORES[[#This Row],[año facturado]],Retenciones!$1:$1,0)</f>
        <v>5</v>
      </c>
      <c r="X1447" s="184">
        <f>+VLOOKUP(PROVEEDORES[[#This Row],[ID RETENCION]],Retenciones!$A$1:$O$24,PROVEEDORES[[#This Row],[indicador de columna]],FALSE)</f>
        <v>0</v>
      </c>
      <c r="Y1447" s="181">
        <f>+VLOOKUP(PROVEEDORES[[#This Row],[ID RETENCION]],Retenciones!$A$1:$O$24,2,FALSE)</f>
        <v>0</v>
      </c>
    </row>
    <row r="1448" spans="1:25" ht="21.95" customHeight="1" x14ac:dyDescent="0.25">
      <c r="A1448" s="187" t="str">
        <f>+IF(PROVEEDORES[[#This Row],[FECHA DE PAGO]]=PROVEEDORES[[#This Row],[FECHA DE FACTURACIÓN]],"DE CONTADO","CRÉDITO")</f>
        <v>CRÉDITO</v>
      </c>
      <c r="B1448" s="41" t="b">
        <f>+IF((PROVEEDORES[[#This Row],[FECHA DE PAGO]]-PROVEEDORES[[#This Row],[FECHA DE FACTURACIÓN]])&gt;PROVEEDORES[[#This Row],[PLAZO Días]],"PAGO VENCIDO")</f>
        <v>0</v>
      </c>
      <c r="C1448" s="22">
        <f>+VLOOKUP(PROVEEDORES[[#This Row],[PROVEEDOR]],TERCEROS_INFO[#All],2,FALSE)</f>
        <v>60</v>
      </c>
      <c r="D1448" s="27">
        <f>+SUMIFS(PROVEEDORES[Total],PROVEEDORES[PROVEEDOR],PROVEEDORES[[#This Row],[PROVEEDOR]],PROVEEDORES[FECHA DE PAGO],"")</f>
        <v>758800</v>
      </c>
      <c r="E1448" s="27"/>
      <c r="F1448" s="62" t="str">
        <f>+VLOOKUP(PROVEEDORES[[#This Row],[PROVEEDOR]],
                       Terceros!$A:$G,
                       6,
                       FALSE)</f>
        <v>jessica.barios.com@carpainternacional;girlesa.ruiz@servipilas.com;joriescobar64@gmail.com</v>
      </c>
      <c r="H1448" s="132" t="s">
        <v>604</v>
      </c>
      <c r="I1448" s="197">
        <v>44676</v>
      </c>
      <c r="J1448" s="194" t="s">
        <v>1303</v>
      </c>
      <c r="K1448" s="196">
        <f>40*3900</f>
        <v>156000</v>
      </c>
      <c r="L1448" s="23"/>
      <c r="M1448" s="24">
        <f>(PROVEEDORES[[#This Row],[SUBTOTAL]]-PROVEEDORES[[#This Row],[descuento antes de IVA]])*VLOOKUP(PROVEEDORES[[#This Row],[PROVEEDOR]],TERCEROS_INFO[#All],3,FALSE)</f>
        <v>0</v>
      </c>
      <c r="N1448" s="25"/>
      <c r="O1448" s="24">
        <f>+PROVEEDORES[[#This Row],[Descuento sobre subtotal %]]*(PROVEEDORES[[#This Row],[SUBTOTAL]]-PROVEEDORES[[#This Row],[descuento antes de IVA]])</f>
        <v>0</v>
      </c>
      <c r="P1448" s="136">
        <f>+IF(PROVEEDORES[[#This Row],[SUBTOTAL]]&lt;PROVEEDORES[[#This Row],[base retencion]],0,PROVEEDORES[[#This Row],[retención aplicada]])</f>
        <v>0</v>
      </c>
      <c r="Q1448" s="24">
        <f>+PROVEEDORES[[#This Row],[Rete Fuente %]]*PROVEEDORES[[#This Row],[SUBTOTAL]]</f>
        <v>0</v>
      </c>
      <c r="R1448" s="23">
        <f>+PROVEEDORES[[#This Row],[SUBTOTAL]]+PROVEEDORES[[#This Row],[IVA 19%]]-PROVEEDORES[[#This Row],[descuento antes de IVA]]-PROVEEDORES[[#This Row],[Descuento sobre subtotal $]]-PROVEEDORES[[#This Row],[Rete Fuente $]]</f>
        <v>156000</v>
      </c>
      <c r="S1448" s="1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48" s="176">
        <f ca="1">IF(PROVEEDORES[[#This Row],[FECHA DE PAGO]]=0,TODAY()-PROVEEDORES[[#This Row],[FECHA DE FACTURACIÓN]]-PROVEEDORES[[#This Row],[PLAZO Días]],0)</f>
        <v>-52</v>
      </c>
      <c r="U1448" s="178">
        <f>+VLOOKUP(PROVEEDORES[[#This Row],[PROVEEDOR]],Terceros!$A:$E,5,FALSE)</f>
        <v>0</v>
      </c>
      <c r="V1448" s="179">
        <f>+YEAR(PROVEEDORES[[#This Row],[FECHA DE FACTURACIÓN]])</f>
        <v>2022</v>
      </c>
      <c r="W1448" s="179">
        <f>+MATCH(PROVEEDORES[[#This Row],[año facturado]],Retenciones!$1:$1,0)</f>
        <v>5</v>
      </c>
      <c r="X1448" s="184">
        <f>+VLOOKUP(PROVEEDORES[[#This Row],[ID RETENCION]],Retenciones!$A$1:$O$24,PROVEEDORES[[#This Row],[indicador de columna]],FALSE)</f>
        <v>0</v>
      </c>
      <c r="Y1448" s="181">
        <f>+VLOOKUP(PROVEEDORES[[#This Row],[ID RETENCION]],Retenciones!$A$1:$O$24,2,FALSE)</f>
        <v>0</v>
      </c>
    </row>
    <row r="1449" spans="1:25" ht="21.95" customHeight="1" x14ac:dyDescent="0.25">
      <c r="A1449" s="187" t="str">
        <f>+IF(PROVEEDORES[[#This Row],[FECHA DE PAGO]]=PROVEEDORES[[#This Row],[FECHA DE FACTURACIÓN]],"DE CONTADO","CRÉDITO")</f>
        <v>CRÉDITO</v>
      </c>
      <c r="B1449" s="41" t="b">
        <f>+IF((PROVEEDORES[[#This Row],[FECHA DE PAGO]]-PROVEEDORES[[#This Row],[FECHA DE FACTURACIÓN]])&gt;PROVEEDORES[[#This Row],[PLAZO Días]],"PAGO VENCIDO")</f>
        <v>0</v>
      </c>
      <c r="C1449" s="22">
        <f>+VLOOKUP(PROVEEDORES[[#This Row],[PROVEEDOR]],TERCEROS_INFO[#All],2,FALSE)</f>
        <v>30</v>
      </c>
      <c r="D1449" s="27">
        <f>+SUMIFS(PROVEEDORES[Total],PROVEEDORES[PROVEEDOR],PROVEEDORES[[#This Row],[PROVEEDOR]],PROVEEDORES[FECHA DE PAGO],"")</f>
        <v>0</v>
      </c>
      <c r="E1449" s="27"/>
      <c r="F1449" s="62" t="str">
        <f>+VLOOKUP(PROVEEDORES[[#This Row],[PROVEEDOR]],
                       Terceros!$A:$G,
                       6,
                       FALSE)</f>
        <v>girlesa.ruiz@servipilas.com;joriescobar64@gmail.com</v>
      </c>
      <c r="G1449" s="95">
        <v>44678</v>
      </c>
      <c r="H1449" s="28" t="s">
        <v>336</v>
      </c>
      <c r="I1449" s="95">
        <v>44652</v>
      </c>
      <c r="J1449" s="38" t="s">
        <v>1309</v>
      </c>
      <c r="K1449" s="23">
        <v>3958317</v>
      </c>
      <c r="L1449" s="23"/>
      <c r="M1449" s="24">
        <f>(PROVEEDORES[[#This Row],[SUBTOTAL]]-PROVEEDORES[[#This Row],[descuento antes de IVA]])*VLOOKUP(PROVEEDORES[[#This Row],[PROVEEDOR]],TERCEROS_INFO[#All],3,FALSE)</f>
        <v>0</v>
      </c>
      <c r="N1449" s="25"/>
      <c r="O1449" s="24">
        <f>+PROVEEDORES[[#This Row],[Descuento sobre subtotal %]]*(PROVEEDORES[[#This Row],[SUBTOTAL]]-PROVEEDORES[[#This Row],[descuento antes de IVA]])</f>
        <v>0</v>
      </c>
      <c r="P1449" s="136">
        <f>+IF(PROVEEDORES[[#This Row],[SUBTOTAL]]&lt;PROVEEDORES[[#This Row],[base retencion]],0,PROVEEDORES[[#This Row],[retención aplicada]])</f>
        <v>3.5000000000000003E-2</v>
      </c>
      <c r="Q1449" s="24">
        <f>+PROVEEDORES[[#This Row],[Rete Fuente %]]*PROVEEDORES[[#This Row],[SUBTOTAL]]</f>
        <v>138541.095</v>
      </c>
      <c r="R1449" s="23">
        <f>+PROVEEDORES[[#This Row],[SUBTOTAL]]+PROVEEDORES[[#This Row],[IVA 19%]]-PROVEEDORES[[#This Row],[descuento antes de IVA]]-PROVEEDORES[[#This Row],[Descuento sobre subtotal $]]-PROVEEDORES[[#This Row],[Rete Fuente $]]</f>
        <v>3819775.9049999998</v>
      </c>
      <c r="S1449" s="1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9" s="176">
        <f ca="1">IF(PROVEEDORES[[#This Row],[FECHA DE PAGO]]=0,TODAY()-PROVEEDORES[[#This Row],[FECHA DE FACTURACIÓN]]-PROVEEDORES[[#This Row],[PLAZO Días]],0)</f>
        <v>0</v>
      </c>
      <c r="U1449" s="178" t="str">
        <f>+VLOOKUP(PROVEEDORES[[#This Row],[PROVEEDOR]],Terceros!$A:$E,5,FALSE)</f>
        <v>3,5% sin base</v>
      </c>
      <c r="V1449" s="179">
        <f>+YEAR(PROVEEDORES[[#This Row],[FECHA DE FACTURACIÓN]])</f>
        <v>2022</v>
      </c>
      <c r="W1449" s="179">
        <f>+MATCH(PROVEEDORES[[#This Row],[año facturado]],Retenciones!$1:$1,0)</f>
        <v>5</v>
      </c>
      <c r="X1449" s="184">
        <f>+VLOOKUP(PROVEEDORES[[#This Row],[ID RETENCION]],Retenciones!$A$1:$O$24,PROVEEDORES[[#This Row],[indicador de columna]],FALSE)</f>
        <v>0</v>
      </c>
      <c r="Y1449" s="181">
        <f>+VLOOKUP(PROVEEDORES[[#This Row],[ID RETENCION]],Retenciones!$A$1:$O$24,2,FALSE)</f>
        <v>3.5000000000000003E-2</v>
      </c>
    </row>
    <row r="1450" spans="1:25" ht="21.95" customHeight="1" x14ac:dyDescent="0.25">
      <c r="A1450" s="202" t="str">
        <f>+IF(PROVEEDORES[[#This Row],[FECHA DE PAGO]]=PROVEEDORES[[#This Row],[FECHA DE FACTURACIÓN]],"DE CONTADO","CRÉDITO")</f>
        <v>CRÉDITO</v>
      </c>
      <c r="B1450" s="41" t="str">
        <f>+IF((PROVEEDORES[[#This Row],[FECHA DE PAGO]]-PROVEEDORES[[#This Row],[FECHA DE FACTURACIÓN]])&gt;PROVEEDORES[[#This Row],[PLAZO Días]],"PAGO VENCIDO")</f>
        <v>PAGO VENCIDO</v>
      </c>
      <c r="C1450" s="22">
        <f>+VLOOKUP(PROVEEDORES[[#This Row],[PROVEEDOR]],TERCEROS_INFO[#All],2,FALSE)</f>
        <v>30</v>
      </c>
      <c r="D1450" s="27">
        <f>+SUMIFS(PROVEEDORES[Total],PROVEEDORES[PROVEEDOR],PROVEEDORES[[#This Row],[PROVEEDOR]],PROVEEDORES[FECHA DE PAGO],"")</f>
        <v>2588352.5</v>
      </c>
      <c r="E1450" s="27"/>
      <c r="F1450" s="62" t="str">
        <f>+VLOOKUP(PROVEEDORES[[#This Row],[PROVEEDOR]],
                       Terceros!$A:$G,
                       6,
                       FALSE)</f>
        <v>financiera@nalpicentral.com;girlesa.ruiz@servipilas.com;joriescobar64@gmail.com</v>
      </c>
      <c r="G1450" s="95">
        <v>44684</v>
      </c>
      <c r="H1450" s="28" t="s">
        <v>1088</v>
      </c>
      <c r="I1450" s="95">
        <v>44614</v>
      </c>
      <c r="J1450" s="38">
        <v>53415</v>
      </c>
      <c r="K1450" s="23">
        <v>0</v>
      </c>
      <c r="L1450" s="23"/>
      <c r="M1450" s="24">
        <f>(PROVEEDORES[[#This Row],[SUBTOTAL]]-PROVEEDORES[[#This Row],[descuento antes de IVA]])*VLOOKUP(PROVEEDORES[[#This Row],[PROVEEDOR]],TERCEROS_INFO[#All],3,FALSE)</f>
        <v>0</v>
      </c>
      <c r="N1450" s="25"/>
      <c r="O1450" s="24">
        <f>+PROVEEDORES[[#This Row],[Descuento sobre subtotal %]]*(PROVEEDORES[[#This Row],[SUBTOTAL]]-PROVEEDORES[[#This Row],[descuento antes de IVA]])</f>
        <v>0</v>
      </c>
      <c r="P1450" s="136">
        <f>+IF(PROVEEDORES[[#This Row],[SUBTOTAL]]&lt;PROVEEDORES[[#This Row],[base retencion]],0,PROVEEDORES[[#This Row],[retención aplicada]])</f>
        <v>0</v>
      </c>
      <c r="Q1450" s="24">
        <f>+PROVEEDORES[[#This Row],[Rete Fuente %]]*PROVEEDORES[[#This Row],[SUBTOTAL]]</f>
        <v>0</v>
      </c>
      <c r="R1450" s="23">
        <v>-66594</v>
      </c>
      <c r="S1450" s="2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0" s="176">
        <f ca="1">IF(PROVEEDORES[[#This Row],[FECHA DE PAGO]]=0,TODAY()-PROVEEDORES[[#This Row],[FECHA DE FACTURACIÓN]]-PROVEEDORES[[#This Row],[PLAZO Días]],0)</f>
        <v>0</v>
      </c>
      <c r="U1450" s="178" t="str">
        <f>+VLOOKUP(PROVEEDORES[[#This Row],[PROVEEDOR]],Terceros!$A:$E,5,FALSE)</f>
        <v>2,5% con base</v>
      </c>
      <c r="V1450" s="179">
        <f>+YEAR(PROVEEDORES[[#This Row],[FECHA DE FACTURACIÓN]])</f>
        <v>2022</v>
      </c>
      <c r="W1450" s="179">
        <f>+MATCH(PROVEEDORES[[#This Row],[año facturado]],Retenciones!$1:$1,0)</f>
        <v>5</v>
      </c>
      <c r="X1450" s="184">
        <f>+VLOOKUP(PROVEEDORES[[#This Row],[ID RETENCION]],Retenciones!$A$1:$O$24,PROVEEDORES[[#This Row],[indicador de columna]],FALSE)</f>
        <v>1026000</v>
      </c>
      <c r="Y1450" s="181">
        <f>+VLOOKUP(PROVEEDORES[[#This Row],[ID RETENCION]],Retenciones!$A$1:$O$24,2,FALSE)</f>
        <v>2.5000000000000001E-2</v>
      </c>
    </row>
    <row r="1451" spans="1:25" ht="21.95" customHeight="1" x14ac:dyDescent="0.25">
      <c r="A1451" s="202" t="str">
        <f>+IF(PROVEEDORES[[#This Row],[FECHA DE PAGO]]=PROVEEDORES[[#This Row],[FECHA DE FACTURACIÓN]],"DE CONTADO","CRÉDITO")</f>
        <v>DE CONTADO</v>
      </c>
      <c r="B1451" s="41" t="b">
        <f>+IF((PROVEEDORES[[#This Row],[FECHA DE PAGO]]-PROVEEDORES[[#This Row],[FECHA DE FACTURACIÓN]])&gt;PROVEEDORES[[#This Row],[PLAZO Días]],"PAGO VENCIDO")</f>
        <v>0</v>
      </c>
      <c r="C1451" s="22">
        <f>+VLOOKUP(PROVEEDORES[[#This Row],[PROVEEDOR]],TERCEROS_INFO[#All],2,FALSE)</f>
        <v>30</v>
      </c>
      <c r="D1451" s="27">
        <f>+SUMIFS(PROVEEDORES[Total],PROVEEDORES[PROVEEDOR],PROVEEDORES[[#This Row],[PROVEEDOR]],PROVEEDORES[FECHA DE PAGO],"")</f>
        <v>0</v>
      </c>
      <c r="E1451" s="27"/>
      <c r="F1451" s="62" t="str">
        <f>+VLOOKUP(PROVEEDORES[[#This Row],[PROVEEDOR]],
                       Terceros!$A:$G,
                       6,
                       FALSE)</f>
        <v>girlesa.ruiz@servipilas.com;joriescobar64@gmail.com</v>
      </c>
      <c r="G1451" s="95">
        <v>44682</v>
      </c>
      <c r="H1451" s="28" t="s">
        <v>336</v>
      </c>
      <c r="I1451" s="95">
        <v>44682</v>
      </c>
      <c r="J1451" s="38"/>
      <c r="K1451" s="23">
        <v>3958317</v>
      </c>
      <c r="L1451" s="23"/>
      <c r="M1451" s="24">
        <f>(PROVEEDORES[[#This Row],[SUBTOTAL]]-PROVEEDORES[[#This Row],[descuento antes de IVA]])*VLOOKUP(PROVEEDORES[[#This Row],[PROVEEDOR]],TERCEROS_INFO[#All],3,FALSE)</f>
        <v>0</v>
      </c>
      <c r="N1451" s="25"/>
      <c r="O1451" s="24">
        <f>+PROVEEDORES[[#This Row],[Descuento sobre subtotal %]]*(PROVEEDORES[[#This Row],[SUBTOTAL]]-PROVEEDORES[[#This Row],[descuento antes de IVA]])</f>
        <v>0</v>
      </c>
      <c r="P1451" s="136">
        <f>+IF(PROVEEDORES[[#This Row],[SUBTOTAL]]&lt;PROVEEDORES[[#This Row],[base retencion]],0,PROVEEDORES[[#This Row],[retención aplicada]])</f>
        <v>3.5000000000000003E-2</v>
      </c>
      <c r="Q1451" s="24">
        <f>+PROVEEDORES[[#This Row],[Rete Fuente %]]*PROVEEDORES[[#This Row],[SUBTOTAL]]</f>
        <v>138541.095</v>
      </c>
      <c r="R1451" s="23">
        <f>+PROVEEDORES[[#This Row],[SUBTOTAL]]+PROVEEDORES[[#This Row],[IVA 19%]]-PROVEEDORES[[#This Row],[descuento antes de IVA]]-PROVEEDORES[[#This Row],[Descuento sobre subtotal $]]-PROVEEDORES[[#This Row],[Rete Fuente $]]</f>
        <v>3819775.9049999998</v>
      </c>
      <c r="S1451" s="2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1" s="176">
        <f ca="1">IF(PROVEEDORES[[#This Row],[FECHA DE PAGO]]=0,TODAY()-PROVEEDORES[[#This Row],[FECHA DE FACTURACIÓN]]-PROVEEDORES[[#This Row],[PLAZO Días]],0)</f>
        <v>0</v>
      </c>
      <c r="U1451" s="178" t="str">
        <f>+VLOOKUP(PROVEEDORES[[#This Row],[PROVEEDOR]],Terceros!$A:$E,5,FALSE)</f>
        <v>3,5% sin base</v>
      </c>
      <c r="V1451" s="179">
        <f>+YEAR(PROVEEDORES[[#This Row],[FECHA DE FACTURACIÓN]])</f>
        <v>2022</v>
      </c>
      <c r="W1451" s="179">
        <f>+MATCH(PROVEEDORES[[#This Row],[año facturado]],Retenciones!$1:$1,0)</f>
        <v>5</v>
      </c>
      <c r="X1451" s="184">
        <f>+VLOOKUP(PROVEEDORES[[#This Row],[ID RETENCION]],Retenciones!$A$1:$O$24,PROVEEDORES[[#This Row],[indicador de columna]],FALSE)</f>
        <v>0</v>
      </c>
      <c r="Y1451" s="181">
        <f>+VLOOKUP(PROVEEDORES[[#This Row],[ID RETENCION]],Retenciones!$A$1:$O$24,2,FALSE)</f>
        <v>3.5000000000000003E-2</v>
      </c>
    </row>
    <row r="1452" spans="1:25" ht="21.95" customHeight="1" x14ac:dyDescent="0.25">
      <c r="A1452" s="202" t="str">
        <f>+IF(PROVEEDORES[[#This Row],[FECHA DE PAGO]]=PROVEEDORES[[#This Row],[FECHA DE FACTURACIÓN]],"DE CONTADO","CRÉDITO")</f>
        <v>DE CONTADO</v>
      </c>
      <c r="B1452" s="41" t="b">
        <f>+IF((PROVEEDORES[[#This Row],[FECHA DE PAGO]]-PROVEEDORES[[#This Row],[FECHA DE FACTURACIÓN]])&gt;PROVEEDORES[[#This Row],[PLAZO Días]],"PAGO VENCIDO")</f>
        <v>0</v>
      </c>
      <c r="C1452" s="22">
        <f>+VLOOKUP(PROVEEDORES[[#This Row],[PROVEEDOR]],TERCEROS_INFO[#All],2,FALSE)</f>
        <v>30</v>
      </c>
      <c r="D1452" s="27">
        <f>+SUMIFS(PROVEEDORES[Total],PROVEEDORES[PROVEEDOR],PROVEEDORES[[#This Row],[PROVEEDOR]],PROVEEDORES[FECHA DE PAGO],"")</f>
        <v>0</v>
      </c>
      <c r="E1452" s="27"/>
      <c r="F1452" s="62" t="str">
        <f>+VLOOKUP(PROVEEDORES[[#This Row],[PROVEEDOR]],
                       Terceros!$A:$G,
                       6,
                       FALSE)</f>
        <v/>
      </c>
      <c r="G1452" s="95">
        <v>44680</v>
      </c>
      <c r="H1452" s="28" t="s">
        <v>1031</v>
      </c>
      <c r="I1452" s="95">
        <v>44680</v>
      </c>
      <c r="J1452" s="38" t="s">
        <v>1310</v>
      </c>
      <c r="K1452" s="23">
        <v>1300000</v>
      </c>
      <c r="L1452" s="23"/>
      <c r="M1452" s="24">
        <f>(PROVEEDORES[[#This Row],[SUBTOTAL]]-PROVEEDORES[[#This Row],[descuento antes de IVA]])*VLOOKUP(PROVEEDORES[[#This Row],[PROVEEDOR]],TERCEROS_INFO[#All],3,FALSE)</f>
        <v>0</v>
      </c>
      <c r="N1452" s="25"/>
      <c r="O1452" s="24">
        <f>+PROVEEDORES[[#This Row],[Descuento sobre subtotal %]]*(PROVEEDORES[[#This Row],[SUBTOTAL]]-PROVEEDORES[[#This Row],[descuento antes de IVA]])</f>
        <v>0</v>
      </c>
      <c r="P1452" s="136">
        <f>+IF(PROVEEDORES[[#This Row],[SUBTOTAL]]&lt;PROVEEDORES[[#This Row],[base retencion]],0,PROVEEDORES[[#This Row],[retención aplicada]])</f>
        <v>0</v>
      </c>
      <c r="Q1452" s="24">
        <f>+PROVEEDORES[[#This Row],[Rete Fuente %]]*PROVEEDORES[[#This Row],[SUBTOTAL]]</f>
        <v>0</v>
      </c>
      <c r="R1452" s="23">
        <f>+PROVEEDORES[[#This Row],[SUBTOTAL]]+PROVEEDORES[[#This Row],[IVA 19%]]-PROVEEDORES[[#This Row],[descuento antes de IVA]]-PROVEEDORES[[#This Row],[Descuento sobre subtotal $]]-PROVEEDORES[[#This Row],[Rete Fuente $]]</f>
        <v>1300000</v>
      </c>
      <c r="S1452" s="2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2" s="176">
        <f ca="1">IF(PROVEEDORES[[#This Row],[FECHA DE PAGO]]=0,TODAY()-PROVEEDORES[[#This Row],[FECHA DE FACTURACIÓN]]-PROVEEDORES[[#This Row],[PLAZO Días]],0)</f>
        <v>0</v>
      </c>
      <c r="U1452" s="178">
        <f>+VLOOKUP(PROVEEDORES[[#This Row],[PROVEEDOR]],Terceros!$A:$E,5,FALSE)</f>
        <v>0</v>
      </c>
      <c r="V1452" s="179">
        <f>+YEAR(PROVEEDORES[[#This Row],[FECHA DE FACTURACIÓN]])</f>
        <v>2022</v>
      </c>
      <c r="W1452" s="179">
        <f>+MATCH(PROVEEDORES[[#This Row],[año facturado]],Retenciones!$1:$1,0)</f>
        <v>5</v>
      </c>
      <c r="X1452" s="184">
        <f>+VLOOKUP(PROVEEDORES[[#This Row],[ID RETENCION]],Retenciones!$A$1:$O$24,PROVEEDORES[[#This Row],[indicador de columna]],FALSE)</f>
        <v>0</v>
      </c>
      <c r="Y1452" s="181">
        <f>+VLOOKUP(PROVEEDORES[[#This Row],[ID RETENCION]],Retenciones!$A$1:$O$24,2,FALSE)</f>
        <v>0</v>
      </c>
    </row>
    <row r="1453" spans="1:25" ht="21.95" customHeight="1" x14ac:dyDescent="0.25">
      <c r="A1453" s="202" t="str">
        <f>+IF(PROVEEDORES[[#This Row],[FECHA DE PAGO]]=PROVEEDORES[[#This Row],[FECHA DE FACTURACIÓN]],"DE CONTADO","CRÉDITO")</f>
        <v>CRÉDITO</v>
      </c>
      <c r="B1453" s="41" t="b">
        <f>+IF((PROVEEDORES[[#This Row],[FECHA DE PAGO]]-PROVEEDORES[[#This Row],[FECHA DE FACTURACIÓN]])&gt;PROVEEDORES[[#This Row],[PLAZO Días]],"PAGO VENCIDO")</f>
        <v>0</v>
      </c>
      <c r="C1453" s="22">
        <f>+VLOOKUP(PROVEEDORES[[#This Row],[PROVEEDOR]],TERCEROS_INFO[#All],2,FALSE)</f>
        <v>13</v>
      </c>
      <c r="D1453" s="27">
        <f>+SUMIFS(PROVEEDORES[Total],PROVEEDORES[PROVEEDOR],PROVEEDORES[[#This Row],[PROVEEDOR]],PROVEEDORES[FECHA DE PAGO],"")</f>
        <v>2130283</v>
      </c>
      <c r="E1453" s="27"/>
      <c r="F1453" s="62">
        <f>+VLOOKUP(PROVEEDORES[[#This Row],[PROVEEDOR]],
                       Terceros!$A:$G,
                       6,
                       FALSE)</f>
        <v>0</v>
      </c>
      <c r="H1453" s="28" t="s">
        <v>326</v>
      </c>
      <c r="I1453" s="95">
        <v>44682</v>
      </c>
      <c r="J1453" s="38" t="s">
        <v>328</v>
      </c>
      <c r="K1453" s="23">
        <v>414178</v>
      </c>
      <c r="L1453" s="23"/>
      <c r="M1453" s="24">
        <f>(PROVEEDORES[[#This Row],[SUBTOTAL]]-PROVEEDORES[[#This Row],[descuento antes de IVA]])*VLOOKUP(PROVEEDORES[[#This Row],[PROVEEDOR]],TERCEROS_INFO[#All],3,FALSE)</f>
        <v>0</v>
      </c>
      <c r="N1453" s="25"/>
      <c r="O1453" s="24">
        <f>+PROVEEDORES[[#This Row],[Descuento sobre subtotal %]]*(PROVEEDORES[[#This Row],[SUBTOTAL]]-PROVEEDORES[[#This Row],[descuento antes de IVA]])</f>
        <v>0</v>
      </c>
      <c r="P1453" s="136">
        <f>+IF(PROVEEDORES[[#This Row],[SUBTOTAL]]&lt;PROVEEDORES[[#This Row],[base retencion]],0,PROVEEDORES[[#This Row],[retención aplicada]])</f>
        <v>0</v>
      </c>
      <c r="Q1453" s="24">
        <f>+PROVEEDORES[[#This Row],[Rete Fuente %]]*PROVEEDORES[[#This Row],[SUBTOTAL]]</f>
        <v>0</v>
      </c>
      <c r="R1453" s="23">
        <f>+PROVEEDORES[[#This Row],[SUBTOTAL]]+PROVEEDORES[[#This Row],[IVA 19%]]-PROVEEDORES[[#This Row],[descuento antes de IVA]]-PROVEEDORES[[#This Row],[Descuento sobre subtotal $]]-PROVEEDORES[[#This Row],[Rete Fuente $]]</f>
        <v>414178</v>
      </c>
      <c r="S1453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53" s="176">
        <f ca="1">IF(PROVEEDORES[[#This Row],[FECHA DE PAGO]]=0,TODAY()-PROVEEDORES[[#This Row],[FECHA DE FACTURACIÓN]]-PROVEEDORES[[#This Row],[PLAZO Días]],0)</f>
        <v>-11</v>
      </c>
      <c r="U1453" s="178">
        <f>+VLOOKUP(PROVEEDORES[[#This Row],[PROVEEDOR]],Terceros!$A:$E,5,FALSE)</f>
        <v>0</v>
      </c>
      <c r="V1453" s="179">
        <f>+YEAR(PROVEEDORES[[#This Row],[FECHA DE FACTURACIÓN]])</f>
        <v>2022</v>
      </c>
      <c r="W1453" s="179">
        <f>+MATCH(PROVEEDORES[[#This Row],[año facturado]],Retenciones!$1:$1,0)</f>
        <v>5</v>
      </c>
      <c r="X1453" s="184">
        <f>+VLOOKUP(PROVEEDORES[[#This Row],[ID RETENCION]],Retenciones!$A$1:$O$24,PROVEEDORES[[#This Row],[indicador de columna]],FALSE)</f>
        <v>0</v>
      </c>
      <c r="Y1453" s="181">
        <f>+VLOOKUP(PROVEEDORES[[#This Row],[ID RETENCION]],Retenciones!$A$1:$O$24,2,FALSE)</f>
        <v>0</v>
      </c>
    </row>
    <row r="1454" spans="1:25" ht="21.95" customHeight="1" x14ac:dyDescent="0.25">
      <c r="A1454" s="202" t="str">
        <f>+IF(PROVEEDORES[[#This Row],[FECHA DE PAGO]]=PROVEEDORES[[#This Row],[FECHA DE FACTURACIÓN]],"DE CONTADO","CRÉDITO")</f>
        <v>CRÉDITO</v>
      </c>
      <c r="B1454" s="41" t="b">
        <f>+IF((PROVEEDORES[[#This Row],[FECHA DE PAGO]]-PROVEEDORES[[#This Row],[FECHA DE FACTURACIÓN]])&gt;PROVEEDORES[[#This Row],[PLAZO Días]],"PAGO VENCIDO")</f>
        <v>0</v>
      </c>
      <c r="C1454" s="22">
        <v>12</v>
      </c>
      <c r="D1454" s="27">
        <f>+SUMIFS(PROVEEDORES[Total],PROVEEDORES[PROVEEDOR],PROVEEDORES[[#This Row],[PROVEEDOR]],PROVEEDORES[FECHA DE PAGO],"")</f>
        <v>6466720</v>
      </c>
      <c r="E1454" s="27"/>
      <c r="F1454" s="62" t="str">
        <f>+VLOOKUP(PROVEEDORES[[#This Row],[PROVEEDOR]],
                       Terceros!$A:$G,
                       6,
                       FALSE)</f>
        <v>PSE</v>
      </c>
      <c r="H1454" s="28" t="s">
        <v>369</v>
      </c>
      <c r="I1454" s="95">
        <v>44682</v>
      </c>
      <c r="J1454" s="38" t="s">
        <v>1311</v>
      </c>
      <c r="K1454" s="23">
        <v>6445820</v>
      </c>
      <c r="L1454" s="23"/>
      <c r="M1454" s="24">
        <v>20900</v>
      </c>
      <c r="N1454" s="25"/>
      <c r="O1454" s="24">
        <f>+PROVEEDORES[[#This Row],[Descuento sobre subtotal %]]*(PROVEEDORES[[#This Row],[SUBTOTAL]]-PROVEEDORES[[#This Row],[descuento antes de IVA]])</f>
        <v>0</v>
      </c>
      <c r="P1454" s="136">
        <f>+IF(PROVEEDORES[[#This Row],[SUBTOTAL]]&lt;PROVEEDORES[[#This Row],[base retencion]],0,PROVEEDORES[[#This Row],[retención aplicada]])</f>
        <v>0</v>
      </c>
      <c r="Q1454" s="24">
        <f>+PROVEEDORES[[#This Row],[Rete Fuente %]]*PROVEEDORES[[#This Row],[SUBTOTAL]]</f>
        <v>0</v>
      </c>
      <c r="R1454" s="23">
        <f>+PROVEEDORES[[#This Row],[SUBTOTAL]]+PROVEEDORES[[#This Row],[IVA 19%]]-PROVEEDORES[[#This Row],[descuento antes de IVA]]-PROVEEDORES[[#This Row],[Descuento sobre subtotal $]]-PROVEEDORES[[#This Row],[Rete Fuente $]]</f>
        <v>6466720</v>
      </c>
      <c r="S1454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54" s="176">
        <f ca="1">IF(PROVEEDORES[[#This Row],[FECHA DE PAGO]]=0,TODAY()-PROVEEDORES[[#This Row],[FECHA DE FACTURACIÓN]]-PROVEEDORES[[#This Row],[PLAZO Días]],0)</f>
        <v>-10</v>
      </c>
      <c r="U1454" s="178">
        <f>+VLOOKUP(PROVEEDORES[[#This Row],[PROVEEDOR]],Terceros!$A:$E,5,FALSE)</f>
        <v>0</v>
      </c>
      <c r="V1454" s="179">
        <f>+YEAR(PROVEEDORES[[#This Row],[FECHA DE FACTURACIÓN]])</f>
        <v>2022</v>
      </c>
      <c r="W1454" s="179">
        <f>+MATCH(PROVEEDORES[[#This Row],[año facturado]],Retenciones!$1:$1,0)</f>
        <v>5</v>
      </c>
      <c r="X1454" s="184">
        <f>+VLOOKUP(PROVEEDORES[[#This Row],[ID RETENCION]],Retenciones!$A$1:$O$24,PROVEEDORES[[#This Row],[indicador de columna]],FALSE)</f>
        <v>0</v>
      </c>
      <c r="Y1454" s="181">
        <f>+VLOOKUP(PROVEEDORES[[#This Row],[ID RETENCION]],Retenciones!$A$1:$O$24,2,FALSE)</f>
        <v>0</v>
      </c>
    </row>
    <row r="1455" spans="1:25" ht="21.95" customHeight="1" x14ac:dyDescent="0.25">
      <c r="A1455" s="202" t="str">
        <f>+IF(PROVEEDORES[[#This Row],[FECHA DE PAGO]]=PROVEEDORES[[#This Row],[FECHA DE FACTURACIÓN]],"DE CONTADO","CRÉDITO")</f>
        <v>CRÉDITO</v>
      </c>
      <c r="B1455" s="41" t="b">
        <f>+IF((PROVEEDORES[[#This Row],[FECHA DE PAGO]]-PROVEEDORES[[#This Row],[FECHA DE FACTURACIÓN]])&gt;PROVEEDORES[[#This Row],[PLAZO Días]],"PAGO VENCIDO")</f>
        <v>0</v>
      </c>
      <c r="C1455" s="22">
        <f>+VLOOKUP(PROVEEDORES[[#This Row],[PROVEEDOR]],TERCEROS_INFO[#All],2,FALSE)</f>
        <v>30</v>
      </c>
      <c r="D1455" s="27">
        <f>+SUMIFS(PROVEEDORES[Total],PROVEEDORES[PROVEEDOR],PROVEEDORES[[#This Row],[PROVEEDOR]],PROVEEDORES[FECHA DE PAGO],"")</f>
        <v>248736.18000000002</v>
      </c>
      <c r="E1455" s="27"/>
      <c r="F1455" s="62" t="str">
        <f>+VLOOKUP(PROVEEDORES[[#This Row],[PROVEEDOR]],
                       Terceros!$A:$G,
                       6,
                       FALSE)</f>
        <v>administracion@sapian.com.co;girlesa.ruiz@servipilas.com;joriescobar64@gmail.com</v>
      </c>
      <c r="H1455" s="28" t="s">
        <v>343</v>
      </c>
      <c r="I1455" s="95">
        <v>44682</v>
      </c>
      <c r="J1455" s="38">
        <v>4923</v>
      </c>
      <c r="K1455" s="23">
        <v>215356</v>
      </c>
      <c r="L1455" s="23"/>
      <c r="M1455" s="24">
        <f>(PROVEEDORES[[#This Row],[SUBTOTAL]]-PROVEEDORES[[#This Row],[descuento antes de IVA]])*VLOOKUP(PROVEEDORES[[#This Row],[PROVEEDOR]],TERCEROS_INFO[#All],3,FALSE)</f>
        <v>40917.64</v>
      </c>
      <c r="N1455" s="25"/>
      <c r="O1455" s="24">
        <f>+PROVEEDORES[[#This Row],[Descuento sobre subtotal %]]*(PROVEEDORES[[#This Row],[SUBTOTAL]]-PROVEEDORES[[#This Row],[descuento antes de IVA]])</f>
        <v>0</v>
      </c>
      <c r="P1455" s="136">
        <f>+IF(PROVEEDORES[[#This Row],[SUBTOTAL]]&lt;PROVEEDORES[[#This Row],[base retencion]],0,PROVEEDORES[[#This Row],[retención aplicada]])</f>
        <v>3.5000000000000003E-2</v>
      </c>
      <c r="Q1455" s="24">
        <f>+PROVEEDORES[[#This Row],[Rete Fuente %]]*PROVEEDORES[[#This Row],[SUBTOTAL]]</f>
        <v>7537.4600000000009</v>
      </c>
      <c r="R1455" s="23">
        <f>+PROVEEDORES[[#This Row],[SUBTOTAL]]+PROVEEDORES[[#This Row],[IVA 19%]]-PROVEEDORES[[#This Row],[descuento antes de IVA]]-PROVEEDORES[[#This Row],[Descuento sobre subtotal $]]-PROVEEDORES[[#This Row],[Rete Fuente $]]</f>
        <v>248736.18000000002</v>
      </c>
      <c r="S1455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55" s="176">
        <f ca="1">IF(PROVEEDORES[[#This Row],[FECHA DE PAGO]]=0,TODAY()-PROVEEDORES[[#This Row],[FECHA DE FACTURACIÓN]]-PROVEEDORES[[#This Row],[PLAZO Días]],0)</f>
        <v>-28</v>
      </c>
      <c r="U1455" s="178" t="str">
        <f>+VLOOKUP(PROVEEDORES[[#This Row],[PROVEEDOR]],Terceros!$A:$E,5,FALSE)</f>
        <v>3,5% sin base</v>
      </c>
      <c r="V1455" s="179">
        <f>+YEAR(PROVEEDORES[[#This Row],[FECHA DE FACTURACIÓN]])</f>
        <v>2022</v>
      </c>
      <c r="W1455" s="179">
        <f>+MATCH(PROVEEDORES[[#This Row],[año facturado]],Retenciones!$1:$1,0)</f>
        <v>5</v>
      </c>
      <c r="X1455" s="184">
        <f>+VLOOKUP(PROVEEDORES[[#This Row],[ID RETENCION]],Retenciones!$A$1:$O$24,PROVEEDORES[[#This Row],[indicador de columna]],FALSE)</f>
        <v>0</v>
      </c>
      <c r="Y1455" s="181">
        <f>+VLOOKUP(PROVEEDORES[[#This Row],[ID RETENCION]],Retenciones!$A$1:$O$24,2,FALSE)</f>
        <v>3.5000000000000003E-2</v>
      </c>
    </row>
    <row r="1456" spans="1:25" ht="21.95" customHeight="1" x14ac:dyDescent="0.25">
      <c r="A1456" s="202" t="str">
        <f>+IF(PROVEEDORES[[#This Row],[FECHA DE PAGO]]=PROVEEDORES[[#This Row],[FECHA DE FACTURACIÓN]],"DE CONTADO","CRÉDITO")</f>
        <v>CRÉDITO</v>
      </c>
      <c r="B1456" s="41" t="b">
        <f>+IF((PROVEEDORES[[#This Row],[FECHA DE PAGO]]-PROVEEDORES[[#This Row],[FECHA DE FACTURACIÓN]])&gt;PROVEEDORES[[#This Row],[PLAZO Días]],"PAGO VENCIDO")</f>
        <v>0</v>
      </c>
      <c r="C1456" s="22">
        <f>+VLOOKUP(PROVEEDORES[[#This Row],[PROVEEDOR]],TERCEROS_INFO[#All],2,FALSE)</f>
        <v>45</v>
      </c>
      <c r="D1456" s="27">
        <f>+SUMIFS(PROVEEDORES[Total],PROVEEDORES[PROVEEDOR],PROVEEDORES[[#This Row],[PROVEEDOR]],PROVEEDORES[FECHA DE PAGO],"")</f>
        <v>37184068.039999999</v>
      </c>
      <c r="E1456" s="27"/>
      <c r="F1456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H1456" s="28" t="s">
        <v>19</v>
      </c>
      <c r="I1456" s="95">
        <v>44677</v>
      </c>
      <c r="J1456" s="38" t="s">
        <v>1312</v>
      </c>
      <c r="K1456" s="23">
        <v>16175936</v>
      </c>
      <c r="L1456" s="23"/>
      <c r="M1456" s="24">
        <f>(PROVEEDORES[[#This Row],[SUBTOTAL]]-PROVEEDORES[[#This Row],[descuento antes de IVA]])*VLOOKUP(PROVEEDORES[[#This Row],[PROVEEDOR]],TERCEROS_INFO[#All],3,FALSE)</f>
        <v>3073427.84</v>
      </c>
      <c r="N1456" s="25"/>
      <c r="O1456" s="24">
        <f>+PROVEEDORES[[#This Row],[Descuento sobre subtotal %]]*(PROVEEDORES[[#This Row],[SUBTOTAL]]-PROVEEDORES[[#This Row],[descuento antes de IVA]])</f>
        <v>0</v>
      </c>
      <c r="P1456" s="136">
        <f>+IF(PROVEEDORES[[#This Row],[SUBTOTAL]]&lt;PROVEEDORES[[#This Row],[base retencion]],0,PROVEEDORES[[#This Row],[retención aplicada]])</f>
        <v>0</v>
      </c>
      <c r="Q1456" s="24">
        <f>+PROVEEDORES[[#This Row],[Rete Fuente %]]*PROVEEDORES[[#This Row],[SUBTOTAL]]</f>
        <v>0</v>
      </c>
      <c r="R1456" s="23">
        <f>+PROVEEDORES[[#This Row],[SUBTOTAL]]+PROVEEDORES[[#This Row],[IVA 19%]]-PROVEEDORES[[#This Row],[descuento antes de IVA]]-PROVEEDORES[[#This Row],[Descuento sobre subtotal $]]-PROVEEDORES[[#This Row],[Rete Fuente $]]</f>
        <v>19249363.84</v>
      </c>
      <c r="S1456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56" s="176">
        <f ca="1">IF(PROVEEDORES[[#This Row],[FECHA DE PAGO]]=0,TODAY()-PROVEEDORES[[#This Row],[FECHA DE FACTURACIÓN]]-PROVEEDORES[[#This Row],[PLAZO Días]],0)</f>
        <v>-38</v>
      </c>
      <c r="U1456" s="178">
        <f>+VLOOKUP(PROVEEDORES[[#This Row],[PROVEEDOR]],Terceros!$A:$E,5,FALSE)</f>
        <v>0</v>
      </c>
      <c r="V1456" s="179">
        <f>+YEAR(PROVEEDORES[[#This Row],[FECHA DE FACTURACIÓN]])</f>
        <v>2022</v>
      </c>
      <c r="W1456" s="179">
        <f>+MATCH(PROVEEDORES[[#This Row],[año facturado]],Retenciones!$1:$1,0)</f>
        <v>5</v>
      </c>
      <c r="X1456" s="184">
        <f>+VLOOKUP(PROVEEDORES[[#This Row],[ID RETENCION]],Retenciones!$A$1:$O$24,PROVEEDORES[[#This Row],[indicador de columna]],FALSE)</f>
        <v>0</v>
      </c>
      <c r="Y1456" s="181">
        <f>+VLOOKUP(PROVEEDORES[[#This Row],[ID RETENCION]],Retenciones!$A$1:$O$24,2,FALSE)</f>
        <v>0</v>
      </c>
    </row>
    <row r="1457" spans="1:25" ht="21.95" customHeight="1" x14ac:dyDescent="0.25">
      <c r="A1457" s="202" t="str">
        <f>+IF(PROVEEDORES[[#This Row],[FECHA DE PAGO]]=PROVEEDORES[[#This Row],[FECHA DE FACTURACIÓN]],"DE CONTADO","CRÉDITO")</f>
        <v>CRÉDITO</v>
      </c>
      <c r="B1457" s="41" t="b">
        <f>+IF((PROVEEDORES[[#This Row],[FECHA DE PAGO]]-PROVEEDORES[[#This Row],[FECHA DE FACTURACIÓN]])&gt;PROVEEDORES[[#This Row],[PLAZO Días]],"PAGO VENCIDO")</f>
        <v>0</v>
      </c>
      <c r="C1457" s="22">
        <f>+VLOOKUP(PROVEEDORES[[#This Row],[PROVEEDOR]],TERCEROS_INFO[#All],2,FALSE)</f>
        <v>45</v>
      </c>
      <c r="D1457" s="27">
        <f>+SUMIFS(PROVEEDORES[Total],PROVEEDORES[PROVEEDOR],PROVEEDORES[[#This Row],[PROVEEDOR]],PROVEEDORES[FECHA DE PAGO],"")</f>
        <v>37184068.039999999</v>
      </c>
      <c r="E1457" s="27"/>
      <c r="F1457" s="62" t="str">
        <f>+VLOOKUP(PROVEEDORES[[#This Row],[PROVEEDOR]],
                       Terceros!$A:$G,
                       6,
                       FALSE)</f>
        <v>sandra.ospina@powest.com;girlesa.ruiz@servipilas.com;joriescobar64@gmail.com</v>
      </c>
      <c r="H1457" s="28" t="s">
        <v>19</v>
      </c>
      <c r="I1457" s="95">
        <v>44679</v>
      </c>
      <c r="J1457" s="38" t="s">
        <v>1313</v>
      </c>
      <c r="K1457" s="23">
        <v>146240</v>
      </c>
      <c r="L1457" s="23"/>
      <c r="M1457" s="24">
        <f>(PROVEEDORES[[#This Row],[SUBTOTAL]]-PROVEEDORES[[#This Row],[descuento antes de IVA]])*VLOOKUP(PROVEEDORES[[#This Row],[PROVEEDOR]],TERCEROS_INFO[#All],3,FALSE)</f>
        <v>27785.599999999999</v>
      </c>
      <c r="N1457" s="25"/>
      <c r="O1457" s="24">
        <f>+PROVEEDORES[[#This Row],[Descuento sobre subtotal %]]*(PROVEEDORES[[#This Row],[SUBTOTAL]]-PROVEEDORES[[#This Row],[descuento antes de IVA]])</f>
        <v>0</v>
      </c>
      <c r="P1457" s="136">
        <f>+IF(PROVEEDORES[[#This Row],[SUBTOTAL]]&lt;PROVEEDORES[[#This Row],[base retencion]],0,PROVEEDORES[[#This Row],[retención aplicada]])</f>
        <v>0</v>
      </c>
      <c r="Q1457" s="24">
        <f>+PROVEEDORES[[#This Row],[Rete Fuente %]]*PROVEEDORES[[#This Row],[SUBTOTAL]]</f>
        <v>0</v>
      </c>
      <c r="R1457" s="23">
        <f>+PROVEEDORES[[#This Row],[SUBTOTAL]]+PROVEEDORES[[#This Row],[IVA 19%]]-PROVEEDORES[[#This Row],[descuento antes de IVA]]-PROVEEDORES[[#This Row],[Descuento sobre subtotal $]]-PROVEEDORES[[#This Row],[Rete Fuente $]]</f>
        <v>174025.60000000001</v>
      </c>
      <c r="S1457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57" s="176">
        <f ca="1">IF(PROVEEDORES[[#This Row],[FECHA DE PAGO]]=0,TODAY()-PROVEEDORES[[#This Row],[FECHA DE FACTURACIÓN]]-PROVEEDORES[[#This Row],[PLAZO Días]],0)</f>
        <v>-40</v>
      </c>
      <c r="U1457" s="178">
        <f>+VLOOKUP(PROVEEDORES[[#This Row],[PROVEEDOR]],Terceros!$A:$E,5,FALSE)</f>
        <v>0</v>
      </c>
      <c r="V1457" s="179">
        <f>+YEAR(PROVEEDORES[[#This Row],[FECHA DE FACTURACIÓN]])</f>
        <v>2022</v>
      </c>
      <c r="W1457" s="179">
        <f>+MATCH(PROVEEDORES[[#This Row],[año facturado]],Retenciones!$1:$1,0)</f>
        <v>5</v>
      </c>
      <c r="X1457" s="184">
        <f>+VLOOKUP(PROVEEDORES[[#This Row],[ID RETENCION]],Retenciones!$A$1:$O$24,PROVEEDORES[[#This Row],[indicador de columna]],FALSE)</f>
        <v>0</v>
      </c>
      <c r="Y1457" s="181">
        <f>+VLOOKUP(PROVEEDORES[[#This Row],[ID RETENCION]],Retenciones!$A$1:$O$24,2,FALSE)</f>
        <v>0</v>
      </c>
    </row>
    <row r="1458" spans="1:25" ht="21.95" customHeight="1" x14ac:dyDescent="0.25">
      <c r="A1458" s="202" t="str">
        <f>+IF(PROVEEDORES[[#This Row],[FECHA DE PAGO]]=PROVEEDORES[[#This Row],[FECHA DE FACTURACIÓN]],"DE CONTADO","CRÉDITO")</f>
        <v>CRÉDITO</v>
      </c>
      <c r="B1458" s="41" t="b">
        <f>+IF((PROVEEDORES[[#This Row],[FECHA DE PAGO]]-PROVEEDORES[[#This Row],[FECHA DE FACTURACIÓN]])&gt;PROVEEDORES[[#This Row],[PLAZO Días]],"PAGO VENCIDO")</f>
        <v>0</v>
      </c>
      <c r="C1458" s="22">
        <f>+VLOOKUP(PROVEEDORES[[#This Row],[PROVEEDOR]],TERCEROS_INFO[#All],2,FALSE)</f>
        <v>30</v>
      </c>
      <c r="D1458" s="27">
        <f>+SUMIFS(PROVEEDORES[Total],PROVEEDORES[PROVEEDOR],PROVEEDORES[[#This Row],[PROVEEDOR]],PROVEEDORES[FECHA DE PAGO],"")</f>
        <v>5463150</v>
      </c>
      <c r="E1458" s="27"/>
      <c r="F1458" s="62" t="str">
        <f>+VLOOKUP(PROVEEDORES[[#This Row],[PROVEEDOR]],
                       Terceros!$A:$G,
                       6,
                       FALSE)</f>
        <v>CBastidas@vyp.com.co;girlesa.ruiz@servipilas.com;joriescobar64@gmail.com</v>
      </c>
      <c r="H1458" s="28" t="s">
        <v>344</v>
      </c>
      <c r="I1458" s="95">
        <v>44682</v>
      </c>
      <c r="J1458" s="38">
        <v>43002</v>
      </c>
      <c r="K1458" s="23">
        <v>4730000</v>
      </c>
      <c r="L1458" s="23"/>
      <c r="M1458" s="24">
        <f>(PROVEEDORES[[#This Row],[SUBTOTAL]]-PROVEEDORES[[#This Row],[descuento antes de IVA]])*VLOOKUP(PROVEEDORES[[#This Row],[PROVEEDOR]],TERCEROS_INFO[#All],3,FALSE)</f>
        <v>898700</v>
      </c>
      <c r="N1458" s="25"/>
      <c r="O1458" s="24">
        <f>+PROVEEDORES[[#This Row],[Descuento sobre subtotal %]]*(PROVEEDORES[[#This Row],[SUBTOTAL]]-PROVEEDORES[[#This Row],[descuento antes de IVA]])</f>
        <v>0</v>
      </c>
      <c r="P1458" s="136">
        <f>+IF(PROVEEDORES[[#This Row],[SUBTOTAL]]&lt;PROVEEDORES[[#This Row],[base retencion]],0,PROVEEDORES[[#This Row],[retención aplicada]])</f>
        <v>3.5000000000000003E-2</v>
      </c>
      <c r="Q1458" s="24">
        <f>+PROVEEDORES[[#This Row],[Rete Fuente %]]*PROVEEDORES[[#This Row],[SUBTOTAL]]</f>
        <v>165550.00000000003</v>
      </c>
      <c r="R1458" s="23">
        <f>+PROVEEDORES[[#This Row],[SUBTOTAL]]+PROVEEDORES[[#This Row],[IVA 19%]]-PROVEEDORES[[#This Row],[descuento antes de IVA]]-PROVEEDORES[[#This Row],[Descuento sobre subtotal $]]-PROVEEDORES[[#This Row],[Rete Fuente $]]</f>
        <v>5463150</v>
      </c>
      <c r="S1458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58" s="176">
        <f ca="1">IF(PROVEEDORES[[#This Row],[FECHA DE PAGO]]=0,TODAY()-PROVEEDORES[[#This Row],[FECHA DE FACTURACIÓN]]-PROVEEDORES[[#This Row],[PLAZO Días]],0)</f>
        <v>-28</v>
      </c>
      <c r="U1458" s="178" t="str">
        <f>+VLOOKUP(PROVEEDORES[[#This Row],[PROVEEDOR]],Terceros!$A:$E,5,FALSE)</f>
        <v>3,5% con base</v>
      </c>
      <c r="V1458" s="179">
        <f>+YEAR(PROVEEDORES[[#This Row],[FECHA DE FACTURACIÓN]])</f>
        <v>2022</v>
      </c>
      <c r="W1458" s="179">
        <f>+MATCH(PROVEEDORES[[#This Row],[año facturado]],Retenciones!$1:$1,0)</f>
        <v>5</v>
      </c>
      <c r="X1458" s="184">
        <f>+VLOOKUP(PROVEEDORES[[#This Row],[ID RETENCION]],Retenciones!$A$1:$O$24,PROVEEDORES[[#This Row],[indicador de columna]],FALSE)</f>
        <v>1026000</v>
      </c>
      <c r="Y1458" s="181">
        <f>+VLOOKUP(PROVEEDORES[[#This Row],[ID RETENCION]],Retenciones!$A$1:$O$24,2,FALSE)</f>
        <v>3.5000000000000003E-2</v>
      </c>
    </row>
    <row r="1459" spans="1:25" ht="21.95" customHeight="1" x14ac:dyDescent="0.25">
      <c r="A1459" s="202" t="str">
        <f>+IF(PROVEEDORES[[#This Row],[FECHA DE PAGO]]=PROVEEDORES[[#This Row],[FECHA DE FACTURACIÓN]],"DE CONTADO","CRÉDITO")</f>
        <v>CRÉDITO</v>
      </c>
      <c r="B1459" s="41" t="b">
        <f>+IF((PROVEEDORES[[#This Row],[FECHA DE PAGO]]-PROVEEDORES[[#This Row],[FECHA DE FACTURACIÓN]])&gt;PROVEEDORES[[#This Row],[PLAZO Días]],"PAGO VENCIDO")</f>
        <v>0</v>
      </c>
      <c r="C1459" s="22">
        <f>+VLOOKUP(PROVEEDORES[[#This Row],[PROVEEDOR]],TERCEROS_INFO[#All],2,FALSE)</f>
        <v>30</v>
      </c>
      <c r="D1459" s="27">
        <f>+SUMIFS(PROVEEDORES[Total],PROVEEDORES[PROVEEDOR],PROVEEDORES[[#This Row],[PROVEEDOR]],PROVEEDORES[FECHA DE PAGO],"")</f>
        <v>4862586.33</v>
      </c>
      <c r="E1459" s="27"/>
      <c r="F1459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H1459" s="28" t="s">
        <v>345</v>
      </c>
      <c r="I1459" s="95">
        <v>44682</v>
      </c>
      <c r="J1459" s="38" t="s">
        <v>1314</v>
      </c>
      <c r="K1459" s="23">
        <v>3294426</v>
      </c>
      <c r="L1459" s="23"/>
      <c r="M1459" s="24">
        <f>(PROVEEDORES[[#This Row],[SUBTOTAL]]-PROVEEDORES[[#This Row],[descuento antes de IVA]])*VLOOKUP(PROVEEDORES[[#This Row],[PROVEEDOR]],TERCEROS_INFO[#All],3,FALSE)</f>
        <v>625940.94000000006</v>
      </c>
      <c r="N1459" s="25"/>
      <c r="O1459" s="24">
        <f>+PROVEEDORES[[#This Row],[Descuento sobre subtotal %]]*(PROVEEDORES[[#This Row],[SUBTOTAL]]-PROVEEDORES[[#This Row],[descuento antes de IVA]])</f>
        <v>0</v>
      </c>
      <c r="P1459" s="136">
        <f>+IF(PROVEEDORES[[#This Row],[SUBTOTAL]]&lt;PROVEEDORES[[#This Row],[base retencion]],0,PROVEEDORES[[#This Row],[retención aplicada]])</f>
        <v>0</v>
      </c>
      <c r="Q1459" s="24">
        <f>+PROVEEDORES[[#This Row],[Rete Fuente %]]*PROVEEDORES[[#This Row],[SUBTOTAL]]</f>
        <v>0</v>
      </c>
      <c r="R1459" s="23">
        <f>+PROVEEDORES[[#This Row],[SUBTOTAL]]+PROVEEDORES[[#This Row],[IVA 19%]]-PROVEEDORES[[#This Row],[descuento antes de IVA]]-PROVEEDORES[[#This Row],[Descuento sobre subtotal $]]-PROVEEDORES[[#This Row],[Rete Fuente $]]</f>
        <v>3920366.94</v>
      </c>
      <c r="S1459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59" s="176">
        <f ca="1">IF(PROVEEDORES[[#This Row],[FECHA DE PAGO]]=0,TODAY()-PROVEEDORES[[#This Row],[FECHA DE FACTURACIÓN]]-PROVEEDORES[[#This Row],[PLAZO Días]],0)</f>
        <v>-28</v>
      </c>
      <c r="U1459" s="178">
        <f>+VLOOKUP(PROVEEDORES[[#This Row],[PROVEEDOR]],Terceros!$A:$E,5,FALSE)</f>
        <v>0</v>
      </c>
      <c r="V1459" s="179">
        <f>+YEAR(PROVEEDORES[[#This Row],[FECHA DE FACTURACIÓN]])</f>
        <v>2022</v>
      </c>
      <c r="W1459" s="179">
        <f>+MATCH(PROVEEDORES[[#This Row],[año facturado]],Retenciones!$1:$1,0)</f>
        <v>5</v>
      </c>
      <c r="X1459" s="184">
        <f>+VLOOKUP(PROVEEDORES[[#This Row],[ID RETENCION]],Retenciones!$A$1:$O$24,PROVEEDORES[[#This Row],[indicador de columna]],FALSE)</f>
        <v>0</v>
      </c>
      <c r="Y1459" s="181">
        <f>+VLOOKUP(PROVEEDORES[[#This Row],[ID RETENCION]],Retenciones!$A$1:$O$24,2,FALSE)</f>
        <v>0</v>
      </c>
    </row>
    <row r="1460" spans="1:25" ht="21.95" customHeight="1" x14ac:dyDescent="0.25">
      <c r="A1460" s="202" t="str">
        <f>+IF(PROVEEDORES[[#This Row],[FECHA DE PAGO]]=PROVEEDORES[[#This Row],[FECHA DE FACTURACIÓN]],"DE CONTADO","CRÉDITO")</f>
        <v>CRÉDITO</v>
      </c>
      <c r="B1460" s="41" t="b">
        <f>+IF((PROVEEDORES[[#This Row],[FECHA DE PAGO]]-PROVEEDORES[[#This Row],[FECHA DE FACTURACIÓN]])&gt;PROVEEDORES[[#This Row],[PLAZO Días]],"PAGO VENCIDO")</f>
        <v>0</v>
      </c>
      <c r="C1460" s="22">
        <f>+VLOOKUP(PROVEEDORES[[#This Row],[PROVEEDOR]],TERCEROS_INFO[#All],2,FALSE)</f>
        <v>30</v>
      </c>
      <c r="D1460" s="27">
        <f>+SUMIFS(PROVEEDORES[Total],PROVEEDORES[PROVEEDOR],PROVEEDORES[[#This Row],[PROVEEDOR]],PROVEEDORES[FECHA DE PAGO],"")</f>
        <v>275944.33</v>
      </c>
      <c r="E1460" s="27"/>
      <c r="F1460" s="62" t="str">
        <f>+VLOOKUP(PROVEEDORES[[#This Row],[PROVEEDOR]],
                       Terceros!$A:$G,
                       6,
                       FALSE)</f>
        <v>facturacion@losmolinos.com.co</v>
      </c>
      <c r="H1460" s="28" t="s">
        <v>342</v>
      </c>
      <c r="I1460" s="95">
        <v>44682</v>
      </c>
      <c r="J1460" s="38">
        <v>67313</v>
      </c>
      <c r="K1460" s="23">
        <v>284467</v>
      </c>
      <c r="L1460" s="23"/>
      <c r="M1460" s="24">
        <f>(PROVEEDORES[[#This Row],[SUBTOTAL]]-PROVEEDORES[[#This Row],[descuento antes de IVA]])*VLOOKUP(PROVEEDORES[[#This Row],[PROVEEDOR]],TERCEROS_INFO[#All],3,FALSE)</f>
        <v>0</v>
      </c>
      <c r="N1460" s="25"/>
      <c r="O1460" s="24">
        <v>8522.67</v>
      </c>
      <c r="P1460" s="136">
        <f>+IF(PROVEEDORES[[#This Row],[SUBTOTAL]]&lt;PROVEEDORES[[#This Row],[base retencion]],0,PROVEEDORES[[#This Row],[retención aplicada]])</f>
        <v>0</v>
      </c>
      <c r="Q1460" s="24">
        <f>+PROVEEDORES[[#This Row],[Rete Fuente %]]*PROVEEDORES[[#This Row],[SUBTOTAL]]</f>
        <v>0</v>
      </c>
      <c r="R1460" s="23">
        <f>+PROVEEDORES[[#This Row],[SUBTOTAL]]+PROVEEDORES[[#This Row],[IVA 19%]]-PROVEEDORES[[#This Row],[descuento antes de IVA]]-PROVEEDORES[[#This Row],[Descuento sobre subtotal $]]-PROVEEDORES[[#This Row],[Rete Fuente $]]</f>
        <v>275944.33</v>
      </c>
      <c r="S1460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60" s="176">
        <f ca="1">IF(PROVEEDORES[[#This Row],[FECHA DE PAGO]]=0,TODAY()-PROVEEDORES[[#This Row],[FECHA DE FACTURACIÓN]]-PROVEEDORES[[#This Row],[PLAZO Días]],0)</f>
        <v>-28</v>
      </c>
      <c r="U1460" s="178">
        <f>+VLOOKUP(PROVEEDORES[[#This Row],[PROVEEDOR]],Terceros!$A:$E,5,FALSE)</f>
        <v>0</v>
      </c>
      <c r="V1460" s="179">
        <f>+YEAR(PROVEEDORES[[#This Row],[FECHA DE FACTURACIÓN]])</f>
        <v>2022</v>
      </c>
      <c r="W1460" s="179">
        <f>+MATCH(PROVEEDORES[[#This Row],[año facturado]],Retenciones!$1:$1,0)</f>
        <v>5</v>
      </c>
      <c r="X1460" s="184">
        <f>+VLOOKUP(PROVEEDORES[[#This Row],[ID RETENCION]],Retenciones!$A$1:$O$24,PROVEEDORES[[#This Row],[indicador de columna]],FALSE)</f>
        <v>0</v>
      </c>
      <c r="Y1460" s="181">
        <f>+VLOOKUP(PROVEEDORES[[#This Row],[ID RETENCION]],Retenciones!$A$1:$O$24,2,FALSE)</f>
        <v>0</v>
      </c>
    </row>
    <row r="1461" spans="1:25" ht="21.95" customHeight="1" x14ac:dyDescent="0.25">
      <c r="A1461" s="202" t="str">
        <f>+IF(PROVEEDORES[[#This Row],[FECHA DE PAGO]]=PROVEEDORES[[#This Row],[FECHA DE FACTURACIÓN]],"DE CONTADO","CRÉDITO")</f>
        <v>CRÉDITO</v>
      </c>
      <c r="B1461" s="41" t="b">
        <f>+IF((PROVEEDORES[[#This Row],[FECHA DE PAGO]]-PROVEEDORES[[#This Row],[FECHA DE FACTURACIÓN]])&gt;PROVEEDORES[[#This Row],[PLAZO Días]],"PAGO VENCIDO")</f>
        <v>0</v>
      </c>
      <c r="C1461" s="22">
        <f>+VLOOKUP(PROVEEDORES[[#This Row],[PROVEEDOR]],TERCEROS_INFO[#All],2,FALSE)</f>
        <v>30</v>
      </c>
      <c r="D1461" s="27">
        <f>+SUMIFS(PROVEEDORES[Total],PROVEEDORES[PROVEEDOR],PROVEEDORES[[#This Row],[PROVEEDOR]],PROVEEDORES[FECHA DE PAGO],"")</f>
        <v>4862586.33</v>
      </c>
      <c r="E1461" s="27"/>
      <c r="F1461" s="62" t="str">
        <f>+VLOOKUP(PROVEEDORES[[#This Row],[PROVEEDOR]],
                       Terceros!$A:$G,
                       6,
                       FALSE)</f>
        <v>cartera@conbienes.com;girlesa.ruiz@servipilas.com;joriescobar64@gmail.com</v>
      </c>
      <c r="H1461" s="28" t="s">
        <v>345</v>
      </c>
      <c r="I1461" s="95">
        <v>44682</v>
      </c>
      <c r="J1461" s="38" t="s">
        <v>1315</v>
      </c>
      <c r="K1461" s="23">
        <v>791781</v>
      </c>
      <c r="L1461" s="23"/>
      <c r="M1461" s="24">
        <f>(PROVEEDORES[[#This Row],[SUBTOTAL]]-PROVEEDORES[[#This Row],[descuento antes de IVA]])*VLOOKUP(PROVEEDORES[[#This Row],[PROVEEDOR]],TERCEROS_INFO[#All],3,FALSE)</f>
        <v>150438.39000000001</v>
      </c>
      <c r="N1461" s="25"/>
      <c r="O1461" s="24">
        <f>+PROVEEDORES[[#This Row],[Descuento sobre subtotal %]]*(PROVEEDORES[[#This Row],[SUBTOTAL]]-PROVEEDORES[[#This Row],[descuento antes de IVA]])</f>
        <v>0</v>
      </c>
      <c r="P1461" s="136">
        <f>+IF(PROVEEDORES[[#This Row],[SUBTOTAL]]&lt;PROVEEDORES[[#This Row],[base retencion]],0,PROVEEDORES[[#This Row],[retención aplicada]])</f>
        <v>0</v>
      </c>
      <c r="Q1461" s="24">
        <f>+PROVEEDORES[[#This Row],[Rete Fuente %]]*PROVEEDORES[[#This Row],[SUBTOTAL]]</f>
        <v>0</v>
      </c>
      <c r="R1461" s="23">
        <f>+PROVEEDORES[[#This Row],[SUBTOTAL]]+PROVEEDORES[[#This Row],[IVA 19%]]-PROVEEDORES[[#This Row],[descuento antes de IVA]]-PROVEEDORES[[#This Row],[Descuento sobre subtotal $]]-PROVEEDORES[[#This Row],[Rete Fuente $]]</f>
        <v>942219.39</v>
      </c>
      <c r="S1461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61" s="176">
        <f ca="1">IF(PROVEEDORES[[#This Row],[FECHA DE PAGO]]=0,TODAY()-PROVEEDORES[[#This Row],[FECHA DE FACTURACIÓN]]-PROVEEDORES[[#This Row],[PLAZO Días]],0)</f>
        <v>-28</v>
      </c>
      <c r="U1461" s="178">
        <f>+VLOOKUP(PROVEEDORES[[#This Row],[PROVEEDOR]],Terceros!$A:$E,5,FALSE)</f>
        <v>0</v>
      </c>
      <c r="V1461" s="179">
        <f>+YEAR(PROVEEDORES[[#This Row],[FECHA DE FACTURACIÓN]])</f>
        <v>2022</v>
      </c>
      <c r="W1461" s="179">
        <f>+MATCH(PROVEEDORES[[#This Row],[año facturado]],Retenciones!$1:$1,0)</f>
        <v>5</v>
      </c>
      <c r="X1461" s="184">
        <f>+VLOOKUP(PROVEEDORES[[#This Row],[ID RETENCION]],Retenciones!$A$1:$O$24,PROVEEDORES[[#This Row],[indicador de columna]],FALSE)</f>
        <v>0</v>
      </c>
      <c r="Y1461" s="181">
        <f>+VLOOKUP(PROVEEDORES[[#This Row],[ID RETENCION]],Retenciones!$A$1:$O$24,2,FALSE)</f>
        <v>0</v>
      </c>
    </row>
    <row r="1462" spans="1:25" ht="21.95" customHeight="1" x14ac:dyDescent="0.25">
      <c r="A1462" s="202" t="str">
        <f>+IF(PROVEEDORES[[#This Row],[FECHA DE PAGO]]=PROVEEDORES[[#This Row],[FECHA DE FACTURACIÓN]],"DE CONTADO","CRÉDITO")</f>
        <v>CRÉDITO</v>
      </c>
      <c r="B1462" s="41" t="b">
        <f>+IF((PROVEEDORES[[#This Row],[FECHA DE PAGO]]-PROVEEDORES[[#This Row],[FECHA DE FACTURACIÓN]])&gt;PROVEEDORES[[#This Row],[PLAZO Días]],"PAGO VENCIDO")</f>
        <v>0</v>
      </c>
      <c r="C1462" s="22">
        <f>+VLOOKUP(PROVEEDORES[[#This Row],[PROVEEDOR]],TERCEROS_INFO[#All],2,FALSE)</f>
        <v>30</v>
      </c>
      <c r="D1462" s="27">
        <f>+SUMIFS(PROVEEDORES[Total],PROVEEDORES[PROVEEDOR],PROVEEDORES[[#This Row],[PROVEEDOR]],PROVEEDORES[FECHA DE PAGO],"")</f>
        <v>144400</v>
      </c>
      <c r="E1462" s="27"/>
      <c r="F1462" s="62" t="str">
        <f>+VLOOKUP(PROVEEDORES[[#This Row],[PROVEEDOR]],
                       Terceros!$A:$G,
                       6,
                       FALSE)</f>
        <v>swizzeraux2@gmail.com;girlesa.ruiz@servipilas.com;joriescobar64@gmail.com</v>
      </c>
      <c r="H1462" s="28" t="s">
        <v>1071</v>
      </c>
      <c r="I1462" s="95">
        <v>44679</v>
      </c>
      <c r="J1462" s="38" t="s">
        <v>1316</v>
      </c>
      <c r="K1462" s="23">
        <v>144400</v>
      </c>
      <c r="L1462" s="23"/>
      <c r="M1462" s="24">
        <f>(PROVEEDORES[[#This Row],[SUBTOTAL]]-PROVEEDORES[[#This Row],[descuento antes de IVA]])*VLOOKUP(PROVEEDORES[[#This Row],[PROVEEDOR]],TERCEROS_INFO[#All],3,FALSE)</f>
        <v>0</v>
      </c>
      <c r="N1462" s="25"/>
      <c r="O1462" s="24">
        <f>+PROVEEDORES[[#This Row],[Descuento sobre subtotal %]]*(PROVEEDORES[[#This Row],[SUBTOTAL]]-PROVEEDORES[[#This Row],[descuento antes de IVA]])</f>
        <v>0</v>
      </c>
      <c r="P1462" s="136">
        <f>+IF(PROVEEDORES[[#This Row],[SUBTOTAL]]&lt;PROVEEDORES[[#This Row],[base retencion]],0,PROVEEDORES[[#This Row],[retención aplicada]])</f>
        <v>0</v>
      </c>
      <c r="Q1462" s="24">
        <f>+PROVEEDORES[[#This Row],[Rete Fuente %]]*PROVEEDORES[[#This Row],[SUBTOTAL]]</f>
        <v>0</v>
      </c>
      <c r="R1462" s="23">
        <f>+PROVEEDORES[[#This Row],[SUBTOTAL]]+PROVEEDORES[[#This Row],[IVA 19%]]-PROVEEDORES[[#This Row],[descuento antes de IVA]]-PROVEEDORES[[#This Row],[Descuento sobre subtotal $]]-PROVEEDORES[[#This Row],[Rete Fuente $]]</f>
        <v>144400</v>
      </c>
      <c r="S1462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62" s="176">
        <f ca="1">IF(PROVEEDORES[[#This Row],[FECHA DE PAGO]]=0,TODAY()-PROVEEDORES[[#This Row],[FECHA DE FACTURACIÓN]]-PROVEEDORES[[#This Row],[PLAZO Días]],0)</f>
        <v>-25</v>
      </c>
      <c r="U1462" s="178">
        <f>+VLOOKUP(PROVEEDORES[[#This Row],[PROVEEDOR]],Terceros!$A:$E,5,FALSE)</f>
        <v>0</v>
      </c>
      <c r="V1462" s="179">
        <f>+YEAR(PROVEEDORES[[#This Row],[FECHA DE FACTURACIÓN]])</f>
        <v>2022</v>
      </c>
      <c r="W1462" s="179">
        <f>+MATCH(PROVEEDORES[[#This Row],[año facturado]],Retenciones!$1:$1,0)</f>
        <v>5</v>
      </c>
      <c r="X1462" s="184">
        <f>+VLOOKUP(PROVEEDORES[[#This Row],[ID RETENCION]],Retenciones!$A$1:$O$24,PROVEEDORES[[#This Row],[indicador de columna]],FALSE)</f>
        <v>0</v>
      </c>
      <c r="Y1462" s="181">
        <f>+VLOOKUP(PROVEEDORES[[#This Row],[ID RETENCION]],Retenciones!$A$1:$O$24,2,FALSE)</f>
        <v>0</v>
      </c>
    </row>
    <row r="1463" spans="1:25" ht="21.95" customHeight="1" x14ac:dyDescent="0.25">
      <c r="A1463" s="202" t="str">
        <f>+IF(PROVEEDORES[[#This Row],[FECHA DE PAGO]]=PROVEEDORES[[#This Row],[FECHA DE FACTURACIÓN]],"DE CONTADO","CRÉDITO")</f>
        <v>CRÉDITO</v>
      </c>
      <c r="B1463" s="41" t="b">
        <f>+IF((PROVEEDORES[[#This Row],[FECHA DE PAGO]]-PROVEEDORES[[#This Row],[FECHA DE FACTURACIÓN]])&gt;PROVEEDORES[[#This Row],[PLAZO Días]],"PAGO VENCIDO")</f>
        <v>0</v>
      </c>
      <c r="C1463" s="22">
        <f>+VLOOKUP(PROVEEDORES[[#This Row],[PROVEEDOR]],TERCEROS_INFO[#All],2,FALSE)</f>
        <v>30</v>
      </c>
      <c r="D1463" s="27">
        <f>+SUMIFS(PROVEEDORES[Total],PROVEEDORES[PROVEEDOR],PROVEEDORES[[#This Row],[PROVEEDOR]],PROVEEDORES[FECHA DE PAGO],"")</f>
        <v>390000</v>
      </c>
      <c r="E1463" s="27"/>
      <c r="F1463" s="62">
        <f>+VLOOKUP(PROVEEDORES[[#This Row],[PROVEEDOR]],
                       Terceros!$A:$G,
                       6,
                       FALSE)</f>
        <v>0</v>
      </c>
      <c r="H1463" s="28" t="s">
        <v>1080</v>
      </c>
      <c r="I1463" s="95">
        <v>44707</v>
      </c>
      <c r="J1463" s="38" t="s">
        <v>1317</v>
      </c>
      <c r="K1463" s="23">
        <v>390000</v>
      </c>
      <c r="L1463" s="23"/>
      <c r="M1463" s="24">
        <f>(PROVEEDORES[[#This Row],[SUBTOTAL]]-PROVEEDORES[[#This Row],[descuento antes de IVA]])*VLOOKUP(PROVEEDORES[[#This Row],[PROVEEDOR]],TERCEROS_INFO[#All],3,FALSE)</f>
        <v>0</v>
      </c>
      <c r="N1463" s="25"/>
      <c r="O1463" s="24">
        <f>+PROVEEDORES[[#This Row],[Descuento sobre subtotal %]]*(PROVEEDORES[[#This Row],[SUBTOTAL]]-PROVEEDORES[[#This Row],[descuento antes de IVA]])</f>
        <v>0</v>
      </c>
      <c r="P1463" s="136">
        <f>+IF(PROVEEDORES[[#This Row],[SUBTOTAL]]&lt;PROVEEDORES[[#This Row],[base retencion]],0,PROVEEDORES[[#This Row],[retención aplicada]])</f>
        <v>0</v>
      </c>
      <c r="Q1463" s="24">
        <f>+PROVEEDORES[[#This Row],[Rete Fuente %]]*PROVEEDORES[[#This Row],[SUBTOTAL]]</f>
        <v>0</v>
      </c>
      <c r="R1463" s="23">
        <f>+PROVEEDORES[[#This Row],[SUBTOTAL]]+PROVEEDORES[[#This Row],[IVA 19%]]-PROVEEDORES[[#This Row],[descuento antes de IVA]]-PROVEEDORES[[#This Row],[Descuento sobre subtotal $]]-PROVEEDORES[[#This Row],[Rete Fuente $]]</f>
        <v>390000</v>
      </c>
      <c r="S1463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63" s="176">
        <f ca="1">IF(PROVEEDORES[[#This Row],[FECHA DE PAGO]]=0,TODAY()-PROVEEDORES[[#This Row],[FECHA DE FACTURACIÓN]]-PROVEEDORES[[#This Row],[PLAZO Días]],0)</f>
        <v>-53</v>
      </c>
      <c r="U1463" s="178">
        <f>+VLOOKUP(PROVEEDORES[[#This Row],[PROVEEDOR]],Terceros!$A:$E,5,FALSE)</f>
        <v>0</v>
      </c>
      <c r="V1463" s="179">
        <f>+YEAR(PROVEEDORES[[#This Row],[FECHA DE FACTURACIÓN]])</f>
        <v>2022</v>
      </c>
      <c r="W1463" s="179">
        <f>+MATCH(PROVEEDORES[[#This Row],[año facturado]],Retenciones!$1:$1,0)</f>
        <v>5</v>
      </c>
      <c r="X1463" s="184">
        <f>+VLOOKUP(PROVEEDORES[[#This Row],[ID RETENCION]],Retenciones!$A$1:$O$24,PROVEEDORES[[#This Row],[indicador de columna]],FALSE)</f>
        <v>0</v>
      </c>
      <c r="Y1463" s="181">
        <f>+VLOOKUP(PROVEEDORES[[#This Row],[ID RETENCION]],Retenciones!$A$1:$O$24,2,FALSE)</f>
        <v>0</v>
      </c>
    </row>
    <row r="1464" spans="1:25" ht="21.95" customHeight="1" x14ac:dyDescent="0.25">
      <c r="A1464" s="202" t="str">
        <f>+IF(PROVEEDORES[[#This Row],[FECHA DE PAGO]]=PROVEEDORES[[#This Row],[FECHA DE FACTURACIÓN]],"DE CONTADO","CRÉDITO")</f>
        <v>CRÉDITO</v>
      </c>
      <c r="B1464" s="41" t="b">
        <f>+IF((PROVEEDORES[[#This Row],[FECHA DE PAGO]]-PROVEEDORES[[#This Row],[FECHA DE FACTURACIÓN]])&gt;PROVEEDORES[[#This Row],[PLAZO Días]],"PAGO VENCIDO")</f>
        <v>0</v>
      </c>
      <c r="C1464" s="22">
        <f>+VLOOKUP(PROVEEDORES[[#This Row],[PROVEEDOR]],TERCEROS_INFO[#All],2,FALSE)</f>
        <v>30</v>
      </c>
      <c r="D1464" s="27">
        <f>+SUMIFS(PROVEEDORES[Total],PROVEEDORES[PROVEEDOR],PROVEEDORES[[#This Row],[PROVEEDOR]],PROVEEDORES[FECHA DE PAGO],"")</f>
        <v>833999.83799999999</v>
      </c>
      <c r="E1464" s="27"/>
      <c r="F1464" s="62" t="str">
        <f>+VLOOKUP(PROVEEDORES[[#This Row],[PROVEEDOR]],
                       Terceros!$A:$G,
                       6,
                       FALSE)</f>
        <v>juan.suarez@cosostenible.com;girlesa.ruiz@servipilas.com;joriescobar64@gmail.com</v>
      </c>
      <c r="H1464" s="28" t="s">
        <v>50</v>
      </c>
      <c r="I1464" s="95">
        <v>44678</v>
      </c>
      <c r="J1464" s="38">
        <v>6844</v>
      </c>
      <c r="K1464" s="23">
        <v>700840.2</v>
      </c>
      <c r="L1464" s="23"/>
      <c r="M1464" s="24">
        <f>(PROVEEDORES[[#This Row],[SUBTOTAL]]-PROVEEDORES[[#This Row],[descuento antes de IVA]])*VLOOKUP(PROVEEDORES[[#This Row],[PROVEEDOR]],TERCEROS_INFO[#All],3,FALSE)</f>
        <v>133159.63800000001</v>
      </c>
      <c r="N1464" s="25"/>
      <c r="O1464" s="24">
        <f>+PROVEEDORES[[#This Row],[Descuento sobre subtotal %]]*(PROVEEDORES[[#This Row],[SUBTOTAL]]-PROVEEDORES[[#This Row],[descuento antes de IVA]])</f>
        <v>0</v>
      </c>
      <c r="P1464" s="136">
        <f>+IF(PROVEEDORES[[#This Row],[SUBTOTAL]]&lt;PROVEEDORES[[#This Row],[base retencion]],0,PROVEEDORES[[#This Row],[retención aplicada]])</f>
        <v>0</v>
      </c>
      <c r="Q1464" s="24">
        <f>+PROVEEDORES[[#This Row],[Rete Fuente %]]*PROVEEDORES[[#This Row],[SUBTOTAL]]</f>
        <v>0</v>
      </c>
      <c r="R1464" s="23">
        <f>+PROVEEDORES[[#This Row],[SUBTOTAL]]+PROVEEDORES[[#This Row],[IVA 19%]]-PROVEEDORES[[#This Row],[descuento antes de IVA]]-PROVEEDORES[[#This Row],[Descuento sobre subtotal $]]-PROVEEDORES[[#This Row],[Rete Fuente $]]</f>
        <v>833999.83799999999</v>
      </c>
      <c r="S1464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64" s="176">
        <f ca="1">IF(PROVEEDORES[[#This Row],[FECHA DE PAGO]]=0,TODAY()-PROVEEDORES[[#This Row],[FECHA DE FACTURACIÓN]]-PROVEEDORES[[#This Row],[PLAZO Días]],0)</f>
        <v>-24</v>
      </c>
      <c r="U1464" s="178" t="str">
        <f>+VLOOKUP(PROVEEDORES[[#This Row],[PROVEEDOR]],Terceros!$A:$E,5,FALSE)</f>
        <v>2,5% con base</v>
      </c>
      <c r="V1464" s="179">
        <f>+YEAR(PROVEEDORES[[#This Row],[FECHA DE FACTURACIÓN]])</f>
        <v>2022</v>
      </c>
      <c r="W1464" s="179">
        <f>+MATCH(PROVEEDORES[[#This Row],[año facturado]],Retenciones!$1:$1,0)</f>
        <v>5</v>
      </c>
      <c r="X1464" s="184">
        <f>+VLOOKUP(PROVEEDORES[[#This Row],[ID RETENCION]],Retenciones!$A$1:$O$24,PROVEEDORES[[#This Row],[indicador de columna]],FALSE)</f>
        <v>1026000</v>
      </c>
      <c r="Y1464" s="181">
        <f>+VLOOKUP(PROVEEDORES[[#This Row],[ID RETENCION]],Retenciones!$A$1:$O$24,2,FALSE)</f>
        <v>2.5000000000000001E-2</v>
      </c>
    </row>
    <row r="1465" spans="1:25" ht="21.95" customHeight="1" x14ac:dyDescent="0.25">
      <c r="A1465" s="202" t="str">
        <f>+IF(PROVEEDORES[[#This Row],[FECHA DE PAGO]]=PROVEEDORES[[#This Row],[FECHA DE FACTURACIÓN]],"DE CONTADO","CRÉDITO")</f>
        <v>CRÉDITO</v>
      </c>
      <c r="B1465" s="41" t="b">
        <f>+IF((PROVEEDORES[[#This Row],[FECHA DE PAGO]]-PROVEEDORES[[#This Row],[FECHA DE FACTURACIÓN]])&gt;PROVEEDORES[[#This Row],[PLAZO Días]],"PAGO VENCIDO")</f>
        <v>0</v>
      </c>
      <c r="C1465" s="22">
        <f>+VLOOKUP(PROVEEDORES[[#This Row],[PROVEEDOR]],TERCEROS_INFO[#All],2,FALSE)</f>
        <v>30</v>
      </c>
      <c r="D1465" s="27">
        <f>+SUMIFS(PROVEEDORES[Total],PROVEEDORES[PROVEEDOR],PROVEEDORES[[#This Row],[PROVEEDOR]],PROVEEDORES[FECHA DE PAGO],"")</f>
        <v>1860500</v>
      </c>
      <c r="E1465" s="27"/>
      <c r="F1465" s="62" t="str">
        <f>+VLOOKUP(PROVEEDORES[[#This Row],[PROVEEDOR]],
                       Terceros!$A:$G,
                       6,
                       FALSE)</f>
        <v/>
      </c>
      <c r="H1465" s="28" t="s">
        <v>1064</v>
      </c>
      <c r="I1465" s="95">
        <v>44672</v>
      </c>
      <c r="J1465" s="38" t="s">
        <v>1318</v>
      </c>
      <c r="K1465" s="23">
        <v>215500</v>
      </c>
      <c r="L1465" s="23"/>
      <c r="M1465" s="24">
        <f>(PROVEEDORES[[#This Row],[SUBTOTAL]]-PROVEEDORES[[#This Row],[descuento antes de IVA]])*VLOOKUP(PROVEEDORES[[#This Row],[PROVEEDOR]],TERCEROS_INFO[#All],3,FALSE)</f>
        <v>0</v>
      </c>
      <c r="N1465" s="25"/>
      <c r="O1465" s="24">
        <f>+PROVEEDORES[[#This Row],[Descuento sobre subtotal %]]*(PROVEEDORES[[#This Row],[SUBTOTAL]]-PROVEEDORES[[#This Row],[descuento antes de IVA]])</f>
        <v>0</v>
      </c>
      <c r="P1465" s="136">
        <f>+IF(PROVEEDORES[[#This Row],[SUBTOTAL]]&lt;PROVEEDORES[[#This Row],[base retencion]],0,PROVEEDORES[[#This Row],[retención aplicada]])</f>
        <v>0</v>
      </c>
      <c r="Q1465" s="24">
        <f>+PROVEEDORES[[#This Row],[Rete Fuente %]]*PROVEEDORES[[#This Row],[SUBTOTAL]]</f>
        <v>0</v>
      </c>
      <c r="R1465" s="23">
        <f>+PROVEEDORES[[#This Row],[SUBTOTAL]]+PROVEEDORES[[#This Row],[IVA 19%]]-PROVEEDORES[[#This Row],[descuento antes de IVA]]-PROVEEDORES[[#This Row],[Descuento sobre subtotal $]]-PROVEEDORES[[#This Row],[Rete Fuente $]]</f>
        <v>215500</v>
      </c>
      <c r="S1465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65" s="176">
        <f ca="1">IF(PROVEEDORES[[#This Row],[FECHA DE PAGO]]=0,TODAY()-PROVEEDORES[[#This Row],[FECHA DE FACTURACIÓN]]-PROVEEDORES[[#This Row],[PLAZO Días]],0)</f>
        <v>-18</v>
      </c>
      <c r="U1465" s="178">
        <f>+VLOOKUP(PROVEEDORES[[#This Row],[PROVEEDOR]],Terceros!$A:$E,5,FALSE)</f>
        <v>0</v>
      </c>
      <c r="V1465" s="179">
        <f>+YEAR(PROVEEDORES[[#This Row],[FECHA DE FACTURACIÓN]])</f>
        <v>2022</v>
      </c>
      <c r="W1465" s="179">
        <f>+MATCH(PROVEEDORES[[#This Row],[año facturado]],Retenciones!$1:$1,0)</f>
        <v>5</v>
      </c>
      <c r="X1465" s="184">
        <f>+VLOOKUP(PROVEEDORES[[#This Row],[ID RETENCION]],Retenciones!$A$1:$O$24,PROVEEDORES[[#This Row],[indicador de columna]],FALSE)</f>
        <v>0</v>
      </c>
      <c r="Y1465" s="181">
        <f>+VLOOKUP(PROVEEDORES[[#This Row],[ID RETENCION]],Retenciones!$A$1:$O$24,2,FALSE)</f>
        <v>0</v>
      </c>
    </row>
    <row r="1466" spans="1:25" ht="21.95" customHeight="1" x14ac:dyDescent="0.25">
      <c r="A1466" s="202" t="str">
        <f>+IF(PROVEEDORES[[#This Row],[FECHA DE PAGO]]=PROVEEDORES[[#This Row],[FECHA DE FACTURACIÓN]],"DE CONTADO","CRÉDITO")</f>
        <v>CRÉDITO</v>
      </c>
      <c r="B1466" s="41" t="b">
        <f>+IF((PROVEEDORES[[#This Row],[FECHA DE PAGO]]-PROVEEDORES[[#This Row],[FECHA DE FACTURACIÓN]])&gt;PROVEEDORES[[#This Row],[PLAZO Días]],"PAGO VENCIDO")</f>
        <v>0</v>
      </c>
      <c r="C1466" s="22">
        <f>+VLOOKUP(PROVEEDORES[[#This Row],[PROVEEDOR]],TERCEROS_INFO[#All],2,FALSE)</f>
        <v>30</v>
      </c>
      <c r="D1466" s="27">
        <f>+SUMIFS(PROVEEDORES[Total],PROVEEDORES[PROVEEDOR],PROVEEDORES[[#This Row],[PROVEEDOR]],PROVEEDORES[FECHA DE PAGO],"")</f>
        <v>1039000</v>
      </c>
      <c r="E1466" s="27"/>
      <c r="F1466" s="62" t="str">
        <f>+VLOOKUP(PROVEEDORES[[#This Row],[PROVEEDOR]],
                       Terceros!$A:$G,
                       6,
                       FALSE)</f>
        <v>variedades.sfg@gmail.com;girlesa.ruiz@servipilas.com;joriescobar64@gmail.com</v>
      </c>
      <c r="H1466" s="28" t="s">
        <v>982</v>
      </c>
      <c r="I1466" s="95">
        <v>44677</v>
      </c>
      <c r="J1466" s="38" t="s">
        <v>1319</v>
      </c>
      <c r="K1466" s="23">
        <v>1039000</v>
      </c>
      <c r="L1466" s="23"/>
      <c r="M1466" s="24">
        <f>(PROVEEDORES[[#This Row],[SUBTOTAL]]-PROVEEDORES[[#This Row],[descuento antes de IVA]])*VLOOKUP(PROVEEDORES[[#This Row],[PROVEEDOR]],TERCEROS_INFO[#All],3,FALSE)</f>
        <v>0</v>
      </c>
      <c r="N1466" s="25"/>
      <c r="O1466" s="24">
        <f>+PROVEEDORES[[#This Row],[Descuento sobre subtotal %]]*(PROVEEDORES[[#This Row],[SUBTOTAL]]-PROVEEDORES[[#This Row],[descuento antes de IVA]])</f>
        <v>0</v>
      </c>
      <c r="P1466" s="136">
        <f>+IF(PROVEEDORES[[#This Row],[SUBTOTAL]]&lt;PROVEEDORES[[#This Row],[base retencion]],0,PROVEEDORES[[#This Row],[retención aplicada]])</f>
        <v>0</v>
      </c>
      <c r="Q1466" s="24">
        <f>+PROVEEDORES[[#This Row],[Rete Fuente %]]*PROVEEDORES[[#This Row],[SUBTOTAL]]</f>
        <v>0</v>
      </c>
      <c r="R1466" s="23">
        <f>+PROVEEDORES[[#This Row],[SUBTOTAL]]+PROVEEDORES[[#This Row],[IVA 19%]]-PROVEEDORES[[#This Row],[descuento antes de IVA]]-PROVEEDORES[[#This Row],[Descuento sobre subtotal $]]-PROVEEDORES[[#This Row],[Rete Fuente $]]</f>
        <v>1039000</v>
      </c>
      <c r="S1466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66" s="176">
        <f ca="1">IF(PROVEEDORES[[#This Row],[FECHA DE PAGO]]=0,TODAY()-PROVEEDORES[[#This Row],[FECHA DE FACTURACIÓN]]-PROVEEDORES[[#This Row],[PLAZO Días]],0)</f>
        <v>-23</v>
      </c>
      <c r="U1466" s="178">
        <f>+VLOOKUP(PROVEEDORES[[#This Row],[PROVEEDOR]],Terceros!$A:$E,5,FALSE)</f>
        <v>0</v>
      </c>
      <c r="V1466" s="179">
        <f>+YEAR(PROVEEDORES[[#This Row],[FECHA DE FACTURACIÓN]])</f>
        <v>2022</v>
      </c>
      <c r="W1466" s="179">
        <f>+MATCH(PROVEEDORES[[#This Row],[año facturado]],Retenciones!$1:$1,0)</f>
        <v>5</v>
      </c>
      <c r="X1466" s="184">
        <f>+VLOOKUP(PROVEEDORES[[#This Row],[ID RETENCION]],Retenciones!$A$1:$O$24,PROVEEDORES[[#This Row],[indicador de columna]],FALSE)</f>
        <v>0</v>
      </c>
      <c r="Y1466" s="181">
        <f>+VLOOKUP(PROVEEDORES[[#This Row],[ID RETENCION]],Retenciones!$A$1:$O$24,2,FALSE)</f>
        <v>0</v>
      </c>
    </row>
    <row r="1467" spans="1:25" ht="21.95" customHeight="1" x14ac:dyDescent="0.25">
      <c r="A1467" s="202" t="str">
        <f>+IF(PROVEEDORES[[#This Row],[FECHA DE PAGO]]=PROVEEDORES[[#This Row],[FECHA DE FACTURACIÓN]],"DE CONTADO","CRÉDITO")</f>
        <v>DE CONTADO</v>
      </c>
      <c r="B1467" s="41" t="b">
        <f>+IF((PROVEEDORES[[#This Row],[FECHA DE PAGO]]-PROVEEDORES[[#This Row],[FECHA DE FACTURACIÓN]])&gt;PROVEEDORES[[#This Row],[PLAZO Días]],"PAGO VENCIDO")</f>
        <v>0</v>
      </c>
      <c r="C1467" s="22">
        <f>+VLOOKUP(PROVEEDORES[[#This Row],[PROVEEDOR]],TERCEROS_INFO[#All],2,FALSE)</f>
        <v>30</v>
      </c>
      <c r="D1467" s="27">
        <f>+SUMIFS(PROVEEDORES[Total],PROVEEDORES[PROVEEDOR],PROVEEDORES[[#This Row],[PROVEEDOR]],PROVEEDORES[FECHA DE PAGO],"")</f>
        <v>0</v>
      </c>
      <c r="E1467" s="27"/>
      <c r="F1467" s="62">
        <f>+VLOOKUP(PROVEEDORES[[#This Row],[PROVEEDOR]],
                       Terceros!$A:$G,
                       6,
                       FALSE)</f>
        <v>0</v>
      </c>
      <c r="G1467" s="95">
        <v>44671</v>
      </c>
      <c r="H1467" s="28" t="s">
        <v>1008</v>
      </c>
      <c r="I1467" s="95">
        <v>44671</v>
      </c>
      <c r="J1467" s="38" t="s">
        <v>1320</v>
      </c>
      <c r="K1467" s="23">
        <v>348000</v>
      </c>
      <c r="L1467" s="23"/>
      <c r="M1467" s="24">
        <f>(PROVEEDORES[[#This Row],[SUBTOTAL]]-PROVEEDORES[[#This Row],[descuento antes de IVA]])*VLOOKUP(PROVEEDORES[[#This Row],[PROVEEDOR]],TERCEROS_INFO[#All],3,FALSE)</f>
        <v>0</v>
      </c>
      <c r="N1467" s="25"/>
      <c r="O1467" s="24">
        <f>+PROVEEDORES[[#This Row],[Descuento sobre subtotal %]]*(PROVEEDORES[[#This Row],[SUBTOTAL]]-PROVEEDORES[[#This Row],[descuento antes de IVA]])</f>
        <v>0</v>
      </c>
      <c r="P1467" s="136">
        <f>+IF(PROVEEDORES[[#This Row],[SUBTOTAL]]&lt;PROVEEDORES[[#This Row],[base retencion]],0,PROVEEDORES[[#This Row],[retención aplicada]])</f>
        <v>0</v>
      </c>
      <c r="Q1467" s="24">
        <f>+PROVEEDORES[[#This Row],[Rete Fuente %]]*PROVEEDORES[[#This Row],[SUBTOTAL]]</f>
        <v>0</v>
      </c>
      <c r="R1467" s="23">
        <f>+PROVEEDORES[[#This Row],[SUBTOTAL]]+PROVEEDORES[[#This Row],[IVA 19%]]-PROVEEDORES[[#This Row],[descuento antes de IVA]]-PROVEEDORES[[#This Row],[Descuento sobre subtotal $]]-PROVEEDORES[[#This Row],[Rete Fuente $]]</f>
        <v>348000</v>
      </c>
      <c r="S1467" s="2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7" s="176">
        <f ca="1">IF(PROVEEDORES[[#This Row],[FECHA DE PAGO]]=0,TODAY()-PROVEEDORES[[#This Row],[FECHA DE FACTURACIÓN]]-PROVEEDORES[[#This Row],[PLAZO Días]],0)</f>
        <v>0</v>
      </c>
      <c r="U1467" s="178">
        <f>+VLOOKUP(PROVEEDORES[[#This Row],[PROVEEDOR]],Terceros!$A:$E,5,FALSE)</f>
        <v>0</v>
      </c>
      <c r="V1467" s="179">
        <f>+YEAR(PROVEEDORES[[#This Row],[FECHA DE FACTURACIÓN]])</f>
        <v>2022</v>
      </c>
      <c r="W1467" s="179">
        <f>+MATCH(PROVEEDORES[[#This Row],[año facturado]],Retenciones!$1:$1,0)</f>
        <v>5</v>
      </c>
      <c r="X1467" s="184">
        <f>+VLOOKUP(PROVEEDORES[[#This Row],[ID RETENCION]],Retenciones!$A$1:$O$24,PROVEEDORES[[#This Row],[indicador de columna]],FALSE)</f>
        <v>0</v>
      </c>
      <c r="Y1467" s="181">
        <f>+VLOOKUP(PROVEEDORES[[#This Row],[ID RETENCION]],Retenciones!$A$1:$O$24,2,FALSE)</f>
        <v>0</v>
      </c>
    </row>
    <row r="1468" spans="1:25" ht="21.95" customHeight="1" x14ac:dyDescent="0.25">
      <c r="A1468" s="202" t="str">
        <f>+IF(PROVEEDORES[[#This Row],[FECHA DE PAGO]]=PROVEEDORES[[#This Row],[FECHA DE FACTURACIÓN]],"DE CONTADO","CRÉDITO")</f>
        <v>DE CONTADO</v>
      </c>
      <c r="B1468" s="41" t="b">
        <f>+IF((PROVEEDORES[[#This Row],[FECHA DE PAGO]]-PROVEEDORES[[#This Row],[FECHA DE FACTURACIÓN]])&gt;PROVEEDORES[[#This Row],[PLAZO Días]],"PAGO VENCIDO")</f>
        <v>0</v>
      </c>
      <c r="C1468" s="22">
        <f>+VLOOKUP(PROVEEDORES[[#This Row],[PROVEEDOR]],TERCEROS_INFO[#All],2,FALSE)</f>
        <v>30</v>
      </c>
      <c r="D1468" s="27">
        <f>+SUMIFS(PROVEEDORES[Total],PROVEEDORES[PROVEEDOR],PROVEEDORES[[#This Row],[PROVEEDOR]],PROVEEDORES[FECHA DE PAGO],"")</f>
        <v>0</v>
      </c>
      <c r="E1468" s="27"/>
      <c r="F1468" s="62" t="str">
        <f>+VLOOKUP(PROVEEDORES[[#This Row],[PROVEEDOR]],
                       Terceros!$A:$G,
                       6,
                       FALSE)</f>
        <v/>
      </c>
      <c r="G1468" s="95">
        <v>44680</v>
      </c>
      <c r="H1468" s="28" t="s">
        <v>1046</v>
      </c>
      <c r="I1468" s="95">
        <v>44680</v>
      </c>
      <c r="J1468" s="38"/>
      <c r="K1468" s="23">
        <v>900000</v>
      </c>
      <c r="L1468" s="23"/>
      <c r="M1468" s="24">
        <f>(PROVEEDORES[[#This Row],[SUBTOTAL]]-PROVEEDORES[[#This Row],[descuento antes de IVA]])*VLOOKUP(PROVEEDORES[[#This Row],[PROVEEDOR]],TERCEROS_INFO[#All],3,FALSE)</f>
        <v>0</v>
      </c>
      <c r="N1468" s="25"/>
      <c r="O1468" s="24">
        <f>+PROVEEDORES[[#This Row],[Descuento sobre subtotal %]]*(PROVEEDORES[[#This Row],[SUBTOTAL]]-PROVEEDORES[[#This Row],[descuento antes de IVA]])</f>
        <v>0</v>
      </c>
      <c r="P1468" s="136">
        <f>+IF(PROVEEDORES[[#This Row],[SUBTOTAL]]&lt;PROVEEDORES[[#This Row],[base retencion]],0,PROVEEDORES[[#This Row],[retención aplicada]])</f>
        <v>0</v>
      </c>
      <c r="Q1468" s="24">
        <f>+PROVEEDORES[[#This Row],[Rete Fuente %]]*PROVEEDORES[[#This Row],[SUBTOTAL]]</f>
        <v>0</v>
      </c>
      <c r="R1468" s="23">
        <f>+PROVEEDORES[[#This Row],[SUBTOTAL]]+PROVEEDORES[[#This Row],[IVA 19%]]-PROVEEDORES[[#This Row],[descuento antes de IVA]]-PROVEEDORES[[#This Row],[Descuento sobre subtotal $]]-PROVEEDORES[[#This Row],[Rete Fuente $]]</f>
        <v>900000</v>
      </c>
      <c r="S1468" s="2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8" s="176">
        <f ca="1">IF(PROVEEDORES[[#This Row],[FECHA DE PAGO]]=0,TODAY()-PROVEEDORES[[#This Row],[FECHA DE FACTURACIÓN]]-PROVEEDORES[[#This Row],[PLAZO Días]],0)</f>
        <v>0</v>
      </c>
      <c r="U1468" s="178">
        <f>+VLOOKUP(PROVEEDORES[[#This Row],[PROVEEDOR]],Terceros!$A:$E,5,FALSE)</f>
        <v>0</v>
      </c>
      <c r="V1468" s="179">
        <f>+YEAR(PROVEEDORES[[#This Row],[FECHA DE FACTURACIÓN]])</f>
        <v>2022</v>
      </c>
      <c r="W1468" s="179">
        <f>+MATCH(PROVEEDORES[[#This Row],[año facturado]],Retenciones!$1:$1,0)</f>
        <v>5</v>
      </c>
      <c r="X1468" s="184">
        <f>+VLOOKUP(PROVEEDORES[[#This Row],[ID RETENCION]],Retenciones!$A$1:$O$24,PROVEEDORES[[#This Row],[indicador de columna]],FALSE)</f>
        <v>0</v>
      </c>
      <c r="Y1468" s="181">
        <f>+VLOOKUP(PROVEEDORES[[#This Row],[ID RETENCION]],Retenciones!$A$1:$O$24,2,FALSE)</f>
        <v>0</v>
      </c>
    </row>
    <row r="1469" spans="1:25" ht="21.95" customHeight="1" x14ac:dyDescent="0.25">
      <c r="A1469" s="202" t="str">
        <f>+IF(PROVEEDORES[[#This Row],[FECHA DE PAGO]]=PROVEEDORES[[#This Row],[FECHA DE FACTURACIÓN]],"DE CONTADO","CRÉDITO")</f>
        <v>CRÉDITO</v>
      </c>
      <c r="B1469" s="41" t="b">
        <f>+IF((PROVEEDORES[[#This Row],[FECHA DE PAGO]]-PROVEEDORES[[#This Row],[FECHA DE FACTURACIÓN]])&gt;PROVEEDORES[[#This Row],[PLAZO Días]],"PAGO VENCIDO")</f>
        <v>0</v>
      </c>
      <c r="C1469" s="22">
        <f>+VLOOKUP(PROVEEDORES[[#This Row],[PROVEEDOR]],TERCEROS_INFO[#All],2,FALSE)</f>
        <v>30</v>
      </c>
      <c r="D1469" s="27">
        <f>+SUMIFS(PROVEEDORES[Total],PROVEEDORES[PROVEEDOR],PROVEEDORES[[#This Row],[PROVEEDOR]],PROVEEDORES[FECHA DE PAGO],"")</f>
        <v>367873.4</v>
      </c>
      <c r="E1469" s="27"/>
      <c r="F1469" s="62" t="str">
        <f>+VLOOKUP(PROVEEDORES[[#This Row],[PROVEEDOR]],
                       Terceros!$A:$G,
                       6,
                       FALSE)</f>
        <v>oswaldo.alvarez@logimexsas.com;girlesa.ruiz@servipilas.com;joriescobar64@gmail.com</v>
      </c>
      <c r="H1469" s="28" t="s">
        <v>120</v>
      </c>
      <c r="I1469" s="95">
        <v>44505</v>
      </c>
      <c r="J1469" s="38" t="s">
        <v>1321</v>
      </c>
      <c r="K1469" s="23">
        <v>367873.4</v>
      </c>
      <c r="L1469" s="23"/>
      <c r="M1469" s="24">
        <f>(PROVEEDORES[[#This Row],[SUBTOTAL]]-PROVEEDORES[[#This Row],[descuento antes de IVA]])*VLOOKUP(PROVEEDORES[[#This Row],[PROVEEDOR]],TERCEROS_INFO[#All],3,FALSE)</f>
        <v>0</v>
      </c>
      <c r="N1469" s="25"/>
      <c r="O1469" s="24">
        <f>+PROVEEDORES[[#This Row],[Descuento sobre subtotal %]]*(PROVEEDORES[[#This Row],[SUBTOTAL]]-PROVEEDORES[[#This Row],[descuento antes de IVA]])</f>
        <v>0</v>
      </c>
      <c r="P1469" s="136">
        <f>+IF(PROVEEDORES[[#This Row],[SUBTOTAL]]&lt;PROVEEDORES[[#This Row],[base retencion]],0,PROVEEDORES[[#This Row],[retención aplicada]])</f>
        <v>0</v>
      </c>
      <c r="Q1469" s="24">
        <f>+PROVEEDORES[[#This Row],[Rete Fuente %]]*PROVEEDORES[[#This Row],[SUBTOTAL]]</f>
        <v>0</v>
      </c>
      <c r="R1469" s="23">
        <f>+PROVEEDORES[[#This Row],[SUBTOTAL]]+PROVEEDORES[[#This Row],[IVA 19%]]-PROVEEDORES[[#This Row],[descuento antes de IVA]]-PROVEEDORES[[#This Row],[Descuento sobre subtotal $]]-PROVEEDORES[[#This Row],[Rete Fuente $]]</f>
        <v>367873.4</v>
      </c>
      <c r="S1469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469" s="176">
        <f ca="1">IF(PROVEEDORES[[#This Row],[FECHA DE PAGO]]=0,TODAY()-PROVEEDORES[[#This Row],[FECHA DE FACTURACIÓN]]-PROVEEDORES[[#This Row],[PLAZO Días]],0)</f>
        <v>149</v>
      </c>
      <c r="U1469" s="178">
        <f>+VLOOKUP(PROVEEDORES[[#This Row],[PROVEEDOR]],Terceros!$A:$E,5,FALSE)</f>
        <v>0</v>
      </c>
      <c r="V1469" s="179">
        <f>+YEAR(PROVEEDORES[[#This Row],[FECHA DE FACTURACIÓN]])</f>
        <v>2021</v>
      </c>
      <c r="W1469" s="179">
        <f>+MATCH(PROVEEDORES[[#This Row],[año facturado]],Retenciones!$1:$1,0)</f>
        <v>4</v>
      </c>
      <c r="X1469" s="184">
        <f>+VLOOKUP(PROVEEDORES[[#This Row],[ID RETENCION]],Retenciones!$A$1:$O$24,PROVEEDORES[[#This Row],[indicador de columna]],FALSE)</f>
        <v>0</v>
      </c>
      <c r="Y1469" s="181">
        <f>+VLOOKUP(PROVEEDORES[[#This Row],[ID RETENCION]],Retenciones!$A$1:$O$24,2,FALSE)</f>
        <v>0</v>
      </c>
    </row>
    <row r="1470" spans="1:25" ht="21.95" customHeight="1" x14ac:dyDescent="0.25">
      <c r="A1470" s="202" t="str">
        <f>+IF(PROVEEDORES[[#This Row],[FECHA DE PAGO]]=PROVEEDORES[[#This Row],[FECHA DE FACTURACIÓN]],"DE CONTADO","CRÉDITO")</f>
        <v>CRÉDITO</v>
      </c>
      <c r="B1470" s="41" t="b">
        <f>+IF((PROVEEDORES[[#This Row],[FECHA DE PAGO]]-PROVEEDORES[[#This Row],[FECHA DE FACTURACIÓN]])&gt;PROVEEDORES[[#This Row],[PLAZO Días]],"PAGO VENCIDO")</f>
        <v>0</v>
      </c>
      <c r="C1470" s="22">
        <f>+VLOOKUP(PROVEEDORES[[#This Row],[PROVEEDOR]],TERCEROS_INFO[#All],2,FALSE)</f>
        <v>30</v>
      </c>
      <c r="D1470" s="27">
        <f>+SUMIFS(PROVEEDORES[Total],PROVEEDORES[PROVEEDOR],PROVEEDORES[[#This Row],[PROVEEDOR]],PROVEEDORES[FECHA DE PAGO],"")</f>
        <v>627113.34</v>
      </c>
      <c r="E1470" s="27"/>
      <c r="F1470" s="62" t="str">
        <f>+VLOOKUP(PROVEEDORES[[#This Row],[PROVEEDOR]],
                       Terceros!$A:$G,
                       6,
                       FALSE)</f>
        <v>ventas@ismartsas.com;girlesa.ruiz@servipilas.com;joriescobar64@gmail.com</v>
      </c>
      <c r="H1470" s="28" t="s">
        <v>48</v>
      </c>
      <c r="I1470" s="95">
        <v>44676</v>
      </c>
      <c r="J1470" s="38" t="s">
        <v>1322</v>
      </c>
      <c r="K1470" s="23">
        <v>523580</v>
      </c>
      <c r="L1470" s="23"/>
      <c r="M1470" s="24">
        <f>(PROVEEDORES[[#This Row],[SUBTOTAL]]-PROVEEDORES[[#This Row],[descuento antes de IVA]])*VLOOKUP(PROVEEDORES[[#This Row],[PROVEEDOR]],TERCEROS_INFO[#All],3,FALSE)</f>
        <v>99480.2</v>
      </c>
      <c r="N1470" s="25"/>
      <c r="O1470" s="24">
        <f>+PROVEEDORES[[#This Row],[Descuento sobre subtotal %]]*(PROVEEDORES[[#This Row],[SUBTOTAL]]-PROVEEDORES[[#This Row],[descuento antes de IVA]])</f>
        <v>0</v>
      </c>
      <c r="P1470" s="136">
        <f>+IF(PROVEEDORES[[#This Row],[SUBTOTAL]]&lt;PROVEEDORES[[#This Row],[base retencion]],0,PROVEEDORES[[#This Row],[retención aplicada]])</f>
        <v>0</v>
      </c>
      <c r="Q1470" s="24">
        <f>+PROVEEDORES[[#This Row],[Rete Fuente %]]*PROVEEDORES[[#This Row],[SUBTOTAL]]</f>
        <v>0</v>
      </c>
      <c r="R1470" s="23">
        <f>+PROVEEDORES[[#This Row],[SUBTOTAL]]+PROVEEDORES[[#This Row],[IVA 19%]]-PROVEEDORES[[#This Row],[descuento antes de IVA]]-PROVEEDORES[[#This Row],[Descuento sobre subtotal $]]-PROVEEDORES[[#This Row],[Rete Fuente $]]</f>
        <v>623060.19999999995</v>
      </c>
      <c r="S1470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70" s="176">
        <f ca="1">IF(PROVEEDORES[[#This Row],[FECHA DE PAGO]]=0,TODAY()-PROVEEDORES[[#This Row],[FECHA DE FACTURACIÓN]]-PROVEEDORES[[#This Row],[PLAZO Días]],0)</f>
        <v>-22</v>
      </c>
      <c r="U1470" s="178" t="str">
        <f>+VLOOKUP(PROVEEDORES[[#This Row],[PROVEEDOR]],Terceros!$A:$E,5,FALSE)</f>
        <v>2,5% con base</v>
      </c>
      <c r="V1470" s="179">
        <f>+YEAR(PROVEEDORES[[#This Row],[FECHA DE FACTURACIÓN]])</f>
        <v>2022</v>
      </c>
      <c r="W1470" s="179">
        <f>+MATCH(PROVEEDORES[[#This Row],[año facturado]],Retenciones!$1:$1,0)</f>
        <v>5</v>
      </c>
      <c r="X1470" s="184">
        <f>+VLOOKUP(PROVEEDORES[[#This Row],[ID RETENCION]],Retenciones!$A$1:$O$24,PROVEEDORES[[#This Row],[indicador de columna]],FALSE)</f>
        <v>1026000</v>
      </c>
      <c r="Y1470" s="181">
        <f>+VLOOKUP(PROVEEDORES[[#This Row],[ID RETENCION]],Retenciones!$A$1:$O$24,2,FALSE)</f>
        <v>2.5000000000000001E-2</v>
      </c>
    </row>
    <row r="1471" spans="1:25" ht="21.95" customHeight="1" x14ac:dyDescent="0.25">
      <c r="A1471" s="202" t="str">
        <f>+IF(PROVEEDORES[[#This Row],[FECHA DE PAGO]]=PROVEEDORES[[#This Row],[FECHA DE FACTURACIÓN]],"DE CONTADO","CRÉDITO")</f>
        <v>CRÉDITO</v>
      </c>
      <c r="B1471" s="41" t="b">
        <f>+IF((PROVEEDORES[[#This Row],[FECHA DE PAGO]]-PROVEEDORES[[#This Row],[FECHA DE FACTURACIÓN]])&gt;PROVEEDORES[[#This Row],[PLAZO Días]],"PAGO VENCIDO")</f>
        <v>0</v>
      </c>
      <c r="C1471" s="22">
        <f>+VLOOKUP(PROVEEDORES[[#This Row],[PROVEEDOR]],TERCEROS_INFO[#All],2,FALSE)</f>
        <v>90</v>
      </c>
      <c r="D1471" s="27">
        <f>+SUMIFS(PROVEEDORES[Total],PROVEEDORES[PROVEEDOR],PROVEEDORES[[#This Row],[PROVEEDOR]],PROVEEDORES[FECHA DE PAGO],"")</f>
        <v>103407118</v>
      </c>
      <c r="E1471" s="27"/>
      <c r="F1471" s="62" t="str">
        <f>+VLOOKUP(PROVEEDORES[[#This Row],[PROVEEDOR]],
                       Terceros!$A:$G,
                       6,
                       FALSE)</f>
        <v>mcastillo@kenextrading.com;agarcia@kenextrading.com;girlesa.ruiz@servipilas.com;joriescobar64@gmail.com</v>
      </c>
      <c r="H1471" s="28" t="s">
        <v>31</v>
      </c>
      <c r="I1471" s="95">
        <v>44664</v>
      </c>
      <c r="J1471" s="38">
        <v>56405</v>
      </c>
      <c r="K1471" s="23">
        <f>16087.1*4000</f>
        <v>64348400</v>
      </c>
      <c r="L1471" s="23"/>
      <c r="M1471" s="24">
        <f>(PROVEEDORES[[#This Row],[SUBTOTAL]]-PROVEEDORES[[#This Row],[descuento antes de IVA]])*VLOOKUP(PROVEEDORES[[#This Row],[PROVEEDOR]],TERCEROS_INFO[#All],3,FALSE)</f>
        <v>0</v>
      </c>
      <c r="N1471" s="25"/>
      <c r="O1471" s="24">
        <f>+PROVEEDORES[[#This Row],[Descuento sobre subtotal %]]*(PROVEEDORES[[#This Row],[SUBTOTAL]]-PROVEEDORES[[#This Row],[descuento antes de IVA]])</f>
        <v>0</v>
      </c>
      <c r="P1471" s="136">
        <f>+IF(PROVEEDORES[[#This Row],[SUBTOTAL]]&lt;PROVEEDORES[[#This Row],[base retencion]],0,PROVEEDORES[[#This Row],[retención aplicada]])</f>
        <v>0</v>
      </c>
      <c r="Q1471" s="24">
        <f>+PROVEEDORES[[#This Row],[Rete Fuente %]]*PROVEEDORES[[#This Row],[SUBTOTAL]]</f>
        <v>0</v>
      </c>
      <c r="R1471" s="23">
        <f>+PROVEEDORES[[#This Row],[SUBTOTAL]]+PROVEEDORES[[#This Row],[IVA 19%]]-PROVEEDORES[[#This Row],[descuento antes de IVA]]-PROVEEDORES[[#This Row],[Descuento sobre subtotal $]]-PROVEEDORES[[#This Row],[Rete Fuente $]]</f>
        <v>64348400</v>
      </c>
      <c r="S1471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71" s="176">
        <f ca="1">IF(PROVEEDORES[[#This Row],[FECHA DE PAGO]]=0,TODAY()-PROVEEDORES[[#This Row],[FECHA DE FACTURACIÓN]]-PROVEEDORES[[#This Row],[PLAZO Días]],0)</f>
        <v>-70</v>
      </c>
      <c r="U1471" s="178">
        <f>+VLOOKUP(PROVEEDORES[[#This Row],[PROVEEDOR]],Terceros!$A:$E,5,FALSE)</f>
        <v>0</v>
      </c>
      <c r="V1471" s="179">
        <f>+YEAR(PROVEEDORES[[#This Row],[FECHA DE FACTURACIÓN]])</f>
        <v>2022</v>
      </c>
      <c r="W1471" s="179">
        <f>+MATCH(PROVEEDORES[[#This Row],[año facturado]],Retenciones!$1:$1,0)</f>
        <v>5</v>
      </c>
      <c r="X1471" s="184">
        <f>+VLOOKUP(PROVEEDORES[[#This Row],[ID RETENCION]],Retenciones!$A$1:$O$24,PROVEEDORES[[#This Row],[indicador de columna]],FALSE)</f>
        <v>0</v>
      </c>
      <c r="Y1471" s="181">
        <f>+VLOOKUP(PROVEEDORES[[#This Row],[ID RETENCION]],Retenciones!$A$1:$O$24,2,FALSE)</f>
        <v>0</v>
      </c>
    </row>
    <row r="1472" spans="1:25" ht="21.95" customHeight="1" x14ac:dyDescent="0.25">
      <c r="A1472" s="202" t="str">
        <f>+IF(PROVEEDORES[[#This Row],[FECHA DE PAGO]]=PROVEEDORES[[#This Row],[FECHA DE FACTURACIÓN]],"DE CONTADO","CRÉDITO")</f>
        <v>CRÉDITO</v>
      </c>
      <c r="B1472" s="41" t="b">
        <f>+IF((PROVEEDORES[[#This Row],[FECHA DE PAGO]]-PROVEEDORES[[#This Row],[FECHA DE FACTURACIÓN]])&gt;PROVEEDORES[[#This Row],[PLAZO Días]],"PAGO VENCIDO")</f>
        <v>0</v>
      </c>
      <c r="C1472" s="22">
        <f>+VLOOKUP(PROVEEDORES[[#This Row],[PROVEEDOR]],TERCEROS_INFO[#All],2,FALSE)</f>
        <v>60</v>
      </c>
      <c r="D1472" s="27">
        <f>+SUMIFS(PROVEEDORES[Total],PROVEEDORES[PROVEEDOR],PROVEEDORES[[#This Row],[PROVEEDOR]],PROVEEDORES[FECHA DE PAGO],"")</f>
        <v>11143041</v>
      </c>
      <c r="E1472" s="27"/>
      <c r="F1472" s="62">
        <f>+VLOOKUP(PROVEEDORES[[#This Row],[PROVEEDOR]],
                       Terceros!$A:$G,
                       6,
                       FALSE)</f>
        <v>0</v>
      </c>
      <c r="H1472" s="28" t="s">
        <v>507</v>
      </c>
      <c r="I1472" s="95">
        <v>44680</v>
      </c>
      <c r="J1472" s="38" t="s">
        <v>1323</v>
      </c>
      <c r="K1472" s="23">
        <v>4374000</v>
      </c>
      <c r="L1472" s="23"/>
      <c r="M1472" s="24">
        <f>(PROVEEDORES[[#This Row],[SUBTOTAL]]-PROVEEDORES[[#This Row],[descuento antes de IVA]])*VLOOKUP(PROVEEDORES[[#This Row],[PROVEEDOR]],TERCEROS_INFO[#All],3,FALSE)</f>
        <v>831060</v>
      </c>
      <c r="N1472" s="25"/>
      <c r="O1472" s="24">
        <f>+PROVEEDORES[[#This Row],[Descuento sobre subtotal %]]*(PROVEEDORES[[#This Row],[SUBTOTAL]]-PROVEEDORES[[#This Row],[descuento antes de IVA]])</f>
        <v>0</v>
      </c>
      <c r="P1472" s="136">
        <f>+IF(PROVEEDORES[[#This Row],[SUBTOTAL]]&lt;PROVEEDORES[[#This Row],[base retencion]],0,PROVEEDORES[[#This Row],[retención aplicada]])</f>
        <v>0</v>
      </c>
      <c r="Q1472" s="24">
        <f>+PROVEEDORES[[#This Row],[Rete Fuente %]]*PROVEEDORES[[#This Row],[SUBTOTAL]]</f>
        <v>0</v>
      </c>
      <c r="R1472" s="23">
        <f>+PROVEEDORES[[#This Row],[SUBTOTAL]]+PROVEEDORES[[#This Row],[IVA 19%]]-PROVEEDORES[[#This Row],[descuento antes de IVA]]-PROVEEDORES[[#This Row],[Descuento sobre subtotal $]]-PROVEEDORES[[#This Row],[Rete Fuente $]]</f>
        <v>5205060</v>
      </c>
      <c r="S1472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72" s="176">
        <f ca="1">IF(PROVEEDORES[[#This Row],[FECHA DE PAGO]]=0,TODAY()-PROVEEDORES[[#This Row],[FECHA DE FACTURACIÓN]]-PROVEEDORES[[#This Row],[PLAZO Días]],0)</f>
        <v>-56</v>
      </c>
      <c r="U1472" s="178">
        <f>+VLOOKUP(PROVEEDORES[[#This Row],[PROVEEDOR]],Terceros!$A:$E,5,FALSE)</f>
        <v>0</v>
      </c>
      <c r="V1472" s="179">
        <f>+YEAR(PROVEEDORES[[#This Row],[FECHA DE FACTURACIÓN]])</f>
        <v>2022</v>
      </c>
      <c r="W1472" s="179">
        <f>+MATCH(PROVEEDORES[[#This Row],[año facturado]],Retenciones!$1:$1,0)</f>
        <v>5</v>
      </c>
      <c r="X1472" s="184">
        <f>+VLOOKUP(PROVEEDORES[[#This Row],[ID RETENCION]],Retenciones!$A$1:$O$24,PROVEEDORES[[#This Row],[indicador de columna]],FALSE)</f>
        <v>0</v>
      </c>
      <c r="Y1472" s="181">
        <f>+VLOOKUP(PROVEEDORES[[#This Row],[ID RETENCION]],Retenciones!$A$1:$O$24,2,FALSE)</f>
        <v>0</v>
      </c>
    </row>
    <row r="1473" spans="1:25" ht="21.95" customHeight="1" x14ac:dyDescent="0.25">
      <c r="A1473" s="202" t="str">
        <f>+IF(PROVEEDORES[[#This Row],[FECHA DE PAGO]]=PROVEEDORES[[#This Row],[FECHA DE FACTURACIÓN]],"DE CONTADO","CRÉDITO")</f>
        <v>CRÉDITO</v>
      </c>
      <c r="B1473" s="41" t="b">
        <f>+IF((PROVEEDORES[[#This Row],[FECHA DE PAGO]]-PROVEEDORES[[#This Row],[FECHA DE FACTURACIÓN]])&gt;PROVEEDORES[[#This Row],[PLAZO Días]],"PAGO VENCIDO")</f>
        <v>0</v>
      </c>
      <c r="C1473" s="22">
        <f>+VLOOKUP(PROVEEDORES[[#This Row],[PROVEEDOR]],TERCEROS_INFO[#All],2,FALSE)</f>
        <v>60</v>
      </c>
      <c r="D1473" s="27">
        <f>+SUMIFS(PROVEEDORES[Total],PROVEEDORES[PROVEEDOR],PROVEEDORES[[#This Row],[PROVEEDOR]],PROVEEDORES[FECHA DE PAGO],"")</f>
        <v>11143041</v>
      </c>
      <c r="E1473" s="27"/>
      <c r="F1473" s="62">
        <f>+VLOOKUP(PROVEEDORES[[#This Row],[PROVEEDOR]],
                       Terceros!$A:$G,
                       6,
                       FALSE)</f>
        <v>0</v>
      </c>
      <c r="H1473" s="28" t="s">
        <v>507</v>
      </c>
      <c r="I1473" s="95">
        <v>44676</v>
      </c>
      <c r="J1473" s="38" t="s">
        <v>1324</v>
      </c>
      <c r="K1473" s="23">
        <v>4374000</v>
      </c>
      <c r="L1473" s="23"/>
      <c r="M1473" s="24">
        <f>(PROVEEDORES[[#This Row],[SUBTOTAL]]-PROVEEDORES[[#This Row],[descuento antes de IVA]])*VLOOKUP(PROVEEDORES[[#This Row],[PROVEEDOR]],TERCEROS_INFO[#All],3,FALSE)</f>
        <v>831060</v>
      </c>
      <c r="N1473" s="25"/>
      <c r="O1473" s="24">
        <f>+PROVEEDORES[[#This Row],[Descuento sobre subtotal %]]*(PROVEEDORES[[#This Row],[SUBTOTAL]]-PROVEEDORES[[#This Row],[descuento antes de IVA]])</f>
        <v>0</v>
      </c>
      <c r="P1473" s="136">
        <f>+IF(PROVEEDORES[[#This Row],[SUBTOTAL]]&lt;PROVEEDORES[[#This Row],[base retencion]],0,PROVEEDORES[[#This Row],[retención aplicada]])</f>
        <v>0</v>
      </c>
      <c r="Q1473" s="24">
        <f>+PROVEEDORES[[#This Row],[Rete Fuente %]]*PROVEEDORES[[#This Row],[SUBTOTAL]]</f>
        <v>0</v>
      </c>
      <c r="R1473" s="23">
        <f>+PROVEEDORES[[#This Row],[SUBTOTAL]]+PROVEEDORES[[#This Row],[IVA 19%]]-PROVEEDORES[[#This Row],[descuento antes de IVA]]-PROVEEDORES[[#This Row],[Descuento sobre subtotal $]]-PROVEEDORES[[#This Row],[Rete Fuente $]]</f>
        <v>5205060</v>
      </c>
      <c r="S1473" s="20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473" s="176">
        <f ca="1">IF(PROVEEDORES[[#This Row],[FECHA DE PAGO]]=0,TODAY()-PROVEEDORES[[#This Row],[FECHA DE FACTURACIÓN]]-PROVEEDORES[[#This Row],[PLAZO Días]],0)</f>
        <v>-52</v>
      </c>
      <c r="U1473" s="178">
        <f>+VLOOKUP(PROVEEDORES[[#This Row],[PROVEEDOR]],Terceros!$A:$E,5,FALSE)</f>
        <v>0</v>
      </c>
      <c r="V1473" s="179">
        <f>+YEAR(PROVEEDORES[[#This Row],[FECHA DE FACTURACIÓN]])</f>
        <v>2022</v>
      </c>
      <c r="W1473" s="179">
        <f>+MATCH(PROVEEDORES[[#This Row],[año facturado]],Retenciones!$1:$1,0)</f>
        <v>5</v>
      </c>
      <c r="X1473" s="184">
        <f>+VLOOKUP(PROVEEDORES[[#This Row],[ID RETENCION]],Retenciones!$A$1:$O$24,PROVEEDORES[[#This Row],[indicador de columna]],FALSE)</f>
        <v>0</v>
      </c>
      <c r="Y1473" s="181">
        <f>+VLOOKUP(PROVEEDORES[[#This Row],[ID RETENCION]],Retenciones!$A$1:$O$24,2,FALSE)</f>
        <v>0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C2:T1473">
    <cfRule type="expression" dxfId="62" priority="1" stopIfTrue="1">
      <formula>$S2="Por pagar"</formula>
    </cfRule>
    <cfRule type="expression" dxfId="61" priority="2" stopIfTrue="1">
      <formula>$S2="Vencida"</formula>
    </cfRule>
    <cfRule type="expression" dxfId="60" priority="3" stopIfTrue="1">
      <formula>$S2="Pagada"</formula>
    </cfRule>
  </conditionalFormatting>
  <pageMargins left="1.085" right="0.7" top="0.75" bottom="0.75" header="0.3" footer="0.3"/>
  <pageSetup scale="3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Primero crea el proveedor en la hoja &quot;Proveedores&quot;." xr:uid="{59BD0DFA-B100-4C67-97D4-F5C71F503F06}">
          <x14:formula1>
            <xm:f>Terceros!$A:$A</xm:f>
          </x14:formula1>
          <xm:sqref>H1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B03CC-5A0C-4916-99A0-2E4C399E9485}">
  <dimension ref="A1:AJ31"/>
  <sheetViews>
    <sheetView topLeftCell="C1" zoomScaleNormal="100" workbookViewId="0">
      <selection activeCell="I28" sqref="I28:I31"/>
    </sheetView>
  </sheetViews>
  <sheetFormatPr baseColWidth="10" defaultColWidth="0" defaultRowHeight="21.95" customHeight="1" x14ac:dyDescent="0.25"/>
  <cols>
    <col min="1" max="1" width="10" style="123" hidden="1" customWidth="1"/>
    <col min="2" max="2" width="15.5703125" style="110" hidden="1" customWidth="1"/>
    <col min="3" max="3" width="9.5703125" style="124" customWidth="1"/>
    <col min="4" max="4" width="13.85546875" style="112" customWidth="1"/>
    <col min="5" max="5" width="39.28515625" style="124" customWidth="1"/>
    <col min="6" max="6" width="13.85546875" style="125" customWidth="1"/>
    <col min="7" max="7" width="17.28515625" style="125" customWidth="1"/>
    <col min="8" max="8" width="17.85546875" style="125" customWidth="1"/>
    <col min="9" max="9" width="12.42578125" style="126" customWidth="1"/>
    <col min="10" max="10" width="15.85546875" style="120" hidden="1" customWidth="1"/>
    <col min="11" max="11" width="14.140625" style="120" hidden="1" customWidth="1"/>
    <col min="12" max="12" width="11.42578125" hidden="1" customWidth="1"/>
    <col min="13" max="13" width="11.42578125" style="108" hidden="1" customWidth="1"/>
    <col min="14" max="14" width="11.42578125" hidden="1" customWidth="1"/>
    <col min="15" max="16" width="11.42578125" style="118" hidden="1" customWidth="1"/>
    <col min="17" max="17" width="13.5703125" style="120" hidden="1" customWidth="1"/>
    <col min="18" max="18" width="11.42578125" style="119" hidden="1" customWidth="1"/>
    <col min="19" max="19" width="14.85546875" style="119" hidden="1" customWidth="1"/>
    <col min="20" max="20" width="23.7109375" style="119" hidden="1" customWidth="1"/>
    <col min="21" max="21" width="11.5703125" style="119" hidden="1" customWidth="1"/>
    <col min="22" max="22" width="12.42578125" style="120" hidden="1" customWidth="1"/>
    <col min="23" max="23" width="17.140625" style="121" hidden="1" customWidth="1"/>
    <col min="24" max="24" width="11.42578125" style="119" hidden="1" customWidth="1"/>
    <col min="25" max="26" width="17.140625" style="119" hidden="1" customWidth="1"/>
    <col min="27" max="27" width="11.42578125" style="119" hidden="1" customWidth="1"/>
    <col min="28" max="30" width="17.140625" style="119" hidden="1" customWidth="1"/>
    <col min="31" max="31" width="11.42578125" style="119" hidden="1" customWidth="1"/>
    <col min="32" max="33" width="17.140625" style="119" hidden="1" customWidth="1"/>
    <col min="34" max="34" width="11.42578125" style="119" hidden="1" customWidth="1"/>
    <col min="35" max="36" width="17.140625" style="119" hidden="1" customWidth="1"/>
    <col min="37" max="16384" width="11.42578125" style="119" hidden="1"/>
  </cols>
  <sheetData>
    <row r="1" spans="1:23" s="107" customFormat="1" ht="62.25" customHeight="1" x14ac:dyDescent="0.25">
      <c r="A1" s="101" t="s">
        <v>8</v>
      </c>
      <c r="B1" s="101" t="s">
        <v>191</v>
      </c>
      <c r="C1" s="102" t="s">
        <v>128</v>
      </c>
      <c r="D1" s="103" t="s">
        <v>6</v>
      </c>
      <c r="E1" s="103" t="s">
        <v>3</v>
      </c>
      <c r="F1" s="104" t="s">
        <v>1</v>
      </c>
      <c r="G1" s="105" t="s">
        <v>2</v>
      </c>
      <c r="H1" s="103" t="s">
        <v>1212</v>
      </c>
      <c r="I1" s="106" t="s">
        <v>1247</v>
      </c>
      <c r="K1" s="108"/>
    </row>
    <row r="2" spans="1:23" ht="21.95" hidden="1" customHeight="1" x14ac:dyDescent="0.25">
      <c r="A2" s="109" t="str">
        <f>+IF(PROVEEDORES3[[#This Row],[FECHA DE PAGO]]=PROVEEDORES3[[#This Row],[FECHA DE FACTURACIÓN]],"DE CONTADO","CRÉDITO")</f>
        <v>CRÉDITO</v>
      </c>
      <c r="B2" s="110" t="e">
        <f>+IF((PROVEEDORES3[[#This Row],[FECHA DE PAGO]]-PROVEEDORES3[[#This Row],[FECHA DE FACTURACIÓN]])&gt;#REF!,"PAGO VENCIDO")</f>
        <v>#REF!</v>
      </c>
      <c r="C2" s="111">
        <f>+VLOOKUP(PROVEEDORES3[[#This Row],[PROVEEDOR]],TERCEROS_INFO[[PROVEEDOR]:[CORREO]],5,FALSE)</f>
        <v>0</v>
      </c>
      <c r="D2" s="112">
        <v>44357</v>
      </c>
      <c r="E2" s="113" t="s">
        <v>38</v>
      </c>
      <c r="F2" s="114">
        <v>44257</v>
      </c>
      <c r="G2" s="115" t="s">
        <v>293</v>
      </c>
      <c r="H2" s="116">
        <f>2578.4</f>
        <v>2578.4</v>
      </c>
      <c r="I2" s="117"/>
      <c r="J2" s="118"/>
      <c r="K2" s="108"/>
      <c r="L2" s="119"/>
      <c r="M2" s="119"/>
      <c r="N2" s="119"/>
      <c r="O2" s="119"/>
      <c r="P2" s="120"/>
      <c r="Q2" s="121"/>
      <c r="V2" s="119"/>
      <c r="W2" s="119"/>
    </row>
    <row r="3" spans="1:23" ht="21.95" hidden="1" customHeight="1" x14ac:dyDescent="0.25">
      <c r="A3" s="109" t="str">
        <f>+IF(PROVEEDORES3[[#This Row],[FECHA DE PAGO]]=PROVEEDORES3[[#This Row],[FECHA DE FACTURACIÓN]],"DE CONTADO","CRÉDITO")</f>
        <v>CRÉDITO</v>
      </c>
      <c r="B3" s="110" t="e">
        <f>+IF((PROVEEDORES3[[#This Row],[FECHA DE PAGO]]-PROVEEDORES3[[#This Row],[FECHA DE FACTURACIÓN]])&gt;#REF!,"PAGO VENCIDO")</f>
        <v>#REF!</v>
      </c>
      <c r="C3" s="111">
        <f>+VLOOKUP(PROVEEDORES3[[#This Row],[PROVEEDOR]],TERCEROS_INFO[[PROVEEDOR]:[CORREO]],5,FALSE)</f>
        <v>0</v>
      </c>
      <c r="D3" s="112">
        <v>44503</v>
      </c>
      <c r="E3" s="122" t="s">
        <v>604</v>
      </c>
      <c r="F3" s="114">
        <v>44470</v>
      </c>
      <c r="G3" s="115" t="s">
        <v>575</v>
      </c>
      <c r="H3" s="116">
        <f>48</f>
        <v>48</v>
      </c>
      <c r="I3" s="117"/>
      <c r="J3" s="118"/>
      <c r="K3" s="108"/>
      <c r="L3" s="119"/>
      <c r="M3" s="119"/>
      <c r="N3" s="119"/>
      <c r="O3" s="119"/>
      <c r="P3" s="120"/>
      <c r="Q3" s="121"/>
      <c r="V3" s="119"/>
      <c r="W3" s="119"/>
    </row>
    <row r="4" spans="1:23" ht="21.95" hidden="1" customHeight="1" x14ac:dyDescent="0.25">
      <c r="A4" s="109" t="str">
        <f>+IF(PROVEEDORES3[[#This Row],[FECHA DE PAGO]]=PROVEEDORES3[[#This Row],[FECHA DE FACTURACIÓN]],"DE CONTADO","CRÉDITO")</f>
        <v>CRÉDITO</v>
      </c>
      <c r="B4" s="110" t="e">
        <f>+IF((PROVEEDORES3[[#This Row],[FECHA DE PAGO]]-PROVEEDORES3[[#This Row],[FECHA DE FACTURACIÓN]])&gt;#REF!,"PAGO VENCIDO")</f>
        <v>#REF!</v>
      </c>
      <c r="C4" s="111">
        <f>+VLOOKUP(PROVEEDORES3[[#This Row],[PROVEEDOR]],TERCEROS_INFO[[PROVEEDOR]:[CORREO]],5,FALSE)</f>
        <v>0</v>
      </c>
      <c r="D4" s="112">
        <v>44503</v>
      </c>
      <c r="E4" s="113" t="s">
        <v>606</v>
      </c>
      <c r="F4" s="114">
        <v>44490</v>
      </c>
      <c r="G4" s="115" t="s">
        <v>560</v>
      </c>
      <c r="H4" s="116">
        <f>425.14</f>
        <v>425.14</v>
      </c>
      <c r="I4" s="117"/>
      <c r="J4" s="118"/>
      <c r="K4" s="108"/>
      <c r="L4" s="119"/>
      <c r="M4" s="119"/>
      <c r="N4" s="119"/>
      <c r="O4" s="119"/>
      <c r="P4" s="120"/>
      <c r="Q4" s="121"/>
      <c r="V4" s="119"/>
      <c r="W4" s="119"/>
    </row>
    <row r="5" spans="1:23" ht="21.95" hidden="1" customHeight="1" x14ac:dyDescent="0.25">
      <c r="A5" s="109" t="str">
        <f>+IF(PROVEEDORES3[[#This Row],[FECHA DE PAGO]]=PROVEEDORES3[[#This Row],[FECHA DE FACTURACIÓN]],"DE CONTADO","CRÉDITO")</f>
        <v>CRÉDITO</v>
      </c>
      <c r="B5" s="110" t="e">
        <f>+IF((PROVEEDORES3[[#This Row],[FECHA DE PAGO]]-PROVEEDORES3[[#This Row],[FECHA DE FACTURACIÓN]])&gt;#REF!,"PAGO VENCIDO")</f>
        <v>#REF!</v>
      </c>
      <c r="C5" s="111">
        <f>+VLOOKUP(PROVEEDORES3[[#This Row],[PROVEEDOR]],TERCEROS_INFO[[PROVEEDOR]:[CORREO]],5,FALSE)</f>
        <v>0</v>
      </c>
      <c r="D5" s="112">
        <v>44503</v>
      </c>
      <c r="E5" s="113" t="s">
        <v>606</v>
      </c>
      <c r="F5" s="114">
        <v>44495</v>
      </c>
      <c r="G5" s="115" t="s">
        <v>564</v>
      </c>
      <c r="H5" s="116">
        <f>630</f>
        <v>630</v>
      </c>
      <c r="I5" s="117"/>
      <c r="J5" s="118"/>
      <c r="K5" s="108"/>
      <c r="L5" s="119"/>
      <c r="M5" s="119"/>
      <c r="N5" s="119"/>
      <c r="O5" s="119"/>
      <c r="P5" s="120"/>
      <c r="Q5" s="121"/>
      <c r="V5" s="119"/>
      <c r="W5" s="119"/>
    </row>
    <row r="6" spans="1:23" ht="21.95" hidden="1" customHeight="1" x14ac:dyDescent="0.25">
      <c r="A6" s="109" t="str">
        <f>+IF(PROVEEDORES3[[#This Row],[FECHA DE PAGO]]=PROVEEDORES3[[#This Row],[FECHA DE FACTURACIÓN]],"DE CONTADO","CRÉDITO")</f>
        <v>CRÉDITO</v>
      </c>
      <c r="B6" s="110" t="e">
        <f>+IF((PROVEEDORES3[[#This Row],[FECHA DE PAGO]]-PROVEEDORES3[[#This Row],[FECHA DE FACTURACIÓN]])&gt;#REF!,"PAGO VENCIDO")</f>
        <v>#REF!</v>
      </c>
      <c r="C6" s="111">
        <f>+VLOOKUP(PROVEEDORES3[[#This Row],[PROVEEDOR]],TERCEROS_INFO[[PROVEEDOR]:[CORREO]],5,FALSE)</f>
        <v>0</v>
      </c>
      <c r="D6" s="112">
        <v>44503</v>
      </c>
      <c r="E6" s="113" t="s">
        <v>604</v>
      </c>
      <c r="F6" s="114">
        <v>44500</v>
      </c>
      <c r="G6" s="115" t="s">
        <v>574</v>
      </c>
      <c r="H6" s="116">
        <f>148.6</f>
        <v>148.6</v>
      </c>
      <c r="I6" s="117"/>
      <c r="J6" s="118"/>
      <c r="K6" s="108"/>
      <c r="L6" s="119"/>
      <c r="M6" s="119"/>
      <c r="N6" s="119"/>
      <c r="O6" s="119"/>
      <c r="P6" s="120"/>
      <c r="Q6" s="121"/>
      <c r="V6" s="119"/>
      <c r="W6" s="119"/>
    </row>
    <row r="7" spans="1:23" ht="21.95" hidden="1" customHeight="1" x14ac:dyDescent="0.25">
      <c r="A7" s="109" t="str">
        <f>+IF(PROVEEDORES3[[#This Row],[FECHA DE PAGO]]=PROVEEDORES3[[#This Row],[FECHA DE FACTURACIÓN]],"DE CONTADO","CRÉDITO")</f>
        <v>CRÉDITO</v>
      </c>
      <c r="B7" s="110" t="e">
        <f>+IF((PROVEEDORES3[[#This Row],[FECHA DE PAGO]]-PROVEEDORES3[[#This Row],[FECHA DE FACTURACIÓN]])&gt;#REF!,"PAGO VENCIDO")</f>
        <v>#REF!</v>
      </c>
      <c r="C7" s="111">
        <f>+VLOOKUP(PROVEEDORES3[[#This Row],[PROVEEDOR]],TERCEROS_INFO[[PROVEEDOR]:[CORREO]],5,FALSE)</f>
        <v>0</v>
      </c>
      <c r="D7" s="112">
        <v>44586</v>
      </c>
      <c r="E7" s="113" t="s">
        <v>604</v>
      </c>
      <c r="F7" s="114">
        <v>44501</v>
      </c>
      <c r="G7" s="115" t="s">
        <v>868</v>
      </c>
      <c r="H7" s="116">
        <f>56</f>
        <v>56</v>
      </c>
      <c r="I7" s="117"/>
      <c r="J7" s="118"/>
      <c r="K7" s="108"/>
      <c r="L7" s="119"/>
      <c r="M7" s="119"/>
      <c r="N7" s="119"/>
      <c r="O7" s="119"/>
      <c r="P7" s="120"/>
      <c r="Q7" s="121"/>
      <c r="V7" s="119"/>
      <c r="W7" s="119"/>
    </row>
    <row r="8" spans="1:23" ht="21.95" hidden="1" customHeight="1" x14ac:dyDescent="0.25">
      <c r="A8" s="109" t="str">
        <f>+IF(PROVEEDORES3[[#This Row],[FECHA DE PAGO]]=PROVEEDORES3[[#This Row],[FECHA DE FACTURACIÓN]],"DE CONTADO","CRÉDITO")</f>
        <v>CRÉDITO</v>
      </c>
      <c r="B8" s="110" t="e">
        <f>+IF((PROVEEDORES3[[#This Row],[FECHA DE PAGO]]-PROVEEDORES3[[#This Row],[FECHA DE FACTURACIÓN]])&gt;#REF!,"PAGO VENCIDO")</f>
        <v>#REF!</v>
      </c>
      <c r="C8" s="111">
        <f>+VLOOKUP(PROVEEDORES3[[#This Row],[PROVEEDOR]],TERCEROS_INFO[[PROVEEDOR]:[CORREO]],5,FALSE)</f>
        <v>0</v>
      </c>
      <c r="D8" s="112">
        <v>44586</v>
      </c>
      <c r="E8" s="113" t="s">
        <v>604</v>
      </c>
      <c r="F8" s="114">
        <v>44510</v>
      </c>
      <c r="G8" s="115" t="s">
        <v>601</v>
      </c>
      <c r="H8" s="116">
        <f>68</f>
        <v>68</v>
      </c>
      <c r="I8" s="117"/>
      <c r="J8" s="118"/>
      <c r="K8" s="108"/>
      <c r="L8" s="119"/>
      <c r="M8" s="119"/>
      <c r="N8" s="119"/>
      <c r="O8" s="119"/>
      <c r="P8" s="120"/>
      <c r="Q8" s="121"/>
      <c r="V8" s="119"/>
      <c r="W8" s="119"/>
    </row>
    <row r="9" spans="1:23" ht="21.95" hidden="1" customHeight="1" x14ac:dyDescent="0.25">
      <c r="A9" s="109" t="str">
        <f>+IF(PROVEEDORES3[[#This Row],[FECHA DE PAGO]]=PROVEEDORES3[[#This Row],[FECHA DE FACTURACIÓN]],"DE CONTADO","CRÉDITO")</f>
        <v>CRÉDITO</v>
      </c>
      <c r="B9" s="110" t="e">
        <f>+IF((PROVEEDORES3[[#This Row],[FECHA DE PAGO]]-PROVEEDORES3[[#This Row],[FECHA DE FACTURACIÓN]])&gt;#REF!,"PAGO VENCIDO")</f>
        <v>#REF!</v>
      </c>
      <c r="C9" s="111">
        <f>+VLOOKUP(PROVEEDORES3[[#This Row],[PROVEEDOR]],TERCEROS_INFO[[PROVEEDOR]:[CORREO]],5,FALSE)</f>
        <v>0</v>
      </c>
      <c r="D9" s="112">
        <v>44572</v>
      </c>
      <c r="E9" s="113" t="s">
        <v>38</v>
      </c>
      <c r="F9" s="114">
        <v>44531</v>
      </c>
      <c r="G9" s="115" t="s">
        <v>918</v>
      </c>
      <c r="H9" s="116">
        <f>1269.6</f>
        <v>1269.5999999999999</v>
      </c>
      <c r="I9" s="117"/>
      <c r="J9" s="118"/>
      <c r="K9" s="108"/>
      <c r="L9" s="119"/>
      <c r="M9" s="119"/>
      <c r="N9" s="119"/>
      <c r="O9" s="119"/>
      <c r="P9" s="120"/>
      <c r="Q9" s="121"/>
      <c r="V9" s="119"/>
      <c r="W9" s="119"/>
    </row>
    <row r="10" spans="1:23" ht="21.95" hidden="1" customHeight="1" x14ac:dyDescent="0.25">
      <c r="A10" s="109" t="str">
        <f>+IF(PROVEEDORES3[[#This Row],[FECHA DE PAGO]]=PROVEEDORES3[[#This Row],[FECHA DE FACTURACIÓN]],"DE CONTADO","CRÉDITO")</f>
        <v>CRÉDITO</v>
      </c>
      <c r="B10" s="110" t="e">
        <f>+IF((PROVEEDORES3[[#This Row],[FECHA DE PAGO]]-PROVEEDORES3[[#This Row],[FECHA DE FACTURACIÓN]])&gt;#REF!,"PAGO VENCIDO")</f>
        <v>#REF!</v>
      </c>
      <c r="C10" s="111">
        <f>+VLOOKUP(PROVEEDORES3[[#This Row],[PROVEEDOR]],TERCEROS_INFO[[PROVEEDOR]:[CORREO]],5,FALSE)</f>
        <v>0</v>
      </c>
      <c r="D10" s="112">
        <v>44572</v>
      </c>
      <c r="E10" s="113" t="s">
        <v>38</v>
      </c>
      <c r="F10" s="114">
        <v>44531</v>
      </c>
      <c r="G10" s="115" t="s">
        <v>919</v>
      </c>
      <c r="H10" s="116">
        <f>5507.2</f>
        <v>5507.2</v>
      </c>
      <c r="I10" s="117"/>
      <c r="J10" s="118"/>
      <c r="K10" s="108"/>
      <c r="L10" s="119"/>
      <c r="M10" s="119"/>
      <c r="N10" s="119"/>
      <c r="O10" s="119"/>
      <c r="P10" s="120"/>
      <c r="Q10" s="121"/>
      <c r="V10" s="119"/>
      <c r="W10" s="119"/>
    </row>
    <row r="11" spans="1:23" ht="21.95" hidden="1" customHeight="1" x14ac:dyDescent="0.25">
      <c r="A11" s="109" t="str">
        <f>+IF(PROVEEDORES3[[#This Row],[FECHA DE PAGO]]=PROVEEDORES3[[#This Row],[FECHA DE FACTURACIÓN]],"DE CONTADO","CRÉDITO")</f>
        <v>CRÉDITO</v>
      </c>
      <c r="B11" s="110" t="e">
        <f>+IF((PROVEEDORES3[[#This Row],[FECHA DE PAGO]]-PROVEEDORES3[[#This Row],[FECHA DE FACTURACIÓN]])&gt;#REF!,"PAGO VENCIDO")</f>
        <v>#REF!</v>
      </c>
      <c r="C11" s="111">
        <f>+VLOOKUP(PROVEEDORES3[[#This Row],[PROVEEDOR]],TERCEROS_INFO[[PROVEEDOR]:[CORREO]],5,FALSE)</f>
        <v>0</v>
      </c>
      <c r="D11" s="112">
        <v>44586</v>
      </c>
      <c r="E11" s="113" t="s">
        <v>604</v>
      </c>
      <c r="F11" s="114">
        <v>44533</v>
      </c>
      <c r="G11" s="115" t="s">
        <v>889</v>
      </c>
      <c r="H11" s="116">
        <f>116</f>
        <v>116</v>
      </c>
      <c r="I11" s="117"/>
      <c r="J11" s="118"/>
      <c r="K11" s="108"/>
      <c r="L11" s="119"/>
      <c r="M11" s="119"/>
      <c r="N11" s="119"/>
      <c r="O11" s="119"/>
      <c r="P11" s="120"/>
      <c r="Q11" s="121"/>
      <c r="V11" s="119"/>
      <c r="W11" s="119"/>
    </row>
    <row r="12" spans="1:23" ht="21.95" hidden="1" customHeight="1" x14ac:dyDescent="0.25">
      <c r="A12" s="109" t="str">
        <f>+IF(PROVEEDORES3[[#This Row],[FECHA DE PAGO]]=PROVEEDORES3[[#This Row],[FECHA DE FACTURACIÓN]],"DE CONTADO","CRÉDITO")</f>
        <v>CRÉDITO</v>
      </c>
      <c r="B12" s="110" t="e">
        <f>+IF((PROVEEDORES3[[#This Row],[FECHA DE PAGO]]-PROVEEDORES3[[#This Row],[FECHA DE FACTURACIÓN]])&gt;#REF!,"PAGO VENCIDO")</f>
        <v>#REF!</v>
      </c>
      <c r="C12" s="111">
        <f>+VLOOKUP(PROVEEDORES3[[#This Row],[PROVEEDOR]],TERCEROS_INFO[[PROVEEDOR]:[CORREO]],5,FALSE)</f>
        <v>0</v>
      </c>
      <c r="D12" s="112">
        <v>44586</v>
      </c>
      <c r="E12" s="113" t="s">
        <v>604</v>
      </c>
      <c r="F12" s="114">
        <v>44533</v>
      </c>
      <c r="G12" s="115" t="s">
        <v>888</v>
      </c>
      <c r="H12" s="116">
        <f>48</f>
        <v>48</v>
      </c>
      <c r="I12" s="117"/>
      <c r="J12" s="118"/>
      <c r="K12" s="108"/>
      <c r="L12" s="119"/>
      <c r="M12" s="119"/>
      <c r="N12" s="119"/>
      <c r="O12" s="119"/>
      <c r="P12" s="120"/>
      <c r="Q12" s="121"/>
      <c r="V12" s="119"/>
      <c r="W12" s="119"/>
    </row>
    <row r="13" spans="1:23" ht="21.95" hidden="1" customHeight="1" x14ac:dyDescent="0.25">
      <c r="A13" s="109" t="str">
        <f>+IF(PROVEEDORES3[[#This Row],[FECHA DE PAGO]]=PROVEEDORES3[[#This Row],[FECHA DE FACTURACIÓN]],"DE CONTADO","CRÉDITO")</f>
        <v>CRÉDITO</v>
      </c>
      <c r="B13" s="110" t="e">
        <f>+IF((PROVEEDORES3[[#This Row],[FECHA DE PAGO]]-PROVEEDORES3[[#This Row],[FECHA DE FACTURACIÓN]])&gt;#REF!,"PAGO VENCIDO")</f>
        <v>#REF!</v>
      </c>
      <c r="C13" s="111">
        <f>+VLOOKUP(PROVEEDORES3[[#This Row],[PROVEEDOR]],TERCEROS_INFO[[PROVEEDOR]:[CORREO]],5,FALSE)</f>
        <v>0</v>
      </c>
      <c r="D13" s="112">
        <v>44586</v>
      </c>
      <c r="E13" s="113" t="s">
        <v>604</v>
      </c>
      <c r="F13" s="114">
        <v>44537</v>
      </c>
      <c r="G13" s="115" t="s">
        <v>892</v>
      </c>
      <c r="H13" s="116">
        <f>60</f>
        <v>60</v>
      </c>
      <c r="I13" s="117"/>
      <c r="J13" s="118"/>
      <c r="K13" s="108"/>
      <c r="L13" s="119"/>
      <c r="M13" s="119"/>
      <c r="N13" s="119"/>
      <c r="O13" s="119"/>
      <c r="P13" s="120"/>
      <c r="Q13" s="121"/>
      <c r="V13" s="119"/>
      <c r="W13" s="119"/>
    </row>
    <row r="14" spans="1:23" ht="21.95" hidden="1" customHeight="1" x14ac:dyDescent="0.25">
      <c r="A14" s="109" t="str">
        <f>+IF(PROVEEDORES3[[#This Row],[FECHA DE PAGO]]=PROVEEDORES3[[#This Row],[FECHA DE FACTURACIÓN]],"DE CONTADO","CRÉDITO")</f>
        <v>CRÉDITO</v>
      </c>
      <c r="B14" s="110" t="e">
        <f>+IF((PROVEEDORES3[[#This Row],[FECHA DE PAGO]]-PROVEEDORES3[[#This Row],[FECHA DE FACTURACIÓN]])&gt;#REF!,"PAGO VENCIDO")</f>
        <v>#REF!</v>
      </c>
      <c r="C14" s="111">
        <f>+VLOOKUP(PROVEEDORES3[[#This Row],[PROVEEDOR]],TERCEROS_INFO[[PROVEEDOR]:[CORREO]],5,FALSE)</f>
        <v>0</v>
      </c>
      <c r="D14" s="112">
        <v>44586</v>
      </c>
      <c r="E14" s="113" t="s">
        <v>606</v>
      </c>
      <c r="F14" s="114">
        <v>44539</v>
      </c>
      <c r="G14" s="115" t="s">
        <v>655</v>
      </c>
      <c r="H14" s="116">
        <f>560</f>
        <v>560</v>
      </c>
      <c r="I14" s="117"/>
      <c r="J14" s="118"/>
      <c r="K14" s="108"/>
      <c r="L14" s="119"/>
      <c r="M14" s="119"/>
      <c r="N14" s="119"/>
      <c r="O14" s="119"/>
      <c r="P14" s="120"/>
      <c r="Q14" s="121"/>
      <c r="V14" s="119"/>
      <c r="W14" s="119"/>
    </row>
    <row r="15" spans="1:23" ht="21.95" hidden="1" customHeight="1" x14ac:dyDescent="0.25">
      <c r="A15" s="109" t="str">
        <f>+IF(PROVEEDORES3[[#This Row],[FECHA DE PAGO]]=PROVEEDORES3[[#This Row],[FECHA DE FACTURACIÓN]],"DE CONTADO","CRÉDITO")</f>
        <v>CRÉDITO</v>
      </c>
      <c r="B15" s="110" t="e">
        <f>+IF((PROVEEDORES3[[#This Row],[FECHA DE PAGO]]-PROVEEDORES3[[#This Row],[FECHA DE FACTURACIÓN]])&gt;#REF!,"PAGO VENCIDO")</f>
        <v>#REF!</v>
      </c>
      <c r="C15" s="111">
        <f>+VLOOKUP(PROVEEDORES3[[#This Row],[PROVEEDOR]],TERCEROS_INFO[[PROVEEDOR]:[CORREO]],5,FALSE)</f>
        <v>0</v>
      </c>
      <c r="D15" s="112">
        <v>44623</v>
      </c>
      <c r="E15" s="113" t="s">
        <v>604</v>
      </c>
      <c r="F15" s="114">
        <v>44552</v>
      </c>
      <c r="G15" s="115" t="s">
        <v>913</v>
      </c>
      <c r="H15" s="116">
        <v>76</v>
      </c>
      <c r="I15" s="117">
        <f>+PROVEEDORES3[[#This Row],[Total USD]]*3828.5</f>
        <v>290966</v>
      </c>
      <c r="J15" s="118"/>
      <c r="K15" s="108"/>
      <c r="L15" s="119"/>
      <c r="M15" s="119"/>
      <c r="N15" s="119"/>
      <c r="O15" s="119"/>
      <c r="P15" s="120"/>
      <c r="Q15" s="121"/>
      <c r="V15" s="119"/>
      <c r="W15" s="119"/>
    </row>
    <row r="16" spans="1:23" ht="21.95" hidden="1" customHeight="1" x14ac:dyDescent="0.25">
      <c r="A16" s="109" t="str">
        <f>+IF(PROVEEDORES3[[#This Row],[FECHA DE PAGO]]=PROVEEDORES3[[#This Row],[FECHA DE FACTURACIÓN]],"DE CONTADO","CRÉDITO")</f>
        <v>CRÉDITO</v>
      </c>
      <c r="B16" s="110" t="e">
        <f>+IF((PROVEEDORES3[[#This Row],[FECHA DE PAGO]]-PROVEEDORES3[[#This Row],[FECHA DE FACTURACIÓN]])&gt;#REF!,"PAGO VENCIDO")</f>
        <v>#REF!</v>
      </c>
      <c r="C16" s="111">
        <f>+VLOOKUP(PROVEEDORES3[[#This Row],[PROVEEDOR]],TERCEROS_INFO[[PROVEEDOR]:[CORREO]],5,FALSE)</f>
        <v>0</v>
      </c>
      <c r="D16" s="112">
        <v>44623</v>
      </c>
      <c r="E16" s="122" t="s">
        <v>604</v>
      </c>
      <c r="F16" s="114">
        <v>44557</v>
      </c>
      <c r="G16" s="115">
        <v>1294</v>
      </c>
      <c r="H16" s="116">
        <f>60</f>
        <v>60</v>
      </c>
      <c r="I16" s="117">
        <f>+PROVEEDORES3[[#This Row],[Total USD]]*3828.5</f>
        <v>229710</v>
      </c>
      <c r="J16"/>
      <c r="K16" s="108"/>
      <c r="M16" s="118"/>
      <c r="N16" s="118"/>
      <c r="O16" s="120"/>
      <c r="P16" s="119"/>
      <c r="Q16" s="119"/>
      <c r="T16" s="120"/>
      <c r="U16" s="121"/>
      <c r="V16" s="119"/>
      <c r="W16" s="119"/>
    </row>
    <row r="17" spans="1:23" ht="21.95" hidden="1" customHeight="1" x14ac:dyDescent="0.25">
      <c r="A17" s="109" t="str">
        <f>+IF(PROVEEDORES3[[#This Row],[FECHA DE PAGO]]=PROVEEDORES3[[#This Row],[FECHA DE FACTURACIÓN]],"DE CONTADO","CRÉDITO")</f>
        <v>CRÉDITO</v>
      </c>
      <c r="B17" s="110" t="e">
        <f>+IF((PROVEEDORES3[[#This Row],[FECHA DE PAGO]]-PROVEEDORES3[[#This Row],[FECHA DE FACTURACIÓN]])&gt;#REF!,"PAGO VENCIDO")</f>
        <v>#REF!</v>
      </c>
      <c r="C17" s="111">
        <f>+VLOOKUP(PROVEEDORES3[[#This Row],[PROVEEDOR]],TERCEROS_INFO[[PROVEEDOR]:[CORREO]],5,FALSE)</f>
        <v>0</v>
      </c>
      <c r="D17" s="112">
        <v>44623</v>
      </c>
      <c r="E17" s="122" t="s">
        <v>604</v>
      </c>
      <c r="F17" s="114">
        <v>44557</v>
      </c>
      <c r="G17" s="115">
        <v>1293</v>
      </c>
      <c r="H17" s="116">
        <f>56</f>
        <v>56</v>
      </c>
      <c r="I17" s="117">
        <f>+PROVEEDORES3[[#This Row],[Total USD]]*3828.5</f>
        <v>214396</v>
      </c>
      <c r="J17"/>
      <c r="K17" s="108"/>
      <c r="M17" s="118"/>
      <c r="N17" s="118"/>
      <c r="O17" s="120"/>
      <c r="P17" s="119"/>
      <c r="Q17" s="119"/>
      <c r="T17" s="120"/>
      <c r="U17" s="121"/>
      <c r="V17" s="119"/>
      <c r="W17" s="119"/>
    </row>
    <row r="18" spans="1:23" ht="21.95" hidden="1" customHeight="1" x14ac:dyDescent="0.25">
      <c r="A18" s="109" t="str">
        <f>+IF(PROVEEDORES3[[#This Row],[FECHA DE PAGO]]=PROVEEDORES3[[#This Row],[FECHA DE FACTURACIÓN]],"DE CONTADO","CRÉDITO")</f>
        <v>CRÉDITO</v>
      </c>
      <c r="B18" s="110" t="e">
        <f>+IF((PROVEEDORES3[[#This Row],[FECHA DE PAGO]]-PROVEEDORES3[[#This Row],[FECHA DE FACTURACIÓN]])&gt;#REF!,"PAGO VENCIDO")</f>
        <v>#REF!</v>
      </c>
      <c r="C18" s="111">
        <f>+VLOOKUP(PROVEEDORES3[[#This Row],[PROVEEDOR]],TERCEROS_INFO[[PROVEEDOR]:[CORREO]],5,FALSE)</f>
        <v>0</v>
      </c>
      <c r="D18" s="112">
        <v>44623</v>
      </c>
      <c r="E18" s="122" t="s">
        <v>944</v>
      </c>
      <c r="F18" s="114">
        <v>44557</v>
      </c>
      <c r="G18" s="115" t="s">
        <v>945</v>
      </c>
      <c r="H18" s="116">
        <f>695</f>
        <v>695</v>
      </c>
      <c r="I18" s="117">
        <f>+PROVEEDORES3[[#This Row],[Total USD]]*3828.5</f>
        <v>2660807.5</v>
      </c>
      <c r="J18"/>
      <c r="K18" s="108"/>
      <c r="M18" s="118"/>
      <c r="N18" s="118"/>
      <c r="O18" s="120"/>
      <c r="P18" s="119"/>
      <c r="Q18" s="119"/>
      <c r="T18" s="120"/>
      <c r="U18" s="121"/>
      <c r="V18" s="119"/>
      <c r="W18" s="119"/>
    </row>
    <row r="19" spans="1:23" ht="21.95" hidden="1" customHeight="1" x14ac:dyDescent="0.25">
      <c r="A19" s="109" t="str">
        <f>+IF(PROVEEDORES3[[#This Row],[FECHA DE PAGO]]=PROVEEDORES3[[#This Row],[FECHA DE FACTURACIÓN]],"DE CONTADO","CRÉDITO")</f>
        <v>CRÉDITO</v>
      </c>
      <c r="B19" s="110" t="e">
        <f>+IF((PROVEEDORES3[[#This Row],[FECHA DE PAGO]]-PROVEEDORES3[[#This Row],[FECHA DE FACTURACIÓN]])&gt;#REF!,"PAGO VENCIDO")</f>
        <v>#REF!</v>
      </c>
      <c r="C19" s="111">
        <f>+VLOOKUP(PROVEEDORES3[[#This Row],[PROVEEDOR]],TERCEROS_INFO[[PROVEEDOR]:[CORREO]],5,FALSE)</f>
        <v>0</v>
      </c>
      <c r="D19" s="112">
        <v>44585</v>
      </c>
      <c r="E19" s="113" t="s">
        <v>27</v>
      </c>
      <c r="F19" s="114">
        <v>44580</v>
      </c>
      <c r="G19" s="115">
        <v>130713</v>
      </c>
      <c r="H19" s="116">
        <f>2216</f>
        <v>2216</v>
      </c>
      <c r="I19" s="117"/>
    </row>
    <row r="20" spans="1:23" ht="21.95" hidden="1" customHeight="1" x14ac:dyDescent="0.25">
      <c r="A20" s="109" t="str">
        <f>+IF(PROVEEDORES3[[#This Row],[FECHA DE PAGO]]=PROVEEDORES3[[#This Row],[FECHA DE FACTURACIÓN]],"DE CONTADO","CRÉDITO")</f>
        <v>CRÉDITO</v>
      </c>
      <c r="B20" s="110" t="e">
        <f>+IF((PROVEEDORES3[[#This Row],[FECHA DE PAGO]]-PROVEEDORES3[[#This Row],[FECHA DE FACTURACIÓN]])&gt;#REF!,"PAGO VENCIDO")</f>
        <v>#REF!</v>
      </c>
      <c r="C20" s="111">
        <f>+VLOOKUP(PROVEEDORES3[[#This Row],[PROVEEDOR]],TERCEROS_INFO[[PROVEEDOR]:[CORREO]],5,FALSE)</f>
        <v>0</v>
      </c>
      <c r="D20" s="112">
        <v>44623</v>
      </c>
      <c r="E20" s="113" t="s">
        <v>604</v>
      </c>
      <c r="F20" s="114">
        <v>44586</v>
      </c>
      <c r="G20" s="115" t="s">
        <v>1086</v>
      </c>
      <c r="H20" s="116">
        <v>44</v>
      </c>
      <c r="I20" s="117">
        <f>+PROVEEDORES3[[#This Row],[Total USD]]*3828.5</f>
        <v>168454</v>
      </c>
    </row>
    <row r="21" spans="1:23" ht="21.95" hidden="1" customHeight="1" x14ac:dyDescent="0.25">
      <c r="A21" s="109" t="str">
        <f>+IF(PROVEEDORES3[[#This Row],[FECHA DE PAGO]]=PROVEEDORES3[[#This Row],[FECHA DE FACTURACIÓN]],"DE CONTADO","CRÉDITO")</f>
        <v>CRÉDITO</v>
      </c>
      <c r="B21" s="110" t="e">
        <f>+IF((PROVEEDORES3[[#This Row],[FECHA DE PAGO]]-PROVEEDORES3[[#This Row],[FECHA DE FACTURACIÓN]])&gt;#REF!,"PAGO VENCIDO")</f>
        <v>#REF!</v>
      </c>
      <c r="C21" s="111">
        <f>+VLOOKUP(PROVEEDORES3[[#This Row],[PROVEEDOR]],TERCEROS_INFO[[PROVEEDOR]:[CORREO]],5,FALSE)</f>
        <v>0</v>
      </c>
      <c r="D21" s="112">
        <v>44623</v>
      </c>
      <c r="E21" s="113" t="s">
        <v>605</v>
      </c>
      <c r="F21" s="114">
        <v>44587</v>
      </c>
      <c r="G21" s="115" t="s">
        <v>1089</v>
      </c>
      <c r="H21" s="116">
        <v>660</v>
      </c>
      <c r="I21" s="117">
        <f>+PROVEEDORES3[[#This Row],[Total USD]]*3828.5</f>
        <v>2526810</v>
      </c>
    </row>
    <row r="22" spans="1:23" ht="21.95" hidden="1" customHeight="1" x14ac:dyDescent="0.25">
      <c r="A22" s="109" t="str">
        <f>+IF(PROVEEDORES3[[#This Row],[FECHA DE PAGO]]=PROVEEDORES3[[#This Row],[FECHA DE FACTURACIÓN]],"DE CONTADO","CRÉDITO")</f>
        <v>CRÉDITO</v>
      </c>
      <c r="B22" s="110" t="e">
        <f>+IF((PROVEEDORES3[[#This Row],[FECHA DE PAGO]]-PROVEEDORES3[[#This Row],[FECHA DE FACTURACIÓN]])&gt;#REF!,"PAGO VENCIDO")</f>
        <v>#REF!</v>
      </c>
      <c r="C22" s="111">
        <f>+VLOOKUP(PROVEEDORES3[[#This Row],[PROVEEDOR]],TERCEROS_INFO[[PROVEEDOR]:[CORREO]],5,FALSE)</f>
        <v>0</v>
      </c>
      <c r="E22" s="113" t="s">
        <v>604</v>
      </c>
      <c r="F22" s="114">
        <v>44607</v>
      </c>
      <c r="G22" s="115" t="s">
        <v>1155</v>
      </c>
      <c r="H22" s="116">
        <v>48</v>
      </c>
      <c r="I22" s="117">
        <f>+PROVEEDORES3[[#This Row],[Total USD]]*4000</f>
        <v>192000</v>
      </c>
    </row>
    <row r="23" spans="1:23" ht="21.95" hidden="1" customHeight="1" x14ac:dyDescent="0.25">
      <c r="A23" s="109" t="str">
        <f>+IF(PROVEEDORES3[[#This Row],[FECHA DE PAGO]]=PROVEEDORES3[[#This Row],[FECHA DE FACTURACIÓN]],"DE CONTADO","CRÉDITO")</f>
        <v>CRÉDITO</v>
      </c>
      <c r="B23" s="110" t="e">
        <f>+IF((PROVEEDORES3[[#This Row],[FECHA DE PAGO]]-PROVEEDORES3[[#This Row],[FECHA DE FACTURACIÓN]])&gt;#REF!,"PAGO VENCIDO")</f>
        <v>#REF!</v>
      </c>
      <c r="C23" s="111">
        <f>+VLOOKUP(PROVEEDORES3[[#This Row],[PROVEEDOR]],TERCEROS_INFO[[PROVEEDOR]:[CORREO]],5,FALSE)</f>
        <v>0</v>
      </c>
      <c r="E23" s="113" t="s">
        <v>604</v>
      </c>
      <c r="F23" s="114">
        <v>44617</v>
      </c>
      <c r="G23" s="115">
        <v>1342</v>
      </c>
      <c r="H23" s="116">
        <v>52</v>
      </c>
      <c r="I23" s="117">
        <f>+PROVEEDORES3[[#This Row],[Total USD]]*4000</f>
        <v>208000</v>
      </c>
    </row>
    <row r="24" spans="1:23" ht="21.95" hidden="1" customHeight="1" x14ac:dyDescent="0.25">
      <c r="A24" s="109" t="str">
        <f>+IF(PROVEEDORES3[[#This Row],[FECHA DE PAGO]]=PROVEEDORES3[[#This Row],[FECHA DE FACTURACIÓN]],"DE CONTADO","CRÉDITO")</f>
        <v>CRÉDITO</v>
      </c>
      <c r="B24" s="110" t="e">
        <f>+IF((PROVEEDORES3[[#This Row],[FECHA DE PAGO]]-PROVEEDORES3[[#This Row],[FECHA DE FACTURACIÓN]])&gt;#REF!,"PAGO VENCIDO")</f>
        <v>#REF!</v>
      </c>
      <c r="C24" s="111">
        <f>+VLOOKUP(PROVEEDORES3[[#This Row],[PROVEEDOR]],TERCEROS_INFO[[PROVEEDOR]:[CORREO]],5,FALSE)</f>
        <v>0</v>
      </c>
      <c r="E24" s="113" t="s">
        <v>604</v>
      </c>
      <c r="F24" s="114">
        <v>44539</v>
      </c>
      <c r="G24" s="115" t="s">
        <v>1213</v>
      </c>
      <c r="H24" s="116">
        <v>57</v>
      </c>
      <c r="I24" s="117">
        <f>+PROVEEDORES3[[#This Row],[Total USD]]*4000</f>
        <v>228000</v>
      </c>
    </row>
    <row r="25" spans="1:23" ht="21.95" hidden="1" customHeight="1" x14ac:dyDescent="0.25">
      <c r="A25" s="109" t="str">
        <f>+IF(PROVEEDORES3[[#This Row],[FECHA DE PAGO]]=PROVEEDORES3[[#This Row],[FECHA DE FACTURACIÓN]],"DE CONTADO","CRÉDITO")</f>
        <v>CRÉDITO</v>
      </c>
      <c r="B25" s="110" t="e">
        <f>+IF((PROVEEDORES3[[#This Row],[FECHA DE PAGO]]-PROVEEDORES3[[#This Row],[FECHA DE FACTURACIÓN]])&gt;#REF!,"PAGO VENCIDO")</f>
        <v>#REF!</v>
      </c>
      <c r="C25" s="111">
        <f>+VLOOKUP(PROVEEDORES3[[#This Row],[PROVEEDOR]],TERCEROS_INFO[[PROVEEDOR]:[CORREO]],5,FALSE)</f>
        <v>0</v>
      </c>
      <c r="E25" s="122" t="s">
        <v>944</v>
      </c>
      <c r="F25" s="114">
        <v>44560</v>
      </c>
      <c r="G25" s="115" t="s">
        <v>1214</v>
      </c>
      <c r="H25" s="116">
        <v>0.5</v>
      </c>
      <c r="I25" s="117">
        <f>+PROVEEDORES3[[#This Row],[Total USD]]*4000</f>
        <v>2000</v>
      </c>
    </row>
    <row r="26" spans="1:23" ht="21.95" hidden="1" customHeight="1" x14ac:dyDescent="0.25">
      <c r="A26" s="109" t="str">
        <f>+IF(PROVEEDORES3[[#This Row],[FECHA DE PAGO]]=PROVEEDORES3[[#This Row],[FECHA DE FACTURACIÓN]],"DE CONTADO","CRÉDITO")</f>
        <v>CRÉDITO</v>
      </c>
      <c r="B26" s="110" t="e">
        <f>+IF((PROVEEDORES3[[#This Row],[FECHA DE PAGO]]-PROVEEDORES3[[#This Row],[FECHA DE FACTURACIÓN]])&gt;#REF!,"PAGO VENCIDO")</f>
        <v>#REF!</v>
      </c>
      <c r="C26" s="111">
        <f>+VLOOKUP(PROVEEDORES3[[#This Row],[PROVEEDOR]],TERCEROS_INFO[[PROVEEDOR]:[CORREO]],5,FALSE)</f>
        <v>0</v>
      </c>
      <c r="E26" s="113" t="s">
        <v>604</v>
      </c>
      <c r="F26" s="114">
        <v>44617</v>
      </c>
      <c r="G26" s="115" t="s">
        <v>1148</v>
      </c>
      <c r="H26" s="116">
        <v>52</v>
      </c>
      <c r="I26" s="117">
        <f>+PROVEEDORES3[[#This Row],[Total USD]]*4000</f>
        <v>208000</v>
      </c>
    </row>
    <row r="27" spans="1:23" ht="21.95" hidden="1" customHeight="1" x14ac:dyDescent="0.25">
      <c r="A27" s="109" t="str">
        <f>+IF(PROVEEDORES3[[#This Row],[FECHA DE PAGO]]=PROVEEDORES3[[#This Row],[FECHA DE FACTURACIÓN]],"DE CONTADO","CRÉDITO")</f>
        <v>CRÉDITO</v>
      </c>
      <c r="B27" s="110" t="e">
        <f>+IF((PROVEEDORES3[[#This Row],[FECHA DE PAGO]]-PROVEEDORES3[[#This Row],[FECHA DE FACTURACIÓN]])&gt;#REF!,"PAGO VENCIDO")</f>
        <v>#REF!</v>
      </c>
      <c r="C27" s="111">
        <f>+VLOOKUP(PROVEEDORES3[[#This Row],[PROVEEDOR]],TERCEROS_INFO[[PROVEEDOR]:[CORREO]],5,FALSE)</f>
        <v>0</v>
      </c>
      <c r="E27" s="113" t="s">
        <v>604</v>
      </c>
      <c r="F27" s="114">
        <v>44643</v>
      </c>
      <c r="G27" s="115" t="s">
        <v>1117</v>
      </c>
      <c r="H27" s="116">
        <v>112</v>
      </c>
      <c r="I27" s="117">
        <f>+PROVEEDORES3[[#This Row],[Total USD]]*4000</f>
        <v>448000</v>
      </c>
    </row>
    <row r="28" spans="1:23" ht="21.95" customHeight="1" x14ac:dyDescent="0.25">
      <c r="A28" s="109" t="str">
        <f>+IF(PROVEEDORES3[[#This Row],[FECHA DE PAGO]]=PROVEEDORES3[[#This Row],[FECHA DE FACTURACIÓN]],"DE CONTADO","CRÉDITO")</f>
        <v>CRÉDITO</v>
      </c>
      <c r="B28" s="110" t="e">
        <f>+IF((PROVEEDORES3[[#This Row],[FECHA DE PAGO]]-PROVEEDORES3[[#This Row],[FECHA DE FACTURACIÓN]])&gt;#REF!,"PAGO VENCIDO")</f>
        <v>#REF!</v>
      </c>
      <c r="C28" s="111">
        <f>+VLOOKUP(PROVEEDORES3[[#This Row],[PROVEEDOR]],TERCEROS_INFO[[PROVEEDOR]:[CORREO]],5,FALSE)</f>
        <v>0</v>
      </c>
      <c r="E28" s="113" t="s">
        <v>31</v>
      </c>
      <c r="F28" s="114">
        <v>44629</v>
      </c>
      <c r="G28" s="115">
        <v>56143</v>
      </c>
      <c r="H28" s="116">
        <v>10278.61</v>
      </c>
      <c r="I28" s="117">
        <f>+PROVEEDORES3[[#This Row],[Total USD]]*3828.5</f>
        <v>39351658.385000005</v>
      </c>
    </row>
    <row r="29" spans="1:23" ht="21.95" hidden="1" customHeight="1" x14ac:dyDescent="0.25">
      <c r="A29" s="109" t="str">
        <f>+IF(PROVEEDORES3[[#This Row],[FECHA DE PAGO]]=PROVEEDORES3[[#This Row],[FECHA DE FACTURACIÓN]],"DE CONTADO","CRÉDITO")</f>
        <v>CRÉDITO</v>
      </c>
      <c r="B29" s="110" t="e">
        <f>+IF((PROVEEDORES3[[#This Row],[FECHA DE PAGO]]-PROVEEDORES3[[#This Row],[FECHA DE FACTURACIÓN]])&gt;#REF!,"PAGO VENCIDO")</f>
        <v>#REF!</v>
      </c>
      <c r="C29" s="111">
        <f>+VLOOKUP(PROVEEDORES3[[#This Row],[PROVEEDOR]],TERCEROS_INFO[[PROVEEDOR]:[CORREO]],5,FALSE)</f>
        <v>0</v>
      </c>
      <c r="E29" s="113" t="s">
        <v>606</v>
      </c>
      <c r="F29" s="114">
        <v>44656</v>
      </c>
      <c r="G29" s="115" t="s">
        <v>993</v>
      </c>
      <c r="H29" s="116">
        <v>349.5</v>
      </c>
      <c r="I29" s="117">
        <f>+PROVEEDORES3[[#This Row],[Total USD]]*4000</f>
        <v>1398000</v>
      </c>
    </row>
    <row r="30" spans="1:23" ht="21.95" hidden="1" customHeight="1" x14ac:dyDescent="0.25">
      <c r="A30" s="190" t="str">
        <f>+IF(PROVEEDORES3[[#This Row],[FECHA DE PAGO]]=PROVEEDORES3[[#This Row],[FECHA DE FACTURACIÓN]],"DE CONTADO","CRÉDITO")</f>
        <v>CRÉDITO</v>
      </c>
      <c r="B30" s="191" t="e">
        <f>+IF((PROVEEDORES3[[#This Row],[FECHA DE PAGO]]-PROVEEDORES3[[#This Row],[FECHA DE FACTURACIÓN]])&gt;#REF!,"PAGO VENCIDO")</f>
        <v>#REF!</v>
      </c>
      <c r="C30" s="192">
        <f>+VLOOKUP(PROVEEDORES3[[#This Row],[PROVEEDOR]],TERCEROS_INFO[[PROVEEDOR]:[CORREO]],5,FALSE)</f>
        <v>0</v>
      </c>
      <c r="D30" s="189"/>
      <c r="E30" s="113" t="s">
        <v>604</v>
      </c>
      <c r="F30" s="193">
        <v>44676</v>
      </c>
      <c r="G30" s="194" t="s">
        <v>1303</v>
      </c>
      <c r="H30" s="195">
        <v>40</v>
      </c>
      <c r="I30" s="117">
        <f>+PROVEEDORES3[[#This Row],[Total USD]]*4000</f>
        <v>160000</v>
      </c>
    </row>
    <row r="31" spans="1:23" ht="21.95" customHeight="1" x14ac:dyDescent="0.25">
      <c r="A31" s="204" t="str">
        <f>+IF(PROVEEDORES3[[#This Row],[FECHA DE PAGO]]=PROVEEDORES3[[#This Row],[FECHA DE FACTURACIÓN]],"DE CONTADO","CRÉDITO")</f>
        <v>CRÉDITO</v>
      </c>
      <c r="B31" s="191" t="e">
        <f>+IF((PROVEEDORES3[[#This Row],[FECHA DE PAGO]]-PROVEEDORES3[[#This Row],[FECHA DE FACTURACIÓN]])&gt;#REF!,"PAGO VENCIDO")</f>
        <v>#REF!</v>
      </c>
      <c r="C31" s="192">
        <f>+VLOOKUP(PROVEEDORES3[[#This Row],[PROVEEDOR]],TERCEROS_INFO[[PROVEEDOR]:[CORREO]],5,FALSE)</f>
        <v>0</v>
      </c>
      <c r="D31" s="189"/>
      <c r="E31" s="28" t="s">
        <v>31</v>
      </c>
      <c r="F31" s="205">
        <v>44664</v>
      </c>
      <c r="G31" s="38">
        <v>56405</v>
      </c>
      <c r="H31" s="206">
        <f>16087.1</f>
        <v>16087.1</v>
      </c>
      <c r="I31" s="196">
        <f>+PROVEEDORES3[[#This Row],[Total USD]]*4000</f>
        <v>64348400</v>
      </c>
    </row>
  </sheetData>
  <sheetProtection formatCells="0" formatColumns="0" formatRows="0" insertColumns="0" insertRows="0" insertHyperlinks="0" deleteColumns="0" deleteRows="0" sort="0" autoFilter="0" pivotTables="0"/>
  <conditionalFormatting sqref="E29:E30 I29:I30 C1:I27">
    <cfRule type="expression" dxfId="123" priority="10">
      <formula>#REF!="Por pagar"</formula>
    </cfRule>
    <cfRule type="expression" dxfId="122" priority="11">
      <formula>#REF!="Vencida"</formula>
    </cfRule>
    <cfRule type="expression" dxfId="121" priority="12">
      <formula>#REF!="Pagada"</formula>
    </cfRule>
  </conditionalFormatting>
  <conditionalFormatting sqref="E26:F26 E27">
    <cfRule type="expression" dxfId="120" priority="13" stopIfTrue="1">
      <formula>#REF!="Por pagar"</formula>
    </cfRule>
    <cfRule type="expression" dxfId="119" priority="14" stopIfTrue="1">
      <formula>#REF!="Vencida"</formula>
    </cfRule>
    <cfRule type="expression" dxfId="118" priority="15" stopIfTrue="1">
      <formula>#REF!="Pagada"</formula>
    </cfRule>
  </conditionalFormatting>
  <conditionalFormatting sqref="E30">
    <cfRule type="expression" dxfId="117" priority="7" stopIfTrue="1">
      <formula>#REF!="Por pagar"</formula>
    </cfRule>
    <cfRule type="expression" dxfId="116" priority="8" stopIfTrue="1">
      <formula>#REF!="Vencida"</formula>
    </cfRule>
    <cfRule type="expression" dxfId="115" priority="9" stopIfTrue="1">
      <formula>#REF!="Pagada"</formula>
    </cfRule>
  </conditionalFormatting>
  <conditionalFormatting sqref="E31:H31">
    <cfRule type="expression" dxfId="102" priority="4" stopIfTrue="1">
      <formula>$S31="Por pagar"</formula>
    </cfRule>
    <cfRule type="expression" dxfId="101" priority="5" stopIfTrue="1">
      <formula>$S31="Vencida"</formula>
    </cfRule>
    <cfRule type="expression" dxfId="100" priority="6" stopIfTrue="1">
      <formula>$S31="Pagada"</formula>
    </cfRule>
  </conditionalFormatting>
  <conditionalFormatting sqref="E31">
    <cfRule type="expression" dxfId="99" priority="1" stopIfTrue="1">
      <formula>$S31="Por pagar"</formula>
    </cfRule>
    <cfRule type="expression" dxfId="98" priority="2" stopIfTrue="1">
      <formula>$S31="Vencida"</formula>
    </cfRule>
    <cfRule type="expression" dxfId="97" priority="3" stopIfTrue="1">
      <formula>$S31="Pagada"</formula>
    </cfRule>
  </conditionalFormatting>
  <pageMargins left="1.085" right="0.7" top="0.75" bottom="0.75" header="0.3" footer="0.3"/>
  <pageSetup scale="39" orientation="portrait" r:id="rId1"/>
  <colBreaks count="1" manualBreakCount="1">
    <brk id="10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86ACA-6084-4CD6-B691-3C5102800CEA}">
  <sheetPr codeName="Hoja10"/>
  <dimension ref="A1:AD40"/>
  <sheetViews>
    <sheetView zoomScaleNormal="100" workbookViewId="0">
      <selection activeCell="AC21" sqref="AC21"/>
    </sheetView>
  </sheetViews>
  <sheetFormatPr baseColWidth="10" defaultColWidth="14.42578125" defaultRowHeight="15" x14ac:dyDescent="0.25"/>
  <cols>
    <col min="1" max="1" width="31.5703125" style="44" customWidth="1"/>
    <col min="2" max="6" width="12.5703125" style="44" hidden="1" customWidth="1"/>
    <col min="7" max="13" width="14.140625" style="44" hidden="1" customWidth="1"/>
    <col min="14" max="14" width="14.85546875" style="44" hidden="1" customWidth="1"/>
    <col min="15" max="16" width="14.140625" style="44" hidden="1" customWidth="1"/>
    <col min="17" max="18" width="14.85546875" style="44" hidden="1" customWidth="1"/>
    <col min="19" max="24" width="14.140625" style="44" hidden="1" customWidth="1"/>
    <col min="25" max="25" width="14.140625" style="44" customWidth="1"/>
    <col min="26" max="27" width="14.42578125" style="44"/>
    <col min="28" max="28" width="15.7109375" style="44" customWidth="1"/>
    <col min="29" max="29" width="14.85546875" style="44" bestFit="1" customWidth="1"/>
    <col min="30" max="16384" width="14.42578125" style="44"/>
  </cols>
  <sheetData>
    <row r="1" spans="1:30" x14ac:dyDescent="0.25">
      <c r="A1" s="127" t="s">
        <v>160</v>
      </c>
      <c r="B1" s="127">
        <v>43831</v>
      </c>
      <c r="C1" s="127">
        <v>43862</v>
      </c>
      <c r="D1" s="127">
        <v>43891</v>
      </c>
      <c r="E1" s="127">
        <v>43922</v>
      </c>
      <c r="F1" s="127">
        <v>43952</v>
      </c>
      <c r="G1" s="127">
        <v>43983</v>
      </c>
      <c r="H1" s="127">
        <v>44013</v>
      </c>
      <c r="I1" s="127">
        <v>44044</v>
      </c>
      <c r="J1" s="127">
        <v>44075</v>
      </c>
      <c r="K1" s="127">
        <v>44105</v>
      </c>
      <c r="L1" s="127">
        <v>44136</v>
      </c>
      <c r="M1" s="127">
        <v>44166</v>
      </c>
      <c r="N1" s="127">
        <v>44197</v>
      </c>
      <c r="O1" s="127">
        <v>44228</v>
      </c>
      <c r="P1" s="59">
        <v>44256</v>
      </c>
      <c r="Q1" s="59">
        <v>44287</v>
      </c>
      <c r="R1" s="59">
        <v>44317</v>
      </c>
      <c r="S1" s="59">
        <v>44348</v>
      </c>
      <c r="T1" s="59">
        <v>44378</v>
      </c>
      <c r="U1" s="59">
        <v>44409</v>
      </c>
      <c r="V1" s="59">
        <v>44440</v>
      </c>
      <c r="W1" s="59">
        <v>44470</v>
      </c>
      <c r="X1" s="59">
        <v>44501</v>
      </c>
      <c r="Y1" s="59">
        <v>44531</v>
      </c>
      <c r="Z1" s="59">
        <v>44197</v>
      </c>
      <c r="AA1" s="59">
        <v>44228</v>
      </c>
      <c r="AB1" s="59">
        <v>44256</v>
      </c>
      <c r="AC1" s="59">
        <v>44287</v>
      </c>
      <c r="AD1" s="59"/>
    </row>
    <row r="2" spans="1:30" x14ac:dyDescent="0.25">
      <c r="A2" s="47" t="s">
        <v>206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</row>
    <row r="3" spans="1:30" x14ac:dyDescent="0.25">
      <c r="A3" s="48" t="s">
        <v>207</v>
      </c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</row>
    <row r="4" spans="1:30" x14ac:dyDescent="0.25">
      <c r="A4" s="47" t="s">
        <v>208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</row>
    <row r="5" spans="1:30" ht="27" x14ac:dyDescent="0.25">
      <c r="A5" s="42" t="s">
        <v>168</v>
      </c>
      <c r="B5" s="51">
        <f>SUMIFS(PROVEEDORES[[#All],[Total]],
PROVEEDORES[[#All],[FECHA DE PAGO]],"&gt;="&amp;B$1,
PROVEEDORES[[#All],[FECHA DE PAGO]],"&lt;="&amp;EOMONTH(B$1,0))
+
SUMIFS(FINANCIACION[[#All],[PAGO]],
FINANCIACION[[#All],[Fecha]],"&gt;="&amp;B$1,
FINANCIACION[[#All],[Fecha]],"&lt;="&amp;EOMONTH(B$1,0))</f>
        <v>37526227.099999987</v>
      </c>
      <c r="C5" s="51">
        <f>SUMIFS(PROVEEDORES[[#All],[Total]],
PROVEEDORES[[#All],[FECHA DE PAGO]],"&gt;="&amp;C$1,
PROVEEDORES[[#All],[FECHA DE PAGO]],"&lt;="&amp;EOMONTH(C$1,0))
+
SUMIFS(FINANCIACION[[#All],[PAGO]],
FINANCIACION[[#All],[Fecha]],"&gt;="&amp;C$1,
FINANCIACION[[#All],[Fecha]],"&lt;="&amp;EOMONTH(C$1,0))</f>
        <v>34123238.859999999</v>
      </c>
      <c r="D5" s="51">
        <f>SUMIFS(PROVEEDORES[[#All],[Total]],
PROVEEDORES[[#All],[FECHA DE PAGO]],"&gt;="&amp;D$1,
PROVEEDORES[[#All],[FECHA DE PAGO]],"&lt;="&amp;EOMONTH(D$1,0))
+
SUMIFS(FINANCIACION[[#All],[PAGO]],
FINANCIACION[[#All],[Fecha]],"&gt;="&amp;D$1,
FINANCIACION[[#All],[Fecha]],"&lt;="&amp;EOMONTH(D$1,0))</f>
        <v>29913623.84</v>
      </c>
      <c r="E5" s="51">
        <f>SUMIFS(PROVEEDORES[[#All],[Total]],
PROVEEDORES[[#All],[FECHA DE PAGO]],"&gt;="&amp;E$1,
PROVEEDORES[[#All],[FECHA DE PAGO]],"&lt;="&amp;EOMONTH(E$1,0))
+
SUMIFS(FINANCIACION[[#All],[PAGO]],
FINANCIACION[[#All],[Fecha]],"&gt;="&amp;E$1,
FINANCIACION[[#All],[Fecha]],"&lt;="&amp;EOMONTH(E$1,0))</f>
        <v>2288856</v>
      </c>
      <c r="F5" s="51">
        <f>SUMIFS(PROVEEDORES[[#All],[Total]],
PROVEEDORES[[#All],[FECHA DE PAGO]],"&gt;="&amp;F$1,
PROVEEDORES[[#All],[FECHA DE PAGO]],"&lt;="&amp;EOMONTH(F$1,0))
+
SUMIFS(FINANCIACION[[#All],[PAGO]],
FINANCIACION[[#All],[Fecha]],"&gt;="&amp;F$1,
FINANCIACION[[#All],[Fecha]],"&lt;="&amp;EOMONTH(F$1,0))</f>
        <v>18664737.210000001</v>
      </c>
      <c r="G5" s="51">
        <f>SUMIFS(PROVEEDORES[[#All],[Total]],
PROVEEDORES[[#All],[FECHA DE PAGO]],"&gt;="&amp;G$1,
PROVEEDORES[[#All],[FECHA DE PAGO]],"&lt;="&amp;EOMONTH(G$1,0))
+
SUMIFS(FINANCIACION[[#All],[PAGO]],
FINANCIACION[[#All],[Fecha]],"&gt;="&amp;G$1,
FINANCIACION[[#All],[Fecha]],"&lt;="&amp;EOMONTH(G$1,0))</f>
        <v>23063156.02</v>
      </c>
      <c r="H5" s="51">
        <f>SUMIFS(PROVEEDORES[[#All],[Total]],
PROVEEDORES[[#All],[FECHA DE PAGO]],"&gt;="&amp;H$1,
PROVEEDORES[[#All],[FECHA DE PAGO]],"&lt;="&amp;EOMONTH(H$1,0))
+
SUMIFS(FINANCIACION[[#All],[PAGO]],
FINANCIACION[[#All],[Fecha]],"&gt;="&amp;H$1,
FINANCIACION[[#All],[Fecha]],"&lt;="&amp;EOMONTH(H$1,0))</f>
        <v>304425051.12</v>
      </c>
      <c r="I5" s="51">
        <f>SUMIFS(PROVEEDORES[[#All],[Total]],
PROVEEDORES[[#All],[FECHA DE PAGO]],"&gt;="&amp;I$1,
PROVEEDORES[[#All],[FECHA DE PAGO]],"&lt;="&amp;EOMONTH(I$1,0))
+
SUMIFS(FINANCIACION[[#All],[PAGO]],
FINANCIACION[[#All],[Fecha]],"&gt;="&amp;I$1,
FINANCIACION[[#All],[Fecha]],"&lt;="&amp;EOMONTH(I$1,0))</f>
        <v>19013831.890000001</v>
      </c>
      <c r="J5" s="51">
        <f>SUMIFS(PROVEEDORES[[#All],[Total]],
PROVEEDORES[[#All],[FECHA DE PAGO]],"&gt;="&amp;J$1,
PROVEEDORES[[#All],[FECHA DE PAGO]],"&lt;="&amp;EOMONTH(J$1,0))
+
SUMIFS(FINANCIACION[[#All],[PAGO]],
FINANCIACION[[#All],[Fecha]],"&gt;="&amp;J$1,
FINANCIACION[[#All],[Fecha]],"&lt;="&amp;EOMONTH(J$1,0))</f>
        <v>87022684</v>
      </c>
      <c r="K5" s="51">
        <f>SUMIFS(PROVEEDORES[[#All],[Total]],
PROVEEDORES[[#All],[FECHA DE PAGO]],"&gt;="&amp;K$1,
PROVEEDORES[[#All],[FECHA DE PAGO]],"&lt;="&amp;EOMONTH(K$1,0))
+
SUMIFS(FINANCIACION[[#All],[PAGO]],
FINANCIACION[[#All],[Fecha]],"&gt;="&amp;K$1,
FINANCIACION[[#All],[Fecha]],"&lt;="&amp;EOMONTH(K$1,0))</f>
        <v>41076733.32</v>
      </c>
      <c r="L5" s="51">
        <f>SUMIFS(PROVEEDORES[[#All],[Total]],
PROVEEDORES[[#All],[FECHA DE PAGO]],"&gt;="&amp;L$1,
PROVEEDORES[[#All],[FECHA DE PAGO]],"&lt;="&amp;EOMONTH(L$1,0))
+
SUMIFS(FINANCIACION[[#All],[PAGO]],
FINANCIACION[[#All],[Fecha]],"&gt;="&amp;L$1,
FINANCIACION[[#All],[Fecha]],"&lt;="&amp;EOMONTH(L$1,0))</f>
        <v>61346912.229999989</v>
      </c>
      <c r="M5" s="51">
        <f>SUMIFS(PROVEEDORES[[#All],[Total]],
PROVEEDORES[[#All],[FECHA DE PAGO]],"&gt;="&amp;M$1,
PROVEEDORES[[#All],[FECHA DE PAGO]],"&lt;="&amp;EOMONTH(M$1,0))
+
SUMIFS(FINANCIACION[[#All],[PAGO]],
FINANCIACION[[#All],[Fecha]],"&gt;="&amp;M$1,
FINANCIACION[[#All],[Fecha]],"&lt;="&amp;EOMONTH(M$1,0))</f>
        <v>115050948.56999999</v>
      </c>
      <c r="N5" s="51">
        <f>SUMIFS(PROVEEDORES[[#All],[Total]],
PROVEEDORES[[#All],[FECHA DE PAGO]],"&gt;="&amp;N$1,
PROVEEDORES[[#All],[FECHA DE PAGO]],"&lt;="&amp;EOMONTH(N$1,0))
+
SUMIFS(FINANCIACION[[#All],[PAGO]],
FINANCIACION[[#All],[Fecha]],"&gt;="&amp;N$1,
FINANCIACION[[#All],[Fecha]],"&lt;="&amp;EOMONTH(N$1,0))</f>
        <v>107097321.54939915</v>
      </c>
      <c r="O5" s="51">
        <f>SUMIFS(PROVEEDORES[[#All],[Total]],
PROVEEDORES[[#All],[FECHA DE PAGO]],"&gt;="&amp;O$1,
PROVEEDORES[[#All],[FECHA DE PAGO]],"&lt;="&amp;EOMONTH(O$1,0))
+
SUMIFS(FINANCIACION[[#All],[PAGO]],
FINANCIACION[[#All],[Fecha]],"&gt;="&amp;O$1,
FINANCIACION[[#All],[Fecha]],"&lt;="&amp;EOMONTH(O$1,0))</f>
        <v>146368890.2328479</v>
      </c>
      <c r="P5" s="51">
        <f>SUMIFS(PROVEEDORES[[#All],[Total]],
PROVEEDORES[[#All],[FECHA DE PAGO]],"&gt;="&amp;P$1,
PROVEEDORES[[#All],[FECHA DE PAGO]],"&lt;="&amp;EOMONTH(P$1,0))
+
SUMIFS(FINANCIACION[[#All],[PAGO]],
FINANCIACION[[#All],[Fecha]],"&gt;="&amp;P$1,
FINANCIACION[[#All],[Fecha]],"&lt;="&amp;EOMONTH(P$1,0))</f>
        <v>233132535.1905044</v>
      </c>
      <c r="Q5" s="51">
        <f>SUMIFS(PROVEEDORES[[#All],[Total]],
PROVEEDORES[[#All],[FECHA DE PAGO]],"&gt;="&amp;Q$1,
PROVEEDORES[[#All],[FECHA DE PAGO]],"&lt;="&amp;EOMONTH(Q$1,0))
+
SUMIFS(FINANCIACION[[#All],[PAGO]],
FINANCIACION[[#All],[Fecha]],"&gt;="&amp;Q$1,
FINANCIACION[[#All],[Fecha]],"&lt;="&amp;EOMONTH(Q$1,0))</f>
        <v>111554709.18292771</v>
      </c>
      <c r="R5" s="51">
        <f>SUMIFS(PROVEEDORES[[#All],[Total]],
PROVEEDORES[[#All],[FECHA DE PAGO]],"&gt;="&amp;R$1,
PROVEEDORES[[#All],[FECHA DE PAGO]],"&lt;="&amp;EOMONTH(R$1,0))
+
SUMIFS(FINANCIACION[[#All],[PAGO]],
FINANCIACION[[#All],[Fecha]],"&gt;="&amp;R$1,
FINANCIACION[[#All],[Fecha]],"&lt;="&amp;EOMONTH(R$1,0))</f>
        <v>278302796.3914144</v>
      </c>
      <c r="S5" s="51">
        <f>SUMIFS(PROVEEDORES[[#All],[Total]],
PROVEEDORES[[#All],[FECHA DE PAGO]],"&gt;="&amp;S$1,
PROVEEDORES[[#All],[FECHA DE PAGO]],"&lt;="&amp;EOMONTH(S$1,0))
+
SUMIFS(FINANCIACION[[#All],[PAGO]],
FINANCIACION[[#All],[Fecha]],"&gt;="&amp;S$1,
FINANCIACION[[#All],[Fecha]],"&lt;="&amp;EOMONTH(S$1,0))</f>
        <v>265359047.19387227</v>
      </c>
      <c r="T5" s="51">
        <f>SUMIFS(PROVEEDORES[[#All],[Total]],
PROVEEDORES[[#All],[FECHA DE PAGO]],"&gt;="&amp;T$1,
PROVEEDORES[[#All],[FECHA DE PAGO]],"&lt;="&amp;EOMONTH(T$1,0))
+
SUMIFS(FINANCIACION[[#All],[PAGO]],
FINANCIACION[[#All],[Fecha]],"&gt;="&amp;T$1,
FINANCIACION[[#All],[Fecha]],"&lt;="&amp;EOMONTH(T$1,0))</f>
        <v>183589402.74439999</v>
      </c>
      <c r="U5" s="51">
        <f>SUMIFS(PROVEEDORES[[#All],[Total]],
PROVEEDORES[[#All],[FECHA DE PAGO]],"&gt;="&amp;U$1,
PROVEEDORES[[#All],[FECHA DE PAGO]],"&lt;="&amp;EOMONTH(U$1,0))
+
SUMIFS(FINANCIACION[[#All],[PAGO]],
FINANCIACION[[#All],[Fecha]],"&gt;="&amp;U$1,
FINANCIACION[[#All],[Fecha]],"&lt;="&amp;EOMONTH(U$1,0))</f>
        <v>231261038.94120002</v>
      </c>
      <c r="V5" s="51">
        <f>SUMIFS(PROVEEDORES[[#All],[Total]],
PROVEEDORES[[#All],[FECHA DE PAGO]],"&gt;="&amp;V$1,
PROVEEDORES[[#All],[FECHA DE PAGO]],"&lt;="&amp;EOMONTH(V$1,0))
+
SUMIFS(FINANCIACION[[#All],[PAGO]],
FINANCIACION[[#All],[Fecha]],"&gt;="&amp;V$1,
FINANCIACION[[#All],[Fecha]],"&lt;="&amp;EOMONTH(V$1,0))</f>
        <v>182920691.66595</v>
      </c>
      <c r="W5" s="51">
        <f>SUMIFS(PROVEEDORES[[#All],[Total]],
PROVEEDORES[[#All],[FECHA DE PAGO]],"&gt;="&amp;W$1,
PROVEEDORES[[#All],[FECHA DE PAGO]],"&lt;="&amp;EOMONTH(W$1,0))
+
SUMIFS(FINANCIACION[[#All],[PAGO]],
FINANCIACION[[#All],[Fecha]],"&gt;="&amp;W$1,
FINANCIACION[[#All],[Fecha]],"&lt;="&amp;EOMONTH(W$1,0))</f>
        <v>362696443.64814997</v>
      </c>
      <c r="X5" s="51">
        <f>SUMIFS(PROVEEDORES[[#All],[Total]],
PROVEEDORES[[#All],[FECHA DE PAGO]],"&gt;="&amp;X$1,
PROVEEDORES[[#All],[FECHA DE PAGO]],"&lt;="&amp;EOMONTH(X$1,0))
+
SUMIFS(FINANCIACION[[#All],[PAGO]],
FINANCIACION[[#All],[Fecha]],"&gt;="&amp;X$1,
FINANCIACION[[#All],[Fecha]],"&lt;="&amp;EOMONTH(X$1,0))</f>
        <v>201623387.89250004</v>
      </c>
      <c r="Y5" s="51">
        <f>SUMIFS(PROVEEDORES[[#All],[Total]],
PROVEEDORES[[#All],[FECHA DE PAGO]],"&gt;="&amp;Y$1,
PROVEEDORES[[#All],[FECHA DE PAGO]],"&lt;="&amp;EOMONTH(Y$1,0))
+
SUMIFS(FINANCIACION[[#All],[PAGO]],
FINANCIACION[[#All],[Fecha]],"&gt;="&amp;Y$1,
FINANCIACION[[#All],[Fecha]],"&lt;="&amp;EOMONTH(Y$1,0))</f>
        <v>423401682.18675005</v>
      </c>
      <c r="Z5" s="51">
        <f>SUMIFS(PROVEEDORES[[#All],[Total]],
PROVEEDORES[[#All],[FECHA DE PAGO]],"&gt;="&amp;Z$1,
PROVEEDORES[[#All],[FECHA DE PAGO]],"&lt;="&amp;EOMONTH(Z$1,0))
+
SUMIFS(FINANCIACION[[#All],[PAGO]],
FINANCIACION[[#All],[Fecha]],"&gt;="&amp;Z$1,
FINANCIACION[[#All],[Fecha]],"&lt;="&amp;EOMONTH(Z$1,0))</f>
        <v>107097321.54939915</v>
      </c>
      <c r="AA5" s="51">
        <f>SUMIFS(PROVEEDORES[[#All],[Total]],
PROVEEDORES[[#All],[FECHA DE PAGO]],"&gt;="&amp;AA$1,
PROVEEDORES[[#All],[FECHA DE PAGO]],"&lt;="&amp;EOMONTH(AA$1,0))
+
SUMIFS(FINANCIACION[[#All],[PAGO]],
FINANCIACION[[#All],[Fecha]],"&gt;="&amp;AA$1,
FINANCIACION[[#All],[Fecha]],"&lt;="&amp;EOMONTH(AA$1,0))</f>
        <v>146368890.2328479</v>
      </c>
      <c r="AB5" s="51">
        <f>SUMIFS(PROVEEDORES[[#All],[Total]],
PROVEEDORES[[#All],[FECHA DE PAGO]],"&gt;="&amp;AB$1,
PROVEEDORES[[#All],[FECHA DE PAGO]],"&lt;="&amp;EOMONTH(AB$1,0))
+
SUMIFS(FINANCIACION[[#All],[PAGO]],
FINANCIACION[[#All],[Fecha]],"&gt;="&amp;AB$1,
FINANCIACION[[#All],[Fecha]],"&lt;="&amp;EOMONTH(AB$1,0))</f>
        <v>233132535.1905044</v>
      </c>
      <c r="AC5" s="51">
        <f>SUMIFS(PROVEEDORES[[#All],[Total]],
PROVEEDORES[[#All],[FECHA DE PAGO]],"&gt;="&amp;AC$1,
PROVEEDORES[[#All],[FECHA DE PAGO]],"&lt;="&amp;EOMONTH(AC$1,0))
+
SUMIFS(FINANCIACION[[#All],[PAGO]],
FINANCIACION[[#All],[Fecha]],"&gt;="&amp;AC$1,
FINANCIACION[[#All],[Fecha]],"&lt;="&amp;EOMONTH(AC$1,0))</f>
        <v>111554709.18292771</v>
      </c>
    </row>
    <row r="6" spans="1:30" x14ac:dyDescent="0.25">
      <c r="A6" s="43" t="s">
        <v>147</v>
      </c>
      <c r="B6" s="52">
        <f>SUMIFS(PROVEEDORES[[#All],[Total]],
PROVEEDORES[[#All],[Total]],"&gt;0",
PROVEEDORES[[#All],[FECHA DE FACTURACIÓN]],"&gt;="&amp;B$1,
PROVEEDORES[[#All],[FECHA DE FACTURACIÓN]],"&lt;="&amp;EOMONTH(B$1,0),
PROVEEDORES[[#All],[Crédito / Contado]],"De Contado")</f>
        <v>0</v>
      </c>
      <c r="C6" s="52">
        <f>SUMIFS(PROVEEDORES[[#All],[Total]],
PROVEEDORES[[#All],[Total]],"&gt;0",
PROVEEDORES[[#All],[FECHA DE FACTURACIÓN]],"&gt;="&amp;C$1,
PROVEEDORES[[#All],[FECHA DE FACTURACIÓN]],"&lt;="&amp;EOMONTH(C$1,0),
PROVEEDORES[[#All],[Crédito / Contado]],"De Contado")</f>
        <v>0</v>
      </c>
      <c r="D6" s="52">
        <f>SUMIFS(PROVEEDORES[[#All],[Total]],
PROVEEDORES[[#All],[Total]],"&gt;0",
PROVEEDORES[[#All],[FECHA DE FACTURACIÓN]],"&gt;="&amp;D$1,
PROVEEDORES[[#All],[FECHA DE FACTURACIÓN]],"&lt;="&amp;EOMONTH(D$1,0),
PROVEEDORES[[#All],[Crédito / Contado]],"De Contado")</f>
        <v>0</v>
      </c>
      <c r="E6" s="52">
        <f>SUMIFS(PROVEEDORES[[#All],[Total]],
PROVEEDORES[[#All],[Total]],"&gt;0",
PROVEEDORES[[#All],[FECHA DE FACTURACIÓN]],"&gt;="&amp;E$1,
PROVEEDORES[[#All],[FECHA DE FACTURACIÓN]],"&lt;="&amp;EOMONTH(E$1,0),
PROVEEDORES[[#All],[Crédito / Contado]],"De Contado")</f>
        <v>0</v>
      </c>
      <c r="F6" s="52">
        <f>SUMIFS(PROVEEDORES[[#All],[Total]],
PROVEEDORES[[#All],[Total]],"&gt;0",
PROVEEDORES[[#All],[FECHA DE FACTURACIÓN]],"&gt;="&amp;F$1,
PROVEEDORES[[#All],[FECHA DE FACTURACIÓN]],"&lt;="&amp;EOMONTH(F$1,0),
PROVEEDORES[[#All],[Crédito / Contado]],"De Contado")</f>
        <v>0</v>
      </c>
      <c r="G6" s="52">
        <f>SUMIFS(PROVEEDORES[[#All],[Total]],
PROVEEDORES[[#All],[Total]],"&gt;0",
PROVEEDORES[[#All],[FECHA DE FACTURACIÓN]],"&gt;="&amp;G$1,
PROVEEDORES[[#All],[FECHA DE FACTURACIÓN]],"&lt;="&amp;EOMONTH(G$1,0),
PROVEEDORES[[#All],[Crédito / Contado]],"De Contado")</f>
        <v>0</v>
      </c>
      <c r="H6" s="52">
        <f>SUMIFS(PROVEEDORES[[#All],[Total]],
PROVEEDORES[[#All],[Total]],"&gt;0",
PROVEEDORES[[#All],[FECHA DE FACTURACIÓN]],"&gt;="&amp;H$1,
PROVEEDORES[[#All],[FECHA DE FACTURACIÓN]],"&lt;="&amp;EOMONTH(H$1,0),
PROVEEDORES[[#All],[Crédito / Contado]],"De Contado")</f>
        <v>0</v>
      </c>
      <c r="I6" s="52">
        <f>SUMIFS(PROVEEDORES[[#All],[Total]],
PROVEEDORES[[#All],[Total]],"&gt;0",
PROVEEDORES[[#All],[FECHA DE FACTURACIÓN]],"&gt;="&amp;I$1,
PROVEEDORES[[#All],[FECHA DE FACTURACIÓN]],"&lt;="&amp;EOMONTH(I$1,0),
PROVEEDORES[[#All],[Crédito / Contado]],"De Contado")</f>
        <v>0</v>
      </c>
      <c r="J6" s="52">
        <f>SUMIFS(PROVEEDORES[[#All],[Total]],
PROVEEDORES[[#All],[Total]],"&gt;0",
PROVEEDORES[[#All],[FECHA DE FACTURACIÓN]],"&gt;="&amp;J$1,
PROVEEDORES[[#All],[FECHA DE FACTURACIÓN]],"&lt;="&amp;EOMONTH(J$1,0),
PROVEEDORES[[#All],[Crédito / Contado]],"De Contado")</f>
        <v>0</v>
      </c>
      <c r="K6" s="52">
        <f>SUMIFS(PROVEEDORES[[#All],[Total]],
PROVEEDORES[[#All],[Total]],"&gt;0",
PROVEEDORES[[#All],[FECHA DE FACTURACIÓN]],"&gt;="&amp;K$1,
PROVEEDORES[[#All],[FECHA DE FACTURACIÓN]],"&lt;="&amp;EOMONTH(K$1,0),
PROVEEDORES[[#All],[Crédito / Contado]],"De Contado")</f>
        <v>0</v>
      </c>
      <c r="L6" s="52">
        <f>SUMIFS(PROVEEDORES[[#All],[Total]],
PROVEEDORES[[#All],[Total]],"&gt;0",
PROVEEDORES[[#All],[FECHA DE FACTURACIÓN]],"&gt;="&amp;L$1,
PROVEEDORES[[#All],[FECHA DE FACTURACIÓN]],"&lt;="&amp;EOMONTH(L$1,0),
PROVEEDORES[[#All],[Crédito / Contado]],"De Contado")</f>
        <v>0</v>
      </c>
      <c r="M6" s="52">
        <f>SUMIFS(PROVEEDORES[[#All],[Total]],
PROVEEDORES[[#All],[Total]],"&gt;0",
PROVEEDORES[[#All],[FECHA DE FACTURACIÓN]],"&gt;="&amp;M$1,
PROVEEDORES[[#All],[FECHA DE FACTURACIÓN]],"&lt;="&amp;EOMONTH(M$1,0),
PROVEEDORES[[#All],[Crédito / Contado]],"De Contado")</f>
        <v>0</v>
      </c>
      <c r="N6" s="52">
        <f>SUMIFS(PROVEEDORES[[#All],[Total]],
PROVEEDORES[[#All],[Total]],"&gt;0",
PROVEEDORES[[#All],[FECHA DE FACTURACIÓN]],"&gt;="&amp;N$1,
PROVEEDORES[[#All],[FECHA DE FACTURACIÓN]],"&lt;="&amp;EOMONTH(N$1,0),
PROVEEDORES[[#All],[Crédito / Contado]],"De Contado")</f>
        <v>37470765.909999996</v>
      </c>
      <c r="O6" s="52">
        <f>SUMIFS(PROVEEDORES[[#All],[Total]],
PROVEEDORES[[#All],[Total]],"&gt;0",
PROVEEDORES[[#All],[FECHA DE FACTURACIÓN]],"&gt;="&amp;O$1,
PROVEEDORES[[#All],[FECHA DE FACTURACIÓN]],"&lt;="&amp;EOMONTH(O$1,0),
PROVEEDORES[[#All],[Crédito / Contado]],"De Contado")</f>
        <v>8081000</v>
      </c>
      <c r="P6" s="52">
        <f>SUMIFS(PROVEEDORES[[#All],[Total]],
PROVEEDORES[[#All],[Total]],"&gt;0",
PROVEEDORES[[#All],[FECHA DE FACTURACIÓN]],"&gt;="&amp;P$1,
PROVEEDORES[[#All],[FECHA DE FACTURACIÓN]],"&lt;="&amp;EOMONTH(P$1,0),
PROVEEDORES[[#All],[Crédito / Contado]],"De Contado")</f>
        <v>11922560.76</v>
      </c>
      <c r="Q6" s="52">
        <f>SUMIFS(PROVEEDORES[[#All],[Total]],
PROVEEDORES[[#All],[Total]],"&gt;0",
PROVEEDORES[[#All],[FECHA DE FACTURACIÓN]],"&gt;="&amp;Q$1,
PROVEEDORES[[#All],[FECHA DE FACTURACIÓN]],"&lt;="&amp;EOMONTH(Q$1,0),
PROVEEDORES[[#All],[Crédito / Contado]],"De Contado")</f>
        <v>4616460.24</v>
      </c>
      <c r="R6" s="52">
        <f>SUMIFS(PROVEEDORES[[#All],[Total]],
PROVEEDORES[[#All],[Total]],"&gt;0",
PROVEEDORES[[#All],[FECHA DE FACTURACIÓN]],"&gt;="&amp;R$1,
PROVEEDORES[[#All],[FECHA DE FACTURACIÓN]],"&lt;="&amp;EOMONTH(R$1,0),
PROVEEDORES[[#All],[Crédito / Contado]],"De Contado")</f>
        <v>24181323.02</v>
      </c>
      <c r="S6" s="52">
        <f>SUMIFS(PROVEEDORES[[#All],[Total]],
PROVEEDORES[[#All],[Total]],"&gt;0",
PROVEEDORES[[#All],[FECHA DE FACTURACIÓN]],"&gt;="&amp;S$1,
PROVEEDORES[[#All],[FECHA DE FACTURACIÓN]],"&lt;="&amp;EOMONTH(S$1,0),
PROVEEDORES[[#All],[Crédito / Contado]],"De Contado")</f>
        <v>21282920.039999999</v>
      </c>
      <c r="T6" s="52">
        <f>SUMIFS(PROVEEDORES[[#All],[Total]],
PROVEEDORES[[#All],[Total]],"&gt;0",
PROVEEDORES[[#All],[FECHA DE FACTURACIÓN]],"&gt;="&amp;T$1,
PROVEEDORES[[#All],[FECHA DE FACTURACIÓN]],"&lt;="&amp;EOMONTH(T$1,0),
PROVEEDORES[[#All],[Crédito / Contado]],"De Contado")</f>
        <v>13780600</v>
      </c>
      <c r="U6" s="52">
        <f>SUMIFS(PROVEEDORES[[#All],[Total]],
PROVEEDORES[[#All],[Total]],"&gt;0",
PROVEEDORES[[#All],[FECHA DE FACTURACIÓN]],"&gt;="&amp;U$1,
PROVEEDORES[[#All],[FECHA DE FACTURACIÓN]],"&lt;="&amp;EOMONTH(U$1,0),
PROVEEDORES[[#All],[Crédito / Contado]],"De Contado")</f>
        <v>34456843.524999999</v>
      </c>
      <c r="V6" s="52">
        <f>SUMIFS(PROVEEDORES[[#All],[Total]],
PROVEEDORES[[#All],[Total]],"&gt;0",
PROVEEDORES[[#All],[FECHA DE FACTURACIÓN]],"&gt;="&amp;V$1,
PROVEEDORES[[#All],[FECHA DE FACTURACIÓN]],"&lt;="&amp;EOMONTH(V$1,0),
PROVEEDORES[[#All],[Crédito / Contado]],"De Contado")</f>
        <v>14354003.734999999</v>
      </c>
      <c r="W6" s="52">
        <f>SUMIFS(PROVEEDORES[[#All],[Total]],
PROVEEDORES[[#All],[Total]],"&gt;0",
PROVEEDORES[[#All],[FECHA DE FACTURACIÓN]],"&gt;="&amp;W$1,
PROVEEDORES[[#All],[FECHA DE FACTURACIÓN]],"&lt;="&amp;EOMONTH(W$1,0),
PROVEEDORES[[#All],[Crédito / Contado]],"De Contado")</f>
        <v>11395850</v>
      </c>
      <c r="X6" s="52">
        <f>SUMIFS(PROVEEDORES[[#All],[Total]],
PROVEEDORES[[#All],[Total]],"&gt;0",
PROVEEDORES[[#All],[FECHA DE FACTURACIÓN]],"&gt;="&amp;X$1,
PROVEEDORES[[#All],[FECHA DE FACTURACIÓN]],"&lt;="&amp;EOMONTH(X$1,0),
PROVEEDORES[[#All],[Crédito / Contado]],"De Contado")</f>
        <v>15803039.800000001</v>
      </c>
      <c r="Y6" s="52">
        <f>SUMIFS(PROVEEDORES[[#All],[Total]],
PROVEEDORES[[#All],[Total]],"&gt;0",
PROVEEDORES[[#All],[FECHA DE FACTURACIÓN]],"&gt;="&amp;Y$1,
PROVEEDORES[[#All],[FECHA DE FACTURACIÓN]],"&lt;="&amp;EOMONTH(Y$1,0),
PROVEEDORES[[#All],[Crédito / Contado]],"De Contado")</f>
        <v>23171302.879999999</v>
      </c>
      <c r="Z6" s="52">
        <f>SUMIFS(PROVEEDORES[[#All],[Total]],
PROVEEDORES[[#All],[Total]],"&gt;0",
PROVEEDORES[[#All],[FECHA DE FACTURACIÓN]],"&gt;="&amp;Z$1,
PROVEEDORES[[#All],[FECHA DE FACTURACIÓN]],"&lt;="&amp;EOMONTH(Z$1,0),
PROVEEDORES[[#All],[Crédito / Contado]],"De Contado")</f>
        <v>37470765.909999996</v>
      </c>
      <c r="AA6" s="52">
        <f>SUMIFS(PROVEEDORES[[#All],[Total]],
PROVEEDORES[[#All],[Total]],"&gt;0",
PROVEEDORES[[#All],[FECHA DE FACTURACIÓN]],"&gt;="&amp;AA$1,
PROVEEDORES[[#All],[FECHA DE FACTURACIÓN]],"&lt;="&amp;EOMONTH(AA$1,0),
PROVEEDORES[[#All],[Crédito / Contado]],"De Contado")</f>
        <v>8081000</v>
      </c>
      <c r="AB6" s="52">
        <f>SUMIFS(PROVEEDORES[[#All],[Total]],
PROVEEDORES[[#All],[Total]],"&gt;0",
PROVEEDORES[[#All],[FECHA DE FACTURACIÓN]],"&gt;="&amp;AB$1,
PROVEEDORES[[#All],[FECHA DE FACTURACIÓN]],"&lt;="&amp;EOMONTH(AB$1,0),
PROVEEDORES[[#All],[Crédito / Contado]],"De Contado")</f>
        <v>11922560.76</v>
      </c>
      <c r="AC6" s="52">
        <f>SUMIFS(PROVEEDORES[[#All],[Total]],
PROVEEDORES[[#All],[Total]],"&gt;0",
PROVEEDORES[[#All],[FECHA DE FACTURACIÓN]],"&gt;="&amp;AC$1,
PROVEEDORES[[#All],[FECHA DE FACTURACIÓN]],"&lt;="&amp;EOMONTH(AC$1,0),
PROVEEDORES[[#All],[Crédito / Contado]],"De Contado")</f>
        <v>4616460.24</v>
      </c>
    </row>
    <row r="7" spans="1:30" x14ac:dyDescent="0.25">
      <c r="A7" s="42" t="s">
        <v>150</v>
      </c>
      <c r="B7" s="51">
        <f>SUMIFS(PROVEEDORES[[#All],[Total]],
PROVEEDORES[[#All],[Total]],"&gt;0",
PROVEEDORES[[#All],[FECHA DE FACTURACIÓN]],"&gt;="&amp;B$1,
PROVEEDORES[[#All],[FECHA DE FACTURACIÓN]],"&lt;="&amp;EOMONTH(B$1,0),
PROVEEDORES[[#All],[Crédito / Contado]],"Crédito")</f>
        <v>0</v>
      </c>
      <c r="C7" s="51">
        <f>SUMIFS(PROVEEDORES[[#All],[Total]],
PROVEEDORES[[#All],[Total]],"&gt;0",
PROVEEDORES[[#All],[FECHA DE FACTURACIÓN]],"&gt;="&amp;C$1,
PROVEEDORES[[#All],[FECHA DE FACTURACIÓN]],"&lt;="&amp;EOMONTH(C$1,0),
PROVEEDORES[[#All],[Crédito / Contado]],"Crédito")</f>
        <v>0</v>
      </c>
      <c r="D7" s="51">
        <f>SUMIFS(PROVEEDORES[[#All],[Total]],
PROVEEDORES[[#All],[Total]],"&gt;0",
PROVEEDORES[[#All],[FECHA DE FACTURACIÓN]],"&gt;="&amp;D$1,
PROVEEDORES[[#All],[FECHA DE FACTURACIÓN]],"&lt;="&amp;EOMONTH(D$1,0),
PROVEEDORES[[#All],[Crédito / Contado]],"Crédito")</f>
        <v>0</v>
      </c>
      <c r="E7" s="51">
        <f>SUMIFS(PROVEEDORES[[#All],[Total]],
PROVEEDORES[[#All],[Total]],"&gt;0",
PROVEEDORES[[#All],[FECHA DE FACTURACIÓN]],"&gt;="&amp;E$1,
PROVEEDORES[[#All],[FECHA DE FACTURACIÓN]],"&lt;="&amp;EOMONTH(E$1,0),
PROVEEDORES[[#All],[Crédito / Contado]],"Crédito")</f>
        <v>0</v>
      </c>
      <c r="F7" s="51">
        <f>SUMIFS(PROVEEDORES[[#All],[Total]],
PROVEEDORES[[#All],[Total]],"&gt;0",
PROVEEDORES[[#All],[FECHA DE FACTURACIÓN]],"&gt;="&amp;F$1,
PROVEEDORES[[#All],[FECHA DE FACTURACIÓN]],"&lt;="&amp;EOMONTH(F$1,0),
PROVEEDORES[[#All],[Crédito / Contado]],"Crédito")</f>
        <v>0</v>
      </c>
      <c r="G7" s="51">
        <f>SUMIFS(PROVEEDORES[[#All],[Total]],
PROVEEDORES[[#All],[Total]],"&gt;0",
PROVEEDORES[[#All],[FECHA DE FACTURACIÓN]],"&gt;="&amp;G$1,
PROVEEDORES[[#All],[FECHA DE FACTURACIÓN]],"&lt;="&amp;EOMONTH(G$1,0),
PROVEEDORES[[#All],[Crédito / Contado]],"Crédito")</f>
        <v>0</v>
      </c>
      <c r="H7" s="51">
        <f>SUMIFS(PROVEEDORES[[#All],[Total]],
PROVEEDORES[[#All],[Total]],"&gt;0",
PROVEEDORES[[#All],[FECHA DE FACTURACIÓN]],"&gt;="&amp;H$1,
PROVEEDORES[[#All],[FECHA DE FACTURACIÓN]],"&lt;="&amp;EOMONTH(H$1,0),
PROVEEDORES[[#All],[Crédito / Contado]],"Crédito")</f>
        <v>0</v>
      </c>
      <c r="I7" s="51">
        <f>SUMIFS(PROVEEDORES[[#All],[Total]],
PROVEEDORES[[#All],[Total]],"&gt;0",
PROVEEDORES[[#All],[FECHA DE FACTURACIÓN]],"&gt;="&amp;I$1,
PROVEEDORES[[#All],[FECHA DE FACTURACIÓN]],"&lt;="&amp;EOMONTH(I$1,0),
PROVEEDORES[[#All],[Crédito / Contado]],"Crédito")</f>
        <v>0</v>
      </c>
      <c r="J7" s="51">
        <f>SUMIFS(PROVEEDORES[[#All],[Total]],
PROVEEDORES[[#All],[Total]],"&gt;0",
PROVEEDORES[[#All],[FECHA DE FACTURACIÓN]],"&gt;="&amp;J$1,
PROVEEDORES[[#All],[FECHA DE FACTURACIÓN]],"&lt;="&amp;EOMONTH(J$1,0),
PROVEEDORES[[#All],[Crédito / Contado]],"Crédito")</f>
        <v>0</v>
      </c>
      <c r="K7" s="51">
        <f>SUMIFS(PROVEEDORES[[#All],[Total]],
PROVEEDORES[[#All],[Total]],"&gt;0",
PROVEEDORES[[#All],[FECHA DE FACTURACIÓN]],"&gt;="&amp;K$1,
PROVEEDORES[[#All],[FECHA DE FACTURACIÓN]],"&lt;="&amp;EOMONTH(K$1,0),
PROVEEDORES[[#All],[Crédito / Contado]],"Crédito")</f>
        <v>0</v>
      </c>
      <c r="L7" s="51">
        <f>SUMIFS(PROVEEDORES[[#All],[Total]],
PROVEEDORES[[#All],[Total]],"&gt;0",
PROVEEDORES[[#All],[FECHA DE FACTURACIÓN]],"&gt;="&amp;L$1,
PROVEEDORES[[#All],[FECHA DE FACTURACIÓN]],"&lt;="&amp;EOMONTH(L$1,0),
PROVEEDORES[[#All],[Crédito / Contado]],"Crédito")</f>
        <v>23629977.225491602</v>
      </c>
      <c r="M7" s="51">
        <f>SUMIFS(PROVEEDORES[[#All],[Total]],
PROVEEDORES[[#All],[Total]],"&gt;0",
PROVEEDORES[[#All],[FECHA DE FACTURACIÓN]],"&gt;="&amp;M$1,
PROVEEDORES[[#All],[FECHA DE FACTURACIÓN]],"&lt;="&amp;EOMONTH(M$1,0),
PROVEEDORES[[#All],[Crédito / Contado]],"Crédito")</f>
        <v>235600444.90659663</v>
      </c>
      <c r="N7" s="51">
        <f>SUMIFS(PROVEEDORES[[#All],[Total]],
PROVEEDORES[[#All],[Total]],"&gt;0",
PROVEEDORES[[#All],[FECHA DE FACTURACIÓN]],"&gt;="&amp;N$1,
PROVEEDORES[[#All],[FECHA DE FACTURACIÓN]],"&lt;="&amp;EOMONTH(N$1,0),
PROVEEDORES[[#All],[Crédito / Contado]],"Crédito")</f>
        <v>58603588.971138239</v>
      </c>
      <c r="O7" s="51">
        <f>SUMIFS(PROVEEDORES[[#All],[Total]],
PROVEEDORES[[#All],[Total]],"&gt;0",
PROVEEDORES[[#All],[FECHA DE FACTURACIÓN]],"&gt;="&amp;O$1,
PROVEEDORES[[#All],[FECHA DE FACTURACIÓN]],"&lt;="&amp;EOMONTH(O$1,0),
PROVEEDORES[[#All],[Crédito / Contado]],"Crédito")</f>
        <v>82142385.291599989</v>
      </c>
      <c r="P7" s="51">
        <f>SUMIFS(PROVEEDORES[[#All],[Total]],
PROVEEDORES[[#All],[Total]],"&gt;0",
PROVEEDORES[[#All],[FECHA DE FACTURACIÓN]],"&gt;="&amp;P$1,
PROVEEDORES[[#All],[FECHA DE FACTURACIÓN]],"&lt;="&amp;EOMONTH(P$1,0),
PROVEEDORES[[#All],[Crédito / Contado]],"Crédito")</f>
        <v>130933973.984975</v>
      </c>
      <c r="Q7" s="51">
        <f>SUMIFS(PROVEEDORES[[#All],[Total]],
PROVEEDORES[[#All],[Total]],"&gt;0",
PROVEEDORES[[#All],[FECHA DE FACTURACIÓN]],"&gt;="&amp;Q$1,
PROVEEDORES[[#All],[FECHA DE FACTURACIÓN]],"&lt;="&amp;EOMONTH(Q$1,0),
PROVEEDORES[[#All],[Crédito / Contado]],"Crédito")</f>
        <v>112761336.51568998</v>
      </c>
      <c r="R7" s="51">
        <f>SUMIFS(PROVEEDORES[[#All],[Total]],
PROVEEDORES[[#All],[Total]],"&gt;0",
PROVEEDORES[[#All],[FECHA DE FACTURACIÓN]],"&gt;="&amp;R$1,
PROVEEDORES[[#All],[FECHA DE FACTURACIÓN]],"&lt;="&amp;EOMONTH(R$1,0),
PROVEEDORES[[#All],[Crédito / Contado]],"Crédito")</f>
        <v>117526652.32390003</v>
      </c>
      <c r="S7" s="51">
        <f>SUMIFS(PROVEEDORES[[#All],[Total]],
PROVEEDORES[[#All],[Total]],"&gt;0",
PROVEEDORES[[#All],[FECHA DE FACTURACIÓN]],"&gt;="&amp;S$1,
PROVEEDORES[[#All],[FECHA DE FACTURACIÓN]],"&lt;="&amp;EOMONTH(S$1,0),
PROVEEDORES[[#All],[Crédito / Contado]],"Crédito")</f>
        <v>159602617.70680004</v>
      </c>
      <c r="T7" s="51">
        <f>SUMIFS(PROVEEDORES[[#All],[Total]],
PROVEEDORES[[#All],[Total]],"&gt;0",
PROVEEDORES[[#All],[FECHA DE FACTURACIÓN]],"&gt;="&amp;T$1,
PROVEEDORES[[#All],[FECHA DE FACTURACIÓN]],"&lt;="&amp;EOMONTH(T$1,0),
PROVEEDORES[[#All],[Crédito / Contado]],"Crédito")</f>
        <v>180316431.31759998</v>
      </c>
      <c r="U7" s="51">
        <f>SUMIFS(PROVEEDORES[[#All],[Total]],
PROVEEDORES[[#All],[Total]],"&gt;0",
PROVEEDORES[[#All],[FECHA DE FACTURACIÓN]],"&gt;="&amp;U$1,
PROVEEDORES[[#All],[FECHA DE FACTURACIÓN]],"&lt;="&amp;EOMONTH(U$1,0),
PROVEEDORES[[#All],[Crédito / Contado]],"Crédito")</f>
        <v>200119656.52379996</v>
      </c>
      <c r="V7" s="51">
        <f>SUMIFS(PROVEEDORES[[#All],[Total]],
PROVEEDORES[[#All],[Total]],"&gt;0",
PROVEEDORES[[#All],[FECHA DE FACTURACIÓN]],"&gt;="&amp;V$1,
PROVEEDORES[[#All],[FECHA DE FACTURACIÓN]],"&lt;="&amp;EOMONTH(V$1,0),
PROVEEDORES[[#All],[Crédito / Contado]],"Crédito")</f>
        <v>126356277.48950002</v>
      </c>
      <c r="W7" s="51">
        <f>SUMIFS(PROVEEDORES[[#All],[Total]],
PROVEEDORES[[#All],[Total]],"&gt;0",
PROVEEDORES[[#All],[FECHA DE FACTURACIÓN]],"&gt;="&amp;W$1,
PROVEEDORES[[#All],[FECHA DE FACTURACIÓN]],"&lt;="&amp;EOMONTH(W$1,0),
PROVEEDORES[[#All],[Crédito / Contado]],"Crédito")</f>
        <v>189714276.97640002</v>
      </c>
      <c r="X7" s="51">
        <f>SUMIFS(PROVEEDORES[[#All],[Total]],
PROVEEDORES[[#All],[Total]],"&gt;0",
PROVEEDORES[[#All],[FECHA DE FACTURACIÓN]],"&gt;="&amp;X$1,
PROVEEDORES[[#All],[FECHA DE FACTURACIÓN]],"&lt;="&amp;EOMONTH(X$1,0),
PROVEEDORES[[#All],[Crédito / Contado]],"Crédito")</f>
        <v>200149968.79635003</v>
      </c>
      <c r="Y7" s="51">
        <f>SUMIFS(PROVEEDORES[[#All],[Total]],
PROVEEDORES[[#All],[Total]],"&gt;0",
PROVEEDORES[[#All],[FECHA DE FACTURACIÓN]],"&gt;="&amp;Y$1,
PROVEEDORES[[#All],[FECHA DE FACTURACIÓN]],"&lt;="&amp;EOMONTH(Y$1,0),
PROVEEDORES[[#All],[Crédito / Contado]],"Crédito")</f>
        <v>339161396.96225005</v>
      </c>
      <c r="Z7" s="51">
        <f>SUMIFS(PROVEEDORES[[#All],[Total]],
PROVEEDORES[[#All],[Total]],"&gt;0",
PROVEEDORES[[#All],[FECHA DE FACTURACIÓN]],"&gt;="&amp;Z$1,
PROVEEDORES[[#All],[FECHA DE FACTURACIÓN]],"&lt;="&amp;EOMONTH(Z$1,0),
PROVEEDORES[[#All],[Crédito / Contado]],"Crédito")</f>
        <v>58603588.971138239</v>
      </c>
      <c r="AA7" s="51">
        <f>SUMIFS(PROVEEDORES[[#All],[Total]],
PROVEEDORES[[#All],[Total]],"&gt;0",
PROVEEDORES[[#All],[FECHA DE FACTURACIÓN]],"&gt;="&amp;AA$1,
PROVEEDORES[[#All],[FECHA DE FACTURACIÓN]],"&lt;="&amp;EOMONTH(AA$1,0),
PROVEEDORES[[#All],[Crédito / Contado]],"Crédito")</f>
        <v>82142385.291599989</v>
      </c>
      <c r="AB7" s="51">
        <f>SUMIFS(PROVEEDORES[[#All],[Total]],
PROVEEDORES[[#All],[Total]],"&gt;0",
PROVEEDORES[[#All],[FECHA DE FACTURACIÓN]],"&gt;="&amp;AB$1,
PROVEEDORES[[#All],[FECHA DE FACTURACIÓN]],"&lt;="&amp;EOMONTH(AB$1,0),
PROVEEDORES[[#All],[Crédito / Contado]],"Crédito")</f>
        <v>130933973.984975</v>
      </c>
      <c r="AC7" s="51">
        <f>SUMIFS(PROVEEDORES[[#All],[Total]],
PROVEEDORES[[#All],[Total]],"&gt;0",
PROVEEDORES[[#All],[FECHA DE FACTURACIÓN]],"&gt;="&amp;AC$1,
PROVEEDORES[[#All],[FECHA DE FACTURACIÓN]],"&lt;="&amp;EOMONTH(AC$1,0),
PROVEEDORES[[#All],[Crédito / Contado]],"Crédito")</f>
        <v>112761336.51568998</v>
      </c>
    </row>
    <row r="8" spans="1:30" x14ac:dyDescent="0.25">
      <c r="A8" s="43" t="s">
        <v>151</v>
      </c>
      <c r="B8" s="52">
        <f t="shared" ref="B8:AC8" si="0">B6+B7</f>
        <v>0</v>
      </c>
      <c r="C8" s="52">
        <f t="shared" si="0"/>
        <v>0</v>
      </c>
      <c r="D8" s="52">
        <f t="shared" si="0"/>
        <v>0</v>
      </c>
      <c r="E8" s="52">
        <f t="shared" si="0"/>
        <v>0</v>
      </c>
      <c r="F8" s="52">
        <f t="shared" si="0"/>
        <v>0</v>
      </c>
      <c r="G8" s="52">
        <f t="shared" si="0"/>
        <v>0</v>
      </c>
      <c r="H8" s="52">
        <f t="shared" si="0"/>
        <v>0</v>
      </c>
      <c r="I8" s="52">
        <f t="shared" si="0"/>
        <v>0</v>
      </c>
      <c r="J8" s="52">
        <f t="shared" si="0"/>
        <v>0</v>
      </c>
      <c r="K8" s="52">
        <f t="shared" si="0"/>
        <v>0</v>
      </c>
      <c r="L8" s="52">
        <f t="shared" si="0"/>
        <v>23629977.225491602</v>
      </c>
      <c r="M8" s="52">
        <f t="shared" si="0"/>
        <v>235600444.90659663</v>
      </c>
      <c r="N8" s="52">
        <f t="shared" si="0"/>
        <v>96074354.881138235</v>
      </c>
      <c r="O8" s="52">
        <f t="shared" si="0"/>
        <v>90223385.291599989</v>
      </c>
      <c r="P8" s="52">
        <f t="shared" si="0"/>
        <v>142856534.744975</v>
      </c>
      <c r="Q8" s="52">
        <f t="shared" si="0"/>
        <v>117377796.75568998</v>
      </c>
      <c r="R8" s="52">
        <f t="shared" si="0"/>
        <v>141707975.34390002</v>
      </c>
      <c r="S8" s="52">
        <f t="shared" si="0"/>
        <v>180885537.74680004</v>
      </c>
      <c r="T8" s="52">
        <f t="shared" si="0"/>
        <v>194097031.31759998</v>
      </c>
      <c r="U8" s="52">
        <f t="shared" si="0"/>
        <v>234576500.04879996</v>
      </c>
      <c r="V8" s="52">
        <f t="shared" si="0"/>
        <v>140710281.2245</v>
      </c>
      <c r="W8" s="52">
        <f t="shared" si="0"/>
        <v>201110126.97640002</v>
      </c>
      <c r="X8" s="52">
        <f t="shared" si="0"/>
        <v>215953008.59635004</v>
      </c>
      <c r="Y8" s="52">
        <f t="shared" si="0"/>
        <v>362332699.84225005</v>
      </c>
      <c r="Z8" s="52">
        <f t="shared" si="0"/>
        <v>96074354.881138235</v>
      </c>
      <c r="AA8" s="52">
        <f t="shared" si="0"/>
        <v>90223385.291599989</v>
      </c>
      <c r="AB8" s="52">
        <f t="shared" si="0"/>
        <v>142856534.744975</v>
      </c>
      <c r="AC8" s="52">
        <f t="shared" si="0"/>
        <v>117377796.75568998</v>
      </c>
    </row>
    <row r="9" spans="1:30" ht="27" x14ac:dyDescent="0.25">
      <c r="A9" s="42" t="s">
        <v>178</v>
      </c>
      <c r="B9" s="51">
        <f t="shared" ref="B9:AC9" si="1">B10+B11</f>
        <v>837377564.85488355</v>
      </c>
      <c r="C9" s="51">
        <f t="shared" si="1"/>
        <v>828371667.09314048</v>
      </c>
      <c r="D9" s="51">
        <f t="shared" si="1"/>
        <v>882385808.94999993</v>
      </c>
      <c r="E9" s="51">
        <f t="shared" si="1"/>
        <v>883621757.94999993</v>
      </c>
      <c r="F9" s="51">
        <f t="shared" si="1"/>
        <v>936094623.94999993</v>
      </c>
      <c r="G9" s="51">
        <f t="shared" si="1"/>
        <v>1130051299.6999998</v>
      </c>
      <c r="H9" s="51">
        <f t="shared" si="1"/>
        <v>1064803357.1499999</v>
      </c>
      <c r="I9" s="51">
        <f t="shared" si="1"/>
        <v>1095295893.8199999</v>
      </c>
      <c r="J9" s="51">
        <f t="shared" si="1"/>
        <v>1147392333.7699997</v>
      </c>
      <c r="K9" s="51">
        <f t="shared" si="1"/>
        <v>1112196058.8099997</v>
      </c>
      <c r="L9" s="51">
        <f t="shared" si="1"/>
        <v>1127365577.3054914</v>
      </c>
      <c r="M9" s="51">
        <f t="shared" si="1"/>
        <v>1355636354.910795</v>
      </c>
      <c r="N9" s="51">
        <f t="shared" si="1"/>
        <v>1362938628.7785342</v>
      </c>
      <c r="O9" s="51">
        <f t="shared" si="1"/>
        <v>1435336889.4531796</v>
      </c>
      <c r="P9" s="51">
        <f t="shared" si="1"/>
        <v>1439879924.7059844</v>
      </c>
      <c r="Q9" s="51">
        <f t="shared" si="1"/>
        <v>1499641699.4349451</v>
      </c>
      <c r="R9" s="51">
        <f t="shared" si="1"/>
        <v>1483954224.86023</v>
      </c>
      <c r="S9" s="51">
        <f t="shared" si="1"/>
        <v>1438446312.1859059</v>
      </c>
      <c r="T9" s="51">
        <f t="shared" si="1"/>
        <v>1461950934.3487592</v>
      </c>
      <c r="U9" s="51">
        <f t="shared" si="1"/>
        <v>1518843235.0336084</v>
      </c>
      <c r="V9" s="51">
        <f t="shared" si="1"/>
        <v>1498328443.2729654</v>
      </c>
      <c r="W9" s="51">
        <f t="shared" si="1"/>
        <v>1391137299.8782306</v>
      </c>
      <c r="X9" s="51">
        <f t="shared" si="1"/>
        <v>1522171219.8046856</v>
      </c>
      <c r="Y9" s="51">
        <f t="shared" si="1"/>
        <v>1520596594.9391315</v>
      </c>
      <c r="Z9" s="51">
        <f t="shared" si="1"/>
        <v>1362938628.7785342</v>
      </c>
      <c r="AA9" s="51">
        <f t="shared" si="1"/>
        <v>1435336889.4531796</v>
      </c>
      <c r="AB9" s="51">
        <f t="shared" si="1"/>
        <v>1439879924.7059844</v>
      </c>
      <c r="AC9" s="51">
        <f t="shared" si="1"/>
        <v>1499641699.4349451</v>
      </c>
    </row>
    <row r="10" spans="1:30" x14ac:dyDescent="0.25">
      <c r="A10" s="43" t="s">
        <v>152</v>
      </c>
      <c r="B10" s="52">
        <f xml:space="preserve">
SUMIFS(PROVEEDORES[[#All],[Total]],
PROVEEDORES[[#All],[FECHA DE FACTURACIÓN]],"&lt;="&amp;EOMONTH(B$1,0),
PROVEEDORES[[#All],[FECHA DE PAGO]],"")
+
SUMIFS(PROVEEDORES[[#All],[Total]],
PROVEEDORES[[#All],[FECHA DE FACTURACIÓN]],"&lt;="&amp;EOMONTH(B$1,0),
PROVEEDORES[[#All],[FECHA DE PAGO]],"&gt;"&amp;EOMONTH(B$1,0))</f>
        <v>0</v>
      </c>
      <c r="C10" s="52">
        <f xml:space="preserve">
SUMIFS(PROVEEDORES[[#All],[Total]],
PROVEEDORES[[#All],[FECHA DE FACTURACIÓN]],"&lt;="&amp;EOMONTH(C$1,0),
PROVEEDORES[[#All],[FECHA DE PAGO]],"")
+
SUMIFS(PROVEEDORES[[#All],[Total]],
PROVEEDORES[[#All],[FECHA DE FACTURACIÓN]],"&lt;="&amp;EOMONTH(C$1,0),
PROVEEDORES[[#All],[FECHA DE PAGO]],"&gt;"&amp;EOMONTH(C$1,0))</f>
        <v>0</v>
      </c>
      <c r="D10" s="52">
        <f xml:space="preserve">
SUMIFS(PROVEEDORES[[#All],[Total]],
PROVEEDORES[[#All],[FECHA DE FACTURACIÓN]],"&lt;="&amp;EOMONTH(D$1,0),
PROVEEDORES[[#All],[FECHA DE PAGO]],"")
+
SUMIFS(PROVEEDORES[[#All],[Total]],
PROVEEDORES[[#All],[FECHA DE FACTURACIÓN]],"&lt;="&amp;EOMONTH(D$1,0),
PROVEEDORES[[#All],[FECHA DE PAGO]],"&gt;"&amp;EOMONTH(D$1,0))</f>
        <v>0</v>
      </c>
      <c r="E10" s="52">
        <f xml:space="preserve">
SUMIFS(PROVEEDORES[[#All],[Total]],
PROVEEDORES[[#All],[FECHA DE FACTURACIÓN]],"&lt;="&amp;EOMONTH(E$1,0),
PROVEEDORES[[#All],[FECHA DE PAGO]],"")
+
SUMIFS(PROVEEDORES[[#All],[Total]],
PROVEEDORES[[#All],[FECHA DE FACTURACIÓN]],"&lt;="&amp;EOMONTH(E$1,0),
PROVEEDORES[[#All],[FECHA DE PAGO]],"&gt;"&amp;EOMONTH(E$1,0))</f>
        <v>0</v>
      </c>
      <c r="F10" s="52">
        <f xml:space="preserve">
SUMIFS(PROVEEDORES[[#All],[Total]],
PROVEEDORES[[#All],[FECHA DE FACTURACIÓN]],"&lt;="&amp;EOMONTH(F$1,0),
PROVEEDORES[[#All],[FECHA DE PAGO]],"")
+
SUMIFS(PROVEEDORES[[#All],[Total]],
PROVEEDORES[[#All],[FECHA DE FACTURACIÓN]],"&lt;="&amp;EOMONTH(F$1,0),
PROVEEDORES[[#All],[FECHA DE PAGO]],"&gt;"&amp;EOMONTH(F$1,0))</f>
        <v>0</v>
      </c>
      <c r="G10" s="52">
        <f xml:space="preserve">
SUMIFS(PROVEEDORES[[#All],[Total]],
PROVEEDORES[[#All],[FECHA DE FACTURACIÓN]],"&lt;="&amp;EOMONTH(G$1,0),
PROVEEDORES[[#All],[FECHA DE PAGO]],"")
+
SUMIFS(PROVEEDORES[[#All],[Total]],
PROVEEDORES[[#All],[FECHA DE FACTURACIÓN]],"&lt;="&amp;EOMONTH(G$1,0),
PROVEEDORES[[#All],[FECHA DE PAGO]],"&gt;"&amp;EOMONTH(G$1,0))</f>
        <v>0</v>
      </c>
      <c r="H10" s="52">
        <f xml:space="preserve">
SUMIFS(PROVEEDORES[[#All],[Total]],
PROVEEDORES[[#All],[FECHA DE FACTURACIÓN]],"&lt;="&amp;EOMONTH(H$1,0),
PROVEEDORES[[#All],[FECHA DE PAGO]],"")
+
SUMIFS(PROVEEDORES[[#All],[Total]],
PROVEEDORES[[#All],[FECHA DE FACTURACIÓN]],"&lt;="&amp;EOMONTH(H$1,0),
PROVEEDORES[[#All],[FECHA DE PAGO]],"&gt;"&amp;EOMONTH(H$1,0))</f>
        <v>0</v>
      </c>
      <c r="I10" s="52">
        <f xml:space="preserve">
SUMIFS(PROVEEDORES[[#All],[Total]],
PROVEEDORES[[#All],[FECHA DE FACTURACIÓN]],"&lt;="&amp;EOMONTH(I$1,0),
PROVEEDORES[[#All],[FECHA DE PAGO]],"")
+
SUMIFS(PROVEEDORES[[#All],[Total]],
PROVEEDORES[[#All],[FECHA DE FACTURACIÓN]],"&lt;="&amp;EOMONTH(I$1,0),
PROVEEDORES[[#All],[FECHA DE PAGO]],"&gt;"&amp;EOMONTH(I$1,0))</f>
        <v>0</v>
      </c>
      <c r="J10" s="52">
        <f xml:space="preserve">
SUMIFS(PROVEEDORES[[#All],[Total]],
PROVEEDORES[[#All],[FECHA DE FACTURACIÓN]],"&lt;="&amp;EOMONTH(J$1,0),
PROVEEDORES[[#All],[FECHA DE PAGO]],"")
+
SUMIFS(PROVEEDORES[[#All],[Total]],
PROVEEDORES[[#All],[FECHA DE FACTURACIÓN]],"&lt;="&amp;EOMONTH(J$1,0),
PROVEEDORES[[#All],[FECHA DE PAGO]],"&gt;"&amp;EOMONTH(J$1,0))</f>
        <v>0</v>
      </c>
      <c r="K10" s="52">
        <f xml:space="preserve">
SUMIFS(PROVEEDORES[[#All],[Total]],
PROVEEDORES[[#All],[FECHA DE FACTURACIÓN]],"&lt;="&amp;EOMONTH(K$1,0),
PROVEEDORES[[#All],[FECHA DE PAGO]],"")
+
SUMIFS(PROVEEDORES[[#All],[Total]],
PROVEEDORES[[#All],[FECHA DE FACTURACIÓN]],"&lt;="&amp;EOMONTH(K$1,0),
PROVEEDORES[[#All],[FECHA DE PAGO]],"&gt;"&amp;EOMONTH(K$1,0))</f>
        <v>0</v>
      </c>
      <c r="L10" s="52">
        <f xml:space="preserve">
SUMIFS(PROVEEDORES[[#All],[Total]],
PROVEEDORES[[#All],[FECHA DE FACTURACIÓN]],"&lt;="&amp;EOMONTH(L$1,0),
PROVEEDORES[[#All],[FECHA DE PAGO]],"")
+
SUMIFS(PROVEEDORES[[#All],[Total]],
PROVEEDORES[[#All],[FECHA DE FACTURACIÓN]],"&lt;="&amp;EOMONTH(L$1,0),
PROVEEDORES[[#All],[FECHA DE PAGO]],"&gt;"&amp;EOMONTH(L$1,0))</f>
        <v>23210156.225491602</v>
      </c>
      <c r="M10" s="52">
        <f xml:space="preserve">
SUMIFS(PROVEEDORES[[#All],[Total]],
PROVEEDORES[[#All],[FECHA DE FACTURACIÓN]],"&lt;="&amp;EOMONTH(M$1,0),
PROVEEDORES[[#All],[FECHA DE PAGO]],"")
+
SUMIFS(PROVEEDORES[[#All],[Total]],
PROVEEDORES[[#All],[FECHA DE FACTURACIÓN]],"&lt;="&amp;EOMONTH(M$1,0),
PROVEEDORES[[#All],[FECHA DE PAGO]],"&gt;"&amp;EOMONTH(M$1,0))</f>
        <v>237686299.59208822</v>
      </c>
      <c r="N10" s="52">
        <f xml:space="preserve">
SUMIFS(PROVEEDORES[[#All],[Total]],
PROVEEDORES[[#All],[FECHA DE FACTURACIÓN]],"&lt;="&amp;EOMONTH(N$1,0),
PROVEEDORES[[#All],[FECHA DE PAGO]],"")
+
SUMIFS(PROVEEDORES[[#All],[Total]],
PROVEEDORES[[#All],[FECHA DE FACTURACIÓN]],"&lt;="&amp;EOMONTH(N$1,0),
PROVEEDORES[[#All],[FECHA DE PAGO]],"&gt;"&amp;EOMONTH(N$1,0))</f>
        <v>239474633.08382729</v>
      </c>
      <c r="O10" s="52">
        <f xml:space="preserve">
SUMIFS(PROVEEDORES[[#All],[Total]],
PROVEEDORES[[#All],[FECHA DE FACTURACIÓN]],"&lt;="&amp;EOMONTH(O$1,0),
PROVEEDORES[[#All],[FECHA DE PAGO]],"")
+
SUMIFS(PROVEEDORES[[#All],[Total]],
PROVEEDORES[[#All],[FECHA DE FACTURACIÓN]],"&lt;="&amp;EOMONTH(O$1,0),
PROVEEDORES[[#All],[FECHA DE PAGO]],"&gt;"&amp;EOMONTH(O$1,0))</f>
        <v>232592701.13977942</v>
      </c>
      <c r="P10" s="52">
        <f xml:space="preserve">
SUMIFS(PROVEEDORES[[#All],[Total]],
PROVEEDORES[[#All],[FECHA DE FACTURACIÓN]],"&lt;="&amp;EOMONTH(P$1,0),
PROVEEDORES[[#All],[FECHA DE PAGO]],"")
+
SUMIFS(PROVEEDORES[[#All],[Total]],
PROVEEDORES[[#All],[FECHA DE FACTURACIÓN]],"&lt;="&amp;EOMONTH(P$1,0),
PROVEEDORES[[#All],[FECHA DE PAGO]],"&gt;"&amp;EOMONTH(P$1,0))</f>
        <v>207199633.10614997</v>
      </c>
      <c r="Q10" s="52">
        <f xml:space="preserve">
SUMIFS(PROVEEDORES[[#All],[Total]],
PROVEEDORES[[#All],[FECHA DE FACTURACIÓN]],"&lt;="&amp;EOMONTH(Q$1,0),
PROVEEDORES[[#All],[FECHA DE PAGO]],"")
+
SUMIFS(PROVEEDORES[[#All],[Total]],
PROVEEDORES[[#All],[FECHA DE FACTURACIÓN]],"&lt;="&amp;EOMONTH(Q$1,0),
PROVEEDORES[[#All],[FECHA DE PAGO]],"&gt;"&amp;EOMONTH(Q$1,0))</f>
        <v>250025168.81891227</v>
      </c>
      <c r="R10" s="52">
        <f xml:space="preserve">
SUMIFS(PROVEEDORES[[#All],[Total]],
PROVEEDORES[[#All],[FECHA DE FACTURACIÓN]],"&lt;="&amp;EOMONTH(R$1,0),
PROVEEDORES[[#All],[FECHA DE PAGO]],"")
+
SUMIFS(PROVEEDORES[[#All],[Total]],
PROVEEDORES[[#All],[FECHA DE FACTURACIÓN]],"&lt;="&amp;EOMONTH(R$1,0),
PROVEEDORES[[#All],[FECHA DE PAGO]],"&gt;"&amp;EOMONTH(R$1,0))</f>
        <v>224313718.49067223</v>
      </c>
      <c r="S10" s="52">
        <f xml:space="preserve">
SUMIFS(PROVEEDORES[[#All],[Total]],
PROVEEDORES[[#All],[FECHA DE FACTURACIÓN]],"&lt;="&amp;EOMONTH(S$1,0),
PROVEEDORES[[#All],[FECHA DE PAGO]],"")
+
SUMIFS(PROVEEDORES[[#All],[Total]],
PROVEEDORES[[#All],[FECHA DE FACTURACIÓN]],"&lt;="&amp;EOMONTH(S$1,0),
PROVEEDORES[[#All],[FECHA DE PAGO]],"&gt;"&amp;EOMONTH(S$1,0))</f>
        <v>196759382.68060002</v>
      </c>
      <c r="T10" s="52">
        <f xml:space="preserve">
SUMIFS(PROVEEDORES[[#All],[Total]],
PROVEEDORES[[#All],[FECHA DE FACTURACIÓN]],"&lt;="&amp;EOMONTH(T$1,0),
PROVEEDORES[[#All],[FECHA DE PAGO]],"")
+
SUMIFS(PROVEEDORES[[#All],[Total]],
PROVEEDORES[[#All],[FECHA DE FACTURACIÓN]],"&lt;="&amp;EOMONTH(T$1,0),
PROVEEDORES[[#All],[FECHA DE PAGO]],"&gt;"&amp;EOMONTH(T$1,0))</f>
        <v>235597347.62379995</v>
      </c>
      <c r="U10" s="52">
        <f xml:space="preserve">
SUMIFS(PROVEEDORES[[#All],[Total]],
PROVEEDORES[[#All],[FECHA DE FACTURACIÓN]],"&lt;="&amp;EOMONTH(U$1,0),
PROVEEDORES[[#All],[FECHA DE PAGO]],"")
+
SUMIFS(PROVEEDORES[[#All],[Total]],
PROVEEDORES[[#All],[FECHA DE FACTURACIÓN]],"&lt;="&amp;EOMONTH(U$1,0),
PROVEEDORES[[#All],[FECHA DE PAGO]],"&gt;"&amp;EOMONTH(U$1,0))</f>
        <v>282477756.74290001</v>
      </c>
      <c r="V10" s="52">
        <f xml:space="preserve">
SUMIFS(PROVEEDORES[[#All],[Total]],
PROVEEDORES[[#All],[FECHA DE FACTURACIÓN]],"&lt;="&amp;EOMONTH(V$1,0),
PROVEEDORES[[#All],[FECHA DE PAGO]],"")
+
SUMIFS(PROVEEDORES[[#All],[Total]],
PROVEEDORES[[#All],[FECHA DE FACTURACIÓN]],"&lt;="&amp;EOMONTH(V$1,0),
PROVEEDORES[[#All],[FECHA DE PAGO]],"&gt;"&amp;EOMONTH(V$1,0))</f>
        <v>287509092.99145007</v>
      </c>
      <c r="W10" s="52">
        <f xml:space="preserve">
SUMIFS(PROVEEDORES[[#All],[Total]],
PROVEEDORES[[#All],[FECHA DE FACTURACIÓN]],"&lt;="&amp;EOMONTH(W$1,0),
PROVEEDORES[[#All],[FECHA DE PAGO]],"")
+
SUMIFS(PROVEEDORES[[#All],[Total]],
PROVEEDORES[[#All],[FECHA DE FACTURACIÓN]],"&lt;="&amp;EOMONTH(W$1,0),
PROVEEDORES[[#All],[FECHA DE PAGO]],"&gt;"&amp;EOMONTH(W$1,0))</f>
        <v>221529026.39970005</v>
      </c>
      <c r="X10" s="52">
        <f xml:space="preserve">
SUMIFS(PROVEEDORES[[#All],[Total]],
PROVEEDORES[[#All],[FECHA DE FACTURACIÓN]],"&lt;="&amp;EOMONTH(X$1,0),
PROVEEDORES[[#All],[FECHA DE PAGO]],"")
+
SUMIFS(PROVEEDORES[[#All],[Total]],
PROVEEDORES[[#All],[FECHA DE FACTURACIÓN]],"&lt;="&amp;EOMONTH(X$1,0),
PROVEEDORES[[#All],[FECHA DE PAGO]],"&gt;"&amp;EOMONTH(X$1,0))</f>
        <v>262760083.71355003</v>
      </c>
      <c r="Y10" s="52">
        <f xml:space="preserve">
SUMIFS(PROVEEDORES[[#All],[Total]],
PROVEEDORES[[#All],[FECHA DE FACTURACIÓN]],"&lt;="&amp;EOMONTH(Y$1,0),
PROVEEDORES[[#All],[FECHA DE PAGO]],"")
+
SUMIFS(PROVEEDORES[[#All],[Total]],
PROVEEDORES[[#All],[FECHA DE FACTURACIÓN]],"&lt;="&amp;EOMONTH(Y$1,0),
PROVEEDORES[[#All],[FECHA DE PAGO]],"&gt;"&amp;EOMONTH(Y$1,0))</f>
        <v>297586721.06905001</v>
      </c>
      <c r="Z10" s="52">
        <f xml:space="preserve">
SUMIFS(PROVEEDORES[[#All],[Total]],
PROVEEDORES[[#All],[FECHA DE FACTURACIÓN]],"&lt;="&amp;EOMONTH(Z$1,0),
PROVEEDORES[[#All],[FECHA DE PAGO]],"")
+
SUMIFS(PROVEEDORES[[#All],[Total]],
PROVEEDORES[[#All],[FECHA DE FACTURACIÓN]],"&lt;="&amp;EOMONTH(Z$1,0),
PROVEEDORES[[#All],[FECHA DE PAGO]],"&gt;"&amp;EOMONTH(Z$1,0))</f>
        <v>239474633.08382729</v>
      </c>
      <c r="AA10" s="52">
        <f xml:space="preserve">
SUMIFS(PROVEEDORES[[#All],[Total]],
PROVEEDORES[[#All],[FECHA DE FACTURACIÓN]],"&lt;="&amp;EOMONTH(AA$1,0),
PROVEEDORES[[#All],[FECHA DE PAGO]],"")
+
SUMIFS(PROVEEDORES[[#All],[Total]],
PROVEEDORES[[#All],[FECHA DE FACTURACIÓN]],"&lt;="&amp;EOMONTH(AA$1,0),
PROVEEDORES[[#All],[FECHA DE PAGO]],"&gt;"&amp;EOMONTH(AA$1,0))</f>
        <v>232592701.13977942</v>
      </c>
      <c r="AB10" s="52">
        <f xml:space="preserve">
SUMIFS(PROVEEDORES[[#All],[Total]],
PROVEEDORES[[#All],[FECHA DE FACTURACIÓN]],"&lt;="&amp;EOMONTH(AB$1,0),
PROVEEDORES[[#All],[FECHA DE PAGO]],"")
+
SUMIFS(PROVEEDORES[[#All],[Total]],
PROVEEDORES[[#All],[FECHA DE FACTURACIÓN]],"&lt;="&amp;EOMONTH(AB$1,0),
PROVEEDORES[[#All],[FECHA DE PAGO]],"&gt;"&amp;EOMONTH(AB$1,0))</f>
        <v>207199633.10614997</v>
      </c>
      <c r="AC10" s="52">
        <f xml:space="preserve">
SUMIFS(PROVEEDORES[[#All],[Total]],
PROVEEDORES[[#All],[FECHA DE FACTURACIÓN]],"&lt;="&amp;EOMONTH(AC$1,0),
PROVEEDORES[[#All],[FECHA DE PAGO]],"")
+
SUMIFS(PROVEEDORES[[#All],[Total]],
PROVEEDORES[[#All],[FECHA DE FACTURACIÓN]],"&lt;="&amp;EOMONTH(AC$1,0),
PROVEEDORES[[#All],[FECHA DE PAGO]],"&gt;"&amp;EOMONTH(AC$1,0))</f>
        <v>250025168.81891227</v>
      </c>
    </row>
    <row r="11" spans="1:30" x14ac:dyDescent="0.25">
      <c r="A11" s="42" t="s">
        <v>153</v>
      </c>
      <c r="B11" s="51">
        <f>ABS(SUMIFS(FINANCIACION[$ CAPITAL],
FINANCIACION[Fecha],"&lt;="&amp;EOMONTH(B$1,0)))</f>
        <v>837377564.85488355</v>
      </c>
      <c r="C11" s="51">
        <f>ABS(SUMIFS(FINANCIACION[$ CAPITAL],
FINANCIACION[Fecha],"&lt;="&amp;EOMONTH(C$1,0)))</f>
        <v>828371667.09314048</v>
      </c>
      <c r="D11" s="51">
        <f>ABS(SUMIFS(FINANCIACION[$ CAPITAL],
FINANCIACION[Fecha],"&lt;="&amp;EOMONTH(D$1,0)))</f>
        <v>882385808.94999993</v>
      </c>
      <c r="E11" s="51">
        <f>ABS(SUMIFS(FINANCIACION[$ CAPITAL],
FINANCIACION[Fecha],"&lt;="&amp;EOMONTH(E$1,0)))</f>
        <v>883621757.94999993</v>
      </c>
      <c r="F11" s="51">
        <f>ABS(SUMIFS(FINANCIACION[$ CAPITAL],
FINANCIACION[Fecha],"&lt;="&amp;EOMONTH(F$1,0)))</f>
        <v>936094623.94999993</v>
      </c>
      <c r="G11" s="51">
        <f>ABS(SUMIFS(FINANCIACION[$ CAPITAL],
FINANCIACION[Fecha],"&lt;="&amp;EOMONTH(G$1,0)))</f>
        <v>1130051299.6999998</v>
      </c>
      <c r="H11" s="51">
        <f>ABS(SUMIFS(FINANCIACION[$ CAPITAL],
FINANCIACION[Fecha],"&lt;="&amp;EOMONTH(H$1,0)))</f>
        <v>1064803357.1499999</v>
      </c>
      <c r="I11" s="51">
        <f>ABS(SUMIFS(FINANCIACION[$ CAPITAL],
FINANCIACION[Fecha],"&lt;="&amp;EOMONTH(I$1,0)))</f>
        <v>1095295893.8199999</v>
      </c>
      <c r="J11" s="51">
        <f>ABS(SUMIFS(FINANCIACION[$ CAPITAL],
FINANCIACION[Fecha],"&lt;="&amp;EOMONTH(J$1,0)))</f>
        <v>1147392333.7699997</v>
      </c>
      <c r="K11" s="51">
        <f>ABS(SUMIFS(FINANCIACION[$ CAPITAL],
FINANCIACION[Fecha],"&lt;="&amp;EOMONTH(K$1,0)))</f>
        <v>1112196058.8099997</v>
      </c>
      <c r="L11" s="51">
        <f>ABS(SUMIFS(FINANCIACION[$ CAPITAL],
FINANCIACION[Fecha],"&lt;="&amp;EOMONTH(L$1,0)))</f>
        <v>1104155421.0799999</v>
      </c>
      <c r="M11" s="51">
        <f>ABS(SUMIFS(FINANCIACION[$ CAPITAL],
FINANCIACION[Fecha],"&lt;="&amp;EOMONTH(M$1,0)))</f>
        <v>1117950055.3187068</v>
      </c>
      <c r="N11" s="51">
        <f>ABS(SUMIFS(FINANCIACION[$ CAPITAL],
FINANCIACION[Fecha],"&lt;="&amp;EOMONTH(N$1,0)))</f>
        <v>1123463995.6947069</v>
      </c>
      <c r="O11" s="51">
        <f>ABS(SUMIFS(FINANCIACION[$ CAPITAL],
FINANCIACION[Fecha],"&lt;="&amp;EOMONTH(O$1,0)))</f>
        <v>1202744188.3134003</v>
      </c>
      <c r="P11" s="51">
        <f>ABS(SUMIFS(FINANCIACION[$ CAPITAL],
FINANCIACION[Fecha],"&lt;="&amp;EOMONTH(P$1,0)))</f>
        <v>1232680291.5998344</v>
      </c>
      <c r="Q11" s="51">
        <f>ABS(SUMIFS(FINANCIACION[$ CAPITAL],
FINANCIACION[Fecha],"&lt;="&amp;EOMONTH(Q$1,0)))</f>
        <v>1249616530.6160328</v>
      </c>
      <c r="R11" s="51">
        <f>ABS(SUMIFS(FINANCIACION[$ CAPITAL],
FINANCIACION[Fecha],"&lt;="&amp;EOMONTH(R$1,0)))</f>
        <v>1259640506.3695579</v>
      </c>
      <c r="S11" s="51">
        <f>ABS(SUMIFS(FINANCIACION[$ CAPITAL],
FINANCIACION[Fecha],"&lt;="&amp;EOMONTH(S$1,0)))</f>
        <v>1241686929.505306</v>
      </c>
      <c r="T11" s="51">
        <f>ABS(SUMIFS(FINANCIACION[$ CAPITAL],
FINANCIACION[Fecha],"&lt;="&amp;EOMONTH(T$1,0)))</f>
        <v>1226353586.7249591</v>
      </c>
      <c r="U11" s="51">
        <f>ABS(SUMIFS(FINANCIACION[$ CAPITAL],
FINANCIACION[Fecha],"&lt;="&amp;EOMONTH(U$1,0)))</f>
        <v>1236365478.2907085</v>
      </c>
      <c r="V11" s="51">
        <f>ABS(SUMIFS(FINANCIACION[$ CAPITAL],
FINANCIACION[Fecha],"&lt;="&amp;EOMONTH(V$1,0)))</f>
        <v>1210819350.2815154</v>
      </c>
      <c r="W11" s="51">
        <f>ABS(SUMIFS(FINANCIACION[$ CAPITAL],
FINANCIACION[Fecha],"&lt;="&amp;EOMONTH(W$1,0)))</f>
        <v>1169608273.4785306</v>
      </c>
      <c r="X11" s="51">
        <f>ABS(SUMIFS(FINANCIACION[$ CAPITAL],
FINANCIACION[Fecha],"&lt;="&amp;EOMONTH(X$1,0)))</f>
        <v>1259411136.0911355</v>
      </c>
      <c r="Y11" s="51">
        <f>ABS(SUMIFS(FINANCIACION[$ CAPITAL],
FINANCIACION[Fecha],"&lt;="&amp;EOMONTH(Y$1,0)))</f>
        <v>1223009873.8700814</v>
      </c>
      <c r="Z11" s="51">
        <f>ABS(SUMIFS(FINANCIACION[$ CAPITAL],
FINANCIACION[Fecha],"&lt;="&amp;EOMONTH(Z$1,0)))</f>
        <v>1123463995.6947069</v>
      </c>
      <c r="AA11" s="51">
        <f>ABS(SUMIFS(FINANCIACION[$ CAPITAL],
FINANCIACION[Fecha],"&lt;="&amp;EOMONTH(AA$1,0)))</f>
        <v>1202744188.3134003</v>
      </c>
      <c r="AB11" s="51">
        <f>ABS(SUMIFS(FINANCIACION[$ CAPITAL],
FINANCIACION[Fecha],"&lt;="&amp;EOMONTH(AB$1,0)))</f>
        <v>1232680291.5998344</v>
      </c>
      <c r="AC11" s="51">
        <f>ABS(SUMIFS(FINANCIACION[$ CAPITAL],
FINANCIACION[Fecha],"&lt;="&amp;EOMONTH(AC$1,0)))</f>
        <v>1249616530.6160328</v>
      </c>
    </row>
    <row r="12" spans="1:30" x14ac:dyDescent="0.25">
      <c r="A12" s="43" t="s">
        <v>154</v>
      </c>
      <c r="B12" s="52">
        <f t="shared" ref="B12:AC12" si="2">SUM(B20:B25)</f>
        <v>0</v>
      </c>
      <c r="C12" s="52">
        <f t="shared" si="2"/>
        <v>0</v>
      </c>
      <c r="D12" s="52">
        <f t="shared" si="2"/>
        <v>0</v>
      </c>
      <c r="E12" s="52">
        <f t="shared" si="2"/>
        <v>0</v>
      </c>
      <c r="F12" s="52">
        <f t="shared" si="2"/>
        <v>0</v>
      </c>
      <c r="G12" s="52">
        <f t="shared" si="2"/>
        <v>0</v>
      </c>
      <c r="H12" s="52">
        <f t="shared" si="2"/>
        <v>0</v>
      </c>
      <c r="I12" s="52">
        <f t="shared" si="2"/>
        <v>0</v>
      </c>
      <c r="J12" s="52">
        <f t="shared" si="2"/>
        <v>0</v>
      </c>
      <c r="K12" s="52">
        <f t="shared" si="2"/>
        <v>0</v>
      </c>
      <c r="L12" s="52">
        <f t="shared" si="2"/>
        <v>0</v>
      </c>
      <c r="M12" s="52">
        <f t="shared" si="2"/>
        <v>0</v>
      </c>
      <c r="N12" s="52">
        <f t="shared" si="2"/>
        <v>16130516.710000003</v>
      </c>
      <c r="O12" s="52">
        <f t="shared" si="2"/>
        <v>31295149.129999999</v>
      </c>
      <c r="P12" s="52">
        <f t="shared" si="2"/>
        <v>-7095403.9099999992</v>
      </c>
      <c r="Q12" s="52">
        <f t="shared" si="2"/>
        <v>13223260.26</v>
      </c>
      <c r="R12" s="52">
        <f t="shared" si="2"/>
        <v>13564187.379999999</v>
      </c>
      <c r="S12" s="52">
        <f t="shared" si="2"/>
        <v>2097486.7599999998</v>
      </c>
      <c r="T12" s="52">
        <f t="shared" si="2"/>
        <v>5063939.5599999996</v>
      </c>
      <c r="U12" s="52">
        <f t="shared" si="2"/>
        <v>18165497.169999998</v>
      </c>
      <c r="V12" s="52">
        <f t="shared" si="2"/>
        <v>5767101.4399999995</v>
      </c>
      <c r="W12" s="52">
        <f t="shared" si="2"/>
        <v>8248131.7599999998</v>
      </c>
      <c r="X12" s="52">
        <f t="shared" si="2"/>
        <v>76976155.230000004</v>
      </c>
      <c r="Y12" s="52">
        <f t="shared" si="2"/>
        <v>59937241.790000007</v>
      </c>
      <c r="Z12" s="52">
        <f t="shared" si="2"/>
        <v>59937241.790000007</v>
      </c>
      <c r="AA12" s="52">
        <f t="shared" si="2"/>
        <v>3835756.7000000007</v>
      </c>
      <c r="AB12" s="52">
        <f t="shared" si="2"/>
        <v>623916.10000000056</v>
      </c>
      <c r="AC12" s="52">
        <f t="shared" si="2"/>
        <v>-14918267.590000002</v>
      </c>
    </row>
    <row r="13" spans="1:30" x14ac:dyDescent="0.25">
      <c r="A13" s="42" t="s">
        <v>155</v>
      </c>
      <c r="B13" s="51">
        <f t="shared" ref="B13:AB13" si="3">SUM(B20:B27)</f>
        <v>0</v>
      </c>
      <c r="C13" s="51">
        <f t="shared" si="3"/>
        <v>0</v>
      </c>
      <c r="D13" s="51">
        <f t="shared" si="3"/>
        <v>0</v>
      </c>
      <c r="E13" s="51">
        <f t="shared" si="3"/>
        <v>0</v>
      </c>
      <c r="F13" s="51">
        <f t="shared" si="3"/>
        <v>0</v>
      </c>
      <c r="G13" s="51">
        <f t="shared" si="3"/>
        <v>0</v>
      </c>
      <c r="H13" s="51">
        <f t="shared" si="3"/>
        <v>0</v>
      </c>
      <c r="I13" s="51">
        <f t="shared" si="3"/>
        <v>0</v>
      </c>
      <c r="J13" s="51">
        <f t="shared" si="3"/>
        <v>0</v>
      </c>
      <c r="K13" s="51">
        <f t="shared" si="3"/>
        <v>0</v>
      </c>
      <c r="L13" s="51">
        <f t="shared" si="3"/>
        <v>0</v>
      </c>
      <c r="M13" s="51">
        <f t="shared" si="3"/>
        <v>0</v>
      </c>
      <c r="N13" s="51">
        <f t="shared" si="3"/>
        <v>34960056.5</v>
      </c>
      <c r="O13" s="51">
        <f t="shared" si="3"/>
        <v>44502842.549999997</v>
      </c>
      <c r="P13" s="51">
        <f t="shared" si="3"/>
        <v>3632796.0900000008</v>
      </c>
      <c r="Q13" s="51">
        <f t="shared" si="3"/>
        <v>13325447.279999999</v>
      </c>
      <c r="R13" s="51">
        <f t="shared" si="3"/>
        <v>24355059.559999999</v>
      </c>
      <c r="S13" s="51">
        <f t="shared" si="3"/>
        <v>8389609.6699999999</v>
      </c>
      <c r="T13" s="51">
        <f t="shared" si="3"/>
        <v>13815785.92</v>
      </c>
      <c r="U13" s="51">
        <f t="shared" si="3"/>
        <v>26673509.119999997</v>
      </c>
      <c r="V13" s="51">
        <f t="shared" si="3"/>
        <v>23882286.719999999</v>
      </c>
      <c r="W13" s="51">
        <f t="shared" si="3"/>
        <v>22564178.699999999</v>
      </c>
      <c r="X13" s="51">
        <f t="shared" si="3"/>
        <v>90725734.730000004</v>
      </c>
      <c r="Y13" s="51">
        <f t="shared" si="3"/>
        <v>104524152.60000001</v>
      </c>
      <c r="Z13" s="51">
        <f t="shared" si="3"/>
        <v>104524152.60000001</v>
      </c>
      <c r="AA13" s="51">
        <f t="shared" si="3"/>
        <v>12127469.700000001</v>
      </c>
      <c r="AB13" s="51">
        <f t="shared" si="3"/>
        <v>14816629.98</v>
      </c>
      <c r="AC13" s="51">
        <f>SUM(AC20:AC27)</f>
        <v>1414382.4099999983</v>
      </c>
    </row>
    <row r="14" spans="1:30" x14ac:dyDescent="0.25">
      <c r="A14" s="43" t="s">
        <v>156</v>
      </c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67"/>
      <c r="V14" s="67"/>
      <c r="W14" s="67"/>
      <c r="X14" s="67"/>
      <c r="Y14" s="67"/>
      <c r="Z14" s="67"/>
      <c r="AA14" s="67"/>
      <c r="AB14" s="67"/>
      <c r="AC14" s="67"/>
    </row>
    <row r="15" spans="1:30" x14ac:dyDescent="0.25">
      <c r="A15" s="42" t="s">
        <v>157</v>
      </c>
      <c r="B15" s="51">
        <f xml:space="preserve">
SUMIFS(PROVEEDORES[[#All],[Descuento sobre subtotal $]],
PROVEEDORES[[#All],[FECHA DE PAGO]],"&gt;="&amp;B$1,
PROVEEDORES[[#All],[FECHA DE PAGO]],"&lt;="&amp;EOMONTH(B$1,0))</f>
        <v>0</v>
      </c>
      <c r="C15" s="51">
        <f xml:space="preserve">
SUMIFS(PROVEEDORES[[#All],[Descuento sobre subtotal $]],
PROVEEDORES[[#All],[FECHA DE PAGO]],"&gt;="&amp;C$1,
PROVEEDORES[[#All],[FECHA DE PAGO]],"&lt;="&amp;EOMONTH(C$1,0))</f>
        <v>0</v>
      </c>
      <c r="D15" s="51">
        <f xml:space="preserve">
SUMIFS(PROVEEDORES[[#All],[Descuento sobre subtotal $]],
PROVEEDORES[[#All],[FECHA DE PAGO]],"&gt;="&amp;D$1,
PROVEEDORES[[#All],[FECHA DE PAGO]],"&lt;="&amp;EOMONTH(D$1,0))</f>
        <v>0</v>
      </c>
      <c r="E15" s="51">
        <f xml:space="preserve">
SUMIFS(PROVEEDORES[[#All],[Descuento sobre subtotal $]],
PROVEEDORES[[#All],[FECHA DE PAGO]],"&gt;="&amp;E$1,
PROVEEDORES[[#All],[FECHA DE PAGO]],"&lt;="&amp;EOMONTH(E$1,0))</f>
        <v>0</v>
      </c>
      <c r="F15" s="51">
        <f xml:space="preserve">
SUMIFS(PROVEEDORES[[#All],[Descuento sobre subtotal $]],
PROVEEDORES[[#All],[FECHA DE PAGO]],"&gt;="&amp;F$1,
PROVEEDORES[[#All],[FECHA DE PAGO]],"&lt;="&amp;EOMONTH(F$1,0))</f>
        <v>0</v>
      </c>
      <c r="G15" s="51">
        <f xml:space="preserve">
SUMIFS(PROVEEDORES[[#All],[Descuento sobre subtotal $]],
PROVEEDORES[[#All],[FECHA DE PAGO]],"&gt;="&amp;G$1,
PROVEEDORES[[#All],[FECHA DE PAGO]],"&lt;="&amp;EOMONTH(G$1,0))</f>
        <v>0</v>
      </c>
      <c r="H15" s="51">
        <f xml:space="preserve">
SUMIFS(PROVEEDORES[[#All],[Descuento sobre subtotal $]],
PROVEEDORES[[#All],[FECHA DE PAGO]],"&gt;="&amp;H$1,
PROVEEDORES[[#All],[FECHA DE PAGO]],"&lt;="&amp;EOMONTH(H$1,0))</f>
        <v>0</v>
      </c>
      <c r="I15" s="51">
        <f xml:space="preserve">
SUMIFS(PROVEEDORES[[#All],[Descuento sobre subtotal $]],
PROVEEDORES[[#All],[FECHA DE PAGO]],"&gt;="&amp;I$1,
PROVEEDORES[[#All],[FECHA DE PAGO]],"&lt;="&amp;EOMONTH(I$1,0))</f>
        <v>0</v>
      </c>
      <c r="J15" s="51">
        <f xml:space="preserve">
SUMIFS(PROVEEDORES[[#All],[Descuento sobre subtotal $]],
PROVEEDORES[[#All],[FECHA DE PAGO]],"&gt;="&amp;J$1,
PROVEEDORES[[#All],[FECHA DE PAGO]],"&lt;="&amp;EOMONTH(J$1,0))</f>
        <v>0</v>
      </c>
      <c r="K15" s="51">
        <f xml:space="preserve">
SUMIFS(PROVEEDORES[[#All],[Descuento sobre subtotal $]],
PROVEEDORES[[#All],[FECHA DE PAGO]],"&gt;="&amp;K$1,
PROVEEDORES[[#All],[FECHA DE PAGO]],"&lt;="&amp;EOMONTH(K$1,0))</f>
        <v>0</v>
      </c>
      <c r="L15" s="51">
        <f xml:space="preserve">
SUMIFS(PROVEEDORES[[#All],[Descuento sobre subtotal $]],
PROVEEDORES[[#All],[FECHA DE PAGO]],"&gt;="&amp;L$1,
PROVEEDORES[[#All],[FECHA DE PAGO]],"&lt;="&amp;EOMONTH(L$1,0))</f>
        <v>0</v>
      </c>
      <c r="M15" s="51">
        <f xml:space="preserve">
SUMIFS(PROVEEDORES[[#All],[Descuento sobre subtotal $]],
PROVEEDORES[[#All],[FECHA DE PAGO]],"&gt;="&amp;M$1,
PROVEEDORES[[#All],[FECHA DE PAGO]],"&lt;="&amp;EOMONTH(M$1,0))</f>
        <v>0</v>
      </c>
      <c r="N15" s="51">
        <f xml:space="preserve">
SUMIFS(PROVEEDORES[[#All],[Descuento sobre subtotal $]],
PROVEEDORES[[#All],[FECHA DE PAGO]],"&gt;="&amp;N$1,
PROVEEDORES[[#All],[FECHA DE PAGO]],"&lt;="&amp;EOMONTH(N$1,0))</f>
        <v>0</v>
      </c>
      <c r="O15" s="51">
        <f xml:space="preserve">
SUMIFS(PROVEEDORES[[#All],[Descuento sobre subtotal $]],
PROVEEDORES[[#All],[FECHA DE PAGO]],"&gt;="&amp;O$1,
PROVEEDORES[[#All],[FECHA DE PAGO]],"&lt;="&amp;EOMONTH(O$1,0))</f>
        <v>553534.17999999993</v>
      </c>
      <c r="P15" s="51">
        <f xml:space="preserve">
SUMIFS(PROVEEDORES[[#All],[Descuento sobre subtotal $]],
PROVEEDORES[[#All],[FECHA DE PAGO]],"&gt;="&amp;P$1,
PROVEEDORES[[#All],[FECHA DE PAGO]],"&lt;="&amp;EOMONTH(P$1,0))</f>
        <v>358154</v>
      </c>
      <c r="Q15" s="51">
        <f xml:space="preserve">
SUMIFS(PROVEEDORES[[#All],[Descuento sobre subtotal $]],
PROVEEDORES[[#All],[FECHA DE PAGO]],"&gt;="&amp;Q$1,
PROVEEDORES[[#All],[FECHA DE PAGO]],"&lt;="&amp;EOMONTH(Q$1,0))</f>
        <v>408643.55</v>
      </c>
      <c r="R15" s="51">
        <f xml:space="preserve">
SUMIFS(PROVEEDORES[[#All],[Descuento sobre subtotal $]],
PROVEEDORES[[#All],[FECHA DE PAGO]],"&gt;="&amp;R$1,
PROVEEDORES[[#All],[FECHA DE PAGO]],"&lt;="&amp;EOMONTH(R$1,0))</f>
        <v>219730.05</v>
      </c>
      <c r="S15" s="51">
        <f xml:space="preserve">
SUMIFS(PROVEEDORES[[#All],[Descuento sobre subtotal $]],
PROVEEDORES[[#All],[FECHA DE PAGO]],"&gt;="&amp;S$1,
PROVEEDORES[[#All],[FECHA DE PAGO]],"&lt;="&amp;EOMONTH(S$1,0))</f>
        <v>218173</v>
      </c>
      <c r="T15" s="51">
        <f xml:space="preserve">
SUMIFS(PROVEEDORES[[#All],[Descuento sobre subtotal $]],
PROVEEDORES[[#All],[FECHA DE PAGO]],"&gt;="&amp;T$1,
PROVEEDORES[[#All],[FECHA DE PAGO]],"&lt;="&amp;EOMONTH(T$1,0))</f>
        <v>198021.46</v>
      </c>
      <c r="U15" s="51">
        <f xml:space="preserve">
SUMIFS(PROVEEDORES[[#All],[Descuento sobre subtotal $]],
PROVEEDORES[[#All],[FECHA DE PAGO]],"&gt;="&amp;U$1,
PROVEEDORES[[#All],[FECHA DE PAGO]],"&lt;="&amp;EOMONTH(U$1,0))</f>
        <v>2342642.77</v>
      </c>
      <c r="V15" s="51">
        <f xml:space="preserve">
SUMIFS(PROVEEDORES[[#All],[Descuento sobre subtotal $]],
PROVEEDORES[[#All],[FECHA DE PAGO]],"&gt;="&amp;V$1,
PROVEEDORES[[#All],[FECHA DE PAGO]],"&lt;="&amp;EOMONTH(V$1,0))</f>
        <v>1020596.1700000004</v>
      </c>
      <c r="W15" s="51">
        <f xml:space="preserve">
SUMIFS(PROVEEDORES[[#All],[Descuento sobre subtotal $]],
PROVEEDORES[[#All],[FECHA DE PAGO]],"&gt;="&amp;W$1,
PROVEEDORES[[#All],[FECHA DE PAGO]],"&lt;="&amp;EOMONTH(W$1,0))</f>
        <v>130361.77</v>
      </c>
      <c r="X15" s="51">
        <f xml:space="preserve">
SUMIFS(PROVEEDORES[[#All],[Descuento sobre subtotal $]],
PROVEEDORES[[#All],[FECHA DE PAGO]],"&gt;="&amp;X$1,
PROVEEDORES[[#All],[FECHA DE PAGO]],"&lt;="&amp;EOMONTH(X$1,0))</f>
        <v>125150.08</v>
      </c>
      <c r="Y15" s="51">
        <f xml:space="preserve">
SUMIFS(PROVEEDORES[[#All],[Descuento sobre subtotal $]],
PROVEEDORES[[#All],[FECHA DE PAGO]],"&gt;="&amp;Y$1,
PROVEEDORES[[#All],[FECHA DE PAGO]],"&lt;="&amp;EOMONTH(Y$1,0))</f>
        <v>3179249.4</v>
      </c>
      <c r="Z15" s="51">
        <f xml:space="preserve">
SUMIFS(PROVEEDORES[[#All],[Descuento sobre subtotal $]],
PROVEEDORES[[#All],[FECHA DE PAGO]],"&gt;="&amp;Z$1,
PROVEEDORES[[#All],[FECHA DE PAGO]],"&lt;="&amp;EOMONTH(Z$1,0))</f>
        <v>0</v>
      </c>
      <c r="AA15" s="51">
        <f xml:space="preserve">
SUMIFS(PROVEEDORES[[#All],[Descuento sobre subtotal $]],
PROVEEDORES[[#All],[FECHA DE PAGO]],"&gt;="&amp;AA$1,
PROVEEDORES[[#All],[FECHA DE PAGO]],"&lt;="&amp;EOMONTH(AA$1,0))</f>
        <v>553534.17999999993</v>
      </c>
      <c r="AB15" s="51">
        <f xml:space="preserve">
SUMIFS(PROVEEDORES[[#All],[Descuento sobre subtotal $]],
PROVEEDORES[[#All],[FECHA DE PAGO]],"&gt;="&amp;AB$1,
PROVEEDORES[[#All],[FECHA DE PAGO]],"&lt;="&amp;EOMONTH(AB$1,0))</f>
        <v>358154</v>
      </c>
      <c r="AC15" s="51">
        <f xml:space="preserve">
SUMIFS(PROVEEDORES[[#All],[Descuento sobre subtotal $]],
PROVEEDORES[[#All],[FECHA DE PAGO]],"&gt;="&amp;AC$1,
PROVEEDORES[[#All],[FECHA DE PAGO]],"&lt;="&amp;EOMONTH(AC$1,0))</f>
        <v>408643.55</v>
      </c>
    </row>
    <row r="16" spans="1:30" x14ac:dyDescent="0.25">
      <c r="A16" s="43" t="s">
        <v>158</v>
      </c>
      <c r="B16" s="52">
        <f xml:space="preserve">
SUMIFS(PROVEEDORES[[#All],[Total]],
PROVEEDORES[[#All],[FECHA DE FACTURACIÓN]],"&lt;="&amp;EOMONTH(B$1,0),
PROVEEDORES[[#All],[Estado de la factura]],"VENCIDA")
+
SUMIFS(PROVEEDORES[[#All],[Total]],
PROVEEDORES[[#All],[FECHA DE FACTURACIÓN]],"&lt;="&amp;EOMONTH(B$1,0),
PROVEEDORES[[#All],[PV]],"PAGO VENCIDO",
PROVEEDORES[[#All],[FECHA DE PAGO]],"&gt;"&amp;EOMONTH(B$1,0))</f>
        <v>0</v>
      </c>
      <c r="C16" s="52">
        <f xml:space="preserve">
SUMIFS(PROVEEDORES[[#All],[Total]],
PROVEEDORES[[#All],[FECHA DE FACTURACIÓN]],"&lt;="&amp;EOMONTH(C$1,0),
PROVEEDORES[[#All],[Estado de la factura]],"VENCIDA")
+
SUMIFS(PROVEEDORES[[#All],[Total]],
PROVEEDORES[[#All],[FECHA DE FACTURACIÓN]],"&lt;="&amp;EOMONTH(C$1,0),
PROVEEDORES[[#All],[PV]],"PAGO VENCIDO",
PROVEEDORES[[#All],[FECHA DE PAGO]],"&gt;"&amp;EOMONTH(C$1,0))</f>
        <v>0</v>
      </c>
      <c r="D16" s="52">
        <f xml:space="preserve">
SUMIFS(PROVEEDORES[[#All],[Total]],
PROVEEDORES[[#All],[FECHA DE FACTURACIÓN]],"&lt;="&amp;EOMONTH(D$1,0),
PROVEEDORES[[#All],[Estado de la factura]],"VENCIDA")
+
SUMIFS(PROVEEDORES[[#All],[Total]],
PROVEEDORES[[#All],[FECHA DE FACTURACIÓN]],"&lt;="&amp;EOMONTH(D$1,0),
PROVEEDORES[[#All],[PV]],"PAGO VENCIDO",
PROVEEDORES[[#All],[FECHA DE PAGO]],"&gt;"&amp;EOMONTH(D$1,0))</f>
        <v>0</v>
      </c>
      <c r="E16" s="52">
        <f xml:space="preserve">
SUMIFS(PROVEEDORES[[#All],[Total]],
PROVEEDORES[[#All],[FECHA DE FACTURACIÓN]],"&lt;="&amp;EOMONTH(E$1,0),
PROVEEDORES[[#All],[Estado de la factura]],"VENCIDA")
+
SUMIFS(PROVEEDORES[[#All],[Total]],
PROVEEDORES[[#All],[FECHA DE FACTURACIÓN]],"&lt;="&amp;EOMONTH(E$1,0),
PROVEEDORES[[#All],[PV]],"PAGO VENCIDO",
PROVEEDORES[[#All],[FECHA DE PAGO]],"&gt;"&amp;EOMONTH(E$1,0))</f>
        <v>0</v>
      </c>
      <c r="F16" s="52">
        <f xml:space="preserve">
SUMIFS(PROVEEDORES[[#All],[Total]],
PROVEEDORES[[#All],[FECHA DE FACTURACIÓN]],"&lt;="&amp;EOMONTH(F$1,0),
PROVEEDORES[[#All],[Estado de la factura]],"VENCIDA")
+
SUMIFS(PROVEEDORES[[#All],[Total]],
PROVEEDORES[[#All],[FECHA DE FACTURACIÓN]],"&lt;="&amp;EOMONTH(F$1,0),
PROVEEDORES[[#All],[PV]],"PAGO VENCIDO",
PROVEEDORES[[#All],[FECHA DE PAGO]],"&gt;"&amp;EOMONTH(F$1,0))</f>
        <v>0</v>
      </c>
      <c r="G16" s="52">
        <f xml:space="preserve">
SUMIFS(PROVEEDORES[[#All],[Total]],
PROVEEDORES[[#All],[FECHA DE FACTURACIÓN]],"&lt;="&amp;EOMONTH(G$1,0),
PROVEEDORES[[#All],[Estado de la factura]],"VENCIDA")
+
SUMIFS(PROVEEDORES[[#All],[Total]],
PROVEEDORES[[#All],[FECHA DE FACTURACIÓN]],"&lt;="&amp;EOMONTH(G$1,0),
PROVEEDORES[[#All],[PV]],"PAGO VENCIDO",
PROVEEDORES[[#All],[FECHA DE PAGO]],"&gt;"&amp;EOMONTH(G$1,0))</f>
        <v>0</v>
      </c>
      <c r="H16" s="52">
        <f xml:space="preserve">
SUMIFS(PROVEEDORES[[#All],[Total]],
PROVEEDORES[[#All],[FECHA DE FACTURACIÓN]],"&lt;="&amp;EOMONTH(H$1,0),
PROVEEDORES[[#All],[Estado de la factura]],"VENCIDA")
+
SUMIFS(PROVEEDORES[[#All],[Total]],
PROVEEDORES[[#All],[FECHA DE FACTURACIÓN]],"&lt;="&amp;EOMONTH(H$1,0),
PROVEEDORES[[#All],[PV]],"PAGO VENCIDO",
PROVEEDORES[[#All],[FECHA DE PAGO]],"&gt;"&amp;EOMONTH(H$1,0))</f>
        <v>0</v>
      </c>
      <c r="I16" s="52">
        <f xml:space="preserve">
SUMIFS(PROVEEDORES[[#All],[Total]],
PROVEEDORES[[#All],[FECHA DE FACTURACIÓN]],"&lt;="&amp;EOMONTH(I$1,0),
PROVEEDORES[[#All],[Estado de la factura]],"VENCIDA")
+
SUMIFS(PROVEEDORES[[#All],[Total]],
PROVEEDORES[[#All],[FECHA DE FACTURACIÓN]],"&lt;="&amp;EOMONTH(I$1,0),
PROVEEDORES[[#All],[PV]],"PAGO VENCIDO",
PROVEEDORES[[#All],[FECHA DE PAGO]],"&gt;"&amp;EOMONTH(I$1,0))</f>
        <v>0</v>
      </c>
      <c r="J16" s="52">
        <f xml:space="preserve">
SUMIFS(PROVEEDORES[[#All],[Total]],
PROVEEDORES[[#All],[FECHA DE FACTURACIÓN]],"&lt;="&amp;EOMONTH(J$1,0),
PROVEEDORES[[#All],[Estado de la factura]],"VENCIDA")
+
SUMIFS(PROVEEDORES[[#All],[Total]],
PROVEEDORES[[#All],[FECHA DE FACTURACIÓN]],"&lt;="&amp;EOMONTH(J$1,0),
PROVEEDORES[[#All],[PV]],"PAGO VENCIDO",
PROVEEDORES[[#All],[FECHA DE PAGO]],"&gt;"&amp;EOMONTH(J$1,0))</f>
        <v>0</v>
      </c>
      <c r="K16" s="52">
        <f xml:space="preserve">
SUMIFS(PROVEEDORES[[#All],[Total]],
PROVEEDORES[[#All],[FECHA DE FACTURACIÓN]],"&lt;="&amp;EOMONTH(K$1,0),
PROVEEDORES[[#All],[Estado de la factura]],"VENCIDA")
+
SUMIFS(PROVEEDORES[[#All],[Total]],
PROVEEDORES[[#All],[FECHA DE FACTURACIÓN]],"&lt;="&amp;EOMONTH(K$1,0),
PROVEEDORES[[#All],[PV]],"PAGO VENCIDO",
PROVEEDORES[[#All],[FECHA DE PAGO]],"&gt;"&amp;EOMONTH(K$1,0))</f>
        <v>0</v>
      </c>
      <c r="L16" s="52">
        <f xml:space="preserve">
SUMIFS(PROVEEDORES[[#All],[Total]],
PROVEEDORES[[#All],[FECHA DE FACTURACIÓN]],"&lt;="&amp;EOMONTH(L$1,0),
PROVEEDORES[[#All],[Estado de la factura]],"VENCIDA")
+
SUMIFS(PROVEEDORES[[#All],[Total]],
PROVEEDORES[[#All],[FECHA DE FACTURACIÓN]],"&lt;="&amp;EOMONTH(L$1,0),
PROVEEDORES[[#All],[PV]],"PAGO VENCIDO",
PROVEEDORES[[#All],[FECHA DE PAGO]],"&gt;"&amp;EOMONTH(L$1,0))</f>
        <v>22220156.225491602</v>
      </c>
      <c r="M16" s="52">
        <f xml:space="preserve">
SUMIFS(PROVEEDORES[[#All],[Total]],
PROVEEDORES[[#All],[FECHA DE FACTURACIÓN]],"&lt;="&amp;EOMONTH(M$1,0),
PROVEEDORES[[#All],[Estado de la factura]],"VENCIDA")
+
SUMIFS(PROVEEDORES[[#All],[Total]],
PROVEEDORES[[#All],[FECHA DE FACTURACIÓN]],"&lt;="&amp;EOMONTH(M$1,0),
PROVEEDORES[[#All],[PV]],"PAGO VENCIDO",
PROVEEDORES[[#All],[FECHA DE PAGO]],"&gt;"&amp;EOMONTH(M$1,0))</f>
        <v>225378849.77208823</v>
      </c>
      <c r="N16" s="52">
        <f xml:space="preserve">
SUMIFS(PROVEEDORES[[#All],[Total]],
PROVEEDORES[[#All],[FECHA DE FACTURACIÓN]],"&lt;="&amp;EOMONTH(N$1,0),
PROVEEDORES[[#All],[Estado de la factura]],"VENCIDA")
+
SUMIFS(PROVEEDORES[[#All],[Total]],
PROVEEDORES[[#All],[FECHA DE FACTURACIÓN]],"&lt;="&amp;EOMONTH(N$1,0),
PROVEEDORES[[#All],[PV]],"PAGO VENCIDO",
PROVEEDORES[[#All],[FECHA DE PAGO]],"&gt;"&amp;EOMONTH(N$1,0))</f>
        <v>223154860.5589273</v>
      </c>
      <c r="O16" s="52">
        <f xml:space="preserve">
SUMIFS(PROVEEDORES[[#All],[Total]],
PROVEEDORES[[#All],[FECHA DE FACTURACIÓN]],"&lt;="&amp;EOMONTH(O$1,0),
PROVEEDORES[[#All],[Estado de la factura]],"VENCIDA")
+
SUMIFS(PROVEEDORES[[#All],[Total]],
PROVEEDORES[[#All],[FECHA DE FACTURACIÓN]],"&lt;="&amp;EOMONTH(O$1,0),
PROVEEDORES[[#All],[PV]],"PAGO VENCIDO",
PROVEEDORES[[#All],[FECHA DE PAGO]],"&gt;"&amp;EOMONTH(O$1,0))</f>
        <v>226548165.7247794</v>
      </c>
      <c r="P16" s="52">
        <f xml:space="preserve">
SUMIFS(PROVEEDORES[[#All],[Total]],
PROVEEDORES[[#All],[FECHA DE FACTURACIÓN]],"&lt;="&amp;EOMONTH(P$1,0),
PROVEEDORES[[#All],[Estado de la factura]],"VENCIDA")
+
SUMIFS(PROVEEDORES[[#All],[Total]],
PROVEEDORES[[#All],[FECHA DE FACTURACIÓN]],"&lt;="&amp;EOMONTH(P$1,0),
PROVEEDORES[[#All],[PV]],"PAGO VENCIDO",
PROVEEDORES[[#All],[FECHA DE PAGO]],"&gt;"&amp;EOMONTH(P$1,0))</f>
        <v>206152038.02614996</v>
      </c>
      <c r="Q16" s="52">
        <f xml:space="preserve">
SUMIFS(PROVEEDORES[[#All],[Total]],
PROVEEDORES[[#All],[FECHA DE FACTURACIÓN]],"&lt;="&amp;EOMONTH(Q$1,0),
PROVEEDORES[[#All],[Estado de la factura]],"VENCIDA")
+
SUMIFS(PROVEEDORES[[#All],[Total]],
PROVEEDORES[[#All],[FECHA DE FACTURACIÓN]],"&lt;="&amp;EOMONTH(Q$1,0),
PROVEEDORES[[#All],[PV]],"PAGO VENCIDO",
PROVEEDORES[[#All],[FECHA DE PAGO]],"&gt;"&amp;EOMONTH(Q$1,0))</f>
        <v>221059630.45562226</v>
      </c>
      <c r="R16" s="52">
        <f xml:space="preserve">
SUMIFS(PROVEEDORES[[#All],[Total]],
PROVEEDORES[[#All],[FECHA DE FACTURACIÓN]],"&lt;="&amp;EOMONTH(R$1,0),
PROVEEDORES[[#All],[Estado de la factura]],"VENCIDA")
+
SUMIFS(PROVEEDORES[[#All],[Total]],
PROVEEDORES[[#All],[FECHA DE FACTURACIÓN]],"&lt;="&amp;EOMONTH(R$1,0),
PROVEEDORES[[#All],[PV]],"PAGO VENCIDO",
PROVEEDORES[[#All],[FECHA DE PAGO]],"&gt;"&amp;EOMONTH(R$1,0))</f>
        <v>205545857.82067221</v>
      </c>
      <c r="S16" s="52">
        <f xml:space="preserve">
SUMIFS(PROVEEDORES[[#All],[Total]],
PROVEEDORES[[#All],[FECHA DE FACTURACIÓN]],"&lt;="&amp;EOMONTH(S$1,0),
PROVEEDORES[[#All],[Estado de la factura]],"VENCIDA")
+
SUMIFS(PROVEEDORES[[#All],[Total]],
PROVEEDORES[[#All],[FECHA DE FACTURACIÓN]],"&lt;="&amp;EOMONTH(S$1,0),
PROVEEDORES[[#All],[PV]],"PAGO VENCIDO",
PROVEEDORES[[#All],[FECHA DE PAGO]],"&gt;"&amp;EOMONTH(S$1,0))</f>
        <v>184709754.89860001</v>
      </c>
      <c r="T16" s="52">
        <f xml:space="preserve">
SUMIFS(PROVEEDORES[[#All],[Total]],
PROVEEDORES[[#All],[FECHA DE FACTURACIÓN]],"&lt;="&amp;EOMONTH(T$1,0),
PROVEEDORES[[#All],[Estado de la factura]],"VENCIDA")
+
SUMIFS(PROVEEDORES[[#All],[Total]],
PROVEEDORES[[#All],[FECHA DE FACTURACIÓN]],"&lt;="&amp;EOMONTH(T$1,0),
PROVEEDORES[[#All],[PV]],"PAGO VENCIDO",
PROVEEDORES[[#All],[FECHA DE PAGO]],"&gt;"&amp;EOMONTH(T$1,0))</f>
        <v>173417095.23379996</v>
      </c>
      <c r="U16" s="52">
        <f ca="1" xml:space="preserve">
SUMIFS(PROVEEDORES[[#All],[Total]],
PROVEEDORES[[#All],[FECHA DE FACTURACIÓN]],"&lt;="&amp;EOMONTH(U$1,0),
PROVEEDORES[[#All],[Estado de la factura]],"VENCIDA")
+
SUMIFS(PROVEEDORES[[#All],[Total]],
PROVEEDORES[[#All],[FECHA DE FACTURACIÓN]],"&lt;="&amp;EOMONTH(U$1,0),
PROVEEDORES[[#All],[PV]],"PAGO VENCIDO",
PROVEEDORES[[#All],[FECHA DE PAGO]],"&gt;"&amp;EOMONTH(U$1,0))</f>
        <v>210133712.10139999</v>
      </c>
      <c r="V16" s="52">
        <f ca="1" xml:space="preserve">
SUMIFS(PROVEEDORES[[#All],[Total]],
PROVEEDORES[[#All],[FECHA DE FACTURACIÓN]],"&lt;="&amp;EOMONTH(V$1,0),
PROVEEDORES[[#All],[Estado de la factura]],"VENCIDA")
+
SUMIFS(PROVEEDORES[[#All],[Total]],
PROVEEDORES[[#All],[FECHA DE FACTURACIÓN]],"&lt;="&amp;EOMONTH(V$1,0),
PROVEEDORES[[#All],[PV]],"PAGO VENCIDO",
PROVEEDORES[[#All],[FECHA DE PAGO]],"&gt;"&amp;EOMONTH(V$1,0))</f>
        <v>215002547.04144999</v>
      </c>
      <c r="W16" s="52">
        <f ca="1" xml:space="preserve">
SUMIFS(PROVEEDORES[[#All],[Total]],
PROVEEDORES[[#All],[FECHA DE FACTURACIÓN]],"&lt;="&amp;EOMONTH(W$1,0),
PROVEEDORES[[#All],[Estado de la factura]],"VENCIDA")
+
SUMIFS(PROVEEDORES[[#All],[Total]],
PROVEEDORES[[#All],[FECHA DE FACTURACIÓN]],"&lt;="&amp;EOMONTH(W$1,0),
PROVEEDORES[[#All],[PV]],"PAGO VENCIDO",
PROVEEDORES[[#All],[FECHA DE PAGO]],"&gt;"&amp;EOMONTH(W$1,0))</f>
        <v>199567423.05470005</v>
      </c>
      <c r="X16" s="52">
        <f ca="1" xml:space="preserve">
SUMIFS(PROVEEDORES[[#All],[Total]],
PROVEEDORES[[#All],[FECHA DE FACTURACIÓN]],"&lt;="&amp;EOMONTH(X$1,0),
PROVEEDORES[[#All],[Estado de la factura]],"VENCIDA")
+
SUMIFS(PROVEEDORES[[#All],[Total]],
PROVEEDORES[[#All],[FECHA DE FACTURACIÓN]],"&lt;="&amp;EOMONTH(X$1,0),
PROVEEDORES[[#All],[PV]],"PAGO VENCIDO",
PROVEEDORES[[#All],[FECHA DE PAGO]],"&gt;"&amp;EOMONTH(X$1,0))</f>
        <v>195579894.31755003</v>
      </c>
      <c r="Y16" s="52">
        <f ca="1" xml:space="preserve">
SUMIFS(PROVEEDORES[[#All],[Total]],
PROVEEDORES[[#All],[FECHA DE FACTURACIÓN]],"&lt;="&amp;EOMONTH(Y$1,0),
PROVEEDORES[[#All],[Estado de la factura]],"VENCIDA")
+
SUMIFS(PROVEEDORES[[#All],[Total]],
PROVEEDORES[[#All],[FECHA DE FACTURACIÓN]],"&lt;="&amp;EOMONTH(Y$1,0),
PROVEEDORES[[#All],[PV]],"PAGO VENCIDO",
PROVEEDORES[[#All],[FECHA DE PAGO]],"&gt;"&amp;EOMONTH(Y$1,0))</f>
        <v>219551352.47405002</v>
      </c>
      <c r="Z16" s="52">
        <f xml:space="preserve">
SUMIFS(PROVEEDORES[[#All],[Total]],
PROVEEDORES[[#All],[FECHA DE FACTURACIÓN]],"&lt;="&amp;EOMONTH(Z$1,0),
PROVEEDORES[[#All],[Estado de la factura]],"VENCIDA")
+
SUMIFS(PROVEEDORES[[#All],[Total]],
PROVEEDORES[[#All],[FECHA DE FACTURACIÓN]],"&lt;="&amp;EOMONTH(Z$1,0),
PROVEEDORES[[#All],[PV]],"PAGO VENCIDO",
PROVEEDORES[[#All],[FECHA DE PAGO]],"&gt;"&amp;EOMONTH(Z$1,0))</f>
        <v>223154860.5589273</v>
      </c>
      <c r="AA16" s="52">
        <f xml:space="preserve">
SUMIFS(PROVEEDORES[[#All],[Total]],
PROVEEDORES[[#All],[FECHA DE FACTURACIÓN]],"&lt;="&amp;EOMONTH(AA$1,0),
PROVEEDORES[[#All],[Estado de la factura]],"VENCIDA")
+
SUMIFS(PROVEEDORES[[#All],[Total]],
PROVEEDORES[[#All],[FECHA DE FACTURACIÓN]],"&lt;="&amp;EOMONTH(AA$1,0),
PROVEEDORES[[#All],[PV]],"PAGO VENCIDO",
PROVEEDORES[[#All],[FECHA DE PAGO]],"&gt;"&amp;EOMONTH(AA$1,0))</f>
        <v>226548165.7247794</v>
      </c>
      <c r="AB16" s="52">
        <f xml:space="preserve">
SUMIFS(PROVEEDORES[[#All],[Total]],
PROVEEDORES[[#All],[FECHA DE FACTURACIÓN]],"&lt;="&amp;EOMONTH(AB$1,0),
PROVEEDORES[[#All],[Estado de la factura]],"VENCIDA")
+
SUMIFS(PROVEEDORES[[#All],[Total]],
PROVEEDORES[[#All],[FECHA DE FACTURACIÓN]],"&lt;="&amp;EOMONTH(AB$1,0),
PROVEEDORES[[#All],[PV]],"PAGO VENCIDO",
PROVEEDORES[[#All],[FECHA DE PAGO]],"&gt;"&amp;EOMONTH(AB$1,0))</f>
        <v>206152038.02614996</v>
      </c>
      <c r="AC16" s="52">
        <f xml:space="preserve">
SUMIFS(PROVEEDORES[[#All],[Total]],
PROVEEDORES[[#All],[FECHA DE FACTURACIÓN]],"&lt;="&amp;EOMONTH(AC$1,0),
PROVEEDORES[[#All],[Estado de la factura]],"VENCIDA")
+
SUMIFS(PROVEEDORES[[#All],[Total]],
PROVEEDORES[[#All],[FECHA DE FACTURACIÓN]],"&lt;="&amp;EOMONTH(AC$1,0),
PROVEEDORES[[#All],[PV]],"PAGO VENCIDO",
PROVEEDORES[[#All],[FECHA DE PAGO]],"&gt;"&amp;EOMONTH(AC$1,0))</f>
        <v>221059630.45562226</v>
      </c>
    </row>
    <row r="17" spans="1:29" x14ac:dyDescent="0.25">
      <c r="A17" s="42" t="s">
        <v>159</v>
      </c>
      <c r="B17" s="51">
        <f t="shared" ref="B17:AC17" si="4">B10-B16</f>
        <v>0</v>
      </c>
      <c r="C17" s="51">
        <f t="shared" si="4"/>
        <v>0</v>
      </c>
      <c r="D17" s="51">
        <f t="shared" si="4"/>
        <v>0</v>
      </c>
      <c r="E17" s="51">
        <f t="shared" si="4"/>
        <v>0</v>
      </c>
      <c r="F17" s="51">
        <f t="shared" si="4"/>
        <v>0</v>
      </c>
      <c r="G17" s="51">
        <f t="shared" si="4"/>
        <v>0</v>
      </c>
      <c r="H17" s="51">
        <f t="shared" si="4"/>
        <v>0</v>
      </c>
      <c r="I17" s="51">
        <f t="shared" si="4"/>
        <v>0</v>
      </c>
      <c r="J17" s="51">
        <f t="shared" si="4"/>
        <v>0</v>
      </c>
      <c r="K17" s="51">
        <f t="shared" si="4"/>
        <v>0</v>
      </c>
      <c r="L17" s="51">
        <f t="shared" si="4"/>
        <v>990000</v>
      </c>
      <c r="M17" s="51">
        <f t="shared" si="4"/>
        <v>12307449.819999993</v>
      </c>
      <c r="N17" s="51">
        <f t="shared" si="4"/>
        <v>16319772.524899989</v>
      </c>
      <c r="O17" s="51">
        <f t="shared" si="4"/>
        <v>6044535.4150000215</v>
      </c>
      <c r="P17" s="51">
        <f t="shared" si="4"/>
        <v>1047595.0800000131</v>
      </c>
      <c r="Q17" s="51">
        <f t="shared" si="4"/>
        <v>28965538.363290012</v>
      </c>
      <c r="R17" s="51">
        <f t="shared" si="4"/>
        <v>18767860.670000017</v>
      </c>
      <c r="S17" s="51">
        <f t="shared" si="4"/>
        <v>12049627.782000005</v>
      </c>
      <c r="T17" s="51">
        <f t="shared" si="4"/>
        <v>62180252.389999986</v>
      </c>
      <c r="U17" s="51">
        <f t="shared" ca="1" si="4"/>
        <v>72344044.641500026</v>
      </c>
      <c r="V17" s="51">
        <f t="shared" ca="1" si="4"/>
        <v>72506545.950000077</v>
      </c>
      <c r="W17" s="51">
        <f t="shared" ca="1" si="4"/>
        <v>21961603.344999999</v>
      </c>
      <c r="X17" s="51">
        <f t="shared" ca="1" si="4"/>
        <v>67180189.395999998</v>
      </c>
      <c r="Y17" s="51">
        <f t="shared" ca="1" si="4"/>
        <v>78035368.594999999</v>
      </c>
      <c r="Z17" s="51">
        <f t="shared" si="4"/>
        <v>16319772.524899989</v>
      </c>
      <c r="AA17" s="51">
        <f t="shared" si="4"/>
        <v>6044535.4150000215</v>
      </c>
      <c r="AB17" s="51">
        <f t="shared" si="4"/>
        <v>1047595.0800000131</v>
      </c>
      <c r="AC17" s="51">
        <f t="shared" si="4"/>
        <v>28965538.363290012</v>
      </c>
    </row>
    <row r="18" spans="1:29" x14ac:dyDescent="0.25">
      <c r="A18" s="46" t="s">
        <v>205</v>
      </c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>
        <v>861368531</v>
      </c>
      <c r="P18" s="52"/>
      <c r="Q18" s="52"/>
      <c r="R18" s="52"/>
      <c r="S18" s="52"/>
      <c r="T18" s="52"/>
      <c r="U18" s="68"/>
      <c r="V18" s="68"/>
      <c r="W18" s="68"/>
      <c r="X18" s="68"/>
      <c r="Y18" s="68"/>
      <c r="Z18" s="68"/>
      <c r="AA18" s="68"/>
      <c r="AB18" s="68"/>
      <c r="AC18" s="68"/>
    </row>
    <row r="19" spans="1:29" x14ac:dyDescent="0.25">
      <c r="A19" s="42" t="s">
        <v>209</v>
      </c>
      <c r="B19" s="51">
        <f>SUMIFS(FINANCIACION[[#All],[$ INTERESES]],
FINANCIACION[[#All],[Fecha]],"&gt;="&amp;B$1,
FINANCIACION[[#All],[Fecha]],"&lt;="&amp;EOMONTH(B$1,0))</f>
        <v>9170097.2899999991</v>
      </c>
      <c r="C19" s="51">
        <f>SUMIFS(FINANCIACION[[#All],[$ INTERESES]],
FINANCIACION[[#All],[Fecha]],"&gt;="&amp;C$1,
FINANCIACION[[#All],[Fecha]],"&lt;="&amp;EOMONTH(C$1,0))</f>
        <v>9908174.8599999994</v>
      </c>
      <c r="D19" s="51">
        <f>SUMIFS(FINANCIACION[[#All],[$ INTERESES]],
FINANCIACION[[#All],[Fecha]],"&gt;="&amp;D$1,
FINANCIACION[[#All],[Fecha]],"&lt;="&amp;EOMONTH(D$1,0))</f>
        <v>8927765.6968594994</v>
      </c>
      <c r="E19" s="51">
        <f>SUMIFS(FINANCIACION[[#All],[$ INTERESES]],
FINANCIACION[[#All],[Fecha]],"&gt;="&amp;E$1,
FINANCIACION[[#All],[Fecha]],"&lt;="&amp;EOMONTH(E$1,0))</f>
        <v>0</v>
      </c>
      <c r="F19" s="51">
        <f>SUMIFS(FINANCIACION[[#All],[$ INTERESES]],
FINANCIACION[[#All],[Fecha]],"&gt;="&amp;F$1,
FINANCIACION[[#All],[Fecha]],"&lt;="&amp;EOMONTH(F$1,0))</f>
        <v>2528036.71</v>
      </c>
      <c r="G19" s="51">
        <f>SUMIFS(FINANCIACION[[#All],[$ INTERESES]],
FINANCIACION[[#All],[Fecha]],"&gt;="&amp;G$1,
FINANCIACION[[#All],[Fecha]],"&lt;="&amp;EOMONTH(G$1,0))</f>
        <v>9984160.0800000001</v>
      </c>
      <c r="H19" s="51">
        <f>SUMIFS(FINANCIACION[[#All],[$ INTERESES]],
FINANCIACION[[#All],[Fecha]],"&gt;="&amp;H$1,
FINANCIACION[[#All],[Fecha]],"&lt;="&amp;EOMONTH(H$1,0))</f>
        <v>2827098</v>
      </c>
      <c r="I19" s="51">
        <f>SUMIFS(FINANCIACION[[#All],[$ INTERESES]],
FINANCIACION[[#All],[Fecha]],"&gt;="&amp;I$1,
FINANCIACION[[#All],[Fecha]],"&lt;="&amp;EOMONTH(I$1,0))</f>
        <v>2104994.89</v>
      </c>
      <c r="J19" s="51">
        <f>SUMIFS(FINANCIACION[[#All],[$ INTERESES]],
FINANCIACION[[#All],[Fecha]],"&gt;="&amp;J$1,
FINANCIACION[[#All],[Fecha]],"&lt;="&amp;EOMONTH(J$1,0))</f>
        <v>9937635</v>
      </c>
      <c r="K19" s="51">
        <f>SUMIFS(FINANCIACION[[#All],[$ INTERESES]],
FINANCIACION[[#All],[Fecha]],"&gt;="&amp;K$1,
FINANCIACION[[#All],[Fecha]],"&lt;="&amp;EOMONTH(K$1,0))</f>
        <v>3398498.79</v>
      </c>
      <c r="L19" s="51">
        <f>SUMIFS(FINANCIACION[[#All],[$ INTERESES]],
FINANCIACION[[#All],[Fecha]],"&gt;="&amp;L$1,
FINANCIACION[[#All],[Fecha]],"&lt;="&amp;EOMONTH(L$1,0))</f>
        <v>16137964.5</v>
      </c>
      <c r="M19" s="51">
        <f>SUMIFS(FINANCIACION[[#All],[$ INTERESES]],
FINANCIACION[[#All],[Fecha]],"&gt;="&amp;M$1,
FINANCIACION[[#All],[Fecha]],"&lt;="&amp;EOMONTH(M$1,0))</f>
        <v>9942836.5399999991</v>
      </c>
      <c r="N19" s="51">
        <f>SUMIFS(FINANCIACION[[#All],[$ INTERESES]],
FINANCIACION[[#All],[Fecha]],"&gt;="&amp;N$1,
FINANCIACION[[#All],[Fecha]],"&lt;="&amp;EOMONTH(N$1,0))</f>
        <v>2567901.7659999998</v>
      </c>
      <c r="O19" s="51">
        <f>SUMIFS(FINANCIACION[[#All],[$ INTERESES]],
FINANCIACION[[#All],[Fecha]],"&gt;="&amp;O$1,
FINANCIACION[[#All],[Fecha]],"&lt;="&amp;EOMONTH(O$1,0))</f>
        <v>3220288.6986930002</v>
      </c>
      <c r="P19" s="51">
        <f>SUMIFS(FINANCIACION[[#All],[$ INTERESES]],
FINANCIACION[[#All],[Fecha]],"&gt;="&amp;P$1,
FINANCIACION[[#All],[Fecha]],"&lt;="&amp;EOMONTH(P$1,0))</f>
        <v>4885001.6783339903</v>
      </c>
      <c r="Q19" s="51">
        <f>SUMIFS(FINANCIACION[[#All],[$ INTERESES]],
FINANCIACION[[#All],[Fecha]],"&gt;="&amp;Q$1,
FINANCIACION[[#All],[Fecha]],"&lt;="&amp;EOMONTH(Q$1,0))</f>
        <v>2658010.5461983373</v>
      </c>
      <c r="R19" s="51">
        <f>SUMIFS(FINANCIACION[[#All],[$ INTERESES]],
FINANCIACION[[#All],[Fecha]],"&gt;="&amp;R$1,
FINANCIACION[[#All],[Fecha]],"&lt;="&amp;EOMONTH(R$1,0))</f>
        <v>7306087.2428000076</v>
      </c>
      <c r="S19" s="51">
        <f>SUMIFS(FINANCIACION[[#All],[$ INTERESES]],
FINANCIACION[[#All],[Fecha]],"&gt;="&amp;S$1,
FINANCIACION[[#All],[Fecha]],"&lt;="&amp;EOMONTH(S$1,0))</f>
        <v>7217668.2457486559</v>
      </c>
      <c r="T19" s="51">
        <f>SUMIFS(FINANCIACION[[#All],[$ INTERESES]],
FINANCIACION[[#All],[Fecha]],"&gt;="&amp;T$1,
FINANCIACION[[#All],[Fecha]],"&lt;="&amp;EOMONTH(T$1,0))</f>
        <v>3062442.0096530714</v>
      </c>
      <c r="U19" s="51">
        <f>SUMIFS(FINANCIACION[[#All],[$ INTERESES]],
FINANCIACION[[#All],[Fecha]],"&gt;="&amp;U$1,
FINANCIACION[[#All],[Fecha]],"&lt;="&amp;EOMONTH(U$1,0))</f>
        <v>4070420.4357495997</v>
      </c>
      <c r="V19" s="51">
        <f>SUMIFS(FINANCIACION[[#All],[$ INTERESES]],
FINANCIACION[[#All],[Fecha]],"&gt;="&amp;V$1,
FINANCIACION[[#All],[Fecha]],"&lt;="&amp;EOMONTH(V$1,0))</f>
        <v>4487547.6808070913</v>
      </c>
      <c r="W19" s="51">
        <f>SUMIFS(FINANCIACION[[#All],[$ INTERESES]],
FINANCIACION[[#All],[Fecha]],"&gt;="&amp;W$1,
FINANCIACION[[#All],[Fecha]],"&lt;="&amp;EOMONTH(W$1,0))</f>
        <v>3893103.2170151649</v>
      </c>
      <c r="X19" s="51">
        <f>SUMIFS(FINANCIACION[[#All],[$ INTERESES]],
FINANCIACION[[#All],[Fecha]],"&gt;="&amp;X$1,
FINANCIACION[[#All],[Fecha]],"&lt;="&amp;EOMONTH(X$1,0))</f>
        <v>11199306.902604807</v>
      </c>
      <c r="Y19" s="51">
        <f>SUMIFS(FINANCIACION[[#All],[$ INTERESES]],
FINANCIACION[[#All],[Fecha]],"&gt;="&amp;Y$1,
FINANCIACION[[#All],[Fecha]],"&lt;="&amp;EOMONTH(Y$1,0))</f>
        <v>14636994.228946179</v>
      </c>
      <c r="Z19" s="51">
        <f>SUMIFS(FINANCIACION[[#All],[$ INTERESES]],
FINANCIACION[[#All],[Fecha]],"&gt;="&amp;Z$1,
FINANCIACION[[#All],[Fecha]],"&lt;="&amp;EOMONTH(Z$1,0))</f>
        <v>2567901.7659999998</v>
      </c>
      <c r="AA19" s="51">
        <f>SUMIFS(FINANCIACION[[#All],[$ INTERESES]],
FINANCIACION[[#All],[Fecha]],"&gt;="&amp;AA$1,
FINANCIACION[[#All],[Fecha]],"&lt;="&amp;EOMONTH(AA$1,0))</f>
        <v>3220288.6986930002</v>
      </c>
      <c r="AB19" s="51">
        <f>SUMIFS(FINANCIACION[[#All],[$ INTERESES]],
FINANCIACION[[#All],[Fecha]],"&gt;="&amp;AB$1,
FINANCIACION[[#All],[Fecha]],"&lt;="&amp;EOMONTH(AB$1,0))</f>
        <v>4885001.6783339903</v>
      </c>
      <c r="AC19" s="51">
        <f>SUMIFS(FINANCIACION[[#All],[$ INTERESES]],
FINANCIACION[[#All],[Fecha]],"&gt;="&amp;AC$1,
FINANCIACION[[#All],[Fecha]],"&lt;="&amp;EOMONTH(AC$1,0))</f>
        <v>2658010.5461983373</v>
      </c>
    </row>
    <row r="20" spans="1:29" ht="30" x14ac:dyDescent="0.25">
      <c r="A20" s="60" t="s">
        <v>497</v>
      </c>
      <c r="B20" s="45"/>
      <c r="C20" s="45"/>
      <c r="D20" s="128"/>
      <c r="E20" s="129"/>
      <c r="F20" s="128"/>
      <c r="G20" s="129"/>
      <c r="H20" s="128"/>
      <c r="I20" s="129"/>
      <c r="J20" s="128"/>
      <c r="K20" s="129"/>
      <c r="L20" s="128"/>
      <c r="M20" s="129"/>
      <c r="N20" s="128">
        <v>12823183.49</v>
      </c>
      <c r="O20" s="130">
        <v>25716801.719999999</v>
      </c>
      <c r="P20" s="61">
        <v>-6622152.3499999996</v>
      </c>
      <c r="Q20" s="61">
        <v>13518267.619999999</v>
      </c>
      <c r="R20" s="61">
        <v>19000000</v>
      </c>
      <c r="S20" s="55">
        <v>-4712324.03</v>
      </c>
      <c r="T20" s="45">
        <v>3331889.61</v>
      </c>
      <c r="U20" s="45">
        <v>8111071.7599999998</v>
      </c>
      <c r="V20" s="45">
        <f>2178577.37+7746001.55</f>
        <v>9924578.9199999999</v>
      </c>
      <c r="W20" s="45">
        <f>1164596.06-2213707.95</f>
        <v>-1049111.8900000001</v>
      </c>
      <c r="X20" s="45">
        <f>806902.83+69108117.91</f>
        <v>69915020.739999995</v>
      </c>
      <c r="Y20" s="45">
        <f>3472901.51+2254545.81</f>
        <v>5727447.3200000003</v>
      </c>
      <c r="Z20" s="45">
        <f>3472901.51+2254545.81</f>
        <v>5727447.3200000003</v>
      </c>
      <c r="AA20" s="45">
        <f>735574.84+3099503.02</f>
        <v>3835077.86</v>
      </c>
      <c r="AB20" s="131">
        <f>12153685.67+1185504.04</f>
        <v>13339189.710000001</v>
      </c>
      <c r="AC20" s="131">
        <f>-3988467.75+3433743.46</f>
        <v>-554724.29</v>
      </c>
    </row>
    <row r="21" spans="1:29" x14ac:dyDescent="0.25">
      <c r="A21" s="60" t="s">
        <v>164</v>
      </c>
      <c r="B21" s="45"/>
      <c r="C21" s="45"/>
      <c r="D21" s="128"/>
      <c r="E21" s="129"/>
      <c r="F21" s="128"/>
      <c r="G21" s="129"/>
      <c r="H21" s="128"/>
      <c r="I21" s="129"/>
      <c r="J21" s="128"/>
      <c r="K21" s="129"/>
      <c r="L21" s="128"/>
      <c r="M21" s="129"/>
      <c r="N21" s="128">
        <v>3400610.08</v>
      </c>
      <c r="O21" s="130">
        <v>457011.74</v>
      </c>
      <c r="P21" s="61">
        <v>456121.64</v>
      </c>
      <c r="Q21" s="61">
        <v>456562.73</v>
      </c>
      <c r="R21" s="61">
        <v>300000</v>
      </c>
      <c r="S21" s="55">
        <v>456825.05</v>
      </c>
      <c r="T21" s="45">
        <v>457553.75</v>
      </c>
      <c r="U21" s="45">
        <v>458546.51</v>
      </c>
      <c r="V21" s="45">
        <v>458546.51</v>
      </c>
      <c r="W21" s="45">
        <v>457961.76</v>
      </c>
      <c r="X21" s="45">
        <v>457245.18</v>
      </c>
      <c r="Y21" s="45">
        <v>458702.35</v>
      </c>
      <c r="Z21" s="45">
        <v>458702.35</v>
      </c>
      <c r="AA21" s="45">
        <v>469386.64</v>
      </c>
      <c r="AB21" s="131">
        <v>462465.85</v>
      </c>
      <c r="AC21" s="131"/>
    </row>
    <row r="22" spans="1:29" x14ac:dyDescent="0.25">
      <c r="A22" s="60" t="s">
        <v>210</v>
      </c>
      <c r="B22" s="45"/>
      <c r="C22" s="45"/>
      <c r="D22" s="128"/>
      <c r="E22" s="129"/>
      <c r="F22" s="128"/>
      <c r="G22" s="129"/>
      <c r="H22" s="128"/>
      <c r="I22" s="129"/>
      <c r="J22" s="128"/>
      <c r="K22" s="129"/>
      <c r="L22" s="128"/>
      <c r="M22" s="129"/>
      <c r="N22" s="128">
        <f>-10000000+811858.56-20000000+17031460.6</f>
        <v>-12156680.839999996</v>
      </c>
      <c r="O22" s="130">
        <f>-4645518.76-1946158.83</f>
        <v>-6591677.5899999999</v>
      </c>
      <c r="P22" s="61">
        <f>114279.05-1352916.94</f>
        <v>-1238637.8899999999</v>
      </c>
      <c r="Q22" s="61">
        <f>-904208.33-9825200.85</f>
        <v>-10729409.18</v>
      </c>
      <c r="R22" s="61">
        <f>-6000000-8000000</f>
        <v>-14000000</v>
      </c>
      <c r="S22" s="55">
        <f>-2147986.05-779130</f>
        <v>-2927116.05</v>
      </c>
      <c r="T22" s="45">
        <f>-161549.77-2445338</f>
        <v>-2606887.77</v>
      </c>
      <c r="U22" s="45">
        <f>3220172.49-4180965.64</f>
        <v>-960793.14999999991</v>
      </c>
      <c r="V22" s="45">
        <f>144350.87-10009800</f>
        <v>-9865449.1300000008</v>
      </c>
      <c r="W22" s="45">
        <f>4927940-5504061.34</f>
        <v>-576121.33999999985</v>
      </c>
      <c r="X22" s="45">
        <f>6120506.73-4848315.56</f>
        <v>1272191.1700000009</v>
      </c>
      <c r="Y22" s="45">
        <f>62122289.9-16700231.76</f>
        <v>45422058.140000001</v>
      </c>
      <c r="Z22" s="45">
        <f>62122289.9-16700231.76</f>
        <v>45422058.140000001</v>
      </c>
      <c r="AA22" s="45">
        <f>-8000000+5232008.78</f>
        <v>-2767991.2199999997</v>
      </c>
      <c r="AB22" s="131">
        <f>-200000-15419000</f>
        <v>-15619000</v>
      </c>
      <c r="AC22" s="131">
        <f>-40000000+1077399.3+24246206.91</f>
        <v>-14676393.790000003</v>
      </c>
    </row>
    <row r="23" spans="1:29" x14ac:dyDescent="0.25">
      <c r="A23" s="60" t="s">
        <v>165</v>
      </c>
      <c r="B23" s="45"/>
      <c r="C23" s="45"/>
      <c r="D23" s="128"/>
      <c r="E23" s="129"/>
      <c r="F23" s="128"/>
      <c r="G23" s="129"/>
      <c r="H23" s="128"/>
      <c r="I23" s="129"/>
      <c r="J23" s="128"/>
      <c r="K23" s="129"/>
      <c r="L23" s="128"/>
      <c r="M23" s="129"/>
      <c r="N23" s="128">
        <v>3307793.68</v>
      </c>
      <c r="O23" s="130">
        <v>309870.14</v>
      </c>
      <c r="P23" s="61">
        <v>309264.69</v>
      </c>
      <c r="Q23" s="61">
        <v>309504.15000000002</v>
      </c>
      <c r="R23" s="61">
        <v>400000</v>
      </c>
      <c r="S23" s="55">
        <v>309598.90000000002</v>
      </c>
      <c r="T23" s="45">
        <v>309598.90000000002</v>
      </c>
      <c r="U23" s="45">
        <v>310624.46999999997</v>
      </c>
      <c r="V23" s="45">
        <v>310624.46999999997</v>
      </c>
      <c r="W23" s="45">
        <v>310385.19</v>
      </c>
      <c r="X23" s="45">
        <v>309642.78999999998</v>
      </c>
      <c r="Y23" s="45">
        <v>309965.84999999998</v>
      </c>
      <c r="Z23" s="45">
        <v>309965.84999999998</v>
      </c>
      <c r="AA23" s="45">
        <v>310608.23</v>
      </c>
      <c r="AB23" s="131">
        <v>311775</v>
      </c>
      <c r="AC23" s="131">
        <v>312850.49</v>
      </c>
    </row>
    <row r="24" spans="1:29" x14ac:dyDescent="0.25">
      <c r="A24" s="60" t="s">
        <v>169</v>
      </c>
      <c r="B24" s="45"/>
      <c r="C24" s="45"/>
      <c r="D24" s="128"/>
      <c r="E24" s="129"/>
      <c r="F24" s="128"/>
      <c r="G24" s="129"/>
      <c r="H24" s="128"/>
      <c r="I24" s="129"/>
      <c r="J24" s="128"/>
      <c r="K24" s="129"/>
      <c r="L24" s="128"/>
      <c r="M24" s="129"/>
      <c r="N24" s="128">
        <v>5165671.5599999996</v>
      </c>
      <c r="O24" s="130">
        <v>2712741.39</v>
      </c>
      <c r="P24" s="61" t="s">
        <v>297</v>
      </c>
      <c r="Q24" s="61">
        <v>8081500.3799999999</v>
      </c>
      <c r="R24" s="61">
        <v>4100000</v>
      </c>
      <c r="S24" s="55">
        <v>7279218.5099999998</v>
      </c>
      <c r="T24" s="45">
        <v>2528454.69</v>
      </c>
      <c r="U24" s="45">
        <v>6449161.0300000003</v>
      </c>
      <c r="V24" s="45">
        <v>2534515.2799999998</v>
      </c>
      <c r="W24" s="45">
        <v>6487157.6500000004</v>
      </c>
      <c r="X24" s="45">
        <v>4962940.13</v>
      </c>
      <c r="Y24" s="45">
        <v>2352095.9700000002</v>
      </c>
      <c r="Z24" s="45">
        <v>2352095.9700000002</v>
      </c>
      <c r="AA24" s="45">
        <v>-2462073.42</v>
      </c>
      <c r="AB24" s="131">
        <v>1709000</v>
      </c>
      <c r="AC24" s="131" t="s">
        <v>1307</v>
      </c>
    </row>
    <row r="25" spans="1:29" x14ac:dyDescent="0.25">
      <c r="A25" s="60" t="s">
        <v>170</v>
      </c>
      <c r="B25" s="45"/>
      <c r="C25" s="45"/>
      <c r="D25" s="128"/>
      <c r="E25" s="129"/>
      <c r="F25" s="128"/>
      <c r="G25" s="129"/>
      <c r="H25" s="128"/>
      <c r="I25" s="129"/>
      <c r="J25" s="128"/>
      <c r="K25" s="129"/>
      <c r="L25" s="128"/>
      <c r="M25" s="129"/>
      <c r="N25" s="128">
        <v>3589938.74</v>
      </c>
      <c r="O25" s="130">
        <v>8690401.7300000004</v>
      </c>
      <c r="P25" s="61" t="s">
        <v>295</v>
      </c>
      <c r="Q25" s="61">
        <v>1586834.56</v>
      </c>
      <c r="R25" s="63">
        <v>3764187.38</v>
      </c>
      <c r="S25" s="55">
        <v>1691284.38</v>
      </c>
      <c r="T25" s="45">
        <v>1043330.38</v>
      </c>
      <c r="U25" s="45">
        <v>3796886.55</v>
      </c>
      <c r="V25" s="45">
        <v>2404285.39</v>
      </c>
      <c r="W25" s="45">
        <v>2617860.39</v>
      </c>
      <c r="X25" s="45">
        <v>59115.22</v>
      </c>
      <c r="Y25" s="45">
        <v>5666972.1600000001</v>
      </c>
      <c r="Z25" s="45">
        <v>5666972.1600000001</v>
      </c>
      <c r="AA25" s="45">
        <v>4450748.6100000003</v>
      </c>
      <c r="AB25" s="131">
        <v>420485.54</v>
      </c>
      <c r="AC25" s="131" t="s">
        <v>1306</v>
      </c>
    </row>
    <row r="26" spans="1:29" x14ac:dyDescent="0.25">
      <c r="A26" s="60" t="s">
        <v>166</v>
      </c>
      <c r="B26" s="45"/>
      <c r="C26" s="45"/>
      <c r="D26" s="128"/>
      <c r="E26" s="129"/>
      <c r="F26" s="128"/>
      <c r="G26" s="129"/>
      <c r="H26" s="128"/>
      <c r="I26" s="129"/>
      <c r="J26" s="128"/>
      <c r="K26" s="129"/>
      <c r="L26" s="128"/>
      <c r="M26" s="129"/>
      <c r="N26" s="128">
        <v>3036389.79</v>
      </c>
      <c r="O26" s="130">
        <v>549293.42000000004</v>
      </c>
      <c r="P26" s="61" t="s">
        <v>296</v>
      </c>
      <c r="Q26" s="61">
        <v>102187.02</v>
      </c>
      <c r="R26" s="63">
        <v>1231972.18</v>
      </c>
      <c r="S26" s="55">
        <v>1752322.91</v>
      </c>
      <c r="T26" s="45">
        <v>2251846.36</v>
      </c>
      <c r="U26" s="45">
        <v>92111.95</v>
      </c>
      <c r="V26" s="45">
        <v>115185.28</v>
      </c>
      <c r="W26" s="45">
        <v>578146.93999999994</v>
      </c>
      <c r="X26" s="45">
        <v>1683879.5</v>
      </c>
      <c r="Y26" s="45">
        <v>2567860.81</v>
      </c>
      <c r="Z26" s="45">
        <v>2567860.81</v>
      </c>
      <c r="AA26" s="45">
        <v>437413</v>
      </c>
      <c r="AB26" s="131">
        <v>688713.88</v>
      </c>
      <c r="AC26" s="131" t="s">
        <v>1305</v>
      </c>
    </row>
    <row r="27" spans="1:29" x14ac:dyDescent="0.25">
      <c r="A27" s="60" t="s">
        <v>167</v>
      </c>
      <c r="B27" s="45"/>
      <c r="C27" s="45"/>
      <c r="D27" s="128"/>
      <c r="E27" s="129"/>
      <c r="F27" s="128"/>
      <c r="G27" s="129"/>
      <c r="H27" s="128"/>
      <c r="I27" s="129"/>
      <c r="J27" s="128"/>
      <c r="K27" s="129"/>
      <c r="L27" s="128"/>
      <c r="M27" s="129"/>
      <c r="N27" s="128">
        <v>15793150</v>
      </c>
      <c r="O27" s="130">
        <v>12658400</v>
      </c>
      <c r="P27" s="61">
        <v>10728200</v>
      </c>
      <c r="Q27" s="61"/>
      <c r="R27" s="63">
        <v>9558900</v>
      </c>
      <c r="S27" s="55">
        <v>4539800</v>
      </c>
      <c r="T27" s="45">
        <v>6500000</v>
      </c>
      <c r="U27" s="45">
        <v>8415900</v>
      </c>
      <c r="V27" s="45">
        <v>18000000</v>
      </c>
      <c r="W27" s="45">
        <v>13737900</v>
      </c>
      <c r="X27" s="45">
        <v>12065700</v>
      </c>
      <c r="Y27" s="45">
        <f>40373050+1646000</f>
        <v>42019050</v>
      </c>
      <c r="Z27" s="45">
        <f>40373050+1646000</f>
        <v>42019050</v>
      </c>
      <c r="AA27" s="45">
        <v>7854300</v>
      </c>
      <c r="AB27" s="131">
        <f>8962000+4542000</f>
        <v>13504000</v>
      </c>
      <c r="AC27" s="131">
        <v>16332650</v>
      </c>
    </row>
    <row r="28" spans="1:29" x14ac:dyDescent="0.25">
      <c r="Y28" s="45"/>
    </row>
    <row r="34" spans="18:22" x14ac:dyDescent="0.25">
      <c r="R34" s="66"/>
    </row>
    <row r="35" spans="18:22" x14ac:dyDescent="0.25">
      <c r="R35" s="66"/>
      <c r="V35" s="45"/>
    </row>
    <row r="36" spans="18:22" x14ac:dyDescent="0.25">
      <c r="R36" s="66"/>
    </row>
    <row r="37" spans="18:22" x14ac:dyDescent="0.25">
      <c r="R37" s="66"/>
      <c r="V37" s="45"/>
    </row>
    <row r="38" spans="18:22" x14ac:dyDescent="0.25">
      <c r="R38" s="66"/>
    </row>
    <row r="39" spans="18:22" x14ac:dyDescent="0.25">
      <c r="R39" s="66"/>
    </row>
    <row r="40" spans="18:22" x14ac:dyDescent="0.25">
      <c r="R40" s="66"/>
      <c r="T40" s="45"/>
      <c r="U40" s="45"/>
      <c r="V40" s="45"/>
    </row>
  </sheetData>
  <pageMargins left="0.7" right="0.7" top="0.75" bottom="0.75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AH1004"/>
  <sheetViews>
    <sheetView topLeftCell="A798" workbookViewId="0">
      <selection activeCell="G999" sqref="G999:G1004"/>
    </sheetView>
  </sheetViews>
  <sheetFormatPr baseColWidth="10" defaultColWidth="0" defaultRowHeight="24" customHeight="1" x14ac:dyDescent="0.25"/>
  <cols>
    <col min="1" max="1" width="15.5703125" style="6" customWidth="1"/>
    <col min="2" max="2" width="35.7109375" style="54" customWidth="1"/>
    <col min="3" max="3" width="18.5703125" style="6" customWidth="1"/>
    <col min="4" max="4" width="16.42578125" style="6" customWidth="1"/>
    <col min="5" max="5" width="18.140625" style="6" customWidth="1"/>
    <col min="6" max="6" width="15.85546875" style="6" customWidth="1"/>
    <col min="7" max="7" width="13.7109375" style="58" customWidth="1"/>
    <col min="8" max="8" width="15.42578125" style="6" customWidth="1"/>
    <col min="9" max="9" width="18.140625" style="6" hidden="1" customWidth="1"/>
    <col min="10" max="10" width="26.140625" style="11" hidden="1" customWidth="1"/>
    <col min="11" max="11" width="43" style="6" hidden="1" customWidth="1"/>
    <col min="12" max="12" width="16.42578125" style="6" hidden="1" customWidth="1"/>
    <col min="13" max="13" width="13.5703125" style="6" hidden="1" customWidth="1"/>
    <col min="14" max="14" width="14.5703125" style="10" hidden="1" customWidth="1"/>
    <col min="15" max="15" width="28.7109375" style="9" hidden="1" customWidth="1"/>
    <col min="16" max="16" width="15.5703125" style="6" hidden="1" customWidth="1"/>
    <col min="17" max="17" width="14.28515625" style="6" hidden="1" customWidth="1"/>
    <col min="18" max="18" width="28" style="6" hidden="1" customWidth="1"/>
    <col min="19" max="19" width="12.28515625" style="6" hidden="1" customWidth="1"/>
    <col min="20" max="20" width="8.42578125" style="6" hidden="1" customWidth="1"/>
    <col min="21" max="21" width="28" style="6" hidden="1" customWidth="1"/>
    <col min="22" max="22" width="13.28515625" style="6" hidden="1" customWidth="1"/>
    <col min="23" max="23" width="18.28515625" style="6" hidden="1" customWidth="1"/>
    <col min="24" max="24" width="19.5703125" style="6" hidden="1" customWidth="1"/>
    <col min="25" max="25" width="5.28515625" style="6" hidden="1" customWidth="1"/>
    <col min="26" max="26" width="9.42578125" style="6" hidden="1" customWidth="1"/>
    <col min="27" max="27" width="14.28515625" style="6" hidden="1" customWidth="1"/>
    <col min="28" max="28" width="16.5703125" style="6" hidden="1" customWidth="1"/>
    <col min="29" max="29" width="9.85546875" style="6" hidden="1" customWidth="1"/>
    <col min="30" max="34" width="12.5703125" style="6" hidden="1" customWidth="1"/>
    <col min="35" max="16384" width="11.42578125" style="6" hidden="1"/>
  </cols>
  <sheetData>
    <row r="1" spans="1:15" ht="30.75" customHeight="1" x14ac:dyDescent="0.25">
      <c r="A1" s="4" t="s">
        <v>467</v>
      </c>
      <c r="B1" s="4" t="s">
        <v>215</v>
      </c>
      <c r="C1" s="4" t="s">
        <v>99</v>
      </c>
      <c r="D1" s="4" t="s">
        <v>36</v>
      </c>
      <c r="E1" s="4" t="s">
        <v>102</v>
      </c>
      <c r="F1" s="5" t="s">
        <v>100</v>
      </c>
      <c r="G1" s="4" t="s">
        <v>101</v>
      </c>
      <c r="H1" s="57" t="s">
        <v>40</v>
      </c>
      <c r="I1" s="37" t="s">
        <v>35</v>
      </c>
      <c r="J1" s="3" t="s">
        <v>41</v>
      </c>
      <c r="N1" s="6"/>
      <c r="O1" s="6"/>
    </row>
    <row r="2" spans="1:15" ht="24" hidden="1" customHeight="1" x14ac:dyDescent="0.25">
      <c r="A2" s="7">
        <v>43074</v>
      </c>
      <c r="B2" s="53" t="s">
        <v>1215</v>
      </c>
      <c r="C2" s="5">
        <v>-94935167</v>
      </c>
      <c r="D2" s="5"/>
      <c r="E2" s="5" t="str">
        <f>+IF(FINANCIACION[[#This Row],[$ CAPITAL]]&gt;=0,FINANCIACION[[#This Row],[$ CAPITAL]]+FINANCIACION[[#This Row],[$ INTERESES]],"")</f>
        <v/>
      </c>
      <c r="F2" s="5">
        <f>+SUMIFS(FINANCIACION[$ CAPITAL],FINANCIACION[Fecha],"&lt;="&amp;FINANCIACION[[#This Row],[Fecha]],FINANCIACION[PRESTAMO],FINANCIACION[[#This Row],[PRESTAMO]])</f>
        <v>-94935167</v>
      </c>
      <c r="G2" s="56"/>
      <c r="H2" s="8"/>
      <c r="I2" s="5" t="b">
        <f>IF(FINANCIACION[[#This Row],[$ CAPITAL]]&gt;0,FINANCIACION[[#This Row],[$ CAPITAL]])</f>
        <v>0</v>
      </c>
      <c r="J2" s="36">
        <f>IF(FINANCIACION[[#This Row],[$ CAPITAL]]&gt;=0,FINANCIACION[[#This Row],[$ CAPITAL]]+FINANCIACION[[#This Row],[$ INTERESES]],0)</f>
        <v>0</v>
      </c>
    </row>
    <row r="3" spans="1:15" ht="24" hidden="1" customHeight="1" x14ac:dyDescent="0.25">
      <c r="A3" s="7">
        <v>43084</v>
      </c>
      <c r="B3" s="53" t="s">
        <v>1216</v>
      </c>
      <c r="C3" s="5">
        <v>-61629154</v>
      </c>
      <c r="D3" s="5"/>
      <c r="E3" s="169" t="str">
        <f>+IF(FINANCIACION[[#This Row],[$ CAPITAL]]&gt;=0,FINANCIACION[[#This Row],[$ CAPITAL]]+FINANCIACION[[#This Row],[$ INTERESES]],"")</f>
        <v/>
      </c>
      <c r="F3" s="169">
        <f>+SUMIFS(FINANCIACION[$ CAPITAL],FINANCIACION[Fecha],"&lt;="&amp;FINANCIACION[[#This Row],[Fecha]],FINANCIACION[PRESTAMO],FINANCIACION[[#This Row],[PRESTAMO]])</f>
        <v>-61629154</v>
      </c>
      <c r="G3" s="56"/>
      <c r="H3" s="8"/>
      <c r="I3" s="5" t="b">
        <f>IF(FINANCIACION[[#This Row],[$ CAPITAL]]&gt;0,FINANCIACION[[#This Row],[$ CAPITAL]])</f>
        <v>0</v>
      </c>
      <c r="J3" s="36">
        <f>IF(FINANCIACION[[#This Row],[$ CAPITAL]]&gt;=0,FINANCIACION[[#This Row],[$ CAPITAL]]+FINANCIACION[[#This Row],[$ INTERESES]],0)</f>
        <v>0</v>
      </c>
    </row>
    <row r="4" spans="1:15" ht="24" hidden="1" customHeight="1" x14ac:dyDescent="0.25">
      <c r="A4" s="7">
        <v>43118</v>
      </c>
      <c r="B4" s="53" t="s">
        <v>1217</v>
      </c>
      <c r="C4" s="5">
        <v>-382491081</v>
      </c>
      <c r="D4" s="5"/>
      <c r="E4" s="169" t="str">
        <f>+IF(FINANCIACION[[#This Row],[$ CAPITAL]]&gt;=0,FINANCIACION[[#This Row],[$ CAPITAL]]+FINANCIACION[[#This Row],[$ INTERESES]],"")</f>
        <v/>
      </c>
      <c r="F4" s="169">
        <f>+SUMIFS(FINANCIACION[$ CAPITAL],FINANCIACION[Fecha],"&lt;="&amp;FINANCIACION[[#This Row],[Fecha]],FINANCIACION[PRESTAMO],FINANCIACION[[#This Row],[PRESTAMO]])</f>
        <v>-382491081</v>
      </c>
      <c r="G4" s="56"/>
      <c r="H4" s="8"/>
      <c r="I4" s="5" t="b">
        <f>IF(FINANCIACION[[#This Row],[$ CAPITAL]]&gt;0,FINANCIACION[[#This Row],[$ CAPITAL]])</f>
        <v>0</v>
      </c>
      <c r="J4" s="36">
        <f>IF(FINANCIACION[[#This Row],[$ CAPITAL]]&gt;=0,FINANCIACION[[#This Row],[$ CAPITAL]]+FINANCIACION[[#This Row],[$ INTERESES]],0)</f>
        <v>0</v>
      </c>
    </row>
    <row r="5" spans="1:15" ht="24" hidden="1" customHeight="1" x14ac:dyDescent="0.25">
      <c r="A5" s="7">
        <v>43346</v>
      </c>
      <c r="B5" s="53" t="s">
        <v>197</v>
      </c>
      <c r="C5" s="5">
        <v>-150000000</v>
      </c>
      <c r="D5" s="5"/>
      <c r="E5" s="169" t="str">
        <f>+IF(FINANCIACION[[#This Row],[$ CAPITAL]]&gt;=0,FINANCIACION[[#This Row],[$ CAPITAL]]+FINANCIACION[[#This Row],[$ INTERESES]],"")</f>
        <v/>
      </c>
      <c r="F5" s="169">
        <f>+SUMIFS(FINANCIACION[$ CAPITAL],FINANCIACION[Fecha],"&lt;="&amp;FINANCIACION[[#This Row],[Fecha]],FINANCIACION[PRESTAMO],FINANCIACION[[#This Row],[PRESTAMO]])</f>
        <v>-150000000</v>
      </c>
      <c r="G5" s="56"/>
      <c r="H5" s="8"/>
      <c r="I5" s="5" t="b">
        <f>IF(FINANCIACION[[#This Row],[$ CAPITAL]]&gt;0,FINANCIACION[[#This Row],[$ CAPITAL]])</f>
        <v>0</v>
      </c>
      <c r="J5" s="36">
        <f>IF(FINANCIACION[[#This Row],[$ CAPITAL]]&gt;=0,FINANCIACION[[#This Row],[$ CAPITAL]]+FINANCIACION[[#This Row],[$ INTERESES]],0)</f>
        <v>0</v>
      </c>
    </row>
    <row r="6" spans="1:15" ht="24" hidden="1" customHeight="1" x14ac:dyDescent="0.25">
      <c r="A6" s="7">
        <v>43398</v>
      </c>
      <c r="B6" s="53" t="s">
        <v>193</v>
      </c>
      <c r="C6" s="5">
        <v>-45000000</v>
      </c>
      <c r="D6" s="5"/>
      <c r="E6" s="169" t="str">
        <f>+IF(FINANCIACION[[#This Row],[$ CAPITAL]]&gt;=0,FINANCIACION[[#This Row],[$ CAPITAL]]+FINANCIACION[[#This Row],[$ INTERESES]],"")</f>
        <v/>
      </c>
      <c r="F6" s="169">
        <f>+SUMIFS(FINANCIACION[$ CAPITAL],FINANCIACION[Fecha],"&lt;="&amp;FINANCIACION[[#This Row],[Fecha]],FINANCIACION[PRESTAMO],FINANCIACION[[#This Row],[PRESTAMO]])</f>
        <v>-45000000</v>
      </c>
      <c r="G6" s="56"/>
      <c r="H6" s="8"/>
      <c r="I6" s="5" t="b">
        <f>IF(FINANCIACION[[#This Row],[$ CAPITAL]]&gt;0,FINANCIACION[[#This Row],[$ CAPITAL]])</f>
        <v>0</v>
      </c>
      <c r="J6" s="36">
        <f>IF(FINANCIACION[[#This Row],[$ CAPITAL]]&gt;=0,FINANCIACION[[#This Row],[$ CAPITAL]]+FINANCIACION[[#This Row],[$ INTERESES]],0)</f>
        <v>0</v>
      </c>
    </row>
    <row r="7" spans="1:15" ht="24" hidden="1" customHeight="1" x14ac:dyDescent="0.25">
      <c r="A7" s="7">
        <v>43465</v>
      </c>
      <c r="B7" s="53" t="s">
        <v>193</v>
      </c>
      <c r="C7" s="5">
        <v>2500000</v>
      </c>
      <c r="D7" s="5"/>
      <c r="E7" s="169">
        <f>+IF(FINANCIACION[[#This Row],[$ CAPITAL]]&gt;=0,FINANCIACION[[#This Row],[$ CAPITAL]]+FINANCIACION[[#This Row],[$ INTERESES]],"")</f>
        <v>2500000</v>
      </c>
      <c r="F7" s="169">
        <f>+SUMIFS(FINANCIACION[$ CAPITAL],FINANCIACION[Fecha],"&lt;="&amp;FINANCIACION[[#This Row],[Fecha]],FINANCIACION[PRESTAMO],FINANCIACION[[#This Row],[PRESTAMO]])</f>
        <v>-42500000</v>
      </c>
      <c r="G7" s="56"/>
      <c r="H7" s="8"/>
      <c r="I7" s="5">
        <f>IF(FINANCIACION[[#This Row],[$ CAPITAL]]&gt;0,FINANCIACION[[#This Row],[$ CAPITAL]])</f>
        <v>2500000</v>
      </c>
      <c r="J7" s="36">
        <f>IF(FINANCIACION[[#This Row],[$ CAPITAL]]&gt;=0,FINANCIACION[[#This Row],[$ CAPITAL]]+FINANCIACION[[#This Row],[$ INTERESES]],0)</f>
        <v>2500000</v>
      </c>
    </row>
    <row r="8" spans="1:15" ht="24" hidden="1" customHeight="1" x14ac:dyDescent="0.25">
      <c r="A8" s="7">
        <v>43465</v>
      </c>
      <c r="B8" s="53" t="s">
        <v>197</v>
      </c>
      <c r="C8" s="5">
        <v>17500000</v>
      </c>
      <c r="D8" s="5"/>
      <c r="E8" s="169">
        <f>+IF(FINANCIACION[[#This Row],[$ CAPITAL]]&gt;=0,FINANCIACION[[#This Row],[$ CAPITAL]]+FINANCIACION[[#This Row],[$ INTERESES]],"")</f>
        <v>17500000</v>
      </c>
      <c r="F8" s="169">
        <f>+SUMIFS(FINANCIACION[$ CAPITAL],FINANCIACION[Fecha],"&lt;="&amp;FINANCIACION[[#This Row],[Fecha]],FINANCIACION[PRESTAMO],FINANCIACION[[#This Row],[PRESTAMO]])</f>
        <v>-132500000</v>
      </c>
      <c r="G8" s="56"/>
      <c r="H8" s="8"/>
      <c r="I8" s="5">
        <f>IF(FINANCIACION[[#This Row],[$ CAPITAL]]&gt;0,FINANCIACION[[#This Row],[$ CAPITAL]])</f>
        <v>17500000</v>
      </c>
      <c r="J8" s="36">
        <f>IF(FINANCIACION[[#This Row],[$ CAPITAL]]&gt;=0,FINANCIACION[[#This Row],[$ CAPITAL]]+FINANCIACION[[#This Row],[$ INTERESES]],0)</f>
        <v>17500000</v>
      </c>
    </row>
    <row r="9" spans="1:15" ht="24" hidden="1" customHeight="1" x14ac:dyDescent="0.25">
      <c r="A9" s="7">
        <v>43468</v>
      </c>
      <c r="B9" s="53" t="s">
        <v>194</v>
      </c>
      <c r="C9" s="5">
        <v>-125000000</v>
      </c>
      <c r="D9" s="5"/>
      <c r="E9" s="169" t="str">
        <f>+IF(FINANCIACION[[#This Row],[$ CAPITAL]]&gt;=0,FINANCIACION[[#This Row],[$ CAPITAL]]+FINANCIACION[[#This Row],[$ INTERESES]],"")</f>
        <v/>
      </c>
      <c r="F9" s="169">
        <f>+SUMIFS(FINANCIACION[$ CAPITAL],FINANCIACION[Fecha],"&lt;="&amp;FINANCIACION[[#This Row],[Fecha]],FINANCIACION[PRESTAMO],FINANCIACION[[#This Row],[PRESTAMO]])</f>
        <v>-125000000</v>
      </c>
      <c r="G9" s="56"/>
      <c r="H9" s="8"/>
      <c r="I9" s="5" t="b">
        <f>IF(FINANCIACION[[#This Row],[$ CAPITAL]]&gt;0,FINANCIACION[[#This Row],[$ CAPITAL]])</f>
        <v>0</v>
      </c>
      <c r="J9" s="36">
        <f>IF(FINANCIACION[[#This Row],[$ CAPITAL]]&gt;=0,FINANCIACION[[#This Row],[$ CAPITAL]]+FINANCIACION[[#This Row],[$ INTERESES]],0)</f>
        <v>0</v>
      </c>
    </row>
    <row r="10" spans="1:15" ht="24" hidden="1" customHeight="1" x14ac:dyDescent="0.25">
      <c r="A10" s="7">
        <v>43468</v>
      </c>
      <c r="B10" s="53" t="s">
        <v>197</v>
      </c>
      <c r="C10" s="5">
        <v>6250000</v>
      </c>
      <c r="D10" s="5">
        <v>1204483.46</v>
      </c>
      <c r="E10" s="169">
        <f>+IF(FINANCIACION[[#This Row],[$ CAPITAL]]&gt;=0,FINANCIACION[[#This Row],[$ CAPITAL]]+FINANCIACION[[#This Row],[$ INTERESES]],"")</f>
        <v>7454483.46</v>
      </c>
      <c r="F10" s="169">
        <f>+SUMIFS(FINANCIACION[$ CAPITAL],FINANCIACION[Fecha],"&lt;="&amp;FINANCIACION[[#This Row],[Fecha]],FINANCIACION[PRESTAMO],FINANCIACION[[#This Row],[PRESTAMO]])</f>
        <v>-126250000</v>
      </c>
      <c r="G10" s="56"/>
      <c r="H10" s="8"/>
      <c r="I10" s="5">
        <f>IF(FINANCIACION[[#This Row],[$ CAPITAL]]&gt;0,FINANCIACION[[#This Row],[$ CAPITAL]])</f>
        <v>6250000</v>
      </c>
      <c r="J10" s="36">
        <f>IF(FINANCIACION[[#This Row],[$ CAPITAL]]&gt;=0,FINANCIACION[[#This Row],[$ CAPITAL]]+FINANCIACION[[#This Row],[$ INTERESES]],0)</f>
        <v>7454483.46</v>
      </c>
    </row>
    <row r="11" spans="1:15" ht="24" hidden="1" customHeight="1" x14ac:dyDescent="0.25">
      <c r="A11" s="7">
        <v>43475</v>
      </c>
      <c r="B11" s="53" t="s">
        <v>1215</v>
      </c>
      <c r="C11" s="5"/>
      <c r="D11" s="5">
        <v>950000</v>
      </c>
      <c r="E11" s="169">
        <f>+IF(FINANCIACION[[#This Row],[$ CAPITAL]]&gt;=0,FINANCIACION[[#This Row],[$ CAPITAL]]+FINANCIACION[[#This Row],[$ INTERESES]],"")</f>
        <v>950000</v>
      </c>
      <c r="F11" s="169">
        <f>+SUMIFS(FINANCIACION[$ CAPITAL],FINANCIACION[Fecha],"&lt;="&amp;FINANCIACION[[#This Row],[Fecha]],FINANCIACION[PRESTAMO],FINANCIACION[[#This Row],[PRESTAMO]])</f>
        <v>-94935167</v>
      </c>
      <c r="G11" s="8"/>
      <c r="H11" s="8"/>
      <c r="I11" s="5" t="b">
        <f>IF(FINANCIACION[[#This Row],[$ CAPITAL]]&gt;0,FINANCIACION[[#This Row],[$ CAPITAL]])</f>
        <v>0</v>
      </c>
      <c r="J11" s="36">
        <f>IF(FINANCIACION[[#This Row],[$ CAPITAL]]&gt;=0,FINANCIACION[[#This Row],[$ CAPITAL]]+FINANCIACION[[#This Row],[$ INTERESES]],0)</f>
        <v>950000</v>
      </c>
    </row>
    <row r="12" spans="1:15" ht="24" hidden="1" customHeight="1" x14ac:dyDescent="0.25">
      <c r="A12" s="7">
        <v>43483</v>
      </c>
      <c r="B12" s="53" t="s">
        <v>1217</v>
      </c>
      <c r="C12" s="5">
        <v>1268533</v>
      </c>
      <c r="D12" s="5">
        <v>12694590</v>
      </c>
      <c r="E12" s="169">
        <f>+IF(FINANCIACION[[#This Row],[$ CAPITAL]]&gt;=0,FINANCIACION[[#This Row],[$ CAPITAL]]+FINANCIACION[[#This Row],[$ INTERESES]],"")</f>
        <v>13963123</v>
      </c>
      <c r="F12" s="169">
        <f>+SUMIFS(FINANCIACION[$ CAPITAL],FINANCIACION[Fecha],"&lt;="&amp;FINANCIACION[[#This Row],[Fecha]],FINANCIACION[PRESTAMO],FINANCIACION[[#This Row],[PRESTAMO]])</f>
        <v>-381222548</v>
      </c>
      <c r="G12" s="8"/>
      <c r="H12" s="8"/>
      <c r="I12" s="5">
        <f>IF(FINANCIACION[[#This Row],[$ CAPITAL]]&gt;0,FINANCIACION[[#This Row],[$ CAPITAL]])</f>
        <v>1268533</v>
      </c>
      <c r="J12" s="36">
        <f>IF(FINANCIACION[[#This Row],[$ CAPITAL]]&gt;=0,FINANCIACION[[#This Row],[$ CAPITAL]]+FINANCIACION[[#This Row],[$ INTERESES]],0)</f>
        <v>13963123</v>
      </c>
    </row>
    <row r="13" spans="1:15" ht="24" hidden="1" customHeight="1" x14ac:dyDescent="0.25">
      <c r="A13" s="7">
        <v>43485</v>
      </c>
      <c r="B13" s="53" t="s">
        <v>1216</v>
      </c>
      <c r="C13" s="5">
        <v>260000</v>
      </c>
      <c r="D13" s="5">
        <v>740000</v>
      </c>
      <c r="E13" s="169">
        <f>+IF(FINANCIACION[[#This Row],[$ CAPITAL]]&gt;=0,FINANCIACION[[#This Row],[$ CAPITAL]]+FINANCIACION[[#This Row],[$ INTERESES]],"")</f>
        <v>1000000</v>
      </c>
      <c r="F13" s="169">
        <f>+SUMIFS(FINANCIACION[$ CAPITAL],FINANCIACION[Fecha],"&lt;="&amp;FINANCIACION[[#This Row],[Fecha]],FINANCIACION[PRESTAMO],FINANCIACION[[#This Row],[PRESTAMO]])</f>
        <v>-61369154</v>
      </c>
      <c r="G13" s="56"/>
      <c r="H13" s="8"/>
      <c r="I13" s="5">
        <f>IF(FINANCIACION[[#This Row],[$ CAPITAL]]&gt;0,FINANCIACION[[#This Row],[$ CAPITAL]])</f>
        <v>260000</v>
      </c>
      <c r="J13" s="36">
        <f>IF(FINANCIACION[[#This Row],[$ CAPITAL]]&gt;=0,FINANCIACION[[#This Row],[$ CAPITAL]]+FINANCIACION[[#This Row],[$ INTERESES]],0)</f>
        <v>1000000</v>
      </c>
    </row>
    <row r="14" spans="1:15" ht="24" hidden="1" customHeight="1" x14ac:dyDescent="0.25">
      <c r="A14" s="7">
        <v>43485</v>
      </c>
      <c r="B14" s="53" t="s">
        <v>1217</v>
      </c>
      <c r="C14" s="5">
        <v>1482486.9681818199</v>
      </c>
      <c r="D14" s="5">
        <v>4603361.0318181803</v>
      </c>
      <c r="E14" s="169">
        <f>+IF(FINANCIACION[[#This Row],[$ CAPITAL]]&gt;=0,FINANCIACION[[#This Row],[$ CAPITAL]]+FINANCIACION[[#This Row],[$ INTERESES]],"")</f>
        <v>6085848</v>
      </c>
      <c r="F14" s="169">
        <f>+SUMIFS(FINANCIACION[$ CAPITAL],FINANCIACION[Fecha],"&lt;="&amp;FINANCIACION[[#This Row],[Fecha]],FINANCIACION[PRESTAMO],FINANCIACION[[#This Row],[PRESTAMO]])</f>
        <v>-379740061.03181815</v>
      </c>
      <c r="G14" s="64"/>
      <c r="H14" s="8"/>
      <c r="I14" s="5">
        <f>IF(FINANCIACION[[#This Row],[$ CAPITAL]]&gt;0,FINANCIACION[[#This Row],[$ CAPITAL]])</f>
        <v>1482486.9681818199</v>
      </c>
      <c r="J14" s="36">
        <f>IF(FINANCIACION[[#This Row],[$ CAPITAL]]&gt;=0,FINANCIACION[[#This Row],[$ CAPITAL]]+FINANCIACION[[#This Row],[$ INTERESES]],0)</f>
        <v>6085848</v>
      </c>
    </row>
    <row r="15" spans="1:15" ht="24" hidden="1" customHeight="1" x14ac:dyDescent="0.25">
      <c r="A15" s="7">
        <v>43490</v>
      </c>
      <c r="B15" s="53" t="s">
        <v>193</v>
      </c>
      <c r="C15" s="5">
        <v>1250000</v>
      </c>
      <c r="D15" s="5">
        <v>522218</v>
      </c>
      <c r="E15" s="169">
        <f>+IF(FINANCIACION[[#This Row],[$ CAPITAL]]&gt;=0,FINANCIACION[[#This Row],[$ CAPITAL]]+FINANCIACION[[#This Row],[$ INTERESES]],"")</f>
        <v>1772218</v>
      </c>
      <c r="F15" s="169">
        <f>+SUMIFS(FINANCIACION[$ CAPITAL],FINANCIACION[Fecha],"&lt;="&amp;FINANCIACION[[#This Row],[Fecha]],FINANCIACION[PRESTAMO],FINANCIACION[[#This Row],[PRESTAMO]])</f>
        <v>-41250000</v>
      </c>
      <c r="G15" s="56"/>
      <c r="H15" s="8"/>
      <c r="I15" s="5">
        <f>IF(FINANCIACION[[#This Row],[$ CAPITAL]]&gt;0,FINANCIACION[[#This Row],[$ CAPITAL]])</f>
        <v>1250000</v>
      </c>
      <c r="J15" s="36">
        <f>IF(FINANCIACION[[#This Row],[$ CAPITAL]]&gt;=0,FINANCIACION[[#This Row],[$ CAPITAL]]+FINANCIACION[[#This Row],[$ INTERESES]],0)</f>
        <v>1772218</v>
      </c>
    </row>
    <row r="16" spans="1:15" ht="24" hidden="1" customHeight="1" x14ac:dyDescent="0.25">
      <c r="A16" s="7">
        <v>43499</v>
      </c>
      <c r="B16" s="53" t="s">
        <v>194</v>
      </c>
      <c r="C16" s="5">
        <v>3472222</v>
      </c>
      <c r="D16" s="5">
        <v>1364677</v>
      </c>
      <c r="E16" s="169">
        <f>+IF(FINANCIACION[[#This Row],[$ CAPITAL]]&gt;=0,FINANCIACION[[#This Row],[$ CAPITAL]]+FINANCIACION[[#This Row],[$ INTERESES]],"")</f>
        <v>4836899</v>
      </c>
      <c r="F16" s="169">
        <f>+SUMIFS(FINANCIACION[$ CAPITAL],FINANCIACION[Fecha],"&lt;="&amp;FINANCIACION[[#This Row],[Fecha]],FINANCIACION[PRESTAMO],FINANCIACION[[#This Row],[PRESTAMO]])</f>
        <v>-121527778</v>
      </c>
      <c r="G16" s="56"/>
      <c r="H16" s="8"/>
      <c r="I16" s="5">
        <f>IF(FINANCIACION[[#This Row],[$ CAPITAL]]&gt;0,FINANCIACION[[#This Row],[$ CAPITAL]])</f>
        <v>3472222</v>
      </c>
      <c r="J16" s="36">
        <f>IF(FINANCIACION[[#This Row],[$ CAPITAL]]&gt;=0,FINANCIACION[[#This Row],[$ CAPITAL]]+FINANCIACION[[#This Row],[$ INTERESES]],0)</f>
        <v>4836899</v>
      </c>
    </row>
    <row r="17" spans="1:10" ht="24" hidden="1" customHeight="1" x14ac:dyDescent="0.25">
      <c r="A17" s="7">
        <v>43499</v>
      </c>
      <c r="B17" s="53" t="s">
        <v>197</v>
      </c>
      <c r="C17" s="5">
        <v>6250000</v>
      </c>
      <c r="D17" s="5">
        <v>1157485.2</v>
      </c>
      <c r="E17" s="169">
        <f>+IF(FINANCIACION[[#This Row],[$ CAPITAL]]&gt;=0,FINANCIACION[[#This Row],[$ CAPITAL]]+FINANCIACION[[#This Row],[$ INTERESES]],"")</f>
        <v>7407485.2000000002</v>
      </c>
      <c r="F17" s="169">
        <f>+SUMIFS(FINANCIACION[$ CAPITAL],FINANCIACION[Fecha],"&lt;="&amp;FINANCIACION[[#This Row],[Fecha]],FINANCIACION[PRESTAMO],FINANCIACION[[#This Row],[PRESTAMO]])</f>
        <v>-120000000</v>
      </c>
      <c r="G17" s="56"/>
      <c r="H17" s="8"/>
      <c r="I17" s="5">
        <f>IF(FINANCIACION[[#This Row],[$ CAPITAL]]&gt;0,FINANCIACION[[#This Row],[$ CAPITAL]])</f>
        <v>6250000</v>
      </c>
      <c r="J17" s="36">
        <f>IF(FINANCIACION[[#This Row],[$ CAPITAL]]&gt;=0,FINANCIACION[[#This Row],[$ CAPITAL]]+FINANCIACION[[#This Row],[$ INTERESES]],0)</f>
        <v>7407485.2000000002</v>
      </c>
    </row>
    <row r="18" spans="1:10" ht="24" hidden="1" customHeight="1" x14ac:dyDescent="0.25">
      <c r="A18" s="7">
        <v>43506</v>
      </c>
      <c r="B18" s="53" t="s">
        <v>1215</v>
      </c>
      <c r="C18" s="5"/>
      <c r="D18" s="5">
        <v>950000</v>
      </c>
      <c r="E18" s="169">
        <f>+IF(FINANCIACION[[#This Row],[$ CAPITAL]]&gt;=0,FINANCIACION[[#This Row],[$ CAPITAL]]+FINANCIACION[[#This Row],[$ INTERESES]],"")</f>
        <v>950000</v>
      </c>
      <c r="F18" s="169">
        <f>+SUMIFS(FINANCIACION[$ CAPITAL],FINANCIACION[Fecha],"&lt;="&amp;FINANCIACION[[#This Row],[Fecha]],FINANCIACION[PRESTAMO],FINANCIACION[[#This Row],[PRESTAMO]])</f>
        <v>-94935167</v>
      </c>
      <c r="G18" s="56"/>
      <c r="H18" s="8"/>
      <c r="I18" s="5" t="b">
        <f>IF(FINANCIACION[[#This Row],[$ CAPITAL]]&gt;0,FINANCIACION[[#This Row],[$ CAPITAL]])</f>
        <v>0</v>
      </c>
      <c r="J18" s="36">
        <f>IF(FINANCIACION[[#This Row],[$ CAPITAL]]&gt;=0,FINANCIACION[[#This Row],[$ CAPITAL]]+FINANCIACION[[#This Row],[$ INTERESES]],0)</f>
        <v>950000</v>
      </c>
    </row>
    <row r="19" spans="1:10" ht="24" hidden="1" customHeight="1" x14ac:dyDescent="0.25">
      <c r="A19" s="7">
        <v>43514</v>
      </c>
      <c r="B19" s="53" t="s">
        <v>1217</v>
      </c>
      <c r="C19" s="5">
        <v>1286844</v>
      </c>
      <c r="D19" s="5">
        <v>4795368</v>
      </c>
      <c r="E19" s="169">
        <f>+IF(FINANCIACION[[#This Row],[$ CAPITAL]]&gt;=0,FINANCIACION[[#This Row],[$ CAPITAL]]+FINANCIACION[[#This Row],[$ INTERESES]],"")</f>
        <v>6082212</v>
      </c>
      <c r="F19" s="169">
        <f>+SUMIFS(FINANCIACION[$ CAPITAL],FINANCIACION[Fecha],"&lt;="&amp;FINANCIACION[[#This Row],[Fecha]],FINANCIACION[PRESTAMO],FINANCIACION[[#This Row],[PRESTAMO]])</f>
        <v>-378453217.03181815</v>
      </c>
      <c r="G19" s="8"/>
      <c r="H19" s="8"/>
      <c r="I19" s="5">
        <f>IF(FINANCIACION[[#This Row],[$ CAPITAL]]&gt;0,FINANCIACION[[#This Row],[$ CAPITAL]])</f>
        <v>1286844</v>
      </c>
      <c r="J19" s="36">
        <f>IF(FINANCIACION[[#This Row],[$ CAPITAL]]&gt;=0,FINANCIACION[[#This Row],[$ CAPITAL]]+FINANCIACION[[#This Row],[$ INTERESES]],0)</f>
        <v>6082212</v>
      </c>
    </row>
    <row r="20" spans="1:10" ht="24" hidden="1" customHeight="1" x14ac:dyDescent="0.25">
      <c r="A20" s="7">
        <v>43516</v>
      </c>
      <c r="B20" s="53" t="s">
        <v>1216</v>
      </c>
      <c r="C20" s="5">
        <v>260000</v>
      </c>
      <c r="D20" s="5">
        <v>740000</v>
      </c>
      <c r="E20" s="169">
        <f>+IF(FINANCIACION[[#This Row],[$ CAPITAL]]&gt;=0,FINANCIACION[[#This Row],[$ CAPITAL]]+FINANCIACION[[#This Row],[$ INTERESES]],"")</f>
        <v>1000000</v>
      </c>
      <c r="F20" s="169">
        <f>+SUMIFS(FINANCIACION[$ CAPITAL],FINANCIACION[Fecha],"&lt;="&amp;FINANCIACION[[#This Row],[Fecha]],FINANCIACION[PRESTAMO],FINANCIACION[[#This Row],[PRESTAMO]])</f>
        <v>-61109154</v>
      </c>
      <c r="G20" s="8"/>
      <c r="H20" s="8"/>
      <c r="I20" s="5">
        <f>IF(FINANCIACION[[#This Row],[$ CAPITAL]]&gt;0,FINANCIACION[[#This Row],[$ CAPITAL]])</f>
        <v>260000</v>
      </c>
      <c r="J20" s="36">
        <f>IF(FINANCIACION[[#This Row],[$ CAPITAL]]&gt;=0,FINANCIACION[[#This Row],[$ CAPITAL]]+FINANCIACION[[#This Row],[$ INTERESES]],0)</f>
        <v>1000000</v>
      </c>
    </row>
    <row r="21" spans="1:10" ht="24" hidden="1" customHeight="1" x14ac:dyDescent="0.25">
      <c r="A21" s="7">
        <v>43521</v>
      </c>
      <c r="B21" s="53" t="s">
        <v>193</v>
      </c>
      <c r="C21" s="5">
        <v>1250000</v>
      </c>
      <c r="D21" s="5">
        <v>508307</v>
      </c>
      <c r="E21" s="169">
        <f>+IF(FINANCIACION[[#This Row],[$ CAPITAL]]&gt;=0,FINANCIACION[[#This Row],[$ CAPITAL]]+FINANCIACION[[#This Row],[$ INTERESES]],"")</f>
        <v>1758307</v>
      </c>
      <c r="F21" s="169">
        <f>+SUMIFS(FINANCIACION[$ CAPITAL],FINANCIACION[Fecha],"&lt;="&amp;FINANCIACION[[#This Row],[Fecha]],FINANCIACION[PRESTAMO],FINANCIACION[[#This Row],[PRESTAMO]])</f>
        <v>-40000000</v>
      </c>
      <c r="G21" s="8"/>
      <c r="H21" s="8"/>
      <c r="I21" s="5">
        <f>IF(FINANCIACION[[#This Row],[$ CAPITAL]]&gt;0,FINANCIACION[[#This Row],[$ CAPITAL]])</f>
        <v>1250000</v>
      </c>
      <c r="J21" s="36">
        <f>IF(FINANCIACION[[#This Row],[$ CAPITAL]]&gt;=0,FINANCIACION[[#This Row],[$ CAPITAL]]+FINANCIACION[[#This Row],[$ INTERESES]],0)</f>
        <v>1758307</v>
      </c>
    </row>
    <row r="22" spans="1:10" ht="24" hidden="1" customHeight="1" x14ac:dyDescent="0.25">
      <c r="A22" s="7">
        <v>43527</v>
      </c>
      <c r="B22" s="53" t="s">
        <v>194</v>
      </c>
      <c r="C22" s="5">
        <v>3472222</v>
      </c>
      <c r="D22" s="5">
        <v>1334182</v>
      </c>
      <c r="E22" s="169">
        <f>+IF(FINANCIACION[[#This Row],[$ CAPITAL]]&gt;=0,FINANCIACION[[#This Row],[$ CAPITAL]]+FINANCIACION[[#This Row],[$ INTERESES]],"")</f>
        <v>4806404</v>
      </c>
      <c r="F22" s="169">
        <f>+SUMIFS(FINANCIACION[$ CAPITAL],FINANCIACION[Fecha],"&lt;="&amp;FINANCIACION[[#This Row],[Fecha]],FINANCIACION[PRESTAMO],FINANCIACION[[#This Row],[PRESTAMO]])</f>
        <v>-118055556</v>
      </c>
      <c r="G22" s="8"/>
      <c r="H22" s="8"/>
      <c r="I22" s="5">
        <f>IF(FINANCIACION[[#This Row],[$ CAPITAL]]&gt;0,FINANCIACION[[#This Row],[$ CAPITAL]])</f>
        <v>3472222</v>
      </c>
      <c r="J22" s="36">
        <f>IF(FINANCIACION[[#This Row],[$ CAPITAL]]&gt;=0,FINANCIACION[[#This Row],[$ CAPITAL]]+FINANCIACION[[#This Row],[$ INTERESES]],0)</f>
        <v>4806404</v>
      </c>
    </row>
    <row r="23" spans="1:10" ht="24" hidden="1" customHeight="1" x14ac:dyDescent="0.25">
      <c r="A23" s="7">
        <v>43527</v>
      </c>
      <c r="B23" s="53" t="s">
        <v>197</v>
      </c>
      <c r="C23" s="5">
        <v>6250000</v>
      </c>
      <c r="D23" s="5">
        <v>1106761.69</v>
      </c>
      <c r="E23" s="169">
        <f>+IF(FINANCIACION[[#This Row],[$ CAPITAL]]&gt;=0,FINANCIACION[[#This Row],[$ CAPITAL]]+FINANCIACION[[#This Row],[$ INTERESES]],"")</f>
        <v>7356761.6899999995</v>
      </c>
      <c r="F23" s="169">
        <f>+SUMIFS(FINANCIACION[$ CAPITAL],FINANCIACION[Fecha],"&lt;="&amp;FINANCIACION[[#This Row],[Fecha]],FINANCIACION[PRESTAMO],FINANCIACION[[#This Row],[PRESTAMO]])</f>
        <v>-113750000</v>
      </c>
      <c r="G23" s="8"/>
      <c r="H23" s="8"/>
      <c r="I23" s="5">
        <f>IF(FINANCIACION[[#This Row],[$ CAPITAL]]&gt;0,FINANCIACION[[#This Row],[$ CAPITAL]])</f>
        <v>6250000</v>
      </c>
      <c r="J23" s="36">
        <f>IF(FINANCIACION[[#This Row],[$ CAPITAL]]&gt;=0,FINANCIACION[[#This Row],[$ CAPITAL]]+FINANCIACION[[#This Row],[$ INTERESES]],0)</f>
        <v>7356761.6899999995</v>
      </c>
    </row>
    <row r="24" spans="1:10" ht="24" hidden="1" customHeight="1" x14ac:dyDescent="0.25">
      <c r="A24" s="7">
        <v>43534</v>
      </c>
      <c r="B24" s="53" t="s">
        <v>1215</v>
      </c>
      <c r="C24" s="5"/>
      <c r="D24" s="5">
        <v>950000</v>
      </c>
      <c r="E24" s="169">
        <f>+IF(FINANCIACION[[#This Row],[$ CAPITAL]]&gt;=0,FINANCIACION[[#This Row],[$ CAPITAL]]+FINANCIACION[[#This Row],[$ INTERESES]],"")</f>
        <v>950000</v>
      </c>
      <c r="F24" s="169">
        <f>+SUMIFS(FINANCIACION[$ CAPITAL],FINANCIACION[Fecha],"&lt;="&amp;FINANCIACION[[#This Row],[Fecha]],FINANCIACION[PRESTAMO],FINANCIACION[[#This Row],[PRESTAMO]])</f>
        <v>-94935167</v>
      </c>
      <c r="G24" s="8"/>
      <c r="H24" s="8"/>
      <c r="I24" s="5" t="b">
        <f>IF(FINANCIACION[[#This Row],[$ CAPITAL]]&gt;0,FINANCIACION[[#This Row],[$ CAPITAL]])</f>
        <v>0</v>
      </c>
      <c r="J24" s="36">
        <f>IF(FINANCIACION[[#This Row],[$ CAPITAL]]&gt;=0,FINANCIACION[[#This Row],[$ CAPITAL]]+FINANCIACION[[#This Row],[$ INTERESES]],0)</f>
        <v>950000</v>
      </c>
    </row>
    <row r="25" spans="1:10" ht="24" hidden="1" customHeight="1" x14ac:dyDescent="0.25">
      <c r="A25" s="7">
        <v>43542</v>
      </c>
      <c r="B25" s="53" t="s">
        <v>1217</v>
      </c>
      <c r="C25" s="5">
        <v>1302644</v>
      </c>
      <c r="D25" s="5">
        <v>4779568</v>
      </c>
      <c r="E25" s="169">
        <f>+IF(FINANCIACION[[#This Row],[$ CAPITAL]]&gt;=0,FINANCIACION[[#This Row],[$ CAPITAL]]+FINANCIACION[[#This Row],[$ INTERESES]],"")</f>
        <v>6082212</v>
      </c>
      <c r="F25" s="169">
        <f>+SUMIFS(FINANCIACION[$ CAPITAL],FINANCIACION[Fecha],"&lt;="&amp;FINANCIACION[[#This Row],[Fecha]],FINANCIACION[PRESTAMO],FINANCIACION[[#This Row],[PRESTAMO]])</f>
        <v>-377150573.03181815</v>
      </c>
      <c r="G25" s="8"/>
      <c r="H25" s="8"/>
      <c r="I25" s="5">
        <f>IF(FINANCIACION[[#This Row],[$ CAPITAL]]&gt;0,FINANCIACION[[#This Row],[$ CAPITAL]])</f>
        <v>1302644</v>
      </c>
      <c r="J25" s="36">
        <f>IF(FINANCIACION[[#This Row],[$ CAPITAL]]&gt;=0,FINANCIACION[[#This Row],[$ CAPITAL]]+FINANCIACION[[#This Row],[$ INTERESES]],0)</f>
        <v>6082212</v>
      </c>
    </row>
    <row r="26" spans="1:10" ht="24" hidden="1" customHeight="1" x14ac:dyDescent="0.25">
      <c r="A26" s="7">
        <v>43544</v>
      </c>
      <c r="B26" s="53" t="s">
        <v>1216</v>
      </c>
      <c r="C26" s="5">
        <v>260000</v>
      </c>
      <c r="D26" s="5">
        <v>740000</v>
      </c>
      <c r="E26" s="169">
        <f>+IF(FINANCIACION[[#This Row],[$ CAPITAL]]&gt;=0,FINANCIACION[[#This Row],[$ CAPITAL]]+FINANCIACION[[#This Row],[$ INTERESES]],"")</f>
        <v>1000000</v>
      </c>
      <c r="F26" s="169">
        <f>+SUMIFS(FINANCIACION[$ CAPITAL],FINANCIACION[Fecha],"&lt;="&amp;FINANCIACION[[#This Row],[Fecha]],FINANCIACION[PRESTAMO],FINANCIACION[[#This Row],[PRESTAMO]])</f>
        <v>-60849154</v>
      </c>
      <c r="G26" s="8"/>
      <c r="H26" s="8"/>
      <c r="I26" s="5">
        <f>IF(FINANCIACION[[#This Row],[$ CAPITAL]]&gt;0,FINANCIACION[[#This Row],[$ CAPITAL]])</f>
        <v>260000</v>
      </c>
      <c r="J26" s="36">
        <f>IF(FINANCIACION[[#This Row],[$ CAPITAL]]&gt;=0,FINANCIACION[[#This Row],[$ CAPITAL]]+FINANCIACION[[#This Row],[$ INTERESES]],0)</f>
        <v>1000000</v>
      </c>
    </row>
    <row r="27" spans="1:10" ht="24" hidden="1" customHeight="1" x14ac:dyDescent="0.25">
      <c r="A27" s="7">
        <v>43549</v>
      </c>
      <c r="B27" s="53" t="s">
        <v>193</v>
      </c>
      <c r="C27" s="5">
        <v>1250000</v>
      </c>
      <c r="D27" s="5">
        <v>493253</v>
      </c>
      <c r="E27" s="169">
        <f>+IF(FINANCIACION[[#This Row],[$ CAPITAL]]&gt;=0,FINANCIACION[[#This Row],[$ CAPITAL]]+FINANCIACION[[#This Row],[$ INTERESES]],"")</f>
        <v>1743253</v>
      </c>
      <c r="F27" s="169">
        <f>+SUMIFS(FINANCIACION[$ CAPITAL],FINANCIACION[Fecha],"&lt;="&amp;FINANCIACION[[#This Row],[Fecha]],FINANCIACION[PRESTAMO],FINANCIACION[[#This Row],[PRESTAMO]])</f>
        <v>-38750000</v>
      </c>
      <c r="G27" s="8"/>
      <c r="H27" s="8"/>
      <c r="I27" s="5">
        <f>IF(FINANCIACION[[#This Row],[$ CAPITAL]]&gt;0,FINANCIACION[[#This Row],[$ CAPITAL]])</f>
        <v>1250000</v>
      </c>
      <c r="J27" s="36">
        <f>IF(FINANCIACION[[#This Row],[$ CAPITAL]]&gt;=0,FINANCIACION[[#This Row],[$ CAPITAL]]+FINANCIACION[[#This Row],[$ INTERESES]],0)</f>
        <v>1743253</v>
      </c>
    </row>
    <row r="28" spans="1:10" ht="24" hidden="1" customHeight="1" x14ac:dyDescent="0.25">
      <c r="A28" s="7">
        <v>43558</v>
      </c>
      <c r="B28" s="53" t="s">
        <v>197</v>
      </c>
      <c r="C28" s="5">
        <v>6250000</v>
      </c>
      <c r="D28" s="5">
        <v>1043853.64</v>
      </c>
      <c r="E28" s="169">
        <f>+IF(FINANCIACION[[#This Row],[$ CAPITAL]]&gt;=0,FINANCIACION[[#This Row],[$ CAPITAL]]+FINANCIACION[[#This Row],[$ INTERESES]],"")</f>
        <v>7293853.6399999997</v>
      </c>
      <c r="F28" s="169">
        <f>+SUMIFS(FINANCIACION[$ CAPITAL],FINANCIACION[Fecha],"&lt;="&amp;FINANCIACION[[#This Row],[Fecha]],FINANCIACION[PRESTAMO],FINANCIACION[[#This Row],[PRESTAMO]])</f>
        <v>-107500000</v>
      </c>
      <c r="G28" s="8"/>
      <c r="H28" s="8"/>
      <c r="I28" s="5">
        <f>IF(FINANCIACION[[#This Row],[$ CAPITAL]]&gt;0,FINANCIACION[[#This Row],[$ CAPITAL]])</f>
        <v>6250000</v>
      </c>
      <c r="J28" s="36">
        <f>IF(FINANCIACION[[#This Row],[$ CAPITAL]]&gt;=0,FINANCIACION[[#This Row],[$ CAPITAL]]+FINANCIACION[[#This Row],[$ INTERESES]],0)</f>
        <v>7293853.6399999997</v>
      </c>
    </row>
    <row r="29" spans="1:10" ht="24" hidden="1" customHeight="1" x14ac:dyDescent="0.25">
      <c r="A29" s="7">
        <v>43563</v>
      </c>
      <c r="B29" s="53" t="s">
        <v>194</v>
      </c>
      <c r="C29" s="5">
        <v>3472222</v>
      </c>
      <c r="D29" s="5">
        <v>1290918</v>
      </c>
      <c r="E29" s="169">
        <f>+IF(FINANCIACION[[#This Row],[$ CAPITAL]]&gt;=0,FINANCIACION[[#This Row],[$ CAPITAL]]+FINANCIACION[[#This Row],[$ INTERESES]],"")</f>
        <v>4763140</v>
      </c>
      <c r="F29" s="169">
        <f>+SUMIFS(FINANCIACION[$ CAPITAL],FINANCIACION[Fecha],"&lt;="&amp;FINANCIACION[[#This Row],[Fecha]],FINANCIACION[PRESTAMO],FINANCIACION[[#This Row],[PRESTAMO]])</f>
        <v>-114583334</v>
      </c>
      <c r="G29" s="8"/>
      <c r="H29" s="8"/>
      <c r="I29" s="5">
        <f>IF(FINANCIACION[[#This Row],[$ CAPITAL]]&gt;0,FINANCIACION[[#This Row],[$ CAPITAL]])</f>
        <v>3472222</v>
      </c>
      <c r="J29" s="36">
        <f>IF(FINANCIACION[[#This Row],[$ CAPITAL]]&gt;=0,FINANCIACION[[#This Row],[$ CAPITAL]]+FINANCIACION[[#This Row],[$ INTERESES]],0)</f>
        <v>4763140</v>
      </c>
    </row>
    <row r="30" spans="1:10" ht="24" hidden="1" customHeight="1" x14ac:dyDescent="0.25">
      <c r="A30" s="7">
        <v>43565</v>
      </c>
      <c r="B30" s="53" t="s">
        <v>1215</v>
      </c>
      <c r="C30" s="5"/>
      <c r="D30" s="5">
        <v>950000</v>
      </c>
      <c r="E30" s="169">
        <f>+IF(FINANCIACION[[#This Row],[$ CAPITAL]]&gt;=0,FINANCIACION[[#This Row],[$ CAPITAL]]+FINANCIACION[[#This Row],[$ INTERESES]],"")</f>
        <v>950000</v>
      </c>
      <c r="F30" s="169">
        <f>+SUMIFS(FINANCIACION[$ CAPITAL],FINANCIACION[Fecha],"&lt;="&amp;FINANCIACION[[#This Row],[Fecha]],FINANCIACION[PRESTAMO],FINANCIACION[[#This Row],[PRESTAMO]])</f>
        <v>-94935167</v>
      </c>
      <c r="G30" s="8"/>
      <c r="H30" s="8"/>
      <c r="I30" s="5" t="b">
        <f>IF(FINANCIACION[[#This Row],[$ CAPITAL]]&gt;0,FINANCIACION[[#This Row],[$ CAPITAL]])</f>
        <v>0</v>
      </c>
      <c r="J30" s="36">
        <f>IF(FINANCIACION[[#This Row],[$ CAPITAL]]&gt;=0,FINANCIACION[[#This Row],[$ CAPITAL]]+FINANCIACION[[#This Row],[$ INTERESES]],0)</f>
        <v>950000</v>
      </c>
    </row>
    <row r="31" spans="1:10" ht="24" hidden="1" customHeight="1" x14ac:dyDescent="0.25">
      <c r="A31" s="7">
        <v>43575</v>
      </c>
      <c r="B31" s="53" t="s">
        <v>1216</v>
      </c>
      <c r="C31" s="5">
        <v>260000</v>
      </c>
      <c r="D31" s="5">
        <v>740000</v>
      </c>
      <c r="E31" s="169">
        <f>+IF(FINANCIACION[[#This Row],[$ CAPITAL]]&gt;=0,FINANCIACION[[#This Row],[$ CAPITAL]]+FINANCIACION[[#This Row],[$ INTERESES]],"")</f>
        <v>1000000</v>
      </c>
      <c r="F31" s="169">
        <f>+SUMIFS(FINANCIACION[$ CAPITAL],FINANCIACION[Fecha],"&lt;="&amp;FINANCIACION[[#This Row],[Fecha]],FINANCIACION[PRESTAMO],FINANCIACION[[#This Row],[PRESTAMO]])</f>
        <v>-60589154</v>
      </c>
      <c r="G31" s="8"/>
      <c r="H31" s="8"/>
      <c r="I31" s="5">
        <f>IF(FINANCIACION[[#This Row],[$ CAPITAL]]&gt;0,FINANCIACION[[#This Row],[$ CAPITAL]])</f>
        <v>260000</v>
      </c>
      <c r="J31" s="36">
        <f>IF(FINANCIACION[[#This Row],[$ CAPITAL]]&gt;=0,FINANCIACION[[#This Row],[$ CAPITAL]]+FINANCIACION[[#This Row],[$ INTERESES]],0)</f>
        <v>1000000</v>
      </c>
    </row>
    <row r="32" spans="1:10" ht="24" hidden="1" customHeight="1" x14ac:dyDescent="0.25">
      <c r="A32" s="7">
        <v>43577</v>
      </c>
      <c r="B32" s="53" t="s">
        <v>1217</v>
      </c>
      <c r="C32" s="5">
        <v>1302644</v>
      </c>
      <c r="D32" s="5">
        <v>4779568</v>
      </c>
      <c r="E32" s="169">
        <f>+IF(FINANCIACION[[#This Row],[$ CAPITAL]]&gt;=0,FINANCIACION[[#This Row],[$ CAPITAL]]+FINANCIACION[[#This Row],[$ INTERESES]],"")</f>
        <v>6082212</v>
      </c>
      <c r="F32" s="169">
        <f>+SUMIFS(FINANCIACION[$ CAPITAL],FINANCIACION[Fecha],"&lt;="&amp;FINANCIACION[[#This Row],[Fecha]],FINANCIACION[PRESTAMO],FINANCIACION[[#This Row],[PRESTAMO]])</f>
        <v>-375847929.03181815</v>
      </c>
      <c r="G32" s="8"/>
      <c r="H32" s="8"/>
      <c r="I32" s="5">
        <f>IF(FINANCIACION[[#This Row],[$ CAPITAL]]&gt;0,FINANCIACION[[#This Row],[$ CAPITAL]])</f>
        <v>1302644</v>
      </c>
      <c r="J32" s="36">
        <f>IF(FINANCIACION[[#This Row],[$ CAPITAL]]&gt;=0,FINANCIACION[[#This Row],[$ CAPITAL]]+FINANCIACION[[#This Row],[$ INTERESES]],0)</f>
        <v>6082212</v>
      </c>
    </row>
    <row r="33" spans="1:10" ht="24" hidden="1" customHeight="1" x14ac:dyDescent="0.25">
      <c r="A33" s="7">
        <v>43580</v>
      </c>
      <c r="B33" s="53" t="s">
        <v>193</v>
      </c>
      <c r="C33" s="5">
        <v>1250000</v>
      </c>
      <c r="D33" s="5">
        <v>476141</v>
      </c>
      <c r="E33" s="169">
        <f>+IF(FINANCIACION[[#This Row],[$ CAPITAL]]&gt;=0,FINANCIACION[[#This Row],[$ CAPITAL]]+FINANCIACION[[#This Row],[$ INTERESES]],"")</f>
        <v>1726141</v>
      </c>
      <c r="F33" s="169">
        <f>+SUMIFS(FINANCIACION[$ CAPITAL],FINANCIACION[Fecha],"&lt;="&amp;FINANCIACION[[#This Row],[Fecha]],FINANCIACION[PRESTAMO],FINANCIACION[[#This Row],[PRESTAMO]])</f>
        <v>-37500000</v>
      </c>
      <c r="G33" s="8"/>
      <c r="H33" s="8"/>
      <c r="I33" s="5">
        <f>IF(FINANCIACION[[#This Row],[$ CAPITAL]]&gt;0,FINANCIACION[[#This Row],[$ CAPITAL]])</f>
        <v>1250000</v>
      </c>
      <c r="J33" s="36">
        <f>IF(FINANCIACION[[#This Row],[$ CAPITAL]]&gt;=0,FINANCIACION[[#This Row],[$ CAPITAL]]+FINANCIACION[[#This Row],[$ INTERESES]],0)</f>
        <v>1726141</v>
      </c>
    </row>
    <row r="34" spans="1:10" ht="24" hidden="1" customHeight="1" x14ac:dyDescent="0.25">
      <c r="A34" s="7">
        <v>43588</v>
      </c>
      <c r="B34" s="53" t="s">
        <v>197</v>
      </c>
      <c r="C34" s="5">
        <v>6250000</v>
      </c>
      <c r="D34" s="5">
        <v>987761.26</v>
      </c>
      <c r="E34" s="169">
        <f>+IF(FINANCIACION[[#This Row],[$ CAPITAL]]&gt;=0,FINANCIACION[[#This Row],[$ CAPITAL]]+FINANCIACION[[#This Row],[$ INTERESES]],"")</f>
        <v>7237761.2599999998</v>
      </c>
      <c r="F34" s="169">
        <f>+SUMIFS(FINANCIACION[$ CAPITAL],FINANCIACION[Fecha],"&lt;="&amp;FINANCIACION[[#This Row],[Fecha]],FINANCIACION[PRESTAMO],FINANCIACION[[#This Row],[PRESTAMO]])</f>
        <v>-101250000</v>
      </c>
      <c r="G34" s="8"/>
      <c r="H34" s="8"/>
      <c r="I34" s="5">
        <f>IF(FINANCIACION[[#This Row],[$ CAPITAL]]&gt;0,FINANCIACION[[#This Row],[$ CAPITAL]])</f>
        <v>6250000</v>
      </c>
      <c r="J34" s="36">
        <f>IF(FINANCIACION[[#This Row],[$ CAPITAL]]&gt;=0,FINANCIACION[[#This Row],[$ CAPITAL]]+FINANCIACION[[#This Row],[$ INTERESES]],0)</f>
        <v>7237761.2599999998</v>
      </c>
    </row>
    <row r="35" spans="1:10" ht="24" hidden="1" customHeight="1" x14ac:dyDescent="0.25">
      <c r="A35" s="7">
        <v>43593</v>
      </c>
      <c r="B35" s="53" t="s">
        <v>193</v>
      </c>
      <c r="C35" s="5">
        <v>7500000</v>
      </c>
      <c r="D35" s="5"/>
      <c r="E35" s="169">
        <f>+IF(FINANCIACION[[#This Row],[$ CAPITAL]]&gt;=0,FINANCIACION[[#This Row],[$ CAPITAL]]+FINANCIACION[[#This Row],[$ INTERESES]],"")</f>
        <v>7500000</v>
      </c>
      <c r="F35" s="169">
        <f>+SUMIFS(FINANCIACION[$ CAPITAL],FINANCIACION[Fecha],"&lt;="&amp;FINANCIACION[[#This Row],[Fecha]],FINANCIACION[PRESTAMO],FINANCIACION[[#This Row],[PRESTAMO]])</f>
        <v>-30000000</v>
      </c>
      <c r="G35" s="8"/>
      <c r="H35" s="8"/>
      <c r="I35" s="5">
        <f>IF(FINANCIACION[[#This Row],[$ CAPITAL]]&gt;0,FINANCIACION[[#This Row],[$ CAPITAL]])</f>
        <v>7500000</v>
      </c>
      <c r="J35" s="36">
        <f>IF(FINANCIACION[[#This Row],[$ CAPITAL]]&gt;=0,FINANCIACION[[#This Row],[$ CAPITAL]]+FINANCIACION[[#This Row],[$ INTERESES]],0)</f>
        <v>7500000</v>
      </c>
    </row>
    <row r="36" spans="1:10" ht="24" hidden="1" customHeight="1" x14ac:dyDescent="0.25">
      <c r="A36" s="7">
        <v>43593</v>
      </c>
      <c r="B36" s="53" t="s">
        <v>194</v>
      </c>
      <c r="C36" s="5">
        <v>3472222</v>
      </c>
      <c r="D36" s="5">
        <v>1254945</v>
      </c>
      <c r="E36" s="169">
        <f>+IF(FINANCIACION[[#This Row],[$ CAPITAL]]&gt;=0,FINANCIACION[[#This Row],[$ CAPITAL]]+FINANCIACION[[#This Row],[$ INTERESES]],"")</f>
        <v>4727167</v>
      </c>
      <c r="F36" s="169">
        <f>+SUMIFS(FINANCIACION[$ CAPITAL],FINANCIACION[Fecha],"&lt;="&amp;FINANCIACION[[#This Row],[Fecha]],FINANCIACION[PRESTAMO],FINANCIACION[[#This Row],[PRESTAMO]])</f>
        <v>-111111112</v>
      </c>
      <c r="G36" s="8"/>
      <c r="H36" s="8"/>
      <c r="I36" s="5">
        <f>IF(FINANCIACION[[#This Row],[$ CAPITAL]]&gt;0,FINANCIACION[[#This Row],[$ CAPITAL]])</f>
        <v>3472222</v>
      </c>
      <c r="J36" s="36">
        <f>IF(FINANCIACION[[#This Row],[$ CAPITAL]]&gt;=0,FINANCIACION[[#This Row],[$ CAPITAL]]+FINANCIACION[[#This Row],[$ INTERESES]],0)</f>
        <v>4727167</v>
      </c>
    </row>
    <row r="37" spans="1:10" ht="24" hidden="1" customHeight="1" x14ac:dyDescent="0.25">
      <c r="A37" s="7">
        <v>43595</v>
      </c>
      <c r="B37" s="53" t="s">
        <v>1215</v>
      </c>
      <c r="C37" s="5"/>
      <c r="D37" s="5">
        <v>950000</v>
      </c>
      <c r="E37" s="169">
        <f>+IF(FINANCIACION[[#This Row],[$ CAPITAL]]&gt;=0,FINANCIACION[[#This Row],[$ CAPITAL]]+FINANCIACION[[#This Row],[$ INTERESES]],"")</f>
        <v>950000</v>
      </c>
      <c r="F37" s="169">
        <f>+SUMIFS(FINANCIACION[$ CAPITAL],FINANCIACION[Fecha],"&lt;="&amp;FINANCIACION[[#This Row],[Fecha]],FINANCIACION[PRESTAMO],FINANCIACION[[#This Row],[PRESTAMO]])</f>
        <v>-94935167</v>
      </c>
      <c r="G37" s="8"/>
      <c r="H37" s="8"/>
      <c r="I37" s="5" t="b">
        <f>IF(FINANCIACION[[#This Row],[$ CAPITAL]]&gt;0,FINANCIACION[[#This Row],[$ CAPITAL]])</f>
        <v>0</v>
      </c>
      <c r="J37" s="36">
        <f>IF(FINANCIACION[[#This Row],[$ CAPITAL]]&gt;=0,FINANCIACION[[#This Row],[$ CAPITAL]]+FINANCIACION[[#This Row],[$ INTERESES]],0)</f>
        <v>950000</v>
      </c>
    </row>
    <row r="38" spans="1:10" ht="24" hidden="1" customHeight="1" x14ac:dyDescent="0.25">
      <c r="A38" s="7">
        <v>43605</v>
      </c>
      <c r="B38" s="53" t="s">
        <v>1216</v>
      </c>
      <c r="C38" s="5">
        <v>260000</v>
      </c>
      <c r="D38" s="5">
        <v>740000</v>
      </c>
      <c r="E38" s="169">
        <f>+IF(FINANCIACION[[#This Row],[$ CAPITAL]]&gt;=0,FINANCIACION[[#This Row],[$ CAPITAL]]+FINANCIACION[[#This Row],[$ INTERESES]],"")</f>
        <v>1000000</v>
      </c>
      <c r="F38" s="169">
        <f>+SUMIFS(FINANCIACION[$ CAPITAL],FINANCIACION[Fecha],"&lt;="&amp;FINANCIACION[[#This Row],[Fecha]],FINANCIACION[PRESTAMO],FINANCIACION[[#This Row],[PRESTAMO]])</f>
        <v>-60329154</v>
      </c>
      <c r="G38" s="8"/>
      <c r="H38" s="8"/>
      <c r="I38" s="5">
        <f>IF(FINANCIACION[[#This Row],[$ CAPITAL]]&gt;0,FINANCIACION[[#This Row],[$ CAPITAL]])</f>
        <v>260000</v>
      </c>
      <c r="J38" s="36">
        <f>IF(FINANCIACION[[#This Row],[$ CAPITAL]]&gt;=0,FINANCIACION[[#This Row],[$ CAPITAL]]+FINANCIACION[[#This Row],[$ INTERESES]],0)</f>
        <v>1000000</v>
      </c>
    </row>
    <row r="39" spans="1:10" ht="24" hidden="1" customHeight="1" x14ac:dyDescent="0.25">
      <c r="A39" s="7">
        <v>43605</v>
      </c>
      <c r="B39" s="53" t="s">
        <v>1217</v>
      </c>
      <c r="C39" s="5">
        <v>1334827</v>
      </c>
      <c r="D39" s="5">
        <v>4747385</v>
      </c>
      <c r="E39" s="169">
        <f>+IF(FINANCIACION[[#This Row],[$ CAPITAL]]&gt;=0,FINANCIACION[[#This Row],[$ CAPITAL]]+FINANCIACION[[#This Row],[$ INTERESES]],"")</f>
        <v>6082212</v>
      </c>
      <c r="F39" s="169">
        <f>+SUMIFS(FINANCIACION[$ CAPITAL],FINANCIACION[Fecha],"&lt;="&amp;FINANCIACION[[#This Row],[Fecha]],FINANCIACION[PRESTAMO],FINANCIACION[[#This Row],[PRESTAMO]])</f>
        <v>-374513102.03181815</v>
      </c>
      <c r="G39" s="8"/>
      <c r="H39" s="8"/>
      <c r="I39" s="5">
        <f>IF(FINANCIACION[[#This Row],[$ CAPITAL]]&gt;0,FINANCIACION[[#This Row],[$ CAPITAL]])</f>
        <v>1334827</v>
      </c>
      <c r="J39" s="36">
        <f>IF(FINANCIACION[[#This Row],[$ CAPITAL]]&gt;=0,FINANCIACION[[#This Row],[$ CAPITAL]]+FINANCIACION[[#This Row],[$ INTERESES]],0)</f>
        <v>6082212</v>
      </c>
    </row>
    <row r="40" spans="1:10" ht="24" hidden="1" customHeight="1" x14ac:dyDescent="0.25">
      <c r="A40" s="7">
        <v>43612</v>
      </c>
      <c r="B40" s="53" t="s">
        <v>193</v>
      </c>
      <c r="C40" s="5">
        <v>1250000</v>
      </c>
      <c r="D40" s="5">
        <v>461769</v>
      </c>
      <c r="E40" s="169">
        <f>+IF(FINANCIACION[[#This Row],[$ CAPITAL]]&gt;=0,FINANCIACION[[#This Row],[$ CAPITAL]]+FINANCIACION[[#This Row],[$ INTERESES]],"")</f>
        <v>1711769</v>
      </c>
      <c r="F40" s="169">
        <f>+SUMIFS(FINANCIACION[$ CAPITAL],FINANCIACION[Fecha],"&lt;="&amp;FINANCIACION[[#This Row],[Fecha]],FINANCIACION[PRESTAMO],FINANCIACION[[#This Row],[PRESTAMO]])</f>
        <v>-28750000</v>
      </c>
      <c r="G40" s="8"/>
      <c r="H40" s="8"/>
      <c r="I40" s="5">
        <f>IF(FINANCIACION[[#This Row],[$ CAPITAL]]&gt;0,FINANCIACION[[#This Row],[$ CAPITAL]])</f>
        <v>1250000</v>
      </c>
      <c r="J40" s="36">
        <f>IF(FINANCIACION[[#This Row],[$ CAPITAL]]&gt;=0,FINANCIACION[[#This Row],[$ CAPITAL]]+FINANCIACION[[#This Row],[$ INTERESES]],0)</f>
        <v>1711769</v>
      </c>
    </row>
    <row r="41" spans="1:10" ht="24" hidden="1" customHeight="1" x14ac:dyDescent="0.25">
      <c r="A41" s="7">
        <v>43619</v>
      </c>
      <c r="B41" s="53" t="s">
        <v>194</v>
      </c>
      <c r="C41" s="5">
        <v>3472222</v>
      </c>
      <c r="D41" s="5">
        <v>1213047</v>
      </c>
      <c r="E41" s="169">
        <f>+IF(FINANCIACION[[#This Row],[$ CAPITAL]]&gt;=0,FINANCIACION[[#This Row],[$ CAPITAL]]+FINANCIACION[[#This Row],[$ INTERESES]],"")</f>
        <v>4685269</v>
      </c>
      <c r="F41" s="169">
        <f>+SUMIFS(FINANCIACION[$ CAPITAL],FINANCIACION[Fecha],"&lt;="&amp;FINANCIACION[[#This Row],[Fecha]],FINANCIACION[PRESTAMO],FINANCIACION[[#This Row],[PRESTAMO]])</f>
        <v>-107638890</v>
      </c>
      <c r="G41" s="8"/>
      <c r="H41" s="56"/>
      <c r="I41" s="5">
        <f>IF(FINANCIACION[[#This Row],[$ CAPITAL]]&gt;0,FINANCIACION[[#This Row],[$ CAPITAL]])</f>
        <v>3472222</v>
      </c>
      <c r="J41" s="9">
        <f>IF(FINANCIACION[[#This Row],[$ CAPITAL]]&gt;=0,FINANCIACION[[#This Row],[$ CAPITAL]]+FINANCIACION[[#This Row],[$ INTERESES]],0)</f>
        <v>4685269</v>
      </c>
    </row>
    <row r="42" spans="1:10" ht="24" hidden="1" customHeight="1" x14ac:dyDescent="0.25">
      <c r="A42" s="7">
        <v>43619</v>
      </c>
      <c r="B42" s="53" t="s">
        <v>197</v>
      </c>
      <c r="C42" s="5">
        <v>6250000</v>
      </c>
      <c r="D42" s="5">
        <v>925893.52</v>
      </c>
      <c r="E42" s="169">
        <f>+IF(FINANCIACION[[#This Row],[$ CAPITAL]]&gt;=0,FINANCIACION[[#This Row],[$ CAPITAL]]+FINANCIACION[[#This Row],[$ INTERESES]],"")</f>
        <v>7175893.5199999996</v>
      </c>
      <c r="F42" s="169">
        <f>+SUMIFS(FINANCIACION[$ CAPITAL],FINANCIACION[Fecha],"&lt;="&amp;FINANCIACION[[#This Row],[Fecha]],FINANCIACION[PRESTAMO],FINANCIACION[[#This Row],[PRESTAMO]])</f>
        <v>-95000000</v>
      </c>
      <c r="G42" s="8"/>
      <c r="H42" s="56"/>
      <c r="I42" s="5">
        <f>IF(FINANCIACION[[#This Row],[$ CAPITAL]]&gt;0,FINANCIACION[[#This Row],[$ CAPITAL]])</f>
        <v>6250000</v>
      </c>
      <c r="J42" s="9">
        <f>IF(FINANCIACION[[#This Row],[$ CAPITAL]]&gt;=0,FINANCIACION[[#This Row],[$ CAPITAL]]+FINANCIACION[[#This Row],[$ INTERESES]],0)</f>
        <v>7175893.5199999996</v>
      </c>
    </row>
    <row r="43" spans="1:10" ht="24" hidden="1" customHeight="1" x14ac:dyDescent="0.25">
      <c r="A43" s="7">
        <v>43620</v>
      </c>
      <c r="B43" s="53" t="s">
        <v>1218</v>
      </c>
      <c r="C43" s="5">
        <v>-2426470</v>
      </c>
      <c r="D43" s="5"/>
      <c r="E43" s="169" t="str">
        <f>+IF(FINANCIACION[[#This Row],[$ CAPITAL]]&gt;=0,FINANCIACION[[#This Row],[$ CAPITAL]]+FINANCIACION[[#This Row],[$ INTERESES]],"")</f>
        <v/>
      </c>
      <c r="F43" s="169">
        <f>+SUMIFS(FINANCIACION[$ CAPITAL],FINANCIACION[Fecha],"&lt;="&amp;FINANCIACION[[#This Row],[Fecha]],FINANCIACION[PRESTAMO],FINANCIACION[[#This Row],[PRESTAMO]])</f>
        <v>-2426470</v>
      </c>
      <c r="G43" s="56"/>
      <c r="H43" s="8"/>
      <c r="I43" s="5" t="b">
        <f>IF(FINANCIACION[[#This Row],[$ CAPITAL]]&gt;0,FINANCIACION[[#This Row],[$ CAPITAL]])</f>
        <v>0</v>
      </c>
      <c r="J43" s="36">
        <f>IF(FINANCIACION[[#This Row],[$ CAPITAL]]&gt;=0,FINANCIACION[[#This Row],[$ CAPITAL]]+FINANCIACION[[#This Row],[$ INTERESES]],0)</f>
        <v>0</v>
      </c>
    </row>
    <row r="44" spans="1:10" ht="24" hidden="1" customHeight="1" x14ac:dyDescent="0.25">
      <c r="A44" s="7">
        <v>43626</v>
      </c>
      <c r="B44" s="53" t="s">
        <v>1215</v>
      </c>
      <c r="C44" s="5"/>
      <c r="D44" s="5">
        <v>950000</v>
      </c>
      <c r="E44" s="169">
        <f>+IF(FINANCIACION[[#This Row],[$ CAPITAL]]&gt;=0,FINANCIACION[[#This Row],[$ CAPITAL]]+FINANCIACION[[#This Row],[$ INTERESES]],"")</f>
        <v>950000</v>
      </c>
      <c r="F44" s="169">
        <f>+SUMIFS(FINANCIACION[$ CAPITAL],FINANCIACION[Fecha],"&lt;="&amp;FINANCIACION[[#This Row],[Fecha]],FINANCIACION[PRESTAMO],FINANCIACION[[#This Row],[PRESTAMO]])</f>
        <v>-94935167</v>
      </c>
      <c r="G44" s="56"/>
      <c r="H44" s="8"/>
      <c r="I44" s="5" t="b">
        <f>IF(FINANCIACION[[#This Row],[$ CAPITAL]]&gt;0,FINANCIACION[[#This Row],[$ CAPITAL]])</f>
        <v>0</v>
      </c>
      <c r="J44" s="36">
        <f>IF(FINANCIACION[[#This Row],[$ CAPITAL]]&gt;=0,FINANCIACION[[#This Row],[$ CAPITAL]]+FINANCIACION[[#This Row],[$ INTERESES]],0)</f>
        <v>950000</v>
      </c>
    </row>
    <row r="45" spans="1:10" ht="24" hidden="1" customHeight="1" x14ac:dyDescent="0.25">
      <c r="A45" s="7">
        <v>43634</v>
      </c>
      <c r="B45" s="53" t="s">
        <v>197</v>
      </c>
      <c r="C45" s="5">
        <v>-55000000</v>
      </c>
      <c r="D45" s="5"/>
      <c r="E45" s="169" t="str">
        <f>+IF(FINANCIACION[[#This Row],[$ CAPITAL]]&gt;=0,FINANCIACION[[#This Row],[$ CAPITAL]]+FINANCIACION[[#This Row],[$ INTERESES]],"")</f>
        <v/>
      </c>
      <c r="F45" s="169">
        <f>+SUMIFS(FINANCIACION[$ CAPITAL],FINANCIACION[Fecha],"&lt;="&amp;FINANCIACION[[#This Row],[Fecha]],FINANCIACION[PRESTAMO],FINANCIACION[[#This Row],[PRESTAMO]])</f>
        <v>-150000000</v>
      </c>
      <c r="G45" s="56"/>
      <c r="H45" s="8"/>
      <c r="I45" s="5" t="b">
        <f>IF(FINANCIACION[[#This Row],[$ CAPITAL]]&gt;0,FINANCIACION[[#This Row],[$ CAPITAL]])</f>
        <v>0</v>
      </c>
      <c r="J45" s="36">
        <f>IF(FINANCIACION[[#This Row],[$ CAPITAL]]&gt;=0,FINANCIACION[[#This Row],[$ CAPITAL]]+FINANCIACION[[#This Row],[$ INTERESES]],0)</f>
        <v>0</v>
      </c>
    </row>
    <row r="46" spans="1:10" ht="24" hidden="1" customHeight="1" x14ac:dyDescent="0.25">
      <c r="A46" s="7">
        <v>43634</v>
      </c>
      <c r="B46" s="53" t="s">
        <v>1217</v>
      </c>
      <c r="C46" s="5">
        <v>1351215</v>
      </c>
      <c r="D46" s="5">
        <v>4730997</v>
      </c>
      <c r="E46" s="169">
        <f>+IF(FINANCIACION[[#This Row],[$ CAPITAL]]&gt;=0,FINANCIACION[[#This Row],[$ CAPITAL]]+FINANCIACION[[#This Row],[$ INTERESES]],"")</f>
        <v>6082212</v>
      </c>
      <c r="F46" s="169">
        <f>+SUMIFS(FINANCIACION[$ CAPITAL],FINANCIACION[Fecha],"&lt;="&amp;FINANCIACION[[#This Row],[Fecha]],FINANCIACION[PRESTAMO],FINANCIACION[[#This Row],[PRESTAMO]])</f>
        <v>-373161887.03181815</v>
      </c>
      <c r="G46" s="56"/>
      <c r="H46" s="8"/>
      <c r="I46" s="5">
        <f>IF(FINANCIACION[[#This Row],[$ CAPITAL]]&gt;0,FINANCIACION[[#This Row],[$ CAPITAL]])</f>
        <v>1351215</v>
      </c>
      <c r="J46" s="36">
        <f>IF(FINANCIACION[[#This Row],[$ CAPITAL]]&gt;=0,FINANCIACION[[#This Row],[$ CAPITAL]]+FINANCIACION[[#This Row],[$ INTERESES]],0)</f>
        <v>6082212</v>
      </c>
    </row>
    <row r="47" spans="1:10" ht="24" hidden="1" customHeight="1" x14ac:dyDescent="0.25">
      <c r="A47" s="7">
        <v>43636</v>
      </c>
      <c r="B47" s="53" t="s">
        <v>1216</v>
      </c>
      <c r="C47" s="5">
        <v>260000</v>
      </c>
      <c r="D47" s="5">
        <v>740000</v>
      </c>
      <c r="E47" s="169">
        <f>+IF(FINANCIACION[[#This Row],[$ CAPITAL]]&gt;=0,FINANCIACION[[#This Row],[$ CAPITAL]]+FINANCIACION[[#This Row],[$ INTERESES]],"")</f>
        <v>1000000</v>
      </c>
      <c r="F47" s="169">
        <f>+SUMIFS(FINANCIACION[$ CAPITAL],FINANCIACION[Fecha],"&lt;="&amp;FINANCIACION[[#This Row],[Fecha]],FINANCIACION[PRESTAMO],FINANCIACION[[#This Row],[PRESTAMO]])</f>
        <v>-60069154</v>
      </c>
      <c r="G47" s="56"/>
      <c r="H47" s="8"/>
      <c r="I47" s="5">
        <f>IF(FINANCIACION[[#This Row],[$ CAPITAL]]&gt;0,FINANCIACION[[#This Row],[$ CAPITAL]])</f>
        <v>260000</v>
      </c>
      <c r="J47" s="36">
        <f>IF(FINANCIACION[[#This Row],[$ CAPITAL]]&gt;=0,FINANCIACION[[#This Row],[$ CAPITAL]]+FINANCIACION[[#This Row],[$ INTERESES]],0)</f>
        <v>1000000</v>
      </c>
    </row>
    <row r="48" spans="1:10" ht="24" hidden="1" customHeight="1" x14ac:dyDescent="0.25">
      <c r="A48" s="7">
        <v>43640</v>
      </c>
      <c r="B48" s="53" t="s">
        <v>1218</v>
      </c>
      <c r="C48" s="5">
        <v>-1017880</v>
      </c>
      <c r="D48" s="5"/>
      <c r="E48" s="169" t="str">
        <f>+IF(FINANCIACION[[#This Row],[$ CAPITAL]]&gt;=0,FINANCIACION[[#This Row],[$ CAPITAL]]+FINANCIACION[[#This Row],[$ INTERESES]],"")</f>
        <v/>
      </c>
      <c r="F48" s="169">
        <f>+SUMIFS(FINANCIACION[$ CAPITAL],FINANCIACION[Fecha],"&lt;="&amp;FINANCIACION[[#This Row],[Fecha]],FINANCIACION[PRESTAMO],FINANCIACION[[#This Row],[PRESTAMO]])</f>
        <v>-3444350</v>
      </c>
      <c r="G48" s="56"/>
      <c r="H48" s="8"/>
      <c r="I48" s="5" t="b">
        <f>IF(FINANCIACION[[#This Row],[$ CAPITAL]]&gt;0,FINANCIACION[[#This Row],[$ CAPITAL]])</f>
        <v>0</v>
      </c>
      <c r="J48" s="36">
        <f>IF(FINANCIACION[[#This Row],[$ CAPITAL]]&gt;=0,FINANCIACION[[#This Row],[$ CAPITAL]]+FINANCIACION[[#This Row],[$ INTERESES]],0)</f>
        <v>0</v>
      </c>
    </row>
    <row r="49" spans="1:10" ht="24" hidden="1" customHeight="1" x14ac:dyDescent="0.25">
      <c r="A49" s="7">
        <v>43641</v>
      </c>
      <c r="B49" s="53" t="s">
        <v>193</v>
      </c>
      <c r="C49" s="5">
        <v>1250000</v>
      </c>
      <c r="D49" s="5">
        <v>353517</v>
      </c>
      <c r="E49" s="169">
        <f>+IF(FINANCIACION[[#This Row],[$ CAPITAL]]&gt;=0,FINANCIACION[[#This Row],[$ CAPITAL]]+FINANCIACION[[#This Row],[$ INTERESES]],"")</f>
        <v>1603517</v>
      </c>
      <c r="F49" s="169">
        <f>+SUMIFS(FINANCIACION[$ CAPITAL],FINANCIACION[Fecha],"&lt;="&amp;FINANCIACION[[#This Row],[Fecha]],FINANCIACION[PRESTAMO],FINANCIACION[[#This Row],[PRESTAMO]])</f>
        <v>-27500000</v>
      </c>
      <c r="G49" s="56"/>
      <c r="H49" s="8"/>
      <c r="I49" s="5">
        <f>IF(FINANCIACION[[#This Row],[$ CAPITAL]]&gt;0,FINANCIACION[[#This Row],[$ CAPITAL]])</f>
        <v>1250000</v>
      </c>
      <c r="J49" s="36">
        <f>IF(FINANCIACION[[#This Row],[$ CAPITAL]]&gt;=0,FINANCIACION[[#This Row],[$ CAPITAL]]+FINANCIACION[[#This Row],[$ INTERESES]],0)</f>
        <v>1603517</v>
      </c>
    </row>
    <row r="50" spans="1:10" ht="24" hidden="1" customHeight="1" x14ac:dyDescent="0.25">
      <c r="A50" s="7">
        <v>43642</v>
      </c>
      <c r="B50" s="53" t="s">
        <v>1219</v>
      </c>
      <c r="C50" s="5">
        <v>-28000000</v>
      </c>
      <c r="D50" s="5"/>
      <c r="E50" s="169" t="str">
        <f>+IF(FINANCIACION[[#This Row],[$ CAPITAL]]&gt;=0,FINANCIACION[[#This Row],[$ CAPITAL]]+FINANCIACION[[#This Row],[$ INTERESES]],"")</f>
        <v/>
      </c>
      <c r="F50" s="169">
        <f>+SUMIFS(FINANCIACION[$ CAPITAL],FINANCIACION[Fecha],"&lt;="&amp;FINANCIACION[[#This Row],[Fecha]],FINANCIACION[PRESTAMO],FINANCIACION[[#This Row],[PRESTAMO]])</f>
        <v>-28000000</v>
      </c>
      <c r="G50" s="56"/>
      <c r="H50" s="8"/>
      <c r="I50" s="5" t="b">
        <f>IF(FINANCIACION[[#This Row],[$ CAPITAL]]&gt;0,FINANCIACION[[#This Row],[$ CAPITAL]])</f>
        <v>0</v>
      </c>
      <c r="J50" s="36">
        <f>IF(FINANCIACION[[#This Row],[$ CAPITAL]]&gt;=0,FINANCIACION[[#This Row],[$ CAPITAL]]+FINANCIACION[[#This Row],[$ INTERESES]],0)</f>
        <v>0</v>
      </c>
    </row>
    <row r="51" spans="1:10" ht="24" hidden="1" customHeight="1" x14ac:dyDescent="0.25">
      <c r="A51" s="7">
        <v>43643</v>
      </c>
      <c r="B51" s="53" t="s">
        <v>1219</v>
      </c>
      <c r="C51" s="5">
        <v>-10000000</v>
      </c>
      <c r="D51" s="5"/>
      <c r="E51" s="169" t="str">
        <f>+IF(FINANCIACION[[#This Row],[$ CAPITAL]]&gt;=0,FINANCIACION[[#This Row],[$ CAPITAL]]+FINANCIACION[[#This Row],[$ INTERESES]],"")</f>
        <v/>
      </c>
      <c r="F51" s="169">
        <f>+SUMIFS(FINANCIACION[$ CAPITAL],FINANCIACION[Fecha],"&lt;="&amp;FINANCIACION[[#This Row],[Fecha]],FINANCIACION[PRESTAMO],FINANCIACION[[#This Row],[PRESTAMO]])</f>
        <v>-48000000</v>
      </c>
      <c r="G51" s="56"/>
      <c r="H51" s="8"/>
      <c r="I51" s="5" t="b">
        <f>IF(FINANCIACION[[#This Row],[$ CAPITAL]]&gt;0,FINANCIACION[[#This Row],[$ CAPITAL]])</f>
        <v>0</v>
      </c>
      <c r="J51" s="36">
        <f>IF(FINANCIACION[[#This Row],[$ CAPITAL]]&gt;=0,FINANCIACION[[#This Row],[$ CAPITAL]]+FINANCIACION[[#This Row],[$ INTERESES]],0)</f>
        <v>0</v>
      </c>
    </row>
    <row r="52" spans="1:10" ht="24" hidden="1" customHeight="1" x14ac:dyDescent="0.25">
      <c r="A52" s="7">
        <v>43643</v>
      </c>
      <c r="B52" s="53" t="s">
        <v>1219</v>
      </c>
      <c r="C52" s="5">
        <v>-5000000</v>
      </c>
      <c r="D52" s="5"/>
      <c r="E52" s="169" t="str">
        <f>+IF(FINANCIACION[[#This Row],[$ CAPITAL]]&gt;=0,FINANCIACION[[#This Row],[$ CAPITAL]]+FINANCIACION[[#This Row],[$ INTERESES]],"")</f>
        <v/>
      </c>
      <c r="F52" s="169">
        <f>+SUMIFS(FINANCIACION[$ CAPITAL],FINANCIACION[Fecha],"&lt;="&amp;FINANCIACION[[#This Row],[Fecha]],FINANCIACION[PRESTAMO],FINANCIACION[[#This Row],[PRESTAMO]])</f>
        <v>-48000000</v>
      </c>
      <c r="G52" s="56"/>
      <c r="H52" s="8"/>
      <c r="I52" s="5" t="b">
        <f>IF(FINANCIACION[[#This Row],[$ CAPITAL]]&gt;0,FINANCIACION[[#This Row],[$ CAPITAL]])</f>
        <v>0</v>
      </c>
      <c r="J52" s="36">
        <f>IF(FINANCIACION[[#This Row],[$ CAPITAL]]&gt;=0,FINANCIACION[[#This Row],[$ CAPITAL]]+FINANCIACION[[#This Row],[$ INTERESES]],0)</f>
        <v>0</v>
      </c>
    </row>
    <row r="53" spans="1:10" ht="24" hidden="1" customHeight="1" x14ac:dyDescent="0.25">
      <c r="A53" s="7">
        <v>43643</v>
      </c>
      <c r="B53" s="53" t="s">
        <v>1219</v>
      </c>
      <c r="C53" s="5">
        <v>-5000000</v>
      </c>
      <c r="D53" s="5"/>
      <c r="E53" s="169" t="str">
        <f>+IF(FINANCIACION[[#This Row],[$ CAPITAL]]&gt;=0,FINANCIACION[[#This Row],[$ CAPITAL]]+FINANCIACION[[#This Row],[$ INTERESES]],"")</f>
        <v/>
      </c>
      <c r="F53" s="169">
        <f>+SUMIFS(FINANCIACION[$ CAPITAL],FINANCIACION[Fecha],"&lt;="&amp;FINANCIACION[[#This Row],[Fecha]],FINANCIACION[PRESTAMO],FINANCIACION[[#This Row],[PRESTAMO]])</f>
        <v>-48000000</v>
      </c>
      <c r="G53" s="8"/>
      <c r="H53" s="8"/>
      <c r="I53" s="5" t="b">
        <f>IF(FINANCIACION[[#This Row],[$ CAPITAL]]&gt;0,FINANCIACION[[#This Row],[$ CAPITAL]])</f>
        <v>0</v>
      </c>
      <c r="J53" s="36">
        <f>IF(FINANCIACION[[#This Row],[$ CAPITAL]]&gt;=0,FINANCIACION[[#This Row],[$ CAPITAL]]+FINANCIACION[[#This Row],[$ INTERESES]],0)</f>
        <v>0</v>
      </c>
    </row>
    <row r="54" spans="1:10" ht="24" hidden="1" customHeight="1" x14ac:dyDescent="0.25">
      <c r="A54" s="7">
        <v>43649</v>
      </c>
      <c r="B54" s="53" t="s">
        <v>194</v>
      </c>
      <c r="C54" s="5">
        <v>3472222</v>
      </c>
      <c r="D54" s="5">
        <v>1171398</v>
      </c>
      <c r="E54" s="169">
        <f>+IF(FINANCIACION[[#This Row],[$ CAPITAL]]&gt;=0,FINANCIACION[[#This Row],[$ CAPITAL]]+FINANCIACION[[#This Row],[$ INTERESES]],"")</f>
        <v>4643620</v>
      </c>
      <c r="F54" s="169">
        <f>+SUMIFS(FINANCIACION[$ CAPITAL],FINANCIACION[Fecha],"&lt;="&amp;FINANCIACION[[#This Row],[Fecha]],FINANCIACION[PRESTAMO],FINANCIACION[[#This Row],[PRESTAMO]])</f>
        <v>-104166668</v>
      </c>
      <c r="G54" s="8"/>
      <c r="H54" s="8"/>
      <c r="I54" s="5">
        <f>IF(FINANCIACION[[#This Row],[$ CAPITAL]]&gt;0,FINANCIACION[[#This Row],[$ CAPITAL]])</f>
        <v>3472222</v>
      </c>
      <c r="J54" s="36">
        <f>IF(FINANCIACION[[#This Row],[$ CAPITAL]]&gt;=0,FINANCIACION[[#This Row],[$ CAPITAL]]+FINANCIACION[[#This Row],[$ INTERESES]],0)</f>
        <v>4643620</v>
      </c>
    </row>
    <row r="55" spans="1:10" ht="24" hidden="1" customHeight="1" x14ac:dyDescent="0.25">
      <c r="A55" s="7">
        <v>43650</v>
      </c>
      <c r="B55" s="53" t="s">
        <v>1219</v>
      </c>
      <c r="C55" s="5">
        <v>-3000000</v>
      </c>
      <c r="D55" s="5"/>
      <c r="E55" s="169" t="str">
        <f>+IF(FINANCIACION[[#This Row],[$ CAPITAL]]&gt;=0,FINANCIACION[[#This Row],[$ CAPITAL]]+FINANCIACION[[#This Row],[$ INTERESES]],"")</f>
        <v/>
      </c>
      <c r="F55" s="169">
        <f>+SUMIFS(FINANCIACION[$ CAPITAL],FINANCIACION[Fecha],"&lt;="&amp;FINANCIACION[[#This Row],[Fecha]],FINANCIACION[PRESTAMO],FINANCIACION[[#This Row],[PRESTAMO]])</f>
        <v>-51000000</v>
      </c>
      <c r="G55" s="8"/>
      <c r="H55" s="8"/>
      <c r="I55" s="5" t="b">
        <f>IF(FINANCIACION[[#This Row],[$ CAPITAL]]&gt;0,FINANCIACION[[#This Row],[$ CAPITAL]])</f>
        <v>0</v>
      </c>
      <c r="J55" s="36">
        <f>IF(FINANCIACION[[#This Row],[$ CAPITAL]]&gt;=0,FINANCIACION[[#This Row],[$ CAPITAL]]+FINANCIACION[[#This Row],[$ INTERESES]],0)</f>
        <v>0</v>
      </c>
    </row>
    <row r="56" spans="1:10" ht="24" hidden="1" customHeight="1" x14ac:dyDescent="0.25">
      <c r="A56" s="7">
        <v>43651</v>
      </c>
      <c r="B56" s="53" t="s">
        <v>1219</v>
      </c>
      <c r="C56" s="5">
        <v>-5000000</v>
      </c>
      <c r="D56" s="5"/>
      <c r="E56" s="169" t="str">
        <f>+IF(FINANCIACION[[#This Row],[$ CAPITAL]]&gt;=0,FINANCIACION[[#This Row],[$ CAPITAL]]+FINANCIACION[[#This Row],[$ INTERESES]],"")</f>
        <v/>
      </c>
      <c r="F56" s="169">
        <f>+SUMIFS(FINANCIACION[$ CAPITAL],FINANCIACION[Fecha],"&lt;="&amp;FINANCIACION[[#This Row],[Fecha]],FINANCIACION[PRESTAMO],FINANCIACION[[#This Row],[PRESTAMO]])</f>
        <v>-61000000</v>
      </c>
      <c r="G56" s="8"/>
      <c r="H56" s="8"/>
      <c r="I56" s="5" t="b">
        <f>IF(FINANCIACION[[#This Row],[$ CAPITAL]]&gt;0,FINANCIACION[[#This Row],[$ CAPITAL]])</f>
        <v>0</v>
      </c>
      <c r="J56" s="36">
        <f>IF(FINANCIACION[[#This Row],[$ CAPITAL]]&gt;=0,FINANCIACION[[#This Row],[$ CAPITAL]]+FINANCIACION[[#This Row],[$ INTERESES]],0)</f>
        <v>0</v>
      </c>
    </row>
    <row r="57" spans="1:10" ht="24" hidden="1" customHeight="1" x14ac:dyDescent="0.25">
      <c r="A57" s="7">
        <v>43651</v>
      </c>
      <c r="B57" s="53" t="s">
        <v>1219</v>
      </c>
      <c r="C57" s="5">
        <v>-5000000</v>
      </c>
      <c r="D57" s="5"/>
      <c r="E57" s="169" t="str">
        <f>+IF(FINANCIACION[[#This Row],[$ CAPITAL]]&gt;=0,FINANCIACION[[#This Row],[$ CAPITAL]]+FINANCIACION[[#This Row],[$ INTERESES]],"")</f>
        <v/>
      </c>
      <c r="F57" s="169">
        <f>+SUMIFS(FINANCIACION[$ CAPITAL],FINANCIACION[Fecha],"&lt;="&amp;FINANCIACION[[#This Row],[Fecha]],FINANCIACION[PRESTAMO],FINANCIACION[[#This Row],[PRESTAMO]])</f>
        <v>-61000000</v>
      </c>
      <c r="G57" s="8"/>
      <c r="H57" s="8"/>
      <c r="I57" s="5" t="b">
        <f>IF(FINANCIACION[[#This Row],[$ CAPITAL]]&gt;0,FINANCIACION[[#This Row],[$ CAPITAL]])</f>
        <v>0</v>
      </c>
      <c r="J57" s="36">
        <f>IF(FINANCIACION[[#This Row],[$ CAPITAL]]&gt;=0,FINANCIACION[[#This Row],[$ CAPITAL]]+FINANCIACION[[#This Row],[$ INTERESES]],0)</f>
        <v>0</v>
      </c>
    </row>
    <row r="58" spans="1:10" ht="24" hidden="1" customHeight="1" x14ac:dyDescent="0.25">
      <c r="A58" s="7">
        <v>43654</v>
      </c>
      <c r="B58" s="53" t="s">
        <v>1219</v>
      </c>
      <c r="C58" s="5">
        <v>-5000000</v>
      </c>
      <c r="D58" s="5"/>
      <c r="E58" s="169" t="str">
        <f>+IF(FINANCIACION[[#This Row],[$ CAPITAL]]&gt;=0,FINANCIACION[[#This Row],[$ CAPITAL]]+FINANCIACION[[#This Row],[$ INTERESES]],"")</f>
        <v/>
      </c>
      <c r="F58" s="169">
        <f>+SUMIFS(FINANCIACION[$ CAPITAL],FINANCIACION[Fecha],"&lt;="&amp;FINANCIACION[[#This Row],[Fecha]],FINANCIACION[PRESTAMO],FINANCIACION[[#This Row],[PRESTAMO]])</f>
        <v>-66000000</v>
      </c>
      <c r="G58" s="8"/>
      <c r="H58" s="8"/>
      <c r="I58" s="5" t="b">
        <f>IF(FINANCIACION[[#This Row],[$ CAPITAL]]&gt;0,FINANCIACION[[#This Row],[$ CAPITAL]])</f>
        <v>0</v>
      </c>
      <c r="J58" s="36">
        <f>IF(FINANCIACION[[#This Row],[$ CAPITAL]]&gt;=0,FINANCIACION[[#This Row],[$ CAPITAL]]+FINANCIACION[[#This Row],[$ INTERESES]],0)</f>
        <v>0</v>
      </c>
    </row>
    <row r="59" spans="1:10" ht="24" hidden="1" customHeight="1" x14ac:dyDescent="0.25">
      <c r="A59" s="7">
        <v>43656</v>
      </c>
      <c r="B59" s="53" t="s">
        <v>1215</v>
      </c>
      <c r="C59" s="5"/>
      <c r="D59" s="5">
        <v>950000</v>
      </c>
      <c r="E59" s="169">
        <f>+IF(FINANCIACION[[#This Row],[$ CAPITAL]]&gt;=0,FINANCIACION[[#This Row],[$ CAPITAL]]+FINANCIACION[[#This Row],[$ INTERESES]],"")</f>
        <v>950000</v>
      </c>
      <c r="F59" s="169">
        <f>+SUMIFS(FINANCIACION[$ CAPITAL],FINANCIACION[Fecha],"&lt;="&amp;FINANCIACION[[#This Row],[Fecha]],FINANCIACION[PRESTAMO],FINANCIACION[[#This Row],[PRESTAMO]])</f>
        <v>-94935167</v>
      </c>
      <c r="G59" s="8"/>
      <c r="H59" s="8"/>
      <c r="I59" s="5" t="b">
        <f>IF(FINANCIACION[[#This Row],[$ CAPITAL]]&gt;0,FINANCIACION[[#This Row],[$ CAPITAL]])</f>
        <v>0</v>
      </c>
      <c r="J59" s="36">
        <f>IF(FINANCIACION[[#This Row],[$ CAPITAL]]&gt;=0,FINANCIACION[[#This Row],[$ CAPITAL]]+FINANCIACION[[#This Row],[$ INTERESES]],0)</f>
        <v>950000</v>
      </c>
    </row>
    <row r="60" spans="1:10" ht="24" hidden="1" customHeight="1" x14ac:dyDescent="0.25">
      <c r="A60" s="7">
        <v>43664</v>
      </c>
      <c r="B60" s="53" t="s">
        <v>197</v>
      </c>
      <c r="C60" s="5">
        <v>6250000</v>
      </c>
      <c r="D60" s="5">
        <v>1351023.03</v>
      </c>
      <c r="E60" s="169">
        <f>+IF(FINANCIACION[[#This Row],[$ CAPITAL]]&gt;=0,FINANCIACION[[#This Row],[$ CAPITAL]]+FINANCIACION[[#This Row],[$ INTERESES]],"")</f>
        <v>7601023.0300000003</v>
      </c>
      <c r="F60" s="169">
        <f>+SUMIFS(FINANCIACION[$ CAPITAL],FINANCIACION[Fecha],"&lt;="&amp;FINANCIACION[[#This Row],[Fecha]],FINANCIACION[PRESTAMO],FINANCIACION[[#This Row],[PRESTAMO]])</f>
        <v>-143750000</v>
      </c>
      <c r="G60" s="8"/>
      <c r="H60" s="8"/>
      <c r="I60" s="5">
        <f>IF(FINANCIACION[[#This Row],[$ CAPITAL]]&gt;0,FINANCIACION[[#This Row],[$ CAPITAL]])</f>
        <v>6250000</v>
      </c>
      <c r="J60" s="36">
        <f>IF(FINANCIACION[[#This Row],[$ CAPITAL]]&gt;=0,FINANCIACION[[#This Row],[$ CAPITAL]]+FINANCIACION[[#This Row],[$ INTERESES]],0)</f>
        <v>7601023.0300000003</v>
      </c>
    </row>
    <row r="61" spans="1:10" ht="24" hidden="1" customHeight="1" x14ac:dyDescent="0.25">
      <c r="A61" s="7">
        <v>43664</v>
      </c>
      <c r="B61" s="53" t="s">
        <v>1217</v>
      </c>
      <c r="C61" s="5">
        <v>1367805</v>
      </c>
      <c r="D61" s="5">
        <v>4714407</v>
      </c>
      <c r="E61" s="169">
        <f>+IF(FINANCIACION[[#This Row],[$ CAPITAL]]&gt;=0,FINANCIACION[[#This Row],[$ CAPITAL]]+FINANCIACION[[#This Row],[$ INTERESES]],"")</f>
        <v>6082212</v>
      </c>
      <c r="F61" s="169">
        <f>+SUMIFS(FINANCIACION[$ CAPITAL],FINANCIACION[Fecha],"&lt;="&amp;FINANCIACION[[#This Row],[Fecha]],FINANCIACION[PRESTAMO],FINANCIACION[[#This Row],[PRESTAMO]])</f>
        <v>-371794082.03181815</v>
      </c>
      <c r="G61" s="8"/>
      <c r="H61" s="8"/>
      <c r="I61" s="5">
        <f>IF(FINANCIACION[[#This Row],[$ CAPITAL]]&gt;0,FINANCIACION[[#This Row],[$ CAPITAL]])</f>
        <v>1367805</v>
      </c>
      <c r="J61" s="36">
        <f>IF(FINANCIACION[[#This Row],[$ CAPITAL]]&gt;=0,FINANCIACION[[#This Row],[$ CAPITAL]]+FINANCIACION[[#This Row],[$ INTERESES]],0)</f>
        <v>6082212</v>
      </c>
    </row>
    <row r="62" spans="1:10" ht="24" hidden="1" customHeight="1" x14ac:dyDescent="0.25">
      <c r="A62" s="7">
        <v>43666</v>
      </c>
      <c r="B62" s="53" t="s">
        <v>1216</v>
      </c>
      <c r="C62" s="5">
        <v>260000</v>
      </c>
      <c r="D62" s="5">
        <v>740000</v>
      </c>
      <c r="E62" s="169">
        <f>+IF(FINANCIACION[[#This Row],[$ CAPITAL]]&gt;=0,FINANCIACION[[#This Row],[$ CAPITAL]]+FINANCIACION[[#This Row],[$ INTERESES]],"")</f>
        <v>1000000</v>
      </c>
      <c r="F62" s="169">
        <f>+SUMIFS(FINANCIACION[$ CAPITAL],FINANCIACION[Fecha],"&lt;="&amp;FINANCIACION[[#This Row],[Fecha]],FINANCIACION[PRESTAMO],FINANCIACION[[#This Row],[PRESTAMO]])</f>
        <v>-59809154</v>
      </c>
      <c r="G62" s="8"/>
      <c r="H62" s="8"/>
      <c r="I62" s="5">
        <f>IF(FINANCIACION[[#This Row],[$ CAPITAL]]&gt;0,FINANCIACION[[#This Row],[$ CAPITAL]])</f>
        <v>260000</v>
      </c>
      <c r="J62" s="36">
        <f>IF(FINANCIACION[[#This Row],[$ CAPITAL]]&gt;=0,FINANCIACION[[#This Row],[$ CAPITAL]]+FINANCIACION[[#This Row],[$ INTERESES]],0)</f>
        <v>1000000</v>
      </c>
    </row>
    <row r="63" spans="1:10" ht="24" hidden="1" customHeight="1" x14ac:dyDescent="0.25">
      <c r="A63" s="7">
        <v>43671</v>
      </c>
      <c r="B63" s="53" t="s">
        <v>193</v>
      </c>
      <c r="C63" s="5">
        <v>1250000</v>
      </c>
      <c r="D63" s="5">
        <v>335262</v>
      </c>
      <c r="E63" s="169">
        <f>+IF(FINANCIACION[[#This Row],[$ CAPITAL]]&gt;=0,FINANCIACION[[#This Row],[$ CAPITAL]]+FINANCIACION[[#This Row],[$ INTERESES]],"")</f>
        <v>1585262</v>
      </c>
      <c r="F63" s="169">
        <f>+SUMIFS(FINANCIACION[$ CAPITAL],FINANCIACION[Fecha],"&lt;="&amp;FINANCIACION[[#This Row],[Fecha]],FINANCIACION[PRESTAMO],FINANCIACION[[#This Row],[PRESTAMO]])</f>
        <v>-26250000</v>
      </c>
      <c r="G63" s="8"/>
      <c r="H63" s="8"/>
      <c r="I63" s="5">
        <f>IF(FINANCIACION[[#This Row],[$ CAPITAL]]&gt;0,FINANCIACION[[#This Row],[$ CAPITAL]])</f>
        <v>1250000</v>
      </c>
      <c r="J63" s="36">
        <f>IF(FINANCIACION[[#This Row],[$ CAPITAL]]&gt;=0,FINANCIACION[[#This Row],[$ CAPITAL]]+FINANCIACION[[#This Row],[$ INTERESES]],0)</f>
        <v>1585262</v>
      </c>
    </row>
    <row r="64" spans="1:10" ht="24" hidden="1" customHeight="1" x14ac:dyDescent="0.25">
      <c r="A64" s="7">
        <v>43672</v>
      </c>
      <c r="B64" s="53" t="s">
        <v>1218</v>
      </c>
      <c r="C64" s="5">
        <v>-1150527.75</v>
      </c>
      <c r="D64" s="5"/>
      <c r="E64" s="169" t="str">
        <f>+IF(FINANCIACION[[#This Row],[$ CAPITAL]]&gt;=0,FINANCIACION[[#This Row],[$ CAPITAL]]+FINANCIACION[[#This Row],[$ INTERESES]],"")</f>
        <v/>
      </c>
      <c r="F64" s="169">
        <f>+SUMIFS(FINANCIACION[$ CAPITAL],FINANCIACION[Fecha],"&lt;="&amp;FINANCIACION[[#This Row],[Fecha]],FINANCIACION[PRESTAMO],FINANCIACION[[#This Row],[PRESTAMO]])</f>
        <v>-4594877.75</v>
      </c>
      <c r="G64" s="8"/>
      <c r="H64" s="8"/>
      <c r="I64" s="5" t="b">
        <f>IF(FINANCIACION[[#This Row],[$ CAPITAL]]&gt;0,FINANCIACION[[#This Row],[$ CAPITAL]])</f>
        <v>0</v>
      </c>
      <c r="J64" s="36">
        <f>IF(FINANCIACION[[#This Row],[$ CAPITAL]]&gt;=0,FINANCIACION[[#This Row],[$ CAPITAL]]+FINANCIACION[[#This Row],[$ INTERESES]],0)</f>
        <v>0</v>
      </c>
    </row>
    <row r="65" spans="1:10" ht="24" hidden="1" customHeight="1" x14ac:dyDescent="0.25">
      <c r="A65" s="7">
        <v>43677</v>
      </c>
      <c r="B65" s="53" t="s">
        <v>1219</v>
      </c>
      <c r="C65" s="5">
        <v>-8000000</v>
      </c>
      <c r="D65" s="5"/>
      <c r="E65" s="169" t="str">
        <f>+IF(FINANCIACION[[#This Row],[$ CAPITAL]]&gt;=0,FINANCIACION[[#This Row],[$ CAPITAL]]+FINANCIACION[[#This Row],[$ INTERESES]],"")</f>
        <v/>
      </c>
      <c r="F65" s="169">
        <f>+SUMIFS(FINANCIACION[$ CAPITAL],FINANCIACION[Fecha],"&lt;="&amp;FINANCIACION[[#This Row],[Fecha]],FINANCIACION[PRESTAMO],FINANCIACION[[#This Row],[PRESTAMO]])</f>
        <v>-74000000</v>
      </c>
      <c r="G65" s="8"/>
      <c r="H65" s="8"/>
      <c r="I65" s="5" t="b">
        <f>IF(FINANCIACION[[#This Row],[$ CAPITAL]]&gt;0,FINANCIACION[[#This Row],[$ CAPITAL]])</f>
        <v>0</v>
      </c>
      <c r="J65" s="36">
        <f>IF(FINANCIACION[[#This Row],[$ CAPITAL]]&gt;=0,FINANCIACION[[#This Row],[$ CAPITAL]]+FINANCIACION[[#This Row],[$ INTERESES]],0)</f>
        <v>0</v>
      </c>
    </row>
    <row r="66" spans="1:10" ht="24" hidden="1" customHeight="1" x14ac:dyDescent="0.25">
      <c r="A66" s="7">
        <v>43680</v>
      </c>
      <c r="B66" s="53" t="s">
        <v>194</v>
      </c>
      <c r="C66" s="5">
        <v>3472222</v>
      </c>
      <c r="D66" s="5">
        <v>1136328</v>
      </c>
      <c r="E66" s="169">
        <f>+IF(FINANCIACION[[#This Row],[$ CAPITAL]]&gt;=0,FINANCIACION[[#This Row],[$ CAPITAL]]+FINANCIACION[[#This Row],[$ INTERESES]],"")</f>
        <v>4608550</v>
      </c>
      <c r="F66" s="169">
        <f>+SUMIFS(FINANCIACION[$ CAPITAL],FINANCIACION[Fecha],"&lt;="&amp;FINANCIACION[[#This Row],[Fecha]],FINANCIACION[PRESTAMO],FINANCIACION[[#This Row],[PRESTAMO]])</f>
        <v>-100694446</v>
      </c>
      <c r="G66" s="8"/>
      <c r="H66" s="8"/>
      <c r="I66" s="5">
        <f>IF(FINANCIACION[[#This Row],[$ CAPITAL]]&gt;0,FINANCIACION[[#This Row],[$ CAPITAL]])</f>
        <v>3472222</v>
      </c>
      <c r="J66" s="36">
        <f>IF(FINANCIACION[[#This Row],[$ CAPITAL]]&gt;=0,FINANCIACION[[#This Row],[$ CAPITAL]]+FINANCIACION[[#This Row],[$ INTERESES]],0)</f>
        <v>4608550</v>
      </c>
    </row>
    <row r="67" spans="1:10" ht="24" hidden="1" customHeight="1" x14ac:dyDescent="0.25">
      <c r="A67" s="7">
        <v>43682</v>
      </c>
      <c r="B67" s="53" t="s">
        <v>1218</v>
      </c>
      <c r="C67" s="5">
        <v>-187636</v>
      </c>
      <c r="D67" s="5"/>
      <c r="E67" s="169" t="str">
        <f>+IF(FINANCIACION[[#This Row],[$ CAPITAL]]&gt;=0,FINANCIACION[[#This Row],[$ CAPITAL]]+FINANCIACION[[#This Row],[$ INTERESES]],"")</f>
        <v/>
      </c>
      <c r="F67" s="169">
        <f>+SUMIFS(FINANCIACION[$ CAPITAL],FINANCIACION[Fecha],"&lt;="&amp;FINANCIACION[[#This Row],[Fecha]],FINANCIACION[PRESTAMO],FINANCIACION[[#This Row],[PRESTAMO]])</f>
        <v>-4782513.75</v>
      </c>
      <c r="G67" s="8"/>
      <c r="H67" s="8"/>
      <c r="I67" s="5" t="b">
        <f>IF(FINANCIACION[[#This Row],[$ CAPITAL]]&gt;0,FINANCIACION[[#This Row],[$ CAPITAL]])</f>
        <v>0</v>
      </c>
      <c r="J67" s="36">
        <f>IF(FINANCIACION[[#This Row],[$ CAPITAL]]&gt;=0,FINANCIACION[[#This Row],[$ CAPITAL]]+FINANCIACION[[#This Row],[$ INTERESES]],0)</f>
        <v>0</v>
      </c>
    </row>
    <row r="68" spans="1:10" ht="24" hidden="1" customHeight="1" x14ac:dyDescent="0.25">
      <c r="A68" s="7">
        <v>43687</v>
      </c>
      <c r="B68" s="53" t="s">
        <v>1215</v>
      </c>
      <c r="C68" s="5"/>
      <c r="D68" s="5">
        <v>950000</v>
      </c>
      <c r="E68" s="169">
        <f>+IF(FINANCIACION[[#This Row],[$ CAPITAL]]&gt;=0,FINANCIACION[[#This Row],[$ CAPITAL]]+FINANCIACION[[#This Row],[$ INTERESES]],"")</f>
        <v>950000</v>
      </c>
      <c r="F68" s="169">
        <f>+SUMIFS(FINANCIACION[$ CAPITAL],FINANCIACION[Fecha],"&lt;="&amp;FINANCIACION[[#This Row],[Fecha]],FINANCIACION[PRESTAMO],FINANCIACION[[#This Row],[PRESTAMO]])</f>
        <v>-94935167</v>
      </c>
      <c r="G68" s="8"/>
      <c r="H68" s="8"/>
      <c r="I68" s="5" t="b">
        <f>IF(FINANCIACION[[#This Row],[$ CAPITAL]]&gt;0,FINANCIACION[[#This Row],[$ CAPITAL]])</f>
        <v>0</v>
      </c>
      <c r="J68" s="36">
        <f>IF(FINANCIACION[[#This Row],[$ CAPITAL]]&gt;=0,FINANCIACION[[#This Row],[$ CAPITAL]]+FINANCIACION[[#This Row],[$ INTERESES]],0)</f>
        <v>950000</v>
      </c>
    </row>
    <row r="69" spans="1:10" ht="24" hidden="1" customHeight="1" x14ac:dyDescent="0.25">
      <c r="A69" s="7">
        <v>43697</v>
      </c>
      <c r="B69" s="53" t="s">
        <v>1216</v>
      </c>
      <c r="C69" s="5">
        <v>260000</v>
      </c>
      <c r="D69" s="5">
        <v>740000</v>
      </c>
      <c r="E69" s="169">
        <f>+IF(FINANCIACION[[#This Row],[$ CAPITAL]]&gt;=0,FINANCIACION[[#This Row],[$ CAPITAL]]+FINANCIACION[[#This Row],[$ INTERESES]],"")</f>
        <v>1000000</v>
      </c>
      <c r="F69" s="169">
        <f>+SUMIFS(FINANCIACION[$ CAPITAL],FINANCIACION[Fecha],"&lt;="&amp;FINANCIACION[[#This Row],[Fecha]],FINANCIACION[PRESTAMO],FINANCIACION[[#This Row],[PRESTAMO]])</f>
        <v>-59549154</v>
      </c>
      <c r="G69" s="8"/>
      <c r="H69" s="8"/>
      <c r="I69" s="5">
        <f>IF(FINANCIACION[[#This Row],[$ CAPITAL]]&gt;0,FINANCIACION[[#This Row],[$ CAPITAL]])</f>
        <v>260000</v>
      </c>
      <c r="J69" s="36">
        <f>IF(FINANCIACION[[#This Row],[$ CAPITAL]]&gt;=0,FINANCIACION[[#This Row],[$ CAPITAL]]+FINANCIACION[[#This Row],[$ INTERESES]],0)</f>
        <v>1000000</v>
      </c>
    </row>
    <row r="70" spans="1:10" ht="24" hidden="1" customHeight="1" x14ac:dyDescent="0.25">
      <c r="A70" s="7">
        <v>43697</v>
      </c>
      <c r="B70" s="53" t="s">
        <v>197</v>
      </c>
      <c r="C70" s="5">
        <v>6250000</v>
      </c>
      <c r="D70" s="5">
        <v>1284958.1299999999</v>
      </c>
      <c r="E70" s="169">
        <f>+IF(FINANCIACION[[#This Row],[$ CAPITAL]]&gt;=0,FINANCIACION[[#This Row],[$ CAPITAL]]+FINANCIACION[[#This Row],[$ INTERESES]],"")</f>
        <v>7534958.1299999999</v>
      </c>
      <c r="F70" s="169">
        <f>+SUMIFS(FINANCIACION[$ CAPITAL],FINANCIACION[Fecha],"&lt;="&amp;FINANCIACION[[#This Row],[Fecha]],FINANCIACION[PRESTAMO],FINANCIACION[[#This Row],[PRESTAMO]])</f>
        <v>-137500000</v>
      </c>
      <c r="G70" s="8"/>
      <c r="H70" s="8"/>
      <c r="I70" s="5">
        <f>IF(FINANCIACION[[#This Row],[$ CAPITAL]]&gt;0,FINANCIACION[[#This Row],[$ CAPITAL]])</f>
        <v>6250000</v>
      </c>
      <c r="J70" s="36">
        <f>IF(FINANCIACION[[#This Row],[$ CAPITAL]]&gt;=0,FINANCIACION[[#This Row],[$ CAPITAL]]+FINANCIACION[[#This Row],[$ INTERESES]],0)</f>
        <v>7534958.1299999999</v>
      </c>
    </row>
    <row r="71" spans="1:10" ht="24" hidden="1" customHeight="1" x14ac:dyDescent="0.25">
      <c r="A71" s="7">
        <v>43697</v>
      </c>
      <c r="B71" s="53" t="s">
        <v>1217</v>
      </c>
      <c r="C71" s="5">
        <v>1392137</v>
      </c>
      <c r="D71" s="5">
        <v>4667683</v>
      </c>
      <c r="E71" s="169">
        <f>+IF(FINANCIACION[[#This Row],[$ CAPITAL]]&gt;=0,FINANCIACION[[#This Row],[$ CAPITAL]]+FINANCIACION[[#This Row],[$ INTERESES]],"")</f>
        <v>6059820</v>
      </c>
      <c r="F71" s="169">
        <f>+SUMIFS(FINANCIACION[$ CAPITAL],FINANCIACION[Fecha],"&lt;="&amp;FINANCIACION[[#This Row],[Fecha]],FINANCIACION[PRESTAMO],FINANCIACION[[#This Row],[PRESTAMO]])</f>
        <v>-370401945.03181815</v>
      </c>
      <c r="G71" s="8"/>
      <c r="H71" s="8"/>
      <c r="I71" s="5">
        <f>IF(FINANCIACION[[#This Row],[$ CAPITAL]]&gt;0,FINANCIACION[[#This Row],[$ CAPITAL]])</f>
        <v>1392137</v>
      </c>
      <c r="J71" s="36">
        <f>IF(FINANCIACION[[#This Row],[$ CAPITAL]]&gt;=0,FINANCIACION[[#This Row],[$ CAPITAL]]+FINANCIACION[[#This Row],[$ INTERESES]],0)</f>
        <v>6059820</v>
      </c>
    </row>
    <row r="72" spans="1:10" ht="24" hidden="1" customHeight="1" x14ac:dyDescent="0.25">
      <c r="A72" s="7">
        <v>43703</v>
      </c>
      <c r="B72" s="53" t="s">
        <v>193</v>
      </c>
      <c r="C72" s="5">
        <v>1250000</v>
      </c>
      <c r="D72" s="5">
        <v>320711</v>
      </c>
      <c r="E72" s="169">
        <f>+IF(FINANCIACION[[#This Row],[$ CAPITAL]]&gt;=0,FINANCIACION[[#This Row],[$ CAPITAL]]+FINANCIACION[[#This Row],[$ INTERESES]],"")</f>
        <v>1570711</v>
      </c>
      <c r="F72" s="169">
        <f>+SUMIFS(FINANCIACION[$ CAPITAL],FINANCIACION[Fecha],"&lt;="&amp;FINANCIACION[[#This Row],[Fecha]],FINANCIACION[PRESTAMO],FINANCIACION[[#This Row],[PRESTAMO]])</f>
        <v>-25000000</v>
      </c>
      <c r="G72" s="8"/>
      <c r="H72" s="8"/>
      <c r="I72" s="5">
        <f>IF(FINANCIACION[[#This Row],[$ CAPITAL]]&gt;0,FINANCIACION[[#This Row],[$ CAPITAL]])</f>
        <v>1250000</v>
      </c>
      <c r="J72" s="36">
        <f>IF(FINANCIACION[[#This Row],[$ CAPITAL]]&gt;=0,FINANCIACION[[#This Row],[$ CAPITAL]]+FINANCIACION[[#This Row],[$ INTERESES]],0)</f>
        <v>1570711</v>
      </c>
    </row>
    <row r="73" spans="1:10" ht="24" hidden="1" customHeight="1" x14ac:dyDescent="0.25">
      <c r="A73" s="7">
        <v>43703</v>
      </c>
      <c r="B73" s="53" t="s">
        <v>1218</v>
      </c>
      <c r="C73" s="5">
        <v>-3381228.82</v>
      </c>
      <c r="D73" s="5"/>
      <c r="E73" s="169" t="str">
        <f>+IF(FINANCIACION[[#This Row],[$ CAPITAL]]&gt;=0,FINANCIACION[[#This Row],[$ CAPITAL]]+FINANCIACION[[#This Row],[$ INTERESES]],"")</f>
        <v/>
      </c>
      <c r="F73" s="169">
        <f>+SUMIFS(FINANCIACION[$ CAPITAL],FINANCIACION[Fecha],"&lt;="&amp;FINANCIACION[[#This Row],[Fecha]],FINANCIACION[PRESTAMO],FINANCIACION[[#This Row],[PRESTAMO]])</f>
        <v>-8163742.5700000003</v>
      </c>
      <c r="G73" s="8"/>
      <c r="H73" s="8"/>
      <c r="I73" s="5" t="b">
        <f>IF(FINANCIACION[[#This Row],[$ CAPITAL]]&gt;0,FINANCIACION[[#This Row],[$ CAPITAL]])</f>
        <v>0</v>
      </c>
      <c r="J73" s="36">
        <f>IF(FINANCIACION[[#This Row],[$ CAPITAL]]&gt;=0,FINANCIACION[[#This Row],[$ CAPITAL]]+FINANCIACION[[#This Row],[$ INTERESES]],0)</f>
        <v>0</v>
      </c>
    </row>
    <row r="74" spans="1:10" ht="24" hidden="1" customHeight="1" x14ac:dyDescent="0.25">
      <c r="A74" s="7">
        <v>43705</v>
      </c>
      <c r="B74" s="53" t="s">
        <v>1219</v>
      </c>
      <c r="C74" s="5"/>
      <c r="D74" s="5">
        <v>740000</v>
      </c>
      <c r="E74" s="169">
        <f>+IF(FINANCIACION[[#This Row],[$ CAPITAL]]&gt;=0,FINANCIACION[[#This Row],[$ CAPITAL]]+FINANCIACION[[#This Row],[$ INTERESES]],"")</f>
        <v>740000</v>
      </c>
      <c r="F74" s="169">
        <f>+SUMIFS(FINANCIACION[$ CAPITAL],FINANCIACION[Fecha],"&lt;="&amp;FINANCIACION[[#This Row],[Fecha]],FINANCIACION[PRESTAMO],FINANCIACION[[#This Row],[PRESTAMO]])</f>
        <v>-74000000</v>
      </c>
      <c r="G74" s="8"/>
      <c r="H74" s="8"/>
      <c r="I74" s="5" t="b">
        <f>IF(FINANCIACION[[#This Row],[$ CAPITAL]]&gt;0,FINANCIACION[[#This Row],[$ CAPITAL]])</f>
        <v>0</v>
      </c>
      <c r="J74" s="36">
        <f>IF(FINANCIACION[[#This Row],[$ CAPITAL]]&gt;=0,FINANCIACION[[#This Row],[$ CAPITAL]]+FINANCIACION[[#This Row],[$ INTERESES]],0)</f>
        <v>740000</v>
      </c>
    </row>
    <row r="75" spans="1:10" ht="24" hidden="1" customHeight="1" x14ac:dyDescent="0.25">
      <c r="A75" s="7">
        <v>43707</v>
      </c>
      <c r="B75" s="53" t="s">
        <v>1218</v>
      </c>
      <c r="C75" s="5">
        <v>-1123154</v>
      </c>
      <c r="D75" s="5"/>
      <c r="E75" s="169" t="str">
        <f>+IF(FINANCIACION[[#This Row],[$ CAPITAL]]&gt;=0,FINANCIACION[[#This Row],[$ CAPITAL]]+FINANCIACION[[#This Row],[$ INTERESES]],"")</f>
        <v/>
      </c>
      <c r="F75" s="169">
        <f>+SUMIFS(FINANCIACION[$ CAPITAL],FINANCIACION[Fecha],"&lt;="&amp;FINANCIACION[[#This Row],[Fecha]],FINANCIACION[PRESTAMO],FINANCIACION[[#This Row],[PRESTAMO]])</f>
        <v>-9286896.5700000003</v>
      </c>
      <c r="G75" s="8"/>
      <c r="H75" s="8"/>
      <c r="I75" s="5" t="b">
        <f>IF(FINANCIACION[[#This Row],[$ CAPITAL]]&gt;0,FINANCIACION[[#This Row],[$ CAPITAL]])</f>
        <v>0</v>
      </c>
      <c r="J75" s="36">
        <f>IF(FINANCIACION[[#This Row],[$ CAPITAL]]&gt;=0,FINANCIACION[[#This Row],[$ CAPITAL]]+FINANCIACION[[#This Row],[$ INTERESES]],0)</f>
        <v>0</v>
      </c>
    </row>
    <row r="76" spans="1:10" ht="24" hidden="1" customHeight="1" x14ac:dyDescent="0.25">
      <c r="A76" s="7">
        <v>43710</v>
      </c>
      <c r="B76" s="53" t="s">
        <v>1218</v>
      </c>
      <c r="C76" s="5">
        <v>2500000</v>
      </c>
      <c r="D76" s="5"/>
      <c r="E76" s="169">
        <f>+IF(FINANCIACION[[#This Row],[$ CAPITAL]]&gt;=0,FINANCIACION[[#This Row],[$ CAPITAL]]+FINANCIACION[[#This Row],[$ INTERESES]],"")</f>
        <v>2500000</v>
      </c>
      <c r="F76" s="169">
        <f>+SUMIFS(FINANCIACION[$ CAPITAL],FINANCIACION[Fecha],"&lt;="&amp;FINANCIACION[[#This Row],[Fecha]],FINANCIACION[PRESTAMO],FINANCIACION[[#This Row],[PRESTAMO]])</f>
        <v>213103.4299999997</v>
      </c>
      <c r="G76" s="8"/>
      <c r="H76" s="8"/>
      <c r="I76" s="5">
        <f>IF(FINANCIACION[[#This Row],[$ CAPITAL]]&gt;0,FINANCIACION[[#This Row],[$ CAPITAL]])</f>
        <v>2500000</v>
      </c>
      <c r="J76" s="36">
        <f>IF(FINANCIACION[[#This Row],[$ CAPITAL]]&gt;=0,FINANCIACION[[#This Row],[$ CAPITAL]]+FINANCIACION[[#This Row],[$ INTERESES]],0)</f>
        <v>2500000</v>
      </c>
    </row>
    <row r="77" spans="1:10" ht="24" hidden="1" customHeight="1" x14ac:dyDescent="0.25">
      <c r="A77" s="7">
        <v>43710</v>
      </c>
      <c r="B77" s="53" t="s">
        <v>1218</v>
      </c>
      <c r="C77" s="5">
        <v>7000000</v>
      </c>
      <c r="D77" s="5"/>
      <c r="E77" s="169">
        <f>+IF(FINANCIACION[[#This Row],[$ CAPITAL]]&gt;=0,FINANCIACION[[#This Row],[$ CAPITAL]]+FINANCIACION[[#This Row],[$ INTERESES]],"")</f>
        <v>7000000</v>
      </c>
      <c r="F77" s="169">
        <f>+SUMIFS(FINANCIACION[$ CAPITAL],FINANCIACION[Fecha],"&lt;="&amp;FINANCIACION[[#This Row],[Fecha]],FINANCIACION[PRESTAMO],FINANCIACION[[#This Row],[PRESTAMO]])</f>
        <v>213103.4299999997</v>
      </c>
      <c r="G77" s="8"/>
      <c r="H77" s="8"/>
      <c r="I77" s="5">
        <f>IF(FINANCIACION[[#This Row],[$ CAPITAL]]&gt;0,FINANCIACION[[#This Row],[$ CAPITAL]])</f>
        <v>7000000</v>
      </c>
      <c r="J77" s="36">
        <f>IF(FINANCIACION[[#This Row],[$ CAPITAL]]&gt;=0,FINANCIACION[[#This Row],[$ CAPITAL]]+FINANCIACION[[#This Row],[$ INTERESES]],0)</f>
        <v>7000000</v>
      </c>
    </row>
    <row r="78" spans="1:10" ht="24" hidden="1" customHeight="1" x14ac:dyDescent="0.25">
      <c r="A78" s="7">
        <v>43711</v>
      </c>
      <c r="B78" s="53" t="s">
        <v>194</v>
      </c>
      <c r="C78" s="5">
        <v>3472222</v>
      </c>
      <c r="D78" s="5">
        <v>1096697</v>
      </c>
      <c r="E78" s="169">
        <f>+IF(FINANCIACION[[#This Row],[$ CAPITAL]]&gt;=0,FINANCIACION[[#This Row],[$ CAPITAL]]+FINANCIACION[[#This Row],[$ INTERESES]],"")</f>
        <v>4568919</v>
      </c>
      <c r="F78" s="169">
        <f>+SUMIFS(FINANCIACION[$ CAPITAL],FINANCIACION[Fecha],"&lt;="&amp;FINANCIACION[[#This Row],[Fecha]],FINANCIACION[PRESTAMO],FINANCIACION[[#This Row],[PRESTAMO]])</f>
        <v>-97222224</v>
      </c>
      <c r="G78" s="8"/>
      <c r="H78" s="8"/>
      <c r="I78" s="5">
        <f>IF(FINANCIACION[[#This Row],[$ CAPITAL]]&gt;0,FINANCIACION[[#This Row],[$ CAPITAL]])</f>
        <v>3472222</v>
      </c>
      <c r="J78" s="36">
        <f>IF(FINANCIACION[[#This Row],[$ CAPITAL]]&gt;=0,FINANCIACION[[#This Row],[$ CAPITAL]]+FINANCIACION[[#This Row],[$ INTERESES]],0)</f>
        <v>4568919</v>
      </c>
    </row>
    <row r="79" spans="1:10" ht="24" hidden="1" customHeight="1" x14ac:dyDescent="0.25">
      <c r="A79" s="7">
        <v>43714</v>
      </c>
      <c r="B79" s="53" t="s">
        <v>1218</v>
      </c>
      <c r="C79" s="5">
        <v>-1036207.93</v>
      </c>
      <c r="D79" s="5"/>
      <c r="E79" s="169" t="str">
        <f>+IF(FINANCIACION[[#This Row],[$ CAPITAL]]&gt;=0,FINANCIACION[[#This Row],[$ CAPITAL]]+FINANCIACION[[#This Row],[$ INTERESES]],"")</f>
        <v/>
      </c>
      <c r="F79" s="169">
        <f>+SUMIFS(FINANCIACION[$ CAPITAL],FINANCIACION[Fecha],"&lt;="&amp;FINANCIACION[[#This Row],[Fecha]],FINANCIACION[PRESTAMO],FINANCIACION[[#This Row],[PRESTAMO]])</f>
        <v>-823104.50000000035</v>
      </c>
      <c r="G79" s="8"/>
      <c r="H79" s="8"/>
      <c r="I79" s="5" t="b">
        <f>IF(FINANCIACION[[#This Row],[$ CAPITAL]]&gt;0,FINANCIACION[[#This Row],[$ CAPITAL]])</f>
        <v>0</v>
      </c>
      <c r="J79" s="36">
        <f>IF(FINANCIACION[[#This Row],[$ CAPITAL]]&gt;=0,FINANCIACION[[#This Row],[$ CAPITAL]]+FINANCIACION[[#This Row],[$ INTERESES]],0)</f>
        <v>0</v>
      </c>
    </row>
    <row r="80" spans="1:10" ht="24" hidden="1" customHeight="1" x14ac:dyDescent="0.25">
      <c r="A80" s="7">
        <v>43717</v>
      </c>
      <c r="B80" s="53" t="s">
        <v>1219</v>
      </c>
      <c r="C80" s="5">
        <v>-10000000</v>
      </c>
      <c r="D80" s="5"/>
      <c r="E80" s="169" t="str">
        <f>+IF(FINANCIACION[[#This Row],[$ CAPITAL]]&gt;=0,FINANCIACION[[#This Row],[$ CAPITAL]]+FINANCIACION[[#This Row],[$ INTERESES]],"")</f>
        <v/>
      </c>
      <c r="F80" s="169">
        <f>+SUMIFS(FINANCIACION[$ CAPITAL],FINANCIACION[Fecha],"&lt;="&amp;FINANCIACION[[#This Row],[Fecha]],FINANCIACION[PRESTAMO],FINANCIACION[[#This Row],[PRESTAMO]])</f>
        <v>-84000000</v>
      </c>
      <c r="G80" s="8"/>
      <c r="H80" s="8"/>
      <c r="I80" s="5" t="b">
        <f>IF(FINANCIACION[[#This Row],[$ CAPITAL]]&gt;0,FINANCIACION[[#This Row],[$ CAPITAL]])</f>
        <v>0</v>
      </c>
      <c r="J80" s="9">
        <f>IF(FINANCIACION[[#This Row],[$ CAPITAL]]&gt;=0,FINANCIACION[[#This Row],[$ CAPITAL]]+FINANCIACION[[#This Row],[$ INTERESES]],0)</f>
        <v>0</v>
      </c>
    </row>
    <row r="81" spans="1:10" ht="24" hidden="1" customHeight="1" x14ac:dyDescent="0.25">
      <c r="A81" s="7">
        <v>43718</v>
      </c>
      <c r="B81" s="53" t="s">
        <v>1215</v>
      </c>
      <c r="C81" s="5"/>
      <c r="D81" s="5">
        <v>950000</v>
      </c>
      <c r="E81" s="169">
        <f>+IF(FINANCIACION[[#This Row],[$ CAPITAL]]&gt;=0,FINANCIACION[[#This Row],[$ CAPITAL]]+FINANCIACION[[#This Row],[$ INTERESES]],"")</f>
        <v>950000</v>
      </c>
      <c r="F81" s="169">
        <f>+SUMIFS(FINANCIACION[$ CAPITAL],FINANCIACION[Fecha],"&lt;="&amp;FINANCIACION[[#This Row],[Fecha]],FINANCIACION[PRESTAMO],FINANCIACION[[#This Row],[PRESTAMO]])</f>
        <v>-94935167</v>
      </c>
      <c r="G81" s="8"/>
      <c r="H81" s="56"/>
      <c r="I81" s="5" t="b">
        <f>IF(FINANCIACION[[#This Row],[$ CAPITAL]]&gt;0,FINANCIACION[[#This Row],[$ CAPITAL]])</f>
        <v>0</v>
      </c>
      <c r="J81" s="9">
        <f>IF(FINANCIACION[[#This Row],[$ CAPITAL]]&gt;=0,FINANCIACION[[#This Row],[$ CAPITAL]]+FINANCIACION[[#This Row],[$ INTERESES]],0)</f>
        <v>950000</v>
      </c>
    </row>
    <row r="82" spans="1:10" ht="24" hidden="1" customHeight="1" x14ac:dyDescent="0.25">
      <c r="A82" s="7">
        <v>43718</v>
      </c>
      <c r="B82" s="53" t="s">
        <v>1218</v>
      </c>
      <c r="C82" s="5">
        <v>-2626534</v>
      </c>
      <c r="D82" s="5"/>
      <c r="E82" s="169" t="str">
        <f>+IF(FINANCIACION[[#This Row],[$ CAPITAL]]&gt;=0,FINANCIACION[[#This Row],[$ CAPITAL]]+FINANCIACION[[#This Row],[$ INTERESES]],"")</f>
        <v/>
      </c>
      <c r="F82" s="169">
        <f>+SUMIFS(FINANCIACION[$ CAPITAL],FINANCIACION[Fecha],"&lt;="&amp;FINANCIACION[[#This Row],[Fecha]],FINANCIACION[PRESTAMO],FINANCIACION[[#This Row],[PRESTAMO]])</f>
        <v>-3449638.5000000005</v>
      </c>
      <c r="G82" s="8"/>
      <c r="H82" s="56"/>
      <c r="I82" s="5" t="b">
        <f>IF(FINANCIACION[[#This Row],[$ CAPITAL]]&gt;0,FINANCIACION[[#This Row],[$ CAPITAL]])</f>
        <v>0</v>
      </c>
      <c r="J82" s="9">
        <f>IF(FINANCIACION[[#This Row],[$ CAPITAL]]&gt;=0,FINANCIACION[[#This Row],[$ CAPITAL]]+FINANCIACION[[#This Row],[$ INTERESES]],0)</f>
        <v>0</v>
      </c>
    </row>
    <row r="83" spans="1:10" ht="24" hidden="1" customHeight="1" x14ac:dyDescent="0.25">
      <c r="A83" s="7">
        <v>43719</v>
      </c>
      <c r="B83" s="53" t="s">
        <v>1218</v>
      </c>
      <c r="C83" s="5">
        <v>-244800</v>
      </c>
      <c r="D83" s="5"/>
      <c r="E83" s="169" t="str">
        <f>+IF(FINANCIACION[[#This Row],[$ CAPITAL]]&gt;=0,FINANCIACION[[#This Row],[$ CAPITAL]]+FINANCIACION[[#This Row],[$ INTERESES]],"")</f>
        <v/>
      </c>
      <c r="F83" s="169">
        <f>+SUMIFS(FINANCIACION[$ CAPITAL],FINANCIACION[Fecha],"&lt;="&amp;FINANCIACION[[#This Row],[Fecha]],FINANCIACION[PRESTAMO],FINANCIACION[[#This Row],[PRESTAMO]])</f>
        <v>-8239721.3200000003</v>
      </c>
      <c r="G83" s="8"/>
      <c r="H83" s="56"/>
      <c r="I83" s="5" t="b">
        <f>IF(FINANCIACION[[#This Row],[$ CAPITAL]]&gt;0,FINANCIACION[[#This Row],[$ CAPITAL]])</f>
        <v>0</v>
      </c>
      <c r="J83" s="9">
        <f>IF(FINANCIACION[[#This Row],[$ CAPITAL]]&gt;=0,FINANCIACION[[#This Row],[$ CAPITAL]]+FINANCIACION[[#This Row],[$ INTERESES]],0)</f>
        <v>0</v>
      </c>
    </row>
    <row r="84" spans="1:10" ht="24" hidden="1" customHeight="1" x14ac:dyDescent="0.25">
      <c r="A84" s="7">
        <v>43719</v>
      </c>
      <c r="B84" s="53" t="s">
        <v>1218</v>
      </c>
      <c r="C84" s="5">
        <v>-4545282.82</v>
      </c>
      <c r="D84" s="5"/>
      <c r="E84" s="169" t="str">
        <f>+IF(FINANCIACION[[#This Row],[$ CAPITAL]]&gt;=0,FINANCIACION[[#This Row],[$ CAPITAL]]+FINANCIACION[[#This Row],[$ INTERESES]],"")</f>
        <v/>
      </c>
      <c r="F84" s="169">
        <f>+SUMIFS(FINANCIACION[$ CAPITAL],FINANCIACION[Fecha],"&lt;="&amp;FINANCIACION[[#This Row],[Fecha]],FINANCIACION[PRESTAMO],FINANCIACION[[#This Row],[PRESTAMO]])</f>
        <v>-8239721.3200000003</v>
      </c>
      <c r="G84" s="56"/>
      <c r="H84" s="8"/>
      <c r="I84" s="5" t="b">
        <f>IF(FINANCIACION[[#This Row],[$ CAPITAL]]&gt;0,FINANCIACION[[#This Row],[$ CAPITAL]])</f>
        <v>0</v>
      </c>
      <c r="J84" s="36">
        <f>IF(FINANCIACION[[#This Row],[$ CAPITAL]]&gt;=0,FINANCIACION[[#This Row],[$ CAPITAL]]+FINANCIACION[[#This Row],[$ INTERESES]],0)</f>
        <v>0</v>
      </c>
    </row>
    <row r="85" spans="1:10" ht="24" hidden="1" customHeight="1" x14ac:dyDescent="0.25">
      <c r="A85" s="7">
        <v>43723</v>
      </c>
      <c r="B85" s="53" t="s">
        <v>1218</v>
      </c>
      <c r="C85" s="5">
        <v>-97324.79</v>
      </c>
      <c r="D85" s="5">
        <v>97324.790000000008</v>
      </c>
      <c r="E85" s="169" t="str">
        <f>+IF(FINANCIACION[[#This Row],[$ CAPITAL]]&gt;=0,FINANCIACION[[#This Row],[$ CAPITAL]]+FINANCIACION[[#This Row],[$ INTERESES]],"")</f>
        <v/>
      </c>
      <c r="F85" s="169">
        <f>+SUMIFS(FINANCIACION[$ CAPITAL],FINANCIACION[Fecha],"&lt;="&amp;FINANCIACION[[#This Row],[Fecha]],FINANCIACION[PRESTAMO],FINANCIACION[[#This Row],[PRESTAMO]])</f>
        <v>-8337046.1100000003</v>
      </c>
      <c r="G85" s="56"/>
      <c r="H85" s="8"/>
      <c r="I85" s="5" t="b">
        <f>IF(FINANCIACION[[#This Row],[$ CAPITAL]]&gt;0,FINANCIACION[[#This Row],[$ CAPITAL]])</f>
        <v>0</v>
      </c>
      <c r="J85" s="36">
        <f>IF(FINANCIACION[[#This Row],[$ CAPITAL]]&gt;=0,FINANCIACION[[#This Row],[$ CAPITAL]]+FINANCIACION[[#This Row],[$ INTERESES]],0)</f>
        <v>0</v>
      </c>
    </row>
    <row r="86" spans="1:10" ht="24" hidden="1" customHeight="1" x14ac:dyDescent="0.25">
      <c r="A86" s="7">
        <v>43726</v>
      </c>
      <c r="B86" s="53" t="s">
        <v>197</v>
      </c>
      <c r="C86" s="5">
        <v>6250000</v>
      </c>
      <c r="D86" s="5">
        <v>1234283.98</v>
      </c>
      <c r="E86" s="169">
        <f>+IF(FINANCIACION[[#This Row],[$ CAPITAL]]&gt;=0,FINANCIACION[[#This Row],[$ CAPITAL]]+FINANCIACION[[#This Row],[$ INTERESES]],"")</f>
        <v>7484283.9800000004</v>
      </c>
      <c r="F86" s="169">
        <f>+SUMIFS(FINANCIACION[$ CAPITAL],FINANCIACION[Fecha],"&lt;="&amp;FINANCIACION[[#This Row],[Fecha]],FINANCIACION[PRESTAMO],FINANCIACION[[#This Row],[PRESTAMO]])</f>
        <v>-131250000</v>
      </c>
      <c r="G86" s="56"/>
      <c r="H86" s="8"/>
      <c r="I86" s="5">
        <f>IF(FINANCIACION[[#This Row],[$ CAPITAL]]&gt;0,FINANCIACION[[#This Row],[$ CAPITAL]])</f>
        <v>6250000</v>
      </c>
      <c r="J86" s="36">
        <f>IF(FINANCIACION[[#This Row],[$ CAPITAL]]&gt;=0,FINANCIACION[[#This Row],[$ CAPITAL]]+FINANCIACION[[#This Row],[$ INTERESES]],0)</f>
        <v>7484283.9800000004</v>
      </c>
    </row>
    <row r="87" spans="1:10" ht="24" hidden="1" customHeight="1" x14ac:dyDescent="0.25">
      <c r="A87" s="7">
        <v>43726</v>
      </c>
      <c r="B87" s="53" t="s">
        <v>1217</v>
      </c>
      <c r="C87" s="5">
        <v>1409118</v>
      </c>
      <c r="D87" s="5">
        <v>4650702</v>
      </c>
      <c r="E87" s="169">
        <f>+IF(FINANCIACION[[#This Row],[$ CAPITAL]]&gt;=0,FINANCIACION[[#This Row],[$ CAPITAL]]+FINANCIACION[[#This Row],[$ INTERESES]],"")</f>
        <v>6059820</v>
      </c>
      <c r="F87" s="169">
        <f>+SUMIFS(FINANCIACION[$ CAPITAL],FINANCIACION[Fecha],"&lt;="&amp;FINANCIACION[[#This Row],[Fecha]],FINANCIACION[PRESTAMO],FINANCIACION[[#This Row],[PRESTAMO]])</f>
        <v>-368992827.03181815</v>
      </c>
      <c r="G87" s="56"/>
      <c r="H87" s="8"/>
      <c r="I87" s="5">
        <f>IF(FINANCIACION[[#This Row],[$ CAPITAL]]&gt;0,FINANCIACION[[#This Row],[$ CAPITAL]])</f>
        <v>1409118</v>
      </c>
      <c r="J87" s="36">
        <f>IF(FINANCIACION[[#This Row],[$ CAPITAL]]&gt;=0,FINANCIACION[[#This Row],[$ CAPITAL]]+FINANCIACION[[#This Row],[$ INTERESES]],0)</f>
        <v>6059820</v>
      </c>
    </row>
    <row r="88" spans="1:10" ht="24" hidden="1" customHeight="1" x14ac:dyDescent="0.25">
      <c r="A88" s="7">
        <v>43727</v>
      </c>
      <c r="B88" s="53" t="s">
        <v>1218</v>
      </c>
      <c r="C88" s="5">
        <v>6000000</v>
      </c>
      <c r="D88" s="5"/>
      <c r="E88" s="169">
        <f>+IF(FINANCIACION[[#This Row],[$ CAPITAL]]&gt;=0,FINANCIACION[[#This Row],[$ CAPITAL]]+FINANCIACION[[#This Row],[$ INTERESES]],"")</f>
        <v>6000000</v>
      </c>
      <c r="F88" s="169">
        <f>+SUMIFS(FINANCIACION[$ CAPITAL],FINANCIACION[Fecha],"&lt;="&amp;FINANCIACION[[#This Row],[Fecha]],FINANCIACION[PRESTAMO],FINANCIACION[[#This Row],[PRESTAMO]])</f>
        <v>-4000433.1100000003</v>
      </c>
      <c r="G88" s="56"/>
      <c r="H88" s="8"/>
      <c r="I88" s="5">
        <f>IF(FINANCIACION[[#This Row],[$ CAPITAL]]&gt;0,FINANCIACION[[#This Row],[$ CAPITAL]])</f>
        <v>6000000</v>
      </c>
      <c r="J88" s="36">
        <f>IF(FINANCIACION[[#This Row],[$ CAPITAL]]&gt;=0,FINANCIACION[[#This Row],[$ CAPITAL]]+FINANCIACION[[#This Row],[$ INTERESES]],0)</f>
        <v>6000000</v>
      </c>
    </row>
    <row r="89" spans="1:10" ht="24" hidden="1" customHeight="1" x14ac:dyDescent="0.25">
      <c r="A89" s="7">
        <v>43727</v>
      </c>
      <c r="B89" s="53" t="s">
        <v>1218</v>
      </c>
      <c r="C89" s="5">
        <v>-1398740</v>
      </c>
      <c r="D89" s="5"/>
      <c r="E89" s="169" t="str">
        <f>+IF(FINANCIACION[[#This Row],[$ CAPITAL]]&gt;=0,FINANCIACION[[#This Row],[$ CAPITAL]]+FINANCIACION[[#This Row],[$ INTERESES]],"")</f>
        <v/>
      </c>
      <c r="F89" s="169">
        <f>+SUMIFS(FINANCIACION[$ CAPITAL],FINANCIACION[Fecha],"&lt;="&amp;FINANCIACION[[#This Row],[Fecha]],FINANCIACION[PRESTAMO],FINANCIACION[[#This Row],[PRESTAMO]])</f>
        <v>-4000433.1100000003</v>
      </c>
      <c r="G89" s="56"/>
      <c r="H89" s="8"/>
      <c r="I89" s="5" t="b">
        <f>IF(FINANCIACION[[#This Row],[$ CAPITAL]]&gt;0,FINANCIACION[[#This Row],[$ CAPITAL]])</f>
        <v>0</v>
      </c>
      <c r="J89" s="36">
        <f>IF(FINANCIACION[[#This Row],[$ CAPITAL]]&gt;=0,FINANCIACION[[#This Row],[$ CAPITAL]]+FINANCIACION[[#This Row],[$ INTERESES]],0)</f>
        <v>0</v>
      </c>
    </row>
    <row r="90" spans="1:10" ht="24" hidden="1" customHeight="1" x14ac:dyDescent="0.25">
      <c r="A90" s="7">
        <v>43727</v>
      </c>
      <c r="B90" s="53" t="s">
        <v>1218</v>
      </c>
      <c r="C90" s="74">
        <v>-179647</v>
      </c>
      <c r="D90" s="74"/>
      <c r="E90" s="169" t="str">
        <f>+IF(FINANCIACION[[#This Row],[$ CAPITAL]]&gt;=0,FINANCIACION[[#This Row],[$ CAPITAL]]+FINANCIACION[[#This Row],[$ INTERESES]],"")</f>
        <v/>
      </c>
      <c r="F90" s="169">
        <f>+SUMIFS(FINANCIACION[$ CAPITAL],FINANCIACION[Fecha],"&lt;="&amp;FINANCIACION[[#This Row],[Fecha]],FINANCIACION[PRESTAMO],FINANCIACION[[#This Row],[PRESTAMO]])</f>
        <v>-4000433.1100000003</v>
      </c>
      <c r="G90" s="56"/>
      <c r="H90" s="8"/>
      <c r="I90" s="5" t="b">
        <f>IF(FINANCIACION[[#This Row],[$ CAPITAL]]&gt;0,FINANCIACION[[#This Row],[$ CAPITAL]])</f>
        <v>0</v>
      </c>
      <c r="J90" s="36">
        <f>IF(FINANCIACION[[#This Row],[$ CAPITAL]]&gt;=0,FINANCIACION[[#This Row],[$ CAPITAL]]+FINANCIACION[[#This Row],[$ INTERESES]],0)</f>
        <v>0</v>
      </c>
    </row>
    <row r="91" spans="1:10" ht="24" hidden="1" customHeight="1" x14ac:dyDescent="0.25">
      <c r="A91" s="7">
        <v>43727</v>
      </c>
      <c r="B91" s="53" t="s">
        <v>1218</v>
      </c>
      <c r="C91" s="5">
        <v>-85000</v>
      </c>
      <c r="D91" s="5"/>
      <c r="E91" s="169" t="str">
        <f>+IF(FINANCIACION[[#This Row],[$ CAPITAL]]&gt;=0,FINANCIACION[[#This Row],[$ CAPITAL]]+FINANCIACION[[#This Row],[$ INTERESES]],"")</f>
        <v/>
      </c>
      <c r="F91" s="169">
        <f>+SUMIFS(FINANCIACION[$ CAPITAL],FINANCIACION[Fecha],"&lt;="&amp;FINANCIACION[[#This Row],[Fecha]],FINANCIACION[PRESTAMO],FINANCIACION[[#This Row],[PRESTAMO]])</f>
        <v>-4000433.1100000003</v>
      </c>
      <c r="G91" s="56"/>
      <c r="H91" s="8"/>
      <c r="I91" s="5" t="b">
        <f>IF(FINANCIACION[[#This Row],[$ CAPITAL]]&gt;0,FINANCIACION[[#This Row],[$ CAPITAL]])</f>
        <v>0</v>
      </c>
      <c r="J91" s="36">
        <f>IF(FINANCIACION[[#This Row],[$ CAPITAL]]&gt;=0,FINANCIACION[[#This Row],[$ CAPITAL]]+FINANCIACION[[#This Row],[$ INTERESES]],0)</f>
        <v>0</v>
      </c>
    </row>
    <row r="92" spans="1:10" ht="24" hidden="1" customHeight="1" x14ac:dyDescent="0.25">
      <c r="A92" s="7">
        <v>43728</v>
      </c>
      <c r="B92" s="53" t="s">
        <v>1216</v>
      </c>
      <c r="C92" s="5">
        <v>260000</v>
      </c>
      <c r="D92" s="5">
        <v>740000</v>
      </c>
      <c r="E92" s="169">
        <f>+IF(FINANCIACION[[#This Row],[$ CAPITAL]]&gt;=0,FINANCIACION[[#This Row],[$ CAPITAL]]+FINANCIACION[[#This Row],[$ INTERESES]],"")</f>
        <v>1000000</v>
      </c>
      <c r="F92" s="169">
        <f>+SUMIFS(FINANCIACION[$ CAPITAL],FINANCIACION[Fecha],"&lt;="&amp;FINANCIACION[[#This Row],[Fecha]],FINANCIACION[PRESTAMO],FINANCIACION[[#This Row],[PRESTAMO]])</f>
        <v>-59289154</v>
      </c>
      <c r="G92" s="8"/>
      <c r="H92" s="8"/>
      <c r="I92" s="5">
        <f>IF(FINANCIACION[[#This Row],[$ CAPITAL]]&gt;0,FINANCIACION[[#This Row],[$ CAPITAL]])</f>
        <v>260000</v>
      </c>
      <c r="J92" s="36">
        <f>IF(FINANCIACION[[#This Row],[$ CAPITAL]]&gt;=0,FINANCIACION[[#This Row],[$ CAPITAL]]+FINANCIACION[[#This Row],[$ INTERESES]],0)</f>
        <v>1000000</v>
      </c>
    </row>
    <row r="93" spans="1:10" ht="24" hidden="1" customHeight="1" x14ac:dyDescent="0.25">
      <c r="A93" s="7">
        <v>43731</v>
      </c>
      <c r="B93" s="53" t="s">
        <v>1218</v>
      </c>
      <c r="C93" s="5">
        <v>-153982.59</v>
      </c>
      <c r="D93" s="5"/>
      <c r="E93" s="169" t="str">
        <f>+IF(FINANCIACION[[#This Row],[$ CAPITAL]]&gt;=0,FINANCIACION[[#This Row],[$ CAPITAL]]+FINANCIACION[[#This Row],[$ INTERESES]],"")</f>
        <v/>
      </c>
      <c r="F93" s="169">
        <f>+SUMIFS(FINANCIACION[$ CAPITAL],FINANCIACION[Fecha],"&lt;="&amp;FINANCIACION[[#This Row],[Fecha]],FINANCIACION[PRESTAMO],FINANCIACION[[#This Row],[PRESTAMO]])</f>
        <v>-4154415.7</v>
      </c>
      <c r="G93" s="8"/>
      <c r="H93" s="8"/>
      <c r="I93" s="5" t="b">
        <f>IF(FINANCIACION[[#This Row],[$ CAPITAL]]&gt;0,FINANCIACION[[#This Row],[$ CAPITAL]])</f>
        <v>0</v>
      </c>
      <c r="J93" s="36">
        <f>IF(FINANCIACION[[#This Row],[$ CAPITAL]]&gt;=0,FINANCIACION[[#This Row],[$ CAPITAL]]+FINANCIACION[[#This Row],[$ INTERESES]],0)</f>
        <v>0</v>
      </c>
    </row>
    <row r="94" spans="1:10" ht="24" hidden="1" customHeight="1" x14ac:dyDescent="0.25">
      <c r="A94" s="7">
        <v>43733</v>
      </c>
      <c r="B94" s="53" t="s">
        <v>193</v>
      </c>
      <c r="C94" s="5">
        <v>1250000</v>
      </c>
      <c r="D94" s="5">
        <v>305659</v>
      </c>
      <c r="E94" s="169">
        <f>+IF(FINANCIACION[[#This Row],[$ CAPITAL]]&gt;=0,FINANCIACION[[#This Row],[$ CAPITAL]]+FINANCIACION[[#This Row],[$ INTERESES]],"")</f>
        <v>1555659</v>
      </c>
      <c r="F94" s="169">
        <f>+SUMIFS(FINANCIACION[$ CAPITAL],FINANCIACION[Fecha],"&lt;="&amp;FINANCIACION[[#This Row],[Fecha]],FINANCIACION[PRESTAMO],FINANCIACION[[#This Row],[PRESTAMO]])</f>
        <v>-23750000</v>
      </c>
      <c r="G94" s="8"/>
      <c r="H94" s="8"/>
      <c r="I94" s="5">
        <f>IF(FINANCIACION[[#This Row],[$ CAPITAL]]&gt;0,FINANCIACION[[#This Row],[$ CAPITAL]])</f>
        <v>1250000</v>
      </c>
      <c r="J94" s="36">
        <f>IF(FINANCIACION[[#This Row],[$ CAPITAL]]&gt;=0,FINANCIACION[[#This Row],[$ CAPITAL]]+FINANCIACION[[#This Row],[$ INTERESES]],0)</f>
        <v>1555659</v>
      </c>
    </row>
    <row r="95" spans="1:10" ht="24" hidden="1" customHeight="1" x14ac:dyDescent="0.25">
      <c r="A95" s="7">
        <v>43734</v>
      </c>
      <c r="B95" s="53" t="s">
        <v>1218</v>
      </c>
      <c r="C95" s="5">
        <v>-27977629</v>
      </c>
      <c r="D95" s="5"/>
      <c r="E95" s="169" t="str">
        <f>+IF(FINANCIACION[[#This Row],[$ CAPITAL]]&gt;=0,FINANCIACION[[#This Row],[$ CAPITAL]]+FINANCIACION[[#This Row],[$ INTERESES]],"")</f>
        <v/>
      </c>
      <c r="F95" s="169">
        <f>+SUMIFS(FINANCIACION[$ CAPITAL],FINANCIACION[Fecha],"&lt;="&amp;FINANCIACION[[#This Row],[Fecha]],FINANCIACION[PRESTAMO],FINANCIACION[[#This Row],[PRESTAMO]])</f>
        <v>-32132044.699999999</v>
      </c>
      <c r="G95" s="8"/>
      <c r="H95" s="8"/>
      <c r="I95" s="5" t="b">
        <f>IF(FINANCIACION[[#This Row],[$ CAPITAL]]&gt;0,FINANCIACION[[#This Row],[$ CAPITAL]])</f>
        <v>0</v>
      </c>
      <c r="J95" s="36">
        <f>IF(FINANCIACION[[#This Row],[$ CAPITAL]]&gt;=0,FINANCIACION[[#This Row],[$ CAPITAL]]+FINANCIACION[[#This Row],[$ INTERESES]],0)</f>
        <v>0</v>
      </c>
    </row>
    <row r="96" spans="1:10" ht="24" hidden="1" customHeight="1" x14ac:dyDescent="0.25">
      <c r="A96" s="7">
        <v>43738</v>
      </c>
      <c r="B96" s="53" t="s">
        <v>1218</v>
      </c>
      <c r="C96" s="5">
        <v>-2074108</v>
      </c>
      <c r="D96" s="5"/>
      <c r="E96" s="169" t="str">
        <f>+IF(FINANCIACION[[#This Row],[$ CAPITAL]]&gt;=0,FINANCIACION[[#This Row],[$ CAPITAL]]+FINANCIACION[[#This Row],[$ INTERESES]],"")</f>
        <v/>
      </c>
      <c r="F96" s="169">
        <f>+SUMIFS(FINANCIACION[$ CAPITAL],FINANCIACION[Fecha],"&lt;="&amp;FINANCIACION[[#This Row],[Fecha]],FINANCIACION[PRESTAMO],FINANCIACION[[#This Row],[PRESTAMO]])</f>
        <v>-34206152.700000003</v>
      </c>
      <c r="G96" s="8"/>
      <c r="H96" s="8"/>
      <c r="I96" s="5" t="b">
        <f>IF(FINANCIACION[[#This Row],[$ CAPITAL]]&gt;0,FINANCIACION[[#This Row],[$ CAPITAL]])</f>
        <v>0</v>
      </c>
      <c r="J96" s="36">
        <f>IF(FINANCIACION[[#This Row],[$ CAPITAL]]&gt;=0,FINANCIACION[[#This Row],[$ CAPITAL]]+FINANCIACION[[#This Row],[$ INTERESES]],0)</f>
        <v>0</v>
      </c>
    </row>
    <row r="97" spans="1:10" ht="24" hidden="1" customHeight="1" x14ac:dyDescent="0.25">
      <c r="A97" s="7">
        <v>43740</v>
      </c>
      <c r="B97" s="53" t="s">
        <v>1218</v>
      </c>
      <c r="C97" s="5">
        <v>2000000</v>
      </c>
      <c r="D97" s="5"/>
      <c r="E97" s="169">
        <f>+IF(FINANCIACION[[#This Row],[$ CAPITAL]]&gt;=0,FINANCIACION[[#This Row],[$ CAPITAL]]+FINANCIACION[[#This Row],[$ INTERESES]],"")</f>
        <v>2000000</v>
      </c>
      <c r="F97" s="169">
        <f>+SUMIFS(FINANCIACION[$ CAPITAL],FINANCIACION[Fecha],"&lt;="&amp;FINANCIACION[[#This Row],[Fecha]],FINANCIACION[PRESTAMO],FINANCIACION[[#This Row],[PRESTAMO]])</f>
        <v>-32206152.700000003</v>
      </c>
      <c r="G97" s="8"/>
      <c r="H97" s="8"/>
      <c r="I97" s="5">
        <f>IF(FINANCIACION[[#This Row],[$ CAPITAL]]&gt;0,FINANCIACION[[#This Row],[$ CAPITAL]])</f>
        <v>2000000</v>
      </c>
      <c r="J97" s="36">
        <f>IF(FINANCIACION[[#This Row],[$ CAPITAL]]&gt;=0,FINANCIACION[[#This Row],[$ CAPITAL]]+FINANCIACION[[#This Row],[$ INTERESES]],0)</f>
        <v>2000000</v>
      </c>
    </row>
    <row r="98" spans="1:10" ht="24" hidden="1" customHeight="1" x14ac:dyDescent="0.25">
      <c r="A98" s="7">
        <v>43741</v>
      </c>
      <c r="B98" s="53" t="s">
        <v>194</v>
      </c>
      <c r="C98" s="5">
        <v>3472222</v>
      </c>
      <c r="D98" s="5">
        <v>1053808</v>
      </c>
      <c r="E98" s="169">
        <f>+IF(FINANCIACION[[#This Row],[$ CAPITAL]]&gt;=0,FINANCIACION[[#This Row],[$ CAPITAL]]+FINANCIACION[[#This Row],[$ INTERESES]],"")</f>
        <v>4526030</v>
      </c>
      <c r="F98" s="169">
        <f>+SUMIFS(FINANCIACION[$ CAPITAL],FINANCIACION[Fecha],"&lt;="&amp;FINANCIACION[[#This Row],[Fecha]],FINANCIACION[PRESTAMO],FINANCIACION[[#This Row],[PRESTAMO]])</f>
        <v>-93750002</v>
      </c>
      <c r="G98" s="8"/>
      <c r="H98" s="8"/>
      <c r="I98" s="5">
        <f>IF(FINANCIACION[[#This Row],[$ CAPITAL]]&gt;0,FINANCIACION[[#This Row],[$ CAPITAL]])</f>
        <v>3472222</v>
      </c>
      <c r="J98" s="36">
        <f>IF(FINANCIACION[[#This Row],[$ CAPITAL]]&gt;=0,FINANCIACION[[#This Row],[$ CAPITAL]]+FINANCIACION[[#This Row],[$ INTERESES]],0)</f>
        <v>4526030</v>
      </c>
    </row>
    <row r="99" spans="1:10" ht="24" hidden="1" customHeight="1" x14ac:dyDescent="0.25">
      <c r="A99" s="7">
        <v>43742</v>
      </c>
      <c r="B99" s="53" t="s">
        <v>1218</v>
      </c>
      <c r="C99" s="5">
        <v>2500000</v>
      </c>
      <c r="D99" s="5">
        <v>470066.66000000015</v>
      </c>
      <c r="E99" s="169">
        <f>+IF(FINANCIACION[[#This Row],[$ CAPITAL]]&gt;=0,FINANCIACION[[#This Row],[$ CAPITAL]]+FINANCIACION[[#This Row],[$ INTERESES]],"")</f>
        <v>2970066.66</v>
      </c>
      <c r="F99" s="169">
        <f>+SUMIFS(FINANCIACION[$ CAPITAL],FINANCIACION[Fecha],"&lt;="&amp;FINANCIACION[[#This Row],[Fecha]],FINANCIACION[PRESTAMO],FINANCIACION[[#This Row],[PRESTAMO]])</f>
        <v>-29706152.700000003</v>
      </c>
      <c r="G99" s="8"/>
      <c r="H99" s="8"/>
      <c r="I99" s="5">
        <f>IF(FINANCIACION[[#This Row],[$ CAPITAL]]&gt;0,FINANCIACION[[#This Row],[$ CAPITAL]])</f>
        <v>2500000</v>
      </c>
      <c r="J99" s="36">
        <f>IF(FINANCIACION[[#This Row],[$ CAPITAL]]&gt;=0,FINANCIACION[[#This Row],[$ CAPITAL]]+FINANCIACION[[#This Row],[$ INTERESES]],0)</f>
        <v>2970066.66</v>
      </c>
    </row>
    <row r="100" spans="1:10" ht="24" hidden="1" customHeight="1" x14ac:dyDescent="0.25">
      <c r="A100" s="7">
        <v>43748</v>
      </c>
      <c r="B100" s="53" t="s">
        <v>1215</v>
      </c>
      <c r="C100" s="5"/>
      <c r="D100" s="5">
        <v>950000</v>
      </c>
      <c r="E100" s="169">
        <f>+IF(FINANCIACION[[#This Row],[$ CAPITAL]]&gt;=0,FINANCIACION[[#This Row],[$ CAPITAL]]+FINANCIACION[[#This Row],[$ INTERESES]],"")</f>
        <v>950000</v>
      </c>
      <c r="F100" s="169">
        <f>+SUMIFS(FINANCIACION[$ CAPITAL],FINANCIACION[Fecha],"&lt;="&amp;FINANCIACION[[#This Row],[Fecha]],FINANCIACION[PRESTAMO],FINANCIACION[[#This Row],[PRESTAMO]])</f>
        <v>-94935167</v>
      </c>
      <c r="G100" s="8"/>
      <c r="H100" s="8"/>
      <c r="I100" s="5" t="b">
        <f>IF(FINANCIACION[[#This Row],[$ CAPITAL]]&gt;0,FINANCIACION[[#This Row],[$ CAPITAL]])</f>
        <v>0</v>
      </c>
      <c r="J100" s="36">
        <f>IF(FINANCIACION[[#This Row],[$ CAPITAL]]&gt;=0,FINANCIACION[[#This Row],[$ CAPITAL]]+FINANCIACION[[#This Row],[$ INTERESES]],0)</f>
        <v>950000</v>
      </c>
    </row>
    <row r="101" spans="1:10" ht="24" hidden="1" customHeight="1" x14ac:dyDescent="0.25">
      <c r="A101" s="7">
        <v>43748</v>
      </c>
      <c r="B101" s="53" t="s">
        <v>1218</v>
      </c>
      <c r="C101" s="5">
        <v>3000000</v>
      </c>
      <c r="D101" s="5"/>
      <c r="E101" s="169">
        <f>+IF(FINANCIACION[[#This Row],[$ CAPITAL]]&gt;=0,FINANCIACION[[#This Row],[$ CAPITAL]]+FINANCIACION[[#This Row],[$ INTERESES]],"")</f>
        <v>3000000</v>
      </c>
      <c r="F101" s="169">
        <f>+SUMIFS(FINANCIACION[$ CAPITAL],FINANCIACION[Fecha],"&lt;="&amp;FINANCIACION[[#This Row],[Fecha]],FINANCIACION[PRESTAMO],FINANCIACION[[#This Row],[PRESTAMO]])</f>
        <v>-26706152.700000003</v>
      </c>
      <c r="G101" s="8"/>
      <c r="H101" s="8"/>
      <c r="I101" s="5">
        <f>IF(FINANCIACION[[#This Row],[$ CAPITAL]]&gt;0,FINANCIACION[[#This Row],[$ CAPITAL]])</f>
        <v>3000000</v>
      </c>
      <c r="J101" s="36">
        <f>IF(FINANCIACION[[#This Row],[$ CAPITAL]]&gt;=0,FINANCIACION[[#This Row],[$ CAPITAL]]+FINANCIACION[[#This Row],[$ INTERESES]],0)</f>
        <v>3000000</v>
      </c>
    </row>
    <row r="102" spans="1:10" ht="24" hidden="1" customHeight="1" x14ac:dyDescent="0.25">
      <c r="A102" s="7">
        <v>43753</v>
      </c>
      <c r="B102" s="53" t="s">
        <v>1218</v>
      </c>
      <c r="C102" s="5">
        <v>-92202</v>
      </c>
      <c r="D102" s="5"/>
      <c r="E102" s="169" t="str">
        <f>+IF(FINANCIACION[[#This Row],[$ CAPITAL]]&gt;=0,FINANCIACION[[#This Row],[$ CAPITAL]]+FINANCIACION[[#This Row],[$ INTERESES]],"")</f>
        <v/>
      </c>
      <c r="F102" s="169">
        <f>+SUMIFS(FINANCIACION[$ CAPITAL],FINANCIACION[Fecha],"&lt;="&amp;FINANCIACION[[#This Row],[Fecha]],FINANCIACION[PRESTAMO],FINANCIACION[[#This Row],[PRESTAMO]])</f>
        <v>-26798354.700000003</v>
      </c>
      <c r="G102" s="8"/>
      <c r="H102" s="8"/>
      <c r="I102" s="5" t="b">
        <f>IF(FINANCIACION[[#This Row],[$ CAPITAL]]&gt;0,FINANCIACION[[#This Row],[$ CAPITAL]])</f>
        <v>0</v>
      </c>
      <c r="J102" s="36">
        <f>IF(FINANCIACION[[#This Row],[$ CAPITAL]]&gt;=0,FINANCIACION[[#This Row],[$ CAPITAL]]+FINANCIACION[[#This Row],[$ INTERESES]],0)</f>
        <v>0</v>
      </c>
    </row>
    <row r="103" spans="1:10" ht="24" hidden="1" customHeight="1" x14ac:dyDescent="0.25">
      <c r="A103" s="7">
        <v>43754</v>
      </c>
      <c r="B103" s="53" t="s">
        <v>1218</v>
      </c>
      <c r="C103" s="5">
        <v>-5877675.5300000003</v>
      </c>
      <c r="D103" s="5"/>
      <c r="E103" s="169" t="str">
        <f>+IF(FINANCIACION[[#This Row],[$ CAPITAL]]&gt;=0,FINANCIACION[[#This Row],[$ CAPITAL]]+FINANCIACION[[#This Row],[$ INTERESES]],"")</f>
        <v/>
      </c>
      <c r="F103" s="169">
        <f>+SUMIFS(FINANCIACION[$ CAPITAL],FINANCIACION[Fecha],"&lt;="&amp;FINANCIACION[[#This Row],[Fecha]],FINANCIACION[PRESTAMO],FINANCIACION[[#This Row],[PRESTAMO]])</f>
        <v>-34784152.560000002</v>
      </c>
      <c r="G103" s="8"/>
      <c r="H103" s="8"/>
      <c r="I103" s="5" t="b">
        <f>IF(FINANCIACION[[#This Row],[$ CAPITAL]]&gt;0,FINANCIACION[[#This Row],[$ CAPITAL]])</f>
        <v>0</v>
      </c>
      <c r="J103" s="36">
        <f>IF(FINANCIACION[[#This Row],[$ CAPITAL]]&gt;=0,FINANCIACION[[#This Row],[$ CAPITAL]]+FINANCIACION[[#This Row],[$ INTERESES]],0)</f>
        <v>0</v>
      </c>
    </row>
    <row r="104" spans="1:10" ht="24" hidden="1" customHeight="1" x14ac:dyDescent="0.25">
      <c r="A104" s="7">
        <v>43754</v>
      </c>
      <c r="B104" s="53" t="s">
        <v>1218</v>
      </c>
      <c r="C104" s="5">
        <v>-2108122.33</v>
      </c>
      <c r="D104" s="5"/>
      <c r="E104" s="169" t="str">
        <f>+IF(FINANCIACION[[#This Row],[$ CAPITAL]]&gt;=0,FINANCIACION[[#This Row],[$ CAPITAL]]+FINANCIACION[[#This Row],[$ INTERESES]],"")</f>
        <v/>
      </c>
      <c r="F104" s="169">
        <f>+SUMIFS(FINANCIACION[$ CAPITAL],FINANCIACION[Fecha],"&lt;="&amp;FINANCIACION[[#This Row],[Fecha]],FINANCIACION[PRESTAMO],FINANCIACION[[#This Row],[PRESTAMO]])</f>
        <v>-34784152.560000002</v>
      </c>
      <c r="G104" s="8"/>
      <c r="H104" s="8"/>
      <c r="I104" s="5" t="b">
        <f>IF(FINANCIACION[[#This Row],[$ CAPITAL]]&gt;0,FINANCIACION[[#This Row],[$ CAPITAL]])</f>
        <v>0</v>
      </c>
      <c r="J104" s="36">
        <f>IF(FINANCIACION[[#This Row],[$ CAPITAL]]&gt;=0,FINANCIACION[[#This Row],[$ CAPITAL]]+FINANCIACION[[#This Row],[$ INTERESES]],0)</f>
        <v>0</v>
      </c>
    </row>
    <row r="105" spans="1:10" ht="24" hidden="1" customHeight="1" x14ac:dyDescent="0.25">
      <c r="A105" s="7">
        <v>43756</v>
      </c>
      <c r="B105" s="53" t="s">
        <v>197</v>
      </c>
      <c r="C105" s="5">
        <v>6250000</v>
      </c>
      <c r="D105" s="5">
        <v>1184067.07</v>
      </c>
      <c r="E105" s="169">
        <f>+IF(FINANCIACION[[#This Row],[$ CAPITAL]]&gt;=0,FINANCIACION[[#This Row],[$ CAPITAL]]+FINANCIACION[[#This Row],[$ INTERESES]],"")</f>
        <v>7434067.0700000003</v>
      </c>
      <c r="F105" s="169">
        <f>+SUMIFS(FINANCIACION[$ CAPITAL],FINANCIACION[Fecha],"&lt;="&amp;FINANCIACION[[#This Row],[Fecha]],FINANCIACION[PRESTAMO],FINANCIACION[[#This Row],[PRESTAMO]])</f>
        <v>-125000000</v>
      </c>
      <c r="G105" s="8"/>
      <c r="H105" s="8"/>
      <c r="I105" s="5">
        <f>IF(FINANCIACION[[#This Row],[$ CAPITAL]]&gt;0,FINANCIACION[[#This Row],[$ CAPITAL]])</f>
        <v>6250000</v>
      </c>
      <c r="J105" s="36">
        <f>IF(FINANCIACION[[#This Row],[$ CAPITAL]]&gt;=0,FINANCIACION[[#This Row],[$ CAPITAL]]+FINANCIACION[[#This Row],[$ INTERESES]],0)</f>
        <v>7434067.0700000003</v>
      </c>
    </row>
    <row r="106" spans="1:10" ht="24" hidden="1" customHeight="1" x14ac:dyDescent="0.25">
      <c r="A106" s="7">
        <v>43756</v>
      </c>
      <c r="B106" s="53" t="s">
        <v>1217</v>
      </c>
      <c r="C106" s="5">
        <v>1426306</v>
      </c>
      <c r="D106" s="5">
        <v>4592899</v>
      </c>
      <c r="E106" s="169">
        <f>+IF(FINANCIACION[[#This Row],[$ CAPITAL]]&gt;=0,FINANCIACION[[#This Row],[$ CAPITAL]]+FINANCIACION[[#This Row],[$ INTERESES]],"")</f>
        <v>6019205</v>
      </c>
      <c r="F106" s="169">
        <f>+SUMIFS(FINANCIACION[$ CAPITAL],FINANCIACION[Fecha],"&lt;="&amp;FINANCIACION[[#This Row],[Fecha]],FINANCIACION[PRESTAMO],FINANCIACION[[#This Row],[PRESTAMO]])</f>
        <v>-367566521.03181815</v>
      </c>
      <c r="G106" s="8"/>
      <c r="H106" s="8"/>
      <c r="I106" s="5">
        <f>IF(FINANCIACION[[#This Row],[$ CAPITAL]]&gt;0,FINANCIACION[[#This Row],[$ CAPITAL]])</f>
        <v>1426306</v>
      </c>
      <c r="J106" s="36">
        <f>IF(FINANCIACION[[#This Row],[$ CAPITAL]]&gt;=0,FINANCIACION[[#This Row],[$ CAPITAL]]+FINANCIACION[[#This Row],[$ INTERESES]],0)</f>
        <v>6019205</v>
      </c>
    </row>
    <row r="107" spans="1:10" ht="24" hidden="1" customHeight="1" x14ac:dyDescent="0.25">
      <c r="A107" s="7">
        <v>43758</v>
      </c>
      <c r="B107" s="53" t="s">
        <v>1218</v>
      </c>
      <c r="C107" s="5">
        <v>-89902</v>
      </c>
      <c r="D107" s="5"/>
      <c r="E107" s="169" t="str">
        <f>+IF(FINANCIACION[[#This Row],[$ CAPITAL]]&gt;=0,FINANCIACION[[#This Row],[$ CAPITAL]]+FINANCIACION[[#This Row],[$ INTERESES]],"")</f>
        <v/>
      </c>
      <c r="F107" s="169">
        <f>+SUMIFS(FINANCIACION[$ CAPITAL],FINANCIACION[Fecha],"&lt;="&amp;FINANCIACION[[#This Row],[Fecha]],FINANCIACION[PRESTAMO],FINANCIACION[[#This Row],[PRESTAMO]])</f>
        <v>-34874054.560000002</v>
      </c>
      <c r="G107" s="8"/>
      <c r="H107" s="8"/>
      <c r="I107" s="5" t="b">
        <f>IF(FINANCIACION[[#This Row],[$ CAPITAL]]&gt;0,FINANCIACION[[#This Row],[$ CAPITAL]])</f>
        <v>0</v>
      </c>
      <c r="J107" s="36">
        <f>IF(FINANCIACION[[#This Row],[$ CAPITAL]]&gt;=0,FINANCIACION[[#This Row],[$ CAPITAL]]+FINANCIACION[[#This Row],[$ INTERESES]],0)</f>
        <v>0</v>
      </c>
    </row>
    <row r="108" spans="1:10" ht="24" hidden="1" customHeight="1" x14ac:dyDescent="0.25">
      <c r="A108" s="7">
        <v>43759</v>
      </c>
      <c r="B108" s="53" t="s">
        <v>1216</v>
      </c>
      <c r="C108" s="5">
        <v>260000</v>
      </c>
      <c r="D108" s="5">
        <v>740000</v>
      </c>
      <c r="E108" s="169">
        <f>+IF(FINANCIACION[[#This Row],[$ CAPITAL]]&gt;=0,FINANCIACION[[#This Row],[$ CAPITAL]]+FINANCIACION[[#This Row],[$ INTERESES]],"")</f>
        <v>1000000</v>
      </c>
      <c r="F108" s="169">
        <f>+SUMIFS(FINANCIACION[$ CAPITAL],FINANCIACION[Fecha],"&lt;="&amp;FINANCIACION[[#This Row],[Fecha]],FINANCIACION[PRESTAMO],FINANCIACION[[#This Row],[PRESTAMO]])</f>
        <v>-59029154</v>
      </c>
      <c r="G108" s="8"/>
      <c r="H108" s="8"/>
      <c r="I108" s="5">
        <f>IF(FINANCIACION[[#This Row],[$ CAPITAL]]&gt;0,FINANCIACION[[#This Row],[$ CAPITAL]])</f>
        <v>260000</v>
      </c>
      <c r="J108" s="36">
        <f>IF(FINANCIACION[[#This Row],[$ CAPITAL]]&gt;=0,FINANCIACION[[#This Row],[$ CAPITAL]]+FINANCIACION[[#This Row],[$ INTERESES]],0)</f>
        <v>1000000</v>
      </c>
    </row>
    <row r="109" spans="1:10" ht="24" hidden="1" customHeight="1" x14ac:dyDescent="0.25">
      <c r="A109" s="7">
        <v>43760</v>
      </c>
      <c r="B109" s="53" t="s">
        <v>1218</v>
      </c>
      <c r="C109" s="5">
        <v>-1837182.36</v>
      </c>
      <c r="D109" s="5"/>
      <c r="E109" s="169" t="str">
        <f>+IF(FINANCIACION[[#This Row],[$ CAPITAL]]&gt;=0,FINANCIACION[[#This Row],[$ CAPITAL]]+FINANCIACION[[#This Row],[$ INTERESES]],"")</f>
        <v/>
      </c>
      <c r="F109" s="169">
        <f>+SUMIFS(FINANCIACION[$ CAPITAL],FINANCIACION[Fecha],"&lt;="&amp;FINANCIACION[[#This Row],[Fecha]],FINANCIACION[PRESTAMO],FINANCIACION[[#This Row],[PRESTAMO]])</f>
        <v>-36711236.920000002</v>
      </c>
      <c r="G109" s="8"/>
      <c r="H109" s="8"/>
      <c r="I109" s="5" t="b">
        <f>IF(FINANCIACION[[#This Row],[$ CAPITAL]]&gt;0,FINANCIACION[[#This Row],[$ CAPITAL]])</f>
        <v>0</v>
      </c>
      <c r="J109" s="36">
        <f>IF(FINANCIACION[[#This Row],[$ CAPITAL]]&gt;=0,FINANCIACION[[#This Row],[$ CAPITAL]]+FINANCIACION[[#This Row],[$ INTERESES]],0)</f>
        <v>0</v>
      </c>
    </row>
    <row r="110" spans="1:10" ht="24" hidden="1" customHeight="1" x14ac:dyDescent="0.25">
      <c r="A110" s="7">
        <v>43761</v>
      </c>
      <c r="B110" s="53" t="s">
        <v>1218</v>
      </c>
      <c r="C110" s="5">
        <v>2000000</v>
      </c>
      <c r="D110" s="5"/>
      <c r="E110" s="169">
        <f>+IF(FINANCIACION[[#This Row],[$ CAPITAL]]&gt;=0,FINANCIACION[[#This Row],[$ CAPITAL]]+FINANCIACION[[#This Row],[$ INTERESES]],"")</f>
        <v>2000000</v>
      </c>
      <c r="F110" s="169">
        <f>+SUMIFS(FINANCIACION[$ CAPITAL],FINANCIACION[Fecha],"&lt;="&amp;FINANCIACION[[#This Row],[Fecha]],FINANCIACION[PRESTAMO],FINANCIACION[[#This Row],[PRESTAMO]])</f>
        <v>-32927774.380000003</v>
      </c>
      <c r="G110" s="8"/>
      <c r="H110" s="8"/>
      <c r="I110" s="5">
        <f>IF(FINANCIACION[[#This Row],[$ CAPITAL]]&gt;0,FINANCIACION[[#This Row],[$ CAPITAL]])</f>
        <v>2000000</v>
      </c>
      <c r="J110" s="36">
        <f>IF(FINANCIACION[[#This Row],[$ CAPITAL]]&gt;=0,FINANCIACION[[#This Row],[$ CAPITAL]]+FINANCIACION[[#This Row],[$ INTERESES]],0)</f>
        <v>2000000</v>
      </c>
    </row>
    <row r="111" spans="1:10" ht="24" hidden="1" customHeight="1" x14ac:dyDescent="0.25">
      <c r="A111" s="7">
        <v>43761</v>
      </c>
      <c r="B111" s="53" t="s">
        <v>1218</v>
      </c>
      <c r="C111" s="5">
        <v>2000000</v>
      </c>
      <c r="D111" s="5"/>
      <c r="E111" s="169">
        <f>+IF(FINANCIACION[[#This Row],[$ CAPITAL]]&gt;=0,FINANCIACION[[#This Row],[$ CAPITAL]]+FINANCIACION[[#This Row],[$ INTERESES]],"")</f>
        <v>2000000</v>
      </c>
      <c r="F111" s="169">
        <f>+SUMIFS(FINANCIACION[$ CAPITAL],FINANCIACION[Fecha],"&lt;="&amp;FINANCIACION[[#This Row],[Fecha]],FINANCIACION[PRESTAMO],FINANCIACION[[#This Row],[PRESTAMO]])</f>
        <v>-32927774.380000003</v>
      </c>
      <c r="G111" s="8"/>
      <c r="H111" s="8"/>
      <c r="I111" s="5">
        <f>IF(FINANCIACION[[#This Row],[$ CAPITAL]]&gt;0,FINANCIACION[[#This Row],[$ CAPITAL]])</f>
        <v>2000000</v>
      </c>
      <c r="J111" s="36">
        <f>IF(FINANCIACION[[#This Row],[$ CAPITAL]]&gt;=0,FINANCIACION[[#This Row],[$ CAPITAL]]+FINANCIACION[[#This Row],[$ INTERESES]],0)</f>
        <v>2000000</v>
      </c>
    </row>
    <row r="112" spans="1:10" ht="24" hidden="1" customHeight="1" x14ac:dyDescent="0.25">
      <c r="A112" s="7">
        <v>43761</v>
      </c>
      <c r="B112" s="53" t="s">
        <v>1218</v>
      </c>
      <c r="C112" s="5">
        <v>-216537.46</v>
      </c>
      <c r="D112" s="5"/>
      <c r="E112" s="169" t="str">
        <f>+IF(FINANCIACION[[#This Row],[$ CAPITAL]]&gt;=0,FINANCIACION[[#This Row],[$ CAPITAL]]+FINANCIACION[[#This Row],[$ INTERESES]],"")</f>
        <v/>
      </c>
      <c r="F112" s="169">
        <f>+SUMIFS(FINANCIACION[$ CAPITAL],FINANCIACION[Fecha],"&lt;="&amp;FINANCIACION[[#This Row],[Fecha]],FINANCIACION[PRESTAMO],FINANCIACION[[#This Row],[PRESTAMO]])</f>
        <v>-32927774.380000003</v>
      </c>
      <c r="G112" s="8"/>
      <c r="H112" s="8"/>
      <c r="I112" s="5" t="b">
        <f>IF(FINANCIACION[[#This Row],[$ CAPITAL]]&gt;0,FINANCIACION[[#This Row],[$ CAPITAL]])</f>
        <v>0</v>
      </c>
      <c r="J112" s="36">
        <f>IF(FINANCIACION[[#This Row],[$ CAPITAL]]&gt;=0,FINANCIACION[[#This Row],[$ CAPITAL]]+FINANCIACION[[#This Row],[$ INTERESES]],0)</f>
        <v>0</v>
      </c>
    </row>
    <row r="113" spans="1:10" ht="24" hidden="1" customHeight="1" x14ac:dyDescent="0.25">
      <c r="A113" s="7">
        <v>43762</v>
      </c>
      <c r="B113" s="53" t="s">
        <v>1218</v>
      </c>
      <c r="C113" s="5">
        <v>-371885.62</v>
      </c>
      <c r="D113" s="5"/>
      <c r="E113" s="169" t="str">
        <f>+IF(FINANCIACION[[#This Row],[$ CAPITAL]]&gt;=0,FINANCIACION[[#This Row],[$ CAPITAL]]+FINANCIACION[[#This Row],[$ INTERESES]],"")</f>
        <v/>
      </c>
      <c r="F113" s="169">
        <f>+SUMIFS(FINANCIACION[$ CAPITAL],FINANCIACION[Fecha],"&lt;="&amp;FINANCIACION[[#This Row],[Fecha]],FINANCIACION[PRESTAMO],FINANCIACION[[#This Row],[PRESTAMO]])</f>
        <v>-33299660.000000004</v>
      </c>
      <c r="G113" s="8"/>
      <c r="H113" s="8"/>
      <c r="I113" s="5" t="b">
        <f>IF(FINANCIACION[[#This Row],[$ CAPITAL]]&gt;0,FINANCIACION[[#This Row],[$ CAPITAL]])</f>
        <v>0</v>
      </c>
      <c r="J113" s="36">
        <f>IF(FINANCIACION[[#This Row],[$ CAPITAL]]&gt;=0,FINANCIACION[[#This Row],[$ CAPITAL]]+FINANCIACION[[#This Row],[$ INTERESES]],0)</f>
        <v>0</v>
      </c>
    </row>
    <row r="114" spans="1:10" ht="24" hidden="1" customHeight="1" x14ac:dyDescent="0.25">
      <c r="A114" s="7">
        <v>43763</v>
      </c>
      <c r="B114" s="53" t="s">
        <v>193</v>
      </c>
      <c r="C114" s="5">
        <v>1250000</v>
      </c>
      <c r="D114" s="5">
        <v>289544</v>
      </c>
      <c r="E114" s="169">
        <f>+IF(FINANCIACION[[#This Row],[$ CAPITAL]]&gt;=0,FINANCIACION[[#This Row],[$ CAPITAL]]+FINANCIACION[[#This Row],[$ INTERESES]],"")</f>
        <v>1539544</v>
      </c>
      <c r="F114" s="169">
        <f>+SUMIFS(FINANCIACION[$ CAPITAL],FINANCIACION[Fecha],"&lt;="&amp;FINANCIACION[[#This Row],[Fecha]],FINANCIACION[PRESTAMO],FINANCIACION[[#This Row],[PRESTAMO]])</f>
        <v>-22500000</v>
      </c>
      <c r="G114" s="8"/>
      <c r="H114" s="8"/>
      <c r="I114" s="5">
        <f>IF(FINANCIACION[[#This Row],[$ CAPITAL]]&gt;0,FINANCIACION[[#This Row],[$ CAPITAL]])</f>
        <v>1250000</v>
      </c>
      <c r="J114" s="36">
        <f>IF(FINANCIACION[[#This Row],[$ CAPITAL]]&gt;=0,FINANCIACION[[#This Row],[$ CAPITAL]]+FINANCIACION[[#This Row],[$ INTERESES]],0)</f>
        <v>1539544</v>
      </c>
    </row>
    <row r="115" spans="1:10" ht="24" hidden="1" customHeight="1" x14ac:dyDescent="0.25">
      <c r="A115" s="7">
        <v>43768</v>
      </c>
      <c r="B115" s="53" t="s">
        <v>1218</v>
      </c>
      <c r="C115" s="5">
        <v>-1673208.71</v>
      </c>
      <c r="D115" s="5"/>
      <c r="E115" s="169" t="str">
        <f>+IF(FINANCIACION[[#This Row],[$ CAPITAL]]&gt;=0,FINANCIACION[[#This Row],[$ CAPITAL]]+FINANCIACION[[#This Row],[$ INTERESES]],"")</f>
        <v/>
      </c>
      <c r="F115" s="169">
        <f>+SUMIFS(FINANCIACION[$ CAPITAL],FINANCIACION[Fecha],"&lt;="&amp;FINANCIACION[[#This Row],[Fecha]],FINANCIACION[PRESTAMO],FINANCIACION[[#This Row],[PRESTAMO]])</f>
        <v>-35675757.710000001</v>
      </c>
      <c r="G115" s="8"/>
      <c r="H115" s="8"/>
      <c r="I115" s="5" t="b">
        <f>IF(FINANCIACION[[#This Row],[$ CAPITAL]]&gt;0,FINANCIACION[[#This Row],[$ CAPITAL]])</f>
        <v>0</v>
      </c>
      <c r="J115" s="36">
        <f>IF(FINANCIACION[[#This Row],[$ CAPITAL]]&gt;=0,FINANCIACION[[#This Row],[$ CAPITAL]]+FINANCIACION[[#This Row],[$ INTERESES]],0)</f>
        <v>0</v>
      </c>
    </row>
    <row r="116" spans="1:10" ht="24" hidden="1" customHeight="1" x14ac:dyDescent="0.25">
      <c r="A116" s="7">
        <v>43768</v>
      </c>
      <c r="B116" s="53" t="s">
        <v>1218</v>
      </c>
      <c r="C116" s="5">
        <v>-702889</v>
      </c>
      <c r="D116" s="5"/>
      <c r="E116" s="169" t="str">
        <f>+IF(FINANCIACION[[#This Row],[$ CAPITAL]]&gt;=0,FINANCIACION[[#This Row],[$ CAPITAL]]+FINANCIACION[[#This Row],[$ INTERESES]],"")</f>
        <v/>
      </c>
      <c r="F116" s="169">
        <f>+SUMIFS(FINANCIACION[$ CAPITAL],FINANCIACION[Fecha],"&lt;="&amp;FINANCIACION[[#This Row],[Fecha]],FINANCIACION[PRESTAMO],FINANCIACION[[#This Row],[PRESTAMO]])</f>
        <v>-35675757.710000001</v>
      </c>
      <c r="G116" s="8"/>
      <c r="H116" s="8"/>
      <c r="I116" s="5" t="b">
        <f>IF(FINANCIACION[[#This Row],[$ CAPITAL]]&gt;0,FINANCIACION[[#This Row],[$ CAPITAL]])</f>
        <v>0</v>
      </c>
      <c r="J116" s="36">
        <f>IF(FINANCIACION[[#This Row],[$ CAPITAL]]&gt;=0,FINANCIACION[[#This Row],[$ CAPITAL]]+FINANCIACION[[#This Row],[$ INTERESES]],0)</f>
        <v>0</v>
      </c>
    </row>
    <row r="117" spans="1:10" ht="24" hidden="1" customHeight="1" x14ac:dyDescent="0.25">
      <c r="A117" s="7">
        <v>43769</v>
      </c>
      <c r="B117" s="53" t="s">
        <v>1219</v>
      </c>
      <c r="C117" s="5"/>
      <c r="D117" s="5">
        <v>840000</v>
      </c>
      <c r="E117" s="169">
        <f>+IF(FINANCIACION[[#This Row],[$ CAPITAL]]&gt;=0,FINANCIACION[[#This Row],[$ CAPITAL]]+FINANCIACION[[#This Row],[$ INTERESES]],"")</f>
        <v>840000</v>
      </c>
      <c r="F117" s="169">
        <f>+SUMIFS(FINANCIACION[$ CAPITAL],FINANCIACION[Fecha],"&lt;="&amp;FINANCIACION[[#This Row],[Fecha]],FINANCIACION[PRESTAMO],FINANCIACION[[#This Row],[PRESTAMO]])</f>
        <v>-84000000</v>
      </c>
      <c r="G117" s="8"/>
      <c r="H117" s="56"/>
      <c r="I117" s="5" t="b">
        <f>IF(FINANCIACION[[#This Row],[$ CAPITAL]]&gt;0,FINANCIACION[[#This Row],[$ CAPITAL]])</f>
        <v>0</v>
      </c>
      <c r="J117" s="9">
        <f>IF(FINANCIACION[[#This Row],[$ CAPITAL]]&gt;=0,FINANCIACION[[#This Row],[$ CAPITAL]]+FINANCIACION[[#This Row],[$ INTERESES]],0)</f>
        <v>840000</v>
      </c>
    </row>
    <row r="118" spans="1:10" ht="24" hidden="1" customHeight="1" x14ac:dyDescent="0.25">
      <c r="A118" s="7">
        <v>43769</v>
      </c>
      <c r="B118" s="53" t="s">
        <v>1218</v>
      </c>
      <c r="C118" s="5">
        <v>-17400</v>
      </c>
      <c r="D118" s="5"/>
      <c r="E118" s="169" t="str">
        <f>+IF(FINANCIACION[[#This Row],[$ CAPITAL]]&gt;=0,FINANCIACION[[#This Row],[$ CAPITAL]]+FINANCIACION[[#This Row],[$ INTERESES]],"")</f>
        <v/>
      </c>
      <c r="F118" s="169">
        <f>+SUMIFS(FINANCIACION[$ CAPITAL],FINANCIACION[Fecha],"&lt;="&amp;FINANCIACION[[#This Row],[Fecha]],FINANCIACION[PRESTAMO],FINANCIACION[[#This Row],[PRESTAMO]])</f>
        <v>-35693157.710000001</v>
      </c>
      <c r="G118" s="8"/>
      <c r="H118" s="8"/>
      <c r="I118" s="5" t="b">
        <f>IF(FINANCIACION[[#This Row],[$ CAPITAL]]&gt;0,FINANCIACION[[#This Row],[$ CAPITAL]])</f>
        <v>0</v>
      </c>
      <c r="J118" s="36">
        <f>IF(FINANCIACION[[#This Row],[$ CAPITAL]]&gt;=0,FINANCIACION[[#This Row],[$ CAPITAL]]+FINANCIACION[[#This Row],[$ INTERESES]],0)</f>
        <v>0</v>
      </c>
    </row>
    <row r="119" spans="1:10" ht="24" hidden="1" customHeight="1" x14ac:dyDescent="0.25">
      <c r="A119" s="7">
        <v>43772</v>
      </c>
      <c r="B119" s="53" t="s">
        <v>194</v>
      </c>
      <c r="C119" s="5">
        <v>3472222</v>
      </c>
      <c r="D119" s="5">
        <v>1021062</v>
      </c>
      <c r="E119" s="169">
        <f>+IF(FINANCIACION[[#This Row],[$ CAPITAL]]&gt;=0,FINANCIACION[[#This Row],[$ CAPITAL]]+FINANCIACION[[#This Row],[$ INTERESES]],"")</f>
        <v>4493284</v>
      </c>
      <c r="F119" s="169">
        <f>+SUMIFS(FINANCIACION[$ CAPITAL],FINANCIACION[Fecha],"&lt;="&amp;FINANCIACION[[#This Row],[Fecha]],FINANCIACION[PRESTAMO],FINANCIACION[[#This Row],[PRESTAMO]])</f>
        <v>-90277780</v>
      </c>
      <c r="G119" s="56"/>
      <c r="H119" s="8"/>
      <c r="I119" s="5">
        <f>IF(FINANCIACION[[#This Row],[$ CAPITAL]]&gt;0,FINANCIACION[[#This Row],[$ CAPITAL]])</f>
        <v>3472222</v>
      </c>
      <c r="J119" s="36">
        <f>IF(FINANCIACION[[#This Row],[$ CAPITAL]]&gt;=0,FINANCIACION[[#This Row],[$ CAPITAL]]+FINANCIACION[[#This Row],[$ INTERESES]],0)</f>
        <v>4493284</v>
      </c>
    </row>
    <row r="120" spans="1:10" ht="24" hidden="1" customHeight="1" x14ac:dyDescent="0.25">
      <c r="A120" s="7">
        <v>43774</v>
      </c>
      <c r="B120" s="53" t="s">
        <v>1218</v>
      </c>
      <c r="C120" s="5">
        <v>2500000</v>
      </c>
      <c r="D120" s="5">
        <v>440687.5</v>
      </c>
      <c r="E120" s="169">
        <f>+IF(FINANCIACION[[#This Row],[$ CAPITAL]]&gt;=0,FINANCIACION[[#This Row],[$ CAPITAL]]+FINANCIACION[[#This Row],[$ INTERESES]],"")</f>
        <v>2940687.5</v>
      </c>
      <c r="F120" s="169">
        <f>+SUMIFS(FINANCIACION[$ CAPITAL],FINANCIACION[Fecha],"&lt;="&amp;FINANCIACION[[#This Row],[Fecha]],FINANCIACION[PRESTAMO],FINANCIACION[[#This Row],[PRESTAMO]])</f>
        <v>-33193157.710000001</v>
      </c>
      <c r="G120" s="8"/>
      <c r="H120" s="56"/>
      <c r="I120" s="5">
        <f>IF(FINANCIACION[[#This Row],[$ CAPITAL]]&gt;0,FINANCIACION[[#This Row],[$ CAPITAL]])</f>
        <v>2500000</v>
      </c>
      <c r="J120" s="9">
        <f>IF(FINANCIACION[[#This Row],[$ CAPITAL]]&gt;=0,FINANCIACION[[#This Row],[$ CAPITAL]]+FINANCIACION[[#This Row],[$ INTERESES]],0)</f>
        <v>2940687.5</v>
      </c>
    </row>
    <row r="121" spans="1:10" ht="24" hidden="1" customHeight="1" x14ac:dyDescent="0.25">
      <c r="A121" s="7">
        <v>43779</v>
      </c>
      <c r="B121" s="53" t="s">
        <v>1215</v>
      </c>
      <c r="C121" s="5"/>
      <c r="D121" s="5">
        <v>950000</v>
      </c>
      <c r="E121" s="169">
        <f>+IF(FINANCIACION[[#This Row],[$ CAPITAL]]&gt;=0,FINANCIACION[[#This Row],[$ CAPITAL]]+FINANCIACION[[#This Row],[$ INTERESES]],"")</f>
        <v>950000</v>
      </c>
      <c r="F121" s="169">
        <f>+SUMIFS(FINANCIACION[$ CAPITAL],FINANCIACION[Fecha],"&lt;="&amp;FINANCIACION[[#This Row],[Fecha]],FINANCIACION[PRESTAMO],FINANCIACION[[#This Row],[PRESTAMO]])</f>
        <v>-94935167</v>
      </c>
      <c r="G121" s="8"/>
      <c r="H121" s="56"/>
      <c r="I121" s="5" t="b">
        <f>IF(FINANCIACION[[#This Row],[$ CAPITAL]]&gt;0,FINANCIACION[[#This Row],[$ CAPITAL]])</f>
        <v>0</v>
      </c>
      <c r="J121" s="9">
        <f>IF(FINANCIACION[[#This Row],[$ CAPITAL]]&gt;=0,FINANCIACION[[#This Row],[$ CAPITAL]]+FINANCIACION[[#This Row],[$ INTERESES]],0)</f>
        <v>950000</v>
      </c>
    </row>
    <row r="122" spans="1:10" ht="24" hidden="1" customHeight="1" x14ac:dyDescent="0.25">
      <c r="A122" s="7">
        <v>43781</v>
      </c>
      <c r="B122" s="53" t="s">
        <v>1218</v>
      </c>
      <c r="C122" s="5">
        <v>2384506</v>
      </c>
      <c r="D122" s="5"/>
      <c r="E122" s="169">
        <f>+IF(FINANCIACION[[#This Row],[$ CAPITAL]]&gt;=0,FINANCIACION[[#This Row],[$ CAPITAL]]+FINANCIACION[[#This Row],[$ INTERESES]],"")</f>
        <v>2384506</v>
      </c>
      <c r="F122" s="169">
        <f>+SUMIFS(FINANCIACION[$ CAPITAL],FINANCIACION[Fecha],"&lt;="&amp;FINANCIACION[[#This Row],[Fecha]],FINANCIACION[PRESTAMO],FINANCIACION[[#This Row],[PRESTAMO]])</f>
        <v>-30808651.710000001</v>
      </c>
      <c r="G122" s="56"/>
      <c r="H122" s="8"/>
      <c r="I122" s="5">
        <f>IF(FINANCIACION[[#This Row],[$ CAPITAL]]&gt;0,FINANCIACION[[#This Row],[$ CAPITAL]])</f>
        <v>2384506</v>
      </c>
      <c r="J122" s="36">
        <f>IF(FINANCIACION[[#This Row],[$ CAPITAL]]&gt;=0,FINANCIACION[[#This Row],[$ CAPITAL]]+FINANCIACION[[#This Row],[$ INTERESES]],0)</f>
        <v>2384506</v>
      </c>
    </row>
    <row r="123" spans="1:10" ht="24" hidden="1" customHeight="1" x14ac:dyDescent="0.25">
      <c r="A123" s="7">
        <v>43783</v>
      </c>
      <c r="B123" s="53" t="s">
        <v>1218</v>
      </c>
      <c r="C123" s="5">
        <v>-201556.42</v>
      </c>
      <c r="D123" s="5"/>
      <c r="E123" s="169" t="str">
        <f>+IF(FINANCIACION[[#This Row],[$ CAPITAL]]&gt;=0,FINANCIACION[[#This Row],[$ CAPITAL]]+FINANCIACION[[#This Row],[$ INTERESES]],"")</f>
        <v/>
      </c>
      <c r="F123" s="169">
        <f>+SUMIFS(FINANCIACION[$ CAPITAL],FINANCIACION[Fecha],"&lt;="&amp;FINANCIACION[[#This Row],[Fecha]],FINANCIACION[PRESTAMO],FINANCIACION[[#This Row],[PRESTAMO]])</f>
        <v>-31010208.130000003</v>
      </c>
      <c r="G123" s="56"/>
      <c r="H123" s="8"/>
      <c r="I123" s="5" t="b">
        <f>IF(FINANCIACION[[#This Row],[$ CAPITAL]]&gt;0,FINANCIACION[[#This Row],[$ CAPITAL]])</f>
        <v>0</v>
      </c>
      <c r="J123" s="36">
        <f>IF(FINANCIACION[[#This Row],[$ CAPITAL]]&gt;=0,FINANCIACION[[#This Row],[$ CAPITAL]]+FINANCIACION[[#This Row],[$ INTERESES]],0)</f>
        <v>0</v>
      </c>
    </row>
    <row r="124" spans="1:10" ht="24" hidden="1" customHeight="1" x14ac:dyDescent="0.25">
      <c r="A124" s="7">
        <v>43784</v>
      </c>
      <c r="B124" s="53" t="s">
        <v>1218</v>
      </c>
      <c r="C124" s="5">
        <v>-202187.61</v>
      </c>
      <c r="D124" s="5"/>
      <c r="E124" s="169" t="str">
        <f>+IF(FINANCIACION[[#This Row],[$ CAPITAL]]&gt;=0,FINANCIACION[[#This Row],[$ CAPITAL]]+FINANCIACION[[#This Row],[$ INTERESES]],"")</f>
        <v/>
      </c>
      <c r="F124" s="169">
        <f>+SUMIFS(FINANCIACION[$ CAPITAL],FINANCIACION[Fecha],"&lt;="&amp;FINANCIACION[[#This Row],[Fecha]],FINANCIACION[PRESTAMO],FINANCIACION[[#This Row],[PRESTAMO]])</f>
        <v>-31212395.740000002</v>
      </c>
      <c r="G124" s="56"/>
      <c r="H124" s="8"/>
      <c r="I124" s="5" t="b">
        <f>IF(FINANCIACION[[#This Row],[$ CAPITAL]]&gt;0,FINANCIACION[[#This Row],[$ CAPITAL]])</f>
        <v>0</v>
      </c>
      <c r="J124" s="36">
        <f>IF(FINANCIACION[[#This Row],[$ CAPITAL]]&gt;=0,FINANCIACION[[#This Row],[$ CAPITAL]]+FINANCIACION[[#This Row],[$ INTERESES]],0)</f>
        <v>0</v>
      </c>
    </row>
    <row r="125" spans="1:10" ht="24" hidden="1" customHeight="1" x14ac:dyDescent="0.25">
      <c r="A125" s="7">
        <v>43786</v>
      </c>
      <c r="B125" s="53" t="s">
        <v>1218</v>
      </c>
      <c r="C125" s="5">
        <v>-36552.420000000006</v>
      </c>
      <c r="D125" s="5"/>
      <c r="E125" s="169" t="str">
        <f>+IF(FINANCIACION[[#This Row],[$ CAPITAL]]&gt;=0,FINANCIACION[[#This Row],[$ CAPITAL]]+FINANCIACION[[#This Row],[$ INTERESES]],"")</f>
        <v/>
      </c>
      <c r="F125" s="169">
        <f>+SUMIFS(FINANCIACION[$ CAPITAL],FINANCIACION[Fecha],"&lt;="&amp;FINANCIACION[[#This Row],[Fecha]],FINANCIACION[PRESTAMO],FINANCIACION[[#This Row],[PRESTAMO]])</f>
        <v>-31248948.160000004</v>
      </c>
      <c r="G125" s="56"/>
      <c r="H125" s="8"/>
      <c r="I125" s="5" t="b">
        <f>IF(FINANCIACION[[#This Row],[$ CAPITAL]]&gt;0,FINANCIACION[[#This Row],[$ CAPITAL]])</f>
        <v>0</v>
      </c>
      <c r="J125" s="36">
        <f>IF(FINANCIACION[[#This Row],[$ CAPITAL]]&gt;=0,FINANCIACION[[#This Row],[$ CAPITAL]]+FINANCIACION[[#This Row],[$ INTERESES]],0)</f>
        <v>0</v>
      </c>
    </row>
    <row r="126" spans="1:10" ht="24" hidden="1" customHeight="1" x14ac:dyDescent="0.25">
      <c r="A126" s="7">
        <v>43787</v>
      </c>
      <c r="B126" s="53" t="s">
        <v>197</v>
      </c>
      <c r="C126" s="5">
        <v>6250000</v>
      </c>
      <c r="D126" s="5">
        <v>1114463.76</v>
      </c>
      <c r="E126" s="169">
        <f>+IF(FINANCIACION[[#This Row],[$ CAPITAL]]&gt;=0,FINANCIACION[[#This Row],[$ CAPITAL]]+FINANCIACION[[#This Row],[$ INTERESES]],"")</f>
        <v>7364463.7599999998</v>
      </c>
      <c r="F126" s="169">
        <f>+SUMIFS(FINANCIACION[$ CAPITAL],FINANCIACION[Fecha],"&lt;="&amp;FINANCIACION[[#This Row],[Fecha]],FINANCIACION[PRESTAMO],FINANCIACION[[#This Row],[PRESTAMO]])</f>
        <v>-118750000</v>
      </c>
      <c r="G126" s="56"/>
      <c r="H126" s="8"/>
      <c r="I126" s="5">
        <f>IF(FINANCIACION[[#This Row],[$ CAPITAL]]&gt;0,FINANCIACION[[#This Row],[$ CAPITAL]])</f>
        <v>6250000</v>
      </c>
      <c r="J126" s="36">
        <f>IF(FINANCIACION[[#This Row],[$ CAPITAL]]&gt;=0,FINANCIACION[[#This Row],[$ CAPITAL]]+FINANCIACION[[#This Row],[$ INTERESES]],0)</f>
        <v>7364463.7599999998</v>
      </c>
    </row>
    <row r="127" spans="1:10" ht="24" hidden="1" customHeight="1" x14ac:dyDescent="0.25">
      <c r="A127" s="7">
        <v>43787</v>
      </c>
      <c r="B127" s="53" t="s">
        <v>1217</v>
      </c>
      <c r="C127" s="5">
        <v>1442047.66666667</v>
      </c>
      <c r="D127" s="5">
        <v>4639789.3333333302</v>
      </c>
      <c r="E127" s="169">
        <f>+IF(FINANCIACION[[#This Row],[$ CAPITAL]]&gt;=0,FINANCIACION[[#This Row],[$ CAPITAL]]+FINANCIACION[[#This Row],[$ INTERESES]],"")</f>
        <v>6081837</v>
      </c>
      <c r="F127" s="169">
        <f>+SUMIFS(FINANCIACION[$ CAPITAL],FINANCIACION[Fecha],"&lt;="&amp;FINANCIACION[[#This Row],[Fecha]],FINANCIACION[PRESTAMO],FINANCIACION[[#This Row],[PRESTAMO]])</f>
        <v>-366124473.36515146</v>
      </c>
      <c r="G127" s="56"/>
      <c r="H127" s="8"/>
      <c r="I127" s="5">
        <f>IF(FINANCIACION[[#This Row],[$ CAPITAL]]&gt;0,FINANCIACION[[#This Row],[$ CAPITAL]])</f>
        <v>1442047.66666667</v>
      </c>
      <c r="J127" s="36">
        <f>IF(FINANCIACION[[#This Row],[$ CAPITAL]]&gt;=0,FINANCIACION[[#This Row],[$ CAPITAL]]+FINANCIACION[[#This Row],[$ INTERESES]],0)</f>
        <v>6081837</v>
      </c>
    </row>
    <row r="128" spans="1:10" ht="24" hidden="1" customHeight="1" x14ac:dyDescent="0.25">
      <c r="A128" s="7">
        <v>43789</v>
      </c>
      <c r="B128" s="53" t="s">
        <v>1216</v>
      </c>
      <c r="C128" s="5">
        <v>260000</v>
      </c>
      <c r="D128" s="5">
        <v>740000</v>
      </c>
      <c r="E128" s="169">
        <f>+IF(FINANCIACION[[#This Row],[$ CAPITAL]]&gt;=0,FINANCIACION[[#This Row],[$ CAPITAL]]+FINANCIACION[[#This Row],[$ INTERESES]],"")</f>
        <v>1000000</v>
      </c>
      <c r="F128" s="169">
        <f>+SUMIFS(FINANCIACION[$ CAPITAL],FINANCIACION[Fecha],"&lt;="&amp;FINANCIACION[[#This Row],[Fecha]],FINANCIACION[PRESTAMO],FINANCIACION[[#This Row],[PRESTAMO]])</f>
        <v>-58769154</v>
      </c>
      <c r="G128" s="56"/>
      <c r="H128" s="8"/>
      <c r="I128" s="5">
        <f>IF(FINANCIACION[[#This Row],[$ CAPITAL]]&gt;0,FINANCIACION[[#This Row],[$ CAPITAL]])</f>
        <v>260000</v>
      </c>
      <c r="J128" s="36">
        <f>IF(FINANCIACION[[#This Row],[$ CAPITAL]]&gt;=0,FINANCIACION[[#This Row],[$ CAPITAL]]+FINANCIACION[[#This Row],[$ INTERESES]],0)</f>
        <v>1000000</v>
      </c>
    </row>
    <row r="129" spans="1:10" ht="24" hidden="1" customHeight="1" x14ac:dyDescent="0.25">
      <c r="A129" s="7">
        <v>43791</v>
      </c>
      <c r="B129" s="53" t="s">
        <v>1218</v>
      </c>
      <c r="C129" s="5">
        <v>-52091.23</v>
      </c>
      <c r="D129" s="5"/>
      <c r="E129" s="169" t="str">
        <f>+IF(FINANCIACION[[#This Row],[$ CAPITAL]]&gt;=0,FINANCIACION[[#This Row],[$ CAPITAL]]+FINANCIACION[[#This Row],[$ INTERESES]],"")</f>
        <v/>
      </c>
      <c r="F129" s="169">
        <f>+SUMIFS(FINANCIACION[$ CAPITAL],FINANCIACION[Fecha],"&lt;="&amp;FINANCIACION[[#This Row],[Fecha]],FINANCIACION[PRESTAMO],FINANCIACION[[#This Row],[PRESTAMO]])</f>
        <v>-31301039.390000004</v>
      </c>
      <c r="G129" s="56"/>
      <c r="H129" s="8"/>
      <c r="I129" s="5" t="b">
        <f>IF(FINANCIACION[[#This Row],[$ CAPITAL]]&gt;0,FINANCIACION[[#This Row],[$ CAPITAL]])</f>
        <v>0</v>
      </c>
      <c r="J129" s="36">
        <f>IF(FINANCIACION[[#This Row],[$ CAPITAL]]&gt;=0,FINANCIACION[[#This Row],[$ CAPITAL]]+FINANCIACION[[#This Row],[$ INTERESES]],0)</f>
        <v>0</v>
      </c>
    </row>
    <row r="130" spans="1:10" ht="24" hidden="1" customHeight="1" x14ac:dyDescent="0.25">
      <c r="A130" s="7">
        <v>43794</v>
      </c>
      <c r="B130" s="53" t="s">
        <v>193</v>
      </c>
      <c r="C130" s="5">
        <v>1250000</v>
      </c>
      <c r="D130" s="5">
        <v>1130711</v>
      </c>
      <c r="E130" s="169">
        <f>+IF(FINANCIACION[[#This Row],[$ CAPITAL]]&gt;=0,FINANCIACION[[#This Row],[$ CAPITAL]]+FINANCIACION[[#This Row],[$ INTERESES]],"")</f>
        <v>2380711</v>
      </c>
      <c r="F130" s="169">
        <f>+SUMIFS(FINANCIACION[$ CAPITAL],FINANCIACION[Fecha],"&lt;="&amp;FINANCIACION[[#This Row],[Fecha]],FINANCIACION[PRESTAMO],FINANCIACION[[#This Row],[PRESTAMO]])</f>
        <v>-21250000</v>
      </c>
      <c r="G130" s="56"/>
      <c r="H130" s="8"/>
      <c r="I130" s="5">
        <f>IF(FINANCIACION[[#This Row],[$ CAPITAL]]&gt;0,FINANCIACION[[#This Row],[$ CAPITAL]])</f>
        <v>1250000</v>
      </c>
      <c r="J130" s="36">
        <f>IF(FINANCIACION[[#This Row],[$ CAPITAL]]&gt;=0,FINANCIACION[[#This Row],[$ CAPITAL]]+FINANCIACION[[#This Row],[$ INTERESES]],0)</f>
        <v>2380711</v>
      </c>
    </row>
    <row r="131" spans="1:10" ht="24" hidden="1" customHeight="1" x14ac:dyDescent="0.25">
      <c r="A131" s="7">
        <v>43799</v>
      </c>
      <c r="B131" s="53" t="s">
        <v>1219</v>
      </c>
      <c r="C131" s="5"/>
      <c r="D131" s="5">
        <v>840000</v>
      </c>
      <c r="E131" s="169">
        <f>+IF(FINANCIACION[[#This Row],[$ CAPITAL]]&gt;=0,FINANCIACION[[#This Row],[$ CAPITAL]]+FINANCIACION[[#This Row],[$ INTERESES]],"")</f>
        <v>840000</v>
      </c>
      <c r="F131" s="169">
        <f>+SUMIFS(FINANCIACION[$ CAPITAL],FINANCIACION[Fecha],"&lt;="&amp;FINANCIACION[[#This Row],[Fecha]],FINANCIACION[PRESTAMO],FINANCIACION[[#This Row],[PRESTAMO]])</f>
        <v>-84000000</v>
      </c>
      <c r="G131" s="56"/>
      <c r="H131" s="8"/>
      <c r="I131" s="5" t="b">
        <f>IF(FINANCIACION[[#This Row],[$ CAPITAL]]&gt;0,FINANCIACION[[#This Row],[$ CAPITAL]])</f>
        <v>0</v>
      </c>
      <c r="J131" s="36">
        <f>IF(FINANCIACION[[#This Row],[$ CAPITAL]]&gt;=0,FINANCIACION[[#This Row],[$ CAPITAL]]+FINANCIACION[[#This Row],[$ INTERESES]],0)</f>
        <v>840000</v>
      </c>
    </row>
    <row r="132" spans="1:10" ht="24" hidden="1" customHeight="1" x14ac:dyDescent="0.25">
      <c r="A132" s="7">
        <v>43799</v>
      </c>
      <c r="B132" s="53" t="s">
        <v>1218</v>
      </c>
      <c r="C132" s="5">
        <v>104672.72000000067</v>
      </c>
      <c r="D132" s="5"/>
      <c r="E132" s="169">
        <f>+IF(FINANCIACION[[#This Row],[$ CAPITAL]]&gt;=0,FINANCIACION[[#This Row],[$ CAPITAL]]+FINANCIACION[[#This Row],[$ INTERESES]],"")</f>
        <v>104672.72000000067</v>
      </c>
      <c r="F132" s="169">
        <f>+SUMIFS(FINANCIACION[$ CAPITAL],FINANCIACION[Fecha],"&lt;="&amp;FINANCIACION[[#This Row],[Fecha]],FINANCIACION[PRESTAMO],FINANCIACION[[#This Row],[PRESTAMO]])</f>
        <v>-31196366.670000002</v>
      </c>
      <c r="G132" s="8"/>
      <c r="H132" s="8"/>
      <c r="I132" s="5">
        <f>IF(FINANCIACION[[#This Row],[$ CAPITAL]]&gt;0,FINANCIACION[[#This Row],[$ CAPITAL]])</f>
        <v>104672.72000000067</v>
      </c>
      <c r="J132" s="36">
        <f>IF(FINANCIACION[[#This Row],[$ CAPITAL]]&gt;=0,FINANCIACION[[#This Row],[$ CAPITAL]]+FINANCIACION[[#This Row],[$ INTERESES]],0)</f>
        <v>104672.72000000067</v>
      </c>
    </row>
    <row r="133" spans="1:10" ht="24" hidden="1" customHeight="1" x14ac:dyDescent="0.25">
      <c r="A133" s="7">
        <v>43801</v>
      </c>
      <c r="B133" s="53" t="s">
        <v>1218</v>
      </c>
      <c r="C133" s="5">
        <v>2000000</v>
      </c>
      <c r="D133" s="5"/>
      <c r="E133" s="169">
        <f>+IF(FINANCIACION[[#This Row],[$ CAPITAL]]&gt;=0,FINANCIACION[[#This Row],[$ CAPITAL]]+FINANCIACION[[#This Row],[$ INTERESES]],"")</f>
        <v>2000000</v>
      </c>
      <c r="F133" s="169">
        <f>+SUMIFS(FINANCIACION[$ CAPITAL],FINANCIACION[Fecha],"&lt;="&amp;FINANCIACION[[#This Row],[Fecha]],FINANCIACION[PRESTAMO],FINANCIACION[[#This Row],[PRESTAMO]])</f>
        <v>-26683131.670000002</v>
      </c>
      <c r="G133" s="8"/>
      <c r="H133" s="8"/>
      <c r="I133" s="5">
        <f>IF(FINANCIACION[[#This Row],[$ CAPITAL]]&gt;0,FINANCIACION[[#This Row],[$ CAPITAL]])</f>
        <v>2000000</v>
      </c>
      <c r="J133" s="36">
        <f>IF(FINANCIACION[[#This Row],[$ CAPITAL]]&gt;=0,FINANCIACION[[#This Row],[$ CAPITAL]]+FINANCIACION[[#This Row],[$ INTERESES]],0)</f>
        <v>2000000</v>
      </c>
    </row>
    <row r="134" spans="1:10" ht="24" hidden="1" customHeight="1" x14ac:dyDescent="0.25">
      <c r="A134" s="7">
        <v>43801</v>
      </c>
      <c r="B134" s="53" t="s">
        <v>1218</v>
      </c>
      <c r="C134" s="5">
        <v>2513235</v>
      </c>
      <c r="D134" s="5"/>
      <c r="E134" s="169">
        <f>+IF(FINANCIACION[[#This Row],[$ CAPITAL]]&gt;=0,FINANCIACION[[#This Row],[$ CAPITAL]]+FINANCIACION[[#This Row],[$ INTERESES]],"")</f>
        <v>2513235</v>
      </c>
      <c r="F134" s="169">
        <f>+SUMIFS(FINANCIACION[$ CAPITAL],FINANCIACION[Fecha],"&lt;="&amp;FINANCIACION[[#This Row],[Fecha]],FINANCIACION[PRESTAMO],FINANCIACION[[#This Row],[PRESTAMO]])</f>
        <v>-26683131.670000002</v>
      </c>
      <c r="G134" s="8"/>
      <c r="H134" s="56"/>
      <c r="I134" s="5">
        <f>IF(FINANCIACION[[#This Row],[$ CAPITAL]]&gt;0,FINANCIACION[[#This Row],[$ CAPITAL]])</f>
        <v>2513235</v>
      </c>
      <c r="J134" s="9">
        <f>IF(FINANCIACION[[#This Row],[$ CAPITAL]]&gt;=0,FINANCIACION[[#This Row],[$ CAPITAL]]+FINANCIACION[[#This Row],[$ INTERESES]],0)</f>
        <v>2513235</v>
      </c>
    </row>
    <row r="135" spans="1:10" ht="24" hidden="1" customHeight="1" x14ac:dyDescent="0.25">
      <c r="A135" s="7">
        <v>43802</v>
      </c>
      <c r="B135" s="53" t="s">
        <v>194</v>
      </c>
      <c r="C135" s="5">
        <v>3472222</v>
      </c>
      <c r="D135" s="5">
        <v>979318</v>
      </c>
      <c r="E135" s="169">
        <f>+IF(FINANCIACION[[#This Row],[$ CAPITAL]]&gt;=0,FINANCIACION[[#This Row],[$ CAPITAL]]+FINANCIACION[[#This Row],[$ INTERESES]],"")</f>
        <v>4451540</v>
      </c>
      <c r="F135" s="169">
        <f>+SUMIFS(FINANCIACION[$ CAPITAL],FINANCIACION[Fecha],"&lt;="&amp;FINANCIACION[[#This Row],[Fecha]],FINANCIACION[PRESTAMO],FINANCIACION[[#This Row],[PRESTAMO]])</f>
        <v>-86805558</v>
      </c>
      <c r="G135" s="56"/>
      <c r="H135" s="8"/>
      <c r="I135" s="5">
        <f>IF(FINANCIACION[[#This Row],[$ CAPITAL]]&gt;0,FINANCIACION[[#This Row],[$ CAPITAL]])</f>
        <v>3472222</v>
      </c>
      <c r="J135" s="36">
        <f>IF(FINANCIACION[[#This Row],[$ CAPITAL]]&gt;=0,FINANCIACION[[#This Row],[$ CAPITAL]]+FINANCIACION[[#This Row],[$ INTERESES]],0)</f>
        <v>4451540</v>
      </c>
    </row>
    <row r="136" spans="1:10" ht="24" hidden="1" customHeight="1" x14ac:dyDescent="0.25">
      <c r="A136" s="7">
        <v>43802</v>
      </c>
      <c r="B136" s="53" t="s">
        <v>1218</v>
      </c>
      <c r="C136" s="5">
        <v>-1222427.73</v>
      </c>
      <c r="D136" s="5"/>
      <c r="E136" s="169" t="str">
        <f>+IF(FINANCIACION[[#This Row],[$ CAPITAL]]&gt;=0,FINANCIACION[[#This Row],[$ CAPITAL]]+FINANCIACION[[#This Row],[$ INTERESES]],"")</f>
        <v/>
      </c>
      <c r="F136" s="169">
        <f>+SUMIFS(FINANCIACION[$ CAPITAL],FINANCIACION[Fecha],"&lt;="&amp;FINANCIACION[[#This Row],[Fecha]],FINANCIACION[PRESTAMO],FINANCIACION[[#This Row],[PRESTAMO]])</f>
        <v>-19405559.400000002</v>
      </c>
      <c r="G136" s="56"/>
      <c r="H136" s="8"/>
      <c r="I136" s="5" t="b">
        <f>IF(FINANCIACION[[#This Row],[$ CAPITAL]]&gt;0,FINANCIACION[[#This Row],[$ CAPITAL]])</f>
        <v>0</v>
      </c>
      <c r="J136" s="36">
        <f>IF(FINANCIACION[[#This Row],[$ CAPITAL]]&gt;=0,FINANCIACION[[#This Row],[$ CAPITAL]]+FINANCIACION[[#This Row],[$ INTERESES]],0)</f>
        <v>0</v>
      </c>
    </row>
    <row r="137" spans="1:10" ht="24" hidden="1" customHeight="1" x14ac:dyDescent="0.25">
      <c r="A137" s="7">
        <v>43802</v>
      </c>
      <c r="B137" s="53" t="s">
        <v>1218</v>
      </c>
      <c r="C137" s="5">
        <v>8500000</v>
      </c>
      <c r="D137" s="5"/>
      <c r="E137" s="169">
        <f>+IF(FINANCIACION[[#This Row],[$ CAPITAL]]&gt;=0,FINANCIACION[[#This Row],[$ CAPITAL]]+FINANCIACION[[#This Row],[$ INTERESES]],"")</f>
        <v>8500000</v>
      </c>
      <c r="F137" s="169">
        <f>+SUMIFS(FINANCIACION[$ CAPITAL],FINANCIACION[Fecha],"&lt;="&amp;FINANCIACION[[#This Row],[Fecha]],FINANCIACION[PRESTAMO],FINANCIACION[[#This Row],[PRESTAMO]])</f>
        <v>-19405559.400000002</v>
      </c>
      <c r="G137" s="56"/>
      <c r="H137" s="8"/>
      <c r="I137" s="5">
        <f>IF(FINANCIACION[[#This Row],[$ CAPITAL]]&gt;0,FINANCIACION[[#This Row],[$ CAPITAL]])</f>
        <v>8500000</v>
      </c>
      <c r="J137" s="36">
        <f>IF(FINANCIACION[[#This Row],[$ CAPITAL]]&gt;=0,FINANCIACION[[#This Row],[$ CAPITAL]]+FINANCIACION[[#This Row],[$ INTERESES]],0)</f>
        <v>8500000</v>
      </c>
    </row>
    <row r="138" spans="1:10" ht="24" hidden="1" customHeight="1" x14ac:dyDescent="0.25">
      <c r="A138" s="7">
        <v>43803</v>
      </c>
      <c r="B138" s="53" t="s">
        <v>1218</v>
      </c>
      <c r="C138" s="5">
        <v>2500000</v>
      </c>
      <c r="D138" s="5">
        <v>411308.33000000007</v>
      </c>
      <c r="E138" s="169">
        <f>+IF(FINANCIACION[[#This Row],[$ CAPITAL]]&gt;=0,FINANCIACION[[#This Row],[$ CAPITAL]]+FINANCIACION[[#This Row],[$ INTERESES]],"")</f>
        <v>2911308.33</v>
      </c>
      <c r="F138" s="169">
        <f>+SUMIFS(FINANCIACION[$ CAPITAL],FINANCIACION[Fecha],"&lt;="&amp;FINANCIACION[[#This Row],[Fecha]],FINANCIACION[PRESTAMO],FINANCIACION[[#This Row],[PRESTAMO]])</f>
        <v>-17478237.280000001</v>
      </c>
      <c r="G138" s="56"/>
      <c r="H138" s="8"/>
      <c r="I138" s="5">
        <f>IF(FINANCIACION[[#This Row],[$ CAPITAL]]&gt;0,FINANCIACION[[#This Row],[$ CAPITAL]])</f>
        <v>2500000</v>
      </c>
      <c r="J138" s="36">
        <f>IF(FINANCIACION[[#This Row],[$ CAPITAL]]&gt;=0,FINANCIACION[[#This Row],[$ CAPITAL]]+FINANCIACION[[#This Row],[$ INTERESES]],0)</f>
        <v>2911308.33</v>
      </c>
    </row>
    <row r="139" spans="1:10" ht="24" hidden="1" customHeight="1" x14ac:dyDescent="0.25">
      <c r="A139" s="7">
        <v>43803</v>
      </c>
      <c r="B139" s="53" t="s">
        <v>1218</v>
      </c>
      <c r="C139" s="5">
        <v>-572677.88</v>
      </c>
      <c r="D139" s="5"/>
      <c r="E139" s="169" t="str">
        <f>+IF(FINANCIACION[[#This Row],[$ CAPITAL]]&gt;=0,FINANCIACION[[#This Row],[$ CAPITAL]]+FINANCIACION[[#This Row],[$ INTERESES]],"")</f>
        <v/>
      </c>
      <c r="F139" s="169">
        <f>+SUMIFS(FINANCIACION[$ CAPITAL],FINANCIACION[Fecha],"&lt;="&amp;FINANCIACION[[#This Row],[Fecha]],FINANCIACION[PRESTAMO],FINANCIACION[[#This Row],[PRESTAMO]])</f>
        <v>-17478237.280000001</v>
      </c>
      <c r="G139" s="56"/>
      <c r="H139" s="8"/>
      <c r="I139" s="5" t="b">
        <f>IF(FINANCIACION[[#This Row],[$ CAPITAL]]&gt;0,FINANCIACION[[#This Row],[$ CAPITAL]])</f>
        <v>0</v>
      </c>
      <c r="J139" s="36">
        <f>IF(FINANCIACION[[#This Row],[$ CAPITAL]]&gt;=0,FINANCIACION[[#This Row],[$ CAPITAL]]+FINANCIACION[[#This Row],[$ INTERESES]],0)</f>
        <v>0</v>
      </c>
    </row>
    <row r="140" spans="1:10" ht="24" hidden="1" customHeight="1" x14ac:dyDescent="0.25">
      <c r="A140" s="7">
        <v>43804</v>
      </c>
      <c r="B140" s="53" t="s">
        <v>1218</v>
      </c>
      <c r="C140" s="5">
        <v>-961006.19</v>
      </c>
      <c r="D140" s="5"/>
      <c r="E140" s="169" t="str">
        <f>+IF(FINANCIACION[[#This Row],[$ CAPITAL]]&gt;=0,FINANCIACION[[#This Row],[$ CAPITAL]]+FINANCIACION[[#This Row],[$ INTERESES]],"")</f>
        <v/>
      </c>
      <c r="F140" s="169">
        <f>+SUMIFS(FINANCIACION[$ CAPITAL],FINANCIACION[Fecha],"&lt;="&amp;FINANCIACION[[#This Row],[Fecha]],FINANCIACION[PRESTAMO],FINANCIACION[[#This Row],[PRESTAMO]])</f>
        <v>-18439243.470000003</v>
      </c>
      <c r="G140" s="56"/>
      <c r="H140" s="8"/>
      <c r="I140" s="5" t="b">
        <f>IF(FINANCIACION[[#This Row],[$ CAPITAL]]&gt;0,FINANCIACION[[#This Row],[$ CAPITAL]])</f>
        <v>0</v>
      </c>
      <c r="J140" s="36">
        <f>IF(FINANCIACION[[#This Row],[$ CAPITAL]]&gt;=0,FINANCIACION[[#This Row],[$ CAPITAL]]+FINANCIACION[[#This Row],[$ INTERESES]],0)</f>
        <v>0</v>
      </c>
    </row>
    <row r="141" spans="1:10" ht="24" hidden="1" customHeight="1" x14ac:dyDescent="0.25">
      <c r="A141" s="7">
        <v>43805</v>
      </c>
      <c r="B141" s="53" t="s">
        <v>1216</v>
      </c>
      <c r="C141" s="5">
        <v>-9000000</v>
      </c>
      <c r="D141" s="5"/>
      <c r="E141" s="169" t="str">
        <f>+IF(FINANCIACION[[#This Row],[$ CAPITAL]]&gt;=0,FINANCIACION[[#This Row],[$ CAPITAL]]+FINANCIACION[[#This Row],[$ INTERESES]],"")</f>
        <v/>
      </c>
      <c r="F141" s="169">
        <f>+SUMIFS(FINANCIACION[$ CAPITAL],FINANCIACION[Fecha],"&lt;="&amp;FINANCIACION[[#This Row],[Fecha]],FINANCIACION[PRESTAMO],FINANCIACION[[#This Row],[PRESTAMO]])</f>
        <v>-67769154</v>
      </c>
      <c r="G141" s="56"/>
      <c r="H141" s="8"/>
      <c r="I141" s="5" t="b">
        <f>IF(FINANCIACION[[#This Row],[$ CAPITAL]]&gt;0,FINANCIACION[[#This Row],[$ CAPITAL]])</f>
        <v>0</v>
      </c>
      <c r="J141" s="36">
        <f>IF(FINANCIACION[[#This Row],[$ CAPITAL]]&gt;=0,FINANCIACION[[#This Row],[$ CAPITAL]]+FINANCIACION[[#This Row],[$ INTERESES]],0)</f>
        <v>0</v>
      </c>
    </row>
    <row r="142" spans="1:10" ht="24" hidden="1" customHeight="1" x14ac:dyDescent="0.25">
      <c r="A142" s="7">
        <v>43805</v>
      </c>
      <c r="B142" s="53" t="s">
        <v>197</v>
      </c>
      <c r="C142" s="5">
        <v>-31250000</v>
      </c>
      <c r="D142" s="5"/>
      <c r="E142" s="169" t="str">
        <f>+IF(FINANCIACION[[#This Row],[$ CAPITAL]]&gt;=0,FINANCIACION[[#This Row],[$ CAPITAL]]+FINANCIACION[[#This Row],[$ INTERESES]],"")</f>
        <v/>
      </c>
      <c r="F142" s="169">
        <f>+SUMIFS(FINANCIACION[$ CAPITAL],FINANCIACION[Fecha],"&lt;="&amp;FINANCIACION[[#This Row],[Fecha]],FINANCIACION[PRESTAMO],FINANCIACION[[#This Row],[PRESTAMO]])</f>
        <v>-150000000</v>
      </c>
      <c r="G142" s="56"/>
      <c r="H142" s="8"/>
      <c r="I142" s="5" t="b">
        <f>IF(FINANCIACION[[#This Row],[$ CAPITAL]]&gt;0,FINANCIACION[[#This Row],[$ CAPITAL]])</f>
        <v>0</v>
      </c>
      <c r="J142" s="36">
        <f>IF(FINANCIACION[[#This Row],[$ CAPITAL]]&gt;=0,FINANCIACION[[#This Row],[$ CAPITAL]]+FINANCIACION[[#This Row],[$ INTERESES]],0)</f>
        <v>0</v>
      </c>
    </row>
    <row r="143" spans="1:10" ht="24" hidden="1" customHeight="1" x14ac:dyDescent="0.25">
      <c r="A143" s="7">
        <v>43805</v>
      </c>
      <c r="B143" s="53" t="s">
        <v>1218</v>
      </c>
      <c r="C143" s="5">
        <v>-87634.19</v>
      </c>
      <c r="D143" s="5"/>
      <c r="E143" s="169" t="str">
        <f>+IF(FINANCIACION[[#This Row],[$ CAPITAL]]&gt;=0,FINANCIACION[[#This Row],[$ CAPITAL]]+FINANCIACION[[#This Row],[$ INTERESES]],"")</f>
        <v/>
      </c>
      <c r="F143" s="169">
        <f>+SUMIFS(FINANCIACION[$ CAPITAL],FINANCIACION[Fecha],"&lt;="&amp;FINANCIACION[[#This Row],[Fecha]],FINANCIACION[PRESTAMO],FINANCIACION[[#This Row],[PRESTAMO]])</f>
        <v>-18526877.660000004</v>
      </c>
      <c r="G143" s="8"/>
      <c r="H143" s="8"/>
      <c r="I143" s="5" t="b">
        <f>IF(FINANCIACION[[#This Row],[$ CAPITAL]]&gt;0,FINANCIACION[[#This Row],[$ CAPITAL]])</f>
        <v>0</v>
      </c>
      <c r="J143" s="36">
        <f>IF(FINANCIACION[[#This Row],[$ CAPITAL]]&gt;=0,FINANCIACION[[#This Row],[$ CAPITAL]]+FINANCIACION[[#This Row],[$ INTERESES]],0)</f>
        <v>0</v>
      </c>
    </row>
    <row r="144" spans="1:10" ht="24" hidden="1" customHeight="1" x14ac:dyDescent="0.25">
      <c r="A144" s="7">
        <v>43809</v>
      </c>
      <c r="B144" s="53" t="s">
        <v>1215</v>
      </c>
      <c r="C144" s="5"/>
      <c r="D144" s="5">
        <v>950000</v>
      </c>
      <c r="E144" s="169">
        <f>+IF(FINANCIACION[[#This Row],[$ CAPITAL]]&gt;=0,FINANCIACION[[#This Row],[$ CAPITAL]]+FINANCIACION[[#This Row],[$ INTERESES]],"")</f>
        <v>950000</v>
      </c>
      <c r="F144" s="169">
        <f>+SUMIFS(FINANCIACION[$ CAPITAL],FINANCIACION[Fecha],"&lt;="&amp;FINANCIACION[[#This Row],[Fecha]],FINANCIACION[PRESTAMO],FINANCIACION[[#This Row],[PRESTAMO]])</f>
        <v>-94935167</v>
      </c>
      <c r="G144" s="8"/>
      <c r="H144" s="8"/>
      <c r="I144" s="5" t="b">
        <f>IF(FINANCIACION[[#This Row],[$ CAPITAL]]&gt;0,FINANCIACION[[#This Row],[$ CAPITAL]])</f>
        <v>0</v>
      </c>
      <c r="J144" s="36">
        <f>IF(FINANCIACION[[#This Row],[$ CAPITAL]]&gt;=0,FINANCIACION[[#This Row],[$ CAPITAL]]+FINANCIACION[[#This Row],[$ INTERESES]],0)</f>
        <v>950000</v>
      </c>
    </row>
    <row r="145" spans="1:10" ht="24" hidden="1" customHeight="1" x14ac:dyDescent="0.25">
      <c r="A145" s="7">
        <v>43809</v>
      </c>
      <c r="B145" s="53" t="s">
        <v>194</v>
      </c>
      <c r="C145" s="5">
        <v>42000000</v>
      </c>
      <c r="D145" s="5"/>
      <c r="E145" s="169">
        <f>+IF(FINANCIACION[[#This Row],[$ CAPITAL]]&gt;=0,FINANCIACION[[#This Row],[$ CAPITAL]]+FINANCIACION[[#This Row],[$ INTERESES]],"")</f>
        <v>42000000</v>
      </c>
      <c r="F145" s="169">
        <f>+SUMIFS(FINANCIACION[$ CAPITAL],FINANCIACION[Fecha],"&lt;="&amp;FINANCIACION[[#This Row],[Fecha]],FINANCIACION[PRESTAMO],FINANCIACION[[#This Row],[PRESTAMO]])</f>
        <v>-44805558</v>
      </c>
      <c r="G145" s="8"/>
      <c r="H145" s="8"/>
      <c r="I145" s="5">
        <f>IF(FINANCIACION[[#This Row],[$ CAPITAL]]&gt;0,FINANCIACION[[#This Row],[$ CAPITAL]])</f>
        <v>42000000</v>
      </c>
      <c r="J145" s="36">
        <f>IF(FINANCIACION[[#This Row],[$ CAPITAL]]&gt;=0,FINANCIACION[[#This Row],[$ CAPITAL]]+FINANCIACION[[#This Row],[$ INTERESES]],0)</f>
        <v>42000000</v>
      </c>
    </row>
    <row r="146" spans="1:10" ht="24" hidden="1" customHeight="1" x14ac:dyDescent="0.25">
      <c r="A146" s="7">
        <v>43809</v>
      </c>
      <c r="B146" s="53" t="s">
        <v>1218</v>
      </c>
      <c r="C146" s="5">
        <v>-875903.97</v>
      </c>
      <c r="D146" s="5"/>
      <c r="E146" s="169" t="str">
        <f>+IF(FINANCIACION[[#This Row],[$ CAPITAL]]&gt;=0,FINANCIACION[[#This Row],[$ CAPITAL]]+FINANCIACION[[#This Row],[$ INTERESES]],"")</f>
        <v/>
      </c>
      <c r="F146" s="169">
        <f>+SUMIFS(FINANCIACION[$ CAPITAL],FINANCIACION[Fecha],"&lt;="&amp;FINANCIACION[[#This Row],[Fecha]],FINANCIACION[PRESTAMO],FINANCIACION[[#This Row],[PRESTAMO]])</f>
        <v>-24930475.09</v>
      </c>
      <c r="G146" s="8"/>
      <c r="H146" s="8"/>
      <c r="I146" s="5" t="b">
        <f>IF(FINANCIACION[[#This Row],[$ CAPITAL]]&gt;0,FINANCIACION[[#This Row],[$ CAPITAL]])</f>
        <v>0</v>
      </c>
      <c r="J146" s="36">
        <f>IF(FINANCIACION[[#This Row],[$ CAPITAL]]&gt;=0,FINANCIACION[[#This Row],[$ CAPITAL]]+FINANCIACION[[#This Row],[$ INTERESES]],0)</f>
        <v>0</v>
      </c>
    </row>
    <row r="147" spans="1:10" ht="24" hidden="1" customHeight="1" x14ac:dyDescent="0.25">
      <c r="A147" s="7">
        <v>43809</v>
      </c>
      <c r="B147" s="53" t="s">
        <v>1218</v>
      </c>
      <c r="C147" s="5">
        <v>-322754.74</v>
      </c>
      <c r="D147" s="5"/>
      <c r="E147" s="169" t="str">
        <f>+IF(FINANCIACION[[#This Row],[$ CAPITAL]]&gt;=0,FINANCIACION[[#This Row],[$ CAPITAL]]+FINANCIACION[[#This Row],[$ INTERESES]],"")</f>
        <v/>
      </c>
      <c r="F147" s="169">
        <f>+SUMIFS(FINANCIACION[$ CAPITAL],FINANCIACION[Fecha],"&lt;="&amp;FINANCIACION[[#This Row],[Fecha]],FINANCIACION[PRESTAMO],FINANCIACION[[#This Row],[PRESTAMO]])</f>
        <v>-24930475.09</v>
      </c>
      <c r="G147" s="8"/>
      <c r="H147" s="8"/>
      <c r="I147" s="5" t="b">
        <f>IF(FINANCIACION[[#This Row],[$ CAPITAL]]&gt;0,FINANCIACION[[#This Row],[$ CAPITAL]])</f>
        <v>0</v>
      </c>
      <c r="J147" s="36">
        <f>IF(FINANCIACION[[#This Row],[$ CAPITAL]]&gt;=0,FINANCIACION[[#This Row],[$ CAPITAL]]+FINANCIACION[[#This Row],[$ INTERESES]],0)</f>
        <v>0</v>
      </c>
    </row>
    <row r="148" spans="1:10" ht="24" hidden="1" customHeight="1" x14ac:dyDescent="0.25">
      <c r="A148" s="7">
        <v>43809</v>
      </c>
      <c r="B148" s="53" t="s">
        <v>1218</v>
      </c>
      <c r="C148" s="5">
        <v>-69021.289999999994</v>
      </c>
      <c r="D148" s="5"/>
      <c r="E148" s="169" t="str">
        <f>+IF(FINANCIACION[[#This Row],[$ CAPITAL]]&gt;=0,FINANCIACION[[#This Row],[$ CAPITAL]]+FINANCIACION[[#This Row],[$ INTERESES]],"")</f>
        <v/>
      </c>
      <c r="F148" s="169">
        <f>+SUMIFS(FINANCIACION[$ CAPITAL],FINANCIACION[Fecha],"&lt;="&amp;FINANCIACION[[#This Row],[Fecha]],FINANCIACION[PRESTAMO],FINANCIACION[[#This Row],[PRESTAMO]])</f>
        <v>-24930475.09</v>
      </c>
      <c r="G148" s="8"/>
      <c r="H148" s="8"/>
      <c r="I148" s="5" t="b">
        <f>IF(FINANCIACION[[#This Row],[$ CAPITAL]]&gt;0,FINANCIACION[[#This Row],[$ CAPITAL]])</f>
        <v>0</v>
      </c>
      <c r="J148" s="36">
        <f>IF(FINANCIACION[[#This Row],[$ CAPITAL]]&gt;=0,FINANCIACION[[#This Row],[$ CAPITAL]]+FINANCIACION[[#This Row],[$ INTERESES]],0)</f>
        <v>0</v>
      </c>
    </row>
    <row r="149" spans="1:10" ht="24" hidden="1" customHeight="1" x14ac:dyDescent="0.25">
      <c r="A149" s="7">
        <v>43809</v>
      </c>
      <c r="B149" s="53" t="s">
        <v>1218</v>
      </c>
      <c r="C149" s="5">
        <v>-82794.81</v>
      </c>
      <c r="D149" s="5"/>
      <c r="E149" s="169" t="str">
        <f>+IF(FINANCIACION[[#This Row],[$ CAPITAL]]&gt;=0,FINANCIACION[[#This Row],[$ CAPITAL]]+FINANCIACION[[#This Row],[$ INTERESES]],"")</f>
        <v/>
      </c>
      <c r="F149" s="169">
        <f>+SUMIFS(FINANCIACION[$ CAPITAL],FINANCIACION[Fecha],"&lt;="&amp;FINANCIACION[[#This Row],[Fecha]],FINANCIACION[PRESTAMO],FINANCIACION[[#This Row],[PRESTAMO]])</f>
        <v>-24930475.09</v>
      </c>
      <c r="G149" s="8"/>
      <c r="H149" s="8"/>
      <c r="I149" s="5" t="b">
        <f>IF(FINANCIACION[[#This Row],[$ CAPITAL]]&gt;0,FINANCIACION[[#This Row],[$ CAPITAL]])</f>
        <v>0</v>
      </c>
      <c r="J149" s="36">
        <f>IF(FINANCIACION[[#This Row],[$ CAPITAL]]&gt;=0,FINANCIACION[[#This Row],[$ CAPITAL]]+FINANCIACION[[#This Row],[$ INTERESES]],0)</f>
        <v>0</v>
      </c>
    </row>
    <row r="150" spans="1:10" ht="24" hidden="1" customHeight="1" x14ac:dyDescent="0.25">
      <c r="A150" s="7">
        <v>43809</v>
      </c>
      <c r="B150" s="53" t="s">
        <v>1218</v>
      </c>
      <c r="C150" s="5">
        <v>-57245.120000000003</v>
      </c>
      <c r="D150" s="5"/>
      <c r="E150" s="169" t="str">
        <f>+IF(FINANCIACION[[#This Row],[$ CAPITAL]]&gt;=0,FINANCIACION[[#This Row],[$ CAPITAL]]+FINANCIACION[[#This Row],[$ INTERESES]],"")</f>
        <v/>
      </c>
      <c r="F150" s="169">
        <f>+SUMIFS(FINANCIACION[$ CAPITAL],FINANCIACION[Fecha],"&lt;="&amp;FINANCIACION[[#This Row],[Fecha]],FINANCIACION[PRESTAMO],FINANCIACION[[#This Row],[PRESTAMO]])</f>
        <v>-24930475.09</v>
      </c>
      <c r="G150" s="8"/>
      <c r="H150" s="8"/>
      <c r="I150" s="5" t="b">
        <f>IF(FINANCIACION[[#This Row],[$ CAPITAL]]&gt;0,FINANCIACION[[#This Row],[$ CAPITAL]])</f>
        <v>0</v>
      </c>
      <c r="J150" s="36">
        <f>IF(FINANCIACION[[#This Row],[$ CAPITAL]]&gt;=0,FINANCIACION[[#This Row],[$ CAPITAL]]+FINANCIACION[[#This Row],[$ INTERESES]],0)</f>
        <v>0</v>
      </c>
    </row>
    <row r="151" spans="1:10" ht="24" hidden="1" customHeight="1" x14ac:dyDescent="0.25">
      <c r="A151" s="7">
        <v>43809</v>
      </c>
      <c r="B151" s="53" t="s">
        <v>1218</v>
      </c>
      <c r="C151" s="5">
        <v>-4995877.5</v>
      </c>
      <c r="D151" s="5"/>
      <c r="E151" s="169" t="str">
        <f>+IF(FINANCIACION[[#This Row],[$ CAPITAL]]&gt;=0,FINANCIACION[[#This Row],[$ CAPITAL]]+FINANCIACION[[#This Row],[$ INTERESES]],"")</f>
        <v/>
      </c>
      <c r="F151" s="169">
        <f>+SUMIFS(FINANCIACION[$ CAPITAL],FINANCIACION[Fecha],"&lt;="&amp;FINANCIACION[[#This Row],[Fecha]],FINANCIACION[PRESTAMO],FINANCIACION[[#This Row],[PRESTAMO]])</f>
        <v>-24930475.09</v>
      </c>
      <c r="G151" s="8"/>
      <c r="H151" s="8"/>
      <c r="I151" s="5" t="b">
        <f>IF(FINANCIACION[[#This Row],[$ CAPITAL]]&gt;0,FINANCIACION[[#This Row],[$ CAPITAL]])</f>
        <v>0</v>
      </c>
      <c r="J151" s="36">
        <f>IF(FINANCIACION[[#This Row],[$ CAPITAL]]&gt;=0,FINANCIACION[[#This Row],[$ CAPITAL]]+FINANCIACION[[#This Row],[$ INTERESES]],0)</f>
        <v>0</v>
      </c>
    </row>
    <row r="152" spans="1:10" ht="24" hidden="1" customHeight="1" x14ac:dyDescent="0.25">
      <c r="A152" s="7">
        <v>43810</v>
      </c>
      <c r="B152" s="53" t="s">
        <v>1218</v>
      </c>
      <c r="C152" s="5">
        <v>-6179068.2499999898</v>
      </c>
      <c r="D152" s="5"/>
      <c r="E152" s="169" t="str">
        <f>+IF(FINANCIACION[[#This Row],[$ CAPITAL]]&gt;=0,FINANCIACION[[#This Row],[$ CAPITAL]]+FINANCIACION[[#This Row],[$ INTERESES]],"")</f>
        <v/>
      </c>
      <c r="F152" s="169">
        <f>+SUMIFS(FINANCIACION[$ CAPITAL],FINANCIACION[Fecha],"&lt;="&amp;FINANCIACION[[#This Row],[Fecha]],FINANCIACION[PRESTAMO],FINANCIACION[[#This Row],[PRESTAMO]])</f>
        <v>-31109543.339999989</v>
      </c>
      <c r="G152" s="8"/>
      <c r="H152" s="8"/>
      <c r="I152" s="5" t="b">
        <f>IF(FINANCIACION[[#This Row],[$ CAPITAL]]&gt;0,FINANCIACION[[#This Row],[$ CAPITAL]])</f>
        <v>0</v>
      </c>
      <c r="J152" s="36">
        <f>IF(FINANCIACION[[#This Row],[$ CAPITAL]]&gt;=0,FINANCIACION[[#This Row],[$ CAPITAL]]+FINANCIACION[[#This Row],[$ INTERESES]],0)</f>
        <v>0</v>
      </c>
    </row>
    <row r="153" spans="1:10" ht="24" hidden="1" customHeight="1" x14ac:dyDescent="0.25">
      <c r="A153" s="7">
        <v>43811</v>
      </c>
      <c r="B153" s="53" t="s">
        <v>1218</v>
      </c>
      <c r="C153" s="5">
        <v>7000000</v>
      </c>
      <c r="D153" s="5"/>
      <c r="E153" s="169">
        <f>+IF(FINANCIACION[[#This Row],[$ CAPITAL]]&gt;=0,FINANCIACION[[#This Row],[$ CAPITAL]]+FINANCIACION[[#This Row],[$ INTERESES]],"")</f>
        <v>7000000</v>
      </c>
      <c r="F153" s="169">
        <f>+SUMIFS(FINANCIACION[$ CAPITAL],FINANCIACION[Fecha],"&lt;="&amp;FINANCIACION[[#This Row],[Fecha]],FINANCIACION[PRESTAMO],FINANCIACION[[#This Row],[PRESTAMO]])</f>
        <v>-29858218.229999989</v>
      </c>
      <c r="G153" s="8"/>
      <c r="H153" s="8"/>
      <c r="I153" s="5">
        <f>IF(FINANCIACION[[#This Row],[$ CAPITAL]]&gt;0,FINANCIACION[[#This Row],[$ CAPITAL]])</f>
        <v>7000000</v>
      </c>
      <c r="J153" s="36">
        <f>IF(FINANCIACION[[#This Row],[$ CAPITAL]]&gt;=0,FINANCIACION[[#This Row],[$ CAPITAL]]+FINANCIACION[[#This Row],[$ INTERESES]],0)</f>
        <v>7000000</v>
      </c>
    </row>
    <row r="154" spans="1:10" ht="24" hidden="1" customHeight="1" x14ac:dyDescent="0.25">
      <c r="A154" s="7">
        <v>43811</v>
      </c>
      <c r="B154" s="53" t="s">
        <v>1218</v>
      </c>
      <c r="C154" s="5">
        <v>-5748674.8899999997</v>
      </c>
      <c r="D154" s="5"/>
      <c r="E154" s="169" t="str">
        <f>+IF(FINANCIACION[[#This Row],[$ CAPITAL]]&gt;=0,FINANCIACION[[#This Row],[$ CAPITAL]]+FINANCIACION[[#This Row],[$ INTERESES]],"")</f>
        <v/>
      </c>
      <c r="F154" s="169">
        <f>+SUMIFS(FINANCIACION[$ CAPITAL],FINANCIACION[Fecha],"&lt;="&amp;FINANCIACION[[#This Row],[Fecha]],FINANCIACION[PRESTAMO],FINANCIACION[[#This Row],[PRESTAMO]])</f>
        <v>-29858218.229999989</v>
      </c>
      <c r="G154" s="8"/>
      <c r="H154" s="8"/>
      <c r="I154" s="5" t="b">
        <f>IF(FINANCIACION[[#This Row],[$ CAPITAL]]&gt;0,FINANCIACION[[#This Row],[$ CAPITAL]])</f>
        <v>0</v>
      </c>
      <c r="J154" s="36">
        <f>IF(FINANCIACION[[#This Row],[$ CAPITAL]]&gt;=0,FINANCIACION[[#This Row],[$ CAPITAL]]+FINANCIACION[[#This Row],[$ INTERESES]],0)</f>
        <v>0</v>
      </c>
    </row>
    <row r="155" spans="1:10" ht="24" hidden="1" customHeight="1" x14ac:dyDescent="0.25">
      <c r="A155" s="7">
        <v>43817</v>
      </c>
      <c r="B155" s="53" t="s">
        <v>1217</v>
      </c>
      <c r="C155" s="5">
        <v>1459836.82424242</v>
      </c>
      <c r="D155" s="5">
        <v>4622000.1757575795</v>
      </c>
      <c r="E155" s="169">
        <f>+IF(FINANCIACION[[#This Row],[$ CAPITAL]]&gt;=0,FINANCIACION[[#This Row],[$ CAPITAL]]+FINANCIACION[[#This Row],[$ INTERESES]],"")</f>
        <v>6081837</v>
      </c>
      <c r="F155" s="169">
        <f>+SUMIFS(FINANCIACION[$ CAPITAL],FINANCIACION[Fecha],"&lt;="&amp;FINANCIACION[[#This Row],[Fecha]],FINANCIACION[PRESTAMO],FINANCIACION[[#This Row],[PRESTAMO]])</f>
        <v>-364664636.54090905</v>
      </c>
      <c r="G155" s="8"/>
      <c r="H155" s="8"/>
      <c r="I155" s="5">
        <f>IF(FINANCIACION[[#This Row],[$ CAPITAL]]&gt;0,FINANCIACION[[#This Row],[$ CAPITAL]])</f>
        <v>1459836.82424242</v>
      </c>
      <c r="J155" s="36">
        <f>IF(FINANCIACION[[#This Row],[$ CAPITAL]]&gt;=0,FINANCIACION[[#This Row],[$ CAPITAL]]+FINANCIACION[[#This Row],[$ INTERESES]],0)</f>
        <v>6081837</v>
      </c>
    </row>
    <row r="156" spans="1:10" ht="24" hidden="1" customHeight="1" x14ac:dyDescent="0.25">
      <c r="A156" s="7">
        <v>43819</v>
      </c>
      <c r="B156" s="53" t="s">
        <v>1216</v>
      </c>
      <c r="C156" s="5">
        <v>260000</v>
      </c>
      <c r="D156" s="5">
        <v>740000</v>
      </c>
      <c r="E156" s="169">
        <f>+IF(FINANCIACION[[#This Row],[$ CAPITAL]]&gt;=0,FINANCIACION[[#This Row],[$ CAPITAL]]+FINANCIACION[[#This Row],[$ INTERESES]],"")</f>
        <v>1000000</v>
      </c>
      <c r="F156" s="169">
        <f>+SUMIFS(FINANCIACION[$ CAPITAL],FINANCIACION[Fecha],"&lt;="&amp;FINANCIACION[[#This Row],[Fecha]],FINANCIACION[PRESTAMO],FINANCIACION[[#This Row],[PRESTAMO]])</f>
        <v>-67509154</v>
      </c>
      <c r="G156" s="8"/>
      <c r="H156" s="8"/>
      <c r="I156" s="5">
        <f>IF(FINANCIACION[[#This Row],[$ CAPITAL]]&gt;0,FINANCIACION[[#This Row],[$ CAPITAL]])</f>
        <v>260000</v>
      </c>
      <c r="J156" s="36">
        <f>IF(FINANCIACION[[#This Row],[$ CAPITAL]]&gt;=0,FINANCIACION[[#This Row],[$ CAPITAL]]+FINANCIACION[[#This Row],[$ INTERESES]],0)</f>
        <v>1000000</v>
      </c>
    </row>
    <row r="157" spans="1:10" ht="24" hidden="1" customHeight="1" x14ac:dyDescent="0.25">
      <c r="A157" s="7">
        <v>43822</v>
      </c>
      <c r="B157" s="53" t="s">
        <v>1218</v>
      </c>
      <c r="C157" s="5">
        <v>3000000</v>
      </c>
      <c r="D157" s="5"/>
      <c r="E157" s="169">
        <f>+IF(FINANCIACION[[#This Row],[$ CAPITAL]]&gt;=0,FINANCIACION[[#This Row],[$ CAPITAL]]+FINANCIACION[[#This Row],[$ INTERESES]],"")</f>
        <v>3000000</v>
      </c>
      <c r="F157" s="169">
        <f>+SUMIFS(FINANCIACION[$ CAPITAL],FINANCIACION[Fecha],"&lt;="&amp;FINANCIACION[[#This Row],[Fecha]],FINANCIACION[PRESTAMO],FINANCIACION[[#This Row],[PRESTAMO]])</f>
        <v>-20307307.229999989</v>
      </c>
      <c r="G157" s="8"/>
      <c r="H157" s="8"/>
      <c r="I157" s="5">
        <f>IF(FINANCIACION[[#This Row],[$ CAPITAL]]&gt;0,FINANCIACION[[#This Row],[$ CAPITAL]])</f>
        <v>3000000</v>
      </c>
      <c r="J157" s="36">
        <f>IF(FINANCIACION[[#This Row],[$ CAPITAL]]&gt;=0,FINANCIACION[[#This Row],[$ CAPITAL]]+FINANCIACION[[#This Row],[$ INTERESES]],0)</f>
        <v>3000000</v>
      </c>
    </row>
    <row r="158" spans="1:10" ht="24" hidden="1" customHeight="1" x14ac:dyDescent="0.25">
      <c r="A158" s="7">
        <v>43822</v>
      </c>
      <c r="B158" s="53" t="s">
        <v>1218</v>
      </c>
      <c r="C158" s="5">
        <v>7000000</v>
      </c>
      <c r="D158" s="5"/>
      <c r="E158" s="169">
        <f>+IF(FINANCIACION[[#This Row],[$ CAPITAL]]&gt;=0,FINANCIACION[[#This Row],[$ CAPITAL]]+FINANCIACION[[#This Row],[$ INTERESES]],"")</f>
        <v>7000000</v>
      </c>
      <c r="F158" s="169">
        <f>+SUMIFS(FINANCIACION[$ CAPITAL],FINANCIACION[Fecha],"&lt;="&amp;FINANCIACION[[#This Row],[Fecha]],FINANCIACION[PRESTAMO],FINANCIACION[[#This Row],[PRESTAMO]])</f>
        <v>-20307307.229999989</v>
      </c>
      <c r="G158" s="8"/>
      <c r="H158" s="8"/>
      <c r="I158" s="5">
        <f>IF(FINANCIACION[[#This Row],[$ CAPITAL]]&gt;0,FINANCIACION[[#This Row],[$ CAPITAL]])</f>
        <v>7000000</v>
      </c>
      <c r="J158" s="36">
        <f>IF(FINANCIACION[[#This Row],[$ CAPITAL]]&gt;=0,FINANCIACION[[#This Row],[$ CAPITAL]]+FINANCIACION[[#This Row],[$ INTERESES]],0)</f>
        <v>7000000</v>
      </c>
    </row>
    <row r="159" spans="1:10" ht="24" hidden="1" customHeight="1" x14ac:dyDescent="0.25">
      <c r="A159" s="7">
        <v>43822</v>
      </c>
      <c r="B159" s="53" t="s">
        <v>1218</v>
      </c>
      <c r="C159" s="5">
        <v>1307962</v>
      </c>
      <c r="D159" s="5"/>
      <c r="E159" s="169">
        <f>+IF(FINANCIACION[[#This Row],[$ CAPITAL]]&gt;=0,FINANCIACION[[#This Row],[$ CAPITAL]]+FINANCIACION[[#This Row],[$ INTERESES]],"")</f>
        <v>1307962</v>
      </c>
      <c r="F159" s="169">
        <f>+SUMIFS(FINANCIACION[$ CAPITAL],FINANCIACION[Fecha],"&lt;="&amp;FINANCIACION[[#This Row],[Fecha]],FINANCIACION[PRESTAMO],FINANCIACION[[#This Row],[PRESTAMO]])</f>
        <v>-20307307.229999989</v>
      </c>
      <c r="G159" s="8"/>
      <c r="H159" s="8"/>
      <c r="I159" s="5">
        <f>IF(FINANCIACION[[#This Row],[$ CAPITAL]]&gt;0,FINANCIACION[[#This Row],[$ CAPITAL]])</f>
        <v>1307962</v>
      </c>
      <c r="J159" s="36">
        <f>IF(FINANCIACION[[#This Row],[$ CAPITAL]]&gt;=0,FINANCIACION[[#This Row],[$ CAPITAL]]+FINANCIACION[[#This Row],[$ INTERESES]],0)</f>
        <v>1307962</v>
      </c>
    </row>
    <row r="160" spans="1:10" ht="24" hidden="1" customHeight="1" x14ac:dyDescent="0.25">
      <c r="A160" s="7">
        <v>43822</v>
      </c>
      <c r="B160" s="53" t="s">
        <v>1218</v>
      </c>
      <c r="C160" s="5">
        <v>-1757051</v>
      </c>
      <c r="D160" s="5"/>
      <c r="E160" s="169" t="str">
        <f>+IF(FINANCIACION[[#This Row],[$ CAPITAL]]&gt;=0,FINANCIACION[[#This Row],[$ CAPITAL]]+FINANCIACION[[#This Row],[$ INTERESES]],"")</f>
        <v/>
      </c>
      <c r="F160" s="169">
        <f>+SUMIFS(FINANCIACION[$ CAPITAL],FINANCIACION[Fecha],"&lt;="&amp;FINANCIACION[[#This Row],[Fecha]],FINANCIACION[PRESTAMO],FINANCIACION[[#This Row],[PRESTAMO]])</f>
        <v>-20307307.229999989</v>
      </c>
      <c r="G160" s="8"/>
      <c r="H160" s="8"/>
      <c r="I160" s="5" t="b">
        <f>IF(FINANCIACION[[#This Row],[$ CAPITAL]]&gt;0,FINANCIACION[[#This Row],[$ CAPITAL]])</f>
        <v>0</v>
      </c>
      <c r="J160" s="36">
        <f>IF(FINANCIACION[[#This Row],[$ CAPITAL]]&gt;=0,FINANCIACION[[#This Row],[$ CAPITAL]]+FINANCIACION[[#This Row],[$ INTERESES]],0)</f>
        <v>0</v>
      </c>
    </row>
    <row r="161" spans="1:10" ht="24" hidden="1" customHeight="1" x14ac:dyDescent="0.25">
      <c r="A161" s="7">
        <v>43825</v>
      </c>
      <c r="B161" s="53" t="s">
        <v>193</v>
      </c>
      <c r="C161" s="5">
        <v>1250000</v>
      </c>
      <c r="D161" s="5">
        <v>260739</v>
      </c>
      <c r="E161" s="169">
        <f>+IF(FINANCIACION[[#This Row],[$ CAPITAL]]&gt;=0,FINANCIACION[[#This Row],[$ CAPITAL]]+FINANCIACION[[#This Row],[$ INTERESES]],"")</f>
        <v>1510739</v>
      </c>
      <c r="F161" s="169">
        <f>+SUMIFS(FINANCIACION[$ CAPITAL],FINANCIACION[Fecha],"&lt;="&amp;FINANCIACION[[#This Row],[Fecha]],FINANCIACION[PRESTAMO],FINANCIACION[[#This Row],[PRESTAMO]])</f>
        <v>-20000000</v>
      </c>
      <c r="G161" s="8"/>
      <c r="H161" s="8"/>
      <c r="I161" s="5">
        <f>IF(FINANCIACION[[#This Row],[$ CAPITAL]]&gt;0,FINANCIACION[[#This Row],[$ CAPITAL]])</f>
        <v>1250000</v>
      </c>
      <c r="J161" s="36">
        <f>IF(FINANCIACION[[#This Row],[$ CAPITAL]]&gt;=0,FINANCIACION[[#This Row],[$ CAPITAL]]+FINANCIACION[[#This Row],[$ INTERESES]],0)</f>
        <v>1510739</v>
      </c>
    </row>
    <row r="162" spans="1:10" ht="24" hidden="1" customHeight="1" x14ac:dyDescent="0.25">
      <c r="A162" s="7">
        <v>43825</v>
      </c>
      <c r="B162" s="53" t="s">
        <v>1218</v>
      </c>
      <c r="C162" s="5">
        <v>1393603</v>
      </c>
      <c r="D162" s="5"/>
      <c r="E162" s="169">
        <f>+IF(FINANCIACION[[#This Row],[$ CAPITAL]]&gt;=0,FINANCIACION[[#This Row],[$ CAPITAL]]+FINANCIACION[[#This Row],[$ INTERESES]],"")</f>
        <v>1393603</v>
      </c>
      <c r="F162" s="169">
        <f>+SUMIFS(FINANCIACION[$ CAPITAL],FINANCIACION[Fecha],"&lt;="&amp;FINANCIACION[[#This Row],[Fecha]],FINANCIACION[PRESTAMO],FINANCIACION[[#This Row],[PRESTAMO]])</f>
        <v>-10323014.229999989</v>
      </c>
      <c r="G162" s="8"/>
      <c r="H162" s="8"/>
      <c r="I162" s="5">
        <f>IF(FINANCIACION[[#This Row],[$ CAPITAL]]&gt;0,FINANCIACION[[#This Row],[$ CAPITAL]])</f>
        <v>1393603</v>
      </c>
      <c r="J162" s="36">
        <f>IF(FINANCIACION[[#This Row],[$ CAPITAL]]&gt;=0,FINANCIACION[[#This Row],[$ CAPITAL]]+FINANCIACION[[#This Row],[$ INTERESES]],0)</f>
        <v>1393603</v>
      </c>
    </row>
    <row r="163" spans="1:10" ht="24" hidden="1" customHeight="1" x14ac:dyDescent="0.25">
      <c r="A163" s="7">
        <v>43825</v>
      </c>
      <c r="B163" s="53" t="s">
        <v>1218</v>
      </c>
      <c r="C163" s="5">
        <v>8590690</v>
      </c>
      <c r="D163" s="5"/>
      <c r="E163" s="169">
        <f>+IF(FINANCIACION[[#This Row],[$ CAPITAL]]&gt;=0,FINANCIACION[[#This Row],[$ CAPITAL]]+FINANCIACION[[#This Row],[$ INTERESES]],"")</f>
        <v>8590690</v>
      </c>
      <c r="F163" s="169">
        <f>+SUMIFS(FINANCIACION[$ CAPITAL],FINANCIACION[Fecha],"&lt;="&amp;FINANCIACION[[#This Row],[Fecha]],FINANCIACION[PRESTAMO],FINANCIACION[[#This Row],[PRESTAMO]])</f>
        <v>-10323014.229999989</v>
      </c>
      <c r="G163" s="8"/>
      <c r="H163" s="8"/>
      <c r="I163" s="5">
        <f>IF(FINANCIACION[[#This Row],[$ CAPITAL]]&gt;0,FINANCIACION[[#This Row],[$ CAPITAL]])</f>
        <v>8590690</v>
      </c>
      <c r="J163" s="36">
        <f>IF(FINANCIACION[[#This Row],[$ CAPITAL]]&gt;=0,FINANCIACION[[#This Row],[$ CAPITAL]]+FINANCIACION[[#This Row],[$ INTERESES]],0)</f>
        <v>8590690</v>
      </c>
    </row>
    <row r="164" spans="1:10" ht="24" hidden="1" customHeight="1" x14ac:dyDescent="0.25">
      <c r="A164" s="7">
        <v>43829</v>
      </c>
      <c r="B164" s="53" t="s">
        <v>1219</v>
      </c>
      <c r="C164" s="5"/>
      <c r="D164" s="5">
        <v>840000</v>
      </c>
      <c r="E164" s="169">
        <f>+IF(FINANCIACION[[#This Row],[$ CAPITAL]]&gt;=0,FINANCIACION[[#This Row],[$ CAPITAL]]+FINANCIACION[[#This Row],[$ INTERESES]],"")</f>
        <v>840000</v>
      </c>
      <c r="F164" s="169">
        <f>+SUMIFS(FINANCIACION[$ CAPITAL],FINANCIACION[Fecha],"&lt;="&amp;FINANCIACION[[#This Row],[Fecha]],FINANCIACION[PRESTAMO],FINANCIACION[[#This Row],[PRESTAMO]])</f>
        <v>-84000000</v>
      </c>
      <c r="G164" s="8"/>
      <c r="H164" s="8"/>
      <c r="I164" s="5" t="b">
        <f>IF(FINANCIACION[[#This Row],[$ CAPITAL]]&gt;0,FINANCIACION[[#This Row],[$ CAPITAL]])</f>
        <v>0</v>
      </c>
      <c r="J164" s="36">
        <f>IF(FINANCIACION[[#This Row],[$ CAPITAL]]&gt;=0,FINANCIACION[[#This Row],[$ CAPITAL]]+FINANCIACION[[#This Row],[$ INTERESES]],0)</f>
        <v>840000</v>
      </c>
    </row>
    <row r="165" spans="1:10" ht="24" hidden="1" customHeight="1" x14ac:dyDescent="0.25">
      <c r="A165" s="7">
        <v>43830</v>
      </c>
      <c r="B165" s="53" t="s">
        <v>1217</v>
      </c>
      <c r="C165" s="5">
        <v>-24464288.602231398</v>
      </c>
      <c r="D165" s="5"/>
      <c r="E165" s="169" t="str">
        <f>+IF(FINANCIACION[[#This Row],[$ CAPITAL]]&gt;=0,FINANCIACION[[#This Row],[$ CAPITAL]]+FINANCIACION[[#This Row],[$ INTERESES]],"")</f>
        <v/>
      </c>
      <c r="F165" s="169">
        <f>+SUMIFS(FINANCIACION[$ CAPITAL],FINANCIACION[Fecha],"&lt;="&amp;FINANCIACION[[#This Row],[Fecha]],FINANCIACION[PRESTAMO],FINANCIACION[[#This Row],[PRESTAMO]])</f>
        <v>-389128925.14314044</v>
      </c>
      <c r="G165" s="8"/>
      <c r="H165" s="8"/>
      <c r="I165" s="5" t="b">
        <f>IF(FINANCIACION[[#This Row],[$ CAPITAL]]&gt;0,FINANCIACION[[#This Row],[$ CAPITAL]])</f>
        <v>0</v>
      </c>
      <c r="J165" s="36">
        <f>IF(FINANCIACION[[#This Row],[$ CAPITAL]]&gt;=0,FINANCIACION[[#This Row],[$ CAPITAL]]+FINANCIACION[[#This Row],[$ INTERESES]],0)</f>
        <v>0</v>
      </c>
    </row>
    <row r="166" spans="1:10" ht="24" hidden="1" customHeight="1" x14ac:dyDescent="0.25">
      <c r="A166" s="7">
        <v>43830</v>
      </c>
      <c r="B166" s="53" t="s">
        <v>1218</v>
      </c>
      <c r="C166" s="5">
        <v>3100264.0500000007</v>
      </c>
      <c r="D166" s="5"/>
      <c r="E166" s="169">
        <f>+IF(FINANCIACION[[#This Row],[$ CAPITAL]]&gt;=0,FINANCIACION[[#This Row],[$ CAPITAL]]+FINANCIACION[[#This Row],[$ INTERESES]],"")</f>
        <v>3100264.0500000007</v>
      </c>
      <c r="F166" s="169">
        <f>+SUMIFS(FINANCIACION[$ CAPITAL],FINANCIACION[Fecha],"&lt;="&amp;FINANCIACION[[#This Row],[Fecha]],FINANCIACION[PRESTAMO],FINANCIACION[[#This Row],[PRESTAMO]])</f>
        <v>-11040476.949999999</v>
      </c>
      <c r="G166" s="8"/>
      <c r="H166" s="56"/>
      <c r="I166" s="5">
        <f>IF(FINANCIACION[[#This Row],[$ CAPITAL]]&gt;0,FINANCIACION[[#This Row],[$ CAPITAL]])</f>
        <v>3100264.0500000007</v>
      </c>
      <c r="J166" s="9">
        <f>IF(FINANCIACION[[#This Row],[$ CAPITAL]]&gt;=0,FINANCIACION[[#This Row],[$ CAPITAL]]+FINANCIACION[[#This Row],[$ INTERESES]],0)</f>
        <v>3100264.0500000007</v>
      </c>
    </row>
    <row r="167" spans="1:10" ht="24" hidden="1" customHeight="1" x14ac:dyDescent="0.25">
      <c r="A167" s="7">
        <v>43830</v>
      </c>
      <c r="B167" s="53" t="s">
        <v>1218</v>
      </c>
      <c r="C167" s="5">
        <v>-534158</v>
      </c>
      <c r="D167" s="5"/>
      <c r="E167" s="169" t="str">
        <f>+IF(FINANCIACION[[#This Row],[$ CAPITAL]]&gt;=0,FINANCIACION[[#This Row],[$ CAPITAL]]+FINANCIACION[[#This Row],[$ INTERESES]],"")</f>
        <v/>
      </c>
      <c r="F167" s="169">
        <f>+SUMIFS(FINANCIACION[$ CAPITAL],FINANCIACION[Fecha],"&lt;="&amp;FINANCIACION[[#This Row],[Fecha]],FINANCIACION[PRESTAMO],FINANCIACION[[#This Row],[PRESTAMO]])</f>
        <v>-11040476.949999999</v>
      </c>
      <c r="G167" s="8"/>
      <c r="H167" s="56"/>
      <c r="I167" s="5" t="b">
        <f>IF(FINANCIACION[[#This Row],[$ CAPITAL]]&gt;0,FINANCIACION[[#This Row],[$ CAPITAL]])</f>
        <v>0</v>
      </c>
      <c r="J167" s="9">
        <f>IF(FINANCIACION[[#This Row],[$ CAPITAL]]&gt;=0,FINANCIACION[[#This Row],[$ CAPITAL]]+FINANCIACION[[#This Row],[$ INTERESES]],0)</f>
        <v>0</v>
      </c>
    </row>
    <row r="168" spans="1:10" ht="24" hidden="1" customHeight="1" x14ac:dyDescent="0.25">
      <c r="A168" s="7">
        <v>43830</v>
      </c>
      <c r="B168" s="53" t="s">
        <v>1218</v>
      </c>
      <c r="C168" s="5">
        <v>-3253321.7700000107</v>
      </c>
      <c r="D168" s="5"/>
      <c r="E168" s="169" t="str">
        <f>+IF(FINANCIACION[[#This Row],[$ CAPITAL]]&gt;=0,FINANCIACION[[#This Row],[$ CAPITAL]]+FINANCIACION[[#This Row],[$ INTERESES]],"")</f>
        <v/>
      </c>
      <c r="F168" s="169">
        <f>+SUMIFS(FINANCIACION[$ CAPITAL],FINANCIACION[Fecha],"&lt;="&amp;FINANCIACION[[#This Row],[Fecha]],FINANCIACION[PRESTAMO],FINANCIACION[[#This Row],[PRESTAMO]])</f>
        <v>-11040476.949999999</v>
      </c>
      <c r="G168" s="8"/>
      <c r="H168" s="56"/>
      <c r="I168" s="5" t="b">
        <f>IF(FINANCIACION[[#This Row],[$ CAPITAL]]&gt;0,FINANCIACION[[#This Row],[$ CAPITAL]])</f>
        <v>0</v>
      </c>
      <c r="J168" s="9">
        <f>IF(FINANCIACION[[#This Row],[$ CAPITAL]]&gt;=0,FINANCIACION[[#This Row],[$ CAPITAL]]+FINANCIACION[[#This Row],[$ INTERESES]],0)</f>
        <v>0</v>
      </c>
    </row>
    <row r="169" spans="1:10" ht="24" hidden="1" customHeight="1" x14ac:dyDescent="0.25">
      <c r="A169" s="7">
        <v>43830</v>
      </c>
      <c r="B169" s="53" t="s">
        <v>1218</v>
      </c>
      <c r="C169" s="5">
        <v>-30247</v>
      </c>
      <c r="D169" s="5"/>
      <c r="E169" s="169" t="str">
        <f>+IF(FINANCIACION[[#This Row],[$ CAPITAL]]&gt;=0,FINANCIACION[[#This Row],[$ CAPITAL]]+FINANCIACION[[#This Row],[$ INTERESES]],"")</f>
        <v/>
      </c>
      <c r="F169" s="169">
        <f>+SUMIFS(FINANCIACION[$ CAPITAL],FINANCIACION[Fecha],"&lt;="&amp;FINANCIACION[[#This Row],[Fecha]],FINANCIACION[PRESTAMO],FINANCIACION[[#This Row],[PRESTAMO]])</f>
        <v>-11040476.949999999</v>
      </c>
      <c r="G169" s="8"/>
      <c r="H169" s="56"/>
      <c r="I169" s="5" t="b">
        <f>IF(FINANCIACION[[#This Row],[$ CAPITAL]]&gt;0,FINANCIACION[[#This Row],[$ CAPITAL]])</f>
        <v>0</v>
      </c>
      <c r="J169" s="9">
        <f>IF(FINANCIACION[[#This Row],[$ CAPITAL]]&gt;=0,FINANCIACION[[#This Row],[$ CAPITAL]]+FINANCIACION[[#This Row],[$ INTERESES]],0)</f>
        <v>0</v>
      </c>
    </row>
    <row r="170" spans="1:10" ht="24" hidden="1" customHeight="1" x14ac:dyDescent="0.25">
      <c r="A170" s="7">
        <v>43836</v>
      </c>
      <c r="B170" s="53" t="s">
        <v>197</v>
      </c>
      <c r="C170" s="5">
        <v>6250000</v>
      </c>
      <c r="D170" s="5">
        <v>1309053.1200000001</v>
      </c>
      <c r="E170" s="169">
        <f>+IF(FINANCIACION[[#This Row],[$ CAPITAL]]&gt;=0,FINANCIACION[[#This Row],[$ CAPITAL]]+FINANCIACION[[#This Row],[$ INTERESES]],"")</f>
        <v>7559053.1200000001</v>
      </c>
      <c r="F170" s="169">
        <f>+SUMIFS(FINANCIACION[$ CAPITAL],FINANCIACION[Fecha],"&lt;="&amp;FINANCIACION[[#This Row],[Fecha]],FINANCIACION[PRESTAMO],FINANCIACION[[#This Row],[PRESTAMO]])</f>
        <v>-143750000</v>
      </c>
      <c r="G170" s="8"/>
      <c r="H170" s="56"/>
      <c r="I170" s="5">
        <f>IF(FINANCIACION[[#This Row],[$ CAPITAL]]&gt;0,FINANCIACION[[#This Row],[$ CAPITAL]])</f>
        <v>6250000</v>
      </c>
      <c r="J170" s="9">
        <f>IF(FINANCIACION[[#This Row],[$ CAPITAL]]&gt;=0,FINANCIACION[[#This Row],[$ CAPITAL]]+FINANCIACION[[#This Row],[$ INTERESES]],0)</f>
        <v>7559053.1200000001</v>
      </c>
    </row>
    <row r="171" spans="1:10" ht="24" hidden="1" customHeight="1" x14ac:dyDescent="0.25">
      <c r="A171" s="7">
        <v>43837</v>
      </c>
      <c r="B171" s="53" t="s">
        <v>1218</v>
      </c>
      <c r="C171" s="5">
        <v>2500000</v>
      </c>
      <c r="D171" s="5">
        <v>381929.16999999993</v>
      </c>
      <c r="E171" s="169">
        <f>+IF(FINANCIACION[[#This Row],[$ CAPITAL]]&gt;=0,FINANCIACION[[#This Row],[$ CAPITAL]]+FINANCIACION[[#This Row],[$ INTERESES]],"")</f>
        <v>2881929.17</v>
      </c>
      <c r="F171" s="169">
        <f>+SUMIFS(FINANCIACION[$ CAPITAL],FINANCIACION[Fecha],"&lt;="&amp;FINANCIACION[[#This Row],[Fecha]],FINANCIACION[PRESTAMO],FINANCIACION[[#This Row],[PRESTAMO]])</f>
        <v>-8619483.6999999993</v>
      </c>
      <c r="G171" s="56"/>
      <c r="H171" s="8"/>
      <c r="I171" s="5">
        <f>IF(FINANCIACION[[#This Row],[$ CAPITAL]]&gt;0,FINANCIACION[[#This Row],[$ CAPITAL]])</f>
        <v>2500000</v>
      </c>
      <c r="J171" s="36">
        <f>IF(FINANCIACION[[#This Row],[$ CAPITAL]]&gt;=0,FINANCIACION[[#This Row],[$ CAPITAL]]+FINANCIACION[[#This Row],[$ INTERESES]],0)</f>
        <v>2881929.17</v>
      </c>
    </row>
    <row r="172" spans="1:10" ht="24" hidden="1" customHeight="1" x14ac:dyDescent="0.25">
      <c r="A172" s="7">
        <v>43837</v>
      </c>
      <c r="B172" s="53" t="s">
        <v>1218</v>
      </c>
      <c r="C172" s="5">
        <v>-79006.75</v>
      </c>
      <c r="D172" s="5"/>
      <c r="E172" s="169" t="str">
        <f>+IF(FINANCIACION[[#This Row],[$ CAPITAL]]&gt;=0,FINANCIACION[[#This Row],[$ CAPITAL]]+FINANCIACION[[#This Row],[$ INTERESES]],"")</f>
        <v/>
      </c>
      <c r="F172" s="169">
        <f>+SUMIFS(FINANCIACION[$ CAPITAL],FINANCIACION[Fecha],"&lt;="&amp;FINANCIACION[[#This Row],[Fecha]],FINANCIACION[PRESTAMO],FINANCIACION[[#This Row],[PRESTAMO]])</f>
        <v>-8619483.6999999993</v>
      </c>
      <c r="G172" s="56"/>
      <c r="H172" s="8"/>
      <c r="I172" s="5" t="b">
        <f>IF(FINANCIACION[[#This Row],[$ CAPITAL]]&gt;0,FINANCIACION[[#This Row],[$ CAPITAL]])</f>
        <v>0</v>
      </c>
      <c r="J172" s="36">
        <f>IF(FINANCIACION[[#This Row],[$ CAPITAL]]&gt;=0,FINANCIACION[[#This Row],[$ CAPITAL]]+FINANCIACION[[#This Row],[$ INTERESES]],0)</f>
        <v>0</v>
      </c>
    </row>
    <row r="173" spans="1:10" ht="24" hidden="1" customHeight="1" x14ac:dyDescent="0.25">
      <c r="A173" s="7">
        <v>43840</v>
      </c>
      <c r="B173" s="53" t="s">
        <v>1215</v>
      </c>
      <c r="C173" s="5"/>
      <c r="D173" s="5">
        <v>950000</v>
      </c>
      <c r="E173" s="169">
        <f>+IF(FINANCIACION[[#This Row],[$ CAPITAL]]&gt;=0,FINANCIACION[[#This Row],[$ CAPITAL]]+FINANCIACION[[#This Row],[$ INTERESES]],"")</f>
        <v>950000</v>
      </c>
      <c r="F173" s="169">
        <f>+SUMIFS(FINANCIACION[$ CAPITAL],FINANCIACION[Fecha],"&lt;="&amp;FINANCIACION[[#This Row],[Fecha]],FINANCIACION[PRESTAMO],FINANCIACION[[#This Row],[PRESTAMO]])</f>
        <v>-94935167</v>
      </c>
      <c r="G173" s="56"/>
      <c r="H173" s="8"/>
      <c r="I173" s="5" t="b">
        <f>IF(FINANCIACION[[#This Row],[$ CAPITAL]]&gt;0,FINANCIACION[[#This Row],[$ CAPITAL]])</f>
        <v>0</v>
      </c>
      <c r="J173" s="36">
        <f>IF(FINANCIACION[[#This Row],[$ CAPITAL]]&gt;=0,FINANCIACION[[#This Row],[$ CAPITAL]]+FINANCIACION[[#This Row],[$ INTERESES]],0)</f>
        <v>950000</v>
      </c>
    </row>
    <row r="174" spans="1:10" ht="24" hidden="1" customHeight="1" x14ac:dyDescent="0.25">
      <c r="A174" s="7">
        <v>43840</v>
      </c>
      <c r="B174" s="53" t="s">
        <v>1219</v>
      </c>
      <c r="C174" s="5"/>
      <c r="D174" s="5">
        <v>200000</v>
      </c>
      <c r="E174" s="169">
        <f>+IF(FINANCIACION[[#This Row],[$ CAPITAL]]&gt;=0,FINANCIACION[[#This Row],[$ CAPITAL]]+FINANCIACION[[#This Row],[$ INTERESES]],"")</f>
        <v>200000</v>
      </c>
      <c r="F174" s="169">
        <f>+SUMIFS(FINANCIACION[$ CAPITAL],FINANCIACION[Fecha],"&lt;="&amp;FINANCIACION[[#This Row],[Fecha]],FINANCIACION[PRESTAMO],FINANCIACION[[#This Row],[PRESTAMO]])</f>
        <v>-84000000</v>
      </c>
      <c r="G174" s="56"/>
      <c r="H174" s="8"/>
      <c r="I174" s="5" t="b">
        <f>IF(FINANCIACION[[#This Row],[$ CAPITAL]]&gt;0,FINANCIACION[[#This Row],[$ CAPITAL]])</f>
        <v>0</v>
      </c>
      <c r="J174" s="36">
        <f>IF(FINANCIACION[[#This Row],[$ CAPITAL]]&gt;=0,FINANCIACION[[#This Row],[$ CAPITAL]]+FINANCIACION[[#This Row],[$ INTERESES]],0)</f>
        <v>200000</v>
      </c>
    </row>
    <row r="175" spans="1:10" ht="24" hidden="1" customHeight="1" x14ac:dyDescent="0.25">
      <c r="A175" s="7">
        <v>43840</v>
      </c>
      <c r="B175" s="53" t="s">
        <v>1218</v>
      </c>
      <c r="C175" s="5">
        <v>6179068.2499999898</v>
      </c>
      <c r="D175" s="5"/>
      <c r="E175" s="169">
        <f>+IF(FINANCIACION[[#This Row],[$ CAPITAL]]&gt;=0,FINANCIACION[[#This Row],[$ CAPITAL]]+FINANCIACION[[#This Row],[$ INTERESES]],"")</f>
        <v>6179068.2499999898</v>
      </c>
      <c r="F175" s="169">
        <f>+SUMIFS(FINANCIACION[$ CAPITAL],FINANCIACION[Fecha],"&lt;="&amp;FINANCIACION[[#This Row],[Fecha]],FINANCIACION[PRESTAMO],FINANCIACION[[#This Row],[PRESTAMO]])</f>
        <v>-2440415.4500000095</v>
      </c>
      <c r="G175" s="56"/>
      <c r="H175" s="8"/>
      <c r="I175" s="5">
        <f>IF(FINANCIACION[[#This Row],[$ CAPITAL]]&gt;0,FINANCIACION[[#This Row],[$ CAPITAL]])</f>
        <v>6179068.2499999898</v>
      </c>
      <c r="J175" s="36">
        <f>IF(FINANCIACION[[#This Row],[$ CAPITAL]]&gt;=0,FINANCIACION[[#This Row],[$ CAPITAL]]+FINANCIACION[[#This Row],[$ INTERESES]],0)</f>
        <v>6179068.2499999898</v>
      </c>
    </row>
    <row r="176" spans="1:10" ht="24" hidden="1" customHeight="1" x14ac:dyDescent="0.25">
      <c r="A176" s="7">
        <v>43844</v>
      </c>
      <c r="B176" s="54" t="s">
        <v>1216</v>
      </c>
      <c r="C176" s="5">
        <v>310000</v>
      </c>
      <c r="D176" s="5">
        <v>90000</v>
      </c>
      <c r="E176" s="169">
        <f>+IF(FINANCIACION[[#This Row],[$ CAPITAL]]&gt;=0,FINANCIACION[[#This Row],[$ CAPITAL]]+FINANCIACION[[#This Row],[$ INTERESES]],"")</f>
        <v>400000</v>
      </c>
      <c r="F176" s="169">
        <f>+SUMIFS(FINANCIACION[$ CAPITAL],FINANCIACION[Fecha],"&lt;="&amp;FINANCIACION[[#This Row],[Fecha]],FINANCIACION[PRESTAMO],FINANCIACION[[#This Row],[PRESTAMO]])</f>
        <v>-67199154</v>
      </c>
      <c r="G176" s="56"/>
      <c r="H176" s="8"/>
      <c r="I176" s="5">
        <f>IF(FINANCIACION[[#This Row],[$ CAPITAL]]&gt;0,FINANCIACION[[#This Row],[$ CAPITAL]])</f>
        <v>310000</v>
      </c>
      <c r="J176" s="36">
        <f>IF(FINANCIACION[[#This Row],[$ CAPITAL]]&gt;=0,FINANCIACION[[#This Row],[$ CAPITAL]]+FINANCIACION[[#This Row],[$ INTERESES]],0)</f>
        <v>400000</v>
      </c>
    </row>
    <row r="177" spans="1:10" ht="24" hidden="1" customHeight="1" x14ac:dyDescent="0.25">
      <c r="A177" s="7">
        <v>43845</v>
      </c>
      <c r="B177" s="53" t="s">
        <v>1218</v>
      </c>
      <c r="C177" s="5">
        <v>-4662.7700000000004</v>
      </c>
      <c r="D177" s="5"/>
      <c r="E177" s="169" t="str">
        <f>+IF(FINANCIACION[[#This Row],[$ CAPITAL]]&gt;=0,FINANCIACION[[#This Row],[$ CAPITAL]]+FINANCIACION[[#This Row],[$ INTERESES]],"")</f>
        <v/>
      </c>
      <c r="F177" s="169">
        <f>+SUMIFS(FINANCIACION[$ CAPITAL],FINANCIACION[Fecha],"&lt;="&amp;FINANCIACION[[#This Row],[Fecha]],FINANCIACION[PRESTAMO],FINANCIACION[[#This Row],[PRESTAMO]])</f>
        <v>-2445078.2200000095</v>
      </c>
      <c r="G177" s="56"/>
      <c r="H177" s="8"/>
      <c r="I177" s="5" t="b">
        <f>IF(FINANCIACION[[#This Row],[$ CAPITAL]]&gt;0,FINANCIACION[[#This Row],[$ CAPITAL]])</f>
        <v>0</v>
      </c>
      <c r="J177" s="36">
        <f>IF(FINANCIACION[[#This Row],[$ CAPITAL]]&gt;=0,FINANCIACION[[#This Row],[$ CAPITAL]]+FINANCIACION[[#This Row],[$ INTERESES]],0)</f>
        <v>0</v>
      </c>
    </row>
    <row r="178" spans="1:10" ht="24" hidden="1" customHeight="1" x14ac:dyDescent="0.25">
      <c r="A178" s="7">
        <v>43846</v>
      </c>
      <c r="B178" s="53" t="s">
        <v>1218</v>
      </c>
      <c r="C178" s="5">
        <v>-85886</v>
      </c>
      <c r="D178" s="5"/>
      <c r="E178" s="169" t="str">
        <f>+IF(FINANCIACION[[#This Row],[$ CAPITAL]]&gt;=0,FINANCIACION[[#This Row],[$ CAPITAL]]+FINANCIACION[[#This Row],[$ INTERESES]],"")</f>
        <v/>
      </c>
      <c r="F178" s="169">
        <f>+SUMIFS(FINANCIACION[$ CAPITAL],FINANCIACION[Fecha],"&lt;="&amp;FINANCIACION[[#This Row],[Fecha]],FINANCIACION[PRESTAMO],FINANCIACION[[#This Row],[PRESTAMO]])</f>
        <v>-2530964.2200000095</v>
      </c>
      <c r="G178" s="8"/>
      <c r="H178" s="8"/>
      <c r="I178" s="5" t="b">
        <f>IF(FINANCIACION[[#This Row],[$ CAPITAL]]&gt;0,FINANCIACION[[#This Row],[$ CAPITAL]])</f>
        <v>0</v>
      </c>
      <c r="J178" s="36">
        <f>IF(FINANCIACION[[#This Row],[$ CAPITAL]]&gt;=0,FINANCIACION[[#This Row],[$ CAPITAL]]+FINANCIACION[[#This Row],[$ INTERESES]],0)</f>
        <v>0</v>
      </c>
    </row>
    <row r="179" spans="1:10" ht="24" hidden="1" customHeight="1" x14ac:dyDescent="0.25">
      <c r="A179" s="7">
        <v>43847</v>
      </c>
      <c r="B179" s="53" t="s">
        <v>1218</v>
      </c>
      <c r="C179" s="5">
        <v>-294360</v>
      </c>
      <c r="D179" s="5"/>
      <c r="E179" s="169" t="str">
        <f>+IF(FINANCIACION[[#This Row],[$ CAPITAL]]&gt;=0,FINANCIACION[[#This Row],[$ CAPITAL]]+FINANCIACION[[#This Row],[$ INTERESES]],"")</f>
        <v/>
      </c>
      <c r="F179" s="169">
        <f>+SUMIFS(FINANCIACION[$ CAPITAL],FINANCIACION[Fecha],"&lt;="&amp;FINANCIACION[[#This Row],[Fecha]],FINANCIACION[PRESTAMO],FINANCIACION[[#This Row],[PRESTAMO]])</f>
        <v>-2825324.2200000095</v>
      </c>
      <c r="G179" s="8"/>
      <c r="H179" s="8"/>
      <c r="I179" s="5" t="b">
        <f>IF(FINANCIACION[[#This Row],[$ CAPITAL]]&gt;0,FINANCIACION[[#This Row],[$ CAPITAL]])</f>
        <v>0</v>
      </c>
      <c r="J179" s="36">
        <f>IF(FINANCIACION[[#This Row],[$ CAPITAL]]&gt;=0,FINANCIACION[[#This Row],[$ CAPITAL]]+FINANCIACION[[#This Row],[$ INTERESES]],0)</f>
        <v>0</v>
      </c>
    </row>
    <row r="180" spans="1:10" ht="24" hidden="1" customHeight="1" x14ac:dyDescent="0.25">
      <c r="A180" s="7">
        <v>43848</v>
      </c>
      <c r="B180" s="53" t="s">
        <v>1217</v>
      </c>
      <c r="C180" s="5">
        <v>1471610</v>
      </c>
      <c r="D180" s="5">
        <v>4614238</v>
      </c>
      <c r="E180" s="169">
        <f>+IF(FINANCIACION[[#This Row],[$ CAPITAL]]&gt;=0,FINANCIACION[[#This Row],[$ CAPITAL]]+FINANCIACION[[#This Row],[$ INTERESES]],"")</f>
        <v>6085848</v>
      </c>
      <c r="F180" s="169">
        <f>+SUMIFS(FINANCIACION[$ CAPITAL],FINANCIACION[Fecha],"&lt;="&amp;FINANCIACION[[#This Row],[Fecha]],FINANCIACION[PRESTAMO],FINANCIACION[[#This Row],[PRESTAMO]])</f>
        <v>-387657315.14314044</v>
      </c>
      <c r="G180" s="8"/>
      <c r="H180" s="8"/>
      <c r="I180" s="5">
        <f>IF(FINANCIACION[[#This Row],[$ CAPITAL]]&gt;0,FINANCIACION[[#This Row],[$ CAPITAL]])</f>
        <v>1471610</v>
      </c>
      <c r="J180" s="36">
        <f>IF(FINANCIACION[[#This Row],[$ CAPITAL]]&gt;=0,FINANCIACION[[#This Row],[$ CAPITAL]]+FINANCIACION[[#This Row],[$ INTERESES]],0)</f>
        <v>6085848</v>
      </c>
    </row>
    <row r="181" spans="1:10" ht="24" hidden="1" customHeight="1" x14ac:dyDescent="0.25">
      <c r="A181" s="7">
        <v>43848</v>
      </c>
      <c r="B181" s="53" t="s">
        <v>1218</v>
      </c>
      <c r="C181" s="5">
        <v>-38733</v>
      </c>
      <c r="D181" s="5"/>
      <c r="E181" s="169" t="str">
        <f>+IF(FINANCIACION[[#This Row],[$ CAPITAL]]&gt;=0,FINANCIACION[[#This Row],[$ CAPITAL]]+FINANCIACION[[#This Row],[$ INTERESES]],"")</f>
        <v/>
      </c>
      <c r="F181" s="169">
        <f>+SUMIFS(FINANCIACION[$ CAPITAL],FINANCIACION[Fecha],"&lt;="&amp;FINANCIACION[[#This Row],[Fecha]],FINANCIACION[PRESTAMO],FINANCIACION[[#This Row],[PRESTAMO]])</f>
        <v>-2864057.2200000095</v>
      </c>
      <c r="G181" s="8"/>
      <c r="H181" s="8"/>
      <c r="I181" s="5" t="b">
        <f>IF(FINANCIACION[[#This Row],[$ CAPITAL]]&gt;0,FINANCIACION[[#This Row],[$ CAPITAL]])</f>
        <v>0</v>
      </c>
      <c r="J181" s="36">
        <f>IF(FINANCIACION[[#This Row],[$ CAPITAL]]&gt;=0,FINANCIACION[[#This Row],[$ CAPITAL]]+FINANCIACION[[#This Row],[$ INTERESES]],0)</f>
        <v>0</v>
      </c>
    </row>
    <row r="182" spans="1:10" ht="24" hidden="1" customHeight="1" x14ac:dyDescent="0.25">
      <c r="A182" s="7">
        <v>43850</v>
      </c>
      <c r="B182" s="53" t="s">
        <v>1216</v>
      </c>
      <c r="C182" s="5">
        <v>260000</v>
      </c>
      <c r="D182" s="5">
        <v>740000</v>
      </c>
      <c r="E182" s="169">
        <f>+IF(FINANCIACION[[#This Row],[$ CAPITAL]]&gt;=0,FINANCIACION[[#This Row],[$ CAPITAL]]+FINANCIACION[[#This Row],[$ INTERESES]],"")</f>
        <v>1000000</v>
      </c>
      <c r="F182" s="169">
        <f>+SUMIFS(FINANCIACION[$ CAPITAL],FINANCIACION[Fecha],"&lt;="&amp;FINANCIACION[[#This Row],[Fecha]],FINANCIACION[PRESTAMO],FINANCIACION[[#This Row],[PRESTAMO]])</f>
        <v>-66939154</v>
      </c>
      <c r="G182" s="8"/>
      <c r="H182" s="8"/>
      <c r="I182" s="5">
        <f>IF(FINANCIACION[[#This Row],[$ CAPITAL]]&gt;0,FINANCIACION[[#This Row],[$ CAPITAL]])</f>
        <v>260000</v>
      </c>
      <c r="J182" s="36">
        <f>IF(FINANCIACION[[#This Row],[$ CAPITAL]]&gt;=0,FINANCIACION[[#This Row],[$ CAPITAL]]+FINANCIACION[[#This Row],[$ INTERESES]],0)</f>
        <v>1000000</v>
      </c>
    </row>
    <row r="183" spans="1:10" ht="24" hidden="1" customHeight="1" x14ac:dyDescent="0.25">
      <c r="A183" s="7">
        <v>43852</v>
      </c>
      <c r="B183" s="53" t="s">
        <v>1218</v>
      </c>
      <c r="C183" s="5">
        <v>-435739</v>
      </c>
      <c r="D183" s="5"/>
      <c r="E183" s="169" t="str">
        <f>+IF(FINANCIACION[[#This Row],[$ CAPITAL]]&gt;=0,FINANCIACION[[#This Row],[$ CAPITAL]]+FINANCIACION[[#This Row],[$ INTERESES]],"")</f>
        <v/>
      </c>
      <c r="F183" s="169">
        <f>+SUMIFS(FINANCIACION[$ CAPITAL],FINANCIACION[Fecha],"&lt;="&amp;FINANCIACION[[#This Row],[Fecha]],FINANCIACION[PRESTAMO],FINANCIACION[[#This Row],[PRESTAMO]])</f>
        <v>-3299796.2200000095</v>
      </c>
      <c r="G183" s="8"/>
      <c r="H183" s="8"/>
      <c r="I183" s="5" t="b">
        <f>IF(FINANCIACION[[#This Row],[$ CAPITAL]]&gt;0,FINANCIACION[[#This Row],[$ CAPITAL]])</f>
        <v>0</v>
      </c>
      <c r="J183" s="36">
        <f>IF(FINANCIACION[[#This Row],[$ CAPITAL]]&gt;=0,FINANCIACION[[#This Row],[$ CAPITAL]]+FINANCIACION[[#This Row],[$ INTERESES]],0)</f>
        <v>0</v>
      </c>
    </row>
    <row r="184" spans="1:10" ht="24" hidden="1" customHeight="1" x14ac:dyDescent="0.25">
      <c r="A184" s="7">
        <v>43853</v>
      </c>
      <c r="B184" s="53" t="s">
        <v>1218</v>
      </c>
      <c r="C184" s="5">
        <v>1788226.67</v>
      </c>
      <c r="D184" s="5"/>
      <c r="E184" s="169">
        <f>+IF(FINANCIACION[[#This Row],[$ CAPITAL]]&gt;=0,FINANCIACION[[#This Row],[$ CAPITAL]]+FINANCIACION[[#This Row],[$ INTERESES]],"")</f>
        <v>1788226.67</v>
      </c>
      <c r="F184" s="169">
        <f>+SUMIFS(FINANCIACION[$ CAPITAL],FINANCIACION[Fecha],"&lt;="&amp;FINANCIACION[[#This Row],[Fecha]],FINANCIACION[PRESTAMO],FINANCIACION[[#This Row],[PRESTAMO]])</f>
        <v>-1511569.5500000096</v>
      </c>
      <c r="G184" s="8"/>
      <c r="H184" s="8"/>
      <c r="I184" s="5">
        <f>IF(FINANCIACION[[#This Row],[$ CAPITAL]]&gt;0,FINANCIACION[[#This Row],[$ CAPITAL]])</f>
        <v>1788226.67</v>
      </c>
      <c r="J184" s="36">
        <f>IF(FINANCIACION[[#This Row],[$ CAPITAL]]&gt;=0,FINANCIACION[[#This Row],[$ CAPITAL]]+FINANCIACION[[#This Row],[$ INTERESES]],0)</f>
        <v>1788226.67</v>
      </c>
    </row>
    <row r="185" spans="1:10" ht="24" hidden="1" customHeight="1" x14ac:dyDescent="0.25">
      <c r="A185" s="7">
        <v>43854</v>
      </c>
      <c r="B185" s="53" t="s">
        <v>1218</v>
      </c>
      <c r="C185" s="5">
        <v>226778</v>
      </c>
      <c r="D185" s="5"/>
      <c r="E185" s="169">
        <f>+IF(FINANCIACION[[#This Row],[$ CAPITAL]]&gt;=0,FINANCIACION[[#This Row],[$ CAPITAL]]+FINANCIACION[[#This Row],[$ INTERESES]],"")</f>
        <v>226778</v>
      </c>
      <c r="F185" s="169">
        <f>+SUMIFS(FINANCIACION[$ CAPITAL],FINANCIACION[Fecha],"&lt;="&amp;FINANCIACION[[#This Row],[Fecha]],FINANCIACION[PRESTAMO],FINANCIACION[[#This Row],[PRESTAMO]])</f>
        <v>-1063956.1400000094</v>
      </c>
      <c r="G185" s="8"/>
      <c r="H185" s="8"/>
      <c r="I185" s="5">
        <f>IF(FINANCIACION[[#This Row],[$ CAPITAL]]&gt;0,FINANCIACION[[#This Row],[$ CAPITAL]])</f>
        <v>226778</v>
      </c>
      <c r="J185" s="36">
        <f>IF(FINANCIACION[[#This Row],[$ CAPITAL]]&gt;=0,FINANCIACION[[#This Row],[$ CAPITAL]]+FINANCIACION[[#This Row],[$ INTERESES]],0)</f>
        <v>226778</v>
      </c>
    </row>
    <row r="186" spans="1:10" ht="24" hidden="1" customHeight="1" x14ac:dyDescent="0.25">
      <c r="A186" s="7">
        <v>43854</v>
      </c>
      <c r="B186" s="53" t="s">
        <v>1218</v>
      </c>
      <c r="C186" s="5">
        <v>-617423.48</v>
      </c>
      <c r="D186" s="5"/>
      <c r="E186" s="169" t="str">
        <f>+IF(FINANCIACION[[#This Row],[$ CAPITAL]]&gt;=0,FINANCIACION[[#This Row],[$ CAPITAL]]+FINANCIACION[[#This Row],[$ INTERESES]],"")</f>
        <v/>
      </c>
      <c r="F186" s="169">
        <f>+SUMIFS(FINANCIACION[$ CAPITAL],FINANCIACION[Fecha],"&lt;="&amp;FINANCIACION[[#This Row],[Fecha]],FINANCIACION[PRESTAMO],FINANCIACION[[#This Row],[PRESTAMO]])</f>
        <v>-1063956.1400000094</v>
      </c>
      <c r="G186" s="8"/>
      <c r="H186" s="8"/>
      <c r="I186" s="5" t="b">
        <f>IF(FINANCIACION[[#This Row],[$ CAPITAL]]&gt;0,FINANCIACION[[#This Row],[$ CAPITAL]])</f>
        <v>0</v>
      </c>
      <c r="J186" s="36">
        <f>IF(FINANCIACION[[#This Row],[$ CAPITAL]]&gt;=0,FINANCIACION[[#This Row],[$ CAPITAL]]+FINANCIACION[[#This Row],[$ INTERESES]],0)</f>
        <v>0</v>
      </c>
    </row>
    <row r="187" spans="1:10" ht="24" hidden="1" customHeight="1" x14ac:dyDescent="0.25">
      <c r="A187" s="7">
        <v>43854</v>
      </c>
      <c r="B187" s="53" t="s">
        <v>1218</v>
      </c>
      <c r="C187" s="5">
        <v>838258.89</v>
      </c>
      <c r="D187" s="5"/>
      <c r="E187" s="169">
        <f>+IF(FINANCIACION[[#This Row],[$ CAPITAL]]&gt;=0,FINANCIACION[[#This Row],[$ CAPITAL]]+FINANCIACION[[#This Row],[$ INTERESES]],"")</f>
        <v>838258.89</v>
      </c>
      <c r="F187" s="169">
        <f>+SUMIFS(FINANCIACION[$ CAPITAL],FINANCIACION[Fecha],"&lt;="&amp;FINANCIACION[[#This Row],[Fecha]],FINANCIACION[PRESTAMO],FINANCIACION[[#This Row],[PRESTAMO]])</f>
        <v>-1063956.1400000094</v>
      </c>
      <c r="G187" s="8"/>
      <c r="H187" s="8"/>
      <c r="I187" s="5">
        <f>IF(FINANCIACION[[#This Row],[$ CAPITAL]]&gt;0,FINANCIACION[[#This Row],[$ CAPITAL]])</f>
        <v>838258.89</v>
      </c>
      <c r="J187" s="36">
        <f>IF(FINANCIACION[[#This Row],[$ CAPITAL]]&gt;=0,FINANCIACION[[#This Row],[$ CAPITAL]]+FINANCIACION[[#This Row],[$ INTERESES]],0)</f>
        <v>838258.89</v>
      </c>
    </row>
    <row r="188" spans="1:10" ht="24" hidden="1" customHeight="1" x14ac:dyDescent="0.25">
      <c r="A188" s="7">
        <v>43855</v>
      </c>
      <c r="B188" s="53" t="s">
        <v>193</v>
      </c>
      <c r="C188" s="5">
        <v>1250000</v>
      </c>
      <c r="D188" s="5">
        <v>244877</v>
      </c>
      <c r="E188" s="169">
        <f>+IF(FINANCIACION[[#This Row],[$ CAPITAL]]&gt;=0,FINANCIACION[[#This Row],[$ CAPITAL]]+FINANCIACION[[#This Row],[$ INTERESES]],"")</f>
        <v>1494877</v>
      </c>
      <c r="F188" s="169">
        <f>+SUMIFS(FINANCIACION[$ CAPITAL],FINANCIACION[Fecha],"&lt;="&amp;FINANCIACION[[#This Row],[Fecha]],FINANCIACION[PRESTAMO],FINANCIACION[[#This Row],[PRESTAMO]])</f>
        <v>-18750000</v>
      </c>
      <c r="G188" s="8"/>
      <c r="H188" s="8"/>
      <c r="I188" s="5">
        <f>IF(FINANCIACION[[#This Row],[$ CAPITAL]]&gt;0,FINANCIACION[[#This Row],[$ CAPITAL]])</f>
        <v>1250000</v>
      </c>
      <c r="J188" s="36">
        <f>IF(FINANCIACION[[#This Row],[$ CAPITAL]]&gt;=0,FINANCIACION[[#This Row],[$ CAPITAL]]+FINANCIACION[[#This Row],[$ INTERESES]],0)</f>
        <v>1494877</v>
      </c>
    </row>
    <row r="189" spans="1:10" ht="24" hidden="1" customHeight="1" x14ac:dyDescent="0.25">
      <c r="A189" s="7">
        <v>43855</v>
      </c>
      <c r="B189" s="53" t="s">
        <v>1218</v>
      </c>
      <c r="C189" s="5">
        <v>-205807.83</v>
      </c>
      <c r="D189" s="5"/>
      <c r="E189" s="169" t="str">
        <f>+IF(FINANCIACION[[#This Row],[$ CAPITAL]]&gt;=0,FINANCIACION[[#This Row],[$ CAPITAL]]+FINANCIACION[[#This Row],[$ INTERESES]],"")</f>
        <v/>
      </c>
      <c r="F189" s="169">
        <f>+SUMIFS(FINANCIACION[$ CAPITAL],FINANCIACION[Fecha],"&lt;="&amp;FINANCIACION[[#This Row],[Fecha]],FINANCIACION[PRESTAMO],FINANCIACION[[#This Row],[PRESTAMO]])</f>
        <v>-1269763.9700000095</v>
      </c>
      <c r="G189" s="8"/>
      <c r="H189" s="8"/>
      <c r="I189" s="5" t="b">
        <f>IF(FINANCIACION[[#This Row],[$ CAPITAL]]&gt;0,FINANCIACION[[#This Row],[$ CAPITAL]])</f>
        <v>0</v>
      </c>
      <c r="J189" s="36">
        <f>IF(FINANCIACION[[#This Row],[$ CAPITAL]]&gt;=0,FINANCIACION[[#This Row],[$ CAPITAL]]+FINANCIACION[[#This Row],[$ INTERESES]],0)</f>
        <v>0</v>
      </c>
    </row>
    <row r="190" spans="1:10" ht="24" hidden="1" customHeight="1" x14ac:dyDescent="0.25">
      <c r="A190" s="7">
        <v>43857</v>
      </c>
      <c r="B190" s="53" t="s">
        <v>1218</v>
      </c>
      <c r="C190" s="5">
        <v>-6278.5417429600011</v>
      </c>
      <c r="D190" s="5"/>
      <c r="E190" s="169" t="str">
        <f>+IF(FINANCIACION[[#This Row],[$ CAPITAL]]&gt;=0,FINANCIACION[[#This Row],[$ CAPITAL]]+FINANCIACION[[#This Row],[$ INTERESES]],"")</f>
        <v/>
      </c>
      <c r="F190" s="169">
        <f>+SUMIFS(FINANCIACION[$ CAPITAL],FINANCIACION[Fecha],"&lt;="&amp;FINANCIACION[[#This Row],[Fecha]],FINANCIACION[PRESTAMO],FINANCIACION[[#This Row],[PRESTAMO]])</f>
        <v>5723957.48825703</v>
      </c>
      <c r="G190" s="8"/>
      <c r="H190" s="8"/>
      <c r="I190" s="5" t="b">
        <f>IF(FINANCIACION[[#This Row],[$ CAPITAL]]&gt;0,FINANCIACION[[#This Row],[$ CAPITAL]])</f>
        <v>0</v>
      </c>
      <c r="J190" s="36">
        <f>IF(FINANCIACION[[#This Row],[$ CAPITAL]]&gt;=0,FINANCIACION[[#This Row],[$ CAPITAL]]+FINANCIACION[[#This Row],[$ INTERESES]],0)</f>
        <v>0</v>
      </c>
    </row>
    <row r="191" spans="1:10" ht="24" hidden="1" customHeight="1" x14ac:dyDescent="0.25">
      <c r="A191" s="7">
        <v>43857</v>
      </c>
      <c r="B191" s="53" t="s">
        <v>1218</v>
      </c>
      <c r="C191" s="5">
        <v>7000000</v>
      </c>
      <c r="D191" s="5"/>
      <c r="E191" s="169">
        <f>+IF(FINANCIACION[[#This Row],[$ CAPITAL]]&gt;=0,FINANCIACION[[#This Row],[$ CAPITAL]]+FINANCIACION[[#This Row],[$ INTERESES]],"")</f>
        <v>7000000</v>
      </c>
      <c r="F191" s="169">
        <f>+SUMIFS(FINANCIACION[$ CAPITAL],FINANCIACION[Fecha],"&lt;="&amp;FINANCIACION[[#This Row],[Fecha]],FINANCIACION[PRESTAMO],FINANCIACION[[#This Row],[PRESTAMO]])</f>
        <v>5723957.48825703</v>
      </c>
      <c r="G191" s="8"/>
      <c r="H191" s="8"/>
      <c r="I191" s="5">
        <f>IF(FINANCIACION[[#This Row],[$ CAPITAL]]&gt;0,FINANCIACION[[#This Row],[$ CAPITAL]])</f>
        <v>7000000</v>
      </c>
      <c r="J191" s="36">
        <f>IF(FINANCIACION[[#This Row],[$ CAPITAL]]&gt;=0,FINANCIACION[[#This Row],[$ CAPITAL]]+FINANCIACION[[#This Row],[$ INTERESES]],0)</f>
        <v>7000000</v>
      </c>
    </row>
    <row r="192" spans="1:10" ht="24" hidden="1" customHeight="1" x14ac:dyDescent="0.25">
      <c r="A192" s="7">
        <v>43858</v>
      </c>
      <c r="B192" s="53" t="s">
        <v>1219</v>
      </c>
      <c r="C192" s="5"/>
      <c r="D192" s="5">
        <v>640000</v>
      </c>
      <c r="E192" s="169">
        <f>+IF(FINANCIACION[[#This Row],[$ CAPITAL]]&gt;=0,FINANCIACION[[#This Row],[$ CAPITAL]]+FINANCIACION[[#This Row],[$ INTERESES]],"")</f>
        <v>640000</v>
      </c>
      <c r="F192" s="169">
        <f>+SUMIFS(FINANCIACION[$ CAPITAL],FINANCIACION[Fecha],"&lt;="&amp;FINANCIACION[[#This Row],[Fecha]],FINANCIACION[PRESTAMO],FINANCIACION[[#This Row],[PRESTAMO]])</f>
        <v>-84000000</v>
      </c>
      <c r="G192" s="8"/>
      <c r="H192" s="8"/>
      <c r="I192" s="5" t="b">
        <f>IF(FINANCIACION[[#This Row],[$ CAPITAL]]&gt;0,FINANCIACION[[#This Row],[$ CAPITAL]])</f>
        <v>0</v>
      </c>
      <c r="J192" s="36">
        <f>IF(FINANCIACION[[#This Row],[$ CAPITAL]]&gt;=0,FINANCIACION[[#This Row],[$ CAPITAL]]+FINANCIACION[[#This Row],[$ INTERESES]],0)</f>
        <v>640000</v>
      </c>
    </row>
    <row r="193" spans="1:10" ht="24" hidden="1" customHeight="1" x14ac:dyDescent="0.25">
      <c r="A193" s="7">
        <v>43859</v>
      </c>
      <c r="B193" s="53" t="s">
        <v>1218</v>
      </c>
      <c r="C193" s="5">
        <v>17947</v>
      </c>
      <c r="D193" s="5"/>
      <c r="E193" s="169">
        <f>+IF(FINANCIACION[[#This Row],[$ CAPITAL]]&gt;=0,FINANCIACION[[#This Row],[$ CAPITAL]]+FINANCIACION[[#This Row],[$ INTERESES]],"")</f>
        <v>17947</v>
      </c>
      <c r="F193" s="169">
        <f>+SUMIFS(FINANCIACION[$ CAPITAL],FINANCIACION[Fecha],"&lt;="&amp;FINANCIACION[[#This Row],[Fecha]],FINANCIACION[PRESTAMO],FINANCIACION[[#This Row],[PRESTAMO]])</f>
        <v>3512916.7682570303</v>
      </c>
      <c r="G193" s="8"/>
      <c r="H193" s="8"/>
      <c r="I193" s="5">
        <f>IF(FINANCIACION[[#This Row],[$ CAPITAL]]&gt;0,FINANCIACION[[#This Row],[$ CAPITAL]])</f>
        <v>17947</v>
      </c>
      <c r="J193" s="36">
        <f>IF(FINANCIACION[[#This Row],[$ CAPITAL]]&gt;=0,FINANCIACION[[#This Row],[$ CAPITAL]]+FINANCIACION[[#This Row],[$ INTERESES]],0)</f>
        <v>17947</v>
      </c>
    </row>
    <row r="194" spans="1:10" ht="24" hidden="1" customHeight="1" x14ac:dyDescent="0.25">
      <c r="A194" s="7">
        <v>43859</v>
      </c>
      <c r="B194" s="53" t="s">
        <v>1218</v>
      </c>
      <c r="C194" s="5">
        <v>-188459.05</v>
      </c>
      <c r="D194" s="5"/>
      <c r="E194" s="169" t="str">
        <f>+IF(FINANCIACION[[#This Row],[$ CAPITAL]]&gt;=0,FINANCIACION[[#This Row],[$ CAPITAL]]+FINANCIACION[[#This Row],[$ INTERESES]],"")</f>
        <v/>
      </c>
      <c r="F194" s="169">
        <f>+SUMIFS(FINANCIACION[$ CAPITAL],FINANCIACION[Fecha],"&lt;="&amp;FINANCIACION[[#This Row],[Fecha]],FINANCIACION[PRESTAMO],FINANCIACION[[#This Row],[PRESTAMO]])</f>
        <v>3512916.7682570303</v>
      </c>
      <c r="G194" s="8"/>
      <c r="H194" s="8"/>
      <c r="I194" s="5" t="b">
        <f>IF(FINANCIACION[[#This Row],[$ CAPITAL]]&gt;0,FINANCIACION[[#This Row],[$ CAPITAL]])</f>
        <v>0</v>
      </c>
      <c r="J194" s="36">
        <f>IF(FINANCIACION[[#This Row],[$ CAPITAL]]&gt;=0,FINANCIACION[[#This Row],[$ CAPITAL]]+FINANCIACION[[#This Row],[$ INTERESES]],0)</f>
        <v>0</v>
      </c>
    </row>
    <row r="195" spans="1:10" ht="24" hidden="1" customHeight="1" x14ac:dyDescent="0.25">
      <c r="A195" s="7">
        <v>43859</v>
      </c>
      <c r="B195" s="53" t="s">
        <v>1218</v>
      </c>
      <c r="C195" s="5">
        <v>-305459.05</v>
      </c>
      <c r="D195" s="5"/>
      <c r="E195" s="169" t="str">
        <f>+IF(FINANCIACION[[#This Row],[$ CAPITAL]]&gt;=0,FINANCIACION[[#This Row],[$ CAPITAL]]+FINANCIACION[[#This Row],[$ INTERESES]],"")</f>
        <v/>
      </c>
      <c r="F195" s="169">
        <f>+SUMIFS(FINANCIACION[$ CAPITAL],FINANCIACION[Fecha],"&lt;="&amp;FINANCIACION[[#This Row],[Fecha]],FINANCIACION[PRESTAMO],FINANCIACION[[#This Row],[PRESTAMO]])</f>
        <v>3512916.7682570303</v>
      </c>
      <c r="G195" s="8"/>
      <c r="H195" s="8"/>
      <c r="I195" s="5" t="b">
        <f>IF(FINANCIACION[[#This Row],[$ CAPITAL]]&gt;0,FINANCIACION[[#This Row],[$ CAPITAL]])</f>
        <v>0</v>
      </c>
      <c r="J195" s="36">
        <f>IF(FINANCIACION[[#This Row],[$ CAPITAL]]&gt;=0,FINANCIACION[[#This Row],[$ CAPITAL]]+FINANCIACION[[#This Row],[$ INTERESES]],0)</f>
        <v>0</v>
      </c>
    </row>
    <row r="196" spans="1:10" ht="24" hidden="1" customHeight="1" x14ac:dyDescent="0.25">
      <c r="A196" s="7">
        <v>43859</v>
      </c>
      <c r="B196" s="53" t="s">
        <v>1218</v>
      </c>
      <c r="C196" s="5">
        <v>-1999310.62</v>
      </c>
      <c r="D196" s="5"/>
      <c r="E196" s="169" t="str">
        <f>+IF(FINANCIACION[[#This Row],[$ CAPITAL]]&gt;=0,FINANCIACION[[#This Row],[$ CAPITAL]]+FINANCIACION[[#This Row],[$ INTERESES]],"")</f>
        <v/>
      </c>
      <c r="F196" s="169">
        <f>+SUMIFS(FINANCIACION[$ CAPITAL],FINANCIACION[Fecha],"&lt;="&amp;FINANCIACION[[#This Row],[Fecha]],FINANCIACION[PRESTAMO],FINANCIACION[[#This Row],[PRESTAMO]])</f>
        <v>3512916.7682570303</v>
      </c>
      <c r="G196" s="8"/>
      <c r="H196" s="8"/>
      <c r="I196" s="5" t="b">
        <f>IF(FINANCIACION[[#This Row],[$ CAPITAL]]&gt;0,FINANCIACION[[#This Row],[$ CAPITAL]])</f>
        <v>0</v>
      </c>
      <c r="J196" s="36">
        <f>IF(FINANCIACION[[#This Row],[$ CAPITAL]]&gt;=0,FINANCIACION[[#This Row],[$ CAPITAL]]+FINANCIACION[[#This Row],[$ INTERESES]],0)</f>
        <v>0</v>
      </c>
    </row>
    <row r="197" spans="1:10" ht="24" hidden="1" customHeight="1" x14ac:dyDescent="0.25">
      <c r="A197" s="7">
        <v>43859</v>
      </c>
      <c r="B197" s="53" t="s">
        <v>1218</v>
      </c>
      <c r="C197" s="5">
        <v>264241</v>
      </c>
      <c r="D197" s="5"/>
      <c r="E197" s="169">
        <f>+IF(FINANCIACION[[#This Row],[$ CAPITAL]]&gt;=0,FINANCIACION[[#This Row],[$ CAPITAL]]+FINANCIACION[[#This Row],[$ INTERESES]],"")</f>
        <v>264241</v>
      </c>
      <c r="F197" s="169">
        <f>+SUMIFS(FINANCIACION[$ CAPITAL],FINANCIACION[Fecha],"&lt;="&amp;FINANCIACION[[#This Row],[Fecha]],FINANCIACION[PRESTAMO],FINANCIACION[[#This Row],[PRESTAMO]])</f>
        <v>3512916.7682570303</v>
      </c>
      <c r="G197" s="8"/>
      <c r="H197" s="8"/>
      <c r="I197" s="5">
        <f>IF(FINANCIACION[[#This Row],[$ CAPITAL]]&gt;0,FINANCIACION[[#This Row],[$ CAPITAL]])</f>
        <v>264241</v>
      </c>
      <c r="J197" s="36">
        <f>IF(FINANCIACION[[#This Row],[$ CAPITAL]]&gt;=0,FINANCIACION[[#This Row],[$ CAPITAL]]+FINANCIACION[[#This Row],[$ INTERESES]],0)</f>
        <v>264241</v>
      </c>
    </row>
    <row r="198" spans="1:10" ht="24" hidden="1" customHeight="1" x14ac:dyDescent="0.25">
      <c r="A198" s="7">
        <v>43860</v>
      </c>
      <c r="B198" s="53" t="s">
        <v>1218</v>
      </c>
      <c r="C198" s="5">
        <v>-53287.48</v>
      </c>
      <c r="D198" s="5"/>
      <c r="E198" s="169" t="str">
        <f>+IF(FINANCIACION[[#This Row],[$ CAPITAL]]&gt;=0,FINANCIACION[[#This Row],[$ CAPITAL]]+FINANCIACION[[#This Row],[$ INTERESES]],"")</f>
        <v/>
      </c>
      <c r="F198" s="169">
        <f>+SUMIFS(FINANCIACION[$ CAPITAL],FINANCIACION[Fecha],"&lt;="&amp;FINANCIACION[[#This Row],[Fecha]],FINANCIACION[PRESTAMO],FINANCIACION[[#This Row],[PRESTAMO]])</f>
        <v>3459629.2882570303</v>
      </c>
      <c r="G198" s="8"/>
      <c r="H198" s="8"/>
      <c r="I198" s="5" t="b">
        <f>IF(FINANCIACION[[#This Row],[$ CAPITAL]]&gt;0,FINANCIACION[[#This Row],[$ CAPITAL]])</f>
        <v>0</v>
      </c>
      <c r="J198" s="36">
        <f>IF(FINANCIACION[[#This Row],[$ CAPITAL]]&gt;=0,FINANCIACION[[#This Row],[$ CAPITAL]]+FINANCIACION[[#This Row],[$ INTERESES]],0)</f>
        <v>0</v>
      </c>
    </row>
    <row r="199" spans="1:10" ht="24" hidden="1" customHeight="1" x14ac:dyDescent="0.25">
      <c r="A199" s="7">
        <v>43862</v>
      </c>
      <c r="B199" s="53" t="s">
        <v>1218</v>
      </c>
      <c r="C199" s="5">
        <v>1000000</v>
      </c>
      <c r="D199" s="5"/>
      <c r="E199" s="169">
        <f>+IF(FINANCIACION[[#This Row],[$ CAPITAL]]&gt;=0,FINANCIACION[[#This Row],[$ CAPITAL]]+FINANCIACION[[#This Row],[$ INTERESES]],"")</f>
        <v>1000000</v>
      </c>
      <c r="F199" s="169">
        <f>+SUMIFS(FINANCIACION[$ CAPITAL],FINANCIACION[Fecha],"&lt;="&amp;FINANCIACION[[#This Row],[Fecha]],FINANCIACION[PRESTAMO],FINANCIACION[[#This Row],[PRESTAMO]])</f>
        <v>4459629.2882570308</v>
      </c>
      <c r="G199" s="8"/>
      <c r="H199" s="8"/>
      <c r="I199" s="5">
        <f>IF(FINANCIACION[[#This Row],[$ CAPITAL]]&gt;0,FINANCIACION[[#This Row],[$ CAPITAL]])</f>
        <v>1000000</v>
      </c>
      <c r="J199" s="36">
        <f>IF(FINANCIACION[[#This Row],[$ CAPITAL]]&gt;=0,FINANCIACION[[#This Row],[$ CAPITAL]]+FINANCIACION[[#This Row],[$ INTERESES]],0)</f>
        <v>1000000</v>
      </c>
    </row>
    <row r="200" spans="1:10" ht="24" hidden="1" customHeight="1" x14ac:dyDescent="0.25">
      <c r="A200" s="7">
        <v>43864</v>
      </c>
      <c r="B200" s="53" t="s">
        <v>194</v>
      </c>
      <c r="C200" s="5">
        <v>3472222</v>
      </c>
      <c r="D200" s="5">
        <v>863672</v>
      </c>
      <c r="E200" s="169">
        <f>+IF(FINANCIACION[[#This Row],[$ CAPITAL]]&gt;=0,FINANCIACION[[#This Row],[$ CAPITAL]]+FINANCIACION[[#This Row],[$ INTERESES]],"")</f>
        <v>4335894</v>
      </c>
      <c r="F200" s="169">
        <f>+SUMIFS(FINANCIACION[$ CAPITAL],FINANCIACION[Fecha],"&lt;="&amp;FINANCIACION[[#This Row],[Fecha]],FINANCIACION[PRESTAMO],FINANCIACION[[#This Row],[PRESTAMO]])</f>
        <v>-41333336</v>
      </c>
      <c r="G200" s="8"/>
      <c r="H200" s="8"/>
      <c r="I200" s="5">
        <f>IF(FINANCIACION[[#This Row],[$ CAPITAL]]&gt;0,FINANCIACION[[#This Row],[$ CAPITAL]])</f>
        <v>3472222</v>
      </c>
      <c r="J200" s="9">
        <f>IF(FINANCIACION[[#This Row],[$ CAPITAL]]&gt;=0,FINANCIACION[[#This Row],[$ CAPITAL]]+FINANCIACION[[#This Row],[$ INTERESES]],0)</f>
        <v>4335894</v>
      </c>
    </row>
    <row r="201" spans="1:10" ht="24" hidden="1" customHeight="1" x14ac:dyDescent="0.25">
      <c r="A201" s="7">
        <v>43865</v>
      </c>
      <c r="B201" s="53" t="s">
        <v>1218</v>
      </c>
      <c r="C201" s="5">
        <v>2500000</v>
      </c>
      <c r="D201" s="5">
        <v>352550</v>
      </c>
      <c r="E201" s="169">
        <f>+IF(FINANCIACION[[#This Row],[$ CAPITAL]]&gt;=0,FINANCIACION[[#This Row],[$ CAPITAL]]+FINANCIACION[[#This Row],[$ INTERESES]],"")</f>
        <v>2852550</v>
      </c>
      <c r="F201" s="169">
        <f>+SUMIFS(FINANCIACION[$ CAPITAL],FINANCIACION[Fecha],"&lt;="&amp;FINANCIACION[[#This Row],[Fecha]],FINANCIACION[PRESTAMO],FINANCIACION[[#This Row],[PRESTAMO]])</f>
        <v>6925619.2882570308</v>
      </c>
      <c r="G201" s="8"/>
      <c r="H201" s="56"/>
      <c r="I201" s="5">
        <f>IF(FINANCIACION[[#This Row],[$ CAPITAL]]&gt;0,FINANCIACION[[#This Row],[$ CAPITAL]])</f>
        <v>2500000</v>
      </c>
      <c r="J201" s="9">
        <f>IF(FINANCIACION[[#This Row],[$ CAPITAL]]&gt;=0,FINANCIACION[[#This Row],[$ CAPITAL]]+FINANCIACION[[#This Row],[$ INTERESES]],0)</f>
        <v>2852550</v>
      </c>
    </row>
    <row r="202" spans="1:10" ht="24" hidden="1" customHeight="1" x14ac:dyDescent="0.25">
      <c r="A202" s="7">
        <v>43865</v>
      </c>
      <c r="B202" s="53" t="s">
        <v>1218</v>
      </c>
      <c r="C202" s="5">
        <v>-34010</v>
      </c>
      <c r="D202" s="5"/>
      <c r="E202" s="169" t="str">
        <f>+IF(FINANCIACION[[#This Row],[$ CAPITAL]]&gt;=0,FINANCIACION[[#This Row],[$ CAPITAL]]+FINANCIACION[[#This Row],[$ INTERESES]],"")</f>
        <v/>
      </c>
      <c r="F202" s="169">
        <f>+SUMIFS(FINANCIACION[$ CAPITAL],FINANCIACION[Fecha],"&lt;="&amp;FINANCIACION[[#This Row],[Fecha]],FINANCIACION[PRESTAMO],FINANCIACION[[#This Row],[PRESTAMO]])</f>
        <v>6925619.2882570308</v>
      </c>
      <c r="G202" s="8"/>
      <c r="H202" s="56"/>
      <c r="I202" s="5" t="b">
        <f>IF(FINANCIACION[[#This Row],[$ CAPITAL]]&gt;0,FINANCIACION[[#This Row],[$ CAPITAL]])</f>
        <v>0</v>
      </c>
      <c r="J202" s="9">
        <f>IF(FINANCIACION[[#This Row],[$ CAPITAL]]&gt;=0,FINANCIACION[[#This Row],[$ CAPITAL]]+FINANCIACION[[#This Row],[$ INTERESES]],0)</f>
        <v>0</v>
      </c>
    </row>
    <row r="203" spans="1:10" ht="24" hidden="1" customHeight="1" x14ac:dyDescent="0.25">
      <c r="A203" s="7">
        <v>43867</v>
      </c>
      <c r="B203" s="53" t="s">
        <v>1218</v>
      </c>
      <c r="C203" s="5">
        <v>-16776</v>
      </c>
      <c r="D203" s="5"/>
      <c r="E203" s="169" t="str">
        <f>+IF(FINANCIACION[[#This Row],[$ CAPITAL]]&gt;=0,FINANCIACION[[#This Row],[$ CAPITAL]]+FINANCIACION[[#This Row],[$ INTERESES]],"")</f>
        <v/>
      </c>
      <c r="F203" s="169">
        <f>+SUMIFS(FINANCIACION[$ CAPITAL],FINANCIACION[Fecha],"&lt;="&amp;FINANCIACION[[#This Row],[Fecha]],FINANCIACION[PRESTAMO],FINANCIACION[[#This Row],[PRESTAMO]])</f>
        <v>-32089.491742968559</v>
      </c>
      <c r="G203" s="8"/>
      <c r="H203" s="56"/>
      <c r="I203" s="5" t="b">
        <f>IF(FINANCIACION[[#This Row],[$ CAPITAL]]&gt;0,FINANCIACION[[#This Row],[$ CAPITAL]])</f>
        <v>0</v>
      </c>
      <c r="J203" s="9">
        <f>IF(FINANCIACION[[#This Row],[$ CAPITAL]]&gt;=0,FINANCIACION[[#This Row],[$ CAPITAL]]+FINANCIACION[[#This Row],[$ INTERESES]],0)</f>
        <v>0</v>
      </c>
    </row>
    <row r="204" spans="1:10" ht="24" hidden="1" customHeight="1" x14ac:dyDescent="0.25">
      <c r="A204" s="7">
        <v>43867</v>
      </c>
      <c r="B204" s="53" t="s">
        <v>1218</v>
      </c>
      <c r="C204" s="5">
        <v>-370225.85</v>
      </c>
      <c r="D204" s="5"/>
      <c r="E204" s="169" t="str">
        <f>+IF(FINANCIACION[[#This Row],[$ CAPITAL]]&gt;=0,FINANCIACION[[#This Row],[$ CAPITAL]]+FINANCIACION[[#This Row],[$ INTERESES]],"")</f>
        <v/>
      </c>
      <c r="F204" s="169">
        <f>+SUMIFS(FINANCIACION[$ CAPITAL],FINANCIACION[Fecha],"&lt;="&amp;FINANCIACION[[#This Row],[Fecha]],FINANCIACION[PRESTAMO],FINANCIACION[[#This Row],[PRESTAMO]])</f>
        <v>-32089.491742968559</v>
      </c>
      <c r="G204" s="8"/>
      <c r="H204" s="56"/>
      <c r="I204" s="5" t="b">
        <f>IF(FINANCIACION[[#This Row],[$ CAPITAL]]&gt;0,FINANCIACION[[#This Row],[$ CAPITAL]])</f>
        <v>0</v>
      </c>
      <c r="J204" s="9">
        <f>IF(FINANCIACION[[#This Row],[$ CAPITAL]]&gt;=0,FINANCIACION[[#This Row],[$ CAPITAL]]+FINANCIACION[[#This Row],[$ INTERESES]],0)</f>
        <v>0</v>
      </c>
    </row>
    <row r="205" spans="1:10" ht="24" hidden="1" customHeight="1" x14ac:dyDescent="0.25">
      <c r="A205" s="7">
        <v>43867</v>
      </c>
      <c r="B205" s="53" t="s">
        <v>1218</v>
      </c>
      <c r="C205" s="5">
        <v>-6570706.9299999997</v>
      </c>
      <c r="D205" s="5"/>
      <c r="E205" s="169" t="str">
        <f>+IF(FINANCIACION[[#This Row],[$ CAPITAL]]&gt;=0,FINANCIACION[[#This Row],[$ CAPITAL]]+FINANCIACION[[#This Row],[$ INTERESES]],"")</f>
        <v/>
      </c>
      <c r="F205" s="169">
        <f>+SUMIFS(FINANCIACION[$ CAPITAL],FINANCIACION[Fecha],"&lt;="&amp;FINANCIACION[[#This Row],[Fecha]],FINANCIACION[PRESTAMO],FINANCIACION[[#This Row],[PRESTAMO]])</f>
        <v>-32089.491742968559</v>
      </c>
      <c r="G205" s="56"/>
      <c r="H205" s="8"/>
      <c r="I205" s="5" t="b">
        <f>IF(FINANCIACION[[#This Row],[$ CAPITAL]]&gt;0,FINANCIACION[[#This Row],[$ CAPITAL]])</f>
        <v>0</v>
      </c>
      <c r="J205" s="36">
        <f>IF(FINANCIACION[[#This Row],[$ CAPITAL]]&gt;=0,FINANCIACION[[#This Row],[$ CAPITAL]]+FINANCIACION[[#This Row],[$ INTERESES]],0)</f>
        <v>0</v>
      </c>
    </row>
    <row r="206" spans="1:10" ht="24" hidden="1" customHeight="1" x14ac:dyDescent="0.25">
      <c r="A206" s="7">
        <v>43868</v>
      </c>
      <c r="B206" s="53" t="s">
        <v>197</v>
      </c>
      <c r="C206" s="5">
        <v>6250000</v>
      </c>
      <c r="D206" s="5">
        <v>1257774.8600000001</v>
      </c>
      <c r="E206" s="169">
        <f>+IF(FINANCIACION[[#This Row],[$ CAPITAL]]&gt;=0,FINANCIACION[[#This Row],[$ CAPITAL]]+FINANCIACION[[#This Row],[$ INTERESES]],"")</f>
        <v>7507774.8600000003</v>
      </c>
      <c r="F206" s="169">
        <f>+SUMIFS(FINANCIACION[$ CAPITAL],FINANCIACION[Fecha],"&lt;="&amp;FINANCIACION[[#This Row],[Fecha]],FINANCIACION[PRESTAMO],FINANCIACION[[#This Row],[PRESTAMO]])</f>
        <v>-137500000</v>
      </c>
      <c r="G206" s="56"/>
      <c r="H206" s="8"/>
      <c r="I206" s="5">
        <f>IF(FINANCIACION[[#This Row],[$ CAPITAL]]&gt;0,FINANCIACION[[#This Row],[$ CAPITAL]])</f>
        <v>6250000</v>
      </c>
      <c r="J206" s="36">
        <f>IF(FINANCIACION[[#This Row],[$ CAPITAL]]&gt;=0,FINANCIACION[[#This Row],[$ CAPITAL]]+FINANCIACION[[#This Row],[$ INTERESES]],0)</f>
        <v>7507774.8600000003</v>
      </c>
    </row>
    <row r="207" spans="1:10" ht="24" hidden="1" customHeight="1" x14ac:dyDescent="0.25">
      <c r="A207" s="7">
        <v>43871</v>
      </c>
      <c r="B207" s="53" t="s">
        <v>1215</v>
      </c>
      <c r="C207" s="5"/>
      <c r="D207" s="5">
        <v>950000</v>
      </c>
      <c r="E207" s="169">
        <f>+IF(FINANCIACION[[#This Row],[$ CAPITAL]]&gt;=0,FINANCIACION[[#This Row],[$ CAPITAL]]+FINANCIACION[[#This Row],[$ INTERESES]],"")</f>
        <v>950000</v>
      </c>
      <c r="F207" s="169">
        <f>+SUMIFS(FINANCIACION[$ CAPITAL],FINANCIACION[Fecha],"&lt;="&amp;FINANCIACION[[#This Row],[Fecha]],FINANCIACION[PRESTAMO],FINANCIACION[[#This Row],[PRESTAMO]])</f>
        <v>-94935167</v>
      </c>
      <c r="G207" s="56"/>
      <c r="H207" s="8"/>
      <c r="I207" s="5" t="b">
        <f>IF(FINANCIACION[[#This Row],[$ CAPITAL]]&gt;0,FINANCIACION[[#This Row],[$ CAPITAL]])</f>
        <v>0</v>
      </c>
      <c r="J207" s="36">
        <f>IF(FINANCIACION[[#This Row],[$ CAPITAL]]&gt;=0,FINANCIACION[[#This Row],[$ CAPITAL]]+FINANCIACION[[#This Row],[$ INTERESES]],0)</f>
        <v>950000</v>
      </c>
    </row>
    <row r="208" spans="1:10" ht="24" hidden="1" customHeight="1" x14ac:dyDescent="0.25">
      <c r="A208" s="7">
        <v>43871</v>
      </c>
      <c r="B208" s="53" t="s">
        <v>1218</v>
      </c>
      <c r="C208" s="5">
        <v>-496426.88</v>
      </c>
      <c r="D208" s="5"/>
      <c r="E208" s="169" t="str">
        <f>+IF(FINANCIACION[[#This Row],[$ CAPITAL]]&gt;=0,FINANCIACION[[#This Row],[$ CAPITAL]]+FINANCIACION[[#This Row],[$ INTERESES]],"")</f>
        <v/>
      </c>
      <c r="F208" s="169">
        <f>+SUMIFS(FINANCIACION[$ CAPITAL],FINANCIACION[Fecha],"&lt;="&amp;FINANCIACION[[#This Row],[Fecha]],FINANCIACION[PRESTAMO],FINANCIACION[[#This Row],[PRESTAMO]])</f>
        <v>-528516.37174296856</v>
      </c>
      <c r="G208" s="56"/>
      <c r="H208" s="8"/>
      <c r="I208" s="5" t="b">
        <f>IF(FINANCIACION[[#This Row],[$ CAPITAL]]&gt;0,FINANCIACION[[#This Row],[$ CAPITAL]])</f>
        <v>0</v>
      </c>
      <c r="J208" s="36">
        <f>IF(FINANCIACION[[#This Row],[$ CAPITAL]]&gt;=0,FINANCIACION[[#This Row],[$ CAPITAL]]+FINANCIACION[[#This Row],[$ INTERESES]],0)</f>
        <v>0</v>
      </c>
    </row>
    <row r="209" spans="1:10" ht="24" hidden="1" customHeight="1" x14ac:dyDescent="0.25">
      <c r="A209" s="7">
        <v>43874</v>
      </c>
      <c r="B209" s="53" t="s">
        <v>1218</v>
      </c>
      <c r="C209" s="5">
        <v>-75897.36</v>
      </c>
      <c r="D209" s="5"/>
      <c r="E209" s="169" t="str">
        <f>+IF(FINANCIACION[[#This Row],[$ CAPITAL]]&gt;=0,FINANCIACION[[#This Row],[$ CAPITAL]]+FINANCIACION[[#This Row],[$ INTERESES]],"")</f>
        <v/>
      </c>
      <c r="F209" s="169">
        <f>+SUMIFS(FINANCIACION[$ CAPITAL],FINANCIACION[Fecha],"&lt;="&amp;FINANCIACION[[#This Row],[Fecha]],FINANCIACION[PRESTAMO],FINANCIACION[[#This Row],[PRESTAMO]])</f>
        <v>-604413.73174296855</v>
      </c>
      <c r="G209" s="56"/>
      <c r="H209" s="8"/>
      <c r="I209" s="5" t="b">
        <f>IF(FINANCIACION[[#This Row],[$ CAPITAL]]&gt;0,FINANCIACION[[#This Row],[$ CAPITAL]])</f>
        <v>0</v>
      </c>
      <c r="J209" s="36">
        <f>IF(FINANCIACION[[#This Row],[$ CAPITAL]]&gt;=0,FINANCIACION[[#This Row],[$ CAPITAL]]+FINANCIACION[[#This Row],[$ INTERESES]],0)</f>
        <v>0</v>
      </c>
    </row>
    <row r="210" spans="1:10" ht="24" hidden="1" customHeight="1" x14ac:dyDescent="0.25">
      <c r="A210" s="7">
        <v>43879</v>
      </c>
      <c r="B210" s="53" t="s">
        <v>1217</v>
      </c>
      <c r="C210" s="5">
        <v>1491748</v>
      </c>
      <c r="D210" s="5">
        <v>4588198</v>
      </c>
      <c r="E210" s="169">
        <f>+IF(FINANCIACION[[#This Row],[$ CAPITAL]]&gt;=0,FINANCIACION[[#This Row],[$ CAPITAL]]+FINANCIACION[[#This Row],[$ INTERESES]],"")</f>
        <v>6079946</v>
      </c>
      <c r="F210" s="169">
        <f>+SUMIFS(FINANCIACION[$ CAPITAL],FINANCIACION[Fecha],"&lt;="&amp;FINANCIACION[[#This Row],[Fecha]],FINANCIACION[PRESTAMO],FINANCIACION[[#This Row],[PRESTAMO]])</f>
        <v>-386165567.14314044</v>
      </c>
      <c r="G210" s="56"/>
      <c r="H210" s="8"/>
      <c r="I210" s="5">
        <f>IF(FINANCIACION[[#This Row],[$ CAPITAL]]&gt;0,FINANCIACION[[#This Row],[$ CAPITAL]])</f>
        <v>1491748</v>
      </c>
      <c r="J210" s="36">
        <f>IF(FINANCIACION[[#This Row],[$ CAPITAL]]&gt;=0,FINANCIACION[[#This Row],[$ CAPITAL]]+FINANCIACION[[#This Row],[$ INTERESES]],0)</f>
        <v>6079946</v>
      </c>
    </row>
    <row r="211" spans="1:10" ht="24" hidden="1" customHeight="1" x14ac:dyDescent="0.25">
      <c r="A211" s="7">
        <v>43879</v>
      </c>
      <c r="B211" s="53" t="s">
        <v>1218</v>
      </c>
      <c r="C211" s="5">
        <v>1181094</v>
      </c>
      <c r="D211" s="5"/>
      <c r="E211" s="169">
        <f>+IF(FINANCIACION[[#This Row],[$ CAPITAL]]&gt;=0,FINANCIACION[[#This Row],[$ CAPITAL]]+FINANCIACION[[#This Row],[$ INTERESES]],"")</f>
        <v>1181094</v>
      </c>
      <c r="F211" s="169">
        <f>+SUMIFS(FINANCIACION[$ CAPITAL],FINANCIACION[Fecha],"&lt;="&amp;FINANCIACION[[#This Row],[Fecha]],FINANCIACION[PRESTAMO],FINANCIACION[[#This Row],[PRESTAMO]])</f>
        <v>5076680.2682570312</v>
      </c>
      <c r="G211" s="56"/>
      <c r="H211" s="8"/>
      <c r="I211" s="5">
        <f>IF(FINANCIACION[[#This Row],[$ CAPITAL]]&gt;0,FINANCIACION[[#This Row],[$ CAPITAL]])</f>
        <v>1181094</v>
      </c>
      <c r="J211" s="36">
        <f>IF(FINANCIACION[[#This Row],[$ CAPITAL]]&gt;=0,FINANCIACION[[#This Row],[$ CAPITAL]]+FINANCIACION[[#This Row],[$ INTERESES]],0)</f>
        <v>1181094</v>
      </c>
    </row>
    <row r="212" spans="1:10" ht="24" hidden="1" customHeight="1" x14ac:dyDescent="0.25">
      <c r="A212" s="7">
        <v>43879</v>
      </c>
      <c r="B212" s="53" t="s">
        <v>1218</v>
      </c>
      <c r="C212" s="5">
        <v>1500000</v>
      </c>
      <c r="D212" s="5"/>
      <c r="E212" s="169">
        <f>+IF(FINANCIACION[[#This Row],[$ CAPITAL]]&gt;=0,FINANCIACION[[#This Row],[$ CAPITAL]]+FINANCIACION[[#This Row],[$ INTERESES]],"")</f>
        <v>1500000</v>
      </c>
      <c r="F212" s="169">
        <f>+SUMIFS(FINANCIACION[$ CAPITAL],FINANCIACION[Fecha],"&lt;="&amp;FINANCIACION[[#This Row],[Fecha]],FINANCIACION[PRESTAMO],FINANCIACION[[#This Row],[PRESTAMO]])</f>
        <v>5076680.2682570312</v>
      </c>
      <c r="G212" s="56"/>
      <c r="H212" s="8"/>
      <c r="I212" s="5">
        <f>IF(FINANCIACION[[#This Row],[$ CAPITAL]]&gt;0,FINANCIACION[[#This Row],[$ CAPITAL]])</f>
        <v>1500000</v>
      </c>
      <c r="J212" s="36">
        <f>IF(FINANCIACION[[#This Row],[$ CAPITAL]]&gt;=0,FINANCIACION[[#This Row],[$ CAPITAL]]+FINANCIACION[[#This Row],[$ INTERESES]],0)</f>
        <v>1500000</v>
      </c>
    </row>
    <row r="213" spans="1:10" ht="24" hidden="1" customHeight="1" x14ac:dyDescent="0.25">
      <c r="A213" s="7">
        <v>43879</v>
      </c>
      <c r="B213" s="53" t="s">
        <v>1218</v>
      </c>
      <c r="C213" s="5">
        <v>3000000</v>
      </c>
      <c r="D213" s="5"/>
      <c r="E213" s="169">
        <f>+IF(FINANCIACION[[#This Row],[$ CAPITAL]]&gt;=0,FINANCIACION[[#This Row],[$ CAPITAL]]+FINANCIACION[[#This Row],[$ INTERESES]],"")</f>
        <v>3000000</v>
      </c>
      <c r="F213" s="169">
        <f>+SUMIFS(FINANCIACION[$ CAPITAL],FINANCIACION[Fecha],"&lt;="&amp;FINANCIACION[[#This Row],[Fecha]],FINANCIACION[PRESTAMO],FINANCIACION[[#This Row],[PRESTAMO]])</f>
        <v>5076680.2682570312</v>
      </c>
      <c r="G213" s="56"/>
      <c r="H213" s="8"/>
      <c r="I213" s="5">
        <f>IF(FINANCIACION[[#This Row],[$ CAPITAL]]&gt;0,FINANCIACION[[#This Row],[$ CAPITAL]])</f>
        <v>3000000</v>
      </c>
      <c r="J213" s="36">
        <f>IF(FINANCIACION[[#This Row],[$ CAPITAL]]&gt;=0,FINANCIACION[[#This Row],[$ CAPITAL]]+FINANCIACION[[#This Row],[$ INTERESES]],0)</f>
        <v>3000000</v>
      </c>
    </row>
    <row r="214" spans="1:10" ht="24" hidden="1" customHeight="1" x14ac:dyDescent="0.25">
      <c r="A214" s="69">
        <v>43880</v>
      </c>
      <c r="B214" s="53" t="s">
        <v>1218</v>
      </c>
      <c r="C214" s="70">
        <v>-2091546</v>
      </c>
      <c r="D214" s="5"/>
      <c r="E214" s="169" t="str">
        <f>+IF(FINANCIACION[[#This Row],[$ CAPITAL]]&gt;=0,FINANCIACION[[#This Row],[$ CAPITAL]]+FINANCIACION[[#This Row],[$ INTERESES]],"")</f>
        <v/>
      </c>
      <c r="F214" s="169">
        <f>+SUMIFS(FINANCIACION[$ CAPITAL],FINANCIACION[Fecha],"&lt;="&amp;FINANCIACION[[#This Row],[Fecha]],FINANCIACION[PRESTAMO],FINANCIACION[[#This Row],[PRESTAMO]])</f>
        <v>2985134.2682570312</v>
      </c>
      <c r="G214" s="71"/>
      <c r="H214" s="72"/>
      <c r="I214" s="70" t="b">
        <f>IF(FINANCIACION[[#This Row],[$ CAPITAL]]&gt;0,FINANCIACION[[#This Row],[$ CAPITAL]])</f>
        <v>0</v>
      </c>
      <c r="J214" s="73">
        <f>IF(FINANCIACION[[#This Row],[$ CAPITAL]]&gt;=0,FINANCIACION[[#This Row],[$ CAPITAL]]+FINANCIACION[[#This Row],[$ INTERESES]],0)</f>
        <v>0</v>
      </c>
    </row>
    <row r="215" spans="1:10" ht="24" hidden="1" customHeight="1" x14ac:dyDescent="0.25">
      <c r="A215" s="7">
        <v>43881</v>
      </c>
      <c r="B215" s="53" t="s">
        <v>1216</v>
      </c>
      <c r="C215" s="5">
        <v>260000</v>
      </c>
      <c r="D215" s="5">
        <v>740000</v>
      </c>
      <c r="E215" s="169">
        <f>+IF(FINANCIACION[[#This Row],[$ CAPITAL]]&gt;=0,FINANCIACION[[#This Row],[$ CAPITAL]]+FINANCIACION[[#This Row],[$ INTERESES]],"")</f>
        <v>1000000</v>
      </c>
      <c r="F215" s="169">
        <f>+SUMIFS(FINANCIACION[$ CAPITAL],FINANCIACION[Fecha],"&lt;="&amp;FINANCIACION[[#This Row],[Fecha]],FINANCIACION[PRESTAMO],FINANCIACION[[#This Row],[PRESTAMO]])</f>
        <v>-66369154</v>
      </c>
      <c r="G215" s="8"/>
      <c r="H215" s="56"/>
      <c r="I215" s="5">
        <f>IF(FINANCIACION[[#This Row],[$ CAPITAL]]&gt;0,FINANCIACION[[#This Row],[$ CAPITAL]])</f>
        <v>260000</v>
      </c>
      <c r="J215" s="36">
        <f>IF(FINANCIACION[[#This Row],[$ CAPITAL]]&gt;=0,FINANCIACION[[#This Row],[$ CAPITAL]]+FINANCIACION[[#This Row],[$ INTERESES]],0)</f>
        <v>1000000</v>
      </c>
    </row>
    <row r="216" spans="1:10" ht="24" hidden="1" customHeight="1" x14ac:dyDescent="0.25">
      <c r="A216" s="7">
        <v>43881</v>
      </c>
      <c r="B216" s="53" t="s">
        <v>1216</v>
      </c>
      <c r="C216" s="5">
        <v>310000</v>
      </c>
      <c r="D216" s="5">
        <v>86900</v>
      </c>
      <c r="E216" s="169">
        <f>+IF(FINANCIACION[[#This Row],[$ CAPITAL]]&gt;=0,FINANCIACION[[#This Row],[$ CAPITAL]]+FINANCIACION[[#This Row],[$ INTERESES]],"")</f>
        <v>396900</v>
      </c>
      <c r="F216" s="169">
        <f>+SUMIFS(FINANCIACION[$ CAPITAL],FINANCIACION[Fecha],"&lt;="&amp;FINANCIACION[[#This Row],[Fecha]],FINANCIACION[PRESTAMO],FINANCIACION[[#This Row],[PRESTAMO]])</f>
        <v>-66369154</v>
      </c>
      <c r="G216" s="8"/>
      <c r="H216" s="56"/>
      <c r="I216" s="5">
        <f>IF(FINANCIACION[[#This Row],[$ CAPITAL]]&gt;0,FINANCIACION[[#This Row],[$ CAPITAL]])</f>
        <v>310000</v>
      </c>
      <c r="J216" s="9">
        <f>IF(FINANCIACION[[#This Row],[$ CAPITAL]]&gt;=0,FINANCIACION[[#This Row],[$ CAPITAL]]+FINANCIACION[[#This Row],[$ INTERESES]],0)</f>
        <v>396900</v>
      </c>
    </row>
    <row r="217" spans="1:10" ht="24" hidden="1" customHeight="1" x14ac:dyDescent="0.25">
      <c r="A217" s="7">
        <v>43881</v>
      </c>
      <c r="B217" s="53" t="s">
        <v>1218</v>
      </c>
      <c r="C217" s="5">
        <v>500000</v>
      </c>
      <c r="D217" s="5"/>
      <c r="E217" s="169">
        <f>+IF(FINANCIACION[[#This Row],[$ CAPITAL]]&gt;=0,FINANCIACION[[#This Row],[$ CAPITAL]]+FINANCIACION[[#This Row],[$ INTERESES]],"")</f>
        <v>500000</v>
      </c>
      <c r="F217" s="169">
        <f>+SUMIFS(FINANCIACION[$ CAPITAL],FINANCIACION[Fecha],"&lt;="&amp;FINANCIACION[[#This Row],[Fecha]],FINANCIACION[PRESTAMO],FINANCIACION[[#This Row],[PRESTAMO]])</f>
        <v>4985134.2682570312</v>
      </c>
      <c r="G217" s="8"/>
      <c r="H217" s="56"/>
      <c r="I217" s="5">
        <f>IF(FINANCIACION[[#This Row],[$ CAPITAL]]&gt;0,FINANCIACION[[#This Row],[$ CAPITAL]])</f>
        <v>500000</v>
      </c>
      <c r="J217" s="9">
        <f>IF(FINANCIACION[[#This Row],[$ CAPITAL]]&gt;=0,FINANCIACION[[#This Row],[$ CAPITAL]]+FINANCIACION[[#This Row],[$ INTERESES]],0)</f>
        <v>500000</v>
      </c>
    </row>
    <row r="218" spans="1:10" ht="24" hidden="1" customHeight="1" x14ac:dyDescent="0.25">
      <c r="A218" s="7">
        <v>43881</v>
      </c>
      <c r="B218" s="53" t="s">
        <v>1218</v>
      </c>
      <c r="C218" s="5">
        <v>1500000</v>
      </c>
      <c r="D218" s="5"/>
      <c r="E218" s="169">
        <f>+IF(FINANCIACION[[#This Row],[$ CAPITAL]]&gt;=0,FINANCIACION[[#This Row],[$ CAPITAL]]+FINANCIACION[[#This Row],[$ INTERESES]],"")</f>
        <v>1500000</v>
      </c>
      <c r="F218" s="169">
        <f>+SUMIFS(FINANCIACION[$ CAPITAL],FINANCIACION[Fecha],"&lt;="&amp;FINANCIACION[[#This Row],[Fecha]],FINANCIACION[PRESTAMO],FINANCIACION[[#This Row],[PRESTAMO]])</f>
        <v>4985134.2682570312</v>
      </c>
      <c r="G218" s="8"/>
      <c r="H218" s="56"/>
      <c r="I218" s="5">
        <f>IF(FINANCIACION[[#This Row],[$ CAPITAL]]&gt;0,FINANCIACION[[#This Row],[$ CAPITAL]])</f>
        <v>1500000</v>
      </c>
      <c r="J218" s="36">
        <f>IF(FINANCIACION[[#This Row],[$ CAPITAL]]&gt;=0,FINANCIACION[[#This Row],[$ CAPITAL]]+FINANCIACION[[#This Row],[$ INTERESES]],0)</f>
        <v>1500000</v>
      </c>
    </row>
    <row r="219" spans="1:10" ht="24" hidden="1" customHeight="1" x14ac:dyDescent="0.25">
      <c r="A219" s="7">
        <v>43882</v>
      </c>
      <c r="B219" s="53" t="s">
        <v>1218</v>
      </c>
      <c r="C219" s="5">
        <v>-238000</v>
      </c>
      <c r="D219" s="5"/>
      <c r="E219" s="169" t="str">
        <f>+IF(FINANCIACION[[#This Row],[$ CAPITAL]]&gt;=0,FINANCIACION[[#This Row],[$ CAPITAL]]+FINANCIACION[[#This Row],[$ INTERESES]],"")</f>
        <v/>
      </c>
      <c r="F219" s="169">
        <f>+SUMIFS(FINANCIACION[$ CAPITAL],FINANCIACION[Fecha],"&lt;="&amp;FINANCIACION[[#This Row],[Fecha]],FINANCIACION[PRESTAMO],FINANCIACION[[#This Row],[PRESTAMO]])</f>
        <v>4747134.2682570312</v>
      </c>
      <c r="G219" s="64"/>
      <c r="H219" s="56"/>
      <c r="I219" s="5" t="b">
        <f>IF(FINANCIACION[[#This Row],[$ CAPITAL]]&gt;0,FINANCIACION[[#This Row],[$ CAPITAL]])</f>
        <v>0</v>
      </c>
      <c r="J219" s="36">
        <f>IF(FINANCIACION[[#This Row],[$ CAPITAL]]&gt;=0,FINANCIACION[[#This Row],[$ CAPITAL]]+FINANCIACION[[#This Row],[$ INTERESES]],0)</f>
        <v>0</v>
      </c>
    </row>
    <row r="220" spans="1:10" ht="24" hidden="1" customHeight="1" x14ac:dyDescent="0.25">
      <c r="A220" s="7">
        <v>43886</v>
      </c>
      <c r="B220" s="53" t="s">
        <v>193</v>
      </c>
      <c r="C220" s="55">
        <v>1250000</v>
      </c>
      <c r="D220" s="5">
        <v>229080</v>
      </c>
      <c r="E220" s="169">
        <f>+IF(FINANCIACION[[#This Row],[$ CAPITAL]]&gt;=0,FINANCIACION[[#This Row],[$ CAPITAL]]+FINANCIACION[[#This Row],[$ INTERESES]],"")</f>
        <v>1479080</v>
      </c>
      <c r="F220" s="169">
        <f>+SUMIFS(FINANCIACION[$ CAPITAL],FINANCIACION[Fecha],"&lt;="&amp;FINANCIACION[[#This Row],[Fecha]],FINANCIACION[PRESTAMO],FINANCIACION[[#This Row],[PRESTAMO]])</f>
        <v>-17500000</v>
      </c>
      <c r="G220" s="56"/>
      <c r="H220" s="8"/>
      <c r="I220" s="5">
        <f>IF(FINANCIACION[[#This Row],[$ CAPITAL]]&gt;0,FINANCIACION[[#This Row],[$ CAPITAL]])</f>
        <v>1250000</v>
      </c>
      <c r="J220" s="36">
        <f>IF(FINANCIACION[[#This Row],[$ CAPITAL]]&gt;=0,FINANCIACION[[#This Row],[$ CAPITAL]]+FINANCIACION[[#This Row],[$ INTERESES]],0)</f>
        <v>1479080</v>
      </c>
    </row>
    <row r="221" spans="1:10" ht="24" hidden="1" customHeight="1" x14ac:dyDescent="0.25">
      <c r="A221" s="7">
        <v>43887</v>
      </c>
      <c r="B221" s="53" t="s">
        <v>1218</v>
      </c>
      <c r="C221" s="5">
        <v>-204035</v>
      </c>
      <c r="D221" s="5"/>
      <c r="E221" s="169" t="str">
        <f>+IF(FINANCIACION[[#This Row],[$ CAPITAL]]&gt;=0,FINANCIACION[[#This Row],[$ CAPITAL]]+FINANCIACION[[#This Row],[$ INTERESES]],"")</f>
        <v/>
      </c>
      <c r="F221" s="169">
        <f>+SUMIFS(FINANCIACION[$ CAPITAL],FINANCIACION[Fecha],"&lt;="&amp;FINANCIACION[[#This Row],[Fecha]],FINANCIACION[PRESTAMO],FINANCIACION[[#This Row],[PRESTAMO]])</f>
        <v>4543099.2682570312</v>
      </c>
      <c r="G221" s="56"/>
      <c r="H221" s="56"/>
      <c r="I221" s="5" t="b">
        <f>IF(FINANCIACION[[#This Row],[$ CAPITAL]]&gt;0,FINANCIACION[[#This Row],[$ CAPITAL]])</f>
        <v>0</v>
      </c>
      <c r="J221" s="36">
        <f>IF(FINANCIACION[[#This Row],[$ CAPITAL]]&gt;=0,FINANCIACION[[#This Row],[$ CAPITAL]]+FINANCIACION[[#This Row],[$ INTERESES]],0)</f>
        <v>0</v>
      </c>
    </row>
    <row r="222" spans="1:10" ht="24" hidden="1" customHeight="1" x14ac:dyDescent="0.25">
      <c r="A222" s="7">
        <v>43888</v>
      </c>
      <c r="B222" s="53" t="s">
        <v>1218</v>
      </c>
      <c r="C222" s="5">
        <v>-259615.63</v>
      </c>
      <c r="D222" s="5"/>
      <c r="E222" s="169" t="str">
        <f>+IF(FINANCIACION[[#This Row],[$ CAPITAL]]&gt;=0,FINANCIACION[[#This Row],[$ CAPITAL]]+FINANCIACION[[#This Row],[$ INTERESES]],"")</f>
        <v/>
      </c>
      <c r="F222" s="169">
        <f>+SUMIFS(FINANCIACION[$ CAPITAL],FINANCIACION[Fecha],"&lt;="&amp;FINANCIACION[[#This Row],[Fecha]],FINANCIACION[PRESTAMO],FINANCIACION[[#This Row],[PRESTAMO]])</f>
        <v>4283483.6382570313</v>
      </c>
      <c r="G222" s="56"/>
      <c r="H222" s="8"/>
      <c r="I222" s="5" t="b">
        <f>IF(FINANCIACION[[#This Row],[$ CAPITAL]]&gt;0,FINANCIACION[[#This Row],[$ CAPITAL]])</f>
        <v>0</v>
      </c>
      <c r="J222" s="36">
        <f>IF(FINANCIACION[[#This Row],[$ CAPITAL]]&gt;=0,FINANCIACION[[#This Row],[$ CAPITAL]]+FINANCIACION[[#This Row],[$ INTERESES]],0)</f>
        <v>0</v>
      </c>
    </row>
    <row r="223" spans="1:10" ht="24" hidden="1" customHeight="1" x14ac:dyDescent="0.25">
      <c r="A223" s="7">
        <v>43890</v>
      </c>
      <c r="B223" s="53" t="s">
        <v>1219</v>
      </c>
      <c r="C223" s="5"/>
      <c r="D223" s="5">
        <v>840000</v>
      </c>
      <c r="E223" s="169">
        <f>+IF(FINANCIACION[[#This Row],[$ CAPITAL]]&gt;=0,FINANCIACION[[#This Row],[$ CAPITAL]]+FINANCIACION[[#This Row],[$ INTERESES]],"")</f>
        <v>840000</v>
      </c>
      <c r="F223" s="169">
        <f>+SUMIFS(FINANCIACION[$ CAPITAL],FINANCIACION[Fecha],"&lt;="&amp;FINANCIACION[[#This Row],[Fecha]],FINANCIACION[PRESTAMO],FINANCIACION[[#This Row],[PRESTAMO]])</f>
        <v>-84000000</v>
      </c>
      <c r="G223" s="56"/>
      <c r="H223" s="8"/>
      <c r="I223" s="5" t="b">
        <f>IF(FINANCIACION[[#This Row],[$ CAPITAL]]&gt;0,FINANCIACION[[#This Row],[$ CAPITAL]])</f>
        <v>0</v>
      </c>
      <c r="J223" s="36">
        <f>IF(FINANCIACION[[#This Row],[$ CAPITAL]]&gt;=0,FINANCIACION[[#This Row],[$ CAPITAL]]+FINANCIACION[[#This Row],[$ INTERESES]],0)</f>
        <v>840000</v>
      </c>
    </row>
    <row r="224" spans="1:10" ht="24" hidden="1" customHeight="1" x14ac:dyDescent="0.25">
      <c r="A224" s="7">
        <v>43890</v>
      </c>
      <c r="B224" s="53" t="s">
        <v>1216</v>
      </c>
      <c r="C224" s="5">
        <v>-829906</v>
      </c>
      <c r="D224" s="5"/>
      <c r="E224" s="169" t="str">
        <f>+IF(FINANCIACION[[#This Row],[$ CAPITAL]]&gt;=0,FINANCIACION[[#This Row],[$ CAPITAL]]+FINANCIACION[[#This Row],[$ INTERESES]],"")</f>
        <v/>
      </c>
      <c r="F224" s="169">
        <f>+SUMIFS(FINANCIACION[$ CAPITAL],FINANCIACION[Fecha],"&lt;="&amp;FINANCIACION[[#This Row],[Fecha]],FINANCIACION[PRESTAMO],FINANCIACION[[#This Row],[PRESTAMO]])</f>
        <v>-67199060</v>
      </c>
      <c r="G224" s="56"/>
      <c r="H224" s="8"/>
      <c r="I224" s="5" t="b">
        <f>IF(FINANCIACION[[#This Row],[$ CAPITAL]]&gt;0,FINANCIACION[[#This Row],[$ CAPITAL]])</f>
        <v>0</v>
      </c>
      <c r="J224" s="36">
        <f>IF(FINANCIACION[[#This Row],[$ CAPITAL]]&gt;=0,FINANCIACION[[#This Row],[$ CAPITAL]]+FINANCIACION[[#This Row],[$ INTERESES]],0)</f>
        <v>0</v>
      </c>
    </row>
    <row r="225" spans="1:10" ht="24" hidden="1" customHeight="1" x14ac:dyDescent="0.25">
      <c r="A225" s="7">
        <v>43890</v>
      </c>
      <c r="B225" s="53" t="s">
        <v>1218</v>
      </c>
      <c r="C225" s="5">
        <v>-2051310.6682570393</v>
      </c>
      <c r="D225" s="5"/>
      <c r="E225" s="169" t="str">
        <f>+IF(FINANCIACION[[#This Row],[$ CAPITAL]]&gt;=0,FINANCIACION[[#This Row],[$ CAPITAL]]+FINANCIACION[[#This Row],[$ INTERESES]],"")</f>
        <v/>
      </c>
      <c r="F225" s="169">
        <f>+SUMIFS(FINANCIACION[$ CAPITAL],FINANCIACION[Fecha],"&lt;="&amp;FINANCIACION[[#This Row],[Fecha]],FINANCIACION[PRESTAMO],FINANCIACION[[#This Row],[PRESTAMO]])</f>
        <v>261463.04999999236</v>
      </c>
      <c r="G225" s="56"/>
      <c r="H225" s="8"/>
      <c r="I225" s="5" t="b">
        <f>IF(FINANCIACION[[#This Row],[$ CAPITAL]]&gt;0,FINANCIACION[[#This Row],[$ CAPITAL]])</f>
        <v>0</v>
      </c>
      <c r="J225" s="36">
        <f>IF(FINANCIACION[[#This Row],[$ CAPITAL]]&gt;=0,FINANCIACION[[#This Row],[$ CAPITAL]]+FINANCIACION[[#This Row],[$ INTERESES]],0)</f>
        <v>0</v>
      </c>
    </row>
    <row r="226" spans="1:10" ht="24" hidden="1" customHeight="1" x14ac:dyDescent="0.25">
      <c r="A226" s="7">
        <v>43890</v>
      </c>
      <c r="B226" s="53" t="s">
        <v>1218</v>
      </c>
      <c r="C226" s="5">
        <v>-1970709.92</v>
      </c>
      <c r="D226" s="5"/>
      <c r="E226" s="169" t="str">
        <f>+IF(FINANCIACION[[#This Row],[$ CAPITAL]]&gt;=0,FINANCIACION[[#This Row],[$ CAPITAL]]+FINANCIACION[[#This Row],[$ INTERESES]],"")</f>
        <v/>
      </c>
      <c r="F226" s="169">
        <f>+SUMIFS(FINANCIACION[$ CAPITAL],FINANCIACION[Fecha],"&lt;="&amp;FINANCIACION[[#This Row],[Fecha]],FINANCIACION[PRESTAMO],FINANCIACION[[#This Row],[PRESTAMO]])</f>
        <v>261463.04999999236</v>
      </c>
      <c r="G226" s="56"/>
      <c r="H226" s="8"/>
      <c r="I226" s="5" t="b">
        <f>IF(FINANCIACION[[#This Row],[$ CAPITAL]]&gt;0,FINANCIACION[[#This Row],[$ CAPITAL]])</f>
        <v>0</v>
      </c>
      <c r="J226" s="36">
        <f>IF(FINANCIACION[[#This Row],[$ CAPITAL]]&gt;=0,FINANCIACION[[#This Row],[$ CAPITAL]]+FINANCIACION[[#This Row],[$ INTERESES]],0)</f>
        <v>0</v>
      </c>
    </row>
    <row r="227" spans="1:10" ht="24" hidden="1" customHeight="1" x14ac:dyDescent="0.25">
      <c r="A227" s="7">
        <v>43893</v>
      </c>
      <c r="B227" s="53" t="s">
        <v>194</v>
      </c>
      <c r="C227" s="5">
        <v>3472222</v>
      </c>
      <c r="D227" s="5">
        <v>2169302</v>
      </c>
      <c r="E227" s="169">
        <f>+IF(FINANCIACION[[#This Row],[$ CAPITAL]]&gt;=0,FINANCIACION[[#This Row],[$ CAPITAL]]+FINANCIACION[[#This Row],[$ INTERESES]],"")</f>
        <v>5641524</v>
      </c>
      <c r="F227" s="169">
        <f>+SUMIFS(FINANCIACION[$ CAPITAL],FINANCIACION[Fecha],"&lt;="&amp;FINANCIACION[[#This Row],[Fecha]],FINANCIACION[PRESTAMO],FINANCIACION[[#This Row],[PRESTAMO]])</f>
        <v>-37861114</v>
      </c>
      <c r="G227" s="56"/>
      <c r="H227" s="8"/>
      <c r="I227" s="5">
        <f>IF(FINANCIACION[[#This Row],[$ CAPITAL]]&gt;0,FINANCIACION[[#This Row],[$ CAPITAL]])</f>
        <v>3472222</v>
      </c>
      <c r="J227" s="36">
        <f>IF(FINANCIACION[[#This Row],[$ CAPITAL]]&gt;=0,FINANCIACION[[#This Row],[$ CAPITAL]]+FINANCIACION[[#This Row],[$ INTERESES]],0)</f>
        <v>5641524</v>
      </c>
    </row>
    <row r="228" spans="1:10" ht="24" hidden="1" customHeight="1" x14ac:dyDescent="0.25">
      <c r="A228" s="7">
        <v>43894</v>
      </c>
      <c r="B228" s="53" t="s">
        <v>1218</v>
      </c>
      <c r="C228" s="5">
        <v>2500000</v>
      </c>
      <c r="D228" s="5">
        <v>323170.83999999985</v>
      </c>
      <c r="E228" s="169">
        <f>+IF(FINANCIACION[[#This Row],[$ CAPITAL]]&gt;=0,FINANCIACION[[#This Row],[$ CAPITAL]]+FINANCIACION[[#This Row],[$ INTERESES]],"")</f>
        <v>2823170.84</v>
      </c>
      <c r="F228" s="169">
        <f>+SUMIFS(FINANCIACION[$ CAPITAL],FINANCIACION[Fecha],"&lt;="&amp;FINANCIACION[[#This Row],[Fecha]],FINANCIACION[PRESTAMO],FINANCIACION[[#This Row],[PRESTAMO]])</f>
        <v>2761463.0499999924</v>
      </c>
      <c r="G228" s="8"/>
      <c r="H228" s="56"/>
      <c r="I228" s="5">
        <f>IF(FINANCIACION[[#This Row],[$ CAPITAL]]&gt;0,FINANCIACION[[#This Row],[$ CAPITAL]])</f>
        <v>2500000</v>
      </c>
      <c r="J228" s="9">
        <f>IF(FINANCIACION[[#This Row],[$ CAPITAL]]&gt;=0,FINANCIACION[[#This Row],[$ CAPITAL]]+FINANCIACION[[#This Row],[$ INTERESES]],0)</f>
        <v>2823170.84</v>
      </c>
    </row>
    <row r="229" spans="1:10" ht="24" hidden="1" customHeight="1" x14ac:dyDescent="0.25">
      <c r="A229" s="7">
        <v>43899</v>
      </c>
      <c r="B229" s="53" t="s">
        <v>197</v>
      </c>
      <c r="C229" s="5">
        <v>6250000</v>
      </c>
      <c r="D229" s="5">
        <v>1229000</v>
      </c>
      <c r="E229" s="169">
        <f>+IF(FINANCIACION[[#This Row],[$ CAPITAL]]&gt;=0,FINANCIACION[[#This Row],[$ CAPITAL]]+FINANCIACION[[#This Row],[$ INTERESES]],"")</f>
        <v>7479000</v>
      </c>
      <c r="F229" s="169">
        <f>+SUMIFS(FINANCIACION[$ CAPITAL],FINANCIACION[Fecha],"&lt;="&amp;FINANCIACION[[#This Row],[Fecha]],FINANCIACION[PRESTAMO],FINANCIACION[[#This Row],[PRESTAMO]])</f>
        <v>-131250000</v>
      </c>
      <c r="G229" s="8"/>
      <c r="H229" s="56"/>
      <c r="I229" s="5">
        <f>IF(FINANCIACION[[#This Row],[$ CAPITAL]]&gt;0,FINANCIACION[[#This Row],[$ CAPITAL]])</f>
        <v>6250000</v>
      </c>
      <c r="J229" s="9">
        <f>IF(FINANCIACION[[#This Row],[$ CAPITAL]]&gt;=0,FINANCIACION[[#This Row],[$ CAPITAL]]+FINANCIACION[[#This Row],[$ INTERESES]],0)</f>
        <v>7479000</v>
      </c>
    </row>
    <row r="230" spans="1:10" ht="24" hidden="1" customHeight="1" x14ac:dyDescent="0.25">
      <c r="A230" s="7">
        <v>43900</v>
      </c>
      <c r="B230" s="53" t="s">
        <v>1220</v>
      </c>
      <c r="C230" s="5">
        <v>-75000000</v>
      </c>
      <c r="D230" s="5"/>
      <c r="E230" s="169" t="str">
        <f>+IF(FINANCIACION[[#This Row],[$ CAPITAL]]&gt;=0,FINANCIACION[[#This Row],[$ CAPITAL]]+FINANCIACION[[#This Row],[$ INTERESES]],"")</f>
        <v/>
      </c>
      <c r="F230" s="169">
        <f>+SUMIFS(FINANCIACION[$ CAPITAL],FINANCIACION[Fecha],"&lt;="&amp;FINANCIACION[[#This Row],[Fecha]],FINANCIACION[PRESTAMO],FINANCIACION[[#This Row],[PRESTAMO]])</f>
        <v>-75000000</v>
      </c>
      <c r="G230" s="8"/>
      <c r="H230" s="8"/>
      <c r="I230" s="5" t="b">
        <f>IF(FINANCIACION[[#This Row],[$ CAPITAL]]&gt;0,FINANCIACION[[#This Row],[$ CAPITAL]])</f>
        <v>0</v>
      </c>
      <c r="J230" s="36">
        <f>IF(FINANCIACION[[#This Row],[$ CAPITAL]]&gt;=0,FINANCIACION[[#This Row],[$ CAPITAL]]+FINANCIACION[[#This Row],[$ INTERESES]],0)</f>
        <v>0</v>
      </c>
    </row>
    <row r="231" spans="1:10" ht="24" hidden="1" customHeight="1" x14ac:dyDescent="0.25">
      <c r="A231" s="7">
        <v>43901</v>
      </c>
      <c r="B231" s="53" t="s">
        <v>1218</v>
      </c>
      <c r="C231" s="55">
        <v>3000000</v>
      </c>
      <c r="D231" s="5"/>
      <c r="E231" s="169">
        <f>+IF(FINANCIACION[[#This Row],[$ CAPITAL]]&gt;=0,FINANCIACION[[#This Row],[$ CAPITAL]]+FINANCIACION[[#This Row],[$ INTERESES]],"")</f>
        <v>3000000</v>
      </c>
      <c r="F231" s="169">
        <f>+SUMIFS(FINANCIACION[$ CAPITAL],FINANCIACION[Fecha],"&lt;="&amp;FINANCIACION[[#This Row],[Fecha]],FINANCIACION[PRESTAMO],FINANCIACION[[#This Row],[PRESTAMO]])</f>
        <v>5761463.0499999924</v>
      </c>
      <c r="G231" s="56"/>
      <c r="H231" s="8"/>
      <c r="I231" s="5">
        <f>IF(FINANCIACION[[#This Row],[$ CAPITAL]]&gt;0,FINANCIACION[[#This Row],[$ CAPITAL]])</f>
        <v>3000000</v>
      </c>
      <c r="J231" s="36">
        <f>IF(FINANCIACION[[#This Row],[$ CAPITAL]]&gt;=0,FINANCIACION[[#This Row],[$ CAPITAL]]+FINANCIACION[[#This Row],[$ INTERESES]],0)</f>
        <v>3000000</v>
      </c>
    </row>
    <row r="232" spans="1:10" ht="24" hidden="1" customHeight="1" x14ac:dyDescent="0.25">
      <c r="A232" s="7">
        <v>43906</v>
      </c>
      <c r="B232" s="53" t="s">
        <v>1218</v>
      </c>
      <c r="C232" s="5">
        <v>1000000</v>
      </c>
      <c r="D232" s="5"/>
      <c r="E232" s="169">
        <f>+IF(FINANCIACION[[#This Row],[$ CAPITAL]]&gt;=0,FINANCIACION[[#This Row],[$ CAPITAL]]+FINANCIACION[[#This Row],[$ INTERESES]],"")</f>
        <v>1000000</v>
      </c>
      <c r="F232" s="169">
        <f>+SUMIFS(FINANCIACION[$ CAPITAL],FINANCIACION[Fecha],"&lt;="&amp;FINANCIACION[[#This Row],[Fecha]],FINANCIACION[PRESTAMO],FINANCIACION[[#This Row],[PRESTAMO]])</f>
        <v>8761463.0499999933</v>
      </c>
      <c r="G232" s="56"/>
      <c r="H232" s="8"/>
      <c r="I232" s="5">
        <f>IF(FINANCIACION[[#This Row],[$ CAPITAL]]&gt;0,FINANCIACION[[#This Row],[$ CAPITAL]])</f>
        <v>1000000</v>
      </c>
      <c r="J232" s="36">
        <f>IF(FINANCIACION[[#This Row],[$ CAPITAL]]&gt;=0,FINANCIACION[[#This Row],[$ CAPITAL]]+FINANCIACION[[#This Row],[$ INTERESES]],0)</f>
        <v>1000000</v>
      </c>
    </row>
    <row r="233" spans="1:10" ht="24" hidden="1" customHeight="1" x14ac:dyDescent="0.25">
      <c r="A233" s="7">
        <v>43906</v>
      </c>
      <c r="B233" s="53" t="s">
        <v>1218</v>
      </c>
      <c r="C233" s="5">
        <v>2000000</v>
      </c>
      <c r="D233" s="5"/>
      <c r="E233" s="169">
        <f>+IF(FINANCIACION[[#This Row],[$ CAPITAL]]&gt;=0,FINANCIACION[[#This Row],[$ CAPITAL]]+FINANCIACION[[#This Row],[$ INTERESES]],"")</f>
        <v>2000000</v>
      </c>
      <c r="F233" s="169">
        <f>+SUMIFS(FINANCIACION[$ CAPITAL],FINANCIACION[Fecha],"&lt;="&amp;FINANCIACION[[#This Row],[Fecha]],FINANCIACION[PRESTAMO],FINANCIACION[[#This Row],[PRESTAMO]])</f>
        <v>8761463.0499999933</v>
      </c>
      <c r="G233" s="56"/>
      <c r="H233" s="8"/>
      <c r="I233" s="5">
        <f>IF(FINANCIACION[[#This Row],[$ CAPITAL]]&gt;0,FINANCIACION[[#This Row],[$ CAPITAL]])</f>
        <v>2000000</v>
      </c>
      <c r="J233" s="36">
        <f>IF(FINANCIACION[[#This Row],[$ CAPITAL]]&gt;=0,FINANCIACION[[#This Row],[$ CAPITAL]]+FINANCIACION[[#This Row],[$ INTERESES]],0)</f>
        <v>2000000</v>
      </c>
    </row>
    <row r="234" spans="1:10" ht="24" hidden="1" customHeight="1" x14ac:dyDescent="0.25">
      <c r="A234" s="7">
        <v>43908</v>
      </c>
      <c r="B234" s="53" t="s">
        <v>1217</v>
      </c>
      <c r="C234" s="5">
        <v>1513636.1431404999</v>
      </c>
      <c r="D234" s="5">
        <v>4992178.8568594996</v>
      </c>
      <c r="E234" s="169">
        <f>+IF(FINANCIACION[[#This Row],[$ CAPITAL]]&gt;=0,FINANCIACION[[#This Row],[$ CAPITAL]]+FINANCIACION[[#This Row],[$ INTERESES]],"")</f>
        <v>6505815</v>
      </c>
      <c r="F234" s="169">
        <f>+SUMIFS(FINANCIACION[$ CAPITAL],FINANCIACION[Fecha],"&lt;="&amp;FINANCIACION[[#This Row],[Fecha]],FINANCIACION[PRESTAMO],FINANCIACION[[#This Row],[PRESTAMO]])</f>
        <v>-384651930.99999994</v>
      </c>
      <c r="G234" s="56"/>
      <c r="H234" s="8"/>
      <c r="I234" s="5">
        <f>IF(FINANCIACION[[#This Row],[$ CAPITAL]]&gt;0,FINANCIACION[[#This Row],[$ CAPITAL]])</f>
        <v>1513636.1431404999</v>
      </c>
      <c r="J234" s="36">
        <f>IF(FINANCIACION[[#This Row],[$ CAPITAL]]&gt;=0,FINANCIACION[[#This Row],[$ CAPITAL]]+FINANCIACION[[#This Row],[$ INTERESES]],0)</f>
        <v>6505815</v>
      </c>
    </row>
    <row r="235" spans="1:10" ht="24" hidden="1" customHeight="1" x14ac:dyDescent="0.25">
      <c r="A235" s="7">
        <v>43915</v>
      </c>
      <c r="B235" s="53" t="s">
        <v>193</v>
      </c>
      <c r="C235" s="5">
        <v>1250000</v>
      </c>
      <c r="D235" s="5">
        <v>214114</v>
      </c>
      <c r="E235" s="169">
        <f>+IF(FINANCIACION[[#This Row],[$ CAPITAL]]&gt;=0,FINANCIACION[[#This Row],[$ CAPITAL]]+FINANCIACION[[#This Row],[$ INTERESES]],"")</f>
        <v>1464114</v>
      </c>
      <c r="F235" s="169">
        <f>+SUMIFS(FINANCIACION[$ CAPITAL],FINANCIACION[Fecha],"&lt;="&amp;FINANCIACION[[#This Row],[Fecha]],FINANCIACION[PRESTAMO],FINANCIACION[[#This Row],[PRESTAMO]])</f>
        <v>-16250000</v>
      </c>
      <c r="G235" s="56"/>
      <c r="H235" s="65"/>
      <c r="I235" s="5">
        <f>IF(FINANCIACION[[#This Row],[$ CAPITAL]]&gt;0,FINANCIACION[[#This Row],[$ CAPITAL]])</f>
        <v>1250000</v>
      </c>
      <c r="J235" s="36">
        <f>IF(FINANCIACION[[#This Row],[$ CAPITAL]]&gt;=0,FINANCIACION[[#This Row],[$ CAPITAL]]+FINANCIACION[[#This Row],[$ INTERESES]],0)</f>
        <v>1464114</v>
      </c>
    </row>
    <row r="236" spans="1:10" ht="24" hidden="1" customHeight="1" x14ac:dyDescent="0.25">
      <c r="A236" s="7">
        <v>43927</v>
      </c>
      <c r="B236" s="53" t="s">
        <v>1218</v>
      </c>
      <c r="C236" s="5">
        <v>1063762</v>
      </c>
      <c r="D236" s="5"/>
      <c r="E236" s="169">
        <f>+IF(FINANCIACION[[#This Row],[$ CAPITAL]]&gt;=0,FINANCIACION[[#This Row],[$ CAPITAL]]+FINANCIACION[[#This Row],[$ INTERESES]],"")</f>
        <v>1063762</v>
      </c>
      <c r="F236" s="169">
        <f>+SUMIFS(FINANCIACION[$ CAPITAL],FINANCIACION[Fecha],"&lt;="&amp;FINANCIACION[[#This Row],[Fecha]],FINANCIACION[PRESTAMO],FINANCIACION[[#This Row],[PRESTAMO]])</f>
        <v>9825225.0499999933</v>
      </c>
      <c r="G236" s="8"/>
      <c r="H236" s="8"/>
      <c r="I236" s="5">
        <f>IF(FINANCIACION[[#This Row],[$ CAPITAL]]&gt;0,FINANCIACION[[#This Row],[$ CAPITAL]])</f>
        <v>1063762</v>
      </c>
      <c r="J236" s="36">
        <f>IF(FINANCIACION[[#This Row],[$ CAPITAL]]&gt;=0,FINANCIACION[[#This Row],[$ CAPITAL]]+FINANCIACION[[#This Row],[$ INTERESES]],0)</f>
        <v>1063762</v>
      </c>
    </row>
    <row r="237" spans="1:10" ht="24" hidden="1" customHeight="1" x14ac:dyDescent="0.25">
      <c r="A237" s="7">
        <v>43930</v>
      </c>
      <c r="B237" s="53" t="s">
        <v>1218</v>
      </c>
      <c r="C237" s="55">
        <v>-1235000</v>
      </c>
      <c r="D237" s="5"/>
      <c r="E237" s="169" t="str">
        <f>+IF(FINANCIACION[[#This Row],[$ CAPITAL]]&gt;=0,FINANCIACION[[#This Row],[$ CAPITAL]]+FINANCIACION[[#This Row],[$ INTERESES]],"")</f>
        <v/>
      </c>
      <c r="F237" s="169">
        <f>+SUMIFS(FINANCIACION[$ CAPITAL],FINANCIACION[Fecha],"&lt;="&amp;FINANCIACION[[#This Row],[Fecha]],FINANCIACION[PRESTAMO],FINANCIACION[[#This Row],[PRESTAMO]])</f>
        <v>8590225.0499999933</v>
      </c>
      <c r="G237" s="56"/>
      <c r="H237" s="8"/>
      <c r="I237" s="5" t="b">
        <f>IF(FINANCIACION[[#This Row],[$ CAPITAL]]&gt;0,FINANCIACION[[#This Row],[$ CAPITAL]])</f>
        <v>0</v>
      </c>
      <c r="J237" s="36">
        <f>IF(FINANCIACION[[#This Row],[$ CAPITAL]]&gt;=0,FINANCIACION[[#This Row],[$ CAPITAL]]+FINANCIACION[[#This Row],[$ INTERESES]],0)</f>
        <v>0</v>
      </c>
    </row>
    <row r="238" spans="1:10" ht="24" hidden="1" customHeight="1" x14ac:dyDescent="0.25">
      <c r="A238" s="7">
        <v>43935</v>
      </c>
      <c r="B238" s="53" t="s">
        <v>1218</v>
      </c>
      <c r="C238" s="5">
        <v>1030593</v>
      </c>
      <c r="D238" s="5"/>
      <c r="E238" s="169">
        <f>+IF(FINANCIACION[[#This Row],[$ CAPITAL]]&gt;=0,FINANCIACION[[#This Row],[$ CAPITAL]]+FINANCIACION[[#This Row],[$ INTERESES]],"")</f>
        <v>1030593</v>
      </c>
      <c r="F238" s="169">
        <f>+SUMIFS(FINANCIACION[$ CAPITAL],FINANCIACION[Fecha],"&lt;="&amp;FINANCIACION[[#This Row],[Fecha]],FINANCIACION[PRESTAMO],FINANCIACION[[#This Row],[PRESTAMO]])</f>
        <v>9620818.0499999933</v>
      </c>
      <c r="G238" s="56"/>
      <c r="H238" s="8"/>
      <c r="I238" s="5">
        <f>IF(FINANCIACION[[#This Row],[$ CAPITAL]]&gt;0,FINANCIACION[[#This Row],[$ CAPITAL]])</f>
        <v>1030593</v>
      </c>
      <c r="J238" s="36">
        <f>IF(FINANCIACION[[#This Row],[$ CAPITAL]]&gt;=0,FINANCIACION[[#This Row],[$ CAPITAL]]+FINANCIACION[[#This Row],[$ INTERESES]],0)</f>
        <v>1030593</v>
      </c>
    </row>
    <row r="239" spans="1:10" ht="24" hidden="1" customHeight="1" x14ac:dyDescent="0.25">
      <c r="A239" s="7">
        <v>43948</v>
      </c>
      <c r="B239" s="53" t="s">
        <v>1218</v>
      </c>
      <c r="C239" s="5">
        <v>194501</v>
      </c>
      <c r="D239" s="5"/>
      <c r="E239" s="169">
        <f>+IF(FINANCIACION[[#This Row],[$ CAPITAL]]&gt;=0,FINANCIACION[[#This Row],[$ CAPITAL]]+FINANCIACION[[#This Row],[$ INTERESES]],"")</f>
        <v>194501</v>
      </c>
      <c r="F239" s="169">
        <f>+SUMIFS(FINANCIACION[$ CAPITAL],FINANCIACION[Fecha],"&lt;="&amp;FINANCIACION[[#This Row],[Fecha]],FINANCIACION[PRESTAMO],FINANCIACION[[#This Row],[PRESTAMO]])</f>
        <v>9815319.0499999933</v>
      </c>
      <c r="G239" s="56"/>
      <c r="H239" s="8"/>
      <c r="I239" s="5">
        <f>IF(FINANCIACION[[#This Row],[$ CAPITAL]]&gt;0,FINANCIACION[[#This Row],[$ CAPITAL]])</f>
        <v>194501</v>
      </c>
      <c r="J239" s="36">
        <f>IF(FINANCIACION[[#This Row],[$ CAPITAL]]&gt;=0,FINANCIACION[[#This Row],[$ CAPITAL]]+FINANCIACION[[#This Row],[$ INTERESES]],0)</f>
        <v>194501</v>
      </c>
    </row>
    <row r="240" spans="1:10" ht="24" hidden="1" customHeight="1" x14ac:dyDescent="0.25">
      <c r="A240" s="7">
        <v>43951</v>
      </c>
      <c r="B240" s="53" t="s">
        <v>1218</v>
      </c>
      <c r="C240" s="5">
        <v>-2289805</v>
      </c>
      <c r="D240" s="5"/>
      <c r="E240" s="169" t="str">
        <f>+IF(FINANCIACION[[#This Row],[$ CAPITAL]]&gt;=0,FINANCIACION[[#This Row],[$ CAPITAL]]+FINANCIACION[[#This Row],[$ INTERESES]],"")</f>
        <v/>
      </c>
      <c r="F240" s="169">
        <f>+SUMIFS(FINANCIACION[$ CAPITAL],FINANCIACION[Fecha],"&lt;="&amp;FINANCIACION[[#This Row],[Fecha]],FINANCIACION[PRESTAMO],FINANCIACION[[#This Row],[PRESTAMO]])</f>
        <v>7525514.0499999933</v>
      </c>
      <c r="G240" s="56"/>
      <c r="H240" s="8"/>
      <c r="I240" s="5" t="b">
        <f>IF(FINANCIACION[[#This Row],[$ CAPITAL]]&gt;0,FINANCIACION[[#This Row],[$ CAPITAL]])</f>
        <v>0</v>
      </c>
      <c r="J240" s="36">
        <f>IF(FINANCIACION[[#This Row],[$ CAPITAL]]&gt;=0,FINANCIACION[[#This Row],[$ CAPITAL]]+FINANCIACION[[#This Row],[$ INTERESES]],0)</f>
        <v>0</v>
      </c>
    </row>
    <row r="241" spans="1:10" ht="24" hidden="1" customHeight="1" x14ac:dyDescent="0.25">
      <c r="A241" s="7">
        <v>43952</v>
      </c>
      <c r="B241" s="53" t="s">
        <v>1218</v>
      </c>
      <c r="C241" s="5">
        <v>-39625275</v>
      </c>
      <c r="D241" s="5"/>
      <c r="E241" s="169" t="str">
        <f>+IF(FINANCIACION[[#This Row],[$ CAPITAL]]&gt;=0,FINANCIACION[[#This Row],[$ CAPITAL]]+FINANCIACION[[#This Row],[$ INTERESES]],"")</f>
        <v/>
      </c>
      <c r="F241" s="169">
        <f>+SUMIFS(FINANCIACION[$ CAPITAL],FINANCIACION[Fecha],"&lt;="&amp;FINANCIACION[[#This Row],[Fecha]],FINANCIACION[PRESTAMO],FINANCIACION[[#This Row],[PRESTAMO]])</f>
        <v>-32099760.950000007</v>
      </c>
      <c r="G241" s="56"/>
      <c r="H241" s="56"/>
      <c r="I241" s="5" t="b">
        <f>IF(FINANCIACION[[#This Row],[$ CAPITAL]]&gt;0,FINANCIACION[[#This Row],[$ CAPITAL]])</f>
        <v>0</v>
      </c>
      <c r="J241" s="36">
        <f>IF(FINANCIACION[[#This Row],[$ CAPITAL]]&gt;=0,FINANCIACION[[#This Row],[$ CAPITAL]]+FINANCIACION[[#This Row],[$ INTERESES]],0)</f>
        <v>0</v>
      </c>
    </row>
    <row r="242" spans="1:10" ht="24" hidden="1" customHeight="1" x14ac:dyDescent="0.25">
      <c r="A242" s="7">
        <v>43952</v>
      </c>
      <c r="B242" s="53" t="s">
        <v>1218</v>
      </c>
      <c r="C242" s="5"/>
      <c r="D242" s="5">
        <v>1688036.71</v>
      </c>
      <c r="E242" s="169">
        <f>+IF(FINANCIACION[[#This Row],[$ CAPITAL]]&gt;=0,FINANCIACION[[#This Row],[$ CAPITAL]]+FINANCIACION[[#This Row],[$ INTERESES]],"")</f>
        <v>1688036.71</v>
      </c>
      <c r="F242" s="169">
        <f>+SUMIFS(FINANCIACION[$ CAPITAL],FINANCIACION[Fecha],"&lt;="&amp;FINANCIACION[[#This Row],[Fecha]],FINANCIACION[PRESTAMO],FINANCIACION[[#This Row],[PRESTAMO]])</f>
        <v>-32099760.950000007</v>
      </c>
      <c r="G242" s="56"/>
      <c r="H242" s="8"/>
      <c r="I242" s="5" t="b">
        <f>IF(FINANCIACION[[#This Row],[$ CAPITAL]]&gt;0,FINANCIACION[[#This Row],[$ CAPITAL]])</f>
        <v>0</v>
      </c>
      <c r="J242" s="36">
        <f>IF(FINANCIACION[[#This Row],[$ CAPITAL]]&gt;=0,FINANCIACION[[#This Row],[$ CAPITAL]]+FINANCIACION[[#This Row],[$ INTERESES]],0)</f>
        <v>1688036.71</v>
      </c>
    </row>
    <row r="243" spans="1:10" ht="24" hidden="1" customHeight="1" x14ac:dyDescent="0.25">
      <c r="A243" s="7">
        <v>43958</v>
      </c>
      <c r="B243" s="53" t="s">
        <v>1218</v>
      </c>
      <c r="C243" s="5">
        <v>-1532050</v>
      </c>
      <c r="D243" s="5"/>
      <c r="E243" s="169" t="str">
        <f>+IF(FINANCIACION[[#This Row],[$ CAPITAL]]&gt;=0,FINANCIACION[[#This Row],[$ CAPITAL]]+FINANCIACION[[#This Row],[$ INTERESES]],"")</f>
        <v/>
      </c>
      <c r="F243" s="169">
        <f>+SUMIFS(FINANCIACION[$ CAPITAL],FINANCIACION[Fecha],"&lt;="&amp;FINANCIACION[[#This Row],[Fecha]],FINANCIACION[PRESTAMO],FINANCIACION[[#This Row],[PRESTAMO]])</f>
        <v>-39372691.950000003</v>
      </c>
      <c r="G243" s="56"/>
      <c r="H243" s="8"/>
      <c r="I243" s="5" t="b">
        <f>IF(FINANCIACION[[#This Row],[$ CAPITAL]]&gt;0,FINANCIACION[[#This Row],[$ CAPITAL]])</f>
        <v>0</v>
      </c>
      <c r="J243" s="36">
        <f>IF(FINANCIACION[[#This Row],[$ CAPITAL]]&gt;=0,FINANCIACION[[#This Row],[$ CAPITAL]]+FINANCIACION[[#This Row],[$ INTERESES]],0)</f>
        <v>0</v>
      </c>
    </row>
    <row r="244" spans="1:10" ht="24" hidden="1" customHeight="1" x14ac:dyDescent="0.25">
      <c r="A244" s="7">
        <v>43958</v>
      </c>
      <c r="B244" s="53" t="s">
        <v>1218</v>
      </c>
      <c r="C244" s="5">
        <v>800765</v>
      </c>
      <c r="D244" s="5"/>
      <c r="E244" s="169">
        <f>+IF(FINANCIACION[[#This Row],[$ CAPITAL]]&gt;=0,FINANCIACION[[#This Row],[$ CAPITAL]]+FINANCIACION[[#This Row],[$ INTERESES]],"")</f>
        <v>800765</v>
      </c>
      <c r="F244" s="169">
        <f>+SUMIFS(FINANCIACION[$ CAPITAL],FINANCIACION[Fecha],"&lt;="&amp;FINANCIACION[[#This Row],[Fecha]],FINANCIACION[PRESTAMO],FINANCIACION[[#This Row],[PRESTAMO]])</f>
        <v>-39372691.950000003</v>
      </c>
      <c r="G244" s="56"/>
      <c r="H244" s="8"/>
      <c r="I244" s="5">
        <f>IF(FINANCIACION[[#This Row],[$ CAPITAL]]&gt;0,FINANCIACION[[#This Row],[$ CAPITAL]])</f>
        <v>800765</v>
      </c>
      <c r="J244" s="36">
        <f>IF(FINANCIACION[[#This Row],[$ CAPITAL]]&gt;=0,FINANCIACION[[#This Row],[$ CAPITAL]]+FINANCIACION[[#This Row],[$ INTERESES]],0)</f>
        <v>800765</v>
      </c>
    </row>
    <row r="245" spans="1:10" ht="24" hidden="1" customHeight="1" x14ac:dyDescent="0.25">
      <c r="A245" s="7">
        <v>43958</v>
      </c>
      <c r="B245" s="53" t="s">
        <v>1218</v>
      </c>
      <c r="C245" s="5">
        <v>-6541646</v>
      </c>
      <c r="D245" s="5"/>
      <c r="E245" s="169" t="str">
        <f>+IF(FINANCIACION[[#This Row],[$ CAPITAL]]&gt;=0,FINANCIACION[[#This Row],[$ CAPITAL]]+FINANCIACION[[#This Row],[$ INTERESES]],"")</f>
        <v/>
      </c>
      <c r="F245" s="169">
        <f>+SUMIFS(FINANCIACION[$ CAPITAL],FINANCIACION[Fecha],"&lt;="&amp;FINANCIACION[[#This Row],[Fecha]],FINANCIACION[PRESTAMO],FINANCIACION[[#This Row],[PRESTAMO]])</f>
        <v>-39372691.950000003</v>
      </c>
      <c r="G245" s="8"/>
      <c r="H245" s="8"/>
      <c r="I245" s="5" t="b">
        <f>IF(FINANCIACION[[#This Row],[$ CAPITAL]]&gt;0,FINANCIACION[[#This Row],[$ CAPITAL]])</f>
        <v>0</v>
      </c>
      <c r="J245" s="36">
        <f>IF(FINANCIACION[[#This Row],[$ CAPITAL]]&gt;=0,FINANCIACION[[#This Row],[$ CAPITAL]]+FINANCIACION[[#This Row],[$ INTERESES]],0)</f>
        <v>0</v>
      </c>
    </row>
    <row r="246" spans="1:10" ht="24" hidden="1" customHeight="1" x14ac:dyDescent="0.25">
      <c r="A246" s="7">
        <v>43970</v>
      </c>
      <c r="B246" s="53" t="s">
        <v>1218</v>
      </c>
      <c r="C246" s="5">
        <v>-18600000</v>
      </c>
      <c r="D246" s="5"/>
      <c r="E246" s="169" t="str">
        <f>+IF(FINANCIACION[[#This Row],[$ CAPITAL]]&gt;=0,FINANCIACION[[#This Row],[$ CAPITAL]]+FINANCIACION[[#This Row],[$ INTERESES]],"")</f>
        <v/>
      </c>
      <c r="F246" s="169">
        <f>+SUMIFS(FINANCIACION[$ CAPITAL],FINANCIACION[Fecha],"&lt;="&amp;FINANCIACION[[#This Row],[Fecha]],FINANCIACION[PRESTAMO],FINANCIACION[[#This Row],[PRESTAMO]])</f>
        <v>-57972691.950000003</v>
      </c>
      <c r="G246" s="8"/>
      <c r="H246" s="8"/>
      <c r="I246" s="5" t="b">
        <f>IF(FINANCIACION[[#This Row],[$ CAPITAL]]&gt;0,FINANCIACION[[#This Row],[$ CAPITAL]])</f>
        <v>0</v>
      </c>
      <c r="J246" s="36">
        <f>IF(FINANCIACION[[#This Row],[$ CAPITAL]]&gt;=0,FINANCIACION[[#This Row],[$ CAPITAL]]+FINANCIACION[[#This Row],[$ INTERESES]],0)</f>
        <v>0</v>
      </c>
    </row>
    <row r="247" spans="1:10" ht="24" hidden="1" customHeight="1" x14ac:dyDescent="0.25">
      <c r="A247" s="7">
        <v>43971</v>
      </c>
      <c r="B247" s="53" t="s">
        <v>1219</v>
      </c>
      <c r="C247" s="5"/>
      <c r="D247" s="5">
        <v>840000</v>
      </c>
      <c r="E247" s="169">
        <f>+IF(FINANCIACION[[#This Row],[$ CAPITAL]]&gt;=0,FINANCIACION[[#This Row],[$ CAPITAL]]+FINANCIACION[[#This Row],[$ INTERESES]],"")</f>
        <v>840000</v>
      </c>
      <c r="F247" s="169">
        <f>+SUMIFS(FINANCIACION[$ CAPITAL],FINANCIACION[Fecha],"&lt;="&amp;FINANCIACION[[#This Row],[Fecha]],FINANCIACION[PRESTAMO],FINANCIACION[[#This Row],[PRESTAMO]])</f>
        <v>-84000000</v>
      </c>
      <c r="G247" s="8"/>
      <c r="H247" s="8"/>
      <c r="I247" s="5" t="b">
        <f>IF(FINANCIACION[[#This Row],[$ CAPITAL]]&gt;0,FINANCIACION[[#This Row],[$ CAPITAL]])</f>
        <v>0</v>
      </c>
      <c r="J247" s="36">
        <f>IF(FINANCIACION[[#This Row],[$ CAPITAL]]&gt;=0,FINANCIACION[[#This Row],[$ CAPITAL]]+FINANCIACION[[#This Row],[$ INTERESES]],0)</f>
        <v>840000</v>
      </c>
    </row>
    <row r="248" spans="1:10" ht="24" hidden="1" customHeight="1" x14ac:dyDescent="0.25">
      <c r="A248" s="7">
        <v>43973</v>
      </c>
      <c r="B248" s="53" t="s">
        <v>1218</v>
      </c>
      <c r="C248" s="5">
        <v>113227.5</v>
      </c>
      <c r="D248" s="5"/>
      <c r="E248" s="169">
        <f>+IF(FINANCIACION[[#This Row],[$ CAPITAL]]&gt;=0,FINANCIACION[[#This Row],[$ CAPITAL]]+FINANCIACION[[#This Row],[$ INTERESES]],"")</f>
        <v>113227.5</v>
      </c>
      <c r="F248" s="169">
        <f>+SUMIFS(FINANCIACION[$ CAPITAL],FINANCIACION[Fecha],"&lt;="&amp;FINANCIACION[[#This Row],[Fecha]],FINANCIACION[PRESTAMO],FINANCIACION[[#This Row],[PRESTAMO]])</f>
        <v>-48459464.450000003</v>
      </c>
      <c r="G248" s="8"/>
      <c r="H248" s="8"/>
      <c r="I248" s="5">
        <f>IF(FINANCIACION[[#This Row],[$ CAPITAL]]&gt;0,FINANCIACION[[#This Row],[$ CAPITAL]])</f>
        <v>113227.5</v>
      </c>
      <c r="J248" s="36">
        <f>IF(FINANCIACION[[#This Row],[$ CAPITAL]]&gt;=0,FINANCIACION[[#This Row],[$ CAPITAL]]+FINANCIACION[[#This Row],[$ INTERESES]],0)</f>
        <v>113227.5</v>
      </c>
    </row>
    <row r="249" spans="1:10" ht="24" hidden="1" customHeight="1" x14ac:dyDescent="0.25">
      <c r="A249" s="7">
        <v>43973</v>
      </c>
      <c r="B249" s="53" t="s">
        <v>1218</v>
      </c>
      <c r="C249" s="5">
        <v>9400000</v>
      </c>
      <c r="D249" s="5"/>
      <c r="E249" s="169">
        <f>+IF(FINANCIACION[[#This Row],[$ CAPITAL]]&gt;=0,FINANCIACION[[#This Row],[$ CAPITAL]]+FINANCIACION[[#This Row],[$ INTERESES]],"")</f>
        <v>9400000</v>
      </c>
      <c r="F249" s="169">
        <f>+SUMIFS(FINANCIACION[$ CAPITAL],FINANCIACION[Fecha],"&lt;="&amp;FINANCIACION[[#This Row],[Fecha]],FINANCIACION[PRESTAMO],FINANCIACION[[#This Row],[PRESTAMO]])</f>
        <v>-48459464.450000003</v>
      </c>
      <c r="G249" s="8"/>
      <c r="H249" s="8"/>
      <c r="I249" s="5">
        <f>IF(FINANCIACION[[#This Row],[$ CAPITAL]]&gt;0,FINANCIACION[[#This Row],[$ CAPITAL]])</f>
        <v>9400000</v>
      </c>
      <c r="J249" s="36">
        <f>IF(FINANCIACION[[#This Row],[$ CAPITAL]]&gt;=0,FINANCIACION[[#This Row],[$ CAPITAL]]+FINANCIACION[[#This Row],[$ INTERESES]],0)</f>
        <v>9400000</v>
      </c>
    </row>
    <row r="250" spans="1:10" ht="24" hidden="1" customHeight="1" x14ac:dyDescent="0.25">
      <c r="A250" s="7">
        <v>43977</v>
      </c>
      <c r="B250" s="53" t="s">
        <v>1218</v>
      </c>
      <c r="C250" s="5">
        <v>1215058</v>
      </c>
      <c r="D250" s="5"/>
      <c r="E250" s="169">
        <f>+IF(FINANCIACION[[#This Row],[$ CAPITAL]]&gt;=0,FINANCIACION[[#This Row],[$ CAPITAL]]+FINANCIACION[[#This Row],[$ INTERESES]],"")</f>
        <v>1215058</v>
      </c>
      <c r="F250" s="169">
        <f>+SUMIFS(FINANCIACION[$ CAPITAL],FINANCIACION[Fecha],"&lt;="&amp;FINANCIACION[[#This Row],[Fecha]],FINANCIACION[PRESTAMO],FINANCIACION[[#This Row],[PRESTAMO]])</f>
        <v>-46244406.450000003</v>
      </c>
      <c r="G250" s="8"/>
      <c r="H250" s="8"/>
      <c r="I250" s="5">
        <f>IF(FINANCIACION[[#This Row],[$ CAPITAL]]&gt;0,FINANCIACION[[#This Row],[$ CAPITAL]])</f>
        <v>1215058</v>
      </c>
      <c r="J250" s="36">
        <f>IF(FINANCIACION[[#This Row],[$ CAPITAL]]&gt;=0,FINANCIACION[[#This Row],[$ CAPITAL]]+FINANCIACION[[#This Row],[$ INTERESES]],0)</f>
        <v>1215058</v>
      </c>
    </row>
    <row r="251" spans="1:10" ht="24" hidden="1" customHeight="1" x14ac:dyDescent="0.25">
      <c r="A251" s="7">
        <v>43977</v>
      </c>
      <c r="B251" s="53" t="s">
        <v>1218</v>
      </c>
      <c r="C251" s="5">
        <v>1000000</v>
      </c>
      <c r="D251" s="5"/>
      <c r="E251" s="169">
        <f>+IF(FINANCIACION[[#This Row],[$ CAPITAL]]&gt;=0,FINANCIACION[[#This Row],[$ CAPITAL]]+FINANCIACION[[#This Row],[$ INTERESES]],"")</f>
        <v>1000000</v>
      </c>
      <c r="F251" s="169">
        <f>+SUMIFS(FINANCIACION[$ CAPITAL],FINANCIACION[Fecha],"&lt;="&amp;FINANCIACION[[#This Row],[Fecha]],FINANCIACION[PRESTAMO],FINANCIACION[[#This Row],[PRESTAMO]])</f>
        <v>-46244406.450000003</v>
      </c>
      <c r="G251" s="8"/>
      <c r="H251" s="8"/>
      <c r="I251" s="5">
        <f>IF(FINANCIACION[[#This Row],[$ CAPITAL]]&gt;0,FINANCIACION[[#This Row],[$ CAPITAL]])</f>
        <v>1000000</v>
      </c>
      <c r="J251" s="36">
        <f>IF(FINANCIACION[[#This Row],[$ CAPITAL]]&gt;=0,FINANCIACION[[#This Row],[$ CAPITAL]]+FINANCIACION[[#This Row],[$ INTERESES]],0)</f>
        <v>1000000</v>
      </c>
    </row>
    <row r="252" spans="1:10" ht="24" hidden="1" customHeight="1" x14ac:dyDescent="0.25">
      <c r="A252" s="7">
        <v>43978</v>
      </c>
      <c r="B252" s="53" t="s">
        <v>1218</v>
      </c>
      <c r="C252" s="5">
        <v>2000000</v>
      </c>
      <c r="D252" s="5"/>
      <c r="E252" s="169">
        <f>+IF(FINANCIACION[[#This Row],[$ CAPITAL]]&gt;=0,FINANCIACION[[#This Row],[$ CAPITAL]]+FINANCIACION[[#This Row],[$ INTERESES]],"")</f>
        <v>2000000</v>
      </c>
      <c r="F252" s="169">
        <f>+SUMIFS(FINANCIACION[$ CAPITAL],FINANCIACION[Fecha],"&lt;="&amp;FINANCIACION[[#This Row],[Fecha]],FINANCIACION[PRESTAMO],FINANCIACION[[#This Row],[PRESTAMO]])</f>
        <v>-44244406.450000003</v>
      </c>
      <c r="G252" s="8"/>
      <c r="H252" s="8"/>
      <c r="I252" s="5">
        <f>IF(FINANCIACION[[#This Row],[$ CAPITAL]]&gt;0,FINANCIACION[[#This Row],[$ CAPITAL]])</f>
        <v>2000000</v>
      </c>
      <c r="J252" s="36">
        <f>IF(FINANCIACION[[#This Row],[$ CAPITAL]]&gt;=0,FINANCIACION[[#This Row],[$ CAPITAL]]+FINANCIACION[[#This Row],[$ INTERESES]],0)</f>
        <v>2000000</v>
      </c>
    </row>
    <row r="253" spans="1:10" ht="24" hidden="1" customHeight="1" x14ac:dyDescent="0.25">
      <c r="A253" s="7">
        <v>43980</v>
      </c>
      <c r="B253" s="53" t="s">
        <v>1218</v>
      </c>
      <c r="C253" s="5">
        <v>1000000</v>
      </c>
      <c r="D253" s="5"/>
      <c r="E253" s="169">
        <f>+IF(FINANCIACION[[#This Row],[$ CAPITAL]]&gt;=0,FINANCIACION[[#This Row],[$ CAPITAL]]+FINANCIACION[[#This Row],[$ INTERESES]],"")</f>
        <v>1000000</v>
      </c>
      <c r="F253" s="169">
        <f>+SUMIFS(FINANCIACION[$ CAPITAL],FINANCIACION[Fecha],"&lt;="&amp;FINANCIACION[[#This Row],[Fecha]],FINANCIACION[PRESTAMO],FINANCIACION[[#This Row],[PRESTAMO]])</f>
        <v>-43244406.450000003</v>
      </c>
      <c r="G253" s="8"/>
      <c r="H253" s="8"/>
      <c r="I253" s="5">
        <f>IF(FINANCIACION[[#This Row],[$ CAPITAL]]&gt;0,FINANCIACION[[#This Row],[$ CAPITAL]])</f>
        <v>1000000</v>
      </c>
      <c r="J253" s="36">
        <f>IF(FINANCIACION[[#This Row],[$ CAPITAL]]&gt;=0,FINANCIACION[[#This Row],[$ CAPITAL]]+FINANCIACION[[#This Row],[$ INTERESES]],0)</f>
        <v>1000000</v>
      </c>
    </row>
    <row r="254" spans="1:10" ht="24" hidden="1" customHeight="1" x14ac:dyDescent="0.25">
      <c r="A254" s="7">
        <v>43982</v>
      </c>
      <c r="B254" s="53" t="s">
        <v>1218</v>
      </c>
      <c r="C254" s="5">
        <v>607650</v>
      </c>
      <c r="D254" s="5"/>
      <c r="E254" s="169">
        <f>+IF(FINANCIACION[[#This Row],[$ CAPITAL]]&gt;=0,FINANCIACION[[#This Row],[$ CAPITAL]]+FINANCIACION[[#This Row],[$ INTERESES]],"")</f>
        <v>607650</v>
      </c>
      <c r="F254" s="169">
        <f>+SUMIFS(FINANCIACION[$ CAPITAL],FINANCIACION[Fecha],"&lt;="&amp;FINANCIACION[[#This Row],[Fecha]],FINANCIACION[PRESTAMO],FINANCIACION[[#This Row],[PRESTAMO]])</f>
        <v>-44947351.950000003</v>
      </c>
      <c r="G254" s="8"/>
      <c r="H254" s="8"/>
      <c r="I254" s="5">
        <f>IF(FINANCIACION[[#This Row],[$ CAPITAL]]&gt;0,FINANCIACION[[#This Row],[$ CAPITAL]])</f>
        <v>607650</v>
      </c>
      <c r="J254" s="36">
        <f>IF(FINANCIACION[[#This Row],[$ CAPITAL]]&gt;=0,FINANCIACION[[#This Row],[$ CAPITAL]]+FINANCIACION[[#This Row],[$ INTERESES]],0)</f>
        <v>607650</v>
      </c>
    </row>
    <row r="255" spans="1:10" ht="24" hidden="1" customHeight="1" x14ac:dyDescent="0.25">
      <c r="A255" s="7">
        <v>43982</v>
      </c>
      <c r="B255" s="53" t="s">
        <v>1218</v>
      </c>
      <c r="C255" s="5">
        <v>-1739144.5</v>
      </c>
      <c r="D255" s="5"/>
      <c r="E255" s="169" t="str">
        <f>+IF(FINANCIACION[[#This Row],[$ CAPITAL]]&gt;=0,FINANCIACION[[#This Row],[$ CAPITAL]]+FINANCIACION[[#This Row],[$ INTERESES]],"")</f>
        <v/>
      </c>
      <c r="F255" s="169">
        <f>+SUMIFS(FINANCIACION[$ CAPITAL],FINANCIACION[Fecha],"&lt;="&amp;FINANCIACION[[#This Row],[Fecha]],FINANCIACION[PRESTAMO],FINANCIACION[[#This Row],[PRESTAMO]])</f>
        <v>-44947351.950000003</v>
      </c>
      <c r="G255" s="8"/>
      <c r="H255" s="8"/>
      <c r="I255" s="5" t="b">
        <f>IF(FINANCIACION[[#This Row],[$ CAPITAL]]&gt;0,FINANCIACION[[#This Row],[$ CAPITAL]])</f>
        <v>0</v>
      </c>
      <c r="J255" s="36">
        <f>IF(FINANCIACION[[#This Row],[$ CAPITAL]]&gt;=0,FINANCIACION[[#This Row],[$ CAPITAL]]+FINANCIACION[[#This Row],[$ INTERESES]],0)</f>
        <v>0</v>
      </c>
    </row>
    <row r="256" spans="1:10" ht="24" hidden="1" customHeight="1" x14ac:dyDescent="0.25">
      <c r="A256" s="7">
        <v>43982</v>
      </c>
      <c r="B256" s="53" t="s">
        <v>1218</v>
      </c>
      <c r="C256" s="5">
        <v>-571451</v>
      </c>
      <c r="D256" s="5"/>
      <c r="E256" s="169" t="str">
        <f>+IF(FINANCIACION[[#This Row],[$ CAPITAL]]&gt;=0,FINANCIACION[[#This Row],[$ CAPITAL]]+FINANCIACION[[#This Row],[$ INTERESES]],"")</f>
        <v/>
      </c>
      <c r="F256" s="169">
        <f>+SUMIFS(FINANCIACION[$ CAPITAL],FINANCIACION[Fecha],"&lt;="&amp;FINANCIACION[[#This Row],[Fecha]],FINANCIACION[PRESTAMO],FINANCIACION[[#This Row],[PRESTAMO]])</f>
        <v>-44947351.950000003</v>
      </c>
      <c r="G256" s="8"/>
      <c r="H256" s="8"/>
      <c r="I256" s="5" t="b">
        <f>IF(FINANCIACION[[#This Row],[$ CAPITAL]]&gt;0,FINANCIACION[[#This Row],[$ CAPITAL]])</f>
        <v>0</v>
      </c>
      <c r="J256" s="36">
        <f>IF(FINANCIACION[[#This Row],[$ CAPITAL]]&gt;=0,FINANCIACION[[#This Row],[$ CAPITAL]]+FINANCIACION[[#This Row],[$ INTERESES]],0)</f>
        <v>0</v>
      </c>
    </row>
    <row r="257" spans="1:10" ht="24" hidden="1" customHeight="1" x14ac:dyDescent="0.25">
      <c r="A257" s="7">
        <v>43985</v>
      </c>
      <c r="B257" s="53" t="s">
        <v>1218</v>
      </c>
      <c r="C257" s="5">
        <v>-32325882</v>
      </c>
      <c r="D257" s="5"/>
      <c r="E257" s="169" t="str">
        <f>+IF(FINANCIACION[[#This Row],[$ CAPITAL]]&gt;=0,FINANCIACION[[#This Row],[$ CAPITAL]]+FINANCIACION[[#This Row],[$ INTERESES]],"")</f>
        <v/>
      </c>
      <c r="F257" s="169">
        <f>+SUMIFS(FINANCIACION[$ CAPITAL],FINANCIACION[Fecha],"&lt;="&amp;FINANCIACION[[#This Row],[Fecha]],FINANCIACION[PRESTAMO],FINANCIACION[[#This Row],[PRESTAMO]])</f>
        <v>-77273233.950000003</v>
      </c>
      <c r="G257" s="8"/>
      <c r="H257" s="8"/>
      <c r="I257" s="5" t="b">
        <f>IF(FINANCIACION[[#This Row],[$ CAPITAL]]&gt;0,FINANCIACION[[#This Row],[$ CAPITAL]])</f>
        <v>0</v>
      </c>
      <c r="J257" s="36">
        <f>IF(FINANCIACION[[#This Row],[$ CAPITAL]]&gt;=0,FINANCIACION[[#This Row],[$ CAPITAL]]+FINANCIACION[[#This Row],[$ INTERESES]],0)</f>
        <v>0</v>
      </c>
    </row>
    <row r="258" spans="1:10" ht="24" hidden="1" customHeight="1" x14ac:dyDescent="0.25">
      <c r="A258" s="7">
        <v>43985</v>
      </c>
      <c r="B258" s="53" t="s">
        <v>1218</v>
      </c>
      <c r="C258" s="5"/>
      <c r="D258" s="5">
        <v>1377082.57</v>
      </c>
      <c r="E258" s="169">
        <f>+IF(FINANCIACION[[#This Row],[$ CAPITAL]]&gt;=0,FINANCIACION[[#This Row],[$ CAPITAL]]+FINANCIACION[[#This Row],[$ INTERESES]],"")</f>
        <v>1377082.57</v>
      </c>
      <c r="F258" s="169">
        <f>+SUMIFS(FINANCIACION[$ CAPITAL],FINANCIACION[Fecha],"&lt;="&amp;FINANCIACION[[#This Row],[Fecha]],FINANCIACION[PRESTAMO],FINANCIACION[[#This Row],[PRESTAMO]])</f>
        <v>-77273233.950000003</v>
      </c>
      <c r="G258" s="8"/>
      <c r="H258" s="8"/>
      <c r="I258" s="5" t="b">
        <f>IF(FINANCIACION[[#This Row],[$ CAPITAL]]&gt;0,FINANCIACION[[#This Row],[$ CAPITAL]])</f>
        <v>0</v>
      </c>
      <c r="J258" s="36">
        <f>IF(FINANCIACION[[#This Row],[$ CAPITAL]]&gt;=0,FINANCIACION[[#This Row],[$ CAPITAL]]+FINANCIACION[[#This Row],[$ INTERESES]],0)</f>
        <v>1377082.57</v>
      </c>
    </row>
    <row r="259" spans="1:10" ht="24" hidden="1" customHeight="1" x14ac:dyDescent="0.25">
      <c r="A259" s="7">
        <v>43990</v>
      </c>
      <c r="B259" s="53" t="s">
        <v>1218</v>
      </c>
      <c r="C259" s="5">
        <v>1000000</v>
      </c>
      <c r="D259" s="5"/>
      <c r="E259" s="169">
        <f>+IF(FINANCIACION[[#This Row],[$ CAPITAL]]&gt;=0,FINANCIACION[[#This Row],[$ CAPITAL]]+FINANCIACION[[#This Row],[$ INTERESES]],"")</f>
        <v>1000000</v>
      </c>
      <c r="F259" s="169">
        <f>+SUMIFS(FINANCIACION[$ CAPITAL],FINANCIACION[Fecha],"&lt;="&amp;FINANCIACION[[#This Row],[Fecha]],FINANCIACION[PRESTAMO],FINANCIACION[[#This Row],[PRESTAMO]])</f>
        <v>-76273233.950000003</v>
      </c>
      <c r="G259" s="8"/>
      <c r="H259" s="8"/>
      <c r="I259" s="5">
        <f>IF(FINANCIACION[[#This Row],[$ CAPITAL]]&gt;0,FINANCIACION[[#This Row],[$ CAPITAL]])</f>
        <v>1000000</v>
      </c>
      <c r="J259" s="36">
        <f>IF(FINANCIACION[[#This Row],[$ CAPITAL]]&gt;=0,FINANCIACION[[#This Row],[$ CAPITAL]]+FINANCIACION[[#This Row],[$ INTERESES]],0)</f>
        <v>1000000</v>
      </c>
    </row>
    <row r="260" spans="1:10" ht="24" hidden="1" customHeight="1" x14ac:dyDescent="0.25">
      <c r="A260" s="7">
        <v>43992</v>
      </c>
      <c r="B260" s="53" t="s">
        <v>1218</v>
      </c>
      <c r="C260" s="5">
        <v>2000000</v>
      </c>
      <c r="D260" s="5"/>
      <c r="E260" s="169">
        <f>+IF(FINANCIACION[[#This Row],[$ CAPITAL]]&gt;=0,FINANCIACION[[#This Row],[$ CAPITAL]]+FINANCIACION[[#This Row],[$ INTERESES]],"")</f>
        <v>2000000</v>
      </c>
      <c r="F260" s="169">
        <f>+SUMIFS(FINANCIACION[$ CAPITAL],FINANCIACION[Fecha],"&lt;="&amp;FINANCIACION[[#This Row],[Fecha]],FINANCIACION[PRESTAMO],FINANCIACION[[#This Row],[PRESTAMO]])</f>
        <v>-69273233.950000003</v>
      </c>
      <c r="G260" s="8"/>
      <c r="H260" s="8"/>
      <c r="I260" s="5">
        <f>IF(FINANCIACION[[#This Row],[$ CAPITAL]]&gt;0,FINANCIACION[[#This Row],[$ CAPITAL]])</f>
        <v>2000000</v>
      </c>
      <c r="J260" s="36">
        <f>IF(FINANCIACION[[#This Row],[$ CAPITAL]]&gt;=0,FINANCIACION[[#This Row],[$ CAPITAL]]+FINANCIACION[[#This Row],[$ INTERESES]],0)</f>
        <v>2000000</v>
      </c>
    </row>
    <row r="261" spans="1:10" ht="24" hidden="1" customHeight="1" x14ac:dyDescent="0.25">
      <c r="A261" s="7">
        <v>43992</v>
      </c>
      <c r="B261" s="53" t="s">
        <v>1218</v>
      </c>
      <c r="C261" s="5">
        <v>3000000</v>
      </c>
      <c r="D261" s="5"/>
      <c r="E261" s="169">
        <f>+IF(FINANCIACION[[#This Row],[$ CAPITAL]]&gt;=0,FINANCIACION[[#This Row],[$ CAPITAL]]+FINANCIACION[[#This Row],[$ INTERESES]],"")</f>
        <v>3000000</v>
      </c>
      <c r="F261" s="169">
        <f>+SUMIFS(FINANCIACION[$ CAPITAL],FINANCIACION[Fecha],"&lt;="&amp;FINANCIACION[[#This Row],[Fecha]],FINANCIACION[PRESTAMO],FINANCIACION[[#This Row],[PRESTAMO]])</f>
        <v>-69273233.950000003</v>
      </c>
      <c r="G261" s="8"/>
      <c r="H261" s="8"/>
      <c r="I261" s="5">
        <f>IF(FINANCIACION[[#This Row],[$ CAPITAL]]&gt;0,FINANCIACION[[#This Row],[$ CAPITAL]])</f>
        <v>3000000</v>
      </c>
      <c r="J261" s="36">
        <f>IF(FINANCIACION[[#This Row],[$ CAPITAL]]&gt;=0,FINANCIACION[[#This Row],[$ CAPITAL]]+FINANCIACION[[#This Row],[$ INTERESES]],0)</f>
        <v>3000000</v>
      </c>
    </row>
    <row r="262" spans="1:10" ht="24" hidden="1" customHeight="1" x14ac:dyDescent="0.25">
      <c r="A262" s="7">
        <v>43992</v>
      </c>
      <c r="B262" s="53" t="s">
        <v>1218</v>
      </c>
      <c r="C262" s="5">
        <v>2000000</v>
      </c>
      <c r="D262" s="5"/>
      <c r="E262" s="169">
        <f>+IF(FINANCIACION[[#This Row],[$ CAPITAL]]&gt;=0,FINANCIACION[[#This Row],[$ CAPITAL]]+FINANCIACION[[#This Row],[$ INTERESES]],"")</f>
        <v>2000000</v>
      </c>
      <c r="F262" s="169">
        <f>+SUMIFS(FINANCIACION[$ CAPITAL],FINANCIACION[Fecha],"&lt;="&amp;FINANCIACION[[#This Row],[Fecha]],FINANCIACION[PRESTAMO],FINANCIACION[[#This Row],[PRESTAMO]])</f>
        <v>-69273233.950000003</v>
      </c>
      <c r="G262" s="8"/>
      <c r="H262" s="8"/>
      <c r="I262" s="5">
        <f>IF(FINANCIACION[[#This Row],[$ CAPITAL]]&gt;0,FINANCIACION[[#This Row],[$ CAPITAL]])</f>
        <v>2000000</v>
      </c>
      <c r="J262" s="36">
        <f>IF(FINANCIACION[[#This Row],[$ CAPITAL]]&gt;=0,FINANCIACION[[#This Row],[$ CAPITAL]]+FINANCIACION[[#This Row],[$ INTERESES]],0)</f>
        <v>2000000</v>
      </c>
    </row>
    <row r="263" spans="1:10" ht="24" hidden="1" customHeight="1" x14ac:dyDescent="0.25">
      <c r="A263" s="7">
        <v>43995</v>
      </c>
      <c r="B263" s="53" t="s">
        <v>1218</v>
      </c>
      <c r="C263" s="5">
        <v>578591</v>
      </c>
      <c r="D263" s="5"/>
      <c r="E263" s="169">
        <f>+IF(FINANCIACION[[#This Row],[$ CAPITAL]]&gt;=0,FINANCIACION[[#This Row],[$ CAPITAL]]+FINANCIACION[[#This Row],[$ INTERESES]],"")</f>
        <v>578591</v>
      </c>
      <c r="F263" s="169">
        <f>+SUMIFS(FINANCIACION[$ CAPITAL],FINANCIACION[Fecha],"&lt;="&amp;FINANCIACION[[#This Row],[Fecha]],FINANCIACION[PRESTAMO],FINANCIACION[[#This Row],[PRESTAMO]])</f>
        <v>-62021870.950000003</v>
      </c>
      <c r="G263" s="8"/>
      <c r="H263" s="8"/>
      <c r="I263" s="5">
        <f>IF(FINANCIACION[[#This Row],[$ CAPITAL]]&gt;0,FINANCIACION[[#This Row],[$ CAPITAL]])</f>
        <v>578591</v>
      </c>
      <c r="J263" s="36">
        <f>IF(FINANCIACION[[#This Row],[$ CAPITAL]]&gt;=0,FINANCIACION[[#This Row],[$ CAPITAL]]+FINANCIACION[[#This Row],[$ INTERESES]],0)</f>
        <v>578591</v>
      </c>
    </row>
    <row r="264" spans="1:10" ht="24" hidden="1" customHeight="1" x14ac:dyDescent="0.25">
      <c r="A264" s="7">
        <v>43995</v>
      </c>
      <c r="B264" s="53" t="s">
        <v>1218</v>
      </c>
      <c r="C264" s="5">
        <v>1672772</v>
      </c>
      <c r="D264" s="5"/>
      <c r="E264" s="169">
        <f>+IF(FINANCIACION[[#This Row],[$ CAPITAL]]&gt;=0,FINANCIACION[[#This Row],[$ CAPITAL]]+FINANCIACION[[#This Row],[$ INTERESES]],"")</f>
        <v>1672772</v>
      </c>
      <c r="F264" s="169">
        <f>+SUMIFS(FINANCIACION[$ CAPITAL],FINANCIACION[Fecha],"&lt;="&amp;FINANCIACION[[#This Row],[Fecha]],FINANCIACION[PRESTAMO],FINANCIACION[[#This Row],[PRESTAMO]])</f>
        <v>-62021870.950000003</v>
      </c>
      <c r="G264" s="8"/>
      <c r="H264" s="8"/>
      <c r="I264" s="5">
        <f>IF(FINANCIACION[[#This Row],[$ CAPITAL]]&gt;0,FINANCIACION[[#This Row],[$ CAPITAL]])</f>
        <v>1672772</v>
      </c>
      <c r="J264" s="36">
        <f>IF(FINANCIACION[[#This Row],[$ CAPITAL]]&gt;=0,FINANCIACION[[#This Row],[$ CAPITAL]]+FINANCIACION[[#This Row],[$ INTERESES]],0)</f>
        <v>1672772</v>
      </c>
    </row>
    <row r="265" spans="1:10" ht="24" hidden="1" customHeight="1" x14ac:dyDescent="0.25">
      <c r="A265" s="7">
        <v>43995</v>
      </c>
      <c r="B265" s="53" t="s">
        <v>1218</v>
      </c>
      <c r="C265" s="5">
        <v>5000000</v>
      </c>
      <c r="D265" s="5"/>
      <c r="E265" s="169">
        <f>+IF(FINANCIACION[[#This Row],[$ CAPITAL]]&gt;=0,FINANCIACION[[#This Row],[$ CAPITAL]]+FINANCIACION[[#This Row],[$ INTERESES]],"")</f>
        <v>5000000</v>
      </c>
      <c r="F265" s="169">
        <f>+SUMIFS(FINANCIACION[$ CAPITAL],FINANCIACION[Fecha],"&lt;="&amp;FINANCIACION[[#This Row],[Fecha]],FINANCIACION[PRESTAMO],FINANCIACION[[#This Row],[PRESTAMO]])</f>
        <v>-62021870.950000003</v>
      </c>
      <c r="G265" s="8"/>
      <c r="H265" s="8"/>
      <c r="I265" s="5">
        <f>IF(FINANCIACION[[#This Row],[$ CAPITAL]]&gt;0,FINANCIACION[[#This Row],[$ CAPITAL]])</f>
        <v>5000000</v>
      </c>
      <c r="J265" s="36">
        <f>IF(FINANCIACION[[#This Row],[$ CAPITAL]]&gt;=0,FINANCIACION[[#This Row],[$ CAPITAL]]+FINANCIACION[[#This Row],[$ INTERESES]],0)</f>
        <v>5000000</v>
      </c>
    </row>
    <row r="266" spans="1:10" ht="24" hidden="1" customHeight="1" x14ac:dyDescent="0.25">
      <c r="A266" s="7">
        <v>44000</v>
      </c>
      <c r="B266" s="53" t="s">
        <v>1219</v>
      </c>
      <c r="C266" s="5"/>
      <c r="D266" s="5">
        <v>840000</v>
      </c>
      <c r="E266" s="169">
        <f>+IF(FINANCIACION[[#This Row],[$ CAPITAL]]&gt;=0,FINANCIACION[[#This Row],[$ CAPITAL]]+FINANCIACION[[#This Row],[$ INTERESES]],"")</f>
        <v>840000</v>
      </c>
      <c r="F266" s="169">
        <f>+SUMIFS(FINANCIACION[$ CAPITAL],FINANCIACION[Fecha],"&lt;="&amp;FINANCIACION[[#This Row],[Fecha]],FINANCIACION[PRESTAMO],FINANCIACION[[#This Row],[PRESTAMO]])</f>
        <v>-84000000</v>
      </c>
      <c r="G266" s="8"/>
      <c r="H266" s="8"/>
      <c r="I266" s="5" t="b">
        <f>IF(FINANCIACION[[#This Row],[$ CAPITAL]]&gt;0,FINANCIACION[[#This Row],[$ CAPITAL]])</f>
        <v>0</v>
      </c>
      <c r="J266" s="36">
        <f>IF(FINANCIACION[[#This Row],[$ CAPITAL]]&gt;=0,FINANCIACION[[#This Row],[$ CAPITAL]]+FINANCIACION[[#This Row],[$ INTERESES]],0)</f>
        <v>840000</v>
      </c>
    </row>
    <row r="267" spans="1:10" ht="24" hidden="1" customHeight="1" x14ac:dyDescent="0.25">
      <c r="A267" s="7">
        <v>44000</v>
      </c>
      <c r="B267" s="53" t="s">
        <v>1216</v>
      </c>
      <c r="C267" s="5">
        <v>260000</v>
      </c>
      <c r="D267" s="5">
        <v>740000</v>
      </c>
      <c r="E267" s="169">
        <f>+IF(FINANCIACION[[#This Row],[$ CAPITAL]]&gt;=0,FINANCIACION[[#This Row],[$ CAPITAL]]+FINANCIACION[[#This Row],[$ INTERESES]],"")</f>
        <v>1000000</v>
      </c>
      <c r="F267" s="169">
        <f>+SUMIFS(FINANCIACION[$ CAPITAL],FINANCIACION[Fecha],"&lt;="&amp;FINANCIACION[[#This Row],[Fecha]],FINANCIACION[PRESTAMO],FINANCIACION[[#This Row],[PRESTAMO]])</f>
        <v>-66939060</v>
      </c>
      <c r="G267" s="8"/>
      <c r="H267" s="8"/>
      <c r="I267" s="5">
        <f>IF(FINANCIACION[[#This Row],[$ CAPITAL]]&gt;0,FINANCIACION[[#This Row],[$ CAPITAL]])</f>
        <v>260000</v>
      </c>
      <c r="J267" s="36">
        <f>IF(FINANCIACION[[#This Row],[$ CAPITAL]]&gt;=0,FINANCIACION[[#This Row],[$ CAPITAL]]+FINANCIACION[[#This Row],[$ INTERESES]],0)</f>
        <v>1000000</v>
      </c>
    </row>
    <row r="268" spans="1:10" ht="24" hidden="1" customHeight="1" x14ac:dyDescent="0.25">
      <c r="A268" s="7">
        <v>44000</v>
      </c>
      <c r="B268" s="53" t="s">
        <v>1218</v>
      </c>
      <c r="C268" s="5">
        <v>2000000</v>
      </c>
      <c r="D268" s="5"/>
      <c r="E268" s="169">
        <f>+IF(FINANCIACION[[#This Row],[$ CAPITAL]]&gt;=0,FINANCIACION[[#This Row],[$ CAPITAL]]+FINANCIACION[[#This Row],[$ INTERESES]],"")</f>
        <v>2000000</v>
      </c>
      <c r="F268" s="169">
        <f>+SUMIFS(FINANCIACION[$ CAPITAL],FINANCIACION[Fecha],"&lt;="&amp;FINANCIACION[[#This Row],[Fecha]],FINANCIACION[PRESTAMO],FINANCIACION[[#This Row],[PRESTAMO]])</f>
        <v>-60021870.950000003</v>
      </c>
      <c r="G268" s="8"/>
      <c r="H268" s="8"/>
      <c r="I268" s="5">
        <f>IF(FINANCIACION[[#This Row],[$ CAPITAL]]&gt;0,FINANCIACION[[#This Row],[$ CAPITAL]])</f>
        <v>2000000</v>
      </c>
      <c r="J268" s="36">
        <f>IF(FINANCIACION[[#This Row],[$ CAPITAL]]&gt;=0,FINANCIACION[[#This Row],[$ CAPITAL]]+FINANCIACION[[#This Row],[$ INTERESES]],0)</f>
        <v>2000000</v>
      </c>
    </row>
    <row r="269" spans="1:10" ht="24" hidden="1" customHeight="1" x14ac:dyDescent="0.25">
      <c r="A269" s="7">
        <v>44006</v>
      </c>
      <c r="B269" s="53" t="s">
        <v>1221</v>
      </c>
      <c r="C269" s="5">
        <v>-65285277</v>
      </c>
      <c r="D269" s="5">
        <v>2792278</v>
      </c>
      <c r="E269" s="169" t="str">
        <f>+IF(FINANCIACION[[#This Row],[$ CAPITAL]]&gt;=0,FINANCIACION[[#This Row],[$ CAPITAL]]+FINANCIACION[[#This Row],[$ INTERESES]],"")</f>
        <v/>
      </c>
      <c r="F269" s="169">
        <f>+SUMIFS(FINANCIACION[$ CAPITAL],FINANCIACION[Fecha],"&lt;="&amp;FINANCIACION[[#This Row],[Fecha]],FINANCIACION[PRESTAMO],FINANCIACION[[#This Row],[PRESTAMO]])</f>
        <v>-65285277</v>
      </c>
      <c r="G269" s="8"/>
      <c r="H269" s="8"/>
      <c r="I269" s="5" t="b">
        <f>IF(FINANCIACION[[#This Row],[$ CAPITAL]]&gt;0,FINANCIACION[[#This Row],[$ CAPITAL]])</f>
        <v>0</v>
      </c>
      <c r="J269" s="36">
        <f>IF(FINANCIACION[[#This Row],[$ CAPITAL]]&gt;=0,FINANCIACION[[#This Row],[$ CAPITAL]]+FINANCIACION[[#This Row],[$ INTERESES]],0)</f>
        <v>0</v>
      </c>
    </row>
    <row r="270" spans="1:10" ht="24" hidden="1" customHeight="1" x14ac:dyDescent="0.25">
      <c r="A270" s="7">
        <v>44006</v>
      </c>
      <c r="B270" s="53" t="s">
        <v>1222</v>
      </c>
      <c r="C270" s="5">
        <v>-95000000</v>
      </c>
      <c r="D270" s="5">
        <v>3947242</v>
      </c>
      <c r="E270" s="169" t="str">
        <f>+IF(FINANCIACION[[#This Row],[$ CAPITAL]]&gt;=0,FINANCIACION[[#This Row],[$ CAPITAL]]+FINANCIACION[[#This Row],[$ INTERESES]],"")</f>
        <v/>
      </c>
      <c r="F270" s="169">
        <f>+SUMIFS(FINANCIACION[$ CAPITAL],FINANCIACION[Fecha],"&lt;="&amp;FINANCIACION[[#This Row],[Fecha]],FINANCIACION[PRESTAMO],FINANCIACION[[#This Row],[PRESTAMO]])</f>
        <v>-95000000</v>
      </c>
      <c r="G270" s="8"/>
      <c r="H270" s="8"/>
      <c r="I270" s="5" t="b">
        <f>IF(FINANCIACION[[#This Row],[$ CAPITAL]]&gt;0,FINANCIACION[[#This Row],[$ CAPITAL]])</f>
        <v>0</v>
      </c>
      <c r="J270" s="36">
        <f>IF(FINANCIACION[[#This Row],[$ CAPITAL]]&gt;=0,FINANCIACION[[#This Row],[$ CAPITAL]]+FINANCIACION[[#This Row],[$ INTERESES]],0)</f>
        <v>0</v>
      </c>
    </row>
    <row r="271" spans="1:10" ht="24" hidden="1" customHeight="1" x14ac:dyDescent="0.25">
      <c r="A271" s="7">
        <v>44007</v>
      </c>
      <c r="B271" s="53" t="s">
        <v>1218</v>
      </c>
      <c r="C271" s="5">
        <v>500000</v>
      </c>
      <c r="D271" s="5"/>
      <c r="E271" s="169">
        <f>+IF(FINANCIACION[[#This Row],[$ CAPITAL]]&gt;=0,FINANCIACION[[#This Row],[$ CAPITAL]]+FINANCIACION[[#This Row],[$ INTERESES]],"")</f>
        <v>500000</v>
      </c>
      <c r="F271" s="169">
        <f>+SUMIFS(FINANCIACION[$ CAPITAL],FINANCIACION[Fecha],"&lt;="&amp;FINANCIACION[[#This Row],[Fecha]],FINANCIACION[PRESTAMO],FINANCIACION[[#This Row],[PRESTAMO]])</f>
        <v>-59521870.950000003</v>
      </c>
      <c r="G271" s="8"/>
      <c r="H271" s="8"/>
      <c r="I271" s="5">
        <f>IF(FINANCIACION[[#This Row],[$ CAPITAL]]&gt;0,FINANCIACION[[#This Row],[$ CAPITAL]])</f>
        <v>500000</v>
      </c>
      <c r="J271" s="36">
        <f>IF(FINANCIACION[[#This Row],[$ CAPITAL]]&gt;=0,FINANCIACION[[#This Row],[$ CAPITAL]]+FINANCIACION[[#This Row],[$ INTERESES]],0)</f>
        <v>500000</v>
      </c>
    </row>
    <row r="272" spans="1:10" ht="24" hidden="1" customHeight="1" x14ac:dyDescent="0.25">
      <c r="A272" s="7">
        <v>44012</v>
      </c>
      <c r="B272" s="53" t="s">
        <v>194</v>
      </c>
      <c r="C272" s="5">
        <v>-219719</v>
      </c>
      <c r="D272" s="5"/>
      <c r="E272" s="169" t="str">
        <f>+IF(FINANCIACION[[#This Row],[$ CAPITAL]]&gt;=0,FINANCIACION[[#This Row],[$ CAPITAL]]+FINANCIACION[[#This Row],[$ INTERESES]],"")</f>
        <v/>
      </c>
      <c r="F272" s="169">
        <f>+SUMIFS(FINANCIACION[$ CAPITAL],FINANCIACION[Fecha],"&lt;="&amp;FINANCIACION[[#This Row],[Fecha]],FINANCIACION[PRESTAMO],FINANCIACION[[#This Row],[PRESTAMO]])</f>
        <v>-38080833</v>
      </c>
      <c r="G272" s="8"/>
      <c r="H272" s="56"/>
      <c r="I272" s="5" t="b">
        <f>IF(FINANCIACION[[#This Row],[$ CAPITAL]]&gt;0,FINANCIACION[[#This Row],[$ CAPITAL]])</f>
        <v>0</v>
      </c>
      <c r="J272" s="9">
        <f>IF(FINANCIACION[[#This Row],[$ CAPITAL]]&gt;=0,FINANCIACION[[#This Row],[$ CAPITAL]]+FINANCIACION[[#This Row],[$ INTERESES]],0)</f>
        <v>0</v>
      </c>
    </row>
    <row r="273" spans="1:10" ht="24" hidden="1" customHeight="1" x14ac:dyDescent="0.25">
      <c r="A273" s="7">
        <v>44012</v>
      </c>
      <c r="B273" s="53" t="s">
        <v>1218</v>
      </c>
      <c r="C273" s="5">
        <v>-311626.27</v>
      </c>
      <c r="D273" s="5"/>
      <c r="E273" s="169" t="str">
        <f>+IF(FINANCIACION[[#This Row],[$ CAPITAL]]&gt;=0,FINANCIACION[[#This Row],[$ CAPITAL]]+FINANCIACION[[#This Row],[$ INTERESES]],"")</f>
        <v/>
      </c>
      <c r="F273" s="169">
        <f>+SUMIFS(FINANCIACION[$ CAPITAL],FINANCIACION[Fecha],"&lt;="&amp;FINANCIACION[[#This Row],[Fecha]],FINANCIACION[PRESTAMO],FINANCIACION[[#This Row],[PRESTAMO]])</f>
        <v>-78383579.760000005</v>
      </c>
      <c r="G273" s="8"/>
      <c r="H273" s="56"/>
      <c r="I273" s="5" t="b">
        <f>IF(FINANCIACION[[#This Row],[$ CAPITAL]]&gt;0,FINANCIACION[[#This Row],[$ CAPITAL]])</f>
        <v>0</v>
      </c>
      <c r="J273" s="9">
        <f>IF(FINANCIACION[[#This Row],[$ CAPITAL]]&gt;=0,FINANCIACION[[#This Row],[$ CAPITAL]]+FINANCIACION[[#This Row],[$ INTERESES]],0)</f>
        <v>0</v>
      </c>
    </row>
    <row r="274" spans="1:10" ht="24" hidden="1" customHeight="1" x14ac:dyDescent="0.25">
      <c r="A274" s="7">
        <v>44012</v>
      </c>
      <c r="B274" s="53" t="s">
        <v>1218</v>
      </c>
      <c r="C274" s="5">
        <v>-640763.53999999911</v>
      </c>
      <c r="D274" s="5"/>
      <c r="E274" s="169" t="str">
        <f>+IF(FINANCIACION[[#This Row],[$ CAPITAL]]&gt;=0,FINANCIACION[[#This Row],[$ CAPITAL]]+FINANCIACION[[#This Row],[$ INTERESES]],"")</f>
        <v/>
      </c>
      <c r="F274" s="169">
        <f>+SUMIFS(FINANCIACION[$ CAPITAL],FINANCIACION[Fecha],"&lt;="&amp;FINANCIACION[[#This Row],[Fecha]],FINANCIACION[PRESTAMO],FINANCIACION[[#This Row],[PRESTAMO]])</f>
        <v>-78383579.760000005</v>
      </c>
      <c r="G274" s="8"/>
      <c r="H274" s="56"/>
      <c r="I274" s="5" t="b">
        <f>IF(FINANCIACION[[#This Row],[$ CAPITAL]]&gt;0,FINANCIACION[[#This Row],[$ CAPITAL]])</f>
        <v>0</v>
      </c>
      <c r="J274" s="9">
        <f>IF(FINANCIACION[[#This Row],[$ CAPITAL]]&gt;=0,FINANCIACION[[#This Row],[$ CAPITAL]]+FINANCIACION[[#This Row],[$ INTERESES]],0)</f>
        <v>0</v>
      </c>
    </row>
    <row r="275" spans="1:10" ht="24" hidden="1" customHeight="1" x14ac:dyDescent="0.25">
      <c r="A275" s="7">
        <v>44012</v>
      </c>
      <c r="B275" s="53" t="s">
        <v>1218</v>
      </c>
      <c r="C275" s="5">
        <v>-1181776</v>
      </c>
      <c r="D275" s="5"/>
      <c r="E275" s="169" t="str">
        <f>+IF(FINANCIACION[[#This Row],[$ CAPITAL]]&gt;=0,FINANCIACION[[#This Row],[$ CAPITAL]]+FINANCIACION[[#This Row],[$ INTERESES]],"")</f>
        <v/>
      </c>
      <c r="F275" s="169">
        <f>+SUMIFS(FINANCIACION[$ CAPITAL],FINANCIACION[Fecha],"&lt;="&amp;FINANCIACION[[#This Row],[Fecha]],FINANCIACION[PRESTAMO],FINANCIACION[[#This Row],[PRESTAMO]])</f>
        <v>-78383579.760000005</v>
      </c>
      <c r="G275" s="56"/>
      <c r="H275" s="8"/>
      <c r="I275" s="5" t="b">
        <f>IF(FINANCIACION[[#This Row],[$ CAPITAL]]&gt;0,FINANCIACION[[#This Row],[$ CAPITAL]])</f>
        <v>0</v>
      </c>
      <c r="J275" s="36">
        <f>IF(FINANCIACION[[#This Row],[$ CAPITAL]]&gt;=0,FINANCIACION[[#This Row],[$ CAPITAL]]+FINANCIACION[[#This Row],[$ INTERESES]],0)</f>
        <v>0</v>
      </c>
    </row>
    <row r="276" spans="1:10" ht="24" hidden="1" customHeight="1" x14ac:dyDescent="0.25">
      <c r="A276" s="7">
        <v>44012</v>
      </c>
      <c r="B276" s="53" t="s">
        <v>1218</v>
      </c>
      <c r="C276" s="5">
        <v>-18624840</v>
      </c>
      <c r="D276" s="5">
        <v>90144.06</v>
      </c>
      <c r="E276" s="169" t="str">
        <f>+IF(FINANCIACION[[#This Row],[$ CAPITAL]]&gt;=0,FINANCIACION[[#This Row],[$ CAPITAL]]+FINANCIACION[[#This Row],[$ INTERESES]],"")</f>
        <v/>
      </c>
      <c r="F276" s="169">
        <f>+SUMIFS(FINANCIACION[$ CAPITAL],FINANCIACION[Fecha],"&lt;="&amp;FINANCIACION[[#This Row],[Fecha]],FINANCIACION[PRESTAMO],FINANCIACION[[#This Row],[PRESTAMO]])</f>
        <v>-78383579.760000005</v>
      </c>
      <c r="G276" s="56"/>
      <c r="H276" s="8"/>
      <c r="I276" s="5" t="b">
        <f>IF(FINANCIACION[[#This Row],[$ CAPITAL]]&gt;0,FINANCIACION[[#This Row],[$ CAPITAL]])</f>
        <v>0</v>
      </c>
      <c r="J276" s="36">
        <f>IF(FINANCIACION[[#This Row],[$ CAPITAL]]&gt;=0,FINANCIACION[[#This Row],[$ CAPITAL]]+FINANCIACION[[#This Row],[$ INTERESES]],0)</f>
        <v>0</v>
      </c>
    </row>
    <row r="277" spans="1:10" ht="24" hidden="1" customHeight="1" x14ac:dyDescent="0.25">
      <c r="A277" s="7">
        <v>44012</v>
      </c>
      <c r="B277" s="53" t="s">
        <v>1218</v>
      </c>
      <c r="C277" s="5">
        <v>1897297</v>
      </c>
      <c r="D277" s="5">
        <v>197413.45</v>
      </c>
      <c r="E277" s="169">
        <f>+IF(FINANCIACION[[#This Row],[$ CAPITAL]]&gt;=0,FINANCIACION[[#This Row],[$ CAPITAL]]+FINANCIACION[[#This Row],[$ INTERESES]],"")</f>
        <v>2094710.45</v>
      </c>
      <c r="F277" s="169">
        <f>+SUMIFS(FINANCIACION[$ CAPITAL],FINANCIACION[Fecha],"&lt;="&amp;FINANCIACION[[#This Row],[Fecha]],FINANCIACION[PRESTAMO],FINANCIACION[[#This Row],[PRESTAMO]])</f>
        <v>-78383579.760000005</v>
      </c>
      <c r="G277" s="56"/>
      <c r="H277" s="8"/>
      <c r="I277" s="5">
        <f>IF(FINANCIACION[[#This Row],[$ CAPITAL]]&gt;0,FINANCIACION[[#This Row],[$ CAPITAL]])</f>
        <v>1897297</v>
      </c>
      <c r="J277" s="36">
        <f>IF(FINANCIACION[[#This Row],[$ CAPITAL]]&gt;=0,FINANCIACION[[#This Row],[$ CAPITAL]]+FINANCIACION[[#This Row],[$ INTERESES]],0)</f>
        <v>2094710.45</v>
      </c>
    </row>
    <row r="278" spans="1:10" ht="24" hidden="1" customHeight="1" x14ac:dyDescent="0.25">
      <c r="A278" s="7">
        <v>44012</v>
      </c>
      <c r="B278" s="53" t="s">
        <v>1221</v>
      </c>
      <c r="C278" s="5">
        <v>-106360.96000000089</v>
      </c>
      <c r="D278" s="5"/>
      <c r="E278" s="169" t="str">
        <f>+IF(FINANCIACION[[#This Row],[$ CAPITAL]]&gt;=0,FINANCIACION[[#This Row],[$ CAPITAL]]+FINANCIACION[[#This Row],[$ INTERESES]],"")</f>
        <v/>
      </c>
      <c r="F278" s="169">
        <f>+SUMIFS(FINANCIACION[$ CAPITAL],FINANCIACION[Fecha],"&lt;="&amp;FINANCIACION[[#This Row],[Fecha]],FINANCIACION[PRESTAMO],FINANCIACION[[#This Row],[PRESTAMO]])</f>
        <v>-65391637.960000001</v>
      </c>
      <c r="G278" s="56"/>
      <c r="H278" s="8"/>
      <c r="I278" s="5" t="b">
        <f>IF(FINANCIACION[[#This Row],[$ CAPITAL]]&gt;0,FINANCIACION[[#This Row],[$ CAPITAL]])</f>
        <v>0</v>
      </c>
      <c r="J278" s="36">
        <f>IF(FINANCIACION[[#This Row],[$ CAPITAL]]&gt;=0,FINANCIACION[[#This Row],[$ CAPITAL]]+FINANCIACION[[#This Row],[$ INTERESES]],0)</f>
        <v>0</v>
      </c>
    </row>
    <row r="279" spans="1:10" ht="24" hidden="1" customHeight="1" x14ac:dyDescent="0.25">
      <c r="A279" s="7">
        <v>44012</v>
      </c>
      <c r="B279" s="53" t="s">
        <v>1222</v>
      </c>
      <c r="C279" s="5">
        <v>-169090.98000000417</v>
      </c>
      <c r="D279" s="5"/>
      <c r="E279" s="169" t="str">
        <f>+IF(FINANCIACION[[#This Row],[$ CAPITAL]]&gt;=0,FINANCIACION[[#This Row],[$ CAPITAL]]+FINANCIACION[[#This Row],[$ INTERESES]],"")</f>
        <v/>
      </c>
      <c r="F279" s="169">
        <f>+SUMIFS(FINANCIACION[$ CAPITAL],FINANCIACION[Fecha],"&lt;="&amp;FINANCIACION[[#This Row],[Fecha]],FINANCIACION[PRESTAMO],FINANCIACION[[#This Row],[PRESTAMO]])</f>
        <v>-95169090.980000004</v>
      </c>
      <c r="G279" s="56"/>
      <c r="H279" s="8"/>
      <c r="I279" s="5" t="b">
        <f>IF(FINANCIACION[[#This Row],[$ CAPITAL]]&gt;0,FINANCIACION[[#This Row],[$ CAPITAL]])</f>
        <v>0</v>
      </c>
      <c r="J279" s="36">
        <f>IF(FINANCIACION[[#This Row],[$ CAPITAL]]&gt;=0,FINANCIACION[[#This Row],[$ CAPITAL]]+FINANCIACION[[#This Row],[$ INTERESES]],0)</f>
        <v>0</v>
      </c>
    </row>
    <row r="280" spans="1:10" ht="24" hidden="1" customHeight="1" x14ac:dyDescent="0.25">
      <c r="A280" s="7">
        <v>44013</v>
      </c>
      <c r="B280" s="53" t="s">
        <v>1219</v>
      </c>
      <c r="C280" s="5">
        <v>69000000</v>
      </c>
      <c r="D280" s="5">
        <v>840000</v>
      </c>
      <c r="E280" s="169">
        <f>+IF(FINANCIACION[[#This Row],[$ CAPITAL]]&gt;=0,FINANCIACION[[#This Row],[$ CAPITAL]]+FINANCIACION[[#This Row],[$ INTERESES]],"")</f>
        <v>69840000</v>
      </c>
      <c r="F280" s="169">
        <f>+SUMIFS(FINANCIACION[$ CAPITAL],FINANCIACION[Fecha],"&lt;="&amp;FINANCIACION[[#This Row],[Fecha]],FINANCIACION[PRESTAMO],FINANCIACION[[#This Row],[PRESTAMO]])</f>
        <v>-15000000</v>
      </c>
      <c r="G280" s="56"/>
      <c r="H280" s="8"/>
      <c r="I280" s="5">
        <f>IF(FINANCIACION[[#This Row],[$ CAPITAL]]&gt;0,FINANCIACION[[#This Row],[$ CAPITAL]])</f>
        <v>69000000</v>
      </c>
      <c r="J280" s="36">
        <f>IF(FINANCIACION[[#This Row],[$ CAPITAL]]&gt;=0,FINANCIACION[[#This Row],[$ CAPITAL]]+FINANCIACION[[#This Row],[$ INTERESES]],0)</f>
        <v>69840000</v>
      </c>
    </row>
    <row r="281" spans="1:10" ht="24" hidden="1" customHeight="1" x14ac:dyDescent="0.25">
      <c r="A281" s="7">
        <v>44013</v>
      </c>
      <c r="B281" s="53" t="s">
        <v>1218</v>
      </c>
      <c r="C281" s="5">
        <v>805000</v>
      </c>
      <c r="D281" s="5"/>
      <c r="E281" s="169">
        <f>+IF(FINANCIACION[[#This Row],[$ CAPITAL]]&gt;=0,FINANCIACION[[#This Row],[$ CAPITAL]]+FINANCIACION[[#This Row],[$ INTERESES]],"")</f>
        <v>805000</v>
      </c>
      <c r="F281" s="169">
        <f>+SUMIFS(FINANCIACION[$ CAPITAL],FINANCIACION[Fecha],"&lt;="&amp;FINANCIACION[[#This Row],[Fecha]],FINANCIACION[PRESTAMO],FINANCIACION[[#This Row],[PRESTAMO]])</f>
        <v>-74400620.760000005</v>
      </c>
      <c r="G281" s="56"/>
      <c r="H281" s="8"/>
      <c r="I281" s="5">
        <f>IF(FINANCIACION[[#This Row],[$ CAPITAL]]&gt;0,FINANCIACION[[#This Row],[$ CAPITAL]])</f>
        <v>805000</v>
      </c>
      <c r="J281" s="36">
        <f>IF(FINANCIACION[[#This Row],[$ CAPITAL]]&gt;=0,FINANCIACION[[#This Row],[$ CAPITAL]]+FINANCIACION[[#This Row],[$ INTERESES]],0)</f>
        <v>805000</v>
      </c>
    </row>
    <row r="282" spans="1:10" ht="24" hidden="1" customHeight="1" x14ac:dyDescent="0.25">
      <c r="A282" s="7">
        <v>44013</v>
      </c>
      <c r="B282" s="53" t="s">
        <v>1218</v>
      </c>
      <c r="C282" s="5">
        <v>3177959</v>
      </c>
      <c r="D282" s="5"/>
      <c r="E282" s="169">
        <f>+IF(FINANCIACION[[#This Row],[$ CAPITAL]]&gt;=0,FINANCIACION[[#This Row],[$ CAPITAL]]+FINANCIACION[[#This Row],[$ INTERESES]],"")</f>
        <v>3177959</v>
      </c>
      <c r="F282" s="169">
        <f>+SUMIFS(FINANCIACION[$ CAPITAL],FINANCIACION[Fecha],"&lt;="&amp;FINANCIACION[[#This Row],[Fecha]],FINANCIACION[PRESTAMO],FINANCIACION[[#This Row],[PRESTAMO]])</f>
        <v>-74400620.760000005</v>
      </c>
      <c r="G282" s="56"/>
      <c r="H282" s="8"/>
      <c r="I282" s="5">
        <f>IF(FINANCIACION[[#This Row],[$ CAPITAL]]&gt;0,FINANCIACION[[#This Row],[$ CAPITAL]])</f>
        <v>3177959</v>
      </c>
      <c r="J282" s="36">
        <f>IF(FINANCIACION[[#This Row],[$ CAPITAL]]&gt;=0,FINANCIACION[[#This Row],[$ CAPITAL]]+FINANCIACION[[#This Row],[$ INTERESES]],0)</f>
        <v>3177959</v>
      </c>
    </row>
    <row r="283" spans="1:10" ht="24" hidden="1" customHeight="1" x14ac:dyDescent="0.25">
      <c r="A283" s="7">
        <v>44019</v>
      </c>
      <c r="B283" s="53" t="s">
        <v>197</v>
      </c>
      <c r="C283" s="5">
        <v>6250000</v>
      </c>
      <c r="D283" s="5">
        <v>1097098</v>
      </c>
      <c r="E283" s="169">
        <f>+IF(FINANCIACION[[#This Row],[$ CAPITAL]]&gt;=0,FINANCIACION[[#This Row],[$ CAPITAL]]+FINANCIACION[[#This Row],[$ INTERESES]],"")</f>
        <v>7347098</v>
      </c>
      <c r="F283" s="169">
        <f>+SUMIFS(FINANCIACION[$ CAPITAL],FINANCIACION[Fecha],"&lt;="&amp;FINANCIACION[[#This Row],[Fecha]],FINANCIACION[PRESTAMO],FINANCIACION[[#This Row],[PRESTAMO]])</f>
        <v>-125000000</v>
      </c>
      <c r="G283" s="56"/>
      <c r="H283" s="8"/>
      <c r="I283" s="5">
        <f>IF(FINANCIACION[[#This Row],[$ CAPITAL]]&gt;0,FINANCIACION[[#This Row],[$ CAPITAL]])</f>
        <v>6250000</v>
      </c>
      <c r="J283" s="36">
        <f>IF(FINANCIACION[[#This Row],[$ CAPITAL]]&gt;=0,FINANCIACION[[#This Row],[$ CAPITAL]]+FINANCIACION[[#This Row],[$ INTERESES]],0)</f>
        <v>7347098</v>
      </c>
    </row>
    <row r="284" spans="1:10" ht="24" hidden="1" customHeight="1" x14ac:dyDescent="0.25">
      <c r="A284" s="7">
        <v>44019</v>
      </c>
      <c r="B284" s="53" t="s">
        <v>1218</v>
      </c>
      <c r="C284" s="5">
        <v>5300000</v>
      </c>
      <c r="D284" s="5"/>
      <c r="E284" s="169">
        <f>+IF(FINANCIACION[[#This Row],[$ CAPITAL]]&gt;=0,FINANCIACION[[#This Row],[$ CAPITAL]]+FINANCIACION[[#This Row],[$ INTERESES]],"")</f>
        <v>5300000</v>
      </c>
      <c r="F284" s="169">
        <f>+SUMIFS(FINANCIACION[$ CAPITAL],FINANCIACION[Fecha],"&lt;="&amp;FINANCIACION[[#This Row],[Fecha]],FINANCIACION[PRESTAMO],FINANCIACION[[#This Row],[PRESTAMO]])</f>
        <v>-69082453.760000005</v>
      </c>
      <c r="G284" s="8"/>
      <c r="H284" s="8"/>
      <c r="I284" s="5">
        <f>IF(FINANCIACION[[#This Row],[$ CAPITAL]]&gt;0,FINANCIACION[[#This Row],[$ CAPITAL]])</f>
        <v>5300000</v>
      </c>
      <c r="J284" s="36">
        <f>IF(FINANCIACION[[#This Row],[$ CAPITAL]]&gt;=0,FINANCIACION[[#This Row],[$ CAPITAL]]+FINANCIACION[[#This Row],[$ INTERESES]],0)</f>
        <v>5300000</v>
      </c>
    </row>
    <row r="285" spans="1:10" ht="24" hidden="1" customHeight="1" x14ac:dyDescent="0.25">
      <c r="A285" s="7">
        <v>44019</v>
      </c>
      <c r="B285" s="53" t="s">
        <v>1218</v>
      </c>
      <c r="C285" s="5">
        <v>18167</v>
      </c>
      <c r="D285" s="5"/>
      <c r="E285" s="169">
        <f>+IF(FINANCIACION[[#This Row],[$ CAPITAL]]&gt;=0,FINANCIACION[[#This Row],[$ CAPITAL]]+FINANCIACION[[#This Row],[$ INTERESES]],"")</f>
        <v>18167</v>
      </c>
      <c r="F285" s="169">
        <f>+SUMIFS(FINANCIACION[$ CAPITAL],FINANCIACION[Fecha],"&lt;="&amp;FINANCIACION[[#This Row],[Fecha]],FINANCIACION[PRESTAMO],FINANCIACION[[#This Row],[PRESTAMO]])</f>
        <v>-69082453.760000005</v>
      </c>
      <c r="G285" s="8"/>
      <c r="H285" s="8"/>
      <c r="I285" s="5">
        <f>IF(FINANCIACION[[#This Row],[$ CAPITAL]]&gt;0,FINANCIACION[[#This Row],[$ CAPITAL]])</f>
        <v>18167</v>
      </c>
      <c r="J285" s="36">
        <f>IF(FINANCIACION[[#This Row],[$ CAPITAL]]&gt;=0,FINANCIACION[[#This Row],[$ CAPITAL]]+FINANCIACION[[#This Row],[$ INTERESES]],0)</f>
        <v>18167</v>
      </c>
    </row>
    <row r="286" spans="1:10" ht="24" hidden="1" customHeight="1" x14ac:dyDescent="0.25">
      <c r="A286" s="7">
        <v>44021</v>
      </c>
      <c r="B286" s="53" t="s">
        <v>1218</v>
      </c>
      <c r="C286" s="5">
        <v>1869398</v>
      </c>
      <c r="D286" s="5"/>
      <c r="E286" s="169">
        <f>+IF(FINANCIACION[[#This Row],[$ CAPITAL]]&gt;=0,FINANCIACION[[#This Row],[$ CAPITAL]]+FINANCIACION[[#This Row],[$ INTERESES]],"")</f>
        <v>1869398</v>
      </c>
      <c r="F286" s="169">
        <f>+SUMIFS(FINANCIACION[$ CAPITAL],FINANCIACION[Fecha],"&lt;="&amp;FINANCIACION[[#This Row],[Fecha]],FINANCIACION[PRESTAMO],FINANCIACION[[#This Row],[PRESTAMO]])</f>
        <v>-64563502.760000005</v>
      </c>
      <c r="G286" s="8"/>
      <c r="H286" s="8"/>
      <c r="I286" s="5">
        <f>IF(FINANCIACION[[#This Row],[$ CAPITAL]]&gt;0,FINANCIACION[[#This Row],[$ CAPITAL]])</f>
        <v>1869398</v>
      </c>
      <c r="J286" s="36">
        <f>IF(FINANCIACION[[#This Row],[$ CAPITAL]]&gt;=0,FINANCIACION[[#This Row],[$ CAPITAL]]+FINANCIACION[[#This Row],[$ INTERESES]],0)</f>
        <v>1869398</v>
      </c>
    </row>
    <row r="287" spans="1:10" ht="24" hidden="1" customHeight="1" x14ac:dyDescent="0.25">
      <c r="A287" s="7">
        <v>44021</v>
      </c>
      <c r="B287" s="53" t="s">
        <v>1218</v>
      </c>
      <c r="C287" s="5">
        <v>2649553</v>
      </c>
      <c r="D287" s="5"/>
      <c r="E287" s="169">
        <f>+IF(FINANCIACION[[#This Row],[$ CAPITAL]]&gt;=0,FINANCIACION[[#This Row],[$ CAPITAL]]+FINANCIACION[[#This Row],[$ INTERESES]],"")</f>
        <v>2649553</v>
      </c>
      <c r="F287" s="169">
        <f>+SUMIFS(FINANCIACION[$ CAPITAL],FINANCIACION[Fecha],"&lt;="&amp;FINANCIACION[[#This Row],[Fecha]],FINANCIACION[PRESTAMO],FINANCIACION[[#This Row],[PRESTAMO]])</f>
        <v>-64563502.760000005</v>
      </c>
      <c r="G287" s="8"/>
      <c r="H287" s="8"/>
      <c r="I287" s="5">
        <f>IF(FINANCIACION[[#This Row],[$ CAPITAL]]&gt;0,FINANCIACION[[#This Row],[$ CAPITAL]])</f>
        <v>2649553</v>
      </c>
      <c r="J287" s="36">
        <f>IF(FINANCIACION[[#This Row],[$ CAPITAL]]&gt;=0,FINANCIACION[[#This Row],[$ CAPITAL]]+FINANCIACION[[#This Row],[$ INTERESES]],0)</f>
        <v>2649553</v>
      </c>
    </row>
    <row r="288" spans="1:10" ht="24" hidden="1" customHeight="1" x14ac:dyDescent="0.25">
      <c r="A288" s="7">
        <v>44022</v>
      </c>
      <c r="B288" s="53" t="s">
        <v>1218</v>
      </c>
      <c r="C288" s="5">
        <v>2034715</v>
      </c>
      <c r="D288" s="5"/>
      <c r="E288" s="169">
        <f>+IF(FINANCIACION[[#This Row],[$ CAPITAL]]&gt;=0,FINANCIACION[[#This Row],[$ CAPITAL]]+FINANCIACION[[#This Row],[$ INTERESES]],"")</f>
        <v>2034715</v>
      </c>
      <c r="F288" s="169">
        <f>+SUMIFS(FINANCIACION[$ CAPITAL],FINANCIACION[Fecha],"&lt;="&amp;FINANCIACION[[#This Row],[Fecha]],FINANCIACION[PRESTAMO],FINANCIACION[[#This Row],[PRESTAMO]])</f>
        <v>-62528787.760000005</v>
      </c>
      <c r="G288" s="8"/>
      <c r="H288" s="8"/>
      <c r="I288" s="5">
        <f>IF(FINANCIACION[[#This Row],[$ CAPITAL]]&gt;0,FINANCIACION[[#This Row],[$ CAPITAL]])</f>
        <v>2034715</v>
      </c>
      <c r="J288" s="36">
        <f>IF(FINANCIACION[[#This Row],[$ CAPITAL]]&gt;=0,FINANCIACION[[#This Row],[$ CAPITAL]]+FINANCIACION[[#This Row],[$ INTERESES]],0)</f>
        <v>2034715</v>
      </c>
    </row>
    <row r="289" spans="1:10" ht="24" hidden="1" customHeight="1" x14ac:dyDescent="0.25">
      <c r="A289" s="7">
        <v>44026</v>
      </c>
      <c r="B289" s="53" t="s">
        <v>1218</v>
      </c>
      <c r="C289" s="5">
        <v>1388000</v>
      </c>
      <c r="D289" s="5"/>
      <c r="E289" s="169">
        <f>+IF(FINANCIACION[[#This Row],[$ CAPITAL]]&gt;=0,FINANCIACION[[#This Row],[$ CAPITAL]]+FINANCIACION[[#This Row],[$ INTERESES]],"")</f>
        <v>1388000</v>
      </c>
      <c r="F289" s="169">
        <f>+SUMIFS(FINANCIACION[$ CAPITAL],FINANCIACION[Fecha],"&lt;="&amp;FINANCIACION[[#This Row],[Fecha]],FINANCIACION[PRESTAMO],FINANCIACION[[#This Row],[PRESTAMO]])</f>
        <v>-61140787.760000005</v>
      </c>
      <c r="G289" s="8"/>
      <c r="H289" s="8"/>
      <c r="I289" s="5">
        <f>IF(FINANCIACION[[#This Row],[$ CAPITAL]]&gt;0,FINANCIACION[[#This Row],[$ CAPITAL]])</f>
        <v>1388000</v>
      </c>
      <c r="J289" s="36">
        <f>IF(FINANCIACION[[#This Row],[$ CAPITAL]]&gt;=0,FINANCIACION[[#This Row],[$ CAPITAL]]+FINANCIACION[[#This Row],[$ INTERESES]],0)</f>
        <v>1388000</v>
      </c>
    </row>
    <row r="290" spans="1:10" ht="24" hidden="1" customHeight="1" x14ac:dyDescent="0.25">
      <c r="A290" s="7">
        <v>44027</v>
      </c>
      <c r="B290" s="53" t="s">
        <v>1218</v>
      </c>
      <c r="C290" s="5">
        <v>1600816.7999999998</v>
      </c>
      <c r="D290" s="5"/>
      <c r="E290" s="169">
        <f>+IF(FINANCIACION[[#This Row],[$ CAPITAL]]&gt;=0,FINANCIACION[[#This Row],[$ CAPITAL]]+FINANCIACION[[#This Row],[$ INTERESES]],"")</f>
        <v>1600816.7999999998</v>
      </c>
      <c r="F290" s="169">
        <f>+SUMIFS(FINANCIACION[$ CAPITAL],FINANCIACION[Fecha],"&lt;="&amp;FINANCIACION[[#This Row],[Fecha]],FINANCIACION[PRESTAMO],FINANCIACION[[#This Row],[PRESTAMO]])</f>
        <v>-60710879.960000008</v>
      </c>
      <c r="G290" s="8"/>
      <c r="H290" s="8"/>
      <c r="I290" s="5">
        <f>IF(FINANCIACION[[#This Row],[$ CAPITAL]]&gt;0,FINANCIACION[[#This Row],[$ CAPITAL]])</f>
        <v>1600816.7999999998</v>
      </c>
      <c r="J290" s="36">
        <f>IF(FINANCIACION[[#This Row],[$ CAPITAL]]&gt;=0,FINANCIACION[[#This Row],[$ CAPITAL]]+FINANCIACION[[#This Row],[$ INTERESES]],0)</f>
        <v>1600816.7999999998</v>
      </c>
    </row>
    <row r="291" spans="1:10" ht="24" hidden="1" customHeight="1" x14ac:dyDescent="0.25">
      <c r="A291" s="7">
        <v>44027</v>
      </c>
      <c r="B291" s="53" t="s">
        <v>1218</v>
      </c>
      <c r="C291" s="5">
        <v>-1170909</v>
      </c>
      <c r="D291" s="5"/>
      <c r="E291" s="169" t="str">
        <f>+IF(FINANCIACION[[#This Row],[$ CAPITAL]]&gt;=0,FINANCIACION[[#This Row],[$ CAPITAL]]+FINANCIACION[[#This Row],[$ INTERESES]],"")</f>
        <v/>
      </c>
      <c r="F291" s="169">
        <f>+SUMIFS(FINANCIACION[$ CAPITAL],FINANCIACION[Fecha],"&lt;="&amp;FINANCIACION[[#This Row],[Fecha]],FINANCIACION[PRESTAMO],FINANCIACION[[#This Row],[PRESTAMO]])</f>
        <v>-60710879.960000008</v>
      </c>
      <c r="G291" s="8"/>
      <c r="H291" s="8"/>
      <c r="I291" s="5" t="b">
        <f>IF(FINANCIACION[[#This Row],[$ CAPITAL]]&gt;0,FINANCIACION[[#This Row],[$ CAPITAL]])</f>
        <v>0</v>
      </c>
      <c r="J291" s="36">
        <f>IF(FINANCIACION[[#This Row],[$ CAPITAL]]&gt;=0,FINANCIACION[[#This Row],[$ CAPITAL]]+FINANCIACION[[#This Row],[$ INTERESES]],0)</f>
        <v>0</v>
      </c>
    </row>
    <row r="292" spans="1:10" ht="24" hidden="1" customHeight="1" x14ac:dyDescent="0.25">
      <c r="A292" s="7">
        <v>44029</v>
      </c>
      <c r="B292" s="53" t="s">
        <v>1218</v>
      </c>
      <c r="C292" s="5">
        <v>4716218</v>
      </c>
      <c r="D292" s="5"/>
      <c r="E292" s="169">
        <f>+IF(FINANCIACION[[#This Row],[$ CAPITAL]]&gt;=0,FINANCIACION[[#This Row],[$ CAPITAL]]+FINANCIACION[[#This Row],[$ INTERESES]],"")</f>
        <v>4716218</v>
      </c>
      <c r="F292" s="169">
        <f>+SUMIFS(FINANCIACION[$ CAPITAL],FINANCIACION[Fecha],"&lt;="&amp;FINANCIACION[[#This Row],[Fecha]],FINANCIACION[PRESTAMO],FINANCIACION[[#This Row],[PRESTAMO]])</f>
        <v>-55994661.960000008</v>
      </c>
      <c r="G292" s="8"/>
      <c r="H292" s="8"/>
      <c r="I292" s="5">
        <f>IF(FINANCIACION[[#This Row],[$ CAPITAL]]&gt;0,FINANCIACION[[#This Row],[$ CAPITAL]])</f>
        <v>4716218</v>
      </c>
      <c r="J292" s="36">
        <f>IF(FINANCIACION[[#This Row],[$ CAPITAL]]&gt;=0,FINANCIACION[[#This Row],[$ CAPITAL]]+FINANCIACION[[#This Row],[$ INTERESES]],0)</f>
        <v>4716218</v>
      </c>
    </row>
    <row r="293" spans="1:10" ht="24" hidden="1" customHeight="1" x14ac:dyDescent="0.25">
      <c r="A293" s="7">
        <v>44033</v>
      </c>
      <c r="B293" s="53" t="s">
        <v>1218</v>
      </c>
      <c r="C293" s="5">
        <v>4382316</v>
      </c>
      <c r="D293" s="5"/>
      <c r="E293" s="169">
        <f>+IF(FINANCIACION[[#This Row],[$ CAPITAL]]&gt;=0,FINANCIACION[[#This Row],[$ CAPITAL]]+FINANCIACION[[#This Row],[$ INTERESES]],"")</f>
        <v>4382316</v>
      </c>
      <c r="F293" s="169">
        <f>+SUMIFS(FINANCIACION[$ CAPITAL],FINANCIACION[Fecha],"&lt;="&amp;FINANCIACION[[#This Row],[Fecha]],FINANCIACION[PRESTAMO],FINANCIACION[[#This Row],[PRESTAMO]])</f>
        <v>-51612345.960000008</v>
      </c>
      <c r="G293" s="8"/>
      <c r="H293" s="8"/>
      <c r="I293" s="5">
        <f>IF(FINANCIACION[[#This Row],[$ CAPITAL]]&gt;0,FINANCIACION[[#This Row],[$ CAPITAL]])</f>
        <v>4382316</v>
      </c>
      <c r="J293" s="36">
        <f>IF(FINANCIACION[[#This Row],[$ CAPITAL]]&gt;=0,FINANCIACION[[#This Row],[$ CAPITAL]]+FINANCIACION[[#This Row],[$ INTERESES]],0)</f>
        <v>4382316</v>
      </c>
    </row>
    <row r="294" spans="1:10" ht="24" hidden="1" customHeight="1" x14ac:dyDescent="0.25">
      <c r="A294" s="7">
        <v>44034</v>
      </c>
      <c r="B294" s="53" t="s">
        <v>1218</v>
      </c>
      <c r="C294" s="5">
        <v>3991020</v>
      </c>
      <c r="D294" s="5"/>
      <c r="E294" s="169">
        <f>+IF(FINANCIACION[[#This Row],[$ CAPITAL]]&gt;=0,FINANCIACION[[#This Row],[$ CAPITAL]]+FINANCIACION[[#This Row],[$ INTERESES]],"")</f>
        <v>3991020</v>
      </c>
      <c r="F294" s="169">
        <f>+SUMIFS(FINANCIACION[$ CAPITAL],FINANCIACION[Fecha],"&lt;="&amp;FINANCIACION[[#This Row],[Fecha]],FINANCIACION[PRESTAMO],FINANCIACION[[#This Row],[PRESTAMO]])</f>
        <v>-47621325.960000008</v>
      </c>
      <c r="G294" s="8"/>
      <c r="H294" s="8"/>
      <c r="I294" s="5">
        <f>IF(FINANCIACION[[#This Row],[$ CAPITAL]]&gt;0,FINANCIACION[[#This Row],[$ CAPITAL]])</f>
        <v>3991020</v>
      </c>
      <c r="J294" s="36">
        <f>IF(FINANCIACION[[#This Row],[$ CAPITAL]]&gt;=0,FINANCIACION[[#This Row],[$ CAPITAL]]+FINANCIACION[[#This Row],[$ INTERESES]],0)</f>
        <v>3991020</v>
      </c>
    </row>
    <row r="295" spans="1:10" ht="24" hidden="1" customHeight="1" x14ac:dyDescent="0.25">
      <c r="A295" s="7">
        <v>44037</v>
      </c>
      <c r="B295" s="53" t="s">
        <v>1218</v>
      </c>
      <c r="C295" s="5">
        <v>5856240</v>
      </c>
      <c r="D295" s="5"/>
      <c r="E295" s="169">
        <f>+IF(FINANCIACION[[#This Row],[$ CAPITAL]]&gt;=0,FINANCIACION[[#This Row],[$ CAPITAL]]+FINANCIACION[[#This Row],[$ INTERESES]],"")</f>
        <v>5856240</v>
      </c>
      <c r="F295" s="169">
        <f>+SUMIFS(FINANCIACION[$ CAPITAL],FINANCIACION[Fecha],"&lt;="&amp;FINANCIACION[[#This Row],[Fecha]],FINANCIACION[PRESTAMO],FINANCIACION[[#This Row],[PRESTAMO]])</f>
        <v>-41765085.960000008</v>
      </c>
      <c r="G295" s="8"/>
      <c r="H295" s="8"/>
      <c r="I295" s="5">
        <f>IF(FINANCIACION[[#This Row],[$ CAPITAL]]&gt;0,FINANCIACION[[#This Row],[$ CAPITAL]])</f>
        <v>5856240</v>
      </c>
      <c r="J295" s="36">
        <f>IF(FINANCIACION[[#This Row],[$ CAPITAL]]&gt;=0,FINANCIACION[[#This Row],[$ CAPITAL]]+FINANCIACION[[#This Row],[$ INTERESES]],0)</f>
        <v>5856240</v>
      </c>
    </row>
    <row r="296" spans="1:10" ht="24" hidden="1" customHeight="1" x14ac:dyDescent="0.25">
      <c r="A296" s="7">
        <v>44041</v>
      </c>
      <c r="B296" s="53" t="s">
        <v>1216</v>
      </c>
      <c r="C296" s="5">
        <v>360000</v>
      </c>
      <c r="D296" s="5">
        <v>740000</v>
      </c>
      <c r="E296" s="169">
        <f>+IF(FINANCIACION[[#This Row],[$ CAPITAL]]&gt;=0,FINANCIACION[[#This Row],[$ CAPITAL]]+FINANCIACION[[#This Row],[$ INTERESES]],"")</f>
        <v>1100000</v>
      </c>
      <c r="F296" s="169">
        <f>+SUMIFS(FINANCIACION[$ CAPITAL],FINANCIACION[Fecha],"&lt;="&amp;FINANCIACION[[#This Row],[Fecha]],FINANCIACION[PRESTAMO],FINANCIACION[[#This Row],[PRESTAMO]])</f>
        <v>-66579060</v>
      </c>
      <c r="G296" s="8"/>
      <c r="H296" s="8"/>
      <c r="I296" s="5">
        <f>IF(FINANCIACION[[#This Row],[$ CAPITAL]]&gt;0,FINANCIACION[[#This Row],[$ CAPITAL]])</f>
        <v>360000</v>
      </c>
      <c r="J296" s="36">
        <f>IF(FINANCIACION[[#This Row],[$ CAPITAL]]&gt;=0,FINANCIACION[[#This Row],[$ CAPITAL]]+FINANCIACION[[#This Row],[$ INTERESES]],0)</f>
        <v>1100000</v>
      </c>
    </row>
    <row r="297" spans="1:10" ht="24" hidden="1" customHeight="1" x14ac:dyDescent="0.25">
      <c r="A297" s="7">
        <v>44043</v>
      </c>
      <c r="B297" s="53" t="s">
        <v>1219</v>
      </c>
      <c r="C297" s="5"/>
      <c r="D297" s="5">
        <v>150000</v>
      </c>
      <c r="E297" s="169">
        <f>+IF(FINANCIACION[[#This Row],[$ CAPITAL]]&gt;=0,FINANCIACION[[#This Row],[$ CAPITAL]]+FINANCIACION[[#This Row],[$ INTERESES]],"")</f>
        <v>150000</v>
      </c>
      <c r="F297" s="169">
        <f>+SUMIFS(FINANCIACION[$ CAPITAL],FINANCIACION[Fecha],"&lt;="&amp;FINANCIACION[[#This Row],[Fecha]],FINANCIACION[PRESTAMO],FINANCIACION[[#This Row],[PRESTAMO]])</f>
        <v>-15000000</v>
      </c>
      <c r="G297" s="8"/>
      <c r="H297" s="8"/>
      <c r="I297" s="5" t="b">
        <f>IF(FINANCIACION[[#This Row],[$ CAPITAL]]&gt;0,FINANCIACION[[#This Row],[$ CAPITAL]])</f>
        <v>0</v>
      </c>
      <c r="J297" s="36">
        <f>IF(FINANCIACION[[#This Row],[$ CAPITAL]]&gt;=0,FINANCIACION[[#This Row],[$ CAPITAL]]+FINANCIACION[[#This Row],[$ INTERESES]],0)</f>
        <v>150000</v>
      </c>
    </row>
    <row r="298" spans="1:10" ht="24" hidden="1" customHeight="1" x14ac:dyDescent="0.25">
      <c r="A298" s="7">
        <v>44043</v>
      </c>
      <c r="B298" s="53" t="s">
        <v>1217</v>
      </c>
      <c r="C298" s="5">
        <v>-183255600</v>
      </c>
      <c r="D298" s="5"/>
      <c r="E298" s="169" t="str">
        <f>+IF(FINANCIACION[[#This Row],[$ CAPITAL]]&gt;=0,FINANCIACION[[#This Row],[$ CAPITAL]]+FINANCIACION[[#This Row],[$ INTERESES]],"")</f>
        <v/>
      </c>
      <c r="F298" s="169">
        <f>+SUMIFS(FINANCIACION[$ CAPITAL],FINANCIACION[Fecha],"&lt;="&amp;FINANCIACION[[#This Row],[Fecha]],FINANCIACION[PRESTAMO],FINANCIACION[[#This Row],[PRESTAMO]])</f>
        <v>-380443064</v>
      </c>
      <c r="G298" s="8"/>
      <c r="H298" s="8"/>
      <c r="I298" s="5" t="b">
        <f>IF(FINANCIACION[[#This Row],[$ CAPITAL]]&gt;0,FINANCIACION[[#This Row],[$ CAPITAL]])</f>
        <v>0</v>
      </c>
      <c r="J298" s="36">
        <f>IF(FINANCIACION[[#This Row],[$ CAPITAL]]&gt;=0,FINANCIACION[[#This Row],[$ CAPITAL]]+FINANCIACION[[#This Row],[$ INTERESES]],0)</f>
        <v>0</v>
      </c>
    </row>
    <row r="299" spans="1:10" ht="24" hidden="1" customHeight="1" x14ac:dyDescent="0.25">
      <c r="A299" s="7">
        <v>44043</v>
      </c>
      <c r="B299" s="53" t="s">
        <v>1217</v>
      </c>
      <c r="C299" s="5">
        <v>187464467</v>
      </c>
      <c r="D299" s="5"/>
      <c r="E299" s="169">
        <f>+IF(FINANCIACION[[#This Row],[$ CAPITAL]]&gt;=0,FINANCIACION[[#This Row],[$ CAPITAL]]+FINANCIACION[[#This Row],[$ INTERESES]],"")</f>
        <v>187464467</v>
      </c>
      <c r="F299" s="169">
        <f>+SUMIFS(FINANCIACION[$ CAPITAL],FINANCIACION[Fecha],"&lt;="&amp;FINANCIACION[[#This Row],[Fecha]],FINANCIACION[PRESTAMO],FINANCIACION[[#This Row],[PRESTAMO]])</f>
        <v>-380443064</v>
      </c>
      <c r="G299" s="8"/>
      <c r="H299" s="8"/>
      <c r="I299" s="5">
        <f>IF(FINANCIACION[[#This Row],[$ CAPITAL]]&gt;0,FINANCIACION[[#This Row],[$ CAPITAL]])</f>
        <v>187464467</v>
      </c>
      <c r="J299" s="36">
        <f>IF(FINANCIACION[[#This Row],[$ CAPITAL]]&gt;=0,FINANCIACION[[#This Row],[$ CAPITAL]]+FINANCIACION[[#This Row],[$ INTERESES]],0)</f>
        <v>187464467</v>
      </c>
    </row>
    <row r="300" spans="1:10" ht="24" hidden="1" customHeight="1" x14ac:dyDescent="0.25">
      <c r="A300" s="7">
        <v>44043</v>
      </c>
      <c r="B300" s="53" t="s">
        <v>1218</v>
      </c>
      <c r="C300" s="5">
        <v>-272689.21000000101</v>
      </c>
      <c r="D300" s="5"/>
      <c r="E300" s="169" t="str">
        <f>+IF(FINANCIACION[[#This Row],[$ CAPITAL]]&gt;=0,FINANCIACION[[#This Row],[$ CAPITAL]]+FINANCIACION[[#This Row],[$ INTERESES]],"")</f>
        <v/>
      </c>
      <c r="F300" s="169">
        <f>+SUMIFS(FINANCIACION[$ CAPITAL],FINANCIACION[Fecha],"&lt;="&amp;FINANCIACION[[#This Row],[Fecha]],FINANCIACION[PRESTAMO],FINANCIACION[[#This Row],[PRESTAMO]])</f>
        <v>-91544696.790000021</v>
      </c>
      <c r="G300" s="8"/>
      <c r="H300" s="8"/>
      <c r="I300" s="5" t="b">
        <f>IF(FINANCIACION[[#This Row],[$ CAPITAL]]&gt;0,FINANCIACION[[#This Row],[$ CAPITAL]])</f>
        <v>0</v>
      </c>
      <c r="J300" s="36">
        <f>IF(FINANCIACION[[#This Row],[$ CAPITAL]]&gt;=0,FINANCIACION[[#This Row],[$ CAPITAL]]+FINANCIACION[[#This Row],[$ INTERESES]],0)</f>
        <v>0</v>
      </c>
    </row>
    <row r="301" spans="1:10" ht="24" hidden="1" customHeight="1" x14ac:dyDescent="0.25">
      <c r="A301" s="7">
        <v>44043</v>
      </c>
      <c r="B301" s="53" t="s">
        <v>1218</v>
      </c>
      <c r="C301" s="5">
        <v>-330830.88000000297</v>
      </c>
      <c r="D301" s="5"/>
      <c r="E301" s="169" t="str">
        <f>+IF(FINANCIACION[[#This Row],[$ CAPITAL]]&gt;=0,FINANCIACION[[#This Row],[$ CAPITAL]]+FINANCIACION[[#This Row],[$ INTERESES]],"")</f>
        <v/>
      </c>
      <c r="F301" s="169">
        <f>+SUMIFS(FINANCIACION[$ CAPITAL],FINANCIACION[Fecha],"&lt;="&amp;FINANCIACION[[#This Row],[Fecha]],FINANCIACION[PRESTAMO],FINANCIACION[[#This Row],[PRESTAMO]])</f>
        <v>-91544696.790000021</v>
      </c>
      <c r="G301" s="8"/>
      <c r="H301" s="8"/>
      <c r="I301" s="5" t="b">
        <f>IF(FINANCIACION[[#This Row],[$ CAPITAL]]&gt;0,FINANCIACION[[#This Row],[$ CAPITAL]])</f>
        <v>0</v>
      </c>
      <c r="J301" s="36">
        <f>IF(FINANCIACION[[#This Row],[$ CAPITAL]]&gt;=0,FINANCIACION[[#This Row],[$ CAPITAL]]+FINANCIACION[[#This Row],[$ INTERESES]],0)</f>
        <v>0</v>
      </c>
    </row>
    <row r="302" spans="1:10" ht="24" hidden="1" customHeight="1" x14ac:dyDescent="0.25">
      <c r="A302" s="7">
        <v>44043</v>
      </c>
      <c r="B302" s="53" t="s">
        <v>1218</v>
      </c>
      <c r="C302" s="5">
        <v>734083.32</v>
      </c>
      <c r="D302" s="5"/>
      <c r="E302" s="169">
        <f>+IF(FINANCIACION[[#This Row],[$ CAPITAL]]&gt;=0,FINANCIACION[[#This Row],[$ CAPITAL]]+FINANCIACION[[#This Row],[$ INTERESES]],"")</f>
        <v>734083.32</v>
      </c>
      <c r="F302" s="169">
        <f>+SUMIFS(FINANCIACION[$ CAPITAL],FINANCIACION[Fecha],"&lt;="&amp;FINANCIACION[[#This Row],[Fecha]],FINANCIACION[PRESTAMO],FINANCIACION[[#This Row],[PRESTAMO]])</f>
        <v>-91544696.790000021</v>
      </c>
      <c r="G302" s="8"/>
      <c r="H302" s="8"/>
      <c r="I302" s="5">
        <f>IF(FINANCIACION[[#This Row],[$ CAPITAL]]&gt;0,FINANCIACION[[#This Row],[$ CAPITAL]])</f>
        <v>734083.32</v>
      </c>
      <c r="J302" s="36">
        <f>IF(FINANCIACION[[#This Row],[$ CAPITAL]]&gt;=0,FINANCIACION[[#This Row],[$ CAPITAL]]+FINANCIACION[[#This Row],[$ INTERESES]],0)</f>
        <v>734083.32</v>
      </c>
    </row>
    <row r="303" spans="1:10" ht="24" hidden="1" customHeight="1" x14ac:dyDescent="0.25">
      <c r="A303" s="7">
        <v>44043</v>
      </c>
      <c r="B303" s="53" t="s">
        <v>1218</v>
      </c>
      <c r="C303" s="5">
        <v>-1869398.0000000014</v>
      </c>
      <c r="D303" s="5"/>
      <c r="E303" s="169" t="str">
        <f>+IF(FINANCIACION[[#This Row],[$ CAPITAL]]&gt;=0,FINANCIACION[[#This Row],[$ CAPITAL]]+FINANCIACION[[#This Row],[$ INTERESES]],"")</f>
        <v/>
      </c>
      <c r="F303" s="169">
        <f>+SUMIFS(FINANCIACION[$ CAPITAL],FINANCIACION[Fecha],"&lt;="&amp;FINANCIACION[[#This Row],[Fecha]],FINANCIACION[PRESTAMO],FINANCIACION[[#This Row],[PRESTAMO]])</f>
        <v>-91544696.790000021</v>
      </c>
      <c r="G303" s="8"/>
      <c r="H303" s="8"/>
      <c r="I303" s="5" t="b">
        <f>IF(FINANCIACION[[#This Row],[$ CAPITAL]]&gt;0,FINANCIACION[[#This Row],[$ CAPITAL]])</f>
        <v>0</v>
      </c>
      <c r="J303" s="36">
        <f>IF(FINANCIACION[[#This Row],[$ CAPITAL]]&gt;=0,FINANCIACION[[#This Row],[$ CAPITAL]]+FINANCIACION[[#This Row],[$ INTERESES]],0)</f>
        <v>0</v>
      </c>
    </row>
    <row r="304" spans="1:10" ht="24" hidden="1" customHeight="1" x14ac:dyDescent="0.25">
      <c r="A304" s="7">
        <v>44043</v>
      </c>
      <c r="B304" s="53" t="s">
        <v>1218</v>
      </c>
      <c r="C304" s="5">
        <v>-42062215.060000002</v>
      </c>
      <c r="D304" s="5"/>
      <c r="E304" s="169" t="str">
        <f>+IF(FINANCIACION[[#This Row],[$ CAPITAL]]&gt;=0,FINANCIACION[[#This Row],[$ CAPITAL]]+FINANCIACION[[#This Row],[$ INTERESES]],"")</f>
        <v/>
      </c>
      <c r="F304" s="169">
        <f>+SUMIFS(FINANCIACION[$ CAPITAL],FINANCIACION[Fecha],"&lt;="&amp;FINANCIACION[[#This Row],[Fecha]],FINANCIACION[PRESTAMO],FINANCIACION[[#This Row],[PRESTAMO]])</f>
        <v>-91544696.790000021</v>
      </c>
      <c r="G304" s="8"/>
      <c r="H304" s="8"/>
      <c r="I304" s="5" t="b">
        <f>IF(FINANCIACION[[#This Row],[$ CAPITAL]]&gt;0,FINANCIACION[[#This Row],[$ CAPITAL]])</f>
        <v>0</v>
      </c>
      <c r="J304" s="36">
        <f>IF(FINANCIACION[[#This Row],[$ CAPITAL]]&gt;=0,FINANCIACION[[#This Row],[$ CAPITAL]]+FINANCIACION[[#This Row],[$ INTERESES]],0)</f>
        <v>0</v>
      </c>
    </row>
    <row r="305" spans="1:10" ht="24" hidden="1" customHeight="1" x14ac:dyDescent="0.25">
      <c r="A305" s="7">
        <v>44043</v>
      </c>
      <c r="B305" s="53" t="s">
        <v>1218</v>
      </c>
      <c r="C305" s="5">
        <v>-679875</v>
      </c>
      <c r="D305" s="5"/>
      <c r="E305" s="169" t="str">
        <f>+IF(FINANCIACION[[#This Row],[$ CAPITAL]]&gt;=0,FINANCIACION[[#This Row],[$ CAPITAL]]+FINANCIACION[[#This Row],[$ INTERESES]],"")</f>
        <v/>
      </c>
      <c r="F305" s="169">
        <f>+SUMIFS(FINANCIACION[$ CAPITAL],FINANCIACION[Fecha],"&lt;="&amp;FINANCIACION[[#This Row],[Fecha]],FINANCIACION[PRESTAMO],FINANCIACION[[#This Row],[PRESTAMO]])</f>
        <v>-91544696.790000021</v>
      </c>
      <c r="G305" s="8"/>
      <c r="H305" s="8"/>
      <c r="I305" s="5" t="b">
        <f>IF(FINANCIACION[[#This Row],[$ CAPITAL]]&gt;0,FINANCIACION[[#This Row],[$ CAPITAL]])</f>
        <v>0</v>
      </c>
      <c r="J305" s="36">
        <f>IF(FINANCIACION[[#This Row],[$ CAPITAL]]&gt;=0,FINANCIACION[[#This Row],[$ CAPITAL]]+FINANCIACION[[#This Row],[$ INTERESES]],0)</f>
        <v>0</v>
      </c>
    </row>
    <row r="306" spans="1:10" ht="24" hidden="1" customHeight="1" x14ac:dyDescent="0.25">
      <c r="A306" s="7">
        <v>44043</v>
      </c>
      <c r="B306" s="53" t="s">
        <v>1218</v>
      </c>
      <c r="C306" s="5">
        <v>-5298686</v>
      </c>
      <c r="D306" s="5"/>
      <c r="E306" s="169" t="str">
        <f>+IF(FINANCIACION[[#This Row],[$ CAPITAL]]&gt;=0,FINANCIACION[[#This Row],[$ CAPITAL]]+FINANCIACION[[#This Row],[$ INTERESES]],"")</f>
        <v/>
      </c>
      <c r="F306" s="169">
        <f>+SUMIFS(FINANCIACION[$ CAPITAL],FINANCIACION[Fecha],"&lt;="&amp;FINANCIACION[[#This Row],[Fecha]],FINANCIACION[PRESTAMO],FINANCIACION[[#This Row],[PRESTAMO]])</f>
        <v>-91544696.790000021</v>
      </c>
      <c r="G306" s="8"/>
      <c r="H306" s="8"/>
      <c r="I306" s="5" t="b">
        <f>IF(FINANCIACION[[#This Row],[$ CAPITAL]]&gt;0,FINANCIACION[[#This Row],[$ CAPITAL]])</f>
        <v>0</v>
      </c>
      <c r="J306" s="36">
        <f>IF(FINANCIACION[[#This Row],[$ CAPITAL]]&gt;=0,FINANCIACION[[#This Row],[$ CAPITAL]]+FINANCIACION[[#This Row],[$ INTERESES]],0)</f>
        <v>0</v>
      </c>
    </row>
    <row r="307" spans="1:10" ht="24" hidden="1" customHeight="1" x14ac:dyDescent="0.25">
      <c r="A307" s="7">
        <v>44043</v>
      </c>
      <c r="B307" s="53" t="s">
        <v>1221</v>
      </c>
      <c r="C307" s="5">
        <v>-543974.96999999904</v>
      </c>
      <c r="D307" s="5"/>
      <c r="E307" s="169" t="str">
        <f>+IF(FINANCIACION[[#This Row],[$ CAPITAL]]&gt;=0,FINANCIACION[[#This Row],[$ CAPITAL]]+FINANCIACION[[#This Row],[$ INTERESES]],"")</f>
        <v/>
      </c>
      <c r="F307" s="169">
        <f>+SUMIFS(FINANCIACION[$ CAPITAL],FINANCIACION[Fecha],"&lt;="&amp;FINANCIACION[[#This Row],[Fecha]],FINANCIACION[PRESTAMO],FINANCIACION[[#This Row],[PRESTAMO]])</f>
        <v>-65935612.93</v>
      </c>
      <c r="G307" s="8"/>
      <c r="H307" s="8"/>
      <c r="I307" s="5" t="b">
        <f>IF(FINANCIACION[[#This Row],[$ CAPITAL]]&gt;0,FINANCIACION[[#This Row],[$ CAPITAL]])</f>
        <v>0</v>
      </c>
      <c r="J307" s="36">
        <f>IF(FINANCIACION[[#This Row],[$ CAPITAL]]&gt;=0,FINANCIACION[[#This Row],[$ CAPITAL]]+FINANCIACION[[#This Row],[$ INTERESES]],0)</f>
        <v>0</v>
      </c>
    </row>
    <row r="308" spans="1:10" ht="24" hidden="1" customHeight="1" x14ac:dyDescent="0.25">
      <c r="A308" s="7">
        <v>44043</v>
      </c>
      <c r="B308" s="53" t="s">
        <v>1222</v>
      </c>
      <c r="C308" s="5">
        <v>-865832.45000000298</v>
      </c>
      <c r="D308" s="5"/>
      <c r="E308" s="169" t="str">
        <f>+IF(FINANCIACION[[#This Row],[$ CAPITAL]]&gt;=0,FINANCIACION[[#This Row],[$ CAPITAL]]+FINANCIACION[[#This Row],[$ INTERESES]],"")</f>
        <v/>
      </c>
      <c r="F308" s="169">
        <f>+SUMIFS(FINANCIACION[$ CAPITAL],FINANCIACION[Fecha],"&lt;="&amp;FINANCIACION[[#This Row],[Fecha]],FINANCIACION[PRESTAMO],FINANCIACION[[#This Row],[PRESTAMO]])</f>
        <v>-96034923.430000007</v>
      </c>
      <c r="G308" s="8"/>
      <c r="H308" s="8"/>
      <c r="I308" s="5" t="b">
        <f>IF(FINANCIACION[[#This Row],[$ CAPITAL]]&gt;0,FINANCIACION[[#This Row],[$ CAPITAL]])</f>
        <v>0</v>
      </c>
      <c r="J308" s="36">
        <f>IF(FINANCIACION[[#This Row],[$ CAPITAL]]&gt;=0,FINANCIACION[[#This Row],[$ CAPITAL]]+FINANCIACION[[#This Row],[$ INTERESES]],0)</f>
        <v>0</v>
      </c>
    </row>
    <row r="309" spans="1:10" ht="24" hidden="1" customHeight="1" x14ac:dyDescent="0.25">
      <c r="A309" s="7">
        <v>44047</v>
      </c>
      <c r="B309" s="53" t="s">
        <v>1223</v>
      </c>
      <c r="C309" s="5">
        <v>-25733277</v>
      </c>
      <c r="D309" s="5"/>
      <c r="E309" s="169" t="str">
        <f>+IF(FINANCIACION[[#This Row],[$ CAPITAL]]&gt;=0,FINANCIACION[[#This Row],[$ CAPITAL]]+FINANCIACION[[#This Row],[$ INTERESES]],"")</f>
        <v/>
      </c>
      <c r="F309" s="169">
        <f>+SUMIFS(FINANCIACION[$ CAPITAL],FINANCIACION[Fecha],"&lt;="&amp;FINANCIACION[[#This Row],[Fecha]],FINANCIACION[PRESTAMO],FINANCIACION[[#This Row],[PRESTAMO]])</f>
        <v>-25733277</v>
      </c>
      <c r="G309" s="8"/>
      <c r="H309" s="8"/>
      <c r="I309" s="5" t="b">
        <f>IF(FINANCIACION[[#This Row],[$ CAPITAL]]&gt;0,FINANCIACION[[#This Row],[$ CAPITAL]])</f>
        <v>0</v>
      </c>
      <c r="J309" s="36">
        <f>IF(FINANCIACION[[#This Row],[$ CAPITAL]]&gt;=0,FINANCIACION[[#This Row],[$ CAPITAL]]+FINANCIACION[[#This Row],[$ INTERESES]],0)</f>
        <v>0</v>
      </c>
    </row>
    <row r="310" spans="1:10" ht="24" hidden="1" customHeight="1" x14ac:dyDescent="0.25">
      <c r="A310" s="7">
        <v>44047</v>
      </c>
      <c r="B310" s="53" t="s">
        <v>1223</v>
      </c>
      <c r="C310" s="5"/>
      <c r="D310" s="5">
        <v>1100623</v>
      </c>
      <c r="E310" s="169">
        <f>+IF(FINANCIACION[[#This Row],[$ CAPITAL]]&gt;=0,FINANCIACION[[#This Row],[$ CAPITAL]]+FINANCIACION[[#This Row],[$ INTERESES]],"")</f>
        <v>1100623</v>
      </c>
      <c r="F310" s="169">
        <f>+SUMIFS(FINANCIACION[$ CAPITAL],FINANCIACION[Fecha],"&lt;="&amp;FINANCIACION[[#This Row],[Fecha]],FINANCIACION[PRESTAMO],FINANCIACION[[#This Row],[PRESTAMO]])</f>
        <v>-25733277</v>
      </c>
      <c r="G310" s="8"/>
      <c r="H310" s="8"/>
      <c r="I310" s="5" t="b">
        <f>IF(FINANCIACION[[#This Row],[$ CAPITAL]]&gt;0,FINANCIACION[[#This Row],[$ CAPITAL]])</f>
        <v>0</v>
      </c>
      <c r="J310" s="36">
        <f>IF(FINANCIACION[[#This Row],[$ CAPITAL]]&gt;=0,FINANCIACION[[#This Row],[$ CAPITAL]]+FINANCIACION[[#This Row],[$ INTERESES]],0)</f>
        <v>1100623</v>
      </c>
    </row>
    <row r="311" spans="1:10" ht="24" hidden="1" customHeight="1" x14ac:dyDescent="0.25">
      <c r="A311" s="7">
        <v>44050</v>
      </c>
      <c r="B311" s="53" t="s">
        <v>197</v>
      </c>
      <c r="C311" s="5">
        <v>1450874</v>
      </c>
      <c r="D311" s="5"/>
      <c r="E311" s="169">
        <f>+IF(FINANCIACION[[#This Row],[$ CAPITAL]]&gt;=0,FINANCIACION[[#This Row],[$ CAPITAL]]+FINANCIACION[[#This Row],[$ INTERESES]],"")</f>
        <v>1450874</v>
      </c>
      <c r="F311" s="169">
        <f>+SUMIFS(FINANCIACION[$ CAPITAL],FINANCIACION[Fecha],"&lt;="&amp;FINANCIACION[[#This Row],[Fecha]],FINANCIACION[PRESTAMO],FINANCIACION[[#This Row],[PRESTAMO]])</f>
        <v>-117299126</v>
      </c>
      <c r="G311" s="8"/>
      <c r="H311" s="8"/>
      <c r="I311" s="5">
        <f>IF(FINANCIACION[[#This Row],[$ CAPITAL]]&gt;0,FINANCIACION[[#This Row],[$ CAPITAL]])</f>
        <v>1450874</v>
      </c>
      <c r="J311" s="36">
        <f>IF(FINANCIACION[[#This Row],[$ CAPITAL]]&gt;=0,FINANCIACION[[#This Row],[$ CAPITAL]]+FINANCIACION[[#This Row],[$ INTERESES]],0)</f>
        <v>1450874</v>
      </c>
    </row>
    <row r="312" spans="1:10" ht="24" hidden="1" customHeight="1" x14ac:dyDescent="0.25">
      <c r="A312" s="7">
        <v>44050</v>
      </c>
      <c r="B312" s="53" t="s">
        <v>197</v>
      </c>
      <c r="C312" s="5">
        <v>6250000</v>
      </c>
      <c r="D312" s="5">
        <v>1004371.89</v>
      </c>
      <c r="E312" s="169">
        <f>+IF(FINANCIACION[[#This Row],[$ CAPITAL]]&gt;=0,FINANCIACION[[#This Row],[$ CAPITAL]]+FINANCIACION[[#This Row],[$ INTERESES]],"")</f>
        <v>7254371.8899999997</v>
      </c>
      <c r="F312" s="169">
        <f>+SUMIFS(FINANCIACION[$ CAPITAL],FINANCIACION[Fecha],"&lt;="&amp;FINANCIACION[[#This Row],[Fecha]],FINANCIACION[PRESTAMO],FINANCIACION[[#This Row],[PRESTAMO]])</f>
        <v>-117299126</v>
      </c>
      <c r="G312" s="56"/>
      <c r="H312" s="8"/>
      <c r="I312" s="5">
        <f>IF(FINANCIACION[[#This Row],[$ CAPITAL]]&gt;0,FINANCIACION[[#This Row],[$ CAPITAL]])</f>
        <v>6250000</v>
      </c>
      <c r="J312" s="36">
        <f>IF(FINANCIACION[[#This Row],[$ CAPITAL]]&gt;=0,FINANCIACION[[#This Row],[$ CAPITAL]]+FINANCIACION[[#This Row],[$ INTERESES]],0)</f>
        <v>7254371.8899999997</v>
      </c>
    </row>
    <row r="313" spans="1:10" ht="24" hidden="1" customHeight="1" x14ac:dyDescent="0.25">
      <c r="A313" s="7">
        <v>44053</v>
      </c>
      <c r="B313" s="53" t="s">
        <v>1218</v>
      </c>
      <c r="C313" s="5">
        <v>2261802</v>
      </c>
      <c r="D313" s="5"/>
      <c r="E313" s="169">
        <f>+IF(FINANCIACION[[#This Row],[$ CAPITAL]]&gt;=0,FINANCIACION[[#This Row],[$ CAPITAL]]+FINANCIACION[[#This Row],[$ INTERESES]],"")</f>
        <v>2261802</v>
      </c>
      <c r="F313" s="169">
        <f>+SUMIFS(FINANCIACION[$ CAPITAL],FINANCIACION[Fecha],"&lt;="&amp;FINANCIACION[[#This Row],[Fecha]],FINANCIACION[PRESTAMO],FINANCIACION[[#This Row],[PRESTAMO]])</f>
        <v>-89282894.790000021</v>
      </c>
      <c r="G313" s="56"/>
      <c r="H313" s="8"/>
      <c r="I313" s="5">
        <f>IF(FINANCIACION[[#This Row],[$ CAPITAL]]&gt;0,FINANCIACION[[#This Row],[$ CAPITAL]])</f>
        <v>2261802</v>
      </c>
      <c r="J313" s="36">
        <f>IF(FINANCIACION[[#This Row],[$ CAPITAL]]&gt;=0,FINANCIACION[[#This Row],[$ CAPITAL]]+FINANCIACION[[#This Row],[$ INTERESES]],0)</f>
        <v>2261802</v>
      </c>
    </row>
    <row r="314" spans="1:10" ht="24" hidden="1" customHeight="1" x14ac:dyDescent="0.25">
      <c r="A314" s="7">
        <v>44057</v>
      </c>
      <c r="B314" s="53" t="s">
        <v>1218</v>
      </c>
      <c r="C314" s="5">
        <v>3390345</v>
      </c>
      <c r="D314" s="5"/>
      <c r="E314" s="169">
        <f>+IF(FINANCIACION[[#This Row],[$ CAPITAL]]&gt;=0,FINANCIACION[[#This Row],[$ CAPITAL]]+FINANCIACION[[#This Row],[$ INTERESES]],"")</f>
        <v>3390345</v>
      </c>
      <c r="F314" s="169">
        <f>+SUMIFS(FINANCIACION[$ CAPITAL],FINANCIACION[Fecha],"&lt;="&amp;FINANCIACION[[#This Row],[Fecha]],FINANCIACION[PRESTAMO],FINANCIACION[[#This Row],[PRESTAMO]])</f>
        <v>-85892549.790000021</v>
      </c>
      <c r="G314" s="8"/>
      <c r="H314" s="8"/>
      <c r="I314" s="5">
        <f>IF(FINANCIACION[[#This Row],[$ CAPITAL]]&gt;0,FINANCIACION[[#This Row],[$ CAPITAL]])</f>
        <v>3390345</v>
      </c>
      <c r="J314" s="9">
        <f>IF(FINANCIACION[[#This Row],[$ CAPITAL]]&gt;=0,FINANCIACION[[#This Row],[$ CAPITAL]]+FINANCIACION[[#This Row],[$ INTERESES]],0)</f>
        <v>3390345</v>
      </c>
    </row>
    <row r="315" spans="1:10" ht="24" hidden="1" customHeight="1" x14ac:dyDescent="0.25">
      <c r="A315" s="7">
        <v>44062</v>
      </c>
      <c r="B315" s="53" t="s">
        <v>1218</v>
      </c>
      <c r="C315" s="5">
        <v>341123</v>
      </c>
      <c r="D315" s="5"/>
      <c r="E315" s="169">
        <f>+IF(FINANCIACION[[#This Row],[$ CAPITAL]]&gt;=0,FINANCIACION[[#This Row],[$ CAPITAL]]+FINANCIACION[[#This Row],[$ INTERESES]],"")</f>
        <v>341123</v>
      </c>
      <c r="F315" s="169">
        <f>+SUMIFS(FINANCIACION[$ CAPITAL],FINANCIACION[Fecha],"&lt;="&amp;FINANCIACION[[#This Row],[Fecha]],FINANCIACION[PRESTAMO],FINANCIACION[[#This Row],[PRESTAMO]])</f>
        <v>-83489840.790000021</v>
      </c>
      <c r="G315" s="8"/>
      <c r="H315" s="8"/>
      <c r="I315" s="5">
        <f>IF(FINANCIACION[[#This Row],[$ CAPITAL]]&gt;0,FINANCIACION[[#This Row],[$ CAPITAL]])</f>
        <v>341123</v>
      </c>
      <c r="J315" s="9">
        <f>IF(FINANCIACION[[#This Row],[$ CAPITAL]]&gt;=0,FINANCIACION[[#This Row],[$ CAPITAL]]+FINANCIACION[[#This Row],[$ INTERESES]],0)</f>
        <v>341123</v>
      </c>
    </row>
    <row r="316" spans="1:10" ht="24" hidden="1" customHeight="1" x14ac:dyDescent="0.25">
      <c r="A316" s="7">
        <v>44062</v>
      </c>
      <c r="B316" s="53" t="s">
        <v>1218</v>
      </c>
      <c r="C316" s="5">
        <v>2061586</v>
      </c>
      <c r="D316" s="5"/>
      <c r="E316" s="169">
        <f>+IF(FINANCIACION[[#This Row],[$ CAPITAL]]&gt;=0,FINANCIACION[[#This Row],[$ CAPITAL]]+FINANCIACION[[#This Row],[$ INTERESES]],"")</f>
        <v>2061586</v>
      </c>
      <c r="F316" s="169">
        <f>+SUMIFS(FINANCIACION[$ CAPITAL],FINANCIACION[Fecha],"&lt;="&amp;FINANCIACION[[#This Row],[Fecha]],FINANCIACION[PRESTAMO],FINANCIACION[[#This Row],[PRESTAMO]])</f>
        <v>-83489840.790000021</v>
      </c>
      <c r="G316" s="8"/>
      <c r="H316" s="8"/>
      <c r="I316" s="5">
        <f>IF(FINANCIACION[[#This Row],[$ CAPITAL]]&gt;0,FINANCIACION[[#This Row],[$ CAPITAL]])</f>
        <v>2061586</v>
      </c>
      <c r="J316" s="9">
        <f>IF(FINANCIACION[[#This Row],[$ CAPITAL]]&gt;=0,FINANCIACION[[#This Row],[$ CAPITAL]]+FINANCIACION[[#This Row],[$ INTERESES]],0)</f>
        <v>2061586</v>
      </c>
    </row>
    <row r="317" spans="1:10" ht="24" hidden="1" customHeight="1" x14ac:dyDescent="0.25">
      <c r="A317" s="7">
        <v>44068</v>
      </c>
      <c r="B317" s="53" t="s">
        <v>1218</v>
      </c>
      <c r="C317" s="5">
        <v>1153107</v>
      </c>
      <c r="D317" s="5"/>
      <c r="E317" s="169">
        <f>+IF(FINANCIACION[[#This Row],[$ CAPITAL]]&gt;=0,FINANCIACION[[#This Row],[$ CAPITAL]]+FINANCIACION[[#This Row],[$ INTERESES]],"")</f>
        <v>1153107</v>
      </c>
      <c r="F317" s="169">
        <f>+SUMIFS(FINANCIACION[$ CAPITAL],FINANCIACION[Fecha],"&lt;="&amp;FINANCIACION[[#This Row],[Fecha]],FINANCIACION[PRESTAMO],FINANCIACION[[#This Row],[PRESTAMO]])</f>
        <v>-82336733.790000021</v>
      </c>
      <c r="G317" s="8"/>
      <c r="H317" s="56"/>
      <c r="I317" s="5">
        <f>IF(FINANCIACION[[#This Row],[$ CAPITAL]]&gt;0,FINANCIACION[[#This Row],[$ CAPITAL]])</f>
        <v>1153107</v>
      </c>
      <c r="J317" s="9">
        <f>IF(FINANCIACION[[#This Row],[$ CAPITAL]]&gt;=0,FINANCIACION[[#This Row],[$ CAPITAL]]+FINANCIACION[[#This Row],[$ INTERESES]],0)</f>
        <v>1153107</v>
      </c>
    </row>
    <row r="318" spans="1:10" ht="24" hidden="1" customHeight="1" x14ac:dyDescent="0.25">
      <c r="A318" s="7">
        <v>44073</v>
      </c>
      <c r="B318" s="53" t="s">
        <v>1224</v>
      </c>
      <c r="C318" s="5">
        <v>-8000000</v>
      </c>
      <c r="D318" s="5"/>
      <c r="E318" s="169" t="str">
        <f>+IF(FINANCIACION[[#This Row],[$ CAPITAL]]&gt;=0,FINANCIACION[[#This Row],[$ CAPITAL]]+FINANCIACION[[#This Row],[$ INTERESES]],"")</f>
        <v/>
      </c>
      <c r="F318" s="169">
        <f>+SUMIFS(FINANCIACION[$ CAPITAL],FINANCIACION[Fecha],"&lt;="&amp;FINANCIACION[[#This Row],[Fecha]],FINANCIACION[PRESTAMO],FINANCIACION[[#This Row],[PRESTAMO]])</f>
        <v>-8000000</v>
      </c>
      <c r="G318" s="8"/>
      <c r="H318" s="56"/>
      <c r="I318" s="5" t="b">
        <f>IF(FINANCIACION[[#This Row],[$ CAPITAL]]&gt;0,FINANCIACION[[#This Row],[$ CAPITAL]])</f>
        <v>0</v>
      </c>
      <c r="J318" s="9">
        <f>IF(FINANCIACION[[#This Row],[$ CAPITAL]]&gt;=0,FINANCIACION[[#This Row],[$ CAPITAL]]+FINANCIACION[[#This Row],[$ INTERESES]],0)</f>
        <v>0</v>
      </c>
    </row>
    <row r="319" spans="1:10" ht="24" hidden="1" customHeight="1" x14ac:dyDescent="0.25">
      <c r="A319" s="7">
        <v>44074</v>
      </c>
      <c r="B319" s="53" t="s">
        <v>1218</v>
      </c>
      <c r="C319" s="5">
        <v>-256645.16999999806</v>
      </c>
      <c r="D319" s="5"/>
      <c r="E319" s="169" t="str">
        <f>+IF(FINANCIACION[[#This Row],[$ CAPITAL]]&gt;=0,FINANCIACION[[#This Row],[$ CAPITAL]]+FINANCIACION[[#This Row],[$ INTERESES]],"")</f>
        <v/>
      </c>
      <c r="F319" s="169">
        <f>+SUMIFS(FINANCIACION[$ CAPITAL],FINANCIACION[Fecha],"&lt;="&amp;FINANCIACION[[#This Row],[Fecha]],FINANCIACION[PRESTAMO],FINANCIACION[[#This Row],[PRESTAMO]])</f>
        <v>-94501512.170000017</v>
      </c>
      <c r="G319" s="8"/>
      <c r="H319" s="56"/>
      <c r="I319" s="5" t="b">
        <f>IF(FINANCIACION[[#This Row],[$ CAPITAL]]&gt;0,FINANCIACION[[#This Row],[$ CAPITAL]])</f>
        <v>0</v>
      </c>
      <c r="J319" s="9">
        <f>IF(FINANCIACION[[#This Row],[$ CAPITAL]]&gt;=0,FINANCIACION[[#This Row],[$ CAPITAL]]+FINANCIACION[[#This Row],[$ INTERESES]],0)</f>
        <v>0</v>
      </c>
    </row>
    <row r="320" spans="1:10" ht="24" hidden="1" customHeight="1" x14ac:dyDescent="0.25">
      <c r="A320" s="7">
        <v>44074</v>
      </c>
      <c r="B320" s="53" t="s">
        <v>1218</v>
      </c>
      <c r="C320" s="5">
        <v>-314828.46999999898</v>
      </c>
      <c r="D320" s="5"/>
      <c r="E320" s="169" t="str">
        <f>+IF(FINANCIACION[[#This Row],[$ CAPITAL]]&gt;=0,FINANCIACION[[#This Row],[$ CAPITAL]]+FINANCIACION[[#This Row],[$ INTERESES]],"")</f>
        <v/>
      </c>
      <c r="F320" s="169">
        <f>+SUMIFS(FINANCIACION[$ CAPITAL],FINANCIACION[Fecha],"&lt;="&amp;FINANCIACION[[#This Row],[Fecha]],FINANCIACION[PRESTAMO],FINANCIACION[[#This Row],[PRESTAMO]])</f>
        <v>-94501512.170000017</v>
      </c>
      <c r="G320" s="8"/>
      <c r="H320" s="56"/>
      <c r="I320" s="5" t="b">
        <f>IF(FINANCIACION[[#This Row],[$ CAPITAL]]&gt;0,FINANCIACION[[#This Row],[$ CAPITAL]])</f>
        <v>0</v>
      </c>
      <c r="J320" s="9">
        <f>IF(FINANCIACION[[#This Row],[$ CAPITAL]]&gt;=0,FINANCIACION[[#This Row],[$ CAPITAL]]+FINANCIACION[[#This Row],[$ INTERESES]],0)</f>
        <v>0</v>
      </c>
    </row>
    <row r="321" spans="1:10" ht="24" hidden="1" customHeight="1" x14ac:dyDescent="0.25">
      <c r="A321" s="7">
        <v>44074</v>
      </c>
      <c r="B321" s="53" t="s">
        <v>1218</v>
      </c>
      <c r="C321" s="5">
        <v>-341123</v>
      </c>
      <c r="D321" s="5"/>
      <c r="E321" s="169" t="str">
        <f>+IF(FINANCIACION[[#This Row],[$ CAPITAL]]&gt;=0,FINANCIACION[[#This Row],[$ CAPITAL]]+FINANCIACION[[#This Row],[$ INTERESES]],"")</f>
        <v/>
      </c>
      <c r="F321" s="169">
        <f>+SUMIFS(FINANCIACION[$ CAPITAL],FINANCIACION[Fecha],"&lt;="&amp;FINANCIACION[[#This Row],[Fecha]],FINANCIACION[PRESTAMO],FINANCIACION[[#This Row],[PRESTAMO]])</f>
        <v>-94501512.170000017</v>
      </c>
      <c r="G321" s="8"/>
      <c r="H321" s="56"/>
      <c r="I321" s="5" t="b">
        <f>IF(FINANCIACION[[#This Row],[$ CAPITAL]]&gt;0,FINANCIACION[[#This Row],[$ CAPITAL]])</f>
        <v>0</v>
      </c>
      <c r="J321" s="9">
        <f>IF(FINANCIACION[[#This Row],[$ CAPITAL]]&gt;=0,FINANCIACION[[#This Row],[$ CAPITAL]]+FINANCIACION[[#This Row],[$ INTERESES]],0)</f>
        <v>0</v>
      </c>
    </row>
    <row r="322" spans="1:10" ht="24" hidden="1" customHeight="1" x14ac:dyDescent="0.25">
      <c r="A322" s="7">
        <v>44074</v>
      </c>
      <c r="B322" s="53" t="s">
        <v>1218</v>
      </c>
      <c r="C322" s="5">
        <v>-4208374.74</v>
      </c>
      <c r="D322" s="5"/>
      <c r="E322" s="169" t="str">
        <f>+IF(FINANCIACION[[#This Row],[$ CAPITAL]]&gt;=0,FINANCIACION[[#This Row],[$ CAPITAL]]+FINANCIACION[[#This Row],[$ INTERESES]],"")</f>
        <v/>
      </c>
      <c r="F322" s="169">
        <f>+SUMIFS(FINANCIACION[$ CAPITAL],FINANCIACION[Fecha],"&lt;="&amp;FINANCIACION[[#This Row],[Fecha]],FINANCIACION[PRESTAMO],FINANCIACION[[#This Row],[PRESTAMO]])</f>
        <v>-94501512.170000017</v>
      </c>
      <c r="G322" s="56"/>
      <c r="H322" s="8"/>
      <c r="I322" s="5" t="b">
        <f>IF(FINANCIACION[[#This Row],[$ CAPITAL]]&gt;0,FINANCIACION[[#This Row],[$ CAPITAL]])</f>
        <v>0</v>
      </c>
      <c r="J322" s="36">
        <f>IF(FINANCIACION[[#This Row],[$ CAPITAL]]&gt;=0,FINANCIACION[[#This Row],[$ CAPITAL]]+FINANCIACION[[#This Row],[$ INTERESES]],0)</f>
        <v>0</v>
      </c>
    </row>
    <row r="323" spans="1:10" ht="24" hidden="1" customHeight="1" x14ac:dyDescent="0.25">
      <c r="A323" s="7">
        <v>44074</v>
      </c>
      <c r="B323" s="53" t="s">
        <v>1218</v>
      </c>
      <c r="C323" s="5">
        <v>-7043807</v>
      </c>
      <c r="D323" s="5"/>
      <c r="E323" s="169" t="str">
        <f>+IF(FINANCIACION[[#This Row],[$ CAPITAL]]&gt;=0,FINANCIACION[[#This Row],[$ CAPITAL]]+FINANCIACION[[#This Row],[$ INTERESES]],"")</f>
        <v/>
      </c>
      <c r="F323" s="169">
        <f>+SUMIFS(FINANCIACION[$ CAPITAL],FINANCIACION[Fecha],"&lt;="&amp;FINANCIACION[[#This Row],[Fecha]],FINANCIACION[PRESTAMO],FINANCIACION[[#This Row],[PRESTAMO]])</f>
        <v>-94501512.170000017</v>
      </c>
      <c r="G323" s="56"/>
      <c r="H323" s="8"/>
      <c r="I323" s="5" t="b">
        <f>IF(FINANCIACION[[#This Row],[$ CAPITAL]]&gt;0,FINANCIACION[[#This Row],[$ CAPITAL]])</f>
        <v>0</v>
      </c>
      <c r="J323" s="36">
        <f>IF(FINANCIACION[[#This Row],[$ CAPITAL]]&gt;=0,FINANCIACION[[#This Row],[$ CAPITAL]]+FINANCIACION[[#This Row],[$ INTERESES]],0)</f>
        <v>0</v>
      </c>
    </row>
    <row r="324" spans="1:10" ht="24" hidden="1" customHeight="1" x14ac:dyDescent="0.25">
      <c r="A324" s="7">
        <v>44074</v>
      </c>
      <c r="B324" s="53" t="s">
        <v>1221</v>
      </c>
      <c r="C324" s="5">
        <v>-511971.21999999898</v>
      </c>
      <c r="D324" s="5"/>
      <c r="E324" s="169" t="str">
        <f>+IF(FINANCIACION[[#This Row],[$ CAPITAL]]&gt;=0,FINANCIACION[[#This Row],[$ CAPITAL]]+FINANCIACION[[#This Row],[$ INTERESES]],"")</f>
        <v/>
      </c>
      <c r="F324" s="169">
        <f>+SUMIFS(FINANCIACION[$ CAPITAL],FINANCIACION[Fecha],"&lt;="&amp;FINANCIACION[[#This Row],[Fecha]],FINANCIACION[PRESTAMO],FINANCIACION[[#This Row],[PRESTAMO]])</f>
        <v>-66447584.149999999</v>
      </c>
      <c r="G324" s="56"/>
      <c r="H324" s="8"/>
      <c r="I324" s="5" t="b">
        <f>IF(FINANCIACION[[#This Row],[$ CAPITAL]]&gt;0,FINANCIACION[[#This Row],[$ CAPITAL]])</f>
        <v>0</v>
      </c>
      <c r="J324" s="36">
        <f>IF(FINANCIACION[[#This Row],[$ CAPITAL]]&gt;=0,FINANCIACION[[#This Row],[$ CAPITAL]]+FINANCIACION[[#This Row],[$ INTERESES]],0)</f>
        <v>0</v>
      </c>
    </row>
    <row r="325" spans="1:10" ht="24" hidden="1" customHeight="1" x14ac:dyDescent="0.25">
      <c r="A325" s="7">
        <v>44074</v>
      </c>
      <c r="B325" s="53" t="s">
        <v>1222</v>
      </c>
      <c r="C325" s="5">
        <v>-818880.33999998902</v>
      </c>
      <c r="D325" s="5"/>
      <c r="E325" s="169" t="str">
        <f>+IF(FINANCIACION[[#This Row],[$ CAPITAL]]&gt;=0,FINANCIACION[[#This Row],[$ CAPITAL]]+FINANCIACION[[#This Row],[$ INTERESES]],"")</f>
        <v/>
      </c>
      <c r="F325" s="169">
        <f>+SUMIFS(FINANCIACION[$ CAPITAL],FINANCIACION[Fecha],"&lt;="&amp;FINANCIACION[[#This Row],[Fecha]],FINANCIACION[PRESTAMO],FINANCIACION[[#This Row],[PRESTAMO]])</f>
        <v>-96853803.769999996</v>
      </c>
      <c r="G325" s="56"/>
      <c r="H325" s="8"/>
      <c r="I325" s="5" t="b">
        <f>IF(FINANCIACION[[#This Row],[$ CAPITAL]]&gt;0,FINANCIACION[[#This Row],[$ CAPITAL]])</f>
        <v>0</v>
      </c>
      <c r="J325" s="36">
        <f>IF(FINANCIACION[[#This Row],[$ CAPITAL]]&gt;=0,FINANCIACION[[#This Row],[$ CAPITAL]]+FINANCIACION[[#This Row],[$ INTERESES]],0)</f>
        <v>0</v>
      </c>
    </row>
    <row r="326" spans="1:10" ht="24" hidden="1" customHeight="1" x14ac:dyDescent="0.25">
      <c r="A326" s="7">
        <v>44074</v>
      </c>
      <c r="B326" s="53" t="s">
        <v>1223</v>
      </c>
      <c r="C326" s="5">
        <v>-172466.73</v>
      </c>
      <c r="D326" s="5"/>
      <c r="E326" s="169" t="str">
        <f>+IF(FINANCIACION[[#This Row],[$ CAPITAL]]&gt;=0,FINANCIACION[[#This Row],[$ CAPITAL]]+FINANCIACION[[#This Row],[$ INTERESES]],"")</f>
        <v/>
      </c>
      <c r="F326" s="169">
        <f>+SUMIFS(FINANCIACION[$ CAPITAL],FINANCIACION[Fecha],"&lt;="&amp;FINANCIACION[[#This Row],[Fecha]],FINANCIACION[PRESTAMO],FINANCIACION[[#This Row],[PRESTAMO]])</f>
        <v>-25905743.73</v>
      </c>
      <c r="G326" s="56"/>
      <c r="H326" s="8"/>
      <c r="I326" s="5" t="b">
        <f>IF(FINANCIACION[[#This Row],[$ CAPITAL]]&gt;0,FINANCIACION[[#This Row],[$ CAPITAL]])</f>
        <v>0</v>
      </c>
      <c r="J326" s="36">
        <f>IF(FINANCIACION[[#This Row],[$ CAPITAL]]&gt;=0,FINANCIACION[[#This Row],[$ CAPITAL]]+FINANCIACION[[#This Row],[$ INTERESES]],0)</f>
        <v>0</v>
      </c>
    </row>
    <row r="327" spans="1:10" ht="24" hidden="1" customHeight="1" x14ac:dyDescent="0.25">
      <c r="A327" s="7">
        <v>44075</v>
      </c>
      <c r="B327" s="53" t="s">
        <v>1218</v>
      </c>
      <c r="C327" s="5">
        <v>8239202</v>
      </c>
      <c r="D327" s="5"/>
      <c r="E327" s="169">
        <f>+IF(FINANCIACION[[#This Row],[$ CAPITAL]]&gt;=0,FINANCIACION[[#This Row],[$ CAPITAL]]+FINANCIACION[[#This Row],[$ INTERESES]],"")</f>
        <v>8239202</v>
      </c>
      <c r="F327" s="169">
        <f>+SUMIFS(FINANCIACION[$ CAPITAL],FINANCIACION[Fecha],"&lt;="&amp;FINANCIACION[[#This Row],[Fecha]],FINANCIACION[PRESTAMO],FINANCIACION[[#This Row],[PRESTAMO]])</f>
        <v>-86262310.170000017</v>
      </c>
      <c r="G327" s="56"/>
      <c r="H327" s="8"/>
      <c r="I327" s="5">
        <f>IF(FINANCIACION[[#This Row],[$ CAPITAL]]&gt;0,FINANCIACION[[#This Row],[$ CAPITAL]])</f>
        <v>8239202</v>
      </c>
      <c r="J327" s="36">
        <f>IF(FINANCIACION[[#This Row],[$ CAPITAL]]&gt;=0,FINANCIACION[[#This Row],[$ CAPITAL]]+FINANCIACION[[#This Row],[$ INTERESES]],0)</f>
        <v>8239202</v>
      </c>
    </row>
    <row r="328" spans="1:10" ht="24" hidden="1" customHeight="1" x14ac:dyDescent="0.25">
      <c r="A328" s="7">
        <v>44075</v>
      </c>
      <c r="B328" s="53" t="s">
        <v>1225</v>
      </c>
      <c r="C328" s="5">
        <v>-26952781</v>
      </c>
      <c r="D328" s="5">
        <v>1152781</v>
      </c>
      <c r="E328" s="169" t="str">
        <f>+IF(FINANCIACION[[#This Row],[$ CAPITAL]]&gt;=0,FINANCIACION[[#This Row],[$ CAPITAL]]+FINANCIACION[[#This Row],[$ INTERESES]],"")</f>
        <v/>
      </c>
      <c r="F328" s="169">
        <f>+SUMIFS(FINANCIACION[$ CAPITAL],FINANCIACION[Fecha],"&lt;="&amp;FINANCIACION[[#This Row],[Fecha]],FINANCIACION[PRESTAMO],FINANCIACION[[#This Row],[PRESTAMO]])</f>
        <v>-26952781</v>
      </c>
      <c r="G328" s="56"/>
      <c r="H328" s="8"/>
      <c r="I328" s="5" t="b">
        <f>IF(FINANCIACION[[#This Row],[$ CAPITAL]]&gt;0,FINANCIACION[[#This Row],[$ CAPITAL]])</f>
        <v>0</v>
      </c>
      <c r="J328" s="36">
        <f>IF(FINANCIACION[[#This Row],[$ CAPITAL]]&gt;=0,FINANCIACION[[#This Row],[$ CAPITAL]]+FINANCIACION[[#This Row],[$ INTERESES]],0)</f>
        <v>0</v>
      </c>
    </row>
    <row r="329" spans="1:10" ht="24" hidden="1" customHeight="1" x14ac:dyDescent="0.25">
      <c r="A329" s="7">
        <v>44076</v>
      </c>
      <c r="B329" s="53" t="s">
        <v>1218</v>
      </c>
      <c r="C329" s="5">
        <v>4200000</v>
      </c>
      <c r="D329" s="5"/>
      <c r="E329" s="169">
        <f>+IF(FINANCIACION[[#This Row],[$ CAPITAL]]&gt;=0,FINANCIACION[[#This Row],[$ CAPITAL]]+FINANCIACION[[#This Row],[$ INTERESES]],"")</f>
        <v>4200000</v>
      </c>
      <c r="F329" s="169">
        <f>+SUMIFS(FINANCIACION[$ CAPITAL],FINANCIACION[Fecha],"&lt;="&amp;FINANCIACION[[#This Row],[Fecha]],FINANCIACION[PRESTAMO],FINANCIACION[[#This Row],[PRESTAMO]])</f>
        <v>-75852342.170000017</v>
      </c>
      <c r="G329" s="56"/>
      <c r="H329" s="8"/>
      <c r="I329" s="5">
        <f>IF(FINANCIACION[[#This Row],[$ CAPITAL]]&gt;0,FINANCIACION[[#This Row],[$ CAPITAL]])</f>
        <v>4200000</v>
      </c>
      <c r="J329" s="36">
        <f>IF(FINANCIACION[[#This Row],[$ CAPITAL]]&gt;=0,FINANCIACION[[#This Row],[$ CAPITAL]]+FINANCIACION[[#This Row],[$ INTERESES]],0)</f>
        <v>4200000</v>
      </c>
    </row>
    <row r="330" spans="1:10" ht="24" hidden="1" customHeight="1" x14ac:dyDescent="0.25">
      <c r="A330" s="7">
        <v>44076</v>
      </c>
      <c r="B330" s="53" t="s">
        <v>1218</v>
      </c>
      <c r="C330" s="5">
        <v>2209968</v>
      </c>
      <c r="D330" s="5"/>
      <c r="E330" s="169">
        <f>+IF(FINANCIACION[[#This Row],[$ CAPITAL]]&gt;=0,FINANCIACION[[#This Row],[$ CAPITAL]]+FINANCIACION[[#This Row],[$ INTERESES]],"")</f>
        <v>2209968</v>
      </c>
      <c r="F330" s="169">
        <f>+SUMIFS(FINANCIACION[$ CAPITAL],FINANCIACION[Fecha],"&lt;="&amp;FINANCIACION[[#This Row],[Fecha]],FINANCIACION[PRESTAMO],FINANCIACION[[#This Row],[PRESTAMO]])</f>
        <v>-75852342.170000017</v>
      </c>
      <c r="G330" s="8"/>
      <c r="H330" s="8"/>
      <c r="I330" s="5">
        <f>IF(FINANCIACION[[#This Row],[$ CAPITAL]]&gt;0,FINANCIACION[[#This Row],[$ CAPITAL]])</f>
        <v>2209968</v>
      </c>
      <c r="J330" s="36">
        <f>IF(FINANCIACION[[#This Row],[$ CAPITAL]]&gt;=0,FINANCIACION[[#This Row],[$ CAPITAL]]+FINANCIACION[[#This Row],[$ INTERESES]],0)</f>
        <v>2209968</v>
      </c>
    </row>
    <row r="331" spans="1:10" ht="24" hidden="1" customHeight="1" x14ac:dyDescent="0.25">
      <c r="A331" s="7">
        <v>44076</v>
      </c>
      <c r="B331" s="53" t="s">
        <v>1218</v>
      </c>
      <c r="C331" s="5">
        <v>2000000</v>
      </c>
      <c r="D331" s="5"/>
      <c r="E331" s="169">
        <f>+IF(FINANCIACION[[#This Row],[$ CAPITAL]]&gt;=0,FINANCIACION[[#This Row],[$ CAPITAL]]+FINANCIACION[[#This Row],[$ INTERESES]],"")</f>
        <v>2000000</v>
      </c>
      <c r="F331" s="169">
        <f>+SUMIFS(FINANCIACION[$ CAPITAL],FINANCIACION[Fecha],"&lt;="&amp;FINANCIACION[[#This Row],[Fecha]],FINANCIACION[PRESTAMO],FINANCIACION[[#This Row],[PRESTAMO]])</f>
        <v>-75852342.170000017</v>
      </c>
      <c r="G331" s="8"/>
      <c r="H331" s="8"/>
      <c r="I331" s="5">
        <f>IF(FINANCIACION[[#This Row],[$ CAPITAL]]&gt;0,FINANCIACION[[#This Row],[$ CAPITAL]])</f>
        <v>2000000</v>
      </c>
      <c r="J331" s="36">
        <f>IF(FINANCIACION[[#This Row],[$ CAPITAL]]&gt;=0,FINANCIACION[[#This Row],[$ CAPITAL]]+FINANCIACION[[#This Row],[$ INTERESES]],0)</f>
        <v>2000000</v>
      </c>
    </row>
    <row r="332" spans="1:10" ht="24" hidden="1" customHeight="1" x14ac:dyDescent="0.25">
      <c r="A332" s="7">
        <v>44076</v>
      </c>
      <c r="B332" s="53" t="s">
        <v>1218</v>
      </c>
      <c r="C332" s="5">
        <v>2000000</v>
      </c>
      <c r="D332" s="5"/>
      <c r="E332" s="169">
        <f>+IF(FINANCIACION[[#This Row],[$ CAPITAL]]&gt;=0,FINANCIACION[[#This Row],[$ CAPITAL]]+FINANCIACION[[#This Row],[$ INTERESES]],"")</f>
        <v>2000000</v>
      </c>
      <c r="F332" s="169">
        <f>+SUMIFS(FINANCIACION[$ CAPITAL],FINANCIACION[Fecha],"&lt;="&amp;FINANCIACION[[#This Row],[Fecha]],FINANCIACION[PRESTAMO],FINANCIACION[[#This Row],[PRESTAMO]])</f>
        <v>-75852342.170000017</v>
      </c>
      <c r="G332" s="8"/>
      <c r="H332" s="8"/>
      <c r="I332" s="5">
        <f>IF(FINANCIACION[[#This Row],[$ CAPITAL]]&gt;0,FINANCIACION[[#This Row],[$ CAPITAL]])</f>
        <v>2000000</v>
      </c>
      <c r="J332" s="36">
        <f>IF(FINANCIACION[[#This Row],[$ CAPITAL]]&gt;=0,FINANCIACION[[#This Row],[$ CAPITAL]]+FINANCIACION[[#This Row],[$ INTERESES]],0)</f>
        <v>2000000</v>
      </c>
    </row>
    <row r="333" spans="1:10" ht="24" hidden="1" customHeight="1" x14ac:dyDescent="0.25">
      <c r="A333" s="7">
        <v>44078</v>
      </c>
      <c r="B333" s="53" t="s">
        <v>1219</v>
      </c>
      <c r="C333" s="5"/>
      <c r="D333" s="5">
        <v>150000</v>
      </c>
      <c r="E333" s="169">
        <f>+IF(FINANCIACION[[#This Row],[$ CAPITAL]]&gt;=0,FINANCIACION[[#This Row],[$ CAPITAL]]+FINANCIACION[[#This Row],[$ INTERESES]],"")</f>
        <v>150000</v>
      </c>
      <c r="F333" s="169">
        <f>+SUMIFS(FINANCIACION[$ CAPITAL],FINANCIACION[Fecha],"&lt;="&amp;FINANCIACION[[#This Row],[Fecha]],FINANCIACION[PRESTAMO],FINANCIACION[[#This Row],[PRESTAMO]])</f>
        <v>-15000000</v>
      </c>
      <c r="G333" s="8"/>
      <c r="H333" s="8"/>
      <c r="I333" s="5" t="b">
        <f>IF(FINANCIACION[[#This Row],[$ CAPITAL]]&gt;0,FINANCIACION[[#This Row],[$ CAPITAL]])</f>
        <v>0</v>
      </c>
      <c r="J333" s="36">
        <f>IF(FINANCIACION[[#This Row],[$ CAPITAL]]&gt;=0,FINANCIACION[[#This Row],[$ CAPITAL]]+FINANCIACION[[#This Row],[$ INTERESES]],0)</f>
        <v>150000</v>
      </c>
    </row>
    <row r="334" spans="1:10" ht="24" hidden="1" customHeight="1" x14ac:dyDescent="0.25">
      <c r="A334" s="7">
        <v>44078</v>
      </c>
      <c r="B334" s="53" t="s">
        <v>1216</v>
      </c>
      <c r="C334" s="5">
        <v>334200</v>
      </c>
      <c r="D334" s="5">
        <v>665800</v>
      </c>
      <c r="E334" s="169">
        <f>+IF(FINANCIACION[[#This Row],[$ CAPITAL]]&gt;=0,FINANCIACION[[#This Row],[$ CAPITAL]]+FINANCIACION[[#This Row],[$ INTERESES]],"")</f>
        <v>1000000</v>
      </c>
      <c r="F334" s="169">
        <f>+SUMIFS(FINANCIACION[$ CAPITAL],FINANCIACION[Fecha],"&lt;="&amp;FINANCIACION[[#This Row],[Fecha]],FINANCIACION[PRESTAMO],FINANCIACION[[#This Row],[PRESTAMO]])</f>
        <v>-66244860</v>
      </c>
      <c r="G334" s="8"/>
      <c r="H334" s="8"/>
      <c r="I334" s="5">
        <f>IF(FINANCIACION[[#This Row],[$ CAPITAL]]&gt;0,FINANCIACION[[#This Row],[$ CAPITAL]])</f>
        <v>334200</v>
      </c>
      <c r="J334" s="36">
        <f>IF(FINANCIACION[[#This Row],[$ CAPITAL]]&gt;=0,FINANCIACION[[#This Row],[$ CAPITAL]]+FINANCIACION[[#This Row],[$ INTERESES]],0)</f>
        <v>1000000</v>
      </c>
    </row>
    <row r="335" spans="1:10" ht="24" hidden="1" customHeight="1" x14ac:dyDescent="0.25">
      <c r="A335" s="7">
        <v>44078</v>
      </c>
      <c r="B335" s="53" t="s">
        <v>197</v>
      </c>
      <c r="C335" s="5">
        <v>6326000</v>
      </c>
      <c r="D335" s="5">
        <v>907029</v>
      </c>
      <c r="E335" s="169">
        <f>+IF(FINANCIACION[[#This Row],[$ CAPITAL]]&gt;=0,FINANCIACION[[#This Row],[$ CAPITAL]]+FINANCIACION[[#This Row],[$ INTERESES]],"")</f>
        <v>7233029</v>
      </c>
      <c r="F335" s="169">
        <f>+SUMIFS(FINANCIACION[$ CAPITAL],FINANCIACION[Fecha],"&lt;="&amp;FINANCIACION[[#This Row],[Fecha]],FINANCIACION[PRESTAMO],FINANCIACION[[#This Row],[PRESTAMO]])</f>
        <v>-110973126</v>
      </c>
      <c r="G335" s="8"/>
      <c r="H335" s="8"/>
      <c r="I335" s="5">
        <f>IF(FINANCIACION[[#This Row],[$ CAPITAL]]&gt;0,FINANCIACION[[#This Row],[$ CAPITAL]])</f>
        <v>6326000</v>
      </c>
      <c r="J335" s="36">
        <f>IF(FINANCIACION[[#This Row],[$ CAPITAL]]&gt;=0,FINANCIACION[[#This Row],[$ CAPITAL]]+FINANCIACION[[#This Row],[$ INTERESES]],0)</f>
        <v>7233029</v>
      </c>
    </row>
    <row r="336" spans="1:10" ht="24" hidden="1" customHeight="1" x14ac:dyDescent="0.25">
      <c r="A336" s="7">
        <v>44078</v>
      </c>
      <c r="B336" s="53" t="s">
        <v>1218</v>
      </c>
      <c r="C336" s="5">
        <v>1826615</v>
      </c>
      <c r="D336" s="5"/>
      <c r="E336" s="169">
        <f>+IF(FINANCIACION[[#This Row],[$ CAPITAL]]&gt;=0,FINANCIACION[[#This Row],[$ CAPITAL]]+FINANCIACION[[#This Row],[$ INTERESES]],"")</f>
        <v>1826615</v>
      </c>
      <c r="F336" s="169">
        <f>+SUMIFS(FINANCIACION[$ CAPITAL],FINANCIACION[Fecha],"&lt;="&amp;FINANCIACION[[#This Row],[Fecha]],FINANCIACION[PRESTAMO],FINANCIACION[[#This Row],[PRESTAMO]])</f>
        <v>-73525727.170000017</v>
      </c>
      <c r="G336" s="8"/>
      <c r="H336" s="8"/>
      <c r="I336" s="5">
        <f>IF(FINANCIACION[[#This Row],[$ CAPITAL]]&gt;0,FINANCIACION[[#This Row],[$ CAPITAL]])</f>
        <v>1826615</v>
      </c>
      <c r="J336" s="36">
        <f>IF(FINANCIACION[[#This Row],[$ CAPITAL]]&gt;=0,FINANCIACION[[#This Row],[$ CAPITAL]]+FINANCIACION[[#This Row],[$ INTERESES]],0)</f>
        <v>1826615</v>
      </c>
    </row>
    <row r="337" spans="1:10" ht="24" hidden="1" customHeight="1" x14ac:dyDescent="0.25">
      <c r="A337" s="7">
        <v>44078</v>
      </c>
      <c r="B337" s="53" t="s">
        <v>1218</v>
      </c>
      <c r="C337" s="5">
        <v>500000</v>
      </c>
      <c r="D337" s="5"/>
      <c r="E337" s="169">
        <f>+IF(FINANCIACION[[#This Row],[$ CAPITAL]]&gt;=0,FINANCIACION[[#This Row],[$ CAPITAL]]+FINANCIACION[[#This Row],[$ INTERESES]],"")</f>
        <v>500000</v>
      </c>
      <c r="F337" s="169">
        <f>+SUMIFS(FINANCIACION[$ CAPITAL],FINANCIACION[Fecha],"&lt;="&amp;FINANCIACION[[#This Row],[Fecha]],FINANCIACION[PRESTAMO],FINANCIACION[[#This Row],[PRESTAMO]])</f>
        <v>-73525727.170000017</v>
      </c>
      <c r="G337" s="8"/>
      <c r="H337" s="8"/>
      <c r="I337" s="5">
        <f>IF(FINANCIACION[[#This Row],[$ CAPITAL]]&gt;0,FINANCIACION[[#This Row],[$ CAPITAL]])</f>
        <v>500000</v>
      </c>
      <c r="J337" s="36">
        <f>IF(FINANCIACION[[#This Row],[$ CAPITAL]]&gt;=0,FINANCIACION[[#This Row],[$ CAPITAL]]+FINANCIACION[[#This Row],[$ INTERESES]],0)</f>
        <v>500000</v>
      </c>
    </row>
    <row r="338" spans="1:10" ht="24" hidden="1" customHeight="1" x14ac:dyDescent="0.25">
      <c r="A338" s="7">
        <v>44081</v>
      </c>
      <c r="B338" s="53" t="s">
        <v>193</v>
      </c>
      <c r="C338" s="5"/>
      <c r="D338" s="5">
        <v>31575</v>
      </c>
      <c r="E338" s="169">
        <f>+IF(FINANCIACION[[#This Row],[$ CAPITAL]]&gt;=0,FINANCIACION[[#This Row],[$ CAPITAL]]+FINANCIACION[[#This Row],[$ INTERESES]],"")</f>
        <v>31575</v>
      </c>
      <c r="F338" s="169">
        <f>+SUMIFS(FINANCIACION[$ CAPITAL],FINANCIACION[Fecha],"&lt;="&amp;FINANCIACION[[#This Row],[Fecha]],FINANCIACION[PRESTAMO],FINANCIACION[[#This Row],[PRESTAMO]])</f>
        <v>-16250000</v>
      </c>
      <c r="G338" s="8"/>
      <c r="H338" s="8"/>
      <c r="I338" s="5" t="b">
        <f>IF(FINANCIACION[[#This Row],[$ CAPITAL]]&gt;0,FINANCIACION[[#This Row],[$ CAPITAL]])</f>
        <v>0</v>
      </c>
      <c r="J338" s="36">
        <f>IF(FINANCIACION[[#This Row],[$ CAPITAL]]&gt;=0,FINANCIACION[[#This Row],[$ CAPITAL]]+FINANCIACION[[#This Row],[$ INTERESES]],0)</f>
        <v>31575</v>
      </c>
    </row>
    <row r="339" spans="1:10" ht="24" hidden="1" customHeight="1" x14ac:dyDescent="0.25">
      <c r="A339" s="7">
        <v>44081</v>
      </c>
      <c r="B339" s="53" t="s">
        <v>194</v>
      </c>
      <c r="C339" s="5"/>
      <c r="D339" s="5">
        <v>64575</v>
      </c>
      <c r="E339" s="169">
        <f>+IF(FINANCIACION[[#This Row],[$ CAPITAL]]&gt;=0,FINANCIACION[[#This Row],[$ CAPITAL]]+FINANCIACION[[#This Row],[$ INTERESES]],"")</f>
        <v>64575</v>
      </c>
      <c r="F339" s="169">
        <f>+SUMIFS(FINANCIACION[$ CAPITAL],FINANCIACION[Fecha],"&lt;="&amp;FINANCIACION[[#This Row],[Fecha]],FINANCIACION[PRESTAMO],FINANCIACION[[#This Row],[PRESTAMO]])</f>
        <v>-38080833</v>
      </c>
      <c r="G339" s="8"/>
      <c r="H339" s="8"/>
      <c r="I339" s="5" t="b">
        <f>IF(FINANCIACION[[#This Row],[$ CAPITAL]]&gt;0,FINANCIACION[[#This Row],[$ CAPITAL]])</f>
        <v>0</v>
      </c>
      <c r="J339" s="36">
        <f>IF(FINANCIACION[[#This Row],[$ CAPITAL]]&gt;=0,FINANCIACION[[#This Row],[$ CAPITAL]]+FINANCIACION[[#This Row],[$ INTERESES]],0)</f>
        <v>64575</v>
      </c>
    </row>
    <row r="340" spans="1:10" ht="24" hidden="1" customHeight="1" x14ac:dyDescent="0.25">
      <c r="A340" s="7">
        <v>44081</v>
      </c>
      <c r="B340" s="53" t="s">
        <v>1218</v>
      </c>
      <c r="C340" s="5">
        <v>761488</v>
      </c>
      <c r="D340" s="5"/>
      <c r="E340" s="169">
        <f>+IF(FINANCIACION[[#This Row],[$ CAPITAL]]&gt;=0,FINANCIACION[[#This Row],[$ CAPITAL]]+FINANCIACION[[#This Row],[$ INTERESES]],"")</f>
        <v>761488</v>
      </c>
      <c r="F340" s="169">
        <f>+SUMIFS(FINANCIACION[$ CAPITAL],FINANCIACION[Fecha],"&lt;="&amp;FINANCIACION[[#This Row],[Fecha]],FINANCIACION[PRESTAMO],FINANCIACION[[#This Row],[PRESTAMO]])</f>
        <v>-68062239.170000017</v>
      </c>
      <c r="G340" s="8"/>
      <c r="H340" s="8"/>
      <c r="I340" s="5">
        <f>IF(FINANCIACION[[#This Row],[$ CAPITAL]]&gt;0,FINANCIACION[[#This Row],[$ CAPITAL]])</f>
        <v>761488</v>
      </c>
      <c r="J340" s="36">
        <f>IF(FINANCIACION[[#This Row],[$ CAPITAL]]&gt;=0,FINANCIACION[[#This Row],[$ CAPITAL]]+FINANCIACION[[#This Row],[$ INTERESES]],0)</f>
        <v>761488</v>
      </c>
    </row>
    <row r="341" spans="1:10" ht="24" hidden="1" customHeight="1" x14ac:dyDescent="0.25">
      <c r="A341" s="7">
        <v>44081</v>
      </c>
      <c r="B341" s="53" t="s">
        <v>1218</v>
      </c>
      <c r="C341" s="5">
        <v>3702000</v>
      </c>
      <c r="D341" s="5"/>
      <c r="E341" s="169">
        <f>+IF(FINANCIACION[[#This Row],[$ CAPITAL]]&gt;=0,FINANCIACION[[#This Row],[$ CAPITAL]]+FINANCIACION[[#This Row],[$ INTERESES]],"")</f>
        <v>3702000</v>
      </c>
      <c r="F341" s="169">
        <f>+SUMIFS(FINANCIACION[$ CAPITAL],FINANCIACION[Fecha],"&lt;="&amp;FINANCIACION[[#This Row],[Fecha]],FINANCIACION[PRESTAMO],FINANCIACION[[#This Row],[PRESTAMO]])</f>
        <v>-68062239.170000017</v>
      </c>
      <c r="G341" s="8"/>
      <c r="H341" s="8"/>
      <c r="I341" s="5">
        <f>IF(FINANCIACION[[#This Row],[$ CAPITAL]]&gt;0,FINANCIACION[[#This Row],[$ CAPITAL]])</f>
        <v>3702000</v>
      </c>
      <c r="J341" s="36">
        <f>IF(FINANCIACION[[#This Row],[$ CAPITAL]]&gt;=0,FINANCIACION[[#This Row],[$ CAPITAL]]+FINANCIACION[[#This Row],[$ INTERESES]],0)</f>
        <v>3702000</v>
      </c>
    </row>
    <row r="342" spans="1:10" ht="24" hidden="1" customHeight="1" x14ac:dyDescent="0.25">
      <c r="A342" s="7">
        <v>44081</v>
      </c>
      <c r="B342" s="53" t="s">
        <v>1218</v>
      </c>
      <c r="C342" s="5">
        <v>1000000</v>
      </c>
      <c r="D342" s="5"/>
      <c r="E342" s="169">
        <f>+IF(FINANCIACION[[#This Row],[$ CAPITAL]]&gt;=0,FINANCIACION[[#This Row],[$ CAPITAL]]+FINANCIACION[[#This Row],[$ INTERESES]],"")</f>
        <v>1000000</v>
      </c>
      <c r="F342" s="169">
        <f>+SUMIFS(FINANCIACION[$ CAPITAL],FINANCIACION[Fecha],"&lt;="&amp;FINANCIACION[[#This Row],[Fecha]],FINANCIACION[PRESTAMO],FINANCIACION[[#This Row],[PRESTAMO]])</f>
        <v>-68062239.170000017</v>
      </c>
      <c r="G342" s="8"/>
      <c r="H342" s="8"/>
      <c r="I342" s="5">
        <f>IF(FINANCIACION[[#This Row],[$ CAPITAL]]&gt;0,FINANCIACION[[#This Row],[$ CAPITAL]])</f>
        <v>1000000</v>
      </c>
      <c r="J342" s="36">
        <f>IF(FINANCIACION[[#This Row],[$ CAPITAL]]&gt;=0,FINANCIACION[[#This Row],[$ CAPITAL]]+FINANCIACION[[#This Row],[$ INTERESES]],0)</f>
        <v>1000000</v>
      </c>
    </row>
    <row r="343" spans="1:10" ht="24" hidden="1" customHeight="1" x14ac:dyDescent="0.25">
      <c r="A343" s="7">
        <v>44083</v>
      </c>
      <c r="B343" s="53" t="s">
        <v>1215</v>
      </c>
      <c r="C343" s="5"/>
      <c r="D343" s="5">
        <v>950000</v>
      </c>
      <c r="E343" s="169">
        <f>+IF(FINANCIACION[[#This Row],[$ CAPITAL]]&gt;=0,FINANCIACION[[#This Row],[$ CAPITAL]]+FINANCIACION[[#This Row],[$ INTERESES]],"")</f>
        <v>950000</v>
      </c>
      <c r="F343" s="169">
        <f>+SUMIFS(FINANCIACION[$ CAPITAL],FINANCIACION[Fecha],"&lt;="&amp;FINANCIACION[[#This Row],[Fecha]],FINANCIACION[PRESTAMO],FINANCIACION[[#This Row],[PRESTAMO]])</f>
        <v>-94935167</v>
      </c>
      <c r="G343" s="8"/>
      <c r="H343" s="8"/>
      <c r="I343" s="5" t="b">
        <f>IF(FINANCIACION[[#This Row],[$ CAPITAL]]&gt;0,FINANCIACION[[#This Row],[$ CAPITAL]])</f>
        <v>0</v>
      </c>
      <c r="J343" s="36">
        <f>IF(FINANCIACION[[#This Row],[$ CAPITAL]]&gt;=0,FINANCIACION[[#This Row],[$ CAPITAL]]+FINANCIACION[[#This Row],[$ INTERESES]],0)</f>
        <v>950000</v>
      </c>
    </row>
    <row r="344" spans="1:10" ht="24" hidden="1" customHeight="1" x14ac:dyDescent="0.25">
      <c r="A344" s="7">
        <v>44088</v>
      </c>
      <c r="B344" s="53" t="s">
        <v>1218</v>
      </c>
      <c r="C344" s="5">
        <v>2039950</v>
      </c>
      <c r="D344" s="5"/>
      <c r="E344" s="169">
        <f>+IF(FINANCIACION[[#This Row],[$ CAPITAL]]&gt;=0,FINANCIACION[[#This Row],[$ CAPITAL]]+FINANCIACION[[#This Row],[$ INTERESES]],"")</f>
        <v>2039950</v>
      </c>
      <c r="F344" s="169">
        <f>+SUMIFS(FINANCIACION[$ CAPITAL],FINANCIACION[Fecha],"&lt;="&amp;FINANCIACION[[#This Row],[Fecha]],FINANCIACION[PRESTAMO],FINANCIACION[[#This Row],[PRESTAMO]])</f>
        <v>-66022289.170000017</v>
      </c>
      <c r="G344" s="8"/>
      <c r="H344" s="8"/>
      <c r="I344" s="5">
        <f>IF(FINANCIACION[[#This Row],[$ CAPITAL]]&gt;0,FINANCIACION[[#This Row],[$ CAPITAL]])</f>
        <v>2039950</v>
      </c>
      <c r="J344" s="36">
        <f>IF(FINANCIACION[[#This Row],[$ CAPITAL]]&gt;=0,FINANCIACION[[#This Row],[$ CAPITAL]]+FINANCIACION[[#This Row],[$ INTERESES]],0)</f>
        <v>2039950</v>
      </c>
    </row>
    <row r="345" spans="1:10" ht="24" hidden="1" customHeight="1" x14ac:dyDescent="0.25">
      <c r="A345" s="7">
        <v>44092</v>
      </c>
      <c r="B345" s="53" t="s">
        <v>1217</v>
      </c>
      <c r="C345" s="5">
        <v>3000000</v>
      </c>
      <c r="D345" s="5"/>
      <c r="E345" s="169">
        <f>+IF(FINANCIACION[[#This Row],[$ CAPITAL]]&gt;=0,FINANCIACION[[#This Row],[$ CAPITAL]]+FINANCIACION[[#This Row],[$ INTERESES]],"")</f>
        <v>3000000</v>
      </c>
      <c r="F345" s="169">
        <f>+SUMIFS(FINANCIACION[$ CAPITAL],FINANCIACION[Fecha],"&lt;="&amp;FINANCIACION[[#This Row],[Fecha]],FINANCIACION[PRESTAMO],FINANCIACION[[#This Row],[PRESTAMO]])</f>
        <v>-377443064</v>
      </c>
      <c r="G345" s="8"/>
      <c r="H345" s="8"/>
      <c r="I345" s="5">
        <f>IF(FINANCIACION[[#This Row],[$ CAPITAL]]&gt;0,FINANCIACION[[#This Row],[$ CAPITAL]])</f>
        <v>3000000</v>
      </c>
      <c r="J345" s="36">
        <f>IF(FINANCIACION[[#This Row],[$ CAPITAL]]&gt;=0,FINANCIACION[[#This Row],[$ CAPITAL]]+FINANCIACION[[#This Row],[$ INTERESES]],0)</f>
        <v>3000000</v>
      </c>
    </row>
    <row r="346" spans="1:10" ht="24" hidden="1" customHeight="1" x14ac:dyDescent="0.25">
      <c r="A346" s="7">
        <v>44095</v>
      </c>
      <c r="B346" s="53" t="s">
        <v>1218</v>
      </c>
      <c r="C346" s="5"/>
      <c r="D346" s="5">
        <v>6015875</v>
      </c>
      <c r="E346" s="169">
        <f>+IF(FINANCIACION[[#This Row],[$ CAPITAL]]&gt;=0,FINANCIACION[[#This Row],[$ CAPITAL]]+FINANCIACION[[#This Row],[$ INTERESES]],"")</f>
        <v>6015875</v>
      </c>
      <c r="F346" s="169">
        <f>+SUMIFS(FINANCIACION[$ CAPITAL],FINANCIACION[Fecha],"&lt;="&amp;FINANCIACION[[#This Row],[Fecha]],FINANCIACION[PRESTAMO],FINANCIACION[[#This Row],[PRESTAMO]])</f>
        <v>-65070473.170000017</v>
      </c>
      <c r="G346" s="8"/>
      <c r="H346" s="8"/>
      <c r="I346" s="5" t="b">
        <f>IF(FINANCIACION[[#This Row],[$ CAPITAL]]&gt;0,FINANCIACION[[#This Row],[$ CAPITAL]])</f>
        <v>0</v>
      </c>
      <c r="J346" s="36">
        <f>IF(FINANCIACION[[#This Row],[$ CAPITAL]]&gt;=0,FINANCIACION[[#This Row],[$ CAPITAL]]+FINANCIACION[[#This Row],[$ INTERESES]],0)</f>
        <v>6015875</v>
      </c>
    </row>
    <row r="347" spans="1:10" ht="24" hidden="1" customHeight="1" x14ac:dyDescent="0.25">
      <c r="A347" s="7">
        <v>44095</v>
      </c>
      <c r="B347" s="53" t="s">
        <v>1218</v>
      </c>
      <c r="C347" s="5">
        <v>951816</v>
      </c>
      <c r="D347" s="5"/>
      <c r="E347" s="169">
        <f>+IF(FINANCIACION[[#This Row],[$ CAPITAL]]&gt;=0,FINANCIACION[[#This Row],[$ CAPITAL]]+FINANCIACION[[#This Row],[$ INTERESES]],"")</f>
        <v>951816</v>
      </c>
      <c r="F347" s="169">
        <f>+SUMIFS(FINANCIACION[$ CAPITAL],FINANCIACION[Fecha],"&lt;="&amp;FINANCIACION[[#This Row],[Fecha]],FINANCIACION[PRESTAMO],FINANCIACION[[#This Row],[PRESTAMO]])</f>
        <v>-65070473.170000017</v>
      </c>
      <c r="G347" s="8"/>
      <c r="H347" s="8"/>
      <c r="I347" s="5">
        <f>IF(FINANCIACION[[#This Row],[$ CAPITAL]]&gt;0,FINANCIACION[[#This Row],[$ CAPITAL]])</f>
        <v>951816</v>
      </c>
      <c r="J347" s="36">
        <f>IF(FINANCIACION[[#This Row],[$ CAPITAL]]&gt;=0,FINANCIACION[[#This Row],[$ CAPITAL]]+FINANCIACION[[#This Row],[$ INTERESES]],0)</f>
        <v>951816</v>
      </c>
    </row>
    <row r="348" spans="1:10" ht="24" hidden="1" customHeight="1" x14ac:dyDescent="0.25">
      <c r="A348" s="7">
        <v>44099</v>
      </c>
      <c r="B348" s="53" t="s">
        <v>1218</v>
      </c>
      <c r="C348" s="5">
        <v>3867810</v>
      </c>
      <c r="D348" s="5"/>
      <c r="E348" s="169">
        <f>+IF(FINANCIACION[[#This Row],[$ CAPITAL]]&gt;=0,FINANCIACION[[#This Row],[$ CAPITAL]]+FINANCIACION[[#This Row],[$ INTERESES]],"")</f>
        <v>3867810</v>
      </c>
      <c r="F348" s="169">
        <f>+SUMIFS(FINANCIACION[$ CAPITAL],FINANCIACION[Fecha],"&lt;="&amp;FINANCIACION[[#This Row],[Fecha]],FINANCIACION[PRESTAMO],FINANCIACION[[#This Row],[PRESTAMO]])</f>
        <v>-60702663.170000017</v>
      </c>
      <c r="G348" s="8"/>
      <c r="H348" s="8"/>
      <c r="I348" s="5">
        <f>IF(FINANCIACION[[#This Row],[$ CAPITAL]]&gt;0,FINANCIACION[[#This Row],[$ CAPITAL]])</f>
        <v>3867810</v>
      </c>
      <c r="J348" s="36">
        <f>IF(FINANCIACION[[#This Row],[$ CAPITAL]]&gt;=0,FINANCIACION[[#This Row],[$ CAPITAL]]+FINANCIACION[[#This Row],[$ INTERESES]],0)</f>
        <v>3867810</v>
      </c>
    </row>
    <row r="349" spans="1:10" ht="24" hidden="1" customHeight="1" x14ac:dyDescent="0.25">
      <c r="A349" s="7">
        <v>44099</v>
      </c>
      <c r="B349" s="53" t="s">
        <v>1218</v>
      </c>
      <c r="C349" s="5">
        <v>500000</v>
      </c>
      <c r="D349" s="5"/>
      <c r="E349" s="169">
        <f>+IF(FINANCIACION[[#This Row],[$ CAPITAL]]&gt;=0,FINANCIACION[[#This Row],[$ CAPITAL]]+FINANCIACION[[#This Row],[$ INTERESES]],"")</f>
        <v>500000</v>
      </c>
      <c r="F349" s="169">
        <f>+SUMIFS(FINANCIACION[$ CAPITAL],FINANCIACION[Fecha],"&lt;="&amp;FINANCIACION[[#This Row],[Fecha]],FINANCIACION[PRESTAMO],FINANCIACION[[#This Row],[PRESTAMO]])</f>
        <v>-60702663.170000017</v>
      </c>
      <c r="G349" s="8"/>
      <c r="H349" s="8"/>
      <c r="I349" s="5">
        <f>IF(FINANCIACION[[#This Row],[$ CAPITAL]]&gt;0,FINANCIACION[[#This Row],[$ CAPITAL]])</f>
        <v>500000</v>
      </c>
      <c r="J349" s="36">
        <f>IF(FINANCIACION[[#This Row],[$ CAPITAL]]&gt;=0,FINANCIACION[[#This Row],[$ CAPITAL]]+FINANCIACION[[#This Row],[$ INTERESES]],0)</f>
        <v>500000</v>
      </c>
    </row>
    <row r="350" spans="1:10" ht="24" hidden="1" customHeight="1" x14ac:dyDescent="0.25">
      <c r="A350" s="7">
        <v>44104</v>
      </c>
      <c r="B350" s="53" t="s">
        <v>193</v>
      </c>
      <c r="C350" s="5">
        <v>-38080833</v>
      </c>
      <c r="D350" s="5"/>
      <c r="E350" s="169" t="str">
        <f>+IF(FINANCIACION[[#This Row],[$ CAPITAL]]&gt;=0,FINANCIACION[[#This Row],[$ CAPITAL]]+FINANCIACION[[#This Row],[$ INTERESES]],"")</f>
        <v/>
      </c>
      <c r="F350" s="169">
        <f>+SUMIFS(FINANCIACION[$ CAPITAL],FINANCIACION[Fecha],"&lt;="&amp;FINANCIACION[[#This Row],[Fecha]],FINANCIACION[PRESTAMO],FINANCIACION[[#This Row],[PRESTAMO]])</f>
        <v>-54330833</v>
      </c>
      <c r="G350" s="8"/>
      <c r="H350" s="8"/>
      <c r="I350" s="5" t="b">
        <f>IF(FINANCIACION[[#This Row],[$ CAPITAL]]&gt;0,FINANCIACION[[#This Row],[$ CAPITAL]])</f>
        <v>0</v>
      </c>
      <c r="J350" s="36">
        <f>IF(FINANCIACION[[#This Row],[$ CAPITAL]]&gt;=0,FINANCIACION[[#This Row],[$ CAPITAL]]+FINANCIACION[[#This Row],[$ INTERESES]],0)</f>
        <v>0</v>
      </c>
    </row>
    <row r="351" spans="1:10" ht="24" hidden="1" customHeight="1" x14ac:dyDescent="0.25">
      <c r="A351" s="7">
        <v>44104</v>
      </c>
      <c r="B351" s="53" t="s">
        <v>194</v>
      </c>
      <c r="C351" s="5">
        <v>34778781</v>
      </c>
      <c r="D351" s="5"/>
      <c r="E351" s="169">
        <f>+IF(FINANCIACION[[#This Row],[$ CAPITAL]]&gt;=0,FINANCIACION[[#This Row],[$ CAPITAL]]+FINANCIACION[[#This Row],[$ INTERESES]],"")</f>
        <v>34778781</v>
      </c>
      <c r="F351" s="169">
        <f>+SUMIFS(FINANCIACION[$ CAPITAL],FINANCIACION[Fecha],"&lt;="&amp;FINANCIACION[[#This Row],[Fecha]],FINANCIACION[PRESTAMO],FINANCIACION[[#This Row],[PRESTAMO]])</f>
        <v>-3302052</v>
      </c>
      <c r="G351" s="8"/>
      <c r="H351" s="8"/>
      <c r="I351" s="5">
        <f>IF(FINANCIACION[[#This Row],[$ CAPITAL]]&gt;0,FINANCIACION[[#This Row],[$ CAPITAL]])</f>
        <v>34778781</v>
      </c>
      <c r="J351" s="36">
        <f>IF(FINANCIACION[[#This Row],[$ CAPITAL]]&gt;=0,FINANCIACION[[#This Row],[$ CAPITAL]]+FINANCIACION[[#This Row],[$ INTERESES]],0)</f>
        <v>34778781</v>
      </c>
    </row>
    <row r="352" spans="1:10" ht="24" hidden="1" customHeight="1" x14ac:dyDescent="0.25">
      <c r="A352" s="7">
        <v>44104</v>
      </c>
      <c r="B352" s="53" t="s">
        <v>1217</v>
      </c>
      <c r="C352" s="5">
        <v>-39568203</v>
      </c>
      <c r="D352" s="5"/>
      <c r="E352" s="169" t="str">
        <f>+IF(FINANCIACION[[#This Row],[$ CAPITAL]]&gt;=0,FINANCIACION[[#This Row],[$ CAPITAL]]+FINANCIACION[[#This Row],[$ INTERESES]],"")</f>
        <v/>
      </c>
      <c r="F352" s="169">
        <f>+SUMIFS(FINANCIACION[$ CAPITAL],FINANCIACION[Fecha],"&lt;="&amp;FINANCIACION[[#This Row],[Fecha]],FINANCIACION[PRESTAMO],FINANCIACION[[#This Row],[PRESTAMO]])</f>
        <v>-417011267</v>
      </c>
      <c r="G352" s="8"/>
      <c r="H352" s="8"/>
      <c r="I352" s="5" t="b">
        <f>IF(FINANCIACION[[#This Row],[$ CAPITAL]]&gt;0,FINANCIACION[[#This Row],[$ CAPITAL]])</f>
        <v>0</v>
      </c>
      <c r="J352" s="36">
        <f>IF(FINANCIACION[[#This Row],[$ CAPITAL]]&gt;=0,FINANCIACION[[#This Row],[$ CAPITAL]]+FINANCIACION[[#This Row],[$ INTERESES]],0)</f>
        <v>0</v>
      </c>
    </row>
    <row r="353" spans="1:10" ht="24" hidden="1" customHeight="1" x14ac:dyDescent="0.25">
      <c r="A353" s="7">
        <v>44104</v>
      </c>
      <c r="B353" s="53" t="s">
        <v>1218</v>
      </c>
      <c r="C353" s="5">
        <v>-236242.01000000164</v>
      </c>
      <c r="D353" s="5"/>
      <c r="E353" s="169" t="str">
        <f>+IF(FINANCIACION[[#This Row],[$ CAPITAL]]&gt;=0,FINANCIACION[[#This Row],[$ CAPITAL]]+FINANCIACION[[#This Row],[$ INTERESES]],"")</f>
        <v/>
      </c>
      <c r="F353" s="169">
        <f>+SUMIFS(FINANCIACION[$ CAPITAL],FINANCIACION[Fecha],"&lt;="&amp;FINANCIACION[[#This Row],[Fecha]],FINANCIACION[PRESTAMO],FINANCIACION[[#This Row],[PRESTAMO]])</f>
        <v>-84819162.470000014</v>
      </c>
      <c r="G353" s="8"/>
      <c r="H353" s="8"/>
      <c r="I353" s="5" t="b">
        <f>IF(FINANCIACION[[#This Row],[$ CAPITAL]]&gt;0,FINANCIACION[[#This Row],[$ CAPITAL]])</f>
        <v>0</v>
      </c>
      <c r="J353" s="36">
        <f>IF(FINANCIACION[[#This Row],[$ CAPITAL]]&gt;=0,FINANCIACION[[#This Row],[$ CAPITAL]]+FINANCIACION[[#This Row],[$ INTERESES]],0)</f>
        <v>0</v>
      </c>
    </row>
    <row r="354" spans="1:10" ht="24" hidden="1" customHeight="1" x14ac:dyDescent="0.25">
      <c r="A354" s="7">
        <v>44104</v>
      </c>
      <c r="B354" s="53" t="s">
        <v>1218</v>
      </c>
      <c r="C354" s="5">
        <v>-300004.53999999911</v>
      </c>
      <c r="D354" s="5"/>
      <c r="E354" s="169" t="str">
        <f>+IF(FINANCIACION[[#This Row],[$ CAPITAL]]&gt;=0,FINANCIACION[[#This Row],[$ CAPITAL]]+FINANCIACION[[#This Row],[$ INTERESES]],"")</f>
        <v/>
      </c>
      <c r="F354" s="169">
        <f>+SUMIFS(FINANCIACION[$ CAPITAL],FINANCIACION[Fecha],"&lt;="&amp;FINANCIACION[[#This Row],[Fecha]],FINANCIACION[PRESTAMO],FINANCIACION[[#This Row],[PRESTAMO]])</f>
        <v>-84819162.470000014</v>
      </c>
      <c r="G354" s="8"/>
      <c r="H354" s="8"/>
      <c r="I354" s="5" t="b">
        <f>IF(FINANCIACION[[#This Row],[$ CAPITAL]]&gt;0,FINANCIACION[[#This Row],[$ CAPITAL]])</f>
        <v>0</v>
      </c>
      <c r="J354" s="36">
        <f>IF(FINANCIACION[[#This Row],[$ CAPITAL]]&gt;=0,FINANCIACION[[#This Row],[$ CAPITAL]]+FINANCIACION[[#This Row],[$ INTERESES]],0)</f>
        <v>0</v>
      </c>
    </row>
    <row r="355" spans="1:10" ht="24" hidden="1" customHeight="1" x14ac:dyDescent="0.25">
      <c r="A355" s="7">
        <v>44104</v>
      </c>
      <c r="B355" s="53" t="s">
        <v>1218</v>
      </c>
      <c r="C355" s="5">
        <v>-449896.74999999814</v>
      </c>
      <c r="D355" s="5"/>
      <c r="E355" s="169" t="str">
        <f>+IF(FINANCIACION[[#This Row],[$ CAPITAL]]&gt;=0,FINANCIACION[[#This Row],[$ CAPITAL]]+FINANCIACION[[#This Row],[$ INTERESES]],"")</f>
        <v/>
      </c>
      <c r="F355" s="169">
        <f>+SUMIFS(FINANCIACION[$ CAPITAL],FINANCIACION[Fecha],"&lt;="&amp;FINANCIACION[[#This Row],[Fecha]],FINANCIACION[PRESTAMO],FINANCIACION[[#This Row],[PRESTAMO]])</f>
        <v>-84819162.470000014</v>
      </c>
      <c r="G355" s="8"/>
      <c r="H355" s="8"/>
      <c r="I355" s="5" t="b">
        <f>IF(FINANCIACION[[#This Row],[$ CAPITAL]]&gt;0,FINANCIACION[[#This Row],[$ CAPITAL]])</f>
        <v>0</v>
      </c>
      <c r="J355" s="36">
        <f>IF(FINANCIACION[[#This Row],[$ CAPITAL]]&gt;=0,FINANCIACION[[#This Row],[$ CAPITAL]]+FINANCIACION[[#This Row],[$ INTERESES]],0)</f>
        <v>0</v>
      </c>
    </row>
    <row r="356" spans="1:10" ht="24" hidden="1" customHeight="1" x14ac:dyDescent="0.25">
      <c r="A356" s="7">
        <v>44104</v>
      </c>
      <c r="B356" s="53" t="s">
        <v>1218</v>
      </c>
      <c r="C356" s="5">
        <v>-761487.9999999986</v>
      </c>
      <c r="D356" s="5"/>
      <c r="E356" s="169" t="str">
        <f>+IF(FINANCIACION[[#This Row],[$ CAPITAL]]&gt;=0,FINANCIACION[[#This Row],[$ CAPITAL]]+FINANCIACION[[#This Row],[$ INTERESES]],"")</f>
        <v/>
      </c>
      <c r="F356" s="169">
        <f>+SUMIFS(FINANCIACION[$ CAPITAL],FINANCIACION[Fecha],"&lt;="&amp;FINANCIACION[[#This Row],[Fecha]],FINANCIACION[PRESTAMO],FINANCIACION[[#This Row],[PRESTAMO]])</f>
        <v>-84819162.470000014</v>
      </c>
      <c r="G356" s="8"/>
      <c r="H356" s="8"/>
      <c r="I356" s="5" t="b">
        <f>IF(FINANCIACION[[#This Row],[$ CAPITAL]]&gt;0,FINANCIACION[[#This Row],[$ CAPITAL]])</f>
        <v>0</v>
      </c>
      <c r="J356" s="36">
        <f>IF(FINANCIACION[[#This Row],[$ CAPITAL]]&gt;=0,FINANCIACION[[#This Row],[$ CAPITAL]]+FINANCIACION[[#This Row],[$ INTERESES]],0)</f>
        <v>0</v>
      </c>
    </row>
    <row r="357" spans="1:10" ht="24" hidden="1" customHeight="1" x14ac:dyDescent="0.25">
      <c r="A357" s="7">
        <v>44104</v>
      </c>
      <c r="B357" s="53" t="s">
        <v>1218</v>
      </c>
      <c r="C357" s="5">
        <v>-12827494.999999993</v>
      </c>
      <c r="D357" s="5"/>
      <c r="E357" s="169" t="str">
        <f>+IF(FINANCIACION[[#This Row],[$ CAPITAL]]&gt;=0,FINANCIACION[[#This Row],[$ CAPITAL]]+FINANCIACION[[#This Row],[$ INTERESES]],"")</f>
        <v/>
      </c>
      <c r="F357" s="169">
        <f>+SUMIFS(FINANCIACION[$ CAPITAL],FINANCIACION[Fecha],"&lt;="&amp;FINANCIACION[[#This Row],[Fecha]],FINANCIACION[PRESTAMO],FINANCIACION[[#This Row],[PRESTAMO]])</f>
        <v>-84819162.470000014</v>
      </c>
      <c r="G357" s="8"/>
      <c r="H357" s="8"/>
      <c r="I357" s="5" t="b">
        <f>IF(FINANCIACION[[#This Row],[$ CAPITAL]]&gt;0,FINANCIACION[[#This Row],[$ CAPITAL]])</f>
        <v>0</v>
      </c>
      <c r="J357" s="36">
        <f>IF(FINANCIACION[[#This Row],[$ CAPITAL]]&gt;=0,FINANCIACION[[#This Row],[$ CAPITAL]]+FINANCIACION[[#This Row],[$ INTERESES]],0)</f>
        <v>0</v>
      </c>
    </row>
    <row r="358" spans="1:10" ht="24" hidden="1" customHeight="1" x14ac:dyDescent="0.25">
      <c r="A358" s="7">
        <v>44104</v>
      </c>
      <c r="B358" s="53" t="s">
        <v>1218</v>
      </c>
      <c r="C358" s="5">
        <v>-7592390.0000000037</v>
      </c>
      <c r="D358" s="5"/>
      <c r="E358" s="169" t="str">
        <f>+IF(FINANCIACION[[#This Row],[$ CAPITAL]]&gt;=0,FINANCIACION[[#This Row],[$ CAPITAL]]+FINANCIACION[[#This Row],[$ INTERESES]],"")</f>
        <v/>
      </c>
      <c r="F358" s="169">
        <f>+SUMIFS(FINANCIACION[$ CAPITAL],FINANCIACION[Fecha],"&lt;="&amp;FINANCIACION[[#This Row],[Fecha]],FINANCIACION[PRESTAMO],FINANCIACION[[#This Row],[PRESTAMO]])</f>
        <v>-84819162.470000014</v>
      </c>
      <c r="G358" s="8"/>
      <c r="H358" s="8"/>
      <c r="I358" s="5" t="b">
        <f>IF(FINANCIACION[[#This Row],[$ CAPITAL]]&gt;0,FINANCIACION[[#This Row],[$ CAPITAL]])</f>
        <v>0</v>
      </c>
      <c r="J358" s="36">
        <f>IF(FINANCIACION[[#This Row],[$ CAPITAL]]&gt;=0,FINANCIACION[[#This Row],[$ CAPITAL]]+FINANCIACION[[#This Row],[$ INTERESES]],0)</f>
        <v>0</v>
      </c>
    </row>
    <row r="359" spans="1:10" ht="24" hidden="1" customHeight="1" x14ac:dyDescent="0.25">
      <c r="A359" s="7">
        <v>44104</v>
      </c>
      <c r="B359" s="53" t="s">
        <v>1218</v>
      </c>
      <c r="C359" s="5">
        <v>-1948983</v>
      </c>
      <c r="D359" s="5"/>
      <c r="E359" s="169" t="str">
        <f>+IF(FINANCIACION[[#This Row],[$ CAPITAL]]&gt;=0,FINANCIACION[[#This Row],[$ CAPITAL]]+FINANCIACION[[#This Row],[$ INTERESES]],"")</f>
        <v/>
      </c>
      <c r="F359" s="169">
        <f>+SUMIFS(FINANCIACION[$ CAPITAL],FINANCIACION[Fecha],"&lt;="&amp;FINANCIACION[[#This Row],[Fecha]],FINANCIACION[PRESTAMO],FINANCIACION[[#This Row],[PRESTAMO]])</f>
        <v>-84819162.470000014</v>
      </c>
      <c r="G359" s="8"/>
      <c r="H359" s="8"/>
      <c r="I359" s="5" t="b">
        <f>IF(FINANCIACION[[#This Row],[$ CAPITAL]]&gt;0,FINANCIACION[[#This Row],[$ CAPITAL]])</f>
        <v>0</v>
      </c>
      <c r="J359" s="36">
        <f>IF(FINANCIACION[[#This Row],[$ CAPITAL]]&gt;=0,FINANCIACION[[#This Row],[$ CAPITAL]]+FINANCIACION[[#This Row],[$ INTERESES]],0)</f>
        <v>0</v>
      </c>
    </row>
    <row r="360" spans="1:10" ht="24" hidden="1" customHeight="1" x14ac:dyDescent="0.25">
      <c r="A360" s="7">
        <v>44104</v>
      </c>
      <c r="B360" s="53" t="s">
        <v>1221</v>
      </c>
      <c r="C360" s="5">
        <v>-473294.0700000003</v>
      </c>
      <c r="D360" s="5"/>
      <c r="E360" s="169" t="str">
        <f>+IF(FINANCIACION[[#This Row],[$ CAPITAL]]&gt;=0,FINANCIACION[[#This Row],[$ CAPITAL]]+FINANCIACION[[#This Row],[$ INTERESES]],"")</f>
        <v/>
      </c>
      <c r="F360" s="169">
        <f>+SUMIFS(FINANCIACION[$ CAPITAL],FINANCIACION[Fecha],"&lt;="&amp;FINANCIACION[[#This Row],[Fecha]],FINANCIACION[PRESTAMO],FINANCIACION[[#This Row],[PRESTAMO]])</f>
        <v>-66920878.219999999</v>
      </c>
      <c r="G360" s="8"/>
      <c r="H360" s="8"/>
      <c r="I360" s="5" t="b">
        <f>IF(FINANCIACION[[#This Row],[$ CAPITAL]]&gt;0,FINANCIACION[[#This Row],[$ CAPITAL]])</f>
        <v>0</v>
      </c>
      <c r="J360" s="36">
        <f>IF(FINANCIACION[[#This Row],[$ CAPITAL]]&gt;=0,FINANCIACION[[#This Row],[$ CAPITAL]]+FINANCIACION[[#This Row],[$ INTERESES]],0)</f>
        <v>0</v>
      </c>
    </row>
    <row r="361" spans="1:10" ht="24" hidden="1" customHeight="1" x14ac:dyDescent="0.25">
      <c r="A361" s="7">
        <v>44104</v>
      </c>
      <c r="B361" s="53" t="s">
        <v>1222</v>
      </c>
      <c r="C361" s="5">
        <v>-762127.79000000656</v>
      </c>
      <c r="D361" s="5"/>
      <c r="E361" s="169" t="str">
        <f>+IF(FINANCIACION[[#This Row],[$ CAPITAL]]&gt;=0,FINANCIACION[[#This Row],[$ CAPITAL]]+FINANCIACION[[#This Row],[$ INTERESES]],"")</f>
        <v/>
      </c>
      <c r="F361" s="169">
        <f>+SUMIFS(FINANCIACION[$ CAPITAL],FINANCIACION[Fecha],"&lt;="&amp;FINANCIACION[[#This Row],[Fecha]],FINANCIACION[PRESTAMO],FINANCIACION[[#This Row],[PRESTAMO]])</f>
        <v>-97615931.560000002</v>
      </c>
      <c r="G361" s="8"/>
      <c r="H361" s="8"/>
      <c r="I361" s="5" t="b">
        <f>IF(FINANCIACION[[#This Row],[$ CAPITAL]]&gt;0,FINANCIACION[[#This Row],[$ CAPITAL]])</f>
        <v>0</v>
      </c>
      <c r="J361" s="36">
        <f>IF(FINANCIACION[[#This Row],[$ CAPITAL]]&gt;=0,FINANCIACION[[#This Row],[$ CAPITAL]]+FINANCIACION[[#This Row],[$ INTERESES]],0)</f>
        <v>0</v>
      </c>
    </row>
    <row r="362" spans="1:10" ht="24" hidden="1" customHeight="1" x14ac:dyDescent="0.25">
      <c r="A362" s="7">
        <v>44104</v>
      </c>
      <c r="B362" s="53" t="s">
        <v>1223</v>
      </c>
      <c r="C362" s="5">
        <v>-189966.1799999997</v>
      </c>
      <c r="D362" s="5"/>
      <c r="E362" s="169" t="str">
        <f>+IF(FINANCIACION[[#This Row],[$ CAPITAL]]&gt;=0,FINANCIACION[[#This Row],[$ CAPITAL]]+FINANCIACION[[#This Row],[$ INTERESES]],"")</f>
        <v/>
      </c>
      <c r="F362" s="169">
        <f>+SUMIFS(FINANCIACION[$ CAPITAL],FINANCIACION[Fecha],"&lt;="&amp;FINANCIACION[[#This Row],[Fecha]],FINANCIACION[PRESTAMO],FINANCIACION[[#This Row],[PRESTAMO]])</f>
        <v>-26095709.91</v>
      </c>
      <c r="G362" s="8"/>
      <c r="H362" s="8"/>
      <c r="I362" s="5" t="b">
        <f>IF(FINANCIACION[[#This Row],[$ CAPITAL]]&gt;0,FINANCIACION[[#This Row],[$ CAPITAL]])</f>
        <v>0</v>
      </c>
      <c r="J362" s="36">
        <f>IF(FINANCIACION[[#This Row],[$ CAPITAL]]&gt;=0,FINANCIACION[[#This Row],[$ CAPITAL]]+FINANCIACION[[#This Row],[$ INTERESES]],0)</f>
        <v>0</v>
      </c>
    </row>
    <row r="363" spans="1:10" ht="24" hidden="1" customHeight="1" x14ac:dyDescent="0.25">
      <c r="A363" s="7">
        <v>44104</v>
      </c>
      <c r="B363" s="53" t="s">
        <v>1225</v>
      </c>
      <c r="C363" s="5">
        <v>-190565.6099999994</v>
      </c>
      <c r="D363" s="5"/>
      <c r="E363" s="169" t="str">
        <f>+IF(FINANCIACION[[#This Row],[$ CAPITAL]]&gt;=0,FINANCIACION[[#This Row],[$ CAPITAL]]+FINANCIACION[[#This Row],[$ INTERESES]],"")</f>
        <v/>
      </c>
      <c r="F363" s="169">
        <f>+SUMIFS(FINANCIACION[$ CAPITAL],FINANCIACION[Fecha],"&lt;="&amp;FINANCIACION[[#This Row],[Fecha]],FINANCIACION[PRESTAMO],FINANCIACION[[#This Row],[PRESTAMO]])</f>
        <v>-27143346.609999999</v>
      </c>
      <c r="G363" s="8"/>
      <c r="H363" s="8"/>
      <c r="I363" s="5" t="b">
        <f>IF(FINANCIACION[[#This Row],[$ CAPITAL]]&gt;0,FINANCIACION[[#This Row],[$ CAPITAL]])</f>
        <v>0</v>
      </c>
      <c r="J363" s="36">
        <f>IF(FINANCIACION[[#This Row],[$ CAPITAL]]&gt;=0,FINANCIACION[[#This Row],[$ CAPITAL]]+FINANCIACION[[#This Row],[$ INTERESES]],0)</f>
        <v>0</v>
      </c>
    </row>
    <row r="364" spans="1:10" ht="24" hidden="1" customHeight="1" x14ac:dyDescent="0.25">
      <c r="A364" s="7">
        <v>44106</v>
      </c>
      <c r="B364" s="53" t="s">
        <v>1219</v>
      </c>
      <c r="C364" s="5">
        <v>850000</v>
      </c>
      <c r="D364" s="5">
        <v>150000</v>
      </c>
      <c r="E364" s="169">
        <f>+IF(FINANCIACION[[#This Row],[$ CAPITAL]]&gt;=0,FINANCIACION[[#This Row],[$ CAPITAL]]+FINANCIACION[[#This Row],[$ INTERESES]],"")</f>
        <v>1000000</v>
      </c>
      <c r="F364" s="169">
        <f>+SUMIFS(FINANCIACION[$ CAPITAL],FINANCIACION[Fecha],"&lt;="&amp;FINANCIACION[[#This Row],[Fecha]],FINANCIACION[PRESTAMO],FINANCIACION[[#This Row],[PRESTAMO]])</f>
        <v>-14150000</v>
      </c>
      <c r="G364" s="8"/>
      <c r="H364" s="8"/>
      <c r="I364" s="5">
        <f>IF(FINANCIACION[[#This Row],[$ CAPITAL]]&gt;0,FINANCIACION[[#This Row],[$ CAPITAL]])</f>
        <v>850000</v>
      </c>
      <c r="J364" s="36">
        <f>IF(FINANCIACION[[#This Row],[$ CAPITAL]]&gt;=0,FINANCIACION[[#This Row],[$ CAPITAL]]+FINANCIACION[[#This Row],[$ INTERESES]],0)</f>
        <v>1000000</v>
      </c>
    </row>
    <row r="365" spans="1:10" ht="24" hidden="1" customHeight="1" x14ac:dyDescent="0.25">
      <c r="A365" s="7">
        <v>44106</v>
      </c>
      <c r="B365" s="53" t="s">
        <v>1216</v>
      </c>
      <c r="C365" s="5">
        <v>537550</v>
      </c>
      <c r="D365" s="5">
        <v>662450</v>
      </c>
      <c r="E365" s="169">
        <f>+IF(FINANCIACION[[#This Row],[$ CAPITAL]]&gt;=0,FINANCIACION[[#This Row],[$ CAPITAL]]+FINANCIACION[[#This Row],[$ INTERESES]],"")</f>
        <v>1200000</v>
      </c>
      <c r="F365" s="169">
        <f>+SUMIFS(FINANCIACION[$ CAPITAL],FINANCIACION[Fecha],"&lt;="&amp;FINANCIACION[[#This Row],[Fecha]],FINANCIACION[PRESTAMO],FINANCIACION[[#This Row],[PRESTAMO]])</f>
        <v>-65707310</v>
      </c>
      <c r="G365" s="8"/>
      <c r="H365" s="8"/>
      <c r="I365" s="5">
        <f>IF(FINANCIACION[[#This Row],[$ CAPITAL]]&gt;0,FINANCIACION[[#This Row],[$ CAPITAL]])</f>
        <v>537550</v>
      </c>
      <c r="J365" s="36">
        <f>IF(FINANCIACION[[#This Row],[$ CAPITAL]]&gt;=0,FINANCIACION[[#This Row],[$ CAPITAL]]+FINANCIACION[[#This Row],[$ INTERESES]],0)</f>
        <v>1200000</v>
      </c>
    </row>
    <row r="366" spans="1:10" ht="24" hidden="1" customHeight="1" x14ac:dyDescent="0.25">
      <c r="A366" s="7">
        <v>44109</v>
      </c>
      <c r="B366" s="53" t="s">
        <v>1215</v>
      </c>
      <c r="C366" s="5"/>
      <c r="D366" s="5">
        <v>950000</v>
      </c>
      <c r="E366" s="169">
        <f>+IF(FINANCIACION[[#This Row],[$ CAPITAL]]&gt;=0,FINANCIACION[[#This Row],[$ CAPITAL]]+FINANCIACION[[#This Row],[$ INTERESES]],"")</f>
        <v>950000</v>
      </c>
      <c r="F366" s="169">
        <f>+SUMIFS(FINANCIACION[$ CAPITAL],FINANCIACION[Fecha],"&lt;="&amp;FINANCIACION[[#This Row],[Fecha]],FINANCIACION[PRESTAMO],FINANCIACION[[#This Row],[PRESTAMO]])</f>
        <v>-94935167</v>
      </c>
      <c r="G366" s="8"/>
      <c r="H366" s="8"/>
      <c r="I366" s="5" t="b">
        <f>IF(FINANCIACION[[#This Row],[$ CAPITAL]]&gt;0,FINANCIACION[[#This Row],[$ CAPITAL]])</f>
        <v>0</v>
      </c>
      <c r="J366" s="36">
        <f>IF(FINANCIACION[[#This Row],[$ CAPITAL]]&gt;=0,FINANCIACION[[#This Row],[$ CAPITAL]]+FINANCIACION[[#This Row],[$ INTERESES]],0)</f>
        <v>950000</v>
      </c>
    </row>
    <row r="367" spans="1:10" ht="24" hidden="1" customHeight="1" x14ac:dyDescent="0.25">
      <c r="A367" s="7">
        <v>44109</v>
      </c>
      <c r="B367" s="53" t="s">
        <v>1218</v>
      </c>
      <c r="C367" s="5">
        <v>990094.53</v>
      </c>
      <c r="D367" s="5">
        <v>190516.1</v>
      </c>
      <c r="E367" s="169">
        <f>+IF(FINANCIACION[[#This Row],[$ CAPITAL]]&gt;=0,FINANCIACION[[#This Row],[$ CAPITAL]]+FINANCIACION[[#This Row],[$ INTERESES]],"")</f>
        <v>1180610.6300000001</v>
      </c>
      <c r="F367" s="169">
        <f>+SUMIFS(FINANCIACION[$ CAPITAL],FINANCIACION[Fecha],"&lt;="&amp;FINANCIACION[[#This Row],[Fecha]],FINANCIACION[PRESTAMO],FINANCIACION[[#This Row],[PRESTAMO]])</f>
        <v>-83829067.940000013</v>
      </c>
      <c r="G367" s="8"/>
      <c r="H367" s="8"/>
      <c r="I367" s="5">
        <f>IF(FINANCIACION[[#This Row],[$ CAPITAL]]&gt;0,FINANCIACION[[#This Row],[$ CAPITAL]])</f>
        <v>990094.53</v>
      </c>
      <c r="J367" s="36">
        <f>IF(FINANCIACION[[#This Row],[$ CAPITAL]]&gt;=0,FINANCIACION[[#This Row],[$ CAPITAL]]+FINANCIACION[[#This Row],[$ INTERESES]],0)</f>
        <v>1180610.6300000001</v>
      </c>
    </row>
    <row r="368" spans="1:10" ht="24" hidden="1" customHeight="1" x14ac:dyDescent="0.25">
      <c r="A368" s="7">
        <v>44110</v>
      </c>
      <c r="B368" s="53" t="s">
        <v>1224</v>
      </c>
      <c r="C368" s="5"/>
      <c r="D368" s="5">
        <v>640000</v>
      </c>
      <c r="E368" s="169">
        <f>+IF(FINANCIACION[[#This Row],[$ CAPITAL]]&gt;=0,FINANCIACION[[#This Row],[$ CAPITAL]]+FINANCIACION[[#This Row],[$ INTERESES]],"")</f>
        <v>640000</v>
      </c>
      <c r="F368" s="169">
        <f>+SUMIFS(FINANCIACION[$ CAPITAL],FINANCIACION[Fecha],"&lt;="&amp;FINANCIACION[[#This Row],[Fecha]],FINANCIACION[PRESTAMO],FINANCIACION[[#This Row],[PRESTAMO]])</f>
        <v>-8000000</v>
      </c>
      <c r="G368" s="8"/>
      <c r="H368" s="8"/>
      <c r="I368" s="5" t="b">
        <f>IF(FINANCIACION[[#This Row],[$ CAPITAL]]&gt;0,FINANCIACION[[#This Row],[$ CAPITAL]])</f>
        <v>0</v>
      </c>
      <c r="J368" s="36">
        <f>IF(FINANCIACION[[#This Row],[$ CAPITAL]]&gt;=0,FINANCIACION[[#This Row],[$ CAPITAL]]+FINANCIACION[[#This Row],[$ INTERESES]],0)</f>
        <v>640000</v>
      </c>
    </row>
    <row r="369" spans="1:10" ht="24" hidden="1" customHeight="1" x14ac:dyDescent="0.25">
      <c r="A369" s="7">
        <v>44110</v>
      </c>
      <c r="B369" s="53" t="s">
        <v>197</v>
      </c>
      <c r="C369" s="5">
        <v>6326000</v>
      </c>
      <c r="D369" s="5">
        <v>805532.69</v>
      </c>
      <c r="E369" s="169">
        <f>+IF(FINANCIACION[[#This Row],[$ CAPITAL]]&gt;=0,FINANCIACION[[#This Row],[$ CAPITAL]]+FINANCIACION[[#This Row],[$ INTERESES]],"")</f>
        <v>7131532.6899999995</v>
      </c>
      <c r="F369" s="169">
        <f>+SUMIFS(FINANCIACION[$ CAPITAL],FINANCIACION[Fecha],"&lt;="&amp;FINANCIACION[[#This Row],[Fecha]],FINANCIACION[PRESTAMO],FINANCIACION[[#This Row],[PRESTAMO]])</f>
        <v>-104647126</v>
      </c>
      <c r="G369" s="8"/>
      <c r="H369" s="8"/>
      <c r="I369" s="5">
        <f>IF(FINANCIACION[[#This Row],[$ CAPITAL]]&gt;0,FINANCIACION[[#This Row],[$ CAPITAL]])</f>
        <v>6326000</v>
      </c>
      <c r="J369" s="36">
        <f>IF(FINANCIACION[[#This Row],[$ CAPITAL]]&gt;=0,FINANCIACION[[#This Row],[$ CAPITAL]]+FINANCIACION[[#This Row],[$ INTERESES]],0)</f>
        <v>7131532.6899999995</v>
      </c>
    </row>
    <row r="370" spans="1:10" ht="24" hidden="1" customHeight="1" x14ac:dyDescent="0.25">
      <c r="A370" s="7">
        <v>44111</v>
      </c>
      <c r="B370" s="53" t="s">
        <v>1217</v>
      </c>
      <c r="C370" s="5">
        <v>3000000</v>
      </c>
      <c r="D370" s="5"/>
      <c r="E370" s="169">
        <f>+IF(FINANCIACION[[#This Row],[$ CAPITAL]]&gt;=0,FINANCIACION[[#This Row],[$ CAPITAL]]+FINANCIACION[[#This Row],[$ INTERESES]],"")</f>
        <v>3000000</v>
      </c>
      <c r="F370" s="169">
        <f>+SUMIFS(FINANCIACION[$ CAPITAL],FINANCIACION[Fecha],"&lt;="&amp;FINANCIACION[[#This Row],[Fecha]],FINANCIACION[PRESTAMO],FINANCIACION[[#This Row],[PRESTAMO]])</f>
        <v>-414011267</v>
      </c>
      <c r="G370" s="8"/>
      <c r="H370" s="8"/>
      <c r="I370" s="5">
        <f>IF(FINANCIACION[[#This Row],[$ CAPITAL]]&gt;0,FINANCIACION[[#This Row],[$ CAPITAL]])</f>
        <v>3000000</v>
      </c>
      <c r="J370" s="36">
        <f>IF(FINANCIACION[[#This Row],[$ CAPITAL]]&gt;=0,FINANCIACION[[#This Row],[$ CAPITAL]]+FINANCIACION[[#This Row],[$ INTERESES]],0)</f>
        <v>3000000</v>
      </c>
    </row>
    <row r="371" spans="1:10" ht="24" hidden="1" customHeight="1" x14ac:dyDescent="0.25">
      <c r="A371" s="7">
        <v>44117</v>
      </c>
      <c r="B371" s="53" t="s">
        <v>1218</v>
      </c>
      <c r="C371" s="5">
        <v>3824250</v>
      </c>
      <c r="D371" s="5"/>
      <c r="E371" s="169">
        <f>+IF(FINANCIACION[[#This Row],[$ CAPITAL]]&gt;=0,FINANCIACION[[#This Row],[$ CAPITAL]]+FINANCIACION[[#This Row],[$ INTERESES]],"")</f>
        <v>3824250</v>
      </c>
      <c r="F371" s="169">
        <f>+SUMIFS(FINANCIACION[$ CAPITAL],FINANCIACION[Fecha],"&lt;="&amp;FINANCIACION[[#This Row],[Fecha]],FINANCIACION[PRESTAMO],FINANCIACION[[#This Row],[PRESTAMO]])</f>
        <v>-79004817.940000013</v>
      </c>
      <c r="G371" s="8"/>
      <c r="H371" s="8"/>
      <c r="I371" s="5">
        <f>IF(FINANCIACION[[#This Row],[$ CAPITAL]]&gt;0,FINANCIACION[[#This Row],[$ CAPITAL]])</f>
        <v>3824250</v>
      </c>
      <c r="J371" s="36">
        <f>IF(FINANCIACION[[#This Row],[$ CAPITAL]]&gt;=0,FINANCIACION[[#This Row],[$ CAPITAL]]+FINANCIACION[[#This Row],[$ INTERESES]],0)</f>
        <v>3824250</v>
      </c>
    </row>
    <row r="372" spans="1:10" ht="24" hidden="1" customHeight="1" x14ac:dyDescent="0.25">
      <c r="A372" s="7">
        <v>44117</v>
      </c>
      <c r="B372" s="53" t="s">
        <v>1218</v>
      </c>
      <c r="C372" s="5">
        <v>1000000</v>
      </c>
      <c r="D372" s="5"/>
      <c r="E372" s="169">
        <f>+IF(FINANCIACION[[#This Row],[$ CAPITAL]]&gt;=0,FINANCIACION[[#This Row],[$ CAPITAL]]+FINANCIACION[[#This Row],[$ INTERESES]],"")</f>
        <v>1000000</v>
      </c>
      <c r="F372" s="169">
        <f>+SUMIFS(FINANCIACION[$ CAPITAL],FINANCIACION[Fecha],"&lt;="&amp;FINANCIACION[[#This Row],[Fecha]],FINANCIACION[PRESTAMO],FINANCIACION[[#This Row],[PRESTAMO]])</f>
        <v>-79004817.940000013</v>
      </c>
      <c r="G372" s="8"/>
      <c r="H372" s="8"/>
      <c r="I372" s="5">
        <f>IF(FINANCIACION[[#This Row],[$ CAPITAL]]&gt;0,FINANCIACION[[#This Row],[$ CAPITAL]])</f>
        <v>1000000</v>
      </c>
      <c r="J372" s="36">
        <f>IF(FINANCIACION[[#This Row],[$ CAPITAL]]&gt;=0,FINANCIACION[[#This Row],[$ CAPITAL]]+FINANCIACION[[#This Row],[$ INTERESES]],0)</f>
        <v>1000000</v>
      </c>
    </row>
    <row r="373" spans="1:10" ht="24" hidden="1" customHeight="1" x14ac:dyDescent="0.25">
      <c r="A373" s="7">
        <v>44123</v>
      </c>
      <c r="B373" s="53" t="s">
        <v>1218</v>
      </c>
      <c r="C373" s="5">
        <v>3846480</v>
      </c>
      <c r="D373" s="5"/>
      <c r="E373" s="169">
        <f>+IF(FINANCIACION[[#This Row],[$ CAPITAL]]&gt;=0,FINANCIACION[[#This Row],[$ CAPITAL]]+FINANCIACION[[#This Row],[$ INTERESES]],"")</f>
        <v>3846480</v>
      </c>
      <c r="F373" s="169">
        <f>+SUMIFS(FINANCIACION[$ CAPITAL],FINANCIACION[Fecha],"&lt;="&amp;FINANCIACION[[#This Row],[Fecha]],FINANCIACION[PRESTAMO],FINANCIACION[[#This Row],[PRESTAMO]])</f>
        <v>-74158337.940000013</v>
      </c>
      <c r="G373" s="8"/>
      <c r="H373" s="8"/>
      <c r="I373" s="5">
        <f>IF(FINANCIACION[[#This Row],[$ CAPITAL]]&gt;0,FINANCIACION[[#This Row],[$ CAPITAL]])</f>
        <v>3846480</v>
      </c>
      <c r="J373" s="36">
        <f>IF(FINANCIACION[[#This Row],[$ CAPITAL]]&gt;=0,FINANCIACION[[#This Row],[$ CAPITAL]]+FINANCIACION[[#This Row],[$ INTERESES]],0)</f>
        <v>3846480</v>
      </c>
    </row>
    <row r="374" spans="1:10" ht="24" hidden="1" customHeight="1" x14ac:dyDescent="0.25">
      <c r="A374" s="7">
        <v>44123</v>
      </c>
      <c r="B374" s="53" t="s">
        <v>1218</v>
      </c>
      <c r="C374" s="5">
        <v>1000000</v>
      </c>
      <c r="D374" s="5"/>
      <c r="E374" s="169">
        <f>+IF(FINANCIACION[[#This Row],[$ CAPITAL]]&gt;=0,FINANCIACION[[#This Row],[$ CAPITAL]]+FINANCIACION[[#This Row],[$ INTERESES]],"")</f>
        <v>1000000</v>
      </c>
      <c r="F374" s="169">
        <f>+SUMIFS(FINANCIACION[$ CAPITAL],FINANCIACION[Fecha],"&lt;="&amp;FINANCIACION[[#This Row],[Fecha]],FINANCIACION[PRESTAMO],FINANCIACION[[#This Row],[PRESTAMO]])</f>
        <v>-74158337.940000013</v>
      </c>
      <c r="G374" s="8"/>
      <c r="H374" s="8"/>
      <c r="I374" s="5">
        <f>IF(FINANCIACION[[#This Row],[$ CAPITAL]]&gt;0,FINANCIACION[[#This Row],[$ CAPITAL]])</f>
        <v>1000000</v>
      </c>
      <c r="J374" s="36">
        <f>IF(FINANCIACION[[#This Row],[$ CAPITAL]]&gt;=0,FINANCIACION[[#This Row],[$ CAPITAL]]+FINANCIACION[[#This Row],[$ INTERESES]],0)</f>
        <v>1000000</v>
      </c>
    </row>
    <row r="375" spans="1:10" ht="24" hidden="1" customHeight="1" x14ac:dyDescent="0.25">
      <c r="A375" s="7">
        <v>44130</v>
      </c>
      <c r="B375" s="53" t="s">
        <v>1218</v>
      </c>
      <c r="C375" s="5">
        <v>3782660</v>
      </c>
      <c r="D375" s="5"/>
      <c r="E375" s="169">
        <f>+IF(FINANCIACION[[#This Row],[$ CAPITAL]]&gt;=0,FINANCIACION[[#This Row],[$ CAPITAL]]+FINANCIACION[[#This Row],[$ INTERESES]],"")</f>
        <v>3782660</v>
      </c>
      <c r="F375" s="169">
        <f>+SUMIFS(FINANCIACION[$ CAPITAL],FINANCIACION[Fecha],"&lt;="&amp;FINANCIACION[[#This Row],[Fecha]],FINANCIACION[PRESTAMO],FINANCIACION[[#This Row],[PRESTAMO]])</f>
        <v>-69375677.940000013</v>
      </c>
      <c r="G375" s="8"/>
      <c r="H375" s="8"/>
      <c r="I375" s="5">
        <f>IF(FINANCIACION[[#This Row],[$ CAPITAL]]&gt;0,FINANCIACION[[#This Row],[$ CAPITAL]])</f>
        <v>3782660</v>
      </c>
      <c r="J375" s="36">
        <f>IF(FINANCIACION[[#This Row],[$ CAPITAL]]&gt;=0,FINANCIACION[[#This Row],[$ CAPITAL]]+FINANCIACION[[#This Row],[$ INTERESES]],0)</f>
        <v>3782660</v>
      </c>
    </row>
    <row r="376" spans="1:10" ht="24" hidden="1" customHeight="1" x14ac:dyDescent="0.25">
      <c r="A376" s="7">
        <v>44130</v>
      </c>
      <c r="B376" s="53" t="s">
        <v>1218</v>
      </c>
      <c r="C376" s="5">
        <v>1000000</v>
      </c>
      <c r="D376" s="5"/>
      <c r="E376" s="169">
        <f>+IF(FINANCIACION[[#This Row],[$ CAPITAL]]&gt;=0,FINANCIACION[[#This Row],[$ CAPITAL]]+FINANCIACION[[#This Row],[$ INTERESES]],"")</f>
        <v>1000000</v>
      </c>
      <c r="F376" s="169">
        <f>+SUMIFS(FINANCIACION[$ CAPITAL],FINANCIACION[Fecha],"&lt;="&amp;FINANCIACION[[#This Row],[Fecha]],FINANCIACION[PRESTAMO],FINANCIACION[[#This Row],[PRESTAMO]])</f>
        <v>-69375677.940000013</v>
      </c>
      <c r="G376" s="8"/>
      <c r="H376" s="8"/>
      <c r="I376" s="5">
        <f>IF(FINANCIACION[[#This Row],[$ CAPITAL]]&gt;0,FINANCIACION[[#This Row],[$ CAPITAL]])</f>
        <v>1000000</v>
      </c>
      <c r="J376" s="36">
        <f>IF(FINANCIACION[[#This Row],[$ CAPITAL]]&gt;=0,FINANCIACION[[#This Row],[$ CAPITAL]]+FINANCIACION[[#This Row],[$ INTERESES]],0)</f>
        <v>1000000</v>
      </c>
    </row>
    <row r="377" spans="1:10" ht="24" hidden="1" customHeight="1" x14ac:dyDescent="0.25">
      <c r="A377" s="7">
        <v>44131</v>
      </c>
      <c r="B377" s="53" t="s">
        <v>1217</v>
      </c>
      <c r="C377" s="5">
        <v>5000000</v>
      </c>
      <c r="D377" s="5"/>
      <c r="E377" s="169">
        <f>+IF(FINANCIACION[[#This Row],[$ CAPITAL]]&gt;=0,FINANCIACION[[#This Row],[$ CAPITAL]]+FINANCIACION[[#This Row],[$ INTERESES]],"")</f>
        <v>5000000</v>
      </c>
      <c r="F377" s="169">
        <f>+SUMIFS(FINANCIACION[$ CAPITAL],FINANCIACION[Fecha],"&lt;="&amp;FINANCIACION[[#This Row],[Fecha]],FINANCIACION[PRESTAMO],FINANCIACION[[#This Row],[PRESTAMO]])</f>
        <v>-409011267</v>
      </c>
      <c r="G377" s="8"/>
      <c r="H377" s="8"/>
      <c r="I377" s="5">
        <f>IF(FINANCIACION[[#This Row],[$ CAPITAL]]&gt;0,FINANCIACION[[#This Row],[$ CAPITAL]])</f>
        <v>5000000</v>
      </c>
      <c r="J377" s="36">
        <f>IF(FINANCIACION[[#This Row],[$ CAPITAL]]&gt;=0,FINANCIACION[[#This Row],[$ CAPITAL]]+FINANCIACION[[#This Row],[$ INTERESES]],0)</f>
        <v>5000000</v>
      </c>
    </row>
    <row r="378" spans="1:10" ht="24" hidden="1" customHeight="1" x14ac:dyDescent="0.25">
      <c r="A378" s="7">
        <v>44135</v>
      </c>
      <c r="B378" s="53" t="s">
        <v>1217</v>
      </c>
      <c r="C378" s="5">
        <v>6521200</v>
      </c>
      <c r="D378" s="5"/>
      <c r="E378" s="169">
        <f>+IF(FINANCIACION[[#This Row],[$ CAPITAL]]&gt;=0,FINANCIACION[[#This Row],[$ CAPITAL]]+FINANCIACION[[#This Row],[$ INTERESES]],"")</f>
        <v>6521200</v>
      </c>
      <c r="F378" s="169">
        <f>+SUMIFS(FINANCIACION[$ CAPITAL],FINANCIACION[Fecha],"&lt;="&amp;FINANCIACION[[#This Row],[Fecha]],FINANCIACION[PRESTAMO],FINANCIACION[[#This Row],[PRESTAMO]])</f>
        <v>-402490067</v>
      </c>
      <c r="G378" s="8"/>
      <c r="H378" s="8"/>
      <c r="I378" s="5">
        <f>IF(FINANCIACION[[#This Row],[$ CAPITAL]]&gt;0,FINANCIACION[[#This Row],[$ CAPITAL]])</f>
        <v>6521200</v>
      </c>
      <c r="J378" s="36">
        <f>IF(FINANCIACION[[#This Row],[$ CAPITAL]]&gt;=0,FINANCIACION[[#This Row],[$ CAPITAL]]+FINANCIACION[[#This Row],[$ INTERESES]],0)</f>
        <v>6521200</v>
      </c>
    </row>
    <row r="379" spans="1:10" ht="24" hidden="1" customHeight="1" x14ac:dyDescent="0.25">
      <c r="A379" s="7">
        <v>44135</v>
      </c>
      <c r="B379" s="53" t="s">
        <v>1218</v>
      </c>
      <c r="C379" s="5">
        <v>-264978.33999999985</v>
      </c>
      <c r="D379" s="5"/>
      <c r="E379" s="169" t="str">
        <f>+IF(FINANCIACION[[#This Row],[$ CAPITAL]]&gt;=0,FINANCIACION[[#This Row],[$ CAPITAL]]+FINANCIACION[[#This Row],[$ INTERESES]],"")</f>
        <v/>
      </c>
      <c r="F379" s="169">
        <f>+SUMIFS(FINANCIACION[$ CAPITAL],FINANCIACION[Fecha],"&lt;="&amp;FINANCIACION[[#This Row],[Fecha]],FINANCIACION[PRESTAMO],FINANCIACION[[#This Row],[PRESTAMO]])</f>
        <v>-70069042.850000024</v>
      </c>
      <c r="G379" s="8"/>
      <c r="H379" s="8"/>
      <c r="I379" s="5" t="b">
        <f>IF(FINANCIACION[[#This Row],[$ CAPITAL]]&gt;0,FINANCIACION[[#This Row],[$ CAPITAL]])</f>
        <v>0</v>
      </c>
      <c r="J379" s="36">
        <f>IF(FINANCIACION[[#This Row],[$ CAPITAL]]&gt;=0,FINANCIACION[[#This Row],[$ CAPITAL]]+FINANCIACION[[#This Row],[$ INTERESES]],0)</f>
        <v>0</v>
      </c>
    </row>
    <row r="380" spans="1:10" ht="24" hidden="1" customHeight="1" x14ac:dyDescent="0.25">
      <c r="A380" s="7">
        <v>44135</v>
      </c>
      <c r="B380" s="53" t="s">
        <v>1218</v>
      </c>
      <c r="C380" s="5">
        <v>-322222.5700000003</v>
      </c>
      <c r="D380" s="5"/>
      <c r="E380" s="169" t="str">
        <f>+IF(FINANCIACION[[#This Row],[$ CAPITAL]]&gt;=0,FINANCIACION[[#This Row],[$ CAPITAL]]+FINANCIACION[[#This Row],[$ INTERESES]],"")</f>
        <v/>
      </c>
      <c r="F380" s="169">
        <f>+SUMIFS(FINANCIACION[$ CAPITAL],FINANCIACION[Fecha],"&lt;="&amp;FINANCIACION[[#This Row],[Fecha]],FINANCIACION[PRESTAMO],FINANCIACION[[#This Row],[PRESTAMO]])</f>
        <v>-70069042.850000024</v>
      </c>
      <c r="G380" s="8"/>
      <c r="H380" s="8"/>
      <c r="I380" s="5" t="b">
        <f>IF(FINANCIACION[[#This Row],[$ CAPITAL]]&gt;0,FINANCIACION[[#This Row],[$ CAPITAL]])</f>
        <v>0</v>
      </c>
      <c r="J380" s="36">
        <f>IF(FINANCIACION[[#This Row],[$ CAPITAL]]&gt;=0,FINANCIACION[[#This Row],[$ CAPITAL]]+FINANCIACION[[#This Row],[$ INTERESES]],0)</f>
        <v>0</v>
      </c>
    </row>
    <row r="381" spans="1:10" ht="24" hidden="1" customHeight="1" x14ac:dyDescent="0.25">
      <c r="A381" s="7">
        <v>44135</v>
      </c>
      <c r="B381" s="53" t="s">
        <v>1218</v>
      </c>
      <c r="C381" s="5">
        <v>-106164.00000000047</v>
      </c>
      <c r="D381" s="5"/>
      <c r="E381" s="169" t="str">
        <f>+IF(FINANCIACION[[#This Row],[$ CAPITAL]]&gt;=0,FINANCIACION[[#This Row],[$ CAPITAL]]+FINANCIACION[[#This Row],[$ INTERESES]],"")</f>
        <v/>
      </c>
      <c r="F381" s="169">
        <f>+SUMIFS(FINANCIACION[$ CAPITAL],FINANCIACION[Fecha],"&lt;="&amp;FINANCIACION[[#This Row],[Fecha]],FINANCIACION[PRESTAMO],FINANCIACION[[#This Row],[PRESTAMO]])</f>
        <v>-70069042.850000024</v>
      </c>
      <c r="G381" s="8"/>
      <c r="H381" s="8"/>
      <c r="I381" s="5" t="b">
        <f>IF(FINANCIACION[[#This Row],[$ CAPITAL]]&gt;0,FINANCIACION[[#This Row],[$ CAPITAL]])</f>
        <v>0</v>
      </c>
      <c r="J381" s="36">
        <f>IF(FINANCIACION[[#This Row],[$ CAPITAL]]&gt;=0,FINANCIACION[[#This Row],[$ CAPITAL]]+FINANCIACION[[#This Row],[$ INTERESES]],0)</f>
        <v>0</v>
      </c>
    </row>
    <row r="382" spans="1:10" ht="24" hidden="1" customHeight="1" x14ac:dyDescent="0.25">
      <c r="A382" s="7">
        <v>44135</v>
      </c>
      <c r="B382" s="53" t="s">
        <v>1221</v>
      </c>
      <c r="C382" s="5">
        <v>-529471.48000000417</v>
      </c>
      <c r="D382" s="5"/>
      <c r="E382" s="169" t="str">
        <f>+IF(FINANCIACION[[#This Row],[$ CAPITAL]]&gt;=0,FINANCIACION[[#This Row],[$ CAPITAL]]+FINANCIACION[[#This Row],[$ INTERESES]],"")</f>
        <v/>
      </c>
      <c r="F382" s="169">
        <f>+SUMIFS(FINANCIACION[$ CAPITAL],FINANCIACION[Fecha],"&lt;="&amp;FINANCIACION[[#This Row],[Fecha]],FINANCIACION[PRESTAMO],FINANCIACION[[#This Row],[PRESTAMO]])</f>
        <v>-67450349.700000003</v>
      </c>
      <c r="G382" s="8"/>
      <c r="H382" s="8"/>
      <c r="I382" s="5" t="b">
        <f>IF(FINANCIACION[[#This Row],[$ CAPITAL]]&gt;0,FINANCIACION[[#This Row],[$ CAPITAL]])</f>
        <v>0</v>
      </c>
      <c r="J382" s="36">
        <f>IF(FINANCIACION[[#This Row],[$ CAPITAL]]&gt;=0,FINANCIACION[[#This Row],[$ CAPITAL]]+FINANCIACION[[#This Row],[$ INTERESES]],0)</f>
        <v>0</v>
      </c>
    </row>
    <row r="383" spans="1:10" ht="24" hidden="1" customHeight="1" x14ac:dyDescent="0.25">
      <c r="A383" s="7">
        <v>44135</v>
      </c>
      <c r="B383" s="53" t="s">
        <v>1222</v>
      </c>
      <c r="C383" s="5">
        <v>-856581.43999999762</v>
      </c>
      <c r="D383" s="5"/>
      <c r="E383" s="169" t="str">
        <f>+IF(FINANCIACION[[#This Row],[$ CAPITAL]]&gt;=0,FINANCIACION[[#This Row],[$ CAPITAL]]+FINANCIACION[[#This Row],[$ INTERESES]],"")</f>
        <v/>
      </c>
      <c r="F383" s="169">
        <f>+SUMIFS(FINANCIACION[$ CAPITAL],FINANCIACION[Fecha],"&lt;="&amp;FINANCIACION[[#This Row],[Fecha]],FINANCIACION[PRESTAMO],FINANCIACION[[#This Row],[PRESTAMO]])</f>
        <v>-98472513</v>
      </c>
      <c r="G383" s="8"/>
      <c r="H383" s="8"/>
      <c r="I383" s="5" t="b">
        <f>IF(FINANCIACION[[#This Row],[$ CAPITAL]]&gt;0,FINANCIACION[[#This Row],[$ CAPITAL]])</f>
        <v>0</v>
      </c>
      <c r="J383" s="36">
        <f>IF(FINANCIACION[[#This Row],[$ CAPITAL]]&gt;=0,FINANCIACION[[#This Row],[$ CAPITAL]]+FINANCIACION[[#This Row],[$ INTERESES]],0)</f>
        <v>0</v>
      </c>
    </row>
    <row r="384" spans="1:10" ht="24" hidden="1" customHeight="1" x14ac:dyDescent="0.25">
      <c r="A384" s="7">
        <v>44135</v>
      </c>
      <c r="B384" s="53" t="s">
        <v>1223</v>
      </c>
      <c r="C384" s="5">
        <v>-204034.69000000134</v>
      </c>
      <c r="D384" s="5"/>
      <c r="E384" s="169" t="str">
        <f>+IF(FINANCIACION[[#This Row],[$ CAPITAL]]&gt;=0,FINANCIACION[[#This Row],[$ CAPITAL]]+FINANCIACION[[#This Row],[$ INTERESES]],"")</f>
        <v/>
      </c>
      <c r="F384" s="169">
        <f>+SUMIFS(FINANCIACION[$ CAPITAL],FINANCIACION[Fecha],"&lt;="&amp;FINANCIACION[[#This Row],[Fecha]],FINANCIACION[PRESTAMO],FINANCIACION[[#This Row],[PRESTAMO]])</f>
        <v>-26299744.600000001</v>
      </c>
      <c r="G384" s="8"/>
      <c r="H384" s="8"/>
      <c r="I384" s="5" t="b">
        <f>IF(FINANCIACION[[#This Row],[$ CAPITAL]]&gt;0,FINANCIACION[[#This Row],[$ CAPITAL]])</f>
        <v>0</v>
      </c>
      <c r="J384" s="36">
        <f>IF(FINANCIACION[[#This Row],[$ CAPITAL]]&gt;=0,FINANCIACION[[#This Row],[$ CAPITAL]]+FINANCIACION[[#This Row],[$ INTERESES]],0)</f>
        <v>0</v>
      </c>
    </row>
    <row r="385" spans="1:10" ht="24" hidden="1" customHeight="1" x14ac:dyDescent="0.25">
      <c r="A385" s="7">
        <v>44135</v>
      </c>
      <c r="B385" s="53" t="s">
        <v>1225</v>
      </c>
      <c r="C385" s="5">
        <v>-198507.05000000075</v>
      </c>
      <c r="D385" s="5"/>
      <c r="E385" s="169" t="str">
        <f>+IF(FINANCIACION[[#This Row],[$ CAPITAL]]&gt;=0,FINANCIACION[[#This Row],[$ CAPITAL]]+FINANCIACION[[#This Row],[$ INTERESES]],"")</f>
        <v/>
      </c>
      <c r="F385" s="169">
        <f>+SUMIFS(FINANCIACION[$ CAPITAL],FINANCIACION[Fecha],"&lt;="&amp;FINANCIACION[[#This Row],[Fecha]],FINANCIACION[PRESTAMO],FINANCIACION[[#This Row],[PRESTAMO]])</f>
        <v>-27341853.66</v>
      </c>
      <c r="G385" s="8"/>
      <c r="H385" s="8"/>
      <c r="I385" s="5" t="b">
        <f>IF(FINANCIACION[[#This Row],[$ CAPITAL]]&gt;0,FINANCIACION[[#This Row],[$ CAPITAL]])</f>
        <v>0</v>
      </c>
      <c r="J385" s="36">
        <f>IF(FINANCIACION[[#This Row],[$ CAPITAL]]&gt;=0,FINANCIACION[[#This Row],[$ CAPITAL]]+FINANCIACION[[#This Row],[$ INTERESES]],0)</f>
        <v>0</v>
      </c>
    </row>
    <row r="386" spans="1:10" ht="24" hidden="1" customHeight="1" x14ac:dyDescent="0.25">
      <c r="A386" s="7">
        <v>44138</v>
      </c>
      <c r="B386" s="53" t="s">
        <v>193</v>
      </c>
      <c r="C386" s="5"/>
      <c r="D386" s="5">
        <v>76830</v>
      </c>
      <c r="E386" s="169">
        <f>+IF(FINANCIACION[[#This Row],[$ CAPITAL]]&gt;=0,FINANCIACION[[#This Row],[$ CAPITAL]]+FINANCIACION[[#This Row],[$ INTERESES]],"")</f>
        <v>76830</v>
      </c>
      <c r="F386" s="169">
        <f>+SUMIFS(FINANCIACION[$ CAPITAL],FINANCIACION[Fecha],"&lt;="&amp;FINANCIACION[[#This Row],[Fecha]],FINANCIACION[PRESTAMO],FINANCIACION[[#This Row],[PRESTAMO]])</f>
        <v>-54330833</v>
      </c>
      <c r="G386" s="8"/>
      <c r="H386" s="8"/>
      <c r="I386" s="5" t="b">
        <f>IF(FINANCIACION[[#This Row],[$ CAPITAL]]&gt;0,FINANCIACION[[#This Row],[$ CAPITAL]])</f>
        <v>0</v>
      </c>
      <c r="J386" s="36">
        <f>IF(FINANCIACION[[#This Row],[$ CAPITAL]]&gt;=0,FINANCIACION[[#This Row],[$ CAPITAL]]+FINANCIACION[[#This Row],[$ INTERESES]],0)</f>
        <v>76830</v>
      </c>
    </row>
    <row r="387" spans="1:10" ht="24" hidden="1" customHeight="1" x14ac:dyDescent="0.25">
      <c r="A387" s="7">
        <v>44138</v>
      </c>
      <c r="B387" s="53" t="s">
        <v>194</v>
      </c>
      <c r="C387" s="5"/>
      <c r="D387" s="5">
        <v>530587</v>
      </c>
      <c r="E387" s="169">
        <f>+IF(FINANCIACION[[#This Row],[$ CAPITAL]]&gt;=0,FINANCIACION[[#This Row],[$ CAPITAL]]+FINANCIACION[[#This Row],[$ INTERESES]],"")</f>
        <v>530587</v>
      </c>
      <c r="F387" s="169">
        <f>+SUMIFS(FINANCIACION[$ CAPITAL],FINANCIACION[Fecha],"&lt;="&amp;FINANCIACION[[#This Row],[Fecha]],FINANCIACION[PRESTAMO],FINANCIACION[[#This Row],[PRESTAMO]])</f>
        <v>-3302052</v>
      </c>
      <c r="G387" s="8"/>
      <c r="H387" s="8"/>
      <c r="I387" s="5" t="b">
        <f>IF(FINANCIACION[[#This Row],[$ CAPITAL]]&gt;0,FINANCIACION[[#This Row],[$ CAPITAL]])</f>
        <v>0</v>
      </c>
      <c r="J387" s="36">
        <f>IF(FINANCIACION[[#This Row],[$ CAPITAL]]&gt;=0,FINANCIACION[[#This Row],[$ CAPITAL]]+FINANCIACION[[#This Row],[$ INTERESES]],0)</f>
        <v>530587</v>
      </c>
    </row>
    <row r="388" spans="1:10" ht="24" hidden="1" customHeight="1" x14ac:dyDescent="0.25">
      <c r="A388" s="7">
        <v>44138</v>
      </c>
      <c r="B388" s="53" t="s">
        <v>1218</v>
      </c>
      <c r="C388" s="5">
        <v>3858560</v>
      </c>
      <c r="D388" s="5"/>
      <c r="E388" s="169">
        <f>+IF(FINANCIACION[[#This Row],[$ CAPITAL]]&gt;=0,FINANCIACION[[#This Row],[$ CAPITAL]]+FINANCIACION[[#This Row],[$ INTERESES]],"")</f>
        <v>3858560</v>
      </c>
      <c r="F388" s="169">
        <f>+SUMIFS(FINANCIACION[$ CAPITAL],FINANCIACION[Fecha],"&lt;="&amp;FINANCIACION[[#This Row],[Fecha]],FINANCIACION[PRESTAMO],FINANCIACION[[#This Row],[PRESTAMO]])</f>
        <v>-65210482.850000024</v>
      </c>
      <c r="G388" s="8"/>
      <c r="H388" s="8"/>
      <c r="I388" s="5">
        <f>IF(FINANCIACION[[#This Row],[$ CAPITAL]]&gt;0,FINANCIACION[[#This Row],[$ CAPITAL]])</f>
        <v>3858560</v>
      </c>
      <c r="J388" s="36">
        <f>IF(FINANCIACION[[#This Row],[$ CAPITAL]]&gt;=0,FINANCIACION[[#This Row],[$ CAPITAL]]+FINANCIACION[[#This Row],[$ INTERESES]],0)</f>
        <v>3858560</v>
      </c>
    </row>
    <row r="389" spans="1:10" ht="24" hidden="1" customHeight="1" x14ac:dyDescent="0.25">
      <c r="A389" s="7">
        <v>44138</v>
      </c>
      <c r="B389" s="53" t="s">
        <v>1218</v>
      </c>
      <c r="C389" s="5">
        <v>1000000</v>
      </c>
      <c r="D389" s="5"/>
      <c r="E389" s="169">
        <f>+IF(FINANCIACION[[#This Row],[$ CAPITAL]]&gt;=0,FINANCIACION[[#This Row],[$ CAPITAL]]+FINANCIACION[[#This Row],[$ INTERESES]],"")</f>
        <v>1000000</v>
      </c>
      <c r="F389" s="169">
        <f>+SUMIFS(FINANCIACION[$ CAPITAL],FINANCIACION[Fecha],"&lt;="&amp;FINANCIACION[[#This Row],[Fecha]],FINANCIACION[PRESTAMO],FINANCIACION[[#This Row],[PRESTAMO]])</f>
        <v>-65210482.850000024</v>
      </c>
      <c r="G389" s="8"/>
      <c r="H389" s="8"/>
      <c r="I389" s="5">
        <f>IF(FINANCIACION[[#This Row],[$ CAPITAL]]&gt;0,FINANCIACION[[#This Row],[$ CAPITAL]])</f>
        <v>1000000</v>
      </c>
      <c r="J389" s="36">
        <f>IF(FINANCIACION[[#This Row],[$ CAPITAL]]&gt;=0,FINANCIACION[[#This Row],[$ CAPITAL]]+FINANCIACION[[#This Row],[$ INTERESES]],0)</f>
        <v>1000000</v>
      </c>
    </row>
    <row r="390" spans="1:10" ht="24" hidden="1" customHeight="1" x14ac:dyDescent="0.25">
      <c r="A390" s="7">
        <v>44139</v>
      </c>
      <c r="B390" s="53" t="s">
        <v>1218</v>
      </c>
      <c r="C390" s="5">
        <v>990094.53</v>
      </c>
      <c r="D390" s="5">
        <v>182124.31000000006</v>
      </c>
      <c r="E390" s="169">
        <f>+IF(FINANCIACION[[#This Row],[$ CAPITAL]]&gt;=0,FINANCIACION[[#This Row],[$ CAPITAL]]+FINANCIACION[[#This Row],[$ INTERESES]],"")</f>
        <v>1172218.8400000001</v>
      </c>
      <c r="F390" s="169">
        <f>+SUMIFS(FINANCIACION[$ CAPITAL],FINANCIACION[Fecha],"&lt;="&amp;FINANCIACION[[#This Row],[Fecha]],FINANCIACION[PRESTAMO],FINANCIACION[[#This Row],[PRESTAMO]])</f>
        <v>-64220388.320000023</v>
      </c>
      <c r="G390" s="8"/>
      <c r="H390" s="8"/>
      <c r="I390" s="5">
        <f>IF(FINANCIACION[[#This Row],[$ CAPITAL]]&gt;0,FINANCIACION[[#This Row],[$ CAPITAL]])</f>
        <v>990094.53</v>
      </c>
      <c r="J390" s="36">
        <f>IF(FINANCIACION[[#This Row],[$ CAPITAL]]&gt;=0,FINANCIACION[[#This Row],[$ CAPITAL]]+FINANCIACION[[#This Row],[$ INTERESES]],0)</f>
        <v>1172218.8400000001</v>
      </c>
    </row>
    <row r="391" spans="1:10" ht="24" hidden="1" customHeight="1" x14ac:dyDescent="0.25">
      <c r="A391" s="7">
        <v>44141</v>
      </c>
      <c r="B391" s="53" t="s">
        <v>197</v>
      </c>
      <c r="C391" s="5">
        <v>6326000</v>
      </c>
      <c r="D391" s="5">
        <v>716774.57</v>
      </c>
      <c r="E391" s="169">
        <f>+IF(FINANCIACION[[#This Row],[$ CAPITAL]]&gt;=0,FINANCIACION[[#This Row],[$ CAPITAL]]+FINANCIACION[[#This Row],[$ INTERESES]],"")</f>
        <v>7042774.5700000003</v>
      </c>
      <c r="F391" s="169">
        <f>+SUMIFS(FINANCIACION[$ CAPITAL],FINANCIACION[Fecha],"&lt;="&amp;FINANCIACION[[#This Row],[Fecha]],FINANCIACION[PRESTAMO],FINANCIACION[[#This Row],[PRESTAMO]])</f>
        <v>-98321126</v>
      </c>
      <c r="G391" s="8"/>
      <c r="H391" s="8"/>
      <c r="I391" s="5">
        <f>IF(FINANCIACION[[#This Row],[$ CAPITAL]]&gt;0,FINANCIACION[[#This Row],[$ CAPITAL]])</f>
        <v>6326000</v>
      </c>
      <c r="J391" s="36">
        <f>IF(FINANCIACION[[#This Row],[$ CAPITAL]]&gt;=0,FINANCIACION[[#This Row],[$ CAPITAL]]+FINANCIACION[[#This Row],[$ INTERESES]],0)</f>
        <v>7042774.5700000003</v>
      </c>
    </row>
    <row r="392" spans="1:10" ht="24" hidden="1" customHeight="1" x14ac:dyDescent="0.25">
      <c r="A392" s="7">
        <v>44142</v>
      </c>
      <c r="B392" s="53" t="s">
        <v>1215</v>
      </c>
      <c r="C392" s="5"/>
      <c r="D392" s="5">
        <v>950000</v>
      </c>
      <c r="E392" s="169">
        <f>+IF(FINANCIACION[[#This Row],[$ CAPITAL]]&gt;=0,FINANCIACION[[#This Row],[$ CAPITAL]]+FINANCIACION[[#This Row],[$ INTERESES]],"")</f>
        <v>950000</v>
      </c>
      <c r="F392" s="169">
        <f>+SUMIFS(FINANCIACION[$ CAPITAL],FINANCIACION[Fecha],"&lt;="&amp;FINANCIACION[[#This Row],[Fecha]],FINANCIACION[PRESTAMO],FINANCIACION[[#This Row],[PRESTAMO]])</f>
        <v>-94935167</v>
      </c>
      <c r="G392" s="8"/>
      <c r="H392" s="8"/>
      <c r="I392" s="5" t="b">
        <f>IF(FINANCIACION[[#This Row],[$ CAPITAL]]&gt;0,FINANCIACION[[#This Row],[$ CAPITAL]])</f>
        <v>0</v>
      </c>
      <c r="J392" s="36">
        <f>IF(FINANCIACION[[#This Row],[$ CAPITAL]]&gt;=0,FINANCIACION[[#This Row],[$ CAPITAL]]+FINANCIACION[[#This Row],[$ INTERESES]],0)</f>
        <v>950000</v>
      </c>
    </row>
    <row r="393" spans="1:10" ht="24" hidden="1" customHeight="1" x14ac:dyDescent="0.25">
      <c r="A393" s="7">
        <v>44142</v>
      </c>
      <c r="B393" s="53" t="s">
        <v>1219</v>
      </c>
      <c r="C393" s="5">
        <v>858500</v>
      </c>
      <c r="D393" s="5">
        <v>141500</v>
      </c>
      <c r="E393" s="169">
        <f>+IF(FINANCIACION[[#This Row],[$ CAPITAL]]&gt;=0,FINANCIACION[[#This Row],[$ CAPITAL]]+FINANCIACION[[#This Row],[$ INTERESES]],"")</f>
        <v>1000000</v>
      </c>
      <c r="F393" s="169">
        <f>+SUMIFS(FINANCIACION[$ CAPITAL],FINANCIACION[Fecha],"&lt;="&amp;FINANCIACION[[#This Row],[Fecha]],FINANCIACION[PRESTAMO],FINANCIACION[[#This Row],[PRESTAMO]])</f>
        <v>-13291500</v>
      </c>
      <c r="G393" s="8"/>
      <c r="H393" s="8"/>
      <c r="I393" s="5">
        <f>IF(FINANCIACION[[#This Row],[$ CAPITAL]]&gt;0,FINANCIACION[[#This Row],[$ CAPITAL]])</f>
        <v>858500</v>
      </c>
      <c r="J393" s="36">
        <f>IF(FINANCIACION[[#This Row],[$ CAPITAL]]&gt;=0,FINANCIACION[[#This Row],[$ CAPITAL]]+FINANCIACION[[#This Row],[$ INTERESES]],0)</f>
        <v>1000000</v>
      </c>
    </row>
    <row r="394" spans="1:10" ht="24" hidden="1" customHeight="1" x14ac:dyDescent="0.25">
      <c r="A394" s="7">
        <v>44142</v>
      </c>
      <c r="B394" s="53" t="s">
        <v>1216</v>
      </c>
      <c r="C394" s="5">
        <v>542926.9</v>
      </c>
      <c r="D394" s="5">
        <v>657073.1</v>
      </c>
      <c r="E394" s="169">
        <f>+IF(FINANCIACION[[#This Row],[$ CAPITAL]]&gt;=0,FINANCIACION[[#This Row],[$ CAPITAL]]+FINANCIACION[[#This Row],[$ INTERESES]],"")</f>
        <v>1200000</v>
      </c>
      <c r="F394" s="169">
        <f>+SUMIFS(FINANCIACION[$ CAPITAL],FINANCIACION[Fecha],"&lt;="&amp;FINANCIACION[[#This Row],[Fecha]],FINANCIACION[PRESTAMO],FINANCIACION[[#This Row],[PRESTAMO]])</f>
        <v>-65164383.100000001</v>
      </c>
      <c r="G394" s="8"/>
      <c r="H394" s="8"/>
      <c r="I394" s="5">
        <f>IF(FINANCIACION[[#This Row],[$ CAPITAL]]&gt;0,FINANCIACION[[#This Row],[$ CAPITAL]])</f>
        <v>542926.9</v>
      </c>
      <c r="J394" s="36">
        <f>IF(FINANCIACION[[#This Row],[$ CAPITAL]]&gt;=0,FINANCIACION[[#This Row],[$ CAPITAL]]+FINANCIACION[[#This Row],[$ INTERESES]],0)</f>
        <v>1200000</v>
      </c>
    </row>
    <row r="395" spans="1:10" ht="24" hidden="1" customHeight="1" x14ac:dyDescent="0.25">
      <c r="A395" s="7">
        <v>44144</v>
      </c>
      <c r="B395" s="53" t="s">
        <v>1215</v>
      </c>
      <c r="C395" s="5">
        <v>3917000</v>
      </c>
      <c r="D395" s="5"/>
      <c r="E395" s="169">
        <f>+IF(FINANCIACION[[#This Row],[$ CAPITAL]]&gt;=0,FINANCIACION[[#This Row],[$ CAPITAL]]+FINANCIACION[[#This Row],[$ INTERESES]],"")</f>
        <v>3917000</v>
      </c>
      <c r="F395" s="169">
        <f>+SUMIFS(FINANCIACION[$ CAPITAL],FINANCIACION[Fecha],"&lt;="&amp;FINANCIACION[[#This Row],[Fecha]],FINANCIACION[PRESTAMO],FINANCIACION[[#This Row],[PRESTAMO]])</f>
        <v>-91018167</v>
      </c>
      <c r="G395" s="8"/>
      <c r="H395" s="8"/>
      <c r="I395" s="5">
        <f>IF(FINANCIACION[[#This Row],[$ CAPITAL]]&gt;0,FINANCIACION[[#This Row],[$ CAPITAL]])</f>
        <v>3917000</v>
      </c>
      <c r="J395" s="36">
        <f>IF(FINANCIACION[[#This Row],[$ CAPITAL]]&gt;=0,FINANCIACION[[#This Row],[$ CAPITAL]]+FINANCIACION[[#This Row],[$ INTERESES]],0)</f>
        <v>3917000</v>
      </c>
    </row>
    <row r="396" spans="1:10" ht="24" hidden="1" customHeight="1" x14ac:dyDescent="0.25">
      <c r="A396" s="7">
        <v>44144</v>
      </c>
      <c r="B396" s="53" t="s">
        <v>1218</v>
      </c>
      <c r="C396" s="5">
        <v>120681</v>
      </c>
      <c r="D396" s="5"/>
      <c r="E396" s="169">
        <f>+IF(FINANCIACION[[#This Row],[$ CAPITAL]]&gt;=0,FINANCIACION[[#This Row],[$ CAPITAL]]+FINANCIACION[[#This Row],[$ INTERESES]],"")</f>
        <v>120681</v>
      </c>
      <c r="F396" s="169">
        <f>+SUMIFS(FINANCIACION[$ CAPITAL],FINANCIACION[Fecha],"&lt;="&amp;FINANCIACION[[#This Row],[Fecha]],FINANCIACION[PRESTAMO],FINANCIACION[[#This Row],[PRESTAMO]])</f>
        <v>-59361517.320000023</v>
      </c>
      <c r="G396" s="8"/>
      <c r="H396" s="8"/>
      <c r="I396" s="5">
        <f>IF(FINANCIACION[[#This Row],[$ CAPITAL]]&gt;0,FINANCIACION[[#This Row],[$ CAPITAL]])</f>
        <v>120681</v>
      </c>
      <c r="J396" s="36">
        <f>IF(FINANCIACION[[#This Row],[$ CAPITAL]]&gt;=0,FINANCIACION[[#This Row],[$ CAPITAL]]+FINANCIACION[[#This Row],[$ INTERESES]],0)</f>
        <v>120681</v>
      </c>
    </row>
    <row r="397" spans="1:10" ht="24" hidden="1" customHeight="1" x14ac:dyDescent="0.25">
      <c r="A397" s="7">
        <v>44144</v>
      </c>
      <c r="B397" s="53" t="s">
        <v>1218</v>
      </c>
      <c r="C397" s="5">
        <v>3738190</v>
      </c>
      <c r="D397" s="5"/>
      <c r="E397" s="169">
        <f>+IF(FINANCIACION[[#This Row],[$ CAPITAL]]&gt;=0,FINANCIACION[[#This Row],[$ CAPITAL]]+FINANCIACION[[#This Row],[$ INTERESES]],"")</f>
        <v>3738190</v>
      </c>
      <c r="F397" s="169">
        <f>+SUMIFS(FINANCIACION[$ CAPITAL],FINANCIACION[Fecha],"&lt;="&amp;FINANCIACION[[#This Row],[Fecha]],FINANCIACION[PRESTAMO],FINANCIACION[[#This Row],[PRESTAMO]])</f>
        <v>-59361517.320000023</v>
      </c>
      <c r="G397" s="8"/>
      <c r="H397" s="8"/>
      <c r="I397" s="5">
        <f>IF(FINANCIACION[[#This Row],[$ CAPITAL]]&gt;0,FINANCIACION[[#This Row],[$ CAPITAL]])</f>
        <v>3738190</v>
      </c>
      <c r="J397" s="36">
        <f>IF(FINANCIACION[[#This Row],[$ CAPITAL]]&gt;=0,FINANCIACION[[#This Row],[$ CAPITAL]]+FINANCIACION[[#This Row],[$ INTERESES]],0)</f>
        <v>3738190</v>
      </c>
    </row>
    <row r="398" spans="1:10" ht="24" hidden="1" customHeight="1" x14ac:dyDescent="0.25">
      <c r="A398" s="7">
        <v>44144</v>
      </c>
      <c r="B398" s="53" t="s">
        <v>1218</v>
      </c>
      <c r="C398" s="5">
        <v>1000000</v>
      </c>
      <c r="D398" s="5"/>
      <c r="E398" s="169">
        <f>+IF(FINANCIACION[[#This Row],[$ CAPITAL]]&gt;=0,FINANCIACION[[#This Row],[$ CAPITAL]]+FINANCIACION[[#This Row],[$ INTERESES]],"")</f>
        <v>1000000</v>
      </c>
      <c r="F398" s="169">
        <f>+SUMIFS(FINANCIACION[$ CAPITAL],FINANCIACION[Fecha],"&lt;="&amp;FINANCIACION[[#This Row],[Fecha]],FINANCIACION[PRESTAMO],FINANCIACION[[#This Row],[PRESTAMO]])</f>
        <v>-59361517.320000023</v>
      </c>
      <c r="G398" s="8"/>
      <c r="H398" s="8"/>
      <c r="I398" s="5">
        <f>IF(FINANCIACION[[#This Row],[$ CAPITAL]]&gt;0,FINANCIACION[[#This Row],[$ CAPITAL]])</f>
        <v>1000000</v>
      </c>
      <c r="J398" s="36">
        <f>IF(FINANCIACION[[#This Row],[$ CAPITAL]]&gt;=0,FINANCIACION[[#This Row],[$ CAPITAL]]+FINANCIACION[[#This Row],[$ INTERESES]],0)</f>
        <v>1000000</v>
      </c>
    </row>
    <row r="399" spans="1:10" ht="24" hidden="1" customHeight="1" x14ac:dyDescent="0.25">
      <c r="A399" s="7">
        <v>44155</v>
      </c>
      <c r="B399" s="53" t="s">
        <v>1218</v>
      </c>
      <c r="C399" s="5">
        <v>-5000000</v>
      </c>
      <c r="D399" s="5"/>
      <c r="E399" s="169" t="str">
        <f>+IF(FINANCIACION[[#This Row],[$ CAPITAL]]&gt;=0,FINANCIACION[[#This Row],[$ CAPITAL]]+FINANCIACION[[#This Row],[$ INTERESES]],"")</f>
        <v/>
      </c>
      <c r="F399" s="169">
        <f>+SUMIFS(FINANCIACION[$ CAPITAL],FINANCIACION[Fecha],"&lt;="&amp;FINANCIACION[[#This Row],[Fecha]],FINANCIACION[PRESTAMO],FINANCIACION[[#This Row],[PRESTAMO]])</f>
        <v>-64361517.320000023</v>
      </c>
      <c r="G399" s="8"/>
      <c r="H399" s="8"/>
      <c r="I399" s="5" t="b">
        <f>IF(FINANCIACION[[#This Row],[$ CAPITAL]]&gt;0,FINANCIACION[[#This Row],[$ CAPITAL]])</f>
        <v>0</v>
      </c>
      <c r="J399" s="36">
        <f>IF(FINANCIACION[[#This Row],[$ CAPITAL]]&gt;=0,FINANCIACION[[#This Row],[$ CAPITAL]]+FINANCIACION[[#This Row],[$ INTERESES]],0)</f>
        <v>0</v>
      </c>
    </row>
    <row r="400" spans="1:10" ht="24" hidden="1" customHeight="1" x14ac:dyDescent="0.25">
      <c r="A400" s="7">
        <v>44158</v>
      </c>
      <c r="B400" s="53" t="s">
        <v>1218</v>
      </c>
      <c r="C400" s="5">
        <v>3649900</v>
      </c>
      <c r="D400" s="5"/>
      <c r="E400" s="169">
        <f>+IF(FINANCIACION[[#This Row],[$ CAPITAL]]&gt;=0,FINANCIACION[[#This Row],[$ CAPITAL]]+FINANCIACION[[#This Row],[$ INTERESES]],"")</f>
        <v>3649900</v>
      </c>
      <c r="F400" s="169">
        <f>+SUMIFS(FINANCIACION[$ CAPITAL],FINANCIACION[Fecha],"&lt;="&amp;FINANCIACION[[#This Row],[Fecha]],FINANCIACION[PRESTAMO],FINANCIACION[[#This Row],[PRESTAMO]])</f>
        <v>-59711617.320000023</v>
      </c>
      <c r="G400" s="8"/>
      <c r="H400" s="8"/>
      <c r="I400" s="5">
        <f>IF(FINANCIACION[[#This Row],[$ CAPITAL]]&gt;0,FINANCIACION[[#This Row],[$ CAPITAL]])</f>
        <v>3649900</v>
      </c>
      <c r="J400" s="36">
        <f>IF(FINANCIACION[[#This Row],[$ CAPITAL]]&gt;=0,FINANCIACION[[#This Row],[$ CAPITAL]]+FINANCIACION[[#This Row],[$ INTERESES]],0)</f>
        <v>3649900</v>
      </c>
    </row>
    <row r="401" spans="1:10" ht="24" hidden="1" customHeight="1" x14ac:dyDescent="0.25">
      <c r="A401" s="7">
        <v>44158</v>
      </c>
      <c r="B401" s="53" t="s">
        <v>1218</v>
      </c>
      <c r="C401" s="5">
        <v>1000000</v>
      </c>
      <c r="D401" s="5"/>
      <c r="E401" s="169">
        <f>+IF(FINANCIACION[[#This Row],[$ CAPITAL]]&gt;=0,FINANCIACION[[#This Row],[$ CAPITAL]]+FINANCIACION[[#This Row],[$ INTERESES]],"")</f>
        <v>1000000</v>
      </c>
      <c r="F401" s="169">
        <f>+SUMIFS(FINANCIACION[$ CAPITAL],FINANCIACION[Fecha],"&lt;="&amp;FINANCIACION[[#This Row],[Fecha]],FINANCIACION[PRESTAMO],FINANCIACION[[#This Row],[PRESTAMO]])</f>
        <v>-59711617.320000023</v>
      </c>
      <c r="G401" s="8"/>
      <c r="H401" s="8"/>
      <c r="I401" s="5">
        <f>IF(FINANCIACION[[#This Row],[$ CAPITAL]]&gt;0,FINANCIACION[[#This Row],[$ CAPITAL]])</f>
        <v>1000000</v>
      </c>
      <c r="J401" s="36">
        <f>IF(FINANCIACION[[#This Row],[$ CAPITAL]]&gt;=0,FINANCIACION[[#This Row],[$ CAPITAL]]+FINANCIACION[[#This Row],[$ INTERESES]],0)</f>
        <v>1000000</v>
      </c>
    </row>
    <row r="402" spans="1:10" ht="24" hidden="1" customHeight="1" x14ac:dyDescent="0.25">
      <c r="A402" s="7">
        <v>44161</v>
      </c>
      <c r="B402" s="53" t="s">
        <v>1217</v>
      </c>
      <c r="C402" s="5">
        <v>0</v>
      </c>
      <c r="D402" s="5">
        <v>2000000</v>
      </c>
      <c r="E402" s="169">
        <f>+IF(FINANCIACION[[#This Row],[$ CAPITAL]]&gt;=0,FINANCIACION[[#This Row],[$ CAPITAL]]+FINANCIACION[[#This Row],[$ INTERESES]],"")</f>
        <v>2000000</v>
      </c>
      <c r="F402" s="169">
        <f>+SUMIFS(FINANCIACION[$ CAPITAL],FINANCIACION[Fecha],"&lt;="&amp;FINANCIACION[[#This Row],[Fecha]],FINANCIACION[PRESTAMO],FINANCIACION[[#This Row],[PRESTAMO]])</f>
        <v>-402490067</v>
      </c>
      <c r="G402" s="8"/>
      <c r="H402" s="8"/>
      <c r="I402" s="5" t="b">
        <f>IF(FINANCIACION[[#This Row],[$ CAPITAL]]&gt;0,FINANCIACION[[#This Row],[$ CAPITAL]])</f>
        <v>0</v>
      </c>
      <c r="J402" s="36">
        <f>IF(FINANCIACION[[#This Row],[$ CAPITAL]]&gt;=0,FINANCIACION[[#This Row],[$ CAPITAL]]+FINANCIACION[[#This Row],[$ INTERESES]],0)</f>
        <v>2000000</v>
      </c>
    </row>
    <row r="403" spans="1:10" ht="24" hidden="1" customHeight="1" x14ac:dyDescent="0.25">
      <c r="A403" s="7">
        <v>44161</v>
      </c>
      <c r="B403" s="53" t="s">
        <v>1218</v>
      </c>
      <c r="C403" s="5">
        <v>7403.0900000035763</v>
      </c>
      <c r="D403" s="5">
        <v>1292596.9099999964</v>
      </c>
      <c r="E403" s="169">
        <f>+IF(FINANCIACION[[#This Row],[$ CAPITAL]]&gt;=0,FINANCIACION[[#This Row],[$ CAPITAL]]+FINANCIACION[[#This Row],[$ INTERESES]],"")</f>
        <v>1300000</v>
      </c>
      <c r="F403" s="169">
        <f>+SUMIFS(FINANCIACION[$ CAPITAL],FINANCIACION[Fecha],"&lt;="&amp;FINANCIACION[[#This Row],[Fecha]],FINANCIACION[PRESTAMO],FINANCIACION[[#This Row],[PRESTAMO]])</f>
        <v>-59695180.630000018</v>
      </c>
      <c r="G403" s="8"/>
      <c r="H403" s="8"/>
      <c r="I403" s="5">
        <f>IF(FINANCIACION[[#This Row],[$ CAPITAL]]&gt;0,FINANCIACION[[#This Row],[$ CAPITAL]])</f>
        <v>7403.0900000035763</v>
      </c>
      <c r="J403" s="36">
        <f>IF(FINANCIACION[[#This Row],[$ CAPITAL]]&gt;=0,FINANCIACION[[#This Row],[$ CAPITAL]]+FINANCIACION[[#This Row],[$ INTERESES]],0)</f>
        <v>1300000</v>
      </c>
    </row>
    <row r="404" spans="1:10" ht="24" hidden="1" customHeight="1" x14ac:dyDescent="0.25">
      <c r="A404" s="7">
        <v>44161</v>
      </c>
      <c r="B404" s="53" t="s">
        <v>1218</v>
      </c>
      <c r="C404" s="5">
        <v>9033.6000000014901</v>
      </c>
      <c r="D404" s="5">
        <v>1582966.3999999985</v>
      </c>
      <c r="E404" s="169">
        <f>+IF(FINANCIACION[[#This Row],[$ CAPITAL]]&gt;=0,FINANCIACION[[#This Row],[$ CAPITAL]]+FINANCIACION[[#This Row],[$ INTERESES]],"")</f>
        <v>1592000</v>
      </c>
      <c r="F404" s="169">
        <f>+SUMIFS(FINANCIACION[$ CAPITAL],FINANCIACION[Fecha],"&lt;="&amp;FINANCIACION[[#This Row],[Fecha]],FINANCIACION[PRESTAMO],FINANCIACION[[#This Row],[PRESTAMO]])</f>
        <v>-59695180.630000018</v>
      </c>
      <c r="G404" s="8"/>
      <c r="H404" s="8"/>
      <c r="I404" s="5">
        <f>IF(FINANCIACION[[#This Row],[$ CAPITAL]]&gt;0,FINANCIACION[[#This Row],[$ CAPITAL]])</f>
        <v>9033.6000000014901</v>
      </c>
      <c r="J404" s="36">
        <f>IF(FINANCIACION[[#This Row],[$ CAPITAL]]&gt;=0,FINANCIACION[[#This Row],[$ CAPITAL]]+FINANCIACION[[#This Row],[$ INTERESES]],0)</f>
        <v>1592000</v>
      </c>
    </row>
    <row r="405" spans="1:10" ht="24" hidden="1" customHeight="1" x14ac:dyDescent="0.25">
      <c r="A405" s="7">
        <v>44161</v>
      </c>
      <c r="B405" s="53" t="s">
        <v>1221</v>
      </c>
      <c r="C405" s="5">
        <v>15308.959999993443</v>
      </c>
      <c r="D405" s="5">
        <v>2484691.0400000066</v>
      </c>
      <c r="E405" s="169">
        <f>+IF(FINANCIACION[[#This Row],[$ CAPITAL]]&gt;=0,FINANCIACION[[#This Row],[$ CAPITAL]]+FINANCIACION[[#This Row],[$ INTERESES]],"")</f>
        <v>2500000</v>
      </c>
      <c r="F405" s="169">
        <f>+SUMIFS(FINANCIACION[$ CAPITAL],FINANCIACION[Fecha],"&lt;="&amp;FINANCIACION[[#This Row],[Fecha]],FINANCIACION[PRESTAMO],FINANCIACION[[#This Row],[PRESTAMO]])</f>
        <v>-67435040.74000001</v>
      </c>
      <c r="G405" s="8"/>
      <c r="H405" s="8"/>
      <c r="I405" s="5">
        <f>IF(FINANCIACION[[#This Row],[$ CAPITAL]]&gt;0,FINANCIACION[[#This Row],[$ CAPITAL]])</f>
        <v>15308.959999993443</v>
      </c>
      <c r="J405" s="36">
        <f>IF(FINANCIACION[[#This Row],[$ CAPITAL]]&gt;=0,FINANCIACION[[#This Row],[$ CAPITAL]]+FINANCIACION[[#This Row],[$ INTERESES]],0)</f>
        <v>2500000</v>
      </c>
    </row>
    <row r="406" spans="1:10" ht="24" hidden="1" customHeight="1" x14ac:dyDescent="0.25">
      <c r="A406" s="7">
        <v>44161</v>
      </c>
      <c r="B406" s="53" t="s">
        <v>1222</v>
      </c>
      <c r="C406" s="5">
        <v>24886.480000004172</v>
      </c>
      <c r="D406" s="5">
        <v>3984146.5199999958</v>
      </c>
      <c r="E406" s="169">
        <f>+IF(FINANCIACION[[#This Row],[$ CAPITAL]]&gt;=0,FINANCIACION[[#This Row],[$ CAPITAL]]+FINANCIACION[[#This Row],[$ INTERESES]],"")</f>
        <v>4009033</v>
      </c>
      <c r="F406" s="169">
        <f>+SUMIFS(FINANCIACION[$ CAPITAL],FINANCIACION[Fecha],"&lt;="&amp;FINANCIACION[[#This Row],[Fecha]],FINANCIACION[PRESTAMO],FINANCIACION[[#This Row],[PRESTAMO]])</f>
        <v>-98447626.519999996</v>
      </c>
      <c r="G406" s="8"/>
      <c r="H406" s="8"/>
      <c r="I406" s="5">
        <f>IF(FINANCIACION[[#This Row],[$ CAPITAL]]&gt;0,FINANCIACION[[#This Row],[$ CAPITAL]])</f>
        <v>24886.480000004172</v>
      </c>
      <c r="J406" s="36">
        <f>IF(FINANCIACION[[#This Row],[$ CAPITAL]]&gt;=0,FINANCIACION[[#This Row],[$ CAPITAL]]+FINANCIACION[[#This Row],[$ INTERESES]],0)</f>
        <v>4009033</v>
      </c>
    </row>
    <row r="407" spans="1:10" ht="24" hidden="1" customHeight="1" x14ac:dyDescent="0.25">
      <c r="A407" s="7">
        <v>44161</v>
      </c>
      <c r="B407" s="53" t="s">
        <v>1223</v>
      </c>
      <c r="C407" s="5">
        <v>5997.0599999986589</v>
      </c>
      <c r="D407" s="5">
        <v>570130.94000000134</v>
      </c>
      <c r="E407" s="169">
        <f>+IF(FINANCIACION[[#This Row],[$ CAPITAL]]&gt;=0,FINANCIACION[[#This Row],[$ CAPITAL]]+FINANCIACION[[#This Row],[$ INTERESES]],"")</f>
        <v>576128</v>
      </c>
      <c r="F407" s="169">
        <f>+SUMIFS(FINANCIACION[$ CAPITAL],FINANCIACION[Fecha],"&lt;="&amp;FINANCIACION[[#This Row],[Fecha]],FINANCIACION[PRESTAMO],FINANCIACION[[#This Row],[PRESTAMO]])</f>
        <v>-26293747.540000003</v>
      </c>
      <c r="G407" s="8"/>
      <c r="H407" s="8"/>
      <c r="I407" s="5">
        <f>IF(FINANCIACION[[#This Row],[$ CAPITAL]]&gt;0,FINANCIACION[[#This Row],[$ CAPITAL]])</f>
        <v>5997.0599999986589</v>
      </c>
      <c r="J407" s="36">
        <f>IF(FINANCIACION[[#This Row],[$ CAPITAL]]&gt;=0,FINANCIACION[[#This Row],[$ CAPITAL]]+FINANCIACION[[#This Row],[$ INTERESES]],0)</f>
        <v>576128</v>
      </c>
    </row>
    <row r="408" spans="1:10" ht="24" hidden="1" customHeight="1" x14ac:dyDescent="0.25">
      <c r="A408" s="7">
        <v>44161</v>
      </c>
      <c r="B408" s="53" t="s">
        <v>1225</v>
      </c>
      <c r="C408" s="5">
        <v>6216.2899999991059</v>
      </c>
      <c r="D408" s="5">
        <v>393783.71000000089</v>
      </c>
      <c r="E408" s="169">
        <f>+IF(FINANCIACION[[#This Row],[$ CAPITAL]]&gt;=0,FINANCIACION[[#This Row],[$ CAPITAL]]+FINANCIACION[[#This Row],[$ INTERESES]],"")</f>
        <v>400000</v>
      </c>
      <c r="F408" s="169">
        <f>+SUMIFS(FINANCIACION[$ CAPITAL],FINANCIACION[Fecha],"&lt;="&amp;FINANCIACION[[#This Row],[Fecha]],FINANCIACION[PRESTAMO],FINANCIACION[[#This Row],[PRESTAMO]])</f>
        <v>-27335637.370000001</v>
      </c>
      <c r="G408" s="8"/>
      <c r="H408" s="8"/>
      <c r="I408" s="5">
        <f>IF(FINANCIACION[[#This Row],[$ CAPITAL]]&gt;0,FINANCIACION[[#This Row],[$ CAPITAL]])</f>
        <v>6216.2899999991059</v>
      </c>
      <c r="J408" s="36">
        <f>IF(FINANCIACION[[#This Row],[$ CAPITAL]]&gt;=0,FINANCIACION[[#This Row],[$ CAPITAL]]+FINANCIACION[[#This Row],[$ INTERESES]],0)</f>
        <v>400000</v>
      </c>
    </row>
    <row r="409" spans="1:10" ht="24" hidden="1" customHeight="1" x14ac:dyDescent="0.25">
      <c r="A409" s="7">
        <v>44162</v>
      </c>
      <c r="B409" s="53" t="s">
        <v>1218</v>
      </c>
      <c r="C409" s="5">
        <v>1000000</v>
      </c>
      <c r="D409" s="5"/>
      <c r="E409" s="169">
        <f>+IF(FINANCIACION[[#This Row],[$ CAPITAL]]&gt;=0,FINANCIACION[[#This Row],[$ CAPITAL]]+FINANCIACION[[#This Row],[$ INTERESES]],"")</f>
        <v>1000000</v>
      </c>
      <c r="F409" s="169">
        <f>+SUMIFS(FINANCIACION[$ CAPITAL],FINANCIACION[Fecha],"&lt;="&amp;FINANCIACION[[#This Row],[Fecha]],FINANCIACION[PRESTAMO],FINANCIACION[[#This Row],[PRESTAMO]])</f>
        <v>-58695180.630000018</v>
      </c>
      <c r="G409" s="8"/>
      <c r="H409" s="8"/>
      <c r="I409" s="5">
        <f>IF(FINANCIACION[[#This Row],[$ CAPITAL]]&gt;0,FINANCIACION[[#This Row],[$ CAPITAL]])</f>
        <v>1000000</v>
      </c>
      <c r="J409" s="36">
        <f>IF(FINANCIACION[[#This Row],[$ CAPITAL]]&gt;=0,FINANCIACION[[#This Row],[$ CAPITAL]]+FINANCIACION[[#This Row],[$ INTERESES]],0)</f>
        <v>1000000</v>
      </c>
    </row>
    <row r="410" spans="1:10" ht="24" hidden="1" customHeight="1" x14ac:dyDescent="0.25">
      <c r="A410" s="7">
        <v>44163</v>
      </c>
      <c r="B410" s="53" t="s">
        <v>1218</v>
      </c>
      <c r="C410" s="5">
        <v>-13000000</v>
      </c>
      <c r="D410" s="5"/>
      <c r="E410" s="169" t="str">
        <f>+IF(FINANCIACION[[#This Row],[$ CAPITAL]]&gt;=0,FINANCIACION[[#This Row],[$ CAPITAL]]+FINANCIACION[[#This Row],[$ INTERESES]],"")</f>
        <v/>
      </c>
      <c r="F410" s="169">
        <f>+SUMIFS(FINANCIACION[$ CAPITAL],FINANCIACION[Fecha],"&lt;="&amp;FINANCIACION[[#This Row],[Fecha]],FINANCIACION[PRESTAMO],FINANCIACION[[#This Row],[PRESTAMO]])</f>
        <v>-71695180.630000025</v>
      </c>
      <c r="G410" s="8"/>
      <c r="H410" s="8"/>
      <c r="I410" s="5" t="b">
        <f>IF(FINANCIACION[[#This Row],[$ CAPITAL]]&gt;0,FINANCIACION[[#This Row],[$ CAPITAL]])</f>
        <v>0</v>
      </c>
      <c r="J410" s="36">
        <f>IF(FINANCIACION[[#This Row],[$ CAPITAL]]&gt;=0,FINANCIACION[[#This Row],[$ CAPITAL]]+FINANCIACION[[#This Row],[$ INTERESES]],0)</f>
        <v>0</v>
      </c>
    </row>
    <row r="411" spans="1:10" ht="24" hidden="1" customHeight="1" x14ac:dyDescent="0.25">
      <c r="A411" s="7">
        <v>44165</v>
      </c>
      <c r="B411" s="53" t="s">
        <v>193</v>
      </c>
      <c r="C411" s="5"/>
      <c r="D411" s="5">
        <v>76791</v>
      </c>
      <c r="E411" s="169">
        <f>+IF(FINANCIACION[[#This Row],[$ CAPITAL]]&gt;=0,FINANCIACION[[#This Row],[$ CAPITAL]]+FINANCIACION[[#This Row],[$ INTERESES]],"")</f>
        <v>76791</v>
      </c>
      <c r="F411" s="169">
        <f>+SUMIFS(FINANCIACION[$ CAPITAL],FINANCIACION[Fecha],"&lt;="&amp;FINANCIACION[[#This Row],[Fecha]],FINANCIACION[PRESTAMO],FINANCIACION[[#This Row],[PRESTAMO]])</f>
        <v>-54330833</v>
      </c>
      <c r="G411" s="8"/>
      <c r="H411" s="8"/>
      <c r="I411" s="5" t="b">
        <f>IF(FINANCIACION[[#This Row],[$ CAPITAL]]&gt;0,FINANCIACION[[#This Row],[$ CAPITAL]])</f>
        <v>0</v>
      </c>
      <c r="J411" s="36">
        <f>IF(FINANCIACION[[#This Row],[$ CAPITAL]]&gt;=0,FINANCIACION[[#This Row],[$ CAPITAL]]+FINANCIACION[[#This Row],[$ INTERESES]],0)</f>
        <v>76791</v>
      </c>
    </row>
    <row r="412" spans="1:10" ht="24" hidden="1" customHeight="1" x14ac:dyDescent="0.25">
      <c r="A412" s="7">
        <v>44165</v>
      </c>
      <c r="B412" s="53" t="s">
        <v>194</v>
      </c>
      <c r="C412" s="5">
        <v>230412</v>
      </c>
      <c r="D412" s="5"/>
      <c r="E412" s="169">
        <f>+IF(FINANCIACION[[#This Row],[$ CAPITAL]]&gt;=0,FINANCIACION[[#This Row],[$ CAPITAL]]+FINANCIACION[[#This Row],[$ INTERESES]],"")</f>
        <v>230412</v>
      </c>
      <c r="F412" s="169">
        <f>+SUMIFS(FINANCIACION[$ CAPITAL],FINANCIACION[Fecha],"&lt;="&amp;FINANCIACION[[#This Row],[Fecha]],FINANCIACION[PRESTAMO],FINANCIACION[[#This Row],[PRESTAMO]])</f>
        <v>-3071640</v>
      </c>
      <c r="G412" s="8"/>
      <c r="H412" s="8"/>
      <c r="I412" s="5">
        <f>IF(FINANCIACION[[#This Row],[$ CAPITAL]]&gt;0,FINANCIACION[[#This Row],[$ CAPITAL]])</f>
        <v>230412</v>
      </c>
      <c r="J412" s="36">
        <f>IF(FINANCIACION[[#This Row],[$ CAPITAL]]&gt;=0,FINANCIACION[[#This Row],[$ CAPITAL]]+FINANCIACION[[#This Row],[$ INTERESES]],0)</f>
        <v>230412</v>
      </c>
    </row>
    <row r="413" spans="1:10" ht="24" hidden="1" customHeight="1" x14ac:dyDescent="0.25">
      <c r="A413" s="7">
        <v>44165</v>
      </c>
      <c r="B413" s="53" t="s">
        <v>194</v>
      </c>
      <c r="C413" s="5"/>
      <c r="D413" s="5">
        <v>497969</v>
      </c>
      <c r="E413" s="169">
        <f>+IF(FINANCIACION[[#This Row],[$ CAPITAL]]&gt;=0,FINANCIACION[[#This Row],[$ CAPITAL]]+FINANCIACION[[#This Row],[$ INTERESES]],"")</f>
        <v>497969</v>
      </c>
      <c r="F413" s="169">
        <f>+SUMIFS(FINANCIACION[$ CAPITAL],FINANCIACION[Fecha],"&lt;="&amp;FINANCIACION[[#This Row],[Fecha]],FINANCIACION[PRESTAMO],FINANCIACION[[#This Row],[PRESTAMO]])</f>
        <v>-3071640</v>
      </c>
      <c r="G413" s="8"/>
      <c r="H413" s="8"/>
      <c r="I413" s="5" t="b">
        <f>IF(FINANCIACION[[#This Row],[$ CAPITAL]]&gt;0,FINANCIACION[[#This Row],[$ CAPITAL]])</f>
        <v>0</v>
      </c>
      <c r="J413" s="36">
        <f>IF(FINANCIACION[[#This Row],[$ CAPITAL]]&gt;=0,FINANCIACION[[#This Row],[$ CAPITAL]]+FINANCIACION[[#This Row],[$ INTERESES]],0)</f>
        <v>497969</v>
      </c>
    </row>
    <row r="414" spans="1:10" ht="24" hidden="1" customHeight="1" x14ac:dyDescent="0.25">
      <c r="A414" s="7">
        <v>44165</v>
      </c>
      <c r="B414" s="53" t="s">
        <v>1217</v>
      </c>
      <c r="C414" s="5">
        <v>5494197</v>
      </c>
      <c r="D414" s="5"/>
      <c r="E414" s="169">
        <f>+IF(FINANCIACION[[#This Row],[$ CAPITAL]]&gt;=0,FINANCIACION[[#This Row],[$ CAPITAL]]+FINANCIACION[[#This Row],[$ INTERESES]],"")</f>
        <v>5494197</v>
      </c>
      <c r="F414" s="169">
        <f>+SUMIFS(FINANCIACION[$ CAPITAL],FINANCIACION[Fecha],"&lt;="&amp;FINANCIACION[[#This Row],[Fecha]],FINANCIACION[PRESTAMO],FINANCIACION[[#This Row],[PRESTAMO]])</f>
        <v>-396995870</v>
      </c>
      <c r="G414" s="8"/>
      <c r="H414" s="8"/>
      <c r="I414" s="5">
        <f>IF(FINANCIACION[[#This Row],[$ CAPITAL]]&gt;0,FINANCIACION[[#This Row],[$ CAPITAL]])</f>
        <v>5494197</v>
      </c>
      <c r="J414" s="36">
        <f>IF(FINANCIACION[[#This Row],[$ CAPITAL]]&gt;=0,FINANCIACION[[#This Row],[$ CAPITAL]]+FINANCIACION[[#This Row],[$ INTERESES]],0)</f>
        <v>5494197</v>
      </c>
    </row>
    <row r="415" spans="1:10" ht="24" hidden="1" customHeight="1" x14ac:dyDescent="0.25">
      <c r="A415" s="7">
        <v>44165</v>
      </c>
      <c r="B415" s="53" t="s">
        <v>1218</v>
      </c>
      <c r="C415" s="5">
        <v>2118385.0699999928</v>
      </c>
      <c r="D415" s="5"/>
      <c r="E415" s="169">
        <f>+IF(FINANCIACION[[#This Row],[$ CAPITAL]]&gt;=0,FINANCIACION[[#This Row],[$ CAPITAL]]+FINANCIACION[[#This Row],[$ INTERESES]],"")</f>
        <v>2118385.0699999928</v>
      </c>
      <c r="F415" s="169">
        <f>+SUMIFS(FINANCIACION[$ CAPITAL],FINANCIACION[Fecha],"&lt;="&amp;FINANCIACION[[#This Row],[Fecha]],FINANCIACION[PRESTAMO],FINANCIACION[[#This Row],[PRESTAMO]])</f>
        <v>-85486465.350000039</v>
      </c>
      <c r="G415" s="8"/>
      <c r="H415" s="8"/>
      <c r="I415" s="5">
        <f>IF(FINANCIACION[[#This Row],[$ CAPITAL]]&gt;0,FINANCIACION[[#This Row],[$ CAPITAL]])</f>
        <v>2118385.0699999928</v>
      </c>
      <c r="J415" s="36">
        <f>IF(FINANCIACION[[#This Row],[$ CAPITAL]]&gt;=0,FINANCIACION[[#This Row],[$ CAPITAL]]+FINANCIACION[[#This Row],[$ INTERESES]],0)</f>
        <v>2118385.0699999928</v>
      </c>
    </row>
    <row r="416" spans="1:10" ht="24" hidden="1" customHeight="1" x14ac:dyDescent="0.25">
      <c r="A416" s="7">
        <v>44165</v>
      </c>
      <c r="B416" s="53" t="s">
        <v>1218</v>
      </c>
      <c r="C416" s="5">
        <v>3258640.2100000009</v>
      </c>
      <c r="D416" s="5"/>
      <c r="E416" s="169">
        <f>+IF(FINANCIACION[[#This Row],[$ CAPITAL]]&gt;=0,FINANCIACION[[#This Row],[$ CAPITAL]]+FINANCIACION[[#This Row],[$ INTERESES]],"")</f>
        <v>3258640.2100000009</v>
      </c>
      <c r="F416" s="169">
        <f>+SUMIFS(FINANCIACION[$ CAPITAL],FINANCIACION[Fecha],"&lt;="&amp;FINANCIACION[[#This Row],[Fecha]],FINANCIACION[PRESTAMO],FINANCIACION[[#This Row],[PRESTAMO]])</f>
        <v>-85486465.350000039</v>
      </c>
      <c r="G416" s="8"/>
      <c r="H416" s="8"/>
      <c r="I416" s="5">
        <f>IF(FINANCIACION[[#This Row],[$ CAPITAL]]&gt;0,FINANCIACION[[#This Row],[$ CAPITAL]])</f>
        <v>3258640.2100000009</v>
      </c>
      <c r="J416" s="36">
        <f>IF(FINANCIACION[[#This Row],[$ CAPITAL]]&gt;=0,FINANCIACION[[#This Row],[$ CAPITAL]]+FINANCIACION[[#This Row],[$ INTERESES]],0)</f>
        <v>3258640.2100000009</v>
      </c>
    </row>
    <row r="417" spans="1:10" ht="24" hidden="1" customHeight="1" x14ac:dyDescent="0.25">
      <c r="A417" s="7">
        <v>44165</v>
      </c>
      <c r="B417" s="53" t="s">
        <v>1218</v>
      </c>
      <c r="C417" s="5">
        <v>-2196802.0000000005</v>
      </c>
      <c r="D417" s="5"/>
      <c r="E417" s="169" t="str">
        <f>+IF(FINANCIACION[[#This Row],[$ CAPITAL]]&gt;=0,FINANCIACION[[#This Row],[$ CAPITAL]]+FINANCIACION[[#This Row],[$ INTERESES]],"")</f>
        <v/>
      </c>
      <c r="F417" s="169">
        <f>+SUMIFS(FINANCIACION[$ CAPITAL],FINANCIACION[Fecha],"&lt;="&amp;FINANCIACION[[#This Row],[Fecha]],FINANCIACION[PRESTAMO],FINANCIACION[[#This Row],[PRESTAMO]])</f>
        <v>-85486465.350000039</v>
      </c>
      <c r="G417" s="8"/>
      <c r="H417" s="8"/>
      <c r="I417" s="5" t="b">
        <f>IF(FINANCIACION[[#This Row],[$ CAPITAL]]&gt;0,FINANCIACION[[#This Row],[$ CAPITAL]])</f>
        <v>0</v>
      </c>
      <c r="J417" s="36">
        <f>IF(FINANCIACION[[#This Row],[$ CAPITAL]]&gt;=0,FINANCIACION[[#This Row],[$ CAPITAL]]+FINANCIACION[[#This Row],[$ INTERESES]],0)</f>
        <v>0</v>
      </c>
    </row>
    <row r="418" spans="1:10" ht="24" hidden="1" customHeight="1" x14ac:dyDescent="0.25">
      <c r="A418" s="7">
        <v>44165</v>
      </c>
      <c r="B418" s="53" t="s">
        <v>1218</v>
      </c>
      <c r="C418" s="5">
        <v>-14475360.000000004</v>
      </c>
      <c r="D418" s="5"/>
      <c r="E418" s="169" t="str">
        <f>+IF(FINANCIACION[[#This Row],[$ CAPITAL]]&gt;=0,FINANCIACION[[#This Row],[$ CAPITAL]]+FINANCIACION[[#This Row],[$ INTERESES]],"")</f>
        <v/>
      </c>
      <c r="F418" s="169">
        <f>+SUMIFS(FINANCIACION[$ CAPITAL],FINANCIACION[Fecha],"&lt;="&amp;FINANCIACION[[#This Row],[Fecha]],FINANCIACION[PRESTAMO],FINANCIACION[[#This Row],[PRESTAMO]])</f>
        <v>-85486465.350000039</v>
      </c>
      <c r="G418" s="8"/>
      <c r="H418" s="8"/>
      <c r="I418" s="5" t="b">
        <f>IF(FINANCIACION[[#This Row],[$ CAPITAL]]&gt;0,FINANCIACION[[#This Row],[$ CAPITAL]])</f>
        <v>0</v>
      </c>
      <c r="J418" s="36">
        <f>IF(FINANCIACION[[#This Row],[$ CAPITAL]]&gt;=0,FINANCIACION[[#This Row],[$ CAPITAL]]+FINANCIACION[[#This Row],[$ INTERESES]],0)</f>
        <v>0</v>
      </c>
    </row>
    <row r="419" spans="1:10" ht="24" hidden="1" customHeight="1" x14ac:dyDescent="0.25">
      <c r="A419" s="7">
        <v>44165</v>
      </c>
      <c r="B419" s="53" t="s">
        <v>1218</v>
      </c>
      <c r="C419" s="5">
        <v>-2496148</v>
      </c>
      <c r="D419" s="5"/>
      <c r="E419" s="169" t="str">
        <f>+IF(FINANCIACION[[#This Row],[$ CAPITAL]]&gt;=0,FINANCIACION[[#This Row],[$ CAPITAL]]+FINANCIACION[[#This Row],[$ INTERESES]],"")</f>
        <v/>
      </c>
      <c r="F419" s="169">
        <f>+SUMIFS(FINANCIACION[$ CAPITAL],FINANCIACION[Fecha],"&lt;="&amp;FINANCIACION[[#This Row],[Fecha]],FINANCIACION[PRESTAMO],FINANCIACION[[#This Row],[PRESTAMO]])</f>
        <v>-85486465.350000039</v>
      </c>
      <c r="G419" s="8"/>
      <c r="H419" s="8"/>
      <c r="I419" s="5" t="b">
        <f>IF(FINANCIACION[[#This Row],[$ CAPITAL]]&gt;0,FINANCIACION[[#This Row],[$ CAPITAL]])</f>
        <v>0</v>
      </c>
      <c r="J419" s="36">
        <f>IF(FINANCIACION[[#This Row],[$ CAPITAL]]&gt;=0,FINANCIACION[[#This Row],[$ CAPITAL]]+FINANCIACION[[#This Row],[$ INTERESES]],0)</f>
        <v>0</v>
      </c>
    </row>
    <row r="420" spans="1:10" ht="24" hidden="1" customHeight="1" x14ac:dyDescent="0.25">
      <c r="A420" s="7">
        <v>44165</v>
      </c>
      <c r="B420" s="53" t="s">
        <v>1221</v>
      </c>
      <c r="C420" s="5">
        <v>2082309.400000006</v>
      </c>
      <c r="D420" s="5"/>
      <c r="E420" s="169">
        <f>+IF(FINANCIACION[[#This Row],[$ CAPITAL]]&gt;=0,FINANCIACION[[#This Row],[$ CAPITAL]]+FINANCIACION[[#This Row],[$ INTERESES]],"")</f>
        <v>2082309.400000006</v>
      </c>
      <c r="F420" s="169">
        <f>+SUMIFS(FINANCIACION[$ CAPITAL],FINANCIACION[Fecha],"&lt;="&amp;FINANCIACION[[#This Row],[Fecha]],FINANCIACION[PRESTAMO],FINANCIACION[[#This Row],[PRESTAMO]])</f>
        <v>-65352731.340000004</v>
      </c>
      <c r="G420" s="8"/>
      <c r="H420" s="8"/>
      <c r="I420" s="5">
        <f>IF(FINANCIACION[[#This Row],[$ CAPITAL]]&gt;0,FINANCIACION[[#This Row],[$ CAPITAL]])</f>
        <v>2082309.400000006</v>
      </c>
      <c r="J420" s="36">
        <f>IF(FINANCIACION[[#This Row],[$ CAPITAL]]&gt;=0,FINANCIACION[[#This Row],[$ CAPITAL]]+FINANCIACION[[#This Row],[$ INTERESES]],0)</f>
        <v>2082309.400000006</v>
      </c>
    </row>
    <row r="421" spans="1:10" ht="24" hidden="1" customHeight="1" x14ac:dyDescent="0.25">
      <c r="A421" s="7">
        <v>44165</v>
      </c>
      <c r="B421" s="53" t="s">
        <v>1222</v>
      </c>
      <c r="C421" s="5">
        <v>3330972.049999997</v>
      </c>
      <c r="D421" s="5"/>
      <c r="E421" s="169">
        <f>+IF(FINANCIACION[[#This Row],[$ CAPITAL]]&gt;=0,FINANCIACION[[#This Row],[$ CAPITAL]]+FINANCIACION[[#This Row],[$ INTERESES]],"")</f>
        <v>3330972.049999997</v>
      </c>
      <c r="F421" s="169">
        <f>+SUMIFS(FINANCIACION[$ CAPITAL],FINANCIACION[Fecha],"&lt;="&amp;FINANCIACION[[#This Row],[Fecha]],FINANCIACION[PRESTAMO],FINANCIACION[[#This Row],[PRESTAMO]])</f>
        <v>-95116654.469999999</v>
      </c>
      <c r="G421" s="8"/>
      <c r="H421" s="8"/>
      <c r="I421" s="5">
        <f>IF(FINANCIACION[[#This Row],[$ CAPITAL]]&gt;0,FINANCIACION[[#This Row],[$ CAPITAL]])</f>
        <v>3330972.049999997</v>
      </c>
      <c r="J421" s="36">
        <f>IF(FINANCIACION[[#This Row],[$ CAPITAL]]&gt;=0,FINANCIACION[[#This Row],[$ CAPITAL]]+FINANCIACION[[#This Row],[$ INTERESES]],0)</f>
        <v>3330972.049999997</v>
      </c>
    </row>
    <row r="422" spans="1:10" ht="24" hidden="1" customHeight="1" x14ac:dyDescent="0.25">
      <c r="A422" s="7">
        <v>44165</v>
      </c>
      <c r="B422" s="53" t="s">
        <v>1223</v>
      </c>
      <c r="C422" s="5">
        <v>409054.01000000164</v>
      </c>
      <c r="D422" s="5"/>
      <c r="E422" s="169">
        <f>+IF(FINANCIACION[[#This Row],[$ CAPITAL]]&gt;=0,FINANCIACION[[#This Row],[$ CAPITAL]]+FINANCIACION[[#This Row],[$ INTERESES]],"")</f>
        <v>409054.01000000164</v>
      </c>
      <c r="F422" s="169">
        <f>+SUMIFS(FINANCIACION[$ CAPITAL],FINANCIACION[Fecha],"&lt;="&amp;FINANCIACION[[#This Row],[Fecha]],FINANCIACION[PRESTAMO],FINANCIACION[[#This Row],[PRESTAMO]])</f>
        <v>-25884693.530000001</v>
      </c>
      <c r="G422" s="8"/>
      <c r="H422" s="8"/>
      <c r="I422" s="5">
        <f>IF(FINANCIACION[[#This Row],[$ CAPITAL]]&gt;0,FINANCIACION[[#This Row],[$ CAPITAL]])</f>
        <v>409054.01000000164</v>
      </c>
      <c r="J422" s="36">
        <f>IF(FINANCIACION[[#This Row],[$ CAPITAL]]&gt;=0,FINANCIACION[[#This Row],[$ CAPITAL]]+FINANCIACION[[#This Row],[$ INTERESES]],0)</f>
        <v>409054.01000000164</v>
      </c>
    </row>
    <row r="423" spans="1:10" ht="24" hidden="1" customHeight="1" x14ac:dyDescent="0.25">
      <c r="A423" s="7">
        <v>44165</v>
      </c>
      <c r="B423" s="53" t="s">
        <v>1225</v>
      </c>
      <c r="C423" s="5">
        <v>214280.08000000194</v>
      </c>
      <c r="D423" s="5"/>
      <c r="E423" s="169">
        <f>+IF(FINANCIACION[[#This Row],[$ CAPITAL]]&gt;=0,FINANCIACION[[#This Row],[$ CAPITAL]]+FINANCIACION[[#This Row],[$ INTERESES]],"")</f>
        <v>214280.08000000194</v>
      </c>
      <c r="F423" s="169">
        <f>+SUMIFS(FINANCIACION[$ CAPITAL],FINANCIACION[Fecha],"&lt;="&amp;FINANCIACION[[#This Row],[Fecha]],FINANCIACION[PRESTAMO],FINANCIACION[[#This Row],[PRESTAMO]])</f>
        <v>-27121357.289999999</v>
      </c>
      <c r="G423" s="8"/>
      <c r="H423" s="8"/>
      <c r="I423" s="5">
        <f>IF(FINANCIACION[[#This Row],[$ CAPITAL]]&gt;0,FINANCIACION[[#This Row],[$ CAPITAL]])</f>
        <v>214280.08000000194</v>
      </c>
      <c r="J423" s="36">
        <f>IF(FINANCIACION[[#This Row],[$ CAPITAL]]&gt;=0,FINANCIACION[[#This Row],[$ CAPITAL]]+FINANCIACION[[#This Row],[$ INTERESES]],0)</f>
        <v>214280.08000000194</v>
      </c>
    </row>
    <row r="424" spans="1:10" ht="24" hidden="1" customHeight="1" x14ac:dyDescent="0.25">
      <c r="A424" s="7">
        <v>44166</v>
      </c>
      <c r="B424" s="53" t="s">
        <v>196</v>
      </c>
      <c r="C424" s="5">
        <v>-90130880</v>
      </c>
      <c r="D424" s="5"/>
      <c r="E424" s="169" t="str">
        <f>+IF(FINANCIACION[[#This Row],[$ CAPITAL]]&gt;=0,FINANCIACION[[#This Row],[$ CAPITAL]]+FINANCIACION[[#This Row],[$ INTERESES]],"")</f>
        <v/>
      </c>
      <c r="F424" s="169">
        <f>+SUMIFS(FINANCIACION[$ CAPITAL],FINANCIACION[Fecha],"&lt;="&amp;FINANCIACION[[#This Row],[Fecha]],FINANCIACION[PRESTAMO],FINANCIACION[[#This Row],[PRESTAMO]])</f>
        <v>-90130880</v>
      </c>
      <c r="G424" s="8" t="s">
        <v>232</v>
      </c>
      <c r="H424" s="8">
        <v>-25751.68</v>
      </c>
      <c r="I424" s="5" t="b">
        <f>IF(FINANCIACION[[#This Row],[$ CAPITAL]]&gt;0,FINANCIACION[[#This Row],[$ CAPITAL]])</f>
        <v>0</v>
      </c>
      <c r="J424" s="36">
        <f>IF(FINANCIACION[[#This Row],[$ CAPITAL]]&gt;=0,FINANCIACION[[#This Row],[$ CAPITAL]]+FINANCIACION[[#This Row],[$ INTERESES]],0)</f>
        <v>0</v>
      </c>
    </row>
    <row r="425" spans="1:10" ht="24" hidden="1" customHeight="1" x14ac:dyDescent="0.25">
      <c r="A425" s="7">
        <v>44167</v>
      </c>
      <c r="B425" s="53" t="s">
        <v>1218</v>
      </c>
      <c r="C425" s="5">
        <v>7066420</v>
      </c>
      <c r="D425" s="5"/>
      <c r="E425" s="169">
        <f>+IF(FINANCIACION[[#This Row],[$ CAPITAL]]&gt;=0,FINANCIACION[[#This Row],[$ CAPITAL]]+FINANCIACION[[#This Row],[$ INTERESES]],"")</f>
        <v>7066420</v>
      </c>
      <c r="F425" s="169">
        <f>+SUMIFS(FINANCIACION[$ CAPITAL],FINANCIACION[Fecha],"&lt;="&amp;FINANCIACION[[#This Row],[Fecha]],FINANCIACION[PRESTAMO],FINANCIACION[[#This Row],[PRESTAMO]])</f>
        <v>-78420045.350000039</v>
      </c>
      <c r="G425" s="8"/>
      <c r="H425" s="8"/>
      <c r="I425" s="5">
        <f>IF(FINANCIACION[[#This Row],[$ CAPITAL]]&gt;0,FINANCIACION[[#This Row],[$ CAPITAL]])</f>
        <v>7066420</v>
      </c>
      <c r="J425" s="36">
        <f>IF(FINANCIACION[[#This Row],[$ CAPITAL]]&gt;=0,FINANCIACION[[#This Row],[$ CAPITAL]]+FINANCIACION[[#This Row],[$ INTERESES]],0)</f>
        <v>7066420</v>
      </c>
    </row>
    <row r="426" spans="1:10" ht="24" hidden="1" customHeight="1" x14ac:dyDescent="0.25">
      <c r="A426" s="7">
        <v>44169</v>
      </c>
      <c r="B426" s="53" t="s">
        <v>1218</v>
      </c>
      <c r="C426" s="5">
        <v>990094.53</v>
      </c>
      <c r="D426" s="5">
        <v>169712.89</v>
      </c>
      <c r="E426" s="169">
        <f>+IF(FINANCIACION[[#This Row],[$ CAPITAL]]&gt;=0,FINANCIACION[[#This Row],[$ CAPITAL]]+FINANCIACION[[#This Row],[$ INTERESES]],"")</f>
        <v>1159807.42</v>
      </c>
      <c r="F426" s="169">
        <f>+SUMIFS(FINANCIACION[$ CAPITAL],FINANCIACION[Fecha],"&lt;="&amp;FINANCIACION[[#This Row],[Fecha]],FINANCIACION[PRESTAMO],FINANCIACION[[#This Row],[PRESTAMO]])</f>
        <v>-77429950.820000038</v>
      </c>
      <c r="G426" s="8"/>
      <c r="H426" s="8"/>
      <c r="I426" s="5">
        <f>IF(FINANCIACION[[#This Row],[$ CAPITAL]]&gt;0,FINANCIACION[[#This Row],[$ CAPITAL]])</f>
        <v>990094.53</v>
      </c>
      <c r="J426" s="36">
        <f>IF(FINANCIACION[[#This Row],[$ CAPITAL]]&gt;=0,FINANCIACION[[#This Row],[$ CAPITAL]]+FINANCIACION[[#This Row],[$ INTERESES]],0)</f>
        <v>1159807.42</v>
      </c>
    </row>
    <row r="427" spans="1:10" ht="24" hidden="1" customHeight="1" x14ac:dyDescent="0.25">
      <c r="A427" s="7">
        <v>44171</v>
      </c>
      <c r="B427" s="53" t="s">
        <v>197</v>
      </c>
      <c r="C427" s="5">
        <v>6326000</v>
      </c>
      <c r="D427" s="5">
        <v>662992.15</v>
      </c>
      <c r="E427" s="169">
        <f>+IF(FINANCIACION[[#This Row],[$ CAPITAL]]&gt;=0,FINANCIACION[[#This Row],[$ CAPITAL]]+FINANCIACION[[#This Row],[$ INTERESES]],"")</f>
        <v>6988992.1500000004</v>
      </c>
      <c r="F427" s="169">
        <f>+SUMIFS(FINANCIACION[$ CAPITAL],FINANCIACION[Fecha],"&lt;="&amp;FINANCIACION[[#This Row],[Fecha]],FINANCIACION[PRESTAMO],FINANCIACION[[#This Row],[PRESTAMO]])</f>
        <v>-91995126</v>
      </c>
      <c r="G427" s="8"/>
      <c r="H427" s="8"/>
      <c r="I427" s="5">
        <f>IF(FINANCIACION[[#This Row],[$ CAPITAL]]&gt;0,FINANCIACION[[#This Row],[$ CAPITAL]])</f>
        <v>6326000</v>
      </c>
      <c r="J427" s="36">
        <f>IF(FINANCIACION[[#This Row],[$ CAPITAL]]&gt;=0,FINANCIACION[[#This Row],[$ CAPITAL]]+FINANCIACION[[#This Row],[$ INTERESES]],0)</f>
        <v>6988992.1500000004</v>
      </c>
    </row>
    <row r="428" spans="1:10" ht="24" hidden="1" customHeight="1" x14ac:dyDescent="0.25">
      <c r="A428" s="7">
        <v>44172</v>
      </c>
      <c r="B428" s="53" t="s">
        <v>1218</v>
      </c>
      <c r="C428" s="5">
        <v>1500000</v>
      </c>
      <c r="D428" s="5"/>
      <c r="E428" s="169">
        <f>+IF(FINANCIACION[[#This Row],[$ CAPITAL]]&gt;=0,FINANCIACION[[#This Row],[$ CAPITAL]]+FINANCIACION[[#This Row],[$ INTERESES]],"")</f>
        <v>1500000</v>
      </c>
      <c r="F428" s="169">
        <f>+SUMIFS(FINANCIACION[$ CAPITAL],FINANCIACION[Fecha],"&lt;="&amp;FINANCIACION[[#This Row],[Fecha]],FINANCIACION[PRESTAMO],FINANCIACION[[#This Row],[PRESTAMO]])</f>
        <v>-75929950.820000038</v>
      </c>
      <c r="G428" s="8"/>
      <c r="H428" s="8"/>
      <c r="I428" s="5">
        <f>IF(FINANCIACION[[#This Row],[$ CAPITAL]]&gt;0,FINANCIACION[[#This Row],[$ CAPITAL]])</f>
        <v>1500000</v>
      </c>
      <c r="J428" s="36">
        <f>IF(FINANCIACION[[#This Row],[$ CAPITAL]]&gt;=0,FINANCIACION[[#This Row],[$ CAPITAL]]+FINANCIACION[[#This Row],[$ INTERESES]],0)</f>
        <v>1500000</v>
      </c>
    </row>
    <row r="429" spans="1:10" ht="24" hidden="1" customHeight="1" x14ac:dyDescent="0.25">
      <c r="A429" s="7">
        <v>44175</v>
      </c>
      <c r="B429" s="53" t="s">
        <v>1215</v>
      </c>
      <c r="C429" s="5">
        <v>1655718.33</v>
      </c>
      <c r="D429" s="5">
        <v>910181.67</v>
      </c>
      <c r="E429" s="169">
        <f>+IF(FINANCIACION[[#This Row],[$ CAPITAL]]&gt;=0,FINANCIACION[[#This Row],[$ CAPITAL]]+FINANCIACION[[#This Row],[$ INTERESES]],"")</f>
        <v>2565900</v>
      </c>
      <c r="F429" s="169">
        <f>+SUMIFS(FINANCIACION[$ CAPITAL],FINANCIACION[Fecha],"&lt;="&amp;FINANCIACION[[#This Row],[Fecha]],FINANCIACION[PRESTAMO],FINANCIACION[[#This Row],[PRESTAMO]])</f>
        <v>-89362448.670000002</v>
      </c>
      <c r="G429" s="8"/>
      <c r="H429" s="8"/>
      <c r="I429" s="5">
        <f>IF(FINANCIACION[[#This Row],[$ CAPITAL]]&gt;0,FINANCIACION[[#This Row],[$ CAPITAL]])</f>
        <v>1655718.33</v>
      </c>
      <c r="J429" s="36">
        <f>IF(FINANCIACION[[#This Row],[$ CAPITAL]]&gt;=0,FINANCIACION[[#This Row],[$ CAPITAL]]+FINANCIACION[[#This Row],[$ INTERESES]],0)</f>
        <v>2565900</v>
      </c>
    </row>
    <row r="430" spans="1:10" ht="24" hidden="1" customHeight="1" x14ac:dyDescent="0.25">
      <c r="A430" s="7">
        <v>44175</v>
      </c>
      <c r="B430" s="53" t="s">
        <v>1219</v>
      </c>
      <c r="C430" s="5">
        <v>867085</v>
      </c>
      <c r="D430" s="5">
        <v>132915</v>
      </c>
      <c r="E430" s="169">
        <f>+IF(FINANCIACION[[#This Row],[$ CAPITAL]]&gt;=0,FINANCIACION[[#This Row],[$ CAPITAL]]+FINANCIACION[[#This Row],[$ INTERESES]],"")</f>
        <v>1000000</v>
      </c>
      <c r="F430" s="169">
        <f>+SUMIFS(FINANCIACION[$ CAPITAL],FINANCIACION[Fecha],"&lt;="&amp;FINANCIACION[[#This Row],[Fecha]],FINANCIACION[PRESTAMO],FINANCIACION[[#This Row],[PRESTAMO]])</f>
        <v>-12424415</v>
      </c>
      <c r="G430" s="8"/>
      <c r="H430" s="8"/>
      <c r="I430" s="5">
        <f>IF(FINANCIACION[[#This Row],[$ CAPITAL]]&gt;0,FINANCIACION[[#This Row],[$ CAPITAL]])</f>
        <v>867085</v>
      </c>
      <c r="J430" s="36">
        <f>IF(FINANCIACION[[#This Row],[$ CAPITAL]]&gt;=0,FINANCIACION[[#This Row],[$ CAPITAL]]+FINANCIACION[[#This Row],[$ INTERESES]],0)</f>
        <v>1000000</v>
      </c>
    </row>
    <row r="431" spans="1:10" ht="24" hidden="1" customHeight="1" x14ac:dyDescent="0.25">
      <c r="A431" s="7">
        <v>44175</v>
      </c>
      <c r="B431" s="53" t="s">
        <v>1216</v>
      </c>
      <c r="C431" s="5">
        <v>548356.17000000004</v>
      </c>
      <c r="D431" s="5">
        <v>651643.82999999996</v>
      </c>
      <c r="E431" s="169">
        <f>+IF(FINANCIACION[[#This Row],[$ CAPITAL]]&gt;=0,FINANCIACION[[#This Row],[$ CAPITAL]]+FINANCIACION[[#This Row],[$ INTERESES]],"")</f>
        <v>1200000</v>
      </c>
      <c r="F431" s="169">
        <f>+SUMIFS(FINANCIACION[$ CAPITAL],FINANCIACION[Fecha],"&lt;="&amp;FINANCIACION[[#This Row],[Fecha]],FINANCIACION[PRESTAMO],FINANCIACION[[#This Row],[PRESTAMO]])</f>
        <v>-64616026.93</v>
      </c>
      <c r="G431" s="8"/>
      <c r="H431" s="8"/>
      <c r="I431" s="5">
        <f>IF(FINANCIACION[[#This Row],[$ CAPITAL]]&gt;0,FINANCIACION[[#This Row],[$ CAPITAL]])</f>
        <v>548356.17000000004</v>
      </c>
      <c r="J431" s="36">
        <f>IF(FINANCIACION[[#This Row],[$ CAPITAL]]&gt;=0,FINANCIACION[[#This Row],[$ CAPITAL]]+FINANCIACION[[#This Row],[$ INTERESES]],0)</f>
        <v>1200000</v>
      </c>
    </row>
    <row r="432" spans="1:10" ht="24" hidden="1" customHeight="1" x14ac:dyDescent="0.25">
      <c r="A432" s="7">
        <v>44180</v>
      </c>
      <c r="B432" s="53" t="s">
        <v>1218</v>
      </c>
      <c r="C432" s="5">
        <v>500000</v>
      </c>
      <c r="D432" s="5"/>
      <c r="E432" s="169">
        <f>+IF(FINANCIACION[[#This Row],[$ CAPITAL]]&gt;=0,FINANCIACION[[#This Row],[$ CAPITAL]]+FINANCIACION[[#This Row],[$ INTERESES]],"")</f>
        <v>500000</v>
      </c>
      <c r="F432" s="169">
        <f>+SUMIFS(FINANCIACION[$ CAPITAL],FINANCIACION[Fecha],"&lt;="&amp;FINANCIACION[[#This Row],[Fecha]],FINANCIACION[PRESTAMO],FINANCIACION[[#This Row],[PRESTAMO]])</f>
        <v>-70280145.820000038</v>
      </c>
      <c r="G432" s="8"/>
      <c r="H432" s="8"/>
      <c r="I432" s="5">
        <f>IF(FINANCIACION[[#This Row],[$ CAPITAL]]&gt;0,FINANCIACION[[#This Row],[$ CAPITAL]])</f>
        <v>500000</v>
      </c>
      <c r="J432" s="36">
        <f>IF(FINANCIACION[[#This Row],[$ CAPITAL]]&gt;=0,FINANCIACION[[#This Row],[$ CAPITAL]]+FINANCIACION[[#This Row],[$ INTERESES]],0)</f>
        <v>500000</v>
      </c>
    </row>
    <row r="433" spans="1:16" ht="24" hidden="1" customHeight="1" x14ac:dyDescent="0.25">
      <c r="A433" s="7">
        <v>44180</v>
      </c>
      <c r="B433" s="53" t="s">
        <v>1218</v>
      </c>
      <c r="C433" s="5">
        <v>722835</v>
      </c>
      <c r="D433" s="5"/>
      <c r="E433" s="169">
        <f>+IF(FINANCIACION[[#This Row],[$ CAPITAL]]&gt;=0,FINANCIACION[[#This Row],[$ CAPITAL]]+FINANCIACION[[#This Row],[$ INTERESES]],"")</f>
        <v>722835</v>
      </c>
      <c r="F433" s="169">
        <f>+SUMIFS(FINANCIACION[$ CAPITAL],FINANCIACION[Fecha],"&lt;="&amp;FINANCIACION[[#This Row],[Fecha]],FINANCIACION[PRESTAMO],FINANCIACION[[#This Row],[PRESTAMO]])</f>
        <v>-70280145.820000038</v>
      </c>
      <c r="G433" s="8"/>
      <c r="H433" s="8"/>
      <c r="I433" s="5">
        <f>IF(FINANCIACION[[#This Row],[$ CAPITAL]]&gt;0,FINANCIACION[[#This Row],[$ CAPITAL]])</f>
        <v>722835</v>
      </c>
      <c r="J433" s="36">
        <f>IF(FINANCIACION[[#This Row],[$ CAPITAL]]&gt;=0,FINANCIACION[[#This Row],[$ CAPITAL]]+FINANCIACION[[#This Row],[$ INTERESES]],0)</f>
        <v>722835</v>
      </c>
    </row>
    <row r="434" spans="1:16" ht="24" hidden="1" customHeight="1" x14ac:dyDescent="0.25">
      <c r="A434" s="7">
        <v>44180</v>
      </c>
      <c r="B434" s="53" t="s">
        <v>1218</v>
      </c>
      <c r="C434" s="5">
        <v>1000000</v>
      </c>
      <c r="D434" s="5"/>
      <c r="E434" s="169">
        <f>+IF(FINANCIACION[[#This Row],[$ CAPITAL]]&gt;=0,FINANCIACION[[#This Row],[$ CAPITAL]]+FINANCIACION[[#This Row],[$ INTERESES]],"")</f>
        <v>1000000</v>
      </c>
      <c r="F434" s="169">
        <f>+SUMIFS(FINANCIACION[$ CAPITAL],FINANCIACION[Fecha],"&lt;="&amp;FINANCIACION[[#This Row],[Fecha]],FINANCIACION[PRESTAMO],FINANCIACION[[#This Row],[PRESTAMO]])</f>
        <v>-70280145.820000038</v>
      </c>
      <c r="G434" s="8"/>
      <c r="H434" s="8"/>
      <c r="I434" s="5">
        <f>IF(FINANCIACION[[#This Row],[$ CAPITAL]]&gt;0,FINANCIACION[[#This Row],[$ CAPITAL]])</f>
        <v>1000000</v>
      </c>
      <c r="J434" s="36">
        <f>IF(FINANCIACION[[#This Row],[$ CAPITAL]]&gt;=0,FINANCIACION[[#This Row],[$ CAPITAL]]+FINANCIACION[[#This Row],[$ INTERESES]],0)</f>
        <v>1000000</v>
      </c>
    </row>
    <row r="435" spans="1:16" ht="24" hidden="1" customHeight="1" x14ac:dyDescent="0.25">
      <c r="A435" s="7">
        <v>44180</v>
      </c>
      <c r="B435" s="53" t="s">
        <v>1218</v>
      </c>
      <c r="C435" s="5">
        <v>3426970</v>
      </c>
      <c r="D435" s="5"/>
      <c r="E435" s="169">
        <f>+IF(FINANCIACION[[#This Row],[$ CAPITAL]]&gt;=0,FINANCIACION[[#This Row],[$ CAPITAL]]+FINANCIACION[[#This Row],[$ INTERESES]],"")</f>
        <v>3426970</v>
      </c>
      <c r="F435" s="169">
        <f>+SUMIFS(FINANCIACION[$ CAPITAL],FINANCIACION[Fecha],"&lt;="&amp;FINANCIACION[[#This Row],[Fecha]],FINANCIACION[PRESTAMO],FINANCIACION[[#This Row],[PRESTAMO]])</f>
        <v>-70280145.820000038</v>
      </c>
      <c r="G435" s="8"/>
      <c r="H435" s="8"/>
      <c r="I435" s="5">
        <f>IF(FINANCIACION[[#This Row],[$ CAPITAL]]&gt;0,FINANCIACION[[#This Row],[$ CAPITAL]])</f>
        <v>3426970</v>
      </c>
      <c r="J435" s="36">
        <f>IF(FINANCIACION[[#This Row],[$ CAPITAL]]&gt;=0,FINANCIACION[[#This Row],[$ CAPITAL]]+FINANCIACION[[#This Row],[$ INTERESES]],0)</f>
        <v>3426970</v>
      </c>
    </row>
    <row r="436" spans="1:16" ht="24" hidden="1" customHeight="1" x14ac:dyDescent="0.25">
      <c r="A436" s="7">
        <v>44183</v>
      </c>
      <c r="B436" s="53" t="s">
        <v>1218</v>
      </c>
      <c r="C436" s="5">
        <v>1000000</v>
      </c>
      <c r="D436" s="5"/>
      <c r="E436" s="169">
        <f>+IF(FINANCIACION[[#This Row],[$ CAPITAL]]&gt;=0,FINANCIACION[[#This Row],[$ CAPITAL]]+FINANCIACION[[#This Row],[$ INTERESES]],"")</f>
        <v>1000000</v>
      </c>
      <c r="F436" s="169">
        <f>+SUMIFS(FINANCIACION[$ CAPITAL],FINANCIACION[Fecha],"&lt;="&amp;FINANCIACION[[#This Row],[Fecha]],FINANCIACION[PRESTAMO],FINANCIACION[[#This Row],[PRESTAMO]])</f>
        <v>-69280145.820000038</v>
      </c>
      <c r="G436" s="8"/>
      <c r="H436" s="8"/>
      <c r="I436" s="5">
        <f>IF(FINANCIACION[[#This Row],[$ CAPITAL]]&gt;0,FINANCIACION[[#This Row],[$ CAPITAL]])</f>
        <v>1000000</v>
      </c>
      <c r="J436" s="36">
        <f>IF(FINANCIACION[[#This Row],[$ CAPITAL]]&gt;=0,FINANCIACION[[#This Row],[$ CAPITAL]]+FINANCIACION[[#This Row],[$ INTERESES]],0)</f>
        <v>1000000</v>
      </c>
    </row>
    <row r="437" spans="1:16" ht="24" hidden="1" customHeight="1" x14ac:dyDescent="0.25">
      <c r="A437" s="7">
        <v>44184</v>
      </c>
      <c r="B437" s="53" t="s">
        <v>1218</v>
      </c>
      <c r="C437" s="5">
        <v>2000000</v>
      </c>
      <c r="D437" s="5"/>
      <c r="E437" s="169">
        <f>+IF(FINANCIACION[[#This Row],[$ CAPITAL]]&gt;=0,FINANCIACION[[#This Row],[$ CAPITAL]]+FINANCIACION[[#This Row],[$ INTERESES]],"")</f>
        <v>2000000</v>
      </c>
      <c r="F437" s="169">
        <f>+SUMIFS(FINANCIACION[$ CAPITAL],FINANCIACION[Fecha],"&lt;="&amp;FINANCIACION[[#This Row],[Fecha]],FINANCIACION[PRESTAMO],FINANCIACION[[#This Row],[PRESTAMO]])</f>
        <v>-67280145.820000038</v>
      </c>
      <c r="G437" s="8"/>
      <c r="H437" s="8"/>
      <c r="I437" s="5">
        <f>IF(FINANCIACION[[#This Row],[$ CAPITAL]]&gt;0,FINANCIACION[[#This Row],[$ CAPITAL]])</f>
        <v>2000000</v>
      </c>
      <c r="J437" s="36">
        <f>IF(FINANCIACION[[#This Row],[$ CAPITAL]]&gt;=0,FINANCIACION[[#This Row],[$ CAPITAL]]+FINANCIACION[[#This Row],[$ INTERESES]],0)</f>
        <v>2000000</v>
      </c>
    </row>
    <row r="438" spans="1:16" ht="24" hidden="1" customHeight="1" x14ac:dyDescent="0.25">
      <c r="A438" s="7">
        <v>44185</v>
      </c>
      <c r="B438" s="53" t="s">
        <v>1218</v>
      </c>
      <c r="C438" s="5">
        <v>2000000</v>
      </c>
      <c r="D438" s="5"/>
      <c r="E438" s="169">
        <f>+IF(FINANCIACION[[#This Row],[$ CAPITAL]]&gt;=0,FINANCIACION[[#This Row],[$ CAPITAL]]+FINANCIACION[[#This Row],[$ INTERESES]],"")</f>
        <v>2000000</v>
      </c>
      <c r="F438" s="169">
        <f>+SUMIFS(FINANCIACION[$ CAPITAL],FINANCIACION[Fecha],"&lt;="&amp;FINANCIACION[[#This Row],[Fecha]],FINANCIACION[PRESTAMO],FINANCIACION[[#This Row],[PRESTAMO]])</f>
        <v>-65280145.820000038</v>
      </c>
      <c r="G438" s="8"/>
      <c r="H438" s="8"/>
      <c r="I438" s="5">
        <f>IF(FINANCIACION[[#This Row],[$ CAPITAL]]&gt;0,FINANCIACION[[#This Row],[$ CAPITAL]])</f>
        <v>2000000</v>
      </c>
      <c r="J438" s="36">
        <f>IF(FINANCIACION[[#This Row],[$ CAPITAL]]&gt;=0,FINANCIACION[[#This Row],[$ CAPITAL]]+FINANCIACION[[#This Row],[$ INTERESES]],0)</f>
        <v>2000000</v>
      </c>
    </row>
    <row r="439" spans="1:16" ht="24" hidden="1" customHeight="1" x14ac:dyDescent="0.25">
      <c r="A439" s="7">
        <v>44187</v>
      </c>
      <c r="B439" s="53" t="s">
        <v>1217</v>
      </c>
      <c r="C439" s="5">
        <v>5215587</v>
      </c>
      <c r="D439" s="5"/>
      <c r="E439" s="169">
        <f>+IF(FINANCIACION[[#This Row],[$ CAPITAL]]&gt;=0,FINANCIACION[[#This Row],[$ CAPITAL]]+FINANCIACION[[#This Row],[$ INTERESES]],"")</f>
        <v>5215587</v>
      </c>
      <c r="F439" s="169">
        <f>+SUMIFS(FINANCIACION[$ CAPITAL],FINANCIACION[Fecha],"&lt;="&amp;FINANCIACION[[#This Row],[Fecha]],FINANCIACION[PRESTAMO],FINANCIACION[[#This Row],[PRESTAMO]])</f>
        <v>-391780283</v>
      </c>
      <c r="G439" s="8"/>
      <c r="H439" s="8"/>
      <c r="I439" s="5">
        <f>IF(FINANCIACION[[#This Row],[$ CAPITAL]]&gt;0,FINANCIACION[[#This Row],[$ CAPITAL]])</f>
        <v>5215587</v>
      </c>
      <c r="J439" s="36">
        <f>IF(FINANCIACION[[#This Row],[$ CAPITAL]]&gt;=0,FINANCIACION[[#This Row],[$ CAPITAL]]+FINANCIACION[[#This Row],[$ INTERESES]],0)</f>
        <v>5215587</v>
      </c>
    </row>
    <row r="440" spans="1:16" ht="24" hidden="1" customHeight="1" x14ac:dyDescent="0.25">
      <c r="A440" s="7">
        <v>44187</v>
      </c>
      <c r="B440" s="53" t="s">
        <v>1218</v>
      </c>
      <c r="C440" s="5">
        <v>2000000</v>
      </c>
      <c r="D440" s="5"/>
      <c r="E440" s="169">
        <f>+IF(FINANCIACION[[#This Row],[$ CAPITAL]]&gt;=0,FINANCIACION[[#This Row],[$ CAPITAL]]+FINANCIACION[[#This Row],[$ INTERESES]],"")</f>
        <v>2000000</v>
      </c>
      <c r="F440" s="169">
        <f>+SUMIFS(FINANCIACION[$ CAPITAL],FINANCIACION[Fecha],"&lt;="&amp;FINANCIACION[[#This Row],[Fecha]],FINANCIACION[PRESTAMO],FINANCIACION[[#This Row],[PRESTAMO]])</f>
        <v>-58837735.820000038</v>
      </c>
      <c r="G440" s="8"/>
      <c r="H440" s="8"/>
      <c r="I440" s="5">
        <f>IF(FINANCIACION[[#This Row],[$ CAPITAL]]&gt;0,FINANCIACION[[#This Row],[$ CAPITAL]])</f>
        <v>2000000</v>
      </c>
      <c r="J440" s="36">
        <f>IF(FINANCIACION[[#This Row],[$ CAPITAL]]&gt;=0,FINANCIACION[[#This Row],[$ CAPITAL]]+FINANCIACION[[#This Row],[$ INTERESES]],0)</f>
        <v>2000000</v>
      </c>
    </row>
    <row r="441" spans="1:16" ht="24" hidden="1" customHeight="1" x14ac:dyDescent="0.25">
      <c r="A441" s="7">
        <v>44187</v>
      </c>
      <c r="B441" s="53" t="s">
        <v>1218</v>
      </c>
      <c r="C441" s="5">
        <v>500000</v>
      </c>
      <c r="D441" s="5"/>
      <c r="E441" s="169">
        <f>+IF(FINANCIACION[[#This Row],[$ CAPITAL]]&gt;=0,FINANCIACION[[#This Row],[$ CAPITAL]]+FINANCIACION[[#This Row],[$ INTERESES]],"")</f>
        <v>500000</v>
      </c>
      <c r="F441" s="169">
        <f>+SUMIFS(FINANCIACION[$ CAPITAL],FINANCIACION[Fecha],"&lt;="&amp;FINANCIACION[[#This Row],[Fecha]],FINANCIACION[PRESTAMO],FINANCIACION[[#This Row],[PRESTAMO]])</f>
        <v>-58837735.820000038</v>
      </c>
      <c r="G441" s="8"/>
      <c r="H441" s="8"/>
      <c r="I441" s="5">
        <f>IF(FINANCIACION[[#This Row],[$ CAPITAL]]&gt;0,FINANCIACION[[#This Row],[$ CAPITAL]])</f>
        <v>500000</v>
      </c>
      <c r="J441" s="36">
        <f>IF(FINANCIACION[[#This Row],[$ CAPITAL]]&gt;=0,FINANCIACION[[#This Row],[$ CAPITAL]]+FINANCIACION[[#This Row],[$ INTERESES]],0)</f>
        <v>500000</v>
      </c>
    </row>
    <row r="442" spans="1:16" ht="24" hidden="1" customHeight="1" x14ac:dyDescent="0.25">
      <c r="A442" s="7">
        <v>44187</v>
      </c>
      <c r="B442" s="53" t="s">
        <v>1218</v>
      </c>
      <c r="C442" s="5">
        <v>3442410</v>
      </c>
      <c r="D442" s="5"/>
      <c r="E442" s="169">
        <f>+IF(FINANCIACION[[#This Row],[$ CAPITAL]]&gt;=0,FINANCIACION[[#This Row],[$ CAPITAL]]+FINANCIACION[[#This Row],[$ INTERESES]],"")</f>
        <v>3442410</v>
      </c>
      <c r="F442" s="169">
        <f>+SUMIFS(FINANCIACION[$ CAPITAL],FINANCIACION[Fecha],"&lt;="&amp;FINANCIACION[[#This Row],[Fecha]],FINANCIACION[PRESTAMO],FINANCIACION[[#This Row],[PRESTAMO]])</f>
        <v>-58837735.820000038</v>
      </c>
      <c r="G442" s="8"/>
      <c r="H442" s="8"/>
      <c r="I442" s="5">
        <f>IF(FINANCIACION[[#This Row],[$ CAPITAL]]&gt;0,FINANCIACION[[#This Row],[$ CAPITAL]])</f>
        <v>3442410</v>
      </c>
      <c r="J442" s="36">
        <f>IF(FINANCIACION[[#This Row],[$ CAPITAL]]&gt;=0,FINANCIACION[[#This Row],[$ CAPITAL]]+FINANCIACION[[#This Row],[$ INTERESES]],0)</f>
        <v>3442410</v>
      </c>
      <c r="K442" s="11"/>
      <c r="N442" s="6"/>
      <c r="O442" s="10"/>
      <c r="P442" s="9"/>
    </row>
    <row r="443" spans="1:16" ht="24" hidden="1" customHeight="1" x14ac:dyDescent="0.25">
      <c r="A443" s="7">
        <v>44187</v>
      </c>
      <c r="B443" s="53" t="s">
        <v>1218</v>
      </c>
      <c r="C443" s="5">
        <v>500000</v>
      </c>
      <c r="D443" s="5"/>
      <c r="E443" s="169">
        <f>+IF(FINANCIACION[[#This Row],[$ CAPITAL]]&gt;=0,FINANCIACION[[#This Row],[$ CAPITAL]]+FINANCIACION[[#This Row],[$ INTERESES]],"")</f>
        <v>500000</v>
      </c>
      <c r="F443" s="169">
        <f>+SUMIFS(FINANCIACION[$ CAPITAL],FINANCIACION[Fecha],"&lt;="&amp;FINANCIACION[[#This Row],[Fecha]],FINANCIACION[PRESTAMO],FINANCIACION[[#This Row],[PRESTAMO]])</f>
        <v>-58837735.820000038</v>
      </c>
      <c r="G443" s="8"/>
      <c r="H443" s="8"/>
      <c r="I443" s="5">
        <f>IF(FINANCIACION[[#This Row],[$ CAPITAL]]&gt;0,FINANCIACION[[#This Row],[$ CAPITAL]])</f>
        <v>500000</v>
      </c>
      <c r="J443" s="36">
        <f>IF(FINANCIACION[[#This Row],[$ CAPITAL]]&gt;=0,FINANCIACION[[#This Row],[$ CAPITAL]]+FINANCIACION[[#This Row],[$ INTERESES]],0)</f>
        <v>500000</v>
      </c>
      <c r="K443" s="11"/>
      <c r="N443" s="6"/>
      <c r="O443" s="10"/>
      <c r="P443" s="9"/>
    </row>
    <row r="444" spans="1:16" ht="24" hidden="1" customHeight="1" x14ac:dyDescent="0.25">
      <c r="A444" s="7">
        <v>44187</v>
      </c>
      <c r="B444" s="53" t="s">
        <v>1222</v>
      </c>
      <c r="C444" s="5">
        <v>1000000</v>
      </c>
      <c r="D444" s="5"/>
      <c r="E444" s="169">
        <f>+IF(FINANCIACION[[#This Row],[$ CAPITAL]]&gt;=0,FINANCIACION[[#This Row],[$ CAPITAL]]+FINANCIACION[[#This Row],[$ INTERESES]],"")</f>
        <v>1000000</v>
      </c>
      <c r="F444" s="169">
        <f>+SUMIFS(FINANCIACION[$ CAPITAL],FINANCIACION[Fecha],"&lt;="&amp;FINANCIACION[[#This Row],[Fecha]],FINANCIACION[PRESTAMO],FINANCIACION[[#This Row],[PRESTAMO]])</f>
        <v>-94116654.469999999</v>
      </c>
      <c r="G444" s="8"/>
      <c r="H444" s="8"/>
      <c r="I444" s="5">
        <f>IF(FINANCIACION[[#This Row],[$ CAPITAL]]&gt;0,FINANCIACION[[#This Row],[$ CAPITAL]])</f>
        <v>1000000</v>
      </c>
      <c r="J444" s="36">
        <f>IF(FINANCIACION[[#This Row],[$ CAPITAL]]&gt;=0,FINANCIACION[[#This Row],[$ CAPITAL]]+FINANCIACION[[#This Row],[$ INTERESES]],0)</f>
        <v>1000000</v>
      </c>
      <c r="K444" s="11"/>
      <c r="N444" s="6"/>
      <c r="O444" s="10"/>
      <c r="P444" s="9"/>
    </row>
    <row r="445" spans="1:16" ht="24" hidden="1" customHeight="1" x14ac:dyDescent="0.25">
      <c r="A445" s="7">
        <v>44187</v>
      </c>
      <c r="B445" s="53" t="s">
        <v>1223</v>
      </c>
      <c r="C445" s="5">
        <v>500000</v>
      </c>
      <c r="D445" s="5"/>
      <c r="E445" s="169">
        <f>+IF(FINANCIACION[[#This Row],[$ CAPITAL]]&gt;=0,FINANCIACION[[#This Row],[$ CAPITAL]]+FINANCIACION[[#This Row],[$ INTERESES]],"")</f>
        <v>500000</v>
      </c>
      <c r="F445" s="169">
        <f>+SUMIFS(FINANCIACION[$ CAPITAL],FINANCIACION[Fecha],"&lt;="&amp;FINANCIACION[[#This Row],[Fecha]],FINANCIACION[PRESTAMO],FINANCIACION[[#This Row],[PRESTAMO]])</f>
        <v>-25384693.530000001</v>
      </c>
      <c r="G445" s="8"/>
      <c r="H445" s="8"/>
      <c r="I445" s="5">
        <f>IF(FINANCIACION[[#This Row],[$ CAPITAL]]&gt;0,FINANCIACION[[#This Row],[$ CAPITAL]])</f>
        <v>500000</v>
      </c>
      <c r="J445" s="36">
        <f>IF(FINANCIACION[[#This Row],[$ CAPITAL]]&gt;=0,FINANCIACION[[#This Row],[$ CAPITAL]]+FINANCIACION[[#This Row],[$ INTERESES]],0)</f>
        <v>500000</v>
      </c>
      <c r="K445" s="11"/>
      <c r="N445" s="6"/>
      <c r="O445" s="10"/>
      <c r="P445" s="9"/>
    </row>
    <row r="446" spans="1:16" ht="24" hidden="1" customHeight="1" x14ac:dyDescent="0.25">
      <c r="A446" s="7">
        <v>44187</v>
      </c>
      <c r="B446" s="53" t="s">
        <v>1225</v>
      </c>
      <c r="C446" s="5">
        <v>500000</v>
      </c>
      <c r="D446" s="5"/>
      <c r="E446" s="169">
        <f>+IF(FINANCIACION[[#This Row],[$ CAPITAL]]&gt;=0,FINANCIACION[[#This Row],[$ CAPITAL]]+FINANCIACION[[#This Row],[$ INTERESES]],"")</f>
        <v>500000</v>
      </c>
      <c r="F446" s="169">
        <f>+SUMIFS(FINANCIACION[$ CAPITAL],FINANCIACION[Fecha],"&lt;="&amp;FINANCIACION[[#This Row],[Fecha]],FINANCIACION[PRESTAMO],FINANCIACION[[#This Row],[PRESTAMO]])</f>
        <v>-26621357.289999999</v>
      </c>
      <c r="G446" s="8"/>
      <c r="H446" s="8"/>
      <c r="I446" s="5">
        <f>IF(FINANCIACION[[#This Row],[$ CAPITAL]]&gt;0,FINANCIACION[[#This Row],[$ CAPITAL]])</f>
        <v>500000</v>
      </c>
      <c r="J446" s="36">
        <f>IF(FINANCIACION[[#This Row],[$ CAPITAL]]&gt;=0,FINANCIACION[[#This Row],[$ CAPITAL]]+FINANCIACION[[#This Row],[$ INTERESES]],0)</f>
        <v>500000</v>
      </c>
      <c r="K446" s="11"/>
      <c r="N446" s="6"/>
      <c r="O446" s="10"/>
      <c r="P446" s="9"/>
    </row>
    <row r="447" spans="1:16" ht="24" hidden="1" customHeight="1" x14ac:dyDescent="0.25">
      <c r="A447" s="7">
        <v>44189</v>
      </c>
      <c r="B447" s="53" t="s">
        <v>1218</v>
      </c>
      <c r="C447" s="5"/>
      <c r="D447" s="5">
        <v>75000</v>
      </c>
      <c r="E447" s="169">
        <f>+IF(FINANCIACION[[#This Row],[$ CAPITAL]]&gt;=0,FINANCIACION[[#This Row],[$ CAPITAL]]+FINANCIACION[[#This Row],[$ INTERESES]],"")</f>
        <v>75000</v>
      </c>
      <c r="F447" s="169">
        <f>+SUMIFS(FINANCIACION[$ CAPITAL],FINANCIACION[Fecha],"&lt;="&amp;FINANCIACION[[#This Row],[Fecha]],FINANCIACION[PRESTAMO],FINANCIACION[[#This Row],[PRESTAMO]])</f>
        <v>-54435225.820000038</v>
      </c>
      <c r="G447" s="8"/>
      <c r="H447" s="8"/>
      <c r="I447" s="5" t="b">
        <f>IF(FINANCIACION[[#This Row],[$ CAPITAL]]&gt;0,FINANCIACION[[#This Row],[$ CAPITAL]])</f>
        <v>0</v>
      </c>
      <c r="J447" s="36">
        <f>IF(FINANCIACION[[#This Row],[$ CAPITAL]]&gt;=0,FINANCIACION[[#This Row],[$ CAPITAL]]+FINANCIACION[[#This Row],[$ INTERESES]],0)</f>
        <v>75000</v>
      </c>
      <c r="K447" s="11"/>
      <c r="N447" s="6"/>
      <c r="O447" s="10"/>
      <c r="P447" s="9"/>
    </row>
    <row r="448" spans="1:16" ht="24" hidden="1" customHeight="1" x14ac:dyDescent="0.25">
      <c r="A448" s="7">
        <v>44189</v>
      </c>
      <c r="B448" s="53" t="s">
        <v>1218</v>
      </c>
      <c r="C448" s="5">
        <v>500000</v>
      </c>
      <c r="D448" s="5"/>
      <c r="E448" s="169">
        <f>+IF(FINANCIACION[[#This Row],[$ CAPITAL]]&gt;=0,FINANCIACION[[#This Row],[$ CAPITAL]]+FINANCIACION[[#This Row],[$ INTERESES]],"")</f>
        <v>500000</v>
      </c>
      <c r="F448" s="169">
        <f>+SUMIFS(FINANCIACION[$ CAPITAL],FINANCIACION[Fecha],"&lt;="&amp;FINANCIACION[[#This Row],[Fecha]],FINANCIACION[PRESTAMO],FINANCIACION[[#This Row],[PRESTAMO]])</f>
        <v>-54435225.820000038</v>
      </c>
      <c r="G448" s="8"/>
      <c r="H448" s="8"/>
      <c r="I448" s="5">
        <f>IF(FINANCIACION[[#This Row],[$ CAPITAL]]&gt;0,FINANCIACION[[#This Row],[$ CAPITAL]])</f>
        <v>500000</v>
      </c>
      <c r="J448" s="36">
        <f>IF(FINANCIACION[[#This Row],[$ CAPITAL]]&gt;=0,FINANCIACION[[#This Row],[$ CAPITAL]]+FINANCIACION[[#This Row],[$ INTERESES]],0)</f>
        <v>500000</v>
      </c>
      <c r="K448" s="11"/>
      <c r="N448" s="6"/>
      <c r="O448" s="10"/>
      <c r="P448" s="9"/>
    </row>
    <row r="449" spans="1:16" ht="24" hidden="1" customHeight="1" x14ac:dyDescent="0.25">
      <c r="A449" s="7">
        <v>44189</v>
      </c>
      <c r="B449" s="53" t="s">
        <v>1218</v>
      </c>
      <c r="C449" s="5">
        <v>3402510</v>
      </c>
      <c r="D449" s="5"/>
      <c r="E449" s="169">
        <f>+IF(FINANCIACION[[#This Row],[$ CAPITAL]]&gt;=0,FINANCIACION[[#This Row],[$ CAPITAL]]+FINANCIACION[[#This Row],[$ INTERESES]],"")</f>
        <v>3402510</v>
      </c>
      <c r="F449" s="169">
        <f>+SUMIFS(FINANCIACION[$ CAPITAL],FINANCIACION[Fecha],"&lt;="&amp;FINANCIACION[[#This Row],[Fecha]],FINANCIACION[PRESTAMO],FINANCIACION[[#This Row],[PRESTAMO]])</f>
        <v>-54435225.820000038</v>
      </c>
      <c r="G449" s="8"/>
      <c r="H449" s="8"/>
      <c r="I449" s="5">
        <f>IF(FINANCIACION[[#This Row],[$ CAPITAL]]&gt;0,FINANCIACION[[#This Row],[$ CAPITAL]])</f>
        <v>3402510</v>
      </c>
      <c r="J449" s="36">
        <f>IF(FINANCIACION[[#This Row],[$ CAPITAL]]&gt;=0,FINANCIACION[[#This Row],[$ CAPITAL]]+FINANCIACION[[#This Row],[$ INTERESES]],0)</f>
        <v>3402510</v>
      </c>
      <c r="K449" s="11"/>
      <c r="N449" s="6"/>
      <c r="O449" s="10"/>
      <c r="P449" s="9"/>
    </row>
    <row r="450" spans="1:16" ht="24" hidden="1" customHeight="1" x14ac:dyDescent="0.25">
      <c r="A450" s="7">
        <v>44189</v>
      </c>
      <c r="B450" s="53" t="s">
        <v>1218</v>
      </c>
      <c r="C450" s="5">
        <v>500000</v>
      </c>
      <c r="D450" s="5"/>
      <c r="E450" s="169">
        <f>+IF(FINANCIACION[[#This Row],[$ CAPITAL]]&gt;=0,FINANCIACION[[#This Row],[$ CAPITAL]]+FINANCIACION[[#This Row],[$ INTERESES]],"")</f>
        <v>500000</v>
      </c>
      <c r="F450" s="169">
        <f>+SUMIFS(FINANCIACION[$ CAPITAL],FINANCIACION[Fecha],"&lt;="&amp;FINANCIACION[[#This Row],[Fecha]],FINANCIACION[PRESTAMO],FINANCIACION[[#This Row],[PRESTAMO]])</f>
        <v>-54435225.820000038</v>
      </c>
      <c r="G450" s="8"/>
      <c r="H450" s="8"/>
      <c r="I450" s="5">
        <f>IF(FINANCIACION[[#This Row],[$ CAPITAL]]&gt;0,FINANCIACION[[#This Row],[$ CAPITAL]])</f>
        <v>500000</v>
      </c>
      <c r="J450" s="36">
        <f>IF(FINANCIACION[[#This Row],[$ CAPITAL]]&gt;=0,FINANCIACION[[#This Row],[$ CAPITAL]]+FINANCIACION[[#This Row],[$ INTERESES]],0)</f>
        <v>500000</v>
      </c>
      <c r="K450" s="11"/>
      <c r="N450" s="6"/>
      <c r="O450" s="10"/>
      <c r="P450" s="9"/>
    </row>
    <row r="451" spans="1:16" ht="24" hidden="1" customHeight="1" x14ac:dyDescent="0.25">
      <c r="A451" s="7">
        <v>44191</v>
      </c>
      <c r="B451" s="53" t="s">
        <v>1220</v>
      </c>
      <c r="C451" s="5"/>
      <c r="D451" s="5">
        <v>6750000</v>
      </c>
      <c r="E451" s="169">
        <f>+IF(FINANCIACION[[#This Row],[$ CAPITAL]]&gt;=0,FINANCIACION[[#This Row],[$ CAPITAL]]+FINANCIACION[[#This Row],[$ INTERESES]],"")</f>
        <v>6750000</v>
      </c>
      <c r="F451" s="169">
        <f>+SUMIFS(FINANCIACION[$ CAPITAL],FINANCIACION[Fecha],"&lt;="&amp;FINANCIACION[[#This Row],[Fecha]],FINANCIACION[PRESTAMO],FINANCIACION[[#This Row],[PRESTAMO]])</f>
        <v>-75000000</v>
      </c>
      <c r="G451" s="8"/>
      <c r="H451" s="8"/>
      <c r="I451" s="5" t="b">
        <f>IF(FINANCIACION[[#This Row],[$ CAPITAL]]&gt;0,FINANCIACION[[#This Row],[$ CAPITAL]])</f>
        <v>0</v>
      </c>
      <c r="J451" s="36">
        <f>IF(FINANCIACION[[#This Row],[$ CAPITAL]]&gt;=0,FINANCIACION[[#This Row],[$ CAPITAL]]+FINANCIACION[[#This Row],[$ INTERESES]],0)</f>
        <v>6750000</v>
      </c>
      <c r="K451" s="11"/>
      <c r="N451" s="6"/>
      <c r="O451" s="10"/>
      <c r="P451" s="9"/>
    </row>
    <row r="452" spans="1:16" ht="24" hidden="1" customHeight="1" x14ac:dyDescent="0.25">
      <c r="A452" s="7">
        <v>44193</v>
      </c>
      <c r="B452" s="53" t="s">
        <v>1218</v>
      </c>
      <c r="C452" s="5">
        <v>3493770</v>
      </c>
      <c r="D452" s="5"/>
      <c r="E452" s="169">
        <f>+IF(FINANCIACION[[#This Row],[$ CAPITAL]]&gt;=0,FINANCIACION[[#This Row],[$ CAPITAL]]+FINANCIACION[[#This Row],[$ INTERESES]],"")</f>
        <v>3493770</v>
      </c>
      <c r="F452" s="169">
        <f>+SUMIFS(FINANCIACION[$ CAPITAL],FINANCIACION[Fecha],"&lt;="&amp;FINANCIACION[[#This Row],[Fecha]],FINANCIACION[PRESTAMO],FINANCIACION[[#This Row],[PRESTAMO]])</f>
        <v>-50390160.820000038</v>
      </c>
      <c r="G452" s="8"/>
      <c r="H452" s="8"/>
      <c r="I452" s="5">
        <f>IF(FINANCIACION[[#This Row],[$ CAPITAL]]&gt;0,FINANCIACION[[#This Row],[$ CAPITAL]])</f>
        <v>3493770</v>
      </c>
      <c r="J452" s="36">
        <f>IF(FINANCIACION[[#This Row],[$ CAPITAL]]&gt;=0,FINANCIACION[[#This Row],[$ CAPITAL]]+FINANCIACION[[#This Row],[$ INTERESES]],0)</f>
        <v>3493770</v>
      </c>
      <c r="K452" s="11"/>
      <c r="N452" s="6"/>
      <c r="O452" s="10"/>
      <c r="P452" s="9"/>
    </row>
    <row r="453" spans="1:16" ht="24" hidden="1" customHeight="1" x14ac:dyDescent="0.25">
      <c r="A453" s="7">
        <v>44193</v>
      </c>
      <c r="B453" s="53" t="s">
        <v>1218</v>
      </c>
      <c r="C453" s="5">
        <v>551295</v>
      </c>
      <c r="D453" s="5"/>
      <c r="E453" s="169">
        <f>+IF(FINANCIACION[[#This Row],[$ CAPITAL]]&gt;=0,FINANCIACION[[#This Row],[$ CAPITAL]]+FINANCIACION[[#This Row],[$ INTERESES]],"")</f>
        <v>551295</v>
      </c>
      <c r="F453" s="169">
        <f>+SUMIFS(FINANCIACION[$ CAPITAL],FINANCIACION[Fecha],"&lt;="&amp;FINANCIACION[[#This Row],[Fecha]],FINANCIACION[PRESTAMO],FINANCIACION[[#This Row],[PRESTAMO]])</f>
        <v>-50390160.820000038</v>
      </c>
      <c r="G453" s="8"/>
      <c r="H453" s="8"/>
      <c r="I453" s="5">
        <f>IF(FINANCIACION[[#This Row],[$ CAPITAL]]&gt;0,FINANCIACION[[#This Row],[$ CAPITAL]])</f>
        <v>551295</v>
      </c>
      <c r="J453" s="36">
        <f>IF(FINANCIACION[[#This Row],[$ CAPITAL]]&gt;=0,FINANCIACION[[#This Row],[$ CAPITAL]]+FINANCIACION[[#This Row],[$ INTERESES]],0)</f>
        <v>551295</v>
      </c>
      <c r="K453" s="11"/>
      <c r="N453" s="6"/>
      <c r="O453" s="10"/>
      <c r="P453" s="9"/>
    </row>
    <row r="454" spans="1:16" ht="24" hidden="1" customHeight="1" x14ac:dyDescent="0.25">
      <c r="A454" s="7">
        <v>44194</v>
      </c>
      <c r="B454" s="53" t="s">
        <v>1218</v>
      </c>
      <c r="C454" s="5">
        <v>3495390</v>
      </c>
      <c r="D454" s="5"/>
      <c r="E454" s="169">
        <f>+IF(FINANCIACION[[#This Row],[$ CAPITAL]]&gt;=0,FINANCIACION[[#This Row],[$ CAPITAL]]+FINANCIACION[[#This Row],[$ INTERESES]],"")</f>
        <v>3495390</v>
      </c>
      <c r="F454" s="169">
        <f>+SUMIFS(FINANCIACION[$ CAPITAL],FINANCIACION[Fecha],"&lt;="&amp;FINANCIACION[[#This Row],[Fecha]],FINANCIACION[PRESTAMO],FINANCIACION[[#This Row],[PRESTAMO]])</f>
        <v>-46894770.820000038</v>
      </c>
      <c r="G454" s="8"/>
      <c r="H454" s="8"/>
      <c r="I454" s="5">
        <f>IF(FINANCIACION[[#This Row],[$ CAPITAL]]&gt;0,FINANCIACION[[#This Row],[$ CAPITAL]])</f>
        <v>3495390</v>
      </c>
      <c r="J454" s="36">
        <f>IF(FINANCIACION[[#This Row],[$ CAPITAL]]&gt;=0,FINANCIACION[[#This Row],[$ CAPITAL]]+FINANCIACION[[#This Row],[$ INTERESES]],0)</f>
        <v>3495390</v>
      </c>
      <c r="K454" s="11"/>
      <c r="N454" s="6"/>
      <c r="O454" s="10"/>
      <c r="P454" s="9"/>
    </row>
    <row r="455" spans="1:16" ht="24" hidden="1" customHeight="1" x14ac:dyDescent="0.25">
      <c r="A455" s="7">
        <v>44195</v>
      </c>
      <c r="B455" s="53" t="s">
        <v>1218</v>
      </c>
      <c r="C455" s="5">
        <v>1117500</v>
      </c>
      <c r="D455" s="5"/>
      <c r="E455" s="169">
        <f>+IF(FINANCIACION[[#This Row],[$ CAPITAL]]&gt;=0,FINANCIACION[[#This Row],[$ CAPITAL]]+FINANCIACION[[#This Row],[$ INTERESES]],"")</f>
        <v>1117500</v>
      </c>
      <c r="F455" s="169">
        <f>+SUMIFS(FINANCIACION[$ CAPITAL],FINANCIACION[Fecha],"&lt;="&amp;FINANCIACION[[#This Row],[Fecha]],FINANCIACION[PRESTAMO],FINANCIACION[[#This Row],[PRESTAMO]])</f>
        <v>-38813070.820000038</v>
      </c>
      <c r="G455" s="8"/>
      <c r="H455" s="8"/>
      <c r="I455" s="5">
        <f>IF(FINANCIACION[[#This Row],[$ CAPITAL]]&gt;0,FINANCIACION[[#This Row],[$ CAPITAL]])</f>
        <v>1117500</v>
      </c>
      <c r="J455" s="36">
        <f>IF(FINANCIACION[[#This Row],[$ CAPITAL]]&gt;=0,FINANCIACION[[#This Row],[$ CAPITAL]]+FINANCIACION[[#This Row],[$ INTERESES]],0)</f>
        <v>1117500</v>
      </c>
      <c r="K455" s="11"/>
      <c r="N455" s="6"/>
      <c r="O455" s="10"/>
      <c r="P455" s="9"/>
    </row>
    <row r="456" spans="1:16" ht="24" hidden="1" customHeight="1" x14ac:dyDescent="0.25">
      <c r="A456" s="7">
        <v>44195</v>
      </c>
      <c r="B456" s="53" t="s">
        <v>1218</v>
      </c>
      <c r="C456" s="5">
        <v>6964200</v>
      </c>
      <c r="D456" s="5"/>
      <c r="E456" s="169">
        <f>+IF(FINANCIACION[[#This Row],[$ CAPITAL]]&gt;=0,FINANCIACION[[#This Row],[$ CAPITAL]]+FINANCIACION[[#This Row],[$ INTERESES]],"")</f>
        <v>6964200</v>
      </c>
      <c r="F456" s="169">
        <f>+SUMIFS(FINANCIACION[$ CAPITAL],FINANCIACION[Fecha],"&lt;="&amp;FINANCIACION[[#This Row],[Fecha]],FINANCIACION[PRESTAMO],FINANCIACION[[#This Row],[PRESTAMO]])</f>
        <v>-38813070.820000038</v>
      </c>
      <c r="G456" s="8"/>
      <c r="H456" s="8"/>
      <c r="I456" s="5">
        <f>IF(FINANCIACION[[#This Row],[$ CAPITAL]]&gt;0,FINANCIACION[[#This Row],[$ CAPITAL]])</f>
        <v>6964200</v>
      </c>
      <c r="J456" s="36">
        <f>IF(FINANCIACION[[#This Row],[$ CAPITAL]]&gt;=0,FINANCIACION[[#This Row],[$ CAPITAL]]+FINANCIACION[[#This Row],[$ INTERESES]],0)</f>
        <v>6964200</v>
      </c>
      <c r="K456" s="11"/>
      <c r="N456" s="6"/>
      <c r="O456" s="10"/>
      <c r="P456" s="9"/>
    </row>
    <row r="457" spans="1:16" ht="24" hidden="1" customHeight="1" x14ac:dyDescent="0.25">
      <c r="A457" s="7">
        <v>44196</v>
      </c>
      <c r="B457" s="53" t="s">
        <v>1216</v>
      </c>
      <c r="C457" s="5">
        <v>-2349404.9287070036</v>
      </c>
      <c r="D457" s="5"/>
      <c r="E457" s="169" t="str">
        <f>+IF(FINANCIACION[[#This Row],[$ CAPITAL]]&gt;=0,FINANCIACION[[#This Row],[$ CAPITAL]]+FINANCIACION[[#This Row],[$ INTERESES]],"")</f>
        <v/>
      </c>
      <c r="F457" s="169">
        <f>+SUMIFS(FINANCIACION[$ CAPITAL],FINANCIACION[Fecha],"&lt;="&amp;FINANCIACION[[#This Row],[Fecha]],FINANCIACION[PRESTAMO],FINANCIACION[[#This Row],[PRESTAMO]])</f>
        <v>-66965431.858707003</v>
      </c>
      <c r="G457" s="8" t="s">
        <v>241</v>
      </c>
      <c r="H457" s="8"/>
      <c r="I457" s="5" t="b">
        <f>IF(FINANCIACION[[#This Row],[$ CAPITAL]]&gt;0,FINANCIACION[[#This Row],[$ CAPITAL]])</f>
        <v>0</v>
      </c>
      <c r="J457" s="36">
        <f>IF(FINANCIACION[[#This Row],[$ CAPITAL]]&gt;=0,FINANCIACION[[#This Row],[$ CAPITAL]]+FINANCIACION[[#This Row],[$ INTERESES]],0)</f>
        <v>0</v>
      </c>
      <c r="K457" s="11"/>
      <c r="N457" s="6"/>
      <c r="O457" s="10"/>
      <c r="P457" s="9"/>
    </row>
    <row r="458" spans="1:16" ht="24" hidden="1" customHeight="1" x14ac:dyDescent="0.25">
      <c r="A458" s="7">
        <v>44196</v>
      </c>
      <c r="B458" s="53" t="s">
        <v>193</v>
      </c>
      <c r="C458" s="5"/>
      <c r="D458" s="5">
        <v>76791</v>
      </c>
      <c r="E458" s="169">
        <f>+IF(FINANCIACION[[#This Row],[$ CAPITAL]]&gt;=0,FINANCIACION[[#This Row],[$ CAPITAL]]+FINANCIACION[[#This Row],[$ INTERESES]],"")</f>
        <v>76791</v>
      </c>
      <c r="F458" s="169">
        <f>+SUMIFS(FINANCIACION[$ CAPITAL],FINANCIACION[Fecha],"&lt;="&amp;FINANCIACION[[#This Row],[Fecha]],FINANCIACION[PRESTAMO],FINANCIACION[[#This Row],[PRESTAMO]])</f>
        <v>-54330833</v>
      </c>
      <c r="G458" s="8"/>
      <c r="H458" s="8"/>
      <c r="I458" s="5" t="b">
        <f>IF(FINANCIACION[[#This Row],[$ CAPITAL]]&gt;0,FINANCIACION[[#This Row],[$ CAPITAL]])</f>
        <v>0</v>
      </c>
      <c r="J458" s="36">
        <f>IF(FINANCIACION[[#This Row],[$ CAPITAL]]&gt;=0,FINANCIACION[[#This Row],[$ CAPITAL]]+FINANCIACION[[#This Row],[$ INTERESES]],0)</f>
        <v>76791</v>
      </c>
      <c r="K458" s="11"/>
      <c r="N458" s="6"/>
      <c r="O458" s="10"/>
      <c r="P458" s="9"/>
    </row>
    <row r="459" spans="1:16" ht="24" hidden="1" customHeight="1" x14ac:dyDescent="0.25">
      <c r="A459" s="7">
        <v>44196</v>
      </c>
      <c r="B459" s="53" t="s">
        <v>194</v>
      </c>
      <c r="C459" s="5"/>
      <c r="D459" s="5">
        <v>513600</v>
      </c>
      <c r="E459" s="169">
        <f>+IF(FINANCIACION[[#This Row],[$ CAPITAL]]&gt;=0,FINANCIACION[[#This Row],[$ CAPITAL]]+FINANCIACION[[#This Row],[$ INTERESES]],"")</f>
        <v>513600</v>
      </c>
      <c r="F459" s="169">
        <f>+SUMIFS(FINANCIACION[$ CAPITAL],FINANCIACION[Fecha],"&lt;="&amp;FINANCIACION[[#This Row],[Fecha]],FINANCIACION[PRESTAMO],FINANCIACION[[#This Row],[PRESTAMO]])</f>
        <v>-3071640</v>
      </c>
      <c r="G459" s="8"/>
      <c r="H459" s="8"/>
      <c r="I459" s="5" t="b">
        <f>IF(FINANCIACION[[#This Row],[$ CAPITAL]]&gt;0,FINANCIACION[[#This Row],[$ CAPITAL]])</f>
        <v>0</v>
      </c>
      <c r="J459" s="36">
        <f>IF(FINANCIACION[[#This Row],[$ CAPITAL]]&gt;=0,FINANCIACION[[#This Row],[$ CAPITAL]]+FINANCIACION[[#This Row],[$ INTERESES]],0)</f>
        <v>513600</v>
      </c>
      <c r="K459" s="11"/>
      <c r="N459" s="6"/>
      <c r="O459" s="10"/>
      <c r="P459" s="9"/>
    </row>
    <row r="460" spans="1:16" ht="24" hidden="1" customHeight="1" x14ac:dyDescent="0.25">
      <c r="A460" s="7">
        <v>44196</v>
      </c>
      <c r="B460" s="53" t="s">
        <v>1217</v>
      </c>
      <c r="C460" s="5">
        <v>36112485</v>
      </c>
      <c r="D460" s="5"/>
      <c r="E460" s="169">
        <f>+IF(FINANCIACION[[#This Row],[$ CAPITAL]]&gt;=0,FINANCIACION[[#This Row],[$ CAPITAL]]+FINANCIACION[[#This Row],[$ INTERESES]],"")</f>
        <v>36112485</v>
      </c>
      <c r="F460" s="169">
        <f>+SUMIFS(FINANCIACION[$ CAPITAL],FINANCIACION[Fecha],"&lt;="&amp;FINANCIACION[[#This Row],[Fecha]],FINANCIACION[PRESTAMO],FINANCIACION[[#This Row],[PRESTAMO]])</f>
        <v>-349958312</v>
      </c>
      <c r="G460" s="8" t="s">
        <v>476</v>
      </c>
      <c r="H460" s="8"/>
      <c r="I460" s="5">
        <f>IF(FINANCIACION[[#This Row],[$ CAPITAL]]&gt;0,FINANCIACION[[#This Row],[$ CAPITAL]])</f>
        <v>36112485</v>
      </c>
      <c r="J460" s="36">
        <f>IF(FINANCIACION[[#This Row],[$ CAPITAL]]&gt;=0,FINANCIACION[[#This Row],[$ CAPITAL]]+FINANCIACION[[#This Row],[$ INTERESES]],0)</f>
        <v>36112485</v>
      </c>
      <c r="K460" s="11"/>
      <c r="N460" s="6"/>
      <c r="O460" s="10"/>
      <c r="P460" s="9"/>
    </row>
    <row r="461" spans="1:16" ht="24" hidden="1" customHeight="1" x14ac:dyDescent="0.25">
      <c r="A461" s="7">
        <v>44196</v>
      </c>
      <c r="B461" s="53" t="s">
        <v>1217</v>
      </c>
      <c r="C461" s="5">
        <v>5709486</v>
      </c>
      <c r="D461" s="5"/>
      <c r="E461" s="169">
        <f>+IF(FINANCIACION[[#This Row],[$ CAPITAL]]&gt;=0,FINANCIACION[[#This Row],[$ CAPITAL]]+FINANCIACION[[#This Row],[$ INTERESES]],"")</f>
        <v>5709486</v>
      </c>
      <c r="F461" s="169">
        <f>+SUMIFS(FINANCIACION[$ CAPITAL],FINANCIACION[Fecha],"&lt;="&amp;FINANCIACION[[#This Row],[Fecha]],FINANCIACION[PRESTAMO],FINANCIACION[[#This Row],[PRESTAMO]])</f>
        <v>-349958312</v>
      </c>
      <c r="G461" s="8"/>
      <c r="H461" s="8"/>
      <c r="I461" s="5">
        <f>IF(FINANCIACION[[#This Row],[$ CAPITAL]]&gt;0,FINANCIACION[[#This Row],[$ CAPITAL]])</f>
        <v>5709486</v>
      </c>
      <c r="J461" s="36">
        <f>IF(FINANCIACION[[#This Row],[$ CAPITAL]]&gt;=0,FINANCIACION[[#This Row],[$ CAPITAL]]+FINANCIACION[[#This Row],[$ INTERESES]],0)</f>
        <v>5709486</v>
      </c>
      <c r="K461" s="11"/>
      <c r="N461" s="6"/>
      <c r="O461" s="10"/>
      <c r="P461" s="9"/>
    </row>
    <row r="462" spans="1:16" ht="24" hidden="1" customHeight="1" x14ac:dyDescent="0.25">
      <c r="A462" s="7">
        <v>44196</v>
      </c>
      <c r="B462" s="53" t="s">
        <v>1218</v>
      </c>
      <c r="C462" s="5">
        <v>-289141.33000000566</v>
      </c>
      <c r="D462" s="5"/>
      <c r="E462" s="169" t="str">
        <f>+IF(FINANCIACION[[#This Row],[$ CAPITAL]]&gt;=0,FINANCIACION[[#This Row],[$ CAPITAL]]+FINANCIACION[[#This Row],[$ INTERESES]],"")</f>
        <v/>
      </c>
      <c r="F462" s="169">
        <f>+SUMIFS(FINANCIACION[$ CAPITAL],FINANCIACION[Fecha],"&lt;="&amp;FINANCIACION[[#This Row],[Fecha]],FINANCIACION[PRESTAMO],FINANCIACION[[#This Row],[PRESTAMO]])</f>
        <v>-63507571.150000036</v>
      </c>
      <c r="G462" s="8"/>
      <c r="H462" s="8"/>
      <c r="I462" s="5" t="b">
        <f>IF(FINANCIACION[[#This Row],[$ CAPITAL]]&gt;0,FINANCIACION[[#This Row],[$ CAPITAL]])</f>
        <v>0</v>
      </c>
      <c r="J462" s="36">
        <f>IF(FINANCIACION[[#This Row],[$ CAPITAL]]&gt;=0,FINANCIACION[[#This Row],[$ CAPITAL]]+FINANCIACION[[#This Row],[$ INTERESES]],0)</f>
        <v>0</v>
      </c>
      <c r="K462" s="11"/>
      <c r="N462" s="6"/>
      <c r="O462" s="10"/>
      <c r="P462" s="9"/>
    </row>
    <row r="463" spans="1:16" ht="24" hidden="1" customHeight="1" x14ac:dyDescent="0.25">
      <c r="A463" s="7">
        <v>44196</v>
      </c>
      <c r="B463" s="53" t="s">
        <v>1218</v>
      </c>
      <c r="C463" s="5">
        <v>-3811270.9999999995</v>
      </c>
      <c r="D463" s="5"/>
      <c r="E463" s="169" t="str">
        <f>+IF(FINANCIACION[[#This Row],[$ CAPITAL]]&gt;=0,FINANCIACION[[#This Row],[$ CAPITAL]]+FINANCIACION[[#This Row],[$ INTERESES]],"")</f>
        <v/>
      </c>
      <c r="F463" s="169">
        <f>+SUMIFS(FINANCIACION[$ CAPITAL],FINANCIACION[Fecha],"&lt;="&amp;FINANCIACION[[#This Row],[Fecha]],FINANCIACION[PRESTAMO],FINANCIACION[[#This Row],[PRESTAMO]])</f>
        <v>-63507571.150000036</v>
      </c>
      <c r="G463" s="8"/>
      <c r="H463" s="8"/>
      <c r="I463" s="5" t="b">
        <f>IF(FINANCIACION[[#This Row],[$ CAPITAL]]&gt;0,FINANCIACION[[#This Row],[$ CAPITAL]])</f>
        <v>0</v>
      </c>
      <c r="J463" s="36">
        <f>IF(FINANCIACION[[#This Row],[$ CAPITAL]]&gt;=0,FINANCIACION[[#This Row],[$ CAPITAL]]+FINANCIACION[[#This Row],[$ INTERESES]],0)</f>
        <v>0</v>
      </c>
      <c r="K463" s="11"/>
      <c r="N463" s="6"/>
      <c r="O463" s="10"/>
      <c r="P463" s="9"/>
    </row>
    <row r="464" spans="1:16" ht="24" hidden="1" customHeight="1" x14ac:dyDescent="0.25">
      <c r="A464" s="7">
        <v>44196</v>
      </c>
      <c r="B464" s="53" t="s">
        <v>1218</v>
      </c>
      <c r="C464" s="5">
        <v>-15366659.999999993</v>
      </c>
      <c r="D464" s="5"/>
      <c r="E464" s="169" t="str">
        <f>+IF(FINANCIACION[[#This Row],[$ CAPITAL]]&gt;=0,FINANCIACION[[#This Row],[$ CAPITAL]]+FINANCIACION[[#This Row],[$ INTERESES]],"")</f>
        <v/>
      </c>
      <c r="F464" s="169">
        <f>+SUMIFS(FINANCIACION[$ CAPITAL],FINANCIACION[Fecha],"&lt;="&amp;FINANCIACION[[#This Row],[Fecha]],FINANCIACION[PRESTAMO],FINANCIACION[[#This Row],[PRESTAMO]])</f>
        <v>-63507571.150000036</v>
      </c>
      <c r="G464" s="8"/>
      <c r="H464" s="8"/>
      <c r="I464" s="5" t="b">
        <f>IF(FINANCIACION[[#This Row],[$ CAPITAL]]&gt;0,FINANCIACION[[#This Row],[$ CAPITAL]])</f>
        <v>0</v>
      </c>
      <c r="J464" s="36">
        <f>IF(FINANCIACION[[#This Row],[$ CAPITAL]]&gt;=0,FINANCIACION[[#This Row],[$ CAPITAL]]+FINANCIACION[[#This Row],[$ INTERESES]],0)</f>
        <v>0</v>
      </c>
      <c r="K464" s="11"/>
      <c r="N464" s="6"/>
      <c r="O464" s="10"/>
      <c r="P464" s="9"/>
    </row>
    <row r="465" spans="1:16" ht="24" hidden="1" customHeight="1" x14ac:dyDescent="0.25">
      <c r="A465" s="7">
        <v>44196</v>
      </c>
      <c r="B465" s="53" t="s">
        <v>1218</v>
      </c>
      <c r="C465" s="5">
        <v>-5227428</v>
      </c>
      <c r="D465" s="5"/>
      <c r="E465" s="169" t="str">
        <f>+IF(FINANCIACION[[#This Row],[$ CAPITAL]]&gt;=0,FINANCIACION[[#This Row],[$ CAPITAL]]+FINANCIACION[[#This Row],[$ INTERESES]],"")</f>
        <v/>
      </c>
      <c r="F465" s="169">
        <f>+SUMIFS(FINANCIACION[$ CAPITAL],FINANCIACION[Fecha],"&lt;="&amp;FINANCIACION[[#This Row],[Fecha]],FINANCIACION[PRESTAMO],FINANCIACION[[#This Row],[PRESTAMO]])</f>
        <v>-63507571.150000036</v>
      </c>
      <c r="G465" s="8"/>
      <c r="H465" s="8"/>
      <c r="I465" s="5" t="b">
        <f>IF(FINANCIACION[[#This Row],[$ CAPITAL]]&gt;0,FINANCIACION[[#This Row],[$ CAPITAL]])</f>
        <v>0</v>
      </c>
      <c r="J465" s="36">
        <f>IF(FINANCIACION[[#This Row],[$ CAPITAL]]&gt;=0,FINANCIACION[[#This Row],[$ CAPITAL]]+FINANCIACION[[#This Row],[$ INTERESES]],0)</f>
        <v>0</v>
      </c>
      <c r="K465" s="11"/>
      <c r="N465" s="6"/>
      <c r="O465" s="10"/>
      <c r="P465" s="9"/>
    </row>
    <row r="466" spans="1:16" ht="24" hidden="1" customHeight="1" x14ac:dyDescent="0.25">
      <c r="A466" s="7">
        <v>44196</v>
      </c>
      <c r="B466" s="53" t="s">
        <v>1221</v>
      </c>
      <c r="C466" s="5">
        <v>-512809.30999999493</v>
      </c>
      <c r="D466" s="5"/>
      <c r="E466" s="169" t="str">
        <f>+IF(FINANCIACION[[#This Row],[$ CAPITAL]]&gt;=0,FINANCIACION[[#This Row],[$ CAPITAL]]+FINANCIACION[[#This Row],[$ INTERESES]],"")</f>
        <v/>
      </c>
      <c r="F466" s="169">
        <f>+SUMIFS(FINANCIACION[$ CAPITAL],FINANCIACION[Fecha],"&lt;="&amp;FINANCIACION[[#This Row],[Fecha]],FINANCIACION[PRESTAMO],FINANCIACION[[#This Row],[PRESTAMO]])</f>
        <v>-65865540.649999999</v>
      </c>
      <c r="G466" s="8"/>
      <c r="H466" s="8"/>
      <c r="I466" s="5" t="b">
        <f>IF(FINANCIACION[[#This Row],[$ CAPITAL]]&gt;0,FINANCIACION[[#This Row],[$ CAPITAL]])</f>
        <v>0</v>
      </c>
      <c r="J466" s="36">
        <f>IF(FINANCIACION[[#This Row],[$ CAPITAL]]&gt;=0,FINANCIACION[[#This Row],[$ CAPITAL]]+FINANCIACION[[#This Row],[$ INTERESES]],0)</f>
        <v>0</v>
      </c>
      <c r="K466" s="11"/>
      <c r="N466" s="6"/>
      <c r="O466" s="10"/>
      <c r="P466" s="9"/>
    </row>
    <row r="467" spans="1:16" ht="24" hidden="1" customHeight="1" x14ac:dyDescent="0.25">
      <c r="A467" s="7">
        <v>44196</v>
      </c>
      <c r="B467" s="53" t="s">
        <v>1222</v>
      </c>
      <c r="C467" s="5">
        <v>-827891.71999999881</v>
      </c>
      <c r="D467" s="5"/>
      <c r="E467" s="169" t="str">
        <f>+IF(FINANCIACION[[#This Row],[$ CAPITAL]]&gt;=0,FINANCIACION[[#This Row],[$ CAPITAL]]+FINANCIACION[[#This Row],[$ INTERESES]],"")</f>
        <v/>
      </c>
      <c r="F467" s="169">
        <f>+SUMIFS(FINANCIACION[$ CAPITAL],FINANCIACION[Fecha],"&lt;="&amp;FINANCIACION[[#This Row],[Fecha]],FINANCIACION[PRESTAMO],FINANCIACION[[#This Row],[PRESTAMO]])</f>
        <v>-94944546.189999998</v>
      </c>
      <c r="G467" s="8"/>
      <c r="H467" s="8"/>
      <c r="I467" s="5" t="b">
        <f>IF(FINANCIACION[[#This Row],[$ CAPITAL]]&gt;0,FINANCIACION[[#This Row],[$ CAPITAL]])</f>
        <v>0</v>
      </c>
      <c r="J467" s="36">
        <f>IF(FINANCIACION[[#This Row],[$ CAPITAL]]&gt;=0,FINANCIACION[[#This Row],[$ CAPITAL]]+FINANCIACION[[#This Row],[$ INTERESES]],0)</f>
        <v>0</v>
      </c>
      <c r="K467" s="11"/>
      <c r="N467" s="6"/>
      <c r="O467" s="10"/>
      <c r="P467" s="9"/>
    </row>
    <row r="468" spans="1:16" ht="24" hidden="1" customHeight="1" x14ac:dyDescent="0.25">
      <c r="A468" s="7">
        <v>44196</v>
      </c>
      <c r="B468" s="53" t="s">
        <v>1223</v>
      </c>
      <c r="C468" s="5">
        <v>-198009.68999999799</v>
      </c>
      <c r="D468" s="5"/>
      <c r="E468" s="169" t="str">
        <f>+IF(FINANCIACION[[#This Row],[$ CAPITAL]]&gt;=0,FINANCIACION[[#This Row],[$ CAPITAL]]+FINANCIACION[[#This Row],[$ INTERESES]],"")</f>
        <v/>
      </c>
      <c r="F468" s="169">
        <f>+SUMIFS(FINANCIACION[$ CAPITAL],FINANCIACION[Fecha],"&lt;="&amp;FINANCIACION[[#This Row],[Fecha]],FINANCIACION[PRESTAMO],FINANCIACION[[#This Row],[PRESTAMO]])</f>
        <v>-25582703.219999999</v>
      </c>
      <c r="G468" s="8"/>
      <c r="H468" s="8"/>
      <c r="I468" s="5" t="b">
        <f>IF(FINANCIACION[[#This Row],[$ CAPITAL]]&gt;0,FINANCIACION[[#This Row],[$ CAPITAL]])</f>
        <v>0</v>
      </c>
      <c r="J468" s="36">
        <f>IF(FINANCIACION[[#This Row],[$ CAPITAL]]&gt;=0,FINANCIACION[[#This Row],[$ CAPITAL]]+FINANCIACION[[#This Row],[$ INTERESES]],0)</f>
        <v>0</v>
      </c>
      <c r="K468" s="11"/>
      <c r="N468" s="6"/>
      <c r="O468" s="10"/>
      <c r="P468" s="9"/>
    </row>
    <row r="469" spans="1:16" ht="24" hidden="1" customHeight="1" x14ac:dyDescent="0.25">
      <c r="A469" s="7">
        <v>44196</v>
      </c>
      <c r="B469" s="53" t="s">
        <v>1225</v>
      </c>
      <c r="C469" s="5">
        <v>-189250.28999999899</v>
      </c>
      <c r="D469" s="5"/>
      <c r="E469" s="169" t="str">
        <f>+IF(FINANCIACION[[#This Row],[$ CAPITAL]]&gt;=0,FINANCIACION[[#This Row],[$ CAPITAL]]+FINANCIACION[[#This Row],[$ INTERESES]],"")</f>
        <v/>
      </c>
      <c r="F469" s="169">
        <f>+SUMIFS(FINANCIACION[$ CAPITAL],FINANCIACION[Fecha],"&lt;="&amp;FINANCIACION[[#This Row],[Fecha]],FINANCIACION[PRESTAMO],FINANCIACION[[#This Row],[PRESTAMO]])</f>
        <v>-26810607.579999998</v>
      </c>
      <c r="G469" s="8"/>
      <c r="H469" s="8"/>
      <c r="I469" s="5" t="b">
        <f>IF(FINANCIACION[[#This Row],[$ CAPITAL]]&gt;0,FINANCIACION[[#This Row],[$ CAPITAL]])</f>
        <v>0</v>
      </c>
      <c r="J469" s="36">
        <f>IF(FINANCIACION[[#This Row],[$ CAPITAL]]&gt;=0,FINANCIACION[[#This Row],[$ CAPITAL]]+FINANCIACION[[#This Row],[$ INTERESES]],0)</f>
        <v>0</v>
      </c>
      <c r="K469" s="11"/>
      <c r="N469" s="6"/>
      <c r="O469" s="10"/>
      <c r="P469" s="9"/>
    </row>
    <row r="470" spans="1:16" ht="24" hidden="1" customHeight="1" x14ac:dyDescent="0.25">
      <c r="A470" s="7">
        <v>44197</v>
      </c>
      <c r="B470" s="53" t="s">
        <v>1226</v>
      </c>
      <c r="C470" s="5">
        <v>-13000000</v>
      </c>
      <c r="D470" s="5"/>
      <c r="E470" s="169" t="str">
        <f>+IF(FINANCIACION[[#This Row],[$ CAPITAL]]&gt;=0,FINANCIACION[[#This Row],[$ CAPITAL]]+FINANCIACION[[#This Row],[$ INTERESES]],"")</f>
        <v/>
      </c>
      <c r="F470" s="169">
        <f>+SUMIFS(FINANCIACION[$ CAPITAL],FINANCIACION[Fecha],"&lt;="&amp;FINANCIACION[[#This Row],[Fecha]],FINANCIACION[PRESTAMO],FINANCIACION[[#This Row],[PRESTAMO]])</f>
        <v>-13000000</v>
      </c>
      <c r="G470" s="8"/>
      <c r="H470" s="8"/>
      <c r="I470" s="5" t="b">
        <f>IF(FINANCIACION[[#This Row],[$ CAPITAL]]&gt;0,FINANCIACION[[#This Row],[$ CAPITAL]])</f>
        <v>0</v>
      </c>
      <c r="J470" s="36">
        <f>IF(FINANCIACION[[#This Row],[$ CAPITAL]]&gt;=0,FINANCIACION[[#This Row],[$ CAPITAL]]+FINANCIACION[[#This Row],[$ INTERESES]],0)</f>
        <v>0</v>
      </c>
      <c r="K470" s="11"/>
      <c r="N470" s="6"/>
      <c r="O470" s="10"/>
      <c r="P470" s="9"/>
    </row>
    <row r="471" spans="1:16" ht="24" hidden="1" customHeight="1" x14ac:dyDescent="0.25">
      <c r="A471" s="7">
        <v>44200</v>
      </c>
      <c r="B471" s="53" t="s">
        <v>1218</v>
      </c>
      <c r="C471" s="5">
        <v>990094.53</v>
      </c>
      <c r="D471" s="5">
        <v>157302.41999999993</v>
      </c>
      <c r="E471" s="169">
        <f>+IF(FINANCIACION[[#This Row],[$ CAPITAL]]&gt;=0,FINANCIACION[[#This Row],[$ CAPITAL]]+FINANCIACION[[#This Row],[$ INTERESES]],"")</f>
        <v>1147396.95</v>
      </c>
      <c r="F471" s="169">
        <f>+SUMIFS(FINANCIACION[$ CAPITAL],FINANCIACION[Fecha],"&lt;="&amp;FINANCIACION[[#This Row],[Fecha]],FINANCIACION[PRESTAMO],FINANCIACION[[#This Row],[PRESTAMO]])</f>
        <v>-62517476.620000035</v>
      </c>
      <c r="G471" s="8"/>
      <c r="H471" s="8"/>
      <c r="I471" s="5">
        <f>IF(FINANCIACION[[#This Row],[$ CAPITAL]]&gt;0,FINANCIACION[[#This Row],[$ CAPITAL]])</f>
        <v>990094.53</v>
      </c>
      <c r="J471" s="36">
        <f>IF(FINANCIACION[[#This Row],[$ CAPITAL]]&gt;=0,FINANCIACION[[#This Row],[$ CAPITAL]]+FINANCIACION[[#This Row],[$ INTERESES]],0)</f>
        <v>1147396.95</v>
      </c>
      <c r="K471" s="11"/>
      <c r="N471" s="6"/>
      <c r="O471" s="10"/>
      <c r="P471" s="9"/>
    </row>
    <row r="472" spans="1:16" ht="24" hidden="1" customHeight="1" x14ac:dyDescent="0.25">
      <c r="A472" s="7">
        <v>44202</v>
      </c>
      <c r="B472" s="53" t="s">
        <v>197</v>
      </c>
      <c r="C472" s="5">
        <v>6326000</v>
      </c>
      <c r="D472" s="5">
        <v>616570.43999999994</v>
      </c>
      <c r="E472" s="169">
        <f>+IF(FINANCIACION[[#This Row],[$ CAPITAL]]&gt;=0,FINANCIACION[[#This Row],[$ CAPITAL]]+FINANCIACION[[#This Row],[$ INTERESES]],"")</f>
        <v>6942570.4399999995</v>
      </c>
      <c r="F472" s="169">
        <f>+SUMIFS(FINANCIACION[$ CAPITAL],FINANCIACION[Fecha],"&lt;="&amp;FINANCIACION[[#This Row],[Fecha]],FINANCIACION[PRESTAMO],FINANCIACION[[#This Row],[PRESTAMO]])</f>
        <v>-85669126</v>
      </c>
      <c r="G472" s="8"/>
      <c r="H472" s="8"/>
      <c r="I472" s="5">
        <f>IF(FINANCIACION[[#This Row],[$ CAPITAL]]&gt;0,FINANCIACION[[#This Row],[$ CAPITAL]])</f>
        <v>6326000</v>
      </c>
      <c r="J472" s="36">
        <f>IF(FINANCIACION[[#This Row],[$ CAPITAL]]&gt;=0,FINANCIACION[[#This Row],[$ CAPITAL]]+FINANCIACION[[#This Row],[$ INTERESES]],0)</f>
        <v>6942570.4399999995</v>
      </c>
      <c r="K472" s="11"/>
      <c r="N472" s="6"/>
      <c r="O472" s="10"/>
      <c r="P472" s="9"/>
    </row>
    <row r="473" spans="1:16" ht="24" hidden="1" customHeight="1" x14ac:dyDescent="0.25">
      <c r="A473" s="7">
        <v>44204</v>
      </c>
      <c r="B473" s="53" t="s">
        <v>1215</v>
      </c>
      <c r="C473" s="5">
        <v>1672275.5133</v>
      </c>
      <c r="D473" s="5">
        <v>893624.48670000001</v>
      </c>
      <c r="E473" s="169">
        <f>+IF(FINANCIACION[[#This Row],[$ CAPITAL]]&gt;=0,FINANCIACION[[#This Row],[$ CAPITAL]]+FINANCIACION[[#This Row],[$ INTERESES]],"")</f>
        <v>2565900</v>
      </c>
      <c r="F473" s="169">
        <f>+SUMIFS(FINANCIACION[$ CAPITAL],FINANCIACION[Fecha],"&lt;="&amp;FINANCIACION[[#This Row],[Fecha]],FINANCIACION[PRESTAMO],FINANCIACION[[#This Row],[PRESTAMO]])</f>
        <v>-87690173.1567</v>
      </c>
      <c r="G473" s="8"/>
      <c r="H473" s="8"/>
      <c r="I473" s="5">
        <f>IF(FINANCIACION[[#This Row],[$ CAPITAL]]&gt;0,FINANCIACION[[#This Row],[$ CAPITAL]])</f>
        <v>1672275.5133</v>
      </c>
      <c r="J473" s="36">
        <f>IF(FINANCIACION[[#This Row],[$ CAPITAL]]&gt;=0,FINANCIACION[[#This Row],[$ CAPITAL]]+FINANCIACION[[#This Row],[$ INTERESES]],0)</f>
        <v>2565900</v>
      </c>
      <c r="K473" s="11"/>
      <c r="N473" s="6"/>
      <c r="O473" s="10"/>
      <c r="P473" s="9"/>
    </row>
    <row r="474" spans="1:16" ht="24" hidden="1" customHeight="1" x14ac:dyDescent="0.25">
      <c r="A474" s="7">
        <v>44208</v>
      </c>
      <c r="B474" s="53" t="s">
        <v>1219</v>
      </c>
      <c r="C474" s="5">
        <v>875755.85</v>
      </c>
      <c r="D474" s="5">
        <v>124244.15000000001</v>
      </c>
      <c r="E474" s="169">
        <f>+IF(FINANCIACION[[#This Row],[$ CAPITAL]]&gt;=0,FINANCIACION[[#This Row],[$ CAPITAL]]+FINANCIACION[[#This Row],[$ INTERESES]],"")</f>
        <v>1000000</v>
      </c>
      <c r="F474" s="169">
        <f>+SUMIFS(FINANCIACION[$ CAPITAL],FINANCIACION[Fecha],"&lt;="&amp;FINANCIACION[[#This Row],[Fecha]],FINANCIACION[PRESTAMO],FINANCIACION[[#This Row],[PRESTAMO]])</f>
        <v>-11548659.15</v>
      </c>
      <c r="G474" s="8"/>
      <c r="H474" s="8"/>
      <c r="I474" s="5">
        <f>IF(FINANCIACION[[#This Row],[$ CAPITAL]]&gt;0,FINANCIACION[[#This Row],[$ CAPITAL]])</f>
        <v>875755.85</v>
      </c>
      <c r="J474" s="36">
        <f>IF(FINANCIACION[[#This Row],[$ CAPITAL]]&gt;=0,FINANCIACION[[#This Row],[$ CAPITAL]]+FINANCIACION[[#This Row],[$ INTERESES]],0)</f>
        <v>1000000</v>
      </c>
      <c r="K474" s="11"/>
      <c r="N474" s="6"/>
      <c r="O474" s="10"/>
      <c r="P474" s="9"/>
    </row>
    <row r="475" spans="1:16" ht="24" hidden="1" customHeight="1" x14ac:dyDescent="0.25">
      <c r="A475" s="7">
        <v>44208</v>
      </c>
      <c r="B475" s="53" t="s">
        <v>1216</v>
      </c>
      <c r="C475" s="5">
        <v>553839.73069999996</v>
      </c>
      <c r="D475" s="5">
        <v>646160.26930000004</v>
      </c>
      <c r="E475" s="169">
        <f>+IF(FINANCIACION[[#This Row],[$ CAPITAL]]&gt;=0,FINANCIACION[[#This Row],[$ CAPITAL]]+FINANCIACION[[#This Row],[$ INTERESES]],"")</f>
        <v>1200000</v>
      </c>
      <c r="F475" s="169">
        <f>+SUMIFS(FINANCIACION[$ CAPITAL],FINANCIACION[Fecha],"&lt;="&amp;FINANCIACION[[#This Row],[Fecha]],FINANCIACION[PRESTAMO],FINANCIACION[[#This Row],[PRESTAMO]])</f>
        <v>-66411592.128007002</v>
      </c>
      <c r="G475" s="8"/>
      <c r="H475" s="8"/>
      <c r="I475" s="5">
        <f>IF(FINANCIACION[[#This Row],[$ CAPITAL]]&gt;0,FINANCIACION[[#This Row],[$ CAPITAL]])</f>
        <v>553839.73069999996</v>
      </c>
      <c r="J475" s="36">
        <f>IF(FINANCIACION[[#This Row],[$ CAPITAL]]&gt;=0,FINANCIACION[[#This Row],[$ CAPITAL]]+FINANCIACION[[#This Row],[$ INTERESES]],0)</f>
        <v>1200000</v>
      </c>
      <c r="K475" s="11"/>
      <c r="N475" s="6"/>
      <c r="O475" s="10"/>
      <c r="P475" s="9"/>
    </row>
    <row r="476" spans="1:16" ht="24" hidden="1" customHeight="1" x14ac:dyDescent="0.25">
      <c r="A476" s="7">
        <v>44208</v>
      </c>
      <c r="B476" s="53" t="s">
        <v>1218</v>
      </c>
      <c r="C476" s="5"/>
      <c r="D476" s="5">
        <v>130000</v>
      </c>
      <c r="E476" s="169">
        <f>+IF(FINANCIACION[[#This Row],[$ CAPITAL]]&gt;=0,FINANCIACION[[#This Row],[$ CAPITAL]]+FINANCIACION[[#This Row],[$ INTERESES]],"")</f>
        <v>130000</v>
      </c>
      <c r="F476" s="169">
        <f>+SUMIFS(FINANCIACION[$ CAPITAL],FINANCIACION[Fecha],"&lt;="&amp;FINANCIACION[[#This Row],[Fecha]],FINANCIACION[PRESTAMO],FINANCIACION[[#This Row],[PRESTAMO]])</f>
        <v>-60474043.620000035</v>
      </c>
      <c r="G476" s="8"/>
      <c r="H476" s="8"/>
      <c r="I476" s="5" t="b">
        <f>IF(FINANCIACION[[#This Row],[$ CAPITAL]]&gt;0,FINANCIACION[[#This Row],[$ CAPITAL]])</f>
        <v>0</v>
      </c>
      <c r="J476" s="36">
        <f>IF(FINANCIACION[[#This Row],[$ CAPITAL]]&gt;=0,FINANCIACION[[#This Row],[$ CAPITAL]]+FINANCIACION[[#This Row],[$ INTERESES]],0)</f>
        <v>130000</v>
      </c>
      <c r="K476" s="11"/>
      <c r="N476" s="6"/>
      <c r="O476" s="10"/>
      <c r="P476" s="9"/>
    </row>
    <row r="477" spans="1:16" ht="24" hidden="1" customHeight="1" x14ac:dyDescent="0.25">
      <c r="A477" s="7">
        <v>44208</v>
      </c>
      <c r="B477" s="53" t="s">
        <v>1218</v>
      </c>
      <c r="C477" s="5">
        <v>1043433</v>
      </c>
      <c r="D477" s="5"/>
      <c r="E477" s="169">
        <f>+IF(FINANCIACION[[#This Row],[$ CAPITAL]]&gt;=0,FINANCIACION[[#This Row],[$ CAPITAL]]+FINANCIACION[[#This Row],[$ INTERESES]],"")</f>
        <v>1043433</v>
      </c>
      <c r="F477" s="169">
        <f>+SUMIFS(FINANCIACION[$ CAPITAL],FINANCIACION[Fecha],"&lt;="&amp;FINANCIACION[[#This Row],[Fecha]],FINANCIACION[PRESTAMO],FINANCIACION[[#This Row],[PRESTAMO]])</f>
        <v>-60474043.620000035</v>
      </c>
      <c r="G477" s="8"/>
      <c r="H477" s="8"/>
      <c r="I477" s="5">
        <f>IF(FINANCIACION[[#This Row],[$ CAPITAL]]&gt;0,FINANCIACION[[#This Row],[$ CAPITAL]])</f>
        <v>1043433</v>
      </c>
      <c r="J477" s="36">
        <f>IF(FINANCIACION[[#This Row],[$ CAPITAL]]&gt;=0,FINANCIACION[[#This Row],[$ CAPITAL]]+FINANCIACION[[#This Row],[$ INTERESES]],0)</f>
        <v>1043433</v>
      </c>
      <c r="K477" s="11"/>
      <c r="N477" s="6"/>
      <c r="O477" s="10"/>
      <c r="P477" s="9"/>
    </row>
    <row r="478" spans="1:16" ht="24" hidden="1" customHeight="1" x14ac:dyDescent="0.25">
      <c r="A478" s="7">
        <v>44208</v>
      </c>
      <c r="B478" s="53" t="s">
        <v>1218</v>
      </c>
      <c r="C478" s="5">
        <v>1000000</v>
      </c>
      <c r="D478" s="5"/>
      <c r="E478" s="169">
        <f>+IF(FINANCIACION[[#This Row],[$ CAPITAL]]&gt;=0,FINANCIACION[[#This Row],[$ CAPITAL]]+FINANCIACION[[#This Row],[$ INTERESES]],"")</f>
        <v>1000000</v>
      </c>
      <c r="F478" s="169">
        <f>+SUMIFS(FINANCIACION[$ CAPITAL],FINANCIACION[Fecha],"&lt;="&amp;FINANCIACION[[#This Row],[Fecha]],FINANCIACION[PRESTAMO],FINANCIACION[[#This Row],[PRESTAMO]])</f>
        <v>-60474043.620000035</v>
      </c>
      <c r="G478" s="8"/>
      <c r="H478" s="8"/>
      <c r="I478" s="5">
        <f>IF(FINANCIACION[[#This Row],[$ CAPITAL]]&gt;0,FINANCIACION[[#This Row],[$ CAPITAL]])</f>
        <v>1000000</v>
      </c>
      <c r="J478" s="36">
        <f>IF(FINANCIACION[[#This Row],[$ CAPITAL]]&gt;=0,FINANCIACION[[#This Row],[$ CAPITAL]]+FINANCIACION[[#This Row],[$ INTERESES]],0)</f>
        <v>1000000</v>
      </c>
      <c r="K478" s="11"/>
      <c r="N478" s="6"/>
      <c r="O478" s="10"/>
      <c r="P478" s="9"/>
    </row>
    <row r="479" spans="1:16" ht="24" hidden="1" customHeight="1" x14ac:dyDescent="0.25">
      <c r="A479" s="7">
        <v>44212</v>
      </c>
      <c r="B479" s="53" t="s">
        <v>1218</v>
      </c>
      <c r="C479" s="5">
        <v>172</v>
      </c>
      <c r="D479" s="5"/>
      <c r="E479" s="169">
        <f>+IF(FINANCIACION[[#This Row],[$ CAPITAL]]&gt;=0,FINANCIACION[[#This Row],[$ CAPITAL]]+FINANCIACION[[#This Row],[$ INTERESES]],"")</f>
        <v>172</v>
      </c>
      <c r="F479" s="169">
        <f>+SUMIFS(FINANCIACION[$ CAPITAL],FINANCIACION[Fecha],"&lt;="&amp;FINANCIACION[[#This Row],[Fecha]],FINANCIACION[PRESTAMO],FINANCIACION[[#This Row],[PRESTAMO]])</f>
        <v>-58432943.620000035</v>
      </c>
      <c r="G479" s="8"/>
      <c r="H479" s="8"/>
      <c r="I479" s="5">
        <f>IF(FINANCIACION[[#This Row],[$ CAPITAL]]&gt;0,FINANCIACION[[#This Row],[$ CAPITAL]])</f>
        <v>172</v>
      </c>
      <c r="J479" s="36">
        <f>IF(FINANCIACION[[#This Row],[$ CAPITAL]]&gt;=0,FINANCIACION[[#This Row],[$ CAPITAL]]+FINANCIACION[[#This Row],[$ INTERESES]],0)</f>
        <v>172</v>
      </c>
      <c r="K479" s="11"/>
      <c r="N479" s="6"/>
      <c r="O479" s="10"/>
      <c r="P479" s="9"/>
    </row>
    <row r="480" spans="1:16" ht="24" hidden="1" customHeight="1" x14ac:dyDescent="0.25">
      <c r="A480" s="7">
        <v>44212</v>
      </c>
      <c r="B480" s="53" t="s">
        <v>1218</v>
      </c>
      <c r="C480" s="5">
        <v>1040928.0000000001</v>
      </c>
      <c r="D480" s="5"/>
      <c r="E480" s="169">
        <f>+IF(FINANCIACION[[#This Row],[$ CAPITAL]]&gt;=0,FINANCIACION[[#This Row],[$ CAPITAL]]+FINANCIACION[[#This Row],[$ INTERESES]],"")</f>
        <v>1040928.0000000001</v>
      </c>
      <c r="F480" s="169">
        <f>+SUMIFS(FINANCIACION[$ CAPITAL],FINANCIACION[Fecha],"&lt;="&amp;FINANCIACION[[#This Row],[Fecha]],FINANCIACION[PRESTAMO],FINANCIACION[[#This Row],[PRESTAMO]])</f>
        <v>-58432943.620000035</v>
      </c>
      <c r="G480" s="8"/>
      <c r="H480" s="8"/>
      <c r="I480" s="5">
        <f>IF(FINANCIACION[[#This Row],[$ CAPITAL]]&gt;0,FINANCIACION[[#This Row],[$ CAPITAL]])</f>
        <v>1040928.0000000001</v>
      </c>
      <c r="J480" s="36">
        <f>IF(FINANCIACION[[#This Row],[$ CAPITAL]]&gt;=0,FINANCIACION[[#This Row],[$ CAPITAL]]+FINANCIACION[[#This Row],[$ INTERESES]],0)</f>
        <v>1040928.0000000001</v>
      </c>
      <c r="K480" s="11"/>
      <c r="N480" s="6"/>
      <c r="O480" s="10"/>
      <c r="P480" s="9"/>
    </row>
    <row r="481" spans="1:16" ht="24" hidden="1" customHeight="1" x14ac:dyDescent="0.25">
      <c r="A481" s="7">
        <v>44212</v>
      </c>
      <c r="B481" s="53" t="s">
        <v>1218</v>
      </c>
      <c r="C481" s="5">
        <v>1000000</v>
      </c>
      <c r="D481" s="5"/>
      <c r="E481" s="169">
        <f>+IF(FINANCIACION[[#This Row],[$ CAPITAL]]&gt;=0,FINANCIACION[[#This Row],[$ CAPITAL]]+FINANCIACION[[#This Row],[$ INTERESES]],"")</f>
        <v>1000000</v>
      </c>
      <c r="F481" s="169">
        <f>+SUMIFS(FINANCIACION[$ CAPITAL],FINANCIACION[Fecha],"&lt;="&amp;FINANCIACION[[#This Row],[Fecha]],FINANCIACION[PRESTAMO],FINANCIACION[[#This Row],[PRESTAMO]])</f>
        <v>-58432943.620000035</v>
      </c>
      <c r="G481" s="8"/>
      <c r="H481" s="8"/>
      <c r="I481" s="5">
        <f>IF(FINANCIACION[[#This Row],[$ CAPITAL]]&gt;0,FINANCIACION[[#This Row],[$ CAPITAL]])</f>
        <v>1000000</v>
      </c>
      <c r="J481" s="36">
        <f>IF(FINANCIACION[[#This Row],[$ CAPITAL]]&gt;=0,FINANCIACION[[#This Row],[$ CAPITAL]]+FINANCIACION[[#This Row],[$ INTERESES]],0)</f>
        <v>1000000</v>
      </c>
      <c r="K481" s="11"/>
      <c r="N481" s="6"/>
      <c r="O481" s="10"/>
      <c r="P481" s="9"/>
    </row>
    <row r="482" spans="1:16" ht="24" hidden="1" customHeight="1" x14ac:dyDescent="0.25">
      <c r="A482" s="7">
        <v>44226</v>
      </c>
      <c r="B482" s="53" t="s">
        <v>202</v>
      </c>
      <c r="C482" s="5">
        <v>-7016439</v>
      </c>
      <c r="D482" s="5"/>
      <c r="E482" s="169" t="str">
        <f>+IF(FINANCIACION[[#This Row],[$ CAPITAL]]&gt;=0,FINANCIACION[[#This Row],[$ CAPITAL]]+FINANCIACION[[#This Row],[$ INTERESES]],"")</f>
        <v/>
      </c>
      <c r="F482" s="169">
        <f>+SUMIFS(FINANCIACION[$ CAPITAL],FINANCIACION[Fecha],"&lt;="&amp;FINANCIACION[[#This Row],[Fecha]],FINANCIACION[PRESTAMO],FINANCIACION[[#This Row],[PRESTAMO]])</f>
        <v>-7016439</v>
      </c>
      <c r="G482" s="8" t="s">
        <v>231</v>
      </c>
      <c r="H482" s="8"/>
      <c r="I482" s="5" t="b">
        <f>IF(FINANCIACION[[#This Row],[$ CAPITAL]]&gt;0,FINANCIACION[[#This Row],[$ CAPITAL]])</f>
        <v>0</v>
      </c>
      <c r="J482" s="36">
        <f>IF(FINANCIACION[[#This Row],[$ CAPITAL]]&gt;=0,FINANCIACION[[#This Row],[$ CAPITAL]]+FINANCIACION[[#This Row],[$ INTERESES]],0)</f>
        <v>0</v>
      </c>
      <c r="K482" s="11"/>
      <c r="N482" s="6"/>
      <c r="O482" s="10"/>
      <c r="P482" s="9"/>
    </row>
    <row r="483" spans="1:16" ht="24" hidden="1" customHeight="1" x14ac:dyDescent="0.25">
      <c r="A483" s="7">
        <v>44228</v>
      </c>
      <c r="B483" s="53" t="s">
        <v>193</v>
      </c>
      <c r="C483" s="5"/>
      <c r="D483" s="5">
        <v>76791</v>
      </c>
      <c r="E483" s="169">
        <f>+IF(FINANCIACION[[#This Row],[$ CAPITAL]]&gt;=0,FINANCIACION[[#This Row],[$ CAPITAL]]+FINANCIACION[[#This Row],[$ INTERESES]],"")</f>
        <v>76791</v>
      </c>
      <c r="F483" s="169">
        <f>+SUMIFS(FINANCIACION[$ CAPITAL],FINANCIACION[Fecha],"&lt;="&amp;FINANCIACION[[#This Row],[Fecha]],FINANCIACION[PRESTAMO],FINANCIACION[[#This Row],[PRESTAMO]])</f>
        <v>-54330833</v>
      </c>
      <c r="G483" s="8"/>
      <c r="H483" s="8"/>
      <c r="I483" s="5" t="b">
        <f>IF(FINANCIACION[[#This Row],[$ CAPITAL]]&gt;0,FINANCIACION[[#This Row],[$ CAPITAL]])</f>
        <v>0</v>
      </c>
      <c r="J483" s="36">
        <f>IF(FINANCIACION[[#This Row],[$ CAPITAL]]&gt;=0,FINANCIACION[[#This Row],[$ CAPITAL]]+FINANCIACION[[#This Row],[$ INTERESES]],0)</f>
        <v>76791</v>
      </c>
      <c r="K483" s="11"/>
      <c r="N483" s="6"/>
      <c r="O483" s="10"/>
      <c r="P483" s="9"/>
    </row>
    <row r="484" spans="1:16" ht="24" hidden="1" customHeight="1" x14ac:dyDescent="0.25">
      <c r="A484" s="7">
        <v>44231</v>
      </c>
      <c r="B484" s="53" t="s">
        <v>1218</v>
      </c>
      <c r="C484" s="5">
        <v>990094.53000000305</v>
      </c>
      <c r="D484" s="5">
        <v>144841.01</v>
      </c>
      <c r="E484" s="169">
        <f>+IF(FINANCIACION[[#This Row],[$ CAPITAL]]&gt;=0,FINANCIACION[[#This Row],[$ CAPITAL]]+FINANCIACION[[#This Row],[$ INTERESES]],"")</f>
        <v>1134935.5400000031</v>
      </c>
      <c r="F484" s="169">
        <f>+SUMIFS(FINANCIACION[$ CAPITAL],FINANCIACION[Fecha],"&lt;="&amp;FINANCIACION[[#This Row],[Fecha]],FINANCIACION[PRESTAMO],FINANCIACION[[#This Row],[PRESTAMO]])</f>
        <v>-57442849.090000033</v>
      </c>
      <c r="G484" s="8"/>
      <c r="H484" s="8"/>
      <c r="I484" s="5">
        <f>IF(FINANCIACION[[#This Row],[$ CAPITAL]]&gt;0,FINANCIACION[[#This Row],[$ CAPITAL]])</f>
        <v>990094.53000000305</v>
      </c>
      <c r="J484" s="36">
        <f>IF(FINANCIACION[[#This Row],[$ CAPITAL]]&gt;=0,FINANCIACION[[#This Row],[$ CAPITAL]]+FINANCIACION[[#This Row],[$ INTERESES]],0)</f>
        <v>1134935.5400000031</v>
      </c>
      <c r="K484" s="11"/>
      <c r="N484" s="6"/>
      <c r="O484" s="10"/>
      <c r="P484" s="9"/>
    </row>
    <row r="485" spans="1:16" ht="24" hidden="1" customHeight="1" x14ac:dyDescent="0.25">
      <c r="A485" s="7">
        <v>44233</v>
      </c>
      <c r="B485" s="53" t="s">
        <v>197</v>
      </c>
      <c r="C485" s="5">
        <v>6326000</v>
      </c>
      <c r="D485" s="5">
        <v>569963.18000000005</v>
      </c>
      <c r="E485" s="169">
        <f>+IF(FINANCIACION[[#This Row],[$ CAPITAL]]&gt;=0,FINANCIACION[[#This Row],[$ CAPITAL]]+FINANCIACION[[#This Row],[$ INTERESES]],"")</f>
        <v>6895963.1799999997</v>
      </c>
      <c r="F485" s="169">
        <f>+SUMIFS(FINANCIACION[$ CAPITAL],FINANCIACION[Fecha],"&lt;="&amp;FINANCIACION[[#This Row],[Fecha]],FINANCIACION[PRESTAMO],FINANCIACION[[#This Row],[PRESTAMO]])</f>
        <v>-79343126</v>
      </c>
      <c r="G485" s="8"/>
      <c r="H485" s="8"/>
      <c r="I485" s="5">
        <f>IF(FINANCIACION[[#This Row],[$ CAPITAL]]&gt;0,FINANCIACION[[#This Row],[$ CAPITAL]])</f>
        <v>6326000</v>
      </c>
      <c r="J485" s="36">
        <f>IF(FINANCIACION[[#This Row],[$ CAPITAL]]&gt;=0,FINANCIACION[[#This Row],[$ CAPITAL]]+FINANCIACION[[#This Row],[$ INTERESES]],0)</f>
        <v>6895963.1799999997</v>
      </c>
      <c r="K485" s="11"/>
      <c r="N485" s="6"/>
      <c r="O485" s="10"/>
      <c r="P485" s="9"/>
    </row>
    <row r="486" spans="1:16" ht="24" hidden="1" customHeight="1" x14ac:dyDescent="0.25">
      <c r="A486" s="7">
        <v>44237</v>
      </c>
      <c r="B486" s="53" t="s">
        <v>1215</v>
      </c>
      <c r="C486" s="5">
        <v>1672275.5133</v>
      </c>
      <c r="D486" s="5">
        <v>893624.48670000001</v>
      </c>
      <c r="E486" s="169">
        <f>+IF(FINANCIACION[[#This Row],[$ CAPITAL]]&gt;=0,FINANCIACION[[#This Row],[$ CAPITAL]]+FINANCIACION[[#This Row],[$ INTERESES]],"")</f>
        <v>2565900</v>
      </c>
      <c r="F486" s="169">
        <f>+SUMIFS(FINANCIACION[$ CAPITAL],FINANCIACION[Fecha],"&lt;="&amp;FINANCIACION[[#This Row],[Fecha]],FINANCIACION[PRESTAMO],FINANCIACION[[#This Row],[PRESTAMO]])</f>
        <v>-86017897.643399999</v>
      </c>
      <c r="G486" s="8"/>
      <c r="H486" s="8"/>
      <c r="I486" s="5">
        <f>IF(FINANCIACION[[#This Row],[$ CAPITAL]]&gt;0,FINANCIACION[[#This Row],[$ CAPITAL]])</f>
        <v>1672275.5133</v>
      </c>
      <c r="J486" s="36">
        <f>IF(FINANCIACION[[#This Row],[$ CAPITAL]]&gt;=0,FINANCIACION[[#This Row],[$ CAPITAL]]+FINANCIACION[[#This Row],[$ INTERESES]],0)</f>
        <v>2565900</v>
      </c>
      <c r="K486" s="11"/>
      <c r="N486" s="6"/>
      <c r="O486" s="10"/>
      <c r="P486" s="9"/>
    </row>
    <row r="487" spans="1:16" ht="24" hidden="1" customHeight="1" x14ac:dyDescent="0.25">
      <c r="A487" s="7">
        <v>44237</v>
      </c>
      <c r="B487" s="53" t="s">
        <v>1219</v>
      </c>
      <c r="C487" s="5">
        <v>875755.85</v>
      </c>
      <c r="D487" s="5">
        <v>124244.15000000001</v>
      </c>
      <c r="E487" s="169">
        <f>+IF(FINANCIACION[[#This Row],[$ CAPITAL]]&gt;=0,FINANCIACION[[#This Row],[$ CAPITAL]]+FINANCIACION[[#This Row],[$ INTERESES]],"")</f>
        <v>1000000</v>
      </c>
      <c r="F487" s="169">
        <f>+SUMIFS(FINANCIACION[$ CAPITAL],FINANCIACION[Fecha],"&lt;="&amp;FINANCIACION[[#This Row],[Fecha]],FINANCIACION[PRESTAMO],FINANCIACION[[#This Row],[PRESTAMO]])</f>
        <v>-10672903.300000001</v>
      </c>
      <c r="G487" s="8"/>
      <c r="H487" s="8"/>
      <c r="I487" s="5">
        <f>IF(FINANCIACION[[#This Row],[$ CAPITAL]]&gt;0,FINANCIACION[[#This Row],[$ CAPITAL]])</f>
        <v>875755.85</v>
      </c>
      <c r="J487" s="36">
        <f>IF(FINANCIACION[[#This Row],[$ CAPITAL]]&gt;=0,FINANCIACION[[#This Row],[$ CAPITAL]]+FINANCIACION[[#This Row],[$ INTERESES]],0)</f>
        <v>1000000</v>
      </c>
      <c r="K487" s="11"/>
      <c r="N487" s="6"/>
      <c r="O487" s="10"/>
      <c r="P487" s="9"/>
    </row>
    <row r="488" spans="1:16" ht="24" hidden="1" customHeight="1" x14ac:dyDescent="0.25">
      <c r="A488" s="7">
        <v>44237</v>
      </c>
      <c r="B488" s="53" t="s">
        <v>1216</v>
      </c>
      <c r="C488" s="5">
        <v>559378.12800699996</v>
      </c>
      <c r="D488" s="5">
        <v>640621.87199300004</v>
      </c>
      <c r="E488" s="169">
        <f>+IF(FINANCIACION[[#This Row],[$ CAPITAL]]&gt;=0,FINANCIACION[[#This Row],[$ CAPITAL]]+FINANCIACION[[#This Row],[$ INTERESES]],"")</f>
        <v>1200000</v>
      </c>
      <c r="F488" s="169">
        <f>+SUMIFS(FINANCIACION[$ CAPITAL],FINANCIACION[Fecha],"&lt;="&amp;FINANCIACION[[#This Row],[Fecha]],FINANCIACION[PRESTAMO],FINANCIACION[[#This Row],[PRESTAMO]])</f>
        <v>-65852214</v>
      </c>
      <c r="G488" s="8"/>
      <c r="H488" s="8"/>
      <c r="I488" s="5">
        <f>IF(FINANCIACION[[#This Row],[$ CAPITAL]]&gt;0,FINANCIACION[[#This Row],[$ CAPITAL]])</f>
        <v>559378.12800699996</v>
      </c>
      <c r="J488" s="36">
        <f>IF(FINANCIACION[[#This Row],[$ CAPITAL]]&gt;=0,FINANCIACION[[#This Row],[$ CAPITAL]]+FINANCIACION[[#This Row],[$ INTERESES]],0)</f>
        <v>1200000</v>
      </c>
      <c r="K488" s="11"/>
      <c r="N488" s="6"/>
      <c r="O488" s="10"/>
      <c r="P488" s="9"/>
    </row>
    <row r="489" spans="1:16" ht="24" hidden="1" customHeight="1" x14ac:dyDescent="0.25">
      <c r="A489" s="7">
        <v>44237</v>
      </c>
      <c r="B489" s="53" t="s">
        <v>1218</v>
      </c>
      <c r="C489" s="5"/>
      <c r="D489" s="5">
        <v>130000</v>
      </c>
      <c r="E489" s="169">
        <f>+IF(FINANCIACION[[#This Row],[$ CAPITAL]]&gt;=0,FINANCIACION[[#This Row],[$ CAPITAL]]+FINANCIACION[[#This Row],[$ INTERESES]],"")</f>
        <v>130000</v>
      </c>
      <c r="F489" s="169">
        <f>+SUMIFS(FINANCIACION[$ CAPITAL],FINANCIACION[Fecha],"&lt;="&amp;FINANCIACION[[#This Row],[Fecha]],FINANCIACION[PRESTAMO],FINANCIACION[[#This Row],[PRESTAMO]])</f>
        <v>-57442849.090000033</v>
      </c>
      <c r="G489" s="8"/>
      <c r="H489" s="8"/>
      <c r="I489" s="5" t="b">
        <f>IF(FINANCIACION[[#This Row],[$ CAPITAL]]&gt;0,FINANCIACION[[#This Row],[$ CAPITAL]])</f>
        <v>0</v>
      </c>
      <c r="J489" s="36">
        <f>IF(FINANCIACION[[#This Row],[$ CAPITAL]]&gt;=0,FINANCIACION[[#This Row],[$ CAPITAL]]+FINANCIACION[[#This Row],[$ INTERESES]],0)</f>
        <v>130000</v>
      </c>
      <c r="K489" s="11"/>
      <c r="N489" s="6"/>
      <c r="O489" s="10"/>
      <c r="P489" s="9"/>
    </row>
    <row r="490" spans="1:16" ht="24" hidden="1" customHeight="1" x14ac:dyDescent="0.25">
      <c r="A490" s="7">
        <v>44239</v>
      </c>
      <c r="B490" s="53" t="s">
        <v>1218</v>
      </c>
      <c r="C490" s="5">
        <v>3525450</v>
      </c>
      <c r="D490" s="5"/>
      <c r="E490" s="169">
        <f>+IF(FINANCIACION[[#This Row],[$ CAPITAL]]&gt;=0,FINANCIACION[[#This Row],[$ CAPITAL]]+FINANCIACION[[#This Row],[$ INTERESES]],"")</f>
        <v>3525450</v>
      </c>
      <c r="F490" s="169">
        <f>+SUMIFS(FINANCIACION[$ CAPITAL],FINANCIACION[Fecha],"&lt;="&amp;FINANCIACION[[#This Row],[Fecha]],FINANCIACION[PRESTAMO],FINANCIACION[[#This Row],[PRESTAMO]])</f>
        <v>-53917399.090000033</v>
      </c>
      <c r="G490" s="8"/>
      <c r="H490" s="8"/>
      <c r="I490" s="5">
        <f>IF(FINANCIACION[[#This Row],[$ CAPITAL]]&gt;0,FINANCIACION[[#This Row],[$ CAPITAL]])</f>
        <v>3525450</v>
      </c>
      <c r="J490" s="36">
        <f>IF(FINANCIACION[[#This Row],[$ CAPITAL]]&gt;=0,FINANCIACION[[#This Row],[$ CAPITAL]]+FINANCIACION[[#This Row],[$ INTERESES]],0)</f>
        <v>3525450</v>
      </c>
      <c r="K490" s="11"/>
      <c r="N490" s="6"/>
      <c r="O490" s="10"/>
      <c r="P490" s="9"/>
    </row>
    <row r="491" spans="1:16" ht="24" hidden="1" customHeight="1" x14ac:dyDescent="0.25">
      <c r="A491" s="7">
        <v>44242</v>
      </c>
      <c r="B491" s="53" t="s">
        <v>1218</v>
      </c>
      <c r="C491" s="5">
        <v>3515650</v>
      </c>
      <c r="D491" s="5"/>
      <c r="E491" s="169">
        <f>+IF(FINANCIACION[[#This Row],[$ CAPITAL]]&gt;=0,FINANCIACION[[#This Row],[$ CAPITAL]]+FINANCIACION[[#This Row],[$ INTERESES]],"")</f>
        <v>3515650</v>
      </c>
      <c r="F491" s="169">
        <f>+SUMIFS(FINANCIACION[$ CAPITAL],FINANCIACION[Fecha],"&lt;="&amp;FINANCIACION[[#This Row],[Fecha]],FINANCIACION[PRESTAMO],FINANCIACION[[#This Row],[PRESTAMO]])</f>
        <v>-49401749.090000033</v>
      </c>
      <c r="G491" s="8"/>
      <c r="H491" s="8"/>
      <c r="I491" s="5">
        <f>IF(FINANCIACION[[#This Row],[$ CAPITAL]]&gt;0,FINANCIACION[[#This Row],[$ CAPITAL]])</f>
        <v>3515650</v>
      </c>
      <c r="J491" s="36">
        <f>IF(FINANCIACION[[#This Row],[$ CAPITAL]]&gt;=0,FINANCIACION[[#This Row],[$ CAPITAL]]+FINANCIACION[[#This Row],[$ INTERESES]],0)</f>
        <v>3515650</v>
      </c>
      <c r="K491" s="11"/>
      <c r="N491" s="6"/>
      <c r="O491" s="10"/>
      <c r="P491" s="9"/>
    </row>
    <row r="492" spans="1:16" ht="24" hidden="1" customHeight="1" x14ac:dyDescent="0.25">
      <c r="A492" s="7">
        <v>44242</v>
      </c>
      <c r="B492" s="53" t="s">
        <v>1218</v>
      </c>
      <c r="C492" s="5">
        <v>1000000</v>
      </c>
      <c r="D492" s="5"/>
      <c r="E492" s="169">
        <f>+IF(FINANCIACION[[#This Row],[$ CAPITAL]]&gt;=0,FINANCIACION[[#This Row],[$ CAPITAL]]+FINANCIACION[[#This Row],[$ INTERESES]],"")</f>
        <v>1000000</v>
      </c>
      <c r="F492" s="169">
        <f>+SUMIFS(FINANCIACION[$ CAPITAL],FINANCIACION[Fecha],"&lt;="&amp;FINANCIACION[[#This Row],[Fecha]],FINANCIACION[PRESTAMO],FINANCIACION[[#This Row],[PRESTAMO]])</f>
        <v>-49401749.090000033</v>
      </c>
      <c r="G492" s="8"/>
      <c r="H492" s="8"/>
      <c r="I492" s="5">
        <f>IF(FINANCIACION[[#This Row],[$ CAPITAL]]&gt;0,FINANCIACION[[#This Row],[$ CAPITAL]])</f>
        <v>1000000</v>
      </c>
      <c r="J492" s="36">
        <f>IF(FINANCIACION[[#This Row],[$ CAPITAL]]&gt;=0,FINANCIACION[[#This Row],[$ CAPITAL]]+FINANCIACION[[#This Row],[$ INTERESES]],0)</f>
        <v>1000000</v>
      </c>
      <c r="K492" s="11"/>
      <c r="N492" s="6"/>
      <c r="O492" s="10"/>
      <c r="P492" s="9"/>
    </row>
    <row r="493" spans="1:16" ht="24" hidden="1" customHeight="1" x14ac:dyDescent="0.25">
      <c r="A493" s="7">
        <v>44244</v>
      </c>
      <c r="B493" s="53" t="s">
        <v>1217</v>
      </c>
      <c r="C493" s="5">
        <v>108181</v>
      </c>
      <c r="D493" s="5"/>
      <c r="E493" s="169">
        <f>+IF(FINANCIACION[[#This Row],[$ CAPITAL]]&gt;=0,FINANCIACION[[#This Row],[$ CAPITAL]]+FINANCIACION[[#This Row],[$ INTERESES]],"")</f>
        <v>108181</v>
      </c>
      <c r="F493" s="169">
        <f>+SUMIFS(FINANCIACION[$ CAPITAL],FINANCIACION[Fecha],"&lt;="&amp;FINANCIACION[[#This Row],[Fecha]],FINANCIACION[PRESTAMO],FINANCIACION[[#This Row],[PRESTAMO]])</f>
        <v>-346350131</v>
      </c>
      <c r="G493" s="8"/>
      <c r="H493" s="8"/>
      <c r="I493" s="5">
        <f>IF(FINANCIACION[[#This Row],[$ CAPITAL]]&gt;0,FINANCIACION[[#This Row],[$ CAPITAL]])</f>
        <v>108181</v>
      </c>
      <c r="J493" s="36">
        <f>IF(FINANCIACION[[#This Row],[$ CAPITAL]]&gt;=0,FINANCIACION[[#This Row],[$ CAPITAL]]+FINANCIACION[[#This Row],[$ INTERESES]],0)</f>
        <v>108181</v>
      </c>
      <c r="K493" s="11"/>
      <c r="N493" s="6"/>
      <c r="O493" s="10"/>
      <c r="P493" s="9"/>
    </row>
    <row r="494" spans="1:16" ht="24" hidden="1" customHeight="1" x14ac:dyDescent="0.25">
      <c r="A494" s="7">
        <v>44244</v>
      </c>
      <c r="B494" s="53" t="s">
        <v>1217</v>
      </c>
      <c r="C494" s="5">
        <v>3500000</v>
      </c>
      <c r="D494" s="5"/>
      <c r="E494" s="169">
        <f>+IF(FINANCIACION[[#This Row],[$ CAPITAL]]&gt;=0,FINANCIACION[[#This Row],[$ CAPITAL]]+FINANCIACION[[#This Row],[$ INTERESES]],"")</f>
        <v>3500000</v>
      </c>
      <c r="F494" s="169">
        <f>+SUMIFS(FINANCIACION[$ CAPITAL],FINANCIACION[Fecha],"&lt;="&amp;FINANCIACION[[#This Row],[Fecha]],FINANCIACION[PRESTAMO],FINANCIACION[[#This Row],[PRESTAMO]])</f>
        <v>-346350131</v>
      </c>
      <c r="G494" s="8"/>
      <c r="H494" s="8"/>
      <c r="I494" s="5">
        <f>IF(FINANCIACION[[#This Row],[$ CAPITAL]]&gt;0,FINANCIACION[[#This Row],[$ CAPITAL]])</f>
        <v>3500000</v>
      </c>
      <c r="J494" s="36">
        <f>IF(FINANCIACION[[#This Row],[$ CAPITAL]]&gt;=0,FINANCIACION[[#This Row],[$ CAPITAL]]+FINANCIACION[[#This Row],[$ INTERESES]],0)</f>
        <v>3500000</v>
      </c>
      <c r="K494" s="11"/>
      <c r="N494" s="6"/>
      <c r="O494" s="10"/>
      <c r="P494" s="9"/>
    </row>
    <row r="495" spans="1:16" ht="24" hidden="1" customHeight="1" x14ac:dyDescent="0.25">
      <c r="A495" s="7">
        <v>44244</v>
      </c>
      <c r="B495" s="53" t="s">
        <v>1218</v>
      </c>
      <c r="C495" s="5">
        <v>1282000</v>
      </c>
      <c r="D495" s="5"/>
      <c r="E495" s="169">
        <f>+IF(FINANCIACION[[#This Row],[$ CAPITAL]]&gt;=0,FINANCIACION[[#This Row],[$ CAPITAL]]+FINANCIACION[[#This Row],[$ INTERESES]],"")</f>
        <v>1282000</v>
      </c>
      <c r="F495" s="169">
        <f>+SUMIFS(FINANCIACION[$ CAPITAL],FINANCIACION[Fecha],"&lt;="&amp;FINANCIACION[[#This Row],[Fecha]],FINANCIACION[PRESTAMO],FINANCIACION[[#This Row],[PRESTAMO]])</f>
        <v>-46575749.090000033</v>
      </c>
      <c r="G495" s="8"/>
      <c r="H495" s="8"/>
      <c r="I495" s="5">
        <f>IF(FINANCIACION[[#This Row],[$ CAPITAL]]&gt;0,FINANCIACION[[#This Row],[$ CAPITAL]])</f>
        <v>1282000</v>
      </c>
      <c r="J495" s="36">
        <f>IF(FINANCIACION[[#This Row],[$ CAPITAL]]&gt;=0,FINANCIACION[[#This Row],[$ CAPITAL]]+FINANCIACION[[#This Row],[$ INTERESES]],0)</f>
        <v>1282000</v>
      </c>
      <c r="K495" s="11"/>
      <c r="N495" s="6"/>
      <c r="O495" s="10"/>
      <c r="P495" s="9"/>
    </row>
    <row r="496" spans="1:16" ht="24" hidden="1" customHeight="1" x14ac:dyDescent="0.25">
      <c r="A496" s="7">
        <v>44244</v>
      </c>
      <c r="B496" s="53" t="s">
        <v>1218</v>
      </c>
      <c r="C496" s="5">
        <v>1544000</v>
      </c>
      <c r="D496" s="5"/>
      <c r="E496" s="169">
        <f>+IF(FINANCIACION[[#This Row],[$ CAPITAL]]&gt;=0,FINANCIACION[[#This Row],[$ CAPITAL]]+FINANCIACION[[#This Row],[$ INTERESES]],"")</f>
        <v>1544000</v>
      </c>
      <c r="F496" s="169">
        <f>+SUMIFS(FINANCIACION[$ CAPITAL],FINANCIACION[Fecha],"&lt;="&amp;FINANCIACION[[#This Row],[Fecha]],FINANCIACION[PRESTAMO],FINANCIACION[[#This Row],[PRESTAMO]])</f>
        <v>-46575749.090000033</v>
      </c>
      <c r="G496" s="8"/>
      <c r="H496" s="8"/>
      <c r="I496" s="5">
        <f>IF(FINANCIACION[[#This Row],[$ CAPITAL]]&gt;0,FINANCIACION[[#This Row],[$ CAPITAL]])</f>
        <v>1544000</v>
      </c>
      <c r="J496" s="36">
        <f>IF(FINANCIACION[[#This Row],[$ CAPITAL]]&gt;=0,FINANCIACION[[#This Row],[$ CAPITAL]]+FINANCIACION[[#This Row],[$ INTERESES]],0)</f>
        <v>1544000</v>
      </c>
      <c r="K496" s="11"/>
      <c r="N496" s="6"/>
      <c r="O496" s="10"/>
      <c r="P496" s="9"/>
    </row>
    <row r="497" spans="1:16" ht="24" hidden="1" customHeight="1" x14ac:dyDescent="0.25">
      <c r="A497" s="7">
        <v>44244</v>
      </c>
      <c r="B497" s="53" t="s">
        <v>1221</v>
      </c>
      <c r="C497" s="5">
        <v>2603000</v>
      </c>
      <c r="D497" s="5"/>
      <c r="E497" s="169">
        <f>+IF(FINANCIACION[[#This Row],[$ CAPITAL]]&gt;=0,FINANCIACION[[#This Row],[$ CAPITAL]]+FINANCIACION[[#This Row],[$ INTERESES]],"")</f>
        <v>2603000</v>
      </c>
      <c r="F497" s="169">
        <f>+SUMIFS(FINANCIACION[$ CAPITAL],FINANCIACION[Fecha],"&lt;="&amp;FINANCIACION[[#This Row],[Fecha]],FINANCIACION[PRESTAMO],FINANCIACION[[#This Row],[PRESTAMO]])</f>
        <v>-63262540.649999999</v>
      </c>
      <c r="G497" s="8"/>
      <c r="H497" s="8"/>
      <c r="I497" s="5">
        <f>IF(FINANCIACION[[#This Row],[$ CAPITAL]]&gt;0,FINANCIACION[[#This Row],[$ CAPITAL]])</f>
        <v>2603000</v>
      </c>
      <c r="J497" s="36">
        <f>IF(FINANCIACION[[#This Row],[$ CAPITAL]]&gt;=0,FINANCIACION[[#This Row],[$ CAPITAL]]+FINANCIACION[[#This Row],[$ INTERESES]],0)</f>
        <v>2603000</v>
      </c>
      <c r="K497" s="11"/>
      <c r="N497" s="6"/>
      <c r="O497" s="10"/>
      <c r="P497" s="9"/>
    </row>
    <row r="498" spans="1:16" ht="24" hidden="1" customHeight="1" x14ac:dyDescent="0.25">
      <c r="A498" s="7">
        <v>44244</v>
      </c>
      <c r="B498" s="53" t="s">
        <v>1222</v>
      </c>
      <c r="C498" s="5">
        <v>2718857</v>
      </c>
      <c r="D498" s="5"/>
      <c r="E498" s="169">
        <f>+IF(FINANCIACION[[#This Row],[$ CAPITAL]]&gt;=0,FINANCIACION[[#This Row],[$ CAPITAL]]+FINANCIACION[[#This Row],[$ INTERESES]],"")</f>
        <v>2718857</v>
      </c>
      <c r="F498" s="169">
        <f>+SUMIFS(FINANCIACION[$ CAPITAL],FINANCIACION[Fecha],"&lt;="&amp;FINANCIACION[[#This Row],[Fecha]],FINANCIACION[PRESTAMO],FINANCIACION[[#This Row],[PRESTAMO]])</f>
        <v>-92225689.189999998</v>
      </c>
      <c r="G498" s="8"/>
      <c r="H498" s="8"/>
      <c r="I498" s="5">
        <f>IF(FINANCIACION[[#This Row],[$ CAPITAL]]&gt;0,FINANCIACION[[#This Row],[$ CAPITAL]])</f>
        <v>2718857</v>
      </c>
      <c r="J498" s="36">
        <f>IF(FINANCIACION[[#This Row],[$ CAPITAL]]&gt;=0,FINANCIACION[[#This Row],[$ CAPITAL]]+FINANCIACION[[#This Row],[$ INTERESES]],0)</f>
        <v>2718857</v>
      </c>
      <c r="K498" s="11"/>
      <c r="N498" s="6"/>
      <c r="O498" s="10"/>
      <c r="P498" s="9"/>
    </row>
    <row r="499" spans="1:16" ht="24" hidden="1" customHeight="1" x14ac:dyDescent="0.25">
      <c r="A499" s="7">
        <v>44244</v>
      </c>
      <c r="B499" s="53" t="s">
        <v>1223</v>
      </c>
      <c r="C499" s="5">
        <v>1200643</v>
      </c>
      <c r="D499" s="5"/>
      <c r="E499" s="169">
        <f>+IF(FINANCIACION[[#This Row],[$ CAPITAL]]&gt;=0,FINANCIACION[[#This Row],[$ CAPITAL]]+FINANCIACION[[#This Row],[$ INTERESES]],"")</f>
        <v>1200643</v>
      </c>
      <c r="F499" s="169">
        <f>+SUMIFS(FINANCIACION[$ CAPITAL],FINANCIACION[Fecha],"&lt;="&amp;FINANCIACION[[#This Row],[Fecha]],FINANCIACION[PRESTAMO],FINANCIACION[[#This Row],[PRESTAMO]])</f>
        <v>-24382060.219999999</v>
      </c>
      <c r="G499" s="8"/>
      <c r="H499" s="8"/>
      <c r="I499" s="5">
        <f>IF(FINANCIACION[[#This Row],[$ CAPITAL]]&gt;0,FINANCIACION[[#This Row],[$ CAPITAL]])</f>
        <v>1200643</v>
      </c>
      <c r="J499" s="36">
        <f>IF(FINANCIACION[[#This Row],[$ CAPITAL]]&gt;=0,FINANCIACION[[#This Row],[$ CAPITAL]]+FINANCIACION[[#This Row],[$ INTERESES]],0)</f>
        <v>1200643</v>
      </c>
      <c r="K499" s="11"/>
      <c r="N499" s="6"/>
      <c r="O499" s="10"/>
      <c r="P499" s="9"/>
    </row>
    <row r="500" spans="1:16" ht="24" hidden="1" customHeight="1" x14ac:dyDescent="0.25">
      <c r="A500" s="7">
        <v>44244</v>
      </c>
      <c r="B500" s="53" t="s">
        <v>1225</v>
      </c>
      <c r="C500" s="5">
        <v>181769</v>
      </c>
      <c r="D500" s="5"/>
      <c r="E500" s="169">
        <f>+IF(FINANCIACION[[#This Row],[$ CAPITAL]]&gt;=0,FINANCIACION[[#This Row],[$ CAPITAL]]+FINANCIACION[[#This Row],[$ INTERESES]],"")</f>
        <v>181769</v>
      </c>
      <c r="F500" s="169">
        <f>+SUMIFS(FINANCIACION[$ CAPITAL],FINANCIACION[Fecha],"&lt;="&amp;FINANCIACION[[#This Row],[Fecha]],FINANCIACION[PRESTAMO],FINANCIACION[[#This Row],[PRESTAMO]])</f>
        <v>-26628838.579999998</v>
      </c>
      <c r="G500" s="8"/>
      <c r="H500" s="8"/>
      <c r="I500" s="5">
        <f>IF(FINANCIACION[[#This Row],[$ CAPITAL]]&gt;0,FINANCIACION[[#This Row],[$ CAPITAL]])</f>
        <v>181769</v>
      </c>
      <c r="J500" s="36">
        <f>IF(FINANCIACION[[#This Row],[$ CAPITAL]]&gt;=0,FINANCIACION[[#This Row],[$ CAPITAL]]+FINANCIACION[[#This Row],[$ INTERESES]],0)</f>
        <v>181769</v>
      </c>
      <c r="K500" s="11"/>
      <c r="N500" s="6"/>
      <c r="O500" s="10"/>
      <c r="P500" s="9"/>
    </row>
    <row r="501" spans="1:16" ht="24" hidden="1" customHeight="1" x14ac:dyDescent="0.25">
      <c r="A501" s="7">
        <v>44245</v>
      </c>
      <c r="B501" s="53" t="s">
        <v>1219</v>
      </c>
      <c r="C501" s="5">
        <v>-50000000</v>
      </c>
      <c r="D501" s="5"/>
      <c r="E501" s="169" t="str">
        <f>+IF(FINANCIACION[[#This Row],[$ CAPITAL]]&gt;=0,FINANCIACION[[#This Row],[$ CAPITAL]]+FINANCIACION[[#This Row],[$ INTERESES]],"")</f>
        <v/>
      </c>
      <c r="F501" s="169">
        <f>+SUMIFS(FINANCIACION[$ CAPITAL],FINANCIACION[Fecha],"&lt;="&amp;FINANCIACION[[#This Row],[Fecha]],FINANCIACION[PRESTAMO],FINANCIACION[[#This Row],[PRESTAMO]])</f>
        <v>-60672903.299999997</v>
      </c>
      <c r="G501" s="8"/>
      <c r="H501" s="8"/>
      <c r="I501" s="5" t="b">
        <f>IF(FINANCIACION[[#This Row],[$ CAPITAL]]&gt;0,FINANCIACION[[#This Row],[$ CAPITAL]])</f>
        <v>0</v>
      </c>
      <c r="J501" s="36">
        <f>IF(FINANCIACION[[#This Row],[$ CAPITAL]]&gt;=0,FINANCIACION[[#This Row],[$ CAPITAL]]+FINANCIACION[[#This Row],[$ INTERESES]],0)</f>
        <v>0</v>
      </c>
      <c r="K501" s="11"/>
      <c r="N501" s="6"/>
      <c r="O501" s="10"/>
      <c r="P501" s="9"/>
    </row>
    <row r="502" spans="1:16" ht="24" hidden="1" customHeight="1" x14ac:dyDescent="0.25">
      <c r="A502" s="7">
        <v>44247</v>
      </c>
      <c r="B502" s="53" t="s">
        <v>1226</v>
      </c>
      <c r="C502" s="5"/>
      <c r="D502" s="5">
        <v>130000</v>
      </c>
      <c r="E502" s="169">
        <f>+IF(FINANCIACION[[#This Row],[$ CAPITAL]]&gt;=0,FINANCIACION[[#This Row],[$ CAPITAL]]+FINANCIACION[[#This Row],[$ INTERESES]],"")</f>
        <v>130000</v>
      </c>
      <c r="F502" s="169">
        <f>+SUMIFS(FINANCIACION[$ CAPITAL],FINANCIACION[Fecha],"&lt;="&amp;FINANCIACION[[#This Row],[Fecha]],FINANCIACION[PRESTAMO],FINANCIACION[[#This Row],[PRESTAMO]])</f>
        <v>-13000000</v>
      </c>
      <c r="G502" s="8"/>
      <c r="H502" s="8"/>
      <c r="I502" s="5" t="b">
        <f>IF(FINANCIACION[[#This Row],[$ CAPITAL]]&gt;0,FINANCIACION[[#This Row],[$ CAPITAL]])</f>
        <v>0</v>
      </c>
      <c r="J502" s="36">
        <f>IF(FINANCIACION[[#This Row],[$ CAPITAL]]&gt;=0,FINANCIACION[[#This Row],[$ CAPITAL]]+FINANCIACION[[#This Row],[$ INTERESES]],0)</f>
        <v>130000</v>
      </c>
      <c r="K502" s="11"/>
      <c r="N502" s="6"/>
      <c r="O502" s="10"/>
      <c r="P502" s="9"/>
    </row>
    <row r="503" spans="1:16" ht="24" hidden="1" customHeight="1" x14ac:dyDescent="0.25">
      <c r="A503" s="7">
        <v>44248</v>
      </c>
      <c r="B503" s="53" t="s">
        <v>1216</v>
      </c>
      <c r="C503" s="5">
        <v>-8879000</v>
      </c>
      <c r="D503" s="5"/>
      <c r="E503" s="169" t="str">
        <f>+IF(FINANCIACION[[#This Row],[$ CAPITAL]]&gt;=0,FINANCIACION[[#This Row],[$ CAPITAL]]+FINANCIACION[[#This Row],[$ INTERESES]],"")</f>
        <v/>
      </c>
      <c r="F503" s="169">
        <f>+SUMIFS(FINANCIACION[$ CAPITAL],FINANCIACION[Fecha],"&lt;="&amp;FINANCIACION[[#This Row],[Fecha]],FINANCIACION[PRESTAMO],FINANCIACION[[#This Row],[PRESTAMO]])</f>
        <v>-74731214</v>
      </c>
      <c r="G503" s="8"/>
      <c r="H503" s="8"/>
      <c r="I503" s="5" t="b">
        <f>IF(FINANCIACION[[#This Row],[$ CAPITAL]]&gt;0,FINANCIACION[[#This Row],[$ CAPITAL]])</f>
        <v>0</v>
      </c>
      <c r="J503" s="36">
        <f>IF(FINANCIACION[[#This Row],[$ CAPITAL]]&gt;=0,FINANCIACION[[#This Row],[$ CAPITAL]]+FINANCIACION[[#This Row],[$ INTERESES]],0)</f>
        <v>0</v>
      </c>
      <c r="K503" s="11"/>
      <c r="N503" s="6"/>
      <c r="O503" s="10"/>
      <c r="P503" s="9"/>
    </row>
    <row r="504" spans="1:16" ht="24" hidden="1" customHeight="1" x14ac:dyDescent="0.25">
      <c r="A504" s="7">
        <v>44255</v>
      </c>
      <c r="B504" s="53" t="s">
        <v>194</v>
      </c>
      <c r="C504" s="5">
        <v>230373</v>
      </c>
      <c r="D504" s="5">
        <v>510203</v>
      </c>
      <c r="E504" s="169">
        <f>+IF(FINANCIACION[[#This Row],[$ CAPITAL]]&gt;=0,FINANCIACION[[#This Row],[$ CAPITAL]]+FINANCIACION[[#This Row],[$ INTERESES]],"")</f>
        <v>740576</v>
      </c>
      <c r="F504" s="169">
        <f>+SUMIFS(FINANCIACION[$ CAPITAL],FINANCIACION[Fecha],"&lt;="&amp;FINANCIACION[[#This Row],[Fecha]],FINANCIACION[PRESTAMO],FINANCIACION[[#This Row],[PRESTAMO]])</f>
        <v>-2841267</v>
      </c>
      <c r="G504" s="8" t="s">
        <v>231</v>
      </c>
      <c r="H504" s="8"/>
      <c r="I504" s="5">
        <f>IF(FINANCIACION[[#This Row],[$ CAPITAL]]&gt;0,FINANCIACION[[#This Row],[$ CAPITAL]])</f>
        <v>230373</v>
      </c>
      <c r="J504" s="36">
        <f>IF(FINANCIACION[[#This Row],[$ CAPITAL]]&gt;=0,FINANCIACION[[#This Row],[$ CAPITAL]]+FINANCIACION[[#This Row],[$ INTERESES]],0)</f>
        <v>740576</v>
      </c>
      <c r="K504" s="11"/>
      <c r="N504" s="6"/>
      <c r="O504" s="10"/>
      <c r="P504" s="9"/>
    </row>
    <row r="505" spans="1:16" ht="24" hidden="1" customHeight="1" x14ac:dyDescent="0.25">
      <c r="A505" s="7">
        <v>44255</v>
      </c>
      <c r="B505" s="53" t="s">
        <v>196</v>
      </c>
      <c r="C505" s="5">
        <v>-2575168</v>
      </c>
      <c r="D505" s="5"/>
      <c r="E505" s="169" t="str">
        <f>+IF(FINANCIACION[[#This Row],[$ CAPITAL]]&gt;=0,FINANCIACION[[#This Row],[$ CAPITAL]]+FINANCIACION[[#This Row],[$ INTERESES]],"")</f>
        <v/>
      </c>
      <c r="F505" s="169">
        <f>+SUMIFS(FINANCIACION[$ CAPITAL],FINANCIACION[Fecha],"&lt;="&amp;FINANCIACION[[#This Row],[Fecha]],FINANCIACION[PRESTAMO],FINANCIACION[[#This Row],[PRESTAMO]])</f>
        <v>-92706048</v>
      </c>
      <c r="G505" s="8" t="s">
        <v>231</v>
      </c>
      <c r="H505" s="8"/>
      <c r="I505" s="5" t="b">
        <f>IF(FINANCIACION[[#This Row],[$ CAPITAL]]&gt;0,FINANCIACION[[#This Row],[$ CAPITAL]])</f>
        <v>0</v>
      </c>
      <c r="J505" s="36">
        <f>IF(FINANCIACION[[#This Row],[$ CAPITAL]]&gt;=0,FINANCIACION[[#This Row],[$ CAPITAL]]+FINANCIACION[[#This Row],[$ INTERESES]],0)</f>
        <v>0</v>
      </c>
      <c r="K505" s="11"/>
      <c r="N505" s="6"/>
      <c r="O505" s="10"/>
      <c r="P505" s="9"/>
    </row>
    <row r="506" spans="1:16" ht="24" hidden="1" customHeight="1" x14ac:dyDescent="0.25">
      <c r="A506" s="7">
        <v>44255</v>
      </c>
      <c r="B506" s="53" t="s">
        <v>1217</v>
      </c>
      <c r="C506" s="5">
        <v>-8929573</v>
      </c>
      <c r="D506" s="5"/>
      <c r="E506" s="169" t="str">
        <f>+IF(FINANCIACION[[#This Row],[$ CAPITAL]]&gt;=0,FINANCIACION[[#This Row],[$ CAPITAL]]+FINANCIACION[[#This Row],[$ INTERESES]],"")</f>
        <v/>
      </c>
      <c r="F506" s="169">
        <f>+SUMIFS(FINANCIACION[$ CAPITAL],FINANCIACION[Fecha],"&lt;="&amp;FINANCIACION[[#This Row],[Fecha]],FINANCIACION[PRESTAMO],FINANCIACION[[#This Row],[PRESTAMO]])</f>
        <v>-355279704</v>
      </c>
      <c r="G506" s="8" t="s">
        <v>231</v>
      </c>
      <c r="H506" s="8"/>
      <c r="I506" s="5" t="b">
        <f>IF(FINANCIACION[[#This Row],[$ CAPITAL]]&gt;0,FINANCIACION[[#This Row],[$ CAPITAL]])</f>
        <v>0</v>
      </c>
      <c r="J506" s="36">
        <f>IF(FINANCIACION[[#This Row],[$ CAPITAL]]&gt;=0,FINANCIACION[[#This Row],[$ CAPITAL]]+FINANCIACION[[#This Row],[$ INTERESES]],0)</f>
        <v>0</v>
      </c>
      <c r="K506" s="11"/>
      <c r="N506" s="6"/>
      <c r="O506" s="10"/>
      <c r="P506" s="9"/>
    </row>
    <row r="507" spans="1:16" ht="24" hidden="1" customHeight="1" x14ac:dyDescent="0.25">
      <c r="A507" s="7">
        <v>44255</v>
      </c>
      <c r="B507" s="53" t="s">
        <v>1218</v>
      </c>
      <c r="C507" s="5">
        <v>1162943.3500000052</v>
      </c>
      <c r="D507" s="5"/>
      <c r="E507" s="169">
        <f>+IF(FINANCIACION[[#This Row],[$ CAPITAL]]&gt;=0,FINANCIACION[[#This Row],[$ CAPITAL]]+FINANCIACION[[#This Row],[$ INTERESES]],"")</f>
        <v>1162943.3500000052</v>
      </c>
      <c r="F507" s="169">
        <f>+SUMIFS(FINANCIACION[$ CAPITAL],FINANCIACION[Fecha],"&lt;="&amp;FINANCIACION[[#This Row],[Fecha]],FINANCIACION[PRESTAMO],FINANCIACION[[#This Row],[PRESTAMO]])</f>
        <v>-72197464.860000014</v>
      </c>
      <c r="G507" s="8" t="s">
        <v>231</v>
      </c>
      <c r="H507" s="8"/>
      <c r="I507" s="5">
        <f>IF(FINANCIACION[[#This Row],[$ CAPITAL]]&gt;0,FINANCIACION[[#This Row],[$ CAPITAL]])</f>
        <v>1162943.3500000052</v>
      </c>
      <c r="J507" s="36">
        <f>IF(FINANCIACION[[#This Row],[$ CAPITAL]]&gt;=0,FINANCIACION[[#This Row],[$ CAPITAL]]+FINANCIACION[[#This Row],[$ INTERESES]],0)</f>
        <v>1162943.3500000052</v>
      </c>
      <c r="K507" s="11"/>
      <c r="N507" s="6"/>
      <c r="O507" s="10"/>
      <c r="P507" s="9"/>
    </row>
    <row r="508" spans="1:16" ht="24" hidden="1" customHeight="1" x14ac:dyDescent="0.25">
      <c r="A508" s="7">
        <v>44255</v>
      </c>
      <c r="B508" s="53" t="s">
        <v>1218</v>
      </c>
      <c r="C508" s="5">
        <v>-267882</v>
      </c>
      <c r="D508" s="5"/>
      <c r="E508" s="169" t="str">
        <f>+IF(FINANCIACION[[#This Row],[$ CAPITAL]]&gt;=0,FINANCIACION[[#This Row],[$ CAPITAL]]+FINANCIACION[[#This Row],[$ INTERESES]],"")</f>
        <v/>
      </c>
      <c r="F508" s="169">
        <f>+SUMIFS(FINANCIACION[$ CAPITAL],FINANCIACION[Fecha],"&lt;="&amp;FINANCIACION[[#This Row],[Fecha]],FINANCIACION[PRESTAMO],FINANCIACION[[#This Row],[PRESTAMO]])</f>
        <v>-72197464.860000014</v>
      </c>
      <c r="G508" s="8" t="s">
        <v>231</v>
      </c>
      <c r="H508" s="8"/>
      <c r="I508" s="5" t="b">
        <f>IF(FINANCIACION[[#This Row],[$ CAPITAL]]&gt;0,FINANCIACION[[#This Row],[$ CAPITAL]])</f>
        <v>0</v>
      </c>
      <c r="J508" s="36">
        <f>IF(FINANCIACION[[#This Row],[$ CAPITAL]]&gt;=0,FINANCIACION[[#This Row],[$ CAPITAL]]+FINANCIACION[[#This Row],[$ INTERESES]],0)</f>
        <v>0</v>
      </c>
      <c r="K508" s="11"/>
      <c r="N508" s="6"/>
      <c r="O508" s="10"/>
      <c r="P508" s="9"/>
    </row>
    <row r="509" spans="1:16" ht="24" hidden="1" customHeight="1" x14ac:dyDescent="0.25">
      <c r="A509" s="7">
        <v>44255</v>
      </c>
      <c r="B509" s="53" t="s">
        <v>1218</v>
      </c>
      <c r="C509" s="5">
        <v>-27478261</v>
      </c>
      <c r="D509" s="5"/>
      <c r="E509" s="169" t="str">
        <f>+IF(FINANCIACION[[#This Row],[$ CAPITAL]]&gt;=0,FINANCIACION[[#This Row],[$ CAPITAL]]+FINANCIACION[[#This Row],[$ INTERESES]],"")</f>
        <v/>
      </c>
      <c r="F509" s="169">
        <f>+SUMIFS(FINANCIACION[$ CAPITAL],FINANCIACION[Fecha],"&lt;="&amp;FINANCIACION[[#This Row],[Fecha]],FINANCIACION[PRESTAMO],FINANCIACION[[#This Row],[PRESTAMO]])</f>
        <v>-72197464.860000014</v>
      </c>
      <c r="G509" s="8" t="s">
        <v>231</v>
      </c>
      <c r="H509" s="8"/>
      <c r="I509" s="5" t="b">
        <f>IF(FINANCIACION[[#This Row],[$ CAPITAL]]&gt;0,FINANCIACION[[#This Row],[$ CAPITAL]])</f>
        <v>0</v>
      </c>
      <c r="J509" s="36">
        <f>IF(FINANCIACION[[#This Row],[$ CAPITAL]]&gt;=0,FINANCIACION[[#This Row],[$ CAPITAL]]+FINANCIACION[[#This Row],[$ INTERESES]],0)</f>
        <v>0</v>
      </c>
      <c r="K509" s="11"/>
      <c r="N509" s="6"/>
      <c r="O509" s="10"/>
      <c r="P509" s="9"/>
    </row>
    <row r="510" spans="1:16" ht="24" hidden="1" customHeight="1" x14ac:dyDescent="0.25">
      <c r="A510" s="7">
        <v>44255</v>
      </c>
      <c r="B510" s="53" t="s">
        <v>1218</v>
      </c>
      <c r="C510" s="5">
        <v>-141771.9999999851</v>
      </c>
      <c r="D510" s="5"/>
      <c r="E510" s="169" t="str">
        <f>+IF(FINANCIACION[[#This Row],[$ CAPITAL]]&gt;=0,FINANCIACION[[#This Row],[$ CAPITAL]]+FINANCIACION[[#This Row],[$ INTERESES]],"")</f>
        <v/>
      </c>
      <c r="F510" s="169">
        <f>+SUMIFS(FINANCIACION[$ CAPITAL],FINANCIACION[Fecha],"&lt;="&amp;FINANCIACION[[#This Row],[Fecha]],FINANCIACION[PRESTAMO],FINANCIACION[[#This Row],[PRESTAMO]])</f>
        <v>-72197464.860000014</v>
      </c>
      <c r="G510" s="8" t="s">
        <v>231</v>
      </c>
      <c r="H510" s="8"/>
      <c r="I510" s="5" t="b">
        <f>IF(FINANCIACION[[#This Row],[$ CAPITAL]]&gt;0,FINANCIACION[[#This Row],[$ CAPITAL]])</f>
        <v>0</v>
      </c>
      <c r="J510" s="36">
        <f>IF(FINANCIACION[[#This Row],[$ CAPITAL]]&gt;=0,FINANCIACION[[#This Row],[$ CAPITAL]]+FINANCIACION[[#This Row],[$ INTERESES]],0)</f>
        <v>0</v>
      </c>
      <c r="K510" s="11"/>
      <c r="N510" s="6"/>
      <c r="O510" s="10"/>
      <c r="P510" s="9"/>
    </row>
    <row r="511" spans="1:16" ht="24" hidden="1" customHeight="1" x14ac:dyDescent="0.25">
      <c r="A511" s="7">
        <v>44255</v>
      </c>
      <c r="B511" s="53" t="s">
        <v>1218</v>
      </c>
      <c r="C511" s="5">
        <v>1103255.8800000027</v>
      </c>
      <c r="D511" s="5"/>
      <c r="E511" s="169">
        <f>+IF(FINANCIACION[[#This Row],[$ CAPITAL]]&gt;=0,FINANCIACION[[#This Row],[$ CAPITAL]]+FINANCIACION[[#This Row],[$ INTERESES]],"")</f>
        <v>1103255.8800000027</v>
      </c>
      <c r="F511" s="169">
        <f>+SUMIFS(FINANCIACION[$ CAPITAL],FINANCIACION[Fecha],"&lt;="&amp;FINANCIACION[[#This Row],[Fecha]],FINANCIACION[PRESTAMO],FINANCIACION[[#This Row],[PRESTAMO]])</f>
        <v>-72197464.860000014</v>
      </c>
      <c r="G511" s="8" t="s">
        <v>231</v>
      </c>
      <c r="H511" s="8"/>
      <c r="I511" s="5">
        <f>IF(FINANCIACION[[#This Row],[$ CAPITAL]]&gt;0,FINANCIACION[[#This Row],[$ CAPITAL]])</f>
        <v>1103255.8800000027</v>
      </c>
      <c r="J511" s="36">
        <f>IF(FINANCIACION[[#This Row],[$ CAPITAL]]&gt;=0,FINANCIACION[[#This Row],[$ CAPITAL]]+FINANCIACION[[#This Row],[$ INTERESES]],0)</f>
        <v>1103255.8800000027</v>
      </c>
      <c r="K511" s="11"/>
      <c r="N511" s="6"/>
      <c r="O511" s="10"/>
      <c r="P511" s="9"/>
    </row>
    <row r="512" spans="1:16" ht="24" hidden="1" customHeight="1" x14ac:dyDescent="0.25">
      <c r="A512" s="7">
        <v>44255</v>
      </c>
      <c r="B512" s="53" t="s">
        <v>1221</v>
      </c>
      <c r="C512" s="5">
        <v>2266793.0700000003</v>
      </c>
      <c r="D512" s="5"/>
      <c r="E512" s="169">
        <f>+IF(FINANCIACION[[#This Row],[$ CAPITAL]]&gt;=0,FINANCIACION[[#This Row],[$ CAPITAL]]+FINANCIACION[[#This Row],[$ INTERESES]],"")</f>
        <v>2266793.0700000003</v>
      </c>
      <c r="F512" s="169">
        <f>+SUMIFS(FINANCIACION[$ CAPITAL],FINANCIACION[Fecha],"&lt;="&amp;FINANCIACION[[#This Row],[Fecha]],FINANCIACION[PRESTAMO],FINANCIACION[[#This Row],[PRESTAMO]])</f>
        <v>-60995747.579999998</v>
      </c>
      <c r="G512" s="8" t="s">
        <v>231</v>
      </c>
      <c r="H512" s="8"/>
      <c r="I512" s="5">
        <f>IF(FINANCIACION[[#This Row],[$ CAPITAL]]&gt;0,FINANCIACION[[#This Row],[$ CAPITAL]])</f>
        <v>2266793.0700000003</v>
      </c>
      <c r="J512" s="36">
        <f>IF(FINANCIACION[[#This Row],[$ CAPITAL]]&gt;=0,FINANCIACION[[#This Row],[$ CAPITAL]]+FINANCIACION[[#This Row],[$ INTERESES]],0)</f>
        <v>2266793.0700000003</v>
      </c>
      <c r="K512" s="11"/>
      <c r="N512" s="6"/>
      <c r="O512" s="10"/>
      <c r="P512" s="9"/>
    </row>
    <row r="513" spans="1:16" ht="24" hidden="1" customHeight="1" x14ac:dyDescent="0.25">
      <c r="A513" s="7">
        <v>44255</v>
      </c>
      <c r="B513" s="53" t="s">
        <v>1222</v>
      </c>
      <c r="C513" s="5">
        <v>3748799.9599999934</v>
      </c>
      <c r="D513" s="5"/>
      <c r="E513" s="169">
        <f>+IF(FINANCIACION[[#This Row],[$ CAPITAL]]&gt;=0,FINANCIACION[[#This Row],[$ CAPITAL]]+FINANCIACION[[#This Row],[$ INTERESES]],"")</f>
        <v>3748799.9599999934</v>
      </c>
      <c r="F513" s="169">
        <f>+SUMIFS(FINANCIACION[$ CAPITAL],FINANCIACION[Fecha],"&lt;="&amp;FINANCIACION[[#This Row],[Fecha]],FINANCIACION[PRESTAMO],FINANCIACION[[#This Row],[PRESTAMO]])</f>
        <v>-88476889.230000004</v>
      </c>
      <c r="G513" s="8" t="s">
        <v>231</v>
      </c>
      <c r="H513" s="8"/>
      <c r="I513" s="5">
        <f>IF(FINANCIACION[[#This Row],[$ CAPITAL]]&gt;0,FINANCIACION[[#This Row],[$ CAPITAL]])</f>
        <v>3748799.9599999934</v>
      </c>
      <c r="J513" s="36">
        <f>IF(FINANCIACION[[#This Row],[$ CAPITAL]]&gt;=0,FINANCIACION[[#This Row],[$ CAPITAL]]+FINANCIACION[[#This Row],[$ INTERESES]],0)</f>
        <v>3748799.9599999934</v>
      </c>
      <c r="K513" s="11"/>
      <c r="N513" s="6"/>
      <c r="O513" s="10"/>
      <c r="P513" s="9"/>
    </row>
    <row r="514" spans="1:16" ht="24" hidden="1" customHeight="1" x14ac:dyDescent="0.25">
      <c r="A514" s="7">
        <v>44255</v>
      </c>
      <c r="B514" s="53" t="s">
        <v>1223</v>
      </c>
      <c r="C514" s="5">
        <v>-324272.9299999997</v>
      </c>
      <c r="D514" s="5"/>
      <c r="E514" s="169" t="str">
        <f>+IF(FINANCIACION[[#This Row],[$ CAPITAL]]&gt;=0,FINANCIACION[[#This Row],[$ CAPITAL]]+FINANCIACION[[#This Row],[$ INTERESES]],"")</f>
        <v/>
      </c>
      <c r="F514" s="169">
        <f>+SUMIFS(FINANCIACION[$ CAPITAL],FINANCIACION[Fecha],"&lt;="&amp;FINANCIACION[[#This Row],[Fecha]],FINANCIACION[PRESTAMO],FINANCIACION[[#This Row],[PRESTAMO]])</f>
        <v>-24706333.149999999</v>
      </c>
      <c r="G514" s="8" t="s">
        <v>231</v>
      </c>
      <c r="H514" s="8"/>
      <c r="I514" s="5" t="b">
        <f>IF(FINANCIACION[[#This Row],[$ CAPITAL]]&gt;0,FINANCIACION[[#This Row],[$ CAPITAL]])</f>
        <v>0</v>
      </c>
      <c r="J514" s="36">
        <f>IF(FINANCIACION[[#This Row],[$ CAPITAL]]&gt;=0,FINANCIACION[[#This Row],[$ CAPITAL]]+FINANCIACION[[#This Row],[$ INTERESES]],0)</f>
        <v>0</v>
      </c>
      <c r="K514" s="11"/>
      <c r="N514" s="6"/>
      <c r="O514" s="10"/>
      <c r="P514" s="9"/>
    </row>
    <row r="515" spans="1:16" ht="24" hidden="1" customHeight="1" x14ac:dyDescent="0.25">
      <c r="A515" s="7">
        <v>44255</v>
      </c>
      <c r="B515" s="53" t="s">
        <v>1225</v>
      </c>
      <c r="C515" s="5">
        <v>-362321.97000000253</v>
      </c>
      <c r="D515" s="5"/>
      <c r="E515" s="169" t="str">
        <f>+IF(FINANCIACION[[#This Row],[$ CAPITAL]]&gt;=0,FINANCIACION[[#This Row],[$ CAPITAL]]+FINANCIACION[[#This Row],[$ INTERESES]],"")</f>
        <v/>
      </c>
      <c r="F515" s="169">
        <f>+SUMIFS(FINANCIACION[$ CAPITAL],FINANCIACION[Fecha],"&lt;="&amp;FINANCIACION[[#This Row],[Fecha]],FINANCIACION[PRESTAMO],FINANCIACION[[#This Row],[PRESTAMO]])</f>
        <v>-26991160.550000001</v>
      </c>
      <c r="G515" s="8" t="s">
        <v>231</v>
      </c>
      <c r="H515" s="8"/>
      <c r="I515" s="5" t="b">
        <f>IF(FINANCIACION[[#This Row],[$ CAPITAL]]&gt;0,FINANCIACION[[#This Row],[$ CAPITAL]])</f>
        <v>0</v>
      </c>
      <c r="J515" s="36">
        <f>IF(FINANCIACION[[#This Row],[$ CAPITAL]]&gt;=0,FINANCIACION[[#This Row],[$ CAPITAL]]+FINANCIACION[[#This Row],[$ INTERESES]],0)</f>
        <v>0</v>
      </c>
      <c r="K515" s="11"/>
      <c r="N515" s="6"/>
      <c r="O515" s="10"/>
      <c r="P515" s="9"/>
    </row>
    <row r="516" spans="1:16" ht="24" hidden="1" customHeight="1" x14ac:dyDescent="0.25">
      <c r="A516" s="7">
        <v>44255</v>
      </c>
      <c r="B516" s="53" t="s">
        <v>202</v>
      </c>
      <c r="C516" s="5">
        <v>-20437161</v>
      </c>
      <c r="D516" s="5"/>
      <c r="E516" s="169" t="str">
        <f>+IF(FINANCIACION[[#This Row],[$ CAPITAL]]&gt;=0,FINANCIACION[[#This Row],[$ CAPITAL]]+FINANCIACION[[#This Row],[$ INTERESES]],"")</f>
        <v/>
      </c>
      <c r="F516" s="169">
        <f>+SUMIFS(FINANCIACION[$ CAPITAL],FINANCIACION[Fecha],"&lt;="&amp;FINANCIACION[[#This Row],[Fecha]],FINANCIACION[PRESTAMO],FINANCIACION[[#This Row],[PRESTAMO]])</f>
        <v>-27453600</v>
      </c>
      <c r="G516" s="8" t="s">
        <v>231</v>
      </c>
      <c r="H516" s="8"/>
      <c r="I516" s="5" t="b">
        <f>IF(FINANCIACION[[#This Row],[$ CAPITAL]]&gt;0,FINANCIACION[[#This Row],[$ CAPITAL]])</f>
        <v>0</v>
      </c>
      <c r="J516" s="36">
        <f>IF(FINANCIACION[[#This Row],[$ CAPITAL]]&gt;=0,FINANCIACION[[#This Row],[$ CAPITAL]]+FINANCIACION[[#This Row],[$ INTERESES]],0)</f>
        <v>0</v>
      </c>
      <c r="K516" s="11"/>
      <c r="N516" s="6"/>
      <c r="O516" s="10"/>
      <c r="P516" s="9"/>
    </row>
    <row r="517" spans="1:16" ht="24" hidden="1" customHeight="1" x14ac:dyDescent="0.25">
      <c r="A517" s="7">
        <v>44256</v>
      </c>
      <c r="B517" s="53" t="s">
        <v>193</v>
      </c>
      <c r="C517" s="5"/>
      <c r="D517" s="5">
        <v>462578</v>
      </c>
      <c r="E517" s="169">
        <f>+IF(FINANCIACION[[#This Row],[$ CAPITAL]]&gt;=0,FINANCIACION[[#This Row],[$ CAPITAL]]+FINANCIACION[[#This Row],[$ INTERESES]],"")</f>
        <v>462578</v>
      </c>
      <c r="F517" s="169">
        <f>+SUMIFS(FINANCIACION[$ CAPITAL],FINANCIACION[Fecha],"&lt;="&amp;FINANCIACION[[#This Row],[Fecha]],FINANCIACION[PRESTAMO],FINANCIACION[[#This Row],[PRESTAMO]])</f>
        <v>-54330833</v>
      </c>
      <c r="G517" s="8"/>
      <c r="H517" s="8"/>
      <c r="I517" s="5" t="b">
        <f>IF(FINANCIACION[[#This Row],[$ CAPITAL]]&gt;0,FINANCIACION[[#This Row],[$ CAPITAL]])</f>
        <v>0</v>
      </c>
      <c r="J517" s="36">
        <f>IF(FINANCIACION[[#This Row],[$ CAPITAL]]&gt;=0,FINANCIACION[[#This Row],[$ CAPITAL]]+FINANCIACION[[#This Row],[$ INTERESES]],0)</f>
        <v>462578</v>
      </c>
      <c r="K517" s="11"/>
      <c r="N517" s="6"/>
      <c r="O517" s="10"/>
      <c r="P517" s="9"/>
    </row>
    <row r="518" spans="1:16" ht="24" hidden="1" customHeight="1" x14ac:dyDescent="0.25">
      <c r="A518" s="7">
        <v>44256</v>
      </c>
      <c r="B518" s="53" t="s">
        <v>194</v>
      </c>
      <c r="C518" s="5"/>
      <c r="D518" s="5">
        <v>76791</v>
      </c>
      <c r="E518" s="169">
        <f>+IF(FINANCIACION[[#This Row],[$ CAPITAL]]&gt;=0,FINANCIACION[[#This Row],[$ CAPITAL]]+FINANCIACION[[#This Row],[$ INTERESES]],"")</f>
        <v>76791</v>
      </c>
      <c r="F518" s="169">
        <f>+SUMIFS(FINANCIACION[$ CAPITAL],FINANCIACION[Fecha],"&lt;="&amp;FINANCIACION[[#This Row],[Fecha]],FINANCIACION[PRESTAMO],FINANCIACION[[#This Row],[PRESTAMO]])</f>
        <v>-2841267</v>
      </c>
      <c r="G518" s="8"/>
      <c r="H518" s="8"/>
      <c r="I518" s="5" t="b">
        <f>IF(FINANCIACION[[#This Row],[$ CAPITAL]]&gt;0,FINANCIACION[[#This Row],[$ CAPITAL]])</f>
        <v>0</v>
      </c>
      <c r="J518" s="36">
        <f>IF(FINANCIACION[[#This Row],[$ CAPITAL]]&gt;=0,FINANCIACION[[#This Row],[$ CAPITAL]]+FINANCIACION[[#This Row],[$ INTERESES]],0)</f>
        <v>76791</v>
      </c>
      <c r="K518" s="11"/>
      <c r="N518" s="6"/>
      <c r="O518" s="10"/>
      <c r="P518" s="9"/>
    </row>
    <row r="519" spans="1:16" ht="24" hidden="1" customHeight="1" x14ac:dyDescent="0.25">
      <c r="A519" s="7">
        <v>44257</v>
      </c>
      <c r="B519" s="53" t="s">
        <v>1218</v>
      </c>
      <c r="C519" s="5">
        <v>1227858</v>
      </c>
      <c r="D519" s="5"/>
      <c r="E519" s="169">
        <f>+IF(FINANCIACION[[#This Row],[$ CAPITAL]]&gt;=0,FINANCIACION[[#This Row],[$ CAPITAL]]+FINANCIACION[[#This Row],[$ INTERESES]],"")</f>
        <v>1227858</v>
      </c>
      <c r="F519" s="169">
        <f>+SUMIFS(FINANCIACION[$ CAPITAL],FINANCIACION[Fecha],"&lt;="&amp;FINANCIACION[[#This Row],[Fecha]],FINANCIACION[PRESTAMO],FINANCIACION[[#This Row],[PRESTAMO]])</f>
        <v>-69969606.860000014</v>
      </c>
      <c r="G519" s="8"/>
      <c r="H519" s="8"/>
      <c r="I519" s="5">
        <f>IF(FINANCIACION[[#This Row],[$ CAPITAL]]&gt;0,FINANCIACION[[#This Row],[$ CAPITAL]])</f>
        <v>1227858</v>
      </c>
      <c r="J519" s="36">
        <f>IF(FINANCIACION[[#This Row],[$ CAPITAL]]&gt;=0,FINANCIACION[[#This Row],[$ CAPITAL]]+FINANCIACION[[#This Row],[$ INTERESES]],0)</f>
        <v>1227858</v>
      </c>
      <c r="K519" s="11"/>
      <c r="N519" s="6"/>
      <c r="O519" s="10"/>
      <c r="P519" s="9"/>
    </row>
    <row r="520" spans="1:16" ht="24" hidden="1" customHeight="1" x14ac:dyDescent="0.25">
      <c r="A520" s="7">
        <v>44257</v>
      </c>
      <c r="B520" s="53" t="s">
        <v>1218</v>
      </c>
      <c r="C520" s="5">
        <v>100000</v>
      </c>
      <c r="D520" s="5"/>
      <c r="E520" s="169">
        <f>+IF(FINANCIACION[[#This Row],[$ CAPITAL]]&gt;=0,FINANCIACION[[#This Row],[$ CAPITAL]]+FINANCIACION[[#This Row],[$ INTERESES]],"")</f>
        <v>100000</v>
      </c>
      <c r="F520" s="169">
        <f>+SUMIFS(FINANCIACION[$ CAPITAL],FINANCIACION[Fecha],"&lt;="&amp;FINANCIACION[[#This Row],[Fecha]],FINANCIACION[PRESTAMO],FINANCIACION[[#This Row],[PRESTAMO]])</f>
        <v>-69969606.860000014</v>
      </c>
      <c r="G520" s="8"/>
      <c r="H520" s="8"/>
      <c r="I520" s="5">
        <f>IF(FINANCIACION[[#This Row],[$ CAPITAL]]&gt;0,FINANCIACION[[#This Row],[$ CAPITAL]])</f>
        <v>100000</v>
      </c>
      <c r="J520" s="36">
        <f>IF(FINANCIACION[[#This Row],[$ CAPITAL]]&gt;=0,FINANCIACION[[#This Row],[$ CAPITAL]]+FINANCIACION[[#This Row],[$ INTERESES]],0)</f>
        <v>100000</v>
      </c>
      <c r="K520" s="11"/>
      <c r="N520" s="6"/>
      <c r="O520" s="10"/>
      <c r="P520" s="9"/>
    </row>
    <row r="521" spans="1:16" ht="24" hidden="1" customHeight="1" x14ac:dyDescent="0.25">
      <c r="A521" s="7">
        <v>44257</v>
      </c>
      <c r="B521" s="53" t="s">
        <v>1218</v>
      </c>
      <c r="C521" s="5">
        <v>900000</v>
      </c>
      <c r="D521" s="5"/>
      <c r="E521" s="169">
        <f>+IF(FINANCIACION[[#This Row],[$ CAPITAL]]&gt;=0,FINANCIACION[[#This Row],[$ CAPITAL]]+FINANCIACION[[#This Row],[$ INTERESES]],"")</f>
        <v>900000</v>
      </c>
      <c r="F521" s="169">
        <f>+SUMIFS(FINANCIACION[$ CAPITAL],FINANCIACION[Fecha],"&lt;="&amp;FINANCIACION[[#This Row],[Fecha]],FINANCIACION[PRESTAMO],FINANCIACION[[#This Row],[PRESTAMO]])</f>
        <v>-69969606.860000014</v>
      </c>
      <c r="G521" s="8"/>
      <c r="H521" s="8"/>
      <c r="I521" s="5">
        <f>IF(FINANCIACION[[#This Row],[$ CAPITAL]]&gt;0,FINANCIACION[[#This Row],[$ CAPITAL]])</f>
        <v>900000</v>
      </c>
      <c r="J521" s="36">
        <f>IF(FINANCIACION[[#This Row],[$ CAPITAL]]&gt;=0,FINANCIACION[[#This Row],[$ CAPITAL]]+FINANCIACION[[#This Row],[$ INTERESES]],0)</f>
        <v>900000</v>
      </c>
      <c r="K521" s="11"/>
      <c r="N521" s="6"/>
      <c r="O521" s="10"/>
      <c r="P521" s="9"/>
    </row>
    <row r="522" spans="1:16" ht="24" hidden="1" customHeight="1" x14ac:dyDescent="0.25">
      <c r="A522" s="7">
        <v>44259</v>
      </c>
      <c r="B522" s="53" t="s">
        <v>1218</v>
      </c>
      <c r="C522" s="5">
        <v>990094.53000000305</v>
      </c>
      <c r="D522" s="5">
        <v>132480.529999997</v>
      </c>
      <c r="E522" s="169">
        <f>+IF(FINANCIACION[[#This Row],[$ CAPITAL]]&gt;=0,FINANCIACION[[#This Row],[$ CAPITAL]]+FINANCIACION[[#This Row],[$ INTERESES]],"")</f>
        <v>1122575.06</v>
      </c>
      <c r="F522" s="169">
        <f>+SUMIFS(FINANCIACION[$ CAPITAL],FINANCIACION[Fecha],"&lt;="&amp;FINANCIACION[[#This Row],[Fecha]],FINANCIACION[PRESTAMO],FINANCIACION[[#This Row],[PRESTAMO]])</f>
        <v>-68979512.330000013</v>
      </c>
      <c r="G522" s="8"/>
      <c r="H522" s="8"/>
      <c r="I522" s="5">
        <f>IF(FINANCIACION[[#This Row],[$ CAPITAL]]&gt;0,FINANCIACION[[#This Row],[$ CAPITAL]])</f>
        <v>990094.53000000305</v>
      </c>
      <c r="J522" s="36">
        <f>IF(FINANCIACION[[#This Row],[$ CAPITAL]]&gt;=0,FINANCIACION[[#This Row],[$ CAPITAL]]+FINANCIACION[[#This Row],[$ INTERESES]],0)</f>
        <v>1122575.06</v>
      </c>
      <c r="K522" s="11"/>
      <c r="N522" s="6"/>
      <c r="O522" s="10"/>
      <c r="P522" s="9"/>
    </row>
    <row r="523" spans="1:16" ht="24" hidden="1" customHeight="1" x14ac:dyDescent="0.25">
      <c r="A523" s="7">
        <v>44261</v>
      </c>
      <c r="B523" s="53" t="s">
        <v>197</v>
      </c>
      <c r="C523" s="5">
        <v>6326000</v>
      </c>
      <c r="D523" s="5">
        <v>528525.73</v>
      </c>
      <c r="E523" s="169">
        <f>+IF(FINANCIACION[[#This Row],[$ CAPITAL]]&gt;=0,FINANCIACION[[#This Row],[$ CAPITAL]]+FINANCIACION[[#This Row],[$ INTERESES]],"")</f>
        <v>6854525.7300000004</v>
      </c>
      <c r="F523" s="169">
        <f>+SUMIFS(FINANCIACION[$ CAPITAL],FINANCIACION[Fecha],"&lt;="&amp;FINANCIACION[[#This Row],[Fecha]],FINANCIACION[PRESTAMO],FINANCIACION[[#This Row],[PRESTAMO]])</f>
        <v>-73017126</v>
      </c>
      <c r="G523" s="8"/>
      <c r="H523" s="8"/>
      <c r="I523" s="5">
        <f>IF(FINANCIACION[[#This Row],[$ CAPITAL]]&gt;0,FINANCIACION[[#This Row],[$ CAPITAL]])</f>
        <v>6326000</v>
      </c>
      <c r="J523" s="36">
        <f>IF(FINANCIACION[[#This Row],[$ CAPITAL]]&gt;=0,FINANCIACION[[#This Row],[$ CAPITAL]]+FINANCIACION[[#This Row],[$ INTERESES]],0)</f>
        <v>6854525.7300000004</v>
      </c>
      <c r="K523" s="11"/>
      <c r="N523" s="6"/>
      <c r="O523" s="10"/>
      <c r="P523" s="9"/>
    </row>
    <row r="524" spans="1:16" ht="24" hidden="1" customHeight="1" x14ac:dyDescent="0.25">
      <c r="A524" s="7">
        <v>44263</v>
      </c>
      <c r="B524" s="53" t="s">
        <v>1218</v>
      </c>
      <c r="C524" s="5">
        <v>9100500</v>
      </c>
      <c r="D524" s="5"/>
      <c r="E524" s="169">
        <f>+IF(FINANCIACION[[#This Row],[$ CAPITAL]]&gt;=0,FINANCIACION[[#This Row],[$ CAPITAL]]+FINANCIACION[[#This Row],[$ INTERESES]],"")</f>
        <v>9100500</v>
      </c>
      <c r="F524" s="169">
        <f>+SUMIFS(FINANCIACION[$ CAPITAL],FINANCIACION[Fecha],"&lt;="&amp;FINANCIACION[[#This Row],[Fecha]],FINANCIACION[PRESTAMO],FINANCIACION[[#This Row],[PRESTAMO]])</f>
        <v>-59879012.330000013</v>
      </c>
      <c r="G524" s="8"/>
      <c r="H524" s="8"/>
      <c r="I524" s="5">
        <f>IF(FINANCIACION[[#This Row],[$ CAPITAL]]&gt;0,FINANCIACION[[#This Row],[$ CAPITAL]])</f>
        <v>9100500</v>
      </c>
      <c r="J524" s="36">
        <f>IF(FINANCIACION[[#This Row],[$ CAPITAL]]&gt;=0,FINANCIACION[[#This Row],[$ CAPITAL]]+FINANCIACION[[#This Row],[$ INTERESES]],0)</f>
        <v>9100500</v>
      </c>
      <c r="K524" s="11"/>
      <c r="N524" s="6"/>
      <c r="O524" s="10"/>
      <c r="P524" s="9"/>
    </row>
    <row r="525" spans="1:16" ht="24" hidden="1" customHeight="1" x14ac:dyDescent="0.25">
      <c r="A525" s="7">
        <v>44264</v>
      </c>
      <c r="B525" s="53" t="s">
        <v>1215</v>
      </c>
      <c r="C525" s="5">
        <v>1705721.0235660002</v>
      </c>
      <c r="D525" s="5">
        <v>860178.97643399995</v>
      </c>
      <c r="E525" s="169">
        <f>+IF(FINANCIACION[[#This Row],[$ CAPITAL]]&gt;=0,FINANCIACION[[#This Row],[$ CAPITAL]]+FINANCIACION[[#This Row],[$ INTERESES]],"")</f>
        <v>2565900</v>
      </c>
      <c r="F525" s="169">
        <f>+SUMIFS(FINANCIACION[$ CAPITAL],FINANCIACION[Fecha],"&lt;="&amp;FINANCIACION[[#This Row],[Fecha]],FINANCIACION[PRESTAMO],FINANCIACION[[#This Row],[PRESTAMO]])</f>
        <v>-84312176.619834006</v>
      </c>
      <c r="G525" s="8"/>
      <c r="H525" s="8"/>
      <c r="I525" s="5">
        <f>IF(FINANCIACION[[#This Row],[$ CAPITAL]]&gt;0,FINANCIACION[[#This Row],[$ CAPITAL]])</f>
        <v>1705721.0235660002</v>
      </c>
      <c r="J525" s="36">
        <f>IF(FINANCIACION[[#This Row],[$ CAPITAL]]&gt;=0,FINANCIACION[[#This Row],[$ CAPITAL]]+FINANCIACION[[#This Row],[$ INTERESES]],0)</f>
        <v>2565900</v>
      </c>
      <c r="K525" s="11"/>
      <c r="N525" s="6"/>
      <c r="O525" s="10"/>
      <c r="P525" s="9"/>
    </row>
    <row r="526" spans="1:16" ht="24" hidden="1" customHeight="1" x14ac:dyDescent="0.25">
      <c r="A526" s="7">
        <v>44264</v>
      </c>
      <c r="B526" s="53" t="s">
        <v>1218</v>
      </c>
      <c r="C526" s="5"/>
      <c r="D526" s="5">
        <v>130000</v>
      </c>
      <c r="E526" s="169">
        <f>+IF(FINANCIACION[[#This Row],[$ CAPITAL]]&gt;=0,FINANCIACION[[#This Row],[$ CAPITAL]]+FINANCIACION[[#This Row],[$ INTERESES]],"")</f>
        <v>130000</v>
      </c>
      <c r="F526" s="169">
        <f>+SUMIFS(FINANCIACION[$ CAPITAL],FINANCIACION[Fecha],"&lt;="&amp;FINANCIACION[[#This Row],[Fecha]],FINANCIACION[PRESTAMO],FINANCIACION[[#This Row],[PRESTAMO]])</f>
        <v>-59879012.330000013</v>
      </c>
      <c r="G526" s="8"/>
      <c r="H526" s="8"/>
      <c r="I526" s="5" t="b">
        <f>IF(FINANCIACION[[#This Row],[$ CAPITAL]]&gt;0,FINANCIACION[[#This Row],[$ CAPITAL]])</f>
        <v>0</v>
      </c>
      <c r="J526" s="36">
        <f>IF(FINANCIACION[[#This Row],[$ CAPITAL]]&gt;=0,FINANCIACION[[#This Row],[$ CAPITAL]]+FINANCIACION[[#This Row],[$ INTERESES]],0)</f>
        <v>130000</v>
      </c>
      <c r="K526" s="11"/>
      <c r="N526" s="6"/>
      <c r="O526" s="10"/>
      <c r="P526" s="9"/>
    </row>
    <row r="527" spans="1:16" ht="24" hidden="1" customHeight="1" x14ac:dyDescent="0.25">
      <c r="A527" s="7">
        <v>44265</v>
      </c>
      <c r="B527" s="53" t="s">
        <v>1226</v>
      </c>
      <c r="C527" s="5"/>
      <c r="D527" s="5">
        <v>130000</v>
      </c>
      <c r="E527" s="169">
        <f>+IF(FINANCIACION[[#This Row],[$ CAPITAL]]&gt;=0,FINANCIACION[[#This Row],[$ CAPITAL]]+FINANCIACION[[#This Row],[$ INTERESES]],"")</f>
        <v>130000</v>
      </c>
      <c r="F527" s="169">
        <f>+SUMIFS(FINANCIACION[$ CAPITAL],FINANCIACION[Fecha],"&lt;="&amp;FINANCIACION[[#This Row],[Fecha]],FINANCIACION[PRESTAMO],FINANCIACION[[#This Row],[PRESTAMO]])</f>
        <v>-13000000</v>
      </c>
      <c r="G527" s="8"/>
      <c r="H527" s="8"/>
      <c r="I527" s="5" t="b">
        <f>IF(FINANCIACION[[#This Row],[$ CAPITAL]]&gt;0,FINANCIACION[[#This Row],[$ CAPITAL]])</f>
        <v>0</v>
      </c>
      <c r="J527" s="36">
        <f>IF(FINANCIACION[[#This Row],[$ CAPITAL]]&gt;=0,FINANCIACION[[#This Row],[$ CAPITAL]]+FINANCIACION[[#This Row],[$ INTERESES]],0)</f>
        <v>130000</v>
      </c>
      <c r="K527" s="11"/>
      <c r="N527" s="6"/>
      <c r="O527" s="10"/>
      <c r="P527" s="9"/>
    </row>
    <row r="528" spans="1:16" ht="24" hidden="1" customHeight="1" x14ac:dyDescent="0.25">
      <c r="A528" s="7">
        <v>44265</v>
      </c>
      <c r="B528" s="53" t="s">
        <v>1219</v>
      </c>
      <c r="C528" s="5">
        <v>277743.10809999995</v>
      </c>
      <c r="D528" s="5">
        <v>922256.89190000005</v>
      </c>
      <c r="E528" s="169">
        <f>+IF(FINANCIACION[[#This Row],[$ CAPITAL]]&gt;=0,FINANCIACION[[#This Row],[$ CAPITAL]]+FINANCIACION[[#This Row],[$ INTERESES]],"")</f>
        <v>1200000</v>
      </c>
      <c r="F528" s="169">
        <f>+SUMIFS(FINANCIACION[$ CAPITAL],FINANCIACION[Fecha],"&lt;="&amp;FINANCIACION[[#This Row],[Fecha]],FINANCIACION[PRESTAMO],FINANCIACION[[#This Row],[PRESTAMO]])</f>
        <v>-60395160.1919</v>
      </c>
      <c r="G528" s="8"/>
      <c r="H528" s="8"/>
      <c r="I528" s="5">
        <f>IF(FINANCIACION[[#This Row],[$ CAPITAL]]&gt;0,FINANCIACION[[#This Row],[$ CAPITAL]])</f>
        <v>277743.10809999995</v>
      </c>
      <c r="J528" s="36">
        <f>IF(FINANCIACION[[#This Row],[$ CAPITAL]]&gt;=0,FINANCIACION[[#This Row],[$ CAPITAL]]+FINANCIACION[[#This Row],[$ INTERESES]],0)</f>
        <v>1200000</v>
      </c>
      <c r="K528" s="11"/>
      <c r="N528" s="6"/>
      <c r="O528" s="10"/>
      <c r="P528" s="9"/>
    </row>
    <row r="529" spans="1:16" ht="24" hidden="1" customHeight="1" x14ac:dyDescent="0.25">
      <c r="A529" s="7">
        <v>44265</v>
      </c>
      <c r="B529" s="53" t="s">
        <v>1216</v>
      </c>
      <c r="C529" s="5">
        <v>552687.86</v>
      </c>
      <c r="D529" s="5">
        <v>747312.14</v>
      </c>
      <c r="E529" s="169">
        <f>+IF(FINANCIACION[[#This Row],[$ CAPITAL]]&gt;=0,FINANCIACION[[#This Row],[$ CAPITAL]]+FINANCIACION[[#This Row],[$ INTERESES]],"")</f>
        <v>1300000</v>
      </c>
      <c r="F529" s="169">
        <f>+SUMIFS(FINANCIACION[$ CAPITAL],FINANCIACION[Fecha],"&lt;="&amp;FINANCIACION[[#This Row],[Fecha]],FINANCIACION[PRESTAMO],FINANCIACION[[#This Row],[PRESTAMO]])</f>
        <v>-74178526.140000001</v>
      </c>
      <c r="G529" s="8"/>
      <c r="H529" s="8"/>
      <c r="I529" s="5">
        <f>IF(FINANCIACION[[#This Row],[$ CAPITAL]]&gt;0,FINANCIACION[[#This Row],[$ CAPITAL]])</f>
        <v>552687.86</v>
      </c>
      <c r="J529" s="36">
        <f>IF(FINANCIACION[[#This Row],[$ CAPITAL]]&gt;=0,FINANCIACION[[#This Row],[$ CAPITAL]]+FINANCIACION[[#This Row],[$ INTERESES]],0)</f>
        <v>1300000</v>
      </c>
      <c r="K529" s="11"/>
      <c r="N529" s="6"/>
      <c r="O529" s="10"/>
      <c r="P529" s="9"/>
    </row>
    <row r="530" spans="1:16" ht="24" hidden="1" customHeight="1" x14ac:dyDescent="0.25">
      <c r="A530" s="7">
        <v>44266</v>
      </c>
      <c r="B530" s="53" t="s">
        <v>1219</v>
      </c>
      <c r="C530" s="5">
        <v>315160.19189999998</v>
      </c>
      <c r="D530" s="5"/>
      <c r="E530" s="169">
        <f>+IF(FINANCIACION[[#This Row],[$ CAPITAL]]&gt;=0,FINANCIACION[[#This Row],[$ CAPITAL]]+FINANCIACION[[#This Row],[$ INTERESES]],"")</f>
        <v>315160.19189999998</v>
      </c>
      <c r="F530" s="169">
        <f>+SUMIFS(FINANCIACION[$ CAPITAL],FINANCIACION[Fecha],"&lt;="&amp;FINANCIACION[[#This Row],[Fecha]],FINANCIACION[PRESTAMO],FINANCIACION[[#This Row],[PRESTAMO]])</f>
        <v>-60080000</v>
      </c>
      <c r="G530" s="8" t="s">
        <v>242</v>
      </c>
      <c r="H530" s="8"/>
      <c r="I530" s="5">
        <f>IF(FINANCIACION[[#This Row],[$ CAPITAL]]&gt;0,FINANCIACION[[#This Row],[$ CAPITAL]])</f>
        <v>315160.19189999998</v>
      </c>
      <c r="J530" s="36">
        <f>IF(FINANCIACION[[#This Row],[$ CAPITAL]]&gt;=0,FINANCIACION[[#This Row],[$ CAPITAL]]+FINANCIACION[[#This Row],[$ INTERESES]],0)</f>
        <v>315160.19189999998</v>
      </c>
      <c r="K530" s="11"/>
      <c r="N530" s="6"/>
      <c r="O530" s="10"/>
      <c r="P530" s="9"/>
    </row>
    <row r="531" spans="1:16" ht="24" hidden="1" customHeight="1" x14ac:dyDescent="0.25">
      <c r="A531" s="7">
        <v>44271</v>
      </c>
      <c r="B531" s="53" t="s">
        <v>1218</v>
      </c>
      <c r="C531" s="5">
        <v>3575630</v>
      </c>
      <c r="D531" s="5"/>
      <c r="E531" s="169">
        <f>+IF(FINANCIACION[[#This Row],[$ CAPITAL]]&gt;=0,FINANCIACION[[#This Row],[$ CAPITAL]]+FINANCIACION[[#This Row],[$ INTERESES]],"")</f>
        <v>3575630</v>
      </c>
      <c r="F531" s="169">
        <f>+SUMIFS(FINANCIACION[$ CAPITAL],FINANCIACION[Fecha],"&lt;="&amp;FINANCIACION[[#This Row],[Fecha]],FINANCIACION[PRESTAMO],FINANCIACION[[#This Row],[PRESTAMO]])</f>
        <v>-56303382.330000013</v>
      </c>
      <c r="G531" s="8" t="s">
        <v>68</v>
      </c>
      <c r="H531" s="8"/>
      <c r="I531" s="5">
        <f>IF(FINANCIACION[[#This Row],[$ CAPITAL]]&gt;0,FINANCIACION[[#This Row],[$ CAPITAL]])</f>
        <v>3575630</v>
      </c>
      <c r="J531" s="36">
        <f>IF(FINANCIACION[[#This Row],[$ CAPITAL]]&gt;=0,FINANCIACION[[#This Row],[$ CAPITAL]]+FINANCIACION[[#This Row],[$ INTERESES]],0)</f>
        <v>3575630</v>
      </c>
      <c r="K531" s="11"/>
      <c r="N531" s="6"/>
      <c r="O531" s="10"/>
      <c r="P531" s="9"/>
    </row>
    <row r="532" spans="1:16" ht="24" hidden="1" customHeight="1" x14ac:dyDescent="0.25">
      <c r="A532" s="7">
        <v>44284</v>
      </c>
      <c r="B532" s="53" t="s">
        <v>1217</v>
      </c>
      <c r="C532" s="5">
        <v>8286154</v>
      </c>
      <c r="D532" s="5">
        <v>120765</v>
      </c>
      <c r="E532" s="169">
        <f>+IF(FINANCIACION[[#This Row],[$ CAPITAL]]&gt;=0,FINANCIACION[[#This Row],[$ CAPITAL]]+FINANCIACION[[#This Row],[$ INTERESES]],"")</f>
        <v>8406919</v>
      </c>
      <c r="F532" s="169">
        <f>+SUMIFS(FINANCIACION[$ CAPITAL],FINANCIACION[Fecha],"&lt;="&amp;FINANCIACION[[#This Row],[Fecha]],FINANCIACION[PRESTAMO],FINANCIACION[[#This Row],[PRESTAMO]])</f>
        <v>-346993550</v>
      </c>
      <c r="G532" s="8"/>
      <c r="H532" s="8"/>
      <c r="I532" s="5">
        <f>IF(FINANCIACION[[#This Row],[$ CAPITAL]]&gt;0,FINANCIACION[[#This Row],[$ CAPITAL]])</f>
        <v>8286154</v>
      </c>
      <c r="J532" s="36">
        <f>IF(FINANCIACION[[#This Row],[$ CAPITAL]]&gt;=0,FINANCIACION[[#This Row],[$ CAPITAL]]+FINANCIACION[[#This Row],[$ INTERESES]],0)</f>
        <v>8406919</v>
      </c>
      <c r="K532" s="11"/>
      <c r="N532" s="6"/>
      <c r="O532" s="10"/>
      <c r="P532" s="9"/>
    </row>
    <row r="533" spans="1:16" ht="24" hidden="1" customHeight="1" x14ac:dyDescent="0.25">
      <c r="A533" s="7">
        <v>44284</v>
      </c>
      <c r="B533" s="53" t="s">
        <v>1218</v>
      </c>
      <c r="C533" s="5">
        <v>1247099.7200000025</v>
      </c>
      <c r="D533" s="5">
        <v>24900.279999997467</v>
      </c>
      <c r="E533" s="169">
        <f>+IF(FINANCIACION[[#This Row],[$ CAPITAL]]&gt;=0,FINANCIACION[[#This Row],[$ CAPITAL]]+FINANCIACION[[#This Row],[$ INTERESES]],"")</f>
        <v>1272000</v>
      </c>
      <c r="F533" s="169">
        <f>+SUMIFS(FINANCIACION[$ CAPITAL],FINANCIACION[Fecha],"&lt;="&amp;FINANCIACION[[#This Row],[Fecha]],FINANCIACION[PRESTAMO],FINANCIACION[[#This Row],[PRESTAMO]])</f>
        <v>-49887024.860000014</v>
      </c>
      <c r="G533" s="8"/>
      <c r="H533" s="8"/>
      <c r="I533" s="5">
        <f>IF(FINANCIACION[[#This Row],[$ CAPITAL]]&gt;0,FINANCIACION[[#This Row],[$ CAPITAL]])</f>
        <v>1247099.7200000025</v>
      </c>
      <c r="J533" s="36">
        <f>IF(FINANCIACION[[#This Row],[$ CAPITAL]]&gt;=0,FINANCIACION[[#This Row],[$ CAPITAL]]+FINANCIACION[[#This Row],[$ INTERESES]],0)</f>
        <v>1272000</v>
      </c>
      <c r="K533" s="11"/>
      <c r="N533" s="6"/>
      <c r="O533" s="10"/>
      <c r="P533" s="9"/>
    </row>
    <row r="534" spans="1:16" ht="24" hidden="1" customHeight="1" x14ac:dyDescent="0.25">
      <c r="A534" s="7">
        <v>44284</v>
      </c>
      <c r="B534" s="53" t="s">
        <v>1218</v>
      </c>
      <c r="C534" s="5">
        <v>3665410</v>
      </c>
      <c r="D534" s="5"/>
      <c r="E534" s="169">
        <f>+IF(FINANCIACION[[#This Row],[$ CAPITAL]]&gt;=0,FINANCIACION[[#This Row],[$ CAPITAL]]+FINANCIACION[[#This Row],[$ INTERESES]],"")</f>
        <v>3665410</v>
      </c>
      <c r="F534" s="169">
        <f>+SUMIFS(FINANCIACION[$ CAPITAL],FINANCIACION[Fecha],"&lt;="&amp;FINANCIACION[[#This Row],[Fecha]],FINANCIACION[PRESTAMO],FINANCIACION[[#This Row],[PRESTAMO]])</f>
        <v>-49887024.860000014</v>
      </c>
      <c r="G534" s="8"/>
      <c r="H534" s="8"/>
      <c r="I534" s="5">
        <f>IF(FINANCIACION[[#This Row],[$ CAPITAL]]&gt;0,FINANCIACION[[#This Row],[$ CAPITAL]])</f>
        <v>3665410</v>
      </c>
      <c r="J534" s="36">
        <f>IF(FINANCIACION[[#This Row],[$ CAPITAL]]&gt;=0,FINANCIACION[[#This Row],[$ CAPITAL]]+FINANCIACION[[#This Row],[$ INTERESES]],0)</f>
        <v>3665410</v>
      </c>
      <c r="K534" s="11"/>
      <c r="N534" s="6"/>
      <c r="O534" s="10"/>
      <c r="P534" s="9"/>
    </row>
    <row r="535" spans="1:16" ht="24" hidden="1" customHeight="1" x14ac:dyDescent="0.25">
      <c r="A535" s="7">
        <v>44284</v>
      </c>
      <c r="B535" s="53" t="s">
        <v>1218</v>
      </c>
      <c r="C535" s="5">
        <v>1503847.75</v>
      </c>
      <c r="D535" s="5">
        <v>28152.25</v>
      </c>
      <c r="E535" s="169">
        <f>+IF(FINANCIACION[[#This Row],[$ CAPITAL]]&gt;=0,FINANCIACION[[#This Row],[$ CAPITAL]]+FINANCIACION[[#This Row],[$ INTERESES]],"")</f>
        <v>1532000</v>
      </c>
      <c r="F535" s="169">
        <f>+SUMIFS(FINANCIACION[$ CAPITAL],FINANCIACION[Fecha],"&lt;="&amp;FINANCIACION[[#This Row],[Fecha]],FINANCIACION[PRESTAMO],FINANCIACION[[#This Row],[PRESTAMO]])</f>
        <v>-49887024.860000014</v>
      </c>
      <c r="G535" s="8"/>
      <c r="H535" s="8"/>
      <c r="I535" s="5">
        <f>IF(FINANCIACION[[#This Row],[$ CAPITAL]]&gt;0,FINANCIACION[[#This Row],[$ CAPITAL]])</f>
        <v>1503847.75</v>
      </c>
      <c r="J535" s="36">
        <f>IF(FINANCIACION[[#This Row],[$ CAPITAL]]&gt;=0,FINANCIACION[[#This Row],[$ CAPITAL]]+FINANCIACION[[#This Row],[$ INTERESES]],0)</f>
        <v>1532000</v>
      </c>
      <c r="K535" s="11"/>
      <c r="N535" s="6"/>
      <c r="O535" s="10"/>
      <c r="P535" s="9"/>
    </row>
    <row r="536" spans="1:16" ht="24" hidden="1" customHeight="1" x14ac:dyDescent="0.25">
      <c r="A536" s="7">
        <v>44284</v>
      </c>
      <c r="B536" s="53" t="s">
        <v>1221</v>
      </c>
      <c r="C536" s="5">
        <v>2572447.9900000021</v>
      </c>
      <c r="D536" s="5">
        <v>12552.009999997914</v>
      </c>
      <c r="E536" s="169">
        <f>+IF(FINANCIACION[[#This Row],[$ CAPITAL]]&gt;=0,FINANCIACION[[#This Row],[$ CAPITAL]]+FINANCIACION[[#This Row],[$ INTERESES]],"")</f>
        <v>2585000</v>
      </c>
      <c r="F536" s="169">
        <f>+SUMIFS(FINANCIACION[$ CAPITAL],FINANCIACION[Fecha],"&lt;="&amp;FINANCIACION[[#This Row],[Fecha]],FINANCIACION[PRESTAMO],FINANCIACION[[#This Row],[PRESTAMO]])</f>
        <v>-58423299.589999996</v>
      </c>
      <c r="G536" s="8"/>
      <c r="H536" s="8"/>
      <c r="I536" s="5">
        <f>IF(FINANCIACION[[#This Row],[$ CAPITAL]]&gt;0,FINANCIACION[[#This Row],[$ CAPITAL]])</f>
        <v>2572447.9900000021</v>
      </c>
      <c r="J536" s="36">
        <f>IF(FINANCIACION[[#This Row],[$ CAPITAL]]&gt;=0,FINANCIACION[[#This Row],[$ CAPITAL]]+FINANCIACION[[#This Row],[$ INTERESES]],0)</f>
        <v>2585000</v>
      </c>
      <c r="K536" s="11"/>
      <c r="N536" s="6"/>
      <c r="O536" s="10"/>
      <c r="P536" s="9"/>
    </row>
    <row r="537" spans="1:16" ht="24" hidden="1" customHeight="1" x14ac:dyDescent="0.25">
      <c r="A537" s="7">
        <v>44284</v>
      </c>
      <c r="B537" s="53" t="s">
        <v>1222</v>
      </c>
      <c r="C537" s="5">
        <v>4917561.8900000006</v>
      </c>
      <c r="D537" s="5">
        <v>82438.109999999404</v>
      </c>
      <c r="E537" s="169">
        <f>+IF(FINANCIACION[[#This Row],[$ CAPITAL]]&gt;=0,FINANCIACION[[#This Row],[$ CAPITAL]]+FINANCIACION[[#This Row],[$ INTERESES]],"")</f>
        <v>5000000</v>
      </c>
      <c r="F537" s="169">
        <f>+SUMIFS(FINANCIACION[$ CAPITAL],FINANCIACION[Fecha],"&lt;="&amp;FINANCIACION[[#This Row],[Fecha]],FINANCIACION[PRESTAMO],FINANCIACION[[#This Row],[PRESTAMO]])</f>
        <v>-83559327.340000004</v>
      </c>
      <c r="G537" s="8"/>
      <c r="H537" s="8"/>
      <c r="I537" s="5">
        <f>IF(FINANCIACION[[#This Row],[$ CAPITAL]]&gt;0,FINANCIACION[[#This Row],[$ CAPITAL]])</f>
        <v>4917561.8900000006</v>
      </c>
      <c r="J537" s="36">
        <f>IF(FINANCIACION[[#This Row],[$ CAPITAL]]&gt;=0,FINANCIACION[[#This Row],[$ CAPITAL]]+FINANCIACION[[#This Row],[$ INTERESES]],0)</f>
        <v>5000000</v>
      </c>
      <c r="K537" s="11"/>
      <c r="N537" s="6"/>
      <c r="O537" s="10"/>
      <c r="P537" s="9"/>
    </row>
    <row r="538" spans="1:16" ht="24" hidden="1" customHeight="1" x14ac:dyDescent="0.25">
      <c r="A538" s="7">
        <v>44284</v>
      </c>
      <c r="B538" s="53" t="s">
        <v>1223</v>
      </c>
      <c r="C538" s="5">
        <v>997424.58000000194</v>
      </c>
      <c r="D538" s="5">
        <v>20575.419999998063</v>
      </c>
      <c r="E538" s="169">
        <f>+IF(FINANCIACION[[#This Row],[$ CAPITAL]]&gt;=0,FINANCIACION[[#This Row],[$ CAPITAL]]+FINANCIACION[[#This Row],[$ INTERESES]],"")</f>
        <v>1018000</v>
      </c>
      <c r="F538" s="169">
        <f>+SUMIFS(FINANCIACION[$ CAPITAL],FINANCIACION[Fecha],"&lt;="&amp;FINANCIACION[[#This Row],[Fecha]],FINANCIACION[PRESTAMO],FINANCIACION[[#This Row],[PRESTAMO]])</f>
        <v>-23708908.569999997</v>
      </c>
      <c r="G538" s="8"/>
      <c r="H538" s="8"/>
      <c r="I538" s="5">
        <f>IF(FINANCIACION[[#This Row],[$ CAPITAL]]&gt;0,FINANCIACION[[#This Row],[$ CAPITAL]])</f>
        <v>997424.58000000194</v>
      </c>
      <c r="J538" s="36">
        <f>IF(FINANCIACION[[#This Row],[$ CAPITAL]]&gt;=0,FINANCIACION[[#This Row],[$ CAPITAL]]+FINANCIACION[[#This Row],[$ INTERESES]],0)</f>
        <v>1018000</v>
      </c>
      <c r="K538" s="11"/>
      <c r="N538" s="6"/>
      <c r="O538" s="10"/>
      <c r="P538" s="9"/>
    </row>
    <row r="539" spans="1:16" ht="24" hidden="1" customHeight="1" x14ac:dyDescent="0.25">
      <c r="A539" s="7">
        <v>44284</v>
      </c>
      <c r="B539" s="53" t="s">
        <v>1225</v>
      </c>
      <c r="C539" s="5">
        <v>1233330.6600000001</v>
      </c>
      <c r="D539" s="5">
        <v>22384.339999999851</v>
      </c>
      <c r="E539" s="169">
        <f>+IF(FINANCIACION[[#This Row],[$ CAPITAL]]&gt;=0,FINANCIACION[[#This Row],[$ CAPITAL]]+FINANCIACION[[#This Row],[$ INTERESES]],"")</f>
        <v>1255715</v>
      </c>
      <c r="F539" s="169">
        <f>+SUMIFS(FINANCIACION[$ CAPITAL],FINANCIACION[Fecha],"&lt;="&amp;FINANCIACION[[#This Row],[Fecha]],FINANCIACION[PRESTAMO],FINANCIACION[[#This Row],[PRESTAMO]])</f>
        <v>-25757829.890000001</v>
      </c>
      <c r="G539" s="8"/>
      <c r="H539" s="8"/>
      <c r="I539" s="5">
        <f>IF(FINANCIACION[[#This Row],[$ CAPITAL]]&gt;0,FINANCIACION[[#This Row],[$ CAPITAL]])</f>
        <v>1233330.6600000001</v>
      </c>
      <c r="J539" s="36">
        <f>IF(FINANCIACION[[#This Row],[$ CAPITAL]]&gt;=0,FINANCIACION[[#This Row],[$ CAPITAL]]+FINANCIACION[[#This Row],[$ INTERESES]],0)</f>
        <v>1255715</v>
      </c>
      <c r="K539" s="11"/>
      <c r="N539" s="6"/>
      <c r="O539" s="10"/>
      <c r="P539" s="9"/>
    </row>
    <row r="540" spans="1:16" ht="24" hidden="1" customHeight="1" x14ac:dyDescent="0.25">
      <c r="A540" s="7">
        <v>44285</v>
      </c>
      <c r="B540" s="53" t="s">
        <v>294</v>
      </c>
      <c r="C540" s="5">
        <v>-55440541</v>
      </c>
      <c r="D540" s="5"/>
      <c r="E540" s="169" t="str">
        <f>+IF(FINANCIACION[[#This Row],[$ CAPITAL]]&gt;=0,FINANCIACION[[#This Row],[$ CAPITAL]]+FINANCIACION[[#This Row],[$ INTERESES]],"")</f>
        <v/>
      </c>
      <c r="F540" s="169">
        <f>+SUMIFS(FINANCIACION[$ CAPITAL],FINANCIACION[Fecha],"&lt;="&amp;FINANCIACION[[#This Row],[Fecha]],FINANCIACION[PRESTAMO],FINANCIACION[[#This Row],[PRESTAMO]])</f>
        <v>-55440541</v>
      </c>
      <c r="G540" s="8" t="s">
        <v>1227</v>
      </c>
      <c r="H540" s="8">
        <v>-14983.93</v>
      </c>
      <c r="I540" s="5" t="b">
        <f>IF(FINANCIACION[[#This Row],[$ CAPITAL]]&gt;0,FINANCIACION[[#This Row],[$ CAPITAL]])</f>
        <v>0</v>
      </c>
      <c r="J540" s="36">
        <f>IF(FINANCIACION[[#This Row],[$ CAPITAL]]&gt;=0,FINANCIACION[[#This Row],[$ CAPITAL]]+FINANCIACION[[#This Row],[$ INTERESES]],0)</f>
        <v>0</v>
      </c>
      <c r="K540" s="11"/>
      <c r="N540" s="6"/>
      <c r="O540" s="10"/>
      <c r="P540" s="9"/>
    </row>
    <row r="541" spans="1:16" ht="24" hidden="1" customHeight="1" x14ac:dyDescent="0.25">
      <c r="A541" s="7">
        <v>44285</v>
      </c>
      <c r="B541" s="53" t="s">
        <v>202</v>
      </c>
      <c r="C541" s="5">
        <v>1068900</v>
      </c>
      <c r="D541" s="5"/>
      <c r="E541" s="169">
        <f>+IF(FINANCIACION[[#This Row],[$ CAPITAL]]&gt;=0,FINANCIACION[[#This Row],[$ CAPITAL]]+FINANCIACION[[#This Row],[$ INTERESES]],"")</f>
        <v>1068900</v>
      </c>
      <c r="F541" s="169">
        <f>+SUMIFS(FINANCIACION[$ CAPITAL],FINANCIACION[Fecha],"&lt;="&amp;FINANCIACION[[#This Row],[Fecha]],FINANCIACION[PRESTAMO],FINANCIACION[[#This Row],[PRESTAMO]])</f>
        <v>-26384700</v>
      </c>
      <c r="G541" s="8" t="s">
        <v>231</v>
      </c>
      <c r="H541" s="8"/>
      <c r="I541" s="5">
        <f>IF(FINANCIACION[[#This Row],[$ CAPITAL]]&gt;0,FINANCIACION[[#This Row],[$ CAPITAL]])</f>
        <v>1068900</v>
      </c>
      <c r="J541" s="36">
        <f>IF(FINANCIACION[[#This Row],[$ CAPITAL]]&gt;=0,FINANCIACION[[#This Row],[$ CAPITAL]]+FINANCIACION[[#This Row],[$ INTERESES]],0)</f>
        <v>1068900</v>
      </c>
      <c r="K541" s="11"/>
      <c r="N541" s="6"/>
      <c r="O541" s="10"/>
      <c r="P541" s="9"/>
    </row>
    <row r="542" spans="1:16" ht="24" hidden="1" customHeight="1" x14ac:dyDescent="0.25">
      <c r="A542" s="7">
        <v>44286</v>
      </c>
      <c r="B542" s="53" t="s">
        <v>193</v>
      </c>
      <c r="C542" s="5">
        <v>1468400</v>
      </c>
      <c r="D542" s="5">
        <v>506320</v>
      </c>
      <c r="E542" s="169">
        <f>+IF(FINANCIACION[[#This Row],[$ CAPITAL]]&gt;=0,FINANCIACION[[#This Row],[$ CAPITAL]]+FINANCIACION[[#This Row],[$ INTERESES]],"")</f>
        <v>1974720</v>
      </c>
      <c r="F542" s="169">
        <f>+SUMIFS(FINANCIACION[$ CAPITAL],FINANCIACION[Fecha],"&lt;="&amp;FINANCIACION[[#This Row],[Fecha]],FINANCIACION[PRESTAMO],FINANCIACION[[#This Row],[PRESTAMO]])</f>
        <v>-52862433</v>
      </c>
      <c r="G542" s="8"/>
      <c r="H542" s="8"/>
      <c r="I542" s="5">
        <f>IF(FINANCIACION[[#This Row],[$ CAPITAL]]&gt;0,FINANCIACION[[#This Row],[$ CAPITAL]])</f>
        <v>1468400</v>
      </c>
      <c r="J542" s="36">
        <f>IF(FINANCIACION[[#This Row],[$ CAPITAL]]&gt;=0,FINANCIACION[[#This Row],[$ CAPITAL]]+FINANCIACION[[#This Row],[$ INTERESES]],0)</f>
        <v>1974720</v>
      </c>
      <c r="K542" s="11"/>
      <c r="N542" s="6"/>
      <c r="O542" s="10"/>
      <c r="P542" s="9"/>
    </row>
    <row r="543" spans="1:16" ht="24" hidden="1" customHeight="1" x14ac:dyDescent="0.25">
      <c r="A543" s="7">
        <v>44286</v>
      </c>
      <c r="B543" s="53" t="s">
        <v>194</v>
      </c>
      <c r="C543" s="5"/>
      <c r="D543" s="5">
        <v>76791</v>
      </c>
      <c r="E543" s="169">
        <f>+IF(FINANCIACION[[#This Row],[$ CAPITAL]]&gt;=0,FINANCIACION[[#This Row],[$ CAPITAL]]+FINANCIACION[[#This Row],[$ INTERESES]],"")</f>
        <v>76791</v>
      </c>
      <c r="F543" s="169">
        <f>+SUMIFS(FINANCIACION[$ CAPITAL],FINANCIACION[Fecha],"&lt;="&amp;FINANCIACION[[#This Row],[Fecha]],FINANCIACION[PRESTAMO],FINANCIACION[[#This Row],[PRESTAMO]])</f>
        <v>-2841267</v>
      </c>
      <c r="G543" s="8"/>
      <c r="H543" s="8"/>
      <c r="I543" s="5" t="b">
        <f>IF(FINANCIACION[[#This Row],[$ CAPITAL]]&gt;0,FINANCIACION[[#This Row],[$ CAPITAL]])</f>
        <v>0</v>
      </c>
      <c r="J543" s="36">
        <f>IF(FINANCIACION[[#This Row],[$ CAPITAL]]&gt;=0,FINANCIACION[[#This Row],[$ CAPITAL]]+FINANCIACION[[#This Row],[$ INTERESES]],0)</f>
        <v>76791</v>
      </c>
      <c r="K543" s="11"/>
      <c r="N543" s="6"/>
      <c r="O543" s="10"/>
      <c r="P543" s="9"/>
    </row>
    <row r="544" spans="1:16" ht="24" hidden="1" customHeight="1" x14ac:dyDescent="0.25">
      <c r="A544" s="7">
        <v>44286</v>
      </c>
      <c r="B544" s="53" t="s">
        <v>1217</v>
      </c>
      <c r="C544" s="5">
        <v>-4128919</v>
      </c>
      <c r="D544" s="5"/>
      <c r="E544" s="169" t="str">
        <f>+IF(FINANCIACION[[#This Row],[$ CAPITAL]]&gt;=0,FINANCIACION[[#This Row],[$ CAPITAL]]+FINANCIACION[[#This Row],[$ INTERESES]],"")</f>
        <v/>
      </c>
      <c r="F544" s="169">
        <f>+SUMIFS(FINANCIACION[$ CAPITAL],FINANCIACION[Fecha],"&lt;="&amp;FINANCIACION[[#This Row],[Fecha]],FINANCIACION[PRESTAMO],FINANCIACION[[#This Row],[PRESTAMO]])</f>
        <v>-351122469</v>
      </c>
      <c r="G544" s="8" t="s">
        <v>231</v>
      </c>
      <c r="H544" s="8"/>
      <c r="I544" s="5" t="b">
        <f>IF(FINANCIACION[[#This Row],[$ CAPITAL]]&gt;0,FINANCIACION[[#This Row],[$ CAPITAL]])</f>
        <v>0</v>
      </c>
      <c r="J544" s="36">
        <f>IF(FINANCIACION[[#This Row],[$ CAPITAL]]&gt;=0,FINANCIACION[[#This Row],[$ CAPITAL]]+FINANCIACION[[#This Row],[$ INTERESES]],0)</f>
        <v>0</v>
      </c>
      <c r="K544" s="11"/>
      <c r="N544" s="6"/>
      <c r="O544" s="10"/>
      <c r="P544" s="9"/>
    </row>
    <row r="545" spans="1:16" ht="24" hidden="1" customHeight="1" x14ac:dyDescent="0.25">
      <c r="A545" s="7">
        <v>44286</v>
      </c>
      <c r="B545" s="53" t="s">
        <v>1218</v>
      </c>
      <c r="C545" s="5">
        <v>-208305.96000000462</v>
      </c>
      <c r="D545" s="5"/>
      <c r="E545" s="169" t="str">
        <f>+IF(FINANCIACION[[#This Row],[$ CAPITAL]]&gt;=0,FINANCIACION[[#This Row],[$ CAPITAL]]+FINANCIACION[[#This Row],[$ INTERESES]],"")</f>
        <v/>
      </c>
      <c r="F545" s="169">
        <f>+SUMIFS(FINANCIACION[$ CAPITAL],FINANCIACION[Fecha],"&lt;="&amp;FINANCIACION[[#This Row],[Fecha]],FINANCIACION[PRESTAMO],FINANCIACION[[#This Row],[PRESTAMO]])</f>
        <v>-70787902.990000024</v>
      </c>
      <c r="G545" s="8" t="s">
        <v>231</v>
      </c>
      <c r="H545" s="8"/>
      <c r="I545" s="5" t="b">
        <f>IF(FINANCIACION[[#This Row],[$ CAPITAL]]&gt;0,FINANCIACION[[#This Row],[$ CAPITAL]])</f>
        <v>0</v>
      </c>
      <c r="J545" s="36">
        <f>IF(FINANCIACION[[#This Row],[$ CAPITAL]]&gt;=0,FINANCIACION[[#This Row],[$ CAPITAL]]+FINANCIACION[[#This Row],[$ INTERESES]],0)</f>
        <v>0</v>
      </c>
      <c r="K545" s="11"/>
      <c r="N545" s="6"/>
      <c r="O545" s="10"/>
      <c r="P545" s="9"/>
    </row>
    <row r="546" spans="1:16" ht="24" hidden="1" customHeight="1" x14ac:dyDescent="0.25">
      <c r="A546" s="7">
        <v>44286</v>
      </c>
      <c r="B546" s="53" t="s">
        <v>1218</v>
      </c>
      <c r="C546" s="5">
        <v>67182</v>
      </c>
      <c r="D546" s="5"/>
      <c r="E546" s="169">
        <f>+IF(FINANCIACION[[#This Row],[$ CAPITAL]]&gt;=0,FINANCIACION[[#This Row],[$ CAPITAL]]+FINANCIACION[[#This Row],[$ INTERESES]],"")</f>
        <v>67182</v>
      </c>
      <c r="F546" s="169">
        <f>+SUMIFS(FINANCIACION[$ CAPITAL],FINANCIACION[Fecha],"&lt;="&amp;FINANCIACION[[#This Row],[Fecha]],FINANCIACION[PRESTAMO],FINANCIACION[[#This Row],[PRESTAMO]])</f>
        <v>-70787902.990000024</v>
      </c>
      <c r="G546" s="8" t="s">
        <v>231</v>
      </c>
      <c r="H546" s="8"/>
      <c r="I546" s="5">
        <f>IF(FINANCIACION[[#This Row],[$ CAPITAL]]&gt;0,FINANCIACION[[#This Row],[$ CAPITAL]])</f>
        <v>67182</v>
      </c>
      <c r="J546" s="36">
        <f>IF(FINANCIACION[[#This Row],[$ CAPITAL]]&gt;=0,FINANCIACION[[#This Row],[$ CAPITAL]]+FINANCIACION[[#This Row],[$ INTERESES]],0)</f>
        <v>67182</v>
      </c>
      <c r="K546" s="11"/>
      <c r="N546" s="6"/>
      <c r="O546" s="10"/>
      <c r="P546" s="9"/>
    </row>
    <row r="547" spans="1:16" ht="24" hidden="1" customHeight="1" x14ac:dyDescent="0.25">
      <c r="A547" s="7">
        <v>44286</v>
      </c>
      <c r="B547" s="53" t="s">
        <v>1218</v>
      </c>
      <c r="C547" s="5">
        <v>-16500498</v>
      </c>
      <c r="D547" s="5"/>
      <c r="E547" s="169" t="str">
        <f>+IF(FINANCIACION[[#This Row],[$ CAPITAL]]&gt;=0,FINANCIACION[[#This Row],[$ CAPITAL]]+FINANCIACION[[#This Row],[$ INTERESES]],"")</f>
        <v/>
      </c>
      <c r="F547" s="169">
        <f>+SUMIFS(FINANCIACION[$ CAPITAL],FINANCIACION[Fecha],"&lt;="&amp;FINANCIACION[[#This Row],[Fecha]],FINANCIACION[PRESTAMO],FINANCIACION[[#This Row],[PRESTAMO]])</f>
        <v>-70787902.990000024</v>
      </c>
      <c r="G547" s="8" t="s">
        <v>231</v>
      </c>
      <c r="H547" s="8"/>
      <c r="I547" s="5" t="b">
        <f>IF(FINANCIACION[[#This Row],[$ CAPITAL]]&gt;0,FINANCIACION[[#This Row],[$ CAPITAL]])</f>
        <v>0</v>
      </c>
      <c r="J547" s="36">
        <f>IF(FINANCIACION[[#This Row],[$ CAPITAL]]&gt;=0,FINANCIACION[[#This Row],[$ CAPITAL]]+FINANCIACION[[#This Row],[$ INTERESES]],0)</f>
        <v>0</v>
      </c>
      <c r="K547" s="11"/>
      <c r="N547" s="6"/>
      <c r="O547" s="10"/>
      <c r="P547" s="9"/>
    </row>
    <row r="548" spans="1:16" ht="24" hidden="1" customHeight="1" x14ac:dyDescent="0.25">
      <c r="A548" s="7">
        <v>44286</v>
      </c>
      <c r="B548" s="53" t="s">
        <v>1218</v>
      </c>
      <c r="C548" s="5">
        <v>-4040471</v>
      </c>
      <c r="D548" s="5"/>
      <c r="E548" s="169" t="str">
        <f>+IF(FINANCIACION[[#This Row],[$ CAPITAL]]&gt;=0,FINANCIACION[[#This Row],[$ CAPITAL]]+FINANCIACION[[#This Row],[$ INTERESES]],"")</f>
        <v/>
      </c>
      <c r="F548" s="169">
        <f>+SUMIFS(FINANCIACION[$ CAPITAL],FINANCIACION[Fecha],"&lt;="&amp;FINANCIACION[[#This Row],[Fecha]],FINANCIACION[PRESTAMO],FINANCIACION[[#This Row],[PRESTAMO]])</f>
        <v>-70787902.990000024</v>
      </c>
      <c r="G548" s="8" t="s">
        <v>231</v>
      </c>
      <c r="H548" s="8"/>
      <c r="I548" s="5" t="b">
        <f>IF(FINANCIACION[[#This Row],[$ CAPITAL]]&gt;0,FINANCIACION[[#This Row],[$ CAPITAL]])</f>
        <v>0</v>
      </c>
      <c r="J548" s="36">
        <f>IF(FINANCIACION[[#This Row],[$ CAPITAL]]&gt;=0,FINANCIACION[[#This Row],[$ CAPITAL]]+FINANCIACION[[#This Row],[$ INTERESES]],0)</f>
        <v>0</v>
      </c>
      <c r="K548" s="11"/>
      <c r="N548" s="6"/>
      <c r="O548" s="10"/>
      <c r="P548" s="9"/>
    </row>
    <row r="549" spans="1:16" ht="24" hidden="1" customHeight="1" x14ac:dyDescent="0.25">
      <c r="A549" s="7">
        <v>44286</v>
      </c>
      <c r="B549" s="53" t="s">
        <v>1218</v>
      </c>
      <c r="C549" s="5">
        <v>-218785.16999999806</v>
      </c>
      <c r="D549" s="5"/>
      <c r="E549" s="169" t="str">
        <f>+IF(FINANCIACION[[#This Row],[$ CAPITAL]]&gt;=0,FINANCIACION[[#This Row],[$ CAPITAL]]+FINANCIACION[[#This Row],[$ INTERESES]],"")</f>
        <v/>
      </c>
      <c r="F549" s="169">
        <f>+SUMIFS(FINANCIACION[$ CAPITAL],FINANCIACION[Fecha],"&lt;="&amp;FINANCIACION[[#This Row],[Fecha]],FINANCIACION[PRESTAMO],FINANCIACION[[#This Row],[PRESTAMO]])</f>
        <v>-70787902.990000024</v>
      </c>
      <c r="G549" s="8" t="s">
        <v>231</v>
      </c>
      <c r="H549" s="8"/>
      <c r="I549" s="5" t="b">
        <f>IF(FINANCIACION[[#This Row],[$ CAPITAL]]&gt;0,FINANCIACION[[#This Row],[$ CAPITAL]])</f>
        <v>0</v>
      </c>
      <c r="J549" s="36">
        <f>IF(FINANCIACION[[#This Row],[$ CAPITAL]]&gt;=0,FINANCIACION[[#This Row],[$ CAPITAL]]+FINANCIACION[[#This Row],[$ INTERESES]],0)</f>
        <v>0</v>
      </c>
      <c r="K549" s="11"/>
      <c r="N549" s="6"/>
      <c r="O549" s="10"/>
      <c r="P549" s="9"/>
    </row>
    <row r="550" spans="1:16" ht="24" hidden="1" customHeight="1" x14ac:dyDescent="0.25">
      <c r="A550" s="7">
        <v>44286</v>
      </c>
      <c r="B550" s="53" t="s">
        <v>1221</v>
      </c>
      <c r="C550" s="5">
        <v>-479341.21000000089</v>
      </c>
      <c r="D550" s="5"/>
      <c r="E550" s="169" t="str">
        <f>+IF(FINANCIACION[[#This Row],[$ CAPITAL]]&gt;=0,FINANCIACION[[#This Row],[$ CAPITAL]]+FINANCIACION[[#This Row],[$ INTERESES]],"")</f>
        <v/>
      </c>
      <c r="F550" s="169">
        <f>+SUMIFS(FINANCIACION[$ CAPITAL],FINANCIACION[Fecha],"&lt;="&amp;FINANCIACION[[#This Row],[Fecha]],FINANCIACION[PRESTAMO],FINANCIACION[[#This Row],[PRESTAMO]])</f>
        <v>-58902640.799999997</v>
      </c>
      <c r="G550" s="8" t="s">
        <v>231</v>
      </c>
      <c r="H550" s="8"/>
      <c r="I550" s="5" t="b">
        <f>IF(FINANCIACION[[#This Row],[$ CAPITAL]]&gt;0,FINANCIACION[[#This Row],[$ CAPITAL]])</f>
        <v>0</v>
      </c>
      <c r="J550" s="36">
        <f>IF(FINANCIACION[[#This Row],[$ CAPITAL]]&gt;=0,FINANCIACION[[#This Row],[$ CAPITAL]]+FINANCIACION[[#This Row],[$ INTERESES]],0)</f>
        <v>0</v>
      </c>
      <c r="K550" s="11"/>
      <c r="N550" s="6"/>
      <c r="O550" s="10"/>
      <c r="P550" s="9"/>
    </row>
    <row r="551" spans="1:16" ht="24" hidden="1" customHeight="1" x14ac:dyDescent="0.25">
      <c r="A551" s="7">
        <v>44286</v>
      </c>
      <c r="B551" s="53" t="s">
        <v>1222</v>
      </c>
      <c r="C551" s="5">
        <v>-703537.09999999404</v>
      </c>
      <c r="D551" s="5"/>
      <c r="E551" s="169" t="str">
        <f>+IF(FINANCIACION[[#This Row],[$ CAPITAL]]&gt;=0,FINANCIACION[[#This Row],[$ CAPITAL]]+FINANCIACION[[#This Row],[$ INTERESES]],"")</f>
        <v/>
      </c>
      <c r="F551" s="169">
        <f>+SUMIFS(FINANCIACION[$ CAPITAL],FINANCIACION[Fecha],"&lt;="&amp;FINANCIACION[[#This Row],[Fecha]],FINANCIACION[PRESTAMO],FINANCIACION[[#This Row],[PRESTAMO]])</f>
        <v>-84262864.439999998</v>
      </c>
      <c r="G551" s="8" t="s">
        <v>231</v>
      </c>
      <c r="H551" s="8"/>
      <c r="I551" s="5" t="b">
        <f>IF(FINANCIACION[[#This Row],[$ CAPITAL]]&gt;0,FINANCIACION[[#This Row],[$ CAPITAL]])</f>
        <v>0</v>
      </c>
      <c r="J551" s="36">
        <f>IF(FINANCIACION[[#This Row],[$ CAPITAL]]&gt;=0,FINANCIACION[[#This Row],[$ CAPITAL]]+FINANCIACION[[#This Row],[$ INTERESES]],0)</f>
        <v>0</v>
      </c>
      <c r="K551" s="11"/>
      <c r="N551" s="6"/>
      <c r="O551" s="10"/>
      <c r="P551" s="9"/>
    </row>
    <row r="552" spans="1:16" ht="24" hidden="1" customHeight="1" x14ac:dyDescent="0.25">
      <c r="A552" s="7">
        <v>44286</v>
      </c>
      <c r="B552" s="53" t="s">
        <v>1223</v>
      </c>
      <c r="C552" s="5">
        <v>-159538.51000000164</v>
      </c>
      <c r="D552" s="5"/>
      <c r="E552" s="169" t="str">
        <f>+IF(FINANCIACION[[#This Row],[$ CAPITAL]]&gt;=0,FINANCIACION[[#This Row],[$ CAPITAL]]+FINANCIACION[[#This Row],[$ INTERESES]],"")</f>
        <v/>
      </c>
      <c r="F552" s="169">
        <f>+SUMIFS(FINANCIACION[$ CAPITAL],FINANCIACION[Fecha],"&lt;="&amp;FINANCIACION[[#This Row],[Fecha]],FINANCIACION[PRESTAMO],FINANCIACION[[#This Row],[PRESTAMO]])</f>
        <v>-23868447.079999998</v>
      </c>
      <c r="G552" s="8" t="s">
        <v>231</v>
      </c>
      <c r="H552" s="8"/>
      <c r="I552" s="5" t="b">
        <f>IF(FINANCIACION[[#This Row],[$ CAPITAL]]&gt;0,FINANCIACION[[#This Row],[$ CAPITAL]])</f>
        <v>0</v>
      </c>
      <c r="J552" s="36">
        <f>IF(FINANCIACION[[#This Row],[$ CAPITAL]]&gt;=0,FINANCIACION[[#This Row],[$ CAPITAL]]+FINANCIACION[[#This Row],[$ INTERESES]],0)</f>
        <v>0</v>
      </c>
      <c r="K552" s="11"/>
      <c r="N552" s="6"/>
      <c r="O552" s="10"/>
      <c r="P552" s="9"/>
    </row>
    <row r="553" spans="1:16" ht="24" hidden="1" customHeight="1" x14ac:dyDescent="0.25">
      <c r="A553" s="7">
        <v>44286</v>
      </c>
      <c r="B553" s="53" t="s">
        <v>1225</v>
      </c>
      <c r="C553" s="5">
        <v>-155319.6400000006</v>
      </c>
      <c r="D553" s="5"/>
      <c r="E553" s="169" t="str">
        <f>+IF(FINANCIACION[[#This Row],[$ CAPITAL]]&gt;=0,FINANCIACION[[#This Row],[$ CAPITAL]]+FINANCIACION[[#This Row],[$ INTERESES]],"")</f>
        <v/>
      </c>
      <c r="F553" s="169">
        <f>+SUMIFS(FINANCIACION[$ CAPITAL],FINANCIACION[Fecha],"&lt;="&amp;FINANCIACION[[#This Row],[Fecha]],FINANCIACION[PRESTAMO],FINANCIACION[[#This Row],[PRESTAMO]])</f>
        <v>-25913149.530000001</v>
      </c>
      <c r="G553" s="8" t="s">
        <v>231</v>
      </c>
      <c r="H553" s="8"/>
      <c r="I553" s="5" t="b">
        <f>IF(FINANCIACION[[#This Row],[$ CAPITAL]]&gt;0,FINANCIACION[[#This Row],[$ CAPITAL]])</f>
        <v>0</v>
      </c>
      <c r="J553" s="36">
        <f>IF(FINANCIACION[[#This Row],[$ CAPITAL]]&gt;=0,FINANCIACION[[#This Row],[$ CAPITAL]]+FINANCIACION[[#This Row],[$ INTERESES]],0)</f>
        <v>0</v>
      </c>
      <c r="K553" s="11"/>
      <c r="N553" s="6"/>
      <c r="O553" s="10"/>
      <c r="P553" s="9"/>
    </row>
    <row r="554" spans="1:16" ht="24" hidden="1" customHeight="1" x14ac:dyDescent="0.25">
      <c r="A554" s="7">
        <v>44290</v>
      </c>
      <c r="B554" s="53" t="s">
        <v>1218</v>
      </c>
      <c r="C554" s="5">
        <v>990094.53000000305</v>
      </c>
      <c r="D554" s="5">
        <v>120069.57999999705</v>
      </c>
      <c r="E554" s="169">
        <f>+IF(FINANCIACION[[#This Row],[$ CAPITAL]]&gt;=0,FINANCIACION[[#This Row],[$ CAPITAL]]+FINANCIACION[[#This Row],[$ INTERESES]],"")</f>
        <v>1110164.1100000001</v>
      </c>
      <c r="F554" s="169">
        <f>+SUMIFS(FINANCIACION[$ CAPITAL],FINANCIACION[Fecha],"&lt;="&amp;FINANCIACION[[#This Row],[Fecha]],FINANCIACION[PRESTAMO],FINANCIACION[[#This Row],[PRESTAMO]])</f>
        <v>-69797808.460000023</v>
      </c>
      <c r="G554" s="8"/>
      <c r="H554" s="8"/>
      <c r="I554" s="5">
        <f>IF(FINANCIACION[[#This Row],[$ CAPITAL]]&gt;0,FINANCIACION[[#This Row],[$ CAPITAL]])</f>
        <v>990094.53000000305</v>
      </c>
      <c r="J554" s="36">
        <f>IF(FINANCIACION[[#This Row],[$ CAPITAL]]&gt;=0,FINANCIACION[[#This Row],[$ CAPITAL]]+FINANCIACION[[#This Row],[$ INTERESES]],0)</f>
        <v>1110164.1100000001</v>
      </c>
      <c r="K554" s="11"/>
      <c r="N554" s="6"/>
      <c r="O554" s="10"/>
      <c r="P554" s="9"/>
    </row>
    <row r="555" spans="1:16" ht="24" hidden="1" customHeight="1" x14ac:dyDescent="0.25">
      <c r="A555" s="7">
        <v>44294</v>
      </c>
      <c r="B555" s="53" t="s">
        <v>197</v>
      </c>
      <c r="C555" s="5">
        <v>6326000</v>
      </c>
      <c r="D555" s="5">
        <v>510908.2</v>
      </c>
      <c r="E555" s="169">
        <f>+IF(FINANCIACION[[#This Row],[$ CAPITAL]]&gt;=0,FINANCIACION[[#This Row],[$ CAPITAL]]+FINANCIACION[[#This Row],[$ INTERESES]],"")</f>
        <v>6836908.2000000002</v>
      </c>
      <c r="F555" s="169">
        <f>+SUMIFS(FINANCIACION[$ CAPITAL],FINANCIACION[Fecha],"&lt;="&amp;FINANCIACION[[#This Row],[Fecha]],FINANCIACION[PRESTAMO],FINANCIACION[[#This Row],[PRESTAMO]])</f>
        <v>-66691126</v>
      </c>
      <c r="G555" s="8"/>
      <c r="H555" s="8"/>
      <c r="I555" s="5">
        <f>IF(FINANCIACION[[#This Row],[$ CAPITAL]]&gt;0,FINANCIACION[[#This Row],[$ CAPITAL]])</f>
        <v>6326000</v>
      </c>
      <c r="J555" s="36">
        <f>IF(FINANCIACION[[#This Row],[$ CAPITAL]]&gt;=0,FINANCIACION[[#This Row],[$ CAPITAL]]+FINANCIACION[[#This Row],[$ INTERESES]],0)</f>
        <v>6836908.2000000002</v>
      </c>
      <c r="K555" s="11"/>
      <c r="N555" s="6"/>
      <c r="O555" s="10"/>
      <c r="P555" s="9"/>
    </row>
    <row r="556" spans="1:16" ht="24" hidden="1" customHeight="1" x14ac:dyDescent="0.25">
      <c r="A556" s="7">
        <v>44299</v>
      </c>
      <c r="B556" s="53" t="s">
        <v>1215</v>
      </c>
      <c r="C556" s="5">
        <v>1722778.2338016599</v>
      </c>
      <c r="D556" s="5">
        <v>843121.7661983401</v>
      </c>
      <c r="E556" s="169">
        <f>+IF(FINANCIACION[[#This Row],[$ CAPITAL]]&gt;=0,FINANCIACION[[#This Row],[$ CAPITAL]]+FINANCIACION[[#This Row],[$ INTERESES]],"")</f>
        <v>2565900</v>
      </c>
      <c r="F556" s="169">
        <f>+SUMIFS(FINANCIACION[$ CAPITAL],FINANCIACION[Fecha],"&lt;="&amp;FINANCIACION[[#This Row],[Fecha]],FINANCIACION[PRESTAMO],FINANCIACION[[#This Row],[PRESTAMO]])</f>
        <v>-82589398.386032343</v>
      </c>
      <c r="G556" s="8"/>
      <c r="H556" s="8"/>
      <c r="I556" s="5">
        <f>IF(FINANCIACION[[#This Row],[$ CAPITAL]]&gt;0,FINANCIACION[[#This Row],[$ CAPITAL]])</f>
        <v>1722778.2338016599</v>
      </c>
      <c r="J556" s="36">
        <f>IF(FINANCIACION[[#This Row],[$ CAPITAL]]&gt;=0,FINANCIACION[[#This Row],[$ CAPITAL]]+FINANCIACION[[#This Row],[$ INTERESES]],0)</f>
        <v>2565900</v>
      </c>
      <c r="K556" s="11"/>
      <c r="N556" s="6"/>
      <c r="O556" s="10"/>
      <c r="P556" s="9"/>
    </row>
    <row r="557" spans="1:16" ht="24" hidden="1" customHeight="1" x14ac:dyDescent="0.25">
      <c r="A557" s="7">
        <v>44299</v>
      </c>
      <c r="B557" s="53" t="s">
        <v>1219</v>
      </c>
      <c r="C557" s="5">
        <v>699200</v>
      </c>
      <c r="D557" s="5">
        <v>600800</v>
      </c>
      <c r="E557" s="169">
        <f>+IF(FINANCIACION[[#This Row],[$ CAPITAL]]&gt;=0,FINANCIACION[[#This Row],[$ CAPITAL]]+FINANCIACION[[#This Row],[$ INTERESES]],"")</f>
        <v>1300000</v>
      </c>
      <c r="F557" s="169">
        <f>+SUMIFS(FINANCIACION[$ CAPITAL],FINANCIACION[Fecha],"&lt;="&amp;FINANCIACION[[#This Row],[Fecha]],FINANCIACION[PRESTAMO],FINANCIACION[[#This Row],[PRESTAMO]])</f>
        <v>-59380800</v>
      </c>
      <c r="G557" s="8"/>
      <c r="H557" s="8"/>
      <c r="I557" s="5">
        <f>IF(FINANCIACION[[#This Row],[$ CAPITAL]]&gt;0,FINANCIACION[[#This Row],[$ CAPITAL]])</f>
        <v>699200</v>
      </c>
      <c r="J557" s="36">
        <f>IF(FINANCIACION[[#This Row],[$ CAPITAL]]&gt;=0,FINANCIACION[[#This Row],[$ CAPITAL]]+FINANCIACION[[#This Row],[$ INTERESES]],0)</f>
        <v>1300000</v>
      </c>
      <c r="K557" s="11"/>
      <c r="N557" s="6"/>
      <c r="O557" s="10"/>
      <c r="P557" s="9"/>
    </row>
    <row r="558" spans="1:16" ht="24" hidden="1" customHeight="1" x14ac:dyDescent="0.25">
      <c r="A558" s="7">
        <v>44299</v>
      </c>
      <c r="B558" s="53" t="s">
        <v>1218</v>
      </c>
      <c r="C558" s="5">
        <v>13152852</v>
      </c>
      <c r="D558" s="5"/>
      <c r="E558" s="169">
        <f>+IF(FINANCIACION[[#This Row],[$ CAPITAL]]&gt;=0,FINANCIACION[[#This Row],[$ CAPITAL]]+FINANCIACION[[#This Row],[$ INTERESES]],"")</f>
        <v>13152852</v>
      </c>
      <c r="F558" s="169">
        <f>+SUMIFS(FINANCIACION[$ CAPITAL],FINANCIACION[Fecha],"&lt;="&amp;FINANCIACION[[#This Row],[Fecha]],FINANCIACION[PRESTAMO],FINANCIACION[[#This Row],[PRESTAMO]])</f>
        <v>-56644956.460000023</v>
      </c>
      <c r="G558" s="8"/>
      <c r="H558" s="8"/>
      <c r="I558" s="5">
        <f>IF(FINANCIACION[[#This Row],[$ CAPITAL]]&gt;0,FINANCIACION[[#This Row],[$ CAPITAL]])</f>
        <v>13152852</v>
      </c>
      <c r="J558" s="36">
        <f>IF(FINANCIACION[[#This Row],[$ CAPITAL]]&gt;=0,FINANCIACION[[#This Row],[$ CAPITAL]]+FINANCIACION[[#This Row],[$ INTERESES]],0)</f>
        <v>13152852</v>
      </c>
      <c r="K558" s="11"/>
      <c r="N558" s="6"/>
      <c r="O558" s="10"/>
      <c r="P558" s="9"/>
    </row>
    <row r="559" spans="1:16" ht="24" hidden="1" customHeight="1" x14ac:dyDescent="0.25">
      <c r="A559" s="7">
        <v>44301</v>
      </c>
      <c r="B559" s="53" t="s">
        <v>1228</v>
      </c>
      <c r="C559" s="5">
        <v>-12000000</v>
      </c>
      <c r="D559" s="5"/>
      <c r="E559" s="169" t="str">
        <f>+IF(FINANCIACION[[#This Row],[$ CAPITAL]]&gt;=0,FINANCIACION[[#This Row],[$ CAPITAL]]+FINANCIACION[[#This Row],[$ INTERESES]],"")</f>
        <v/>
      </c>
      <c r="F559" s="169">
        <f>+SUMIFS(FINANCIACION[$ CAPITAL],FINANCIACION[Fecha],"&lt;="&amp;FINANCIACION[[#This Row],[Fecha]],FINANCIACION[PRESTAMO],FINANCIACION[[#This Row],[PRESTAMO]])</f>
        <v>-12000000</v>
      </c>
      <c r="G559" s="8"/>
      <c r="H559" s="8"/>
      <c r="I559" s="5" t="b">
        <f>IF(FINANCIACION[[#This Row],[$ CAPITAL]]&gt;0,FINANCIACION[[#This Row],[$ CAPITAL]])</f>
        <v>0</v>
      </c>
      <c r="J559" s="36">
        <f>IF(FINANCIACION[[#This Row],[$ CAPITAL]]&gt;=0,FINANCIACION[[#This Row],[$ CAPITAL]]+FINANCIACION[[#This Row],[$ INTERESES]],0)</f>
        <v>0</v>
      </c>
      <c r="K559" s="11"/>
      <c r="N559" s="6"/>
      <c r="O559" s="10"/>
      <c r="P559" s="9"/>
    </row>
    <row r="560" spans="1:16" ht="24" hidden="1" customHeight="1" x14ac:dyDescent="0.25">
      <c r="A560" s="7">
        <v>44301</v>
      </c>
      <c r="B560" s="53" t="s">
        <v>1218</v>
      </c>
      <c r="C560" s="5">
        <v>4904459</v>
      </c>
      <c r="D560" s="5"/>
      <c r="E560" s="169">
        <f>+IF(FINANCIACION[[#This Row],[$ CAPITAL]]&gt;=0,FINANCIACION[[#This Row],[$ CAPITAL]]+FINANCIACION[[#This Row],[$ INTERESES]],"")</f>
        <v>4904459</v>
      </c>
      <c r="F560" s="169">
        <f>+SUMIFS(FINANCIACION[$ CAPITAL],FINANCIACION[Fecha],"&lt;="&amp;FINANCIACION[[#This Row],[Fecha]],FINANCIACION[PRESTAMO],FINANCIACION[[#This Row],[PRESTAMO]])</f>
        <v>-51740497.460000023</v>
      </c>
      <c r="G560" s="8"/>
      <c r="H560" s="8"/>
      <c r="I560" s="5">
        <f>IF(FINANCIACION[[#This Row],[$ CAPITAL]]&gt;0,FINANCIACION[[#This Row],[$ CAPITAL]])</f>
        <v>4904459</v>
      </c>
      <c r="J560" s="36">
        <f>IF(FINANCIACION[[#This Row],[$ CAPITAL]]&gt;=0,FINANCIACION[[#This Row],[$ CAPITAL]]+FINANCIACION[[#This Row],[$ INTERESES]],0)</f>
        <v>4904459</v>
      </c>
      <c r="K560" s="11"/>
      <c r="N560" s="6"/>
      <c r="O560" s="10"/>
      <c r="P560" s="9"/>
    </row>
    <row r="561" spans="1:16" ht="24" hidden="1" customHeight="1" x14ac:dyDescent="0.25">
      <c r="A561" s="7">
        <v>44312</v>
      </c>
      <c r="B561" s="53" t="s">
        <v>1218</v>
      </c>
      <c r="C561" s="5">
        <v>200700</v>
      </c>
      <c r="D561" s="5"/>
      <c r="E561" s="169">
        <f>+IF(FINANCIACION[[#This Row],[$ CAPITAL]]&gt;=0,FINANCIACION[[#This Row],[$ CAPITAL]]+FINANCIACION[[#This Row],[$ INTERESES]],"")</f>
        <v>200700</v>
      </c>
      <c r="F561" s="169">
        <f>+SUMIFS(FINANCIACION[$ CAPITAL],FINANCIACION[Fecha],"&lt;="&amp;FINANCIACION[[#This Row],[Fecha]],FINANCIACION[PRESTAMO],FINANCIACION[[#This Row],[PRESTAMO]])</f>
        <v>-51539797.460000023</v>
      </c>
      <c r="G561" s="8"/>
      <c r="H561" s="8"/>
      <c r="I561" s="5">
        <f>IF(FINANCIACION[[#This Row],[$ CAPITAL]]&gt;0,FINANCIACION[[#This Row],[$ CAPITAL]])</f>
        <v>200700</v>
      </c>
      <c r="J561" s="36">
        <f>IF(FINANCIACION[[#This Row],[$ CAPITAL]]&gt;=0,FINANCIACION[[#This Row],[$ CAPITAL]]+FINANCIACION[[#This Row],[$ INTERESES]],0)</f>
        <v>200700</v>
      </c>
      <c r="K561" s="11"/>
      <c r="N561" s="6"/>
      <c r="O561" s="10"/>
      <c r="P561" s="9"/>
    </row>
    <row r="562" spans="1:16" ht="24" hidden="1" customHeight="1" x14ac:dyDescent="0.25">
      <c r="A562" s="7">
        <v>44315</v>
      </c>
      <c r="B562" s="53" t="s">
        <v>1218</v>
      </c>
      <c r="C562" s="5">
        <v>1620486.1199999999</v>
      </c>
      <c r="D562" s="5"/>
      <c r="E562" s="169">
        <f>+IF(FINANCIACION[[#This Row],[$ CAPITAL]]&gt;=0,FINANCIACION[[#This Row],[$ CAPITAL]]+FINANCIACION[[#This Row],[$ INTERESES]],"")</f>
        <v>1620486.1199999999</v>
      </c>
      <c r="F562" s="169">
        <f>+SUMIFS(FINANCIACION[$ CAPITAL],FINANCIACION[Fecha],"&lt;="&amp;FINANCIACION[[#This Row],[Fecha]],FINANCIACION[PRESTAMO],FINANCIACION[[#This Row],[PRESTAMO]])</f>
        <v>-49919311.340000026</v>
      </c>
      <c r="G562" s="8"/>
      <c r="H562" s="8"/>
      <c r="I562" s="5">
        <f>IF(FINANCIACION[[#This Row],[$ CAPITAL]]&gt;0,FINANCIACION[[#This Row],[$ CAPITAL]])</f>
        <v>1620486.1199999999</v>
      </c>
      <c r="J562" s="36">
        <f>IF(FINANCIACION[[#This Row],[$ CAPITAL]]&gt;=0,FINANCIACION[[#This Row],[$ CAPITAL]]+FINANCIACION[[#This Row],[$ INTERESES]],0)</f>
        <v>1620486.1199999999</v>
      </c>
      <c r="K562" s="11"/>
      <c r="N562" s="6"/>
      <c r="O562" s="10"/>
      <c r="P562" s="9"/>
    </row>
    <row r="563" spans="1:16" ht="24" hidden="1" customHeight="1" x14ac:dyDescent="0.25">
      <c r="A563" s="7">
        <v>44316</v>
      </c>
      <c r="B563" s="53" t="s">
        <v>193</v>
      </c>
      <c r="C563" s="5">
        <v>1468400</v>
      </c>
      <c r="D563" s="5">
        <v>506320</v>
      </c>
      <c r="E563" s="169">
        <f>+IF(FINANCIACION[[#This Row],[$ CAPITAL]]&gt;=0,FINANCIACION[[#This Row],[$ CAPITAL]]+FINANCIACION[[#This Row],[$ INTERESES]],"")</f>
        <v>1974720</v>
      </c>
      <c r="F563" s="169">
        <f>+SUMIFS(FINANCIACION[$ CAPITAL],FINANCIACION[Fecha],"&lt;="&amp;FINANCIACION[[#This Row],[Fecha]],FINANCIACION[PRESTAMO],FINANCIACION[[#This Row],[PRESTAMO]])</f>
        <v>-51394000</v>
      </c>
      <c r="G563" s="8"/>
      <c r="H563" s="8"/>
      <c r="I563" s="5">
        <f>IF(FINANCIACION[[#This Row],[$ CAPITAL]]&gt;0,FINANCIACION[[#This Row],[$ CAPITAL]])</f>
        <v>1468400</v>
      </c>
      <c r="J563" s="36">
        <f>IF(FINANCIACION[[#This Row],[$ CAPITAL]]&gt;=0,FINANCIACION[[#This Row],[$ CAPITAL]]+FINANCIACION[[#This Row],[$ INTERESES]],0)</f>
        <v>1974720</v>
      </c>
      <c r="K563" s="11"/>
      <c r="N563" s="6"/>
      <c r="O563" s="10"/>
      <c r="P563" s="9"/>
    </row>
    <row r="564" spans="1:16" ht="24" hidden="1" customHeight="1" x14ac:dyDescent="0.25">
      <c r="A564" s="7">
        <v>44316</v>
      </c>
      <c r="B564" s="53" t="s">
        <v>193</v>
      </c>
      <c r="C564" s="5">
        <v>33</v>
      </c>
      <c r="D564" s="5"/>
      <c r="E564" s="169">
        <f>+IF(FINANCIACION[[#This Row],[$ CAPITAL]]&gt;=0,FINANCIACION[[#This Row],[$ CAPITAL]]+FINANCIACION[[#This Row],[$ INTERESES]],"")</f>
        <v>33</v>
      </c>
      <c r="F564" s="169">
        <f>+SUMIFS(FINANCIACION[$ CAPITAL],FINANCIACION[Fecha],"&lt;="&amp;FINANCIACION[[#This Row],[Fecha]],FINANCIACION[PRESTAMO],FINANCIACION[[#This Row],[PRESTAMO]])</f>
        <v>-51394000</v>
      </c>
      <c r="G564" s="8" t="s">
        <v>231</v>
      </c>
      <c r="H564" s="8"/>
      <c r="I564" s="5">
        <f>IF(FINANCIACION[[#This Row],[$ CAPITAL]]&gt;0,FINANCIACION[[#This Row],[$ CAPITAL]])</f>
        <v>33</v>
      </c>
      <c r="J564" s="36">
        <f>IF(FINANCIACION[[#This Row],[$ CAPITAL]]&gt;=0,FINANCIACION[[#This Row],[$ CAPITAL]]+FINANCIACION[[#This Row],[$ INTERESES]],0)</f>
        <v>33</v>
      </c>
    </row>
    <row r="565" spans="1:16" ht="24" hidden="1" customHeight="1" x14ac:dyDescent="0.25">
      <c r="A565" s="7">
        <v>44316</v>
      </c>
      <c r="B565" s="53" t="s">
        <v>194</v>
      </c>
      <c r="C565" s="5"/>
      <c r="D565" s="5">
        <v>76791</v>
      </c>
      <c r="E565" s="169">
        <f>+IF(FINANCIACION[[#This Row],[$ CAPITAL]]&gt;=0,FINANCIACION[[#This Row],[$ CAPITAL]]+FINANCIACION[[#This Row],[$ INTERESES]],"")</f>
        <v>76791</v>
      </c>
      <c r="F565" s="169">
        <f>+SUMIFS(FINANCIACION[$ CAPITAL],FINANCIACION[Fecha],"&lt;="&amp;FINANCIACION[[#This Row],[Fecha]],FINANCIACION[PRESTAMO],FINANCIACION[[#This Row],[PRESTAMO]])</f>
        <v>-2687685</v>
      </c>
      <c r="G565" s="8"/>
      <c r="H565" s="8"/>
      <c r="I565" s="5" t="b">
        <f>IF(FINANCIACION[[#This Row],[$ CAPITAL]]&gt;0,FINANCIACION[[#This Row],[$ CAPITAL]])</f>
        <v>0</v>
      </c>
      <c r="J565" s="36">
        <f>IF(FINANCIACION[[#This Row],[$ CAPITAL]]&gt;=0,FINANCIACION[[#This Row],[$ CAPITAL]]+FINANCIACION[[#This Row],[$ INTERESES]],0)</f>
        <v>76791</v>
      </c>
    </row>
    <row r="566" spans="1:16" ht="24" hidden="1" customHeight="1" x14ac:dyDescent="0.25">
      <c r="A566" s="7">
        <v>44316</v>
      </c>
      <c r="B566" s="53" t="s">
        <v>194</v>
      </c>
      <c r="C566" s="5">
        <v>153582</v>
      </c>
      <c r="D566" s="5"/>
      <c r="E566" s="169">
        <f>+IF(FINANCIACION[[#This Row],[$ CAPITAL]]&gt;=0,FINANCIACION[[#This Row],[$ CAPITAL]]+FINANCIACION[[#This Row],[$ INTERESES]],"")</f>
        <v>153582</v>
      </c>
      <c r="F566" s="169">
        <f>+SUMIFS(FINANCIACION[$ CAPITAL],FINANCIACION[Fecha],"&lt;="&amp;FINANCIACION[[#This Row],[Fecha]],FINANCIACION[PRESTAMO],FINANCIACION[[#This Row],[PRESTAMO]])</f>
        <v>-2687685</v>
      </c>
      <c r="G566" s="8" t="s">
        <v>231</v>
      </c>
      <c r="H566" s="8"/>
      <c r="I566" s="5">
        <f>IF(FINANCIACION[[#This Row],[$ CAPITAL]]&gt;0,FINANCIACION[[#This Row],[$ CAPITAL]])</f>
        <v>153582</v>
      </c>
      <c r="J566" s="36">
        <f>IF(FINANCIACION[[#This Row],[$ CAPITAL]]&gt;=0,FINANCIACION[[#This Row],[$ CAPITAL]]+FINANCIACION[[#This Row],[$ INTERESES]],0)</f>
        <v>153582</v>
      </c>
    </row>
    <row r="567" spans="1:16" ht="24" hidden="1" customHeight="1" x14ac:dyDescent="0.25">
      <c r="A567" s="7">
        <v>44316</v>
      </c>
      <c r="B567" s="53" t="s">
        <v>196</v>
      </c>
      <c r="C567" s="5">
        <v>-5150336</v>
      </c>
      <c r="D567" s="5"/>
      <c r="E567" s="169" t="str">
        <f>+IF(FINANCIACION[[#This Row],[$ CAPITAL]]&gt;=0,FINANCIACION[[#This Row],[$ CAPITAL]]+FINANCIACION[[#This Row],[$ INTERESES]],"")</f>
        <v/>
      </c>
      <c r="F567" s="169">
        <f>+SUMIFS(FINANCIACION[$ CAPITAL],FINANCIACION[Fecha],"&lt;="&amp;FINANCIACION[[#This Row],[Fecha]],FINANCIACION[PRESTAMO],FINANCIACION[[#This Row],[PRESTAMO]])</f>
        <v>-97856384</v>
      </c>
      <c r="G567" s="8" t="s">
        <v>231</v>
      </c>
      <c r="H567" s="8"/>
      <c r="I567" s="5" t="b">
        <f>IF(FINANCIACION[[#This Row],[$ CAPITAL]]&gt;0,FINANCIACION[[#This Row],[$ CAPITAL]])</f>
        <v>0</v>
      </c>
      <c r="J567" s="36">
        <f>IF(FINANCIACION[[#This Row],[$ CAPITAL]]&gt;=0,FINANCIACION[[#This Row],[$ CAPITAL]]+FINANCIACION[[#This Row],[$ INTERESES]],0)</f>
        <v>0</v>
      </c>
    </row>
    <row r="568" spans="1:16" ht="24" hidden="1" customHeight="1" x14ac:dyDescent="0.25">
      <c r="A568" s="7">
        <v>44316</v>
      </c>
      <c r="B568" s="53" t="s">
        <v>294</v>
      </c>
      <c r="C568" s="5">
        <v>-1498393</v>
      </c>
      <c r="D568" s="5"/>
      <c r="E568" s="169" t="str">
        <f>+IF(FINANCIACION[[#This Row],[$ CAPITAL]]&gt;=0,FINANCIACION[[#This Row],[$ CAPITAL]]+FINANCIACION[[#This Row],[$ INTERESES]],"")</f>
        <v/>
      </c>
      <c r="F568" s="169">
        <f>+SUMIFS(FINANCIACION[$ CAPITAL],FINANCIACION[Fecha],"&lt;="&amp;FINANCIACION[[#This Row],[Fecha]],FINANCIACION[PRESTAMO],FINANCIACION[[#This Row],[PRESTAMO]])</f>
        <v>-56938934</v>
      </c>
      <c r="G568" s="8" t="s">
        <v>231</v>
      </c>
      <c r="H568" s="8"/>
      <c r="I568" s="5" t="b">
        <f>IF(FINANCIACION[[#This Row],[$ CAPITAL]]&gt;0,FINANCIACION[[#This Row],[$ CAPITAL]])</f>
        <v>0</v>
      </c>
      <c r="J568" s="36">
        <f>IF(FINANCIACION[[#This Row],[$ CAPITAL]]&gt;=0,FINANCIACION[[#This Row],[$ CAPITAL]]+FINANCIACION[[#This Row],[$ INTERESES]],0)</f>
        <v>0</v>
      </c>
    </row>
    <row r="569" spans="1:16" ht="24" hidden="1" customHeight="1" x14ac:dyDescent="0.25">
      <c r="A569" s="7">
        <v>44316</v>
      </c>
      <c r="B569" s="53" t="s">
        <v>1217</v>
      </c>
      <c r="C569" s="5">
        <v>-3722340</v>
      </c>
      <c r="D569" s="5"/>
      <c r="E569" s="169" t="str">
        <f>+IF(FINANCIACION[[#This Row],[$ CAPITAL]]&gt;=0,FINANCIACION[[#This Row],[$ CAPITAL]]+FINANCIACION[[#This Row],[$ INTERESES]],"")</f>
        <v/>
      </c>
      <c r="F569" s="169">
        <f>+SUMIFS(FINANCIACION[$ CAPITAL],FINANCIACION[Fecha],"&lt;="&amp;FINANCIACION[[#This Row],[Fecha]],FINANCIACION[PRESTAMO],FINANCIACION[[#This Row],[PRESTAMO]])</f>
        <v>-354844809</v>
      </c>
      <c r="G569" s="8" t="s">
        <v>231</v>
      </c>
      <c r="H569" s="8"/>
      <c r="I569" s="5" t="b">
        <f>IF(FINANCIACION[[#This Row],[$ CAPITAL]]&gt;0,FINANCIACION[[#This Row],[$ CAPITAL]])</f>
        <v>0</v>
      </c>
      <c r="J569" s="36">
        <f>IF(FINANCIACION[[#This Row],[$ CAPITAL]]&gt;=0,FINANCIACION[[#This Row],[$ CAPITAL]]+FINANCIACION[[#This Row],[$ INTERESES]],0)</f>
        <v>0</v>
      </c>
    </row>
    <row r="570" spans="1:16" ht="24" hidden="1" customHeight="1" x14ac:dyDescent="0.25">
      <c r="A570" s="7">
        <v>44316</v>
      </c>
      <c r="B570" s="53" t="s">
        <v>1218</v>
      </c>
      <c r="C570" s="5">
        <v>1096187</v>
      </c>
      <c r="D570" s="5"/>
      <c r="E570" s="169">
        <f>+IF(FINANCIACION[[#This Row],[$ CAPITAL]]&gt;=0,FINANCIACION[[#This Row],[$ CAPITAL]]+FINANCIACION[[#This Row],[$ INTERESES]],"")</f>
        <v>1096187</v>
      </c>
      <c r="F570" s="169">
        <f>+SUMIFS(FINANCIACION[$ CAPITAL],FINANCIACION[Fecha],"&lt;="&amp;FINANCIACION[[#This Row],[Fecha]],FINANCIACION[PRESTAMO],FINANCIACION[[#This Row],[PRESTAMO]])</f>
        <v>-71741402.340000033</v>
      </c>
      <c r="G570" s="8" t="s">
        <v>231</v>
      </c>
      <c r="H570" s="8"/>
      <c r="I570" s="5">
        <f>IF(FINANCIACION[[#This Row],[$ CAPITAL]]&gt;0,FINANCIACION[[#This Row],[$ CAPITAL]])</f>
        <v>1096187</v>
      </c>
      <c r="J570" s="36">
        <f>IF(FINANCIACION[[#This Row],[$ CAPITAL]]&gt;=0,FINANCIACION[[#This Row],[$ CAPITAL]]+FINANCIACION[[#This Row],[$ INTERESES]],0)</f>
        <v>1096187</v>
      </c>
    </row>
    <row r="571" spans="1:16" ht="24" hidden="1" customHeight="1" x14ac:dyDescent="0.25">
      <c r="A571" s="7">
        <v>44316</v>
      </c>
      <c r="B571" s="53" t="s">
        <v>1218</v>
      </c>
      <c r="C571" s="5">
        <v>-22691238.119999997</v>
      </c>
      <c r="D571" s="5"/>
      <c r="E571" s="169" t="str">
        <f>+IF(FINANCIACION[[#This Row],[$ CAPITAL]]&gt;=0,FINANCIACION[[#This Row],[$ CAPITAL]]+FINANCIACION[[#This Row],[$ INTERESES]],"")</f>
        <v/>
      </c>
      <c r="F571" s="169">
        <f>+SUMIFS(FINANCIACION[$ CAPITAL],FINANCIACION[Fecha],"&lt;="&amp;FINANCIACION[[#This Row],[Fecha]],FINANCIACION[PRESTAMO],FINANCIACION[[#This Row],[PRESTAMO]])</f>
        <v>-71741402.340000033</v>
      </c>
      <c r="G571" s="8" t="s">
        <v>231</v>
      </c>
      <c r="H571" s="8"/>
      <c r="I571" s="5" t="b">
        <f>IF(FINANCIACION[[#This Row],[$ CAPITAL]]&gt;0,FINANCIACION[[#This Row],[$ CAPITAL]])</f>
        <v>0</v>
      </c>
      <c r="J571" s="36">
        <f>IF(FINANCIACION[[#This Row],[$ CAPITAL]]&gt;=0,FINANCIACION[[#This Row],[$ CAPITAL]]+FINANCIACION[[#This Row],[$ INTERESES]],0)</f>
        <v>0</v>
      </c>
    </row>
    <row r="572" spans="1:16" ht="24" hidden="1" customHeight="1" x14ac:dyDescent="0.25">
      <c r="A572" s="7">
        <v>44316</v>
      </c>
      <c r="B572" s="53" t="s">
        <v>1218</v>
      </c>
      <c r="C572" s="5">
        <v>-18535</v>
      </c>
      <c r="D572" s="5"/>
      <c r="E572" s="169" t="str">
        <f>+IF(FINANCIACION[[#This Row],[$ CAPITAL]]&gt;=0,FINANCIACION[[#This Row],[$ CAPITAL]]+FINANCIACION[[#This Row],[$ INTERESES]],"")</f>
        <v/>
      </c>
      <c r="F572" s="169">
        <f>+SUMIFS(FINANCIACION[$ CAPITAL],FINANCIACION[Fecha],"&lt;="&amp;FINANCIACION[[#This Row],[Fecha]],FINANCIACION[PRESTAMO],FINANCIACION[[#This Row],[PRESTAMO]])</f>
        <v>-71741402.340000033</v>
      </c>
      <c r="G572" s="8" t="s">
        <v>231</v>
      </c>
      <c r="H572" s="8"/>
      <c r="I572" s="5" t="b">
        <f>IF(FINANCIACION[[#This Row],[$ CAPITAL]]&gt;0,FINANCIACION[[#This Row],[$ CAPITAL]])</f>
        <v>0</v>
      </c>
      <c r="J572" s="36">
        <f>IF(FINANCIACION[[#This Row],[$ CAPITAL]]&gt;=0,FINANCIACION[[#This Row],[$ CAPITAL]]+FINANCIACION[[#This Row],[$ INTERESES]],0)</f>
        <v>0</v>
      </c>
    </row>
    <row r="573" spans="1:16" ht="24" hidden="1" customHeight="1" x14ac:dyDescent="0.25">
      <c r="A573" s="7">
        <v>44316</v>
      </c>
      <c r="B573" s="53" t="s">
        <v>1218</v>
      </c>
      <c r="C573" s="5">
        <v>-208504.88000000268</v>
      </c>
      <c r="D573" s="5"/>
      <c r="E573" s="169" t="str">
        <f>+IF(FINANCIACION[[#This Row],[$ CAPITAL]]&gt;=0,FINANCIACION[[#This Row],[$ CAPITAL]]+FINANCIACION[[#This Row],[$ INTERESES]],"")</f>
        <v/>
      </c>
      <c r="F573" s="169">
        <f>+SUMIFS(FINANCIACION[$ CAPITAL],FINANCIACION[Fecha],"&lt;="&amp;FINANCIACION[[#This Row],[Fecha]],FINANCIACION[PRESTAMO],FINANCIACION[[#This Row],[PRESTAMO]])</f>
        <v>-71741402.340000033</v>
      </c>
      <c r="G573" s="8" t="s">
        <v>231</v>
      </c>
      <c r="H573" s="8"/>
      <c r="I573" s="5" t="b">
        <f>IF(FINANCIACION[[#This Row],[$ CAPITAL]]&gt;0,FINANCIACION[[#This Row],[$ CAPITAL]])</f>
        <v>0</v>
      </c>
      <c r="J573" s="36">
        <f>IF(FINANCIACION[[#This Row],[$ CAPITAL]]&gt;=0,FINANCIACION[[#This Row],[$ CAPITAL]]+FINANCIACION[[#This Row],[$ INTERESES]],0)</f>
        <v>0</v>
      </c>
    </row>
    <row r="574" spans="1:16" ht="24" hidden="1" customHeight="1" x14ac:dyDescent="0.25">
      <c r="A574" s="7">
        <v>44316</v>
      </c>
      <c r="B574" s="53" t="s">
        <v>1221</v>
      </c>
      <c r="C574" s="5">
        <v>2220246.8299999982</v>
      </c>
      <c r="D574" s="5"/>
      <c r="E574" s="169">
        <f>+IF(FINANCIACION[[#This Row],[$ CAPITAL]]&gt;=0,FINANCIACION[[#This Row],[$ CAPITAL]]+FINANCIACION[[#This Row],[$ INTERESES]],"")</f>
        <v>2220246.8299999982</v>
      </c>
      <c r="F574" s="169">
        <f>+SUMIFS(FINANCIACION[$ CAPITAL],FINANCIACION[Fecha],"&lt;="&amp;FINANCIACION[[#This Row],[Fecha]],FINANCIACION[PRESTAMO],FINANCIACION[[#This Row],[PRESTAMO]])</f>
        <v>-56682393.969999999</v>
      </c>
      <c r="G574" s="8" t="s">
        <v>231</v>
      </c>
      <c r="H574" s="8"/>
      <c r="I574" s="5">
        <f>IF(FINANCIACION[[#This Row],[$ CAPITAL]]&gt;0,FINANCIACION[[#This Row],[$ CAPITAL]])</f>
        <v>2220246.8299999982</v>
      </c>
      <c r="J574" s="36">
        <f>IF(FINANCIACION[[#This Row],[$ CAPITAL]]&gt;=0,FINANCIACION[[#This Row],[$ CAPITAL]]+FINANCIACION[[#This Row],[$ INTERESES]],0)</f>
        <v>2220246.8299999982</v>
      </c>
    </row>
    <row r="575" spans="1:16" ht="24" hidden="1" customHeight="1" x14ac:dyDescent="0.25">
      <c r="A575" s="7">
        <v>44316</v>
      </c>
      <c r="B575" s="53" t="s">
        <v>1222</v>
      </c>
      <c r="C575" s="5">
        <v>2039889.7599999905</v>
      </c>
      <c r="D575" s="5"/>
      <c r="E575" s="169">
        <f>+IF(FINANCIACION[[#This Row],[$ CAPITAL]]&gt;=0,FINANCIACION[[#This Row],[$ CAPITAL]]+FINANCIACION[[#This Row],[$ INTERESES]],"")</f>
        <v>2039889.7599999905</v>
      </c>
      <c r="F575" s="169">
        <f>+SUMIFS(FINANCIACION[$ CAPITAL],FINANCIACION[Fecha],"&lt;="&amp;FINANCIACION[[#This Row],[Fecha]],FINANCIACION[PRESTAMO],FINANCIACION[[#This Row],[PRESTAMO]])</f>
        <v>-82222974.680000007</v>
      </c>
      <c r="G575" s="8" t="s">
        <v>231</v>
      </c>
      <c r="H575" s="8"/>
      <c r="I575" s="5">
        <f>IF(FINANCIACION[[#This Row],[$ CAPITAL]]&gt;0,FINANCIACION[[#This Row],[$ CAPITAL]])</f>
        <v>2039889.7599999905</v>
      </c>
      <c r="J575" s="36">
        <f>IF(FINANCIACION[[#This Row],[$ CAPITAL]]&gt;=0,FINANCIACION[[#This Row],[$ CAPITAL]]+FINANCIACION[[#This Row],[$ INTERESES]],0)</f>
        <v>2039889.7599999905</v>
      </c>
    </row>
    <row r="576" spans="1:16" ht="24" hidden="1" customHeight="1" x14ac:dyDescent="0.25">
      <c r="A576" s="7">
        <v>44316</v>
      </c>
      <c r="B576" s="53" t="s">
        <v>1223</v>
      </c>
      <c r="C576" s="5">
        <v>-152551.12000000104</v>
      </c>
      <c r="D576" s="5"/>
      <c r="E576" s="169" t="str">
        <f>+IF(FINANCIACION[[#This Row],[$ CAPITAL]]&gt;=0,FINANCIACION[[#This Row],[$ CAPITAL]]+FINANCIACION[[#This Row],[$ INTERESES]],"")</f>
        <v/>
      </c>
      <c r="F576" s="169">
        <f>+SUMIFS(FINANCIACION[$ CAPITAL],FINANCIACION[Fecha],"&lt;="&amp;FINANCIACION[[#This Row],[Fecha]],FINANCIACION[PRESTAMO],FINANCIACION[[#This Row],[PRESTAMO]])</f>
        <v>-24020998.199999999</v>
      </c>
      <c r="G576" s="8" t="s">
        <v>231</v>
      </c>
      <c r="H576" s="8"/>
      <c r="I576" s="5" t="b">
        <f>IF(FINANCIACION[[#This Row],[$ CAPITAL]]&gt;0,FINANCIACION[[#This Row],[$ CAPITAL]])</f>
        <v>0</v>
      </c>
      <c r="J576" s="36">
        <f>IF(FINANCIACION[[#This Row],[$ CAPITAL]]&gt;=0,FINANCIACION[[#This Row],[$ CAPITAL]]+FINANCIACION[[#This Row],[$ INTERESES]],0)</f>
        <v>0</v>
      </c>
    </row>
    <row r="577" spans="1:10" ht="24" hidden="1" customHeight="1" x14ac:dyDescent="0.25">
      <c r="A577" s="7">
        <v>44316</v>
      </c>
      <c r="B577" s="53" t="s">
        <v>1225</v>
      </c>
      <c r="C577" s="5">
        <v>-171349.36999999732</v>
      </c>
      <c r="D577" s="5"/>
      <c r="E577" s="169" t="str">
        <f>+IF(FINANCIACION[[#This Row],[$ CAPITAL]]&gt;=0,FINANCIACION[[#This Row],[$ CAPITAL]]+FINANCIACION[[#This Row],[$ INTERESES]],"")</f>
        <v/>
      </c>
      <c r="F577" s="169">
        <f>+SUMIFS(FINANCIACION[$ CAPITAL],FINANCIACION[Fecha],"&lt;="&amp;FINANCIACION[[#This Row],[Fecha]],FINANCIACION[PRESTAMO],FINANCIACION[[#This Row],[PRESTAMO]])</f>
        <v>-26084498.899999999</v>
      </c>
      <c r="G577" s="8" t="s">
        <v>231</v>
      </c>
      <c r="H577" s="8"/>
      <c r="I577" s="5" t="b">
        <f>IF(FINANCIACION[[#This Row],[$ CAPITAL]]&gt;0,FINANCIACION[[#This Row],[$ CAPITAL]])</f>
        <v>0</v>
      </c>
      <c r="J577" s="36">
        <f>IF(FINANCIACION[[#This Row],[$ CAPITAL]]&gt;=0,FINANCIACION[[#This Row],[$ CAPITAL]]+FINANCIACION[[#This Row],[$ INTERESES]],0)</f>
        <v>0</v>
      </c>
    </row>
    <row r="578" spans="1:10" ht="24" hidden="1" customHeight="1" x14ac:dyDescent="0.25">
      <c r="A578" s="7">
        <v>44316</v>
      </c>
      <c r="B578" s="53" t="s">
        <v>202</v>
      </c>
      <c r="C578" s="5">
        <v>-7917900</v>
      </c>
      <c r="D578" s="5"/>
      <c r="E578" s="169" t="str">
        <f>+IF(FINANCIACION[[#This Row],[$ CAPITAL]]&gt;=0,FINANCIACION[[#This Row],[$ CAPITAL]]+FINANCIACION[[#This Row],[$ INTERESES]],"")</f>
        <v/>
      </c>
      <c r="F578" s="169">
        <f>+SUMIFS(FINANCIACION[$ CAPITAL],FINANCIACION[Fecha],"&lt;="&amp;FINANCIACION[[#This Row],[Fecha]],FINANCIACION[PRESTAMO],FINANCIACION[[#This Row],[PRESTAMO]])</f>
        <v>-34302600</v>
      </c>
      <c r="G578" s="8" t="s">
        <v>231</v>
      </c>
      <c r="H578" s="8"/>
      <c r="I578" s="5" t="b">
        <f>IF(FINANCIACION[[#This Row],[$ CAPITAL]]&gt;0,FINANCIACION[[#This Row],[$ CAPITAL]])</f>
        <v>0</v>
      </c>
      <c r="J578" s="36">
        <f>IF(FINANCIACION[[#This Row],[$ CAPITAL]]&gt;=0,FINANCIACION[[#This Row],[$ CAPITAL]]+FINANCIACION[[#This Row],[$ INTERESES]],0)</f>
        <v>0</v>
      </c>
    </row>
    <row r="579" spans="1:10" ht="24" hidden="1" customHeight="1" x14ac:dyDescent="0.25">
      <c r="A579" s="7">
        <v>44319</v>
      </c>
      <c r="B579" s="53" t="s">
        <v>1225</v>
      </c>
      <c r="C579" s="5">
        <v>894000</v>
      </c>
      <c r="D579" s="5">
        <v>166402.96</v>
      </c>
      <c r="E579" s="169">
        <f>+IF(FINANCIACION[[#This Row],[$ CAPITAL]]&gt;=0,FINANCIACION[[#This Row],[$ CAPITAL]]+FINANCIACION[[#This Row],[$ INTERESES]],"")</f>
        <v>1060402.96</v>
      </c>
      <c r="F579" s="169">
        <f>+SUMIFS(FINANCIACION[$ CAPITAL],FINANCIACION[Fecha],"&lt;="&amp;FINANCIACION[[#This Row],[Fecha]],FINANCIACION[PRESTAMO],FINANCIACION[[#This Row],[PRESTAMO]])</f>
        <v>-25190498.899999999</v>
      </c>
      <c r="G579" s="8"/>
      <c r="H579" s="8"/>
      <c r="I579" s="5">
        <f>IF(FINANCIACION[[#This Row],[$ CAPITAL]]&gt;0,FINANCIACION[[#This Row],[$ CAPITAL]])</f>
        <v>894000</v>
      </c>
      <c r="J579" s="36">
        <f>IF(FINANCIACION[[#This Row],[$ CAPITAL]]&gt;=0,FINANCIACION[[#This Row],[$ CAPITAL]]+FINANCIACION[[#This Row],[$ INTERESES]],0)</f>
        <v>1060402.96</v>
      </c>
    </row>
    <row r="580" spans="1:10" ht="24" hidden="1" customHeight="1" x14ac:dyDescent="0.25">
      <c r="A580" s="7">
        <v>44320</v>
      </c>
      <c r="B580" s="53" t="s">
        <v>1217</v>
      </c>
      <c r="C580" s="5">
        <v>5000000</v>
      </c>
      <c r="D580" s="5"/>
      <c r="E580" s="169">
        <f>+IF(FINANCIACION[[#This Row],[$ CAPITAL]]&gt;=0,FINANCIACION[[#This Row],[$ CAPITAL]]+FINANCIACION[[#This Row],[$ INTERESES]],"")</f>
        <v>5000000</v>
      </c>
      <c r="F580" s="169">
        <f>+SUMIFS(FINANCIACION[$ CAPITAL],FINANCIACION[Fecha],"&lt;="&amp;FINANCIACION[[#This Row],[Fecha]],FINANCIACION[PRESTAMO],FINANCIACION[[#This Row],[PRESTAMO]])</f>
        <v>-349844809</v>
      </c>
      <c r="G580" s="8"/>
      <c r="H580" s="8"/>
      <c r="I580" s="5">
        <f>IF(FINANCIACION[[#This Row],[$ CAPITAL]]&gt;0,FINANCIACION[[#This Row],[$ CAPITAL]])</f>
        <v>5000000</v>
      </c>
      <c r="J580" s="36">
        <f>IF(FINANCIACION[[#This Row],[$ CAPITAL]]&gt;=0,FINANCIACION[[#This Row],[$ CAPITAL]]+FINANCIACION[[#This Row],[$ INTERESES]],0)</f>
        <v>5000000</v>
      </c>
    </row>
    <row r="581" spans="1:10" ht="24" hidden="1" customHeight="1" x14ac:dyDescent="0.25">
      <c r="A581" s="7">
        <v>44320</v>
      </c>
      <c r="B581" s="53" t="s">
        <v>1218</v>
      </c>
      <c r="C581" s="5">
        <v>990094.53000000305</v>
      </c>
      <c r="D581" s="5">
        <v>107658.64999999688</v>
      </c>
      <c r="E581" s="169">
        <f>+IF(FINANCIACION[[#This Row],[$ CAPITAL]]&gt;=0,FINANCIACION[[#This Row],[$ CAPITAL]]+FINANCIACION[[#This Row],[$ INTERESES]],"")</f>
        <v>1097753.18</v>
      </c>
      <c r="F581" s="169">
        <f>+SUMIFS(FINANCIACION[$ CAPITAL],FINANCIACION[Fecha],"&lt;="&amp;FINANCIACION[[#This Row],[Fecha]],FINANCIACION[PRESTAMO],FINANCIACION[[#This Row],[PRESTAMO]])</f>
        <v>-69229307.810000032</v>
      </c>
      <c r="G581" s="8"/>
      <c r="H581" s="8"/>
      <c r="I581" s="5">
        <f>IF(FINANCIACION[[#This Row],[$ CAPITAL]]&gt;0,FINANCIACION[[#This Row],[$ CAPITAL]])</f>
        <v>990094.53000000305</v>
      </c>
      <c r="J581" s="36">
        <f>IF(FINANCIACION[[#This Row],[$ CAPITAL]]&gt;=0,FINANCIACION[[#This Row],[$ CAPITAL]]+FINANCIACION[[#This Row],[$ INTERESES]],0)</f>
        <v>1097753.18</v>
      </c>
    </row>
    <row r="582" spans="1:10" ht="24" hidden="1" customHeight="1" x14ac:dyDescent="0.25">
      <c r="A582" s="7">
        <v>44320</v>
      </c>
      <c r="B582" s="53" t="s">
        <v>1218</v>
      </c>
      <c r="C582" s="5">
        <v>1522000</v>
      </c>
      <c r="D582" s="5"/>
      <c r="E582" s="169">
        <f>+IF(FINANCIACION[[#This Row],[$ CAPITAL]]&gt;=0,FINANCIACION[[#This Row],[$ CAPITAL]]+FINANCIACION[[#This Row],[$ INTERESES]],"")</f>
        <v>1522000</v>
      </c>
      <c r="F582" s="169">
        <f>+SUMIFS(FINANCIACION[$ CAPITAL],FINANCIACION[Fecha],"&lt;="&amp;FINANCIACION[[#This Row],[Fecha]],FINANCIACION[PRESTAMO],FINANCIACION[[#This Row],[PRESTAMO]])</f>
        <v>-69229307.810000032</v>
      </c>
      <c r="G582" s="8"/>
      <c r="H582" s="8"/>
      <c r="I582" s="5">
        <f>IF(FINANCIACION[[#This Row],[$ CAPITAL]]&gt;0,FINANCIACION[[#This Row],[$ CAPITAL]])</f>
        <v>1522000</v>
      </c>
      <c r="J582" s="36">
        <f>IF(FINANCIACION[[#This Row],[$ CAPITAL]]&gt;=0,FINANCIACION[[#This Row],[$ CAPITAL]]+FINANCIACION[[#This Row],[$ INTERESES]],0)</f>
        <v>1522000</v>
      </c>
    </row>
    <row r="583" spans="1:10" ht="24" hidden="1" customHeight="1" x14ac:dyDescent="0.25">
      <c r="A583" s="7">
        <v>44320</v>
      </c>
      <c r="B583" s="53" t="s">
        <v>1223</v>
      </c>
      <c r="C583" s="5">
        <v>1011000</v>
      </c>
      <c r="D583" s="5"/>
      <c r="E583" s="169">
        <f>+IF(FINANCIACION[[#This Row],[$ CAPITAL]]&gt;=0,FINANCIACION[[#This Row],[$ CAPITAL]]+FINANCIACION[[#This Row],[$ INTERESES]],"")</f>
        <v>1011000</v>
      </c>
      <c r="F583" s="169">
        <f>+SUMIFS(FINANCIACION[$ CAPITAL],FINANCIACION[Fecha],"&lt;="&amp;FINANCIACION[[#This Row],[Fecha]],FINANCIACION[PRESTAMO],FINANCIACION[[#This Row],[PRESTAMO]])</f>
        <v>-23009998.199999999</v>
      </c>
      <c r="G583" s="8"/>
      <c r="H583" s="8"/>
      <c r="I583" s="5">
        <f>IF(FINANCIACION[[#This Row],[$ CAPITAL]]&gt;0,FINANCIACION[[#This Row],[$ CAPITAL]])</f>
        <v>1011000</v>
      </c>
      <c r="J583" s="36">
        <f>IF(FINANCIACION[[#This Row],[$ CAPITAL]]&gt;=0,FINANCIACION[[#This Row],[$ CAPITAL]]+FINANCIACION[[#This Row],[$ INTERESES]],0)</f>
        <v>1011000</v>
      </c>
    </row>
    <row r="584" spans="1:10" ht="24" hidden="1" customHeight="1" x14ac:dyDescent="0.25">
      <c r="A584" s="7">
        <v>44328</v>
      </c>
      <c r="B584" s="53" t="s">
        <v>197</v>
      </c>
      <c r="C584" s="5">
        <v>6342416.9000000004</v>
      </c>
      <c r="D584" s="5">
        <v>443060.1</v>
      </c>
      <c r="E584" s="169">
        <f>+IF(FINANCIACION[[#This Row],[$ CAPITAL]]&gt;=0,FINANCIACION[[#This Row],[$ CAPITAL]]+FINANCIACION[[#This Row],[$ INTERESES]],"")</f>
        <v>6785477</v>
      </c>
      <c r="F584" s="169">
        <f>+SUMIFS(FINANCIACION[$ CAPITAL],FINANCIACION[Fecha],"&lt;="&amp;FINANCIACION[[#This Row],[Fecha]],FINANCIACION[PRESTAMO],FINANCIACION[[#This Row],[PRESTAMO]])</f>
        <v>-60348709.100000001</v>
      </c>
      <c r="G584" s="8"/>
      <c r="H584" s="8"/>
      <c r="I584" s="5">
        <f>IF(FINANCIACION[[#This Row],[$ CAPITAL]]&gt;0,FINANCIACION[[#This Row],[$ CAPITAL]])</f>
        <v>6342416.9000000004</v>
      </c>
      <c r="J584" s="36">
        <f>IF(FINANCIACION[[#This Row],[$ CAPITAL]]&gt;=0,FINANCIACION[[#This Row],[$ CAPITAL]]+FINANCIACION[[#This Row],[$ INTERESES]],0)</f>
        <v>6785477</v>
      </c>
    </row>
    <row r="585" spans="1:10" ht="24" hidden="1" customHeight="1" x14ac:dyDescent="0.25">
      <c r="A585" s="7">
        <v>44328</v>
      </c>
      <c r="B585" s="53" t="s">
        <v>1217</v>
      </c>
      <c r="C585" s="5">
        <v>918187</v>
      </c>
      <c r="D585" s="5"/>
      <c r="E585" s="169">
        <f>+IF(FINANCIACION[[#This Row],[$ CAPITAL]]&gt;=0,FINANCIACION[[#This Row],[$ CAPITAL]]+FINANCIACION[[#This Row],[$ INTERESES]],"")</f>
        <v>918187</v>
      </c>
      <c r="F585" s="169">
        <f>+SUMIFS(FINANCIACION[$ CAPITAL],FINANCIACION[Fecha],"&lt;="&amp;FINANCIACION[[#This Row],[Fecha]],FINANCIACION[PRESTAMO],FINANCIACION[[#This Row],[PRESTAMO]])</f>
        <v>-348926622</v>
      </c>
      <c r="G585" s="8"/>
      <c r="H585" s="8"/>
      <c r="I585" s="5">
        <f>IF(FINANCIACION[[#This Row],[$ CAPITAL]]&gt;0,FINANCIACION[[#This Row],[$ CAPITAL]])</f>
        <v>918187</v>
      </c>
      <c r="J585" s="36">
        <f>IF(FINANCIACION[[#This Row],[$ CAPITAL]]&gt;=0,FINANCIACION[[#This Row],[$ CAPITAL]]+FINANCIACION[[#This Row],[$ INTERESES]],0)</f>
        <v>918187</v>
      </c>
    </row>
    <row r="586" spans="1:10" ht="24" hidden="1" customHeight="1" x14ac:dyDescent="0.25">
      <c r="A586" s="7">
        <v>44328</v>
      </c>
      <c r="B586" s="53" t="s">
        <v>1218</v>
      </c>
      <c r="C586" s="5">
        <v>7406400</v>
      </c>
      <c r="D586" s="5"/>
      <c r="E586" s="169">
        <f>+IF(FINANCIACION[[#This Row],[$ CAPITAL]]&gt;=0,FINANCIACION[[#This Row],[$ CAPITAL]]+FINANCIACION[[#This Row],[$ INTERESES]],"")</f>
        <v>7406400</v>
      </c>
      <c r="F586" s="169">
        <f>+SUMIFS(FINANCIACION[$ CAPITAL],FINANCIACION[Fecha],"&lt;="&amp;FINANCIACION[[#This Row],[Fecha]],FINANCIACION[PRESTAMO],FINANCIACION[[#This Row],[PRESTAMO]])</f>
        <v>-58119707.810000032</v>
      </c>
      <c r="G586" s="8"/>
      <c r="H586" s="8"/>
      <c r="I586" s="5">
        <f>IF(FINANCIACION[[#This Row],[$ CAPITAL]]&gt;0,FINANCIACION[[#This Row],[$ CAPITAL]])</f>
        <v>7406400</v>
      </c>
      <c r="J586" s="36">
        <f>IF(FINANCIACION[[#This Row],[$ CAPITAL]]&gt;=0,FINANCIACION[[#This Row],[$ CAPITAL]]+FINANCIACION[[#This Row],[$ INTERESES]],0)</f>
        <v>7406400</v>
      </c>
    </row>
    <row r="587" spans="1:10" ht="24" hidden="1" customHeight="1" x14ac:dyDescent="0.25">
      <c r="A587" s="7">
        <v>44328</v>
      </c>
      <c r="B587" s="53" t="s">
        <v>1218</v>
      </c>
      <c r="C587" s="5">
        <v>3703200</v>
      </c>
      <c r="D587" s="5"/>
      <c r="E587" s="169">
        <f>+IF(FINANCIACION[[#This Row],[$ CAPITAL]]&gt;=0,FINANCIACION[[#This Row],[$ CAPITAL]]+FINANCIACION[[#This Row],[$ INTERESES]],"")</f>
        <v>3703200</v>
      </c>
      <c r="F587" s="169">
        <f>+SUMIFS(FINANCIACION[$ CAPITAL],FINANCIACION[Fecha],"&lt;="&amp;FINANCIACION[[#This Row],[Fecha]],FINANCIACION[PRESTAMO],FINANCIACION[[#This Row],[PRESTAMO]])</f>
        <v>-58119707.810000032</v>
      </c>
      <c r="G587" s="8"/>
      <c r="H587" s="8"/>
      <c r="I587" s="5">
        <f>IF(FINANCIACION[[#This Row],[$ CAPITAL]]&gt;0,FINANCIACION[[#This Row],[$ CAPITAL]])</f>
        <v>3703200</v>
      </c>
      <c r="J587" s="36">
        <f>IF(FINANCIACION[[#This Row],[$ CAPITAL]]&gt;=0,FINANCIACION[[#This Row],[$ CAPITAL]]+FINANCIACION[[#This Row],[$ INTERESES]],0)</f>
        <v>3703200</v>
      </c>
    </row>
    <row r="588" spans="1:10" ht="24" hidden="1" customHeight="1" x14ac:dyDescent="0.25">
      <c r="A588" s="7">
        <v>44330</v>
      </c>
      <c r="B588" s="53" t="s">
        <v>1218</v>
      </c>
      <c r="C588" s="5">
        <v>-35000000</v>
      </c>
      <c r="D588" s="5">
        <v>955808</v>
      </c>
      <c r="E588" s="169" t="str">
        <f>+IF(FINANCIACION[[#This Row],[$ CAPITAL]]&gt;=0,FINANCIACION[[#This Row],[$ CAPITAL]]+FINANCIACION[[#This Row],[$ INTERESES]],"")</f>
        <v/>
      </c>
      <c r="F588" s="169">
        <f>+SUMIFS(FINANCIACION[$ CAPITAL],FINANCIACION[Fecha],"&lt;="&amp;FINANCIACION[[#This Row],[Fecha]],FINANCIACION[PRESTAMO],FINANCIACION[[#This Row],[PRESTAMO]])</f>
        <v>-93119707.810000032</v>
      </c>
      <c r="G588" s="8"/>
      <c r="H588" s="8"/>
      <c r="I588" s="5" t="b">
        <f>IF(FINANCIACION[[#This Row],[$ CAPITAL]]&gt;0,FINANCIACION[[#This Row],[$ CAPITAL]])</f>
        <v>0</v>
      </c>
      <c r="J588" s="36">
        <f>IF(FINANCIACION[[#This Row],[$ CAPITAL]]&gt;=0,FINANCIACION[[#This Row],[$ CAPITAL]]+FINANCIACION[[#This Row],[$ INTERESES]],0)</f>
        <v>0</v>
      </c>
    </row>
    <row r="589" spans="1:10" ht="24" customHeight="1" x14ac:dyDescent="0.25">
      <c r="A589" s="7">
        <v>44330</v>
      </c>
      <c r="B589" s="53" t="s">
        <v>200</v>
      </c>
      <c r="C589" s="5">
        <v>-35000000</v>
      </c>
      <c r="D589" s="5">
        <v>955808</v>
      </c>
      <c r="E589" s="169" t="str">
        <f>+IF(FINANCIACION[[#This Row],[$ CAPITAL]]&gt;=0,FINANCIACION[[#This Row],[$ CAPITAL]]+FINANCIACION[[#This Row],[$ INTERESES]],"")</f>
        <v/>
      </c>
      <c r="F589" s="169">
        <f>+SUMIFS(FINANCIACION[$ CAPITAL],FINANCIACION[Fecha],"&lt;="&amp;FINANCIACION[[#This Row],[Fecha]],FINANCIACION[PRESTAMO],FINANCIACION[[#This Row],[PRESTAMO]])</f>
        <v>-35000000</v>
      </c>
      <c r="G589" s="8"/>
      <c r="H589" s="8"/>
      <c r="I589" s="5" t="b">
        <f>IF(FINANCIACION[[#This Row],[$ CAPITAL]]&gt;0,FINANCIACION[[#This Row],[$ CAPITAL]])</f>
        <v>0</v>
      </c>
      <c r="J589" s="36">
        <f>IF(FINANCIACION[[#This Row],[$ CAPITAL]]&gt;=0,FINANCIACION[[#This Row],[$ CAPITAL]]+FINANCIACION[[#This Row],[$ INTERESES]],0)</f>
        <v>0</v>
      </c>
    </row>
    <row r="590" spans="1:10" ht="24" hidden="1" customHeight="1" x14ac:dyDescent="0.25">
      <c r="A590" s="7">
        <v>44334</v>
      </c>
      <c r="B590" s="53" t="s">
        <v>1218</v>
      </c>
      <c r="C590" s="5">
        <v>8131031.1399999913</v>
      </c>
      <c r="D590" s="5">
        <v>12434.860000008717</v>
      </c>
      <c r="E590" s="169">
        <f>+IF(FINANCIACION[[#This Row],[$ CAPITAL]]&gt;=0,FINANCIACION[[#This Row],[$ CAPITAL]]+FINANCIACION[[#This Row],[$ INTERESES]],"")</f>
        <v>8143466</v>
      </c>
      <c r="F590" s="169">
        <f>+SUMIFS(FINANCIACION[$ CAPITAL],FINANCIACION[Fecha],"&lt;="&amp;FINANCIACION[[#This Row],[Fecha]],FINANCIACION[PRESTAMO],FINANCIACION[[#This Row],[PRESTAMO]])</f>
        <v>-84464929.670000046</v>
      </c>
      <c r="G590" s="8"/>
      <c r="H590" s="8"/>
      <c r="I590" s="5">
        <f>IF(FINANCIACION[[#This Row],[$ CAPITAL]]&gt;0,FINANCIACION[[#This Row],[$ CAPITAL]])</f>
        <v>8131031.1399999913</v>
      </c>
      <c r="J590" s="36">
        <f>IF(FINANCIACION[[#This Row],[$ CAPITAL]]&gt;=0,FINANCIACION[[#This Row],[$ CAPITAL]]+FINANCIACION[[#This Row],[$ INTERESES]],0)</f>
        <v>8143466</v>
      </c>
    </row>
    <row r="591" spans="1:10" ht="24" hidden="1" customHeight="1" x14ac:dyDescent="0.25">
      <c r="A591" s="7">
        <v>44334</v>
      </c>
      <c r="B591" s="53" t="s">
        <v>1218</v>
      </c>
      <c r="C591" s="5">
        <v>523747</v>
      </c>
      <c r="D591" s="5"/>
      <c r="E591" s="169">
        <f>+IF(FINANCIACION[[#This Row],[$ CAPITAL]]&gt;=0,FINANCIACION[[#This Row],[$ CAPITAL]]+FINANCIACION[[#This Row],[$ INTERESES]],"")</f>
        <v>523747</v>
      </c>
      <c r="F591" s="169">
        <f>+SUMIFS(FINANCIACION[$ CAPITAL],FINANCIACION[Fecha],"&lt;="&amp;FINANCIACION[[#This Row],[Fecha]],FINANCIACION[PRESTAMO],FINANCIACION[[#This Row],[PRESTAMO]])</f>
        <v>-84464929.670000046</v>
      </c>
      <c r="G591" s="8"/>
      <c r="H591" s="8"/>
      <c r="I591" s="5">
        <f>IF(FINANCIACION[[#This Row],[$ CAPITAL]]&gt;0,FINANCIACION[[#This Row],[$ CAPITAL]])</f>
        <v>523747</v>
      </c>
      <c r="J591" s="36">
        <f>IF(FINANCIACION[[#This Row],[$ CAPITAL]]&gt;=0,FINANCIACION[[#This Row],[$ CAPITAL]]+FINANCIACION[[#This Row],[$ INTERESES]],0)</f>
        <v>523747</v>
      </c>
    </row>
    <row r="592" spans="1:10" ht="24" hidden="1" customHeight="1" x14ac:dyDescent="0.25">
      <c r="A592" s="7">
        <v>44340</v>
      </c>
      <c r="B592" s="53" t="s">
        <v>1216</v>
      </c>
      <c r="C592" s="5">
        <v>458214.73859999992</v>
      </c>
      <c r="D592" s="5">
        <v>741785.26140000008</v>
      </c>
      <c r="E592" s="169">
        <f>+IF(FINANCIACION[[#This Row],[$ CAPITAL]]&gt;=0,FINANCIACION[[#This Row],[$ CAPITAL]]+FINANCIACION[[#This Row],[$ INTERESES]],"")</f>
        <v>1200000</v>
      </c>
      <c r="F592" s="169">
        <f>+SUMIFS(FINANCIACION[$ CAPITAL],FINANCIACION[Fecha],"&lt;="&amp;FINANCIACION[[#This Row],[Fecha]],FINANCIACION[PRESTAMO],FINANCIACION[[#This Row],[PRESTAMO]])</f>
        <v>-73720311.4014</v>
      </c>
      <c r="G592" s="8"/>
      <c r="H592" s="8"/>
      <c r="I592" s="5">
        <f>IF(FINANCIACION[[#This Row],[$ CAPITAL]]&gt;0,FINANCIACION[[#This Row],[$ CAPITAL]])</f>
        <v>458214.73859999992</v>
      </c>
      <c r="J592" s="36">
        <f>IF(FINANCIACION[[#This Row],[$ CAPITAL]]&gt;=0,FINANCIACION[[#This Row],[$ CAPITAL]]+FINANCIACION[[#This Row],[$ INTERESES]],0)</f>
        <v>1200000</v>
      </c>
    </row>
    <row r="593" spans="1:10" ht="24" hidden="1" customHeight="1" x14ac:dyDescent="0.25">
      <c r="A593" s="7">
        <v>44340</v>
      </c>
      <c r="B593" s="53" t="s">
        <v>1228</v>
      </c>
      <c r="C593" s="5"/>
      <c r="D593" s="5">
        <v>120000</v>
      </c>
      <c r="E593" s="169">
        <f>+IF(FINANCIACION[[#This Row],[$ CAPITAL]]&gt;=0,FINANCIACION[[#This Row],[$ CAPITAL]]+FINANCIACION[[#This Row],[$ INTERESES]],"")</f>
        <v>120000</v>
      </c>
      <c r="F593" s="169">
        <f>+SUMIFS(FINANCIACION[$ CAPITAL],FINANCIACION[Fecha],"&lt;="&amp;FINANCIACION[[#This Row],[Fecha]],FINANCIACION[PRESTAMO],FINANCIACION[[#This Row],[PRESTAMO]])</f>
        <v>-12000000</v>
      </c>
      <c r="G593" s="8"/>
      <c r="H593" s="8"/>
      <c r="I593" s="5" t="b">
        <f>IF(FINANCIACION[[#This Row],[$ CAPITAL]]&gt;0,FINANCIACION[[#This Row],[$ CAPITAL]])</f>
        <v>0</v>
      </c>
      <c r="J593" s="36">
        <f>IF(FINANCIACION[[#This Row],[$ CAPITAL]]&gt;=0,FINANCIACION[[#This Row],[$ CAPITAL]]+FINANCIACION[[#This Row],[$ INTERESES]],0)</f>
        <v>120000</v>
      </c>
    </row>
    <row r="594" spans="1:10" ht="24" hidden="1" customHeight="1" x14ac:dyDescent="0.25">
      <c r="A594" s="7">
        <v>44340</v>
      </c>
      <c r="B594" s="53" t="s">
        <v>1218</v>
      </c>
      <c r="C594" s="5">
        <v>1251291.4899999984</v>
      </c>
      <c r="D594" s="5">
        <v>5708.5100000016391</v>
      </c>
      <c r="E594" s="169">
        <f>+IF(FINANCIACION[[#This Row],[$ CAPITAL]]&gt;=0,FINANCIACION[[#This Row],[$ CAPITAL]]+FINANCIACION[[#This Row],[$ INTERESES]],"")</f>
        <v>1257000</v>
      </c>
      <c r="F594" s="169">
        <f>+SUMIFS(FINANCIACION[$ CAPITAL],FINANCIACION[Fecha],"&lt;="&amp;FINANCIACION[[#This Row],[Fecha]],FINANCIACION[PRESTAMO],FINANCIACION[[#This Row],[PRESTAMO]])</f>
        <v>-74228675.440000057</v>
      </c>
      <c r="G594" s="8"/>
      <c r="H594" s="8"/>
      <c r="I594" s="5">
        <f>IF(FINANCIACION[[#This Row],[$ CAPITAL]]&gt;0,FINANCIACION[[#This Row],[$ CAPITAL]])</f>
        <v>1251291.4899999984</v>
      </c>
      <c r="J594" s="9">
        <f>IF(FINANCIACION[[#This Row],[$ CAPITAL]]&gt;=0,FINANCIACION[[#This Row],[$ CAPITAL]]+FINANCIACION[[#This Row],[$ INTERESES]],0)</f>
        <v>1257000</v>
      </c>
    </row>
    <row r="595" spans="1:10" ht="24" hidden="1" customHeight="1" x14ac:dyDescent="0.25">
      <c r="A595" s="7">
        <v>44340</v>
      </c>
      <c r="B595" s="53" t="s">
        <v>1218</v>
      </c>
      <c r="C595" s="5">
        <v>7476380</v>
      </c>
      <c r="D595" s="5"/>
      <c r="E595" s="169">
        <f>+IF(FINANCIACION[[#This Row],[$ CAPITAL]]&gt;=0,FINANCIACION[[#This Row],[$ CAPITAL]]+FINANCIACION[[#This Row],[$ INTERESES]],"")</f>
        <v>7476380</v>
      </c>
      <c r="F595" s="169">
        <f>+SUMIFS(FINANCIACION[$ CAPITAL],FINANCIACION[Fecha],"&lt;="&amp;FINANCIACION[[#This Row],[Fecha]],FINANCIACION[PRESTAMO],FINANCIACION[[#This Row],[PRESTAMO]])</f>
        <v>-74228675.440000057</v>
      </c>
      <c r="G595" s="8"/>
      <c r="H595" s="8"/>
      <c r="I595" s="5">
        <f>IF(FINANCIACION[[#This Row],[$ CAPITAL]]&gt;0,FINANCIACION[[#This Row],[$ CAPITAL]])</f>
        <v>7476380</v>
      </c>
      <c r="J595" s="36">
        <f>IF(FINANCIACION[[#This Row],[$ CAPITAL]]&gt;=0,FINANCIACION[[#This Row],[$ CAPITAL]]+FINANCIACION[[#This Row],[$ INTERESES]],0)</f>
        <v>7476380</v>
      </c>
    </row>
    <row r="596" spans="1:10" ht="24" hidden="1" customHeight="1" x14ac:dyDescent="0.25">
      <c r="A596" s="7">
        <v>44340</v>
      </c>
      <c r="B596" s="53" t="s">
        <v>1218</v>
      </c>
      <c r="C596" s="5">
        <v>1508582.7400000021</v>
      </c>
      <c r="D596" s="5">
        <v>6417.2599999979138</v>
      </c>
      <c r="E596" s="169">
        <f>+IF(FINANCIACION[[#This Row],[$ CAPITAL]]&gt;=0,FINANCIACION[[#This Row],[$ CAPITAL]]+FINANCIACION[[#This Row],[$ INTERESES]],"")</f>
        <v>1515000</v>
      </c>
      <c r="F596" s="169">
        <f>+SUMIFS(FINANCIACION[$ CAPITAL],FINANCIACION[Fecha],"&lt;="&amp;FINANCIACION[[#This Row],[Fecha]],FINANCIACION[PRESTAMO],FINANCIACION[[#This Row],[PRESTAMO]])</f>
        <v>-74228675.440000057</v>
      </c>
      <c r="G596" s="8"/>
      <c r="H596" s="8"/>
      <c r="I596" s="5">
        <f>IF(FINANCIACION[[#This Row],[$ CAPITAL]]&gt;0,FINANCIACION[[#This Row],[$ CAPITAL]])</f>
        <v>1508582.7400000021</v>
      </c>
      <c r="J596" s="36">
        <f>IF(FINANCIACION[[#This Row],[$ CAPITAL]]&gt;=0,FINANCIACION[[#This Row],[$ CAPITAL]]+FINANCIACION[[#This Row],[$ INTERESES]],0)</f>
        <v>1515000</v>
      </c>
    </row>
    <row r="597" spans="1:10" ht="24" hidden="1" customHeight="1" x14ac:dyDescent="0.25">
      <c r="A597" s="7">
        <v>44340</v>
      </c>
      <c r="B597" s="53" t="s">
        <v>1221</v>
      </c>
      <c r="C597" s="5">
        <v>2539245.3100000024</v>
      </c>
      <c r="D597" s="5">
        <v>11754.689999997616</v>
      </c>
      <c r="E597" s="169">
        <f>+IF(FINANCIACION[[#This Row],[$ CAPITAL]]&gt;=0,FINANCIACION[[#This Row],[$ CAPITAL]]+FINANCIACION[[#This Row],[$ INTERESES]],"")</f>
        <v>2551000</v>
      </c>
      <c r="F597" s="169">
        <f>+SUMIFS(FINANCIACION[$ CAPITAL],FINANCIACION[Fecha],"&lt;="&amp;FINANCIACION[[#This Row],[Fecha]],FINANCIACION[PRESTAMO],FINANCIACION[[#This Row],[PRESTAMO]])</f>
        <v>-54143148.659999996</v>
      </c>
      <c r="G597" s="8"/>
      <c r="H597" s="8"/>
      <c r="I597" s="5">
        <f>IF(FINANCIACION[[#This Row],[$ CAPITAL]]&gt;0,FINANCIACION[[#This Row],[$ CAPITAL]])</f>
        <v>2539245.3100000024</v>
      </c>
      <c r="J597" s="36">
        <f>IF(FINANCIACION[[#This Row],[$ CAPITAL]]&gt;=0,FINANCIACION[[#This Row],[$ CAPITAL]]+FINANCIACION[[#This Row],[$ INTERESES]],0)</f>
        <v>2551000</v>
      </c>
    </row>
    <row r="598" spans="1:10" ht="24" hidden="1" customHeight="1" x14ac:dyDescent="0.25">
      <c r="A598" s="7">
        <v>44340</v>
      </c>
      <c r="B598" s="53" t="s">
        <v>1222</v>
      </c>
      <c r="C598" s="5">
        <v>3748005.3799999952</v>
      </c>
      <c r="D598" s="5">
        <v>18994.620000004768</v>
      </c>
      <c r="E598" s="169">
        <f>+IF(FINANCIACION[[#This Row],[$ CAPITAL]]&gt;=0,FINANCIACION[[#This Row],[$ CAPITAL]]+FINANCIACION[[#This Row],[$ INTERESES]],"")</f>
        <v>3767000</v>
      </c>
      <c r="F598" s="169">
        <f>+SUMIFS(FINANCIACION[$ CAPITAL],FINANCIACION[Fecha],"&lt;="&amp;FINANCIACION[[#This Row],[Fecha]],FINANCIACION[PRESTAMO],FINANCIACION[[#This Row],[PRESTAMO]])</f>
        <v>-78474969.300000012</v>
      </c>
      <c r="G598" s="8"/>
      <c r="H598" s="8"/>
      <c r="I598" s="5">
        <f>IF(FINANCIACION[[#This Row],[$ CAPITAL]]&gt;0,FINANCIACION[[#This Row],[$ CAPITAL]])</f>
        <v>3748005.3799999952</v>
      </c>
      <c r="J598" s="36">
        <f>IF(FINANCIACION[[#This Row],[$ CAPITAL]]&gt;=0,FINANCIACION[[#This Row],[$ CAPITAL]]+FINANCIACION[[#This Row],[$ INTERESES]],0)</f>
        <v>3767000</v>
      </c>
    </row>
    <row r="599" spans="1:10" ht="24" hidden="1" customHeight="1" x14ac:dyDescent="0.25">
      <c r="A599" s="7">
        <v>44340</v>
      </c>
      <c r="B599" s="53" t="s">
        <v>1223</v>
      </c>
      <c r="C599" s="5">
        <v>1002261.0300000012</v>
      </c>
      <c r="D599" s="5">
        <v>4738.9699999988079</v>
      </c>
      <c r="E599" s="169">
        <f>+IF(FINANCIACION[[#This Row],[$ CAPITAL]]&gt;=0,FINANCIACION[[#This Row],[$ CAPITAL]]+FINANCIACION[[#This Row],[$ INTERESES]],"")</f>
        <v>1007000</v>
      </c>
      <c r="F599" s="169">
        <f>+SUMIFS(FINANCIACION[$ CAPITAL],FINANCIACION[Fecha],"&lt;="&amp;FINANCIACION[[#This Row],[Fecha]],FINANCIACION[PRESTAMO],FINANCIACION[[#This Row],[PRESTAMO]])</f>
        <v>-22007737.169999998</v>
      </c>
      <c r="G599" s="8"/>
      <c r="H599" s="8"/>
      <c r="I599" s="5">
        <f>IF(FINANCIACION[[#This Row],[$ CAPITAL]]&gt;0,FINANCIACION[[#This Row],[$ CAPITAL]])</f>
        <v>1002261.0300000012</v>
      </c>
      <c r="J599" s="9">
        <f>IF(FINANCIACION[[#This Row],[$ CAPITAL]]&gt;=0,FINANCIACION[[#This Row],[$ CAPITAL]]+FINANCIACION[[#This Row],[$ INTERESES]],0)</f>
        <v>1007000</v>
      </c>
    </row>
    <row r="600" spans="1:10" ht="24" hidden="1" customHeight="1" x14ac:dyDescent="0.25">
      <c r="A600" s="7">
        <v>44340</v>
      </c>
      <c r="B600" s="53" t="s">
        <v>1225</v>
      </c>
      <c r="C600" s="5">
        <v>1055849.8999999985</v>
      </c>
      <c r="D600" s="5">
        <v>5150.1000000014901</v>
      </c>
      <c r="E600" s="169">
        <f>+IF(FINANCIACION[[#This Row],[$ CAPITAL]]&gt;=0,FINANCIACION[[#This Row],[$ CAPITAL]]+FINANCIACION[[#This Row],[$ INTERESES]],"")</f>
        <v>1061000</v>
      </c>
      <c r="F600" s="169">
        <f>+SUMIFS(FINANCIACION[$ CAPITAL],FINANCIACION[Fecha],"&lt;="&amp;FINANCIACION[[#This Row],[Fecha]],FINANCIACION[PRESTAMO],FINANCIACION[[#This Row],[PRESTAMO]])</f>
        <v>-24134649</v>
      </c>
      <c r="G600" s="8"/>
      <c r="H600" s="8"/>
      <c r="I600" s="5">
        <f>IF(FINANCIACION[[#This Row],[$ CAPITAL]]&gt;0,FINANCIACION[[#This Row],[$ CAPITAL]])</f>
        <v>1055849.8999999985</v>
      </c>
      <c r="J600" s="9">
        <f>IF(FINANCIACION[[#This Row],[$ CAPITAL]]&gt;=0,FINANCIACION[[#This Row],[$ CAPITAL]]+FINANCIACION[[#This Row],[$ INTERESES]],0)</f>
        <v>1061000</v>
      </c>
    </row>
    <row r="601" spans="1:10" ht="24" hidden="1" customHeight="1" x14ac:dyDescent="0.25">
      <c r="A601" s="7">
        <v>44341</v>
      </c>
      <c r="B601" s="53" t="s">
        <v>1218</v>
      </c>
      <c r="C601" s="5"/>
      <c r="D601" s="5">
        <v>120000</v>
      </c>
      <c r="E601" s="169">
        <f>+IF(FINANCIACION[[#This Row],[$ CAPITAL]]&gt;=0,FINANCIACION[[#This Row],[$ CAPITAL]]+FINANCIACION[[#This Row],[$ INTERESES]],"")</f>
        <v>120000</v>
      </c>
      <c r="F601" s="169">
        <f>+SUMIFS(FINANCIACION[$ CAPITAL],FINANCIACION[Fecha],"&lt;="&amp;FINANCIACION[[#This Row],[Fecha]],FINANCIACION[PRESTAMO],FINANCIACION[[#This Row],[PRESTAMO]])</f>
        <v>-73770460.701400056</v>
      </c>
      <c r="G601" s="8"/>
      <c r="H601" s="8"/>
      <c r="I601" s="5" t="b">
        <f>IF(FINANCIACION[[#This Row],[$ CAPITAL]]&gt;0,FINANCIACION[[#This Row],[$ CAPITAL]])</f>
        <v>0</v>
      </c>
      <c r="J601" s="9">
        <f>IF(FINANCIACION[[#This Row],[$ CAPITAL]]&gt;=0,FINANCIACION[[#This Row],[$ CAPITAL]]+FINANCIACION[[#This Row],[$ INTERESES]],0)</f>
        <v>120000</v>
      </c>
    </row>
    <row r="602" spans="1:10" ht="24" hidden="1" customHeight="1" x14ac:dyDescent="0.25">
      <c r="A602" s="7">
        <v>44341</v>
      </c>
      <c r="B602" s="53" t="s">
        <v>1218</v>
      </c>
      <c r="C602" s="5"/>
      <c r="D602" s="5">
        <v>220000</v>
      </c>
      <c r="E602" s="169">
        <f>+IF(FINANCIACION[[#This Row],[$ CAPITAL]]&gt;=0,FINANCIACION[[#This Row],[$ CAPITAL]]+FINANCIACION[[#This Row],[$ INTERESES]],"")</f>
        <v>220000</v>
      </c>
      <c r="F602" s="169">
        <f>+SUMIFS(FINANCIACION[$ CAPITAL],FINANCIACION[Fecha],"&lt;="&amp;FINANCIACION[[#This Row],[Fecha]],FINANCIACION[PRESTAMO],FINANCIACION[[#This Row],[PRESTAMO]])</f>
        <v>-73770460.701400056</v>
      </c>
      <c r="G602" s="8"/>
      <c r="H602" s="8"/>
      <c r="I602" s="5" t="b">
        <f>IF(FINANCIACION[[#This Row],[$ CAPITAL]]&gt;0,FINANCIACION[[#This Row],[$ CAPITAL]])</f>
        <v>0</v>
      </c>
      <c r="J602" s="9">
        <f>IF(FINANCIACION[[#This Row],[$ CAPITAL]]&gt;=0,FINANCIACION[[#This Row],[$ CAPITAL]]+FINANCIACION[[#This Row],[$ INTERESES]],0)</f>
        <v>220000</v>
      </c>
    </row>
    <row r="603" spans="1:10" ht="24" hidden="1" customHeight="1" x14ac:dyDescent="0.25">
      <c r="A603" s="7">
        <v>44341</v>
      </c>
      <c r="B603" s="53" t="s">
        <v>1218</v>
      </c>
      <c r="C603" s="5">
        <v>458214.73859999992</v>
      </c>
      <c r="D603" s="5">
        <v>741785.26140000008</v>
      </c>
      <c r="E603" s="169">
        <f>+IF(FINANCIACION[[#This Row],[$ CAPITAL]]&gt;=0,FINANCIACION[[#This Row],[$ CAPITAL]]+FINANCIACION[[#This Row],[$ INTERESES]],"")</f>
        <v>1200000</v>
      </c>
      <c r="F603" s="169">
        <f>+SUMIFS(FINANCIACION[$ CAPITAL],FINANCIACION[Fecha],"&lt;="&amp;FINANCIACION[[#This Row],[Fecha]],FINANCIACION[PRESTAMO],FINANCIACION[[#This Row],[PRESTAMO]])</f>
        <v>-73770460.701400056</v>
      </c>
      <c r="G603" s="8"/>
      <c r="H603" s="8"/>
      <c r="I603" s="5">
        <f>IF(FINANCIACION[[#This Row],[$ CAPITAL]]&gt;0,FINANCIACION[[#This Row],[$ CAPITAL]])</f>
        <v>458214.73859999992</v>
      </c>
      <c r="J603" s="9">
        <f>IF(FINANCIACION[[#This Row],[$ CAPITAL]]&gt;=0,FINANCIACION[[#This Row],[$ CAPITAL]]+FINANCIACION[[#This Row],[$ INTERESES]],0)</f>
        <v>1200000</v>
      </c>
    </row>
    <row r="604" spans="1:10" ht="24" hidden="1" customHeight="1" x14ac:dyDescent="0.25">
      <c r="A604" s="7">
        <v>44343</v>
      </c>
      <c r="B604" s="53" t="s">
        <v>1218</v>
      </c>
      <c r="C604" s="5">
        <v>1000000</v>
      </c>
      <c r="D604" s="5"/>
      <c r="E604" s="169">
        <f>+IF(FINANCIACION[[#This Row],[$ CAPITAL]]&gt;=0,FINANCIACION[[#This Row],[$ CAPITAL]]+FINANCIACION[[#This Row],[$ INTERESES]],"")</f>
        <v>1000000</v>
      </c>
      <c r="F604" s="169">
        <f>+SUMIFS(FINANCIACION[$ CAPITAL],FINANCIACION[Fecha],"&lt;="&amp;FINANCIACION[[#This Row],[Fecha]],FINANCIACION[PRESTAMO],FINANCIACION[[#This Row],[PRESTAMO]])</f>
        <v>-72770460.701400056</v>
      </c>
      <c r="G604" s="8"/>
      <c r="H604" s="8"/>
      <c r="I604" s="5">
        <f>IF(FINANCIACION[[#This Row],[$ CAPITAL]]&gt;0,FINANCIACION[[#This Row],[$ CAPITAL]])</f>
        <v>1000000</v>
      </c>
      <c r="J604" s="9">
        <f>IF(FINANCIACION[[#This Row],[$ CAPITAL]]&gt;=0,FINANCIACION[[#This Row],[$ CAPITAL]]+FINANCIACION[[#This Row],[$ INTERESES]],0)</f>
        <v>1000000</v>
      </c>
    </row>
    <row r="605" spans="1:10" ht="24" hidden="1" customHeight="1" x14ac:dyDescent="0.25">
      <c r="A605" s="7">
        <v>44344</v>
      </c>
      <c r="B605" s="53" t="s">
        <v>1219</v>
      </c>
      <c r="C605" s="5">
        <v>706192</v>
      </c>
      <c r="D605" s="5">
        <v>593808</v>
      </c>
      <c r="E605" s="169">
        <f>+IF(FINANCIACION[[#This Row],[$ CAPITAL]]&gt;=0,FINANCIACION[[#This Row],[$ CAPITAL]]+FINANCIACION[[#This Row],[$ INTERESES]],"")</f>
        <v>1300000</v>
      </c>
      <c r="F605" s="169">
        <f>+SUMIFS(FINANCIACION[$ CAPITAL],FINANCIACION[Fecha],"&lt;="&amp;FINANCIACION[[#This Row],[Fecha]],FINANCIACION[PRESTAMO],FINANCIACION[[#This Row],[PRESTAMO]])</f>
        <v>-58674608</v>
      </c>
      <c r="G605" s="8"/>
      <c r="H605" s="8"/>
      <c r="I605" s="5">
        <f>IF(FINANCIACION[[#This Row],[$ CAPITAL]]&gt;0,FINANCIACION[[#This Row],[$ CAPITAL]])</f>
        <v>706192</v>
      </c>
      <c r="J605" s="9">
        <f>IF(FINANCIACION[[#This Row],[$ CAPITAL]]&gt;=0,FINANCIACION[[#This Row],[$ CAPITAL]]+FINANCIACION[[#This Row],[$ INTERESES]],0)</f>
        <v>1300000</v>
      </c>
    </row>
    <row r="606" spans="1:10" ht="24" hidden="1" customHeight="1" x14ac:dyDescent="0.25">
      <c r="A606" s="7">
        <v>44344</v>
      </c>
      <c r="B606" s="53" t="s">
        <v>1218</v>
      </c>
      <c r="C606" s="5">
        <v>1100000</v>
      </c>
      <c r="D606" s="5">
        <v>200000</v>
      </c>
      <c r="E606" s="169">
        <f>+IF(FINANCIACION[[#This Row],[$ CAPITAL]]&gt;=0,FINANCIACION[[#This Row],[$ CAPITAL]]+FINANCIACION[[#This Row],[$ INTERESES]],"")</f>
        <v>1300000</v>
      </c>
      <c r="F606" s="169">
        <f>+SUMIFS(FINANCIACION[$ CAPITAL],FINANCIACION[Fecha],"&lt;="&amp;FINANCIACION[[#This Row],[Fecha]],FINANCIACION[PRESTAMO],FINANCIACION[[#This Row],[PRESTAMO]])</f>
        <v>-71670460.701400056</v>
      </c>
      <c r="G606" s="8"/>
      <c r="H606" s="56"/>
      <c r="I606" s="5">
        <f>IF(FINANCIACION[[#This Row],[$ CAPITAL]]&gt;0,FINANCIACION[[#This Row],[$ CAPITAL]])</f>
        <v>1100000</v>
      </c>
      <c r="J606" s="9">
        <f>IF(FINANCIACION[[#This Row],[$ CAPITAL]]&gt;=0,FINANCIACION[[#This Row],[$ CAPITAL]]+FINANCIACION[[#This Row],[$ INTERESES]],0)</f>
        <v>1300000</v>
      </c>
    </row>
    <row r="607" spans="1:10" ht="24" hidden="1" customHeight="1" x14ac:dyDescent="0.25">
      <c r="A607" s="7">
        <v>44346</v>
      </c>
      <c r="B607" s="53" t="s">
        <v>197</v>
      </c>
      <c r="C607" s="5">
        <v>6309583.1000000015</v>
      </c>
      <c r="D607" s="5"/>
      <c r="E607" s="169">
        <f>+IF(FINANCIACION[[#This Row],[$ CAPITAL]]&gt;=0,FINANCIACION[[#This Row],[$ CAPITAL]]+FINANCIACION[[#This Row],[$ INTERESES]],"")</f>
        <v>6309583.1000000015</v>
      </c>
      <c r="F607" s="169">
        <f>+SUMIFS(FINANCIACION[$ CAPITAL],FINANCIACION[Fecha],"&lt;="&amp;FINANCIACION[[#This Row],[Fecha]],FINANCIACION[PRESTAMO],FINANCIACION[[#This Row],[PRESTAMO]])</f>
        <v>-54039126</v>
      </c>
      <c r="G607" s="8" t="s">
        <v>231</v>
      </c>
      <c r="H607" s="56"/>
      <c r="I607" s="5">
        <f>IF(FINANCIACION[[#This Row],[$ CAPITAL]]&gt;0,FINANCIACION[[#This Row],[$ CAPITAL]])</f>
        <v>6309583.1000000015</v>
      </c>
      <c r="J607" s="9">
        <f>IF(FINANCIACION[[#This Row],[$ CAPITAL]]&gt;=0,FINANCIACION[[#This Row],[$ CAPITAL]]+FINANCIACION[[#This Row],[$ INTERESES]],0)</f>
        <v>6309583.1000000015</v>
      </c>
    </row>
    <row r="608" spans="1:10" ht="24" hidden="1" customHeight="1" x14ac:dyDescent="0.25">
      <c r="A608" s="7">
        <v>44346</v>
      </c>
      <c r="B608" s="53" t="s">
        <v>1217</v>
      </c>
      <c r="C608" s="5">
        <v>-7131410</v>
      </c>
      <c r="D608" s="5"/>
      <c r="E608" s="169" t="str">
        <f>+IF(FINANCIACION[[#This Row],[$ CAPITAL]]&gt;=0,FINANCIACION[[#This Row],[$ CAPITAL]]+FINANCIACION[[#This Row],[$ INTERESES]],"")</f>
        <v/>
      </c>
      <c r="F608" s="169">
        <f>+SUMIFS(FINANCIACION[$ CAPITAL],FINANCIACION[Fecha],"&lt;="&amp;FINANCIACION[[#This Row],[Fecha]],FINANCIACION[PRESTAMO],FINANCIACION[[#This Row],[PRESTAMO]])</f>
        <v>-356058032</v>
      </c>
      <c r="G608" s="8" t="s">
        <v>231</v>
      </c>
      <c r="H608" s="56"/>
      <c r="I608" s="5" t="b">
        <f>IF(FINANCIACION[[#This Row],[$ CAPITAL]]&gt;0,FINANCIACION[[#This Row],[$ CAPITAL]])</f>
        <v>0</v>
      </c>
      <c r="J608" s="9">
        <f>IF(FINANCIACION[[#This Row],[$ CAPITAL]]&gt;=0,FINANCIACION[[#This Row],[$ CAPITAL]]+FINANCIACION[[#This Row],[$ INTERESES]],0)</f>
        <v>0</v>
      </c>
    </row>
    <row r="609" spans="1:10" ht="24" hidden="1" customHeight="1" x14ac:dyDescent="0.25">
      <c r="A609" s="7">
        <v>44346</v>
      </c>
      <c r="B609" s="53" t="s">
        <v>1218</v>
      </c>
      <c r="C609" s="5">
        <v>-2409465</v>
      </c>
      <c r="D609" s="5"/>
      <c r="E609" s="169" t="str">
        <f>+IF(FINANCIACION[[#This Row],[$ CAPITAL]]&gt;=0,FINANCIACION[[#This Row],[$ CAPITAL]]+FINANCIACION[[#This Row],[$ INTERESES]],"")</f>
        <v/>
      </c>
      <c r="F609" s="169">
        <f>+SUMIFS(FINANCIACION[$ CAPITAL],FINANCIACION[Fecha],"&lt;="&amp;FINANCIACION[[#This Row],[Fecha]],FINANCIACION[PRESTAMO],FINANCIACION[[#This Row],[PRESTAMO]])</f>
        <v>-51434041.962125674</v>
      </c>
      <c r="G609" s="8"/>
      <c r="H609" s="56"/>
      <c r="I609" s="5" t="b">
        <f>IF(FINANCIACION[[#This Row],[$ CAPITAL]]&gt;0,FINANCIACION[[#This Row],[$ CAPITAL]])</f>
        <v>0</v>
      </c>
      <c r="J609" s="9">
        <f>IF(FINANCIACION[[#This Row],[$ CAPITAL]]&gt;=0,FINANCIACION[[#This Row],[$ CAPITAL]]+FINANCIACION[[#This Row],[$ INTERESES]],0)</f>
        <v>0</v>
      </c>
    </row>
    <row r="610" spans="1:10" ht="24" hidden="1" customHeight="1" x14ac:dyDescent="0.25">
      <c r="A610" s="7">
        <v>44346</v>
      </c>
      <c r="B610" s="53" t="s">
        <v>1218</v>
      </c>
      <c r="C610" s="5">
        <v>-21292270</v>
      </c>
      <c r="D610" s="5"/>
      <c r="E610" s="169" t="str">
        <f>+IF(FINANCIACION[[#This Row],[$ CAPITAL]]&gt;=0,FINANCIACION[[#This Row],[$ CAPITAL]]+FINANCIACION[[#This Row],[$ INTERESES]],"")</f>
        <v/>
      </c>
      <c r="F610" s="169">
        <f>+SUMIFS(FINANCIACION[$ CAPITAL],FINANCIACION[Fecha],"&lt;="&amp;FINANCIACION[[#This Row],[Fecha]],FINANCIACION[PRESTAMO],FINANCIACION[[#This Row],[PRESTAMO]])</f>
        <v>-51434041.962125674</v>
      </c>
      <c r="G610" s="8"/>
      <c r="H610" s="56"/>
      <c r="I610" s="5" t="b">
        <f>IF(FINANCIACION[[#This Row],[$ CAPITAL]]&gt;0,FINANCIACION[[#This Row],[$ CAPITAL]])</f>
        <v>0</v>
      </c>
      <c r="J610" s="9">
        <f>IF(FINANCIACION[[#This Row],[$ CAPITAL]]&gt;=0,FINANCIACION[[#This Row],[$ CAPITAL]]+FINANCIACION[[#This Row],[$ INTERESES]],0)</f>
        <v>0</v>
      </c>
    </row>
    <row r="611" spans="1:10" ht="24" hidden="1" customHeight="1" x14ac:dyDescent="0.25">
      <c r="A611" s="7">
        <v>44346</v>
      </c>
      <c r="B611" s="53" t="s">
        <v>1218</v>
      </c>
      <c r="C611" s="5">
        <v>-5989831</v>
      </c>
      <c r="D611" s="5"/>
      <c r="E611" s="169" t="str">
        <f>+IF(FINANCIACION[[#This Row],[$ CAPITAL]]&gt;=0,FINANCIACION[[#This Row],[$ CAPITAL]]+FINANCIACION[[#This Row],[$ INTERESES]],"")</f>
        <v/>
      </c>
      <c r="F611" s="169">
        <f>+SUMIFS(FINANCIACION[$ CAPITAL],FINANCIACION[Fecha],"&lt;="&amp;FINANCIACION[[#This Row],[Fecha]],FINANCIACION[PRESTAMO],FINANCIACION[[#This Row],[PRESTAMO]])</f>
        <v>-51434041.962125674</v>
      </c>
      <c r="G611" s="8"/>
      <c r="H611" s="56"/>
      <c r="I611" s="5" t="b">
        <f>IF(FINANCIACION[[#This Row],[$ CAPITAL]]&gt;0,FINANCIACION[[#This Row],[$ CAPITAL]])</f>
        <v>0</v>
      </c>
      <c r="J611" s="9">
        <f>IF(FINANCIACION[[#This Row],[$ CAPITAL]]&gt;=0,FINANCIACION[[#This Row],[$ CAPITAL]]+FINANCIACION[[#This Row],[$ INTERESES]],0)</f>
        <v>0</v>
      </c>
    </row>
    <row r="612" spans="1:10" ht="24" hidden="1" customHeight="1" x14ac:dyDescent="0.25">
      <c r="A612" s="7">
        <v>44346</v>
      </c>
      <c r="B612" s="53" t="s">
        <v>1218</v>
      </c>
      <c r="C612" s="5">
        <v>1130115</v>
      </c>
      <c r="D612" s="5"/>
      <c r="E612" s="169">
        <f>+IF(FINANCIACION[[#This Row],[$ CAPITAL]]&gt;=0,FINANCIACION[[#This Row],[$ CAPITAL]]+FINANCIACION[[#This Row],[$ INTERESES]],"")</f>
        <v>1130115</v>
      </c>
      <c r="F612" s="169">
        <f>+SUMIFS(FINANCIACION[$ CAPITAL],FINANCIACION[Fecha],"&lt;="&amp;FINANCIACION[[#This Row],[Fecha]],FINANCIACION[PRESTAMO],FINANCIACION[[#This Row],[PRESTAMO]])</f>
        <v>-51434041.962125674</v>
      </c>
      <c r="G612" s="8"/>
      <c r="H612" s="56"/>
      <c r="I612" s="5">
        <f>IF(FINANCIACION[[#This Row],[$ CAPITAL]]&gt;0,FINANCIACION[[#This Row],[$ CAPITAL]])</f>
        <v>1130115</v>
      </c>
      <c r="J612" s="9">
        <f>IF(FINANCIACION[[#This Row],[$ CAPITAL]]&gt;=0,FINANCIACION[[#This Row],[$ CAPITAL]]+FINANCIACION[[#This Row],[$ INTERESES]],0)</f>
        <v>1130115</v>
      </c>
    </row>
    <row r="613" spans="1:10" ht="24" hidden="1" customHeight="1" x14ac:dyDescent="0.25">
      <c r="A613" s="7">
        <v>44346</v>
      </c>
      <c r="B613" s="53" t="s">
        <v>1218</v>
      </c>
      <c r="C613" s="5">
        <v>2575168</v>
      </c>
      <c r="D613" s="5"/>
      <c r="E613" s="169">
        <f>+IF(FINANCIACION[[#This Row],[$ CAPITAL]]&gt;=0,FINANCIACION[[#This Row],[$ CAPITAL]]+FINANCIACION[[#This Row],[$ INTERESES]],"")</f>
        <v>2575168</v>
      </c>
      <c r="F613" s="169">
        <f>+SUMIFS(FINANCIACION[$ CAPITAL],FINANCIACION[Fecha],"&lt;="&amp;FINANCIACION[[#This Row],[Fecha]],FINANCIACION[PRESTAMO],FINANCIACION[[#This Row],[PRESTAMO]])</f>
        <v>-51434041.962125674</v>
      </c>
      <c r="G613" s="8"/>
      <c r="H613" s="56"/>
      <c r="I613" s="5">
        <f>IF(FINANCIACION[[#This Row],[$ CAPITAL]]&gt;0,FINANCIACION[[#This Row],[$ CAPITAL]])</f>
        <v>2575168</v>
      </c>
      <c r="J613" s="9">
        <f>IF(FINANCIACION[[#This Row],[$ CAPITAL]]&gt;=0,FINANCIACION[[#This Row],[$ CAPITAL]]+FINANCIACION[[#This Row],[$ INTERESES]],0)</f>
        <v>2575168</v>
      </c>
    </row>
    <row r="614" spans="1:10" ht="24" hidden="1" customHeight="1" x14ac:dyDescent="0.25">
      <c r="A614" s="7">
        <v>44346</v>
      </c>
      <c r="B614" s="53" t="s">
        <v>1218</v>
      </c>
      <c r="C614" s="5">
        <v>1498393</v>
      </c>
      <c r="D614" s="5"/>
      <c r="E614" s="169">
        <f>+IF(FINANCIACION[[#This Row],[$ CAPITAL]]&gt;=0,FINANCIACION[[#This Row],[$ CAPITAL]]+FINANCIACION[[#This Row],[$ INTERESES]],"")</f>
        <v>1498393</v>
      </c>
      <c r="F614" s="169">
        <f>+SUMIFS(FINANCIACION[$ CAPITAL],FINANCIACION[Fecha],"&lt;="&amp;FINANCIACION[[#This Row],[Fecha]],FINANCIACION[PRESTAMO],FINANCIACION[[#This Row],[PRESTAMO]])</f>
        <v>-51434041.962125674</v>
      </c>
      <c r="G614" s="8"/>
      <c r="H614" s="56"/>
      <c r="I614" s="5">
        <f>IF(FINANCIACION[[#This Row],[$ CAPITAL]]&gt;0,FINANCIACION[[#This Row],[$ CAPITAL]])</f>
        <v>1498393</v>
      </c>
      <c r="J614" s="9">
        <f>IF(FINANCIACION[[#This Row],[$ CAPITAL]]&gt;=0,FINANCIACION[[#This Row],[$ CAPITAL]]+FINANCIACION[[#This Row],[$ INTERESES]],0)</f>
        <v>1498393</v>
      </c>
    </row>
    <row r="615" spans="1:10" ht="24" hidden="1" customHeight="1" x14ac:dyDescent="0.25">
      <c r="A615" s="7">
        <v>44346</v>
      </c>
      <c r="B615" s="53" t="s">
        <v>1218</v>
      </c>
      <c r="C615" s="5">
        <v>44724308.739274383</v>
      </c>
      <c r="D615" s="5"/>
      <c r="E615" s="169">
        <f>+IF(FINANCIACION[[#This Row],[$ CAPITAL]]&gt;=0,FINANCIACION[[#This Row],[$ CAPITAL]]+FINANCIACION[[#This Row],[$ INTERESES]],"")</f>
        <v>44724308.739274383</v>
      </c>
      <c r="F615" s="169">
        <f>+SUMIFS(FINANCIACION[$ CAPITAL],FINANCIACION[Fecha],"&lt;="&amp;FINANCIACION[[#This Row],[Fecha]],FINANCIACION[PRESTAMO],FINANCIACION[[#This Row],[PRESTAMO]])</f>
        <v>-51434041.962125674</v>
      </c>
      <c r="G615" s="8" t="s">
        <v>231</v>
      </c>
      <c r="H615" s="56"/>
      <c r="I615" s="5">
        <f>IF(FINANCIACION[[#This Row],[$ CAPITAL]]&gt;0,FINANCIACION[[#This Row],[$ CAPITAL]])</f>
        <v>44724308.739274383</v>
      </c>
      <c r="J615" s="9">
        <f>IF(FINANCIACION[[#This Row],[$ CAPITAL]]&gt;=0,FINANCIACION[[#This Row],[$ CAPITAL]]+FINANCIACION[[#This Row],[$ INTERESES]],0)</f>
        <v>44724308.739274383</v>
      </c>
    </row>
    <row r="616" spans="1:10" ht="24" hidden="1" customHeight="1" x14ac:dyDescent="0.25">
      <c r="A616" s="7">
        <v>44346</v>
      </c>
      <c r="B616" s="53" t="s">
        <v>1229</v>
      </c>
      <c r="C616" s="5">
        <v>-26031901.309999999</v>
      </c>
      <c r="D616" s="5"/>
      <c r="E616" s="169" t="str">
        <f>+IF(FINANCIACION[[#This Row],[$ CAPITAL]]&gt;=0,FINANCIACION[[#This Row],[$ CAPITAL]]+FINANCIACION[[#This Row],[$ INTERESES]],"")</f>
        <v/>
      </c>
      <c r="F616" s="169">
        <f>+SUMIFS(FINANCIACION[$ CAPITAL],FINANCIACION[Fecha],"&lt;="&amp;FINANCIACION[[#This Row],[Fecha]],FINANCIACION[PRESTAMO],FINANCIACION[[#This Row],[PRESTAMO]])</f>
        <v>-26031901.309999999</v>
      </c>
      <c r="G616" s="8" t="s">
        <v>231</v>
      </c>
      <c r="H616" s="56"/>
      <c r="I616" s="5" t="b">
        <f>IF(FINANCIACION[[#This Row],[$ CAPITAL]]&gt;0,FINANCIACION[[#This Row],[$ CAPITAL]])</f>
        <v>0</v>
      </c>
      <c r="J616" s="9">
        <f>IF(FINANCIACION[[#This Row],[$ CAPITAL]]&gt;=0,FINANCIACION[[#This Row],[$ CAPITAL]]+FINANCIACION[[#This Row],[$ INTERESES]],0)</f>
        <v>0</v>
      </c>
    </row>
    <row r="617" spans="1:10" ht="24" hidden="1" customHeight="1" x14ac:dyDescent="0.25">
      <c r="A617" s="7">
        <v>44346</v>
      </c>
      <c r="B617" s="53" t="s">
        <v>1221</v>
      </c>
      <c r="C617" s="5">
        <v>-675338.46000000834</v>
      </c>
      <c r="D617" s="5"/>
      <c r="E617" s="169" t="str">
        <f>+IF(FINANCIACION[[#This Row],[$ CAPITAL]]&gt;=0,FINANCIACION[[#This Row],[$ CAPITAL]]+FINANCIACION[[#This Row],[$ INTERESES]],"")</f>
        <v/>
      </c>
      <c r="F617" s="169">
        <f>+SUMIFS(FINANCIACION[$ CAPITAL],FINANCIACION[Fecha],"&lt;="&amp;FINANCIACION[[#This Row],[Fecha]],FINANCIACION[PRESTAMO],FINANCIACION[[#This Row],[PRESTAMO]])</f>
        <v>-54818487.120000005</v>
      </c>
      <c r="G617" s="8" t="s">
        <v>231</v>
      </c>
      <c r="H617" s="56"/>
      <c r="I617" s="5" t="b">
        <f>IF(FINANCIACION[[#This Row],[$ CAPITAL]]&gt;0,FINANCIACION[[#This Row],[$ CAPITAL]])</f>
        <v>0</v>
      </c>
      <c r="J617" s="9">
        <f>IF(FINANCIACION[[#This Row],[$ CAPITAL]]&gt;=0,FINANCIACION[[#This Row],[$ CAPITAL]]+FINANCIACION[[#This Row],[$ INTERESES]],0)</f>
        <v>0</v>
      </c>
    </row>
    <row r="618" spans="1:10" ht="24" hidden="1" customHeight="1" x14ac:dyDescent="0.25">
      <c r="A618" s="7">
        <v>44346</v>
      </c>
      <c r="B618" s="53" t="s">
        <v>1222</v>
      </c>
      <c r="C618" s="5">
        <v>-1092235.3799999803</v>
      </c>
      <c r="D618" s="5"/>
      <c r="E618" s="169" t="str">
        <f>+IF(FINANCIACION[[#This Row],[$ CAPITAL]]&gt;=0,FINANCIACION[[#This Row],[$ CAPITAL]]+FINANCIACION[[#This Row],[$ INTERESES]],"")</f>
        <v/>
      </c>
      <c r="F618" s="169">
        <f>+SUMIFS(FINANCIACION[$ CAPITAL],FINANCIACION[Fecha],"&lt;="&amp;FINANCIACION[[#This Row],[Fecha]],FINANCIACION[PRESTAMO],FINANCIACION[[#This Row],[PRESTAMO]])</f>
        <v>-79567204.679999992</v>
      </c>
      <c r="G618" s="8" t="s">
        <v>231</v>
      </c>
      <c r="H618" s="56"/>
      <c r="I618" s="5" t="b">
        <f>IF(FINANCIACION[[#This Row],[$ CAPITAL]]&gt;0,FINANCIACION[[#This Row],[$ CAPITAL]])</f>
        <v>0</v>
      </c>
      <c r="J618" s="9">
        <f>IF(FINANCIACION[[#This Row],[$ CAPITAL]]&gt;=0,FINANCIACION[[#This Row],[$ CAPITAL]]+FINANCIACION[[#This Row],[$ INTERESES]],0)</f>
        <v>0</v>
      </c>
    </row>
    <row r="619" spans="1:10" ht="24" hidden="1" customHeight="1" x14ac:dyDescent="0.25">
      <c r="A619" s="7">
        <v>44346</v>
      </c>
      <c r="B619" s="53" t="s">
        <v>1223</v>
      </c>
      <c r="C619" s="5">
        <v>-274364.74000000209</v>
      </c>
      <c r="D619" s="5"/>
      <c r="E619" s="169" t="str">
        <f>+IF(FINANCIACION[[#This Row],[$ CAPITAL]]&gt;=0,FINANCIACION[[#This Row],[$ CAPITAL]]+FINANCIACION[[#This Row],[$ INTERESES]],"")</f>
        <v/>
      </c>
      <c r="F619" s="169">
        <f>+SUMIFS(FINANCIACION[$ CAPITAL],FINANCIACION[Fecha],"&lt;="&amp;FINANCIACION[[#This Row],[Fecha]],FINANCIACION[PRESTAMO],FINANCIACION[[#This Row],[PRESTAMO]])</f>
        <v>-22282101.91</v>
      </c>
      <c r="G619" s="8" t="s">
        <v>231</v>
      </c>
      <c r="H619" s="56"/>
      <c r="I619" s="5" t="b">
        <f>IF(FINANCIACION[[#This Row],[$ CAPITAL]]&gt;0,FINANCIACION[[#This Row],[$ CAPITAL]])</f>
        <v>0</v>
      </c>
      <c r="J619" s="9">
        <f>IF(FINANCIACION[[#This Row],[$ CAPITAL]]&gt;=0,FINANCIACION[[#This Row],[$ CAPITAL]]+FINANCIACION[[#This Row],[$ INTERESES]],0)</f>
        <v>0</v>
      </c>
    </row>
    <row r="620" spans="1:10" ht="24" hidden="1" customHeight="1" x14ac:dyDescent="0.25">
      <c r="A620" s="7">
        <v>44346</v>
      </c>
      <c r="B620" s="53" t="s">
        <v>1225</v>
      </c>
      <c r="C620" s="5">
        <v>-137423.60000000149</v>
      </c>
      <c r="D620" s="5"/>
      <c r="E620" s="169" t="str">
        <f>+IF(FINANCIACION[[#This Row],[$ CAPITAL]]&gt;=0,FINANCIACION[[#This Row],[$ CAPITAL]]+FINANCIACION[[#This Row],[$ INTERESES]],"")</f>
        <v/>
      </c>
      <c r="F620" s="169">
        <f>+SUMIFS(FINANCIACION[$ CAPITAL],FINANCIACION[Fecha],"&lt;="&amp;FINANCIACION[[#This Row],[Fecha]],FINANCIACION[PRESTAMO],FINANCIACION[[#This Row],[PRESTAMO]])</f>
        <v>-24272072.600000001</v>
      </c>
      <c r="G620" s="8" t="s">
        <v>231</v>
      </c>
      <c r="H620" s="56"/>
      <c r="I620" s="5" t="b">
        <f>IF(FINANCIACION[[#This Row],[$ CAPITAL]]&gt;0,FINANCIACION[[#This Row],[$ CAPITAL]])</f>
        <v>0</v>
      </c>
      <c r="J620" s="9">
        <f>IF(FINANCIACION[[#This Row],[$ CAPITAL]]&gt;=0,FINANCIACION[[#This Row],[$ CAPITAL]]+FINANCIACION[[#This Row],[$ INTERESES]],0)</f>
        <v>0</v>
      </c>
    </row>
    <row r="621" spans="1:10" ht="24" hidden="1" customHeight="1" x14ac:dyDescent="0.25">
      <c r="A621" s="7">
        <v>44346</v>
      </c>
      <c r="B621" s="53" t="s">
        <v>202</v>
      </c>
      <c r="C621" s="5">
        <v>936000</v>
      </c>
      <c r="D621" s="5"/>
      <c r="E621" s="169">
        <f>+IF(FINANCIACION[[#This Row],[$ CAPITAL]]&gt;=0,FINANCIACION[[#This Row],[$ CAPITAL]]+FINANCIACION[[#This Row],[$ INTERESES]],"")</f>
        <v>936000</v>
      </c>
      <c r="F621" s="169">
        <f>+SUMIFS(FINANCIACION[$ CAPITAL],FINANCIACION[Fecha],"&lt;="&amp;FINANCIACION[[#This Row],[Fecha]],FINANCIACION[PRESTAMO],FINANCIACION[[#This Row],[PRESTAMO]])</f>
        <v>-33366600</v>
      </c>
      <c r="G621" s="8"/>
      <c r="H621" s="56"/>
      <c r="I621" s="5">
        <f>IF(FINANCIACION[[#This Row],[$ CAPITAL]]&gt;0,FINANCIACION[[#This Row],[$ CAPITAL]])</f>
        <v>936000</v>
      </c>
      <c r="J621" s="9">
        <f>IF(FINANCIACION[[#This Row],[$ CAPITAL]]&gt;=0,FINANCIACION[[#This Row],[$ CAPITAL]]+FINANCIACION[[#This Row],[$ INTERESES]],0)</f>
        <v>936000</v>
      </c>
    </row>
    <row r="622" spans="1:10" ht="24" hidden="1" customHeight="1" x14ac:dyDescent="0.25">
      <c r="A622" s="7">
        <v>44347</v>
      </c>
      <c r="B622" s="53" t="s">
        <v>193</v>
      </c>
      <c r="C622" s="5">
        <v>1468400</v>
      </c>
      <c r="D622" s="5">
        <v>477575</v>
      </c>
      <c r="E622" s="169">
        <f>+IF(FINANCIACION[[#This Row],[$ CAPITAL]]&gt;=0,FINANCIACION[[#This Row],[$ CAPITAL]]+FINANCIACION[[#This Row],[$ INTERESES]],"")</f>
        <v>1945975</v>
      </c>
      <c r="F622" s="169">
        <f>+SUMIFS(FINANCIACION[$ CAPITAL],FINANCIACION[Fecha],"&lt;="&amp;FINANCIACION[[#This Row],[Fecha]],FINANCIACION[PRESTAMO],FINANCIACION[[#This Row],[PRESTAMO]])</f>
        <v>-49925600</v>
      </c>
      <c r="G622" s="8"/>
      <c r="H622" s="56"/>
      <c r="I622" s="5">
        <f>IF(FINANCIACION[[#This Row],[$ CAPITAL]]&gt;0,FINANCIACION[[#This Row],[$ CAPITAL]])</f>
        <v>1468400</v>
      </c>
      <c r="J622" s="9">
        <f>IF(FINANCIACION[[#This Row],[$ CAPITAL]]&gt;=0,FINANCIACION[[#This Row],[$ CAPITAL]]+FINANCIACION[[#This Row],[$ INTERESES]],0)</f>
        <v>1945975</v>
      </c>
    </row>
    <row r="623" spans="1:10" ht="24" hidden="1" customHeight="1" x14ac:dyDescent="0.25">
      <c r="A623" s="7">
        <v>44347</v>
      </c>
      <c r="B623" s="53" t="s">
        <v>194</v>
      </c>
      <c r="C623" s="5">
        <v>76791</v>
      </c>
      <c r="D623" s="5"/>
      <c r="E623" s="169">
        <f>+IF(FINANCIACION[[#This Row],[$ CAPITAL]]&gt;=0,FINANCIACION[[#This Row],[$ CAPITAL]]+FINANCIACION[[#This Row],[$ INTERESES]],"")</f>
        <v>76791</v>
      </c>
      <c r="F623" s="169">
        <f>+SUMIFS(FINANCIACION[$ CAPITAL],FINANCIACION[Fecha],"&lt;="&amp;FINANCIACION[[#This Row],[Fecha]],FINANCIACION[PRESTAMO],FINANCIACION[[#This Row],[PRESTAMO]])</f>
        <v>-2610894</v>
      </c>
      <c r="G623" s="8"/>
      <c r="H623" s="56"/>
      <c r="I623" s="5">
        <f>IF(FINANCIACION[[#This Row],[$ CAPITAL]]&gt;0,FINANCIACION[[#This Row],[$ CAPITAL]])</f>
        <v>76791</v>
      </c>
      <c r="J623" s="9">
        <f>IF(FINANCIACION[[#This Row],[$ CAPITAL]]&gt;=0,FINANCIACION[[#This Row],[$ CAPITAL]]+FINANCIACION[[#This Row],[$ INTERESES]],0)</f>
        <v>76791</v>
      </c>
    </row>
    <row r="624" spans="1:10" ht="24" hidden="1" customHeight="1" x14ac:dyDescent="0.25">
      <c r="A624" s="7">
        <v>44347</v>
      </c>
      <c r="B624" s="53" t="s">
        <v>1218</v>
      </c>
      <c r="C624" s="5">
        <v>1468400</v>
      </c>
      <c r="D624" s="5">
        <v>477575</v>
      </c>
      <c r="E624" s="169">
        <f>+IF(FINANCIACION[[#This Row],[$ CAPITAL]]&gt;=0,FINANCIACION[[#This Row],[$ CAPITAL]]+FINANCIACION[[#This Row],[$ INTERESES]],"")</f>
        <v>1945975</v>
      </c>
      <c r="F624" s="169">
        <f>+SUMIFS(FINANCIACION[$ CAPITAL],FINANCIACION[Fecha],"&lt;="&amp;FINANCIACION[[#This Row],[Fecha]],FINANCIACION[PRESTAMO],FINANCIACION[[#This Row],[PRESTAMO]])</f>
        <v>-43888850.962125674</v>
      </c>
      <c r="G624" s="8"/>
      <c r="H624" s="56"/>
      <c r="I624" s="5">
        <f>IF(FINANCIACION[[#This Row],[$ CAPITAL]]&gt;0,FINANCIACION[[#This Row],[$ CAPITAL]])</f>
        <v>1468400</v>
      </c>
      <c r="J624" s="9">
        <f>IF(FINANCIACION[[#This Row],[$ CAPITAL]]&gt;=0,FINANCIACION[[#This Row],[$ CAPITAL]]+FINANCIACION[[#This Row],[$ INTERESES]],0)</f>
        <v>1945975</v>
      </c>
    </row>
    <row r="625" spans="1:10" ht="24" hidden="1" customHeight="1" x14ac:dyDescent="0.25">
      <c r="A625" s="7">
        <v>44347</v>
      </c>
      <c r="B625" s="53" t="s">
        <v>1218</v>
      </c>
      <c r="C625" s="5">
        <v>76791</v>
      </c>
      <c r="D625" s="5"/>
      <c r="E625" s="169">
        <f>+IF(FINANCIACION[[#This Row],[$ CAPITAL]]&gt;=0,FINANCIACION[[#This Row],[$ CAPITAL]]+FINANCIACION[[#This Row],[$ INTERESES]],"")</f>
        <v>76791</v>
      </c>
      <c r="F625" s="169">
        <f>+SUMIFS(FINANCIACION[$ CAPITAL],FINANCIACION[Fecha],"&lt;="&amp;FINANCIACION[[#This Row],[Fecha]],FINANCIACION[PRESTAMO],FINANCIACION[[#This Row],[PRESTAMO]])</f>
        <v>-43888850.962125674</v>
      </c>
      <c r="G625" s="8"/>
      <c r="H625" s="56"/>
      <c r="I625" s="5">
        <f>IF(FINANCIACION[[#This Row],[$ CAPITAL]]&gt;0,FINANCIACION[[#This Row],[$ CAPITAL]])</f>
        <v>76791</v>
      </c>
      <c r="J625" s="9">
        <f>IF(FINANCIACION[[#This Row],[$ CAPITAL]]&gt;=0,FINANCIACION[[#This Row],[$ CAPITAL]]+FINANCIACION[[#This Row],[$ INTERESES]],0)</f>
        <v>76791</v>
      </c>
    </row>
    <row r="626" spans="1:10" ht="24" hidden="1" customHeight="1" x14ac:dyDescent="0.25">
      <c r="A626" s="7">
        <v>44347</v>
      </c>
      <c r="B626" s="53" t="s">
        <v>1218</v>
      </c>
      <c r="C626" s="5"/>
      <c r="D626" s="5">
        <v>919622</v>
      </c>
      <c r="E626" s="169">
        <f>+IF(FINANCIACION[[#This Row],[$ CAPITAL]]&gt;=0,FINANCIACION[[#This Row],[$ CAPITAL]]+FINANCIACION[[#This Row],[$ INTERESES]],"")</f>
        <v>919622</v>
      </c>
      <c r="F626" s="169">
        <f>+SUMIFS(FINANCIACION[$ CAPITAL],FINANCIACION[Fecha],"&lt;="&amp;FINANCIACION[[#This Row],[Fecha]],FINANCIACION[PRESTAMO],FINANCIACION[[#This Row],[PRESTAMO]])</f>
        <v>-43888850.962125674</v>
      </c>
      <c r="G626" s="8"/>
      <c r="H626" s="56"/>
      <c r="I626" s="5" t="b">
        <f>IF(FINANCIACION[[#This Row],[$ CAPITAL]]&gt;0,FINANCIACION[[#This Row],[$ CAPITAL]])</f>
        <v>0</v>
      </c>
      <c r="J626" s="9">
        <f>IF(FINANCIACION[[#This Row],[$ CAPITAL]]&gt;=0,FINANCIACION[[#This Row],[$ CAPITAL]]+FINANCIACION[[#This Row],[$ INTERESES]],0)</f>
        <v>919622</v>
      </c>
    </row>
    <row r="627" spans="1:10" ht="24" hidden="1" customHeight="1" x14ac:dyDescent="0.25">
      <c r="A627" s="7">
        <v>44347</v>
      </c>
      <c r="B627" s="53" t="s">
        <v>1218</v>
      </c>
      <c r="C627" s="5">
        <v>6000000</v>
      </c>
      <c r="D627" s="5"/>
      <c r="E627" s="169">
        <f>+IF(FINANCIACION[[#This Row],[$ CAPITAL]]&gt;=0,FINANCIACION[[#This Row],[$ CAPITAL]]+FINANCIACION[[#This Row],[$ INTERESES]],"")</f>
        <v>6000000</v>
      </c>
      <c r="F627" s="169">
        <f>+SUMIFS(FINANCIACION[$ CAPITAL],FINANCIACION[Fecha],"&lt;="&amp;FINANCIACION[[#This Row],[Fecha]],FINANCIACION[PRESTAMO],FINANCIACION[[#This Row],[PRESTAMO]])</f>
        <v>-43888850.962125674</v>
      </c>
      <c r="G627" s="8"/>
      <c r="H627" s="56"/>
      <c r="I627" s="5">
        <f>IF(FINANCIACION[[#This Row],[$ CAPITAL]]&gt;0,FINANCIACION[[#This Row],[$ CAPITAL]])</f>
        <v>6000000</v>
      </c>
      <c r="J627" s="9">
        <f>IF(FINANCIACION[[#This Row],[$ CAPITAL]]&gt;=0,FINANCIACION[[#This Row],[$ CAPITAL]]+FINANCIACION[[#This Row],[$ INTERESES]],0)</f>
        <v>6000000</v>
      </c>
    </row>
    <row r="628" spans="1:10" ht="24" hidden="1" customHeight="1" x14ac:dyDescent="0.25">
      <c r="A628" s="7">
        <v>44350</v>
      </c>
      <c r="B628" s="53" t="s">
        <v>1218</v>
      </c>
      <c r="C628" s="5">
        <v>1000000</v>
      </c>
      <c r="D628" s="5"/>
      <c r="E628" s="169">
        <f>+IF(FINANCIACION[[#This Row],[$ CAPITAL]]&gt;=0,FINANCIACION[[#This Row],[$ CAPITAL]]+FINANCIACION[[#This Row],[$ INTERESES]],"")</f>
        <v>1000000</v>
      </c>
      <c r="F628" s="169">
        <f>+SUMIFS(FINANCIACION[$ CAPITAL],FINANCIACION[Fecha],"&lt;="&amp;FINANCIACION[[#This Row],[Fecha]],FINANCIACION[PRESTAMO],FINANCIACION[[#This Row],[PRESTAMO]])</f>
        <v>-39246560.962125674</v>
      </c>
      <c r="G628" s="8"/>
      <c r="H628" s="56"/>
      <c r="I628" s="5">
        <f>IF(FINANCIACION[[#This Row],[$ CAPITAL]]&gt;0,FINANCIACION[[#This Row],[$ CAPITAL]])</f>
        <v>1000000</v>
      </c>
      <c r="J628" s="9">
        <f>IF(FINANCIACION[[#This Row],[$ CAPITAL]]&gt;=0,FINANCIACION[[#This Row],[$ CAPITAL]]+FINANCIACION[[#This Row],[$ INTERESES]],0)</f>
        <v>1000000</v>
      </c>
    </row>
    <row r="629" spans="1:10" ht="24" hidden="1" customHeight="1" x14ac:dyDescent="0.25">
      <c r="A629" s="7">
        <v>44350</v>
      </c>
      <c r="B629" s="53" t="s">
        <v>1218</v>
      </c>
      <c r="C629" s="5">
        <v>3642290</v>
      </c>
      <c r="D629" s="5"/>
      <c r="E629" s="169">
        <f>+IF(FINANCIACION[[#This Row],[$ CAPITAL]]&gt;=0,FINANCIACION[[#This Row],[$ CAPITAL]]+FINANCIACION[[#This Row],[$ INTERESES]],"")</f>
        <v>3642290</v>
      </c>
      <c r="F629" s="169">
        <f>+SUMIFS(FINANCIACION[$ CAPITAL],FINANCIACION[Fecha],"&lt;="&amp;FINANCIACION[[#This Row],[Fecha]],FINANCIACION[PRESTAMO],FINANCIACION[[#This Row],[PRESTAMO]])</f>
        <v>-39246560.962125674</v>
      </c>
      <c r="G629" s="8"/>
      <c r="H629" s="56"/>
      <c r="I629" s="5">
        <f>IF(FINANCIACION[[#This Row],[$ CAPITAL]]&gt;0,FINANCIACION[[#This Row],[$ CAPITAL]])</f>
        <v>3642290</v>
      </c>
      <c r="J629" s="9">
        <f>IF(FINANCIACION[[#This Row],[$ CAPITAL]]&gt;=0,FINANCIACION[[#This Row],[$ CAPITAL]]+FINANCIACION[[#This Row],[$ INTERESES]],0)</f>
        <v>3642290</v>
      </c>
    </row>
    <row r="630" spans="1:10" ht="24" hidden="1" customHeight="1" x14ac:dyDescent="0.25">
      <c r="A630" s="7">
        <v>44350</v>
      </c>
      <c r="B630" s="53" t="s">
        <v>202</v>
      </c>
      <c r="C630" s="5">
        <v>3642290</v>
      </c>
      <c r="D630" s="5"/>
      <c r="E630" s="169">
        <f>+IF(FINANCIACION[[#This Row],[$ CAPITAL]]&gt;=0,FINANCIACION[[#This Row],[$ CAPITAL]]+FINANCIACION[[#This Row],[$ INTERESES]],"")</f>
        <v>3642290</v>
      </c>
      <c r="F630" s="169">
        <f>+SUMIFS(FINANCIACION[$ CAPITAL],FINANCIACION[Fecha],"&lt;="&amp;FINANCIACION[[#This Row],[Fecha]],FINANCIACION[PRESTAMO],FINANCIACION[[#This Row],[PRESTAMO]])</f>
        <v>-29724310</v>
      </c>
      <c r="G630" s="8"/>
      <c r="H630" s="56"/>
      <c r="I630" s="5">
        <f>IF(FINANCIACION[[#This Row],[$ CAPITAL]]&gt;0,FINANCIACION[[#This Row],[$ CAPITAL]])</f>
        <v>3642290</v>
      </c>
      <c r="J630" s="9">
        <f>IF(FINANCIACION[[#This Row],[$ CAPITAL]]&gt;=0,FINANCIACION[[#This Row],[$ CAPITAL]]+FINANCIACION[[#This Row],[$ INTERESES]],0)</f>
        <v>3642290</v>
      </c>
    </row>
    <row r="631" spans="1:10" ht="24" hidden="1" customHeight="1" x14ac:dyDescent="0.25">
      <c r="A631" s="7">
        <v>44356</v>
      </c>
      <c r="B631" s="53" t="s">
        <v>1218</v>
      </c>
      <c r="C631" s="5">
        <v>6326000</v>
      </c>
      <c r="D631" s="5">
        <v>408134.11000000034</v>
      </c>
      <c r="E631" s="169">
        <f>+IF(FINANCIACION[[#This Row],[$ CAPITAL]]&gt;=0,FINANCIACION[[#This Row],[$ CAPITAL]]+FINANCIACION[[#This Row],[$ INTERESES]],"")</f>
        <v>6734134.1100000003</v>
      </c>
      <c r="F631" s="169">
        <f>+SUMIFS(FINANCIACION[$ CAPITAL],FINANCIACION[Fecha],"&lt;="&amp;FINANCIACION[[#This Row],[Fecha]],FINANCIACION[PRESTAMO],FINANCIACION[[#This Row],[PRESTAMO]])</f>
        <v>-32920560.962125674</v>
      </c>
      <c r="G631" s="8"/>
      <c r="H631" s="56"/>
      <c r="I631" s="5">
        <f>IF(FINANCIACION[[#This Row],[$ CAPITAL]]&gt;0,FINANCIACION[[#This Row],[$ CAPITAL]])</f>
        <v>6326000</v>
      </c>
      <c r="J631" s="9">
        <f>IF(FINANCIACION[[#This Row],[$ CAPITAL]]&gt;=0,FINANCIACION[[#This Row],[$ CAPITAL]]+FINANCIACION[[#This Row],[$ INTERESES]],0)</f>
        <v>6734134.1100000003</v>
      </c>
    </row>
    <row r="632" spans="1:10" ht="24" hidden="1" customHeight="1" x14ac:dyDescent="0.25">
      <c r="A632" s="7">
        <v>44357</v>
      </c>
      <c r="B632" s="53" t="s">
        <v>1215</v>
      </c>
      <c r="C632" s="5">
        <v>1851506.0161396766</v>
      </c>
      <c r="D632" s="5">
        <v>825893.98386032344</v>
      </c>
      <c r="E632" s="169">
        <f>+IF(FINANCIACION[[#This Row],[$ CAPITAL]]&gt;=0,FINANCIACION[[#This Row],[$ CAPITAL]]+FINANCIACION[[#This Row],[$ INTERESES]],"")</f>
        <v>2677400</v>
      </c>
      <c r="F632" s="169">
        <f>+SUMIFS(FINANCIACION[$ CAPITAL],FINANCIACION[Fecha],"&lt;="&amp;FINANCIACION[[#This Row],[Fecha]],FINANCIACION[PRESTAMO],FINANCIACION[[#This Row],[PRESTAMO]])</f>
        <v>-80737892.369892672</v>
      </c>
      <c r="G632" s="8"/>
      <c r="H632" s="56"/>
      <c r="I632" s="5">
        <f>IF(FINANCIACION[[#This Row],[$ CAPITAL]]&gt;0,FINANCIACION[[#This Row],[$ CAPITAL]])</f>
        <v>1851506.0161396766</v>
      </c>
      <c r="J632" s="9">
        <f>IF(FINANCIACION[[#This Row],[$ CAPITAL]]&gt;=0,FINANCIACION[[#This Row],[$ CAPITAL]]+FINANCIACION[[#This Row],[$ INTERESES]],0)</f>
        <v>2677400</v>
      </c>
    </row>
    <row r="633" spans="1:10" ht="24" hidden="1" customHeight="1" x14ac:dyDescent="0.25">
      <c r="A633" s="7">
        <v>44358</v>
      </c>
      <c r="B633" s="53" t="s">
        <v>1219</v>
      </c>
      <c r="C633" s="5">
        <v>713253.92</v>
      </c>
      <c r="D633" s="5">
        <v>586746.07999999996</v>
      </c>
      <c r="E633" s="169">
        <f>+IF(FINANCIACION[[#This Row],[$ CAPITAL]]&gt;=0,FINANCIACION[[#This Row],[$ CAPITAL]]+FINANCIACION[[#This Row],[$ INTERESES]],"")</f>
        <v>1300000</v>
      </c>
      <c r="F633" s="169">
        <f>+SUMIFS(FINANCIACION[$ CAPITAL],FINANCIACION[Fecha],"&lt;="&amp;FINANCIACION[[#This Row],[Fecha]],FINANCIACION[PRESTAMO],FINANCIACION[[#This Row],[PRESTAMO]])</f>
        <v>-57961354.079999998</v>
      </c>
      <c r="G633" s="8"/>
      <c r="H633" s="56"/>
      <c r="I633" s="5">
        <f>IF(FINANCIACION[[#This Row],[$ CAPITAL]]&gt;0,FINANCIACION[[#This Row],[$ CAPITAL]])</f>
        <v>713253.92</v>
      </c>
      <c r="J633" s="9">
        <f>IF(FINANCIACION[[#This Row],[$ CAPITAL]]&gt;=0,FINANCIACION[[#This Row],[$ CAPITAL]]+FINANCIACION[[#This Row],[$ INTERESES]],0)</f>
        <v>1300000</v>
      </c>
    </row>
    <row r="634" spans="1:10" ht="24" hidden="1" customHeight="1" x14ac:dyDescent="0.25">
      <c r="A634" s="7">
        <v>44358</v>
      </c>
      <c r="B634" s="53" t="s">
        <v>1216</v>
      </c>
      <c r="C634" s="5">
        <v>462796.88598599995</v>
      </c>
      <c r="D634" s="5">
        <v>737203.11401400005</v>
      </c>
      <c r="E634" s="169">
        <f>+IF(FINANCIACION[[#This Row],[$ CAPITAL]]&gt;=0,FINANCIACION[[#This Row],[$ CAPITAL]]+FINANCIACION[[#This Row],[$ INTERESES]],"")</f>
        <v>1200000</v>
      </c>
      <c r="F634" s="169">
        <f>+SUMIFS(FINANCIACION[$ CAPITAL],FINANCIACION[Fecha],"&lt;="&amp;FINANCIACION[[#This Row],[Fecha]],FINANCIACION[PRESTAMO],FINANCIACION[[#This Row],[PRESTAMO]])</f>
        <v>-73257514.515414</v>
      </c>
      <c r="G634" s="8"/>
      <c r="H634" s="56"/>
      <c r="I634" s="5">
        <f>IF(FINANCIACION[[#This Row],[$ CAPITAL]]&gt;0,FINANCIACION[[#This Row],[$ CAPITAL]])</f>
        <v>462796.88598599995</v>
      </c>
      <c r="J634" s="9">
        <f>IF(FINANCIACION[[#This Row],[$ CAPITAL]]&gt;=0,FINANCIACION[[#This Row],[$ CAPITAL]]+FINANCIACION[[#This Row],[$ INTERESES]],0)</f>
        <v>1200000</v>
      </c>
    </row>
    <row r="635" spans="1:10" ht="24" hidden="1" customHeight="1" x14ac:dyDescent="0.25">
      <c r="A635" s="7">
        <v>44358</v>
      </c>
      <c r="B635" s="53" t="s">
        <v>1228</v>
      </c>
      <c r="C635" s="5"/>
      <c r="D635" s="5">
        <v>120000</v>
      </c>
      <c r="E635" s="169">
        <f>+IF(FINANCIACION[[#This Row],[$ CAPITAL]]&gt;=0,FINANCIACION[[#This Row],[$ CAPITAL]]+FINANCIACION[[#This Row],[$ INTERESES]],"")</f>
        <v>120000</v>
      </c>
      <c r="F635" s="169">
        <f>+SUMIFS(FINANCIACION[$ CAPITAL],FINANCIACION[Fecha],"&lt;="&amp;FINANCIACION[[#This Row],[Fecha]],FINANCIACION[PRESTAMO],FINANCIACION[[#This Row],[PRESTAMO]])</f>
        <v>-12000000</v>
      </c>
      <c r="G635" s="8"/>
      <c r="H635" s="56"/>
      <c r="I635" s="5" t="b">
        <f>IF(FINANCIACION[[#This Row],[$ CAPITAL]]&gt;0,FINANCIACION[[#This Row],[$ CAPITAL]])</f>
        <v>0</v>
      </c>
      <c r="J635" s="9">
        <f>IF(FINANCIACION[[#This Row],[$ CAPITAL]]&gt;=0,FINANCIACION[[#This Row],[$ CAPITAL]]+FINANCIACION[[#This Row],[$ INTERESES]],0)</f>
        <v>120000</v>
      </c>
    </row>
    <row r="636" spans="1:10" ht="24" hidden="1" customHeight="1" x14ac:dyDescent="0.25">
      <c r="A636" s="7">
        <v>44358</v>
      </c>
      <c r="B636" s="53" t="s">
        <v>1218</v>
      </c>
      <c r="C636" s="5">
        <v>462796.88598599995</v>
      </c>
      <c r="D636" s="5">
        <v>737203.11401400005</v>
      </c>
      <c r="E636" s="169">
        <f>+IF(FINANCIACION[[#This Row],[$ CAPITAL]]&gt;=0,FINANCIACION[[#This Row],[$ CAPITAL]]+FINANCIACION[[#This Row],[$ INTERESES]],"")</f>
        <v>1200000</v>
      </c>
      <c r="F636" s="169">
        <f>+SUMIFS(FINANCIACION[$ CAPITAL],FINANCIACION[Fecha],"&lt;="&amp;FINANCIACION[[#This Row],[Fecha]],FINANCIACION[PRESTAMO],FINANCIACION[[#This Row],[PRESTAMO]])</f>
        <v>-29893004.139999997</v>
      </c>
      <c r="G636" s="8"/>
      <c r="H636" s="56"/>
      <c r="I636" s="5">
        <f>IF(FINANCIACION[[#This Row],[$ CAPITAL]]&gt;0,FINANCIACION[[#This Row],[$ CAPITAL]])</f>
        <v>462796.88598599995</v>
      </c>
      <c r="J636" s="9">
        <f>IF(FINANCIACION[[#This Row],[$ CAPITAL]]&gt;=0,FINANCIACION[[#This Row],[$ CAPITAL]]+FINANCIACION[[#This Row],[$ INTERESES]],0)</f>
        <v>1200000</v>
      </c>
    </row>
    <row r="637" spans="1:10" ht="24" hidden="1" customHeight="1" x14ac:dyDescent="0.25">
      <c r="A637" s="7">
        <v>44358</v>
      </c>
      <c r="B637" s="53" t="s">
        <v>1218</v>
      </c>
      <c r="C637" s="5"/>
      <c r="D637" s="5">
        <v>120000</v>
      </c>
      <c r="E637" s="169">
        <f>+IF(FINANCIACION[[#This Row],[$ CAPITAL]]&gt;=0,FINANCIACION[[#This Row],[$ CAPITAL]]+FINANCIACION[[#This Row],[$ INTERESES]],"")</f>
        <v>120000</v>
      </c>
      <c r="F637" s="169">
        <f>+SUMIFS(FINANCIACION[$ CAPITAL],FINANCIACION[Fecha],"&lt;="&amp;FINANCIACION[[#This Row],[Fecha]],FINANCIACION[PRESTAMO],FINANCIACION[[#This Row],[PRESTAMO]])</f>
        <v>-29893004.139999997</v>
      </c>
      <c r="G637" s="8"/>
      <c r="H637" s="56"/>
      <c r="I637" s="5" t="b">
        <f>IF(FINANCIACION[[#This Row],[$ CAPITAL]]&gt;0,FINANCIACION[[#This Row],[$ CAPITAL]])</f>
        <v>0</v>
      </c>
      <c r="J637" s="9">
        <f>IF(FINANCIACION[[#This Row],[$ CAPITAL]]&gt;=0,FINANCIACION[[#This Row],[$ CAPITAL]]+FINANCIACION[[#This Row],[$ INTERESES]],0)</f>
        <v>120000</v>
      </c>
    </row>
    <row r="638" spans="1:10" ht="24" hidden="1" customHeight="1" x14ac:dyDescent="0.25">
      <c r="A638" s="7">
        <v>44358</v>
      </c>
      <c r="B638" s="53" t="s">
        <v>1218</v>
      </c>
      <c r="C638" s="5"/>
      <c r="D638" s="5">
        <v>640000</v>
      </c>
      <c r="E638" s="169">
        <f>+IF(FINANCIACION[[#This Row],[$ CAPITAL]]&gt;=0,FINANCIACION[[#This Row],[$ CAPITAL]]+FINANCIACION[[#This Row],[$ INTERESES]],"")</f>
        <v>640000</v>
      </c>
      <c r="F638" s="169">
        <f>+SUMIFS(FINANCIACION[$ CAPITAL],FINANCIACION[Fecha],"&lt;="&amp;FINANCIACION[[#This Row],[Fecha]],FINANCIACION[PRESTAMO],FINANCIACION[[#This Row],[PRESTAMO]])</f>
        <v>-29893004.139999997</v>
      </c>
      <c r="G638" s="8"/>
      <c r="H638" s="56"/>
      <c r="I638" s="5" t="b">
        <f>IF(FINANCIACION[[#This Row],[$ CAPITAL]]&gt;0,FINANCIACION[[#This Row],[$ CAPITAL]])</f>
        <v>0</v>
      </c>
      <c r="J638" s="9">
        <f>IF(FINANCIACION[[#This Row],[$ CAPITAL]]&gt;=0,FINANCIACION[[#This Row],[$ CAPITAL]]+FINANCIACION[[#This Row],[$ INTERESES]],0)</f>
        <v>640000</v>
      </c>
    </row>
    <row r="639" spans="1:10" ht="24" hidden="1" customHeight="1" x14ac:dyDescent="0.25">
      <c r="A639" s="7">
        <v>44358</v>
      </c>
      <c r="B639" s="53" t="s">
        <v>1218</v>
      </c>
      <c r="C639" s="5">
        <v>713253.92</v>
      </c>
      <c r="D639" s="5">
        <v>586746.07999999996</v>
      </c>
      <c r="E639" s="169">
        <f>+IF(FINANCIACION[[#This Row],[$ CAPITAL]]&gt;=0,FINANCIACION[[#This Row],[$ CAPITAL]]+FINANCIACION[[#This Row],[$ INTERESES]],"")</f>
        <v>1300000</v>
      </c>
      <c r="F639" s="169">
        <f>+SUMIFS(FINANCIACION[$ CAPITAL],FINANCIACION[Fecha],"&lt;="&amp;FINANCIACION[[#This Row],[Fecha]],FINANCIACION[PRESTAMO],FINANCIACION[[#This Row],[PRESTAMO]])</f>
        <v>-29893004.139999997</v>
      </c>
      <c r="G639" s="8"/>
      <c r="H639" s="56"/>
      <c r="I639" s="5">
        <f>IF(FINANCIACION[[#This Row],[$ CAPITAL]]&gt;0,FINANCIACION[[#This Row],[$ CAPITAL]])</f>
        <v>713253.92</v>
      </c>
      <c r="J639" s="9">
        <f>IF(FINANCIACION[[#This Row],[$ CAPITAL]]&gt;=0,FINANCIACION[[#This Row],[$ CAPITAL]]+FINANCIACION[[#This Row],[$ INTERESES]],0)</f>
        <v>1300000</v>
      </c>
    </row>
    <row r="640" spans="1:10" ht="24" hidden="1" customHeight="1" x14ac:dyDescent="0.25">
      <c r="A640" s="7">
        <v>44358</v>
      </c>
      <c r="B640" s="53" t="s">
        <v>1218</v>
      </c>
      <c r="C640" s="5"/>
      <c r="D640" s="5">
        <v>220000</v>
      </c>
      <c r="E640" s="169">
        <f>+IF(FINANCIACION[[#This Row],[$ CAPITAL]]&gt;=0,FINANCIACION[[#This Row],[$ CAPITAL]]+FINANCIACION[[#This Row],[$ INTERESES]],"")</f>
        <v>220000</v>
      </c>
      <c r="F640" s="169">
        <f>+SUMIFS(FINANCIACION[$ CAPITAL],FINANCIACION[Fecha],"&lt;="&amp;FINANCIACION[[#This Row],[Fecha]],FINANCIACION[PRESTAMO],FINANCIACION[[#This Row],[PRESTAMO]])</f>
        <v>-29893004.139999997</v>
      </c>
      <c r="G640" s="56"/>
      <c r="H640" s="8"/>
      <c r="I640" s="5" t="b">
        <f>IF(FINANCIACION[[#This Row],[$ CAPITAL]]&gt;0,FINANCIACION[[#This Row],[$ CAPITAL]])</f>
        <v>0</v>
      </c>
      <c r="J640" s="36">
        <f>IF(FINANCIACION[[#This Row],[$ CAPITAL]]&gt;=0,FINANCIACION[[#This Row],[$ CAPITAL]]+FINANCIACION[[#This Row],[$ INTERESES]],0)</f>
        <v>220000</v>
      </c>
    </row>
    <row r="641" spans="1:10" ht="24" hidden="1" customHeight="1" x14ac:dyDescent="0.25">
      <c r="A641" s="7">
        <v>44358</v>
      </c>
      <c r="B641" s="53" t="s">
        <v>1218</v>
      </c>
      <c r="C641" s="5">
        <v>1851506.0161396766</v>
      </c>
      <c r="D641" s="5">
        <v>825893.98386032344</v>
      </c>
      <c r="E641" s="169">
        <f>+IF(FINANCIACION[[#This Row],[$ CAPITAL]]&gt;=0,FINANCIACION[[#This Row],[$ CAPITAL]]+FINANCIACION[[#This Row],[$ INTERESES]],"")</f>
        <v>2677400</v>
      </c>
      <c r="F641" s="169">
        <f>+SUMIFS(FINANCIACION[$ CAPITAL],FINANCIACION[Fecha],"&lt;="&amp;FINANCIACION[[#This Row],[Fecha]],FINANCIACION[PRESTAMO],FINANCIACION[[#This Row],[PRESTAMO]])</f>
        <v>-29893004.139999997</v>
      </c>
      <c r="G641" s="56"/>
      <c r="H641" s="8"/>
      <c r="I641" s="5">
        <f>IF(FINANCIACION[[#This Row],[$ CAPITAL]]&gt;0,FINANCIACION[[#This Row],[$ CAPITAL]])</f>
        <v>1851506.0161396766</v>
      </c>
      <c r="J641" s="36">
        <f>IF(FINANCIACION[[#This Row],[$ CAPITAL]]&gt;=0,FINANCIACION[[#This Row],[$ CAPITAL]]+FINANCIACION[[#This Row],[$ INTERESES]],0)</f>
        <v>2677400</v>
      </c>
    </row>
    <row r="642" spans="1:10" ht="24" hidden="1" customHeight="1" x14ac:dyDescent="0.25">
      <c r="A642" s="7">
        <v>44362</v>
      </c>
      <c r="B642" s="53" t="s">
        <v>1216</v>
      </c>
      <c r="C642" s="5">
        <v>-3000000</v>
      </c>
      <c r="D642" s="5"/>
      <c r="E642" s="169" t="str">
        <f>+IF(FINANCIACION[[#This Row],[$ CAPITAL]]&gt;=0,FINANCIACION[[#This Row],[$ CAPITAL]]+FINANCIACION[[#This Row],[$ INTERESES]],"")</f>
        <v/>
      </c>
      <c r="F642" s="169">
        <f>+SUMIFS(FINANCIACION[$ CAPITAL],FINANCIACION[Fecha],"&lt;="&amp;FINANCIACION[[#This Row],[Fecha]],FINANCIACION[PRESTAMO],FINANCIACION[[#This Row],[PRESTAMO]])</f>
        <v>-76257514.515414</v>
      </c>
      <c r="G642" s="56" t="s">
        <v>425</v>
      </c>
      <c r="H642" s="8"/>
      <c r="I642" s="5" t="b">
        <f>IF(FINANCIACION[[#This Row],[$ CAPITAL]]&gt;0,FINANCIACION[[#This Row],[$ CAPITAL]])</f>
        <v>0</v>
      </c>
      <c r="J642" s="36">
        <f>IF(FINANCIACION[[#This Row],[$ CAPITAL]]&gt;=0,FINANCIACION[[#This Row],[$ CAPITAL]]+FINANCIACION[[#This Row],[$ INTERESES]],0)</f>
        <v>0</v>
      </c>
    </row>
    <row r="643" spans="1:10" ht="24" customHeight="1" x14ac:dyDescent="0.25">
      <c r="A643" s="7">
        <v>44362</v>
      </c>
      <c r="B643" s="53" t="s">
        <v>200</v>
      </c>
      <c r="C643" s="5"/>
      <c r="D643" s="5">
        <v>227850</v>
      </c>
      <c r="E643" s="169">
        <f>+IF(FINANCIACION[[#This Row],[$ CAPITAL]]&gt;=0,FINANCIACION[[#This Row],[$ CAPITAL]]+FINANCIACION[[#This Row],[$ INTERESES]],"")</f>
        <v>227850</v>
      </c>
      <c r="F643" s="169">
        <f>+SUMIFS(FINANCIACION[$ CAPITAL],FINANCIACION[Fecha],"&lt;="&amp;FINANCIACION[[#This Row],[Fecha]],FINANCIACION[PRESTAMO],FINANCIACION[[#This Row],[PRESTAMO]])</f>
        <v>-35000000</v>
      </c>
      <c r="G643" s="56"/>
      <c r="H643" s="8"/>
      <c r="I643" s="5" t="b">
        <f>IF(FINANCIACION[[#This Row],[$ CAPITAL]]&gt;0,FINANCIACION[[#This Row],[$ CAPITAL]])</f>
        <v>0</v>
      </c>
      <c r="J643" s="36">
        <f>IF(FINANCIACION[[#This Row],[$ CAPITAL]]&gt;=0,FINANCIACION[[#This Row],[$ CAPITAL]]+FINANCIACION[[#This Row],[$ INTERESES]],0)</f>
        <v>227850</v>
      </c>
    </row>
    <row r="644" spans="1:10" ht="24" hidden="1" customHeight="1" x14ac:dyDescent="0.25">
      <c r="A644" s="7">
        <v>44363</v>
      </c>
      <c r="B644" s="53" t="s">
        <v>1226</v>
      </c>
      <c r="C644" s="5"/>
      <c r="D644" s="5">
        <v>390000</v>
      </c>
      <c r="E644" s="169">
        <f>+IF(FINANCIACION[[#This Row],[$ CAPITAL]]&gt;=0,FINANCIACION[[#This Row],[$ CAPITAL]]+FINANCIACION[[#This Row],[$ INTERESES]],"")</f>
        <v>390000</v>
      </c>
      <c r="F644" s="169">
        <f>+SUMIFS(FINANCIACION[$ CAPITAL],FINANCIACION[Fecha],"&lt;="&amp;FINANCIACION[[#This Row],[Fecha]],FINANCIACION[PRESTAMO],FINANCIACION[[#This Row],[PRESTAMO]])</f>
        <v>-13000000</v>
      </c>
      <c r="G644" s="56"/>
      <c r="H644" s="8"/>
      <c r="I644" s="5" t="b">
        <f>IF(FINANCIACION[[#This Row],[$ CAPITAL]]&gt;0,FINANCIACION[[#This Row],[$ CAPITAL]])</f>
        <v>0</v>
      </c>
      <c r="J644" s="36">
        <f>IF(FINANCIACION[[#This Row],[$ CAPITAL]]&gt;=0,FINANCIACION[[#This Row],[$ CAPITAL]]+FINANCIACION[[#This Row],[$ INTERESES]],0)</f>
        <v>390000</v>
      </c>
    </row>
    <row r="645" spans="1:10" ht="24" hidden="1" customHeight="1" x14ac:dyDescent="0.25">
      <c r="A645" s="7">
        <v>44363</v>
      </c>
      <c r="B645" s="53" t="s">
        <v>203</v>
      </c>
      <c r="C645" s="5">
        <v>2000000</v>
      </c>
      <c r="D645" s="5"/>
      <c r="E645" s="169">
        <f>+IF(FINANCIACION[[#This Row],[$ CAPITAL]]&gt;=0,FINANCIACION[[#This Row],[$ CAPITAL]]+FINANCIACION[[#This Row],[$ INTERESES]],"")</f>
        <v>2000000</v>
      </c>
      <c r="F645" s="169">
        <f>+SUMIFS(FINANCIACION[$ CAPITAL],FINANCIACION[Fecha],"&lt;="&amp;FINANCIACION[[#This Row],[Fecha]],FINANCIACION[PRESTAMO],FINANCIACION[[#This Row],[PRESTAMO]])</f>
        <v>-3450061</v>
      </c>
      <c r="G645" s="56"/>
      <c r="H645" s="8"/>
      <c r="I645" s="5">
        <f>IF(FINANCIACION[[#This Row],[$ CAPITAL]]&gt;0,FINANCIACION[[#This Row],[$ CAPITAL]])</f>
        <v>2000000</v>
      </c>
      <c r="J645" s="36">
        <f>IF(FINANCIACION[[#This Row],[$ CAPITAL]]&gt;=0,FINANCIACION[[#This Row],[$ CAPITAL]]+FINANCIACION[[#This Row],[$ INTERESES]],0)</f>
        <v>2000000</v>
      </c>
    </row>
    <row r="646" spans="1:10" ht="24" hidden="1" customHeight="1" x14ac:dyDescent="0.25">
      <c r="A646" s="7">
        <v>44363</v>
      </c>
      <c r="B646" s="53" t="s">
        <v>203</v>
      </c>
      <c r="C646" s="5">
        <v>-5450061</v>
      </c>
      <c r="D646" s="5"/>
      <c r="E646" s="169" t="str">
        <f>+IF(FINANCIACION[[#This Row],[$ CAPITAL]]&gt;=0,FINANCIACION[[#This Row],[$ CAPITAL]]+FINANCIACION[[#This Row],[$ INTERESES]],"")</f>
        <v/>
      </c>
      <c r="F646" s="169">
        <f>+SUMIFS(FINANCIACION[$ CAPITAL],FINANCIACION[Fecha],"&lt;="&amp;FINANCIACION[[#This Row],[Fecha]],FINANCIACION[PRESTAMO],FINANCIACION[[#This Row],[PRESTAMO]])</f>
        <v>-3450061</v>
      </c>
      <c r="G646" s="56"/>
      <c r="H646" s="8"/>
      <c r="I646" s="5" t="b">
        <f>IF(FINANCIACION[[#This Row],[$ CAPITAL]]&gt;0,FINANCIACION[[#This Row],[$ CAPITAL]])</f>
        <v>0</v>
      </c>
      <c r="J646" s="36">
        <f>IF(FINANCIACION[[#This Row],[$ CAPITAL]]&gt;=0,FINANCIACION[[#This Row],[$ CAPITAL]]+FINANCIACION[[#This Row],[$ INTERESES]],0)</f>
        <v>0</v>
      </c>
    </row>
    <row r="647" spans="1:10" ht="24" hidden="1" customHeight="1" x14ac:dyDescent="0.25">
      <c r="A647" s="7">
        <v>44365</v>
      </c>
      <c r="B647" s="53" t="s">
        <v>202</v>
      </c>
      <c r="C647" s="5">
        <v>5968720</v>
      </c>
      <c r="D647" s="5"/>
      <c r="E647" s="169">
        <f>+IF(FINANCIACION[[#This Row],[$ CAPITAL]]&gt;=0,FINANCIACION[[#This Row],[$ CAPITAL]]+FINANCIACION[[#This Row],[$ INTERESES]],"")</f>
        <v>5968720</v>
      </c>
      <c r="F647" s="169">
        <f>+SUMIFS(FINANCIACION[$ CAPITAL],FINANCIACION[Fecha],"&lt;="&amp;FINANCIACION[[#This Row],[Fecha]],FINANCIACION[PRESTAMO],FINANCIACION[[#This Row],[PRESTAMO]])</f>
        <v>-23755590</v>
      </c>
      <c r="G647" s="56"/>
      <c r="H647" s="8"/>
      <c r="I647" s="5">
        <f>IF(FINANCIACION[[#This Row],[$ CAPITAL]]&gt;0,FINANCIACION[[#This Row],[$ CAPITAL]])</f>
        <v>5968720</v>
      </c>
      <c r="J647" s="36">
        <f>IF(FINANCIACION[[#This Row],[$ CAPITAL]]&gt;=0,FINANCIACION[[#This Row],[$ CAPITAL]]+FINANCIACION[[#This Row],[$ INTERESES]],0)</f>
        <v>5968720</v>
      </c>
    </row>
    <row r="648" spans="1:10" ht="24" hidden="1" customHeight="1" x14ac:dyDescent="0.25">
      <c r="A648" s="7">
        <v>44369</v>
      </c>
      <c r="B648" s="53" t="s">
        <v>1218</v>
      </c>
      <c r="C648" s="5">
        <v>1496187.629999999</v>
      </c>
      <c r="D648" s="5">
        <v>12812.370000001043</v>
      </c>
      <c r="E648" s="169">
        <f>+IF(FINANCIACION[[#This Row],[$ CAPITAL]]&gt;=0,FINANCIACION[[#This Row],[$ CAPITAL]]+FINANCIACION[[#This Row],[$ INTERESES]],"")</f>
        <v>1509000</v>
      </c>
      <c r="F648" s="169">
        <f>+SUMIFS(FINANCIACION[$ CAPITAL],FINANCIACION[Fecha],"&lt;="&amp;FINANCIACION[[#This Row],[Fecha]],FINANCIACION[PRESTAMO],FINANCIACION[[#This Row],[PRESTAMO]])</f>
        <v>-28396816.509999998</v>
      </c>
      <c r="G648" s="56"/>
      <c r="H648" s="8"/>
      <c r="I648" s="5">
        <f>IF(FINANCIACION[[#This Row],[$ CAPITAL]]&gt;0,FINANCIACION[[#This Row],[$ CAPITAL]])</f>
        <v>1496187.629999999</v>
      </c>
      <c r="J648" s="36">
        <f>IF(FINANCIACION[[#This Row],[$ CAPITAL]]&gt;=0,FINANCIACION[[#This Row],[$ CAPITAL]]+FINANCIACION[[#This Row],[$ INTERESES]],0)</f>
        <v>1509000</v>
      </c>
    </row>
    <row r="649" spans="1:10" ht="24" hidden="1" customHeight="1" x14ac:dyDescent="0.25">
      <c r="A649" s="7">
        <v>44370</v>
      </c>
      <c r="B649" s="53" t="s">
        <v>1229</v>
      </c>
      <c r="C649" s="5">
        <v>1241305.5700000003</v>
      </c>
      <c r="D649" s="5">
        <v>10694.429999999702</v>
      </c>
      <c r="E649" s="169">
        <f>+IF(FINANCIACION[[#This Row],[$ CAPITAL]]&gt;=0,FINANCIACION[[#This Row],[$ CAPITAL]]+FINANCIACION[[#This Row],[$ INTERESES]],"")</f>
        <v>1252000</v>
      </c>
      <c r="F649" s="169">
        <f>+SUMIFS(FINANCIACION[$ CAPITAL],FINANCIACION[Fecha],"&lt;="&amp;FINANCIACION[[#This Row],[Fecha]],FINANCIACION[PRESTAMO],FINANCIACION[[#This Row],[PRESTAMO]])</f>
        <v>-24790595.739999998</v>
      </c>
      <c r="G649" s="56"/>
      <c r="H649" s="8"/>
      <c r="I649" s="5">
        <f>IF(FINANCIACION[[#This Row],[$ CAPITAL]]&gt;0,FINANCIACION[[#This Row],[$ CAPITAL]])</f>
        <v>1241305.5700000003</v>
      </c>
      <c r="J649" s="36">
        <f>IF(FINANCIACION[[#This Row],[$ CAPITAL]]&gt;=0,FINANCIACION[[#This Row],[$ CAPITAL]]+FINANCIACION[[#This Row],[$ INTERESES]],0)</f>
        <v>1252000</v>
      </c>
    </row>
    <row r="650" spans="1:10" ht="24" hidden="1" customHeight="1" x14ac:dyDescent="0.25">
      <c r="A650" s="7">
        <v>44371</v>
      </c>
      <c r="B650" s="53" t="s">
        <v>1221</v>
      </c>
      <c r="C650" s="5">
        <v>2519439.0600000024</v>
      </c>
      <c r="D650" s="5">
        <v>22560.939999997616</v>
      </c>
      <c r="E650" s="169">
        <f>+IF(FINANCIACION[[#This Row],[$ CAPITAL]]&gt;=0,FINANCIACION[[#This Row],[$ CAPITAL]]+FINANCIACION[[#This Row],[$ INTERESES]],"")</f>
        <v>2542000</v>
      </c>
      <c r="F650" s="169">
        <f>+SUMIFS(FINANCIACION[$ CAPITAL],FINANCIACION[Fecha],"&lt;="&amp;FINANCIACION[[#This Row],[Fecha]],FINANCIACION[PRESTAMO],FINANCIACION[[#This Row],[PRESTAMO]])</f>
        <v>-52299048.060000002</v>
      </c>
      <c r="G650" s="56"/>
      <c r="H650" s="8"/>
      <c r="I650" s="5">
        <f>IF(FINANCIACION[[#This Row],[$ CAPITAL]]&gt;0,FINANCIACION[[#This Row],[$ CAPITAL]])</f>
        <v>2519439.0600000024</v>
      </c>
      <c r="J650" s="36">
        <f>IF(FINANCIACION[[#This Row],[$ CAPITAL]]&gt;=0,FINANCIACION[[#This Row],[$ CAPITAL]]+FINANCIACION[[#This Row],[$ INTERESES]],0)</f>
        <v>2542000</v>
      </c>
    </row>
    <row r="651" spans="1:10" ht="24" hidden="1" customHeight="1" x14ac:dyDescent="0.25">
      <c r="A651" s="7">
        <v>44372</v>
      </c>
      <c r="B651" s="53" t="s">
        <v>1222</v>
      </c>
      <c r="C651" s="5">
        <v>3713546.1699999869</v>
      </c>
      <c r="D651" s="5">
        <v>36453.830000013113</v>
      </c>
      <c r="E651" s="169">
        <f>+IF(FINANCIACION[[#This Row],[$ CAPITAL]]&gt;=0,FINANCIACION[[#This Row],[$ CAPITAL]]+FINANCIACION[[#This Row],[$ INTERESES]],"")</f>
        <v>3750000</v>
      </c>
      <c r="F651" s="169">
        <f>+SUMIFS(FINANCIACION[$ CAPITAL],FINANCIACION[Fecha],"&lt;="&amp;FINANCIACION[[#This Row],[Fecha]],FINANCIACION[PRESTAMO],FINANCIACION[[#This Row],[PRESTAMO]])</f>
        <v>-75853658.510000005</v>
      </c>
      <c r="G651" s="56"/>
      <c r="H651" s="8"/>
      <c r="I651" s="5">
        <f>IF(FINANCIACION[[#This Row],[$ CAPITAL]]&gt;0,FINANCIACION[[#This Row],[$ CAPITAL]])</f>
        <v>3713546.1699999869</v>
      </c>
      <c r="J651" s="36">
        <f>IF(FINANCIACION[[#This Row],[$ CAPITAL]]&gt;=0,FINANCIACION[[#This Row],[$ CAPITAL]]+FINANCIACION[[#This Row],[$ INTERESES]],0)</f>
        <v>3750000</v>
      </c>
    </row>
    <row r="652" spans="1:10" ht="24" hidden="1" customHeight="1" x14ac:dyDescent="0.25">
      <c r="A652" s="7">
        <v>44373</v>
      </c>
      <c r="B652" s="53" t="s">
        <v>1223</v>
      </c>
      <c r="C652" s="5">
        <v>993488.5700000003</v>
      </c>
      <c r="D652" s="5">
        <v>9511.429999999702</v>
      </c>
      <c r="E652" s="169">
        <f>+IF(FINANCIACION[[#This Row],[$ CAPITAL]]&gt;=0,FINANCIACION[[#This Row],[$ CAPITAL]]+FINANCIACION[[#This Row],[$ INTERESES]],"")</f>
        <v>1003000</v>
      </c>
      <c r="F652" s="169">
        <f>+SUMIFS(FINANCIACION[$ CAPITAL],FINANCIACION[Fecha],"&lt;="&amp;FINANCIACION[[#This Row],[Fecha]],FINANCIACION[PRESTAMO],FINANCIACION[[#This Row],[PRESTAMO]])</f>
        <v>-21288613.34</v>
      </c>
      <c r="G652" s="56"/>
      <c r="H652" s="8"/>
      <c r="I652" s="5">
        <f>IF(FINANCIACION[[#This Row],[$ CAPITAL]]&gt;0,FINANCIACION[[#This Row],[$ CAPITAL]])</f>
        <v>993488.5700000003</v>
      </c>
      <c r="J652" s="36">
        <f>IF(FINANCIACION[[#This Row],[$ CAPITAL]]&gt;=0,FINANCIACION[[#This Row],[$ CAPITAL]]+FINANCIACION[[#This Row],[$ INTERESES]],0)</f>
        <v>1003000</v>
      </c>
    </row>
    <row r="653" spans="1:10" ht="24" hidden="1" customHeight="1" x14ac:dyDescent="0.25">
      <c r="A653" s="7">
        <v>44374</v>
      </c>
      <c r="B653" s="53" t="s">
        <v>1225</v>
      </c>
      <c r="C653" s="5">
        <v>1046623.2200000025</v>
      </c>
      <c r="D653" s="5">
        <v>10376.779999997467</v>
      </c>
      <c r="E653" s="169">
        <f>+IF(FINANCIACION[[#This Row],[$ CAPITAL]]&gt;=0,FINANCIACION[[#This Row],[$ CAPITAL]]+FINANCIACION[[#This Row],[$ INTERESES]],"")</f>
        <v>1057000</v>
      </c>
      <c r="F653" s="169">
        <f>+SUMIFS(FINANCIACION[$ CAPITAL],FINANCIACION[Fecha],"&lt;="&amp;FINANCIACION[[#This Row],[Fecha]],FINANCIACION[PRESTAMO],FINANCIACION[[#This Row],[PRESTAMO]])</f>
        <v>-23225449.379999999</v>
      </c>
      <c r="G653" s="56"/>
      <c r="H653" s="8"/>
      <c r="I653" s="5">
        <f>IF(FINANCIACION[[#This Row],[$ CAPITAL]]&gt;0,FINANCIACION[[#This Row],[$ CAPITAL]])</f>
        <v>1046623.2200000025</v>
      </c>
      <c r="J653" s="36">
        <f>IF(FINANCIACION[[#This Row],[$ CAPITAL]]&gt;=0,FINANCIACION[[#This Row],[$ CAPITAL]]+FINANCIACION[[#This Row],[$ INTERESES]],0)</f>
        <v>1057000</v>
      </c>
    </row>
    <row r="654" spans="1:10" ht="24" hidden="1" customHeight="1" x14ac:dyDescent="0.25">
      <c r="A654" s="7">
        <v>44375</v>
      </c>
      <c r="B654" s="53" t="s">
        <v>1217</v>
      </c>
      <c r="C654" s="5">
        <v>11613334</v>
      </c>
      <c r="D654" s="5">
        <v>235877</v>
      </c>
      <c r="E654" s="169">
        <f>+IF(FINANCIACION[[#This Row],[$ CAPITAL]]&gt;=0,FINANCIACION[[#This Row],[$ CAPITAL]]+FINANCIACION[[#This Row],[$ INTERESES]],"")</f>
        <v>11849211</v>
      </c>
      <c r="F654" s="169">
        <f>+SUMIFS(FINANCIACION[$ CAPITAL],FINANCIACION[Fecha],"&lt;="&amp;FINANCIACION[[#This Row],[Fecha]],FINANCIACION[PRESTAMO],FINANCIACION[[#This Row],[PRESTAMO]])</f>
        <v>-344444698</v>
      </c>
      <c r="G654" s="56"/>
      <c r="H654" s="8"/>
      <c r="I654" s="5">
        <f>IF(FINANCIACION[[#This Row],[$ CAPITAL]]&gt;0,FINANCIACION[[#This Row],[$ CAPITAL]])</f>
        <v>11613334</v>
      </c>
      <c r="J654" s="36">
        <f>IF(FINANCIACION[[#This Row],[$ CAPITAL]]&gt;=0,FINANCIACION[[#This Row],[$ CAPITAL]]+FINANCIACION[[#This Row],[$ INTERESES]],0)</f>
        <v>11849211</v>
      </c>
    </row>
    <row r="655" spans="1:10" ht="24" hidden="1" customHeight="1" x14ac:dyDescent="0.25">
      <c r="A655" s="7">
        <v>44377</v>
      </c>
      <c r="B655" s="53" t="s">
        <v>193</v>
      </c>
      <c r="C655" s="5">
        <v>1468400</v>
      </c>
      <c r="D655" s="5">
        <v>453711</v>
      </c>
      <c r="E655" s="169">
        <f>+IF(FINANCIACION[[#This Row],[$ CAPITAL]]&gt;=0,FINANCIACION[[#This Row],[$ CAPITAL]]+FINANCIACION[[#This Row],[$ INTERESES]],"")</f>
        <v>1922111</v>
      </c>
      <c r="F655" s="169">
        <f>+SUMIFS(FINANCIACION[$ CAPITAL],FINANCIACION[Fecha],"&lt;="&amp;FINANCIACION[[#This Row],[Fecha]],FINANCIACION[PRESTAMO],FINANCIACION[[#This Row],[PRESTAMO]])</f>
        <v>-48457200</v>
      </c>
      <c r="G655" s="56"/>
      <c r="H655" s="8"/>
      <c r="I655" s="5">
        <f>IF(FINANCIACION[[#This Row],[$ CAPITAL]]&gt;0,FINANCIACION[[#This Row],[$ CAPITAL]])</f>
        <v>1468400</v>
      </c>
      <c r="J655" s="36">
        <f>IF(FINANCIACION[[#This Row],[$ CAPITAL]]&gt;=0,FINANCIACION[[#This Row],[$ CAPITAL]]+FINANCIACION[[#This Row],[$ INTERESES]],0)</f>
        <v>1922111</v>
      </c>
    </row>
    <row r="656" spans="1:10" ht="24" hidden="1" customHeight="1" x14ac:dyDescent="0.25">
      <c r="A656" s="7">
        <v>44377</v>
      </c>
      <c r="B656" s="53" t="s">
        <v>194</v>
      </c>
      <c r="C656" s="5">
        <v>76791</v>
      </c>
      <c r="D656" s="5"/>
      <c r="E656" s="169">
        <f>+IF(FINANCIACION[[#This Row],[$ CAPITAL]]&gt;=0,FINANCIACION[[#This Row],[$ CAPITAL]]+FINANCIACION[[#This Row],[$ INTERESES]],"")</f>
        <v>76791</v>
      </c>
      <c r="F656" s="169">
        <f>+SUMIFS(FINANCIACION[$ CAPITAL],FINANCIACION[Fecha],"&lt;="&amp;FINANCIACION[[#This Row],[Fecha]],FINANCIACION[PRESTAMO],FINANCIACION[[#This Row],[PRESTAMO]])</f>
        <v>-2534103</v>
      </c>
      <c r="G656" s="56"/>
      <c r="H656" s="8"/>
      <c r="I656" s="5">
        <f>IF(FINANCIACION[[#This Row],[$ CAPITAL]]&gt;0,FINANCIACION[[#This Row],[$ CAPITAL]])</f>
        <v>76791</v>
      </c>
      <c r="J656" s="36">
        <f>IF(FINANCIACION[[#This Row],[$ CAPITAL]]&gt;=0,FINANCIACION[[#This Row],[$ CAPITAL]]+FINANCIACION[[#This Row],[$ INTERESES]],0)</f>
        <v>76791</v>
      </c>
    </row>
    <row r="657" spans="1:10" ht="24" hidden="1" customHeight="1" x14ac:dyDescent="0.25">
      <c r="A657" s="7">
        <v>44377</v>
      </c>
      <c r="B657" s="53" t="s">
        <v>418</v>
      </c>
      <c r="C657" s="5">
        <v>-22522714</v>
      </c>
      <c r="D657" s="5"/>
      <c r="E657" s="169" t="str">
        <f>+IF(FINANCIACION[[#This Row],[$ CAPITAL]]&gt;=0,FINANCIACION[[#This Row],[$ CAPITAL]]+FINANCIACION[[#This Row],[$ INTERESES]],"")</f>
        <v/>
      </c>
      <c r="F657" s="169">
        <f>+SUMIFS(FINANCIACION[$ CAPITAL],FINANCIACION[Fecha],"&lt;="&amp;FINANCIACION[[#This Row],[Fecha]],FINANCIACION[PRESTAMO],FINANCIACION[[#This Row],[PRESTAMO]])</f>
        <v>-22522714</v>
      </c>
      <c r="G657" s="56" t="s">
        <v>419</v>
      </c>
      <c r="H657" s="8">
        <v>-5927.03</v>
      </c>
      <c r="I657" s="5" t="b">
        <f>IF(FINANCIACION[[#This Row],[$ CAPITAL]]&gt;0,FINANCIACION[[#This Row],[$ CAPITAL]])</f>
        <v>0</v>
      </c>
      <c r="J657" s="36">
        <f>IF(FINANCIACION[[#This Row],[$ CAPITAL]]&gt;=0,FINANCIACION[[#This Row],[$ CAPITAL]]+FINANCIACION[[#This Row],[$ INTERESES]],0)</f>
        <v>0</v>
      </c>
    </row>
    <row r="658" spans="1:10" ht="24" hidden="1" customHeight="1" x14ac:dyDescent="0.25">
      <c r="A658" s="7">
        <v>44377</v>
      </c>
      <c r="B658" s="53" t="s">
        <v>201</v>
      </c>
      <c r="C658" s="5">
        <v>-1409465</v>
      </c>
      <c r="D658" s="5"/>
      <c r="E658" s="169" t="str">
        <f>+IF(FINANCIACION[[#This Row],[$ CAPITAL]]&gt;=0,FINANCIACION[[#This Row],[$ CAPITAL]]+FINANCIACION[[#This Row],[$ INTERESES]],"")</f>
        <v/>
      </c>
      <c r="F658" s="169">
        <f>+SUMIFS(FINANCIACION[$ CAPITAL],FINANCIACION[Fecha],"&lt;="&amp;FINANCIACION[[#This Row],[Fecha]],FINANCIACION[PRESTAMO],FINANCIACION[[#This Row],[PRESTAMO]])</f>
        <v>-1409465</v>
      </c>
      <c r="G658" s="56" t="s">
        <v>231</v>
      </c>
      <c r="H658" s="8"/>
      <c r="I658" s="5" t="b">
        <f>IF(FINANCIACION[[#This Row],[$ CAPITAL]]&gt;0,FINANCIACION[[#This Row],[$ CAPITAL]])</f>
        <v>0</v>
      </c>
      <c r="J658" s="36">
        <f>IF(FINANCIACION[[#This Row],[$ CAPITAL]]&gt;=0,FINANCIACION[[#This Row],[$ CAPITAL]]+FINANCIACION[[#This Row],[$ INTERESES]],0)</f>
        <v>0</v>
      </c>
    </row>
    <row r="659" spans="1:10" ht="24" hidden="1" customHeight="1" x14ac:dyDescent="0.25">
      <c r="A659" s="7">
        <v>44377</v>
      </c>
      <c r="B659" s="53" t="s">
        <v>202</v>
      </c>
      <c r="C659" s="5">
        <v>1790</v>
      </c>
      <c r="D659" s="5"/>
      <c r="E659" s="169">
        <f>+IF(FINANCIACION[[#This Row],[$ CAPITAL]]&gt;=0,FINANCIACION[[#This Row],[$ CAPITAL]]+FINANCIACION[[#This Row],[$ INTERESES]],"")</f>
        <v>1790</v>
      </c>
      <c r="F659" s="169">
        <f>+SUMIFS(FINANCIACION[$ CAPITAL],FINANCIACION[Fecha],"&lt;="&amp;FINANCIACION[[#This Row],[Fecha]],FINANCIACION[PRESTAMO],FINANCIACION[[#This Row],[PRESTAMO]])</f>
        <v>-23753800</v>
      </c>
      <c r="G659" s="56" t="s">
        <v>231</v>
      </c>
      <c r="H659" s="8"/>
      <c r="I659" s="5">
        <f>IF(FINANCIACION[[#This Row],[$ CAPITAL]]&gt;0,FINANCIACION[[#This Row],[$ CAPITAL]])</f>
        <v>1790</v>
      </c>
      <c r="J659" s="36">
        <f>IF(FINANCIACION[[#This Row],[$ CAPITAL]]&gt;=0,FINANCIACION[[#This Row],[$ CAPITAL]]+FINANCIACION[[#This Row],[$ INTERESES]],0)</f>
        <v>1790</v>
      </c>
    </row>
    <row r="660" spans="1:10" ht="24" hidden="1" customHeight="1" x14ac:dyDescent="0.25">
      <c r="A660" s="7">
        <v>44377</v>
      </c>
      <c r="B660" s="53" t="s">
        <v>203</v>
      </c>
      <c r="C660" s="5">
        <v>-2469502</v>
      </c>
      <c r="D660" s="5"/>
      <c r="E660" s="169" t="str">
        <f>+IF(FINANCIACION[[#This Row],[$ CAPITAL]]&gt;=0,FINANCIACION[[#This Row],[$ CAPITAL]]+FINANCIACION[[#This Row],[$ INTERESES]],"")</f>
        <v/>
      </c>
      <c r="F660" s="169">
        <f>+SUMIFS(FINANCIACION[$ CAPITAL],FINANCIACION[Fecha],"&lt;="&amp;FINANCIACION[[#This Row],[Fecha]],FINANCIACION[PRESTAMO],FINANCIACION[[#This Row],[PRESTAMO]])</f>
        <v>-5919563</v>
      </c>
      <c r="G660" s="56" t="s">
        <v>231</v>
      </c>
      <c r="H660" s="8"/>
      <c r="I660" s="5" t="b">
        <f>IF(FINANCIACION[[#This Row],[$ CAPITAL]]&gt;0,FINANCIACION[[#This Row],[$ CAPITAL]])</f>
        <v>0</v>
      </c>
      <c r="J660" s="36">
        <f>IF(FINANCIACION[[#This Row],[$ CAPITAL]]&gt;=0,FINANCIACION[[#This Row],[$ CAPITAL]]+FINANCIACION[[#This Row],[$ INTERESES]],0)</f>
        <v>0</v>
      </c>
    </row>
    <row r="661" spans="1:10" ht="24" hidden="1" customHeight="1" x14ac:dyDescent="0.25">
      <c r="A661" s="7">
        <v>44379</v>
      </c>
      <c r="B661" s="53" t="s">
        <v>197</v>
      </c>
      <c r="C661" s="5">
        <v>6326000</v>
      </c>
      <c r="D661" s="5">
        <v>365283.37</v>
      </c>
      <c r="E661" s="169">
        <f>+IF(FINANCIACION[[#This Row],[$ CAPITAL]]&gt;=0,FINANCIACION[[#This Row],[$ CAPITAL]]+FINANCIACION[[#This Row],[$ INTERESES]],"")</f>
        <v>6691283.3700000001</v>
      </c>
      <c r="F661" s="169">
        <f>+SUMIFS(FINANCIACION[$ CAPITAL],FINANCIACION[Fecha],"&lt;="&amp;FINANCIACION[[#This Row],[Fecha]],FINANCIACION[PRESTAMO],FINANCIACION[[#This Row],[PRESTAMO]])</f>
        <v>-47713126</v>
      </c>
      <c r="G661" s="56"/>
      <c r="H661" s="8"/>
      <c r="I661" s="5">
        <f>IF(FINANCIACION[[#This Row],[$ CAPITAL]]&gt;0,FINANCIACION[[#This Row],[$ CAPITAL]])</f>
        <v>6326000</v>
      </c>
      <c r="J661" s="36">
        <f>IF(FINANCIACION[[#This Row],[$ CAPITAL]]&gt;=0,FINANCIACION[[#This Row],[$ CAPITAL]]+FINANCIACION[[#This Row],[$ INTERESES]],0)</f>
        <v>6691283.3700000001</v>
      </c>
    </row>
    <row r="662" spans="1:10" ht="24" hidden="1" customHeight="1" x14ac:dyDescent="0.25">
      <c r="A662" s="7">
        <v>44389</v>
      </c>
      <c r="B662" s="53" t="s">
        <v>1216</v>
      </c>
      <c r="C662" s="5">
        <v>3000000</v>
      </c>
      <c r="D662" s="5"/>
      <c r="E662" s="169">
        <f>+IF(FINANCIACION[[#This Row],[$ CAPITAL]]&gt;=0,FINANCIACION[[#This Row],[$ CAPITAL]]+FINANCIACION[[#This Row],[$ INTERESES]],"")</f>
        <v>3000000</v>
      </c>
      <c r="F662" s="169">
        <f>+SUMIFS(FINANCIACION[$ CAPITAL],FINANCIACION[Fecha],"&lt;="&amp;FINANCIACION[[#This Row],[Fecha]],FINANCIACION[PRESTAMO],FINANCIACION[[#This Row],[PRESTAMO]])</f>
        <v>-73257514.515414</v>
      </c>
      <c r="G662" s="56"/>
      <c r="H662" s="8"/>
      <c r="I662" s="5">
        <f>IF(FINANCIACION[[#This Row],[$ CAPITAL]]&gt;0,FINANCIACION[[#This Row],[$ CAPITAL]])</f>
        <v>3000000</v>
      </c>
      <c r="J662" s="36">
        <f>IF(FINANCIACION[[#This Row],[$ CAPITAL]]&gt;=0,FINANCIACION[[#This Row],[$ CAPITAL]]+FINANCIACION[[#This Row],[$ INTERESES]],0)</f>
        <v>3000000</v>
      </c>
    </row>
    <row r="663" spans="1:10" ht="24" hidden="1" customHeight="1" x14ac:dyDescent="0.25">
      <c r="A663" s="7">
        <v>44389</v>
      </c>
      <c r="B663" s="53" t="s">
        <v>201</v>
      </c>
      <c r="C663" s="5">
        <v>1000000</v>
      </c>
      <c r="D663" s="5"/>
      <c r="E663" s="169">
        <f>+IF(FINANCIACION[[#This Row],[$ CAPITAL]]&gt;=0,FINANCIACION[[#This Row],[$ CAPITAL]]+FINANCIACION[[#This Row],[$ INTERESES]],"")</f>
        <v>1000000</v>
      </c>
      <c r="F663" s="169">
        <f>+SUMIFS(FINANCIACION[$ CAPITAL],FINANCIACION[Fecha],"&lt;="&amp;FINANCIACION[[#This Row],[Fecha]],FINANCIACION[PRESTAMO],FINANCIACION[[#This Row],[PRESTAMO]])</f>
        <v>-409465</v>
      </c>
      <c r="G663" s="56"/>
      <c r="H663" s="8"/>
      <c r="I663" s="5">
        <f>IF(FINANCIACION[[#This Row],[$ CAPITAL]]&gt;0,FINANCIACION[[#This Row],[$ CAPITAL]])</f>
        <v>1000000</v>
      </c>
      <c r="J663" s="36">
        <f>IF(FINANCIACION[[#This Row],[$ CAPITAL]]&gt;=0,FINANCIACION[[#This Row],[$ CAPITAL]]+FINANCIACION[[#This Row],[$ INTERESES]],0)</f>
        <v>1000000</v>
      </c>
    </row>
    <row r="664" spans="1:10" ht="24" hidden="1" customHeight="1" x14ac:dyDescent="0.25">
      <c r="A664" s="7">
        <v>44389</v>
      </c>
      <c r="B664" s="53" t="s">
        <v>202</v>
      </c>
      <c r="C664" s="5">
        <v>3829460</v>
      </c>
      <c r="D664" s="5"/>
      <c r="E664" s="169">
        <f>+IF(FINANCIACION[[#This Row],[$ CAPITAL]]&gt;=0,FINANCIACION[[#This Row],[$ CAPITAL]]+FINANCIACION[[#This Row],[$ INTERESES]],"")</f>
        <v>3829460</v>
      </c>
      <c r="F664" s="169">
        <f>+SUMIFS(FINANCIACION[$ CAPITAL],FINANCIACION[Fecha],"&lt;="&amp;FINANCIACION[[#This Row],[Fecha]],FINANCIACION[PRESTAMO],FINANCIACION[[#This Row],[PRESTAMO]])</f>
        <v>-19924340</v>
      </c>
      <c r="G664" s="56"/>
      <c r="H664" s="8"/>
      <c r="I664" s="5">
        <f>IF(FINANCIACION[[#This Row],[$ CAPITAL]]&gt;0,FINANCIACION[[#This Row],[$ CAPITAL]])</f>
        <v>3829460</v>
      </c>
      <c r="J664" s="36">
        <f>IF(FINANCIACION[[#This Row],[$ CAPITAL]]&gt;=0,FINANCIACION[[#This Row],[$ CAPITAL]]+FINANCIACION[[#This Row],[$ INTERESES]],0)</f>
        <v>3829460</v>
      </c>
    </row>
    <row r="665" spans="1:10" ht="24" hidden="1" customHeight="1" x14ac:dyDescent="0.25">
      <c r="A665" s="7">
        <v>44389</v>
      </c>
      <c r="B665" s="53" t="s">
        <v>203</v>
      </c>
      <c r="C665" s="5">
        <v>1000000</v>
      </c>
      <c r="D665" s="5"/>
      <c r="E665" s="169">
        <f>+IF(FINANCIACION[[#This Row],[$ CAPITAL]]&gt;=0,FINANCIACION[[#This Row],[$ CAPITAL]]+FINANCIACION[[#This Row],[$ INTERESES]],"")</f>
        <v>1000000</v>
      </c>
      <c r="F665" s="169">
        <f>+SUMIFS(FINANCIACION[$ CAPITAL],FINANCIACION[Fecha],"&lt;="&amp;FINANCIACION[[#This Row],[Fecha]],FINANCIACION[PRESTAMO],FINANCIACION[[#This Row],[PRESTAMO]])</f>
        <v>-4919563</v>
      </c>
      <c r="G665" s="56"/>
      <c r="H665" s="8"/>
      <c r="I665" s="5">
        <f>IF(FINANCIACION[[#This Row],[$ CAPITAL]]&gt;0,FINANCIACION[[#This Row],[$ CAPITAL]])</f>
        <v>1000000</v>
      </c>
      <c r="J665" s="36">
        <f>IF(FINANCIACION[[#This Row],[$ CAPITAL]]&gt;=0,FINANCIACION[[#This Row],[$ CAPITAL]]+FINANCIACION[[#This Row],[$ INTERESES]],0)</f>
        <v>1000000</v>
      </c>
    </row>
    <row r="666" spans="1:10" ht="24" hidden="1" customHeight="1" x14ac:dyDescent="0.25">
      <c r="A666" s="7">
        <v>44390</v>
      </c>
      <c r="B666" s="53" t="s">
        <v>1226</v>
      </c>
      <c r="C666" s="5"/>
      <c r="D666" s="5">
        <v>130000</v>
      </c>
      <c r="E666" s="169">
        <f>+IF(FINANCIACION[[#This Row],[$ CAPITAL]]&gt;=0,FINANCIACION[[#This Row],[$ CAPITAL]]+FINANCIACION[[#This Row],[$ INTERESES]],"")</f>
        <v>130000</v>
      </c>
      <c r="F666" s="169">
        <f>+SUMIFS(FINANCIACION[$ CAPITAL],FINANCIACION[Fecha],"&lt;="&amp;FINANCIACION[[#This Row],[Fecha]],FINANCIACION[PRESTAMO],FINANCIACION[[#This Row],[PRESTAMO]])</f>
        <v>-13000000</v>
      </c>
      <c r="G666" s="56"/>
      <c r="H666" s="8"/>
      <c r="I666" s="5" t="b">
        <f>IF(FINANCIACION[[#This Row],[$ CAPITAL]]&gt;0,FINANCIACION[[#This Row],[$ CAPITAL]])</f>
        <v>0</v>
      </c>
      <c r="J666" s="36">
        <f>IF(FINANCIACION[[#This Row],[$ CAPITAL]]&gt;=0,FINANCIACION[[#This Row],[$ CAPITAL]]+FINANCIACION[[#This Row],[$ INTERESES]],0)</f>
        <v>130000</v>
      </c>
    </row>
    <row r="667" spans="1:10" ht="24" hidden="1" customHeight="1" x14ac:dyDescent="0.25">
      <c r="A667" s="7">
        <v>44390</v>
      </c>
      <c r="B667" s="53" t="s">
        <v>1215</v>
      </c>
      <c r="C667" s="5">
        <v>1859999.0763010732</v>
      </c>
      <c r="D667" s="5">
        <v>807378.92369892669</v>
      </c>
      <c r="E667" s="169">
        <f>+IF(FINANCIACION[[#This Row],[$ CAPITAL]]&gt;=0,FINANCIACION[[#This Row],[$ CAPITAL]]+FINANCIACION[[#This Row],[$ INTERESES]],"")</f>
        <v>2667378</v>
      </c>
      <c r="F667" s="169">
        <f>+SUMIFS(FINANCIACION[$ CAPITAL],FINANCIACION[Fecha],"&lt;="&amp;FINANCIACION[[#This Row],[Fecha]],FINANCIACION[PRESTAMO],FINANCIACION[[#This Row],[PRESTAMO]])</f>
        <v>-78877893.293591604</v>
      </c>
      <c r="G667" s="8"/>
      <c r="H667" s="8"/>
      <c r="I667" s="5">
        <f>IF(FINANCIACION[[#This Row],[$ CAPITAL]]&gt;0,FINANCIACION[[#This Row],[$ CAPITAL]])</f>
        <v>1859999.0763010732</v>
      </c>
      <c r="J667" s="36">
        <f>IF(FINANCIACION[[#This Row],[$ CAPITAL]]&gt;=0,FINANCIACION[[#This Row],[$ CAPITAL]]+FINANCIACION[[#This Row],[$ INTERESES]],0)</f>
        <v>2667378</v>
      </c>
    </row>
    <row r="668" spans="1:10" ht="24" hidden="1" customHeight="1" x14ac:dyDescent="0.25">
      <c r="A668" s="7">
        <v>44390</v>
      </c>
      <c r="B668" s="53" t="s">
        <v>1219</v>
      </c>
      <c r="C668" s="5">
        <v>720386.45920000004</v>
      </c>
      <c r="D668" s="5">
        <v>579613.54079999996</v>
      </c>
      <c r="E668" s="169">
        <f>+IF(FINANCIACION[[#This Row],[$ CAPITAL]]&gt;=0,FINANCIACION[[#This Row],[$ CAPITAL]]+FINANCIACION[[#This Row],[$ INTERESES]],"")</f>
        <v>1300000</v>
      </c>
      <c r="F668" s="169">
        <f>+SUMIFS(FINANCIACION[$ CAPITAL],FINANCIACION[Fecha],"&lt;="&amp;FINANCIACION[[#This Row],[Fecha]],FINANCIACION[PRESTAMO],FINANCIACION[[#This Row],[PRESTAMO]])</f>
        <v>-57240967.620799996</v>
      </c>
      <c r="G668" s="56"/>
      <c r="H668" s="8"/>
      <c r="I668" s="5">
        <f>IF(FINANCIACION[[#This Row],[$ CAPITAL]]&gt;0,FINANCIACION[[#This Row],[$ CAPITAL]])</f>
        <v>720386.45920000004</v>
      </c>
      <c r="J668" s="36">
        <f>IF(FINANCIACION[[#This Row],[$ CAPITAL]]&gt;=0,FINANCIACION[[#This Row],[$ CAPITAL]]+FINANCIACION[[#This Row],[$ INTERESES]],0)</f>
        <v>1300000</v>
      </c>
    </row>
    <row r="669" spans="1:10" ht="24" hidden="1" customHeight="1" x14ac:dyDescent="0.25">
      <c r="A669" s="7">
        <v>44390</v>
      </c>
      <c r="B669" s="53" t="s">
        <v>1216</v>
      </c>
      <c r="C669" s="5">
        <v>467424.85484586004</v>
      </c>
      <c r="D669" s="5">
        <v>732575.14515413996</v>
      </c>
      <c r="E669" s="169">
        <f>+IF(FINANCIACION[[#This Row],[$ CAPITAL]]&gt;=0,FINANCIACION[[#This Row],[$ CAPITAL]]+FINANCIACION[[#This Row],[$ INTERESES]],"")</f>
        <v>1200000</v>
      </c>
      <c r="F669" s="169">
        <f>+SUMIFS(FINANCIACION[$ CAPITAL],FINANCIACION[Fecha],"&lt;="&amp;FINANCIACION[[#This Row],[Fecha]],FINANCIACION[PRESTAMO],FINANCIACION[[#This Row],[PRESTAMO]])</f>
        <v>-72790089.660568133</v>
      </c>
      <c r="G669" s="56"/>
      <c r="H669" s="8"/>
      <c r="I669" s="5">
        <f>IF(FINANCIACION[[#This Row],[$ CAPITAL]]&gt;0,FINANCIACION[[#This Row],[$ CAPITAL]])</f>
        <v>467424.85484586004</v>
      </c>
      <c r="J669" s="36">
        <f>IF(FINANCIACION[[#This Row],[$ CAPITAL]]&gt;=0,FINANCIACION[[#This Row],[$ CAPITAL]]+FINANCIACION[[#This Row],[$ INTERESES]],0)</f>
        <v>1200000</v>
      </c>
    </row>
    <row r="670" spans="1:10" ht="24" hidden="1" customHeight="1" x14ac:dyDescent="0.25">
      <c r="A670" s="7">
        <v>44390</v>
      </c>
      <c r="B670" s="53" t="s">
        <v>1228</v>
      </c>
      <c r="C670" s="5"/>
      <c r="D670" s="5">
        <v>120000</v>
      </c>
      <c r="E670" s="169">
        <f>+IF(FINANCIACION[[#This Row],[$ CAPITAL]]&gt;=0,FINANCIACION[[#This Row],[$ CAPITAL]]+FINANCIACION[[#This Row],[$ INTERESES]],"")</f>
        <v>120000</v>
      </c>
      <c r="F670" s="169">
        <f>+SUMIFS(FINANCIACION[$ CAPITAL],FINANCIACION[Fecha],"&lt;="&amp;FINANCIACION[[#This Row],[Fecha]],FINANCIACION[PRESTAMO],FINANCIACION[[#This Row],[PRESTAMO]])</f>
        <v>-12000000</v>
      </c>
      <c r="G670" s="56"/>
      <c r="H670" s="8"/>
      <c r="I670" s="5" t="b">
        <f>IF(FINANCIACION[[#This Row],[$ CAPITAL]]&gt;0,FINANCIACION[[#This Row],[$ CAPITAL]])</f>
        <v>0</v>
      </c>
      <c r="J670" s="36">
        <f>IF(FINANCIACION[[#This Row],[$ CAPITAL]]&gt;=0,FINANCIACION[[#This Row],[$ CAPITAL]]+FINANCIACION[[#This Row],[$ INTERESES]],0)</f>
        <v>120000</v>
      </c>
    </row>
    <row r="671" spans="1:10" ht="24" customHeight="1" x14ac:dyDescent="0.25">
      <c r="A671" s="7">
        <v>44391</v>
      </c>
      <c r="B671" s="53" t="s">
        <v>200</v>
      </c>
      <c r="C671" s="5"/>
      <c r="D671" s="5">
        <v>227850</v>
      </c>
      <c r="E671" s="169">
        <f>+IF(FINANCIACION[[#This Row],[$ CAPITAL]]&gt;=0,FINANCIACION[[#This Row],[$ CAPITAL]]+FINANCIACION[[#This Row],[$ INTERESES]],"")</f>
        <v>227850</v>
      </c>
      <c r="F671" s="169">
        <f>+SUMIFS(FINANCIACION[$ CAPITAL],FINANCIACION[Fecha],"&lt;="&amp;FINANCIACION[[#This Row],[Fecha]],FINANCIACION[PRESTAMO],FINANCIACION[[#This Row],[PRESTAMO]])</f>
        <v>-35000000</v>
      </c>
      <c r="G671" s="56"/>
      <c r="H671" s="8"/>
      <c r="I671" s="5" t="b">
        <f>IF(FINANCIACION[[#This Row],[$ CAPITAL]]&gt;0,FINANCIACION[[#This Row],[$ CAPITAL]])</f>
        <v>0</v>
      </c>
      <c r="J671" s="36">
        <f>IF(FINANCIACION[[#This Row],[$ CAPITAL]]&gt;=0,FINANCIACION[[#This Row],[$ CAPITAL]]+FINANCIACION[[#This Row],[$ INTERESES]],0)</f>
        <v>227850</v>
      </c>
    </row>
    <row r="672" spans="1:10" ht="24" hidden="1" customHeight="1" x14ac:dyDescent="0.25">
      <c r="A672" s="7">
        <v>44396</v>
      </c>
      <c r="B672" s="53" t="s">
        <v>201</v>
      </c>
      <c r="C672" s="5">
        <v>484706</v>
      </c>
      <c r="D672" s="5"/>
      <c r="E672" s="169">
        <f>+IF(FINANCIACION[[#This Row],[$ CAPITAL]]&gt;=0,FINANCIACION[[#This Row],[$ CAPITAL]]+FINANCIACION[[#This Row],[$ INTERESES]],"")</f>
        <v>484706</v>
      </c>
      <c r="F672" s="169">
        <f>+SUMIFS(FINANCIACION[$ CAPITAL],FINANCIACION[Fecha],"&lt;="&amp;FINANCIACION[[#This Row],[Fecha]],FINANCIACION[PRESTAMO],FINANCIACION[[#This Row],[PRESTAMO]])</f>
        <v>75241</v>
      </c>
      <c r="G672" s="56"/>
      <c r="H672" s="8"/>
      <c r="I672" s="5">
        <f>IF(FINANCIACION[[#This Row],[$ CAPITAL]]&gt;0,FINANCIACION[[#This Row],[$ CAPITAL]])</f>
        <v>484706</v>
      </c>
      <c r="J672" s="36">
        <f>IF(FINANCIACION[[#This Row],[$ CAPITAL]]&gt;=0,FINANCIACION[[#This Row],[$ CAPITAL]]+FINANCIACION[[#This Row],[$ INTERESES]],0)</f>
        <v>484706</v>
      </c>
    </row>
    <row r="673" spans="1:10" ht="24" hidden="1" customHeight="1" x14ac:dyDescent="0.25">
      <c r="A673" s="7">
        <v>44396</v>
      </c>
      <c r="B673" s="53" t="s">
        <v>202</v>
      </c>
      <c r="C673" s="5">
        <v>3808460</v>
      </c>
      <c r="D673" s="5"/>
      <c r="E673" s="169">
        <f>+IF(FINANCIACION[[#This Row],[$ CAPITAL]]&gt;=0,FINANCIACION[[#This Row],[$ CAPITAL]]+FINANCIACION[[#This Row],[$ INTERESES]],"")</f>
        <v>3808460</v>
      </c>
      <c r="F673" s="169">
        <f>+SUMIFS(FINANCIACION[$ CAPITAL],FINANCIACION[Fecha],"&lt;="&amp;FINANCIACION[[#This Row],[Fecha]],FINANCIACION[PRESTAMO],FINANCIACION[[#This Row],[PRESTAMO]])</f>
        <v>-16115880</v>
      </c>
      <c r="G673" s="56"/>
      <c r="H673" s="8"/>
      <c r="I673" s="5">
        <f>IF(FINANCIACION[[#This Row],[$ CAPITAL]]&gt;0,FINANCIACION[[#This Row],[$ CAPITAL]])</f>
        <v>3808460</v>
      </c>
      <c r="J673" s="36">
        <f>IF(FINANCIACION[[#This Row],[$ CAPITAL]]&gt;=0,FINANCIACION[[#This Row],[$ CAPITAL]]+FINANCIACION[[#This Row],[$ INTERESES]],0)</f>
        <v>3808460</v>
      </c>
    </row>
    <row r="674" spans="1:10" ht="24" hidden="1" customHeight="1" x14ac:dyDescent="0.25">
      <c r="A674" s="7">
        <v>44396</v>
      </c>
      <c r="B674" s="53" t="s">
        <v>203</v>
      </c>
      <c r="C674" s="5">
        <v>1000000</v>
      </c>
      <c r="D674" s="5"/>
      <c r="E674" s="169">
        <f>+IF(FINANCIACION[[#This Row],[$ CAPITAL]]&gt;=0,FINANCIACION[[#This Row],[$ CAPITAL]]+FINANCIACION[[#This Row],[$ INTERESES]],"")</f>
        <v>1000000</v>
      </c>
      <c r="F674" s="169">
        <f>+SUMIFS(FINANCIACION[$ CAPITAL],FINANCIACION[Fecha],"&lt;="&amp;FINANCIACION[[#This Row],[Fecha]],FINANCIACION[PRESTAMO],FINANCIACION[[#This Row],[PRESTAMO]])</f>
        <v>-3919563</v>
      </c>
      <c r="G674" s="56"/>
      <c r="H674" s="8"/>
      <c r="I674" s="5">
        <f>IF(FINANCIACION[[#This Row],[$ CAPITAL]]&gt;0,FINANCIACION[[#This Row],[$ CAPITAL]])</f>
        <v>1000000</v>
      </c>
      <c r="J674" s="36">
        <f>IF(FINANCIACION[[#This Row],[$ CAPITAL]]&gt;=0,FINANCIACION[[#This Row],[$ CAPITAL]]+FINANCIACION[[#This Row],[$ INTERESES]],0)</f>
        <v>1000000</v>
      </c>
    </row>
    <row r="675" spans="1:10" ht="24" hidden="1" customHeight="1" x14ac:dyDescent="0.25">
      <c r="A675" s="7">
        <v>44398</v>
      </c>
      <c r="B675" s="53" t="s">
        <v>1218</v>
      </c>
      <c r="C675" s="5">
        <v>1488144.4800000004</v>
      </c>
      <c r="D675" s="5">
        <v>11855.519999999553</v>
      </c>
      <c r="E675" s="169">
        <f>+IF(FINANCIACION[[#This Row],[$ CAPITAL]]&gt;=0,FINANCIACION[[#This Row],[$ CAPITAL]]+FINANCIACION[[#This Row],[$ INTERESES]],"")</f>
        <v>1500000</v>
      </c>
      <c r="F675" s="169">
        <f>+SUMIFS(FINANCIACION[$ CAPITAL],FINANCIACION[Fecha],"&lt;="&amp;FINANCIACION[[#This Row],[Fecha]],FINANCIACION[PRESTAMO],FINANCIACION[[#This Row],[PRESTAMO]])</f>
        <v>-26908672.029999997</v>
      </c>
      <c r="G675" s="56"/>
      <c r="H675" s="8"/>
      <c r="I675" s="5">
        <f>IF(FINANCIACION[[#This Row],[$ CAPITAL]]&gt;0,FINANCIACION[[#This Row],[$ CAPITAL]])</f>
        <v>1488144.4800000004</v>
      </c>
      <c r="J675" s="36">
        <f>IF(FINANCIACION[[#This Row],[$ CAPITAL]]&gt;=0,FINANCIACION[[#This Row],[$ CAPITAL]]+FINANCIACION[[#This Row],[$ INTERESES]],0)</f>
        <v>1500000</v>
      </c>
    </row>
    <row r="676" spans="1:10" ht="24" hidden="1" customHeight="1" x14ac:dyDescent="0.25">
      <c r="A676" s="7">
        <v>44398</v>
      </c>
      <c r="B676" s="53" t="s">
        <v>1229</v>
      </c>
      <c r="C676" s="5">
        <v>1234372.6199999973</v>
      </c>
      <c r="D676" s="5">
        <v>10627.380000002682</v>
      </c>
      <c r="E676" s="169">
        <f>+IF(FINANCIACION[[#This Row],[$ CAPITAL]]&gt;=0,FINANCIACION[[#This Row],[$ CAPITAL]]+FINANCIACION[[#This Row],[$ INTERESES]],"")</f>
        <v>1245000</v>
      </c>
      <c r="F676" s="169">
        <f>+SUMIFS(FINANCIACION[$ CAPITAL],FINANCIACION[Fecha],"&lt;="&amp;FINANCIACION[[#This Row],[Fecha]],FINANCIACION[PRESTAMO],FINANCIACION[[#This Row],[PRESTAMO]])</f>
        <v>-23556223.120000001</v>
      </c>
      <c r="G676" s="8"/>
      <c r="H676" s="8"/>
      <c r="I676" s="5">
        <f>IF(FINANCIACION[[#This Row],[$ CAPITAL]]&gt;0,FINANCIACION[[#This Row],[$ CAPITAL]])</f>
        <v>1234372.6199999973</v>
      </c>
      <c r="J676" s="36">
        <f>IF(FINANCIACION[[#This Row],[$ CAPITAL]]&gt;=0,FINANCIACION[[#This Row],[$ CAPITAL]]+FINANCIACION[[#This Row],[$ INTERESES]],0)</f>
        <v>1245000</v>
      </c>
    </row>
    <row r="677" spans="1:10" ht="24" hidden="1" customHeight="1" x14ac:dyDescent="0.25">
      <c r="A677" s="7">
        <v>44398</v>
      </c>
      <c r="B677" s="53" t="s">
        <v>1221</v>
      </c>
      <c r="C677" s="5">
        <v>2507536.7899999991</v>
      </c>
      <c r="D677" s="5">
        <v>22463.210000000894</v>
      </c>
      <c r="E677" s="169">
        <f>+IF(FINANCIACION[[#This Row],[$ CAPITAL]]&gt;=0,FINANCIACION[[#This Row],[$ CAPITAL]]+FINANCIACION[[#This Row],[$ INTERESES]],"")</f>
        <v>2530000</v>
      </c>
      <c r="F677" s="169">
        <f>+SUMIFS(FINANCIACION[$ CAPITAL],FINANCIACION[Fecha],"&lt;="&amp;FINANCIACION[[#This Row],[Fecha]],FINANCIACION[PRESTAMO],FINANCIACION[[#This Row],[PRESTAMO]])</f>
        <v>-49791511.270000003</v>
      </c>
      <c r="G677" s="56"/>
      <c r="H677" s="8"/>
      <c r="I677" s="5">
        <f>IF(FINANCIACION[[#This Row],[$ CAPITAL]]&gt;0,FINANCIACION[[#This Row],[$ CAPITAL]])</f>
        <v>2507536.7899999991</v>
      </c>
      <c r="J677" s="36">
        <f>IF(FINANCIACION[[#This Row],[$ CAPITAL]]&gt;=0,FINANCIACION[[#This Row],[$ CAPITAL]]+FINANCIACION[[#This Row],[$ INTERESES]],0)</f>
        <v>2530000</v>
      </c>
    </row>
    <row r="678" spans="1:10" ht="24" hidden="1" customHeight="1" x14ac:dyDescent="0.25">
      <c r="A678" s="7">
        <v>44398</v>
      </c>
      <c r="B678" s="53" t="s">
        <v>1222</v>
      </c>
      <c r="C678" s="5">
        <v>3693729.5600000024</v>
      </c>
      <c r="D678" s="5">
        <v>36270.439999997616</v>
      </c>
      <c r="E678" s="169">
        <f>+IF(FINANCIACION[[#This Row],[$ CAPITAL]]&gt;=0,FINANCIACION[[#This Row],[$ CAPITAL]]+FINANCIACION[[#This Row],[$ INTERESES]],"")</f>
        <v>3730000</v>
      </c>
      <c r="F678" s="169">
        <f>+SUMIFS(FINANCIACION[$ CAPITAL],FINANCIACION[Fecha],"&lt;="&amp;FINANCIACION[[#This Row],[Fecha]],FINANCIACION[PRESTAMO],FINANCIACION[[#This Row],[PRESTAMO]])</f>
        <v>-72159928.950000003</v>
      </c>
      <c r="G678" s="56"/>
      <c r="H678" s="8"/>
      <c r="I678" s="5">
        <f>IF(FINANCIACION[[#This Row],[$ CAPITAL]]&gt;0,FINANCIACION[[#This Row],[$ CAPITAL]])</f>
        <v>3693729.5600000024</v>
      </c>
      <c r="J678" s="36">
        <f>IF(FINANCIACION[[#This Row],[$ CAPITAL]]&gt;=0,FINANCIACION[[#This Row],[$ CAPITAL]]+FINANCIACION[[#This Row],[$ INTERESES]],0)</f>
        <v>3730000</v>
      </c>
    </row>
    <row r="679" spans="1:10" ht="24" hidden="1" customHeight="1" x14ac:dyDescent="0.25">
      <c r="A679" s="7">
        <v>44398</v>
      </c>
      <c r="B679" s="53" t="s">
        <v>1223</v>
      </c>
      <c r="C679" s="5">
        <v>988148.28999999911</v>
      </c>
      <c r="D679" s="5">
        <v>8851.7100000008941</v>
      </c>
      <c r="E679" s="169">
        <f>+IF(FINANCIACION[[#This Row],[$ CAPITAL]]&gt;=0,FINANCIACION[[#This Row],[$ CAPITAL]]+FINANCIACION[[#This Row],[$ INTERESES]],"")</f>
        <v>997000</v>
      </c>
      <c r="F679" s="169">
        <f>+SUMIFS(FINANCIACION[$ CAPITAL],FINANCIACION[Fecha],"&lt;="&amp;FINANCIACION[[#This Row],[Fecha]],FINANCIACION[PRESTAMO],FINANCIACION[[#This Row],[PRESTAMO]])</f>
        <v>-20300465.050000001</v>
      </c>
      <c r="G679" s="56"/>
      <c r="H679" s="8"/>
      <c r="I679" s="5">
        <f>IF(FINANCIACION[[#This Row],[$ CAPITAL]]&gt;0,FINANCIACION[[#This Row],[$ CAPITAL]])</f>
        <v>988148.28999999911</v>
      </c>
      <c r="J679" s="36">
        <f>IF(FINANCIACION[[#This Row],[$ CAPITAL]]&gt;=0,FINANCIACION[[#This Row],[$ CAPITAL]]+FINANCIACION[[#This Row],[$ INTERESES]],0)</f>
        <v>997000</v>
      </c>
    </row>
    <row r="680" spans="1:10" ht="24" hidden="1" customHeight="1" x14ac:dyDescent="0.25">
      <c r="A680" s="7">
        <v>44398</v>
      </c>
      <c r="B680" s="53" t="s">
        <v>1225</v>
      </c>
      <c r="C680" s="5">
        <v>1041327.2299999967</v>
      </c>
      <c r="D680" s="5">
        <v>9672.7700000032783</v>
      </c>
      <c r="E680" s="169">
        <f>+IF(FINANCIACION[[#This Row],[$ CAPITAL]]&gt;=0,FINANCIACION[[#This Row],[$ CAPITAL]]+FINANCIACION[[#This Row],[$ INTERESES]],"")</f>
        <v>1051000</v>
      </c>
      <c r="F680" s="169">
        <f>+SUMIFS(FINANCIACION[$ CAPITAL],FINANCIACION[Fecha],"&lt;="&amp;FINANCIACION[[#This Row],[Fecha]],FINANCIACION[PRESTAMO],FINANCIACION[[#This Row],[PRESTAMO]])</f>
        <v>-22184122.150000002</v>
      </c>
      <c r="G680" s="56"/>
      <c r="H680" s="8"/>
      <c r="I680" s="5">
        <f>IF(FINANCIACION[[#This Row],[$ CAPITAL]]&gt;0,FINANCIACION[[#This Row],[$ CAPITAL]])</f>
        <v>1041327.2299999967</v>
      </c>
      <c r="J680" s="36">
        <f>IF(FINANCIACION[[#This Row],[$ CAPITAL]]&gt;=0,FINANCIACION[[#This Row],[$ CAPITAL]]+FINANCIACION[[#This Row],[$ INTERESES]],0)</f>
        <v>1051000</v>
      </c>
    </row>
    <row r="681" spans="1:10" ht="24" hidden="1" customHeight="1" x14ac:dyDescent="0.25">
      <c r="A681" s="7">
        <v>44407</v>
      </c>
      <c r="B681" s="53" t="s">
        <v>203</v>
      </c>
      <c r="C681" s="5">
        <v>1000000</v>
      </c>
      <c r="D681" s="5"/>
      <c r="E681" s="169">
        <f>+IF(FINANCIACION[[#This Row],[$ CAPITAL]]&gt;=0,FINANCIACION[[#This Row],[$ CAPITAL]]+FINANCIACION[[#This Row],[$ INTERESES]],"")</f>
        <v>1000000</v>
      </c>
      <c r="F681" s="169">
        <f>+SUMIFS(FINANCIACION[$ CAPITAL],FINANCIACION[Fecha],"&lt;="&amp;FINANCIACION[[#This Row],[Fecha]],FINANCIACION[PRESTAMO],FINANCIACION[[#This Row],[PRESTAMO]])</f>
        <v>-2919563</v>
      </c>
      <c r="G681" s="56"/>
      <c r="H681" s="8"/>
      <c r="I681" s="5">
        <f>IF(FINANCIACION[[#This Row],[$ CAPITAL]]&gt;0,FINANCIACION[[#This Row],[$ CAPITAL]])</f>
        <v>1000000</v>
      </c>
      <c r="J681" s="36">
        <f>IF(FINANCIACION[[#This Row],[$ CAPITAL]]&gt;=0,FINANCIACION[[#This Row],[$ CAPITAL]]+FINANCIACION[[#This Row],[$ INTERESES]],0)</f>
        <v>1000000</v>
      </c>
    </row>
    <row r="682" spans="1:10" ht="24" hidden="1" customHeight="1" x14ac:dyDescent="0.25">
      <c r="A682" s="7">
        <v>44408</v>
      </c>
      <c r="B682" s="53" t="s">
        <v>196</v>
      </c>
      <c r="C682" s="5">
        <v>-2575168</v>
      </c>
      <c r="D682" s="5"/>
      <c r="E682" s="169" t="str">
        <f>+IF(FINANCIACION[[#This Row],[$ CAPITAL]]&gt;=0,FINANCIACION[[#This Row],[$ CAPITAL]]+FINANCIACION[[#This Row],[$ INTERESES]],"")</f>
        <v/>
      </c>
      <c r="F682" s="169">
        <f>+SUMIFS(FINANCIACION[$ CAPITAL],FINANCIACION[Fecha],"&lt;="&amp;FINANCIACION[[#This Row],[Fecha]],FINANCIACION[PRESTAMO],FINANCIACION[[#This Row],[PRESTAMO]])</f>
        <v>-100431552</v>
      </c>
      <c r="G682" s="8" t="s">
        <v>231</v>
      </c>
      <c r="H682" s="8"/>
      <c r="I682" s="5" t="b">
        <f>IF(FINANCIACION[[#This Row],[$ CAPITAL]]&gt;0,FINANCIACION[[#This Row],[$ CAPITAL]])</f>
        <v>0</v>
      </c>
      <c r="J682" s="36">
        <f>IF(FINANCIACION[[#This Row],[$ CAPITAL]]&gt;=0,FINANCIACION[[#This Row],[$ CAPITAL]]+FINANCIACION[[#This Row],[$ INTERESES]],0)</f>
        <v>0</v>
      </c>
    </row>
    <row r="683" spans="1:10" ht="24" hidden="1" customHeight="1" x14ac:dyDescent="0.25">
      <c r="A683" s="7">
        <v>44408</v>
      </c>
      <c r="B683" s="53" t="s">
        <v>294</v>
      </c>
      <c r="C683" s="5">
        <v>-1498393</v>
      </c>
      <c r="D683" s="5"/>
      <c r="E683" s="169" t="str">
        <f>+IF(FINANCIACION[[#This Row],[$ CAPITAL]]&gt;=0,FINANCIACION[[#This Row],[$ CAPITAL]]+FINANCIACION[[#This Row],[$ INTERESES]],"")</f>
        <v/>
      </c>
      <c r="F683" s="169">
        <f>+SUMIFS(FINANCIACION[$ CAPITAL],FINANCIACION[Fecha],"&lt;="&amp;FINANCIACION[[#This Row],[Fecha]],FINANCIACION[PRESTAMO],FINANCIACION[[#This Row],[PRESTAMO]])</f>
        <v>-58437327</v>
      </c>
      <c r="G683" s="8" t="s">
        <v>231</v>
      </c>
      <c r="H683" s="8"/>
      <c r="I683" s="5" t="b">
        <f>IF(FINANCIACION[[#This Row],[$ CAPITAL]]&gt;0,FINANCIACION[[#This Row],[$ CAPITAL]])</f>
        <v>0</v>
      </c>
      <c r="J683" s="36">
        <f>IF(FINANCIACION[[#This Row],[$ CAPITAL]]&gt;=0,FINANCIACION[[#This Row],[$ CAPITAL]]+FINANCIACION[[#This Row],[$ INTERESES]],0)</f>
        <v>0</v>
      </c>
    </row>
    <row r="684" spans="1:10" ht="24" hidden="1" customHeight="1" x14ac:dyDescent="0.25">
      <c r="A684" s="7">
        <v>44408</v>
      </c>
      <c r="B684" s="53" t="s">
        <v>418</v>
      </c>
      <c r="C684" s="5">
        <v>-592703</v>
      </c>
      <c r="D684" s="5"/>
      <c r="E684" s="169" t="str">
        <f>+IF(FINANCIACION[[#This Row],[$ CAPITAL]]&gt;=0,FINANCIACION[[#This Row],[$ CAPITAL]]+FINANCIACION[[#This Row],[$ INTERESES]],"")</f>
        <v/>
      </c>
      <c r="F684" s="169">
        <f>+SUMIFS(FINANCIACION[$ CAPITAL],FINANCIACION[Fecha],"&lt;="&amp;FINANCIACION[[#This Row],[Fecha]],FINANCIACION[PRESTAMO],FINANCIACION[[#This Row],[PRESTAMO]])</f>
        <v>-23115417</v>
      </c>
      <c r="G684" s="8" t="s">
        <v>231</v>
      </c>
      <c r="H684" s="8"/>
      <c r="I684" s="5" t="b">
        <f>IF(FINANCIACION[[#This Row],[$ CAPITAL]]&gt;0,FINANCIACION[[#This Row],[$ CAPITAL]])</f>
        <v>0</v>
      </c>
      <c r="J684" s="36">
        <f>IF(FINANCIACION[[#This Row],[$ CAPITAL]]&gt;=0,FINANCIACION[[#This Row],[$ CAPITAL]]+FINANCIACION[[#This Row],[$ INTERESES]],0)</f>
        <v>0</v>
      </c>
    </row>
    <row r="685" spans="1:10" ht="24" hidden="1" customHeight="1" x14ac:dyDescent="0.25">
      <c r="A685" s="7">
        <v>44408</v>
      </c>
      <c r="B685" s="53" t="s">
        <v>1218</v>
      </c>
      <c r="C685" s="5">
        <v>-184703.77999999374</v>
      </c>
      <c r="D685" s="5"/>
      <c r="E685" s="169" t="str">
        <f>+IF(FINANCIACION[[#This Row],[$ CAPITAL]]&gt;=0,FINANCIACION[[#This Row],[$ CAPITAL]]+FINANCIACION[[#This Row],[$ INTERESES]],"")</f>
        <v/>
      </c>
      <c r="F685" s="169">
        <f>+SUMIFS(FINANCIACION[$ CAPITAL],FINANCIACION[Fecha],"&lt;="&amp;FINANCIACION[[#This Row],[Fecha]],FINANCIACION[PRESTAMO],FINANCIACION[[#This Row],[PRESTAMO]])</f>
        <v>-27093375.809999991</v>
      </c>
      <c r="G685" s="8" t="s">
        <v>231</v>
      </c>
      <c r="H685" s="8"/>
      <c r="I685" s="5" t="b">
        <f>IF(FINANCIACION[[#This Row],[$ CAPITAL]]&gt;0,FINANCIACION[[#This Row],[$ CAPITAL]])</f>
        <v>0</v>
      </c>
      <c r="J685" s="36">
        <f>IF(FINANCIACION[[#This Row],[$ CAPITAL]]&gt;=0,FINANCIACION[[#This Row],[$ CAPITAL]]+FINANCIACION[[#This Row],[$ INTERESES]],0)</f>
        <v>0</v>
      </c>
    </row>
    <row r="686" spans="1:10" ht="24" hidden="1" customHeight="1" x14ac:dyDescent="0.25">
      <c r="A686" s="7">
        <v>44408</v>
      </c>
      <c r="B686" s="53" t="s">
        <v>1229</v>
      </c>
      <c r="C686" s="5">
        <v>-163555.28999999911</v>
      </c>
      <c r="D686" s="5"/>
      <c r="E686" s="169" t="str">
        <f>+IF(FINANCIACION[[#This Row],[$ CAPITAL]]&gt;=0,FINANCIACION[[#This Row],[$ CAPITAL]]+FINANCIACION[[#This Row],[$ INTERESES]],"")</f>
        <v/>
      </c>
      <c r="F686" s="169">
        <f>+SUMIFS(FINANCIACION[$ CAPITAL],FINANCIACION[Fecha],"&lt;="&amp;FINANCIACION[[#This Row],[Fecha]],FINANCIACION[PRESTAMO],FINANCIACION[[#This Row],[PRESTAMO]])</f>
        <v>-23719778.41</v>
      </c>
      <c r="G686" s="8" t="s">
        <v>231</v>
      </c>
      <c r="H686" s="8"/>
      <c r="I686" s="5" t="b">
        <f>IF(FINANCIACION[[#This Row],[$ CAPITAL]]&gt;0,FINANCIACION[[#This Row],[$ CAPITAL]])</f>
        <v>0</v>
      </c>
      <c r="J686" s="36">
        <f>IF(FINANCIACION[[#This Row],[$ CAPITAL]]&gt;=0,FINANCIACION[[#This Row],[$ CAPITAL]]+FINANCIACION[[#This Row],[$ INTERESES]],0)</f>
        <v>0</v>
      </c>
    </row>
    <row r="687" spans="1:10" ht="24" hidden="1" customHeight="1" x14ac:dyDescent="0.25">
      <c r="A687" s="7">
        <v>44408</v>
      </c>
      <c r="B687" s="53" t="s">
        <v>1221</v>
      </c>
      <c r="C687" s="5">
        <v>-344502.33999999613</v>
      </c>
      <c r="D687" s="5"/>
      <c r="E687" s="169" t="str">
        <f>+IF(FINANCIACION[[#This Row],[$ CAPITAL]]&gt;=0,FINANCIACION[[#This Row],[$ CAPITAL]]+FINANCIACION[[#This Row],[$ INTERESES]],"")</f>
        <v/>
      </c>
      <c r="F687" s="169">
        <f>+SUMIFS(FINANCIACION[$ CAPITAL],FINANCIACION[Fecha],"&lt;="&amp;FINANCIACION[[#This Row],[Fecha]],FINANCIACION[PRESTAMO],FINANCIACION[[#This Row],[PRESTAMO]])</f>
        <v>-50136013.609999999</v>
      </c>
      <c r="G687" s="8" t="s">
        <v>231</v>
      </c>
      <c r="H687" s="8"/>
      <c r="I687" s="5" t="b">
        <f>IF(FINANCIACION[[#This Row],[$ CAPITAL]]&gt;0,FINANCIACION[[#This Row],[$ CAPITAL]])</f>
        <v>0</v>
      </c>
      <c r="J687" s="36">
        <f>IF(FINANCIACION[[#This Row],[$ CAPITAL]]&gt;=0,FINANCIACION[[#This Row],[$ CAPITAL]]+FINANCIACION[[#This Row],[$ INTERESES]],0)</f>
        <v>0</v>
      </c>
    </row>
    <row r="688" spans="1:10" ht="24" hidden="1" customHeight="1" x14ac:dyDescent="0.25">
      <c r="A688" s="7">
        <v>44408</v>
      </c>
      <c r="B688" s="53" t="s">
        <v>1222</v>
      </c>
      <c r="C688" s="5">
        <v>-556501.06000000238</v>
      </c>
      <c r="D688" s="5"/>
      <c r="E688" s="169" t="str">
        <f>+IF(FINANCIACION[[#This Row],[$ CAPITAL]]&gt;=0,FINANCIACION[[#This Row],[$ CAPITAL]]+FINANCIACION[[#This Row],[$ INTERESES]],"")</f>
        <v/>
      </c>
      <c r="F688" s="169">
        <f>+SUMIFS(FINANCIACION[$ CAPITAL],FINANCIACION[Fecha],"&lt;="&amp;FINANCIACION[[#This Row],[Fecha]],FINANCIACION[PRESTAMO],FINANCIACION[[#This Row],[PRESTAMO]])</f>
        <v>-72716430.010000005</v>
      </c>
      <c r="G688" s="8" t="s">
        <v>231</v>
      </c>
      <c r="H688" s="8"/>
      <c r="I688" s="5" t="b">
        <f>IF(FINANCIACION[[#This Row],[$ CAPITAL]]&gt;0,FINANCIACION[[#This Row],[$ CAPITAL]])</f>
        <v>0</v>
      </c>
      <c r="J688" s="36">
        <f>IF(FINANCIACION[[#This Row],[$ CAPITAL]]&gt;=0,FINANCIACION[[#This Row],[$ CAPITAL]]+FINANCIACION[[#This Row],[$ INTERESES]],0)</f>
        <v>0</v>
      </c>
    </row>
    <row r="689" spans="1:10" ht="24" hidden="1" customHeight="1" x14ac:dyDescent="0.25">
      <c r="A689" s="7">
        <v>44408</v>
      </c>
      <c r="B689" s="53" t="s">
        <v>1223</v>
      </c>
      <c r="C689" s="5">
        <v>-137370.62000000104</v>
      </c>
      <c r="D689" s="5"/>
      <c r="E689" s="169" t="str">
        <f>+IF(FINANCIACION[[#This Row],[$ CAPITAL]]&gt;=0,FINANCIACION[[#This Row],[$ CAPITAL]]+FINANCIACION[[#This Row],[$ INTERESES]],"")</f>
        <v/>
      </c>
      <c r="F689" s="169">
        <f>+SUMIFS(FINANCIACION[$ CAPITAL],FINANCIACION[Fecha],"&lt;="&amp;FINANCIACION[[#This Row],[Fecha]],FINANCIACION[PRESTAMO],FINANCIACION[[#This Row],[PRESTAMO]])</f>
        <v>-20437835.670000002</v>
      </c>
      <c r="G689" s="8" t="s">
        <v>231</v>
      </c>
      <c r="H689" s="8"/>
      <c r="I689" s="5" t="b">
        <f>IF(FINANCIACION[[#This Row],[$ CAPITAL]]&gt;0,FINANCIACION[[#This Row],[$ CAPITAL]])</f>
        <v>0</v>
      </c>
      <c r="J689" s="36">
        <f>IF(FINANCIACION[[#This Row],[$ CAPITAL]]&gt;=0,FINANCIACION[[#This Row],[$ CAPITAL]]+FINANCIACION[[#This Row],[$ INTERESES]],0)</f>
        <v>0</v>
      </c>
    </row>
    <row r="690" spans="1:10" ht="24" hidden="1" customHeight="1" x14ac:dyDescent="0.25">
      <c r="A690" s="7">
        <v>44408</v>
      </c>
      <c r="B690" s="53" t="s">
        <v>1225</v>
      </c>
      <c r="C690" s="5">
        <v>-144629.48999999836</v>
      </c>
      <c r="D690" s="5"/>
      <c r="E690" s="169" t="str">
        <f>+IF(FINANCIACION[[#This Row],[$ CAPITAL]]&gt;=0,FINANCIACION[[#This Row],[$ CAPITAL]]+FINANCIACION[[#This Row],[$ INTERESES]],"")</f>
        <v/>
      </c>
      <c r="F690" s="169">
        <f>+SUMIFS(FINANCIACION[$ CAPITAL],FINANCIACION[Fecha],"&lt;="&amp;FINANCIACION[[#This Row],[Fecha]],FINANCIACION[PRESTAMO],FINANCIACION[[#This Row],[PRESTAMO]])</f>
        <v>-22328751.640000001</v>
      </c>
      <c r="G690" s="8" t="s">
        <v>231</v>
      </c>
      <c r="H690" s="8"/>
      <c r="I690" s="5" t="b">
        <f>IF(FINANCIACION[[#This Row],[$ CAPITAL]]&gt;0,FINANCIACION[[#This Row],[$ CAPITAL]])</f>
        <v>0</v>
      </c>
      <c r="J690" s="36">
        <f>IF(FINANCIACION[[#This Row],[$ CAPITAL]]&gt;=0,FINANCIACION[[#This Row],[$ CAPITAL]]+FINANCIACION[[#This Row],[$ INTERESES]],0)</f>
        <v>0</v>
      </c>
    </row>
    <row r="691" spans="1:10" ht="24" hidden="1" customHeight="1" x14ac:dyDescent="0.25">
      <c r="A691" s="7">
        <v>44408</v>
      </c>
      <c r="B691" s="53" t="s">
        <v>201</v>
      </c>
      <c r="C691" s="5">
        <v>-1348569</v>
      </c>
      <c r="D691" s="5"/>
      <c r="E691" s="169" t="str">
        <f>+IF(FINANCIACION[[#This Row],[$ CAPITAL]]&gt;=0,FINANCIACION[[#This Row],[$ CAPITAL]]+FINANCIACION[[#This Row],[$ INTERESES]],"")</f>
        <v/>
      </c>
      <c r="F691" s="169">
        <f>+SUMIFS(FINANCIACION[$ CAPITAL],FINANCIACION[Fecha],"&lt;="&amp;FINANCIACION[[#This Row],[Fecha]],FINANCIACION[PRESTAMO],FINANCIACION[[#This Row],[PRESTAMO]])</f>
        <v>-1273328</v>
      </c>
      <c r="G691" s="8" t="s">
        <v>231</v>
      </c>
      <c r="H691" s="8"/>
      <c r="I691" s="5" t="b">
        <f>IF(FINANCIACION[[#This Row],[$ CAPITAL]]&gt;0,FINANCIACION[[#This Row],[$ CAPITAL]])</f>
        <v>0</v>
      </c>
      <c r="J691" s="9">
        <f>IF(FINANCIACION[[#This Row],[$ CAPITAL]]&gt;=0,FINANCIACION[[#This Row],[$ CAPITAL]]+FINANCIACION[[#This Row],[$ INTERESES]],0)</f>
        <v>0</v>
      </c>
    </row>
    <row r="692" spans="1:10" ht="24" hidden="1" customHeight="1" x14ac:dyDescent="0.25">
      <c r="A692" s="7">
        <v>44408</v>
      </c>
      <c r="B692" s="53" t="s">
        <v>202</v>
      </c>
      <c r="C692" s="5">
        <v>-11578020</v>
      </c>
      <c r="D692" s="5"/>
      <c r="E692" s="169" t="str">
        <f>+IF(FINANCIACION[[#This Row],[$ CAPITAL]]&gt;=0,FINANCIACION[[#This Row],[$ CAPITAL]]+FINANCIACION[[#This Row],[$ INTERESES]],"")</f>
        <v/>
      </c>
      <c r="F692" s="169">
        <f>+SUMIFS(FINANCIACION[$ CAPITAL],FINANCIACION[Fecha],"&lt;="&amp;FINANCIACION[[#This Row],[Fecha]],FINANCIACION[PRESTAMO],FINANCIACION[[#This Row],[PRESTAMO]])</f>
        <v>-27693900</v>
      </c>
      <c r="G692" s="8" t="s">
        <v>231</v>
      </c>
      <c r="H692" s="8"/>
      <c r="I692" s="5" t="b">
        <f>IF(FINANCIACION[[#This Row],[$ CAPITAL]]&gt;0,FINANCIACION[[#This Row],[$ CAPITAL]])</f>
        <v>0</v>
      </c>
      <c r="J692" s="9">
        <f>IF(FINANCIACION[[#This Row],[$ CAPITAL]]&gt;=0,FINANCIACION[[#This Row],[$ CAPITAL]]+FINANCIACION[[#This Row],[$ INTERESES]],0)</f>
        <v>0</v>
      </c>
    </row>
    <row r="693" spans="1:10" ht="24" hidden="1" customHeight="1" x14ac:dyDescent="0.25">
      <c r="A693" s="7">
        <v>44408</v>
      </c>
      <c r="B693" s="53" t="s">
        <v>203</v>
      </c>
      <c r="C693" s="5">
        <v>-992237</v>
      </c>
      <c r="D693" s="5"/>
      <c r="E693" s="169" t="str">
        <f>+IF(FINANCIACION[[#This Row],[$ CAPITAL]]&gt;=0,FINANCIACION[[#This Row],[$ CAPITAL]]+FINANCIACION[[#This Row],[$ INTERESES]],"")</f>
        <v/>
      </c>
      <c r="F693" s="169">
        <f>+SUMIFS(FINANCIACION[$ CAPITAL],FINANCIACION[Fecha],"&lt;="&amp;FINANCIACION[[#This Row],[Fecha]],FINANCIACION[PRESTAMO],FINANCIACION[[#This Row],[PRESTAMO]])</f>
        <v>-3911800</v>
      </c>
      <c r="G693" s="8" t="s">
        <v>231</v>
      </c>
      <c r="H693" s="56"/>
      <c r="I693" s="5" t="b">
        <f>IF(FINANCIACION[[#This Row],[$ CAPITAL]]&gt;0,FINANCIACION[[#This Row],[$ CAPITAL]])</f>
        <v>0</v>
      </c>
      <c r="J693" s="9">
        <f>IF(FINANCIACION[[#This Row],[$ CAPITAL]]&gt;=0,FINANCIACION[[#This Row],[$ CAPITAL]]+FINANCIACION[[#This Row],[$ INTERESES]],0)</f>
        <v>0</v>
      </c>
    </row>
    <row r="694" spans="1:10" ht="24" hidden="1" customHeight="1" x14ac:dyDescent="0.25">
      <c r="A694" s="7">
        <v>44410</v>
      </c>
      <c r="B694" s="53" t="s">
        <v>193</v>
      </c>
      <c r="C694" s="5">
        <v>1468400</v>
      </c>
      <c r="D694" s="5">
        <v>455909</v>
      </c>
      <c r="E694" s="169">
        <f>+IF(FINANCIACION[[#This Row],[$ CAPITAL]]&gt;=0,FINANCIACION[[#This Row],[$ CAPITAL]]+FINANCIACION[[#This Row],[$ INTERESES]],"")</f>
        <v>1924309</v>
      </c>
      <c r="F694" s="169">
        <f>+SUMIFS(FINANCIACION[$ CAPITAL],FINANCIACION[Fecha],"&lt;="&amp;FINANCIACION[[#This Row],[Fecha]],FINANCIACION[PRESTAMO],FINANCIACION[[#This Row],[PRESTAMO]])</f>
        <v>-46988800</v>
      </c>
      <c r="G694" s="8"/>
      <c r="H694" s="56"/>
      <c r="I694" s="5">
        <f>IF(FINANCIACION[[#This Row],[$ CAPITAL]]&gt;0,FINANCIACION[[#This Row],[$ CAPITAL]])</f>
        <v>1468400</v>
      </c>
      <c r="J694" s="9">
        <f>IF(FINANCIACION[[#This Row],[$ CAPITAL]]&gt;=0,FINANCIACION[[#This Row],[$ CAPITAL]]+FINANCIACION[[#This Row],[$ INTERESES]],0)</f>
        <v>1924309</v>
      </c>
    </row>
    <row r="695" spans="1:10" ht="24" hidden="1" customHeight="1" x14ac:dyDescent="0.25">
      <c r="A695" s="7">
        <v>44410</v>
      </c>
      <c r="B695" s="53" t="s">
        <v>194</v>
      </c>
      <c r="C695" s="5">
        <v>76791</v>
      </c>
      <c r="D695" s="5"/>
      <c r="E695" s="169">
        <f>+IF(FINANCIACION[[#This Row],[$ CAPITAL]]&gt;=0,FINANCIACION[[#This Row],[$ CAPITAL]]+FINANCIACION[[#This Row],[$ INTERESES]],"")</f>
        <v>76791</v>
      </c>
      <c r="F695" s="169">
        <f>+SUMIFS(FINANCIACION[$ CAPITAL],FINANCIACION[Fecha],"&lt;="&amp;FINANCIACION[[#This Row],[Fecha]],FINANCIACION[PRESTAMO],FINANCIACION[[#This Row],[PRESTAMO]])</f>
        <v>-2457312</v>
      </c>
      <c r="G695" s="8"/>
      <c r="H695" s="56"/>
      <c r="I695" s="5">
        <f>IF(FINANCIACION[[#This Row],[$ CAPITAL]]&gt;0,FINANCIACION[[#This Row],[$ CAPITAL]])</f>
        <v>76791</v>
      </c>
      <c r="J695" s="9">
        <f>IF(FINANCIACION[[#This Row],[$ CAPITAL]]&gt;=0,FINANCIACION[[#This Row],[$ CAPITAL]]+FINANCIACION[[#This Row],[$ INTERESES]],0)</f>
        <v>76791</v>
      </c>
    </row>
    <row r="696" spans="1:10" ht="24" hidden="1" customHeight="1" x14ac:dyDescent="0.25">
      <c r="A696" s="7">
        <v>44414</v>
      </c>
      <c r="B696" s="53" t="s">
        <v>197</v>
      </c>
      <c r="C696" s="5">
        <v>6326000</v>
      </c>
      <c r="D696" s="5">
        <v>316768.87</v>
      </c>
      <c r="E696" s="169">
        <f>+IF(FINANCIACION[[#This Row],[$ CAPITAL]]&gt;=0,FINANCIACION[[#This Row],[$ CAPITAL]]+FINANCIACION[[#This Row],[$ INTERESES]],"")</f>
        <v>6642768.8700000001</v>
      </c>
      <c r="F696" s="169">
        <f>+SUMIFS(FINANCIACION[$ CAPITAL],FINANCIACION[Fecha],"&lt;="&amp;FINANCIACION[[#This Row],[Fecha]],FINANCIACION[PRESTAMO],FINANCIACION[[#This Row],[PRESTAMO]])</f>
        <v>-41387126</v>
      </c>
      <c r="G696" s="8"/>
      <c r="H696" s="56"/>
      <c r="I696" s="5">
        <f>IF(FINANCIACION[[#This Row],[$ CAPITAL]]&gt;0,FINANCIACION[[#This Row],[$ CAPITAL]])</f>
        <v>6326000</v>
      </c>
      <c r="J696" s="9">
        <f>IF(FINANCIACION[[#This Row],[$ CAPITAL]]&gt;=0,FINANCIACION[[#This Row],[$ CAPITAL]]+FINANCIACION[[#This Row],[$ INTERESES]],0)</f>
        <v>6642768.8700000001</v>
      </c>
    </row>
    <row r="697" spans="1:10" ht="24" hidden="1" customHeight="1" x14ac:dyDescent="0.25">
      <c r="A697" s="7">
        <v>44414</v>
      </c>
      <c r="B697" s="53" t="s">
        <v>201</v>
      </c>
      <c r="C697" s="5">
        <v>1200000</v>
      </c>
      <c r="D697" s="5"/>
      <c r="E697" s="169">
        <f>+IF(FINANCIACION[[#This Row],[$ CAPITAL]]&gt;=0,FINANCIACION[[#This Row],[$ CAPITAL]]+FINANCIACION[[#This Row],[$ INTERESES]],"")</f>
        <v>1200000</v>
      </c>
      <c r="F697" s="169">
        <f>+SUMIFS(FINANCIACION[$ CAPITAL],FINANCIACION[Fecha],"&lt;="&amp;FINANCIACION[[#This Row],[Fecha]],FINANCIACION[PRESTAMO],FINANCIACION[[#This Row],[PRESTAMO]])</f>
        <v>-73328</v>
      </c>
      <c r="G697" s="56"/>
      <c r="H697" s="8"/>
      <c r="I697" s="5">
        <f>IF(FINANCIACION[[#This Row],[$ CAPITAL]]&gt;0,FINANCIACION[[#This Row],[$ CAPITAL]])</f>
        <v>1200000</v>
      </c>
      <c r="J697" s="36">
        <f>IF(FINANCIACION[[#This Row],[$ CAPITAL]]&gt;=0,FINANCIACION[[#This Row],[$ CAPITAL]]+FINANCIACION[[#This Row],[$ INTERESES]],0)</f>
        <v>1200000</v>
      </c>
    </row>
    <row r="698" spans="1:10" ht="24" hidden="1" customHeight="1" x14ac:dyDescent="0.25">
      <c r="A698" s="7">
        <v>44414</v>
      </c>
      <c r="B698" s="53" t="s">
        <v>202</v>
      </c>
      <c r="C698" s="5">
        <v>3910810</v>
      </c>
      <c r="D698" s="5"/>
      <c r="E698" s="169">
        <f>+IF(FINANCIACION[[#This Row],[$ CAPITAL]]&gt;=0,FINANCIACION[[#This Row],[$ CAPITAL]]+FINANCIACION[[#This Row],[$ INTERESES]],"")</f>
        <v>3910810</v>
      </c>
      <c r="F698" s="169">
        <f>+SUMIFS(FINANCIACION[$ CAPITAL],FINANCIACION[Fecha],"&lt;="&amp;FINANCIACION[[#This Row],[Fecha]],FINANCIACION[PRESTAMO],FINANCIACION[[#This Row],[PRESTAMO]])</f>
        <v>-23783090</v>
      </c>
      <c r="G698" s="56"/>
      <c r="H698" s="8"/>
      <c r="I698" s="5">
        <f>IF(FINANCIACION[[#This Row],[$ CAPITAL]]&gt;0,FINANCIACION[[#This Row],[$ CAPITAL]])</f>
        <v>3910810</v>
      </c>
      <c r="J698" s="36">
        <f>IF(FINANCIACION[[#This Row],[$ CAPITAL]]&gt;=0,FINANCIACION[[#This Row],[$ CAPITAL]]+FINANCIACION[[#This Row],[$ INTERESES]],0)</f>
        <v>3910810</v>
      </c>
    </row>
    <row r="699" spans="1:10" ht="24" hidden="1" customHeight="1" x14ac:dyDescent="0.25">
      <c r="A699" s="7">
        <v>44414</v>
      </c>
      <c r="B699" s="53" t="s">
        <v>203</v>
      </c>
      <c r="C699" s="5">
        <v>2500000</v>
      </c>
      <c r="D699" s="5"/>
      <c r="E699" s="169">
        <f>+IF(FINANCIACION[[#This Row],[$ CAPITAL]]&gt;=0,FINANCIACION[[#This Row],[$ CAPITAL]]+FINANCIACION[[#This Row],[$ INTERESES]],"")</f>
        <v>2500000</v>
      </c>
      <c r="F699" s="169">
        <f>+SUMIFS(FINANCIACION[$ CAPITAL],FINANCIACION[Fecha],"&lt;="&amp;FINANCIACION[[#This Row],[Fecha]],FINANCIACION[PRESTAMO],FINANCIACION[[#This Row],[PRESTAMO]])</f>
        <v>-1411800</v>
      </c>
      <c r="G699" s="56"/>
      <c r="H699" s="8"/>
      <c r="I699" s="5">
        <f>IF(FINANCIACION[[#This Row],[$ CAPITAL]]&gt;0,FINANCIACION[[#This Row],[$ CAPITAL]])</f>
        <v>2500000</v>
      </c>
      <c r="J699" s="36">
        <f>IF(FINANCIACION[[#This Row],[$ CAPITAL]]&gt;=0,FINANCIACION[[#This Row],[$ CAPITAL]]+FINANCIACION[[#This Row],[$ INTERESES]],0)</f>
        <v>2500000</v>
      </c>
    </row>
    <row r="700" spans="1:10" ht="24" hidden="1" customHeight="1" x14ac:dyDescent="0.25">
      <c r="A700" s="7">
        <v>44420</v>
      </c>
      <c r="B700" s="53" t="s">
        <v>1230</v>
      </c>
      <c r="C700" s="5">
        <v>-40000000</v>
      </c>
      <c r="D700" s="5"/>
      <c r="E700" s="169" t="str">
        <f>+IF(FINANCIACION[[#This Row],[$ CAPITAL]]&gt;=0,FINANCIACION[[#This Row],[$ CAPITAL]]+FINANCIACION[[#This Row],[$ INTERESES]],"")</f>
        <v/>
      </c>
      <c r="F700" s="169">
        <f>+SUMIFS(FINANCIACION[$ CAPITAL],FINANCIACION[Fecha],"&lt;="&amp;FINANCIACION[[#This Row],[Fecha]],FINANCIACION[PRESTAMO],FINANCIACION[[#This Row],[PRESTAMO]])</f>
        <v>-40000000</v>
      </c>
      <c r="G700" s="8" t="s">
        <v>466</v>
      </c>
      <c r="H700" s="8"/>
      <c r="I700" s="5" t="b">
        <f>IF(FINANCIACION[[#This Row],[$ CAPITAL]]&gt;0,FINANCIACION[[#This Row],[$ CAPITAL]])</f>
        <v>0</v>
      </c>
      <c r="J700" s="36">
        <f>IF(FINANCIACION[[#This Row],[$ CAPITAL]]&gt;=0,FINANCIACION[[#This Row],[$ CAPITAL]]+FINANCIACION[[#This Row],[$ INTERESES]],0)</f>
        <v>0</v>
      </c>
    </row>
    <row r="701" spans="1:10" ht="24" hidden="1" customHeight="1" x14ac:dyDescent="0.25">
      <c r="A701" s="7">
        <v>44421</v>
      </c>
      <c r="B701" s="53" t="s">
        <v>202</v>
      </c>
      <c r="C701" s="5">
        <v>3887070</v>
      </c>
      <c r="D701" s="5"/>
      <c r="E701" s="169">
        <f>+IF(FINANCIACION[[#This Row],[$ CAPITAL]]&gt;=0,FINANCIACION[[#This Row],[$ CAPITAL]]+FINANCIACION[[#This Row],[$ INTERESES]],"")</f>
        <v>3887070</v>
      </c>
      <c r="F701" s="169">
        <f>+SUMIFS(FINANCIACION[$ CAPITAL],FINANCIACION[Fecha],"&lt;="&amp;FINANCIACION[[#This Row],[Fecha]],FINANCIACION[PRESTAMO],FINANCIACION[[#This Row],[PRESTAMO]])</f>
        <v>-19896020</v>
      </c>
      <c r="G701" s="56"/>
      <c r="H701" s="8"/>
      <c r="I701" s="5">
        <f>IF(FINANCIACION[[#This Row],[$ CAPITAL]]&gt;0,FINANCIACION[[#This Row],[$ CAPITAL]])</f>
        <v>3887070</v>
      </c>
      <c r="J701" s="36">
        <f>IF(FINANCIACION[[#This Row],[$ CAPITAL]]&gt;=0,FINANCIACION[[#This Row],[$ CAPITAL]]+FINANCIACION[[#This Row],[$ INTERESES]],0)</f>
        <v>3887070</v>
      </c>
    </row>
    <row r="702" spans="1:10" ht="24" hidden="1" customHeight="1" x14ac:dyDescent="0.25">
      <c r="A702" s="7">
        <v>44422</v>
      </c>
      <c r="B702" s="53" t="s">
        <v>1215</v>
      </c>
      <c r="C702" s="5">
        <v>1878599.0670640841</v>
      </c>
      <c r="D702" s="5">
        <v>788778.932935916</v>
      </c>
      <c r="E702" s="169">
        <f>+IF(FINANCIACION[[#This Row],[$ CAPITAL]]&gt;=0,FINANCIACION[[#This Row],[$ CAPITAL]]+FINANCIACION[[#This Row],[$ INTERESES]],"")</f>
        <v>2667378</v>
      </c>
      <c r="F702" s="169">
        <f>+SUMIFS(FINANCIACION[$ CAPITAL],FINANCIACION[Fecha],"&lt;="&amp;FINANCIACION[[#This Row],[Fecha]],FINANCIACION[PRESTAMO],FINANCIACION[[#This Row],[PRESTAMO]])</f>
        <v>-76999294.226527512</v>
      </c>
      <c r="G702" s="56"/>
      <c r="H702" s="8"/>
      <c r="I702" s="5">
        <f>IF(FINANCIACION[[#This Row],[$ CAPITAL]]&gt;0,FINANCIACION[[#This Row],[$ CAPITAL]])</f>
        <v>1878599.0670640841</v>
      </c>
      <c r="J702" s="36">
        <f>IF(FINANCIACION[[#This Row],[$ CAPITAL]]&gt;=0,FINANCIACION[[#This Row],[$ CAPITAL]]+FINANCIACION[[#This Row],[$ INTERESES]],0)</f>
        <v>2667378</v>
      </c>
    </row>
    <row r="703" spans="1:10" ht="24" hidden="1" customHeight="1" x14ac:dyDescent="0.25">
      <c r="A703" s="7">
        <v>44425</v>
      </c>
      <c r="B703" s="53" t="s">
        <v>1226</v>
      </c>
      <c r="C703" s="5"/>
      <c r="D703" s="5">
        <v>130000</v>
      </c>
      <c r="E703" s="169">
        <f>+IF(FINANCIACION[[#This Row],[$ CAPITAL]]&gt;=0,FINANCIACION[[#This Row],[$ CAPITAL]]+FINANCIACION[[#This Row],[$ INTERESES]],"")</f>
        <v>130000</v>
      </c>
      <c r="F703" s="169">
        <f>+SUMIFS(FINANCIACION[$ CAPITAL],FINANCIACION[Fecha],"&lt;="&amp;FINANCIACION[[#This Row],[Fecha]],FINANCIACION[PRESTAMO],FINANCIACION[[#This Row],[PRESTAMO]])</f>
        <v>-13000000</v>
      </c>
      <c r="G703" s="56"/>
      <c r="H703" s="8"/>
      <c r="I703" s="5" t="b">
        <f>IF(FINANCIACION[[#This Row],[$ CAPITAL]]&gt;0,FINANCIACION[[#This Row],[$ CAPITAL]])</f>
        <v>0</v>
      </c>
      <c r="J703" s="36">
        <f>IF(FINANCIACION[[#This Row],[$ CAPITAL]]&gt;=0,FINANCIACION[[#This Row],[$ CAPITAL]]+FINANCIACION[[#This Row],[$ INTERESES]],0)</f>
        <v>130000</v>
      </c>
    </row>
    <row r="704" spans="1:10" ht="24" hidden="1" customHeight="1" x14ac:dyDescent="0.25">
      <c r="A704" s="7">
        <v>44425</v>
      </c>
      <c r="B704" s="53" t="s">
        <v>1219</v>
      </c>
      <c r="C704" s="5">
        <v>727590.32379200007</v>
      </c>
      <c r="D704" s="5">
        <v>572409.67620799993</v>
      </c>
      <c r="E704" s="169">
        <f>+IF(FINANCIACION[[#This Row],[$ CAPITAL]]&gt;=0,FINANCIACION[[#This Row],[$ CAPITAL]]+FINANCIACION[[#This Row],[$ INTERESES]],"")</f>
        <v>1300000</v>
      </c>
      <c r="F704" s="169">
        <f>+SUMIFS(FINANCIACION[$ CAPITAL],FINANCIACION[Fecha],"&lt;="&amp;FINANCIACION[[#This Row],[Fecha]],FINANCIACION[PRESTAMO],FINANCIACION[[#This Row],[PRESTAMO]])</f>
        <v>-56513377.297007993</v>
      </c>
      <c r="G704" s="56"/>
      <c r="H704" s="8"/>
      <c r="I704" s="5">
        <f>IF(FINANCIACION[[#This Row],[$ CAPITAL]]&gt;0,FINANCIACION[[#This Row],[$ CAPITAL]])</f>
        <v>727590.32379200007</v>
      </c>
      <c r="J704" s="36">
        <f>IF(FINANCIACION[[#This Row],[$ CAPITAL]]&gt;=0,FINANCIACION[[#This Row],[$ CAPITAL]]+FINANCIACION[[#This Row],[$ INTERESES]],0)</f>
        <v>1300000</v>
      </c>
    </row>
    <row r="705" spans="1:10" ht="24" hidden="1" customHeight="1" x14ac:dyDescent="0.25">
      <c r="A705" s="7">
        <v>44425</v>
      </c>
      <c r="B705" s="53" t="s">
        <v>1216</v>
      </c>
      <c r="C705" s="5">
        <v>472099.1033943186</v>
      </c>
      <c r="D705" s="5">
        <v>727900.8966056814</v>
      </c>
      <c r="E705" s="169">
        <f>+IF(FINANCIACION[[#This Row],[$ CAPITAL]]&gt;=0,FINANCIACION[[#This Row],[$ CAPITAL]]+FINANCIACION[[#This Row],[$ INTERESES]],"")</f>
        <v>1200000</v>
      </c>
      <c r="F705" s="169">
        <f>+SUMIFS(FINANCIACION[$ CAPITAL],FINANCIACION[Fecha],"&lt;="&amp;FINANCIACION[[#This Row],[Fecha]],FINANCIACION[PRESTAMO],FINANCIACION[[#This Row],[PRESTAMO]])</f>
        <v>-72317990.557173818</v>
      </c>
      <c r="G705" s="56"/>
      <c r="H705" s="8"/>
      <c r="I705" s="5">
        <f>IF(FINANCIACION[[#This Row],[$ CAPITAL]]&gt;0,FINANCIACION[[#This Row],[$ CAPITAL]])</f>
        <v>472099.1033943186</v>
      </c>
      <c r="J705" s="36">
        <f>IF(FINANCIACION[[#This Row],[$ CAPITAL]]&gt;=0,FINANCIACION[[#This Row],[$ CAPITAL]]+FINANCIACION[[#This Row],[$ INTERESES]],0)</f>
        <v>1200000</v>
      </c>
    </row>
    <row r="706" spans="1:10" ht="24" hidden="1" customHeight="1" x14ac:dyDescent="0.25">
      <c r="A706" s="7">
        <v>44425</v>
      </c>
      <c r="B706" s="53" t="s">
        <v>1228</v>
      </c>
      <c r="C706" s="5"/>
      <c r="D706" s="5">
        <v>120000</v>
      </c>
      <c r="E706" s="169">
        <f>+IF(FINANCIACION[[#This Row],[$ CAPITAL]]&gt;=0,FINANCIACION[[#This Row],[$ CAPITAL]]+FINANCIACION[[#This Row],[$ INTERESES]],"")</f>
        <v>120000</v>
      </c>
      <c r="F706" s="169">
        <f>+SUMIFS(FINANCIACION[$ CAPITAL],FINANCIACION[Fecha],"&lt;="&amp;FINANCIACION[[#This Row],[Fecha]],FINANCIACION[PRESTAMO],FINANCIACION[[#This Row],[PRESTAMO]])</f>
        <v>-12000000</v>
      </c>
      <c r="G706" s="8"/>
      <c r="H706" s="8"/>
      <c r="I706" s="5" t="b">
        <f>IF(FINANCIACION[[#This Row],[$ CAPITAL]]&gt;0,FINANCIACION[[#This Row],[$ CAPITAL]])</f>
        <v>0</v>
      </c>
      <c r="J706" s="36">
        <f>IF(FINANCIACION[[#This Row],[$ CAPITAL]]&gt;=0,FINANCIACION[[#This Row],[$ CAPITAL]]+FINANCIACION[[#This Row],[$ INTERESES]],0)</f>
        <v>120000</v>
      </c>
    </row>
    <row r="707" spans="1:10" ht="24" customHeight="1" x14ac:dyDescent="0.25">
      <c r="A707" s="7">
        <v>44425</v>
      </c>
      <c r="B707" s="53" t="s">
        <v>200</v>
      </c>
      <c r="C707" s="5"/>
      <c r="D707" s="5">
        <v>227850</v>
      </c>
      <c r="E707" s="169">
        <f>+IF(FINANCIACION[[#This Row],[$ CAPITAL]]&gt;=0,FINANCIACION[[#This Row],[$ CAPITAL]]+FINANCIACION[[#This Row],[$ INTERESES]],"")</f>
        <v>227850</v>
      </c>
      <c r="F707" s="169">
        <f>+SUMIFS(FINANCIACION[$ CAPITAL],FINANCIACION[Fecha],"&lt;="&amp;FINANCIACION[[#This Row],[Fecha]],FINANCIACION[PRESTAMO],FINANCIACION[[#This Row],[PRESTAMO]])</f>
        <v>-35000000</v>
      </c>
      <c r="G707" s="8"/>
      <c r="H707" s="8"/>
      <c r="I707" s="5" t="b">
        <f>IF(FINANCIACION[[#This Row],[$ CAPITAL]]&gt;0,FINANCIACION[[#This Row],[$ CAPITAL]])</f>
        <v>0</v>
      </c>
      <c r="J707" s="36">
        <f>IF(FINANCIACION[[#This Row],[$ CAPITAL]]&gt;=0,FINANCIACION[[#This Row],[$ CAPITAL]]+FINANCIACION[[#This Row],[$ INTERESES]],0)</f>
        <v>227850</v>
      </c>
    </row>
    <row r="708" spans="1:10" ht="24" hidden="1" customHeight="1" x14ac:dyDescent="0.25">
      <c r="A708" s="7">
        <v>44426</v>
      </c>
      <c r="B708" s="53" t="s">
        <v>1217</v>
      </c>
      <c r="C708" s="5">
        <v>5709486</v>
      </c>
      <c r="D708" s="5">
        <v>242086</v>
      </c>
      <c r="E708" s="169">
        <f>+IF(FINANCIACION[[#This Row],[$ CAPITAL]]&gt;=0,FINANCIACION[[#This Row],[$ CAPITAL]]+FINANCIACION[[#This Row],[$ INTERESES]],"")</f>
        <v>5951572</v>
      </c>
      <c r="F708" s="169">
        <f>+SUMIFS(FINANCIACION[$ CAPITAL],FINANCIACION[Fecha],"&lt;="&amp;FINANCIACION[[#This Row],[Fecha]],FINANCIACION[PRESTAMO],FINANCIACION[[#This Row],[PRESTAMO]])</f>
        <v>-338735212</v>
      </c>
      <c r="G708" s="8"/>
      <c r="H708" s="8"/>
      <c r="I708" s="5">
        <f>IF(FINANCIACION[[#This Row],[$ CAPITAL]]&gt;0,FINANCIACION[[#This Row],[$ CAPITAL]])</f>
        <v>5709486</v>
      </c>
      <c r="J708" s="36">
        <f>IF(FINANCIACION[[#This Row],[$ CAPITAL]]&gt;=0,FINANCIACION[[#This Row],[$ CAPITAL]]+FINANCIACION[[#This Row],[$ INTERESES]],0)</f>
        <v>5951572</v>
      </c>
    </row>
    <row r="709" spans="1:10" ht="24" hidden="1" customHeight="1" x14ac:dyDescent="0.25">
      <c r="A709" s="7">
        <v>44426</v>
      </c>
      <c r="B709" s="53" t="s">
        <v>1218</v>
      </c>
      <c r="C709" s="5">
        <v>1487315.6400000006</v>
      </c>
      <c r="D709" s="5">
        <v>5684.359999999404</v>
      </c>
      <c r="E709" s="169">
        <f>+IF(FINANCIACION[[#This Row],[$ CAPITAL]]&gt;=0,FINANCIACION[[#This Row],[$ CAPITAL]]+FINANCIACION[[#This Row],[$ INTERESES]],"")</f>
        <v>1493000</v>
      </c>
      <c r="F709" s="169">
        <f>+SUMIFS(FINANCIACION[$ CAPITAL],FINANCIACION[Fecha],"&lt;="&amp;FINANCIACION[[#This Row],[Fecha]],FINANCIACION[PRESTAMO],FINANCIACION[[#This Row],[PRESTAMO]])</f>
        <v>-25606060.169999991</v>
      </c>
      <c r="G709" s="8"/>
      <c r="H709" s="8"/>
      <c r="I709" s="5">
        <f>IF(FINANCIACION[[#This Row],[$ CAPITAL]]&gt;0,FINANCIACION[[#This Row],[$ CAPITAL]])</f>
        <v>1487315.6400000006</v>
      </c>
      <c r="J709" s="36">
        <f>IF(FINANCIACION[[#This Row],[$ CAPITAL]]&gt;=0,FINANCIACION[[#This Row],[$ CAPITAL]]+FINANCIACION[[#This Row],[$ INTERESES]],0)</f>
        <v>1493000</v>
      </c>
    </row>
    <row r="710" spans="1:10" ht="24" hidden="1" customHeight="1" x14ac:dyDescent="0.25">
      <c r="A710" s="7">
        <v>44426</v>
      </c>
      <c r="B710" s="53" t="s">
        <v>1229</v>
      </c>
      <c r="C710" s="5">
        <v>1233101.4399999976</v>
      </c>
      <c r="D710" s="5">
        <v>4898.5600000023842</v>
      </c>
      <c r="E710" s="169">
        <f>+IF(FINANCIACION[[#This Row],[$ CAPITAL]]&gt;=0,FINANCIACION[[#This Row],[$ CAPITAL]]+FINANCIACION[[#This Row],[$ INTERESES]],"")</f>
        <v>1238000</v>
      </c>
      <c r="F710" s="169">
        <f>+SUMIFS(FINANCIACION[$ CAPITAL],FINANCIACION[Fecha],"&lt;="&amp;FINANCIACION[[#This Row],[Fecha]],FINANCIACION[PRESTAMO],FINANCIACION[[#This Row],[PRESTAMO]])</f>
        <v>-22486676.970000003</v>
      </c>
      <c r="G710" s="8"/>
      <c r="H710" s="8"/>
      <c r="I710" s="5">
        <f>IF(FINANCIACION[[#This Row],[$ CAPITAL]]&gt;0,FINANCIACION[[#This Row],[$ CAPITAL]])</f>
        <v>1233101.4399999976</v>
      </c>
      <c r="J710" s="36">
        <f>IF(FINANCIACION[[#This Row],[$ CAPITAL]]&gt;=0,FINANCIACION[[#This Row],[$ CAPITAL]]+FINANCIACION[[#This Row],[$ INTERESES]],0)</f>
        <v>1238000</v>
      </c>
    </row>
    <row r="711" spans="1:10" ht="24" hidden="1" customHeight="1" x14ac:dyDescent="0.25">
      <c r="A711" s="7">
        <v>44426</v>
      </c>
      <c r="B711" s="53" t="s">
        <v>1221</v>
      </c>
      <c r="C711" s="5">
        <v>2504623.9299999997</v>
      </c>
      <c r="D711" s="5">
        <v>10376.070000000298</v>
      </c>
      <c r="E711" s="169">
        <f>+IF(FINANCIACION[[#This Row],[$ CAPITAL]]&gt;=0,FINANCIACION[[#This Row],[$ CAPITAL]]+FINANCIACION[[#This Row],[$ INTERESES]],"")</f>
        <v>2515000</v>
      </c>
      <c r="F711" s="169">
        <f>+SUMIFS(FINANCIACION[$ CAPITAL],FINANCIACION[Fecha],"&lt;="&amp;FINANCIACION[[#This Row],[Fecha]],FINANCIACION[PRESTAMO],FINANCIACION[[#This Row],[PRESTAMO]])</f>
        <v>-47631389.68</v>
      </c>
      <c r="G711" s="8"/>
      <c r="H711" s="8"/>
      <c r="I711" s="5">
        <f>IF(FINANCIACION[[#This Row],[$ CAPITAL]]&gt;0,FINANCIACION[[#This Row],[$ CAPITAL]])</f>
        <v>2504623.9299999997</v>
      </c>
      <c r="J711" s="36">
        <f>IF(FINANCIACION[[#This Row],[$ CAPITAL]]&gt;=0,FINANCIACION[[#This Row],[$ CAPITAL]]+FINANCIACION[[#This Row],[$ INTERESES]],0)</f>
        <v>2515000</v>
      </c>
    </row>
    <row r="712" spans="1:10" ht="24" hidden="1" customHeight="1" x14ac:dyDescent="0.25">
      <c r="A712" s="7">
        <v>44426</v>
      </c>
      <c r="B712" s="53" t="s">
        <v>1222</v>
      </c>
      <c r="C712" s="5">
        <v>3688246.1700000018</v>
      </c>
      <c r="D712" s="5">
        <v>16753.829999998212</v>
      </c>
      <c r="E712" s="169">
        <f>+IF(FINANCIACION[[#This Row],[$ CAPITAL]]&gt;=0,FINANCIACION[[#This Row],[$ CAPITAL]]+FINANCIACION[[#This Row],[$ INTERESES]],"")</f>
        <v>3705000</v>
      </c>
      <c r="F712" s="169">
        <f>+SUMIFS(FINANCIACION[$ CAPITAL],FINANCIACION[Fecha],"&lt;="&amp;FINANCIACION[[#This Row],[Fecha]],FINANCIACION[PRESTAMO],FINANCIACION[[#This Row],[PRESTAMO]])</f>
        <v>-69028183.840000004</v>
      </c>
      <c r="G712" s="8"/>
      <c r="H712" s="8"/>
      <c r="I712" s="5">
        <f>IF(FINANCIACION[[#This Row],[$ CAPITAL]]&gt;0,FINANCIACION[[#This Row],[$ CAPITAL]])</f>
        <v>3688246.1700000018</v>
      </c>
      <c r="J712" s="36">
        <f>IF(FINANCIACION[[#This Row],[$ CAPITAL]]&gt;=0,FINANCIACION[[#This Row],[$ CAPITAL]]+FINANCIACION[[#This Row],[$ INTERESES]],0)</f>
        <v>3705000</v>
      </c>
    </row>
    <row r="713" spans="1:10" ht="24" hidden="1" customHeight="1" x14ac:dyDescent="0.25">
      <c r="A713" s="7">
        <v>44426</v>
      </c>
      <c r="B713" s="53" t="s">
        <v>1223</v>
      </c>
      <c r="C713" s="5">
        <v>988729.23999999836</v>
      </c>
      <c r="D713" s="5">
        <v>4270.7600000016391</v>
      </c>
      <c r="E713" s="169">
        <f>+IF(FINANCIACION[[#This Row],[$ CAPITAL]]&gt;=0,FINANCIACION[[#This Row],[$ CAPITAL]]+FINANCIACION[[#This Row],[$ INTERESES]],"")</f>
        <v>993000</v>
      </c>
      <c r="F713" s="169">
        <f>+SUMIFS(FINANCIACION[$ CAPITAL],FINANCIACION[Fecha],"&lt;="&amp;FINANCIACION[[#This Row],[Fecha]],FINANCIACION[PRESTAMO],FINANCIACION[[#This Row],[PRESTAMO]])</f>
        <v>-19449106.430000003</v>
      </c>
      <c r="G713" s="8"/>
      <c r="H713" s="8"/>
      <c r="I713" s="5">
        <f>IF(FINANCIACION[[#This Row],[$ CAPITAL]]&gt;0,FINANCIACION[[#This Row],[$ CAPITAL]])</f>
        <v>988729.23999999836</v>
      </c>
      <c r="J713" s="36">
        <f>IF(FINANCIACION[[#This Row],[$ CAPITAL]]&gt;=0,FINANCIACION[[#This Row],[$ CAPITAL]]+FINANCIACION[[#This Row],[$ INTERESES]],0)</f>
        <v>993000</v>
      </c>
    </row>
    <row r="714" spans="1:10" ht="24" hidden="1" customHeight="1" x14ac:dyDescent="0.25">
      <c r="A714" s="7">
        <v>44426</v>
      </c>
      <c r="B714" s="53" t="s">
        <v>1225</v>
      </c>
      <c r="C714" s="5">
        <v>1040361.5199999996</v>
      </c>
      <c r="D714" s="5">
        <v>4638.480000000447</v>
      </c>
      <c r="E714" s="169">
        <f>+IF(FINANCIACION[[#This Row],[$ CAPITAL]]&gt;=0,FINANCIACION[[#This Row],[$ CAPITAL]]+FINANCIACION[[#This Row],[$ INTERESES]],"")</f>
        <v>1045000</v>
      </c>
      <c r="F714" s="169">
        <f>+SUMIFS(FINANCIACION[$ CAPITAL],FINANCIACION[Fecha],"&lt;="&amp;FINANCIACION[[#This Row],[Fecha]],FINANCIACION[PRESTAMO],FINANCIACION[[#This Row],[PRESTAMO]])</f>
        <v>-21288390.120000001</v>
      </c>
      <c r="G714" s="8"/>
      <c r="H714" s="8"/>
      <c r="I714" s="5">
        <f>IF(FINANCIACION[[#This Row],[$ CAPITAL]]&gt;0,FINANCIACION[[#This Row],[$ CAPITAL]])</f>
        <v>1040361.5199999996</v>
      </c>
      <c r="J714" s="36">
        <f>IF(FINANCIACION[[#This Row],[$ CAPITAL]]&gt;=0,FINANCIACION[[#This Row],[$ CAPITAL]]+FINANCIACION[[#This Row],[$ INTERESES]],0)</f>
        <v>1045000</v>
      </c>
    </row>
    <row r="715" spans="1:10" ht="24" hidden="1" customHeight="1" x14ac:dyDescent="0.25">
      <c r="A715" s="7">
        <v>44426</v>
      </c>
      <c r="B715" s="53" t="s">
        <v>201</v>
      </c>
      <c r="C715" s="5">
        <v>74118</v>
      </c>
      <c r="D715" s="5"/>
      <c r="E715" s="169">
        <f>+IF(FINANCIACION[[#This Row],[$ CAPITAL]]&gt;=0,FINANCIACION[[#This Row],[$ CAPITAL]]+FINANCIACION[[#This Row],[$ INTERESES]],"")</f>
        <v>74118</v>
      </c>
      <c r="F715" s="169">
        <f>+SUMIFS(FINANCIACION[$ CAPITAL],FINANCIACION[Fecha],"&lt;="&amp;FINANCIACION[[#This Row],[Fecha]],FINANCIACION[PRESTAMO],FINANCIACION[[#This Row],[PRESTAMO]])</f>
        <v>790</v>
      </c>
      <c r="G715" s="8"/>
      <c r="H715" s="8"/>
      <c r="I715" s="5">
        <f>IF(FINANCIACION[[#This Row],[$ CAPITAL]]&gt;0,FINANCIACION[[#This Row],[$ CAPITAL]])</f>
        <v>74118</v>
      </c>
      <c r="J715" s="36">
        <f>IF(FINANCIACION[[#This Row],[$ CAPITAL]]&gt;=0,FINANCIACION[[#This Row],[$ CAPITAL]]+FINANCIACION[[#This Row],[$ INTERESES]],0)</f>
        <v>74118</v>
      </c>
    </row>
    <row r="716" spans="1:10" ht="24" hidden="1" customHeight="1" x14ac:dyDescent="0.25">
      <c r="A716" s="7">
        <v>44426</v>
      </c>
      <c r="B716" s="53" t="s">
        <v>202</v>
      </c>
      <c r="C716" s="5">
        <v>3868410</v>
      </c>
      <c r="D716" s="5"/>
      <c r="E716" s="169">
        <f>+IF(FINANCIACION[[#This Row],[$ CAPITAL]]&gt;=0,FINANCIACION[[#This Row],[$ CAPITAL]]+FINANCIACION[[#This Row],[$ INTERESES]],"")</f>
        <v>3868410</v>
      </c>
      <c r="F716" s="169">
        <f>+SUMIFS(FINANCIACION[$ CAPITAL],FINANCIACION[Fecha],"&lt;="&amp;FINANCIACION[[#This Row],[Fecha]],FINANCIACION[PRESTAMO],FINANCIACION[[#This Row],[PRESTAMO]])</f>
        <v>-16027610</v>
      </c>
      <c r="G716" s="8"/>
      <c r="H716" s="8"/>
      <c r="I716" s="5">
        <f>IF(FINANCIACION[[#This Row],[$ CAPITAL]]&gt;0,FINANCIACION[[#This Row],[$ CAPITAL]])</f>
        <v>3868410</v>
      </c>
      <c r="J716" s="9">
        <f>IF(FINANCIACION[[#This Row],[$ CAPITAL]]&gt;=0,FINANCIACION[[#This Row],[$ CAPITAL]]+FINANCIACION[[#This Row],[$ INTERESES]],0)</f>
        <v>3868410</v>
      </c>
    </row>
    <row r="717" spans="1:10" ht="24" hidden="1" customHeight="1" x14ac:dyDescent="0.25">
      <c r="A717" s="7">
        <v>44426</v>
      </c>
      <c r="B717" s="53" t="s">
        <v>203</v>
      </c>
      <c r="C717" s="5">
        <v>1000000</v>
      </c>
      <c r="D717" s="5"/>
      <c r="E717" s="169">
        <f>+IF(FINANCIACION[[#This Row],[$ CAPITAL]]&gt;=0,FINANCIACION[[#This Row],[$ CAPITAL]]+FINANCIACION[[#This Row],[$ INTERESES]],"")</f>
        <v>1000000</v>
      </c>
      <c r="F717" s="169">
        <f>+SUMIFS(FINANCIACION[$ CAPITAL],FINANCIACION[Fecha],"&lt;="&amp;FINANCIACION[[#This Row],[Fecha]],FINANCIACION[PRESTAMO],FINANCIACION[[#This Row],[PRESTAMO]])</f>
        <v>-411800</v>
      </c>
      <c r="G717" s="8"/>
      <c r="H717" s="8"/>
      <c r="I717" s="5">
        <f>IF(FINANCIACION[[#This Row],[$ CAPITAL]]&gt;0,FINANCIACION[[#This Row],[$ CAPITAL]])</f>
        <v>1000000</v>
      </c>
      <c r="J717" s="9">
        <f>IF(FINANCIACION[[#This Row],[$ CAPITAL]]&gt;=0,FINANCIACION[[#This Row],[$ CAPITAL]]+FINANCIACION[[#This Row],[$ INTERESES]],0)</f>
        <v>1000000</v>
      </c>
    </row>
    <row r="718" spans="1:10" ht="24" hidden="1" customHeight="1" x14ac:dyDescent="0.25">
      <c r="A718" s="7">
        <v>44439</v>
      </c>
      <c r="B718" s="53" t="s">
        <v>193</v>
      </c>
      <c r="C718" s="5">
        <v>1468400</v>
      </c>
      <c r="D718" s="5">
        <v>442095</v>
      </c>
      <c r="E718" s="169">
        <f>+IF(FINANCIACION[[#This Row],[$ CAPITAL]]&gt;=0,FINANCIACION[[#This Row],[$ CAPITAL]]+FINANCIACION[[#This Row],[$ INTERESES]],"")</f>
        <v>1910495</v>
      </c>
      <c r="F718" s="169">
        <f>+SUMIFS(FINANCIACION[$ CAPITAL],FINANCIACION[Fecha],"&lt;="&amp;FINANCIACION[[#This Row],[Fecha]],FINANCIACION[PRESTAMO],FINANCIACION[[#This Row],[PRESTAMO]])</f>
        <v>-45520400</v>
      </c>
      <c r="G718" s="8"/>
      <c r="H718" s="56"/>
      <c r="I718" s="5">
        <f>IF(FINANCIACION[[#This Row],[$ CAPITAL]]&gt;0,FINANCIACION[[#This Row],[$ CAPITAL]])</f>
        <v>1468400</v>
      </c>
      <c r="J718" s="9">
        <f>IF(FINANCIACION[[#This Row],[$ CAPITAL]]&gt;=0,FINANCIACION[[#This Row],[$ CAPITAL]]+FINANCIACION[[#This Row],[$ INTERESES]],0)</f>
        <v>1910495</v>
      </c>
    </row>
    <row r="719" spans="1:10" ht="24" hidden="1" customHeight="1" x14ac:dyDescent="0.25">
      <c r="A719" s="7">
        <v>44439</v>
      </c>
      <c r="B719" s="53" t="s">
        <v>194</v>
      </c>
      <c r="C719" s="5">
        <v>76791</v>
      </c>
      <c r="D719" s="5"/>
      <c r="E719" s="169">
        <f>+IF(FINANCIACION[[#This Row],[$ CAPITAL]]&gt;=0,FINANCIACION[[#This Row],[$ CAPITAL]]+FINANCIACION[[#This Row],[$ INTERESES]],"")</f>
        <v>76791</v>
      </c>
      <c r="F719" s="169">
        <f>+SUMIFS(FINANCIACION[$ CAPITAL],FINANCIACION[Fecha],"&lt;="&amp;FINANCIACION[[#This Row],[Fecha]],FINANCIACION[PRESTAMO],FINANCIACION[[#This Row],[PRESTAMO]])</f>
        <v>-2380521</v>
      </c>
      <c r="G719" s="8"/>
      <c r="H719" s="56"/>
      <c r="I719" s="5">
        <f>IF(FINANCIACION[[#This Row],[$ CAPITAL]]&gt;0,FINANCIACION[[#This Row],[$ CAPITAL]])</f>
        <v>76791</v>
      </c>
      <c r="J719" s="9">
        <f>IF(FINANCIACION[[#This Row],[$ CAPITAL]]&gt;=0,FINANCIACION[[#This Row],[$ CAPITAL]]+FINANCIACION[[#This Row],[$ INTERESES]],0)</f>
        <v>76791</v>
      </c>
    </row>
    <row r="720" spans="1:10" ht="24" hidden="1" customHeight="1" x14ac:dyDescent="0.25">
      <c r="A720" s="7">
        <v>44439</v>
      </c>
      <c r="B720" s="53" t="s">
        <v>201</v>
      </c>
      <c r="C720" s="5">
        <v>-790</v>
      </c>
      <c r="D720" s="5"/>
      <c r="E720" s="169" t="str">
        <f>+IF(FINANCIACION[[#This Row],[$ CAPITAL]]&gt;=0,FINANCIACION[[#This Row],[$ CAPITAL]]+FINANCIACION[[#This Row],[$ INTERESES]],"")</f>
        <v/>
      </c>
      <c r="F720" s="169">
        <f>+SUMIFS(FINANCIACION[$ CAPITAL],FINANCIACION[Fecha],"&lt;="&amp;FINANCIACION[[#This Row],[Fecha]],FINANCIACION[PRESTAMO],FINANCIACION[[#This Row],[PRESTAMO]])</f>
        <v>63580</v>
      </c>
      <c r="G720" s="8" t="s">
        <v>231</v>
      </c>
      <c r="H720" s="56"/>
      <c r="I720" s="5" t="b">
        <f>IF(FINANCIACION[[#This Row],[$ CAPITAL]]&gt;0,FINANCIACION[[#This Row],[$ CAPITAL]])</f>
        <v>0</v>
      </c>
      <c r="J720" s="9">
        <f>IF(FINANCIACION[[#This Row],[$ CAPITAL]]&gt;=0,FINANCIACION[[#This Row],[$ CAPITAL]]+FINANCIACION[[#This Row],[$ INTERESES]],0)</f>
        <v>0</v>
      </c>
    </row>
    <row r="721" spans="1:10" ht="24" hidden="1" customHeight="1" x14ac:dyDescent="0.25">
      <c r="A721" s="7">
        <v>44439</v>
      </c>
      <c r="B721" s="53" t="s">
        <v>201</v>
      </c>
      <c r="C721" s="5">
        <v>63580</v>
      </c>
      <c r="D721" s="5"/>
      <c r="E721" s="169">
        <f>+IF(FINANCIACION[[#This Row],[$ CAPITAL]]&gt;=0,FINANCIACION[[#This Row],[$ CAPITAL]]+FINANCIACION[[#This Row],[$ INTERESES]],"")</f>
        <v>63580</v>
      </c>
      <c r="F721" s="169">
        <f>+SUMIFS(FINANCIACION[$ CAPITAL],FINANCIACION[Fecha],"&lt;="&amp;FINANCIACION[[#This Row],[Fecha]],FINANCIACION[PRESTAMO],FINANCIACION[[#This Row],[PRESTAMO]])</f>
        <v>63580</v>
      </c>
      <c r="G721" s="8"/>
      <c r="H721" s="56"/>
      <c r="I721" s="5">
        <f>IF(FINANCIACION[[#This Row],[$ CAPITAL]]&gt;0,FINANCIACION[[#This Row],[$ CAPITAL]])</f>
        <v>63580</v>
      </c>
      <c r="J721" s="9">
        <f>IF(FINANCIACION[[#This Row],[$ CAPITAL]]&gt;=0,FINANCIACION[[#This Row],[$ CAPITAL]]+FINANCIACION[[#This Row],[$ INTERESES]],0)</f>
        <v>63580</v>
      </c>
    </row>
    <row r="722" spans="1:10" ht="24" hidden="1" customHeight="1" x14ac:dyDescent="0.25">
      <c r="A722" s="7">
        <v>44439</v>
      </c>
      <c r="B722" s="53" t="s">
        <v>202</v>
      </c>
      <c r="C722" s="5">
        <v>38068.699999999997</v>
      </c>
      <c r="D722" s="5"/>
      <c r="E722" s="169">
        <f>+IF(FINANCIACION[[#This Row],[$ CAPITAL]]&gt;=0,FINANCIACION[[#This Row],[$ CAPITAL]]+FINANCIACION[[#This Row],[$ INTERESES]],"")</f>
        <v>38068.699999999997</v>
      </c>
      <c r="F722" s="169">
        <f>+SUMIFS(FINANCIACION[$ CAPITAL],FINANCIACION[Fecha],"&lt;="&amp;FINANCIACION[[#This Row],[Fecha]],FINANCIACION[PRESTAMO],FINANCIACION[[#This Row],[PRESTAMO]])</f>
        <v>-31683600</v>
      </c>
      <c r="G722" s="56"/>
      <c r="H722" s="8"/>
      <c r="I722" s="5">
        <f>IF(FINANCIACION[[#This Row],[$ CAPITAL]]&gt;0,FINANCIACION[[#This Row],[$ CAPITAL]])</f>
        <v>38068.699999999997</v>
      </c>
      <c r="J722" s="36">
        <f>IF(FINANCIACION[[#This Row],[$ CAPITAL]]&gt;=0,FINANCIACION[[#This Row],[$ CAPITAL]]+FINANCIACION[[#This Row],[$ INTERESES]],0)</f>
        <v>38068.699999999997</v>
      </c>
    </row>
    <row r="723" spans="1:10" ht="24" hidden="1" customHeight="1" x14ac:dyDescent="0.25">
      <c r="A723" s="7">
        <v>44439</v>
      </c>
      <c r="B723" s="53" t="s">
        <v>202</v>
      </c>
      <c r="C723" s="5">
        <v>-15694058.699999999</v>
      </c>
      <c r="D723" s="5"/>
      <c r="E723" s="169" t="str">
        <f>+IF(FINANCIACION[[#This Row],[$ CAPITAL]]&gt;=0,FINANCIACION[[#This Row],[$ CAPITAL]]+FINANCIACION[[#This Row],[$ INTERESES]],"")</f>
        <v/>
      </c>
      <c r="F723" s="169">
        <f>+SUMIFS(FINANCIACION[$ CAPITAL],FINANCIACION[Fecha],"&lt;="&amp;FINANCIACION[[#This Row],[Fecha]],FINANCIACION[PRESTAMO],FINANCIACION[[#This Row],[PRESTAMO]])</f>
        <v>-31683600</v>
      </c>
      <c r="G723" s="56" t="s">
        <v>231</v>
      </c>
      <c r="H723" s="8"/>
      <c r="I723" s="5" t="b">
        <f>IF(FINANCIACION[[#This Row],[$ CAPITAL]]&gt;0,FINANCIACION[[#This Row],[$ CAPITAL]])</f>
        <v>0</v>
      </c>
      <c r="J723" s="36">
        <f>IF(FINANCIACION[[#This Row],[$ CAPITAL]]&gt;=0,FINANCIACION[[#This Row],[$ CAPITAL]]+FINANCIACION[[#This Row],[$ INTERESES]],0)</f>
        <v>0</v>
      </c>
    </row>
    <row r="724" spans="1:10" ht="24" hidden="1" customHeight="1" x14ac:dyDescent="0.25">
      <c r="A724" s="7">
        <v>44439</v>
      </c>
      <c r="B724" s="53" t="s">
        <v>203</v>
      </c>
      <c r="C724" s="5">
        <v>-5634</v>
      </c>
      <c r="D724" s="5"/>
      <c r="E724" s="169" t="str">
        <f>+IF(FINANCIACION[[#This Row],[$ CAPITAL]]&gt;=0,FINANCIACION[[#This Row],[$ CAPITAL]]+FINANCIACION[[#This Row],[$ INTERESES]],"")</f>
        <v/>
      </c>
      <c r="F724" s="169">
        <f>+SUMIFS(FINANCIACION[$ CAPITAL],FINANCIACION[Fecha],"&lt;="&amp;FINANCIACION[[#This Row],[Fecha]],FINANCIACION[PRESTAMO],FINANCIACION[[#This Row],[PRESTAMO]])</f>
        <v>-417434</v>
      </c>
      <c r="G724" s="56" t="s">
        <v>231</v>
      </c>
      <c r="H724" s="8"/>
      <c r="I724" s="5" t="b">
        <f>IF(FINANCIACION[[#This Row],[$ CAPITAL]]&gt;0,FINANCIACION[[#This Row],[$ CAPITAL]])</f>
        <v>0</v>
      </c>
      <c r="J724" s="36">
        <f>IF(FINANCIACION[[#This Row],[$ CAPITAL]]&gt;=0,FINANCIACION[[#This Row],[$ CAPITAL]]+FINANCIACION[[#This Row],[$ INTERESES]],0)</f>
        <v>0</v>
      </c>
    </row>
    <row r="725" spans="1:10" ht="24" hidden="1" customHeight="1" x14ac:dyDescent="0.25">
      <c r="A725" s="7">
        <v>44440</v>
      </c>
      <c r="B725" s="53" t="s">
        <v>202</v>
      </c>
      <c r="C725" s="5">
        <v>11300000</v>
      </c>
      <c r="D725" s="5"/>
      <c r="E725" s="169">
        <f>+IF(FINANCIACION[[#This Row],[$ CAPITAL]]&gt;=0,FINANCIACION[[#This Row],[$ CAPITAL]]+FINANCIACION[[#This Row],[$ INTERESES]],"")</f>
        <v>11300000</v>
      </c>
      <c r="F725" s="169">
        <f>+SUMIFS(FINANCIACION[$ CAPITAL],FINANCIACION[Fecha],"&lt;="&amp;FINANCIACION[[#This Row],[Fecha]],FINANCIACION[PRESTAMO],FINANCIACION[[#This Row],[PRESTAMO]])</f>
        <v>-20383600</v>
      </c>
      <c r="G725" s="8"/>
      <c r="H725" s="8"/>
      <c r="I725" s="5">
        <f>IF(FINANCIACION[[#This Row],[$ CAPITAL]]&gt;0,FINANCIACION[[#This Row],[$ CAPITAL]])</f>
        <v>11300000</v>
      </c>
      <c r="J725" s="36">
        <f>IF(FINANCIACION[[#This Row],[$ CAPITAL]]&gt;=0,FINANCIACION[[#This Row],[$ CAPITAL]]+FINANCIACION[[#This Row],[$ INTERESES]],0)</f>
        <v>11300000</v>
      </c>
    </row>
    <row r="726" spans="1:10" ht="24" hidden="1" customHeight="1" x14ac:dyDescent="0.25">
      <c r="A726" s="7">
        <v>44440</v>
      </c>
      <c r="B726" s="53" t="s">
        <v>203</v>
      </c>
      <c r="C726" s="5">
        <v>417434</v>
      </c>
      <c r="D726" s="5"/>
      <c r="E726" s="169">
        <f>+IF(FINANCIACION[[#This Row],[$ CAPITAL]]&gt;=0,FINANCIACION[[#This Row],[$ CAPITAL]]+FINANCIACION[[#This Row],[$ INTERESES]],"")</f>
        <v>417434</v>
      </c>
      <c r="F726" s="169">
        <f>+SUMIFS(FINANCIACION[$ CAPITAL],FINANCIACION[Fecha],"&lt;="&amp;FINANCIACION[[#This Row],[Fecha]],FINANCIACION[PRESTAMO],FINANCIACION[[#This Row],[PRESTAMO]])</f>
        <v>0</v>
      </c>
      <c r="G726" s="56"/>
      <c r="H726" s="8"/>
      <c r="I726" s="5">
        <f>IF(FINANCIACION[[#This Row],[$ CAPITAL]]&gt;0,FINANCIACION[[#This Row],[$ CAPITAL]])</f>
        <v>417434</v>
      </c>
      <c r="J726" s="36">
        <f>IF(FINANCIACION[[#This Row],[$ CAPITAL]]&gt;=0,FINANCIACION[[#This Row],[$ CAPITAL]]+FINANCIACION[[#This Row],[$ INTERESES]],0)</f>
        <v>417434</v>
      </c>
    </row>
    <row r="727" spans="1:10" ht="24" hidden="1" customHeight="1" x14ac:dyDescent="0.25">
      <c r="A727" s="7">
        <v>44445</v>
      </c>
      <c r="B727" s="53" t="s">
        <v>197</v>
      </c>
      <c r="C727" s="5">
        <v>6326000</v>
      </c>
      <c r="D727" s="5">
        <v>282642.03000000003</v>
      </c>
      <c r="E727" s="169">
        <f>+IF(FINANCIACION[[#This Row],[$ CAPITAL]]&gt;=0,FINANCIACION[[#This Row],[$ CAPITAL]]+FINANCIACION[[#This Row],[$ INTERESES]],"")</f>
        <v>6608642.0300000003</v>
      </c>
      <c r="F727" s="169">
        <f>+SUMIFS(FINANCIACION[$ CAPITAL],FINANCIACION[Fecha],"&lt;="&amp;FINANCIACION[[#This Row],[Fecha]],FINANCIACION[PRESTAMO],FINANCIACION[[#This Row],[PRESTAMO]])</f>
        <v>-35061126</v>
      </c>
      <c r="G727" s="56"/>
      <c r="H727" s="8"/>
      <c r="I727" s="5">
        <f>IF(FINANCIACION[[#This Row],[$ CAPITAL]]&gt;0,FINANCIACION[[#This Row],[$ CAPITAL]])</f>
        <v>6326000</v>
      </c>
      <c r="J727" s="36">
        <f>IF(FINANCIACION[[#This Row],[$ CAPITAL]]&gt;=0,FINANCIACION[[#This Row],[$ CAPITAL]]+FINANCIACION[[#This Row],[$ INTERESES]],0)</f>
        <v>6608642.0300000003</v>
      </c>
    </row>
    <row r="728" spans="1:10" ht="24" hidden="1" customHeight="1" x14ac:dyDescent="0.25">
      <c r="A728" s="7">
        <v>44450</v>
      </c>
      <c r="B728" s="53" t="s">
        <v>1226</v>
      </c>
      <c r="C728" s="5"/>
      <c r="D728" s="5">
        <v>130000</v>
      </c>
      <c r="E728" s="169">
        <f>+IF(FINANCIACION[[#This Row],[$ CAPITAL]]&gt;=0,FINANCIACION[[#This Row],[$ CAPITAL]]+FINANCIACION[[#This Row],[$ INTERESES]],"")</f>
        <v>130000</v>
      </c>
      <c r="F728" s="169">
        <f>+SUMIFS(FINANCIACION[$ CAPITAL],FINANCIACION[Fecha],"&lt;="&amp;FINANCIACION[[#This Row],[Fecha]],FINANCIACION[PRESTAMO],FINANCIACION[[#This Row],[PRESTAMO]])</f>
        <v>-13000000</v>
      </c>
      <c r="G728" s="56"/>
      <c r="H728" s="8"/>
      <c r="I728" s="5" t="b">
        <f>IF(FINANCIACION[[#This Row],[$ CAPITAL]]&gt;0,FINANCIACION[[#This Row],[$ CAPITAL]])</f>
        <v>0</v>
      </c>
      <c r="J728" s="36">
        <f>IF(FINANCIACION[[#This Row],[$ CAPITAL]]&gt;=0,FINANCIACION[[#This Row],[$ CAPITAL]]+FINANCIACION[[#This Row],[$ INTERESES]],0)</f>
        <v>130000</v>
      </c>
    </row>
    <row r="729" spans="1:10" ht="24" hidden="1" customHeight="1" x14ac:dyDescent="0.25">
      <c r="A729" s="7">
        <v>44450</v>
      </c>
      <c r="B729" s="53" t="s">
        <v>1230</v>
      </c>
      <c r="C729" s="5"/>
      <c r="D729" s="5">
        <v>400000</v>
      </c>
      <c r="E729" s="169">
        <f>+IF(FINANCIACION[[#This Row],[$ CAPITAL]]&gt;=0,FINANCIACION[[#This Row],[$ CAPITAL]]+FINANCIACION[[#This Row],[$ INTERESES]],"")</f>
        <v>400000</v>
      </c>
      <c r="F729" s="169">
        <f>+SUMIFS(FINANCIACION[$ CAPITAL],FINANCIACION[Fecha],"&lt;="&amp;FINANCIACION[[#This Row],[Fecha]],FINANCIACION[PRESTAMO],FINANCIACION[[#This Row],[PRESTAMO]])</f>
        <v>-40000000</v>
      </c>
      <c r="G729" s="56" t="s">
        <v>523</v>
      </c>
      <c r="H729" s="8"/>
      <c r="I729" s="5" t="b">
        <f>IF(FINANCIACION[[#This Row],[$ CAPITAL]]&gt;0,FINANCIACION[[#This Row],[$ CAPITAL]])</f>
        <v>0</v>
      </c>
      <c r="J729" s="36">
        <f>IF(FINANCIACION[[#This Row],[$ CAPITAL]]&gt;=0,FINANCIACION[[#This Row],[$ CAPITAL]]+FINANCIACION[[#This Row],[$ INTERESES]],0)</f>
        <v>400000</v>
      </c>
    </row>
    <row r="730" spans="1:10" ht="24" hidden="1" customHeight="1" x14ac:dyDescent="0.25">
      <c r="A730" s="7">
        <v>44450</v>
      </c>
      <c r="B730" s="53" t="s">
        <v>1215</v>
      </c>
      <c r="C730" s="5">
        <v>1907385.0577347248</v>
      </c>
      <c r="D730" s="5">
        <v>769992.94226527517</v>
      </c>
      <c r="E730" s="169">
        <f>+IF(FINANCIACION[[#This Row],[$ CAPITAL]]&gt;=0,FINANCIACION[[#This Row],[$ CAPITAL]]+FINANCIACION[[#This Row],[$ INTERESES]],"")</f>
        <v>2677378</v>
      </c>
      <c r="F730" s="169">
        <f>+SUMIFS(FINANCIACION[$ CAPITAL],FINANCIACION[Fecha],"&lt;="&amp;FINANCIACION[[#This Row],[Fecha]],FINANCIACION[PRESTAMO],FINANCIACION[[#This Row],[PRESTAMO]])</f>
        <v>-75091909.168792784</v>
      </c>
      <c r="G730" s="56"/>
      <c r="H730" s="8"/>
      <c r="I730" s="5">
        <f>IF(FINANCIACION[[#This Row],[$ CAPITAL]]&gt;0,FINANCIACION[[#This Row],[$ CAPITAL]])</f>
        <v>1907385.0577347248</v>
      </c>
      <c r="J730" s="36">
        <f>IF(FINANCIACION[[#This Row],[$ CAPITAL]]&gt;=0,FINANCIACION[[#This Row],[$ CAPITAL]]+FINANCIACION[[#This Row],[$ INTERESES]],0)</f>
        <v>2677378</v>
      </c>
    </row>
    <row r="731" spans="1:10" ht="24" hidden="1" customHeight="1" x14ac:dyDescent="0.25">
      <c r="A731" s="7">
        <v>44450</v>
      </c>
      <c r="B731" s="53" t="s">
        <v>1219</v>
      </c>
      <c r="C731" s="5">
        <v>734866.22702992009</v>
      </c>
      <c r="D731" s="5">
        <v>565133.77297007991</v>
      </c>
      <c r="E731" s="169">
        <f>+IF(FINANCIACION[[#This Row],[$ CAPITAL]]&gt;=0,FINANCIACION[[#This Row],[$ CAPITAL]]+FINANCIACION[[#This Row],[$ INTERESES]],"")</f>
        <v>1300000</v>
      </c>
      <c r="F731" s="169">
        <f>+SUMIFS(FINANCIACION[$ CAPITAL],FINANCIACION[Fecha],"&lt;="&amp;FINANCIACION[[#This Row],[Fecha]],FINANCIACION[PRESTAMO],FINANCIACION[[#This Row],[PRESTAMO]])</f>
        <v>-55778511.069978073</v>
      </c>
      <c r="G731" s="8"/>
      <c r="H731" s="8"/>
      <c r="I731" s="5">
        <f>IF(FINANCIACION[[#This Row],[$ CAPITAL]]&gt;0,FINANCIACION[[#This Row],[$ CAPITAL]])</f>
        <v>734866.22702992009</v>
      </c>
      <c r="J731" s="36">
        <f>IF(FINANCIACION[[#This Row],[$ CAPITAL]]&gt;=0,FINANCIACION[[#This Row],[$ CAPITAL]]+FINANCIACION[[#This Row],[$ INTERESES]],0)</f>
        <v>1300000</v>
      </c>
    </row>
    <row r="732" spans="1:10" ht="24" hidden="1" customHeight="1" x14ac:dyDescent="0.25">
      <c r="A732" s="7">
        <v>44450</v>
      </c>
      <c r="B732" s="53" t="s">
        <v>1216</v>
      </c>
      <c r="C732" s="5">
        <v>476820.09442826186</v>
      </c>
      <c r="D732" s="5">
        <v>723179.90557173814</v>
      </c>
      <c r="E732" s="169">
        <f>+IF(FINANCIACION[[#This Row],[$ CAPITAL]]&gt;=0,FINANCIACION[[#This Row],[$ CAPITAL]]+FINANCIACION[[#This Row],[$ INTERESES]],"")</f>
        <v>1200000</v>
      </c>
      <c r="F732" s="169">
        <f>+SUMIFS(FINANCIACION[$ CAPITAL],FINANCIACION[Fecha],"&lt;="&amp;FINANCIACION[[#This Row],[Fecha]],FINANCIACION[PRESTAMO],FINANCIACION[[#This Row],[PRESTAMO]])</f>
        <v>-71841170.462745562</v>
      </c>
      <c r="G732" s="8"/>
      <c r="H732" s="8"/>
      <c r="I732" s="5">
        <f>IF(FINANCIACION[[#This Row],[$ CAPITAL]]&gt;0,FINANCIACION[[#This Row],[$ CAPITAL]])</f>
        <v>476820.09442826186</v>
      </c>
      <c r="J732" s="36">
        <f>IF(FINANCIACION[[#This Row],[$ CAPITAL]]&gt;=0,FINANCIACION[[#This Row],[$ CAPITAL]]+FINANCIACION[[#This Row],[$ INTERESES]],0)</f>
        <v>1200000</v>
      </c>
    </row>
    <row r="733" spans="1:10" ht="24" hidden="1" customHeight="1" x14ac:dyDescent="0.25">
      <c r="A733" s="7">
        <v>44450</v>
      </c>
      <c r="B733" s="53" t="s">
        <v>1228</v>
      </c>
      <c r="C733" s="5"/>
      <c r="D733" s="5">
        <v>120000</v>
      </c>
      <c r="E733" s="169">
        <f>+IF(FINANCIACION[[#This Row],[$ CAPITAL]]&gt;=0,FINANCIACION[[#This Row],[$ CAPITAL]]+FINANCIACION[[#This Row],[$ INTERESES]],"")</f>
        <v>120000</v>
      </c>
      <c r="F733" s="169">
        <f>+SUMIFS(FINANCIACION[$ CAPITAL],FINANCIACION[Fecha],"&lt;="&amp;FINANCIACION[[#This Row],[Fecha]],FINANCIACION[PRESTAMO],FINANCIACION[[#This Row],[PRESTAMO]])</f>
        <v>-12000000</v>
      </c>
      <c r="G733" s="8"/>
      <c r="H733" s="8"/>
      <c r="I733" s="5" t="b">
        <f>IF(FINANCIACION[[#This Row],[$ CAPITAL]]&gt;0,FINANCIACION[[#This Row],[$ CAPITAL]])</f>
        <v>0</v>
      </c>
      <c r="J733" s="36">
        <f>IF(FINANCIACION[[#This Row],[$ CAPITAL]]&gt;=0,FINANCIACION[[#This Row],[$ CAPITAL]]+FINANCIACION[[#This Row],[$ INTERESES]],0)</f>
        <v>120000</v>
      </c>
    </row>
    <row r="734" spans="1:10" ht="24" customHeight="1" x14ac:dyDescent="0.25">
      <c r="A734" s="7">
        <v>44453</v>
      </c>
      <c r="B734" s="53" t="s">
        <v>200</v>
      </c>
      <c r="C734" s="5"/>
      <c r="D734" s="5">
        <v>228229.16</v>
      </c>
      <c r="E734" s="169">
        <f>+IF(FINANCIACION[[#This Row],[$ CAPITAL]]&gt;=0,FINANCIACION[[#This Row],[$ CAPITAL]]+FINANCIACION[[#This Row],[$ INTERESES]],"")</f>
        <v>228229.16</v>
      </c>
      <c r="F734" s="169">
        <f>+SUMIFS(FINANCIACION[$ CAPITAL],FINANCIACION[Fecha],"&lt;="&amp;FINANCIACION[[#This Row],[Fecha]],FINANCIACION[PRESTAMO],FINANCIACION[[#This Row],[PRESTAMO]])</f>
        <v>-35000000</v>
      </c>
      <c r="G734" s="8"/>
      <c r="H734" s="8"/>
      <c r="I734" s="5" t="b">
        <f>IF(FINANCIACION[[#This Row],[$ CAPITAL]]&gt;0,FINANCIACION[[#This Row],[$ CAPITAL]])</f>
        <v>0</v>
      </c>
      <c r="J734" s="36">
        <f>IF(FINANCIACION[[#This Row],[$ CAPITAL]]&gt;=0,FINANCIACION[[#This Row],[$ CAPITAL]]+FINANCIACION[[#This Row],[$ INTERESES]],0)</f>
        <v>228229.16</v>
      </c>
    </row>
    <row r="735" spans="1:10" ht="24" hidden="1" customHeight="1" x14ac:dyDescent="0.25">
      <c r="A735" s="7">
        <v>44459</v>
      </c>
      <c r="B735" s="53" t="s">
        <v>1217</v>
      </c>
      <c r="C735" s="5">
        <v>5238034</v>
      </c>
      <c r="D735" s="5">
        <v>713538</v>
      </c>
      <c r="E735" s="169">
        <f>+IF(FINANCIACION[[#This Row],[$ CAPITAL]]&gt;=0,FINANCIACION[[#This Row],[$ CAPITAL]]+FINANCIACION[[#This Row],[$ INTERESES]],"")</f>
        <v>5951572</v>
      </c>
      <c r="F735" s="169">
        <f>+SUMIFS(FINANCIACION[$ CAPITAL],FINANCIACION[Fecha],"&lt;="&amp;FINANCIACION[[#This Row],[Fecha]],FINANCIACION[PRESTAMO],FINANCIACION[[#This Row],[PRESTAMO]])</f>
        <v>-333497178</v>
      </c>
      <c r="G735" s="8"/>
      <c r="H735" s="8"/>
      <c r="I735" s="5">
        <f>IF(FINANCIACION[[#This Row],[$ CAPITAL]]&gt;0,FINANCIACION[[#This Row],[$ CAPITAL]])</f>
        <v>5238034</v>
      </c>
      <c r="J735" s="36">
        <f>IF(FINANCIACION[[#This Row],[$ CAPITAL]]&gt;=0,FINANCIACION[[#This Row],[$ CAPITAL]]+FINANCIACION[[#This Row],[$ INTERESES]],0)</f>
        <v>5951572</v>
      </c>
    </row>
    <row r="736" spans="1:10" ht="24" hidden="1" customHeight="1" x14ac:dyDescent="0.25">
      <c r="A736" s="7">
        <v>44459</v>
      </c>
      <c r="B736" s="53" t="s">
        <v>1218</v>
      </c>
      <c r="C736" s="5">
        <v>1468176.0800000019</v>
      </c>
      <c r="D736" s="5">
        <v>16823.919999998063</v>
      </c>
      <c r="E736" s="169">
        <f>+IF(FINANCIACION[[#This Row],[$ CAPITAL]]&gt;=0,FINANCIACION[[#This Row],[$ CAPITAL]]+FINANCIACION[[#This Row],[$ INTERESES]],"")</f>
        <v>1485000</v>
      </c>
      <c r="F736" s="169">
        <f>+SUMIFS(FINANCIACION[$ CAPITAL],FINANCIACION[Fecha],"&lt;="&amp;FINANCIACION[[#This Row],[Fecha]],FINANCIACION[PRESTAMO],FINANCIACION[[#This Row],[PRESTAMO]])</f>
        <v>-24137884.089999989</v>
      </c>
      <c r="G736" s="8"/>
      <c r="H736" s="8"/>
      <c r="I736" s="5">
        <f>IF(FINANCIACION[[#This Row],[$ CAPITAL]]&gt;0,FINANCIACION[[#This Row],[$ CAPITAL]])</f>
        <v>1468176.0800000019</v>
      </c>
      <c r="J736" s="36">
        <f>IF(FINANCIACION[[#This Row],[$ CAPITAL]]&gt;=0,FINANCIACION[[#This Row],[$ CAPITAL]]+FINANCIACION[[#This Row],[$ INTERESES]],0)</f>
        <v>1485000</v>
      </c>
    </row>
    <row r="737" spans="1:10" ht="24" hidden="1" customHeight="1" x14ac:dyDescent="0.25">
      <c r="A737" s="7">
        <v>44459</v>
      </c>
      <c r="B737" s="53" t="s">
        <v>1229</v>
      </c>
      <c r="C737" s="5">
        <v>1218805.6799999997</v>
      </c>
      <c r="D737" s="5">
        <v>14194.320000000298</v>
      </c>
      <c r="E737" s="169">
        <f>+IF(FINANCIACION[[#This Row],[$ CAPITAL]]&gt;=0,FINANCIACION[[#This Row],[$ CAPITAL]]+FINANCIACION[[#This Row],[$ INTERESES]],"")</f>
        <v>1233000</v>
      </c>
      <c r="F737" s="169">
        <f>+SUMIFS(FINANCIACION[$ CAPITAL],FINANCIACION[Fecha],"&lt;="&amp;FINANCIACION[[#This Row],[Fecha]],FINANCIACION[PRESTAMO],FINANCIACION[[#This Row],[PRESTAMO]])</f>
        <v>-21267871.290000003</v>
      </c>
      <c r="G737" s="8"/>
      <c r="H737" s="8"/>
      <c r="I737" s="5">
        <f>IF(FINANCIACION[[#This Row],[$ CAPITAL]]&gt;0,FINANCIACION[[#This Row],[$ CAPITAL]])</f>
        <v>1218805.6799999997</v>
      </c>
      <c r="J737" s="36">
        <f>IF(FINANCIACION[[#This Row],[$ CAPITAL]]&gt;=0,FINANCIACION[[#This Row],[$ CAPITAL]]+FINANCIACION[[#This Row],[$ INTERESES]],0)</f>
        <v>1233000</v>
      </c>
    </row>
    <row r="738" spans="1:10" ht="24" hidden="1" customHeight="1" x14ac:dyDescent="0.25">
      <c r="A738" s="7">
        <v>44459</v>
      </c>
      <c r="B738" s="53" t="s">
        <v>1221</v>
      </c>
      <c r="C738" s="5">
        <v>2473862.3900000006</v>
      </c>
      <c r="D738" s="5">
        <v>30137.609999999404</v>
      </c>
      <c r="E738" s="169">
        <f>+IF(FINANCIACION[[#This Row],[$ CAPITAL]]&gt;=0,FINANCIACION[[#This Row],[$ CAPITAL]]+FINANCIACION[[#This Row],[$ INTERESES]],"")</f>
        <v>2504000</v>
      </c>
      <c r="F738" s="169">
        <f>+SUMIFS(FINANCIACION[$ CAPITAL],FINANCIACION[Fecha],"&lt;="&amp;FINANCIACION[[#This Row],[Fecha]],FINANCIACION[PRESTAMO],FINANCIACION[[#This Row],[PRESTAMO]])</f>
        <v>-45157527.289999999</v>
      </c>
      <c r="G738" s="8"/>
      <c r="H738" s="8"/>
      <c r="I738" s="5">
        <f>IF(FINANCIACION[[#This Row],[$ CAPITAL]]&gt;0,FINANCIACION[[#This Row],[$ CAPITAL]])</f>
        <v>2473862.3900000006</v>
      </c>
      <c r="J738" s="36">
        <f>IF(FINANCIACION[[#This Row],[$ CAPITAL]]&gt;=0,FINANCIACION[[#This Row],[$ CAPITAL]]+FINANCIACION[[#This Row],[$ INTERESES]],0)</f>
        <v>2504000</v>
      </c>
    </row>
    <row r="739" spans="1:10" ht="24" hidden="1" customHeight="1" x14ac:dyDescent="0.25">
      <c r="A739" s="7">
        <v>44459</v>
      </c>
      <c r="B739" s="53" t="s">
        <v>1222</v>
      </c>
      <c r="C739" s="5">
        <v>3639410.0100000054</v>
      </c>
      <c r="D739" s="5">
        <v>48589.989999994636</v>
      </c>
      <c r="E739" s="169">
        <f>+IF(FINANCIACION[[#This Row],[$ CAPITAL]]&gt;=0,FINANCIACION[[#This Row],[$ CAPITAL]]+FINANCIACION[[#This Row],[$ INTERESES]],"")</f>
        <v>3688000</v>
      </c>
      <c r="F739" s="169">
        <f>+SUMIFS(FINANCIACION[$ CAPITAL],FINANCIACION[Fecha],"&lt;="&amp;FINANCIACION[[#This Row],[Fecha]],FINANCIACION[PRESTAMO],FINANCIACION[[#This Row],[PRESTAMO]])</f>
        <v>-65388773.829999998</v>
      </c>
      <c r="G739" s="8"/>
      <c r="H739" s="8"/>
      <c r="I739" s="5">
        <f>IF(FINANCIACION[[#This Row],[$ CAPITAL]]&gt;0,FINANCIACION[[#This Row],[$ CAPITAL]])</f>
        <v>3639410.0100000054</v>
      </c>
      <c r="J739" s="36">
        <f>IF(FINANCIACION[[#This Row],[$ CAPITAL]]&gt;=0,FINANCIACION[[#This Row],[$ CAPITAL]]+FINANCIACION[[#This Row],[$ INTERESES]],0)</f>
        <v>3688000</v>
      </c>
    </row>
    <row r="740" spans="1:10" ht="24" hidden="1" customHeight="1" x14ac:dyDescent="0.25">
      <c r="A740" s="7">
        <v>44459</v>
      </c>
      <c r="B740" s="53" t="s">
        <v>1223</v>
      </c>
      <c r="C740" s="5">
        <v>974272.16999999806</v>
      </c>
      <c r="D740" s="5">
        <v>12727.830000001937</v>
      </c>
      <c r="E740" s="169">
        <f>+IF(FINANCIACION[[#This Row],[$ CAPITAL]]&gt;=0,FINANCIACION[[#This Row],[$ CAPITAL]]+FINANCIACION[[#This Row],[$ INTERESES]],"")</f>
        <v>987000</v>
      </c>
      <c r="F740" s="169">
        <f>+SUMIFS(FINANCIACION[$ CAPITAL],FINANCIACION[Fecha],"&lt;="&amp;FINANCIACION[[#This Row],[Fecha]],FINANCIACION[PRESTAMO],FINANCIACION[[#This Row],[PRESTAMO]])</f>
        <v>-18474834.260000005</v>
      </c>
      <c r="G740" s="8"/>
      <c r="H740" s="8"/>
      <c r="I740" s="5">
        <f>IF(FINANCIACION[[#This Row],[$ CAPITAL]]&gt;0,FINANCIACION[[#This Row],[$ CAPITAL]])</f>
        <v>974272.16999999806</v>
      </c>
      <c r="J740" s="9">
        <f>IF(FINANCIACION[[#This Row],[$ CAPITAL]]&gt;=0,FINANCIACION[[#This Row],[$ CAPITAL]]+FINANCIACION[[#This Row],[$ INTERESES]],0)</f>
        <v>987000</v>
      </c>
    </row>
    <row r="741" spans="1:10" ht="24" hidden="1" customHeight="1" x14ac:dyDescent="0.25">
      <c r="A741" s="7">
        <v>44459</v>
      </c>
      <c r="B741" s="53" t="s">
        <v>1225</v>
      </c>
      <c r="C741" s="5">
        <v>1027038.799999997</v>
      </c>
      <c r="D741" s="5">
        <v>13961.20000000298</v>
      </c>
      <c r="E741" s="169">
        <f>+IF(FINANCIACION[[#This Row],[$ CAPITAL]]&gt;=0,FINANCIACION[[#This Row],[$ CAPITAL]]+FINANCIACION[[#This Row],[$ INTERESES]],"")</f>
        <v>1041000</v>
      </c>
      <c r="F741" s="169">
        <f>+SUMIFS(FINANCIACION[$ CAPITAL],FINANCIACION[Fecha],"&lt;="&amp;FINANCIACION[[#This Row],[Fecha]],FINANCIACION[PRESTAMO],FINANCIACION[[#This Row],[PRESTAMO]])</f>
        <v>-20261351.320000004</v>
      </c>
      <c r="G741" s="8"/>
      <c r="H741" s="8"/>
      <c r="I741" s="5">
        <f>IF(FINANCIACION[[#This Row],[$ CAPITAL]]&gt;0,FINANCIACION[[#This Row],[$ CAPITAL]])</f>
        <v>1027038.799999997</v>
      </c>
      <c r="J741" s="9">
        <f>IF(FINANCIACION[[#This Row],[$ CAPITAL]]&gt;=0,FINANCIACION[[#This Row],[$ CAPITAL]]+FINANCIACION[[#This Row],[$ INTERESES]],0)</f>
        <v>1041000</v>
      </c>
    </row>
    <row r="742" spans="1:10" ht="24" hidden="1" customHeight="1" x14ac:dyDescent="0.25">
      <c r="A742" s="7">
        <v>44466</v>
      </c>
      <c r="B742" s="53" t="s">
        <v>196</v>
      </c>
      <c r="C742" s="5">
        <v>2673800</v>
      </c>
      <c r="D742" s="5"/>
      <c r="E742" s="169">
        <f>+IF(FINANCIACION[[#This Row],[$ CAPITAL]]&gt;=0,FINANCIACION[[#This Row],[$ CAPITAL]]+FINANCIACION[[#This Row],[$ INTERESES]],"")</f>
        <v>2673800</v>
      </c>
      <c r="F742" s="169">
        <f>+SUMIFS(FINANCIACION[$ CAPITAL],FINANCIACION[Fecha],"&lt;="&amp;FINANCIACION[[#This Row],[Fecha]],FINANCIACION[PRESTAMO],FINANCIACION[[#This Row],[PRESTAMO]])</f>
        <v>-97757752</v>
      </c>
      <c r="G742" s="8" t="s">
        <v>531</v>
      </c>
      <c r="H742" s="56">
        <v>698.85</v>
      </c>
      <c r="I742" s="5">
        <f>IF(FINANCIACION[[#This Row],[$ CAPITAL]]&gt;0,FINANCIACION[[#This Row],[$ CAPITAL]])</f>
        <v>2673800</v>
      </c>
      <c r="J742" s="9">
        <f>IF(FINANCIACION[[#This Row],[$ CAPITAL]]&gt;=0,FINANCIACION[[#This Row],[$ CAPITAL]]+FINANCIACION[[#This Row],[$ INTERESES]],0)</f>
        <v>2673800</v>
      </c>
    </row>
    <row r="743" spans="1:10" ht="24" hidden="1" customHeight="1" x14ac:dyDescent="0.25">
      <c r="A743" s="7">
        <v>44469</v>
      </c>
      <c r="B743" s="53" t="s">
        <v>193</v>
      </c>
      <c r="C743" s="5">
        <v>1468400</v>
      </c>
      <c r="D743" s="5">
        <v>418397</v>
      </c>
      <c r="E743" s="169">
        <f>+IF(FINANCIACION[[#This Row],[$ CAPITAL]]&gt;=0,FINANCIACION[[#This Row],[$ CAPITAL]]+FINANCIACION[[#This Row],[$ INTERESES]],"")</f>
        <v>1886797</v>
      </c>
      <c r="F743" s="169">
        <f>+SUMIFS(FINANCIACION[$ CAPITAL],FINANCIACION[Fecha],"&lt;="&amp;FINANCIACION[[#This Row],[Fecha]],FINANCIACION[PRESTAMO],FINANCIACION[[#This Row],[PRESTAMO]])</f>
        <v>-44052000</v>
      </c>
      <c r="G743" s="8"/>
      <c r="H743" s="56"/>
      <c r="I743" s="5">
        <f>IF(FINANCIACION[[#This Row],[$ CAPITAL]]&gt;0,FINANCIACION[[#This Row],[$ CAPITAL]])</f>
        <v>1468400</v>
      </c>
      <c r="J743" s="9">
        <f>IF(FINANCIACION[[#This Row],[$ CAPITAL]]&gt;=0,FINANCIACION[[#This Row],[$ CAPITAL]]+FINANCIACION[[#This Row],[$ INTERESES]],0)</f>
        <v>1886797</v>
      </c>
    </row>
    <row r="744" spans="1:10" ht="24" hidden="1" customHeight="1" x14ac:dyDescent="0.25">
      <c r="A744" s="7">
        <v>44469</v>
      </c>
      <c r="B744" s="53" t="s">
        <v>194</v>
      </c>
      <c r="C744" s="5">
        <v>76791</v>
      </c>
      <c r="D744" s="5"/>
      <c r="E744" s="169">
        <f>+IF(FINANCIACION[[#This Row],[$ CAPITAL]]&gt;=0,FINANCIACION[[#This Row],[$ CAPITAL]]+FINANCIACION[[#This Row],[$ INTERESES]],"")</f>
        <v>76791</v>
      </c>
      <c r="F744" s="169">
        <f>+SUMIFS(FINANCIACION[$ CAPITAL],FINANCIACION[Fecha],"&lt;="&amp;FINANCIACION[[#This Row],[Fecha]],FINANCIACION[PRESTAMO],FINANCIACION[[#This Row],[PRESTAMO]])</f>
        <v>-2303730</v>
      </c>
      <c r="G744" s="8"/>
      <c r="H744" s="56"/>
      <c r="I744" s="5">
        <f>IF(FINANCIACION[[#This Row],[$ CAPITAL]]&gt;0,FINANCIACION[[#This Row],[$ CAPITAL]])</f>
        <v>76791</v>
      </c>
      <c r="J744" s="9">
        <f>IF(FINANCIACION[[#This Row],[$ CAPITAL]]&gt;=0,FINANCIACION[[#This Row],[$ CAPITAL]]+FINANCIACION[[#This Row],[$ INTERESES]],0)</f>
        <v>76791</v>
      </c>
    </row>
    <row r="745" spans="1:10" ht="24" hidden="1" customHeight="1" x14ac:dyDescent="0.25">
      <c r="A745" s="7">
        <v>44469</v>
      </c>
      <c r="B745" s="53" t="s">
        <v>196</v>
      </c>
      <c r="C745" s="5">
        <v>1304356.5</v>
      </c>
      <c r="D745" s="5"/>
      <c r="E745" s="169">
        <f>+IF(FINANCIACION[[#This Row],[$ CAPITAL]]&gt;=0,FINANCIACION[[#This Row],[$ CAPITAL]]+FINANCIACION[[#This Row],[$ INTERESES]],"")</f>
        <v>1304356.5</v>
      </c>
      <c r="F745" s="169">
        <f>+SUMIFS(FINANCIACION[$ CAPITAL],FINANCIACION[Fecha],"&lt;="&amp;FINANCIACION[[#This Row],[Fecha]],FINANCIACION[PRESTAMO],FINANCIACION[[#This Row],[PRESTAMO]])</f>
        <v>-96453395.5</v>
      </c>
      <c r="G745" s="8" t="s">
        <v>231</v>
      </c>
      <c r="H745" s="56"/>
      <c r="I745" s="5">
        <f>IF(FINANCIACION[[#This Row],[$ CAPITAL]]&gt;0,FINANCIACION[[#This Row],[$ CAPITAL]])</f>
        <v>1304356.5</v>
      </c>
      <c r="J745" s="9">
        <f>IF(FINANCIACION[[#This Row],[$ CAPITAL]]&gt;=0,FINANCIACION[[#This Row],[$ CAPITAL]]+FINANCIACION[[#This Row],[$ INTERESES]],0)</f>
        <v>1304356.5</v>
      </c>
    </row>
    <row r="746" spans="1:10" ht="24" hidden="1" customHeight="1" x14ac:dyDescent="0.25">
      <c r="A746" s="7">
        <v>44469</v>
      </c>
      <c r="B746" s="53" t="s">
        <v>294</v>
      </c>
      <c r="C746" s="5">
        <v>749196.5</v>
      </c>
      <c r="D746" s="5"/>
      <c r="E746" s="169">
        <f>+IF(FINANCIACION[[#This Row],[$ CAPITAL]]&gt;=0,FINANCIACION[[#This Row],[$ CAPITAL]]+FINANCIACION[[#This Row],[$ INTERESES]],"")</f>
        <v>749196.5</v>
      </c>
      <c r="F746" s="169">
        <f>+SUMIFS(FINANCIACION[$ CAPITAL],FINANCIACION[Fecha],"&lt;="&amp;FINANCIACION[[#This Row],[Fecha]],FINANCIACION[PRESTAMO],FINANCIACION[[#This Row],[PRESTAMO]])</f>
        <v>-57688130.5</v>
      </c>
      <c r="G746" s="8" t="s">
        <v>231</v>
      </c>
      <c r="H746" s="56"/>
      <c r="I746" s="5">
        <f>IF(FINANCIACION[[#This Row],[$ CAPITAL]]&gt;0,FINANCIACION[[#This Row],[$ CAPITAL]])</f>
        <v>749196.5</v>
      </c>
      <c r="J746" s="9">
        <f>IF(FINANCIACION[[#This Row],[$ CAPITAL]]&gt;=0,FINANCIACION[[#This Row],[$ CAPITAL]]+FINANCIACION[[#This Row],[$ INTERESES]],0)</f>
        <v>749196.5</v>
      </c>
    </row>
    <row r="747" spans="1:10" ht="24" hidden="1" customHeight="1" x14ac:dyDescent="0.25">
      <c r="A747" s="7">
        <v>44469</v>
      </c>
      <c r="B747" s="53" t="s">
        <v>418</v>
      </c>
      <c r="C747" s="5">
        <v>296351.5</v>
      </c>
      <c r="D747" s="5"/>
      <c r="E747" s="169">
        <f>+IF(FINANCIACION[[#This Row],[$ CAPITAL]]&gt;=0,FINANCIACION[[#This Row],[$ CAPITAL]]+FINANCIACION[[#This Row],[$ INTERESES]],"")</f>
        <v>296351.5</v>
      </c>
      <c r="F747" s="169">
        <f>+SUMIFS(FINANCIACION[$ CAPITAL],FINANCIACION[Fecha],"&lt;="&amp;FINANCIACION[[#This Row],[Fecha]],FINANCIACION[PRESTAMO],FINANCIACION[[#This Row],[PRESTAMO]])</f>
        <v>-22819065.5</v>
      </c>
      <c r="G747" s="56" t="s">
        <v>231</v>
      </c>
      <c r="H747" s="8"/>
      <c r="I747" s="5">
        <f>IF(FINANCIACION[[#This Row],[$ CAPITAL]]&gt;0,FINANCIACION[[#This Row],[$ CAPITAL]])</f>
        <v>296351.5</v>
      </c>
      <c r="J747" s="36">
        <f>IF(FINANCIACION[[#This Row],[$ CAPITAL]]&gt;=0,FINANCIACION[[#This Row],[$ CAPITAL]]+FINANCIACION[[#This Row],[$ INTERESES]],0)</f>
        <v>296351.5</v>
      </c>
    </row>
    <row r="748" spans="1:10" ht="24" hidden="1" customHeight="1" x14ac:dyDescent="0.25">
      <c r="A748" s="7">
        <v>44469</v>
      </c>
      <c r="B748" s="53" t="s">
        <v>201</v>
      </c>
      <c r="C748" s="5">
        <v>-692683</v>
      </c>
      <c r="D748" s="5"/>
      <c r="E748" s="169" t="str">
        <f>+IF(FINANCIACION[[#This Row],[$ CAPITAL]]&gt;=0,FINANCIACION[[#This Row],[$ CAPITAL]]+FINANCIACION[[#This Row],[$ INTERESES]],"")</f>
        <v/>
      </c>
      <c r="F748" s="169">
        <f>+SUMIFS(FINANCIACION[$ CAPITAL],FINANCIACION[Fecha],"&lt;="&amp;FINANCIACION[[#This Row],[Fecha]],FINANCIACION[PRESTAMO],FINANCIACION[[#This Row],[PRESTAMO]])</f>
        <v>-629103</v>
      </c>
      <c r="G748" s="56" t="s">
        <v>231</v>
      </c>
      <c r="H748" s="8"/>
      <c r="I748" s="5" t="b">
        <f>IF(FINANCIACION[[#This Row],[$ CAPITAL]]&gt;0,FINANCIACION[[#This Row],[$ CAPITAL]])</f>
        <v>0</v>
      </c>
      <c r="J748" s="36">
        <f>IF(FINANCIACION[[#This Row],[$ CAPITAL]]&gt;=0,FINANCIACION[[#This Row],[$ CAPITAL]]+FINANCIACION[[#This Row],[$ INTERESES]],0)</f>
        <v>0</v>
      </c>
    </row>
    <row r="749" spans="1:10" ht="24" hidden="1" customHeight="1" x14ac:dyDescent="0.25">
      <c r="A749" s="7">
        <v>44469</v>
      </c>
      <c r="B749" s="53" t="s">
        <v>202</v>
      </c>
      <c r="C749" s="5">
        <v>-13423250</v>
      </c>
      <c r="D749" s="5"/>
      <c r="E749" s="169" t="str">
        <f>+IF(FINANCIACION[[#This Row],[$ CAPITAL]]&gt;=0,FINANCIACION[[#This Row],[$ CAPITAL]]+FINANCIACION[[#This Row],[$ INTERESES]],"")</f>
        <v/>
      </c>
      <c r="F749" s="169">
        <f>+SUMIFS(FINANCIACION[$ CAPITAL],FINANCIACION[Fecha],"&lt;="&amp;FINANCIACION[[#This Row],[Fecha]],FINANCIACION[PRESTAMO],FINANCIACION[[#This Row],[PRESTAMO]])</f>
        <v>-33806850</v>
      </c>
      <c r="G749" s="56" t="s">
        <v>231</v>
      </c>
      <c r="H749" s="8"/>
      <c r="I749" s="5" t="b">
        <f>IF(FINANCIACION[[#This Row],[$ CAPITAL]]&gt;0,FINANCIACION[[#This Row],[$ CAPITAL]])</f>
        <v>0</v>
      </c>
      <c r="J749" s="36">
        <f>IF(FINANCIACION[[#This Row],[$ CAPITAL]]&gt;=0,FINANCIACION[[#This Row],[$ CAPITAL]]+FINANCIACION[[#This Row],[$ INTERESES]],0)</f>
        <v>0</v>
      </c>
    </row>
    <row r="750" spans="1:10" ht="24" hidden="1" customHeight="1" x14ac:dyDescent="0.25">
      <c r="A750" s="7">
        <v>44469</v>
      </c>
      <c r="B750" s="53" t="s">
        <v>203</v>
      </c>
      <c r="C750" s="5">
        <v>-4108939</v>
      </c>
      <c r="D750" s="5"/>
      <c r="E750" s="169" t="str">
        <f>+IF(FINANCIACION[[#This Row],[$ CAPITAL]]&gt;=0,FINANCIACION[[#This Row],[$ CAPITAL]]+FINANCIACION[[#This Row],[$ INTERESES]],"")</f>
        <v/>
      </c>
      <c r="F750" s="169">
        <f>+SUMIFS(FINANCIACION[$ CAPITAL],FINANCIACION[Fecha],"&lt;="&amp;FINANCIACION[[#This Row],[Fecha]],FINANCIACION[PRESTAMO],FINANCIACION[[#This Row],[PRESTAMO]])</f>
        <v>-4108939</v>
      </c>
      <c r="G750" s="8" t="s">
        <v>231</v>
      </c>
      <c r="H750" s="8"/>
      <c r="I750" s="5" t="b">
        <f>IF(FINANCIACION[[#This Row],[$ CAPITAL]]&gt;0,FINANCIACION[[#This Row],[$ CAPITAL]])</f>
        <v>0</v>
      </c>
      <c r="J750" s="36">
        <f>IF(FINANCIACION[[#This Row],[$ CAPITAL]]&gt;=0,FINANCIACION[[#This Row],[$ CAPITAL]]+FINANCIACION[[#This Row],[$ INTERESES]],0)</f>
        <v>0</v>
      </c>
    </row>
    <row r="751" spans="1:10" ht="24" hidden="1" customHeight="1" x14ac:dyDescent="0.25">
      <c r="A751" s="7">
        <v>44474</v>
      </c>
      <c r="B751" s="53" t="s">
        <v>196</v>
      </c>
      <c r="C751" s="5">
        <v>30448000</v>
      </c>
      <c r="D751" s="5">
        <v>39337</v>
      </c>
      <c r="E751" s="169">
        <f>+IF(FINANCIACION[[#This Row],[$ CAPITAL]]&gt;=0,FINANCIACION[[#This Row],[$ CAPITAL]]+FINANCIACION[[#This Row],[$ INTERESES]],"")</f>
        <v>30487337</v>
      </c>
      <c r="F751" s="169">
        <f>+SUMIFS(FINANCIACION[$ CAPITAL],FINANCIACION[Fecha],"&lt;="&amp;FINANCIACION[[#This Row],[Fecha]],FINANCIACION[PRESTAMO],FINANCIACION[[#This Row],[PRESTAMO]])</f>
        <v>-66005395.5</v>
      </c>
      <c r="G751" s="56"/>
      <c r="H751" s="8">
        <v>8000</v>
      </c>
      <c r="I751" s="5">
        <f>IF(FINANCIACION[[#This Row],[$ CAPITAL]]&gt;0,FINANCIACION[[#This Row],[$ CAPITAL]])</f>
        <v>30448000</v>
      </c>
      <c r="J751" s="36">
        <f>IF(FINANCIACION[[#This Row],[$ CAPITAL]]&gt;=0,FINANCIACION[[#This Row],[$ CAPITAL]]+FINANCIACION[[#This Row],[$ INTERESES]],0)</f>
        <v>30487337</v>
      </c>
    </row>
    <row r="752" spans="1:10" ht="24" hidden="1" customHeight="1" x14ac:dyDescent="0.25">
      <c r="A752" s="7">
        <v>44475</v>
      </c>
      <c r="B752" s="53" t="s">
        <v>540</v>
      </c>
      <c r="C752" s="5">
        <v>-52697606.5</v>
      </c>
      <c r="D752" s="5"/>
      <c r="E752" s="169" t="str">
        <f>+IF(FINANCIACION[[#This Row],[$ CAPITAL]]&gt;=0,FINANCIACION[[#This Row],[$ CAPITAL]]+FINANCIACION[[#This Row],[$ INTERESES]],"")</f>
        <v/>
      </c>
      <c r="F752" s="169">
        <f>+SUMIFS(FINANCIACION[$ CAPITAL],FINANCIACION[Fecha],"&lt;="&amp;FINANCIACION[[#This Row],[Fecha]],FINANCIACION[PRESTAMO],FINANCIACION[[#This Row],[PRESTAMO]])</f>
        <v>-52697606.5</v>
      </c>
      <c r="G752" s="56"/>
      <c r="H752" s="8">
        <v>-13687.69</v>
      </c>
      <c r="I752" s="5" t="b">
        <f>IF(FINANCIACION[[#This Row],[$ CAPITAL]]&gt;0,FINANCIACION[[#This Row],[$ CAPITAL]])</f>
        <v>0</v>
      </c>
      <c r="J752" s="36">
        <f>IF(FINANCIACION[[#This Row],[$ CAPITAL]]&gt;=0,FINANCIACION[[#This Row],[$ CAPITAL]]+FINANCIACION[[#This Row],[$ INTERESES]],0)</f>
        <v>0</v>
      </c>
    </row>
    <row r="753" spans="1:10" ht="24" hidden="1" customHeight="1" x14ac:dyDescent="0.25">
      <c r="A753" s="7">
        <v>44476</v>
      </c>
      <c r="B753" s="53" t="s">
        <v>201</v>
      </c>
      <c r="C753" s="5">
        <v>1000000</v>
      </c>
      <c r="D753" s="5"/>
      <c r="E753" s="169">
        <f>+IF(FINANCIACION[[#This Row],[$ CAPITAL]]&gt;=0,FINANCIACION[[#This Row],[$ CAPITAL]]+FINANCIACION[[#This Row],[$ INTERESES]],"")</f>
        <v>1000000</v>
      </c>
      <c r="F753" s="169">
        <f>+SUMIFS(FINANCIACION[$ CAPITAL],FINANCIACION[Fecha],"&lt;="&amp;FINANCIACION[[#This Row],[Fecha]],FINANCIACION[PRESTAMO],FINANCIACION[[#This Row],[PRESTAMO]])</f>
        <v>370897</v>
      </c>
      <c r="G753" s="56"/>
      <c r="H753" s="8"/>
      <c r="I753" s="5">
        <f>IF(FINANCIACION[[#This Row],[$ CAPITAL]]&gt;0,FINANCIACION[[#This Row],[$ CAPITAL]])</f>
        <v>1000000</v>
      </c>
      <c r="J753" s="36">
        <f>IF(FINANCIACION[[#This Row],[$ CAPITAL]]&gt;=0,FINANCIACION[[#This Row],[$ CAPITAL]]+FINANCIACION[[#This Row],[$ INTERESES]],0)</f>
        <v>1000000</v>
      </c>
    </row>
    <row r="754" spans="1:10" ht="24" hidden="1" customHeight="1" x14ac:dyDescent="0.25">
      <c r="A754" s="7">
        <v>44476</v>
      </c>
      <c r="B754" s="53" t="s">
        <v>202</v>
      </c>
      <c r="C754" s="5">
        <v>3788030</v>
      </c>
      <c r="D754" s="5"/>
      <c r="E754" s="169">
        <f>+IF(FINANCIACION[[#This Row],[$ CAPITAL]]&gt;=0,FINANCIACION[[#This Row],[$ CAPITAL]]+FINANCIACION[[#This Row],[$ INTERESES]],"")</f>
        <v>3788030</v>
      </c>
      <c r="F754" s="169">
        <f>+SUMIFS(FINANCIACION[$ CAPITAL],FINANCIACION[Fecha],"&lt;="&amp;FINANCIACION[[#This Row],[Fecha]],FINANCIACION[PRESTAMO],FINANCIACION[[#This Row],[PRESTAMO]])</f>
        <v>-30018820</v>
      </c>
      <c r="G754" s="56"/>
      <c r="H754" s="8"/>
      <c r="I754" s="5">
        <f>IF(FINANCIACION[[#This Row],[$ CAPITAL]]&gt;0,FINANCIACION[[#This Row],[$ CAPITAL]])</f>
        <v>3788030</v>
      </c>
      <c r="J754" s="36">
        <f>IF(FINANCIACION[[#This Row],[$ CAPITAL]]&gt;=0,FINANCIACION[[#This Row],[$ CAPITAL]]+FINANCIACION[[#This Row],[$ INTERESES]],0)</f>
        <v>3788030</v>
      </c>
    </row>
    <row r="755" spans="1:10" ht="24" hidden="1" customHeight="1" x14ac:dyDescent="0.25">
      <c r="A755" s="7">
        <v>44476</v>
      </c>
      <c r="B755" s="53" t="s">
        <v>203</v>
      </c>
      <c r="C755" s="5">
        <v>1000000</v>
      </c>
      <c r="D755" s="5"/>
      <c r="E755" s="169">
        <f>+IF(FINANCIACION[[#This Row],[$ CAPITAL]]&gt;=0,FINANCIACION[[#This Row],[$ CAPITAL]]+FINANCIACION[[#This Row],[$ INTERESES]],"")</f>
        <v>1000000</v>
      </c>
      <c r="F755" s="169">
        <f>+SUMIFS(FINANCIACION[$ CAPITAL],FINANCIACION[Fecha],"&lt;="&amp;FINANCIACION[[#This Row],[Fecha]],FINANCIACION[PRESTAMO],FINANCIACION[[#This Row],[PRESTAMO]])</f>
        <v>-3108939</v>
      </c>
      <c r="G755" s="56"/>
      <c r="H755" s="8"/>
      <c r="I755" s="5">
        <f>IF(FINANCIACION[[#This Row],[$ CAPITAL]]&gt;0,FINANCIACION[[#This Row],[$ CAPITAL]])</f>
        <v>1000000</v>
      </c>
      <c r="J755" s="36">
        <f>IF(FINANCIACION[[#This Row],[$ CAPITAL]]&gt;=0,FINANCIACION[[#This Row],[$ CAPITAL]]+FINANCIACION[[#This Row],[$ INTERESES]],0)</f>
        <v>1000000</v>
      </c>
    </row>
    <row r="756" spans="1:10" ht="24" hidden="1" customHeight="1" x14ac:dyDescent="0.25">
      <c r="A756" s="7">
        <v>44477</v>
      </c>
      <c r="B756" s="53" t="s">
        <v>1215</v>
      </c>
      <c r="C756" s="5">
        <v>1926458.90831207</v>
      </c>
      <c r="D756" s="5">
        <v>750919.09168792795</v>
      </c>
      <c r="E756" s="169">
        <f>+IF(FINANCIACION[[#This Row],[$ CAPITAL]]&gt;=0,FINANCIACION[[#This Row],[$ CAPITAL]]+FINANCIACION[[#This Row],[$ INTERESES]],"")</f>
        <v>2677377.9999999981</v>
      </c>
      <c r="F756" s="169">
        <f>+SUMIFS(FINANCIACION[$ CAPITAL],FINANCIACION[Fecha],"&lt;="&amp;FINANCIACION[[#This Row],[Fecha]],FINANCIACION[PRESTAMO],FINANCIACION[[#This Row],[PRESTAMO]])</f>
        <v>-73165450.260480717</v>
      </c>
      <c r="G756" s="8"/>
      <c r="H756" s="8"/>
      <c r="I756" s="5">
        <f>IF(FINANCIACION[[#This Row],[$ CAPITAL]]&gt;0,FINANCIACION[[#This Row],[$ CAPITAL]])</f>
        <v>1926458.90831207</v>
      </c>
      <c r="J756" s="36">
        <f>IF(FINANCIACION[[#This Row],[$ CAPITAL]]&gt;=0,FINANCIACION[[#This Row],[$ CAPITAL]]+FINANCIACION[[#This Row],[$ INTERESES]],0)</f>
        <v>2677377.9999999981</v>
      </c>
    </row>
    <row r="757" spans="1:10" ht="24" hidden="1" customHeight="1" x14ac:dyDescent="0.25">
      <c r="A757" s="7">
        <v>44480</v>
      </c>
      <c r="B757" s="53" t="s">
        <v>1230</v>
      </c>
      <c r="C757" s="5"/>
      <c r="D757" s="5">
        <v>400000</v>
      </c>
      <c r="E757" s="169">
        <f>+IF(FINANCIACION[[#This Row],[$ CAPITAL]]&gt;=0,FINANCIACION[[#This Row],[$ CAPITAL]]+FINANCIACION[[#This Row],[$ INTERESES]],"")</f>
        <v>400000</v>
      </c>
      <c r="F757" s="169">
        <f>+SUMIFS(FINANCIACION[$ CAPITAL],FINANCIACION[Fecha],"&lt;="&amp;FINANCIACION[[#This Row],[Fecha]],FINANCIACION[PRESTAMO],FINANCIACION[[#This Row],[PRESTAMO]])</f>
        <v>-40000000</v>
      </c>
      <c r="G757" s="8" t="s">
        <v>523</v>
      </c>
      <c r="H757" s="8"/>
      <c r="I757" s="5" t="b">
        <f>IF(FINANCIACION[[#This Row],[$ CAPITAL]]&gt;0,FINANCIACION[[#This Row],[$ CAPITAL]])</f>
        <v>0</v>
      </c>
      <c r="J757" s="36">
        <f>IF(FINANCIACION[[#This Row],[$ CAPITAL]]&gt;=0,FINANCIACION[[#This Row],[$ CAPITAL]]+FINANCIACION[[#This Row],[$ INTERESES]],0)</f>
        <v>400000</v>
      </c>
    </row>
    <row r="758" spans="1:10" ht="24" hidden="1" customHeight="1" x14ac:dyDescent="0.25">
      <c r="A758" s="7">
        <v>44480</v>
      </c>
      <c r="B758" s="53" t="s">
        <v>1219</v>
      </c>
      <c r="C758" s="5">
        <v>742214.88930021925</v>
      </c>
      <c r="D758" s="5">
        <v>557785.11069978075</v>
      </c>
      <c r="E758" s="169">
        <f>+IF(FINANCIACION[[#This Row],[$ CAPITAL]]&gt;=0,FINANCIACION[[#This Row],[$ CAPITAL]]+FINANCIACION[[#This Row],[$ INTERESES]],"")</f>
        <v>1300000</v>
      </c>
      <c r="F758" s="169">
        <f>+SUMIFS(FINANCIACION[$ CAPITAL],FINANCIACION[Fecha],"&lt;="&amp;FINANCIACION[[#This Row],[Fecha]],FINANCIACION[PRESTAMO],FINANCIACION[[#This Row],[PRESTAMO]])</f>
        <v>-55036296.180677854</v>
      </c>
      <c r="G758" s="8"/>
      <c r="H758" s="8"/>
      <c r="I758" s="5">
        <f>IF(FINANCIACION[[#This Row],[$ CAPITAL]]&gt;0,FINANCIACION[[#This Row],[$ CAPITAL]])</f>
        <v>742214.88930021925</v>
      </c>
      <c r="J758" s="36">
        <f>IF(FINANCIACION[[#This Row],[$ CAPITAL]]&gt;=0,FINANCIACION[[#This Row],[$ CAPITAL]]+FINANCIACION[[#This Row],[$ INTERESES]],0)</f>
        <v>1300000</v>
      </c>
    </row>
    <row r="759" spans="1:10" ht="24" hidden="1" customHeight="1" x14ac:dyDescent="0.25">
      <c r="A759" s="7">
        <v>44480</v>
      </c>
      <c r="B759" s="53" t="s">
        <v>1216</v>
      </c>
      <c r="C759" s="5">
        <v>481588.29537254432</v>
      </c>
      <c r="D759" s="5">
        <v>718411.70462745568</v>
      </c>
      <c r="E759" s="169">
        <f>+IF(FINANCIACION[[#This Row],[$ CAPITAL]]&gt;=0,FINANCIACION[[#This Row],[$ CAPITAL]]+FINANCIACION[[#This Row],[$ INTERESES]],"")</f>
        <v>1200000</v>
      </c>
      <c r="F759" s="169">
        <f>+SUMIFS(FINANCIACION[$ CAPITAL],FINANCIACION[Fecha],"&lt;="&amp;FINANCIACION[[#This Row],[Fecha]],FINANCIACION[PRESTAMO],FINANCIACION[[#This Row],[PRESTAMO]])</f>
        <v>-71359582.167373016</v>
      </c>
      <c r="G759" s="8"/>
      <c r="H759" s="8"/>
      <c r="I759" s="5">
        <f>IF(FINANCIACION[[#This Row],[$ CAPITAL]]&gt;0,FINANCIACION[[#This Row],[$ CAPITAL]])</f>
        <v>481588.29537254432</v>
      </c>
      <c r="J759" s="36">
        <f>IF(FINANCIACION[[#This Row],[$ CAPITAL]]&gt;=0,FINANCIACION[[#This Row],[$ CAPITAL]]+FINANCIACION[[#This Row],[$ INTERESES]],0)</f>
        <v>1200000</v>
      </c>
    </row>
    <row r="760" spans="1:10" ht="24" hidden="1" customHeight="1" x14ac:dyDescent="0.25">
      <c r="A760" s="7">
        <v>44480</v>
      </c>
      <c r="B760" s="53" t="s">
        <v>1228</v>
      </c>
      <c r="C760" s="5"/>
      <c r="D760" s="5">
        <v>120000</v>
      </c>
      <c r="E760" s="169">
        <f>+IF(FINANCIACION[[#This Row],[$ CAPITAL]]&gt;=0,FINANCIACION[[#This Row],[$ CAPITAL]]+FINANCIACION[[#This Row],[$ INTERESES]],"")</f>
        <v>120000</v>
      </c>
      <c r="F760" s="169">
        <f>+SUMIFS(FINANCIACION[$ CAPITAL],FINANCIACION[Fecha],"&lt;="&amp;FINANCIACION[[#This Row],[Fecha]],FINANCIACION[PRESTAMO],FINANCIACION[[#This Row],[PRESTAMO]])</f>
        <v>-12000000</v>
      </c>
      <c r="G760" s="8"/>
      <c r="H760" s="8"/>
      <c r="I760" s="5" t="b">
        <f>IF(FINANCIACION[[#This Row],[$ CAPITAL]]&gt;0,FINANCIACION[[#This Row],[$ CAPITAL]])</f>
        <v>0</v>
      </c>
      <c r="J760" s="36">
        <f>IF(FINANCIACION[[#This Row],[$ CAPITAL]]&gt;=0,FINANCIACION[[#This Row],[$ CAPITAL]]+FINANCIACION[[#This Row],[$ INTERESES]],0)</f>
        <v>120000</v>
      </c>
    </row>
    <row r="761" spans="1:10" ht="24" hidden="1" customHeight="1" x14ac:dyDescent="0.25">
      <c r="A761" s="7">
        <v>44480</v>
      </c>
      <c r="B761" s="53" t="s">
        <v>197</v>
      </c>
      <c r="C761" s="5">
        <v>6367304.5499999998</v>
      </c>
      <c r="D761" s="5">
        <v>241337.49</v>
      </c>
      <c r="E761" s="169">
        <f>+IF(FINANCIACION[[#This Row],[$ CAPITAL]]&gt;=0,FINANCIACION[[#This Row],[$ CAPITAL]]+FINANCIACION[[#This Row],[$ INTERESES]],"")</f>
        <v>6608642.04</v>
      </c>
      <c r="F761" s="169">
        <f>+SUMIFS(FINANCIACION[$ CAPITAL],FINANCIACION[Fecha],"&lt;="&amp;FINANCIACION[[#This Row],[Fecha]],FINANCIACION[PRESTAMO],FINANCIACION[[#This Row],[PRESTAMO]])</f>
        <v>-28693821.449999999</v>
      </c>
      <c r="G761" s="8"/>
      <c r="H761" s="8"/>
      <c r="I761" s="5">
        <f>IF(FINANCIACION[[#This Row],[$ CAPITAL]]&gt;0,FINANCIACION[[#This Row],[$ CAPITAL]])</f>
        <v>6367304.5499999998</v>
      </c>
      <c r="J761" s="36">
        <f>IF(FINANCIACION[[#This Row],[$ CAPITAL]]&gt;=0,FINANCIACION[[#This Row],[$ CAPITAL]]+FINANCIACION[[#This Row],[$ INTERESES]],0)</f>
        <v>6608642.04</v>
      </c>
    </row>
    <row r="762" spans="1:10" ht="24" hidden="1" customHeight="1" x14ac:dyDescent="0.25">
      <c r="A762" s="7">
        <v>44480</v>
      </c>
      <c r="B762" s="53" t="s">
        <v>202</v>
      </c>
      <c r="C762" s="5">
        <v>3765800</v>
      </c>
      <c r="D762" s="5"/>
      <c r="E762" s="169">
        <f>+IF(FINANCIACION[[#This Row],[$ CAPITAL]]&gt;=0,FINANCIACION[[#This Row],[$ CAPITAL]]+FINANCIACION[[#This Row],[$ INTERESES]],"")</f>
        <v>3765800</v>
      </c>
      <c r="F762" s="169">
        <f>+SUMIFS(FINANCIACION[$ CAPITAL],FINANCIACION[Fecha],"&lt;="&amp;FINANCIACION[[#This Row],[Fecha]],FINANCIACION[PRESTAMO],FINANCIACION[[#This Row],[PRESTAMO]])</f>
        <v>-26253020</v>
      </c>
      <c r="G762" s="8"/>
      <c r="H762" s="8"/>
      <c r="I762" s="5">
        <f>IF(FINANCIACION[[#This Row],[$ CAPITAL]]&gt;0,FINANCIACION[[#This Row],[$ CAPITAL]])</f>
        <v>3765800</v>
      </c>
      <c r="J762" s="36">
        <f>IF(FINANCIACION[[#This Row],[$ CAPITAL]]&gt;=0,FINANCIACION[[#This Row],[$ CAPITAL]]+FINANCIACION[[#This Row],[$ INTERESES]],0)</f>
        <v>3765800</v>
      </c>
    </row>
    <row r="763" spans="1:10" ht="24" customHeight="1" x14ac:dyDescent="0.25">
      <c r="A763" s="7">
        <v>44483</v>
      </c>
      <c r="B763" s="53" t="s">
        <v>200</v>
      </c>
      <c r="C763" s="5"/>
      <c r="D763" s="5">
        <v>231875</v>
      </c>
      <c r="E763" s="169">
        <f>+IF(FINANCIACION[[#This Row],[$ CAPITAL]]&gt;=0,FINANCIACION[[#This Row],[$ CAPITAL]]+FINANCIACION[[#This Row],[$ INTERESES]],"")</f>
        <v>231875</v>
      </c>
      <c r="F763" s="169">
        <f>+SUMIFS(FINANCIACION[$ CAPITAL],FINANCIACION[Fecha],"&lt;="&amp;FINANCIACION[[#This Row],[Fecha]],FINANCIACION[PRESTAMO],FINANCIACION[[#This Row],[PRESTAMO]])</f>
        <v>-35000000</v>
      </c>
      <c r="G763" s="8"/>
      <c r="H763" s="8"/>
      <c r="I763" s="5" t="b">
        <f>IF(FINANCIACION[[#This Row],[$ CAPITAL]]&gt;0,FINANCIACION[[#This Row],[$ CAPITAL]])</f>
        <v>0</v>
      </c>
      <c r="J763" s="9">
        <f>IF(FINANCIACION[[#This Row],[$ CAPITAL]]&gt;=0,FINANCIACION[[#This Row],[$ CAPITAL]]+FINANCIACION[[#This Row],[$ INTERESES]],0)</f>
        <v>231875</v>
      </c>
    </row>
    <row r="764" spans="1:10" ht="24" hidden="1" customHeight="1" x14ac:dyDescent="0.25">
      <c r="A764" s="7">
        <v>44483</v>
      </c>
      <c r="B764" s="53" t="s">
        <v>201</v>
      </c>
      <c r="C764" s="5">
        <v>945175</v>
      </c>
      <c r="D764" s="5"/>
      <c r="E764" s="169">
        <f>+IF(FINANCIACION[[#This Row],[$ CAPITAL]]&gt;=0,FINANCIACION[[#This Row],[$ CAPITAL]]+FINANCIACION[[#This Row],[$ INTERESES]],"")</f>
        <v>945175</v>
      </c>
      <c r="F764" s="169">
        <f>+SUMIFS(FINANCIACION[$ CAPITAL],FINANCIACION[Fecha],"&lt;="&amp;FINANCIACION[[#This Row],[Fecha]],FINANCIACION[PRESTAMO],FINANCIACION[[#This Row],[PRESTAMO]])</f>
        <v>1316072</v>
      </c>
      <c r="G764" s="8"/>
      <c r="H764" s="8"/>
      <c r="I764" s="5">
        <f>IF(FINANCIACION[[#This Row],[$ CAPITAL]]&gt;0,FINANCIACION[[#This Row],[$ CAPITAL]])</f>
        <v>945175</v>
      </c>
      <c r="J764" s="9">
        <f>IF(FINANCIACION[[#This Row],[$ CAPITAL]]&gt;=0,FINANCIACION[[#This Row],[$ CAPITAL]]+FINANCIACION[[#This Row],[$ INTERESES]],0)</f>
        <v>945175</v>
      </c>
    </row>
    <row r="765" spans="1:10" ht="24" hidden="1" customHeight="1" x14ac:dyDescent="0.25">
      <c r="A765" s="7">
        <v>44483</v>
      </c>
      <c r="B765" s="53" t="s">
        <v>202</v>
      </c>
      <c r="C765" s="5">
        <v>5607720</v>
      </c>
      <c r="D765" s="5"/>
      <c r="E765" s="169">
        <f>+IF(FINANCIACION[[#This Row],[$ CAPITAL]]&gt;=0,FINANCIACION[[#This Row],[$ CAPITAL]]+FINANCIACION[[#This Row],[$ INTERESES]],"")</f>
        <v>5607720</v>
      </c>
      <c r="F765" s="169">
        <f>+SUMIFS(FINANCIACION[$ CAPITAL],FINANCIACION[Fecha],"&lt;="&amp;FINANCIACION[[#This Row],[Fecha]],FINANCIACION[PRESTAMO],FINANCIACION[[#This Row],[PRESTAMO]])</f>
        <v>-5691380</v>
      </c>
      <c r="G765" s="8"/>
      <c r="H765" s="56"/>
      <c r="I765" s="5">
        <f>IF(FINANCIACION[[#This Row],[$ CAPITAL]]&gt;0,FINANCIACION[[#This Row],[$ CAPITAL]])</f>
        <v>5607720</v>
      </c>
      <c r="J765" s="9">
        <f>IF(FINANCIACION[[#This Row],[$ CAPITAL]]&gt;=0,FINANCIACION[[#This Row],[$ CAPITAL]]+FINANCIACION[[#This Row],[$ INTERESES]],0)</f>
        <v>5607720</v>
      </c>
    </row>
    <row r="766" spans="1:10" ht="24" hidden="1" customHeight="1" x14ac:dyDescent="0.25">
      <c r="A766" s="7">
        <v>44483</v>
      </c>
      <c r="B766" s="53" t="s">
        <v>202</v>
      </c>
      <c r="C766" s="5">
        <v>14953920</v>
      </c>
      <c r="D766" s="5"/>
      <c r="E766" s="169">
        <f>+IF(FINANCIACION[[#This Row],[$ CAPITAL]]&gt;=0,FINANCIACION[[#This Row],[$ CAPITAL]]+FINANCIACION[[#This Row],[$ INTERESES]],"")</f>
        <v>14953920</v>
      </c>
      <c r="F766" s="169">
        <f>+SUMIFS(FINANCIACION[$ CAPITAL],FINANCIACION[Fecha],"&lt;="&amp;FINANCIACION[[#This Row],[Fecha]],FINANCIACION[PRESTAMO],FINANCIACION[[#This Row],[PRESTAMO]])</f>
        <v>-5691380</v>
      </c>
      <c r="G766" s="8"/>
      <c r="H766" s="56"/>
      <c r="I766" s="5">
        <f>IF(FINANCIACION[[#This Row],[$ CAPITAL]]&gt;0,FINANCIACION[[#This Row],[$ CAPITAL]])</f>
        <v>14953920</v>
      </c>
      <c r="J766" s="9">
        <f>IF(FINANCIACION[[#This Row],[$ CAPITAL]]&gt;=0,FINANCIACION[[#This Row],[$ CAPITAL]]+FINANCIACION[[#This Row],[$ INTERESES]],0)</f>
        <v>14953920</v>
      </c>
    </row>
    <row r="767" spans="1:10" ht="24" hidden="1" customHeight="1" x14ac:dyDescent="0.25">
      <c r="A767" s="7">
        <v>44483</v>
      </c>
      <c r="B767" s="53" t="s">
        <v>203</v>
      </c>
      <c r="C767" s="5">
        <v>1000000</v>
      </c>
      <c r="D767" s="5"/>
      <c r="E767" s="169">
        <f>+IF(FINANCIACION[[#This Row],[$ CAPITAL]]&gt;=0,FINANCIACION[[#This Row],[$ CAPITAL]]+FINANCIACION[[#This Row],[$ INTERESES]],"")</f>
        <v>1000000</v>
      </c>
      <c r="F767" s="169">
        <f>+SUMIFS(FINANCIACION[$ CAPITAL],FINANCIACION[Fecha],"&lt;="&amp;FINANCIACION[[#This Row],[Fecha]],FINANCIACION[PRESTAMO],FINANCIACION[[#This Row],[PRESTAMO]])</f>
        <v>-2108939</v>
      </c>
      <c r="G767" s="8"/>
      <c r="H767" s="56"/>
      <c r="I767" s="5">
        <f>IF(FINANCIACION[[#This Row],[$ CAPITAL]]&gt;0,FINANCIACION[[#This Row],[$ CAPITAL]])</f>
        <v>1000000</v>
      </c>
      <c r="J767" s="9">
        <f>IF(FINANCIACION[[#This Row],[$ CAPITAL]]&gt;=0,FINANCIACION[[#This Row],[$ CAPITAL]]+FINANCIACION[[#This Row],[$ INTERESES]],0)</f>
        <v>1000000</v>
      </c>
    </row>
    <row r="768" spans="1:10" ht="24" hidden="1" customHeight="1" x14ac:dyDescent="0.25">
      <c r="A768" s="7">
        <v>44488</v>
      </c>
      <c r="B768" s="53" t="s">
        <v>1217</v>
      </c>
      <c r="C768" s="5">
        <v>5238034</v>
      </c>
      <c r="D768" s="5">
        <v>683538</v>
      </c>
      <c r="E768" s="169">
        <f>+IF(FINANCIACION[[#This Row],[$ CAPITAL]]&gt;=0,FINANCIACION[[#This Row],[$ CAPITAL]]+FINANCIACION[[#This Row],[$ INTERESES]],"")</f>
        <v>5921572</v>
      </c>
      <c r="F768" s="169">
        <f>+SUMIFS(FINANCIACION[$ CAPITAL],FINANCIACION[Fecha],"&lt;="&amp;FINANCIACION[[#This Row],[Fecha]],FINANCIACION[PRESTAMO],FINANCIACION[[#This Row],[PRESTAMO]])</f>
        <v>-328259144</v>
      </c>
      <c r="G768" s="56"/>
      <c r="H768" s="8"/>
      <c r="I768" s="5">
        <f>IF(FINANCIACION[[#This Row],[$ CAPITAL]]&gt;0,FINANCIACION[[#This Row],[$ CAPITAL]])</f>
        <v>5238034</v>
      </c>
      <c r="J768" s="36">
        <f>IF(FINANCIACION[[#This Row],[$ CAPITAL]]&gt;=0,FINANCIACION[[#This Row],[$ CAPITAL]]+FINANCIACION[[#This Row],[$ INTERESES]],0)</f>
        <v>5921572</v>
      </c>
    </row>
    <row r="769" spans="1:10" ht="24" hidden="1" customHeight="1" x14ac:dyDescent="0.25">
      <c r="A769" s="7">
        <v>44488</v>
      </c>
      <c r="B769" s="53" t="s">
        <v>201</v>
      </c>
      <c r="C769" s="5">
        <v>1570289</v>
      </c>
      <c r="D769" s="5"/>
      <c r="E769" s="169">
        <f>+IF(FINANCIACION[[#This Row],[$ CAPITAL]]&gt;=0,FINANCIACION[[#This Row],[$ CAPITAL]]+FINANCIACION[[#This Row],[$ INTERESES]],"")</f>
        <v>1570289</v>
      </c>
      <c r="F769" s="169">
        <f>+SUMIFS(FINANCIACION[$ CAPITAL],FINANCIACION[Fecha],"&lt;="&amp;FINANCIACION[[#This Row],[Fecha]],FINANCIACION[PRESTAMO],FINANCIACION[[#This Row],[PRESTAMO]])</f>
        <v>2886361</v>
      </c>
      <c r="G769" s="8"/>
      <c r="H769" s="56"/>
      <c r="I769" s="5">
        <f>IF(FINANCIACION[[#This Row],[$ CAPITAL]]&gt;0,FINANCIACION[[#This Row],[$ CAPITAL]])</f>
        <v>1570289</v>
      </c>
      <c r="J769" s="9">
        <f>IF(FINANCIACION[[#This Row],[$ CAPITAL]]&gt;=0,FINANCIACION[[#This Row],[$ CAPITAL]]+FINANCIACION[[#This Row],[$ INTERESES]],0)</f>
        <v>1570289</v>
      </c>
    </row>
    <row r="770" spans="1:10" ht="24" hidden="1" customHeight="1" x14ac:dyDescent="0.25">
      <c r="A770" s="7">
        <v>44490</v>
      </c>
      <c r="B770" s="53" t="s">
        <v>1218</v>
      </c>
      <c r="C770" s="5">
        <v>1455390.5800000019</v>
      </c>
      <c r="D770" s="5">
        <v>20609.419999998063</v>
      </c>
      <c r="E770" s="169">
        <f>+IF(FINANCIACION[[#This Row],[$ CAPITAL]]&gt;=0,FINANCIACION[[#This Row],[$ CAPITAL]]+FINANCIACION[[#This Row],[$ INTERESES]],"")</f>
        <v>1476000</v>
      </c>
      <c r="F770" s="169">
        <f>+SUMIFS(FINANCIACION[$ CAPITAL],FINANCIACION[Fecha],"&lt;="&amp;FINANCIACION[[#This Row],[Fecha]],FINANCIACION[PRESTAMO],FINANCIACION[[#This Row],[PRESTAMO]])</f>
        <v>-22682493.509999987</v>
      </c>
      <c r="G770" s="56"/>
      <c r="H770" s="8"/>
      <c r="I770" s="5">
        <f>IF(FINANCIACION[[#This Row],[$ CAPITAL]]&gt;0,FINANCIACION[[#This Row],[$ CAPITAL]])</f>
        <v>1455390.5800000019</v>
      </c>
      <c r="J770" s="36">
        <f>IF(FINANCIACION[[#This Row],[$ CAPITAL]]&gt;=0,FINANCIACION[[#This Row],[$ CAPITAL]]+FINANCIACION[[#This Row],[$ INTERESES]],0)</f>
        <v>1476000</v>
      </c>
    </row>
    <row r="771" spans="1:10" ht="24" hidden="1" customHeight="1" x14ac:dyDescent="0.25">
      <c r="A771" s="7">
        <v>44490</v>
      </c>
      <c r="B771" s="53" t="s">
        <v>1229</v>
      </c>
      <c r="C771" s="5">
        <v>1207376.9100000001</v>
      </c>
      <c r="D771" s="5">
        <v>18623.089999999851</v>
      </c>
      <c r="E771" s="169">
        <f>+IF(FINANCIACION[[#This Row],[$ CAPITAL]]&gt;=0,FINANCIACION[[#This Row],[$ CAPITAL]]+FINANCIACION[[#This Row],[$ INTERESES]],"")</f>
        <v>1226000</v>
      </c>
      <c r="F771" s="169">
        <f>+SUMIFS(FINANCIACION[$ CAPITAL],FINANCIACION[Fecha],"&lt;="&amp;FINANCIACION[[#This Row],[Fecha]],FINANCIACION[PRESTAMO],FINANCIACION[[#This Row],[PRESTAMO]])</f>
        <v>-20060494.380000003</v>
      </c>
      <c r="G771" s="56"/>
      <c r="H771" s="8"/>
      <c r="I771" s="5">
        <f>IF(FINANCIACION[[#This Row],[$ CAPITAL]]&gt;0,FINANCIACION[[#This Row],[$ CAPITAL]])</f>
        <v>1207376.9100000001</v>
      </c>
      <c r="J771" s="36">
        <f>IF(FINANCIACION[[#This Row],[$ CAPITAL]]&gt;=0,FINANCIACION[[#This Row],[$ CAPITAL]]+FINANCIACION[[#This Row],[$ INTERESES]],0)</f>
        <v>1226000</v>
      </c>
    </row>
    <row r="772" spans="1:10" ht="24" hidden="1" customHeight="1" x14ac:dyDescent="0.25">
      <c r="A772" s="7">
        <v>44490</v>
      </c>
      <c r="B772" s="53" t="s">
        <v>1221</v>
      </c>
      <c r="C772" s="5">
        <v>2460269.9600000009</v>
      </c>
      <c r="D772" s="5">
        <v>29730.039999999106</v>
      </c>
      <c r="E772" s="169">
        <f>+IF(FINANCIACION[[#This Row],[$ CAPITAL]]&gt;=0,FINANCIACION[[#This Row],[$ CAPITAL]]+FINANCIACION[[#This Row],[$ INTERESES]],"")</f>
        <v>2490000</v>
      </c>
      <c r="F772" s="169">
        <f>+SUMIFS(FINANCIACION[$ CAPITAL],FINANCIACION[Fecha],"&lt;="&amp;FINANCIACION[[#This Row],[Fecha]],FINANCIACION[PRESTAMO],FINANCIACION[[#This Row],[PRESTAMO]])</f>
        <v>-42697257.329999998</v>
      </c>
      <c r="G772" s="56"/>
      <c r="H772" s="8"/>
      <c r="I772" s="5">
        <f>IF(FINANCIACION[[#This Row],[$ CAPITAL]]&gt;0,FINANCIACION[[#This Row],[$ CAPITAL]])</f>
        <v>2460269.9600000009</v>
      </c>
      <c r="J772" s="36">
        <f>IF(FINANCIACION[[#This Row],[$ CAPITAL]]&gt;=0,FINANCIACION[[#This Row],[$ CAPITAL]]+FINANCIACION[[#This Row],[$ INTERESES]],0)</f>
        <v>2490000</v>
      </c>
    </row>
    <row r="773" spans="1:10" ht="24" hidden="1" customHeight="1" x14ac:dyDescent="0.25">
      <c r="A773" s="7">
        <v>44490</v>
      </c>
      <c r="B773" s="53" t="s">
        <v>1222</v>
      </c>
      <c r="C773" s="5">
        <v>3617080.799999997</v>
      </c>
      <c r="D773" s="5">
        <v>47919.20000000298</v>
      </c>
      <c r="E773" s="169">
        <f>+IF(FINANCIACION[[#This Row],[$ CAPITAL]]&gt;=0,FINANCIACION[[#This Row],[$ CAPITAL]]+FINANCIACION[[#This Row],[$ INTERESES]],"")</f>
        <v>3665000</v>
      </c>
      <c r="F773" s="169">
        <f>+SUMIFS(FINANCIACION[$ CAPITAL],FINANCIACION[Fecha],"&lt;="&amp;FINANCIACION[[#This Row],[Fecha]],FINANCIACION[PRESTAMO],FINANCIACION[[#This Row],[PRESTAMO]])</f>
        <v>-61771693.030000001</v>
      </c>
      <c r="G773" s="8"/>
      <c r="H773" s="8"/>
      <c r="I773" s="5">
        <f>IF(FINANCIACION[[#This Row],[$ CAPITAL]]&gt;0,FINANCIACION[[#This Row],[$ CAPITAL]])</f>
        <v>3617080.799999997</v>
      </c>
      <c r="J773" s="36">
        <f>IF(FINANCIACION[[#This Row],[$ CAPITAL]]&gt;=0,FINANCIACION[[#This Row],[$ CAPITAL]]+FINANCIACION[[#This Row],[$ INTERESES]],0)</f>
        <v>3665000</v>
      </c>
    </row>
    <row r="774" spans="1:10" ht="24" hidden="1" customHeight="1" x14ac:dyDescent="0.25">
      <c r="A774" s="7">
        <v>44490</v>
      </c>
      <c r="B774" s="53" t="s">
        <v>1223</v>
      </c>
      <c r="C774" s="5">
        <v>966289.62999999896</v>
      </c>
      <c r="D774" s="5">
        <v>15710.370000001043</v>
      </c>
      <c r="E774" s="169">
        <f>+IF(FINANCIACION[[#This Row],[$ CAPITAL]]&gt;=0,FINANCIACION[[#This Row],[$ CAPITAL]]+FINANCIACION[[#This Row],[$ INTERESES]],"")</f>
        <v>982000</v>
      </c>
      <c r="F774" s="169">
        <f>+SUMIFS(FINANCIACION[$ CAPITAL],FINANCIACION[Fecha],"&lt;="&amp;FINANCIACION[[#This Row],[Fecha]],FINANCIACION[PRESTAMO],FINANCIACION[[#This Row],[PRESTAMO]])</f>
        <v>-17508544.630000006</v>
      </c>
      <c r="G774" s="56"/>
      <c r="H774" s="8"/>
      <c r="I774" s="5">
        <f>IF(FINANCIACION[[#This Row],[$ CAPITAL]]&gt;0,FINANCIACION[[#This Row],[$ CAPITAL]])</f>
        <v>966289.62999999896</v>
      </c>
      <c r="J774" s="36">
        <f>IF(FINANCIACION[[#This Row],[$ CAPITAL]]&gt;=0,FINANCIACION[[#This Row],[$ CAPITAL]]+FINANCIACION[[#This Row],[$ INTERESES]],0)</f>
        <v>982000</v>
      </c>
    </row>
    <row r="775" spans="1:10" ht="24" hidden="1" customHeight="1" x14ac:dyDescent="0.25">
      <c r="A775" s="7">
        <v>44490</v>
      </c>
      <c r="B775" s="53" t="s">
        <v>1225</v>
      </c>
      <c r="C775" s="5">
        <v>1018692.3000000007</v>
      </c>
      <c r="D775" s="5">
        <v>17307.699999999255</v>
      </c>
      <c r="E775" s="169">
        <f>+IF(FINANCIACION[[#This Row],[$ CAPITAL]]&gt;=0,FINANCIACION[[#This Row],[$ CAPITAL]]+FINANCIACION[[#This Row],[$ INTERESES]],"")</f>
        <v>1036000</v>
      </c>
      <c r="F775" s="169">
        <f>+SUMIFS(FINANCIACION[$ CAPITAL],FINANCIACION[Fecha],"&lt;="&amp;FINANCIACION[[#This Row],[Fecha]],FINANCIACION[PRESTAMO],FINANCIACION[[#This Row],[PRESTAMO]])</f>
        <v>-19242659.020000003</v>
      </c>
      <c r="G775" s="56"/>
      <c r="H775" s="8"/>
      <c r="I775" s="5">
        <f>IF(FINANCIACION[[#This Row],[$ CAPITAL]]&gt;0,FINANCIACION[[#This Row],[$ CAPITAL]])</f>
        <v>1018692.3000000007</v>
      </c>
      <c r="J775" s="36">
        <f>IF(FINANCIACION[[#This Row],[$ CAPITAL]]&gt;=0,FINANCIACION[[#This Row],[$ CAPITAL]]+FINANCIACION[[#This Row],[$ INTERESES]],0)</f>
        <v>1036000</v>
      </c>
    </row>
    <row r="776" spans="1:10" ht="24" hidden="1" customHeight="1" x14ac:dyDescent="0.25">
      <c r="A776" s="7">
        <v>44491</v>
      </c>
      <c r="B776" s="53" t="s">
        <v>202</v>
      </c>
      <c r="C776" s="5">
        <v>3783300</v>
      </c>
      <c r="D776" s="5"/>
      <c r="E776" s="169">
        <f>+IF(FINANCIACION[[#This Row],[$ CAPITAL]]&gt;=0,FINANCIACION[[#This Row],[$ CAPITAL]]+FINANCIACION[[#This Row],[$ INTERESES]],"")</f>
        <v>3783300</v>
      </c>
      <c r="F776" s="169">
        <f>+SUMIFS(FINANCIACION[$ CAPITAL],FINANCIACION[Fecha],"&lt;="&amp;FINANCIACION[[#This Row],[Fecha]],FINANCIACION[PRESTAMO],FINANCIACION[[#This Row],[PRESTAMO]])</f>
        <v>1875220</v>
      </c>
      <c r="G776" s="56"/>
      <c r="H776" s="8"/>
      <c r="I776" s="5">
        <f>IF(FINANCIACION[[#This Row],[$ CAPITAL]]&gt;0,FINANCIACION[[#This Row],[$ CAPITAL]])</f>
        <v>3783300</v>
      </c>
      <c r="J776" s="36">
        <f>IF(FINANCIACION[[#This Row],[$ CAPITAL]]&gt;=0,FINANCIACION[[#This Row],[$ CAPITAL]]+FINANCIACION[[#This Row],[$ INTERESES]],0)</f>
        <v>3783300</v>
      </c>
    </row>
    <row r="777" spans="1:10" ht="24" hidden="1" customHeight="1" x14ac:dyDescent="0.25">
      <c r="A777" s="7">
        <v>44491</v>
      </c>
      <c r="B777" s="53" t="s">
        <v>202</v>
      </c>
      <c r="C777" s="5">
        <v>3783300</v>
      </c>
      <c r="D777" s="5"/>
      <c r="E777" s="169">
        <f>+IF(FINANCIACION[[#This Row],[$ CAPITAL]]&gt;=0,FINANCIACION[[#This Row],[$ CAPITAL]]+FINANCIACION[[#This Row],[$ INTERESES]],"")</f>
        <v>3783300</v>
      </c>
      <c r="F777" s="169">
        <f>+SUMIFS(FINANCIACION[$ CAPITAL],FINANCIACION[Fecha],"&lt;="&amp;FINANCIACION[[#This Row],[Fecha]],FINANCIACION[PRESTAMO],FINANCIACION[[#This Row],[PRESTAMO]])</f>
        <v>1875220</v>
      </c>
      <c r="G777" s="56"/>
      <c r="H777" s="8"/>
      <c r="I777" s="5">
        <f>IF(FINANCIACION[[#This Row],[$ CAPITAL]]&gt;0,FINANCIACION[[#This Row],[$ CAPITAL]])</f>
        <v>3783300</v>
      </c>
      <c r="J777" s="36">
        <f>IF(FINANCIACION[[#This Row],[$ CAPITAL]]&gt;=0,FINANCIACION[[#This Row],[$ CAPITAL]]+FINANCIACION[[#This Row],[$ INTERESES]],0)</f>
        <v>3783300</v>
      </c>
    </row>
    <row r="778" spans="1:10" ht="24" hidden="1" customHeight="1" x14ac:dyDescent="0.25">
      <c r="A778" s="7">
        <v>44491</v>
      </c>
      <c r="B778" s="53" t="s">
        <v>203</v>
      </c>
      <c r="C778" s="5">
        <v>1000000</v>
      </c>
      <c r="D778" s="5"/>
      <c r="E778" s="169">
        <f>+IF(FINANCIACION[[#This Row],[$ CAPITAL]]&gt;=0,FINANCIACION[[#This Row],[$ CAPITAL]]+FINANCIACION[[#This Row],[$ INTERESES]],"")</f>
        <v>1000000</v>
      </c>
      <c r="F778" s="169">
        <f>+SUMIFS(FINANCIACION[$ CAPITAL],FINANCIACION[Fecha],"&lt;="&amp;FINANCIACION[[#This Row],[Fecha]],FINANCIACION[PRESTAMO],FINANCIACION[[#This Row],[PRESTAMO]])</f>
        <v>-1108939</v>
      </c>
      <c r="G778" s="56"/>
      <c r="H778" s="8"/>
      <c r="I778" s="5">
        <f>IF(FINANCIACION[[#This Row],[$ CAPITAL]]&gt;0,FINANCIACION[[#This Row],[$ CAPITAL]])</f>
        <v>1000000</v>
      </c>
      <c r="J778" s="36">
        <f>IF(FINANCIACION[[#This Row],[$ CAPITAL]]&gt;=0,FINANCIACION[[#This Row],[$ CAPITAL]]+FINANCIACION[[#This Row],[$ INTERESES]],0)</f>
        <v>1000000</v>
      </c>
    </row>
    <row r="779" spans="1:10" ht="24" hidden="1" customHeight="1" x14ac:dyDescent="0.25">
      <c r="A779" s="7">
        <v>44500</v>
      </c>
      <c r="B779" s="53" t="s">
        <v>196</v>
      </c>
      <c r="C779" s="5">
        <v>369052.82999999076</v>
      </c>
      <c r="D779" s="5"/>
      <c r="E779" s="169">
        <f>+IF(FINANCIACION[[#This Row],[$ CAPITAL]]&gt;=0,FINANCIACION[[#This Row],[$ CAPITAL]]+FINANCIACION[[#This Row],[$ INTERESES]],"")</f>
        <v>369052.82999999076</v>
      </c>
      <c r="F779" s="169">
        <f>+SUMIFS(FINANCIACION[$ CAPITAL],FINANCIACION[Fecha],"&lt;="&amp;FINANCIACION[[#This Row],[Fecha]],FINANCIACION[PRESTAMO],FINANCIACION[[#This Row],[PRESTAMO]])</f>
        <v>-65636342.670000009</v>
      </c>
      <c r="G779" s="56" t="s">
        <v>231</v>
      </c>
      <c r="H779" s="8"/>
      <c r="I779" s="5">
        <f>IF(FINANCIACION[[#This Row],[$ CAPITAL]]&gt;0,FINANCIACION[[#This Row],[$ CAPITAL]])</f>
        <v>369052.82999999076</v>
      </c>
      <c r="J779" s="36">
        <f>IF(FINANCIACION[[#This Row],[$ CAPITAL]]&gt;=0,FINANCIACION[[#This Row],[$ CAPITAL]]+FINANCIACION[[#This Row],[$ INTERESES]],0)</f>
        <v>369052.82999999076</v>
      </c>
    </row>
    <row r="780" spans="1:10" ht="24" hidden="1" customHeight="1" x14ac:dyDescent="0.25">
      <c r="A780" s="7">
        <v>44500</v>
      </c>
      <c r="B780" s="53" t="s">
        <v>294</v>
      </c>
      <c r="C780" s="5">
        <v>14983.929999999702</v>
      </c>
      <c r="D780" s="5"/>
      <c r="E780" s="169">
        <f>+IF(FINANCIACION[[#This Row],[$ CAPITAL]]&gt;=0,FINANCIACION[[#This Row],[$ CAPITAL]]+FINANCIACION[[#This Row],[$ INTERESES]],"")</f>
        <v>14983.929999999702</v>
      </c>
      <c r="F780" s="169">
        <f>+SUMIFS(FINANCIACION[$ CAPITAL],FINANCIACION[Fecha],"&lt;="&amp;FINANCIACION[[#This Row],[Fecha]],FINANCIACION[PRESTAMO],FINANCIACION[[#This Row],[PRESTAMO]])</f>
        <v>-57673146.57</v>
      </c>
      <c r="G780" s="56" t="s">
        <v>231</v>
      </c>
      <c r="H780" s="8"/>
      <c r="I780" s="5">
        <f>IF(FINANCIACION[[#This Row],[$ CAPITAL]]&gt;0,FINANCIACION[[#This Row],[$ CAPITAL]])</f>
        <v>14983.929999999702</v>
      </c>
      <c r="J780" s="36">
        <f>IF(FINANCIACION[[#This Row],[$ CAPITAL]]&gt;=0,FINANCIACION[[#This Row],[$ CAPITAL]]+FINANCIACION[[#This Row],[$ INTERESES]],0)</f>
        <v>14983.929999999702</v>
      </c>
    </row>
    <row r="781" spans="1:10" ht="24" hidden="1" customHeight="1" x14ac:dyDescent="0.25">
      <c r="A781" s="7">
        <v>44500</v>
      </c>
      <c r="B781" s="53" t="s">
        <v>418</v>
      </c>
      <c r="C781" s="5">
        <v>5927.0300000011921</v>
      </c>
      <c r="D781" s="5"/>
      <c r="E781" s="169">
        <f>+IF(FINANCIACION[[#This Row],[$ CAPITAL]]&gt;=0,FINANCIACION[[#This Row],[$ CAPITAL]]+FINANCIACION[[#This Row],[$ INTERESES]],"")</f>
        <v>5927.0300000011921</v>
      </c>
      <c r="F781" s="169">
        <f>+SUMIFS(FINANCIACION[$ CAPITAL],FINANCIACION[Fecha],"&lt;="&amp;FINANCIACION[[#This Row],[Fecha]],FINANCIACION[PRESTAMO],FINANCIACION[[#This Row],[PRESTAMO]])</f>
        <v>-22813138.469999999</v>
      </c>
      <c r="G781" s="56" t="s">
        <v>231</v>
      </c>
      <c r="H781" s="8"/>
      <c r="I781" s="5">
        <f>IF(FINANCIACION[[#This Row],[$ CAPITAL]]&gt;0,FINANCIACION[[#This Row],[$ CAPITAL]])</f>
        <v>5927.0300000011921</v>
      </c>
      <c r="J781" s="36">
        <f>IF(FINANCIACION[[#This Row],[$ CAPITAL]]&gt;=0,FINANCIACION[[#This Row],[$ CAPITAL]]+FINANCIACION[[#This Row],[$ INTERESES]],0)</f>
        <v>5927.0300000011921</v>
      </c>
    </row>
    <row r="782" spans="1:10" ht="24" hidden="1" customHeight="1" x14ac:dyDescent="0.25">
      <c r="A782" s="7">
        <v>44500</v>
      </c>
      <c r="B782" s="53" t="s">
        <v>540</v>
      </c>
      <c r="C782" s="5">
        <v>13687.689999997616</v>
      </c>
      <c r="D782" s="5"/>
      <c r="E782" s="169">
        <f>+IF(FINANCIACION[[#This Row],[$ CAPITAL]]&gt;=0,FINANCIACION[[#This Row],[$ CAPITAL]]+FINANCIACION[[#This Row],[$ INTERESES]],"")</f>
        <v>13687.689999997616</v>
      </c>
      <c r="F782" s="169">
        <f>+SUMIFS(FINANCIACION[$ CAPITAL],FINANCIACION[Fecha],"&lt;="&amp;FINANCIACION[[#This Row],[Fecha]],FINANCIACION[PRESTAMO],FINANCIACION[[#This Row],[PRESTAMO]])</f>
        <v>-52683918.810000002</v>
      </c>
      <c r="G782" s="56" t="s">
        <v>231</v>
      </c>
      <c r="H782" s="8"/>
      <c r="I782" s="5">
        <f>IF(FINANCIACION[[#This Row],[$ CAPITAL]]&gt;0,FINANCIACION[[#This Row],[$ CAPITAL]])</f>
        <v>13687.689999997616</v>
      </c>
      <c r="J782" s="36">
        <f>IF(FINANCIACION[[#This Row],[$ CAPITAL]]&gt;=0,FINANCIACION[[#This Row],[$ CAPITAL]]+FINANCIACION[[#This Row],[$ INTERESES]],0)</f>
        <v>13687.689999997616</v>
      </c>
    </row>
    <row r="783" spans="1:10" ht="24" hidden="1" customHeight="1" x14ac:dyDescent="0.25">
      <c r="A783" s="7">
        <v>44500</v>
      </c>
      <c r="B783" s="53" t="s">
        <v>201</v>
      </c>
      <c r="C783" s="5">
        <v>-2886361</v>
      </c>
      <c r="D783" s="5"/>
      <c r="E783" s="169" t="str">
        <f>+IF(FINANCIACION[[#This Row],[$ CAPITAL]]&gt;=0,FINANCIACION[[#This Row],[$ CAPITAL]]+FINANCIACION[[#This Row],[$ INTERESES]],"")</f>
        <v/>
      </c>
      <c r="F783" s="169">
        <f>+SUMIFS(FINANCIACION[$ CAPITAL],FINANCIACION[Fecha],"&lt;="&amp;FINANCIACION[[#This Row],[Fecha]],FINANCIACION[PRESTAMO],FINANCIACION[[#This Row],[PRESTAMO]])</f>
        <v>0</v>
      </c>
      <c r="G783" s="56" t="s">
        <v>231</v>
      </c>
      <c r="H783" s="8"/>
      <c r="I783" s="5" t="b">
        <f>IF(FINANCIACION[[#This Row],[$ CAPITAL]]&gt;0,FINANCIACION[[#This Row],[$ CAPITAL]])</f>
        <v>0</v>
      </c>
      <c r="J783" s="36">
        <f>IF(FINANCIACION[[#This Row],[$ CAPITAL]]&gt;=0,FINANCIACION[[#This Row],[$ CAPITAL]]+FINANCIACION[[#This Row],[$ INTERESES]],0)</f>
        <v>0</v>
      </c>
    </row>
    <row r="784" spans="1:10" ht="24" hidden="1" customHeight="1" x14ac:dyDescent="0.25">
      <c r="A784" s="7">
        <v>44500</v>
      </c>
      <c r="B784" s="53" t="s">
        <v>202</v>
      </c>
      <c r="C784" s="5">
        <v>-1876641</v>
      </c>
      <c r="D784" s="5"/>
      <c r="E784" s="169" t="str">
        <f>+IF(FINANCIACION[[#This Row],[$ CAPITAL]]&gt;=0,FINANCIACION[[#This Row],[$ CAPITAL]]+FINANCIACION[[#This Row],[$ INTERESES]],"")</f>
        <v/>
      </c>
      <c r="F784" s="169">
        <f>+SUMIFS(FINANCIACION[$ CAPITAL],FINANCIACION[Fecha],"&lt;="&amp;FINANCIACION[[#This Row],[Fecha]],FINANCIACION[PRESTAMO],FINANCIACION[[#This Row],[PRESTAMO]])</f>
        <v>-1421</v>
      </c>
      <c r="G784" s="56" t="s">
        <v>231</v>
      </c>
      <c r="H784" s="8"/>
      <c r="I784" s="5" t="b">
        <f>IF(FINANCIACION[[#This Row],[$ CAPITAL]]&gt;0,FINANCIACION[[#This Row],[$ CAPITAL]])</f>
        <v>0</v>
      </c>
      <c r="J784" s="36">
        <f>IF(FINANCIACION[[#This Row],[$ CAPITAL]]&gt;=0,FINANCIACION[[#This Row],[$ CAPITAL]]+FINANCIACION[[#This Row],[$ INTERESES]],0)</f>
        <v>0</v>
      </c>
    </row>
    <row r="785" spans="1:10" ht="24" hidden="1" customHeight="1" x14ac:dyDescent="0.25">
      <c r="A785" s="7">
        <v>44500</v>
      </c>
      <c r="B785" s="53" t="s">
        <v>203</v>
      </c>
      <c r="C785" s="5">
        <v>141799</v>
      </c>
      <c r="D785" s="5"/>
      <c r="E785" s="169">
        <f>+IF(FINANCIACION[[#This Row],[$ CAPITAL]]&gt;=0,FINANCIACION[[#This Row],[$ CAPITAL]]+FINANCIACION[[#This Row],[$ INTERESES]],"")</f>
        <v>141799</v>
      </c>
      <c r="F785" s="169">
        <f>+SUMIFS(FINANCIACION[$ CAPITAL],FINANCIACION[Fecha],"&lt;="&amp;FINANCIACION[[#This Row],[Fecha]],FINANCIACION[PRESTAMO],FINANCIACION[[#This Row],[PRESTAMO]])</f>
        <v>-967140</v>
      </c>
      <c r="G785" s="56" t="s">
        <v>231</v>
      </c>
      <c r="H785" s="8"/>
      <c r="I785" s="5">
        <f>IF(FINANCIACION[[#This Row],[$ CAPITAL]]&gt;0,FINANCIACION[[#This Row],[$ CAPITAL]])</f>
        <v>141799</v>
      </c>
      <c r="J785" s="36">
        <f>IF(FINANCIACION[[#This Row],[$ CAPITAL]]&gt;=0,FINANCIACION[[#This Row],[$ CAPITAL]]+FINANCIACION[[#This Row],[$ INTERESES]],0)</f>
        <v>141799</v>
      </c>
    </row>
    <row r="786" spans="1:10" ht="24" hidden="1" customHeight="1" x14ac:dyDescent="0.25">
      <c r="A786" s="7">
        <v>44502</v>
      </c>
      <c r="B786" s="53" t="s">
        <v>193</v>
      </c>
      <c r="C786" s="5">
        <v>1468400</v>
      </c>
      <c r="D786" s="5">
        <v>418397</v>
      </c>
      <c r="E786" s="169">
        <f>+IF(FINANCIACION[[#This Row],[$ CAPITAL]]&gt;=0,FINANCIACION[[#This Row],[$ CAPITAL]]+FINANCIACION[[#This Row],[$ INTERESES]],"")</f>
        <v>1886797</v>
      </c>
      <c r="F786" s="169">
        <f>+SUMIFS(FINANCIACION[$ CAPITAL],FINANCIACION[Fecha],"&lt;="&amp;FINANCIACION[[#This Row],[Fecha]],FINANCIACION[PRESTAMO],FINANCIACION[[#This Row],[PRESTAMO]])</f>
        <v>-42583600</v>
      </c>
      <c r="G786" s="56"/>
      <c r="H786" s="8"/>
      <c r="I786" s="5">
        <f>IF(FINANCIACION[[#This Row],[$ CAPITAL]]&gt;0,FINANCIACION[[#This Row],[$ CAPITAL]])</f>
        <v>1468400</v>
      </c>
      <c r="J786" s="36">
        <f>IF(FINANCIACION[[#This Row],[$ CAPITAL]]&gt;=0,FINANCIACION[[#This Row],[$ CAPITAL]]+FINANCIACION[[#This Row],[$ INTERESES]],0)</f>
        <v>1886797</v>
      </c>
    </row>
    <row r="787" spans="1:10" ht="24" hidden="1" customHeight="1" x14ac:dyDescent="0.25">
      <c r="A787" s="7">
        <v>44502</v>
      </c>
      <c r="B787" s="53" t="s">
        <v>194</v>
      </c>
      <c r="C787" s="5">
        <v>76791</v>
      </c>
      <c r="D787" s="5"/>
      <c r="E787" s="169">
        <f>+IF(FINANCIACION[[#This Row],[$ CAPITAL]]&gt;=0,FINANCIACION[[#This Row],[$ CAPITAL]]+FINANCIACION[[#This Row],[$ INTERESES]],"")</f>
        <v>76791</v>
      </c>
      <c r="F787" s="169">
        <f>+SUMIFS(FINANCIACION[$ CAPITAL],FINANCIACION[Fecha],"&lt;="&amp;FINANCIACION[[#This Row],[Fecha]],FINANCIACION[PRESTAMO],FINANCIACION[[#This Row],[PRESTAMO]])</f>
        <v>-2226939</v>
      </c>
      <c r="G787" s="56"/>
      <c r="H787" s="8"/>
      <c r="I787" s="5">
        <f>IF(FINANCIACION[[#This Row],[$ CAPITAL]]&gt;0,FINANCIACION[[#This Row],[$ CAPITAL]])</f>
        <v>76791</v>
      </c>
      <c r="J787" s="36">
        <f>IF(FINANCIACION[[#This Row],[$ CAPITAL]]&gt;=0,FINANCIACION[[#This Row],[$ CAPITAL]]+FINANCIACION[[#This Row],[$ INTERESES]],0)</f>
        <v>76791</v>
      </c>
    </row>
    <row r="788" spans="1:10" ht="24" hidden="1" customHeight="1" x14ac:dyDescent="0.25">
      <c r="A788" s="7">
        <v>44502</v>
      </c>
      <c r="B788" s="53" t="s">
        <v>202</v>
      </c>
      <c r="C788" s="5">
        <v>1892220</v>
      </c>
      <c r="D788" s="5"/>
      <c r="E788" s="169">
        <f>+IF(FINANCIACION[[#This Row],[$ CAPITAL]]&gt;=0,FINANCIACION[[#This Row],[$ CAPITAL]]+FINANCIACION[[#This Row],[$ INTERESES]],"")</f>
        <v>1892220</v>
      </c>
      <c r="F788" s="169">
        <f>+SUMIFS(FINANCIACION[$ CAPITAL],FINANCIACION[Fecha],"&lt;="&amp;FINANCIACION[[#This Row],[Fecha]],FINANCIACION[PRESTAMO],FINANCIACION[[#This Row],[PRESTAMO]])</f>
        <v>1890799</v>
      </c>
      <c r="G788" s="56"/>
      <c r="H788" s="8"/>
      <c r="I788" s="5">
        <f>IF(FINANCIACION[[#This Row],[$ CAPITAL]]&gt;0,FINANCIACION[[#This Row],[$ CAPITAL]])</f>
        <v>1892220</v>
      </c>
      <c r="J788" s="36">
        <f>IF(FINANCIACION[[#This Row],[$ CAPITAL]]&gt;=0,FINANCIACION[[#This Row],[$ CAPITAL]]+FINANCIACION[[#This Row],[$ INTERESES]],0)</f>
        <v>1892220</v>
      </c>
    </row>
    <row r="789" spans="1:10" ht="24" hidden="1" customHeight="1" x14ac:dyDescent="0.25">
      <c r="A789" s="7">
        <v>44502</v>
      </c>
      <c r="B789" s="53" t="s">
        <v>203</v>
      </c>
      <c r="C789" s="5">
        <v>967140</v>
      </c>
      <c r="D789" s="5"/>
      <c r="E789" s="169">
        <f>+IF(FINANCIACION[[#This Row],[$ CAPITAL]]&gt;=0,FINANCIACION[[#This Row],[$ CAPITAL]]+FINANCIACION[[#This Row],[$ INTERESES]],"")</f>
        <v>967140</v>
      </c>
      <c r="F789" s="169">
        <f>+SUMIFS(FINANCIACION[$ CAPITAL],FINANCIACION[Fecha],"&lt;="&amp;FINANCIACION[[#This Row],[Fecha]],FINANCIACION[PRESTAMO],FINANCIACION[[#This Row],[PRESTAMO]])</f>
        <v>0</v>
      </c>
      <c r="G789" s="56"/>
      <c r="H789" s="8"/>
      <c r="I789" s="5">
        <f>IF(FINANCIACION[[#This Row],[$ CAPITAL]]&gt;0,FINANCIACION[[#This Row],[$ CAPITAL]])</f>
        <v>967140</v>
      </c>
      <c r="J789" s="36">
        <f>IF(FINANCIACION[[#This Row],[$ CAPITAL]]&gt;=0,FINANCIACION[[#This Row],[$ CAPITAL]]+FINANCIACION[[#This Row],[$ INTERESES]],0)</f>
        <v>967140</v>
      </c>
    </row>
    <row r="790" spans="1:10" ht="24" hidden="1" customHeight="1" x14ac:dyDescent="0.25">
      <c r="A790" s="7">
        <v>44508</v>
      </c>
      <c r="B790" s="53" t="s">
        <v>197</v>
      </c>
      <c r="C790" s="5">
        <v>6326000</v>
      </c>
      <c r="D790" s="5">
        <v>197571.44</v>
      </c>
      <c r="E790" s="169">
        <f>+IF(FINANCIACION[[#This Row],[$ CAPITAL]]&gt;=0,FINANCIACION[[#This Row],[$ CAPITAL]]+FINANCIACION[[#This Row],[$ INTERESES]],"")</f>
        <v>6523571.4400000004</v>
      </c>
      <c r="F790" s="169">
        <f>+SUMIFS(FINANCIACION[$ CAPITAL],FINANCIACION[Fecha],"&lt;="&amp;FINANCIACION[[#This Row],[Fecha]],FINANCIACION[PRESTAMO],FINANCIACION[[#This Row],[PRESTAMO]])</f>
        <v>-22367821.449999999</v>
      </c>
      <c r="G790" s="56"/>
      <c r="H790" s="8"/>
      <c r="I790" s="5">
        <f>IF(FINANCIACION[[#This Row],[$ CAPITAL]]&gt;0,FINANCIACION[[#This Row],[$ CAPITAL]])</f>
        <v>6326000</v>
      </c>
      <c r="J790" s="36">
        <f>IF(FINANCIACION[[#This Row],[$ CAPITAL]]&gt;=0,FINANCIACION[[#This Row],[$ CAPITAL]]+FINANCIACION[[#This Row],[$ INTERESES]],0)</f>
        <v>6523571.4400000004</v>
      </c>
    </row>
    <row r="791" spans="1:10" ht="24" hidden="1" customHeight="1" x14ac:dyDescent="0.25">
      <c r="A791" s="7">
        <v>44510</v>
      </c>
      <c r="B791" s="53" t="s">
        <v>1226</v>
      </c>
      <c r="C791" s="5"/>
      <c r="D791" s="5">
        <v>130000</v>
      </c>
      <c r="E791" s="169">
        <f>+IF(FINANCIACION[[#This Row],[$ CAPITAL]]&gt;=0,FINANCIACION[[#This Row],[$ CAPITAL]]+FINANCIACION[[#This Row],[$ INTERESES]],"")</f>
        <v>130000</v>
      </c>
      <c r="F791" s="169">
        <f>+SUMIFS(FINANCIACION[$ CAPITAL],FINANCIACION[Fecha],"&lt;="&amp;FINANCIACION[[#This Row],[Fecha]],FINANCIACION[PRESTAMO],FINANCIACION[[#This Row],[PRESTAMO]])</f>
        <v>-13000000</v>
      </c>
      <c r="G791" s="56"/>
      <c r="H791" s="8"/>
      <c r="I791" s="5" t="b">
        <f>IF(FINANCIACION[[#This Row],[$ CAPITAL]]&gt;0,FINANCIACION[[#This Row],[$ CAPITAL]])</f>
        <v>0</v>
      </c>
      <c r="J791" s="36">
        <f>IF(FINANCIACION[[#This Row],[$ CAPITAL]]&gt;=0,FINANCIACION[[#This Row],[$ CAPITAL]]+FINANCIACION[[#This Row],[$ INTERESES]],0)</f>
        <v>130000</v>
      </c>
    </row>
    <row r="792" spans="1:10" ht="24" hidden="1" customHeight="1" x14ac:dyDescent="0.25">
      <c r="A792" s="7">
        <v>44510</v>
      </c>
      <c r="B792" s="53" t="s">
        <v>1230</v>
      </c>
      <c r="C792" s="5"/>
      <c r="D792" s="5">
        <v>400000</v>
      </c>
      <c r="E792" s="169">
        <f>+IF(FINANCIACION[[#This Row],[$ CAPITAL]]&gt;=0,FINANCIACION[[#This Row],[$ CAPITAL]]+FINANCIACION[[#This Row],[$ INTERESES]],"")</f>
        <v>400000</v>
      </c>
      <c r="F792" s="169">
        <f>+SUMIFS(FINANCIACION[$ CAPITAL],FINANCIACION[Fecha],"&lt;="&amp;FINANCIACION[[#This Row],[Fecha]],FINANCIACION[PRESTAMO],FINANCIACION[[#This Row],[PRESTAMO]])</f>
        <v>-40000000</v>
      </c>
      <c r="G792" s="8"/>
      <c r="H792" s="8"/>
      <c r="I792" s="5" t="b">
        <f>IF(FINANCIACION[[#This Row],[$ CAPITAL]]&gt;0,FINANCIACION[[#This Row],[$ CAPITAL]])</f>
        <v>0</v>
      </c>
      <c r="J792" s="36">
        <f>IF(FINANCIACION[[#This Row],[$ CAPITAL]]&gt;=0,FINANCIACION[[#This Row],[$ CAPITAL]]+FINANCIACION[[#This Row],[$ INTERESES]],0)</f>
        <v>400000</v>
      </c>
    </row>
    <row r="793" spans="1:10" ht="24" hidden="1" customHeight="1" x14ac:dyDescent="0.25">
      <c r="A793" s="7">
        <v>44510</v>
      </c>
      <c r="B793" s="53" t="s">
        <v>1215</v>
      </c>
      <c r="C793" s="5">
        <v>1945723.4973951909</v>
      </c>
      <c r="D793" s="5">
        <v>731654.50260480714</v>
      </c>
      <c r="E793" s="169">
        <f>+IF(FINANCIACION[[#This Row],[$ CAPITAL]]&gt;=0,FINANCIACION[[#This Row],[$ CAPITAL]]+FINANCIACION[[#This Row],[$ INTERESES]],"")</f>
        <v>2677377.9999999981</v>
      </c>
      <c r="F793" s="169">
        <f>+SUMIFS(FINANCIACION[$ CAPITAL],FINANCIACION[Fecha],"&lt;="&amp;FINANCIACION[[#This Row],[Fecha]],FINANCIACION[PRESTAMO],FINANCIACION[[#This Row],[PRESTAMO]])</f>
        <v>-71219726.763085529</v>
      </c>
      <c r="G793" s="56"/>
      <c r="H793" s="8"/>
      <c r="I793" s="5">
        <f>IF(FINANCIACION[[#This Row],[$ CAPITAL]]&gt;0,FINANCIACION[[#This Row],[$ CAPITAL]])</f>
        <v>1945723.4973951909</v>
      </c>
      <c r="J793" s="36">
        <f>IF(FINANCIACION[[#This Row],[$ CAPITAL]]&gt;=0,FINANCIACION[[#This Row],[$ CAPITAL]]+FINANCIACION[[#This Row],[$ INTERESES]],0)</f>
        <v>2677377.9999999981</v>
      </c>
    </row>
    <row r="794" spans="1:10" ht="24" hidden="1" customHeight="1" x14ac:dyDescent="0.25">
      <c r="A794" s="7">
        <v>44510</v>
      </c>
      <c r="B794" s="53" t="s">
        <v>1219</v>
      </c>
      <c r="C794" s="5">
        <v>749637</v>
      </c>
      <c r="D794" s="5">
        <v>550363</v>
      </c>
      <c r="E794" s="169">
        <f>+IF(FINANCIACION[[#This Row],[$ CAPITAL]]&gt;=0,FINANCIACION[[#This Row],[$ CAPITAL]]+FINANCIACION[[#This Row],[$ INTERESES]],"")</f>
        <v>1300000</v>
      </c>
      <c r="F794" s="169">
        <f>+SUMIFS(FINANCIACION[$ CAPITAL],FINANCIACION[Fecha],"&lt;="&amp;FINANCIACION[[#This Row],[Fecha]],FINANCIACION[PRESTAMO],FINANCIACION[[#This Row],[PRESTAMO]])</f>
        <v>-54286659.180677854</v>
      </c>
      <c r="G794" s="56"/>
      <c r="H794" s="8"/>
      <c r="I794" s="5">
        <f>IF(FINANCIACION[[#This Row],[$ CAPITAL]]&gt;0,FINANCIACION[[#This Row],[$ CAPITAL]])</f>
        <v>749637</v>
      </c>
      <c r="J794" s="36">
        <f>IF(FINANCIACION[[#This Row],[$ CAPITAL]]&gt;=0,FINANCIACION[[#This Row],[$ CAPITAL]]+FINANCIACION[[#This Row],[$ INTERESES]],0)</f>
        <v>1300000</v>
      </c>
    </row>
    <row r="795" spans="1:10" ht="24" hidden="1" customHeight="1" x14ac:dyDescent="0.25">
      <c r="A795" s="7">
        <v>44510</v>
      </c>
      <c r="B795" s="53" t="s">
        <v>1216</v>
      </c>
      <c r="C795" s="5">
        <v>391508.45999999996</v>
      </c>
      <c r="D795" s="5">
        <v>608491.54</v>
      </c>
      <c r="E795" s="169">
        <f>+IF(FINANCIACION[[#This Row],[$ CAPITAL]]&gt;=0,FINANCIACION[[#This Row],[$ CAPITAL]]+FINANCIACION[[#This Row],[$ INTERESES]],"")</f>
        <v>1000000</v>
      </c>
      <c r="F795" s="169">
        <f>+SUMIFS(FINANCIACION[$ CAPITAL],FINANCIACION[Fecha],"&lt;="&amp;FINANCIACION[[#This Row],[Fecha]],FINANCIACION[PRESTAMO],FINANCIACION[[#This Row],[PRESTAMO]])</f>
        <v>-70968073.707373023</v>
      </c>
      <c r="G795" s="56"/>
      <c r="H795" s="8"/>
      <c r="I795" s="5">
        <f>IF(FINANCIACION[[#This Row],[$ CAPITAL]]&gt;0,FINANCIACION[[#This Row],[$ CAPITAL]])</f>
        <v>391508.45999999996</v>
      </c>
      <c r="J795" s="36">
        <f>IF(FINANCIACION[[#This Row],[$ CAPITAL]]&gt;=0,FINANCIACION[[#This Row],[$ CAPITAL]]+FINANCIACION[[#This Row],[$ INTERESES]],0)</f>
        <v>1000000</v>
      </c>
    </row>
    <row r="796" spans="1:10" ht="24" hidden="1" customHeight="1" x14ac:dyDescent="0.25">
      <c r="A796" s="7">
        <v>44510</v>
      </c>
      <c r="B796" s="53" t="s">
        <v>1228</v>
      </c>
      <c r="C796" s="5"/>
      <c r="D796" s="5">
        <v>120000</v>
      </c>
      <c r="E796" s="169">
        <f>+IF(FINANCIACION[[#This Row],[$ CAPITAL]]&gt;=0,FINANCIACION[[#This Row],[$ CAPITAL]]+FINANCIACION[[#This Row],[$ INTERESES]],"")</f>
        <v>120000</v>
      </c>
      <c r="F796" s="169">
        <f>+SUMIFS(FINANCIACION[$ CAPITAL],FINANCIACION[Fecha],"&lt;="&amp;FINANCIACION[[#This Row],[Fecha]],FINANCIACION[PRESTAMO],FINANCIACION[[#This Row],[PRESTAMO]])</f>
        <v>-12000000</v>
      </c>
      <c r="G796" s="56"/>
      <c r="H796" s="8"/>
      <c r="I796" s="5" t="b">
        <f>IF(FINANCIACION[[#This Row],[$ CAPITAL]]&gt;0,FINANCIACION[[#This Row],[$ CAPITAL]])</f>
        <v>0</v>
      </c>
      <c r="J796" s="36">
        <f>IF(FINANCIACION[[#This Row],[$ CAPITAL]]&gt;=0,FINANCIACION[[#This Row],[$ CAPITAL]]+FINANCIACION[[#This Row],[$ INTERESES]],0)</f>
        <v>120000</v>
      </c>
    </row>
    <row r="797" spans="1:10" ht="24" hidden="1" customHeight="1" x14ac:dyDescent="0.25">
      <c r="A797" s="7">
        <v>44510</v>
      </c>
      <c r="B797" s="53" t="s">
        <v>202</v>
      </c>
      <c r="C797" s="55">
        <v>2713802</v>
      </c>
      <c r="D797" s="5"/>
      <c r="E797" s="169">
        <f>+IF(FINANCIACION[[#This Row],[$ CAPITAL]]&gt;=0,FINANCIACION[[#This Row],[$ CAPITAL]]+FINANCIACION[[#This Row],[$ INTERESES]],"")</f>
        <v>2713802</v>
      </c>
      <c r="F797" s="169">
        <f>+SUMIFS(FINANCIACION[$ CAPITAL],FINANCIACION[Fecha],"&lt;="&amp;FINANCIACION[[#This Row],[Fecha]],FINANCIACION[PRESTAMO],FINANCIACION[[#This Row],[PRESTAMO]])</f>
        <v>4604601</v>
      </c>
      <c r="G797" s="56"/>
      <c r="H797" s="8"/>
      <c r="I797" s="5">
        <f>IF(FINANCIACION[[#This Row],[$ CAPITAL]]&gt;0,FINANCIACION[[#This Row],[$ CAPITAL]])</f>
        <v>2713802</v>
      </c>
      <c r="J797" s="36">
        <f>IF(FINANCIACION[[#This Row],[$ CAPITAL]]&gt;=0,FINANCIACION[[#This Row],[$ CAPITAL]]+FINANCIACION[[#This Row],[$ INTERESES]],0)</f>
        <v>2713802</v>
      </c>
    </row>
    <row r="798" spans="1:10" ht="24" customHeight="1" x14ac:dyDescent="0.25">
      <c r="A798" s="7">
        <v>44516</v>
      </c>
      <c r="B798" s="53" t="s">
        <v>200</v>
      </c>
      <c r="C798" s="5"/>
      <c r="D798" s="5">
        <v>241004.17</v>
      </c>
      <c r="E798" s="169">
        <f>+IF(FINANCIACION[[#This Row],[$ CAPITAL]]&gt;=0,FINANCIACION[[#This Row],[$ CAPITAL]]+FINANCIACION[[#This Row],[$ INTERESES]],"")</f>
        <v>241004.17</v>
      </c>
      <c r="F798" s="169">
        <f>+SUMIFS(FINANCIACION[$ CAPITAL],FINANCIACION[Fecha],"&lt;="&amp;FINANCIACION[[#This Row],[Fecha]],FINANCIACION[PRESTAMO],FINANCIACION[[#This Row],[PRESTAMO]])</f>
        <v>-35000000</v>
      </c>
      <c r="G798" s="56"/>
      <c r="H798" s="8"/>
      <c r="I798" s="5" t="b">
        <f>IF(FINANCIACION[[#This Row],[$ CAPITAL]]&gt;0,FINANCIACION[[#This Row],[$ CAPITAL]])</f>
        <v>0</v>
      </c>
      <c r="J798" s="36">
        <f>IF(FINANCIACION[[#This Row],[$ CAPITAL]]&gt;=0,FINANCIACION[[#This Row],[$ CAPITAL]]+FINANCIACION[[#This Row],[$ INTERESES]],0)</f>
        <v>241004.17</v>
      </c>
    </row>
    <row r="799" spans="1:10" ht="24" hidden="1" customHeight="1" x14ac:dyDescent="0.25">
      <c r="A799" s="7">
        <v>44518</v>
      </c>
      <c r="B799" s="53" t="s">
        <v>1217</v>
      </c>
      <c r="C799" s="5">
        <v>5143385</v>
      </c>
      <c r="D799" s="5">
        <v>835554</v>
      </c>
      <c r="E799" s="169">
        <f>+IF(FINANCIACION[[#This Row],[$ CAPITAL]]&gt;=0,FINANCIACION[[#This Row],[$ CAPITAL]]+FINANCIACION[[#This Row],[$ INTERESES]],"")</f>
        <v>5978939</v>
      </c>
      <c r="F799" s="169">
        <f>+SUMIFS(FINANCIACION[$ CAPITAL],FINANCIACION[Fecha],"&lt;="&amp;FINANCIACION[[#This Row],[Fecha]],FINANCIACION[PRESTAMO],FINANCIACION[[#This Row],[PRESTAMO]])</f>
        <v>-323115759</v>
      </c>
      <c r="G799" s="56"/>
      <c r="H799" s="8"/>
      <c r="I799" s="5">
        <f>IF(FINANCIACION[[#This Row],[$ CAPITAL]]&gt;0,FINANCIACION[[#This Row],[$ CAPITAL]])</f>
        <v>5143385</v>
      </c>
      <c r="J799" s="36">
        <f>IF(FINANCIACION[[#This Row],[$ CAPITAL]]&gt;=0,FINANCIACION[[#This Row],[$ CAPITAL]]+FINANCIACION[[#This Row],[$ INTERESES]],0)</f>
        <v>5978939</v>
      </c>
    </row>
    <row r="800" spans="1:10" ht="24" hidden="1" customHeight="1" x14ac:dyDescent="0.25">
      <c r="A800" s="7">
        <v>44522</v>
      </c>
      <c r="B800" s="53" t="s">
        <v>1183</v>
      </c>
      <c r="C800" s="5">
        <v>-4500000</v>
      </c>
      <c r="D800" s="5"/>
      <c r="E800" s="169" t="str">
        <f>+IF(FINANCIACION[[#This Row],[$ CAPITAL]]&gt;=0,FINANCIACION[[#This Row],[$ CAPITAL]]+FINANCIACION[[#This Row],[$ INTERESES]],"")</f>
        <v/>
      </c>
      <c r="F800" s="169">
        <f>+SUMIFS(FINANCIACION[$ CAPITAL],FINANCIACION[Fecha],"&lt;="&amp;FINANCIACION[[#This Row],[Fecha]],FINANCIACION[PRESTAMO],FINANCIACION[[#This Row],[PRESTAMO]])</f>
        <v>-4500000</v>
      </c>
      <c r="G800" s="56" t="s">
        <v>625</v>
      </c>
      <c r="H800" s="8"/>
      <c r="I800" s="5" t="b">
        <f>IF(FINANCIACION[[#This Row],[$ CAPITAL]]&gt;0,FINANCIACION[[#This Row],[$ CAPITAL]])</f>
        <v>0</v>
      </c>
      <c r="J800" s="36">
        <f>IF(FINANCIACION[[#This Row],[$ CAPITAL]]&gt;=0,FINANCIACION[[#This Row],[$ CAPITAL]]+FINANCIACION[[#This Row],[$ INTERESES]],0)</f>
        <v>0</v>
      </c>
    </row>
    <row r="801" spans="1:10" ht="24" hidden="1" customHeight="1" x14ac:dyDescent="0.25">
      <c r="A801" s="7">
        <v>44523</v>
      </c>
      <c r="B801" s="53" t="s">
        <v>1218</v>
      </c>
      <c r="C801" s="5">
        <v>1423624.1700000018</v>
      </c>
      <c r="D801" s="5">
        <v>49375.829999998212</v>
      </c>
      <c r="E801" s="169">
        <f>+IF(FINANCIACION[[#This Row],[$ CAPITAL]]&gt;=0,FINANCIACION[[#This Row],[$ CAPITAL]]+FINANCIACION[[#This Row],[$ INTERESES]],"")</f>
        <v>1473000</v>
      </c>
      <c r="F801" s="169">
        <f>+SUMIFS(FINANCIACION[$ CAPITAL],FINANCIACION[Fecha],"&lt;="&amp;FINANCIACION[[#This Row],[Fecha]],FINANCIACION[PRESTAMO],FINANCIACION[[#This Row],[PRESTAMO]])</f>
        <v>-21258869.339999985</v>
      </c>
      <c r="G801" s="56"/>
      <c r="H801" s="8"/>
      <c r="I801" s="5">
        <f>IF(FINANCIACION[[#This Row],[$ CAPITAL]]&gt;0,FINANCIACION[[#This Row],[$ CAPITAL]])</f>
        <v>1423624.1700000018</v>
      </c>
      <c r="J801" s="36">
        <f>IF(FINANCIACION[[#This Row],[$ CAPITAL]]&gt;=0,FINANCIACION[[#This Row],[$ CAPITAL]]+FINANCIACION[[#This Row],[$ INTERESES]],0)</f>
        <v>1473000</v>
      </c>
    </row>
    <row r="802" spans="1:10" ht="24" hidden="1" customHeight="1" x14ac:dyDescent="0.25">
      <c r="A802" s="7">
        <v>44523</v>
      </c>
      <c r="B802" s="53" t="s">
        <v>1229</v>
      </c>
      <c r="C802" s="5">
        <v>1179959.2800000012</v>
      </c>
      <c r="D802" s="5">
        <v>41040.719999998808</v>
      </c>
      <c r="E802" s="169">
        <f>+IF(FINANCIACION[[#This Row],[$ CAPITAL]]&gt;=0,FINANCIACION[[#This Row],[$ CAPITAL]]+FINANCIACION[[#This Row],[$ INTERESES]],"")</f>
        <v>1221000</v>
      </c>
      <c r="F802" s="169">
        <f>+SUMIFS(FINANCIACION[$ CAPITAL],FINANCIACION[Fecha],"&lt;="&amp;FINANCIACION[[#This Row],[Fecha]],FINANCIACION[PRESTAMO],FINANCIACION[[#This Row],[PRESTAMO]])</f>
        <v>-18880535.100000001</v>
      </c>
      <c r="G802" s="56"/>
      <c r="H802" s="8"/>
      <c r="I802" s="5">
        <f>IF(FINANCIACION[[#This Row],[$ CAPITAL]]&gt;0,FINANCIACION[[#This Row],[$ CAPITAL]])</f>
        <v>1179959.2800000012</v>
      </c>
      <c r="J802" s="36">
        <f>IF(FINANCIACION[[#This Row],[$ CAPITAL]]&gt;=0,FINANCIACION[[#This Row],[$ CAPITAL]]+FINANCIACION[[#This Row],[$ INTERESES]],0)</f>
        <v>1221000</v>
      </c>
    </row>
    <row r="803" spans="1:10" ht="24" hidden="1" customHeight="1" x14ac:dyDescent="0.25">
      <c r="A803" s="7">
        <v>44523</v>
      </c>
      <c r="B803" s="53" t="s">
        <v>1221</v>
      </c>
      <c r="C803" s="5">
        <v>2390422.3299999982</v>
      </c>
      <c r="D803" s="5">
        <v>87577.670000001788</v>
      </c>
      <c r="E803" s="169">
        <f>+IF(FINANCIACION[[#This Row],[$ CAPITAL]]&gt;=0,FINANCIACION[[#This Row],[$ CAPITAL]]+FINANCIACION[[#This Row],[$ INTERESES]],"")</f>
        <v>2478000</v>
      </c>
      <c r="F803" s="169">
        <f>+SUMIFS(FINANCIACION[$ CAPITAL],FINANCIACION[Fecha],"&lt;="&amp;FINANCIACION[[#This Row],[Fecha]],FINANCIACION[PRESTAMO],FINANCIACION[[#This Row],[PRESTAMO]])</f>
        <v>-40306835</v>
      </c>
      <c r="G803" s="56"/>
      <c r="H803" s="8"/>
      <c r="I803" s="5">
        <f>IF(FINANCIACION[[#This Row],[$ CAPITAL]]&gt;0,FINANCIACION[[#This Row],[$ CAPITAL]])</f>
        <v>2390422.3299999982</v>
      </c>
      <c r="J803" s="36">
        <f>IF(FINANCIACION[[#This Row],[$ CAPITAL]]&gt;=0,FINANCIACION[[#This Row],[$ CAPITAL]]+FINANCIACION[[#This Row],[$ INTERESES]],0)</f>
        <v>2478000</v>
      </c>
    </row>
    <row r="804" spans="1:10" ht="24" hidden="1" customHeight="1" x14ac:dyDescent="0.25">
      <c r="A804" s="7">
        <v>44523</v>
      </c>
      <c r="B804" s="53" t="s">
        <v>1222</v>
      </c>
      <c r="C804" s="5">
        <v>3505028.4600000009</v>
      </c>
      <c r="D804" s="5">
        <v>140971.53999999911</v>
      </c>
      <c r="E804" s="169">
        <f>+IF(FINANCIACION[[#This Row],[$ CAPITAL]]&gt;=0,FINANCIACION[[#This Row],[$ CAPITAL]]+FINANCIACION[[#This Row],[$ INTERESES]],"")</f>
        <v>3646000</v>
      </c>
      <c r="F804" s="169">
        <f>+SUMIFS(FINANCIACION[$ CAPITAL],FINANCIACION[Fecha],"&lt;="&amp;FINANCIACION[[#This Row],[Fecha]],FINANCIACION[PRESTAMO],FINANCIACION[[#This Row],[PRESTAMO]])</f>
        <v>-58266664.57</v>
      </c>
      <c r="G804" s="56"/>
      <c r="H804" s="8"/>
      <c r="I804" s="5">
        <f>IF(FINANCIACION[[#This Row],[$ CAPITAL]]&gt;0,FINANCIACION[[#This Row],[$ CAPITAL]])</f>
        <v>3505028.4600000009</v>
      </c>
      <c r="J804" s="36">
        <f>IF(FINANCIACION[[#This Row],[$ CAPITAL]]&gt;=0,FINANCIACION[[#This Row],[$ CAPITAL]]+FINANCIACION[[#This Row],[$ INTERESES]],0)</f>
        <v>3646000</v>
      </c>
    </row>
    <row r="805" spans="1:10" ht="24" hidden="1" customHeight="1" x14ac:dyDescent="0.25">
      <c r="A805" s="7">
        <v>44523</v>
      </c>
      <c r="B805" s="53" t="s">
        <v>1223</v>
      </c>
      <c r="C805" s="5">
        <v>943294.1799999997</v>
      </c>
      <c r="D805" s="5">
        <v>37705.820000000298</v>
      </c>
      <c r="E805" s="169">
        <f>+IF(FINANCIACION[[#This Row],[$ CAPITAL]]&gt;=0,FINANCIACION[[#This Row],[$ CAPITAL]]+FINANCIACION[[#This Row],[$ INTERESES]],"")</f>
        <v>981000</v>
      </c>
      <c r="F805" s="169">
        <f>+SUMIFS(FINANCIACION[$ CAPITAL],FINANCIACION[Fecha],"&lt;="&amp;FINANCIACION[[#This Row],[Fecha]],FINANCIACION[PRESTAMO],FINANCIACION[[#This Row],[PRESTAMO]])</f>
        <v>-16565250.450000007</v>
      </c>
      <c r="G805" s="56"/>
      <c r="H805" s="8"/>
      <c r="I805" s="5">
        <f>IF(FINANCIACION[[#This Row],[$ CAPITAL]]&gt;0,FINANCIACION[[#This Row],[$ CAPITAL]])</f>
        <v>943294.1799999997</v>
      </c>
      <c r="J805" s="36">
        <f>IF(FINANCIACION[[#This Row],[$ CAPITAL]]&gt;=0,FINANCIACION[[#This Row],[$ CAPITAL]]+FINANCIACION[[#This Row],[$ INTERESES]],0)</f>
        <v>981000</v>
      </c>
    </row>
    <row r="806" spans="1:10" ht="24" hidden="1" customHeight="1" x14ac:dyDescent="0.25">
      <c r="A806" s="7">
        <v>44523</v>
      </c>
      <c r="B806" s="53" t="s">
        <v>1225</v>
      </c>
      <c r="C806" s="5">
        <v>992530.51999999955</v>
      </c>
      <c r="D806" s="5">
        <v>41469.480000000447</v>
      </c>
      <c r="E806" s="169">
        <f>+IF(FINANCIACION[[#This Row],[$ CAPITAL]]&gt;=0,FINANCIACION[[#This Row],[$ CAPITAL]]+FINANCIACION[[#This Row],[$ INTERESES]],"")</f>
        <v>1034000</v>
      </c>
      <c r="F806" s="169">
        <f>+SUMIFS(FINANCIACION[$ CAPITAL],FINANCIACION[Fecha],"&lt;="&amp;FINANCIACION[[#This Row],[Fecha]],FINANCIACION[PRESTAMO],FINANCIACION[[#This Row],[PRESTAMO]])</f>
        <v>-18250128.500000004</v>
      </c>
      <c r="G806" s="56"/>
      <c r="H806" s="8"/>
      <c r="I806" s="5">
        <f>IF(FINANCIACION[[#This Row],[$ CAPITAL]]&gt;0,FINANCIACION[[#This Row],[$ CAPITAL]])</f>
        <v>992530.51999999955</v>
      </c>
      <c r="J806" s="36">
        <f>IF(FINANCIACION[[#This Row],[$ CAPITAL]]&gt;=0,FINANCIACION[[#This Row],[$ CAPITAL]]+FINANCIACION[[#This Row],[$ INTERESES]],0)</f>
        <v>1034000</v>
      </c>
    </row>
    <row r="807" spans="1:10" ht="24" hidden="1" customHeight="1" x14ac:dyDescent="0.25">
      <c r="A807" s="7">
        <v>44525</v>
      </c>
      <c r="B807" s="53" t="s">
        <v>1231</v>
      </c>
      <c r="C807" s="5">
        <v>-80206729.879999995</v>
      </c>
      <c r="D807" s="5">
        <v>6148159.1900000004</v>
      </c>
      <c r="E807" s="169" t="str">
        <f>+IF(FINANCIACION[[#This Row],[$ CAPITAL]]&gt;=0,FINANCIACION[[#This Row],[$ CAPITAL]]+FINANCIACION[[#This Row],[$ INTERESES]],"")</f>
        <v/>
      </c>
      <c r="F807" s="169">
        <f>+SUMIFS(FINANCIACION[$ CAPITAL],FINANCIACION[Fecha],"&lt;="&amp;FINANCIACION[[#This Row],[Fecha]],FINANCIACION[PRESTAMO],FINANCIACION[[#This Row],[PRESTAMO]])</f>
        <v>-80206729.879999995</v>
      </c>
      <c r="G807" s="56" t="s">
        <v>629</v>
      </c>
      <c r="H807" s="8"/>
      <c r="I807" s="5" t="b">
        <f>IF(FINANCIACION[[#This Row],[$ CAPITAL]]&gt;0,FINANCIACION[[#This Row],[$ CAPITAL]])</f>
        <v>0</v>
      </c>
      <c r="J807" s="36">
        <f>IF(FINANCIACION[[#This Row],[$ CAPITAL]]&gt;=0,FINANCIACION[[#This Row],[$ CAPITAL]]+FINANCIACION[[#This Row],[$ INTERESES]],0)</f>
        <v>0</v>
      </c>
    </row>
    <row r="808" spans="1:10" ht="24" hidden="1" customHeight="1" x14ac:dyDescent="0.25">
      <c r="A808" s="7">
        <v>44525</v>
      </c>
      <c r="B808" s="53" t="s">
        <v>202</v>
      </c>
      <c r="C808" s="5">
        <v>9244400</v>
      </c>
      <c r="D808" s="5"/>
      <c r="E808" s="169">
        <f>+IF(FINANCIACION[[#This Row],[$ CAPITAL]]&gt;=0,FINANCIACION[[#This Row],[$ CAPITAL]]+FINANCIACION[[#This Row],[$ INTERESES]],"")</f>
        <v>9244400</v>
      </c>
      <c r="F808" s="169">
        <f>+SUMIFS(FINANCIACION[$ CAPITAL],FINANCIACION[Fecha],"&lt;="&amp;FINANCIACION[[#This Row],[Fecha]],FINANCIACION[PRESTAMO],FINANCIACION[[#This Row],[PRESTAMO]])</f>
        <v>13849001</v>
      </c>
      <c r="G808" s="56"/>
      <c r="H808" s="8"/>
      <c r="I808" s="5">
        <f>IF(FINANCIACION[[#This Row],[$ CAPITAL]]&gt;0,FINANCIACION[[#This Row],[$ CAPITAL]])</f>
        <v>9244400</v>
      </c>
      <c r="J808" s="36">
        <f>IF(FINANCIACION[[#This Row],[$ CAPITAL]]&gt;=0,FINANCIACION[[#This Row],[$ CAPITAL]]+FINANCIACION[[#This Row],[$ INTERESES]],0)</f>
        <v>9244400</v>
      </c>
    </row>
    <row r="809" spans="1:10" ht="24" hidden="1" customHeight="1" x14ac:dyDescent="0.25">
      <c r="A809" s="7">
        <v>44530</v>
      </c>
      <c r="B809" s="53" t="s">
        <v>193</v>
      </c>
      <c r="C809" s="5">
        <v>1468400</v>
      </c>
      <c r="D809" s="5">
        <v>419971</v>
      </c>
      <c r="E809" s="169">
        <f>+IF(FINANCIACION[[#This Row],[$ CAPITAL]]&gt;=0,FINANCIACION[[#This Row],[$ CAPITAL]]+FINANCIACION[[#This Row],[$ INTERESES]],"")</f>
        <v>1888371</v>
      </c>
      <c r="F809" s="169">
        <f>+SUMIFS(FINANCIACION[$ CAPITAL],FINANCIACION[Fecha],"&lt;="&amp;FINANCIACION[[#This Row],[Fecha]],FINANCIACION[PRESTAMO],FINANCIACION[[#This Row],[PRESTAMO]])</f>
        <v>-41115200</v>
      </c>
      <c r="G809" s="56"/>
      <c r="H809" s="8"/>
      <c r="I809" s="5">
        <f>IF(FINANCIACION[[#This Row],[$ CAPITAL]]&gt;0,FINANCIACION[[#This Row],[$ CAPITAL]])</f>
        <v>1468400</v>
      </c>
      <c r="J809" s="36">
        <f>IF(FINANCIACION[[#This Row],[$ CAPITAL]]&gt;=0,FINANCIACION[[#This Row],[$ CAPITAL]]+FINANCIACION[[#This Row],[$ INTERESES]],0)</f>
        <v>1888371</v>
      </c>
    </row>
    <row r="810" spans="1:10" ht="24" hidden="1" customHeight="1" x14ac:dyDescent="0.25">
      <c r="A810" s="7">
        <v>44530</v>
      </c>
      <c r="B810" s="53" t="s">
        <v>194</v>
      </c>
      <c r="C810" s="5">
        <v>76791</v>
      </c>
      <c r="D810" s="5"/>
      <c r="E810" s="169">
        <f>+IF(FINANCIACION[[#This Row],[$ CAPITAL]]&gt;=0,FINANCIACION[[#This Row],[$ CAPITAL]]+FINANCIACION[[#This Row],[$ INTERESES]],"")</f>
        <v>76791</v>
      </c>
      <c r="F810" s="169">
        <f>+SUMIFS(FINANCIACION[$ CAPITAL],FINANCIACION[Fecha],"&lt;="&amp;FINANCIACION[[#This Row],[Fecha]],FINANCIACION[PRESTAMO],FINANCIACION[[#This Row],[PRESTAMO]])</f>
        <v>-2150148</v>
      </c>
      <c r="G810" s="56"/>
      <c r="H810" s="8"/>
      <c r="I810" s="5">
        <f>IF(FINANCIACION[[#This Row],[$ CAPITAL]]&gt;0,FINANCIACION[[#This Row],[$ CAPITAL]])</f>
        <v>76791</v>
      </c>
      <c r="J810" s="36">
        <f>IF(FINANCIACION[[#This Row],[$ CAPITAL]]&gt;=0,FINANCIACION[[#This Row],[$ CAPITAL]]+FINANCIACION[[#This Row],[$ INTERESES]],0)</f>
        <v>76791</v>
      </c>
    </row>
    <row r="811" spans="1:10" ht="24" hidden="1" customHeight="1" x14ac:dyDescent="0.25">
      <c r="A811" s="7">
        <v>44530</v>
      </c>
      <c r="B811" s="53" t="s">
        <v>196</v>
      </c>
      <c r="C811" s="5">
        <v>-1637071.6799999997</v>
      </c>
      <c r="D811" s="5"/>
      <c r="E811" s="169" t="str">
        <f>+IF(FINANCIACION[[#This Row],[$ CAPITAL]]&gt;=0,FINANCIACION[[#This Row],[$ CAPITAL]]+FINANCIACION[[#This Row],[$ INTERESES]],"")</f>
        <v/>
      </c>
      <c r="F811" s="169">
        <f>+SUMIFS(FINANCIACION[$ CAPITAL],FINANCIACION[Fecha],"&lt;="&amp;FINANCIACION[[#This Row],[Fecha]],FINANCIACION[PRESTAMO],FINANCIACION[[#This Row],[PRESTAMO]])</f>
        <v>-67273414.350000009</v>
      </c>
      <c r="G811" s="56"/>
      <c r="H811" s="8"/>
      <c r="I811" s="5" t="b">
        <f>IF(FINANCIACION[[#This Row],[$ CAPITAL]]&gt;0,FINANCIACION[[#This Row],[$ CAPITAL]])</f>
        <v>0</v>
      </c>
      <c r="J811" s="36">
        <f>IF(FINANCIACION[[#This Row],[$ CAPITAL]]&gt;=0,FINANCIACION[[#This Row],[$ CAPITAL]]+FINANCIACION[[#This Row],[$ INTERESES]],0)</f>
        <v>0</v>
      </c>
    </row>
    <row r="812" spans="1:10" ht="24" hidden="1" customHeight="1" x14ac:dyDescent="0.25">
      <c r="A812" s="7">
        <v>44530</v>
      </c>
      <c r="B812" s="53" t="s">
        <v>294</v>
      </c>
      <c r="C812" s="5">
        <v>-1438457.2800000012</v>
      </c>
      <c r="D812" s="5"/>
      <c r="E812" s="169" t="str">
        <f>+IF(FINANCIACION[[#This Row],[$ CAPITAL]]&gt;=0,FINANCIACION[[#This Row],[$ CAPITAL]]+FINANCIACION[[#This Row],[$ INTERESES]],"")</f>
        <v/>
      </c>
      <c r="F812" s="169">
        <f>+SUMIFS(FINANCIACION[$ CAPITAL],FINANCIACION[Fecha],"&lt;="&amp;FINANCIACION[[#This Row],[Fecha]],FINANCIACION[PRESTAMO],FINANCIACION[[#This Row],[PRESTAMO]])</f>
        <v>-59111603.850000001</v>
      </c>
      <c r="G812" s="56"/>
      <c r="H812" s="8"/>
      <c r="I812" s="5" t="b">
        <f>IF(FINANCIACION[[#This Row],[$ CAPITAL]]&gt;0,FINANCIACION[[#This Row],[$ CAPITAL]])</f>
        <v>0</v>
      </c>
      <c r="J812" s="36">
        <f>IF(FINANCIACION[[#This Row],[$ CAPITAL]]&gt;=0,FINANCIACION[[#This Row],[$ CAPITAL]]+FINANCIACION[[#This Row],[$ INTERESES]],0)</f>
        <v>0</v>
      </c>
    </row>
    <row r="813" spans="1:10" ht="24" hidden="1" customHeight="1" x14ac:dyDescent="0.25">
      <c r="A813" s="7">
        <v>44530</v>
      </c>
      <c r="B813" s="53" t="s">
        <v>418</v>
      </c>
      <c r="C813" s="5">
        <v>-568994.87999999896</v>
      </c>
      <c r="D813" s="5"/>
      <c r="E813" s="169" t="str">
        <f>+IF(FINANCIACION[[#This Row],[$ CAPITAL]]&gt;=0,FINANCIACION[[#This Row],[$ CAPITAL]]+FINANCIACION[[#This Row],[$ INTERESES]],"")</f>
        <v/>
      </c>
      <c r="F813" s="169">
        <f>+SUMIFS(FINANCIACION[$ CAPITAL],FINANCIACION[Fecha],"&lt;="&amp;FINANCIACION[[#This Row],[Fecha]],FINANCIACION[PRESTAMO],FINANCIACION[[#This Row],[PRESTAMO]])</f>
        <v>-23382133.349999998</v>
      </c>
      <c r="G813" s="56"/>
      <c r="H813" s="8"/>
      <c r="I813" s="5" t="b">
        <f>IF(FINANCIACION[[#This Row],[$ CAPITAL]]&gt;0,FINANCIACION[[#This Row],[$ CAPITAL]])</f>
        <v>0</v>
      </c>
      <c r="J813" s="36">
        <f>IF(FINANCIACION[[#This Row],[$ CAPITAL]]&gt;=0,FINANCIACION[[#This Row],[$ CAPITAL]]+FINANCIACION[[#This Row],[$ INTERESES]],0)</f>
        <v>0</v>
      </c>
    </row>
    <row r="814" spans="1:10" ht="24" hidden="1" customHeight="1" x14ac:dyDescent="0.25">
      <c r="A814" s="7">
        <v>44530</v>
      </c>
      <c r="B814" s="53" t="s">
        <v>540</v>
      </c>
      <c r="C814" s="5">
        <v>-1314018.2400000021</v>
      </c>
      <c r="D814" s="5"/>
      <c r="E814" s="169" t="str">
        <f>+IF(FINANCIACION[[#This Row],[$ CAPITAL]]&gt;=0,FINANCIACION[[#This Row],[$ CAPITAL]]+FINANCIACION[[#This Row],[$ INTERESES]],"")</f>
        <v/>
      </c>
      <c r="F814" s="169">
        <f>+SUMIFS(FINANCIACION[$ CAPITAL],FINANCIACION[Fecha],"&lt;="&amp;FINANCIACION[[#This Row],[Fecha]],FINANCIACION[PRESTAMO],FINANCIACION[[#This Row],[PRESTAMO]])</f>
        <v>-53997937.050000004</v>
      </c>
      <c r="G814" s="56"/>
      <c r="H814" s="8"/>
      <c r="I814" s="5" t="b">
        <f>IF(FINANCIACION[[#This Row],[$ CAPITAL]]&gt;0,FINANCIACION[[#This Row],[$ CAPITAL]])</f>
        <v>0</v>
      </c>
      <c r="J814" s="36">
        <f>IF(FINANCIACION[[#This Row],[$ CAPITAL]]&gt;=0,FINANCIACION[[#This Row],[$ CAPITAL]]+FINANCIACION[[#This Row],[$ INTERESES]],0)</f>
        <v>0</v>
      </c>
    </row>
    <row r="815" spans="1:10" ht="24" hidden="1" customHeight="1" x14ac:dyDescent="0.25">
      <c r="A815" s="7">
        <v>44530</v>
      </c>
      <c r="B815" s="53" t="s">
        <v>197</v>
      </c>
      <c r="C815" s="5">
        <v>-41304.550000000745</v>
      </c>
      <c r="D815" s="5"/>
      <c r="E815" s="169" t="str">
        <f>+IF(FINANCIACION[[#This Row],[$ CAPITAL]]&gt;=0,FINANCIACION[[#This Row],[$ CAPITAL]]+FINANCIACION[[#This Row],[$ INTERESES]],"")</f>
        <v/>
      </c>
      <c r="F815" s="169">
        <f>+SUMIFS(FINANCIACION[$ CAPITAL],FINANCIACION[Fecha],"&lt;="&amp;FINANCIACION[[#This Row],[Fecha]],FINANCIACION[PRESTAMO],FINANCIACION[[#This Row],[PRESTAMO]])</f>
        <v>-22409126</v>
      </c>
      <c r="G815" s="56" t="s">
        <v>231</v>
      </c>
      <c r="H815" s="8"/>
      <c r="I815" s="5" t="b">
        <f>IF(FINANCIACION[[#This Row],[$ CAPITAL]]&gt;0,FINANCIACION[[#This Row],[$ CAPITAL]])</f>
        <v>0</v>
      </c>
      <c r="J815" s="36">
        <f>IF(FINANCIACION[[#This Row],[$ CAPITAL]]&gt;=0,FINANCIACION[[#This Row],[$ CAPITAL]]+FINANCIACION[[#This Row],[$ INTERESES]],0)</f>
        <v>0</v>
      </c>
    </row>
    <row r="816" spans="1:10" ht="24" hidden="1" customHeight="1" x14ac:dyDescent="0.25">
      <c r="A816" s="7">
        <v>44530</v>
      </c>
      <c r="B816" s="53" t="s">
        <v>201</v>
      </c>
      <c r="C816" s="5">
        <v>568232</v>
      </c>
      <c r="D816" s="5"/>
      <c r="E816" s="169">
        <f>+IF(FINANCIACION[[#This Row],[$ CAPITAL]]&gt;=0,FINANCIACION[[#This Row],[$ CAPITAL]]+FINANCIACION[[#This Row],[$ INTERESES]],"")</f>
        <v>568232</v>
      </c>
      <c r="F816" s="169">
        <f>+SUMIFS(FINANCIACION[$ CAPITAL],FINANCIACION[Fecha],"&lt;="&amp;FINANCIACION[[#This Row],[Fecha]],FINANCIACION[PRESTAMO],FINANCIACION[[#This Row],[PRESTAMO]])</f>
        <v>0</v>
      </c>
      <c r="G816" s="8"/>
      <c r="H816" s="8"/>
      <c r="I816" s="5">
        <f>IF(FINANCIACION[[#This Row],[$ CAPITAL]]&gt;0,FINANCIACION[[#This Row],[$ CAPITAL]])</f>
        <v>568232</v>
      </c>
      <c r="J816" s="36">
        <f>IF(FINANCIACION[[#This Row],[$ CAPITAL]]&gt;=0,FINANCIACION[[#This Row],[$ CAPITAL]]+FINANCIACION[[#This Row],[$ INTERESES]],0)</f>
        <v>568232</v>
      </c>
    </row>
    <row r="817" spans="1:10" ht="24" hidden="1" customHeight="1" x14ac:dyDescent="0.25">
      <c r="A817" s="7">
        <v>44530</v>
      </c>
      <c r="B817" s="53" t="s">
        <v>201</v>
      </c>
      <c r="C817" s="5">
        <v>-568232</v>
      </c>
      <c r="D817" s="5"/>
      <c r="E817" s="169" t="str">
        <f>+IF(FINANCIACION[[#This Row],[$ CAPITAL]]&gt;=0,FINANCIACION[[#This Row],[$ CAPITAL]]+FINANCIACION[[#This Row],[$ INTERESES]],"")</f>
        <v/>
      </c>
      <c r="F817" s="169">
        <f>+SUMIFS(FINANCIACION[$ CAPITAL],FINANCIACION[Fecha],"&lt;="&amp;FINANCIACION[[#This Row],[Fecha]],FINANCIACION[PRESTAMO],FINANCIACION[[#This Row],[PRESTAMO]])</f>
        <v>0</v>
      </c>
      <c r="G817" s="56" t="s">
        <v>231</v>
      </c>
      <c r="H817" s="8"/>
      <c r="I817" s="5" t="b">
        <f>IF(FINANCIACION[[#This Row],[$ CAPITAL]]&gt;0,FINANCIACION[[#This Row],[$ CAPITAL]])</f>
        <v>0</v>
      </c>
      <c r="J817" s="36">
        <f>IF(FINANCIACION[[#This Row],[$ CAPITAL]]&gt;=0,FINANCIACION[[#This Row],[$ CAPITAL]]+FINANCIACION[[#This Row],[$ INTERESES]],0)</f>
        <v>0</v>
      </c>
    </row>
    <row r="818" spans="1:10" ht="24" hidden="1" customHeight="1" x14ac:dyDescent="0.25">
      <c r="A818" s="7">
        <v>44530</v>
      </c>
      <c r="B818" s="53" t="s">
        <v>202</v>
      </c>
      <c r="C818" s="5">
        <v>-42540986</v>
      </c>
      <c r="D818" s="5"/>
      <c r="E818" s="169" t="str">
        <f>+IF(FINANCIACION[[#This Row],[$ CAPITAL]]&gt;=0,FINANCIACION[[#This Row],[$ CAPITAL]]+FINANCIACION[[#This Row],[$ INTERESES]],"")</f>
        <v/>
      </c>
      <c r="F818" s="169">
        <f>+SUMIFS(FINANCIACION[$ CAPITAL],FINANCIACION[Fecha],"&lt;="&amp;FINANCIACION[[#This Row],[Fecha]],FINANCIACION[PRESTAMO],FINANCIACION[[#This Row],[PRESTAMO]])</f>
        <v>-28691985</v>
      </c>
      <c r="G818" s="56" t="s">
        <v>231</v>
      </c>
      <c r="H818" s="8"/>
      <c r="I818" s="5" t="b">
        <f>IF(FINANCIACION[[#This Row],[$ CAPITAL]]&gt;0,FINANCIACION[[#This Row],[$ CAPITAL]])</f>
        <v>0</v>
      </c>
      <c r="J818" s="36">
        <f>IF(FINANCIACION[[#This Row],[$ CAPITAL]]&gt;=0,FINANCIACION[[#This Row],[$ CAPITAL]]+FINANCIACION[[#This Row],[$ INTERESES]],0)</f>
        <v>0</v>
      </c>
    </row>
    <row r="819" spans="1:10" ht="24" hidden="1" customHeight="1" x14ac:dyDescent="0.25">
      <c r="A819" s="7">
        <v>44530</v>
      </c>
      <c r="B819" s="53" t="s">
        <v>203</v>
      </c>
      <c r="C819" s="5">
        <v>-454357</v>
      </c>
      <c r="D819" s="5"/>
      <c r="E819" s="169" t="str">
        <f>+IF(FINANCIACION[[#This Row],[$ CAPITAL]]&gt;=0,FINANCIACION[[#This Row],[$ CAPITAL]]+FINANCIACION[[#This Row],[$ INTERESES]],"")</f>
        <v/>
      </c>
      <c r="F819" s="169">
        <f>+SUMIFS(FINANCIACION[$ CAPITAL],FINANCIACION[Fecha],"&lt;="&amp;FINANCIACION[[#This Row],[Fecha]],FINANCIACION[PRESTAMO],FINANCIACION[[#This Row],[PRESTAMO]])</f>
        <v>-454357</v>
      </c>
      <c r="G819" s="56" t="s">
        <v>231</v>
      </c>
      <c r="H819" s="8"/>
      <c r="I819" s="5" t="b">
        <f>IF(FINANCIACION[[#This Row],[$ CAPITAL]]&gt;0,FINANCIACION[[#This Row],[$ CAPITAL]])</f>
        <v>0</v>
      </c>
      <c r="J819" s="36">
        <f>IF(FINANCIACION[[#This Row],[$ CAPITAL]]&gt;=0,FINANCIACION[[#This Row],[$ CAPITAL]]+FINANCIACION[[#This Row],[$ INTERESES]],0)</f>
        <v>0</v>
      </c>
    </row>
    <row r="820" spans="1:10" ht="24" hidden="1" customHeight="1" x14ac:dyDescent="0.25">
      <c r="A820" s="7">
        <v>44531</v>
      </c>
      <c r="B820" s="53" t="s">
        <v>1232</v>
      </c>
      <c r="C820" s="5">
        <v>-30000000</v>
      </c>
      <c r="D820" s="5"/>
      <c r="E820" s="169" t="str">
        <f>+IF(FINANCIACION[[#This Row],[$ CAPITAL]]&gt;=0,FINANCIACION[[#This Row],[$ CAPITAL]]+FINANCIACION[[#This Row],[$ INTERESES]],"")</f>
        <v/>
      </c>
      <c r="F820" s="169">
        <f>+SUMIFS(FINANCIACION[$ CAPITAL],FINANCIACION[Fecha],"&lt;="&amp;FINANCIACION[[#This Row],[Fecha]],FINANCIACION[PRESTAMO],FINANCIACION[[#This Row],[PRESTAMO]])</f>
        <v>-30000000</v>
      </c>
      <c r="G820" s="56"/>
      <c r="H820" s="8"/>
      <c r="I820" s="5" t="b">
        <f>IF(FINANCIACION[[#This Row],[$ CAPITAL]]&gt;0,FINANCIACION[[#This Row],[$ CAPITAL]])</f>
        <v>0</v>
      </c>
      <c r="J820" s="36">
        <f>IF(FINANCIACION[[#This Row],[$ CAPITAL]]&gt;=0,FINANCIACION[[#This Row],[$ CAPITAL]]+FINANCIACION[[#This Row],[$ INTERESES]],0)</f>
        <v>0</v>
      </c>
    </row>
    <row r="821" spans="1:10" ht="24" hidden="1" customHeight="1" x14ac:dyDescent="0.25">
      <c r="A821" s="7">
        <v>44531</v>
      </c>
      <c r="B821" s="53" t="s">
        <v>196</v>
      </c>
      <c r="C821" s="5">
        <v>30376000</v>
      </c>
      <c r="D821" s="5"/>
      <c r="E821" s="169">
        <f>+IF(FINANCIACION[[#This Row],[$ CAPITAL]]&gt;=0,FINANCIACION[[#This Row],[$ CAPITAL]]+FINANCIACION[[#This Row],[$ INTERESES]],"")</f>
        <v>30376000</v>
      </c>
      <c r="F821" s="169">
        <f>+SUMIFS(FINANCIACION[$ CAPITAL],FINANCIACION[Fecha],"&lt;="&amp;FINANCIACION[[#This Row],[Fecha]],FINANCIACION[PRESTAMO],FINANCIACION[[#This Row],[PRESTAMO]])</f>
        <v>-1637071.68</v>
      </c>
      <c r="G821" s="56"/>
      <c r="H821" s="8">
        <v>8000</v>
      </c>
      <c r="I821" s="5">
        <f>IF(FINANCIACION[[#This Row],[$ CAPITAL]]&gt;0,FINANCIACION[[#This Row],[$ CAPITAL]])</f>
        <v>30376000</v>
      </c>
      <c r="J821" s="36">
        <f>IF(FINANCIACION[[#This Row],[$ CAPITAL]]&gt;=0,FINANCIACION[[#This Row],[$ CAPITAL]]+FINANCIACION[[#This Row],[$ INTERESES]],0)</f>
        <v>30376000</v>
      </c>
    </row>
    <row r="822" spans="1:10" ht="24" hidden="1" customHeight="1" x14ac:dyDescent="0.25">
      <c r="A822" s="7">
        <v>44531</v>
      </c>
      <c r="B822" s="53" t="s">
        <v>196</v>
      </c>
      <c r="C822" s="5">
        <v>35817522</v>
      </c>
      <c r="D822" s="5"/>
      <c r="E822" s="169">
        <f>+IF(FINANCIACION[[#This Row],[$ CAPITAL]]&gt;=0,FINANCIACION[[#This Row],[$ CAPITAL]]+FINANCIACION[[#This Row],[$ INTERESES]],"")</f>
        <v>35817522</v>
      </c>
      <c r="F822" s="169">
        <f>+SUMIFS(FINANCIACION[$ CAPITAL],FINANCIACION[Fecha],"&lt;="&amp;FINANCIACION[[#This Row],[Fecha]],FINANCIACION[PRESTAMO],FINANCIACION[[#This Row],[PRESTAMO]])</f>
        <v>-1637071.68</v>
      </c>
      <c r="G822" s="56"/>
      <c r="H822" s="8">
        <v>9052.83</v>
      </c>
      <c r="I822" s="5">
        <f>IF(FINANCIACION[[#This Row],[$ CAPITAL]]&gt;0,FINANCIACION[[#This Row],[$ CAPITAL]])</f>
        <v>35817522</v>
      </c>
      <c r="J822" s="36">
        <f>IF(FINANCIACION[[#This Row],[$ CAPITAL]]&gt;=0,FINANCIACION[[#This Row],[$ CAPITAL]]+FINANCIACION[[#This Row],[$ INTERESES]],0)</f>
        <v>35817522</v>
      </c>
    </row>
    <row r="823" spans="1:10" ht="24" hidden="1" customHeight="1" x14ac:dyDescent="0.25">
      <c r="A823" s="7">
        <v>44531</v>
      </c>
      <c r="B823" s="53" t="s">
        <v>196</v>
      </c>
      <c r="C823" s="55">
        <v>-557179.32999999099</v>
      </c>
      <c r="D823" s="5"/>
      <c r="E823" s="169" t="str">
        <f>+IF(FINANCIACION[[#This Row],[$ CAPITAL]]&gt;=0,FINANCIACION[[#This Row],[$ CAPITAL]]+FINANCIACION[[#This Row],[$ INTERESES]],"")</f>
        <v/>
      </c>
      <c r="F823" s="169">
        <f>+SUMIFS(FINANCIACION[$ CAPITAL],FINANCIACION[Fecha],"&lt;="&amp;FINANCIACION[[#This Row],[Fecha]],FINANCIACION[PRESTAMO],FINANCIACION[[#This Row],[PRESTAMO]])</f>
        <v>-1637071.68</v>
      </c>
      <c r="G823" s="56" t="s">
        <v>231</v>
      </c>
      <c r="H823" s="8"/>
      <c r="I823" s="5" t="b">
        <f>IF(FINANCIACION[[#This Row],[$ CAPITAL]]&gt;0,FINANCIACION[[#This Row],[$ CAPITAL]])</f>
        <v>0</v>
      </c>
      <c r="J823" s="36">
        <f>IF(FINANCIACION[[#This Row],[$ CAPITAL]]&gt;=0,FINANCIACION[[#This Row],[$ CAPITAL]]+FINANCIACION[[#This Row],[$ INTERESES]],0)</f>
        <v>0</v>
      </c>
    </row>
    <row r="824" spans="1:10" ht="24" hidden="1" customHeight="1" x14ac:dyDescent="0.25">
      <c r="A824" s="7">
        <v>44536</v>
      </c>
      <c r="B824" s="53" t="s">
        <v>195</v>
      </c>
      <c r="C824" s="5"/>
      <c r="D824" s="5">
        <v>373314</v>
      </c>
      <c r="E824" s="169">
        <f>+IF(FINANCIACION[[#This Row],[$ CAPITAL]]&gt;=0,FINANCIACION[[#This Row],[$ CAPITAL]]+FINANCIACION[[#This Row],[$ INTERESES]],"")</f>
        <v>373314</v>
      </c>
      <c r="F824" s="169">
        <f>+SUMIFS(FINANCIACION[$ CAPITAL],FINANCIACION[Fecha],"&lt;="&amp;FINANCIACION[[#This Row],[Fecha]],FINANCIACION[PRESTAMO],FINANCIACION[[#This Row],[PRESTAMO]])</f>
        <v>0</v>
      </c>
      <c r="G824" s="56"/>
      <c r="H824" s="8"/>
      <c r="I824" s="5" t="b">
        <f>IF(FINANCIACION[[#This Row],[$ CAPITAL]]&gt;0,FINANCIACION[[#This Row],[$ CAPITAL]])</f>
        <v>0</v>
      </c>
      <c r="J824" s="36">
        <f>IF(FINANCIACION[[#This Row],[$ CAPITAL]]&gt;=0,FINANCIACION[[#This Row],[$ CAPITAL]]+FINANCIACION[[#This Row],[$ INTERESES]],0)</f>
        <v>373314</v>
      </c>
    </row>
    <row r="825" spans="1:10" ht="24" hidden="1" customHeight="1" x14ac:dyDescent="0.25">
      <c r="A825" s="7">
        <v>44536</v>
      </c>
      <c r="B825" s="53" t="s">
        <v>202</v>
      </c>
      <c r="C825" s="5">
        <v>11844990</v>
      </c>
      <c r="D825" s="5"/>
      <c r="E825" s="169">
        <f>+IF(FINANCIACION[[#This Row],[$ CAPITAL]]&gt;=0,FINANCIACION[[#This Row],[$ CAPITAL]]+FINANCIACION[[#This Row],[$ INTERESES]],"")</f>
        <v>11844990</v>
      </c>
      <c r="F825" s="169">
        <f>+SUMIFS(FINANCIACION[$ CAPITAL],FINANCIACION[Fecha],"&lt;="&amp;FINANCIACION[[#This Row],[Fecha]],FINANCIACION[PRESTAMO],FINANCIACION[[#This Row],[PRESTAMO]])</f>
        <v>-16846995</v>
      </c>
      <c r="G825" s="56"/>
      <c r="H825" s="8"/>
      <c r="I825" s="5">
        <f>IF(FINANCIACION[[#This Row],[$ CAPITAL]]&gt;0,FINANCIACION[[#This Row],[$ CAPITAL]])</f>
        <v>11844990</v>
      </c>
      <c r="J825" s="36">
        <f>IF(FINANCIACION[[#This Row],[$ CAPITAL]]&gt;=0,FINANCIACION[[#This Row],[$ CAPITAL]]+FINANCIACION[[#This Row],[$ INTERESES]],0)</f>
        <v>11844990</v>
      </c>
    </row>
    <row r="826" spans="1:10" ht="24" hidden="1" customHeight="1" x14ac:dyDescent="0.25">
      <c r="A826" s="7">
        <v>44536</v>
      </c>
      <c r="B826" s="53" t="s">
        <v>203</v>
      </c>
      <c r="C826" s="5">
        <v>454357</v>
      </c>
      <c r="D826" s="5"/>
      <c r="E826" s="169">
        <f>+IF(FINANCIACION[[#This Row],[$ CAPITAL]]&gt;=0,FINANCIACION[[#This Row],[$ CAPITAL]]+FINANCIACION[[#This Row],[$ INTERESES]],"")</f>
        <v>454357</v>
      </c>
      <c r="F826" s="169">
        <f>+SUMIFS(FINANCIACION[$ CAPITAL],FINANCIACION[Fecha],"&lt;="&amp;FINANCIACION[[#This Row],[Fecha]],FINANCIACION[PRESTAMO],FINANCIACION[[#This Row],[PRESTAMO]])</f>
        <v>0</v>
      </c>
      <c r="G826" s="56"/>
      <c r="H826" s="8"/>
      <c r="I826" s="5">
        <f>IF(FINANCIACION[[#This Row],[$ CAPITAL]]&gt;0,FINANCIACION[[#This Row],[$ CAPITAL]])</f>
        <v>454357</v>
      </c>
      <c r="J826" s="36">
        <f>IF(FINANCIACION[[#This Row],[$ CAPITAL]]&gt;=0,FINANCIACION[[#This Row],[$ CAPITAL]]+FINANCIACION[[#This Row],[$ INTERESES]],0)</f>
        <v>454357</v>
      </c>
    </row>
    <row r="827" spans="1:10" ht="24" hidden="1" customHeight="1" x14ac:dyDescent="0.25">
      <c r="A827" s="7">
        <v>44537</v>
      </c>
      <c r="B827" s="53" t="s">
        <v>197</v>
      </c>
      <c r="C827" s="5">
        <v>6326000</v>
      </c>
      <c r="D827" s="5">
        <v>164148.5700000003</v>
      </c>
      <c r="E827" s="169">
        <f>+IF(FINANCIACION[[#This Row],[$ CAPITAL]]&gt;=0,FINANCIACION[[#This Row],[$ CAPITAL]]+FINANCIACION[[#This Row],[$ INTERESES]],"")</f>
        <v>6490148.5700000003</v>
      </c>
      <c r="F827" s="169">
        <f>+SUMIFS(FINANCIACION[$ CAPITAL],FINANCIACION[Fecha],"&lt;="&amp;FINANCIACION[[#This Row],[Fecha]],FINANCIACION[PRESTAMO],FINANCIACION[[#This Row],[PRESTAMO]])</f>
        <v>-16083126</v>
      </c>
      <c r="G827" s="56"/>
      <c r="H827" s="8"/>
      <c r="I827" s="5">
        <f>IF(FINANCIACION[[#This Row],[$ CAPITAL]]&gt;0,FINANCIACION[[#This Row],[$ CAPITAL]])</f>
        <v>6326000</v>
      </c>
      <c r="J827" s="36">
        <f>IF(FINANCIACION[[#This Row],[$ CAPITAL]]&gt;=0,FINANCIACION[[#This Row],[$ CAPITAL]]+FINANCIACION[[#This Row],[$ INTERESES]],0)</f>
        <v>6490148.5700000003</v>
      </c>
    </row>
    <row r="828" spans="1:10" ht="24" hidden="1" customHeight="1" x14ac:dyDescent="0.25">
      <c r="A828" s="7">
        <v>44539</v>
      </c>
      <c r="B828" s="53" t="s">
        <v>1226</v>
      </c>
      <c r="C828" s="5"/>
      <c r="D828" s="5">
        <v>130000</v>
      </c>
      <c r="E828" s="169">
        <f>+IF(FINANCIACION[[#This Row],[$ CAPITAL]]&gt;=0,FINANCIACION[[#This Row],[$ CAPITAL]]+FINANCIACION[[#This Row],[$ INTERESES]],"")</f>
        <v>130000</v>
      </c>
      <c r="F828" s="169">
        <f>+SUMIFS(FINANCIACION[$ CAPITAL],FINANCIACION[Fecha],"&lt;="&amp;FINANCIACION[[#This Row],[Fecha]],FINANCIACION[PRESTAMO],FINANCIACION[[#This Row],[PRESTAMO]])</f>
        <v>-13000000</v>
      </c>
      <c r="G828" s="56"/>
      <c r="H828" s="8"/>
      <c r="I828" s="5" t="b">
        <f>IF(FINANCIACION[[#This Row],[$ CAPITAL]]&gt;0,FINANCIACION[[#This Row],[$ CAPITAL]])</f>
        <v>0</v>
      </c>
      <c r="J828" s="36">
        <f>IF(FINANCIACION[[#This Row],[$ CAPITAL]]&gt;=0,FINANCIACION[[#This Row],[$ CAPITAL]]+FINANCIACION[[#This Row],[$ INTERESES]],0)</f>
        <v>130000</v>
      </c>
    </row>
    <row r="829" spans="1:10" ht="24" hidden="1" customHeight="1" x14ac:dyDescent="0.25">
      <c r="A829" s="7">
        <v>44539</v>
      </c>
      <c r="B829" s="53" t="s">
        <v>1230</v>
      </c>
      <c r="C829" s="5"/>
      <c r="D829" s="5">
        <v>400000</v>
      </c>
      <c r="E829" s="169">
        <f>+IF(FINANCIACION[[#This Row],[$ CAPITAL]]&gt;=0,FINANCIACION[[#This Row],[$ CAPITAL]]+FINANCIACION[[#This Row],[$ INTERESES]],"")</f>
        <v>400000</v>
      </c>
      <c r="F829" s="169">
        <f>+SUMIFS(FINANCIACION[$ CAPITAL],FINANCIACION[Fecha],"&lt;="&amp;FINANCIACION[[#This Row],[Fecha]],FINANCIACION[PRESTAMO],FINANCIACION[[#This Row],[PRESTAMO]])</f>
        <v>-40000000</v>
      </c>
      <c r="G829" s="56"/>
      <c r="H829" s="8"/>
      <c r="I829" s="5" t="b">
        <f>IF(FINANCIACION[[#This Row],[$ CAPITAL]]&gt;0,FINANCIACION[[#This Row],[$ CAPITAL]])</f>
        <v>0</v>
      </c>
      <c r="J829" s="36">
        <f>IF(FINANCIACION[[#This Row],[$ CAPITAL]]&gt;=0,FINANCIACION[[#This Row],[$ CAPITAL]]+FINANCIACION[[#This Row],[$ INTERESES]],0)</f>
        <v>400000</v>
      </c>
    </row>
    <row r="830" spans="1:10" ht="24" hidden="1" customHeight="1" x14ac:dyDescent="0.25">
      <c r="A830" s="7">
        <v>44539</v>
      </c>
      <c r="B830" s="53" t="s">
        <v>1215</v>
      </c>
      <c r="C830" s="5">
        <v>1965180.7323691447</v>
      </c>
      <c r="D830" s="5">
        <v>712197.26763085532</v>
      </c>
      <c r="E830" s="169">
        <f>+IF(FINANCIACION[[#This Row],[$ CAPITAL]]&gt;=0,FINANCIACION[[#This Row],[$ CAPITAL]]+FINANCIACION[[#This Row],[$ INTERESES]],"")</f>
        <v>2677378</v>
      </c>
      <c r="F830" s="169">
        <f>+SUMIFS(FINANCIACION[$ CAPITAL],FINANCIACION[Fecha],"&lt;="&amp;FINANCIACION[[#This Row],[Fecha]],FINANCIACION[PRESTAMO],FINANCIACION[[#This Row],[PRESTAMO]])</f>
        <v>-69254546.030716389</v>
      </c>
      <c r="G830" s="56"/>
      <c r="H830" s="8"/>
      <c r="I830" s="5">
        <f>IF(FINANCIACION[[#This Row],[$ CAPITAL]]&gt;0,FINANCIACION[[#This Row],[$ CAPITAL]])</f>
        <v>1965180.7323691447</v>
      </c>
      <c r="J830" s="36">
        <f>IF(FINANCIACION[[#This Row],[$ CAPITAL]]&gt;=0,FINANCIACION[[#This Row],[$ CAPITAL]]+FINANCIACION[[#This Row],[$ INTERESES]],0)</f>
        <v>2677378</v>
      </c>
    </row>
    <row r="831" spans="1:10" ht="24" hidden="1" customHeight="1" x14ac:dyDescent="0.25">
      <c r="A831" s="7">
        <v>44539</v>
      </c>
      <c r="B831" s="53" t="s">
        <v>1219</v>
      </c>
      <c r="C831" s="5">
        <v>757133.40857515368</v>
      </c>
      <c r="D831" s="5">
        <v>542866.59142484632</v>
      </c>
      <c r="E831" s="169">
        <f>+IF(FINANCIACION[[#This Row],[$ CAPITAL]]&gt;=0,FINANCIACION[[#This Row],[$ CAPITAL]]+FINANCIACION[[#This Row],[$ INTERESES]],"")</f>
        <v>1300000</v>
      </c>
      <c r="F831" s="169">
        <f>+SUMIFS(FINANCIACION[$ CAPITAL],FINANCIACION[Fecha],"&lt;="&amp;FINANCIACION[[#This Row],[Fecha]],FINANCIACION[PRESTAMO],FINANCIACION[[#This Row],[PRESTAMO]])</f>
        <v>-53529525.772102699</v>
      </c>
      <c r="G831" s="56"/>
      <c r="H831" s="8"/>
      <c r="I831" s="5">
        <f>IF(FINANCIACION[[#This Row],[$ CAPITAL]]&gt;0,FINANCIACION[[#This Row],[$ CAPITAL]])</f>
        <v>757133.40857515368</v>
      </c>
      <c r="J831" s="36">
        <f>IF(FINANCIACION[[#This Row],[$ CAPITAL]]&gt;=0,FINANCIACION[[#This Row],[$ CAPITAL]]+FINANCIACION[[#This Row],[$ INTERESES]],0)</f>
        <v>1300000</v>
      </c>
    </row>
    <row r="832" spans="1:10" ht="24" hidden="1" customHeight="1" x14ac:dyDescent="0.25">
      <c r="A832" s="7">
        <v>44539</v>
      </c>
      <c r="B832" s="53" t="s">
        <v>1216</v>
      </c>
      <c r="C832" s="5">
        <v>491268.22010953247</v>
      </c>
      <c r="D832" s="5">
        <v>708731.77989046753</v>
      </c>
      <c r="E832" s="169">
        <f>+IF(FINANCIACION[[#This Row],[$ CAPITAL]]&gt;=0,FINANCIACION[[#This Row],[$ CAPITAL]]+FINANCIACION[[#This Row],[$ INTERESES]],"")</f>
        <v>1200000</v>
      </c>
      <c r="F832" s="169">
        <f>+SUMIFS(FINANCIACION[$ CAPITAL],FINANCIACION[Fecha],"&lt;="&amp;FINANCIACION[[#This Row],[Fecha]],FINANCIACION[PRESTAMO],FINANCIACION[[#This Row],[PRESTAMO]])</f>
        <v>-70476805.487263486</v>
      </c>
      <c r="G832" s="56"/>
      <c r="H832" s="8"/>
      <c r="I832" s="5">
        <f>IF(FINANCIACION[[#This Row],[$ CAPITAL]]&gt;0,FINANCIACION[[#This Row],[$ CAPITAL]])</f>
        <v>491268.22010953247</v>
      </c>
      <c r="J832" s="36">
        <f>IF(FINANCIACION[[#This Row],[$ CAPITAL]]&gt;=0,FINANCIACION[[#This Row],[$ CAPITAL]]+FINANCIACION[[#This Row],[$ INTERESES]],0)</f>
        <v>1200000</v>
      </c>
    </row>
    <row r="833" spans="1:10" ht="24" hidden="1" customHeight="1" x14ac:dyDescent="0.25">
      <c r="A833" s="7">
        <v>44539</v>
      </c>
      <c r="B833" s="53" t="s">
        <v>1228</v>
      </c>
      <c r="C833" s="5"/>
      <c r="D833" s="5">
        <v>120000</v>
      </c>
      <c r="E833" s="169">
        <f>+IF(FINANCIACION[[#This Row],[$ CAPITAL]]&gt;=0,FINANCIACION[[#This Row],[$ CAPITAL]]+FINANCIACION[[#This Row],[$ INTERESES]],"")</f>
        <v>120000</v>
      </c>
      <c r="F833" s="169">
        <f>+SUMIFS(FINANCIACION[$ CAPITAL],FINANCIACION[Fecha],"&lt;="&amp;FINANCIACION[[#This Row],[Fecha]],FINANCIACION[PRESTAMO],FINANCIACION[[#This Row],[PRESTAMO]])</f>
        <v>-12000000</v>
      </c>
      <c r="G833" s="56"/>
      <c r="H833" s="8"/>
      <c r="I833" s="5" t="b">
        <f>IF(FINANCIACION[[#This Row],[$ CAPITAL]]&gt;0,FINANCIACION[[#This Row],[$ CAPITAL]])</f>
        <v>0</v>
      </c>
      <c r="J833" s="36">
        <f>IF(FINANCIACION[[#This Row],[$ CAPITAL]]&gt;=0,FINANCIACION[[#This Row],[$ CAPITAL]]+FINANCIACION[[#This Row],[$ INTERESES]],0)</f>
        <v>120000</v>
      </c>
    </row>
    <row r="834" spans="1:10" ht="24" hidden="1" customHeight="1" x14ac:dyDescent="0.25">
      <c r="A834" s="7">
        <v>44544</v>
      </c>
      <c r="B834" s="53" t="s">
        <v>1217</v>
      </c>
      <c r="C834" s="5">
        <v>4796627</v>
      </c>
      <c r="D834" s="5">
        <v>1182312</v>
      </c>
      <c r="E834" s="169">
        <f>+IF(FINANCIACION[[#This Row],[$ CAPITAL]]&gt;=0,FINANCIACION[[#This Row],[$ CAPITAL]]+FINANCIACION[[#This Row],[$ INTERESES]],"")</f>
        <v>5978939</v>
      </c>
      <c r="F834" s="169">
        <f>+SUMIFS(FINANCIACION[$ CAPITAL],FINANCIACION[Fecha],"&lt;="&amp;FINANCIACION[[#This Row],[Fecha]],FINANCIACION[PRESTAMO],FINANCIACION[[#This Row],[PRESTAMO]])</f>
        <v>-318319132</v>
      </c>
      <c r="G834" s="56"/>
      <c r="H834" s="8"/>
      <c r="I834" s="5">
        <f>IF(FINANCIACION[[#This Row],[$ CAPITAL]]&gt;0,FINANCIACION[[#This Row],[$ CAPITAL]])</f>
        <v>4796627</v>
      </c>
      <c r="J834" s="36">
        <f>IF(FINANCIACION[[#This Row],[$ CAPITAL]]&gt;=0,FINANCIACION[[#This Row],[$ CAPITAL]]+FINANCIACION[[#This Row],[$ INTERESES]],0)</f>
        <v>5978939</v>
      </c>
    </row>
    <row r="835" spans="1:10" ht="24" hidden="1" customHeight="1" x14ac:dyDescent="0.25">
      <c r="A835" s="7">
        <v>44544</v>
      </c>
      <c r="B835" s="53" t="s">
        <v>1218</v>
      </c>
      <c r="C835" s="5">
        <v>1419187.6499999985</v>
      </c>
      <c r="D835" s="5">
        <v>51812.35000000149</v>
      </c>
      <c r="E835" s="169">
        <f>+IF(FINANCIACION[[#This Row],[$ CAPITAL]]&gt;=0,FINANCIACION[[#This Row],[$ CAPITAL]]+FINANCIACION[[#This Row],[$ INTERESES]],"")</f>
        <v>1471000</v>
      </c>
      <c r="F835" s="169">
        <f>+SUMIFS(FINANCIACION[$ CAPITAL],FINANCIACION[Fecha],"&lt;="&amp;FINANCIACION[[#This Row],[Fecha]],FINANCIACION[PRESTAMO],FINANCIACION[[#This Row],[PRESTAMO]])</f>
        <v>-19839681.689999986</v>
      </c>
      <c r="G835" s="56"/>
      <c r="H835" s="8"/>
      <c r="I835" s="5">
        <f>IF(FINANCIACION[[#This Row],[$ CAPITAL]]&gt;0,FINANCIACION[[#This Row],[$ CAPITAL]])</f>
        <v>1419187.6499999985</v>
      </c>
      <c r="J835" s="36">
        <f>IF(FINANCIACION[[#This Row],[$ CAPITAL]]&gt;=0,FINANCIACION[[#This Row],[$ CAPITAL]]+FINANCIACION[[#This Row],[$ INTERESES]],0)</f>
        <v>1471000</v>
      </c>
    </row>
    <row r="836" spans="1:10" ht="24" hidden="1" customHeight="1" x14ac:dyDescent="0.25">
      <c r="A836" s="7">
        <v>44544</v>
      </c>
      <c r="B836" s="53" t="s">
        <v>1229</v>
      </c>
      <c r="C836" s="5">
        <v>1173610.8600000031</v>
      </c>
      <c r="D836" s="5">
        <v>46389.139999996871</v>
      </c>
      <c r="E836" s="169">
        <f>+IF(FINANCIACION[[#This Row],[$ CAPITAL]]&gt;=0,FINANCIACION[[#This Row],[$ CAPITAL]]+FINANCIACION[[#This Row],[$ INTERESES]],"")</f>
        <v>1220000</v>
      </c>
      <c r="F836" s="169">
        <f>+SUMIFS(FINANCIACION[$ CAPITAL],FINANCIACION[Fecha],"&lt;="&amp;FINANCIACION[[#This Row],[Fecha]],FINANCIACION[PRESTAMO],FINANCIACION[[#This Row],[PRESTAMO]])</f>
        <v>-17706924.239999998</v>
      </c>
      <c r="G836" s="56"/>
      <c r="H836" s="8"/>
      <c r="I836" s="5">
        <f>IF(FINANCIACION[[#This Row],[$ CAPITAL]]&gt;0,FINANCIACION[[#This Row],[$ CAPITAL]])</f>
        <v>1173610.8600000031</v>
      </c>
      <c r="J836" s="36">
        <f>IF(FINANCIACION[[#This Row],[$ CAPITAL]]&gt;=0,FINANCIACION[[#This Row],[$ CAPITAL]]+FINANCIACION[[#This Row],[$ INTERESES]],0)</f>
        <v>1220000</v>
      </c>
    </row>
    <row r="837" spans="1:10" ht="24" hidden="1" customHeight="1" x14ac:dyDescent="0.25">
      <c r="A837" s="7">
        <v>44544</v>
      </c>
      <c r="B837" s="53" t="s">
        <v>1221</v>
      </c>
      <c r="C837" s="5">
        <v>2379867.6799999997</v>
      </c>
      <c r="D837" s="5">
        <v>99132.320000000298</v>
      </c>
      <c r="E837" s="169">
        <f>+IF(FINANCIACION[[#This Row],[$ CAPITAL]]&gt;=0,FINANCIACION[[#This Row],[$ CAPITAL]]+FINANCIACION[[#This Row],[$ INTERESES]],"")</f>
        <v>2479000</v>
      </c>
      <c r="F837" s="169">
        <f>+SUMIFS(FINANCIACION[$ CAPITAL],FINANCIACION[Fecha],"&lt;="&amp;FINANCIACION[[#This Row],[Fecha]],FINANCIACION[PRESTAMO],FINANCIACION[[#This Row],[PRESTAMO]])</f>
        <v>-37926967.32</v>
      </c>
      <c r="G837" s="56"/>
      <c r="H837" s="8"/>
      <c r="I837" s="5">
        <f>IF(FINANCIACION[[#This Row],[$ CAPITAL]]&gt;0,FINANCIACION[[#This Row],[$ CAPITAL]])</f>
        <v>2379867.6799999997</v>
      </c>
      <c r="J837" s="36">
        <f>IF(FINANCIACION[[#This Row],[$ CAPITAL]]&gt;=0,FINANCIACION[[#This Row],[$ CAPITAL]]+FINANCIACION[[#This Row],[$ INTERESES]],0)</f>
        <v>2479000</v>
      </c>
    </row>
    <row r="838" spans="1:10" ht="24" hidden="1" customHeight="1" x14ac:dyDescent="0.25">
      <c r="A838" s="7">
        <v>44544</v>
      </c>
      <c r="B838" s="53" t="s">
        <v>1222</v>
      </c>
      <c r="C838" s="5">
        <v>3485285.1499999985</v>
      </c>
      <c r="D838" s="5">
        <v>158714.85000000149</v>
      </c>
      <c r="E838" s="169">
        <f>+IF(FINANCIACION[[#This Row],[$ CAPITAL]]&gt;=0,FINANCIACION[[#This Row],[$ CAPITAL]]+FINANCIACION[[#This Row],[$ INTERESES]],"")</f>
        <v>3644000</v>
      </c>
      <c r="F838" s="169">
        <f>+SUMIFS(FINANCIACION[$ CAPITAL],FINANCIACION[Fecha],"&lt;="&amp;FINANCIACION[[#This Row],[Fecha]],FINANCIACION[PRESTAMO],FINANCIACION[[#This Row],[PRESTAMO]])</f>
        <v>-54781379.420000002</v>
      </c>
      <c r="G838" s="56"/>
      <c r="H838" s="8"/>
      <c r="I838" s="5">
        <f>IF(FINANCIACION[[#This Row],[$ CAPITAL]]&gt;0,FINANCIACION[[#This Row],[$ CAPITAL]])</f>
        <v>3485285.1499999985</v>
      </c>
      <c r="J838" s="36">
        <f>IF(FINANCIACION[[#This Row],[$ CAPITAL]]&gt;=0,FINANCIACION[[#This Row],[$ CAPITAL]]+FINANCIACION[[#This Row],[$ INTERESES]],0)</f>
        <v>3644000</v>
      </c>
    </row>
    <row r="839" spans="1:10" ht="24" hidden="1" customHeight="1" x14ac:dyDescent="0.25">
      <c r="A839" s="7">
        <v>44544</v>
      </c>
      <c r="B839" s="53" t="s">
        <v>1223</v>
      </c>
      <c r="C839" s="5">
        <v>940063.25999999791</v>
      </c>
      <c r="D839" s="5">
        <v>39936.740000002086</v>
      </c>
      <c r="E839" s="169">
        <f>+IF(FINANCIACION[[#This Row],[$ CAPITAL]]&gt;=0,FINANCIACION[[#This Row],[$ CAPITAL]]+FINANCIACION[[#This Row],[$ INTERESES]],"")</f>
        <v>980000</v>
      </c>
      <c r="F839" s="169">
        <f>+SUMIFS(FINANCIACION[$ CAPITAL],FINANCIACION[Fecha],"&lt;="&amp;FINANCIACION[[#This Row],[Fecha]],FINANCIACION[PRESTAMO],FINANCIACION[[#This Row],[PRESTAMO]])</f>
        <v>-15625187.190000009</v>
      </c>
      <c r="G839" s="56"/>
      <c r="H839" s="8"/>
      <c r="I839" s="5">
        <f>IF(FINANCIACION[[#This Row],[$ CAPITAL]]&gt;0,FINANCIACION[[#This Row],[$ CAPITAL]])</f>
        <v>940063.25999999791</v>
      </c>
      <c r="J839" s="36">
        <f>IF(FINANCIACION[[#This Row],[$ CAPITAL]]&gt;=0,FINANCIACION[[#This Row],[$ CAPITAL]]+FINANCIACION[[#This Row],[$ INTERESES]],0)</f>
        <v>980000</v>
      </c>
    </row>
    <row r="840" spans="1:10" ht="24" hidden="1" customHeight="1" x14ac:dyDescent="0.25">
      <c r="A840" s="7">
        <v>44544</v>
      </c>
      <c r="B840" s="53" t="s">
        <v>1225</v>
      </c>
      <c r="C840" s="5">
        <v>988960.98000000045</v>
      </c>
      <c r="D840" s="5">
        <v>44039.019999999553</v>
      </c>
      <c r="E840" s="169">
        <f>+IF(FINANCIACION[[#This Row],[$ CAPITAL]]&gt;=0,FINANCIACION[[#This Row],[$ CAPITAL]]+FINANCIACION[[#This Row],[$ INTERESES]],"")</f>
        <v>1033000</v>
      </c>
      <c r="F840" s="169">
        <f>+SUMIFS(FINANCIACION[$ CAPITAL],FINANCIACION[Fecha],"&lt;="&amp;FINANCIACION[[#This Row],[Fecha]],FINANCIACION[PRESTAMO],FINANCIACION[[#This Row],[PRESTAMO]])</f>
        <v>-17261167.520000003</v>
      </c>
      <c r="G840" s="56"/>
      <c r="H840" s="8"/>
      <c r="I840" s="5">
        <f>IF(FINANCIACION[[#This Row],[$ CAPITAL]]&gt;0,FINANCIACION[[#This Row],[$ CAPITAL]])</f>
        <v>988960.98000000045</v>
      </c>
      <c r="J840" s="36">
        <f>IF(FINANCIACION[[#This Row],[$ CAPITAL]]&gt;=0,FINANCIACION[[#This Row],[$ CAPITAL]]+FINANCIACION[[#This Row],[$ INTERESES]],0)</f>
        <v>1033000</v>
      </c>
    </row>
    <row r="841" spans="1:10" ht="24" hidden="1" customHeight="1" x14ac:dyDescent="0.25">
      <c r="A841" s="7">
        <v>44544</v>
      </c>
      <c r="B841" s="53" t="s">
        <v>1231</v>
      </c>
      <c r="C841" s="5">
        <v>345651.39999999106</v>
      </c>
      <c r="D841" s="5">
        <v>172348.60000000894</v>
      </c>
      <c r="E841" s="169">
        <f>+IF(FINANCIACION[[#This Row],[$ CAPITAL]]&gt;=0,FINANCIACION[[#This Row],[$ CAPITAL]]+FINANCIACION[[#This Row],[$ INTERESES]],"")</f>
        <v>518000</v>
      </c>
      <c r="F841" s="169">
        <f>+SUMIFS(FINANCIACION[$ CAPITAL],FINANCIACION[Fecha],"&lt;="&amp;FINANCIACION[[#This Row],[Fecha]],FINANCIACION[PRESTAMO],FINANCIACION[[#This Row],[PRESTAMO]])</f>
        <v>-79861078.480000004</v>
      </c>
      <c r="G841" s="56"/>
      <c r="H841" s="8"/>
      <c r="I841" s="5">
        <f>IF(FINANCIACION[[#This Row],[$ CAPITAL]]&gt;0,FINANCIACION[[#This Row],[$ CAPITAL]])</f>
        <v>345651.39999999106</v>
      </c>
      <c r="J841" s="36">
        <f>IF(FINANCIACION[[#This Row],[$ CAPITAL]]&gt;=0,FINANCIACION[[#This Row],[$ CAPITAL]]+FINANCIACION[[#This Row],[$ INTERESES]],0)</f>
        <v>518000</v>
      </c>
    </row>
    <row r="842" spans="1:10" ht="24" customHeight="1" x14ac:dyDescent="0.25">
      <c r="A842" s="7">
        <v>44544</v>
      </c>
      <c r="B842" s="53" t="s">
        <v>200</v>
      </c>
      <c r="C842" s="5">
        <v>1944444</v>
      </c>
      <c r="D842" s="5">
        <v>240038</v>
      </c>
      <c r="E842" s="169">
        <f>+IF(FINANCIACION[[#This Row],[$ CAPITAL]]&gt;=0,FINANCIACION[[#This Row],[$ CAPITAL]]+FINANCIACION[[#This Row],[$ INTERESES]],"")</f>
        <v>2184482</v>
      </c>
      <c r="F842" s="169">
        <f>+SUMIFS(FINANCIACION[$ CAPITAL],FINANCIACION[Fecha],"&lt;="&amp;FINANCIACION[[#This Row],[Fecha]],FINANCIACION[PRESTAMO],FINANCIACION[[#This Row],[PRESTAMO]])</f>
        <v>-33055556</v>
      </c>
      <c r="G842" s="56"/>
      <c r="H842" s="8"/>
      <c r="I842" s="5">
        <f>IF(FINANCIACION[[#This Row],[$ CAPITAL]]&gt;0,FINANCIACION[[#This Row],[$ CAPITAL]])</f>
        <v>1944444</v>
      </c>
      <c r="J842" s="36">
        <f>IF(FINANCIACION[[#This Row],[$ CAPITAL]]&gt;=0,FINANCIACION[[#This Row],[$ CAPITAL]]+FINANCIACION[[#This Row],[$ INTERESES]],0)</f>
        <v>2184482</v>
      </c>
    </row>
    <row r="843" spans="1:10" ht="24" hidden="1" customHeight="1" x14ac:dyDescent="0.25">
      <c r="A843" s="7">
        <v>44550</v>
      </c>
      <c r="B843" s="53" t="s">
        <v>201</v>
      </c>
      <c r="C843" s="5">
        <v>2882226</v>
      </c>
      <c r="D843" s="5"/>
      <c r="E843" s="169">
        <f>+IF(FINANCIACION[[#This Row],[$ CAPITAL]]&gt;=0,FINANCIACION[[#This Row],[$ CAPITAL]]+FINANCIACION[[#This Row],[$ INTERESES]],"")</f>
        <v>2882226</v>
      </c>
      <c r="F843" s="169">
        <f>+SUMIFS(FINANCIACION[$ CAPITAL],FINANCIACION[Fecha],"&lt;="&amp;FINANCIACION[[#This Row],[Fecha]],FINANCIACION[PRESTAMO],FINANCIACION[[#This Row],[PRESTAMO]])</f>
        <v>2882226</v>
      </c>
      <c r="G843" s="56"/>
      <c r="H843" s="8"/>
      <c r="I843" s="5">
        <f>IF(FINANCIACION[[#This Row],[$ CAPITAL]]&gt;0,FINANCIACION[[#This Row],[$ CAPITAL]])</f>
        <v>2882226</v>
      </c>
      <c r="J843" s="36">
        <f>IF(FINANCIACION[[#This Row],[$ CAPITAL]]&gt;=0,FINANCIACION[[#This Row],[$ CAPITAL]]+FINANCIACION[[#This Row],[$ INTERESES]],0)</f>
        <v>2882226</v>
      </c>
    </row>
    <row r="844" spans="1:10" ht="24" hidden="1" customHeight="1" x14ac:dyDescent="0.25">
      <c r="A844" s="7">
        <v>44554</v>
      </c>
      <c r="B844" s="53" t="s">
        <v>1220</v>
      </c>
      <c r="C844" s="5"/>
      <c r="D844" s="5">
        <v>9000000</v>
      </c>
      <c r="E844" s="169">
        <f>+IF(FINANCIACION[[#This Row],[$ CAPITAL]]&gt;=0,FINANCIACION[[#This Row],[$ CAPITAL]]+FINANCIACION[[#This Row],[$ INTERESES]],"")</f>
        <v>9000000</v>
      </c>
      <c r="F844" s="169">
        <f>+SUMIFS(FINANCIACION[$ CAPITAL],FINANCIACION[Fecha],"&lt;="&amp;FINANCIACION[[#This Row],[Fecha]],FINANCIACION[PRESTAMO],FINANCIACION[[#This Row],[PRESTAMO]])</f>
        <v>-75000000</v>
      </c>
      <c r="G844" s="56"/>
      <c r="H844" s="8"/>
      <c r="I844" s="5" t="b">
        <f>IF(FINANCIACION[[#This Row],[$ CAPITAL]]&gt;0,FINANCIACION[[#This Row],[$ CAPITAL]])</f>
        <v>0</v>
      </c>
      <c r="J844" s="36">
        <f>IF(FINANCIACION[[#This Row],[$ CAPITAL]]&gt;=0,FINANCIACION[[#This Row],[$ CAPITAL]]+FINANCIACION[[#This Row],[$ INTERESES]],0)</f>
        <v>9000000</v>
      </c>
    </row>
    <row r="845" spans="1:10" ht="24" hidden="1" customHeight="1" x14ac:dyDescent="0.25">
      <c r="A845" s="7">
        <v>44554</v>
      </c>
      <c r="B845" s="53" t="s">
        <v>202</v>
      </c>
      <c r="C845" s="5">
        <v>3997090</v>
      </c>
      <c r="D845" s="5"/>
      <c r="E845" s="169">
        <f>+IF(FINANCIACION[[#This Row],[$ CAPITAL]]&gt;=0,FINANCIACION[[#This Row],[$ CAPITAL]]+FINANCIACION[[#This Row],[$ INTERESES]],"")</f>
        <v>3997090</v>
      </c>
      <c r="F845" s="169">
        <f>+SUMIFS(FINANCIACION[$ CAPITAL],FINANCIACION[Fecha],"&lt;="&amp;FINANCIACION[[#This Row],[Fecha]],FINANCIACION[PRESTAMO],FINANCIACION[[#This Row],[PRESTAMO]])</f>
        <v>-12849905</v>
      </c>
      <c r="G845" s="56"/>
      <c r="H845" s="8"/>
      <c r="I845" s="5">
        <f>IF(FINANCIACION[[#This Row],[$ CAPITAL]]&gt;0,FINANCIACION[[#This Row],[$ CAPITAL]])</f>
        <v>3997090</v>
      </c>
      <c r="J845" s="36">
        <f>IF(FINANCIACION[[#This Row],[$ CAPITAL]]&gt;=0,FINANCIACION[[#This Row],[$ CAPITAL]]+FINANCIACION[[#This Row],[$ INTERESES]],0)</f>
        <v>3997090</v>
      </c>
    </row>
    <row r="846" spans="1:10" ht="24" hidden="1" customHeight="1" x14ac:dyDescent="0.25">
      <c r="A846" s="7">
        <v>44557</v>
      </c>
      <c r="B846" s="53" t="s">
        <v>202</v>
      </c>
      <c r="C846" s="5">
        <v>3994150</v>
      </c>
      <c r="D846" s="5"/>
      <c r="E846" s="169">
        <f>+IF(FINANCIACION[[#This Row],[$ CAPITAL]]&gt;=0,FINANCIACION[[#This Row],[$ CAPITAL]]+FINANCIACION[[#This Row],[$ INTERESES]],"")</f>
        <v>3994150</v>
      </c>
      <c r="F846" s="169">
        <f>+SUMIFS(FINANCIACION[$ CAPITAL],FINANCIACION[Fecha],"&lt;="&amp;FINANCIACION[[#This Row],[Fecha]],FINANCIACION[PRESTAMO],FINANCIACION[[#This Row],[PRESTAMO]])</f>
        <v>-8855755</v>
      </c>
      <c r="G846" s="8"/>
      <c r="H846" s="8"/>
      <c r="I846" s="5">
        <f>IF(FINANCIACION[[#This Row],[$ CAPITAL]]&gt;0,FINANCIACION[[#This Row],[$ CAPITAL]])</f>
        <v>3994150</v>
      </c>
      <c r="J846" s="36">
        <f>IF(FINANCIACION[[#This Row],[$ CAPITAL]]&gt;=0,FINANCIACION[[#This Row],[$ CAPITAL]]+FINANCIACION[[#This Row],[$ INTERESES]],0)</f>
        <v>3994150</v>
      </c>
    </row>
    <row r="847" spans="1:10" ht="24" hidden="1" customHeight="1" x14ac:dyDescent="0.25">
      <c r="A847" s="7">
        <v>44560</v>
      </c>
      <c r="B847" s="53" t="s">
        <v>195</v>
      </c>
      <c r="C847" s="5"/>
      <c r="D847" s="5">
        <v>312197</v>
      </c>
      <c r="E847" s="169">
        <f>+IF(FINANCIACION[[#This Row],[$ CAPITAL]]&gt;=0,FINANCIACION[[#This Row],[$ CAPITAL]]+FINANCIACION[[#This Row],[$ INTERESES]],"")</f>
        <v>312197</v>
      </c>
      <c r="F847" s="169">
        <f>+SUMIFS(FINANCIACION[$ CAPITAL],FINANCIACION[Fecha],"&lt;="&amp;FINANCIACION[[#This Row],[Fecha]],FINANCIACION[PRESTAMO],FINANCIACION[[#This Row],[PRESTAMO]])</f>
        <v>0</v>
      </c>
      <c r="G847" s="56"/>
      <c r="H847" s="8"/>
      <c r="I847" s="5" t="b">
        <f>IF(FINANCIACION[[#This Row],[$ CAPITAL]]&gt;0,FINANCIACION[[#This Row],[$ CAPITAL]])</f>
        <v>0</v>
      </c>
      <c r="J847" s="36">
        <f>IF(FINANCIACION[[#This Row],[$ CAPITAL]]&gt;=0,FINANCIACION[[#This Row],[$ CAPITAL]]+FINANCIACION[[#This Row],[$ INTERESES]],0)</f>
        <v>312197</v>
      </c>
    </row>
    <row r="848" spans="1:10" ht="24" hidden="1" customHeight="1" x14ac:dyDescent="0.25">
      <c r="A848" s="7">
        <v>44560</v>
      </c>
      <c r="B848" s="53" t="s">
        <v>195</v>
      </c>
      <c r="C848" s="5"/>
      <c r="D848" s="5">
        <v>138816</v>
      </c>
      <c r="E848" s="169">
        <f>+IF(FINANCIACION[[#This Row],[$ CAPITAL]]&gt;=0,FINANCIACION[[#This Row],[$ CAPITAL]]+FINANCIACION[[#This Row],[$ INTERESES]],"")</f>
        <v>138816</v>
      </c>
      <c r="F848" s="169">
        <f>+SUMIFS(FINANCIACION[$ CAPITAL],FINANCIACION[Fecha],"&lt;="&amp;FINANCIACION[[#This Row],[Fecha]],FINANCIACION[PRESTAMO],FINANCIACION[[#This Row],[PRESTAMO]])</f>
        <v>0</v>
      </c>
      <c r="G848" s="56"/>
      <c r="H848" s="8"/>
      <c r="I848" s="5" t="b">
        <f>IF(FINANCIACION[[#This Row],[$ CAPITAL]]&gt;0,FINANCIACION[[#This Row],[$ CAPITAL]])</f>
        <v>0</v>
      </c>
      <c r="J848" s="36">
        <f>IF(FINANCIACION[[#This Row],[$ CAPITAL]]&gt;=0,FINANCIACION[[#This Row],[$ CAPITAL]]+FINANCIACION[[#This Row],[$ INTERESES]],0)</f>
        <v>138816</v>
      </c>
    </row>
    <row r="849" spans="1:10" ht="24" hidden="1" customHeight="1" x14ac:dyDescent="0.25">
      <c r="A849" s="7">
        <v>44560</v>
      </c>
      <c r="B849" s="53" t="s">
        <v>202</v>
      </c>
      <c r="C849" s="5">
        <v>4023680</v>
      </c>
      <c r="D849" s="5"/>
      <c r="E849" s="169">
        <f>+IF(FINANCIACION[[#This Row],[$ CAPITAL]]&gt;=0,FINANCIACION[[#This Row],[$ CAPITAL]]+FINANCIACION[[#This Row],[$ INTERESES]],"")</f>
        <v>4023680</v>
      </c>
      <c r="F849" s="169">
        <f>+SUMIFS(FINANCIACION[$ CAPITAL],FINANCIACION[Fecha],"&lt;="&amp;FINANCIACION[[#This Row],[Fecha]],FINANCIACION[PRESTAMO],FINANCIACION[[#This Row],[PRESTAMO]])</f>
        <v>-4832075</v>
      </c>
      <c r="G849" s="56"/>
      <c r="H849" s="8"/>
      <c r="I849" s="5">
        <f>IF(FINANCIACION[[#This Row],[$ CAPITAL]]&gt;0,FINANCIACION[[#This Row],[$ CAPITAL]])</f>
        <v>4023680</v>
      </c>
      <c r="J849" s="36">
        <f>IF(FINANCIACION[[#This Row],[$ CAPITAL]]&gt;=0,FINANCIACION[[#This Row],[$ CAPITAL]]+FINANCIACION[[#This Row],[$ INTERESES]],0)</f>
        <v>4023680</v>
      </c>
    </row>
    <row r="850" spans="1:10" ht="24" hidden="1" customHeight="1" x14ac:dyDescent="0.25">
      <c r="A850" s="7">
        <v>44560</v>
      </c>
      <c r="B850" s="53" t="s">
        <v>203</v>
      </c>
      <c r="C850" s="5">
        <v>1000000</v>
      </c>
      <c r="D850" s="5"/>
      <c r="E850" s="169">
        <f>+IF(FINANCIACION[[#This Row],[$ CAPITAL]]&gt;=0,FINANCIACION[[#This Row],[$ CAPITAL]]+FINANCIACION[[#This Row],[$ INTERESES]],"")</f>
        <v>1000000</v>
      </c>
      <c r="F850" s="169">
        <f>+SUMIFS(FINANCIACION[$ CAPITAL],FINANCIACION[Fecha],"&lt;="&amp;FINANCIACION[[#This Row],[Fecha]],FINANCIACION[PRESTAMO],FINANCIACION[[#This Row],[PRESTAMO]])</f>
        <v>1000000</v>
      </c>
      <c r="G850" s="56"/>
      <c r="H850" s="8"/>
      <c r="I850" s="5">
        <f>IF(FINANCIACION[[#This Row],[$ CAPITAL]]&gt;0,FINANCIACION[[#This Row],[$ CAPITAL]])</f>
        <v>1000000</v>
      </c>
      <c r="J850" s="36">
        <f>IF(FINANCIACION[[#This Row],[$ CAPITAL]]&gt;=0,FINANCIACION[[#This Row],[$ CAPITAL]]+FINANCIACION[[#This Row],[$ INTERESES]],0)</f>
        <v>1000000</v>
      </c>
    </row>
    <row r="851" spans="1:10" ht="24" hidden="1" customHeight="1" x14ac:dyDescent="0.25">
      <c r="A851" s="7">
        <v>44561</v>
      </c>
      <c r="B851" s="53" t="s">
        <v>196</v>
      </c>
      <c r="C851" s="55">
        <v>1637071.68</v>
      </c>
      <c r="D851" s="5"/>
      <c r="E851" s="169">
        <f>+IF(FINANCIACION[[#This Row],[$ CAPITAL]]&gt;=0,FINANCIACION[[#This Row],[$ CAPITAL]]+FINANCIACION[[#This Row],[$ INTERESES]],"")</f>
        <v>1637071.68</v>
      </c>
      <c r="F851" s="169">
        <f>+SUMIFS(FINANCIACION[$ CAPITAL],FINANCIACION[Fecha],"&lt;="&amp;FINANCIACION[[#This Row],[Fecha]],FINANCIACION[PRESTAMO],FINANCIACION[[#This Row],[PRESTAMO]])</f>
        <v>0</v>
      </c>
      <c r="G851" s="56" t="s">
        <v>231</v>
      </c>
      <c r="H851" s="8"/>
      <c r="I851" s="5">
        <f>IF(FINANCIACION[[#This Row],[$ CAPITAL]]&gt;0,FINANCIACION[[#This Row],[$ CAPITAL]])</f>
        <v>1637071.68</v>
      </c>
      <c r="J851" s="36">
        <f>IF(FINANCIACION[[#This Row],[$ CAPITAL]]&gt;=0,FINANCIACION[[#This Row],[$ CAPITAL]]+FINANCIACION[[#This Row],[$ INTERESES]],0)</f>
        <v>1637071.68</v>
      </c>
    </row>
    <row r="852" spans="1:10" ht="24" hidden="1" customHeight="1" x14ac:dyDescent="0.25">
      <c r="A852" s="7">
        <v>44561</v>
      </c>
      <c r="B852" s="53" t="s">
        <v>294</v>
      </c>
      <c r="C852" s="5">
        <v>-2322509.1499999985</v>
      </c>
      <c r="D852" s="5"/>
      <c r="E852" s="169" t="str">
        <f>+IF(FINANCIACION[[#This Row],[$ CAPITAL]]&gt;=0,FINANCIACION[[#This Row],[$ CAPITAL]]+FINANCIACION[[#This Row],[$ INTERESES]],"")</f>
        <v/>
      </c>
      <c r="F852" s="169">
        <f>+SUMIFS(FINANCIACION[$ CAPITAL],FINANCIACION[Fecha],"&lt;="&amp;FINANCIACION[[#This Row],[Fecha]],FINANCIACION[PRESTAMO],FINANCIACION[[#This Row],[PRESTAMO]])</f>
        <v>-61434113</v>
      </c>
      <c r="G852" s="56"/>
      <c r="H852" s="8"/>
      <c r="I852" s="5" t="b">
        <f>IF(FINANCIACION[[#This Row],[$ CAPITAL]]&gt;0,FINANCIACION[[#This Row],[$ CAPITAL]])</f>
        <v>0</v>
      </c>
      <c r="J852" s="36">
        <f>IF(FINANCIACION[[#This Row],[$ CAPITAL]]&gt;=0,FINANCIACION[[#This Row],[$ CAPITAL]]+FINANCIACION[[#This Row],[$ INTERESES]],0)</f>
        <v>0</v>
      </c>
    </row>
    <row r="853" spans="1:10" ht="24" hidden="1" customHeight="1" x14ac:dyDescent="0.25">
      <c r="A853" s="7">
        <v>44561</v>
      </c>
      <c r="B853" s="53" t="s">
        <v>418</v>
      </c>
      <c r="C853" s="5">
        <v>-918689.65000000224</v>
      </c>
      <c r="D853" s="5"/>
      <c r="E853" s="169" t="str">
        <f>+IF(FINANCIACION[[#This Row],[$ CAPITAL]]&gt;=0,FINANCIACION[[#This Row],[$ CAPITAL]]+FINANCIACION[[#This Row],[$ INTERESES]],"")</f>
        <v/>
      </c>
      <c r="F853" s="169">
        <f>+SUMIFS(FINANCIACION[$ CAPITAL],FINANCIACION[Fecha],"&lt;="&amp;FINANCIACION[[#This Row],[Fecha]],FINANCIACION[PRESTAMO],FINANCIACION[[#This Row],[PRESTAMO]])</f>
        <v>-24300823</v>
      </c>
      <c r="G853" s="56"/>
      <c r="H853" s="8"/>
      <c r="I853" s="5" t="b">
        <f>IF(FINANCIACION[[#This Row],[$ CAPITAL]]&gt;0,FINANCIACION[[#This Row],[$ CAPITAL]])</f>
        <v>0</v>
      </c>
      <c r="J853" s="36">
        <f>IF(FINANCIACION[[#This Row],[$ CAPITAL]]&gt;=0,FINANCIACION[[#This Row],[$ CAPITAL]]+FINANCIACION[[#This Row],[$ INTERESES]],0)</f>
        <v>0</v>
      </c>
    </row>
    <row r="854" spans="1:10" ht="24" hidden="1" customHeight="1" x14ac:dyDescent="0.25">
      <c r="A854" s="7">
        <v>44561</v>
      </c>
      <c r="B854" s="53" t="s">
        <v>540</v>
      </c>
      <c r="C854" s="5">
        <v>-2121591.9499999955</v>
      </c>
      <c r="D854" s="5"/>
      <c r="E854" s="169" t="str">
        <f>+IF(FINANCIACION[[#This Row],[$ CAPITAL]]&gt;=0,FINANCIACION[[#This Row],[$ CAPITAL]]+FINANCIACION[[#This Row],[$ INTERESES]],"")</f>
        <v/>
      </c>
      <c r="F854" s="169">
        <f>+SUMIFS(FINANCIACION[$ CAPITAL],FINANCIACION[Fecha],"&lt;="&amp;FINANCIACION[[#This Row],[Fecha]],FINANCIACION[PRESTAMO],FINANCIACION[[#This Row],[PRESTAMO]])</f>
        <v>-56119529</v>
      </c>
      <c r="G854" s="56"/>
      <c r="H854" s="8"/>
      <c r="I854" s="5" t="b">
        <f>IF(FINANCIACION[[#This Row],[$ CAPITAL]]&gt;0,FINANCIACION[[#This Row],[$ CAPITAL]])</f>
        <v>0</v>
      </c>
      <c r="J854" s="36">
        <f>IF(FINANCIACION[[#This Row],[$ CAPITAL]]&gt;=0,FINANCIACION[[#This Row],[$ CAPITAL]]+FINANCIACION[[#This Row],[$ INTERESES]],0)</f>
        <v>0</v>
      </c>
    </row>
    <row r="855" spans="1:10" ht="24" hidden="1" customHeight="1" x14ac:dyDescent="0.25">
      <c r="A855" s="7">
        <v>44561</v>
      </c>
      <c r="B855" s="53" t="s">
        <v>1217</v>
      </c>
      <c r="C855" s="5">
        <v>-18803895</v>
      </c>
      <c r="D855" s="5"/>
      <c r="E855" s="169" t="str">
        <f>+IF(FINANCIACION[[#This Row],[$ CAPITAL]]&gt;=0,FINANCIACION[[#This Row],[$ CAPITAL]]+FINANCIACION[[#This Row],[$ INTERESES]],"")</f>
        <v/>
      </c>
      <c r="F855" s="169">
        <f>+SUMIFS(FINANCIACION[$ CAPITAL],FINANCIACION[Fecha],"&lt;="&amp;FINANCIACION[[#This Row],[Fecha]],FINANCIACION[PRESTAMO],FINANCIACION[[#This Row],[PRESTAMO]])</f>
        <v>-337123027</v>
      </c>
      <c r="G855" s="56" t="s">
        <v>231</v>
      </c>
      <c r="H855" s="8"/>
      <c r="I855" s="5" t="b">
        <f>IF(FINANCIACION[[#This Row],[$ CAPITAL]]&gt;0,FINANCIACION[[#This Row],[$ CAPITAL]])</f>
        <v>0</v>
      </c>
      <c r="J855" s="36">
        <f>IF(FINANCIACION[[#This Row],[$ CAPITAL]]&gt;=0,FINANCIACION[[#This Row],[$ CAPITAL]]+FINANCIACION[[#This Row],[$ INTERESES]],0)</f>
        <v>0</v>
      </c>
    </row>
    <row r="856" spans="1:10" ht="24" hidden="1" customHeight="1" x14ac:dyDescent="0.25">
      <c r="A856" s="7">
        <v>44561</v>
      </c>
      <c r="B856" s="53" t="s">
        <v>201</v>
      </c>
      <c r="C856" s="5">
        <v>-3484626</v>
      </c>
      <c r="D856" s="5"/>
      <c r="E856" s="169" t="str">
        <f>+IF(FINANCIACION[[#This Row],[$ CAPITAL]]&gt;=0,FINANCIACION[[#This Row],[$ CAPITAL]]+FINANCIACION[[#This Row],[$ INTERESES]],"")</f>
        <v/>
      </c>
      <c r="F856" s="169">
        <f>+SUMIFS(FINANCIACION[$ CAPITAL],FINANCIACION[Fecha],"&lt;="&amp;FINANCIACION[[#This Row],[Fecha]],FINANCIACION[PRESTAMO],FINANCIACION[[#This Row],[PRESTAMO]])</f>
        <v>-602400</v>
      </c>
      <c r="G856" s="56"/>
      <c r="H856" s="8"/>
      <c r="I856" s="5" t="b">
        <f>IF(FINANCIACION[[#This Row],[$ CAPITAL]]&gt;0,FINANCIACION[[#This Row],[$ CAPITAL]])</f>
        <v>0</v>
      </c>
      <c r="J856" s="36">
        <f>IF(FINANCIACION[[#This Row],[$ CAPITAL]]&gt;=0,FINANCIACION[[#This Row],[$ CAPITAL]]+FINANCIACION[[#This Row],[$ INTERESES]],0)</f>
        <v>0</v>
      </c>
    </row>
    <row r="857" spans="1:10" ht="24" hidden="1" customHeight="1" x14ac:dyDescent="0.25">
      <c r="A857" s="7">
        <v>44561</v>
      </c>
      <c r="B857" s="53" t="s">
        <v>202</v>
      </c>
      <c r="C857" s="5">
        <v>-15729425</v>
      </c>
      <c r="D857" s="5"/>
      <c r="E857" s="169" t="str">
        <f>+IF(FINANCIACION[[#This Row],[$ CAPITAL]]&gt;=0,FINANCIACION[[#This Row],[$ CAPITAL]]+FINANCIACION[[#This Row],[$ INTERESES]],"")</f>
        <v/>
      </c>
      <c r="F857" s="169">
        <f>+SUMIFS(FINANCIACION[$ CAPITAL],FINANCIACION[Fecha],"&lt;="&amp;FINANCIACION[[#This Row],[Fecha]],FINANCIACION[PRESTAMO],FINANCIACION[[#This Row],[PRESTAMO]])</f>
        <v>-20561500</v>
      </c>
      <c r="G857" s="56"/>
      <c r="H857" s="8"/>
      <c r="I857" s="5" t="b">
        <f>IF(FINANCIACION[[#This Row],[$ CAPITAL]]&gt;0,FINANCIACION[[#This Row],[$ CAPITAL]])</f>
        <v>0</v>
      </c>
      <c r="J857" s="36">
        <f>IF(FINANCIACION[[#This Row],[$ CAPITAL]]&gt;=0,FINANCIACION[[#This Row],[$ CAPITAL]]+FINANCIACION[[#This Row],[$ INTERESES]],0)</f>
        <v>0</v>
      </c>
    </row>
    <row r="858" spans="1:10" ht="24" hidden="1" customHeight="1" x14ac:dyDescent="0.25">
      <c r="A858" s="7">
        <v>44561</v>
      </c>
      <c r="B858" s="53" t="s">
        <v>203</v>
      </c>
      <c r="C858" s="5">
        <v>-1357536</v>
      </c>
      <c r="D858" s="5"/>
      <c r="E858" s="169" t="str">
        <f>+IF(FINANCIACION[[#This Row],[$ CAPITAL]]&gt;=0,FINANCIACION[[#This Row],[$ CAPITAL]]+FINANCIACION[[#This Row],[$ INTERESES]],"")</f>
        <v/>
      </c>
      <c r="F858" s="169">
        <f>+SUMIFS(FINANCIACION[$ CAPITAL],FINANCIACION[Fecha],"&lt;="&amp;FINANCIACION[[#This Row],[Fecha]],FINANCIACION[PRESTAMO],FINANCIACION[[#This Row],[PRESTAMO]])</f>
        <v>-357536</v>
      </c>
      <c r="G858" s="56"/>
      <c r="H858" s="8"/>
      <c r="I858" s="5" t="b">
        <f>IF(FINANCIACION[[#This Row],[$ CAPITAL]]&gt;0,FINANCIACION[[#This Row],[$ CAPITAL]])</f>
        <v>0</v>
      </c>
      <c r="J858" s="36">
        <f>IF(FINANCIACION[[#This Row],[$ CAPITAL]]&gt;=0,FINANCIACION[[#This Row],[$ CAPITAL]]+FINANCIACION[[#This Row],[$ INTERESES]],0)</f>
        <v>0</v>
      </c>
    </row>
    <row r="859" spans="1:10" ht="24" hidden="1" customHeight="1" x14ac:dyDescent="0.25">
      <c r="A859" s="7">
        <v>44564</v>
      </c>
      <c r="B859" s="53" t="s">
        <v>193</v>
      </c>
      <c r="C859" s="5">
        <v>1468400</v>
      </c>
      <c r="D859" s="5">
        <v>417344</v>
      </c>
      <c r="E859" s="169">
        <f>+IF(FINANCIACION[[#This Row],[$ CAPITAL]]&gt;=0,FINANCIACION[[#This Row],[$ CAPITAL]]+FINANCIACION[[#This Row],[$ INTERESES]],"")</f>
        <v>1885744</v>
      </c>
      <c r="F859" s="169">
        <f>+SUMIFS(FINANCIACION[$ CAPITAL],FINANCIACION[Fecha],"&lt;="&amp;FINANCIACION[[#This Row],[Fecha]],FINANCIACION[PRESTAMO],FINANCIACION[[#This Row],[PRESTAMO]])</f>
        <v>-39646800</v>
      </c>
      <c r="G859" s="56"/>
      <c r="H859" s="8"/>
      <c r="I859" s="5">
        <f>IF(FINANCIACION[[#This Row],[$ CAPITAL]]&gt;0,FINANCIACION[[#This Row],[$ CAPITAL]])</f>
        <v>1468400</v>
      </c>
      <c r="J859" s="36">
        <f>IF(FINANCIACION[[#This Row],[$ CAPITAL]]&gt;=0,FINANCIACION[[#This Row],[$ CAPITAL]]+FINANCIACION[[#This Row],[$ INTERESES]],0)</f>
        <v>1885744</v>
      </c>
    </row>
    <row r="860" spans="1:10" ht="24" hidden="1" customHeight="1" x14ac:dyDescent="0.25">
      <c r="A860" s="7">
        <v>44564</v>
      </c>
      <c r="B860" s="53" t="s">
        <v>194</v>
      </c>
      <c r="C860" s="5">
        <v>76791</v>
      </c>
      <c r="D860" s="5"/>
      <c r="E860" s="169">
        <f>+IF(FINANCIACION[[#This Row],[$ CAPITAL]]&gt;=0,FINANCIACION[[#This Row],[$ CAPITAL]]+FINANCIACION[[#This Row],[$ INTERESES]],"")</f>
        <v>76791</v>
      </c>
      <c r="F860" s="169">
        <f>+SUMIFS(FINANCIACION[$ CAPITAL],FINANCIACION[Fecha],"&lt;="&amp;FINANCIACION[[#This Row],[Fecha]],FINANCIACION[PRESTAMO],FINANCIACION[[#This Row],[PRESTAMO]])</f>
        <v>-2073357</v>
      </c>
      <c r="G860" s="56"/>
      <c r="H860" s="8"/>
      <c r="I860" s="5">
        <f>IF(FINANCIACION[[#This Row],[$ CAPITAL]]&gt;0,FINANCIACION[[#This Row],[$ CAPITAL]])</f>
        <v>76791</v>
      </c>
      <c r="J860" s="36">
        <f>IF(FINANCIACION[[#This Row],[$ CAPITAL]]&gt;=0,FINANCIACION[[#This Row],[$ CAPITAL]]+FINANCIACION[[#This Row],[$ INTERESES]],0)</f>
        <v>76791</v>
      </c>
    </row>
    <row r="861" spans="1:10" ht="24" hidden="1" customHeight="1" x14ac:dyDescent="0.25">
      <c r="A861" s="7">
        <v>44565</v>
      </c>
      <c r="B861" s="53" t="s">
        <v>1232</v>
      </c>
      <c r="C861" s="5">
        <v>30000000</v>
      </c>
      <c r="D861" s="5">
        <v>465000</v>
      </c>
      <c r="E861" s="169">
        <f>+IF(FINANCIACION[[#This Row],[$ CAPITAL]]&gt;=0,FINANCIACION[[#This Row],[$ CAPITAL]]+FINANCIACION[[#This Row],[$ INTERESES]],"")</f>
        <v>30465000</v>
      </c>
      <c r="F861" s="169">
        <f>+SUMIFS(FINANCIACION[$ CAPITAL],FINANCIACION[Fecha],"&lt;="&amp;FINANCIACION[[#This Row],[Fecha]],FINANCIACION[PRESTAMO],FINANCIACION[[#This Row],[PRESTAMO]])</f>
        <v>0</v>
      </c>
      <c r="G861" s="56"/>
      <c r="H861" s="8"/>
      <c r="I861" s="5">
        <f>IF(FINANCIACION[[#This Row],[$ CAPITAL]]&gt;0,FINANCIACION[[#This Row],[$ CAPITAL]])</f>
        <v>30000000</v>
      </c>
      <c r="J861" s="36">
        <f>IF(FINANCIACION[[#This Row],[$ CAPITAL]]&gt;=0,FINANCIACION[[#This Row],[$ CAPITAL]]+FINANCIACION[[#This Row],[$ INTERESES]],0)</f>
        <v>30465000</v>
      </c>
    </row>
    <row r="862" spans="1:10" ht="24" hidden="1" customHeight="1" x14ac:dyDescent="0.25">
      <c r="A862" s="7">
        <v>44565</v>
      </c>
      <c r="B862" s="53" t="s">
        <v>197</v>
      </c>
      <c r="C862" s="5">
        <v>6326000</v>
      </c>
      <c r="D862" s="5">
        <v>1249384.54</v>
      </c>
      <c r="E862" s="169">
        <f>+IF(FINANCIACION[[#This Row],[$ CAPITAL]]&gt;=0,FINANCIACION[[#This Row],[$ CAPITAL]]+FINANCIACION[[#This Row],[$ INTERESES]],"")</f>
        <v>7575384.54</v>
      </c>
      <c r="F862" s="169">
        <f>+SUMIFS(FINANCIACION[$ CAPITAL],FINANCIACION[Fecha],"&lt;="&amp;FINANCIACION[[#This Row],[Fecha]],FINANCIACION[PRESTAMO],FINANCIACION[[#This Row],[PRESTAMO]])</f>
        <v>-9757126</v>
      </c>
      <c r="G862" s="56"/>
      <c r="H862" s="8"/>
      <c r="I862" s="5">
        <f>IF(FINANCIACION[[#This Row],[$ CAPITAL]]&gt;0,FINANCIACION[[#This Row],[$ CAPITAL]])</f>
        <v>6326000</v>
      </c>
      <c r="J862" s="36">
        <f>IF(FINANCIACION[[#This Row],[$ CAPITAL]]&gt;=0,FINANCIACION[[#This Row],[$ CAPITAL]]+FINANCIACION[[#This Row],[$ INTERESES]],0)</f>
        <v>7575384.54</v>
      </c>
    </row>
    <row r="863" spans="1:10" ht="24" hidden="1" customHeight="1" x14ac:dyDescent="0.25">
      <c r="A863" s="7">
        <v>44566</v>
      </c>
      <c r="B863" s="53" t="s">
        <v>203</v>
      </c>
      <c r="C863" s="5">
        <v>357536</v>
      </c>
      <c r="D863" s="5"/>
      <c r="E863" s="169">
        <f>+IF(FINANCIACION[[#This Row],[$ CAPITAL]]&gt;=0,FINANCIACION[[#This Row],[$ CAPITAL]]+FINANCIACION[[#This Row],[$ INTERESES]],"")</f>
        <v>357536</v>
      </c>
      <c r="F863" s="169">
        <f>+SUMIFS(FINANCIACION[$ CAPITAL],FINANCIACION[Fecha],"&lt;="&amp;FINANCIACION[[#This Row],[Fecha]],FINANCIACION[PRESTAMO],FINANCIACION[[#This Row],[PRESTAMO]])</f>
        <v>0</v>
      </c>
      <c r="G863" s="56"/>
      <c r="H863" s="8"/>
      <c r="I863" s="5">
        <f>IF(FINANCIACION[[#This Row],[$ CAPITAL]]&gt;0,FINANCIACION[[#This Row],[$ CAPITAL]])</f>
        <v>357536</v>
      </c>
      <c r="J863" s="36">
        <f>IF(FINANCIACION[[#This Row],[$ CAPITAL]]&gt;=0,FINANCIACION[[#This Row],[$ CAPITAL]]+FINANCIACION[[#This Row],[$ INTERESES]],0)</f>
        <v>357536</v>
      </c>
    </row>
    <row r="864" spans="1:10" ht="24" hidden="1" customHeight="1" x14ac:dyDescent="0.25">
      <c r="A864" s="7">
        <v>44567</v>
      </c>
      <c r="B864" s="53" t="s">
        <v>195</v>
      </c>
      <c r="C864" s="5"/>
      <c r="D864" s="5">
        <v>395585</v>
      </c>
      <c r="E864" s="169">
        <f>+IF(FINANCIACION[[#This Row],[$ CAPITAL]]&gt;=0,FINANCIACION[[#This Row],[$ CAPITAL]]+FINANCIACION[[#This Row],[$ INTERESES]],"")</f>
        <v>395585</v>
      </c>
      <c r="F864" s="169">
        <f>+SUMIFS(FINANCIACION[$ CAPITAL],FINANCIACION[Fecha],"&lt;="&amp;FINANCIACION[[#This Row],[Fecha]],FINANCIACION[PRESTAMO],FINANCIACION[[#This Row],[PRESTAMO]])</f>
        <v>0</v>
      </c>
      <c r="G864" s="56"/>
      <c r="H864" s="8"/>
      <c r="I864" s="5" t="b">
        <f>IF(FINANCIACION[[#This Row],[$ CAPITAL]]&gt;0,FINANCIACION[[#This Row],[$ CAPITAL]])</f>
        <v>0</v>
      </c>
      <c r="J864" s="36">
        <f>IF(FINANCIACION[[#This Row],[$ CAPITAL]]&gt;=0,FINANCIACION[[#This Row],[$ CAPITAL]]+FINANCIACION[[#This Row],[$ INTERESES]],0)</f>
        <v>395585</v>
      </c>
    </row>
    <row r="865" spans="1:10" ht="24" hidden="1" customHeight="1" x14ac:dyDescent="0.25">
      <c r="A865" s="7">
        <v>44572</v>
      </c>
      <c r="B865" s="53" t="s">
        <v>1226</v>
      </c>
      <c r="C865" s="5"/>
      <c r="D865" s="5">
        <v>130000</v>
      </c>
      <c r="E865" s="169">
        <f>+IF(FINANCIACION[[#This Row],[$ CAPITAL]]&gt;=0,FINANCIACION[[#This Row],[$ CAPITAL]]+FINANCIACION[[#This Row],[$ INTERESES]],"")</f>
        <v>130000</v>
      </c>
      <c r="F865" s="169">
        <f>+SUMIFS(FINANCIACION[$ CAPITAL],FINANCIACION[Fecha],"&lt;="&amp;FINANCIACION[[#This Row],[Fecha]],FINANCIACION[PRESTAMO],FINANCIACION[[#This Row],[PRESTAMO]])</f>
        <v>-13000000</v>
      </c>
      <c r="G865" s="56"/>
      <c r="H865" s="8"/>
      <c r="I865" s="5" t="b">
        <f>IF(FINANCIACION[[#This Row],[$ CAPITAL]]&gt;0,FINANCIACION[[#This Row],[$ CAPITAL]])</f>
        <v>0</v>
      </c>
      <c r="J865" s="36">
        <f>IF(FINANCIACION[[#This Row],[$ CAPITAL]]&gt;=0,FINANCIACION[[#This Row],[$ CAPITAL]]+FINANCIACION[[#This Row],[$ INTERESES]],0)</f>
        <v>130000</v>
      </c>
    </row>
    <row r="866" spans="1:10" ht="24" hidden="1" customHeight="1" x14ac:dyDescent="0.25">
      <c r="A866" s="7">
        <v>44572</v>
      </c>
      <c r="B866" s="53" t="s">
        <v>1230</v>
      </c>
      <c r="C866" s="5"/>
      <c r="D866" s="5">
        <v>400000</v>
      </c>
      <c r="E866" s="169">
        <f>+IF(FINANCIACION[[#This Row],[$ CAPITAL]]&gt;=0,FINANCIACION[[#This Row],[$ CAPITAL]]+FINANCIACION[[#This Row],[$ INTERESES]],"")</f>
        <v>400000</v>
      </c>
      <c r="F866" s="169">
        <f>+SUMIFS(FINANCIACION[$ CAPITAL],FINANCIACION[Fecha],"&lt;="&amp;FINANCIACION[[#This Row],[Fecha]],FINANCIACION[PRESTAMO],FINANCIACION[[#This Row],[PRESTAMO]])</f>
        <v>-40000000</v>
      </c>
      <c r="G866" s="56"/>
      <c r="H866" s="8"/>
      <c r="I866" s="5" t="b">
        <f>IF(FINANCIACION[[#This Row],[$ CAPITAL]]&gt;0,FINANCIACION[[#This Row],[$ CAPITAL]])</f>
        <v>0</v>
      </c>
      <c r="J866" s="36">
        <f>IF(FINANCIACION[[#This Row],[$ CAPITAL]]&gt;=0,FINANCIACION[[#This Row],[$ CAPITAL]]+FINANCIACION[[#This Row],[$ INTERESES]],0)</f>
        <v>400000</v>
      </c>
    </row>
    <row r="867" spans="1:10" ht="24" hidden="1" customHeight="1" x14ac:dyDescent="0.25">
      <c r="A867" s="7">
        <v>44572</v>
      </c>
      <c r="B867" s="53" t="s">
        <v>1215</v>
      </c>
      <c r="C867" s="5">
        <v>1984832.5396928361</v>
      </c>
      <c r="D867" s="5">
        <v>692545.46030716388</v>
      </c>
      <c r="E867" s="169">
        <f>+IF(FINANCIACION[[#This Row],[$ CAPITAL]]&gt;=0,FINANCIACION[[#This Row],[$ CAPITAL]]+FINANCIACION[[#This Row],[$ INTERESES]],"")</f>
        <v>2677378</v>
      </c>
      <c r="F867" s="169">
        <f>+SUMIFS(FINANCIACION[$ CAPITAL],FINANCIACION[Fecha],"&lt;="&amp;FINANCIACION[[#This Row],[Fecha]],FINANCIACION[PRESTAMO],FINANCIACION[[#This Row],[PRESTAMO]])</f>
        <v>-67269713.491023555</v>
      </c>
      <c r="G867" s="56"/>
      <c r="H867" s="8"/>
      <c r="I867" s="5">
        <f>IF(FINANCIACION[[#This Row],[$ CAPITAL]]&gt;0,FINANCIACION[[#This Row],[$ CAPITAL]])</f>
        <v>1984832.5396928361</v>
      </c>
      <c r="J867" s="36">
        <f>IF(FINANCIACION[[#This Row],[$ CAPITAL]]&gt;=0,FINANCIACION[[#This Row],[$ CAPITAL]]+FINANCIACION[[#This Row],[$ INTERESES]],0)</f>
        <v>2677378</v>
      </c>
    </row>
    <row r="868" spans="1:10" ht="24" hidden="1" customHeight="1" x14ac:dyDescent="0.25">
      <c r="A868" s="7">
        <v>44572</v>
      </c>
      <c r="B868" s="53" t="s">
        <v>1219</v>
      </c>
      <c r="C868" s="5">
        <v>764704.74227897299</v>
      </c>
      <c r="D868" s="5">
        <v>535295.25772102701</v>
      </c>
      <c r="E868" s="169">
        <f>+IF(FINANCIACION[[#This Row],[$ CAPITAL]]&gt;=0,FINANCIACION[[#This Row],[$ CAPITAL]]+FINANCIACION[[#This Row],[$ INTERESES]],"")</f>
        <v>1300000</v>
      </c>
      <c r="F868" s="169">
        <f>+SUMIFS(FINANCIACION[$ CAPITAL],FINANCIACION[Fecha],"&lt;="&amp;FINANCIACION[[#This Row],[Fecha]],FINANCIACION[PRESTAMO],FINANCIACION[[#This Row],[PRESTAMO]])</f>
        <v>-52764821.029823728</v>
      </c>
      <c r="G868" s="56"/>
      <c r="H868" s="8"/>
      <c r="I868" s="5">
        <f>IF(FINANCIACION[[#This Row],[$ CAPITAL]]&gt;0,FINANCIACION[[#This Row],[$ CAPITAL]])</f>
        <v>764704.74227897299</v>
      </c>
      <c r="J868" s="36">
        <f>IF(FINANCIACION[[#This Row],[$ CAPITAL]]&gt;=0,FINANCIACION[[#This Row],[$ CAPITAL]]+FINANCIACION[[#This Row],[$ INTERESES]],0)</f>
        <v>1300000</v>
      </c>
    </row>
    <row r="869" spans="1:10" ht="24" hidden="1" customHeight="1" x14ac:dyDescent="0.25">
      <c r="A869" s="7">
        <v>44572</v>
      </c>
      <c r="B869" s="53" t="s">
        <v>1216</v>
      </c>
      <c r="C869" s="5">
        <v>495231.94512736518</v>
      </c>
      <c r="D869" s="5">
        <v>704768.05487263482</v>
      </c>
      <c r="E869" s="169">
        <f>+IF(FINANCIACION[[#This Row],[$ CAPITAL]]&gt;=0,FINANCIACION[[#This Row],[$ CAPITAL]]+FINANCIACION[[#This Row],[$ INTERESES]],"")</f>
        <v>1200000</v>
      </c>
      <c r="F869" s="169">
        <f>+SUMIFS(FINANCIACION[$ CAPITAL],FINANCIACION[Fecha],"&lt;="&amp;FINANCIACION[[#This Row],[Fecha]],FINANCIACION[PRESTAMO],FINANCIACION[[#This Row],[PRESTAMO]])</f>
        <v>-69981573.542136118</v>
      </c>
      <c r="G869" s="56"/>
      <c r="H869" s="56"/>
      <c r="I869" s="5">
        <f>IF(FINANCIACION[[#This Row],[$ CAPITAL]]&gt;0,FINANCIACION[[#This Row],[$ CAPITAL]])</f>
        <v>495231.94512736518</v>
      </c>
      <c r="J869" s="36">
        <f>IF(FINANCIACION[[#This Row],[$ CAPITAL]]&gt;=0,FINANCIACION[[#This Row],[$ CAPITAL]]+FINANCIACION[[#This Row],[$ INTERESES]],0)</f>
        <v>1200000</v>
      </c>
    </row>
    <row r="870" spans="1:10" ht="24" hidden="1" customHeight="1" x14ac:dyDescent="0.25">
      <c r="A870" s="7">
        <v>44572</v>
      </c>
      <c r="B870" s="53" t="s">
        <v>1228</v>
      </c>
      <c r="C870" s="5"/>
      <c r="D870" s="5">
        <v>120000</v>
      </c>
      <c r="E870" s="169">
        <f>+IF(FINANCIACION[[#This Row],[$ CAPITAL]]&gt;=0,FINANCIACION[[#This Row],[$ CAPITAL]]+FINANCIACION[[#This Row],[$ INTERESES]],"")</f>
        <v>120000</v>
      </c>
      <c r="F870" s="169">
        <f>+SUMIFS(FINANCIACION[$ CAPITAL],FINANCIACION[Fecha],"&lt;="&amp;FINANCIACION[[#This Row],[Fecha]],FINANCIACION[PRESTAMO],FINANCIACION[[#This Row],[PRESTAMO]])</f>
        <v>-12000000</v>
      </c>
      <c r="G870" s="56"/>
      <c r="H870" s="8"/>
      <c r="I870" s="5" t="b">
        <f>IF(FINANCIACION[[#This Row],[$ CAPITAL]]&gt;0,FINANCIACION[[#This Row],[$ CAPITAL]])</f>
        <v>0</v>
      </c>
      <c r="J870" s="36">
        <f>IF(FINANCIACION[[#This Row],[$ CAPITAL]]&gt;=0,FINANCIACION[[#This Row],[$ CAPITAL]]+FINANCIACION[[#This Row],[$ INTERESES]],0)</f>
        <v>120000</v>
      </c>
    </row>
    <row r="871" spans="1:10" ht="24" customHeight="1" x14ac:dyDescent="0.25">
      <c r="A871" s="7">
        <v>44575</v>
      </c>
      <c r="B871" s="53" t="s">
        <v>200</v>
      </c>
      <c r="C871" s="5">
        <v>1944444</v>
      </c>
      <c r="D871" s="5">
        <v>246818.5</v>
      </c>
      <c r="E871" s="169">
        <f>+IF(FINANCIACION[[#This Row],[$ CAPITAL]]&gt;=0,FINANCIACION[[#This Row],[$ CAPITAL]]+FINANCIACION[[#This Row],[$ INTERESES]],"")</f>
        <v>2191262.5</v>
      </c>
      <c r="F871" s="169">
        <f>+SUMIFS(FINANCIACION[$ CAPITAL],FINANCIACION[Fecha],"&lt;="&amp;FINANCIACION[[#This Row],[Fecha]],FINANCIACION[PRESTAMO],FINANCIACION[[#This Row],[PRESTAMO]])</f>
        <v>-31111112</v>
      </c>
      <c r="G871" s="56"/>
      <c r="H871" s="8"/>
      <c r="I871" s="5">
        <f>IF(FINANCIACION[[#This Row],[$ CAPITAL]]&gt;0,FINANCIACION[[#This Row],[$ CAPITAL]])</f>
        <v>1944444</v>
      </c>
      <c r="J871" s="36">
        <f>IF(FINANCIACION[[#This Row],[$ CAPITAL]]&gt;=0,FINANCIACION[[#This Row],[$ CAPITAL]]+FINANCIACION[[#This Row],[$ INTERESES]],0)</f>
        <v>2191262.5</v>
      </c>
    </row>
    <row r="872" spans="1:10" ht="24" hidden="1" customHeight="1" x14ac:dyDescent="0.25">
      <c r="A872" s="7">
        <v>44578</v>
      </c>
      <c r="B872" s="53" t="s">
        <v>959</v>
      </c>
      <c r="C872" s="5">
        <v>-57896217.960000001</v>
      </c>
      <c r="D872" s="5"/>
      <c r="E872" s="169" t="str">
        <f>+IF(FINANCIACION[[#This Row],[$ CAPITAL]]&gt;=0,FINANCIACION[[#This Row],[$ CAPITAL]]+FINANCIACION[[#This Row],[$ INTERESES]],"")</f>
        <v/>
      </c>
      <c r="F872" s="169">
        <f>+SUMIFS(FINANCIACION[$ CAPITAL],FINANCIACION[Fecha],"&lt;="&amp;FINANCIACION[[#This Row],[Fecha]],FINANCIACION[PRESTAMO],FINANCIACION[[#This Row],[PRESTAMO]])</f>
        <v>-57896217.960000001</v>
      </c>
      <c r="G872" s="56"/>
      <c r="H872" s="8"/>
      <c r="I872" s="5" t="b">
        <f>IF(FINANCIACION[[#This Row],[$ CAPITAL]]&gt;0,FINANCIACION[[#This Row],[$ CAPITAL]])</f>
        <v>0</v>
      </c>
      <c r="J872" s="36">
        <f>IF(FINANCIACION[[#This Row],[$ CAPITAL]]&gt;=0,FINANCIACION[[#This Row],[$ CAPITAL]]+FINANCIACION[[#This Row],[$ INTERESES]],0)</f>
        <v>0</v>
      </c>
    </row>
    <row r="873" spans="1:10" ht="24" hidden="1" customHeight="1" x14ac:dyDescent="0.25">
      <c r="A873" s="7">
        <v>44579</v>
      </c>
      <c r="B873" s="53" t="s">
        <v>1217</v>
      </c>
      <c r="C873" s="5">
        <v>506866</v>
      </c>
      <c r="D873" s="5">
        <v>5475236</v>
      </c>
      <c r="E873" s="169">
        <f>+IF(FINANCIACION[[#This Row],[$ CAPITAL]]&gt;=0,FINANCIACION[[#This Row],[$ CAPITAL]]+FINANCIACION[[#This Row],[$ INTERESES]],"")</f>
        <v>5982102</v>
      </c>
      <c r="F873" s="169">
        <f>+SUMIFS(FINANCIACION[$ CAPITAL],FINANCIACION[Fecha],"&lt;="&amp;FINANCIACION[[#This Row],[Fecha]],FINANCIACION[PRESTAMO],FINANCIACION[[#This Row],[PRESTAMO]])</f>
        <v>-336616161</v>
      </c>
      <c r="G873" s="56"/>
      <c r="H873" s="8"/>
      <c r="I873" s="5">
        <f>IF(FINANCIACION[[#This Row],[$ CAPITAL]]&gt;0,FINANCIACION[[#This Row],[$ CAPITAL]])</f>
        <v>506866</v>
      </c>
      <c r="J873" s="36">
        <f>IF(FINANCIACION[[#This Row],[$ CAPITAL]]&gt;=0,FINANCIACION[[#This Row],[$ CAPITAL]]+FINANCIACION[[#This Row],[$ INTERESES]],0)</f>
        <v>5982102</v>
      </c>
    </row>
    <row r="874" spans="1:10" ht="24" hidden="1" customHeight="1" x14ac:dyDescent="0.25">
      <c r="A874" s="7">
        <v>44579</v>
      </c>
      <c r="B874" s="53" t="s">
        <v>1218</v>
      </c>
      <c r="C874" s="5">
        <v>1312621.1000000001</v>
      </c>
      <c r="D874" s="5">
        <v>155378.9</v>
      </c>
      <c r="E874" s="169">
        <f>+IF(FINANCIACION[[#This Row],[$ CAPITAL]]&gt;=0,FINANCIACION[[#This Row],[$ CAPITAL]]+FINANCIACION[[#This Row],[$ INTERESES]],"")</f>
        <v>1468000</v>
      </c>
      <c r="F874" s="169">
        <f>+SUMIFS(FINANCIACION[$ CAPITAL],FINANCIACION[Fecha],"&lt;="&amp;FINANCIACION[[#This Row],[Fecha]],FINANCIACION[PRESTAMO],FINANCIACION[[#This Row],[PRESTAMO]])</f>
        <v>-19848448.960000001</v>
      </c>
      <c r="G874" s="56"/>
      <c r="H874" s="8"/>
      <c r="I874" s="5">
        <f>IF(FINANCIACION[[#This Row],[$ CAPITAL]]&gt;0,FINANCIACION[[#This Row],[$ CAPITAL]])</f>
        <v>1312621.1000000001</v>
      </c>
      <c r="J874" s="36">
        <f>IF(FINANCIACION[[#This Row],[$ CAPITAL]]&gt;=0,FINANCIACION[[#This Row],[$ CAPITAL]]+FINANCIACION[[#This Row],[$ INTERESES]],0)</f>
        <v>1468000</v>
      </c>
    </row>
    <row r="875" spans="1:10" ht="24" hidden="1" customHeight="1" x14ac:dyDescent="0.25">
      <c r="A875" s="7">
        <v>44579</v>
      </c>
      <c r="B875" s="53" t="s">
        <v>1229</v>
      </c>
      <c r="C875" s="5">
        <v>1080029.21</v>
      </c>
      <c r="D875" s="5">
        <v>136970.79</v>
      </c>
      <c r="E875" s="169">
        <f>+IF(FINANCIACION[[#This Row],[$ CAPITAL]]&gt;=0,FINANCIACION[[#This Row],[$ CAPITAL]]+FINANCIACION[[#This Row],[$ INTERESES]],"")</f>
        <v>1217000</v>
      </c>
      <c r="F875" s="169">
        <f>+SUMIFS(FINANCIACION[$ CAPITAL],FINANCIACION[Fecha],"&lt;="&amp;FINANCIACION[[#This Row],[Fecha]],FINANCIACION[PRESTAMO],FINANCIACION[[#This Row],[PRESTAMO]])</f>
        <v>-17536552.289999999</v>
      </c>
      <c r="G875" s="56"/>
      <c r="H875" s="8"/>
      <c r="I875" s="5">
        <f>IF(FINANCIACION[[#This Row],[$ CAPITAL]]&gt;0,FINANCIACION[[#This Row],[$ CAPITAL]])</f>
        <v>1080029.21</v>
      </c>
      <c r="J875" s="36">
        <f>IF(FINANCIACION[[#This Row],[$ CAPITAL]]&gt;=0,FINANCIACION[[#This Row],[$ CAPITAL]]+FINANCIACION[[#This Row],[$ INTERESES]],0)</f>
        <v>1217000</v>
      </c>
    </row>
    <row r="876" spans="1:10" ht="24" hidden="1" customHeight="1" x14ac:dyDescent="0.25">
      <c r="A876" s="7">
        <v>44579</v>
      </c>
      <c r="B876" s="53" t="s">
        <v>1221</v>
      </c>
      <c r="C876" s="5">
        <v>2180296.02</v>
      </c>
      <c r="D876" s="5">
        <v>294703.98</v>
      </c>
      <c r="E876" s="169">
        <f>+IF(FINANCIACION[[#This Row],[$ CAPITAL]]&gt;=0,FINANCIACION[[#This Row],[$ CAPITAL]]+FINANCIACION[[#This Row],[$ INTERESES]],"")</f>
        <v>2475000</v>
      </c>
      <c r="F876" s="169">
        <f>+SUMIFS(FINANCIACION[$ CAPITAL],FINANCIACION[Fecha],"&lt;="&amp;FINANCIACION[[#This Row],[Fecha]],FINANCIACION[PRESTAMO],FINANCIACION[[#This Row],[PRESTAMO]])</f>
        <v>-37702871.579999998</v>
      </c>
      <c r="G876" s="56"/>
      <c r="H876" s="8"/>
      <c r="I876" s="5">
        <f>IF(FINANCIACION[[#This Row],[$ CAPITAL]]&gt;0,FINANCIACION[[#This Row],[$ CAPITAL]])</f>
        <v>2180296.02</v>
      </c>
      <c r="J876" s="36">
        <f>IF(FINANCIACION[[#This Row],[$ CAPITAL]]&gt;=0,FINANCIACION[[#This Row],[$ CAPITAL]]+FINANCIACION[[#This Row],[$ INTERESES]],0)</f>
        <v>2475000</v>
      </c>
    </row>
    <row r="877" spans="1:10" ht="24" hidden="1" customHeight="1" x14ac:dyDescent="0.25">
      <c r="A877" s="7">
        <v>44579</v>
      </c>
      <c r="B877" s="53" t="s">
        <v>1222</v>
      </c>
      <c r="C877" s="5">
        <v>3165100.09</v>
      </c>
      <c r="D877" s="5">
        <v>469899.91</v>
      </c>
      <c r="E877" s="169">
        <f>+IF(FINANCIACION[[#This Row],[$ CAPITAL]]&gt;=0,FINANCIACION[[#This Row],[$ CAPITAL]]+FINANCIACION[[#This Row],[$ INTERESES]],"")</f>
        <v>3635000</v>
      </c>
      <c r="F877" s="169">
        <f>+SUMIFS(FINANCIACION[$ CAPITAL],FINANCIACION[Fecha],"&lt;="&amp;FINANCIACION[[#This Row],[Fecha]],FINANCIACION[PRESTAMO],FINANCIACION[[#This Row],[PRESTAMO]])</f>
        <v>-54743940.329999998</v>
      </c>
      <c r="G877" s="56"/>
      <c r="H877" s="8"/>
      <c r="I877" s="5">
        <f>IF(FINANCIACION[[#This Row],[$ CAPITAL]]&gt;0,FINANCIACION[[#This Row],[$ CAPITAL]])</f>
        <v>3165100.09</v>
      </c>
      <c r="J877" s="36">
        <f>IF(FINANCIACION[[#This Row],[$ CAPITAL]]&gt;=0,FINANCIACION[[#This Row],[$ CAPITAL]]+FINANCIACION[[#This Row],[$ INTERESES]],0)</f>
        <v>3635000</v>
      </c>
    </row>
    <row r="878" spans="1:10" ht="24" hidden="1" customHeight="1" x14ac:dyDescent="0.25">
      <c r="A878" s="7">
        <v>44579</v>
      </c>
      <c r="B878" s="53" t="s">
        <v>1223</v>
      </c>
      <c r="C878" s="5">
        <v>857747.04</v>
      </c>
      <c r="D878" s="5">
        <v>121252.96</v>
      </c>
      <c r="E878" s="169">
        <f>+IF(FINANCIACION[[#This Row],[$ CAPITAL]]&gt;=0,FINANCIACION[[#This Row],[$ CAPITAL]]+FINANCIACION[[#This Row],[$ INTERESES]],"")</f>
        <v>979000</v>
      </c>
      <c r="F878" s="169">
        <f>+SUMIFS(FINANCIACION[$ CAPITAL],FINANCIACION[Fecha],"&lt;="&amp;FINANCIACION[[#This Row],[Fecha]],FINANCIACION[PRESTAMO],FINANCIACION[[#This Row],[PRESTAMO]])</f>
        <v>-15569752.239999998</v>
      </c>
      <c r="G878" s="56"/>
      <c r="H878" s="8"/>
      <c r="I878" s="5">
        <f>IF(FINANCIACION[[#This Row],[$ CAPITAL]]&gt;0,FINANCIACION[[#This Row],[$ CAPITAL]])</f>
        <v>857747.04</v>
      </c>
      <c r="J878" s="36">
        <f>IF(FINANCIACION[[#This Row],[$ CAPITAL]]&gt;=0,FINANCIACION[[#This Row],[$ CAPITAL]]+FINANCIACION[[#This Row],[$ INTERESES]],0)</f>
        <v>979000</v>
      </c>
    </row>
    <row r="879" spans="1:10" ht="24" hidden="1" customHeight="1" x14ac:dyDescent="0.25">
      <c r="A879" s="7">
        <v>44579</v>
      </c>
      <c r="B879" s="53" t="s">
        <v>1225</v>
      </c>
      <c r="C879" s="5">
        <v>898290.36</v>
      </c>
      <c r="D879" s="5">
        <v>134709.64000000001</v>
      </c>
      <c r="E879" s="169">
        <f>+IF(FINANCIACION[[#This Row],[$ CAPITAL]]&gt;=0,FINANCIACION[[#This Row],[$ CAPITAL]]+FINANCIACION[[#This Row],[$ INTERESES]],"")</f>
        <v>1033000</v>
      </c>
      <c r="F879" s="169">
        <f>+SUMIFS(FINANCIACION[$ CAPITAL],FINANCIACION[Fecha],"&lt;="&amp;FINANCIACION[[#This Row],[Fecha]],FINANCIACION[PRESTAMO],FINANCIACION[[#This Row],[PRESTAMO]])</f>
        <v>-17254768.769999996</v>
      </c>
      <c r="G879" s="56"/>
      <c r="H879" s="8"/>
      <c r="I879" s="5">
        <f>IF(FINANCIACION[[#This Row],[$ CAPITAL]]&gt;0,FINANCIACION[[#This Row],[$ CAPITAL]])</f>
        <v>898290.36</v>
      </c>
      <c r="J879" s="36">
        <f>IF(FINANCIACION[[#This Row],[$ CAPITAL]]&gt;=0,FINANCIACION[[#This Row],[$ CAPITAL]]+FINANCIACION[[#This Row],[$ INTERESES]],0)</f>
        <v>1033000</v>
      </c>
    </row>
    <row r="880" spans="1:10" ht="24" hidden="1" customHeight="1" x14ac:dyDescent="0.25">
      <c r="A880" s="7">
        <v>44579</v>
      </c>
      <c r="B880" s="53" t="s">
        <v>1231</v>
      </c>
      <c r="C880" s="5">
        <v>831.03</v>
      </c>
      <c r="D880" s="5">
        <v>541168.97</v>
      </c>
      <c r="E880" s="169">
        <f>+IF(FINANCIACION[[#This Row],[$ CAPITAL]]&gt;=0,FINANCIACION[[#This Row],[$ CAPITAL]]+FINANCIACION[[#This Row],[$ INTERESES]],"")</f>
        <v>542000</v>
      </c>
      <c r="F880" s="169">
        <f>+SUMIFS(FINANCIACION[$ CAPITAL],FINANCIACION[Fecha],"&lt;="&amp;FINANCIACION[[#This Row],[Fecha]],FINANCIACION[PRESTAMO],FINANCIACION[[#This Row],[PRESTAMO]])</f>
        <v>-81521482.209999993</v>
      </c>
      <c r="G880" s="56"/>
      <c r="H880" s="8"/>
      <c r="I880" s="5">
        <f>+IF(FINANCIACION[[#This Row],[$ CAPITAL]]&gt;0,FINANCIACION[[#This Row],[$ CAPITAL]])</f>
        <v>831.03</v>
      </c>
      <c r="J880" s="36">
        <f>+IF(FINANCIACION[[#This Row],[$ CAPITAL]]&gt;=0,FINANCIACION[[#This Row],[$ CAPITAL]]+FINANCIACION[[#This Row],[$ INTERESES]],0)</f>
        <v>542000</v>
      </c>
    </row>
    <row r="881" spans="1:10" ht="24" hidden="1" customHeight="1" x14ac:dyDescent="0.25">
      <c r="A881" s="7">
        <v>44580</v>
      </c>
      <c r="B881" s="53" t="s">
        <v>1183</v>
      </c>
      <c r="C881" s="5">
        <v>4500000</v>
      </c>
      <c r="D881" s="5">
        <v>90000</v>
      </c>
      <c r="E881" s="169">
        <f>+IF(FINANCIACION[[#This Row],[$ CAPITAL]]&gt;=0,FINANCIACION[[#This Row],[$ CAPITAL]]+FINANCIACION[[#This Row],[$ INTERESES]],"")</f>
        <v>4590000</v>
      </c>
      <c r="F881" s="169">
        <f>+SUMIFS(FINANCIACION[$ CAPITAL],FINANCIACION[Fecha],"&lt;="&amp;FINANCIACION[[#This Row],[Fecha]],FINANCIACION[PRESTAMO],FINANCIACION[[#This Row],[PRESTAMO]])</f>
        <v>0</v>
      </c>
      <c r="G881" s="56"/>
      <c r="H881" s="8"/>
      <c r="I881" s="5">
        <f>+IF(FINANCIACION[[#This Row],[$ CAPITAL]]&gt;0,FINANCIACION[[#This Row],[$ CAPITAL]])</f>
        <v>4500000</v>
      </c>
      <c r="J881" s="36">
        <f>+IF(FINANCIACION[[#This Row],[$ CAPITAL]]&gt;=0,FINANCIACION[[#This Row],[$ CAPITAL]]+FINANCIACION[[#This Row],[$ INTERESES]],0)</f>
        <v>4590000</v>
      </c>
    </row>
    <row r="882" spans="1:10" ht="24" hidden="1" customHeight="1" x14ac:dyDescent="0.25">
      <c r="A882" s="7">
        <v>44581</v>
      </c>
      <c r="B882" s="53" t="s">
        <v>201</v>
      </c>
      <c r="C882" s="5">
        <v>628891</v>
      </c>
      <c r="D882" s="5"/>
      <c r="E882" s="169">
        <f>+IF(FINANCIACION[[#This Row],[$ CAPITAL]]&gt;=0,FINANCIACION[[#This Row],[$ CAPITAL]]+FINANCIACION[[#This Row],[$ INTERESES]],"")</f>
        <v>628891</v>
      </c>
      <c r="F882" s="169">
        <f>+SUMIFS(FINANCIACION[$ CAPITAL],FINANCIACION[Fecha],"&lt;="&amp;FINANCIACION[[#This Row],[Fecha]],FINANCIACION[PRESTAMO],FINANCIACION[[#This Row],[PRESTAMO]])</f>
        <v>26491</v>
      </c>
      <c r="G882" s="56"/>
      <c r="H882" s="8"/>
      <c r="I882" s="5">
        <f>+IF(FINANCIACION[[#This Row],[$ CAPITAL]]&gt;0,FINANCIACION[[#This Row],[$ CAPITAL]])</f>
        <v>628891</v>
      </c>
      <c r="J882" s="36">
        <f>+IF(FINANCIACION[[#This Row],[$ CAPITAL]]&gt;=0,FINANCIACION[[#This Row],[$ CAPITAL]]+FINANCIACION[[#This Row],[$ INTERESES]],0)</f>
        <v>628891</v>
      </c>
    </row>
    <row r="883" spans="1:10" ht="24" hidden="1" customHeight="1" x14ac:dyDescent="0.25">
      <c r="A883" s="7">
        <v>44581</v>
      </c>
      <c r="B883" s="53" t="s">
        <v>202</v>
      </c>
      <c r="C883" s="5">
        <v>2001975</v>
      </c>
      <c r="D883" s="5"/>
      <c r="E883" s="169">
        <f>+IF(FINANCIACION[[#This Row],[$ CAPITAL]]&gt;=0,FINANCIACION[[#This Row],[$ CAPITAL]]+FINANCIACION[[#This Row],[$ INTERESES]],"")</f>
        <v>2001975</v>
      </c>
      <c r="F883" s="169">
        <f>+SUMIFS(FINANCIACION[$ CAPITAL],FINANCIACION[Fecha],"&lt;="&amp;FINANCIACION[[#This Row],[Fecha]],FINANCIACION[PRESTAMO],FINANCIACION[[#This Row],[PRESTAMO]])</f>
        <v>-18559525</v>
      </c>
      <c r="G883" s="56"/>
      <c r="H883" s="8"/>
      <c r="I883" s="5">
        <f>+IF(FINANCIACION[[#This Row],[$ CAPITAL]]&gt;0,FINANCIACION[[#This Row],[$ CAPITAL]])</f>
        <v>2001975</v>
      </c>
      <c r="J883" s="36">
        <f>+IF(FINANCIACION[[#This Row],[$ CAPITAL]]&gt;=0,FINANCIACION[[#This Row],[$ CAPITAL]]+FINANCIACION[[#This Row],[$ INTERESES]],0)</f>
        <v>2001975</v>
      </c>
    </row>
    <row r="884" spans="1:10" ht="24" hidden="1" customHeight="1" x14ac:dyDescent="0.25">
      <c r="A884" s="7">
        <v>44592</v>
      </c>
      <c r="B884" s="53" t="s">
        <v>1233</v>
      </c>
      <c r="C884" s="5">
        <v>-23305032.5</v>
      </c>
      <c r="D884" s="5"/>
      <c r="E884" s="169" t="str">
        <f>+IF(FINANCIACION[[#This Row],[$ CAPITAL]]&gt;=0,FINANCIACION[[#This Row],[$ CAPITAL]]+FINANCIACION[[#This Row],[$ INTERESES]],"")</f>
        <v/>
      </c>
      <c r="F884" s="169">
        <f>+SUMIFS(FINANCIACION[$ CAPITAL],FINANCIACION[Fecha],"&lt;="&amp;FINANCIACION[[#This Row],[Fecha]],FINANCIACION[PRESTAMO],FINANCIACION[[#This Row],[PRESTAMO]])</f>
        <v>-23305032.5</v>
      </c>
      <c r="G884" s="56" t="s">
        <v>1234</v>
      </c>
      <c r="H884" s="8"/>
      <c r="I884" s="5" t="b">
        <f>+IF(FINANCIACION[[#This Row],[$ CAPITAL]]&gt;0,FINANCIACION[[#This Row],[$ CAPITAL]])</f>
        <v>0</v>
      </c>
      <c r="J884" s="36">
        <f>+IF(FINANCIACION[[#This Row],[$ CAPITAL]]&gt;=0,FINANCIACION[[#This Row],[$ CAPITAL]]+FINANCIACION[[#This Row],[$ INTERESES]],0)</f>
        <v>0</v>
      </c>
    </row>
    <row r="885" spans="1:10" ht="24" hidden="1" customHeight="1" x14ac:dyDescent="0.25">
      <c r="A885" s="7">
        <v>44592</v>
      </c>
      <c r="B885" s="53" t="s">
        <v>193</v>
      </c>
      <c r="C885" s="5">
        <v>1468400</v>
      </c>
      <c r="D885" s="5">
        <v>417717</v>
      </c>
      <c r="E885" s="169">
        <f>+IF(FINANCIACION[[#This Row],[$ CAPITAL]]&gt;=0,FINANCIACION[[#This Row],[$ CAPITAL]]+FINANCIACION[[#This Row],[$ INTERESES]],"")</f>
        <v>1886117</v>
      </c>
      <c r="F885" s="169">
        <f>+SUMIFS(FINANCIACION[$ CAPITAL],FINANCIACION[Fecha],"&lt;="&amp;FINANCIACION[[#This Row],[Fecha]],FINANCIACION[PRESTAMO],FINANCIACION[[#This Row],[PRESTAMO]])</f>
        <v>-38178400</v>
      </c>
      <c r="G885" s="56"/>
      <c r="H885" s="8">
        <v>-14434.36</v>
      </c>
      <c r="I885" s="5">
        <f>+IF(FINANCIACION[[#This Row],[$ CAPITAL]]&gt;0,FINANCIACION[[#This Row],[$ CAPITAL]])</f>
        <v>1468400</v>
      </c>
      <c r="J885" s="36">
        <f>+IF(FINANCIACION[[#This Row],[$ CAPITAL]]&gt;=0,FINANCIACION[[#This Row],[$ CAPITAL]]+FINANCIACION[[#This Row],[$ INTERESES]],0)</f>
        <v>1886117</v>
      </c>
    </row>
    <row r="886" spans="1:10" ht="24" hidden="1" customHeight="1" x14ac:dyDescent="0.25">
      <c r="A886" s="7">
        <v>44592</v>
      </c>
      <c r="B886" s="53" t="s">
        <v>194</v>
      </c>
      <c r="C886" s="5">
        <v>76791</v>
      </c>
      <c r="D886" s="5"/>
      <c r="E886" s="169">
        <f>+IF(FINANCIACION[[#This Row],[$ CAPITAL]]&gt;=0,FINANCIACION[[#This Row],[$ CAPITAL]]+FINANCIACION[[#This Row],[$ INTERESES]],"")</f>
        <v>76791</v>
      </c>
      <c r="F886" s="169">
        <f>+SUMIFS(FINANCIACION[$ CAPITAL],FINANCIACION[Fecha],"&lt;="&amp;FINANCIACION[[#This Row],[Fecha]],FINANCIACION[PRESTAMO],FINANCIACION[[#This Row],[PRESTAMO]])</f>
        <v>-1996566</v>
      </c>
      <c r="G886" s="56"/>
      <c r="H886" s="8"/>
      <c r="I886" s="5">
        <f>+IF(FINANCIACION[[#This Row],[$ CAPITAL]]&gt;0,FINANCIACION[[#This Row],[$ CAPITAL]])</f>
        <v>76791</v>
      </c>
      <c r="J886" s="36">
        <f>+IF(FINANCIACION[[#This Row],[$ CAPITAL]]&gt;=0,FINANCIACION[[#This Row],[$ CAPITAL]]+FINANCIACION[[#This Row],[$ INTERESES]],0)</f>
        <v>76791</v>
      </c>
    </row>
    <row r="887" spans="1:10" ht="24" hidden="1" customHeight="1" x14ac:dyDescent="0.25">
      <c r="A887" s="7">
        <v>44592</v>
      </c>
      <c r="B887" s="53" t="s">
        <v>195</v>
      </c>
      <c r="C887" s="5"/>
      <c r="D887" s="5">
        <v>142099</v>
      </c>
      <c r="E887" s="169">
        <f>+IF(FINANCIACION[[#This Row],[$ CAPITAL]]&gt;=0,FINANCIACION[[#This Row],[$ CAPITAL]]+FINANCIACION[[#This Row],[$ INTERESES]],"")</f>
        <v>142099</v>
      </c>
      <c r="F887" s="169">
        <f>+SUMIFS(FINANCIACION[$ CAPITAL],FINANCIACION[Fecha],"&lt;="&amp;FINANCIACION[[#This Row],[Fecha]],FINANCIACION[PRESTAMO],FINANCIACION[[#This Row],[PRESTAMO]])</f>
        <v>0</v>
      </c>
      <c r="G887" s="56"/>
      <c r="H887" s="8"/>
      <c r="I887" s="5" t="b">
        <f>+IF(FINANCIACION[[#This Row],[$ CAPITAL]]&gt;0,FINANCIACION[[#This Row],[$ CAPITAL]])</f>
        <v>0</v>
      </c>
      <c r="J887" s="36">
        <f>+IF(FINANCIACION[[#This Row],[$ CAPITAL]]&gt;=0,FINANCIACION[[#This Row],[$ CAPITAL]]+FINANCIACION[[#This Row],[$ INTERESES]],0)</f>
        <v>142099</v>
      </c>
    </row>
    <row r="888" spans="1:10" ht="24" hidden="1" customHeight="1" x14ac:dyDescent="0.25">
      <c r="A888" s="7">
        <v>44592</v>
      </c>
      <c r="B888" s="53" t="s">
        <v>294</v>
      </c>
      <c r="C888" s="5">
        <v>1498393</v>
      </c>
      <c r="D888" s="5"/>
      <c r="E888" s="169">
        <f>+IF(FINANCIACION[[#This Row],[$ CAPITAL]]&gt;=0,FINANCIACION[[#This Row],[$ CAPITAL]]+FINANCIACION[[#This Row],[$ INTERESES]],"")</f>
        <v>1498393</v>
      </c>
      <c r="F888" s="169">
        <f>+SUMIFS(FINANCIACION[$ CAPITAL],FINANCIACION[Fecha],"&lt;="&amp;FINANCIACION[[#This Row],[Fecha]],FINANCIACION[PRESTAMO],FINANCIACION[[#This Row],[PRESTAMO]])</f>
        <v>-59935720</v>
      </c>
      <c r="G888" s="56"/>
      <c r="H888" s="8"/>
      <c r="I888" s="5">
        <f>+IF(FINANCIACION[[#This Row],[$ CAPITAL]]&gt;0,FINANCIACION[[#This Row],[$ CAPITAL]])</f>
        <v>1498393</v>
      </c>
      <c r="J888" s="36">
        <f>+IF(FINANCIACION[[#This Row],[$ CAPITAL]]&gt;=0,FINANCIACION[[#This Row],[$ CAPITAL]]+FINANCIACION[[#This Row],[$ INTERESES]],0)</f>
        <v>1498393</v>
      </c>
    </row>
    <row r="889" spans="1:10" ht="24" hidden="1" customHeight="1" x14ac:dyDescent="0.25">
      <c r="A889" s="7">
        <v>44592</v>
      </c>
      <c r="B889" s="53" t="s">
        <v>418</v>
      </c>
      <c r="C889" s="5">
        <v>592703</v>
      </c>
      <c r="D889" s="5"/>
      <c r="E889" s="169">
        <f>+IF(FINANCIACION[[#This Row],[$ CAPITAL]]&gt;=0,FINANCIACION[[#This Row],[$ CAPITAL]]+FINANCIACION[[#This Row],[$ INTERESES]],"")</f>
        <v>592703</v>
      </c>
      <c r="F889" s="169">
        <f>+SUMIFS(FINANCIACION[$ CAPITAL],FINANCIACION[Fecha],"&lt;="&amp;FINANCIACION[[#This Row],[Fecha]],FINANCIACION[PRESTAMO],FINANCIACION[[#This Row],[PRESTAMO]])</f>
        <v>-23708120</v>
      </c>
      <c r="G889" s="56"/>
      <c r="H889" s="8"/>
      <c r="I889" s="5">
        <f>+IF(FINANCIACION[[#This Row],[$ CAPITAL]]&gt;0,FINANCIACION[[#This Row],[$ CAPITAL]])</f>
        <v>592703</v>
      </c>
      <c r="J889" s="36">
        <f>+IF(FINANCIACION[[#This Row],[$ CAPITAL]]&gt;=0,FINANCIACION[[#This Row],[$ CAPITAL]]+FINANCIACION[[#This Row],[$ INTERESES]],0)</f>
        <v>592703</v>
      </c>
    </row>
    <row r="890" spans="1:10" ht="24" hidden="1" customHeight="1" x14ac:dyDescent="0.25">
      <c r="A890" s="7">
        <v>44592</v>
      </c>
      <c r="B890" s="53" t="s">
        <v>540</v>
      </c>
      <c r="C890" s="5">
        <v>1368769</v>
      </c>
      <c r="D890" s="5"/>
      <c r="E890" s="169">
        <f>+IF(FINANCIACION[[#This Row],[$ CAPITAL]]&gt;=0,FINANCIACION[[#This Row],[$ CAPITAL]]+FINANCIACION[[#This Row],[$ INTERESES]],"")</f>
        <v>1368769</v>
      </c>
      <c r="F890" s="169">
        <f>+SUMIFS(FINANCIACION[$ CAPITAL],FINANCIACION[Fecha],"&lt;="&amp;FINANCIACION[[#This Row],[Fecha]],FINANCIACION[PRESTAMO],FINANCIACION[[#This Row],[PRESTAMO]])</f>
        <v>-54750760</v>
      </c>
      <c r="G890" s="56"/>
      <c r="H890" s="8"/>
      <c r="I890" s="5">
        <f>+IF(FINANCIACION[[#This Row],[$ CAPITAL]]&gt;0,FINANCIACION[[#This Row],[$ CAPITAL]])</f>
        <v>1368769</v>
      </c>
      <c r="J890" s="36">
        <f>+IF(FINANCIACION[[#This Row],[$ CAPITAL]]&gt;=0,FINANCIACION[[#This Row],[$ CAPITAL]]+FINANCIACION[[#This Row],[$ INTERESES]],0)</f>
        <v>1368769</v>
      </c>
    </row>
    <row r="891" spans="1:10" ht="24" hidden="1" customHeight="1" x14ac:dyDescent="0.25">
      <c r="A891" s="7">
        <v>44592</v>
      </c>
      <c r="B891" s="53" t="s">
        <v>959</v>
      </c>
      <c r="C891" s="5">
        <v>158777.96000000089</v>
      </c>
      <c r="D891" s="5"/>
      <c r="E891" s="169">
        <f>+IF(FINANCIACION[[#This Row],[$ CAPITAL]]&gt;=0,FINANCIACION[[#This Row],[$ CAPITAL]]+FINANCIACION[[#This Row],[$ INTERESES]],"")</f>
        <v>158777.96000000089</v>
      </c>
      <c r="F891" s="169">
        <f>+SUMIFS(FINANCIACION[$ CAPITAL],FINANCIACION[Fecha],"&lt;="&amp;FINANCIACION[[#This Row],[Fecha]],FINANCIACION[PRESTAMO],FINANCIACION[[#This Row],[PRESTAMO]])</f>
        <v>-57737440</v>
      </c>
      <c r="G891" s="56"/>
      <c r="H891" s="8"/>
      <c r="I891" s="5">
        <f>+IF(FINANCIACION[[#This Row],[$ CAPITAL]]&gt;0,FINANCIACION[[#This Row],[$ CAPITAL]])</f>
        <v>158777.96000000089</v>
      </c>
      <c r="J891" s="36">
        <f>+IF(FINANCIACION[[#This Row],[$ CAPITAL]]&gt;=0,FINANCIACION[[#This Row],[$ CAPITAL]]+FINANCIACION[[#This Row],[$ INTERESES]],0)</f>
        <v>158777.96000000089</v>
      </c>
    </row>
    <row r="892" spans="1:10" ht="24" hidden="1" customHeight="1" x14ac:dyDescent="0.25">
      <c r="A892" s="7">
        <v>44592</v>
      </c>
      <c r="B892" s="53" t="s">
        <v>201</v>
      </c>
      <c r="C892" s="5">
        <v>-2574004</v>
      </c>
      <c r="D892" s="5"/>
      <c r="E892" s="169" t="str">
        <f>+IF(FINANCIACION[[#This Row],[$ CAPITAL]]&gt;=0,FINANCIACION[[#This Row],[$ CAPITAL]]+FINANCIACION[[#This Row],[$ INTERESES]],"")</f>
        <v/>
      </c>
      <c r="F892" s="169">
        <f>+SUMIFS(FINANCIACION[$ CAPITAL],FINANCIACION[Fecha],"&lt;="&amp;FINANCIACION[[#This Row],[Fecha]],FINANCIACION[PRESTAMO],FINANCIACION[[#This Row],[PRESTAMO]])</f>
        <v>-2547513</v>
      </c>
      <c r="G892" s="56"/>
      <c r="H892" s="8"/>
      <c r="I892" s="5" t="b">
        <f>+IF(FINANCIACION[[#This Row],[$ CAPITAL]]&gt;0,FINANCIACION[[#This Row],[$ CAPITAL]])</f>
        <v>0</v>
      </c>
      <c r="J892" s="36">
        <f>+IF(FINANCIACION[[#This Row],[$ CAPITAL]]&gt;=0,FINANCIACION[[#This Row],[$ CAPITAL]]+FINANCIACION[[#This Row],[$ INTERESES]],0)</f>
        <v>0</v>
      </c>
    </row>
    <row r="893" spans="1:10" ht="24" hidden="1" customHeight="1" x14ac:dyDescent="0.25">
      <c r="A893" s="7">
        <v>44592</v>
      </c>
      <c r="B893" s="53" t="s">
        <v>202</v>
      </c>
      <c r="C893" s="5">
        <v>-11936475</v>
      </c>
      <c r="D893" s="5"/>
      <c r="E893" s="169" t="str">
        <f>+IF(FINANCIACION[[#This Row],[$ CAPITAL]]&gt;=0,FINANCIACION[[#This Row],[$ CAPITAL]]+FINANCIACION[[#This Row],[$ INTERESES]],"")</f>
        <v/>
      </c>
      <c r="F893" s="169">
        <f>+SUMIFS(FINANCIACION[$ CAPITAL],FINANCIACION[Fecha],"&lt;="&amp;FINANCIACION[[#This Row],[Fecha]],FINANCIACION[PRESTAMO],FINANCIACION[[#This Row],[PRESTAMO]])</f>
        <v>-30496000</v>
      </c>
      <c r="G893" s="56"/>
      <c r="H893" s="8"/>
      <c r="I893" s="5" t="b">
        <f>+IF(FINANCIACION[[#This Row],[$ CAPITAL]]&gt;0,FINANCIACION[[#This Row],[$ CAPITAL]])</f>
        <v>0</v>
      </c>
      <c r="J893" s="36">
        <f>+IF(FINANCIACION[[#This Row],[$ CAPITAL]]&gt;=0,FINANCIACION[[#This Row],[$ CAPITAL]]+FINANCIACION[[#This Row],[$ INTERESES]],0)</f>
        <v>0</v>
      </c>
    </row>
    <row r="894" spans="1:10" ht="24" hidden="1" customHeight="1" x14ac:dyDescent="0.25">
      <c r="A894" s="7">
        <v>44592</v>
      </c>
      <c r="B894" s="53" t="s">
        <v>203</v>
      </c>
      <c r="C894" s="5">
        <v>-404277</v>
      </c>
      <c r="D894" s="5"/>
      <c r="E894" s="169" t="str">
        <f>+IF(FINANCIACION[[#This Row],[$ CAPITAL]]&gt;=0,FINANCIACION[[#This Row],[$ CAPITAL]]+FINANCIACION[[#This Row],[$ INTERESES]],"")</f>
        <v/>
      </c>
      <c r="F894" s="169">
        <f>+SUMIFS(FINANCIACION[$ CAPITAL],FINANCIACION[Fecha],"&lt;="&amp;FINANCIACION[[#This Row],[Fecha]],FINANCIACION[PRESTAMO],FINANCIACION[[#This Row],[PRESTAMO]])</f>
        <v>-404277</v>
      </c>
      <c r="G894" s="56"/>
      <c r="H894" s="8"/>
      <c r="I894" s="5" t="b">
        <f>+IF(FINANCIACION[[#This Row],[$ CAPITAL]]&gt;0,FINANCIACION[[#This Row],[$ CAPITAL]])</f>
        <v>0</v>
      </c>
      <c r="J894" s="36">
        <f>+IF(FINANCIACION[[#This Row],[$ CAPITAL]]&gt;=0,FINANCIACION[[#This Row],[$ CAPITAL]]+FINANCIACION[[#This Row],[$ INTERESES]],0)</f>
        <v>0</v>
      </c>
    </row>
    <row r="895" spans="1:10" ht="24" hidden="1" customHeight="1" x14ac:dyDescent="0.25">
      <c r="A895" s="7">
        <v>44595</v>
      </c>
      <c r="B895" s="53" t="s">
        <v>197</v>
      </c>
      <c r="C895" s="5">
        <v>6326000</v>
      </c>
      <c r="D895" s="5">
        <v>1202180.5199999996</v>
      </c>
      <c r="E895" s="169">
        <f>+IF(FINANCIACION[[#This Row],[$ CAPITAL]]&gt;=0,FINANCIACION[[#This Row],[$ CAPITAL]]+FINANCIACION[[#This Row],[$ INTERESES]],"")</f>
        <v>7528180.5199999996</v>
      </c>
      <c r="F895" s="169">
        <f>+SUMIFS(FINANCIACION[$ CAPITAL],FINANCIACION[Fecha],"&lt;="&amp;FINANCIACION[[#This Row],[Fecha]],FINANCIACION[PRESTAMO],FINANCIACION[[#This Row],[PRESTAMO]])</f>
        <v>-3431126</v>
      </c>
      <c r="G895" s="56"/>
      <c r="H895" s="8"/>
      <c r="I895" s="5">
        <f>+IF(FINANCIACION[[#This Row],[$ CAPITAL]]&gt;0,FINANCIACION[[#This Row],[$ CAPITAL]])</f>
        <v>6326000</v>
      </c>
      <c r="J895" s="36">
        <f>+IF(FINANCIACION[[#This Row],[$ CAPITAL]]&gt;=0,FINANCIACION[[#This Row],[$ CAPITAL]]+FINANCIACION[[#This Row],[$ INTERESES]],0)</f>
        <v>7528180.5199999996</v>
      </c>
    </row>
    <row r="896" spans="1:10" ht="24" hidden="1" customHeight="1" x14ac:dyDescent="0.25">
      <c r="A896" s="7">
        <v>44596</v>
      </c>
      <c r="B896" s="53" t="s">
        <v>1235</v>
      </c>
      <c r="C896" s="5">
        <v>-20855747.98</v>
      </c>
      <c r="D896" s="5"/>
      <c r="E896" s="169" t="str">
        <f>+IF(FINANCIACION[[#This Row],[$ CAPITAL]]&gt;=0,FINANCIACION[[#This Row],[$ CAPITAL]]+FINANCIACION[[#This Row],[$ INTERESES]],"")</f>
        <v/>
      </c>
      <c r="F896" s="169">
        <f>+SUMIFS(FINANCIACION[$ CAPITAL],FINANCIACION[Fecha],"&lt;="&amp;FINANCIACION[[#This Row],[Fecha]],FINANCIACION[PRESTAMO],FINANCIACION[[#This Row],[PRESTAMO]])</f>
        <v>-20855747.98</v>
      </c>
      <c r="G896" s="56"/>
      <c r="H896" s="8"/>
      <c r="I896" s="5" t="b">
        <f>+IF(FINANCIACION[[#This Row],[$ CAPITAL]]&gt;0,FINANCIACION[[#This Row],[$ CAPITAL]])</f>
        <v>0</v>
      </c>
      <c r="J896" s="36">
        <f>+IF(FINANCIACION[[#This Row],[$ CAPITAL]]&gt;=0,FINANCIACION[[#This Row],[$ CAPITAL]]+FINANCIACION[[#This Row],[$ INTERESES]],0)</f>
        <v>0</v>
      </c>
    </row>
    <row r="897" spans="1:10" ht="24" hidden="1" customHeight="1" x14ac:dyDescent="0.25">
      <c r="A897" s="7">
        <v>44599</v>
      </c>
      <c r="B897" s="53" t="s">
        <v>195</v>
      </c>
      <c r="C897" s="5"/>
      <c r="D897" s="5">
        <v>387748</v>
      </c>
      <c r="E897" s="169">
        <f>+IF(FINANCIACION[[#This Row],[$ CAPITAL]]&gt;=0,FINANCIACION[[#This Row],[$ CAPITAL]]+FINANCIACION[[#This Row],[$ INTERESES]],"")</f>
        <v>387748</v>
      </c>
      <c r="F897" s="169">
        <f>+SUMIFS(FINANCIACION[$ CAPITAL],FINANCIACION[Fecha],"&lt;="&amp;FINANCIACION[[#This Row],[Fecha]],FINANCIACION[PRESTAMO],FINANCIACION[[#This Row],[PRESTAMO]])</f>
        <v>0</v>
      </c>
      <c r="G897" s="56"/>
      <c r="H897" s="8"/>
      <c r="I897" s="5" t="b">
        <f>+IF(FINANCIACION[[#This Row],[$ CAPITAL]]&gt;0,FINANCIACION[[#This Row],[$ CAPITAL]])</f>
        <v>0</v>
      </c>
      <c r="J897" s="36">
        <f>+IF(FINANCIACION[[#This Row],[$ CAPITAL]]&gt;=0,FINANCIACION[[#This Row],[$ CAPITAL]]+FINANCIACION[[#This Row],[$ INTERESES]],0)</f>
        <v>387748</v>
      </c>
    </row>
    <row r="898" spans="1:10" ht="24" hidden="1" customHeight="1" x14ac:dyDescent="0.25">
      <c r="A898" s="7">
        <v>44600</v>
      </c>
      <c r="B898" s="53" t="s">
        <v>203</v>
      </c>
      <c r="C898" s="5">
        <v>404277</v>
      </c>
      <c r="D898" s="5"/>
      <c r="E898" s="169">
        <f>+IF(FINANCIACION[[#This Row],[$ CAPITAL]]&gt;=0,FINANCIACION[[#This Row],[$ CAPITAL]]+FINANCIACION[[#This Row],[$ INTERESES]],"")</f>
        <v>404277</v>
      </c>
      <c r="F898" s="169">
        <f>+SUMIFS(FINANCIACION[$ CAPITAL],FINANCIACION[Fecha],"&lt;="&amp;FINANCIACION[[#This Row],[Fecha]],FINANCIACION[PRESTAMO],FINANCIACION[[#This Row],[PRESTAMO]])</f>
        <v>0</v>
      </c>
      <c r="G898" s="56"/>
      <c r="H898" s="8"/>
      <c r="I898" s="5">
        <f>+IF(FINANCIACION[[#This Row],[$ CAPITAL]]&gt;0,FINANCIACION[[#This Row],[$ CAPITAL]])</f>
        <v>404277</v>
      </c>
      <c r="J898" s="36">
        <f>+IF(FINANCIACION[[#This Row],[$ CAPITAL]]&gt;=0,FINANCIACION[[#This Row],[$ CAPITAL]]+FINANCIACION[[#This Row],[$ INTERESES]],0)</f>
        <v>404277</v>
      </c>
    </row>
    <row r="899" spans="1:10" ht="24" hidden="1" customHeight="1" x14ac:dyDescent="0.25">
      <c r="A899" s="7">
        <v>44602</v>
      </c>
      <c r="B899" s="53" t="s">
        <v>1226</v>
      </c>
      <c r="C899" s="5"/>
      <c r="D899" s="5">
        <v>130000</v>
      </c>
      <c r="E899" s="169">
        <f>+IF(FINANCIACION[[#This Row],[$ CAPITAL]]&gt;=0,FINANCIACION[[#This Row],[$ CAPITAL]]+FINANCIACION[[#This Row],[$ INTERESES]],"")</f>
        <v>130000</v>
      </c>
      <c r="F899" s="169">
        <f>+SUMIFS(FINANCIACION[$ CAPITAL],FINANCIACION[Fecha],"&lt;="&amp;FINANCIACION[[#This Row],[Fecha]],FINANCIACION[PRESTAMO],FINANCIACION[[#This Row],[PRESTAMO]])</f>
        <v>-13000000</v>
      </c>
      <c r="G899" s="56"/>
      <c r="H899" s="8"/>
      <c r="I899" s="5" t="b">
        <f>+IF(FINANCIACION[[#This Row],[$ CAPITAL]]&gt;0,FINANCIACION[[#This Row],[$ CAPITAL]])</f>
        <v>0</v>
      </c>
      <c r="J899" s="36">
        <f>+IF(FINANCIACION[[#This Row],[$ CAPITAL]]&gt;=0,FINANCIACION[[#This Row],[$ CAPITAL]]+FINANCIACION[[#This Row],[$ INTERESES]],0)</f>
        <v>130000</v>
      </c>
    </row>
    <row r="900" spans="1:10" ht="24" hidden="1" customHeight="1" x14ac:dyDescent="0.25">
      <c r="A900" s="7">
        <v>44602</v>
      </c>
      <c r="B900" s="53" t="s">
        <v>1230</v>
      </c>
      <c r="C900" s="5"/>
      <c r="D900" s="5">
        <v>400000</v>
      </c>
      <c r="E900" s="169">
        <f>+IF(FINANCIACION[[#This Row],[$ CAPITAL]]&gt;=0,FINANCIACION[[#This Row],[$ CAPITAL]]+FINANCIACION[[#This Row],[$ INTERESES]],"")</f>
        <v>400000</v>
      </c>
      <c r="F900" s="169">
        <f>+SUMIFS(FINANCIACION[$ CAPITAL],FINANCIACION[Fecha],"&lt;="&amp;FINANCIACION[[#This Row],[Fecha]],FINANCIACION[PRESTAMO],FINANCIACION[[#This Row],[PRESTAMO]])</f>
        <v>-40000000</v>
      </c>
      <c r="G900" s="56"/>
      <c r="H900" s="8"/>
      <c r="I900" s="5" t="b">
        <f>+IF(FINANCIACION[[#This Row],[$ CAPITAL]]&gt;0,FINANCIACION[[#This Row],[$ CAPITAL]])</f>
        <v>0</v>
      </c>
      <c r="J900" s="36">
        <f>+IF(FINANCIACION[[#This Row],[$ CAPITAL]]&gt;=0,FINANCIACION[[#This Row],[$ CAPITAL]]+FINANCIACION[[#This Row],[$ INTERESES]],0)</f>
        <v>400000</v>
      </c>
    </row>
    <row r="901" spans="1:10" ht="24" hidden="1" customHeight="1" x14ac:dyDescent="0.25">
      <c r="A901" s="7">
        <v>44602</v>
      </c>
      <c r="B901" s="53" t="s">
        <v>1215</v>
      </c>
      <c r="C901" s="5">
        <v>2004680.8650897644</v>
      </c>
      <c r="D901" s="5">
        <v>672697.13491023553</v>
      </c>
      <c r="E901" s="169">
        <f>+IF(FINANCIACION[[#This Row],[$ CAPITAL]]&gt;=0,FINANCIACION[[#This Row],[$ CAPITAL]]+FINANCIACION[[#This Row],[$ INTERESES]],"")</f>
        <v>2677378</v>
      </c>
      <c r="F901" s="169">
        <f>+SUMIFS(FINANCIACION[$ CAPITAL],FINANCIACION[Fecha],"&lt;="&amp;FINANCIACION[[#This Row],[Fecha]],FINANCIACION[PRESTAMO],FINANCIACION[[#This Row],[PRESTAMO]])</f>
        <v>-65265032.625933789</v>
      </c>
      <c r="G901" s="56"/>
      <c r="H901" s="8"/>
      <c r="I901" s="5">
        <f>+IF(FINANCIACION[[#This Row],[$ CAPITAL]]&gt;0,FINANCIACION[[#This Row],[$ CAPITAL]])</f>
        <v>2004680.8650897644</v>
      </c>
      <c r="J901" s="36">
        <f>+IF(FINANCIACION[[#This Row],[$ CAPITAL]]&gt;=0,FINANCIACION[[#This Row],[$ CAPITAL]]+FINANCIACION[[#This Row],[$ INTERESES]],0)</f>
        <v>2677378</v>
      </c>
    </row>
    <row r="902" spans="1:10" ht="24" hidden="1" customHeight="1" x14ac:dyDescent="0.25">
      <c r="A902" s="7">
        <v>44602</v>
      </c>
      <c r="B902" s="53" t="s">
        <v>1219</v>
      </c>
      <c r="C902" s="5">
        <v>772351.78970176273</v>
      </c>
      <c r="D902" s="5">
        <v>527648.21029823727</v>
      </c>
      <c r="E902" s="169">
        <f>+IF(FINANCIACION[[#This Row],[$ CAPITAL]]&gt;=0,FINANCIACION[[#This Row],[$ CAPITAL]]+FINANCIACION[[#This Row],[$ INTERESES]],"")</f>
        <v>1300000</v>
      </c>
      <c r="F902" s="169">
        <f>+SUMIFS(FINANCIACION[$ CAPITAL],FINANCIACION[Fecha],"&lt;="&amp;FINANCIACION[[#This Row],[Fecha]],FINANCIACION[PRESTAMO],FINANCIACION[[#This Row],[PRESTAMO]])</f>
        <v>-51992469.240121968</v>
      </c>
      <c r="G902" s="56"/>
      <c r="H902" s="8"/>
      <c r="I902" s="5">
        <f>+IF(FINANCIACION[[#This Row],[$ CAPITAL]]&gt;0,FINANCIACION[[#This Row],[$ CAPITAL]])</f>
        <v>772351.78970176273</v>
      </c>
      <c r="J902" s="36">
        <f>+IF(FINANCIACION[[#This Row],[$ CAPITAL]]&gt;=0,FINANCIACION[[#This Row],[$ CAPITAL]]+FINANCIACION[[#This Row],[$ INTERESES]],0)</f>
        <v>1300000</v>
      </c>
    </row>
    <row r="903" spans="1:10" ht="24" hidden="1" customHeight="1" x14ac:dyDescent="0.25">
      <c r="A903" s="7">
        <v>44602</v>
      </c>
      <c r="B903" s="53" t="s">
        <v>1216</v>
      </c>
      <c r="C903" s="5">
        <v>500184.26457863883</v>
      </c>
      <c r="D903" s="5">
        <v>699815.73542136117</v>
      </c>
      <c r="E903" s="169">
        <f>+IF(FINANCIACION[[#This Row],[$ CAPITAL]]&gt;=0,FINANCIACION[[#This Row],[$ CAPITAL]]+FINANCIACION[[#This Row],[$ INTERESES]],"")</f>
        <v>1200000</v>
      </c>
      <c r="F903" s="169">
        <f>+SUMIFS(FINANCIACION[$ CAPITAL],FINANCIACION[Fecha],"&lt;="&amp;FINANCIACION[[#This Row],[Fecha]],FINANCIACION[PRESTAMO],FINANCIACION[[#This Row],[PRESTAMO]])</f>
        <v>-69481389.277557477</v>
      </c>
      <c r="G903" s="56"/>
      <c r="H903" s="8"/>
      <c r="I903" s="5">
        <f>+IF(FINANCIACION[[#This Row],[$ CAPITAL]]&gt;0,FINANCIACION[[#This Row],[$ CAPITAL]])</f>
        <v>500184.26457863883</v>
      </c>
      <c r="J903" s="36">
        <f>+IF(FINANCIACION[[#This Row],[$ CAPITAL]]&gt;=0,FINANCIACION[[#This Row],[$ CAPITAL]]+FINANCIACION[[#This Row],[$ INTERESES]],0)</f>
        <v>1200000</v>
      </c>
    </row>
    <row r="904" spans="1:10" ht="24" hidden="1" customHeight="1" x14ac:dyDescent="0.25">
      <c r="A904" s="7">
        <v>44602</v>
      </c>
      <c r="B904" s="53" t="s">
        <v>1228</v>
      </c>
      <c r="C904" s="5"/>
      <c r="D904" s="5">
        <v>120000</v>
      </c>
      <c r="E904" s="169">
        <f>+IF(FINANCIACION[[#This Row],[$ CAPITAL]]&gt;=0,FINANCIACION[[#This Row],[$ CAPITAL]]+FINANCIACION[[#This Row],[$ INTERESES]],"")</f>
        <v>120000</v>
      </c>
      <c r="F904" s="169">
        <f>+SUMIFS(FINANCIACION[$ CAPITAL],FINANCIACION[Fecha],"&lt;="&amp;FINANCIACION[[#This Row],[Fecha]],FINANCIACION[PRESTAMO],FINANCIACION[[#This Row],[PRESTAMO]])</f>
        <v>-12000000</v>
      </c>
      <c r="G904" s="56"/>
      <c r="H904" s="8"/>
      <c r="I904" s="5" t="b">
        <f>+IF(FINANCIACION[[#This Row],[$ CAPITAL]]&gt;0,FINANCIACION[[#This Row],[$ CAPITAL]])</f>
        <v>0</v>
      </c>
      <c r="J904" s="36">
        <f>+IF(FINANCIACION[[#This Row],[$ CAPITAL]]&gt;=0,FINANCIACION[[#This Row],[$ CAPITAL]]+FINANCIACION[[#This Row],[$ INTERESES]],0)</f>
        <v>120000</v>
      </c>
    </row>
    <row r="905" spans="1:10" ht="24" customHeight="1" x14ac:dyDescent="0.25">
      <c r="A905" s="7">
        <v>44606</v>
      </c>
      <c r="B905" s="53" t="s">
        <v>200</v>
      </c>
      <c r="C905" s="5">
        <v>1944444</v>
      </c>
      <c r="D905" s="5">
        <v>243179.9</v>
      </c>
      <c r="E905" s="169">
        <f>+IF(FINANCIACION[[#This Row],[$ CAPITAL]]&gt;=0,FINANCIACION[[#This Row],[$ CAPITAL]]+FINANCIACION[[#This Row],[$ INTERESES]],"")</f>
        <v>2187623.9</v>
      </c>
      <c r="F905" s="169">
        <f>+SUMIFS(FINANCIACION[$ CAPITAL],FINANCIACION[Fecha],"&lt;="&amp;FINANCIACION[[#This Row],[Fecha]],FINANCIACION[PRESTAMO],FINANCIACION[[#This Row],[PRESTAMO]])</f>
        <v>-29166668</v>
      </c>
      <c r="G905" s="56"/>
      <c r="H905" s="8"/>
      <c r="I905" s="5">
        <f>+IF(FINANCIACION[[#This Row],[$ CAPITAL]]&gt;0,FINANCIACION[[#This Row],[$ CAPITAL]])</f>
        <v>1944444</v>
      </c>
      <c r="J905" s="36">
        <f>+IF(FINANCIACION[[#This Row],[$ CAPITAL]]&gt;=0,FINANCIACION[[#This Row],[$ CAPITAL]]+FINANCIACION[[#This Row],[$ INTERESES]],0)</f>
        <v>2187623.9</v>
      </c>
    </row>
    <row r="906" spans="1:10" ht="24" hidden="1" customHeight="1" x14ac:dyDescent="0.25">
      <c r="A906" s="7">
        <v>44606</v>
      </c>
      <c r="B906" s="53" t="s">
        <v>201</v>
      </c>
      <c r="C906" s="5">
        <v>1500000</v>
      </c>
      <c r="D906" s="5"/>
      <c r="E906" s="169">
        <f>+IF(FINANCIACION[[#This Row],[$ CAPITAL]]&gt;=0,FINANCIACION[[#This Row],[$ CAPITAL]]+FINANCIACION[[#This Row],[$ INTERESES]],"")</f>
        <v>1500000</v>
      </c>
      <c r="F906" s="169">
        <f>+SUMIFS(FINANCIACION[$ CAPITAL],FINANCIACION[Fecha],"&lt;="&amp;FINANCIACION[[#This Row],[Fecha]],FINANCIACION[PRESTAMO],FINANCIACION[[#This Row],[PRESTAMO]])</f>
        <v>-1047513</v>
      </c>
      <c r="G906" s="56"/>
      <c r="H906" s="8"/>
      <c r="I906" s="5">
        <f>+IF(FINANCIACION[[#This Row],[$ CAPITAL]]&gt;0,FINANCIACION[[#This Row],[$ CAPITAL]])</f>
        <v>1500000</v>
      </c>
      <c r="J906" s="36">
        <f>+IF(FINANCIACION[[#This Row],[$ CAPITAL]]&gt;=0,FINANCIACION[[#This Row],[$ CAPITAL]]+FINANCIACION[[#This Row],[$ INTERESES]],0)</f>
        <v>1500000</v>
      </c>
    </row>
    <row r="907" spans="1:10" ht="24" hidden="1" customHeight="1" x14ac:dyDescent="0.25">
      <c r="A907" s="7">
        <v>44607</v>
      </c>
      <c r="B907" s="53" t="s">
        <v>1233</v>
      </c>
      <c r="C907" s="5">
        <v>-640000</v>
      </c>
      <c r="D907" s="5"/>
      <c r="E907" s="169" t="str">
        <f>+IF(FINANCIACION[[#This Row],[$ CAPITAL]]&gt;=0,FINANCIACION[[#This Row],[$ CAPITAL]]+FINANCIACION[[#This Row],[$ INTERESES]],"")</f>
        <v/>
      </c>
      <c r="F907" s="169">
        <f>+SUMIFS(FINANCIACION[$ CAPITAL],FINANCIACION[Fecha],"&lt;="&amp;FINANCIACION[[#This Row],[Fecha]],FINANCIACION[PRESTAMO],FINANCIACION[[#This Row],[PRESTAMO]])</f>
        <v>-23945032.5</v>
      </c>
      <c r="G907" s="56" t="s">
        <v>1236</v>
      </c>
      <c r="H907" s="8"/>
      <c r="I907" s="5" t="b">
        <f>+IF(FINANCIACION[[#This Row],[$ CAPITAL]]&gt;0,FINANCIACION[[#This Row],[$ CAPITAL]])</f>
        <v>0</v>
      </c>
      <c r="J907" s="36">
        <f>+IF(FINANCIACION[[#This Row],[$ CAPITAL]]&gt;=0,FINANCIACION[[#This Row],[$ CAPITAL]]+FINANCIACION[[#This Row],[$ INTERESES]],0)</f>
        <v>0</v>
      </c>
    </row>
    <row r="908" spans="1:10" ht="24" hidden="1" customHeight="1" x14ac:dyDescent="0.25">
      <c r="A908" s="7">
        <v>44608</v>
      </c>
      <c r="B908" s="53" t="s">
        <v>201</v>
      </c>
      <c r="C908" s="5">
        <v>100000</v>
      </c>
      <c r="D908" s="5"/>
      <c r="E908" s="169">
        <f>+IF(FINANCIACION[[#This Row],[$ CAPITAL]]&gt;=0,FINANCIACION[[#This Row],[$ CAPITAL]]+FINANCIACION[[#This Row],[$ INTERESES]],"")</f>
        <v>100000</v>
      </c>
      <c r="F908" s="169">
        <f>+SUMIFS(FINANCIACION[$ CAPITAL],FINANCIACION[Fecha],"&lt;="&amp;FINANCIACION[[#This Row],[Fecha]],FINANCIACION[PRESTAMO],FINANCIACION[[#This Row],[PRESTAMO]])</f>
        <v>-947513</v>
      </c>
      <c r="G908" s="56"/>
      <c r="H908" s="8"/>
      <c r="I908" s="5">
        <f>+IF(FINANCIACION[[#This Row],[$ CAPITAL]]&gt;0,FINANCIACION[[#This Row],[$ CAPITAL]])</f>
        <v>100000</v>
      </c>
      <c r="J908" s="36">
        <f>+IF(FINANCIACION[[#This Row],[$ CAPITAL]]&gt;=0,FINANCIACION[[#This Row],[$ CAPITAL]]+FINANCIACION[[#This Row],[$ INTERESES]],0)</f>
        <v>100000</v>
      </c>
    </row>
    <row r="909" spans="1:10" ht="24" hidden="1" customHeight="1" x14ac:dyDescent="0.25">
      <c r="A909" s="7">
        <v>44609</v>
      </c>
      <c r="B909" s="53" t="s">
        <v>195</v>
      </c>
      <c r="C909" s="5"/>
      <c r="D909" s="5">
        <v>293434</v>
      </c>
      <c r="E909" s="169">
        <f>+IF(FINANCIACION[[#This Row],[$ CAPITAL]]&gt;=0,FINANCIACION[[#This Row],[$ CAPITAL]]+FINANCIACION[[#This Row],[$ INTERESES]],"")</f>
        <v>293434</v>
      </c>
      <c r="F909" s="169">
        <f>+SUMIFS(FINANCIACION[$ CAPITAL],FINANCIACION[Fecha],"&lt;="&amp;FINANCIACION[[#This Row],[Fecha]],FINANCIACION[PRESTAMO],FINANCIACION[[#This Row],[PRESTAMO]])</f>
        <v>0</v>
      </c>
      <c r="G909" s="56"/>
      <c r="H909" s="8"/>
      <c r="I909" s="5" t="b">
        <f>+IF(FINANCIACION[[#This Row],[$ CAPITAL]]&gt;0,FINANCIACION[[#This Row],[$ CAPITAL]])</f>
        <v>0</v>
      </c>
      <c r="J909" s="36">
        <f>+IF(FINANCIACION[[#This Row],[$ CAPITAL]]&gt;=0,FINANCIACION[[#This Row],[$ CAPITAL]]+FINANCIACION[[#This Row],[$ INTERESES]],0)</f>
        <v>293434</v>
      </c>
    </row>
    <row r="910" spans="1:10" ht="24" hidden="1" customHeight="1" x14ac:dyDescent="0.25">
      <c r="A910" s="7">
        <v>44610</v>
      </c>
      <c r="B910" s="53" t="s">
        <v>1217</v>
      </c>
      <c r="C910" s="5">
        <v>5809351</v>
      </c>
      <c r="D910" s="5">
        <v>379619</v>
      </c>
      <c r="E910" s="169">
        <f>+IF(FINANCIACION[[#This Row],[$ CAPITAL]]&gt;=0,FINANCIACION[[#This Row],[$ CAPITAL]]+FINANCIACION[[#This Row],[$ INTERESES]],"")</f>
        <v>6188970</v>
      </c>
      <c r="F910" s="169">
        <f>+SUMIFS(FINANCIACION[$ CAPITAL],FINANCIACION[Fecha],"&lt;="&amp;FINANCIACION[[#This Row],[Fecha]],FINANCIACION[PRESTAMO],FINANCIACION[[#This Row],[PRESTAMO]])</f>
        <v>-330806810</v>
      </c>
      <c r="G910" s="56"/>
      <c r="H910" s="8"/>
      <c r="I910" s="5">
        <f>+IF(FINANCIACION[[#This Row],[$ CAPITAL]]&gt;0,FINANCIACION[[#This Row],[$ CAPITAL]])</f>
        <v>5809351</v>
      </c>
      <c r="J910" s="36">
        <f>+IF(FINANCIACION[[#This Row],[$ CAPITAL]]&gt;=0,FINANCIACION[[#This Row],[$ CAPITAL]]+FINANCIACION[[#This Row],[$ INTERESES]],0)</f>
        <v>6188970</v>
      </c>
    </row>
    <row r="911" spans="1:10" ht="24" hidden="1" customHeight="1" x14ac:dyDescent="0.25">
      <c r="A911" s="7">
        <v>44610</v>
      </c>
      <c r="B911" s="53" t="s">
        <v>1218</v>
      </c>
      <c r="C911" s="5">
        <v>1442346.3600000031</v>
      </c>
      <c r="D911" s="5">
        <v>20653.639999996871</v>
      </c>
      <c r="E911" s="169">
        <f>+IF(FINANCIACION[[#This Row],[$ CAPITAL]]&gt;=0,FINANCIACION[[#This Row],[$ CAPITAL]]+FINANCIACION[[#This Row],[$ INTERESES]],"")</f>
        <v>1463000</v>
      </c>
      <c r="F911" s="169">
        <f>+SUMIFS(FINANCIACION[$ CAPITAL],FINANCIACION[Fecha],"&lt;="&amp;FINANCIACION[[#This Row],[Fecha]],FINANCIACION[PRESTAMO],FINANCIACION[[#This Row],[PRESTAMO]])</f>
        <v>-18406102.599999998</v>
      </c>
      <c r="G911" s="56"/>
      <c r="H911" s="8"/>
      <c r="I911" s="5">
        <f>+IF(FINANCIACION[[#This Row],[$ CAPITAL]]&gt;0,FINANCIACION[[#This Row],[$ CAPITAL]])</f>
        <v>1442346.3600000031</v>
      </c>
      <c r="J911" s="36">
        <f>+IF(FINANCIACION[[#This Row],[$ CAPITAL]]&gt;=0,FINANCIACION[[#This Row],[$ CAPITAL]]+FINANCIACION[[#This Row],[$ INTERESES]],0)</f>
        <v>1463000</v>
      </c>
    </row>
    <row r="912" spans="1:10" ht="24" hidden="1" customHeight="1" x14ac:dyDescent="0.25">
      <c r="A912" s="7">
        <v>44610</v>
      </c>
      <c r="B912" s="53" t="s">
        <v>1229</v>
      </c>
      <c r="C912" s="5">
        <v>1196742.2400000002</v>
      </c>
      <c r="D912" s="5">
        <v>16257.759999999776</v>
      </c>
      <c r="E912" s="169">
        <f>+IF(FINANCIACION[[#This Row],[$ CAPITAL]]&gt;=0,FINANCIACION[[#This Row],[$ CAPITAL]]+FINANCIACION[[#This Row],[$ INTERESES]],"")</f>
        <v>1213000</v>
      </c>
      <c r="F912" s="169">
        <f>+SUMIFS(FINANCIACION[$ CAPITAL],FINANCIACION[Fecha],"&lt;="&amp;FINANCIACION[[#This Row],[Fecha]],FINANCIACION[PRESTAMO],FINANCIACION[[#This Row],[PRESTAMO]])</f>
        <v>-16339810.049999999</v>
      </c>
      <c r="G912" s="56"/>
      <c r="H912" s="8"/>
      <c r="I912" s="5">
        <f>+IF(FINANCIACION[[#This Row],[$ CAPITAL]]&gt;0,FINANCIACION[[#This Row],[$ CAPITAL]])</f>
        <v>1196742.2400000002</v>
      </c>
      <c r="J912" s="36">
        <f>+IF(FINANCIACION[[#This Row],[$ CAPITAL]]&gt;=0,FINANCIACION[[#This Row],[$ CAPITAL]]+FINANCIACION[[#This Row],[$ INTERESES]],0)</f>
        <v>1213000</v>
      </c>
    </row>
    <row r="913" spans="1:10" ht="24" hidden="1" customHeight="1" x14ac:dyDescent="0.25">
      <c r="A913" s="7">
        <v>44610</v>
      </c>
      <c r="B913" s="53" t="s">
        <v>1221</v>
      </c>
      <c r="C913" s="5">
        <v>2431910.3800000027</v>
      </c>
      <c r="D913" s="5">
        <v>35089.619999997318</v>
      </c>
      <c r="E913" s="169">
        <f>+IF(FINANCIACION[[#This Row],[$ CAPITAL]]&gt;=0,FINANCIACION[[#This Row],[$ CAPITAL]]+FINANCIACION[[#This Row],[$ INTERESES]],"")</f>
        <v>2467000</v>
      </c>
      <c r="F913" s="169">
        <f>+SUMIFS(FINANCIACION[$ CAPITAL],FINANCIACION[Fecha],"&lt;="&amp;FINANCIACION[[#This Row],[Fecha]],FINANCIACION[PRESTAMO],FINANCIACION[[#This Row],[PRESTAMO]])</f>
        <v>-35270961.200000003</v>
      </c>
      <c r="G913" s="56"/>
      <c r="H913" s="8"/>
      <c r="I913" s="5">
        <f>+IF(FINANCIACION[[#This Row],[$ CAPITAL]]&gt;0,FINANCIACION[[#This Row],[$ CAPITAL]])</f>
        <v>2431910.3800000027</v>
      </c>
      <c r="J913" s="36">
        <f>+IF(FINANCIACION[[#This Row],[$ CAPITAL]]&gt;=0,FINANCIACION[[#This Row],[$ CAPITAL]]+FINANCIACION[[#This Row],[$ INTERESES]],0)</f>
        <v>2467000</v>
      </c>
    </row>
    <row r="914" spans="1:10" ht="24" hidden="1" customHeight="1" x14ac:dyDescent="0.25">
      <c r="A914" s="7">
        <v>44610</v>
      </c>
      <c r="B914" s="53" t="s">
        <v>1222</v>
      </c>
      <c r="C914" s="5">
        <v>3565246.3100000024</v>
      </c>
      <c r="D914" s="5">
        <v>55753.689999997616</v>
      </c>
      <c r="E914" s="169">
        <f>+IF(FINANCIACION[[#This Row],[$ CAPITAL]]&gt;=0,FINANCIACION[[#This Row],[$ CAPITAL]]+FINANCIACION[[#This Row],[$ INTERESES]],"")</f>
        <v>3621000</v>
      </c>
      <c r="F914" s="169">
        <f>+SUMIFS(FINANCIACION[$ CAPITAL],FINANCIACION[Fecha],"&lt;="&amp;FINANCIACION[[#This Row],[Fecha]],FINANCIACION[PRESTAMO],FINANCIACION[[#This Row],[PRESTAMO]])</f>
        <v>-51178694.019999996</v>
      </c>
      <c r="G914" s="56"/>
      <c r="H914" s="8"/>
      <c r="I914" s="5">
        <f>+IF(FINANCIACION[[#This Row],[$ CAPITAL]]&gt;0,FINANCIACION[[#This Row],[$ CAPITAL]])</f>
        <v>3565246.3100000024</v>
      </c>
      <c r="J914" s="36">
        <f>+IF(FINANCIACION[[#This Row],[$ CAPITAL]]&gt;=0,FINANCIACION[[#This Row],[$ CAPITAL]]+FINANCIACION[[#This Row],[$ INTERESES]],0)</f>
        <v>3621000</v>
      </c>
    </row>
    <row r="915" spans="1:10" ht="24" hidden="1" customHeight="1" x14ac:dyDescent="0.25">
      <c r="A915" s="7">
        <v>44610</v>
      </c>
      <c r="B915" s="53" t="s">
        <v>1223</v>
      </c>
      <c r="C915" s="5">
        <v>959607.48000000045</v>
      </c>
      <c r="D915" s="5">
        <v>16392.519999999553</v>
      </c>
      <c r="E915" s="169">
        <f>+IF(FINANCIACION[[#This Row],[$ CAPITAL]]&gt;=0,FINANCIACION[[#This Row],[$ CAPITAL]]+FINANCIACION[[#This Row],[$ INTERESES]],"")</f>
        <v>976000</v>
      </c>
      <c r="F915" s="169">
        <f>+SUMIFS(FINANCIACION[$ CAPITAL],FINANCIACION[Fecha],"&lt;="&amp;FINANCIACION[[#This Row],[Fecha]],FINANCIACION[PRESTAMO],FINANCIACION[[#This Row],[PRESTAMO]])</f>
        <v>-14610144.759999998</v>
      </c>
      <c r="G915" s="56"/>
      <c r="H915" s="8"/>
      <c r="I915" s="5">
        <f>+IF(FINANCIACION[[#This Row],[$ CAPITAL]]&gt;0,FINANCIACION[[#This Row],[$ CAPITAL]])</f>
        <v>959607.48000000045</v>
      </c>
      <c r="J915" s="36">
        <f>+IF(FINANCIACION[[#This Row],[$ CAPITAL]]&gt;=0,FINANCIACION[[#This Row],[$ CAPITAL]]+FINANCIACION[[#This Row],[$ INTERESES]],0)</f>
        <v>976000</v>
      </c>
    </row>
    <row r="916" spans="1:10" ht="24" hidden="1" customHeight="1" x14ac:dyDescent="0.25">
      <c r="A916" s="7">
        <v>44610</v>
      </c>
      <c r="B916" s="53" t="s">
        <v>1225</v>
      </c>
      <c r="C916" s="5">
        <v>1011776.2199999988</v>
      </c>
      <c r="D916" s="5">
        <v>18223.780000001192</v>
      </c>
      <c r="E916" s="169">
        <f>+IF(FINANCIACION[[#This Row],[$ CAPITAL]]&gt;=0,FINANCIACION[[#This Row],[$ CAPITAL]]+FINANCIACION[[#This Row],[$ INTERESES]],"")</f>
        <v>1030000</v>
      </c>
      <c r="F916" s="169">
        <f>+SUMIFS(FINANCIACION[$ CAPITAL],FINANCIACION[Fecha],"&lt;="&amp;FINANCIACION[[#This Row],[Fecha]],FINANCIACION[PRESTAMO],FINANCIACION[[#This Row],[PRESTAMO]])</f>
        <v>-16242992.549999999</v>
      </c>
      <c r="G916" s="56"/>
      <c r="H916" s="8"/>
      <c r="I916" s="5">
        <f>+IF(FINANCIACION[[#This Row],[$ CAPITAL]]&gt;0,FINANCIACION[[#This Row],[$ CAPITAL]])</f>
        <v>1011776.2199999988</v>
      </c>
      <c r="J916" s="36">
        <f>+IF(FINANCIACION[[#This Row],[$ CAPITAL]]&gt;=0,FINANCIACION[[#This Row],[$ CAPITAL]]+FINANCIACION[[#This Row],[$ INTERESES]],0)</f>
        <v>1030000</v>
      </c>
    </row>
    <row r="917" spans="1:10" ht="24" hidden="1" customHeight="1" x14ac:dyDescent="0.25">
      <c r="A917" s="7">
        <v>44610</v>
      </c>
      <c r="B917" s="53" t="s">
        <v>1231</v>
      </c>
      <c r="C917" s="5">
        <v>489945.29999999702</v>
      </c>
      <c r="D917" s="5">
        <v>72054.70000000298</v>
      </c>
      <c r="E917" s="169">
        <f>+IF(FINANCIACION[[#This Row],[$ CAPITAL]]&gt;=0,FINANCIACION[[#This Row],[$ CAPITAL]]+FINANCIACION[[#This Row],[$ INTERESES]],"")</f>
        <v>562000</v>
      </c>
      <c r="F917" s="169">
        <f>+SUMIFS(FINANCIACION[$ CAPITAL],FINANCIACION[Fecha],"&lt;="&amp;FINANCIACION[[#This Row],[Fecha]],FINANCIACION[PRESTAMO],FINANCIACION[[#This Row],[PRESTAMO]])</f>
        <v>-81031536.909999996</v>
      </c>
      <c r="G917" s="56"/>
      <c r="H917" s="8"/>
      <c r="I917" s="5">
        <f>+IF(FINANCIACION[[#This Row],[$ CAPITAL]]&gt;0,FINANCIACION[[#This Row],[$ CAPITAL]])</f>
        <v>489945.29999999702</v>
      </c>
      <c r="J917" s="36">
        <f>+IF(FINANCIACION[[#This Row],[$ CAPITAL]]&gt;=0,FINANCIACION[[#This Row],[$ CAPITAL]]+FINANCIACION[[#This Row],[$ INTERESES]],0)</f>
        <v>562000</v>
      </c>
    </row>
    <row r="918" spans="1:10" ht="24" hidden="1" customHeight="1" x14ac:dyDescent="0.25">
      <c r="A918" s="7">
        <v>44620</v>
      </c>
      <c r="B918" s="53" t="s">
        <v>1233</v>
      </c>
      <c r="C918" s="5">
        <v>-1100000</v>
      </c>
      <c r="D918" s="5"/>
      <c r="E918" s="169" t="str">
        <f>+IF(FINANCIACION[[#This Row],[$ CAPITAL]]&gt;=0,FINANCIACION[[#This Row],[$ CAPITAL]]+FINANCIACION[[#This Row],[$ INTERESES]],"")</f>
        <v/>
      </c>
      <c r="F918" s="169">
        <f>+SUMIFS(FINANCIACION[$ CAPITAL],FINANCIACION[Fecha],"&lt;="&amp;FINANCIACION[[#This Row],[Fecha]],FINANCIACION[PRESTAMO],FINANCIACION[[#This Row],[PRESTAMO]])</f>
        <v>-33517032.5</v>
      </c>
      <c r="G918" s="56" t="s">
        <v>1237</v>
      </c>
      <c r="H918" s="8"/>
      <c r="I918" s="5" t="b">
        <f>+IF(FINANCIACION[[#This Row],[$ CAPITAL]]&gt;0,FINANCIACION[[#This Row],[$ CAPITAL]])</f>
        <v>0</v>
      </c>
      <c r="J918" s="36">
        <f>+IF(FINANCIACION[[#This Row],[$ CAPITAL]]&gt;=0,FINANCIACION[[#This Row],[$ CAPITAL]]+FINANCIACION[[#This Row],[$ INTERESES]],0)</f>
        <v>0</v>
      </c>
    </row>
    <row r="919" spans="1:10" ht="24" hidden="1" customHeight="1" x14ac:dyDescent="0.25">
      <c r="A919" s="7">
        <v>44620</v>
      </c>
      <c r="B919" s="53" t="s">
        <v>193</v>
      </c>
      <c r="C919" s="5">
        <v>1468400</v>
      </c>
      <c r="D919" s="5">
        <v>372910</v>
      </c>
      <c r="E919" s="169">
        <f>+IF(FINANCIACION[[#This Row],[$ CAPITAL]]&gt;=0,FINANCIACION[[#This Row],[$ CAPITAL]]+FINANCIACION[[#This Row],[$ INTERESES]],"")</f>
        <v>1841310</v>
      </c>
      <c r="F919" s="169">
        <f>+SUMIFS(FINANCIACION[$ CAPITAL],FINANCIACION[Fecha],"&lt;="&amp;FINANCIACION[[#This Row],[Fecha]],FINANCIACION[PRESTAMO],FINANCIACION[[#This Row],[PRESTAMO]])</f>
        <v>-36710000</v>
      </c>
      <c r="G919" s="56"/>
      <c r="H919" s="8"/>
      <c r="I919" s="5">
        <f>+IF(FINANCIACION[[#This Row],[$ CAPITAL]]&gt;0,FINANCIACION[[#This Row],[$ CAPITAL]])</f>
        <v>1468400</v>
      </c>
      <c r="J919" s="36">
        <f>+IF(FINANCIACION[[#This Row],[$ CAPITAL]]&gt;=0,FINANCIACION[[#This Row],[$ CAPITAL]]+FINANCIACION[[#This Row],[$ INTERESES]],0)</f>
        <v>1841310</v>
      </c>
    </row>
    <row r="920" spans="1:10" ht="24" hidden="1" customHeight="1" x14ac:dyDescent="0.25">
      <c r="A920" s="7">
        <v>44620</v>
      </c>
      <c r="B920" s="53" t="s">
        <v>194</v>
      </c>
      <c r="C920" s="5">
        <v>76791</v>
      </c>
      <c r="D920" s="5"/>
      <c r="E920" s="169">
        <f>+IF(FINANCIACION[[#This Row],[$ CAPITAL]]&gt;=0,FINANCIACION[[#This Row],[$ CAPITAL]]+FINANCIACION[[#This Row],[$ INTERESES]],"")</f>
        <v>76791</v>
      </c>
      <c r="F920" s="169">
        <f>+SUMIFS(FINANCIACION[$ CAPITAL],FINANCIACION[Fecha],"&lt;="&amp;FINANCIACION[[#This Row],[Fecha]],FINANCIACION[PRESTAMO],FINANCIACION[[#This Row],[PRESTAMO]])</f>
        <v>-1919775</v>
      </c>
      <c r="G920" s="56"/>
      <c r="H920" s="8"/>
      <c r="I920" s="5">
        <f>+IF(FINANCIACION[[#This Row],[$ CAPITAL]]&gt;0,FINANCIACION[[#This Row],[$ CAPITAL]])</f>
        <v>76791</v>
      </c>
      <c r="J920" s="36">
        <f>+IF(FINANCIACION[[#This Row],[$ CAPITAL]]&gt;=0,FINANCIACION[[#This Row],[$ CAPITAL]]+FINANCIACION[[#This Row],[$ INTERESES]],0)</f>
        <v>76791</v>
      </c>
    </row>
    <row r="921" spans="1:10" ht="24" hidden="1" customHeight="1" x14ac:dyDescent="0.25">
      <c r="A921" s="7">
        <v>44620</v>
      </c>
      <c r="B921" s="53" t="s">
        <v>1235</v>
      </c>
      <c r="C921" s="5">
        <v>-83758.019999999553</v>
      </c>
      <c r="D921" s="5"/>
      <c r="E921" s="169" t="str">
        <f>+IF(FINANCIACION[[#This Row],[$ CAPITAL]]&gt;=0,FINANCIACION[[#This Row],[$ CAPITAL]]+FINANCIACION[[#This Row],[$ INTERESES]],"")</f>
        <v/>
      </c>
      <c r="F921" s="169">
        <f>+SUMIFS(FINANCIACION[$ CAPITAL],FINANCIACION[Fecha],"&lt;="&amp;FINANCIACION[[#This Row],[Fecha]],FINANCIACION[PRESTAMO],FINANCIACION[[#This Row],[PRESTAMO]])</f>
        <v>-20939506</v>
      </c>
      <c r="G921" s="56" t="s">
        <v>231</v>
      </c>
      <c r="H921" s="8"/>
      <c r="I921" s="5" t="b">
        <f>+IF(FINANCIACION[[#This Row],[$ CAPITAL]]&gt;0,FINANCIACION[[#This Row],[$ CAPITAL]])</f>
        <v>0</v>
      </c>
      <c r="J921" s="36">
        <f>+IF(FINANCIACION[[#This Row],[$ CAPITAL]]&gt;=0,FINANCIACION[[#This Row],[$ CAPITAL]]+FINANCIACION[[#This Row],[$ INTERESES]],0)</f>
        <v>0</v>
      </c>
    </row>
    <row r="922" spans="1:10" ht="24" hidden="1" customHeight="1" x14ac:dyDescent="0.25">
      <c r="A922" s="7">
        <v>44620</v>
      </c>
      <c r="B922" s="53" t="s">
        <v>195</v>
      </c>
      <c r="C922" s="5"/>
      <c r="D922" s="5">
        <v>293845</v>
      </c>
      <c r="E922" s="169">
        <f>+IF(FINANCIACION[[#This Row],[$ CAPITAL]]&gt;=0,FINANCIACION[[#This Row],[$ CAPITAL]]+FINANCIACION[[#This Row],[$ INTERESES]],"")</f>
        <v>293845</v>
      </c>
      <c r="F922" s="169">
        <f>+SUMIFS(FINANCIACION[$ CAPITAL],FINANCIACION[Fecha],"&lt;="&amp;FINANCIACION[[#This Row],[Fecha]],FINANCIACION[PRESTAMO],FINANCIACION[[#This Row],[PRESTAMO]])</f>
        <v>0</v>
      </c>
      <c r="G922" s="56"/>
      <c r="H922" s="8"/>
      <c r="I922" s="5" t="b">
        <f>+IF(FINANCIACION[[#This Row],[$ CAPITAL]]&gt;0,FINANCIACION[[#This Row],[$ CAPITAL]])</f>
        <v>0</v>
      </c>
      <c r="J922" s="36">
        <f>+IF(FINANCIACION[[#This Row],[$ CAPITAL]]&gt;=0,FINANCIACION[[#This Row],[$ CAPITAL]]+FINANCIACION[[#This Row],[$ INTERESES]],0)</f>
        <v>293845</v>
      </c>
    </row>
    <row r="923" spans="1:10" ht="24" hidden="1" customHeight="1" x14ac:dyDescent="0.25">
      <c r="A923" s="7">
        <v>44620</v>
      </c>
      <c r="B923" s="53" t="s">
        <v>195</v>
      </c>
      <c r="C923" s="5"/>
      <c r="D923" s="5">
        <v>130615</v>
      </c>
      <c r="E923" s="169">
        <f>+IF(FINANCIACION[[#This Row],[$ CAPITAL]]&gt;=0,FINANCIACION[[#This Row],[$ CAPITAL]]+FINANCIACION[[#This Row],[$ INTERESES]],"")</f>
        <v>130615</v>
      </c>
      <c r="F923" s="169">
        <f>+SUMIFS(FINANCIACION[$ CAPITAL],FINANCIACION[Fecha],"&lt;="&amp;FINANCIACION[[#This Row],[Fecha]],FINANCIACION[PRESTAMO],FINANCIACION[[#This Row],[PRESTAMO]])</f>
        <v>0</v>
      </c>
      <c r="G923" s="56"/>
      <c r="H923" s="8"/>
      <c r="I923" s="5" t="b">
        <f>+IF(FINANCIACION[[#This Row],[$ CAPITAL]]&gt;0,FINANCIACION[[#This Row],[$ CAPITAL]])</f>
        <v>0</v>
      </c>
      <c r="J923" s="36">
        <f>+IF(FINANCIACION[[#This Row],[$ CAPITAL]]&gt;=0,FINANCIACION[[#This Row],[$ CAPITAL]]+FINANCIACION[[#This Row],[$ INTERESES]],0)</f>
        <v>130615</v>
      </c>
    </row>
    <row r="924" spans="1:10" ht="24" hidden="1" customHeight="1" x14ac:dyDescent="0.25">
      <c r="A924" s="7">
        <v>44620</v>
      </c>
      <c r="B924" s="53" t="s">
        <v>294</v>
      </c>
      <c r="C924" s="5">
        <v>1498393</v>
      </c>
      <c r="D924" s="5"/>
      <c r="E924" s="169">
        <f>+IF(FINANCIACION[[#This Row],[$ CAPITAL]]&gt;=0,FINANCIACION[[#This Row],[$ CAPITAL]]+FINANCIACION[[#This Row],[$ INTERESES]],"")</f>
        <v>1498393</v>
      </c>
      <c r="F924" s="169">
        <f>+SUMIFS(FINANCIACION[$ CAPITAL],FINANCIACION[Fecha],"&lt;="&amp;FINANCIACION[[#This Row],[Fecha]],FINANCIACION[PRESTAMO],FINANCIACION[[#This Row],[PRESTAMO]])</f>
        <v>-58437327</v>
      </c>
      <c r="G924" s="56" t="s">
        <v>231</v>
      </c>
      <c r="H924" s="8"/>
      <c r="I924" s="5">
        <f>+IF(FINANCIACION[[#This Row],[$ CAPITAL]]&gt;0,FINANCIACION[[#This Row],[$ CAPITAL]])</f>
        <v>1498393</v>
      </c>
      <c r="J924" s="36">
        <f>+IF(FINANCIACION[[#This Row],[$ CAPITAL]]&gt;=0,FINANCIACION[[#This Row],[$ CAPITAL]]+FINANCIACION[[#This Row],[$ INTERESES]],0)</f>
        <v>1498393</v>
      </c>
    </row>
    <row r="925" spans="1:10" ht="24" hidden="1" customHeight="1" x14ac:dyDescent="0.25">
      <c r="A925" s="7">
        <v>44620</v>
      </c>
      <c r="B925" s="53" t="s">
        <v>418</v>
      </c>
      <c r="C925" s="5">
        <v>592703</v>
      </c>
      <c r="D925" s="5"/>
      <c r="E925" s="169">
        <f>+IF(FINANCIACION[[#This Row],[$ CAPITAL]]&gt;=0,FINANCIACION[[#This Row],[$ CAPITAL]]+FINANCIACION[[#This Row],[$ INTERESES]],"")</f>
        <v>592703</v>
      </c>
      <c r="F925" s="169">
        <f>+SUMIFS(FINANCIACION[$ CAPITAL],FINANCIACION[Fecha],"&lt;="&amp;FINANCIACION[[#This Row],[Fecha]],FINANCIACION[PRESTAMO],FINANCIACION[[#This Row],[PRESTAMO]])</f>
        <v>-23115417</v>
      </c>
      <c r="G925" s="56" t="s">
        <v>231</v>
      </c>
      <c r="H925" s="8"/>
      <c r="I925" s="5">
        <f>+IF(FINANCIACION[[#This Row],[$ CAPITAL]]&gt;0,FINANCIACION[[#This Row],[$ CAPITAL]])</f>
        <v>592703</v>
      </c>
      <c r="J925" s="36">
        <f>+IF(FINANCIACION[[#This Row],[$ CAPITAL]]&gt;=0,FINANCIACION[[#This Row],[$ CAPITAL]]+FINANCIACION[[#This Row],[$ INTERESES]],0)</f>
        <v>592703</v>
      </c>
    </row>
    <row r="926" spans="1:10" ht="24" hidden="1" customHeight="1" x14ac:dyDescent="0.25">
      <c r="A926" s="7">
        <v>44620</v>
      </c>
      <c r="B926" s="53" t="s">
        <v>540</v>
      </c>
      <c r="C926" s="5">
        <v>1368769</v>
      </c>
      <c r="D926" s="5"/>
      <c r="E926" s="169">
        <f>+IF(FINANCIACION[[#This Row],[$ CAPITAL]]&gt;=0,FINANCIACION[[#This Row],[$ CAPITAL]]+FINANCIACION[[#This Row],[$ INTERESES]],"")</f>
        <v>1368769</v>
      </c>
      <c r="F926" s="169">
        <f>+SUMIFS(FINANCIACION[$ CAPITAL],FINANCIACION[Fecha],"&lt;="&amp;FINANCIACION[[#This Row],[Fecha]],FINANCIACION[PRESTAMO],FINANCIACION[[#This Row],[PRESTAMO]])</f>
        <v>-53381991</v>
      </c>
      <c r="G926" s="56" t="s">
        <v>231</v>
      </c>
      <c r="H926" s="8"/>
      <c r="I926" s="5">
        <f>+IF(FINANCIACION[[#This Row],[$ CAPITAL]]&gt;0,FINANCIACION[[#This Row],[$ CAPITAL]])</f>
        <v>1368769</v>
      </c>
      <c r="J926" s="36">
        <f>+IF(FINANCIACION[[#This Row],[$ CAPITAL]]&gt;=0,FINANCIACION[[#This Row],[$ CAPITAL]]+FINANCIACION[[#This Row],[$ INTERESES]],0)</f>
        <v>1368769</v>
      </c>
    </row>
    <row r="927" spans="1:10" ht="24" hidden="1" customHeight="1" x14ac:dyDescent="0.25">
      <c r="A927" s="7">
        <v>44620</v>
      </c>
      <c r="B927" s="53" t="s">
        <v>959</v>
      </c>
      <c r="C927" s="5">
        <v>1443436</v>
      </c>
      <c r="D927" s="5"/>
      <c r="E927" s="169">
        <f>+IF(FINANCIACION[[#This Row],[$ CAPITAL]]&gt;=0,FINANCIACION[[#This Row],[$ CAPITAL]]+FINANCIACION[[#This Row],[$ INTERESES]],"")</f>
        <v>1443436</v>
      </c>
      <c r="F927" s="169">
        <f>+SUMIFS(FINANCIACION[$ CAPITAL],FINANCIACION[Fecha],"&lt;="&amp;FINANCIACION[[#This Row],[Fecha]],FINANCIACION[PRESTAMO],FINANCIACION[[#This Row],[PRESTAMO]])</f>
        <v>-56294004</v>
      </c>
      <c r="G927" s="56" t="s">
        <v>231</v>
      </c>
      <c r="H927" s="8"/>
      <c r="I927" s="5">
        <f>+IF(FINANCIACION[[#This Row],[$ CAPITAL]]&gt;0,FINANCIACION[[#This Row],[$ CAPITAL]])</f>
        <v>1443436</v>
      </c>
      <c r="J927" s="36">
        <f>+IF(FINANCIACION[[#This Row],[$ CAPITAL]]&gt;=0,FINANCIACION[[#This Row],[$ CAPITAL]]+FINANCIACION[[#This Row],[$ INTERESES]],0)</f>
        <v>1443436</v>
      </c>
    </row>
    <row r="928" spans="1:10" ht="24" hidden="1" customHeight="1" x14ac:dyDescent="0.25">
      <c r="A928" s="7">
        <v>44620</v>
      </c>
      <c r="B928" s="53" t="s">
        <v>201</v>
      </c>
      <c r="C928" s="5">
        <v>-3279583</v>
      </c>
      <c r="D928" s="5"/>
      <c r="E928" s="169" t="str">
        <f>+IF(FINANCIACION[[#This Row],[$ CAPITAL]]&gt;=0,FINANCIACION[[#This Row],[$ CAPITAL]]+FINANCIACION[[#This Row],[$ INTERESES]],"")</f>
        <v/>
      </c>
      <c r="F928" s="169">
        <f>+SUMIFS(FINANCIACION[$ CAPITAL],FINANCIACION[Fecha],"&lt;="&amp;FINANCIACION[[#This Row],[Fecha]],FINANCIACION[PRESTAMO],FINANCIACION[[#This Row],[PRESTAMO]])</f>
        <v>-4227096</v>
      </c>
      <c r="G928" s="56" t="s">
        <v>231</v>
      </c>
      <c r="H928" s="8"/>
      <c r="I928" s="5" t="b">
        <f>+IF(FINANCIACION[[#This Row],[$ CAPITAL]]&gt;0,FINANCIACION[[#This Row],[$ CAPITAL]])</f>
        <v>0</v>
      </c>
      <c r="J928" s="36">
        <f>+IF(FINANCIACION[[#This Row],[$ CAPITAL]]&gt;=0,FINANCIACION[[#This Row],[$ CAPITAL]]+FINANCIACION[[#This Row],[$ INTERESES]],0)</f>
        <v>0</v>
      </c>
    </row>
    <row r="929" spans="1:10" ht="24" hidden="1" customHeight="1" x14ac:dyDescent="0.25">
      <c r="A929" s="7">
        <v>44620</v>
      </c>
      <c r="B929" s="53" t="s">
        <v>202</v>
      </c>
      <c r="C929" s="5">
        <v>-1113500</v>
      </c>
      <c r="D929" s="5"/>
      <c r="E929" s="169" t="str">
        <f>+IF(FINANCIACION[[#This Row],[$ CAPITAL]]&gt;=0,FINANCIACION[[#This Row],[$ CAPITAL]]+FINANCIACION[[#This Row],[$ INTERESES]],"")</f>
        <v/>
      </c>
      <c r="F929" s="169">
        <f>+SUMIFS(FINANCIACION[$ CAPITAL],FINANCIACION[Fecha],"&lt;="&amp;FINANCIACION[[#This Row],[Fecha]],FINANCIACION[PRESTAMO],FINANCIACION[[#This Row],[PRESTAMO]])</f>
        <v>-31609500</v>
      </c>
      <c r="G929" s="56" t="s">
        <v>231</v>
      </c>
      <c r="H929" s="8"/>
      <c r="I929" s="5" t="b">
        <f>+IF(FINANCIACION[[#This Row],[$ CAPITAL]]&gt;0,FINANCIACION[[#This Row],[$ CAPITAL]])</f>
        <v>0</v>
      </c>
      <c r="J929" s="36">
        <f>+IF(FINANCIACION[[#This Row],[$ CAPITAL]]&gt;=0,FINANCIACION[[#This Row],[$ CAPITAL]]+FINANCIACION[[#This Row],[$ INTERESES]],0)</f>
        <v>0</v>
      </c>
    </row>
    <row r="930" spans="1:10" ht="24" hidden="1" customHeight="1" x14ac:dyDescent="0.25">
      <c r="A930" s="7">
        <v>44620</v>
      </c>
      <c r="B930" s="53" t="s">
        <v>203</v>
      </c>
      <c r="C930" s="5">
        <v>-770850</v>
      </c>
      <c r="D930" s="5"/>
      <c r="E930" s="169" t="str">
        <f>+IF(FINANCIACION[[#This Row],[$ CAPITAL]]&gt;=0,FINANCIACION[[#This Row],[$ CAPITAL]]+FINANCIACION[[#This Row],[$ INTERESES]],"")</f>
        <v/>
      </c>
      <c r="F930" s="169">
        <f>+SUMIFS(FINANCIACION[$ CAPITAL],FINANCIACION[Fecha],"&lt;="&amp;FINANCIACION[[#This Row],[Fecha]],FINANCIACION[PRESTAMO],FINANCIACION[[#This Row],[PRESTAMO]])</f>
        <v>-770850</v>
      </c>
      <c r="G930" s="56" t="s">
        <v>231</v>
      </c>
      <c r="H930" s="8"/>
      <c r="I930" s="5" t="b">
        <f>+IF(FINANCIACION[[#This Row],[$ CAPITAL]]&gt;0,FINANCIACION[[#This Row],[$ CAPITAL]])</f>
        <v>0</v>
      </c>
      <c r="J930" s="36">
        <f>+IF(FINANCIACION[[#This Row],[$ CAPITAL]]&gt;=0,FINANCIACION[[#This Row],[$ CAPITAL]]+FINANCIACION[[#This Row],[$ INTERESES]],0)</f>
        <v>0</v>
      </c>
    </row>
    <row r="931" spans="1:10" ht="24" hidden="1" customHeight="1" x14ac:dyDescent="0.25">
      <c r="A931" s="7">
        <v>44620</v>
      </c>
      <c r="B931" s="53" t="s">
        <v>1233</v>
      </c>
      <c r="C931" s="5">
        <v>-1412000</v>
      </c>
      <c r="D931" s="5"/>
      <c r="E931" s="169" t="str">
        <f>+IF(FINANCIACION[[#This Row],[$ CAPITAL]]&gt;=0,FINANCIACION[[#This Row],[$ CAPITAL]]+FINANCIACION[[#This Row],[$ INTERESES]],"")</f>
        <v/>
      </c>
      <c r="F931" s="169">
        <f>+SUMIFS(FINANCIACION[$ CAPITAL],FINANCIACION[Fecha],"&lt;="&amp;FINANCIACION[[#This Row],[Fecha]],FINANCIACION[PRESTAMO],FINANCIACION[[#This Row],[PRESTAMO]])</f>
        <v>-33517032.5</v>
      </c>
      <c r="G931" s="56" t="s">
        <v>1238</v>
      </c>
      <c r="H931" s="8"/>
      <c r="I931" s="5" t="b">
        <f>+IF(FINANCIACION[[#This Row],[$ CAPITAL]]&gt;0,FINANCIACION[[#This Row],[$ CAPITAL]])</f>
        <v>0</v>
      </c>
      <c r="J931" s="36">
        <f>+IF(FINANCIACION[[#This Row],[$ CAPITAL]]&gt;=0,FINANCIACION[[#This Row],[$ CAPITAL]]+FINANCIACION[[#This Row],[$ INTERESES]],0)</f>
        <v>0</v>
      </c>
    </row>
    <row r="932" spans="1:10" ht="24" hidden="1" customHeight="1" x14ac:dyDescent="0.25">
      <c r="A932" s="7">
        <v>44620</v>
      </c>
      <c r="B932" s="53" t="s">
        <v>1233</v>
      </c>
      <c r="C932" s="5">
        <v>-7060000</v>
      </c>
      <c r="D932" s="5"/>
      <c r="E932" s="169" t="str">
        <f>+IF(FINANCIACION[[#This Row],[$ CAPITAL]]&gt;=0,FINANCIACION[[#This Row],[$ CAPITAL]]+FINANCIACION[[#This Row],[$ INTERESES]],"")</f>
        <v/>
      </c>
      <c r="F932" s="169">
        <f>+SUMIFS(FINANCIACION[$ CAPITAL],FINANCIACION[Fecha],"&lt;="&amp;FINANCIACION[[#This Row],[Fecha]],FINANCIACION[PRESTAMO],FINANCIACION[[#This Row],[PRESTAMO]])</f>
        <v>-33517032.5</v>
      </c>
      <c r="G932" s="56" t="s">
        <v>1239</v>
      </c>
      <c r="H932" s="8"/>
      <c r="I932" s="5" t="b">
        <f>+IF(FINANCIACION[[#This Row],[$ CAPITAL]]&gt;0,FINANCIACION[[#This Row],[$ CAPITAL]])</f>
        <v>0</v>
      </c>
      <c r="J932" s="36">
        <f>+IF(FINANCIACION[[#This Row],[$ CAPITAL]]&gt;=0,FINANCIACION[[#This Row],[$ CAPITAL]]+FINANCIACION[[#This Row],[$ INTERESES]],0)</f>
        <v>0</v>
      </c>
    </row>
    <row r="933" spans="1:10" ht="24" hidden="1" customHeight="1" x14ac:dyDescent="0.25">
      <c r="A933" s="7">
        <v>44643</v>
      </c>
      <c r="B933" s="53" t="s">
        <v>1283</v>
      </c>
      <c r="C933" s="5">
        <v>-60000000</v>
      </c>
      <c r="D933" s="5">
        <v>2043040</v>
      </c>
      <c r="E933" s="169" t="str">
        <f>+IF(FINANCIACION[[#This Row],[$ CAPITAL]]&gt;=0,FINANCIACION[[#This Row],[$ CAPITAL]]+FINANCIACION[[#This Row],[$ INTERESES]],"")</f>
        <v/>
      </c>
      <c r="F933" s="169">
        <f>+SUMIFS(FINANCIACION[$ CAPITAL],FINANCIACION[Fecha],"&lt;="&amp;FINANCIACION[[#This Row],[Fecha]],FINANCIACION[PRESTAMO],FINANCIACION[[#This Row],[PRESTAMO]])</f>
        <v>-60673307.350000001</v>
      </c>
      <c r="G933" s="56"/>
      <c r="H933" s="8"/>
      <c r="I933" s="5" t="b">
        <f>+IF(FINANCIACION[[#This Row],[$ CAPITAL]]&gt;0,FINANCIACION[[#This Row],[$ CAPITAL]])</f>
        <v>0</v>
      </c>
      <c r="J933" s="36">
        <f>+IF(FINANCIACION[[#This Row],[$ CAPITAL]]&gt;=0,FINANCIACION[[#This Row],[$ CAPITAL]]+FINANCIACION[[#This Row],[$ INTERESES]],0)</f>
        <v>0</v>
      </c>
    </row>
    <row r="934" spans="1:10" ht="24" hidden="1" customHeight="1" x14ac:dyDescent="0.25">
      <c r="A934" s="7">
        <v>44623</v>
      </c>
      <c r="B934" s="53" t="s">
        <v>1232</v>
      </c>
      <c r="C934" s="5">
        <v>-30120000</v>
      </c>
      <c r="D934" s="5"/>
      <c r="E934" s="169" t="str">
        <f>+IF(FINANCIACION[[#This Row],[$ CAPITAL]]&gt;=0,FINANCIACION[[#This Row],[$ CAPITAL]]+FINANCIACION[[#This Row],[$ INTERESES]],"")</f>
        <v/>
      </c>
      <c r="F934" s="169">
        <f>+SUMIFS(FINANCIACION[$ CAPITAL],FINANCIACION[Fecha],"&lt;="&amp;FINANCIACION[[#This Row],[Fecha]],FINANCIACION[PRESTAMO],FINANCIACION[[#This Row],[PRESTAMO]])</f>
        <v>-30120000</v>
      </c>
      <c r="G934" s="56" t="s">
        <v>1240</v>
      </c>
      <c r="H934" s="8"/>
      <c r="I934" s="5" t="b">
        <f>+IF(FINANCIACION[[#This Row],[$ CAPITAL]]&gt;0,FINANCIACION[[#This Row],[$ CAPITAL]])</f>
        <v>0</v>
      </c>
      <c r="J934" s="36">
        <f>+IF(FINANCIACION[[#This Row],[$ CAPITAL]]&gt;=0,FINANCIACION[[#This Row],[$ CAPITAL]]+FINANCIACION[[#This Row],[$ INTERESES]],0)</f>
        <v>0</v>
      </c>
    </row>
    <row r="935" spans="1:10" ht="24" hidden="1" customHeight="1" x14ac:dyDescent="0.25">
      <c r="A935" s="7">
        <v>44651</v>
      </c>
      <c r="B935" s="53" t="s">
        <v>203</v>
      </c>
      <c r="C935" s="5">
        <v>-10272336</v>
      </c>
      <c r="D935" s="5"/>
      <c r="E935" s="169" t="str">
        <f>+IF(FINANCIACION[[#This Row],[$ CAPITAL]]&gt;=0,FINANCIACION[[#This Row],[$ CAPITAL]]+FINANCIACION[[#This Row],[$ INTERESES]],"")</f>
        <v/>
      </c>
      <c r="F935" s="169">
        <f>+SUMIFS(FINANCIACION[$ CAPITAL],FINANCIACION[Fecha],"&lt;="&amp;FINANCIACION[[#This Row],[Fecha]],FINANCIACION[PRESTAMO],FINANCIACION[[#This Row],[PRESTAMO]])</f>
        <v>-11043186</v>
      </c>
      <c r="G935" s="56"/>
      <c r="H935" s="8"/>
      <c r="I935" s="5" t="b">
        <f>+IF(FINANCIACION[[#This Row],[$ CAPITAL]]&gt;0,FINANCIACION[[#This Row],[$ CAPITAL]])</f>
        <v>0</v>
      </c>
      <c r="J935" s="36">
        <f>+IF(FINANCIACION[[#This Row],[$ CAPITAL]]&gt;=0,FINANCIACION[[#This Row],[$ CAPITAL]]+FINANCIACION[[#This Row],[$ INTERESES]],0)</f>
        <v>0</v>
      </c>
    </row>
    <row r="936" spans="1:10" ht="24" hidden="1" customHeight="1" x14ac:dyDescent="0.25">
      <c r="A936" s="7">
        <v>44645</v>
      </c>
      <c r="B936" s="53" t="s">
        <v>1233</v>
      </c>
      <c r="C936" s="133">
        <v>-2400000</v>
      </c>
      <c r="D936" s="5"/>
      <c r="E936" s="169" t="str">
        <f>+IF(FINANCIACION[[#This Row],[$ CAPITAL]]&gt;=0,FINANCIACION[[#This Row],[$ CAPITAL]]+FINANCIACION[[#This Row],[$ INTERESES]],"")</f>
        <v/>
      </c>
      <c r="F936" s="169">
        <f>+SUMIFS(FINANCIACION[$ CAPITAL],FINANCIACION[Fecha],"&lt;="&amp;FINANCIACION[[#This Row],[Fecha]],FINANCIACION[PRESTAMO],FINANCIACION[[#This Row],[PRESTAMO]])</f>
        <v>-37695532.5</v>
      </c>
      <c r="G936" s="56" t="s">
        <v>1025</v>
      </c>
      <c r="H936" s="8"/>
      <c r="I936" s="5" t="b">
        <f>+IF(FINANCIACION[[#This Row],[$ CAPITAL]]&gt;0,FINANCIACION[[#This Row],[$ CAPITAL]])</f>
        <v>0</v>
      </c>
      <c r="J936" s="36">
        <f>+IF(FINANCIACION[[#This Row],[$ CAPITAL]]&gt;=0,FINANCIACION[[#This Row],[$ CAPITAL]]+FINANCIACION[[#This Row],[$ INTERESES]],0)</f>
        <v>0</v>
      </c>
    </row>
    <row r="937" spans="1:10" ht="24" hidden="1" customHeight="1" x14ac:dyDescent="0.25">
      <c r="A937" s="7">
        <v>44643</v>
      </c>
      <c r="B937" s="53" t="s">
        <v>1233</v>
      </c>
      <c r="C937" s="5">
        <v>-1778500</v>
      </c>
      <c r="D937" s="5"/>
      <c r="E937" s="169" t="str">
        <f>+IF(FINANCIACION[[#This Row],[$ CAPITAL]]&gt;=0,FINANCIACION[[#This Row],[$ CAPITAL]]+FINANCIACION[[#This Row],[$ INTERESES]],"")</f>
        <v/>
      </c>
      <c r="F937" s="169">
        <f>+SUMIFS(FINANCIACION[$ CAPITAL],FINANCIACION[Fecha],"&lt;="&amp;FINANCIACION[[#This Row],[Fecha]],FINANCIACION[PRESTAMO],FINANCIACION[[#This Row],[PRESTAMO]])</f>
        <v>-35295532.5</v>
      </c>
      <c r="G937" s="56"/>
      <c r="H937" s="8"/>
      <c r="I937" s="5" t="b">
        <f>+IF(FINANCIACION[[#This Row],[$ CAPITAL]]&gt;0,FINANCIACION[[#This Row],[$ CAPITAL]])</f>
        <v>0</v>
      </c>
      <c r="J937" s="36">
        <f>+IF(FINANCIACION[[#This Row],[$ CAPITAL]]&gt;=0,FINANCIACION[[#This Row],[$ CAPITAL]]+FINANCIACION[[#This Row],[$ INTERESES]],0)</f>
        <v>0</v>
      </c>
    </row>
    <row r="938" spans="1:10" ht="24" hidden="1" customHeight="1" x14ac:dyDescent="0.25">
      <c r="A938" s="7">
        <v>44643</v>
      </c>
      <c r="B938" s="53" t="s">
        <v>294</v>
      </c>
      <c r="C938" s="5">
        <v>-1346606</v>
      </c>
      <c r="D938" s="5"/>
      <c r="E938" s="169" t="str">
        <f>+IF(FINANCIACION[[#This Row],[$ CAPITAL]]&gt;=0,FINANCIACION[[#This Row],[$ CAPITAL]]+FINANCIACION[[#This Row],[$ INTERESES]],"")</f>
        <v/>
      </c>
      <c r="F938" s="169">
        <f>+SUMIFS(FINANCIACION[$ CAPITAL],FINANCIACION[Fecha],"&lt;="&amp;FINANCIACION[[#This Row],[Fecha]],FINANCIACION[PRESTAMO],FINANCIACION[[#This Row],[PRESTAMO]])</f>
        <v>0</v>
      </c>
      <c r="G938" s="56" t="s">
        <v>231</v>
      </c>
      <c r="H938" s="8"/>
      <c r="I938" s="5" t="b">
        <f>+IF(FINANCIACION[[#This Row],[$ CAPITAL]]&gt;0,FINANCIACION[[#This Row],[$ CAPITAL]])</f>
        <v>0</v>
      </c>
      <c r="J938" s="36">
        <f>+IF(FINANCIACION[[#This Row],[$ CAPITAL]]&gt;=0,FINANCIACION[[#This Row],[$ CAPITAL]]+FINANCIACION[[#This Row],[$ INTERESES]],0)</f>
        <v>0</v>
      </c>
    </row>
    <row r="939" spans="1:10" ht="24" hidden="1" customHeight="1" x14ac:dyDescent="0.25">
      <c r="A939" s="7">
        <v>44651</v>
      </c>
      <c r="B939" s="53" t="s">
        <v>194</v>
      </c>
      <c r="C939" s="5">
        <v>76791</v>
      </c>
      <c r="D939" s="5">
        <v>0</v>
      </c>
      <c r="E939" s="169">
        <f>+IF(FINANCIACION[[#This Row],[$ CAPITAL]]&gt;=0,FINANCIACION[[#This Row],[$ CAPITAL]]+FINANCIACION[[#This Row],[$ INTERESES]],"")</f>
        <v>76791</v>
      </c>
      <c r="F939" s="169">
        <f>+SUMIFS(FINANCIACION[$ CAPITAL],FINANCIACION[Fecha],"&lt;="&amp;FINANCIACION[[#This Row],[Fecha]],FINANCIACION[PRESTAMO],FINANCIACION[[#This Row],[PRESTAMO]])</f>
        <v>-1842984</v>
      </c>
      <c r="G939" s="56"/>
      <c r="H939" s="8"/>
      <c r="I939" s="5">
        <f>+IF(FINANCIACION[[#This Row],[$ CAPITAL]]&gt;0,FINANCIACION[[#This Row],[$ CAPITAL]])</f>
        <v>76791</v>
      </c>
      <c r="J939" s="36">
        <f>+IF(FINANCIACION[[#This Row],[$ CAPITAL]]&gt;=0,FINANCIACION[[#This Row],[$ CAPITAL]]+FINANCIACION[[#This Row],[$ INTERESES]],0)</f>
        <v>76791</v>
      </c>
    </row>
    <row r="940" spans="1:10" ht="24" hidden="1" customHeight="1" x14ac:dyDescent="0.25">
      <c r="A940" s="7">
        <v>44651</v>
      </c>
      <c r="B940" s="53" t="s">
        <v>202</v>
      </c>
      <c r="C940" s="5">
        <v>251900</v>
      </c>
      <c r="D940" s="5"/>
      <c r="E940" s="169">
        <f>+IF(FINANCIACION[[#This Row],[$ CAPITAL]]&gt;=0,FINANCIACION[[#This Row],[$ CAPITAL]]+FINANCIACION[[#This Row],[$ INTERESES]],"")</f>
        <v>251900</v>
      </c>
      <c r="F940" s="169">
        <f>+SUMIFS(FINANCIACION[$ CAPITAL],FINANCIACION[Fecha],"&lt;="&amp;FINANCIACION[[#This Row],[Fecha]],FINANCIACION[PRESTAMO],FINANCIACION[[#This Row],[PRESTAMO]])</f>
        <v>-31357600</v>
      </c>
      <c r="G940" s="56"/>
      <c r="H940" s="8"/>
      <c r="I940" s="5">
        <f>+IF(FINANCIACION[[#This Row],[$ CAPITAL]]&gt;0,FINANCIACION[[#This Row],[$ CAPITAL]])</f>
        <v>251900</v>
      </c>
      <c r="J940" s="36">
        <f>+IF(FINANCIACION[[#This Row],[$ CAPITAL]]&gt;=0,FINANCIACION[[#This Row],[$ CAPITAL]]+FINANCIACION[[#This Row],[$ INTERESES]],0)</f>
        <v>251900</v>
      </c>
    </row>
    <row r="941" spans="1:10" ht="24" hidden="1" customHeight="1" x14ac:dyDescent="0.25">
      <c r="A941" s="7">
        <v>44629</v>
      </c>
      <c r="B941" s="53" t="s">
        <v>1216</v>
      </c>
      <c r="C941" s="5">
        <v>505186.10722442495</v>
      </c>
      <c r="D941" s="5">
        <v>694813.89277557505</v>
      </c>
      <c r="E941" s="169">
        <f>+IF(FINANCIACION[[#This Row],[$ CAPITAL]]&gt;=0,FINANCIACION[[#This Row],[$ CAPITAL]]+FINANCIACION[[#This Row],[$ INTERESES]],"")</f>
        <v>1200000</v>
      </c>
      <c r="F941" s="169">
        <f>+SUMIFS(FINANCIACION[$ CAPITAL],FINANCIACION[Fecha],"&lt;="&amp;FINANCIACION[[#This Row],[Fecha]],FINANCIACION[PRESTAMO],FINANCIACION[[#This Row],[PRESTAMO]])</f>
        <v>-68976203.170333058</v>
      </c>
      <c r="G941" s="56"/>
      <c r="H941" s="8"/>
      <c r="I941" s="5">
        <f>+IF(FINANCIACION[[#This Row],[$ CAPITAL]]&gt;0,FINANCIACION[[#This Row],[$ CAPITAL]])</f>
        <v>505186.10722442495</v>
      </c>
      <c r="J941" s="36">
        <f>+IF(FINANCIACION[[#This Row],[$ CAPITAL]]&gt;=0,FINANCIACION[[#This Row],[$ CAPITAL]]+FINANCIACION[[#This Row],[$ INTERESES]],0)</f>
        <v>1200000</v>
      </c>
    </row>
    <row r="942" spans="1:10" ht="24" hidden="1" customHeight="1" x14ac:dyDescent="0.25">
      <c r="A942" s="7">
        <v>44638</v>
      </c>
      <c r="B942" s="53" t="s">
        <v>1231</v>
      </c>
      <c r="C942" s="5">
        <v>519036.93999999762</v>
      </c>
      <c r="D942" s="5">
        <v>85963.060000002384</v>
      </c>
      <c r="E942" s="169">
        <f>+IF(FINANCIACION[[#This Row],[$ CAPITAL]]&gt;=0,FINANCIACION[[#This Row],[$ CAPITAL]]+FINANCIACION[[#This Row],[$ INTERESES]],"")</f>
        <v>605000</v>
      </c>
      <c r="F942" s="169">
        <f>+SUMIFS(FINANCIACION[$ CAPITAL],FINANCIACION[Fecha],"&lt;="&amp;FINANCIACION[[#This Row],[Fecha]],FINANCIACION[PRESTAMO],FINANCIACION[[#This Row],[PRESTAMO]])</f>
        <v>-80512499.969999999</v>
      </c>
      <c r="G942" s="56"/>
      <c r="H942" s="8"/>
      <c r="I942" s="5">
        <f>+IF(FINANCIACION[[#This Row],[$ CAPITAL]]&gt;0,FINANCIACION[[#This Row],[$ CAPITAL]])</f>
        <v>519036.93999999762</v>
      </c>
      <c r="J942" s="36">
        <f>+IF(FINANCIACION[[#This Row],[$ CAPITAL]]&gt;=0,FINANCIACION[[#This Row],[$ CAPITAL]]+FINANCIACION[[#This Row],[$ INTERESES]],0)</f>
        <v>605000</v>
      </c>
    </row>
    <row r="943" spans="1:10" ht="24" hidden="1" customHeight="1" x14ac:dyDescent="0.25">
      <c r="A943" s="7">
        <v>44651</v>
      </c>
      <c r="B943" s="53" t="s">
        <v>418</v>
      </c>
      <c r="C943" s="5">
        <v>592703</v>
      </c>
      <c r="D943" s="5"/>
      <c r="E943" s="169">
        <f>+IF(FINANCIACION[[#This Row],[$ CAPITAL]]&gt;=0,FINANCIACION[[#This Row],[$ CAPITAL]]+FINANCIACION[[#This Row],[$ INTERESES]],"")</f>
        <v>592703</v>
      </c>
      <c r="F943" s="169">
        <f>+SUMIFS(FINANCIACION[$ CAPITAL],FINANCIACION[Fecha],"&lt;="&amp;FINANCIACION[[#This Row],[Fecha]],FINANCIACION[PRESTAMO],FINANCIACION[[#This Row],[PRESTAMO]])</f>
        <v>-22522714</v>
      </c>
      <c r="G943" s="56"/>
      <c r="H943" s="8"/>
      <c r="I943" s="5">
        <f>+IF(FINANCIACION[[#This Row],[$ CAPITAL]]&gt;0,FINANCIACION[[#This Row],[$ CAPITAL]])</f>
        <v>592703</v>
      </c>
      <c r="J943" s="36">
        <f>+IF(FINANCIACION[[#This Row],[$ CAPITAL]]&gt;=0,FINANCIACION[[#This Row],[$ CAPITAL]]+FINANCIACION[[#This Row],[$ INTERESES]],0)</f>
        <v>592703</v>
      </c>
    </row>
    <row r="944" spans="1:10" ht="24" hidden="1" customHeight="1" x14ac:dyDescent="0.25">
      <c r="A944" s="7">
        <v>44629</v>
      </c>
      <c r="B944" s="53" t="s">
        <v>1219</v>
      </c>
      <c r="C944" s="5">
        <v>780075.30759878037</v>
      </c>
      <c r="D944" s="5">
        <v>519924.69240121968</v>
      </c>
      <c r="E944" s="169">
        <f>+IF(FINANCIACION[[#This Row],[$ CAPITAL]]&gt;=0,FINANCIACION[[#This Row],[$ CAPITAL]]+FINANCIACION[[#This Row],[$ INTERESES]],"")</f>
        <v>1300000</v>
      </c>
      <c r="F944" s="169">
        <f>+SUMIFS(FINANCIACION[$ CAPITAL],FINANCIACION[Fecha],"&lt;="&amp;FINANCIACION[[#This Row],[Fecha]],FINANCIACION[PRESTAMO],FINANCIACION[[#This Row],[PRESTAMO]])</f>
        <v>-51212393.932523191</v>
      </c>
      <c r="G944" s="56"/>
      <c r="H944" s="8"/>
      <c r="I944" s="5">
        <f>+IF(FINANCIACION[[#This Row],[$ CAPITAL]]&gt;0,FINANCIACION[[#This Row],[$ CAPITAL]])</f>
        <v>780075.30759878037</v>
      </c>
      <c r="J944" s="36">
        <f>+IF(FINANCIACION[[#This Row],[$ CAPITAL]]&gt;=0,FINANCIACION[[#This Row],[$ CAPITAL]]+FINANCIACION[[#This Row],[$ INTERESES]],0)</f>
        <v>1300000</v>
      </c>
    </row>
    <row r="945" spans="1:10" ht="24" hidden="1" customHeight="1" x14ac:dyDescent="0.25">
      <c r="A945" s="7">
        <v>44638</v>
      </c>
      <c r="B945" s="53" t="s">
        <v>1223</v>
      </c>
      <c r="C945" s="5">
        <v>963947.72999999858</v>
      </c>
      <c r="D945" s="5">
        <v>15052.270000001416</v>
      </c>
      <c r="E945" s="169">
        <f>+IF(FINANCIACION[[#This Row],[$ CAPITAL]]&gt;=0,FINANCIACION[[#This Row],[$ CAPITAL]]+FINANCIACION[[#This Row],[$ INTERESES]],"")</f>
        <v>979000</v>
      </c>
      <c r="F945" s="169">
        <f>+SUMIFS(FINANCIACION[$ CAPITAL],FINANCIACION[Fecha],"&lt;="&amp;FINANCIACION[[#This Row],[Fecha]],FINANCIACION[PRESTAMO],FINANCIACION[[#This Row],[PRESTAMO]])</f>
        <v>-13646197.029999999</v>
      </c>
      <c r="G945" s="56"/>
      <c r="H945" s="8"/>
      <c r="I945" s="5">
        <f>+IF(FINANCIACION[[#This Row],[$ CAPITAL]]&gt;0,FINANCIACION[[#This Row],[$ CAPITAL]])</f>
        <v>963947.72999999858</v>
      </c>
      <c r="J945" s="36">
        <f>+IF(FINANCIACION[[#This Row],[$ CAPITAL]]&gt;=0,FINANCIACION[[#This Row],[$ CAPITAL]]+FINANCIACION[[#This Row],[$ INTERESES]],0)</f>
        <v>979000</v>
      </c>
    </row>
    <row r="946" spans="1:10" ht="24" hidden="1" customHeight="1" x14ac:dyDescent="0.25">
      <c r="A946" s="7">
        <v>44638</v>
      </c>
      <c r="B946" s="53" t="s">
        <v>1225</v>
      </c>
      <c r="C946" s="5">
        <v>1016204.9299999997</v>
      </c>
      <c r="D946" s="5">
        <v>16795.070000000298</v>
      </c>
      <c r="E946" s="169">
        <f>+IF(FINANCIACION[[#This Row],[$ CAPITAL]]&gt;=0,FINANCIACION[[#This Row],[$ CAPITAL]]+FINANCIACION[[#This Row],[$ INTERESES]],"")</f>
        <v>1033000</v>
      </c>
      <c r="F946" s="169">
        <f>+SUMIFS(FINANCIACION[$ CAPITAL],FINANCIACION[Fecha],"&lt;="&amp;FINANCIACION[[#This Row],[Fecha]],FINANCIACION[PRESTAMO],FINANCIACION[[#This Row],[PRESTAMO]])</f>
        <v>-15226787.619999999</v>
      </c>
      <c r="G946" s="56"/>
      <c r="H946" s="8"/>
      <c r="I946" s="5">
        <f>+IF(FINANCIACION[[#This Row],[$ CAPITAL]]&gt;0,FINANCIACION[[#This Row],[$ CAPITAL]])</f>
        <v>1016204.9299999997</v>
      </c>
      <c r="J946" s="36">
        <f>+IF(FINANCIACION[[#This Row],[$ CAPITAL]]&gt;=0,FINANCIACION[[#This Row],[$ CAPITAL]]+FINANCIACION[[#This Row],[$ INTERESES]],0)</f>
        <v>1033000</v>
      </c>
    </row>
    <row r="947" spans="1:10" ht="24" hidden="1" customHeight="1" x14ac:dyDescent="0.25">
      <c r="A947" s="7">
        <v>44638</v>
      </c>
      <c r="B947" s="53" t="s">
        <v>1229</v>
      </c>
      <c r="C947" s="5">
        <v>1195055.379999999</v>
      </c>
      <c r="D947" s="5">
        <v>17944.620000001043</v>
      </c>
      <c r="E947" s="169">
        <f>+IF(FINANCIACION[[#This Row],[$ CAPITAL]]&gt;=0,FINANCIACION[[#This Row],[$ CAPITAL]]+FINANCIACION[[#This Row],[$ INTERESES]],"")</f>
        <v>1213000</v>
      </c>
      <c r="F947" s="169">
        <f>+SUMIFS(FINANCIACION[$ CAPITAL],FINANCIACION[Fecha],"&lt;="&amp;FINANCIACION[[#This Row],[Fecha]],FINANCIACION[PRESTAMO],FINANCIACION[[#This Row],[PRESTAMO]])</f>
        <v>-15144754.67</v>
      </c>
      <c r="G947" s="56"/>
      <c r="H947" s="8"/>
      <c r="I947" s="5">
        <f>+IF(FINANCIACION[[#This Row],[$ CAPITAL]]&gt;0,FINANCIACION[[#This Row],[$ CAPITAL]])</f>
        <v>1195055.379999999</v>
      </c>
      <c r="J947" s="36">
        <f>+IF(FINANCIACION[[#This Row],[$ CAPITAL]]&gt;=0,FINANCIACION[[#This Row],[$ CAPITAL]]+FINANCIACION[[#This Row],[$ INTERESES]],0)</f>
        <v>1213000</v>
      </c>
    </row>
    <row r="948" spans="1:10" ht="24" hidden="1" customHeight="1" x14ac:dyDescent="0.25">
      <c r="A948" s="7">
        <v>44651</v>
      </c>
      <c r="B948" s="53" t="s">
        <v>540</v>
      </c>
      <c r="C948" s="5">
        <v>1368769</v>
      </c>
      <c r="D948" s="5"/>
      <c r="E948" s="169">
        <f>+IF(FINANCIACION[[#This Row],[$ CAPITAL]]&gt;=0,FINANCIACION[[#This Row],[$ CAPITAL]]+FINANCIACION[[#This Row],[$ INTERESES]],"")</f>
        <v>1368769</v>
      </c>
      <c r="F948" s="169">
        <f>+SUMIFS(FINANCIACION[$ CAPITAL],FINANCIACION[Fecha],"&lt;="&amp;FINANCIACION[[#This Row],[Fecha]],FINANCIACION[PRESTAMO],FINANCIACION[[#This Row],[PRESTAMO]])</f>
        <v>-52013222</v>
      </c>
      <c r="G948" s="56"/>
      <c r="H948" s="8"/>
      <c r="I948" s="5">
        <f>+IF(FINANCIACION[[#This Row],[$ CAPITAL]]&gt;0,FINANCIACION[[#This Row],[$ CAPITAL]])</f>
        <v>1368769</v>
      </c>
      <c r="J948" s="36">
        <f>+IF(FINANCIACION[[#This Row],[$ CAPITAL]]&gt;=0,FINANCIACION[[#This Row],[$ CAPITAL]]+FINANCIACION[[#This Row],[$ INTERESES]],0)</f>
        <v>1368769</v>
      </c>
    </row>
    <row r="949" spans="1:10" ht="24" hidden="1" customHeight="1" x14ac:dyDescent="0.25">
      <c r="A949" s="7">
        <v>44651</v>
      </c>
      <c r="B949" s="53" t="s">
        <v>959</v>
      </c>
      <c r="C949" s="5">
        <v>1443436</v>
      </c>
      <c r="D949" s="5"/>
      <c r="E949" s="169">
        <f>+IF(FINANCIACION[[#This Row],[$ CAPITAL]]&gt;=0,FINANCIACION[[#This Row],[$ CAPITAL]]+FINANCIACION[[#This Row],[$ INTERESES]],"")</f>
        <v>1443436</v>
      </c>
      <c r="F949" s="169">
        <f>+SUMIFS(FINANCIACION[$ CAPITAL],FINANCIACION[Fecha],"&lt;="&amp;FINANCIACION[[#This Row],[Fecha]],FINANCIACION[PRESTAMO],FINANCIACION[[#This Row],[PRESTAMO]])</f>
        <v>-54850568</v>
      </c>
      <c r="G949" s="56"/>
      <c r="H949" s="8"/>
      <c r="I949" s="5">
        <f>+IF(FINANCIACION[[#This Row],[$ CAPITAL]]&gt;0,FINANCIACION[[#This Row],[$ CAPITAL]])</f>
        <v>1443436</v>
      </c>
      <c r="J949" s="36">
        <f>+IF(FINANCIACION[[#This Row],[$ CAPITAL]]&gt;=0,FINANCIACION[[#This Row],[$ CAPITAL]]+FINANCIACION[[#This Row],[$ INTERESES]],0)</f>
        <v>1443436</v>
      </c>
    </row>
    <row r="950" spans="1:10" ht="24" hidden="1" customHeight="1" x14ac:dyDescent="0.25">
      <c r="A950" s="7">
        <v>44638</v>
      </c>
      <c r="B950" s="53" t="s">
        <v>1218</v>
      </c>
      <c r="C950" s="5">
        <v>1445291.5799999982</v>
      </c>
      <c r="D950" s="5">
        <v>18708.420000001788</v>
      </c>
      <c r="E950" s="169">
        <f>+IF(FINANCIACION[[#This Row],[$ CAPITAL]]&gt;=0,FINANCIACION[[#This Row],[$ CAPITAL]]+FINANCIACION[[#This Row],[$ INTERESES]],"")</f>
        <v>1464000</v>
      </c>
      <c r="F950" s="169">
        <f>+SUMIFS(FINANCIACION[$ CAPITAL],FINANCIACION[Fecha],"&lt;="&amp;FINANCIACION[[#This Row],[Fecha]],FINANCIACION[PRESTAMO],FINANCIACION[[#This Row],[PRESTAMO]])</f>
        <v>-16960811.02</v>
      </c>
      <c r="G950" s="56"/>
      <c r="H950" s="8"/>
      <c r="I950" s="5">
        <f>+IF(FINANCIACION[[#This Row],[$ CAPITAL]]&gt;0,FINANCIACION[[#This Row],[$ CAPITAL]])</f>
        <v>1445291.5799999982</v>
      </c>
      <c r="J950" s="36">
        <f>+IF(FINANCIACION[[#This Row],[$ CAPITAL]]&gt;=0,FINANCIACION[[#This Row],[$ CAPITAL]]+FINANCIACION[[#This Row],[$ INTERESES]],0)</f>
        <v>1464000</v>
      </c>
    </row>
    <row r="951" spans="1:10" ht="24" hidden="1" customHeight="1" x14ac:dyDescent="0.25">
      <c r="A951" s="7">
        <v>44651</v>
      </c>
      <c r="B951" s="53" t="s">
        <v>193</v>
      </c>
      <c r="C951" s="5">
        <v>1468400</v>
      </c>
      <c r="D951" s="5">
        <v>424048</v>
      </c>
      <c r="E951" s="169">
        <f>+IF(FINANCIACION[[#This Row],[$ CAPITAL]]&gt;=0,FINANCIACION[[#This Row],[$ CAPITAL]]+FINANCIACION[[#This Row],[$ INTERESES]],"")</f>
        <v>1892448</v>
      </c>
      <c r="F951" s="169">
        <f>+SUMIFS(FINANCIACION[$ CAPITAL],FINANCIACION[Fecha],"&lt;="&amp;FINANCIACION[[#This Row],[Fecha]],FINANCIACION[PRESTAMO],FINANCIACION[[#This Row],[PRESTAMO]])</f>
        <v>-35241600</v>
      </c>
      <c r="G951" s="56"/>
      <c r="H951" s="8"/>
      <c r="I951" s="5">
        <f>+IF(FINANCIACION[[#This Row],[$ CAPITAL]]&gt;0,FINANCIACION[[#This Row],[$ CAPITAL]])</f>
        <v>1468400</v>
      </c>
      <c r="J951" s="36">
        <f>+IF(FINANCIACION[[#This Row],[$ CAPITAL]]&gt;=0,FINANCIACION[[#This Row],[$ CAPITAL]]+FINANCIACION[[#This Row],[$ INTERESES]],0)</f>
        <v>1892448</v>
      </c>
    </row>
    <row r="952" spans="1:10" ht="24" hidden="1" customHeight="1" x14ac:dyDescent="0.25">
      <c r="A952" s="7">
        <v>44624</v>
      </c>
      <c r="B952" s="53" t="s">
        <v>1235</v>
      </c>
      <c r="C952" s="5">
        <v>1744958</v>
      </c>
      <c r="D952" s="5">
        <v>206988</v>
      </c>
      <c r="E952" s="169">
        <f>+IF(FINANCIACION[[#This Row],[$ CAPITAL]]&gt;=0,FINANCIACION[[#This Row],[$ CAPITAL]]+FINANCIACION[[#This Row],[$ INTERESES]],"")</f>
        <v>1951946</v>
      </c>
      <c r="F952" s="169">
        <f>+SUMIFS(FINANCIACION[$ CAPITAL],FINANCIACION[Fecha],"&lt;="&amp;FINANCIACION[[#This Row],[Fecha]],FINANCIACION[PRESTAMO],FINANCIACION[[#This Row],[PRESTAMO]])</f>
        <v>-19194548</v>
      </c>
      <c r="G952" s="56"/>
      <c r="H952" s="8"/>
      <c r="I952" s="5">
        <f>+IF(FINANCIACION[[#This Row],[$ CAPITAL]]&gt;0,FINANCIACION[[#This Row],[$ CAPITAL]])</f>
        <v>1744958</v>
      </c>
      <c r="J952" s="36">
        <f>+IF(FINANCIACION[[#This Row],[$ CAPITAL]]&gt;=0,FINANCIACION[[#This Row],[$ CAPITAL]]+FINANCIACION[[#This Row],[$ INTERESES]],0)</f>
        <v>1951946</v>
      </c>
    </row>
    <row r="953" spans="1:10" ht="24" customHeight="1" x14ac:dyDescent="0.25">
      <c r="A953" s="7">
        <v>44634</v>
      </c>
      <c r="B953" s="53" t="s">
        <v>200</v>
      </c>
      <c r="C953" s="5">
        <v>1944444</v>
      </c>
      <c r="D953" s="5">
        <v>244294.07</v>
      </c>
      <c r="E953" s="169">
        <f>+IF(FINANCIACION[[#This Row],[$ CAPITAL]]&gt;=0,FINANCIACION[[#This Row],[$ CAPITAL]]+FINANCIACION[[#This Row],[$ INTERESES]],"")</f>
        <v>2188738.0699999998</v>
      </c>
      <c r="F953" s="169">
        <f>+SUMIFS(FINANCIACION[$ CAPITAL],FINANCIACION[Fecha],"&lt;="&amp;FINANCIACION[[#This Row],[Fecha]],FINANCIACION[PRESTAMO],FINANCIACION[[#This Row],[PRESTAMO]])</f>
        <v>-27222224</v>
      </c>
      <c r="G953" s="56"/>
      <c r="H953" s="8"/>
      <c r="I953" s="5">
        <f>+IF(FINANCIACION[[#This Row],[$ CAPITAL]]&gt;0,FINANCIACION[[#This Row],[$ CAPITAL]])</f>
        <v>1944444</v>
      </c>
      <c r="J953" s="36">
        <f>+IF(FINANCIACION[[#This Row],[$ CAPITAL]]&gt;=0,FINANCIACION[[#This Row],[$ CAPITAL]]+FINANCIACION[[#This Row],[$ INTERESES]],0)</f>
        <v>2188738.0699999998</v>
      </c>
    </row>
    <row r="954" spans="1:10" ht="24" hidden="1" customHeight="1" x14ac:dyDescent="0.25">
      <c r="A954" s="7">
        <v>44630</v>
      </c>
      <c r="B954" s="53" t="s">
        <v>1215</v>
      </c>
      <c r="C954" s="5">
        <v>2024727.6737406622</v>
      </c>
      <c r="D954" s="5">
        <v>652650.32625933795</v>
      </c>
      <c r="E954" s="169">
        <f>+IF(FINANCIACION[[#This Row],[$ CAPITAL]]&gt;=0,FINANCIACION[[#This Row],[$ CAPITAL]]+FINANCIACION[[#This Row],[$ INTERESES]],"")</f>
        <v>2677378</v>
      </c>
      <c r="F954" s="169">
        <f>+SUMIFS(FINANCIACION[$ CAPITAL],FINANCIACION[Fecha],"&lt;="&amp;FINANCIACION[[#This Row],[Fecha]],FINANCIACION[PRESTAMO],FINANCIACION[[#This Row],[PRESTAMO]])</f>
        <v>-63240304.952193126</v>
      </c>
      <c r="G954" s="56"/>
      <c r="H954" s="8"/>
      <c r="I954" s="5">
        <f>+IF(FINANCIACION[[#This Row],[$ CAPITAL]]&gt;0,FINANCIACION[[#This Row],[$ CAPITAL]])</f>
        <v>2024727.6737406622</v>
      </c>
      <c r="J954" s="36">
        <f>+IF(FINANCIACION[[#This Row],[$ CAPITAL]]&gt;=0,FINANCIACION[[#This Row],[$ CAPITAL]]+FINANCIACION[[#This Row],[$ INTERESES]],0)</f>
        <v>2677378</v>
      </c>
    </row>
    <row r="955" spans="1:10" ht="24" hidden="1" customHeight="1" x14ac:dyDescent="0.25">
      <c r="A955" s="7">
        <v>44638</v>
      </c>
      <c r="B955" s="53" t="s">
        <v>1221</v>
      </c>
      <c r="C955" s="5">
        <v>2430087.4699999988</v>
      </c>
      <c r="D955" s="5">
        <v>38912.530000001192</v>
      </c>
      <c r="E955" s="169">
        <f>+IF(FINANCIACION[[#This Row],[$ CAPITAL]]&gt;=0,FINANCIACION[[#This Row],[$ CAPITAL]]+FINANCIACION[[#This Row],[$ INTERESES]],"")</f>
        <v>2469000</v>
      </c>
      <c r="F955" s="169">
        <f>+SUMIFS(FINANCIACION[$ CAPITAL],FINANCIACION[Fecha],"&lt;="&amp;FINANCIACION[[#This Row],[Fecha]],FINANCIACION[PRESTAMO],FINANCIACION[[#This Row],[PRESTAMO]])</f>
        <v>-32840873.73</v>
      </c>
      <c r="G955" s="56"/>
      <c r="H955" s="8"/>
      <c r="I955" s="5">
        <f>+IF(FINANCIACION[[#This Row],[$ CAPITAL]]&gt;0,FINANCIACION[[#This Row],[$ CAPITAL]])</f>
        <v>2430087.4699999988</v>
      </c>
      <c r="J955" s="36">
        <f>+IF(FINANCIACION[[#This Row],[$ CAPITAL]]&gt;=0,FINANCIACION[[#This Row],[$ CAPITAL]]+FINANCIACION[[#This Row],[$ INTERESES]],0)</f>
        <v>2469000</v>
      </c>
    </row>
    <row r="956" spans="1:10" ht="24" hidden="1" customHeight="1" x14ac:dyDescent="0.25">
      <c r="A956" s="7">
        <v>44651</v>
      </c>
      <c r="B956" s="53" t="s">
        <v>201</v>
      </c>
      <c r="C956" s="5">
        <v>2916391</v>
      </c>
      <c r="D956" s="5"/>
      <c r="E956" s="169">
        <f>+IF(FINANCIACION[[#This Row],[$ CAPITAL]]&gt;=0,FINANCIACION[[#This Row],[$ CAPITAL]]+FINANCIACION[[#This Row],[$ INTERESES]],"")</f>
        <v>2916391</v>
      </c>
      <c r="F956" s="169">
        <f>+SUMIFS(FINANCIACION[$ CAPITAL],FINANCIACION[Fecha],"&lt;="&amp;FINANCIACION[[#This Row],[Fecha]],FINANCIACION[PRESTAMO],FINANCIACION[[#This Row],[PRESTAMO]])</f>
        <v>-1310705</v>
      </c>
      <c r="G956" s="56"/>
      <c r="H956" s="8"/>
      <c r="I956" s="5">
        <f>+IF(FINANCIACION[[#This Row],[$ CAPITAL]]&gt;0,FINANCIACION[[#This Row],[$ CAPITAL]])</f>
        <v>2916391</v>
      </c>
      <c r="J956" s="36">
        <f>+IF(FINANCIACION[[#This Row],[$ CAPITAL]]&gt;=0,FINANCIACION[[#This Row],[$ CAPITAL]]+FINANCIACION[[#This Row],[$ INTERESES]],0)</f>
        <v>2916391</v>
      </c>
    </row>
    <row r="957" spans="1:10" ht="24" hidden="1" customHeight="1" x14ac:dyDescent="0.25">
      <c r="A957" s="7">
        <v>44624</v>
      </c>
      <c r="B957" s="53" t="s">
        <v>197</v>
      </c>
      <c r="C957" s="5">
        <v>3431126</v>
      </c>
      <c r="D957" s="5">
        <v>1152007.4500000002</v>
      </c>
      <c r="E957" s="169">
        <f>+IF(FINANCIACION[[#This Row],[$ CAPITAL]]&gt;=0,FINANCIACION[[#This Row],[$ CAPITAL]]+FINANCIACION[[#This Row],[$ INTERESES]],"")</f>
        <v>4583133.45</v>
      </c>
      <c r="F957" s="169">
        <f>+SUMIFS(FINANCIACION[$ CAPITAL],FINANCIACION[Fecha],"&lt;="&amp;FINANCIACION[[#This Row],[Fecha]],FINANCIACION[PRESTAMO],FINANCIACION[[#This Row],[PRESTAMO]])</f>
        <v>0</v>
      </c>
      <c r="G957" s="56"/>
      <c r="H957" s="8"/>
      <c r="I957" s="5">
        <f>+IF(FINANCIACION[[#This Row],[$ CAPITAL]]&gt;0,FINANCIACION[[#This Row],[$ CAPITAL]])</f>
        <v>3431126</v>
      </c>
      <c r="J957" s="36">
        <f>+IF(FINANCIACION[[#This Row],[$ CAPITAL]]&gt;=0,FINANCIACION[[#This Row],[$ CAPITAL]]+FINANCIACION[[#This Row],[$ INTERESES]],0)</f>
        <v>4583133.45</v>
      </c>
    </row>
    <row r="958" spans="1:10" ht="24" hidden="1" customHeight="1" x14ac:dyDescent="0.25">
      <c r="A958" s="7">
        <v>44638</v>
      </c>
      <c r="B958" s="53" t="s">
        <v>1222</v>
      </c>
      <c r="C958" s="5">
        <v>3559559.6099999994</v>
      </c>
      <c r="D958" s="5">
        <v>61440.390000000596</v>
      </c>
      <c r="E958" s="169">
        <f>+IF(FINANCIACION[[#This Row],[$ CAPITAL]]&gt;=0,FINANCIACION[[#This Row],[$ CAPITAL]]+FINANCIACION[[#This Row],[$ INTERESES]],"")</f>
        <v>3621000</v>
      </c>
      <c r="F958" s="169">
        <f>+SUMIFS(FINANCIACION[$ CAPITAL],FINANCIACION[Fecha],"&lt;="&amp;FINANCIACION[[#This Row],[Fecha]],FINANCIACION[PRESTAMO],FINANCIACION[[#This Row],[PRESTAMO]])</f>
        <v>-47619134.409999996</v>
      </c>
      <c r="G958" s="56"/>
      <c r="H958" s="8"/>
      <c r="I958" s="5">
        <f>+IF(FINANCIACION[[#This Row],[$ CAPITAL]]&gt;0,FINANCIACION[[#This Row],[$ CAPITAL]])</f>
        <v>3559559.6099999994</v>
      </c>
      <c r="J958" s="36">
        <f>+IF(FINANCIACION[[#This Row],[$ CAPITAL]]&gt;=0,FINANCIACION[[#This Row],[$ CAPITAL]]+FINANCIACION[[#This Row],[$ INTERESES]],0)</f>
        <v>3621000</v>
      </c>
    </row>
    <row r="959" spans="1:10" ht="24" hidden="1" customHeight="1" x14ac:dyDescent="0.25">
      <c r="A959" s="7">
        <v>44638</v>
      </c>
      <c r="B959" s="53" t="s">
        <v>1217</v>
      </c>
      <c r="C959" s="5">
        <v>5497957</v>
      </c>
      <c r="D959" s="5">
        <v>252367</v>
      </c>
      <c r="E959" s="169">
        <f>+IF(FINANCIACION[[#This Row],[$ CAPITAL]]&gt;=0,FINANCIACION[[#This Row],[$ CAPITAL]]+FINANCIACION[[#This Row],[$ INTERESES]],"")</f>
        <v>5750324</v>
      </c>
      <c r="F959" s="169">
        <f>+SUMIFS(FINANCIACION[$ CAPITAL],FINANCIACION[Fecha],"&lt;="&amp;FINANCIACION[[#This Row],[Fecha]],FINANCIACION[PRESTAMO],FINANCIACION[[#This Row],[PRESTAMO]])</f>
        <v>-325308853</v>
      </c>
      <c r="G959" s="56"/>
      <c r="H959" s="8"/>
      <c r="I959" s="5">
        <f>+IF(FINANCIACION[[#This Row],[$ CAPITAL]]&gt;0,FINANCIACION[[#This Row],[$ CAPITAL]])</f>
        <v>5497957</v>
      </c>
      <c r="J959" s="36">
        <f>+IF(FINANCIACION[[#This Row],[$ CAPITAL]]&gt;=0,FINANCIACION[[#This Row],[$ CAPITAL]]+FINANCIACION[[#This Row],[$ INTERESES]],0)</f>
        <v>5750324</v>
      </c>
    </row>
    <row r="960" spans="1:10" ht="24" hidden="1" customHeight="1" x14ac:dyDescent="0.25">
      <c r="A960" s="7">
        <v>44651</v>
      </c>
      <c r="B960" s="53" t="s">
        <v>1233</v>
      </c>
      <c r="C960" s="5">
        <v>34517000</v>
      </c>
      <c r="D960" s="5"/>
      <c r="E960" s="169">
        <f>+IF(FINANCIACION[[#This Row],[$ CAPITAL]]&gt;=0,FINANCIACION[[#This Row],[$ CAPITAL]]+FINANCIACION[[#This Row],[$ INTERESES]],"")</f>
        <v>34517000</v>
      </c>
      <c r="F960" s="169">
        <f>+SUMIFS(FINANCIACION[$ CAPITAL],FINANCIACION[Fecha],"&lt;="&amp;FINANCIACION[[#This Row],[Fecha]],FINANCIACION[PRESTAMO],FINANCIACION[[#This Row],[PRESTAMO]])</f>
        <v>-3178532.5</v>
      </c>
      <c r="G960" s="56"/>
      <c r="H960" s="8"/>
      <c r="I960" s="5">
        <f>+IF(FINANCIACION[[#This Row],[$ CAPITAL]]&gt;0,FINANCIACION[[#This Row],[$ CAPITAL]])</f>
        <v>34517000</v>
      </c>
      <c r="J960" s="36">
        <f>+IF(FINANCIACION[[#This Row],[$ CAPITAL]]&gt;=0,FINANCIACION[[#This Row],[$ CAPITAL]]+FINANCIACION[[#This Row],[$ INTERESES]],0)</f>
        <v>34517000</v>
      </c>
    </row>
    <row r="961" spans="1:10" ht="24" hidden="1" customHeight="1" x14ac:dyDescent="0.25">
      <c r="A961" s="7">
        <v>44643</v>
      </c>
      <c r="B961" s="53" t="s">
        <v>294</v>
      </c>
      <c r="C961" s="5">
        <v>59783933</v>
      </c>
      <c r="D961" s="5"/>
      <c r="E961" s="169">
        <f>+IF(FINANCIACION[[#This Row],[$ CAPITAL]]&gt;=0,FINANCIACION[[#This Row],[$ CAPITAL]]+FINANCIACION[[#This Row],[$ INTERESES]],"")</f>
        <v>59783933</v>
      </c>
      <c r="F961" s="169">
        <f>+SUMIFS(FINANCIACION[$ CAPITAL],FINANCIACION[Fecha],"&lt;="&amp;FINANCIACION[[#This Row],[Fecha]],FINANCIACION[PRESTAMO],FINANCIACION[[#This Row],[PRESTAMO]])</f>
        <v>0</v>
      </c>
      <c r="G961" s="56"/>
      <c r="H961" s="8"/>
      <c r="I961" s="5">
        <f>+IF(FINANCIACION[[#This Row],[$ CAPITAL]]&gt;0,FINANCIACION[[#This Row],[$ CAPITAL]])</f>
        <v>59783933</v>
      </c>
      <c r="J961" s="36">
        <f>+IF(FINANCIACION[[#This Row],[$ CAPITAL]]&gt;=0,FINANCIACION[[#This Row],[$ CAPITAL]]+FINANCIACION[[#This Row],[$ INTERESES]],0)</f>
        <v>59783933</v>
      </c>
    </row>
    <row r="962" spans="1:10" ht="24" hidden="1" customHeight="1" x14ac:dyDescent="0.25">
      <c r="A962" s="7">
        <v>44659</v>
      </c>
      <c r="B962" s="53" t="s">
        <v>1233</v>
      </c>
      <c r="C962" s="5">
        <v>778532.5</v>
      </c>
      <c r="D962" s="5"/>
      <c r="E962" s="169">
        <f>+IF(FINANCIACION[[#This Row],[$ CAPITAL]]&gt;=0,FINANCIACION[[#This Row],[$ CAPITAL]]+FINANCIACION[[#This Row],[$ INTERESES]],"")</f>
        <v>778532.5</v>
      </c>
      <c r="F962" s="169">
        <f>+SUMIFS(FINANCIACION[$ CAPITAL],FINANCIACION[Fecha],"&lt;="&amp;FINANCIACION[[#This Row],[Fecha]],FINANCIACION[PRESTAMO],FINANCIACION[[#This Row],[PRESTAMO]])</f>
        <v>-2400000</v>
      </c>
      <c r="G962" s="56"/>
      <c r="H962" s="8"/>
      <c r="I962" s="5">
        <f>+IF(FINANCIACION[[#This Row],[$ CAPITAL]]&gt;0,FINANCIACION[[#This Row],[$ CAPITAL]])</f>
        <v>778532.5</v>
      </c>
      <c r="J962" s="36">
        <f>+IF(FINANCIACION[[#This Row],[$ CAPITAL]]&gt;=0,FINANCIACION[[#This Row],[$ CAPITAL]]+FINANCIACION[[#This Row],[$ INTERESES]],0)</f>
        <v>778532.5</v>
      </c>
    </row>
    <row r="963" spans="1:10" ht="24" hidden="1" customHeight="1" x14ac:dyDescent="0.25">
      <c r="A963" s="7">
        <v>44662</v>
      </c>
      <c r="B963" s="53" t="s">
        <v>1226</v>
      </c>
      <c r="C963" s="5"/>
      <c r="D963" s="5">
        <v>130000</v>
      </c>
      <c r="E963" s="169">
        <f>+IF(FINANCIACION[[#This Row],[$ CAPITAL]]&gt;=0,FINANCIACION[[#This Row],[$ CAPITAL]]+FINANCIACION[[#This Row],[$ INTERESES]],"")</f>
        <v>130000</v>
      </c>
      <c r="F963" s="169">
        <f>+SUMIFS(FINANCIACION[$ CAPITAL],FINANCIACION[Fecha],"&lt;="&amp;FINANCIACION[[#This Row],[Fecha]],FINANCIACION[PRESTAMO],FINANCIACION[[#This Row],[PRESTAMO]])</f>
        <v>-13000000</v>
      </c>
      <c r="G963" s="56"/>
      <c r="H963" s="8"/>
      <c r="I963" s="5" t="b">
        <f>+IF(FINANCIACION[[#This Row],[$ CAPITAL]]&gt;0,FINANCIACION[[#This Row],[$ CAPITAL]])</f>
        <v>0</v>
      </c>
      <c r="J963" s="36">
        <f>+IF(FINANCIACION[[#This Row],[$ CAPITAL]]&gt;=0,FINANCIACION[[#This Row],[$ CAPITAL]]+FINANCIACION[[#This Row],[$ INTERESES]],0)</f>
        <v>130000</v>
      </c>
    </row>
    <row r="964" spans="1:10" ht="24" hidden="1" customHeight="1" x14ac:dyDescent="0.25">
      <c r="A964" s="7">
        <v>44663</v>
      </c>
      <c r="B964" s="53" t="s">
        <v>1230</v>
      </c>
      <c r="C964" s="5"/>
      <c r="D964" s="5">
        <v>400000</v>
      </c>
      <c r="E964" s="169">
        <f>+IF(FINANCIACION[[#This Row],[$ CAPITAL]]&gt;=0,FINANCIACION[[#This Row],[$ CAPITAL]]+FINANCIACION[[#This Row],[$ INTERESES]],"")</f>
        <v>400000</v>
      </c>
      <c r="F964" s="169">
        <f>+SUMIFS(FINANCIACION[$ CAPITAL],FINANCIACION[Fecha],"&lt;="&amp;FINANCIACION[[#This Row],[Fecha]],FINANCIACION[PRESTAMO],FINANCIACION[[#This Row],[PRESTAMO]])</f>
        <v>-40000000</v>
      </c>
      <c r="G964" s="56"/>
      <c r="H964" s="8"/>
      <c r="I964" s="5" t="b">
        <f>+IF(FINANCIACION[[#This Row],[$ CAPITAL]]&gt;0,FINANCIACION[[#This Row],[$ CAPITAL]])</f>
        <v>0</v>
      </c>
      <c r="J964" s="36">
        <f>+IF(FINANCIACION[[#This Row],[$ CAPITAL]]&gt;=0,FINANCIACION[[#This Row],[$ CAPITAL]]+FINANCIACION[[#This Row],[$ INTERESES]],0)</f>
        <v>400000</v>
      </c>
    </row>
    <row r="965" spans="1:10" ht="24" hidden="1" customHeight="1" x14ac:dyDescent="0.25">
      <c r="A965" s="7">
        <v>44664</v>
      </c>
      <c r="B965" s="53" t="s">
        <v>1215</v>
      </c>
      <c r="C965" s="5">
        <v>2044974.9504780686</v>
      </c>
      <c r="D965" s="5">
        <v>632403.04952193133</v>
      </c>
      <c r="E965" s="169">
        <f>+IF(FINANCIACION[[#This Row],[$ CAPITAL]]&gt;=0,FINANCIACION[[#This Row],[$ CAPITAL]]+FINANCIACION[[#This Row],[$ INTERESES]],"")</f>
        <v>2677378</v>
      </c>
      <c r="F965" s="169">
        <f>+SUMIFS(FINANCIACION[$ CAPITAL],FINANCIACION[Fecha],"&lt;="&amp;FINANCIACION[[#This Row],[Fecha]],FINANCIACION[PRESTAMO],FINANCIACION[[#This Row],[PRESTAMO]])</f>
        <v>-61195330.001715057</v>
      </c>
      <c r="G965" s="56"/>
      <c r="H965" s="8"/>
      <c r="I965" s="5">
        <f>+IF(FINANCIACION[[#This Row],[$ CAPITAL]]&gt;0,FINANCIACION[[#This Row],[$ CAPITAL]])</f>
        <v>2044974.9504780686</v>
      </c>
      <c r="J965" s="36">
        <f>+IF(FINANCIACION[[#This Row],[$ CAPITAL]]&gt;=0,FINANCIACION[[#This Row],[$ CAPITAL]]+FINANCIACION[[#This Row],[$ INTERESES]],0)</f>
        <v>2677378</v>
      </c>
    </row>
    <row r="966" spans="1:10" ht="24" hidden="1" customHeight="1" x14ac:dyDescent="0.25">
      <c r="A966" s="7">
        <v>44665</v>
      </c>
      <c r="B966" s="53" t="s">
        <v>1219</v>
      </c>
      <c r="C966" s="5">
        <v>787876.06067476806</v>
      </c>
      <c r="D966" s="5">
        <v>512123.93932523194</v>
      </c>
      <c r="E966" s="169">
        <f>+IF(FINANCIACION[[#This Row],[$ CAPITAL]]&gt;=0,FINANCIACION[[#This Row],[$ CAPITAL]]+FINANCIACION[[#This Row],[$ INTERESES]],"")</f>
        <v>1300000</v>
      </c>
      <c r="F966" s="169">
        <f>+SUMIFS(FINANCIACION[$ CAPITAL],FINANCIACION[Fecha],"&lt;="&amp;FINANCIACION[[#This Row],[Fecha]],FINANCIACION[PRESTAMO],FINANCIACION[[#This Row],[PRESTAMO]])</f>
        <v>-50424517.871848419</v>
      </c>
      <c r="G966" s="56"/>
      <c r="H966" s="8"/>
      <c r="I966" s="5">
        <f>+IF(FINANCIACION[[#This Row],[$ CAPITAL]]&gt;0,FINANCIACION[[#This Row],[$ CAPITAL]])</f>
        <v>787876.06067476806</v>
      </c>
      <c r="J966" s="36">
        <f>+IF(FINANCIACION[[#This Row],[$ CAPITAL]]&gt;=0,FINANCIACION[[#This Row],[$ CAPITAL]]+FINANCIACION[[#This Row],[$ INTERESES]],0)</f>
        <v>1300000</v>
      </c>
    </row>
    <row r="967" spans="1:10" ht="24" hidden="1" customHeight="1" x14ac:dyDescent="0.25">
      <c r="A967" s="7">
        <v>44666</v>
      </c>
      <c r="B967" s="53" t="s">
        <v>1216</v>
      </c>
      <c r="C967" s="5">
        <v>510237.96829666942</v>
      </c>
      <c r="D967" s="5">
        <v>689762.03170333058</v>
      </c>
      <c r="E967" s="169">
        <f>+IF(FINANCIACION[[#This Row],[$ CAPITAL]]&gt;=0,FINANCIACION[[#This Row],[$ CAPITAL]]+FINANCIACION[[#This Row],[$ INTERESES]],"")</f>
        <v>1200000</v>
      </c>
      <c r="F967" s="169">
        <f>+SUMIFS(FINANCIACION[$ CAPITAL],FINANCIACION[Fecha],"&lt;="&amp;FINANCIACION[[#This Row],[Fecha]],FINANCIACION[PRESTAMO],FINANCIACION[[#This Row],[PRESTAMO]])</f>
        <v>-68465965.202036381</v>
      </c>
      <c r="G967" s="56"/>
      <c r="H967" s="8"/>
      <c r="I967" s="5">
        <f>+IF(FINANCIACION[[#This Row],[$ CAPITAL]]&gt;0,FINANCIACION[[#This Row],[$ CAPITAL]])</f>
        <v>510237.96829666942</v>
      </c>
      <c r="J967" s="36">
        <f>+IF(FINANCIACION[[#This Row],[$ CAPITAL]]&gt;=0,FINANCIACION[[#This Row],[$ CAPITAL]]+FINANCIACION[[#This Row],[$ INTERESES]],0)</f>
        <v>1200000</v>
      </c>
    </row>
    <row r="968" spans="1:10" ht="24" hidden="1" customHeight="1" x14ac:dyDescent="0.25">
      <c r="A968" s="7">
        <v>44667</v>
      </c>
      <c r="B968" s="53" t="s">
        <v>1232</v>
      </c>
      <c r="C968" s="5"/>
      <c r="D968" s="5">
        <v>300000</v>
      </c>
      <c r="E968" s="169">
        <f>+IF(FINANCIACION[[#This Row],[$ CAPITAL]]&gt;=0,FINANCIACION[[#This Row],[$ CAPITAL]]+FINANCIACION[[#This Row],[$ INTERESES]],"")</f>
        <v>300000</v>
      </c>
      <c r="F968" s="169">
        <f>+SUMIFS(FINANCIACION[$ CAPITAL],FINANCIACION[Fecha],"&lt;="&amp;FINANCIACION[[#This Row],[Fecha]],FINANCIACION[PRESTAMO],FINANCIACION[[#This Row],[PRESTAMO]])</f>
        <v>-30120000</v>
      </c>
      <c r="G968" s="56"/>
      <c r="H968" s="8"/>
      <c r="I968" s="5" t="b">
        <f>+IF(FINANCIACION[[#This Row],[$ CAPITAL]]&gt;0,FINANCIACION[[#This Row],[$ CAPITAL]])</f>
        <v>0</v>
      </c>
      <c r="J968" s="36">
        <f>+IF(FINANCIACION[[#This Row],[$ CAPITAL]]&gt;=0,FINANCIACION[[#This Row],[$ CAPITAL]]+FINANCIACION[[#This Row],[$ INTERESES]],0)</f>
        <v>300000</v>
      </c>
    </row>
    <row r="969" spans="1:10" ht="24" hidden="1" customHeight="1" x14ac:dyDescent="0.25">
      <c r="A969" s="7">
        <v>44668</v>
      </c>
      <c r="B969" s="53" t="s">
        <v>1228</v>
      </c>
      <c r="C969" s="5"/>
      <c r="D969" s="5">
        <v>120000</v>
      </c>
      <c r="E969" s="169">
        <f>+IF(FINANCIACION[[#This Row],[$ CAPITAL]]&gt;=0,FINANCIACION[[#This Row],[$ CAPITAL]]+FINANCIACION[[#This Row],[$ INTERESES]],"")</f>
        <v>120000</v>
      </c>
      <c r="F969" s="169">
        <f>+SUMIFS(FINANCIACION[$ CAPITAL],FINANCIACION[Fecha],"&lt;="&amp;FINANCIACION[[#This Row],[Fecha]],FINANCIACION[PRESTAMO],FINANCIACION[[#This Row],[PRESTAMO]])</f>
        <v>-12000000</v>
      </c>
      <c r="G969" s="56"/>
      <c r="H969" s="8"/>
      <c r="I969" s="5" t="b">
        <f>+IF(FINANCIACION[[#This Row],[$ CAPITAL]]&gt;0,FINANCIACION[[#This Row],[$ CAPITAL]])</f>
        <v>0</v>
      </c>
      <c r="J969" s="36">
        <f>+IF(FINANCIACION[[#This Row],[$ CAPITAL]]&gt;=0,FINANCIACION[[#This Row],[$ CAPITAL]]+FINANCIACION[[#This Row],[$ INTERESES]],0)</f>
        <v>120000</v>
      </c>
    </row>
    <row r="970" spans="1:10" ht="24" hidden="1" customHeight="1" x14ac:dyDescent="0.25">
      <c r="A970" s="7">
        <v>44627</v>
      </c>
      <c r="B970" s="53" t="s">
        <v>195</v>
      </c>
      <c r="C970" s="169"/>
      <c r="D970" s="5">
        <v>336802</v>
      </c>
      <c r="E970" s="169">
        <f>+IF(FINANCIACION[[#This Row],[$ CAPITAL]]&gt;=0,FINANCIACION[[#This Row],[$ CAPITAL]]+FINANCIACION[[#This Row],[$ INTERESES]],"")</f>
        <v>336802</v>
      </c>
      <c r="F970" s="169">
        <f>+SUMIFS(FINANCIACION[$ CAPITAL],FINANCIACION[Fecha],"&lt;="&amp;FINANCIACION[[#This Row],[Fecha]],FINANCIACION[PRESTAMO],FINANCIACION[[#This Row],[PRESTAMO]])</f>
        <v>0</v>
      </c>
      <c r="G970" s="56"/>
      <c r="H970" s="8"/>
      <c r="I970" s="5" t="b">
        <f>+IF(FINANCIACION[[#This Row],[$ CAPITAL]]&gt;0,FINANCIACION[[#This Row],[$ CAPITAL]])</f>
        <v>0</v>
      </c>
      <c r="J970" s="36">
        <f>+IF(FINANCIACION[[#This Row],[$ CAPITAL]]&gt;=0,FINANCIACION[[#This Row],[$ CAPITAL]]+FINANCIACION[[#This Row],[$ INTERESES]],0)</f>
        <v>336802</v>
      </c>
    </row>
    <row r="971" spans="1:10" ht="24" hidden="1" customHeight="1" x14ac:dyDescent="0.25">
      <c r="A971" s="7">
        <v>44629</v>
      </c>
      <c r="B971" s="172" t="s">
        <v>1226</v>
      </c>
      <c r="C971" s="169"/>
      <c r="D971" s="169">
        <v>130000</v>
      </c>
      <c r="E971" s="169">
        <f>+IF(FINANCIACION[[#This Row],[$ CAPITAL]]&gt;=0,FINANCIACION[[#This Row],[$ CAPITAL]]+FINANCIACION[[#This Row],[$ INTERESES]],"")</f>
        <v>130000</v>
      </c>
      <c r="F971" s="169">
        <f>+SUMIFS(FINANCIACION[$ CAPITAL],FINANCIACION[Fecha],"&lt;="&amp;FINANCIACION[[#This Row],[Fecha]],FINANCIACION[PRESTAMO],FINANCIACION[[#This Row],[PRESTAMO]])</f>
        <v>-13000000</v>
      </c>
      <c r="G971" s="56"/>
      <c r="H971" s="170"/>
      <c r="I971" s="169" t="b">
        <f>+IF(FINANCIACION[[#This Row],[$ CAPITAL]]&gt;0,FINANCIACION[[#This Row],[$ CAPITAL]])</f>
        <v>0</v>
      </c>
      <c r="J971" s="36">
        <f>+IF(FINANCIACION[[#This Row],[$ CAPITAL]]&gt;=0,FINANCIACION[[#This Row],[$ CAPITAL]]+FINANCIACION[[#This Row],[$ INTERESES]],0)</f>
        <v>130000</v>
      </c>
    </row>
    <row r="972" spans="1:10" ht="24" hidden="1" customHeight="1" x14ac:dyDescent="0.25">
      <c r="A972" s="7">
        <v>44629</v>
      </c>
      <c r="B972" s="172" t="s">
        <v>1230</v>
      </c>
      <c r="C972" s="169"/>
      <c r="D972" s="169">
        <v>400000</v>
      </c>
      <c r="E972" s="169">
        <f>+IF(FINANCIACION[[#This Row],[$ CAPITAL]]&gt;=0,FINANCIACION[[#This Row],[$ CAPITAL]]+FINANCIACION[[#This Row],[$ INTERESES]],"")</f>
        <v>400000</v>
      </c>
      <c r="F972" s="169">
        <f>+SUMIFS(FINANCIACION[$ CAPITAL],FINANCIACION[Fecha],"&lt;="&amp;FINANCIACION[[#This Row],[Fecha]],FINANCIACION[PRESTAMO],FINANCIACION[[#This Row],[PRESTAMO]])</f>
        <v>-40000000</v>
      </c>
      <c r="G972" s="56"/>
      <c r="H972" s="170"/>
      <c r="I972" s="169" t="b">
        <f>+IF(FINANCIACION[[#This Row],[$ CAPITAL]]&gt;0,FINANCIACION[[#This Row],[$ CAPITAL]])</f>
        <v>0</v>
      </c>
      <c r="J972" s="36">
        <f>+IF(FINANCIACION[[#This Row],[$ CAPITAL]]&gt;=0,FINANCIACION[[#This Row],[$ CAPITAL]]+FINANCIACION[[#This Row],[$ INTERESES]],0)</f>
        <v>400000</v>
      </c>
    </row>
    <row r="973" spans="1:10" ht="24" hidden="1" customHeight="1" x14ac:dyDescent="0.25">
      <c r="A973" s="7">
        <v>44629</v>
      </c>
      <c r="B973" s="172" t="s">
        <v>1228</v>
      </c>
      <c r="C973" s="169"/>
      <c r="D973" s="169">
        <v>120000</v>
      </c>
      <c r="E973" s="169">
        <f>+IF(FINANCIACION[[#This Row],[$ CAPITAL]]&gt;=0,FINANCIACION[[#This Row],[$ CAPITAL]]+FINANCIACION[[#This Row],[$ INTERESES]],"")</f>
        <v>120000</v>
      </c>
      <c r="F973" s="169">
        <f>+SUMIFS(FINANCIACION[$ CAPITAL],FINANCIACION[Fecha],"&lt;="&amp;FINANCIACION[[#This Row],[Fecha]],FINANCIACION[PRESTAMO],FINANCIACION[[#This Row],[PRESTAMO]])</f>
        <v>-12000000</v>
      </c>
      <c r="G973" s="56"/>
      <c r="H973" s="170"/>
      <c r="I973" s="169" t="b">
        <f>+IF(FINANCIACION[[#This Row],[$ CAPITAL]]&gt;0,FINANCIACION[[#This Row],[$ CAPITAL]])</f>
        <v>0</v>
      </c>
      <c r="J973" s="36">
        <f>+IF(FINANCIACION[[#This Row],[$ CAPITAL]]&gt;=0,FINANCIACION[[#This Row],[$ CAPITAL]]+FINANCIACION[[#This Row],[$ INTERESES]],0)</f>
        <v>120000</v>
      </c>
    </row>
    <row r="974" spans="1:10" ht="24" hidden="1" customHeight="1" x14ac:dyDescent="0.25">
      <c r="A974" s="7">
        <v>44637</v>
      </c>
      <c r="B974" s="172" t="s">
        <v>195</v>
      </c>
      <c r="C974" s="169"/>
      <c r="D974" s="169">
        <v>259156</v>
      </c>
      <c r="E974" s="169">
        <f>+IF(FINANCIACION[[#This Row],[$ CAPITAL]]&gt;=0,FINANCIACION[[#This Row],[$ CAPITAL]]+FINANCIACION[[#This Row],[$ INTERESES]],"")</f>
        <v>259156</v>
      </c>
      <c r="F974" s="169">
        <f>+SUMIFS(FINANCIACION[$ CAPITAL],FINANCIACION[Fecha],"&lt;="&amp;FINANCIACION[[#This Row],[Fecha]],FINANCIACION[PRESTAMO],FINANCIACION[[#This Row],[PRESTAMO]])</f>
        <v>0</v>
      </c>
      <c r="G974" s="56"/>
      <c r="H974" s="170"/>
      <c r="I974" s="169" t="b">
        <f>+IF(FINANCIACION[[#This Row],[$ CAPITAL]]&gt;0,FINANCIACION[[#This Row],[$ CAPITAL]])</f>
        <v>0</v>
      </c>
      <c r="J974" s="36">
        <f>+IF(FINANCIACION[[#This Row],[$ CAPITAL]]&gt;=0,FINANCIACION[[#This Row],[$ CAPITAL]]+FINANCIACION[[#This Row],[$ INTERESES]],0)</f>
        <v>259156</v>
      </c>
    </row>
    <row r="975" spans="1:10" ht="24" hidden="1" customHeight="1" x14ac:dyDescent="0.25">
      <c r="A975" s="7">
        <v>44643</v>
      </c>
      <c r="B975" s="172" t="s">
        <v>195</v>
      </c>
      <c r="C975" s="169"/>
      <c r="D975" s="169">
        <v>228952</v>
      </c>
      <c r="E975" s="169">
        <f>+IF(FINANCIACION[[#This Row],[$ CAPITAL]]&gt;=0,FINANCIACION[[#This Row],[$ CAPITAL]]+FINANCIACION[[#This Row],[$ INTERESES]],"")</f>
        <v>228952</v>
      </c>
      <c r="F975" s="169">
        <f>+SUMIFS(FINANCIACION[$ CAPITAL],FINANCIACION[Fecha],"&lt;="&amp;FINANCIACION[[#This Row],[Fecha]],FINANCIACION[PRESTAMO],FINANCIACION[[#This Row],[PRESTAMO]])</f>
        <v>0</v>
      </c>
      <c r="G975" s="56"/>
      <c r="H975" s="170"/>
      <c r="I975" s="169" t="b">
        <f>+IF(FINANCIACION[[#This Row],[$ CAPITAL]]&gt;0,FINANCIACION[[#This Row],[$ CAPITAL]])</f>
        <v>0</v>
      </c>
      <c r="J975" s="36">
        <f>+IF(FINANCIACION[[#This Row],[$ CAPITAL]]&gt;=0,FINANCIACION[[#This Row],[$ CAPITAL]]+FINANCIACION[[#This Row],[$ INTERESES]],0)</f>
        <v>228952</v>
      </c>
    </row>
    <row r="976" spans="1:10" ht="24" hidden="1" customHeight="1" x14ac:dyDescent="0.25">
      <c r="A976" s="7">
        <v>44650</v>
      </c>
      <c r="B976" s="172" t="s">
        <v>195</v>
      </c>
      <c r="C976" s="169"/>
      <c r="D976" s="169">
        <v>132448</v>
      </c>
      <c r="E976" s="169">
        <f>+IF(FINANCIACION[[#This Row],[$ CAPITAL]]&gt;=0,FINANCIACION[[#This Row],[$ CAPITAL]]+FINANCIACION[[#This Row],[$ INTERESES]],"")</f>
        <v>132448</v>
      </c>
      <c r="F976" s="169">
        <f>+SUMIFS(FINANCIACION[$ CAPITAL],FINANCIACION[Fecha],"&lt;="&amp;FINANCIACION[[#This Row],[Fecha]],FINANCIACION[PRESTAMO],FINANCIACION[[#This Row],[PRESTAMO]])</f>
        <v>0</v>
      </c>
      <c r="G976" s="56"/>
      <c r="H976" s="170"/>
      <c r="I976" s="169" t="b">
        <f>+IF(FINANCIACION[[#This Row],[$ CAPITAL]]&gt;0,FINANCIACION[[#This Row],[$ CAPITAL]])</f>
        <v>0</v>
      </c>
      <c r="J976" s="36">
        <f>+IF(FINANCIACION[[#This Row],[$ CAPITAL]]&gt;=0,FINANCIACION[[#This Row],[$ CAPITAL]]+FINANCIACION[[#This Row],[$ INTERESES]],0)</f>
        <v>132448</v>
      </c>
    </row>
    <row r="977" spans="1:10" ht="24" hidden="1" customHeight="1" x14ac:dyDescent="0.25">
      <c r="A977" s="7">
        <v>44670</v>
      </c>
      <c r="B977" s="172" t="s">
        <v>1229</v>
      </c>
      <c r="C977" s="169">
        <v>1207405.8900000006</v>
      </c>
      <c r="D977" s="169">
        <v>8594.109999999404</v>
      </c>
      <c r="E977" s="169">
        <f>+IF(FINANCIACION[[#This Row],[$ CAPITAL]]&gt;=0,FINANCIACION[[#This Row],[$ CAPITAL]]+FINANCIACION[[#This Row],[$ INTERESES]],"")</f>
        <v>1216000</v>
      </c>
      <c r="F977" s="169">
        <f>+SUMIFS(FINANCIACION[$ CAPITAL],FINANCIACION[Fecha],"&lt;="&amp;FINANCIACION[[#This Row],[Fecha]],FINANCIACION[PRESTAMO],FINANCIACION[[#This Row],[PRESTAMO]])</f>
        <v>-13937348.779999999</v>
      </c>
      <c r="G977" s="56"/>
      <c r="H977" s="170"/>
      <c r="I977" s="169">
        <f>+IF(FINANCIACION[[#This Row],[$ CAPITAL]]&gt;0,FINANCIACION[[#This Row],[$ CAPITAL]])</f>
        <v>1207405.8900000006</v>
      </c>
      <c r="J977" s="36">
        <f>+IF(FINANCIACION[[#This Row],[$ CAPITAL]]&gt;=0,FINANCIACION[[#This Row],[$ CAPITAL]]+FINANCIACION[[#This Row],[$ INTERESES]],0)</f>
        <v>1216000</v>
      </c>
    </row>
    <row r="978" spans="1:10" ht="24" hidden="1" customHeight="1" x14ac:dyDescent="0.25">
      <c r="A978" s="7">
        <v>44670</v>
      </c>
      <c r="B978" s="172" t="s">
        <v>1283</v>
      </c>
      <c r="C978" s="169">
        <v>2391834.9400000051</v>
      </c>
      <c r="D978" s="169">
        <v>49165.059999994934</v>
      </c>
      <c r="E978" s="169">
        <f>+IF(FINANCIACION[[#This Row],[$ CAPITAL]]&gt;=0,FINANCIACION[[#This Row],[$ CAPITAL]]+FINANCIACION[[#This Row],[$ INTERESES]],"")</f>
        <v>2441000</v>
      </c>
      <c r="F978" s="169">
        <f>+SUMIFS(FINANCIACION[$ CAPITAL],FINANCIACION[Fecha],"&lt;="&amp;FINANCIACION[[#This Row],[Fecha]],FINANCIACION[PRESTAMO],FINANCIACION[[#This Row],[PRESTAMO]])</f>
        <v>-58281472.409999996</v>
      </c>
      <c r="G978" s="56"/>
      <c r="H978" s="170"/>
      <c r="I978" s="169">
        <f>+IF(FINANCIACION[[#This Row],[$ CAPITAL]]&gt;0,FINANCIACION[[#This Row],[$ CAPITAL]])</f>
        <v>2391834.9400000051</v>
      </c>
      <c r="J978" s="36">
        <f>+IF(FINANCIACION[[#This Row],[$ CAPITAL]]&gt;=0,FINANCIACION[[#This Row],[$ CAPITAL]]+FINANCIACION[[#This Row],[$ INTERESES]],0)</f>
        <v>2441000</v>
      </c>
    </row>
    <row r="979" spans="1:10" ht="24" hidden="1" customHeight="1" x14ac:dyDescent="0.25">
      <c r="A979" s="7">
        <v>44670</v>
      </c>
      <c r="B979" s="172" t="s">
        <v>1223</v>
      </c>
      <c r="C979" s="169">
        <v>971857.97999999858</v>
      </c>
      <c r="D979" s="169">
        <v>8142.0200000014156</v>
      </c>
      <c r="E979" s="169">
        <f>+IF(FINANCIACION[[#This Row],[$ CAPITAL]]&gt;=0,FINANCIACION[[#This Row],[$ CAPITAL]]+FINANCIACION[[#This Row],[$ INTERESES]],"")</f>
        <v>980000</v>
      </c>
      <c r="F979" s="169">
        <f>+SUMIFS(FINANCIACION[$ CAPITAL],FINANCIACION[Fecha],"&lt;="&amp;FINANCIACION[[#This Row],[Fecha]],FINANCIACION[PRESTAMO],FINANCIACION[[#This Row],[PRESTAMO]])</f>
        <v>-12674339.050000001</v>
      </c>
      <c r="G979" s="56"/>
      <c r="H979" s="170"/>
      <c r="I979" s="169">
        <f>+IF(FINANCIACION[[#This Row],[$ CAPITAL]]&gt;0,FINANCIACION[[#This Row],[$ CAPITAL]])</f>
        <v>971857.97999999858</v>
      </c>
      <c r="J979" s="36">
        <f>+IF(FINANCIACION[[#This Row],[$ CAPITAL]]&gt;=0,FINANCIACION[[#This Row],[$ CAPITAL]]+FINANCIACION[[#This Row],[$ INTERESES]],0)</f>
        <v>980000</v>
      </c>
    </row>
    <row r="980" spans="1:10" ht="24" hidden="1" customHeight="1" x14ac:dyDescent="0.25">
      <c r="A980" s="7">
        <v>44670</v>
      </c>
      <c r="B980" s="172" t="s">
        <v>1231</v>
      </c>
      <c r="C980" s="169">
        <v>626870.95999999344</v>
      </c>
      <c r="D980" s="169">
        <v>43129.040000006557</v>
      </c>
      <c r="E980" s="169">
        <f>+IF(FINANCIACION[[#This Row],[$ CAPITAL]]&gt;=0,FINANCIACION[[#This Row],[$ CAPITAL]]+FINANCIACION[[#This Row],[$ INTERESES]],"")</f>
        <v>670000</v>
      </c>
      <c r="F980" s="169">
        <f>+SUMIFS(FINANCIACION[$ CAPITAL],FINANCIACION[Fecha],"&lt;="&amp;FINANCIACION[[#This Row],[Fecha]],FINANCIACION[PRESTAMO],FINANCIACION[[#This Row],[PRESTAMO]])</f>
        <v>-79885629.010000005</v>
      </c>
      <c r="G980" s="56"/>
      <c r="H980" s="170"/>
      <c r="I980" s="169">
        <f>+IF(FINANCIACION[[#This Row],[$ CAPITAL]]&gt;0,FINANCIACION[[#This Row],[$ CAPITAL]])</f>
        <v>626870.95999999344</v>
      </c>
      <c r="J980" s="36">
        <f>+IF(FINANCIACION[[#This Row],[$ CAPITAL]]&gt;=0,FINANCIACION[[#This Row],[$ CAPITAL]]+FINANCIACION[[#This Row],[$ INTERESES]],0)</f>
        <v>670000</v>
      </c>
    </row>
    <row r="981" spans="1:10" ht="24" hidden="1" customHeight="1" x14ac:dyDescent="0.25">
      <c r="A981" s="7">
        <v>44670</v>
      </c>
      <c r="B981" s="172" t="s">
        <v>1225</v>
      </c>
      <c r="C981" s="169">
        <v>1024991.6599999983</v>
      </c>
      <c r="D981" s="169">
        <v>9008.3400000017136</v>
      </c>
      <c r="E981" s="169">
        <f>+IF(FINANCIACION[[#This Row],[$ CAPITAL]]&gt;=0,FINANCIACION[[#This Row],[$ CAPITAL]]+FINANCIACION[[#This Row],[$ INTERESES]],"")</f>
        <v>1034000</v>
      </c>
      <c r="F981" s="169">
        <f>+SUMIFS(FINANCIACION[$ CAPITAL],FINANCIACION[Fecha],"&lt;="&amp;FINANCIACION[[#This Row],[Fecha]],FINANCIACION[PRESTAMO],FINANCIACION[[#This Row],[PRESTAMO]])</f>
        <v>-14201795.960000001</v>
      </c>
      <c r="G981" s="56"/>
      <c r="H981" s="170"/>
      <c r="I981" s="169">
        <f>+IF(FINANCIACION[[#This Row],[$ CAPITAL]]&gt;0,FINANCIACION[[#This Row],[$ CAPITAL]])</f>
        <v>1024991.6599999983</v>
      </c>
      <c r="J981" s="36">
        <f>+IF(FINANCIACION[[#This Row],[$ CAPITAL]]&gt;=0,FINANCIACION[[#This Row],[$ CAPITAL]]+FINANCIACION[[#This Row],[$ INTERESES]],0)</f>
        <v>1034000</v>
      </c>
    </row>
    <row r="982" spans="1:10" ht="24" hidden="1" customHeight="1" x14ac:dyDescent="0.25">
      <c r="A982" s="7">
        <v>44670</v>
      </c>
      <c r="B982" s="172" t="s">
        <v>1221</v>
      </c>
      <c r="C982" s="169">
        <v>2458316.7300000004</v>
      </c>
      <c r="D982" s="169">
        <v>18683.269999999553</v>
      </c>
      <c r="E982" s="169">
        <f>+IF(FINANCIACION[[#This Row],[$ CAPITAL]]&gt;=0,FINANCIACION[[#This Row],[$ CAPITAL]]+FINANCIACION[[#This Row],[$ INTERESES]],"")</f>
        <v>2477000</v>
      </c>
      <c r="F982" s="169">
        <f>+SUMIFS(FINANCIACION[$ CAPITAL],FINANCIACION[Fecha],"&lt;="&amp;FINANCIACION[[#This Row],[Fecha]],FINANCIACION[PRESTAMO],FINANCIACION[[#This Row],[PRESTAMO]])</f>
        <v>-30382557</v>
      </c>
      <c r="G982" s="56"/>
      <c r="H982" s="170"/>
      <c r="I982" s="169">
        <f>+IF(FINANCIACION[[#This Row],[$ CAPITAL]]&gt;0,FINANCIACION[[#This Row],[$ CAPITAL]])</f>
        <v>2458316.7300000004</v>
      </c>
      <c r="J982" s="36">
        <f>+IF(FINANCIACION[[#This Row],[$ CAPITAL]]&gt;=0,FINANCIACION[[#This Row],[$ CAPITAL]]+FINANCIACION[[#This Row],[$ INTERESES]],0)</f>
        <v>2477000</v>
      </c>
    </row>
    <row r="983" spans="1:10" ht="24" hidden="1" customHeight="1" x14ac:dyDescent="0.25">
      <c r="A983" s="7">
        <v>44670</v>
      </c>
      <c r="B983" s="172" t="s">
        <v>1222</v>
      </c>
      <c r="C983" s="169">
        <v>3600722.8999999985</v>
      </c>
      <c r="D983" s="169">
        <v>29277.10000000149</v>
      </c>
      <c r="E983" s="169">
        <f>+IF(FINANCIACION[[#This Row],[$ CAPITAL]]&gt;=0,FINANCIACION[[#This Row],[$ CAPITAL]]+FINANCIACION[[#This Row],[$ INTERESES]],"")</f>
        <v>3630000</v>
      </c>
      <c r="F983" s="169">
        <f>+SUMIFS(FINANCIACION[$ CAPITAL],FINANCIACION[Fecha],"&lt;="&amp;FINANCIACION[[#This Row],[Fecha]],FINANCIACION[PRESTAMO],FINANCIACION[[#This Row],[PRESTAMO]])</f>
        <v>-44018411.509999998</v>
      </c>
      <c r="G983" s="56"/>
      <c r="H983" s="170"/>
      <c r="I983" s="169">
        <f>+IF(FINANCIACION[[#This Row],[$ CAPITAL]]&gt;0,FINANCIACION[[#This Row],[$ CAPITAL]])</f>
        <v>3600722.8999999985</v>
      </c>
      <c r="J983" s="36">
        <f>+IF(FINANCIACION[[#This Row],[$ CAPITAL]]&gt;=0,FINANCIACION[[#This Row],[$ CAPITAL]]+FINANCIACION[[#This Row],[$ INTERESES]],0)</f>
        <v>3630000</v>
      </c>
    </row>
    <row r="984" spans="1:10" ht="24" hidden="1" customHeight="1" x14ac:dyDescent="0.25">
      <c r="A984" s="7">
        <v>44670</v>
      </c>
      <c r="B984" s="172" t="s">
        <v>1217</v>
      </c>
      <c r="C984" s="169">
        <v>4839732</v>
      </c>
      <c r="D984" s="169">
        <v>910592</v>
      </c>
      <c r="E984" s="169">
        <f>+IF(FINANCIACION[[#This Row],[$ CAPITAL]]&gt;=0,FINANCIACION[[#This Row],[$ CAPITAL]]+FINANCIACION[[#This Row],[$ INTERESES]],"")</f>
        <v>5750324</v>
      </c>
      <c r="F984" s="169">
        <f>+SUMIFS(FINANCIACION[$ CAPITAL],FINANCIACION[Fecha],"&lt;="&amp;FINANCIACION[[#This Row],[Fecha]],FINANCIACION[PRESTAMO],FINANCIACION[[#This Row],[PRESTAMO]])</f>
        <v>-320469121</v>
      </c>
      <c r="G984" s="56"/>
      <c r="H984" s="170"/>
      <c r="I984" s="169">
        <f>+IF(FINANCIACION[[#This Row],[$ CAPITAL]]&gt;0,FINANCIACION[[#This Row],[$ CAPITAL]])</f>
        <v>4839732</v>
      </c>
      <c r="J984" s="36">
        <f>+IF(FINANCIACION[[#This Row],[$ CAPITAL]]&gt;=0,FINANCIACION[[#This Row],[$ CAPITAL]]+FINANCIACION[[#This Row],[$ INTERESES]],0)</f>
        <v>5750324</v>
      </c>
    </row>
    <row r="985" spans="1:10" ht="24" hidden="1" customHeight="1" x14ac:dyDescent="0.25">
      <c r="A985" s="7">
        <v>44670</v>
      </c>
      <c r="B985" s="172" t="s">
        <v>1218</v>
      </c>
      <c r="C985" s="169">
        <v>1453956.4000000004</v>
      </c>
      <c r="D985" s="169">
        <v>10043.599999999627</v>
      </c>
      <c r="E985" s="169">
        <f>+IF(FINANCIACION[[#This Row],[$ CAPITAL]]&gt;=0,FINANCIACION[[#This Row],[$ CAPITAL]]+FINANCIACION[[#This Row],[$ INTERESES]],"")</f>
        <v>1464000</v>
      </c>
      <c r="F985" s="169">
        <f>+SUMIFS(FINANCIACION[$ CAPITAL],FINANCIACION[Fecha],"&lt;="&amp;FINANCIACION[[#This Row],[Fecha]],FINANCIACION[PRESTAMO],FINANCIACION[[#This Row],[PRESTAMO]])</f>
        <v>-15506854.619999999</v>
      </c>
      <c r="G985" s="56"/>
      <c r="H985" s="170"/>
      <c r="I985" s="169">
        <f>+IF(FINANCIACION[[#This Row],[$ CAPITAL]]&gt;0,FINANCIACION[[#This Row],[$ CAPITAL]])</f>
        <v>1453956.4000000004</v>
      </c>
      <c r="J985" s="36">
        <f>+IF(FINANCIACION[[#This Row],[$ CAPITAL]]&gt;=0,FINANCIACION[[#This Row],[$ CAPITAL]]+FINANCIACION[[#This Row],[$ INTERESES]],0)</f>
        <v>1464000</v>
      </c>
    </row>
    <row r="986" spans="1:10" ht="24" hidden="1" customHeight="1" x14ac:dyDescent="0.25">
      <c r="A986" s="7">
        <v>44561</v>
      </c>
      <c r="B986" s="172" t="s">
        <v>1229</v>
      </c>
      <c r="C986" s="169">
        <v>-909657.26000000164</v>
      </c>
      <c r="D986" s="169"/>
      <c r="E986" s="169"/>
      <c r="F986" s="169">
        <f>+SUMIFS(FINANCIACION[$ CAPITAL],FINANCIACION[Fecha],"&lt;="&amp;FINANCIACION[[#This Row],[Fecha]],FINANCIACION[PRESTAMO],FINANCIACION[[#This Row],[PRESTAMO]])</f>
        <v>-18616581.5</v>
      </c>
      <c r="G986" s="56" t="s">
        <v>1285</v>
      </c>
      <c r="H986" s="170"/>
      <c r="I986" s="169" t="b">
        <f>+IF(FINANCIACION[[#This Row],[$ CAPITAL]]&gt;0,FINANCIACION[[#This Row],[$ CAPITAL]])</f>
        <v>0</v>
      </c>
      <c r="J986" s="36">
        <f>+IF(FINANCIACION[[#This Row],[$ CAPITAL]]&gt;=0,FINANCIACION[[#This Row],[$ CAPITAL]]+FINANCIACION[[#This Row],[$ INTERESES]],0)</f>
        <v>0</v>
      </c>
    </row>
    <row r="987" spans="1:10" ht="24" hidden="1" customHeight="1" x14ac:dyDescent="0.25">
      <c r="A987" s="7">
        <v>44561</v>
      </c>
      <c r="B987" s="172" t="s">
        <v>1283</v>
      </c>
      <c r="C987" s="169">
        <v>-673307.35000000149</v>
      </c>
      <c r="D987" s="169"/>
      <c r="E987" s="169"/>
      <c r="F987" s="169">
        <f>+SUMIFS(FINANCIACION[$ CAPITAL],FINANCIACION[Fecha],"&lt;="&amp;FINANCIACION[[#This Row],[Fecha]],FINANCIACION[PRESTAMO],FINANCIACION[[#This Row],[PRESTAMO]])</f>
        <v>-673307.35000000149</v>
      </c>
      <c r="G987" s="56" t="s">
        <v>1285</v>
      </c>
      <c r="H987" s="170"/>
      <c r="I987" s="169" t="b">
        <f>+IF(FINANCIACION[[#This Row],[$ CAPITAL]]&gt;0,FINANCIACION[[#This Row],[$ CAPITAL]])</f>
        <v>0</v>
      </c>
      <c r="J987" s="36">
        <f>+IF(FINANCIACION[[#This Row],[$ CAPITAL]]&gt;=0,FINANCIACION[[#This Row],[$ CAPITAL]]+FINANCIACION[[#This Row],[$ INTERESES]],0)</f>
        <v>0</v>
      </c>
    </row>
    <row r="988" spans="1:10" ht="24" hidden="1" customHeight="1" x14ac:dyDescent="0.25">
      <c r="A988" s="7">
        <v>44561</v>
      </c>
      <c r="B988" s="172" t="s">
        <v>1223</v>
      </c>
      <c r="C988" s="169">
        <v>-802312.08999998868</v>
      </c>
      <c r="D988" s="169"/>
      <c r="E988" s="169"/>
      <c r="F988" s="169">
        <f>+SUMIFS(FINANCIACION[$ CAPITAL],FINANCIACION[Fecha],"&lt;="&amp;FINANCIACION[[#This Row],[Fecha]],FINANCIACION[PRESTAMO],FINANCIACION[[#This Row],[PRESTAMO]])</f>
        <v>-16427499.279999997</v>
      </c>
      <c r="G988" s="56" t="s">
        <v>1285</v>
      </c>
      <c r="H988" s="170"/>
      <c r="I988" s="169" t="b">
        <f>+IF(FINANCIACION[[#This Row],[$ CAPITAL]]&gt;0,FINANCIACION[[#This Row],[$ CAPITAL]])</f>
        <v>0</v>
      </c>
      <c r="J988" s="36">
        <f>+IF(FINANCIACION[[#This Row],[$ CAPITAL]]&gt;=0,FINANCIACION[[#This Row],[$ CAPITAL]]+FINANCIACION[[#This Row],[$ INTERESES]],0)</f>
        <v>0</v>
      </c>
    </row>
    <row r="989" spans="1:10" ht="24" hidden="1" customHeight="1" x14ac:dyDescent="0.25">
      <c r="A989" s="7">
        <v>44561</v>
      </c>
      <c r="B989" s="172" t="s">
        <v>1231</v>
      </c>
      <c r="C989" s="169">
        <v>-1661234.7599999905</v>
      </c>
      <c r="D989" s="169"/>
      <c r="E989" s="169"/>
      <c r="F989" s="169">
        <f>+SUMIFS(FINANCIACION[$ CAPITAL],FINANCIACION[Fecha],"&lt;="&amp;FINANCIACION[[#This Row],[Fecha]],FINANCIACION[PRESTAMO],FINANCIACION[[#This Row],[PRESTAMO]])</f>
        <v>-81522313.239999995</v>
      </c>
      <c r="G989" s="56" t="s">
        <v>1285</v>
      </c>
      <c r="H989" s="170"/>
      <c r="I989" s="169" t="b">
        <f>+IF(FINANCIACION[[#This Row],[$ CAPITAL]]&gt;0,FINANCIACION[[#This Row],[$ CAPITAL]])</f>
        <v>0</v>
      </c>
      <c r="J989" s="36">
        <f>+IF(FINANCIACION[[#This Row],[$ CAPITAL]]&gt;=0,FINANCIACION[[#This Row],[$ CAPITAL]]+FINANCIACION[[#This Row],[$ INTERESES]],0)</f>
        <v>0</v>
      </c>
    </row>
    <row r="990" spans="1:10" ht="24" hidden="1" customHeight="1" x14ac:dyDescent="0.25">
      <c r="A990" s="7">
        <v>44561</v>
      </c>
      <c r="B990" s="172" t="s">
        <v>1225</v>
      </c>
      <c r="C990" s="169">
        <v>-891891.60999999382</v>
      </c>
      <c r="D990" s="169"/>
      <c r="E990" s="169"/>
      <c r="F990" s="169">
        <f>+SUMIFS(FINANCIACION[$ CAPITAL],FINANCIACION[Fecha],"&lt;="&amp;FINANCIACION[[#This Row],[Fecha]],FINANCIACION[PRESTAMO],FINANCIACION[[#This Row],[PRESTAMO]])</f>
        <v>-18153059.129999995</v>
      </c>
      <c r="G990" s="56" t="s">
        <v>1285</v>
      </c>
      <c r="H990" s="170"/>
      <c r="I990" s="169" t="b">
        <f>+IF(FINANCIACION[[#This Row],[$ CAPITAL]]&gt;0,FINANCIACION[[#This Row],[$ CAPITAL]])</f>
        <v>0</v>
      </c>
      <c r="J990" s="36">
        <f>+IF(FINANCIACION[[#This Row],[$ CAPITAL]]&gt;=0,FINANCIACION[[#This Row],[$ CAPITAL]]+FINANCIACION[[#This Row],[$ INTERESES]],0)</f>
        <v>0</v>
      </c>
    </row>
    <row r="991" spans="1:10" ht="24" hidden="1" customHeight="1" x14ac:dyDescent="0.25">
      <c r="A991" s="7">
        <v>44561</v>
      </c>
      <c r="B991" s="172" t="s">
        <v>1221</v>
      </c>
      <c r="C991" s="169">
        <v>-1956200.2800000049</v>
      </c>
      <c r="D991" s="169"/>
      <c r="E991" s="169"/>
      <c r="F991" s="169">
        <f>+SUMIFS(FINANCIACION[$ CAPITAL],FINANCIACION[Fecha],"&lt;="&amp;FINANCIACION[[#This Row],[Fecha]],FINANCIACION[PRESTAMO],FINANCIACION[[#This Row],[PRESTAMO]])</f>
        <v>-39883167.600000009</v>
      </c>
      <c r="G991" s="56" t="s">
        <v>1285</v>
      </c>
      <c r="H991" s="170"/>
      <c r="I991" s="169" t="b">
        <f>+IF(FINANCIACION[[#This Row],[$ CAPITAL]]&gt;0,FINANCIACION[[#This Row],[$ CAPITAL]])</f>
        <v>0</v>
      </c>
      <c r="J991" s="36">
        <f>+IF(FINANCIACION[[#This Row],[$ CAPITAL]]&gt;=0,FINANCIACION[[#This Row],[$ CAPITAL]]+FINANCIACION[[#This Row],[$ INTERESES]],0)</f>
        <v>0</v>
      </c>
    </row>
    <row r="992" spans="1:10" ht="24" hidden="1" customHeight="1" x14ac:dyDescent="0.25">
      <c r="A992" s="7">
        <v>44561</v>
      </c>
      <c r="B992" s="172" t="s">
        <v>1222</v>
      </c>
      <c r="C992" s="169">
        <v>-3127661</v>
      </c>
      <c r="D992" s="169"/>
      <c r="E992" s="169"/>
      <c r="F992" s="169">
        <f>+SUMIFS(FINANCIACION[$ CAPITAL],FINANCIACION[Fecha],"&lt;="&amp;FINANCIACION[[#This Row],[Fecha]],FINANCIACION[PRESTAMO],FINANCIACION[[#This Row],[PRESTAMO]])</f>
        <v>-57909040.420000002</v>
      </c>
      <c r="G992" s="56" t="s">
        <v>1285</v>
      </c>
      <c r="H992" s="170"/>
      <c r="I992" s="169" t="b">
        <f>+IF(FINANCIACION[[#This Row],[$ CAPITAL]]&gt;0,FINANCIACION[[#This Row],[$ CAPITAL]])</f>
        <v>0</v>
      </c>
      <c r="J992" s="36">
        <f>+IF(FINANCIACION[[#This Row],[$ CAPITAL]]&gt;=0,FINANCIACION[[#This Row],[$ CAPITAL]]+FINANCIACION[[#This Row],[$ INTERESES]],0)</f>
        <v>0</v>
      </c>
    </row>
    <row r="993" spans="1:10" ht="24" hidden="1" customHeight="1" x14ac:dyDescent="0.25">
      <c r="A993" s="7">
        <v>44561</v>
      </c>
      <c r="B993" s="172" t="s">
        <v>1218</v>
      </c>
      <c r="C993" s="169">
        <v>-1321388.3700000159</v>
      </c>
      <c r="D993" s="169"/>
      <c r="E993" s="169"/>
      <c r="F993" s="169">
        <f>+SUMIFS(FINANCIACION[$ CAPITAL],FINANCIACION[Fecha],"&lt;="&amp;FINANCIACION[[#This Row],[Fecha]],FINANCIACION[PRESTAMO],FINANCIACION[[#This Row],[PRESTAMO]])</f>
        <v>-21161070.060000002</v>
      </c>
      <c r="G993" s="56" t="s">
        <v>1285</v>
      </c>
      <c r="H993" s="170"/>
      <c r="I993" s="169" t="b">
        <f>+IF(FINANCIACION[[#This Row],[$ CAPITAL]]&gt;0,FINANCIACION[[#This Row],[$ CAPITAL]])</f>
        <v>0</v>
      </c>
      <c r="J993" s="36">
        <f>+IF(FINANCIACION[[#This Row],[$ CAPITAL]]&gt;=0,FINANCIACION[[#This Row],[$ CAPITAL]]+FINANCIACION[[#This Row],[$ INTERESES]],0)</f>
        <v>0</v>
      </c>
    </row>
    <row r="994" spans="1:10" ht="24" hidden="1" customHeight="1" x14ac:dyDescent="0.25">
      <c r="A994" s="7">
        <v>44671</v>
      </c>
      <c r="B994" s="172" t="s">
        <v>1233</v>
      </c>
      <c r="C994" s="169">
        <v>2400000</v>
      </c>
      <c r="D994" s="169"/>
      <c r="E994" s="169"/>
      <c r="F994" s="169">
        <f>+SUMIFS(FINANCIACION[$ CAPITAL],FINANCIACION[Fecha],"&lt;="&amp;FINANCIACION[[#This Row],[Fecha]],FINANCIACION[PRESTAMO],FINANCIACION[[#This Row],[PRESTAMO]])</f>
        <v>0</v>
      </c>
      <c r="G994" s="56" t="s">
        <v>1289</v>
      </c>
      <c r="H994" s="170"/>
      <c r="I994" s="169">
        <f>+IF(FINANCIACION[[#This Row],[$ CAPITAL]]&gt;0,FINANCIACION[[#This Row],[$ CAPITAL]])</f>
        <v>2400000</v>
      </c>
      <c r="J994" s="36">
        <f>+IF(FINANCIACION[[#This Row],[$ CAPITAL]]&gt;=0,FINANCIACION[[#This Row],[$ CAPITAL]]+FINANCIACION[[#This Row],[$ INTERESES]],0)</f>
        <v>2400000</v>
      </c>
    </row>
    <row r="995" spans="1:10" ht="24" hidden="1" customHeight="1" x14ac:dyDescent="0.25">
      <c r="A995" s="7">
        <v>44657</v>
      </c>
      <c r="B995" s="172" t="s">
        <v>195</v>
      </c>
      <c r="C995" s="169"/>
      <c r="D995" s="169">
        <v>372565</v>
      </c>
      <c r="E995" s="169"/>
      <c r="F995" s="169">
        <f>+SUMIFS(FINANCIACION[$ CAPITAL],FINANCIACION[Fecha],"&lt;="&amp;FINANCIACION[[#This Row],[Fecha]],FINANCIACION[PRESTAMO],FINANCIACION[[#This Row],[PRESTAMO]])</f>
        <v>0</v>
      </c>
      <c r="G995" s="56"/>
      <c r="H995" s="170"/>
      <c r="I995" s="169" t="b">
        <f>+IF(FINANCIACION[[#This Row],[$ CAPITAL]]&gt;0,FINANCIACION[[#This Row],[$ CAPITAL]])</f>
        <v>0</v>
      </c>
      <c r="J995" s="36">
        <f>+IF(FINANCIACION[[#This Row],[$ CAPITAL]]&gt;=0,FINANCIACION[[#This Row],[$ CAPITAL]]+FINANCIACION[[#This Row],[$ INTERESES]],0)</f>
        <v>372565</v>
      </c>
    </row>
    <row r="996" spans="1:10" ht="24" hidden="1" customHeight="1" x14ac:dyDescent="0.25">
      <c r="A996" s="7">
        <v>44669</v>
      </c>
      <c r="B996" s="172" t="s">
        <v>195</v>
      </c>
      <c r="C996" s="169"/>
      <c r="D996" s="169">
        <v>289380</v>
      </c>
      <c r="E996" s="169"/>
      <c r="F996" s="169">
        <f>+SUMIFS(FINANCIACION[$ CAPITAL],FINANCIACION[Fecha],"&lt;="&amp;FINANCIACION[[#This Row],[Fecha]],FINANCIACION[PRESTAMO],FINANCIACION[[#This Row],[PRESTAMO]])</f>
        <v>0</v>
      </c>
      <c r="G996" s="56"/>
      <c r="H996" s="170"/>
      <c r="I996" s="169" t="b">
        <f>+IF(FINANCIACION[[#This Row],[$ CAPITAL]]&gt;0,FINANCIACION[[#This Row],[$ CAPITAL]])</f>
        <v>0</v>
      </c>
      <c r="J996" s="36">
        <f>+IF(FINANCIACION[[#This Row],[$ CAPITAL]]&gt;=0,FINANCIACION[[#This Row],[$ CAPITAL]]+FINANCIACION[[#This Row],[$ INTERESES]],0)</f>
        <v>289380</v>
      </c>
    </row>
    <row r="997" spans="1:10" ht="24" hidden="1" customHeight="1" x14ac:dyDescent="0.25">
      <c r="A997" s="198">
        <v>44655</v>
      </c>
      <c r="B997" s="172" t="s">
        <v>1235</v>
      </c>
      <c r="C997" s="169">
        <v>1744958</v>
      </c>
      <c r="D997" s="169">
        <v>206988</v>
      </c>
      <c r="E997" s="169"/>
      <c r="F997" s="169">
        <f>+SUMIFS(FINANCIACION[$ CAPITAL],FINANCIACION[Fecha],"&lt;="&amp;FINANCIACION[[#This Row],[Fecha]],FINANCIACION[PRESTAMO],FINANCIACION[[#This Row],[PRESTAMO]])</f>
        <v>-17449590</v>
      </c>
      <c r="G997" s="56"/>
      <c r="H997" s="170"/>
      <c r="I997" s="169">
        <f>+IF(FINANCIACION[[#This Row],[$ CAPITAL]]&gt;0,FINANCIACION[[#This Row],[$ CAPITAL]])</f>
        <v>1744958</v>
      </c>
      <c r="J997" s="36">
        <f>+IF(FINANCIACION[[#This Row],[$ CAPITAL]]&gt;=0,FINANCIACION[[#This Row],[$ CAPITAL]]+FINANCIACION[[#This Row],[$ INTERESES]],0)</f>
        <v>1951946</v>
      </c>
    </row>
    <row r="998" spans="1:10" ht="24" customHeight="1" x14ac:dyDescent="0.25">
      <c r="A998" s="7">
        <v>44665</v>
      </c>
      <c r="B998" s="172" t="s">
        <v>200</v>
      </c>
      <c r="C998" s="169">
        <v>1944444</v>
      </c>
      <c r="D998" s="169">
        <f>2197822.73-FINANCIACION[[#This Row],[$ CAPITAL]]</f>
        <v>253378.72999999998</v>
      </c>
      <c r="E998" s="169">
        <f>+IF(FINANCIACION[[#This Row],[$ CAPITAL]]&gt;=0,FINANCIACION[[#This Row],[$ CAPITAL]]+FINANCIACION[[#This Row],[$ INTERESES]],"")</f>
        <v>2197822.73</v>
      </c>
      <c r="F998" s="169">
        <f>+SUMIFS(FINANCIACION[$ CAPITAL],FINANCIACION[Fecha],"&lt;="&amp;FINANCIACION[[#This Row],[Fecha]],FINANCIACION[PRESTAMO],FINANCIACION[[#This Row],[PRESTAMO]])</f>
        <v>-25277780</v>
      </c>
      <c r="G998" s="56"/>
      <c r="H998" s="170"/>
      <c r="I998" s="169">
        <f>+IF(FINANCIACION[[#This Row],[$ CAPITAL]]&gt;0,FINANCIACION[[#This Row],[$ CAPITAL]])</f>
        <v>1944444</v>
      </c>
      <c r="J998" s="36">
        <f>+IF(FINANCIACION[[#This Row],[$ CAPITAL]]&gt;=0,FINANCIACION[[#This Row],[$ CAPITAL]]+FINANCIACION[[#This Row],[$ INTERESES]],0)</f>
        <v>2197822.73</v>
      </c>
    </row>
    <row r="999" spans="1:10" ht="24" customHeight="1" x14ac:dyDescent="0.25">
      <c r="A999" s="7">
        <v>44681</v>
      </c>
      <c r="B999" s="172" t="s">
        <v>201</v>
      </c>
      <c r="C999" s="169">
        <v>-469204</v>
      </c>
      <c r="D999" s="169"/>
      <c r="E999" s="169"/>
      <c r="F999" s="169">
        <f>+SUMIFS(FINANCIACION[$ CAPITAL],FINANCIACION[Fecha],"&lt;="&amp;FINANCIACION[[#This Row],[Fecha]],FINANCIACION[PRESTAMO],FINANCIACION[[#This Row],[PRESTAMO]])</f>
        <v>-1779909</v>
      </c>
      <c r="G999" s="56" t="s">
        <v>231</v>
      </c>
      <c r="H999" s="170"/>
      <c r="I999" s="169" t="b">
        <f>+IF(FINANCIACION[[#This Row],[$ CAPITAL]]&gt;0,FINANCIACION[[#This Row],[$ CAPITAL]])</f>
        <v>0</v>
      </c>
      <c r="J999" s="36">
        <f>+IF(FINANCIACION[[#This Row],[$ CAPITAL]]&gt;=0,FINANCIACION[[#This Row],[$ CAPITAL]]+FINANCIACION[[#This Row],[$ INTERESES]],0)</f>
        <v>0</v>
      </c>
    </row>
    <row r="1000" spans="1:10" ht="24" customHeight="1" x14ac:dyDescent="0.25">
      <c r="A1000" s="7">
        <v>44681</v>
      </c>
      <c r="B1000" s="172" t="s">
        <v>202</v>
      </c>
      <c r="C1000" s="169">
        <v>-1502400</v>
      </c>
      <c r="D1000" s="169"/>
      <c r="E1000" s="169"/>
      <c r="F1000" s="169">
        <f>+SUMIFS(FINANCIACION[$ CAPITAL],FINANCIACION[Fecha],"&lt;="&amp;FINANCIACION[[#This Row],[Fecha]],FINANCIACION[PRESTAMO],FINANCIACION[[#This Row],[PRESTAMO]])</f>
        <v>-32860000</v>
      </c>
      <c r="G1000" s="56" t="s">
        <v>231</v>
      </c>
      <c r="H1000" s="170"/>
      <c r="I1000" s="169" t="b">
        <f>+IF(FINANCIACION[[#This Row],[$ CAPITAL]]&gt;0,FINANCIACION[[#This Row],[$ CAPITAL]])</f>
        <v>0</v>
      </c>
      <c r="J1000" s="36">
        <f>+IF(FINANCIACION[[#This Row],[$ CAPITAL]]&gt;=0,FINANCIACION[[#This Row],[$ CAPITAL]]+FINANCIACION[[#This Row],[$ INTERESES]],0)</f>
        <v>0</v>
      </c>
    </row>
    <row r="1001" spans="1:10" ht="24" customHeight="1" x14ac:dyDescent="0.25">
      <c r="A1001" s="7">
        <v>44681</v>
      </c>
      <c r="B1001" s="172" t="s">
        <v>203</v>
      </c>
      <c r="C1001" s="169">
        <v>947580</v>
      </c>
      <c r="D1001" s="169"/>
      <c r="E1001" s="169"/>
      <c r="F1001" s="169">
        <f>+SUMIFS(FINANCIACION[$ CAPITAL],FINANCIACION[Fecha],"&lt;="&amp;FINANCIACION[[#This Row],[Fecha]],FINANCIACION[PRESTAMO],FINANCIACION[[#This Row],[PRESTAMO]])</f>
        <v>-10095606</v>
      </c>
      <c r="G1001" s="56" t="s">
        <v>231</v>
      </c>
      <c r="H1001" s="170"/>
      <c r="I1001" s="169">
        <f>+IF(FINANCIACION[[#This Row],[$ CAPITAL]]&gt;0,FINANCIACION[[#This Row],[$ CAPITAL]])</f>
        <v>947580</v>
      </c>
      <c r="J1001" s="36">
        <f>+IF(FINANCIACION[[#This Row],[$ CAPITAL]]&gt;=0,FINANCIACION[[#This Row],[$ CAPITAL]]+FINANCIACION[[#This Row],[$ INTERESES]],0)</f>
        <v>947580</v>
      </c>
    </row>
    <row r="1002" spans="1:10" ht="24" customHeight="1" x14ac:dyDescent="0.25">
      <c r="A1002" s="7">
        <v>44681</v>
      </c>
      <c r="B1002" s="172" t="s">
        <v>418</v>
      </c>
      <c r="C1002" s="169">
        <v>-1185406</v>
      </c>
      <c r="D1002" s="169"/>
      <c r="E1002" s="169"/>
      <c r="F1002" s="169">
        <f>+SUMIFS(FINANCIACION[$ CAPITAL],FINANCIACION[Fecha],"&lt;="&amp;FINANCIACION[[#This Row],[Fecha]],FINANCIACION[PRESTAMO],FINANCIACION[[#This Row],[PRESTAMO]])</f>
        <v>-23708120</v>
      </c>
      <c r="G1002" s="56" t="s">
        <v>231</v>
      </c>
      <c r="H1002" s="170"/>
      <c r="I1002" s="169" t="b">
        <f>+IF(FINANCIACION[[#This Row],[$ CAPITAL]]&gt;0,FINANCIACION[[#This Row],[$ CAPITAL]])</f>
        <v>0</v>
      </c>
      <c r="J1002" s="36">
        <f>+IF(FINANCIACION[[#This Row],[$ CAPITAL]]&gt;=0,FINANCIACION[[#This Row],[$ CAPITAL]]+FINANCIACION[[#This Row],[$ INTERESES]],0)</f>
        <v>0</v>
      </c>
    </row>
    <row r="1003" spans="1:10" ht="24" customHeight="1" x14ac:dyDescent="0.25">
      <c r="A1003" s="7">
        <v>44681</v>
      </c>
      <c r="B1003" s="172" t="s">
        <v>540</v>
      </c>
      <c r="C1003" s="169">
        <v>-2737538</v>
      </c>
      <c r="D1003" s="169"/>
      <c r="E1003" s="169"/>
      <c r="F1003" s="169">
        <f>+SUMIFS(FINANCIACION[$ CAPITAL],FINANCIACION[Fecha],"&lt;="&amp;FINANCIACION[[#This Row],[Fecha]],FINANCIACION[PRESTAMO],FINANCIACION[[#This Row],[PRESTAMO]])</f>
        <v>-54750760</v>
      </c>
      <c r="G1003" s="56" t="s">
        <v>231</v>
      </c>
      <c r="H1003" s="170"/>
      <c r="I1003" s="169" t="b">
        <f>+IF(FINANCIACION[[#This Row],[$ CAPITAL]]&gt;0,FINANCIACION[[#This Row],[$ CAPITAL]])</f>
        <v>0</v>
      </c>
      <c r="J1003" s="36">
        <f>+IF(FINANCIACION[[#This Row],[$ CAPITAL]]&gt;=0,FINANCIACION[[#This Row],[$ CAPITAL]]+FINANCIACION[[#This Row],[$ INTERESES]],0)</f>
        <v>0</v>
      </c>
    </row>
    <row r="1004" spans="1:10" ht="24" customHeight="1" x14ac:dyDescent="0.25">
      <c r="A1004" s="7">
        <v>44681</v>
      </c>
      <c r="B1004" s="172" t="s">
        <v>959</v>
      </c>
      <c r="C1004" s="169">
        <v>-2886872</v>
      </c>
      <c r="D1004" s="169"/>
      <c r="E1004" s="169"/>
      <c r="F1004" s="169">
        <f>+SUMIFS(FINANCIACION[$ CAPITAL],FINANCIACION[Fecha],"&lt;="&amp;FINANCIACION[[#This Row],[Fecha]],FINANCIACION[PRESTAMO],FINANCIACION[[#This Row],[PRESTAMO]])</f>
        <v>-57737440</v>
      </c>
      <c r="G1004" s="56" t="s">
        <v>231</v>
      </c>
      <c r="H1004" s="170"/>
      <c r="I1004" s="169" t="b">
        <f>+IF(FINANCIACION[[#This Row],[$ CAPITAL]]&gt;0,FINANCIACION[[#This Row],[$ CAPITAL]])</f>
        <v>0</v>
      </c>
      <c r="J1004" s="36">
        <f>+IF(FINANCIACION[[#This Row],[$ CAPITAL]]&gt;=0,FINANCIACION[[#This Row],[$ CAPITAL]]+FINANCIACION[[#This Row],[$ INTERESES]],0)</f>
        <v>0</v>
      </c>
    </row>
  </sheetData>
  <phoneticPr fontId="2" type="noConversion"/>
  <conditionalFormatting sqref="C970">
    <cfRule type="expression" dxfId="114" priority="1" stopIfTrue="1">
      <formula>$T970="Por pagar"</formula>
    </cfRule>
    <cfRule type="expression" dxfId="113" priority="2" stopIfTrue="1">
      <formula>$T970="Vencida"</formula>
    </cfRule>
    <cfRule type="expression" dxfId="112" priority="3" stopIfTrue="1">
      <formula>$T970="Pagada"</formula>
    </cfRule>
  </conditionalFormatting>
  <dataValidations xWindow="542" yWindow="371" count="2">
    <dataValidation allowBlank="1" showInputMessage="1" showErrorMessage="1" prompt="Si es una deuda escribelo negativo._x000a__x000a_Si es un abono que sea positivo." sqref="C524 C544 C702 C2:C434" xr:uid="{00000000-0002-0000-0200-000000000000}"/>
    <dataValidation type="date" allowBlank="1" showInputMessage="1" showErrorMessage="1" error="SOLO FECHAS" sqref="A2:A1004" xr:uid="{5BE27017-20B5-4A59-86E4-A766483605B6}">
      <formula1>36526</formula1>
      <formula2>47848</formula2>
    </dataValidation>
  </dataValidations>
  <pageMargins left="0.7" right="0.7" top="0.75" bottom="0.75" header="0.3" footer="0.3"/>
  <pageSetup scale="5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542" yWindow="371" count="2">
        <x14:dataValidation type="list" allowBlank="1" showInputMessage="1" showErrorMessage="1" xr:uid="{016ED927-600B-4A1F-A49E-FB520E7C4029}">
          <x14:formula1>
            <xm:f>Financiadores!$A:$A</xm:f>
          </x14:formula1>
          <xm:sqref>B442:B465 B467:B469 B472:B483 B485:B494 B496:B516 B1 B518:B568 B572:B580 B582:B588 B590:B641 B643:B699 B705:B716 B718:B736 B743:B750 B755:B762 B764:B769 B771:B777 B793:B805 B807:B824 B827:B842 B781:B789 B844:B863 B867 B870:B1048576</xm:sqref>
        </x14:dataValidation>
        <x14:dataValidation type="list" allowBlank="1" showInputMessage="1" showErrorMessage="1" error="Primero escribe el nombre del crédito en la hoja &quot;Financiadores&quot;" xr:uid="{D998F43E-86ED-4FFF-A8A6-557DE6EC6BB1}">
          <x14:formula1>
            <xm:f>Financiadores!$A:$A</xm:f>
          </x14:formula1>
          <xm:sqref>B470:B471 B484 B517 B495 B466 B569:B571 B581 B589 B642 B700:B704 B717 B737:B742 B751:B754 B763 B770 B778:B780 B790:B792 B806 B825:B826 B843 B2:B441 B864:B866 B868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9C3AA-417B-4233-A1A6-AB2DFB197407}">
  <sheetPr codeName="Hoja9"/>
  <dimension ref="A1:S49"/>
  <sheetViews>
    <sheetView topLeftCell="A25" workbookViewId="0">
      <selection activeCell="A30" activeCellId="1" sqref="R30:R32 A30:A32"/>
    </sheetView>
  </sheetViews>
  <sheetFormatPr baseColWidth="10" defaultColWidth="13.42578125" defaultRowHeight="21.6" customHeight="1" x14ac:dyDescent="0.25"/>
  <cols>
    <col min="1" max="1" width="29.42578125" style="44" customWidth="1"/>
    <col min="2" max="5" width="13.7109375" style="44" hidden="1" customWidth="1"/>
    <col min="6" max="13" width="13.42578125" style="44" hidden="1" customWidth="1"/>
    <col min="14" max="15" width="0" style="44" hidden="1" customWidth="1"/>
    <col min="16" max="16" width="13.42578125" style="171"/>
    <col min="17" max="17" width="13.42578125" style="44"/>
    <col min="18" max="19" width="13.42578125" style="171"/>
    <col min="20" max="16384" width="13.42578125" style="44"/>
  </cols>
  <sheetData>
    <row r="1" spans="1:19" ht="21.6" customHeight="1" x14ac:dyDescent="0.25">
      <c r="A1" s="44" t="s">
        <v>215</v>
      </c>
      <c r="B1" s="44" t="s">
        <v>216</v>
      </c>
      <c r="C1" s="44" t="s">
        <v>217</v>
      </c>
      <c r="D1" s="59" t="s">
        <v>239</v>
      </c>
      <c r="E1" s="59" t="s">
        <v>348</v>
      </c>
      <c r="F1" s="59" t="s">
        <v>415</v>
      </c>
      <c r="G1" s="59" t="s">
        <v>416</v>
      </c>
      <c r="H1" s="59" t="s">
        <v>443</v>
      </c>
      <c r="I1" s="59" t="s">
        <v>498</v>
      </c>
      <c r="J1" s="59" t="s">
        <v>519</v>
      </c>
      <c r="K1" s="59" t="s">
        <v>592</v>
      </c>
      <c r="L1" s="59" t="s">
        <v>628</v>
      </c>
      <c r="M1" s="59" t="s">
        <v>640</v>
      </c>
      <c r="N1" s="59" t="s">
        <v>950</v>
      </c>
      <c r="O1" s="174" t="s">
        <v>1273</v>
      </c>
      <c r="P1" s="174" t="s">
        <v>1274</v>
      </c>
      <c r="Q1" s="174" t="s">
        <v>1275</v>
      </c>
      <c r="R1" s="174" t="s">
        <v>1284</v>
      </c>
      <c r="S1" s="174" t="s">
        <v>1308</v>
      </c>
    </row>
    <row r="2" spans="1:19" ht="21.6" customHeight="1" x14ac:dyDescent="0.25">
      <c r="A2" s="44" t="s">
        <v>1241</v>
      </c>
      <c r="B2" s="173">
        <f>-SUMIFS(FINANCIACION[$ CAPITAL],
FINANCIACION[Fecha],"&lt;="&amp;EOMONTH(B$1,0),
FINANCIACION[PRESTAMO],$A2)</f>
        <v>0</v>
      </c>
      <c r="C2" s="55">
        <v>0</v>
      </c>
      <c r="D2" s="55">
        <v>0</v>
      </c>
      <c r="E2" s="55">
        <v>0</v>
      </c>
      <c r="F2" s="55">
        <v>0</v>
      </c>
      <c r="G2" s="55">
        <v>0</v>
      </c>
      <c r="H2" s="55">
        <v>0</v>
      </c>
      <c r="I2" s="55">
        <v>0</v>
      </c>
      <c r="J2" s="55">
        <v>0</v>
      </c>
      <c r="K2" s="55">
        <v>0</v>
      </c>
      <c r="L2" s="55">
        <v>0</v>
      </c>
      <c r="M2" s="55">
        <v>0</v>
      </c>
      <c r="N2" s="173">
        <f>-SUMIFS(FINANCIACION[$ CAPITAL],
FINANCIACION[Fecha],"&lt;="&amp;EOMONTH(N$1,0),
FINANCIACION[PRESTAMO],$A2)</f>
        <v>0</v>
      </c>
      <c r="O2" s="173">
        <f>-SUMIFS(FINANCIACION[$ CAPITAL],
FINANCIACION[Fecha],"&lt;="&amp;EOMONTH(O$1,0),
FINANCIACION[PRESTAMO],$A2)</f>
        <v>0</v>
      </c>
      <c r="P2" s="173">
        <f>-SUMIFS(FINANCIACION[$ CAPITAL],
FINANCIACION[Fecha],"&lt;="&amp;EOMONTH(P$1,0),
FINANCIACION[PRESTAMO],$A2)</f>
        <v>0</v>
      </c>
      <c r="Q2" s="173">
        <f>-SUMIFS(FINANCIACION[$ CAPITAL],
FINANCIACION[Fecha],"&lt;="&amp;EOMONTH(Q$1,0),
FINANCIACION[PRESTAMO],$A2)</f>
        <v>0</v>
      </c>
      <c r="R2" s="173">
        <f>+Tabla10[[#This Row],[abr-22]]-Tabla10[[#This Row],[may-23]]</f>
        <v>0</v>
      </c>
      <c r="S2" s="173"/>
    </row>
    <row r="3" spans="1:19" ht="21.6" customHeight="1" x14ac:dyDescent="0.25">
      <c r="A3" s="44" t="s">
        <v>1226</v>
      </c>
      <c r="B3" s="173">
        <f>-SUMIFS(FINANCIACION[$ CAPITAL],
FINANCIACION[Fecha],"&lt;="&amp;EOMONTH(B$1,0),
FINANCIACION[PRESTAMO],$A3)</f>
        <v>13000000</v>
      </c>
      <c r="C3" s="55">
        <v>13000000</v>
      </c>
      <c r="D3" s="55">
        <v>13000000</v>
      </c>
      <c r="E3" s="55">
        <v>13000000</v>
      </c>
      <c r="F3" s="55">
        <v>13000000</v>
      </c>
      <c r="G3" s="55">
        <v>13000000</v>
      </c>
      <c r="H3" s="55">
        <v>13000000</v>
      </c>
      <c r="I3" s="55">
        <v>13000000</v>
      </c>
      <c r="J3" s="55">
        <v>13000000</v>
      </c>
      <c r="K3" s="55">
        <v>13000000</v>
      </c>
      <c r="L3" s="55">
        <v>13000000</v>
      </c>
      <c r="M3" s="55">
        <v>13000000</v>
      </c>
      <c r="N3" s="173">
        <f>-SUMIFS(FINANCIACION[$ CAPITAL],
FINANCIACION[Fecha],"&lt;="&amp;EOMONTH(N$1,0),
FINANCIACION[PRESTAMO],$A3)</f>
        <v>13000000</v>
      </c>
      <c r="O3" s="173">
        <f>-SUMIFS(FINANCIACION[$ CAPITAL],
FINANCIACION[Fecha],"&lt;="&amp;EOMONTH(O$1,0),
FINANCIACION[PRESTAMO],$A3)</f>
        <v>13000000</v>
      </c>
      <c r="P3" s="173">
        <f>-SUMIFS(FINANCIACION[$ CAPITAL],
FINANCIACION[Fecha],"&lt;="&amp;EOMONTH(P$1,0),
FINANCIACION[PRESTAMO],$A3)</f>
        <v>13000000</v>
      </c>
      <c r="Q3" s="173">
        <f>-SUMIFS(FINANCIACION[$ CAPITAL],
FINANCIACION[Fecha],"&lt;="&amp;EOMONTH(Q$1,0),
FINANCIACION[PRESTAMO],$A3)</f>
        <v>13000000</v>
      </c>
      <c r="R3" s="173">
        <f>+Tabla10[[#This Row],[abr-22]]-Tabla10[[#This Row],[may-23]]</f>
        <v>13000000</v>
      </c>
      <c r="S3" s="173"/>
    </row>
    <row r="4" spans="1:19" ht="21.6" customHeight="1" x14ac:dyDescent="0.25">
      <c r="A4" s="44" t="s">
        <v>1242</v>
      </c>
      <c r="B4" s="173">
        <f>-SUMIFS(FINANCIACION[$ CAPITAL],
FINANCIACION[Fecha],"&lt;="&amp;EOMONTH(B$1,0),
FINANCIACION[PRESTAMO],$A4)</f>
        <v>0</v>
      </c>
      <c r="C4" s="55">
        <v>0</v>
      </c>
      <c r="D4" s="55">
        <v>0</v>
      </c>
      <c r="E4" s="55">
        <v>0</v>
      </c>
      <c r="F4" s="55">
        <v>0</v>
      </c>
      <c r="G4" s="55">
        <v>0</v>
      </c>
      <c r="H4" s="55">
        <v>0</v>
      </c>
      <c r="I4" s="55">
        <v>0</v>
      </c>
      <c r="J4" s="55">
        <v>0</v>
      </c>
      <c r="K4" s="55">
        <v>0</v>
      </c>
      <c r="L4" s="55">
        <v>0</v>
      </c>
      <c r="M4" s="55">
        <v>0</v>
      </c>
      <c r="N4" s="173">
        <f>-SUMIFS(FINANCIACION[$ CAPITAL],
FINANCIACION[Fecha],"&lt;="&amp;EOMONTH(N$1,0),
FINANCIACION[PRESTAMO],$A4)</f>
        <v>0</v>
      </c>
      <c r="O4" s="173">
        <f>-SUMIFS(FINANCIACION[$ CAPITAL],
FINANCIACION[Fecha],"&lt;="&amp;EOMONTH(O$1,0),
FINANCIACION[PRESTAMO],$A4)</f>
        <v>0</v>
      </c>
      <c r="P4" s="173">
        <f>-SUMIFS(FINANCIACION[$ CAPITAL],
FINANCIACION[Fecha],"&lt;="&amp;EOMONTH(P$1,0),
FINANCIACION[PRESTAMO],$A4)</f>
        <v>0</v>
      </c>
      <c r="Q4" s="173">
        <f>-SUMIFS(FINANCIACION[$ CAPITAL],
FINANCIACION[Fecha],"&lt;="&amp;EOMONTH(Q$1,0),
FINANCIACION[PRESTAMO],$A4)</f>
        <v>0</v>
      </c>
      <c r="R4" s="173">
        <f>+Tabla10[[#This Row],[abr-22]]-Tabla10[[#This Row],[may-23]]</f>
        <v>0</v>
      </c>
      <c r="S4" s="173"/>
    </row>
    <row r="5" spans="1:19" ht="21.6" customHeight="1" x14ac:dyDescent="0.25">
      <c r="A5" s="44" t="s">
        <v>1220</v>
      </c>
      <c r="B5" s="173">
        <f>-SUMIFS(FINANCIACION[$ CAPITAL],
FINANCIACION[Fecha],"&lt;="&amp;EOMONTH(B$1,0),
FINANCIACION[PRESTAMO],$A5)</f>
        <v>75000000</v>
      </c>
      <c r="C5" s="55">
        <v>75000000</v>
      </c>
      <c r="D5" s="55">
        <v>75000000</v>
      </c>
      <c r="E5" s="55">
        <v>75000000</v>
      </c>
      <c r="F5" s="55">
        <v>75000000</v>
      </c>
      <c r="G5" s="55">
        <v>75000000</v>
      </c>
      <c r="H5" s="55">
        <v>75000000</v>
      </c>
      <c r="I5" s="55">
        <v>75000000</v>
      </c>
      <c r="J5" s="55">
        <v>75000000</v>
      </c>
      <c r="K5" s="55">
        <v>75000000</v>
      </c>
      <c r="L5" s="55">
        <v>75000000</v>
      </c>
      <c r="M5" s="55">
        <v>75000000</v>
      </c>
      <c r="N5" s="173">
        <f>-SUMIFS(FINANCIACION[$ CAPITAL],
FINANCIACION[Fecha],"&lt;="&amp;EOMONTH(N$1,0),
FINANCIACION[PRESTAMO],$A5)</f>
        <v>75000000</v>
      </c>
      <c r="O5" s="173">
        <f>-SUMIFS(FINANCIACION[$ CAPITAL],
FINANCIACION[Fecha],"&lt;="&amp;EOMONTH(O$1,0),
FINANCIACION[PRESTAMO],$A5)</f>
        <v>75000000</v>
      </c>
      <c r="P5" s="173">
        <f>-SUMIFS(FINANCIACION[$ CAPITAL],
FINANCIACION[Fecha],"&lt;="&amp;EOMONTH(P$1,0),
FINANCIACION[PRESTAMO],$A5)</f>
        <v>75000000</v>
      </c>
      <c r="Q5" s="173">
        <f>-SUMIFS(FINANCIACION[$ CAPITAL],
FINANCIACION[Fecha],"&lt;="&amp;EOMONTH(Q$1,0),
FINANCIACION[PRESTAMO],$A5)</f>
        <v>75000000</v>
      </c>
      <c r="R5" s="173">
        <f>+Tabla10[[#This Row],[abr-22]]-Tabla10[[#This Row],[may-23]]</f>
        <v>75000000</v>
      </c>
      <c r="S5" s="173"/>
    </row>
    <row r="6" spans="1:19" ht="21.6" customHeight="1" x14ac:dyDescent="0.25">
      <c r="A6" s="44" t="s">
        <v>1230</v>
      </c>
      <c r="B6" s="173">
        <f>-SUMIFS(FINANCIACION[$ CAPITAL],
FINANCIACION[Fecha],"&lt;="&amp;EOMONTH(B$1,0),
FINANCIACION[PRESTAMO],$A6)</f>
        <v>0</v>
      </c>
      <c r="C6" s="55">
        <v>0</v>
      </c>
      <c r="D6" s="55">
        <v>0</v>
      </c>
      <c r="E6" s="55">
        <v>0</v>
      </c>
      <c r="F6" s="55">
        <v>0</v>
      </c>
      <c r="G6" s="55">
        <v>0</v>
      </c>
      <c r="H6" s="55">
        <v>0</v>
      </c>
      <c r="I6" s="55">
        <v>40000000</v>
      </c>
      <c r="J6" s="55">
        <v>40000000</v>
      </c>
      <c r="K6" s="55">
        <v>40000000</v>
      </c>
      <c r="L6" s="55">
        <v>40000000</v>
      </c>
      <c r="M6" s="55">
        <v>40000000</v>
      </c>
      <c r="N6" s="173">
        <f>-SUMIFS(FINANCIACION[$ CAPITAL],
FINANCIACION[Fecha],"&lt;="&amp;EOMONTH(N$1,0),
FINANCIACION[PRESTAMO],$A6)</f>
        <v>40000000</v>
      </c>
      <c r="O6" s="173">
        <f>-SUMIFS(FINANCIACION[$ CAPITAL],
FINANCIACION[Fecha],"&lt;="&amp;EOMONTH(O$1,0),
FINANCIACION[PRESTAMO],$A6)</f>
        <v>40000000</v>
      </c>
      <c r="P6" s="173">
        <f>-SUMIFS(FINANCIACION[$ CAPITAL],
FINANCIACION[Fecha],"&lt;="&amp;EOMONTH(P$1,0),
FINANCIACION[PRESTAMO],$A6)</f>
        <v>40000000</v>
      </c>
      <c r="Q6" s="173">
        <f>-SUMIFS(FINANCIACION[$ CAPITAL],
FINANCIACION[Fecha],"&lt;="&amp;EOMONTH(Q$1,0),
FINANCIACION[PRESTAMO],$A6)</f>
        <v>40000000</v>
      </c>
      <c r="R6" s="173">
        <f>+Tabla10[[#This Row],[abr-22]]-Tabla10[[#This Row],[may-23]]</f>
        <v>40000000</v>
      </c>
      <c r="S6" s="173"/>
    </row>
    <row r="7" spans="1:19" ht="21.6" customHeight="1" x14ac:dyDescent="0.25">
      <c r="A7" s="44" t="s">
        <v>1215</v>
      </c>
      <c r="B7" s="173">
        <f>-SUMIFS(FINANCIACION[$ CAPITAL],
FINANCIACION[Fecha],"&lt;="&amp;EOMONTH(B$1,0),
FINANCIACION[PRESTAMO],$A7)</f>
        <v>87690173.1567</v>
      </c>
      <c r="C7" s="55">
        <v>86017897.643399999</v>
      </c>
      <c r="D7" s="55">
        <v>84312176.619834006</v>
      </c>
      <c r="E7" s="55">
        <v>82589398.386032343</v>
      </c>
      <c r="F7" s="55">
        <v>82589398.386032343</v>
      </c>
      <c r="G7" s="55">
        <v>80737892.369892672</v>
      </c>
      <c r="H7" s="55">
        <v>78877893.293591604</v>
      </c>
      <c r="I7" s="55">
        <v>76999294.226527512</v>
      </c>
      <c r="J7" s="55">
        <v>75091909.168792784</v>
      </c>
      <c r="K7" s="55">
        <v>73165450.260480717</v>
      </c>
      <c r="L7" s="55">
        <v>71219726.763085529</v>
      </c>
      <c r="M7" s="55">
        <v>69254546.030716389</v>
      </c>
      <c r="N7" s="173">
        <f>-SUMIFS(FINANCIACION[$ CAPITAL],
FINANCIACION[Fecha],"&lt;="&amp;EOMONTH(N$1,0),
FINANCIACION[PRESTAMO],$A7)</f>
        <v>67269713.491023555</v>
      </c>
      <c r="O7" s="173">
        <f>-SUMIFS(FINANCIACION[$ CAPITAL],
FINANCIACION[Fecha],"&lt;="&amp;EOMONTH(O$1,0),
FINANCIACION[PRESTAMO],$A7)</f>
        <v>65265032.625933789</v>
      </c>
      <c r="P7" s="173">
        <f>-SUMIFS(FINANCIACION[$ CAPITAL],
FINANCIACION[Fecha],"&lt;="&amp;EOMONTH(P$1,0),
FINANCIACION[PRESTAMO],$A7)</f>
        <v>63240304.952193126</v>
      </c>
      <c r="Q7" s="173">
        <f>-SUMIFS(FINANCIACION[$ CAPITAL],
FINANCIACION[Fecha],"&lt;="&amp;EOMONTH(Q$1,0),
FINANCIACION[PRESTAMO],$A7)</f>
        <v>61195330.001715057</v>
      </c>
      <c r="R7" s="173">
        <f>+Tabla10[[#This Row],[abr-22]]-Tabla10[[#This Row],[may-23]]</f>
        <v>61195330.001715057</v>
      </c>
      <c r="S7" s="173"/>
    </row>
    <row r="8" spans="1:19" ht="21.6" customHeight="1" x14ac:dyDescent="0.25">
      <c r="A8" s="44" t="s">
        <v>1232</v>
      </c>
      <c r="B8" s="173">
        <f>-SUMIFS(FINANCIACION[$ CAPITAL],
FINANCIACION[Fecha],"&lt;="&amp;EOMONTH(B$1,0),
FINANCIACION[PRESTAMO],$A8)</f>
        <v>0</v>
      </c>
      <c r="C8" s="55">
        <v>0</v>
      </c>
      <c r="D8" s="55">
        <v>0</v>
      </c>
      <c r="E8" s="55">
        <v>0</v>
      </c>
      <c r="F8" s="55">
        <v>0</v>
      </c>
      <c r="G8" s="55">
        <v>0</v>
      </c>
      <c r="H8" s="55">
        <v>0</v>
      </c>
      <c r="I8" s="55">
        <v>0</v>
      </c>
      <c r="J8" s="55">
        <v>0</v>
      </c>
      <c r="K8" s="55">
        <v>0</v>
      </c>
      <c r="L8" s="55">
        <v>0</v>
      </c>
      <c r="M8" s="55">
        <v>30000000</v>
      </c>
      <c r="N8" s="173">
        <f>-SUMIFS(FINANCIACION[$ CAPITAL],
FINANCIACION[Fecha],"&lt;="&amp;EOMONTH(N$1,0),
FINANCIACION[PRESTAMO],$A8)</f>
        <v>0</v>
      </c>
      <c r="O8" s="173">
        <f>-SUMIFS(FINANCIACION[$ CAPITAL],
FINANCIACION[Fecha],"&lt;="&amp;EOMONTH(O$1,0),
FINANCIACION[PRESTAMO],$A8)</f>
        <v>0</v>
      </c>
      <c r="P8" s="173">
        <f>-SUMIFS(FINANCIACION[$ CAPITAL],
FINANCIACION[Fecha],"&lt;="&amp;EOMONTH(P$1,0),
FINANCIACION[PRESTAMO],$A8)</f>
        <v>30120000</v>
      </c>
      <c r="Q8" s="173">
        <f>-SUMIFS(FINANCIACION[$ CAPITAL],
FINANCIACION[Fecha],"&lt;="&amp;EOMONTH(Q$1,0),
FINANCIACION[PRESTAMO],$A8)</f>
        <v>30120000</v>
      </c>
      <c r="R8" s="173">
        <f>+Tabla10[[#This Row],[abr-22]]-Tabla10[[#This Row],[may-23]]</f>
        <v>30120000</v>
      </c>
      <c r="S8" s="173"/>
    </row>
    <row r="9" spans="1:19" ht="21.6" customHeight="1" x14ac:dyDescent="0.25">
      <c r="A9" s="44" t="s">
        <v>1183</v>
      </c>
      <c r="B9" s="173">
        <f>-SUMIFS(FINANCIACION[$ CAPITAL],
FINANCIACION[Fecha],"&lt;="&amp;EOMONTH(B$1,0),
FINANCIACION[PRESTAMO],$A9)</f>
        <v>0</v>
      </c>
      <c r="C9" s="55">
        <v>0</v>
      </c>
      <c r="D9" s="55">
        <v>0</v>
      </c>
      <c r="E9" s="55">
        <v>0</v>
      </c>
      <c r="F9" s="55">
        <v>0</v>
      </c>
      <c r="G9" s="55">
        <v>0</v>
      </c>
      <c r="H9" s="55">
        <v>0</v>
      </c>
      <c r="I9" s="55">
        <v>0</v>
      </c>
      <c r="J9" s="55">
        <v>0</v>
      </c>
      <c r="K9" s="55">
        <v>0</v>
      </c>
      <c r="L9" s="55">
        <v>4500000</v>
      </c>
      <c r="M9" s="55">
        <v>4500000</v>
      </c>
      <c r="N9" s="173">
        <f>-SUMIFS(FINANCIACION[$ CAPITAL],
FINANCIACION[Fecha],"&lt;="&amp;EOMONTH(N$1,0),
FINANCIACION[PRESTAMO],$A9)</f>
        <v>0</v>
      </c>
      <c r="O9" s="173">
        <f>-SUMIFS(FINANCIACION[$ CAPITAL],
FINANCIACION[Fecha],"&lt;="&amp;EOMONTH(O$1,0),
FINANCIACION[PRESTAMO],$A9)</f>
        <v>0</v>
      </c>
      <c r="P9" s="173">
        <f>-SUMIFS(FINANCIACION[$ CAPITAL],
FINANCIACION[Fecha],"&lt;="&amp;EOMONTH(P$1,0),
FINANCIACION[PRESTAMO],$A9)</f>
        <v>0</v>
      </c>
      <c r="Q9" s="173">
        <f>-SUMIFS(FINANCIACION[$ CAPITAL],
FINANCIACION[Fecha],"&lt;="&amp;EOMONTH(Q$1,0),
FINANCIACION[PRESTAMO],$A9)</f>
        <v>0</v>
      </c>
      <c r="R9" s="173">
        <f>+Tabla10[[#This Row],[abr-22]]-Tabla10[[#This Row],[may-23]]</f>
        <v>0</v>
      </c>
      <c r="S9" s="173"/>
    </row>
    <row r="10" spans="1:19" ht="21.6" customHeight="1" x14ac:dyDescent="0.25">
      <c r="A10" s="44" t="s">
        <v>1243</v>
      </c>
      <c r="B10" s="173">
        <f>-SUMIFS(FINANCIACION[$ CAPITAL],
FINANCIACION[Fecha],"&lt;="&amp;EOMONTH(B$1,0),
FINANCIACION[PRESTAMO],$A10)</f>
        <v>0</v>
      </c>
      <c r="C10" s="55">
        <v>0</v>
      </c>
      <c r="D10" s="55">
        <v>0</v>
      </c>
      <c r="E10" s="55">
        <v>0</v>
      </c>
      <c r="F10" s="55">
        <v>0</v>
      </c>
      <c r="G10" s="55">
        <v>0</v>
      </c>
      <c r="H10" s="55">
        <v>0</v>
      </c>
      <c r="I10" s="55">
        <v>0</v>
      </c>
      <c r="J10" s="55">
        <v>0</v>
      </c>
      <c r="K10" s="55">
        <v>0</v>
      </c>
      <c r="L10" s="55">
        <v>0</v>
      </c>
      <c r="M10" s="55">
        <v>0</v>
      </c>
      <c r="N10" s="173">
        <f>-SUMIFS(FINANCIACION[$ CAPITAL],
FINANCIACION[Fecha],"&lt;="&amp;EOMONTH(N$1,0),
FINANCIACION[PRESTAMO],$A10)</f>
        <v>0</v>
      </c>
      <c r="O10" s="173">
        <f>-SUMIFS(FINANCIACION[$ CAPITAL],
FINANCIACION[Fecha],"&lt;="&amp;EOMONTH(O$1,0),
FINANCIACION[PRESTAMO],$A10)</f>
        <v>0</v>
      </c>
      <c r="P10" s="173">
        <f>-SUMIFS(FINANCIACION[$ CAPITAL],
FINANCIACION[Fecha],"&lt;="&amp;EOMONTH(P$1,0),
FINANCIACION[PRESTAMO],$A10)</f>
        <v>0</v>
      </c>
      <c r="Q10" s="173">
        <f>-SUMIFS(FINANCIACION[$ CAPITAL],
FINANCIACION[Fecha],"&lt;="&amp;EOMONTH(Q$1,0),
FINANCIACION[PRESTAMO],$A10)</f>
        <v>0</v>
      </c>
      <c r="R10" s="173">
        <f>+Tabla10[[#This Row],[abr-22]]-Tabla10[[#This Row],[may-23]]</f>
        <v>0</v>
      </c>
      <c r="S10" s="173"/>
    </row>
    <row r="11" spans="1:19" ht="21.6" customHeight="1" x14ac:dyDescent="0.25">
      <c r="A11" s="44" t="s">
        <v>1219</v>
      </c>
      <c r="B11" s="173">
        <f>-SUMIFS(FINANCIACION[$ CAPITAL],
FINANCIACION[Fecha],"&lt;="&amp;EOMONTH(B$1,0),
FINANCIACION[PRESTAMO],$A11)</f>
        <v>11548659.15</v>
      </c>
      <c r="C11" s="55">
        <v>60672903.299999997</v>
      </c>
      <c r="D11" s="55">
        <v>60080000</v>
      </c>
      <c r="E11" s="55">
        <v>59380800</v>
      </c>
      <c r="F11" s="55">
        <v>58674608</v>
      </c>
      <c r="G11" s="55">
        <v>57961354.079999998</v>
      </c>
      <c r="H11" s="55">
        <v>57240967.620799996</v>
      </c>
      <c r="I11" s="55">
        <v>56513377.297007993</v>
      </c>
      <c r="J11" s="55">
        <v>55778511.069978073</v>
      </c>
      <c r="K11" s="55">
        <v>55036296.180677854</v>
      </c>
      <c r="L11" s="55">
        <v>54286659.180677854</v>
      </c>
      <c r="M11" s="55">
        <v>53529525.772102699</v>
      </c>
      <c r="N11" s="173">
        <f>-SUMIFS(FINANCIACION[$ CAPITAL],
FINANCIACION[Fecha],"&lt;="&amp;EOMONTH(N$1,0),
FINANCIACION[PRESTAMO],$A11)</f>
        <v>52764821.029823728</v>
      </c>
      <c r="O11" s="173">
        <f>-SUMIFS(FINANCIACION[$ CAPITAL],
FINANCIACION[Fecha],"&lt;="&amp;EOMONTH(O$1,0),
FINANCIACION[PRESTAMO],$A11)</f>
        <v>51992469.240121968</v>
      </c>
      <c r="P11" s="173">
        <f>-SUMIFS(FINANCIACION[$ CAPITAL],
FINANCIACION[Fecha],"&lt;="&amp;EOMONTH(P$1,0),
FINANCIACION[PRESTAMO],$A11)</f>
        <v>51212393.932523191</v>
      </c>
      <c r="Q11" s="173">
        <f>-SUMIFS(FINANCIACION[$ CAPITAL],
FINANCIACION[Fecha],"&lt;="&amp;EOMONTH(Q$1,0),
FINANCIACION[PRESTAMO],$A11)</f>
        <v>50424517.871848419</v>
      </c>
      <c r="R11" s="173">
        <f>+Tabla10[[#This Row],[abr-22]]-Tabla10[[#This Row],[may-23]]</f>
        <v>50424517.871848419</v>
      </c>
      <c r="S11" s="173"/>
    </row>
    <row r="12" spans="1:19" ht="21.6" customHeight="1" x14ac:dyDescent="0.25">
      <c r="A12" s="44" t="s">
        <v>1216</v>
      </c>
      <c r="B12" s="173">
        <f>-SUMIFS(FINANCIACION[$ CAPITAL],
FINANCIACION[Fecha],"&lt;="&amp;EOMONTH(B$1,0),
FINANCIACION[PRESTAMO],$A12)</f>
        <v>66411592.128007002</v>
      </c>
      <c r="C12" s="55">
        <v>74731214</v>
      </c>
      <c r="D12" s="55">
        <v>74178526.140000001</v>
      </c>
      <c r="E12" s="55">
        <v>74178526.140000001</v>
      </c>
      <c r="F12" s="55">
        <v>73720311.4014</v>
      </c>
      <c r="G12" s="55">
        <v>76257514.515414</v>
      </c>
      <c r="H12" s="55">
        <v>72790089.660568133</v>
      </c>
      <c r="I12" s="55">
        <v>72317990.557173818</v>
      </c>
      <c r="J12" s="55">
        <v>71841170.462745562</v>
      </c>
      <c r="K12" s="55">
        <v>71359582.167373016</v>
      </c>
      <c r="L12" s="55">
        <v>70968073.707373023</v>
      </c>
      <c r="M12" s="55">
        <v>70476805.487263486</v>
      </c>
      <c r="N12" s="173">
        <f>-SUMIFS(FINANCIACION[$ CAPITAL],
FINANCIACION[Fecha],"&lt;="&amp;EOMONTH(N$1,0),
FINANCIACION[PRESTAMO],$A12)</f>
        <v>69981573.542136118</v>
      </c>
      <c r="O12" s="173">
        <f>-SUMIFS(FINANCIACION[$ CAPITAL],
FINANCIACION[Fecha],"&lt;="&amp;EOMONTH(O$1,0),
FINANCIACION[PRESTAMO],$A12)</f>
        <v>69481389.277557477</v>
      </c>
      <c r="P12" s="173">
        <f>-SUMIFS(FINANCIACION[$ CAPITAL],
FINANCIACION[Fecha],"&lt;="&amp;EOMONTH(P$1,0),
FINANCIACION[PRESTAMO],$A12)</f>
        <v>68976203.170333058</v>
      </c>
      <c r="Q12" s="173">
        <f>-SUMIFS(FINANCIACION[$ CAPITAL],
FINANCIACION[Fecha],"&lt;="&amp;EOMONTH(Q$1,0),
FINANCIACION[PRESTAMO],$A12)</f>
        <v>68465965.202036381</v>
      </c>
      <c r="R12" s="173">
        <f>+Tabla10[[#This Row],[abr-22]]-Tabla10[[#This Row],[may-23]]</f>
        <v>68465965.202036381</v>
      </c>
      <c r="S12" s="173"/>
    </row>
    <row r="13" spans="1:19" ht="21.6" customHeight="1" x14ac:dyDescent="0.25">
      <c r="A13" s="44" t="s">
        <v>1244</v>
      </c>
      <c r="B13" s="173">
        <f>-SUMIFS(FINANCIACION[$ CAPITAL],
FINANCIACION[Fecha],"&lt;="&amp;EOMONTH(B$1,0),
FINANCIACION[PRESTAMO],$A13)</f>
        <v>0</v>
      </c>
      <c r="C13" s="55">
        <v>0</v>
      </c>
      <c r="D13" s="55">
        <v>0</v>
      </c>
      <c r="E13" s="55">
        <v>0</v>
      </c>
      <c r="F13" s="55">
        <v>0</v>
      </c>
      <c r="G13" s="55">
        <v>0</v>
      </c>
      <c r="H13" s="55">
        <v>0</v>
      </c>
      <c r="I13" s="55">
        <v>0</v>
      </c>
      <c r="J13" s="55">
        <v>0</v>
      </c>
      <c r="K13" s="55">
        <v>0</v>
      </c>
      <c r="L13" s="55">
        <v>0</v>
      </c>
      <c r="M13" s="55">
        <v>0</v>
      </c>
      <c r="N13" s="173">
        <f>-SUMIFS(FINANCIACION[$ CAPITAL],
FINANCIACION[Fecha],"&lt;="&amp;EOMONTH(N$1,0),
FINANCIACION[PRESTAMO],$A13)</f>
        <v>0</v>
      </c>
      <c r="O13" s="173">
        <f>-SUMIFS(FINANCIACION[$ CAPITAL],
FINANCIACION[Fecha],"&lt;="&amp;EOMONTH(O$1,0),
FINANCIACION[PRESTAMO],$A13)</f>
        <v>0</v>
      </c>
      <c r="P13" s="173">
        <f>-SUMIFS(FINANCIACION[$ CAPITAL],
FINANCIACION[Fecha],"&lt;="&amp;EOMONTH(P$1,0),
FINANCIACION[PRESTAMO],$A13)</f>
        <v>0</v>
      </c>
      <c r="Q13" s="173">
        <f>-SUMIFS(FINANCIACION[$ CAPITAL],
FINANCIACION[Fecha],"&lt;="&amp;EOMONTH(Q$1,0),
FINANCIACION[PRESTAMO],$A13)</f>
        <v>0</v>
      </c>
      <c r="R13" s="173">
        <f>+Tabla10[[#This Row],[abr-22]]-Tabla10[[#This Row],[may-23]]</f>
        <v>0</v>
      </c>
      <c r="S13" s="173"/>
    </row>
    <row r="14" spans="1:19" ht="21.6" customHeight="1" x14ac:dyDescent="0.25">
      <c r="A14" s="44" t="s">
        <v>1245</v>
      </c>
      <c r="B14" s="173">
        <f>-SUMIFS(FINANCIACION[$ CAPITAL],
FINANCIACION[Fecha],"&lt;="&amp;EOMONTH(B$1,0),
FINANCIACION[PRESTAMO],$A14)</f>
        <v>0</v>
      </c>
      <c r="C14" s="55">
        <v>0</v>
      </c>
      <c r="D14" s="55">
        <v>0</v>
      </c>
      <c r="E14" s="55">
        <v>0</v>
      </c>
      <c r="F14" s="55">
        <v>0</v>
      </c>
      <c r="G14" s="55">
        <v>0</v>
      </c>
      <c r="H14" s="55">
        <v>0</v>
      </c>
      <c r="I14" s="55">
        <v>0</v>
      </c>
      <c r="J14" s="55">
        <v>0</v>
      </c>
      <c r="K14" s="55">
        <v>0</v>
      </c>
      <c r="L14" s="55">
        <v>0</v>
      </c>
      <c r="M14" s="55">
        <v>0</v>
      </c>
      <c r="N14" s="173">
        <f>-SUMIFS(FINANCIACION[$ CAPITAL],
FINANCIACION[Fecha],"&lt;="&amp;EOMONTH(N$1,0),
FINANCIACION[PRESTAMO],$A14)</f>
        <v>0</v>
      </c>
      <c r="O14" s="173">
        <f>-SUMIFS(FINANCIACION[$ CAPITAL],
FINANCIACION[Fecha],"&lt;="&amp;EOMONTH(O$1,0),
FINANCIACION[PRESTAMO],$A14)</f>
        <v>0</v>
      </c>
      <c r="P14" s="173">
        <f>-SUMIFS(FINANCIACION[$ CAPITAL],
FINANCIACION[Fecha],"&lt;="&amp;EOMONTH(P$1,0),
FINANCIACION[PRESTAMO],$A14)</f>
        <v>0</v>
      </c>
      <c r="Q14" s="173">
        <f>-SUMIFS(FINANCIACION[$ CAPITAL],
FINANCIACION[Fecha],"&lt;="&amp;EOMONTH(Q$1,0),
FINANCIACION[PRESTAMO],$A14)</f>
        <v>0</v>
      </c>
      <c r="R14" s="173">
        <f>+Tabla10[[#This Row],[abr-22]]-Tabla10[[#This Row],[may-23]]</f>
        <v>0</v>
      </c>
      <c r="S14" s="173"/>
    </row>
    <row r="15" spans="1:19" ht="21.6" customHeight="1" x14ac:dyDescent="0.25">
      <c r="A15" s="44" t="s">
        <v>1246</v>
      </c>
      <c r="B15" s="173">
        <f>-SUMIFS(FINANCIACION[$ CAPITAL],
FINANCIACION[Fecha],"&lt;="&amp;EOMONTH(B$1,0),
FINANCIACION[PRESTAMO],$A15)</f>
        <v>0</v>
      </c>
      <c r="C15" s="55">
        <v>0</v>
      </c>
      <c r="D15" s="55">
        <v>0</v>
      </c>
      <c r="E15" s="55">
        <v>0</v>
      </c>
      <c r="F15" s="55">
        <v>0</v>
      </c>
      <c r="G15" s="55">
        <v>0</v>
      </c>
      <c r="H15" s="55">
        <v>0</v>
      </c>
      <c r="I15" s="55">
        <v>0</v>
      </c>
      <c r="J15" s="55">
        <v>0</v>
      </c>
      <c r="K15" s="55">
        <v>0</v>
      </c>
      <c r="L15" s="55">
        <v>0</v>
      </c>
      <c r="M15" s="55">
        <v>0</v>
      </c>
      <c r="N15" s="173">
        <f>-SUMIFS(FINANCIACION[$ CAPITAL],
FINANCIACION[Fecha],"&lt;="&amp;EOMONTH(N$1,0),
FINANCIACION[PRESTAMO],$A15)</f>
        <v>0</v>
      </c>
      <c r="O15" s="173">
        <f>-SUMIFS(FINANCIACION[$ CAPITAL],
FINANCIACION[Fecha],"&lt;="&amp;EOMONTH(O$1,0),
FINANCIACION[PRESTAMO],$A15)</f>
        <v>0</v>
      </c>
      <c r="P15" s="173">
        <f>-SUMIFS(FINANCIACION[$ CAPITAL],
FINANCIACION[Fecha],"&lt;="&amp;EOMONTH(P$1,0),
FINANCIACION[PRESTAMO],$A15)</f>
        <v>0</v>
      </c>
      <c r="Q15" s="173">
        <f>-SUMIFS(FINANCIACION[$ CAPITAL],
FINANCIACION[Fecha],"&lt;="&amp;EOMONTH(Q$1,0),
FINANCIACION[PRESTAMO],$A15)</f>
        <v>0</v>
      </c>
      <c r="R15" s="173">
        <f>+Tabla10[[#This Row],[abr-22]]-Tabla10[[#This Row],[may-23]]</f>
        <v>0</v>
      </c>
      <c r="S15" s="173"/>
    </row>
    <row r="16" spans="1:19" ht="21.6" customHeight="1" x14ac:dyDescent="0.25">
      <c r="A16" s="44" t="s">
        <v>1233</v>
      </c>
      <c r="B16" s="173">
        <f>-SUMIFS(FINANCIACION[$ CAPITAL],
FINANCIACION[Fecha],"&lt;="&amp;EOMONTH(B$1,0),
FINANCIACION[PRESTAMO],$A16)</f>
        <v>0</v>
      </c>
      <c r="C16" s="55">
        <v>0</v>
      </c>
      <c r="D16" s="55">
        <v>0</v>
      </c>
      <c r="E16" s="55">
        <v>0</v>
      </c>
      <c r="F16" s="55">
        <v>0</v>
      </c>
      <c r="G16" s="55">
        <v>0</v>
      </c>
      <c r="H16" s="55">
        <v>0</v>
      </c>
      <c r="I16" s="55">
        <v>0</v>
      </c>
      <c r="J16" s="55">
        <v>0</v>
      </c>
      <c r="K16" s="55">
        <v>0</v>
      </c>
      <c r="L16" s="55">
        <v>0</v>
      </c>
      <c r="M16" s="55">
        <v>0</v>
      </c>
      <c r="N16" s="173">
        <f>-SUMIFS(FINANCIACION[$ CAPITAL],
FINANCIACION[Fecha],"&lt;="&amp;EOMONTH(N$1,0),
FINANCIACION[PRESTAMO],$A16)</f>
        <v>23305032.5</v>
      </c>
      <c r="O16" s="173">
        <f>-SUMIFS(FINANCIACION[$ CAPITAL],
FINANCIACION[Fecha],"&lt;="&amp;EOMONTH(O$1,0),
FINANCIACION[PRESTAMO],$A16)</f>
        <v>33517032.5</v>
      </c>
      <c r="P16" s="173">
        <f>-SUMIFS(FINANCIACION[$ CAPITAL],
FINANCIACION[Fecha],"&lt;="&amp;EOMONTH(P$1,0),
FINANCIACION[PRESTAMO],$A16)</f>
        <v>3178532.5</v>
      </c>
      <c r="Q16" s="173">
        <f>-SUMIFS(FINANCIACION[$ CAPITAL],
FINANCIACION[Fecha],"&lt;="&amp;EOMONTH(Q$1,0),
FINANCIACION[PRESTAMO],$A16)</f>
        <v>0</v>
      </c>
      <c r="R16" s="173">
        <f>+Tabla10[[#This Row],[abr-22]]-Tabla10[[#This Row],[may-23]]</f>
        <v>0</v>
      </c>
      <c r="S16" s="173"/>
    </row>
    <row r="17" spans="1:19" ht="21.6" customHeight="1" x14ac:dyDescent="0.25">
      <c r="A17" s="44" t="s">
        <v>1224</v>
      </c>
      <c r="B17" s="173">
        <f>-SUMIFS(FINANCIACION[$ CAPITAL],
FINANCIACION[Fecha],"&lt;="&amp;EOMONTH(B$1,0),
FINANCIACION[PRESTAMO],$A17)</f>
        <v>8000000</v>
      </c>
      <c r="C17" s="55">
        <v>8000000</v>
      </c>
      <c r="D17" s="55">
        <v>8000000</v>
      </c>
      <c r="E17" s="55">
        <v>8000000</v>
      </c>
      <c r="F17" s="55">
        <v>8000000</v>
      </c>
      <c r="G17" s="55">
        <v>8000000</v>
      </c>
      <c r="H17" s="55">
        <v>8000000</v>
      </c>
      <c r="I17" s="55">
        <v>8000000</v>
      </c>
      <c r="J17" s="55">
        <v>8000000</v>
      </c>
      <c r="K17" s="55">
        <v>8000000</v>
      </c>
      <c r="L17" s="55">
        <v>8000000</v>
      </c>
      <c r="M17" s="55">
        <v>8000000</v>
      </c>
      <c r="N17" s="173">
        <f>-SUMIFS(FINANCIACION[$ CAPITAL],
FINANCIACION[Fecha],"&lt;="&amp;EOMONTH(N$1,0),
FINANCIACION[PRESTAMO],$A17)</f>
        <v>8000000</v>
      </c>
      <c r="O17" s="173">
        <f>-SUMIFS(FINANCIACION[$ CAPITAL],
FINANCIACION[Fecha],"&lt;="&amp;EOMONTH(O$1,0),
FINANCIACION[PRESTAMO],$A17)</f>
        <v>8000000</v>
      </c>
      <c r="P17" s="173">
        <f>-SUMIFS(FINANCIACION[$ CAPITAL],
FINANCIACION[Fecha],"&lt;="&amp;EOMONTH(P$1,0),
FINANCIACION[PRESTAMO],$A17)</f>
        <v>8000000</v>
      </c>
      <c r="Q17" s="173">
        <f>-SUMIFS(FINANCIACION[$ CAPITAL],
FINANCIACION[Fecha],"&lt;="&amp;EOMONTH(Q$1,0),
FINANCIACION[PRESTAMO],$A17)</f>
        <v>8000000</v>
      </c>
      <c r="R17" s="173">
        <f>+Tabla10[[#This Row],[abr-22]]-Tabla10[[#This Row],[may-23]]</f>
        <v>8000000</v>
      </c>
      <c r="S17" s="173"/>
    </row>
    <row r="18" spans="1:19" ht="21.6" customHeight="1" x14ac:dyDescent="0.25">
      <c r="A18" s="44" t="s">
        <v>1228</v>
      </c>
      <c r="B18" s="173">
        <f>-SUMIFS(FINANCIACION[$ CAPITAL],
FINANCIACION[Fecha],"&lt;="&amp;EOMONTH(B$1,0),
FINANCIACION[PRESTAMO],$A18)</f>
        <v>0</v>
      </c>
      <c r="C18" s="55">
        <v>0</v>
      </c>
      <c r="D18" s="55">
        <v>0</v>
      </c>
      <c r="E18" s="55">
        <v>12000000</v>
      </c>
      <c r="F18" s="55">
        <v>12000000</v>
      </c>
      <c r="G18" s="55">
        <v>12000000</v>
      </c>
      <c r="H18" s="55">
        <v>12000000</v>
      </c>
      <c r="I18" s="55">
        <v>12000000</v>
      </c>
      <c r="J18" s="55">
        <v>12000000</v>
      </c>
      <c r="K18" s="55">
        <v>12000000</v>
      </c>
      <c r="L18" s="55">
        <v>12000000</v>
      </c>
      <c r="M18" s="55">
        <v>12000000</v>
      </c>
      <c r="N18" s="173">
        <f>-SUMIFS(FINANCIACION[$ CAPITAL],
FINANCIACION[Fecha],"&lt;="&amp;EOMONTH(N$1,0),
FINANCIACION[PRESTAMO],$A18)</f>
        <v>12000000</v>
      </c>
      <c r="O18" s="173">
        <f>-SUMIFS(FINANCIACION[$ CAPITAL],
FINANCIACION[Fecha],"&lt;="&amp;EOMONTH(O$1,0),
FINANCIACION[PRESTAMO],$A18)</f>
        <v>12000000</v>
      </c>
      <c r="P18" s="173">
        <f>-SUMIFS(FINANCIACION[$ CAPITAL],
FINANCIACION[Fecha],"&lt;="&amp;EOMONTH(P$1,0),
FINANCIACION[PRESTAMO],$A18)</f>
        <v>12000000</v>
      </c>
      <c r="Q18" s="173">
        <f>-SUMIFS(FINANCIACION[$ CAPITAL],
FINANCIACION[Fecha],"&lt;="&amp;EOMONTH(Q$1,0),
FINANCIACION[PRESTAMO],$A18)</f>
        <v>12000000</v>
      </c>
      <c r="R18" s="173">
        <f>+Tabla10[[#This Row],[abr-22]]-Tabla10[[#This Row],[may-23]]</f>
        <v>12000000</v>
      </c>
      <c r="S18" s="173"/>
    </row>
    <row r="19" spans="1:19" ht="21.6" customHeight="1" x14ac:dyDescent="0.25">
      <c r="A19" s="44" t="s">
        <v>192</v>
      </c>
      <c r="B19" s="173">
        <f>-SUMIFS(FINANCIACION[$ CAPITAL],
FINANCIACION[Fecha],"&lt;="&amp;EOMONTH(B$1,0),
FINANCIACION[PRESTAMO],$A19)</f>
        <v>0</v>
      </c>
      <c r="C19" s="55">
        <v>0</v>
      </c>
      <c r="D19" s="55">
        <v>0</v>
      </c>
      <c r="E19" s="55">
        <v>0</v>
      </c>
      <c r="F19" s="55">
        <v>0</v>
      </c>
      <c r="G19" s="55">
        <v>0</v>
      </c>
      <c r="H19" s="55">
        <v>0</v>
      </c>
      <c r="I19" s="55">
        <v>0</v>
      </c>
      <c r="J19" s="55">
        <v>0</v>
      </c>
      <c r="K19" s="55">
        <v>0</v>
      </c>
      <c r="L19" s="55">
        <v>0</v>
      </c>
      <c r="M19" s="55">
        <v>0</v>
      </c>
      <c r="N19" s="173">
        <f>-SUMIFS(FINANCIACION[$ CAPITAL],
FINANCIACION[Fecha],"&lt;="&amp;EOMONTH(N$1,0),
FINANCIACION[PRESTAMO],$A19)</f>
        <v>0</v>
      </c>
      <c r="O19" s="173">
        <f>-SUMIFS(FINANCIACION[$ CAPITAL],
FINANCIACION[Fecha],"&lt;="&amp;EOMONTH(O$1,0),
FINANCIACION[PRESTAMO],$A19)</f>
        <v>0</v>
      </c>
      <c r="P19" s="173">
        <f>-SUMIFS(FINANCIACION[$ CAPITAL],
FINANCIACION[Fecha],"&lt;="&amp;EOMONTH(P$1,0),
FINANCIACION[PRESTAMO],$A19)</f>
        <v>0</v>
      </c>
      <c r="Q19" s="173">
        <f>-SUMIFS(FINANCIACION[$ CAPITAL],
FINANCIACION[Fecha],"&lt;="&amp;EOMONTH(Q$1,0),
FINANCIACION[PRESTAMO],$A19)</f>
        <v>0</v>
      </c>
      <c r="R19" s="173">
        <f>+Tabla10[[#This Row],[abr-22]]-Tabla10[[#This Row],[may-23]]</f>
        <v>0</v>
      </c>
      <c r="S19" s="173"/>
    </row>
    <row r="20" spans="1:19" ht="21.6" customHeight="1" x14ac:dyDescent="0.25">
      <c r="A20" s="44" t="s">
        <v>193</v>
      </c>
      <c r="B20" s="173">
        <f>-SUMIFS(FINANCIACION[$ CAPITAL],
FINANCIACION[Fecha],"&lt;="&amp;EOMONTH(B$1,0),
FINANCIACION[PRESTAMO],$A20)</f>
        <v>54330833</v>
      </c>
      <c r="C20" s="55">
        <v>54330833</v>
      </c>
      <c r="D20" s="55">
        <v>52862433</v>
      </c>
      <c r="E20" s="55">
        <v>51394000</v>
      </c>
      <c r="F20" s="55">
        <v>49925600</v>
      </c>
      <c r="G20" s="55">
        <v>48457200</v>
      </c>
      <c r="H20" s="55">
        <v>48457200</v>
      </c>
      <c r="I20" s="55">
        <v>45520400</v>
      </c>
      <c r="J20" s="55">
        <v>44052000</v>
      </c>
      <c r="K20" s="55">
        <v>44052000</v>
      </c>
      <c r="L20" s="55">
        <v>41115200</v>
      </c>
      <c r="M20" s="55">
        <v>41115200</v>
      </c>
      <c r="N20" s="173">
        <f>-SUMIFS(FINANCIACION[$ CAPITAL],
FINANCIACION[Fecha],"&lt;="&amp;EOMONTH(N$1,0),
FINANCIACION[PRESTAMO],$A20)</f>
        <v>38178400</v>
      </c>
      <c r="O20" s="173">
        <f>-SUMIFS(FINANCIACION[$ CAPITAL],
FINANCIACION[Fecha],"&lt;="&amp;EOMONTH(O$1,0),
FINANCIACION[PRESTAMO],$A20)</f>
        <v>36710000</v>
      </c>
      <c r="P20" s="173">
        <f>-SUMIFS(FINANCIACION[$ CAPITAL],
FINANCIACION[Fecha],"&lt;="&amp;EOMONTH(P$1,0),
FINANCIACION[PRESTAMO],$A20)</f>
        <v>35241600</v>
      </c>
      <c r="Q20" s="173">
        <f>-SUMIFS(FINANCIACION[$ CAPITAL],
FINANCIACION[Fecha],"&lt;="&amp;EOMONTH(Q$1,0),
FINANCIACION[PRESTAMO],$A20)</f>
        <v>35241600</v>
      </c>
      <c r="R20" s="173">
        <f>+Tabla10[[#This Row],[abr-22]]-Tabla10[[#This Row],[may-23]]</f>
        <v>1468400</v>
      </c>
      <c r="S20" s="173">
        <v>33773200</v>
      </c>
    </row>
    <row r="21" spans="1:19" ht="21.6" customHeight="1" x14ac:dyDescent="0.25">
      <c r="A21" s="44" t="s">
        <v>194</v>
      </c>
      <c r="B21" s="173">
        <f>-SUMIFS(FINANCIACION[$ CAPITAL],
FINANCIACION[Fecha],"&lt;="&amp;EOMONTH(B$1,0),
FINANCIACION[PRESTAMO],$A21)</f>
        <v>3071640</v>
      </c>
      <c r="C21" s="55">
        <v>2841267</v>
      </c>
      <c r="D21" s="55">
        <v>2841267</v>
      </c>
      <c r="E21" s="55">
        <v>2687685</v>
      </c>
      <c r="F21" s="55">
        <v>2610894</v>
      </c>
      <c r="G21" s="55">
        <v>2534103</v>
      </c>
      <c r="H21" s="55">
        <v>2534103</v>
      </c>
      <c r="I21" s="55">
        <v>2380521</v>
      </c>
      <c r="J21" s="55">
        <v>2303730</v>
      </c>
      <c r="K21" s="55">
        <v>2303730</v>
      </c>
      <c r="L21" s="55">
        <v>2150148</v>
      </c>
      <c r="M21" s="55">
        <v>2150148</v>
      </c>
      <c r="N21" s="173">
        <f>-SUMIFS(FINANCIACION[$ CAPITAL],
FINANCIACION[Fecha],"&lt;="&amp;EOMONTH(N$1,0),
FINANCIACION[PRESTAMO],$A21)</f>
        <v>1996566</v>
      </c>
      <c r="O21" s="173">
        <f>-SUMIFS(FINANCIACION[$ CAPITAL],
FINANCIACION[Fecha],"&lt;="&amp;EOMONTH(O$1,0),
FINANCIACION[PRESTAMO],$A21)</f>
        <v>1919775</v>
      </c>
      <c r="P21" s="173">
        <f>-SUMIFS(FINANCIACION[$ CAPITAL],
FINANCIACION[Fecha],"&lt;="&amp;EOMONTH(P$1,0),
FINANCIACION[PRESTAMO],$A21)</f>
        <v>1842984</v>
      </c>
      <c r="Q21" s="173">
        <f>-SUMIFS(FINANCIACION[$ CAPITAL],
FINANCIACION[Fecha],"&lt;="&amp;EOMONTH(Q$1,0),
FINANCIACION[PRESTAMO],$A21)</f>
        <v>1842984</v>
      </c>
      <c r="R21" s="173">
        <f>+Tabla10[[#This Row],[abr-22]]-Tabla10[[#This Row],[may-23]]</f>
        <v>76791</v>
      </c>
      <c r="S21" s="173">
        <v>1766193</v>
      </c>
    </row>
    <row r="22" spans="1:19" ht="21.6" customHeight="1" x14ac:dyDescent="0.25">
      <c r="A22" s="44" t="s">
        <v>1235</v>
      </c>
      <c r="B22" s="173">
        <f>-SUMIFS(FINANCIACION[$ CAPITAL],
FINANCIACION[Fecha],"&lt;="&amp;EOMONTH(B$1,0),
FINANCIACION[PRESTAMO],$A22)</f>
        <v>0</v>
      </c>
      <c r="C22" s="55">
        <v>0</v>
      </c>
      <c r="D22" s="55">
        <v>0</v>
      </c>
      <c r="E22" s="55">
        <v>0</v>
      </c>
      <c r="F22" s="55">
        <v>0</v>
      </c>
      <c r="G22" s="55">
        <v>0</v>
      </c>
      <c r="H22" s="55">
        <v>0</v>
      </c>
      <c r="I22" s="55">
        <v>0</v>
      </c>
      <c r="J22" s="55">
        <v>0</v>
      </c>
      <c r="K22" s="55">
        <v>0</v>
      </c>
      <c r="L22" s="55">
        <v>0</v>
      </c>
      <c r="M22" s="55">
        <v>0</v>
      </c>
      <c r="N22" s="173">
        <f>-SUMIFS(FINANCIACION[$ CAPITAL],
FINANCIACION[Fecha],"&lt;="&amp;EOMONTH(N$1,0),
FINANCIACION[PRESTAMO],$A22)</f>
        <v>0</v>
      </c>
      <c r="O22" s="173">
        <f>-SUMIFS(FINANCIACION[$ CAPITAL],
FINANCIACION[Fecha],"&lt;="&amp;EOMONTH(O$1,0),
FINANCIACION[PRESTAMO],$A22)</f>
        <v>20939506</v>
      </c>
      <c r="P22" s="173">
        <f>-SUMIFS(FINANCIACION[$ CAPITAL],
FINANCIACION[Fecha],"&lt;="&amp;EOMONTH(P$1,0),
FINANCIACION[PRESTAMO],$A22)</f>
        <v>19194548</v>
      </c>
      <c r="Q22" s="173">
        <f>-SUMIFS(FINANCIACION[$ CAPITAL],
FINANCIACION[Fecha],"&lt;="&amp;EOMONTH(Q$1,0),
FINANCIACION[PRESTAMO],$A22)</f>
        <v>17449590</v>
      </c>
      <c r="R22" s="173">
        <f>+Tabla10[[#This Row],[abr-22]]-Tabla10[[#This Row],[may-23]]</f>
        <v>0</v>
      </c>
      <c r="S22" s="173">
        <v>17449590</v>
      </c>
    </row>
    <row r="23" spans="1:19" ht="21.6" customHeight="1" x14ac:dyDescent="0.25">
      <c r="A23" s="44" t="s">
        <v>195</v>
      </c>
      <c r="B23" s="173">
        <f>-SUMIFS(FINANCIACION[$ CAPITAL],
FINANCIACION[Fecha],"&lt;="&amp;EOMONTH(B$1,0),
FINANCIACION[PRESTAMO],$A23)</f>
        <v>0</v>
      </c>
      <c r="C23" s="55">
        <v>0</v>
      </c>
      <c r="D23" s="55">
        <v>0</v>
      </c>
      <c r="E23" s="55">
        <v>0</v>
      </c>
      <c r="F23" s="55">
        <v>0</v>
      </c>
      <c r="G23" s="55">
        <v>0</v>
      </c>
      <c r="H23" s="55">
        <v>0</v>
      </c>
      <c r="I23" s="55">
        <v>0</v>
      </c>
      <c r="J23" s="55">
        <v>0</v>
      </c>
      <c r="K23" s="55">
        <v>0</v>
      </c>
      <c r="L23" s="55">
        <v>0</v>
      </c>
      <c r="M23" s="55">
        <v>0</v>
      </c>
      <c r="N23" s="173">
        <f>-SUMIFS(FINANCIACION[$ CAPITAL],
FINANCIACION[Fecha],"&lt;="&amp;EOMONTH(N$1,0),
FINANCIACION[PRESTAMO],$A23)</f>
        <v>0</v>
      </c>
      <c r="O23" s="173">
        <f>-SUMIFS(FINANCIACION[$ CAPITAL],
FINANCIACION[Fecha],"&lt;="&amp;EOMONTH(O$1,0),
FINANCIACION[PRESTAMO],$A23)</f>
        <v>0</v>
      </c>
      <c r="P23" s="173">
        <f>-SUMIFS(FINANCIACION[$ CAPITAL],
FINANCIACION[Fecha],"&lt;="&amp;EOMONTH(P$1,0),
FINANCIACION[PRESTAMO],$A23)</f>
        <v>0</v>
      </c>
      <c r="Q23" s="173">
        <f>-SUMIFS(FINANCIACION[$ CAPITAL],
FINANCIACION[Fecha],"&lt;="&amp;EOMONTH(Q$1,0),
FINANCIACION[PRESTAMO],$A23)</f>
        <v>0</v>
      </c>
      <c r="R23" s="173">
        <f>+Tabla10[[#This Row],[abr-22]]-Tabla10[[#This Row],[may-23]]</f>
        <v>0</v>
      </c>
      <c r="S23" s="173"/>
    </row>
    <row r="24" spans="1:19" ht="21.6" customHeight="1" x14ac:dyDescent="0.25">
      <c r="A24" s="44" t="s">
        <v>211</v>
      </c>
      <c r="B24" s="173">
        <f>-SUMIFS(FINANCIACION[$ CAPITAL],
FINANCIACION[Fecha],"&lt;="&amp;EOMONTH(B$1,0),
FINANCIACION[PRESTAMO],$A24)</f>
        <v>0</v>
      </c>
      <c r="C24" s="55">
        <v>0</v>
      </c>
      <c r="D24" s="55">
        <v>0</v>
      </c>
      <c r="E24" s="55">
        <v>0</v>
      </c>
      <c r="F24" s="55">
        <v>0</v>
      </c>
      <c r="G24" s="55">
        <v>0</v>
      </c>
      <c r="H24" s="55">
        <v>0</v>
      </c>
      <c r="I24" s="55">
        <v>0</v>
      </c>
      <c r="J24" s="55">
        <v>0</v>
      </c>
      <c r="K24" s="55">
        <v>0</v>
      </c>
      <c r="L24" s="55">
        <v>0</v>
      </c>
      <c r="M24" s="55">
        <v>0</v>
      </c>
      <c r="N24" s="173">
        <f>-SUMIFS(FINANCIACION[$ CAPITAL],
FINANCIACION[Fecha],"&lt;="&amp;EOMONTH(N$1,0),
FINANCIACION[PRESTAMO],$A24)</f>
        <v>0</v>
      </c>
      <c r="O24" s="173">
        <f>-SUMIFS(FINANCIACION[$ CAPITAL],
FINANCIACION[Fecha],"&lt;="&amp;EOMONTH(O$1,0),
FINANCIACION[PRESTAMO],$A24)</f>
        <v>0</v>
      </c>
      <c r="P24" s="173">
        <f>-SUMIFS(FINANCIACION[$ CAPITAL],
FINANCIACION[Fecha],"&lt;="&amp;EOMONTH(P$1,0),
FINANCIACION[PRESTAMO],$A24)</f>
        <v>0</v>
      </c>
      <c r="Q24" s="173">
        <f>-SUMIFS(FINANCIACION[$ CAPITAL],
FINANCIACION[Fecha],"&lt;="&amp;EOMONTH(Q$1,0),
FINANCIACION[PRESTAMO],$A24)</f>
        <v>0</v>
      </c>
      <c r="R24" s="173">
        <f>+Tabla10[[#This Row],[abr-22]]-Tabla10[[#This Row],[may-23]]</f>
        <v>0</v>
      </c>
      <c r="S24" s="173"/>
    </row>
    <row r="25" spans="1:19" ht="21.6" customHeight="1" x14ac:dyDescent="0.25">
      <c r="A25" s="44" t="s">
        <v>212</v>
      </c>
      <c r="B25" s="173">
        <f>-SUMIFS(FINANCIACION[$ CAPITAL],
FINANCIACION[Fecha],"&lt;="&amp;EOMONTH(B$1,0),
FINANCIACION[PRESTAMO],$A25)</f>
        <v>0</v>
      </c>
      <c r="C25" s="55">
        <v>0</v>
      </c>
      <c r="D25" s="55">
        <v>0</v>
      </c>
      <c r="E25" s="55">
        <v>0</v>
      </c>
      <c r="F25" s="55">
        <v>0</v>
      </c>
      <c r="G25" s="55">
        <v>0</v>
      </c>
      <c r="H25" s="55">
        <v>0</v>
      </c>
      <c r="I25" s="55">
        <v>0</v>
      </c>
      <c r="J25" s="55">
        <v>0</v>
      </c>
      <c r="K25" s="55">
        <v>0</v>
      </c>
      <c r="L25" s="55">
        <v>0</v>
      </c>
      <c r="M25" s="55">
        <v>0</v>
      </c>
      <c r="N25" s="173">
        <f>-SUMIFS(FINANCIACION[$ CAPITAL],
FINANCIACION[Fecha],"&lt;="&amp;EOMONTH(N$1,0),
FINANCIACION[PRESTAMO],$A25)</f>
        <v>0</v>
      </c>
      <c r="O25" s="173">
        <f>-SUMIFS(FINANCIACION[$ CAPITAL],
FINANCIACION[Fecha],"&lt;="&amp;EOMONTH(O$1,0),
FINANCIACION[PRESTAMO],$A25)</f>
        <v>0</v>
      </c>
      <c r="P25" s="173">
        <f>-SUMIFS(FINANCIACION[$ CAPITAL],
FINANCIACION[Fecha],"&lt;="&amp;EOMONTH(P$1,0),
FINANCIACION[PRESTAMO],$A25)</f>
        <v>0</v>
      </c>
      <c r="Q25" s="173">
        <f>-SUMIFS(FINANCIACION[$ CAPITAL],
FINANCIACION[Fecha],"&lt;="&amp;EOMONTH(Q$1,0),
FINANCIACION[PRESTAMO],$A25)</f>
        <v>0</v>
      </c>
      <c r="R25" s="173">
        <f>+Tabla10[[#This Row],[abr-22]]-Tabla10[[#This Row],[may-23]]</f>
        <v>0</v>
      </c>
      <c r="S25" s="173"/>
    </row>
    <row r="26" spans="1:19" ht="21.6" customHeight="1" x14ac:dyDescent="0.25">
      <c r="A26" s="44" t="s">
        <v>213</v>
      </c>
      <c r="B26" s="173">
        <f>-SUMIFS(FINANCIACION[$ CAPITAL],
FINANCIACION[Fecha],"&lt;="&amp;EOMONTH(B$1,0),
FINANCIACION[PRESTAMO],$A26)</f>
        <v>0</v>
      </c>
      <c r="C26" s="55">
        <v>0</v>
      </c>
      <c r="D26" s="55">
        <v>0</v>
      </c>
      <c r="E26" s="55">
        <v>0</v>
      </c>
      <c r="F26" s="55">
        <v>0</v>
      </c>
      <c r="G26" s="55">
        <v>0</v>
      </c>
      <c r="H26" s="55">
        <v>0</v>
      </c>
      <c r="I26" s="55">
        <v>0</v>
      </c>
      <c r="J26" s="55">
        <v>0</v>
      </c>
      <c r="K26" s="55">
        <v>0</v>
      </c>
      <c r="L26" s="55">
        <v>0</v>
      </c>
      <c r="M26" s="55">
        <v>0</v>
      </c>
      <c r="N26" s="173">
        <f>-SUMIFS(FINANCIACION[$ CAPITAL],
FINANCIACION[Fecha],"&lt;="&amp;EOMONTH(N$1,0),
FINANCIACION[PRESTAMO],$A26)</f>
        <v>0</v>
      </c>
      <c r="O26" s="173">
        <f>-SUMIFS(FINANCIACION[$ CAPITAL],
FINANCIACION[Fecha],"&lt;="&amp;EOMONTH(O$1,0),
FINANCIACION[PRESTAMO],$A26)</f>
        <v>0</v>
      </c>
      <c r="P26" s="173">
        <f>-SUMIFS(FINANCIACION[$ CAPITAL],
FINANCIACION[Fecha],"&lt;="&amp;EOMONTH(P$1,0),
FINANCIACION[PRESTAMO],$A26)</f>
        <v>0</v>
      </c>
      <c r="Q26" s="173">
        <f>-SUMIFS(FINANCIACION[$ CAPITAL],
FINANCIACION[Fecha],"&lt;="&amp;EOMONTH(Q$1,0),
FINANCIACION[PRESTAMO],$A26)</f>
        <v>0</v>
      </c>
      <c r="R26" s="173">
        <f>+Tabla10[[#This Row],[abr-22]]-Tabla10[[#This Row],[may-23]]</f>
        <v>0</v>
      </c>
      <c r="S26" s="173"/>
    </row>
    <row r="27" spans="1:19" ht="21.6" customHeight="1" x14ac:dyDescent="0.25">
      <c r="A27" s="44" t="s">
        <v>214</v>
      </c>
      <c r="B27" s="173">
        <f>-SUMIFS(FINANCIACION[$ CAPITAL],
FINANCIACION[Fecha],"&lt;="&amp;EOMONTH(B$1,0),
FINANCIACION[PRESTAMO],$A27)</f>
        <v>0</v>
      </c>
      <c r="C27" s="55">
        <v>0</v>
      </c>
      <c r="D27" s="55">
        <v>0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55">
        <v>0</v>
      </c>
      <c r="M27" s="55">
        <v>0</v>
      </c>
      <c r="N27" s="173">
        <f>-SUMIFS(FINANCIACION[$ CAPITAL],
FINANCIACION[Fecha],"&lt;="&amp;EOMONTH(N$1,0),
FINANCIACION[PRESTAMO],$A27)</f>
        <v>0</v>
      </c>
      <c r="O27" s="173">
        <f>-SUMIFS(FINANCIACION[$ CAPITAL],
FINANCIACION[Fecha],"&lt;="&amp;EOMONTH(O$1,0),
FINANCIACION[PRESTAMO],$A27)</f>
        <v>0</v>
      </c>
      <c r="P27" s="173">
        <f>-SUMIFS(FINANCIACION[$ CAPITAL],
FINANCIACION[Fecha],"&lt;="&amp;EOMONTH(P$1,0),
FINANCIACION[PRESTAMO],$A27)</f>
        <v>0</v>
      </c>
      <c r="Q27" s="173">
        <f>-SUMIFS(FINANCIACION[$ CAPITAL],
FINANCIACION[Fecha],"&lt;="&amp;EOMONTH(Q$1,0),
FINANCIACION[PRESTAMO],$A27)</f>
        <v>0</v>
      </c>
      <c r="R27" s="173">
        <f>+Tabla10[[#This Row],[abr-22]]-Tabla10[[#This Row],[may-23]]</f>
        <v>0</v>
      </c>
      <c r="S27" s="173"/>
    </row>
    <row r="28" spans="1:19" ht="21.6" customHeight="1" x14ac:dyDescent="0.25">
      <c r="A28" s="44" t="s">
        <v>196</v>
      </c>
      <c r="B28" s="173">
        <f>-SUMIFS(FINANCIACION[$ CAPITAL],
FINANCIACION[Fecha],"&lt;="&amp;EOMONTH(B$1,0),
FINANCIACION[PRESTAMO],$A28)</f>
        <v>90130880</v>
      </c>
      <c r="C28" s="55">
        <v>92706048</v>
      </c>
      <c r="D28" s="55">
        <v>92706048</v>
      </c>
      <c r="E28" s="55">
        <v>97856384</v>
      </c>
      <c r="F28" s="55">
        <v>97856384</v>
      </c>
      <c r="G28" s="55">
        <v>97856384</v>
      </c>
      <c r="H28" s="55">
        <v>100431552</v>
      </c>
      <c r="I28" s="55">
        <v>100431552</v>
      </c>
      <c r="J28" s="55">
        <v>96453395.5</v>
      </c>
      <c r="K28" s="55">
        <v>65636342.670000009</v>
      </c>
      <c r="L28" s="55">
        <v>67273414.350000009</v>
      </c>
      <c r="M28" s="55">
        <v>0</v>
      </c>
      <c r="N28" s="173">
        <f>-SUMIFS(FINANCIACION[$ CAPITAL],
FINANCIACION[Fecha],"&lt;="&amp;EOMONTH(N$1,0),
FINANCIACION[PRESTAMO],$A28)</f>
        <v>0</v>
      </c>
      <c r="O28" s="173">
        <f>-SUMIFS(FINANCIACION[$ CAPITAL],
FINANCIACION[Fecha],"&lt;="&amp;EOMONTH(O$1,0),
FINANCIACION[PRESTAMO],$A28)</f>
        <v>0</v>
      </c>
      <c r="P28" s="173">
        <f>-SUMIFS(FINANCIACION[$ CAPITAL],
FINANCIACION[Fecha],"&lt;="&amp;EOMONTH(P$1,0),
FINANCIACION[PRESTAMO],$A28)</f>
        <v>0</v>
      </c>
      <c r="Q28" s="173">
        <f>-SUMIFS(FINANCIACION[$ CAPITAL],
FINANCIACION[Fecha],"&lt;="&amp;EOMONTH(Q$1,0),
FINANCIACION[PRESTAMO],$A28)</f>
        <v>0</v>
      </c>
      <c r="R28" s="173">
        <f>+Tabla10[[#This Row],[abr-22]]-Tabla10[[#This Row],[may-23]]</f>
        <v>0</v>
      </c>
      <c r="S28" s="173"/>
    </row>
    <row r="29" spans="1:19" ht="21.6" customHeight="1" x14ac:dyDescent="0.25">
      <c r="A29" s="44" t="s">
        <v>294</v>
      </c>
      <c r="B29" s="173">
        <f>-SUMIFS(FINANCIACION[$ CAPITAL],
FINANCIACION[Fecha],"&lt;="&amp;EOMONTH(B$1,0),
FINANCIACION[PRESTAMO],$A29)</f>
        <v>0</v>
      </c>
      <c r="C29" s="55">
        <v>0</v>
      </c>
      <c r="D29" s="55">
        <v>55440541</v>
      </c>
      <c r="E29" s="55">
        <v>56938934</v>
      </c>
      <c r="F29" s="55">
        <v>56938934</v>
      </c>
      <c r="G29" s="55">
        <v>56938934</v>
      </c>
      <c r="H29" s="55">
        <v>58437327</v>
      </c>
      <c r="I29" s="55">
        <v>58437327</v>
      </c>
      <c r="J29" s="55">
        <v>57688130.5</v>
      </c>
      <c r="K29" s="55">
        <v>57673146.57</v>
      </c>
      <c r="L29" s="55">
        <v>59111603.850000001</v>
      </c>
      <c r="M29" s="55">
        <v>61434113</v>
      </c>
      <c r="N29" s="173">
        <f>-SUMIFS(FINANCIACION[$ CAPITAL],
FINANCIACION[Fecha],"&lt;="&amp;EOMONTH(N$1,0),
FINANCIACION[PRESTAMO],$A29)</f>
        <v>59935720</v>
      </c>
      <c r="O29" s="173">
        <f>-SUMIFS(FINANCIACION[$ CAPITAL],
FINANCIACION[Fecha],"&lt;="&amp;EOMONTH(O$1,0),
FINANCIACION[PRESTAMO],$A29)</f>
        <v>58437327</v>
      </c>
      <c r="P29" s="173">
        <f>-SUMIFS(FINANCIACION[$ CAPITAL],
FINANCIACION[Fecha],"&lt;="&amp;EOMONTH(P$1,0),
FINANCIACION[PRESTAMO],$A29)</f>
        <v>0</v>
      </c>
      <c r="Q29" s="173">
        <f>-SUMIFS(FINANCIACION[$ CAPITAL],
FINANCIACION[Fecha],"&lt;="&amp;EOMONTH(Q$1,0),
FINANCIACION[PRESTAMO],$A29)</f>
        <v>0</v>
      </c>
      <c r="R29" s="173">
        <f>+Tabla10[[#This Row],[abr-22]]-Tabla10[[#This Row],[may-23]]</f>
        <v>0</v>
      </c>
      <c r="S29" s="173"/>
    </row>
    <row r="30" spans="1:19" ht="21.6" customHeight="1" x14ac:dyDescent="0.25">
      <c r="A30" s="44" t="s">
        <v>418</v>
      </c>
      <c r="B30" s="173">
        <f>-SUMIFS(FINANCIACION[$ CAPITAL],
FINANCIACION[Fecha],"&lt;="&amp;EOMONTH(B$1,0),
FINANCIACION[PRESTAMO],$A30)</f>
        <v>0</v>
      </c>
      <c r="C30" s="55">
        <v>0</v>
      </c>
      <c r="D30" s="55">
        <v>0</v>
      </c>
      <c r="E30" s="55">
        <v>0</v>
      </c>
      <c r="F30" s="55">
        <v>0</v>
      </c>
      <c r="G30" s="55">
        <v>22522714</v>
      </c>
      <c r="H30" s="55">
        <v>23115417</v>
      </c>
      <c r="I30" s="55">
        <v>23115417</v>
      </c>
      <c r="J30" s="55">
        <v>22819065.5</v>
      </c>
      <c r="K30" s="55">
        <v>22813138.469999999</v>
      </c>
      <c r="L30" s="55">
        <v>23382133.349999998</v>
      </c>
      <c r="M30" s="55">
        <v>24300823</v>
      </c>
      <c r="N30" s="173">
        <f>-SUMIFS(FINANCIACION[$ CAPITAL],
FINANCIACION[Fecha],"&lt;="&amp;EOMONTH(N$1,0),
FINANCIACION[PRESTAMO],$A30)</f>
        <v>23708120</v>
      </c>
      <c r="O30" s="173">
        <f>-SUMIFS(FINANCIACION[$ CAPITAL],
FINANCIACION[Fecha],"&lt;="&amp;EOMONTH(O$1,0),
FINANCIACION[PRESTAMO],$A30)</f>
        <v>23115417</v>
      </c>
      <c r="P30" s="173">
        <f>-SUMIFS(FINANCIACION[$ CAPITAL],
FINANCIACION[Fecha],"&lt;="&amp;EOMONTH(P$1,0),
FINANCIACION[PRESTAMO],$A30)</f>
        <v>22522714</v>
      </c>
      <c r="Q30" s="173">
        <f>-SUMIFS(FINANCIACION[$ CAPITAL],
FINANCIACION[Fecha],"&lt;="&amp;EOMONTH(Q$1,0),
FINANCIACION[PRESTAMO],$A30)</f>
        <v>23708120</v>
      </c>
      <c r="R30" s="173">
        <f>+Tabla10[[#This Row],[abr-22]]-Tabla10[[#This Row],[may-23]]</f>
        <v>0</v>
      </c>
      <c r="S30" s="173">
        <f>5927.03*4000</f>
        <v>23708120</v>
      </c>
    </row>
    <row r="31" spans="1:19" ht="21.6" customHeight="1" x14ac:dyDescent="0.25">
      <c r="A31" s="44" t="s">
        <v>540</v>
      </c>
      <c r="B31" s="173">
        <f>-SUMIFS(FINANCIACION[$ CAPITAL],
FINANCIACION[Fecha],"&lt;="&amp;EOMONTH(B$1,0),
FINANCIACION[PRESTAMO],$A31)</f>
        <v>0</v>
      </c>
      <c r="C31" s="55">
        <v>0</v>
      </c>
      <c r="D31" s="55">
        <v>0</v>
      </c>
      <c r="E31" s="55">
        <v>0</v>
      </c>
      <c r="F31" s="55">
        <v>0</v>
      </c>
      <c r="G31" s="55">
        <v>0</v>
      </c>
      <c r="H31" s="55">
        <v>0</v>
      </c>
      <c r="I31" s="55">
        <v>0</v>
      </c>
      <c r="J31" s="55">
        <v>0</v>
      </c>
      <c r="K31" s="55">
        <v>52683918.810000002</v>
      </c>
      <c r="L31" s="55">
        <v>53997937.050000004</v>
      </c>
      <c r="M31" s="55">
        <v>56119529</v>
      </c>
      <c r="N31" s="173">
        <f>-SUMIFS(FINANCIACION[$ CAPITAL],
FINANCIACION[Fecha],"&lt;="&amp;EOMONTH(N$1,0),
FINANCIACION[PRESTAMO],$A31)</f>
        <v>54750760</v>
      </c>
      <c r="O31" s="173">
        <f>-SUMIFS(FINANCIACION[$ CAPITAL],
FINANCIACION[Fecha],"&lt;="&amp;EOMONTH(O$1,0),
FINANCIACION[PRESTAMO],$A31)</f>
        <v>53381991</v>
      </c>
      <c r="P31" s="173">
        <f>-SUMIFS(FINANCIACION[$ CAPITAL],
FINANCIACION[Fecha],"&lt;="&amp;EOMONTH(P$1,0),
FINANCIACION[PRESTAMO],$A31)</f>
        <v>52013222</v>
      </c>
      <c r="Q31" s="173">
        <f>-SUMIFS(FINANCIACION[$ CAPITAL],
FINANCIACION[Fecha],"&lt;="&amp;EOMONTH(Q$1,0),
FINANCIACION[PRESTAMO],$A31)</f>
        <v>54750760</v>
      </c>
      <c r="R31" s="173">
        <f>+Tabla10[[#This Row],[abr-22]]-Tabla10[[#This Row],[may-23]]</f>
        <v>0</v>
      </c>
      <c r="S31" s="173">
        <f>13687.69*4000</f>
        <v>54750760</v>
      </c>
    </row>
    <row r="32" spans="1:19" ht="21.6" customHeight="1" x14ac:dyDescent="0.25">
      <c r="A32" s="44" t="s">
        <v>959</v>
      </c>
      <c r="B32" s="173">
        <f>-SUMIFS(FINANCIACION[$ CAPITAL],
FINANCIACION[Fecha],"&lt;="&amp;EOMONTH(B$1,0),
FINANCIACION[PRESTAMO],$A32)</f>
        <v>0</v>
      </c>
      <c r="C32" s="55">
        <v>0</v>
      </c>
      <c r="D32" s="55">
        <v>0</v>
      </c>
      <c r="E32" s="55">
        <v>0</v>
      </c>
      <c r="F32" s="55">
        <v>0</v>
      </c>
      <c r="G32" s="55">
        <v>0</v>
      </c>
      <c r="H32" s="55">
        <v>0</v>
      </c>
      <c r="I32" s="55">
        <v>0</v>
      </c>
      <c r="J32" s="55">
        <v>0</v>
      </c>
      <c r="K32" s="55">
        <v>0</v>
      </c>
      <c r="L32" s="55">
        <v>0</v>
      </c>
      <c r="M32" s="55">
        <v>0</v>
      </c>
      <c r="N32" s="173">
        <f>-SUMIFS(FINANCIACION[$ CAPITAL],
FINANCIACION[Fecha],"&lt;="&amp;EOMONTH(N$1,0),
FINANCIACION[PRESTAMO],$A32)</f>
        <v>57737440</v>
      </c>
      <c r="O32" s="173">
        <f>-SUMIFS(FINANCIACION[$ CAPITAL],
FINANCIACION[Fecha],"&lt;="&amp;EOMONTH(O$1,0),
FINANCIACION[PRESTAMO],$A32)</f>
        <v>56294004</v>
      </c>
      <c r="P32" s="173">
        <f>-SUMIFS(FINANCIACION[$ CAPITAL],
FINANCIACION[Fecha],"&lt;="&amp;EOMONTH(P$1,0),
FINANCIACION[PRESTAMO],$A32)</f>
        <v>54850568</v>
      </c>
      <c r="Q32" s="173">
        <f>-SUMIFS(FINANCIACION[$ CAPITAL],
FINANCIACION[Fecha],"&lt;="&amp;EOMONTH(Q$1,0),
FINANCIACION[PRESTAMO],$A32)</f>
        <v>57737440</v>
      </c>
      <c r="R32" s="173">
        <f>+Tabla10[[#This Row],[abr-22]]-Tabla10[[#This Row],[may-23]]</f>
        <v>0</v>
      </c>
      <c r="S32" s="173">
        <f>14434.36*4000</f>
        <v>57737440</v>
      </c>
    </row>
    <row r="33" spans="1:19" ht="21.6" customHeight="1" x14ac:dyDescent="0.25">
      <c r="A33" s="44" t="s">
        <v>197</v>
      </c>
      <c r="B33" s="173">
        <f>-SUMIFS(FINANCIACION[$ CAPITAL],
FINANCIACION[Fecha],"&lt;="&amp;EOMONTH(B$1,0),
FINANCIACION[PRESTAMO],$A33)</f>
        <v>85669126</v>
      </c>
      <c r="C33" s="55">
        <v>79343126</v>
      </c>
      <c r="D33" s="55">
        <v>73017126</v>
      </c>
      <c r="E33" s="55">
        <v>66691126</v>
      </c>
      <c r="F33" s="55">
        <v>54039126</v>
      </c>
      <c r="G33" s="55">
        <v>54039126</v>
      </c>
      <c r="H33" s="55">
        <v>47713126</v>
      </c>
      <c r="I33" s="55">
        <v>41387126</v>
      </c>
      <c r="J33" s="55">
        <v>35061126</v>
      </c>
      <c r="K33" s="55">
        <v>28693821.449999999</v>
      </c>
      <c r="L33" s="55">
        <v>22409126</v>
      </c>
      <c r="M33" s="55">
        <v>16083126</v>
      </c>
      <c r="N33" s="173">
        <f>-SUMIFS(FINANCIACION[$ CAPITAL],
FINANCIACION[Fecha],"&lt;="&amp;EOMONTH(N$1,0),
FINANCIACION[PRESTAMO],$A33)</f>
        <v>9757126</v>
      </c>
      <c r="O33" s="173">
        <f>-SUMIFS(FINANCIACION[$ CAPITAL],
FINANCIACION[Fecha],"&lt;="&amp;EOMONTH(O$1,0),
FINANCIACION[PRESTAMO],$A33)</f>
        <v>3431126</v>
      </c>
      <c r="P33" s="173">
        <f>-SUMIFS(FINANCIACION[$ CAPITAL],
FINANCIACION[Fecha],"&lt;="&amp;EOMONTH(P$1,0),
FINANCIACION[PRESTAMO],$A33)</f>
        <v>0</v>
      </c>
      <c r="Q33" s="173">
        <f>-SUMIFS(FINANCIACION[$ CAPITAL],
FINANCIACION[Fecha],"&lt;="&amp;EOMONTH(Q$1,0),
FINANCIACION[PRESTAMO],$A33)</f>
        <v>0</v>
      </c>
      <c r="R33" s="173">
        <f>+Tabla10[[#This Row],[abr-22]]-Tabla10[[#This Row],[may-23]]</f>
        <v>0</v>
      </c>
      <c r="S33" s="173"/>
    </row>
    <row r="34" spans="1:19" ht="21.6" customHeight="1" x14ac:dyDescent="0.25">
      <c r="A34" s="44" t="s">
        <v>198</v>
      </c>
      <c r="B34" s="173">
        <f>-SUMIFS(FINANCIACION[$ CAPITAL],
FINANCIACION[Fecha],"&lt;="&amp;EOMONTH(B$1,0),
FINANCIACION[PRESTAMO],$A34)</f>
        <v>0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0</v>
      </c>
      <c r="I34" s="55">
        <v>0</v>
      </c>
      <c r="J34" s="55">
        <v>0</v>
      </c>
      <c r="K34" s="55">
        <v>0</v>
      </c>
      <c r="L34" s="55">
        <v>0</v>
      </c>
      <c r="M34" s="55">
        <v>0</v>
      </c>
      <c r="N34" s="173">
        <f>-SUMIFS(FINANCIACION[$ CAPITAL],
FINANCIACION[Fecha],"&lt;="&amp;EOMONTH(N$1,0),
FINANCIACION[PRESTAMO],$A34)</f>
        <v>0</v>
      </c>
      <c r="O34" s="173">
        <f>-SUMIFS(FINANCIACION[$ CAPITAL],
FINANCIACION[Fecha],"&lt;="&amp;EOMONTH(O$1,0),
FINANCIACION[PRESTAMO],$A34)</f>
        <v>0</v>
      </c>
      <c r="P34" s="173">
        <f>-SUMIFS(FINANCIACION[$ CAPITAL],
FINANCIACION[Fecha],"&lt;="&amp;EOMONTH(P$1,0),
FINANCIACION[PRESTAMO],$A34)</f>
        <v>0</v>
      </c>
      <c r="Q34" s="173">
        <f>-SUMIFS(FINANCIACION[$ CAPITAL],
FINANCIACION[Fecha],"&lt;="&amp;EOMONTH(Q$1,0),
FINANCIACION[PRESTAMO],$A34)</f>
        <v>0</v>
      </c>
      <c r="R34" s="173">
        <f>+Tabla10[[#This Row],[abr-22]]-Tabla10[[#This Row],[may-23]]</f>
        <v>0</v>
      </c>
      <c r="S34" s="173"/>
    </row>
    <row r="35" spans="1:19" ht="21.6" customHeight="1" x14ac:dyDescent="0.25">
      <c r="A35" s="44" t="s">
        <v>199</v>
      </c>
      <c r="B35" s="173">
        <f>-SUMIFS(FINANCIACION[$ CAPITAL],
FINANCIACION[Fecha],"&lt;="&amp;EOMONTH(B$1,0),
FINANCIACION[PRESTAMO],$A35)</f>
        <v>0</v>
      </c>
      <c r="C35" s="55">
        <v>0</v>
      </c>
      <c r="D35" s="55">
        <v>0</v>
      </c>
      <c r="E35" s="55">
        <v>0</v>
      </c>
      <c r="F35" s="55">
        <v>0</v>
      </c>
      <c r="G35" s="55">
        <v>0</v>
      </c>
      <c r="H35" s="55">
        <v>0</v>
      </c>
      <c r="I35" s="55">
        <v>0</v>
      </c>
      <c r="J35" s="55">
        <v>0</v>
      </c>
      <c r="K35" s="55">
        <v>0</v>
      </c>
      <c r="L35" s="55">
        <v>0</v>
      </c>
      <c r="M35" s="55">
        <v>0</v>
      </c>
      <c r="N35" s="173">
        <f>-SUMIFS(FINANCIACION[$ CAPITAL],
FINANCIACION[Fecha],"&lt;="&amp;EOMONTH(N$1,0),
FINANCIACION[PRESTAMO],$A35)</f>
        <v>0</v>
      </c>
      <c r="O35" s="173">
        <f>-SUMIFS(FINANCIACION[$ CAPITAL],
FINANCIACION[Fecha],"&lt;="&amp;EOMONTH(O$1,0),
FINANCIACION[PRESTAMO],$A35)</f>
        <v>0</v>
      </c>
      <c r="P35" s="173">
        <f>-SUMIFS(FINANCIACION[$ CAPITAL],
FINANCIACION[Fecha],"&lt;="&amp;EOMONTH(P$1,0),
FINANCIACION[PRESTAMO],$A35)</f>
        <v>0</v>
      </c>
      <c r="Q35" s="173">
        <f>-SUMIFS(FINANCIACION[$ CAPITAL],
FINANCIACION[Fecha],"&lt;="&amp;EOMONTH(Q$1,0),
FINANCIACION[PRESTAMO],$A35)</f>
        <v>0</v>
      </c>
      <c r="R35" s="173">
        <f>+Tabla10[[#This Row],[abr-22]]-Tabla10[[#This Row],[may-23]]</f>
        <v>0</v>
      </c>
      <c r="S35" s="173"/>
    </row>
    <row r="36" spans="1:19" ht="21.6" customHeight="1" x14ac:dyDescent="0.25">
      <c r="A36" s="44" t="s">
        <v>1229</v>
      </c>
      <c r="B36" s="173">
        <f>-SUMIFS(FINANCIACION[$ CAPITAL],
FINANCIACION[Fecha],"&lt;="&amp;EOMONTH(B$1,0),
FINANCIACION[PRESTAMO],$A36)</f>
        <v>0</v>
      </c>
      <c r="C36" s="55">
        <v>0</v>
      </c>
      <c r="D36" s="55">
        <v>0</v>
      </c>
      <c r="E36" s="55">
        <v>0</v>
      </c>
      <c r="F36" s="55">
        <v>26031901.309999999</v>
      </c>
      <c r="G36" s="55">
        <v>24790595.739999998</v>
      </c>
      <c r="H36" s="55">
        <v>23719778.41</v>
      </c>
      <c r="I36" s="55">
        <v>22486676.970000003</v>
      </c>
      <c r="J36" s="55">
        <v>21267871.290000003</v>
      </c>
      <c r="K36" s="55">
        <v>20060494.380000003</v>
      </c>
      <c r="L36" s="55">
        <v>18880535.100000001</v>
      </c>
      <c r="M36" s="55">
        <v>17706924.239999998</v>
      </c>
      <c r="N36" s="173">
        <f>-SUMIFS(FINANCIACION[$ CAPITAL],
FINANCIACION[Fecha],"&lt;="&amp;EOMONTH(N$1,0),
FINANCIACION[PRESTAMO],$A36)</f>
        <v>17536552.289999999</v>
      </c>
      <c r="O36" s="173">
        <f>-SUMIFS(FINANCIACION[$ CAPITAL],
FINANCIACION[Fecha],"&lt;="&amp;EOMONTH(O$1,0),
FINANCIACION[PRESTAMO],$A36)</f>
        <v>16339810.049999999</v>
      </c>
      <c r="P36" s="173">
        <f>-SUMIFS(FINANCIACION[$ CAPITAL],
FINANCIACION[Fecha],"&lt;="&amp;EOMONTH(P$1,0),
FINANCIACION[PRESTAMO],$A36)</f>
        <v>15144754.67</v>
      </c>
      <c r="Q36" s="173">
        <f>-SUMIFS(FINANCIACION[$ CAPITAL],
FINANCIACION[Fecha],"&lt;="&amp;EOMONTH(Q$1,0),
FINANCIACION[PRESTAMO],$A36)</f>
        <v>13937348.779999999</v>
      </c>
      <c r="R36" s="173">
        <f>+Tabla10[[#This Row],[abr-22]]-Tabla10[[#This Row],[may-23]]</f>
        <v>13937348.779999999</v>
      </c>
      <c r="S36" s="173"/>
    </row>
    <row r="37" spans="1:19" ht="21.6" customHeight="1" x14ac:dyDescent="0.25">
      <c r="A37" s="44" t="s">
        <v>1283</v>
      </c>
      <c r="B37" s="173">
        <f>-SUMIFS(FINANCIACION[$ CAPITAL],
FINANCIACION[Fecha],"&lt;="&amp;EOMONTH(B$1,0),
FINANCIACION[PRESTAMO],$A37)</f>
        <v>0</v>
      </c>
      <c r="C37" s="55">
        <v>0</v>
      </c>
      <c r="D37" s="55">
        <v>0</v>
      </c>
      <c r="E37" s="55">
        <v>0</v>
      </c>
      <c r="F37" s="55">
        <v>0</v>
      </c>
      <c r="G37" s="55">
        <v>0</v>
      </c>
      <c r="H37" s="55">
        <v>0</v>
      </c>
      <c r="I37" s="55">
        <v>0</v>
      </c>
      <c r="J37" s="55">
        <v>0</v>
      </c>
      <c r="K37" s="55">
        <v>0</v>
      </c>
      <c r="L37" s="55">
        <v>0</v>
      </c>
      <c r="M37" s="55">
        <v>0</v>
      </c>
      <c r="N37" s="173">
        <f>-SUMIFS(FINANCIACION[$ CAPITAL],
FINANCIACION[Fecha],"&lt;="&amp;EOMONTH(N$1,0),
FINANCIACION[PRESTAMO],$A37)</f>
        <v>673307.35000000149</v>
      </c>
      <c r="O37" s="173">
        <f>-SUMIFS(FINANCIACION[$ CAPITAL],
FINANCIACION[Fecha],"&lt;="&amp;EOMONTH(O$1,0),
FINANCIACION[PRESTAMO],$A37)</f>
        <v>673307.35000000149</v>
      </c>
      <c r="P37" s="173">
        <f>-SUMIFS(FINANCIACION[$ CAPITAL],
FINANCIACION[Fecha],"&lt;="&amp;EOMONTH(P$1,0),
FINANCIACION[PRESTAMO],$A37)</f>
        <v>60673307.350000001</v>
      </c>
      <c r="Q37" s="173">
        <f>-SUMIFS(FINANCIACION[$ CAPITAL],
FINANCIACION[Fecha],"&lt;="&amp;EOMONTH(Q$1,0),
FINANCIACION[PRESTAMO],$A37)</f>
        <v>58281472.409999996</v>
      </c>
      <c r="R37" s="173">
        <f>+Tabla10[[#This Row],[abr-22]]-Tabla10[[#This Row],[may-23]]</f>
        <v>58281472.409999996</v>
      </c>
      <c r="S37" s="173"/>
    </row>
    <row r="38" spans="1:19" ht="21.6" customHeight="1" x14ac:dyDescent="0.25">
      <c r="A38" s="44" t="s">
        <v>1223</v>
      </c>
      <c r="B38" s="173">
        <f>-SUMIFS(FINANCIACION[$ CAPITAL],
FINANCIACION[Fecha],"&lt;="&amp;EOMONTH(B$1,0),
FINANCIACION[PRESTAMO],$A38)</f>
        <v>25582703.219999999</v>
      </c>
      <c r="C38" s="55">
        <v>24706333.149999999</v>
      </c>
      <c r="D38" s="55">
        <v>23868447.079999998</v>
      </c>
      <c r="E38" s="55">
        <v>24020998.199999999</v>
      </c>
      <c r="F38" s="55">
        <v>22282101.91</v>
      </c>
      <c r="G38" s="55">
        <v>21288613.34</v>
      </c>
      <c r="H38" s="55">
        <v>20437835.670000002</v>
      </c>
      <c r="I38" s="55">
        <v>19449106.430000003</v>
      </c>
      <c r="J38" s="55">
        <v>18474834.260000005</v>
      </c>
      <c r="K38" s="55">
        <v>17508544.630000006</v>
      </c>
      <c r="L38" s="55">
        <v>16565250.450000007</v>
      </c>
      <c r="M38" s="55">
        <v>15625187.190000009</v>
      </c>
      <c r="N38" s="173">
        <f>-SUMIFS(FINANCIACION[$ CAPITAL],
FINANCIACION[Fecha],"&lt;="&amp;EOMONTH(N$1,0),
FINANCIACION[PRESTAMO],$A38)</f>
        <v>15569752.239999998</v>
      </c>
      <c r="O38" s="173">
        <f>-SUMIFS(FINANCIACION[$ CAPITAL],
FINANCIACION[Fecha],"&lt;="&amp;EOMONTH(O$1,0),
FINANCIACION[PRESTAMO],$A38)</f>
        <v>14610144.759999998</v>
      </c>
      <c r="P38" s="173">
        <f>-SUMIFS(FINANCIACION[$ CAPITAL],
FINANCIACION[Fecha],"&lt;="&amp;EOMONTH(P$1,0),
FINANCIACION[PRESTAMO],$A38)</f>
        <v>13646197.029999999</v>
      </c>
      <c r="Q38" s="173">
        <f>-SUMIFS(FINANCIACION[$ CAPITAL],
FINANCIACION[Fecha],"&lt;="&amp;EOMONTH(Q$1,0),
FINANCIACION[PRESTAMO],$A38)</f>
        <v>12674339.050000001</v>
      </c>
      <c r="R38" s="173">
        <f>+Tabla10[[#This Row],[abr-22]]-Tabla10[[#This Row],[may-23]]</f>
        <v>12674339.050000001</v>
      </c>
      <c r="S38" s="173"/>
    </row>
    <row r="39" spans="1:19" ht="21.6" customHeight="1" x14ac:dyDescent="0.25">
      <c r="A39" s="44" t="s">
        <v>1231</v>
      </c>
      <c r="B39" s="173">
        <f>-SUMIFS(FINANCIACION[$ CAPITAL],
FINANCIACION[Fecha],"&lt;="&amp;EOMONTH(B$1,0),
FINANCIACION[PRESTAMO],$A39)</f>
        <v>0</v>
      </c>
      <c r="C39" s="55">
        <v>0</v>
      </c>
      <c r="D39" s="55">
        <v>0</v>
      </c>
      <c r="E39" s="55">
        <v>0</v>
      </c>
      <c r="F39" s="55">
        <v>0</v>
      </c>
      <c r="G39" s="55">
        <v>0</v>
      </c>
      <c r="H39" s="55">
        <v>0</v>
      </c>
      <c r="I39" s="55">
        <v>0</v>
      </c>
      <c r="J39" s="55">
        <v>0</v>
      </c>
      <c r="K39" s="55">
        <v>0</v>
      </c>
      <c r="L39" s="55">
        <v>80206729.879999995</v>
      </c>
      <c r="M39" s="55">
        <v>79861078.480000004</v>
      </c>
      <c r="N39" s="173">
        <f>-SUMIFS(FINANCIACION[$ CAPITAL],
FINANCIACION[Fecha],"&lt;="&amp;EOMONTH(N$1,0),
FINANCIACION[PRESTAMO],$A39)</f>
        <v>81521482.209999993</v>
      </c>
      <c r="O39" s="173">
        <f>-SUMIFS(FINANCIACION[$ CAPITAL],
FINANCIACION[Fecha],"&lt;="&amp;EOMONTH(O$1,0),
FINANCIACION[PRESTAMO],$A39)</f>
        <v>81031536.909999996</v>
      </c>
      <c r="P39" s="173">
        <f>-SUMIFS(FINANCIACION[$ CAPITAL],
FINANCIACION[Fecha],"&lt;="&amp;EOMONTH(P$1,0),
FINANCIACION[PRESTAMO],$A39)</f>
        <v>80512499.969999999</v>
      </c>
      <c r="Q39" s="173">
        <f>-SUMIFS(FINANCIACION[$ CAPITAL],
FINANCIACION[Fecha],"&lt;="&amp;EOMONTH(Q$1,0),
FINANCIACION[PRESTAMO],$A39)</f>
        <v>79885629.010000005</v>
      </c>
      <c r="R39" s="173">
        <f>+Tabla10[[#This Row],[abr-22]]-Tabla10[[#This Row],[may-23]]</f>
        <v>79885629.010000005</v>
      </c>
      <c r="S39" s="173"/>
    </row>
    <row r="40" spans="1:19" ht="21.6" customHeight="1" x14ac:dyDescent="0.25">
      <c r="A40" s="44" t="s">
        <v>1225</v>
      </c>
      <c r="B40" s="173">
        <f>-SUMIFS(FINANCIACION[$ CAPITAL],
FINANCIACION[Fecha],"&lt;="&amp;EOMONTH(B$1,0),
FINANCIACION[PRESTAMO],$A40)</f>
        <v>26810607.579999998</v>
      </c>
      <c r="C40" s="55">
        <v>26991160.550000001</v>
      </c>
      <c r="D40" s="55">
        <v>25913149.530000001</v>
      </c>
      <c r="E40" s="55">
        <v>26084498.899999999</v>
      </c>
      <c r="F40" s="55">
        <v>24272072.600000001</v>
      </c>
      <c r="G40" s="55">
        <v>23225449.379999999</v>
      </c>
      <c r="H40" s="55">
        <v>22328751.640000001</v>
      </c>
      <c r="I40" s="55">
        <v>21288390.120000001</v>
      </c>
      <c r="J40" s="55">
        <v>20261351.320000004</v>
      </c>
      <c r="K40" s="55">
        <v>19242659.020000003</v>
      </c>
      <c r="L40" s="55">
        <v>18250128.500000004</v>
      </c>
      <c r="M40" s="55">
        <v>17261167.520000003</v>
      </c>
      <c r="N40" s="173">
        <f>-SUMIFS(FINANCIACION[$ CAPITAL],
FINANCIACION[Fecha],"&lt;="&amp;EOMONTH(N$1,0),
FINANCIACION[PRESTAMO],$A40)</f>
        <v>17254768.769999996</v>
      </c>
      <c r="O40" s="173">
        <f>-SUMIFS(FINANCIACION[$ CAPITAL],
FINANCIACION[Fecha],"&lt;="&amp;EOMONTH(O$1,0),
FINANCIACION[PRESTAMO],$A40)</f>
        <v>16242992.549999999</v>
      </c>
      <c r="P40" s="173">
        <f>-SUMIFS(FINANCIACION[$ CAPITAL],
FINANCIACION[Fecha],"&lt;="&amp;EOMONTH(P$1,0),
FINANCIACION[PRESTAMO],$A40)</f>
        <v>15226787.619999999</v>
      </c>
      <c r="Q40" s="173">
        <f>-SUMIFS(FINANCIACION[$ CAPITAL],
FINANCIACION[Fecha],"&lt;="&amp;EOMONTH(Q$1,0),
FINANCIACION[PRESTAMO],$A40)</f>
        <v>14201795.960000001</v>
      </c>
      <c r="R40" s="173">
        <f>+Tabla10[[#This Row],[abr-22]]-Tabla10[[#This Row],[may-23]]</f>
        <v>14201795.960000001</v>
      </c>
      <c r="S40" s="173"/>
    </row>
    <row r="41" spans="1:19" ht="21.6" customHeight="1" x14ac:dyDescent="0.25">
      <c r="A41" s="44" t="s">
        <v>1221</v>
      </c>
      <c r="B41" s="173">
        <f>-SUMIFS(FINANCIACION[$ CAPITAL],
FINANCIACION[Fecha],"&lt;="&amp;EOMONTH(B$1,0),
FINANCIACION[PRESTAMO],$A41)</f>
        <v>65865540.649999999</v>
      </c>
      <c r="C41" s="55">
        <v>60995747.579999998</v>
      </c>
      <c r="D41" s="55">
        <v>58902640.799999997</v>
      </c>
      <c r="E41" s="55">
        <v>56682393.969999999</v>
      </c>
      <c r="F41" s="55">
        <v>54818487.120000005</v>
      </c>
      <c r="G41" s="55">
        <v>52299048.060000002</v>
      </c>
      <c r="H41" s="55">
        <v>50136013.609999999</v>
      </c>
      <c r="I41" s="55">
        <v>47631389.68</v>
      </c>
      <c r="J41" s="55">
        <v>45157527.289999999</v>
      </c>
      <c r="K41" s="55">
        <v>42697257.329999998</v>
      </c>
      <c r="L41" s="55">
        <v>40306835</v>
      </c>
      <c r="M41" s="55">
        <v>37926967.32</v>
      </c>
      <c r="N41" s="173">
        <f>-SUMIFS(FINANCIACION[$ CAPITAL],
FINANCIACION[Fecha],"&lt;="&amp;EOMONTH(N$1,0),
FINANCIACION[PRESTAMO],$A41)</f>
        <v>37702871.579999998</v>
      </c>
      <c r="O41" s="173">
        <f>-SUMIFS(FINANCIACION[$ CAPITAL],
FINANCIACION[Fecha],"&lt;="&amp;EOMONTH(O$1,0),
FINANCIACION[PRESTAMO],$A41)</f>
        <v>35270961.200000003</v>
      </c>
      <c r="P41" s="173">
        <f>-SUMIFS(FINANCIACION[$ CAPITAL],
FINANCIACION[Fecha],"&lt;="&amp;EOMONTH(P$1,0),
FINANCIACION[PRESTAMO],$A41)</f>
        <v>32840873.73</v>
      </c>
      <c r="Q41" s="173">
        <f>-SUMIFS(FINANCIACION[$ CAPITAL],
FINANCIACION[Fecha],"&lt;="&amp;EOMONTH(Q$1,0),
FINANCIACION[PRESTAMO],$A41)</f>
        <v>30382557</v>
      </c>
      <c r="R41" s="173">
        <f>+Tabla10[[#This Row],[abr-22]]-Tabla10[[#This Row],[may-23]]</f>
        <v>30382557</v>
      </c>
      <c r="S41" s="173"/>
    </row>
    <row r="42" spans="1:19" ht="21.6" customHeight="1" x14ac:dyDescent="0.25">
      <c r="A42" s="44" t="s">
        <v>1222</v>
      </c>
      <c r="B42" s="173">
        <f>-SUMIFS(FINANCIACION[$ CAPITAL],
FINANCIACION[Fecha],"&lt;="&amp;EOMONTH(B$1,0),
FINANCIACION[PRESTAMO],$A42)</f>
        <v>94944546.189999998</v>
      </c>
      <c r="C42" s="55">
        <v>88476889.230000004</v>
      </c>
      <c r="D42" s="55">
        <v>84262864.439999998</v>
      </c>
      <c r="E42" s="55">
        <v>82222974.680000007</v>
      </c>
      <c r="F42" s="55">
        <v>79567204.679999992</v>
      </c>
      <c r="G42" s="55">
        <v>75853658.510000005</v>
      </c>
      <c r="H42" s="55">
        <v>72716430.010000005</v>
      </c>
      <c r="I42" s="55">
        <v>69028183.840000004</v>
      </c>
      <c r="J42" s="55">
        <v>65388773.829999998</v>
      </c>
      <c r="K42" s="55">
        <v>61771693.030000001</v>
      </c>
      <c r="L42" s="55">
        <v>58266664.57</v>
      </c>
      <c r="M42" s="55">
        <v>54781379.420000002</v>
      </c>
      <c r="N42" s="173">
        <f>-SUMIFS(FINANCIACION[$ CAPITAL],
FINANCIACION[Fecha],"&lt;="&amp;EOMONTH(N$1,0),
FINANCIACION[PRESTAMO],$A42)</f>
        <v>54743940.329999998</v>
      </c>
      <c r="O42" s="173">
        <f>-SUMIFS(FINANCIACION[$ CAPITAL],
FINANCIACION[Fecha],"&lt;="&amp;EOMONTH(O$1,0),
FINANCIACION[PRESTAMO],$A42)</f>
        <v>51178694.019999996</v>
      </c>
      <c r="P42" s="173">
        <f>-SUMIFS(FINANCIACION[$ CAPITAL],
FINANCIACION[Fecha],"&lt;="&amp;EOMONTH(P$1,0),
FINANCIACION[PRESTAMO],$A42)</f>
        <v>47619134.409999996</v>
      </c>
      <c r="Q42" s="173">
        <f>-SUMIFS(FINANCIACION[$ CAPITAL],
FINANCIACION[Fecha],"&lt;="&amp;EOMONTH(Q$1,0),
FINANCIACION[PRESTAMO],$A42)</f>
        <v>44018411.509999998</v>
      </c>
      <c r="R42" s="173">
        <f>+Tabla10[[#This Row],[abr-22]]-Tabla10[[#This Row],[may-23]]</f>
        <v>44018411.509999998</v>
      </c>
      <c r="S42" s="173"/>
    </row>
    <row r="43" spans="1:19" ht="21.6" customHeight="1" x14ac:dyDescent="0.25">
      <c r="A43" s="44" t="s">
        <v>1217</v>
      </c>
      <c r="B43" s="173">
        <f>-SUMIFS(FINANCIACION[$ CAPITAL],
FINANCIACION[Fecha],"&lt;="&amp;EOMONTH(B$1,0),
FINANCIACION[PRESTAMO],$A43)</f>
        <v>349958312</v>
      </c>
      <c r="C43" s="55">
        <v>355279704</v>
      </c>
      <c r="D43" s="55">
        <v>351122469</v>
      </c>
      <c r="E43" s="55">
        <v>354844809</v>
      </c>
      <c r="F43" s="55">
        <v>356058032</v>
      </c>
      <c r="G43" s="55">
        <v>344444698</v>
      </c>
      <c r="H43" s="55">
        <v>344444698</v>
      </c>
      <c r="I43" s="55">
        <v>338735212</v>
      </c>
      <c r="J43" s="55">
        <v>333497178</v>
      </c>
      <c r="K43" s="55">
        <v>328259144</v>
      </c>
      <c r="L43" s="55">
        <v>323115759</v>
      </c>
      <c r="M43" s="55">
        <v>337123027</v>
      </c>
      <c r="N43" s="173">
        <f>-SUMIFS(FINANCIACION[$ CAPITAL],
FINANCIACION[Fecha],"&lt;="&amp;EOMONTH(N$1,0),
FINANCIACION[PRESTAMO],$A43)</f>
        <v>336616161</v>
      </c>
      <c r="O43" s="173">
        <f>-SUMIFS(FINANCIACION[$ CAPITAL],
FINANCIACION[Fecha],"&lt;="&amp;EOMONTH(O$1,0),
FINANCIACION[PRESTAMO],$A43)</f>
        <v>330806810</v>
      </c>
      <c r="P43" s="173">
        <f>-SUMIFS(FINANCIACION[$ CAPITAL],
FINANCIACION[Fecha],"&lt;="&amp;EOMONTH(P$1,0),
FINANCIACION[PRESTAMO],$A43)</f>
        <v>325308853</v>
      </c>
      <c r="Q43" s="173">
        <f>-SUMIFS(FINANCIACION[$ CAPITAL],
FINANCIACION[Fecha],"&lt;="&amp;EOMONTH(Q$1,0),
FINANCIACION[PRESTAMO],$A43)</f>
        <v>320469121</v>
      </c>
      <c r="R43" s="173">
        <f>+Tabla10[[#This Row],[abr-22]]-Tabla10[[#This Row],[may-23]]</f>
        <v>320469121</v>
      </c>
      <c r="S43" s="173"/>
    </row>
    <row r="44" spans="1:19" ht="21.6" customHeight="1" x14ac:dyDescent="0.25">
      <c r="A44" s="44" t="s">
        <v>1218</v>
      </c>
      <c r="B44" s="173">
        <f>-SUMIFS(FINANCIACION[$ CAPITAL],
FINANCIACION[Fecha],"&lt;="&amp;EOMONTH(B$1,0),
FINANCIACION[PRESTAMO],$A44)</f>
        <v>58432943.620000035</v>
      </c>
      <c r="C44" s="55">
        <v>72197464.860000014</v>
      </c>
      <c r="D44" s="55">
        <v>70787902.990000024</v>
      </c>
      <c r="E44" s="55">
        <v>71741402.340000033</v>
      </c>
      <c r="F44" s="55">
        <v>43888850.962125674</v>
      </c>
      <c r="G44" s="55">
        <v>28396816.509999998</v>
      </c>
      <c r="H44" s="55">
        <v>27093375.809999991</v>
      </c>
      <c r="I44" s="55">
        <v>25606060.169999991</v>
      </c>
      <c r="J44" s="55">
        <v>24137884.089999989</v>
      </c>
      <c r="K44" s="55">
        <v>22682493.509999987</v>
      </c>
      <c r="L44" s="55">
        <v>21258869.339999985</v>
      </c>
      <c r="M44" s="55">
        <v>19839681.689999986</v>
      </c>
      <c r="N44" s="173">
        <f>-SUMIFS(FINANCIACION[$ CAPITAL],
FINANCIACION[Fecha],"&lt;="&amp;EOMONTH(N$1,0),
FINANCIACION[PRESTAMO],$A44)</f>
        <v>19848448.960000001</v>
      </c>
      <c r="O44" s="173">
        <f>-SUMIFS(FINANCIACION[$ CAPITAL],
FINANCIACION[Fecha],"&lt;="&amp;EOMONTH(O$1,0),
FINANCIACION[PRESTAMO],$A44)</f>
        <v>18406102.599999998</v>
      </c>
      <c r="P44" s="173">
        <f>-SUMIFS(FINANCIACION[$ CAPITAL],
FINANCIACION[Fecha],"&lt;="&amp;EOMONTH(P$1,0),
FINANCIACION[PRESTAMO],$A44)</f>
        <v>16960811.02</v>
      </c>
      <c r="Q44" s="173">
        <f>-SUMIFS(FINANCIACION[$ CAPITAL],
FINANCIACION[Fecha],"&lt;="&amp;EOMONTH(Q$1,0),
FINANCIACION[PRESTAMO],$A44)</f>
        <v>15506854.619999999</v>
      </c>
      <c r="R44" s="173">
        <f>+Tabla10[[#This Row],[abr-22]]-Tabla10[[#This Row],[may-23]]</f>
        <v>15506854.619999999</v>
      </c>
      <c r="S44" s="173"/>
    </row>
    <row r="45" spans="1:19" ht="21.6" customHeight="1" x14ac:dyDescent="0.25">
      <c r="A45" s="44" t="s">
        <v>440</v>
      </c>
      <c r="B45" s="173">
        <f>-SUMIFS(FINANCIACION[$ CAPITAL],
FINANCIACION[Fecha],"&lt;="&amp;EOMONTH(B$1,0),
FINANCIACION[PRESTAMO],$A45)</f>
        <v>0</v>
      </c>
      <c r="C45" s="55">
        <v>0</v>
      </c>
      <c r="D45" s="55">
        <v>0</v>
      </c>
      <c r="E45" s="55">
        <v>0</v>
      </c>
      <c r="F45" s="55">
        <v>0</v>
      </c>
      <c r="G45" s="55">
        <v>0</v>
      </c>
      <c r="H45" s="55">
        <v>0</v>
      </c>
      <c r="I45" s="55">
        <v>0</v>
      </c>
      <c r="J45" s="55">
        <v>0</v>
      </c>
      <c r="K45" s="55">
        <v>0</v>
      </c>
      <c r="L45" s="55">
        <v>0</v>
      </c>
      <c r="M45" s="55">
        <v>0</v>
      </c>
      <c r="N45" s="173">
        <f>-SUMIFS(FINANCIACION[$ CAPITAL],
FINANCIACION[Fecha],"&lt;="&amp;EOMONTH(N$1,0),
FINANCIACION[PRESTAMO],$A45)</f>
        <v>0</v>
      </c>
      <c r="O45" s="173">
        <f>-SUMIFS(FINANCIACION[$ CAPITAL],
FINANCIACION[Fecha],"&lt;="&amp;EOMONTH(O$1,0),
FINANCIACION[PRESTAMO],$A45)</f>
        <v>0</v>
      </c>
      <c r="P45" s="173">
        <f>-SUMIFS(FINANCIACION[$ CAPITAL],
FINANCIACION[Fecha],"&lt;="&amp;EOMONTH(P$1,0),
FINANCIACION[PRESTAMO],$A45)</f>
        <v>0</v>
      </c>
      <c r="Q45" s="173">
        <f>-SUMIFS(FINANCIACION[$ CAPITAL],
FINANCIACION[Fecha],"&lt;="&amp;EOMONTH(Q$1,0),
FINANCIACION[PRESTAMO],$A45)</f>
        <v>0</v>
      </c>
      <c r="R45" s="173">
        <f>+Tabla10[[#This Row],[abr-22]]-Tabla10[[#This Row],[may-23]]</f>
        <v>0</v>
      </c>
      <c r="S45" s="173"/>
    </row>
    <row r="46" spans="1:19" ht="21.6" customHeight="1" x14ac:dyDescent="0.25">
      <c r="A46" s="44" t="s">
        <v>200</v>
      </c>
      <c r="B46" s="173">
        <f>-SUMIFS(FINANCIACION[$ CAPITAL],
FINANCIACION[Fecha],"&lt;="&amp;EOMONTH(B$1,0),
FINANCIACION[PRESTAMO],$A46)</f>
        <v>0</v>
      </c>
      <c r="C46" s="55">
        <v>0</v>
      </c>
      <c r="D46" s="55">
        <v>0</v>
      </c>
      <c r="E46" s="55">
        <v>0</v>
      </c>
      <c r="F46" s="55">
        <v>35000000</v>
      </c>
      <c r="G46" s="55">
        <v>35000000</v>
      </c>
      <c r="H46" s="55">
        <v>35000000</v>
      </c>
      <c r="I46" s="55">
        <v>35000000</v>
      </c>
      <c r="J46" s="55">
        <v>35000000</v>
      </c>
      <c r="K46" s="55">
        <v>35000000</v>
      </c>
      <c r="L46" s="55">
        <v>35000000</v>
      </c>
      <c r="M46" s="55">
        <v>33055556</v>
      </c>
      <c r="N46" s="173">
        <f>-SUMIFS(FINANCIACION[$ CAPITAL],
FINANCIACION[Fecha],"&lt;="&amp;EOMONTH(N$1,0),
FINANCIACION[PRESTAMO],$A46)</f>
        <v>31111112</v>
      </c>
      <c r="O46" s="173">
        <f>-SUMIFS(FINANCIACION[$ CAPITAL],
FINANCIACION[Fecha],"&lt;="&amp;EOMONTH(O$1,0),
FINANCIACION[PRESTAMO],$A46)</f>
        <v>29166668</v>
      </c>
      <c r="P46" s="173">
        <f>-SUMIFS(FINANCIACION[$ CAPITAL],
FINANCIACION[Fecha],"&lt;="&amp;EOMONTH(P$1,0),
FINANCIACION[PRESTAMO],$A46)</f>
        <v>27222224</v>
      </c>
      <c r="Q46" s="173">
        <f>-SUMIFS(FINANCIACION[$ CAPITAL],
FINANCIACION[Fecha],"&lt;="&amp;EOMONTH(Q$1,0),
FINANCIACION[PRESTAMO],$A46)</f>
        <v>25277780</v>
      </c>
      <c r="R46" s="173">
        <f>+Tabla10[[#This Row],[abr-22]]-Tabla10[[#This Row],[may-23]]</f>
        <v>25277780</v>
      </c>
      <c r="S46" s="173"/>
    </row>
    <row r="47" spans="1:19" ht="21.6" customHeight="1" x14ac:dyDescent="0.25">
      <c r="A47" s="44" t="s">
        <v>201</v>
      </c>
      <c r="B47" s="173">
        <f>-SUMIFS(FINANCIACION[$ CAPITAL],
FINANCIACION[Fecha],"&lt;="&amp;EOMONTH(B$1,0),
FINANCIACION[PRESTAMO],$A47)</f>
        <v>0</v>
      </c>
      <c r="C47" s="55">
        <v>0</v>
      </c>
      <c r="D47" s="55">
        <v>0</v>
      </c>
      <c r="E47" s="55">
        <v>0</v>
      </c>
      <c r="F47" s="55">
        <v>0</v>
      </c>
      <c r="G47" s="55">
        <v>1409465</v>
      </c>
      <c r="H47" s="55">
        <v>1273328</v>
      </c>
      <c r="I47" s="55">
        <v>-63580</v>
      </c>
      <c r="J47" s="55">
        <v>629103</v>
      </c>
      <c r="K47" s="55">
        <v>0</v>
      </c>
      <c r="L47" s="55">
        <v>0</v>
      </c>
      <c r="M47" s="55">
        <v>602400</v>
      </c>
      <c r="N47" s="173">
        <f>-SUMIFS(FINANCIACION[$ CAPITAL],
FINANCIACION[Fecha],"&lt;="&amp;EOMONTH(N$1,0),
FINANCIACION[PRESTAMO],$A47)</f>
        <v>2547513</v>
      </c>
      <c r="O47" s="173">
        <f>-SUMIFS(FINANCIACION[$ CAPITAL],
FINANCIACION[Fecha],"&lt;="&amp;EOMONTH(O$1,0),
FINANCIACION[PRESTAMO],$A47)</f>
        <v>4227096</v>
      </c>
      <c r="P47" s="173">
        <f>-SUMIFS(FINANCIACION[$ CAPITAL],
FINANCIACION[Fecha],"&lt;="&amp;EOMONTH(P$1,0),
FINANCIACION[PRESTAMO],$A47)</f>
        <v>1310705</v>
      </c>
      <c r="Q47" s="173">
        <f>-SUMIFS(FINANCIACION[$ CAPITAL],
FINANCIACION[Fecha],"&lt;="&amp;EOMONTH(Q$1,0),
FINANCIACION[PRESTAMO],$A47)</f>
        <v>1779909</v>
      </c>
      <c r="R47" s="173">
        <f>+Tabla10[[#This Row],[abr-22]]-Tabla10[[#This Row],[may-23]]</f>
        <v>0</v>
      </c>
      <c r="S47" s="173">
        <v>1779909</v>
      </c>
    </row>
    <row r="48" spans="1:19" ht="21.6" customHeight="1" x14ac:dyDescent="0.25">
      <c r="A48" s="44" t="s">
        <v>202</v>
      </c>
      <c r="B48" s="173">
        <f>-SUMIFS(FINANCIACION[$ CAPITAL],
FINANCIACION[Fecha],"&lt;="&amp;EOMONTH(B$1,0),
FINANCIACION[PRESTAMO],$A48)</f>
        <v>7016439</v>
      </c>
      <c r="C48" s="55">
        <v>27453600</v>
      </c>
      <c r="D48" s="55">
        <v>26384700</v>
      </c>
      <c r="E48" s="55">
        <v>34302600</v>
      </c>
      <c r="F48" s="55">
        <v>33366600</v>
      </c>
      <c r="G48" s="55">
        <v>23753800</v>
      </c>
      <c r="H48" s="55">
        <v>27693900</v>
      </c>
      <c r="I48" s="55">
        <v>31683600</v>
      </c>
      <c r="J48" s="55">
        <v>33806850</v>
      </c>
      <c r="K48" s="55">
        <v>1421</v>
      </c>
      <c r="L48" s="55">
        <v>28691985</v>
      </c>
      <c r="M48" s="55">
        <v>20561500</v>
      </c>
      <c r="N48" s="173">
        <f>-SUMIFS(FINANCIACION[$ CAPITAL],
FINANCIACION[Fecha],"&lt;="&amp;EOMONTH(N$1,0),
FINANCIACION[PRESTAMO],$A48)</f>
        <v>30496000</v>
      </c>
      <c r="O48" s="173">
        <f>-SUMIFS(FINANCIACION[$ CAPITAL],
FINANCIACION[Fecha],"&lt;="&amp;EOMONTH(O$1,0),
FINANCIACION[PRESTAMO],$A48)</f>
        <v>31609500</v>
      </c>
      <c r="P48" s="173">
        <f>-SUMIFS(FINANCIACION[$ CAPITAL],
FINANCIACION[Fecha],"&lt;="&amp;EOMONTH(P$1,0),
FINANCIACION[PRESTAMO],$A48)</f>
        <v>31357600</v>
      </c>
      <c r="Q48" s="173">
        <f>-SUMIFS(FINANCIACION[$ CAPITAL],
FINANCIACION[Fecha],"&lt;="&amp;EOMONTH(Q$1,0),
FINANCIACION[PRESTAMO],$A48)</f>
        <v>32860000</v>
      </c>
      <c r="R48" s="173">
        <f>+Tabla10[[#This Row],[abr-22]]-Tabla10[[#This Row],[may-23]]</f>
        <v>0</v>
      </c>
      <c r="S48" s="173">
        <f>8215*4000</f>
        <v>32860000</v>
      </c>
    </row>
    <row r="49" spans="1:19" ht="21.6" customHeight="1" x14ac:dyDescent="0.25">
      <c r="A49" s="44" t="s">
        <v>203</v>
      </c>
      <c r="B49" s="173">
        <f>-SUMIFS(FINANCIACION[$ CAPITAL],
FINANCIACION[Fecha],"&lt;="&amp;EOMONTH(B$1,0),
FINANCIACION[PRESTAMO],$A49)</f>
        <v>0</v>
      </c>
      <c r="C49" s="55">
        <v>0</v>
      </c>
      <c r="D49" s="55">
        <v>0</v>
      </c>
      <c r="E49" s="55">
        <v>0</v>
      </c>
      <c r="F49" s="55">
        <v>0</v>
      </c>
      <c r="G49" s="55">
        <v>5919563</v>
      </c>
      <c r="H49" s="55">
        <v>3911800</v>
      </c>
      <c r="I49" s="55">
        <v>417434</v>
      </c>
      <c r="J49" s="55">
        <v>4108939</v>
      </c>
      <c r="K49" s="55">
        <v>967140</v>
      </c>
      <c r="L49" s="55">
        <v>454357</v>
      </c>
      <c r="M49" s="55">
        <v>357536</v>
      </c>
      <c r="N49" s="173">
        <f>-SUMIFS(FINANCIACION[$ CAPITAL],
FINANCIACION[Fecha],"&lt;="&amp;EOMONTH(N$1,0),
FINANCIACION[PRESTAMO],$A49)</f>
        <v>404277</v>
      </c>
      <c r="O49" s="173">
        <f>-SUMIFS(FINANCIACION[$ CAPITAL],
FINANCIACION[Fecha],"&lt;="&amp;EOMONTH(O$1,0),
FINANCIACION[PRESTAMO],$A49)</f>
        <v>770850</v>
      </c>
      <c r="P49" s="173">
        <f>-SUMIFS(FINANCIACION[$ CAPITAL],
FINANCIACION[Fecha],"&lt;="&amp;EOMONTH(P$1,0),
FINANCIACION[PRESTAMO],$A49)</f>
        <v>11043186</v>
      </c>
      <c r="Q49" s="173">
        <f>-SUMIFS(FINANCIACION[$ CAPITAL],
FINANCIACION[Fecha],"&lt;="&amp;EOMONTH(Q$1,0),
FINANCIACION[PRESTAMO],$A49)</f>
        <v>10095606</v>
      </c>
      <c r="R49" s="173">
        <f>+Tabla10[[#This Row],[abr-22]]-Tabla10[[#This Row],[may-23]]</f>
        <v>0</v>
      </c>
      <c r="S49" s="173">
        <v>10095606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A1358-EE24-413F-8F86-32ADF309E9EE}">
  <dimension ref="B1:F24"/>
  <sheetViews>
    <sheetView workbookViewId="0">
      <selection activeCell="B1" sqref="B1:F10"/>
    </sheetView>
  </sheetViews>
  <sheetFormatPr baseColWidth="10" defaultRowHeight="15" x14ac:dyDescent="0.25"/>
  <cols>
    <col min="2" max="2" width="33.42578125" customWidth="1"/>
    <col min="3" max="3" width="15.7109375" customWidth="1"/>
    <col min="5" max="5" width="13" bestFit="1" customWidth="1"/>
    <col min="7" max="7" width="15" bestFit="1" customWidth="1"/>
  </cols>
  <sheetData>
    <row r="1" spans="2:6" x14ac:dyDescent="0.25">
      <c r="B1" t="s">
        <v>1276</v>
      </c>
      <c r="C1" t="s">
        <v>102</v>
      </c>
      <c r="D1" t="s">
        <v>1280</v>
      </c>
      <c r="E1" t="s">
        <v>1282</v>
      </c>
      <c r="F1" t="s">
        <v>1281</v>
      </c>
    </row>
    <row r="2" spans="2:6" x14ac:dyDescent="0.25">
      <c r="B2" t="s">
        <v>1229</v>
      </c>
      <c r="C2" s="182">
        <v>1216000</v>
      </c>
      <c r="D2" s="182">
        <v>1207405.8900000006</v>
      </c>
      <c r="E2" s="182">
        <v>8594.109999999404</v>
      </c>
      <c r="F2" s="182">
        <v>13937348.779999999</v>
      </c>
    </row>
    <row r="3" spans="2:6" x14ac:dyDescent="0.25">
      <c r="B3" t="s">
        <v>1283</v>
      </c>
      <c r="C3" s="182">
        <v>2441000</v>
      </c>
      <c r="D3" s="182">
        <v>2391834.9400000051</v>
      </c>
      <c r="E3" s="182">
        <v>49165.059999994934</v>
      </c>
      <c r="F3" s="182">
        <v>58281472.409999996</v>
      </c>
    </row>
    <row r="4" spans="2:6" x14ac:dyDescent="0.25">
      <c r="B4" t="s">
        <v>1223</v>
      </c>
      <c r="C4" s="182">
        <v>980000</v>
      </c>
      <c r="D4" s="182">
        <v>971857.97999999858</v>
      </c>
      <c r="E4" s="182">
        <v>8142.0200000014156</v>
      </c>
      <c r="F4" s="182">
        <v>12674339.050000001</v>
      </c>
    </row>
    <row r="5" spans="2:6" x14ac:dyDescent="0.25">
      <c r="B5" t="s">
        <v>1231</v>
      </c>
      <c r="C5" s="182">
        <v>670000</v>
      </c>
      <c r="D5" s="182">
        <v>626870.95999999344</v>
      </c>
      <c r="E5" s="182">
        <v>43129.040000006557</v>
      </c>
      <c r="F5" s="182">
        <v>79885629.010000005</v>
      </c>
    </row>
    <row r="6" spans="2:6" x14ac:dyDescent="0.25">
      <c r="B6" t="s">
        <v>1225</v>
      </c>
      <c r="C6" s="182">
        <v>1034000</v>
      </c>
      <c r="D6" s="182">
        <v>1024991.6599999983</v>
      </c>
      <c r="E6" s="182">
        <v>9008.3400000017136</v>
      </c>
      <c r="F6" s="182">
        <v>14201795.960000001</v>
      </c>
    </row>
    <row r="7" spans="2:6" x14ac:dyDescent="0.25">
      <c r="B7" t="s">
        <v>1221</v>
      </c>
      <c r="C7" s="182">
        <v>2477000</v>
      </c>
      <c r="D7" s="182">
        <v>2458316.7300000004</v>
      </c>
      <c r="E7" s="182">
        <v>18683.269999999553</v>
      </c>
      <c r="F7" s="182">
        <v>30382557</v>
      </c>
    </row>
    <row r="8" spans="2:6" x14ac:dyDescent="0.25">
      <c r="B8" t="s">
        <v>1222</v>
      </c>
      <c r="C8" s="182">
        <v>3630000</v>
      </c>
      <c r="D8" s="182">
        <v>3600722.8999999985</v>
      </c>
      <c r="E8" s="182">
        <v>29277.10000000149</v>
      </c>
      <c r="F8" s="182">
        <v>44018411.509999998</v>
      </c>
    </row>
    <row r="9" spans="2:6" x14ac:dyDescent="0.25">
      <c r="B9" t="s">
        <v>1217</v>
      </c>
      <c r="C9" s="182">
        <v>5750324</v>
      </c>
      <c r="D9" s="182">
        <v>4839732</v>
      </c>
      <c r="E9" s="182">
        <v>910592</v>
      </c>
      <c r="F9" s="182">
        <v>368979159</v>
      </c>
    </row>
    <row r="10" spans="2:6" x14ac:dyDescent="0.25">
      <c r="B10" t="s">
        <v>1218</v>
      </c>
      <c r="C10" s="182">
        <v>1464000</v>
      </c>
      <c r="D10" s="182">
        <v>1453956.4000000004</v>
      </c>
      <c r="E10" s="182">
        <v>10043.599999999627</v>
      </c>
      <c r="F10" s="182">
        <v>15506854.619999999</v>
      </c>
    </row>
    <row r="14" spans="2:6" x14ac:dyDescent="0.25">
      <c r="B14" t="s">
        <v>1279</v>
      </c>
      <c r="C14" t="s">
        <v>1277</v>
      </c>
    </row>
    <row r="15" spans="2:6" x14ac:dyDescent="0.25">
      <c r="C15">
        <v>20220502</v>
      </c>
    </row>
    <row r="16" spans="2:6" x14ac:dyDescent="0.25">
      <c r="C16">
        <v>20220504</v>
      </c>
    </row>
    <row r="17" spans="3:3" x14ac:dyDescent="0.25">
      <c r="C17">
        <v>20220426</v>
      </c>
    </row>
    <row r="18" spans="3:3" x14ac:dyDescent="0.25">
      <c r="C18">
        <v>20220425</v>
      </c>
    </row>
    <row r="19" spans="3:3" x14ac:dyDescent="0.25">
      <c r="C19">
        <v>20220425</v>
      </c>
    </row>
    <row r="20" spans="3:3" x14ac:dyDescent="0.25">
      <c r="C20">
        <v>20220504</v>
      </c>
    </row>
    <row r="21" spans="3:3" x14ac:dyDescent="0.25">
      <c r="C21">
        <v>20220502</v>
      </c>
    </row>
    <row r="22" spans="3:3" x14ac:dyDescent="0.25">
      <c r="C22">
        <v>20220425</v>
      </c>
    </row>
    <row r="23" spans="3:3" x14ac:dyDescent="0.25">
      <c r="C23">
        <v>20220422</v>
      </c>
    </row>
    <row r="24" spans="3:3" x14ac:dyDescent="0.25">
      <c r="C24">
        <v>20220518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2</vt:i4>
      </vt:variant>
    </vt:vector>
  </HeadingPairs>
  <TitlesOfParts>
    <vt:vector size="13" baseType="lpstr">
      <vt:lpstr>inicio</vt:lpstr>
      <vt:lpstr>pagos</vt:lpstr>
      <vt:lpstr>Fecha de hoy</vt:lpstr>
      <vt:lpstr>Retenciones</vt:lpstr>
      <vt:lpstr>Terceros</vt:lpstr>
      <vt:lpstr>F.Proveedores</vt:lpstr>
      <vt:lpstr>USD</vt:lpstr>
      <vt:lpstr>Reporte</vt:lpstr>
      <vt:lpstr>Financiación</vt:lpstr>
      <vt:lpstr>Financiadores</vt:lpstr>
      <vt:lpstr>Hoja1</vt:lpstr>
      <vt:lpstr>pagos!Área_de_extracción</vt:lpstr>
      <vt:lpstr>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administracion</cp:lastModifiedBy>
  <cp:lastPrinted>2022-05-03T16:34:36Z</cp:lastPrinted>
  <dcterms:created xsi:type="dcterms:W3CDTF">2019-09-20T14:37:58Z</dcterms:created>
  <dcterms:modified xsi:type="dcterms:W3CDTF">2022-05-04T00:14:27Z</dcterms:modified>
</cp:coreProperties>
</file>