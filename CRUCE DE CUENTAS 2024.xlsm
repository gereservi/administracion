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INFO\PERSONAL\"/>
    </mc:Choice>
  </mc:AlternateContent>
  <xr:revisionPtr revIDLastSave="0" documentId="13_ncr:1_{89AFA4F3-5673-48DB-88C3-CD167E39F29C}" xr6:coauthVersionLast="47" xr6:coauthVersionMax="47" xr10:uidLastSave="{00000000-0000-0000-0000-000000000000}"/>
  <bookViews>
    <workbookView xWindow="-120" yWindow="-120" windowWidth="29040" windowHeight="15720" activeTab="12" xr2:uid="{6AB722B6-8B72-482D-BB8C-03BCF126B6C0}"/>
  </bookViews>
  <sheets>
    <sheet name="Resumen" sheetId="60" r:id="rId1"/>
    <sheet name="ENE24" sheetId="50" r:id="rId2"/>
    <sheet name="FEB24" sheetId="17" r:id="rId3"/>
    <sheet name="MAR24" sheetId="52" r:id="rId4"/>
    <sheet name="ABRIL24" sheetId="54" r:id="rId5"/>
    <sheet name="MAY24" sheetId="55" r:id="rId6"/>
    <sheet name="JUN 24 " sheetId="56" r:id="rId7"/>
    <sheet name="JUL 24" sheetId="57" r:id="rId8"/>
    <sheet name="AGO 24" sheetId="58" r:id="rId9"/>
    <sheet name="SEP 24 " sheetId="61" r:id="rId10"/>
    <sheet name="OCT 24  " sheetId="62" r:id="rId11"/>
    <sheet name="NOV 24" sheetId="63" r:id="rId12"/>
    <sheet name="DIC 24" sheetId="64" r:id="rId13"/>
    <sheet name="ENE 25" sheetId="65" r:id="rId14"/>
  </sheets>
  <definedNames>
    <definedName name="_xlnm.Print_Area" localSheetId="4">ABRIL24!$A$1:$E$39</definedName>
    <definedName name="_xlnm.Print_Area" localSheetId="8">'AGO 24'!$A$1:$E$39</definedName>
    <definedName name="_xlnm.Print_Area" localSheetId="12">'DIC 24'!$A$1:$E$39</definedName>
    <definedName name="_xlnm.Print_Area" localSheetId="13">'ENE 25'!$A$1:$E$39</definedName>
    <definedName name="_xlnm.Print_Area" localSheetId="2">'FEB24'!$A$1:$E$39</definedName>
    <definedName name="_xlnm.Print_Area" localSheetId="7">'JUL 24'!$A$1:$E$39</definedName>
    <definedName name="_xlnm.Print_Area" localSheetId="6">'JUN 24 '!$A$1:$E$39</definedName>
    <definedName name="_xlnm.Print_Area" localSheetId="3">'MAR24'!$A$1:$E$39</definedName>
    <definedName name="_xlnm.Print_Area" localSheetId="5">'MAY24'!$A$1:$E$39</definedName>
    <definedName name="_xlnm.Print_Area" localSheetId="11">'NOV 24'!$A$1:$E$39</definedName>
    <definedName name="_xlnm.Print_Area" localSheetId="10">'OCT 24  '!$A$1:$E$39</definedName>
    <definedName name="_xlnm.Print_Area" localSheetId="9">'SEP 24 '!$A$1:$E$39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60" l="1"/>
  <c r="B11" i="64" l="1"/>
  <c r="B15" i="64" l="1"/>
  <c r="E5" i="65" l="1"/>
  <c r="B5" i="65"/>
  <c r="B3" i="65" s="1"/>
  <c r="C3" i="65" s="1"/>
  <c r="C2" i="65"/>
  <c r="A1" i="65" a="1"/>
  <c r="A1" i="65" s="1"/>
  <c r="B5" i="64"/>
  <c r="D15" i="60" s="1"/>
  <c r="E5" i="64"/>
  <c r="F15" i="60" s="1"/>
  <c r="C2" i="64"/>
  <c r="A1" i="64" a="1"/>
  <c r="A1" i="64" s="1"/>
  <c r="K14" i="60"/>
  <c r="B3" i="64" l="1"/>
  <c r="C3" i="64" s="1"/>
  <c r="B19" i="63"/>
  <c r="B11" i="63"/>
  <c r="E18" i="63"/>
  <c r="E17" i="63"/>
  <c r="B15" i="63" l="1"/>
  <c r="B8" i="63"/>
  <c r="B5" i="63"/>
  <c r="D14" i="60" s="1"/>
  <c r="K13" i="60"/>
  <c r="D13" i="60"/>
  <c r="F12" i="60"/>
  <c r="D12" i="60"/>
  <c r="B2" i="62"/>
  <c r="B2" i="61"/>
  <c r="B2" i="58"/>
  <c r="E5" i="63"/>
  <c r="F14" i="60" s="1"/>
  <c r="A1" i="63" a="1"/>
  <c r="A1" i="63" s="1"/>
  <c r="E23" i="62"/>
  <c r="B15" i="62"/>
  <c r="B19" i="62"/>
  <c r="B18" i="62"/>
  <c r="B5" i="62" s="1"/>
  <c r="E5" i="62"/>
  <c r="F13" i="60" s="1"/>
  <c r="C2" i="62"/>
  <c r="A1" i="62" a="1"/>
  <c r="A1" i="62" s="1"/>
  <c r="B15" i="61"/>
  <c r="F17" i="60" l="1"/>
  <c r="D17" i="60"/>
  <c r="B3" i="62"/>
  <c r="B11" i="61"/>
  <c r="C3" i="62" l="1"/>
  <c r="B2" i="63"/>
  <c r="B5" i="61"/>
  <c r="E5" i="61"/>
  <c r="C2" i="61"/>
  <c r="A1" i="61" a="1"/>
  <c r="A1" i="61" s="1"/>
  <c r="E9" i="55"/>
  <c r="B14" i="58"/>
  <c r="C2" i="63" l="1"/>
  <c r="B3" i="63"/>
  <c r="C3" i="63" s="1"/>
  <c r="B3" i="61"/>
  <c r="C3" i="61" s="1"/>
  <c r="B11" i="58"/>
  <c r="B19" i="58" l="1"/>
  <c r="I6" i="60"/>
  <c r="I12" i="60"/>
  <c r="I13" i="60"/>
  <c r="I14" i="60"/>
  <c r="I15" i="60"/>
  <c r="I16" i="60"/>
  <c r="B2" i="55"/>
  <c r="B2" i="54"/>
  <c r="B2" i="52"/>
  <c r="B25" i="57"/>
  <c r="B21" i="56"/>
  <c r="F10" i="60"/>
  <c r="F9" i="60"/>
  <c r="D8" i="60"/>
  <c r="F7" i="60"/>
  <c r="D7" i="60"/>
  <c r="I7" i="60" s="1"/>
  <c r="F6" i="60"/>
  <c r="D6" i="60"/>
  <c r="F5" i="60"/>
  <c r="I5" i="60" s="1"/>
  <c r="D5" i="60"/>
  <c r="F4" i="60"/>
  <c r="D4" i="60"/>
  <c r="J4" i="60" s="1"/>
  <c r="J5" i="60" s="1"/>
  <c r="J6" i="60" s="1"/>
  <c r="J7" i="60" s="1"/>
  <c r="B24" i="57"/>
  <c r="B20" i="56"/>
  <c r="B36" i="54"/>
  <c r="B28" i="52"/>
  <c r="B26" i="17"/>
  <c r="I4" i="60" l="1"/>
  <c r="E5" i="58"/>
  <c r="B5" i="58"/>
  <c r="D11" i="60" s="1"/>
  <c r="C2" i="58"/>
  <c r="A1" i="58" a="1"/>
  <c r="A1" i="58" s="1"/>
  <c r="B6" i="56"/>
  <c r="E5" i="57"/>
  <c r="B5" i="57"/>
  <c r="D10" i="60" s="1"/>
  <c r="I10" i="60" s="1"/>
  <c r="A1" i="57" a="1"/>
  <c r="A1" i="57" s="1"/>
  <c r="F11" i="60" l="1"/>
  <c r="I11" i="60" s="1"/>
  <c r="B3" i="58"/>
  <c r="C3" i="58" s="1"/>
  <c r="E5" i="56"/>
  <c r="B5" i="56"/>
  <c r="D9" i="60" s="1"/>
  <c r="A1" i="56" a="1"/>
  <c r="A1" i="56" s="1"/>
  <c r="E5" i="55"/>
  <c r="F8" i="60" s="1"/>
  <c r="B5" i="55"/>
  <c r="C2" i="55"/>
  <c r="A1" i="55" a="1"/>
  <c r="A1" i="55" s="1"/>
  <c r="E5" i="54"/>
  <c r="B5" i="54"/>
  <c r="C2" i="54"/>
  <c r="A1" i="54" a="1"/>
  <c r="A1" i="54" s="1"/>
  <c r="B5" i="52"/>
  <c r="E11" i="52"/>
  <c r="E5" i="52" s="1"/>
  <c r="C2" i="52"/>
  <c r="A1" i="52" a="1"/>
  <c r="A1" i="52" s="1"/>
  <c r="E5" i="50"/>
  <c r="B5" i="50"/>
  <c r="A1" i="50" a="1"/>
  <c r="A1" i="50" s="1"/>
  <c r="C2" i="17"/>
  <c r="E5" i="17"/>
  <c r="B5" i="17"/>
  <c r="A1" i="17" a="1"/>
  <c r="A1" i="17" s="1"/>
  <c r="C2" i="50"/>
  <c r="I8" i="60" l="1"/>
  <c r="J8" i="60"/>
  <c r="J9" i="60"/>
  <c r="J10" i="60" s="1"/>
  <c r="J11" i="60" s="1"/>
  <c r="J12" i="60" s="1"/>
  <c r="J13" i="60" s="1"/>
  <c r="J14" i="60" s="1"/>
  <c r="J15" i="60" s="1"/>
  <c r="J16" i="60" s="1"/>
  <c r="I9" i="60"/>
  <c r="B3" i="55"/>
  <c r="B3" i="50"/>
  <c r="C3" i="50" s="1"/>
  <c r="B3" i="54"/>
  <c r="C3" i="54" s="1"/>
  <c r="B3" i="17"/>
  <c r="C3" i="17" s="1"/>
  <c r="B3" i="52"/>
  <c r="C3" i="52" s="1"/>
  <c r="C3" i="55" l="1"/>
  <c r="B2" i="56"/>
  <c r="E19" i="60"/>
  <c r="C2" i="56" l="1"/>
  <c r="B3" i="56"/>
  <c r="C3" i="56" l="1"/>
  <c r="B2" i="57"/>
  <c r="C2" i="57" l="1"/>
  <c r="B3" i="57"/>
  <c r="C3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<sst xmlns="http://schemas.openxmlformats.org/spreadsheetml/2006/main" count="517" uniqueCount="257">
  <si>
    <t>seguridad social</t>
  </si>
  <si>
    <t>NICOMAR</t>
  </si>
  <si>
    <t>credito bancolombia</t>
  </si>
  <si>
    <t>Seguro sura empleados</t>
  </si>
  <si>
    <t>TC 8338</t>
  </si>
  <si>
    <t>Interes ME</t>
  </si>
  <si>
    <t>Mensajeria SANTA 17</t>
  </si>
  <si>
    <t>Mensajeria SANTA 02</t>
  </si>
  <si>
    <t>SANTIAGO ALARMAR 02</t>
  </si>
  <si>
    <t>interes abogado</t>
  </si>
  <si>
    <t>CONSIGNACION ML</t>
  </si>
  <si>
    <t>CONSIGNACION MY</t>
  </si>
  <si>
    <t>CONSIGNACION LC</t>
  </si>
  <si>
    <t>CONSIGNACION PN</t>
  </si>
  <si>
    <t xml:space="preserve">SANTIAGO ALARMAR </t>
  </si>
  <si>
    <t>SANTIAGO ALARMAR 01</t>
  </si>
  <si>
    <t>BASE 03</t>
  </si>
  <si>
    <t>base 04</t>
  </si>
  <si>
    <t>CONSIGNACION EFECTIVO PUNTOS</t>
  </si>
  <si>
    <t>TRANSFE GIRLE DE LA LC</t>
  </si>
  <si>
    <t>CONSIGNACION SILVIA</t>
  </si>
  <si>
    <t>admon la central</t>
  </si>
  <si>
    <t>cmision giro financiado kenex</t>
  </si>
  <si>
    <t>VENTA DE MOLINOS</t>
  </si>
  <si>
    <t>COMISION APERTURA DE CREDITO ME</t>
  </si>
  <si>
    <t>CANCELACION DE CREDITO ME</t>
  </si>
  <si>
    <t>tarjetas wompi del mes</t>
  </si>
  <si>
    <t>WIDEX 8944 8945</t>
  </si>
  <si>
    <t>reversion fondo de garantias</t>
  </si>
  <si>
    <t>ventas institu pagadas en davivi</t>
  </si>
  <si>
    <t>VENTA DE SANDIEGO</t>
  </si>
  <si>
    <t>pago duncan 5042201</t>
  </si>
  <si>
    <t>pago nacional de pilas  32766 32866 32205</t>
  </si>
  <si>
    <t>SEGURIDAD SOCIAL FINCA</t>
  </si>
  <si>
    <t>TRASLADO X CESANTIAS</t>
  </si>
  <si>
    <t>Pago IVA enero 15</t>
  </si>
  <si>
    <t>PAGO SEGURIDAD SOCIAL</t>
  </si>
  <si>
    <t>FV-3-10862</t>
  </si>
  <si>
    <t>FV-3-10929</t>
  </si>
  <si>
    <t>FV-3-10935</t>
  </si>
  <si>
    <t>FV-3-11063</t>
  </si>
  <si>
    <t> PAGO INTERBANC ENDRESS HAUSER</t>
  </si>
  <si>
    <t> PAGO A PROVE Logimex LOGISTI</t>
  </si>
  <si>
    <t> MORA TARJETA VISA PESOS TC 8338</t>
  </si>
  <si>
    <t> PAGO PSE IMPUESTO DIAN</t>
  </si>
  <si>
    <t> PAGO CUOTA CREDITO BANCOL</t>
  </si>
  <si>
    <t> CONSIGNACION CORRESPONSAL CB lc</t>
  </si>
  <si>
    <t>LC</t>
  </si>
  <si>
    <t xml:space="preserve"> PAGA FACIL LOS MOLINOS</t>
  </si>
  <si>
    <t>PN</t>
  </si>
  <si>
    <t> COMISION GARAN</t>
  </si>
  <si>
    <t> PAGO A PROV 11 TECHNOLOGIES SA</t>
  </si>
  <si>
    <t>Saldo inicial del mes</t>
  </si>
  <si>
    <t>Saldo final del mes</t>
  </si>
  <si>
    <t>SANTIAGO ALARMAR FEB 02</t>
  </si>
  <si>
    <t>ABAJO SANTA MENSAJERIA</t>
  </si>
  <si>
    <t>SANTIAGO ALARMAR FEB 28</t>
  </si>
  <si>
    <t>ABONO TC VISA 8338</t>
  </si>
  <si>
    <t>PE SURAMERICANA</t>
  </si>
  <si>
    <t>CARPA - CASILLERO</t>
  </si>
  <si>
    <t>DILOY COLOMBIA</t>
  </si>
  <si>
    <t>DISTRIBUIDORA VAMOS</t>
  </si>
  <si>
    <t>DISUIZA</t>
  </si>
  <si>
    <t>LA CENTRAL admistración X@</t>
  </si>
  <si>
    <t>Q&amp;Q COLBATTERIES SAS</t>
  </si>
  <si>
    <t>SANTA BARBARA DISTRONIK</t>
  </si>
  <si>
    <t>SAYER - YERMIN</t>
  </si>
  <si>
    <t>SURA X@</t>
  </si>
  <si>
    <t>nomina y seguridad social de
Andrés, Jaime, Dayana y Santiago</t>
  </si>
  <si>
    <t>nómina y seguridad social de
Andrés, Jaime, Dayana y Santiago</t>
  </si>
  <si>
    <t>Seguro SURA 1</t>
  </si>
  <si>
    <t>Seguro SURA 2</t>
  </si>
  <si>
    <t xml:space="preserve">wompi VISA Y AMEX </t>
  </si>
  <si>
    <t>traslados hacia bancolombia cc</t>
  </si>
  <si>
    <t>cuota crédito bancolombia 9360</t>
  </si>
  <si>
    <t>traslados desde bancolombia cc</t>
  </si>
  <si>
    <t>Comisiones santiago alarmar</t>
  </si>
  <si>
    <t>Mesajería Santa</t>
  </si>
  <si>
    <t>LOGIMEX KENEX</t>
  </si>
  <si>
    <t>VYP  P.A MERCURIO X@</t>
  </si>
  <si>
    <t>CONSTRUCCIONES Y BIENES X@</t>
  </si>
  <si>
    <t>HYR</t>
  </si>
  <si>
    <t>TUSPILAS.CO</t>
  </si>
  <si>
    <t>traslados desde bancolombia corriente hacia ahorros</t>
  </si>
  <si>
    <t>traslados desde bancolombia ahorros hacia corriente</t>
  </si>
  <si>
    <t>PAGO CUOTA CREDITO BANCOL CESANTIAS</t>
  </si>
  <si>
    <t>PAGO PSE Banco Davivienda S.A 5101</t>
  </si>
  <si>
    <t>TARJETA VISA PESOS</t>
  </si>
  <si>
    <t>TARJETA AMEX DOLAR</t>
  </si>
  <si>
    <t>11 TECHNOLOGIES</t>
  </si>
  <si>
    <t>GLORIA CECILILA ESTRADA</t>
  </si>
  <si>
    <t>TRONEX</t>
  </si>
  <si>
    <t>Traslado de fondos para ajuste nomina marzo 26</t>
  </si>
  <si>
    <t>ok hasta MAR 30</t>
  </si>
  <si>
    <t>MOLINOS administración X@</t>
  </si>
  <si>
    <t>WIDEX</t>
  </si>
  <si>
    <t>ISMART ELECTRONICS</t>
  </si>
  <si>
    <t>GIRAG SAS</t>
  </si>
  <si>
    <t>NACIONAL DE PILAS PANASONIC</t>
  </si>
  <si>
    <t>CTOF CASIO</t>
  </si>
  <si>
    <t>CESANTIAS</t>
  </si>
  <si>
    <t>INTERESES CESANTIAS</t>
  </si>
  <si>
    <t>POWER SONIC</t>
  </si>
  <si>
    <t>KENEX</t>
  </si>
  <si>
    <t>Comisiones santiago alarmar ABR 15</t>
  </si>
  <si>
    <t>ABAJO ALIEXPRESS</t>
  </si>
  <si>
    <t>ABAJO NALPI</t>
  </si>
  <si>
    <t>Consignaciones de almacenes en CC</t>
  </si>
  <si>
    <t>retiro de cc para pagar corresponsal</t>
  </si>
  <si>
    <t>INSTITUCIONALES DEBE A ALMACENES</t>
  </si>
  <si>
    <t>ALMACENES DEBE A INSTITUCIONALES</t>
  </si>
  <si>
    <t>AMG</t>
  </si>
  <si>
    <t>LOGIMEX - KENEX</t>
  </si>
  <si>
    <t>sapian X@</t>
  </si>
  <si>
    <t>TIGO FIJO X@</t>
  </si>
  <si>
    <t>ABAJO CONTADO</t>
  </si>
  <si>
    <t>Comisiones santiago alarmar mayo</t>
  </si>
  <si>
    <t>IMPUESTOS IVA RENTA Y RETE</t>
  </si>
  <si>
    <t>pago ajuste seguridad social mayo2020</t>
  </si>
  <si>
    <t>PROVECOL</t>
  </si>
  <si>
    <t>DIAN - BATTERY STORE</t>
  </si>
  <si>
    <t>INGENELCO SAS</t>
  </si>
  <si>
    <t>DUNCAN</t>
  </si>
  <si>
    <t>REVO COLOMBIA SAS</t>
  </si>
  <si>
    <t>ABAJO GLORIA CECILILA ESTRADA</t>
  </si>
  <si>
    <t>Comisiones santiago alarmar junio</t>
  </si>
  <si>
    <t xml:space="preserve">nómina y seguridad social de
Andrés, Jaime, Dayana y Santiago </t>
  </si>
  <si>
    <t>Prima institucionales Andrés, Jaime,Daya y Santiago</t>
  </si>
  <si>
    <t>PAGO RECIBIDO COINTEK EN DAVIVIENDA</t>
  </si>
  <si>
    <t>PAGO RECIBIDO TECSERVICE EN DAVIVIENDA</t>
  </si>
  <si>
    <t>PAGO RECIBIDO DE ORDAZ EN DAVIVIENDA</t>
  </si>
  <si>
    <t>PAGO RECIBIDO PYP MEDIOS EN DAVIVIENDA</t>
  </si>
  <si>
    <t>SURTI EXPRESS</t>
  </si>
  <si>
    <t>traslados desde bancolombia cc para ajustar pago tronex</t>
  </si>
  <si>
    <t>Comisiones santiago alarmar julio</t>
  </si>
  <si>
    <t>DICIEMBRE</t>
  </si>
  <si>
    <t>NOVIEMBRE</t>
  </si>
  <si>
    <t>OCTUBRE</t>
  </si>
  <si>
    <t>SEPTIEMBRE</t>
  </si>
  <si>
    <t>AGOSTO</t>
  </si>
  <si>
    <t>JULIO</t>
  </si>
  <si>
    <t>JUNIO</t>
  </si>
  <si>
    <t>MAYO</t>
  </si>
  <si>
    <t>ABRIL</t>
  </si>
  <si>
    <t>MARZO</t>
  </si>
  <si>
    <t>FEBRERO</t>
  </si>
  <si>
    <t>ENERO</t>
  </si>
  <si>
    <t>SALDO INICIAL</t>
  </si>
  <si>
    <t>DEUDA ALMACENES</t>
  </si>
  <si>
    <t>DIFERENCIA</t>
  </si>
  <si>
    <t>pago incapacidad Claudia Jimenez</t>
  </si>
  <si>
    <t>pago incapacidad Jorge Ivan Escobar</t>
  </si>
  <si>
    <t xml:space="preserve">reembolso caja menor junio y julio </t>
  </si>
  <si>
    <t>reembolso caja menor</t>
  </si>
  <si>
    <t>traslados hacia bancolombia cc para ajustar pago kenex</t>
  </si>
  <si>
    <t>RETENCION EN LA FUENTE 40%</t>
  </si>
  <si>
    <t>PAGOS REALIZADOS X INSTITUCIONALES Y DEBEN A LOS ALMACENES</t>
  </si>
  <si>
    <t>REEMBOLSO CAJA MENOR</t>
  </si>
  <si>
    <t>PAGOS REALIZADOS X ALMACENES Y DEBEN A LOS INSTITUCIONALES</t>
  </si>
  <si>
    <t>CONSIG PARA PAGO KENEX</t>
  </si>
  <si>
    <t>COBRO 4 X MIL KENEX</t>
  </si>
  <si>
    <t>COBRO SWIFT KENEX</t>
  </si>
  <si>
    <t>PAGO KENEX</t>
  </si>
  <si>
    <t>COMISION FNG PAGO DOLARES KENEX</t>
  </si>
  <si>
    <t>CONSIG PARA PAGO INTERCONTINENTAL</t>
  </si>
  <si>
    <t>PAGO FRA INTERCONTINENTAL PANAMÁ</t>
  </si>
  <si>
    <t>COBRO SWIFT INTERCONTINENTAL</t>
  </si>
  <si>
    <t>COBRO 4 X MIL INTERCONTINENTAL</t>
  </si>
  <si>
    <t xml:space="preserve">traslados desde bancolombia cc para </t>
  </si>
  <si>
    <t>Interes ME 1</t>
  </si>
  <si>
    <t>Interes ME 2</t>
  </si>
  <si>
    <t>PROPERTY MARKETING X@</t>
  </si>
  <si>
    <t>VENTA DE SANDIEGO NO FUNCIONO EL DATAFONO #2391</t>
  </si>
  <si>
    <t>Mesajería Santa del 16 al 30 ago</t>
  </si>
  <si>
    <t>Mesajería Santa del 1 al 15 ago</t>
  </si>
  <si>
    <t>Mesajería Santa del 16 al 30 jul</t>
  </si>
  <si>
    <t>VENTA DE INSITUCIONALES CONDATAFONO BOLD</t>
  </si>
  <si>
    <t>PAGO TRANSPORTE INTERCONTINENTAL PANAMÁ (PAGADO CON LA TC DE INSTITUCIONALES</t>
  </si>
  <si>
    <t>GEMA DISTRIBUCIONES Y SERVICIOS SAS (BATERIAS QUE PIDIO JORGE ANDRES PARA UNA VENTA DE JAIME)</t>
  </si>
  <si>
    <t>IMPUESTO INDUSTRIA Y COMERCION 30%</t>
  </si>
  <si>
    <t>50% DEL PAGO A REMARCA ($3.853.000)</t>
  </si>
  <si>
    <t>Anticipo Logimex Intercontinental Zona Libre Panamá</t>
  </si>
  <si>
    <t>Comisiones santiago alarmar Agosto</t>
  </si>
  <si>
    <t>Traslado de ahorros hacia corriente para pago de iva</t>
  </si>
  <si>
    <t>Comisiones santiago alarmar de ago pagados en Sep</t>
  </si>
  <si>
    <t>Pago del IVA + Rete fte  38%</t>
  </si>
  <si>
    <t>Pago de Iva</t>
  </si>
  <si>
    <t>Pago arreglo de agua sep</t>
  </si>
  <si>
    <t>pago dos fras HYR</t>
  </si>
  <si>
    <t>Venta con Data Bold FV-3-12754 ingreso a la cta de ahorros</t>
  </si>
  <si>
    <t>Ajuste pago TCC Envío</t>
  </si>
  <si>
    <t>Mesajería Santa del 1 al 15 sep</t>
  </si>
  <si>
    <t>Devolucion Bater Cell</t>
  </si>
  <si>
    <t>Mesajería Santa del 16 al 30 sep</t>
  </si>
  <si>
    <t>compra de dolares a Jaime</t>
  </si>
  <si>
    <t>PRESTAMO PARA PAGAR ALQUILERES</t>
  </si>
  <si>
    <t>FRA 12754 CON EL DATAFONO BOLD</t>
  </si>
  <si>
    <t>Mesajería Santa del 1 al 15 OCT</t>
  </si>
  <si>
    <t>Mesajería Santa del 16 al 30 OCT</t>
  </si>
  <si>
    <t>PAGO DOS FRAS DW</t>
  </si>
  <si>
    <t>PAGO TIGO FIJO X@</t>
  </si>
  <si>
    <t>50% RETENCION EN LA FUENTE</t>
  </si>
  <si>
    <t xml:space="preserve">LIQUIDACION DAYANA </t>
  </si>
  <si>
    <t>Comisiones santiago alarmar de ago pagados en OCT</t>
  </si>
  <si>
    <t xml:space="preserve">pago excedente a logimex </t>
  </si>
  <si>
    <t>RUSBEL FRA OFICIAL</t>
  </si>
  <si>
    <t>NACIONAL DE PILAS</t>
  </si>
  <si>
    <t>traslados desde bancol CTE para PAGO ALQUILERES</t>
  </si>
  <si>
    <t>VENTA DE BATERIA EN EL HUECO</t>
  </si>
  <si>
    <t>Devolcion retencion no practicada Electroinstrumentacion</t>
  </si>
  <si>
    <t>Devolucion Erika (institu) saldo a favor</t>
  </si>
  <si>
    <t xml:space="preserve">Devolucion Gema (institu) retencion </t>
  </si>
  <si>
    <t>Devolucion Punto electrico (instiu) saldo a favor</t>
  </si>
  <si>
    <t>Devolucion Cindy (institu) no habia lo q pidio</t>
  </si>
  <si>
    <t>Comisiones santiago alarmar de OCT pagados en NOV</t>
  </si>
  <si>
    <t>Mesajería Santa del 1 al 15 NOV</t>
  </si>
  <si>
    <t>Devolucion Rte Fte a Becor (pago sin practircar la retención)</t>
  </si>
  <si>
    <t>PAGOS DE FRAS INSITU RECIBIDOS EN BCS</t>
  </si>
  <si>
    <t>PAGOS DE FRAS INSITU RECIBIDOS EN DAVI</t>
  </si>
  <si>
    <t>PAGO A TRONEX CARGADORES</t>
  </si>
  <si>
    <t>nómina y seguridad social de
Andrés, Jaime, Dayana, Santiago y JuanG</t>
  </si>
  <si>
    <t>traslados desde bancol CTE para</t>
  </si>
  <si>
    <t>prestamo del efec provecol</t>
  </si>
  <si>
    <t>prestamo para pagar el correspo</t>
  </si>
  <si>
    <t>Almacenes le debe a Institu</t>
  </si>
  <si>
    <t>Instituciones le debe alma</t>
  </si>
  <si>
    <t>Institu le debe alma</t>
  </si>
  <si>
    <t>Pago retencion en la fuente</t>
  </si>
  <si>
    <t>PAGO TIGO MOVIL</t>
  </si>
  <si>
    <t>COMPRA ALIEXPRESS DANIEL PRESTO P CON TC Y SE LE CONSIG  EL 5 NOV</t>
  </si>
  <si>
    <t>Pago Banimported (llaveros)</t>
  </si>
  <si>
    <t>PROVECOL Institu pagado de la de ahorros el sabado</t>
  </si>
  <si>
    <t>Admon La Central</t>
  </si>
  <si>
    <t>Liquidacion Santiago Cardona</t>
  </si>
  <si>
    <t>PAGO IMPUESTOS KENEX</t>
  </si>
  <si>
    <t>PAGO IMPOCARGA KENEX</t>
  </si>
  <si>
    <t>PAGO A DISUIZA</t>
  </si>
  <si>
    <t>Pago Surtiexpress</t>
  </si>
  <si>
    <t>Venta de insti datafono Bold (entro a la de ahorros)</t>
  </si>
  <si>
    <t>Mesajería Santa del 16 al 29NOV</t>
  </si>
  <si>
    <t>60% de la retencion en la fuente</t>
  </si>
  <si>
    <t>nómina y seguridad social de
Andrés, Jaime y JuanG + dias Tamar 468mil</t>
  </si>
  <si>
    <t>Almace debe a inst</t>
  </si>
  <si>
    <t>Consignaciones de almacenes en CC , Se consigno del correspo 5" DIC 5 para ajust ey pago de TC 8338 + 6" del correspon q se consig</t>
  </si>
  <si>
    <t>Mesajería Santa del 1 al 15 dic</t>
  </si>
  <si>
    <t>Mesajería Santa del 16 al 30 dic</t>
  </si>
  <si>
    <t>Compra cel Institu Ventas Juang pagada desde ahorros bancolombia</t>
  </si>
  <si>
    <t>PAGO CARPA + SWIFT</t>
  </si>
  <si>
    <t>PAGO TC 1068 DIC 19</t>
  </si>
  <si>
    <t>PAGO TC 2664 REPUESTOS</t>
  </si>
  <si>
    <t>pago compra aliexpres Daniel</t>
  </si>
  <si>
    <t>PYG YERRY JORDANO GALLO BUILES</t>
  </si>
  <si>
    <t>fra provecol</t>
  </si>
  <si>
    <t>Comisiones santiago alarmar de NOV pagados en DIC</t>
  </si>
  <si>
    <t xml:space="preserve">nómina y seguridad social de
Andrés, Jaime y JuanG +  Tamar </t>
  </si>
  <si>
    <t>PAGO TC 8338</t>
  </si>
  <si>
    <t>corresponde a carpa y tc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</si>
</sst>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\ #,##0;[Red]\-&quot;$&quot;\ #,##0"/>
    <numFmt numFmtId="44" formatCode="_-&quot;$&quot;\ * #,##0.00_-;\-&quot;$&quot;\ * #,##0.00_-;_-&quot;$&quot;\ * &quot;-&quot;??_-;_-@_-"/>
    <numFmt numFmtId="164" formatCode="&quot;$&quot;#,##0_);[Red]\(&quot;$&quot;#,##0\)"/>
    <numFmt numFmtId="165" formatCode="_(&quot;$&quot;* #,##0.00_);_(&quot;$&quot;* \(#,##0.00\);_(&quot;$&quot;* &quot;-&quot;??_);_(@_)"/>
    <numFmt numFmtId="166" formatCode="_-&quot;$&quot;\ * #,##0_-;\-&quot;$&quot;\ * #,##0_-;_-&quot;$&quot;\ 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4"/>
      <name val="Calibri"/>
      <family val="2"/>
      <scheme val="minor"/>
    </font>
    <font>
      <sz val="16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 applyProtection="1">
      <alignment vertical="center"/>
      <protection locked="0"/>
    </xf>
    <xf numFmtId="164" fontId="6" fillId="0" borderId="0" xfId="1" applyNumberFormat="1" applyFont="1" applyFill="1" applyBorder="1" applyAlignment="1" applyProtection="1">
      <alignment horizontal="right" vertical="center"/>
      <protection locked="0"/>
    </xf>
    <xf numFmtId="0" fontId="5" fillId="0" borderId="0" xfId="0" applyFont="1" applyAlignment="1" applyProtection="1">
      <alignment vertical="center"/>
      <protection locked="0"/>
    </xf>
    <xf numFmtId="164" fontId="5" fillId="0" borderId="0" xfId="1" applyNumberFormat="1" applyFont="1" applyFill="1" applyBorder="1" applyAlignment="1" applyProtection="1">
      <alignment horizontal="right" vertical="center"/>
      <protection locked="0"/>
    </xf>
    <xf numFmtId="17" fontId="4" fillId="2" borderId="0" xfId="0" applyNumberFormat="1" applyFont="1" applyFill="1" applyAlignment="1" applyProtection="1">
      <alignment vertical="center" wrapText="1"/>
      <protection locked="0"/>
    </xf>
    <xf numFmtId="164" fontId="4" fillId="2" borderId="0" xfId="1" quotePrefix="1" applyNumberFormat="1" applyFont="1" applyFill="1" applyBorder="1" applyAlignment="1" applyProtection="1">
      <alignment horizontal="right"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164" fontId="4" fillId="2" borderId="0" xfId="1" applyNumberFormat="1" applyFont="1" applyFill="1" applyBorder="1" applyAlignment="1" applyProtection="1">
      <alignment horizontal="right" vertical="center"/>
      <protection locked="0"/>
    </xf>
    <xf numFmtId="17" fontId="4" fillId="2" borderId="0" xfId="0" applyNumberFormat="1" applyFont="1" applyFill="1" applyAlignment="1" applyProtection="1">
      <alignment vertical="center"/>
      <protection locked="0"/>
    </xf>
    <xf numFmtId="164" fontId="4" fillId="0" borderId="0" xfId="1" applyNumberFormat="1" applyFont="1" applyFill="1" applyBorder="1" applyAlignment="1" applyProtection="1">
      <alignment horizontal="right" vertical="center"/>
      <protection locked="0"/>
    </xf>
    <xf numFmtId="166" fontId="9" fillId="0" borderId="0" xfId="0" applyNumberFormat="1" applyFont="1" applyAlignment="1" applyProtection="1">
      <alignment vertical="center"/>
      <protection locked="0"/>
    </xf>
    <xf numFmtId="164" fontId="10" fillId="0" borderId="0" xfId="1" applyNumberFormat="1" applyFont="1" applyFill="1" applyBorder="1" applyAlignment="1" applyProtection="1">
      <alignment horizontal="right" vertical="center"/>
      <protection locked="0"/>
    </xf>
    <xf numFmtId="166" fontId="10" fillId="0" borderId="0" xfId="0" applyNumberFormat="1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164" fontId="6" fillId="0" borderId="0" xfId="1" applyNumberFormat="1" applyFont="1" applyFill="1" applyBorder="1" applyAlignment="1" applyProtection="1">
      <alignment horizontal="right" vertical="center"/>
    </xf>
    <xf numFmtId="166" fontId="6" fillId="0" borderId="0" xfId="0" applyNumberFormat="1" applyFont="1" applyAlignment="1">
      <alignment horizontal="left" vertical="center"/>
    </xf>
    <xf numFmtId="164" fontId="3" fillId="0" borderId="1" xfId="1" applyNumberFormat="1" applyFont="1" applyFill="1" applyBorder="1" applyAlignment="1" applyProtection="1">
      <alignment horizontal="right" vertical="center"/>
    </xf>
    <xf numFmtId="1" fontId="7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164" fontId="5" fillId="0" borderId="0" xfId="1" applyNumberFormat="1" applyFont="1" applyFill="1" applyBorder="1" applyAlignment="1" applyProtection="1">
      <alignment horizontal="right" vertical="center"/>
    </xf>
    <xf numFmtId="0" fontId="2" fillId="0" borderId="0" xfId="0" applyFont="1" applyAlignment="1">
      <alignment vertical="center"/>
    </xf>
    <xf numFmtId="164" fontId="8" fillId="0" borderId="0" xfId="1" applyNumberFormat="1" applyFont="1" applyFill="1" applyBorder="1" applyAlignment="1" applyProtection="1">
      <alignment horizontal="right" vertical="center"/>
    </xf>
    <xf numFmtId="166" fontId="8" fillId="0" borderId="0" xfId="0" applyNumberFormat="1" applyFont="1" applyAlignment="1">
      <alignment horizontal="left" vertical="center"/>
    </xf>
    <xf numFmtId="0" fontId="0" fillId="0" borderId="0" xfId="0" applyAlignment="1">
      <alignment vertical="center"/>
    </xf>
    <xf numFmtId="164" fontId="0" fillId="0" borderId="0" xfId="1" applyNumberFormat="1" applyFont="1" applyFill="1" applyBorder="1" applyAlignment="1" applyProtection="1">
      <alignment horizontal="right" vertical="center"/>
    </xf>
    <xf numFmtId="0" fontId="3" fillId="0" borderId="1" xfId="0" applyFont="1" applyBorder="1" applyAlignment="1">
      <alignment vertical="center"/>
    </xf>
    <xf numFmtId="164" fontId="2" fillId="0" borderId="0" xfId="1" applyNumberFormat="1" applyFont="1" applyFill="1" applyBorder="1" applyAlignment="1" applyProtection="1">
      <alignment horizontal="right" vertical="center"/>
    </xf>
    <xf numFmtId="6" fontId="2" fillId="0" borderId="0" xfId="1" applyNumberFormat="1" applyFont="1" applyFill="1" applyBorder="1" applyAlignment="1" applyProtection="1">
      <alignment horizontal="right" vertical="center"/>
    </xf>
    <xf numFmtId="6" fontId="6" fillId="0" borderId="0" xfId="1" applyNumberFormat="1" applyFont="1" applyFill="1" applyBorder="1" applyAlignment="1" applyProtection="1">
      <alignment horizontal="right" vertical="center"/>
      <protection locked="0"/>
    </xf>
    <xf numFmtId="6" fontId="6" fillId="0" borderId="0" xfId="1" applyNumberFormat="1" applyFont="1" applyFill="1" applyBorder="1" applyAlignment="1" applyProtection="1">
      <alignment horizontal="right" vertical="center"/>
    </xf>
    <xf numFmtId="6" fontId="8" fillId="0" borderId="0" xfId="1" applyNumberFormat="1" applyFont="1" applyFill="1" applyBorder="1" applyAlignment="1" applyProtection="1">
      <alignment horizontal="right" vertical="center"/>
    </xf>
    <xf numFmtId="6" fontId="3" fillId="0" borderId="1" xfId="1" applyNumberFormat="1" applyFont="1" applyFill="1" applyBorder="1" applyAlignment="1" applyProtection="1">
      <alignment horizontal="right" vertical="center"/>
    </xf>
    <xf numFmtId="6" fontId="4" fillId="2" borderId="0" xfId="1" quotePrefix="1" applyNumberFormat="1" applyFont="1" applyFill="1" applyBorder="1" applyAlignment="1" applyProtection="1">
      <alignment horizontal="right" vertical="center"/>
      <protection locked="0"/>
    </xf>
    <xf numFmtId="6" fontId="4" fillId="2" borderId="0" xfId="1" applyNumberFormat="1" applyFont="1" applyFill="1" applyBorder="1" applyAlignment="1" applyProtection="1">
      <alignment horizontal="right" vertical="center"/>
      <protection locked="0"/>
    </xf>
    <xf numFmtId="6" fontId="4" fillId="2" borderId="0" xfId="0" applyNumberFormat="1" applyFont="1" applyFill="1" applyAlignment="1" applyProtection="1">
      <alignment vertical="center"/>
      <protection locked="0"/>
    </xf>
    <xf numFmtId="6" fontId="4" fillId="0" borderId="0" xfId="1" applyNumberFormat="1" applyFont="1" applyFill="1" applyBorder="1" applyAlignment="1" applyProtection="1">
      <alignment horizontal="right" vertical="center"/>
      <protection locked="0"/>
    </xf>
    <xf numFmtId="6" fontId="4" fillId="0" borderId="0" xfId="0" applyNumberFormat="1" applyFont="1" applyAlignment="1" applyProtection="1">
      <alignment vertical="center"/>
      <protection locked="0"/>
    </xf>
    <xf numFmtId="44" fontId="0" fillId="0" borderId="0" xfId="2" applyFont="1"/>
    <xf numFmtId="44" fontId="0" fillId="0" borderId="0" xfId="0" applyNumberFormat="1"/>
    <xf numFmtId="44" fontId="0" fillId="0" borderId="0" xfId="2" applyFont="1" applyBorder="1"/>
    <xf numFmtId="6" fontId="0" fillId="0" borderId="0" xfId="2" applyNumberFormat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44" fontId="3" fillId="4" borderId="0" xfId="2" applyFont="1" applyFill="1"/>
    <xf numFmtId="44" fontId="3" fillId="3" borderId="0" xfId="2" applyFont="1" applyFill="1"/>
    <xf numFmtId="44" fontId="0" fillId="5" borderId="0" xfId="0" applyNumberFormat="1" applyFill="1"/>
    <xf numFmtId="44" fontId="2" fillId="0" borderId="0" xfId="2" applyFont="1"/>
    <xf numFmtId="44" fontId="11" fillId="3" borderId="0" xfId="2" applyFont="1" applyFill="1"/>
    <xf numFmtId="44" fontId="11" fillId="4" borderId="0" xfId="2" applyFont="1" applyFill="1"/>
    <xf numFmtId="44" fontId="0" fillId="6" borderId="0" xfId="0" applyNumberFormat="1" applyFill="1"/>
    <xf numFmtId="44" fontId="0" fillId="7" borderId="0" xfId="0" applyNumberFormat="1" applyFill="1"/>
    <xf numFmtId="0" fontId="12" fillId="0" borderId="0" xfId="0" applyFont="1"/>
    <xf numFmtId="44" fontId="3" fillId="0" borderId="0" xfId="0" applyNumberFormat="1" applyFont="1"/>
    <xf numFmtId="165" fontId="3" fillId="0" borderId="0" xfId="1" applyFont="1"/>
  </cellXfs>
  <cellStyles count="3">
    <cellStyle name="Moneda" xfId="1" builtinId="4"/>
    <cellStyle name="Moneda 2" xfId="2" xr:uid="{2347AA2E-8903-4A72-9C55-D5E46049C935}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AC568E-38E0-4043-93A9-A921FDC62405}"/>
            </a:ext>
          </a:extLst>
        </xdr:cNvPr>
        <xdr:cNvSpPr/>
      </xdr:nvSpPr>
      <xdr:spPr>
        <a:xfrm>
          <a:off x="7172077" y="299831"/>
          <a:ext cx="1205948" cy="380999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FF3565C-BA99-B247-DACB-3044AB387878}"/>
            </a:ext>
          </a:extLst>
        </xdr:cNvPr>
        <xdr:cNvSpPr/>
      </xdr:nvSpPr>
      <xdr:spPr>
        <a:xfrm>
          <a:off x="7169427" y="298174"/>
          <a:ext cx="1205948" cy="384313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F9EA7CF-EBDC-4218-93AD-09FAC3A2D6B7}"/>
            </a:ext>
          </a:extLst>
        </xdr:cNvPr>
        <xdr:cNvSpPr/>
      </xdr:nvSpPr>
      <xdr:spPr>
        <a:xfrm>
          <a:off x="7193032" y="297926"/>
          <a:ext cx="1202138" cy="380999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5E489CA-FA0C-4AE7-8A6B-11A31911FBAE}"/>
            </a:ext>
          </a:extLst>
        </xdr:cNvPr>
        <xdr:cNvSpPr/>
      </xdr:nvSpPr>
      <xdr:spPr>
        <a:xfrm>
          <a:off x="6983482" y="299831"/>
          <a:ext cx="1196423" cy="390524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4E5A6DA-BC44-44EC-A4E6-C5C7D2F35B70}"/>
            </a:ext>
          </a:extLst>
        </xdr:cNvPr>
        <xdr:cNvSpPr/>
      </xdr:nvSpPr>
      <xdr:spPr>
        <a:xfrm>
          <a:off x="6983482" y="299831"/>
          <a:ext cx="1196423" cy="390524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A505FF6-2AD8-4204-BA10-19028104C04D}"/>
            </a:ext>
          </a:extLst>
        </xdr:cNvPr>
        <xdr:cNvSpPr/>
      </xdr:nvSpPr>
      <xdr:spPr>
        <a:xfrm>
          <a:off x="6983482" y="299831"/>
          <a:ext cx="1196423" cy="390524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22EE250-0C97-4CE8-B5F1-63EB65B98634}"/>
            </a:ext>
          </a:extLst>
        </xdr:cNvPr>
        <xdr:cNvSpPr/>
      </xdr:nvSpPr>
      <xdr:spPr>
        <a:xfrm>
          <a:off x="6983482" y="299831"/>
          <a:ext cx="1196423" cy="390524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DD28038-6140-49E1-920E-B605DE2E9F06}"/>
            </a:ext>
          </a:extLst>
        </xdr:cNvPr>
        <xdr:cNvSpPr/>
      </xdr:nvSpPr>
      <xdr:spPr>
        <a:xfrm>
          <a:off x="6983482" y="299831"/>
          <a:ext cx="1196423" cy="390524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F440F25-2FE3-4845-8372-C6FB54F0CC74}"/>
            </a:ext>
          </a:extLst>
        </xdr:cNvPr>
        <xdr:cNvSpPr/>
      </xdr:nvSpPr>
      <xdr:spPr>
        <a:xfrm>
          <a:off x="6983482" y="299831"/>
          <a:ext cx="1196423" cy="390524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C9CF876-4EB4-4B6B-A10A-2A7E705F29B4}"/>
            </a:ext>
          </a:extLst>
        </xdr:cNvPr>
        <xdr:cNvSpPr/>
      </xdr:nvSpPr>
      <xdr:spPr>
        <a:xfrm>
          <a:off x="6983482" y="299831"/>
          <a:ext cx="1196423" cy="390524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30F0DE5-B103-46C2-B77A-841E08FDE35E}"/>
            </a:ext>
          </a:extLst>
        </xdr:cNvPr>
        <xdr:cNvSpPr/>
      </xdr:nvSpPr>
      <xdr:spPr>
        <a:xfrm>
          <a:off x="6983482" y="299831"/>
          <a:ext cx="1196423" cy="390524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D62842-485A-4658-B363-B09B94915F96}"/>
            </a:ext>
          </a:extLst>
        </xdr:cNvPr>
        <xdr:cNvSpPr/>
      </xdr:nvSpPr>
      <xdr:spPr>
        <a:xfrm>
          <a:off x="6983482" y="299831"/>
          <a:ext cx="1196423" cy="390524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39757</xdr:colOff>
      <xdr:row>1</xdr:row>
      <xdr:rowOff>33131</xdr:rowOff>
    </xdr:from>
    <xdr:to>
      <xdr:col>4</xdr:col>
      <xdr:colOff>1245705</xdr:colOff>
      <xdr:row>2</xdr:row>
      <xdr:rowOff>185530</xdr:rowOff>
    </xdr:to>
    <xdr:sp macro="[0]!nuevo_mes9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77A515C-7D08-4B14-B5FC-1ED7CD280158}"/>
            </a:ext>
          </a:extLst>
        </xdr:cNvPr>
        <xdr:cNvSpPr/>
      </xdr:nvSpPr>
      <xdr:spPr>
        <a:xfrm>
          <a:off x="6983482" y="299831"/>
          <a:ext cx="1196423" cy="390524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2">
                  <a:lumMod val="25000"/>
                </a:schemeClr>
              </a:solidFill>
            </a:rPr>
            <a:t>Crear nuevo mes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88E4-BAD7-4942-996E-CD5291C7186D}">
  <dimension ref="A1:L19"/>
  <sheetViews>
    <sheetView zoomScale="120" zoomScaleNormal="120" workbookViewId="0">
      <selection activeCell="K16" sqref="K16"/>
    </sheetView>
  </sheetViews>
  <sheetFormatPr baseColWidth="10" defaultRowHeight="15" x14ac:dyDescent="0.25"/>
  <cols>
    <col min="2" max="2" width="13.7109375" bestFit="1" customWidth="1"/>
    <col min="4" max="4" width="21.7109375" style="40" customWidth="1"/>
    <col min="5" max="5" width="24.7109375" customWidth="1"/>
    <col min="6" max="6" width="31.7109375" style="40" customWidth="1"/>
    <col min="9" max="9" width="19.7109375" customWidth="1"/>
    <col min="10" max="10" width="18.42578125" bestFit="1" customWidth="1"/>
    <col min="11" max="11" width="17.28515625" bestFit="1" customWidth="1"/>
  </cols>
  <sheetData>
    <row r="1" spans="1:12" x14ac:dyDescent="0.25">
      <c r="D1" s="51" t="s">
        <v>158</v>
      </c>
      <c r="E1" s="45"/>
      <c r="F1" s="52" t="s">
        <v>156</v>
      </c>
      <c r="G1" s="46"/>
      <c r="I1" s="44" t="s">
        <v>149</v>
      </c>
      <c r="J1" s="44" t="s">
        <v>148</v>
      </c>
    </row>
    <row r="2" spans="1:12" x14ac:dyDescent="0.25">
      <c r="B2" s="44" t="s">
        <v>147</v>
      </c>
      <c r="C2" s="44" t="s">
        <v>146</v>
      </c>
      <c r="D2" s="50">
        <v>46482684.700000003</v>
      </c>
    </row>
    <row r="4" spans="1:12" x14ac:dyDescent="0.25">
      <c r="C4" t="s">
        <v>146</v>
      </c>
      <c r="D4" s="40">
        <f>'ENE24'!B5</f>
        <v>119867424</v>
      </c>
      <c r="F4" s="40">
        <f>'ENE24'!E5</f>
        <v>141053321.75</v>
      </c>
      <c r="I4" s="41">
        <f>+F4-D4</f>
        <v>21185897.75</v>
      </c>
      <c r="J4" s="41">
        <f>+D2+D4-F4</f>
        <v>25296786.949999988</v>
      </c>
    </row>
    <row r="5" spans="1:12" x14ac:dyDescent="0.25">
      <c r="A5" s="28"/>
      <c r="C5" t="s">
        <v>145</v>
      </c>
      <c r="D5" s="40">
        <f>'FEB24'!B5</f>
        <v>60115926</v>
      </c>
      <c r="F5" s="40">
        <f>'FEB24'!E5</f>
        <v>80033315.099999994</v>
      </c>
      <c r="I5" s="41">
        <f t="shared" ref="I5:I16" si="0">+F5-D5</f>
        <v>19917389.099999994</v>
      </c>
      <c r="J5" s="41">
        <f>+J4+D5-F5</f>
        <v>5379397.849999994</v>
      </c>
    </row>
    <row r="6" spans="1:12" x14ac:dyDescent="0.25">
      <c r="C6" t="s">
        <v>144</v>
      </c>
      <c r="D6" s="40">
        <f>'MAR24'!B5</f>
        <v>55432499.067999996</v>
      </c>
      <c r="F6" s="42">
        <f>'MAR24'!E5</f>
        <v>33440178.754999999</v>
      </c>
      <c r="I6" s="41">
        <f t="shared" si="0"/>
        <v>-21992320.312999997</v>
      </c>
      <c r="J6" s="41">
        <f t="shared" ref="J6:J16" si="1">+J5+D6-F6</f>
        <v>27371718.162999991</v>
      </c>
    </row>
    <row r="7" spans="1:12" x14ac:dyDescent="0.25">
      <c r="C7" t="s">
        <v>143</v>
      </c>
      <c r="D7" s="43">
        <f>ABRIL24!B5</f>
        <v>92100660.624999985</v>
      </c>
      <c r="F7" s="40">
        <f>ABRIL24!E5</f>
        <v>76362694.375</v>
      </c>
      <c r="I7" s="41">
        <f t="shared" si="0"/>
        <v>-15737966.249999985</v>
      </c>
      <c r="J7" s="41">
        <f t="shared" si="1"/>
        <v>43109684.412999973</v>
      </c>
    </row>
    <row r="8" spans="1:12" x14ac:dyDescent="0.25">
      <c r="C8" t="s">
        <v>142</v>
      </c>
      <c r="D8" s="43">
        <f>'MAY24'!B5</f>
        <v>37803608</v>
      </c>
      <c r="F8" s="40">
        <f>'MAY24'!E5</f>
        <v>25747406.09</v>
      </c>
      <c r="I8" s="41">
        <f t="shared" si="0"/>
        <v>-12056201.91</v>
      </c>
      <c r="J8" s="41">
        <f t="shared" si="1"/>
        <v>55165886.322999969</v>
      </c>
    </row>
    <row r="9" spans="1:12" x14ac:dyDescent="0.25">
      <c r="C9" t="s">
        <v>141</v>
      </c>
      <c r="D9" s="43">
        <f>'JUN 24 '!B5</f>
        <v>35958290</v>
      </c>
      <c r="F9" s="40">
        <f>'JUN 24 '!E5</f>
        <v>67644766.017000005</v>
      </c>
      <c r="I9" s="41">
        <f t="shared" si="0"/>
        <v>31686476.017000005</v>
      </c>
      <c r="J9" s="41">
        <f t="shared" si="1"/>
        <v>23479410.305999964</v>
      </c>
    </row>
    <row r="10" spans="1:12" x14ac:dyDescent="0.25">
      <c r="C10" t="s">
        <v>140</v>
      </c>
      <c r="D10" s="43">
        <f>'JUL 24'!B5</f>
        <v>56440208.045000002</v>
      </c>
      <c r="F10" s="40">
        <f>'JUL 24'!E5</f>
        <v>9913404.0399999991</v>
      </c>
      <c r="I10" s="41">
        <f t="shared" si="0"/>
        <v>-46526804.005000003</v>
      </c>
      <c r="J10" s="41">
        <f t="shared" si="1"/>
        <v>70006214.31099996</v>
      </c>
    </row>
    <row r="11" spans="1:12" x14ac:dyDescent="0.25">
      <c r="C11" t="s">
        <v>139</v>
      </c>
      <c r="D11" s="43">
        <f>'AGO 24'!B5</f>
        <v>78606151.888799995</v>
      </c>
      <c r="F11" s="40">
        <f>'AGO 24'!E5</f>
        <v>84328902</v>
      </c>
      <c r="I11" s="41">
        <f t="shared" si="0"/>
        <v>5722750.1112000048</v>
      </c>
      <c r="J11" s="41">
        <f t="shared" si="1"/>
        <v>64283464.199799955</v>
      </c>
    </row>
    <row r="12" spans="1:12" x14ac:dyDescent="0.25">
      <c r="C12" t="s">
        <v>138</v>
      </c>
      <c r="D12" s="43">
        <f>'SEP 24 '!B5</f>
        <v>96071068</v>
      </c>
      <c r="F12" s="40">
        <f>'SEP 24 '!E5</f>
        <v>58518454</v>
      </c>
      <c r="G12" t="s">
        <v>225</v>
      </c>
      <c r="I12" s="53">
        <f t="shared" si="0"/>
        <v>-37552614</v>
      </c>
      <c r="J12" s="41">
        <f t="shared" si="1"/>
        <v>101836078.19979995</v>
      </c>
    </row>
    <row r="13" spans="1:12" x14ac:dyDescent="0.25">
      <c r="C13" t="s">
        <v>137</v>
      </c>
      <c r="D13" s="43">
        <f>'OCT 24  '!B5</f>
        <v>42689143</v>
      </c>
      <c r="F13" s="40">
        <f>'OCT 24  '!E5</f>
        <v>60667165</v>
      </c>
      <c r="G13" s="55" t="s">
        <v>224</v>
      </c>
      <c r="H13" s="55"/>
      <c r="I13" s="54">
        <f t="shared" si="0"/>
        <v>17978022</v>
      </c>
      <c r="J13" s="41">
        <f t="shared" si="1"/>
        <v>83858056.199799955</v>
      </c>
      <c r="K13" s="57">
        <f>37552614-17645135</f>
        <v>19907479</v>
      </c>
      <c r="L13" t="s">
        <v>226</v>
      </c>
    </row>
    <row r="14" spans="1:12" x14ac:dyDescent="0.25">
      <c r="C14" t="s">
        <v>136</v>
      </c>
      <c r="D14" s="43">
        <f>'NOV 24'!B5</f>
        <v>40240597</v>
      </c>
      <c r="F14" s="40">
        <f>'NOV 24'!E5</f>
        <v>64800889</v>
      </c>
      <c r="I14" s="41">
        <f t="shared" si="0"/>
        <v>24560292</v>
      </c>
      <c r="J14" s="41">
        <f t="shared" si="1"/>
        <v>59297764.199799955</v>
      </c>
      <c r="K14" s="56">
        <f>I14-K13</f>
        <v>4652813</v>
      </c>
      <c r="L14" t="s">
        <v>242</v>
      </c>
    </row>
    <row r="15" spans="1:12" x14ac:dyDescent="0.25">
      <c r="C15" t="s">
        <v>135</v>
      </c>
      <c r="D15" s="43">
        <f>'DIC 24'!B5</f>
        <v>160624880</v>
      </c>
      <c r="F15" s="40">
        <f>'DIC 24'!E5</f>
        <v>914423</v>
      </c>
      <c r="I15" s="41">
        <f t="shared" si="0"/>
        <v>-159710457</v>
      </c>
      <c r="J15" s="41">
        <f t="shared" si="1"/>
        <v>219008221.19979995</v>
      </c>
      <c r="K15" s="57">
        <f>159710457-4652813</f>
        <v>155057644</v>
      </c>
      <c r="L15" t="s">
        <v>256</v>
      </c>
    </row>
    <row r="16" spans="1:12" x14ac:dyDescent="0.25">
      <c r="I16" s="41">
        <f t="shared" si="0"/>
        <v>0</v>
      </c>
      <c r="J16" s="41">
        <f t="shared" si="1"/>
        <v>219008221.19979995</v>
      </c>
    </row>
    <row r="17" spans="4:6" x14ac:dyDescent="0.25">
      <c r="D17" s="48">
        <f>SUM(D4:D16)</f>
        <v>875950455.62679994</v>
      </c>
      <c r="E17" s="44"/>
      <c r="F17" s="47">
        <f>SUM(F4:F16)</f>
        <v>703424919.12700009</v>
      </c>
    </row>
    <row r="19" spans="4:6" x14ac:dyDescent="0.25">
      <c r="E19" s="49">
        <f>D17-F17</f>
        <v>172525536.49979985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EAE5-50D3-486D-A99B-72BCFB641031}">
  <sheetPr codeName="Hoja3"/>
  <dimension ref="A1:E43"/>
  <sheetViews>
    <sheetView zoomScale="115" zoomScaleNormal="115" workbookViewId="0">
      <selection activeCell="A31" sqref="A31:B31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11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>ENE24</v>
      </c>
      <c r="B1" s="29"/>
      <c r="C1" s="26"/>
      <c r="D1" s="26"/>
      <c r="E1" s="27"/>
    </row>
    <row r="2" spans="1:5" s="3" customFormat="1" ht="18.75" x14ac:dyDescent="0.25">
      <c r="A2" s="20" t="s">
        <v>52</v>
      </c>
      <c r="B2" s="2">
        <v>46482684.700000018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16">
        <f>$B$2 + $B$5 - $E$5</f>
        <v>25296786.950000018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24"/>
      <c r="C4" s="25"/>
      <c r="D4" s="26"/>
      <c r="E4" s="27"/>
    </row>
    <row r="5" spans="1:5" s="1" customFormat="1" x14ac:dyDescent="0.25">
      <c r="A5" s="28" t="s">
        <v>109</v>
      </c>
      <c r="B5" s="18">
        <f>+SUM($B$6:$B$1048576)</f>
        <v>119867424</v>
      </c>
      <c r="C5" s="26"/>
      <c r="D5" s="28" t="s">
        <v>110</v>
      </c>
      <c r="E5" s="18">
        <f>+SUM(E6:E1048576)</f>
        <v>141053321.75</v>
      </c>
    </row>
    <row r="6" spans="1:5" ht="30" x14ac:dyDescent="0.25">
      <c r="A6" s="5" t="s">
        <v>68</v>
      </c>
      <c r="B6" s="6">
        <v>18504064</v>
      </c>
      <c r="D6" s="8" t="s">
        <v>5</v>
      </c>
      <c r="E6" s="9">
        <v>503741</v>
      </c>
    </row>
    <row r="7" spans="1:5" x14ac:dyDescent="0.25">
      <c r="A7" s="10" t="s">
        <v>9</v>
      </c>
      <c r="B7" s="6">
        <v>150000</v>
      </c>
      <c r="D7" s="8" t="s">
        <v>3</v>
      </c>
      <c r="E7" s="9">
        <v>411454</v>
      </c>
    </row>
    <row r="8" spans="1:5" x14ac:dyDescent="0.25">
      <c r="A8" s="8" t="s">
        <v>15</v>
      </c>
      <c r="B8" s="9">
        <v>200000</v>
      </c>
      <c r="D8" s="8" t="s">
        <v>2</v>
      </c>
      <c r="E8" s="9">
        <v>1576209</v>
      </c>
    </row>
    <row r="9" spans="1:5" x14ac:dyDescent="0.25">
      <c r="A9" s="8" t="s">
        <v>14</v>
      </c>
      <c r="B9" s="8">
        <v>0</v>
      </c>
      <c r="D9" s="8" t="s">
        <v>2</v>
      </c>
      <c r="E9" s="9">
        <v>1960406</v>
      </c>
    </row>
    <row r="10" spans="1:5" x14ac:dyDescent="0.25">
      <c r="A10" s="8" t="s">
        <v>7</v>
      </c>
      <c r="B10" s="9">
        <v>0</v>
      </c>
      <c r="D10" s="8" t="s">
        <v>2</v>
      </c>
      <c r="E10" s="9"/>
    </row>
    <row r="11" spans="1:5" x14ac:dyDescent="0.25">
      <c r="A11" s="8" t="s">
        <v>6</v>
      </c>
      <c r="B11" s="9">
        <v>281000</v>
      </c>
      <c r="D11" s="8" t="s">
        <v>0</v>
      </c>
      <c r="E11" s="9">
        <v>13691000</v>
      </c>
    </row>
    <row r="12" spans="1:5" x14ac:dyDescent="0.25">
      <c r="A12" s="8" t="s">
        <v>16</v>
      </c>
      <c r="B12" s="9">
        <v>500000</v>
      </c>
      <c r="D12" s="8" t="s">
        <v>21</v>
      </c>
      <c r="E12" s="9">
        <v>1783819</v>
      </c>
    </row>
    <row r="13" spans="1:5" x14ac:dyDescent="0.25">
      <c r="A13" s="8" t="s">
        <v>17</v>
      </c>
      <c r="B13" s="9">
        <v>300000</v>
      </c>
      <c r="D13" s="8" t="s">
        <v>22</v>
      </c>
      <c r="E13" s="9">
        <v>4540750</v>
      </c>
    </row>
    <row r="14" spans="1:5" x14ac:dyDescent="0.25">
      <c r="A14" s="8" t="s">
        <v>18</v>
      </c>
      <c r="B14" s="9">
        <v>21950000</v>
      </c>
      <c r="D14" s="8" t="s">
        <v>24</v>
      </c>
      <c r="E14" s="9">
        <v>712647</v>
      </c>
    </row>
    <row r="15" spans="1:5" x14ac:dyDescent="0.25">
      <c r="A15" s="8" t="s">
        <v>12</v>
      </c>
      <c r="B15" s="9">
        <v>3000000</v>
      </c>
      <c r="D15" s="8" t="s">
        <v>25</v>
      </c>
      <c r="E15" s="9">
        <v>79613625</v>
      </c>
    </row>
    <row r="16" spans="1:5" x14ac:dyDescent="0.25">
      <c r="A16" s="8" t="s">
        <v>19</v>
      </c>
      <c r="B16" s="9">
        <v>500000</v>
      </c>
      <c r="D16" s="8" t="s">
        <v>26</v>
      </c>
      <c r="E16" s="9">
        <v>744000</v>
      </c>
    </row>
    <row r="17" spans="1:5" x14ac:dyDescent="0.25">
      <c r="A17" s="7" t="s">
        <v>12</v>
      </c>
      <c r="B17" s="11">
        <v>4535350</v>
      </c>
      <c r="D17" s="7" t="s">
        <v>27</v>
      </c>
      <c r="E17" s="11">
        <v>9045901</v>
      </c>
    </row>
    <row r="18" spans="1:5" x14ac:dyDescent="0.25">
      <c r="A18" s="7" t="s">
        <v>13</v>
      </c>
      <c r="B18" s="11">
        <v>937000</v>
      </c>
      <c r="D18" s="7" t="s">
        <v>29</v>
      </c>
      <c r="E18" s="11">
        <v>641250</v>
      </c>
    </row>
    <row r="19" spans="1:5" x14ac:dyDescent="0.25">
      <c r="A19" s="7" t="s">
        <v>10</v>
      </c>
      <c r="B19" s="11">
        <v>2082000</v>
      </c>
      <c r="D19" s="7" t="s">
        <v>29</v>
      </c>
      <c r="E19" s="11">
        <v>211000</v>
      </c>
    </row>
    <row r="20" spans="1:5" x14ac:dyDescent="0.25">
      <c r="A20" s="7" t="s">
        <v>12</v>
      </c>
      <c r="B20" s="11">
        <v>5429000</v>
      </c>
      <c r="D20" s="7" t="s">
        <v>29</v>
      </c>
      <c r="E20" s="11">
        <v>117000</v>
      </c>
    </row>
    <row r="21" spans="1:5" x14ac:dyDescent="0.25">
      <c r="A21" s="7" t="s">
        <v>13</v>
      </c>
      <c r="B21" s="11">
        <v>3217000</v>
      </c>
      <c r="D21" s="7" t="s">
        <v>32</v>
      </c>
      <c r="E21" s="11">
        <v>10321993</v>
      </c>
    </row>
    <row r="22" spans="1:5" x14ac:dyDescent="0.25">
      <c r="A22" s="7" t="s">
        <v>10</v>
      </c>
      <c r="B22" s="11">
        <v>301200</v>
      </c>
      <c r="D22" s="7" t="s">
        <v>37</v>
      </c>
      <c r="E22" s="11">
        <v>193600</v>
      </c>
    </row>
    <row r="23" spans="1:5" x14ac:dyDescent="0.25">
      <c r="A23" s="7" t="s">
        <v>11</v>
      </c>
      <c r="B23" s="11">
        <v>5690000</v>
      </c>
      <c r="D23" s="7" t="s">
        <v>38</v>
      </c>
      <c r="E23" s="11">
        <v>71632</v>
      </c>
    </row>
    <row r="24" spans="1:5" x14ac:dyDescent="0.25">
      <c r="A24" s="7" t="s">
        <v>20</v>
      </c>
      <c r="B24" s="11">
        <v>2800000</v>
      </c>
      <c r="D24" s="7" t="s">
        <v>39</v>
      </c>
      <c r="E24" s="11">
        <v>414199.5</v>
      </c>
    </row>
    <row r="25" spans="1:5" x14ac:dyDescent="0.25">
      <c r="A25" s="7" t="s">
        <v>23</v>
      </c>
      <c r="B25" s="11">
        <v>324000</v>
      </c>
      <c r="D25" s="7" t="s">
        <v>40</v>
      </c>
      <c r="E25" s="11">
        <v>39688</v>
      </c>
    </row>
    <row r="26" spans="1:5" x14ac:dyDescent="0.25">
      <c r="A26" s="7" t="s">
        <v>12</v>
      </c>
      <c r="B26" s="11">
        <v>3945000</v>
      </c>
      <c r="D26" s="7" t="s">
        <v>41</v>
      </c>
      <c r="E26" s="11">
        <v>1415003</v>
      </c>
    </row>
    <row r="27" spans="1:5" x14ac:dyDescent="0.25">
      <c r="A27" s="7" t="s">
        <v>10</v>
      </c>
      <c r="B27" s="11">
        <v>301200</v>
      </c>
      <c r="D27" s="7" t="s">
        <v>42</v>
      </c>
      <c r="E27" s="11">
        <v>1974686</v>
      </c>
    </row>
    <row r="28" spans="1:5" x14ac:dyDescent="0.25">
      <c r="A28" s="7" t="s">
        <v>28</v>
      </c>
      <c r="B28" s="11">
        <v>211554</v>
      </c>
      <c r="D28" s="7" t="s">
        <v>43</v>
      </c>
      <c r="E28" s="11">
        <v>782488.25</v>
      </c>
    </row>
    <row r="29" spans="1:5" x14ac:dyDescent="0.25">
      <c r="A29" s="7" t="s">
        <v>30</v>
      </c>
      <c r="B29" s="11">
        <v>450000</v>
      </c>
      <c r="D29" s="7" t="s">
        <v>44</v>
      </c>
      <c r="E29" s="11">
        <v>3555000</v>
      </c>
    </row>
    <row r="30" spans="1:5" x14ac:dyDescent="0.25">
      <c r="A30" s="7" t="s">
        <v>31</v>
      </c>
      <c r="B30" s="11">
        <v>3669750</v>
      </c>
      <c r="D30" s="7" t="s">
        <v>42</v>
      </c>
      <c r="E30" s="11">
        <v>819474</v>
      </c>
    </row>
    <row r="31" spans="1:5" x14ac:dyDescent="0.25">
      <c r="A31" s="7" t="s">
        <v>35</v>
      </c>
      <c r="B31" s="11">
        <v>30000000</v>
      </c>
      <c r="D31" s="7" t="s">
        <v>51</v>
      </c>
      <c r="E31" s="11">
        <v>2097000</v>
      </c>
    </row>
    <row r="32" spans="1:5" x14ac:dyDescent="0.25">
      <c r="A32" s="7" t="s">
        <v>47</v>
      </c>
      <c r="B32" s="11">
        <v>945450</v>
      </c>
      <c r="D32" s="7" t="s">
        <v>50</v>
      </c>
      <c r="E32" s="11">
        <v>3815756</v>
      </c>
    </row>
    <row r="33" spans="1:4" x14ac:dyDescent="0.25">
      <c r="A33" s="7" t="s">
        <v>46</v>
      </c>
      <c r="B33" s="11">
        <v>425000</v>
      </c>
    </row>
    <row r="34" spans="1:4" x14ac:dyDescent="0.25">
      <c r="A34" s="7" t="s">
        <v>47</v>
      </c>
      <c r="B34" s="11">
        <v>1535350</v>
      </c>
    </row>
    <row r="35" spans="1:4" ht="18.75" x14ac:dyDescent="0.25">
      <c r="A35" s="7" t="s">
        <v>48</v>
      </c>
      <c r="B35" s="11">
        <v>1959100</v>
      </c>
      <c r="C35" s="12"/>
    </row>
    <row r="36" spans="1:4" x14ac:dyDescent="0.25">
      <c r="A36" s="7" t="s">
        <v>45</v>
      </c>
      <c r="B36" s="11">
        <v>1960406</v>
      </c>
    </row>
    <row r="37" spans="1:4" x14ac:dyDescent="0.25">
      <c r="A37" s="7" t="s">
        <v>47</v>
      </c>
      <c r="B37" s="11">
        <v>1484000</v>
      </c>
    </row>
    <row r="38" spans="1:4" x14ac:dyDescent="0.25">
      <c r="A38" s="7" t="s">
        <v>49</v>
      </c>
      <c r="B38" s="11">
        <v>2280000</v>
      </c>
    </row>
    <row r="40" spans="1:4" ht="21" x14ac:dyDescent="0.25">
      <c r="B40" s="13"/>
    </row>
    <row r="42" spans="1:4" ht="21" x14ac:dyDescent="0.25">
      <c r="D42" s="14"/>
    </row>
    <row r="43" spans="1:4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horizontalDpi="0" verticalDpi="0" r:id="rId1"/>
  <headerFooter>
    <oddHeader>&amp;L&amp;F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150EA-DF62-430E-81D4-B92B0567D497}">
  <sheetPr codeName="Hoja2"/>
  <dimension ref="A1:E43"/>
  <sheetViews>
    <sheetView zoomScale="115" zoomScaleNormal="115" workbookViewId="0">
      <selection activeCell="B10" sqref="B10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11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>FEB24</v>
      </c>
      <c r="B1" s="29"/>
      <c r="C1" s="26"/>
      <c r="D1" s="26"/>
      <c r="E1" s="27"/>
    </row>
    <row r="2" spans="1:5" s="3" customFormat="1" ht="18.75" x14ac:dyDescent="0.25">
      <c r="A2" s="20" t="s">
        <v>52</v>
      </c>
      <c r="B2" s="2">
        <v>25296786.950000018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16">
        <f>$B$2 + $B$5 - $E$5</f>
        <v>5379397.8500000238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24"/>
      <c r="C4" s="25"/>
      <c r="D4" s="26"/>
      <c r="E4" s="27"/>
    </row>
    <row r="5" spans="1:5" s="1" customFormat="1" x14ac:dyDescent="0.25">
      <c r="A5" s="28" t="s">
        <v>109</v>
      </c>
      <c r="B5" s="18">
        <f>+SUM($B$6:$B$1048576)</f>
        <v>60115926</v>
      </c>
      <c r="C5" s="26"/>
      <c r="D5" s="28" t="s">
        <v>110</v>
      </c>
      <c r="E5" s="18">
        <f>+SUM(E6:E1048576)</f>
        <v>80033315.099999994</v>
      </c>
    </row>
    <row r="6" spans="1:5" ht="30" x14ac:dyDescent="0.25">
      <c r="A6" s="5" t="s">
        <v>69</v>
      </c>
      <c r="B6" s="6">
        <v>18504064</v>
      </c>
      <c r="D6" s="8" t="s">
        <v>5</v>
      </c>
      <c r="E6" s="9"/>
    </row>
    <row r="7" spans="1:5" x14ac:dyDescent="0.25">
      <c r="A7" s="10" t="s">
        <v>76</v>
      </c>
      <c r="B7" s="6"/>
      <c r="D7" s="8" t="s">
        <v>2</v>
      </c>
      <c r="E7" s="9"/>
    </row>
    <row r="8" spans="1:5" x14ac:dyDescent="0.25">
      <c r="A8" s="8" t="s">
        <v>83</v>
      </c>
      <c r="B8" s="9">
        <v>12218968</v>
      </c>
      <c r="D8" s="8" t="s">
        <v>70</v>
      </c>
      <c r="E8" s="9">
        <v>411454</v>
      </c>
    </row>
    <row r="9" spans="1:5" x14ac:dyDescent="0.25">
      <c r="A9" s="8" t="s">
        <v>77</v>
      </c>
      <c r="B9" s="8"/>
      <c r="D9" s="8" t="s">
        <v>71</v>
      </c>
      <c r="E9" s="9">
        <v>92841</v>
      </c>
    </row>
    <row r="10" spans="1:5" x14ac:dyDescent="0.25">
      <c r="A10" s="8" t="s">
        <v>100</v>
      </c>
      <c r="B10" s="9">
        <v>9471876</v>
      </c>
      <c r="D10" s="8" t="s">
        <v>74</v>
      </c>
      <c r="E10" s="9">
        <v>1516167</v>
      </c>
    </row>
    <row r="11" spans="1:5" x14ac:dyDescent="0.25">
      <c r="A11" s="8" t="s">
        <v>101</v>
      </c>
      <c r="B11" s="9">
        <v>1136024</v>
      </c>
      <c r="D11" s="8" t="s">
        <v>72</v>
      </c>
      <c r="E11" s="9">
        <v>280700</v>
      </c>
    </row>
    <row r="12" spans="1:5" x14ac:dyDescent="0.25">
      <c r="A12" s="8"/>
      <c r="B12" s="9"/>
      <c r="D12" s="8" t="s">
        <v>84</v>
      </c>
      <c r="E12" s="9">
        <v>8500000</v>
      </c>
    </row>
    <row r="13" spans="1:5" x14ac:dyDescent="0.25">
      <c r="A13" s="8"/>
      <c r="B13" s="9"/>
      <c r="D13" s="8"/>
      <c r="E13" s="9"/>
    </row>
    <row r="14" spans="1:5" x14ac:dyDescent="0.25">
      <c r="A14" s="8"/>
      <c r="B14" s="9"/>
      <c r="D14" s="8"/>
      <c r="E14" s="9"/>
    </row>
    <row r="15" spans="1:5" x14ac:dyDescent="0.25">
      <c r="A15" s="8"/>
      <c r="B15" s="9"/>
      <c r="D15" s="8"/>
      <c r="E15" s="9"/>
    </row>
    <row r="16" spans="1:5" x14ac:dyDescent="0.25">
      <c r="A16" s="8"/>
      <c r="B16" s="9"/>
      <c r="D16" s="8"/>
      <c r="E16" s="9"/>
    </row>
    <row r="17" spans="1:5" x14ac:dyDescent="0.25">
      <c r="A17" s="7" t="s">
        <v>54</v>
      </c>
      <c r="B17" s="11">
        <v>200000</v>
      </c>
      <c r="D17" s="7" t="s">
        <v>33</v>
      </c>
      <c r="E17" s="11">
        <v>651200</v>
      </c>
    </row>
    <row r="18" spans="1:5" x14ac:dyDescent="0.25">
      <c r="A18" s="7" t="s">
        <v>8</v>
      </c>
      <c r="B18" s="11">
        <v>0</v>
      </c>
      <c r="D18" s="7" t="s">
        <v>34</v>
      </c>
      <c r="E18" s="11">
        <v>12000000</v>
      </c>
    </row>
    <row r="19" spans="1:5" x14ac:dyDescent="0.25">
      <c r="A19" s="7" t="s">
        <v>7</v>
      </c>
      <c r="B19" s="11">
        <v>360000</v>
      </c>
      <c r="D19" s="7" t="s">
        <v>36</v>
      </c>
      <c r="E19" s="11">
        <v>15983600</v>
      </c>
    </row>
    <row r="20" spans="1:5" x14ac:dyDescent="0.25">
      <c r="A20" s="7" t="s">
        <v>7</v>
      </c>
      <c r="B20" s="11">
        <v>440000</v>
      </c>
      <c r="D20" s="7" t="s">
        <v>57</v>
      </c>
      <c r="E20" s="11">
        <v>1534023</v>
      </c>
    </row>
    <row r="21" spans="1:5" x14ac:dyDescent="0.25">
      <c r="A21" s="7" t="s">
        <v>55</v>
      </c>
      <c r="B21" s="11">
        <v>358000</v>
      </c>
      <c r="D21" s="7" t="s">
        <v>58</v>
      </c>
      <c r="E21" s="11">
        <v>92841</v>
      </c>
    </row>
    <row r="22" spans="1:5" x14ac:dyDescent="0.25">
      <c r="A22" s="7" t="s">
        <v>55</v>
      </c>
      <c r="B22" s="11">
        <v>-2000</v>
      </c>
      <c r="D22" s="7" t="s">
        <v>59</v>
      </c>
      <c r="E22" s="11">
        <v>367015.60000000003</v>
      </c>
    </row>
    <row r="23" spans="1:5" x14ac:dyDescent="0.25">
      <c r="A23" s="7" t="s">
        <v>55</v>
      </c>
      <c r="B23" s="11">
        <v>442000</v>
      </c>
      <c r="D23" s="7" t="s">
        <v>59</v>
      </c>
      <c r="E23" s="11">
        <v>621134.01</v>
      </c>
    </row>
    <row r="24" spans="1:5" x14ac:dyDescent="0.25">
      <c r="A24" s="7" t="s">
        <v>1</v>
      </c>
      <c r="B24" s="11">
        <v>15770594</v>
      </c>
      <c r="D24" s="7" t="s">
        <v>59</v>
      </c>
      <c r="E24" s="11">
        <v>223400.80000000002</v>
      </c>
    </row>
    <row r="25" spans="1:5" x14ac:dyDescent="0.25">
      <c r="A25" s="7" t="s">
        <v>56</v>
      </c>
      <c r="B25" s="11">
        <v>400000</v>
      </c>
      <c r="D25" s="7" t="s">
        <v>59</v>
      </c>
      <c r="E25" s="11">
        <v>510630.40000000002</v>
      </c>
    </row>
    <row r="26" spans="1:5" x14ac:dyDescent="0.25">
      <c r="A26" s="7" t="s">
        <v>155</v>
      </c>
      <c r="B26" s="11">
        <f>2041000*40%</f>
        <v>816400</v>
      </c>
      <c r="D26" s="7" t="s">
        <v>59</v>
      </c>
      <c r="E26" s="11">
        <v>1456094.5</v>
      </c>
    </row>
    <row r="27" spans="1:5" x14ac:dyDescent="0.25">
      <c r="D27" s="7" t="s">
        <v>59</v>
      </c>
      <c r="E27" s="11">
        <v>526587.6</v>
      </c>
    </row>
    <row r="28" spans="1:5" x14ac:dyDescent="0.25">
      <c r="D28" s="7" t="s">
        <v>60</v>
      </c>
      <c r="E28" s="11">
        <v>1278570</v>
      </c>
    </row>
    <row r="29" spans="1:5" x14ac:dyDescent="0.25">
      <c r="D29" s="7" t="s">
        <v>61</v>
      </c>
      <c r="E29" s="11">
        <v>5538410</v>
      </c>
    </row>
    <row r="30" spans="1:5" x14ac:dyDescent="0.25">
      <c r="D30" s="7" t="s">
        <v>62</v>
      </c>
      <c r="E30" s="11">
        <v>14884783</v>
      </c>
    </row>
    <row r="31" spans="1:5" x14ac:dyDescent="0.25">
      <c r="D31" s="7" t="s">
        <v>63</v>
      </c>
      <c r="E31" s="11">
        <v>1783819</v>
      </c>
    </row>
    <row r="32" spans="1:5" x14ac:dyDescent="0.25">
      <c r="D32" s="7" t="s">
        <v>64</v>
      </c>
      <c r="E32" s="11">
        <v>660998.59</v>
      </c>
    </row>
    <row r="33" spans="2:5" x14ac:dyDescent="0.25">
      <c r="D33" s="7" t="s">
        <v>65</v>
      </c>
      <c r="E33" s="11">
        <v>4052091.35</v>
      </c>
    </row>
    <row r="34" spans="2:5" x14ac:dyDescent="0.25">
      <c r="D34" s="7" t="s">
        <v>65</v>
      </c>
      <c r="E34" s="11">
        <v>1485130.35</v>
      </c>
    </row>
    <row r="35" spans="2:5" ht="18.75" x14ac:dyDescent="0.25">
      <c r="C35" s="12"/>
      <c r="D35" s="7" t="s">
        <v>65</v>
      </c>
      <c r="E35" s="11">
        <v>1319931.3400000001</v>
      </c>
    </row>
    <row r="36" spans="2:5" x14ac:dyDescent="0.25">
      <c r="D36" s="7" t="s">
        <v>66</v>
      </c>
      <c r="E36" s="11">
        <v>1034000.52</v>
      </c>
    </row>
    <row r="37" spans="2:5" x14ac:dyDescent="0.25">
      <c r="D37" s="7" t="s">
        <v>67</v>
      </c>
      <c r="E37" s="11">
        <v>411454</v>
      </c>
    </row>
    <row r="38" spans="2:5" x14ac:dyDescent="0.25">
      <c r="D38" s="7" t="s">
        <v>85</v>
      </c>
      <c r="E38" s="11">
        <v>1924547</v>
      </c>
    </row>
    <row r="39" spans="2:5" x14ac:dyDescent="0.25">
      <c r="D39" s="7" t="s">
        <v>4</v>
      </c>
      <c r="E39" s="11">
        <v>891891.04</v>
      </c>
    </row>
    <row r="40" spans="2:5" ht="21" x14ac:dyDescent="0.25">
      <c r="B40" s="13"/>
    </row>
    <row r="42" spans="2:5" ht="21" x14ac:dyDescent="0.25">
      <c r="D42" s="14"/>
    </row>
    <row r="43" spans="2:5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horizontalDpi="0" verticalDpi="0" r:id="rId1"/>
  <headerFooter>
    <oddHeader>&amp;L&amp;F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7F0E5-B59E-460B-B52D-6104FCBB2959}">
  <sheetPr codeName="Hoja5"/>
  <dimension ref="A1:E43"/>
  <sheetViews>
    <sheetView topLeftCell="A4" zoomScale="115" zoomScaleNormal="115" workbookViewId="0">
      <selection activeCell="D27" sqref="D27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11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>MAR24</v>
      </c>
      <c r="B1" s="29"/>
      <c r="C1" s="26"/>
      <c r="D1" s="26"/>
      <c r="E1" s="27"/>
    </row>
    <row r="2" spans="1:5" s="3" customFormat="1" ht="18.75" x14ac:dyDescent="0.25">
      <c r="A2" s="20" t="s">
        <v>52</v>
      </c>
      <c r="B2" s="2">
        <f>+'FEB24'!B3</f>
        <v>5379397.8500000238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16">
        <f>$B$2 + $B$5 - $E$5</f>
        <v>27371718.163000021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24"/>
      <c r="C4" s="25"/>
      <c r="D4" s="26"/>
      <c r="E4" s="27"/>
    </row>
    <row r="5" spans="1:5" s="1" customFormat="1" x14ac:dyDescent="0.25">
      <c r="A5" s="28" t="s">
        <v>109</v>
      </c>
      <c r="B5" s="18">
        <f>+SUM($B$6:$B$1048576)</f>
        <v>55432499.067999996</v>
      </c>
      <c r="C5" s="26"/>
      <c r="D5" s="28" t="s">
        <v>110</v>
      </c>
      <c r="E5" s="18">
        <f>+SUM(E6:E1048576)</f>
        <v>33440178.754999999</v>
      </c>
    </row>
    <row r="6" spans="1:5" ht="30" x14ac:dyDescent="0.25">
      <c r="A6" s="5" t="s">
        <v>69</v>
      </c>
      <c r="B6" s="6">
        <v>16077900</v>
      </c>
      <c r="D6" s="8" t="s">
        <v>5</v>
      </c>
      <c r="E6" s="9">
        <v>951637</v>
      </c>
    </row>
    <row r="7" spans="1:5" x14ac:dyDescent="0.25">
      <c r="A7" s="10" t="s">
        <v>76</v>
      </c>
      <c r="B7" s="6"/>
      <c r="D7" s="8" t="s">
        <v>2</v>
      </c>
      <c r="E7" s="9"/>
    </row>
    <row r="8" spans="1:5" x14ac:dyDescent="0.25">
      <c r="A8" s="8" t="s">
        <v>73</v>
      </c>
      <c r="B8" s="9"/>
      <c r="D8" s="8" t="s">
        <v>70</v>
      </c>
      <c r="E8" s="9">
        <v>129083</v>
      </c>
    </row>
    <row r="9" spans="1:5" x14ac:dyDescent="0.25">
      <c r="A9" s="8" t="s">
        <v>77</v>
      </c>
      <c r="B9" s="8">
        <v>527000</v>
      </c>
      <c r="D9" s="8" t="s">
        <v>71</v>
      </c>
      <c r="E9" s="9">
        <v>411454</v>
      </c>
    </row>
    <row r="10" spans="1:5" x14ac:dyDescent="0.25">
      <c r="A10" s="8" t="s">
        <v>77</v>
      </c>
      <c r="B10" s="9">
        <v>236000</v>
      </c>
      <c r="D10" s="8" t="s">
        <v>74</v>
      </c>
      <c r="E10" s="9"/>
    </row>
    <row r="11" spans="1:5" x14ac:dyDescent="0.25">
      <c r="A11" s="8" t="s">
        <v>107</v>
      </c>
      <c r="B11" s="9">
        <v>4320000</v>
      </c>
      <c r="D11" s="8" t="s">
        <v>72</v>
      </c>
      <c r="E11" s="9">
        <f>3863898.9+224519</f>
        <v>4088417.9</v>
      </c>
    </row>
    <row r="12" spans="1:5" x14ac:dyDescent="0.25">
      <c r="A12" s="8"/>
      <c r="B12" s="9"/>
      <c r="D12" s="8" t="s">
        <v>75</v>
      </c>
      <c r="E12" s="9"/>
    </row>
    <row r="13" spans="1:5" x14ac:dyDescent="0.25">
      <c r="A13" s="8"/>
      <c r="B13" s="9"/>
      <c r="D13" s="8"/>
      <c r="E13" s="9"/>
    </row>
    <row r="14" spans="1:5" x14ac:dyDescent="0.25">
      <c r="A14" s="8"/>
      <c r="B14" s="9"/>
      <c r="D14" s="8"/>
      <c r="E14" s="9"/>
    </row>
    <row r="15" spans="1:5" x14ac:dyDescent="0.25">
      <c r="A15" s="8"/>
      <c r="B15" s="9"/>
      <c r="D15" s="8"/>
      <c r="E15" s="9"/>
    </row>
    <row r="16" spans="1:5" x14ac:dyDescent="0.25">
      <c r="A16" s="8"/>
      <c r="B16" s="9"/>
      <c r="D16" s="8"/>
      <c r="E16" s="9"/>
    </row>
    <row r="17" spans="1:5" x14ac:dyDescent="0.25">
      <c r="A17" s="7" t="s">
        <v>89</v>
      </c>
      <c r="B17" s="11">
        <v>1463700</v>
      </c>
      <c r="D17" s="7" t="s">
        <v>78</v>
      </c>
      <c r="E17" s="11">
        <v>8767497</v>
      </c>
    </row>
    <row r="18" spans="1:5" x14ac:dyDescent="0.25">
      <c r="A18" s="7" t="s">
        <v>55</v>
      </c>
      <c r="B18" s="11">
        <v>527000</v>
      </c>
      <c r="D18" s="7" t="s">
        <v>79</v>
      </c>
      <c r="E18" s="11">
        <v>6367185.4400000004</v>
      </c>
    </row>
    <row r="19" spans="1:5" x14ac:dyDescent="0.25">
      <c r="A19" s="7" t="s">
        <v>90</v>
      </c>
      <c r="B19" s="11">
        <v>214200</v>
      </c>
      <c r="D19" s="7" t="s">
        <v>80</v>
      </c>
      <c r="E19" s="11">
        <v>4513127.3600000003</v>
      </c>
    </row>
    <row r="20" spans="1:5" x14ac:dyDescent="0.25">
      <c r="A20" s="7" t="s">
        <v>81</v>
      </c>
      <c r="B20" s="11">
        <v>747680.57000000007</v>
      </c>
      <c r="D20" s="7" t="s">
        <v>86</v>
      </c>
      <c r="E20" s="11">
        <v>3780460</v>
      </c>
    </row>
    <row r="21" spans="1:5" x14ac:dyDescent="0.25">
      <c r="A21" s="7" t="s">
        <v>81</v>
      </c>
      <c r="B21" s="11">
        <v>1421675.388</v>
      </c>
      <c r="D21" s="7" t="s">
        <v>88</v>
      </c>
      <c r="E21" s="11">
        <v>369575.82</v>
      </c>
    </row>
    <row r="22" spans="1:5" x14ac:dyDescent="0.25">
      <c r="A22" s="7" t="s">
        <v>81</v>
      </c>
      <c r="B22" s="11">
        <v>4413130.6749999998</v>
      </c>
      <c r="D22" s="7" t="s">
        <v>87</v>
      </c>
      <c r="E22" s="11">
        <v>891891.04</v>
      </c>
    </row>
    <row r="23" spans="1:5" x14ac:dyDescent="0.25">
      <c r="A23" s="7" t="s">
        <v>81</v>
      </c>
      <c r="B23" s="11">
        <v>1822415.325</v>
      </c>
      <c r="D23" s="7" t="s">
        <v>66</v>
      </c>
      <c r="E23" s="11">
        <v>3169850.1949999998</v>
      </c>
    </row>
    <row r="24" spans="1:5" x14ac:dyDescent="0.25">
      <c r="A24" s="7" t="s">
        <v>1</v>
      </c>
      <c r="B24" s="11">
        <v>3535656.6</v>
      </c>
    </row>
    <row r="25" spans="1:5" x14ac:dyDescent="0.25">
      <c r="A25" s="7" t="s">
        <v>91</v>
      </c>
      <c r="B25" s="11">
        <v>5382300</v>
      </c>
    </row>
    <row r="26" spans="1:5" x14ac:dyDescent="0.25">
      <c r="A26" s="7" t="s">
        <v>82</v>
      </c>
      <c r="B26" s="11">
        <v>746640.51</v>
      </c>
      <c r="C26" s="7" t="s">
        <v>93</v>
      </c>
    </row>
    <row r="27" spans="1:5" x14ac:dyDescent="0.25">
      <c r="A27" s="7" t="s">
        <v>92</v>
      </c>
      <c r="B27" s="11">
        <v>13000000</v>
      </c>
    </row>
    <row r="28" spans="1:5" x14ac:dyDescent="0.25">
      <c r="A28" s="7" t="s">
        <v>155</v>
      </c>
      <c r="B28" s="11">
        <f>2493000*40%</f>
        <v>997200</v>
      </c>
    </row>
    <row r="35" spans="2:4" ht="18.75" x14ac:dyDescent="0.25">
      <c r="C35" s="12"/>
    </row>
    <row r="40" spans="2:4" ht="21" x14ac:dyDescent="0.25">
      <c r="B40" s="13"/>
    </row>
    <row r="42" spans="2:4" ht="21" x14ac:dyDescent="0.25">
      <c r="D42" s="14"/>
    </row>
    <row r="43" spans="2:4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r:id="rId1"/>
  <headerFooter>
    <oddHeader>&amp;L&amp;F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755F5-CD64-43C0-B6A1-11AF2BFE16B4}">
  <sheetPr codeName="Hoja6"/>
  <dimension ref="A1:E43"/>
  <sheetViews>
    <sheetView zoomScale="150" zoomScaleNormal="150" workbookViewId="0">
      <selection activeCell="B3" sqref="B3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38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>ABRIL24</v>
      </c>
      <c r="B1" s="30"/>
      <c r="C1" s="26"/>
      <c r="D1" s="26"/>
      <c r="E1" s="27"/>
    </row>
    <row r="2" spans="1:5" s="3" customFormat="1" ht="18.75" x14ac:dyDescent="0.25">
      <c r="A2" s="20" t="s">
        <v>52</v>
      </c>
      <c r="B2" s="31">
        <f>+'MAR24'!B3</f>
        <v>27371718.163000021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32">
        <f>$B$2 + $B$5 - $E$5</f>
        <v>43109684.413000003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33"/>
      <c r="C4" s="25"/>
      <c r="D4" s="26"/>
      <c r="E4" s="27"/>
    </row>
    <row r="5" spans="1:5" s="1" customFormat="1" x14ac:dyDescent="0.25">
      <c r="A5" s="28" t="s">
        <v>109</v>
      </c>
      <c r="B5" s="34">
        <f>+SUM($B$6:$B$1048576)</f>
        <v>92100660.624999985</v>
      </c>
      <c r="C5" s="26"/>
      <c r="D5" s="28" t="s">
        <v>110</v>
      </c>
      <c r="E5" s="18">
        <f>+SUM(E6:E1048576)</f>
        <v>76362694.375</v>
      </c>
    </row>
    <row r="6" spans="1:5" ht="30" x14ac:dyDescent="0.25">
      <c r="A6" s="5" t="s">
        <v>69</v>
      </c>
      <c r="B6" s="35">
        <v>16077900</v>
      </c>
      <c r="D6" s="8" t="s">
        <v>5</v>
      </c>
      <c r="E6" s="9">
        <v>1028182</v>
      </c>
    </row>
    <row r="7" spans="1:5" x14ac:dyDescent="0.25">
      <c r="A7" s="10" t="s">
        <v>104</v>
      </c>
      <c r="B7" s="35">
        <v>400000</v>
      </c>
      <c r="D7" s="8" t="s">
        <v>2</v>
      </c>
      <c r="E7" s="9"/>
    </row>
    <row r="8" spans="1:5" x14ac:dyDescent="0.25">
      <c r="A8" s="8" t="s">
        <v>73</v>
      </c>
      <c r="B8" s="36">
        <v>4200000</v>
      </c>
      <c r="D8" s="8" t="s">
        <v>70</v>
      </c>
      <c r="E8" s="9">
        <v>411454</v>
      </c>
    </row>
    <row r="9" spans="1:5" x14ac:dyDescent="0.25">
      <c r="A9" s="8" t="s">
        <v>77</v>
      </c>
      <c r="B9" s="37">
        <v>236000</v>
      </c>
      <c r="D9" s="8" t="s">
        <v>71</v>
      </c>
      <c r="E9" s="9">
        <v>92841</v>
      </c>
    </row>
    <row r="10" spans="1:5" x14ac:dyDescent="0.25">
      <c r="A10" s="8" t="s">
        <v>77</v>
      </c>
      <c r="B10" s="36">
        <v>457000</v>
      </c>
      <c r="D10" s="8" t="s">
        <v>74</v>
      </c>
      <c r="E10" s="9">
        <v>1493444</v>
      </c>
    </row>
    <row r="11" spans="1:5" x14ac:dyDescent="0.25">
      <c r="A11" s="8" t="s">
        <v>107</v>
      </c>
      <c r="B11" s="36">
        <v>18069050</v>
      </c>
      <c r="D11" s="8" t="s">
        <v>72</v>
      </c>
      <c r="E11" s="9">
        <v>120000</v>
      </c>
    </row>
    <row r="12" spans="1:5" x14ac:dyDescent="0.25">
      <c r="A12" s="8" t="s">
        <v>77</v>
      </c>
      <c r="B12" s="36">
        <v>521000</v>
      </c>
      <c r="D12" s="8" t="s">
        <v>75</v>
      </c>
      <c r="E12" s="9"/>
    </row>
    <row r="13" spans="1:5" x14ac:dyDescent="0.25">
      <c r="A13" s="8"/>
      <c r="B13" s="36"/>
      <c r="D13" s="8" t="s">
        <v>108</v>
      </c>
      <c r="E13" s="9">
        <v>17000000</v>
      </c>
    </row>
    <row r="14" spans="1:5" x14ac:dyDescent="0.25">
      <c r="A14" s="8"/>
      <c r="B14" s="36"/>
      <c r="D14" s="8"/>
      <c r="E14" s="9"/>
    </row>
    <row r="15" spans="1:5" x14ac:dyDescent="0.25">
      <c r="A15" s="8"/>
      <c r="B15" s="36"/>
      <c r="D15" s="8"/>
      <c r="E15" s="9"/>
    </row>
    <row r="16" spans="1:5" x14ac:dyDescent="0.25">
      <c r="A16" s="8"/>
      <c r="B16" s="36"/>
      <c r="D16" s="8"/>
      <c r="E16" s="9"/>
    </row>
    <row r="17" spans="1:5" x14ac:dyDescent="0.25">
      <c r="A17" s="7" t="s">
        <v>105</v>
      </c>
      <c r="B17" s="38">
        <v>10367150</v>
      </c>
      <c r="D17" s="7" t="s">
        <v>99</v>
      </c>
      <c r="E17" s="11">
        <v>4630031.54</v>
      </c>
    </row>
    <row r="18" spans="1:5" x14ac:dyDescent="0.25">
      <c r="A18" s="7" t="s">
        <v>106</v>
      </c>
      <c r="B18" s="38">
        <v>1840000</v>
      </c>
      <c r="D18" s="7" t="s">
        <v>99</v>
      </c>
      <c r="E18" s="11">
        <v>71999.759999999995</v>
      </c>
    </row>
    <row r="19" spans="1:5" x14ac:dyDescent="0.25">
      <c r="A19" s="7" t="s">
        <v>55</v>
      </c>
      <c r="B19" s="38">
        <v>236000</v>
      </c>
      <c r="D19" s="7" t="s">
        <v>96</v>
      </c>
      <c r="E19" s="11">
        <v>2387085</v>
      </c>
    </row>
    <row r="20" spans="1:5" x14ac:dyDescent="0.25">
      <c r="A20" s="7" t="s">
        <v>55</v>
      </c>
      <c r="B20" s="38">
        <v>457000</v>
      </c>
      <c r="D20" s="7" t="s">
        <v>103</v>
      </c>
      <c r="E20" s="11">
        <v>24729069.474999998</v>
      </c>
    </row>
    <row r="21" spans="1:5" x14ac:dyDescent="0.25">
      <c r="A21" s="7" t="s">
        <v>59</v>
      </c>
      <c r="B21" s="38">
        <v>168454</v>
      </c>
      <c r="D21" s="7" t="s">
        <v>78</v>
      </c>
      <c r="E21" s="11">
        <v>6488288</v>
      </c>
    </row>
    <row r="22" spans="1:5" x14ac:dyDescent="0.25">
      <c r="A22" s="7" t="s">
        <v>59</v>
      </c>
      <c r="B22" s="38">
        <v>459420</v>
      </c>
      <c r="D22" s="7" t="s">
        <v>78</v>
      </c>
      <c r="E22" s="11">
        <v>-26713</v>
      </c>
    </row>
    <row r="23" spans="1:5" x14ac:dyDescent="0.25">
      <c r="A23" s="7" t="s">
        <v>59</v>
      </c>
      <c r="B23" s="38">
        <v>490048</v>
      </c>
      <c r="D23" s="7" t="s">
        <v>94</v>
      </c>
      <c r="E23" s="11">
        <v>291811</v>
      </c>
    </row>
    <row r="24" spans="1:5" x14ac:dyDescent="0.25">
      <c r="A24" s="7" t="s">
        <v>59</v>
      </c>
      <c r="B24" s="38">
        <v>658502</v>
      </c>
      <c r="D24" s="7" t="s">
        <v>98</v>
      </c>
      <c r="E24" s="11">
        <v>4427047</v>
      </c>
    </row>
    <row r="25" spans="1:5" x14ac:dyDescent="0.25">
      <c r="A25" s="7" t="s">
        <v>59</v>
      </c>
      <c r="B25" s="38">
        <v>245024</v>
      </c>
      <c r="D25" s="7" t="s">
        <v>98</v>
      </c>
      <c r="E25" s="11">
        <v>518840</v>
      </c>
    </row>
    <row r="26" spans="1:5" x14ac:dyDescent="0.25">
      <c r="A26" s="7" t="s">
        <v>59</v>
      </c>
      <c r="B26" s="38">
        <v>2469382.5</v>
      </c>
      <c r="D26" s="7" t="s">
        <v>79</v>
      </c>
      <c r="E26" s="11">
        <v>6367185.4400000004</v>
      </c>
    </row>
    <row r="27" spans="1:5" x14ac:dyDescent="0.25">
      <c r="A27" s="7" t="s">
        <v>59</v>
      </c>
      <c r="B27" s="38">
        <v>306280</v>
      </c>
      <c r="D27" s="7" t="s">
        <v>95</v>
      </c>
      <c r="E27" s="11">
        <v>2713769.64</v>
      </c>
    </row>
    <row r="28" spans="1:5" x14ac:dyDescent="0.25">
      <c r="A28" s="7" t="s">
        <v>59</v>
      </c>
      <c r="B28" s="38">
        <v>306280</v>
      </c>
      <c r="D28" s="7" t="s">
        <v>95</v>
      </c>
      <c r="E28" s="11">
        <v>3618359.5199999996</v>
      </c>
    </row>
    <row r="29" spans="1:5" x14ac:dyDescent="0.25">
      <c r="A29" s="7" t="s">
        <v>59</v>
      </c>
      <c r="B29" s="38">
        <v>412770</v>
      </c>
    </row>
    <row r="30" spans="1:5" x14ac:dyDescent="0.25">
      <c r="A30" s="7" t="s">
        <v>59</v>
      </c>
      <c r="B30" s="38">
        <v>1393574</v>
      </c>
    </row>
    <row r="31" spans="1:5" x14ac:dyDescent="0.25">
      <c r="A31" s="7" t="s">
        <v>97</v>
      </c>
      <c r="B31" s="38">
        <v>520335</v>
      </c>
    </row>
    <row r="32" spans="1:5" x14ac:dyDescent="0.25">
      <c r="A32" s="7" t="s">
        <v>81</v>
      </c>
      <c r="B32" s="38">
        <v>1208741.31</v>
      </c>
    </row>
    <row r="33" spans="1:3" x14ac:dyDescent="0.25">
      <c r="A33" s="7" t="s">
        <v>102</v>
      </c>
      <c r="B33" s="38">
        <v>16351813.349999998</v>
      </c>
    </row>
    <row r="34" spans="1:3" x14ac:dyDescent="0.25">
      <c r="A34" s="7" t="s">
        <v>102</v>
      </c>
      <c r="B34" s="38">
        <v>5178268.3650000002</v>
      </c>
    </row>
    <row r="35" spans="1:3" ht="18.75" x14ac:dyDescent="0.25">
      <c r="A35" s="7" t="s">
        <v>102</v>
      </c>
      <c r="B35" s="38">
        <v>7223468.1000000006</v>
      </c>
      <c r="C35" s="12"/>
    </row>
    <row r="36" spans="1:3" x14ac:dyDescent="0.25">
      <c r="A36" s="7" t="s">
        <v>155</v>
      </c>
      <c r="B36" s="38">
        <f>4618000*40%</f>
        <v>1847200</v>
      </c>
    </row>
    <row r="39" spans="1:3" x14ac:dyDescent="0.25">
      <c r="B39" s="39"/>
    </row>
    <row r="43" spans="1:3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r:id="rId1"/>
  <headerFooter>
    <oddHeader>&amp;L&amp;F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75714-BCAA-46A4-B77B-0D7168121805}">
  <sheetPr codeName="Hoja7"/>
  <dimension ref="A1:E43"/>
  <sheetViews>
    <sheetView zoomScale="150" zoomScaleNormal="150" workbookViewId="0">
      <selection activeCell="E10" sqref="E10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38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>MAY24</v>
      </c>
      <c r="B1" s="30"/>
      <c r="C1" s="26"/>
      <c r="D1" s="26"/>
      <c r="E1" s="27"/>
    </row>
    <row r="2" spans="1:5" s="3" customFormat="1" ht="18.75" x14ac:dyDescent="0.25">
      <c r="A2" s="20" t="s">
        <v>52</v>
      </c>
      <c r="B2" s="31">
        <f>+ABRIL24!B3</f>
        <v>43109684.413000003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32">
        <f>$B$2 + $B$5 - $E$5</f>
        <v>55165886.322999999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33"/>
      <c r="C4" s="25"/>
      <c r="D4" s="26"/>
      <c r="E4" s="27"/>
    </row>
    <row r="5" spans="1:5" s="1" customFormat="1" x14ac:dyDescent="0.25">
      <c r="A5" s="28" t="s">
        <v>109</v>
      </c>
      <c r="B5" s="34">
        <f>+SUM($B$6:$B$1048576)</f>
        <v>37803608</v>
      </c>
      <c r="C5" s="26"/>
      <c r="D5" s="28" t="s">
        <v>110</v>
      </c>
      <c r="E5" s="18">
        <f>+SUM(E6:E1048576)</f>
        <v>25747406.09</v>
      </c>
    </row>
    <row r="6" spans="1:5" ht="30" x14ac:dyDescent="0.25">
      <c r="A6" s="5" t="s">
        <v>69</v>
      </c>
      <c r="B6" s="35">
        <v>17538000</v>
      </c>
      <c r="D6" s="8" t="s">
        <v>5</v>
      </c>
      <c r="E6" s="9"/>
    </row>
    <row r="7" spans="1:5" x14ac:dyDescent="0.25">
      <c r="A7" s="10" t="s">
        <v>116</v>
      </c>
      <c r="B7" s="35">
        <v>600000</v>
      </c>
      <c r="D7" s="8" t="s">
        <v>2</v>
      </c>
      <c r="E7" s="9"/>
    </row>
    <row r="8" spans="1:5" x14ac:dyDescent="0.25">
      <c r="A8" s="8" t="s">
        <v>73</v>
      </c>
      <c r="B8" s="36"/>
      <c r="D8" s="8" t="s">
        <v>70</v>
      </c>
      <c r="E8" s="9">
        <v>186797</v>
      </c>
    </row>
    <row r="9" spans="1:5" x14ac:dyDescent="0.25">
      <c r="A9" s="8" t="s">
        <v>77</v>
      </c>
      <c r="B9" s="37">
        <v>477000</v>
      </c>
      <c r="D9" s="8" t="s">
        <v>71</v>
      </c>
      <c r="E9" s="9">
        <f>533906+524813</f>
        <v>1058719</v>
      </c>
    </row>
    <row r="10" spans="1:5" x14ac:dyDescent="0.25">
      <c r="A10" s="8" t="s">
        <v>77</v>
      </c>
      <c r="B10" s="36">
        <v>521000</v>
      </c>
      <c r="D10" s="8" t="s">
        <v>74</v>
      </c>
      <c r="E10" s="9"/>
    </row>
    <row r="11" spans="1:5" x14ac:dyDescent="0.25">
      <c r="A11" s="8" t="s">
        <v>107</v>
      </c>
      <c r="B11" s="36"/>
      <c r="D11" s="8" t="s">
        <v>72</v>
      </c>
      <c r="E11" s="9">
        <v>832000</v>
      </c>
    </row>
    <row r="12" spans="1:5" x14ac:dyDescent="0.25">
      <c r="A12" s="8"/>
      <c r="B12" s="36"/>
      <c r="D12" s="8" t="s">
        <v>75</v>
      </c>
      <c r="E12" s="9">
        <v>4900000</v>
      </c>
    </row>
    <row r="13" spans="1:5" x14ac:dyDescent="0.25">
      <c r="A13" s="8"/>
      <c r="B13" s="36"/>
      <c r="D13" s="8" t="s">
        <v>108</v>
      </c>
      <c r="E13" s="9"/>
    </row>
    <row r="14" spans="1:5" x14ac:dyDescent="0.25">
      <c r="A14" s="8"/>
      <c r="B14" s="36"/>
      <c r="D14" s="8"/>
      <c r="E14" s="9"/>
    </row>
    <row r="15" spans="1:5" x14ac:dyDescent="0.25">
      <c r="A15" s="8"/>
      <c r="B15" s="36"/>
      <c r="D15" s="8"/>
      <c r="E15" s="9"/>
    </row>
    <row r="16" spans="1:5" x14ac:dyDescent="0.25">
      <c r="A16" s="8"/>
      <c r="B16" s="36"/>
      <c r="D16" s="8"/>
      <c r="E16" s="9"/>
    </row>
    <row r="17" spans="1:5" x14ac:dyDescent="0.25">
      <c r="A17" s="7" t="s">
        <v>115</v>
      </c>
      <c r="B17" s="38">
        <v>35000</v>
      </c>
      <c r="D17" s="7" t="s">
        <v>111</v>
      </c>
      <c r="E17" s="11">
        <v>1589484</v>
      </c>
    </row>
    <row r="18" spans="1:5" x14ac:dyDescent="0.25">
      <c r="A18" s="7" t="s">
        <v>105</v>
      </c>
      <c r="B18" s="38">
        <v>455608</v>
      </c>
      <c r="D18" s="7" t="s">
        <v>89</v>
      </c>
      <c r="E18" s="11">
        <v>1794100</v>
      </c>
    </row>
    <row r="19" spans="1:5" x14ac:dyDescent="0.25">
      <c r="D19" s="7" t="s">
        <v>99</v>
      </c>
      <c r="E19" s="11">
        <v>3452747.7800000003</v>
      </c>
    </row>
    <row r="20" spans="1:5" x14ac:dyDescent="0.25">
      <c r="A20" s="7" t="s">
        <v>55</v>
      </c>
      <c r="B20" s="38">
        <v>477000</v>
      </c>
      <c r="D20" s="7" t="s">
        <v>99</v>
      </c>
      <c r="E20" s="11">
        <v>192784.76</v>
      </c>
    </row>
    <row r="21" spans="1:5" x14ac:dyDescent="0.25">
      <c r="A21" s="7" t="s">
        <v>117</v>
      </c>
      <c r="B21" s="38">
        <v>17700000</v>
      </c>
      <c r="D21" s="7" t="s">
        <v>99</v>
      </c>
      <c r="E21" s="11">
        <v>51531.76</v>
      </c>
    </row>
    <row r="22" spans="1:5" x14ac:dyDescent="0.25">
      <c r="D22" s="7" t="s">
        <v>91</v>
      </c>
      <c r="E22" s="11">
        <v>961520</v>
      </c>
    </row>
    <row r="23" spans="1:5" x14ac:dyDescent="0.25">
      <c r="D23" s="7" t="s">
        <v>112</v>
      </c>
      <c r="E23" s="11">
        <v>2706500</v>
      </c>
    </row>
    <row r="24" spans="1:5" x14ac:dyDescent="0.25">
      <c r="D24" s="7" t="s">
        <v>113</v>
      </c>
      <c r="E24" s="11">
        <v>307481.78999999998</v>
      </c>
    </row>
    <row r="25" spans="1:5" x14ac:dyDescent="0.25">
      <c r="D25" s="7" t="s">
        <v>114</v>
      </c>
      <c r="E25" s="11">
        <v>858511</v>
      </c>
    </row>
    <row r="26" spans="1:5" x14ac:dyDescent="0.25">
      <c r="D26" s="7" t="s">
        <v>63</v>
      </c>
      <c r="E26" s="11">
        <v>1891705</v>
      </c>
    </row>
    <row r="27" spans="1:5" x14ac:dyDescent="0.25">
      <c r="D27" s="7" t="s">
        <v>112</v>
      </c>
      <c r="E27" s="11">
        <v>230424</v>
      </c>
    </row>
    <row r="28" spans="1:5" x14ac:dyDescent="0.25">
      <c r="D28" s="7" t="s">
        <v>118</v>
      </c>
      <c r="E28" s="11">
        <v>4733100</v>
      </c>
    </row>
    <row r="35" spans="2:3" ht="18.75" x14ac:dyDescent="0.25">
      <c r="C35" s="12"/>
    </row>
    <row r="39" spans="2:3" x14ac:dyDescent="0.25">
      <c r="B39" s="39"/>
    </row>
    <row r="43" spans="2:3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r:id="rId1"/>
  <headerFooter>
    <oddHeader>&amp;L&amp;F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A3B9E-8BF1-4C69-84D9-073810FAD18F}">
  <sheetPr codeName="Hoja8"/>
  <dimension ref="A1:E43"/>
  <sheetViews>
    <sheetView zoomScale="150" zoomScaleNormal="150" workbookViewId="0">
      <selection activeCell="E6" sqref="E6:E35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38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 xml:space="preserve">JUN 24 </v>
      </c>
      <c r="B1" s="30"/>
      <c r="C1" s="26"/>
      <c r="D1" s="26"/>
      <c r="E1" s="27"/>
    </row>
    <row r="2" spans="1:5" s="3" customFormat="1" ht="18.75" x14ac:dyDescent="0.25">
      <c r="A2" s="20" t="s">
        <v>52</v>
      </c>
      <c r="B2" s="31">
        <f>+'MAY24'!B3</f>
        <v>55165886.322999999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32">
        <f>$B$2 + $B$5 - $E$5</f>
        <v>23479410.305999994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33"/>
      <c r="C4" s="25"/>
      <c r="D4" s="26"/>
      <c r="E4" s="27"/>
    </row>
    <row r="5" spans="1:5" s="1" customFormat="1" x14ac:dyDescent="0.25">
      <c r="A5" s="28" t="s">
        <v>109</v>
      </c>
      <c r="B5" s="34">
        <f>+SUM($B$6:$B$1048576)</f>
        <v>35958290</v>
      </c>
      <c r="C5" s="26"/>
      <c r="D5" s="28" t="s">
        <v>110</v>
      </c>
      <c r="E5" s="18">
        <f>+SUM(E6:E1048576)</f>
        <v>67644766.017000005</v>
      </c>
    </row>
    <row r="6" spans="1:5" ht="30" x14ac:dyDescent="0.25">
      <c r="A6" s="5" t="s">
        <v>126</v>
      </c>
      <c r="B6" s="35">
        <f>12043455+5280000</f>
        <v>17323455</v>
      </c>
      <c r="D6" s="8" t="s">
        <v>5</v>
      </c>
      <c r="E6" s="9">
        <v>1075592</v>
      </c>
    </row>
    <row r="7" spans="1:5" x14ac:dyDescent="0.25">
      <c r="A7" s="10" t="s">
        <v>125</v>
      </c>
      <c r="B7" s="35">
        <v>200000</v>
      </c>
      <c r="D7" s="8" t="s">
        <v>2</v>
      </c>
      <c r="E7" s="9"/>
    </row>
    <row r="8" spans="1:5" x14ac:dyDescent="0.25">
      <c r="A8" s="8" t="s">
        <v>73</v>
      </c>
      <c r="B8" s="36"/>
      <c r="D8" s="8" t="s">
        <v>70</v>
      </c>
      <c r="E8" s="9">
        <v>150428</v>
      </c>
    </row>
    <row r="9" spans="1:5" x14ac:dyDescent="0.25">
      <c r="A9" s="8" t="s">
        <v>77</v>
      </c>
      <c r="B9" s="37">
        <v>365000</v>
      </c>
      <c r="D9" s="8" t="s">
        <v>71</v>
      </c>
      <c r="E9" s="9">
        <v>519013</v>
      </c>
    </row>
    <row r="10" spans="1:5" x14ac:dyDescent="0.25">
      <c r="A10" s="8" t="s">
        <v>77</v>
      </c>
      <c r="B10" s="36">
        <v>342000</v>
      </c>
      <c r="D10" s="8" t="s">
        <v>74</v>
      </c>
      <c r="E10" s="9"/>
    </row>
    <row r="11" spans="1:5" x14ac:dyDescent="0.25">
      <c r="A11" s="8" t="s">
        <v>107</v>
      </c>
      <c r="B11" s="36">
        <v>9966400</v>
      </c>
      <c r="D11" s="8" t="s">
        <v>72</v>
      </c>
      <c r="E11" s="9"/>
    </row>
    <row r="12" spans="1:5" x14ac:dyDescent="0.25">
      <c r="A12" s="8" t="s">
        <v>127</v>
      </c>
      <c r="B12" s="36">
        <v>5308774</v>
      </c>
      <c r="D12" s="8" t="s">
        <v>75</v>
      </c>
      <c r="E12" s="9">
        <v>15000000</v>
      </c>
    </row>
    <row r="13" spans="1:5" x14ac:dyDescent="0.25">
      <c r="A13" s="8"/>
      <c r="B13" s="36"/>
      <c r="D13" s="8" t="s">
        <v>108</v>
      </c>
      <c r="E13" s="9"/>
    </row>
    <row r="14" spans="1:5" x14ac:dyDescent="0.25">
      <c r="A14" s="8"/>
      <c r="B14" s="36"/>
      <c r="D14" s="8"/>
      <c r="E14" s="9"/>
    </row>
    <row r="15" spans="1:5" x14ac:dyDescent="0.25">
      <c r="A15" s="8"/>
      <c r="B15" s="36"/>
      <c r="D15" s="8"/>
      <c r="E15" s="9"/>
    </row>
    <row r="16" spans="1:5" x14ac:dyDescent="0.25">
      <c r="A16" s="8"/>
      <c r="B16" s="36"/>
      <c r="D16" s="8"/>
      <c r="E16" s="9"/>
    </row>
    <row r="17" spans="1:5" x14ac:dyDescent="0.25">
      <c r="A17" s="7" t="s">
        <v>120</v>
      </c>
      <c r="B17" s="38">
        <v>119000</v>
      </c>
      <c r="D17" s="7" t="s">
        <v>122</v>
      </c>
      <c r="E17" s="11">
        <v>841019.41</v>
      </c>
    </row>
    <row r="18" spans="1:5" x14ac:dyDescent="0.25">
      <c r="A18" s="7" t="s">
        <v>121</v>
      </c>
      <c r="B18" s="38">
        <v>166600</v>
      </c>
      <c r="D18" s="7" t="s">
        <v>103</v>
      </c>
      <c r="E18" s="11">
        <v>19460797.586999997</v>
      </c>
    </row>
    <row r="19" spans="1:5" x14ac:dyDescent="0.25">
      <c r="A19" s="7" t="s">
        <v>124</v>
      </c>
      <c r="B19" s="38">
        <v>31461</v>
      </c>
      <c r="D19" s="7" t="s">
        <v>123</v>
      </c>
      <c r="E19" s="11">
        <v>2530000</v>
      </c>
    </row>
    <row r="20" spans="1:5" x14ac:dyDescent="0.25">
      <c r="A20" s="7" t="s">
        <v>155</v>
      </c>
      <c r="B20" s="38">
        <f>2839000*40%</f>
        <v>1135600</v>
      </c>
      <c r="D20" s="7" t="s">
        <v>119</v>
      </c>
      <c r="E20" s="11">
        <v>839521.2</v>
      </c>
    </row>
    <row r="21" spans="1:5" x14ac:dyDescent="0.25">
      <c r="A21" s="7" t="s">
        <v>157</v>
      </c>
      <c r="B21" s="38">
        <f>500000+500000</f>
        <v>1000000</v>
      </c>
      <c r="D21" s="7" t="s">
        <v>112</v>
      </c>
      <c r="E21" s="11">
        <v>2729691</v>
      </c>
    </row>
    <row r="22" spans="1:5" x14ac:dyDescent="0.25">
      <c r="D22" s="7" t="s">
        <v>80</v>
      </c>
      <c r="E22" s="11">
        <v>5022208.17</v>
      </c>
    </row>
    <row r="23" spans="1:5" x14ac:dyDescent="0.25">
      <c r="D23" s="7" t="s">
        <v>63</v>
      </c>
      <c r="E23" s="11">
        <v>1891705</v>
      </c>
    </row>
    <row r="24" spans="1:5" x14ac:dyDescent="0.25">
      <c r="D24" s="7" t="s">
        <v>80</v>
      </c>
      <c r="E24" s="11">
        <v>1116461.8400000001</v>
      </c>
    </row>
    <row r="25" spans="1:5" x14ac:dyDescent="0.25">
      <c r="D25" s="7" t="s">
        <v>67</v>
      </c>
      <c r="E25" s="11">
        <v>129083</v>
      </c>
    </row>
    <row r="26" spans="1:5" x14ac:dyDescent="0.25">
      <c r="D26" s="7" t="s">
        <v>65</v>
      </c>
      <c r="E26" s="11">
        <v>9349257.8100000005</v>
      </c>
    </row>
    <row r="27" spans="1:5" x14ac:dyDescent="0.25">
      <c r="D27" s="7" t="s">
        <v>128</v>
      </c>
      <c r="E27" s="11">
        <v>1508400</v>
      </c>
    </row>
    <row r="28" spans="1:5" x14ac:dyDescent="0.25">
      <c r="D28" s="7" t="s">
        <v>129</v>
      </c>
      <c r="E28" s="11">
        <v>286000</v>
      </c>
    </row>
    <row r="29" spans="1:5" x14ac:dyDescent="0.25">
      <c r="D29" s="7" t="s">
        <v>130</v>
      </c>
      <c r="E29" s="11">
        <v>2660000</v>
      </c>
    </row>
    <row r="30" spans="1:5" x14ac:dyDescent="0.25">
      <c r="D30" s="7" t="s">
        <v>131</v>
      </c>
      <c r="E30" s="11">
        <v>2535588</v>
      </c>
    </row>
    <row r="35" spans="2:3" ht="18.75" x14ac:dyDescent="0.25">
      <c r="C35" s="12"/>
    </row>
    <row r="39" spans="2:3" x14ac:dyDescent="0.25">
      <c r="B39" s="39"/>
    </row>
    <row r="43" spans="2:3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r:id="rId1"/>
  <headerFooter>
    <oddHeader>&amp;L&amp;F</oddHead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A000F-9BC2-4151-B064-6A0AF9CD8A9A}">
  <sheetPr codeName="Hoja9"/>
  <dimension ref="A1:E43"/>
  <sheetViews>
    <sheetView zoomScale="150" zoomScaleNormal="150" workbookViewId="0">
      <selection activeCell="E6" sqref="E6:E18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38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>JUL 24</v>
      </c>
      <c r="B1" s="30"/>
      <c r="C1" s="26"/>
      <c r="D1" s="26"/>
      <c r="E1" s="27"/>
    </row>
    <row r="2" spans="1:5" s="3" customFormat="1" ht="18.75" x14ac:dyDescent="0.25">
      <c r="A2" s="20" t="s">
        <v>52</v>
      </c>
      <c r="B2" s="31">
        <f>+'JUN 24 '!B3</f>
        <v>23479410.305999994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32">
        <f>$B$2 + $B$5 - $E$5</f>
        <v>70006214.31099999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33"/>
      <c r="C4" s="25"/>
      <c r="D4" s="26"/>
      <c r="E4" s="27"/>
    </row>
    <row r="5" spans="1:5" s="1" customFormat="1" x14ac:dyDescent="0.25">
      <c r="A5" s="28" t="s">
        <v>109</v>
      </c>
      <c r="B5" s="34">
        <f>+SUM($B$6:$B$1048576)</f>
        <v>56440208.045000002</v>
      </c>
      <c r="C5" s="26"/>
      <c r="D5" s="28" t="s">
        <v>110</v>
      </c>
      <c r="E5" s="18">
        <f>+SUM(E6:E1048576)</f>
        <v>9913404.0399999991</v>
      </c>
    </row>
    <row r="6" spans="1:5" ht="30" x14ac:dyDescent="0.25">
      <c r="A6" s="5" t="s">
        <v>126</v>
      </c>
      <c r="B6" s="35">
        <v>17882946</v>
      </c>
      <c r="D6" s="8" t="s">
        <v>5</v>
      </c>
      <c r="E6" s="9">
        <v>1026257</v>
      </c>
    </row>
    <row r="7" spans="1:5" x14ac:dyDescent="0.25">
      <c r="A7" s="10" t="s">
        <v>134</v>
      </c>
      <c r="B7" s="35">
        <v>400000</v>
      </c>
      <c r="D7" s="8" t="s">
        <v>2</v>
      </c>
      <c r="E7" s="9"/>
    </row>
    <row r="8" spans="1:5" x14ac:dyDescent="0.25">
      <c r="A8" s="8" t="s">
        <v>73</v>
      </c>
      <c r="B8" s="36"/>
      <c r="D8" s="8" t="s">
        <v>70</v>
      </c>
      <c r="E8" s="9">
        <v>150428</v>
      </c>
    </row>
    <row r="9" spans="1:5" x14ac:dyDescent="0.25">
      <c r="A9" s="8" t="s">
        <v>77</v>
      </c>
      <c r="B9" s="37">
        <v>533000</v>
      </c>
      <c r="D9" s="8" t="s">
        <v>71</v>
      </c>
      <c r="E9" s="9"/>
    </row>
    <row r="10" spans="1:5" x14ac:dyDescent="0.25">
      <c r="A10" s="8" t="s">
        <v>77</v>
      </c>
      <c r="B10" s="36">
        <v>370000</v>
      </c>
      <c r="D10" s="8" t="s">
        <v>74</v>
      </c>
      <c r="E10" s="9"/>
    </row>
    <row r="11" spans="1:5" x14ac:dyDescent="0.25">
      <c r="A11" s="8" t="s">
        <v>107</v>
      </c>
      <c r="B11" s="36">
        <v>19523950</v>
      </c>
      <c r="D11" s="8" t="s">
        <v>72</v>
      </c>
      <c r="E11" s="9"/>
    </row>
    <row r="12" spans="1:5" x14ac:dyDescent="0.25">
      <c r="A12" s="8" t="s">
        <v>152</v>
      </c>
      <c r="B12" s="36">
        <v>2000000</v>
      </c>
      <c r="D12" s="8" t="s">
        <v>133</v>
      </c>
      <c r="E12" s="9">
        <v>1500000</v>
      </c>
    </row>
    <row r="13" spans="1:5" x14ac:dyDescent="0.25">
      <c r="A13" s="8"/>
      <c r="B13" s="36"/>
      <c r="D13" s="8" t="s">
        <v>108</v>
      </c>
      <c r="E13" s="9"/>
    </row>
    <row r="14" spans="1:5" x14ac:dyDescent="0.25">
      <c r="A14" s="8"/>
      <c r="B14" s="36"/>
      <c r="D14" s="8"/>
      <c r="E14" s="9"/>
    </row>
    <row r="15" spans="1:5" x14ac:dyDescent="0.25">
      <c r="A15" s="8"/>
      <c r="B15" s="36"/>
      <c r="D15" s="8"/>
      <c r="E15" s="9"/>
    </row>
    <row r="16" spans="1:5" x14ac:dyDescent="0.25">
      <c r="A16" s="8"/>
      <c r="B16" s="36"/>
      <c r="D16" s="8"/>
      <c r="E16" s="9"/>
    </row>
    <row r="17" spans="1:5" x14ac:dyDescent="0.25">
      <c r="A17" s="7" t="s">
        <v>81</v>
      </c>
      <c r="B17" s="38">
        <v>1160115.53</v>
      </c>
      <c r="D17" s="7" t="s">
        <v>95</v>
      </c>
      <c r="E17" s="11">
        <v>7236719.0399999991</v>
      </c>
    </row>
    <row r="18" spans="1:5" x14ac:dyDescent="0.25">
      <c r="A18" s="7" t="s">
        <v>81</v>
      </c>
      <c r="B18" s="38">
        <v>1749035.47</v>
      </c>
    </row>
    <row r="19" spans="1:5" x14ac:dyDescent="0.25">
      <c r="A19" s="7" t="s">
        <v>81</v>
      </c>
      <c r="B19" s="38">
        <v>2381143.5</v>
      </c>
    </row>
    <row r="20" spans="1:5" x14ac:dyDescent="0.25">
      <c r="A20" s="7" t="s">
        <v>132</v>
      </c>
      <c r="B20" s="38">
        <v>-36748.39</v>
      </c>
    </row>
    <row r="21" spans="1:5" x14ac:dyDescent="0.25">
      <c r="A21" s="7" t="s">
        <v>132</v>
      </c>
      <c r="B21" s="38">
        <v>772688.42</v>
      </c>
    </row>
    <row r="22" spans="1:5" x14ac:dyDescent="0.25">
      <c r="A22" s="7" t="s">
        <v>132</v>
      </c>
      <c r="B22" s="38">
        <v>1988714.415</v>
      </c>
    </row>
    <row r="23" spans="1:5" x14ac:dyDescent="0.25">
      <c r="A23" s="7" t="s">
        <v>81</v>
      </c>
      <c r="B23" s="38">
        <v>807284.1</v>
      </c>
    </row>
    <row r="24" spans="1:5" x14ac:dyDescent="0.25">
      <c r="A24" s="7" t="s">
        <v>155</v>
      </c>
      <c r="B24" s="38">
        <f>2549000*40%</f>
        <v>1019600</v>
      </c>
    </row>
    <row r="25" spans="1:5" x14ac:dyDescent="0.25">
      <c r="A25" s="7" t="s">
        <v>157</v>
      </c>
      <c r="B25" s="38">
        <f>500000+500000</f>
        <v>1000000</v>
      </c>
    </row>
    <row r="26" spans="1:5" x14ac:dyDescent="0.25">
      <c r="A26" s="7" t="s">
        <v>163</v>
      </c>
      <c r="B26" s="38">
        <v>4888479</v>
      </c>
    </row>
    <row r="35" spans="2:3" ht="18.75" x14ac:dyDescent="0.25">
      <c r="C35" s="12"/>
    </row>
    <row r="39" spans="2:3" x14ac:dyDescent="0.25">
      <c r="B39" s="39"/>
    </row>
    <row r="43" spans="2:3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r:id="rId1"/>
  <headerFooter>
    <oddHeader>&amp;L&amp;F</oddHead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CBB5E-8E14-41B8-AF45-3CBB09D8F117}">
  <sheetPr codeName="Hoja10"/>
  <dimension ref="A1:E43"/>
  <sheetViews>
    <sheetView zoomScale="150" zoomScaleNormal="150" workbookViewId="0">
      <selection activeCell="B5" sqref="B5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38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>AGO 24</v>
      </c>
      <c r="B1" s="30"/>
      <c r="C1" s="26"/>
      <c r="D1" s="26"/>
      <c r="E1" s="27"/>
    </row>
    <row r="2" spans="1:5" s="3" customFormat="1" ht="18.75" x14ac:dyDescent="0.25">
      <c r="A2" s="20" t="s">
        <v>52</v>
      </c>
      <c r="B2" s="31">
        <f>'JUL 24'!B3</f>
        <v>70006214.31099999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32">
        <f>$B$2 + $B$5 - $E$5</f>
        <v>64283464.199799985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33"/>
      <c r="C4" s="25"/>
      <c r="D4" s="26"/>
      <c r="E4" s="27"/>
    </row>
    <row r="5" spans="1:5" s="1" customFormat="1" x14ac:dyDescent="0.25">
      <c r="A5" s="28" t="s">
        <v>109</v>
      </c>
      <c r="B5" s="34">
        <f>+SUM($B$6:$B$1048576)</f>
        <v>78606151.888799995</v>
      </c>
      <c r="C5" s="26"/>
      <c r="D5" s="28" t="s">
        <v>110</v>
      </c>
      <c r="E5" s="18">
        <f>+SUM(E6:E1048576)</f>
        <v>84328902</v>
      </c>
    </row>
    <row r="6" spans="1:5" ht="30" x14ac:dyDescent="0.25">
      <c r="A6" s="5" t="s">
        <v>126</v>
      </c>
      <c r="B6" s="35">
        <v>17539448</v>
      </c>
      <c r="D6" s="8" t="s">
        <v>169</v>
      </c>
      <c r="E6" s="9">
        <v>928203</v>
      </c>
    </row>
    <row r="7" spans="1:5" x14ac:dyDescent="0.25">
      <c r="A7" s="10" t="s">
        <v>182</v>
      </c>
      <c r="B7" s="35">
        <v>400000</v>
      </c>
      <c r="D7" s="8" t="s">
        <v>2</v>
      </c>
      <c r="E7" s="9"/>
    </row>
    <row r="8" spans="1:5" x14ac:dyDescent="0.25">
      <c r="A8" s="8" t="s">
        <v>154</v>
      </c>
      <c r="B8" s="36">
        <v>13700000</v>
      </c>
      <c r="D8" s="8" t="s">
        <v>70</v>
      </c>
      <c r="E8" s="9"/>
    </row>
    <row r="9" spans="1:5" x14ac:dyDescent="0.25">
      <c r="A9" s="8" t="s">
        <v>175</v>
      </c>
      <c r="B9" s="37">
        <v>581000</v>
      </c>
      <c r="D9" s="8" t="s">
        <v>71</v>
      </c>
      <c r="E9" s="9">
        <v>523268</v>
      </c>
    </row>
    <row r="10" spans="1:5" x14ac:dyDescent="0.25">
      <c r="A10" s="8" t="s">
        <v>174</v>
      </c>
      <c r="B10" s="36">
        <v>546000</v>
      </c>
      <c r="D10" s="8" t="s">
        <v>74</v>
      </c>
      <c r="E10" s="9"/>
    </row>
    <row r="11" spans="1:5" x14ac:dyDescent="0.25">
      <c r="A11" s="8" t="s">
        <v>107</v>
      </c>
      <c r="B11" s="36">
        <f>3000000+1000000</f>
        <v>4000000</v>
      </c>
      <c r="D11" s="8" t="s">
        <v>72</v>
      </c>
      <c r="E11" s="9"/>
    </row>
    <row r="12" spans="1:5" x14ac:dyDescent="0.25">
      <c r="A12" s="8" t="s">
        <v>150</v>
      </c>
      <c r="B12" s="36">
        <v>139531</v>
      </c>
      <c r="D12" s="8" t="s">
        <v>168</v>
      </c>
      <c r="E12" s="9"/>
    </row>
    <row r="13" spans="1:5" x14ac:dyDescent="0.25">
      <c r="A13" s="8" t="s">
        <v>151</v>
      </c>
      <c r="B13" s="36">
        <v>1953432</v>
      </c>
      <c r="D13" s="8" t="s">
        <v>108</v>
      </c>
      <c r="E13" s="9"/>
    </row>
    <row r="14" spans="1:5" x14ac:dyDescent="0.25">
      <c r="A14" s="8" t="s">
        <v>153</v>
      </c>
      <c r="B14" s="36">
        <f>500000+500000+300000</f>
        <v>1300000</v>
      </c>
      <c r="D14" s="8" t="s">
        <v>170</v>
      </c>
      <c r="E14" s="9">
        <v>1056844</v>
      </c>
    </row>
    <row r="15" spans="1:5" x14ac:dyDescent="0.25">
      <c r="A15" s="8" t="s">
        <v>173</v>
      </c>
      <c r="B15" s="36">
        <v>529000</v>
      </c>
      <c r="D15" s="8"/>
      <c r="E15" s="9"/>
    </row>
    <row r="16" spans="1:5" x14ac:dyDescent="0.25">
      <c r="A16" s="7" t="s">
        <v>81</v>
      </c>
      <c r="B16" s="38">
        <v>6340058.9887999995</v>
      </c>
      <c r="D16" s="8"/>
      <c r="E16" s="9"/>
    </row>
    <row r="17" spans="1:5" x14ac:dyDescent="0.25">
      <c r="A17" s="7" t="s">
        <v>159</v>
      </c>
      <c r="B17" s="38">
        <v>1000000</v>
      </c>
      <c r="D17" s="7" t="s">
        <v>162</v>
      </c>
      <c r="E17" s="11">
        <v>28840988</v>
      </c>
    </row>
    <row r="18" spans="1:5" x14ac:dyDescent="0.25">
      <c r="A18" s="7" t="s">
        <v>159</v>
      </c>
      <c r="B18" s="38">
        <v>4000000</v>
      </c>
      <c r="D18" s="7" t="s">
        <v>161</v>
      </c>
      <c r="E18" s="11">
        <v>142743</v>
      </c>
    </row>
    <row r="19" spans="1:5" x14ac:dyDescent="0.25">
      <c r="A19" s="7" t="s">
        <v>179</v>
      </c>
      <c r="B19" s="38">
        <f>6697883*30%</f>
        <v>2009364.9</v>
      </c>
      <c r="D19" s="7" t="s">
        <v>160</v>
      </c>
      <c r="E19" s="11">
        <v>115934</v>
      </c>
    </row>
    <row r="20" spans="1:5" x14ac:dyDescent="0.25">
      <c r="A20" s="7" t="s">
        <v>164</v>
      </c>
      <c r="B20" s="38">
        <v>17000000</v>
      </c>
      <c r="D20" s="7" t="s">
        <v>165</v>
      </c>
      <c r="E20" s="11">
        <v>37779062</v>
      </c>
    </row>
    <row r="21" spans="1:5" x14ac:dyDescent="0.25">
      <c r="A21" s="7" t="s">
        <v>171</v>
      </c>
      <c r="B21" s="38">
        <v>2462355</v>
      </c>
      <c r="D21" s="7" t="s">
        <v>166</v>
      </c>
      <c r="E21" s="11">
        <v>138786</v>
      </c>
    </row>
    <row r="22" spans="1:5" x14ac:dyDescent="0.25">
      <c r="A22" s="7" t="s">
        <v>172</v>
      </c>
      <c r="B22" s="38">
        <v>1440000</v>
      </c>
      <c r="D22" s="7" t="s">
        <v>167</v>
      </c>
      <c r="E22" s="11">
        <v>151705</v>
      </c>
    </row>
    <row r="23" spans="1:5" x14ac:dyDescent="0.25">
      <c r="A23" s="7" t="s">
        <v>178</v>
      </c>
      <c r="B23" s="38">
        <v>1739462</v>
      </c>
      <c r="D23" s="7" t="s">
        <v>176</v>
      </c>
      <c r="E23" s="11">
        <v>86289</v>
      </c>
    </row>
    <row r="24" spans="1:5" x14ac:dyDescent="0.25">
      <c r="A24" s="7" t="s">
        <v>180</v>
      </c>
      <c r="B24" s="38">
        <v>1926500</v>
      </c>
      <c r="D24" s="7" t="s">
        <v>177</v>
      </c>
      <c r="E24" s="11">
        <v>1669204</v>
      </c>
    </row>
    <row r="25" spans="1:5" x14ac:dyDescent="0.25">
      <c r="D25" s="7" t="s">
        <v>181</v>
      </c>
      <c r="E25" s="11">
        <v>12895876</v>
      </c>
    </row>
    <row r="35" spans="2:3" ht="18.75" x14ac:dyDescent="0.25">
      <c r="C35" s="12"/>
    </row>
    <row r="39" spans="2:3" x14ac:dyDescent="0.25">
      <c r="B39" s="39"/>
    </row>
    <row r="43" spans="2:3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r:id="rId1"/>
  <headerFooter>
    <oddHeader>&amp;L&amp;F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70C4A-799A-4AC1-8247-7AF4E109EE3A}">
  <sheetPr codeName="Hoja11"/>
  <dimension ref="A1:E43"/>
  <sheetViews>
    <sheetView topLeftCell="A4" zoomScale="150" zoomScaleNormal="150" workbookViewId="0">
      <selection activeCell="B11" sqref="B11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38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 xml:space="preserve">SEP 24 </v>
      </c>
      <c r="B1" s="30"/>
      <c r="C1" s="26"/>
      <c r="D1" s="26"/>
      <c r="E1" s="27"/>
    </row>
    <row r="2" spans="1:5" s="3" customFormat="1" ht="18.75" x14ac:dyDescent="0.25">
      <c r="A2" s="20" t="s">
        <v>52</v>
      </c>
      <c r="B2" s="31">
        <f>'AGO 24'!B3</f>
        <v>64283464.199799985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32">
        <f>$B$2 + $B$5 - $E$5</f>
        <v>101836078.19979998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33"/>
      <c r="C4" s="25"/>
      <c r="D4" s="26"/>
      <c r="E4" s="27"/>
    </row>
    <row r="5" spans="1:5" s="1" customFormat="1" x14ac:dyDescent="0.25">
      <c r="A5" s="28" t="s">
        <v>109</v>
      </c>
      <c r="B5" s="34">
        <f>+SUM($B$6:$B$1048576)</f>
        <v>96071068</v>
      </c>
      <c r="C5" s="26"/>
      <c r="D5" s="28" t="s">
        <v>110</v>
      </c>
      <c r="E5" s="18">
        <f>+SUM(E6:E1048576)</f>
        <v>58518454</v>
      </c>
    </row>
    <row r="6" spans="1:5" ht="30" x14ac:dyDescent="0.25">
      <c r="A6" s="5" t="s">
        <v>126</v>
      </c>
      <c r="B6" s="35">
        <v>17810648</v>
      </c>
      <c r="D6" s="8" t="s">
        <v>169</v>
      </c>
      <c r="E6" s="9">
        <v>945283</v>
      </c>
    </row>
    <row r="7" spans="1:5" x14ac:dyDescent="0.25">
      <c r="A7" s="10" t="s">
        <v>184</v>
      </c>
      <c r="B7" s="35">
        <v>400000</v>
      </c>
      <c r="D7" s="8" t="s">
        <v>2</v>
      </c>
      <c r="E7" s="9"/>
    </row>
    <row r="8" spans="1:5" x14ac:dyDescent="0.25">
      <c r="A8" s="8"/>
      <c r="B8" s="36"/>
      <c r="D8" s="8" t="s">
        <v>70</v>
      </c>
      <c r="E8" s="9"/>
    </row>
    <row r="9" spans="1:5" x14ac:dyDescent="0.25">
      <c r="A9" s="8" t="s">
        <v>191</v>
      </c>
      <c r="B9" s="37">
        <v>370000</v>
      </c>
      <c r="D9" s="8" t="s">
        <v>71</v>
      </c>
      <c r="E9" s="9">
        <v>523268</v>
      </c>
    </row>
    <row r="10" spans="1:5" x14ac:dyDescent="0.25">
      <c r="A10" s="8" t="s">
        <v>193</v>
      </c>
      <c r="B10" s="36">
        <v>326000</v>
      </c>
      <c r="D10" s="8" t="s">
        <v>74</v>
      </c>
      <c r="E10" s="9"/>
    </row>
    <row r="11" spans="1:5" x14ac:dyDescent="0.25">
      <c r="A11" s="8" t="s">
        <v>107</v>
      </c>
      <c r="B11" s="36">
        <f>3000000+826050+9000000+2200000+2182800+3000000+1119000+3000000+81200</f>
        <v>24409050</v>
      </c>
      <c r="D11" s="8" t="s">
        <v>72</v>
      </c>
      <c r="E11" s="9"/>
    </row>
    <row r="12" spans="1:5" x14ac:dyDescent="0.25">
      <c r="A12" s="8"/>
      <c r="B12" s="36"/>
      <c r="D12" s="8" t="s">
        <v>168</v>
      </c>
      <c r="E12" s="9"/>
    </row>
    <row r="13" spans="1:5" x14ac:dyDescent="0.25">
      <c r="A13" s="8" t="s">
        <v>183</v>
      </c>
      <c r="B13" s="36">
        <v>13000000</v>
      </c>
      <c r="D13" s="8" t="s">
        <v>108</v>
      </c>
      <c r="E13" s="9"/>
    </row>
    <row r="14" spans="1:5" x14ac:dyDescent="0.25">
      <c r="A14" s="8" t="s">
        <v>187</v>
      </c>
      <c r="B14" s="36">
        <v>2500000</v>
      </c>
      <c r="D14" s="8" t="s">
        <v>170</v>
      </c>
      <c r="E14" s="9">
        <v>1099984</v>
      </c>
    </row>
    <row r="15" spans="1:5" x14ac:dyDescent="0.25">
      <c r="A15" s="8" t="s">
        <v>153</v>
      </c>
      <c r="B15" s="36">
        <f>350000+350000+500000+600000</f>
        <v>1800000</v>
      </c>
      <c r="D15" s="8"/>
      <c r="E15" s="9"/>
    </row>
    <row r="16" spans="1:5" x14ac:dyDescent="0.25">
      <c r="A16" s="8"/>
      <c r="B16" s="36"/>
      <c r="D16" s="8" t="s">
        <v>186</v>
      </c>
      <c r="E16" s="9">
        <v>55575000</v>
      </c>
    </row>
    <row r="17" spans="1:5" x14ac:dyDescent="0.25">
      <c r="A17" s="7" t="s">
        <v>185</v>
      </c>
      <c r="B17" s="38">
        <v>22904500</v>
      </c>
      <c r="D17" s="7" t="s">
        <v>189</v>
      </c>
      <c r="E17" s="11">
        <v>374919</v>
      </c>
    </row>
    <row r="18" spans="1:5" x14ac:dyDescent="0.25">
      <c r="A18" s="7" t="s">
        <v>188</v>
      </c>
      <c r="B18" s="38">
        <v>6079451</v>
      </c>
    </row>
    <row r="19" spans="1:5" x14ac:dyDescent="0.25">
      <c r="A19" s="7" t="s">
        <v>190</v>
      </c>
      <c r="B19" s="38">
        <v>832000</v>
      </c>
    </row>
    <row r="20" spans="1:5" x14ac:dyDescent="0.25">
      <c r="A20" s="7" t="s">
        <v>192</v>
      </c>
      <c r="B20" s="38">
        <v>264500</v>
      </c>
    </row>
    <row r="21" spans="1:5" x14ac:dyDescent="0.25">
      <c r="A21" s="7" t="s">
        <v>194</v>
      </c>
      <c r="B21" s="38">
        <v>5000000</v>
      </c>
    </row>
    <row r="22" spans="1:5" x14ac:dyDescent="0.25">
      <c r="A22" s="7" t="s">
        <v>196</v>
      </c>
      <c r="B22" s="38">
        <v>374919</v>
      </c>
    </row>
    <row r="35" spans="2:3" ht="18.75" x14ac:dyDescent="0.25">
      <c r="C35" s="12"/>
    </row>
    <row r="39" spans="2:3" x14ac:dyDescent="0.25">
      <c r="B39" s="39"/>
    </row>
    <row r="43" spans="2:3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r:id="rId1"/>
  <headerFooter>
    <oddHeader>&amp;L&amp;F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B594A-AF65-43F3-9449-C5B269010A7C}">
  <sheetPr codeName="Hoja12"/>
  <dimension ref="A1:E43"/>
  <sheetViews>
    <sheetView zoomScale="150" zoomScaleNormal="150" workbookViewId="0">
      <selection activeCell="B7" sqref="B7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38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 xml:space="preserve">OCT 24  </v>
      </c>
      <c r="B1" s="30"/>
      <c r="C1" s="26"/>
      <c r="D1" s="26"/>
      <c r="E1" s="27"/>
    </row>
    <row r="2" spans="1:5" s="3" customFormat="1" ht="18.75" x14ac:dyDescent="0.25">
      <c r="A2" s="20" t="s">
        <v>52</v>
      </c>
      <c r="B2" s="31">
        <f>'SEP 24 '!B3</f>
        <v>101836078.19979998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32">
        <f>$B$2 + $B$5 - $E$5</f>
        <v>83858056.199799985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33"/>
      <c r="C4" s="25"/>
      <c r="D4" s="26"/>
      <c r="E4" s="27"/>
    </row>
    <row r="5" spans="1:5" s="1" customFormat="1" x14ac:dyDescent="0.25">
      <c r="A5" s="28" t="s">
        <v>109</v>
      </c>
      <c r="B5" s="34">
        <f>+SUM($B$6:$B$1048576)</f>
        <v>42689143</v>
      </c>
      <c r="C5" s="26"/>
      <c r="D5" s="28" t="s">
        <v>110</v>
      </c>
      <c r="E5" s="18">
        <f>+SUM(E6:E1048576)</f>
        <v>60667165</v>
      </c>
    </row>
    <row r="6" spans="1:5" ht="45" x14ac:dyDescent="0.25">
      <c r="A6" s="5" t="s">
        <v>220</v>
      </c>
      <c r="B6" s="35">
        <v>18316594</v>
      </c>
      <c r="D6" s="8" t="s">
        <v>169</v>
      </c>
      <c r="E6" s="9">
        <v>897253</v>
      </c>
    </row>
    <row r="7" spans="1:5" x14ac:dyDescent="0.25">
      <c r="A7" s="10" t="s">
        <v>203</v>
      </c>
      <c r="B7" s="35">
        <v>200000</v>
      </c>
      <c r="D7" s="8" t="s">
        <v>2</v>
      </c>
      <c r="E7" s="9"/>
    </row>
    <row r="8" spans="1:5" x14ac:dyDescent="0.25">
      <c r="A8" s="8"/>
      <c r="B8" s="36"/>
      <c r="D8" s="8" t="s">
        <v>70</v>
      </c>
      <c r="E8" s="9"/>
    </row>
    <row r="9" spans="1:5" x14ac:dyDescent="0.25">
      <c r="A9" s="8" t="s">
        <v>197</v>
      </c>
      <c r="B9" s="37">
        <v>427000</v>
      </c>
      <c r="D9" s="8" t="s">
        <v>71</v>
      </c>
      <c r="E9" s="9">
        <v>533790</v>
      </c>
    </row>
    <row r="10" spans="1:5" x14ac:dyDescent="0.25">
      <c r="A10" s="8" t="s">
        <v>198</v>
      </c>
      <c r="B10" s="36">
        <v>535000</v>
      </c>
      <c r="D10" s="8" t="s">
        <v>74</v>
      </c>
      <c r="E10" s="9"/>
    </row>
    <row r="11" spans="1:5" x14ac:dyDescent="0.25">
      <c r="A11" s="8" t="s">
        <v>107</v>
      </c>
      <c r="B11" s="36">
        <v>10746550</v>
      </c>
      <c r="D11" s="8" t="s">
        <v>72</v>
      </c>
      <c r="E11" s="9"/>
    </row>
    <row r="12" spans="1:5" x14ac:dyDescent="0.25">
      <c r="A12" s="8"/>
      <c r="B12" s="36"/>
      <c r="D12" s="8" t="s">
        <v>207</v>
      </c>
      <c r="E12" s="9">
        <v>2000000</v>
      </c>
    </row>
    <row r="13" spans="1:5" x14ac:dyDescent="0.25">
      <c r="A13" s="8"/>
      <c r="B13" s="36"/>
      <c r="D13" s="8" t="s">
        <v>108</v>
      </c>
      <c r="E13" s="9"/>
    </row>
    <row r="14" spans="1:5" x14ac:dyDescent="0.25">
      <c r="A14" s="8"/>
      <c r="B14" s="36"/>
      <c r="D14" s="8" t="s">
        <v>170</v>
      </c>
      <c r="E14" s="9">
        <v>1044285</v>
      </c>
    </row>
    <row r="15" spans="1:5" x14ac:dyDescent="0.25">
      <c r="A15" s="8" t="s">
        <v>153</v>
      </c>
      <c r="B15" s="36">
        <f>300000+400000+500000+300000+400000</f>
        <v>1900000</v>
      </c>
      <c r="D15" s="8"/>
      <c r="E15" s="9"/>
    </row>
    <row r="16" spans="1:5" x14ac:dyDescent="0.25">
      <c r="A16" s="8" t="s">
        <v>204</v>
      </c>
      <c r="B16" s="36">
        <v>47600</v>
      </c>
      <c r="D16" s="8"/>
      <c r="E16" s="9"/>
    </row>
    <row r="17" spans="1:5" x14ac:dyDescent="0.25">
      <c r="A17" s="7" t="s">
        <v>195</v>
      </c>
      <c r="B17" s="38">
        <v>2000000</v>
      </c>
      <c r="D17" s="7" t="s">
        <v>199</v>
      </c>
      <c r="E17" s="11">
        <v>17415770</v>
      </c>
    </row>
    <row r="18" spans="1:5" x14ac:dyDescent="0.25">
      <c r="A18" s="7" t="s">
        <v>201</v>
      </c>
      <c r="B18" s="38">
        <f>3949000/2</f>
        <v>1974500</v>
      </c>
      <c r="D18" s="7" t="s">
        <v>200</v>
      </c>
      <c r="E18" s="11">
        <v>884518</v>
      </c>
    </row>
    <row r="19" spans="1:5" x14ac:dyDescent="0.25">
      <c r="A19" s="7" t="s">
        <v>202</v>
      </c>
      <c r="B19" s="38">
        <f>4395471+1235200</f>
        <v>5630671</v>
      </c>
      <c r="D19" s="7" t="s">
        <v>205</v>
      </c>
      <c r="E19" s="11">
        <v>9436026</v>
      </c>
    </row>
    <row r="20" spans="1:5" x14ac:dyDescent="0.25">
      <c r="A20" s="7" t="s">
        <v>209</v>
      </c>
      <c r="B20" s="38">
        <v>32400</v>
      </c>
      <c r="D20" s="7" t="s">
        <v>206</v>
      </c>
      <c r="E20" s="11">
        <v>2213523</v>
      </c>
    </row>
    <row r="21" spans="1:5" x14ac:dyDescent="0.25">
      <c r="A21" s="7" t="s">
        <v>210</v>
      </c>
      <c r="B21" s="11">
        <v>355500</v>
      </c>
      <c r="D21" s="7" t="s">
        <v>208</v>
      </c>
      <c r="E21" s="11">
        <v>1750000</v>
      </c>
    </row>
    <row r="22" spans="1:5" x14ac:dyDescent="0.25">
      <c r="A22" s="7" t="s">
        <v>212</v>
      </c>
      <c r="B22" s="11">
        <v>300000</v>
      </c>
      <c r="D22" s="7" t="s">
        <v>217</v>
      </c>
      <c r="E22" s="11">
        <v>900000</v>
      </c>
    </row>
    <row r="23" spans="1:5" x14ac:dyDescent="0.25">
      <c r="A23" s="7" t="s">
        <v>211</v>
      </c>
      <c r="B23" s="11">
        <v>37328</v>
      </c>
      <c r="D23" s="7" t="s">
        <v>218</v>
      </c>
      <c r="E23" s="11">
        <f>540000+113000+756000+114000+1550000+537000+750000+246000</f>
        <v>4606000</v>
      </c>
    </row>
    <row r="24" spans="1:5" x14ac:dyDescent="0.25">
      <c r="A24" s="7" t="s">
        <v>213</v>
      </c>
      <c r="B24" s="38">
        <v>186000</v>
      </c>
      <c r="D24" s="7" t="s">
        <v>222</v>
      </c>
      <c r="E24" s="11">
        <v>9246000</v>
      </c>
    </row>
    <row r="25" spans="1:5" x14ac:dyDescent="0.25">
      <c r="D25" s="7" t="s">
        <v>223</v>
      </c>
      <c r="E25" s="11">
        <v>9740000</v>
      </c>
    </row>
    <row r="35" spans="2:3" ht="18.75" x14ac:dyDescent="0.25">
      <c r="C35" s="12"/>
    </row>
    <row r="39" spans="2:3" x14ac:dyDescent="0.25">
      <c r="B39" s="39"/>
    </row>
    <row r="43" spans="2:3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r:id="rId1"/>
  <headerFooter>
    <oddHeader>&amp;L&amp;F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5A0B3-D870-48EA-B57D-55692C2127A5}">
  <sheetPr codeName="Hoja13"/>
  <dimension ref="A1:E43"/>
  <sheetViews>
    <sheetView zoomScale="150" zoomScaleNormal="150" workbookViewId="0">
      <selection activeCell="B5" sqref="B5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38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>NOV 24</v>
      </c>
      <c r="B1" s="30"/>
      <c r="C1" s="26"/>
      <c r="D1" s="26"/>
      <c r="E1" s="27"/>
    </row>
    <row r="2" spans="1:5" s="3" customFormat="1" ht="18.75" x14ac:dyDescent="0.25">
      <c r="A2" s="20" t="s">
        <v>52</v>
      </c>
      <c r="B2" s="31">
        <f>'OCT 24  '!B3</f>
        <v>83858056.199799985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32">
        <f>$B$2 + $B$5 - $E$5</f>
        <v>59297764.199799985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33"/>
      <c r="C4" s="25"/>
      <c r="D4" s="26"/>
      <c r="E4" s="27"/>
    </row>
    <row r="5" spans="1:5" s="1" customFormat="1" x14ac:dyDescent="0.25">
      <c r="A5" s="28" t="s">
        <v>109</v>
      </c>
      <c r="B5" s="34">
        <f>+SUM($B$6:$B$1048576)</f>
        <v>40240597</v>
      </c>
      <c r="C5" s="26"/>
      <c r="D5" s="28" t="s">
        <v>110</v>
      </c>
      <c r="E5" s="18">
        <f>+SUM(E6:E1048576)</f>
        <v>64800889</v>
      </c>
    </row>
    <row r="6" spans="1:5" ht="45" x14ac:dyDescent="0.25">
      <c r="A6" s="5" t="s">
        <v>241</v>
      </c>
      <c r="B6" s="35">
        <v>15362832</v>
      </c>
      <c r="D6" s="8" t="s">
        <v>169</v>
      </c>
      <c r="E6" s="9">
        <v>959338</v>
      </c>
    </row>
    <row r="7" spans="1:5" x14ac:dyDescent="0.25">
      <c r="A7" s="10" t="s">
        <v>214</v>
      </c>
      <c r="B7" s="35">
        <v>400000</v>
      </c>
      <c r="D7" s="8" t="s">
        <v>2</v>
      </c>
      <c r="E7" s="9"/>
    </row>
    <row r="8" spans="1:5" x14ac:dyDescent="0.25">
      <c r="A8" s="8" t="s">
        <v>233</v>
      </c>
      <c r="B8" s="36">
        <f>3692556+1316838</f>
        <v>5009394</v>
      </c>
      <c r="D8" s="8" t="s">
        <v>70</v>
      </c>
      <c r="E8" s="9"/>
    </row>
    <row r="9" spans="1:5" x14ac:dyDescent="0.25">
      <c r="A9" s="8" t="s">
        <v>215</v>
      </c>
      <c r="B9" s="37">
        <v>663000</v>
      </c>
      <c r="D9" s="8" t="s">
        <v>71</v>
      </c>
      <c r="E9" s="9">
        <v>533906</v>
      </c>
    </row>
    <row r="10" spans="1:5" x14ac:dyDescent="0.25">
      <c r="A10" s="8" t="s">
        <v>239</v>
      </c>
      <c r="B10" s="36">
        <v>429000</v>
      </c>
      <c r="D10" s="8" t="s">
        <v>74</v>
      </c>
      <c r="E10" s="9"/>
    </row>
    <row r="11" spans="1:5" x14ac:dyDescent="0.25">
      <c r="A11" s="8" t="s">
        <v>107</v>
      </c>
      <c r="B11" s="36">
        <f>1857150+2266600+3990000+2100000</f>
        <v>10213750</v>
      </c>
      <c r="D11" s="8" t="s">
        <v>72</v>
      </c>
      <c r="E11" s="9"/>
    </row>
    <row r="12" spans="1:5" x14ac:dyDescent="0.25">
      <c r="A12" s="8"/>
      <c r="B12" s="36"/>
      <c r="D12" s="8" t="s">
        <v>221</v>
      </c>
      <c r="E12" s="9"/>
    </row>
    <row r="13" spans="1:5" x14ac:dyDescent="0.25">
      <c r="A13" s="8"/>
      <c r="B13" s="36"/>
      <c r="D13" s="8" t="s">
        <v>108</v>
      </c>
      <c r="E13" s="9"/>
    </row>
    <row r="14" spans="1:5" x14ac:dyDescent="0.25">
      <c r="A14" s="8"/>
      <c r="B14" s="36"/>
      <c r="D14" s="8" t="s">
        <v>170</v>
      </c>
      <c r="E14" s="9">
        <v>1101888</v>
      </c>
    </row>
    <row r="15" spans="1:5" x14ac:dyDescent="0.25">
      <c r="A15" s="8" t="s">
        <v>153</v>
      </c>
      <c r="B15" s="36">
        <f>50000+500000+200000+500000+540000+415600</f>
        <v>2205600</v>
      </c>
      <c r="D15" s="8"/>
      <c r="E15" s="9"/>
    </row>
    <row r="16" spans="1:5" x14ac:dyDescent="0.25">
      <c r="A16" s="8"/>
      <c r="B16" s="36"/>
      <c r="D16" s="8"/>
      <c r="E16" s="9"/>
    </row>
    <row r="17" spans="1:5" x14ac:dyDescent="0.25">
      <c r="A17" s="7" t="s">
        <v>216</v>
      </c>
      <c r="B17" s="38">
        <v>40000</v>
      </c>
      <c r="D17" s="7" t="s">
        <v>217</v>
      </c>
      <c r="E17" s="11">
        <f>1170000+51500</f>
        <v>1221500</v>
      </c>
    </row>
    <row r="18" spans="1:5" x14ac:dyDescent="0.25">
      <c r="D18" s="7" t="s">
        <v>218</v>
      </c>
      <c r="E18" s="11">
        <f>1120000+750696+97000+163000</f>
        <v>2130696</v>
      </c>
    </row>
    <row r="19" spans="1:5" x14ac:dyDescent="0.25">
      <c r="A19" s="7" t="s">
        <v>240</v>
      </c>
      <c r="B19" s="38">
        <f>3174000*60%</f>
        <v>1904400</v>
      </c>
      <c r="D19" s="7" t="s">
        <v>219</v>
      </c>
      <c r="E19" s="11">
        <v>1593720</v>
      </c>
    </row>
    <row r="20" spans="1:5" x14ac:dyDescent="0.25">
      <c r="A20" s="7" t="s">
        <v>229</v>
      </c>
      <c r="B20" s="38">
        <v>1474829</v>
      </c>
      <c r="D20" s="7" t="s">
        <v>228</v>
      </c>
      <c r="E20" s="11">
        <v>633500</v>
      </c>
    </row>
    <row r="21" spans="1:5" x14ac:dyDescent="0.25">
      <c r="A21" s="7" t="s">
        <v>231</v>
      </c>
      <c r="B21" s="11">
        <v>890038</v>
      </c>
      <c r="D21" s="7" t="s">
        <v>234</v>
      </c>
      <c r="E21" s="11">
        <v>15504000</v>
      </c>
    </row>
    <row r="22" spans="1:5" x14ac:dyDescent="0.25">
      <c r="A22" s="7" t="s">
        <v>237</v>
      </c>
      <c r="B22" s="38">
        <v>1647754</v>
      </c>
      <c r="D22" s="7" t="s">
        <v>235</v>
      </c>
      <c r="E22" s="11">
        <v>2621250</v>
      </c>
    </row>
    <row r="23" spans="1:5" x14ac:dyDescent="0.25">
      <c r="D23" s="7" t="s">
        <v>232</v>
      </c>
      <c r="E23" s="11">
        <v>1783819</v>
      </c>
    </row>
    <row r="24" spans="1:5" x14ac:dyDescent="0.25">
      <c r="D24" s="7" t="s">
        <v>230</v>
      </c>
      <c r="E24" s="11">
        <v>970200</v>
      </c>
    </row>
    <row r="25" spans="1:5" x14ac:dyDescent="0.25">
      <c r="D25" s="7" t="s">
        <v>236</v>
      </c>
      <c r="E25" s="11">
        <v>32503072</v>
      </c>
    </row>
    <row r="26" spans="1:5" x14ac:dyDescent="0.25">
      <c r="D26" s="7" t="s">
        <v>238</v>
      </c>
      <c r="E26" s="11">
        <v>70000</v>
      </c>
    </row>
    <row r="27" spans="1:5" x14ac:dyDescent="0.25">
      <c r="D27" s="7" t="s">
        <v>227</v>
      </c>
      <c r="E27" s="11">
        <v>3174000</v>
      </c>
    </row>
    <row r="35" spans="2:3" ht="18.75" x14ac:dyDescent="0.25">
      <c r="C35" s="12"/>
    </row>
    <row r="39" spans="2:3" x14ac:dyDescent="0.25">
      <c r="B39" s="39"/>
    </row>
    <row r="43" spans="2:3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r:id="rId1"/>
  <headerFooter>
    <oddHeader>&amp;L&amp;F</oddHead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94179-AD02-43DC-A871-4AAD9C2F38B7}">
  <sheetPr codeName="Hoja14"/>
  <dimension ref="A1:E43"/>
  <sheetViews>
    <sheetView tabSelected="1" topLeftCell="A4" zoomScale="150" zoomScaleNormal="150" workbookViewId="0">
      <selection activeCell="D15" sqref="D15:E15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38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>DIC 24</v>
      </c>
      <c r="B1" s="30"/>
      <c r="C1" s="26"/>
      <c r="D1" s="26"/>
      <c r="E1" s="27"/>
    </row>
    <row r="2" spans="1:5" s="3" customFormat="1" ht="18.75" x14ac:dyDescent="0.25">
      <c r="A2" s="20" t="s">
        <v>52</v>
      </c>
      <c r="B2" s="31">
        <v>59297764.199799985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32">
        <f>$B$2 + $B$5 - $E$5</f>
        <v>219008221.19979998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33"/>
      <c r="C4" s="25"/>
      <c r="D4" s="26"/>
      <c r="E4" s="27"/>
    </row>
    <row r="5" spans="1:5" s="1" customFormat="1" x14ac:dyDescent="0.25">
      <c r="A5" s="28" t="s">
        <v>109</v>
      </c>
      <c r="B5" s="34">
        <f>+SUM($B$6:$B$1048576)</f>
        <v>160624880</v>
      </c>
      <c r="C5" s="26"/>
      <c r="D5" s="28" t="s">
        <v>110</v>
      </c>
      <c r="E5" s="18">
        <f>+SUM(E6:E1048576)</f>
        <v>914423</v>
      </c>
    </row>
    <row r="6" spans="1:5" ht="30" x14ac:dyDescent="0.25">
      <c r="A6" s="5" t="s">
        <v>254</v>
      </c>
      <c r="B6" s="35">
        <v>22626252</v>
      </c>
      <c r="D6" s="8" t="s">
        <v>169</v>
      </c>
      <c r="E6" s="9">
        <v>914423</v>
      </c>
    </row>
    <row r="7" spans="1:5" x14ac:dyDescent="0.25">
      <c r="A7" s="10" t="s">
        <v>253</v>
      </c>
      <c r="B7" s="35">
        <v>400000</v>
      </c>
      <c r="D7" s="8" t="s">
        <v>2</v>
      </c>
      <c r="E7" s="9"/>
    </row>
    <row r="8" spans="1:5" x14ac:dyDescent="0.25">
      <c r="A8" s="8"/>
      <c r="B8" s="36"/>
      <c r="D8" s="8" t="s">
        <v>70</v>
      </c>
      <c r="E8" s="9"/>
    </row>
    <row r="9" spans="1:5" x14ac:dyDescent="0.25">
      <c r="A9" s="8" t="s">
        <v>244</v>
      </c>
      <c r="B9" s="37">
        <v>438000</v>
      </c>
      <c r="D9" s="8" t="s">
        <v>71</v>
      </c>
      <c r="E9" s="9"/>
    </row>
    <row r="10" spans="1:5" x14ac:dyDescent="0.25">
      <c r="A10" s="8" t="s">
        <v>245</v>
      </c>
      <c r="B10" s="36">
        <v>204000</v>
      </c>
      <c r="D10" s="8" t="s">
        <v>74</v>
      </c>
      <c r="E10" s="9"/>
    </row>
    <row r="11" spans="1:5" x14ac:dyDescent="0.25">
      <c r="A11" s="8" t="s">
        <v>243</v>
      </c>
      <c r="B11" s="36">
        <f>3000000+2000000+3000000+2000000+3000000+3000000</f>
        <v>16000000</v>
      </c>
      <c r="D11" s="8" t="s">
        <v>72</v>
      </c>
      <c r="E11" s="9"/>
    </row>
    <row r="12" spans="1:5" x14ac:dyDescent="0.25">
      <c r="A12" s="8"/>
      <c r="B12" s="36"/>
      <c r="D12" s="8" t="s">
        <v>221</v>
      </c>
      <c r="E12" s="9"/>
    </row>
    <row r="13" spans="1:5" x14ac:dyDescent="0.25">
      <c r="A13" s="8"/>
      <c r="B13" s="36"/>
      <c r="D13" s="8" t="s">
        <v>108</v>
      </c>
      <c r="E13" s="9"/>
    </row>
    <row r="14" spans="1:5" x14ac:dyDescent="0.25">
      <c r="A14" s="8"/>
      <c r="B14" s="36"/>
      <c r="D14" s="8" t="s">
        <v>170</v>
      </c>
      <c r="E14" s="9"/>
    </row>
    <row r="15" spans="1:5" x14ac:dyDescent="0.25">
      <c r="A15" s="8" t="s">
        <v>153</v>
      </c>
      <c r="B15" s="36">
        <f>500000+650000+500000+500000</f>
        <v>2150000</v>
      </c>
      <c r="D15" s="8"/>
      <c r="E15" s="9"/>
    </row>
    <row r="16" spans="1:5" x14ac:dyDescent="0.25">
      <c r="A16" s="8" t="s">
        <v>246</v>
      </c>
      <c r="B16" s="36">
        <v>457885</v>
      </c>
      <c r="D16" s="8"/>
      <c r="E16" s="9"/>
    </row>
    <row r="17" spans="1:2" x14ac:dyDescent="0.25">
      <c r="A17" s="7" t="s">
        <v>248</v>
      </c>
      <c r="B17" s="38">
        <v>33957466</v>
      </c>
    </row>
    <row r="18" spans="1:2" x14ac:dyDescent="0.25">
      <c r="A18" s="7" t="s">
        <v>250</v>
      </c>
      <c r="B18" s="38">
        <v>938800</v>
      </c>
    </row>
    <row r="19" spans="1:2" x14ac:dyDescent="0.25">
      <c r="A19" s="7" t="s">
        <v>251</v>
      </c>
      <c r="B19" s="38">
        <v>333200</v>
      </c>
    </row>
    <row r="20" spans="1:2" x14ac:dyDescent="0.25">
      <c r="A20" s="7" t="s">
        <v>252</v>
      </c>
      <c r="B20" s="38">
        <v>1976430</v>
      </c>
    </row>
    <row r="21" spans="1:2" x14ac:dyDescent="0.25">
      <c r="A21" s="7" t="s">
        <v>255</v>
      </c>
      <c r="B21" s="11">
        <v>61941964</v>
      </c>
    </row>
    <row r="22" spans="1:2" x14ac:dyDescent="0.25">
      <c r="A22" s="7" t="s">
        <v>247</v>
      </c>
      <c r="B22" s="38">
        <v>19200883</v>
      </c>
    </row>
    <row r="35" spans="2:3" ht="18.75" x14ac:dyDescent="0.25">
      <c r="C35" s="12"/>
    </row>
    <row r="39" spans="2:3" x14ac:dyDescent="0.25">
      <c r="B39" s="39"/>
    </row>
    <row r="43" spans="2:3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r:id="rId1"/>
  <headerFooter>
    <oddHeader>&amp;L&amp;F</oddHead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EAB9E-E700-42F2-941A-6AF7D9BA8FD7}">
  <sheetPr codeName="Hoja15"/>
  <dimension ref="A1:E43"/>
  <sheetViews>
    <sheetView topLeftCell="A4" zoomScale="150" zoomScaleNormal="150" workbookViewId="0">
      <selection activeCell="A18" sqref="A18"/>
    </sheetView>
  </sheetViews>
  <sheetFormatPr baseColWidth="10" defaultColWidth="0" defaultRowHeight="15" x14ac:dyDescent="0.25"/>
  <cols>
    <col min="1" max="1" width="33.5703125" style="7" bestFit="1" customWidth="1"/>
    <col min="2" max="2" width="18.5703125" style="38" customWidth="1"/>
    <col min="3" max="3" width="9.7109375" style="7" customWidth="1"/>
    <col min="4" max="4" width="42.28515625" style="7" bestFit="1" customWidth="1"/>
    <col min="5" max="5" width="18.5703125" style="11" customWidth="1"/>
    <col min="6" max="6" width="11.5703125" style="7" hidden="1" customWidth="1"/>
    <col min="7" max="16384" width="11.5703125" style="7" hidden="1"/>
  </cols>
  <sheetData>
    <row r="1" spans="1:5" s="1" customFormat="1" ht="21" x14ac:dyDescent="0.25">
      <c r="A1" s="19" t="str" cm="1">
        <f t="array" aca="1" ref="A1" ca="1">RIGHT(CELL("nombrearchivo",A1),
LEN(CELL("nombrearchivo",A1)) - SEARCH("]",CELL("nombrearchivo",A1))
)</f>
        <v>ENE 25</v>
      </c>
      <c r="B1" s="30"/>
      <c r="C1" s="26"/>
      <c r="D1" s="26"/>
      <c r="E1" s="27"/>
    </row>
    <row r="2" spans="1:5" s="3" customFormat="1" ht="18.75" x14ac:dyDescent="0.25">
      <c r="A2" s="20" t="s">
        <v>52</v>
      </c>
      <c r="B2" s="31">
        <v>59297764.199799985</v>
      </c>
      <c r="C2" s="17" t="str">
        <f>+IF(B2&gt;0,$A$5,$D$5)</f>
        <v>INSTITUCIONALES DEBE A ALMACENES</v>
      </c>
      <c r="E2" s="4"/>
    </row>
    <row r="3" spans="1:5" s="3" customFormat="1" ht="18.75" x14ac:dyDescent="0.25">
      <c r="A3" s="20" t="s">
        <v>53</v>
      </c>
      <c r="B3" s="32">
        <f>$B$2 + $B$5 - $E$5</f>
        <v>59598964.199799985</v>
      </c>
      <c r="C3" s="17" t="str">
        <f>+IF(B3&gt;0,$A$5,$D$5)</f>
        <v>INSTITUCIONALES DEBE A ALMACENES</v>
      </c>
      <c r="D3" s="21"/>
      <c r="E3" s="22"/>
    </row>
    <row r="4" spans="1:5" s="1" customFormat="1" ht="21" x14ac:dyDescent="0.25">
      <c r="A4" s="23"/>
      <c r="B4" s="33"/>
      <c r="C4" s="25"/>
      <c r="D4" s="26"/>
      <c r="E4" s="27"/>
    </row>
    <row r="5" spans="1:5" s="1" customFormat="1" x14ac:dyDescent="0.25">
      <c r="A5" s="28" t="s">
        <v>109</v>
      </c>
      <c r="B5" s="34">
        <f>+SUM($B$6:$B$1048576)</f>
        <v>301200</v>
      </c>
      <c r="C5" s="26"/>
      <c r="D5" s="28" t="s">
        <v>110</v>
      </c>
      <c r="E5" s="18">
        <f>+SUM(E6:E1048576)</f>
        <v>0</v>
      </c>
    </row>
    <row r="6" spans="1:5" ht="45" x14ac:dyDescent="0.25">
      <c r="A6" s="5" t="s">
        <v>241</v>
      </c>
      <c r="B6" s="35"/>
      <c r="D6" s="8" t="s">
        <v>169</v>
      </c>
      <c r="E6" s="9"/>
    </row>
    <row r="7" spans="1:5" x14ac:dyDescent="0.25">
      <c r="A7" s="10" t="s">
        <v>214</v>
      </c>
      <c r="B7" s="35"/>
      <c r="D7" s="8" t="s">
        <v>2</v>
      </c>
      <c r="E7" s="9"/>
    </row>
    <row r="8" spans="1:5" x14ac:dyDescent="0.25">
      <c r="A8" s="8"/>
      <c r="B8" s="36"/>
      <c r="D8" s="8" t="s">
        <v>70</v>
      </c>
      <c r="E8" s="9"/>
    </row>
    <row r="9" spans="1:5" x14ac:dyDescent="0.25">
      <c r="A9" s="8" t="s">
        <v>244</v>
      </c>
      <c r="B9" s="37"/>
      <c r="D9" s="8" t="s">
        <v>71</v>
      </c>
      <c r="E9" s="9"/>
    </row>
    <row r="10" spans="1:5" x14ac:dyDescent="0.25">
      <c r="A10" s="8" t="s">
        <v>245</v>
      </c>
      <c r="B10" s="36"/>
      <c r="D10" s="8" t="s">
        <v>74</v>
      </c>
      <c r="E10" s="9"/>
    </row>
    <row r="11" spans="1:5" x14ac:dyDescent="0.25">
      <c r="A11" s="8" t="s">
        <v>243</v>
      </c>
      <c r="B11" s="36"/>
      <c r="D11" s="8" t="s">
        <v>72</v>
      </c>
      <c r="E11" s="9"/>
    </row>
    <row r="12" spans="1:5" x14ac:dyDescent="0.25">
      <c r="A12" s="8"/>
      <c r="B12" s="36"/>
      <c r="D12" s="8" t="s">
        <v>221</v>
      </c>
      <c r="E12" s="9"/>
    </row>
    <row r="13" spans="1:5" x14ac:dyDescent="0.25">
      <c r="A13" s="8"/>
      <c r="B13" s="36"/>
      <c r="D13" s="8" t="s">
        <v>108</v>
      </c>
      <c r="E13" s="9"/>
    </row>
    <row r="14" spans="1:5" x14ac:dyDescent="0.25">
      <c r="A14" s="8"/>
      <c r="B14" s="36"/>
      <c r="D14" s="8" t="s">
        <v>170</v>
      </c>
      <c r="E14" s="9"/>
    </row>
    <row r="15" spans="1:5" x14ac:dyDescent="0.25">
      <c r="A15" s="8" t="s">
        <v>153</v>
      </c>
      <c r="B15" s="36"/>
      <c r="D15" s="8"/>
      <c r="E15" s="9"/>
    </row>
    <row r="16" spans="1:5" x14ac:dyDescent="0.25">
      <c r="A16" s="8" t="s">
        <v>246</v>
      </c>
      <c r="B16" s="36"/>
      <c r="D16" s="8"/>
      <c r="E16" s="9"/>
    </row>
    <row r="17" spans="1:2" x14ac:dyDescent="0.25">
      <c r="A17" s="7" t="s">
        <v>249</v>
      </c>
      <c r="B17" s="38">
        <v>301200</v>
      </c>
    </row>
    <row r="21" spans="1:2" x14ac:dyDescent="0.25">
      <c r="B21" s="11"/>
    </row>
    <row r="35" spans="2:3" ht="18.75" x14ac:dyDescent="0.25">
      <c r="C35" s="12"/>
    </row>
    <row r="39" spans="2:3" x14ac:dyDescent="0.25">
      <c r="B39" s="39"/>
    </row>
    <row r="43" spans="2:3" ht="21" x14ac:dyDescent="0.25">
      <c r="C43" s="15"/>
    </row>
  </sheetData>
  <sheetProtection sheet="1" objects="1" scenarios="1"/>
  <pageMargins left="0.7" right="0.7" top="0.75" bottom="0.75" header="0.3" footer="0.3"/>
  <pageSetup scale="73" orientation="portrait" r:id="rId1"/>
  <headerFooter>
    <oddHeader>&amp;L&amp;F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12</vt:i4>
      </vt:variant>
    </vt:vector>
  </HeadingPairs>
  <TitlesOfParts>
    <vt:vector size="26" baseType="lpstr">
      <vt:lpstr>Resumen</vt:lpstr>
      <vt:lpstr>ENE24</vt:lpstr>
      <vt:lpstr>FEB24</vt:lpstr>
      <vt:lpstr>MAR24</vt:lpstr>
      <vt:lpstr>ABRIL24</vt:lpstr>
      <vt:lpstr>MAY24</vt:lpstr>
      <vt:lpstr>JUN 24 </vt:lpstr>
      <vt:lpstr>JUL 24</vt:lpstr>
      <vt:lpstr>AGO 24</vt:lpstr>
      <vt:lpstr>SEP 24 </vt:lpstr>
      <vt:lpstr>OCT 24  </vt:lpstr>
      <vt:lpstr>NOV 24</vt:lpstr>
      <vt:lpstr>DIC 24</vt:lpstr>
      <vt:lpstr>ENE 25</vt:lpstr>
      <vt:lpstr>ABRIL24!Área_de_impresión</vt:lpstr>
      <vt:lpstr>'AGO 24'!Área_de_impresión</vt:lpstr>
      <vt:lpstr>'DIC 24'!Área_de_impresión</vt:lpstr>
      <vt:lpstr>'ENE 25'!Área_de_impresión</vt:lpstr>
      <vt:lpstr>'FEB24'!Área_de_impresión</vt:lpstr>
      <vt:lpstr>'JUL 24'!Área_de_impresión</vt:lpstr>
      <vt:lpstr>'JUN 24 '!Área_de_impresión</vt:lpstr>
      <vt:lpstr>'MAR24'!Área_de_impresión</vt:lpstr>
      <vt:lpstr>'MAY24'!Área_de_impresión</vt:lpstr>
      <vt:lpstr>'NOV 24'!Área_de_impresión</vt:lpstr>
      <vt:lpstr>'OCT 24  '!Área_de_impresión</vt:lpstr>
      <vt:lpstr>'SEP 24 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</dc:creator>
  <cp:lastModifiedBy>INVERSIONES ESCOBAR RUIZ Y CIA SERVIPILAS</cp:lastModifiedBy>
  <cp:lastPrinted>2024-05-07T23:08:38Z</cp:lastPrinted>
  <dcterms:created xsi:type="dcterms:W3CDTF">2022-11-16T14:12:48Z</dcterms:created>
  <dcterms:modified xsi:type="dcterms:W3CDTF">2025-01-09T13:59:15Z</dcterms:modified>
</cp:coreProperties>
</file>