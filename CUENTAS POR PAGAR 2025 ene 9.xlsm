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7a5079a5540b37/servipilas/"/>
    </mc:Choice>
  </mc:AlternateContent>
  <xr:revisionPtr revIDLastSave="257" documentId="13_ncr:1_{F066E5C8-5E8A-4EF4-BAA1-3FFB8712F37D}" xr6:coauthVersionLast="47" xr6:coauthVersionMax="47" xr10:uidLastSave="{574A00BC-31D9-4F4B-A136-DFBEA80D6DBA}"/>
  <bookViews>
    <workbookView xWindow="-120" yWindow="-120" windowWidth="29040" windowHeight="15720" xr2:uid="{0A1BB7F4-7D1A-443D-984C-CC8A9EE4FEA7}"/>
  </bookViews>
  <sheets>
    <sheet name="inicio" sheetId="64" r:id="rId1"/>
    <sheet name="pagos" sheetId="702" r:id="rId2"/>
    <sheet name="Fecha de hoy" sheetId="12" state="hidden" r:id="rId3"/>
    <sheet name="Retenciones" sheetId="11" state="hidden" r:id="rId4"/>
    <sheet name="Terceros" sheetId="10" r:id="rId5"/>
    <sheet name="Palabra que no opera y Listas d" sheetId="128" state="hidden" r:id="rId6"/>
    <sheet name="F.Proveedores" sheetId="697" r:id="rId7"/>
    <sheet name="USD" sheetId="104" r:id="rId8"/>
    <sheet name="Reporte" sheetId="16" r:id="rId9"/>
    <sheet name="Financiación" sheetId="6" r:id="rId10"/>
    <sheet name="Financiadores" sheetId="15" r:id="rId11"/>
    <sheet name="F.Vencidas" sheetId="157" r:id="rId12"/>
  </sheets>
  <externalReferences>
    <externalReference r:id="rId13"/>
  </externalReferences>
  <definedNames>
    <definedName name="_xlnm._FilterDatabase" localSheetId="6" hidden="1">F.Proveedores!$A$1:$Z$285</definedName>
    <definedName name="_xlnm._FilterDatabase" localSheetId="11" hidden="1">F.Vencidas!#REF!</definedName>
    <definedName name="_xlnm._FilterDatabase" localSheetId="8" hidden="1">Reporte!#REF!</definedName>
    <definedName name="_xlnm._FilterDatabase" localSheetId="4" hidden="1">Terceros!#REF!</definedName>
    <definedName name="_xlnm._FilterDatabase" localSheetId="7" hidden="1">USD!$A$1:$F$17</definedName>
    <definedName name="area" localSheetId="7">#REF!</definedName>
    <definedName name="area">#REF!</definedName>
    <definedName name="Correo" localSheetId="7">#REF!</definedName>
    <definedName name="Correo">#REF!</definedName>
    <definedName name="_xlnm.Criteria" localSheetId="1">pagos!#REF!</definedName>
    <definedName name="_xlnm.Criteria" localSheetId="7">USD!#REF!</definedName>
    <definedName name="depend">[1]vicep!$B$2:$B$3100</definedName>
    <definedName name="_xlnm.Extract" localSheetId="1">pagos!$A$1:$M$1</definedName>
    <definedName name="_xlnm.Extract" localSheetId="7">USD!#REF!</definedName>
    <definedName name="info">pagos!$A$1:$M$28</definedName>
    <definedName name="_xlnm.Print_Area" localSheetId="1">pagos!$A$27:$N$29</definedName>
    <definedName name="_xlnm.Print_Area" localSheetId="4">Terceros!$A$1:$F$96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6" l="1"/>
  <c r="D11" i="16"/>
  <c r="D2" i="15" l="1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E106" i="6"/>
  <c r="E117" i="6"/>
  <c r="E122" i="6"/>
  <c r="E145" i="6"/>
  <c r="E151" i="6"/>
  <c r="E161" i="6"/>
  <c r="E169" i="6"/>
  <c r="E190" i="6"/>
  <c r="E201" i="6"/>
  <c r="E217" i="6"/>
  <c r="E226" i="6"/>
  <c r="E234" i="6"/>
  <c r="E242" i="6"/>
  <c r="E250" i="6"/>
  <c r="E267" i="6"/>
  <c r="E276" i="6"/>
  <c r="E277" i="6"/>
  <c r="E278" i="6"/>
  <c r="E279" i="6"/>
  <c r="E280" i="6"/>
  <c r="E282" i="6"/>
  <c r="E290" i="6"/>
  <c r="E300" i="6"/>
  <c r="E309" i="6"/>
  <c r="E317" i="6"/>
  <c r="E331" i="6"/>
  <c r="E345" i="6"/>
  <c r="E358" i="6"/>
  <c r="E373" i="6"/>
  <c r="E387" i="6"/>
  <c r="E403" i="6"/>
  <c r="E418" i="6"/>
  <c r="E435" i="6"/>
  <c r="E452" i="6"/>
  <c r="E465" i="6"/>
  <c r="E480" i="6"/>
  <c r="E500" i="6"/>
  <c r="E521" i="6"/>
  <c r="E542" i="6"/>
  <c r="E552" i="6"/>
  <c r="E568" i="6"/>
  <c r="E587" i="6"/>
  <c r="E608" i="6"/>
  <c r="E628" i="6"/>
  <c r="E651" i="6"/>
  <c r="E679" i="6"/>
  <c r="E703" i="6"/>
  <c r="E730" i="6"/>
  <c r="E756" i="6"/>
  <c r="E362" i="6"/>
  <c r="E380" i="6"/>
  <c r="E388" i="6"/>
  <c r="E404" i="6"/>
  <c r="E419" i="6"/>
  <c r="E422" i="6"/>
  <c r="E436" i="6"/>
  <c r="E453" i="6"/>
  <c r="E468" i="6"/>
  <c r="E481" i="6"/>
  <c r="E501" i="6"/>
  <c r="E522" i="6"/>
  <c r="E546" i="6"/>
  <c r="E553" i="6"/>
  <c r="E569" i="6"/>
  <c r="E585" i="6"/>
  <c r="E588" i="6"/>
  <c r="E600" i="6"/>
  <c r="E609" i="6"/>
  <c r="E613" i="6"/>
  <c r="E629" i="6"/>
  <c r="E635" i="6"/>
  <c r="E652" i="6"/>
  <c r="E677" i="6"/>
  <c r="E680" i="6"/>
  <c r="E687" i="6"/>
  <c r="E704" i="6"/>
  <c r="E708" i="6"/>
  <c r="E716" i="6"/>
  <c r="E731" i="6"/>
  <c r="E757" i="6"/>
  <c r="E70" i="6"/>
  <c r="E102" i="6"/>
  <c r="E208" i="6"/>
  <c r="E324" i="6"/>
  <c r="E330" i="6"/>
  <c r="E478" i="6"/>
  <c r="E498" i="6"/>
  <c r="E502" i="6"/>
  <c r="E507" i="6"/>
  <c r="E538" i="6"/>
  <c r="E559" i="6"/>
  <c r="E755" i="6"/>
  <c r="E158" i="6"/>
  <c r="E170" i="6"/>
  <c r="E179" i="6"/>
  <c r="E191" i="6"/>
  <c r="E202" i="6"/>
  <c r="E218" i="6"/>
  <c r="E227" i="6"/>
  <c r="E235" i="6"/>
  <c r="E243" i="6"/>
  <c r="E251" i="6"/>
  <c r="E258" i="6"/>
  <c r="E268" i="6"/>
  <c r="E283" i="6"/>
  <c r="E291" i="6"/>
  <c r="E301" i="6"/>
  <c r="E310" i="6"/>
  <c r="E318" i="6"/>
  <c r="E332" i="6"/>
  <c r="E338" i="6"/>
  <c r="E346" i="6"/>
  <c r="E357" i="6"/>
  <c r="E374" i="6"/>
  <c r="E389" i="6"/>
  <c r="E401" i="6"/>
  <c r="E420" i="6"/>
  <c r="E437" i="6"/>
  <c r="E451" i="6"/>
  <c r="E466" i="6"/>
  <c r="E482" i="6"/>
  <c r="E503" i="6"/>
  <c r="E523" i="6"/>
  <c r="E543" i="6"/>
  <c r="E554" i="6"/>
  <c r="E570" i="6"/>
  <c r="E589" i="6"/>
  <c r="E610" i="6"/>
  <c r="E627" i="6"/>
  <c r="E653" i="6"/>
  <c r="E681" i="6"/>
  <c r="E705" i="6"/>
  <c r="E732" i="6"/>
  <c r="E758" i="6"/>
  <c r="E2" i="6"/>
  <c r="E5" i="6"/>
  <c r="E9" i="6"/>
  <c r="E12" i="6"/>
  <c r="E15" i="6"/>
  <c r="E18" i="6"/>
  <c r="E21" i="6"/>
  <c r="E32" i="6"/>
  <c r="E36" i="6"/>
  <c r="E41" i="6"/>
  <c r="E44" i="6"/>
  <c r="E48" i="6"/>
  <c r="E53" i="6"/>
  <c r="E58" i="6"/>
  <c r="E64" i="6"/>
  <c r="E83" i="6"/>
  <c r="E88" i="6"/>
  <c r="E92" i="6"/>
  <c r="E95" i="6"/>
  <c r="E98" i="6"/>
  <c r="E107" i="6"/>
  <c r="E111" i="6"/>
  <c r="E121" i="6"/>
  <c r="E130" i="6"/>
  <c r="E141" i="6"/>
  <c r="E152" i="6"/>
  <c r="E160" i="6"/>
  <c r="E171" i="6"/>
  <c r="E178" i="6"/>
  <c r="E192" i="6"/>
  <c r="E203" i="6"/>
  <c r="E219" i="6"/>
  <c r="E228" i="6"/>
  <c r="E238" i="6"/>
  <c r="E244" i="6"/>
  <c r="E252" i="6"/>
  <c r="E262" i="6"/>
  <c r="E269" i="6"/>
  <c r="E284" i="6"/>
  <c r="E293" i="6"/>
  <c r="E302" i="6"/>
  <c r="E311" i="6"/>
  <c r="E319" i="6"/>
  <c r="E333" i="6"/>
  <c r="E347" i="6"/>
  <c r="E365" i="6"/>
  <c r="E375" i="6"/>
  <c r="E390" i="6"/>
  <c r="E406" i="6"/>
  <c r="E428" i="6"/>
  <c r="E440" i="6"/>
  <c r="E456" i="6"/>
  <c r="E470" i="6"/>
  <c r="E483" i="6"/>
  <c r="E504" i="6"/>
  <c r="E524" i="6"/>
  <c r="E547" i="6"/>
  <c r="E555" i="6"/>
  <c r="E571" i="6"/>
  <c r="E590" i="6"/>
  <c r="E606" i="6"/>
  <c r="E630" i="6"/>
  <c r="E654" i="6"/>
  <c r="E682" i="6"/>
  <c r="E706" i="6"/>
  <c r="E733" i="6"/>
  <c r="E760" i="6"/>
  <c r="E759" i="6"/>
  <c r="E24" i="6"/>
  <c r="E25" i="6"/>
  <c r="E26" i="6"/>
  <c r="E27" i="6"/>
  <c r="E28" i="6"/>
  <c r="E29" i="6"/>
  <c r="E30" i="6"/>
  <c r="E31" i="6"/>
  <c r="E35" i="6"/>
  <c r="E39" i="6"/>
  <c r="E40" i="6"/>
  <c r="E47" i="6"/>
  <c r="E51" i="6"/>
  <c r="E56" i="6"/>
  <c r="E59" i="6"/>
  <c r="E63" i="6"/>
  <c r="E68" i="6"/>
  <c r="E72" i="6"/>
  <c r="E73" i="6"/>
  <c r="E75" i="6"/>
  <c r="E77" i="6"/>
  <c r="E81" i="6"/>
  <c r="E86" i="6"/>
  <c r="E93" i="6"/>
  <c r="E99" i="6"/>
  <c r="E108" i="6"/>
  <c r="E112" i="6"/>
  <c r="E116" i="6"/>
  <c r="E123" i="6"/>
  <c r="E126" i="6"/>
  <c r="E131" i="6"/>
  <c r="E137" i="6"/>
  <c r="E142" i="6"/>
  <c r="E153" i="6"/>
  <c r="E162" i="6"/>
  <c r="E172" i="6"/>
  <c r="E180" i="6"/>
  <c r="E193" i="6"/>
  <c r="E204" i="6"/>
  <c r="E220" i="6"/>
  <c r="E229" i="6"/>
  <c r="E236" i="6"/>
  <c r="E245" i="6"/>
  <c r="E253" i="6"/>
  <c r="E259" i="6"/>
  <c r="E270" i="6"/>
  <c r="E285" i="6"/>
  <c r="E292" i="6"/>
  <c r="E303" i="6"/>
  <c r="E312" i="6"/>
  <c r="E320" i="6"/>
  <c r="E334" i="6"/>
  <c r="E340" i="6"/>
  <c r="E348" i="6"/>
  <c r="E359" i="6"/>
  <c r="E360" i="6"/>
  <c r="E376" i="6"/>
  <c r="E391" i="6"/>
  <c r="E402" i="6"/>
  <c r="E421" i="6"/>
  <c r="E438" i="6"/>
  <c r="E450" i="6"/>
  <c r="E467" i="6"/>
  <c r="E484" i="6"/>
  <c r="E505" i="6"/>
  <c r="E525" i="6"/>
  <c r="E544" i="6"/>
  <c r="E556" i="6"/>
  <c r="E572" i="6"/>
  <c r="E591" i="6"/>
  <c r="E607" i="6"/>
  <c r="E631" i="6"/>
  <c r="E655" i="6"/>
  <c r="E766" i="6"/>
  <c r="E3" i="6"/>
  <c r="E7" i="6"/>
  <c r="E11" i="6"/>
  <c r="E14" i="6"/>
  <c r="E16" i="6"/>
  <c r="E19" i="6"/>
  <c r="E23" i="6"/>
  <c r="E34" i="6"/>
  <c r="E37" i="6"/>
  <c r="E43" i="6"/>
  <c r="E46" i="6"/>
  <c r="E50" i="6"/>
  <c r="E52" i="6"/>
  <c r="E55" i="6"/>
  <c r="E60" i="6"/>
  <c r="E62" i="6"/>
  <c r="E66" i="6"/>
  <c r="E67" i="6"/>
  <c r="E69" i="6"/>
  <c r="E74" i="6"/>
  <c r="E76" i="6"/>
  <c r="E82" i="6"/>
  <c r="E87" i="6"/>
  <c r="E94" i="6"/>
  <c r="E100" i="6"/>
  <c r="E103" i="6"/>
  <c r="E109" i="6"/>
  <c r="E113" i="6"/>
  <c r="E118" i="6"/>
  <c r="E124" i="6"/>
  <c r="E125" i="6"/>
  <c r="E136" i="6"/>
  <c r="E143" i="6"/>
  <c r="E144" i="6"/>
  <c r="E149" i="6"/>
  <c r="E154" i="6"/>
  <c r="E163" i="6"/>
  <c r="E173" i="6"/>
  <c r="E181" i="6"/>
  <c r="E194" i="6"/>
  <c r="E205" i="6"/>
  <c r="E221" i="6"/>
  <c r="E230" i="6"/>
  <c r="E237" i="6"/>
  <c r="E246" i="6"/>
  <c r="E254" i="6"/>
  <c r="E260" i="6"/>
  <c r="E271" i="6"/>
  <c r="E286" i="6"/>
  <c r="E294" i="6"/>
  <c r="E306" i="6"/>
  <c r="E313" i="6"/>
  <c r="E321" i="6"/>
  <c r="E326" i="6"/>
  <c r="E335" i="6"/>
  <c r="E349" i="6"/>
  <c r="E366" i="6"/>
  <c r="E372" i="6"/>
  <c r="E378" i="6"/>
  <c r="E392" i="6"/>
  <c r="E407" i="6"/>
  <c r="E410" i="6"/>
  <c r="E427" i="6"/>
  <c r="E441" i="6"/>
  <c r="E457" i="6"/>
  <c r="E471" i="6"/>
  <c r="E485" i="6"/>
  <c r="E506" i="6"/>
  <c r="E526" i="6"/>
  <c r="E545" i="6"/>
  <c r="E557" i="6"/>
  <c r="E573" i="6"/>
  <c r="E592" i="6"/>
  <c r="E611" i="6"/>
  <c r="E632" i="6"/>
  <c r="E656" i="6"/>
  <c r="E715" i="6"/>
  <c r="E734" i="6"/>
  <c r="E753" i="6"/>
  <c r="E767" i="6"/>
  <c r="E263" i="6"/>
  <c r="E274" i="6"/>
  <c r="E281" i="6"/>
  <c r="E295" i="6"/>
  <c r="E299" i="6"/>
  <c r="E304" i="6"/>
  <c r="E314" i="6"/>
  <c r="E322" i="6"/>
  <c r="E336" i="6"/>
  <c r="E350" i="6"/>
  <c r="E363" i="6"/>
  <c r="E377" i="6"/>
  <c r="E393" i="6"/>
  <c r="E408" i="6"/>
  <c r="E425" i="6"/>
  <c r="E442" i="6"/>
  <c r="E455" i="6"/>
  <c r="E459" i="6"/>
  <c r="E472" i="6"/>
  <c r="E487" i="6"/>
  <c r="E510" i="6"/>
  <c r="E532" i="6"/>
  <c r="E549" i="6"/>
  <c r="E561" i="6"/>
  <c r="E577" i="6"/>
  <c r="E596" i="6"/>
  <c r="E615" i="6"/>
  <c r="E637" i="6"/>
  <c r="E661" i="6"/>
  <c r="E688" i="6"/>
  <c r="E710" i="6"/>
  <c r="E739" i="6"/>
  <c r="E770" i="6"/>
  <c r="E80" i="6"/>
  <c r="E176" i="6"/>
  <c r="E261" i="6"/>
  <c r="E439" i="6"/>
  <c r="E662" i="6"/>
  <c r="E762" i="6"/>
  <c r="E344" i="6"/>
  <c r="E367" i="6"/>
  <c r="E382" i="6"/>
  <c r="E396" i="6"/>
  <c r="E411" i="6"/>
  <c r="E430" i="6"/>
  <c r="E445" i="6"/>
  <c r="E460" i="6"/>
  <c r="E474" i="6"/>
  <c r="E489" i="6"/>
  <c r="E511" i="6"/>
  <c r="E513" i="6"/>
  <c r="E625" i="6"/>
  <c r="E658" i="6"/>
  <c r="E685" i="6"/>
  <c r="E711" i="6"/>
  <c r="E737" i="6"/>
  <c r="E764" i="6"/>
  <c r="E499" i="6"/>
  <c r="E530" i="6"/>
  <c r="E548" i="6"/>
  <c r="E560" i="6"/>
  <c r="E575" i="6"/>
  <c r="E595" i="6"/>
  <c r="E614" i="6"/>
  <c r="E636" i="6"/>
  <c r="E642" i="6"/>
  <c r="E659" i="6"/>
  <c r="E666" i="6"/>
  <c r="E686" i="6"/>
  <c r="E691" i="6"/>
  <c r="E712" i="6"/>
  <c r="E720" i="6"/>
  <c r="E738" i="6"/>
  <c r="E743" i="6"/>
  <c r="E768" i="6"/>
  <c r="E773" i="6"/>
  <c r="E539" i="6"/>
  <c r="E562" i="6"/>
  <c r="E578" i="6"/>
  <c r="E598" i="6"/>
  <c r="E616" i="6"/>
  <c r="E638" i="6"/>
  <c r="E643" i="6"/>
  <c r="E663" i="6"/>
  <c r="E667" i="6"/>
  <c r="E689" i="6"/>
  <c r="E692" i="6"/>
  <c r="E713" i="6"/>
  <c r="E721" i="6"/>
  <c r="E740" i="6"/>
  <c r="E744" i="6"/>
  <c r="E771" i="6"/>
  <c r="E774" i="6"/>
  <c r="E197" i="6"/>
  <c r="E206" i="6"/>
  <c r="E212" i="6"/>
  <c r="E213" i="6"/>
  <c r="E222" i="6"/>
  <c r="E231" i="6"/>
  <c r="E239" i="6"/>
  <c r="E247" i="6"/>
  <c r="E255" i="6"/>
  <c r="E264" i="6"/>
  <c r="E272" i="6"/>
  <c r="E287" i="6"/>
  <c r="E297" i="6"/>
  <c r="E307" i="6"/>
  <c r="E316" i="6"/>
  <c r="E325" i="6"/>
  <c r="E339" i="6"/>
  <c r="E352" i="6"/>
  <c r="E364" i="6"/>
  <c r="E381" i="6"/>
  <c r="E395" i="6"/>
  <c r="E409" i="6"/>
  <c r="E412" i="6"/>
  <c r="E429" i="6"/>
  <c r="E444" i="6"/>
  <c r="E458" i="6"/>
  <c r="E473" i="6"/>
  <c r="E488" i="6"/>
  <c r="E512" i="6"/>
  <c r="E533" i="6"/>
  <c r="E534" i="6"/>
  <c r="E579" i="6"/>
  <c r="E601" i="6"/>
  <c r="E580" i="6"/>
  <c r="E617" i="6"/>
  <c r="E639" i="6"/>
  <c r="E644" i="6"/>
  <c r="E664" i="6"/>
  <c r="E668" i="6"/>
  <c r="E690" i="6"/>
  <c r="E693" i="6"/>
  <c r="E714" i="6"/>
  <c r="E722" i="6"/>
  <c r="E741" i="6"/>
  <c r="E745" i="6"/>
  <c r="E772" i="6"/>
  <c r="E775" i="6"/>
  <c r="E356" i="6"/>
  <c r="E371" i="6"/>
  <c r="E386" i="6"/>
  <c r="E400" i="6"/>
  <c r="E417" i="6"/>
  <c r="E423" i="6"/>
  <c r="E424" i="6"/>
  <c r="E434" i="6"/>
  <c r="E449" i="6"/>
  <c r="E464" i="6"/>
  <c r="E479" i="6"/>
  <c r="E490" i="6"/>
  <c r="E497" i="6"/>
  <c r="E509" i="6"/>
  <c r="E514" i="6"/>
  <c r="E527" i="6"/>
  <c r="E541" i="6"/>
  <c r="E551" i="6"/>
  <c r="E566" i="6"/>
  <c r="E593" i="6"/>
  <c r="E605" i="6"/>
  <c r="E621" i="6"/>
  <c r="E626" i="6"/>
  <c r="E645" i="6"/>
  <c r="E649" i="6"/>
  <c r="E657" i="6"/>
  <c r="E674" i="6"/>
  <c r="E669" i="6"/>
  <c r="E694" i="6"/>
  <c r="E699" i="6"/>
  <c r="E717" i="6"/>
  <c r="E723" i="6"/>
  <c r="E729" i="6"/>
  <c r="E751" i="6"/>
  <c r="E746" i="6"/>
  <c r="E776" i="6"/>
  <c r="E781" i="6"/>
  <c r="E4" i="6"/>
  <c r="E6" i="6"/>
  <c r="E8" i="6"/>
  <c r="E10" i="6"/>
  <c r="E13" i="6"/>
  <c r="E17" i="6"/>
  <c r="E20" i="6"/>
  <c r="E22" i="6"/>
  <c r="E33" i="6"/>
  <c r="E38" i="6"/>
  <c r="E42" i="6"/>
  <c r="E45" i="6"/>
  <c r="E49" i="6"/>
  <c r="E54" i="6"/>
  <c r="E57" i="6"/>
  <c r="E61" i="6"/>
  <c r="E65" i="6"/>
  <c r="E71" i="6"/>
  <c r="E78" i="6"/>
  <c r="E79" i="6"/>
  <c r="E84" i="6"/>
  <c r="E85" i="6"/>
  <c r="E89" i="6"/>
  <c r="E90" i="6"/>
  <c r="E91" i="6"/>
  <c r="E96" i="6"/>
  <c r="E97" i="6"/>
  <c r="E101" i="6"/>
  <c r="E104" i="6"/>
  <c r="E105" i="6"/>
  <c r="E114" i="6"/>
  <c r="E115" i="6"/>
  <c r="E119" i="6"/>
  <c r="E127" i="6"/>
  <c r="E129" i="6"/>
  <c r="E132" i="6"/>
  <c r="E134" i="6"/>
  <c r="E135" i="6"/>
  <c r="E138" i="6"/>
  <c r="E147" i="6"/>
  <c r="E164" i="6"/>
  <c r="E174" i="6"/>
  <c r="E185" i="6"/>
  <c r="E196" i="6"/>
  <c r="E207" i="6"/>
  <c r="E214" i="6"/>
  <c r="E215" i="6"/>
  <c r="E223" i="6"/>
  <c r="E232" i="6"/>
  <c r="E240" i="6"/>
  <c r="E248" i="6"/>
  <c r="E256" i="6"/>
  <c r="E265" i="6"/>
  <c r="E273" i="6"/>
  <c r="E288" i="6"/>
  <c r="E296" i="6"/>
  <c r="E305" i="6"/>
  <c r="E315" i="6"/>
  <c r="E323" i="6"/>
  <c r="E337" i="6"/>
  <c r="E351" i="6"/>
  <c r="E361" i="6"/>
  <c r="E379" i="6"/>
  <c r="E394" i="6"/>
  <c r="E405" i="6"/>
  <c r="E413" i="6"/>
  <c r="E426" i="6"/>
  <c r="E443" i="6"/>
  <c r="E454" i="6"/>
  <c r="E469" i="6"/>
  <c r="E486" i="6"/>
  <c r="E508" i="6"/>
  <c r="E515" i="6"/>
  <c r="E528" i="6"/>
  <c r="E540" i="6"/>
  <c r="E558" i="6"/>
  <c r="E516" i="6"/>
  <c r="E574" i="6"/>
  <c r="E586" i="6"/>
  <c r="E567" i="6"/>
  <c r="E581" i="6"/>
  <c r="E594" i="6"/>
  <c r="E612" i="6"/>
  <c r="E634" i="6"/>
  <c r="E640" i="6"/>
  <c r="E660" i="6"/>
  <c r="E670" i="6"/>
  <c r="E684" i="6"/>
  <c r="E695" i="6"/>
  <c r="E709" i="6"/>
  <c r="E724" i="6"/>
  <c r="E735" i="6"/>
  <c r="E747" i="6"/>
  <c r="E763" i="6"/>
  <c r="E777" i="6"/>
  <c r="E110" i="6"/>
  <c r="E120" i="6"/>
  <c r="E128" i="6"/>
  <c r="E133" i="6"/>
  <c r="E139" i="6"/>
  <c r="E140" i="6"/>
  <c r="E146" i="6"/>
  <c r="E148" i="6"/>
  <c r="E150" i="6"/>
  <c r="E155" i="6"/>
  <c r="E156" i="6"/>
  <c r="E157" i="6"/>
  <c r="E159" i="6"/>
  <c r="E165" i="6"/>
  <c r="E166" i="6"/>
  <c r="E167" i="6"/>
  <c r="E168" i="6"/>
  <c r="E175" i="6"/>
  <c r="E177" i="6"/>
  <c r="E182" i="6"/>
  <c r="E183" i="6"/>
  <c r="E184" i="6"/>
  <c r="E186" i="6"/>
  <c r="E187" i="6"/>
  <c r="E188" i="6"/>
  <c r="E189" i="6"/>
  <c r="E195" i="6"/>
  <c r="E198" i="6"/>
  <c r="E199" i="6"/>
  <c r="E200" i="6"/>
  <c r="E209" i="6"/>
  <c r="E210" i="6"/>
  <c r="E211" i="6"/>
  <c r="E216" i="6"/>
  <c r="E224" i="6"/>
  <c r="E225" i="6"/>
  <c r="E233" i="6"/>
  <c r="E241" i="6"/>
  <c r="E249" i="6"/>
  <c r="E257" i="6"/>
  <c r="E266" i="6"/>
  <c r="E275" i="6"/>
  <c r="E289" i="6"/>
  <c r="E298" i="6"/>
  <c r="E308" i="6"/>
  <c r="E327" i="6"/>
  <c r="E341" i="6"/>
  <c r="E353" i="6"/>
  <c r="E368" i="6"/>
  <c r="E383" i="6"/>
  <c r="E397" i="6"/>
  <c r="E414" i="6"/>
  <c r="E431" i="6"/>
  <c r="E446" i="6"/>
  <c r="E461" i="6"/>
  <c r="E475" i="6"/>
  <c r="E491" i="6"/>
  <c r="E517" i="6"/>
  <c r="E492" i="6"/>
  <c r="E535" i="6"/>
  <c r="E563" i="6"/>
  <c r="E576" i="6"/>
  <c r="E582" i="6"/>
  <c r="E602" i="6"/>
  <c r="E618" i="6"/>
  <c r="E624" i="6"/>
  <c r="E633" i="6"/>
  <c r="E641" i="6"/>
  <c r="E646" i="6"/>
  <c r="E671" i="6"/>
  <c r="E675" i="6"/>
  <c r="E678" i="6"/>
  <c r="E696" i="6"/>
  <c r="E700" i="6"/>
  <c r="E718" i="6"/>
  <c r="E725" i="6"/>
  <c r="E736" i="6"/>
  <c r="E742" i="6"/>
  <c r="E748" i="6"/>
  <c r="E765" i="6"/>
  <c r="E778" i="6"/>
  <c r="E328" i="6"/>
  <c r="E342" i="6"/>
  <c r="E354" i="6"/>
  <c r="E369" i="6"/>
  <c r="E384" i="6"/>
  <c r="E398" i="6"/>
  <c r="E415" i="6"/>
  <c r="E432" i="6"/>
  <c r="E447" i="6"/>
  <c r="E462" i="6"/>
  <c r="E476" i="6"/>
  <c r="E493" i="6"/>
  <c r="E518" i="6"/>
  <c r="E494" i="6"/>
  <c r="E520" i="6"/>
  <c r="E536" i="6"/>
  <c r="E564" i="6"/>
  <c r="E583" i="6"/>
  <c r="E597" i="6"/>
  <c r="E603" i="6"/>
  <c r="E619" i="6"/>
  <c r="E623" i="6"/>
  <c r="E647" i="6"/>
  <c r="E650" i="6"/>
  <c r="E665" i="6"/>
  <c r="E672" i="6"/>
  <c r="E676" i="6"/>
  <c r="E697" i="6"/>
  <c r="E701" i="6"/>
  <c r="E702" i="6"/>
  <c r="E726" i="6"/>
  <c r="E749" i="6"/>
  <c r="E752" i="6"/>
  <c r="E779" i="6"/>
  <c r="E329" i="6"/>
  <c r="E343" i="6"/>
  <c r="E355" i="6"/>
  <c r="E370" i="6"/>
  <c r="E385" i="6"/>
  <c r="E399" i="6"/>
  <c r="E416" i="6"/>
  <c r="E433" i="6"/>
  <c r="E448" i="6"/>
  <c r="E463" i="6"/>
  <c r="E477" i="6"/>
  <c r="E495" i="6"/>
  <c r="E519" i="6"/>
  <c r="E496" i="6"/>
  <c r="E531" i="6"/>
  <c r="E529" i="6"/>
  <c r="E537" i="6"/>
  <c r="E550" i="6"/>
  <c r="E565" i="6"/>
  <c r="E584" i="6"/>
  <c r="E599" i="6"/>
  <c r="E604" i="6"/>
  <c r="E620" i="6"/>
  <c r="E622" i="6"/>
  <c r="E648" i="6"/>
  <c r="E673" i="6"/>
  <c r="E683" i="6"/>
  <c r="E698" i="6"/>
  <c r="E707" i="6"/>
  <c r="E719" i="6"/>
  <c r="E727" i="6"/>
  <c r="E728" i="6"/>
  <c r="E750" i="6"/>
  <c r="E754" i="6"/>
  <c r="E761" i="6"/>
  <c r="E769" i="6"/>
  <c r="E780" i="6"/>
  <c r="F106" i="6"/>
  <c r="F117" i="6"/>
  <c r="F122" i="6"/>
  <c r="F145" i="6"/>
  <c r="F151" i="6"/>
  <c r="F161" i="6"/>
  <c r="F169" i="6"/>
  <c r="F190" i="6"/>
  <c r="F201" i="6"/>
  <c r="F217" i="6"/>
  <c r="F226" i="6"/>
  <c r="F234" i="6"/>
  <c r="F242" i="6"/>
  <c r="F250" i="6"/>
  <c r="F267" i="6"/>
  <c r="F276" i="6"/>
  <c r="F277" i="6"/>
  <c r="F278" i="6"/>
  <c r="F279" i="6"/>
  <c r="F280" i="6"/>
  <c r="F282" i="6"/>
  <c r="F290" i="6"/>
  <c r="F300" i="6"/>
  <c r="F309" i="6"/>
  <c r="F317" i="6"/>
  <c r="F331" i="6"/>
  <c r="F345" i="6"/>
  <c r="F358" i="6"/>
  <c r="F373" i="6"/>
  <c r="F387" i="6"/>
  <c r="F403" i="6"/>
  <c r="F418" i="6"/>
  <c r="F435" i="6"/>
  <c r="F452" i="6"/>
  <c r="F465" i="6"/>
  <c r="F480" i="6"/>
  <c r="F500" i="6"/>
  <c r="F521" i="6"/>
  <c r="F542" i="6"/>
  <c r="F552" i="6"/>
  <c r="F568" i="6"/>
  <c r="F587" i="6"/>
  <c r="F608" i="6"/>
  <c r="F628" i="6"/>
  <c r="F651" i="6"/>
  <c r="F679" i="6"/>
  <c r="F703" i="6"/>
  <c r="F730" i="6"/>
  <c r="F756" i="6"/>
  <c r="F362" i="6"/>
  <c r="F380" i="6"/>
  <c r="F388" i="6"/>
  <c r="F404" i="6"/>
  <c r="F419" i="6"/>
  <c r="F422" i="6"/>
  <c r="F436" i="6"/>
  <c r="F453" i="6"/>
  <c r="F468" i="6"/>
  <c r="F481" i="6"/>
  <c r="F501" i="6"/>
  <c r="F522" i="6"/>
  <c r="F546" i="6"/>
  <c r="F553" i="6"/>
  <c r="F569" i="6"/>
  <c r="F585" i="6"/>
  <c r="F588" i="6"/>
  <c r="F600" i="6"/>
  <c r="F609" i="6"/>
  <c r="F613" i="6"/>
  <c r="F629" i="6"/>
  <c r="F635" i="6"/>
  <c r="F652" i="6"/>
  <c r="F677" i="6"/>
  <c r="F680" i="6"/>
  <c r="F687" i="6"/>
  <c r="F704" i="6"/>
  <c r="F708" i="6"/>
  <c r="F716" i="6"/>
  <c r="F731" i="6"/>
  <c r="F757" i="6"/>
  <c r="F70" i="6"/>
  <c r="F102" i="6"/>
  <c r="F208" i="6"/>
  <c r="F324" i="6"/>
  <c r="F330" i="6"/>
  <c r="F478" i="6"/>
  <c r="F498" i="6"/>
  <c r="F502" i="6"/>
  <c r="F507" i="6"/>
  <c r="F538" i="6"/>
  <c r="F559" i="6"/>
  <c r="F755" i="6"/>
  <c r="F158" i="6"/>
  <c r="F170" i="6"/>
  <c r="F179" i="6"/>
  <c r="F191" i="6"/>
  <c r="F202" i="6"/>
  <c r="F218" i="6"/>
  <c r="F227" i="6"/>
  <c r="F235" i="6"/>
  <c r="F243" i="6"/>
  <c r="F251" i="6"/>
  <c r="F258" i="6"/>
  <c r="F268" i="6"/>
  <c r="F283" i="6"/>
  <c r="F291" i="6"/>
  <c r="F301" i="6"/>
  <c r="F310" i="6"/>
  <c r="F318" i="6"/>
  <c r="F332" i="6"/>
  <c r="F338" i="6"/>
  <c r="F346" i="6"/>
  <c r="F357" i="6"/>
  <c r="F374" i="6"/>
  <c r="F389" i="6"/>
  <c r="F401" i="6"/>
  <c r="F420" i="6"/>
  <c r="F437" i="6"/>
  <c r="F451" i="6"/>
  <c r="F466" i="6"/>
  <c r="F482" i="6"/>
  <c r="F503" i="6"/>
  <c r="F523" i="6"/>
  <c r="F543" i="6"/>
  <c r="F554" i="6"/>
  <c r="F570" i="6"/>
  <c r="F589" i="6"/>
  <c r="F610" i="6"/>
  <c r="F627" i="6"/>
  <c r="F653" i="6"/>
  <c r="F681" i="6"/>
  <c r="F705" i="6"/>
  <c r="F732" i="6"/>
  <c r="F758" i="6"/>
  <c r="F2" i="6"/>
  <c r="F5" i="6"/>
  <c r="F9" i="6"/>
  <c r="F12" i="6"/>
  <c r="F15" i="6"/>
  <c r="F18" i="6"/>
  <c r="F21" i="6"/>
  <c r="F32" i="6"/>
  <c r="F36" i="6"/>
  <c r="F41" i="6"/>
  <c r="F44" i="6"/>
  <c r="F48" i="6"/>
  <c r="F53" i="6"/>
  <c r="F58" i="6"/>
  <c r="F64" i="6"/>
  <c r="F83" i="6"/>
  <c r="F88" i="6"/>
  <c r="F92" i="6"/>
  <c r="F95" i="6"/>
  <c r="F98" i="6"/>
  <c r="F107" i="6"/>
  <c r="F111" i="6"/>
  <c r="F121" i="6"/>
  <c r="F130" i="6"/>
  <c r="F141" i="6"/>
  <c r="F152" i="6"/>
  <c r="F160" i="6"/>
  <c r="F171" i="6"/>
  <c r="F178" i="6"/>
  <c r="F192" i="6"/>
  <c r="F203" i="6"/>
  <c r="F219" i="6"/>
  <c r="F228" i="6"/>
  <c r="F238" i="6"/>
  <c r="F244" i="6"/>
  <c r="F252" i="6"/>
  <c r="F262" i="6"/>
  <c r="F269" i="6"/>
  <c r="F284" i="6"/>
  <c r="F293" i="6"/>
  <c r="F302" i="6"/>
  <c r="F311" i="6"/>
  <c r="F319" i="6"/>
  <c r="F333" i="6"/>
  <c r="F347" i="6"/>
  <c r="F365" i="6"/>
  <c r="F375" i="6"/>
  <c r="F390" i="6"/>
  <c r="F406" i="6"/>
  <c r="F428" i="6"/>
  <c r="F440" i="6"/>
  <c r="F456" i="6"/>
  <c r="F470" i="6"/>
  <c r="F483" i="6"/>
  <c r="F504" i="6"/>
  <c r="F524" i="6"/>
  <c r="F547" i="6"/>
  <c r="F555" i="6"/>
  <c r="F571" i="6"/>
  <c r="F590" i="6"/>
  <c r="F606" i="6"/>
  <c r="F630" i="6"/>
  <c r="F654" i="6"/>
  <c r="F682" i="6"/>
  <c r="F706" i="6"/>
  <c r="F733" i="6"/>
  <c r="F760" i="6"/>
  <c r="F759" i="6"/>
  <c r="F24" i="6"/>
  <c r="F25" i="6"/>
  <c r="F26" i="6"/>
  <c r="F27" i="6"/>
  <c r="F28" i="6"/>
  <c r="F29" i="6"/>
  <c r="F30" i="6"/>
  <c r="F31" i="6"/>
  <c r="F35" i="6"/>
  <c r="F39" i="6"/>
  <c r="F40" i="6"/>
  <c r="F47" i="6"/>
  <c r="F51" i="6"/>
  <c r="F56" i="6"/>
  <c r="F59" i="6"/>
  <c r="F63" i="6"/>
  <c r="F68" i="6"/>
  <c r="F72" i="6"/>
  <c r="F73" i="6"/>
  <c r="F75" i="6"/>
  <c r="F77" i="6"/>
  <c r="F81" i="6"/>
  <c r="F86" i="6"/>
  <c r="F93" i="6"/>
  <c r="F99" i="6"/>
  <c r="F108" i="6"/>
  <c r="F112" i="6"/>
  <c r="F116" i="6"/>
  <c r="F123" i="6"/>
  <c r="F126" i="6"/>
  <c r="F131" i="6"/>
  <c r="F137" i="6"/>
  <c r="F142" i="6"/>
  <c r="F153" i="6"/>
  <c r="F162" i="6"/>
  <c r="F172" i="6"/>
  <c r="F180" i="6"/>
  <c r="F193" i="6"/>
  <c r="F204" i="6"/>
  <c r="F220" i="6"/>
  <c r="F229" i="6"/>
  <c r="F236" i="6"/>
  <c r="F245" i="6"/>
  <c r="F253" i="6"/>
  <c r="F259" i="6"/>
  <c r="F270" i="6"/>
  <c r="F285" i="6"/>
  <c r="F292" i="6"/>
  <c r="F303" i="6"/>
  <c r="F312" i="6"/>
  <c r="F320" i="6"/>
  <c r="F334" i="6"/>
  <c r="F340" i="6"/>
  <c r="F348" i="6"/>
  <c r="F359" i="6"/>
  <c r="F360" i="6"/>
  <c r="F376" i="6"/>
  <c r="F391" i="6"/>
  <c r="F402" i="6"/>
  <c r="F421" i="6"/>
  <c r="F438" i="6"/>
  <c r="F450" i="6"/>
  <c r="F467" i="6"/>
  <c r="F484" i="6"/>
  <c r="F505" i="6"/>
  <c r="F525" i="6"/>
  <c r="F544" i="6"/>
  <c r="F556" i="6"/>
  <c r="F572" i="6"/>
  <c r="F591" i="6"/>
  <c r="F607" i="6"/>
  <c r="F631" i="6"/>
  <c r="F655" i="6"/>
  <c r="F766" i="6"/>
  <c r="F3" i="6"/>
  <c r="F7" i="6"/>
  <c r="F11" i="6"/>
  <c r="F14" i="6"/>
  <c r="F16" i="6"/>
  <c r="F19" i="6"/>
  <c r="F23" i="6"/>
  <c r="F34" i="6"/>
  <c r="F37" i="6"/>
  <c r="F43" i="6"/>
  <c r="F46" i="6"/>
  <c r="F50" i="6"/>
  <c r="F52" i="6"/>
  <c r="F55" i="6"/>
  <c r="F60" i="6"/>
  <c r="F62" i="6"/>
  <c r="F66" i="6"/>
  <c r="F67" i="6"/>
  <c r="F69" i="6"/>
  <c r="F74" i="6"/>
  <c r="F76" i="6"/>
  <c r="F82" i="6"/>
  <c r="F87" i="6"/>
  <c r="F94" i="6"/>
  <c r="F100" i="6"/>
  <c r="F103" i="6"/>
  <c r="F109" i="6"/>
  <c r="F113" i="6"/>
  <c r="F118" i="6"/>
  <c r="F124" i="6"/>
  <c r="F125" i="6"/>
  <c r="F136" i="6"/>
  <c r="F143" i="6"/>
  <c r="F144" i="6"/>
  <c r="F149" i="6"/>
  <c r="F154" i="6"/>
  <c r="F163" i="6"/>
  <c r="F173" i="6"/>
  <c r="F181" i="6"/>
  <c r="F194" i="6"/>
  <c r="F205" i="6"/>
  <c r="F221" i="6"/>
  <c r="F230" i="6"/>
  <c r="F237" i="6"/>
  <c r="F246" i="6"/>
  <c r="F254" i="6"/>
  <c r="F260" i="6"/>
  <c r="F271" i="6"/>
  <c r="F286" i="6"/>
  <c r="F294" i="6"/>
  <c r="F306" i="6"/>
  <c r="F313" i="6"/>
  <c r="F321" i="6"/>
  <c r="F326" i="6"/>
  <c r="F335" i="6"/>
  <c r="F349" i="6"/>
  <c r="F366" i="6"/>
  <c r="F372" i="6"/>
  <c r="F378" i="6"/>
  <c r="F392" i="6"/>
  <c r="F407" i="6"/>
  <c r="F410" i="6"/>
  <c r="F427" i="6"/>
  <c r="F441" i="6"/>
  <c r="F457" i="6"/>
  <c r="F471" i="6"/>
  <c r="F485" i="6"/>
  <c r="F506" i="6"/>
  <c r="F526" i="6"/>
  <c r="F545" i="6"/>
  <c r="F557" i="6"/>
  <c r="F573" i="6"/>
  <c r="F592" i="6"/>
  <c r="F611" i="6"/>
  <c r="F632" i="6"/>
  <c r="F656" i="6"/>
  <c r="F715" i="6"/>
  <c r="F734" i="6"/>
  <c r="F753" i="6"/>
  <c r="F767" i="6"/>
  <c r="F263" i="6"/>
  <c r="F274" i="6"/>
  <c r="F281" i="6"/>
  <c r="F295" i="6"/>
  <c r="F299" i="6"/>
  <c r="F304" i="6"/>
  <c r="F314" i="6"/>
  <c r="F322" i="6"/>
  <c r="F336" i="6"/>
  <c r="F350" i="6"/>
  <c r="F363" i="6"/>
  <c r="F377" i="6"/>
  <c r="F393" i="6"/>
  <c r="F408" i="6"/>
  <c r="F425" i="6"/>
  <c r="F442" i="6"/>
  <c r="F455" i="6"/>
  <c r="F459" i="6"/>
  <c r="F472" i="6"/>
  <c r="F487" i="6"/>
  <c r="F510" i="6"/>
  <c r="F532" i="6"/>
  <c r="F549" i="6"/>
  <c r="F561" i="6"/>
  <c r="F577" i="6"/>
  <c r="F596" i="6"/>
  <c r="F615" i="6"/>
  <c r="F637" i="6"/>
  <c r="F661" i="6"/>
  <c r="F688" i="6"/>
  <c r="F710" i="6"/>
  <c r="F739" i="6"/>
  <c r="F770" i="6"/>
  <c r="F80" i="6"/>
  <c r="F176" i="6"/>
  <c r="F261" i="6"/>
  <c r="F439" i="6"/>
  <c r="F662" i="6"/>
  <c r="F762" i="6"/>
  <c r="F344" i="6"/>
  <c r="F367" i="6"/>
  <c r="F382" i="6"/>
  <c r="F396" i="6"/>
  <c r="F411" i="6"/>
  <c r="F430" i="6"/>
  <c r="F445" i="6"/>
  <c r="F460" i="6"/>
  <c r="F474" i="6"/>
  <c r="F489" i="6"/>
  <c r="F511" i="6"/>
  <c r="F513" i="6"/>
  <c r="F625" i="6"/>
  <c r="F658" i="6"/>
  <c r="F685" i="6"/>
  <c r="F711" i="6"/>
  <c r="F737" i="6"/>
  <c r="F764" i="6"/>
  <c r="F499" i="6"/>
  <c r="F530" i="6"/>
  <c r="F548" i="6"/>
  <c r="F560" i="6"/>
  <c r="F575" i="6"/>
  <c r="F595" i="6"/>
  <c r="F614" i="6"/>
  <c r="F636" i="6"/>
  <c r="F642" i="6"/>
  <c r="F659" i="6"/>
  <c r="F666" i="6"/>
  <c r="F686" i="6"/>
  <c r="F691" i="6"/>
  <c r="F712" i="6"/>
  <c r="F720" i="6"/>
  <c r="F738" i="6"/>
  <c r="F743" i="6"/>
  <c r="F768" i="6"/>
  <c r="F773" i="6"/>
  <c r="F539" i="6"/>
  <c r="F562" i="6"/>
  <c r="F578" i="6"/>
  <c r="F598" i="6"/>
  <c r="F616" i="6"/>
  <c r="F638" i="6"/>
  <c r="F643" i="6"/>
  <c r="F663" i="6"/>
  <c r="F667" i="6"/>
  <c r="F689" i="6"/>
  <c r="F692" i="6"/>
  <c r="F713" i="6"/>
  <c r="F721" i="6"/>
  <c r="F740" i="6"/>
  <c r="F744" i="6"/>
  <c r="F771" i="6"/>
  <c r="F774" i="6"/>
  <c r="F197" i="6"/>
  <c r="F206" i="6"/>
  <c r="F212" i="6"/>
  <c r="F213" i="6"/>
  <c r="F222" i="6"/>
  <c r="F231" i="6"/>
  <c r="F239" i="6"/>
  <c r="F247" i="6"/>
  <c r="F255" i="6"/>
  <c r="F264" i="6"/>
  <c r="F272" i="6"/>
  <c r="F287" i="6"/>
  <c r="F297" i="6"/>
  <c r="F307" i="6"/>
  <c r="F316" i="6"/>
  <c r="F325" i="6"/>
  <c r="F339" i="6"/>
  <c r="F352" i="6"/>
  <c r="F364" i="6"/>
  <c r="F381" i="6"/>
  <c r="F395" i="6"/>
  <c r="F409" i="6"/>
  <c r="F412" i="6"/>
  <c r="F429" i="6"/>
  <c r="F444" i="6"/>
  <c r="F458" i="6"/>
  <c r="F473" i="6"/>
  <c r="F488" i="6"/>
  <c r="F512" i="6"/>
  <c r="F533" i="6"/>
  <c r="F534" i="6"/>
  <c r="F579" i="6"/>
  <c r="F601" i="6"/>
  <c r="F580" i="6"/>
  <c r="F617" i="6"/>
  <c r="F639" i="6"/>
  <c r="F644" i="6"/>
  <c r="F664" i="6"/>
  <c r="F668" i="6"/>
  <c r="F690" i="6"/>
  <c r="F693" i="6"/>
  <c r="F714" i="6"/>
  <c r="F722" i="6"/>
  <c r="F741" i="6"/>
  <c r="F745" i="6"/>
  <c r="F772" i="6"/>
  <c r="F775" i="6"/>
  <c r="F356" i="6"/>
  <c r="F371" i="6"/>
  <c r="F386" i="6"/>
  <c r="F400" i="6"/>
  <c r="F417" i="6"/>
  <c r="F423" i="6"/>
  <c r="F424" i="6"/>
  <c r="F434" i="6"/>
  <c r="F449" i="6"/>
  <c r="F464" i="6"/>
  <c r="F479" i="6"/>
  <c r="F490" i="6"/>
  <c r="F497" i="6"/>
  <c r="F509" i="6"/>
  <c r="F514" i="6"/>
  <c r="F527" i="6"/>
  <c r="F541" i="6"/>
  <c r="F551" i="6"/>
  <c r="F566" i="6"/>
  <c r="F593" i="6"/>
  <c r="F605" i="6"/>
  <c r="F621" i="6"/>
  <c r="F626" i="6"/>
  <c r="F645" i="6"/>
  <c r="F649" i="6"/>
  <c r="F657" i="6"/>
  <c r="F674" i="6"/>
  <c r="F669" i="6"/>
  <c r="F694" i="6"/>
  <c r="F699" i="6"/>
  <c r="F717" i="6"/>
  <c r="F723" i="6"/>
  <c r="F729" i="6"/>
  <c r="F751" i="6"/>
  <c r="F746" i="6"/>
  <c r="F776" i="6"/>
  <c r="F781" i="6"/>
  <c r="F4" i="6"/>
  <c r="F6" i="6"/>
  <c r="F8" i="6"/>
  <c r="F10" i="6"/>
  <c r="F13" i="6"/>
  <c r="F17" i="6"/>
  <c r="F20" i="6"/>
  <c r="F22" i="6"/>
  <c r="F33" i="6"/>
  <c r="F38" i="6"/>
  <c r="F42" i="6"/>
  <c r="F45" i="6"/>
  <c r="F49" i="6"/>
  <c r="F54" i="6"/>
  <c r="F57" i="6"/>
  <c r="F61" i="6"/>
  <c r="F65" i="6"/>
  <c r="F71" i="6"/>
  <c r="F78" i="6"/>
  <c r="F79" i="6"/>
  <c r="F84" i="6"/>
  <c r="F85" i="6"/>
  <c r="F89" i="6"/>
  <c r="F90" i="6"/>
  <c r="F91" i="6"/>
  <c r="F96" i="6"/>
  <c r="F97" i="6"/>
  <c r="F101" i="6"/>
  <c r="F104" i="6"/>
  <c r="F105" i="6"/>
  <c r="F114" i="6"/>
  <c r="F115" i="6"/>
  <c r="F119" i="6"/>
  <c r="F127" i="6"/>
  <c r="F129" i="6"/>
  <c r="F132" i="6"/>
  <c r="F134" i="6"/>
  <c r="F135" i="6"/>
  <c r="F138" i="6"/>
  <c r="F147" i="6"/>
  <c r="F164" i="6"/>
  <c r="F174" i="6"/>
  <c r="F185" i="6"/>
  <c r="F196" i="6"/>
  <c r="F207" i="6"/>
  <c r="F214" i="6"/>
  <c r="F215" i="6"/>
  <c r="F223" i="6"/>
  <c r="F232" i="6"/>
  <c r="F240" i="6"/>
  <c r="F248" i="6"/>
  <c r="F256" i="6"/>
  <c r="F265" i="6"/>
  <c r="F273" i="6"/>
  <c r="F288" i="6"/>
  <c r="F296" i="6"/>
  <c r="F305" i="6"/>
  <c r="F315" i="6"/>
  <c r="F323" i="6"/>
  <c r="F337" i="6"/>
  <c r="F351" i="6"/>
  <c r="F361" i="6"/>
  <c r="F379" i="6"/>
  <c r="F394" i="6"/>
  <c r="F405" i="6"/>
  <c r="F413" i="6"/>
  <c r="F426" i="6"/>
  <c r="F443" i="6"/>
  <c r="F454" i="6"/>
  <c r="F469" i="6"/>
  <c r="F486" i="6"/>
  <c r="F508" i="6"/>
  <c r="F515" i="6"/>
  <c r="F528" i="6"/>
  <c r="F540" i="6"/>
  <c r="F558" i="6"/>
  <c r="F516" i="6"/>
  <c r="F574" i="6"/>
  <c r="F586" i="6"/>
  <c r="F567" i="6"/>
  <c r="F581" i="6"/>
  <c r="F594" i="6"/>
  <c r="F612" i="6"/>
  <c r="F634" i="6"/>
  <c r="F640" i="6"/>
  <c r="F660" i="6"/>
  <c r="F670" i="6"/>
  <c r="F684" i="6"/>
  <c r="F695" i="6"/>
  <c r="F709" i="6"/>
  <c r="F724" i="6"/>
  <c r="F735" i="6"/>
  <c r="F747" i="6"/>
  <c r="F763" i="6"/>
  <c r="F777" i="6"/>
  <c r="F110" i="6"/>
  <c r="F120" i="6"/>
  <c r="F128" i="6"/>
  <c r="F133" i="6"/>
  <c r="F139" i="6"/>
  <c r="F140" i="6"/>
  <c r="F146" i="6"/>
  <c r="F148" i="6"/>
  <c r="F150" i="6"/>
  <c r="F155" i="6"/>
  <c r="F156" i="6"/>
  <c r="F157" i="6"/>
  <c r="F159" i="6"/>
  <c r="F165" i="6"/>
  <c r="F166" i="6"/>
  <c r="F167" i="6"/>
  <c r="F168" i="6"/>
  <c r="F175" i="6"/>
  <c r="F177" i="6"/>
  <c r="F182" i="6"/>
  <c r="F183" i="6"/>
  <c r="F184" i="6"/>
  <c r="F186" i="6"/>
  <c r="F187" i="6"/>
  <c r="F188" i="6"/>
  <c r="F189" i="6"/>
  <c r="F195" i="6"/>
  <c r="F198" i="6"/>
  <c r="F199" i="6"/>
  <c r="F200" i="6"/>
  <c r="F209" i="6"/>
  <c r="F210" i="6"/>
  <c r="F211" i="6"/>
  <c r="F216" i="6"/>
  <c r="F224" i="6"/>
  <c r="F225" i="6"/>
  <c r="F233" i="6"/>
  <c r="F241" i="6"/>
  <c r="F249" i="6"/>
  <c r="F257" i="6"/>
  <c r="F266" i="6"/>
  <c r="F275" i="6"/>
  <c r="F289" i="6"/>
  <c r="F298" i="6"/>
  <c r="F308" i="6"/>
  <c r="F327" i="6"/>
  <c r="F341" i="6"/>
  <c r="F353" i="6"/>
  <c r="F368" i="6"/>
  <c r="F383" i="6"/>
  <c r="F397" i="6"/>
  <c r="F414" i="6"/>
  <c r="F431" i="6"/>
  <c r="F446" i="6"/>
  <c r="F461" i="6"/>
  <c r="F475" i="6"/>
  <c r="F491" i="6"/>
  <c r="F517" i="6"/>
  <c r="F492" i="6"/>
  <c r="F535" i="6"/>
  <c r="F563" i="6"/>
  <c r="F576" i="6"/>
  <c r="F582" i="6"/>
  <c r="F602" i="6"/>
  <c r="F618" i="6"/>
  <c r="F624" i="6"/>
  <c r="F633" i="6"/>
  <c r="F641" i="6"/>
  <c r="F646" i="6"/>
  <c r="F671" i="6"/>
  <c r="F675" i="6"/>
  <c r="F678" i="6"/>
  <c r="F696" i="6"/>
  <c r="F700" i="6"/>
  <c r="F718" i="6"/>
  <c r="F725" i="6"/>
  <c r="F736" i="6"/>
  <c r="F742" i="6"/>
  <c r="F748" i="6"/>
  <c r="F765" i="6"/>
  <c r="F778" i="6"/>
  <c r="F328" i="6"/>
  <c r="F342" i="6"/>
  <c r="F354" i="6"/>
  <c r="F369" i="6"/>
  <c r="F384" i="6"/>
  <c r="F398" i="6"/>
  <c r="F415" i="6"/>
  <c r="F432" i="6"/>
  <c r="F447" i="6"/>
  <c r="F462" i="6"/>
  <c r="F476" i="6"/>
  <c r="F493" i="6"/>
  <c r="F518" i="6"/>
  <c r="F494" i="6"/>
  <c r="F520" i="6"/>
  <c r="F536" i="6"/>
  <c r="F564" i="6"/>
  <c r="F583" i="6"/>
  <c r="F597" i="6"/>
  <c r="F603" i="6"/>
  <c r="F619" i="6"/>
  <c r="F623" i="6"/>
  <c r="F647" i="6"/>
  <c r="F650" i="6"/>
  <c r="F665" i="6"/>
  <c r="F672" i="6"/>
  <c r="F676" i="6"/>
  <c r="F697" i="6"/>
  <c r="F701" i="6"/>
  <c r="F702" i="6"/>
  <c r="F726" i="6"/>
  <c r="F749" i="6"/>
  <c r="F752" i="6"/>
  <c r="F779" i="6"/>
  <c r="F329" i="6"/>
  <c r="F343" i="6"/>
  <c r="F355" i="6"/>
  <c r="F370" i="6"/>
  <c r="F385" i="6"/>
  <c r="F399" i="6"/>
  <c r="F416" i="6"/>
  <c r="F433" i="6"/>
  <c r="F448" i="6"/>
  <c r="F463" i="6"/>
  <c r="F477" i="6"/>
  <c r="F495" i="6"/>
  <c r="F519" i="6"/>
  <c r="F496" i="6"/>
  <c r="F531" i="6"/>
  <c r="F529" i="6"/>
  <c r="F537" i="6"/>
  <c r="F550" i="6"/>
  <c r="F565" i="6"/>
  <c r="F584" i="6"/>
  <c r="F599" i="6"/>
  <c r="F604" i="6"/>
  <c r="F620" i="6"/>
  <c r="F622" i="6"/>
  <c r="F648" i="6"/>
  <c r="F673" i="6"/>
  <c r="F683" i="6"/>
  <c r="F698" i="6"/>
  <c r="F707" i="6"/>
  <c r="F719" i="6"/>
  <c r="F727" i="6"/>
  <c r="F728" i="6"/>
  <c r="F750" i="6"/>
  <c r="F754" i="6"/>
  <c r="F761" i="6"/>
  <c r="F769" i="6"/>
  <c r="F780" i="6"/>
  <c r="J106" i="6"/>
  <c r="J117" i="6"/>
  <c r="J122" i="6"/>
  <c r="J145" i="6"/>
  <c r="J151" i="6"/>
  <c r="J161" i="6"/>
  <c r="J169" i="6"/>
  <c r="J190" i="6"/>
  <c r="J201" i="6"/>
  <c r="J217" i="6"/>
  <c r="J226" i="6"/>
  <c r="J234" i="6"/>
  <c r="J242" i="6"/>
  <c r="J250" i="6"/>
  <c r="J267" i="6"/>
  <c r="J276" i="6"/>
  <c r="J277" i="6"/>
  <c r="J278" i="6"/>
  <c r="J279" i="6"/>
  <c r="J280" i="6"/>
  <c r="J282" i="6"/>
  <c r="J290" i="6"/>
  <c r="J300" i="6"/>
  <c r="J309" i="6"/>
  <c r="J317" i="6"/>
  <c r="J331" i="6"/>
  <c r="J345" i="6"/>
  <c r="J358" i="6"/>
  <c r="J373" i="6"/>
  <c r="J387" i="6"/>
  <c r="J403" i="6"/>
  <c r="J418" i="6"/>
  <c r="J435" i="6"/>
  <c r="J452" i="6"/>
  <c r="J465" i="6"/>
  <c r="J480" i="6"/>
  <c r="J500" i="6"/>
  <c r="J521" i="6"/>
  <c r="J542" i="6"/>
  <c r="J552" i="6"/>
  <c r="J568" i="6"/>
  <c r="J587" i="6"/>
  <c r="J608" i="6"/>
  <c r="J628" i="6"/>
  <c r="J651" i="6"/>
  <c r="J679" i="6"/>
  <c r="J703" i="6"/>
  <c r="J730" i="6"/>
  <c r="J756" i="6"/>
  <c r="J362" i="6"/>
  <c r="J380" i="6"/>
  <c r="J388" i="6"/>
  <c r="J404" i="6"/>
  <c r="J419" i="6"/>
  <c r="J422" i="6"/>
  <c r="J436" i="6"/>
  <c r="J453" i="6"/>
  <c r="J468" i="6"/>
  <c r="J481" i="6"/>
  <c r="J501" i="6"/>
  <c r="J522" i="6"/>
  <c r="J546" i="6"/>
  <c r="J553" i="6"/>
  <c r="J569" i="6"/>
  <c r="J585" i="6"/>
  <c r="J588" i="6"/>
  <c r="J600" i="6"/>
  <c r="J609" i="6"/>
  <c r="J613" i="6"/>
  <c r="J629" i="6"/>
  <c r="J635" i="6"/>
  <c r="J652" i="6"/>
  <c r="J677" i="6"/>
  <c r="J680" i="6"/>
  <c r="J687" i="6"/>
  <c r="J704" i="6"/>
  <c r="J708" i="6"/>
  <c r="J716" i="6"/>
  <c r="J731" i="6"/>
  <c r="J757" i="6"/>
  <c r="J70" i="6"/>
  <c r="J102" i="6"/>
  <c r="J208" i="6"/>
  <c r="J324" i="6"/>
  <c r="J330" i="6"/>
  <c r="J478" i="6"/>
  <c r="J498" i="6"/>
  <c r="J502" i="6"/>
  <c r="J507" i="6"/>
  <c r="J538" i="6"/>
  <c r="J559" i="6"/>
  <c r="J755" i="6"/>
  <c r="J158" i="6"/>
  <c r="J170" i="6"/>
  <c r="J179" i="6"/>
  <c r="J191" i="6"/>
  <c r="J202" i="6"/>
  <c r="J218" i="6"/>
  <c r="J227" i="6"/>
  <c r="J235" i="6"/>
  <c r="J243" i="6"/>
  <c r="J251" i="6"/>
  <c r="J258" i="6"/>
  <c r="J268" i="6"/>
  <c r="J283" i="6"/>
  <c r="J291" i="6"/>
  <c r="J301" i="6"/>
  <c r="J310" i="6"/>
  <c r="J318" i="6"/>
  <c r="J332" i="6"/>
  <c r="J338" i="6"/>
  <c r="J346" i="6"/>
  <c r="J357" i="6"/>
  <c r="J374" i="6"/>
  <c r="J389" i="6"/>
  <c r="J401" i="6"/>
  <c r="J420" i="6"/>
  <c r="J437" i="6"/>
  <c r="J451" i="6"/>
  <c r="J466" i="6"/>
  <c r="J482" i="6"/>
  <c r="J503" i="6"/>
  <c r="J523" i="6"/>
  <c r="J543" i="6"/>
  <c r="J554" i="6"/>
  <c r="J570" i="6"/>
  <c r="J589" i="6"/>
  <c r="J610" i="6"/>
  <c r="J627" i="6"/>
  <c r="J653" i="6"/>
  <c r="J681" i="6"/>
  <c r="J705" i="6"/>
  <c r="J732" i="6"/>
  <c r="J758" i="6"/>
  <c r="J2" i="6"/>
  <c r="J5" i="6"/>
  <c r="J9" i="6"/>
  <c r="J12" i="6"/>
  <c r="J15" i="6"/>
  <c r="J18" i="6"/>
  <c r="J21" i="6"/>
  <c r="J32" i="6"/>
  <c r="J36" i="6"/>
  <c r="J41" i="6"/>
  <c r="J44" i="6"/>
  <c r="J48" i="6"/>
  <c r="J53" i="6"/>
  <c r="J58" i="6"/>
  <c r="J64" i="6"/>
  <c r="J83" i="6"/>
  <c r="J88" i="6"/>
  <c r="J92" i="6"/>
  <c r="J95" i="6"/>
  <c r="J98" i="6"/>
  <c r="J107" i="6"/>
  <c r="J111" i="6"/>
  <c r="J121" i="6"/>
  <c r="J130" i="6"/>
  <c r="J141" i="6"/>
  <c r="J152" i="6"/>
  <c r="J160" i="6"/>
  <c r="J171" i="6"/>
  <c r="J178" i="6"/>
  <c r="J192" i="6"/>
  <c r="J203" i="6"/>
  <c r="J219" i="6"/>
  <c r="J228" i="6"/>
  <c r="J238" i="6"/>
  <c r="J244" i="6"/>
  <c r="J252" i="6"/>
  <c r="J262" i="6"/>
  <c r="J269" i="6"/>
  <c r="J284" i="6"/>
  <c r="J293" i="6"/>
  <c r="J302" i="6"/>
  <c r="J311" i="6"/>
  <c r="J319" i="6"/>
  <c r="J333" i="6"/>
  <c r="J347" i="6"/>
  <c r="J365" i="6"/>
  <c r="J375" i="6"/>
  <c r="J390" i="6"/>
  <c r="J406" i="6"/>
  <c r="J428" i="6"/>
  <c r="J440" i="6"/>
  <c r="J456" i="6"/>
  <c r="J470" i="6"/>
  <c r="J483" i="6"/>
  <c r="J504" i="6"/>
  <c r="J524" i="6"/>
  <c r="J547" i="6"/>
  <c r="J555" i="6"/>
  <c r="J571" i="6"/>
  <c r="J590" i="6"/>
  <c r="J606" i="6"/>
  <c r="J630" i="6"/>
  <c r="J654" i="6"/>
  <c r="J682" i="6"/>
  <c r="J706" i="6"/>
  <c r="J733" i="6"/>
  <c r="J760" i="6"/>
  <c r="J759" i="6"/>
  <c r="J24" i="6"/>
  <c r="J25" i="6"/>
  <c r="J26" i="6"/>
  <c r="J27" i="6"/>
  <c r="J28" i="6"/>
  <c r="J29" i="6"/>
  <c r="J30" i="6"/>
  <c r="J31" i="6"/>
  <c r="J35" i="6"/>
  <c r="J39" i="6"/>
  <c r="J40" i="6"/>
  <c r="J47" i="6"/>
  <c r="J51" i="6"/>
  <c r="J56" i="6"/>
  <c r="J59" i="6"/>
  <c r="J63" i="6"/>
  <c r="J68" i="6"/>
  <c r="J72" i="6"/>
  <c r="J73" i="6"/>
  <c r="J75" i="6"/>
  <c r="J77" i="6"/>
  <c r="J81" i="6"/>
  <c r="J86" i="6"/>
  <c r="J93" i="6"/>
  <c r="J99" i="6"/>
  <c r="J108" i="6"/>
  <c r="J112" i="6"/>
  <c r="J116" i="6"/>
  <c r="J123" i="6"/>
  <c r="J126" i="6"/>
  <c r="J131" i="6"/>
  <c r="J137" i="6"/>
  <c r="J142" i="6"/>
  <c r="J153" i="6"/>
  <c r="J162" i="6"/>
  <c r="J172" i="6"/>
  <c r="J180" i="6"/>
  <c r="J193" i="6"/>
  <c r="J204" i="6"/>
  <c r="J220" i="6"/>
  <c r="J229" i="6"/>
  <c r="J236" i="6"/>
  <c r="J245" i="6"/>
  <c r="J253" i="6"/>
  <c r="J259" i="6"/>
  <c r="J270" i="6"/>
  <c r="J285" i="6"/>
  <c r="J292" i="6"/>
  <c r="J303" i="6"/>
  <c r="J312" i="6"/>
  <c r="J320" i="6"/>
  <c r="J334" i="6"/>
  <c r="J340" i="6"/>
  <c r="J348" i="6"/>
  <c r="J359" i="6"/>
  <c r="J360" i="6"/>
  <c r="J376" i="6"/>
  <c r="J391" i="6"/>
  <c r="J402" i="6"/>
  <c r="J421" i="6"/>
  <c r="J438" i="6"/>
  <c r="J450" i="6"/>
  <c r="J467" i="6"/>
  <c r="J484" i="6"/>
  <c r="J505" i="6"/>
  <c r="J525" i="6"/>
  <c r="J544" i="6"/>
  <c r="J556" i="6"/>
  <c r="J572" i="6"/>
  <c r="J591" i="6"/>
  <c r="J607" i="6"/>
  <c r="J631" i="6"/>
  <c r="J655" i="6"/>
  <c r="J766" i="6"/>
  <c r="J3" i="6"/>
  <c r="J7" i="6"/>
  <c r="J11" i="6"/>
  <c r="J14" i="6"/>
  <c r="J16" i="6"/>
  <c r="J19" i="6"/>
  <c r="J23" i="6"/>
  <c r="J34" i="6"/>
  <c r="J37" i="6"/>
  <c r="J43" i="6"/>
  <c r="J46" i="6"/>
  <c r="J50" i="6"/>
  <c r="J52" i="6"/>
  <c r="J55" i="6"/>
  <c r="J60" i="6"/>
  <c r="J62" i="6"/>
  <c r="J66" i="6"/>
  <c r="J67" i="6"/>
  <c r="J69" i="6"/>
  <c r="J74" i="6"/>
  <c r="J76" i="6"/>
  <c r="J82" i="6"/>
  <c r="J87" i="6"/>
  <c r="J94" i="6"/>
  <c r="J100" i="6"/>
  <c r="J103" i="6"/>
  <c r="J109" i="6"/>
  <c r="J113" i="6"/>
  <c r="J118" i="6"/>
  <c r="J124" i="6"/>
  <c r="J125" i="6"/>
  <c r="J136" i="6"/>
  <c r="J143" i="6"/>
  <c r="J144" i="6"/>
  <c r="J149" i="6"/>
  <c r="J154" i="6"/>
  <c r="J163" i="6"/>
  <c r="J173" i="6"/>
  <c r="J181" i="6"/>
  <c r="J194" i="6"/>
  <c r="J205" i="6"/>
  <c r="J221" i="6"/>
  <c r="J230" i="6"/>
  <c r="J237" i="6"/>
  <c r="J246" i="6"/>
  <c r="J254" i="6"/>
  <c r="J260" i="6"/>
  <c r="J271" i="6"/>
  <c r="J286" i="6"/>
  <c r="J294" i="6"/>
  <c r="J306" i="6"/>
  <c r="J313" i="6"/>
  <c r="J321" i="6"/>
  <c r="J326" i="6"/>
  <c r="J335" i="6"/>
  <c r="J349" i="6"/>
  <c r="J366" i="6"/>
  <c r="J372" i="6"/>
  <c r="J378" i="6"/>
  <c r="J392" i="6"/>
  <c r="J407" i="6"/>
  <c r="J410" i="6"/>
  <c r="J427" i="6"/>
  <c r="J441" i="6"/>
  <c r="J457" i="6"/>
  <c r="J471" i="6"/>
  <c r="J485" i="6"/>
  <c r="J506" i="6"/>
  <c r="J526" i="6"/>
  <c r="J545" i="6"/>
  <c r="J557" i="6"/>
  <c r="J573" i="6"/>
  <c r="J592" i="6"/>
  <c r="J611" i="6"/>
  <c r="J632" i="6"/>
  <c r="J656" i="6"/>
  <c r="J715" i="6"/>
  <c r="J734" i="6"/>
  <c r="J753" i="6"/>
  <c r="J767" i="6"/>
  <c r="J263" i="6"/>
  <c r="J274" i="6"/>
  <c r="J281" i="6"/>
  <c r="J295" i="6"/>
  <c r="J299" i="6"/>
  <c r="J304" i="6"/>
  <c r="J314" i="6"/>
  <c r="J322" i="6"/>
  <c r="J336" i="6"/>
  <c r="J350" i="6"/>
  <c r="J363" i="6"/>
  <c r="J377" i="6"/>
  <c r="J393" i="6"/>
  <c r="J408" i="6"/>
  <c r="J425" i="6"/>
  <c r="J442" i="6"/>
  <c r="J455" i="6"/>
  <c r="J459" i="6"/>
  <c r="J472" i="6"/>
  <c r="J487" i="6"/>
  <c r="J510" i="6"/>
  <c r="J532" i="6"/>
  <c r="J549" i="6"/>
  <c r="J561" i="6"/>
  <c r="J577" i="6"/>
  <c r="J596" i="6"/>
  <c r="J615" i="6"/>
  <c r="J637" i="6"/>
  <c r="J661" i="6"/>
  <c r="J688" i="6"/>
  <c r="J710" i="6"/>
  <c r="J739" i="6"/>
  <c r="J770" i="6"/>
  <c r="J80" i="6"/>
  <c r="J176" i="6"/>
  <c r="J261" i="6"/>
  <c r="J439" i="6"/>
  <c r="J662" i="6"/>
  <c r="J762" i="6"/>
  <c r="J344" i="6"/>
  <c r="J367" i="6"/>
  <c r="J382" i="6"/>
  <c r="J396" i="6"/>
  <c r="J411" i="6"/>
  <c r="J430" i="6"/>
  <c r="J445" i="6"/>
  <c r="J460" i="6"/>
  <c r="J474" i="6"/>
  <c r="J489" i="6"/>
  <c r="J511" i="6"/>
  <c r="J513" i="6"/>
  <c r="J625" i="6"/>
  <c r="J658" i="6"/>
  <c r="J685" i="6"/>
  <c r="J711" i="6"/>
  <c r="J737" i="6"/>
  <c r="J764" i="6"/>
  <c r="J499" i="6"/>
  <c r="J530" i="6"/>
  <c r="J548" i="6"/>
  <c r="J560" i="6"/>
  <c r="J575" i="6"/>
  <c r="J595" i="6"/>
  <c r="J614" i="6"/>
  <c r="J636" i="6"/>
  <c r="J642" i="6"/>
  <c r="J659" i="6"/>
  <c r="J666" i="6"/>
  <c r="J686" i="6"/>
  <c r="J691" i="6"/>
  <c r="J712" i="6"/>
  <c r="J720" i="6"/>
  <c r="J738" i="6"/>
  <c r="J743" i="6"/>
  <c r="J768" i="6"/>
  <c r="J773" i="6"/>
  <c r="J539" i="6"/>
  <c r="J562" i="6"/>
  <c r="J578" i="6"/>
  <c r="J598" i="6"/>
  <c r="J616" i="6"/>
  <c r="J638" i="6"/>
  <c r="J643" i="6"/>
  <c r="J663" i="6"/>
  <c r="J667" i="6"/>
  <c r="J689" i="6"/>
  <c r="J692" i="6"/>
  <c r="J713" i="6"/>
  <c r="J721" i="6"/>
  <c r="J740" i="6"/>
  <c r="J744" i="6"/>
  <c r="J771" i="6"/>
  <c r="J774" i="6"/>
  <c r="J197" i="6"/>
  <c r="J206" i="6"/>
  <c r="J212" i="6"/>
  <c r="J213" i="6"/>
  <c r="J222" i="6"/>
  <c r="J231" i="6"/>
  <c r="J239" i="6"/>
  <c r="J247" i="6"/>
  <c r="J255" i="6"/>
  <c r="J264" i="6"/>
  <c r="J272" i="6"/>
  <c r="J287" i="6"/>
  <c r="J297" i="6"/>
  <c r="J307" i="6"/>
  <c r="J316" i="6"/>
  <c r="J325" i="6"/>
  <c r="J339" i="6"/>
  <c r="J352" i="6"/>
  <c r="J364" i="6"/>
  <c r="J381" i="6"/>
  <c r="J395" i="6"/>
  <c r="J409" i="6"/>
  <c r="J412" i="6"/>
  <c r="J429" i="6"/>
  <c r="J444" i="6"/>
  <c r="J458" i="6"/>
  <c r="J473" i="6"/>
  <c r="J488" i="6"/>
  <c r="J512" i="6"/>
  <c r="J533" i="6"/>
  <c r="J534" i="6"/>
  <c r="J579" i="6"/>
  <c r="J601" i="6"/>
  <c r="J580" i="6"/>
  <c r="J617" i="6"/>
  <c r="J639" i="6"/>
  <c r="J644" i="6"/>
  <c r="J664" i="6"/>
  <c r="J668" i="6"/>
  <c r="J690" i="6"/>
  <c r="J693" i="6"/>
  <c r="J714" i="6"/>
  <c r="J722" i="6"/>
  <c r="J741" i="6"/>
  <c r="J745" i="6"/>
  <c r="J772" i="6"/>
  <c r="J775" i="6"/>
  <c r="J356" i="6"/>
  <c r="J371" i="6"/>
  <c r="J386" i="6"/>
  <c r="J400" i="6"/>
  <c r="J417" i="6"/>
  <c r="J423" i="6"/>
  <c r="J424" i="6"/>
  <c r="J434" i="6"/>
  <c r="J449" i="6"/>
  <c r="J464" i="6"/>
  <c r="J479" i="6"/>
  <c r="J490" i="6"/>
  <c r="J497" i="6"/>
  <c r="J509" i="6"/>
  <c r="J514" i="6"/>
  <c r="J527" i="6"/>
  <c r="J541" i="6"/>
  <c r="J551" i="6"/>
  <c r="J566" i="6"/>
  <c r="J593" i="6"/>
  <c r="J605" i="6"/>
  <c r="J621" i="6"/>
  <c r="J626" i="6"/>
  <c r="J645" i="6"/>
  <c r="J649" i="6"/>
  <c r="J657" i="6"/>
  <c r="J674" i="6"/>
  <c r="J669" i="6"/>
  <c r="J694" i="6"/>
  <c r="J699" i="6"/>
  <c r="J717" i="6"/>
  <c r="J723" i="6"/>
  <c r="J729" i="6"/>
  <c r="J751" i="6"/>
  <c r="J746" i="6"/>
  <c r="J776" i="6"/>
  <c r="J781" i="6"/>
  <c r="J4" i="6"/>
  <c r="J6" i="6"/>
  <c r="J8" i="6"/>
  <c r="J10" i="6"/>
  <c r="J13" i="6"/>
  <c r="J17" i="6"/>
  <c r="J20" i="6"/>
  <c r="J22" i="6"/>
  <c r="J33" i="6"/>
  <c r="J38" i="6"/>
  <c r="J42" i="6"/>
  <c r="J45" i="6"/>
  <c r="J49" i="6"/>
  <c r="J54" i="6"/>
  <c r="J57" i="6"/>
  <c r="J61" i="6"/>
  <c r="J65" i="6"/>
  <c r="J71" i="6"/>
  <c r="J78" i="6"/>
  <c r="J79" i="6"/>
  <c r="J84" i="6"/>
  <c r="J85" i="6"/>
  <c r="J89" i="6"/>
  <c r="J90" i="6"/>
  <c r="J91" i="6"/>
  <c r="J96" i="6"/>
  <c r="J97" i="6"/>
  <c r="J101" i="6"/>
  <c r="J104" i="6"/>
  <c r="J105" i="6"/>
  <c r="J114" i="6"/>
  <c r="J115" i="6"/>
  <c r="J119" i="6"/>
  <c r="J127" i="6"/>
  <c r="J129" i="6"/>
  <c r="J132" i="6"/>
  <c r="J134" i="6"/>
  <c r="J135" i="6"/>
  <c r="J138" i="6"/>
  <c r="J147" i="6"/>
  <c r="J164" i="6"/>
  <c r="J174" i="6"/>
  <c r="J185" i="6"/>
  <c r="J196" i="6"/>
  <c r="J207" i="6"/>
  <c r="J214" i="6"/>
  <c r="J215" i="6"/>
  <c r="J223" i="6"/>
  <c r="J232" i="6"/>
  <c r="J240" i="6"/>
  <c r="J248" i="6"/>
  <c r="J256" i="6"/>
  <c r="J265" i="6"/>
  <c r="J273" i="6"/>
  <c r="J288" i="6"/>
  <c r="J296" i="6"/>
  <c r="J305" i="6"/>
  <c r="J315" i="6"/>
  <c r="J323" i="6"/>
  <c r="J337" i="6"/>
  <c r="J351" i="6"/>
  <c r="J361" i="6"/>
  <c r="J379" i="6"/>
  <c r="J394" i="6"/>
  <c r="J405" i="6"/>
  <c r="J413" i="6"/>
  <c r="J426" i="6"/>
  <c r="J443" i="6"/>
  <c r="J454" i="6"/>
  <c r="J469" i="6"/>
  <c r="J486" i="6"/>
  <c r="J508" i="6"/>
  <c r="J515" i="6"/>
  <c r="J528" i="6"/>
  <c r="J540" i="6"/>
  <c r="J558" i="6"/>
  <c r="J516" i="6"/>
  <c r="J574" i="6"/>
  <c r="J586" i="6"/>
  <c r="J567" i="6"/>
  <c r="J581" i="6"/>
  <c r="J594" i="6"/>
  <c r="J612" i="6"/>
  <c r="J634" i="6"/>
  <c r="J640" i="6"/>
  <c r="J660" i="6"/>
  <c r="J670" i="6"/>
  <c r="J684" i="6"/>
  <c r="J695" i="6"/>
  <c r="J709" i="6"/>
  <c r="J724" i="6"/>
  <c r="J735" i="6"/>
  <c r="J747" i="6"/>
  <c r="J763" i="6"/>
  <c r="J777" i="6"/>
  <c r="J110" i="6"/>
  <c r="J120" i="6"/>
  <c r="J128" i="6"/>
  <c r="J133" i="6"/>
  <c r="J139" i="6"/>
  <c r="J140" i="6"/>
  <c r="J146" i="6"/>
  <c r="J148" i="6"/>
  <c r="J150" i="6"/>
  <c r="J155" i="6"/>
  <c r="J156" i="6"/>
  <c r="J157" i="6"/>
  <c r="J159" i="6"/>
  <c r="J165" i="6"/>
  <c r="J166" i="6"/>
  <c r="J167" i="6"/>
  <c r="J168" i="6"/>
  <c r="J175" i="6"/>
  <c r="J177" i="6"/>
  <c r="J182" i="6"/>
  <c r="J183" i="6"/>
  <c r="J184" i="6"/>
  <c r="J186" i="6"/>
  <c r="J187" i="6"/>
  <c r="J188" i="6"/>
  <c r="J189" i="6"/>
  <c r="J195" i="6"/>
  <c r="J198" i="6"/>
  <c r="J199" i="6"/>
  <c r="J200" i="6"/>
  <c r="J209" i="6"/>
  <c r="J210" i="6"/>
  <c r="J211" i="6"/>
  <c r="J216" i="6"/>
  <c r="J224" i="6"/>
  <c r="J225" i="6"/>
  <c r="J233" i="6"/>
  <c r="J241" i="6"/>
  <c r="J249" i="6"/>
  <c r="J257" i="6"/>
  <c r="J266" i="6"/>
  <c r="J275" i="6"/>
  <c r="J289" i="6"/>
  <c r="J298" i="6"/>
  <c r="J308" i="6"/>
  <c r="J327" i="6"/>
  <c r="J341" i="6"/>
  <c r="J353" i="6"/>
  <c r="J368" i="6"/>
  <c r="J383" i="6"/>
  <c r="J397" i="6"/>
  <c r="J414" i="6"/>
  <c r="J431" i="6"/>
  <c r="J446" i="6"/>
  <c r="J461" i="6"/>
  <c r="J475" i="6"/>
  <c r="J491" i="6"/>
  <c r="J517" i="6"/>
  <c r="J492" i="6"/>
  <c r="J535" i="6"/>
  <c r="J563" i="6"/>
  <c r="J576" i="6"/>
  <c r="J582" i="6"/>
  <c r="J602" i="6"/>
  <c r="J618" i="6"/>
  <c r="J624" i="6"/>
  <c r="J633" i="6"/>
  <c r="J641" i="6"/>
  <c r="J646" i="6"/>
  <c r="J671" i="6"/>
  <c r="J675" i="6"/>
  <c r="J678" i="6"/>
  <c r="J696" i="6"/>
  <c r="J700" i="6"/>
  <c r="J718" i="6"/>
  <c r="J725" i="6"/>
  <c r="J736" i="6"/>
  <c r="J742" i="6"/>
  <c r="J748" i="6"/>
  <c r="J765" i="6"/>
  <c r="J778" i="6"/>
  <c r="J328" i="6"/>
  <c r="J342" i="6"/>
  <c r="J354" i="6"/>
  <c r="J369" i="6"/>
  <c r="J384" i="6"/>
  <c r="J398" i="6"/>
  <c r="J415" i="6"/>
  <c r="J432" i="6"/>
  <c r="J447" i="6"/>
  <c r="J462" i="6"/>
  <c r="J476" i="6"/>
  <c r="J493" i="6"/>
  <c r="J518" i="6"/>
  <c r="J494" i="6"/>
  <c r="J520" i="6"/>
  <c r="J536" i="6"/>
  <c r="J564" i="6"/>
  <c r="J583" i="6"/>
  <c r="J597" i="6"/>
  <c r="J603" i="6"/>
  <c r="J619" i="6"/>
  <c r="J623" i="6"/>
  <c r="J647" i="6"/>
  <c r="J650" i="6"/>
  <c r="J665" i="6"/>
  <c r="J672" i="6"/>
  <c r="J676" i="6"/>
  <c r="J697" i="6"/>
  <c r="J701" i="6"/>
  <c r="J702" i="6"/>
  <c r="J726" i="6"/>
  <c r="J749" i="6"/>
  <c r="J752" i="6"/>
  <c r="J779" i="6"/>
  <c r="J329" i="6"/>
  <c r="J343" i="6"/>
  <c r="J355" i="6"/>
  <c r="J370" i="6"/>
  <c r="J385" i="6"/>
  <c r="J399" i="6"/>
  <c r="J416" i="6"/>
  <c r="J433" i="6"/>
  <c r="J448" i="6"/>
  <c r="J463" i="6"/>
  <c r="J477" i="6"/>
  <c r="J495" i="6"/>
  <c r="J519" i="6"/>
  <c r="J496" i="6"/>
  <c r="J531" i="6"/>
  <c r="J529" i="6"/>
  <c r="J537" i="6"/>
  <c r="J550" i="6"/>
  <c r="J565" i="6"/>
  <c r="J584" i="6"/>
  <c r="J599" i="6"/>
  <c r="J604" i="6"/>
  <c r="J620" i="6"/>
  <c r="J622" i="6"/>
  <c r="J648" i="6"/>
  <c r="J673" i="6"/>
  <c r="J683" i="6"/>
  <c r="J698" i="6"/>
  <c r="J707" i="6"/>
  <c r="J719" i="6"/>
  <c r="J727" i="6"/>
  <c r="J728" i="6"/>
  <c r="J750" i="6"/>
  <c r="J754" i="6"/>
  <c r="J761" i="6"/>
  <c r="J769" i="6"/>
  <c r="J780" i="6"/>
  <c r="K106" i="6"/>
  <c r="K117" i="6"/>
  <c r="K122" i="6"/>
  <c r="K145" i="6"/>
  <c r="K151" i="6"/>
  <c r="K161" i="6"/>
  <c r="K169" i="6"/>
  <c r="K190" i="6"/>
  <c r="K201" i="6"/>
  <c r="K217" i="6"/>
  <c r="K226" i="6"/>
  <c r="K234" i="6"/>
  <c r="K242" i="6"/>
  <c r="K250" i="6"/>
  <c r="K267" i="6"/>
  <c r="K276" i="6"/>
  <c r="K277" i="6"/>
  <c r="K278" i="6"/>
  <c r="K279" i="6"/>
  <c r="K280" i="6"/>
  <c r="K282" i="6"/>
  <c r="K290" i="6"/>
  <c r="K300" i="6"/>
  <c r="K309" i="6"/>
  <c r="K317" i="6"/>
  <c r="K331" i="6"/>
  <c r="K345" i="6"/>
  <c r="K358" i="6"/>
  <c r="K373" i="6"/>
  <c r="K387" i="6"/>
  <c r="K403" i="6"/>
  <c r="K418" i="6"/>
  <c r="K435" i="6"/>
  <c r="K452" i="6"/>
  <c r="K465" i="6"/>
  <c r="K480" i="6"/>
  <c r="K500" i="6"/>
  <c r="K521" i="6"/>
  <c r="K542" i="6"/>
  <c r="K552" i="6"/>
  <c r="K568" i="6"/>
  <c r="K587" i="6"/>
  <c r="K608" i="6"/>
  <c r="K628" i="6"/>
  <c r="K651" i="6"/>
  <c r="K679" i="6"/>
  <c r="K703" i="6"/>
  <c r="K730" i="6"/>
  <c r="K756" i="6"/>
  <c r="K362" i="6"/>
  <c r="K380" i="6"/>
  <c r="K388" i="6"/>
  <c r="K404" i="6"/>
  <c r="K419" i="6"/>
  <c r="K422" i="6"/>
  <c r="K436" i="6"/>
  <c r="K453" i="6"/>
  <c r="K468" i="6"/>
  <c r="K481" i="6"/>
  <c r="K501" i="6"/>
  <c r="K522" i="6"/>
  <c r="K546" i="6"/>
  <c r="K553" i="6"/>
  <c r="K569" i="6"/>
  <c r="K585" i="6"/>
  <c r="K588" i="6"/>
  <c r="K600" i="6"/>
  <c r="K609" i="6"/>
  <c r="K613" i="6"/>
  <c r="K629" i="6"/>
  <c r="K635" i="6"/>
  <c r="K652" i="6"/>
  <c r="K677" i="6"/>
  <c r="K680" i="6"/>
  <c r="K687" i="6"/>
  <c r="K704" i="6"/>
  <c r="K708" i="6"/>
  <c r="K716" i="6"/>
  <c r="K731" i="6"/>
  <c r="K757" i="6"/>
  <c r="K70" i="6"/>
  <c r="K102" i="6"/>
  <c r="K208" i="6"/>
  <c r="K324" i="6"/>
  <c r="K330" i="6"/>
  <c r="K478" i="6"/>
  <c r="K498" i="6"/>
  <c r="K502" i="6"/>
  <c r="K507" i="6"/>
  <c r="K538" i="6"/>
  <c r="K559" i="6"/>
  <c r="K755" i="6"/>
  <c r="K158" i="6"/>
  <c r="K170" i="6"/>
  <c r="K179" i="6"/>
  <c r="K191" i="6"/>
  <c r="K202" i="6"/>
  <c r="K218" i="6"/>
  <c r="K227" i="6"/>
  <c r="K235" i="6"/>
  <c r="K243" i="6"/>
  <c r="K251" i="6"/>
  <c r="K258" i="6"/>
  <c r="K268" i="6"/>
  <c r="K283" i="6"/>
  <c r="K291" i="6"/>
  <c r="K301" i="6"/>
  <c r="K310" i="6"/>
  <c r="K318" i="6"/>
  <c r="K332" i="6"/>
  <c r="K338" i="6"/>
  <c r="K346" i="6"/>
  <c r="K357" i="6"/>
  <c r="K374" i="6"/>
  <c r="K389" i="6"/>
  <c r="K401" i="6"/>
  <c r="K420" i="6"/>
  <c r="K437" i="6"/>
  <c r="K451" i="6"/>
  <c r="K466" i="6"/>
  <c r="K482" i="6"/>
  <c r="K503" i="6"/>
  <c r="K523" i="6"/>
  <c r="K543" i="6"/>
  <c r="K554" i="6"/>
  <c r="K570" i="6"/>
  <c r="K589" i="6"/>
  <c r="K610" i="6"/>
  <c r="K627" i="6"/>
  <c r="K653" i="6"/>
  <c r="K681" i="6"/>
  <c r="K705" i="6"/>
  <c r="K732" i="6"/>
  <c r="K758" i="6"/>
  <c r="K2" i="6"/>
  <c r="K5" i="6"/>
  <c r="K9" i="6"/>
  <c r="K12" i="6"/>
  <c r="K15" i="6"/>
  <c r="K18" i="6"/>
  <c r="K21" i="6"/>
  <c r="K32" i="6"/>
  <c r="K36" i="6"/>
  <c r="K41" i="6"/>
  <c r="K44" i="6"/>
  <c r="K48" i="6"/>
  <c r="K53" i="6"/>
  <c r="K58" i="6"/>
  <c r="K64" i="6"/>
  <c r="K83" i="6"/>
  <c r="K88" i="6"/>
  <c r="K92" i="6"/>
  <c r="K95" i="6"/>
  <c r="K98" i="6"/>
  <c r="K107" i="6"/>
  <c r="K111" i="6"/>
  <c r="K121" i="6"/>
  <c r="K130" i="6"/>
  <c r="K141" i="6"/>
  <c r="K152" i="6"/>
  <c r="K160" i="6"/>
  <c r="K171" i="6"/>
  <c r="K178" i="6"/>
  <c r="K192" i="6"/>
  <c r="K203" i="6"/>
  <c r="K219" i="6"/>
  <c r="K228" i="6"/>
  <c r="K238" i="6"/>
  <c r="K244" i="6"/>
  <c r="K252" i="6"/>
  <c r="K262" i="6"/>
  <c r="K269" i="6"/>
  <c r="K284" i="6"/>
  <c r="K293" i="6"/>
  <c r="K302" i="6"/>
  <c r="K311" i="6"/>
  <c r="K319" i="6"/>
  <c r="K333" i="6"/>
  <c r="K347" i="6"/>
  <c r="K365" i="6"/>
  <c r="K375" i="6"/>
  <c r="K390" i="6"/>
  <c r="K406" i="6"/>
  <c r="K428" i="6"/>
  <c r="K440" i="6"/>
  <c r="K456" i="6"/>
  <c r="K470" i="6"/>
  <c r="K483" i="6"/>
  <c r="K504" i="6"/>
  <c r="K524" i="6"/>
  <c r="K547" i="6"/>
  <c r="K555" i="6"/>
  <c r="K571" i="6"/>
  <c r="K590" i="6"/>
  <c r="K606" i="6"/>
  <c r="K630" i="6"/>
  <c r="K654" i="6"/>
  <c r="K682" i="6"/>
  <c r="K706" i="6"/>
  <c r="K733" i="6"/>
  <c r="K760" i="6"/>
  <c r="K759" i="6"/>
  <c r="K24" i="6"/>
  <c r="K25" i="6"/>
  <c r="K26" i="6"/>
  <c r="K27" i="6"/>
  <c r="K28" i="6"/>
  <c r="K29" i="6"/>
  <c r="K30" i="6"/>
  <c r="K31" i="6"/>
  <c r="K35" i="6"/>
  <c r="K39" i="6"/>
  <c r="K40" i="6"/>
  <c r="K47" i="6"/>
  <c r="K51" i="6"/>
  <c r="K56" i="6"/>
  <c r="K59" i="6"/>
  <c r="K63" i="6"/>
  <c r="K68" i="6"/>
  <c r="K72" i="6"/>
  <c r="K73" i="6"/>
  <c r="K75" i="6"/>
  <c r="K77" i="6"/>
  <c r="K81" i="6"/>
  <c r="K86" i="6"/>
  <c r="K93" i="6"/>
  <c r="K99" i="6"/>
  <c r="K108" i="6"/>
  <c r="K112" i="6"/>
  <c r="K116" i="6"/>
  <c r="K123" i="6"/>
  <c r="K126" i="6"/>
  <c r="K131" i="6"/>
  <c r="K137" i="6"/>
  <c r="K142" i="6"/>
  <c r="K153" i="6"/>
  <c r="K162" i="6"/>
  <c r="K172" i="6"/>
  <c r="K180" i="6"/>
  <c r="K193" i="6"/>
  <c r="K204" i="6"/>
  <c r="K220" i="6"/>
  <c r="K229" i="6"/>
  <c r="K236" i="6"/>
  <c r="K245" i="6"/>
  <c r="K253" i="6"/>
  <c r="K259" i="6"/>
  <c r="K270" i="6"/>
  <c r="K285" i="6"/>
  <c r="K292" i="6"/>
  <c r="K303" i="6"/>
  <c r="K312" i="6"/>
  <c r="K320" i="6"/>
  <c r="K334" i="6"/>
  <c r="K340" i="6"/>
  <c r="K348" i="6"/>
  <c r="K359" i="6"/>
  <c r="K360" i="6"/>
  <c r="K376" i="6"/>
  <c r="K391" i="6"/>
  <c r="K402" i="6"/>
  <c r="K421" i="6"/>
  <c r="K438" i="6"/>
  <c r="K450" i="6"/>
  <c r="K467" i="6"/>
  <c r="K484" i="6"/>
  <c r="K505" i="6"/>
  <c r="K525" i="6"/>
  <c r="K544" i="6"/>
  <c r="K556" i="6"/>
  <c r="K572" i="6"/>
  <c r="K591" i="6"/>
  <c r="K607" i="6"/>
  <c r="K631" i="6"/>
  <c r="K655" i="6"/>
  <c r="K766" i="6"/>
  <c r="K3" i="6"/>
  <c r="K7" i="6"/>
  <c r="K11" i="6"/>
  <c r="K14" i="6"/>
  <c r="K16" i="6"/>
  <c r="K19" i="6"/>
  <c r="K23" i="6"/>
  <c r="K34" i="6"/>
  <c r="K37" i="6"/>
  <c r="K43" i="6"/>
  <c r="K46" i="6"/>
  <c r="K50" i="6"/>
  <c r="K52" i="6"/>
  <c r="K55" i="6"/>
  <c r="K60" i="6"/>
  <c r="K62" i="6"/>
  <c r="K66" i="6"/>
  <c r="K67" i="6"/>
  <c r="K69" i="6"/>
  <c r="K74" i="6"/>
  <c r="K76" i="6"/>
  <c r="K82" i="6"/>
  <c r="K87" i="6"/>
  <c r="K94" i="6"/>
  <c r="K100" i="6"/>
  <c r="K103" i="6"/>
  <c r="K109" i="6"/>
  <c r="K113" i="6"/>
  <c r="K118" i="6"/>
  <c r="K124" i="6"/>
  <c r="K125" i="6"/>
  <c r="K136" i="6"/>
  <c r="K143" i="6"/>
  <c r="K144" i="6"/>
  <c r="K149" i="6"/>
  <c r="K154" i="6"/>
  <c r="K163" i="6"/>
  <c r="K173" i="6"/>
  <c r="K181" i="6"/>
  <c r="K194" i="6"/>
  <c r="K205" i="6"/>
  <c r="K221" i="6"/>
  <c r="K230" i="6"/>
  <c r="K237" i="6"/>
  <c r="K246" i="6"/>
  <c r="K254" i="6"/>
  <c r="K260" i="6"/>
  <c r="K271" i="6"/>
  <c r="K286" i="6"/>
  <c r="K294" i="6"/>
  <c r="K306" i="6"/>
  <c r="K313" i="6"/>
  <c r="K321" i="6"/>
  <c r="K326" i="6"/>
  <c r="K335" i="6"/>
  <c r="K349" i="6"/>
  <c r="K366" i="6"/>
  <c r="K372" i="6"/>
  <c r="K378" i="6"/>
  <c r="K392" i="6"/>
  <c r="K407" i="6"/>
  <c r="K410" i="6"/>
  <c r="K427" i="6"/>
  <c r="K441" i="6"/>
  <c r="K457" i="6"/>
  <c r="K471" i="6"/>
  <c r="K485" i="6"/>
  <c r="K506" i="6"/>
  <c r="K526" i="6"/>
  <c r="K545" i="6"/>
  <c r="K557" i="6"/>
  <c r="K573" i="6"/>
  <c r="K592" i="6"/>
  <c r="K611" i="6"/>
  <c r="K632" i="6"/>
  <c r="K656" i="6"/>
  <c r="K715" i="6"/>
  <c r="K734" i="6"/>
  <c r="K753" i="6"/>
  <c r="K767" i="6"/>
  <c r="K263" i="6"/>
  <c r="K274" i="6"/>
  <c r="K281" i="6"/>
  <c r="K295" i="6"/>
  <c r="K299" i="6"/>
  <c r="K304" i="6"/>
  <c r="K314" i="6"/>
  <c r="K322" i="6"/>
  <c r="K336" i="6"/>
  <c r="K350" i="6"/>
  <c r="K363" i="6"/>
  <c r="K377" i="6"/>
  <c r="K393" i="6"/>
  <c r="K408" i="6"/>
  <c r="K425" i="6"/>
  <c r="K442" i="6"/>
  <c r="K455" i="6"/>
  <c r="K459" i="6"/>
  <c r="K472" i="6"/>
  <c r="K487" i="6"/>
  <c r="K510" i="6"/>
  <c r="K532" i="6"/>
  <c r="K549" i="6"/>
  <c r="K561" i="6"/>
  <c r="K577" i="6"/>
  <c r="K596" i="6"/>
  <c r="K615" i="6"/>
  <c r="K637" i="6"/>
  <c r="K661" i="6"/>
  <c r="K688" i="6"/>
  <c r="K710" i="6"/>
  <c r="K739" i="6"/>
  <c r="K770" i="6"/>
  <c r="K80" i="6"/>
  <c r="K176" i="6"/>
  <c r="K261" i="6"/>
  <c r="K439" i="6"/>
  <c r="K662" i="6"/>
  <c r="K762" i="6"/>
  <c r="K344" i="6"/>
  <c r="K367" i="6"/>
  <c r="K382" i="6"/>
  <c r="K396" i="6"/>
  <c r="K411" i="6"/>
  <c r="K430" i="6"/>
  <c r="K445" i="6"/>
  <c r="K460" i="6"/>
  <c r="K474" i="6"/>
  <c r="K489" i="6"/>
  <c r="K511" i="6"/>
  <c r="K513" i="6"/>
  <c r="K625" i="6"/>
  <c r="K658" i="6"/>
  <c r="K685" i="6"/>
  <c r="K711" i="6"/>
  <c r="K737" i="6"/>
  <c r="K764" i="6"/>
  <c r="K499" i="6"/>
  <c r="K530" i="6"/>
  <c r="K548" i="6"/>
  <c r="K560" i="6"/>
  <c r="K575" i="6"/>
  <c r="K595" i="6"/>
  <c r="K614" i="6"/>
  <c r="K636" i="6"/>
  <c r="K642" i="6"/>
  <c r="K659" i="6"/>
  <c r="K666" i="6"/>
  <c r="K686" i="6"/>
  <c r="K691" i="6"/>
  <c r="K712" i="6"/>
  <c r="K720" i="6"/>
  <c r="K738" i="6"/>
  <c r="K743" i="6"/>
  <c r="K768" i="6"/>
  <c r="K773" i="6"/>
  <c r="K539" i="6"/>
  <c r="K562" i="6"/>
  <c r="K578" i="6"/>
  <c r="K598" i="6"/>
  <c r="K616" i="6"/>
  <c r="K638" i="6"/>
  <c r="K643" i="6"/>
  <c r="K663" i="6"/>
  <c r="K667" i="6"/>
  <c r="K689" i="6"/>
  <c r="K692" i="6"/>
  <c r="K713" i="6"/>
  <c r="K721" i="6"/>
  <c r="K740" i="6"/>
  <c r="K744" i="6"/>
  <c r="K771" i="6"/>
  <c r="K774" i="6"/>
  <c r="K197" i="6"/>
  <c r="K206" i="6"/>
  <c r="K212" i="6"/>
  <c r="K213" i="6"/>
  <c r="K222" i="6"/>
  <c r="K231" i="6"/>
  <c r="K239" i="6"/>
  <c r="K247" i="6"/>
  <c r="K255" i="6"/>
  <c r="K264" i="6"/>
  <c r="K272" i="6"/>
  <c r="K287" i="6"/>
  <c r="K297" i="6"/>
  <c r="K307" i="6"/>
  <c r="K316" i="6"/>
  <c r="K325" i="6"/>
  <c r="K339" i="6"/>
  <c r="K352" i="6"/>
  <c r="K364" i="6"/>
  <c r="K381" i="6"/>
  <c r="K395" i="6"/>
  <c r="K409" i="6"/>
  <c r="K412" i="6"/>
  <c r="K429" i="6"/>
  <c r="K444" i="6"/>
  <c r="K458" i="6"/>
  <c r="K473" i="6"/>
  <c r="K488" i="6"/>
  <c r="K512" i="6"/>
  <c r="K533" i="6"/>
  <c r="K534" i="6"/>
  <c r="K579" i="6"/>
  <c r="K601" i="6"/>
  <c r="K580" i="6"/>
  <c r="K617" i="6"/>
  <c r="K639" i="6"/>
  <c r="K644" i="6"/>
  <c r="K664" i="6"/>
  <c r="K668" i="6"/>
  <c r="K690" i="6"/>
  <c r="K693" i="6"/>
  <c r="K714" i="6"/>
  <c r="K722" i="6"/>
  <c r="K741" i="6"/>
  <c r="K745" i="6"/>
  <c r="K772" i="6"/>
  <c r="K775" i="6"/>
  <c r="K356" i="6"/>
  <c r="K371" i="6"/>
  <c r="K386" i="6"/>
  <c r="K400" i="6"/>
  <c r="K417" i="6"/>
  <c r="K423" i="6"/>
  <c r="K424" i="6"/>
  <c r="K434" i="6"/>
  <c r="K449" i="6"/>
  <c r="K464" i="6"/>
  <c r="K479" i="6"/>
  <c r="K490" i="6"/>
  <c r="K497" i="6"/>
  <c r="K509" i="6"/>
  <c r="K514" i="6"/>
  <c r="K527" i="6"/>
  <c r="K541" i="6"/>
  <c r="K551" i="6"/>
  <c r="K566" i="6"/>
  <c r="K593" i="6"/>
  <c r="K605" i="6"/>
  <c r="K621" i="6"/>
  <c r="K626" i="6"/>
  <c r="K645" i="6"/>
  <c r="K649" i="6"/>
  <c r="K657" i="6"/>
  <c r="K674" i="6"/>
  <c r="K669" i="6"/>
  <c r="K694" i="6"/>
  <c r="K699" i="6"/>
  <c r="K717" i="6"/>
  <c r="K723" i="6"/>
  <c r="K729" i="6"/>
  <c r="K751" i="6"/>
  <c r="K746" i="6"/>
  <c r="K776" i="6"/>
  <c r="K781" i="6"/>
  <c r="K4" i="6"/>
  <c r="K6" i="6"/>
  <c r="K8" i="6"/>
  <c r="K10" i="6"/>
  <c r="K13" i="6"/>
  <c r="K17" i="6"/>
  <c r="K20" i="6"/>
  <c r="K22" i="6"/>
  <c r="K33" i="6"/>
  <c r="K38" i="6"/>
  <c r="K42" i="6"/>
  <c r="K45" i="6"/>
  <c r="K49" i="6"/>
  <c r="K54" i="6"/>
  <c r="K57" i="6"/>
  <c r="K61" i="6"/>
  <c r="K65" i="6"/>
  <c r="K71" i="6"/>
  <c r="K78" i="6"/>
  <c r="K79" i="6"/>
  <c r="K84" i="6"/>
  <c r="K85" i="6"/>
  <c r="K89" i="6"/>
  <c r="K90" i="6"/>
  <c r="K91" i="6"/>
  <c r="K96" i="6"/>
  <c r="K97" i="6"/>
  <c r="K101" i="6"/>
  <c r="K104" i="6"/>
  <c r="K105" i="6"/>
  <c r="K114" i="6"/>
  <c r="K115" i="6"/>
  <c r="K119" i="6"/>
  <c r="K127" i="6"/>
  <c r="K129" i="6"/>
  <c r="K132" i="6"/>
  <c r="K134" i="6"/>
  <c r="K135" i="6"/>
  <c r="K138" i="6"/>
  <c r="K147" i="6"/>
  <c r="K164" i="6"/>
  <c r="K174" i="6"/>
  <c r="K185" i="6"/>
  <c r="K196" i="6"/>
  <c r="K207" i="6"/>
  <c r="K214" i="6"/>
  <c r="K215" i="6"/>
  <c r="K223" i="6"/>
  <c r="K232" i="6"/>
  <c r="K240" i="6"/>
  <c r="K248" i="6"/>
  <c r="K256" i="6"/>
  <c r="K265" i="6"/>
  <c r="K273" i="6"/>
  <c r="K288" i="6"/>
  <c r="K296" i="6"/>
  <c r="K305" i="6"/>
  <c r="K315" i="6"/>
  <c r="K323" i="6"/>
  <c r="K337" i="6"/>
  <c r="K351" i="6"/>
  <c r="K361" i="6"/>
  <c r="K379" i="6"/>
  <c r="K394" i="6"/>
  <c r="K405" i="6"/>
  <c r="K413" i="6"/>
  <c r="K426" i="6"/>
  <c r="K443" i="6"/>
  <c r="K454" i="6"/>
  <c r="K469" i="6"/>
  <c r="K486" i="6"/>
  <c r="K508" i="6"/>
  <c r="K515" i="6"/>
  <c r="K528" i="6"/>
  <c r="K540" i="6"/>
  <c r="K558" i="6"/>
  <c r="K516" i="6"/>
  <c r="K574" i="6"/>
  <c r="K586" i="6"/>
  <c r="K567" i="6"/>
  <c r="K581" i="6"/>
  <c r="K594" i="6"/>
  <c r="K612" i="6"/>
  <c r="K634" i="6"/>
  <c r="K640" i="6"/>
  <c r="K660" i="6"/>
  <c r="K670" i="6"/>
  <c r="K684" i="6"/>
  <c r="K695" i="6"/>
  <c r="K709" i="6"/>
  <c r="K724" i="6"/>
  <c r="K735" i="6"/>
  <c r="K747" i="6"/>
  <c r="K763" i="6"/>
  <c r="K777" i="6"/>
  <c r="K110" i="6"/>
  <c r="K120" i="6"/>
  <c r="K128" i="6"/>
  <c r="K133" i="6"/>
  <c r="K139" i="6"/>
  <c r="K140" i="6"/>
  <c r="K146" i="6"/>
  <c r="K148" i="6"/>
  <c r="K150" i="6"/>
  <c r="K155" i="6"/>
  <c r="K156" i="6"/>
  <c r="K157" i="6"/>
  <c r="K159" i="6"/>
  <c r="K165" i="6"/>
  <c r="K166" i="6"/>
  <c r="K167" i="6"/>
  <c r="K168" i="6"/>
  <c r="K175" i="6"/>
  <c r="K177" i="6"/>
  <c r="K182" i="6"/>
  <c r="K183" i="6"/>
  <c r="K184" i="6"/>
  <c r="K186" i="6"/>
  <c r="K187" i="6"/>
  <c r="K188" i="6"/>
  <c r="K189" i="6"/>
  <c r="K195" i="6"/>
  <c r="K198" i="6"/>
  <c r="K199" i="6"/>
  <c r="K200" i="6"/>
  <c r="K209" i="6"/>
  <c r="K210" i="6"/>
  <c r="K211" i="6"/>
  <c r="K216" i="6"/>
  <c r="K224" i="6"/>
  <c r="K225" i="6"/>
  <c r="K233" i="6"/>
  <c r="K241" i="6"/>
  <c r="K249" i="6"/>
  <c r="K257" i="6"/>
  <c r="K266" i="6"/>
  <c r="K275" i="6"/>
  <c r="K289" i="6"/>
  <c r="K298" i="6"/>
  <c r="K308" i="6"/>
  <c r="K327" i="6"/>
  <c r="K341" i="6"/>
  <c r="K353" i="6"/>
  <c r="K368" i="6"/>
  <c r="K383" i="6"/>
  <c r="K397" i="6"/>
  <c r="K414" i="6"/>
  <c r="K431" i="6"/>
  <c r="K446" i="6"/>
  <c r="K461" i="6"/>
  <c r="K475" i="6"/>
  <c r="K491" i="6"/>
  <c r="K517" i="6"/>
  <c r="K492" i="6"/>
  <c r="K535" i="6"/>
  <c r="K563" i="6"/>
  <c r="K576" i="6"/>
  <c r="K582" i="6"/>
  <c r="K602" i="6"/>
  <c r="K618" i="6"/>
  <c r="K624" i="6"/>
  <c r="K633" i="6"/>
  <c r="K641" i="6"/>
  <c r="K646" i="6"/>
  <c r="K671" i="6"/>
  <c r="K675" i="6"/>
  <c r="K678" i="6"/>
  <c r="K696" i="6"/>
  <c r="K700" i="6"/>
  <c r="K718" i="6"/>
  <c r="K725" i="6"/>
  <c r="K736" i="6"/>
  <c r="K742" i="6"/>
  <c r="K748" i="6"/>
  <c r="K765" i="6"/>
  <c r="K778" i="6"/>
  <c r="K328" i="6"/>
  <c r="K342" i="6"/>
  <c r="K354" i="6"/>
  <c r="K369" i="6"/>
  <c r="K384" i="6"/>
  <c r="K398" i="6"/>
  <c r="K415" i="6"/>
  <c r="K432" i="6"/>
  <c r="K447" i="6"/>
  <c r="K462" i="6"/>
  <c r="K476" i="6"/>
  <c r="K493" i="6"/>
  <c r="K518" i="6"/>
  <c r="K494" i="6"/>
  <c r="K520" i="6"/>
  <c r="K536" i="6"/>
  <c r="K564" i="6"/>
  <c r="K583" i="6"/>
  <c r="K597" i="6"/>
  <c r="K603" i="6"/>
  <c r="K619" i="6"/>
  <c r="K623" i="6"/>
  <c r="K647" i="6"/>
  <c r="K650" i="6"/>
  <c r="K665" i="6"/>
  <c r="K672" i="6"/>
  <c r="K676" i="6"/>
  <c r="K697" i="6"/>
  <c r="K701" i="6"/>
  <c r="K702" i="6"/>
  <c r="K726" i="6"/>
  <c r="K749" i="6"/>
  <c r="K752" i="6"/>
  <c r="K779" i="6"/>
  <c r="K329" i="6"/>
  <c r="K343" i="6"/>
  <c r="K355" i="6"/>
  <c r="K370" i="6"/>
  <c r="K385" i="6"/>
  <c r="K399" i="6"/>
  <c r="K416" i="6"/>
  <c r="K433" i="6"/>
  <c r="K448" i="6"/>
  <c r="K463" i="6"/>
  <c r="K477" i="6"/>
  <c r="K495" i="6"/>
  <c r="K519" i="6"/>
  <c r="K496" i="6"/>
  <c r="K531" i="6"/>
  <c r="K529" i="6"/>
  <c r="K537" i="6"/>
  <c r="K550" i="6"/>
  <c r="K565" i="6"/>
  <c r="K584" i="6"/>
  <c r="K599" i="6"/>
  <c r="K604" i="6"/>
  <c r="K620" i="6"/>
  <c r="K622" i="6"/>
  <c r="K648" i="6"/>
  <c r="K673" i="6"/>
  <c r="K683" i="6"/>
  <c r="K698" i="6"/>
  <c r="K707" i="6"/>
  <c r="K719" i="6"/>
  <c r="K727" i="6"/>
  <c r="K728" i="6"/>
  <c r="K750" i="6"/>
  <c r="K754" i="6"/>
  <c r="K761" i="6"/>
  <c r="K769" i="6"/>
  <c r="K780" i="6"/>
  <c r="A229" i="697"/>
  <c r="A230" i="697"/>
  <c r="A231" i="697"/>
  <c r="A232" i="697"/>
  <c r="A233" i="697"/>
  <c r="A234" i="697"/>
  <c r="A235" i="697"/>
  <c r="A236" i="697"/>
  <c r="A237" i="697"/>
  <c r="A238" i="697"/>
  <c r="A239" i="697"/>
  <c r="A240" i="697"/>
  <c r="A241" i="697"/>
  <c r="A242" i="697"/>
  <c r="A243" i="697"/>
  <c r="A244" i="697"/>
  <c r="A245" i="697"/>
  <c r="A246" i="697"/>
  <c r="A247" i="697"/>
  <c r="A248" i="697"/>
  <c r="A249" i="697"/>
  <c r="A250" i="697"/>
  <c r="A251" i="697"/>
  <c r="A252" i="697"/>
  <c r="A253" i="697"/>
  <c r="A254" i="697"/>
  <c r="A255" i="697"/>
  <c r="A256" i="697"/>
  <c r="A257" i="697"/>
  <c r="A258" i="697"/>
  <c r="A259" i="697"/>
  <c r="A260" i="697"/>
  <c r="A261" i="697"/>
  <c r="A262" i="697"/>
  <c r="A263" i="697"/>
  <c r="A264" i="697"/>
  <c r="A265" i="697"/>
  <c r="A266" i="697"/>
  <c r="A267" i="697"/>
  <c r="A268" i="697"/>
  <c r="A269" i="697"/>
  <c r="A270" i="697"/>
  <c r="A271" i="697"/>
  <c r="A272" i="697"/>
  <c r="A273" i="697"/>
  <c r="A274" i="697"/>
  <c r="A275" i="697"/>
  <c r="A276" i="697"/>
  <c r="A277" i="697"/>
  <c r="A278" i="697"/>
  <c r="A279" i="697"/>
  <c r="A280" i="697"/>
  <c r="A281" i="697"/>
  <c r="A282" i="697"/>
  <c r="A283" i="697"/>
  <c r="A284" i="697"/>
  <c r="A285" i="697"/>
  <c r="C229" i="697"/>
  <c r="B229" i="697" s="1"/>
  <c r="C230" i="697"/>
  <c r="B230" i="697" s="1"/>
  <c r="C231" i="697"/>
  <c r="B231" i="697" s="1"/>
  <c r="C232" i="697"/>
  <c r="B232" i="697" s="1"/>
  <c r="C233" i="697"/>
  <c r="B233" i="697" s="1"/>
  <c r="C234" i="697"/>
  <c r="B234" i="697" s="1"/>
  <c r="C235" i="697"/>
  <c r="B235" i="697" s="1"/>
  <c r="C236" i="697"/>
  <c r="B236" i="697" s="1"/>
  <c r="C237" i="697"/>
  <c r="B237" i="697" s="1"/>
  <c r="C238" i="697"/>
  <c r="B238" i="697" s="1"/>
  <c r="C239" i="697"/>
  <c r="B239" i="697" s="1"/>
  <c r="C240" i="697"/>
  <c r="B240" i="697" s="1"/>
  <c r="C241" i="697"/>
  <c r="B241" i="697" s="1"/>
  <c r="C242" i="697"/>
  <c r="B242" i="697" s="1"/>
  <c r="C243" i="697"/>
  <c r="B243" i="697" s="1"/>
  <c r="C244" i="697"/>
  <c r="B244" i="697" s="1"/>
  <c r="C245" i="697"/>
  <c r="B245" i="697" s="1"/>
  <c r="C246" i="697"/>
  <c r="B246" i="697" s="1"/>
  <c r="C247" i="697"/>
  <c r="B247" i="697" s="1"/>
  <c r="C248" i="697"/>
  <c r="B248" i="697" s="1"/>
  <c r="C249" i="697"/>
  <c r="B249" i="697" s="1"/>
  <c r="C250" i="697"/>
  <c r="B250" i="697" s="1"/>
  <c r="C251" i="697"/>
  <c r="B251" i="697" s="1"/>
  <c r="C252" i="697"/>
  <c r="B252" i="697" s="1"/>
  <c r="C253" i="697"/>
  <c r="B253" i="697" s="1"/>
  <c r="C254" i="697"/>
  <c r="B254" i="697" s="1"/>
  <c r="C255" i="697"/>
  <c r="B255" i="697" s="1"/>
  <c r="C256" i="697"/>
  <c r="B256" i="697" s="1"/>
  <c r="C257" i="697"/>
  <c r="B257" i="697" s="1"/>
  <c r="C258" i="697"/>
  <c r="B258" i="697" s="1"/>
  <c r="C259" i="697"/>
  <c r="B259" i="697" s="1"/>
  <c r="C260" i="697"/>
  <c r="B260" i="697" s="1"/>
  <c r="C261" i="697"/>
  <c r="B261" i="697" s="1"/>
  <c r="C262" i="697"/>
  <c r="B262" i="697" s="1"/>
  <c r="C263" i="697"/>
  <c r="B263" i="697" s="1"/>
  <c r="C264" i="697"/>
  <c r="B264" i="697" s="1"/>
  <c r="C265" i="697"/>
  <c r="B265" i="697" s="1"/>
  <c r="C266" i="697"/>
  <c r="B266" i="697" s="1"/>
  <c r="C267" i="697"/>
  <c r="B267" i="697" s="1"/>
  <c r="C268" i="697"/>
  <c r="B268" i="697" s="1"/>
  <c r="C269" i="697"/>
  <c r="B269" i="697" s="1"/>
  <c r="C270" i="697"/>
  <c r="B270" i="697" s="1"/>
  <c r="C271" i="697"/>
  <c r="B271" i="697" s="1"/>
  <c r="C272" i="697"/>
  <c r="B272" i="697" s="1"/>
  <c r="C273" i="697"/>
  <c r="B273" i="697" s="1"/>
  <c r="C274" i="697"/>
  <c r="B274" i="697" s="1"/>
  <c r="C275" i="697"/>
  <c r="B275" i="697" s="1"/>
  <c r="C276" i="697"/>
  <c r="B276" i="697" s="1"/>
  <c r="C277" i="697"/>
  <c r="B277" i="697" s="1"/>
  <c r="C278" i="697"/>
  <c r="B278" i="697" s="1"/>
  <c r="C279" i="697"/>
  <c r="B279" i="697" s="1"/>
  <c r="C280" i="697"/>
  <c r="B280" i="697" s="1"/>
  <c r="C281" i="697"/>
  <c r="B281" i="697" s="1"/>
  <c r="C282" i="697"/>
  <c r="B282" i="697" s="1"/>
  <c r="C283" i="697"/>
  <c r="B283" i="697" s="1"/>
  <c r="C284" i="697"/>
  <c r="B284" i="697" s="1"/>
  <c r="C285" i="697"/>
  <c r="B285" i="697" s="1"/>
  <c r="F229" i="697"/>
  <c r="F230" i="697"/>
  <c r="F231" i="697"/>
  <c r="F232" i="697"/>
  <c r="F233" i="697"/>
  <c r="F234" i="697"/>
  <c r="F235" i="697"/>
  <c r="F236" i="697"/>
  <c r="F237" i="697"/>
  <c r="F238" i="697"/>
  <c r="F239" i="697"/>
  <c r="F240" i="697"/>
  <c r="F241" i="697"/>
  <c r="F242" i="697"/>
  <c r="F243" i="697"/>
  <c r="F244" i="697"/>
  <c r="F245" i="697"/>
  <c r="F246" i="697"/>
  <c r="F247" i="697"/>
  <c r="F248" i="697"/>
  <c r="F249" i="697"/>
  <c r="F250" i="697"/>
  <c r="F251" i="697"/>
  <c r="F252" i="697"/>
  <c r="F253" i="697"/>
  <c r="F254" i="697"/>
  <c r="F255" i="697"/>
  <c r="F256" i="697"/>
  <c r="F257" i="697"/>
  <c r="F258" i="697"/>
  <c r="F259" i="697"/>
  <c r="F260" i="697"/>
  <c r="F261" i="697"/>
  <c r="F262" i="697"/>
  <c r="F263" i="697"/>
  <c r="F264" i="697"/>
  <c r="F265" i="697"/>
  <c r="F266" i="697"/>
  <c r="F267" i="697"/>
  <c r="F268" i="697"/>
  <c r="F269" i="697"/>
  <c r="F270" i="697"/>
  <c r="F271" i="697"/>
  <c r="F272" i="697"/>
  <c r="F273" i="697"/>
  <c r="F274" i="697"/>
  <c r="F275" i="697"/>
  <c r="F276" i="697"/>
  <c r="F277" i="697"/>
  <c r="F278" i="697"/>
  <c r="F279" i="697"/>
  <c r="F280" i="697"/>
  <c r="F281" i="697"/>
  <c r="F282" i="697"/>
  <c r="F283" i="697"/>
  <c r="F284" i="697"/>
  <c r="F285" i="697"/>
  <c r="T231" i="697"/>
  <c r="T235" i="697"/>
  <c r="T239" i="697"/>
  <c r="T243" i="697"/>
  <c r="T247" i="697"/>
  <c r="T251" i="697"/>
  <c r="T255" i="697"/>
  <c r="T259" i="697"/>
  <c r="T263" i="697"/>
  <c r="T267" i="697"/>
  <c r="T271" i="697"/>
  <c r="T275" i="697"/>
  <c r="T279" i="697"/>
  <c r="T283" i="697"/>
  <c r="U229" i="697"/>
  <c r="Y229" i="697" s="1"/>
  <c r="U230" i="697"/>
  <c r="Y230" i="697" s="1"/>
  <c r="U231" i="697"/>
  <c r="U232" i="697"/>
  <c r="Y232" i="697" s="1"/>
  <c r="U233" i="697"/>
  <c r="Y233" i="697" s="1"/>
  <c r="U234" i="697"/>
  <c r="Y234" i="697" s="1"/>
  <c r="U235" i="697"/>
  <c r="Y235" i="697" s="1"/>
  <c r="U236" i="697"/>
  <c r="Y236" i="697" s="1"/>
  <c r="U237" i="697"/>
  <c r="Y237" i="697" s="1"/>
  <c r="U238" i="697"/>
  <c r="Y238" i="697" s="1"/>
  <c r="U239" i="697"/>
  <c r="U240" i="697"/>
  <c r="Y240" i="697" s="1"/>
  <c r="U241" i="697"/>
  <c r="Y241" i="697" s="1"/>
  <c r="U242" i="697"/>
  <c r="Y242" i="697" s="1"/>
  <c r="U243" i="697"/>
  <c r="Y243" i="697" s="1"/>
  <c r="U244" i="697"/>
  <c r="Y244" i="697" s="1"/>
  <c r="U245" i="697"/>
  <c r="Y245" i="697" s="1"/>
  <c r="U246" i="697"/>
  <c r="Y246" i="697" s="1"/>
  <c r="U247" i="697"/>
  <c r="Y247" i="697" s="1"/>
  <c r="U248" i="697"/>
  <c r="Y248" i="697" s="1"/>
  <c r="U249" i="697"/>
  <c r="Y249" i="697" s="1"/>
  <c r="U250" i="697"/>
  <c r="Y250" i="697" s="1"/>
  <c r="U251" i="697"/>
  <c r="U252" i="697"/>
  <c r="Y252" i="697" s="1"/>
  <c r="U253" i="697"/>
  <c r="Y253" i="697" s="1"/>
  <c r="U254" i="697"/>
  <c r="Y254" i="697" s="1"/>
  <c r="U255" i="697"/>
  <c r="Y255" i="697" s="1"/>
  <c r="U256" i="697"/>
  <c r="Y256" i="697" s="1"/>
  <c r="U257" i="697"/>
  <c r="Y257" i="697" s="1"/>
  <c r="U258" i="697"/>
  <c r="Y258" i="697" s="1"/>
  <c r="U259" i="697"/>
  <c r="Y259" i="697" s="1"/>
  <c r="U260" i="697"/>
  <c r="Y260" i="697" s="1"/>
  <c r="U261" i="697"/>
  <c r="Y261" i="697" s="1"/>
  <c r="U262" i="697"/>
  <c r="Y262" i="697" s="1"/>
  <c r="U263" i="697"/>
  <c r="Y263" i="697" s="1"/>
  <c r="U264" i="697"/>
  <c r="Y264" i="697" s="1"/>
  <c r="U265" i="697"/>
  <c r="Y265" i="697" s="1"/>
  <c r="U266" i="697"/>
  <c r="Y266" i="697" s="1"/>
  <c r="U267" i="697"/>
  <c r="U268" i="697"/>
  <c r="Y268" i="697" s="1"/>
  <c r="U269" i="697"/>
  <c r="Y269" i="697" s="1"/>
  <c r="U270" i="697"/>
  <c r="Y270" i="697" s="1"/>
  <c r="U271" i="697"/>
  <c r="Y271" i="697" s="1"/>
  <c r="U272" i="697"/>
  <c r="Y272" i="697" s="1"/>
  <c r="U273" i="697"/>
  <c r="Y273" i="697" s="1"/>
  <c r="U274" i="697"/>
  <c r="Y274" i="697" s="1"/>
  <c r="U275" i="697"/>
  <c r="Y275" i="697" s="1"/>
  <c r="U276" i="697"/>
  <c r="Y276" i="697" s="1"/>
  <c r="U277" i="697"/>
  <c r="Y277" i="697" s="1"/>
  <c r="U278" i="697"/>
  <c r="Y278" i="697" s="1"/>
  <c r="U279" i="697"/>
  <c r="Y279" i="697" s="1"/>
  <c r="U280" i="697"/>
  <c r="Y280" i="697" s="1"/>
  <c r="U281" i="697"/>
  <c r="Y281" i="697" s="1"/>
  <c r="U282" i="697"/>
  <c r="Y282" i="697" s="1"/>
  <c r="U283" i="697"/>
  <c r="Y283" i="697" s="1"/>
  <c r="U284" i="697"/>
  <c r="Y284" i="697" s="1"/>
  <c r="U285" i="697"/>
  <c r="Y285" i="697" s="1"/>
  <c r="V229" i="697"/>
  <c r="W229" i="697" s="1"/>
  <c r="V230" i="697"/>
  <c r="W230" i="697" s="1"/>
  <c r="V231" i="697"/>
  <c r="W231" i="697" s="1"/>
  <c r="X231" i="697" s="1"/>
  <c r="V232" i="697"/>
  <c r="W232" i="697" s="1"/>
  <c r="V233" i="697"/>
  <c r="W233" i="697" s="1"/>
  <c r="V234" i="697"/>
  <c r="W234" i="697" s="1"/>
  <c r="V235" i="697"/>
  <c r="W235" i="697" s="1"/>
  <c r="X235" i="697" s="1"/>
  <c r="V236" i="697"/>
  <c r="W236" i="697" s="1"/>
  <c r="V237" i="697"/>
  <c r="W237" i="697" s="1"/>
  <c r="V238" i="697"/>
  <c r="W238" i="697" s="1"/>
  <c r="V239" i="697"/>
  <c r="W239" i="697" s="1"/>
  <c r="X239" i="697" s="1"/>
  <c r="V240" i="697"/>
  <c r="W240" i="697" s="1"/>
  <c r="V241" i="697"/>
  <c r="W241" i="697" s="1"/>
  <c r="V242" i="697"/>
  <c r="W242" i="697" s="1"/>
  <c r="V243" i="697"/>
  <c r="W243" i="697" s="1"/>
  <c r="X243" i="697" s="1"/>
  <c r="V244" i="697"/>
  <c r="W244" i="697" s="1"/>
  <c r="V245" i="697"/>
  <c r="W245" i="697" s="1"/>
  <c r="V246" i="697"/>
  <c r="W246" i="697" s="1"/>
  <c r="V247" i="697"/>
  <c r="W247" i="697" s="1"/>
  <c r="X247" i="697" s="1"/>
  <c r="V248" i="697"/>
  <c r="W248" i="697" s="1"/>
  <c r="V249" i="697"/>
  <c r="W249" i="697" s="1"/>
  <c r="V250" i="697"/>
  <c r="W250" i="697" s="1"/>
  <c r="V251" i="697"/>
  <c r="W251" i="697" s="1"/>
  <c r="X251" i="697" s="1"/>
  <c r="V252" i="697"/>
  <c r="W252" i="697" s="1"/>
  <c r="V253" i="697"/>
  <c r="W253" i="697" s="1"/>
  <c r="V254" i="697"/>
  <c r="W254" i="697" s="1"/>
  <c r="V255" i="697"/>
  <c r="W255" i="697" s="1"/>
  <c r="V256" i="697"/>
  <c r="W256" i="697" s="1"/>
  <c r="V257" i="697"/>
  <c r="W257" i="697" s="1"/>
  <c r="V258" i="697"/>
  <c r="W258" i="697" s="1"/>
  <c r="V259" i="697"/>
  <c r="W259" i="697" s="1"/>
  <c r="X259" i="697" s="1"/>
  <c r="V260" i="697"/>
  <c r="W260" i="697" s="1"/>
  <c r="V261" i="697"/>
  <c r="W261" i="697" s="1"/>
  <c r="V262" i="697"/>
  <c r="W262" i="697" s="1"/>
  <c r="V263" i="697"/>
  <c r="W263" i="697" s="1"/>
  <c r="V264" i="697"/>
  <c r="W264" i="697" s="1"/>
  <c r="V265" i="697"/>
  <c r="W265" i="697" s="1"/>
  <c r="V266" i="697"/>
  <c r="W266" i="697" s="1"/>
  <c r="V267" i="697"/>
  <c r="W267" i="697" s="1"/>
  <c r="V268" i="697"/>
  <c r="W268" i="697" s="1"/>
  <c r="V269" i="697"/>
  <c r="W269" i="697" s="1"/>
  <c r="V270" i="697"/>
  <c r="W270" i="697" s="1"/>
  <c r="V271" i="697"/>
  <c r="W271" i="697" s="1"/>
  <c r="V272" i="697"/>
  <c r="W272" i="697" s="1"/>
  <c r="V273" i="697"/>
  <c r="W273" i="697" s="1"/>
  <c r="V274" i="697"/>
  <c r="W274" i="697" s="1"/>
  <c r="V275" i="697"/>
  <c r="W275" i="697" s="1"/>
  <c r="V276" i="697"/>
  <c r="W276" i="697" s="1"/>
  <c r="V277" i="697"/>
  <c r="W277" i="697" s="1"/>
  <c r="V278" i="697"/>
  <c r="W278" i="697" s="1"/>
  <c r="V279" i="697"/>
  <c r="W279" i="697" s="1"/>
  <c r="V280" i="697"/>
  <c r="W280" i="697" s="1"/>
  <c r="V281" i="697"/>
  <c r="W281" i="697" s="1"/>
  <c r="V282" i="697"/>
  <c r="W282" i="697" s="1"/>
  <c r="V283" i="697"/>
  <c r="W283" i="697" s="1"/>
  <c r="V284" i="697"/>
  <c r="W284" i="697" s="1"/>
  <c r="V285" i="697"/>
  <c r="W285" i="697" s="1"/>
  <c r="Y231" i="697"/>
  <c r="Y239" i="697"/>
  <c r="Y251" i="697"/>
  <c r="Y267" i="697"/>
  <c r="Z229" i="697"/>
  <c r="Z230" i="697"/>
  <c r="Z231" i="697"/>
  <c r="Z232" i="697"/>
  <c r="Z233" i="697"/>
  <c r="Z234" i="697"/>
  <c r="Z235" i="697"/>
  <c r="Z236" i="697"/>
  <c r="Z237" i="697"/>
  <c r="Z238" i="697"/>
  <c r="Z239" i="697"/>
  <c r="Z240" i="697"/>
  <c r="Z241" i="697"/>
  <c r="Z242" i="697"/>
  <c r="Z243" i="697"/>
  <c r="Z244" i="697"/>
  <c r="Z245" i="697"/>
  <c r="Z246" i="697"/>
  <c r="Z247" i="697"/>
  <c r="Z248" i="697"/>
  <c r="Z249" i="697"/>
  <c r="Z250" i="697"/>
  <c r="Z251" i="697"/>
  <c r="Z252" i="697"/>
  <c r="Z253" i="697"/>
  <c r="Z254" i="697"/>
  <c r="Z255" i="697"/>
  <c r="Z256" i="697"/>
  <c r="Z257" i="697"/>
  <c r="Z258" i="697"/>
  <c r="Z259" i="697"/>
  <c r="Z260" i="697"/>
  <c r="Z261" i="697"/>
  <c r="Z262" i="697"/>
  <c r="Z263" i="697"/>
  <c r="Z264" i="697"/>
  <c r="Z265" i="697"/>
  <c r="Z266" i="697"/>
  <c r="Z267" i="697"/>
  <c r="Z268" i="697"/>
  <c r="Z269" i="697"/>
  <c r="Z270" i="697"/>
  <c r="Z271" i="697"/>
  <c r="Z272" i="697"/>
  <c r="Z273" i="697"/>
  <c r="Z274" i="697"/>
  <c r="Z275" i="697"/>
  <c r="Z276" i="697"/>
  <c r="Z277" i="697"/>
  <c r="Z278" i="697"/>
  <c r="Z279" i="697"/>
  <c r="Z280" i="697"/>
  <c r="Z281" i="697"/>
  <c r="Z282" i="697"/>
  <c r="Z283" i="697"/>
  <c r="Z284" i="697"/>
  <c r="Z285" i="697"/>
  <c r="A2" i="697"/>
  <c r="A3" i="697"/>
  <c r="A4" i="697"/>
  <c r="A5" i="697"/>
  <c r="A6" i="697"/>
  <c r="A7" i="697"/>
  <c r="A8" i="697"/>
  <c r="A9" i="697"/>
  <c r="A10" i="697"/>
  <c r="A11" i="697"/>
  <c r="A12" i="697"/>
  <c r="A13" i="697"/>
  <c r="A14" i="697"/>
  <c r="A15" i="697"/>
  <c r="A16" i="697"/>
  <c r="A17" i="697"/>
  <c r="A18" i="697"/>
  <c r="A19" i="697"/>
  <c r="A20" i="697"/>
  <c r="A21" i="697"/>
  <c r="A22" i="697"/>
  <c r="A23" i="697"/>
  <c r="A24" i="697"/>
  <c r="A25" i="697"/>
  <c r="A26" i="697"/>
  <c r="A27" i="697"/>
  <c r="A28" i="697"/>
  <c r="A29" i="697"/>
  <c r="A30" i="697"/>
  <c r="A31" i="697"/>
  <c r="A32" i="697"/>
  <c r="A33" i="697"/>
  <c r="A34" i="697"/>
  <c r="A35" i="697"/>
  <c r="A36" i="697"/>
  <c r="A37" i="697"/>
  <c r="A38" i="697"/>
  <c r="A39" i="697"/>
  <c r="A40" i="697"/>
  <c r="A41" i="697"/>
  <c r="A42" i="697"/>
  <c r="A43" i="697"/>
  <c r="A44" i="697"/>
  <c r="A45" i="697"/>
  <c r="A46" i="697"/>
  <c r="A47" i="697"/>
  <c r="A48" i="697"/>
  <c r="A49" i="697"/>
  <c r="A50" i="697"/>
  <c r="A51" i="697"/>
  <c r="A52" i="697"/>
  <c r="A53" i="697"/>
  <c r="A54" i="697"/>
  <c r="A55" i="697"/>
  <c r="A56" i="697"/>
  <c r="A57" i="697"/>
  <c r="A58" i="697"/>
  <c r="A59" i="697"/>
  <c r="A60" i="697"/>
  <c r="A61" i="697"/>
  <c r="A62" i="697"/>
  <c r="A63" i="697"/>
  <c r="A64" i="697"/>
  <c r="A65" i="697"/>
  <c r="A66" i="697"/>
  <c r="A67" i="697"/>
  <c r="A68" i="697"/>
  <c r="A69" i="697"/>
  <c r="A70" i="697"/>
  <c r="A71" i="697"/>
  <c r="A72" i="697"/>
  <c r="A73" i="697"/>
  <c r="A74" i="697"/>
  <c r="A75" i="697"/>
  <c r="A76" i="697"/>
  <c r="A77" i="697"/>
  <c r="A78" i="697"/>
  <c r="A79" i="697"/>
  <c r="A80" i="697"/>
  <c r="A81" i="697"/>
  <c r="A82" i="697"/>
  <c r="A83" i="697"/>
  <c r="A84" i="697"/>
  <c r="A85" i="697"/>
  <c r="A86" i="697"/>
  <c r="A87" i="697"/>
  <c r="A88" i="697"/>
  <c r="A89" i="697"/>
  <c r="A90" i="697"/>
  <c r="A91" i="697"/>
  <c r="A92" i="697"/>
  <c r="A93" i="697"/>
  <c r="A94" i="697"/>
  <c r="A95" i="697"/>
  <c r="A96" i="697"/>
  <c r="A97" i="697"/>
  <c r="A98" i="697"/>
  <c r="A99" i="697"/>
  <c r="A100" i="697"/>
  <c r="A101" i="697"/>
  <c r="A102" i="697"/>
  <c r="A103" i="697"/>
  <c r="A104" i="697"/>
  <c r="A105" i="697"/>
  <c r="A106" i="697"/>
  <c r="A107" i="697"/>
  <c r="A108" i="697"/>
  <c r="A109" i="697"/>
  <c r="A110" i="697"/>
  <c r="A111" i="697"/>
  <c r="A112" i="697"/>
  <c r="A113" i="697"/>
  <c r="A114" i="697"/>
  <c r="A115" i="697"/>
  <c r="A116" i="697"/>
  <c r="A117" i="697"/>
  <c r="A118" i="697"/>
  <c r="A119" i="697"/>
  <c r="A120" i="697"/>
  <c r="A121" i="697"/>
  <c r="A122" i="697"/>
  <c r="A123" i="697"/>
  <c r="A124" i="697"/>
  <c r="A125" i="697"/>
  <c r="A126" i="697"/>
  <c r="A127" i="697"/>
  <c r="A128" i="697"/>
  <c r="A129" i="697"/>
  <c r="A130" i="697"/>
  <c r="A131" i="697"/>
  <c r="A132" i="697"/>
  <c r="A133" i="697"/>
  <c r="A134" i="697"/>
  <c r="A135" i="697"/>
  <c r="A136" i="697"/>
  <c r="A137" i="697"/>
  <c r="A138" i="697"/>
  <c r="A139" i="697"/>
  <c r="A140" i="697"/>
  <c r="A141" i="697"/>
  <c r="A142" i="697"/>
  <c r="A143" i="697"/>
  <c r="A144" i="697"/>
  <c r="A145" i="697"/>
  <c r="A146" i="697"/>
  <c r="A147" i="697"/>
  <c r="A148" i="697"/>
  <c r="A149" i="697"/>
  <c r="A150" i="697"/>
  <c r="A151" i="697"/>
  <c r="A152" i="697"/>
  <c r="A153" i="697"/>
  <c r="A154" i="697"/>
  <c r="A155" i="697"/>
  <c r="A156" i="697"/>
  <c r="A157" i="697"/>
  <c r="A158" i="697"/>
  <c r="A159" i="697"/>
  <c r="A160" i="697"/>
  <c r="A161" i="697"/>
  <c r="A162" i="697"/>
  <c r="A163" i="697"/>
  <c r="A164" i="697"/>
  <c r="A165" i="697"/>
  <c r="A166" i="697"/>
  <c r="A167" i="697"/>
  <c r="A168" i="697"/>
  <c r="A169" i="697"/>
  <c r="A170" i="697"/>
  <c r="A171" i="697"/>
  <c r="A172" i="697"/>
  <c r="A173" i="697"/>
  <c r="A174" i="697"/>
  <c r="A175" i="697"/>
  <c r="A176" i="697"/>
  <c r="A177" i="697"/>
  <c r="A178" i="697"/>
  <c r="A179" i="697"/>
  <c r="A180" i="697"/>
  <c r="A181" i="697"/>
  <c r="A182" i="697"/>
  <c r="A183" i="697"/>
  <c r="A184" i="697"/>
  <c r="A185" i="697"/>
  <c r="A186" i="697"/>
  <c r="A187" i="697"/>
  <c r="A188" i="697"/>
  <c r="A189" i="697"/>
  <c r="A190" i="697"/>
  <c r="A191" i="697"/>
  <c r="A192" i="697"/>
  <c r="A193" i="697"/>
  <c r="A194" i="697"/>
  <c r="A195" i="697"/>
  <c r="A196" i="697"/>
  <c r="A197" i="697"/>
  <c r="A198" i="697"/>
  <c r="A199" i="697"/>
  <c r="A200" i="697"/>
  <c r="A201" i="697"/>
  <c r="A202" i="697"/>
  <c r="A203" i="697"/>
  <c r="A204" i="697"/>
  <c r="A205" i="697"/>
  <c r="A206" i="697"/>
  <c r="A207" i="697"/>
  <c r="A208" i="697"/>
  <c r="A209" i="697"/>
  <c r="A210" i="697"/>
  <c r="A211" i="697"/>
  <c r="A212" i="697"/>
  <c r="A213" i="697"/>
  <c r="A214" i="697"/>
  <c r="A215" i="697"/>
  <c r="A216" i="697"/>
  <c r="A217" i="697"/>
  <c r="A218" i="697"/>
  <c r="A219" i="697"/>
  <c r="A220" i="697"/>
  <c r="A221" i="697"/>
  <c r="A222" i="697"/>
  <c r="A223" i="697"/>
  <c r="A224" i="697"/>
  <c r="A225" i="697"/>
  <c r="A226" i="697"/>
  <c r="A227" i="697"/>
  <c r="A228" i="697"/>
  <c r="C2" i="697"/>
  <c r="B2" i="697" s="1"/>
  <c r="C3" i="697"/>
  <c r="B3" i="697" s="1"/>
  <c r="C4" i="697"/>
  <c r="B4" i="697" s="1"/>
  <c r="C5" i="697"/>
  <c r="B5" i="697" s="1"/>
  <c r="C6" i="697"/>
  <c r="B6" i="697" s="1"/>
  <c r="C7" i="697"/>
  <c r="B7" i="697" s="1"/>
  <c r="C8" i="697"/>
  <c r="B8" i="697" s="1"/>
  <c r="C9" i="697"/>
  <c r="B9" i="697" s="1"/>
  <c r="C10" i="697"/>
  <c r="B10" i="697" s="1"/>
  <c r="C11" i="697"/>
  <c r="B11" i="697" s="1"/>
  <c r="C12" i="697"/>
  <c r="B12" i="697" s="1"/>
  <c r="C13" i="697"/>
  <c r="B13" i="697" s="1"/>
  <c r="C14" i="697"/>
  <c r="B14" i="697" s="1"/>
  <c r="C15" i="697"/>
  <c r="B15" i="697" s="1"/>
  <c r="C16" i="697"/>
  <c r="B16" i="697" s="1"/>
  <c r="C17" i="697"/>
  <c r="B17" i="697" s="1"/>
  <c r="C18" i="697"/>
  <c r="B18" i="697" s="1"/>
  <c r="C19" i="697"/>
  <c r="B19" i="697" s="1"/>
  <c r="C20" i="697"/>
  <c r="B20" i="697" s="1"/>
  <c r="C21" i="697"/>
  <c r="B21" i="697" s="1"/>
  <c r="C22" i="697"/>
  <c r="B22" i="697" s="1"/>
  <c r="C23" i="697"/>
  <c r="B23" i="697" s="1"/>
  <c r="C24" i="697"/>
  <c r="B24" i="697" s="1"/>
  <c r="C25" i="697"/>
  <c r="B25" i="697" s="1"/>
  <c r="C26" i="697"/>
  <c r="B26" i="697" s="1"/>
  <c r="C27" i="697"/>
  <c r="B27" i="697" s="1"/>
  <c r="C28" i="697"/>
  <c r="B28" i="697" s="1"/>
  <c r="C29" i="697"/>
  <c r="B29" i="697" s="1"/>
  <c r="C30" i="697"/>
  <c r="B30" i="697" s="1"/>
  <c r="C31" i="697"/>
  <c r="B31" i="697" s="1"/>
  <c r="C32" i="697"/>
  <c r="B32" i="697" s="1"/>
  <c r="C33" i="697"/>
  <c r="B33" i="697" s="1"/>
  <c r="C34" i="697"/>
  <c r="B34" i="697" s="1"/>
  <c r="C35" i="697"/>
  <c r="B35" i="697" s="1"/>
  <c r="C36" i="697"/>
  <c r="B36" i="697" s="1"/>
  <c r="C37" i="697"/>
  <c r="B37" i="697" s="1"/>
  <c r="C38" i="697"/>
  <c r="B38" i="697" s="1"/>
  <c r="C39" i="697"/>
  <c r="B39" i="697" s="1"/>
  <c r="C40" i="697"/>
  <c r="B40" i="697" s="1"/>
  <c r="C41" i="697"/>
  <c r="B41" i="697" s="1"/>
  <c r="C42" i="697"/>
  <c r="B42" i="697" s="1"/>
  <c r="C43" i="697"/>
  <c r="B43" i="697" s="1"/>
  <c r="C44" i="697"/>
  <c r="B44" i="697" s="1"/>
  <c r="C45" i="697"/>
  <c r="B45" i="697" s="1"/>
  <c r="C46" i="697"/>
  <c r="B46" i="697" s="1"/>
  <c r="C47" i="697"/>
  <c r="B47" i="697" s="1"/>
  <c r="C48" i="697"/>
  <c r="B48" i="697" s="1"/>
  <c r="C49" i="697"/>
  <c r="B49" i="697" s="1"/>
  <c r="C50" i="697"/>
  <c r="B50" i="697" s="1"/>
  <c r="C51" i="697"/>
  <c r="B51" i="697" s="1"/>
  <c r="C52" i="697"/>
  <c r="B52" i="697" s="1"/>
  <c r="C53" i="697"/>
  <c r="B53" i="697" s="1"/>
  <c r="C54" i="697"/>
  <c r="B54" i="697" s="1"/>
  <c r="C55" i="697"/>
  <c r="B55" i="697" s="1"/>
  <c r="C56" i="697"/>
  <c r="B56" i="697" s="1"/>
  <c r="C57" i="697"/>
  <c r="B57" i="697" s="1"/>
  <c r="C58" i="697"/>
  <c r="B58" i="697" s="1"/>
  <c r="C59" i="697"/>
  <c r="B59" i="697" s="1"/>
  <c r="C60" i="697"/>
  <c r="B60" i="697" s="1"/>
  <c r="C61" i="697"/>
  <c r="B61" i="697" s="1"/>
  <c r="C62" i="697"/>
  <c r="B62" i="697" s="1"/>
  <c r="C63" i="697"/>
  <c r="B63" i="697" s="1"/>
  <c r="C64" i="697"/>
  <c r="B64" i="697" s="1"/>
  <c r="C65" i="697"/>
  <c r="B65" i="697" s="1"/>
  <c r="C66" i="697"/>
  <c r="B66" i="697" s="1"/>
  <c r="C67" i="697"/>
  <c r="B67" i="697" s="1"/>
  <c r="C68" i="697"/>
  <c r="B68" i="697" s="1"/>
  <c r="C69" i="697"/>
  <c r="B69" i="697" s="1"/>
  <c r="C70" i="697"/>
  <c r="B70" i="697" s="1"/>
  <c r="C71" i="697"/>
  <c r="B71" i="697" s="1"/>
  <c r="C72" i="697"/>
  <c r="B72" i="697" s="1"/>
  <c r="C73" i="697"/>
  <c r="B73" i="697" s="1"/>
  <c r="C74" i="697"/>
  <c r="B74" i="697" s="1"/>
  <c r="C75" i="697"/>
  <c r="B75" i="697" s="1"/>
  <c r="C76" i="697"/>
  <c r="B76" i="697" s="1"/>
  <c r="C77" i="697"/>
  <c r="B77" i="697" s="1"/>
  <c r="C78" i="697"/>
  <c r="B78" i="697" s="1"/>
  <c r="C79" i="697"/>
  <c r="B79" i="697" s="1"/>
  <c r="C80" i="697"/>
  <c r="B80" i="697" s="1"/>
  <c r="C81" i="697"/>
  <c r="B81" i="697" s="1"/>
  <c r="C82" i="697"/>
  <c r="B82" i="697" s="1"/>
  <c r="C83" i="697"/>
  <c r="B83" i="697" s="1"/>
  <c r="C84" i="697"/>
  <c r="B84" i="697" s="1"/>
  <c r="C85" i="697"/>
  <c r="B85" i="697" s="1"/>
  <c r="C86" i="697"/>
  <c r="B86" i="697" s="1"/>
  <c r="C87" i="697"/>
  <c r="B87" i="697" s="1"/>
  <c r="C88" i="697"/>
  <c r="B88" i="697" s="1"/>
  <c r="C89" i="697"/>
  <c r="B89" i="697" s="1"/>
  <c r="C90" i="697"/>
  <c r="B90" i="697" s="1"/>
  <c r="C91" i="697"/>
  <c r="B91" i="697" s="1"/>
  <c r="C92" i="697"/>
  <c r="B92" i="697" s="1"/>
  <c r="C93" i="697"/>
  <c r="B93" i="697" s="1"/>
  <c r="C94" i="697"/>
  <c r="B94" i="697" s="1"/>
  <c r="C95" i="697"/>
  <c r="B95" i="697" s="1"/>
  <c r="C96" i="697"/>
  <c r="B96" i="697" s="1"/>
  <c r="C97" i="697"/>
  <c r="B97" i="697" s="1"/>
  <c r="C98" i="697"/>
  <c r="B98" i="697" s="1"/>
  <c r="C99" i="697"/>
  <c r="B99" i="697" s="1"/>
  <c r="C100" i="697"/>
  <c r="B100" i="697" s="1"/>
  <c r="C101" i="697"/>
  <c r="B101" i="697" s="1"/>
  <c r="C102" i="697"/>
  <c r="B102" i="697" s="1"/>
  <c r="C103" i="697"/>
  <c r="B103" i="697" s="1"/>
  <c r="C104" i="697"/>
  <c r="B104" i="697" s="1"/>
  <c r="C105" i="697"/>
  <c r="B105" i="697" s="1"/>
  <c r="C106" i="697"/>
  <c r="B106" i="697" s="1"/>
  <c r="C107" i="697"/>
  <c r="B107" i="697" s="1"/>
  <c r="C108" i="697"/>
  <c r="B108" i="697" s="1"/>
  <c r="C109" i="697"/>
  <c r="B109" i="697" s="1"/>
  <c r="C110" i="697"/>
  <c r="B110" i="697" s="1"/>
  <c r="C111" i="697"/>
  <c r="B111" i="697" s="1"/>
  <c r="C112" i="697"/>
  <c r="B112" i="697" s="1"/>
  <c r="C113" i="697"/>
  <c r="B113" i="697" s="1"/>
  <c r="C114" i="697"/>
  <c r="B114" i="697" s="1"/>
  <c r="C115" i="697"/>
  <c r="B115" i="697" s="1"/>
  <c r="C116" i="697"/>
  <c r="B116" i="697" s="1"/>
  <c r="C117" i="697"/>
  <c r="B117" i="697" s="1"/>
  <c r="C118" i="697"/>
  <c r="B118" i="697" s="1"/>
  <c r="C119" i="697"/>
  <c r="B119" i="697" s="1"/>
  <c r="C120" i="697"/>
  <c r="B120" i="697" s="1"/>
  <c r="C121" i="697"/>
  <c r="B121" i="697" s="1"/>
  <c r="C122" i="697"/>
  <c r="B122" i="697" s="1"/>
  <c r="C123" i="697"/>
  <c r="B123" i="697" s="1"/>
  <c r="C124" i="697"/>
  <c r="B124" i="697" s="1"/>
  <c r="C125" i="697"/>
  <c r="B125" i="697" s="1"/>
  <c r="C126" i="697"/>
  <c r="B126" i="697" s="1"/>
  <c r="C127" i="697"/>
  <c r="B127" i="697" s="1"/>
  <c r="C128" i="697"/>
  <c r="B128" i="697" s="1"/>
  <c r="C129" i="697"/>
  <c r="B129" i="697" s="1"/>
  <c r="C130" i="697"/>
  <c r="B130" i="697" s="1"/>
  <c r="C131" i="697"/>
  <c r="B131" i="697" s="1"/>
  <c r="C132" i="697"/>
  <c r="B132" i="697" s="1"/>
  <c r="C133" i="697"/>
  <c r="B133" i="697" s="1"/>
  <c r="C134" i="697"/>
  <c r="B134" i="697" s="1"/>
  <c r="C135" i="697"/>
  <c r="B135" i="697" s="1"/>
  <c r="C136" i="697"/>
  <c r="B136" i="697" s="1"/>
  <c r="C137" i="697"/>
  <c r="B137" i="697" s="1"/>
  <c r="C138" i="697"/>
  <c r="B138" i="697" s="1"/>
  <c r="C139" i="697"/>
  <c r="B139" i="697" s="1"/>
  <c r="C140" i="697"/>
  <c r="B140" i="697" s="1"/>
  <c r="C141" i="697"/>
  <c r="B141" i="697" s="1"/>
  <c r="C142" i="697"/>
  <c r="B142" i="697" s="1"/>
  <c r="C143" i="697"/>
  <c r="B143" i="697" s="1"/>
  <c r="C144" i="697"/>
  <c r="B144" i="697" s="1"/>
  <c r="C145" i="697"/>
  <c r="B145" i="697" s="1"/>
  <c r="C146" i="697"/>
  <c r="B146" i="697" s="1"/>
  <c r="C147" i="697"/>
  <c r="B147" i="697" s="1"/>
  <c r="C148" i="697"/>
  <c r="B148" i="697" s="1"/>
  <c r="C149" i="697"/>
  <c r="B149" i="697" s="1"/>
  <c r="C150" i="697"/>
  <c r="B150" i="697" s="1"/>
  <c r="C151" i="697"/>
  <c r="B151" i="697" s="1"/>
  <c r="C152" i="697"/>
  <c r="B152" i="697" s="1"/>
  <c r="C153" i="697"/>
  <c r="B153" i="697" s="1"/>
  <c r="C154" i="697"/>
  <c r="B154" i="697" s="1"/>
  <c r="C155" i="697"/>
  <c r="B155" i="697" s="1"/>
  <c r="C156" i="697"/>
  <c r="B156" i="697" s="1"/>
  <c r="C157" i="697"/>
  <c r="B157" i="697" s="1"/>
  <c r="C158" i="697"/>
  <c r="B158" i="697" s="1"/>
  <c r="C159" i="697"/>
  <c r="B159" i="697" s="1"/>
  <c r="C160" i="697"/>
  <c r="B160" i="697" s="1"/>
  <c r="C161" i="697"/>
  <c r="B161" i="697" s="1"/>
  <c r="C162" i="697"/>
  <c r="B162" i="697" s="1"/>
  <c r="C163" i="697"/>
  <c r="B163" i="697" s="1"/>
  <c r="C164" i="697"/>
  <c r="B164" i="697" s="1"/>
  <c r="C165" i="697"/>
  <c r="B165" i="697" s="1"/>
  <c r="C166" i="697"/>
  <c r="B166" i="697" s="1"/>
  <c r="C167" i="697"/>
  <c r="B167" i="697" s="1"/>
  <c r="C168" i="697"/>
  <c r="B168" i="697" s="1"/>
  <c r="C169" i="697"/>
  <c r="B169" i="697" s="1"/>
  <c r="C170" i="697"/>
  <c r="B170" i="697" s="1"/>
  <c r="C171" i="697"/>
  <c r="B171" i="697" s="1"/>
  <c r="C172" i="697"/>
  <c r="B172" i="697" s="1"/>
  <c r="C173" i="697"/>
  <c r="B173" i="697" s="1"/>
  <c r="C174" i="697"/>
  <c r="B174" i="697" s="1"/>
  <c r="C175" i="697"/>
  <c r="B175" i="697" s="1"/>
  <c r="C176" i="697"/>
  <c r="B176" i="697" s="1"/>
  <c r="C177" i="697"/>
  <c r="B177" i="697" s="1"/>
  <c r="C178" i="697"/>
  <c r="B178" i="697" s="1"/>
  <c r="C179" i="697"/>
  <c r="B179" i="697" s="1"/>
  <c r="C180" i="697"/>
  <c r="B180" i="697" s="1"/>
  <c r="C181" i="697"/>
  <c r="B181" i="697" s="1"/>
  <c r="C182" i="697"/>
  <c r="B182" i="697" s="1"/>
  <c r="C183" i="697"/>
  <c r="B183" i="697" s="1"/>
  <c r="C184" i="697"/>
  <c r="B184" i="697" s="1"/>
  <c r="C185" i="697"/>
  <c r="B185" i="697" s="1"/>
  <c r="C186" i="697"/>
  <c r="B186" i="697" s="1"/>
  <c r="C187" i="697"/>
  <c r="B187" i="697" s="1"/>
  <c r="C188" i="697"/>
  <c r="B188" i="697" s="1"/>
  <c r="C189" i="697"/>
  <c r="B189" i="697" s="1"/>
  <c r="C190" i="697"/>
  <c r="B190" i="697" s="1"/>
  <c r="C191" i="697"/>
  <c r="B191" i="697" s="1"/>
  <c r="C192" i="697"/>
  <c r="B192" i="697" s="1"/>
  <c r="C193" i="697"/>
  <c r="B193" i="697" s="1"/>
  <c r="C194" i="697"/>
  <c r="B194" i="697" s="1"/>
  <c r="C195" i="697"/>
  <c r="B195" i="697" s="1"/>
  <c r="C196" i="697"/>
  <c r="B196" i="697" s="1"/>
  <c r="C197" i="697"/>
  <c r="B197" i="697" s="1"/>
  <c r="C198" i="697"/>
  <c r="B198" i="697" s="1"/>
  <c r="C199" i="697"/>
  <c r="B199" i="697" s="1"/>
  <c r="C200" i="697"/>
  <c r="B200" i="697" s="1"/>
  <c r="C201" i="697"/>
  <c r="B201" i="697" s="1"/>
  <c r="C202" i="697"/>
  <c r="B202" i="697" s="1"/>
  <c r="C203" i="697"/>
  <c r="B203" i="697" s="1"/>
  <c r="C204" i="697"/>
  <c r="B204" i="697" s="1"/>
  <c r="C205" i="697"/>
  <c r="B205" i="697" s="1"/>
  <c r="C206" i="697"/>
  <c r="B206" i="697" s="1"/>
  <c r="C207" i="697"/>
  <c r="B207" i="697" s="1"/>
  <c r="C208" i="697"/>
  <c r="B208" i="697" s="1"/>
  <c r="C209" i="697"/>
  <c r="B209" i="697" s="1"/>
  <c r="C210" i="697"/>
  <c r="B210" i="697" s="1"/>
  <c r="C211" i="697"/>
  <c r="B211" i="697" s="1"/>
  <c r="C212" i="697"/>
  <c r="B212" i="697" s="1"/>
  <c r="C213" i="697"/>
  <c r="B213" i="697" s="1"/>
  <c r="C214" i="697"/>
  <c r="B214" i="697" s="1"/>
  <c r="C215" i="697"/>
  <c r="B215" i="697" s="1"/>
  <c r="C216" i="697"/>
  <c r="B216" i="697" s="1"/>
  <c r="C217" i="697"/>
  <c r="B217" i="697" s="1"/>
  <c r="C218" i="697"/>
  <c r="B218" i="697" s="1"/>
  <c r="C219" i="697"/>
  <c r="B219" i="697" s="1"/>
  <c r="C220" i="697"/>
  <c r="B220" i="697" s="1"/>
  <c r="C221" i="697"/>
  <c r="B221" i="697" s="1"/>
  <c r="C222" i="697"/>
  <c r="B222" i="697" s="1"/>
  <c r="C223" i="697"/>
  <c r="B223" i="697" s="1"/>
  <c r="C224" i="697"/>
  <c r="B224" i="697" s="1"/>
  <c r="C225" i="697"/>
  <c r="B225" i="697" s="1"/>
  <c r="C226" i="697"/>
  <c r="B226" i="697" s="1"/>
  <c r="C227" i="697"/>
  <c r="B227" i="697" s="1"/>
  <c r="C228" i="697"/>
  <c r="B228" i="697" s="1"/>
  <c r="D2" i="697"/>
  <c r="D3" i="697"/>
  <c r="D4" i="697"/>
  <c r="D5" i="697"/>
  <c r="D9" i="697"/>
  <c r="D10" i="697"/>
  <c r="D12" i="697"/>
  <c r="D13" i="697"/>
  <c r="D14" i="697"/>
  <c r="D16" i="697"/>
  <c r="D17" i="697"/>
  <c r="D18" i="697"/>
  <c r="D19" i="697"/>
  <c r="D20" i="697"/>
  <c r="D21" i="697"/>
  <c r="D22" i="697"/>
  <c r="D24" i="697"/>
  <c r="D27" i="697"/>
  <c r="D28" i="697"/>
  <c r="D29" i="697"/>
  <c r="D30" i="697"/>
  <c r="D31" i="697"/>
  <c r="D32" i="697"/>
  <c r="D33" i="697"/>
  <c r="D34" i="697"/>
  <c r="D35" i="697"/>
  <c r="D36" i="697"/>
  <c r="D37" i="697"/>
  <c r="D38" i="697"/>
  <c r="D39" i="697"/>
  <c r="D40" i="697"/>
  <c r="D41" i="697"/>
  <c r="D42" i="697"/>
  <c r="D45" i="697"/>
  <c r="D47" i="697"/>
  <c r="D48" i="697"/>
  <c r="D49" i="697"/>
  <c r="D50" i="697"/>
  <c r="D51" i="697"/>
  <c r="D52" i="697"/>
  <c r="D53" i="697"/>
  <c r="D54" i="697"/>
  <c r="D55" i="697"/>
  <c r="D56" i="697"/>
  <c r="D58" i="697"/>
  <c r="D59" i="697"/>
  <c r="D60" i="697"/>
  <c r="D61" i="697"/>
  <c r="D62" i="697"/>
  <c r="D63" i="697"/>
  <c r="D64" i="697"/>
  <c r="D66" i="697"/>
  <c r="D67" i="697"/>
  <c r="D69" i="697"/>
  <c r="D70" i="697"/>
  <c r="D72" i="697"/>
  <c r="D73" i="697"/>
  <c r="D74" i="697"/>
  <c r="D75" i="697"/>
  <c r="D76" i="697"/>
  <c r="D77" i="697"/>
  <c r="D78" i="697"/>
  <c r="D79" i="697"/>
  <c r="D81" i="697"/>
  <c r="D82" i="697"/>
  <c r="D84" i="697"/>
  <c r="D87" i="697"/>
  <c r="D88" i="697"/>
  <c r="D89" i="697"/>
  <c r="D91" i="697"/>
  <c r="D92" i="697"/>
  <c r="D93" i="697"/>
  <c r="D94" i="697"/>
  <c r="D95" i="697"/>
  <c r="D96" i="697"/>
  <c r="D98" i="697"/>
  <c r="D101" i="697"/>
  <c r="D102" i="697"/>
  <c r="D103" i="697"/>
  <c r="D106" i="697"/>
  <c r="D108" i="697"/>
  <c r="D109" i="697"/>
  <c r="D110" i="697"/>
  <c r="D112" i="697"/>
  <c r="D114" i="697"/>
  <c r="D115" i="697"/>
  <c r="D116" i="697"/>
  <c r="D117" i="697"/>
  <c r="D118" i="697"/>
  <c r="D119" i="697"/>
  <c r="D120" i="697"/>
  <c r="D121" i="697"/>
  <c r="D122" i="697"/>
  <c r="D123" i="697"/>
  <c r="D125" i="697"/>
  <c r="D126" i="697"/>
  <c r="D129" i="697"/>
  <c r="D130" i="697"/>
  <c r="D131" i="697"/>
  <c r="D137" i="697"/>
  <c r="D140" i="697"/>
  <c r="D141" i="697"/>
  <c r="D142" i="697"/>
  <c r="D143" i="697"/>
  <c r="D144" i="697"/>
  <c r="D145" i="697"/>
  <c r="D149" i="697"/>
  <c r="D150" i="697"/>
  <c r="D151" i="697"/>
  <c r="D158" i="697"/>
  <c r="D159" i="697"/>
  <c r="D160" i="697"/>
  <c r="D161" i="697"/>
  <c r="D168" i="697"/>
  <c r="D169" i="697"/>
  <c r="D170" i="697"/>
  <c r="D171" i="697"/>
  <c r="D172" i="697"/>
  <c r="D173" i="697"/>
  <c r="D174" i="697"/>
  <c r="D177" i="697"/>
  <c r="D178" i="697"/>
  <c r="D180" i="697"/>
  <c r="D182" i="697"/>
  <c r="D183" i="697"/>
  <c r="D185" i="697"/>
  <c r="D186" i="697"/>
  <c r="D188" i="697"/>
  <c r="D189" i="697"/>
  <c r="D191" i="697"/>
  <c r="D192" i="697"/>
  <c r="D193" i="697"/>
  <c r="D194" i="697"/>
  <c r="D195" i="697"/>
  <c r="D196" i="697"/>
  <c r="D197" i="697"/>
  <c r="D198" i="697"/>
  <c r="D199" i="697"/>
  <c r="D200" i="697"/>
  <c r="D201" i="697"/>
  <c r="D202" i="697"/>
  <c r="D203" i="697"/>
  <c r="D204" i="697"/>
  <c r="D205" i="697"/>
  <c r="D206" i="697"/>
  <c r="D207" i="697"/>
  <c r="D208" i="697"/>
  <c r="D209" i="697"/>
  <c r="D210" i="697"/>
  <c r="D211" i="697"/>
  <c r="D212" i="697"/>
  <c r="D213" i="697"/>
  <c r="D215" i="697"/>
  <c r="D216" i="697"/>
  <c r="D217" i="697"/>
  <c r="D218" i="697"/>
  <c r="D219" i="697"/>
  <c r="D220" i="697"/>
  <c r="D221" i="697"/>
  <c r="D222" i="697"/>
  <c r="D226" i="697"/>
  <c r="D227" i="697"/>
  <c r="D228" i="697"/>
  <c r="F2" i="697"/>
  <c r="F3" i="697"/>
  <c r="F4" i="697"/>
  <c r="F5" i="697"/>
  <c r="F6" i="697"/>
  <c r="F7" i="697"/>
  <c r="F8" i="697"/>
  <c r="F9" i="697"/>
  <c r="F10" i="697"/>
  <c r="F11" i="697"/>
  <c r="F12" i="697"/>
  <c r="F13" i="697"/>
  <c r="F14" i="697"/>
  <c r="F15" i="697"/>
  <c r="F16" i="697"/>
  <c r="F17" i="697"/>
  <c r="F18" i="697"/>
  <c r="F19" i="697"/>
  <c r="F20" i="697"/>
  <c r="F21" i="697"/>
  <c r="F22" i="697"/>
  <c r="F23" i="697"/>
  <c r="F24" i="697"/>
  <c r="F25" i="697"/>
  <c r="F26" i="697"/>
  <c r="F27" i="697"/>
  <c r="F28" i="697"/>
  <c r="F29" i="697"/>
  <c r="F30" i="697"/>
  <c r="F31" i="697"/>
  <c r="F32" i="697"/>
  <c r="F33" i="697"/>
  <c r="F34" i="697"/>
  <c r="F35" i="697"/>
  <c r="F36" i="697"/>
  <c r="F37" i="697"/>
  <c r="F38" i="697"/>
  <c r="F39" i="697"/>
  <c r="F40" i="697"/>
  <c r="F41" i="697"/>
  <c r="F42" i="697"/>
  <c r="F43" i="697"/>
  <c r="F44" i="697"/>
  <c r="F45" i="697"/>
  <c r="F46" i="697"/>
  <c r="F47" i="697"/>
  <c r="F48" i="697"/>
  <c r="F49" i="697"/>
  <c r="F50" i="697"/>
  <c r="F51" i="697"/>
  <c r="F52" i="697"/>
  <c r="F53" i="697"/>
  <c r="F54" i="697"/>
  <c r="F55" i="697"/>
  <c r="F56" i="697"/>
  <c r="F57" i="697"/>
  <c r="F58" i="697"/>
  <c r="F59" i="697"/>
  <c r="F60" i="697"/>
  <c r="F61" i="697"/>
  <c r="F62" i="697"/>
  <c r="F63" i="697"/>
  <c r="F64" i="697"/>
  <c r="F65" i="697"/>
  <c r="F66" i="697"/>
  <c r="F67" i="697"/>
  <c r="F68" i="697"/>
  <c r="F69" i="697"/>
  <c r="F70" i="697"/>
  <c r="F71" i="697"/>
  <c r="F72" i="697"/>
  <c r="F73" i="697"/>
  <c r="F74" i="697"/>
  <c r="F75" i="697"/>
  <c r="F76" i="697"/>
  <c r="F77" i="697"/>
  <c r="F78" i="697"/>
  <c r="F79" i="697"/>
  <c r="F80" i="697"/>
  <c r="F81" i="697"/>
  <c r="F82" i="697"/>
  <c r="F83" i="697"/>
  <c r="F84" i="697"/>
  <c r="F85" i="697"/>
  <c r="F86" i="697"/>
  <c r="F87" i="697"/>
  <c r="F88" i="697"/>
  <c r="F89" i="697"/>
  <c r="F90" i="697"/>
  <c r="F91" i="697"/>
  <c r="F92" i="697"/>
  <c r="F93" i="697"/>
  <c r="F94" i="697"/>
  <c r="F95" i="697"/>
  <c r="F96" i="697"/>
  <c r="F97" i="697"/>
  <c r="F98" i="697"/>
  <c r="F99" i="697"/>
  <c r="F100" i="697"/>
  <c r="F101" i="697"/>
  <c r="F102" i="697"/>
  <c r="F103" i="697"/>
  <c r="F104" i="697"/>
  <c r="F105" i="697"/>
  <c r="F106" i="697"/>
  <c r="F107" i="697"/>
  <c r="F108" i="697"/>
  <c r="F109" i="697"/>
  <c r="F110" i="697"/>
  <c r="F111" i="697"/>
  <c r="F112" i="697"/>
  <c r="F113" i="697"/>
  <c r="F114" i="697"/>
  <c r="F115" i="697"/>
  <c r="F116" i="697"/>
  <c r="F117" i="697"/>
  <c r="F118" i="697"/>
  <c r="F119" i="697"/>
  <c r="F120" i="697"/>
  <c r="F121" i="697"/>
  <c r="F122" i="697"/>
  <c r="F123" i="697"/>
  <c r="F124" i="697"/>
  <c r="F125" i="697"/>
  <c r="F126" i="697"/>
  <c r="F127" i="697"/>
  <c r="F128" i="697"/>
  <c r="F129" i="697"/>
  <c r="F130" i="697"/>
  <c r="F131" i="697"/>
  <c r="F132" i="697"/>
  <c r="F133" i="697"/>
  <c r="F134" i="697"/>
  <c r="F135" i="697"/>
  <c r="F136" i="697"/>
  <c r="F137" i="697"/>
  <c r="F138" i="697"/>
  <c r="F139" i="697"/>
  <c r="F140" i="697"/>
  <c r="F141" i="697"/>
  <c r="F142" i="697"/>
  <c r="F143" i="697"/>
  <c r="F144" i="697"/>
  <c r="F145" i="697"/>
  <c r="F146" i="697"/>
  <c r="F147" i="697"/>
  <c r="F148" i="697"/>
  <c r="F149" i="697"/>
  <c r="F150" i="697"/>
  <c r="F151" i="697"/>
  <c r="F152" i="697"/>
  <c r="F153" i="697"/>
  <c r="F154" i="697"/>
  <c r="F155" i="697"/>
  <c r="F156" i="697"/>
  <c r="F157" i="697"/>
  <c r="F158" i="697"/>
  <c r="F159" i="697"/>
  <c r="F160" i="697"/>
  <c r="F161" i="697"/>
  <c r="F162" i="697"/>
  <c r="F163" i="697"/>
  <c r="F164" i="697"/>
  <c r="F165" i="697"/>
  <c r="F166" i="697"/>
  <c r="F167" i="697"/>
  <c r="F168" i="697"/>
  <c r="F169" i="697"/>
  <c r="F170" i="697"/>
  <c r="F171" i="697"/>
  <c r="F172" i="697"/>
  <c r="F173" i="697"/>
  <c r="F174" i="697"/>
  <c r="F175" i="697"/>
  <c r="F176" i="697"/>
  <c r="F177" i="697"/>
  <c r="F178" i="697"/>
  <c r="F179" i="697"/>
  <c r="F180" i="697"/>
  <c r="F181" i="697"/>
  <c r="F182" i="697"/>
  <c r="F183" i="697"/>
  <c r="F184" i="697"/>
  <c r="F185" i="697"/>
  <c r="F186" i="697"/>
  <c r="F187" i="697"/>
  <c r="F188" i="697"/>
  <c r="F189" i="697"/>
  <c r="F190" i="697"/>
  <c r="F191" i="697"/>
  <c r="F192" i="697"/>
  <c r="F193" i="697"/>
  <c r="F194" i="697"/>
  <c r="F195" i="697"/>
  <c r="F196" i="697"/>
  <c r="F197" i="697"/>
  <c r="F198" i="697"/>
  <c r="F199" i="697"/>
  <c r="F200" i="697"/>
  <c r="F201" i="697"/>
  <c r="F202" i="697"/>
  <c r="F203" i="697"/>
  <c r="F204" i="697"/>
  <c r="F205" i="697"/>
  <c r="F206" i="697"/>
  <c r="F207" i="697"/>
  <c r="F208" i="697"/>
  <c r="F209" i="697"/>
  <c r="F210" i="697"/>
  <c r="F211" i="697"/>
  <c r="F212" i="697"/>
  <c r="F213" i="697"/>
  <c r="F214" i="697"/>
  <c r="F215" i="697"/>
  <c r="F216" i="697"/>
  <c r="F217" i="697"/>
  <c r="F218" i="697"/>
  <c r="F219" i="697"/>
  <c r="F220" i="697"/>
  <c r="F221" i="697"/>
  <c r="F222" i="697"/>
  <c r="F223" i="697"/>
  <c r="F224" i="697"/>
  <c r="F225" i="697"/>
  <c r="F226" i="697"/>
  <c r="F227" i="697"/>
  <c r="F228" i="697"/>
  <c r="S2" i="697"/>
  <c r="S3" i="697"/>
  <c r="S4" i="697"/>
  <c r="S5" i="697"/>
  <c r="S6" i="697"/>
  <c r="S7" i="697"/>
  <c r="S8" i="697"/>
  <c r="S9" i="697"/>
  <c r="S10" i="697"/>
  <c r="S11" i="697"/>
  <c r="S12" i="697"/>
  <c r="S13" i="697"/>
  <c r="S14" i="697"/>
  <c r="S15" i="697"/>
  <c r="S16" i="697"/>
  <c r="S17" i="697"/>
  <c r="S18" i="697"/>
  <c r="S19" i="697"/>
  <c r="S20" i="697"/>
  <c r="S21" i="697"/>
  <c r="S22" i="697"/>
  <c r="S23" i="697"/>
  <c r="S24" i="697"/>
  <c r="S25" i="697"/>
  <c r="S26" i="697"/>
  <c r="S27" i="697"/>
  <c r="S28" i="697"/>
  <c r="S29" i="697"/>
  <c r="S30" i="697"/>
  <c r="S31" i="697"/>
  <c r="S32" i="697"/>
  <c r="S33" i="697"/>
  <c r="S34" i="697"/>
  <c r="S35" i="697"/>
  <c r="S36" i="697"/>
  <c r="S37" i="697"/>
  <c r="S38" i="697"/>
  <c r="S39" i="697"/>
  <c r="S40" i="697"/>
  <c r="S41" i="697"/>
  <c r="S42" i="697"/>
  <c r="S43" i="697"/>
  <c r="S44" i="697"/>
  <c r="S45" i="697"/>
  <c r="S46" i="697"/>
  <c r="S47" i="697"/>
  <c r="S48" i="697"/>
  <c r="S49" i="697"/>
  <c r="S50" i="697"/>
  <c r="S51" i="697"/>
  <c r="S52" i="697"/>
  <c r="S53" i="697"/>
  <c r="S54" i="697"/>
  <c r="S55" i="697"/>
  <c r="S56" i="697"/>
  <c r="S57" i="697"/>
  <c r="S58" i="697"/>
  <c r="S59" i="697"/>
  <c r="S60" i="697"/>
  <c r="S61" i="697"/>
  <c r="S62" i="697"/>
  <c r="S63" i="697"/>
  <c r="S64" i="697"/>
  <c r="S65" i="697"/>
  <c r="S66" i="697"/>
  <c r="S67" i="697"/>
  <c r="S68" i="697"/>
  <c r="S69" i="697"/>
  <c r="S70" i="697"/>
  <c r="S71" i="697"/>
  <c r="S72" i="697"/>
  <c r="S73" i="697"/>
  <c r="S74" i="697"/>
  <c r="S75" i="697"/>
  <c r="S76" i="697"/>
  <c r="S77" i="697"/>
  <c r="S78" i="697"/>
  <c r="S79" i="697"/>
  <c r="S80" i="697"/>
  <c r="S81" i="697"/>
  <c r="S82" i="697"/>
  <c r="S83" i="697"/>
  <c r="S84" i="697"/>
  <c r="S85" i="697"/>
  <c r="S86" i="697"/>
  <c r="S87" i="697"/>
  <c r="S88" i="697"/>
  <c r="S89" i="697"/>
  <c r="S90" i="697"/>
  <c r="S91" i="697"/>
  <c r="S92" i="697"/>
  <c r="S93" i="697"/>
  <c r="S94" i="697"/>
  <c r="S95" i="697"/>
  <c r="S96" i="697"/>
  <c r="S97" i="697"/>
  <c r="S98" i="697"/>
  <c r="S99" i="697"/>
  <c r="S100" i="697"/>
  <c r="S101" i="697"/>
  <c r="S102" i="697"/>
  <c r="S103" i="697"/>
  <c r="S104" i="697"/>
  <c r="S105" i="697"/>
  <c r="S106" i="697"/>
  <c r="S107" i="697"/>
  <c r="S108" i="697"/>
  <c r="S109" i="697"/>
  <c r="S110" i="697"/>
  <c r="S111" i="697"/>
  <c r="S112" i="697"/>
  <c r="S113" i="697"/>
  <c r="S114" i="697"/>
  <c r="S115" i="697"/>
  <c r="S116" i="697"/>
  <c r="S117" i="697"/>
  <c r="S118" i="697"/>
  <c r="S119" i="697"/>
  <c r="S120" i="697"/>
  <c r="S121" i="697"/>
  <c r="S122" i="697"/>
  <c r="S123" i="697"/>
  <c r="S124" i="697"/>
  <c r="S125" i="697"/>
  <c r="S126" i="697"/>
  <c r="S127" i="697"/>
  <c r="S128" i="697"/>
  <c r="S129" i="697"/>
  <c r="S130" i="697"/>
  <c r="S131" i="697"/>
  <c r="S132" i="697"/>
  <c r="S133" i="697"/>
  <c r="S134" i="697"/>
  <c r="S135" i="697"/>
  <c r="S136" i="697"/>
  <c r="S137" i="697"/>
  <c r="S138" i="697"/>
  <c r="S139" i="697"/>
  <c r="S140" i="697"/>
  <c r="S141" i="697"/>
  <c r="S142" i="697"/>
  <c r="S143" i="697"/>
  <c r="S144" i="697"/>
  <c r="S145" i="697"/>
  <c r="S146" i="697"/>
  <c r="S147" i="697"/>
  <c r="S148" i="697"/>
  <c r="S149" i="697"/>
  <c r="S150" i="697"/>
  <c r="S151" i="697"/>
  <c r="S152" i="697"/>
  <c r="S153" i="697"/>
  <c r="S154" i="697"/>
  <c r="S155" i="697"/>
  <c r="S156" i="697"/>
  <c r="S157" i="697"/>
  <c r="S158" i="697"/>
  <c r="S159" i="697"/>
  <c r="S160" i="697"/>
  <c r="S161" i="697"/>
  <c r="S162" i="697"/>
  <c r="S163" i="697"/>
  <c r="S164" i="697"/>
  <c r="S165" i="697"/>
  <c r="S166" i="697"/>
  <c r="S167" i="697"/>
  <c r="S168" i="697"/>
  <c r="S169" i="697"/>
  <c r="S170" i="697"/>
  <c r="S171" i="697"/>
  <c r="S172" i="697"/>
  <c r="S173" i="697"/>
  <c r="S174" i="697"/>
  <c r="S175" i="697"/>
  <c r="S176" i="697"/>
  <c r="S177" i="697"/>
  <c r="S178" i="697"/>
  <c r="S179" i="697"/>
  <c r="S180" i="697"/>
  <c r="S181" i="697"/>
  <c r="S182" i="697"/>
  <c r="S183" i="697"/>
  <c r="S184" i="697"/>
  <c r="S185" i="697"/>
  <c r="S186" i="697"/>
  <c r="S187" i="697"/>
  <c r="S188" i="697"/>
  <c r="S189" i="697"/>
  <c r="S190" i="697"/>
  <c r="S191" i="697"/>
  <c r="S192" i="697"/>
  <c r="S193" i="697"/>
  <c r="S194" i="697"/>
  <c r="S195" i="697"/>
  <c r="S196" i="697"/>
  <c r="S197" i="697"/>
  <c r="S198" i="697"/>
  <c r="S199" i="697"/>
  <c r="S200" i="697"/>
  <c r="S201" i="697"/>
  <c r="S202" i="697"/>
  <c r="S203" i="697"/>
  <c r="S204" i="697"/>
  <c r="S205" i="697"/>
  <c r="S206" i="697"/>
  <c r="S207" i="697"/>
  <c r="S208" i="697"/>
  <c r="S209" i="697"/>
  <c r="S210" i="697"/>
  <c r="S211" i="697"/>
  <c r="S212" i="697"/>
  <c r="S213" i="697"/>
  <c r="S214" i="697"/>
  <c r="S215" i="697"/>
  <c r="S216" i="697"/>
  <c r="S217" i="697"/>
  <c r="S218" i="697"/>
  <c r="S219" i="697"/>
  <c r="S220" i="697"/>
  <c r="S221" i="697"/>
  <c r="S222" i="697"/>
  <c r="S223" i="697"/>
  <c r="S224" i="697"/>
  <c r="S225" i="697"/>
  <c r="S226" i="697"/>
  <c r="S227" i="697"/>
  <c r="S228" i="697"/>
  <c r="T2" i="697"/>
  <c r="T3" i="697"/>
  <c r="T4" i="697"/>
  <c r="T5" i="697"/>
  <c r="T6" i="697"/>
  <c r="T7" i="697"/>
  <c r="T8" i="697"/>
  <c r="T9" i="697"/>
  <c r="T10" i="697"/>
  <c r="T11" i="697"/>
  <c r="T12" i="697"/>
  <c r="T13" i="697"/>
  <c r="T14" i="697"/>
  <c r="T15" i="697"/>
  <c r="T16" i="697"/>
  <c r="T17" i="697"/>
  <c r="T18" i="697"/>
  <c r="T19" i="697"/>
  <c r="T20" i="697"/>
  <c r="T21" i="697"/>
  <c r="T22" i="697"/>
  <c r="T23" i="697"/>
  <c r="T24" i="697"/>
  <c r="T25" i="697"/>
  <c r="T26" i="697"/>
  <c r="T27" i="697"/>
  <c r="T28" i="697"/>
  <c r="T29" i="697"/>
  <c r="T30" i="697"/>
  <c r="T31" i="697"/>
  <c r="T32" i="697"/>
  <c r="T33" i="697"/>
  <c r="T34" i="697"/>
  <c r="T35" i="697"/>
  <c r="T36" i="697"/>
  <c r="T37" i="697"/>
  <c r="T38" i="697"/>
  <c r="T39" i="697"/>
  <c r="T40" i="697"/>
  <c r="T41" i="697"/>
  <c r="T42" i="697"/>
  <c r="T43" i="697"/>
  <c r="T44" i="697"/>
  <c r="T45" i="697"/>
  <c r="T46" i="697"/>
  <c r="T47" i="697"/>
  <c r="T48" i="697"/>
  <c r="T49" i="697"/>
  <c r="T50" i="697"/>
  <c r="T51" i="697"/>
  <c r="T52" i="697"/>
  <c r="T53" i="697"/>
  <c r="T54" i="697"/>
  <c r="T55" i="697"/>
  <c r="T56" i="697"/>
  <c r="T57" i="697"/>
  <c r="T58" i="697"/>
  <c r="T59" i="697"/>
  <c r="T60" i="697"/>
  <c r="T61" i="697"/>
  <c r="T62" i="697"/>
  <c r="T63" i="697"/>
  <c r="T64" i="697"/>
  <c r="T65" i="697"/>
  <c r="T66" i="697"/>
  <c r="T67" i="697"/>
  <c r="T68" i="697"/>
  <c r="T69" i="697"/>
  <c r="T70" i="697"/>
  <c r="T71" i="697"/>
  <c r="T72" i="697"/>
  <c r="T73" i="697"/>
  <c r="T74" i="697"/>
  <c r="T75" i="697"/>
  <c r="T76" i="697"/>
  <c r="T77" i="697"/>
  <c r="T78" i="697"/>
  <c r="T79" i="697"/>
  <c r="T80" i="697"/>
  <c r="T81" i="697"/>
  <c r="T82" i="697"/>
  <c r="T83" i="697"/>
  <c r="T84" i="697"/>
  <c r="T85" i="697"/>
  <c r="T86" i="697"/>
  <c r="T87" i="697"/>
  <c r="T88" i="697"/>
  <c r="T89" i="697"/>
  <c r="T90" i="697"/>
  <c r="T91" i="697"/>
  <c r="T92" i="697"/>
  <c r="T93" i="697"/>
  <c r="T94" i="697"/>
  <c r="T95" i="697"/>
  <c r="T96" i="697"/>
  <c r="T97" i="697"/>
  <c r="T98" i="697"/>
  <c r="T99" i="697"/>
  <c r="T100" i="697"/>
  <c r="T101" i="697"/>
  <c r="T102" i="697"/>
  <c r="T103" i="697"/>
  <c r="T104" i="697"/>
  <c r="T105" i="697"/>
  <c r="T106" i="697"/>
  <c r="T107" i="697"/>
  <c r="T108" i="697"/>
  <c r="T109" i="697"/>
  <c r="T110" i="697"/>
  <c r="T111" i="697"/>
  <c r="T112" i="697"/>
  <c r="T113" i="697"/>
  <c r="T114" i="697"/>
  <c r="T115" i="697"/>
  <c r="T116" i="697"/>
  <c r="T117" i="697"/>
  <c r="T118" i="697"/>
  <c r="T119" i="697"/>
  <c r="T120" i="697"/>
  <c r="T121" i="697"/>
  <c r="T122" i="697"/>
  <c r="T123" i="697"/>
  <c r="T124" i="697"/>
  <c r="T125" i="697"/>
  <c r="T126" i="697"/>
  <c r="T127" i="697"/>
  <c r="T128" i="697"/>
  <c r="T129" i="697"/>
  <c r="T130" i="697"/>
  <c r="T131" i="697"/>
  <c r="T132" i="697"/>
  <c r="T133" i="697"/>
  <c r="T134" i="697"/>
  <c r="T135" i="697"/>
  <c r="T136" i="697"/>
  <c r="T137" i="697"/>
  <c r="T138" i="697"/>
  <c r="T139" i="697"/>
  <c r="T140" i="697"/>
  <c r="T141" i="697"/>
  <c r="T142" i="697"/>
  <c r="T143" i="697"/>
  <c r="T144" i="697"/>
  <c r="T145" i="697"/>
  <c r="T146" i="697"/>
  <c r="T147" i="697"/>
  <c r="T148" i="697"/>
  <c r="T149" i="697"/>
  <c r="T150" i="697"/>
  <c r="T151" i="697"/>
  <c r="T152" i="697"/>
  <c r="T153" i="697"/>
  <c r="T154" i="697"/>
  <c r="T155" i="697"/>
  <c r="T156" i="697"/>
  <c r="T157" i="697"/>
  <c r="T158" i="697"/>
  <c r="T159" i="697"/>
  <c r="T160" i="697"/>
  <c r="T161" i="697"/>
  <c r="T162" i="697"/>
  <c r="T163" i="697"/>
  <c r="T164" i="697"/>
  <c r="T165" i="697"/>
  <c r="T166" i="697"/>
  <c r="T167" i="697"/>
  <c r="T168" i="697"/>
  <c r="T169" i="697"/>
  <c r="T170" i="697"/>
  <c r="T171" i="697"/>
  <c r="T172" i="697"/>
  <c r="T173" i="697"/>
  <c r="T174" i="697"/>
  <c r="T175" i="697"/>
  <c r="T176" i="697"/>
  <c r="T177" i="697"/>
  <c r="T178" i="697"/>
  <c r="T179" i="697"/>
  <c r="T180" i="697"/>
  <c r="T181" i="697"/>
  <c r="T182" i="697"/>
  <c r="T183" i="697"/>
  <c r="T184" i="697"/>
  <c r="T185" i="697"/>
  <c r="T186" i="697"/>
  <c r="T187" i="697"/>
  <c r="T188" i="697"/>
  <c r="T189" i="697"/>
  <c r="T190" i="697"/>
  <c r="T191" i="697"/>
  <c r="T192" i="697"/>
  <c r="T193" i="697"/>
  <c r="T194" i="697"/>
  <c r="T195" i="697"/>
  <c r="T196" i="697"/>
  <c r="T197" i="697"/>
  <c r="T198" i="697"/>
  <c r="T199" i="697"/>
  <c r="T200" i="697"/>
  <c r="T201" i="697"/>
  <c r="T202" i="697"/>
  <c r="T203" i="697"/>
  <c r="T204" i="697"/>
  <c r="T205" i="697"/>
  <c r="T206" i="697"/>
  <c r="T207" i="697"/>
  <c r="T208" i="697"/>
  <c r="T209" i="697"/>
  <c r="T210" i="697"/>
  <c r="T211" i="697"/>
  <c r="T212" i="697"/>
  <c r="T213" i="697"/>
  <c r="T214" i="697"/>
  <c r="T215" i="697"/>
  <c r="T216" i="697"/>
  <c r="T217" i="697"/>
  <c r="T218" i="697"/>
  <c r="T219" i="697"/>
  <c r="T220" i="697"/>
  <c r="T221" i="697"/>
  <c r="T222" i="697"/>
  <c r="T223" i="697"/>
  <c r="T224" i="697"/>
  <c r="T225" i="697"/>
  <c r="T226" i="697"/>
  <c r="T227" i="697"/>
  <c r="T228" i="697"/>
  <c r="U2" i="697"/>
  <c r="Y2" i="697" s="1"/>
  <c r="U3" i="697"/>
  <c r="U4" i="697"/>
  <c r="Y4" i="697" s="1"/>
  <c r="U5" i="697"/>
  <c r="Y5" i="697" s="1"/>
  <c r="U6" i="697"/>
  <c r="Y6" i="697" s="1"/>
  <c r="U7" i="697"/>
  <c r="U8" i="697"/>
  <c r="Y8" i="697" s="1"/>
  <c r="U9" i="697"/>
  <c r="Y9" i="697" s="1"/>
  <c r="U10" i="697"/>
  <c r="U11" i="697"/>
  <c r="Y11" i="697" s="1"/>
  <c r="U12" i="697"/>
  <c r="Y12" i="697" s="1"/>
  <c r="U13" i="697"/>
  <c r="Y13" i="697" s="1"/>
  <c r="U14" i="697"/>
  <c r="Y14" i="697" s="1"/>
  <c r="U15" i="697"/>
  <c r="Y15" i="697" s="1"/>
  <c r="U16" i="697"/>
  <c r="Y16" i="697" s="1"/>
  <c r="U17" i="697"/>
  <c r="Y17" i="697" s="1"/>
  <c r="U18" i="697"/>
  <c r="Y18" i="697" s="1"/>
  <c r="U19" i="697"/>
  <c r="U20" i="697"/>
  <c r="Y20" i="697" s="1"/>
  <c r="U21" i="697"/>
  <c r="Y21" i="697" s="1"/>
  <c r="U22" i="697"/>
  <c r="Y22" i="697" s="1"/>
  <c r="U23" i="697"/>
  <c r="Y23" i="697" s="1"/>
  <c r="U24" i="697"/>
  <c r="Y24" i="697" s="1"/>
  <c r="U25" i="697"/>
  <c r="Y25" i="697" s="1"/>
  <c r="U26" i="697"/>
  <c r="Y26" i="697" s="1"/>
  <c r="U27" i="697"/>
  <c r="Y27" i="697" s="1"/>
  <c r="U28" i="697"/>
  <c r="Y28" i="697" s="1"/>
  <c r="U29" i="697"/>
  <c r="Y29" i="697" s="1"/>
  <c r="U30" i="697"/>
  <c r="Y30" i="697" s="1"/>
  <c r="U31" i="697"/>
  <c r="Y31" i="697" s="1"/>
  <c r="U32" i="697"/>
  <c r="Y32" i="697" s="1"/>
  <c r="U33" i="697"/>
  <c r="Y33" i="697" s="1"/>
  <c r="U34" i="697"/>
  <c r="Y34" i="697" s="1"/>
  <c r="U35" i="697"/>
  <c r="U36" i="697"/>
  <c r="Y36" i="697" s="1"/>
  <c r="U37" i="697"/>
  <c r="Y37" i="697" s="1"/>
  <c r="U38" i="697"/>
  <c r="Y38" i="697" s="1"/>
  <c r="U39" i="697"/>
  <c r="Y39" i="697" s="1"/>
  <c r="U40" i="697"/>
  <c r="Y40" i="697" s="1"/>
  <c r="U41" i="697"/>
  <c r="Y41" i="697" s="1"/>
  <c r="U42" i="697"/>
  <c r="Y42" i="697" s="1"/>
  <c r="U43" i="697"/>
  <c r="U44" i="697"/>
  <c r="Y44" i="697" s="1"/>
  <c r="U45" i="697"/>
  <c r="Y45" i="697" s="1"/>
  <c r="U46" i="697"/>
  <c r="Y46" i="697" s="1"/>
  <c r="U47" i="697"/>
  <c r="Y47" i="697" s="1"/>
  <c r="U48" i="697"/>
  <c r="Y48" i="697" s="1"/>
  <c r="U49" i="697"/>
  <c r="Y49" i="697" s="1"/>
  <c r="U50" i="697"/>
  <c r="Y50" i="697" s="1"/>
  <c r="U51" i="697"/>
  <c r="U52" i="697"/>
  <c r="Y52" i="697" s="1"/>
  <c r="U53" i="697"/>
  <c r="Y53" i="697" s="1"/>
  <c r="U54" i="697"/>
  <c r="Y54" i="697" s="1"/>
  <c r="U55" i="697"/>
  <c r="Y55" i="697" s="1"/>
  <c r="U56" i="697"/>
  <c r="Y56" i="697" s="1"/>
  <c r="U57" i="697"/>
  <c r="Y57" i="697" s="1"/>
  <c r="U58" i="697"/>
  <c r="Y58" i="697" s="1"/>
  <c r="U59" i="697"/>
  <c r="U60" i="697"/>
  <c r="Y60" i="697" s="1"/>
  <c r="U61" i="697"/>
  <c r="Y61" i="697" s="1"/>
  <c r="U62" i="697"/>
  <c r="Y62" i="697" s="1"/>
  <c r="U63" i="697"/>
  <c r="Y63" i="697" s="1"/>
  <c r="U64" i="697"/>
  <c r="U65" i="697"/>
  <c r="Y65" i="697" s="1"/>
  <c r="U66" i="697"/>
  <c r="Y66" i="697" s="1"/>
  <c r="U67" i="697"/>
  <c r="Y67" i="697" s="1"/>
  <c r="U68" i="697"/>
  <c r="U69" i="697"/>
  <c r="Y69" i="697" s="1"/>
  <c r="U70" i="697"/>
  <c r="Y70" i="697" s="1"/>
  <c r="U71" i="697"/>
  <c r="Y71" i="697" s="1"/>
  <c r="U72" i="697"/>
  <c r="U73" i="697"/>
  <c r="Y73" i="697" s="1"/>
  <c r="U74" i="697"/>
  <c r="Y74" i="697" s="1"/>
  <c r="U75" i="697"/>
  <c r="Y75" i="697" s="1"/>
  <c r="U76" i="697"/>
  <c r="Y76" i="697" s="1"/>
  <c r="U77" i="697"/>
  <c r="Y77" i="697" s="1"/>
  <c r="U78" i="697"/>
  <c r="Y78" i="697" s="1"/>
  <c r="U79" i="697"/>
  <c r="Y79" i="697" s="1"/>
  <c r="U80" i="697"/>
  <c r="U81" i="697"/>
  <c r="Y81" i="697" s="1"/>
  <c r="U82" i="697"/>
  <c r="Y82" i="697" s="1"/>
  <c r="U83" i="697"/>
  <c r="Y83" i="697" s="1"/>
  <c r="U84" i="697"/>
  <c r="U85" i="697"/>
  <c r="Y85" i="697" s="1"/>
  <c r="U86" i="697"/>
  <c r="Y86" i="697" s="1"/>
  <c r="U87" i="697"/>
  <c r="Y87" i="697" s="1"/>
  <c r="U88" i="697"/>
  <c r="U89" i="697"/>
  <c r="Y89" i="697" s="1"/>
  <c r="U90" i="697"/>
  <c r="Y90" i="697" s="1"/>
  <c r="U91" i="697"/>
  <c r="Y91" i="697" s="1"/>
  <c r="U92" i="697"/>
  <c r="U93" i="697"/>
  <c r="Y93" i="697" s="1"/>
  <c r="U94" i="697"/>
  <c r="Y94" i="697" s="1"/>
  <c r="U95" i="697"/>
  <c r="Y95" i="697" s="1"/>
  <c r="U96" i="697"/>
  <c r="U97" i="697"/>
  <c r="Y97" i="697" s="1"/>
  <c r="U98" i="697"/>
  <c r="Y98" i="697" s="1"/>
  <c r="U99" i="697"/>
  <c r="Y99" i="697" s="1"/>
  <c r="U100" i="697"/>
  <c r="U101" i="697"/>
  <c r="Y101" i="697" s="1"/>
  <c r="U102" i="697"/>
  <c r="Y102" i="697" s="1"/>
  <c r="U103" i="697"/>
  <c r="Y103" i="697" s="1"/>
  <c r="U104" i="697"/>
  <c r="Y104" i="697" s="1"/>
  <c r="U105" i="697"/>
  <c r="Y105" i="697" s="1"/>
  <c r="U106" i="697"/>
  <c r="U107" i="697"/>
  <c r="Y107" i="697" s="1"/>
  <c r="U108" i="697"/>
  <c r="Y108" i="697" s="1"/>
  <c r="U109" i="697"/>
  <c r="Y109" i="697" s="1"/>
  <c r="U110" i="697"/>
  <c r="Y110" i="697" s="1"/>
  <c r="U111" i="697"/>
  <c r="Y111" i="697" s="1"/>
  <c r="U112" i="697"/>
  <c r="Y112" i="697" s="1"/>
  <c r="U113" i="697"/>
  <c r="Y113" i="697" s="1"/>
  <c r="U114" i="697"/>
  <c r="Y114" i="697" s="1"/>
  <c r="U115" i="697"/>
  <c r="Y115" i="697" s="1"/>
  <c r="U116" i="697"/>
  <c r="Y116" i="697" s="1"/>
  <c r="U117" i="697"/>
  <c r="Y117" i="697" s="1"/>
  <c r="U118" i="697"/>
  <c r="Y118" i="697" s="1"/>
  <c r="U119" i="697"/>
  <c r="Y119" i="697" s="1"/>
  <c r="U120" i="697"/>
  <c r="Y120" i="697" s="1"/>
  <c r="U121" i="697"/>
  <c r="Y121" i="697" s="1"/>
  <c r="U122" i="697"/>
  <c r="Y122" i="697" s="1"/>
  <c r="U123" i="697"/>
  <c r="Y123" i="697" s="1"/>
  <c r="U124" i="697"/>
  <c r="Y124" i="697" s="1"/>
  <c r="U125" i="697"/>
  <c r="Y125" i="697" s="1"/>
  <c r="U126" i="697"/>
  <c r="Y126" i="697" s="1"/>
  <c r="U127" i="697"/>
  <c r="Y127" i="697" s="1"/>
  <c r="U128" i="697"/>
  <c r="Y128" i="697" s="1"/>
  <c r="U129" i="697"/>
  <c r="Y129" i="697" s="1"/>
  <c r="U130" i="697"/>
  <c r="Y130" i="697" s="1"/>
  <c r="U131" i="697"/>
  <c r="Y131" i="697" s="1"/>
  <c r="U132" i="697"/>
  <c r="Y132" i="697" s="1"/>
  <c r="U133" i="697"/>
  <c r="Y133" i="697" s="1"/>
  <c r="U134" i="697"/>
  <c r="Y134" i="697" s="1"/>
  <c r="U135" i="697"/>
  <c r="Y135" i="697" s="1"/>
  <c r="U136" i="697"/>
  <c r="Y136" i="697" s="1"/>
  <c r="U137" i="697"/>
  <c r="Y137" i="697" s="1"/>
  <c r="U138" i="697"/>
  <c r="Y138" i="697" s="1"/>
  <c r="U139" i="697"/>
  <c r="Y139" i="697" s="1"/>
  <c r="U140" i="697"/>
  <c r="Y140" i="697" s="1"/>
  <c r="U141" i="697"/>
  <c r="Y141" i="697" s="1"/>
  <c r="U142" i="697"/>
  <c r="Y142" i="697" s="1"/>
  <c r="U143" i="697"/>
  <c r="Y143" i="697" s="1"/>
  <c r="U144" i="697"/>
  <c r="Y144" i="697" s="1"/>
  <c r="U145" i="697"/>
  <c r="Y145" i="697" s="1"/>
  <c r="U146" i="697"/>
  <c r="Y146" i="697" s="1"/>
  <c r="U147" i="697"/>
  <c r="Y147" i="697" s="1"/>
  <c r="U148" i="697"/>
  <c r="Y148" i="697" s="1"/>
  <c r="U149" i="697"/>
  <c r="Y149" i="697" s="1"/>
  <c r="U150" i="697"/>
  <c r="Y150" i="697" s="1"/>
  <c r="U151" i="697"/>
  <c r="Y151" i="697" s="1"/>
  <c r="U152" i="697"/>
  <c r="Y152" i="697" s="1"/>
  <c r="U153" i="697"/>
  <c r="Y153" i="697" s="1"/>
  <c r="U154" i="697"/>
  <c r="Y154" i="697" s="1"/>
  <c r="U155" i="697"/>
  <c r="Y155" i="697" s="1"/>
  <c r="U156" i="697"/>
  <c r="Y156" i="697" s="1"/>
  <c r="U157" i="697"/>
  <c r="Y157" i="697" s="1"/>
  <c r="U158" i="697"/>
  <c r="Y158" i="697" s="1"/>
  <c r="U159" i="697"/>
  <c r="Y159" i="697" s="1"/>
  <c r="U160" i="697"/>
  <c r="Y160" i="697" s="1"/>
  <c r="U161" i="697"/>
  <c r="Y161" i="697" s="1"/>
  <c r="U162" i="697"/>
  <c r="Y162" i="697" s="1"/>
  <c r="U163" i="697"/>
  <c r="Y163" i="697" s="1"/>
  <c r="U164" i="697"/>
  <c r="Y164" i="697" s="1"/>
  <c r="U165" i="697"/>
  <c r="Y165" i="697" s="1"/>
  <c r="U166" i="697"/>
  <c r="Y166" i="697" s="1"/>
  <c r="U167" i="697"/>
  <c r="Y167" i="697" s="1"/>
  <c r="U168" i="697"/>
  <c r="Y168" i="697" s="1"/>
  <c r="U169" i="697"/>
  <c r="Y169" i="697" s="1"/>
  <c r="U170" i="697"/>
  <c r="Y170" i="697" s="1"/>
  <c r="U171" i="697"/>
  <c r="Y171" i="697" s="1"/>
  <c r="U172" i="697"/>
  <c r="Y172" i="697" s="1"/>
  <c r="U173" i="697"/>
  <c r="Y173" i="697" s="1"/>
  <c r="U174" i="697"/>
  <c r="Y174" i="697" s="1"/>
  <c r="U175" i="697"/>
  <c r="Y175" i="697" s="1"/>
  <c r="U176" i="697"/>
  <c r="Y176" i="697" s="1"/>
  <c r="U177" i="697"/>
  <c r="Y177" i="697" s="1"/>
  <c r="U178" i="697"/>
  <c r="Y178" i="697" s="1"/>
  <c r="U179" i="697"/>
  <c r="Y179" i="697" s="1"/>
  <c r="U180" i="697"/>
  <c r="Y180" i="697" s="1"/>
  <c r="U181" i="697"/>
  <c r="Y181" i="697" s="1"/>
  <c r="U182" i="697"/>
  <c r="Y182" i="697" s="1"/>
  <c r="U183" i="697"/>
  <c r="Y183" i="697" s="1"/>
  <c r="U184" i="697"/>
  <c r="Y184" i="697" s="1"/>
  <c r="U185" i="697"/>
  <c r="Y185" i="697" s="1"/>
  <c r="U186" i="697"/>
  <c r="Y186" i="697" s="1"/>
  <c r="U187" i="697"/>
  <c r="Y187" i="697" s="1"/>
  <c r="U188" i="697"/>
  <c r="Y188" i="697" s="1"/>
  <c r="U189" i="697"/>
  <c r="Y189" i="697" s="1"/>
  <c r="U190" i="697"/>
  <c r="Y190" i="697" s="1"/>
  <c r="U191" i="697"/>
  <c r="Y191" i="697" s="1"/>
  <c r="U192" i="697"/>
  <c r="Y192" i="697" s="1"/>
  <c r="U193" i="697"/>
  <c r="Y193" i="697" s="1"/>
  <c r="U194" i="697"/>
  <c r="Y194" i="697" s="1"/>
  <c r="U195" i="697"/>
  <c r="Y195" i="697" s="1"/>
  <c r="U196" i="697"/>
  <c r="Y196" i="697" s="1"/>
  <c r="U197" i="697"/>
  <c r="Y197" i="697" s="1"/>
  <c r="U198" i="697"/>
  <c r="Y198" i="697" s="1"/>
  <c r="U199" i="697"/>
  <c r="Y199" i="697" s="1"/>
  <c r="U200" i="697"/>
  <c r="Y200" i="697" s="1"/>
  <c r="U201" i="697"/>
  <c r="Y201" i="697" s="1"/>
  <c r="U202" i="697"/>
  <c r="Y202" i="697" s="1"/>
  <c r="U203" i="697"/>
  <c r="Y203" i="697" s="1"/>
  <c r="U204" i="697"/>
  <c r="Y204" i="697" s="1"/>
  <c r="U205" i="697"/>
  <c r="Y205" i="697" s="1"/>
  <c r="U206" i="697"/>
  <c r="Y206" i="697" s="1"/>
  <c r="U207" i="697"/>
  <c r="Y207" i="697" s="1"/>
  <c r="U208" i="697"/>
  <c r="Y208" i="697" s="1"/>
  <c r="U209" i="697"/>
  <c r="Y209" i="697" s="1"/>
  <c r="U210" i="697"/>
  <c r="Y210" i="697" s="1"/>
  <c r="U211" i="697"/>
  <c r="Y211" i="697" s="1"/>
  <c r="U212" i="697"/>
  <c r="Y212" i="697" s="1"/>
  <c r="U213" i="697"/>
  <c r="Y213" i="697" s="1"/>
  <c r="U214" i="697"/>
  <c r="Y214" i="697" s="1"/>
  <c r="U215" i="697"/>
  <c r="Y215" i="697" s="1"/>
  <c r="U216" i="697"/>
  <c r="Y216" i="697" s="1"/>
  <c r="U217" i="697"/>
  <c r="Y217" i="697" s="1"/>
  <c r="U218" i="697"/>
  <c r="Y218" i="697" s="1"/>
  <c r="U219" i="697"/>
  <c r="Y219" i="697" s="1"/>
  <c r="U220" i="697"/>
  <c r="Y220" i="697" s="1"/>
  <c r="U221" i="697"/>
  <c r="Y221" i="697" s="1"/>
  <c r="U222" i="697"/>
  <c r="Y222" i="697" s="1"/>
  <c r="U223" i="697"/>
  <c r="Y223" i="697" s="1"/>
  <c r="U224" i="697"/>
  <c r="Y224" i="697" s="1"/>
  <c r="U225" i="697"/>
  <c r="Y225" i="697" s="1"/>
  <c r="U226" i="697"/>
  <c r="Y226" i="697" s="1"/>
  <c r="U227" i="697"/>
  <c r="Y227" i="697" s="1"/>
  <c r="U228" i="697"/>
  <c r="Y228" i="697" s="1"/>
  <c r="V2" i="697"/>
  <c r="W2" i="697" s="1"/>
  <c r="V3" i="697"/>
  <c r="W3" i="697" s="1"/>
  <c r="V4" i="697"/>
  <c r="W4" i="697" s="1"/>
  <c r="V5" i="697"/>
  <c r="W5" i="697" s="1"/>
  <c r="V6" i="697"/>
  <c r="W6" i="697" s="1"/>
  <c r="V7" i="697"/>
  <c r="W7" i="697" s="1"/>
  <c r="V8" i="697"/>
  <c r="W8" i="697" s="1"/>
  <c r="V9" i="697"/>
  <c r="W9" i="697" s="1"/>
  <c r="V10" i="697"/>
  <c r="W10" i="697" s="1"/>
  <c r="V11" i="697"/>
  <c r="W11" i="697" s="1"/>
  <c r="V12" i="697"/>
  <c r="W12" i="697" s="1"/>
  <c r="V13" i="697"/>
  <c r="W13" i="697" s="1"/>
  <c r="V14" i="697"/>
  <c r="W14" i="697" s="1"/>
  <c r="V15" i="697"/>
  <c r="W15" i="697" s="1"/>
  <c r="V16" i="697"/>
  <c r="W16" i="697" s="1"/>
  <c r="V17" i="697"/>
  <c r="W17" i="697" s="1"/>
  <c r="V18" i="697"/>
  <c r="W18" i="697" s="1"/>
  <c r="V19" i="697"/>
  <c r="W19" i="697" s="1"/>
  <c r="V20" i="697"/>
  <c r="W20" i="697" s="1"/>
  <c r="V21" i="697"/>
  <c r="W21" i="697" s="1"/>
  <c r="V22" i="697"/>
  <c r="W22" i="697" s="1"/>
  <c r="V23" i="697"/>
  <c r="V24" i="697"/>
  <c r="W24" i="697" s="1"/>
  <c r="V25" i="697"/>
  <c r="W25" i="697" s="1"/>
  <c r="V26" i="697"/>
  <c r="W26" i="697" s="1"/>
  <c r="V27" i="697"/>
  <c r="W27" i="697" s="1"/>
  <c r="V28" i="697"/>
  <c r="W28" i="697" s="1"/>
  <c r="V29" i="697"/>
  <c r="W29" i="697" s="1"/>
  <c r="V30" i="697"/>
  <c r="W30" i="697" s="1"/>
  <c r="V31" i="697"/>
  <c r="W31" i="697" s="1"/>
  <c r="V32" i="697"/>
  <c r="W32" i="697" s="1"/>
  <c r="V33" i="697"/>
  <c r="W33" i="697" s="1"/>
  <c r="V34" i="697"/>
  <c r="W34" i="697" s="1"/>
  <c r="V35" i="697"/>
  <c r="W35" i="697" s="1"/>
  <c r="V36" i="697"/>
  <c r="W36" i="697" s="1"/>
  <c r="V37" i="697"/>
  <c r="W37" i="697" s="1"/>
  <c r="V38" i="697"/>
  <c r="W38" i="697" s="1"/>
  <c r="V39" i="697"/>
  <c r="W39" i="697" s="1"/>
  <c r="V40" i="697"/>
  <c r="W40" i="697" s="1"/>
  <c r="V41" i="697"/>
  <c r="W41" i="697" s="1"/>
  <c r="V42" i="697"/>
  <c r="W42" i="697" s="1"/>
  <c r="V43" i="697"/>
  <c r="W43" i="697" s="1"/>
  <c r="V44" i="697"/>
  <c r="W44" i="697" s="1"/>
  <c r="V45" i="697"/>
  <c r="W45" i="697" s="1"/>
  <c r="V46" i="697"/>
  <c r="W46" i="697" s="1"/>
  <c r="V47" i="697"/>
  <c r="W47" i="697" s="1"/>
  <c r="V48" i="697"/>
  <c r="W48" i="697" s="1"/>
  <c r="V49" i="697"/>
  <c r="W49" i="697" s="1"/>
  <c r="V50" i="697"/>
  <c r="W50" i="697" s="1"/>
  <c r="V51" i="697"/>
  <c r="W51" i="697" s="1"/>
  <c r="V52" i="697"/>
  <c r="W52" i="697" s="1"/>
  <c r="V53" i="697"/>
  <c r="W53" i="697" s="1"/>
  <c r="V54" i="697"/>
  <c r="W54" i="697" s="1"/>
  <c r="V55" i="697"/>
  <c r="W55" i="697" s="1"/>
  <c r="V56" i="697"/>
  <c r="W56" i="697" s="1"/>
  <c r="V57" i="697"/>
  <c r="W57" i="697" s="1"/>
  <c r="V58" i="697"/>
  <c r="W58" i="697" s="1"/>
  <c r="V59" i="697"/>
  <c r="W59" i="697" s="1"/>
  <c r="V60" i="697"/>
  <c r="W60" i="697" s="1"/>
  <c r="V61" i="697"/>
  <c r="W61" i="697" s="1"/>
  <c r="V62" i="697"/>
  <c r="W62" i="697" s="1"/>
  <c r="V63" i="697"/>
  <c r="W63" i="697" s="1"/>
  <c r="V64" i="697"/>
  <c r="W64" i="697" s="1"/>
  <c r="V65" i="697"/>
  <c r="W65" i="697" s="1"/>
  <c r="V66" i="697"/>
  <c r="W66" i="697" s="1"/>
  <c r="V67" i="697"/>
  <c r="W67" i="697" s="1"/>
  <c r="V68" i="697"/>
  <c r="W68" i="697" s="1"/>
  <c r="V69" i="697"/>
  <c r="W69" i="697" s="1"/>
  <c r="V70" i="697"/>
  <c r="W70" i="697" s="1"/>
  <c r="V71" i="697"/>
  <c r="W71" i="697" s="1"/>
  <c r="V72" i="697"/>
  <c r="W72" i="697" s="1"/>
  <c r="V73" i="697"/>
  <c r="W73" i="697" s="1"/>
  <c r="V74" i="697"/>
  <c r="W74" i="697" s="1"/>
  <c r="V75" i="697"/>
  <c r="W75" i="697" s="1"/>
  <c r="V76" i="697"/>
  <c r="W76" i="697" s="1"/>
  <c r="V77" i="697"/>
  <c r="W77" i="697" s="1"/>
  <c r="V78" i="697"/>
  <c r="W78" i="697" s="1"/>
  <c r="V79" i="697"/>
  <c r="W79" i="697" s="1"/>
  <c r="V80" i="697"/>
  <c r="W80" i="697" s="1"/>
  <c r="V81" i="697"/>
  <c r="W81" i="697" s="1"/>
  <c r="V82" i="697"/>
  <c r="W82" i="697" s="1"/>
  <c r="V83" i="697"/>
  <c r="W83" i="697" s="1"/>
  <c r="V84" i="697"/>
  <c r="W84" i="697" s="1"/>
  <c r="V85" i="697"/>
  <c r="W85" i="697" s="1"/>
  <c r="V86" i="697"/>
  <c r="W86" i="697" s="1"/>
  <c r="V87" i="697"/>
  <c r="W87" i="697" s="1"/>
  <c r="V88" i="697"/>
  <c r="W88" i="697" s="1"/>
  <c r="V89" i="697"/>
  <c r="W89" i="697" s="1"/>
  <c r="V90" i="697"/>
  <c r="W90" i="697" s="1"/>
  <c r="V91" i="697"/>
  <c r="W91" i="697" s="1"/>
  <c r="V92" i="697"/>
  <c r="W92" i="697" s="1"/>
  <c r="V93" i="697"/>
  <c r="W93" i="697" s="1"/>
  <c r="V94" i="697"/>
  <c r="W94" i="697" s="1"/>
  <c r="V95" i="697"/>
  <c r="W95" i="697" s="1"/>
  <c r="V96" i="697"/>
  <c r="W96" i="697" s="1"/>
  <c r="V97" i="697"/>
  <c r="W97" i="697" s="1"/>
  <c r="V98" i="697"/>
  <c r="W98" i="697" s="1"/>
  <c r="V99" i="697"/>
  <c r="W99" i="697" s="1"/>
  <c r="V100" i="697"/>
  <c r="W100" i="697" s="1"/>
  <c r="V101" i="697"/>
  <c r="W101" i="697" s="1"/>
  <c r="V102" i="697"/>
  <c r="W102" i="697" s="1"/>
  <c r="V103" i="697"/>
  <c r="W103" i="697" s="1"/>
  <c r="V104" i="697"/>
  <c r="W104" i="697" s="1"/>
  <c r="V105" i="697"/>
  <c r="W105" i="697" s="1"/>
  <c r="V106" i="697"/>
  <c r="W106" i="697" s="1"/>
  <c r="V107" i="697"/>
  <c r="V108" i="697"/>
  <c r="W108" i="697" s="1"/>
  <c r="V109" i="697"/>
  <c r="W109" i="697" s="1"/>
  <c r="V110" i="697"/>
  <c r="W110" i="697" s="1"/>
  <c r="V111" i="697"/>
  <c r="W111" i="697" s="1"/>
  <c r="V112" i="697"/>
  <c r="W112" i="697" s="1"/>
  <c r="V113" i="697"/>
  <c r="W113" i="697" s="1"/>
  <c r="V114" i="697"/>
  <c r="W114" i="697" s="1"/>
  <c r="V115" i="697"/>
  <c r="W115" i="697" s="1"/>
  <c r="V116" i="697"/>
  <c r="W116" i="697" s="1"/>
  <c r="V117" i="697"/>
  <c r="W117" i="697" s="1"/>
  <c r="V118" i="697"/>
  <c r="W118" i="697" s="1"/>
  <c r="V119" i="697"/>
  <c r="W119" i="697" s="1"/>
  <c r="V120" i="697"/>
  <c r="W120" i="697" s="1"/>
  <c r="V121" i="697"/>
  <c r="W121" i="697" s="1"/>
  <c r="V122" i="697"/>
  <c r="W122" i="697" s="1"/>
  <c r="V123" i="697"/>
  <c r="W123" i="697" s="1"/>
  <c r="V124" i="697"/>
  <c r="W124" i="697" s="1"/>
  <c r="V125" i="697"/>
  <c r="W125" i="697" s="1"/>
  <c r="V126" i="697"/>
  <c r="W126" i="697" s="1"/>
  <c r="V127" i="697"/>
  <c r="W127" i="697" s="1"/>
  <c r="V128" i="697"/>
  <c r="W128" i="697" s="1"/>
  <c r="V129" i="697"/>
  <c r="W129" i="697" s="1"/>
  <c r="V130" i="697"/>
  <c r="W130" i="697" s="1"/>
  <c r="V131" i="697"/>
  <c r="W131" i="697" s="1"/>
  <c r="V132" i="697"/>
  <c r="W132" i="697" s="1"/>
  <c r="V133" i="697"/>
  <c r="W133" i="697" s="1"/>
  <c r="V134" i="697"/>
  <c r="W134" i="697" s="1"/>
  <c r="V135" i="697"/>
  <c r="W135" i="697" s="1"/>
  <c r="V136" i="697"/>
  <c r="W136" i="697" s="1"/>
  <c r="V137" i="697"/>
  <c r="W137" i="697" s="1"/>
  <c r="V138" i="697"/>
  <c r="W138" i="697" s="1"/>
  <c r="V139" i="697"/>
  <c r="W139" i="697" s="1"/>
  <c r="V140" i="697"/>
  <c r="W140" i="697" s="1"/>
  <c r="V141" i="697"/>
  <c r="W141" i="697" s="1"/>
  <c r="V142" i="697"/>
  <c r="W142" i="697" s="1"/>
  <c r="V143" i="697"/>
  <c r="W143" i="697" s="1"/>
  <c r="V144" i="697"/>
  <c r="W144" i="697" s="1"/>
  <c r="V145" i="697"/>
  <c r="W145" i="697" s="1"/>
  <c r="V146" i="697"/>
  <c r="W146" i="697" s="1"/>
  <c r="V147" i="697"/>
  <c r="W147" i="697" s="1"/>
  <c r="V148" i="697"/>
  <c r="W148" i="697" s="1"/>
  <c r="V149" i="697"/>
  <c r="W149" i="697" s="1"/>
  <c r="V150" i="697"/>
  <c r="W150" i="697" s="1"/>
  <c r="V151" i="697"/>
  <c r="W151" i="697" s="1"/>
  <c r="V152" i="697"/>
  <c r="W152" i="697" s="1"/>
  <c r="V153" i="697"/>
  <c r="W153" i="697" s="1"/>
  <c r="V154" i="697"/>
  <c r="W154" i="697" s="1"/>
  <c r="V155" i="697"/>
  <c r="W155" i="697" s="1"/>
  <c r="V156" i="697"/>
  <c r="W156" i="697" s="1"/>
  <c r="V157" i="697"/>
  <c r="W157" i="697" s="1"/>
  <c r="V158" i="697"/>
  <c r="W158" i="697" s="1"/>
  <c r="V159" i="697"/>
  <c r="W159" i="697" s="1"/>
  <c r="V160" i="697"/>
  <c r="W160" i="697" s="1"/>
  <c r="V161" i="697"/>
  <c r="W161" i="697" s="1"/>
  <c r="V162" i="697"/>
  <c r="W162" i="697" s="1"/>
  <c r="V163" i="697"/>
  <c r="V164" i="697"/>
  <c r="W164" i="697" s="1"/>
  <c r="V165" i="697"/>
  <c r="W165" i="697" s="1"/>
  <c r="V166" i="697"/>
  <c r="W166" i="697" s="1"/>
  <c r="V167" i="697"/>
  <c r="W167" i="697" s="1"/>
  <c r="V168" i="697"/>
  <c r="W168" i="697" s="1"/>
  <c r="V169" i="697"/>
  <c r="W169" i="697" s="1"/>
  <c r="V170" i="697"/>
  <c r="W170" i="697" s="1"/>
  <c r="V171" i="697"/>
  <c r="W171" i="697" s="1"/>
  <c r="V172" i="697"/>
  <c r="W172" i="697" s="1"/>
  <c r="V173" i="697"/>
  <c r="W173" i="697" s="1"/>
  <c r="V174" i="697"/>
  <c r="W174" i="697" s="1"/>
  <c r="V175" i="697"/>
  <c r="W175" i="697" s="1"/>
  <c r="V176" i="697"/>
  <c r="W176" i="697" s="1"/>
  <c r="V177" i="697"/>
  <c r="W177" i="697" s="1"/>
  <c r="V178" i="697"/>
  <c r="W178" i="697" s="1"/>
  <c r="V179" i="697"/>
  <c r="W179" i="697" s="1"/>
  <c r="V180" i="697"/>
  <c r="W180" i="697" s="1"/>
  <c r="V181" i="697"/>
  <c r="W181" i="697" s="1"/>
  <c r="V182" i="697"/>
  <c r="W182" i="697" s="1"/>
  <c r="V183" i="697"/>
  <c r="W183" i="697" s="1"/>
  <c r="V184" i="697"/>
  <c r="W184" i="697" s="1"/>
  <c r="V185" i="697"/>
  <c r="W185" i="697" s="1"/>
  <c r="V186" i="697"/>
  <c r="W186" i="697" s="1"/>
  <c r="V187" i="697"/>
  <c r="W187" i="697" s="1"/>
  <c r="V188" i="697"/>
  <c r="W188" i="697" s="1"/>
  <c r="V189" i="697"/>
  <c r="W189" i="697" s="1"/>
  <c r="V190" i="697"/>
  <c r="W190" i="697" s="1"/>
  <c r="V191" i="697"/>
  <c r="W191" i="697" s="1"/>
  <c r="V192" i="697"/>
  <c r="W192" i="697" s="1"/>
  <c r="V193" i="697"/>
  <c r="W193" i="697" s="1"/>
  <c r="V194" i="697"/>
  <c r="W194" i="697" s="1"/>
  <c r="V195" i="697"/>
  <c r="W195" i="697" s="1"/>
  <c r="V196" i="697"/>
  <c r="W196" i="697" s="1"/>
  <c r="V197" i="697"/>
  <c r="W197" i="697" s="1"/>
  <c r="V198" i="697"/>
  <c r="W198" i="697" s="1"/>
  <c r="V199" i="697"/>
  <c r="W199" i="697" s="1"/>
  <c r="V200" i="697"/>
  <c r="W200" i="697" s="1"/>
  <c r="V201" i="697"/>
  <c r="W201" i="697" s="1"/>
  <c r="V202" i="697"/>
  <c r="W202" i="697" s="1"/>
  <c r="V203" i="697"/>
  <c r="V204" i="697"/>
  <c r="W204" i="697" s="1"/>
  <c r="V205" i="697"/>
  <c r="W205" i="697" s="1"/>
  <c r="V206" i="697"/>
  <c r="W206" i="697" s="1"/>
  <c r="V207" i="697"/>
  <c r="W207" i="697" s="1"/>
  <c r="V208" i="697"/>
  <c r="W208" i="697" s="1"/>
  <c r="V209" i="697"/>
  <c r="W209" i="697" s="1"/>
  <c r="V210" i="697"/>
  <c r="W210" i="697" s="1"/>
  <c r="V211" i="697"/>
  <c r="W211" i="697" s="1"/>
  <c r="V212" i="697"/>
  <c r="W212" i="697" s="1"/>
  <c r="V213" i="697"/>
  <c r="W213" i="697" s="1"/>
  <c r="V214" i="697"/>
  <c r="W214" i="697" s="1"/>
  <c r="V215" i="697"/>
  <c r="W215" i="697" s="1"/>
  <c r="V216" i="697"/>
  <c r="W216" i="697" s="1"/>
  <c r="V217" i="697"/>
  <c r="W217" i="697" s="1"/>
  <c r="V218" i="697"/>
  <c r="W218" i="697" s="1"/>
  <c r="V219" i="697"/>
  <c r="W219" i="697" s="1"/>
  <c r="V220" i="697"/>
  <c r="W220" i="697" s="1"/>
  <c r="V221" i="697"/>
  <c r="W221" i="697" s="1"/>
  <c r="V222" i="697"/>
  <c r="W222" i="697" s="1"/>
  <c r="V223" i="697"/>
  <c r="W223" i="697" s="1"/>
  <c r="V224" i="697"/>
  <c r="W224" i="697" s="1"/>
  <c r="V225" i="697"/>
  <c r="W225" i="697" s="1"/>
  <c r="V226" i="697"/>
  <c r="W226" i="697" s="1"/>
  <c r="V227" i="697"/>
  <c r="W227" i="697" s="1"/>
  <c r="V228" i="697"/>
  <c r="W228" i="697" s="1"/>
  <c r="W23" i="697"/>
  <c r="W107" i="697"/>
  <c r="W163" i="697"/>
  <c r="W203" i="697"/>
  <c r="Y10" i="697"/>
  <c r="Y106" i="697"/>
  <c r="Z2" i="697"/>
  <c r="Z3" i="697"/>
  <c r="Z4" i="697"/>
  <c r="Z5" i="697"/>
  <c r="Z6" i="697"/>
  <c r="Z7" i="697"/>
  <c r="Z8" i="697"/>
  <c r="Z9" i="697"/>
  <c r="Z10" i="697"/>
  <c r="Z11" i="697"/>
  <c r="Z12" i="697"/>
  <c r="Z13" i="697"/>
  <c r="Z14" i="697"/>
  <c r="Z15" i="697"/>
  <c r="Z16" i="697"/>
  <c r="Z17" i="697"/>
  <c r="Z18" i="697"/>
  <c r="Z19" i="697"/>
  <c r="Z20" i="697"/>
  <c r="Z21" i="697"/>
  <c r="Z22" i="697"/>
  <c r="Z23" i="697"/>
  <c r="Z24" i="697"/>
  <c r="Z25" i="697"/>
  <c r="Z26" i="697"/>
  <c r="Z27" i="697"/>
  <c r="Z28" i="697"/>
  <c r="Z29" i="697"/>
  <c r="Z30" i="697"/>
  <c r="Z31" i="697"/>
  <c r="Z32" i="697"/>
  <c r="Z33" i="697"/>
  <c r="Z34" i="697"/>
  <c r="Z35" i="697"/>
  <c r="Z36" i="697"/>
  <c r="Z37" i="697"/>
  <c r="Z38" i="697"/>
  <c r="Z39" i="697"/>
  <c r="Z40" i="697"/>
  <c r="Z41" i="697"/>
  <c r="Z42" i="697"/>
  <c r="Z43" i="697"/>
  <c r="Z44" i="697"/>
  <c r="Z45" i="697"/>
  <c r="Z46" i="697"/>
  <c r="Z47" i="697"/>
  <c r="Z48" i="697"/>
  <c r="Z49" i="697"/>
  <c r="Z50" i="697"/>
  <c r="Z51" i="697"/>
  <c r="Z52" i="697"/>
  <c r="Z53" i="697"/>
  <c r="Z54" i="697"/>
  <c r="Z55" i="697"/>
  <c r="Z56" i="697"/>
  <c r="Z57" i="697"/>
  <c r="Z58" i="697"/>
  <c r="Z59" i="697"/>
  <c r="Z60" i="697"/>
  <c r="Z61" i="697"/>
  <c r="Z62" i="697"/>
  <c r="Z63" i="697"/>
  <c r="Z64" i="697"/>
  <c r="Z65" i="697"/>
  <c r="Z66" i="697"/>
  <c r="Z67" i="697"/>
  <c r="Z68" i="697"/>
  <c r="Z69" i="697"/>
  <c r="Z70" i="697"/>
  <c r="Z71" i="697"/>
  <c r="Z72" i="697"/>
  <c r="Z73" i="697"/>
  <c r="Z74" i="697"/>
  <c r="Z75" i="697"/>
  <c r="Z76" i="697"/>
  <c r="Z77" i="697"/>
  <c r="Z78" i="697"/>
  <c r="Z79" i="697"/>
  <c r="Z80" i="697"/>
  <c r="Z81" i="697"/>
  <c r="Z82" i="697"/>
  <c r="Z83" i="697"/>
  <c r="Z84" i="697"/>
  <c r="Z85" i="697"/>
  <c r="Z86" i="697"/>
  <c r="Z87" i="697"/>
  <c r="Z88" i="697"/>
  <c r="Z89" i="697"/>
  <c r="Z90" i="697"/>
  <c r="Z91" i="697"/>
  <c r="Z92" i="697"/>
  <c r="Z93" i="697"/>
  <c r="Z94" i="697"/>
  <c r="Z95" i="697"/>
  <c r="Z96" i="697"/>
  <c r="Z97" i="697"/>
  <c r="Z98" i="697"/>
  <c r="Z99" i="697"/>
  <c r="Z100" i="697"/>
  <c r="Z101" i="697"/>
  <c r="Z102" i="697"/>
  <c r="Z103" i="697"/>
  <c r="Z104" i="697"/>
  <c r="Z105" i="697"/>
  <c r="Z106" i="697"/>
  <c r="Z107" i="697"/>
  <c r="Z108" i="697"/>
  <c r="Z109" i="697"/>
  <c r="Z110" i="697"/>
  <c r="Z111" i="697"/>
  <c r="Z112" i="697"/>
  <c r="Z113" i="697"/>
  <c r="Z114" i="697"/>
  <c r="Z115" i="697"/>
  <c r="Z116" i="697"/>
  <c r="Z117" i="697"/>
  <c r="Z118" i="697"/>
  <c r="Z119" i="697"/>
  <c r="Z120" i="697"/>
  <c r="Z121" i="697"/>
  <c r="Z122" i="697"/>
  <c r="Z123" i="697"/>
  <c r="Z124" i="697"/>
  <c r="Z125" i="697"/>
  <c r="Z126" i="697"/>
  <c r="Z127" i="697"/>
  <c r="Z128" i="697"/>
  <c r="Z129" i="697"/>
  <c r="Z130" i="697"/>
  <c r="Z131" i="697"/>
  <c r="Z132" i="697"/>
  <c r="Z133" i="697"/>
  <c r="Z134" i="697"/>
  <c r="Z135" i="697"/>
  <c r="Z136" i="697"/>
  <c r="Z137" i="697"/>
  <c r="Z138" i="697"/>
  <c r="Z139" i="697"/>
  <c r="Z140" i="697"/>
  <c r="Z141" i="697"/>
  <c r="Z142" i="697"/>
  <c r="Z143" i="697"/>
  <c r="Z144" i="697"/>
  <c r="Z145" i="697"/>
  <c r="Z146" i="697"/>
  <c r="Z147" i="697"/>
  <c r="Z148" i="697"/>
  <c r="Z149" i="697"/>
  <c r="Z150" i="697"/>
  <c r="Z151" i="697"/>
  <c r="Z152" i="697"/>
  <c r="Z153" i="697"/>
  <c r="Z154" i="697"/>
  <c r="Z155" i="697"/>
  <c r="Z156" i="697"/>
  <c r="Z157" i="697"/>
  <c r="Z158" i="697"/>
  <c r="Z159" i="697"/>
  <c r="Z160" i="697"/>
  <c r="Z161" i="697"/>
  <c r="Z162" i="697"/>
  <c r="Z163" i="697"/>
  <c r="Z164" i="697"/>
  <c r="Z165" i="697"/>
  <c r="Z166" i="697"/>
  <c r="Z167" i="697"/>
  <c r="Z168" i="697"/>
  <c r="Z169" i="697"/>
  <c r="Z170" i="697"/>
  <c r="Z171" i="697"/>
  <c r="Z172" i="697"/>
  <c r="Z173" i="697"/>
  <c r="Z174" i="697"/>
  <c r="Z175" i="697"/>
  <c r="Z176" i="697"/>
  <c r="Z177" i="697"/>
  <c r="Z178" i="697"/>
  <c r="Z179" i="697"/>
  <c r="Z180" i="697"/>
  <c r="Z181" i="697"/>
  <c r="Z182" i="697"/>
  <c r="Z183" i="697"/>
  <c r="Z184" i="697"/>
  <c r="Z185" i="697"/>
  <c r="Z186" i="697"/>
  <c r="Z187" i="697"/>
  <c r="Z188" i="697"/>
  <c r="Z189" i="697"/>
  <c r="Z190" i="697"/>
  <c r="Z191" i="697"/>
  <c r="Z192" i="697"/>
  <c r="Z193" i="697"/>
  <c r="Z194" i="697"/>
  <c r="Z195" i="697"/>
  <c r="Z196" i="697"/>
  <c r="Z197" i="697"/>
  <c r="Z198" i="697"/>
  <c r="Z199" i="697"/>
  <c r="Z200" i="697"/>
  <c r="Z201" i="697"/>
  <c r="Z202" i="697"/>
  <c r="Z203" i="697"/>
  <c r="Z204" i="697"/>
  <c r="Z205" i="697"/>
  <c r="Z206" i="697"/>
  <c r="Z207" i="697"/>
  <c r="Z208" i="697"/>
  <c r="Z209" i="697"/>
  <c r="Z210" i="697"/>
  <c r="Z211" i="697"/>
  <c r="Z212" i="697"/>
  <c r="Z213" i="697"/>
  <c r="Z214" i="697"/>
  <c r="Z215" i="697"/>
  <c r="Z216" i="697"/>
  <c r="Z217" i="697"/>
  <c r="Z218" i="697"/>
  <c r="Z219" i="697"/>
  <c r="Z220" i="697"/>
  <c r="Z221" i="697"/>
  <c r="Z222" i="697"/>
  <c r="Z223" i="697"/>
  <c r="Z224" i="697"/>
  <c r="Z225" i="697"/>
  <c r="Z226" i="697"/>
  <c r="Z227" i="697"/>
  <c r="Z228" i="697"/>
  <c r="D19" i="16"/>
  <c r="D14" i="16"/>
  <c r="D13" i="16"/>
  <c r="D7" i="16"/>
  <c r="C19" i="16"/>
  <c r="C14" i="16"/>
  <c r="C13" i="16"/>
  <c r="C12" i="16"/>
  <c r="C11" i="16"/>
  <c r="B11" i="16"/>
  <c r="AA7" i="157"/>
  <c r="AB7" i="157" s="1"/>
  <c r="AC7" i="157"/>
  <c r="X226" i="697" l="1"/>
  <c r="X206" i="697"/>
  <c r="X194" i="697"/>
  <c r="X178" i="697"/>
  <c r="X170" i="697"/>
  <c r="X162" i="697"/>
  <c r="X154" i="697"/>
  <c r="X146" i="697"/>
  <c r="X138" i="697"/>
  <c r="X130" i="697"/>
  <c r="X114" i="697"/>
  <c r="X106" i="697"/>
  <c r="X98" i="697"/>
  <c r="X90" i="697"/>
  <c r="X82" i="697"/>
  <c r="X74" i="697"/>
  <c r="X58" i="697"/>
  <c r="X54" i="697"/>
  <c r="X46" i="697"/>
  <c r="X38" i="697"/>
  <c r="X30" i="697"/>
  <c r="X22" i="697"/>
  <c r="X14" i="697"/>
  <c r="X2" i="697"/>
  <c r="X6" i="697"/>
  <c r="X218" i="697"/>
  <c r="X210" i="697"/>
  <c r="X198" i="697"/>
  <c r="X182" i="697"/>
  <c r="X174" i="697"/>
  <c r="X166" i="697"/>
  <c r="X158" i="697"/>
  <c r="X150" i="697"/>
  <c r="X142" i="697"/>
  <c r="X134" i="697"/>
  <c r="X126" i="697"/>
  <c r="X118" i="697"/>
  <c r="X110" i="697"/>
  <c r="X102" i="697"/>
  <c r="X94" i="697"/>
  <c r="X86" i="697"/>
  <c r="X78" i="697"/>
  <c r="X70" i="697"/>
  <c r="X62" i="697"/>
  <c r="X50" i="697"/>
  <c r="X42" i="697"/>
  <c r="X34" i="697"/>
  <c r="X26" i="697"/>
  <c r="X18" i="697"/>
  <c r="X10" i="697"/>
  <c r="T274" i="697"/>
  <c r="T258" i="697"/>
  <c r="T242" i="697"/>
  <c r="T234" i="697"/>
  <c r="X214" i="697"/>
  <c r="T282" i="697"/>
  <c r="T266" i="697"/>
  <c r="T250" i="697"/>
  <c r="T278" i="697"/>
  <c r="T270" i="697"/>
  <c r="T262" i="697"/>
  <c r="T254" i="697"/>
  <c r="T246" i="697"/>
  <c r="T238" i="697"/>
  <c r="T230" i="697"/>
  <c r="X66" i="697"/>
  <c r="T285" i="697"/>
  <c r="T281" i="697"/>
  <c r="T277" i="697"/>
  <c r="T273" i="697"/>
  <c r="T269" i="697"/>
  <c r="T265" i="697"/>
  <c r="T261" i="697"/>
  <c r="T257" i="697"/>
  <c r="T253" i="697"/>
  <c r="T249" i="697"/>
  <c r="T245" i="697"/>
  <c r="T241" i="697"/>
  <c r="T237" i="697"/>
  <c r="T233" i="697"/>
  <c r="T229" i="697"/>
  <c r="T284" i="697"/>
  <c r="T280" i="697"/>
  <c r="T276" i="697"/>
  <c r="T272" i="697"/>
  <c r="T268" i="697"/>
  <c r="T264" i="697"/>
  <c r="T260" i="697"/>
  <c r="T256" i="697"/>
  <c r="T252" i="697"/>
  <c r="T248" i="697"/>
  <c r="T244" i="697"/>
  <c r="T240" i="697"/>
  <c r="T236" i="697"/>
  <c r="T232" i="697"/>
  <c r="X129" i="697"/>
  <c r="X117" i="697"/>
  <c r="X109" i="697"/>
  <c r="X101" i="697"/>
  <c r="X93" i="697"/>
  <c r="X85" i="697"/>
  <c r="X77" i="697"/>
  <c r="X69" i="697"/>
  <c r="X61" i="697"/>
  <c r="X53" i="697"/>
  <c r="X45" i="697"/>
  <c r="X37" i="697"/>
  <c r="X33" i="697"/>
  <c r="X29" i="697"/>
  <c r="X25" i="697"/>
  <c r="X21" i="697"/>
  <c r="X13" i="697"/>
  <c r="X9" i="697"/>
  <c r="X5" i="697"/>
  <c r="X186" i="697"/>
  <c r="X122" i="697"/>
  <c r="X255" i="697"/>
  <c r="X133" i="697"/>
  <c r="X121" i="697"/>
  <c r="X113" i="697"/>
  <c r="X105" i="697"/>
  <c r="X97" i="697"/>
  <c r="X89" i="697"/>
  <c r="X81" i="697"/>
  <c r="X73" i="697"/>
  <c r="X65" i="697"/>
  <c r="X57" i="697"/>
  <c r="X49" i="697"/>
  <c r="X41" i="697"/>
  <c r="X17" i="697"/>
  <c r="X35" i="697"/>
  <c r="D154" i="697"/>
  <c r="D156" i="697"/>
  <c r="X19" i="697"/>
  <c r="X222" i="697"/>
  <c r="X202" i="697"/>
  <c r="X190" i="697"/>
  <c r="X225" i="697"/>
  <c r="X221" i="697"/>
  <c r="X217" i="697"/>
  <c r="X213" i="697"/>
  <c r="X209" i="697"/>
  <c r="X205" i="697"/>
  <c r="X201" i="697"/>
  <c r="X197" i="697"/>
  <c r="X193" i="697"/>
  <c r="X189" i="697"/>
  <c r="X185" i="697"/>
  <c r="X181" i="697"/>
  <c r="X177" i="697"/>
  <c r="X173" i="697"/>
  <c r="X169" i="697"/>
  <c r="X165" i="697"/>
  <c r="X161" i="697"/>
  <c r="X157" i="697"/>
  <c r="X153" i="697"/>
  <c r="X149" i="697"/>
  <c r="X145" i="697"/>
  <c r="X141" i="697"/>
  <c r="X137" i="697"/>
  <c r="X3" i="697"/>
  <c r="X284" i="697"/>
  <c r="X280" i="697"/>
  <c r="X276" i="697"/>
  <c r="X272" i="697"/>
  <c r="X268" i="697"/>
  <c r="X264" i="697"/>
  <c r="X260" i="697"/>
  <c r="X256" i="697"/>
  <c r="X252" i="697"/>
  <c r="X248" i="697"/>
  <c r="X244" i="697"/>
  <c r="X240" i="697"/>
  <c r="X236" i="697"/>
  <c r="X232" i="697"/>
  <c r="D232" i="697" s="1"/>
  <c r="X285" i="697"/>
  <c r="X281" i="697"/>
  <c r="X277" i="697"/>
  <c r="X273" i="697"/>
  <c r="X269" i="697"/>
  <c r="X265" i="697"/>
  <c r="X261" i="697"/>
  <c r="X257" i="697"/>
  <c r="D257" i="697" s="1"/>
  <c r="X253" i="697"/>
  <c r="X249" i="697"/>
  <c r="X245" i="697"/>
  <c r="X241" i="697"/>
  <c r="D248" i="697" s="1"/>
  <c r="X237" i="697"/>
  <c r="X233" i="697"/>
  <c r="X229" i="697"/>
  <c r="X100" i="697"/>
  <c r="X96" i="697"/>
  <c r="X84" i="697"/>
  <c r="X282" i="697"/>
  <c r="X278" i="697"/>
  <c r="X274" i="697"/>
  <c r="X270" i="697"/>
  <c r="X266" i="697"/>
  <c r="X262" i="697"/>
  <c r="X258" i="697"/>
  <c r="X254" i="697"/>
  <c r="X250" i="697"/>
  <c r="X246" i="697"/>
  <c r="X242" i="697"/>
  <c r="X238" i="697"/>
  <c r="X234" i="697"/>
  <c r="X230" i="697"/>
  <c r="D229" i="697" s="1"/>
  <c r="X283" i="697"/>
  <c r="X279" i="697"/>
  <c r="X275" i="697"/>
  <c r="D275" i="697" s="1"/>
  <c r="X271" i="697"/>
  <c r="X267" i="697"/>
  <c r="D267" i="697" s="1"/>
  <c r="X263" i="697"/>
  <c r="X125" i="697"/>
  <c r="D259" i="697"/>
  <c r="D252" i="697"/>
  <c r="D256" i="697"/>
  <c r="D11" i="697"/>
  <c r="D8" i="697"/>
  <c r="D240" i="697"/>
  <c r="D273" i="697"/>
  <c r="D265" i="697"/>
  <c r="D285" i="697"/>
  <c r="D261" i="697"/>
  <c r="D25" i="697"/>
  <c r="D43" i="697"/>
  <c r="X92" i="697"/>
  <c r="Y92" i="697"/>
  <c r="X64" i="697"/>
  <c r="Y64" i="697"/>
  <c r="Y84" i="697"/>
  <c r="X76" i="697"/>
  <c r="X72" i="697"/>
  <c r="Y72" i="697"/>
  <c r="Y96" i="697"/>
  <c r="Y88" i="697"/>
  <c r="X88" i="697"/>
  <c r="X80" i="697"/>
  <c r="Y80" i="697"/>
  <c r="Y68" i="697"/>
  <c r="X68" i="697"/>
  <c r="Y100" i="697"/>
  <c r="X228" i="697"/>
  <c r="X216" i="697"/>
  <c r="X204" i="697"/>
  <c r="X192" i="697"/>
  <c r="X180" i="697"/>
  <c r="X168" i="697"/>
  <c r="X156" i="697"/>
  <c r="X136" i="697"/>
  <c r="X124" i="697"/>
  <c r="X112" i="697"/>
  <c r="X28" i="697"/>
  <c r="Y43" i="697"/>
  <c r="X43" i="697"/>
  <c r="X224" i="697"/>
  <c r="X212" i="697"/>
  <c r="X200" i="697"/>
  <c r="X184" i="697"/>
  <c r="X176" i="697"/>
  <c r="X164" i="697"/>
  <c r="X152" i="697"/>
  <c r="X140" i="697"/>
  <c r="X132" i="697"/>
  <c r="X120" i="697"/>
  <c r="X108" i="697"/>
  <c r="X60" i="697"/>
  <c r="X52" i="697"/>
  <c r="X44" i="697"/>
  <c r="X32" i="697"/>
  <c r="X20" i="697"/>
  <c r="X12" i="697"/>
  <c r="X4" i="697"/>
  <c r="X51" i="697"/>
  <c r="Y7" i="697"/>
  <c r="X7" i="697"/>
  <c r="X220" i="697"/>
  <c r="X208" i="697"/>
  <c r="X196" i="697"/>
  <c r="X188" i="697"/>
  <c r="X172" i="697"/>
  <c r="X160" i="697"/>
  <c r="X148" i="697"/>
  <c r="X144" i="697"/>
  <c r="X128" i="697"/>
  <c r="X116" i="697"/>
  <c r="X104" i="697"/>
  <c r="X56" i="697"/>
  <c r="X48" i="697"/>
  <c r="X40" i="697"/>
  <c r="X36" i="697"/>
  <c r="X24" i="697"/>
  <c r="X16" i="697"/>
  <c r="X8" i="697"/>
  <c r="Y59" i="697"/>
  <c r="X59" i="697"/>
  <c r="X27" i="697"/>
  <c r="X11" i="697"/>
  <c r="X55" i="697"/>
  <c r="X39" i="697"/>
  <c r="X23" i="697"/>
  <c r="X227" i="697"/>
  <c r="X223" i="697"/>
  <c r="X219" i="697"/>
  <c r="C7" i="16" s="1"/>
  <c r="X215" i="697"/>
  <c r="X211" i="697"/>
  <c r="X207" i="697"/>
  <c r="X203" i="697"/>
  <c r="X199" i="697"/>
  <c r="X195" i="697"/>
  <c r="X191" i="697"/>
  <c r="X187" i="697"/>
  <c r="X183" i="697"/>
  <c r="X179" i="697"/>
  <c r="X175" i="697"/>
  <c r="X171" i="697"/>
  <c r="X167" i="697"/>
  <c r="X163" i="697"/>
  <c r="X159" i="697"/>
  <c r="X155" i="697"/>
  <c r="X151" i="697"/>
  <c r="X147" i="697"/>
  <c r="X143" i="697"/>
  <c r="X139" i="697"/>
  <c r="X135" i="697"/>
  <c r="X131" i="697"/>
  <c r="X127" i="697"/>
  <c r="X123" i="697"/>
  <c r="X119" i="697"/>
  <c r="X115" i="697"/>
  <c r="X111" i="697"/>
  <c r="X107" i="697"/>
  <c r="X103" i="697"/>
  <c r="X99" i="697"/>
  <c r="X95" i="697"/>
  <c r="X91" i="697"/>
  <c r="X87" i="697"/>
  <c r="X83" i="697"/>
  <c r="X79" i="697"/>
  <c r="X75" i="697"/>
  <c r="X71" i="697"/>
  <c r="X67" i="697"/>
  <c r="X63" i="697"/>
  <c r="X47" i="697"/>
  <c r="X31" i="697"/>
  <c r="X15" i="697"/>
  <c r="Y51" i="697"/>
  <c r="Y35" i="697"/>
  <c r="Y19" i="697"/>
  <c r="Y3" i="697"/>
  <c r="AD7" i="157"/>
  <c r="D233" i="697" l="1"/>
  <c r="D241" i="697"/>
  <c r="D277" i="697"/>
  <c r="D239" i="697"/>
  <c r="D65" i="697"/>
  <c r="D166" i="697"/>
  <c r="D138" i="697"/>
  <c r="D167" i="697"/>
  <c r="D176" i="697"/>
  <c r="D71" i="697"/>
  <c r="D139" i="697"/>
  <c r="D68" i="697"/>
  <c r="D165" i="697"/>
  <c r="D107" i="697"/>
  <c r="D46" i="697"/>
  <c r="D157" i="697"/>
  <c r="D230" i="697"/>
  <c r="D268" i="697"/>
  <c r="D111" i="697"/>
  <c r="D113" i="697"/>
  <c r="D15" i="697"/>
  <c r="D162" i="697"/>
  <c r="D163" i="697"/>
  <c r="D164" i="697"/>
  <c r="D146" i="697"/>
  <c r="D124" i="697"/>
  <c r="D80" i="697"/>
  <c r="D270" i="697"/>
  <c r="D6" i="697"/>
  <c r="D181" i="697"/>
  <c r="D104" i="697"/>
  <c r="D187" i="697"/>
  <c r="D234" i="697"/>
  <c r="D264" i="697"/>
  <c r="D135" i="697"/>
  <c r="D175" i="697"/>
  <c r="D23" i="697"/>
  <c r="D250" i="697"/>
  <c r="D284" i="697"/>
  <c r="D266" i="697"/>
  <c r="D105" i="697"/>
  <c r="D155" i="697"/>
  <c r="D282" i="697"/>
  <c r="D214" i="697"/>
  <c r="D243" i="697"/>
  <c r="D249" i="697"/>
  <c r="D246" i="697"/>
  <c r="D247" i="697"/>
  <c r="D244" i="697"/>
  <c r="D245" i="697"/>
  <c r="D99" i="697"/>
  <c r="D153" i="697"/>
  <c r="D100" i="697"/>
  <c r="D85" i="697"/>
  <c r="D86" i="697"/>
  <c r="D152" i="697"/>
  <c r="D238" i="697"/>
  <c r="D253" i="697"/>
  <c r="D283" i="697"/>
  <c r="D231" i="697"/>
  <c r="D254" i="697"/>
  <c r="D262" i="697"/>
  <c r="D251" i="697"/>
  <c r="D255" i="697"/>
  <c r="D263" i="697"/>
  <c r="D280" i="697"/>
  <c r="D242" i="697"/>
  <c r="D57" i="697"/>
  <c r="D258" i="697"/>
  <c r="D269" i="697"/>
  <c r="D7" i="697"/>
  <c r="D44" i="697"/>
  <c r="D133" i="697"/>
  <c r="D134" i="697"/>
  <c r="D179" i="697"/>
  <c r="D132" i="697"/>
  <c r="D136" i="697"/>
  <c r="D224" i="697"/>
  <c r="D274" i="697"/>
  <c r="D83" i="697"/>
  <c r="D225" i="697"/>
  <c r="D223" i="697"/>
  <c r="D90" i="697"/>
  <c r="D237" i="697"/>
  <c r="D281" i="697"/>
  <c r="D190" i="697"/>
  <c r="D97" i="697"/>
  <c r="D184" i="697"/>
  <c r="D278" i="697"/>
  <c r="D260" i="697"/>
  <c r="D26" i="697"/>
  <c r="D271" i="697"/>
  <c r="D235" i="697"/>
  <c r="D279" i="697"/>
  <c r="D236" i="697"/>
  <c r="D272" i="697"/>
  <c r="D276" i="697"/>
  <c r="D147" i="697"/>
  <c r="D148" i="697"/>
  <c r="C17" i="16" l="1"/>
  <c r="D17" i="16"/>
  <c r="D127" i="697" l="1"/>
  <c r="D128" i="697"/>
  <c r="D9" i="16"/>
  <c r="C9" i="16"/>
  <c r="D8" i="16"/>
  <c r="C8" i="16"/>
  <c r="C16" i="16"/>
  <c r="C18" i="16" s="1"/>
  <c r="D16" i="16"/>
  <c r="D18" i="16" s="1"/>
  <c r="B17" i="16"/>
  <c r="B16" i="16"/>
  <c r="B13" i="16"/>
  <c r="B12" i="16"/>
  <c r="C10" i="16" l="1"/>
  <c r="D10" i="16"/>
  <c r="D20" i="16"/>
  <c r="D15" i="16"/>
  <c r="C20" i="16"/>
  <c r="C15" i="16"/>
  <c r="B9" i="16"/>
  <c r="B8" i="16"/>
  <c r="AD3" i="157"/>
  <c r="B14" i="16" l="1"/>
  <c r="B7" i="16" l="1"/>
  <c r="B18" i="16" l="1"/>
  <c r="B20" i="16" l="1"/>
  <c r="B10" i="16" l="1"/>
  <c r="B19" i="16" l="1"/>
  <c r="B15" i="16" s="1"/>
  <c r="B1" i="12" l="1"/>
  <c r="S229" i="697" l="1"/>
  <c r="S233" i="697"/>
  <c r="S237" i="697"/>
  <c r="S241" i="697"/>
  <c r="S245" i="697"/>
  <c r="S249" i="697"/>
  <c r="S253" i="697"/>
  <c r="S257" i="697"/>
  <c r="S261" i="697"/>
  <c r="S265" i="697"/>
  <c r="S269" i="697"/>
  <c r="S273" i="697"/>
  <c r="S277" i="697"/>
  <c r="S281" i="697"/>
  <c r="S285" i="697"/>
  <c r="S232" i="697"/>
  <c r="S238" i="697"/>
  <c r="S243" i="697"/>
  <c r="S248" i="697"/>
  <c r="S254" i="697"/>
  <c r="S259" i="697"/>
  <c r="S264" i="697"/>
  <c r="S270" i="697"/>
  <c r="S275" i="697"/>
  <c r="S280" i="697"/>
  <c r="S234" i="697"/>
  <c r="S239" i="697"/>
  <c r="S244" i="697"/>
  <c r="S250" i="697"/>
  <c r="S255" i="697"/>
  <c r="S260" i="697"/>
  <c r="S266" i="697"/>
  <c r="S271" i="697"/>
  <c r="S276" i="697"/>
  <c r="S282" i="697"/>
  <c r="S230" i="697"/>
  <c r="S235" i="697"/>
  <c r="S240" i="697"/>
  <c r="S246" i="697"/>
  <c r="S251" i="697"/>
  <c r="S256" i="697"/>
  <c r="S262" i="697"/>
  <c r="S267" i="697"/>
  <c r="S272" i="697"/>
  <c r="S278" i="697"/>
  <c r="S283" i="697"/>
  <c r="S231" i="697"/>
  <c r="S236" i="697"/>
  <c r="S242" i="697"/>
  <c r="S247" i="697"/>
  <c r="S252" i="697"/>
  <c r="S258" i="697"/>
  <c r="S263" i="697"/>
  <c r="S268" i="697"/>
  <c r="S274" i="697"/>
  <c r="S279" i="697"/>
  <c r="S284" i="6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5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6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1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22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9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<sst xmlns="http://schemas.openxmlformats.org/spreadsheetml/2006/main" count="3128" uniqueCount="977">
  <si>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</si>
  <si>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</si>
  <si>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</si>
  <si>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</si>
  <si>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</si>
  <si>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</si>
  <si>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</si>
  <si>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</si>
  <si>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STATUR</t>
  </si>
  <si>
    <t>TRONEX</t>
  </si>
  <si>
    <t>WIDEX</t>
  </si>
  <si>
    <t>DW</t>
  </si>
  <si>
    <t>MPS</t>
  </si>
  <si>
    <t>HYR</t>
  </si>
  <si>
    <t>NICOMAR</t>
  </si>
  <si>
    <t>AMG</t>
  </si>
  <si>
    <t>DUNCAN</t>
  </si>
  <si>
    <t>IVA</t>
  </si>
  <si>
    <t>KENEX</t>
  </si>
  <si>
    <t>MAKING BUSINESS</t>
  </si>
  <si>
    <t>KINO COMPANY</t>
  </si>
  <si>
    <t>ABONOS</t>
  </si>
  <si>
    <t>$ INTERESES</t>
  </si>
  <si>
    <t>ELECTRONICAS I+D</t>
  </si>
  <si>
    <t>VALOR EN DOLARES</t>
  </si>
  <si>
    <t>Pagos del mes</t>
  </si>
  <si>
    <t>ISMART ELECTRONICS</t>
  </si>
  <si>
    <t>LOIX</t>
  </si>
  <si>
    <t>DISUIZA</t>
  </si>
  <si>
    <t>$ CAPITAL</t>
  </si>
  <si>
    <t>SALDO</t>
  </si>
  <si>
    <t>DETALLE</t>
  </si>
  <si>
    <t>PAGO</t>
  </si>
  <si>
    <t>SUBTOTAL</t>
  </si>
  <si>
    <t>IVA 19%</t>
  </si>
  <si>
    <t>Total</t>
  </si>
  <si>
    <t>Rete Fuente %</t>
  </si>
  <si>
    <t>LOGIMEX KENEX</t>
  </si>
  <si>
    <t>DIAS DE PLAZO</t>
  </si>
  <si>
    <t>CORREO</t>
  </si>
  <si>
    <t>CUENTA BANCARIA</t>
  </si>
  <si>
    <t/>
  </si>
  <si>
    <t>PSE</t>
  </si>
  <si>
    <t>COMPRAS DE CONTADO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</si>
  <si>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</si>
  <si>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</si>
  <si>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</si>
  <si>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</si>
  <si>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</si>
  <si>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</si>
  <si>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</si>
  <si>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</si>
  <si>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</si>
  <si>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</si>
  <si>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</si>
  <si>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</si>
  <si>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</si>
  <si>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contabilidad@amgimportadora.com;mcastellanos@amgimportadora.com;girlesa.ruiz@servipilas.com;joriescobar64@gmail.com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</si>
  <si>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</si>
  <si>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</si>
  <si>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SALDO PROVEEDOR</t>
  </si>
  <si>
    <t>PV</t>
  </si>
  <si>
    <t>BANCOLOMBIA 3103</t>
  </si>
  <si>
    <t xml:space="preserve">BANCOLOMBIA USD$ </t>
  </si>
  <si>
    <t xml:space="preserve">CAJA SOCIAL </t>
  </si>
  <si>
    <t xml:space="preserve">INVENTARIOS </t>
  </si>
  <si>
    <t>DINERO EN CAJA</t>
  </si>
  <si>
    <t>GASTOS</t>
  </si>
  <si>
    <t>VENTAS</t>
  </si>
  <si>
    <t>Coste financiero</t>
  </si>
  <si>
    <t>PRESTAMO</t>
  </si>
  <si>
    <t>SAYER - YERMIN</t>
  </si>
  <si>
    <t>AJUSTE FIN DE MES</t>
  </si>
  <si>
    <t xml:space="preserve">Bancolombia AH 102-125 283-78 </t>
  </si>
  <si>
    <t>yermingg@hotmail.com;girlesa.ruiz@servipilas.com;joriescobar64@gmail.com</t>
  </si>
  <si>
    <t>javiergomez_72@hotmail.com 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</si>
  <si>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</si>
  <si>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</si>
  <si>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</si>
  <si>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</si>
  <si>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</si>
  <si>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administracion@sapian.com.co;girlesa.ruiz@servipilas.com;joriescobar64@gmail.com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</si>
  <si>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</si>
  <si>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</si>
  <si>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</si>
  <si>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</si>
  <si>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ventas@ismartsas.com;girlesa.ruiz@servipilas.com;joriescobar64@gmail.com</t>
  </si>
  <si>
    <t>Pygimportadora@gmail.com;girlesa.ruiz@servipilas.com;joriescobar64@gmail.com</t>
  </si>
  <si>
    <t>davivienda cc 456369996909</t>
  </si>
  <si>
    <t>judy.torres@movecargo.co;girlesa.ruiz@servipilas.com;joriescobar64@gmail.com</t>
  </si>
  <si>
    <t>mcastillo@kenextrading.com;agarcia@kenextrading.com;girlesa.ruiz@servipilas.com;joriescobar64@gmail.com</t>
  </si>
  <si>
    <t>DMARIO</t>
  </si>
  <si>
    <t>swizzeraux2@gmail.com;girlesa.ruiz@servipilas.com;joriescobar64@gmail.com</t>
  </si>
  <si>
    <t>PROVECOL</t>
  </si>
  <si>
    <t>Fecha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</si>
  <si>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</si>
  <si>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</si>
  <si>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</si>
  <si>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COMSISTEL</t>
  </si>
  <si>
    <t>BANCOLOMBIA corriente + ahorros</t>
  </si>
  <si>
    <t>financiero@dmariocolombia.com;cartera@dmariocolombia.com.co;girlesa.ruiz@servipilas.com;joriescobar64@gmail.com</t>
  </si>
  <si>
    <t>aleja-1305agudelo@hotmail.com;provecol@une.net.co;girlesa.ruiz@servipilas.com;joriescobar64@gmail.com</t>
  </si>
  <si>
    <t>JYN TECHNOLOGY</t>
  </si>
  <si>
    <t>ventasonline@disantioquia.com.co;girlesa.ruiz@servipilas.com;joriescobar64@gmail.com</t>
  </si>
  <si>
    <t>COEXITO servipilas</t>
  </si>
  <si>
    <t>COMERCIALIZADORA DEL ESTE</t>
  </si>
  <si>
    <t>CARPA - CASILLERO</t>
  </si>
  <si>
    <t>CARPA - TNR</t>
  </si>
  <si>
    <t>SANTA BARBARA DISTRONIK</t>
  </si>
  <si>
    <t xml:space="preserve"> bateriasindustrialesbogota2@coexito.com.co;girlesa.ruiz@servipilas.com;joriescobar64@gmail.com</t>
  </si>
  <si>
    <t>vcortes@power-sonic.com;alexander.baur@power-sonic.com;jirias@power-sonic.com;girlesa.ruiz@servipilas.com;joriescobar64@gmail.com;info@servipilas.com</t>
  </si>
  <si>
    <t>variedades.sfg@gmail.com;girlesa.ruiz@servipilas.com;joriescobar64@gmail.com</t>
  </si>
  <si>
    <t>Abajo ALIEXPRESS</t>
  </si>
  <si>
    <t>Abajo AURELIO PILAS</t>
  </si>
  <si>
    <t>Abajo CASILLERO</t>
  </si>
  <si>
    <t>Abajo CONTADO</t>
  </si>
  <si>
    <t>cartera@conbienes.com;girlesa.ruiz@servipilas.com;joriescobar64@gmail.com</t>
  </si>
  <si>
    <t>Abajo EFREN</t>
  </si>
  <si>
    <t>Abajo GUSTAVO PULSOS</t>
  </si>
  <si>
    <t>Abajo MEGARED</t>
  </si>
  <si>
    <t>facturacion@losmolinos.com.co</t>
  </si>
  <si>
    <t>Abajo MERCEDES PILAS</t>
  </si>
  <si>
    <t>Abajo NALPI</t>
  </si>
  <si>
    <t>Abajo REPUESTOS CALI</t>
  </si>
  <si>
    <t>stabarbaradistronik@gmail.com;girlesa.ruiz@servipilas.com;joriescobar64@gmail.com</t>
  </si>
  <si>
    <t>Abajo STARTIME</t>
  </si>
  <si>
    <t>Abajo SWIZZER REPUESTOS</t>
  </si>
  <si>
    <t>Abajo UNIVERSAL TIME</t>
  </si>
  <si>
    <t>Abajo YERMIN</t>
  </si>
  <si>
    <t>Abajo YOLANDA</t>
  </si>
  <si>
    <t>Abajo ZUMA</t>
  </si>
  <si>
    <t>MEGAMUNDO</t>
  </si>
  <si>
    <t>RODRIGUEZ Y URBINA</t>
  </si>
  <si>
    <t>días de vencimiento</t>
  </si>
  <si>
    <t>Total USD</t>
  </si>
  <si>
    <t xml:space="preserve">Abajo DANIEL ESCOBAR </t>
  </si>
  <si>
    <t xml:space="preserve">Abajo FONDO </t>
  </si>
  <si>
    <t>DAVIVIENDA ************6881</t>
  </si>
  <si>
    <t xml:space="preserve">Abajo FERNANDO JIMENEZ </t>
  </si>
  <si>
    <t xml:space="preserve">Abajo CATALINA SANCHEZ </t>
  </si>
  <si>
    <t xml:space="preserve">Abajo MARIANA </t>
  </si>
  <si>
    <t xml:space="preserve">Abajo ALBA  </t>
  </si>
  <si>
    <t>Abajo PIEDAD ESCOBAR</t>
  </si>
  <si>
    <t>Abajo CLAUDIA RUIZ</t>
  </si>
  <si>
    <t xml:space="preserve">Abajo DON LUCIANO </t>
  </si>
  <si>
    <t>Abajo JORGE IVAN ESCOBAR</t>
  </si>
  <si>
    <t xml:space="preserve">Abajo HERNAN MARIN </t>
  </si>
  <si>
    <t>COP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</si>
  <si>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</si>
  <si>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</si>
  <si>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</si>
  <si>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</si>
  <si>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</si>
  <si>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</si>
  <si>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</si>
  <si>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</si>
  <si>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</si>
  <si>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</si>
  <si>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</si>
  <si>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</si>
  <si>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sandra.ospina@powest.com;girlesa.ruiz@servipilas.com;joriescobar64@gmail.com</t>
  </si>
  <si>
    <t>palabras que no operan</t>
  </si>
  <si>
    <t>CONSTRUCCIONES Y BIENES X@</t>
  </si>
  <si>
    <t>DISANTIOQUIA X@</t>
  </si>
  <si>
    <t>LA CENTRAL admistración X@</t>
  </si>
  <si>
    <t>MOLINOS administración X@</t>
  </si>
  <si>
    <t>PROPERTY MARKETING X@</t>
  </si>
  <si>
    <t>SANDIEGO X@</t>
  </si>
  <si>
    <t>SAPIAN X@</t>
  </si>
  <si>
    <t>SURA X@</t>
  </si>
  <si>
    <t>TIGO FIJO X@</t>
  </si>
  <si>
    <t>TIGO MOVIL X@</t>
  </si>
  <si>
    <t>X@</t>
  </si>
  <si>
    <t>wruiz@tsqsa.com;girlesa.ruiz@servipilas.com;joriescobar64@gmail.com</t>
  </si>
  <si>
    <t>Abajo NIA</t>
  </si>
  <si>
    <t>mercadopago</t>
  </si>
  <si>
    <t>Facturas vencidas a cierre del mes</t>
  </si>
  <si>
    <t>3. borrar fechas de pago posteriores al cierre de mes esudiado</t>
  </si>
  <si>
    <t>dias de credito</t>
  </si>
  <si>
    <t>venc</t>
  </si>
  <si>
    <t>4. cambiar fecha de cierre de mes</t>
  </si>
  <si>
    <t>VENCIDA</t>
  </si>
  <si>
    <t>cartera@makingbusiness.com.co;tesoreria@makingbusiness.com.co;girlesa.ruiz@servipilas.com;joriescobar64@gmail.com</t>
  </si>
  <si>
    <t xml:space="preserve"> dsmazuera@widexcolombia.com;cartera@widexcolombia.com;girlesa.ruiz@servipilas.com;joriescobar64@gmail.com</t>
  </si>
  <si>
    <t>11 TECHNOLOGIES</t>
  </si>
  <si>
    <t>contabilidad@sandiego.com.co;girlesa.ruiz@servipilas.com;joriescobar64@gmail.com</t>
  </si>
  <si>
    <t>Ruta para crear los pdf</t>
  </si>
  <si>
    <t>DILOY COLOMBIA</t>
  </si>
  <si>
    <t>Abajo MERCADOLIBRE X@</t>
  </si>
  <si>
    <t>lygonzalez@gmail.com;girlesa.ruiz@servipilas.com;joriescobar64@gmail.com</t>
  </si>
  <si>
    <t>4% con base</t>
  </si>
  <si>
    <t>INDUSTRIA ELECTRICA NEWLINE</t>
  </si>
  <si>
    <t>NACIONAL DE PILAS PANASONIC</t>
  </si>
  <si>
    <t>TUSPILAS.CO</t>
  </si>
  <si>
    <t>mdedcnvi@bateriasduncan.com.co;girlesa.ruiz@servipilas.com;joriescobar64@gmail.com</t>
  </si>
  <si>
    <t>PSICOLOGA BEATRIZ FLOREZ X@</t>
  </si>
  <si>
    <t>004 286 48 021 Bancolombia ahorros</t>
  </si>
  <si>
    <t>LIA URIBE Seguridad y salud X@</t>
  </si>
  <si>
    <t>55126836537  Bancolombia ahorros</t>
  </si>
  <si>
    <t>liauribe@une.net.co;girlesa.ruiz@servipilas.com;joriescobar64@gmail.com</t>
  </si>
  <si>
    <t>67300016442 CTA CTE Bancolombia</t>
  </si>
  <si>
    <t>24098035016 CTA Ahorros BCS</t>
  </si>
  <si>
    <t>00591647411 CTA CTE Bancolombia</t>
  </si>
  <si>
    <t>027010875 CTA CTE Banco Occidente</t>
  </si>
  <si>
    <t>Abajo MUÑECOS J.M.J</t>
  </si>
  <si>
    <t>VYP  P.A MERCURIO X@</t>
  </si>
  <si>
    <t>arrendamientos@vyp.com.co;girlesa.ruiz@servipilas.com;joriescobar64@gmail.com</t>
  </si>
  <si>
    <t>61100002255 Bancolombia corriente</t>
  </si>
  <si>
    <t>BANCOLOMBIA CTA CTE # 60959261381</t>
  </si>
  <si>
    <t>ABAJO BRIDGE</t>
  </si>
  <si>
    <t>INSTITUCIONALES</t>
  </si>
  <si>
    <t>BANCOLOMBIA USD$ 2555318542</t>
  </si>
  <si>
    <t>Abajo BRIGHTSIDE</t>
  </si>
  <si>
    <t>DISTRIBUIDORA VAMOS</t>
  </si>
  <si>
    <t>distribuidoravamossas@gmail.com;girlesa.ruiz@servipilas.com;joriescobar64@gmail.com</t>
  </si>
  <si>
    <t>jessica.barrios@carpainternacional.com;girlesa.ruiz@servipilas.com;joriescobar64@gmail.com</t>
  </si>
  <si>
    <t>BANCOLOMBIA USD$ 2555324112</t>
  </si>
  <si>
    <t>BANCOLOMBIA CESANTIAS 0568</t>
  </si>
  <si>
    <t>DAVIVIENDA ************5101</t>
  </si>
  <si>
    <t xml:space="preserve">Abajo CARLOS MUÑOZ </t>
  </si>
  <si>
    <t>RUSBEL GIRALDO SERNA</t>
  </si>
  <si>
    <t>qyqomaira0321@hotmail.com;girlesa.ruiz@servipilas.com;joriescobar64@gmail.com</t>
  </si>
  <si>
    <t>2. eliminar filas con fecha de facturación posteriores al cierre de mes estudiada</t>
  </si>
  <si>
    <t>ABAJO SANTA MENSAJERIA</t>
  </si>
  <si>
    <t>ABAJO CRISTAL SUIZO</t>
  </si>
  <si>
    <t>WORLD TRADE NEW VISION SAS</t>
  </si>
  <si>
    <t>ABAJO IVA</t>
  </si>
  <si>
    <t>DISTRIBUIDORA GIRZABAL</t>
  </si>
  <si>
    <t>oag15@hotmail.com;girlesa.ruiz@servipilas.com;joriescobar64@gmail.com</t>
  </si>
  <si>
    <t>ABAJO JAIME RENDON MUÑECOS</t>
  </si>
  <si>
    <t>qyqcolbatteries@gmail.com;girlesa.ruiz@servipilas.com;joriescobar64@gmail.com</t>
  </si>
  <si>
    <t>Q&amp;Q COLBATTERIES SAS</t>
  </si>
  <si>
    <t>COMERCIALIZADRA JLS</t>
  </si>
  <si>
    <t>CAJA SOCIAL 3485</t>
  </si>
  <si>
    <t>EFECTIVO</t>
  </si>
  <si>
    <t>Total2</t>
  </si>
  <si>
    <t>TC1068 AMEX</t>
  </si>
  <si>
    <t>TC8338 VISA</t>
  </si>
  <si>
    <t>TC2664 VISA TESORERA</t>
  </si>
  <si>
    <t>DAVIVIENDA ************5098</t>
  </si>
  <si>
    <t>facturacion@lacentral.com.co;girlesa.ruiz@servipilas.com;joriescobar64@gmail.com</t>
  </si>
  <si>
    <t>BANCOLOMBIA 9360</t>
  </si>
  <si>
    <t>SANTA JUANA (inversiones) X@</t>
  </si>
  <si>
    <t>CTOF CASIO</t>
  </si>
  <si>
    <t>BANCOLOMBIA USD$ 2555381492</t>
  </si>
  <si>
    <t>yvelasquez@nanicastation.com.co;facturas@nanicastation.com.co;girlesa.ruiz@servipilas.com;joriescobar64@gmail.com</t>
  </si>
  <si>
    <t>tecnopartes@ctof.co;girlesa.ruiz@servipilas.com;joriescobar64@gmail.com</t>
  </si>
  <si>
    <t>COMERCIALIZADORA UBRA JOT</t>
  </si>
  <si>
    <t>memoriasoriginales@gmail.com;girlesa.ruiz@servipilas.com;joriescobar64@gmail.com</t>
  </si>
  <si>
    <t>olga.acevedo@logimexsas.com;girlesa.ruiz@servipilas.com;joriescobar64@gmail.com;facturacion@servipilas.com</t>
  </si>
  <si>
    <t>CAJA SOCIAL CESANTIAS</t>
  </si>
  <si>
    <t>efectivos + megared + caja menor</t>
  </si>
  <si>
    <t>comercializadorajls@hotmail.com; girlesa.ruiz@servipilas.com;joriescobar64@gmail.com</t>
  </si>
  <si>
    <t>ALMA/INSTI</t>
  </si>
  <si>
    <t>DEUDAS PROVEEDORES INSTITUCIONALES</t>
  </si>
  <si>
    <t>DEUDAS PROVEEDORES ALAMACENES</t>
  </si>
  <si>
    <t>ALMACENES</t>
  </si>
  <si>
    <t>Origen
de los
Recursos</t>
  </si>
  <si>
    <t>AH BANCOLOMBIA</t>
  </si>
  <si>
    <t>CC BANCOLOMBIA</t>
  </si>
  <si>
    <t>DAVIVIENDA CC</t>
  </si>
  <si>
    <t>CAJA SOCIAL CC</t>
  </si>
  <si>
    <t>OTRO</t>
  </si>
  <si>
    <t>Descuento
$</t>
  </si>
  <si>
    <t>ReteFuente
$</t>
  </si>
  <si>
    <t>clopez@santajuana.com.co;girlesa.ruiz@servipilas.com;joriescobar64@gmail.com</t>
  </si>
  <si>
    <t>TC</t>
  </si>
  <si>
    <t>ReteFuente
%</t>
  </si>
  <si>
    <t>ABAJO JUAN GUILLERMO</t>
  </si>
  <si>
    <t>ABAJO DANIEL ESCOBAR</t>
  </si>
  <si>
    <t>angela.navas@hyrdistribuciones.com; natalia.villada@hyrdistribuciones.com; girlesa.ruiz@servipilas.com;joriescobar64@gmail.com</t>
  </si>
  <si>
    <t xml:space="preserve">SERVEM </t>
  </si>
  <si>
    <t>ruben.montoya@serven.com.co;girlesa.ruiz@servipilas.com;joriescobar64@gmail.com</t>
  </si>
  <si>
    <t>FRANCISCO MURILLO</t>
  </si>
  <si>
    <t>PAPELERIA EL PINGÜINO</t>
  </si>
  <si>
    <t>Abajo ANGELA ADRIANA ARISTIZABAL</t>
  </si>
  <si>
    <t>contabilidad@comsistel.com.co;girlesa.ruiz@servipilas.com;joriescobar64@gmail.com</t>
  </si>
  <si>
    <t>GLORIA CECILILA ESTRADA</t>
  </si>
  <si>
    <t>PYG YERRY JORDANO GALLO BUILES</t>
  </si>
  <si>
    <t>SURTI EXPRESS</t>
  </si>
  <si>
    <t>Abajo ACCESORIOS PARA CELULAR GTA</t>
  </si>
  <si>
    <t>A-3392</t>
  </si>
  <si>
    <t>contabilidad@logimexsas.com;girlesa.ruiz@servipilas.com;joriescobar64@gmail.com;facturacion@servipilas.com</t>
  </si>
  <si>
    <t>SI/NO</t>
  </si>
  <si>
    <t>SI</t>
  </si>
  <si>
    <t>NO</t>
  </si>
  <si>
    <t>BATTERY STORE</t>
  </si>
  <si>
    <t>Abajo ANDRES RAMIREZ KAIROS</t>
  </si>
  <si>
    <t>a</t>
  </si>
  <si>
    <t>recepcion.medellin@girag.com;girlesa.ruiz@servipilas.com;joriescobar64@gmail.com</t>
  </si>
  <si>
    <t>GIRAG SAS</t>
  </si>
  <si>
    <t>LOGIMEX BATTERY STORE</t>
  </si>
  <si>
    <t>MOVERCARGO - BATTERY STORE</t>
  </si>
  <si>
    <t>POWER SONIC</t>
  </si>
  <si>
    <t>LOGIMEX - POWER SONIC</t>
  </si>
  <si>
    <t>REVO COLOMBIA SAS</t>
  </si>
  <si>
    <t>jeimmy.rojas@revo360.com; gerenteaduanera@wtnewvision.com; girlesa.ruiz@servipilas.com;joriescobar64@gmail.com</t>
  </si>
  <si>
    <t>Abajo GLORIA CECILILA ESTRADA</t>
  </si>
  <si>
    <t>Abajo ELECTRONICA VICTORINOS</t>
  </si>
  <si>
    <t>MY CELLULAR DEPOT SAS</t>
  </si>
  <si>
    <t>mycellulardepotsas@gmail.com; girlesa.ruiz@servipilas.com;joriescobar64@gmail.com</t>
  </si>
  <si>
    <t>01/04/2025</t>
  </si>
  <si>
    <t>Abajo MANUFACTURAS HEFZI-BA Juan Manuel Pulsos</t>
  </si>
  <si>
    <t>ABAJO GIRLESA RUIZ</t>
  </si>
  <si>
    <t>ABAJO SWIZZER REPUESTOS</t>
  </si>
  <si>
    <t>ABAJO REPUESTOS CALI</t>
  </si>
  <si>
    <t>restrepoedision@yahoo.es; admon@surtiexpress.com.co;girlesa.ruiz@servipilas.com;joriescobar64@gmail.com</t>
  </si>
  <si>
    <t>Pagada</t>
  </si>
  <si>
    <t>estado pago</t>
  </si>
  <si>
    <t>CRÉDITO</t>
  </si>
  <si>
    <t>1. hacer click en el botón "traer Datos</t>
  </si>
  <si>
    <t>Nota: la formula no suma los porveedores con los simbolos "X@"</t>
  </si>
  <si>
    <t>Cierre de mes</t>
  </si>
  <si>
    <t>PAGO VENCIDO</t>
  </si>
  <si>
    <t>31/12/2024</t>
  </si>
  <si>
    <t>31/01/2025</t>
  </si>
  <si>
    <t>C:\Users\SILVIA\Downloads</t>
  </si>
  <si>
    <t>Abajo MEGARED X@</t>
  </si>
  <si>
    <t>21 GRADOS</t>
  </si>
  <si>
    <t>Abajo 11 TECHNOLOGIES</t>
  </si>
  <si>
    <t>Abajo A TU MANO</t>
  </si>
  <si>
    <t>alejovelas0426@gmail.com;girlesa.ruiz@servipilas.com;joriescobar64@gmail.com</t>
  </si>
  <si>
    <t>bacolombia ah 01012530214</t>
  </si>
  <si>
    <t>ABAJO ALEKO</t>
  </si>
  <si>
    <t>Abajo ALEX DAVAL</t>
  </si>
  <si>
    <t>Abajo ANDREA RAMIREZ</t>
  </si>
  <si>
    <t xml:space="preserve">ABAJO ANDRES GARZON </t>
  </si>
  <si>
    <t>Abajo ARTEFINAL / JAIME EDUARDO PRADA FORERO</t>
  </si>
  <si>
    <t>jaimepradaforero@hotmail.com ;girlesa.ruiz@servipilas.com;joriescobar64@gmail.com</t>
  </si>
  <si>
    <t>Abajo audifonos</t>
  </si>
  <si>
    <t>Abajo AVELINA</t>
  </si>
  <si>
    <t>avelinacomer@gmail.com;girlesa.ruiz@servipilas.com;joriescobar64@gmail.com</t>
  </si>
  <si>
    <t>Abajo BILLEN</t>
  </si>
  <si>
    <t>Abajo CAJONES DE RELOJ</t>
  </si>
  <si>
    <t>Abajo CAJONES GIRLESA</t>
  </si>
  <si>
    <t>Abajo CARETAS</t>
  </si>
  <si>
    <t>Abajo CARLOS MARIO BETANCUR</t>
  </si>
  <si>
    <t>carloseuristika@hotmail.com;girlesa.ruiz@servipilas.com;joriescobar64@gmail.com</t>
  </si>
  <si>
    <t>Abajo COMERCIALIZADORA BYJ</t>
  </si>
  <si>
    <t>ABAJO COMERCIALIZADORA UBRA JOT</t>
  </si>
  <si>
    <t>admin@ubrajot.com; girlesaro@gmail.com; joriescobar64@gmail.com</t>
  </si>
  <si>
    <t>Abajo contado X@</t>
  </si>
  <si>
    <t>Abajo COSOSTENIBLE</t>
  </si>
  <si>
    <t>juan.suarez@cosostenible.com;girlesa.ruiz@servipilas.com;joriescobar64@gmail.com</t>
  </si>
  <si>
    <t>Abajo DAVID HOYOS</t>
  </si>
  <si>
    <t>??;girlesa.ruiz@servipilas.com;joriescobar64@gmail.com</t>
  </si>
  <si>
    <t>Abajo DIEGO RAMIREZ</t>
  </si>
  <si>
    <t>ABAJO DIY CLOCK</t>
  </si>
  <si>
    <t>Abajo Dotaciones Ohana X@</t>
  </si>
  <si>
    <t>dotaciones.ohana.eu@gmail.com;girlesa.ruiz@servipilas.com;joriescobar64@gmail.com</t>
  </si>
  <si>
    <t>Abajo DUBAN LOPEZ</t>
  </si>
  <si>
    <t>Abajo EL PALACIO NAVIDEÑO</t>
  </si>
  <si>
    <t>Abajo ELITE</t>
  </si>
  <si>
    <t>bancolombia ah 91215970731</t>
  </si>
  <si>
    <t>Abajo ELIZABETH LOAIZA</t>
  </si>
  <si>
    <t>Abajo EN EFECTIVO</t>
  </si>
  <si>
    <t>Abajo ESTANTERIA BELLO</t>
  </si>
  <si>
    <t>Abajo Estuches Antonia Fernandez</t>
  </si>
  <si>
    <t>Abajo ESTUCHES DE RELOJ</t>
  </si>
  <si>
    <t>Abajo FREDY SERNA</t>
  </si>
  <si>
    <t>Abajo GERMAN PALACIOS</t>
  </si>
  <si>
    <t>gerencia@som-tec.com;girlesa.ruiz@servipilas.com;joriescobar64@gmail.com</t>
  </si>
  <si>
    <t>Abajo GLORIA BELLO</t>
  </si>
  <si>
    <t>Abajo Gloria Estrada</t>
  </si>
  <si>
    <t>Abajo GLORIA SOTO</t>
  </si>
  <si>
    <t>gloritasz@gmail.com;girlesa.ruiz@servipilas.com;joriescobar64@gmail.com</t>
  </si>
  <si>
    <t>Abajo HAROLD BRIGHTSIDE</t>
  </si>
  <si>
    <t>Abajo HERMANO DE KAIROS</t>
  </si>
  <si>
    <t>Abajo HUMBERTO ALVAREZ</t>
  </si>
  <si>
    <t>Abajo INNOVATECH</t>
  </si>
  <si>
    <t>BRIGHTSIDELED2019@gmail.com;girlesa.ruiz@servipilas.com;joriescobar64@gmail.com</t>
  </si>
  <si>
    <t>CORRIENTE BANCOLOMBIA No. 227-000104-25</t>
  </si>
  <si>
    <t>Abajo INSTITUCIONALES</t>
  </si>
  <si>
    <t>Abajo INVERSIONES ARCILA</t>
  </si>
  <si>
    <t>CARLOSARCILAMENSAJERIA@gmail.com;girlesa.ruiz@servipilas.com;joriescobar64@gmail.com</t>
  </si>
  <si>
    <t>Abajo JORGE ARREDONDO - JARLY SAS</t>
  </si>
  <si>
    <t>jarlysas@gmail.com;o.clockinternational@gmail.com;girlesa.ruiz@servipilas.com;joriescobar64@gmail.com</t>
  </si>
  <si>
    <t>Bancolombia cc 01058821343
Convenio 38847</t>
  </si>
  <si>
    <t>Abajo JORGE DIAMANTE</t>
  </si>
  <si>
    <t>Abajo Julian Mauricio Gómez / Vitricocinas</t>
  </si>
  <si>
    <t>Abajo LA CENTRAL</t>
  </si>
  <si>
    <t>Abajo LA ESQUINA DEL MACHETE</t>
  </si>
  <si>
    <t>Abajo LAS GORDAS</t>
  </si>
  <si>
    <t>ABAJO LAURA CORREA</t>
  </si>
  <si>
    <t>Abajo MAKING BUSINESS</t>
  </si>
  <si>
    <t>Abajo MARTA PUNTAZO - PYG</t>
  </si>
  <si>
    <t>Abajo MAYORCA</t>
  </si>
  <si>
    <t>Abajo MEGAMUNDO</t>
  </si>
  <si>
    <t>Abajo MODULOS</t>
  </si>
  <si>
    <t>Abajo MOLINOS</t>
  </si>
  <si>
    <t>Abajo OFICINA</t>
  </si>
  <si>
    <t>Abajo OLGA CARDONA</t>
  </si>
  <si>
    <t>Abajo PATRICIA SUCERQUIA</t>
  </si>
  <si>
    <t>Abajo PILAS</t>
  </si>
  <si>
    <t>ABAJO PRECISON DEL TIEMPO</t>
  </si>
  <si>
    <t>Abajo PUERTA DEL NORTE</t>
  </si>
  <si>
    <t>ABAJO PULSOS</t>
  </si>
  <si>
    <t>Abajo Pulsos Alveiro García</t>
  </si>
  <si>
    <t>Abajo PULSOS ESPECIALES</t>
  </si>
  <si>
    <t>Abajo PULSOS G SHOCK</t>
  </si>
  <si>
    <t>Abajo PYG</t>
  </si>
  <si>
    <t>Abajo RACKLO</t>
  </si>
  <si>
    <t>ABAJO RODOLFO PARAMO X@</t>
  </si>
  <si>
    <t>Abajo RUSBEL GIRALDO SERNA</t>
  </si>
  <si>
    <t>Abajo SAN DIEGO</t>
  </si>
  <si>
    <t>Abajo SANDIEGO</t>
  </si>
  <si>
    <t>Abajo SANTA BARBARA DISTRONIK</t>
  </si>
  <si>
    <t>ABAJO SANTA MENSAJERIA X@</t>
  </si>
  <si>
    <t>Abajo SIMON MDE</t>
  </si>
  <si>
    <t>Abajo SOUND TECHNOLOGY</t>
  </si>
  <si>
    <t>Abajo SP PULSOS</t>
  </si>
  <si>
    <t>Abajo Tapabocas Juan Diego</t>
  </si>
  <si>
    <t>Abajo TARJETAS DE REGALO</t>
  </si>
  <si>
    <t>Abajo TECNO MANHATAN</t>
  </si>
  <si>
    <t>Abajo TECNOPILAS</t>
  </si>
  <si>
    <t>Abajo Termopack</t>
  </si>
  <si>
    <t>Abajo UNIFORMES</t>
  </si>
  <si>
    <t>Abajo URIEL GALLEGO</t>
  </si>
  <si>
    <t>Abajo URIEL GOMEZ</t>
  </si>
  <si>
    <t>Abajo W CUERO</t>
  </si>
  <si>
    <t>Abajo WILFER GOMEZ - YERMN</t>
  </si>
  <si>
    <t>AEROSAN KENEX</t>
  </si>
  <si>
    <t>cartera@aerosan.com;girlesa.ruiz@servipilas.com;joriescobar64@gmail.com</t>
  </si>
  <si>
    <t>aguadulce - sinming china</t>
  </si>
  <si>
    <t>AINTERCARGA MONTBLANC</t>
  </si>
  <si>
    <t>carterabogota@aintercarga.com;girlesa.ruiz@servipilas.com;joriescobar64@gmail.com</t>
  </si>
  <si>
    <t>ALEKO</t>
  </si>
  <si>
    <t>ALEX MARINO ENRIQUEZ</t>
  </si>
  <si>
    <t>alexenriquez73.ae@gmail.com;girlesa.ruiz@servipilas.com;joriescobar64@gmail.com;info@servipilas.com</t>
  </si>
  <si>
    <t>ALKOMPRAR</t>
  </si>
  <si>
    <t>Allianz Seguros X@</t>
  </si>
  <si>
    <t>pse</t>
  </si>
  <si>
    <t>ALPHA</t>
  </si>
  <si>
    <t>AMAZING TECH GROUP</t>
  </si>
  <si>
    <t>g_tech_group@outlook.es</t>
  </si>
  <si>
    <t>AMERICAN INSAP INGENIERIA</t>
  </si>
  <si>
    <t xml:space="preserve">AMERICAN INSAP INGENIERIA Y SERVICIOS </t>
  </si>
  <si>
    <t>APC</t>
  </si>
  <si>
    <t>santiago.botero@apcmayorista.com;girlesa.ruiz@servipilas.com;joriescobar64@gmail.com</t>
  </si>
  <si>
    <t>APC X@</t>
  </si>
  <si>
    <t>ARCOSISTEMAS X@</t>
  </si>
  <si>
    <t xml:space="preserve">BATERIAS EL ROBLE </t>
  </si>
  <si>
    <t>BIGTRONICA</t>
  </si>
  <si>
    <t>BIGTRONICA X@</t>
  </si>
  <si>
    <t>BOMBEROS BELLOS X@</t>
  </si>
  <si>
    <t>BOMBEROS SABANETA X@</t>
  </si>
  <si>
    <t>inspecciones@bomberossabaneta.com;girlesa.ruiz@servipilas.com;joriescobar64@gmail.com</t>
  </si>
  <si>
    <t>10242688219  Bancolombia ahorros</t>
  </si>
  <si>
    <t>BTN</t>
  </si>
  <si>
    <t>CARPA - BATTERY STORE</t>
  </si>
  <si>
    <t>CARPA - MONTBLANC</t>
  </si>
  <si>
    <t>CARPA - POWER SONIC</t>
  </si>
  <si>
    <t xml:space="preserve">CASA COLOMBOSUIZA DMARIO </t>
  </si>
  <si>
    <t>financiero@dmariocolombia.com.co; cartera@CASA COLOMBOSUIZA DMARIO colombia.com.co;girlesa.ruiz@servipilas.com;joriescobar64@gmail.com</t>
  </si>
  <si>
    <t>CEDESISTEMAS X@</t>
  </si>
  <si>
    <t>CENTRO DE FORMACION EMPRESARIAL Y DE TECNOLOGIA- CETIA</t>
  </si>
  <si>
    <t>tesoreria@cetia.edu.co ;girlesa.ruiz@servipilas.com;joriescobar64@gmail.com</t>
  </si>
  <si>
    <t>CESDE X@</t>
  </si>
  <si>
    <t>dua@cedesistemas.edu.co;girlesa.ruiz@servipilas.com;joriescobar64@gmail.com</t>
  </si>
  <si>
    <t>CIDET X@</t>
  </si>
  <si>
    <t>tesoreria@cidet.org.co;girlesa.ruiz@servipilas.com;joriescobar64@gmail.com</t>
  </si>
  <si>
    <t>COEXITO X@</t>
  </si>
  <si>
    <t>COMERCIAL WEB X@</t>
  </si>
  <si>
    <t>contabilidad@comercialweb.com.co;info@servipilas.com</t>
  </si>
  <si>
    <t>AHORROS BANCOLOMBIA N° 27200000468</t>
  </si>
  <si>
    <t>COMERCIALIZADORA AVELINA</t>
  </si>
  <si>
    <t>COPAPEL X@</t>
  </si>
  <si>
    <t>carlos.bohorquez@copapel.com;girlesa.ruiz@servipilas.com;joriescobar64@gmail.com</t>
  </si>
  <si>
    <t>COPORACION TROVEMOS X@</t>
  </si>
  <si>
    <t>corporacion.trovemos@gmail.com;girlesa.ruiz@servipilas.com;joriescobar64@gmail.com</t>
  </si>
  <si>
    <t>COSOSTENIBLE</t>
  </si>
  <si>
    <t xml:space="preserve">bancolombia cc 388-991169-88 </t>
  </si>
  <si>
    <t>DIAN - BATTERY STORE</t>
  </si>
  <si>
    <t>DIAN - KENEX</t>
  </si>
  <si>
    <t>DIAN - MONTBLANC</t>
  </si>
  <si>
    <t>DIAN - POWER SONIC</t>
  </si>
  <si>
    <t>DIAN - TENERGY</t>
  </si>
  <si>
    <t>DIAN - TNR</t>
  </si>
  <si>
    <t>DIAN X@</t>
  </si>
  <si>
    <t>DIEGO GIRALDO YEPES MUÑECOS</t>
  </si>
  <si>
    <t>DUCON X@</t>
  </si>
  <si>
    <t>juanzuluaga@ducon.com.co;girlesa.ruiz@servipilas.com;joriescobar64@gmail.com</t>
  </si>
  <si>
    <t>EL IMPERIO DIGITAL - YERMIN</t>
  </si>
  <si>
    <t>yermingg@hotmail.com;rubizulu@hotmail.com;girlesa.ruiz@servipilas.com;joriescobar64@gmail.com</t>
  </si>
  <si>
    <t>Electronicas canare</t>
  </si>
  <si>
    <t>electronicascanaresas@gmail.com;girlesa.ruiz@servipilas.com;joriescobar64@gmail.com</t>
  </si>
  <si>
    <t>BANCOLOMBIA AHORROS 10352314124</t>
  </si>
  <si>
    <t>EMT</t>
  </si>
  <si>
    <t>ENERGIZER BRANDS</t>
  </si>
  <si>
    <t>Fernando.Carmona@energizer.com;girlesa.ruiz@servipilas.com;joriescobar64@gmail.com</t>
  </si>
  <si>
    <t>ESTUCHES DE CELULAR</t>
  </si>
  <si>
    <t>EUFRACIO DE JEUS ARISTIZABAL DUQUE</t>
  </si>
  <si>
    <t>adtienda.facturacion@gmail.com; girlesa.ruiz@servipilas.com;joriescobar64@gmail.com</t>
  </si>
  <si>
    <t>ÉXITO</t>
  </si>
  <si>
    <t>FABRIRROLLOS</t>
  </si>
  <si>
    <t>FALABELLA</t>
  </si>
  <si>
    <t>FLASH  - TNR</t>
  </si>
  <si>
    <t>vromero@flashinternational.us;girlesa.ruiz@servipilas.com;joriescobar64@gmail.com</t>
  </si>
  <si>
    <t>FLASH - Abajo</t>
  </si>
  <si>
    <t>FLASH - casillero</t>
  </si>
  <si>
    <t>FLASH - MONTBLANC</t>
  </si>
  <si>
    <t>FLASH - TENERGY</t>
  </si>
  <si>
    <t>FLASH - TNR</t>
  </si>
  <si>
    <t>FLASH - TNR - MONTBLANC</t>
  </si>
  <si>
    <t>FLASH INTERNATIONAL</t>
  </si>
  <si>
    <t>GABRIEL JAIME BOTERO ARANGO</t>
  </si>
  <si>
    <t xml:space="preserve">GASTOS VARIOS </t>
  </si>
  <si>
    <t>GB BIENES X@</t>
  </si>
  <si>
    <t>GRUPO ZAMBRANO</t>
  </si>
  <si>
    <t>logistic@grupozambrano.com;info@servipilas.com;girlesa.ruiz@servipilas.com;joriescobar64@gmail.com</t>
  </si>
  <si>
    <t>GRUPOINTER LLANTAS X@</t>
  </si>
  <si>
    <t>I.C. ELECTRONICS SAS</t>
  </si>
  <si>
    <t>icelectronicsmedellin@hotmail.com</t>
  </si>
  <si>
    <t>00100000445 cta bancolombia ahorros</t>
  </si>
  <si>
    <t>IEO ASOCIADOS</t>
  </si>
  <si>
    <t>julian@ieosas.com;girlesa.ruiz@servipilas.com;joriescobar64@gmail.com</t>
  </si>
  <si>
    <t>ILUX</t>
  </si>
  <si>
    <t>operaciones@ilux.com.co;girlesa.ruiz@servipilas.com;joriescobar64@gmail.com</t>
  </si>
  <si>
    <t xml:space="preserve">IMPERIO DIGITAL - WILFER GOMEZ </t>
  </si>
  <si>
    <t>IMPOCARGO - POWER SONIC</t>
  </si>
  <si>
    <t>howardlondono@impocarga.com;oswaldo.alvarez@logimexsas.com;girlesa.ruiz@servipilas.com;joriescobar64@gmail.com</t>
  </si>
  <si>
    <t>IMPORTACIONES EL NORTEÑO</t>
  </si>
  <si>
    <t>IMPORTACIONES UNIFER</t>
  </si>
  <si>
    <t>cartera@jeway.com.co;girlesa.ruiz@servipilas.com;joriescobar64@gmail.com</t>
  </si>
  <si>
    <t>IMPORTADORA Y DISTRIBUIDORA MEGA</t>
  </si>
  <si>
    <t>INGENELCO SAS</t>
  </si>
  <si>
    <t>ingenelcosas@gmail.com; girlesa.ruiz@servipilas.com;joriescobar64@gmail.com</t>
  </si>
  <si>
    <t>INNOVATECH</t>
  </si>
  <si>
    <t>INVERSIONES ARCILA</t>
  </si>
  <si>
    <t>ISABEL CRISTINA CANO X@</t>
  </si>
  <si>
    <t>61457715292 -Bancolombia Ahorros</t>
  </si>
  <si>
    <t>ISMART ELECTRONICS X@</t>
  </si>
  <si>
    <t>IVAN ALONSO ARISTIZABAL DUQUE</t>
  </si>
  <si>
    <t>aristiduque0428@gmail.com;girlesa.ruiz@servipilas.com;joriescobar64@gmail.com</t>
  </si>
  <si>
    <t>JARLY SAS - JORGE ARREDONDO</t>
  </si>
  <si>
    <t>JORGE ARREDONDO - JARLY SAS</t>
  </si>
  <si>
    <t>JUAN CARLOS MOJOCOA (Renata)</t>
  </si>
  <si>
    <t>juancarlos.mojocoa@gmail.com;girlesa.ruiz@servipilas.com;joriescobar64@gmail.com</t>
  </si>
  <si>
    <t>KBH metering</t>
  </si>
  <si>
    <t>KINESIS</t>
  </si>
  <si>
    <t>Facturas@kinnesis.com;girlesa.ruiz@servipilas.com;joriescobar64@gmail.com</t>
  </si>
  <si>
    <t>KINNESIS SOLUTIONS</t>
  </si>
  <si>
    <t>LAURA HOYOS</t>
  </si>
  <si>
    <t>Liberty seguros X@</t>
  </si>
  <si>
    <t>LOGIMEX - BATTERY STORE</t>
  </si>
  <si>
    <t>LOGIMEX - KENEX</t>
  </si>
  <si>
    <t>LOGIMEX - MONTBLANC</t>
  </si>
  <si>
    <t>LOGIMEX - TNR</t>
  </si>
  <si>
    <t>LOS VICTORINOS IMPORTACIONES SAS</t>
  </si>
  <si>
    <t>losvictorinosdigital@gmail.com</t>
  </si>
  <si>
    <t>LUZ MYRIAM GIRALDO ZUMA</t>
  </si>
  <si>
    <t>LMGS789@HOTMAIL.COM;girlesa.ruiz@servipilas.com;joriescobar64@gmail.com</t>
  </si>
  <si>
    <t>M+P  X@</t>
  </si>
  <si>
    <t>mobiliariomasproyectos@gmail.com;girlesa.ruiz@servipilas.com;joriescobar64@gmail.com</t>
  </si>
  <si>
    <t>MARCO MAYORGA</t>
  </si>
  <si>
    <t>MARIA MARTHA RAMIREZ ZULUAGA - JORGE ARREDONDO</t>
  </si>
  <si>
    <t>MARIANA PELAEZ X@</t>
  </si>
  <si>
    <t>MAXIPILAS</t>
  </si>
  <si>
    <t>MEGA</t>
  </si>
  <si>
    <t>MERCEDES PILAS</t>
  </si>
  <si>
    <t>MONTBLANC</t>
  </si>
  <si>
    <t>MOVERCARGO - SINOMING CHINA</t>
  </si>
  <si>
    <t>Movistar movil X@</t>
  </si>
  <si>
    <t>MSL - Somonsing China</t>
  </si>
  <si>
    <t>asistente@mslcorporate.com.co;girlesa.ruiz@servipilas.com;joriescobar64@gmail.com</t>
  </si>
  <si>
    <t>MUNDITONNER</t>
  </si>
  <si>
    <t>comercial@munditonner.com.co;girlesa.ruiz@servipilas.com;joriescobar64@gmail.com</t>
  </si>
  <si>
    <t>MUÑECOS - GRUPO ARISTIZABAL DUQUE</t>
  </si>
  <si>
    <t>ad.facturacion@gmail.com; girlesa.ruiz@servipilas.com;joriescobar64@gmail.com</t>
  </si>
  <si>
    <t>MUNICIPIO DE MEDELLIN X@</t>
  </si>
  <si>
    <t>NEW TIME BRIDGE</t>
  </si>
  <si>
    <t>supervisorventasbridge@gmail.com;newtimewatches1@gmail.com;girlesa.ruiz@servipilas.com;joriescobar64@gmail.com</t>
  </si>
  <si>
    <t>BANCO DE BOGOTÁ cc 071-189-245</t>
  </si>
  <si>
    <t>zully.florez@powest.com;girlesa.ruiz@servipilas.com;joriescobar64@gmail.com</t>
  </si>
  <si>
    <t>NIDIA LUZ DUQUE DUQUE</t>
  </si>
  <si>
    <t>OPELSA</t>
  </si>
  <si>
    <t>OPELSA - KENEX</t>
  </si>
  <si>
    <t>OPELSA - POWER SONIC</t>
  </si>
  <si>
    <t>OPELSA - TENERGY</t>
  </si>
  <si>
    <t>OPELSA - TNR - MONTBLANC</t>
  </si>
  <si>
    <t>OPELSA KENEX</t>
  </si>
  <si>
    <t>OPELSA TNR</t>
  </si>
  <si>
    <t>PATEX X@</t>
  </si>
  <si>
    <t>Info.patex@gmail.com;girlesa.ruiz@servipilas.com;joriescobar64@gmail.com</t>
  </si>
  <si>
    <t>Pressex courier - casillero</t>
  </si>
  <si>
    <t>bog.fa1@pressex.co;bog.fm1@pressex.co;kbaumgartner@pressex.co;girlesa.ruiz@servipilas.com;joriescobar64@gmail.com</t>
  </si>
  <si>
    <t>Pressex courier - Kenex</t>
  </si>
  <si>
    <t>Pressex courier - montblanc</t>
  </si>
  <si>
    <t>Pressex courier - tnr</t>
  </si>
  <si>
    <t>Pressex Logistics - casillero</t>
  </si>
  <si>
    <t>Pressex Logistics - montblanc</t>
  </si>
  <si>
    <t>Pressex Logistics - tnr</t>
  </si>
  <si>
    <t>aleja-1305agudelo@hotmail.com;provecol@une.net.co;girlesa.ruiz@servipilas.com;joriescobar64@gmail.com; espinozamonica582@hotmail.com</t>
  </si>
  <si>
    <t>RAGO</t>
  </si>
  <si>
    <t>ragomedellin@gmail.com;girlesa.ruiz@servipilas.com;joriescobar64@gmail.com</t>
  </si>
  <si>
    <t>REEMBOLSO CAJA MENOR X@</t>
  </si>
  <si>
    <t>REMARCA X@</t>
  </si>
  <si>
    <t xml:space="preserve">asistente@remarcalimitada.com;girlesa.ruiz@servipilas.com;joriescobar64@gmail.com
</t>
  </si>
  <si>
    <t>RENTOLDOS SAS BANCOLOMBIA X@</t>
  </si>
  <si>
    <t>margaritadavid@hotmail.es;girlesa.ruiz@servipilas.com;joriescobar64@gmail.com;MERCADEO@servipilas.com</t>
  </si>
  <si>
    <t>ventas@ryultda.com; girlesa.ruiz@servipilas.com;joriescobar64@gmail.com</t>
  </si>
  <si>
    <t>ROLDAN Y COMPAÑÍA - TNR - MONTBLANC</t>
  </si>
  <si>
    <t>SANTA JUANA (jorge escobar) X@</t>
  </si>
  <si>
    <t>SANTIAGO MURIEL Contador  X@</t>
  </si>
  <si>
    <t>santiago30m@hotmail.com;girlesa.ruiz@servipilas.com;joriescobar64@gmail.com</t>
  </si>
  <si>
    <t xml:space="preserve">91222722841  Bancolombia ahorros </t>
  </si>
  <si>
    <t>SEÑALIZACIÓN Y AVISOS X@</t>
  </si>
  <si>
    <t>senalizacionyavisos@gmail.com;girlesa.ruiz@servipilas.com;joriescobar64@gmail.com</t>
  </si>
  <si>
    <t>SERVI REFRIAIRE  X@</t>
  </si>
  <si>
    <t>SIIGO X@</t>
  </si>
  <si>
    <t>SILLAS Y MANTENIMIENTOS X@</t>
  </si>
  <si>
    <t>syman07@hotmail.com;girlesa.ruiz@servipilas.com;joriescobar64@gmail.com</t>
  </si>
  <si>
    <t>SIMA TECNOLOGIA SAS</t>
  </si>
  <si>
    <t>sima@simatecnologia.com; girlesa.ruiz@servipilas.com;joriescobar64@gmail.com</t>
  </si>
  <si>
    <t>SIMH</t>
  </si>
  <si>
    <t>facturasimh@simh.com.co;girlesa.ruiz@servipilas.com;joriescobar64@gmail.com</t>
  </si>
  <si>
    <t>Sinoming china</t>
  </si>
  <si>
    <t>jack@sinomingproducts.com;info@servipilas.com</t>
  </si>
  <si>
    <t>SISTECREDITO</t>
  </si>
  <si>
    <t>pagos@sistecredito.com;girlesa.ruiz@servipilas.com;joriescobar64@gmail.com</t>
  </si>
  <si>
    <t>SOMOS TECNOLOGIA</t>
  </si>
  <si>
    <t>SP PULSOS</t>
  </si>
  <si>
    <t>STEREN</t>
  </si>
  <si>
    <t>SUMINISTRO Y CONRTOLES ELECTTRICOS SA SUCONEL</t>
  </si>
  <si>
    <t>suconel@suconel.com; girlesa.ruiz@servipilas.com;joriescobar64@gmail.com</t>
  </si>
  <si>
    <t>SURANI ALEJANDRA OSORIO FRANCO</t>
  </si>
  <si>
    <t>syco y acimpro X@</t>
  </si>
  <si>
    <t>TB PLUS</t>
  </si>
  <si>
    <t>lpena@tbplusenergy.com;girlesa.ruiz@servipilas.com;joriescobar64@gmail.com</t>
  </si>
  <si>
    <t>TECNOSOLUCIONES X@</t>
  </si>
  <si>
    <t>TEMPEL COLOMBIA LTDA</t>
  </si>
  <si>
    <t>TENERGY</t>
  </si>
  <si>
    <t>TERMOEMPAK X@</t>
  </si>
  <si>
    <t>TNR</t>
  </si>
  <si>
    <t>UNITEC</t>
  </si>
  <si>
    <t>cxc11@unitecusa.com.co;jefecartera@unitecusa.com.co;girlesa.ruiz@servipilas.com;joriescobar64@gmail.com</t>
  </si>
  <si>
    <t>URIEL GALLEGO</t>
  </si>
  <si>
    <t>VYP X@</t>
  </si>
  <si>
    <t>CBastidas@vyp.com.co;girlesa.ruiz@servipilas.com;joriescobar64@gmail.com</t>
  </si>
  <si>
    <t>W</t>
  </si>
  <si>
    <t>YERMIN</t>
  </si>
  <si>
    <t>INTERCONTINENTAL ZONA LIBRE PANAMÁ</t>
  </si>
  <si>
    <t>LOGIMEX - INTERCONTINENTAL ZONA LIBRE PANAMÁ</t>
  </si>
  <si>
    <t>GEMA DISTRIBUCIONES Y SERVICIOS SAS</t>
  </si>
  <si>
    <t>JOSÉ FERNANDO POSADA CALLE</t>
  </si>
  <si>
    <t>sotis669@hotmail.com; girlesa.ruiz@servipilas.com;joriescobar64@gmail.com</t>
  </si>
  <si>
    <t>Abajo CAMILO HERNAN PUENTES BONILLA - TIME REPUESTOS BOGOTA</t>
  </si>
  <si>
    <t>BANIMPORTED</t>
  </si>
  <si>
    <t>secretaria@banimported.com;girlesa.ruiz@servipilas.com;joriescobar64@gmail.com</t>
  </si>
  <si>
    <t>COMPOMEDIC SAS</t>
  </si>
  <si>
    <t>info@compomedica.com.co; girlesa.ruiz@servipilas.com;joriescobar64@gmail.com</t>
  </si>
  <si>
    <t>ABAJO EUFRACIO DE JEUS ARISTIZABAL DUQUE</t>
  </si>
  <si>
    <t>IMPOCARGA SAS</t>
  </si>
  <si>
    <t>contabilidadramirezasesores@impocarga.com; comercial@impocarga.com; girlesa.ruiz@servipilas.com;joriescobar64@gmail.com</t>
  </si>
  <si>
    <t>Abajo SANTIAGO MEJIA PILAS</t>
  </si>
  <si>
    <t>Abajo MAURICIO Q&amp;Q</t>
  </si>
  <si>
    <t>INVERSIONES DILA SAS</t>
  </si>
  <si>
    <t>dilafajas2023@gmai.com; girlesa.ruiz@servipilas.com;joriescobar64@gmail.com</t>
  </si>
  <si>
    <t>contabilidad.co@tempelgroup.com; girlesa.ruiz@servipilas.com;joriescobar64@gmail.com</t>
  </si>
  <si>
    <t>ABAJO GUSTAVO PULSOS</t>
  </si>
  <si>
    <t>Puerta</t>
  </si>
  <si>
    <t>ABAJO AURELIO PILAS</t>
  </si>
  <si>
    <t>ABAJO CONTADO</t>
  </si>
  <si>
    <t>ABAJO NIA</t>
  </si>
  <si>
    <t>SANTIAGO ALARMAR</t>
  </si>
  <si>
    <t>Base caja menor</t>
  </si>
  <si>
    <t>ABAJO EFREN</t>
  </si>
  <si>
    <t>ABAJO ANGELA ADRIANA ARISTIZABAL</t>
  </si>
  <si>
    <t>sapian X@</t>
  </si>
  <si>
    <t>compras contado locales</t>
  </si>
  <si>
    <t>del 16 al 31 oct</t>
  </si>
  <si>
    <t>PILAS PANASONIC BOGOTÁ</t>
  </si>
  <si>
    <t>ABAJO MERCEDES PILAS</t>
  </si>
  <si>
    <t>2435- A-3703</t>
  </si>
  <si>
    <t>FEV96113</t>
  </si>
  <si>
    <t>03MS11598</t>
  </si>
  <si>
    <t>HFE1-1094892</t>
  </si>
  <si>
    <t>ABAJO ALIEXPRESS</t>
  </si>
  <si>
    <t>DANIEL ALIEXPRESS</t>
  </si>
  <si>
    <t>03MS11633</t>
  </si>
  <si>
    <t>FE-15530</t>
  </si>
  <si>
    <t>SG2517</t>
  </si>
  <si>
    <t>ME569615</t>
  </si>
  <si>
    <t>REM-6461 A-3681</t>
  </si>
  <si>
    <t>FES-1103</t>
  </si>
  <si>
    <t>A-3705</t>
  </si>
  <si>
    <t>200E40802</t>
  </si>
  <si>
    <t>A-3776</t>
  </si>
  <si>
    <t>FEGS-1900</t>
  </si>
  <si>
    <t>JM1989 - 2303</t>
  </si>
  <si>
    <t>F2779</t>
  </si>
  <si>
    <t>2450-N A-3708</t>
  </si>
  <si>
    <t>FV34241 ALQUILER</t>
  </si>
  <si>
    <t>FV34499 ADMON</t>
  </si>
  <si>
    <t>FESJ222159</t>
  </si>
  <si>
    <t>BM3315</t>
  </si>
  <si>
    <t>FE2324</t>
  </si>
  <si>
    <t>FE3147</t>
  </si>
  <si>
    <t>comercial web x@</t>
  </si>
  <si>
    <t>S11473</t>
  </si>
  <si>
    <t>Sandra Charla Nutricion</t>
  </si>
  <si>
    <t>liquidacion Santiago Cardona</t>
  </si>
  <si>
    <t>Kenex 6297284335</t>
  </si>
  <si>
    <t>FI391163</t>
  </si>
  <si>
    <t>del 1 al 15 nov</t>
  </si>
  <si>
    <t>FVX23350</t>
  </si>
  <si>
    <t>FEV96682</t>
  </si>
  <si>
    <t>IFE59300</t>
  </si>
  <si>
    <t>03MS11696</t>
  </si>
  <si>
    <t>FI 392916</t>
  </si>
  <si>
    <t>FEWG3406 llaveros</t>
  </si>
  <si>
    <t>FE354421 DULCES</t>
  </si>
  <si>
    <t>AD16764</t>
  </si>
  <si>
    <t>Battery 328984-328961</t>
  </si>
  <si>
    <t>FV-1423 KENEX 6297284335</t>
  </si>
  <si>
    <t>FV-1434 BATTERY</t>
  </si>
  <si>
    <t>FE2342</t>
  </si>
  <si>
    <t>MDISS042587</t>
  </si>
  <si>
    <t>AD-79964</t>
  </si>
  <si>
    <t>SP13268</t>
  </si>
  <si>
    <t>TP 11627</t>
  </si>
  <si>
    <t>TP 11667</t>
  </si>
  <si>
    <t>TP 11698</t>
  </si>
  <si>
    <t>ABAJO YOLANDA</t>
  </si>
  <si>
    <t>450- a-3794</t>
  </si>
  <si>
    <t>A-3793</t>
  </si>
  <si>
    <t>2209 Battery Store</t>
  </si>
  <si>
    <t>PM-12810</t>
  </si>
  <si>
    <t>S-30541 LOCAL</t>
  </si>
  <si>
    <t>S-30586 CONSUL</t>
  </si>
  <si>
    <t>RICARDO SANCHEZ</t>
  </si>
  <si>
    <t>A-3798</t>
  </si>
  <si>
    <t>FEGS-2017</t>
  </si>
  <si>
    <t xml:space="preserve">    se pago 23 y 27 de dic</t>
  </si>
  <si>
    <t>OLGA CARDONA - Bolsas de tela</t>
  </si>
  <si>
    <t>FENL 62370</t>
  </si>
  <si>
    <t>SURT-168804</t>
  </si>
  <si>
    <t>JM2062 -2343</t>
  </si>
  <si>
    <t>JM2068 - 2333</t>
  </si>
  <si>
    <t>FI402389 F</t>
  </si>
  <si>
    <t>FES-1363</t>
  </si>
  <si>
    <t>9FP181</t>
  </si>
  <si>
    <t>FENL 62766</t>
  </si>
  <si>
    <t>del 16 al 29 nov</t>
  </si>
  <si>
    <t>meses de sep a nov</t>
  </si>
  <si>
    <t>BOLSAS DE EMPAQUE JUAN JOSE</t>
  </si>
  <si>
    <t>GBYJ412-2344</t>
  </si>
  <si>
    <t>HFE1-1095849</t>
  </si>
  <si>
    <t>JM2076 -2341</t>
  </si>
  <si>
    <t>JM2078-2342</t>
  </si>
  <si>
    <t>FES-1188</t>
  </si>
  <si>
    <t>FI404233</t>
  </si>
  <si>
    <t>FI404304</t>
  </si>
  <si>
    <t>WG-978 - 2346</t>
  </si>
  <si>
    <t>A-3739</t>
  </si>
  <si>
    <t>03MS11827</t>
  </si>
  <si>
    <t>Mayorca</t>
  </si>
  <si>
    <t>FI402070 PILAS RAYOVAC AUDIF</t>
  </si>
  <si>
    <t>FN -91725 CASIO</t>
  </si>
  <si>
    <t>2721 - A-3741</t>
  </si>
  <si>
    <t>R-2326 -A-3737</t>
  </si>
  <si>
    <t>3340- A-3754</t>
  </si>
  <si>
    <t>HFE1-1096577</t>
  </si>
  <si>
    <t>FV35168 ALQUILER</t>
  </si>
  <si>
    <t>FV35423 ADMON</t>
  </si>
  <si>
    <t>AD-80346</t>
  </si>
  <si>
    <t>FESJ223674</t>
  </si>
  <si>
    <t>BM3454</t>
  </si>
  <si>
    <t>A-3829</t>
  </si>
  <si>
    <t>FI405470</t>
  </si>
  <si>
    <t>FE 2442</t>
  </si>
  <si>
    <t>FEGS-2137</t>
  </si>
  <si>
    <t>ABAJO ANDRES RAMIREZ KAIROS</t>
  </si>
  <si>
    <t>998-A-3757</t>
  </si>
  <si>
    <t>FV-2250973</t>
  </si>
  <si>
    <t>FV-2251354</t>
  </si>
  <si>
    <t>A-3758</t>
  </si>
  <si>
    <t>A-3848</t>
  </si>
  <si>
    <t>FEV97533</t>
  </si>
  <si>
    <t>FEV97633</t>
  </si>
  <si>
    <t>FEV98114</t>
  </si>
  <si>
    <t>200E43839</t>
  </si>
  <si>
    <t>FEV98358</t>
  </si>
  <si>
    <t>HFE1-1096885</t>
  </si>
  <si>
    <t>TP 11710</t>
  </si>
  <si>
    <t>TP 11717</t>
  </si>
  <si>
    <t>HFE1-1097114</t>
  </si>
  <si>
    <t>HFE1-1097117</t>
  </si>
  <si>
    <t>2501- A 3788</t>
  </si>
  <si>
    <t>2512- A 3792</t>
  </si>
  <si>
    <t>AD16999</t>
  </si>
  <si>
    <t>FEGS-2142</t>
  </si>
  <si>
    <t>FE41710</t>
  </si>
  <si>
    <t>FE42069</t>
  </si>
  <si>
    <t>la centrak</t>
  </si>
  <si>
    <t>del 1 al 15 de dic</t>
  </si>
  <si>
    <t>San diego</t>
  </si>
  <si>
    <t>JM2109-2351</t>
  </si>
  <si>
    <t>JM2138-2368</t>
  </si>
  <si>
    <t>SE-1298</t>
  </si>
  <si>
    <t xml:space="preserve">WG-993 </t>
  </si>
  <si>
    <t>SE-1302</t>
  </si>
  <si>
    <t>03MS12078</t>
  </si>
  <si>
    <t>FI409240 F</t>
  </si>
  <si>
    <t>FE3244</t>
  </si>
  <si>
    <t>ME573153</t>
  </si>
  <si>
    <t>ME573304</t>
  </si>
  <si>
    <t>ME573264</t>
  </si>
  <si>
    <t>RTP 11737</t>
  </si>
  <si>
    <t>TP 11762</t>
  </si>
  <si>
    <t>TP 11764</t>
  </si>
  <si>
    <t>PM-13123</t>
  </si>
  <si>
    <t>S-30946 LOCAL</t>
  </si>
  <si>
    <t>S-30991 LOCAL</t>
  </si>
  <si>
    <t>SP13565</t>
  </si>
  <si>
    <t>FI408994</t>
  </si>
  <si>
    <t>FI409364 F</t>
  </si>
  <si>
    <t>FI409611 F</t>
  </si>
  <si>
    <t>Iva pte pagos del 16 dic</t>
  </si>
  <si>
    <t>Ajuste valor pte fra ant</t>
  </si>
  <si>
    <t>FES-1262</t>
  </si>
  <si>
    <t>TECH 5610</t>
  </si>
  <si>
    <t>IFE60535</t>
  </si>
  <si>
    <t>GBYJ439</t>
  </si>
  <si>
    <t>FE-16041</t>
  </si>
  <si>
    <t>FE8202</t>
  </si>
  <si>
    <t>FES-1380</t>
  </si>
  <si>
    <t>NC 1112</t>
  </si>
  <si>
    <t>GBYJ451</t>
  </si>
  <si>
    <t>FES-1404</t>
  </si>
  <si>
    <t>FN -92796</t>
  </si>
  <si>
    <t>FN-92803</t>
  </si>
  <si>
    <t>NC-5665</t>
  </si>
  <si>
    <t>FVE-1473 POWER SONIC</t>
  </si>
  <si>
    <t>FVE-1481 BATTERY</t>
  </si>
  <si>
    <t>A-3856</t>
  </si>
  <si>
    <t>A-3847</t>
  </si>
  <si>
    <t>F2190-Estrategia Social Media (Mercadeo Tamar)</t>
  </si>
  <si>
    <t>VMM3439</t>
  </si>
  <si>
    <t>FE-16241</t>
  </si>
  <si>
    <t>PE12803</t>
  </si>
  <si>
    <t>REINTEGRO</t>
  </si>
  <si>
    <t>A-3876</t>
  </si>
  <si>
    <t>A-3830</t>
  </si>
  <si>
    <t>del 16 al 28 dic</t>
  </si>
  <si>
    <t>Isabel auditoria contable</t>
  </si>
  <si>
    <t>HFE1-1097715</t>
  </si>
  <si>
    <t>SURT-177034</t>
  </si>
  <si>
    <t>HFE1-1097837</t>
  </si>
  <si>
    <t>FENL 65090</t>
  </si>
  <si>
    <t>FEV100377</t>
  </si>
  <si>
    <t>FENL 65147</t>
  </si>
  <si>
    <t>HFE1-1098611</t>
  </si>
  <si>
    <t>SURT-179968</t>
  </si>
  <si>
    <t>HFE1-1098839</t>
  </si>
  <si>
    <t>ABAJO UNIVERSAL TIME</t>
  </si>
  <si>
    <t>Cuenta de Cobro#128 Vitrinas Molinos</t>
  </si>
  <si>
    <t>NC339</t>
  </si>
  <si>
    <t>200E45798</t>
  </si>
  <si>
    <t>NC5018</t>
  </si>
  <si>
    <t>NC5019</t>
  </si>
  <si>
    <t>FVX24581</t>
  </si>
  <si>
    <t>FVX24582</t>
  </si>
  <si>
    <t>FEMK6184</t>
  </si>
  <si>
    <t>ME575629</t>
  </si>
  <si>
    <t>MDIS5042646</t>
  </si>
  <si>
    <t>JM2200-2422</t>
  </si>
  <si>
    <t>SI116473</t>
  </si>
  <si>
    <t>SI116461</t>
  </si>
  <si>
    <t>SI116347</t>
  </si>
  <si>
    <t>SI116462</t>
  </si>
  <si>
    <t>ME575923</t>
  </si>
  <si>
    <t>FVX24919</t>
  </si>
  <si>
    <t>5549 A-3837</t>
  </si>
  <si>
    <t>FV-2265337 CEL JUANG #2</t>
  </si>
  <si>
    <t>A-3832</t>
  </si>
  <si>
    <t>JM2218-2412</t>
  </si>
  <si>
    <t>FV-2265947 CEL DON JORGE</t>
  </si>
  <si>
    <t>FV-2266144</t>
  </si>
  <si>
    <t>03MS12291</t>
  </si>
  <si>
    <t>TCO 11576</t>
  </si>
  <si>
    <t>FEV101234</t>
  </si>
  <si>
    <t>SE-1341</t>
  </si>
  <si>
    <t>8125 A-3846</t>
  </si>
  <si>
    <t>FEGS-2732</t>
  </si>
  <si>
    <t>FV-2269021 CEL JUANG</t>
  </si>
  <si>
    <t>FV-2269130</t>
  </si>
  <si>
    <t>201E9029</t>
  </si>
  <si>
    <t>TP 11844</t>
  </si>
  <si>
    <t>WG-1017</t>
  </si>
  <si>
    <t>DFE-20</t>
  </si>
  <si>
    <t>JM2238-2432</t>
  </si>
  <si>
    <t>FEV101354</t>
  </si>
  <si>
    <t>JM2255-2434</t>
  </si>
  <si>
    <t>FE43453</t>
  </si>
  <si>
    <t>12748 A-3805</t>
  </si>
  <si>
    <t>FENL 65982</t>
  </si>
  <si>
    <t>5976-A-3857</t>
  </si>
  <si>
    <t>FE43474</t>
  </si>
  <si>
    <t>13155 A-3854</t>
  </si>
  <si>
    <t>6366 A-3853</t>
  </si>
  <si>
    <t>FE43625</t>
  </si>
  <si>
    <t>FV-2272578</t>
  </si>
  <si>
    <t>GBYJ479 radios</t>
  </si>
  <si>
    <t>A-3873</t>
  </si>
  <si>
    <t>JM2265-2455</t>
  </si>
  <si>
    <t>TP 11894</t>
  </si>
  <si>
    <t>BANCOLOMBIA 5510120491</t>
  </si>
  <si>
    <t>BANCOLOMBIA USD$ 2555406642</t>
  </si>
  <si>
    <t>para pagar vitrina mayorca</t>
  </si>
  <si>
    <t>1 interes</t>
  </si>
  <si>
    <t>1.2 interes</t>
  </si>
  <si>
    <t>CONSIGNACION 2+3 DESDE LA CENTRAL (120 al 1,2% a pagar int x 1.440.000</t>
  </si>
  <si>
    <t>700 de los 30 millo</t>
  </si>
  <si>
    <t>para el prox mes serían interes de 120millo para un valor a pagar x interes de 1.440</t>
  </si>
  <si>
    <t>para el prox mes serían interes de 125millo para un valor a pagar x interes de 1.500</t>
  </si>
  <si>
    <t>1.2 interes (30+90+5+100 total 225 x1.2% $2.700.000)</t>
  </si>
  <si>
    <t>Pago 3 ENE  de plan de celular familiar</t>
  </si>
  <si>
    <t>Pago 1 NOV de plan de celular familiar</t>
  </si>
  <si>
    <t>Pago 2 DIC  de plan de celular familiar</t>
  </si>
  <si>
    <t>Para abonar al leasing Davi</t>
  </si>
  <si>
    <t>solo intereses</t>
  </si>
  <si>
    <t>22 para pagar a don luciano,
8 para la cuenta corriente bancolombia,
10 para cuenta corriente davivienda</t>
  </si>
  <si>
    <t>consignado en la cuenta de daniel escobar</t>
  </si>
  <si>
    <t>Interes al 1%</t>
  </si>
  <si>
    <t>a partir de dic solo se paga interes</t>
  </si>
  <si>
    <t>ajuste de cuentas con fernando</t>
  </si>
  <si>
    <t>AJUSTE MAR15-23</t>
  </si>
  <si>
    <t>Interés al 1.2% mes $960.000</t>
  </si>
  <si>
    <t>intereses no pagados en 2020</t>
  </si>
  <si>
    <t>ajuste ago26/20222 con juan guillermo</t>
  </si>
  <si>
    <t>para pagar fossil</t>
  </si>
  <si>
    <t>marzo</t>
  </si>
  <si>
    <t>AJUSTE DE CREDITO</t>
  </si>
  <si>
    <t>APORTE SEP</t>
  </si>
  <si>
    <t>APORTE OCT</t>
  </si>
  <si>
    <t>APORTE NOV</t>
  </si>
  <si>
    <t>APORTE DIC</t>
  </si>
  <si>
    <t>se pago el crdito de itaú y se abonó al de davivienda 2127</t>
  </si>
  <si>
    <t>15 CORRES 10 ARREDON</t>
  </si>
  <si>
    <t>interes de junio 2022 a junio de 2023</t>
  </si>
  <si>
    <t>intereses del 11 de junio 2023 al 11 de junio 2024</t>
  </si>
  <si>
    <t>KENEX58088</t>
  </si>
  <si>
    <t>dólar mar4700 promedio</t>
  </si>
  <si>
    <t>dólar Abril 4700 promedio</t>
  </si>
  <si>
    <t>AJUSTE TERMINO CREDITO</t>
  </si>
  <si>
    <t>Girfo financiado para pagar fras de Kenex 2530-2655-2722</t>
  </si>
  <si>
    <t>ABONO CON CREDITO BCS3485</t>
  </si>
  <si>
    <t>INTERESES Y FNG</t>
  </si>
  <si>
    <t>INCLUYE AJUSTE</t>
  </si>
  <si>
    <t>pte extracto para actualizar saldos</t>
  </si>
  <si>
    <t>Para pago fras Statur</t>
  </si>
  <si>
    <t>Para pago fra intercontinental panamá</t>
  </si>
  <si>
    <t>abono a capital</t>
  </si>
  <si>
    <t>18/8/21 AJUSTE FIN DE MES</t>
  </si>
  <si>
    <t>Ajuste 15/07/2022</t>
  </si>
  <si>
    <t>INTERES INCLUYE PREDIAL</t>
  </si>
  <si>
    <t>Ajuste</t>
  </si>
  <si>
    <t>Pte Revisar con extracto</t>
  </si>
  <si>
    <t>PTE REVISAR CON EXTRACTO</t>
  </si>
  <si>
    <t>4330 dólar</t>
  </si>
  <si>
    <t>4900 DÓLAR</t>
  </si>
  <si>
    <t>se abono 575 usd</t>
  </si>
  <si>
    <t>AJUSTE FIN DE MES 9.290 uds</t>
  </si>
  <si>
    <t>Se abono 5.000 usd</t>
  </si>
  <si>
    <t>Se abono 1.700 usd</t>
  </si>
  <si>
    <t>Se hizo pago min 65 usd</t>
  </si>
  <si>
    <t>Se hizo pago por 1.130 usd</t>
  </si>
  <si>
    <t>Se pago 300usd</t>
  </si>
  <si>
    <t>PAGO 7.790UDS</t>
  </si>
  <si>
    <t>Abono a tc</t>
  </si>
  <si>
    <t>se pago desde la cta de doña girlesa</t>
  </si>
  <si>
    <t>se debito automatico de la cta cte</t>
  </si>
  <si>
    <t>BANCOLOMBIA fiducuenta</t>
  </si>
  <si>
    <t>CASA SOCIAL fidurenta</t>
  </si>
  <si>
    <t>CAJA SOCIAL corriente + corresponsal</t>
  </si>
  <si>
    <t>DAVIVIDA corriente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</si>
</sst>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8" formatCode="&quot;$&quot;\ #,##0.00;[Red]\-&quot;$&quot;\ #,##0.00"/>
    <numFmt numFmtId="43" formatCode="_-* #,##0.00_-;\-* #,##0.00_-;_-* &quot;-&quot;??_-;_-@_-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&quot;$&quot;\ #,##0_);[Red]\(&quot;$&quot;\ #,##0\)"/>
    <numFmt numFmtId="168" formatCode="&quot;$&quot;#,##0;[Red]\-&quot;$&quot;#,##0"/>
    <numFmt numFmtId="169" formatCode="0.0%"/>
    <numFmt numFmtId="170" formatCode="dd\ &quot;de&quot;\ mmmm\ &quot;de&quot;\ yyyy"/>
    <numFmt numFmtId="171" formatCode="&quot;$&quot;#,##0.0;[Red]\-&quot;$&quot;#,##0.0"/>
    <numFmt numFmtId="172" formatCode="dd/mm/yyyy;@"/>
    <numFmt numFmtId="173" formatCode="dd/mm/yy"/>
  </numFmts>
  <fonts count="3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9"/>
      <name val="Bell MT"/>
      <family val="1"/>
    </font>
    <font>
      <b/>
      <sz val="9"/>
      <name val="Bell MT"/>
      <family val="1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theme="9" tint="0.79998168889431442"/>
        <bgColor rgb="FFD9E2F3"/>
      </patternFill>
    </fill>
    <fill>
      <patternFill patternType="solid">
        <fgColor theme="4" tint="0.79998168889431442"/>
        <bgColor rgb="FFD9E2F3"/>
      </patternFill>
    </fill>
    <fill>
      <patternFill patternType="solid">
        <fgColor theme="4" tint="0.79998168889431442"/>
        <bgColor rgb="FFE2EFD9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/>
    <xf numFmtId="0" fontId="13" fillId="0" borderId="0" applyNumberFormat="0" applyFill="0" applyBorder="0" applyAlignment="0" applyProtection="0"/>
    <xf numFmtId="0" fontId="14" fillId="0" borderId="0"/>
    <xf numFmtId="166" fontId="16" fillId="0" borderId="0" applyFont="0" applyFill="0" applyBorder="0" applyAlignment="0" applyProtection="0"/>
    <xf numFmtId="43" fontId="16" fillId="0" borderId="0" applyFont="0" applyFill="0" applyBorder="0" applyAlignment="0" applyProtection="0"/>
  </cellStyleXfs>
  <cellXfs count="158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2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68" fontId="7" fillId="0" borderId="0" xfId="0" applyNumberFormat="1" applyFont="1" applyAlignment="1">
      <alignment vertical="center"/>
    </xf>
    <xf numFmtId="1" fontId="7" fillId="0" borderId="0" xfId="0" applyNumberFormat="1" applyFont="1" applyAlignment="1">
      <alignment horizontal="left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3" fillId="3" borderId="3" xfId="0" applyFont="1" applyFill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16" fontId="0" fillId="0" borderId="0" xfId="0" applyNumberFormat="1"/>
    <xf numFmtId="170" fontId="0" fillId="0" borderId="0" xfId="0" applyNumberFormat="1"/>
    <xf numFmtId="14" fontId="6" fillId="0" borderId="0" xfId="0" applyNumberFormat="1" applyFont="1" applyAlignment="1">
      <alignment vertical="center"/>
    </xf>
    <xf numFmtId="169" fontId="0" fillId="0" borderId="0" xfId="0" applyNumberFormat="1"/>
    <xf numFmtId="169" fontId="0" fillId="5" borderId="0" xfId="0" applyNumberFormat="1" applyFill="1"/>
    <xf numFmtId="0" fontId="0" fillId="5" borderId="0" xfId="0" applyFill="1"/>
    <xf numFmtId="164" fontId="0" fillId="5" borderId="0" xfId="0" applyNumberFormat="1" applyFill="1"/>
    <xf numFmtId="1" fontId="15" fillId="5" borderId="0" xfId="0" applyNumberFormat="1" applyFont="1" applyFill="1"/>
    <xf numFmtId="169" fontId="15" fillId="5" borderId="0" xfId="0" applyNumberFormat="1" applyFont="1" applyFill="1"/>
    <xf numFmtId="1" fontId="15" fillId="0" borderId="0" xfId="0" applyNumberFormat="1" applyFon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center" vertical="center"/>
    </xf>
    <xf numFmtId="0" fontId="18" fillId="6" borderId="0" xfId="1" quotePrefix="1" applyFont="1" applyFill="1" applyAlignment="1">
      <alignment horizontal="center" vertical="center"/>
    </xf>
    <xf numFmtId="0" fontId="0" fillId="0" borderId="7" xfId="0" applyBorder="1"/>
    <xf numFmtId="0" fontId="0" fillId="0" borderId="0" xfId="0" applyAlignment="1">
      <alignment horizontal="center"/>
    </xf>
    <xf numFmtId="165" fontId="17" fillId="4" borderId="5" xfId="0" applyNumberFormat="1" applyFont="1" applyFill="1" applyBorder="1" applyAlignment="1">
      <alignment vertical="center" wrapText="1"/>
    </xf>
    <xf numFmtId="0" fontId="0" fillId="9" borderId="0" xfId="0" applyFill="1"/>
    <xf numFmtId="168" fontId="7" fillId="9" borderId="0" xfId="0" applyNumberFormat="1" applyFont="1" applyFill="1" applyAlignment="1">
      <alignment vertical="center"/>
    </xf>
    <xf numFmtId="0" fontId="15" fillId="10" borderId="0" xfId="0" applyFont="1" applyFill="1" applyAlignment="1">
      <alignment horizontal="center" vertical="center"/>
    </xf>
    <xf numFmtId="173" fontId="7" fillId="0" borderId="0" xfId="0" applyNumberFormat="1" applyFont="1" applyAlignment="1">
      <alignment horizontal="left" vertical="center"/>
    </xf>
    <xf numFmtId="0" fontId="15" fillId="9" borderId="0" xfId="0" applyFont="1" applyFill="1"/>
    <xf numFmtId="1" fontId="8" fillId="9" borderId="0" xfId="0" applyNumberFormat="1" applyFont="1" applyFill="1" applyAlignment="1">
      <alignment horizontal="left" vertical="center"/>
    </xf>
    <xf numFmtId="0" fontId="9" fillId="8" borderId="9" xfId="0" applyFont="1" applyFill="1" applyBorder="1" applyAlignment="1">
      <alignment vertical="center" wrapText="1"/>
    </xf>
    <xf numFmtId="164" fontId="12" fillId="11" borderId="11" xfId="0" applyNumberFormat="1" applyFont="1" applyFill="1" applyBorder="1" applyAlignment="1">
      <alignment vertical="center"/>
    </xf>
    <xf numFmtId="164" fontId="12" fillId="12" borderId="11" xfId="0" applyNumberFormat="1" applyFont="1" applyFill="1" applyBorder="1" applyAlignment="1">
      <alignment vertical="center"/>
    </xf>
    <xf numFmtId="164" fontId="11" fillId="11" borderId="11" xfId="0" applyNumberFormat="1" applyFont="1" applyFill="1" applyBorder="1" applyAlignment="1">
      <alignment vertical="center"/>
    </xf>
    <xf numFmtId="164" fontId="11" fillId="13" borderId="11" xfId="0" applyNumberFormat="1" applyFont="1" applyFill="1" applyBorder="1" applyAlignment="1">
      <alignment vertical="center"/>
    </xf>
    <xf numFmtId="164" fontId="11" fillId="14" borderId="11" xfId="0" applyNumberFormat="1" applyFont="1" applyFill="1" applyBorder="1" applyAlignment="1">
      <alignment vertical="center"/>
    </xf>
    <xf numFmtId="0" fontId="12" fillId="11" borderId="10" xfId="0" applyFont="1" applyFill="1" applyBorder="1" applyAlignment="1">
      <alignment vertical="center"/>
    </xf>
    <xf numFmtId="0" fontId="12" fillId="12" borderId="10" xfId="0" applyFont="1" applyFill="1" applyBorder="1" applyAlignment="1">
      <alignment vertical="center"/>
    </xf>
    <xf numFmtId="0" fontId="9" fillId="11" borderId="10" xfId="0" applyFont="1" applyFill="1" applyBorder="1" applyAlignment="1">
      <alignment vertical="center" wrapText="1"/>
    </xf>
    <xf numFmtId="0" fontId="9" fillId="13" borderId="10" xfId="0" applyFont="1" applyFill="1" applyBorder="1" applyAlignment="1">
      <alignment vertical="center" wrapText="1"/>
    </xf>
    <xf numFmtId="0" fontId="9" fillId="14" borderId="10" xfId="0" applyFont="1" applyFill="1" applyBorder="1" applyAlignment="1">
      <alignment vertical="center" wrapText="1"/>
    </xf>
    <xf numFmtId="172" fontId="5" fillId="2" borderId="8" xfId="0" applyNumberFormat="1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21" fillId="0" borderId="12" xfId="0" applyFont="1" applyBorder="1"/>
    <xf numFmtId="0" fontId="0" fillId="0" borderId="2" xfId="0" applyBorder="1"/>
    <xf numFmtId="0" fontId="0" fillId="0" borderId="6" xfId="0" applyBorder="1"/>
    <xf numFmtId="0" fontId="0" fillId="0" borderId="13" xfId="0" applyBorder="1"/>
    <xf numFmtId="0" fontId="0" fillId="10" borderId="0" xfId="0" applyFill="1"/>
    <xf numFmtId="166" fontId="0" fillId="0" borderId="0" xfId="3" applyFont="1" applyAlignment="1">
      <alignment vertical="center"/>
    </xf>
    <xf numFmtId="43" fontId="0" fillId="4" borderId="0" xfId="4" applyFont="1" applyFill="1" applyAlignment="1">
      <alignment vertical="center"/>
    </xf>
    <xf numFmtId="1" fontId="0" fillId="0" borderId="0" xfId="0" applyNumberFormat="1" applyAlignment="1">
      <alignment vertical="center"/>
    </xf>
    <xf numFmtId="1" fontId="23" fillId="9" borderId="0" xfId="0" applyNumberFormat="1" applyFont="1" applyFill="1" applyAlignment="1">
      <alignment horizontal="center" vertical="center"/>
    </xf>
    <xf numFmtId="172" fontId="8" fillId="9" borderId="0" xfId="0" applyNumberFormat="1" applyFont="1" applyFill="1" applyAlignment="1">
      <alignment vertical="center"/>
    </xf>
    <xf numFmtId="14" fontId="7" fillId="9" borderId="0" xfId="0" applyNumberFormat="1" applyFont="1" applyFill="1" applyAlignment="1">
      <alignment horizontal="left" vertical="center"/>
    </xf>
    <xf numFmtId="172" fontId="7" fillId="10" borderId="8" xfId="0" applyNumberFormat="1" applyFont="1" applyFill="1" applyBorder="1" applyAlignment="1">
      <alignment horizontal="center" vertical="center" wrapText="1"/>
    </xf>
    <xf numFmtId="165" fontId="5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8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14" fontId="17" fillId="7" borderId="5" xfId="0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8" fontId="0" fillId="7" borderId="0" xfId="0" applyNumberFormat="1" applyFill="1" applyAlignment="1">
      <alignment vertical="center"/>
    </xf>
    <xf numFmtId="165" fontId="0" fillId="7" borderId="0" xfId="0" applyNumberFormat="1" applyFill="1" applyAlignment="1">
      <alignment vertical="center"/>
    </xf>
    <xf numFmtId="1" fontId="0" fillId="7" borderId="0" xfId="0" applyNumberFormat="1" applyFill="1" applyAlignment="1">
      <alignment vertical="center"/>
    </xf>
    <xf numFmtId="14" fontId="0" fillId="7" borderId="0" xfId="0" applyNumberFormat="1" applyFill="1" applyAlignment="1">
      <alignment vertical="center"/>
    </xf>
    <xf numFmtId="172" fontId="0" fillId="7" borderId="0" xfId="0" applyNumberFormat="1" applyFill="1" applyAlignment="1">
      <alignment vertical="center"/>
    </xf>
    <xf numFmtId="1" fontId="27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165" fontId="0" fillId="0" borderId="0" xfId="0" applyNumberFormat="1" applyAlignment="1">
      <alignment horizontal="left" vertical="center" wrapText="1"/>
    </xf>
    <xf numFmtId="165" fontId="15" fillId="7" borderId="14" xfId="0" applyNumberFormat="1" applyFont="1" applyFill="1" applyBorder="1" applyAlignment="1">
      <alignment horizontal="center" vertical="center"/>
    </xf>
    <xf numFmtId="0" fontId="15" fillId="0" borderId="0" xfId="0" applyFont="1"/>
    <xf numFmtId="172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72" fontId="15" fillId="0" borderId="0" xfId="0" applyNumberFormat="1" applyFont="1" applyAlignment="1">
      <alignment vertical="center"/>
    </xf>
    <xf numFmtId="0" fontId="15" fillId="0" borderId="0" xfId="0" applyFont="1" applyAlignment="1">
      <alignment horizontal="left" vertical="center" wrapText="1"/>
    </xf>
    <xf numFmtId="1" fontId="23" fillId="0" borderId="0" xfId="0" applyNumberFormat="1" applyFont="1" applyAlignment="1">
      <alignment horizontal="center" vertical="center" wrapText="1"/>
    </xf>
    <xf numFmtId="164" fontId="23" fillId="0" borderId="0" xfId="0" applyNumberFormat="1" applyFont="1" applyAlignment="1">
      <alignment horizontal="center" vertical="center" wrapText="1"/>
    </xf>
    <xf numFmtId="169" fontId="23" fillId="0" borderId="0" xfId="0" applyNumberFormat="1" applyFont="1" applyAlignment="1">
      <alignment horizontal="center" vertical="center" wrapText="1"/>
    </xf>
    <xf numFmtId="172" fontId="22" fillId="0" borderId="0" xfId="0" applyNumberFormat="1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164" fontId="24" fillId="0" borderId="0" xfId="0" applyNumberFormat="1" applyFont="1" applyAlignment="1">
      <alignment horizontal="center" vertical="center" wrapText="1"/>
    </xf>
    <xf numFmtId="169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6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172" fontId="6" fillId="0" borderId="0" xfId="0" applyNumberFormat="1" applyFont="1" applyAlignment="1">
      <alignment vertical="center"/>
    </xf>
    <xf numFmtId="165" fontId="6" fillId="0" borderId="0" xfId="0" applyNumberFormat="1" applyFont="1" applyAlignment="1">
      <alignment vertical="center"/>
    </xf>
    <xf numFmtId="1" fontId="7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8" fontId="15" fillId="0" borderId="0" xfId="0" applyNumberFormat="1" applyFont="1" applyAlignment="1">
      <alignment vertical="center"/>
    </xf>
    <xf numFmtId="165" fontId="15" fillId="0" borderId="0" xfId="0" applyNumberFormat="1" applyFont="1" applyAlignment="1">
      <alignment vertical="center"/>
    </xf>
    <xf numFmtId="1" fontId="15" fillId="0" borderId="0" xfId="0" applyNumberFormat="1" applyFont="1" applyAlignment="1">
      <alignment vertical="center"/>
    </xf>
    <xf numFmtId="0" fontId="15" fillId="0" borderId="0" xfId="0" applyFont="1" applyAlignment="1">
      <alignment horizontal="center" vertical="center"/>
    </xf>
    <xf numFmtId="1" fontId="29" fillId="0" borderId="0" xfId="0" applyNumberFormat="1" applyFont="1" applyAlignment="1">
      <alignment vertical="center"/>
    </xf>
    <xf numFmtId="0" fontId="29" fillId="0" borderId="0" xfId="0" applyFont="1" applyAlignment="1">
      <alignment vertical="center"/>
    </xf>
    <xf numFmtId="165" fontId="15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168" fontId="25" fillId="9" borderId="0" xfId="0" applyNumberFormat="1" applyFont="1" applyFill="1" applyAlignment="1">
      <alignment vertical="center"/>
    </xf>
    <xf numFmtId="10" fontId="25" fillId="9" borderId="0" xfId="0" applyNumberFormat="1" applyFont="1" applyFill="1" applyAlignment="1">
      <alignment vertical="center"/>
    </xf>
    <xf numFmtId="168" fontId="22" fillId="9" borderId="0" xfId="0" applyNumberFormat="1" applyFont="1" applyFill="1" applyAlignment="1">
      <alignment vertical="center"/>
    </xf>
    <xf numFmtId="172" fontId="22" fillId="10" borderId="8" xfId="0" applyNumberFormat="1" applyFont="1" applyFill="1" applyBorder="1" applyAlignment="1">
      <alignment horizontal="center" vertical="center" wrapText="1"/>
    </xf>
    <xf numFmtId="168" fontId="22" fillId="9" borderId="8" xfId="0" applyNumberFormat="1" applyFont="1" applyFill="1" applyBorder="1" applyAlignment="1">
      <alignment vertical="center"/>
    </xf>
    <xf numFmtId="168" fontId="22" fillId="10" borderId="8" xfId="0" applyNumberFormat="1" applyFont="1" applyFill="1" applyBorder="1" applyAlignment="1">
      <alignment vertical="center"/>
    </xf>
    <xf numFmtId="165" fontId="17" fillId="0" borderId="4" xfId="0" applyNumberFormat="1" applyFont="1" applyBorder="1" applyAlignment="1">
      <alignment horizontal="center" vertical="center" wrapText="1"/>
    </xf>
    <xf numFmtId="165" fontId="17" fillId="0" borderId="14" xfId="0" applyNumberFormat="1" applyFont="1" applyBorder="1" applyAlignment="1">
      <alignment horizontal="center" vertical="center" wrapText="1"/>
    </xf>
    <xf numFmtId="1" fontId="23" fillId="0" borderId="0" xfId="0" applyNumberFormat="1" applyFont="1" applyFill="1" applyAlignment="1">
      <alignment horizontal="center" vertical="center"/>
    </xf>
    <xf numFmtId="164" fontId="23" fillId="0" borderId="0" xfId="0" applyNumberFormat="1" applyFont="1" applyFill="1" applyAlignment="1">
      <alignment horizontal="center" vertical="center"/>
    </xf>
    <xf numFmtId="169" fontId="23" fillId="0" borderId="0" xfId="0" applyNumberFormat="1" applyFont="1" applyFill="1" applyAlignment="1">
      <alignment horizontal="center" vertical="center"/>
    </xf>
    <xf numFmtId="172" fontId="8" fillId="0" borderId="0" xfId="0" applyNumberFormat="1" applyFont="1" applyFill="1" applyAlignment="1">
      <alignment vertical="center"/>
    </xf>
    <xf numFmtId="14" fontId="7" fillId="0" borderId="0" xfId="0" applyNumberFormat="1" applyFont="1" applyFill="1" applyAlignment="1">
      <alignment horizontal="left" vertical="center"/>
    </xf>
    <xf numFmtId="1" fontId="8" fillId="0" borderId="0" xfId="0" applyNumberFormat="1" applyFont="1" applyFill="1" applyAlignment="1">
      <alignment horizontal="left" vertical="center"/>
    </xf>
    <xf numFmtId="168" fontId="7" fillId="0" borderId="0" xfId="0" applyNumberFormat="1" applyFont="1" applyFill="1" applyAlignment="1">
      <alignment vertical="center"/>
    </xf>
    <xf numFmtId="168" fontId="25" fillId="0" borderId="0" xfId="0" applyNumberFormat="1" applyFont="1" applyFill="1" applyAlignment="1">
      <alignment vertical="center"/>
    </xf>
    <xf numFmtId="10" fontId="25" fillId="0" borderId="0" xfId="0" applyNumberFormat="1" applyFont="1" applyFill="1" applyAlignment="1">
      <alignment vertical="center"/>
    </xf>
    <xf numFmtId="168" fontId="22" fillId="0" borderId="0" xfId="0" applyNumberFormat="1" applyFont="1" applyFill="1" applyAlignment="1">
      <alignment vertical="center"/>
    </xf>
    <xf numFmtId="1" fontId="24" fillId="0" borderId="0" xfId="0" applyNumberFormat="1" applyFont="1" applyFill="1" applyAlignment="1">
      <alignment horizontal="center" vertical="center"/>
    </xf>
    <xf numFmtId="164" fontId="24" fillId="0" borderId="0" xfId="0" applyNumberFormat="1" applyFont="1" applyFill="1" applyAlignment="1">
      <alignment horizontal="center" vertical="center"/>
    </xf>
    <xf numFmtId="169" fontId="24" fillId="0" borderId="0" xfId="0" applyNumberFormat="1" applyFont="1" applyFill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172" fontId="6" fillId="0" borderId="0" xfId="0" applyNumberFormat="1" applyFont="1" applyFill="1" applyAlignment="1" applyProtection="1">
      <alignment vertical="center"/>
    </xf>
    <xf numFmtId="173" fontId="7" fillId="0" borderId="0" xfId="0" applyNumberFormat="1" applyFont="1" applyFill="1" applyAlignment="1" applyProtection="1">
      <alignment horizontal="left" vertical="center"/>
    </xf>
    <xf numFmtId="173" fontId="6" fillId="0" borderId="0" xfId="0" applyNumberFormat="1" applyFont="1" applyFill="1" applyAlignment="1" applyProtection="1">
      <alignment vertical="center"/>
    </xf>
    <xf numFmtId="1" fontId="7" fillId="0" borderId="0" xfId="0" applyNumberFormat="1" applyFont="1" applyFill="1" applyAlignment="1" applyProtection="1">
      <alignment horizontal="left" vertical="center"/>
    </xf>
    <xf numFmtId="171" fontId="7" fillId="0" borderId="0" xfId="0" applyNumberFormat="1" applyFont="1" applyFill="1" applyAlignment="1" applyProtection="1">
      <alignment vertical="center"/>
    </xf>
    <xf numFmtId="168" fontId="7" fillId="0" borderId="0" xfId="0" applyNumberFormat="1" applyFont="1" applyFill="1" applyAlignment="1" applyProtection="1">
      <alignment vertical="center"/>
    </xf>
    <xf numFmtId="14" fontId="8" fillId="0" borderId="0" xfId="0" applyNumberFormat="1" applyFont="1" applyBorder="1" applyAlignment="1">
      <alignment vertical="center"/>
    </xf>
    <xf numFmtId="0" fontId="7" fillId="0" borderId="0" xfId="0" applyFont="1" applyBorder="1" applyAlignment="1">
      <alignment horizontal="center" vertical="center" wrapText="1"/>
    </xf>
    <xf numFmtId="167" fontId="8" fillId="0" borderId="0" xfId="0" applyNumberFormat="1" applyFont="1" applyBorder="1" applyAlignment="1">
      <alignment vertical="center"/>
    </xf>
    <xf numFmtId="167" fontId="8" fillId="0" borderId="0" xfId="0" applyNumberFormat="1" applyFont="1" applyBorder="1" applyAlignment="1">
      <alignment horizontal="center" vertical="center" wrapText="1"/>
    </xf>
    <xf numFmtId="165" fontId="7" fillId="0" borderId="0" xfId="0" applyNumberFormat="1" applyFont="1" applyBorder="1" applyAlignment="1">
      <alignment horizontal="center" vertical="center" wrapText="1"/>
    </xf>
    <xf numFmtId="164" fontId="7" fillId="0" borderId="15" xfId="0" applyNumberFormat="1" applyFont="1" applyBorder="1" applyAlignment="1">
      <alignment horizontal="center" vertical="center" wrapText="1"/>
    </xf>
    <xf numFmtId="14" fontId="8" fillId="0" borderId="0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67" fontId="8" fillId="0" borderId="0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165" fontId="8" fillId="0" borderId="0" xfId="0" applyNumberFormat="1" applyFont="1" applyFill="1" applyBorder="1" applyAlignment="1">
      <alignment vertical="center"/>
    </xf>
    <xf numFmtId="164" fontId="8" fillId="0" borderId="0" xfId="0" applyNumberFormat="1" applyFont="1" applyFill="1" applyBorder="1" applyAlignment="1">
      <alignment vertical="center"/>
    </xf>
    <xf numFmtId="0" fontId="0" fillId="0" borderId="0" xfId="0" applyBorder="1"/>
    <xf numFmtId="14" fontId="17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1" fontId="15" fillId="0" borderId="0" xfId="0" applyNumberFormat="1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/>
    </xf>
    <xf numFmtId="14" fontId="28" fillId="0" borderId="0" xfId="0" applyNumberFormat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169" fontId="0" fillId="0" borderId="0" xfId="0" applyNumberFormat="1" applyBorder="1" applyAlignment="1">
      <alignment vertical="center"/>
    </xf>
    <xf numFmtId="1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173" fontId="28" fillId="0" borderId="0" xfId="0" applyNumberFormat="1" applyFont="1" applyBorder="1" applyAlignment="1">
      <alignment horizontal="left" vertical="center"/>
    </xf>
    <xf numFmtId="0" fontId="15" fillId="0" borderId="0" xfId="0" applyFont="1" applyBorder="1"/>
    <xf numFmtId="1" fontId="24" fillId="10" borderId="0" xfId="0" applyNumberFormat="1" applyFont="1" applyFill="1" applyAlignment="1">
      <alignment horizontal="center" vertical="center" wrapText="1"/>
    </xf>
    <xf numFmtId="168" fontId="30" fillId="9" borderId="0" xfId="0" applyNumberFormat="1" applyFont="1" applyFill="1" applyAlignment="1">
      <alignment vertical="center"/>
    </xf>
  </cellXfs>
  <cellStyles count="5">
    <cellStyle name="Comma" xfId="4" builtinId="3"/>
    <cellStyle name="Currency" xfId="3" builtinId="4"/>
    <cellStyle name="Hyperlink" xfId="1" builtinId="8"/>
    <cellStyle name="Normal" xfId="0" builtinId="0"/>
    <cellStyle name="Normal 2" xfId="2" xr:uid="{B02E93D6-0E93-4B55-B3EA-813C71BAF781}"/>
  </cellStyles>
  <dxfs count="128"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numFmt numFmtId="172" formatCode="dd/mm/yy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1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3" formatCode="dd/mm/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3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2" formatCode="dd/mm/yy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5" formatCode="&quot;$&quot;#,##0.00_);[Red]\(&quot;$&quot;#,##0.00\)"/>
      <alignment horizontal="left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vertic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vertic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vertical="center" textRotation="0" indent="0" justifyLastLine="0" shrinkToFit="0" readingOrder="0"/>
    </dxf>
    <dxf>
      <numFmt numFmtId="165" formatCode="&quot;$&quot;#,##0.00_);[Red]\(&quot;$&quot;#,##0.00\)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65" formatCode="&quot;$&quot;#,##0.00_);[Red]\(&quot;$&quot;#,##0.00\)"/>
      <alignment vertical="center" textRotation="0" indent="0" justifyLastLine="0" shrinkToFit="0" readingOrder="0"/>
    </dxf>
    <dxf>
      <font>
        <b/>
        <sz val="12"/>
        <color auto="1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2" formatCode="&quot;$&quot;\ #,##0.00;[Red]\-&quot;$&quot;\ 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3" formatCode="dd/mm/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alignment vertical="center" textRotation="0" indent="0" justifyLastLine="0" shrinkToFit="0" readingOrder="0"/>
    </dxf>
    <dxf>
      <font>
        <b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127"/>
    </tableStyle>
  </tableStyles>
  <colors>
    <mruColors>
      <color rgb="FF94D61E"/>
      <color rgb="FF080CAA"/>
      <color rgb="FFD8CFE3"/>
      <color rgb="FF500000"/>
      <color rgb="FFE5E3E3"/>
      <color rgb="FFAB6D6D"/>
      <color rgb="FF6F3505"/>
      <color rgb="FF757171"/>
      <color rgb="FF860000"/>
      <color rgb="FF4D3A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8</xdr:row>
      <xdr:rowOff>57150</xdr:rowOff>
    </xdr:from>
    <xdr:to>
      <xdr:col>11</xdr:col>
      <xdr:colOff>495301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3990975" y="1571625"/>
          <a:ext cx="4886326" cy="3133725"/>
          <a:chOff x="4210050" y="771525"/>
          <a:chExt cx="4886326" cy="3133725"/>
        </a:xfrm>
        <a:solidFill>
          <a:schemeClr val="accent4">
            <a:lumMod val="20000"/>
            <a:lumOff val="80000"/>
          </a:schemeClr>
        </a:solidFill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grp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grpFill/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403860</xdr:colOff>
      <xdr:row>1</xdr:row>
      <xdr:rowOff>22860</xdr:rowOff>
    </xdr:from>
    <xdr:to>
      <xdr:col>17</xdr:col>
      <xdr:colOff>742950</xdr:colOff>
      <xdr:row>2</xdr:row>
      <xdr:rowOff>125730</xdr:rowOff>
    </xdr:to>
    <xdr:sp macro="[0]!copia_FProveedor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02FBDC-8A10-C1B2-5CAF-7DA9D13479A8}"/>
            </a:ext>
          </a:extLst>
        </xdr:cNvPr>
        <xdr:cNvSpPr/>
      </xdr:nvSpPr>
      <xdr:spPr>
        <a:xfrm>
          <a:off x="5036820" y="274320"/>
          <a:ext cx="1101090" cy="35433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/>
            <a:t>Traer datos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368" totalsRowShown="0" headerRowDxfId="126" dataDxfId="125" tableBorderDxfId="23">
  <autoFilter ref="A1:F368" xr:uid="{456D8D99-1D8D-4CD0-A62C-8DEADB187BA9}"/>
  <sortState xmlns:xlrd2="http://schemas.microsoft.com/office/spreadsheetml/2017/richdata2" ref="A2:F368">
    <sortCondition ref="A1:A461"/>
  </sortState>
  <tableColumns count="6">
    <tableColumn id="1" xr3:uid="{36A50E19-DC7A-4E16-BE4C-42C64333F9EA}" name="PROVEEDOR" dataDxfId="22"/>
    <tableColumn id="2" xr3:uid="{33B16C29-2DF5-45A1-87C1-48E44DFA4D60}" name="DIAS DE PLAZO" dataDxfId="21"/>
    <tableColumn id="3" xr3:uid="{FB09C725-92D2-4DCA-AB96-E3501A05815F}" name="IVA" dataDxfId="20"/>
    <tableColumn id="7" xr3:uid="{6DF6E84E-4497-42A2-A0FF-8BB736818592}" name="ID RETENCION" dataDxfId="19"/>
    <tableColumn id="5" xr3:uid="{C601C28E-77FB-4104-BEA3-CABF7F512A2B}" name="CORREO"/>
    <tableColumn id="6" xr3:uid="{0898AD1E-5D0B-451F-AD5F-54E60AC27BC0}" name="CUENTA BANCARIA" dataDxfId="1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43606D-B1F7-4CE6-BB32-CD904DFA3A69}" name="PROVEEDORES" displayName="PROVEEDORES" ref="A1:Z285" totalsRowShown="0" headerRowDxfId="79" dataDxfId="78" tableBorderDxfId="77">
  <autoFilter ref="A1:Z285" xr:uid="{0043606D-B1F7-4CE6-BB32-CD904DFA3A69}"/>
  <sortState xmlns:xlrd2="http://schemas.microsoft.com/office/spreadsheetml/2017/richdata2" ref="A2:Z1">
    <sortCondition ref="G1"/>
  </sortState>
  <tableColumns count="26">
    <tableColumn id="1" xr3:uid="{4F9DF858-596D-4EB8-BFED-725FE3B6A454}" name="a" dataDxfId="76">
      <calculatedColumnFormula>+IF(PROVEEDORES[[#This Row],[FECHA DE PAGO]]=PROVEEDORES[[#This Row],[FECHA DE FACTURACIÓN]],"DE CONTADO","CRÉDITO")</calculatedColumnFormula>
    </tableColumn>
    <tableColumn id="2" xr3:uid="{E41DD9AA-337C-4F1C-BBCB-16D1B395C3EF}" name="PV" dataDxfId="75">
      <calculatedColumnFormula>+IF((PROVEEDORES[[#This Row],[FECHA DE PAGO]]-PROVEEDORES[[#This Row],[FECHA DE FACTURACIÓN]])&gt;PROVEEDORES[[#This Row],[PLAZO Días]],"PAGO VENCIDO")</calculatedColumnFormula>
    </tableColumn>
    <tableColumn id="3" xr3:uid="{D19A95DA-BBA6-466A-9ABB-E98D09D15428}" name="PLAZO Días" dataDxfId="74">
      <calculatedColumnFormula>+VLOOKUP(PROVEEDORES[[#This Row],[PROVEEDOR]],TERCEROS_INFO[#All],2,FALSE)</calculatedColumnFormula>
    </tableColumn>
    <tableColumn id="4" xr3:uid="{71AED75C-80F2-471D-AEBA-4ED68EBAD009}" name="SALDO PROVEEDOR" dataDxfId="73">
      <calculatedColumnFormula>+SUMIFS(PROVEEDORES[Total],PROVEEDORES[PROVEEDOR],PROVEEDORES[[#This Row],[PROVEEDOR]],PROVEEDORES[FECHA DE PAGO],"")</calculatedColumnFormula>
    </tableColumn>
    <tableColumn id="5" xr3:uid="{23C25549-7822-44AA-9851-133DFF411756}" name="NOTAS" dataDxfId="72"/>
    <tableColumn id="6" xr3:uid="{F624A2BC-D951-4693-9CBB-BA40FB802479}" name="CORREO" dataDxfId="71">
      <calculatedColumnFormula>+VLOOKUP(PROVEEDORES[[#This Row],[PROVEEDOR]],
                       Terceros!$A:$F,
                       5,
                       FALSE)</calculatedColumnFormula>
    </tableColumn>
    <tableColumn id="7" xr3:uid="{A479BEF1-FD05-45A4-971C-81846174781A}" name="FECHA DE PAGO" dataDxfId="70"/>
    <tableColumn id="8" xr3:uid="{539D9199-4B43-419E-8145-E2E1EF749FFC}" name="PROVEEDOR" dataDxfId="69"/>
    <tableColumn id="9" xr3:uid="{C8382347-5AF2-4835-9CDF-1AD2BCDA92AA}" name="FECHA DE FACTURACIÓN" dataDxfId="68"/>
    <tableColumn id="10" xr3:uid="{3DFCAEBC-022A-475E-84C7-9C2FB3136220}" name="# DE FACTURA" dataDxfId="67"/>
    <tableColumn id="11" xr3:uid="{DF1A270C-B4D8-41D7-A334-F52FB50622A2}" name="ALMA/INSTI" dataDxfId="66"/>
    <tableColumn id="12" xr3:uid="{16B565E5-F651-42A4-86D0-961EE3F35173}" name="Origen_x000a_de los_x000a_Recursos" dataDxfId="65"/>
    <tableColumn id="13" xr3:uid="{44CD2AC7-2D54-4AFD-AB58-C49F72A53B72}" name="SUBTOTAL" dataDxfId="64"/>
    <tableColumn id="14" xr3:uid="{F2B0414A-E3EB-487F-B38D-95FF1DC204E9}" name="IVA 19%" dataDxfId="63">
      <calculatedColumnFormula>+(PROVEEDORES[[#This Row],[SUBTOTAL]])*VLOOKUP(PROVEEDORES[[#This Row],[PROVEEDOR]],TERCEROS_INFO[#All],3,FALSE)</calculatedColumnFormula>
    </tableColumn>
    <tableColumn id="15" xr3:uid="{571B41DC-EA39-403C-B84F-4FC5089FE61F}" name="Descuento_x000a_$" dataDxfId="62">
      <calculatedColumnFormula>+'Palabra que no opera y Listas d'!$D$2</calculatedColumnFormula>
    </tableColumn>
    <tableColumn id="16" xr3:uid="{4A9E4B14-B7BC-4507-947A-DA846C9A4C24}" name="ReteFuente_x000a_%" dataDxfId="61">
      <calculatedColumnFormula>+IF(PROVEEDORES[[#This Row],[SUBTOTAL]]&lt;PROVEEDORES[[#This Row],[base retencion]],0,PROVEEDORES[[#This Row],[retención aplicada]])</calculatedColumnFormula>
    </tableColumn>
    <tableColumn id="17" xr3:uid="{D9889BB2-78CD-4A3E-BF81-20F00BC1BC2C}" name="ReteFuente_x000a_$" dataDxfId="60">
      <calculatedColumnFormula>+PROVEEDORES[[#This Row],[ReteFuente
%]]*(PROVEEDORES[[#This Row],[SUBTOTAL]])</calculatedColumnFormula>
    </tableColumn>
    <tableColumn id="18" xr3:uid="{BE85280F-DB3A-4381-AA38-6072B593E55B}" name="Total" dataDxfId="59">
      <calculatedColumnFormula>+PROVEEDORES[[#This Row],[SUBTOTAL]]+PROVEEDORES[[#This Row],[IVA 19%]]-PROVEEDORES[[#This Row],[Descuento
$]]-PROVEEDORES[[#This Row],[ReteFuente
$]]</calculatedColumnFormula>
    </tableColumn>
    <tableColumn id="19" xr3:uid="{9E047FFD-06F2-479A-895D-735298CADC49}" name="Estado de la factura" dataDxfId="58">
      <calculatedColumnFormula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20" xr3:uid="{A2CFDDED-9578-42C5-ADB6-D365F0733C0C}" name="días de vencimiento" dataDxfId="57">
      <calculatedColumnFormula>+IF(PROVEEDORES[[#This Row],[FECHA DE PAGO]]=0,TODAY()-PROVEEDORES[[#This Row],[FECHA DE FACTURACIÓN]]-PROVEEDORES[[#This Row],[PLAZO Días]],0)</calculatedColumnFormula>
    </tableColumn>
    <tableColumn id="21" xr3:uid="{9341C9BD-D100-4B94-ACC4-27624EB6275F}" name="ID RETENCION" dataDxfId="56">
      <calculatedColumnFormula>+VLOOKUP(PROVEEDORES[[#This Row],[PROVEEDOR]],Terceros!$A:$D,4,FALSE)</calculatedColumnFormula>
    </tableColumn>
    <tableColumn id="22" xr3:uid="{A80EE7D8-3E28-4C5E-97D3-C2A90F3DAFFB}" name="año facturado" dataDxfId="55">
      <calculatedColumnFormula>+YEAR(PROVEEDORES[[#This Row],[FECHA DE FACTURACIÓN]])</calculatedColumnFormula>
    </tableColumn>
    <tableColumn id="23" xr3:uid="{F0E6333F-CAB8-4AA8-BE10-1583EB531E06}" name="indicador de columna" dataDxfId="54">
      <calculatedColumnFormula>+MATCH(PROVEEDORES[[#This Row],[año facturado]],Retenciones!$1:$1,0)</calculatedColumnFormula>
    </tableColumn>
    <tableColumn id="24" xr3:uid="{8A25825B-2FF5-4185-83B9-E21AAA58E53F}" name="base retencion" dataDxfId="53">
      <calculatedColumnFormula>+VLOOKUP(PROVEEDORES[[#This Row],[ID RETENCION]],Retenciones!$A$1:$K$25,PROVEEDORES[[#This Row],[indicador de columna]],FALSE)</calculatedColumnFormula>
    </tableColumn>
    <tableColumn id="25" xr3:uid="{63967F7E-DED9-4C7E-AAD2-5C0E38514703}" name="retención aplicada" dataDxfId="52">
      <calculatedColumnFormula>+VLOOKUP(PROVEEDORES[[#This Row],[ID RETENCION]],Retenciones!$A$1:$K$25,2,FALSE)</calculatedColumnFormula>
    </tableColumn>
    <tableColumn id="26" xr3:uid="{F9069F17-FA48-45D7-9FFD-3345665C901E}" name="X@" dataDxfId="51">
      <calculatedColumnFormula>+OR(COUNTIF(PROVEEDORES[[#This Row],[PROVEEDOR]],"*"&amp;'Palabra que no opera y Listas d'!$A$2&amp;"*"))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F17" totalsRowShown="0" headerRowDxfId="50" dataDxfId="49" tableBorderDxfId="48">
  <autoFilter ref="A1:F17" xr:uid="{00000000-0009-0000-0100-000001000000}"/>
  <tableColumns count="6">
    <tableColumn id="11" xr3:uid="{574CCCB7-6404-4014-A7C4-E24B35C8242E}" name="FECHA DE PAGO" dataDxfId="47"/>
    <tableColumn id="4" xr3:uid="{2700B3B9-841F-4270-BE9A-B050B545D6DF}" name="PROVEEDOR" dataDxfId="46"/>
    <tableColumn id="1" xr3:uid="{B9637DF7-0F06-414E-8A02-470A0D288B88}" name="FECHA DE FACTURACIÓN" dataDxfId="45"/>
    <tableColumn id="3" xr3:uid="{10A8A101-FA0E-4186-AE5D-EF5556E9484A}" name="# DE FACTURA" dataDxfId="44"/>
    <tableColumn id="15" xr3:uid="{30CB4C40-8263-4421-A32D-17C764402102}" name="Total USD" dataDxfId="43"/>
    <tableColumn id="17" xr3:uid="{1392C75A-49B5-4F13-B7A2-4E0DF985E8DF}" name="COP" dataDxfId="42">
      <calculatedColumnFormula>+PROVEEDORES3[[#This Row],[Total USD]]*3828.5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K781" totalsRowShown="0" headerRowDxfId="124" dataDxfId="123" tableBorderDxfId="41">
  <autoFilter ref="A1:K781" xr:uid="{00000000-000C-0000-FFFF-FFFF02000000}"/>
  <sortState xmlns:xlrd2="http://schemas.microsoft.com/office/spreadsheetml/2017/richdata2" ref="A2:K781">
    <sortCondition ref="A1:A781"/>
  </sortState>
  <tableColumns count="11">
    <tableColumn id="1" xr3:uid="{00000000-0010-0000-0200-000001000000}" name="Fecha" dataDxfId="40" totalsRowDxfId="122"/>
    <tableColumn id="2" xr3:uid="{00000000-0010-0000-0200-000002000000}" name="PRESTAMO" dataDxfId="39" totalsRowDxfId="121"/>
    <tableColumn id="5" xr3:uid="{00000000-0010-0000-0200-000005000000}" name="$ CAPITAL" dataDxfId="38" totalsRowDxfId="120"/>
    <tableColumn id="6" xr3:uid="{00000000-0010-0000-0200-000006000000}" name="$ INTERESES" dataDxfId="37" totalsRowDxfId="119"/>
    <tableColumn id="13" xr3:uid="{AC18AAE4-5F2F-43AA-9096-028504347CEB}" name="PAGO" dataDxfId="36" totalsRowDxfId="118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35" totalsRowDxfId="117">
      <calculatedColumnFormula>+SUMIFS(FINANCIACION[$ CAPITAL],FINANCIACION[Fecha],"&lt;="&amp;FINANCIACION[[#This Row],[Fecha]],FINANCIACION[PRESTAMO],FINANCIACION[[#This Row],[PRESTAMO]])</calculatedColumnFormula>
    </tableColumn>
    <tableColumn id="3" xr3:uid="{1584E566-D9AE-4D6B-97E1-7826ECE58C32}" name="Origen_x000a_de los_x000a_Recursos" dataDxfId="34" totalsRowDxfId="116"/>
    <tableColumn id="9" xr3:uid="{00000000-0010-0000-0200-000009000000}" name="DETALLE" dataDxfId="33" totalsRowDxfId="115"/>
    <tableColumn id="10" xr3:uid="{00000000-0010-0000-0200-00000A000000}" name="VALOR EN DOLARES" dataDxfId="32" totalsRowDxfId="114"/>
    <tableColumn id="4" xr3:uid="{00000000-0010-0000-0200-000004000000}" name="ABONOS" dataDxfId="31" totalsRowDxfId="113">
      <calculatedColumnFormula>+IF(FINANCIACION[[#This Row],[$ CAPITAL]]&gt;0,FINANCIACION[[#This Row],[$ CAPITAL]])</calculatedColumnFormula>
    </tableColumn>
    <tableColumn id="11" xr3:uid="{00000000-0010-0000-0200-00000B000000}" name="Pagos del mes" dataDxfId="30" totalsRowDxfId="112">
      <calculatedColumnFormula>+IF(FINANCIACION[[#This Row],[$ CAPITAL]]&gt;=0,FINANCIACION[[#This Row],[$ CAPITAL]]+FINANCIACION[[#This Row],[$ INTERESES]],0)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D31" totalsRowShown="0" headerRowDxfId="29" dataDxfId="28">
  <autoFilter ref="A1:D31" xr:uid="{0E1D4469-06DD-45C8-98F5-0FCFA256904B}"/>
  <sortState xmlns:xlrd2="http://schemas.microsoft.com/office/spreadsheetml/2017/richdata2" ref="A2:B1">
    <sortCondition ref="A1"/>
  </sortState>
  <tableColumns count="4">
    <tableColumn id="1" xr3:uid="{352BFAB1-24B4-46D7-A59C-4164B96E8980}" name="PRESTAMO" dataDxfId="27"/>
    <tableColumn id="6" xr3:uid="{71BA46B7-7F39-4EA9-A1B8-9B595F93F60B}" name="01/04/2025" dataDxfId="26">
      <calculatedColumnFormula>-SUMIFS(FINANCIACION[$ CAPITAL],
FINANCIACION[Fecha],"&lt;="&amp;EOMONTH(B$1,0),
FINANCIACION[PRESTAMO],$A2)</calculatedColumnFormula>
    </tableColumn>
    <tableColumn id="2" xr3:uid="{32848AF7-C6D6-4B86-8C9F-BB9C4E0B0CFD}" name="31/12/2024" dataDxfId="25">
      <calculatedColumnFormula>-SUMIFS(FINANCIACION[$ CAPITAL],
FINANCIACION[Fecha],"&lt;="&amp;EOMONTH(C$1,0),
FINANCIACION[PRESTAMO],$A2)</calculatedColumnFormula>
    </tableColumn>
    <tableColumn id="3" xr3:uid="{FAC910A1-A6C2-42BB-A009-EC01CCCDC4A9}" name="31/01/2025" dataDxfId="24">
      <calculatedColumnFormula>-SUMIFS(FINANCIACION[$ CAPITAL],
FINANCIACION[Fecha],"&lt;="&amp;EOMONTH(D$1,0),
FINANCIACION[PRESTAMO],$A2)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AD7" totalsRowShown="0" headerRowDxfId="111" dataDxfId="110">
  <autoFilter ref="A6:AD7" xr:uid="{73DB2F45-C381-47B2-8086-480DEE1C9502}"/>
  <sortState xmlns:xlrd2="http://schemas.microsoft.com/office/spreadsheetml/2017/richdata2" ref="A7:AD7">
    <sortCondition ref="AD6:AD7"/>
  </sortState>
  <tableColumns count="30">
    <tableColumn id="1" xr3:uid="{132C3118-3023-4B2F-96BC-F16058F7D256}" name="a" dataDxfId="109"/>
    <tableColumn id="22" xr3:uid="{FB717189-4C41-4440-AD6D-E75C00690007}" name="PV" dataDxfId="108"/>
    <tableColumn id="21" xr3:uid="{43D51372-0EC8-4031-B5C8-4E48EFCBE846}" name="PLAZO Días" dataDxfId="107"/>
    <tableColumn id="2" xr3:uid="{EC2FA82B-2E14-4DCF-9EAD-2BACCB783CD8}" name="SALDO PROVEEDOR" dataDxfId="106"/>
    <tableColumn id="3" xr3:uid="{43A7058F-2ED1-4A27-AA72-06520D8322EE}" name="NOTAS" dataDxfId="105"/>
    <tableColumn id="4" xr3:uid="{60D859DF-64A4-4B14-BEA4-53EDC451A813}" name="CORREO" dataDxfId="104"/>
    <tableColumn id="5" xr3:uid="{454828DC-3C5A-4715-824B-B24F214C5E13}" name="FECHA DE PAGO" dataDxfId="103"/>
    <tableColumn id="6" xr3:uid="{611243B7-0D0B-43AA-B686-311F876022B1}" name="PROVEEDOR" dataDxfId="102"/>
    <tableColumn id="7" xr3:uid="{D855F350-1086-42A0-8EA3-7F25CD38C9D3}" name="FECHA DE FACTURACIÓN" dataDxfId="101"/>
    <tableColumn id="8" xr3:uid="{A47DA67B-9F1D-4774-868A-72372E5564B9}" name="# DE FACTURA" dataDxfId="100"/>
    <tableColumn id="9" xr3:uid="{EFE5C62A-0ACB-4DCD-8ECF-5EF13B6C5317}" name="ALMA/INSTI" dataDxfId="99"/>
    <tableColumn id="10" xr3:uid="{F1AF051F-9A83-4E4B-A579-356CF6E1CC40}" name="Origen_x000a_de los_x000a_Recursos" dataDxfId="98"/>
    <tableColumn id="11" xr3:uid="{8B4607B9-C44B-4133-85DE-013E69B20E93}" name="SUBTOTAL" dataDxfId="97"/>
    <tableColumn id="12" xr3:uid="{6A9D0E38-9470-494D-8871-9052119ECCAA}" name="IVA 19%" dataDxfId="96"/>
    <tableColumn id="13" xr3:uid="{B7846F5F-DCDC-455C-A820-B1866BD3DEF5}" name="Descuento_x000a_$" dataDxfId="95"/>
    <tableColumn id="14" xr3:uid="{871D7124-3BAA-4827-B045-4443CA46B11E}" name="ReteFuente_x000a_%" dataDxfId="94"/>
    <tableColumn id="15" xr3:uid="{02032375-550C-45FC-AA0D-736EC726964B}" name="ReteFuente_x000a_$" dataDxfId="93"/>
    <tableColumn id="16" xr3:uid="{3FBB1F41-A526-42EA-A203-54ABBC239BBD}" name="Total" dataDxfId="92"/>
    <tableColumn id="24" xr3:uid="{7A743829-AEA0-45B6-966E-8D925966D2DE}" name="Estado de la factura" dataDxfId="91"/>
    <tableColumn id="25" xr3:uid="{B7BC761D-0768-4A9C-A5BF-420FDE6F9B67}" name="días de vencimiento" dataDxfId="90"/>
    <tableColumn id="26" xr3:uid="{8393985A-B357-47DA-A28F-A13CBE11ACF1}" name="ID RETENCION" dataDxfId="89"/>
    <tableColumn id="27" xr3:uid="{BEAB3D63-16E1-4BF2-92EA-0C890B6441E0}" name="año facturado" dataDxfId="88"/>
    <tableColumn id="28" xr3:uid="{E3305014-E25D-4184-A1D0-AF16177752F9}" name="indicador de columna" dataDxfId="87"/>
    <tableColumn id="29" xr3:uid="{D4AC43D6-3EAB-4A32-BFB1-062B2425B172}" name="base retencion" dataDxfId="86"/>
    <tableColumn id="30" xr3:uid="{176DC95F-479D-40F9-8352-AA31FFF0DB4E}" name="retención aplicada" dataDxfId="85"/>
    <tableColumn id="23" xr3:uid="{0177C05A-981A-4D8C-8138-55A654CB25B0}" name="X@" dataDxfId="84"/>
    <tableColumn id="17" xr3:uid="{DA71BCF1-93B0-47B9-A984-E2A41D7DDACE}" name="dias de credito" dataDxfId="83">
      <calculatedColumnFormula>+$AD$5-Tabla2[[#This Row],[FECHA DE FACTURACIÓN]]</calculatedColumnFormula>
    </tableColumn>
    <tableColumn id="18" xr3:uid="{CF911DDE-F405-4380-86D1-ECA9628F67A6}" name="venc" dataDxfId="82">
      <calculatedColumnFormula>+IF(Tabla2[[#This Row],[dias de credito]]&gt;=Tabla2[[#This Row],[PLAZO Días]],"venc", "No venc")</calculatedColumnFormula>
    </tableColumn>
    <tableColumn id="19" xr3:uid="{8067E3DF-2FE9-4BF5-8CCB-1D20A2AD809A}" name="estado pago" dataDxfId="81">
      <calculatedColumnFormula>+IF(Tabla2[[#This Row],[FECHA DE PAGO]]&gt;0,"pagada","por pagar")</calculatedColumnFormula>
    </tableColumn>
    <tableColumn id="20" xr3:uid="{986FB463-3412-4AF8-ADC3-B64A4214F098}" name="VENCIDA" dataDxfId="80">
      <calculatedColumnFormula>+IF(AND(Tabla2[[#This Row],[venc]]="venc",Tabla2[[#This Row],[estado pago]]="por pagar"),"vencida","no")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tabSelected="1" workbookViewId="0">
      <selection activeCell="G7" sqref="G7"/>
    </sheetView>
  </sheetViews>
  <sheetFormatPr defaultColWidth="0" defaultRowHeight="0" customHeight="1" zeroHeight="1" x14ac:dyDescent="0.25"/>
  <cols>
    <col min="1" max="17" width="11.42578125" customWidth="1"/>
    <col min="18" max="19" width="11.42578125" hidden="1" customWidth="1"/>
  </cols>
  <sheetData>
    <row r="1" spans="7:14" ht="12.75" customHeight="1" x14ac:dyDescent="0.25"/>
    <row r="2" spans="7:14" ht="12.75" customHeight="1" x14ac:dyDescent="0.25">
      <c r="N2" s="12"/>
    </row>
    <row r="3" spans="7:14" ht="12.75" customHeight="1" x14ac:dyDescent="0.25"/>
    <row r="4" spans="7:14" ht="15.75" thickBot="1" x14ac:dyDescent="0.3"/>
    <row r="5" spans="7:14" ht="19.5" thickBot="1" x14ac:dyDescent="0.35">
      <c r="G5" s="47" t="s">
        <v>186</v>
      </c>
      <c r="H5" s="48"/>
      <c r="I5" s="48"/>
    </row>
    <row r="6" spans="7:14" ht="15.75" thickBot="1" x14ac:dyDescent="0.3">
      <c r="G6" s="49" t="s">
        <v>316</v>
      </c>
      <c r="H6" s="50"/>
      <c r="I6" s="50"/>
      <c r="J6" s="50"/>
      <c r="K6" s="50"/>
      <c r="L6" s="25"/>
    </row>
    <row r="7" spans="7:14" ht="15" x14ac:dyDescent="0.25"/>
    <row r="8" spans="7:14" ht="15" x14ac:dyDescent="0.25"/>
    <row r="9" spans="7:14" ht="15" x14ac:dyDescent="0.25"/>
    <row r="10" spans="7:14" ht="15" x14ac:dyDescent="0.25"/>
    <row r="11" spans="7:14" ht="15" x14ac:dyDescent="0.25"/>
    <row r="12" spans="7:14" ht="15" x14ac:dyDescent="0.25"/>
    <row r="13" spans="7:14" ht="15" x14ac:dyDescent="0.25"/>
    <row r="14" spans="7:14" ht="15" x14ac:dyDescent="0.25"/>
    <row r="15" spans="7:14" ht="15" x14ac:dyDescent="0.25"/>
    <row r="16" spans="7:14" ht="15" x14ac:dyDescent="0.25"/>
    <row r="17" spans="10:10" ht="15" x14ac:dyDescent="0.25"/>
    <row r="18" spans="10:10" ht="15" x14ac:dyDescent="0.25">
      <c r="J18" s="11"/>
    </row>
    <row r="19" spans="10:10" ht="15" x14ac:dyDescent="0.25"/>
    <row r="20" spans="10:10" ht="15" x14ac:dyDescent="0.25"/>
    <row r="21" spans="10:10" ht="15" x14ac:dyDescent="0.25"/>
    <row r="22" spans="10:10" ht="15" x14ac:dyDescent="0.25"/>
    <row r="23" spans="10:10" ht="15" x14ac:dyDescent="0.25"/>
    <row r="24" spans="10:10" ht="15" x14ac:dyDescent="0.25"/>
    <row r="25" spans="10:10" ht="15" x14ac:dyDescent="0.25"/>
    <row r="26" spans="10:10" ht="15" x14ac:dyDescent="0.25"/>
    <row r="27" spans="10:10" ht="15" x14ac:dyDescent="0.25"/>
    <row r="28" spans="10:10" ht="15" x14ac:dyDescent="0.25"/>
    <row r="29" spans="10:10" ht="15" x14ac:dyDescent="0.25"/>
    <row r="30" spans="10:10" ht="15" x14ac:dyDescent="0.25"/>
    <row r="31" spans="10:10" ht="15" x14ac:dyDescent="0.25"/>
    <row r="32" spans="10:10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hidden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ED3EF-5387-45C7-827F-BB080A873425}">
  <sheetPr>
    <pageSetUpPr fitToPage="1"/>
  </sheetPr>
  <dimension ref="A1:N32"/>
  <sheetViews>
    <sheetView workbookViewId="0">
      <selection activeCell="B1" sqref="B1"/>
    </sheetView>
  </sheetViews>
  <sheetFormatPr defaultRowHeight="15" x14ac:dyDescent="0.25"/>
  <cols>
    <col min="1" max="1" width="9.140625" customWidth="1"/>
    <col min="2" max="2" width="11.85546875" bestFit="1" customWidth="1"/>
    <col min="3" max="3" width="33.42578125" bestFit="1" customWidth="1"/>
    <col min="4" max="4" width="13.28515625" bestFit="1" customWidth="1"/>
    <col min="5" max="5" width="19.42578125" bestFit="1" customWidth="1"/>
    <col min="6" max="6" width="17.85546875" hidden="1" customWidth="1"/>
    <col min="7" max="7" width="19" bestFit="1" customWidth="1"/>
    <col min="8" max="8" width="12.42578125" bestFit="1" customWidth="1"/>
    <col min="9" max="9" width="10.7109375" bestFit="1" customWidth="1"/>
    <col min="10" max="10" width="8.5703125" bestFit="1" customWidth="1"/>
    <col min="11" max="12" width="9.5703125" bestFit="1" customWidth="1"/>
    <col min="13" max="13" width="13.28515625" bestFit="1" customWidth="1"/>
    <col min="14" max="14" width="9" customWidth="1"/>
  </cols>
  <sheetData>
    <row r="1" spans="1:14" ht="63" x14ac:dyDescent="0.25">
      <c r="A1" s="156" t="s">
        <v>39</v>
      </c>
      <c r="B1" s="58" t="s">
        <v>6</v>
      </c>
      <c r="C1" s="58" t="s">
        <v>3</v>
      </c>
      <c r="D1" s="58" t="s">
        <v>1</v>
      </c>
      <c r="E1" s="58" t="s">
        <v>2</v>
      </c>
      <c r="F1" s="58" t="s">
        <v>253</v>
      </c>
      <c r="G1" s="58" t="s">
        <v>257</v>
      </c>
      <c r="H1" s="58" t="s">
        <v>33</v>
      </c>
      <c r="I1" s="107" t="s">
        <v>34</v>
      </c>
      <c r="J1" s="107" t="s">
        <v>263</v>
      </c>
      <c r="K1" s="107" t="s">
        <v>267</v>
      </c>
      <c r="L1" s="107" t="s">
        <v>264</v>
      </c>
      <c r="M1" s="107" t="s">
        <v>35</v>
      </c>
      <c r="N1" s="30" t="s">
        <v>235</v>
      </c>
    </row>
    <row r="2" spans="1:14" ht="15.75" x14ac:dyDescent="0.25">
      <c r="A2" s="55" t="s">
        <v>79</v>
      </c>
      <c r="B2" s="56">
        <v>45601</v>
      </c>
      <c r="C2" s="57" t="s">
        <v>192</v>
      </c>
      <c r="D2" s="56">
        <v>45539</v>
      </c>
      <c r="E2" s="33">
        <v>35899</v>
      </c>
      <c r="F2" s="33" t="s">
        <v>256</v>
      </c>
      <c r="G2" s="33" t="s">
        <v>258</v>
      </c>
      <c r="H2" s="29">
        <v>324000</v>
      </c>
      <c r="I2" s="104">
        <v>61560</v>
      </c>
      <c r="J2" s="104">
        <v>0</v>
      </c>
      <c r="K2" s="105">
        <v>0</v>
      </c>
      <c r="L2" s="104">
        <v>0</v>
      </c>
      <c r="M2" s="106">
        <v>385560</v>
      </c>
      <c r="N2" s="28">
        <v>385560</v>
      </c>
    </row>
    <row r="3" spans="1:14" ht="15.75" x14ac:dyDescent="0.25">
      <c r="A3" s="55"/>
      <c r="B3" s="56"/>
      <c r="C3" s="57"/>
      <c r="D3" s="56"/>
      <c r="E3" s="33"/>
      <c r="F3" s="33"/>
      <c r="G3" s="33"/>
      <c r="H3" s="29"/>
      <c r="I3" s="104"/>
      <c r="J3" s="104"/>
      <c r="K3" s="105"/>
      <c r="L3" s="157" t="s">
        <v>35</v>
      </c>
      <c r="M3" s="108">
        <v>385560</v>
      </c>
      <c r="N3" s="28">
        <v>385560</v>
      </c>
    </row>
    <row r="4" spans="1:14" ht="15.75" x14ac:dyDescent="0.25">
      <c r="A4" s="55"/>
      <c r="B4" s="56"/>
      <c r="C4" s="57"/>
      <c r="D4" s="56"/>
      <c r="E4" s="33"/>
      <c r="F4" s="33"/>
      <c r="G4" s="33"/>
      <c r="H4" s="29"/>
      <c r="I4" s="104"/>
      <c r="J4" s="104"/>
      <c r="K4" s="105"/>
      <c r="L4" s="104"/>
      <c r="M4" s="106"/>
      <c r="N4" s="28"/>
    </row>
    <row r="5" spans="1:14" ht="15.75" x14ac:dyDescent="0.25">
      <c r="A5" s="55"/>
      <c r="B5" s="56"/>
      <c r="C5" s="57"/>
      <c r="D5" s="56"/>
      <c r="E5" s="33"/>
      <c r="F5" s="33"/>
      <c r="G5" s="33"/>
      <c r="H5" s="29"/>
      <c r="I5" s="104"/>
      <c r="J5" s="104"/>
      <c r="K5" s="105"/>
      <c r="L5" s="104"/>
      <c r="M5" s="106"/>
      <c r="N5" s="28"/>
    </row>
    <row r="6" spans="1:14" ht="63" x14ac:dyDescent="0.25">
      <c r="A6" s="156" t="s">
        <v>39</v>
      </c>
      <c r="B6" s="58" t="s">
        <v>6</v>
      </c>
      <c r="C6" s="58" t="s">
        <v>3</v>
      </c>
      <c r="D6" s="58" t="s">
        <v>1</v>
      </c>
      <c r="E6" s="58" t="s">
        <v>2</v>
      </c>
      <c r="F6" s="58" t="s">
        <v>253</v>
      </c>
      <c r="G6" s="58" t="s">
        <v>257</v>
      </c>
      <c r="H6" s="58" t="s">
        <v>33</v>
      </c>
      <c r="I6" s="107" t="s">
        <v>34</v>
      </c>
      <c r="J6" s="107" t="s">
        <v>263</v>
      </c>
      <c r="K6" s="107" t="s">
        <v>267</v>
      </c>
      <c r="L6" s="107" t="s">
        <v>264</v>
      </c>
      <c r="M6" s="107" t="s">
        <v>35</v>
      </c>
      <c r="N6" s="30" t="s">
        <v>235</v>
      </c>
    </row>
    <row r="7" spans="1:14" ht="15.75" x14ac:dyDescent="0.25">
      <c r="A7" s="55" t="s">
        <v>183</v>
      </c>
      <c r="B7" s="56">
        <v>45601</v>
      </c>
      <c r="C7" s="57" t="s">
        <v>10</v>
      </c>
      <c r="D7" s="56">
        <v>45560</v>
      </c>
      <c r="E7" s="33" t="s">
        <v>675</v>
      </c>
      <c r="F7" s="33" t="s">
        <v>256</v>
      </c>
      <c r="G7" s="33" t="s">
        <v>258</v>
      </c>
      <c r="H7" s="29">
        <v>4961353</v>
      </c>
      <c r="I7" s="104">
        <v>942657.07000000007</v>
      </c>
      <c r="J7" s="104">
        <v>0</v>
      </c>
      <c r="K7" s="105">
        <v>2.5000000000000001E-2</v>
      </c>
      <c r="L7" s="104">
        <v>124033.82500000001</v>
      </c>
      <c r="M7" s="106">
        <v>5779976.2450000001</v>
      </c>
      <c r="N7" s="28">
        <v>5779976</v>
      </c>
    </row>
    <row r="8" spans="1:14" ht="15.75" x14ac:dyDescent="0.25">
      <c r="A8" s="55" t="s">
        <v>183</v>
      </c>
      <c r="B8" s="56">
        <v>45601</v>
      </c>
      <c r="C8" s="57" t="s">
        <v>10</v>
      </c>
      <c r="D8" s="56">
        <v>45567</v>
      </c>
      <c r="E8" s="33" t="s">
        <v>679</v>
      </c>
      <c r="F8" s="33" t="s">
        <v>256</v>
      </c>
      <c r="G8" s="33" t="s">
        <v>258</v>
      </c>
      <c r="H8" s="29">
        <v>285714</v>
      </c>
      <c r="I8" s="104">
        <v>54285.66</v>
      </c>
      <c r="J8" s="104">
        <v>0</v>
      </c>
      <c r="K8" s="105">
        <v>0</v>
      </c>
      <c r="L8" s="104">
        <v>0</v>
      </c>
      <c r="M8" s="106">
        <v>339999.66000000003</v>
      </c>
      <c r="N8" s="28">
        <v>340000</v>
      </c>
    </row>
    <row r="9" spans="1:14" ht="15.75" x14ac:dyDescent="0.25">
      <c r="A9" s="55"/>
      <c r="B9" s="56"/>
      <c r="C9" s="57"/>
      <c r="D9" s="56"/>
      <c r="E9" s="33"/>
      <c r="F9" s="33"/>
      <c r="G9" s="33"/>
      <c r="H9" s="29"/>
      <c r="I9" s="104"/>
      <c r="J9" s="104"/>
      <c r="K9" s="105"/>
      <c r="L9" s="157" t="s">
        <v>35</v>
      </c>
      <c r="M9" s="108">
        <v>6119975.9050000003</v>
      </c>
      <c r="N9" s="28">
        <v>6119976</v>
      </c>
    </row>
    <row r="10" spans="1:14" ht="15.75" x14ac:dyDescent="0.25">
      <c r="A10" s="55"/>
      <c r="B10" s="56"/>
      <c r="C10" s="57"/>
      <c r="D10" s="56"/>
      <c r="E10" s="33"/>
      <c r="F10" s="33"/>
      <c r="G10" s="33"/>
      <c r="H10" s="29"/>
      <c r="I10" s="104"/>
      <c r="J10" s="104"/>
      <c r="K10" s="105"/>
      <c r="L10" s="104"/>
      <c r="M10" s="106"/>
      <c r="N10" s="28"/>
    </row>
    <row r="11" spans="1:14" ht="15.75" x14ac:dyDescent="0.25">
      <c r="A11" s="55"/>
      <c r="B11" s="56"/>
      <c r="C11" s="57"/>
      <c r="D11" s="56"/>
      <c r="E11" s="33"/>
      <c r="F11" s="33"/>
      <c r="G11" s="33"/>
      <c r="H11" s="29"/>
      <c r="I11" s="104"/>
      <c r="J11" s="104"/>
      <c r="K11" s="105"/>
      <c r="L11" s="104"/>
      <c r="M11" s="106"/>
      <c r="N11" s="28"/>
    </row>
    <row r="12" spans="1:14" ht="63" x14ac:dyDescent="0.25">
      <c r="A12" s="156" t="s">
        <v>39</v>
      </c>
      <c r="B12" s="58" t="s">
        <v>6</v>
      </c>
      <c r="C12" s="58" t="s">
        <v>3</v>
      </c>
      <c r="D12" s="58" t="s">
        <v>1</v>
      </c>
      <c r="E12" s="58" t="s">
        <v>2</v>
      </c>
      <c r="F12" s="58" t="s">
        <v>253</v>
      </c>
      <c r="G12" s="58" t="s">
        <v>257</v>
      </c>
      <c r="H12" s="58" t="s">
        <v>33</v>
      </c>
      <c r="I12" s="107" t="s">
        <v>34</v>
      </c>
      <c r="J12" s="107" t="s">
        <v>263</v>
      </c>
      <c r="K12" s="107" t="s">
        <v>267</v>
      </c>
      <c r="L12" s="107" t="s">
        <v>264</v>
      </c>
      <c r="M12" s="107" t="s">
        <v>35</v>
      </c>
      <c r="N12" s="30" t="s">
        <v>235</v>
      </c>
    </row>
    <row r="13" spans="1:14" ht="15.75" x14ac:dyDescent="0.25">
      <c r="A13" s="55" t="s">
        <v>270</v>
      </c>
      <c r="B13" s="56">
        <v>45601</v>
      </c>
      <c r="C13" s="57" t="s">
        <v>13</v>
      </c>
      <c r="D13" s="56">
        <v>45565</v>
      </c>
      <c r="E13" s="33" t="s">
        <v>676</v>
      </c>
      <c r="F13" s="33" t="s">
        <v>210</v>
      </c>
      <c r="G13" s="33" t="s">
        <v>259</v>
      </c>
      <c r="H13" s="29">
        <v>3487133</v>
      </c>
      <c r="I13" s="104">
        <v>662555.27</v>
      </c>
      <c r="J13" s="104">
        <v>0</v>
      </c>
      <c r="K13" s="105">
        <v>2.5000000000000001E-2</v>
      </c>
      <c r="L13" s="104">
        <v>87178.325000000012</v>
      </c>
      <c r="M13" s="106">
        <v>4062509.9449999998</v>
      </c>
      <c r="N13" s="28">
        <v>4062510</v>
      </c>
    </row>
    <row r="14" spans="1:14" ht="15.75" x14ac:dyDescent="0.25">
      <c r="A14" s="55"/>
      <c r="B14" s="56"/>
      <c r="C14" s="57"/>
      <c r="D14" s="56"/>
      <c r="E14" s="33"/>
      <c r="F14" s="33"/>
      <c r="G14" s="33"/>
      <c r="H14" s="29"/>
      <c r="I14" s="104"/>
      <c r="J14" s="104"/>
      <c r="K14" s="105"/>
      <c r="L14" s="157" t="s">
        <v>35</v>
      </c>
      <c r="M14" s="108">
        <v>4062509.9449999998</v>
      </c>
      <c r="N14" s="28">
        <v>4062510</v>
      </c>
    </row>
    <row r="15" spans="1:14" ht="15.75" x14ac:dyDescent="0.25">
      <c r="A15" s="55"/>
      <c r="B15" s="56"/>
      <c r="C15" s="57"/>
      <c r="D15" s="56"/>
      <c r="E15" s="33"/>
      <c r="F15" s="33"/>
      <c r="G15" s="33"/>
      <c r="H15" s="29"/>
      <c r="I15" s="104"/>
      <c r="J15" s="104"/>
      <c r="K15" s="105"/>
      <c r="L15" s="104"/>
      <c r="M15" s="106"/>
      <c r="N15" s="28"/>
    </row>
    <row r="16" spans="1:14" ht="15.75" x14ac:dyDescent="0.25">
      <c r="A16" s="55"/>
      <c r="B16" s="56"/>
      <c r="C16" s="57"/>
      <c r="D16" s="56"/>
      <c r="E16" s="33"/>
      <c r="F16" s="33"/>
      <c r="G16" s="33"/>
      <c r="H16" s="29"/>
      <c r="I16" s="104"/>
      <c r="J16" s="104"/>
      <c r="K16" s="105"/>
      <c r="L16" s="104"/>
      <c r="M16" s="106"/>
      <c r="N16" s="28"/>
    </row>
    <row r="17" spans="1:14" ht="63" x14ac:dyDescent="0.25">
      <c r="A17" s="156" t="s">
        <v>39</v>
      </c>
      <c r="B17" s="58" t="s">
        <v>6</v>
      </c>
      <c r="C17" s="58" t="s">
        <v>3</v>
      </c>
      <c r="D17" s="58" t="s">
        <v>1</v>
      </c>
      <c r="E17" s="58" t="s">
        <v>2</v>
      </c>
      <c r="F17" s="58" t="s">
        <v>253</v>
      </c>
      <c r="G17" s="58" t="s">
        <v>257</v>
      </c>
      <c r="H17" s="58" t="s">
        <v>33</v>
      </c>
      <c r="I17" s="107" t="s">
        <v>34</v>
      </c>
      <c r="J17" s="107" t="s">
        <v>263</v>
      </c>
      <c r="K17" s="107" t="s">
        <v>267</v>
      </c>
      <c r="L17" s="107" t="s">
        <v>264</v>
      </c>
      <c r="M17" s="107" t="s">
        <v>35</v>
      </c>
      <c r="N17" s="30" t="s">
        <v>235</v>
      </c>
    </row>
    <row r="18" spans="1:14" ht="15.75" x14ac:dyDescent="0.25">
      <c r="A18" s="55" t="s">
        <v>160</v>
      </c>
      <c r="B18" s="56">
        <v>45601</v>
      </c>
      <c r="C18" s="57" t="s">
        <v>14</v>
      </c>
      <c r="D18" s="56">
        <v>45555</v>
      </c>
      <c r="E18" s="33" t="s">
        <v>674</v>
      </c>
      <c r="F18" s="33" t="s">
        <v>210</v>
      </c>
      <c r="G18" s="33" t="s">
        <v>259</v>
      </c>
      <c r="H18" s="29">
        <v>15662400</v>
      </c>
      <c r="I18" s="104">
        <v>2975856</v>
      </c>
      <c r="J18" s="104">
        <v>0</v>
      </c>
      <c r="K18" s="105">
        <v>0</v>
      </c>
      <c r="L18" s="104">
        <v>0</v>
      </c>
      <c r="M18" s="106">
        <v>18638256</v>
      </c>
      <c r="N18" s="28">
        <v>18638256</v>
      </c>
    </row>
    <row r="19" spans="1:14" ht="15.75" x14ac:dyDescent="0.25">
      <c r="A19" s="55"/>
      <c r="B19" s="56"/>
      <c r="C19" s="57"/>
      <c r="D19" s="56"/>
      <c r="E19" s="33"/>
      <c r="F19" s="33"/>
      <c r="G19" s="33"/>
      <c r="H19" s="29"/>
      <c r="I19" s="104"/>
      <c r="J19" s="104"/>
      <c r="K19" s="105"/>
      <c r="L19" s="157" t="s">
        <v>35</v>
      </c>
      <c r="M19" s="108">
        <v>18638256</v>
      </c>
      <c r="N19" s="28">
        <v>18638256</v>
      </c>
    </row>
    <row r="20" spans="1:14" ht="15.75" x14ac:dyDescent="0.25">
      <c r="A20" s="55"/>
      <c r="B20" s="56"/>
      <c r="C20" s="57"/>
      <c r="D20" s="56"/>
      <c r="E20" s="33"/>
      <c r="F20" s="33"/>
      <c r="G20" s="33"/>
      <c r="H20" s="29"/>
      <c r="I20" s="104"/>
      <c r="J20" s="104"/>
      <c r="K20" s="105"/>
      <c r="L20" s="104"/>
      <c r="M20" s="106"/>
      <c r="N20" s="28"/>
    </row>
    <row r="21" spans="1:14" ht="15.75" x14ac:dyDescent="0.25">
      <c r="A21" s="55"/>
      <c r="B21" s="56"/>
      <c r="C21" s="57"/>
      <c r="D21" s="56"/>
      <c r="E21" s="33"/>
      <c r="F21" s="33"/>
      <c r="G21" s="33"/>
      <c r="H21" s="29"/>
      <c r="I21" s="104"/>
      <c r="J21" s="104"/>
      <c r="K21" s="105"/>
      <c r="L21" s="104"/>
      <c r="M21" s="106"/>
      <c r="N21" s="28"/>
    </row>
    <row r="22" spans="1:14" ht="63" x14ac:dyDescent="0.25">
      <c r="A22" s="156" t="s">
        <v>39</v>
      </c>
      <c r="B22" s="58" t="s">
        <v>6</v>
      </c>
      <c r="C22" s="58" t="s">
        <v>3</v>
      </c>
      <c r="D22" s="58" t="s">
        <v>1</v>
      </c>
      <c r="E22" s="58" t="s">
        <v>2</v>
      </c>
      <c r="F22" s="58" t="s">
        <v>253</v>
      </c>
      <c r="G22" s="58" t="s">
        <v>257</v>
      </c>
      <c r="H22" s="58" t="s">
        <v>33</v>
      </c>
      <c r="I22" s="107" t="s">
        <v>34</v>
      </c>
      <c r="J22" s="107" t="s">
        <v>263</v>
      </c>
      <c r="K22" s="107" t="s">
        <v>267</v>
      </c>
      <c r="L22" s="107" t="s">
        <v>264</v>
      </c>
      <c r="M22" s="107" t="s">
        <v>35</v>
      </c>
      <c r="N22" s="30" t="s">
        <v>235</v>
      </c>
    </row>
    <row r="23" spans="1:14" ht="15.75" x14ac:dyDescent="0.25">
      <c r="A23" s="55">
        <v>0</v>
      </c>
      <c r="B23" s="56">
        <v>45601</v>
      </c>
      <c r="C23" s="57" t="s">
        <v>677</v>
      </c>
      <c r="D23" s="56">
        <v>45566</v>
      </c>
      <c r="E23" s="33" t="s">
        <v>678</v>
      </c>
      <c r="F23" s="33" t="s">
        <v>210</v>
      </c>
      <c r="G23" s="33" t="s">
        <v>234</v>
      </c>
      <c r="H23" s="29">
        <v>1474829</v>
      </c>
      <c r="I23" s="104"/>
      <c r="J23" s="104">
        <v>0</v>
      </c>
      <c r="K23" s="105">
        <v>0</v>
      </c>
      <c r="L23" s="104">
        <v>0</v>
      </c>
      <c r="M23" s="106">
        <v>1474829</v>
      </c>
      <c r="N23" s="28">
        <v>1474829</v>
      </c>
    </row>
    <row r="24" spans="1:14" ht="15.75" x14ac:dyDescent="0.25">
      <c r="A24" s="55"/>
      <c r="B24" s="56"/>
      <c r="C24" s="57"/>
      <c r="D24" s="56"/>
      <c r="E24" s="33"/>
      <c r="F24" s="33"/>
      <c r="G24" s="33"/>
      <c r="H24" s="29"/>
      <c r="I24" s="104"/>
      <c r="J24" s="104"/>
      <c r="K24" s="105"/>
      <c r="L24" s="157" t="s">
        <v>35</v>
      </c>
      <c r="M24" s="108">
        <v>1474829</v>
      </c>
      <c r="N24" s="28">
        <v>1474829</v>
      </c>
    </row>
    <row r="25" spans="1:14" ht="15.75" x14ac:dyDescent="0.25">
      <c r="A25" s="55"/>
      <c r="B25" s="56"/>
      <c r="C25" s="57"/>
      <c r="D25" s="56"/>
      <c r="E25" s="33"/>
      <c r="F25" s="33"/>
      <c r="G25" s="33"/>
      <c r="H25" s="29"/>
      <c r="I25" s="104"/>
      <c r="J25" s="104"/>
      <c r="K25" s="105"/>
      <c r="L25" s="104"/>
      <c r="M25" s="106"/>
      <c r="N25" s="28"/>
    </row>
    <row r="26" spans="1:14" ht="15.75" x14ac:dyDescent="0.25">
      <c r="A26" s="55"/>
      <c r="B26" s="56"/>
      <c r="C26" s="57"/>
      <c r="D26" s="56"/>
      <c r="E26" s="33"/>
      <c r="F26" s="33"/>
      <c r="G26" s="33"/>
      <c r="H26" s="29"/>
      <c r="I26" s="104"/>
      <c r="J26" s="104"/>
      <c r="K26" s="105"/>
      <c r="L26" s="104"/>
      <c r="M26" s="106"/>
      <c r="N26" s="28"/>
    </row>
    <row r="27" spans="1:14" ht="63" x14ac:dyDescent="0.25">
      <c r="A27" s="156" t="s">
        <v>39</v>
      </c>
      <c r="B27" s="58" t="s">
        <v>6</v>
      </c>
      <c r="C27" s="58" t="s">
        <v>3</v>
      </c>
      <c r="D27" s="58" t="s">
        <v>1</v>
      </c>
      <c r="E27" s="58" t="s">
        <v>2</v>
      </c>
      <c r="F27" s="58" t="s">
        <v>253</v>
      </c>
      <c r="G27" s="58" t="s">
        <v>257</v>
      </c>
      <c r="H27" s="58" t="s">
        <v>33</v>
      </c>
      <c r="I27" s="107" t="s">
        <v>34</v>
      </c>
      <c r="J27" s="107" t="s">
        <v>263</v>
      </c>
      <c r="K27" s="107" t="s">
        <v>267</v>
      </c>
      <c r="L27" s="107" t="s">
        <v>264</v>
      </c>
      <c r="M27" s="107" t="s">
        <v>35</v>
      </c>
      <c r="N27" s="30" t="s">
        <v>235</v>
      </c>
    </row>
    <row r="28" spans="1:14" ht="15.75" x14ac:dyDescent="0.25">
      <c r="A28" s="55">
        <v>0</v>
      </c>
      <c r="B28" s="56">
        <v>45601</v>
      </c>
      <c r="C28" s="57" t="s">
        <v>595</v>
      </c>
      <c r="D28" s="56">
        <v>45601</v>
      </c>
      <c r="E28" s="33" t="s">
        <v>665</v>
      </c>
      <c r="F28" s="33" t="s">
        <v>210</v>
      </c>
      <c r="G28" s="33" t="s">
        <v>234</v>
      </c>
      <c r="H28" s="29">
        <v>50000</v>
      </c>
      <c r="I28" s="104"/>
      <c r="J28" s="104">
        <v>0</v>
      </c>
      <c r="K28" s="105">
        <v>0</v>
      </c>
      <c r="L28" s="104">
        <v>0</v>
      </c>
      <c r="M28" s="106">
        <v>50000</v>
      </c>
      <c r="N28" s="28">
        <v>50000</v>
      </c>
    </row>
    <row r="29" spans="1:14" ht="15.75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32" t="s">
        <v>35</v>
      </c>
      <c r="M29" s="108">
        <v>50000</v>
      </c>
      <c r="N29" s="28">
        <v>50000</v>
      </c>
    </row>
    <row r="32" spans="1:14" ht="15.75" x14ac:dyDescent="0.2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 t="s">
        <v>35</v>
      </c>
      <c r="M32" s="109">
        <v>30731130.850000001</v>
      </c>
      <c r="N32" s="51">
        <v>30731131</v>
      </c>
    </row>
  </sheetData>
  <sortState xmlns:xlrd2="http://schemas.microsoft.com/office/spreadsheetml/2017/richdata2" ref="A2:M28">
    <sortCondition ref="G1"/>
    <sortCondition ref="C1"/>
    <sortCondition ref="E1"/>
  </sortState>
  <pageMargins left="0.7" right="0.7" top="0.75" bottom="0.75" header="0.3" footer="0.3"/>
  <pageSetup scale="5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defaultColWidth="11.5703125" defaultRowHeight="15" x14ac:dyDescent="0.25"/>
  <cols>
    <col min="1" max="2" width="21.42578125" customWidth="1"/>
  </cols>
  <sheetData>
    <row r="1" spans="1:2" ht="26.25" x14ac:dyDescent="0.25">
      <c r="A1" s="1" t="s">
        <v>0</v>
      </c>
      <c r="B1" s="2">
        <f ca="1">TODAY()</f>
        <v>45666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K25"/>
  <sheetViews>
    <sheetView workbookViewId="0">
      <selection activeCell="H31" sqref="H31"/>
    </sheetView>
  </sheetViews>
  <sheetFormatPr defaultColWidth="11.5703125" defaultRowHeight="15" x14ac:dyDescent="0.25"/>
  <cols>
    <col min="2" max="2" width="11.5703125" style="14"/>
    <col min="3" max="11" width="12.5703125" customWidth="1"/>
  </cols>
  <sheetData>
    <row r="1" spans="1:11" s="20" customFormat="1" x14ac:dyDescent="0.25">
      <c r="A1" s="18" t="s">
        <v>148</v>
      </c>
      <c r="B1" s="19" t="s">
        <v>36</v>
      </c>
      <c r="C1" s="18">
        <v>2024</v>
      </c>
      <c r="D1" s="18">
        <v>2025</v>
      </c>
      <c r="E1" s="18">
        <v>2026</v>
      </c>
      <c r="F1" s="18">
        <v>2027</v>
      </c>
      <c r="G1" s="18">
        <v>2028</v>
      </c>
      <c r="H1" s="18">
        <v>2029</v>
      </c>
      <c r="I1" s="18">
        <v>2030</v>
      </c>
      <c r="J1" s="18">
        <v>2031</v>
      </c>
      <c r="K1" s="18">
        <v>2032</v>
      </c>
    </row>
    <row r="2" spans="1:11" x14ac:dyDescent="0.25">
      <c r="A2" s="16">
        <v>0</v>
      </c>
      <c r="B2" s="15">
        <v>0</v>
      </c>
      <c r="C2" s="17">
        <v>0</v>
      </c>
      <c r="D2" s="17">
        <v>0</v>
      </c>
      <c r="E2" s="17"/>
      <c r="F2" s="17"/>
      <c r="G2" s="17"/>
      <c r="H2" s="17"/>
      <c r="I2" s="17"/>
      <c r="J2" s="17"/>
      <c r="K2" s="17"/>
    </row>
    <row r="3" spans="1:11" x14ac:dyDescent="0.25">
      <c r="A3" s="16" t="s">
        <v>159</v>
      </c>
      <c r="B3" s="15">
        <v>0.01</v>
      </c>
      <c r="C3" s="17">
        <v>0</v>
      </c>
      <c r="D3" s="17">
        <v>0</v>
      </c>
      <c r="E3" s="17"/>
      <c r="F3" s="17"/>
      <c r="G3" s="17"/>
      <c r="H3" s="17"/>
      <c r="I3" s="17"/>
      <c r="J3" s="17"/>
      <c r="K3" s="17"/>
    </row>
    <row r="4" spans="1:11" x14ac:dyDescent="0.25">
      <c r="A4" s="16" t="s">
        <v>149</v>
      </c>
      <c r="B4" s="15">
        <v>0.01</v>
      </c>
      <c r="C4" s="17">
        <v>188000</v>
      </c>
      <c r="D4" s="17">
        <v>199000</v>
      </c>
      <c r="E4" s="17"/>
      <c r="F4" s="17"/>
      <c r="G4" s="17"/>
      <c r="H4" s="17"/>
      <c r="I4" s="17"/>
      <c r="J4" s="17"/>
      <c r="K4" s="17"/>
    </row>
    <row r="5" spans="1:11" x14ac:dyDescent="0.25">
      <c r="A5" s="16" t="s">
        <v>150</v>
      </c>
      <c r="B5" s="15">
        <v>2.5000000000000001E-2</v>
      </c>
      <c r="C5" s="17">
        <v>1271000</v>
      </c>
      <c r="D5" s="17">
        <v>1345000</v>
      </c>
      <c r="E5" s="17"/>
      <c r="F5" s="17"/>
      <c r="G5" s="17"/>
      <c r="H5" s="17"/>
      <c r="I5" s="17"/>
      <c r="J5" s="17"/>
      <c r="K5" s="17"/>
    </row>
    <row r="6" spans="1:11" x14ac:dyDescent="0.25">
      <c r="A6" s="16" t="s">
        <v>151</v>
      </c>
      <c r="B6" s="15">
        <v>3.5000000000000003E-2</v>
      </c>
      <c r="C6" s="17">
        <v>0</v>
      </c>
      <c r="D6" s="17">
        <v>0</v>
      </c>
      <c r="E6" s="17"/>
      <c r="F6" s="17"/>
      <c r="G6" s="17"/>
      <c r="H6" s="17"/>
      <c r="I6" s="17"/>
      <c r="J6" s="17"/>
      <c r="K6" s="17"/>
    </row>
    <row r="7" spans="1:11" x14ac:dyDescent="0.25">
      <c r="A7" s="16" t="s">
        <v>152</v>
      </c>
      <c r="B7" s="15">
        <v>3.5000000000000003E-2</v>
      </c>
      <c r="C7" s="17">
        <v>1271000</v>
      </c>
      <c r="D7" s="17">
        <v>1345000</v>
      </c>
      <c r="E7" s="17"/>
      <c r="F7" s="17"/>
      <c r="G7" s="17"/>
      <c r="H7" s="17"/>
      <c r="I7" s="17"/>
      <c r="J7" s="17"/>
      <c r="K7" s="17"/>
    </row>
    <row r="8" spans="1:11" x14ac:dyDescent="0.25">
      <c r="A8" s="16" t="s">
        <v>153</v>
      </c>
      <c r="B8" s="15">
        <v>0.04</v>
      </c>
      <c r="C8" s="17">
        <v>0</v>
      </c>
      <c r="D8" s="17">
        <v>0</v>
      </c>
      <c r="E8" s="17"/>
      <c r="F8" s="17"/>
      <c r="G8" s="17"/>
      <c r="H8" s="17"/>
      <c r="I8" s="17"/>
      <c r="J8" s="17"/>
      <c r="K8" s="17"/>
    </row>
    <row r="9" spans="1:11" x14ac:dyDescent="0.25">
      <c r="A9" s="16" t="s">
        <v>190</v>
      </c>
      <c r="B9" s="15">
        <v>0.04</v>
      </c>
      <c r="C9" s="17">
        <v>188000</v>
      </c>
      <c r="D9" s="17">
        <v>199000</v>
      </c>
      <c r="E9" s="17"/>
      <c r="F9" s="17"/>
      <c r="G9" s="17"/>
      <c r="H9" s="17"/>
      <c r="I9" s="17"/>
      <c r="J9" s="17"/>
      <c r="K9" s="17"/>
    </row>
    <row r="10" spans="1:11" x14ac:dyDescent="0.25">
      <c r="A10" s="16" t="s">
        <v>154</v>
      </c>
      <c r="B10" s="15">
        <v>0.11</v>
      </c>
      <c r="C10" s="17">
        <v>0</v>
      </c>
      <c r="D10" s="17">
        <v>0</v>
      </c>
      <c r="E10" s="17"/>
      <c r="F10" s="17"/>
      <c r="G10" s="17"/>
      <c r="H10" s="17"/>
      <c r="I10" s="17"/>
      <c r="J10" s="17"/>
      <c r="K10" s="17"/>
    </row>
    <row r="11" spans="1:11" x14ac:dyDescent="0.25">
      <c r="A11" s="16"/>
      <c r="B11" s="15"/>
      <c r="C11" s="17"/>
      <c r="D11" s="17"/>
      <c r="E11" s="17"/>
      <c r="F11" s="17"/>
      <c r="G11" s="17"/>
      <c r="H11" s="17"/>
      <c r="I11" s="17"/>
      <c r="J11" s="17"/>
      <c r="K11" s="17"/>
    </row>
    <row r="12" spans="1:11" x14ac:dyDescent="0.25">
      <c r="A12" s="16"/>
      <c r="B12" s="15"/>
      <c r="C12" s="17"/>
      <c r="D12" s="17"/>
      <c r="E12" s="17"/>
      <c r="F12" s="17"/>
      <c r="G12" s="17"/>
      <c r="H12" s="17"/>
      <c r="I12" s="17"/>
      <c r="J12" s="17"/>
      <c r="K12" s="17"/>
    </row>
    <row r="13" spans="1:11" x14ac:dyDescent="0.25">
      <c r="A13" s="16"/>
      <c r="B13" s="15"/>
      <c r="C13" s="17"/>
      <c r="D13" s="17"/>
      <c r="E13" s="17"/>
      <c r="F13" s="17"/>
      <c r="G13" s="17"/>
      <c r="H13" s="17"/>
      <c r="I13" s="17"/>
      <c r="J13" s="17"/>
      <c r="K13" s="17"/>
    </row>
    <row r="14" spans="1:11" x14ac:dyDescent="0.25">
      <c r="A14" s="16"/>
      <c r="B14" s="15"/>
      <c r="C14" s="17"/>
      <c r="D14" s="17"/>
      <c r="E14" s="17"/>
      <c r="F14" s="17"/>
      <c r="G14" s="17"/>
      <c r="H14" s="17"/>
      <c r="I14" s="17"/>
      <c r="J14" s="17"/>
      <c r="K14" s="17"/>
    </row>
    <row r="15" spans="1:11" x14ac:dyDescent="0.25">
      <c r="A15" s="16"/>
      <c r="B15" s="15"/>
      <c r="C15" s="17"/>
      <c r="D15" s="17"/>
      <c r="E15" s="17"/>
      <c r="F15" s="17"/>
      <c r="G15" s="17"/>
      <c r="H15" s="17"/>
      <c r="I15" s="17"/>
      <c r="J15" s="17"/>
      <c r="K15" s="17"/>
    </row>
    <row r="16" spans="1:11" x14ac:dyDescent="0.25">
      <c r="A16" s="16"/>
      <c r="B16" s="15"/>
      <c r="C16" s="17"/>
      <c r="D16" s="17"/>
      <c r="E16" s="17"/>
      <c r="F16" s="17"/>
      <c r="G16" s="17"/>
      <c r="H16" s="17"/>
      <c r="I16" s="17"/>
      <c r="J16" s="17"/>
      <c r="K16" s="17"/>
    </row>
    <row r="17" spans="1:11" x14ac:dyDescent="0.25">
      <c r="A17" s="16"/>
      <c r="B17" s="15"/>
      <c r="C17" s="17"/>
      <c r="D17" s="17"/>
      <c r="E17" s="17"/>
      <c r="F17" s="17"/>
      <c r="G17" s="17"/>
      <c r="H17" s="17"/>
      <c r="I17" s="17"/>
      <c r="J17" s="17"/>
      <c r="K17" s="17"/>
    </row>
    <row r="18" spans="1:11" x14ac:dyDescent="0.25">
      <c r="A18" s="16"/>
      <c r="B18" s="15"/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25">
      <c r="A19" s="16"/>
      <c r="B19" s="15"/>
      <c r="C19" s="17"/>
      <c r="D19" s="17"/>
      <c r="E19" s="17"/>
      <c r="F19" s="17"/>
      <c r="G19" s="17"/>
      <c r="H19" s="17"/>
      <c r="I19" s="17"/>
      <c r="J19" s="17"/>
      <c r="K19" s="17"/>
    </row>
    <row r="20" spans="1:11" x14ac:dyDescent="0.25">
      <c r="A20" s="16"/>
      <c r="B20" s="15"/>
      <c r="C20" s="17"/>
      <c r="D20" s="17"/>
      <c r="E20" s="17"/>
      <c r="F20" s="17"/>
      <c r="G20" s="17"/>
      <c r="H20" s="17"/>
      <c r="I20" s="17"/>
      <c r="J20" s="17"/>
      <c r="K20" s="17"/>
    </row>
    <row r="21" spans="1:11" x14ac:dyDescent="0.25">
      <c r="A21" s="16"/>
      <c r="B21" s="15"/>
      <c r="C21" s="17"/>
      <c r="D21" s="17"/>
      <c r="E21" s="17"/>
      <c r="F21" s="17"/>
      <c r="G21" s="17"/>
      <c r="H21" s="17"/>
      <c r="I21" s="17"/>
      <c r="J21" s="17"/>
      <c r="K21" s="17"/>
    </row>
    <row r="22" spans="1:11" x14ac:dyDescent="0.25">
      <c r="A22" s="16"/>
      <c r="B22" s="15"/>
      <c r="C22" s="17"/>
      <c r="D22" s="17"/>
      <c r="E22" s="17"/>
      <c r="F22" s="17"/>
      <c r="G22" s="17"/>
      <c r="H22" s="17"/>
      <c r="I22" s="17"/>
      <c r="J22" s="17"/>
      <c r="K22" s="17"/>
    </row>
    <row r="23" spans="1:11" x14ac:dyDescent="0.25">
      <c r="A23" s="16"/>
      <c r="B23" s="15"/>
      <c r="C23" s="17"/>
      <c r="D23" s="17"/>
      <c r="E23" s="17"/>
      <c r="F23" s="17"/>
      <c r="G23" s="17"/>
      <c r="H23" s="17"/>
      <c r="I23" s="17"/>
      <c r="J23" s="17"/>
      <c r="K23" s="17"/>
    </row>
    <row r="24" spans="1:11" x14ac:dyDescent="0.25">
      <c r="A24" s="16"/>
      <c r="B24" s="15"/>
      <c r="C24" s="17"/>
      <c r="D24" s="17"/>
      <c r="E24" s="17"/>
      <c r="F24" s="17"/>
      <c r="G24" s="17"/>
      <c r="H24" s="17"/>
      <c r="I24" s="17"/>
      <c r="J24" s="17"/>
      <c r="K24" s="17"/>
    </row>
    <row r="25" spans="1:11" x14ac:dyDescent="0.25">
      <c r="A25" s="16"/>
      <c r="B25" s="15"/>
      <c r="C25" s="17"/>
      <c r="D25" s="17"/>
      <c r="E25" s="17"/>
      <c r="F25" s="17"/>
      <c r="G25" s="17"/>
      <c r="H25" s="17"/>
      <c r="I25" s="17"/>
      <c r="J25" s="17"/>
      <c r="K25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461"/>
  <sheetViews>
    <sheetView zoomScaleNormal="100" zoomScaleSheetLayoutView="100" workbookViewId="0">
      <pane ySplit="1" topLeftCell="A2" activePane="bottomLeft" state="frozen"/>
      <selection pane="bottomLeft" activeCell="A374" sqref="A374"/>
    </sheetView>
  </sheetViews>
  <sheetFormatPr defaultColWidth="10.5703125" defaultRowHeight="21" customHeight="1" x14ac:dyDescent="0.25"/>
  <cols>
    <col min="1" max="1" width="58.85546875" style="6" bestFit="1" customWidth="1"/>
    <col min="2" max="2" width="12.42578125" style="6" customWidth="1"/>
    <col min="3" max="3" width="9.5703125" style="6" customWidth="1"/>
    <col min="4" max="4" width="11.42578125" style="54" customWidth="1"/>
    <col min="5" max="5" width="33.5703125" customWidth="1"/>
    <col min="6" max="6" width="27.5703125" style="6" customWidth="1"/>
    <col min="7" max="16384" width="10.5703125" style="6"/>
  </cols>
  <sheetData>
    <row r="1" spans="1:6" s="78" customFormat="1" ht="30" x14ac:dyDescent="0.25">
      <c r="A1" s="145" t="s">
        <v>3</v>
      </c>
      <c r="B1" s="146" t="s">
        <v>38</v>
      </c>
      <c r="C1" s="146" t="s">
        <v>17</v>
      </c>
      <c r="D1" s="147" t="s">
        <v>148</v>
      </c>
      <c r="E1" s="148" t="s">
        <v>39</v>
      </c>
      <c r="F1" s="146" t="s">
        <v>40</v>
      </c>
    </row>
    <row r="2" spans="1:6" ht="21" customHeight="1" x14ac:dyDescent="0.25">
      <c r="A2" s="149" t="s">
        <v>184</v>
      </c>
      <c r="B2" s="150">
        <v>30</v>
      </c>
      <c r="C2" s="151">
        <v>0.19</v>
      </c>
      <c r="D2" s="152" t="s">
        <v>150</v>
      </c>
      <c r="E2" s="144" t="s">
        <v>248</v>
      </c>
      <c r="F2" s="153"/>
    </row>
    <row r="3" spans="1:6" ht="21" customHeight="1" x14ac:dyDescent="0.25">
      <c r="A3" s="154" t="s">
        <v>318</v>
      </c>
      <c r="B3" s="150">
        <v>30</v>
      </c>
      <c r="C3" s="151">
        <v>0.19</v>
      </c>
      <c r="D3" s="152" t="s">
        <v>150</v>
      </c>
      <c r="E3" s="144" t="s">
        <v>41</v>
      </c>
      <c r="F3" s="153"/>
    </row>
    <row r="4" spans="1:6" ht="21" customHeight="1" x14ac:dyDescent="0.25">
      <c r="A4" s="154" t="s">
        <v>319</v>
      </c>
      <c r="B4" s="150">
        <v>30</v>
      </c>
      <c r="C4" s="151">
        <v>0</v>
      </c>
      <c r="D4" s="152">
        <v>0</v>
      </c>
      <c r="E4" s="144" t="s">
        <v>41</v>
      </c>
      <c r="F4" s="153"/>
    </row>
    <row r="5" spans="1:6" ht="21" customHeight="1" x14ac:dyDescent="0.25">
      <c r="A5" s="154" t="s">
        <v>320</v>
      </c>
      <c r="B5" s="150">
        <v>30</v>
      </c>
      <c r="C5" s="151">
        <v>0</v>
      </c>
      <c r="D5" s="152">
        <v>0</v>
      </c>
      <c r="E5" s="144" t="s">
        <v>321</v>
      </c>
      <c r="F5" s="153" t="s">
        <v>322</v>
      </c>
    </row>
    <row r="6" spans="1:6" ht="21" customHeight="1" x14ac:dyDescent="0.25">
      <c r="A6" s="149" t="s">
        <v>280</v>
      </c>
      <c r="B6" s="150">
        <v>30</v>
      </c>
      <c r="C6" s="151">
        <v>0</v>
      </c>
      <c r="D6" s="152">
        <v>0</v>
      </c>
      <c r="E6" s="144" t="s">
        <v>41</v>
      </c>
      <c r="F6" s="153"/>
    </row>
    <row r="7" spans="1:6" ht="21" customHeight="1" x14ac:dyDescent="0.25">
      <c r="A7" s="154" t="s">
        <v>323</v>
      </c>
      <c r="B7" s="150">
        <v>30</v>
      </c>
      <c r="C7" s="151">
        <v>0</v>
      </c>
      <c r="D7" s="152">
        <v>0</v>
      </c>
      <c r="E7" s="144" t="s">
        <v>41</v>
      </c>
      <c r="F7" s="153"/>
    </row>
    <row r="8" spans="1:6" ht="21" customHeight="1" x14ac:dyDescent="0.25">
      <c r="A8" s="154" t="s">
        <v>324</v>
      </c>
      <c r="B8" s="150">
        <v>30</v>
      </c>
      <c r="C8" s="151">
        <v>0</v>
      </c>
      <c r="D8" s="152">
        <v>0</v>
      </c>
      <c r="E8" s="144" t="s">
        <v>41</v>
      </c>
      <c r="F8" s="153"/>
    </row>
    <row r="9" spans="1:6" ht="21" customHeight="1" x14ac:dyDescent="0.25">
      <c r="A9" s="149" t="s">
        <v>112</v>
      </c>
      <c r="B9" s="150">
        <v>20</v>
      </c>
      <c r="C9" s="151">
        <v>0</v>
      </c>
      <c r="D9" s="152">
        <v>0</v>
      </c>
      <c r="E9" s="144"/>
      <c r="F9" s="153"/>
    </row>
    <row r="10" spans="1:6" ht="21" customHeight="1" x14ac:dyDescent="0.25">
      <c r="A10" s="154" t="s">
        <v>325</v>
      </c>
      <c r="B10" s="150">
        <v>30</v>
      </c>
      <c r="C10" s="151">
        <v>0</v>
      </c>
      <c r="D10" s="152">
        <v>0</v>
      </c>
      <c r="E10" s="144"/>
      <c r="F10" s="153"/>
    </row>
    <row r="11" spans="1:6" ht="21" customHeight="1" x14ac:dyDescent="0.25">
      <c r="A11" s="154" t="s">
        <v>326</v>
      </c>
      <c r="B11" s="150">
        <v>30</v>
      </c>
      <c r="C11" s="151">
        <v>0</v>
      </c>
      <c r="D11" s="152">
        <v>0</v>
      </c>
      <c r="E11" s="144"/>
      <c r="F11" s="153"/>
    </row>
    <row r="12" spans="1:6" ht="21" customHeight="1" x14ac:dyDescent="0.25">
      <c r="A12" s="149" t="s">
        <v>287</v>
      </c>
      <c r="B12" s="150">
        <v>30</v>
      </c>
      <c r="C12" s="151">
        <v>0</v>
      </c>
      <c r="D12" s="152">
        <v>0</v>
      </c>
      <c r="E12" s="144" t="s">
        <v>41</v>
      </c>
      <c r="F12" s="153"/>
    </row>
    <row r="13" spans="1:6" ht="21" customHeight="1" x14ac:dyDescent="0.25">
      <c r="A13" s="149" t="s">
        <v>275</v>
      </c>
      <c r="B13" s="150">
        <v>30</v>
      </c>
      <c r="C13" s="151">
        <v>0</v>
      </c>
      <c r="D13" s="152">
        <v>0</v>
      </c>
      <c r="E13" s="144" t="s">
        <v>111</v>
      </c>
      <c r="F13" s="153"/>
    </row>
    <row r="14" spans="1:6" ht="21" customHeight="1" x14ac:dyDescent="0.25">
      <c r="A14" s="154" t="s">
        <v>327</v>
      </c>
      <c r="B14" s="150">
        <v>0</v>
      </c>
      <c r="C14" s="151"/>
      <c r="D14" s="152"/>
      <c r="E14" s="144" t="s">
        <v>328</v>
      </c>
      <c r="F14" s="153"/>
    </row>
    <row r="15" spans="1:6" ht="21" customHeight="1" x14ac:dyDescent="0.25">
      <c r="A15" s="154" t="s">
        <v>329</v>
      </c>
      <c r="B15" s="150">
        <v>30</v>
      </c>
      <c r="C15" s="151">
        <v>0</v>
      </c>
      <c r="D15" s="152">
        <v>0</v>
      </c>
      <c r="E15" s="144"/>
      <c r="F15" s="153"/>
    </row>
    <row r="16" spans="1:6" ht="21" customHeight="1" x14ac:dyDescent="0.25">
      <c r="A16" s="149" t="s">
        <v>113</v>
      </c>
      <c r="B16" s="150">
        <v>30</v>
      </c>
      <c r="C16" s="151">
        <v>0</v>
      </c>
      <c r="D16" s="152">
        <v>0</v>
      </c>
      <c r="E16" s="144" t="s">
        <v>41</v>
      </c>
      <c r="F16" s="153"/>
    </row>
    <row r="17" spans="1:6" ht="21" customHeight="1" x14ac:dyDescent="0.25">
      <c r="A17" s="154" t="s">
        <v>330</v>
      </c>
      <c r="B17" s="150">
        <v>30</v>
      </c>
      <c r="C17" s="151">
        <v>0</v>
      </c>
      <c r="D17" s="152">
        <v>0</v>
      </c>
      <c r="E17" s="144" t="s">
        <v>331</v>
      </c>
      <c r="F17" s="153"/>
    </row>
    <row r="18" spans="1:6" ht="21" customHeight="1" x14ac:dyDescent="0.25">
      <c r="A18" s="154" t="s">
        <v>332</v>
      </c>
      <c r="B18" s="150">
        <v>30</v>
      </c>
      <c r="C18" s="151">
        <v>0</v>
      </c>
      <c r="D18" s="152">
        <v>0</v>
      </c>
      <c r="E18" s="144" t="s">
        <v>41</v>
      </c>
      <c r="F18" s="153"/>
    </row>
    <row r="19" spans="1:6" ht="21" customHeight="1" x14ac:dyDescent="0.25">
      <c r="A19" s="149" t="s">
        <v>209</v>
      </c>
      <c r="B19" s="150">
        <v>30</v>
      </c>
      <c r="C19" s="151">
        <v>0</v>
      </c>
      <c r="D19" s="152">
        <v>0</v>
      </c>
      <c r="E19" s="144"/>
      <c r="F19" s="153"/>
    </row>
    <row r="20" spans="1:6" ht="21" customHeight="1" x14ac:dyDescent="0.25">
      <c r="A20" s="149" t="s">
        <v>212</v>
      </c>
      <c r="B20" s="150">
        <v>30</v>
      </c>
      <c r="C20" s="151">
        <v>0</v>
      </c>
      <c r="D20" s="152">
        <v>0</v>
      </c>
      <c r="E20" s="144"/>
      <c r="F20" s="153"/>
    </row>
    <row r="21" spans="1:6" ht="21" customHeight="1" x14ac:dyDescent="0.25">
      <c r="A21" s="154" t="s">
        <v>333</v>
      </c>
      <c r="B21" s="150">
        <v>30</v>
      </c>
      <c r="C21" s="151">
        <v>0</v>
      </c>
      <c r="D21" s="152">
        <v>0</v>
      </c>
      <c r="E21" s="144" t="s">
        <v>41</v>
      </c>
      <c r="F21" s="153"/>
    </row>
    <row r="22" spans="1:6" ht="21" customHeight="1" x14ac:dyDescent="0.25">
      <c r="A22" s="154" t="s">
        <v>334</v>
      </c>
      <c r="B22" s="150">
        <v>30</v>
      </c>
      <c r="C22" s="151">
        <v>0</v>
      </c>
      <c r="D22" s="152">
        <v>0</v>
      </c>
      <c r="E22" s="144" t="s">
        <v>41</v>
      </c>
      <c r="F22" s="153"/>
    </row>
    <row r="23" spans="1:6" ht="21" customHeight="1" x14ac:dyDescent="0.25">
      <c r="A23" s="154" t="s">
        <v>646</v>
      </c>
      <c r="B23" s="150">
        <v>30</v>
      </c>
      <c r="C23" s="151">
        <v>0</v>
      </c>
      <c r="D23" s="152">
        <v>0</v>
      </c>
      <c r="E23" s="144"/>
      <c r="F23" s="153"/>
    </row>
    <row r="24" spans="1:6" ht="21" customHeight="1" x14ac:dyDescent="0.25">
      <c r="A24" s="154" t="s">
        <v>335</v>
      </c>
      <c r="B24" s="150">
        <v>30</v>
      </c>
      <c r="C24" s="151">
        <v>0</v>
      </c>
      <c r="D24" s="152">
        <v>0</v>
      </c>
      <c r="E24" s="144" t="s">
        <v>41</v>
      </c>
      <c r="F24" s="153"/>
    </row>
    <row r="25" spans="1:6" ht="21" customHeight="1" x14ac:dyDescent="0.25">
      <c r="A25" s="154" t="s">
        <v>336</v>
      </c>
      <c r="B25" s="150">
        <v>10</v>
      </c>
      <c r="C25" s="151">
        <v>0</v>
      </c>
      <c r="D25" s="152">
        <v>0</v>
      </c>
      <c r="E25" s="144" t="s">
        <v>337</v>
      </c>
      <c r="F25" s="153"/>
    </row>
    <row r="26" spans="1:6" ht="21" customHeight="1" x14ac:dyDescent="0.25">
      <c r="A26" s="149" t="s">
        <v>114</v>
      </c>
      <c r="B26" s="150">
        <v>30</v>
      </c>
      <c r="C26" s="151">
        <v>0</v>
      </c>
      <c r="D26" s="152">
        <v>0</v>
      </c>
      <c r="E26" s="144" t="s">
        <v>41</v>
      </c>
      <c r="F26" s="153"/>
    </row>
    <row r="27" spans="1:6" ht="21" customHeight="1" x14ac:dyDescent="0.25">
      <c r="A27" s="154" t="s">
        <v>338</v>
      </c>
      <c r="B27" s="150">
        <v>30</v>
      </c>
      <c r="C27" s="151">
        <v>0</v>
      </c>
      <c r="D27" s="152">
        <v>0</v>
      </c>
      <c r="E27" s="144"/>
      <c r="F27" s="153"/>
    </row>
    <row r="28" spans="1:6" ht="21" customHeight="1" x14ac:dyDescent="0.25">
      <c r="A28" s="154" t="s">
        <v>339</v>
      </c>
      <c r="B28" s="150">
        <v>30</v>
      </c>
      <c r="C28" s="151"/>
      <c r="D28" s="152"/>
      <c r="E28" s="144" t="s">
        <v>340</v>
      </c>
      <c r="F28" s="153"/>
    </row>
    <row r="29" spans="1:6" ht="21" customHeight="1" x14ac:dyDescent="0.25">
      <c r="A29" s="149" t="s">
        <v>115</v>
      </c>
      <c r="B29" s="150">
        <v>30</v>
      </c>
      <c r="C29" s="151">
        <v>0</v>
      </c>
      <c r="D29" s="152">
        <v>0</v>
      </c>
      <c r="E29" s="144" t="s">
        <v>41</v>
      </c>
      <c r="F29" s="153"/>
    </row>
    <row r="30" spans="1:6" ht="21" customHeight="1" x14ac:dyDescent="0.25">
      <c r="A30" s="154" t="s">
        <v>341</v>
      </c>
      <c r="B30" s="150">
        <v>30</v>
      </c>
      <c r="C30" s="151">
        <v>0</v>
      </c>
      <c r="D30" s="152">
        <v>0</v>
      </c>
      <c r="E30" s="144"/>
      <c r="F30" s="153"/>
    </row>
    <row r="31" spans="1:6" ht="21" customHeight="1" x14ac:dyDescent="0.25">
      <c r="A31" s="154" t="s">
        <v>342</v>
      </c>
      <c r="B31" s="150">
        <v>30</v>
      </c>
      <c r="C31" s="151">
        <v>0</v>
      </c>
      <c r="D31" s="152">
        <v>0</v>
      </c>
      <c r="E31" s="144" t="s">
        <v>343</v>
      </c>
      <c r="F31" s="153"/>
    </row>
    <row r="32" spans="1:6" ht="21" customHeight="1" x14ac:dyDescent="0.25">
      <c r="A32" s="149" t="s">
        <v>224</v>
      </c>
      <c r="B32" s="150">
        <v>30</v>
      </c>
      <c r="C32" s="151">
        <v>0</v>
      </c>
      <c r="D32" s="152">
        <v>0</v>
      </c>
      <c r="E32" s="144"/>
      <c r="F32" s="153"/>
    </row>
    <row r="33" spans="1:6" ht="21" customHeight="1" x14ac:dyDescent="0.25">
      <c r="A33" s="154" t="s">
        <v>269</v>
      </c>
      <c r="B33" s="150">
        <v>90</v>
      </c>
      <c r="C33" s="151"/>
      <c r="D33" s="152"/>
      <c r="E33" s="144"/>
      <c r="F33" s="153"/>
    </row>
    <row r="34" spans="1:6" ht="21" customHeight="1" x14ac:dyDescent="0.25">
      <c r="A34" s="154" t="s">
        <v>344</v>
      </c>
      <c r="B34" s="150">
        <v>30</v>
      </c>
      <c r="C34" s="151">
        <v>0</v>
      </c>
      <c r="D34" s="152">
        <v>0</v>
      </c>
      <c r="E34" s="144" t="s">
        <v>345</v>
      </c>
      <c r="F34" s="153"/>
    </row>
    <row r="35" spans="1:6" ht="21" customHeight="1" x14ac:dyDescent="0.25">
      <c r="A35" s="154" t="s">
        <v>346</v>
      </c>
      <c r="B35" s="150">
        <v>30</v>
      </c>
      <c r="C35" s="151">
        <v>0</v>
      </c>
      <c r="D35" s="152">
        <v>0</v>
      </c>
      <c r="E35" s="144"/>
      <c r="F35" s="153"/>
    </row>
    <row r="36" spans="1:6" ht="21" customHeight="1" x14ac:dyDescent="0.25">
      <c r="A36" s="154" t="s">
        <v>347</v>
      </c>
      <c r="B36" s="150">
        <v>30</v>
      </c>
      <c r="C36" s="151">
        <v>0</v>
      </c>
      <c r="D36" s="152">
        <v>0</v>
      </c>
      <c r="E36" s="144"/>
      <c r="F36" s="153"/>
    </row>
    <row r="37" spans="1:6" ht="21" customHeight="1" x14ac:dyDescent="0.25">
      <c r="A37" s="154" t="s">
        <v>348</v>
      </c>
      <c r="B37" s="150">
        <v>10</v>
      </c>
      <c r="C37" s="151">
        <v>0</v>
      </c>
      <c r="D37" s="152">
        <v>0</v>
      </c>
      <c r="E37" s="144" t="s">
        <v>349</v>
      </c>
      <c r="F37" s="153"/>
    </row>
    <row r="38" spans="1:6" ht="21" customHeight="1" x14ac:dyDescent="0.25">
      <c r="A38" s="154" t="s">
        <v>350</v>
      </c>
      <c r="B38" s="150">
        <v>30</v>
      </c>
      <c r="C38" s="151">
        <v>0</v>
      </c>
      <c r="D38" s="152">
        <v>0</v>
      </c>
      <c r="E38" s="144"/>
      <c r="F38" s="153"/>
    </row>
    <row r="39" spans="1:6" ht="21" customHeight="1" x14ac:dyDescent="0.25">
      <c r="A39" s="149" t="s">
        <v>117</v>
      </c>
      <c r="B39" s="150">
        <v>30</v>
      </c>
      <c r="C39" s="151">
        <v>0</v>
      </c>
      <c r="D39" s="152">
        <v>0</v>
      </c>
      <c r="E39" s="144" t="s">
        <v>41</v>
      </c>
      <c r="F39" s="153"/>
    </row>
    <row r="40" spans="1:6" ht="21" customHeight="1" x14ac:dyDescent="0.25">
      <c r="A40" s="154" t="s">
        <v>351</v>
      </c>
      <c r="B40" s="150">
        <v>30</v>
      </c>
      <c r="C40" s="151">
        <v>0</v>
      </c>
      <c r="D40" s="152">
        <v>0</v>
      </c>
      <c r="E40" s="144" t="s">
        <v>41</v>
      </c>
      <c r="F40" s="153"/>
    </row>
    <row r="41" spans="1:6" ht="21" customHeight="1" x14ac:dyDescent="0.25">
      <c r="A41" s="154" t="s">
        <v>298</v>
      </c>
      <c r="B41" s="150">
        <v>0</v>
      </c>
      <c r="C41" s="151">
        <v>0</v>
      </c>
      <c r="D41" s="152">
        <v>0</v>
      </c>
      <c r="E41" s="144"/>
      <c r="F41" s="153"/>
    </row>
    <row r="42" spans="1:6" ht="21" customHeight="1" x14ac:dyDescent="0.25">
      <c r="A42" s="154" t="s">
        <v>352</v>
      </c>
      <c r="B42" s="150">
        <v>30</v>
      </c>
      <c r="C42" s="151">
        <v>0</v>
      </c>
      <c r="D42" s="152">
        <v>0</v>
      </c>
      <c r="E42" s="144" t="s">
        <v>41</v>
      </c>
      <c r="F42" s="153" t="s">
        <v>353</v>
      </c>
    </row>
    <row r="43" spans="1:6" ht="21" customHeight="1" x14ac:dyDescent="0.25">
      <c r="A43" s="154" t="s">
        <v>354</v>
      </c>
      <c r="B43" s="150">
        <v>30</v>
      </c>
      <c r="C43" s="151">
        <v>0</v>
      </c>
      <c r="D43" s="152">
        <v>0</v>
      </c>
      <c r="E43" s="144"/>
      <c r="F43" s="153"/>
    </row>
    <row r="44" spans="1:6" ht="21" customHeight="1" x14ac:dyDescent="0.25">
      <c r="A44" s="154" t="s">
        <v>355</v>
      </c>
      <c r="B44" s="150">
        <v>30</v>
      </c>
      <c r="C44" s="151">
        <v>0</v>
      </c>
      <c r="D44" s="152">
        <v>0</v>
      </c>
      <c r="E44" s="144" t="s">
        <v>41</v>
      </c>
      <c r="F44" s="153"/>
    </row>
    <row r="45" spans="1:6" ht="20.100000000000001" customHeight="1" x14ac:dyDescent="0.25">
      <c r="A45" s="154" t="s">
        <v>356</v>
      </c>
      <c r="B45" s="150">
        <v>30</v>
      </c>
      <c r="C45" s="151">
        <v>0</v>
      </c>
      <c r="D45" s="152">
        <v>0</v>
      </c>
      <c r="E45" s="144" t="s">
        <v>41</v>
      </c>
      <c r="F45" s="153"/>
    </row>
    <row r="46" spans="1:6" ht="21" customHeight="1" x14ac:dyDescent="0.25">
      <c r="A46" s="154" t="s">
        <v>357</v>
      </c>
      <c r="B46" s="150">
        <v>0</v>
      </c>
      <c r="C46" s="151"/>
      <c r="D46" s="152"/>
      <c r="E46" s="144"/>
      <c r="F46" s="153"/>
    </row>
    <row r="47" spans="1:6" ht="21" customHeight="1" x14ac:dyDescent="0.25">
      <c r="A47" s="154" t="s">
        <v>358</v>
      </c>
      <c r="B47" s="150">
        <v>30</v>
      </c>
      <c r="C47" s="151">
        <v>0</v>
      </c>
      <c r="D47" s="152">
        <v>0</v>
      </c>
      <c r="E47" s="144" t="s">
        <v>41</v>
      </c>
      <c r="F47" s="153"/>
    </row>
    <row r="48" spans="1:6" ht="21" customHeight="1" x14ac:dyDescent="0.25">
      <c r="A48" s="154" t="s">
        <v>651</v>
      </c>
      <c r="B48" s="150">
        <v>30</v>
      </c>
      <c r="C48" s="151">
        <v>0</v>
      </c>
      <c r="D48" s="152">
        <v>0</v>
      </c>
      <c r="E48" s="144" t="s">
        <v>492</v>
      </c>
      <c r="F48" s="153"/>
    </row>
    <row r="49" spans="1:6" ht="21" customHeight="1" x14ac:dyDescent="0.25">
      <c r="A49" s="154" t="s">
        <v>359</v>
      </c>
      <c r="B49" s="150">
        <v>30</v>
      </c>
      <c r="C49" s="151">
        <v>0</v>
      </c>
      <c r="D49" s="152">
        <v>0</v>
      </c>
      <c r="E49" s="144"/>
      <c r="F49" s="153"/>
    </row>
    <row r="50" spans="1:6" ht="21" customHeight="1" x14ac:dyDescent="0.25">
      <c r="A50" s="154" t="s">
        <v>360</v>
      </c>
      <c r="B50" s="150">
        <v>30</v>
      </c>
      <c r="C50" s="151">
        <v>0</v>
      </c>
      <c r="D50" s="152">
        <v>0</v>
      </c>
      <c r="E50" s="144" t="s">
        <v>361</v>
      </c>
      <c r="F50" s="153"/>
    </row>
    <row r="51" spans="1:6" ht="21" customHeight="1" x14ac:dyDescent="0.25">
      <c r="A51" s="154" t="s">
        <v>303</v>
      </c>
      <c r="B51" s="150">
        <v>60</v>
      </c>
      <c r="C51" s="151">
        <v>0</v>
      </c>
      <c r="D51" s="152">
        <v>0</v>
      </c>
      <c r="E51" s="144"/>
      <c r="F51" s="153"/>
    </row>
    <row r="52" spans="1:6" ht="21" customHeight="1" x14ac:dyDescent="0.25">
      <c r="A52" s="154" t="s">
        <v>362</v>
      </c>
      <c r="B52" s="150">
        <v>90</v>
      </c>
      <c r="C52" s="151">
        <v>0</v>
      </c>
      <c r="D52" s="152">
        <v>0</v>
      </c>
      <c r="E52" s="144" t="s">
        <v>41</v>
      </c>
      <c r="F52" s="153"/>
    </row>
    <row r="53" spans="1:6" ht="21" customHeight="1" x14ac:dyDescent="0.25">
      <c r="A53" s="154" t="s">
        <v>297</v>
      </c>
      <c r="B53" s="150">
        <v>30</v>
      </c>
      <c r="C53" s="151">
        <v>0</v>
      </c>
      <c r="D53" s="152">
        <v>0</v>
      </c>
      <c r="E53" s="144" t="s">
        <v>82</v>
      </c>
      <c r="F53" s="153"/>
    </row>
    <row r="54" spans="1:6" ht="21" customHeight="1" x14ac:dyDescent="0.25">
      <c r="A54" s="154" t="s">
        <v>363</v>
      </c>
      <c r="B54" s="150">
        <v>30</v>
      </c>
      <c r="C54" s="151">
        <v>0</v>
      </c>
      <c r="D54" s="152">
        <v>0</v>
      </c>
      <c r="E54" s="144"/>
      <c r="F54" s="153"/>
    </row>
    <row r="55" spans="1:6" ht="21" customHeight="1" x14ac:dyDescent="0.25">
      <c r="A55" s="154" t="s">
        <v>364</v>
      </c>
      <c r="B55" s="150">
        <v>60</v>
      </c>
      <c r="C55" s="151">
        <v>0</v>
      </c>
      <c r="D55" s="152">
        <v>0</v>
      </c>
      <c r="E55" s="144" t="s">
        <v>365</v>
      </c>
      <c r="F55" s="153"/>
    </row>
    <row r="56" spans="1:6" ht="21" customHeight="1" x14ac:dyDescent="0.25">
      <c r="A56" s="149" t="s">
        <v>118</v>
      </c>
      <c r="B56" s="150">
        <v>30</v>
      </c>
      <c r="C56" s="151">
        <v>0</v>
      </c>
      <c r="D56" s="152">
        <v>0</v>
      </c>
      <c r="E56" s="144" t="s">
        <v>41</v>
      </c>
      <c r="F56" s="153"/>
    </row>
    <row r="57" spans="1:6" ht="21" customHeight="1" x14ac:dyDescent="0.25">
      <c r="A57" s="154" t="s">
        <v>366</v>
      </c>
      <c r="B57" s="150">
        <v>30</v>
      </c>
      <c r="C57" s="151">
        <v>0</v>
      </c>
      <c r="D57" s="152">
        <v>0</v>
      </c>
      <c r="E57" s="144"/>
      <c r="F57" s="153"/>
    </row>
    <row r="58" spans="1:6" ht="21" customHeight="1" x14ac:dyDescent="0.25">
      <c r="A58" s="154" t="s">
        <v>367</v>
      </c>
      <c r="B58" s="150">
        <v>30</v>
      </c>
      <c r="C58" s="151">
        <v>0</v>
      </c>
      <c r="D58" s="152">
        <v>0</v>
      </c>
      <c r="E58" s="144" t="s">
        <v>41</v>
      </c>
      <c r="F58" s="153"/>
    </row>
    <row r="59" spans="1:6" ht="21" customHeight="1" x14ac:dyDescent="0.25">
      <c r="A59" s="154" t="s">
        <v>368</v>
      </c>
      <c r="B59" s="150">
        <v>30</v>
      </c>
      <c r="C59" s="151">
        <v>0</v>
      </c>
      <c r="D59" s="152">
        <v>0</v>
      </c>
      <c r="E59" s="144" t="s">
        <v>41</v>
      </c>
      <c r="F59" s="153"/>
    </row>
    <row r="60" spans="1:6" ht="21" customHeight="1" x14ac:dyDescent="0.25">
      <c r="A60" s="154" t="s">
        <v>369</v>
      </c>
      <c r="B60" s="150">
        <v>30</v>
      </c>
      <c r="C60" s="151">
        <v>0</v>
      </c>
      <c r="D60" s="152">
        <v>0</v>
      </c>
      <c r="E60" s="144" t="s">
        <v>370</v>
      </c>
      <c r="F60" s="153" t="s">
        <v>371</v>
      </c>
    </row>
    <row r="61" spans="1:6" ht="21" customHeight="1" x14ac:dyDescent="0.25">
      <c r="A61" s="154" t="s">
        <v>372</v>
      </c>
      <c r="B61" s="150">
        <v>30</v>
      </c>
      <c r="C61" s="151">
        <v>0</v>
      </c>
      <c r="D61" s="152">
        <v>0</v>
      </c>
      <c r="E61" s="144"/>
      <c r="F61" s="153"/>
    </row>
    <row r="62" spans="1:6" ht="21" customHeight="1" x14ac:dyDescent="0.25">
      <c r="A62" s="154" t="s">
        <v>373</v>
      </c>
      <c r="B62" s="150">
        <v>30</v>
      </c>
      <c r="C62" s="151">
        <v>0</v>
      </c>
      <c r="D62" s="152">
        <v>0</v>
      </c>
      <c r="E62" s="144" t="s">
        <v>374</v>
      </c>
      <c r="F62" s="153"/>
    </row>
    <row r="63" spans="1:6" ht="21" customHeight="1" x14ac:dyDescent="0.25">
      <c r="A63" s="149" t="s">
        <v>226</v>
      </c>
      <c r="B63" s="150">
        <v>90</v>
      </c>
      <c r="C63" s="151">
        <v>0</v>
      </c>
      <c r="D63" s="152">
        <v>0</v>
      </c>
      <c r="E63" s="144"/>
      <c r="F63" s="153"/>
    </row>
    <row r="64" spans="1:6" ht="21" customHeight="1" x14ac:dyDescent="0.25">
      <c r="A64" s="149" t="s">
        <v>229</v>
      </c>
      <c r="B64" s="150">
        <v>30</v>
      </c>
      <c r="C64" s="151">
        <v>0</v>
      </c>
      <c r="D64" s="152">
        <v>0</v>
      </c>
      <c r="E64" s="144"/>
      <c r="F64" s="153"/>
    </row>
    <row r="65" spans="1:6" ht="21" customHeight="1" x14ac:dyDescent="0.25">
      <c r="A65" s="154" t="s">
        <v>375</v>
      </c>
      <c r="B65" s="150">
        <v>30</v>
      </c>
      <c r="C65" s="151">
        <v>0</v>
      </c>
      <c r="D65" s="152">
        <v>0</v>
      </c>
      <c r="E65" s="144" t="s">
        <v>376</v>
      </c>
      <c r="F65" s="153" t="s">
        <v>377</v>
      </c>
    </row>
    <row r="66" spans="1:6" ht="21" customHeight="1" x14ac:dyDescent="0.25">
      <c r="A66" s="154" t="s">
        <v>378</v>
      </c>
      <c r="B66" s="150">
        <v>30</v>
      </c>
      <c r="C66" s="151">
        <v>0</v>
      </c>
      <c r="D66" s="152">
        <v>0</v>
      </c>
      <c r="E66" s="144" t="s">
        <v>41</v>
      </c>
      <c r="F66" s="153"/>
    </row>
    <row r="67" spans="1:6" ht="21" customHeight="1" x14ac:dyDescent="0.25">
      <c r="A67" s="154" t="s">
        <v>268</v>
      </c>
      <c r="B67" s="150">
        <v>30</v>
      </c>
      <c r="C67" s="151">
        <v>0</v>
      </c>
      <c r="D67" s="152">
        <v>0</v>
      </c>
      <c r="E67" s="144"/>
      <c r="F67" s="153"/>
    </row>
    <row r="68" spans="1:6" ht="21" customHeight="1" x14ac:dyDescent="0.25">
      <c r="A68" s="154" t="s">
        <v>379</v>
      </c>
      <c r="B68" s="150">
        <v>30</v>
      </c>
      <c r="C68" s="151">
        <v>0</v>
      </c>
      <c r="D68" s="152">
        <v>0</v>
      </c>
      <c r="E68" s="144"/>
      <c r="F68" s="153"/>
    </row>
    <row r="69" spans="1:6" ht="21" customHeight="1" x14ac:dyDescent="0.25">
      <c r="A69" s="154" t="s">
        <v>380</v>
      </c>
      <c r="B69" s="150">
        <v>30</v>
      </c>
      <c r="C69" s="151">
        <v>0</v>
      </c>
      <c r="D69" s="152">
        <v>0</v>
      </c>
      <c r="E69" s="144" t="s">
        <v>41</v>
      </c>
      <c r="F69" s="153"/>
    </row>
    <row r="70" spans="1:6" ht="21" customHeight="1" x14ac:dyDescent="0.25">
      <c r="A70" s="154" t="s">
        <v>381</v>
      </c>
      <c r="B70" s="150">
        <v>20</v>
      </c>
      <c r="C70" s="151">
        <v>0</v>
      </c>
      <c r="D70" s="152">
        <v>0</v>
      </c>
      <c r="E70" s="144"/>
      <c r="F70" s="153"/>
    </row>
    <row r="71" spans="1:6" ht="21" customHeight="1" x14ac:dyDescent="0.25">
      <c r="A71" s="154" t="s">
        <v>382</v>
      </c>
      <c r="B71" s="150">
        <v>30</v>
      </c>
      <c r="C71" s="151">
        <v>0</v>
      </c>
      <c r="D71" s="152">
        <v>0</v>
      </c>
      <c r="E71" s="144" t="s">
        <v>41</v>
      </c>
      <c r="F71" s="153"/>
    </row>
    <row r="72" spans="1:6" ht="21" customHeight="1" x14ac:dyDescent="0.25">
      <c r="A72" s="154" t="s">
        <v>383</v>
      </c>
      <c r="B72" s="150">
        <v>30</v>
      </c>
      <c r="C72" s="151">
        <v>0</v>
      </c>
      <c r="D72" s="152">
        <v>0</v>
      </c>
      <c r="E72" s="144"/>
      <c r="F72" s="153"/>
    </row>
    <row r="73" spans="1:6" ht="21" customHeight="1" x14ac:dyDescent="0.25">
      <c r="A73" s="154" t="s">
        <v>384</v>
      </c>
      <c r="B73" s="150">
        <v>30</v>
      </c>
      <c r="C73" s="151">
        <v>0</v>
      </c>
      <c r="D73" s="152">
        <v>0</v>
      </c>
      <c r="E73" s="144" t="s">
        <v>182</v>
      </c>
      <c r="F73" s="153"/>
    </row>
    <row r="74" spans="1:6" ht="21" customHeight="1" x14ac:dyDescent="0.25">
      <c r="A74" s="154" t="s">
        <v>302</v>
      </c>
      <c r="B74" s="150">
        <v>30</v>
      </c>
      <c r="C74" s="151">
        <v>0</v>
      </c>
      <c r="D74" s="152">
        <v>0</v>
      </c>
      <c r="E74" s="144"/>
      <c r="F74" s="153"/>
    </row>
    <row r="75" spans="1:6" ht="21" customHeight="1" x14ac:dyDescent="0.25">
      <c r="A75" s="154" t="s">
        <v>385</v>
      </c>
      <c r="B75" s="150">
        <v>30</v>
      </c>
      <c r="C75" s="151">
        <v>0</v>
      </c>
      <c r="D75" s="152">
        <v>0</v>
      </c>
      <c r="E75" s="144" t="s">
        <v>41</v>
      </c>
      <c r="F75" s="153"/>
    </row>
    <row r="76" spans="1:6" ht="21" customHeight="1" x14ac:dyDescent="0.25">
      <c r="A76" s="154" t="s">
        <v>655</v>
      </c>
      <c r="B76" s="150">
        <v>30</v>
      </c>
      <c r="C76" s="151">
        <v>0</v>
      </c>
      <c r="D76" s="152">
        <v>0</v>
      </c>
      <c r="E76" s="144"/>
      <c r="F76" s="153"/>
    </row>
    <row r="77" spans="1:6" ht="21" customHeight="1" x14ac:dyDescent="0.25">
      <c r="A77" s="154" t="s">
        <v>386</v>
      </c>
      <c r="B77" s="150">
        <v>30</v>
      </c>
      <c r="C77" s="151">
        <v>0</v>
      </c>
      <c r="D77" s="152">
        <v>0</v>
      </c>
      <c r="E77" s="144" t="s">
        <v>41</v>
      </c>
      <c r="F77" s="153"/>
    </row>
    <row r="78" spans="1:6" ht="21" customHeight="1" x14ac:dyDescent="0.25">
      <c r="A78" s="154" t="s">
        <v>387</v>
      </c>
      <c r="B78" s="150">
        <v>30</v>
      </c>
      <c r="C78" s="151">
        <v>0</v>
      </c>
      <c r="D78" s="152">
        <v>0</v>
      </c>
      <c r="E78" s="144"/>
      <c r="F78" s="153"/>
    </row>
    <row r="79" spans="1:6" ht="21" customHeight="1" x14ac:dyDescent="0.25">
      <c r="A79" s="149" t="s">
        <v>119</v>
      </c>
      <c r="B79" s="150">
        <v>30</v>
      </c>
      <c r="C79" s="151">
        <v>0</v>
      </c>
      <c r="D79" s="152">
        <v>0</v>
      </c>
      <c r="E79" s="144" t="s">
        <v>41</v>
      </c>
      <c r="F79" s="153"/>
    </row>
    <row r="80" spans="1:6" ht="21" customHeight="1" x14ac:dyDescent="0.25">
      <c r="A80" s="154" t="s">
        <v>317</v>
      </c>
      <c r="B80" s="150">
        <v>30</v>
      </c>
      <c r="C80" s="151">
        <v>0</v>
      </c>
      <c r="D80" s="152">
        <v>0</v>
      </c>
      <c r="E80" s="144" t="s">
        <v>41</v>
      </c>
      <c r="F80" s="153"/>
    </row>
    <row r="81" spans="1:6" ht="21" customHeight="1" x14ac:dyDescent="0.25">
      <c r="A81" s="149" t="s">
        <v>188</v>
      </c>
      <c r="B81" s="150">
        <v>30</v>
      </c>
      <c r="C81" s="151">
        <v>0</v>
      </c>
      <c r="D81" s="152">
        <v>0</v>
      </c>
      <c r="E81" s="144" t="s">
        <v>41</v>
      </c>
      <c r="F81" s="153"/>
    </row>
    <row r="82" spans="1:6" ht="21" customHeight="1" x14ac:dyDescent="0.25">
      <c r="A82" s="149" t="s">
        <v>121</v>
      </c>
      <c r="B82" s="150">
        <v>30</v>
      </c>
      <c r="C82" s="151">
        <v>0</v>
      </c>
      <c r="D82" s="152">
        <v>0</v>
      </c>
      <c r="E82" s="144" t="s">
        <v>95</v>
      </c>
      <c r="F82" s="153"/>
    </row>
    <row r="83" spans="1:6" ht="21" customHeight="1" x14ac:dyDescent="0.25">
      <c r="A83" s="154" t="s">
        <v>388</v>
      </c>
      <c r="B83" s="150">
        <v>30</v>
      </c>
      <c r="C83" s="151">
        <v>0</v>
      </c>
      <c r="D83" s="152">
        <v>0</v>
      </c>
      <c r="E83" s="144"/>
      <c r="F83" s="153"/>
    </row>
    <row r="84" spans="1:6" ht="21" customHeight="1" x14ac:dyDescent="0.25">
      <c r="A84" s="154" t="s">
        <v>389</v>
      </c>
      <c r="B84" s="150">
        <v>30</v>
      </c>
      <c r="C84" s="151">
        <v>0</v>
      </c>
      <c r="D84" s="152">
        <v>0</v>
      </c>
      <c r="E84" s="144" t="s">
        <v>41</v>
      </c>
      <c r="F84" s="153"/>
    </row>
    <row r="85" spans="1:6" ht="21" customHeight="1" x14ac:dyDescent="0.25">
      <c r="A85" s="149" t="s">
        <v>204</v>
      </c>
      <c r="B85" s="150">
        <v>30</v>
      </c>
      <c r="C85" s="151">
        <v>0</v>
      </c>
      <c r="D85" s="152">
        <v>0</v>
      </c>
      <c r="E85" s="144"/>
      <c r="F85" s="153"/>
    </row>
    <row r="86" spans="1:6" ht="21" customHeight="1" x14ac:dyDescent="0.25">
      <c r="A86" s="149" t="s">
        <v>122</v>
      </c>
      <c r="B86" s="150">
        <v>30</v>
      </c>
      <c r="C86" s="151">
        <v>0</v>
      </c>
      <c r="D86" s="152">
        <v>0</v>
      </c>
      <c r="E86" s="144" t="s">
        <v>41</v>
      </c>
      <c r="F86" s="153" t="s">
        <v>59</v>
      </c>
    </row>
    <row r="87" spans="1:6" ht="21" customHeight="1" x14ac:dyDescent="0.25">
      <c r="A87" s="149" t="s">
        <v>174</v>
      </c>
      <c r="B87" s="150">
        <v>30</v>
      </c>
      <c r="C87" s="151">
        <v>0</v>
      </c>
      <c r="D87" s="152">
        <v>0</v>
      </c>
      <c r="E87" s="144"/>
      <c r="F87" s="153"/>
    </row>
    <row r="88" spans="1:6" ht="21" customHeight="1" x14ac:dyDescent="0.25">
      <c r="A88" s="154" t="s">
        <v>390</v>
      </c>
      <c r="B88" s="150">
        <v>30</v>
      </c>
      <c r="C88" s="151">
        <v>0</v>
      </c>
      <c r="D88" s="152">
        <v>0</v>
      </c>
      <c r="E88" s="144" t="s">
        <v>41</v>
      </c>
      <c r="F88" s="153"/>
    </row>
    <row r="89" spans="1:6" ht="21" customHeight="1" x14ac:dyDescent="0.25">
      <c r="A89" s="154" t="s">
        <v>391</v>
      </c>
      <c r="B89" s="150">
        <v>30</v>
      </c>
      <c r="C89" s="151">
        <v>0</v>
      </c>
      <c r="D89" s="152">
        <v>0</v>
      </c>
      <c r="E89" s="144" t="s">
        <v>41</v>
      </c>
      <c r="F89" s="153"/>
    </row>
    <row r="90" spans="1:6" ht="21" customHeight="1" x14ac:dyDescent="0.25">
      <c r="A90" s="154" t="s">
        <v>392</v>
      </c>
      <c r="B90" s="150">
        <v>30</v>
      </c>
      <c r="C90" s="151">
        <v>0</v>
      </c>
      <c r="D90" s="152">
        <v>0</v>
      </c>
      <c r="E90" s="144" t="s">
        <v>41</v>
      </c>
      <c r="F90" s="153"/>
    </row>
    <row r="91" spans="1:6" ht="21" customHeight="1" x14ac:dyDescent="0.25">
      <c r="A91" s="154" t="s">
        <v>393</v>
      </c>
      <c r="B91" s="150">
        <v>30</v>
      </c>
      <c r="C91" s="151">
        <v>0</v>
      </c>
      <c r="D91" s="152">
        <v>0</v>
      </c>
      <c r="E91" s="144" t="s">
        <v>41</v>
      </c>
      <c r="F91" s="153"/>
    </row>
    <row r="92" spans="1:6" ht="21" customHeight="1" x14ac:dyDescent="0.25">
      <c r="A92" s="154" t="s">
        <v>394</v>
      </c>
      <c r="B92" s="150">
        <v>10</v>
      </c>
      <c r="C92" s="151">
        <v>0</v>
      </c>
      <c r="D92" s="152">
        <v>0</v>
      </c>
      <c r="E92" s="144"/>
      <c r="F92" s="153"/>
    </row>
    <row r="93" spans="1:6" ht="21" customHeight="1" x14ac:dyDescent="0.25">
      <c r="A93" s="154" t="s">
        <v>395</v>
      </c>
      <c r="B93" s="150">
        <v>30</v>
      </c>
      <c r="C93" s="151">
        <v>0</v>
      </c>
      <c r="D93" s="152">
        <v>0</v>
      </c>
      <c r="E93" s="144" t="s">
        <v>41</v>
      </c>
      <c r="F93" s="153"/>
    </row>
    <row r="94" spans="1:6" ht="21" customHeight="1" x14ac:dyDescent="0.25">
      <c r="A94" s="154" t="s">
        <v>396</v>
      </c>
      <c r="B94" s="150">
        <v>30</v>
      </c>
      <c r="C94" s="151">
        <v>0</v>
      </c>
      <c r="D94" s="152">
        <v>0</v>
      </c>
      <c r="E94" s="144"/>
      <c r="F94" s="153"/>
    </row>
    <row r="95" spans="1:6" ht="21" customHeight="1" x14ac:dyDescent="0.25">
      <c r="A95" s="154" t="s">
        <v>397</v>
      </c>
      <c r="B95" s="150">
        <v>30</v>
      </c>
      <c r="C95" s="151">
        <v>0</v>
      </c>
      <c r="D95" s="152">
        <v>0</v>
      </c>
      <c r="E95" s="144" t="s">
        <v>41</v>
      </c>
      <c r="F95" s="153"/>
    </row>
    <row r="96" spans="1:6" ht="21" customHeight="1" x14ac:dyDescent="0.25">
      <c r="A96" s="154" t="s">
        <v>398</v>
      </c>
      <c r="B96" s="150">
        <v>30</v>
      </c>
      <c r="C96" s="151">
        <v>0</v>
      </c>
      <c r="D96" s="152">
        <v>0</v>
      </c>
      <c r="E96" s="144" t="s">
        <v>41</v>
      </c>
      <c r="F96" s="153"/>
    </row>
    <row r="97" spans="1:6" ht="21" customHeight="1" x14ac:dyDescent="0.25">
      <c r="A97" s="154" t="s">
        <v>399</v>
      </c>
      <c r="B97" s="150">
        <v>30</v>
      </c>
      <c r="C97" s="151">
        <v>0</v>
      </c>
      <c r="D97" s="152">
        <v>0</v>
      </c>
      <c r="E97" s="144" t="s">
        <v>41</v>
      </c>
      <c r="F97" s="153"/>
    </row>
    <row r="98" spans="1:6" ht="21" customHeight="1" x14ac:dyDescent="0.25">
      <c r="A98" s="154" t="s">
        <v>400</v>
      </c>
      <c r="B98" s="150">
        <v>30</v>
      </c>
      <c r="C98" s="151">
        <v>0</v>
      </c>
      <c r="D98" s="152">
        <v>0</v>
      </c>
      <c r="E98" s="144" t="s">
        <v>87</v>
      </c>
      <c r="F98" s="153"/>
    </row>
    <row r="99" spans="1:6" ht="21" customHeight="1" x14ac:dyDescent="0.25">
      <c r="A99" s="154" t="s">
        <v>401</v>
      </c>
      <c r="B99" s="150">
        <v>30</v>
      </c>
      <c r="C99" s="151">
        <v>0</v>
      </c>
      <c r="D99" s="152">
        <v>0</v>
      </c>
      <c r="E99" s="144" t="s">
        <v>41</v>
      </c>
      <c r="F99" s="153"/>
    </row>
    <row r="100" spans="1:6" ht="21" customHeight="1" x14ac:dyDescent="0.25">
      <c r="A100" s="149" t="s">
        <v>123</v>
      </c>
      <c r="B100" s="150">
        <v>30</v>
      </c>
      <c r="C100" s="151">
        <v>0</v>
      </c>
      <c r="D100" s="152">
        <v>0</v>
      </c>
      <c r="E100" s="144" t="s">
        <v>41</v>
      </c>
      <c r="F100" s="153"/>
    </row>
    <row r="101" spans="1:6" ht="21" customHeight="1" x14ac:dyDescent="0.25">
      <c r="A101" s="154" t="s">
        <v>402</v>
      </c>
      <c r="B101" s="150">
        <v>0</v>
      </c>
      <c r="C101" s="151">
        <v>0</v>
      </c>
      <c r="D101" s="152">
        <v>0</v>
      </c>
      <c r="E101" s="144"/>
      <c r="F101" s="153"/>
    </row>
    <row r="102" spans="1:6" ht="21" customHeight="1" x14ac:dyDescent="0.25">
      <c r="A102" s="154" t="s">
        <v>403</v>
      </c>
      <c r="B102" s="150">
        <v>30</v>
      </c>
      <c r="C102" s="151">
        <v>0</v>
      </c>
      <c r="D102" s="152">
        <v>0</v>
      </c>
      <c r="E102" s="144" t="s">
        <v>221</v>
      </c>
      <c r="F102" s="153"/>
    </row>
    <row r="103" spans="1:6" ht="21" customHeight="1" x14ac:dyDescent="0.25">
      <c r="A103" s="154" t="s">
        <v>404</v>
      </c>
      <c r="B103" s="150">
        <v>30</v>
      </c>
      <c r="C103" s="151">
        <v>0</v>
      </c>
      <c r="D103" s="152">
        <v>0</v>
      </c>
      <c r="E103" s="144" t="s">
        <v>41</v>
      </c>
      <c r="F103" s="153"/>
    </row>
    <row r="104" spans="1:6" ht="21" customHeight="1" x14ac:dyDescent="0.25">
      <c r="A104" s="154" t="s">
        <v>405</v>
      </c>
      <c r="B104" s="150">
        <v>30</v>
      </c>
      <c r="C104" s="151">
        <v>0</v>
      </c>
      <c r="D104" s="152">
        <v>0</v>
      </c>
      <c r="E104" s="144" t="s">
        <v>41</v>
      </c>
      <c r="F104" s="153"/>
    </row>
    <row r="105" spans="1:6" ht="21" customHeight="1" x14ac:dyDescent="0.25">
      <c r="A105" s="154" t="s">
        <v>406</v>
      </c>
      <c r="B105" s="150">
        <v>30</v>
      </c>
      <c r="C105" s="151">
        <v>0</v>
      </c>
      <c r="D105" s="152">
        <v>0</v>
      </c>
      <c r="E105" s="144" t="s">
        <v>124</v>
      </c>
      <c r="F105" s="153"/>
    </row>
    <row r="106" spans="1:6" ht="21" customHeight="1" x14ac:dyDescent="0.25">
      <c r="A106" s="149" t="s">
        <v>223</v>
      </c>
      <c r="B106" s="150">
        <v>30</v>
      </c>
      <c r="C106" s="151">
        <v>0</v>
      </c>
      <c r="D106" s="152">
        <v>0</v>
      </c>
      <c r="E106" s="144"/>
      <c r="F106" s="153"/>
    </row>
    <row r="107" spans="1:6" ht="21" customHeight="1" x14ac:dyDescent="0.25">
      <c r="A107" s="154" t="s">
        <v>407</v>
      </c>
      <c r="B107" s="150">
        <v>30</v>
      </c>
      <c r="C107" s="151">
        <v>0</v>
      </c>
      <c r="D107" s="152">
        <v>0</v>
      </c>
      <c r="E107" s="144"/>
      <c r="F107" s="153"/>
    </row>
    <row r="108" spans="1:6" ht="21" customHeight="1" x14ac:dyDescent="0.25">
      <c r="A108" s="154" t="s">
        <v>654</v>
      </c>
      <c r="B108" s="150">
        <v>30</v>
      </c>
      <c r="C108" s="151">
        <v>0</v>
      </c>
      <c r="D108" s="152">
        <v>0</v>
      </c>
      <c r="E108" s="144"/>
      <c r="F108" s="153"/>
    </row>
    <row r="109" spans="1:6" ht="21" customHeight="1" x14ac:dyDescent="0.25">
      <c r="A109" s="154" t="s">
        <v>408</v>
      </c>
      <c r="B109" s="150">
        <v>8</v>
      </c>
      <c r="C109" s="151">
        <v>0</v>
      </c>
      <c r="D109" s="152">
        <v>0</v>
      </c>
      <c r="E109" s="144"/>
      <c r="F109" s="153"/>
    </row>
    <row r="110" spans="1:6" ht="21" customHeight="1" x14ac:dyDescent="0.25">
      <c r="A110" s="154" t="s">
        <v>409</v>
      </c>
      <c r="B110" s="150">
        <v>30</v>
      </c>
      <c r="C110" s="151">
        <v>0</v>
      </c>
      <c r="D110" s="152">
        <v>0</v>
      </c>
      <c r="E110" s="144" t="s">
        <v>41</v>
      </c>
      <c r="F110" s="153"/>
    </row>
    <row r="111" spans="1:6" ht="21" customHeight="1" x14ac:dyDescent="0.25">
      <c r="A111" s="154" t="s">
        <v>410</v>
      </c>
      <c r="B111" s="150">
        <v>30</v>
      </c>
      <c r="C111" s="151">
        <v>0</v>
      </c>
      <c r="D111" s="152">
        <v>0</v>
      </c>
      <c r="E111" s="144" t="s">
        <v>41</v>
      </c>
      <c r="F111" s="153"/>
    </row>
    <row r="112" spans="1:6" ht="21" customHeight="1" x14ac:dyDescent="0.25">
      <c r="A112" s="149" t="s">
        <v>125</v>
      </c>
      <c r="B112" s="150">
        <v>30</v>
      </c>
      <c r="C112" s="151">
        <v>0</v>
      </c>
      <c r="D112" s="152">
        <v>0</v>
      </c>
      <c r="E112" s="144" t="s">
        <v>41</v>
      </c>
      <c r="F112" s="153"/>
    </row>
    <row r="113" spans="1:6" ht="21" customHeight="1" x14ac:dyDescent="0.25">
      <c r="A113" s="149" t="s">
        <v>126</v>
      </c>
      <c r="B113" s="150">
        <v>30</v>
      </c>
      <c r="C113" s="151">
        <v>0</v>
      </c>
      <c r="D113" s="152">
        <v>0</v>
      </c>
      <c r="E113" s="144" t="s">
        <v>92</v>
      </c>
      <c r="F113" s="153"/>
    </row>
    <row r="114" spans="1:6" ht="21" customHeight="1" x14ac:dyDescent="0.25">
      <c r="A114" s="154" t="s">
        <v>411</v>
      </c>
      <c r="B114" s="150">
        <v>20</v>
      </c>
      <c r="C114" s="151">
        <v>0</v>
      </c>
      <c r="D114" s="152">
        <v>0</v>
      </c>
      <c r="E114" s="144"/>
      <c r="F114" s="153"/>
    </row>
    <row r="115" spans="1:6" ht="21" customHeight="1" x14ac:dyDescent="0.25">
      <c r="A115" s="154" t="s">
        <v>412</v>
      </c>
      <c r="B115" s="150">
        <v>30</v>
      </c>
      <c r="C115" s="151">
        <v>0</v>
      </c>
      <c r="D115" s="152">
        <v>0</v>
      </c>
      <c r="E115" s="144" t="s">
        <v>41</v>
      </c>
      <c r="F115" s="153"/>
    </row>
    <row r="116" spans="1:6" ht="21" customHeight="1" x14ac:dyDescent="0.25">
      <c r="A116" s="154" t="s">
        <v>413</v>
      </c>
      <c r="B116" s="150">
        <v>30</v>
      </c>
      <c r="C116" s="151">
        <v>0</v>
      </c>
      <c r="D116" s="152">
        <v>0</v>
      </c>
      <c r="E116" s="144" t="s">
        <v>41</v>
      </c>
      <c r="F116" s="153"/>
    </row>
    <row r="117" spans="1:6" ht="21" customHeight="1" x14ac:dyDescent="0.25">
      <c r="A117" s="154" t="s">
        <v>414</v>
      </c>
      <c r="B117" s="150">
        <v>30</v>
      </c>
      <c r="C117" s="151">
        <v>0</v>
      </c>
      <c r="D117" s="152">
        <v>0</v>
      </c>
      <c r="E117" s="144"/>
      <c r="F117" s="153"/>
    </row>
    <row r="118" spans="1:6" ht="21" customHeight="1" x14ac:dyDescent="0.25">
      <c r="A118" s="154" t="s">
        <v>415</v>
      </c>
      <c r="B118" s="150">
        <v>30</v>
      </c>
      <c r="C118" s="151">
        <v>0</v>
      </c>
      <c r="D118" s="152">
        <v>0</v>
      </c>
      <c r="E118" s="144"/>
      <c r="F118" s="153"/>
    </row>
    <row r="119" spans="1:6" ht="21" customHeight="1" x14ac:dyDescent="0.25">
      <c r="A119" s="154" t="s">
        <v>416</v>
      </c>
      <c r="B119" s="150">
        <v>30</v>
      </c>
      <c r="C119" s="151">
        <v>0</v>
      </c>
      <c r="D119" s="152">
        <v>0</v>
      </c>
      <c r="E119" s="144"/>
      <c r="F119" s="153"/>
    </row>
    <row r="120" spans="1:6" ht="21" customHeight="1" x14ac:dyDescent="0.25">
      <c r="A120" s="149" t="s">
        <v>127</v>
      </c>
      <c r="B120" s="150">
        <v>30</v>
      </c>
      <c r="C120" s="151">
        <v>0</v>
      </c>
      <c r="D120" s="152">
        <v>0</v>
      </c>
      <c r="E120" s="144" t="s">
        <v>41</v>
      </c>
      <c r="F120" s="153"/>
    </row>
    <row r="121" spans="1:6" ht="21" customHeight="1" x14ac:dyDescent="0.25">
      <c r="A121" s="154" t="s">
        <v>417</v>
      </c>
      <c r="B121" s="150">
        <v>30</v>
      </c>
      <c r="C121" s="151">
        <v>0</v>
      </c>
      <c r="D121" s="152">
        <v>0</v>
      </c>
      <c r="E121" s="144" t="s">
        <v>41</v>
      </c>
      <c r="F121" s="153"/>
    </row>
    <row r="122" spans="1:6" ht="21" customHeight="1" x14ac:dyDescent="0.25">
      <c r="A122" s="154" t="s">
        <v>418</v>
      </c>
      <c r="B122" s="150">
        <v>30</v>
      </c>
      <c r="C122" s="151">
        <v>0</v>
      </c>
      <c r="D122" s="152">
        <v>0</v>
      </c>
      <c r="E122" s="144" t="s">
        <v>41</v>
      </c>
      <c r="F122" s="153"/>
    </row>
    <row r="123" spans="1:6" ht="21" customHeight="1" x14ac:dyDescent="0.25">
      <c r="A123" s="154" t="s">
        <v>419</v>
      </c>
      <c r="B123" s="150">
        <v>30</v>
      </c>
      <c r="C123" s="151">
        <v>0</v>
      </c>
      <c r="D123" s="152">
        <v>0</v>
      </c>
      <c r="E123" s="144" t="s">
        <v>345</v>
      </c>
      <c r="F123" s="153"/>
    </row>
    <row r="124" spans="1:6" ht="21" customHeight="1" x14ac:dyDescent="0.25">
      <c r="A124" s="154" t="s">
        <v>420</v>
      </c>
      <c r="B124" s="150">
        <v>30</v>
      </c>
      <c r="C124" s="151">
        <v>0</v>
      </c>
      <c r="D124" s="152">
        <v>0</v>
      </c>
      <c r="E124" s="144" t="s">
        <v>74</v>
      </c>
      <c r="F124" s="153"/>
    </row>
    <row r="125" spans="1:6" ht="21" customHeight="1" x14ac:dyDescent="0.25">
      <c r="A125" s="149" t="s">
        <v>128</v>
      </c>
      <c r="B125" s="150">
        <v>30</v>
      </c>
      <c r="C125" s="151">
        <v>0</v>
      </c>
      <c r="D125" s="152">
        <v>0</v>
      </c>
      <c r="E125" s="144" t="s">
        <v>74</v>
      </c>
      <c r="F125" s="153"/>
    </row>
    <row r="126" spans="1:6" ht="21" customHeight="1" x14ac:dyDescent="0.25">
      <c r="A126" s="149" t="s">
        <v>129</v>
      </c>
      <c r="B126" s="150">
        <v>30</v>
      </c>
      <c r="C126" s="151">
        <v>0</v>
      </c>
      <c r="D126" s="152">
        <v>0</v>
      </c>
      <c r="E126" s="144"/>
      <c r="F126" s="153"/>
    </row>
    <row r="127" spans="1:6" ht="21" customHeight="1" x14ac:dyDescent="0.25">
      <c r="A127" s="149" t="s">
        <v>130</v>
      </c>
      <c r="B127" s="150">
        <v>30</v>
      </c>
      <c r="C127" s="151">
        <v>0.19</v>
      </c>
      <c r="D127" s="152" t="s">
        <v>150</v>
      </c>
      <c r="E127" s="144"/>
      <c r="F127" s="153"/>
    </row>
    <row r="128" spans="1:6" ht="21" customHeight="1" x14ac:dyDescent="0.25">
      <c r="A128" s="154" t="s">
        <v>421</v>
      </c>
      <c r="B128" s="150">
        <v>30</v>
      </c>
      <c r="C128" s="151">
        <v>0.19</v>
      </c>
      <c r="D128" s="152">
        <v>0</v>
      </c>
      <c r="E128" s="144" t="s">
        <v>422</v>
      </c>
      <c r="F128" s="153"/>
    </row>
    <row r="129" spans="1:6" ht="21" customHeight="1" x14ac:dyDescent="0.25">
      <c r="A129" s="154" t="s">
        <v>423</v>
      </c>
      <c r="B129" s="150">
        <v>10</v>
      </c>
      <c r="C129" s="151">
        <v>0</v>
      </c>
      <c r="D129" s="152">
        <v>0</v>
      </c>
      <c r="E129" s="144"/>
      <c r="F129" s="153"/>
    </row>
    <row r="130" spans="1:6" ht="21" customHeight="1" x14ac:dyDescent="0.25">
      <c r="A130" s="154" t="s">
        <v>424</v>
      </c>
      <c r="B130" s="150">
        <v>10</v>
      </c>
      <c r="C130" s="151">
        <v>0.19</v>
      </c>
      <c r="D130" s="152" t="s">
        <v>150</v>
      </c>
      <c r="E130" s="144" t="s">
        <v>425</v>
      </c>
      <c r="F130" s="153"/>
    </row>
    <row r="131" spans="1:6" ht="21" customHeight="1" x14ac:dyDescent="0.25">
      <c r="A131" s="154" t="s">
        <v>426</v>
      </c>
      <c r="B131" s="150">
        <v>30</v>
      </c>
      <c r="C131" s="151">
        <v>0.19</v>
      </c>
      <c r="D131" s="152" t="s">
        <v>150</v>
      </c>
      <c r="E131" s="144"/>
      <c r="F131" s="153"/>
    </row>
    <row r="132" spans="1:6" ht="21" customHeight="1" x14ac:dyDescent="0.25">
      <c r="A132" s="154" t="s">
        <v>427</v>
      </c>
      <c r="B132" s="150">
        <v>20</v>
      </c>
      <c r="C132" s="151">
        <v>0</v>
      </c>
      <c r="D132" s="152" t="s">
        <v>153</v>
      </c>
      <c r="E132" s="144" t="s">
        <v>428</v>
      </c>
      <c r="F132" s="153"/>
    </row>
    <row r="133" spans="1:6" ht="21" customHeight="1" x14ac:dyDescent="0.25">
      <c r="A133" s="154" t="s">
        <v>429</v>
      </c>
      <c r="B133" s="150">
        <v>30</v>
      </c>
      <c r="C133" s="151">
        <v>0.19</v>
      </c>
      <c r="D133" s="152">
        <v>0</v>
      </c>
      <c r="E133" s="144"/>
      <c r="F133" s="153"/>
    </row>
    <row r="134" spans="1:6" ht="21" customHeight="1" x14ac:dyDescent="0.25">
      <c r="A134" s="154" t="s">
        <v>430</v>
      </c>
      <c r="B134" s="150">
        <v>30</v>
      </c>
      <c r="C134" s="151">
        <v>0.19</v>
      </c>
      <c r="D134" s="152">
        <v>0</v>
      </c>
      <c r="E134" s="144" t="s">
        <v>431</v>
      </c>
      <c r="F134" s="153"/>
    </row>
    <row r="135" spans="1:6" ht="21" customHeight="1" x14ac:dyDescent="0.25">
      <c r="A135" s="154" t="s">
        <v>432</v>
      </c>
      <c r="B135" s="150">
        <v>30</v>
      </c>
      <c r="C135" s="151">
        <v>0.19</v>
      </c>
      <c r="D135" s="152" t="s">
        <v>150</v>
      </c>
      <c r="E135" s="144"/>
      <c r="F135" s="153"/>
    </row>
    <row r="136" spans="1:6" ht="21" customHeight="1" x14ac:dyDescent="0.25">
      <c r="A136" s="154" t="s">
        <v>433</v>
      </c>
      <c r="B136" s="150">
        <v>30</v>
      </c>
      <c r="C136" s="151">
        <v>0.19</v>
      </c>
      <c r="D136" s="152" t="s">
        <v>150</v>
      </c>
      <c r="E136" s="144" t="s">
        <v>434</v>
      </c>
      <c r="F136" s="153"/>
    </row>
    <row r="137" spans="1:6" ht="21" customHeight="1" x14ac:dyDescent="0.25">
      <c r="A137" s="154" t="s">
        <v>435</v>
      </c>
      <c r="B137" s="150">
        <v>30</v>
      </c>
      <c r="C137" s="151">
        <v>0.19</v>
      </c>
      <c r="D137" s="152" t="s">
        <v>150</v>
      </c>
      <c r="E137" s="144"/>
      <c r="F137" s="153"/>
    </row>
    <row r="138" spans="1:6" ht="21" customHeight="1" x14ac:dyDescent="0.25">
      <c r="A138" s="154" t="s">
        <v>436</v>
      </c>
      <c r="B138" s="150">
        <v>30</v>
      </c>
      <c r="C138" s="151">
        <v>0</v>
      </c>
      <c r="D138" s="152">
        <v>0</v>
      </c>
      <c r="E138" s="144"/>
      <c r="F138" s="153"/>
    </row>
    <row r="139" spans="1:6" ht="21" customHeight="1" x14ac:dyDescent="0.25">
      <c r="A139" s="149" t="s">
        <v>15</v>
      </c>
      <c r="B139" s="150">
        <v>30</v>
      </c>
      <c r="C139" s="151">
        <v>0.19</v>
      </c>
      <c r="D139" s="152" t="s">
        <v>150</v>
      </c>
      <c r="E139" s="144" t="s">
        <v>57</v>
      </c>
      <c r="F139" s="153" t="s">
        <v>88</v>
      </c>
    </row>
    <row r="140" spans="1:6" ht="21" customHeight="1" x14ac:dyDescent="0.25">
      <c r="A140" s="154" t="s">
        <v>437</v>
      </c>
      <c r="B140" s="150">
        <v>30</v>
      </c>
      <c r="C140" s="151">
        <v>0.19</v>
      </c>
      <c r="D140" s="152" t="s">
        <v>150</v>
      </c>
      <c r="E140" s="144" t="s">
        <v>438</v>
      </c>
      <c r="F140" s="153"/>
    </row>
    <row r="141" spans="1:6" ht="21" customHeight="1" x14ac:dyDescent="0.25">
      <c r="A141" s="154" t="s">
        <v>439</v>
      </c>
      <c r="B141" s="150">
        <v>30</v>
      </c>
      <c r="C141" s="151">
        <v>0.19</v>
      </c>
      <c r="D141" s="152" t="s">
        <v>150</v>
      </c>
      <c r="E141" s="144" t="s">
        <v>438</v>
      </c>
      <c r="F141" s="153"/>
    </row>
    <row r="142" spans="1:6" ht="21" customHeight="1" x14ac:dyDescent="0.25">
      <c r="A142" s="154" t="s">
        <v>440</v>
      </c>
      <c r="B142" s="150">
        <v>30</v>
      </c>
      <c r="C142" s="151">
        <v>0.19</v>
      </c>
      <c r="D142" s="152" t="s">
        <v>153</v>
      </c>
      <c r="E142" s="144"/>
      <c r="F142" s="153"/>
    </row>
    <row r="143" spans="1:6" ht="21" customHeight="1" x14ac:dyDescent="0.25">
      <c r="A143" s="154" t="s">
        <v>647</v>
      </c>
      <c r="B143" s="150">
        <v>30</v>
      </c>
      <c r="C143" s="151">
        <v>0.19</v>
      </c>
      <c r="D143" s="152" t="s">
        <v>150</v>
      </c>
      <c r="E143" s="144" t="s">
        <v>648</v>
      </c>
      <c r="F143" s="153"/>
    </row>
    <row r="144" spans="1:6" ht="21" customHeight="1" x14ac:dyDescent="0.25">
      <c r="A144" s="154" t="s">
        <v>441</v>
      </c>
      <c r="B144" s="150">
        <v>0</v>
      </c>
      <c r="C144" s="151">
        <v>0.19</v>
      </c>
      <c r="D144" s="152" t="s">
        <v>150</v>
      </c>
      <c r="E144" s="144"/>
      <c r="F144" s="153"/>
    </row>
    <row r="145" spans="1:6" ht="21" customHeight="1" x14ac:dyDescent="0.25">
      <c r="A145" s="154" t="s">
        <v>286</v>
      </c>
      <c r="B145" s="150">
        <v>30</v>
      </c>
      <c r="C145" s="151">
        <v>0</v>
      </c>
      <c r="D145" s="152">
        <v>0</v>
      </c>
      <c r="E145" s="144"/>
      <c r="F145" s="153"/>
    </row>
    <row r="146" spans="1:6" ht="21" customHeight="1" x14ac:dyDescent="0.25">
      <c r="A146" s="154" t="s">
        <v>442</v>
      </c>
      <c r="B146" s="150">
        <v>30</v>
      </c>
      <c r="C146" s="151">
        <v>0.19</v>
      </c>
      <c r="D146" s="152" t="s">
        <v>150</v>
      </c>
      <c r="E146" s="144" t="s">
        <v>41</v>
      </c>
      <c r="F146" s="153"/>
    </row>
    <row r="147" spans="1:6" ht="21" customHeight="1" x14ac:dyDescent="0.25">
      <c r="A147" s="154" t="s">
        <v>443</v>
      </c>
      <c r="B147" s="150">
        <v>0</v>
      </c>
      <c r="C147" s="151">
        <v>0.19</v>
      </c>
      <c r="D147" s="152" t="s">
        <v>150</v>
      </c>
      <c r="E147" s="144" t="s">
        <v>431</v>
      </c>
      <c r="F147" s="153"/>
    </row>
    <row r="148" spans="1:6" ht="21" customHeight="1" x14ac:dyDescent="0.25">
      <c r="A148" s="154" t="s">
        <v>444</v>
      </c>
      <c r="B148" s="150">
        <v>10</v>
      </c>
      <c r="C148" s="151">
        <v>0.19</v>
      </c>
      <c r="D148" s="152">
        <v>0</v>
      </c>
      <c r="E148" s="144"/>
      <c r="F148" s="153"/>
    </row>
    <row r="149" spans="1:6" ht="21" customHeight="1" x14ac:dyDescent="0.25">
      <c r="A149" s="154" t="s">
        <v>445</v>
      </c>
      <c r="B149" s="150">
        <v>30</v>
      </c>
      <c r="C149" s="151">
        <v>0</v>
      </c>
      <c r="D149" s="152">
        <v>0</v>
      </c>
      <c r="E149" s="144" t="s">
        <v>446</v>
      </c>
      <c r="F149" s="153"/>
    </row>
    <row r="150" spans="1:6" ht="21" customHeight="1" x14ac:dyDescent="0.25">
      <c r="A150" s="154" t="s">
        <v>445</v>
      </c>
      <c r="B150" s="150">
        <v>0</v>
      </c>
      <c r="C150" s="151">
        <v>0.19</v>
      </c>
      <c r="D150" s="152">
        <v>0</v>
      </c>
      <c r="E150" s="144" t="s">
        <v>446</v>
      </c>
      <c r="F150" s="153" t="s">
        <v>447</v>
      </c>
    </row>
    <row r="151" spans="1:6" ht="21" customHeight="1" x14ac:dyDescent="0.25">
      <c r="A151" s="154" t="s">
        <v>448</v>
      </c>
      <c r="B151" s="150">
        <v>30</v>
      </c>
      <c r="C151" s="151">
        <v>0.19</v>
      </c>
      <c r="D151" s="152" t="s">
        <v>150</v>
      </c>
      <c r="E151" s="144" t="s">
        <v>41</v>
      </c>
      <c r="F151" s="153"/>
    </row>
    <row r="152" spans="1:6" ht="21" customHeight="1" x14ac:dyDescent="0.25">
      <c r="A152" s="154" t="s">
        <v>449</v>
      </c>
      <c r="B152" s="150">
        <v>45</v>
      </c>
      <c r="C152" s="151">
        <v>0</v>
      </c>
      <c r="D152" s="152">
        <v>0</v>
      </c>
      <c r="E152" s="144" t="s">
        <v>215</v>
      </c>
      <c r="F152" s="153"/>
    </row>
    <row r="153" spans="1:6" ht="21" customHeight="1" x14ac:dyDescent="0.25">
      <c r="A153" s="149" t="s">
        <v>106</v>
      </c>
      <c r="B153" s="150">
        <v>60</v>
      </c>
      <c r="C153" s="151">
        <v>0</v>
      </c>
      <c r="D153" s="152">
        <v>0</v>
      </c>
      <c r="E153" s="144" t="s">
        <v>215</v>
      </c>
      <c r="F153" s="153"/>
    </row>
    <row r="154" spans="1:6" ht="21" customHeight="1" x14ac:dyDescent="0.25">
      <c r="A154" s="154" t="s">
        <v>450</v>
      </c>
      <c r="B154" s="150">
        <v>45</v>
      </c>
      <c r="C154" s="151">
        <v>0</v>
      </c>
      <c r="D154" s="152">
        <v>0</v>
      </c>
      <c r="E154" s="144" t="s">
        <v>215</v>
      </c>
      <c r="F154" s="153"/>
    </row>
    <row r="155" spans="1:6" ht="21" customHeight="1" x14ac:dyDescent="0.25">
      <c r="A155" s="154" t="s">
        <v>451</v>
      </c>
      <c r="B155" s="150">
        <v>45</v>
      </c>
      <c r="C155" s="151">
        <v>0</v>
      </c>
      <c r="D155" s="152">
        <v>0</v>
      </c>
      <c r="E155" s="144" t="s">
        <v>215</v>
      </c>
      <c r="F155" s="153"/>
    </row>
    <row r="156" spans="1:6" ht="21" customHeight="1" x14ac:dyDescent="0.25">
      <c r="A156" s="149" t="s">
        <v>107</v>
      </c>
      <c r="B156" s="150">
        <v>45</v>
      </c>
      <c r="C156" s="151">
        <v>0</v>
      </c>
      <c r="D156" s="152">
        <v>0</v>
      </c>
      <c r="E156" s="144" t="s">
        <v>215</v>
      </c>
      <c r="F156" s="153"/>
    </row>
    <row r="157" spans="1:6" ht="21" customHeight="1" x14ac:dyDescent="0.25">
      <c r="A157" s="154" t="s">
        <v>452</v>
      </c>
      <c r="B157" s="150">
        <v>30</v>
      </c>
      <c r="C157" s="151">
        <v>0.19</v>
      </c>
      <c r="D157" s="152" t="s">
        <v>150</v>
      </c>
      <c r="E157" s="144" t="s">
        <v>453</v>
      </c>
      <c r="F157" s="153"/>
    </row>
    <row r="158" spans="1:6" ht="21" customHeight="1" x14ac:dyDescent="0.25">
      <c r="A158" s="154" t="s">
        <v>454</v>
      </c>
      <c r="B158" s="150">
        <v>20</v>
      </c>
      <c r="C158" s="151">
        <v>0</v>
      </c>
      <c r="D158" s="152">
        <v>0</v>
      </c>
      <c r="E158" s="144" t="s">
        <v>431</v>
      </c>
      <c r="F158" s="153"/>
    </row>
    <row r="159" spans="1:6" ht="21" customHeight="1" x14ac:dyDescent="0.25">
      <c r="A159" s="154" t="s">
        <v>455</v>
      </c>
      <c r="B159" s="150">
        <v>0</v>
      </c>
      <c r="C159" s="151">
        <v>0.19</v>
      </c>
      <c r="D159" s="152" t="s">
        <v>154</v>
      </c>
      <c r="E159" s="144" t="s">
        <v>456</v>
      </c>
      <c r="F159" s="153"/>
    </row>
    <row r="160" spans="1:6" ht="21" customHeight="1" x14ac:dyDescent="0.25">
      <c r="A160" s="154" t="s">
        <v>457</v>
      </c>
      <c r="B160" s="150">
        <v>90</v>
      </c>
      <c r="C160" s="151">
        <v>0</v>
      </c>
      <c r="D160" s="152" t="s">
        <v>151</v>
      </c>
      <c r="E160" s="144" t="s">
        <v>458</v>
      </c>
      <c r="F160" s="153"/>
    </row>
    <row r="161" spans="1:6" ht="21" customHeight="1" x14ac:dyDescent="0.25">
      <c r="A161" s="154" t="s">
        <v>459</v>
      </c>
      <c r="B161" s="150">
        <v>30</v>
      </c>
      <c r="C161" s="151">
        <v>0</v>
      </c>
      <c r="D161" s="152">
        <v>0</v>
      </c>
      <c r="E161" s="144" t="s">
        <v>460</v>
      </c>
      <c r="F161" s="153"/>
    </row>
    <row r="162" spans="1:6" ht="21" customHeight="1" x14ac:dyDescent="0.25">
      <c r="A162" s="149" t="s">
        <v>104</v>
      </c>
      <c r="B162" s="150">
        <v>30</v>
      </c>
      <c r="C162" s="151">
        <v>0.19</v>
      </c>
      <c r="D162" s="152">
        <v>0</v>
      </c>
      <c r="E162" s="144" t="s">
        <v>109</v>
      </c>
      <c r="F162" s="153"/>
    </row>
    <row r="163" spans="1:6" ht="21" customHeight="1" x14ac:dyDescent="0.25">
      <c r="A163" s="154" t="s">
        <v>461</v>
      </c>
      <c r="B163" s="150">
        <v>30</v>
      </c>
      <c r="C163" s="151">
        <v>0.19</v>
      </c>
      <c r="D163" s="152">
        <v>0</v>
      </c>
      <c r="E163" s="144" t="s">
        <v>109</v>
      </c>
      <c r="F163" s="153"/>
    </row>
    <row r="164" spans="1:6" ht="21" customHeight="1" x14ac:dyDescent="0.25">
      <c r="A164" s="154" t="s">
        <v>462</v>
      </c>
      <c r="B164" s="150">
        <v>0</v>
      </c>
      <c r="C164" s="151">
        <v>0</v>
      </c>
      <c r="D164" s="152">
        <v>0</v>
      </c>
      <c r="E164" s="144" t="s">
        <v>463</v>
      </c>
      <c r="F164" s="153" t="s">
        <v>464</v>
      </c>
    </row>
    <row r="165" spans="1:6" ht="21" customHeight="1" x14ac:dyDescent="0.25">
      <c r="A165" s="154" t="s">
        <v>465</v>
      </c>
      <c r="B165" s="150">
        <v>30</v>
      </c>
      <c r="C165" s="151">
        <v>0.19</v>
      </c>
      <c r="D165" s="152">
        <v>0</v>
      </c>
      <c r="E165" s="144" t="s">
        <v>331</v>
      </c>
      <c r="F165" s="153"/>
    </row>
    <row r="166" spans="1:6" ht="21" customHeight="1" x14ac:dyDescent="0.25">
      <c r="A166" s="149" t="s">
        <v>105</v>
      </c>
      <c r="B166" s="150">
        <v>60</v>
      </c>
      <c r="C166" s="151">
        <v>0.19</v>
      </c>
      <c r="D166" s="152" t="s">
        <v>150</v>
      </c>
      <c r="E166" s="144" t="s">
        <v>77</v>
      </c>
      <c r="F166" s="153"/>
    </row>
    <row r="167" spans="1:6" ht="21" customHeight="1" x14ac:dyDescent="0.25">
      <c r="A167" s="149" t="s">
        <v>247</v>
      </c>
      <c r="B167" s="150">
        <v>30</v>
      </c>
      <c r="C167" s="151">
        <v>0.19</v>
      </c>
      <c r="D167" s="152" t="s">
        <v>150</v>
      </c>
      <c r="E167" s="144"/>
      <c r="F167" s="153"/>
    </row>
    <row r="168" spans="1:6" ht="21" customHeight="1" x14ac:dyDescent="0.25">
      <c r="A168" s="154" t="s">
        <v>247</v>
      </c>
      <c r="B168" s="150">
        <v>30</v>
      </c>
      <c r="C168" s="151">
        <v>0.16</v>
      </c>
      <c r="D168" s="152" t="s">
        <v>150</v>
      </c>
      <c r="E168" s="144" t="s">
        <v>340</v>
      </c>
      <c r="F168" s="153"/>
    </row>
    <row r="169" spans="1:6" ht="21" customHeight="1" x14ac:dyDescent="0.25">
      <c r="A169" s="149" t="s">
        <v>232</v>
      </c>
      <c r="B169" s="150">
        <v>90</v>
      </c>
      <c r="C169" s="151">
        <v>0.19</v>
      </c>
      <c r="D169" s="152" t="s">
        <v>150</v>
      </c>
      <c r="E169" s="144" t="s">
        <v>252</v>
      </c>
      <c r="F169" s="153"/>
    </row>
    <row r="170" spans="1:6" ht="21" customHeight="1" x14ac:dyDescent="0.25">
      <c r="A170" s="154" t="s">
        <v>649</v>
      </c>
      <c r="B170" s="150">
        <v>0</v>
      </c>
      <c r="C170" s="151">
        <v>0.19</v>
      </c>
      <c r="D170" s="152" t="s">
        <v>150</v>
      </c>
      <c r="E170" s="144" t="s">
        <v>650</v>
      </c>
      <c r="F170" s="153"/>
    </row>
    <row r="171" spans="1:6" ht="21" customHeight="1" x14ac:dyDescent="0.25">
      <c r="A171" s="149" t="s">
        <v>98</v>
      </c>
      <c r="B171" s="150">
        <v>30</v>
      </c>
      <c r="C171" s="151">
        <v>0.19</v>
      </c>
      <c r="D171" s="152" t="s">
        <v>150</v>
      </c>
      <c r="E171" s="144" t="s">
        <v>276</v>
      </c>
      <c r="F171" s="153"/>
    </row>
    <row r="172" spans="1:6" ht="21" customHeight="1" x14ac:dyDescent="0.25">
      <c r="A172" s="149" t="s">
        <v>162</v>
      </c>
      <c r="B172" s="150">
        <v>30</v>
      </c>
      <c r="C172" s="151">
        <v>0.19</v>
      </c>
      <c r="D172" s="152"/>
      <c r="E172" s="144" t="s">
        <v>116</v>
      </c>
      <c r="F172" s="153"/>
    </row>
    <row r="173" spans="1:6" ht="21" customHeight="1" x14ac:dyDescent="0.25">
      <c r="A173" s="154" t="s">
        <v>466</v>
      </c>
      <c r="B173" s="150">
        <v>30</v>
      </c>
      <c r="C173" s="151">
        <v>0.19</v>
      </c>
      <c r="D173" s="152">
        <v>0</v>
      </c>
      <c r="E173" s="144" t="s">
        <v>467</v>
      </c>
      <c r="F173" s="153"/>
    </row>
    <row r="174" spans="1:6" ht="21" customHeight="1" x14ac:dyDescent="0.25">
      <c r="A174" s="154" t="s">
        <v>468</v>
      </c>
      <c r="B174" s="150">
        <v>0</v>
      </c>
      <c r="C174" s="151">
        <v>0.19</v>
      </c>
      <c r="D174" s="152">
        <v>0</v>
      </c>
      <c r="E174" s="144" t="s">
        <v>469</v>
      </c>
      <c r="F174" s="153"/>
    </row>
    <row r="175" spans="1:6" ht="21" customHeight="1" x14ac:dyDescent="0.25">
      <c r="A175" s="154" t="s">
        <v>470</v>
      </c>
      <c r="B175" s="150">
        <v>30</v>
      </c>
      <c r="C175" s="151">
        <v>0.19</v>
      </c>
      <c r="D175" s="152" t="s">
        <v>150</v>
      </c>
      <c r="E175" s="144" t="s">
        <v>343</v>
      </c>
      <c r="F175" s="153" t="s">
        <v>471</v>
      </c>
    </row>
    <row r="176" spans="1:6" ht="21" customHeight="1" x14ac:dyDescent="0.25">
      <c r="A176" s="149" t="s">
        <v>243</v>
      </c>
      <c r="B176" s="150">
        <v>30</v>
      </c>
      <c r="C176" s="151">
        <v>0.19</v>
      </c>
      <c r="D176" s="152" t="s">
        <v>150</v>
      </c>
      <c r="E176" s="144" t="s">
        <v>246</v>
      </c>
      <c r="F176" s="153"/>
    </row>
    <row r="177" spans="1:6" ht="21" customHeight="1" x14ac:dyDescent="0.25">
      <c r="A177" s="154" t="s">
        <v>472</v>
      </c>
      <c r="B177" s="150">
        <v>30</v>
      </c>
      <c r="C177" s="151">
        <v>0</v>
      </c>
      <c r="D177" s="152">
        <v>0</v>
      </c>
      <c r="E177" s="144"/>
      <c r="F177" s="153"/>
    </row>
    <row r="178" spans="1:6" ht="21" customHeight="1" x14ac:dyDescent="0.25">
      <c r="A178" s="154" t="s">
        <v>473</v>
      </c>
      <c r="B178" s="150">
        <v>30</v>
      </c>
      <c r="C178" s="151">
        <v>0</v>
      </c>
      <c r="D178" s="152">
        <v>0</v>
      </c>
      <c r="E178" s="144" t="s">
        <v>41</v>
      </c>
      <c r="F178" s="153"/>
    </row>
    <row r="179" spans="1:6" ht="21" customHeight="1" x14ac:dyDescent="0.25">
      <c r="A179" s="154" t="s">
        <v>474</v>
      </c>
      <c r="B179" s="150">
        <v>30</v>
      </c>
      <c r="C179" s="151">
        <v>0</v>
      </c>
      <c r="D179" s="152">
        <v>0</v>
      </c>
      <c r="E179" s="144"/>
      <c r="F179" s="153"/>
    </row>
    <row r="180" spans="1:6" ht="21" customHeight="1" x14ac:dyDescent="0.25">
      <c r="A180" s="154" t="s">
        <v>475</v>
      </c>
      <c r="B180" s="150">
        <v>30</v>
      </c>
      <c r="C180" s="151">
        <v>0</v>
      </c>
      <c r="D180" s="152">
        <v>0</v>
      </c>
      <c r="E180" s="144" t="s">
        <v>41</v>
      </c>
      <c r="F180" s="153"/>
    </row>
    <row r="181" spans="1:6" ht="21" customHeight="1" x14ac:dyDescent="0.25">
      <c r="A181" s="154" t="s">
        <v>476</v>
      </c>
      <c r="B181" s="150">
        <v>30</v>
      </c>
      <c r="C181" s="151">
        <v>0</v>
      </c>
      <c r="D181" s="152">
        <v>0</v>
      </c>
      <c r="E181" s="144" t="s">
        <v>41</v>
      </c>
      <c r="F181" s="153"/>
    </row>
    <row r="182" spans="1:6" ht="21" customHeight="1" x14ac:dyDescent="0.25">
      <c r="A182" s="154" t="s">
        <v>477</v>
      </c>
      <c r="B182" s="150">
        <v>10</v>
      </c>
      <c r="C182" s="151">
        <v>0</v>
      </c>
      <c r="D182" s="152">
        <v>0</v>
      </c>
      <c r="E182" s="144"/>
      <c r="F182" s="153"/>
    </row>
    <row r="183" spans="1:6" ht="21" customHeight="1" x14ac:dyDescent="0.25">
      <c r="A183" s="154" t="s">
        <v>478</v>
      </c>
      <c r="B183" s="150">
        <v>30</v>
      </c>
      <c r="C183" s="151">
        <v>0.19</v>
      </c>
      <c r="D183" s="152" t="s">
        <v>150</v>
      </c>
      <c r="E183" s="144" t="s">
        <v>42</v>
      </c>
      <c r="F183" s="153"/>
    </row>
    <row r="184" spans="1:6" ht="21" customHeight="1" x14ac:dyDescent="0.25">
      <c r="A184" s="154" t="s">
        <v>479</v>
      </c>
      <c r="B184" s="150">
        <v>30</v>
      </c>
      <c r="C184" s="151">
        <v>0.19</v>
      </c>
      <c r="D184" s="152" t="s">
        <v>150</v>
      </c>
      <c r="E184" s="144"/>
      <c r="F184" s="153"/>
    </row>
    <row r="185" spans="1:6" ht="21" customHeight="1" x14ac:dyDescent="0.25">
      <c r="A185" s="149" t="s">
        <v>187</v>
      </c>
      <c r="B185" s="150">
        <v>30</v>
      </c>
      <c r="C185" s="151">
        <v>0.19</v>
      </c>
      <c r="D185" s="152" t="s">
        <v>150</v>
      </c>
      <c r="E185" s="144" t="s">
        <v>189</v>
      </c>
      <c r="F185" s="153"/>
    </row>
    <row r="186" spans="1:6" ht="21" customHeight="1" x14ac:dyDescent="0.25">
      <c r="A186" s="149" t="s">
        <v>163</v>
      </c>
      <c r="B186" s="150">
        <v>180</v>
      </c>
      <c r="C186" s="151">
        <v>0.05</v>
      </c>
      <c r="D186" s="152" t="s">
        <v>150</v>
      </c>
      <c r="E186" s="144" t="s">
        <v>103</v>
      </c>
      <c r="F186" s="153"/>
    </row>
    <row r="187" spans="1:6" ht="21" customHeight="1" x14ac:dyDescent="0.25">
      <c r="A187" s="149" t="s">
        <v>227</v>
      </c>
      <c r="B187" s="150">
        <v>30</v>
      </c>
      <c r="C187" s="151">
        <v>0.19</v>
      </c>
      <c r="D187" s="152" t="s">
        <v>150</v>
      </c>
      <c r="E187" s="144" t="s">
        <v>228</v>
      </c>
      <c r="F187" s="153"/>
    </row>
    <row r="188" spans="1:6" ht="21" customHeight="1" x14ac:dyDescent="0.25">
      <c r="A188" s="149" t="s">
        <v>213</v>
      </c>
      <c r="B188" s="150">
        <v>60</v>
      </c>
      <c r="C188" s="151">
        <v>0.19</v>
      </c>
      <c r="D188" s="152" t="s">
        <v>150</v>
      </c>
      <c r="E188" s="144" t="s">
        <v>214</v>
      </c>
      <c r="F188" s="153"/>
    </row>
    <row r="189" spans="1:6" ht="21" customHeight="1" x14ac:dyDescent="0.25">
      <c r="A189" s="149" t="s">
        <v>28</v>
      </c>
      <c r="B189" s="150">
        <v>60</v>
      </c>
      <c r="C189" s="151">
        <v>0.19</v>
      </c>
      <c r="D189" s="152" t="s">
        <v>150</v>
      </c>
      <c r="E189" s="144" t="s">
        <v>173</v>
      </c>
      <c r="F189" s="153"/>
    </row>
    <row r="190" spans="1:6" ht="21" customHeight="1" x14ac:dyDescent="0.25">
      <c r="A190" s="149" t="s">
        <v>91</v>
      </c>
      <c r="B190" s="150">
        <v>30</v>
      </c>
      <c r="C190" s="151">
        <v>0.19</v>
      </c>
      <c r="D190" s="152" t="s">
        <v>150</v>
      </c>
      <c r="E190" s="144" t="s">
        <v>100</v>
      </c>
      <c r="F190" s="153"/>
    </row>
    <row r="191" spans="1:6" ht="21" customHeight="1" x14ac:dyDescent="0.25">
      <c r="A191" s="154" t="s">
        <v>480</v>
      </c>
      <c r="B191" s="150">
        <v>10</v>
      </c>
      <c r="C191" s="151">
        <v>0.19</v>
      </c>
      <c r="D191" s="152" t="s">
        <v>150</v>
      </c>
      <c r="E191" s="144" t="s">
        <v>481</v>
      </c>
      <c r="F191" s="153"/>
    </row>
    <row r="192" spans="1:6" ht="21" customHeight="1" x14ac:dyDescent="0.25">
      <c r="A192" s="149" t="s">
        <v>16</v>
      </c>
      <c r="B192" s="150">
        <v>30</v>
      </c>
      <c r="C192" s="151">
        <v>0.19</v>
      </c>
      <c r="D192" s="152" t="s">
        <v>150</v>
      </c>
      <c r="E192" s="144" t="s">
        <v>194</v>
      </c>
      <c r="F192" s="153" t="s">
        <v>200</v>
      </c>
    </row>
    <row r="193" spans="1:6" ht="21" customHeight="1" x14ac:dyDescent="0.25">
      <c r="A193" s="149" t="s">
        <v>11</v>
      </c>
      <c r="B193" s="150">
        <v>90</v>
      </c>
      <c r="C193" s="151">
        <v>0.19</v>
      </c>
      <c r="D193" s="152" t="s">
        <v>150</v>
      </c>
      <c r="E193" s="144" t="s">
        <v>75</v>
      </c>
      <c r="F193" s="153"/>
    </row>
    <row r="194" spans="1:6" ht="21" customHeight="1" x14ac:dyDescent="0.25">
      <c r="A194" s="154" t="s">
        <v>482</v>
      </c>
      <c r="B194" s="150">
        <v>30</v>
      </c>
      <c r="C194" s="151">
        <v>0.19</v>
      </c>
      <c r="D194" s="152" t="s">
        <v>150</v>
      </c>
      <c r="E194" s="144" t="s">
        <v>483</v>
      </c>
      <c r="F194" s="153"/>
    </row>
    <row r="195" spans="1:6" ht="21" customHeight="1" x14ac:dyDescent="0.25">
      <c r="A195" s="154" t="s">
        <v>484</v>
      </c>
      <c r="B195" s="150">
        <v>30</v>
      </c>
      <c r="C195" s="151">
        <v>0.19</v>
      </c>
      <c r="D195" s="152" t="s">
        <v>150</v>
      </c>
      <c r="E195" s="144" t="s">
        <v>485</v>
      </c>
      <c r="F195" s="153" t="s">
        <v>486</v>
      </c>
    </row>
    <row r="196" spans="1:6" ht="21" customHeight="1" x14ac:dyDescent="0.25">
      <c r="A196" s="149" t="s">
        <v>23</v>
      </c>
      <c r="B196" s="150">
        <v>30</v>
      </c>
      <c r="C196" s="151">
        <v>0.19</v>
      </c>
      <c r="D196" s="152" t="s">
        <v>150</v>
      </c>
      <c r="E196" s="144" t="s">
        <v>41</v>
      </c>
      <c r="F196" s="153"/>
    </row>
    <row r="197" spans="1:6" ht="21" customHeight="1" x14ac:dyDescent="0.25">
      <c r="A197" s="154" t="s">
        <v>487</v>
      </c>
      <c r="B197" s="150">
        <v>30</v>
      </c>
      <c r="C197" s="151">
        <v>0.19</v>
      </c>
      <c r="D197" s="152" t="s">
        <v>150</v>
      </c>
      <c r="E197" s="144" t="s">
        <v>41</v>
      </c>
      <c r="F197" s="153"/>
    </row>
    <row r="198" spans="1:6" ht="21" customHeight="1" x14ac:dyDescent="0.25">
      <c r="A198" s="154" t="s">
        <v>488</v>
      </c>
      <c r="B198" s="150">
        <v>30</v>
      </c>
      <c r="C198" s="151">
        <v>0.19</v>
      </c>
      <c r="D198" s="152">
        <v>0</v>
      </c>
      <c r="E198" s="144" t="s">
        <v>489</v>
      </c>
      <c r="F198" s="153"/>
    </row>
    <row r="199" spans="1:6" ht="21" customHeight="1" x14ac:dyDescent="0.25">
      <c r="A199" s="154" t="s">
        <v>490</v>
      </c>
      <c r="B199" s="150">
        <v>30</v>
      </c>
      <c r="C199" s="151">
        <v>0.19</v>
      </c>
      <c r="D199" s="152" t="s">
        <v>150</v>
      </c>
      <c r="E199" s="144" t="s">
        <v>41</v>
      </c>
      <c r="F199" s="153"/>
    </row>
    <row r="200" spans="1:6" ht="21" customHeight="1" x14ac:dyDescent="0.25">
      <c r="A200" s="154" t="s">
        <v>491</v>
      </c>
      <c r="B200" s="150">
        <v>30</v>
      </c>
      <c r="C200" s="151">
        <v>0.19</v>
      </c>
      <c r="D200" s="152" t="s">
        <v>150</v>
      </c>
      <c r="E200" s="144" t="s">
        <v>492</v>
      </c>
      <c r="F200" s="153"/>
    </row>
    <row r="201" spans="1:6" ht="21" customHeight="1" x14ac:dyDescent="0.25">
      <c r="A201" s="154" t="s">
        <v>493</v>
      </c>
      <c r="B201" s="150">
        <v>30</v>
      </c>
      <c r="C201" s="151">
        <v>0.19</v>
      </c>
      <c r="D201" s="152" t="s">
        <v>150</v>
      </c>
      <c r="E201" s="144" t="s">
        <v>41</v>
      </c>
      <c r="F201" s="153"/>
    </row>
    <row r="202" spans="1:6" ht="21" customHeight="1" x14ac:dyDescent="0.25">
      <c r="A202" s="154" t="s">
        <v>494</v>
      </c>
      <c r="B202" s="150">
        <v>30</v>
      </c>
      <c r="C202" s="151">
        <v>0.19</v>
      </c>
      <c r="D202" s="152" t="s">
        <v>150</v>
      </c>
      <c r="E202" s="144" t="s">
        <v>41</v>
      </c>
      <c r="F202" s="153"/>
    </row>
    <row r="203" spans="1:6" ht="21" customHeight="1" x14ac:dyDescent="0.25">
      <c r="A203" s="154" t="s">
        <v>495</v>
      </c>
      <c r="B203" s="150">
        <v>30</v>
      </c>
      <c r="C203" s="151">
        <v>0.19</v>
      </c>
      <c r="D203" s="152" t="s">
        <v>150</v>
      </c>
      <c r="E203" s="144" t="s">
        <v>41</v>
      </c>
      <c r="F203" s="153"/>
    </row>
    <row r="204" spans="1:6" ht="21" customHeight="1" x14ac:dyDescent="0.25">
      <c r="A204" s="154" t="s">
        <v>496</v>
      </c>
      <c r="B204" s="150">
        <v>30</v>
      </c>
      <c r="C204" s="151">
        <v>0</v>
      </c>
      <c r="D204" s="152">
        <v>0</v>
      </c>
      <c r="E204" s="144" t="s">
        <v>497</v>
      </c>
      <c r="F204" s="153"/>
    </row>
    <row r="205" spans="1:6" ht="21" customHeight="1" x14ac:dyDescent="0.25">
      <c r="A205" s="154" t="s">
        <v>498</v>
      </c>
      <c r="B205" s="150">
        <v>30</v>
      </c>
      <c r="C205" s="151">
        <v>0</v>
      </c>
      <c r="D205" s="152">
        <v>0</v>
      </c>
      <c r="E205" s="144" t="s">
        <v>497</v>
      </c>
      <c r="F205" s="153"/>
    </row>
    <row r="206" spans="1:6" ht="21" customHeight="1" x14ac:dyDescent="0.25">
      <c r="A206" s="154" t="s">
        <v>499</v>
      </c>
      <c r="B206" s="150">
        <v>30</v>
      </c>
      <c r="C206" s="151">
        <v>0</v>
      </c>
      <c r="D206" s="152">
        <v>0</v>
      </c>
      <c r="E206" s="144" t="s">
        <v>497</v>
      </c>
      <c r="F206" s="153"/>
    </row>
    <row r="207" spans="1:6" ht="21" customHeight="1" x14ac:dyDescent="0.25">
      <c r="A207" s="154" t="s">
        <v>500</v>
      </c>
      <c r="B207" s="150">
        <v>30</v>
      </c>
      <c r="C207" s="151">
        <v>0</v>
      </c>
      <c r="D207" s="152">
        <v>0</v>
      </c>
      <c r="E207" s="144" t="s">
        <v>497</v>
      </c>
      <c r="F207" s="153"/>
    </row>
    <row r="208" spans="1:6" ht="21" customHeight="1" x14ac:dyDescent="0.25">
      <c r="A208" s="154" t="s">
        <v>501</v>
      </c>
      <c r="B208" s="150">
        <v>30</v>
      </c>
      <c r="C208" s="151">
        <v>0</v>
      </c>
      <c r="D208" s="152">
        <v>0</v>
      </c>
      <c r="E208" s="144" t="s">
        <v>497</v>
      </c>
      <c r="F208" s="153"/>
    </row>
    <row r="209" spans="1:6" ht="21" customHeight="1" x14ac:dyDescent="0.25">
      <c r="A209" s="154" t="s">
        <v>502</v>
      </c>
      <c r="B209" s="150">
        <v>30</v>
      </c>
      <c r="C209" s="151">
        <v>0</v>
      </c>
      <c r="D209" s="152">
        <v>0</v>
      </c>
      <c r="E209" s="144" t="s">
        <v>497</v>
      </c>
      <c r="F209" s="153"/>
    </row>
    <row r="210" spans="1:6" ht="21" customHeight="1" x14ac:dyDescent="0.25">
      <c r="A210" s="154" t="s">
        <v>503</v>
      </c>
      <c r="B210" s="150">
        <v>30</v>
      </c>
      <c r="C210" s="151">
        <v>0</v>
      </c>
      <c r="D210" s="152">
        <v>0</v>
      </c>
      <c r="E210" s="144" t="s">
        <v>497</v>
      </c>
      <c r="F210" s="153"/>
    </row>
    <row r="211" spans="1:6" ht="21" customHeight="1" x14ac:dyDescent="0.25">
      <c r="A211" s="154" t="s">
        <v>504</v>
      </c>
      <c r="B211" s="150">
        <v>30</v>
      </c>
      <c r="C211" s="151">
        <v>0</v>
      </c>
      <c r="D211" s="152">
        <v>0</v>
      </c>
      <c r="E211" s="144" t="s">
        <v>497</v>
      </c>
      <c r="F211" s="153"/>
    </row>
    <row r="212" spans="1:6" ht="21" customHeight="1" x14ac:dyDescent="0.25">
      <c r="A212" s="154" t="s">
        <v>273</v>
      </c>
      <c r="B212" s="150">
        <v>0</v>
      </c>
      <c r="C212" s="151">
        <v>0.19</v>
      </c>
      <c r="D212" s="152"/>
      <c r="E212" s="144"/>
      <c r="F212" s="153"/>
    </row>
    <row r="213" spans="1:6" ht="21" customHeight="1" x14ac:dyDescent="0.25">
      <c r="A213" s="154" t="s">
        <v>505</v>
      </c>
      <c r="B213" s="150">
        <v>30</v>
      </c>
      <c r="C213" s="151">
        <v>0.19</v>
      </c>
      <c r="D213" s="152" t="s">
        <v>150</v>
      </c>
      <c r="E213" s="144" t="s">
        <v>41</v>
      </c>
      <c r="F213" s="153"/>
    </row>
    <row r="214" spans="1:6" ht="21" customHeight="1" x14ac:dyDescent="0.25">
      <c r="A214" s="154" t="s">
        <v>506</v>
      </c>
      <c r="B214" s="150">
        <v>0</v>
      </c>
      <c r="C214" s="151">
        <v>0</v>
      </c>
      <c r="D214" s="152">
        <v>0</v>
      </c>
      <c r="E214" s="144"/>
      <c r="F214" s="153"/>
    </row>
    <row r="215" spans="1:6" ht="21" customHeight="1" x14ac:dyDescent="0.25">
      <c r="A215" s="154" t="s">
        <v>507</v>
      </c>
      <c r="B215" s="150">
        <v>10</v>
      </c>
      <c r="C215" s="151">
        <v>0.19</v>
      </c>
      <c r="D215" s="152">
        <v>0</v>
      </c>
      <c r="E215" s="144"/>
      <c r="F215" s="153"/>
    </row>
    <row r="216" spans="1:6" ht="21" customHeight="1" x14ac:dyDescent="0.25">
      <c r="A216" s="154" t="s">
        <v>643</v>
      </c>
      <c r="B216" s="150">
        <v>0</v>
      </c>
      <c r="C216" s="151">
        <v>0.19</v>
      </c>
      <c r="D216" s="152" t="s">
        <v>150</v>
      </c>
      <c r="E216" s="144"/>
      <c r="F216" s="153"/>
    </row>
    <row r="217" spans="1:6" ht="21" customHeight="1" x14ac:dyDescent="0.25">
      <c r="A217" s="154" t="s">
        <v>290</v>
      </c>
      <c r="B217" s="150">
        <v>30</v>
      </c>
      <c r="C217" s="151">
        <v>0</v>
      </c>
      <c r="D217" s="152">
        <v>0</v>
      </c>
      <c r="E217" s="144" t="s">
        <v>289</v>
      </c>
      <c r="F217" s="153"/>
    </row>
    <row r="218" spans="1:6" ht="21" customHeight="1" x14ac:dyDescent="0.25">
      <c r="A218" s="154" t="s">
        <v>290</v>
      </c>
      <c r="B218" s="150"/>
      <c r="C218" s="151">
        <v>0</v>
      </c>
      <c r="D218" s="152">
        <v>0</v>
      </c>
      <c r="E218" s="144" t="s">
        <v>289</v>
      </c>
      <c r="F218" s="153"/>
    </row>
    <row r="219" spans="1:6" ht="21" customHeight="1" x14ac:dyDescent="0.25">
      <c r="A219" s="149" t="s">
        <v>277</v>
      </c>
      <c r="B219" s="150">
        <v>30</v>
      </c>
      <c r="C219" s="151">
        <v>0.19</v>
      </c>
      <c r="D219" s="152" t="s">
        <v>150</v>
      </c>
      <c r="E219" s="144" t="s">
        <v>82</v>
      </c>
      <c r="F219" s="153"/>
    </row>
    <row r="220" spans="1:6" ht="21" customHeight="1" x14ac:dyDescent="0.25">
      <c r="A220" s="154" t="s">
        <v>508</v>
      </c>
      <c r="B220" s="150">
        <v>10</v>
      </c>
      <c r="C220" s="151">
        <v>0.19</v>
      </c>
      <c r="D220" s="152" t="s">
        <v>150</v>
      </c>
      <c r="E220" s="144" t="s">
        <v>509</v>
      </c>
      <c r="F220" s="153"/>
    </row>
    <row r="221" spans="1:6" ht="21" customHeight="1" x14ac:dyDescent="0.25">
      <c r="A221" s="154" t="s">
        <v>510</v>
      </c>
      <c r="B221" s="150">
        <v>60</v>
      </c>
      <c r="C221" s="151">
        <v>0.19</v>
      </c>
      <c r="D221" s="152">
        <v>0</v>
      </c>
      <c r="E221" s="144"/>
      <c r="F221" s="153"/>
    </row>
    <row r="222" spans="1:6" ht="21" customHeight="1" x14ac:dyDescent="0.25">
      <c r="A222" s="149" t="s">
        <v>13</v>
      </c>
      <c r="B222" s="150">
        <v>30</v>
      </c>
      <c r="C222" s="151">
        <v>0.19</v>
      </c>
      <c r="D222" s="152" t="s">
        <v>150</v>
      </c>
      <c r="E222" s="144" t="s">
        <v>270</v>
      </c>
      <c r="F222" s="153" t="s">
        <v>208</v>
      </c>
    </row>
    <row r="223" spans="1:6" ht="21" customHeight="1" x14ac:dyDescent="0.25">
      <c r="A223" s="154" t="s">
        <v>511</v>
      </c>
      <c r="B223" s="150">
        <v>30</v>
      </c>
      <c r="C223" s="151">
        <v>0.19</v>
      </c>
      <c r="D223" s="152" t="s">
        <v>150</v>
      </c>
      <c r="E223" s="144" t="s">
        <v>512</v>
      </c>
      <c r="F223" s="153" t="s">
        <v>513</v>
      </c>
    </row>
    <row r="224" spans="1:6" ht="21" customHeight="1" x14ac:dyDescent="0.25">
      <c r="A224" s="154" t="s">
        <v>514</v>
      </c>
      <c r="B224" s="150">
        <v>30</v>
      </c>
      <c r="C224" s="151">
        <v>0.19</v>
      </c>
      <c r="D224" s="152" t="s">
        <v>150</v>
      </c>
      <c r="E224" s="144" t="s">
        <v>515</v>
      </c>
      <c r="F224" s="153"/>
    </row>
    <row r="225" spans="1:6" ht="21" customHeight="1" x14ac:dyDescent="0.25">
      <c r="A225" s="154" t="s">
        <v>516</v>
      </c>
      <c r="B225" s="150">
        <v>0</v>
      </c>
      <c r="C225" s="151">
        <v>0.19</v>
      </c>
      <c r="D225" s="152" t="s">
        <v>190</v>
      </c>
      <c r="E225" s="144" t="s">
        <v>517</v>
      </c>
      <c r="F225" s="153"/>
    </row>
    <row r="226" spans="1:6" ht="21" customHeight="1" x14ac:dyDescent="0.25">
      <c r="A226" s="154" t="s">
        <v>516</v>
      </c>
      <c r="B226" s="150">
        <v>30</v>
      </c>
      <c r="C226" s="151">
        <v>0.19</v>
      </c>
      <c r="D226" s="152" t="s">
        <v>150</v>
      </c>
      <c r="E226" s="144"/>
      <c r="F226" s="153"/>
    </row>
    <row r="227" spans="1:6" ht="21" customHeight="1" x14ac:dyDescent="0.25">
      <c r="A227" s="154" t="s">
        <v>518</v>
      </c>
      <c r="B227" s="150">
        <v>30</v>
      </c>
      <c r="C227" s="151">
        <v>0.19</v>
      </c>
      <c r="D227" s="152" t="s">
        <v>150</v>
      </c>
      <c r="E227" s="144" t="s">
        <v>74</v>
      </c>
      <c r="F227" s="153"/>
    </row>
    <row r="228" spans="1:6" ht="21" customHeight="1" x14ac:dyDescent="0.25">
      <c r="A228" s="154" t="s">
        <v>652</v>
      </c>
      <c r="B228" s="150">
        <v>0</v>
      </c>
      <c r="C228" s="151">
        <v>0.19</v>
      </c>
      <c r="D228" s="152" t="s">
        <v>150</v>
      </c>
      <c r="E228" s="144" t="s">
        <v>653</v>
      </c>
      <c r="F228" s="153"/>
    </row>
    <row r="229" spans="1:6" ht="21" customHeight="1" x14ac:dyDescent="0.25">
      <c r="A229" s="154" t="s">
        <v>519</v>
      </c>
      <c r="B229" s="150">
        <v>10</v>
      </c>
      <c r="C229" s="151">
        <v>0.19</v>
      </c>
      <c r="D229" s="152" t="s">
        <v>153</v>
      </c>
      <c r="E229" s="144" t="s">
        <v>520</v>
      </c>
      <c r="F229" s="153"/>
    </row>
    <row r="230" spans="1:6" ht="21" customHeight="1" x14ac:dyDescent="0.25">
      <c r="A230" s="154" t="s">
        <v>521</v>
      </c>
      <c r="B230" s="150">
        <v>30</v>
      </c>
      <c r="C230" s="151">
        <v>0.19</v>
      </c>
      <c r="D230" s="152">
        <v>0</v>
      </c>
      <c r="E230" s="144"/>
      <c r="F230" s="153"/>
    </row>
    <row r="231" spans="1:6" ht="21" customHeight="1" x14ac:dyDescent="0.25">
      <c r="A231" s="154" t="s">
        <v>522</v>
      </c>
      <c r="B231" s="150">
        <v>30</v>
      </c>
      <c r="C231" s="151">
        <v>0.19</v>
      </c>
      <c r="D231" s="152" t="s">
        <v>150</v>
      </c>
      <c r="E231" s="144" t="s">
        <v>523</v>
      </c>
      <c r="F231" s="153"/>
    </row>
    <row r="232" spans="1:6" ht="21" customHeight="1" x14ac:dyDescent="0.25">
      <c r="A232" s="154" t="s">
        <v>524</v>
      </c>
      <c r="B232" s="150">
        <v>0</v>
      </c>
      <c r="C232" s="151"/>
      <c r="D232" s="152"/>
      <c r="E232" s="144"/>
      <c r="F232" s="153"/>
    </row>
    <row r="233" spans="1:6" ht="21" customHeight="1" x14ac:dyDescent="0.25">
      <c r="A233" s="149" t="s">
        <v>191</v>
      </c>
      <c r="B233" s="150">
        <v>30</v>
      </c>
      <c r="C233" s="151">
        <v>0.19</v>
      </c>
      <c r="D233" s="152">
        <v>0</v>
      </c>
      <c r="E233" s="144" t="s">
        <v>80</v>
      </c>
      <c r="F233" s="153"/>
    </row>
    <row r="234" spans="1:6" ht="21" customHeight="1" x14ac:dyDescent="0.25">
      <c r="A234" s="154" t="s">
        <v>525</v>
      </c>
      <c r="B234" s="150">
        <v>0</v>
      </c>
      <c r="C234" s="151">
        <v>0.19</v>
      </c>
      <c r="D234" s="152" t="s">
        <v>190</v>
      </c>
      <c r="E234" s="144" t="s">
        <v>526</v>
      </c>
      <c r="F234" s="153"/>
    </row>
    <row r="235" spans="1:6" ht="21" customHeight="1" x14ac:dyDescent="0.25">
      <c r="A235" s="154" t="s">
        <v>527</v>
      </c>
      <c r="B235" s="150">
        <v>30</v>
      </c>
      <c r="C235" s="151">
        <v>0.19</v>
      </c>
      <c r="D235" s="152" t="s">
        <v>150</v>
      </c>
      <c r="E235" s="144" t="s">
        <v>370</v>
      </c>
      <c r="F235" s="153"/>
    </row>
    <row r="236" spans="1:6" ht="21" customHeight="1" x14ac:dyDescent="0.25">
      <c r="A236" s="154" t="s">
        <v>641</v>
      </c>
      <c r="B236" s="150">
        <v>0</v>
      </c>
      <c r="C236" s="151"/>
      <c r="D236" s="152"/>
      <c r="E236" s="144"/>
      <c r="F236" s="153"/>
    </row>
    <row r="237" spans="1:6" ht="21" customHeight="1" x14ac:dyDescent="0.25">
      <c r="A237" s="154" t="s">
        <v>528</v>
      </c>
      <c r="B237" s="150">
        <v>30</v>
      </c>
      <c r="C237" s="151">
        <v>0</v>
      </c>
      <c r="D237" s="152" t="s">
        <v>149</v>
      </c>
      <c r="E237" s="144" t="s">
        <v>374</v>
      </c>
      <c r="F237" s="153"/>
    </row>
    <row r="238" spans="1:6" ht="21" customHeight="1" x14ac:dyDescent="0.25">
      <c r="A238" s="154" t="s">
        <v>656</v>
      </c>
      <c r="B238" s="150">
        <v>0</v>
      </c>
      <c r="C238" s="151">
        <v>0.19</v>
      </c>
      <c r="D238" s="152" t="s">
        <v>150</v>
      </c>
      <c r="E238" s="144" t="s">
        <v>657</v>
      </c>
      <c r="F238" s="153"/>
    </row>
    <row r="239" spans="1:6" ht="21" customHeight="1" x14ac:dyDescent="0.25">
      <c r="A239" s="154" t="s">
        <v>529</v>
      </c>
      <c r="B239" s="150">
        <v>0</v>
      </c>
      <c r="C239" s="151">
        <v>0</v>
      </c>
      <c r="D239" s="152">
        <v>0</v>
      </c>
      <c r="E239" s="144"/>
      <c r="F239" s="153" t="s">
        <v>530</v>
      </c>
    </row>
    <row r="240" spans="1:6" ht="21" customHeight="1" x14ac:dyDescent="0.25">
      <c r="A240" s="149" t="s">
        <v>26</v>
      </c>
      <c r="B240" s="150">
        <v>30</v>
      </c>
      <c r="C240" s="151">
        <v>0.19</v>
      </c>
      <c r="D240" s="152" t="s">
        <v>150</v>
      </c>
      <c r="E240" s="144" t="s">
        <v>86</v>
      </c>
      <c r="F240" s="153" t="s">
        <v>201</v>
      </c>
    </row>
    <row r="241" spans="1:6" ht="21" customHeight="1" x14ac:dyDescent="0.25">
      <c r="A241" s="154" t="s">
        <v>531</v>
      </c>
      <c r="B241" s="150">
        <v>30</v>
      </c>
      <c r="C241" s="151">
        <v>0.19</v>
      </c>
      <c r="D241" s="152" t="s">
        <v>150</v>
      </c>
      <c r="E241" s="144" t="s">
        <v>86</v>
      </c>
      <c r="F241" s="153"/>
    </row>
    <row r="242" spans="1:6" ht="21" customHeight="1" x14ac:dyDescent="0.25">
      <c r="A242" s="154" t="s">
        <v>532</v>
      </c>
      <c r="B242" s="150">
        <v>30</v>
      </c>
      <c r="C242" s="151">
        <v>0.19</v>
      </c>
      <c r="D242" s="152" t="s">
        <v>150</v>
      </c>
      <c r="E242" s="144" t="s">
        <v>533</v>
      </c>
      <c r="F242" s="153"/>
    </row>
    <row r="243" spans="1:6" ht="21" customHeight="1" x14ac:dyDescent="0.25">
      <c r="A243" s="154" t="s">
        <v>534</v>
      </c>
      <c r="B243" s="150">
        <v>30</v>
      </c>
      <c r="C243" s="151">
        <v>0.19</v>
      </c>
      <c r="D243" s="152" t="s">
        <v>150</v>
      </c>
      <c r="E243" s="144" t="s">
        <v>376</v>
      </c>
      <c r="F243" s="153" t="s">
        <v>377</v>
      </c>
    </row>
    <row r="244" spans="1:6" ht="21" customHeight="1" x14ac:dyDescent="0.25">
      <c r="A244" s="154" t="s">
        <v>535</v>
      </c>
      <c r="B244" s="150">
        <v>30</v>
      </c>
      <c r="C244" s="151">
        <v>0.19</v>
      </c>
      <c r="D244" s="152" t="s">
        <v>150</v>
      </c>
      <c r="E244" s="144" t="s">
        <v>376</v>
      </c>
      <c r="F244" s="153" t="s">
        <v>377</v>
      </c>
    </row>
    <row r="245" spans="1:6" ht="21" customHeight="1" x14ac:dyDescent="0.25">
      <c r="A245" s="154" t="s">
        <v>644</v>
      </c>
      <c r="B245" s="150">
        <v>0</v>
      </c>
      <c r="C245" s="151">
        <v>0.19</v>
      </c>
      <c r="D245" s="152" t="s">
        <v>150</v>
      </c>
      <c r="E245" s="144" t="s">
        <v>645</v>
      </c>
      <c r="F245" s="153"/>
    </row>
    <row r="246" spans="1:6" ht="21" customHeight="1" x14ac:dyDescent="0.25">
      <c r="A246" s="154" t="s">
        <v>536</v>
      </c>
      <c r="B246" s="150">
        <v>30</v>
      </c>
      <c r="C246" s="151">
        <v>0.19</v>
      </c>
      <c r="D246" s="152" t="s">
        <v>150</v>
      </c>
      <c r="E246" s="144" t="s">
        <v>537</v>
      </c>
      <c r="F246" s="153"/>
    </row>
    <row r="247" spans="1:6" ht="21" customHeight="1" x14ac:dyDescent="0.25">
      <c r="A247" s="149" t="s">
        <v>102</v>
      </c>
      <c r="B247" s="150">
        <v>30</v>
      </c>
      <c r="C247" s="151">
        <v>0.19</v>
      </c>
      <c r="D247" s="152" t="s">
        <v>150</v>
      </c>
      <c r="E247" s="144" t="s">
        <v>245</v>
      </c>
      <c r="F247" s="153"/>
    </row>
    <row r="248" spans="1:6" ht="21" customHeight="1" x14ac:dyDescent="0.25">
      <c r="A248" s="154" t="s">
        <v>538</v>
      </c>
      <c r="B248" s="150">
        <v>30</v>
      </c>
      <c r="C248" s="151">
        <v>0.19</v>
      </c>
      <c r="D248" s="152" t="s">
        <v>150</v>
      </c>
      <c r="E248" s="144"/>
      <c r="F248" s="153"/>
    </row>
    <row r="249" spans="1:6" ht="21" customHeight="1" x14ac:dyDescent="0.25">
      <c r="A249" s="149" t="s">
        <v>18</v>
      </c>
      <c r="B249" s="150">
        <v>60</v>
      </c>
      <c r="C249" s="151">
        <v>0</v>
      </c>
      <c r="D249" s="152">
        <v>0</v>
      </c>
      <c r="E249" s="144" t="s">
        <v>90</v>
      </c>
      <c r="F249" s="153"/>
    </row>
    <row r="250" spans="1:6" ht="21" customHeight="1" x14ac:dyDescent="0.25">
      <c r="A250" s="154" t="s">
        <v>539</v>
      </c>
      <c r="B250" s="150">
        <v>30</v>
      </c>
      <c r="C250" s="151">
        <v>0.19</v>
      </c>
      <c r="D250" s="152" t="s">
        <v>150</v>
      </c>
      <c r="E250" s="144" t="s">
        <v>540</v>
      </c>
      <c r="F250" s="153"/>
    </row>
    <row r="251" spans="1:6" ht="21" customHeight="1" x14ac:dyDescent="0.25">
      <c r="A251" s="154" t="s">
        <v>541</v>
      </c>
      <c r="B251" s="150">
        <v>30</v>
      </c>
      <c r="C251" s="151">
        <v>0.19</v>
      </c>
      <c r="D251" s="152" t="s">
        <v>150</v>
      </c>
      <c r="E251" s="144" t="s">
        <v>540</v>
      </c>
      <c r="F251" s="153"/>
    </row>
    <row r="252" spans="1:6" ht="21" customHeight="1" x14ac:dyDescent="0.25">
      <c r="A252" s="149" t="s">
        <v>20</v>
      </c>
      <c r="B252" s="150">
        <v>90</v>
      </c>
      <c r="C252" s="151">
        <v>0.19</v>
      </c>
      <c r="D252" s="152" t="s">
        <v>150</v>
      </c>
      <c r="E252" s="144" t="s">
        <v>96</v>
      </c>
      <c r="F252" s="153"/>
    </row>
    <row r="253" spans="1:6" ht="21" customHeight="1" x14ac:dyDescent="0.25">
      <c r="A253" s="149" t="s">
        <v>164</v>
      </c>
      <c r="B253" s="150">
        <v>30</v>
      </c>
      <c r="C253" s="151">
        <v>0</v>
      </c>
      <c r="D253" s="152">
        <v>0</v>
      </c>
      <c r="E253" s="144" t="s">
        <v>240</v>
      </c>
      <c r="F253" s="153"/>
    </row>
    <row r="254" spans="1:6" ht="21" customHeight="1" x14ac:dyDescent="0.25">
      <c r="A254" s="154" t="s">
        <v>542</v>
      </c>
      <c r="B254" s="150">
        <v>30</v>
      </c>
      <c r="C254" s="151">
        <v>0.19</v>
      </c>
      <c r="D254" s="152">
        <v>0</v>
      </c>
      <c r="E254" s="144" t="s">
        <v>41</v>
      </c>
      <c r="F254" s="153"/>
    </row>
    <row r="255" spans="1:6" ht="21" customHeight="1" x14ac:dyDescent="0.25">
      <c r="A255" s="149" t="s">
        <v>197</v>
      </c>
      <c r="B255" s="150">
        <v>0</v>
      </c>
      <c r="C255" s="151">
        <v>0</v>
      </c>
      <c r="D255" s="152">
        <v>0</v>
      </c>
      <c r="E255" s="144" t="s">
        <v>199</v>
      </c>
      <c r="F255" s="155" t="s">
        <v>198</v>
      </c>
    </row>
    <row r="256" spans="1:6" ht="21" customHeight="1" x14ac:dyDescent="0.25">
      <c r="A256" s="154" t="s">
        <v>543</v>
      </c>
      <c r="B256" s="150">
        <v>30</v>
      </c>
      <c r="C256" s="151">
        <v>0</v>
      </c>
      <c r="D256" s="152">
        <v>0</v>
      </c>
      <c r="E256" s="144"/>
      <c r="F256" s="153"/>
    </row>
    <row r="257" spans="1:6" ht="21" customHeight="1" x14ac:dyDescent="0.25">
      <c r="A257" s="154" t="s">
        <v>544</v>
      </c>
      <c r="B257" s="150">
        <v>30</v>
      </c>
      <c r="C257" s="151">
        <v>0</v>
      </c>
      <c r="D257" s="152">
        <v>0</v>
      </c>
      <c r="E257" s="144" t="s">
        <v>249</v>
      </c>
      <c r="F257" s="153"/>
    </row>
    <row r="258" spans="1:6" ht="21" customHeight="1" x14ac:dyDescent="0.25">
      <c r="A258" s="154" t="s">
        <v>642</v>
      </c>
      <c r="B258" s="150">
        <v>30</v>
      </c>
      <c r="C258" s="151">
        <v>0</v>
      </c>
      <c r="D258" s="152">
        <v>0</v>
      </c>
      <c r="E258" s="144" t="s">
        <v>249</v>
      </c>
      <c r="F258" s="153"/>
    </row>
    <row r="259" spans="1:6" ht="21" customHeight="1" x14ac:dyDescent="0.25">
      <c r="A259" s="154" t="s">
        <v>545</v>
      </c>
      <c r="B259" s="150">
        <v>30</v>
      </c>
      <c r="C259" s="151">
        <v>0</v>
      </c>
      <c r="D259" s="152">
        <v>0</v>
      </c>
      <c r="E259" s="144" t="s">
        <v>282</v>
      </c>
      <c r="F259" s="153"/>
    </row>
    <row r="260" spans="1:6" ht="21" customHeight="1" x14ac:dyDescent="0.25">
      <c r="A260" s="154" t="s">
        <v>546</v>
      </c>
      <c r="B260" s="150">
        <v>30</v>
      </c>
      <c r="C260" s="151">
        <v>0</v>
      </c>
      <c r="D260" s="152">
        <v>0</v>
      </c>
      <c r="E260" s="144" t="s">
        <v>249</v>
      </c>
      <c r="F260" s="153"/>
    </row>
    <row r="261" spans="1:6" ht="21" customHeight="1" x14ac:dyDescent="0.25">
      <c r="A261" s="149" t="s">
        <v>294</v>
      </c>
      <c r="B261" s="150">
        <v>30</v>
      </c>
      <c r="C261" s="151">
        <v>0</v>
      </c>
      <c r="D261" s="152">
        <v>0</v>
      </c>
      <c r="E261" s="144" t="s">
        <v>249</v>
      </c>
      <c r="F261" s="153"/>
    </row>
    <row r="262" spans="1:6" ht="21" customHeight="1" x14ac:dyDescent="0.25">
      <c r="A262" s="154" t="s">
        <v>547</v>
      </c>
      <c r="B262" s="150">
        <v>30</v>
      </c>
      <c r="C262" s="151">
        <v>0</v>
      </c>
      <c r="D262" s="152">
        <v>0</v>
      </c>
      <c r="E262" s="144" t="s">
        <v>249</v>
      </c>
      <c r="F262" s="153"/>
    </row>
    <row r="263" spans="1:6" ht="21" customHeight="1" x14ac:dyDescent="0.25">
      <c r="A263" s="154" t="s">
        <v>291</v>
      </c>
      <c r="B263" s="150">
        <v>30</v>
      </c>
      <c r="C263" s="151">
        <v>0</v>
      </c>
      <c r="D263" s="152">
        <v>0</v>
      </c>
      <c r="E263" s="144" t="s">
        <v>249</v>
      </c>
      <c r="F263" s="153"/>
    </row>
    <row r="264" spans="1:6" ht="21" customHeight="1" x14ac:dyDescent="0.25">
      <c r="A264" s="149" t="s">
        <v>37</v>
      </c>
      <c r="B264" s="150">
        <v>30</v>
      </c>
      <c r="C264" s="151">
        <v>0</v>
      </c>
      <c r="D264" s="152">
        <v>0</v>
      </c>
      <c r="E264" s="144" t="s">
        <v>282</v>
      </c>
      <c r="F264" s="153"/>
    </row>
    <row r="265" spans="1:6" ht="21" customHeight="1" x14ac:dyDescent="0.25">
      <c r="A265" s="149" t="s">
        <v>27</v>
      </c>
      <c r="B265" s="150">
        <v>30</v>
      </c>
      <c r="C265" s="151">
        <v>0.19</v>
      </c>
      <c r="D265" s="152" t="s">
        <v>150</v>
      </c>
      <c r="E265" s="144" t="s">
        <v>76</v>
      </c>
      <c r="F265" s="153"/>
    </row>
    <row r="266" spans="1:6" ht="21" customHeight="1" x14ac:dyDescent="0.25">
      <c r="A266" s="154" t="s">
        <v>548</v>
      </c>
      <c r="B266" s="150">
        <v>30</v>
      </c>
      <c r="C266" s="151">
        <v>0.19</v>
      </c>
      <c r="D266" s="152" t="s">
        <v>150</v>
      </c>
      <c r="E266" s="144" t="s">
        <v>549</v>
      </c>
      <c r="F266" s="153"/>
    </row>
    <row r="267" spans="1:6" ht="21" customHeight="1" x14ac:dyDescent="0.25">
      <c r="A267" s="154" t="s">
        <v>550</v>
      </c>
      <c r="B267" s="150">
        <v>30</v>
      </c>
      <c r="C267" s="151">
        <v>0.19</v>
      </c>
      <c r="D267" s="152">
        <v>0</v>
      </c>
      <c r="E267" s="144" t="s">
        <v>551</v>
      </c>
      <c r="F267" s="153"/>
    </row>
    <row r="268" spans="1:6" ht="21" customHeight="1" x14ac:dyDescent="0.25">
      <c r="A268" s="154" t="s">
        <v>552</v>
      </c>
      <c r="B268" s="150">
        <v>30</v>
      </c>
      <c r="C268" s="151">
        <v>0.19</v>
      </c>
      <c r="D268" s="152" t="s">
        <v>152</v>
      </c>
      <c r="E268" s="144" t="s">
        <v>553</v>
      </c>
      <c r="F268" s="153"/>
    </row>
    <row r="269" spans="1:6" ht="21" customHeight="1" x14ac:dyDescent="0.25">
      <c r="A269" s="149" t="s">
        <v>19</v>
      </c>
      <c r="B269" s="150">
        <v>30</v>
      </c>
      <c r="C269" s="151">
        <v>0.19</v>
      </c>
      <c r="D269" s="152" t="s">
        <v>150</v>
      </c>
      <c r="E269" s="144" t="s">
        <v>182</v>
      </c>
      <c r="F269" s="153"/>
    </row>
    <row r="270" spans="1:6" ht="21" customHeight="1" x14ac:dyDescent="0.25">
      <c r="A270" s="154" t="s">
        <v>554</v>
      </c>
      <c r="B270" s="150">
        <v>30</v>
      </c>
      <c r="C270" s="151">
        <v>0.19</v>
      </c>
      <c r="D270" s="152" t="s">
        <v>150</v>
      </c>
      <c r="E270" s="144"/>
      <c r="F270" s="153"/>
    </row>
    <row r="271" spans="1:6" ht="21" customHeight="1" x14ac:dyDescent="0.25">
      <c r="A271" s="154" t="s">
        <v>555</v>
      </c>
      <c r="B271" s="150">
        <v>30</v>
      </c>
      <c r="C271" s="151">
        <v>0.19</v>
      </c>
      <c r="D271" s="152" t="s">
        <v>150</v>
      </c>
      <c r="E271" s="144" t="s">
        <v>376</v>
      </c>
      <c r="F271" s="153"/>
    </row>
    <row r="272" spans="1:6" ht="21" customHeight="1" x14ac:dyDescent="0.25">
      <c r="A272" s="154" t="s">
        <v>556</v>
      </c>
      <c r="B272" s="150">
        <v>60</v>
      </c>
      <c r="C272" s="151">
        <v>0</v>
      </c>
      <c r="D272" s="152">
        <v>0</v>
      </c>
      <c r="E272" s="144"/>
      <c r="F272" s="153"/>
    </row>
    <row r="273" spans="1:6" ht="21" customHeight="1" x14ac:dyDescent="0.25">
      <c r="A273" s="154" t="s">
        <v>557</v>
      </c>
      <c r="B273" s="150">
        <v>30</v>
      </c>
      <c r="C273" s="151">
        <v>0.19</v>
      </c>
      <c r="D273" s="152" t="s">
        <v>150</v>
      </c>
      <c r="E273" s="144"/>
      <c r="F273" s="153"/>
    </row>
    <row r="274" spans="1:6" ht="21" customHeight="1" x14ac:dyDescent="0.25">
      <c r="A274" s="154" t="s">
        <v>558</v>
      </c>
      <c r="B274" s="150">
        <v>30</v>
      </c>
      <c r="C274" s="151">
        <v>0.19</v>
      </c>
      <c r="D274" s="152" t="s">
        <v>150</v>
      </c>
      <c r="E274" s="144" t="s">
        <v>41</v>
      </c>
      <c r="F274" s="153"/>
    </row>
    <row r="275" spans="1:6" ht="21" customHeight="1" x14ac:dyDescent="0.25">
      <c r="A275" s="149" t="s">
        <v>131</v>
      </c>
      <c r="B275" s="150">
        <v>30</v>
      </c>
      <c r="C275" s="151">
        <v>0.19</v>
      </c>
      <c r="D275" s="152" t="s">
        <v>150</v>
      </c>
      <c r="E275" s="144" t="s">
        <v>77</v>
      </c>
      <c r="F275" s="153"/>
    </row>
    <row r="276" spans="1:6" ht="21" customHeight="1" x14ac:dyDescent="0.25">
      <c r="A276" s="154" t="s">
        <v>559</v>
      </c>
      <c r="B276" s="150">
        <v>30</v>
      </c>
      <c r="C276" s="151">
        <v>0.19</v>
      </c>
      <c r="D276" s="152" t="s">
        <v>150</v>
      </c>
      <c r="E276" s="144" t="s">
        <v>95</v>
      </c>
      <c r="F276" s="153"/>
    </row>
    <row r="277" spans="1:6" ht="21" customHeight="1" x14ac:dyDescent="0.25">
      <c r="A277" s="149" t="s">
        <v>165</v>
      </c>
      <c r="B277" s="150">
        <v>30</v>
      </c>
      <c r="C277" s="151">
        <v>0</v>
      </c>
      <c r="D277" s="152">
        <v>0</v>
      </c>
      <c r="E277" s="144" t="s">
        <v>120</v>
      </c>
      <c r="F277" s="153"/>
    </row>
    <row r="278" spans="1:6" ht="21" customHeight="1" x14ac:dyDescent="0.25">
      <c r="A278" s="154" t="s">
        <v>560</v>
      </c>
      <c r="B278" s="150">
        <v>30</v>
      </c>
      <c r="C278" s="151">
        <v>0</v>
      </c>
      <c r="D278" s="152">
        <v>0</v>
      </c>
      <c r="E278" s="144" t="s">
        <v>41</v>
      </c>
      <c r="F278" s="153"/>
    </row>
    <row r="279" spans="1:6" ht="21" customHeight="1" x14ac:dyDescent="0.25">
      <c r="A279" s="154" t="s">
        <v>292</v>
      </c>
      <c r="B279" s="150">
        <v>30</v>
      </c>
      <c r="C279" s="151">
        <v>0.19</v>
      </c>
      <c r="D279" s="152" t="s">
        <v>159</v>
      </c>
      <c r="E279" s="144" t="s">
        <v>89</v>
      </c>
      <c r="F279" s="153"/>
    </row>
    <row r="280" spans="1:6" ht="21" customHeight="1" x14ac:dyDescent="0.25">
      <c r="A280" s="154" t="s">
        <v>561</v>
      </c>
      <c r="B280" s="150">
        <v>30</v>
      </c>
      <c r="C280" s="151">
        <v>0.19</v>
      </c>
      <c r="D280" s="152" t="s">
        <v>159</v>
      </c>
      <c r="E280" s="144" t="s">
        <v>89</v>
      </c>
      <c r="F280" s="153"/>
    </row>
    <row r="281" spans="1:6" ht="21" customHeight="1" x14ac:dyDescent="0.25">
      <c r="A281" s="154" t="s">
        <v>562</v>
      </c>
      <c r="B281" s="150">
        <v>45</v>
      </c>
      <c r="C281" s="151">
        <v>0</v>
      </c>
      <c r="D281" s="152">
        <v>0</v>
      </c>
      <c r="E281" s="144"/>
      <c r="F281" s="153"/>
    </row>
    <row r="282" spans="1:6" ht="21" customHeight="1" x14ac:dyDescent="0.25">
      <c r="A282" s="149" t="s">
        <v>12</v>
      </c>
      <c r="B282" s="150">
        <v>30</v>
      </c>
      <c r="C282" s="151">
        <v>0.19</v>
      </c>
      <c r="D282" s="152">
        <v>0</v>
      </c>
      <c r="E282" s="144" t="s">
        <v>78</v>
      </c>
      <c r="F282" s="153"/>
    </row>
    <row r="283" spans="1:6" ht="21" customHeight="1" x14ac:dyDescent="0.25">
      <c r="A283" s="154" t="s">
        <v>563</v>
      </c>
      <c r="B283" s="150">
        <v>10</v>
      </c>
      <c r="C283" s="151">
        <v>0</v>
      </c>
      <c r="D283" s="152">
        <v>0</v>
      </c>
      <c r="E283" s="144" t="s">
        <v>564</v>
      </c>
      <c r="F283" s="153"/>
    </row>
    <row r="284" spans="1:6" ht="21" customHeight="1" x14ac:dyDescent="0.25">
      <c r="A284" s="154" t="s">
        <v>565</v>
      </c>
      <c r="B284" s="150">
        <v>10</v>
      </c>
      <c r="C284" s="151">
        <v>0.19</v>
      </c>
      <c r="D284" s="152" t="s">
        <v>150</v>
      </c>
      <c r="E284" s="144" t="s">
        <v>566</v>
      </c>
      <c r="F284" s="153"/>
    </row>
    <row r="285" spans="1:6" ht="21" customHeight="1" x14ac:dyDescent="0.25">
      <c r="A285" s="154" t="s">
        <v>569</v>
      </c>
      <c r="B285" s="150">
        <v>30</v>
      </c>
      <c r="C285" s="151">
        <v>0</v>
      </c>
      <c r="D285" s="152">
        <v>0</v>
      </c>
      <c r="E285" s="144"/>
      <c r="F285" s="153"/>
    </row>
    <row r="286" spans="1:6" ht="21" customHeight="1" x14ac:dyDescent="0.25">
      <c r="A286" s="154" t="s">
        <v>567</v>
      </c>
      <c r="B286" s="150">
        <v>30</v>
      </c>
      <c r="C286" s="151">
        <v>0.19</v>
      </c>
      <c r="D286" s="152" t="s">
        <v>150</v>
      </c>
      <c r="E286" s="144" t="s">
        <v>568</v>
      </c>
      <c r="F286" s="153"/>
    </row>
    <row r="287" spans="1:6" ht="21" customHeight="1" x14ac:dyDescent="0.25">
      <c r="A287" s="154" t="s">
        <v>299</v>
      </c>
      <c r="B287" s="150">
        <v>0</v>
      </c>
      <c r="C287" s="151">
        <v>0.19</v>
      </c>
      <c r="D287" s="152" t="s">
        <v>150</v>
      </c>
      <c r="E287" s="144" t="s">
        <v>300</v>
      </c>
      <c r="F287" s="153"/>
    </row>
    <row r="288" spans="1:6" ht="21" customHeight="1" x14ac:dyDescent="0.25">
      <c r="A288" s="149" t="s">
        <v>192</v>
      </c>
      <c r="B288" s="150">
        <v>30</v>
      </c>
      <c r="C288" s="151">
        <v>0.19</v>
      </c>
      <c r="D288" s="152" t="s">
        <v>150</v>
      </c>
      <c r="E288" s="144" t="s">
        <v>79</v>
      </c>
      <c r="F288" s="153"/>
    </row>
    <row r="289" spans="1:6" ht="21" customHeight="1" x14ac:dyDescent="0.25">
      <c r="A289" s="154" t="s">
        <v>570</v>
      </c>
      <c r="B289" s="150">
        <v>30</v>
      </c>
      <c r="C289" s="151">
        <v>0.19</v>
      </c>
      <c r="D289" s="152" t="s">
        <v>150</v>
      </c>
      <c r="E289" s="144" t="s">
        <v>571</v>
      </c>
      <c r="F289" s="153" t="s">
        <v>572</v>
      </c>
    </row>
    <row r="290" spans="1:6" ht="21" customHeight="1" x14ac:dyDescent="0.25">
      <c r="A290" s="149" t="s">
        <v>14</v>
      </c>
      <c r="B290" s="150">
        <v>45</v>
      </c>
      <c r="C290" s="151">
        <v>0.19</v>
      </c>
      <c r="D290" s="152">
        <v>0</v>
      </c>
      <c r="E290" s="144" t="s">
        <v>160</v>
      </c>
      <c r="F290" s="153"/>
    </row>
    <row r="291" spans="1:6" ht="21" customHeight="1" x14ac:dyDescent="0.25">
      <c r="A291" s="154" t="s">
        <v>14</v>
      </c>
      <c r="B291" s="150">
        <v>45</v>
      </c>
      <c r="C291" s="151">
        <v>0.19</v>
      </c>
      <c r="D291" s="152">
        <v>0</v>
      </c>
      <c r="E291" s="144" t="s">
        <v>573</v>
      </c>
      <c r="F291" s="153"/>
    </row>
    <row r="292" spans="1:6" ht="21" customHeight="1" x14ac:dyDescent="0.25">
      <c r="A292" s="154" t="s">
        <v>574</v>
      </c>
      <c r="B292" s="150">
        <v>30</v>
      </c>
      <c r="C292" s="151">
        <v>0.19</v>
      </c>
      <c r="D292" s="152" t="s">
        <v>150</v>
      </c>
      <c r="E292" s="144"/>
      <c r="F292" s="153"/>
    </row>
    <row r="293" spans="1:6" ht="21" customHeight="1" x14ac:dyDescent="0.25">
      <c r="A293" s="154" t="s">
        <v>575</v>
      </c>
      <c r="B293" s="150">
        <v>30</v>
      </c>
      <c r="C293" s="151">
        <v>0.19</v>
      </c>
      <c r="D293" s="152" t="s">
        <v>152</v>
      </c>
      <c r="E293" s="144" t="s">
        <v>41</v>
      </c>
      <c r="F293" s="153"/>
    </row>
    <row r="294" spans="1:6" ht="21" customHeight="1" x14ac:dyDescent="0.25">
      <c r="A294" s="154" t="s">
        <v>576</v>
      </c>
      <c r="B294" s="150">
        <v>30</v>
      </c>
      <c r="C294" s="151">
        <v>0.19</v>
      </c>
      <c r="D294" s="152" t="s">
        <v>152</v>
      </c>
      <c r="E294" s="144" t="s">
        <v>41</v>
      </c>
      <c r="F294" s="153"/>
    </row>
    <row r="295" spans="1:6" ht="21" customHeight="1" x14ac:dyDescent="0.25">
      <c r="A295" s="154" t="s">
        <v>577</v>
      </c>
      <c r="B295" s="150">
        <v>30</v>
      </c>
      <c r="C295" s="151">
        <v>0.19</v>
      </c>
      <c r="D295" s="152" t="s">
        <v>152</v>
      </c>
      <c r="E295" s="144" t="s">
        <v>41</v>
      </c>
      <c r="F295" s="153"/>
    </row>
    <row r="296" spans="1:6" ht="21" customHeight="1" x14ac:dyDescent="0.25">
      <c r="A296" s="154" t="s">
        <v>578</v>
      </c>
      <c r="B296" s="150">
        <v>30</v>
      </c>
      <c r="C296" s="151">
        <v>0.19</v>
      </c>
      <c r="D296" s="152" t="s">
        <v>152</v>
      </c>
      <c r="E296" s="144" t="s">
        <v>41</v>
      </c>
      <c r="F296" s="153"/>
    </row>
    <row r="297" spans="1:6" ht="21" customHeight="1" x14ac:dyDescent="0.25">
      <c r="A297" s="154" t="s">
        <v>579</v>
      </c>
      <c r="B297" s="150">
        <v>30</v>
      </c>
      <c r="C297" s="151">
        <v>0.19</v>
      </c>
      <c r="D297" s="152" t="s">
        <v>152</v>
      </c>
      <c r="E297" s="144" t="s">
        <v>41</v>
      </c>
      <c r="F297" s="153"/>
    </row>
    <row r="298" spans="1:6" ht="21" customHeight="1" x14ac:dyDescent="0.25">
      <c r="A298" s="154" t="s">
        <v>580</v>
      </c>
      <c r="B298" s="150">
        <v>30</v>
      </c>
      <c r="C298" s="151">
        <v>0.19</v>
      </c>
      <c r="D298" s="152" t="s">
        <v>152</v>
      </c>
      <c r="E298" s="144" t="s">
        <v>41</v>
      </c>
      <c r="F298" s="153"/>
    </row>
    <row r="299" spans="1:6" ht="21" customHeight="1" x14ac:dyDescent="0.25">
      <c r="A299" s="154" t="s">
        <v>581</v>
      </c>
      <c r="B299" s="150">
        <v>30</v>
      </c>
      <c r="C299" s="151">
        <v>0.19</v>
      </c>
      <c r="D299" s="152" t="s">
        <v>152</v>
      </c>
      <c r="E299" s="144" t="s">
        <v>41</v>
      </c>
      <c r="F299" s="153"/>
    </row>
    <row r="300" spans="1:6" ht="21" customHeight="1" x14ac:dyDescent="0.25">
      <c r="A300" s="154" t="s">
        <v>274</v>
      </c>
      <c r="B300" s="150">
        <v>0</v>
      </c>
      <c r="C300" s="151">
        <v>0.19</v>
      </c>
      <c r="D300" s="152"/>
      <c r="E300" s="144"/>
      <c r="F300" s="153"/>
    </row>
    <row r="301" spans="1:6" ht="21" customHeight="1" x14ac:dyDescent="0.25">
      <c r="A301" s="154" t="s">
        <v>582</v>
      </c>
      <c r="B301" s="150">
        <v>18</v>
      </c>
      <c r="C301" s="151">
        <v>0</v>
      </c>
      <c r="D301" s="152">
        <v>0</v>
      </c>
      <c r="E301" s="144" t="s">
        <v>583</v>
      </c>
      <c r="F301" s="153"/>
    </row>
    <row r="302" spans="1:6" ht="21" customHeight="1" x14ac:dyDescent="0.25">
      <c r="A302" s="149" t="s">
        <v>293</v>
      </c>
      <c r="B302" s="150">
        <v>30</v>
      </c>
      <c r="C302" s="151">
        <v>0</v>
      </c>
      <c r="D302" s="152">
        <v>0</v>
      </c>
      <c r="E302" s="144" t="s">
        <v>110</v>
      </c>
      <c r="F302" s="153"/>
    </row>
    <row r="303" spans="1:6" ht="21" customHeight="1" x14ac:dyDescent="0.25">
      <c r="A303" s="154" t="s">
        <v>584</v>
      </c>
      <c r="B303" s="150">
        <v>20</v>
      </c>
      <c r="C303" s="151">
        <v>0</v>
      </c>
      <c r="D303" s="152" t="s">
        <v>149</v>
      </c>
      <c r="E303" s="144" t="s">
        <v>585</v>
      </c>
      <c r="F303" s="153"/>
    </row>
    <row r="304" spans="1:6" ht="21" customHeight="1" x14ac:dyDescent="0.25">
      <c r="A304" s="154" t="s">
        <v>586</v>
      </c>
      <c r="B304" s="150">
        <v>20</v>
      </c>
      <c r="C304" s="151">
        <v>0</v>
      </c>
      <c r="D304" s="152" t="s">
        <v>149</v>
      </c>
      <c r="E304" s="144" t="s">
        <v>585</v>
      </c>
      <c r="F304" s="153"/>
    </row>
    <row r="305" spans="1:6" ht="21" customHeight="1" x14ac:dyDescent="0.25">
      <c r="A305" s="154" t="s">
        <v>587</v>
      </c>
      <c r="B305" s="150">
        <v>20</v>
      </c>
      <c r="C305" s="151">
        <v>0</v>
      </c>
      <c r="D305" s="152" t="s">
        <v>149</v>
      </c>
      <c r="E305" s="144" t="s">
        <v>585</v>
      </c>
      <c r="F305" s="153"/>
    </row>
    <row r="306" spans="1:6" ht="21" customHeight="1" x14ac:dyDescent="0.25">
      <c r="A306" s="154" t="s">
        <v>588</v>
      </c>
      <c r="B306" s="150">
        <v>20</v>
      </c>
      <c r="C306" s="151">
        <v>0</v>
      </c>
      <c r="D306" s="152" t="s">
        <v>149</v>
      </c>
      <c r="E306" s="144" t="s">
        <v>585</v>
      </c>
      <c r="F306" s="153"/>
    </row>
    <row r="307" spans="1:6" ht="21" customHeight="1" x14ac:dyDescent="0.25">
      <c r="A307" s="154" t="s">
        <v>589</v>
      </c>
      <c r="B307" s="150">
        <v>20</v>
      </c>
      <c r="C307" s="151">
        <v>0.19</v>
      </c>
      <c r="D307" s="152" t="s">
        <v>153</v>
      </c>
      <c r="E307" s="144" t="s">
        <v>585</v>
      </c>
      <c r="F307" s="153"/>
    </row>
    <row r="308" spans="1:6" ht="21" customHeight="1" x14ac:dyDescent="0.25">
      <c r="A308" s="154" t="s">
        <v>590</v>
      </c>
      <c r="B308" s="150">
        <v>20</v>
      </c>
      <c r="C308" s="151">
        <v>0.19</v>
      </c>
      <c r="D308" s="152" t="s">
        <v>153</v>
      </c>
      <c r="E308" s="144" t="s">
        <v>585</v>
      </c>
      <c r="F308" s="153"/>
    </row>
    <row r="309" spans="1:6" ht="21" customHeight="1" x14ac:dyDescent="0.25">
      <c r="A309" s="154" t="s">
        <v>591</v>
      </c>
      <c r="B309" s="150">
        <v>20</v>
      </c>
      <c r="C309" s="151">
        <v>0.19</v>
      </c>
      <c r="D309" s="152" t="s">
        <v>153</v>
      </c>
      <c r="E309" s="144" t="s">
        <v>585</v>
      </c>
      <c r="F309" s="153"/>
    </row>
    <row r="310" spans="1:6" ht="21" customHeight="1" x14ac:dyDescent="0.25">
      <c r="A310" s="149" t="s">
        <v>166</v>
      </c>
      <c r="B310" s="150">
        <v>30</v>
      </c>
      <c r="C310" s="151">
        <v>0</v>
      </c>
      <c r="D310" s="152" t="s">
        <v>151</v>
      </c>
      <c r="E310" s="144" t="s">
        <v>97</v>
      </c>
      <c r="F310" s="153"/>
    </row>
    <row r="311" spans="1:6" ht="21" customHeight="1" x14ac:dyDescent="0.25">
      <c r="A311" s="149" t="s">
        <v>93</v>
      </c>
      <c r="B311" s="150">
        <v>30</v>
      </c>
      <c r="C311" s="151">
        <v>0.19</v>
      </c>
      <c r="D311" s="152">
        <v>0</v>
      </c>
      <c r="E311" s="144" t="s">
        <v>101</v>
      </c>
      <c r="F311" s="153"/>
    </row>
    <row r="312" spans="1:6" ht="21" customHeight="1" x14ac:dyDescent="0.25">
      <c r="A312" s="154" t="s">
        <v>93</v>
      </c>
      <c r="B312" s="150">
        <v>30</v>
      </c>
      <c r="C312" s="151">
        <v>0.19</v>
      </c>
      <c r="D312" s="152">
        <v>0</v>
      </c>
      <c r="E312" s="144" t="s">
        <v>592</v>
      </c>
      <c r="F312" s="153"/>
    </row>
    <row r="313" spans="1:6" ht="21" customHeight="1" x14ac:dyDescent="0.25">
      <c r="A313" s="149" t="s">
        <v>195</v>
      </c>
      <c r="B313" s="150">
        <v>0</v>
      </c>
      <c r="C313" s="151">
        <v>0</v>
      </c>
      <c r="D313" s="152">
        <v>0</v>
      </c>
      <c r="E313" s="144"/>
      <c r="F313" s="153" t="s">
        <v>196</v>
      </c>
    </row>
    <row r="314" spans="1:6" ht="21" customHeight="1" x14ac:dyDescent="0.25">
      <c r="A314" s="149" t="s">
        <v>278</v>
      </c>
      <c r="B314" s="150">
        <v>30</v>
      </c>
      <c r="C314" s="151">
        <v>0.19</v>
      </c>
      <c r="D314" s="152" t="s">
        <v>150</v>
      </c>
      <c r="E314" s="144" t="s">
        <v>87</v>
      </c>
      <c r="F314" s="153"/>
    </row>
    <row r="315" spans="1:6" ht="21" customHeight="1" x14ac:dyDescent="0.25">
      <c r="A315" s="149" t="s">
        <v>231</v>
      </c>
      <c r="B315" s="150">
        <v>30</v>
      </c>
      <c r="C315" s="151">
        <v>0.19</v>
      </c>
      <c r="D315" s="152" t="s">
        <v>150</v>
      </c>
      <c r="E315" s="144" t="s">
        <v>230</v>
      </c>
      <c r="F315" s="153"/>
    </row>
    <row r="316" spans="1:6" ht="21" customHeight="1" x14ac:dyDescent="0.25">
      <c r="A316" s="154" t="s">
        <v>593</v>
      </c>
      <c r="B316" s="150">
        <v>30</v>
      </c>
      <c r="C316" s="151">
        <v>0.19</v>
      </c>
      <c r="D316" s="152" t="s">
        <v>150</v>
      </c>
      <c r="E316" s="144" t="s">
        <v>594</v>
      </c>
      <c r="F316" s="153"/>
    </row>
    <row r="317" spans="1:6" ht="21" customHeight="1" x14ac:dyDescent="0.25">
      <c r="A317" s="154" t="s">
        <v>595</v>
      </c>
      <c r="B317" s="150">
        <v>0</v>
      </c>
      <c r="C317" s="151">
        <v>0</v>
      </c>
      <c r="D317" s="152"/>
      <c r="E317" s="144"/>
      <c r="F317" s="153"/>
    </row>
    <row r="318" spans="1:6" ht="21" customHeight="1" x14ac:dyDescent="0.25">
      <c r="A318" s="154" t="s">
        <v>596</v>
      </c>
      <c r="B318" s="150">
        <v>30</v>
      </c>
      <c r="C318" s="151">
        <v>0.19</v>
      </c>
      <c r="D318" s="152" t="s">
        <v>154</v>
      </c>
      <c r="E318" s="144" t="s">
        <v>597</v>
      </c>
      <c r="F318" s="153"/>
    </row>
    <row r="319" spans="1:6" ht="21" customHeight="1" x14ac:dyDescent="0.25">
      <c r="A319" s="154" t="s">
        <v>598</v>
      </c>
      <c r="B319" s="150">
        <v>10</v>
      </c>
      <c r="C319" s="151">
        <v>0.19</v>
      </c>
      <c r="D319" s="152" t="s">
        <v>153</v>
      </c>
      <c r="E319" s="144" t="s">
        <v>599</v>
      </c>
      <c r="F319" s="153"/>
    </row>
    <row r="320" spans="1:6" ht="21" customHeight="1" x14ac:dyDescent="0.25">
      <c r="A320" s="154" t="s">
        <v>295</v>
      </c>
      <c r="B320" s="150">
        <v>0</v>
      </c>
      <c r="C320" s="151">
        <v>0.19</v>
      </c>
      <c r="D320" s="152" t="s">
        <v>190</v>
      </c>
      <c r="E320" s="144" t="s">
        <v>296</v>
      </c>
      <c r="F320" s="153"/>
    </row>
    <row r="321" spans="1:6" ht="21" customHeight="1" x14ac:dyDescent="0.25">
      <c r="A321" s="149" t="s">
        <v>132</v>
      </c>
      <c r="B321" s="150">
        <v>30</v>
      </c>
      <c r="C321" s="151">
        <v>0.19</v>
      </c>
      <c r="D321" s="152" t="s">
        <v>150</v>
      </c>
      <c r="E321" s="144"/>
      <c r="F321" s="153"/>
    </row>
    <row r="322" spans="1:6" ht="21" customHeight="1" x14ac:dyDescent="0.25">
      <c r="A322" s="154" t="s">
        <v>132</v>
      </c>
      <c r="B322" s="150">
        <v>30</v>
      </c>
      <c r="C322" s="151">
        <v>0.19</v>
      </c>
      <c r="D322" s="152" t="s">
        <v>150</v>
      </c>
      <c r="E322" s="144" t="s">
        <v>600</v>
      </c>
      <c r="F322" s="153"/>
    </row>
    <row r="323" spans="1:6" ht="21" customHeight="1" x14ac:dyDescent="0.25">
      <c r="A323" s="154" t="s">
        <v>601</v>
      </c>
      <c r="B323" s="150">
        <v>30</v>
      </c>
      <c r="C323" s="151">
        <v>0.19</v>
      </c>
      <c r="D323" s="152" t="s">
        <v>152</v>
      </c>
      <c r="E323" s="144" t="s">
        <v>41</v>
      </c>
      <c r="F323" s="153"/>
    </row>
    <row r="324" spans="1:6" ht="21" customHeight="1" x14ac:dyDescent="0.25">
      <c r="A324" s="149" t="s">
        <v>220</v>
      </c>
      <c r="B324" s="150">
        <v>30</v>
      </c>
      <c r="C324" s="151">
        <v>0.19</v>
      </c>
      <c r="D324" s="152"/>
      <c r="E324" s="144" t="s">
        <v>221</v>
      </c>
      <c r="F324" s="153"/>
    </row>
    <row r="325" spans="1:6" ht="21" customHeight="1" x14ac:dyDescent="0.25">
      <c r="A325" s="149" t="s">
        <v>167</v>
      </c>
      <c r="B325" s="150">
        <v>30</v>
      </c>
      <c r="C325" s="151">
        <v>0</v>
      </c>
      <c r="D325" s="152">
        <v>0</v>
      </c>
      <c r="E325" s="144" t="s">
        <v>185</v>
      </c>
      <c r="F325" s="153"/>
    </row>
    <row r="326" spans="1:6" ht="21" customHeight="1" x14ac:dyDescent="0.25">
      <c r="A326" s="149" t="s">
        <v>108</v>
      </c>
      <c r="B326" s="150">
        <v>30</v>
      </c>
      <c r="C326" s="151">
        <v>0.19</v>
      </c>
      <c r="D326" s="152" t="s">
        <v>150</v>
      </c>
      <c r="E326" s="144" t="s">
        <v>124</v>
      </c>
      <c r="F326" s="153"/>
    </row>
    <row r="327" spans="1:6" ht="21" customHeight="1" x14ac:dyDescent="0.25">
      <c r="A327" s="149" t="s">
        <v>242</v>
      </c>
      <c r="B327" s="150">
        <v>10</v>
      </c>
      <c r="C327" s="151">
        <v>0.19</v>
      </c>
      <c r="D327" s="152" t="s">
        <v>151</v>
      </c>
      <c r="E327" s="144" t="s">
        <v>265</v>
      </c>
      <c r="F327" s="153"/>
    </row>
    <row r="328" spans="1:6" ht="21" customHeight="1" x14ac:dyDescent="0.25">
      <c r="A328" s="154" t="s">
        <v>602</v>
      </c>
      <c r="B328" s="150">
        <v>30</v>
      </c>
      <c r="C328" s="151">
        <v>0.19</v>
      </c>
      <c r="D328" s="152" t="s">
        <v>151</v>
      </c>
      <c r="E328" s="144" t="s">
        <v>265</v>
      </c>
      <c r="F328" s="153"/>
    </row>
    <row r="329" spans="1:6" ht="21" customHeight="1" x14ac:dyDescent="0.25">
      <c r="A329" s="154" t="s">
        <v>603</v>
      </c>
      <c r="B329" s="150">
        <v>0</v>
      </c>
      <c r="C329" s="151">
        <v>0</v>
      </c>
      <c r="D329" s="152">
        <v>0</v>
      </c>
      <c r="E329" s="144" t="s">
        <v>604</v>
      </c>
      <c r="F329" s="153" t="s">
        <v>605</v>
      </c>
    </row>
    <row r="330" spans="1:6" ht="21" customHeight="1" x14ac:dyDescent="0.25">
      <c r="A330" s="149" t="s">
        <v>168</v>
      </c>
      <c r="B330" s="150">
        <v>30</v>
      </c>
      <c r="C330" s="151">
        <v>0.19</v>
      </c>
      <c r="D330" s="152" t="s">
        <v>151</v>
      </c>
      <c r="E330" s="144" t="s">
        <v>81</v>
      </c>
      <c r="F330" s="153"/>
    </row>
    <row r="331" spans="1:6" ht="21" customHeight="1" x14ac:dyDescent="0.25">
      <c r="A331" s="149" t="s">
        <v>71</v>
      </c>
      <c r="B331" s="150">
        <v>30</v>
      </c>
      <c r="C331" s="151">
        <v>0.19</v>
      </c>
      <c r="D331" s="152" t="s">
        <v>150</v>
      </c>
      <c r="E331" s="144" t="s">
        <v>74</v>
      </c>
      <c r="F331" s="153" t="s">
        <v>73</v>
      </c>
    </row>
    <row r="332" spans="1:6" ht="21" customHeight="1" x14ac:dyDescent="0.25">
      <c r="A332" s="154" t="s">
        <v>606</v>
      </c>
      <c r="B332" s="150">
        <v>30</v>
      </c>
      <c r="C332" s="151">
        <v>0</v>
      </c>
      <c r="D332" s="152" t="s">
        <v>151</v>
      </c>
      <c r="E332" s="144" t="s">
        <v>607</v>
      </c>
      <c r="F332" s="153"/>
    </row>
    <row r="333" spans="1:6" ht="21" customHeight="1" x14ac:dyDescent="0.25">
      <c r="A333" s="154" t="s">
        <v>271</v>
      </c>
      <c r="B333" s="150">
        <v>0</v>
      </c>
      <c r="C333" s="151">
        <v>0.19</v>
      </c>
      <c r="D333" s="152" t="s">
        <v>151</v>
      </c>
      <c r="E333" s="144" t="s">
        <v>272</v>
      </c>
      <c r="F333" s="153"/>
    </row>
    <row r="334" spans="1:6" ht="21" customHeight="1" x14ac:dyDescent="0.25">
      <c r="A334" s="154" t="s">
        <v>608</v>
      </c>
      <c r="B334" s="150">
        <v>30</v>
      </c>
      <c r="C334" s="151">
        <v>0.19</v>
      </c>
      <c r="D334" s="152" t="s">
        <v>150</v>
      </c>
      <c r="E334" s="144"/>
      <c r="F334" s="153"/>
    </row>
    <row r="335" spans="1:6" ht="21" customHeight="1" x14ac:dyDescent="0.25">
      <c r="A335" s="154" t="s">
        <v>609</v>
      </c>
      <c r="B335" s="150">
        <v>30</v>
      </c>
      <c r="C335" s="151">
        <v>0.19</v>
      </c>
      <c r="D335" s="152" t="s">
        <v>151</v>
      </c>
      <c r="E335" s="144"/>
      <c r="F335" s="153"/>
    </row>
    <row r="336" spans="1:6" ht="21" customHeight="1" x14ac:dyDescent="0.25">
      <c r="A336" s="154" t="s">
        <v>610</v>
      </c>
      <c r="B336" s="150">
        <v>10</v>
      </c>
      <c r="C336" s="151">
        <v>0.19</v>
      </c>
      <c r="D336" s="152" t="s">
        <v>190</v>
      </c>
      <c r="E336" s="144" t="s">
        <v>611</v>
      </c>
      <c r="F336" s="153"/>
    </row>
    <row r="337" spans="1:6" ht="21" customHeight="1" x14ac:dyDescent="0.25">
      <c r="A337" s="154" t="s">
        <v>612</v>
      </c>
      <c r="B337" s="150">
        <v>0</v>
      </c>
      <c r="C337" s="151">
        <v>0.19</v>
      </c>
      <c r="D337" s="152">
        <v>0</v>
      </c>
      <c r="E337" s="144" t="s">
        <v>613</v>
      </c>
      <c r="F337" s="153"/>
    </row>
    <row r="338" spans="1:6" ht="21" customHeight="1" x14ac:dyDescent="0.25">
      <c r="A338" s="154" t="s">
        <v>614</v>
      </c>
      <c r="B338" s="150">
        <v>20</v>
      </c>
      <c r="C338" s="151">
        <v>0</v>
      </c>
      <c r="D338" s="152">
        <v>0</v>
      </c>
      <c r="E338" s="144" t="s">
        <v>615</v>
      </c>
      <c r="F338" s="153"/>
    </row>
    <row r="339" spans="1:6" ht="21" customHeight="1" x14ac:dyDescent="0.25">
      <c r="A339" s="154" t="s">
        <v>616</v>
      </c>
      <c r="B339" s="150">
        <v>30</v>
      </c>
      <c r="C339" s="151">
        <v>0</v>
      </c>
      <c r="D339" s="152">
        <v>0</v>
      </c>
      <c r="E339" s="144" t="s">
        <v>617</v>
      </c>
      <c r="F339" s="153"/>
    </row>
    <row r="340" spans="1:6" ht="21" customHeight="1" x14ac:dyDescent="0.25">
      <c r="A340" s="154" t="s">
        <v>618</v>
      </c>
      <c r="B340" s="150">
        <v>30</v>
      </c>
      <c r="C340" s="151">
        <v>0</v>
      </c>
      <c r="D340" s="152">
        <v>0</v>
      </c>
      <c r="E340" s="144" t="s">
        <v>619</v>
      </c>
      <c r="F340" s="153"/>
    </row>
    <row r="341" spans="1:6" ht="21" customHeight="1" x14ac:dyDescent="0.25">
      <c r="A341" s="154" t="s">
        <v>620</v>
      </c>
      <c r="B341" s="150">
        <v>30</v>
      </c>
      <c r="C341" s="151">
        <v>0.19</v>
      </c>
      <c r="D341" s="152" t="s">
        <v>150</v>
      </c>
      <c r="E341" s="144" t="s">
        <v>41</v>
      </c>
      <c r="F341" s="153"/>
    </row>
    <row r="342" spans="1:6" ht="21" customHeight="1" x14ac:dyDescent="0.25">
      <c r="A342" s="154" t="s">
        <v>621</v>
      </c>
      <c r="B342" s="150">
        <v>10</v>
      </c>
      <c r="C342" s="151">
        <v>0.19</v>
      </c>
      <c r="D342" s="152" t="s">
        <v>150</v>
      </c>
      <c r="E342" s="144" t="s">
        <v>41</v>
      </c>
      <c r="F342" s="153"/>
    </row>
    <row r="343" spans="1:6" ht="21" customHeight="1" x14ac:dyDescent="0.25">
      <c r="A343" s="149" t="s">
        <v>8</v>
      </c>
      <c r="B343" s="150">
        <v>60</v>
      </c>
      <c r="C343" s="151">
        <v>0.19</v>
      </c>
      <c r="D343" s="152" t="s">
        <v>150</v>
      </c>
      <c r="E343" s="144" t="s">
        <v>83</v>
      </c>
      <c r="F343" s="153"/>
    </row>
    <row r="344" spans="1:6" ht="21" customHeight="1" x14ac:dyDescent="0.25">
      <c r="A344" s="154" t="s">
        <v>622</v>
      </c>
      <c r="B344" s="150">
        <v>30</v>
      </c>
      <c r="C344" s="151">
        <v>0.19</v>
      </c>
      <c r="D344" s="152" t="s">
        <v>150</v>
      </c>
      <c r="E344" s="144" t="s">
        <v>345</v>
      </c>
      <c r="F344" s="153"/>
    </row>
    <row r="345" spans="1:6" ht="21" customHeight="1" x14ac:dyDescent="0.25">
      <c r="A345" s="154" t="s">
        <v>623</v>
      </c>
      <c r="B345" s="150">
        <v>0</v>
      </c>
      <c r="C345" s="151">
        <v>0.19</v>
      </c>
      <c r="D345" s="152" t="s">
        <v>150</v>
      </c>
      <c r="E345" s="144" t="s">
        <v>624</v>
      </c>
      <c r="F345" s="153"/>
    </row>
    <row r="346" spans="1:6" ht="21" customHeight="1" x14ac:dyDescent="0.25">
      <c r="A346" s="149" t="s">
        <v>169</v>
      </c>
      <c r="B346" s="150">
        <v>30</v>
      </c>
      <c r="C346" s="151">
        <v>0</v>
      </c>
      <c r="D346" s="152">
        <v>0</v>
      </c>
      <c r="E346" s="144"/>
      <c r="F346" s="153"/>
    </row>
    <row r="347" spans="1:6" ht="21" customHeight="1" x14ac:dyDescent="0.25">
      <c r="A347" s="154" t="s">
        <v>625</v>
      </c>
      <c r="B347" s="150">
        <v>0</v>
      </c>
      <c r="C347" s="151">
        <v>0.19</v>
      </c>
      <c r="D347" s="152" t="s">
        <v>150</v>
      </c>
      <c r="E347" s="144"/>
      <c r="F347" s="153"/>
    </row>
    <row r="348" spans="1:6" ht="21" customHeight="1" x14ac:dyDescent="0.25">
      <c r="A348" s="154" t="s">
        <v>279</v>
      </c>
      <c r="B348" s="150">
        <v>30</v>
      </c>
      <c r="C348" s="151">
        <v>0.19</v>
      </c>
      <c r="D348" s="152" t="s">
        <v>150</v>
      </c>
      <c r="E348" s="144" t="s">
        <v>306</v>
      </c>
      <c r="F348" s="153"/>
    </row>
    <row r="349" spans="1:6" ht="21" customHeight="1" x14ac:dyDescent="0.25">
      <c r="A349" s="154" t="s">
        <v>626</v>
      </c>
      <c r="B349" s="150">
        <v>30</v>
      </c>
      <c r="C349" s="151">
        <v>0.19</v>
      </c>
      <c r="D349" s="152">
        <v>0</v>
      </c>
      <c r="E349" s="144" t="s">
        <v>42</v>
      </c>
      <c r="F349" s="153"/>
    </row>
    <row r="350" spans="1:6" ht="21" customHeight="1" x14ac:dyDescent="0.25">
      <c r="A350" s="154" t="s">
        <v>627</v>
      </c>
      <c r="B350" s="150">
        <v>30</v>
      </c>
      <c r="C350" s="151">
        <v>0.19</v>
      </c>
      <c r="D350" s="152" t="s">
        <v>150</v>
      </c>
      <c r="E350" s="144" t="s">
        <v>628</v>
      </c>
      <c r="F350" s="153"/>
    </row>
    <row r="351" spans="1:6" ht="21" customHeight="1" x14ac:dyDescent="0.25">
      <c r="A351" s="154" t="s">
        <v>629</v>
      </c>
      <c r="B351" s="150">
        <v>0</v>
      </c>
      <c r="C351" s="151">
        <v>0.19</v>
      </c>
      <c r="D351" s="152">
        <v>0</v>
      </c>
      <c r="E351" s="144"/>
      <c r="F351" s="153"/>
    </row>
    <row r="352" spans="1:6" ht="21" customHeight="1" x14ac:dyDescent="0.25">
      <c r="A352" s="154" t="s">
        <v>630</v>
      </c>
      <c r="B352" s="150">
        <v>30</v>
      </c>
      <c r="C352" s="151">
        <v>0.19</v>
      </c>
      <c r="D352" s="152" t="s">
        <v>150</v>
      </c>
      <c r="E352" s="144"/>
      <c r="F352" s="153"/>
    </row>
    <row r="353" spans="1:6" ht="21" customHeight="1" x14ac:dyDescent="0.25">
      <c r="A353" s="154" t="s">
        <v>630</v>
      </c>
      <c r="B353" s="150">
        <v>30</v>
      </c>
      <c r="C353" s="151">
        <v>0.19</v>
      </c>
      <c r="D353" s="152" t="s">
        <v>150</v>
      </c>
      <c r="E353" s="144" t="s">
        <v>658</v>
      </c>
      <c r="F353" s="153"/>
    </row>
    <row r="354" spans="1:6" ht="21" customHeight="1" x14ac:dyDescent="0.25">
      <c r="A354" s="154" t="s">
        <v>631</v>
      </c>
      <c r="B354" s="150">
        <v>30</v>
      </c>
      <c r="C354" s="151">
        <v>0</v>
      </c>
      <c r="D354" s="152">
        <v>0</v>
      </c>
      <c r="E354" s="144" t="s">
        <v>41</v>
      </c>
      <c r="F354" s="153"/>
    </row>
    <row r="355" spans="1:6" ht="21" customHeight="1" x14ac:dyDescent="0.25">
      <c r="A355" s="154" t="s">
        <v>632</v>
      </c>
      <c r="B355" s="150">
        <v>30</v>
      </c>
      <c r="C355" s="151">
        <v>0.19</v>
      </c>
      <c r="D355" s="152" t="s">
        <v>150</v>
      </c>
      <c r="E355" s="144" t="s">
        <v>41</v>
      </c>
      <c r="F355" s="153"/>
    </row>
    <row r="356" spans="1:6" ht="21" customHeight="1" x14ac:dyDescent="0.25">
      <c r="A356" s="149" t="s">
        <v>170</v>
      </c>
      <c r="B356" s="150">
        <v>13</v>
      </c>
      <c r="C356" s="151">
        <v>0</v>
      </c>
      <c r="D356" s="152">
        <v>0</v>
      </c>
      <c r="E356" s="144"/>
      <c r="F356" s="153"/>
    </row>
    <row r="357" spans="1:6" ht="21" customHeight="1" x14ac:dyDescent="0.25">
      <c r="A357" s="149" t="s">
        <v>171</v>
      </c>
      <c r="B357" s="150">
        <v>30</v>
      </c>
      <c r="C357" s="151">
        <v>0</v>
      </c>
      <c r="D357" s="152">
        <v>0</v>
      </c>
      <c r="E357" s="144" t="s">
        <v>42</v>
      </c>
      <c r="F357" s="153"/>
    </row>
    <row r="358" spans="1:6" ht="21" customHeight="1" x14ac:dyDescent="0.25">
      <c r="A358" s="154" t="s">
        <v>633</v>
      </c>
      <c r="B358" s="150">
        <v>30</v>
      </c>
      <c r="C358" s="151">
        <v>0</v>
      </c>
      <c r="D358" s="152">
        <v>0</v>
      </c>
      <c r="E358" s="144" t="s">
        <v>41</v>
      </c>
      <c r="F358" s="153"/>
    </row>
    <row r="359" spans="1:6" ht="21" customHeight="1" x14ac:dyDescent="0.25">
      <c r="A359" s="149" t="s">
        <v>9</v>
      </c>
      <c r="B359" s="150">
        <v>45</v>
      </c>
      <c r="C359" s="151">
        <v>0.19</v>
      </c>
      <c r="D359" s="152" t="s">
        <v>150</v>
      </c>
      <c r="E359" s="144" t="s">
        <v>84</v>
      </c>
      <c r="F359" s="153" t="s">
        <v>202</v>
      </c>
    </row>
    <row r="360" spans="1:6" ht="21" customHeight="1" x14ac:dyDescent="0.25">
      <c r="A360" s="149" t="s">
        <v>193</v>
      </c>
      <c r="B360" s="150">
        <v>30</v>
      </c>
      <c r="C360" s="151">
        <v>0.19</v>
      </c>
      <c r="D360" s="152" t="s">
        <v>150</v>
      </c>
      <c r="E360" s="144" t="s">
        <v>85</v>
      </c>
      <c r="F360" s="153"/>
    </row>
    <row r="361" spans="1:6" ht="21" customHeight="1" x14ac:dyDescent="0.25">
      <c r="A361" s="154" t="s">
        <v>634</v>
      </c>
      <c r="B361" s="150">
        <v>30</v>
      </c>
      <c r="C361" s="151">
        <v>0.19</v>
      </c>
      <c r="D361" s="152" t="s">
        <v>150</v>
      </c>
      <c r="E361" s="144" t="s">
        <v>635</v>
      </c>
      <c r="F361" s="153"/>
    </row>
    <row r="362" spans="1:6" ht="21" customHeight="1" x14ac:dyDescent="0.25">
      <c r="A362" s="154" t="s">
        <v>636</v>
      </c>
      <c r="B362" s="150">
        <v>30</v>
      </c>
      <c r="C362" s="151">
        <v>0.19</v>
      </c>
      <c r="D362" s="152" t="s">
        <v>150</v>
      </c>
      <c r="E362" s="144" t="s">
        <v>41</v>
      </c>
      <c r="F362" s="153"/>
    </row>
    <row r="363" spans="1:6" ht="21" customHeight="1" x14ac:dyDescent="0.25">
      <c r="A363" s="149" t="s">
        <v>205</v>
      </c>
      <c r="B363" s="150">
        <v>10</v>
      </c>
      <c r="C363" s="151">
        <v>0.19</v>
      </c>
      <c r="D363" s="152">
        <v>0</v>
      </c>
      <c r="E363" s="144" t="s">
        <v>206</v>
      </c>
      <c r="F363" s="153" t="s">
        <v>207</v>
      </c>
    </row>
    <row r="364" spans="1:6" ht="21" customHeight="1" x14ac:dyDescent="0.25">
      <c r="A364" s="154" t="s">
        <v>637</v>
      </c>
      <c r="B364" s="150">
        <v>20</v>
      </c>
      <c r="C364" s="151">
        <v>0.19</v>
      </c>
      <c r="D364" s="152" t="s">
        <v>151</v>
      </c>
      <c r="E364" s="144" t="s">
        <v>638</v>
      </c>
      <c r="F364" s="153"/>
    </row>
    <row r="365" spans="1:6" ht="21" customHeight="1" x14ac:dyDescent="0.25">
      <c r="A365" s="154" t="s">
        <v>639</v>
      </c>
      <c r="B365" s="150">
        <v>30</v>
      </c>
      <c r="C365" s="151">
        <v>0.19</v>
      </c>
      <c r="D365" s="152" t="s">
        <v>150</v>
      </c>
      <c r="E365" s="144"/>
      <c r="F365" s="153"/>
    </row>
    <row r="366" spans="1:6" ht="21" customHeight="1" x14ac:dyDescent="0.25">
      <c r="A366" s="149" t="s">
        <v>10</v>
      </c>
      <c r="B366" s="150">
        <v>30</v>
      </c>
      <c r="C366" s="151">
        <v>0.19</v>
      </c>
      <c r="D366" s="152" t="s">
        <v>150</v>
      </c>
      <c r="E366" s="144" t="s">
        <v>183</v>
      </c>
      <c r="F366" s="153" t="s">
        <v>203</v>
      </c>
    </row>
    <row r="367" spans="1:6" ht="21" customHeight="1" x14ac:dyDescent="0.25">
      <c r="A367" s="149" t="s">
        <v>225</v>
      </c>
      <c r="B367" s="150">
        <v>0</v>
      </c>
      <c r="C367" s="151">
        <v>0.19</v>
      </c>
      <c r="D367" s="152" t="s">
        <v>154</v>
      </c>
      <c r="E367" s="144"/>
      <c r="F367" s="153"/>
    </row>
    <row r="368" spans="1:6" ht="21" customHeight="1" x14ac:dyDescent="0.25">
      <c r="A368" s="154" t="s">
        <v>640</v>
      </c>
      <c r="B368" s="150">
        <v>30</v>
      </c>
      <c r="C368" s="151">
        <v>0.19</v>
      </c>
      <c r="D368" s="152" t="s">
        <v>150</v>
      </c>
      <c r="E368" s="144" t="s">
        <v>74</v>
      </c>
      <c r="F368" s="153"/>
    </row>
    <row r="369" spans="1:6" ht="21" customHeight="1" x14ac:dyDescent="0.25">
      <c r="A369"/>
      <c r="B369"/>
      <c r="C369"/>
      <c r="D369"/>
      <c r="F369"/>
    </row>
    <row r="370" spans="1:6" ht="21" customHeight="1" x14ac:dyDescent="0.25">
      <c r="A370"/>
      <c r="B370"/>
      <c r="C370"/>
      <c r="D370"/>
      <c r="F370"/>
    </row>
    <row r="371" spans="1:6" ht="21" customHeight="1" x14ac:dyDescent="0.25">
      <c r="A371"/>
      <c r="B371"/>
      <c r="C371"/>
      <c r="D371"/>
      <c r="F371"/>
    </row>
    <row r="372" spans="1:6" ht="21" customHeight="1" x14ac:dyDescent="0.25">
      <c r="A372"/>
      <c r="B372"/>
      <c r="C372"/>
      <c r="D372"/>
      <c r="F372"/>
    </row>
    <row r="373" spans="1:6" ht="21" customHeight="1" x14ac:dyDescent="0.25">
      <c r="A373"/>
      <c r="B373"/>
      <c r="C373"/>
      <c r="D373"/>
      <c r="F373"/>
    </row>
    <row r="374" spans="1:6" ht="21" customHeight="1" x14ac:dyDescent="0.25">
      <c r="A374"/>
      <c r="B374"/>
      <c r="C374"/>
      <c r="D374"/>
      <c r="F374"/>
    </row>
    <row r="375" spans="1:6" ht="21" customHeight="1" x14ac:dyDescent="0.25">
      <c r="A375"/>
      <c r="B375"/>
      <c r="C375"/>
      <c r="D375"/>
      <c r="F375"/>
    </row>
    <row r="376" spans="1:6" ht="21" customHeight="1" x14ac:dyDescent="0.25">
      <c r="A376"/>
      <c r="B376"/>
      <c r="C376"/>
      <c r="D376"/>
      <c r="F376"/>
    </row>
    <row r="377" spans="1:6" ht="21" customHeight="1" x14ac:dyDescent="0.25">
      <c r="A377"/>
      <c r="B377"/>
      <c r="C377"/>
      <c r="D377"/>
      <c r="F377"/>
    </row>
    <row r="378" spans="1:6" ht="21" customHeight="1" x14ac:dyDescent="0.25">
      <c r="A378"/>
      <c r="B378"/>
      <c r="C378"/>
      <c r="D378"/>
      <c r="F378"/>
    </row>
    <row r="379" spans="1:6" ht="21" customHeight="1" x14ac:dyDescent="0.25">
      <c r="A379"/>
      <c r="B379"/>
      <c r="C379"/>
      <c r="D379"/>
      <c r="F379"/>
    </row>
    <row r="380" spans="1:6" ht="21" customHeight="1" x14ac:dyDescent="0.25">
      <c r="A380"/>
      <c r="B380"/>
      <c r="C380"/>
      <c r="D380"/>
      <c r="F380"/>
    </row>
    <row r="381" spans="1:6" ht="21" customHeight="1" x14ac:dyDescent="0.25">
      <c r="A381"/>
      <c r="B381"/>
      <c r="C381"/>
      <c r="D381"/>
      <c r="F381"/>
    </row>
    <row r="382" spans="1:6" ht="21" customHeight="1" x14ac:dyDescent="0.25">
      <c r="A382"/>
      <c r="B382"/>
      <c r="C382"/>
      <c r="D382"/>
      <c r="F382"/>
    </row>
    <row r="383" spans="1:6" ht="21" customHeight="1" x14ac:dyDescent="0.25">
      <c r="A383"/>
      <c r="B383"/>
      <c r="C383"/>
      <c r="D383"/>
      <c r="F383"/>
    </row>
    <row r="384" spans="1:6" ht="21" customHeight="1" x14ac:dyDescent="0.25">
      <c r="A384"/>
      <c r="B384"/>
      <c r="C384"/>
      <c r="D384"/>
      <c r="F384"/>
    </row>
    <row r="385" spans="1:6" ht="21" customHeight="1" x14ac:dyDescent="0.25">
      <c r="A385"/>
      <c r="B385"/>
      <c r="C385"/>
      <c r="D385"/>
      <c r="F385"/>
    </row>
    <row r="386" spans="1:6" ht="21" customHeight="1" x14ac:dyDescent="0.25">
      <c r="A386"/>
      <c r="B386"/>
      <c r="C386"/>
      <c r="D386"/>
      <c r="F386"/>
    </row>
    <row r="387" spans="1:6" ht="21" customHeight="1" x14ac:dyDescent="0.25">
      <c r="A387"/>
      <c r="B387"/>
      <c r="C387"/>
      <c r="D387"/>
      <c r="F387"/>
    </row>
    <row r="388" spans="1:6" ht="21" customHeight="1" x14ac:dyDescent="0.25">
      <c r="A388"/>
      <c r="B388"/>
      <c r="C388"/>
      <c r="D388"/>
      <c r="F388"/>
    </row>
    <row r="389" spans="1:6" ht="21" customHeight="1" x14ac:dyDescent="0.25">
      <c r="A389"/>
      <c r="B389"/>
      <c r="C389"/>
      <c r="D389"/>
      <c r="F389"/>
    </row>
    <row r="390" spans="1:6" ht="21" customHeight="1" x14ac:dyDescent="0.25">
      <c r="A390"/>
      <c r="B390"/>
      <c r="C390"/>
      <c r="D390"/>
      <c r="F390"/>
    </row>
    <row r="391" spans="1:6" ht="21" customHeight="1" x14ac:dyDescent="0.25">
      <c r="A391"/>
      <c r="B391"/>
      <c r="C391"/>
      <c r="D391"/>
      <c r="F391"/>
    </row>
    <row r="392" spans="1:6" ht="21" customHeight="1" x14ac:dyDescent="0.25">
      <c r="A392"/>
      <c r="B392"/>
      <c r="C392"/>
      <c r="D392"/>
      <c r="F392"/>
    </row>
    <row r="393" spans="1:6" ht="21" customHeight="1" x14ac:dyDescent="0.25">
      <c r="A393"/>
      <c r="B393"/>
      <c r="C393"/>
      <c r="D393"/>
      <c r="F393"/>
    </row>
    <row r="394" spans="1:6" ht="21" customHeight="1" x14ac:dyDescent="0.25">
      <c r="A394"/>
      <c r="B394"/>
      <c r="C394"/>
      <c r="D394"/>
      <c r="F394"/>
    </row>
    <row r="395" spans="1:6" ht="21" customHeight="1" x14ac:dyDescent="0.25">
      <c r="A395"/>
      <c r="B395"/>
      <c r="C395"/>
      <c r="D395"/>
      <c r="F395"/>
    </row>
    <row r="396" spans="1:6" ht="21" customHeight="1" x14ac:dyDescent="0.25">
      <c r="A396"/>
      <c r="B396"/>
      <c r="C396"/>
      <c r="D396"/>
      <c r="F396"/>
    </row>
    <row r="397" spans="1:6" ht="21" customHeight="1" x14ac:dyDescent="0.25">
      <c r="A397"/>
      <c r="B397"/>
      <c r="C397"/>
      <c r="D397"/>
      <c r="F397"/>
    </row>
    <row r="398" spans="1:6" ht="21" customHeight="1" x14ac:dyDescent="0.25">
      <c r="A398"/>
      <c r="B398"/>
      <c r="C398"/>
      <c r="D398"/>
      <c r="F398"/>
    </row>
    <row r="399" spans="1:6" ht="21" customHeight="1" x14ac:dyDescent="0.25">
      <c r="A399"/>
      <c r="B399"/>
      <c r="C399"/>
      <c r="D399"/>
      <c r="F399"/>
    </row>
    <row r="400" spans="1:6" ht="21" customHeight="1" x14ac:dyDescent="0.25">
      <c r="A400"/>
      <c r="B400"/>
      <c r="C400"/>
      <c r="D400"/>
      <c r="F400"/>
    </row>
    <row r="401" spans="1:6" ht="21" customHeight="1" x14ac:dyDescent="0.25">
      <c r="A401"/>
      <c r="B401"/>
      <c r="C401"/>
      <c r="D401"/>
      <c r="F401"/>
    </row>
    <row r="402" spans="1:6" ht="21" customHeight="1" x14ac:dyDescent="0.25">
      <c r="A402"/>
      <c r="B402"/>
      <c r="C402"/>
      <c r="D402"/>
      <c r="F402"/>
    </row>
    <row r="403" spans="1:6" ht="21" customHeight="1" x14ac:dyDescent="0.25">
      <c r="A403"/>
      <c r="B403"/>
      <c r="C403"/>
      <c r="D403"/>
      <c r="F403"/>
    </row>
    <row r="404" spans="1:6" ht="21" customHeight="1" x14ac:dyDescent="0.25">
      <c r="A404"/>
      <c r="B404"/>
      <c r="C404"/>
      <c r="D404"/>
      <c r="F404"/>
    </row>
    <row r="405" spans="1:6" ht="21" customHeight="1" x14ac:dyDescent="0.25">
      <c r="A405"/>
      <c r="B405"/>
      <c r="C405"/>
      <c r="D405"/>
      <c r="F405"/>
    </row>
    <row r="406" spans="1:6" ht="21" customHeight="1" x14ac:dyDescent="0.25">
      <c r="A406"/>
      <c r="B406"/>
      <c r="C406"/>
      <c r="D406"/>
      <c r="F406"/>
    </row>
    <row r="407" spans="1:6" ht="21" customHeight="1" x14ac:dyDescent="0.25">
      <c r="A407"/>
      <c r="B407"/>
      <c r="C407"/>
      <c r="D407"/>
      <c r="F407"/>
    </row>
    <row r="408" spans="1:6" ht="21" customHeight="1" x14ac:dyDescent="0.25">
      <c r="A408"/>
      <c r="B408"/>
      <c r="C408"/>
      <c r="D408"/>
      <c r="F408"/>
    </row>
    <row r="409" spans="1:6" ht="21" customHeight="1" x14ac:dyDescent="0.25">
      <c r="A409"/>
      <c r="B409"/>
      <c r="C409"/>
      <c r="D409"/>
      <c r="F409"/>
    </row>
    <row r="410" spans="1:6" ht="21" customHeight="1" x14ac:dyDescent="0.25">
      <c r="A410"/>
      <c r="B410"/>
      <c r="C410"/>
      <c r="D410"/>
      <c r="F410"/>
    </row>
    <row r="411" spans="1:6" ht="21" customHeight="1" x14ac:dyDescent="0.25">
      <c r="A411"/>
      <c r="B411"/>
      <c r="C411"/>
      <c r="D411"/>
      <c r="F411"/>
    </row>
    <row r="412" spans="1:6" ht="21" customHeight="1" x14ac:dyDescent="0.25">
      <c r="A412"/>
      <c r="B412"/>
      <c r="C412"/>
      <c r="D412"/>
      <c r="F412"/>
    </row>
    <row r="413" spans="1:6" ht="21" customHeight="1" x14ac:dyDescent="0.25">
      <c r="A413"/>
      <c r="B413"/>
      <c r="C413"/>
      <c r="D413"/>
      <c r="F413"/>
    </row>
    <row r="414" spans="1:6" ht="21" customHeight="1" x14ac:dyDescent="0.25">
      <c r="A414"/>
      <c r="B414"/>
      <c r="C414"/>
      <c r="D414"/>
      <c r="F414"/>
    </row>
    <row r="415" spans="1:6" ht="21" customHeight="1" x14ac:dyDescent="0.25">
      <c r="A415"/>
      <c r="B415"/>
      <c r="C415"/>
      <c r="D415"/>
      <c r="F415"/>
    </row>
    <row r="416" spans="1:6" ht="21" customHeight="1" x14ac:dyDescent="0.25">
      <c r="A416"/>
      <c r="B416"/>
      <c r="C416"/>
      <c r="D416"/>
      <c r="F416"/>
    </row>
    <row r="417" spans="1:6" ht="21" customHeight="1" x14ac:dyDescent="0.25">
      <c r="A417"/>
      <c r="B417"/>
      <c r="C417"/>
      <c r="D417"/>
      <c r="F417"/>
    </row>
    <row r="418" spans="1:6" ht="21" customHeight="1" x14ac:dyDescent="0.25">
      <c r="A418"/>
      <c r="B418"/>
      <c r="C418"/>
      <c r="D418"/>
      <c r="F418"/>
    </row>
    <row r="419" spans="1:6" ht="21" customHeight="1" x14ac:dyDescent="0.25">
      <c r="A419"/>
      <c r="B419"/>
      <c r="C419"/>
      <c r="D419"/>
      <c r="F419"/>
    </row>
    <row r="420" spans="1:6" ht="21" customHeight="1" x14ac:dyDescent="0.25">
      <c r="A420"/>
      <c r="B420"/>
      <c r="C420"/>
      <c r="D420"/>
      <c r="F420"/>
    </row>
    <row r="421" spans="1:6" ht="21" customHeight="1" x14ac:dyDescent="0.25">
      <c r="A421"/>
      <c r="B421"/>
      <c r="C421"/>
      <c r="D421"/>
      <c r="F421"/>
    </row>
    <row r="422" spans="1:6" ht="21" customHeight="1" x14ac:dyDescent="0.25">
      <c r="A422"/>
      <c r="B422"/>
      <c r="C422"/>
      <c r="D422"/>
      <c r="F422"/>
    </row>
    <row r="423" spans="1:6" ht="21" customHeight="1" x14ac:dyDescent="0.25">
      <c r="A423"/>
      <c r="B423"/>
      <c r="C423"/>
      <c r="D423"/>
      <c r="F423"/>
    </row>
    <row r="424" spans="1:6" ht="21" customHeight="1" x14ac:dyDescent="0.25">
      <c r="A424"/>
      <c r="B424"/>
      <c r="C424"/>
      <c r="D424"/>
      <c r="F424"/>
    </row>
    <row r="425" spans="1:6" ht="21" customHeight="1" x14ac:dyDescent="0.25">
      <c r="A425"/>
      <c r="B425"/>
      <c r="C425"/>
      <c r="D425"/>
      <c r="F425"/>
    </row>
    <row r="426" spans="1:6" ht="21" customHeight="1" x14ac:dyDescent="0.25">
      <c r="A426"/>
      <c r="B426"/>
      <c r="C426"/>
      <c r="D426"/>
      <c r="F426"/>
    </row>
    <row r="427" spans="1:6" ht="21" customHeight="1" x14ac:dyDescent="0.25">
      <c r="A427"/>
      <c r="B427"/>
      <c r="C427"/>
      <c r="D427"/>
      <c r="F427"/>
    </row>
    <row r="428" spans="1:6" ht="21" customHeight="1" x14ac:dyDescent="0.25">
      <c r="A428"/>
      <c r="B428"/>
      <c r="C428"/>
      <c r="D428"/>
      <c r="F428"/>
    </row>
    <row r="429" spans="1:6" ht="21" customHeight="1" x14ac:dyDescent="0.25">
      <c r="A429"/>
      <c r="B429"/>
      <c r="C429"/>
      <c r="D429"/>
      <c r="F429"/>
    </row>
    <row r="430" spans="1:6" ht="21" customHeight="1" x14ac:dyDescent="0.25">
      <c r="A430"/>
      <c r="B430"/>
      <c r="C430"/>
      <c r="D430"/>
      <c r="F430"/>
    </row>
    <row r="431" spans="1:6" ht="21" customHeight="1" x14ac:dyDescent="0.25">
      <c r="A431"/>
      <c r="B431"/>
      <c r="C431"/>
      <c r="D431"/>
      <c r="F431"/>
    </row>
    <row r="432" spans="1:6" ht="21" customHeight="1" x14ac:dyDescent="0.25">
      <c r="A432"/>
      <c r="B432"/>
      <c r="C432"/>
      <c r="D432"/>
      <c r="F432"/>
    </row>
    <row r="433" spans="1:6" ht="21" customHeight="1" x14ac:dyDescent="0.25">
      <c r="A433"/>
      <c r="B433"/>
      <c r="C433"/>
      <c r="D433"/>
      <c r="F433"/>
    </row>
    <row r="434" spans="1:6" ht="21" customHeight="1" x14ac:dyDescent="0.25">
      <c r="A434"/>
      <c r="B434"/>
      <c r="C434"/>
      <c r="D434"/>
      <c r="F434"/>
    </row>
    <row r="435" spans="1:6" ht="21" customHeight="1" x14ac:dyDescent="0.25">
      <c r="A435"/>
      <c r="B435"/>
      <c r="C435"/>
      <c r="D435"/>
      <c r="F435"/>
    </row>
    <row r="436" spans="1:6" ht="21" customHeight="1" x14ac:dyDescent="0.25">
      <c r="A436"/>
      <c r="B436"/>
      <c r="C436"/>
      <c r="D436"/>
      <c r="F436"/>
    </row>
    <row r="437" spans="1:6" ht="21" customHeight="1" x14ac:dyDescent="0.25">
      <c r="A437"/>
      <c r="B437"/>
      <c r="C437"/>
      <c r="D437"/>
      <c r="F437"/>
    </row>
    <row r="438" spans="1:6" ht="21" customHeight="1" x14ac:dyDescent="0.25">
      <c r="A438"/>
      <c r="B438"/>
      <c r="C438"/>
      <c r="D438"/>
      <c r="F438"/>
    </row>
    <row r="439" spans="1:6" ht="21" customHeight="1" x14ac:dyDescent="0.25">
      <c r="A439"/>
      <c r="B439"/>
      <c r="C439"/>
      <c r="D439"/>
      <c r="F439"/>
    </row>
    <row r="440" spans="1:6" ht="21" customHeight="1" x14ac:dyDescent="0.25">
      <c r="A440"/>
      <c r="B440"/>
      <c r="C440"/>
      <c r="D440"/>
      <c r="F440"/>
    </row>
    <row r="441" spans="1:6" ht="21" customHeight="1" x14ac:dyDescent="0.25">
      <c r="A441"/>
      <c r="B441"/>
      <c r="C441"/>
      <c r="D441"/>
      <c r="F441"/>
    </row>
    <row r="442" spans="1:6" ht="21" customHeight="1" x14ac:dyDescent="0.25">
      <c r="A442"/>
      <c r="B442"/>
      <c r="C442"/>
      <c r="D442"/>
      <c r="F442"/>
    </row>
    <row r="443" spans="1:6" ht="21" customHeight="1" x14ac:dyDescent="0.25">
      <c r="A443"/>
      <c r="B443"/>
      <c r="C443"/>
      <c r="D443"/>
      <c r="F443"/>
    </row>
    <row r="444" spans="1:6" ht="21" customHeight="1" x14ac:dyDescent="0.25">
      <c r="A444"/>
      <c r="B444"/>
      <c r="C444"/>
      <c r="D444"/>
      <c r="F444"/>
    </row>
    <row r="445" spans="1:6" ht="21" customHeight="1" x14ac:dyDescent="0.25">
      <c r="A445"/>
      <c r="B445"/>
      <c r="C445"/>
      <c r="D445"/>
      <c r="F445"/>
    </row>
    <row r="446" spans="1:6" ht="21" customHeight="1" x14ac:dyDescent="0.25">
      <c r="A446"/>
      <c r="B446"/>
      <c r="C446"/>
      <c r="D446"/>
      <c r="F446"/>
    </row>
    <row r="447" spans="1:6" ht="21" customHeight="1" x14ac:dyDescent="0.25">
      <c r="A447"/>
      <c r="B447"/>
      <c r="C447"/>
      <c r="D447"/>
      <c r="F447"/>
    </row>
    <row r="448" spans="1:6" ht="21" customHeight="1" x14ac:dyDescent="0.25">
      <c r="A448"/>
      <c r="B448"/>
      <c r="C448"/>
      <c r="D448"/>
      <c r="F448"/>
    </row>
    <row r="449" spans="1:6" ht="21" customHeight="1" x14ac:dyDescent="0.25">
      <c r="A449"/>
      <c r="B449"/>
      <c r="C449"/>
      <c r="D449"/>
      <c r="F449"/>
    </row>
    <row r="450" spans="1:6" ht="21" customHeight="1" x14ac:dyDescent="0.25">
      <c r="A450"/>
      <c r="B450"/>
      <c r="C450"/>
      <c r="D450"/>
      <c r="F450"/>
    </row>
    <row r="451" spans="1:6" ht="21" customHeight="1" x14ac:dyDescent="0.25">
      <c r="A451"/>
      <c r="B451"/>
      <c r="C451"/>
      <c r="D451"/>
      <c r="F451"/>
    </row>
    <row r="452" spans="1:6" ht="21" customHeight="1" x14ac:dyDescent="0.25">
      <c r="A452"/>
      <c r="B452"/>
      <c r="C452"/>
      <c r="D452"/>
      <c r="F452"/>
    </row>
    <row r="453" spans="1:6" ht="21" customHeight="1" x14ac:dyDescent="0.25">
      <c r="A453"/>
      <c r="B453"/>
      <c r="C453"/>
      <c r="D453"/>
      <c r="F453"/>
    </row>
    <row r="454" spans="1:6" ht="21" customHeight="1" x14ac:dyDescent="0.25">
      <c r="A454"/>
      <c r="B454"/>
      <c r="C454"/>
      <c r="D454"/>
      <c r="F454"/>
    </row>
    <row r="455" spans="1:6" ht="21" customHeight="1" x14ac:dyDescent="0.25">
      <c r="A455"/>
      <c r="B455"/>
      <c r="C455"/>
      <c r="D455"/>
      <c r="F455"/>
    </row>
    <row r="456" spans="1:6" ht="21" customHeight="1" x14ac:dyDescent="0.25">
      <c r="A456"/>
      <c r="B456"/>
      <c r="C456"/>
      <c r="D456"/>
      <c r="F456"/>
    </row>
    <row r="457" spans="1:6" ht="21" customHeight="1" x14ac:dyDescent="0.25">
      <c r="A457"/>
      <c r="B457"/>
      <c r="C457"/>
      <c r="D457"/>
      <c r="F457"/>
    </row>
    <row r="458" spans="1:6" ht="21" customHeight="1" x14ac:dyDescent="0.25">
      <c r="A458"/>
      <c r="B458"/>
      <c r="C458"/>
      <c r="D458"/>
      <c r="F458"/>
    </row>
    <row r="459" spans="1:6" ht="21" customHeight="1" x14ac:dyDescent="0.25">
      <c r="A459"/>
      <c r="B459"/>
      <c r="C459"/>
      <c r="D459"/>
      <c r="F459"/>
    </row>
    <row r="460" spans="1:6" ht="21" customHeight="1" x14ac:dyDescent="0.25">
      <c r="A460"/>
      <c r="B460"/>
      <c r="C460"/>
      <c r="D460"/>
      <c r="F460"/>
    </row>
    <row r="461" spans="1:6" ht="21" customHeight="1" x14ac:dyDescent="0.25">
      <c r="A461"/>
      <c r="B461"/>
      <c r="C461"/>
      <c r="D461"/>
      <c r="F461"/>
    </row>
  </sheetData>
  <conditionalFormatting sqref="A1:A368">
    <cfRule type="expression" dxfId="17" priority="127">
      <formula>#REF!="Por pagar"</formula>
    </cfRule>
    <cfRule type="expression" dxfId="16" priority="128">
      <formula>#REF!="Vencida"</formula>
    </cfRule>
    <cfRule type="expression" dxfId="15" priority="129">
      <formula>#REF!="Pagada"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6EC51F-C8CD-49B9-A38C-2B4CB8C3A653}">
          <x14:formula1>
            <xm:f>Retenciones!$A:$A</xm:f>
          </x14:formula1>
          <xm:sqref>D1</xm:sqref>
        </x14:dataValidation>
        <x14:dataValidation type="list" allowBlank="1" showInputMessage="1" showErrorMessage="1" xr:uid="{B5A62AA5-23EA-4F7A-B2B4-6878BD22A052}">
          <x14:formula1>
            <xm:f>Retenciones!$A$2:$A$25</xm:f>
          </x14:formula1>
          <xm:sqref>D462:D1048576 D2:D368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E8"/>
  <sheetViews>
    <sheetView workbookViewId="0">
      <selection activeCell="E6" sqref="E6"/>
    </sheetView>
  </sheetViews>
  <sheetFormatPr defaultColWidth="11.5703125" defaultRowHeight="15" x14ac:dyDescent="0.25"/>
  <cols>
    <col min="1" max="1" width="22" style="21" bestFit="1" customWidth="1"/>
    <col min="2" max="2" width="17.5703125" customWidth="1"/>
  </cols>
  <sheetData>
    <row r="1" spans="1:5" ht="38.25" x14ac:dyDescent="0.25">
      <c r="A1" s="23" t="s">
        <v>161</v>
      </c>
      <c r="B1" s="45" t="s">
        <v>253</v>
      </c>
      <c r="C1" s="45" t="s">
        <v>257</v>
      </c>
      <c r="D1" s="46" t="s">
        <v>263</v>
      </c>
      <c r="E1" s="46" t="s">
        <v>283</v>
      </c>
    </row>
    <row r="2" spans="1:5" x14ac:dyDescent="0.25">
      <c r="A2" s="24" t="s">
        <v>172</v>
      </c>
      <c r="B2" t="s">
        <v>256</v>
      </c>
      <c r="C2" t="s">
        <v>258</v>
      </c>
      <c r="D2" s="22">
        <v>0</v>
      </c>
      <c r="E2" s="26" t="s">
        <v>284</v>
      </c>
    </row>
    <row r="3" spans="1:5" x14ac:dyDescent="0.25">
      <c r="B3" t="s">
        <v>210</v>
      </c>
      <c r="C3" t="s">
        <v>259</v>
      </c>
      <c r="E3" s="26" t="s">
        <v>285</v>
      </c>
    </row>
    <row r="4" spans="1:5" x14ac:dyDescent="0.25">
      <c r="C4" t="s">
        <v>260</v>
      </c>
    </row>
    <row r="5" spans="1:5" x14ac:dyDescent="0.25">
      <c r="C5" t="s">
        <v>261</v>
      </c>
    </row>
    <row r="6" spans="1:5" x14ac:dyDescent="0.25">
      <c r="C6" t="s">
        <v>234</v>
      </c>
    </row>
    <row r="7" spans="1:5" x14ac:dyDescent="0.25">
      <c r="C7" t="s">
        <v>266</v>
      </c>
    </row>
    <row r="8" spans="1:5" x14ac:dyDescent="0.25">
      <c r="C8" t="s">
        <v>262</v>
      </c>
    </row>
  </sheetData>
  <dataValidations count="1">
    <dataValidation allowBlank="1" showInputMessage="1" showErrorMessage="1" error="Primero crea el proveedor en la hoja &quot;Proveedores&quot;." sqref="B1:D1" xr:uid="{C4757183-93B8-4800-9CE6-5437F3DB455E}"/>
  </dataValidations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5714-C1A6-4EAE-B4B6-BB4BF625550E}">
  <sheetPr codeName="Hoja1"/>
  <dimension ref="A1:Z285"/>
  <sheetViews>
    <sheetView topLeftCell="G1" workbookViewId="0">
      <pane ySplit="1" topLeftCell="A275" activePane="bottomLeft" state="frozen"/>
      <selection activeCell="G1" sqref="G1"/>
      <selection pane="bottomLeft" activeCell="H285" sqref="H285"/>
    </sheetView>
  </sheetViews>
  <sheetFormatPr defaultColWidth="0" defaultRowHeight="27.75" customHeight="1" x14ac:dyDescent="0.25"/>
  <cols>
    <col min="1" max="1" width="10.7109375" style="21" hidden="1" customWidth="1"/>
    <col min="2" max="2" width="15.7109375" style="21" hidden="1" customWidth="1"/>
    <col min="3" max="3" width="11.85546875" style="21" hidden="1" customWidth="1"/>
    <col min="4" max="4" width="18.42578125" style="21" hidden="1" customWidth="1"/>
    <col min="5" max="5" width="8.5703125" style="21" hidden="1" customWidth="1"/>
    <col min="6" max="6" width="22.85546875" style="21" hidden="1" customWidth="1"/>
    <col min="7" max="7" width="15.5703125" style="6" customWidth="1"/>
    <col min="8" max="8" width="18.85546875" style="6" bestFit="1" customWidth="1"/>
    <col min="9" max="9" width="22.140625" style="6" customWidth="1"/>
    <col min="10" max="10" width="16.7109375" style="6" bestFit="1" customWidth="1"/>
    <col min="11" max="11" width="17.7109375" style="6" bestFit="1" customWidth="1"/>
    <col min="12" max="12" width="18.85546875" style="6" bestFit="1" customWidth="1"/>
    <col min="13" max="13" width="13.28515625" style="6" customWidth="1"/>
    <col min="14" max="14" width="14.28515625" style="88" bestFit="1" customWidth="1"/>
    <col min="15" max="15" width="14.5703125" style="88" bestFit="1" customWidth="1"/>
    <col min="16" max="17" width="15.5703125" style="88" bestFit="1" customWidth="1"/>
    <col min="18" max="18" width="13.140625" style="88" bestFit="1" customWidth="1"/>
    <col min="19" max="19" width="14.85546875" style="21" customWidth="1"/>
    <col min="20" max="20" width="14.85546875" style="21" hidden="1"/>
    <col min="21" max="21" width="16.85546875" style="21" hidden="1"/>
    <col min="22" max="25" width="12.140625" style="21" hidden="1"/>
    <col min="26" max="26" width="7.85546875" style="21" hidden="1"/>
    <col min="27" max="16384" width="11.42578125" style="6" hidden="1"/>
  </cols>
  <sheetData>
    <row r="1" spans="1:26" s="87" customFormat="1" ht="57.75" customHeight="1" x14ac:dyDescent="0.25">
      <c r="A1" s="79" t="s">
        <v>288</v>
      </c>
      <c r="B1" s="79" t="s">
        <v>61</v>
      </c>
      <c r="C1" s="79" t="s">
        <v>4</v>
      </c>
      <c r="D1" s="80" t="s">
        <v>60</v>
      </c>
      <c r="E1" s="81" t="s">
        <v>5</v>
      </c>
      <c r="F1" s="79" t="s">
        <v>39</v>
      </c>
      <c r="G1" s="75" t="s">
        <v>6</v>
      </c>
      <c r="H1" s="75" t="s">
        <v>3</v>
      </c>
      <c r="I1" s="75" t="s">
        <v>1</v>
      </c>
      <c r="J1" s="75" t="s">
        <v>2</v>
      </c>
      <c r="K1" s="75" t="s">
        <v>253</v>
      </c>
      <c r="L1" s="75" t="s">
        <v>257</v>
      </c>
      <c r="M1" s="75" t="s">
        <v>33</v>
      </c>
      <c r="N1" s="82" t="s">
        <v>34</v>
      </c>
      <c r="O1" s="82" t="s">
        <v>263</v>
      </c>
      <c r="P1" s="82" t="s">
        <v>267</v>
      </c>
      <c r="Q1" s="82" t="s">
        <v>264</v>
      </c>
      <c r="R1" s="82" t="s">
        <v>35</v>
      </c>
      <c r="S1" s="83" t="s">
        <v>7</v>
      </c>
      <c r="T1" s="83" t="s">
        <v>133</v>
      </c>
      <c r="U1" s="83" t="s">
        <v>148</v>
      </c>
      <c r="V1" s="83" t="s">
        <v>155</v>
      </c>
      <c r="W1" s="83" t="s">
        <v>157</v>
      </c>
      <c r="X1" s="84" t="s">
        <v>156</v>
      </c>
      <c r="Y1" s="85" t="s">
        <v>158</v>
      </c>
      <c r="Z1" s="86" t="s">
        <v>172</v>
      </c>
    </row>
    <row r="2" spans="1:26" ht="27.75" customHeight="1" x14ac:dyDescent="0.25">
      <c r="A2" s="112" t="str">
        <f>+IF(PROVEEDORES[[#This Row],[FECHA DE PAGO]]=PROVEEDORES[[#This Row],[FECHA DE FACTURACIÓN]],"DE CONTADO","CRÉDITO")</f>
        <v>CRÉDITO</v>
      </c>
      <c r="B2" s="112" t="b">
        <f>+IF((PROVEEDORES[[#This Row],[FECHA DE PAGO]]-PROVEEDORES[[#This Row],[FECHA DE FACTURACIÓN]])&gt;PROVEEDORES[[#This Row],[PLAZO Días]],"PAGO VENCIDO")</f>
        <v>0</v>
      </c>
      <c r="C2" s="112">
        <f>+VLOOKUP(PROVEEDORES[[#This Row],[PROVEEDOR]],TERCEROS_INFO[#All],2,FALSE)</f>
        <v>30</v>
      </c>
      <c r="D2" s="113">
        <f>+SUMIFS(PROVEEDORES[Total],PROVEEDORES[PROVEEDOR],PROVEEDORES[[#This Row],[PROVEEDOR]],PROVEEDORES[FECHA DE PAGO],"")</f>
        <v>0</v>
      </c>
      <c r="E2" s="114"/>
      <c r="F2" s="112">
        <f>+VLOOKUP(PROVEEDORES[[#This Row],[PROVEEDOR]],
                       Terceros!$A:$F,
                       5,
                       FALSE)</f>
        <v>0</v>
      </c>
      <c r="G2" s="115">
        <v>45597</v>
      </c>
      <c r="H2" s="116" t="s">
        <v>407</v>
      </c>
      <c r="I2" s="115">
        <v>45596</v>
      </c>
      <c r="J2" s="117" t="s">
        <v>670</v>
      </c>
      <c r="K2" s="117" t="s">
        <v>210</v>
      </c>
      <c r="L2" s="117" t="s">
        <v>234</v>
      </c>
      <c r="M2" s="118">
        <v>535000</v>
      </c>
      <c r="N2" s="119"/>
      <c r="O2" s="119">
        <v>0</v>
      </c>
      <c r="P2" s="120">
        <v>0</v>
      </c>
      <c r="Q2" s="119">
        <v>0</v>
      </c>
      <c r="R2" s="121">
        <v>535000</v>
      </c>
      <c r="S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122">
        <f ca="1">+IF(PROVEEDORES[[#This Row],[FECHA DE PAGO]]=0,TODAY()-PROVEEDORES[[#This Row],[FECHA DE FACTURACIÓN]]-PROVEEDORES[[#This Row],[PLAZO Días]],0)</f>
        <v>0</v>
      </c>
      <c r="U2" s="122">
        <f>+VLOOKUP(PROVEEDORES[[#This Row],[PROVEEDOR]],Terceros!$A:$D,4,FALSE)</f>
        <v>0</v>
      </c>
      <c r="V2" s="122">
        <f>+YEAR(PROVEEDORES[[#This Row],[FECHA DE FACTURACIÓN]])</f>
        <v>2024</v>
      </c>
      <c r="W2" s="122">
        <f>+MATCH(PROVEEDORES[[#This Row],[año facturado]],Retenciones!$1:$1,0)</f>
        <v>3</v>
      </c>
      <c r="X2" s="123">
        <f>+VLOOKUP(PROVEEDORES[[#This Row],[ID RETENCION]],Retenciones!$A$1:$K$25,PROVEEDORES[[#This Row],[indicador de columna]],FALSE)</f>
        <v>0</v>
      </c>
      <c r="Y2" s="124">
        <f>+VLOOKUP(PROVEEDORES[[#This Row],[ID RETENCION]],Retenciones!$A$1:$K$25,2,FALSE)</f>
        <v>0</v>
      </c>
      <c r="Z2" s="125" t="b">
        <f>+OR(COUNTIF(PROVEEDORES[[#This Row],[PROVEEDOR]],"*"&amp;'Palabra que no opera y Listas d'!$A$2&amp;"*"))</f>
        <v>1</v>
      </c>
    </row>
    <row r="3" spans="1:26" ht="27.75" customHeight="1" x14ac:dyDescent="0.25">
      <c r="A3" s="112" t="str">
        <f>+IF(PROVEEDORES[[#This Row],[FECHA DE PAGO]]=PROVEEDORES[[#This Row],[FECHA DE FACTURACIÓN]],"DE CONTADO","CRÉDITO")</f>
        <v>DE CONTADO</v>
      </c>
      <c r="B3" s="112" t="b">
        <f>+IF((PROVEEDORES[[#This Row],[FECHA DE PAGO]]-PROVEEDORES[[#This Row],[FECHA DE FACTURACIÓN]])&gt;PROVEEDORES[[#This Row],[PLAZO Días]],"PAGO VENCIDO")</f>
        <v>0</v>
      </c>
      <c r="C3" s="112">
        <f>+VLOOKUP(PROVEEDORES[[#This Row],[PROVEEDOR]],TERCEROS_INFO[#All],2,FALSE)</f>
        <v>30</v>
      </c>
      <c r="D3" s="113">
        <f>+SUMIFS(PROVEEDORES[Total],PROVEEDORES[PROVEEDOR],PROVEEDORES[[#This Row],[PROVEEDOR]],PROVEEDORES[FECHA DE PAGO],"")</f>
        <v>0</v>
      </c>
      <c r="E3" s="114"/>
      <c r="F3" s="112" t="str">
        <f>+VLOOKUP(PROVEEDORES[[#This Row],[PROVEEDOR]],
                       Terceros!$A:$F,
                       5,
                       FALSE)</f>
        <v/>
      </c>
      <c r="G3" s="115">
        <v>45597</v>
      </c>
      <c r="H3" s="116" t="s">
        <v>662</v>
      </c>
      <c r="I3" s="115">
        <v>45597</v>
      </c>
      <c r="J3" s="117" t="s">
        <v>671</v>
      </c>
      <c r="K3" s="117" t="s">
        <v>256</v>
      </c>
      <c r="L3" s="117" t="s">
        <v>234</v>
      </c>
      <c r="M3" s="118">
        <v>900000</v>
      </c>
      <c r="N3" s="119"/>
      <c r="O3" s="119">
        <v>0</v>
      </c>
      <c r="P3" s="120">
        <v>0</v>
      </c>
      <c r="Q3" s="119">
        <v>0</v>
      </c>
      <c r="R3" s="121">
        <v>900000</v>
      </c>
      <c r="S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122">
        <f ca="1">+IF(PROVEEDORES[[#This Row],[FECHA DE PAGO]]=0,TODAY()-PROVEEDORES[[#This Row],[FECHA DE FACTURACIÓN]]-PROVEEDORES[[#This Row],[PLAZO Días]],0)</f>
        <v>0</v>
      </c>
      <c r="U3" s="122">
        <f>+VLOOKUP(PROVEEDORES[[#This Row],[PROVEEDOR]],Terceros!$A:$D,4,FALSE)</f>
        <v>0</v>
      </c>
      <c r="V3" s="122">
        <f>+YEAR(PROVEEDORES[[#This Row],[FECHA DE FACTURACIÓN]])</f>
        <v>2024</v>
      </c>
      <c r="W3" s="122">
        <f>+MATCH(PROVEEDORES[[#This Row],[año facturado]],Retenciones!$1:$1,0)</f>
        <v>3</v>
      </c>
      <c r="X3" s="123">
        <f>+VLOOKUP(PROVEEDORES[[#This Row],[ID RETENCION]],Retenciones!$A$1:$K$25,PROVEEDORES[[#This Row],[indicador de columna]],FALSE)</f>
        <v>0</v>
      </c>
      <c r="Y3" s="124">
        <f>+VLOOKUP(PROVEEDORES[[#This Row],[ID RETENCION]],Retenciones!$A$1:$K$25,2,FALSE)</f>
        <v>0</v>
      </c>
      <c r="Z3" s="125" t="b">
        <f>+OR(COUNTIF(PROVEEDORES[[#This Row],[PROVEEDOR]],"*"&amp;'Palabra que no opera y Listas d'!$A$2&amp;"*"))</f>
        <v>0</v>
      </c>
    </row>
    <row r="4" spans="1:26" ht="27.75" customHeight="1" x14ac:dyDescent="0.25">
      <c r="A4" s="112" t="str">
        <f>+IF(PROVEEDORES[[#This Row],[FECHA DE PAGO]]=PROVEEDORES[[#This Row],[FECHA DE FACTURACIÓN]],"DE CONTADO","CRÉDITO")</f>
        <v>DE CONTADO</v>
      </c>
      <c r="B4" s="112" t="b">
        <f>+IF((PROVEEDORES[[#This Row],[FECHA DE PAGO]]-PROVEEDORES[[#This Row],[FECHA DE FACTURACIÓN]])&gt;PROVEEDORES[[#This Row],[PLAZO Días]],"PAGO VENCIDO")</f>
        <v>0</v>
      </c>
      <c r="C4" s="112">
        <f>+VLOOKUP(PROVEEDORES[[#This Row],[PROVEEDOR]],TERCEROS_INFO[#All],2,FALSE)</f>
        <v>30</v>
      </c>
      <c r="D4" s="113">
        <f>+SUMIFS(PROVEEDORES[Total],PROVEEDORES[PROVEEDOR],PROVEEDORES[[#This Row],[PROVEEDOR]],PROVEEDORES[FECHA DE PAGO],"")</f>
        <v>0</v>
      </c>
      <c r="E4" s="114"/>
      <c r="F4" s="112" t="str">
        <f>+VLOOKUP(PROVEEDORES[[#This Row],[PROVEEDOR]],
                       Terceros!$A:$F,
                       5,
                       FALSE)</f>
        <v>PSE</v>
      </c>
      <c r="G4" s="115">
        <v>45597</v>
      </c>
      <c r="H4" s="116" t="s">
        <v>171</v>
      </c>
      <c r="I4" s="115">
        <v>45597</v>
      </c>
      <c r="J4" s="117"/>
      <c r="K4" s="117" t="s">
        <v>256</v>
      </c>
      <c r="L4" s="117" t="s">
        <v>259</v>
      </c>
      <c r="M4" s="118">
        <v>633500</v>
      </c>
      <c r="N4" s="119"/>
      <c r="O4" s="119">
        <v>0</v>
      </c>
      <c r="P4" s="120">
        <v>0</v>
      </c>
      <c r="Q4" s="119">
        <v>0</v>
      </c>
      <c r="R4" s="121">
        <v>633500</v>
      </c>
      <c r="S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122">
        <f ca="1">+IF(PROVEEDORES[[#This Row],[FECHA DE PAGO]]=0,TODAY()-PROVEEDORES[[#This Row],[FECHA DE FACTURACIÓN]]-PROVEEDORES[[#This Row],[PLAZO Días]],0)</f>
        <v>0</v>
      </c>
      <c r="U4" s="122">
        <f>+VLOOKUP(PROVEEDORES[[#This Row],[PROVEEDOR]],Terceros!$A:$D,4,FALSE)</f>
        <v>0</v>
      </c>
      <c r="V4" s="122">
        <f>+YEAR(PROVEEDORES[[#This Row],[FECHA DE FACTURACIÓN]])</f>
        <v>2024</v>
      </c>
      <c r="W4" s="122">
        <f>+MATCH(PROVEEDORES[[#This Row],[año facturado]],Retenciones!$1:$1,0)</f>
        <v>3</v>
      </c>
      <c r="X4" s="123">
        <f>+VLOOKUP(PROVEEDORES[[#This Row],[ID RETENCION]],Retenciones!$A$1:$K$25,PROVEEDORES[[#This Row],[indicador de columna]],FALSE)</f>
        <v>0</v>
      </c>
      <c r="Y4" s="124">
        <f>+VLOOKUP(PROVEEDORES[[#This Row],[ID RETENCION]],Retenciones!$A$1:$K$25,2,FALSE)</f>
        <v>0</v>
      </c>
      <c r="Z4" s="125" t="b">
        <f>+OR(COUNTIF(PROVEEDORES[[#This Row],[PROVEEDOR]],"*"&amp;'Palabra que no opera y Listas d'!$A$2&amp;"*"))</f>
        <v>1</v>
      </c>
    </row>
    <row r="5" spans="1:26" ht="27.75" customHeight="1" x14ac:dyDescent="0.25">
      <c r="A5" s="112" t="str">
        <f>+IF(PROVEEDORES[[#This Row],[FECHA DE PAGO]]=PROVEEDORES[[#This Row],[FECHA DE FACTURACIÓN]],"DE CONTADO","CRÉDITO")</f>
        <v>CRÉDITO</v>
      </c>
      <c r="B5" s="112" t="str">
        <f>+IF((PROVEEDORES[[#This Row],[FECHA DE PAGO]]-PROVEEDORES[[#This Row],[FECHA DE FACTURACIÓN]])&gt;PROVEEDORES[[#This Row],[PLAZO Días]],"PAGO VENCIDO")</f>
        <v>PAGO VENCIDO</v>
      </c>
      <c r="C5" s="112">
        <f>+VLOOKUP(PROVEEDORES[[#This Row],[PROVEEDOR]],TERCEROS_INFO[#All],2,FALSE)</f>
        <v>30</v>
      </c>
      <c r="D5" s="113">
        <f>+SUMIFS(PROVEEDORES[Total],PROVEEDORES[PROVEEDOR],PROVEEDORES[[#This Row],[PROVEEDOR]],PROVEEDORES[FECHA DE PAGO],"")</f>
        <v>0</v>
      </c>
      <c r="E5" s="114"/>
      <c r="F5" s="112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5" s="115">
        <v>45598</v>
      </c>
      <c r="H5" s="116" t="s">
        <v>672</v>
      </c>
      <c r="I5" s="115">
        <v>45558</v>
      </c>
      <c r="J5" s="117" t="s">
        <v>673</v>
      </c>
      <c r="K5" s="117" t="s">
        <v>256</v>
      </c>
      <c r="L5" s="117" t="s">
        <v>234</v>
      </c>
      <c r="M5" s="118">
        <v>1400000</v>
      </c>
      <c r="N5" s="119"/>
      <c r="O5" s="119">
        <v>0</v>
      </c>
      <c r="P5" s="120">
        <v>0</v>
      </c>
      <c r="Q5" s="119">
        <v>0</v>
      </c>
      <c r="R5" s="121">
        <v>1400000</v>
      </c>
      <c r="S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122">
        <f ca="1">+IF(PROVEEDORES[[#This Row],[FECHA DE PAGO]]=0,TODAY()-PROVEEDORES[[#This Row],[FECHA DE FACTURACIÓN]]-PROVEEDORES[[#This Row],[PLAZO Días]],0)</f>
        <v>0</v>
      </c>
      <c r="U5" s="122">
        <f>+VLOOKUP(PROVEEDORES[[#This Row],[PROVEEDOR]],Terceros!$A:$D,4,FALSE)</f>
        <v>0</v>
      </c>
      <c r="V5" s="122">
        <f>+YEAR(PROVEEDORES[[#This Row],[FECHA DE FACTURACIÓN]])</f>
        <v>2024</v>
      </c>
      <c r="W5" s="122">
        <f>+MATCH(PROVEEDORES[[#This Row],[año facturado]],Retenciones!$1:$1,0)</f>
        <v>3</v>
      </c>
      <c r="X5" s="123">
        <f>+VLOOKUP(PROVEEDORES[[#This Row],[ID RETENCION]],Retenciones!$A$1:$K$25,PROVEEDORES[[#This Row],[indicador de columna]],FALSE)</f>
        <v>0</v>
      </c>
      <c r="Y5" s="124">
        <f>+VLOOKUP(PROVEEDORES[[#This Row],[ID RETENCION]],Retenciones!$A$1:$K$25,2,FALSE)</f>
        <v>0</v>
      </c>
      <c r="Z5" s="125" t="b">
        <f>+OR(COUNTIF(PROVEEDORES[[#This Row],[PROVEEDOR]],"*"&amp;'Palabra que no opera y Listas d'!$A$2&amp;"*"))</f>
        <v>0</v>
      </c>
    </row>
    <row r="6" spans="1:26" ht="27.75" customHeight="1" x14ac:dyDescent="0.25">
      <c r="A6" s="112" t="str">
        <f>+IF(PROVEEDORES[[#This Row],[FECHA DE PAGO]]=PROVEEDORES[[#This Row],[FECHA DE FACTURACIÓN]],"DE CONTADO","CRÉDITO")</f>
        <v>CRÉDITO</v>
      </c>
      <c r="B6" s="112" t="str">
        <f>+IF((PROVEEDORES[[#This Row],[FECHA DE PAGO]]-PROVEEDORES[[#This Row],[FECHA DE FACTURACIÓN]])&gt;PROVEEDORES[[#This Row],[PLAZO Días]],"PAGO VENCIDO")</f>
        <v>PAGO VENCIDO</v>
      </c>
      <c r="C6" s="112">
        <f>+VLOOKUP(PROVEEDORES[[#This Row],[PROVEEDOR]],TERCEROS_INFO[#All],2,FALSE)</f>
        <v>30</v>
      </c>
      <c r="D6" s="113">
        <f>+SUMIFS(PROVEEDORES[Total],PROVEEDORES[PROVEEDOR],PROVEEDORES[[#This Row],[PROVEEDOR]],PROVEEDORES[FECHA DE PAGO],"")</f>
        <v>2213383</v>
      </c>
      <c r="E6" s="114"/>
      <c r="F6" s="112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" s="115">
        <v>45601</v>
      </c>
      <c r="H6" s="116" t="s">
        <v>192</v>
      </c>
      <c r="I6" s="115">
        <v>45539</v>
      </c>
      <c r="J6" s="117">
        <v>35899</v>
      </c>
      <c r="K6" s="117" t="s">
        <v>256</v>
      </c>
      <c r="L6" s="117" t="s">
        <v>258</v>
      </c>
      <c r="M6" s="118">
        <v>324000</v>
      </c>
      <c r="N6" s="119">
        <v>61560</v>
      </c>
      <c r="O6" s="119">
        <v>0</v>
      </c>
      <c r="P6" s="120">
        <v>0</v>
      </c>
      <c r="Q6" s="119">
        <v>0</v>
      </c>
      <c r="R6" s="121">
        <v>385560</v>
      </c>
      <c r="S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122">
        <f ca="1">+IF(PROVEEDORES[[#This Row],[FECHA DE PAGO]]=0,TODAY()-PROVEEDORES[[#This Row],[FECHA DE FACTURACIÓN]]-PROVEEDORES[[#This Row],[PLAZO Días]],0)</f>
        <v>0</v>
      </c>
      <c r="U6" s="122" t="str">
        <f>+VLOOKUP(PROVEEDORES[[#This Row],[PROVEEDOR]],Terceros!$A:$D,4,FALSE)</f>
        <v>2,5% con base</v>
      </c>
      <c r="V6" s="122">
        <f>+YEAR(PROVEEDORES[[#This Row],[FECHA DE FACTURACIÓN]])</f>
        <v>2024</v>
      </c>
      <c r="W6" s="122">
        <f>+MATCH(PROVEEDORES[[#This Row],[año facturado]],Retenciones!$1:$1,0)</f>
        <v>3</v>
      </c>
      <c r="X6" s="123">
        <f>+VLOOKUP(PROVEEDORES[[#This Row],[ID RETENCION]],Retenciones!$A$1:$K$25,PROVEEDORES[[#This Row],[indicador de columna]],FALSE)</f>
        <v>1271000</v>
      </c>
      <c r="Y6" s="124">
        <f>+VLOOKUP(PROVEEDORES[[#This Row],[ID RETENCION]],Retenciones!$A$1:$K$25,2,FALSE)</f>
        <v>2.5000000000000001E-2</v>
      </c>
      <c r="Z6" s="125" t="b">
        <f>+OR(COUNTIF(PROVEEDORES[[#This Row],[PROVEEDOR]],"*"&amp;'Palabra que no opera y Listas d'!$A$2&amp;"*"))</f>
        <v>0</v>
      </c>
    </row>
    <row r="7" spans="1:26" ht="27.75" customHeight="1" x14ac:dyDescent="0.25">
      <c r="A7" s="112" t="str">
        <f>+IF(PROVEEDORES[[#This Row],[FECHA DE PAGO]]=PROVEEDORES[[#This Row],[FECHA DE FACTURACIÓN]],"DE CONTADO","CRÉDITO")</f>
        <v>CRÉDITO</v>
      </c>
      <c r="B7" s="112" t="str">
        <f>+IF((PROVEEDORES[[#This Row],[FECHA DE PAGO]]-PROVEEDORES[[#This Row],[FECHA DE FACTURACIÓN]])&gt;PROVEEDORES[[#This Row],[PLAZO Días]],"PAGO VENCIDO")</f>
        <v>PAGO VENCIDO</v>
      </c>
      <c r="C7" s="112">
        <f>+VLOOKUP(PROVEEDORES[[#This Row],[PROVEEDOR]],TERCEROS_INFO[#All],2,FALSE)</f>
        <v>45</v>
      </c>
      <c r="D7" s="113">
        <f>+SUMIFS(PROVEEDORES[Total],PROVEEDORES[PROVEEDOR],PROVEEDORES[[#This Row],[PROVEEDOR]],PROVEEDORES[FECHA DE PAGO],"")</f>
        <v>17682305.199999999</v>
      </c>
      <c r="E7" s="114"/>
      <c r="F7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" s="115">
        <v>45601</v>
      </c>
      <c r="H7" s="116" t="s">
        <v>14</v>
      </c>
      <c r="I7" s="115">
        <v>45555</v>
      </c>
      <c r="J7" s="117" t="s">
        <v>674</v>
      </c>
      <c r="K7" s="117" t="s">
        <v>210</v>
      </c>
      <c r="L7" s="117" t="s">
        <v>259</v>
      </c>
      <c r="M7" s="118">
        <v>15662400</v>
      </c>
      <c r="N7" s="119">
        <v>2975856</v>
      </c>
      <c r="O7" s="119">
        <v>0</v>
      </c>
      <c r="P7" s="120">
        <v>0</v>
      </c>
      <c r="Q7" s="119">
        <v>0</v>
      </c>
      <c r="R7" s="121">
        <v>18638256</v>
      </c>
      <c r="S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122">
        <f ca="1">+IF(PROVEEDORES[[#This Row],[FECHA DE PAGO]]=0,TODAY()-PROVEEDORES[[#This Row],[FECHA DE FACTURACIÓN]]-PROVEEDORES[[#This Row],[PLAZO Días]],0)</f>
        <v>0</v>
      </c>
      <c r="U7" s="122">
        <f>+VLOOKUP(PROVEEDORES[[#This Row],[PROVEEDOR]],Terceros!$A:$D,4,FALSE)</f>
        <v>0</v>
      </c>
      <c r="V7" s="122">
        <f>+YEAR(PROVEEDORES[[#This Row],[FECHA DE FACTURACIÓN]])</f>
        <v>2024</v>
      </c>
      <c r="W7" s="122">
        <f>+MATCH(PROVEEDORES[[#This Row],[año facturado]],Retenciones!$1:$1,0)</f>
        <v>3</v>
      </c>
      <c r="X7" s="123">
        <f>+VLOOKUP(PROVEEDORES[[#This Row],[ID RETENCION]],Retenciones!$A$1:$K$25,PROVEEDORES[[#This Row],[indicador de columna]],FALSE)</f>
        <v>0</v>
      </c>
      <c r="Y7" s="124">
        <f>+VLOOKUP(PROVEEDORES[[#This Row],[ID RETENCION]],Retenciones!$A$1:$K$25,2,FALSE)</f>
        <v>0</v>
      </c>
      <c r="Z7" s="125" t="b">
        <f>+OR(COUNTIF(PROVEEDORES[[#This Row],[PROVEEDOR]],"*"&amp;'Palabra que no opera y Listas d'!$A$2&amp;"*"))</f>
        <v>0</v>
      </c>
    </row>
    <row r="8" spans="1:26" ht="27.75" customHeight="1" x14ac:dyDescent="0.25">
      <c r="A8" s="112" t="str">
        <f>+IF(PROVEEDORES[[#This Row],[FECHA DE PAGO]]=PROVEEDORES[[#This Row],[FECHA DE FACTURACIÓN]],"DE CONTADO","CRÉDITO")</f>
        <v>CRÉDITO</v>
      </c>
      <c r="B8" s="112" t="str">
        <f>+IF((PROVEEDORES[[#This Row],[FECHA DE PAGO]]-PROVEEDORES[[#This Row],[FECHA DE FACTURACIÓN]])&gt;PROVEEDORES[[#This Row],[PLAZO Días]],"PAGO VENCIDO")</f>
        <v>PAGO VENCIDO</v>
      </c>
      <c r="C8" s="112">
        <f>+VLOOKUP(PROVEEDORES[[#This Row],[PROVEEDOR]],TERCEROS_INFO[#All],2,FALSE)</f>
        <v>30</v>
      </c>
      <c r="D8" s="113">
        <f>+SUMIFS(PROVEEDORES[Total],PROVEEDORES[PROVEEDOR],PROVEEDORES[[#This Row],[PROVEEDOR]],PROVEEDORES[FECHA DE PAGO],"")</f>
        <v>10855078.560000001</v>
      </c>
      <c r="E8" s="114"/>
      <c r="F8" s="112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8" s="115">
        <v>45601</v>
      </c>
      <c r="H8" s="116" t="s">
        <v>10</v>
      </c>
      <c r="I8" s="115">
        <v>45560</v>
      </c>
      <c r="J8" s="117" t="s">
        <v>675</v>
      </c>
      <c r="K8" s="117" t="s">
        <v>256</v>
      </c>
      <c r="L8" s="117" t="s">
        <v>258</v>
      </c>
      <c r="M8" s="118">
        <v>4961353</v>
      </c>
      <c r="N8" s="119">
        <v>942657.07000000007</v>
      </c>
      <c r="O8" s="119">
        <v>0</v>
      </c>
      <c r="P8" s="120">
        <v>2.5000000000000001E-2</v>
      </c>
      <c r="Q8" s="119">
        <v>124033.82500000001</v>
      </c>
      <c r="R8" s="121">
        <v>5779976.2450000001</v>
      </c>
      <c r="S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122">
        <f ca="1">+IF(PROVEEDORES[[#This Row],[FECHA DE PAGO]]=0,TODAY()-PROVEEDORES[[#This Row],[FECHA DE FACTURACIÓN]]-PROVEEDORES[[#This Row],[PLAZO Días]],0)</f>
        <v>0</v>
      </c>
      <c r="U8" s="122" t="str">
        <f>+VLOOKUP(PROVEEDORES[[#This Row],[PROVEEDOR]],Terceros!$A:$D,4,FALSE)</f>
        <v>2,5% con base</v>
      </c>
      <c r="V8" s="122">
        <f>+YEAR(PROVEEDORES[[#This Row],[FECHA DE FACTURACIÓN]])</f>
        <v>2024</v>
      </c>
      <c r="W8" s="122">
        <f>+MATCH(PROVEEDORES[[#This Row],[año facturado]],Retenciones!$1:$1,0)</f>
        <v>3</v>
      </c>
      <c r="X8" s="123">
        <f>+VLOOKUP(PROVEEDORES[[#This Row],[ID RETENCION]],Retenciones!$A$1:$K$25,PROVEEDORES[[#This Row],[indicador de columna]],FALSE)</f>
        <v>1271000</v>
      </c>
      <c r="Y8" s="124">
        <f>+VLOOKUP(PROVEEDORES[[#This Row],[ID RETENCION]],Retenciones!$A$1:$K$25,2,FALSE)</f>
        <v>2.5000000000000001E-2</v>
      </c>
      <c r="Z8" s="125" t="b">
        <f>+OR(COUNTIF(PROVEEDORES[[#This Row],[PROVEEDOR]],"*"&amp;'Palabra que no opera y Listas d'!$A$2&amp;"*"))</f>
        <v>0</v>
      </c>
    </row>
    <row r="9" spans="1:26" ht="27.75" customHeight="1" x14ac:dyDescent="0.25">
      <c r="A9" s="112" t="str">
        <f>+IF(PROVEEDORES[[#This Row],[FECHA DE PAGO]]=PROVEEDORES[[#This Row],[FECHA DE FACTURACIÓN]],"DE CONTADO","CRÉDITO")</f>
        <v>CRÉDITO</v>
      </c>
      <c r="B9" s="112" t="str">
        <f>+IF((PROVEEDORES[[#This Row],[FECHA DE PAGO]]-PROVEEDORES[[#This Row],[FECHA DE FACTURACIÓN]])&gt;PROVEEDORES[[#This Row],[PLAZO Días]],"PAGO VENCIDO")</f>
        <v>PAGO VENCIDO</v>
      </c>
      <c r="C9" s="112">
        <f>+VLOOKUP(PROVEEDORES[[#This Row],[PROVEEDOR]],TERCEROS_INFO[#All],2,FALSE)</f>
        <v>30</v>
      </c>
      <c r="D9" s="113">
        <f>+SUMIFS(PROVEEDORES[Total],PROVEEDORES[PROVEEDOR],PROVEEDORES[[#This Row],[PROVEEDOR]],PROVEEDORES[FECHA DE PAGO],"")</f>
        <v>0</v>
      </c>
      <c r="E9" s="114"/>
      <c r="F9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9" s="115">
        <v>45601</v>
      </c>
      <c r="H9" s="116" t="s">
        <v>13</v>
      </c>
      <c r="I9" s="115">
        <v>45565</v>
      </c>
      <c r="J9" s="117" t="s">
        <v>676</v>
      </c>
      <c r="K9" s="117" t="s">
        <v>210</v>
      </c>
      <c r="L9" s="117" t="s">
        <v>259</v>
      </c>
      <c r="M9" s="118">
        <v>3487133</v>
      </c>
      <c r="N9" s="119">
        <v>662555.27</v>
      </c>
      <c r="O9" s="119">
        <v>0</v>
      </c>
      <c r="P9" s="120">
        <v>2.5000000000000001E-2</v>
      </c>
      <c r="Q9" s="119">
        <v>87178.325000000012</v>
      </c>
      <c r="R9" s="121">
        <v>4062509.9449999998</v>
      </c>
      <c r="S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122">
        <f ca="1">+IF(PROVEEDORES[[#This Row],[FECHA DE PAGO]]=0,TODAY()-PROVEEDORES[[#This Row],[FECHA DE FACTURACIÓN]]-PROVEEDORES[[#This Row],[PLAZO Días]],0)</f>
        <v>0</v>
      </c>
      <c r="U9" s="122" t="str">
        <f>+VLOOKUP(PROVEEDORES[[#This Row],[PROVEEDOR]],Terceros!$A:$D,4,FALSE)</f>
        <v>2,5% con base</v>
      </c>
      <c r="V9" s="122">
        <f>+YEAR(PROVEEDORES[[#This Row],[FECHA DE FACTURACIÓN]])</f>
        <v>2024</v>
      </c>
      <c r="W9" s="122">
        <f>+MATCH(PROVEEDORES[[#This Row],[año facturado]],Retenciones!$1:$1,0)</f>
        <v>3</v>
      </c>
      <c r="X9" s="123">
        <f>+VLOOKUP(PROVEEDORES[[#This Row],[ID RETENCION]],Retenciones!$A$1:$K$25,PROVEEDORES[[#This Row],[indicador de columna]],FALSE)</f>
        <v>1271000</v>
      </c>
      <c r="Y9" s="124">
        <f>+VLOOKUP(PROVEEDORES[[#This Row],[ID RETENCION]],Retenciones!$A$1:$K$25,2,FALSE)</f>
        <v>2.5000000000000001E-2</v>
      </c>
      <c r="Z9" s="125" t="b">
        <f>+OR(COUNTIF(PROVEEDORES[[#This Row],[PROVEEDOR]],"*"&amp;'Palabra que no opera y Listas d'!$A$2&amp;"*"))</f>
        <v>0</v>
      </c>
    </row>
    <row r="10" spans="1:26" ht="27.75" customHeight="1" x14ac:dyDescent="0.25">
      <c r="A10" s="112" t="str">
        <f>+IF(PROVEEDORES[[#This Row],[FECHA DE PAGO]]=PROVEEDORES[[#This Row],[FECHA DE FACTURACIÓN]],"DE CONTADO","CRÉDITO")</f>
        <v>CRÉDITO</v>
      </c>
      <c r="B10" s="112" t="str">
        <f>+IF((PROVEEDORES[[#This Row],[FECHA DE PAGO]]-PROVEEDORES[[#This Row],[FECHA DE FACTURACIÓN]])&gt;PROVEEDORES[[#This Row],[PLAZO Días]],"PAGO VENCIDO")</f>
        <v>PAGO VENCIDO</v>
      </c>
      <c r="C10" s="112">
        <f>+VLOOKUP(PROVEEDORES[[#This Row],[PROVEEDOR]],TERCEROS_INFO[#All],2,FALSE)</f>
        <v>20</v>
      </c>
      <c r="D10" s="113">
        <f>+SUMIFS(PROVEEDORES[Total],PROVEEDORES[PROVEEDOR],PROVEEDORES[[#This Row],[PROVEEDOR]],PROVEEDORES[FECHA DE PAGO],"")</f>
        <v>0</v>
      </c>
      <c r="E10" s="114"/>
      <c r="F10" s="112">
        <f>+VLOOKUP(PROVEEDORES[[#This Row],[PROVEEDOR]],
                       Terceros!$A:$F,
                       5,
                       FALSE)</f>
        <v>0</v>
      </c>
      <c r="G10" s="115">
        <v>45601</v>
      </c>
      <c r="H10" s="116" t="s">
        <v>677</v>
      </c>
      <c r="I10" s="115">
        <v>45566</v>
      </c>
      <c r="J10" s="117" t="s">
        <v>678</v>
      </c>
      <c r="K10" s="117" t="s">
        <v>210</v>
      </c>
      <c r="L10" s="117" t="s">
        <v>234</v>
      </c>
      <c r="M10" s="118">
        <v>1474829</v>
      </c>
      <c r="N10" s="119"/>
      <c r="O10" s="119">
        <v>0</v>
      </c>
      <c r="P10" s="120">
        <v>0</v>
      </c>
      <c r="Q10" s="119">
        <v>0</v>
      </c>
      <c r="R10" s="121">
        <v>1474829</v>
      </c>
      <c r="S1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122">
        <f ca="1">+IF(PROVEEDORES[[#This Row],[FECHA DE PAGO]]=0,TODAY()-PROVEEDORES[[#This Row],[FECHA DE FACTURACIÓN]]-PROVEEDORES[[#This Row],[PLAZO Días]],0)</f>
        <v>0</v>
      </c>
      <c r="U10" s="122">
        <f>+VLOOKUP(PROVEEDORES[[#This Row],[PROVEEDOR]],Terceros!$A:$D,4,FALSE)</f>
        <v>0</v>
      </c>
      <c r="V10" s="122">
        <f>+YEAR(PROVEEDORES[[#This Row],[FECHA DE FACTURACIÓN]])</f>
        <v>2024</v>
      </c>
      <c r="W10" s="122">
        <f>+MATCH(PROVEEDORES[[#This Row],[año facturado]],Retenciones!$1:$1,0)</f>
        <v>3</v>
      </c>
      <c r="X10" s="123">
        <f>+VLOOKUP(PROVEEDORES[[#This Row],[ID RETENCION]],Retenciones!$A$1:$K$25,PROVEEDORES[[#This Row],[indicador de columna]],FALSE)</f>
        <v>0</v>
      </c>
      <c r="Y10" s="124">
        <f>+VLOOKUP(PROVEEDORES[[#This Row],[ID RETENCION]],Retenciones!$A$1:$K$25,2,FALSE)</f>
        <v>0</v>
      </c>
      <c r="Z10" s="125" t="b">
        <f>+OR(COUNTIF(PROVEEDORES[[#This Row],[PROVEEDOR]],"*"&amp;'Palabra que no opera y Listas d'!$A$2&amp;"*"))</f>
        <v>0</v>
      </c>
    </row>
    <row r="11" spans="1:26" ht="27.75" customHeight="1" x14ac:dyDescent="0.25">
      <c r="A11" s="112" t="str">
        <f>+IF(PROVEEDORES[[#This Row],[FECHA DE PAGO]]=PROVEEDORES[[#This Row],[FECHA DE FACTURACIÓN]],"DE CONTADO","CRÉDITO")</f>
        <v>CRÉDITO</v>
      </c>
      <c r="B11" s="112" t="str">
        <f>+IF((PROVEEDORES[[#This Row],[FECHA DE PAGO]]-PROVEEDORES[[#This Row],[FECHA DE FACTURACIÓN]])&gt;PROVEEDORES[[#This Row],[PLAZO Días]],"PAGO VENCIDO")</f>
        <v>PAGO VENCIDO</v>
      </c>
      <c r="C11" s="112">
        <f>+VLOOKUP(PROVEEDORES[[#This Row],[PROVEEDOR]],TERCEROS_INFO[#All],2,FALSE)</f>
        <v>30</v>
      </c>
      <c r="D11" s="113">
        <f>+SUMIFS(PROVEEDORES[Total],PROVEEDORES[PROVEEDOR],PROVEEDORES[[#This Row],[PROVEEDOR]],PROVEEDORES[FECHA DE PAGO],"")</f>
        <v>10855078.560000001</v>
      </c>
      <c r="E11" s="114"/>
      <c r="F11" s="112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" s="115">
        <v>45601</v>
      </c>
      <c r="H11" s="116" t="s">
        <v>10</v>
      </c>
      <c r="I11" s="115">
        <v>45567</v>
      </c>
      <c r="J11" s="117" t="s">
        <v>679</v>
      </c>
      <c r="K11" s="117" t="s">
        <v>256</v>
      </c>
      <c r="L11" s="117" t="s">
        <v>258</v>
      </c>
      <c r="M11" s="118">
        <v>285714</v>
      </c>
      <c r="N11" s="119">
        <v>54285.66</v>
      </c>
      <c r="O11" s="119">
        <v>0</v>
      </c>
      <c r="P11" s="120">
        <v>0</v>
      </c>
      <c r="Q11" s="119">
        <v>0</v>
      </c>
      <c r="R11" s="121">
        <v>339999.66000000003</v>
      </c>
      <c r="S1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122">
        <f ca="1">+IF(PROVEEDORES[[#This Row],[FECHA DE PAGO]]=0,TODAY()-PROVEEDORES[[#This Row],[FECHA DE FACTURACIÓN]]-PROVEEDORES[[#This Row],[PLAZO Días]],0)</f>
        <v>0</v>
      </c>
      <c r="U11" s="122" t="str">
        <f>+VLOOKUP(PROVEEDORES[[#This Row],[PROVEEDOR]],Terceros!$A:$D,4,FALSE)</f>
        <v>2,5% con base</v>
      </c>
      <c r="V11" s="122">
        <f>+YEAR(PROVEEDORES[[#This Row],[FECHA DE FACTURACIÓN]])</f>
        <v>2024</v>
      </c>
      <c r="W11" s="122">
        <f>+MATCH(PROVEEDORES[[#This Row],[año facturado]],Retenciones!$1:$1,0)</f>
        <v>3</v>
      </c>
      <c r="X11" s="123">
        <f>+VLOOKUP(PROVEEDORES[[#This Row],[ID RETENCION]],Retenciones!$A$1:$K$25,PROVEEDORES[[#This Row],[indicador de columna]],FALSE)</f>
        <v>1271000</v>
      </c>
      <c r="Y11" s="124">
        <f>+VLOOKUP(PROVEEDORES[[#This Row],[ID RETENCION]],Retenciones!$A$1:$K$25,2,FALSE)</f>
        <v>2.5000000000000001E-2</v>
      </c>
      <c r="Z11" s="125" t="b">
        <f>+OR(COUNTIF(PROVEEDORES[[#This Row],[PROVEEDOR]],"*"&amp;'Palabra que no opera y Listas d'!$A$2&amp;"*"))</f>
        <v>0</v>
      </c>
    </row>
    <row r="12" spans="1:26" ht="27.75" customHeight="1" x14ac:dyDescent="0.25">
      <c r="A12" s="112" t="str">
        <f>+IF(PROVEEDORES[[#This Row],[FECHA DE PAGO]]=PROVEEDORES[[#This Row],[FECHA DE FACTURACIÓN]],"DE CONTADO","CRÉDITO")</f>
        <v>DE CONTADO</v>
      </c>
      <c r="B12" s="112" t="b">
        <f>+IF((PROVEEDORES[[#This Row],[FECHA DE PAGO]]-PROVEEDORES[[#This Row],[FECHA DE FACTURACIÓN]])&gt;PROVEEDORES[[#This Row],[PLAZO Días]],"PAGO VENCIDO")</f>
        <v>0</v>
      </c>
      <c r="C12" s="112">
        <f>+VLOOKUP(PROVEEDORES[[#This Row],[PROVEEDOR]],TERCEROS_INFO[#All],2,FALSE)</f>
        <v>0</v>
      </c>
      <c r="D12" s="113">
        <f>+SUMIFS(PROVEEDORES[Total],PROVEEDORES[PROVEEDOR],PROVEEDORES[[#This Row],[PROVEEDOR]],PROVEEDORES[FECHA DE PAGO],"")</f>
        <v>0</v>
      </c>
      <c r="E12" s="114"/>
      <c r="F12" s="112">
        <f>+VLOOKUP(PROVEEDORES[[#This Row],[PROVEEDOR]],
                       Terceros!$A:$F,
                       5,
                       FALSE)</f>
        <v>0</v>
      </c>
      <c r="G12" s="115">
        <v>45601</v>
      </c>
      <c r="H12" s="116" t="s">
        <v>595</v>
      </c>
      <c r="I12" s="115">
        <v>45601</v>
      </c>
      <c r="J12" s="117" t="s">
        <v>665</v>
      </c>
      <c r="K12" s="117" t="s">
        <v>210</v>
      </c>
      <c r="L12" s="117" t="s">
        <v>234</v>
      </c>
      <c r="M12" s="118">
        <v>50000</v>
      </c>
      <c r="N12" s="119"/>
      <c r="O12" s="119">
        <v>0</v>
      </c>
      <c r="P12" s="120">
        <v>0</v>
      </c>
      <c r="Q12" s="119">
        <v>0</v>
      </c>
      <c r="R12" s="121">
        <v>50000</v>
      </c>
      <c r="S1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122">
        <f ca="1">+IF(PROVEEDORES[[#This Row],[FECHA DE PAGO]]=0,TODAY()-PROVEEDORES[[#This Row],[FECHA DE FACTURACIÓN]]-PROVEEDORES[[#This Row],[PLAZO Días]],0)</f>
        <v>0</v>
      </c>
      <c r="U12" s="122">
        <f>+VLOOKUP(PROVEEDORES[[#This Row],[PROVEEDOR]],Terceros!$A:$D,4,FALSE)</f>
        <v>0</v>
      </c>
      <c r="V12" s="122">
        <f>+YEAR(PROVEEDORES[[#This Row],[FECHA DE FACTURACIÓN]])</f>
        <v>2024</v>
      </c>
      <c r="W12" s="122">
        <f>+MATCH(PROVEEDORES[[#This Row],[año facturado]],Retenciones!$1:$1,0)</f>
        <v>3</v>
      </c>
      <c r="X12" s="123">
        <f>+VLOOKUP(PROVEEDORES[[#This Row],[ID RETENCION]],Retenciones!$A$1:$K$25,PROVEEDORES[[#This Row],[indicador de columna]],FALSE)</f>
        <v>0</v>
      </c>
      <c r="Y12" s="124">
        <f>+VLOOKUP(PROVEEDORES[[#This Row],[ID RETENCION]],Retenciones!$A$1:$K$25,2,FALSE)</f>
        <v>0</v>
      </c>
      <c r="Z12" s="125" t="b">
        <f>+OR(COUNTIF(PROVEEDORES[[#This Row],[PROVEEDOR]],"*"&amp;'Palabra que no opera y Listas d'!$A$2&amp;"*"))</f>
        <v>1</v>
      </c>
    </row>
    <row r="13" spans="1:26" ht="27.75" customHeight="1" x14ac:dyDescent="0.25">
      <c r="A13" s="112" t="str">
        <f>+IF(PROVEEDORES[[#This Row],[FECHA DE PAGO]]=PROVEEDORES[[#This Row],[FECHA DE FACTURACIÓN]],"DE CONTADO","CRÉDITO")</f>
        <v>CRÉDITO</v>
      </c>
      <c r="B13" s="112" t="str">
        <f>+IF((PROVEEDORES[[#This Row],[FECHA DE PAGO]]-PROVEEDORES[[#This Row],[FECHA DE FACTURACIÓN]])&gt;PROVEEDORES[[#This Row],[PLAZO Días]],"PAGO VENCIDO")</f>
        <v>PAGO VENCIDO</v>
      </c>
      <c r="C13" s="112">
        <f>+VLOOKUP(PROVEEDORES[[#This Row],[PROVEEDOR]],TERCEROS_INFO[#All],2,FALSE)</f>
        <v>30</v>
      </c>
      <c r="D13" s="113">
        <f>+SUMIFS(PROVEEDORES[Total],PROVEEDORES[PROVEEDOR],PROVEEDORES[[#This Row],[PROVEEDOR]],PROVEEDORES[FECHA DE PAGO],"")</f>
        <v>0</v>
      </c>
      <c r="E13" s="114"/>
      <c r="F13" s="112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3" s="115">
        <v>45602</v>
      </c>
      <c r="H13" s="116" t="s">
        <v>108</v>
      </c>
      <c r="I13" s="115">
        <v>45541</v>
      </c>
      <c r="J13" s="117" t="s">
        <v>680</v>
      </c>
      <c r="K13" s="117" t="s">
        <v>256</v>
      </c>
      <c r="L13" s="117" t="s">
        <v>258</v>
      </c>
      <c r="M13" s="118">
        <v>2081482</v>
      </c>
      <c r="N13" s="119">
        <v>395481.58</v>
      </c>
      <c r="O13" s="119">
        <v>0</v>
      </c>
      <c r="P13" s="120">
        <v>2.5000000000000001E-2</v>
      </c>
      <c r="Q13" s="119">
        <v>52037.05</v>
      </c>
      <c r="R13" s="121">
        <v>2424926.5300000003</v>
      </c>
      <c r="S1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122">
        <f ca="1">+IF(PROVEEDORES[[#This Row],[FECHA DE PAGO]]=0,TODAY()-PROVEEDORES[[#This Row],[FECHA DE FACTURACIÓN]]-PROVEEDORES[[#This Row],[PLAZO Días]],0)</f>
        <v>0</v>
      </c>
      <c r="U13" s="122" t="str">
        <f>+VLOOKUP(PROVEEDORES[[#This Row],[PROVEEDOR]],Terceros!$A:$D,4,FALSE)</f>
        <v>2,5% con base</v>
      </c>
      <c r="V13" s="122">
        <f>+YEAR(PROVEEDORES[[#This Row],[FECHA DE FACTURACIÓN]])</f>
        <v>2024</v>
      </c>
      <c r="W13" s="122">
        <f>+MATCH(PROVEEDORES[[#This Row],[año facturado]],Retenciones!$1:$1,0)</f>
        <v>3</v>
      </c>
      <c r="X13" s="123">
        <f>+VLOOKUP(PROVEEDORES[[#This Row],[ID RETENCION]],Retenciones!$A$1:$K$25,PROVEEDORES[[#This Row],[indicador de columna]],FALSE)</f>
        <v>1271000</v>
      </c>
      <c r="Y13" s="124">
        <f>+VLOOKUP(PROVEEDORES[[#This Row],[ID RETENCION]],Retenciones!$A$1:$K$25,2,FALSE)</f>
        <v>2.5000000000000001E-2</v>
      </c>
      <c r="Z13" s="125" t="b">
        <f>+OR(COUNTIF(PROVEEDORES[[#This Row],[PROVEEDOR]],"*"&amp;'Palabra que no opera y Listas d'!$A$2&amp;"*"))</f>
        <v>0</v>
      </c>
    </row>
    <row r="14" spans="1:26" ht="27.75" customHeight="1" x14ac:dyDescent="0.25">
      <c r="A14" s="112" t="str">
        <f>+IF(PROVEEDORES[[#This Row],[FECHA DE PAGO]]=PROVEEDORES[[#This Row],[FECHA DE FACTURACIÓN]],"DE CONTADO","CRÉDITO")</f>
        <v>CRÉDITO</v>
      </c>
      <c r="B14" s="112" t="str">
        <f>+IF((PROVEEDORES[[#This Row],[FECHA DE PAGO]]-PROVEEDORES[[#This Row],[FECHA DE FACTURACIÓN]])&gt;PROVEEDORES[[#This Row],[PLAZO Días]],"PAGO VENCIDO")</f>
        <v>PAGO VENCIDO</v>
      </c>
      <c r="C14" s="112">
        <f>+VLOOKUP(PROVEEDORES[[#This Row],[PROVEEDOR]],TERCEROS_INFO[#All],2,FALSE)</f>
        <v>30</v>
      </c>
      <c r="D14" s="113">
        <f>+SUMIFS(PROVEEDORES[Total],PROVEEDORES[PROVEEDOR],PROVEEDORES[[#This Row],[PROVEEDOR]],PROVEEDORES[FECHA DE PAGO],"")</f>
        <v>0</v>
      </c>
      <c r="E14" s="114"/>
      <c r="F14" s="112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4" s="115">
        <v>45602</v>
      </c>
      <c r="H14" s="116" t="s">
        <v>27</v>
      </c>
      <c r="I14" s="115">
        <v>45545</v>
      </c>
      <c r="J14" s="117" t="s">
        <v>681</v>
      </c>
      <c r="K14" s="117" t="s">
        <v>256</v>
      </c>
      <c r="L14" s="117" t="s">
        <v>258</v>
      </c>
      <c r="M14" s="118">
        <v>642857</v>
      </c>
      <c r="N14" s="119">
        <v>122142.83</v>
      </c>
      <c r="O14" s="119">
        <v>0</v>
      </c>
      <c r="P14" s="120">
        <v>0</v>
      </c>
      <c r="Q14" s="119">
        <v>0</v>
      </c>
      <c r="R14" s="121">
        <v>764999.83</v>
      </c>
      <c r="S1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122">
        <f ca="1">+IF(PROVEEDORES[[#This Row],[FECHA DE PAGO]]=0,TODAY()-PROVEEDORES[[#This Row],[FECHA DE FACTURACIÓN]]-PROVEEDORES[[#This Row],[PLAZO Días]],0)</f>
        <v>0</v>
      </c>
      <c r="U14" s="122" t="str">
        <f>+VLOOKUP(PROVEEDORES[[#This Row],[PROVEEDOR]],Terceros!$A:$D,4,FALSE)</f>
        <v>2,5% con base</v>
      </c>
      <c r="V14" s="122">
        <f>+YEAR(PROVEEDORES[[#This Row],[FECHA DE FACTURACIÓN]])</f>
        <v>2024</v>
      </c>
      <c r="W14" s="122">
        <f>+MATCH(PROVEEDORES[[#This Row],[año facturado]],Retenciones!$1:$1,0)</f>
        <v>3</v>
      </c>
      <c r="X14" s="123">
        <f>+VLOOKUP(PROVEEDORES[[#This Row],[ID RETENCION]],Retenciones!$A$1:$K$25,PROVEEDORES[[#This Row],[indicador de columna]],FALSE)</f>
        <v>1271000</v>
      </c>
      <c r="Y14" s="124">
        <f>+VLOOKUP(PROVEEDORES[[#This Row],[ID RETENCION]],Retenciones!$A$1:$K$25,2,FALSE)</f>
        <v>2.5000000000000001E-2</v>
      </c>
      <c r="Z14" s="125" t="b">
        <f>+OR(COUNTIF(PROVEEDORES[[#This Row],[PROVEEDOR]],"*"&amp;'Palabra que no opera y Listas d'!$A$2&amp;"*"))</f>
        <v>0</v>
      </c>
    </row>
    <row r="15" spans="1:26" ht="27.75" customHeight="1" x14ac:dyDescent="0.25">
      <c r="A15" s="112" t="str">
        <f>+IF(PROVEEDORES[[#This Row],[FECHA DE PAGO]]=PROVEEDORES[[#This Row],[FECHA DE FACTURACIÓN]],"DE CONTADO","CRÉDITO")</f>
        <v>CRÉDITO</v>
      </c>
      <c r="B15" s="112" t="str">
        <f>+IF((PROVEEDORES[[#This Row],[FECHA DE PAGO]]-PROVEEDORES[[#This Row],[FECHA DE FACTURACIÓN]])&gt;PROVEEDORES[[#This Row],[PLAZO Días]],"PAGO VENCIDO")</f>
        <v>PAGO VENCIDO</v>
      </c>
      <c r="C15" s="112">
        <f>+VLOOKUP(PROVEEDORES[[#This Row],[PROVEEDOR]],TERCEROS_INFO[#All],2,FALSE)</f>
        <v>45</v>
      </c>
      <c r="D15" s="113">
        <f>+SUMIFS(PROVEEDORES[Total],PROVEEDORES[PROVEEDOR],PROVEEDORES[[#This Row],[PROVEEDOR]],PROVEEDORES[FECHA DE PAGO],"")</f>
        <v>7217585.0800000001</v>
      </c>
      <c r="E15" s="114"/>
      <c r="F15" s="112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" s="115">
        <v>45602</v>
      </c>
      <c r="H15" s="116" t="s">
        <v>9</v>
      </c>
      <c r="I15" s="115">
        <v>45553</v>
      </c>
      <c r="J15" s="117" t="s">
        <v>682</v>
      </c>
      <c r="K15" s="117" t="s">
        <v>256</v>
      </c>
      <c r="L15" s="117" t="s">
        <v>259</v>
      </c>
      <c r="M15" s="118">
        <v>1368000</v>
      </c>
      <c r="N15" s="119">
        <v>259920</v>
      </c>
      <c r="O15" s="119">
        <v>0</v>
      </c>
      <c r="P15" s="120">
        <v>2.5000000000000001E-2</v>
      </c>
      <c r="Q15" s="119">
        <v>34200</v>
      </c>
      <c r="R15" s="121">
        <v>1593720</v>
      </c>
      <c r="S1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122">
        <f ca="1">+IF(PROVEEDORES[[#This Row],[FECHA DE PAGO]]=0,TODAY()-PROVEEDORES[[#This Row],[FECHA DE FACTURACIÓN]]-PROVEEDORES[[#This Row],[PLAZO Días]],0)</f>
        <v>0</v>
      </c>
      <c r="U15" s="122" t="str">
        <f>+VLOOKUP(PROVEEDORES[[#This Row],[PROVEEDOR]],Terceros!$A:$D,4,FALSE)</f>
        <v>2,5% con base</v>
      </c>
      <c r="V15" s="122">
        <f>+YEAR(PROVEEDORES[[#This Row],[FECHA DE FACTURACIÓN]])</f>
        <v>2024</v>
      </c>
      <c r="W15" s="122">
        <f>+MATCH(PROVEEDORES[[#This Row],[año facturado]],Retenciones!$1:$1,0)</f>
        <v>3</v>
      </c>
      <c r="X15" s="123">
        <f>+VLOOKUP(PROVEEDORES[[#This Row],[ID RETENCION]],Retenciones!$A$1:$K$25,PROVEEDORES[[#This Row],[indicador de columna]],FALSE)</f>
        <v>1271000</v>
      </c>
      <c r="Y15" s="124">
        <f>+VLOOKUP(PROVEEDORES[[#This Row],[ID RETENCION]],Retenciones!$A$1:$K$25,2,FALSE)</f>
        <v>2.5000000000000001E-2</v>
      </c>
      <c r="Z15" s="125" t="b">
        <f>+OR(COUNTIF(PROVEEDORES[[#This Row],[PROVEEDOR]],"*"&amp;'Palabra que no opera y Listas d'!$A$2&amp;"*"))</f>
        <v>0</v>
      </c>
    </row>
    <row r="16" spans="1:26" ht="27.75" customHeight="1" x14ac:dyDescent="0.25">
      <c r="A16" s="112" t="str">
        <f>+IF(PROVEEDORES[[#This Row],[FECHA DE PAGO]]=PROVEEDORES[[#This Row],[FECHA DE FACTURACIÓN]],"DE CONTADO","CRÉDITO")</f>
        <v>DE CONTADO</v>
      </c>
      <c r="B16" s="112" t="b">
        <f>+IF((PROVEEDORES[[#This Row],[FECHA DE PAGO]]-PROVEEDORES[[#This Row],[FECHA DE FACTURACIÓN]])&gt;PROVEEDORES[[#This Row],[PLAZO Días]],"PAGO VENCIDO")</f>
        <v>0</v>
      </c>
      <c r="C16" s="112">
        <f>+VLOOKUP(PROVEEDORES[[#This Row],[PROVEEDOR]],TERCEROS_INFO[#All],2,FALSE)</f>
        <v>30</v>
      </c>
      <c r="D16" s="113">
        <f>+SUMIFS(PROVEEDORES[Total],PROVEEDORES[PROVEEDOR],PROVEEDORES[[#This Row],[PROVEEDOR]],PROVEEDORES[FECHA DE PAGO],"")</f>
        <v>0</v>
      </c>
      <c r="E16" s="114"/>
      <c r="F16" s="112" t="str">
        <f>+VLOOKUP(PROVEEDORES[[#This Row],[PROVEEDOR]],
                       Terceros!$A:$F,
                       5,
                       FALSE)</f>
        <v/>
      </c>
      <c r="G16" s="115">
        <v>45602</v>
      </c>
      <c r="H16" s="116" t="s">
        <v>662</v>
      </c>
      <c r="I16" s="115">
        <v>45602</v>
      </c>
      <c r="J16" s="117" t="s">
        <v>664</v>
      </c>
      <c r="K16" s="117" t="s">
        <v>210</v>
      </c>
      <c r="L16" s="117" t="s">
        <v>234</v>
      </c>
      <c r="M16" s="118">
        <v>400000</v>
      </c>
      <c r="N16" s="119"/>
      <c r="O16" s="119">
        <v>0</v>
      </c>
      <c r="P16" s="120">
        <v>0</v>
      </c>
      <c r="Q16" s="119">
        <v>0</v>
      </c>
      <c r="R16" s="121">
        <v>400000</v>
      </c>
      <c r="S1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122">
        <f ca="1">+IF(PROVEEDORES[[#This Row],[FECHA DE PAGO]]=0,TODAY()-PROVEEDORES[[#This Row],[FECHA DE FACTURACIÓN]]-PROVEEDORES[[#This Row],[PLAZO Días]],0)</f>
        <v>0</v>
      </c>
      <c r="U16" s="122">
        <f>+VLOOKUP(PROVEEDORES[[#This Row],[PROVEEDOR]],Terceros!$A:$D,4,FALSE)</f>
        <v>0</v>
      </c>
      <c r="V16" s="122">
        <f>+YEAR(PROVEEDORES[[#This Row],[FECHA DE FACTURACIÓN]])</f>
        <v>2024</v>
      </c>
      <c r="W16" s="122">
        <f>+MATCH(PROVEEDORES[[#This Row],[año facturado]],Retenciones!$1:$1,0)</f>
        <v>3</v>
      </c>
      <c r="X16" s="123">
        <f>+VLOOKUP(PROVEEDORES[[#This Row],[ID RETENCION]],Retenciones!$A$1:$K$25,PROVEEDORES[[#This Row],[indicador de columna]],FALSE)</f>
        <v>0</v>
      </c>
      <c r="Y16" s="124">
        <f>+VLOOKUP(PROVEEDORES[[#This Row],[ID RETENCION]],Retenciones!$A$1:$K$25,2,FALSE)</f>
        <v>0</v>
      </c>
      <c r="Z16" s="125" t="b">
        <f>+OR(COUNTIF(PROVEEDORES[[#This Row],[PROVEEDOR]],"*"&amp;'Palabra que no opera y Listas d'!$A$2&amp;"*"))</f>
        <v>0</v>
      </c>
    </row>
    <row r="17" spans="1:26" ht="27.75" customHeight="1" x14ac:dyDescent="0.25">
      <c r="A17" s="112" t="str">
        <f>+IF(PROVEEDORES[[#This Row],[FECHA DE PAGO]]=PROVEEDORES[[#This Row],[FECHA DE FACTURACIÓN]],"DE CONTADO","CRÉDITO")</f>
        <v>DE CONTADO</v>
      </c>
      <c r="B17" s="112" t="b">
        <f>+IF((PROVEEDORES[[#This Row],[FECHA DE PAGO]]-PROVEEDORES[[#This Row],[FECHA DE FACTURACIÓN]])&gt;PROVEEDORES[[#This Row],[PLAZO Días]],"PAGO VENCIDO")</f>
        <v>0</v>
      </c>
      <c r="C17" s="112">
        <f>+VLOOKUP(PROVEEDORES[[#This Row],[PROVEEDOR]],TERCEROS_INFO[#All],2,FALSE)</f>
        <v>30</v>
      </c>
      <c r="D17" s="113">
        <f>+SUMIFS(PROVEEDORES[Total],PROVEEDORES[PROVEEDOR],PROVEEDORES[[#This Row],[PROVEEDOR]],PROVEEDORES[FECHA DE PAGO],"")</f>
        <v>0</v>
      </c>
      <c r="E17" s="114"/>
      <c r="F17" s="112" t="str">
        <f>+VLOOKUP(PROVEEDORES[[#This Row],[PROVEEDOR]],
                       Terceros!$A:$F,
                       5,
                       FALSE)</f>
        <v/>
      </c>
      <c r="G17" s="115">
        <v>45602</v>
      </c>
      <c r="H17" s="116" t="s">
        <v>662</v>
      </c>
      <c r="I17" s="115">
        <v>45602</v>
      </c>
      <c r="J17" s="117" t="s">
        <v>671</v>
      </c>
      <c r="K17" s="117" t="s">
        <v>256</v>
      </c>
      <c r="L17" s="117" t="s">
        <v>234</v>
      </c>
      <c r="M17" s="118">
        <v>360000</v>
      </c>
      <c r="N17" s="119"/>
      <c r="O17" s="119">
        <v>0</v>
      </c>
      <c r="P17" s="120">
        <v>0</v>
      </c>
      <c r="Q17" s="119">
        <v>0</v>
      </c>
      <c r="R17" s="121">
        <v>360000</v>
      </c>
      <c r="S1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122">
        <f ca="1">+IF(PROVEEDORES[[#This Row],[FECHA DE PAGO]]=0,TODAY()-PROVEEDORES[[#This Row],[FECHA DE FACTURACIÓN]]-PROVEEDORES[[#This Row],[PLAZO Días]],0)</f>
        <v>0</v>
      </c>
      <c r="U17" s="122">
        <f>+VLOOKUP(PROVEEDORES[[#This Row],[PROVEEDOR]],Terceros!$A:$D,4,FALSE)</f>
        <v>0</v>
      </c>
      <c r="V17" s="122">
        <f>+YEAR(PROVEEDORES[[#This Row],[FECHA DE FACTURACIÓN]])</f>
        <v>2024</v>
      </c>
      <c r="W17" s="122">
        <f>+MATCH(PROVEEDORES[[#This Row],[año facturado]],Retenciones!$1:$1,0)</f>
        <v>3</v>
      </c>
      <c r="X17" s="123">
        <f>+VLOOKUP(PROVEEDORES[[#This Row],[ID RETENCION]],Retenciones!$A$1:$K$25,PROVEEDORES[[#This Row],[indicador de columna]],FALSE)</f>
        <v>0</v>
      </c>
      <c r="Y17" s="124">
        <f>+VLOOKUP(PROVEEDORES[[#This Row],[ID RETENCION]],Retenciones!$A$1:$K$25,2,FALSE)</f>
        <v>0</v>
      </c>
      <c r="Z17" s="125" t="b">
        <f>+OR(COUNTIF(PROVEEDORES[[#This Row],[PROVEEDOR]],"*"&amp;'Palabra que no opera y Listas d'!$A$2&amp;"*"))</f>
        <v>0</v>
      </c>
    </row>
    <row r="18" spans="1:26" ht="27.75" customHeight="1" x14ac:dyDescent="0.25">
      <c r="A18" s="112" t="str">
        <f>+IF(PROVEEDORES[[#This Row],[FECHA DE PAGO]]=PROVEEDORES[[#This Row],[FECHA DE FACTURACIÓN]],"DE CONTADO","CRÉDITO")</f>
        <v>DE CONTADO</v>
      </c>
      <c r="B18" s="112" t="b">
        <f>+IF((PROVEEDORES[[#This Row],[FECHA DE PAGO]]-PROVEEDORES[[#This Row],[FECHA DE FACTURACIÓN]])&gt;PROVEEDORES[[#This Row],[PLAZO Días]],"PAGO VENCIDO")</f>
        <v>0</v>
      </c>
      <c r="C18" s="112">
        <f>+VLOOKUP(PROVEEDORES[[#This Row],[PROVEEDOR]],TERCEROS_INFO[#All],2,FALSE)</f>
        <v>30</v>
      </c>
      <c r="D18" s="113">
        <f>+SUMIFS(PROVEEDORES[Total],PROVEEDORES[PROVEEDOR],PROVEEDORES[[#This Row],[PROVEEDOR]],PROVEEDORES[FECHA DE PAGO],"")</f>
        <v>0</v>
      </c>
      <c r="E18" s="114"/>
      <c r="F18" s="112" t="str">
        <f>+VLOOKUP(PROVEEDORES[[#This Row],[PROVEEDOR]],
                       Terceros!$A:$F,
                       5,
                       FALSE)</f>
        <v/>
      </c>
      <c r="G18" s="115">
        <v>45602</v>
      </c>
      <c r="H18" s="116" t="s">
        <v>317</v>
      </c>
      <c r="I18" s="115">
        <v>45602</v>
      </c>
      <c r="J18" s="117" t="s">
        <v>660</v>
      </c>
      <c r="K18" s="117" t="s">
        <v>256</v>
      </c>
      <c r="L18" s="117" t="s">
        <v>234</v>
      </c>
      <c r="M18" s="118">
        <v>847000</v>
      </c>
      <c r="N18" s="119"/>
      <c r="O18" s="119">
        <v>0</v>
      </c>
      <c r="P18" s="120">
        <v>0</v>
      </c>
      <c r="Q18" s="119">
        <v>0</v>
      </c>
      <c r="R18" s="121">
        <v>847000</v>
      </c>
      <c r="S1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122">
        <f ca="1">+IF(PROVEEDORES[[#This Row],[FECHA DE PAGO]]=0,TODAY()-PROVEEDORES[[#This Row],[FECHA DE FACTURACIÓN]]-PROVEEDORES[[#This Row],[PLAZO Días]],0)</f>
        <v>0</v>
      </c>
      <c r="U18" s="122">
        <f>+VLOOKUP(PROVEEDORES[[#This Row],[PROVEEDOR]],Terceros!$A:$D,4,FALSE)</f>
        <v>0</v>
      </c>
      <c r="V18" s="122">
        <f>+YEAR(PROVEEDORES[[#This Row],[FECHA DE FACTURACIÓN]])</f>
        <v>2024</v>
      </c>
      <c r="W18" s="122">
        <f>+MATCH(PROVEEDORES[[#This Row],[año facturado]],Retenciones!$1:$1,0)</f>
        <v>3</v>
      </c>
      <c r="X18" s="123">
        <f>+VLOOKUP(PROVEEDORES[[#This Row],[ID RETENCION]],Retenciones!$A$1:$K$25,PROVEEDORES[[#This Row],[indicador de columna]],FALSE)</f>
        <v>0</v>
      </c>
      <c r="Y18" s="124">
        <f>+VLOOKUP(PROVEEDORES[[#This Row],[ID RETENCION]],Retenciones!$A$1:$K$25,2,FALSE)</f>
        <v>0</v>
      </c>
      <c r="Z18" s="125" t="b">
        <f>+OR(COUNTIF(PROVEEDORES[[#This Row],[PROVEEDOR]],"*"&amp;'Palabra que no opera y Listas d'!$A$2&amp;"*"))</f>
        <v>1</v>
      </c>
    </row>
    <row r="19" spans="1:26" ht="27.75" customHeight="1" x14ac:dyDescent="0.25">
      <c r="A19" s="112" t="str">
        <f>+IF(PROVEEDORES[[#This Row],[FECHA DE PAGO]]=PROVEEDORES[[#This Row],[FECHA DE FACTURACIÓN]],"DE CONTADO","CRÉDITO")</f>
        <v>DE CONTADO</v>
      </c>
      <c r="B19" s="112" t="b">
        <f>+IF((PROVEEDORES[[#This Row],[FECHA DE PAGO]]-PROVEEDORES[[#This Row],[FECHA DE FACTURACIÓN]])&gt;PROVEEDORES[[#This Row],[PLAZO Días]],"PAGO VENCIDO")</f>
        <v>0</v>
      </c>
      <c r="C19" s="112">
        <f>+VLOOKUP(PROVEEDORES[[#This Row],[PROVEEDOR]],TERCEROS_INFO[#All],2,FALSE)</f>
        <v>0</v>
      </c>
      <c r="D19" s="113">
        <f>+SUMIFS(PROVEEDORES[Total],PROVEEDORES[PROVEEDOR],PROVEEDORES[[#This Row],[PROVEEDOR]],PROVEEDORES[FECHA DE PAGO],"")</f>
        <v>0</v>
      </c>
      <c r="E19" s="114"/>
      <c r="F19" s="112">
        <f>+VLOOKUP(PROVEEDORES[[#This Row],[PROVEEDOR]],
                       Terceros!$A:$F,
                       5,
                       FALSE)</f>
        <v>0</v>
      </c>
      <c r="G19" s="115">
        <v>45602</v>
      </c>
      <c r="H19" s="116" t="s">
        <v>595</v>
      </c>
      <c r="I19" s="115">
        <v>45602</v>
      </c>
      <c r="J19" s="117" t="s">
        <v>665</v>
      </c>
      <c r="K19" s="117" t="s">
        <v>210</v>
      </c>
      <c r="L19" s="117" t="s">
        <v>234</v>
      </c>
      <c r="M19" s="118">
        <v>500000</v>
      </c>
      <c r="N19" s="119"/>
      <c r="O19" s="119">
        <v>0</v>
      </c>
      <c r="P19" s="120">
        <v>0</v>
      </c>
      <c r="Q19" s="119">
        <v>0</v>
      </c>
      <c r="R19" s="121">
        <v>500000</v>
      </c>
      <c r="S1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122">
        <f ca="1">+IF(PROVEEDORES[[#This Row],[FECHA DE PAGO]]=0,TODAY()-PROVEEDORES[[#This Row],[FECHA DE FACTURACIÓN]]-PROVEEDORES[[#This Row],[PLAZO Días]],0)</f>
        <v>0</v>
      </c>
      <c r="U19" s="122">
        <f>+VLOOKUP(PROVEEDORES[[#This Row],[PROVEEDOR]],Terceros!$A:$D,4,FALSE)</f>
        <v>0</v>
      </c>
      <c r="V19" s="122">
        <f>+YEAR(PROVEEDORES[[#This Row],[FECHA DE FACTURACIÓN]])</f>
        <v>2024</v>
      </c>
      <c r="W19" s="122">
        <f>+MATCH(PROVEEDORES[[#This Row],[año facturado]],Retenciones!$1:$1,0)</f>
        <v>3</v>
      </c>
      <c r="X19" s="123">
        <f>+VLOOKUP(PROVEEDORES[[#This Row],[ID RETENCION]],Retenciones!$A$1:$K$25,PROVEEDORES[[#This Row],[indicador de columna]],FALSE)</f>
        <v>0</v>
      </c>
      <c r="Y19" s="124">
        <f>+VLOOKUP(PROVEEDORES[[#This Row],[ID RETENCION]],Retenciones!$A$1:$K$25,2,FALSE)</f>
        <v>0</v>
      </c>
      <c r="Z19" s="125" t="b">
        <f>+OR(COUNTIF(PROVEEDORES[[#This Row],[PROVEEDOR]],"*"&amp;'Palabra que no opera y Listas d'!$A$2&amp;"*"))</f>
        <v>1</v>
      </c>
    </row>
    <row r="20" spans="1:26" ht="27.75" customHeight="1" x14ac:dyDescent="0.25">
      <c r="A20" s="112" t="str">
        <f>+IF(PROVEEDORES[[#This Row],[FECHA DE PAGO]]=PROVEEDORES[[#This Row],[FECHA DE FACTURACIÓN]],"DE CONTADO","CRÉDITO")</f>
        <v>CRÉDITO</v>
      </c>
      <c r="B20" s="112" t="str">
        <f>+IF((PROVEEDORES[[#This Row],[FECHA DE PAGO]]-PROVEEDORES[[#This Row],[FECHA DE FACTURACIÓN]])&gt;PROVEEDORES[[#This Row],[PLAZO Días]],"PAGO VENCIDO")</f>
        <v>PAGO VENCIDO</v>
      </c>
      <c r="C20" s="112">
        <f>+VLOOKUP(PROVEEDORES[[#This Row],[PROVEEDOR]],TERCEROS_INFO[#All],2,FALSE)</f>
        <v>30</v>
      </c>
      <c r="D20" s="113">
        <f>+SUMIFS(PROVEEDORES[Total],PROVEEDORES[PROVEEDOR],PROVEEDORES[[#This Row],[PROVEEDOR]],PROVEEDORES[FECHA DE PAGO],"")</f>
        <v>0</v>
      </c>
      <c r="E20" s="114"/>
      <c r="F20" s="112">
        <f>+VLOOKUP(PROVEEDORES[[#This Row],[PROVEEDOR]],
                       Terceros!$A:$F,
                       5,
                       FALSE)</f>
        <v>0</v>
      </c>
      <c r="G20" s="115">
        <v>45603</v>
      </c>
      <c r="H20" s="116" t="s">
        <v>646</v>
      </c>
      <c r="I20" s="115">
        <v>45560</v>
      </c>
      <c r="J20" s="117" t="s">
        <v>683</v>
      </c>
      <c r="K20" s="117" t="s">
        <v>256</v>
      </c>
      <c r="L20" s="117" t="s">
        <v>234</v>
      </c>
      <c r="M20" s="118">
        <v>13850000</v>
      </c>
      <c r="N20" s="119"/>
      <c r="O20" s="119">
        <v>0</v>
      </c>
      <c r="P20" s="120">
        <v>0</v>
      </c>
      <c r="Q20" s="119">
        <v>0</v>
      </c>
      <c r="R20" s="121">
        <v>13850000</v>
      </c>
      <c r="S2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122">
        <f ca="1">+IF(PROVEEDORES[[#This Row],[FECHA DE PAGO]]=0,TODAY()-PROVEEDORES[[#This Row],[FECHA DE FACTURACIÓN]]-PROVEEDORES[[#This Row],[PLAZO Días]],0)</f>
        <v>0</v>
      </c>
      <c r="U20" s="122">
        <f>+VLOOKUP(PROVEEDORES[[#This Row],[PROVEEDOR]],Terceros!$A:$D,4,FALSE)</f>
        <v>0</v>
      </c>
      <c r="V20" s="122">
        <f>+YEAR(PROVEEDORES[[#This Row],[FECHA DE FACTURACIÓN]])</f>
        <v>2024</v>
      </c>
      <c r="W20" s="122">
        <f>+MATCH(PROVEEDORES[[#This Row],[año facturado]],Retenciones!$1:$1,0)</f>
        <v>3</v>
      </c>
      <c r="X20" s="123">
        <f>+VLOOKUP(PROVEEDORES[[#This Row],[ID RETENCION]],Retenciones!$A$1:$K$25,PROVEEDORES[[#This Row],[indicador de columna]],FALSE)</f>
        <v>0</v>
      </c>
      <c r="Y20" s="124">
        <f>+VLOOKUP(PROVEEDORES[[#This Row],[ID RETENCION]],Retenciones!$A$1:$K$25,2,FALSE)</f>
        <v>0</v>
      </c>
      <c r="Z20" s="125" t="b">
        <f>+OR(COUNTIF(PROVEEDORES[[#This Row],[PROVEEDOR]],"*"&amp;'Palabra que no opera y Listas d'!$A$2&amp;"*"))</f>
        <v>0</v>
      </c>
    </row>
    <row r="21" spans="1:26" ht="27.75" customHeight="1" x14ac:dyDescent="0.25">
      <c r="A21" s="112" t="str">
        <f>+IF(PROVEEDORES[[#This Row],[FECHA DE PAGO]]=PROVEEDORES[[#This Row],[FECHA DE FACTURACIÓN]],"DE CONTADO","CRÉDITO")</f>
        <v>CRÉDITO</v>
      </c>
      <c r="B21" s="112" t="str">
        <f>+IF((PROVEEDORES[[#This Row],[FECHA DE PAGO]]-PROVEEDORES[[#This Row],[FECHA DE FACTURACIÓN]])&gt;PROVEEDORES[[#This Row],[PLAZO Días]],"PAGO VENCIDO")</f>
        <v>PAGO VENCIDO</v>
      </c>
      <c r="C21" s="112">
        <f>+VLOOKUP(PROVEEDORES[[#This Row],[PROVEEDOR]],TERCEROS_INFO[#All],2,FALSE)</f>
        <v>30</v>
      </c>
      <c r="D21" s="113">
        <f>+SUMIFS(PROVEEDORES[Total],PROVEEDORES[PROVEEDOR],PROVEEDORES[[#This Row],[PROVEEDOR]],PROVEEDORES[FECHA DE PAGO],"")</f>
        <v>0</v>
      </c>
      <c r="E21" s="114"/>
      <c r="F21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21" s="115">
        <v>45603</v>
      </c>
      <c r="H21" s="116" t="s">
        <v>491</v>
      </c>
      <c r="I21" s="115">
        <v>45567</v>
      </c>
      <c r="J21" s="117" t="s">
        <v>684</v>
      </c>
      <c r="K21" s="117" t="s">
        <v>256</v>
      </c>
      <c r="L21" s="117" t="s">
        <v>258</v>
      </c>
      <c r="M21" s="118">
        <v>1291470</v>
      </c>
      <c r="N21" s="119">
        <v>245379.3</v>
      </c>
      <c r="O21" s="119">
        <v>0</v>
      </c>
      <c r="P21" s="120">
        <v>2.5000000000000001E-2</v>
      </c>
      <c r="Q21" s="119">
        <v>32286.75</v>
      </c>
      <c r="R21" s="121">
        <v>1504562.55</v>
      </c>
      <c r="S2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122">
        <f ca="1">+IF(PROVEEDORES[[#This Row],[FECHA DE PAGO]]=0,TODAY()-PROVEEDORES[[#This Row],[FECHA DE FACTURACIÓN]]-PROVEEDORES[[#This Row],[PLAZO Días]],0)</f>
        <v>0</v>
      </c>
      <c r="U21" s="122" t="str">
        <f>+VLOOKUP(PROVEEDORES[[#This Row],[PROVEEDOR]],Terceros!$A:$D,4,FALSE)</f>
        <v>2,5% con base</v>
      </c>
      <c r="V21" s="122">
        <f>+YEAR(PROVEEDORES[[#This Row],[FECHA DE FACTURACIÓN]])</f>
        <v>2024</v>
      </c>
      <c r="W21" s="122">
        <f>+MATCH(PROVEEDORES[[#This Row],[año facturado]],Retenciones!$1:$1,0)</f>
        <v>3</v>
      </c>
      <c r="X21" s="123">
        <f>+VLOOKUP(PROVEEDORES[[#This Row],[ID RETENCION]],Retenciones!$A$1:$K$25,PROVEEDORES[[#This Row],[indicador de columna]],FALSE)</f>
        <v>1271000</v>
      </c>
      <c r="Y21" s="124">
        <f>+VLOOKUP(PROVEEDORES[[#This Row],[ID RETENCION]],Retenciones!$A$1:$K$25,2,FALSE)</f>
        <v>2.5000000000000001E-2</v>
      </c>
      <c r="Z21" s="125" t="b">
        <f>+OR(COUNTIF(PROVEEDORES[[#This Row],[PROVEEDOR]],"*"&amp;'Palabra que no opera y Listas d'!$A$2&amp;"*"))</f>
        <v>0</v>
      </c>
    </row>
    <row r="22" spans="1:26" ht="27.75" customHeight="1" x14ac:dyDescent="0.25">
      <c r="A22" s="112" t="str">
        <f>+IF(PROVEEDORES[[#This Row],[FECHA DE PAGO]]=PROVEEDORES[[#This Row],[FECHA DE FACTURACIÓN]],"DE CONTADO","CRÉDITO")</f>
        <v>CRÉDITO</v>
      </c>
      <c r="B22" s="112" t="str">
        <f>+IF((PROVEEDORES[[#This Row],[FECHA DE PAGO]]-PROVEEDORES[[#This Row],[FECHA DE FACTURACIÓN]])&gt;PROVEEDORES[[#This Row],[PLAZO Días]],"PAGO VENCIDO")</f>
        <v>PAGO VENCIDO</v>
      </c>
      <c r="C22" s="112">
        <f>+VLOOKUP(PROVEEDORES[[#This Row],[PROVEEDOR]],TERCEROS_INFO[#All],2,FALSE)</f>
        <v>30</v>
      </c>
      <c r="D22" s="113">
        <f>+SUMIFS(PROVEEDORES[Total],PROVEEDORES[PROVEEDOR],PROVEEDORES[[#This Row],[PROVEEDOR]],PROVEEDORES[FECHA DE PAGO],"")</f>
        <v>0</v>
      </c>
      <c r="E22" s="114"/>
      <c r="F22" s="112">
        <f>+VLOOKUP(PROVEEDORES[[#This Row],[PROVEEDOR]],
                       Terceros!$A:$F,
                       5,
                       FALSE)</f>
        <v>0</v>
      </c>
      <c r="G22" s="115">
        <v>45604</v>
      </c>
      <c r="H22" s="116" t="s">
        <v>229</v>
      </c>
      <c r="I22" s="115">
        <v>45549</v>
      </c>
      <c r="J22" s="117" t="s">
        <v>685</v>
      </c>
      <c r="K22" s="117" t="s">
        <v>256</v>
      </c>
      <c r="L22" s="117" t="s">
        <v>234</v>
      </c>
      <c r="M22" s="118">
        <v>2719500</v>
      </c>
      <c r="N22" s="119"/>
      <c r="O22" s="119">
        <v>0</v>
      </c>
      <c r="P22" s="120">
        <v>0</v>
      </c>
      <c r="Q22" s="119">
        <v>0</v>
      </c>
      <c r="R22" s="121">
        <v>2719500</v>
      </c>
      <c r="S2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122">
        <f ca="1">+IF(PROVEEDORES[[#This Row],[FECHA DE PAGO]]=0,TODAY()-PROVEEDORES[[#This Row],[FECHA DE FACTURACIÓN]]-PROVEEDORES[[#This Row],[PLAZO Días]],0)</f>
        <v>0</v>
      </c>
      <c r="U22" s="122">
        <f>+VLOOKUP(PROVEEDORES[[#This Row],[PROVEEDOR]],Terceros!$A:$D,4,FALSE)</f>
        <v>0</v>
      </c>
      <c r="V22" s="122">
        <f>+YEAR(PROVEEDORES[[#This Row],[FECHA DE FACTURACIÓN]])</f>
        <v>2024</v>
      </c>
      <c r="W22" s="122">
        <f>+MATCH(PROVEEDORES[[#This Row],[año facturado]],Retenciones!$1:$1,0)</f>
        <v>3</v>
      </c>
      <c r="X22" s="123">
        <f>+VLOOKUP(PROVEEDORES[[#This Row],[ID RETENCION]],Retenciones!$A$1:$K$25,PROVEEDORES[[#This Row],[indicador de columna]],FALSE)</f>
        <v>0</v>
      </c>
      <c r="Y22" s="124">
        <f>+VLOOKUP(PROVEEDORES[[#This Row],[ID RETENCION]],Retenciones!$A$1:$K$25,2,FALSE)</f>
        <v>0</v>
      </c>
      <c r="Z22" s="125" t="b">
        <f>+OR(COUNTIF(PROVEEDORES[[#This Row],[PROVEEDOR]],"*"&amp;'Palabra que no opera y Listas d'!$A$2&amp;"*"))</f>
        <v>0</v>
      </c>
    </row>
    <row r="23" spans="1:26" ht="27.75" customHeight="1" x14ac:dyDescent="0.25">
      <c r="A23" s="112" t="str">
        <f>+IF(PROVEEDORES[[#This Row],[FECHA DE PAGO]]=PROVEEDORES[[#This Row],[FECHA DE FACTURACIÓN]],"DE CONTADO","CRÉDITO")</f>
        <v>CRÉDITO</v>
      </c>
      <c r="B23" s="112" t="str">
        <f>+IF((PROVEEDORES[[#This Row],[FECHA DE PAGO]]-PROVEEDORES[[#This Row],[FECHA DE FACTURACIÓN]])&gt;PROVEEDORES[[#This Row],[PLAZO Días]],"PAGO VENCIDO")</f>
        <v>PAGO VENCIDO</v>
      </c>
      <c r="C23" s="112">
        <f>+VLOOKUP(PROVEEDORES[[#This Row],[PROVEEDOR]],TERCEROS_INFO[#All],2,FALSE)</f>
        <v>30</v>
      </c>
      <c r="D23" s="113">
        <f>+SUMIFS(PROVEEDORES[Total],PROVEEDORES[PROVEEDOR],PROVEEDORES[[#This Row],[PROVEEDOR]],PROVEEDORES[FECHA DE PAGO],"")</f>
        <v>10958948</v>
      </c>
      <c r="E23" s="114"/>
      <c r="F23" s="112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3" s="115">
        <v>45604</v>
      </c>
      <c r="H23" s="116" t="s">
        <v>104</v>
      </c>
      <c r="I23" s="115">
        <v>45565</v>
      </c>
      <c r="J23" s="117" t="s">
        <v>686</v>
      </c>
      <c r="K23" s="117" t="s">
        <v>210</v>
      </c>
      <c r="L23" s="117" t="s">
        <v>259</v>
      </c>
      <c r="M23" s="118">
        <v>1874760</v>
      </c>
      <c r="N23" s="119">
        <v>356204.4</v>
      </c>
      <c r="O23" s="119"/>
      <c r="P23" s="120">
        <v>0</v>
      </c>
      <c r="Q23" s="119">
        <v>0</v>
      </c>
      <c r="R23" s="121">
        <v>2230964.4</v>
      </c>
      <c r="S2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122">
        <f ca="1">+IF(PROVEEDORES[[#This Row],[FECHA DE PAGO]]=0,TODAY()-PROVEEDORES[[#This Row],[FECHA DE FACTURACIÓN]]-PROVEEDORES[[#This Row],[PLAZO Días]],0)</f>
        <v>0</v>
      </c>
      <c r="U23" s="122">
        <f>+VLOOKUP(PROVEEDORES[[#This Row],[PROVEEDOR]],Terceros!$A:$D,4,FALSE)</f>
        <v>0</v>
      </c>
      <c r="V23" s="122">
        <f>+YEAR(PROVEEDORES[[#This Row],[FECHA DE FACTURACIÓN]])</f>
        <v>2024</v>
      </c>
      <c r="W23" s="122">
        <f>+MATCH(PROVEEDORES[[#This Row],[año facturado]],Retenciones!$1:$1,0)</f>
        <v>3</v>
      </c>
      <c r="X23" s="123">
        <f>+VLOOKUP(PROVEEDORES[[#This Row],[ID RETENCION]],Retenciones!$A$1:$K$25,PROVEEDORES[[#This Row],[indicador de columna]],FALSE)</f>
        <v>0</v>
      </c>
      <c r="Y23" s="124">
        <f>+VLOOKUP(PROVEEDORES[[#This Row],[ID RETENCION]],Retenciones!$A$1:$K$25,2,FALSE)</f>
        <v>0</v>
      </c>
      <c r="Z23" s="125" t="b">
        <f>+OR(COUNTIF(PROVEEDORES[[#This Row],[PROVEEDOR]],"*"&amp;'Palabra que no opera y Listas d'!$A$2&amp;"*"))</f>
        <v>0</v>
      </c>
    </row>
    <row r="24" spans="1:26" ht="27.75" customHeight="1" x14ac:dyDescent="0.25">
      <c r="A24" s="112" t="str">
        <f>+IF(PROVEEDORES[[#This Row],[FECHA DE PAGO]]=PROVEEDORES[[#This Row],[FECHA DE FACTURACIÓN]],"DE CONTADO","CRÉDITO")</f>
        <v>DE CONTADO</v>
      </c>
      <c r="B24" s="112" t="b">
        <f>+IF((PROVEEDORES[[#This Row],[FECHA DE PAGO]]-PROVEEDORES[[#This Row],[FECHA DE FACTURACIÓN]])&gt;PROVEEDORES[[#This Row],[PLAZO Días]],"PAGO VENCIDO")</f>
        <v>0</v>
      </c>
      <c r="C24" s="112">
        <f>+VLOOKUP(PROVEEDORES[[#This Row],[PROVEEDOR]],TERCEROS_INFO[#All],2,FALSE)</f>
        <v>30</v>
      </c>
      <c r="D24" s="113">
        <f>+SUMIFS(PROVEEDORES[Total],PROVEEDORES[PROVEEDOR],PROVEEDORES[[#This Row],[PROVEEDOR]],PROVEEDORES[FECHA DE PAGO],"")</f>
        <v>0</v>
      </c>
      <c r="E24" s="114"/>
      <c r="F24" s="112" t="str">
        <f>+VLOOKUP(PROVEEDORES[[#This Row],[PROVEEDOR]],
                       Terceros!$A:$F,
                       5,
                       FALSE)</f>
        <v/>
      </c>
      <c r="G24" s="115">
        <v>45605</v>
      </c>
      <c r="H24" s="116" t="s">
        <v>659</v>
      </c>
      <c r="I24" s="115">
        <v>45605</v>
      </c>
      <c r="J24" s="117" t="s">
        <v>687</v>
      </c>
      <c r="K24" s="117" t="s">
        <v>256</v>
      </c>
      <c r="L24" s="117" t="s">
        <v>234</v>
      </c>
      <c r="M24" s="118">
        <v>600000</v>
      </c>
      <c r="N24" s="119"/>
      <c r="O24" s="119">
        <v>0</v>
      </c>
      <c r="P24" s="120">
        <v>0</v>
      </c>
      <c r="Q24" s="119">
        <v>0</v>
      </c>
      <c r="R24" s="121">
        <v>600000</v>
      </c>
      <c r="S2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122">
        <f ca="1">+IF(PROVEEDORES[[#This Row],[FECHA DE PAGO]]=0,TODAY()-PROVEEDORES[[#This Row],[FECHA DE FACTURACIÓN]]-PROVEEDORES[[#This Row],[PLAZO Días]],0)</f>
        <v>0</v>
      </c>
      <c r="U24" s="122">
        <f>+VLOOKUP(PROVEEDORES[[#This Row],[PROVEEDOR]],Terceros!$A:$D,4,FALSE)</f>
        <v>0</v>
      </c>
      <c r="V24" s="122">
        <f>+YEAR(PROVEEDORES[[#This Row],[FECHA DE FACTURACIÓN]])</f>
        <v>2024</v>
      </c>
      <c r="W24" s="122">
        <f>+MATCH(PROVEEDORES[[#This Row],[año facturado]],Retenciones!$1:$1,0)</f>
        <v>3</v>
      </c>
      <c r="X24" s="123">
        <f>+VLOOKUP(PROVEEDORES[[#This Row],[ID RETENCION]],Retenciones!$A$1:$K$25,PROVEEDORES[[#This Row],[indicador de columna]],FALSE)</f>
        <v>0</v>
      </c>
      <c r="Y24" s="124">
        <f>+VLOOKUP(PROVEEDORES[[#This Row],[ID RETENCION]],Retenciones!$A$1:$K$25,2,FALSE)</f>
        <v>0</v>
      </c>
      <c r="Z24" s="125" t="b">
        <f>+OR(COUNTIF(PROVEEDORES[[#This Row],[PROVEEDOR]],"*"&amp;'Palabra que no opera y Listas d'!$A$2&amp;"*"))</f>
        <v>0</v>
      </c>
    </row>
    <row r="25" spans="1:26" ht="27.75" customHeight="1" x14ac:dyDescent="0.25">
      <c r="A25" s="112" t="str">
        <f>+IF(PROVEEDORES[[#This Row],[FECHA DE PAGO]]=PROVEEDORES[[#This Row],[FECHA DE FACTURACIÓN]],"DE CONTADO","CRÉDITO")</f>
        <v>CRÉDITO</v>
      </c>
      <c r="B25" s="112" t="str">
        <f>+IF((PROVEEDORES[[#This Row],[FECHA DE PAGO]]-PROVEEDORES[[#This Row],[FECHA DE FACTURACIÓN]])&gt;PROVEEDORES[[#This Row],[PLAZO Días]],"PAGO VENCIDO")</f>
        <v>PAGO VENCIDO</v>
      </c>
      <c r="C25" s="112">
        <f>+VLOOKUP(PROVEEDORES[[#This Row],[PROVEEDOR]],TERCEROS_INFO[#All],2,FALSE)</f>
        <v>60</v>
      </c>
      <c r="D25" s="113">
        <f>+SUMIFS(PROVEEDORES[Total],PROVEEDORES[PROVEEDOR],PROVEEDORES[[#This Row],[PROVEEDOR]],PROVEEDORES[FECHA DE PAGO],"")</f>
        <v>1468167.95</v>
      </c>
      <c r="E25" s="114"/>
      <c r="F25" s="112" t="str">
        <f>+VLOOKUP(PROVEEDORES[[#This Row],[PROVEEDOR]],
                       Terceros!$A:$F,
                       5,
                       FALSE)</f>
        <v>wruiz@tsqsa.com;girlesa.ruiz@servipilas.com;joriescobar64@gmail.com</v>
      </c>
      <c r="G25" s="115">
        <v>45608</v>
      </c>
      <c r="H25" s="116" t="s">
        <v>28</v>
      </c>
      <c r="I25" s="115">
        <v>45547</v>
      </c>
      <c r="J25" s="117" t="s">
        <v>688</v>
      </c>
      <c r="K25" s="117" t="s">
        <v>256</v>
      </c>
      <c r="L25" s="117" t="s">
        <v>260</v>
      </c>
      <c r="M25" s="118">
        <v>2061247</v>
      </c>
      <c r="N25" s="119">
        <v>391636.93</v>
      </c>
      <c r="O25" s="119">
        <v>0</v>
      </c>
      <c r="P25" s="120">
        <v>2.5000000000000001E-2</v>
      </c>
      <c r="Q25" s="119">
        <v>51531.175000000003</v>
      </c>
      <c r="R25" s="121">
        <v>2401352.7550000004</v>
      </c>
      <c r="S2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122">
        <f ca="1">+IF(PROVEEDORES[[#This Row],[FECHA DE PAGO]]=0,TODAY()-PROVEEDORES[[#This Row],[FECHA DE FACTURACIÓN]]-PROVEEDORES[[#This Row],[PLAZO Días]],0)</f>
        <v>0</v>
      </c>
      <c r="U25" s="122" t="str">
        <f>+VLOOKUP(PROVEEDORES[[#This Row],[PROVEEDOR]],Terceros!$A:$D,4,FALSE)</f>
        <v>2,5% con base</v>
      </c>
      <c r="V25" s="122">
        <f>+YEAR(PROVEEDORES[[#This Row],[FECHA DE FACTURACIÓN]])</f>
        <v>2024</v>
      </c>
      <c r="W25" s="122">
        <f>+MATCH(PROVEEDORES[[#This Row],[año facturado]],Retenciones!$1:$1,0)</f>
        <v>3</v>
      </c>
      <c r="X25" s="123">
        <f>+VLOOKUP(PROVEEDORES[[#This Row],[ID RETENCION]],Retenciones!$A$1:$K$25,PROVEEDORES[[#This Row],[indicador de columna]],FALSE)</f>
        <v>1271000</v>
      </c>
      <c r="Y25" s="124">
        <f>+VLOOKUP(PROVEEDORES[[#This Row],[ID RETENCION]],Retenciones!$A$1:$K$25,2,FALSE)</f>
        <v>2.5000000000000001E-2</v>
      </c>
      <c r="Z25" s="125" t="b">
        <f>+OR(COUNTIF(PROVEEDORES[[#This Row],[PROVEEDOR]],"*"&amp;'Palabra que no opera y Listas d'!$A$2&amp;"*"))</f>
        <v>0</v>
      </c>
    </row>
    <row r="26" spans="1:26" ht="27.75" customHeight="1" x14ac:dyDescent="0.25">
      <c r="A26" s="112" t="str">
        <f>+IF(PROVEEDORES[[#This Row],[FECHA DE PAGO]]=PROVEEDORES[[#This Row],[FECHA DE FACTURACIÓN]],"DE CONTADO","CRÉDITO")</f>
        <v>CRÉDITO</v>
      </c>
      <c r="B26" s="112" t="str">
        <f>+IF((PROVEEDORES[[#This Row],[FECHA DE PAGO]]-PROVEEDORES[[#This Row],[FECHA DE FACTURACIÓN]])&gt;PROVEEDORES[[#This Row],[PLAZO Días]],"PAGO VENCIDO")</f>
        <v>PAGO VENCIDO</v>
      </c>
      <c r="C26" s="112">
        <f>+VLOOKUP(PROVEEDORES[[#This Row],[PROVEEDOR]],TERCEROS_INFO[#All],2,FALSE)</f>
        <v>30</v>
      </c>
      <c r="D26" s="113">
        <f>+SUMIFS(PROVEEDORES[Total],PROVEEDORES[PROVEEDOR],PROVEEDORES[[#This Row],[PROVEEDOR]],PROVEEDORES[FECHA DE PAGO],"")</f>
        <v>11737128.02</v>
      </c>
      <c r="E26" s="114"/>
      <c r="F26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26" s="115">
        <v>45608</v>
      </c>
      <c r="H26" s="116" t="s">
        <v>536</v>
      </c>
      <c r="I26" s="115">
        <v>45551</v>
      </c>
      <c r="J26" s="117" t="s">
        <v>689</v>
      </c>
      <c r="K26" s="117" t="s">
        <v>256</v>
      </c>
      <c r="L26" s="117" t="s">
        <v>258</v>
      </c>
      <c r="M26" s="118">
        <v>2897250</v>
      </c>
      <c r="N26" s="119">
        <v>550477.5</v>
      </c>
      <c r="O26" s="119">
        <v>0</v>
      </c>
      <c r="P26" s="120">
        <v>2.5000000000000001E-2</v>
      </c>
      <c r="Q26" s="119">
        <v>72431.25</v>
      </c>
      <c r="R26" s="121">
        <v>3375296.25</v>
      </c>
      <c r="S2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122">
        <f ca="1">+IF(PROVEEDORES[[#This Row],[FECHA DE PAGO]]=0,TODAY()-PROVEEDORES[[#This Row],[FECHA DE FACTURACIÓN]]-PROVEEDORES[[#This Row],[PLAZO Días]],0)</f>
        <v>0</v>
      </c>
      <c r="U26" s="122" t="str">
        <f>+VLOOKUP(PROVEEDORES[[#This Row],[PROVEEDOR]],Terceros!$A:$D,4,FALSE)</f>
        <v>2,5% con base</v>
      </c>
      <c r="V26" s="122">
        <f>+YEAR(PROVEEDORES[[#This Row],[FECHA DE FACTURACIÓN]])</f>
        <v>2024</v>
      </c>
      <c r="W26" s="122">
        <f>+MATCH(PROVEEDORES[[#This Row],[año facturado]],Retenciones!$1:$1,0)</f>
        <v>3</v>
      </c>
      <c r="X26" s="123">
        <f>+VLOOKUP(PROVEEDORES[[#This Row],[ID RETENCION]],Retenciones!$A$1:$K$25,PROVEEDORES[[#This Row],[indicador de columna]],FALSE)</f>
        <v>1271000</v>
      </c>
      <c r="Y26" s="124">
        <f>+VLOOKUP(PROVEEDORES[[#This Row],[ID RETENCION]],Retenciones!$A$1:$K$25,2,FALSE)</f>
        <v>2.5000000000000001E-2</v>
      </c>
      <c r="Z26" s="125" t="b">
        <f>+OR(COUNTIF(PROVEEDORES[[#This Row],[PROVEEDOR]],"*"&amp;'Palabra que no opera y Listas d'!$A$2&amp;"*"))</f>
        <v>0</v>
      </c>
    </row>
    <row r="27" spans="1:26" ht="27.75" customHeight="1" x14ac:dyDescent="0.25">
      <c r="A27" s="112" t="str">
        <f>+IF(PROVEEDORES[[#This Row],[FECHA DE PAGO]]=PROVEEDORES[[#This Row],[FECHA DE FACTURACIÓN]],"DE CONTADO","CRÉDITO")</f>
        <v>CRÉDITO</v>
      </c>
      <c r="B27" s="112" t="str">
        <f>+IF((PROVEEDORES[[#This Row],[FECHA DE PAGO]]-PROVEEDORES[[#This Row],[FECHA DE FACTURACIÓN]])&gt;PROVEEDORES[[#This Row],[PLAZO Días]],"PAGO VENCIDO")</f>
        <v>PAGO VENCIDO</v>
      </c>
      <c r="C27" s="112">
        <f>+VLOOKUP(PROVEEDORES[[#This Row],[PROVEEDOR]],TERCEROS_INFO[#All],2,FALSE)</f>
        <v>30</v>
      </c>
      <c r="D27" s="113">
        <f>+SUMIFS(PROVEEDORES[Total],PROVEEDORES[PROVEEDOR],PROVEEDORES[[#This Row],[PROVEEDOR]],PROVEEDORES[FECHA DE PAGO],"")</f>
        <v>0</v>
      </c>
      <c r="E27" s="114"/>
      <c r="F27" s="112" t="str">
        <f>+VLOOKUP(PROVEEDORES[[#This Row],[PROVEEDOR]],
                       Terceros!$A:$F,
                       5,
                       FALSE)</f>
        <v/>
      </c>
      <c r="G27" s="115">
        <v>45608</v>
      </c>
      <c r="H27" s="116" t="s">
        <v>305</v>
      </c>
      <c r="I27" s="115">
        <v>45565</v>
      </c>
      <c r="J27" s="117" t="s">
        <v>690</v>
      </c>
      <c r="K27" s="117" t="s">
        <v>256</v>
      </c>
      <c r="L27" s="117" t="s">
        <v>234</v>
      </c>
      <c r="M27" s="118">
        <v>753000</v>
      </c>
      <c r="N27" s="119"/>
      <c r="O27" s="119">
        <v>0</v>
      </c>
      <c r="P27" s="120">
        <v>0</v>
      </c>
      <c r="Q27" s="119">
        <v>0</v>
      </c>
      <c r="R27" s="121">
        <v>753000</v>
      </c>
      <c r="S2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122">
        <f ca="1">+IF(PROVEEDORES[[#This Row],[FECHA DE PAGO]]=0,TODAY()-PROVEEDORES[[#This Row],[FECHA DE FACTURACIÓN]]-PROVEEDORES[[#This Row],[PLAZO Días]],0)</f>
        <v>0</v>
      </c>
      <c r="U27" s="122">
        <f>+VLOOKUP(PROVEEDORES[[#This Row],[PROVEEDOR]],Terceros!$A:$D,4,FALSE)</f>
        <v>0</v>
      </c>
      <c r="V27" s="122">
        <f>+YEAR(PROVEEDORES[[#This Row],[FECHA DE FACTURACIÓN]])</f>
        <v>2024</v>
      </c>
      <c r="W27" s="122">
        <f>+MATCH(PROVEEDORES[[#This Row],[año facturado]],Retenciones!$1:$1,0)</f>
        <v>3</v>
      </c>
      <c r="X27" s="123">
        <f>+VLOOKUP(PROVEEDORES[[#This Row],[ID RETENCION]],Retenciones!$A$1:$K$25,PROVEEDORES[[#This Row],[indicador de columna]],FALSE)</f>
        <v>0</v>
      </c>
      <c r="Y27" s="124">
        <f>+VLOOKUP(PROVEEDORES[[#This Row],[ID RETENCION]],Retenciones!$A$1:$K$25,2,FALSE)</f>
        <v>0</v>
      </c>
      <c r="Z27" s="125" t="b">
        <f>+OR(COUNTIF(PROVEEDORES[[#This Row],[PROVEEDOR]],"*"&amp;'Palabra que no opera y Listas d'!$A$2&amp;"*"))</f>
        <v>0</v>
      </c>
    </row>
    <row r="28" spans="1:26" ht="27.75" customHeight="1" x14ac:dyDescent="0.25">
      <c r="A28" s="112" t="str">
        <f>+IF(PROVEEDORES[[#This Row],[FECHA DE PAGO]]=PROVEEDORES[[#This Row],[FECHA DE FACTURACIÓN]],"DE CONTADO","CRÉDITO")</f>
        <v>CRÉDITO</v>
      </c>
      <c r="B28" s="112" t="str">
        <f>+IF((PROVEEDORES[[#This Row],[FECHA DE PAGO]]-PROVEEDORES[[#This Row],[FECHA DE FACTURACIÓN]])&gt;PROVEEDORES[[#This Row],[PLAZO Días]],"PAGO VENCIDO")</f>
        <v>PAGO VENCIDO</v>
      </c>
      <c r="C28" s="112">
        <f>+VLOOKUP(PROVEEDORES[[#This Row],[PROVEEDOR]],TERCEROS_INFO[#All],2,FALSE)</f>
        <v>30</v>
      </c>
      <c r="D28" s="113">
        <f>+SUMIFS(PROVEEDORES[Total],PROVEEDORES[PROVEEDOR],PROVEEDORES[[#This Row],[PROVEEDOR]],PROVEEDORES[FECHA DE PAGO],"")</f>
        <v>0</v>
      </c>
      <c r="E28" s="114"/>
      <c r="F28" s="112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8" s="115">
        <v>45608</v>
      </c>
      <c r="H28" s="116" t="s">
        <v>672</v>
      </c>
      <c r="I28" s="115">
        <v>45567</v>
      </c>
      <c r="J28" s="117" t="s">
        <v>691</v>
      </c>
      <c r="K28" s="117" t="s">
        <v>256</v>
      </c>
      <c r="L28" s="117" t="s">
        <v>234</v>
      </c>
      <c r="M28" s="118">
        <v>1925000</v>
      </c>
      <c r="N28" s="119"/>
      <c r="O28" s="119">
        <v>0</v>
      </c>
      <c r="P28" s="120">
        <v>0</v>
      </c>
      <c r="Q28" s="119">
        <v>0</v>
      </c>
      <c r="R28" s="121">
        <v>1925000</v>
      </c>
      <c r="S2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122">
        <f ca="1">+IF(PROVEEDORES[[#This Row],[FECHA DE PAGO]]=0,TODAY()-PROVEEDORES[[#This Row],[FECHA DE FACTURACIÓN]]-PROVEEDORES[[#This Row],[PLAZO Días]],0)</f>
        <v>0</v>
      </c>
      <c r="U28" s="122">
        <f>+VLOOKUP(PROVEEDORES[[#This Row],[PROVEEDOR]],Terceros!$A:$D,4,FALSE)</f>
        <v>0</v>
      </c>
      <c r="V28" s="122">
        <f>+YEAR(PROVEEDORES[[#This Row],[FECHA DE FACTURACIÓN]])</f>
        <v>2024</v>
      </c>
      <c r="W28" s="122">
        <f>+MATCH(PROVEEDORES[[#This Row],[año facturado]],Retenciones!$1:$1,0)</f>
        <v>3</v>
      </c>
      <c r="X28" s="123">
        <f>+VLOOKUP(PROVEEDORES[[#This Row],[ID RETENCION]],Retenciones!$A$1:$K$25,PROVEEDORES[[#This Row],[indicador de columna]],FALSE)</f>
        <v>0</v>
      </c>
      <c r="Y28" s="124">
        <f>+VLOOKUP(PROVEEDORES[[#This Row],[ID RETENCION]],Retenciones!$A$1:$K$25,2,FALSE)</f>
        <v>0</v>
      </c>
      <c r="Z28" s="125" t="b">
        <f>+OR(COUNTIF(PROVEEDORES[[#This Row],[PROVEEDOR]],"*"&amp;'Palabra que no opera y Listas d'!$A$2&amp;"*"))</f>
        <v>0</v>
      </c>
    </row>
    <row r="29" spans="1:26" ht="27.75" customHeight="1" x14ac:dyDescent="0.25">
      <c r="A29" s="112" t="str">
        <f>+IF(PROVEEDORES[[#This Row],[FECHA DE PAGO]]=PROVEEDORES[[#This Row],[FECHA DE FACTURACIÓN]],"DE CONTADO","CRÉDITO")</f>
        <v>CRÉDITO</v>
      </c>
      <c r="B29" s="112" t="b">
        <f>+IF((PROVEEDORES[[#This Row],[FECHA DE PAGO]]-PROVEEDORES[[#This Row],[FECHA DE FACTURACIÓN]])&gt;PROVEEDORES[[#This Row],[PLAZO Días]],"PAGO VENCIDO")</f>
        <v>0</v>
      </c>
      <c r="C29" s="112">
        <f>+VLOOKUP(PROVEEDORES[[#This Row],[PROVEEDOR]],TERCEROS_INFO[#All],2,FALSE)</f>
        <v>30</v>
      </c>
      <c r="D29" s="113">
        <f>+SUMIFS(PROVEEDORES[Total],PROVEEDORES[PROVEEDOR],PROVEEDORES[[#This Row],[PROVEEDOR]],PROVEEDORES[FECHA DE PAGO],"")</f>
        <v>0</v>
      </c>
      <c r="E29" s="114"/>
      <c r="F29" s="112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9" s="115">
        <v>45608</v>
      </c>
      <c r="H29" s="116" t="s">
        <v>162</v>
      </c>
      <c r="I29" s="115">
        <v>45597</v>
      </c>
      <c r="J29" s="117" t="s">
        <v>692</v>
      </c>
      <c r="K29" s="117" t="s">
        <v>256</v>
      </c>
      <c r="L29" s="117" t="s">
        <v>258</v>
      </c>
      <c r="M29" s="118">
        <v>4220343</v>
      </c>
      <c r="N29" s="119">
        <v>801865.17</v>
      </c>
      <c r="O29" s="119">
        <v>0</v>
      </c>
      <c r="P29" s="120">
        <v>0</v>
      </c>
      <c r="Q29" s="119">
        <v>0</v>
      </c>
      <c r="R29" s="121">
        <v>5022208.17</v>
      </c>
      <c r="S2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122">
        <f ca="1">+IF(PROVEEDORES[[#This Row],[FECHA DE PAGO]]=0,TODAY()-PROVEEDORES[[#This Row],[FECHA DE FACTURACIÓN]]-PROVEEDORES[[#This Row],[PLAZO Días]],0)</f>
        <v>0</v>
      </c>
      <c r="U29" s="122">
        <f>+VLOOKUP(PROVEEDORES[[#This Row],[PROVEEDOR]],Terceros!$A:$D,4,FALSE)</f>
        <v>0</v>
      </c>
      <c r="V29" s="122">
        <f>+YEAR(PROVEEDORES[[#This Row],[FECHA DE FACTURACIÓN]])</f>
        <v>2024</v>
      </c>
      <c r="W29" s="122">
        <f>+MATCH(PROVEEDORES[[#This Row],[año facturado]],Retenciones!$1:$1,0)</f>
        <v>3</v>
      </c>
      <c r="X29" s="123">
        <f>+VLOOKUP(PROVEEDORES[[#This Row],[ID RETENCION]],Retenciones!$A$1:$K$25,PROVEEDORES[[#This Row],[indicador de columna]],FALSE)</f>
        <v>0</v>
      </c>
      <c r="Y29" s="124">
        <f>+VLOOKUP(PROVEEDORES[[#This Row],[ID RETENCION]],Retenciones!$A$1:$K$25,2,FALSE)</f>
        <v>0</v>
      </c>
      <c r="Z29" s="125" t="b">
        <f>+OR(COUNTIF(PROVEEDORES[[#This Row],[PROVEEDOR]],"*"&amp;'Palabra que no opera y Listas d'!$A$2&amp;"*"))</f>
        <v>1</v>
      </c>
    </row>
    <row r="30" spans="1:26" ht="27.75" customHeight="1" x14ac:dyDescent="0.25">
      <c r="A30" s="112" t="str">
        <f>+IF(PROVEEDORES[[#This Row],[FECHA DE PAGO]]=PROVEEDORES[[#This Row],[FECHA DE FACTURACIÓN]],"DE CONTADO","CRÉDITO")</f>
        <v>CRÉDITO</v>
      </c>
      <c r="B30" s="112" t="b">
        <f>+IF((PROVEEDORES[[#This Row],[FECHA DE PAGO]]-PROVEEDORES[[#This Row],[FECHA DE FACTURACIÓN]])&gt;PROVEEDORES[[#This Row],[PLAZO Días]],"PAGO VENCIDO")</f>
        <v>0</v>
      </c>
      <c r="C30" s="112">
        <f>+VLOOKUP(PROVEEDORES[[#This Row],[PROVEEDOR]],TERCEROS_INFO[#All],2,FALSE)</f>
        <v>30</v>
      </c>
      <c r="D30" s="113">
        <f>+SUMIFS(PROVEEDORES[Total],PROVEEDORES[PROVEEDOR],PROVEEDORES[[#This Row],[PROVEEDOR]],PROVEEDORES[FECHA DE PAGO],"")</f>
        <v>0</v>
      </c>
      <c r="E30" s="114"/>
      <c r="F30" s="112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0" s="115">
        <v>45608</v>
      </c>
      <c r="H30" s="116" t="s">
        <v>162</v>
      </c>
      <c r="I30" s="115">
        <v>45597</v>
      </c>
      <c r="J30" s="117" t="s">
        <v>693</v>
      </c>
      <c r="K30" s="117" t="s">
        <v>256</v>
      </c>
      <c r="L30" s="117" t="s">
        <v>258</v>
      </c>
      <c r="M30" s="118">
        <v>970836</v>
      </c>
      <c r="N30" s="119">
        <v>184458.84</v>
      </c>
      <c r="O30" s="119">
        <v>0</v>
      </c>
      <c r="P30" s="120">
        <v>0</v>
      </c>
      <c r="Q30" s="119">
        <v>38833</v>
      </c>
      <c r="R30" s="121">
        <v>1116461.8400000001</v>
      </c>
      <c r="S3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122">
        <f ca="1">+IF(PROVEEDORES[[#This Row],[FECHA DE PAGO]]=0,TODAY()-PROVEEDORES[[#This Row],[FECHA DE FACTURACIÓN]]-PROVEEDORES[[#This Row],[PLAZO Días]],0)</f>
        <v>0</v>
      </c>
      <c r="U30" s="122">
        <f>+VLOOKUP(PROVEEDORES[[#This Row],[PROVEEDOR]],Terceros!$A:$D,4,FALSE)</f>
        <v>0</v>
      </c>
      <c r="V30" s="122">
        <f>+YEAR(PROVEEDORES[[#This Row],[FECHA DE FACTURACIÓN]])</f>
        <v>2024</v>
      </c>
      <c r="W30" s="122">
        <f>+MATCH(PROVEEDORES[[#This Row],[año facturado]],Retenciones!$1:$1,0)</f>
        <v>3</v>
      </c>
      <c r="X30" s="123">
        <f>+VLOOKUP(PROVEEDORES[[#This Row],[ID RETENCION]],Retenciones!$A$1:$K$25,PROVEEDORES[[#This Row],[indicador de columna]],FALSE)</f>
        <v>0</v>
      </c>
      <c r="Y30" s="124">
        <f>+VLOOKUP(PROVEEDORES[[#This Row],[ID RETENCION]],Retenciones!$A$1:$K$25,2,FALSE)</f>
        <v>0</v>
      </c>
      <c r="Z30" s="125" t="b">
        <f>+OR(COUNTIF(PROVEEDORES[[#This Row],[PROVEEDOR]],"*"&amp;'Palabra que no opera y Listas d'!$A$2&amp;"*"))</f>
        <v>1</v>
      </c>
    </row>
    <row r="31" spans="1:26" ht="27.75" customHeight="1" x14ac:dyDescent="0.25">
      <c r="A31" s="112" t="str">
        <f>+IF(PROVEEDORES[[#This Row],[FECHA DE PAGO]]=PROVEEDORES[[#This Row],[FECHA DE FACTURACIÓN]],"DE CONTADO","CRÉDITO")</f>
        <v>CRÉDITO</v>
      </c>
      <c r="B31" s="112" t="str">
        <f>+IF((PROVEEDORES[[#This Row],[FECHA DE PAGO]]-PROVEEDORES[[#This Row],[FECHA DE FACTURACIÓN]])&gt;PROVEEDORES[[#This Row],[PLAZO Días]],"PAGO VENCIDO")</f>
        <v>PAGO VENCIDO</v>
      </c>
      <c r="C31" s="112">
        <f>+VLOOKUP(PROVEEDORES[[#This Row],[PROVEEDOR]],TERCEROS_INFO[#All],2,FALSE)</f>
        <v>10</v>
      </c>
      <c r="D31" s="113">
        <f>+SUMIFS(PROVEEDORES[Total],PROVEEDORES[PROVEEDOR],PROVEEDORES[[#This Row],[PROVEEDOR]],PROVEEDORES[FECHA DE PAGO],"")</f>
        <v>0</v>
      </c>
      <c r="E31" s="114"/>
      <c r="F31" s="112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31" s="115">
        <v>45608</v>
      </c>
      <c r="H31" s="116" t="s">
        <v>242</v>
      </c>
      <c r="I31" s="115">
        <v>45597</v>
      </c>
      <c r="J31" s="117" t="s">
        <v>694</v>
      </c>
      <c r="K31" s="117" t="s">
        <v>256</v>
      </c>
      <c r="L31" s="117" t="s">
        <v>258</v>
      </c>
      <c r="M31" s="118">
        <v>4431907</v>
      </c>
      <c r="N31" s="119">
        <v>842062.33</v>
      </c>
      <c r="O31" s="119">
        <v>0</v>
      </c>
      <c r="P31" s="120">
        <v>3.5000000000000003E-2</v>
      </c>
      <c r="Q31" s="119">
        <v>138572</v>
      </c>
      <c r="R31" s="121">
        <v>5135397.33</v>
      </c>
      <c r="S3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122">
        <f ca="1">+IF(PROVEEDORES[[#This Row],[FECHA DE PAGO]]=0,TODAY()-PROVEEDORES[[#This Row],[FECHA DE FACTURACIÓN]]-PROVEEDORES[[#This Row],[PLAZO Días]],0)</f>
        <v>0</v>
      </c>
      <c r="U31" s="122" t="str">
        <f>+VLOOKUP(PROVEEDORES[[#This Row],[PROVEEDOR]],Terceros!$A:$D,4,FALSE)</f>
        <v>3,5% sin base</v>
      </c>
      <c r="V31" s="122">
        <f>+YEAR(PROVEEDORES[[#This Row],[FECHA DE FACTURACIÓN]])</f>
        <v>2024</v>
      </c>
      <c r="W31" s="122">
        <f>+MATCH(PROVEEDORES[[#This Row],[año facturado]],Retenciones!$1:$1,0)</f>
        <v>3</v>
      </c>
      <c r="X31" s="123">
        <f>+VLOOKUP(PROVEEDORES[[#This Row],[ID RETENCION]],Retenciones!$A$1:$K$25,PROVEEDORES[[#This Row],[indicador de columna]],FALSE)</f>
        <v>0</v>
      </c>
      <c r="Y31" s="124">
        <f>+VLOOKUP(PROVEEDORES[[#This Row],[ID RETENCION]],Retenciones!$A$1:$K$25,2,FALSE)</f>
        <v>3.5000000000000003E-2</v>
      </c>
      <c r="Z31" s="125" t="b">
        <f>+OR(COUNTIF(PROVEEDORES[[#This Row],[PROVEEDOR]],"*"&amp;'Palabra que no opera y Listas d'!$A$2&amp;"*"))</f>
        <v>1</v>
      </c>
    </row>
    <row r="32" spans="1:26" ht="27.75" customHeight="1" x14ac:dyDescent="0.25">
      <c r="A32" s="112" t="str">
        <f>+IF(PROVEEDORES[[#This Row],[FECHA DE PAGO]]=PROVEEDORES[[#This Row],[FECHA DE FACTURACIÓN]],"DE CONTADO","CRÉDITO")</f>
        <v>CRÉDITO</v>
      </c>
      <c r="B32" s="112" t="str">
        <f>+IF((PROVEEDORES[[#This Row],[FECHA DE PAGO]]-PROVEEDORES[[#This Row],[FECHA DE FACTURACIÓN]])&gt;PROVEEDORES[[#This Row],[PLAZO Días]],"PAGO VENCIDO")</f>
        <v>PAGO VENCIDO</v>
      </c>
      <c r="C32" s="112">
        <f>+VLOOKUP(PROVEEDORES[[#This Row],[PROVEEDOR]],TERCEROS_INFO[#All],2,FALSE)</f>
        <v>10</v>
      </c>
      <c r="D32" s="113">
        <f>+SUMIFS(PROVEEDORES[Total],PROVEEDORES[PROVEEDOR],PROVEEDORES[[#This Row],[PROVEEDOR]],PROVEEDORES[FECHA DE PAGO],"")</f>
        <v>0</v>
      </c>
      <c r="E32" s="114"/>
      <c r="F32" s="112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32" s="115">
        <v>45608</v>
      </c>
      <c r="H32" s="116" t="s">
        <v>205</v>
      </c>
      <c r="I32" s="115">
        <v>45597</v>
      </c>
      <c r="J32" s="117" t="s">
        <v>695</v>
      </c>
      <c r="K32" s="117" t="s">
        <v>256</v>
      </c>
      <c r="L32" s="117" t="s">
        <v>260</v>
      </c>
      <c r="M32" s="118">
        <v>5886881</v>
      </c>
      <c r="N32" s="119">
        <v>1118507.3899999999</v>
      </c>
      <c r="O32" s="119">
        <v>0</v>
      </c>
      <c r="P32" s="120">
        <v>0</v>
      </c>
      <c r="Q32" s="119">
        <v>0</v>
      </c>
      <c r="R32" s="121">
        <v>7005388.3899999997</v>
      </c>
      <c r="S3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122">
        <f ca="1">+IF(PROVEEDORES[[#This Row],[FECHA DE PAGO]]=0,TODAY()-PROVEEDORES[[#This Row],[FECHA DE FACTURACIÓN]]-PROVEEDORES[[#This Row],[PLAZO Días]],0)</f>
        <v>0</v>
      </c>
      <c r="U32" s="122">
        <f>+VLOOKUP(PROVEEDORES[[#This Row],[PROVEEDOR]],Terceros!$A:$D,4,FALSE)</f>
        <v>0</v>
      </c>
      <c r="V32" s="122">
        <f>+YEAR(PROVEEDORES[[#This Row],[FECHA DE FACTURACIÓN]])</f>
        <v>2024</v>
      </c>
      <c r="W32" s="122">
        <f>+MATCH(PROVEEDORES[[#This Row],[año facturado]],Retenciones!$1:$1,0)</f>
        <v>3</v>
      </c>
      <c r="X32" s="123">
        <f>+VLOOKUP(PROVEEDORES[[#This Row],[ID RETENCION]],Retenciones!$A$1:$K$25,PROVEEDORES[[#This Row],[indicador de columna]],FALSE)</f>
        <v>0</v>
      </c>
      <c r="Y32" s="124">
        <f>+VLOOKUP(PROVEEDORES[[#This Row],[ID RETENCION]],Retenciones!$A$1:$K$25,2,FALSE)</f>
        <v>0</v>
      </c>
      <c r="Z32" s="125" t="b">
        <f>+OR(COUNTIF(PROVEEDORES[[#This Row],[PROVEEDOR]],"*"&amp;'Palabra que no opera y Listas d'!$A$2&amp;"*"))</f>
        <v>1</v>
      </c>
    </row>
    <row r="33" spans="1:26" ht="27.75" customHeight="1" x14ac:dyDescent="0.25">
      <c r="A33" s="112" t="str">
        <f>+IF(PROVEEDORES[[#This Row],[FECHA DE PAGO]]=PROVEEDORES[[#This Row],[FECHA DE FACTURACIÓN]],"DE CONTADO","CRÉDITO")</f>
        <v>DE CONTADO</v>
      </c>
      <c r="B33" s="112" t="b">
        <f>+IF((PROVEEDORES[[#This Row],[FECHA DE PAGO]]-PROVEEDORES[[#This Row],[FECHA DE FACTURACIÓN]])&gt;PROVEEDORES[[#This Row],[PLAZO Días]],"PAGO VENCIDO")</f>
        <v>0</v>
      </c>
      <c r="C33" s="112">
        <f>+VLOOKUP(PROVEEDORES[[#This Row],[PROVEEDOR]],TERCEROS_INFO[#All],2,FALSE)</f>
        <v>0</v>
      </c>
      <c r="D33" s="113">
        <f>+SUMIFS(PROVEEDORES[Total],PROVEEDORES[PROVEEDOR],PROVEEDORES[[#This Row],[PROVEEDOR]],PROVEEDORES[FECHA DE PAGO],"")</f>
        <v>0</v>
      </c>
      <c r="E33" s="114"/>
      <c r="F33" s="112" t="str">
        <f>+VLOOKUP(PROVEEDORES[[#This Row],[PROVEEDOR]],
                       Terceros!$A:$F,
                       5,
                       FALSE)</f>
        <v>info@compomedica.com.co; girlesa.ruiz@servipilas.com;joriescobar64@gmail.com</v>
      </c>
      <c r="G33" s="115">
        <v>45608</v>
      </c>
      <c r="H33" s="116" t="s">
        <v>649</v>
      </c>
      <c r="I33" s="115">
        <v>45608</v>
      </c>
      <c r="J33" s="117" t="s">
        <v>696</v>
      </c>
      <c r="K33" s="117" t="s">
        <v>210</v>
      </c>
      <c r="L33" s="117" t="s">
        <v>259</v>
      </c>
      <c r="M33" s="118">
        <v>2370000</v>
      </c>
      <c r="N33" s="119">
        <v>450300</v>
      </c>
      <c r="O33" s="119">
        <v>0</v>
      </c>
      <c r="P33" s="120">
        <v>2.5000000000000001E-2</v>
      </c>
      <c r="Q33" s="119">
        <v>59250</v>
      </c>
      <c r="R33" s="121">
        <v>2761050</v>
      </c>
      <c r="S3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122">
        <f ca="1">+IF(PROVEEDORES[[#This Row],[FECHA DE PAGO]]=0,TODAY()-PROVEEDORES[[#This Row],[FECHA DE FACTURACIÓN]]-PROVEEDORES[[#This Row],[PLAZO Días]],0)</f>
        <v>0</v>
      </c>
      <c r="U33" s="122" t="str">
        <f>+VLOOKUP(PROVEEDORES[[#This Row],[PROVEEDOR]],Terceros!$A:$D,4,FALSE)</f>
        <v>2,5% con base</v>
      </c>
      <c r="V33" s="122">
        <f>+YEAR(PROVEEDORES[[#This Row],[FECHA DE FACTURACIÓN]])</f>
        <v>2024</v>
      </c>
      <c r="W33" s="122">
        <f>+MATCH(PROVEEDORES[[#This Row],[año facturado]],Retenciones!$1:$1,0)</f>
        <v>3</v>
      </c>
      <c r="X33" s="123">
        <f>+VLOOKUP(PROVEEDORES[[#This Row],[ID RETENCION]],Retenciones!$A$1:$K$25,PROVEEDORES[[#This Row],[indicador de columna]],FALSE)</f>
        <v>1271000</v>
      </c>
      <c r="Y33" s="124">
        <f>+VLOOKUP(PROVEEDORES[[#This Row],[ID RETENCION]],Retenciones!$A$1:$K$25,2,FALSE)</f>
        <v>2.5000000000000001E-2</v>
      </c>
      <c r="Z33" s="125" t="b">
        <f>+OR(COUNTIF(PROVEEDORES[[#This Row],[PROVEEDOR]],"*"&amp;'Palabra que no opera y Listas d'!$A$2&amp;"*"))</f>
        <v>0</v>
      </c>
    </row>
    <row r="34" spans="1:26" ht="27.75" customHeight="1" x14ac:dyDescent="0.25">
      <c r="A34" s="112" t="str">
        <f>+IF(PROVEEDORES[[#This Row],[FECHA DE PAGO]]=PROVEEDORES[[#This Row],[FECHA DE FACTURACIÓN]],"DE CONTADO","CRÉDITO")</f>
        <v>DE CONTADO</v>
      </c>
      <c r="B34" s="112" t="b">
        <f>+IF((PROVEEDORES[[#This Row],[FECHA DE PAGO]]-PROVEEDORES[[#This Row],[FECHA DE FACTURACIÓN]])&gt;PROVEEDORES[[#This Row],[PLAZO Días]],"PAGO VENCIDO")</f>
        <v>0</v>
      </c>
      <c r="C34" s="112">
        <f>+VLOOKUP(PROVEEDORES[[#This Row],[PROVEEDOR]],TERCEROS_INFO[#All],2,FALSE)</f>
        <v>30</v>
      </c>
      <c r="D34" s="113">
        <f>+SUMIFS(PROVEEDORES[Total],PROVEEDORES[PROVEEDOR],PROVEEDORES[[#This Row],[PROVEEDOR]],PROVEEDORES[FECHA DE PAGO],"")</f>
        <v>0</v>
      </c>
      <c r="E34" s="114"/>
      <c r="F34" s="112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34" s="115">
        <v>45608</v>
      </c>
      <c r="H34" s="116" t="s">
        <v>231</v>
      </c>
      <c r="I34" s="115">
        <v>45608</v>
      </c>
      <c r="J34" s="117" t="s">
        <v>697</v>
      </c>
      <c r="K34" s="117" t="s">
        <v>256</v>
      </c>
      <c r="L34" s="117" t="s">
        <v>234</v>
      </c>
      <c r="M34" s="118">
        <v>342852</v>
      </c>
      <c r="N34" s="119">
        <v>65141.88</v>
      </c>
      <c r="O34" s="119">
        <v>0</v>
      </c>
      <c r="P34" s="120">
        <v>0</v>
      </c>
      <c r="Q34" s="119"/>
      <c r="R34" s="121">
        <v>407993.88</v>
      </c>
      <c r="S3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122">
        <f ca="1">+IF(PROVEEDORES[[#This Row],[FECHA DE PAGO]]=0,TODAY()-PROVEEDORES[[#This Row],[FECHA DE FACTURACIÓN]]-PROVEEDORES[[#This Row],[PLAZO Días]],0)</f>
        <v>0</v>
      </c>
      <c r="U34" s="122" t="str">
        <f>+VLOOKUP(PROVEEDORES[[#This Row],[PROVEEDOR]],Terceros!$A:$D,4,FALSE)</f>
        <v>2,5% con base</v>
      </c>
      <c r="V34" s="122">
        <f>+YEAR(PROVEEDORES[[#This Row],[FECHA DE FACTURACIÓN]])</f>
        <v>2024</v>
      </c>
      <c r="W34" s="122">
        <f>+MATCH(PROVEEDORES[[#This Row],[año facturado]],Retenciones!$1:$1,0)</f>
        <v>3</v>
      </c>
      <c r="X34" s="123">
        <f>+VLOOKUP(PROVEEDORES[[#This Row],[ID RETENCION]],Retenciones!$A$1:$K$25,PROVEEDORES[[#This Row],[indicador de columna]],FALSE)</f>
        <v>1271000</v>
      </c>
      <c r="Y34" s="124">
        <f>+VLOOKUP(PROVEEDORES[[#This Row],[ID RETENCION]],Retenciones!$A$1:$K$25,2,FALSE)</f>
        <v>2.5000000000000001E-2</v>
      </c>
      <c r="Z34" s="125" t="b">
        <f>+OR(COUNTIF(PROVEEDORES[[#This Row],[PROVEEDOR]],"*"&amp;'Palabra que no opera y Listas d'!$A$2&amp;"*"))</f>
        <v>0</v>
      </c>
    </row>
    <row r="35" spans="1:26" ht="27.75" customHeight="1" x14ac:dyDescent="0.25">
      <c r="A35" s="112" t="str">
        <f>+IF(PROVEEDORES[[#This Row],[FECHA DE PAGO]]=PROVEEDORES[[#This Row],[FECHA DE FACTURACIÓN]],"DE CONTADO","CRÉDITO")</f>
        <v>CRÉDITO</v>
      </c>
      <c r="B35" s="112" t="str">
        <f>+IF((PROVEEDORES[[#This Row],[FECHA DE PAGO]]-PROVEEDORES[[#This Row],[FECHA DE FACTURACIÓN]])&gt;PROVEEDORES[[#This Row],[PLAZO Días]],"PAGO VENCIDO")</f>
        <v>PAGO VENCIDO</v>
      </c>
      <c r="C35" s="112">
        <f>+VLOOKUP(PROVEEDORES[[#This Row],[PROVEEDOR]],TERCEROS_INFO[#All],2,FALSE)</f>
        <v>0</v>
      </c>
      <c r="D35" s="113">
        <f>+SUMIFS(PROVEEDORES[Total],PROVEEDORES[PROVEEDOR],PROVEEDORES[[#This Row],[PROVEEDOR]],PROVEEDORES[FECHA DE PAGO],"")</f>
        <v>0</v>
      </c>
      <c r="E35" s="114"/>
      <c r="F35" s="112" t="str">
        <f>+VLOOKUP(PROVEEDORES[[#This Row],[PROVEEDOR]],
                       Terceros!$A:$F,
                       5,
                       FALSE)</f>
        <v>contabilidad@comercialweb.com.co;info@servipilas.com</v>
      </c>
      <c r="G35" s="115">
        <v>45609</v>
      </c>
      <c r="H35" s="116" t="s">
        <v>698</v>
      </c>
      <c r="I35" s="115">
        <v>45606</v>
      </c>
      <c r="J35" s="117">
        <v>2818</v>
      </c>
      <c r="K35" s="117" t="s">
        <v>210</v>
      </c>
      <c r="L35" s="117" t="s">
        <v>259</v>
      </c>
      <c r="M35" s="118">
        <v>650001</v>
      </c>
      <c r="N35" s="119">
        <v>123500.19</v>
      </c>
      <c r="O35" s="119">
        <v>0</v>
      </c>
      <c r="P35" s="120">
        <v>3.5000000000000003E-2</v>
      </c>
      <c r="Q35" s="119">
        <v>22750.035000000003</v>
      </c>
      <c r="R35" s="121">
        <v>750751.15499999991</v>
      </c>
      <c r="S3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122">
        <f ca="1">+IF(PROVEEDORES[[#This Row],[FECHA DE PAGO]]=0,TODAY()-PROVEEDORES[[#This Row],[FECHA DE FACTURACIÓN]]-PROVEEDORES[[#This Row],[PLAZO Días]],0)</f>
        <v>0</v>
      </c>
      <c r="U35" s="122">
        <f>+VLOOKUP(PROVEEDORES[[#This Row],[PROVEEDOR]],Terceros!$A:$D,4,FALSE)</f>
        <v>0</v>
      </c>
      <c r="V35" s="122">
        <f>+YEAR(PROVEEDORES[[#This Row],[FECHA DE FACTURACIÓN]])</f>
        <v>2024</v>
      </c>
      <c r="W35" s="122">
        <f>+MATCH(PROVEEDORES[[#This Row],[año facturado]],Retenciones!$1:$1,0)</f>
        <v>3</v>
      </c>
      <c r="X35" s="123">
        <f>+VLOOKUP(PROVEEDORES[[#This Row],[ID RETENCION]],Retenciones!$A$1:$K$25,PROVEEDORES[[#This Row],[indicador de columna]],FALSE)</f>
        <v>0</v>
      </c>
      <c r="Y35" s="124">
        <f>+VLOOKUP(PROVEEDORES[[#This Row],[ID RETENCION]],Retenciones!$A$1:$K$25,2,FALSE)</f>
        <v>0</v>
      </c>
      <c r="Z35" s="125" t="b">
        <f>+OR(COUNTIF(PROVEEDORES[[#This Row],[PROVEEDOR]],"*"&amp;'Palabra que no opera y Listas d'!$A$2&amp;"*"))</f>
        <v>1</v>
      </c>
    </row>
    <row r="36" spans="1:26" ht="27.75" customHeight="1" x14ac:dyDescent="0.25">
      <c r="A36" s="112" t="str">
        <f>+IF(PROVEEDORES[[#This Row],[FECHA DE PAGO]]=PROVEEDORES[[#This Row],[FECHA DE FACTURACIÓN]],"DE CONTADO","CRÉDITO")</f>
        <v>DE CONTADO</v>
      </c>
      <c r="B36" s="112" t="b">
        <f>+IF((PROVEEDORES[[#This Row],[FECHA DE PAGO]]-PROVEEDORES[[#This Row],[FECHA DE FACTURACIÓN]])&gt;PROVEEDORES[[#This Row],[PLAZO Días]],"PAGO VENCIDO")</f>
        <v>0</v>
      </c>
      <c r="C36" s="112">
        <f>+VLOOKUP(PROVEEDORES[[#This Row],[PROVEEDOR]],TERCEROS_INFO[#All],2,FALSE)</f>
        <v>0</v>
      </c>
      <c r="D36" s="113">
        <f>+SUMIFS(PROVEEDORES[Total],PROVEEDORES[PROVEEDOR],PROVEEDORES[[#This Row],[PROVEEDOR]],PROVEEDORES[FECHA DE PAGO],"")</f>
        <v>0</v>
      </c>
      <c r="E36" s="114"/>
      <c r="F36" s="112">
        <f>+VLOOKUP(PROVEEDORES[[#This Row],[PROVEEDOR]],
                       Terceros!$A:$F,
                       5,
                       FALSE)</f>
        <v>0</v>
      </c>
      <c r="G36" s="115">
        <v>45609</v>
      </c>
      <c r="H36" s="116" t="s">
        <v>595</v>
      </c>
      <c r="I36" s="115">
        <v>45609</v>
      </c>
      <c r="J36" s="117" t="s">
        <v>665</v>
      </c>
      <c r="K36" s="117" t="s">
        <v>210</v>
      </c>
      <c r="L36" s="117" t="s">
        <v>234</v>
      </c>
      <c r="M36" s="118">
        <v>200000</v>
      </c>
      <c r="N36" s="119"/>
      <c r="O36" s="119">
        <v>0</v>
      </c>
      <c r="P36" s="120">
        <v>0</v>
      </c>
      <c r="Q36" s="119">
        <v>0</v>
      </c>
      <c r="R36" s="121">
        <v>200000</v>
      </c>
      <c r="S3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122">
        <f ca="1">+IF(PROVEEDORES[[#This Row],[FECHA DE PAGO]]=0,TODAY()-PROVEEDORES[[#This Row],[FECHA DE FACTURACIÓN]]-PROVEEDORES[[#This Row],[PLAZO Días]],0)</f>
        <v>0</v>
      </c>
      <c r="U36" s="122">
        <f>+VLOOKUP(PROVEEDORES[[#This Row],[PROVEEDOR]],Terceros!$A:$D,4,FALSE)</f>
        <v>0</v>
      </c>
      <c r="V36" s="122">
        <f>+YEAR(PROVEEDORES[[#This Row],[FECHA DE FACTURACIÓN]])</f>
        <v>2024</v>
      </c>
      <c r="W36" s="122">
        <f>+MATCH(PROVEEDORES[[#This Row],[año facturado]],Retenciones!$1:$1,0)</f>
        <v>3</v>
      </c>
      <c r="X36" s="123">
        <f>+VLOOKUP(PROVEEDORES[[#This Row],[ID RETENCION]],Retenciones!$A$1:$K$25,PROVEEDORES[[#This Row],[indicador de columna]],FALSE)</f>
        <v>0</v>
      </c>
      <c r="Y36" s="124">
        <f>+VLOOKUP(PROVEEDORES[[#This Row],[ID RETENCION]],Retenciones!$A$1:$K$25,2,FALSE)</f>
        <v>0</v>
      </c>
      <c r="Z36" s="125" t="b">
        <f>+OR(COUNTIF(PROVEEDORES[[#This Row],[PROVEEDOR]],"*"&amp;'Palabra que no opera y Listas d'!$A$2&amp;"*"))</f>
        <v>1</v>
      </c>
    </row>
    <row r="37" spans="1:26" ht="27.75" customHeight="1" x14ac:dyDescent="0.25">
      <c r="A37" s="112" t="str">
        <f>+IF(PROVEEDORES[[#This Row],[FECHA DE PAGO]]=PROVEEDORES[[#This Row],[FECHA DE FACTURACIÓN]],"DE CONTADO","CRÉDITO")</f>
        <v>DE CONTADO</v>
      </c>
      <c r="B37" s="112" t="b">
        <f>+IF((PROVEEDORES[[#This Row],[FECHA DE PAGO]]-PROVEEDORES[[#This Row],[FECHA DE FACTURACIÓN]])&gt;PROVEEDORES[[#This Row],[PLAZO Días]],"PAGO VENCIDO")</f>
        <v>0</v>
      </c>
      <c r="C37" s="112">
        <f>+VLOOKUP(PROVEEDORES[[#This Row],[PROVEEDOR]],TERCEROS_INFO[#All],2,FALSE)</f>
        <v>30</v>
      </c>
      <c r="D37" s="113">
        <f>+SUMIFS(PROVEEDORES[Total],PROVEEDORES[PROVEEDOR],PROVEEDORES[[#This Row],[PROVEEDOR]],PROVEEDORES[FECHA DE PAGO],"")</f>
        <v>0</v>
      </c>
      <c r="E37" s="114"/>
      <c r="F37" s="112">
        <f>+VLOOKUP(PROVEEDORES[[#This Row],[PROVEEDOR]],
                       Terceros!$A:$F,
                       5,
                       FALSE)</f>
        <v>0</v>
      </c>
      <c r="G37" s="115">
        <v>45610</v>
      </c>
      <c r="H37" s="116" t="s">
        <v>132</v>
      </c>
      <c r="I37" s="115">
        <v>45610</v>
      </c>
      <c r="J37" s="117" t="s">
        <v>699</v>
      </c>
      <c r="K37" s="117" t="s">
        <v>210</v>
      </c>
      <c r="L37" s="117" t="s">
        <v>259</v>
      </c>
      <c r="M37" s="118">
        <v>13118903</v>
      </c>
      <c r="N37" s="119">
        <v>2492591.5699999998</v>
      </c>
      <c r="O37" s="119">
        <v>0</v>
      </c>
      <c r="P37" s="120">
        <v>2.5000000000000001E-2</v>
      </c>
      <c r="Q37" s="119">
        <v>327972.57500000001</v>
      </c>
      <c r="R37" s="121">
        <v>15283521.995000001</v>
      </c>
      <c r="S3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122">
        <f ca="1">+IF(PROVEEDORES[[#This Row],[FECHA DE PAGO]]=0,TODAY()-PROVEEDORES[[#This Row],[FECHA DE FACTURACIÓN]]-PROVEEDORES[[#This Row],[PLAZO Días]],0)</f>
        <v>0</v>
      </c>
      <c r="U37" s="122" t="str">
        <f>+VLOOKUP(PROVEEDORES[[#This Row],[PROVEEDOR]],Terceros!$A:$D,4,FALSE)</f>
        <v>2,5% con base</v>
      </c>
      <c r="V37" s="122">
        <f>+YEAR(PROVEEDORES[[#This Row],[FECHA DE FACTURACIÓN]])</f>
        <v>2024</v>
      </c>
      <c r="W37" s="122">
        <f>+MATCH(PROVEEDORES[[#This Row],[año facturado]],Retenciones!$1:$1,0)</f>
        <v>3</v>
      </c>
      <c r="X37" s="123">
        <f>+VLOOKUP(PROVEEDORES[[#This Row],[ID RETENCION]],Retenciones!$A$1:$K$25,PROVEEDORES[[#This Row],[indicador de columna]],FALSE)</f>
        <v>1271000</v>
      </c>
      <c r="Y37" s="124">
        <f>+VLOOKUP(PROVEEDORES[[#This Row],[ID RETENCION]],Retenciones!$A$1:$K$25,2,FALSE)</f>
        <v>2.5000000000000001E-2</v>
      </c>
      <c r="Z37" s="125" t="b">
        <f>+OR(COUNTIF(PROVEEDORES[[#This Row],[PROVEEDOR]],"*"&amp;'Palabra que no opera y Listas d'!$A$2&amp;"*"))</f>
        <v>0</v>
      </c>
    </row>
    <row r="38" spans="1:26" ht="27.75" customHeight="1" x14ac:dyDescent="0.25">
      <c r="A38" s="112" t="str">
        <f>+IF(PROVEEDORES[[#This Row],[FECHA DE PAGO]]=PROVEEDORES[[#This Row],[FECHA DE FACTURACIÓN]],"DE CONTADO","CRÉDITO")</f>
        <v>DE CONTADO</v>
      </c>
      <c r="B38" s="112" t="b">
        <f>+IF((PROVEEDORES[[#This Row],[FECHA DE PAGO]]-PROVEEDORES[[#This Row],[FECHA DE FACTURACIÓN]])&gt;PROVEEDORES[[#This Row],[PLAZO Días]],"PAGO VENCIDO")</f>
        <v>0</v>
      </c>
      <c r="C38" s="112">
        <f>+VLOOKUP(PROVEEDORES[[#This Row],[PROVEEDOR]],TERCEROS_INFO[#All],2,FALSE)</f>
        <v>30</v>
      </c>
      <c r="D38" s="113">
        <f>+SUMIFS(PROVEEDORES[Total],PROVEEDORES[PROVEEDOR],PROVEEDORES[[#This Row],[PROVEEDOR]],PROVEEDORES[FECHA DE PAGO],"")</f>
        <v>0</v>
      </c>
      <c r="E38" s="114"/>
      <c r="F38" s="112" t="str">
        <f>+VLOOKUP(PROVEEDORES[[#This Row],[PROVEEDOR]],
                       Terceros!$A:$F,
                       5,
                       FALSE)</f>
        <v/>
      </c>
      <c r="G38" s="115">
        <v>45611</v>
      </c>
      <c r="H38" s="116" t="s">
        <v>662</v>
      </c>
      <c r="I38" s="115">
        <v>45611</v>
      </c>
      <c r="J38" s="117" t="s">
        <v>700</v>
      </c>
      <c r="K38" s="117" t="s">
        <v>256</v>
      </c>
      <c r="L38" s="117" t="s">
        <v>234</v>
      </c>
      <c r="M38" s="118">
        <v>180000</v>
      </c>
      <c r="N38" s="119"/>
      <c r="O38" s="119">
        <v>0</v>
      </c>
      <c r="P38" s="120">
        <v>0</v>
      </c>
      <c r="Q38" s="119">
        <v>0</v>
      </c>
      <c r="R38" s="121">
        <v>180000</v>
      </c>
      <c r="S3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122">
        <f ca="1">+IF(PROVEEDORES[[#This Row],[FECHA DE PAGO]]=0,TODAY()-PROVEEDORES[[#This Row],[FECHA DE FACTURACIÓN]]-PROVEEDORES[[#This Row],[PLAZO Días]],0)</f>
        <v>0</v>
      </c>
      <c r="U38" s="122">
        <f>+VLOOKUP(PROVEEDORES[[#This Row],[PROVEEDOR]],Terceros!$A:$D,4,FALSE)</f>
        <v>0</v>
      </c>
      <c r="V38" s="122">
        <f>+YEAR(PROVEEDORES[[#This Row],[FECHA DE FACTURACIÓN]])</f>
        <v>2024</v>
      </c>
      <c r="W38" s="122">
        <f>+MATCH(PROVEEDORES[[#This Row],[año facturado]],Retenciones!$1:$1,0)</f>
        <v>3</v>
      </c>
      <c r="X38" s="123">
        <f>+VLOOKUP(PROVEEDORES[[#This Row],[ID RETENCION]],Retenciones!$A$1:$K$25,PROVEEDORES[[#This Row],[indicador de columna]],FALSE)</f>
        <v>0</v>
      </c>
      <c r="Y38" s="124">
        <f>+VLOOKUP(PROVEEDORES[[#This Row],[ID RETENCION]],Retenciones!$A$1:$K$25,2,FALSE)</f>
        <v>0</v>
      </c>
      <c r="Z38" s="125" t="b">
        <f>+OR(COUNTIF(PROVEEDORES[[#This Row],[PROVEEDOR]],"*"&amp;'Palabra que no opera y Listas d'!$A$2&amp;"*"))</f>
        <v>0</v>
      </c>
    </row>
    <row r="39" spans="1:26" ht="27.75" customHeight="1" x14ac:dyDescent="0.25">
      <c r="A39" s="112" t="str">
        <f>+IF(PROVEEDORES[[#This Row],[FECHA DE PAGO]]=PROVEEDORES[[#This Row],[FECHA DE FACTURACIÓN]],"DE CONTADO","CRÉDITO")</f>
        <v>DE CONTADO</v>
      </c>
      <c r="B39" s="112" t="b">
        <f>+IF((PROVEEDORES[[#This Row],[FECHA DE PAGO]]-PROVEEDORES[[#This Row],[FECHA DE FACTURACIÓN]])&gt;PROVEEDORES[[#This Row],[PLAZO Días]],"PAGO VENCIDO")</f>
        <v>0</v>
      </c>
      <c r="C39" s="112">
        <f>+VLOOKUP(PROVEEDORES[[#This Row],[PROVEEDOR]],TERCEROS_INFO[#All],2,FALSE)</f>
        <v>30</v>
      </c>
      <c r="D39" s="113">
        <f>+SUMIFS(PROVEEDORES[Total],PROVEEDORES[PROVEEDOR],PROVEEDORES[[#This Row],[PROVEEDOR]],PROVEEDORES[FECHA DE PAGO],"")</f>
        <v>0</v>
      </c>
      <c r="E39" s="114"/>
      <c r="F39" s="112" t="str">
        <f>+VLOOKUP(PROVEEDORES[[#This Row],[PROVEEDOR]],
                       Terceros!$A:$F,
                       5,
                       FALSE)</f>
        <v/>
      </c>
      <c r="G39" s="115">
        <v>45611</v>
      </c>
      <c r="H39" s="116" t="s">
        <v>662</v>
      </c>
      <c r="I39" s="115">
        <v>45611</v>
      </c>
      <c r="J39" s="117" t="s">
        <v>701</v>
      </c>
      <c r="K39" s="117" t="s">
        <v>210</v>
      </c>
      <c r="L39" s="117" t="s">
        <v>234</v>
      </c>
      <c r="M39" s="118">
        <v>1316900</v>
      </c>
      <c r="N39" s="119"/>
      <c r="O39" s="119">
        <v>0</v>
      </c>
      <c r="P39" s="120">
        <v>0</v>
      </c>
      <c r="Q39" s="119">
        <v>0</v>
      </c>
      <c r="R39" s="121">
        <v>1316900</v>
      </c>
      <c r="S3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122">
        <f ca="1">+IF(PROVEEDORES[[#This Row],[FECHA DE PAGO]]=0,TODAY()-PROVEEDORES[[#This Row],[FECHA DE FACTURACIÓN]]-PROVEEDORES[[#This Row],[PLAZO Días]],0)</f>
        <v>0</v>
      </c>
      <c r="U39" s="122">
        <f>+VLOOKUP(PROVEEDORES[[#This Row],[PROVEEDOR]],Terceros!$A:$D,4,FALSE)</f>
        <v>0</v>
      </c>
      <c r="V39" s="122">
        <f>+YEAR(PROVEEDORES[[#This Row],[FECHA DE FACTURACIÓN]])</f>
        <v>2024</v>
      </c>
      <c r="W39" s="122">
        <f>+MATCH(PROVEEDORES[[#This Row],[año facturado]],Retenciones!$1:$1,0)</f>
        <v>3</v>
      </c>
      <c r="X39" s="123">
        <f>+VLOOKUP(PROVEEDORES[[#This Row],[ID RETENCION]],Retenciones!$A$1:$K$25,PROVEEDORES[[#This Row],[indicador de columna]],FALSE)</f>
        <v>0</v>
      </c>
      <c r="Y39" s="124">
        <f>+VLOOKUP(PROVEEDORES[[#This Row],[ID RETENCION]],Retenciones!$A$1:$K$25,2,FALSE)</f>
        <v>0</v>
      </c>
      <c r="Z39" s="125" t="b">
        <f>+OR(COUNTIF(PROVEEDORES[[#This Row],[PROVEEDOR]],"*"&amp;'Palabra que no opera y Listas d'!$A$2&amp;"*"))</f>
        <v>0</v>
      </c>
    </row>
    <row r="40" spans="1:26" ht="27.75" customHeight="1" x14ac:dyDescent="0.25">
      <c r="A40" s="112" t="str">
        <f>+IF(PROVEEDORES[[#This Row],[FECHA DE PAGO]]=PROVEEDORES[[#This Row],[FECHA DE FACTURACIÓN]],"DE CONTADO","CRÉDITO")</f>
        <v>DE CONTADO</v>
      </c>
      <c r="B40" s="112" t="b">
        <f>+IF((PROVEEDORES[[#This Row],[FECHA DE PAGO]]-PROVEEDORES[[#This Row],[FECHA DE FACTURACIÓN]])&gt;PROVEEDORES[[#This Row],[PLAZO Días]],"PAGO VENCIDO")</f>
        <v>0</v>
      </c>
      <c r="C40" s="112">
        <f>+VLOOKUP(PROVEEDORES[[#This Row],[PROVEEDOR]],TERCEROS_INFO[#All],2,FALSE)</f>
        <v>30</v>
      </c>
      <c r="D40" s="113">
        <f>+SUMIFS(PROVEEDORES[Total],PROVEEDORES[PROVEEDOR],PROVEEDORES[[#This Row],[PROVEEDOR]],PROVEEDORES[FECHA DE PAGO],"")</f>
        <v>0</v>
      </c>
      <c r="E40" s="114"/>
      <c r="F40" s="112" t="str">
        <f>+VLOOKUP(PROVEEDORES[[#This Row],[PROVEEDOR]],
                       Terceros!$A:$F,
                       5,
                       FALSE)</f>
        <v/>
      </c>
      <c r="G40" s="115">
        <v>45611</v>
      </c>
      <c r="H40" s="116" t="s">
        <v>473</v>
      </c>
      <c r="I40" s="115">
        <v>45611</v>
      </c>
      <c r="J40" s="117" t="s">
        <v>702</v>
      </c>
      <c r="K40" s="117" t="s">
        <v>256</v>
      </c>
      <c r="L40" s="117" t="s">
        <v>259</v>
      </c>
      <c r="M40" s="118">
        <v>15504000</v>
      </c>
      <c r="N40" s="119"/>
      <c r="O40" s="119">
        <v>0</v>
      </c>
      <c r="P40" s="120">
        <v>0</v>
      </c>
      <c r="Q40" s="119">
        <v>0</v>
      </c>
      <c r="R40" s="121">
        <v>15504000</v>
      </c>
      <c r="S4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122">
        <f ca="1">+IF(PROVEEDORES[[#This Row],[FECHA DE PAGO]]=0,TODAY()-PROVEEDORES[[#This Row],[FECHA DE FACTURACIÓN]]-PROVEEDORES[[#This Row],[PLAZO Días]],0)</f>
        <v>0</v>
      </c>
      <c r="U40" s="122">
        <f>+VLOOKUP(PROVEEDORES[[#This Row],[PROVEEDOR]],Terceros!$A:$D,4,FALSE)</f>
        <v>0</v>
      </c>
      <c r="V40" s="122">
        <f>+YEAR(PROVEEDORES[[#This Row],[FECHA DE FACTURACIÓN]])</f>
        <v>2024</v>
      </c>
      <c r="W40" s="122">
        <f>+MATCH(PROVEEDORES[[#This Row],[año facturado]],Retenciones!$1:$1,0)</f>
        <v>3</v>
      </c>
      <c r="X40" s="123">
        <f>+VLOOKUP(PROVEEDORES[[#This Row],[ID RETENCION]],Retenciones!$A$1:$K$25,PROVEEDORES[[#This Row],[indicador de columna]],FALSE)</f>
        <v>0</v>
      </c>
      <c r="Y40" s="124">
        <f>+VLOOKUP(PROVEEDORES[[#This Row],[ID RETENCION]],Retenciones!$A$1:$K$25,2,FALSE)</f>
        <v>0</v>
      </c>
      <c r="Z40" s="125" t="b">
        <f>+OR(COUNTIF(PROVEEDORES[[#This Row],[PROVEEDOR]],"*"&amp;'Palabra que no opera y Listas d'!$A$2&amp;"*"))</f>
        <v>0</v>
      </c>
    </row>
    <row r="41" spans="1:26" ht="27.75" customHeight="1" x14ac:dyDescent="0.25">
      <c r="A41" s="112" t="str">
        <f>+IF(PROVEEDORES[[#This Row],[FECHA DE PAGO]]=PROVEEDORES[[#This Row],[FECHA DE FACTURACIÓN]],"DE CONTADO","CRÉDITO")</f>
        <v>CRÉDITO</v>
      </c>
      <c r="B41" s="112" t="str">
        <f>+IF((PROVEEDORES[[#This Row],[FECHA DE PAGO]]-PROVEEDORES[[#This Row],[FECHA DE FACTURACIÓN]])&gt;PROVEEDORES[[#This Row],[PLAZO Días]],"PAGO VENCIDO")</f>
        <v>PAGO VENCIDO</v>
      </c>
      <c r="C41" s="112">
        <f>+VLOOKUP(PROVEEDORES[[#This Row],[PROVEEDOR]],TERCEROS_INFO[#All],2,FALSE)</f>
        <v>30</v>
      </c>
      <c r="D41" s="113">
        <f>+SUMIFS(PROVEEDORES[Total],PROVEEDORES[PROVEEDOR],PROVEEDORES[[#This Row],[PROVEEDOR]],PROVEEDORES[FECHA DE PAGO],"")</f>
        <v>0</v>
      </c>
      <c r="E41" s="114"/>
      <c r="F41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41" s="115">
        <v>45612</v>
      </c>
      <c r="H41" s="116" t="s">
        <v>93</v>
      </c>
      <c r="I41" s="115">
        <v>45572</v>
      </c>
      <c r="J41" s="117" t="s">
        <v>703</v>
      </c>
      <c r="K41" s="117" t="s">
        <v>210</v>
      </c>
      <c r="L41" s="117" t="s">
        <v>258</v>
      </c>
      <c r="M41" s="118">
        <v>747931</v>
      </c>
      <c r="N41" s="119">
        <v>142106.89000000001</v>
      </c>
      <c r="O41" s="119">
        <v>0</v>
      </c>
      <c r="P41" s="120">
        <v>0</v>
      </c>
      <c r="Q41" s="119">
        <v>0</v>
      </c>
      <c r="R41" s="121">
        <v>890037.89</v>
      </c>
      <c r="S4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122">
        <f ca="1">+IF(PROVEEDORES[[#This Row],[FECHA DE PAGO]]=0,TODAY()-PROVEEDORES[[#This Row],[FECHA DE FACTURACIÓN]]-PROVEEDORES[[#This Row],[PLAZO Días]],0)</f>
        <v>0</v>
      </c>
      <c r="U41" s="122">
        <f>+VLOOKUP(PROVEEDORES[[#This Row],[PROVEEDOR]],Terceros!$A:$D,4,FALSE)</f>
        <v>0</v>
      </c>
      <c r="V41" s="122">
        <f>+YEAR(PROVEEDORES[[#This Row],[FECHA DE FACTURACIÓN]])</f>
        <v>2024</v>
      </c>
      <c r="W41" s="122">
        <f>+MATCH(PROVEEDORES[[#This Row],[año facturado]],Retenciones!$1:$1,0)</f>
        <v>3</v>
      </c>
      <c r="X41" s="123">
        <f>+VLOOKUP(PROVEEDORES[[#This Row],[ID RETENCION]],Retenciones!$A$1:$K$25,PROVEEDORES[[#This Row],[indicador de columna]],FALSE)</f>
        <v>0</v>
      </c>
      <c r="Y41" s="124">
        <f>+VLOOKUP(PROVEEDORES[[#This Row],[ID RETENCION]],Retenciones!$A$1:$K$25,2,FALSE)</f>
        <v>0</v>
      </c>
      <c r="Z41" s="125" t="b">
        <f>+OR(COUNTIF(PROVEEDORES[[#This Row],[PROVEEDOR]],"*"&amp;'Palabra que no opera y Listas d'!$A$2&amp;"*"))</f>
        <v>0</v>
      </c>
    </row>
    <row r="42" spans="1:26" ht="27.75" customHeight="1" x14ac:dyDescent="0.25">
      <c r="A42" s="112" t="str">
        <f>+IF(PROVEEDORES[[#This Row],[FECHA DE PAGO]]=PROVEEDORES[[#This Row],[FECHA DE FACTURACIÓN]],"DE CONTADO","CRÉDITO")</f>
        <v>DE CONTADO</v>
      </c>
      <c r="B42" s="112" t="b">
        <f>+IF((PROVEEDORES[[#This Row],[FECHA DE PAGO]]-PROVEEDORES[[#This Row],[FECHA DE FACTURACIÓN]])&gt;PROVEEDORES[[#This Row],[PLAZO Días]],"PAGO VENCIDO")</f>
        <v>0</v>
      </c>
      <c r="C42" s="112">
        <f>+VLOOKUP(PROVEEDORES[[#This Row],[PROVEEDOR]],TERCEROS_INFO[#All],2,FALSE)</f>
        <v>30</v>
      </c>
      <c r="D42" s="113">
        <f>+SUMIFS(PROVEEDORES[Total],PROVEEDORES[PROVEEDOR],PROVEEDORES[[#This Row],[PROVEEDOR]],PROVEEDORES[FECHA DE PAGO],"")</f>
        <v>0</v>
      </c>
      <c r="E42" s="114"/>
      <c r="F42" s="112">
        <f>+VLOOKUP(PROVEEDORES[[#This Row],[PROVEEDOR]],
                       Terceros!$A:$F,
                       5,
                       FALSE)</f>
        <v>0</v>
      </c>
      <c r="G42" s="115">
        <v>45612</v>
      </c>
      <c r="H42" s="116" t="s">
        <v>407</v>
      </c>
      <c r="I42" s="115">
        <v>45612</v>
      </c>
      <c r="J42" s="117" t="s">
        <v>704</v>
      </c>
      <c r="K42" s="117" t="s">
        <v>210</v>
      </c>
      <c r="L42" s="117" t="s">
        <v>234</v>
      </c>
      <c r="M42" s="118">
        <v>663000</v>
      </c>
      <c r="N42" s="119"/>
      <c r="O42" s="119">
        <v>0</v>
      </c>
      <c r="P42" s="120">
        <v>0</v>
      </c>
      <c r="Q42" s="119">
        <v>0</v>
      </c>
      <c r="R42" s="121">
        <v>663000</v>
      </c>
      <c r="S4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122">
        <f ca="1">+IF(PROVEEDORES[[#This Row],[FECHA DE PAGO]]=0,TODAY()-PROVEEDORES[[#This Row],[FECHA DE FACTURACIÓN]]-PROVEEDORES[[#This Row],[PLAZO Días]],0)</f>
        <v>0</v>
      </c>
      <c r="U42" s="122">
        <f>+VLOOKUP(PROVEEDORES[[#This Row],[PROVEEDOR]],Terceros!$A:$D,4,FALSE)</f>
        <v>0</v>
      </c>
      <c r="V42" s="122">
        <f>+YEAR(PROVEEDORES[[#This Row],[FECHA DE FACTURACIÓN]])</f>
        <v>2024</v>
      </c>
      <c r="W42" s="122">
        <f>+MATCH(PROVEEDORES[[#This Row],[año facturado]],Retenciones!$1:$1,0)</f>
        <v>3</v>
      </c>
      <c r="X42" s="123">
        <f>+VLOOKUP(PROVEEDORES[[#This Row],[ID RETENCION]],Retenciones!$A$1:$K$25,PROVEEDORES[[#This Row],[indicador de columna]],FALSE)</f>
        <v>0</v>
      </c>
      <c r="Y42" s="124">
        <f>+VLOOKUP(PROVEEDORES[[#This Row],[ID RETENCION]],Retenciones!$A$1:$K$25,2,FALSE)</f>
        <v>0</v>
      </c>
      <c r="Z42" s="125" t="b">
        <f>+OR(COUNTIF(PROVEEDORES[[#This Row],[PROVEEDOR]],"*"&amp;'Palabra que no opera y Listas d'!$A$2&amp;"*"))</f>
        <v>1</v>
      </c>
    </row>
    <row r="43" spans="1:26" ht="27.75" customHeight="1" x14ac:dyDescent="0.25">
      <c r="A43" s="112" t="str">
        <f>+IF(PROVEEDORES[[#This Row],[FECHA DE PAGO]]=PROVEEDORES[[#This Row],[FECHA DE FACTURACIÓN]],"DE CONTADO","CRÉDITO")</f>
        <v>CRÉDITO</v>
      </c>
      <c r="B43" s="112" t="b">
        <f>+IF((PROVEEDORES[[#This Row],[FECHA DE PAGO]]-PROVEEDORES[[#This Row],[FECHA DE FACTURACIÓN]])&gt;PROVEEDORES[[#This Row],[PLAZO Días]],"PAGO VENCIDO")</f>
        <v>0</v>
      </c>
      <c r="C43" s="112">
        <f>+VLOOKUP(PROVEEDORES[[#This Row],[PROVEEDOR]],TERCEROS_INFO[#All],2,FALSE)</f>
        <v>90</v>
      </c>
      <c r="D43" s="113">
        <f>+SUMIFS(PROVEEDORES[Total],PROVEEDORES[PROVEEDOR],PROVEEDORES[[#This Row],[PROVEEDOR]],PROVEEDORES[FECHA DE PAGO],"")</f>
        <v>40359904.675000004</v>
      </c>
      <c r="E43" s="114"/>
      <c r="F43" s="112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43" s="115">
        <v>45614</v>
      </c>
      <c r="H43" s="116" t="s">
        <v>11</v>
      </c>
      <c r="I43" s="115">
        <v>45530</v>
      </c>
      <c r="J43" s="117" t="s">
        <v>705</v>
      </c>
      <c r="K43" s="117" t="s">
        <v>256</v>
      </c>
      <c r="L43" s="117" t="s">
        <v>258</v>
      </c>
      <c r="M43" s="118">
        <v>3889075</v>
      </c>
      <c r="N43" s="119">
        <v>738924.25</v>
      </c>
      <c r="O43" s="119">
        <v>0</v>
      </c>
      <c r="P43" s="120">
        <v>2.5000000000000001E-2</v>
      </c>
      <c r="Q43" s="119">
        <v>97226.875</v>
      </c>
      <c r="R43" s="121">
        <v>4530772.375</v>
      </c>
      <c r="S4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122">
        <f ca="1">+IF(PROVEEDORES[[#This Row],[FECHA DE PAGO]]=0,TODAY()-PROVEEDORES[[#This Row],[FECHA DE FACTURACIÓN]]-PROVEEDORES[[#This Row],[PLAZO Días]],0)</f>
        <v>0</v>
      </c>
      <c r="U43" s="122" t="str">
        <f>+VLOOKUP(PROVEEDORES[[#This Row],[PROVEEDOR]],Terceros!$A:$D,4,FALSE)</f>
        <v>2,5% con base</v>
      </c>
      <c r="V43" s="122">
        <f>+YEAR(PROVEEDORES[[#This Row],[FECHA DE FACTURACIÓN]])</f>
        <v>2024</v>
      </c>
      <c r="W43" s="122">
        <f>+MATCH(PROVEEDORES[[#This Row],[año facturado]],Retenciones!$1:$1,0)</f>
        <v>3</v>
      </c>
      <c r="X43" s="123">
        <f>+VLOOKUP(PROVEEDORES[[#This Row],[ID RETENCION]],Retenciones!$A$1:$K$25,PROVEEDORES[[#This Row],[indicador de columna]],FALSE)</f>
        <v>1271000</v>
      </c>
      <c r="Y43" s="124">
        <f>+VLOOKUP(PROVEEDORES[[#This Row],[ID RETENCION]],Retenciones!$A$1:$K$25,2,FALSE)</f>
        <v>2.5000000000000001E-2</v>
      </c>
      <c r="Z43" s="125" t="b">
        <f>+OR(COUNTIF(PROVEEDORES[[#This Row],[PROVEEDOR]],"*"&amp;'Palabra que no opera y Listas d'!$A$2&amp;"*"))</f>
        <v>0</v>
      </c>
    </row>
    <row r="44" spans="1:26" ht="27.75" customHeight="1" x14ac:dyDescent="0.25">
      <c r="A44" s="112" t="str">
        <f>+IF(PROVEEDORES[[#This Row],[FECHA DE PAGO]]=PROVEEDORES[[#This Row],[FECHA DE FACTURACIÓN]],"DE CONTADO","CRÉDITO")</f>
        <v>CRÉDITO</v>
      </c>
      <c r="B44" s="112" t="str">
        <f>+IF((PROVEEDORES[[#This Row],[FECHA DE PAGO]]-PROVEEDORES[[#This Row],[FECHA DE FACTURACIÓN]])&gt;PROVEEDORES[[#This Row],[PLAZO Días]],"PAGO VENCIDO")</f>
        <v>PAGO VENCIDO</v>
      </c>
      <c r="C44" s="112">
        <f>+VLOOKUP(PROVEEDORES[[#This Row],[PROVEEDOR]],TERCEROS_INFO[#All],2,FALSE)</f>
        <v>45</v>
      </c>
      <c r="D44" s="113">
        <f>+SUMIFS(PROVEEDORES[Total],PROVEEDORES[PROVEEDOR],PROVEEDORES[[#This Row],[PROVEEDOR]],PROVEEDORES[FECHA DE PAGO],"")</f>
        <v>17682305.199999999</v>
      </c>
      <c r="E44" s="114"/>
      <c r="F44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44" s="115">
        <v>45614</v>
      </c>
      <c r="H44" s="116" t="s">
        <v>14</v>
      </c>
      <c r="I44" s="115">
        <v>45565</v>
      </c>
      <c r="J44" s="117" t="s">
        <v>706</v>
      </c>
      <c r="K44" s="117" t="s">
        <v>210</v>
      </c>
      <c r="L44" s="117" t="s">
        <v>259</v>
      </c>
      <c r="M44" s="118">
        <v>3340800</v>
      </c>
      <c r="N44" s="119">
        <v>634752</v>
      </c>
      <c r="O44" s="119">
        <v>0</v>
      </c>
      <c r="P44" s="120">
        <v>0</v>
      </c>
      <c r="Q44" s="119">
        <v>0</v>
      </c>
      <c r="R44" s="121">
        <v>3975552</v>
      </c>
      <c r="S4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122">
        <f ca="1">+IF(PROVEEDORES[[#This Row],[FECHA DE PAGO]]=0,TODAY()-PROVEEDORES[[#This Row],[FECHA DE FACTURACIÓN]]-PROVEEDORES[[#This Row],[PLAZO Días]],0)</f>
        <v>0</v>
      </c>
      <c r="U44" s="122">
        <f>+VLOOKUP(PROVEEDORES[[#This Row],[PROVEEDOR]],Terceros!$A:$D,4,FALSE)</f>
        <v>0</v>
      </c>
      <c r="V44" s="122">
        <f>+YEAR(PROVEEDORES[[#This Row],[FECHA DE FACTURACIÓN]])</f>
        <v>2024</v>
      </c>
      <c r="W44" s="122">
        <f>+MATCH(PROVEEDORES[[#This Row],[año facturado]],Retenciones!$1:$1,0)</f>
        <v>3</v>
      </c>
      <c r="X44" s="123">
        <f>+VLOOKUP(PROVEEDORES[[#This Row],[ID RETENCION]],Retenciones!$A$1:$K$25,PROVEEDORES[[#This Row],[indicador de columna]],FALSE)</f>
        <v>0</v>
      </c>
      <c r="Y44" s="124">
        <f>+VLOOKUP(PROVEEDORES[[#This Row],[ID RETENCION]],Retenciones!$A$1:$K$25,2,FALSE)</f>
        <v>0</v>
      </c>
      <c r="Z44" s="125" t="b">
        <f>+OR(COUNTIF(PROVEEDORES[[#This Row],[PROVEEDOR]],"*"&amp;'Palabra que no opera y Listas d'!$A$2&amp;"*"))</f>
        <v>0</v>
      </c>
    </row>
    <row r="45" spans="1:26" ht="27.75" customHeight="1" x14ac:dyDescent="0.25">
      <c r="A45" s="112" t="str">
        <f>+IF(PROVEEDORES[[#This Row],[FECHA DE PAGO]]=PROVEEDORES[[#This Row],[FECHA DE FACTURACIÓN]],"DE CONTADO","CRÉDITO")</f>
        <v>CRÉDITO</v>
      </c>
      <c r="B45" s="112" t="str">
        <f>+IF((PROVEEDORES[[#This Row],[FECHA DE PAGO]]-PROVEEDORES[[#This Row],[FECHA DE FACTURACIÓN]])&gt;PROVEEDORES[[#This Row],[PLAZO Días]],"PAGO VENCIDO")</f>
        <v>PAGO VENCIDO</v>
      </c>
      <c r="C45" s="112">
        <f>+VLOOKUP(PROVEEDORES[[#This Row],[PROVEEDOR]],TERCEROS_INFO[#All],2,FALSE)</f>
        <v>30</v>
      </c>
      <c r="D45" s="113">
        <f>+SUMIFS(PROVEEDORES[Total],PROVEEDORES[PROVEEDOR],PROVEEDORES[[#This Row],[PROVEEDOR]],PROVEEDORES[FECHA DE PAGO],"")</f>
        <v>0</v>
      </c>
      <c r="E45" s="114"/>
      <c r="F45" s="112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45" s="115">
        <v>45614</v>
      </c>
      <c r="H45" s="116" t="s">
        <v>26</v>
      </c>
      <c r="I45" s="115">
        <v>45568</v>
      </c>
      <c r="J45" s="117" t="s">
        <v>707</v>
      </c>
      <c r="K45" s="117" t="s">
        <v>256</v>
      </c>
      <c r="L45" s="117" t="s">
        <v>258</v>
      </c>
      <c r="M45" s="118">
        <v>609955</v>
      </c>
      <c r="N45" s="119">
        <v>115891.45</v>
      </c>
      <c r="O45" s="119">
        <v>0</v>
      </c>
      <c r="P45" s="120">
        <v>0</v>
      </c>
      <c r="Q45" s="119">
        <v>0</v>
      </c>
      <c r="R45" s="121">
        <v>725846.45</v>
      </c>
      <c r="S4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122">
        <f ca="1">+IF(PROVEEDORES[[#This Row],[FECHA DE PAGO]]=0,TODAY()-PROVEEDORES[[#This Row],[FECHA DE FACTURACIÓN]]-PROVEEDORES[[#This Row],[PLAZO Días]],0)</f>
        <v>0</v>
      </c>
      <c r="U45" s="122" t="str">
        <f>+VLOOKUP(PROVEEDORES[[#This Row],[PROVEEDOR]],Terceros!$A:$D,4,FALSE)</f>
        <v>2,5% con base</v>
      </c>
      <c r="V45" s="122">
        <f>+YEAR(PROVEEDORES[[#This Row],[FECHA DE FACTURACIÓN]])</f>
        <v>2024</v>
      </c>
      <c r="W45" s="122">
        <f>+MATCH(PROVEEDORES[[#This Row],[año facturado]],Retenciones!$1:$1,0)</f>
        <v>3</v>
      </c>
      <c r="X45" s="123">
        <f>+VLOOKUP(PROVEEDORES[[#This Row],[ID RETENCION]],Retenciones!$A$1:$K$25,PROVEEDORES[[#This Row],[indicador de columna]],FALSE)</f>
        <v>1271000</v>
      </c>
      <c r="Y45" s="124">
        <f>+VLOOKUP(PROVEEDORES[[#This Row],[ID RETENCION]],Retenciones!$A$1:$K$25,2,FALSE)</f>
        <v>2.5000000000000001E-2</v>
      </c>
      <c r="Z45" s="125" t="b">
        <f>+OR(COUNTIF(PROVEEDORES[[#This Row],[PROVEEDOR]],"*"&amp;'Palabra que no opera y Listas d'!$A$2&amp;"*"))</f>
        <v>0</v>
      </c>
    </row>
    <row r="46" spans="1:26" ht="27.75" customHeight="1" x14ac:dyDescent="0.25">
      <c r="A46" s="112" t="str">
        <f>+IF(PROVEEDORES[[#This Row],[FECHA DE PAGO]]=PROVEEDORES[[#This Row],[FECHA DE FACTURACIÓN]],"DE CONTADO","CRÉDITO")</f>
        <v>CRÉDITO</v>
      </c>
      <c r="B46" s="112" t="str">
        <f>+IF((PROVEEDORES[[#This Row],[FECHA DE PAGO]]-PROVEEDORES[[#This Row],[FECHA DE FACTURACIÓN]])&gt;PROVEEDORES[[#This Row],[PLAZO Días]],"PAGO VENCIDO")</f>
        <v>PAGO VENCIDO</v>
      </c>
      <c r="C46" s="112">
        <f>+VLOOKUP(PROVEEDORES[[#This Row],[PROVEEDOR]],TERCEROS_INFO[#All],2,FALSE)</f>
        <v>30</v>
      </c>
      <c r="D46" s="113">
        <f>+SUMIFS(PROVEEDORES[Total],PROVEEDORES[PROVEEDOR],PROVEEDORES[[#This Row],[PROVEEDOR]],PROVEEDORES[FECHA DE PAGO],"")</f>
        <v>10855078.560000001</v>
      </c>
      <c r="E46" s="114"/>
      <c r="F46" s="112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46" s="115">
        <v>45614</v>
      </c>
      <c r="H46" s="116" t="s">
        <v>10</v>
      </c>
      <c r="I46" s="115">
        <v>45572</v>
      </c>
      <c r="J46" s="117" t="s">
        <v>708</v>
      </c>
      <c r="K46" s="117" t="s">
        <v>256</v>
      </c>
      <c r="L46" s="117" t="s">
        <v>258</v>
      </c>
      <c r="M46" s="118">
        <v>776472</v>
      </c>
      <c r="N46" s="119">
        <v>147529.68</v>
      </c>
      <c r="O46" s="119">
        <v>0</v>
      </c>
      <c r="P46" s="120">
        <v>0</v>
      </c>
      <c r="Q46" s="119">
        <v>0</v>
      </c>
      <c r="R46" s="121">
        <v>924001.67999999993</v>
      </c>
      <c r="S4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122">
        <f ca="1">+IF(PROVEEDORES[[#This Row],[FECHA DE PAGO]]=0,TODAY()-PROVEEDORES[[#This Row],[FECHA DE FACTURACIÓN]]-PROVEEDORES[[#This Row],[PLAZO Días]],0)</f>
        <v>0</v>
      </c>
      <c r="U46" s="122" t="str">
        <f>+VLOOKUP(PROVEEDORES[[#This Row],[PROVEEDOR]],Terceros!$A:$D,4,FALSE)</f>
        <v>2,5% con base</v>
      </c>
      <c r="V46" s="122">
        <f>+YEAR(PROVEEDORES[[#This Row],[FECHA DE FACTURACIÓN]])</f>
        <v>2024</v>
      </c>
      <c r="W46" s="122">
        <f>+MATCH(PROVEEDORES[[#This Row],[año facturado]],Retenciones!$1:$1,0)</f>
        <v>3</v>
      </c>
      <c r="X46" s="123">
        <f>+VLOOKUP(PROVEEDORES[[#This Row],[ID RETENCION]],Retenciones!$A$1:$K$25,PROVEEDORES[[#This Row],[indicador de columna]],FALSE)</f>
        <v>1271000</v>
      </c>
      <c r="Y46" s="124">
        <f>+VLOOKUP(PROVEEDORES[[#This Row],[ID RETENCION]],Retenciones!$A$1:$K$25,2,FALSE)</f>
        <v>2.5000000000000001E-2</v>
      </c>
      <c r="Z46" s="125" t="b">
        <f>+OR(COUNTIF(PROVEEDORES[[#This Row],[PROVEEDOR]],"*"&amp;'Palabra que no opera y Listas d'!$A$2&amp;"*"))</f>
        <v>0</v>
      </c>
    </row>
    <row r="47" spans="1:26" ht="27.75" customHeight="1" x14ac:dyDescent="0.25">
      <c r="A47" s="112" t="str">
        <f>+IF(PROVEEDORES[[#This Row],[FECHA DE PAGO]]=PROVEEDORES[[#This Row],[FECHA DE FACTURACIÓN]],"DE CONTADO","CRÉDITO")</f>
        <v>CRÉDITO</v>
      </c>
      <c r="B47" s="112" t="str">
        <f>+IF((PROVEEDORES[[#This Row],[FECHA DE PAGO]]-PROVEEDORES[[#This Row],[FECHA DE FACTURACIÓN]])&gt;PROVEEDORES[[#This Row],[PLAZO Días]],"PAGO VENCIDO")</f>
        <v>PAGO VENCIDO</v>
      </c>
      <c r="C47" s="112">
        <f>+VLOOKUP(PROVEEDORES[[#This Row],[PROVEEDOR]],TERCEROS_INFO[#All],2,FALSE)</f>
        <v>30</v>
      </c>
      <c r="D47" s="113">
        <f>+SUMIFS(PROVEEDORES[Total],PROVEEDORES[PROVEEDOR],PROVEEDORES[[#This Row],[PROVEEDOR]],PROVEEDORES[FECHA DE PAGO],"")</f>
        <v>0</v>
      </c>
      <c r="E47" s="114"/>
      <c r="F47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47" s="115">
        <v>45614</v>
      </c>
      <c r="H47" s="116" t="s">
        <v>93</v>
      </c>
      <c r="I47" s="115">
        <v>45577</v>
      </c>
      <c r="J47" s="117" t="s">
        <v>709</v>
      </c>
      <c r="K47" s="117" t="s">
        <v>210</v>
      </c>
      <c r="L47" s="117" t="s">
        <v>259</v>
      </c>
      <c r="M47" s="118">
        <v>1375388</v>
      </c>
      <c r="N47" s="119">
        <v>261323.72</v>
      </c>
      <c r="O47" s="119">
        <v>0</v>
      </c>
      <c r="P47" s="120">
        <v>0</v>
      </c>
      <c r="Q47" s="119">
        <v>0</v>
      </c>
      <c r="R47" s="121">
        <v>1636711.72</v>
      </c>
      <c r="S4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122">
        <f ca="1">+IF(PROVEEDORES[[#This Row],[FECHA DE PAGO]]=0,TODAY()-PROVEEDORES[[#This Row],[FECHA DE FACTURACIÓN]]-PROVEEDORES[[#This Row],[PLAZO Días]],0)</f>
        <v>0</v>
      </c>
      <c r="U47" s="122">
        <f>+VLOOKUP(PROVEEDORES[[#This Row],[PROVEEDOR]],Terceros!$A:$D,4,FALSE)</f>
        <v>0</v>
      </c>
      <c r="V47" s="122">
        <f>+YEAR(PROVEEDORES[[#This Row],[FECHA DE FACTURACIÓN]])</f>
        <v>2024</v>
      </c>
      <c r="W47" s="122">
        <f>+MATCH(PROVEEDORES[[#This Row],[año facturado]],Retenciones!$1:$1,0)</f>
        <v>3</v>
      </c>
      <c r="X47" s="123">
        <f>+VLOOKUP(PROVEEDORES[[#This Row],[ID RETENCION]],Retenciones!$A$1:$K$25,PROVEEDORES[[#This Row],[indicador de columna]],FALSE)</f>
        <v>0</v>
      </c>
      <c r="Y47" s="124">
        <f>+VLOOKUP(PROVEEDORES[[#This Row],[ID RETENCION]],Retenciones!$A$1:$K$25,2,FALSE)</f>
        <v>0</v>
      </c>
      <c r="Z47" s="125" t="b">
        <f>+OR(COUNTIF(PROVEEDORES[[#This Row],[PROVEEDOR]],"*"&amp;'Palabra que no opera y Listas d'!$A$2&amp;"*"))</f>
        <v>0</v>
      </c>
    </row>
    <row r="48" spans="1:26" ht="27.75" customHeight="1" x14ac:dyDescent="0.25">
      <c r="A48" s="112" t="str">
        <f>+IF(PROVEEDORES[[#This Row],[FECHA DE PAGO]]=PROVEEDORES[[#This Row],[FECHA DE FACTURACIÓN]],"DE CONTADO","CRÉDITO")</f>
        <v>CRÉDITO</v>
      </c>
      <c r="B48" s="112" t="b">
        <f>+IF((PROVEEDORES[[#This Row],[FECHA DE PAGO]]-PROVEEDORES[[#This Row],[FECHA DE FACTURACIÓN]])&gt;PROVEEDORES[[#This Row],[PLAZO Días]],"PAGO VENCIDO")</f>
        <v>0</v>
      </c>
      <c r="C48" s="112">
        <f>+VLOOKUP(PROVEEDORES[[#This Row],[PROVEEDOR]],TERCEROS_INFO[#All],2,FALSE)</f>
        <v>30</v>
      </c>
      <c r="D48" s="113">
        <f>+SUMIFS(PROVEEDORES[Total],PROVEEDORES[PROVEEDOR],PROVEEDORES[[#This Row],[PROVEEDOR]],PROVEEDORES[FECHA DE PAGO],"")</f>
        <v>0</v>
      </c>
      <c r="E48" s="114"/>
      <c r="F48" s="112" t="str">
        <f>+VLOOKUP(PROVEEDORES[[#This Row],[PROVEEDOR]],
                       Terceros!$A:$F,
                       5,
                       FALSE)</f>
        <v>secretaria@banimported.com;girlesa.ruiz@servipilas.com;joriescobar64@gmail.com</v>
      </c>
      <c r="G48" s="115">
        <v>45614</v>
      </c>
      <c r="H48" s="116" t="s">
        <v>647</v>
      </c>
      <c r="I48" s="115">
        <v>45584</v>
      </c>
      <c r="J48" s="117" t="s">
        <v>710</v>
      </c>
      <c r="K48" s="117" t="s">
        <v>256</v>
      </c>
      <c r="L48" s="117" t="s">
        <v>259</v>
      </c>
      <c r="M48" s="118">
        <v>815294</v>
      </c>
      <c r="N48" s="119">
        <v>154905.86000000002</v>
      </c>
      <c r="O48" s="119">
        <v>0</v>
      </c>
      <c r="P48" s="120">
        <v>0</v>
      </c>
      <c r="Q48" s="119">
        <v>0</v>
      </c>
      <c r="R48" s="121">
        <v>970199.86</v>
      </c>
      <c r="S4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122">
        <f ca="1">+IF(PROVEEDORES[[#This Row],[FECHA DE PAGO]]=0,TODAY()-PROVEEDORES[[#This Row],[FECHA DE FACTURACIÓN]]-PROVEEDORES[[#This Row],[PLAZO Días]],0)</f>
        <v>0</v>
      </c>
      <c r="U48" s="122" t="str">
        <f>+VLOOKUP(PROVEEDORES[[#This Row],[PROVEEDOR]],Terceros!$A:$D,4,FALSE)</f>
        <v>2,5% con base</v>
      </c>
      <c r="V48" s="122">
        <f>+YEAR(PROVEEDORES[[#This Row],[FECHA DE FACTURACIÓN]])</f>
        <v>2024</v>
      </c>
      <c r="W48" s="122">
        <f>+MATCH(PROVEEDORES[[#This Row],[año facturado]],Retenciones!$1:$1,0)</f>
        <v>3</v>
      </c>
      <c r="X48" s="123">
        <f>+VLOOKUP(PROVEEDORES[[#This Row],[ID RETENCION]],Retenciones!$A$1:$K$25,PROVEEDORES[[#This Row],[indicador de columna]],FALSE)</f>
        <v>1271000</v>
      </c>
      <c r="Y48" s="124">
        <f>+VLOOKUP(PROVEEDORES[[#This Row],[ID RETENCION]],Retenciones!$A$1:$K$25,2,FALSE)</f>
        <v>2.5000000000000001E-2</v>
      </c>
      <c r="Z48" s="125" t="b">
        <f>+OR(COUNTIF(PROVEEDORES[[#This Row],[PROVEEDOR]],"*"&amp;'Palabra que no opera y Listas d'!$A$2&amp;"*"))</f>
        <v>0</v>
      </c>
    </row>
    <row r="49" spans="1:26" ht="27.75" customHeight="1" x14ac:dyDescent="0.25">
      <c r="A49" s="112" t="str">
        <f>+IF(PROVEEDORES[[#This Row],[FECHA DE PAGO]]=PROVEEDORES[[#This Row],[FECHA DE FACTURACIÓN]],"DE CONTADO","CRÉDITO")</f>
        <v>CRÉDITO</v>
      </c>
      <c r="B49" s="112" t="b">
        <f>+IF((PROVEEDORES[[#This Row],[FECHA DE PAGO]]-PROVEEDORES[[#This Row],[FECHA DE FACTURACIÓN]])&gt;PROVEEDORES[[#This Row],[PLAZO Días]],"PAGO VENCIDO")</f>
        <v>0</v>
      </c>
      <c r="C49" s="112">
        <f>+VLOOKUP(PROVEEDORES[[#This Row],[PROVEEDOR]],TERCEROS_INFO[#All],2,FALSE)</f>
        <v>180</v>
      </c>
      <c r="D49" s="113">
        <f>+SUMIFS(PROVEEDORES[Total],PROVEEDORES[PROVEEDOR],PROVEEDORES[[#This Row],[PROVEEDOR]],PROVEEDORES[FECHA DE PAGO],"")</f>
        <v>0</v>
      </c>
      <c r="E49" s="114"/>
      <c r="F49" s="112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49" s="115">
        <v>45614</v>
      </c>
      <c r="H49" s="116" t="s">
        <v>163</v>
      </c>
      <c r="I49" s="115">
        <v>45588</v>
      </c>
      <c r="J49" s="117" t="s">
        <v>711</v>
      </c>
      <c r="K49" s="117" t="s">
        <v>256</v>
      </c>
      <c r="L49" s="117" t="s">
        <v>258</v>
      </c>
      <c r="M49" s="118">
        <v>664045</v>
      </c>
      <c r="N49" s="119">
        <v>126168.55</v>
      </c>
      <c r="O49" s="119">
        <v>0</v>
      </c>
      <c r="P49" s="120">
        <v>0</v>
      </c>
      <c r="Q49" s="119">
        <v>0</v>
      </c>
      <c r="R49" s="121">
        <v>790213.55</v>
      </c>
      <c r="S4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122">
        <f ca="1">+IF(PROVEEDORES[[#This Row],[FECHA DE PAGO]]=0,TODAY()-PROVEEDORES[[#This Row],[FECHA DE FACTURACIÓN]]-PROVEEDORES[[#This Row],[PLAZO Días]],0)</f>
        <v>0</v>
      </c>
      <c r="U49" s="122" t="str">
        <f>+VLOOKUP(PROVEEDORES[[#This Row],[PROVEEDOR]],Terceros!$A:$D,4,FALSE)</f>
        <v>2,5% con base</v>
      </c>
      <c r="V49" s="122">
        <f>+YEAR(PROVEEDORES[[#This Row],[FECHA DE FACTURACIÓN]])</f>
        <v>2024</v>
      </c>
      <c r="W49" s="122">
        <f>+MATCH(PROVEEDORES[[#This Row],[año facturado]],Retenciones!$1:$1,0)</f>
        <v>3</v>
      </c>
      <c r="X49" s="123">
        <f>+VLOOKUP(PROVEEDORES[[#This Row],[ID RETENCION]],Retenciones!$A$1:$K$25,PROVEEDORES[[#This Row],[indicador de columna]],FALSE)</f>
        <v>1271000</v>
      </c>
      <c r="Y49" s="124">
        <f>+VLOOKUP(PROVEEDORES[[#This Row],[ID RETENCION]],Retenciones!$A$1:$K$25,2,FALSE)</f>
        <v>2.5000000000000001E-2</v>
      </c>
      <c r="Z49" s="125" t="b">
        <f>+OR(COUNTIF(PROVEEDORES[[#This Row],[PROVEEDOR]],"*"&amp;'Palabra que no opera y Listas d'!$A$2&amp;"*"))</f>
        <v>1</v>
      </c>
    </row>
    <row r="50" spans="1:26" ht="27.75" customHeight="1" x14ac:dyDescent="0.25">
      <c r="A50" s="112" t="str">
        <f>+IF(PROVEEDORES[[#This Row],[FECHA DE PAGO]]=PROVEEDORES[[#This Row],[FECHA DE FACTURACIÓN]],"DE CONTADO","CRÉDITO")</f>
        <v>CRÉDITO</v>
      </c>
      <c r="B50" s="112" t="b">
        <f>+IF((PROVEEDORES[[#This Row],[FECHA DE PAGO]]-PROVEEDORES[[#This Row],[FECHA DE FACTURACIÓN]])&gt;PROVEEDORES[[#This Row],[PLAZO Días]],"PAGO VENCIDO")</f>
        <v>0</v>
      </c>
      <c r="C50" s="112">
        <f>+VLOOKUP(PROVEEDORES[[#This Row],[PROVEEDOR]],TERCEROS_INFO[#All],2,FALSE)</f>
        <v>30</v>
      </c>
      <c r="D50" s="113">
        <f>+SUMIFS(PROVEEDORES[Total],PROVEEDORES[PROVEEDOR],PROVEEDORES[[#This Row],[PROVEEDOR]],PROVEEDORES[FECHA DE PAGO],"")</f>
        <v>0</v>
      </c>
      <c r="E50" s="114"/>
      <c r="F50" s="112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50" s="115">
        <v>45614</v>
      </c>
      <c r="H50" s="116" t="s">
        <v>164</v>
      </c>
      <c r="I50" s="115">
        <v>45602</v>
      </c>
      <c r="J50" s="117" t="s">
        <v>712</v>
      </c>
      <c r="K50" s="117" t="s">
        <v>256</v>
      </c>
      <c r="L50" s="117" t="s">
        <v>259</v>
      </c>
      <c r="M50" s="118">
        <v>2202761</v>
      </c>
      <c r="N50" s="119"/>
      <c r="O50" s="119">
        <v>418942</v>
      </c>
      <c r="P50" s="120">
        <v>0</v>
      </c>
      <c r="Q50" s="119">
        <v>0</v>
      </c>
      <c r="R50" s="121">
        <v>1783819</v>
      </c>
      <c r="S5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122">
        <f ca="1">+IF(PROVEEDORES[[#This Row],[FECHA DE PAGO]]=0,TODAY()-PROVEEDORES[[#This Row],[FECHA DE FACTURACIÓN]]-PROVEEDORES[[#This Row],[PLAZO Días]],0)</f>
        <v>0</v>
      </c>
      <c r="U50" s="122">
        <f>+VLOOKUP(PROVEEDORES[[#This Row],[PROVEEDOR]],Terceros!$A:$D,4,FALSE)</f>
        <v>0</v>
      </c>
      <c r="V50" s="122">
        <f>+YEAR(PROVEEDORES[[#This Row],[FECHA DE FACTURACIÓN]])</f>
        <v>2024</v>
      </c>
      <c r="W50" s="122">
        <f>+MATCH(PROVEEDORES[[#This Row],[año facturado]],Retenciones!$1:$1,0)</f>
        <v>3</v>
      </c>
      <c r="X50" s="123">
        <f>+VLOOKUP(PROVEEDORES[[#This Row],[ID RETENCION]],Retenciones!$A$1:$K$25,PROVEEDORES[[#This Row],[indicador de columna]],FALSE)</f>
        <v>0</v>
      </c>
      <c r="Y50" s="124">
        <f>+VLOOKUP(PROVEEDORES[[#This Row],[ID RETENCION]],Retenciones!$A$1:$K$25,2,FALSE)</f>
        <v>0</v>
      </c>
      <c r="Z50" s="125" t="b">
        <f>+OR(COUNTIF(PROVEEDORES[[#This Row],[PROVEEDOR]],"*"&amp;'Palabra que no opera y Listas d'!$A$2&amp;"*"))</f>
        <v>1</v>
      </c>
    </row>
    <row r="51" spans="1:26" ht="27.75" customHeight="1" x14ac:dyDescent="0.25">
      <c r="A51" s="112" t="str">
        <f>+IF(PROVEEDORES[[#This Row],[FECHA DE PAGO]]=PROVEEDORES[[#This Row],[FECHA DE FACTURACIÓN]],"DE CONTADO","CRÉDITO")</f>
        <v>CRÉDITO</v>
      </c>
      <c r="B51" s="112" t="b">
        <f>+IF((PROVEEDORES[[#This Row],[FECHA DE PAGO]]-PROVEEDORES[[#This Row],[FECHA DE FACTURACIÓN]])&gt;PROVEEDORES[[#This Row],[PLAZO Días]],"PAGO VENCIDO")</f>
        <v>0</v>
      </c>
      <c r="C51" s="112">
        <f>+VLOOKUP(PROVEEDORES[[#This Row],[PROVEEDOR]],TERCEROS_INFO[#All],2,FALSE)</f>
        <v>13</v>
      </c>
      <c r="D51" s="113">
        <f>+SUMIFS(PROVEEDORES[Total],PROVEEDORES[PROVEEDOR],PROVEEDORES[[#This Row],[PROVEEDOR]],PROVEEDORES[FECHA DE PAGO],"")</f>
        <v>0</v>
      </c>
      <c r="E51" s="114"/>
      <c r="F51" s="112">
        <f>+VLOOKUP(PROVEEDORES[[#This Row],[PROVEEDOR]],
                       Terceros!$A:$F,
                       5,
                       FALSE)</f>
        <v>0</v>
      </c>
      <c r="G51" s="115">
        <v>45614</v>
      </c>
      <c r="H51" s="116" t="s">
        <v>170</v>
      </c>
      <c r="I51" s="115">
        <v>45611</v>
      </c>
      <c r="J51" s="117"/>
      <c r="K51" s="117" t="s">
        <v>256</v>
      </c>
      <c r="L51" s="117" t="s">
        <v>258</v>
      </c>
      <c r="M51" s="118">
        <v>1017172</v>
      </c>
      <c r="N51" s="119"/>
      <c r="O51" s="119">
        <v>0</v>
      </c>
      <c r="P51" s="120">
        <v>0</v>
      </c>
      <c r="Q51" s="119">
        <v>0</v>
      </c>
      <c r="R51" s="121">
        <v>1017172</v>
      </c>
      <c r="S5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122">
        <f ca="1">+IF(PROVEEDORES[[#This Row],[FECHA DE PAGO]]=0,TODAY()-PROVEEDORES[[#This Row],[FECHA DE FACTURACIÓN]]-PROVEEDORES[[#This Row],[PLAZO Días]],0)</f>
        <v>0</v>
      </c>
      <c r="U51" s="122">
        <f>+VLOOKUP(PROVEEDORES[[#This Row],[PROVEEDOR]],Terceros!$A:$D,4,FALSE)</f>
        <v>0</v>
      </c>
      <c r="V51" s="122">
        <f>+YEAR(PROVEEDORES[[#This Row],[FECHA DE FACTURACIÓN]])</f>
        <v>2024</v>
      </c>
      <c r="W51" s="122">
        <f>+MATCH(PROVEEDORES[[#This Row],[año facturado]],Retenciones!$1:$1,0)</f>
        <v>3</v>
      </c>
      <c r="X51" s="123">
        <f>+VLOOKUP(PROVEEDORES[[#This Row],[ID RETENCION]],Retenciones!$A$1:$K$25,PROVEEDORES[[#This Row],[indicador de columna]],FALSE)</f>
        <v>0</v>
      </c>
      <c r="Y51" s="124">
        <f>+VLOOKUP(PROVEEDORES[[#This Row],[ID RETENCION]],Retenciones!$A$1:$K$25,2,FALSE)</f>
        <v>0</v>
      </c>
      <c r="Z51" s="125" t="b">
        <f>+OR(COUNTIF(PROVEEDORES[[#This Row],[PROVEEDOR]],"*"&amp;'Palabra que no opera y Listas d'!$A$2&amp;"*"))</f>
        <v>1</v>
      </c>
    </row>
    <row r="52" spans="1:26" ht="27.75" customHeight="1" x14ac:dyDescent="0.25">
      <c r="A52" s="112" t="str">
        <f>+IF(PROVEEDORES[[#This Row],[FECHA DE PAGO]]=PROVEEDORES[[#This Row],[FECHA DE FACTURACIÓN]],"DE CONTADO","CRÉDITO")</f>
        <v>DE CONTADO</v>
      </c>
      <c r="B52" s="112" t="b">
        <f>+IF((PROVEEDORES[[#This Row],[FECHA DE PAGO]]-PROVEEDORES[[#This Row],[FECHA DE FACTURACIÓN]])&gt;PROVEEDORES[[#This Row],[PLAZO Días]],"PAGO VENCIDO")</f>
        <v>0</v>
      </c>
      <c r="C52" s="112">
        <f>+VLOOKUP(PROVEEDORES[[#This Row],[PROVEEDOR]],TERCEROS_INFO[#All],2,FALSE)</f>
        <v>30</v>
      </c>
      <c r="D52" s="113">
        <f>+SUMIFS(PROVEEDORES[Total],PROVEEDORES[PROVEEDOR],PROVEEDORES[[#This Row],[PROVEEDOR]],PROVEEDORES[FECHA DE PAGO],"")</f>
        <v>0</v>
      </c>
      <c r="E52" s="114"/>
      <c r="F52" s="112">
        <f>+VLOOKUP(PROVEEDORES[[#This Row],[PROVEEDOR]],
                       Terceros!$A:$F,
                       5,
                       FALSE)</f>
        <v>0</v>
      </c>
      <c r="G52" s="115">
        <v>45614</v>
      </c>
      <c r="H52" s="116" t="s">
        <v>472</v>
      </c>
      <c r="I52" s="115">
        <v>45614</v>
      </c>
      <c r="J52" s="117" t="s">
        <v>713</v>
      </c>
      <c r="K52" s="117" t="s">
        <v>210</v>
      </c>
      <c r="L52" s="117" t="s">
        <v>259</v>
      </c>
      <c r="M52" s="118">
        <v>4317000</v>
      </c>
      <c r="N52" s="119">
        <v>820230</v>
      </c>
      <c r="O52" s="119">
        <v>0</v>
      </c>
      <c r="P52" s="120">
        <v>0</v>
      </c>
      <c r="Q52" s="119">
        <v>0</v>
      </c>
      <c r="R52" s="121">
        <v>5137230</v>
      </c>
      <c r="S5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122">
        <f ca="1">+IF(PROVEEDORES[[#This Row],[FECHA DE PAGO]]=0,TODAY()-PROVEEDORES[[#This Row],[FECHA DE FACTURACIÓN]]-PROVEEDORES[[#This Row],[PLAZO Días]],0)</f>
        <v>0</v>
      </c>
      <c r="U52" s="122">
        <f>+VLOOKUP(PROVEEDORES[[#This Row],[PROVEEDOR]],Terceros!$A:$D,4,FALSE)</f>
        <v>0</v>
      </c>
      <c r="V52" s="122">
        <f>+YEAR(PROVEEDORES[[#This Row],[FECHA DE FACTURACIÓN]])</f>
        <v>2024</v>
      </c>
      <c r="W52" s="122">
        <f>+MATCH(PROVEEDORES[[#This Row],[año facturado]],Retenciones!$1:$1,0)</f>
        <v>3</v>
      </c>
      <c r="X52" s="123">
        <f>+VLOOKUP(PROVEEDORES[[#This Row],[ID RETENCION]],Retenciones!$A$1:$K$25,PROVEEDORES[[#This Row],[indicador de columna]],FALSE)</f>
        <v>0</v>
      </c>
      <c r="Y52" s="124">
        <f>+VLOOKUP(PROVEEDORES[[#This Row],[ID RETENCION]],Retenciones!$A$1:$K$25,2,FALSE)</f>
        <v>0</v>
      </c>
      <c r="Z52" s="125" t="b">
        <f>+OR(COUNTIF(PROVEEDORES[[#This Row],[PROVEEDOR]],"*"&amp;'Palabra que no opera y Listas d'!$A$2&amp;"*"))</f>
        <v>0</v>
      </c>
    </row>
    <row r="53" spans="1:26" ht="27.75" customHeight="1" x14ac:dyDescent="0.25">
      <c r="A53" s="112" t="str">
        <f>+IF(PROVEEDORES[[#This Row],[FECHA DE PAGO]]=PROVEEDORES[[#This Row],[FECHA DE FACTURACIÓN]],"DE CONTADO","CRÉDITO")</f>
        <v>DE CONTADO</v>
      </c>
      <c r="B53" s="112" t="b">
        <f>+IF((PROVEEDORES[[#This Row],[FECHA DE PAGO]]-PROVEEDORES[[#This Row],[FECHA DE FACTURACIÓN]])&gt;PROVEEDORES[[#This Row],[PLAZO Días]],"PAGO VENCIDO")</f>
        <v>0</v>
      </c>
      <c r="C53" s="112">
        <f>+VLOOKUP(PROVEEDORES[[#This Row],[PROVEEDOR]],TERCEROS_INFO[#All],2,FALSE)</f>
        <v>0</v>
      </c>
      <c r="D53" s="113">
        <f>+SUMIFS(PROVEEDORES[Total],PROVEEDORES[PROVEEDOR],PROVEEDORES[[#This Row],[PROVEEDOR]],PROVEEDORES[FECHA DE PAGO],"")</f>
        <v>0</v>
      </c>
      <c r="E53" s="114"/>
      <c r="F53" s="112">
        <f>+VLOOKUP(PROVEEDORES[[#This Row],[PROVEEDOR]],
                       Terceros!$A:$F,
                       5,
                       FALSE)</f>
        <v>0</v>
      </c>
      <c r="G53" s="115">
        <v>45614</v>
      </c>
      <c r="H53" s="116" t="s">
        <v>595</v>
      </c>
      <c r="I53" s="115">
        <v>45614</v>
      </c>
      <c r="J53" s="117" t="s">
        <v>665</v>
      </c>
      <c r="K53" s="117" t="s">
        <v>210</v>
      </c>
      <c r="L53" s="117" t="s">
        <v>234</v>
      </c>
      <c r="M53" s="118">
        <v>500000</v>
      </c>
      <c r="N53" s="119"/>
      <c r="O53" s="119">
        <v>0</v>
      </c>
      <c r="P53" s="120">
        <v>0</v>
      </c>
      <c r="Q53" s="119">
        <v>0</v>
      </c>
      <c r="R53" s="121">
        <v>500000</v>
      </c>
      <c r="S5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122">
        <f ca="1">+IF(PROVEEDORES[[#This Row],[FECHA DE PAGO]]=0,TODAY()-PROVEEDORES[[#This Row],[FECHA DE FACTURACIÓN]]-PROVEEDORES[[#This Row],[PLAZO Días]],0)</f>
        <v>0</v>
      </c>
      <c r="U53" s="122">
        <f>+VLOOKUP(PROVEEDORES[[#This Row],[PROVEEDOR]],Terceros!$A:$D,4,FALSE)</f>
        <v>0</v>
      </c>
      <c r="V53" s="122">
        <f>+YEAR(PROVEEDORES[[#This Row],[FECHA DE FACTURACIÓN]])</f>
        <v>2024</v>
      </c>
      <c r="W53" s="122">
        <f>+MATCH(PROVEEDORES[[#This Row],[año facturado]],Retenciones!$1:$1,0)</f>
        <v>3</v>
      </c>
      <c r="X53" s="123">
        <f>+VLOOKUP(PROVEEDORES[[#This Row],[ID RETENCION]],Retenciones!$A$1:$K$25,PROVEEDORES[[#This Row],[indicador de columna]],FALSE)</f>
        <v>0</v>
      </c>
      <c r="Y53" s="124">
        <f>+VLOOKUP(PROVEEDORES[[#This Row],[ID RETENCION]],Retenciones!$A$1:$K$25,2,FALSE)</f>
        <v>0</v>
      </c>
      <c r="Z53" s="125" t="b">
        <f>+OR(COUNTIF(PROVEEDORES[[#This Row],[PROVEEDOR]],"*"&amp;'Palabra que no opera y Listas d'!$A$2&amp;"*"))</f>
        <v>1</v>
      </c>
    </row>
    <row r="54" spans="1:26" ht="27.75" customHeight="1" x14ac:dyDescent="0.25">
      <c r="A54" s="112" t="str">
        <f>+IF(PROVEEDORES[[#This Row],[FECHA DE PAGO]]=PROVEEDORES[[#This Row],[FECHA DE FACTURACIÓN]],"DE CONTADO","CRÉDITO")</f>
        <v>CRÉDITO</v>
      </c>
      <c r="B54" s="112" t="str">
        <f>+IF((PROVEEDORES[[#This Row],[FECHA DE PAGO]]-PROVEEDORES[[#This Row],[FECHA DE FACTURACIÓN]])&gt;PROVEEDORES[[#This Row],[PLAZO Días]],"PAGO VENCIDO")</f>
        <v>PAGO VENCIDO</v>
      </c>
      <c r="C54" s="112">
        <f>+VLOOKUP(PROVEEDORES[[#This Row],[PROVEEDOR]],TERCEROS_INFO[#All],2,FALSE)</f>
        <v>0</v>
      </c>
      <c r="D54" s="113">
        <f>+SUMIFS(PROVEEDORES[Total],PROVEEDORES[PROVEEDOR],PROVEEDORES[[#This Row],[PROVEEDOR]],PROVEEDORES[FECHA DE PAGO],"")</f>
        <v>0</v>
      </c>
      <c r="E54" s="114"/>
      <c r="F54" s="112" t="str">
        <f>+VLOOKUP(PROVEEDORES[[#This Row],[PROVEEDOR]],
                       Terceros!$A:$F,
                       5,
                       FALSE)</f>
        <v>contabilidadramirezasesores@impocarga.com; comercial@impocarga.com; girlesa.ruiz@servipilas.com;joriescobar64@gmail.com</v>
      </c>
      <c r="G54" s="115">
        <v>45615</v>
      </c>
      <c r="H54" s="116" t="s">
        <v>652</v>
      </c>
      <c r="I54" s="115">
        <v>45611</v>
      </c>
      <c r="J54" s="117" t="s">
        <v>714</v>
      </c>
      <c r="K54" s="117" t="s">
        <v>256</v>
      </c>
      <c r="L54" s="117" t="s">
        <v>259</v>
      </c>
      <c r="M54" s="118">
        <v>2250000</v>
      </c>
      <c r="N54" s="119">
        <v>427500</v>
      </c>
      <c r="O54" s="119">
        <v>0</v>
      </c>
      <c r="P54" s="120">
        <v>2.5000000000000001E-2</v>
      </c>
      <c r="Q54" s="119">
        <v>56250</v>
      </c>
      <c r="R54" s="121">
        <v>2621250</v>
      </c>
      <c r="S5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122">
        <f ca="1">+IF(PROVEEDORES[[#This Row],[FECHA DE PAGO]]=0,TODAY()-PROVEEDORES[[#This Row],[FECHA DE FACTURACIÓN]]-PROVEEDORES[[#This Row],[PLAZO Días]],0)</f>
        <v>0</v>
      </c>
      <c r="U54" s="122" t="str">
        <f>+VLOOKUP(PROVEEDORES[[#This Row],[PROVEEDOR]],Terceros!$A:$D,4,FALSE)</f>
        <v>2,5% con base</v>
      </c>
      <c r="V54" s="122">
        <f>+YEAR(PROVEEDORES[[#This Row],[FECHA DE FACTURACIÓN]])</f>
        <v>2024</v>
      </c>
      <c r="W54" s="122">
        <f>+MATCH(PROVEEDORES[[#This Row],[año facturado]],Retenciones!$1:$1,0)</f>
        <v>3</v>
      </c>
      <c r="X54" s="123">
        <f>+VLOOKUP(PROVEEDORES[[#This Row],[ID RETENCION]],Retenciones!$A$1:$K$25,PROVEEDORES[[#This Row],[indicador de columna]],FALSE)</f>
        <v>1271000</v>
      </c>
      <c r="Y54" s="124">
        <f>+VLOOKUP(PROVEEDORES[[#This Row],[ID RETENCION]],Retenciones!$A$1:$K$25,2,FALSE)</f>
        <v>2.5000000000000001E-2</v>
      </c>
      <c r="Z54" s="125" t="b">
        <f>+OR(COUNTIF(PROVEEDORES[[#This Row],[PROVEEDOR]],"*"&amp;'Palabra que no opera y Listas d'!$A$2&amp;"*"))</f>
        <v>0</v>
      </c>
    </row>
    <row r="55" spans="1:26" ht="27.75" customHeight="1" x14ac:dyDescent="0.25">
      <c r="A55" s="112" t="str">
        <f>+IF(PROVEEDORES[[#This Row],[FECHA DE PAGO]]=PROVEEDORES[[#This Row],[FECHA DE FACTURACIÓN]],"DE CONTADO","CRÉDITO")</f>
        <v>CRÉDITO</v>
      </c>
      <c r="B55" s="112" t="str">
        <f>+IF((PROVEEDORES[[#This Row],[FECHA DE PAGO]]-PROVEEDORES[[#This Row],[FECHA DE FACTURACIÓN]])&gt;PROVEEDORES[[#This Row],[PLAZO Días]],"PAGO VENCIDO")</f>
        <v>PAGO VENCIDO</v>
      </c>
      <c r="C55" s="112">
        <f>+VLOOKUP(PROVEEDORES[[#This Row],[PROVEEDOR]],TERCEROS_INFO[#All],2,FALSE)</f>
        <v>0</v>
      </c>
      <c r="D55" s="113">
        <f>+SUMIFS(PROVEEDORES[Total],PROVEEDORES[PROVEEDOR],PROVEEDORES[[#This Row],[PROVEEDOR]],PROVEEDORES[FECHA DE PAGO],"")</f>
        <v>0</v>
      </c>
      <c r="E55" s="114"/>
      <c r="F55" s="112" t="str">
        <f>+VLOOKUP(PROVEEDORES[[#This Row],[PROVEEDOR]],
                       Terceros!$A:$F,
                       5,
                       FALSE)</f>
        <v>contabilidadramirezasesores@impocarga.com; comercial@impocarga.com; girlesa.ruiz@servipilas.com;joriescobar64@gmail.com</v>
      </c>
      <c r="G55" s="115">
        <v>45615</v>
      </c>
      <c r="H55" s="116" t="s">
        <v>652</v>
      </c>
      <c r="I55" s="115">
        <v>45614</v>
      </c>
      <c r="J55" s="117" t="s">
        <v>715</v>
      </c>
      <c r="K55" s="117" t="s">
        <v>210</v>
      </c>
      <c r="L55" s="117" t="s">
        <v>259</v>
      </c>
      <c r="M55" s="118">
        <v>2438800</v>
      </c>
      <c r="N55" s="119">
        <v>463372</v>
      </c>
      <c r="O55" s="119">
        <v>0</v>
      </c>
      <c r="P55" s="120">
        <v>2.5000000000000001E-2</v>
      </c>
      <c r="Q55" s="119">
        <v>60970</v>
      </c>
      <c r="R55" s="121">
        <v>2841202</v>
      </c>
      <c r="S5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122">
        <f ca="1">+IF(PROVEEDORES[[#This Row],[FECHA DE PAGO]]=0,TODAY()-PROVEEDORES[[#This Row],[FECHA DE FACTURACIÓN]]-PROVEEDORES[[#This Row],[PLAZO Días]],0)</f>
        <v>0</v>
      </c>
      <c r="U55" s="122" t="str">
        <f>+VLOOKUP(PROVEEDORES[[#This Row],[PROVEEDOR]],Terceros!$A:$D,4,FALSE)</f>
        <v>2,5% con base</v>
      </c>
      <c r="V55" s="122">
        <f>+YEAR(PROVEEDORES[[#This Row],[FECHA DE FACTURACIÓN]])</f>
        <v>2024</v>
      </c>
      <c r="W55" s="122">
        <f>+MATCH(PROVEEDORES[[#This Row],[año facturado]],Retenciones!$1:$1,0)</f>
        <v>3</v>
      </c>
      <c r="X55" s="123">
        <f>+VLOOKUP(PROVEEDORES[[#This Row],[ID RETENCION]],Retenciones!$A$1:$K$25,PROVEEDORES[[#This Row],[indicador de columna]],FALSE)</f>
        <v>1271000</v>
      </c>
      <c r="Y55" s="124">
        <f>+VLOOKUP(PROVEEDORES[[#This Row],[ID RETENCION]],Retenciones!$A$1:$K$25,2,FALSE)</f>
        <v>2.5000000000000001E-2</v>
      </c>
      <c r="Z55" s="125" t="b">
        <f>+OR(COUNTIF(PROVEEDORES[[#This Row],[PROVEEDOR]],"*"&amp;'Palabra que no opera y Listas d'!$A$2&amp;"*"))</f>
        <v>0</v>
      </c>
    </row>
    <row r="56" spans="1:26" ht="27.75" customHeight="1" x14ac:dyDescent="0.25">
      <c r="A56" s="112" t="str">
        <f>+IF(PROVEEDORES[[#This Row],[FECHA DE PAGO]]=PROVEEDORES[[#This Row],[FECHA DE FACTURACIÓN]],"DE CONTADO","CRÉDITO")</f>
        <v>DE CONTADO</v>
      </c>
      <c r="B56" s="112" t="b">
        <f>+IF((PROVEEDORES[[#This Row],[FECHA DE PAGO]]-PROVEEDORES[[#This Row],[FECHA DE FACTURACIÓN]])&gt;PROVEEDORES[[#This Row],[PLAZO Días]],"PAGO VENCIDO")</f>
        <v>0</v>
      </c>
      <c r="C56" s="112">
        <f>+VLOOKUP(PROVEEDORES[[#This Row],[PROVEEDOR]],TERCEROS_INFO[#All],2,FALSE)</f>
        <v>0</v>
      </c>
      <c r="D56" s="113">
        <f>+SUMIFS(PROVEEDORES[Total],PROVEEDORES[PROVEEDOR],PROVEEDORES[[#This Row],[PROVEEDOR]],PROVEEDORES[FECHA DE PAGO],"")</f>
        <v>0</v>
      </c>
      <c r="E56" s="114"/>
      <c r="F56" s="112" t="str">
        <f>+VLOOKUP(PROVEEDORES[[#This Row],[PROVEEDOR]],
                       Terceros!$A:$F,
                       5,
                       FALSE)</f>
        <v>info@compomedica.com.co; girlesa.ruiz@servipilas.com;joriescobar64@gmail.com</v>
      </c>
      <c r="G56" s="115">
        <v>45615</v>
      </c>
      <c r="H56" s="116" t="s">
        <v>649</v>
      </c>
      <c r="I56" s="115">
        <v>45615</v>
      </c>
      <c r="J56" s="117" t="s">
        <v>716</v>
      </c>
      <c r="K56" s="117" t="s">
        <v>210</v>
      </c>
      <c r="L56" s="117" t="s">
        <v>259</v>
      </c>
      <c r="M56" s="118">
        <v>930000</v>
      </c>
      <c r="N56" s="119">
        <v>176700</v>
      </c>
      <c r="O56" s="119">
        <v>0</v>
      </c>
      <c r="P56" s="120">
        <v>0</v>
      </c>
      <c r="Q56" s="119">
        <v>0</v>
      </c>
      <c r="R56" s="121">
        <v>1106700</v>
      </c>
      <c r="S5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122">
        <f ca="1">+IF(PROVEEDORES[[#This Row],[FECHA DE PAGO]]=0,TODAY()-PROVEEDORES[[#This Row],[FECHA DE FACTURACIÓN]]-PROVEEDORES[[#This Row],[PLAZO Días]],0)</f>
        <v>0</v>
      </c>
      <c r="U56" s="122" t="str">
        <f>+VLOOKUP(PROVEEDORES[[#This Row],[PROVEEDOR]],Terceros!$A:$D,4,FALSE)</f>
        <v>2,5% con base</v>
      </c>
      <c r="V56" s="122">
        <f>+YEAR(PROVEEDORES[[#This Row],[FECHA DE FACTURACIÓN]])</f>
        <v>2024</v>
      </c>
      <c r="W56" s="122">
        <f>+MATCH(PROVEEDORES[[#This Row],[año facturado]],Retenciones!$1:$1,0)</f>
        <v>3</v>
      </c>
      <c r="X56" s="123">
        <f>+VLOOKUP(PROVEEDORES[[#This Row],[ID RETENCION]],Retenciones!$A$1:$K$25,PROVEEDORES[[#This Row],[indicador de columna]],FALSE)</f>
        <v>1271000</v>
      </c>
      <c r="Y56" s="124">
        <f>+VLOOKUP(PROVEEDORES[[#This Row],[ID RETENCION]],Retenciones!$A$1:$K$25,2,FALSE)</f>
        <v>2.5000000000000001E-2</v>
      </c>
      <c r="Z56" s="125" t="b">
        <f>+OR(COUNTIF(PROVEEDORES[[#This Row],[PROVEEDOR]],"*"&amp;'Palabra que no opera y Listas d'!$A$2&amp;"*"))</f>
        <v>0</v>
      </c>
    </row>
    <row r="57" spans="1:26" ht="27.75" customHeight="1" x14ac:dyDescent="0.25">
      <c r="A57" s="112" t="str">
        <f>+IF(PROVEEDORES[[#This Row],[FECHA DE PAGO]]=PROVEEDORES[[#This Row],[FECHA DE FACTURACIÓN]],"DE CONTADO","CRÉDITO")</f>
        <v>CRÉDITO</v>
      </c>
      <c r="B57" s="112" t="str">
        <f>+IF((PROVEEDORES[[#This Row],[FECHA DE PAGO]]-PROVEEDORES[[#This Row],[FECHA DE FACTURACIÓN]])&gt;PROVEEDORES[[#This Row],[PLAZO Días]],"PAGO VENCIDO")</f>
        <v>PAGO VENCIDO</v>
      </c>
      <c r="C57" s="112">
        <f>+VLOOKUP(PROVEEDORES[[#This Row],[PROVEEDOR]],TERCEROS_INFO[#All],2,FALSE)</f>
        <v>30</v>
      </c>
      <c r="D57" s="113">
        <f>+SUMIFS(PROVEEDORES[Total],PROVEEDORES[PROVEEDOR],PROVEEDORES[[#This Row],[PROVEEDOR]],PROVEEDORES[FECHA DE PAGO],"")</f>
        <v>3593214.1599999997</v>
      </c>
      <c r="E57" s="114"/>
      <c r="F57" s="112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57" s="115">
        <v>45616</v>
      </c>
      <c r="H57" s="116" t="s">
        <v>16</v>
      </c>
      <c r="I57" s="115">
        <v>45572</v>
      </c>
      <c r="J57" s="117" t="s">
        <v>717</v>
      </c>
      <c r="K57" s="117" t="s">
        <v>210</v>
      </c>
      <c r="L57" s="117" t="s">
        <v>259</v>
      </c>
      <c r="M57" s="118">
        <v>2793000</v>
      </c>
      <c r="N57" s="119">
        <v>530670</v>
      </c>
      <c r="O57" s="119">
        <v>0</v>
      </c>
      <c r="P57" s="120">
        <v>2.5000000000000001E-2</v>
      </c>
      <c r="Q57" s="119">
        <v>69825</v>
      </c>
      <c r="R57" s="121">
        <v>3253845</v>
      </c>
      <c r="S5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122">
        <f ca="1">+IF(PROVEEDORES[[#This Row],[FECHA DE PAGO]]=0,TODAY()-PROVEEDORES[[#This Row],[FECHA DE FACTURACIÓN]]-PROVEEDORES[[#This Row],[PLAZO Días]],0)</f>
        <v>0</v>
      </c>
      <c r="U57" s="122" t="str">
        <f>+VLOOKUP(PROVEEDORES[[#This Row],[PROVEEDOR]],Terceros!$A:$D,4,FALSE)</f>
        <v>2,5% con base</v>
      </c>
      <c r="V57" s="122">
        <f>+YEAR(PROVEEDORES[[#This Row],[FECHA DE FACTURACIÓN]])</f>
        <v>2024</v>
      </c>
      <c r="W57" s="122">
        <f>+MATCH(PROVEEDORES[[#This Row],[año facturado]],Retenciones!$1:$1,0)</f>
        <v>3</v>
      </c>
      <c r="X57" s="123">
        <f>+VLOOKUP(PROVEEDORES[[#This Row],[ID RETENCION]],Retenciones!$A$1:$K$25,PROVEEDORES[[#This Row],[indicador de columna]],FALSE)</f>
        <v>1271000</v>
      </c>
      <c r="Y57" s="124">
        <f>+VLOOKUP(PROVEEDORES[[#This Row],[ID RETENCION]],Retenciones!$A$1:$K$25,2,FALSE)</f>
        <v>2.5000000000000001E-2</v>
      </c>
      <c r="Z57" s="125" t="b">
        <f>+OR(COUNTIF(PROVEEDORES[[#This Row],[PROVEEDOR]],"*"&amp;'Palabra que no opera y Listas d'!$A$2&amp;"*"))</f>
        <v>0</v>
      </c>
    </row>
    <row r="58" spans="1:26" ht="27.75" customHeight="1" x14ac:dyDescent="0.25">
      <c r="A58" s="112" t="str">
        <f>+IF(PROVEEDORES[[#This Row],[FECHA DE PAGO]]=PROVEEDORES[[#This Row],[FECHA DE FACTURACIÓN]],"DE CONTADO","CRÉDITO")</f>
        <v>CRÉDITO</v>
      </c>
      <c r="B58" s="112" t="b">
        <f>+IF((PROVEEDORES[[#This Row],[FECHA DE PAGO]]-PROVEEDORES[[#This Row],[FECHA DE FACTURACIÓN]])&gt;PROVEEDORES[[#This Row],[PLAZO Días]],"PAGO VENCIDO")</f>
        <v>0</v>
      </c>
      <c r="C58" s="112">
        <f>+VLOOKUP(PROVEEDORES[[#This Row],[PROVEEDOR]],TERCEROS_INFO[#All],2,FALSE)</f>
        <v>30</v>
      </c>
      <c r="D58" s="113">
        <f>+SUMIFS(PROVEEDORES[Total],PROVEEDORES[PROVEEDOR],PROVEEDORES[[#This Row],[PROVEEDOR]],PROVEEDORES[FECHA DE PAGO],"")</f>
        <v>0</v>
      </c>
      <c r="E58" s="114"/>
      <c r="F58" s="112" t="str">
        <f>+VLOOKUP(PROVEEDORES[[#This Row],[PROVEEDOR]],
                       Terceros!$A:$F,
                       5,
                       FALSE)</f>
        <v>facturacion@losmolinos.com.co</v>
      </c>
      <c r="G58" s="115">
        <v>45616</v>
      </c>
      <c r="H58" s="116" t="s">
        <v>165</v>
      </c>
      <c r="I58" s="115">
        <v>45597</v>
      </c>
      <c r="J58" s="117" t="s">
        <v>718</v>
      </c>
      <c r="K58" s="117" t="s">
        <v>256</v>
      </c>
      <c r="L58" s="117" t="s">
        <v>258</v>
      </c>
      <c r="M58" s="118">
        <v>400107</v>
      </c>
      <c r="N58" s="119">
        <v>76020.33</v>
      </c>
      <c r="O58" s="119">
        <v>65458</v>
      </c>
      <c r="P58" s="120">
        <v>0</v>
      </c>
      <c r="Q58" s="119">
        <v>0</v>
      </c>
      <c r="R58" s="121">
        <v>410669.33</v>
      </c>
      <c r="S5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122">
        <f ca="1">+IF(PROVEEDORES[[#This Row],[FECHA DE PAGO]]=0,TODAY()-PROVEEDORES[[#This Row],[FECHA DE FACTURACIÓN]]-PROVEEDORES[[#This Row],[PLAZO Días]],0)</f>
        <v>0</v>
      </c>
      <c r="U58" s="122">
        <f>+VLOOKUP(PROVEEDORES[[#This Row],[PROVEEDOR]],Terceros!$A:$D,4,FALSE)</f>
        <v>0</v>
      </c>
      <c r="V58" s="122">
        <f>+YEAR(PROVEEDORES[[#This Row],[FECHA DE FACTURACIÓN]])</f>
        <v>2024</v>
      </c>
      <c r="W58" s="122">
        <f>+MATCH(PROVEEDORES[[#This Row],[año facturado]],Retenciones!$1:$1,0)</f>
        <v>3</v>
      </c>
      <c r="X58" s="123">
        <f>+VLOOKUP(PROVEEDORES[[#This Row],[ID RETENCION]],Retenciones!$A$1:$K$25,PROVEEDORES[[#This Row],[indicador de columna]],FALSE)</f>
        <v>0</v>
      </c>
      <c r="Y58" s="124">
        <f>+VLOOKUP(PROVEEDORES[[#This Row],[ID RETENCION]],Retenciones!$A$1:$K$25,2,FALSE)</f>
        <v>0</v>
      </c>
      <c r="Z58" s="125" t="b">
        <f>+OR(COUNTIF(PROVEEDORES[[#This Row],[PROVEEDOR]],"*"&amp;'Palabra que no opera y Listas d'!$A$2&amp;"*"))</f>
        <v>1</v>
      </c>
    </row>
    <row r="59" spans="1:26" ht="27.75" customHeight="1" x14ac:dyDescent="0.25">
      <c r="A59" s="112" t="str">
        <f>+IF(PROVEEDORES[[#This Row],[FECHA DE PAGO]]=PROVEEDORES[[#This Row],[FECHA DE FACTURACIÓN]],"DE CONTADO","CRÉDITO")</f>
        <v>CRÉDITO</v>
      </c>
      <c r="B59" s="112" t="b">
        <f>+IF((PROVEEDORES[[#This Row],[FECHA DE PAGO]]-PROVEEDORES[[#This Row],[FECHA DE FACTURACIÓN]])&gt;PROVEEDORES[[#This Row],[PLAZO Días]],"PAGO VENCIDO")</f>
        <v>0</v>
      </c>
      <c r="C59" s="112">
        <f>+VLOOKUP(PROVEEDORES[[#This Row],[PROVEEDOR]],TERCEROS_INFO[#All],2,FALSE)</f>
        <v>30</v>
      </c>
      <c r="D59" s="113">
        <f>+SUMIFS(PROVEEDORES[Total],PROVEEDORES[PROVEEDOR],PROVEEDORES[[#This Row],[PROVEEDOR]],PROVEEDORES[FECHA DE PAGO],"")</f>
        <v>0</v>
      </c>
      <c r="E59" s="114"/>
      <c r="F59" s="112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59" s="115">
        <v>45616</v>
      </c>
      <c r="H59" s="116" t="s">
        <v>668</v>
      </c>
      <c r="I59" s="115">
        <v>45597</v>
      </c>
      <c r="J59" s="117" t="s">
        <v>719</v>
      </c>
      <c r="K59" s="117" t="s">
        <v>256</v>
      </c>
      <c r="L59" s="117" t="s">
        <v>258</v>
      </c>
      <c r="M59" s="118">
        <v>266218</v>
      </c>
      <c r="N59" s="119">
        <v>50581.42</v>
      </c>
      <c r="O59" s="119">
        <v>0</v>
      </c>
      <c r="P59" s="120">
        <v>3.5000000000000003E-2</v>
      </c>
      <c r="Q59" s="119">
        <v>9317.630000000001</v>
      </c>
      <c r="R59" s="121">
        <v>307481.78999999998</v>
      </c>
      <c r="S5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122">
        <f ca="1">+IF(PROVEEDORES[[#This Row],[FECHA DE PAGO]]=0,TODAY()-PROVEEDORES[[#This Row],[FECHA DE FACTURACIÓN]]-PROVEEDORES[[#This Row],[PLAZO Días]],0)</f>
        <v>0</v>
      </c>
      <c r="U59" s="122" t="str">
        <f>+VLOOKUP(PROVEEDORES[[#This Row],[PROVEEDOR]],Terceros!$A:$D,4,FALSE)</f>
        <v>3,5% sin base</v>
      </c>
      <c r="V59" s="122">
        <f>+YEAR(PROVEEDORES[[#This Row],[FECHA DE FACTURACIÓN]])</f>
        <v>2024</v>
      </c>
      <c r="W59" s="122">
        <f>+MATCH(PROVEEDORES[[#This Row],[año facturado]],Retenciones!$1:$1,0)</f>
        <v>3</v>
      </c>
      <c r="X59" s="123">
        <f>+VLOOKUP(PROVEEDORES[[#This Row],[ID RETENCION]],Retenciones!$A$1:$K$25,PROVEEDORES[[#This Row],[indicador de columna]],FALSE)</f>
        <v>0</v>
      </c>
      <c r="Y59" s="124">
        <f>+VLOOKUP(PROVEEDORES[[#This Row],[ID RETENCION]],Retenciones!$A$1:$K$25,2,FALSE)</f>
        <v>3.5000000000000003E-2</v>
      </c>
      <c r="Z59" s="125" t="b">
        <f>+OR(COUNTIF(PROVEEDORES[[#This Row],[PROVEEDOR]],"*"&amp;'Palabra que no opera y Listas d'!$A$2&amp;"*"))</f>
        <v>1</v>
      </c>
    </row>
    <row r="60" spans="1:26" ht="27.75" customHeight="1" x14ac:dyDescent="0.25">
      <c r="A60" s="112" t="str">
        <f>+IF(PROVEEDORES[[#This Row],[FECHA DE PAGO]]=PROVEEDORES[[#This Row],[FECHA DE FACTURACIÓN]],"DE CONTADO","CRÉDITO")</f>
        <v>DE CONTADO</v>
      </c>
      <c r="B60" s="112" t="b">
        <f>+IF((PROVEEDORES[[#This Row],[FECHA DE PAGO]]-PROVEEDORES[[#This Row],[FECHA DE FACTURACIÓN]])&gt;PROVEEDORES[[#This Row],[PLAZO Días]],"PAGO VENCIDO")</f>
        <v>0</v>
      </c>
      <c r="C60" s="112">
        <f>+VLOOKUP(PROVEEDORES[[#This Row],[PROVEEDOR]],TERCEROS_INFO[#All],2,FALSE)</f>
        <v>0</v>
      </c>
      <c r="D60" s="113">
        <f>+SUMIFS(PROVEEDORES[Total],PROVEEDORES[PROVEEDOR],PROVEEDORES[[#This Row],[PROVEEDOR]],PROVEEDORES[FECHA DE PAGO],"")</f>
        <v>0</v>
      </c>
      <c r="E60" s="114"/>
      <c r="F60" s="112">
        <f>+VLOOKUP(PROVEEDORES[[#This Row],[PROVEEDOR]],
                       Terceros!$A:$F,
                       5,
                       FALSE)</f>
        <v>0</v>
      </c>
      <c r="G60" s="115">
        <v>45616</v>
      </c>
      <c r="H60" s="116" t="s">
        <v>595</v>
      </c>
      <c r="I60" s="115">
        <v>45616</v>
      </c>
      <c r="J60" s="117" t="s">
        <v>665</v>
      </c>
      <c r="K60" s="117" t="s">
        <v>210</v>
      </c>
      <c r="L60" s="117" t="s">
        <v>234</v>
      </c>
      <c r="M60" s="118">
        <v>540000</v>
      </c>
      <c r="N60" s="119"/>
      <c r="O60" s="119">
        <v>0</v>
      </c>
      <c r="P60" s="120">
        <v>0</v>
      </c>
      <c r="Q60" s="119">
        <v>0</v>
      </c>
      <c r="R60" s="121">
        <v>540000</v>
      </c>
      <c r="S6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122">
        <f ca="1">+IF(PROVEEDORES[[#This Row],[FECHA DE PAGO]]=0,TODAY()-PROVEEDORES[[#This Row],[FECHA DE FACTURACIÓN]]-PROVEEDORES[[#This Row],[PLAZO Días]],0)</f>
        <v>0</v>
      </c>
      <c r="U60" s="122">
        <f>+VLOOKUP(PROVEEDORES[[#This Row],[PROVEEDOR]],Terceros!$A:$D,4,FALSE)</f>
        <v>0</v>
      </c>
      <c r="V60" s="122">
        <f>+YEAR(PROVEEDORES[[#This Row],[FECHA DE FACTURACIÓN]])</f>
        <v>2024</v>
      </c>
      <c r="W60" s="122">
        <f>+MATCH(PROVEEDORES[[#This Row],[año facturado]],Retenciones!$1:$1,0)</f>
        <v>3</v>
      </c>
      <c r="X60" s="123">
        <f>+VLOOKUP(PROVEEDORES[[#This Row],[ID RETENCION]],Retenciones!$A$1:$K$25,PROVEEDORES[[#This Row],[indicador de columna]],FALSE)</f>
        <v>0</v>
      </c>
      <c r="Y60" s="124">
        <f>+VLOOKUP(PROVEEDORES[[#This Row],[ID RETENCION]],Retenciones!$A$1:$K$25,2,FALSE)</f>
        <v>0</v>
      </c>
      <c r="Z60" s="125" t="b">
        <f>+OR(COUNTIF(PROVEEDORES[[#This Row],[PROVEEDOR]],"*"&amp;'Palabra que no opera y Listas d'!$A$2&amp;"*"))</f>
        <v>1</v>
      </c>
    </row>
    <row r="61" spans="1:26" ht="27.75" customHeight="1" x14ac:dyDescent="0.25">
      <c r="A61" s="112" t="str">
        <f>+IF(PROVEEDORES[[#This Row],[FECHA DE PAGO]]=PROVEEDORES[[#This Row],[FECHA DE FACTURACIÓN]],"DE CONTADO","CRÉDITO")</f>
        <v>CRÉDITO</v>
      </c>
      <c r="B61" s="112" t="b">
        <f>+IF((PROVEEDORES[[#This Row],[FECHA DE PAGO]]-PROVEEDORES[[#This Row],[FECHA DE FACTURACIÓN]])&gt;PROVEEDORES[[#This Row],[PLAZO Días]],"PAGO VENCIDO")</f>
        <v>0</v>
      </c>
      <c r="C61" s="112">
        <f>+VLOOKUP(PROVEEDORES[[#This Row],[PROVEEDOR]],TERCEROS_INFO[#All],2,FALSE)</f>
        <v>60</v>
      </c>
      <c r="D61" s="113">
        <f>+SUMIFS(PROVEEDORES[Total],PROVEEDORES[PROVEEDOR],PROVEEDORES[[#This Row],[PROVEEDOR]],PROVEEDORES[FECHA DE PAGO],"")</f>
        <v>0</v>
      </c>
      <c r="E61" s="114"/>
      <c r="F61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61" s="115">
        <v>45617</v>
      </c>
      <c r="H61" s="116" t="s">
        <v>106</v>
      </c>
      <c r="I61" s="115">
        <v>45565</v>
      </c>
      <c r="J61" s="117">
        <v>2168</v>
      </c>
      <c r="K61" s="117" t="s">
        <v>210</v>
      </c>
      <c r="L61" s="117" t="s">
        <v>259</v>
      </c>
      <c r="M61" s="118">
        <v>193248</v>
      </c>
      <c r="N61" s="119"/>
      <c r="O61" s="119">
        <v>0</v>
      </c>
      <c r="P61" s="120">
        <v>0</v>
      </c>
      <c r="Q61" s="119">
        <v>0</v>
      </c>
      <c r="R61" s="121">
        <v>193248</v>
      </c>
      <c r="S6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122">
        <f ca="1">+IF(PROVEEDORES[[#This Row],[FECHA DE PAGO]]=0,TODAY()-PROVEEDORES[[#This Row],[FECHA DE FACTURACIÓN]]-PROVEEDORES[[#This Row],[PLAZO Días]],0)</f>
        <v>0</v>
      </c>
      <c r="U61" s="122">
        <f>+VLOOKUP(PROVEEDORES[[#This Row],[PROVEEDOR]],Terceros!$A:$D,4,FALSE)</f>
        <v>0</v>
      </c>
      <c r="V61" s="122">
        <f>+YEAR(PROVEEDORES[[#This Row],[FECHA DE FACTURACIÓN]])</f>
        <v>2024</v>
      </c>
      <c r="W61" s="122">
        <f>+MATCH(PROVEEDORES[[#This Row],[año facturado]],Retenciones!$1:$1,0)</f>
        <v>3</v>
      </c>
      <c r="X61" s="123">
        <f>+VLOOKUP(PROVEEDORES[[#This Row],[ID RETENCION]],Retenciones!$A$1:$K$25,PROVEEDORES[[#This Row],[indicador de columna]],FALSE)</f>
        <v>0</v>
      </c>
      <c r="Y61" s="124">
        <f>+VLOOKUP(PROVEEDORES[[#This Row],[ID RETENCION]],Retenciones!$A$1:$K$25,2,FALSE)</f>
        <v>0</v>
      </c>
      <c r="Z61" s="125" t="b">
        <f>+OR(COUNTIF(PROVEEDORES[[#This Row],[PROVEEDOR]],"*"&amp;'Palabra que no opera y Listas d'!$A$2&amp;"*"))</f>
        <v>0</v>
      </c>
    </row>
    <row r="62" spans="1:26" ht="27.75" customHeight="1" x14ac:dyDescent="0.25">
      <c r="A62" s="112" t="str">
        <f>+IF(PROVEEDORES[[#This Row],[FECHA DE PAGO]]=PROVEEDORES[[#This Row],[FECHA DE FACTURACIÓN]],"DE CONTADO","CRÉDITO")</f>
        <v>CRÉDITO</v>
      </c>
      <c r="B62" s="112" t="b">
        <f>+IF((PROVEEDORES[[#This Row],[FECHA DE PAGO]]-PROVEEDORES[[#This Row],[FECHA DE FACTURACIÓN]])&gt;PROVEEDORES[[#This Row],[PLAZO Días]],"PAGO VENCIDO")</f>
        <v>0</v>
      </c>
      <c r="C62" s="112">
        <f>+VLOOKUP(PROVEEDORES[[#This Row],[PROVEEDOR]],TERCEROS_INFO[#All],2,FALSE)</f>
        <v>60</v>
      </c>
      <c r="D62" s="113">
        <f>+SUMIFS(PROVEEDORES[Total],PROVEEDORES[PROVEEDOR],PROVEEDORES[[#This Row],[PROVEEDOR]],PROVEEDORES[FECHA DE PAGO],"")</f>
        <v>0</v>
      </c>
      <c r="E62" s="114"/>
      <c r="F62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62" s="115">
        <v>45617</v>
      </c>
      <c r="H62" s="116" t="s">
        <v>106</v>
      </c>
      <c r="I62" s="115">
        <v>45565</v>
      </c>
      <c r="J62" s="117">
        <v>2169</v>
      </c>
      <c r="K62" s="117" t="s">
        <v>210</v>
      </c>
      <c r="L62" s="117" t="s">
        <v>259</v>
      </c>
      <c r="M62" s="118">
        <v>1300032</v>
      </c>
      <c r="N62" s="119"/>
      <c r="O62" s="119">
        <v>0</v>
      </c>
      <c r="P62" s="120">
        <v>0</v>
      </c>
      <c r="Q62" s="119">
        <v>0</v>
      </c>
      <c r="R62" s="121">
        <v>1300032</v>
      </c>
      <c r="S6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122">
        <f ca="1">+IF(PROVEEDORES[[#This Row],[FECHA DE PAGO]]=0,TODAY()-PROVEEDORES[[#This Row],[FECHA DE FACTURACIÓN]]-PROVEEDORES[[#This Row],[PLAZO Días]],0)</f>
        <v>0</v>
      </c>
      <c r="U62" s="122">
        <f>+VLOOKUP(PROVEEDORES[[#This Row],[PROVEEDOR]],Terceros!$A:$D,4,FALSE)</f>
        <v>0</v>
      </c>
      <c r="V62" s="122">
        <f>+YEAR(PROVEEDORES[[#This Row],[FECHA DE FACTURACIÓN]])</f>
        <v>2024</v>
      </c>
      <c r="W62" s="122">
        <f>+MATCH(PROVEEDORES[[#This Row],[año facturado]],Retenciones!$1:$1,0)</f>
        <v>3</v>
      </c>
      <c r="X62" s="123">
        <f>+VLOOKUP(PROVEEDORES[[#This Row],[ID RETENCION]],Retenciones!$A$1:$K$25,PROVEEDORES[[#This Row],[indicador de columna]],FALSE)</f>
        <v>0</v>
      </c>
      <c r="Y62" s="124">
        <f>+VLOOKUP(PROVEEDORES[[#This Row],[ID RETENCION]],Retenciones!$A$1:$K$25,2,FALSE)</f>
        <v>0</v>
      </c>
      <c r="Z62" s="125" t="b">
        <f>+OR(COUNTIF(PROVEEDORES[[#This Row],[PROVEEDOR]],"*"&amp;'Palabra que no opera y Listas d'!$A$2&amp;"*"))</f>
        <v>0</v>
      </c>
    </row>
    <row r="63" spans="1:26" ht="27.75" customHeight="1" x14ac:dyDescent="0.25">
      <c r="A63" s="112" t="str">
        <f>+IF(PROVEEDORES[[#This Row],[FECHA DE PAGO]]=PROVEEDORES[[#This Row],[FECHA DE FACTURACIÓN]],"DE CONTADO","CRÉDITO")</f>
        <v>CRÉDITO</v>
      </c>
      <c r="B63" s="112" t="b">
        <f>+IF((PROVEEDORES[[#This Row],[FECHA DE PAGO]]-PROVEEDORES[[#This Row],[FECHA DE FACTURACIÓN]])&gt;PROVEEDORES[[#This Row],[PLAZO Días]],"PAGO VENCIDO")</f>
        <v>0</v>
      </c>
      <c r="C63" s="112">
        <f>+VLOOKUP(PROVEEDORES[[#This Row],[PROVEEDOR]],TERCEROS_INFO[#All],2,FALSE)</f>
        <v>60</v>
      </c>
      <c r="D63" s="113">
        <f>+SUMIFS(PROVEEDORES[Total],PROVEEDORES[PROVEEDOR],PROVEEDORES[[#This Row],[PROVEEDOR]],PROVEEDORES[FECHA DE PAGO],"")</f>
        <v>0</v>
      </c>
      <c r="E63" s="114"/>
      <c r="F63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63" s="115">
        <v>45617</v>
      </c>
      <c r="H63" s="116" t="s">
        <v>106</v>
      </c>
      <c r="I63" s="115">
        <v>45569</v>
      </c>
      <c r="J63" s="117">
        <v>2173</v>
      </c>
      <c r="K63" s="117" t="s">
        <v>210</v>
      </c>
      <c r="L63" s="117" t="s">
        <v>259</v>
      </c>
      <c r="M63" s="118">
        <v>281088</v>
      </c>
      <c r="N63" s="119"/>
      <c r="O63" s="119">
        <v>0</v>
      </c>
      <c r="P63" s="120">
        <v>0</v>
      </c>
      <c r="Q63" s="119">
        <v>0</v>
      </c>
      <c r="R63" s="121">
        <v>281088</v>
      </c>
      <c r="S6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122">
        <f ca="1">+IF(PROVEEDORES[[#This Row],[FECHA DE PAGO]]=0,TODAY()-PROVEEDORES[[#This Row],[FECHA DE FACTURACIÓN]]-PROVEEDORES[[#This Row],[PLAZO Días]],0)</f>
        <v>0</v>
      </c>
      <c r="U63" s="122">
        <f>+VLOOKUP(PROVEEDORES[[#This Row],[PROVEEDOR]],Terceros!$A:$D,4,FALSE)</f>
        <v>0</v>
      </c>
      <c r="V63" s="122">
        <f>+YEAR(PROVEEDORES[[#This Row],[FECHA DE FACTURACIÓN]])</f>
        <v>2024</v>
      </c>
      <c r="W63" s="122">
        <f>+MATCH(PROVEEDORES[[#This Row],[año facturado]],Retenciones!$1:$1,0)</f>
        <v>3</v>
      </c>
      <c r="X63" s="123">
        <f>+VLOOKUP(PROVEEDORES[[#This Row],[ID RETENCION]],Retenciones!$A$1:$K$25,PROVEEDORES[[#This Row],[indicador de columna]],FALSE)</f>
        <v>0</v>
      </c>
      <c r="Y63" s="124">
        <f>+VLOOKUP(PROVEEDORES[[#This Row],[ID RETENCION]],Retenciones!$A$1:$K$25,2,FALSE)</f>
        <v>0</v>
      </c>
      <c r="Z63" s="125" t="b">
        <f>+OR(COUNTIF(PROVEEDORES[[#This Row],[PROVEEDOR]],"*"&amp;'Palabra que no opera y Listas d'!$A$2&amp;"*"))</f>
        <v>0</v>
      </c>
    </row>
    <row r="64" spans="1:26" ht="27.75" customHeight="1" x14ac:dyDescent="0.25">
      <c r="A64" s="112" t="str">
        <f>+IF(PROVEEDORES[[#This Row],[FECHA DE PAGO]]=PROVEEDORES[[#This Row],[FECHA DE FACTURACIÓN]],"DE CONTADO","CRÉDITO")</f>
        <v>CRÉDITO</v>
      </c>
      <c r="B64" s="112" t="b">
        <f>+IF((PROVEEDORES[[#This Row],[FECHA DE PAGO]]-PROVEEDORES[[#This Row],[FECHA DE FACTURACIÓN]])&gt;PROVEEDORES[[#This Row],[PLAZO Días]],"PAGO VENCIDO")</f>
        <v>0</v>
      </c>
      <c r="C64" s="112">
        <f>+VLOOKUP(PROVEEDORES[[#This Row],[PROVEEDOR]],TERCEROS_INFO[#All],2,FALSE)</f>
        <v>60</v>
      </c>
      <c r="D64" s="113">
        <f>+SUMIFS(PROVEEDORES[Total],PROVEEDORES[PROVEEDOR],PROVEEDORES[[#This Row],[PROVEEDOR]],PROVEEDORES[FECHA DE PAGO],"")</f>
        <v>0</v>
      </c>
      <c r="E64" s="114"/>
      <c r="F64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64" s="115">
        <v>45617</v>
      </c>
      <c r="H64" s="116" t="s">
        <v>106</v>
      </c>
      <c r="I64" s="115">
        <v>45572</v>
      </c>
      <c r="J64" s="117">
        <v>2177</v>
      </c>
      <c r="K64" s="117" t="s">
        <v>210</v>
      </c>
      <c r="L64" s="117" t="s">
        <v>259</v>
      </c>
      <c r="M64" s="118">
        <v>386496</v>
      </c>
      <c r="N64" s="119"/>
      <c r="O64" s="119">
        <v>0</v>
      </c>
      <c r="P64" s="120">
        <v>0</v>
      </c>
      <c r="Q64" s="119">
        <v>0</v>
      </c>
      <c r="R64" s="121">
        <v>386496</v>
      </c>
      <c r="S6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122">
        <f ca="1">+IF(PROVEEDORES[[#This Row],[FECHA DE PAGO]]=0,TODAY()-PROVEEDORES[[#This Row],[FECHA DE FACTURACIÓN]]-PROVEEDORES[[#This Row],[PLAZO Días]],0)</f>
        <v>0</v>
      </c>
      <c r="U64" s="122">
        <f>+VLOOKUP(PROVEEDORES[[#This Row],[PROVEEDOR]],Terceros!$A:$D,4,FALSE)</f>
        <v>0</v>
      </c>
      <c r="V64" s="122">
        <f>+YEAR(PROVEEDORES[[#This Row],[FECHA DE FACTURACIÓN]])</f>
        <v>2024</v>
      </c>
      <c r="W64" s="122">
        <f>+MATCH(PROVEEDORES[[#This Row],[año facturado]],Retenciones!$1:$1,0)</f>
        <v>3</v>
      </c>
      <c r="X64" s="123">
        <f>+VLOOKUP(PROVEEDORES[[#This Row],[ID RETENCION]],Retenciones!$A$1:$K$25,PROVEEDORES[[#This Row],[indicador de columna]],FALSE)</f>
        <v>0</v>
      </c>
      <c r="Y64" s="124">
        <f>+VLOOKUP(PROVEEDORES[[#This Row],[ID RETENCION]],Retenciones!$A$1:$K$25,2,FALSE)</f>
        <v>0</v>
      </c>
      <c r="Z64" s="125" t="b">
        <f>+OR(COUNTIF(PROVEEDORES[[#This Row],[PROVEEDOR]],"*"&amp;'Palabra que no opera y Listas d'!$A$2&amp;"*"))</f>
        <v>0</v>
      </c>
    </row>
    <row r="65" spans="1:26" ht="27.75" customHeight="1" x14ac:dyDescent="0.25">
      <c r="A65" s="112" t="str">
        <f>+IF(PROVEEDORES[[#This Row],[FECHA DE PAGO]]=PROVEEDORES[[#This Row],[FECHA DE FACTURACIÓN]],"DE CONTADO","CRÉDITO")</f>
        <v>CRÉDITO</v>
      </c>
      <c r="B65" s="112" t="str">
        <f>+IF((PROVEEDORES[[#This Row],[FECHA DE PAGO]]-PROVEEDORES[[#This Row],[FECHA DE FACTURACIÓN]])&gt;PROVEEDORES[[#This Row],[PLAZO Días]],"PAGO VENCIDO")</f>
        <v>PAGO VENCIDO</v>
      </c>
      <c r="C65" s="112">
        <f>+VLOOKUP(PROVEEDORES[[#This Row],[PROVEEDOR]],TERCEROS_INFO[#All],2,FALSE)</f>
        <v>30</v>
      </c>
      <c r="D65" s="113">
        <f>+SUMIFS(PROVEEDORES[Total],PROVEEDORES[PROVEEDOR],PROVEEDORES[[#This Row],[PROVEEDOR]],PROVEEDORES[FECHA DE PAGO],"")</f>
        <v>3651240.11</v>
      </c>
      <c r="E65" s="114"/>
      <c r="F65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5" s="115">
        <v>45617</v>
      </c>
      <c r="H65" s="116" t="s">
        <v>243</v>
      </c>
      <c r="I65" s="115">
        <v>45573</v>
      </c>
      <c r="J65" s="117" t="s">
        <v>720</v>
      </c>
      <c r="K65" s="117" t="s">
        <v>256</v>
      </c>
      <c r="L65" s="117" t="s">
        <v>258</v>
      </c>
      <c r="M65" s="118">
        <v>2322920</v>
      </c>
      <c r="N65" s="119">
        <v>441354.8</v>
      </c>
      <c r="O65" s="119">
        <v>0</v>
      </c>
      <c r="P65" s="120">
        <v>2.5000000000000001E-2</v>
      </c>
      <c r="Q65" s="119">
        <v>58073</v>
      </c>
      <c r="R65" s="121">
        <v>2706201.8</v>
      </c>
      <c r="S6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122">
        <f ca="1">+IF(PROVEEDORES[[#This Row],[FECHA DE PAGO]]=0,TODAY()-PROVEEDORES[[#This Row],[FECHA DE FACTURACIÓN]]-PROVEEDORES[[#This Row],[PLAZO Días]],0)</f>
        <v>0</v>
      </c>
      <c r="U65" s="122" t="str">
        <f>+VLOOKUP(PROVEEDORES[[#This Row],[PROVEEDOR]],Terceros!$A:$D,4,FALSE)</f>
        <v>2,5% con base</v>
      </c>
      <c r="V65" s="122">
        <f>+YEAR(PROVEEDORES[[#This Row],[FECHA DE FACTURACIÓN]])</f>
        <v>2024</v>
      </c>
      <c r="W65" s="122">
        <f>+MATCH(PROVEEDORES[[#This Row],[año facturado]],Retenciones!$1:$1,0)</f>
        <v>3</v>
      </c>
      <c r="X65" s="123">
        <f>+VLOOKUP(PROVEEDORES[[#This Row],[ID RETENCION]],Retenciones!$A$1:$K$25,PROVEEDORES[[#This Row],[indicador de columna]],FALSE)</f>
        <v>1271000</v>
      </c>
      <c r="Y65" s="124">
        <f>+VLOOKUP(PROVEEDORES[[#This Row],[ID RETENCION]],Retenciones!$A$1:$K$25,2,FALSE)</f>
        <v>2.5000000000000001E-2</v>
      </c>
      <c r="Z65" s="125" t="b">
        <f>+OR(COUNTIF(PROVEEDORES[[#This Row],[PROVEEDOR]],"*"&amp;'Palabra que no opera y Listas d'!$A$2&amp;"*"))</f>
        <v>0</v>
      </c>
    </row>
    <row r="66" spans="1:26" ht="27.75" customHeight="1" x14ac:dyDescent="0.25">
      <c r="A66" s="112" t="str">
        <f>+IF(PROVEEDORES[[#This Row],[FECHA DE PAGO]]=PROVEEDORES[[#This Row],[FECHA DE FACTURACIÓN]],"DE CONTADO","CRÉDITO")</f>
        <v>CRÉDITO</v>
      </c>
      <c r="B66" s="112" t="b">
        <f>+IF((PROVEEDORES[[#This Row],[FECHA DE PAGO]]-PROVEEDORES[[#This Row],[FECHA DE FACTURACIÓN]])&gt;PROVEEDORES[[#This Row],[PLAZO Días]],"PAGO VENCIDO")</f>
        <v>0</v>
      </c>
      <c r="C66" s="112">
        <f>+VLOOKUP(PROVEEDORES[[#This Row],[PROVEEDOR]],TERCEROS_INFO[#All],2,FALSE)</f>
        <v>60</v>
      </c>
      <c r="D66" s="113">
        <f>+SUMIFS(PROVEEDORES[Total],PROVEEDORES[PROVEEDOR],PROVEEDORES[[#This Row],[PROVEEDOR]],PROVEEDORES[FECHA DE PAGO],"")</f>
        <v>0</v>
      </c>
      <c r="E66" s="114"/>
      <c r="F66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66" s="115">
        <v>45617</v>
      </c>
      <c r="H66" s="116" t="s">
        <v>106</v>
      </c>
      <c r="I66" s="115">
        <v>45576</v>
      </c>
      <c r="J66" s="117">
        <v>2183</v>
      </c>
      <c r="K66" s="117" t="s">
        <v>210</v>
      </c>
      <c r="L66" s="117" t="s">
        <v>259</v>
      </c>
      <c r="M66" s="118">
        <v>491904</v>
      </c>
      <c r="N66" s="119"/>
      <c r="O66" s="119">
        <v>0</v>
      </c>
      <c r="P66" s="120">
        <v>0</v>
      </c>
      <c r="Q66" s="119">
        <v>0</v>
      </c>
      <c r="R66" s="121">
        <v>491904</v>
      </c>
      <c r="S6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122">
        <f ca="1">+IF(PROVEEDORES[[#This Row],[FECHA DE PAGO]]=0,TODAY()-PROVEEDORES[[#This Row],[FECHA DE FACTURACIÓN]]-PROVEEDORES[[#This Row],[PLAZO Días]],0)</f>
        <v>0</v>
      </c>
      <c r="U66" s="122">
        <f>+VLOOKUP(PROVEEDORES[[#This Row],[PROVEEDOR]],Terceros!$A:$D,4,FALSE)</f>
        <v>0</v>
      </c>
      <c r="V66" s="122">
        <f>+YEAR(PROVEEDORES[[#This Row],[FECHA DE FACTURACIÓN]])</f>
        <v>2024</v>
      </c>
      <c r="W66" s="122">
        <f>+MATCH(PROVEEDORES[[#This Row],[año facturado]],Retenciones!$1:$1,0)</f>
        <v>3</v>
      </c>
      <c r="X66" s="123">
        <f>+VLOOKUP(PROVEEDORES[[#This Row],[ID RETENCION]],Retenciones!$A$1:$K$25,PROVEEDORES[[#This Row],[indicador de columna]],FALSE)</f>
        <v>0</v>
      </c>
      <c r="Y66" s="124">
        <f>+VLOOKUP(PROVEEDORES[[#This Row],[ID RETENCION]],Retenciones!$A$1:$K$25,2,FALSE)</f>
        <v>0</v>
      </c>
      <c r="Z66" s="125" t="b">
        <f>+OR(COUNTIF(PROVEEDORES[[#This Row],[PROVEEDOR]],"*"&amp;'Palabra que no opera y Listas d'!$A$2&amp;"*"))</f>
        <v>0</v>
      </c>
    </row>
    <row r="67" spans="1:26" ht="27.75" customHeight="1" x14ac:dyDescent="0.25">
      <c r="A67" s="112" t="str">
        <f>+IF(PROVEEDORES[[#This Row],[FECHA DE PAGO]]=PROVEEDORES[[#This Row],[FECHA DE FACTURACIÓN]],"DE CONTADO","CRÉDITO")</f>
        <v>CRÉDITO</v>
      </c>
      <c r="B67" s="112" t="b">
        <f>+IF((PROVEEDORES[[#This Row],[FECHA DE PAGO]]-PROVEEDORES[[#This Row],[FECHA DE FACTURACIÓN]])&gt;PROVEEDORES[[#This Row],[PLAZO Días]],"PAGO VENCIDO")</f>
        <v>0</v>
      </c>
      <c r="C67" s="112">
        <f>+VLOOKUP(PROVEEDORES[[#This Row],[PROVEEDOR]],TERCEROS_INFO[#All],2,FALSE)</f>
        <v>60</v>
      </c>
      <c r="D67" s="113">
        <f>+SUMIFS(PROVEEDORES[Total],PROVEEDORES[PROVEEDOR],PROVEEDORES[[#This Row],[PROVEEDOR]],PROVEEDORES[FECHA DE PAGO],"")</f>
        <v>0</v>
      </c>
      <c r="E67" s="114"/>
      <c r="F67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67" s="115">
        <v>45617</v>
      </c>
      <c r="H67" s="116" t="s">
        <v>106</v>
      </c>
      <c r="I67" s="115">
        <v>45576</v>
      </c>
      <c r="J67" s="117">
        <v>2184</v>
      </c>
      <c r="K67" s="117" t="s">
        <v>210</v>
      </c>
      <c r="L67" s="117" t="s">
        <v>259</v>
      </c>
      <c r="M67" s="118">
        <v>421632</v>
      </c>
      <c r="N67" s="119"/>
      <c r="O67" s="119">
        <v>0</v>
      </c>
      <c r="P67" s="120">
        <v>0</v>
      </c>
      <c r="Q67" s="119">
        <v>0</v>
      </c>
      <c r="R67" s="121">
        <v>421632</v>
      </c>
      <c r="S6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122">
        <f ca="1">+IF(PROVEEDORES[[#This Row],[FECHA DE PAGO]]=0,TODAY()-PROVEEDORES[[#This Row],[FECHA DE FACTURACIÓN]]-PROVEEDORES[[#This Row],[PLAZO Días]],0)</f>
        <v>0</v>
      </c>
      <c r="U67" s="122">
        <f>+VLOOKUP(PROVEEDORES[[#This Row],[PROVEEDOR]],Terceros!$A:$D,4,FALSE)</f>
        <v>0</v>
      </c>
      <c r="V67" s="122">
        <f>+YEAR(PROVEEDORES[[#This Row],[FECHA DE FACTURACIÓN]])</f>
        <v>2024</v>
      </c>
      <c r="W67" s="122">
        <f>+MATCH(PROVEEDORES[[#This Row],[año facturado]],Retenciones!$1:$1,0)</f>
        <v>3</v>
      </c>
      <c r="X67" s="123">
        <f>+VLOOKUP(PROVEEDORES[[#This Row],[ID RETENCION]],Retenciones!$A$1:$K$25,PROVEEDORES[[#This Row],[indicador de columna]],FALSE)</f>
        <v>0</v>
      </c>
      <c r="Y67" s="124">
        <f>+VLOOKUP(PROVEEDORES[[#This Row],[ID RETENCION]],Retenciones!$A$1:$K$25,2,FALSE)</f>
        <v>0</v>
      </c>
      <c r="Z67" s="125" t="b">
        <f>+OR(COUNTIF(PROVEEDORES[[#This Row],[PROVEEDOR]],"*"&amp;'Palabra que no opera y Listas d'!$A$2&amp;"*"))</f>
        <v>0</v>
      </c>
    </row>
    <row r="68" spans="1:26" ht="27.75" customHeight="1" x14ac:dyDescent="0.25">
      <c r="A68" s="112" t="str">
        <f>+IF(PROVEEDORES[[#This Row],[FECHA DE PAGO]]=PROVEEDORES[[#This Row],[FECHA DE FACTURACIÓN]],"DE CONTADO","CRÉDITO")</f>
        <v>CRÉDITO</v>
      </c>
      <c r="B68" s="112" t="b">
        <f>+IF((PROVEEDORES[[#This Row],[FECHA DE PAGO]]-PROVEEDORES[[#This Row],[FECHA DE FACTURACIÓN]])&gt;PROVEEDORES[[#This Row],[PLAZO Días]],"PAGO VENCIDO")</f>
        <v>0</v>
      </c>
      <c r="C68" s="112">
        <f>+VLOOKUP(PROVEEDORES[[#This Row],[PROVEEDOR]],TERCEROS_INFO[#All],2,FALSE)</f>
        <v>30</v>
      </c>
      <c r="D68" s="113">
        <f>+SUMIFS(PROVEEDORES[Total],PROVEEDORES[PROVEEDOR],PROVEEDORES[[#This Row],[PROVEEDOR]],PROVEEDORES[FECHA DE PAGO],"")</f>
        <v>3651240.11</v>
      </c>
      <c r="E68" s="114"/>
      <c r="F68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8" s="115">
        <v>45617</v>
      </c>
      <c r="H68" s="116" t="s">
        <v>243</v>
      </c>
      <c r="I68" s="115">
        <v>45587</v>
      </c>
      <c r="J68" s="117" t="s">
        <v>721</v>
      </c>
      <c r="K68" s="117" t="s">
        <v>256</v>
      </c>
      <c r="L68" s="117" t="s">
        <v>258</v>
      </c>
      <c r="M68" s="118">
        <v>33840</v>
      </c>
      <c r="N68" s="119">
        <v>6429.6</v>
      </c>
      <c r="O68" s="119">
        <v>0</v>
      </c>
      <c r="P68" s="120">
        <v>0</v>
      </c>
      <c r="Q68" s="119">
        <v>0</v>
      </c>
      <c r="R68" s="121">
        <v>40269.599999999999</v>
      </c>
      <c r="S6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122">
        <f ca="1">+IF(PROVEEDORES[[#This Row],[FECHA DE PAGO]]=0,TODAY()-PROVEEDORES[[#This Row],[FECHA DE FACTURACIÓN]]-PROVEEDORES[[#This Row],[PLAZO Días]],0)</f>
        <v>0</v>
      </c>
      <c r="U68" s="122" t="str">
        <f>+VLOOKUP(PROVEEDORES[[#This Row],[PROVEEDOR]],Terceros!$A:$D,4,FALSE)</f>
        <v>2,5% con base</v>
      </c>
      <c r="V68" s="122">
        <f>+YEAR(PROVEEDORES[[#This Row],[FECHA DE FACTURACIÓN]])</f>
        <v>2024</v>
      </c>
      <c r="W68" s="122">
        <f>+MATCH(PROVEEDORES[[#This Row],[año facturado]],Retenciones!$1:$1,0)</f>
        <v>3</v>
      </c>
      <c r="X68" s="123">
        <f>+VLOOKUP(PROVEEDORES[[#This Row],[ID RETENCION]],Retenciones!$A$1:$K$25,PROVEEDORES[[#This Row],[indicador de columna]],FALSE)</f>
        <v>1271000</v>
      </c>
      <c r="Y68" s="124">
        <f>+VLOOKUP(PROVEEDORES[[#This Row],[ID RETENCION]],Retenciones!$A$1:$K$25,2,FALSE)</f>
        <v>2.5000000000000001E-2</v>
      </c>
      <c r="Z68" s="125" t="b">
        <f>+OR(COUNTIF(PROVEEDORES[[#This Row],[PROVEEDOR]],"*"&amp;'Palabra que no opera y Listas d'!$A$2&amp;"*"))</f>
        <v>0</v>
      </c>
    </row>
    <row r="69" spans="1:26" ht="27.75" customHeight="1" x14ac:dyDescent="0.25">
      <c r="A69" s="112" t="str">
        <f>+IF(PROVEEDORES[[#This Row],[FECHA DE PAGO]]=PROVEEDORES[[#This Row],[FECHA DE FACTURACIÓN]],"DE CONTADO","CRÉDITO")</f>
        <v>CRÉDITO</v>
      </c>
      <c r="B69" s="112" t="b">
        <f>+IF((PROVEEDORES[[#This Row],[FECHA DE PAGO]]-PROVEEDORES[[#This Row],[FECHA DE FACTURACIÓN]])&gt;PROVEEDORES[[#This Row],[PLAZO Días]],"PAGO VENCIDO")</f>
        <v>0</v>
      </c>
      <c r="C69" s="112">
        <f>+VLOOKUP(PROVEEDORES[[#This Row],[PROVEEDOR]],TERCEROS_INFO[#All],2,FALSE)</f>
        <v>60</v>
      </c>
      <c r="D69" s="113">
        <f>+SUMIFS(PROVEEDORES[Total],PROVEEDORES[PROVEEDOR],PROVEEDORES[[#This Row],[PROVEEDOR]],PROVEEDORES[FECHA DE PAGO],"")</f>
        <v>0</v>
      </c>
      <c r="E69" s="114"/>
      <c r="F69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69" s="115">
        <v>45617</v>
      </c>
      <c r="H69" s="116" t="s">
        <v>106</v>
      </c>
      <c r="I69" s="115">
        <v>45589</v>
      </c>
      <c r="J69" s="117">
        <v>2194</v>
      </c>
      <c r="K69" s="117" t="s">
        <v>210</v>
      </c>
      <c r="L69" s="117" t="s">
        <v>259</v>
      </c>
      <c r="M69" s="118">
        <v>650016</v>
      </c>
      <c r="N69" s="119"/>
      <c r="O69" s="119">
        <v>0</v>
      </c>
      <c r="P69" s="120">
        <v>0</v>
      </c>
      <c r="Q69" s="119">
        <v>0</v>
      </c>
      <c r="R69" s="121">
        <v>650016</v>
      </c>
      <c r="S6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122">
        <f ca="1">+IF(PROVEEDORES[[#This Row],[FECHA DE PAGO]]=0,TODAY()-PROVEEDORES[[#This Row],[FECHA DE FACTURACIÓN]]-PROVEEDORES[[#This Row],[PLAZO Días]],0)</f>
        <v>0</v>
      </c>
      <c r="U69" s="122">
        <f>+VLOOKUP(PROVEEDORES[[#This Row],[PROVEEDOR]],Terceros!$A:$D,4,FALSE)</f>
        <v>0</v>
      </c>
      <c r="V69" s="122">
        <f>+YEAR(PROVEEDORES[[#This Row],[FECHA DE FACTURACIÓN]])</f>
        <v>2024</v>
      </c>
      <c r="W69" s="122">
        <f>+MATCH(PROVEEDORES[[#This Row],[año facturado]],Retenciones!$1:$1,0)</f>
        <v>3</v>
      </c>
      <c r="X69" s="123">
        <f>+VLOOKUP(PROVEEDORES[[#This Row],[ID RETENCION]],Retenciones!$A$1:$K$25,PROVEEDORES[[#This Row],[indicador de columna]],FALSE)</f>
        <v>0</v>
      </c>
      <c r="Y69" s="124">
        <f>+VLOOKUP(PROVEEDORES[[#This Row],[ID RETENCION]],Retenciones!$A$1:$K$25,2,FALSE)</f>
        <v>0</v>
      </c>
      <c r="Z69" s="125" t="b">
        <f>+OR(COUNTIF(PROVEEDORES[[#This Row],[PROVEEDOR]],"*"&amp;'Palabra que no opera y Listas d'!$A$2&amp;"*"))</f>
        <v>0</v>
      </c>
    </row>
    <row r="70" spans="1:26" ht="27.75" customHeight="1" x14ac:dyDescent="0.25">
      <c r="A70" s="112" t="str">
        <f>+IF(PROVEEDORES[[#This Row],[FECHA DE PAGO]]=PROVEEDORES[[#This Row],[FECHA DE FACTURACIÓN]],"DE CONTADO","CRÉDITO")</f>
        <v>CRÉDITO</v>
      </c>
      <c r="B70" s="112" t="b">
        <f>+IF((PROVEEDORES[[#This Row],[FECHA DE PAGO]]-PROVEEDORES[[#This Row],[FECHA DE FACTURACIÓN]])&gt;PROVEEDORES[[#This Row],[PLAZO Días]],"PAGO VENCIDO")</f>
        <v>0</v>
      </c>
      <c r="C70" s="112">
        <f>+VLOOKUP(PROVEEDORES[[#This Row],[PROVEEDOR]],TERCEROS_INFO[#All],2,FALSE)</f>
        <v>60</v>
      </c>
      <c r="D70" s="113">
        <f>+SUMIFS(PROVEEDORES[Total],PROVEEDORES[PROVEEDOR],PROVEEDORES[[#This Row],[PROVEEDOR]],PROVEEDORES[FECHA DE PAGO],"")</f>
        <v>0</v>
      </c>
      <c r="E70" s="114"/>
      <c r="F70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0" s="115">
        <v>45617</v>
      </c>
      <c r="H70" s="116" t="s">
        <v>106</v>
      </c>
      <c r="I70" s="115">
        <v>45589</v>
      </c>
      <c r="J70" s="117">
        <v>2196</v>
      </c>
      <c r="K70" s="117" t="s">
        <v>210</v>
      </c>
      <c r="L70" s="117" t="s">
        <v>259</v>
      </c>
      <c r="M70" s="118">
        <v>193248</v>
      </c>
      <c r="N70" s="119"/>
      <c r="O70" s="119">
        <v>0</v>
      </c>
      <c r="P70" s="120">
        <v>0</v>
      </c>
      <c r="Q70" s="119">
        <v>0</v>
      </c>
      <c r="R70" s="121">
        <v>193248</v>
      </c>
      <c r="S7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122">
        <f ca="1">+IF(PROVEEDORES[[#This Row],[FECHA DE PAGO]]=0,TODAY()-PROVEEDORES[[#This Row],[FECHA DE FACTURACIÓN]]-PROVEEDORES[[#This Row],[PLAZO Días]],0)</f>
        <v>0</v>
      </c>
      <c r="U70" s="122">
        <f>+VLOOKUP(PROVEEDORES[[#This Row],[PROVEEDOR]],Terceros!$A:$D,4,FALSE)</f>
        <v>0</v>
      </c>
      <c r="V70" s="122">
        <f>+YEAR(PROVEEDORES[[#This Row],[FECHA DE FACTURACIÓN]])</f>
        <v>2024</v>
      </c>
      <c r="W70" s="122">
        <f>+MATCH(PROVEEDORES[[#This Row],[año facturado]],Retenciones!$1:$1,0)</f>
        <v>3</v>
      </c>
      <c r="X70" s="123">
        <f>+VLOOKUP(PROVEEDORES[[#This Row],[ID RETENCION]],Retenciones!$A$1:$K$25,PROVEEDORES[[#This Row],[indicador de columna]],FALSE)</f>
        <v>0</v>
      </c>
      <c r="Y70" s="124">
        <f>+VLOOKUP(PROVEEDORES[[#This Row],[ID RETENCION]],Retenciones!$A$1:$K$25,2,FALSE)</f>
        <v>0</v>
      </c>
      <c r="Z70" s="125" t="b">
        <f>+OR(COUNTIF(PROVEEDORES[[#This Row],[PROVEEDOR]],"*"&amp;'Palabra que no opera y Listas d'!$A$2&amp;"*"))</f>
        <v>0</v>
      </c>
    </row>
    <row r="71" spans="1:26" ht="27.75" customHeight="1" x14ac:dyDescent="0.25">
      <c r="A71" s="112" t="str">
        <f>+IF(PROVEEDORES[[#This Row],[FECHA DE PAGO]]=PROVEEDORES[[#This Row],[FECHA DE FACTURACIÓN]],"DE CONTADO","CRÉDITO")</f>
        <v>CRÉDITO</v>
      </c>
      <c r="B71" s="112" t="b">
        <f>+IF((PROVEEDORES[[#This Row],[FECHA DE PAGO]]-PROVEEDORES[[#This Row],[FECHA DE FACTURACIÓN]])&gt;PROVEEDORES[[#This Row],[PLAZO Días]],"PAGO VENCIDO")</f>
        <v>0</v>
      </c>
      <c r="C71" s="112">
        <f>+VLOOKUP(PROVEEDORES[[#This Row],[PROVEEDOR]],TERCEROS_INFO[#All],2,FALSE)</f>
        <v>30</v>
      </c>
      <c r="D71" s="113">
        <f>+SUMIFS(PROVEEDORES[Total],PROVEEDORES[PROVEEDOR],PROVEEDORES[[#This Row],[PROVEEDOR]],PROVEEDORES[FECHA DE PAGO],"")</f>
        <v>3651240.11</v>
      </c>
      <c r="E71" s="114"/>
      <c r="F71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71" s="115">
        <v>45617</v>
      </c>
      <c r="H71" s="116" t="s">
        <v>243</v>
      </c>
      <c r="I71" s="115">
        <v>45595</v>
      </c>
      <c r="J71" s="117" t="s">
        <v>722</v>
      </c>
      <c r="K71" s="117" t="s">
        <v>256</v>
      </c>
      <c r="L71" s="117" t="s">
        <v>258</v>
      </c>
      <c r="M71" s="118">
        <v>220116</v>
      </c>
      <c r="N71" s="119">
        <v>41822.04</v>
      </c>
      <c r="O71" s="119">
        <v>0</v>
      </c>
      <c r="P71" s="120">
        <v>0</v>
      </c>
      <c r="Q71" s="119">
        <v>0</v>
      </c>
      <c r="R71" s="121">
        <v>261938.04</v>
      </c>
      <c r="S7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122">
        <f ca="1">+IF(PROVEEDORES[[#This Row],[FECHA DE PAGO]]=0,TODAY()-PROVEEDORES[[#This Row],[FECHA DE FACTURACIÓN]]-PROVEEDORES[[#This Row],[PLAZO Días]],0)</f>
        <v>0</v>
      </c>
      <c r="U71" s="122" t="str">
        <f>+VLOOKUP(PROVEEDORES[[#This Row],[PROVEEDOR]],Terceros!$A:$D,4,FALSE)</f>
        <v>2,5% con base</v>
      </c>
      <c r="V71" s="122">
        <f>+YEAR(PROVEEDORES[[#This Row],[FECHA DE FACTURACIÓN]])</f>
        <v>2024</v>
      </c>
      <c r="W71" s="122">
        <f>+MATCH(PROVEEDORES[[#This Row],[año facturado]],Retenciones!$1:$1,0)</f>
        <v>3</v>
      </c>
      <c r="X71" s="123">
        <f>+VLOOKUP(PROVEEDORES[[#This Row],[ID RETENCION]],Retenciones!$A$1:$K$25,PROVEEDORES[[#This Row],[indicador de columna]],FALSE)</f>
        <v>1271000</v>
      </c>
      <c r="Y71" s="124">
        <f>+VLOOKUP(PROVEEDORES[[#This Row],[ID RETENCION]],Retenciones!$A$1:$K$25,2,FALSE)</f>
        <v>2.5000000000000001E-2</v>
      </c>
      <c r="Z71" s="125" t="b">
        <f>+OR(COUNTIF(PROVEEDORES[[#This Row],[PROVEEDOR]],"*"&amp;'Palabra que no opera y Listas d'!$A$2&amp;"*"))</f>
        <v>0</v>
      </c>
    </row>
    <row r="72" spans="1:26" ht="27.75" customHeight="1" x14ac:dyDescent="0.25">
      <c r="A72" s="112" t="str">
        <f>+IF(PROVEEDORES[[#This Row],[FECHA DE PAGO]]=PROVEEDORES[[#This Row],[FECHA DE FACTURACIÓN]],"DE CONTADO","CRÉDITO")</f>
        <v>CRÉDITO</v>
      </c>
      <c r="B72" s="112" t="b">
        <f>+IF((PROVEEDORES[[#This Row],[FECHA DE PAGO]]-PROVEEDORES[[#This Row],[FECHA DE FACTURACIÓN]])&gt;PROVEEDORES[[#This Row],[PLAZO Días]],"PAGO VENCIDO")</f>
        <v>0</v>
      </c>
      <c r="C72" s="112">
        <f>+VLOOKUP(PROVEEDORES[[#This Row],[PROVEEDOR]],TERCEROS_INFO[#All],2,FALSE)</f>
        <v>30</v>
      </c>
      <c r="D72" s="113">
        <f>+SUMIFS(PROVEEDORES[Total],PROVEEDORES[PROVEEDOR],PROVEEDORES[[#This Row],[PROVEEDOR]],PROVEEDORES[FECHA DE PAGO],"")</f>
        <v>0</v>
      </c>
      <c r="E72" s="114"/>
      <c r="F72" s="112">
        <f>+VLOOKUP(PROVEEDORES[[#This Row],[PROVEEDOR]],
                       Terceros!$A:$F,
                       5,
                       FALSE)</f>
        <v>0</v>
      </c>
      <c r="G72" s="115">
        <v>45617</v>
      </c>
      <c r="H72" s="116" t="s">
        <v>723</v>
      </c>
      <c r="I72" s="115">
        <v>45597</v>
      </c>
      <c r="J72" s="117" t="s">
        <v>724</v>
      </c>
      <c r="K72" s="117" t="s">
        <v>256</v>
      </c>
      <c r="L72" s="117" t="s">
        <v>234</v>
      </c>
      <c r="M72" s="118">
        <v>978000</v>
      </c>
      <c r="N72" s="119"/>
      <c r="O72" s="119">
        <v>0</v>
      </c>
      <c r="P72" s="120">
        <v>0</v>
      </c>
      <c r="Q72" s="119">
        <v>0</v>
      </c>
      <c r="R72" s="121">
        <v>978000</v>
      </c>
      <c r="S7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122">
        <f ca="1">+IF(PROVEEDORES[[#This Row],[FECHA DE PAGO]]=0,TODAY()-PROVEEDORES[[#This Row],[FECHA DE FACTURACIÓN]]-PROVEEDORES[[#This Row],[PLAZO Días]],0)</f>
        <v>0</v>
      </c>
      <c r="U72" s="122">
        <f>+VLOOKUP(PROVEEDORES[[#This Row],[PROVEEDOR]],Terceros!$A:$D,4,FALSE)</f>
        <v>0</v>
      </c>
      <c r="V72" s="122">
        <f>+YEAR(PROVEEDORES[[#This Row],[FECHA DE FACTURACIÓN]])</f>
        <v>2024</v>
      </c>
      <c r="W72" s="122">
        <f>+MATCH(PROVEEDORES[[#This Row],[año facturado]],Retenciones!$1:$1,0)</f>
        <v>3</v>
      </c>
      <c r="X72" s="123">
        <f>+VLOOKUP(PROVEEDORES[[#This Row],[ID RETENCION]],Retenciones!$A$1:$K$25,PROVEEDORES[[#This Row],[indicador de columna]],FALSE)</f>
        <v>0</v>
      </c>
      <c r="Y72" s="124">
        <f>+VLOOKUP(PROVEEDORES[[#This Row],[ID RETENCION]],Retenciones!$A$1:$K$25,2,FALSE)</f>
        <v>0</v>
      </c>
      <c r="Z72" s="125" t="b">
        <f>+OR(COUNTIF(PROVEEDORES[[#This Row],[PROVEEDOR]],"*"&amp;'Palabra que no opera y Listas d'!$A$2&amp;"*"))</f>
        <v>0</v>
      </c>
    </row>
    <row r="73" spans="1:26" ht="27.75" customHeight="1" x14ac:dyDescent="0.25">
      <c r="A73" s="112" t="str">
        <f>+IF(PROVEEDORES[[#This Row],[FECHA DE PAGO]]=PROVEEDORES[[#This Row],[FECHA DE FACTURACIÓN]],"DE CONTADO","CRÉDITO")</f>
        <v>CRÉDITO</v>
      </c>
      <c r="B73" s="112" t="b">
        <f>+IF((PROVEEDORES[[#This Row],[FECHA DE PAGO]]-PROVEEDORES[[#This Row],[FECHA DE FACTURACIÓN]])&gt;PROVEEDORES[[#This Row],[PLAZO Días]],"PAGO VENCIDO")</f>
        <v>0</v>
      </c>
      <c r="C73" s="112">
        <f>+VLOOKUP(PROVEEDORES[[#This Row],[PROVEEDOR]],TERCEROS_INFO[#All],2,FALSE)</f>
        <v>30</v>
      </c>
      <c r="D73" s="113">
        <f>+SUMIFS(PROVEEDORES[Total],PROVEEDORES[PROVEEDOR],PROVEEDORES[[#This Row],[PROVEEDOR]],PROVEEDORES[FECHA DE PAGO],"")</f>
        <v>0</v>
      </c>
      <c r="E73" s="114"/>
      <c r="F73" s="112" t="str">
        <f>+VLOOKUP(PROVEEDORES[[#This Row],[PROVEEDOR]],
                       Terceros!$A:$F,
                       5,
                       FALSE)</f>
        <v/>
      </c>
      <c r="G73" s="115">
        <v>45617</v>
      </c>
      <c r="H73" s="116" t="s">
        <v>659</v>
      </c>
      <c r="I73" s="115">
        <v>45616</v>
      </c>
      <c r="J73" s="117" t="s">
        <v>725</v>
      </c>
      <c r="K73" s="117" t="s">
        <v>256</v>
      </c>
      <c r="L73" s="117" t="s">
        <v>234</v>
      </c>
      <c r="M73" s="118">
        <v>630000</v>
      </c>
      <c r="N73" s="119"/>
      <c r="O73" s="119">
        <v>0</v>
      </c>
      <c r="P73" s="120">
        <v>0</v>
      </c>
      <c r="Q73" s="119">
        <v>0</v>
      </c>
      <c r="R73" s="121">
        <v>630000</v>
      </c>
      <c r="S7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122">
        <f ca="1">+IF(PROVEEDORES[[#This Row],[FECHA DE PAGO]]=0,TODAY()-PROVEEDORES[[#This Row],[FECHA DE FACTURACIÓN]]-PROVEEDORES[[#This Row],[PLAZO Días]],0)</f>
        <v>0</v>
      </c>
      <c r="U73" s="122">
        <f>+VLOOKUP(PROVEEDORES[[#This Row],[PROVEEDOR]],Terceros!$A:$D,4,FALSE)</f>
        <v>0</v>
      </c>
      <c r="V73" s="122">
        <f>+YEAR(PROVEEDORES[[#This Row],[FECHA DE FACTURACIÓN]])</f>
        <v>2024</v>
      </c>
      <c r="W73" s="122">
        <f>+MATCH(PROVEEDORES[[#This Row],[año facturado]],Retenciones!$1:$1,0)</f>
        <v>3</v>
      </c>
      <c r="X73" s="123">
        <f>+VLOOKUP(PROVEEDORES[[#This Row],[ID RETENCION]],Retenciones!$A$1:$K$25,PROVEEDORES[[#This Row],[indicador de columna]],FALSE)</f>
        <v>0</v>
      </c>
      <c r="Y73" s="124">
        <f>+VLOOKUP(PROVEEDORES[[#This Row],[ID RETENCION]],Retenciones!$A$1:$K$25,2,FALSE)</f>
        <v>0</v>
      </c>
      <c r="Z73" s="125" t="b">
        <f>+OR(COUNTIF(PROVEEDORES[[#This Row],[PROVEEDOR]],"*"&amp;'Palabra que no opera y Listas d'!$A$2&amp;"*"))</f>
        <v>0</v>
      </c>
    </row>
    <row r="74" spans="1:26" ht="27.75" customHeight="1" x14ac:dyDescent="0.25">
      <c r="A74" s="112" t="str">
        <f>+IF(PROVEEDORES[[#This Row],[FECHA DE PAGO]]=PROVEEDORES[[#This Row],[FECHA DE FACTURACIÓN]],"DE CONTADO","CRÉDITO")</f>
        <v>CRÉDITO</v>
      </c>
      <c r="B74" s="112" t="b">
        <f>+IF((PROVEEDORES[[#This Row],[FECHA DE PAGO]]-PROVEEDORES[[#This Row],[FECHA DE FACTURACIÓN]])&gt;PROVEEDORES[[#This Row],[PLAZO Días]],"PAGO VENCIDO")</f>
        <v>0</v>
      </c>
      <c r="C74" s="112">
        <f>+VLOOKUP(PROVEEDORES[[#This Row],[PROVEEDOR]],TERCEROS_INFO[#All],2,FALSE)</f>
        <v>60</v>
      </c>
      <c r="D74" s="113">
        <f>+SUMIFS(PROVEEDORES[Total],PROVEEDORES[PROVEEDOR],PROVEEDORES[[#This Row],[PROVEEDOR]],PROVEEDORES[FECHA DE PAGO],"")</f>
        <v>0</v>
      </c>
      <c r="E74" s="114"/>
      <c r="F74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4" s="115">
        <v>45617</v>
      </c>
      <c r="H74" s="116" t="s">
        <v>106</v>
      </c>
      <c r="I74" s="115">
        <v>45616</v>
      </c>
      <c r="J74" s="117" t="s">
        <v>726</v>
      </c>
      <c r="K74" s="117" t="s">
        <v>210</v>
      </c>
      <c r="L74" s="117" t="s">
        <v>259</v>
      </c>
      <c r="M74" s="118">
        <v>1185840</v>
      </c>
      <c r="N74" s="119"/>
      <c r="O74" s="119">
        <v>0</v>
      </c>
      <c r="P74" s="120">
        <v>0</v>
      </c>
      <c r="Q74" s="119">
        <v>0</v>
      </c>
      <c r="R74" s="121">
        <v>1185840</v>
      </c>
      <c r="S7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122">
        <f ca="1">+IF(PROVEEDORES[[#This Row],[FECHA DE PAGO]]=0,TODAY()-PROVEEDORES[[#This Row],[FECHA DE FACTURACIÓN]]-PROVEEDORES[[#This Row],[PLAZO Días]],0)</f>
        <v>0</v>
      </c>
      <c r="U74" s="122">
        <f>+VLOOKUP(PROVEEDORES[[#This Row],[PROVEEDOR]],Terceros!$A:$D,4,FALSE)</f>
        <v>0</v>
      </c>
      <c r="V74" s="122">
        <f>+YEAR(PROVEEDORES[[#This Row],[FECHA DE FACTURACIÓN]])</f>
        <v>2024</v>
      </c>
      <c r="W74" s="122">
        <f>+MATCH(PROVEEDORES[[#This Row],[año facturado]],Retenciones!$1:$1,0)</f>
        <v>3</v>
      </c>
      <c r="X74" s="123">
        <f>+VLOOKUP(PROVEEDORES[[#This Row],[ID RETENCION]],Retenciones!$A$1:$K$25,PROVEEDORES[[#This Row],[indicador de columna]],FALSE)</f>
        <v>0</v>
      </c>
      <c r="Y74" s="124">
        <f>+VLOOKUP(PROVEEDORES[[#This Row],[ID RETENCION]],Retenciones!$A$1:$K$25,2,FALSE)</f>
        <v>0</v>
      </c>
      <c r="Z74" s="125" t="b">
        <f>+OR(COUNTIF(PROVEEDORES[[#This Row],[PROVEEDOR]],"*"&amp;'Palabra que no opera y Listas d'!$A$2&amp;"*"))</f>
        <v>0</v>
      </c>
    </row>
    <row r="75" spans="1:26" ht="27.75" customHeight="1" x14ac:dyDescent="0.25">
      <c r="A75" s="112" t="str">
        <f>+IF(PROVEEDORES[[#This Row],[FECHA DE PAGO]]=PROVEEDORES[[#This Row],[FECHA DE FACTURACIÓN]],"DE CONTADO","CRÉDITO")</f>
        <v>CRÉDITO</v>
      </c>
      <c r="B75" s="112" t="b">
        <f>+IF((PROVEEDORES[[#This Row],[FECHA DE PAGO]]-PROVEEDORES[[#This Row],[FECHA DE FACTURACIÓN]])&gt;PROVEEDORES[[#This Row],[PLAZO Días]],"PAGO VENCIDO")</f>
        <v>0</v>
      </c>
      <c r="C75" s="112">
        <f>+VLOOKUP(PROVEEDORES[[#This Row],[PROVEEDOR]],TERCEROS_INFO[#All],2,FALSE)</f>
        <v>30</v>
      </c>
      <c r="D75" s="113">
        <f>+SUMIFS(PROVEEDORES[Total],PROVEEDORES[PROVEEDOR],PROVEEDORES[[#This Row],[PROVEEDOR]],PROVEEDORES[FECHA DE PAGO],"")</f>
        <v>0</v>
      </c>
      <c r="E75" s="114"/>
      <c r="F75" s="112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75" s="115">
        <v>45618</v>
      </c>
      <c r="H75" s="116" t="s">
        <v>166</v>
      </c>
      <c r="I75" s="115">
        <v>45597</v>
      </c>
      <c r="J75" s="117" t="s">
        <v>727</v>
      </c>
      <c r="K75" s="117" t="s">
        <v>210</v>
      </c>
      <c r="L75" s="117" t="s">
        <v>259</v>
      </c>
      <c r="M75" s="118">
        <v>3847000</v>
      </c>
      <c r="N75" s="119"/>
      <c r="O75" s="119">
        <v>0</v>
      </c>
      <c r="P75" s="120">
        <v>3.5000000000000003E-2</v>
      </c>
      <c r="Q75" s="119">
        <v>134645</v>
      </c>
      <c r="R75" s="121">
        <v>3712355</v>
      </c>
      <c r="S7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122">
        <f ca="1">+IF(PROVEEDORES[[#This Row],[FECHA DE PAGO]]=0,TODAY()-PROVEEDORES[[#This Row],[FECHA DE FACTURACIÓN]]-PROVEEDORES[[#This Row],[PLAZO Días]],0)</f>
        <v>0</v>
      </c>
      <c r="U75" s="122" t="str">
        <f>+VLOOKUP(PROVEEDORES[[#This Row],[PROVEEDOR]],Terceros!$A:$D,4,FALSE)</f>
        <v>3,5% sin base</v>
      </c>
      <c r="V75" s="122">
        <f>+YEAR(PROVEEDORES[[#This Row],[FECHA DE FACTURACIÓN]])</f>
        <v>2024</v>
      </c>
      <c r="W75" s="122">
        <f>+MATCH(PROVEEDORES[[#This Row],[año facturado]],Retenciones!$1:$1,0)</f>
        <v>3</v>
      </c>
      <c r="X75" s="123">
        <f>+VLOOKUP(PROVEEDORES[[#This Row],[ID RETENCION]],Retenciones!$A$1:$K$25,PROVEEDORES[[#This Row],[indicador de columna]],FALSE)</f>
        <v>0</v>
      </c>
      <c r="Y75" s="124">
        <f>+VLOOKUP(PROVEEDORES[[#This Row],[ID RETENCION]],Retenciones!$A$1:$K$25,2,FALSE)</f>
        <v>3.5000000000000003E-2</v>
      </c>
      <c r="Z75" s="125" t="b">
        <f>+OR(COUNTIF(PROVEEDORES[[#This Row],[PROVEEDOR]],"*"&amp;'Palabra que no opera y Listas d'!$A$2&amp;"*"))</f>
        <v>1</v>
      </c>
    </row>
    <row r="76" spans="1:26" ht="27.75" customHeight="1" x14ac:dyDescent="0.25">
      <c r="A76" s="112" t="str">
        <f>+IF(PROVEEDORES[[#This Row],[FECHA DE PAGO]]=PROVEEDORES[[#This Row],[FECHA DE FACTURACIÓN]],"DE CONTADO","CRÉDITO")</f>
        <v>CRÉDITO</v>
      </c>
      <c r="B76" s="112" t="b">
        <f>+IF((PROVEEDORES[[#This Row],[FECHA DE PAGO]]-PROVEEDORES[[#This Row],[FECHA DE FACTURACIÓN]])&gt;PROVEEDORES[[#This Row],[PLAZO Días]],"PAGO VENCIDO")</f>
        <v>0</v>
      </c>
      <c r="C76" s="112">
        <f>+VLOOKUP(PROVEEDORES[[#This Row],[PROVEEDOR]],TERCEROS_INFO[#All],2,FALSE)</f>
        <v>30</v>
      </c>
      <c r="D76" s="113">
        <f>+SUMIFS(PROVEEDORES[Total],PROVEEDORES[PROVEEDOR],PROVEEDORES[[#This Row],[PROVEEDOR]],PROVEEDORES[FECHA DE PAGO],"")</f>
        <v>0</v>
      </c>
      <c r="E76" s="114"/>
      <c r="F76" s="112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76" s="115">
        <v>45618</v>
      </c>
      <c r="H76" s="116" t="s">
        <v>167</v>
      </c>
      <c r="I76" s="115">
        <v>45597</v>
      </c>
      <c r="J76" s="117" t="s">
        <v>728</v>
      </c>
      <c r="K76" s="117" t="s">
        <v>256</v>
      </c>
      <c r="L76" s="117" t="s">
        <v>258</v>
      </c>
      <c r="M76" s="118">
        <v>983592</v>
      </c>
      <c r="N76" s="119"/>
      <c r="O76" s="119">
        <v>0</v>
      </c>
      <c r="P76" s="120">
        <v>0</v>
      </c>
      <c r="Q76" s="119">
        <v>0</v>
      </c>
      <c r="R76" s="121">
        <v>983592</v>
      </c>
      <c r="S7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122">
        <f ca="1">+IF(PROVEEDORES[[#This Row],[FECHA DE PAGO]]=0,TODAY()-PROVEEDORES[[#This Row],[FECHA DE FACTURACIÓN]]-PROVEEDORES[[#This Row],[PLAZO Días]],0)</f>
        <v>0</v>
      </c>
      <c r="U76" s="122">
        <f>+VLOOKUP(PROVEEDORES[[#This Row],[PROVEEDOR]],Terceros!$A:$D,4,FALSE)</f>
        <v>0</v>
      </c>
      <c r="V76" s="122">
        <f>+YEAR(PROVEEDORES[[#This Row],[FECHA DE FACTURACIÓN]])</f>
        <v>2024</v>
      </c>
      <c r="W76" s="122">
        <f>+MATCH(PROVEEDORES[[#This Row],[año facturado]],Retenciones!$1:$1,0)</f>
        <v>3</v>
      </c>
      <c r="X76" s="123">
        <f>+VLOOKUP(PROVEEDORES[[#This Row],[ID RETENCION]],Retenciones!$A$1:$K$25,PROVEEDORES[[#This Row],[indicador de columna]],FALSE)</f>
        <v>0</v>
      </c>
      <c r="Y76" s="124">
        <f>+VLOOKUP(PROVEEDORES[[#This Row],[ID RETENCION]],Retenciones!$A$1:$K$25,2,FALSE)</f>
        <v>0</v>
      </c>
      <c r="Z76" s="125" t="b">
        <f>+OR(COUNTIF(PROVEEDORES[[#This Row],[PROVEEDOR]],"*"&amp;'Palabra que no opera y Listas d'!$A$2&amp;"*"))</f>
        <v>1</v>
      </c>
    </row>
    <row r="77" spans="1:26" ht="27.75" customHeight="1" x14ac:dyDescent="0.25">
      <c r="A77" s="112" t="str">
        <f>+IF(PROVEEDORES[[#This Row],[FECHA DE PAGO]]=PROVEEDORES[[#This Row],[FECHA DE FACTURACIÓN]],"DE CONTADO","CRÉDITO")</f>
        <v>CRÉDITO</v>
      </c>
      <c r="B77" s="112" t="b">
        <f>+IF((PROVEEDORES[[#This Row],[FECHA DE PAGO]]-PROVEEDORES[[#This Row],[FECHA DE FACTURACIÓN]])&gt;PROVEEDORES[[#This Row],[PLAZO Días]],"PAGO VENCIDO")</f>
        <v>0</v>
      </c>
      <c r="C77" s="112">
        <f>+VLOOKUP(PROVEEDORES[[#This Row],[PROVEEDOR]],TERCEROS_INFO[#All],2,FALSE)</f>
        <v>30</v>
      </c>
      <c r="D77" s="113">
        <f>+SUMIFS(PROVEEDORES[Total],PROVEEDORES[PROVEEDOR],PROVEEDORES[[#This Row],[PROVEEDOR]],PROVEEDORES[FECHA DE PAGO],"")</f>
        <v>0</v>
      </c>
      <c r="E77" s="114"/>
      <c r="F77" s="112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77" s="115">
        <v>45618</v>
      </c>
      <c r="H77" s="116" t="s">
        <v>167</v>
      </c>
      <c r="I77" s="115">
        <v>45597</v>
      </c>
      <c r="J77" s="117" t="s">
        <v>729</v>
      </c>
      <c r="K77" s="117" t="s">
        <v>256</v>
      </c>
      <c r="L77" s="117" t="s">
        <v>258</v>
      </c>
      <c r="M77" s="118">
        <v>1005480</v>
      </c>
      <c r="N77" s="119"/>
      <c r="O77" s="119">
        <v>0</v>
      </c>
      <c r="P77" s="120">
        <v>0</v>
      </c>
      <c r="Q77" s="119">
        <v>0</v>
      </c>
      <c r="R77" s="121">
        <v>1005480</v>
      </c>
      <c r="S7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122">
        <f ca="1">+IF(PROVEEDORES[[#This Row],[FECHA DE PAGO]]=0,TODAY()-PROVEEDORES[[#This Row],[FECHA DE FACTURACIÓN]]-PROVEEDORES[[#This Row],[PLAZO Días]],0)</f>
        <v>0</v>
      </c>
      <c r="U77" s="122">
        <f>+VLOOKUP(PROVEEDORES[[#This Row],[PROVEEDOR]],Terceros!$A:$D,4,FALSE)</f>
        <v>0</v>
      </c>
      <c r="V77" s="122">
        <f>+YEAR(PROVEEDORES[[#This Row],[FECHA DE FACTURACIÓN]])</f>
        <v>2024</v>
      </c>
      <c r="W77" s="122">
        <f>+MATCH(PROVEEDORES[[#This Row],[año facturado]],Retenciones!$1:$1,0)</f>
        <v>3</v>
      </c>
      <c r="X77" s="123">
        <f>+VLOOKUP(PROVEEDORES[[#This Row],[ID RETENCION]],Retenciones!$A$1:$K$25,PROVEEDORES[[#This Row],[indicador de columna]],FALSE)</f>
        <v>0</v>
      </c>
      <c r="Y77" s="124">
        <f>+VLOOKUP(PROVEEDORES[[#This Row],[ID RETENCION]],Retenciones!$A$1:$K$25,2,FALSE)</f>
        <v>0</v>
      </c>
      <c r="Z77" s="125" t="b">
        <f>+OR(COUNTIF(PROVEEDORES[[#This Row],[PROVEEDOR]],"*"&amp;'Palabra que no opera y Listas d'!$A$2&amp;"*"))</f>
        <v>1</v>
      </c>
    </row>
    <row r="78" spans="1:26" ht="27.75" customHeight="1" x14ac:dyDescent="0.25">
      <c r="A78" s="112" t="str">
        <f>+IF(PROVEEDORES[[#This Row],[FECHA DE PAGO]]=PROVEEDORES[[#This Row],[FECHA DE FACTURACIÓN]],"DE CONTADO","CRÉDITO")</f>
        <v>DE CONTADO</v>
      </c>
      <c r="B78" s="112" t="b">
        <f>+IF((PROVEEDORES[[#This Row],[FECHA DE PAGO]]-PROVEEDORES[[#This Row],[FECHA DE FACTURACIÓN]])&gt;PROVEEDORES[[#This Row],[PLAZO Días]],"PAGO VENCIDO")</f>
        <v>0</v>
      </c>
      <c r="C78" s="112">
        <f>+VLOOKUP(PROVEEDORES[[#This Row],[PROVEEDOR]],TERCEROS_INFO[#All],2,FALSE)</f>
        <v>30</v>
      </c>
      <c r="D78" s="113">
        <f>+SUMIFS(PROVEEDORES[Total],PROVEEDORES[PROVEEDOR],PROVEEDORES[[#This Row],[PROVEEDOR]],PROVEEDORES[FECHA DE PAGO],"")</f>
        <v>0</v>
      </c>
      <c r="E78" s="114"/>
      <c r="F78" s="112" t="str">
        <f>+VLOOKUP(PROVEEDORES[[#This Row],[PROVEEDOR]],
                       Terceros!$A:$F,
                       5,
                       FALSE)</f>
        <v/>
      </c>
      <c r="G78" s="115">
        <v>45618</v>
      </c>
      <c r="H78" s="116" t="s">
        <v>662</v>
      </c>
      <c r="I78" s="115">
        <v>45618</v>
      </c>
      <c r="J78" s="117" t="s">
        <v>730</v>
      </c>
      <c r="K78" s="117" t="s">
        <v>256</v>
      </c>
      <c r="L78" s="117" t="s">
        <v>234</v>
      </c>
      <c r="M78" s="118">
        <v>5000000</v>
      </c>
      <c r="N78" s="119"/>
      <c r="O78" s="119">
        <v>0</v>
      </c>
      <c r="P78" s="120">
        <v>0</v>
      </c>
      <c r="Q78" s="119">
        <v>0</v>
      </c>
      <c r="R78" s="121">
        <v>5000000</v>
      </c>
      <c r="S7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122">
        <f ca="1">+IF(PROVEEDORES[[#This Row],[FECHA DE PAGO]]=0,TODAY()-PROVEEDORES[[#This Row],[FECHA DE FACTURACIÓN]]-PROVEEDORES[[#This Row],[PLAZO Días]],0)</f>
        <v>0</v>
      </c>
      <c r="U78" s="122">
        <f>+VLOOKUP(PROVEEDORES[[#This Row],[PROVEEDOR]],Terceros!$A:$D,4,FALSE)</f>
        <v>0</v>
      </c>
      <c r="V78" s="122">
        <f>+YEAR(PROVEEDORES[[#This Row],[FECHA DE FACTURACIÓN]])</f>
        <v>2024</v>
      </c>
      <c r="W78" s="122">
        <f>+MATCH(PROVEEDORES[[#This Row],[año facturado]],Retenciones!$1:$1,0)</f>
        <v>3</v>
      </c>
      <c r="X78" s="123">
        <f>+VLOOKUP(PROVEEDORES[[#This Row],[ID RETENCION]],Retenciones!$A$1:$K$25,PROVEEDORES[[#This Row],[indicador de columna]],FALSE)</f>
        <v>0</v>
      </c>
      <c r="Y78" s="124">
        <f>+VLOOKUP(PROVEEDORES[[#This Row],[ID RETENCION]],Retenciones!$A$1:$K$25,2,FALSE)</f>
        <v>0</v>
      </c>
      <c r="Z78" s="125" t="b">
        <f>+OR(COUNTIF(PROVEEDORES[[#This Row],[PROVEEDOR]],"*"&amp;'Palabra que no opera y Listas d'!$A$2&amp;"*"))</f>
        <v>0</v>
      </c>
    </row>
    <row r="79" spans="1:26" ht="27.75" customHeight="1" x14ac:dyDescent="0.25">
      <c r="A79" s="112" t="str">
        <f>+IF(PROVEEDORES[[#This Row],[FECHA DE PAGO]]=PROVEEDORES[[#This Row],[FECHA DE FACTURACIÓN]],"DE CONTADO","CRÉDITO")</f>
        <v>DE CONTADO</v>
      </c>
      <c r="B79" s="112" t="b">
        <f>+IF((PROVEEDORES[[#This Row],[FECHA DE PAGO]]-PROVEEDORES[[#This Row],[FECHA DE FACTURACIÓN]])&gt;PROVEEDORES[[#This Row],[PLAZO Días]],"PAGO VENCIDO")</f>
        <v>0</v>
      </c>
      <c r="C79" s="112">
        <f>+VLOOKUP(PROVEEDORES[[#This Row],[PROVEEDOR]],TERCEROS_INFO[#All],2,FALSE)</f>
        <v>30</v>
      </c>
      <c r="D79" s="113">
        <f>+SUMIFS(PROVEEDORES[Total],PROVEEDORES[PROVEEDOR],PROVEEDORES[[#This Row],[PROVEEDOR]],PROVEEDORES[FECHA DE PAGO],"")</f>
        <v>0</v>
      </c>
      <c r="E79" s="114"/>
      <c r="F79" s="112" t="str">
        <f>+VLOOKUP(PROVEEDORES[[#This Row],[PROVEEDOR]],
                       Terceros!$A:$F,
                       5,
                       FALSE)</f>
        <v/>
      </c>
      <c r="G79" s="115">
        <v>45619</v>
      </c>
      <c r="H79" s="116" t="s">
        <v>659</v>
      </c>
      <c r="I79" s="115">
        <v>45619</v>
      </c>
      <c r="J79" s="117" t="s">
        <v>731</v>
      </c>
      <c r="K79" s="117" t="s">
        <v>256</v>
      </c>
      <c r="L79" s="117" t="s">
        <v>234</v>
      </c>
      <c r="M79" s="118">
        <v>600000</v>
      </c>
      <c r="N79" s="119"/>
      <c r="O79" s="119">
        <v>0</v>
      </c>
      <c r="P79" s="120">
        <v>0</v>
      </c>
      <c r="Q79" s="119">
        <v>0</v>
      </c>
      <c r="R79" s="121">
        <v>600000</v>
      </c>
      <c r="S7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122">
        <f ca="1">+IF(PROVEEDORES[[#This Row],[FECHA DE PAGO]]=0,TODAY()-PROVEEDORES[[#This Row],[FECHA DE FACTURACIÓN]]-PROVEEDORES[[#This Row],[PLAZO Días]],0)</f>
        <v>0</v>
      </c>
      <c r="U79" s="122">
        <f>+VLOOKUP(PROVEEDORES[[#This Row],[PROVEEDOR]],Terceros!$A:$D,4,FALSE)</f>
        <v>0</v>
      </c>
      <c r="V79" s="122">
        <f>+YEAR(PROVEEDORES[[#This Row],[FECHA DE FACTURACIÓN]])</f>
        <v>2024</v>
      </c>
      <c r="W79" s="122">
        <f>+MATCH(PROVEEDORES[[#This Row],[año facturado]],Retenciones!$1:$1,0)</f>
        <v>3</v>
      </c>
      <c r="X79" s="123">
        <f>+VLOOKUP(PROVEEDORES[[#This Row],[ID RETENCION]],Retenciones!$A$1:$K$25,PROVEEDORES[[#This Row],[indicador de columna]],FALSE)</f>
        <v>0</v>
      </c>
      <c r="Y79" s="124">
        <f>+VLOOKUP(PROVEEDORES[[#This Row],[ID RETENCION]],Retenciones!$A$1:$K$25,2,FALSE)</f>
        <v>0</v>
      </c>
      <c r="Z79" s="125" t="b">
        <f>+OR(COUNTIF(PROVEEDORES[[#This Row],[PROVEEDOR]],"*"&amp;'Palabra que no opera y Listas d'!$A$2&amp;"*"))</f>
        <v>0</v>
      </c>
    </row>
    <row r="80" spans="1:26" ht="27.75" customHeight="1" x14ac:dyDescent="0.25">
      <c r="A80" s="112" t="str">
        <f>+IF(PROVEEDORES[[#This Row],[FECHA DE PAGO]]=PROVEEDORES[[#This Row],[FECHA DE FACTURACIÓN]],"DE CONTADO","CRÉDITO")</f>
        <v>CRÉDITO</v>
      </c>
      <c r="B80" s="112" t="str">
        <f>+IF((PROVEEDORES[[#This Row],[FECHA DE PAGO]]-PROVEEDORES[[#This Row],[FECHA DE FACTURACIÓN]])&gt;PROVEEDORES[[#This Row],[PLAZO Días]],"PAGO VENCIDO")</f>
        <v>PAGO VENCIDO</v>
      </c>
      <c r="C80" s="112">
        <f>+VLOOKUP(PROVEEDORES[[#This Row],[PROVEEDOR]],TERCEROS_INFO[#All],2,FALSE)</f>
        <v>60</v>
      </c>
      <c r="D80" s="113">
        <f>+SUMIFS(PROVEEDORES[Total],PROVEEDORES[PROVEEDOR],PROVEEDORES[[#This Row],[PROVEEDOR]],PROVEEDORES[FECHA DE PAGO],"")</f>
        <v>1468167.95</v>
      </c>
      <c r="E80" s="114"/>
      <c r="F80" s="112" t="str">
        <f>+VLOOKUP(PROVEEDORES[[#This Row],[PROVEEDOR]],
                       Terceros!$A:$F,
                       5,
                       FALSE)</f>
        <v>wruiz@tsqsa.com;girlesa.ruiz@servipilas.com;joriescobar64@gmail.com</v>
      </c>
      <c r="G80" s="115">
        <v>45621</v>
      </c>
      <c r="H80" s="116" t="s">
        <v>28</v>
      </c>
      <c r="I80" s="115">
        <v>45560</v>
      </c>
      <c r="J80" s="117" t="s">
        <v>732</v>
      </c>
      <c r="K80" s="117" t="s">
        <v>256</v>
      </c>
      <c r="L80" s="117" t="s">
        <v>259</v>
      </c>
      <c r="M80" s="118">
        <v>39916800</v>
      </c>
      <c r="N80" s="119">
        <v>7584192</v>
      </c>
      <c r="O80" s="119">
        <v>0</v>
      </c>
      <c r="P80" s="120">
        <v>2.5000000000000001E-2</v>
      </c>
      <c r="Q80" s="119">
        <v>997920</v>
      </c>
      <c r="R80" s="121">
        <v>46503072</v>
      </c>
      <c r="S8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122">
        <f ca="1">+IF(PROVEEDORES[[#This Row],[FECHA DE PAGO]]=0,TODAY()-PROVEEDORES[[#This Row],[FECHA DE FACTURACIÓN]]-PROVEEDORES[[#This Row],[PLAZO Días]],0)</f>
        <v>0</v>
      </c>
      <c r="U80" s="122" t="str">
        <f>+VLOOKUP(PROVEEDORES[[#This Row],[PROVEEDOR]],Terceros!$A:$D,4,FALSE)</f>
        <v>2,5% con base</v>
      </c>
      <c r="V80" s="122">
        <f>+YEAR(PROVEEDORES[[#This Row],[FECHA DE FACTURACIÓN]])</f>
        <v>2024</v>
      </c>
      <c r="W80" s="122">
        <f>+MATCH(PROVEEDORES[[#This Row],[año facturado]],Retenciones!$1:$1,0)</f>
        <v>3</v>
      </c>
      <c r="X80" s="123">
        <f>+VLOOKUP(PROVEEDORES[[#This Row],[ID RETENCION]],Retenciones!$A$1:$K$25,PROVEEDORES[[#This Row],[indicador de columna]],FALSE)</f>
        <v>1271000</v>
      </c>
      <c r="Y80" s="124">
        <f>+VLOOKUP(PROVEEDORES[[#This Row],[ID RETENCION]],Retenciones!$A$1:$K$25,2,FALSE)</f>
        <v>2.5000000000000001E-2</v>
      </c>
      <c r="Z80" s="125" t="b">
        <f>+OR(COUNTIF(PROVEEDORES[[#This Row],[PROVEEDOR]],"*"&amp;'Palabra que no opera y Listas d'!$A$2&amp;"*"))</f>
        <v>0</v>
      </c>
    </row>
    <row r="81" spans="1:26" ht="27.75" customHeight="1" x14ac:dyDescent="0.25">
      <c r="A81" s="112" t="str">
        <f>+IF(PROVEEDORES[[#This Row],[FECHA DE PAGO]]=PROVEEDORES[[#This Row],[FECHA DE FACTURACIÓN]],"DE CONTADO","CRÉDITO")</f>
        <v>CRÉDITO</v>
      </c>
      <c r="B81" s="112" t="b">
        <f>+IF((PROVEEDORES[[#This Row],[FECHA DE PAGO]]-PROVEEDORES[[#This Row],[FECHA DE FACTURACIÓN]])&gt;PROVEEDORES[[#This Row],[PLAZO Días]],"PAGO VENCIDO")</f>
        <v>0</v>
      </c>
      <c r="C81" s="112">
        <f>+VLOOKUP(PROVEEDORES[[#This Row],[PROVEEDOR]],TERCEROS_INFO[#All],2,FALSE)</f>
        <v>30</v>
      </c>
      <c r="D81" s="113">
        <f>+SUMIFS(PROVEEDORES[Total],PROVEEDORES[PROVEEDOR],PROVEEDORES[[#This Row],[PROVEEDOR]],PROVEEDORES[FECHA DE PAGO],"")</f>
        <v>0</v>
      </c>
      <c r="E81" s="114"/>
      <c r="F81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1" s="115">
        <v>45621</v>
      </c>
      <c r="H81" s="116" t="s">
        <v>93</v>
      </c>
      <c r="I81" s="115">
        <v>45612</v>
      </c>
      <c r="J81" s="117" t="s">
        <v>733</v>
      </c>
      <c r="K81" s="117" t="s">
        <v>210</v>
      </c>
      <c r="L81" s="117" t="s">
        <v>259</v>
      </c>
      <c r="M81" s="118">
        <v>4769840</v>
      </c>
      <c r="N81" s="119">
        <v>906269.6</v>
      </c>
      <c r="O81" s="119">
        <v>870226</v>
      </c>
      <c r="P81" s="120">
        <v>0</v>
      </c>
      <c r="Q81" s="119">
        <v>0</v>
      </c>
      <c r="R81" s="121">
        <v>4805883.5999999996</v>
      </c>
      <c r="S8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122">
        <f ca="1">+IF(PROVEEDORES[[#This Row],[FECHA DE PAGO]]=0,TODAY()-PROVEEDORES[[#This Row],[FECHA DE FACTURACIÓN]]-PROVEEDORES[[#This Row],[PLAZO Días]],0)</f>
        <v>0</v>
      </c>
      <c r="U81" s="122">
        <f>+VLOOKUP(PROVEEDORES[[#This Row],[PROVEEDOR]],Terceros!$A:$D,4,FALSE)</f>
        <v>0</v>
      </c>
      <c r="V81" s="122">
        <f>+YEAR(PROVEEDORES[[#This Row],[FECHA DE FACTURACIÓN]])</f>
        <v>2024</v>
      </c>
      <c r="W81" s="122">
        <f>+MATCH(PROVEEDORES[[#This Row],[año facturado]],Retenciones!$1:$1,0)</f>
        <v>3</v>
      </c>
      <c r="X81" s="123">
        <f>+VLOOKUP(PROVEEDORES[[#This Row],[ID RETENCION]],Retenciones!$A$1:$K$25,PROVEEDORES[[#This Row],[indicador de columna]],FALSE)</f>
        <v>0</v>
      </c>
      <c r="Y81" s="124">
        <f>+VLOOKUP(PROVEEDORES[[#This Row],[ID RETENCION]],Retenciones!$A$1:$K$25,2,FALSE)</f>
        <v>0</v>
      </c>
      <c r="Z81" s="125" t="b">
        <f>+OR(COUNTIF(PROVEEDORES[[#This Row],[PROVEEDOR]],"*"&amp;'Palabra que no opera y Listas d'!$A$2&amp;"*"))</f>
        <v>0</v>
      </c>
    </row>
    <row r="82" spans="1:26" ht="27.75" customHeight="1" x14ac:dyDescent="0.25">
      <c r="A82" s="112" t="str">
        <f>+IF(PROVEEDORES[[#This Row],[FECHA DE PAGO]]=PROVEEDORES[[#This Row],[FECHA DE FACTURACIÓN]],"DE CONTADO","CRÉDITO")</f>
        <v>DE CONTADO</v>
      </c>
      <c r="B82" s="112" t="b">
        <f>+IF((PROVEEDORES[[#This Row],[FECHA DE PAGO]]-PROVEEDORES[[#This Row],[FECHA DE FACTURACIÓN]])&gt;PROVEEDORES[[#This Row],[PLAZO Días]],"PAGO VENCIDO")</f>
        <v>0</v>
      </c>
      <c r="C82" s="112">
        <f>+VLOOKUP(PROVEEDORES[[#This Row],[PROVEEDOR]],TERCEROS_INFO[#All],2,FALSE)</f>
        <v>30</v>
      </c>
      <c r="D82" s="113">
        <f>+SUMIFS(PROVEEDORES[Total],PROVEEDORES[PROVEEDOR],PROVEEDORES[[#This Row],[PROVEEDOR]],PROVEEDORES[FECHA DE PAGO],"")</f>
        <v>0</v>
      </c>
      <c r="E82" s="114"/>
      <c r="F82" s="112" t="str">
        <f>+VLOOKUP(PROVEEDORES[[#This Row],[PROVEEDOR]],
                       Terceros!$A:$F,
                       5,
                       FALSE)</f>
        <v/>
      </c>
      <c r="G82" s="115">
        <v>45621</v>
      </c>
      <c r="H82" s="116" t="s">
        <v>662</v>
      </c>
      <c r="I82" s="115">
        <v>45621</v>
      </c>
      <c r="J82" s="117" t="s">
        <v>734</v>
      </c>
      <c r="K82" s="117" t="s">
        <v>256</v>
      </c>
      <c r="L82" s="117" t="s">
        <v>234</v>
      </c>
      <c r="M82" s="118">
        <v>1211250</v>
      </c>
      <c r="N82" s="119"/>
      <c r="O82" s="119">
        <v>0</v>
      </c>
      <c r="P82" s="120">
        <v>0</v>
      </c>
      <c r="Q82" s="119">
        <v>0</v>
      </c>
      <c r="R82" s="121">
        <v>1211250</v>
      </c>
      <c r="S8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122">
        <f ca="1">+IF(PROVEEDORES[[#This Row],[FECHA DE PAGO]]=0,TODAY()-PROVEEDORES[[#This Row],[FECHA DE FACTURACIÓN]]-PROVEEDORES[[#This Row],[PLAZO Días]],0)</f>
        <v>0</v>
      </c>
      <c r="U82" s="122">
        <f>+VLOOKUP(PROVEEDORES[[#This Row],[PROVEEDOR]],Terceros!$A:$D,4,FALSE)</f>
        <v>0</v>
      </c>
      <c r="V82" s="122">
        <f>+YEAR(PROVEEDORES[[#This Row],[FECHA DE FACTURACIÓN]])</f>
        <v>2024</v>
      </c>
      <c r="W82" s="122">
        <f>+MATCH(PROVEEDORES[[#This Row],[año facturado]],Retenciones!$1:$1,0)</f>
        <v>3</v>
      </c>
      <c r="X82" s="123">
        <f>+VLOOKUP(PROVEEDORES[[#This Row],[ID RETENCION]],Retenciones!$A$1:$K$25,PROVEEDORES[[#This Row],[indicador de columna]],FALSE)</f>
        <v>0</v>
      </c>
      <c r="Y82" s="124">
        <f>+VLOOKUP(PROVEEDORES[[#This Row],[ID RETENCION]],Retenciones!$A$1:$K$25,2,FALSE)</f>
        <v>0</v>
      </c>
      <c r="Z82" s="125" t="b">
        <f>+OR(COUNTIF(PROVEEDORES[[#This Row],[PROVEEDOR]],"*"&amp;'Palabra que no opera y Listas d'!$A$2&amp;"*"))</f>
        <v>0</v>
      </c>
    </row>
    <row r="83" spans="1:26" ht="27.75" customHeight="1" x14ac:dyDescent="0.25">
      <c r="A83" s="112" t="str">
        <f>+IF(PROVEEDORES[[#This Row],[FECHA DE PAGO]]=PROVEEDORES[[#This Row],[FECHA DE FACTURACIÓN]],"DE CONTADO","CRÉDITO")</f>
        <v>CRÉDITO</v>
      </c>
      <c r="B83" s="112" t="str">
        <f>+IF((PROVEEDORES[[#This Row],[FECHA DE PAGO]]-PROVEEDORES[[#This Row],[FECHA DE FACTURACIÓN]])&gt;PROVEEDORES[[#This Row],[PLAZO Días]],"PAGO VENCIDO")</f>
        <v>PAGO VENCIDO</v>
      </c>
      <c r="C83" s="112">
        <f>+VLOOKUP(PROVEEDORES[[#This Row],[PROVEEDOR]],TERCEROS_INFO[#All],2,FALSE)</f>
        <v>30</v>
      </c>
      <c r="D83" s="113">
        <f>+SUMIFS(PROVEEDORES[Total],PROVEEDORES[PROVEEDOR],PROVEEDORES[[#This Row],[PROVEEDOR]],PROVEEDORES[FECHA DE PAGO],"")</f>
        <v>776832</v>
      </c>
      <c r="E83" s="114"/>
      <c r="F83" s="112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83" s="115">
        <v>45622</v>
      </c>
      <c r="H83" s="116" t="s">
        <v>191</v>
      </c>
      <c r="I83" s="115">
        <v>45569</v>
      </c>
      <c r="J83" s="117" t="s">
        <v>735</v>
      </c>
      <c r="K83" s="117" t="s">
        <v>210</v>
      </c>
      <c r="L83" s="117" t="s">
        <v>259</v>
      </c>
      <c r="M83" s="118">
        <v>1768000</v>
      </c>
      <c r="N83" s="119">
        <v>335920</v>
      </c>
      <c r="O83" s="119">
        <v>0</v>
      </c>
      <c r="P83" s="120">
        <v>0</v>
      </c>
      <c r="Q83" s="119">
        <v>0</v>
      </c>
      <c r="R83" s="121">
        <v>2103920</v>
      </c>
      <c r="S8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122">
        <f ca="1">+IF(PROVEEDORES[[#This Row],[FECHA DE PAGO]]=0,TODAY()-PROVEEDORES[[#This Row],[FECHA DE FACTURACIÓN]]-PROVEEDORES[[#This Row],[PLAZO Días]],0)</f>
        <v>0</v>
      </c>
      <c r="U83" s="122">
        <f>+VLOOKUP(PROVEEDORES[[#This Row],[PROVEEDOR]],Terceros!$A:$D,4,FALSE)</f>
        <v>0</v>
      </c>
      <c r="V83" s="122">
        <f>+YEAR(PROVEEDORES[[#This Row],[FECHA DE FACTURACIÓN]])</f>
        <v>2024</v>
      </c>
      <c r="W83" s="122">
        <f>+MATCH(PROVEEDORES[[#This Row],[año facturado]],Retenciones!$1:$1,0)</f>
        <v>3</v>
      </c>
      <c r="X83" s="123">
        <f>+VLOOKUP(PROVEEDORES[[#This Row],[ID RETENCION]],Retenciones!$A$1:$K$25,PROVEEDORES[[#This Row],[indicador de columna]],FALSE)</f>
        <v>0</v>
      </c>
      <c r="Y83" s="124">
        <f>+VLOOKUP(PROVEEDORES[[#This Row],[ID RETENCION]],Retenciones!$A$1:$K$25,2,FALSE)</f>
        <v>0</v>
      </c>
      <c r="Z83" s="125" t="b">
        <f>+OR(COUNTIF(PROVEEDORES[[#This Row],[PROVEEDOR]],"*"&amp;'Palabra que no opera y Listas d'!$A$2&amp;"*"))</f>
        <v>0</v>
      </c>
    </row>
    <row r="84" spans="1:26" ht="27.75" customHeight="1" x14ac:dyDescent="0.25">
      <c r="A84" s="112" t="str">
        <f>+IF(PROVEEDORES[[#This Row],[FECHA DE PAGO]]=PROVEEDORES[[#This Row],[FECHA DE FACTURACIÓN]],"DE CONTADO","CRÉDITO")</f>
        <v>CRÉDITO</v>
      </c>
      <c r="B84" s="112" t="str">
        <f>+IF((PROVEEDORES[[#This Row],[FECHA DE PAGO]]-PROVEEDORES[[#This Row],[FECHA DE FACTURACIÓN]])&gt;PROVEEDORES[[#This Row],[PLAZO Días]],"PAGO VENCIDO")</f>
        <v>PAGO VENCIDO</v>
      </c>
      <c r="C84" s="112">
        <f>+VLOOKUP(PROVEEDORES[[#This Row],[PROVEEDOR]],TERCEROS_INFO[#All],2,FALSE)</f>
        <v>30</v>
      </c>
      <c r="D84" s="113">
        <f>+SUMIFS(PROVEEDORES[Total],PROVEEDORES[PROVEEDOR],PROVEEDORES[[#This Row],[PROVEEDOR]],PROVEEDORES[FECHA DE PAGO],"")</f>
        <v>0</v>
      </c>
      <c r="E84" s="114"/>
      <c r="F84" s="112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84" s="115">
        <v>45622</v>
      </c>
      <c r="H84" s="116" t="s">
        <v>279</v>
      </c>
      <c r="I84" s="115">
        <v>45570</v>
      </c>
      <c r="J84" s="117" t="s">
        <v>736</v>
      </c>
      <c r="K84" s="117" t="s">
        <v>210</v>
      </c>
      <c r="L84" s="117" t="s">
        <v>258</v>
      </c>
      <c r="M84" s="118">
        <v>1414381</v>
      </c>
      <c r="N84" s="119">
        <v>268732.39</v>
      </c>
      <c r="O84" s="119">
        <v>0</v>
      </c>
      <c r="P84" s="120">
        <v>2.5000000000000001E-2</v>
      </c>
      <c r="Q84" s="119">
        <v>35359.525000000001</v>
      </c>
      <c r="R84" s="121">
        <v>1647753.8650000002</v>
      </c>
      <c r="S8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122">
        <f ca="1">+IF(PROVEEDORES[[#This Row],[FECHA DE PAGO]]=0,TODAY()-PROVEEDORES[[#This Row],[FECHA DE FACTURACIÓN]]-PROVEEDORES[[#This Row],[PLAZO Días]],0)</f>
        <v>0</v>
      </c>
      <c r="U84" s="122" t="str">
        <f>+VLOOKUP(PROVEEDORES[[#This Row],[PROVEEDOR]],Terceros!$A:$D,4,FALSE)</f>
        <v>2,5% con base</v>
      </c>
      <c r="V84" s="122">
        <f>+YEAR(PROVEEDORES[[#This Row],[FECHA DE FACTURACIÓN]])</f>
        <v>2024</v>
      </c>
      <c r="W84" s="122">
        <f>+MATCH(PROVEEDORES[[#This Row],[año facturado]],Retenciones!$1:$1,0)</f>
        <v>3</v>
      </c>
      <c r="X84" s="123">
        <f>+VLOOKUP(PROVEEDORES[[#This Row],[ID RETENCION]],Retenciones!$A$1:$K$25,PROVEEDORES[[#This Row],[indicador de columna]],FALSE)</f>
        <v>1271000</v>
      </c>
      <c r="Y84" s="124">
        <f>+VLOOKUP(PROVEEDORES[[#This Row],[ID RETENCION]],Retenciones!$A$1:$K$25,2,FALSE)</f>
        <v>2.5000000000000001E-2</v>
      </c>
      <c r="Z84" s="125" t="b">
        <f>+OR(COUNTIF(PROVEEDORES[[#This Row],[PROVEEDOR]],"*"&amp;'Palabra que no opera y Listas d'!$A$2&amp;"*"))</f>
        <v>0</v>
      </c>
    </row>
    <row r="85" spans="1:26" ht="27.75" customHeight="1" x14ac:dyDescent="0.25">
      <c r="A85" s="112" t="str">
        <f>+IF(PROVEEDORES[[#This Row],[FECHA DE PAGO]]=PROVEEDORES[[#This Row],[FECHA DE FACTURACIÓN]],"DE CONTADO","CRÉDITO")</f>
        <v>CRÉDITO</v>
      </c>
      <c r="B85" s="112" t="str">
        <f>+IF((PROVEEDORES[[#This Row],[FECHA DE PAGO]]-PROVEEDORES[[#This Row],[FECHA DE FACTURACIÓN]])&gt;PROVEEDORES[[#This Row],[PLAZO Días]],"PAGO VENCIDO")</f>
        <v>PAGO VENCIDO</v>
      </c>
      <c r="C85" s="112">
        <f>+VLOOKUP(PROVEEDORES[[#This Row],[PROVEEDOR]],TERCEROS_INFO[#All],2,FALSE)</f>
        <v>30</v>
      </c>
      <c r="D85" s="113">
        <f>+SUMIFS(PROVEEDORES[Total],PROVEEDORES[PROVEEDOR],PROVEEDORES[[#This Row],[PROVEEDOR]],PROVEEDORES[FECHA DE PAGO],"")</f>
        <v>11737128.02</v>
      </c>
      <c r="E85" s="114"/>
      <c r="F85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85" s="115">
        <v>45623</v>
      </c>
      <c r="H85" s="116" t="s">
        <v>536</v>
      </c>
      <c r="I85" s="115">
        <v>45582</v>
      </c>
      <c r="J85" s="117" t="s">
        <v>737</v>
      </c>
      <c r="K85" s="117" t="s">
        <v>256</v>
      </c>
      <c r="L85" s="117" t="s">
        <v>258</v>
      </c>
      <c r="M85" s="118">
        <v>773108</v>
      </c>
      <c r="N85" s="119">
        <v>146890.51999999999</v>
      </c>
      <c r="O85" s="119">
        <v>0</v>
      </c>
      <c r="P85" s="120">
        <v>0</v>
      </c>
      <c r="Q85" s="119">
        <v>0</v>
      </c>
      <c r="R85" s="121">
        <v>919998.52</v>
      </c>
      <c r="S8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122">
        <f ca="1">+IF(PROVEEDORES[[#This Row],[FECHA DE PAGO]]=0,TODAY()-PROVEEDORES[[#This Row],[FECHA DE FACTURACIÓN]]-PROVEEDORES[[#This Row],[PLAZO Días]],0)</f>
        <v>0</v>
      </c>
      <c r="U85" s="122" t="str">
        <f>+VLOOKUP(PROVEEDORES[[#This Row],[PROVEEDOR]],Terceros!$A:$D,4,FALSE)</f>
        <v>2,5% con base</v>
      </c>
      <c r="V85" s="122">
        <f>+YEAR(PROVEEDORES[[#This Row],[FECHA DE FACTURACIÓN]])</f>
        <v>2024</v>
      </c>
      <c r="W85" s="122">
        <f>+MATCH(PROVEEDORES[[#This Row],[año facturado]],Retenciones!$1:$1,0)</f>
        <v>3</v>
      </c>
      <c r="X85" s="123">
        <f>+VLOOKUP(PROVEEDORES[[#This Row],[ID RETENCION]],Retenciones!$A$1:$K$25,PROVEEDORES[[#This Row],[indicador de columna]],FALSE)</f>
        <v>1271000</v>
      </c>
      <c r="Y85" s="124">
        <f>+VLOOKUP(PROVEEDORES[[#This Row],[ID RETENCION]],Retenciones!$A$1:$K$25,2,FALSE)</f>
        <v>2.5000000000000001E-2</v>
      </c>
      <c r="Z85" s="125" t="b">
        <f>+OR(COUNTIF(PROVEEDORES[[#This Row],[PROVEEDOR]],"*"&amp;'Palabra que no opera y Listas d'!$A$2&amp;"*"))</f>
        <v>0</v>
      </c>
    </row>
    <row r="86" spans="1:26" ht="27.75" customHeight="1" x14ac:dyDescent="0.25">
      <c r="A86" s="112" t="str">
        <f>+IF(PROVEEDORES[[#This Row],[FECHA DE PAGO]]=PROVEEDORES[[#This Row],[FECHA DE FACTURACIÓN]],"DE CONTADO","CRÉDITO")</f>
        <v>CRÉDITO</v>
      </c>
      <c r="B86" s="112" t="str">
        <f>+IF((PROVEEDORES[[#This Row],[FECHA DE PAGO]]-PROVEEDORES[[#This Row],[FECHA DE FACTURACIÓN]])&gt;PROVEEDORES[[#This Row],[PLAZO Días]],"PAGO VENCIDO")</f>
        <v>PAGO VENCIDO</v>
      </c>
      <c r="C86" s="112">
        <f>+VLOOKUP(PROVEEDORES[[#This Row],[PROVEEDOR]],TERCEROS_INFO[#All],2,FALSE)</f>
        <v>30</v>
      </c>
      <c r="D86" s="113">
        <f>+SUMIFS(PROVEEDORES[Total],PROVEEDORES[PROVEEDOR],PROVEEDORES[[#This Row],[PROVEEDOR]],PROVEEDORES[FECHA DE PAGO],"")</f>
        <v>11737128.02</v>
      </c>
      <c r="E86" s="114"/>
      <c r="F86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86" s="115">
        <v>45623</v>
      </c>
      <c r="H86" s="116" t="s">
        <v>536</v>
      </c>
      <c r="I86" s="115">
        <v>45583</v>
      </c>
      <c r="J86" s="117" t="s">
        <v>738</v>
      </c>
      <c r="K86" s="117" t="s">
        <v>256</v>
      </c>
      <c r="L86" s="117" t="s">
        <v>258</v>
      </c>
      <c r="M86" s="118">
        <v>420168</v>
      </c>
      <c r="N86" s="119">
        <v>79831.92</v>
      </c>
      <c r="O86" s="119">
        <v>0</v>
      </c>
      <c r="P86" s="120">
        <v>0</v>
      </c>
      <c r="Q86" s="119">
        <v>0</v>
      </c>
      <c r="R86" s="121">
        <v>499999.92</v>
      </c>
      <c r="S8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122">
        <f ca="1">+IF(PROVEEDORES[[#This Row],[FECHA DE PAGO]]=0,TODAY()-PROVEEDORES[[#This Row],[FECHA DE FACTURACIÓN]]-PROVEEDORES[[#This Row],[PLAZO Días]],0)</f>
        <v>0</v>
      </c>
      <c r="U86" s="122" t="str">
        <f>+VLOOKUP(PROVEEDORES[[#This Row],[PROVEEDOR]],Terceros!$A:$D,4,FALSE)</f>
        <v>2,5% con base</v>
      </c>
      <c r="V86" s="122">
        <f>+YEAR(PROVEEDORES[[#This Row],[FECHA DE FACTURACIÓN]])</f>
        <v>2024</v>
      </c>
      <c r="W86" s="122">
        <f>+MATCH(PROVEEDORES[[#This Row],[año facturado]],Retenciones!$1:$1,0)</f>
        <v>3</v>
      </c>
      <c r="X86" s="123">
        <f>+VLOOKUP(PROVEEDORES[[#This Row],[ID RETENCION]],Retenciones!$A$1:$K$25,PROVEEDORES[[#This Row],[indicador de columna]],FALSE)</f>
        <v>1271000</v>
      </c>
      <c r="Y86" s="124">
        <f>+VLOOKUP(PROVEEDORES[[#This Row],[ID RETENCION]],Retenciones!$A$1:$K$25,2,FALSE)</f>
        <v>2.5000000000000001E-2</v>
      </c>
      <c r="Z86" s="125" t="b">
        <f>+OR(COUNTIF(PROVEEDORES[[#This Row],[PROVEEDOR]],"*"&amp;'Palabra que no opera y Listas d'!$A$2&amp;"*"))</f>
        <v>0</v>
      </c>
    </row>
    <row r="87" spans="1:26" ht="27.75" customHeight="1" x14ac:dyDescent="0.25">
      <c r="A87" s="112" t="str">
        <f>+IF(PROVEEDORES[[#This Row],[FECHA DE PAGO]]=PROVEEDORES[[#This Row],[FECHA DE FACTURACIÓN]],"DE CONTADO","CRÉDITO")</f>
        <v>CRÉDITO</v>
      </c>
      <c r="B87" s="112" t="b">
        <f>+IF((PROVEEDORES[[#This Row],[FECHA DE PAGO]]-PROVEEDORES[[#This Row],[FECHA DE FACTURACIÓN]])&gt;PROVEEDORES[[#This Row],[PLAZO Días]],"PAGO VENCIDO")</f>
        <v>0</v>
      </c>
      <c r="C87" s="112">
        <f>+VLOOKUP(PROVEEDORES[[#This Row],[PROVEEDOR]],TERCEROS_INFO[#All],2,FALSE)</f>
        <v>30</v>
      </c>
      <c r="D87" s="113">
        <f>+SUMIFS(PROVEEDORES[Total],PROVEEDORES[PROVEEDOR],PROVEEDORES[[#This Row],[PROVEEDOR]],PROVEEDORES[FECHA DE PAGO],"")</f>
        <v>0</v>
      </c>
      <c r="E87" s="114"/>
      <c r="F87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7" s="115">
        <v>45624</v>
      </c>
      <c r="H87" s="116" t="s">
        <v>93</v>
      </c>
      <c r="I87" s="115">
        <v>45616</v>
      </c>
      <c r="J87" s="117" t="s">
        <v>739</v>
      </c>
      <c r="K87" s="117" t="s">
        <v>210</v>
      </c>
      <c r="L87" s="117" t="s">
        <v>259</v>
      </c>
      <c r="M87" s="118">
        <v>16183849</v>
      </c>
      <c r="N87" s="119">
        <v>3074931.31</v>
      </c>
      <c r="O87" s="119">
        <v>161838.49</v>
      </c>
      <c r="P87" s="120">
        <v>0</v>
      </c>
      <c r="Q87" s="119">
        <v>0</v>
      </c>
      <c r="R87" s="121">
        <v>19096941.82</v>
      </c>
      <c r="S8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122">
        <f ca="1">+IF(PROVEEDORES[[#This Row],[FECHA DE PAGO]]=0,TODAY()-PROVEEDORES[[#This Row],[FECHA DE FACTURACIÓN]]-PROVEEDORES[[#This Row],[PLAZO Días]],0)</f>
        <v>0</v>
      </c>
      <c r="U87" s="122">
        <f>+VLOOKUP(PROVEEDORES[[#This Row],[PROVEEDOR]],Terceros!$A:$D,4,FALSE)</f>
        <v>0</v>
      </c>
      <c r="V87" s="122">
        <f>+YEAR(PROVEEDORES[[#This Row],[FECHA DE FACTURACIÓN]])</f>
        <v>2024</v>
      </c>
      <c r="W87" s="122">
        <f>+MATCH(PROVEEDORES[[#This Row],[año facturado]],Retenciones!$1:$1,0)</f>
        <v>3</v>
      </c>
      <c r="X87" s="123">
        <f>+VLOOKUP(PROVEEDORES[[#This Row],[ID RETENCION]],Retenciones!$A$1:$K$25,PROVEEDORES[[#This Row],[indicador de columna]],FALSE)</f>
        <v>0</v>
      </c>
      <c r="Y87" s="124">
        <f>+VLOOKUP(PROVEEDORES[[#This Row],[ID RETENCION]],Retenciones!$A$1:$K$25,2,FALSE)</f>
        <v>0</v>
      </c>
      <c r="Z87" s="125" t="b">
        <f>+OR(COUNTIF(PROVEEDORES[[#This Row],[PROVEEDOR]],"*"&amp;'Palabra que no opera y Listas d'!$A$2&amp;"*"))</f>
        <v>0</v>
      </c>
    </row>
    <row r="88" spans="1:26" ht="27.75" customHeight="1" x14ac:dyDescent="0.25">
      <c r="A88" s="112" t="str">
        <f>+IF(PROVEEDORES[[#This Row],[FECHA DE PAGO]]=PROVEEDORES[[#This Row],[FECHA DE FACTURACIÓN]],"DE CONTADO","CRÉDITO")</f>
        <v>DE CONTADO</v>
      </c>
      <c r="B88" s="112" t="b">
        <f>+IF((PROVEEDORES[[#This Row],[FECHA DE PAGO]]-PROVEEDORES[[#This Row],[FECHA DE FACTURACIÓN]])&gt;PROVEEDORES[[#This Row],[PLAZO Días]],"PAGO VENCIDO")</f>
        <v>0</v>
      </c>
      <c r="C88" s="112">
        <f>+VLOOKUP(PROVEEDORES[[#This Row],[PROVEEDOR]],TERCEROS_INFO[#All],2,FALSE)</f>
        <v>30</v>
      </c>
      <c r="D88" s="113">
        <f>+SUMIFS(PROVEEDORES[Total],PROVEEDORES[PROVEEDOR],PROVEEDORES[[#This Row],[PROVEEDOR]],PROVEEDORES[FECHA DE PAGO],"")</f>
        <v>0</v>
      </c>
      <c r="E88" s="114"/>
      <c r="F88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88" s="115">
        <v>45624</v>
      </c>
      <c r="H88" s="116" t="s">
        <v>491</v>
      </c>
      <c r="I88" s="115">
        <v>45624</v>
      </c>
      <c r="J88" s="117" t="s">
        <v>740</v>
      </c>
      <c r="K88" s="117" t="s">
        <v>256</v>
      </c>
      <c r="L88" s="117" t="s">
        <v>234</v>
      </c>
      <c r="M88" s="118">
        <v>134034</v>
      </c>
      <c r="N88" s="119">
        <v>25466.46</v>
      </c>
      <c r="O88" s="119">
        <v>0</v>
      </c>
      <c r="P88" s="120">
        <v>0</v>
      </c>
      <c r="Q88" s="119">
        <v>0</v>
      </c>
      <c r="R88" s="121">
        <v>159500.46</v>
      </c>
      <c r="S8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122">
        <f ca="1">+IF(PROVEEDORES[[#This Row],[FECHA DE PAGO]]=0,TODAY()-PROVEEDORES[[#This Row],[FECHA DE FACTURACIÓN]]-PROVEEDORES[[#This Row],[PLAZO Días]],0)</f>
        <v>0</v>
      </c>
      <c r="U88" s="122" t="str">
        <f>+VLOOKUP(PROVEEDORES[[#This Row],[PROVEEDOR]],Terceros!$A:$D,4,FALSE)</f>
        <v>2,5% con base</v>
      </c>
      <c r="V88" s="122">
        <f>+YEAR(PROVEEDORES[[#This Row],[FECHA DE FACTURACIÓN]])</f>
        <v>2024</v>
      </c>
      <c r="W88" s="122">
        <f>+MATCH(PROVEEDORES[[#This Row],[año facturado]],Retenciones!$1:$1,0)</f>
        <v>3</v>
      </c>
      <c r="X88" s="123">
        <f>+VLOOKUP(PROVEEDORES[[#This Row],[ID RETENCION]],Retenciones!$A$1:$K$25,PROVEEDORES[[#This Row],[indicador de columna]],FALSE)</f>
        <v>1271000</v>
      </c>
      <c r="Y88" s="124">
        <f>+VLOOKUP(PROVEEDORES[[#This Row],[ID RETENCION]],Retenciones!$A$1:$K$25,2,FALSE)</f>
        <v>2.5000000000000001E-2</v>
      </c>
      <c r="Z88" s="125" t="b">
        <f>+OR(COUNTIF(PROVEEDORES[[#This Row],[PROVEEDOR]],"*"&amp;'Palabra que no opera y Listas d'!$A$2&amp;"*"))</f>
        <v>0</v>
      </c>
    </row>
    <row r="89" spans="1:26" ht="27.75" customHeight="1" x14ac:dyDescent="0.25">
      <c r="A89" s="112" t="str">
        <f>+IF(PROVEEDORES[[#This Row],[FECHA DE PAGO]]=PROVEEDORES[[#This Row],[FECHA DE FACTURACIÓN]],"DE CONTADO","CRÉDITO")</f>
        <v>CRÉDITO</v>
      </c>
      <c r="B89" s="112" t="str">
        <f>+IF((PROVEEDORES[[#This Row],[FECHA DE PAGO]]-PROVEEDORES[[#This Row],[FECHA DE FACTURACIÓN]])&gt;PROVEEDORES[[#This Row],[PLAZO Días]],"PAGO VENCIDO")</f>
        <v>PAGO VENCIDO</v>
      </c>
      <c r="C89" s="112">
        <f>+VLOOKUP(PROVEEDORES[[#This Row],[PROVEEDOR]],TERCEROS_INFO[#All],2,FALSE)</f>
        <v>30</v>
      </c>
      <c r="D89" s="113">
        <f>+SUMIFS(PROVEEDORES[Total],PROVEEDORES[PROVEEDOR],PROVEEDORES[[#This Row],[PROVEEDOR]],PROVEEDORES[FECHA DE PAGO],"")</f>
        <v>0</v>
      </c>
      <c r="E89" s="114"/>
      <c r="F89" s="112" t="str">
        <f>+VLOOKUP(PROVEEDORES[[#This Row],[PROVEEDOR]],
                       Terceros!$A:$F,
                       5,
                       FALSE)</f>
        <v>losvictorinosdigital@gmail.com</v>
      </c>
      <c r="G89" s="115">
        <v>45625</v>
      </c>
      <c r="H89" s="116" t="s">
        <v>548</v>
      </c>
      <c r="I89" s="115">
        <v>45575</v>
      </c>
      <c r="J89" s="117" t="s">
        <v>741</v>
      </c>
      <c r="K89" s="117" t="s">
        <v>256</v>
      </c>
      <c r="L89" s="117" t="s">
        <v>258</v>
      </c>
      <c r="M89" s="118">
        <v>2157376.48</v>
      </c>
      <c r="N89" s="119">
        <v>409901.53120000003</v>
      </c>
      <c r="O89" s="119">
        <v>0</v>
      </c>
      <c r="P89" s="120">
        <v>2.5000000000000001E-2</v>
      </c>
      <c r="Q89" s="119">
        <v>53934.412000000004</v>
      </c>
      <c r="R89" s="121">
        <v>2513343.5992000001</v>
      </c>
      <c r="S8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122">
        <f ca="1">+IF(PROVEEDORES[[#This Row],[FECHA DE PAGO]]=0,TODAY()-PROVEEDORES[[#This Row],[FECHA DE FACTURACIÓN]]-PROVEEDORES[[#This Row],[PLAZO Días]],0)</f>
        <v>0</v>
      </c>
      <c r="U89" s="122" t="str">
        <f>+VLOOKUP(PROVEEDORES[[#This Row],[PROVEEDOR]],Terceros!$A:$D,4,FALSE)</f>
        <v>2,5% con base</v>
      </c>
      <c r="V89" s="122">
        <f>+YEAR(PROVEEDORES[[#This Row],[FECHA DE FACTURACIÓN]])</f>
        <v>2024</v>
      </c>
      <c r="W89" s="122">
        <f>+MATCH(PROVEEDORES[[#This Row],[año facturado]],Retenciones!$1:$1,0)</f>
        <v>3</v>
      </c>
      <c r="X89" s="123">
        <f>+VLOOKUP(PROVEEDORES[[#This Row],[ID RETENCION]],Retenciones!$A$1:$K$25,PROVEEDORES[[#This Row],[indicador de columna]],FALSE)</f>
        <v>1271000</v>
      </c>
      <c r="Y89" s="124">
        <f>+VLOOKUP(PROVEEDORES[[#This Row],[ID RETENCION]],Retenciones!$A$1:$K$25,2,FALSE)</f>
        <v>2.5000000000000001E-2</v>
      </c>
      <c r="Z89" s="125" t="b">
        <f>+OR(COUNTIF(PROVEEDORES[[#This Row],[PROVEEDOR]],"*"&amp;'Palabra que no opera y Listas d'!$A$2&amp;"*"))</f>
        <v>0</v>
      </c>
    </row>
    <row r="90" spans="1:26" ht="27.75" customHeight="1" x14ac:dyDescent="0.25">
      <c r="A90" s="112" t="str">
        <f>+IF(PROVEEDORES[[#This Row],[FECHA DE PAGO]]=PROVEEDORES[[#This Row],[FECHA DE FACTURACIÓN]],"DE CONTADO","CRÉDITO")</f>
        <v>CRÉDITO</v>
      </c>
      <c r="B90" s="112" t="str">
        <f>+IF((PROVEEDORES[[#This Row],[FECHA DE PAGO]]-PROVEEDORES[[#This Row],[FECHA DE FACTURACIÓN]])&gt;PROVEEDORES[[#This Row],[PLAZO Días]],"PAGO VENCIDO")</f>
        <v>PAGO VENCIDO</v>
      </c>
      <c r="C90" s="112">
        <f>+VLOOKUP(PROVEEDORES[[#This Row],[PROVEEDOR]],TERCEROS_INFO[#All],2,FALSE)</f>
        <v>30</v>
      </c>
      <c r="D90" s="113">
        <f>+SUMIFS(PROVEEDORES[Total],PROVEEDORES[PROVEEDOR],PROVEEDORES[[#This Row],[PROVEEDOR]],PROVEEDORES[FECHA DE PAGO],"")</f>
        <v>776832</v>
      </c>
      <c r="E90" s="114"/>
      <c r="F90" s="112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90" s="115">
        <v>45625</v>
      </c>
      <c r="H90" s="116" t="s">
        <v>191</v>
      </c>
      <c r="I90" s="115">
        <v>45577</v>
      </c>
      <c r="J90" s="117" t="s">
        <v>742</v>
      </c>
      <c r="K90" s="117" t="s">
        <v>210</v>
      </c>
      <c r="L90" s="117" t="s">
        <v>259</v>
      </c>
      <c r="M90" s="118">
        <v>6600000</v>
      </c>
      <c r="N90" s="119">
        <v>1254000</v>
      </c>
      <c r="O90" s="119">
        <v>0</v>
      </c>
      <c r="P90" s="120">
        <v>0</v>
      </c>
      <c r="Q90" s="119">
        <v>0</v>
      </c>
      <c r="R90" s="121">
        <v>7854000</v>
      </c>
      <c r="S9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122">
        <f ca="1">+IF(PROVEEDORES[[#This Row],[FECHA DE PAGO]]=0,TODAY()-PROVEEDORES[[#This Row],[FECHA DE FACTURACIÓN]]-PROVEEDORES[[#This Row],[PLAZO Días]],0)</f>
        <v>0</v>
      </c>
      <c r="U90" s="122">
        <f>+VLOOKUP(PROVEEDORES[[#This Row],[PROVEEDOR]],Terceros!$A:$D,4,FALSE)</f>
        <v>0</v>
      </c>
      <c r="V90" s="122">
        <f>+YEAR(PROVEEDORES[[#This Row],[FECHA DE FACTURACIÓN]])</f>
        <v>2024</v>
      </c>
      <c r="W90" s="122">
        <f>+MATCH(PROVEEDORES[[#This Row],[año facturado]],Retenciones!$1:$1,0)</f>
        <v>3</v>
      </c>
      <c r="X90" s="123">
        <f>+VLOOKUP(PROVEEDORES[[#This Row],[ID RETENCION]],Retenciones!$A$1:$K$25,PROVEEDORES[[#This Row],[indicador de columna]],FALSE)</f>
        <v>0</v>
      </c>
      <c r="Y90" s="124">
        <f>+VLOOKUP(PROVEEDORES[[#This Row],[ID RETENCION]],Retenciones!$A$1:$K$25,2,FALSE)</f>
        <v>0</v>
      </c>
      <c r="Z90" s="125" t="b">
        <f>+OR(COUNTIF(PROVEEDORES[[#This Row],[PROVEEDOR]],"*"&amp;'Palabra que no opera y Listas d'!$A$2&amp;"*"))</f>
        <v>0</v>
      </c>
    </row>
    <row r="91" spans="1:26" ht="27.75" customHeight="1" x14ac:dyDescent="0.25">
      <c r="A91" s="112" t="str">
        <f>+IF(PROVEEDORES[[#This Row],[FECHA DE PAGO]]=PROVEEDORES[[#This Row],[FECHA DE FACTURACIÓN]],"DE CONTADO","CRÉDITO")</f>
        <v>CRÉDITO</v>
      </c>
      <c r="B91" s="112" t="str">
        <f>+IF((PROVEEDORES[[#This Row],[FECHA DE PAGO]]-PROVEEDORES[[#This Row],[FECHA DE FACTURACIÓN]])&gt;PROVEEDORES[[#This Row],[PLAZO Días]],"PAGO VENCIDO")</f>
        <v>PAGO VENCIDO</v>
      </c>
      <c r="C91" s="112">
        <f>+VLOOKUP(PROVEEDORES[[#This Row],[PROVEEDOR]],TERCEROS_INFO[#All],2,FALSE)</f>
        <v>0</v>
      </c>
      <c r="D91" s="113">
        <f>+SUMIFS(PROVEEDORES[Total],PROVEEDORES[PROVEEDOR],PROVEEDORES[[#This Row],[PROVEEDOR]],PROVEEDORES[FECHA DE PAGO],"")</f>
        <v>0</v>
      </c>
      <c r="E91" s="114"/>
      <c r="F91" s="112">
        <f>+VLOOKUP(PROVEEDORES[[#This Row],[PROVEEDOR]],
                       Terceros!$A:$F,
                       5,
                       FALSE)</f>
        <v>0</v>
      </c>
      <c r="G91" s="115">
        <v>45625</v>
      </c>
      <c r="H91" s="116" t="s">
        <v>595</v>
      </c>
      <c r="I91" s="115">
        <v>45624</v>
      </c>
      <c r="J91" s="117" t="s">
        <v>665</v>
      </c>
      <c r="K91" s="117" t="s">
        <v>210</v>
      </c>
      <c r="L91" s="117" t="s">
        <v>234</v>
      </c>
      <c r="M91" s="118">
        <v>415600</v>
      </c>
      <c r="N91" s="119"/>
      <c r="O91" s="119">
        <v>0</v>
      </c>
      <c r="P91" s="120">
        <v>0</v>
      </c>
      <c r="Q91" s="119">
        <v>0</v>
      </c>
      <c r="R91" s="121">
        <v>415600</v>
      </c>
      <c r="S9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122">
        <f ca="1">+IF(PROVEEDORES[[#This Row],[FECHA DE PAGO]]=0,TODAY()-PROVEEDORES[[#This Row],[FECHA DE FACTURACIÓN]]-PROVEEDORES[[#This Row],[PLAZO Días]],0)</f>
        <v>0</v>
      </c>
      <c r="U91" s="122">
        <f>+VLOOKUP(PROVEEDORES[[#This Row],[PROVEEDOR]],Terceros!$A:$D,4,FALSE)</f>
        <v>0</v>
      </c>
      <c r="V91" s="122">
        <f>+YEAR(PROVEEDORES[[#This Row],[FECHA DE FACTURACIÓN]])</f>
        <v>2024</v>
      </c>
      <c r="W91" s="122">
        <f>+MATCH(PROVEEDORES[[#This Row],[año facturado]],Retenciones!$1:$1,0)</f>
        <v>3</v>
      </c>
      <c r="X91" s="123">
        <f>+VLOOKUP(PROVEEDORES[[#This Row],[ID RETENCION]],Retenciones!$A$1:$K$25,PROVEEDORES[[#This Row],[indicador de columna]],FALSE)</f>
        <v>0</v>
      </c>
      <c r="Y91" s="124">
        <f>+VLOOKUP(PROVEEDORES[[#This Row],[ID RETENCION]],Retenciones!$A$1:$K$25,2,FALSE)</f>
        <v>0</v>
      </c>
      <c r="Z91" s="125" t="b">
        <f>+OR(COUNTIF(PROVEEDORES[[#This Row],[PROVEEDOR]],"*"&amp;'Palabra que no opera y Listas d'!$A$2&amp;"*"))</f>
        <v>1</v>
      </c>
    </row>
    <row r="92" spans="1:26" ht="27.75" customHeight="1" x14ac:dyDescent="0.25">
      <c r="A92" s="112" t="str">
        <f>+IF(PROVEEDORES[[#This Row],[FECHA DE PAGO]]=PROVEEDORES[[#This Row],[FECHA DE FACTURACIÓN]],"DE CONTADO","CRÉDITO")</f>
        <v>DE CONTADO</v>
      </c>
      <c r="B92" s="112" t="b">
        <f>+IF((PROVEEDORES[[#This Row],[FECHA DE PAGO]]-PROVEEDORES[[#This Row],[FECHA DE FACTURACIÓN]])&gt;PROVEEDORES[[#This Row],[PLAZO Días]],"PAGO VENCIDO")</f>
        <v>0</v>
      </c>
      <c r="C92" s="112">
        <f>+VLOOKUP(PROVEEDORES[[#This Row],[PROVEEDOR]],TERCEROS_INFO[#All],2,FALSE)</f>
        <v>30</v>
      </c>
      <c r="D92" s="113">
        <f>+SUMIFS(PROVEEDORES[Total],PROVEEDORES[PROVEEDOR],PROVEEDORES[[#This Row],[PROVEEDOR]],PROVEEDORES[FECHA DE PAGO],"")</f>
        <v>0</v>
      </c>
      <c r="E92" s="114"/>
      <c r="F92" s="112" t="str">
        <f>+VLOOKUP(PROVEEDORES[[#This Row],[PROVEEDOR]],
                       Terceros!$A:$F,
                       5,
                       FALSE)</f>
        <v>PSE</v>
      </c>
      <c r="G92" s="115">
        <v>45625</v>
      </c>
      <c r="H92" s="116" t="s">
        <v>171</v>
      </c>
      <c r="I92" s="115">
        <v>45625</v>
      </c>
      <c r="J92" s="117"/>
      <c r="K92" s="117" t="s">
        <v>256</v>
      </c>
      <c r="L92" s="117" t="s">
        <v>258</v>
      </c>
      <c r="M92" s="118">
        <v>633500</v>
      </c>
      <c r="N92" s="119"/>
      <c r="O92" s="119">
        <v>0</v>
      </c>
      <c r="P92" s="120">
        <v>0</v>
      </c>
      <c r="Q92" s="119">
        <v>0</v>
      </c>
      <c r="R92" s="121">
        <v>633500</v>
      </c>
      <c r="S9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122">
        <f ca="1">+IF(PROVEEDORES[[#This Row],[FECHA DE PAGO]]=0,TODAY()-PROVEEDORES[[#This Row],[FECHA DE FACTURACIÓN]]-PROVEEDORES[[#This Row],[PLAZO Días]],0)</f>
        <v>0</v>
      </c>
      <c r="U92" s="122">
        <f>+VLOOKUP(PROVEEDORES[[#This Row],[PROVEEDOR]],Terceros!$A:$D,4,FALSE)</f>
        <v>0</v>
      </c>
      <c r="V92" s="122">
        <f>+YEAR(PROVEEDORES[[#This Row],[FECHA DE FACTURACIÓN]])</f>
        <v>2024</v>
      </c>
      <c r="W92" s="122">
        <f>+MATCH(PROVEEDORES[[#This Row],[año facturado]],Retenciones!$1:$1,0)</f>
        <v>3</v>
      </c>
      <c r="X92" s="123">
        <f>+VLOOKUP(PROVEEDORES[[#This Row],[ID RETENCION]],Retenciones!$A$1:$K$25,PROVEEDORES[[#This Row],[indicador de columna]],FALSE)</f>
        <v>0</v>
      </c>
      <c r="Y92" s="124">
        <f>+VLOOKUP(PROVEEDORES[[#This Row],[ID RETENCION]],Retenciones!$A$1:$K$25,2,FALSE)</f>
        <v>0</v>
      </c>
      <c r="Z92" s="125" t="b">
        <f>+OR(COUNTIF(PROVEEDORES[[#This Row],[PROVEEDOR]],"*"&amp;'Palabra que no opera y Listas d'!$A$2&amp;"*"))</f>
        <v>1</v>
      </c>
    </row>
    <row r="93" spans="1:26" ht="27.75" customHeight="1" x14ac:dyDescent="0.25">
      <c r="A93" s="112" t="str">
        <f>+IF(PROVEEDORES[[#This Row],[FECHA DE PAGO]]=PROVEEDORES[[#This Row],[FECHA DE FACTURACIÓN]],"DE CONTADO","CRÉDITO")</f>
        <v>CRÉDITO</v>
      </c>
      <c r="B93" s="112" t="b">
        <f>+IF((PROVEEDORES[[#This Row],[FECHA DE PAGO]]-PROVEEDORES[[#This Row],[FECHA DE FACTURACIÓN]])&gt;PROVEEDORES[[#This Row],[PLAZO Días]],"PAGO VENCIDO")</f>
        <v>0</v>
      </c>
      <c r="C93" s="112">
        <f>+VLOOKUP(PROVEEDORES[[#This Row],[PROVEEDOR]],TERCEROS_INFO[#All],2,FALSE)</f>
        <v>30</v>
      </c>
      <c r="D93" s="113">
        <f>+SUMIFS(PROVEEDORES[Total],PROVEEDORES[PROVEEDOR],PROVEEDORES[[#This Row],[PROVEEDOR]],PROVEEDORES[FECHA DE PAGO],"")</f>
        <v>0</v>
      </c>
      <c r="E93" s="114"/>
      <c r="F93" s="112">
        <f>+VLOOKUP(PROVEEDORES[[#This Row],[PROVEEDOR]],
                       Terceros!$A:$F,
                       5,
                       FALSE)</f>
        <v>0</v>
      </c>
      <c r="G93" s="115">
        <v>45626</v>
      </c>
      <c r="H93" s="116" t="s">
        <v>407</v>
      </c>
      <c r="I93" s="115">
        <v>45625</v>
      </c>
      <c r="J93" s="117" t="s">
        <v>743</v>
      </c>
      <c r="K93" s="117" t="s">
        <v>210</v>
      </c>
      <c r="L93" s="117" t="s">
        <v>234</v>
      </c>
      <c r="M93" s="118">
        <v>429000</v>
      </c>
      <c r="N93" s="119"/>
      <c r="O93" s="119">
        <v>0</v>
      </c>
      <c r="P93" s="120">
        <v>0</v>
      </c>
      <c r="Q93" s="119">
        <v>0</v>
      </c>
      <c r="R93" s="121">
        <v>429000</v>
      </c>
      <c r="S9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122">
        <f ca="1">+IF(PROVEEDORES[[#This Row],[FECHA DE PAGO]]=0,TODAY()-PROVEEDORES[[#This Row],[FECHA DE FACTURACIÓN]]-PROVEEDORES[[#This Row],[PLAZO Días]],0)</f>
        <v>0</v>
      </c>
      <c r="U93" s="122">
        <f>+VLOOKUP(PROVEEDORES[[#This Row],[PROVEEDOR]],Terceros!$A:$D,4,FALSE)</f>
        <v>0</v>
      </c>
      <c r="V93" s="122">
        <f>+YEAR(PROVEEDORES[[#This Row],[FECHA DE FACTURACIÓN]])</f>
        <v>2024</v>
      </c>
      <c r="W93" s="122">
        <f>+MATCH(PROVEEDORES[[#This Row],[año facturado]],Retenciones!$1:$1,0)</f>
        <v>3</v>
      </c>
      <c r="X93" s="123">
        <f>+VLOOKUP(PROVEEDORES[[#This Row],[ID RETENCION]],Retenciones!$A$1:$K$25,PROVEEDORES[[#This Row],[indicador de columna]],FALSE)</f>
        <v>0</v>
      </c>
      <c r="Y93" s="124">
        <f>+VLOOKUP(PROVEEDORES[[#This Row],[ID RETENCION]],Retenciones!$A$1:$K$25,2,FALSE)</f>
        <v>0</v>
      </c>
      <c r="Z93" s="125" t="b">
        <f>+OR(COUNTIF(PROVEEDORES[[#This Row],[PROVEEDOR]],"*"&amp;'Palabra que no opera y Listas d'!$A$2&amp;"*"))</f>
        <v>1</v>
      </c>
    </row>
    <row r="94" spans="1:26" ht="27.75" customHeight="1" x14ac:dyDescent="0.25">
      <c r="A94" s="112" t="str">
        <f>+IF(PROVEEDORES[[#This Row],[FECHA DE PAGO]]=PROVEEDORES[[#This Row],[FECHA DE FACTURACIÓN]],"DE CONTADO","CRÉDITO")</f>
        <v>DE CONTADO</v>
      </c>
      <c r="B94" s="112" t="b">
        <f>+IF((PROVEEDORES[[#This Row],[FECHA DE PAGO]]-PROVEEDORES[[#This Row],[FECHA DE FACTURACIÓN]])&gt;PROVEEDORES[[#This Row],[PLAZO Días]],"PAGO VENCIDO")</f>
        <v>0</v>
      </c>
      <c r="C94" s="112">
        <f>+VLOOKUP(PROVEEDORES[[#This Row],[PROVEEDOR]],TERCEROS_INFO[#All],2,FALSE)</f>
        <v>30</v>
      </c>
      <c r="D94" s="113">
        <f>+SUMIFS(PROVEEDORES[Total],PROVEEDORES[PROVEEDOR],PROVEEDORES[[#This Row],[PROVEEDOR]],PROVEEDORES[FECHA DE PAGO],"")</f>
        <v>0</v>
      </c>
      <c r="E94" s="114"/>
      <c r="F94" s="112" t="str">
        <f>+VLOOKUP(PROVEEDORES[[#This Row],[PROVEEDOR]],
                       Terceros!$A:$F,
                       5,
                       FALSE)</f>
        <v/>
      </c>
      <c r="G94" s="115">
        <v>45626</v>
      </c>
      <c r="H94" s="116" t="s">
        <v>662</v>
      </c>
      <c r="I94" s="115">
        <v>45626</v>
      </c>
      <c r="J94" s="117" t="s">
        <v>669</v>
      </c>
      <c r="K94" s="117" t="s">
        <v>256</v>
      </c>
      <c r="L94" s="117" t="s">
        <v>234</v>
      </c>
      <c r="M94" s="118">
        <v>1933500</v>
      </c>
      <c r="N94" s="119"/>
      <c r="O94" s="119">
        <v>0</v>
      </c>
      <c r="P94" s="120">
        <v>0</v>
      </c>
      <c r="Q94" s="119">
        <v>0</v>
      </c>
      <c r="R94" s="121">
        <v>1933500</v>
      </c>
      <c r="S9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122">
        <f ca="1">+IF(PROVEEDORES[[#This Row],[FECHA DE PAGO]]=0,TODAY()-PROVEEDORES[[#This Row],[FECHA DE FACTURACIÓN]]-PROVEEDORES[[#This Row],[PLAZO Días]],0)</f>
        <v>0</v>
      </c>
      <c r="U94" s="122">
        <f>+VLOOKUP(PROVEEDORES[[#This Row],[PROVEEDOR]],Terceros!$A:$D,4,FALSE)</f>
        <v>0</v>
      </c>
      <c r="V94" s="122">
        <f>+YEAR(PROVEEDORES[[#This Row],[FECHA DE FACTURACIÓN]])</f>
        <v>2024</v>
      </c>
      <c r="W94" s="122">
        <f>+MATCH(PROVEEDORES[[#This Row],[año facturado]],Retenciones!$1:$1,0)</f>
        <v>3</v>
      </c>
      <c r="X94" s="123">
        <f>+VLOOKUP(PROVEEDORES[[#This Row],[ID RETENCION]],Retenciones!$A$1:$K$25,PROVEEDORES[[#This Row],[indicador de columna]],FALSE)</f>
        <v>0</v>
      </c>
      <c r="Y94" s="124">
        <f>+VLOOKUP(PROVEEDORES[[#This Row],[ID RETENCION]],Retenciones!$A$1:$K$25,2,FALSE)</f>
        <v>0</v>
      </c>
      <c r="Z94" s="125" t="b">
        <f>+OR(COUNTIF(PROVEEDORES[[#This Row],[PROVEEDOR]],"*"&amp;'Palabra que no opera y Listas d'!$A$2&amp;"*"))</f>
        <v>0</v>
      </c>
    </row>
    <row r="95" spans="1:26" ht="27.75" customHeight="1" x14ac:dyDescent="0.25">
      <c r="A95" s="112" t="str">
        <f>+IF(PROVEEDORES[[#This Row],[FECHA DE PAGO]]=PROVEEDORES[[#This Row],[FECHA DE FACTURACIÓN]],"DE CONTADO","CRÉDITO")</f>
        <v>DE CONTADO</v>
      </c>
      <c r="B95" s="112" t="b">
        <f>+IF((PROVEEDORES[[#This Row],[FECHA DE PAGO]]-PROVEEDORES[[#This Row],[FECHA DE FACTURACIÓN]])&gt;PROVEEDORES[[#This Row],[PLAZO Días]],"PAGO VENCIDO")</f>
        <v>0</v>
      </c>
      <c r="C95" s="112">
        <f>+VLOOKUP(PROVEEDORES[[#This Row],[PROVEEDOR]],TERCEROS_INFO[#All],2,FALSE)</f>
        <v>0</v>
      </c>
      <c r="D95" s="113">
        <f>+SUMIFS(PROVEEDORES[Total],PROVEEDORES[PROVEEDOR],PROVEEDORES[[#This Row],[PROVEEDOR]],PROVEEDORES[FECHA DE PAGO],"")</f>
        <v>0</v>
      </c>
      <c r="E95" s="114"/>
      <c r="F95" s="112" t="str">
        <f>+VLOOKUP(PROVEEDORES[[#This Row],[PROVEEDOR]],
                       Terceros!$A:$F,
                       5,
                       FALSE)</f>
        <v>liauribe@une.net.co;girlesa.ruiz@servipilas.com;joriescobar64@gmail.com</v>
      </c>
      <c r="G95" s="115">
        <v>45626</v>
      </c>
      <c r="H95" s="116" t="s">
        <v>197</v>
      </c>
      <c r="I95" s="115">
        <v>45626</v>
      </c>
      <c r="J95" s="117" t="s">
        <v>744</v>
      </c>
      <c r="K95" s="117" t="s">
        <v>256</v>
      </c>
      <c r="L95" s="117" t="s">
        <v>234</v>
      </c>
      <c r="M95" s="118">
        <v>2500000</v>
      </c>
      <c r="N95" s="119">
        <v>475000</v>
      </c>
      <c r="O95" s="119">
        <v>0</v>
      </c>
      <c r="P95" s="120">
        <v>0</v>
      </c>
      <c r="Q95" s="119">
        <v>0</v>
      </c>
      <c r="R95" s="121">
        <v>2975000</v>
      </c>
      <c r="S9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122">
        <f ca="1">+IF(PROVEEDORES[[#This Row],[FECHA DE PAGO]]=0,TODAY()-PROVEEDORES[[#This Row],[FECHA DE FACTURACIÓN]]-PROVEEDORES[[#This Row],[PLAZO Días]],0)</f>
        <v>0</v>
      </c>
      <c r="U95" s="122">
        <f>+VLOOKUP(PROVEEDORES[[#This Row],[PROVEEDOR]],Terceros!$A:$D,4,FALSE)</f>
        <v>0</v>
      </c>
      <c r="V95" s="122">
        <f>+YEAR(PROVEEDORES[[#This Row],[FECHA DE FACTURACIÓN]])</f>
        <v>2024</v>
      </c>
      <c r="W95" s="122">
        <f>+MATCH(PROVEEDORES[[#This Row],[año facturado]],Retenciones!$1:$1,0)</f>
        <v>3</v>
      </c>
      <c r="X95" s="123">
        <f>+VLOOKUP(PROVEEDORES[[#This Row],[ID RETENCION]],Retenciones!$A$1:$K$25,PROVEEDORES[[#This Row],[indicador de columna]],FALSE)</f>
        <v>0</v>
      </c>
      <c r="Y95" s="124">
        <f>+VLOOKUP(PROVEEDORES[[#This Row],[ID RETENCION]],Retenciones!$A$1:$K$25,2,FALSE)</f>
        <v>0</v>
      </c>
      <c r="Z95" s="125" t="b">
        <f>+OR(COUNTIF(PROVEEDORES[[#This Row],[PROVEEDOR]],"*"&amp;'Palabra que no opera y Listas d'!$A$2&amp;"*"))</f>
        <v>1</v>
      </c>
    </row>
    <row r="96" spans="1:26" ht="27.75" customHeight="1" x14ac:dyDescent="0.25">
      <c r="A96" s="112" t="str">
        <f>+IF(PROVEEDORES[[#This Row],[FECHA DE PAGO]]=PROVEEDORES[[#This Row],[FECHA DE FACTURACIÓN]],"DE CONTADO","CRÉDITO")</f>
        <v>DE CONTADO</v>
      </c>
      <c r="B96" s="112" t="b">
        <f>+IF((PROVEEDORES[[#This Row],[FECHA DE PAGO]]-PROVEEDORES[[#This Row],[FECHA DE FACTURACIÓN]])&gt;PROVEEDORES[[#This Row],[PLAZO Días]],"PAGO VENCIDO")</f>
        <v>0</v>
      </c>
      <c r="C96" s="112">
        <f>+VLOOKUP(PROVEEDORES[[#This Row],[PROVEEDOR]],TERCEROS_INFO[#All],2,FALSE)</f>
        <v>30</v>
      </c>
      <c r="D96" s="113">
        <f>+SUMIFS(PROVEEDORES[Total],PROVEEDORES[PROVEEDOR],PROVEEDORES[[#This Row],[PROVEEDOR]],PROVEEDORES[FECHA DE PAGO],"")</f>
        <v>0</v>
      </c>
      <c r="E96" s="114"/>
      <c r="F96" s="112" t="str">
        <f>+VLOOKUP(PROVEEDORES[[#This Row],[PROVEEDOR]],
                       Terceros!$A:$F,
                       5,
                       FALSE)</f>
        <v/>
      </c>
      <c r="G96" s="115">
        <v>45627</v>
      </c>
      <c r="H96" s="116" t="s">
        <v>662</v>
      </c>
      <c r="I96" s="115">
        <v>45627</v>
      </c>
      <c r="J96" s="117" t="s">
        <v>745</v>
      </c>
      <c r="K96" s="117" t="s">
        <v>256</v>
      </c>
      <c r="L96" s="117" t="s">
        <v>234</v>
      </c>
      <c r="M96" s="118">
        <v>90000</v>
      </c>
      <c r="N96" s="119"/>
      <c r="O96" s="119">
        <v>0</v>
      </c>
      <c r="P96" s="120">
        <v>0</v>
      </c>
      <c r="Q96" s="119">
        <v>0</v>
      </c>
      <c r="R96" s="121">
        <v>90000</v>
      </c>
      <c r="S9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122">
        <f ca="1">+IF(PROVEEDORES[[#This Row],[FECHA DE PAGO]]=0,TODAY()-PROVEEDORES[[#This Row],[FECHA DE FACTURACIÓN]]-PROVEEDORES[[#This Row],[PLAZO Días]],0)</f>
        <v>0</v>
      </c>
      <c r="U96" s="122">
        <f>+VLOOKUP(PROVEEDORES[[#This Row],[PROVEEDOR]],Terceros!$A:$D,4,FALSE)</f>
        <v>0</v>
      </c>
      <c r="V96" s="122">
        <f>+YEAR(PROVEEDORES[[#This Row],[FECHA DE FACTURACIÓN]])</f>
        <v>2024</v>
      </c>
      <c r="W96" s="122">
        <f>+MATCH(PROVEEDORES[[#This Row],[año facturado]],Retenciones!$1:$1,0)</f>
        <v>3</v>
      </c>
      <c r="X96" s="123">
        <f>+VLOOKUP(PROVEEDORES[[#This Row],[ID RETENCION]],Retenciones!$A$1:$K$25,PROVEEDORES[[#This Row],[indicador de columna]],FALSE)</f>
        <v>0</v>
      </c>
      <c r="Y96" s="124">
        <f>+VLOOKUP(PROVEEDORES[[#This Row],[ID RETENCION]],Retenciones!$A$1:$K$25,2,FALSE)</f>
        <v>0</v>
      </c>
      <c r="Z96" s="125" t="b">
        <f>+OR(COUNTIF(PROVEEDORES[[#This Row],[PROVEEDOR]],"*"&amp;'Palabra que no opera y Listas d'!$A$2&amp;"*"))</f>
        <v>0</v>
      </c>
    </row>
    <row r="97" spans="1:26" ht="27.75" customHeight="1" x14ac:dyDescent="0.25">
      <c r="A97" s="112" t="str">
        <f>+IF(PROVEEDORES[[#This Row],[FECHA DE PAGO]]=PROVEEDORES[[#This Row],[FECHA DE FACTURACIÓN]],"DE CONTADO","CRÉDITO")</f>
        <v>CRÉDITO</v>
      </c>
      <c r="B97" s="112" t="str">
        <f>+IF((PROVEEDORES[[#This Row],[FECHA DE PAGO]]-PROVEEDORES[[#This Row],[FECHA DE FACTURACIÓN]])&gt;PROVEEDORES[[#This Row],[PLAZO Días]],"PAGO VENCIDO")</f>
        <v>PAGO VENCIDO</v>
      </c>
      <c r="C97" s="112">
        <f>+VLOOKUP(PROVEEDORES[[#This Row],[PROVEEDOR]],TERCEROS_INFO[#All],2,FALSE)</f>
        <v>30</v>
      </c>
      <c r="D97" s="113">
        <f>+SUMIFS(PROVEEDORES[Total],PROVEEDORES[PROVEEDOR],PROVEEDORES[[#This Row],[PROVEEDOR]],PROVEEDORES[FECHA DE PAGO],"")</f>
        <v>3823530</v>
      </c>
      <c r="E97" s="114"/>
      <c r="F97" s="112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97" s="115">
        <v>45628</v>
      </c>
      <c r="H97" s="116" t="s">
        <v>278</v>
      </c>
      <c r="I97" s="115">
        <v>45582</v>
      </c>
      <c r="J97" s="117" t="s">
        <v>746</v>
      </c>
      <c r="K97" s="117" t="s">
        <v>256</v>
      </c>
      <c r="L97" s="117" t="s">
        <v>258</v>
      </c>
      <c r="M97" s="118">
        <v>658000</v>
      </c>
      <c r="N97" s="119">
        <v>125020</v>
      </c>
      <c r="O97" s="119">
        <v>0</v>
      </c>
      <c r="P97" s="120">
        <v>0</v>
      </c>
      <c r="Q97" s="119">
        <v>0</v>
      </c>
      <c r="R97" s="121">
        <v>783020</v>
      </c>
      <c r="S9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122">
        <f ca="1">+IF(PROVEEDORES[[#This Row],[FECHA DE PAGO]]=0,TODAY()-PROVEEDORES[[#This Row],[FECHA DE FACTURACIÓN]]-PROVEEDORES[[#This Row],[PLAZO Días]],0)</f>
        <v>0</v>
      </c>
      <c r="U97" s="122" t="str">
        <f>+VLOOKUP(PROVEEDORES[[#This Row],[PROVEEDOR]],Terceros!$A:$D,4,FALSE)</f>
        <v>2,5% con base</v>
      </c>
      <c r="V97" s="122">
        <f>+YEAR(PROVEEDORES[[#This Row],[FECHA DE FACTURACIÓN]])</f>
        <v>2024</v>
      </c>
      <c r="W97" s="122">
        <f>+MATCH(PROVEEDORES[[#This Row],[año facturado]],Retenciones!$1:$1,0)</f>
        <v>3</v>
      </c>
      <c r="X97" s="123">
        <f>+VLOOKUP(PROVEEDORES[[#This Row],[ID RETENCION]],Retenciones!$A$1:$K$25,PROVEEDORES[[#This Row],[indicador de columna]],FALSE)</f>
        <v>1271000</v>
      </c>
      <c r="Y97" s="124">
        <f>+VLOOKUP(PROVEEDORES[[#This Row],[ID RETENCION]],Retenciones!$A$1:$K$25,2,FALSE)</f>
        <v>2.5000000000000001E-2</v>
      </c>
      <c r="Z97" s="125" t="b">
        <f>+OR(COUNTIF(PROVEEDORES[[#This Row],[PROVEEDOR]],"*"&amp;'Palabra que no opera y Listas d'!$A$2&amp;"*"))</f>
        <v>0</v>
      </c>
    </row>
    <row r="98" spans="1:26" ht="27.75" customHeight="1" x14ac:dyDescent="0.25">
      <c r="A98" s="112" t="str">
        <f>+IF(PROVEEDORES[[#This Row],[FECHA DE PAGO]]=PROVEEDORES[[#This Row],[FECHA DE FACTURACIÓN]],"DE CONTADO","CRÉDITO")</f>
        <v>CRÉDITO</v>
      </c>
      <c r="B98" s="112" t="str">
        <f>+IF((PROVEEDORES[[#This Row],[FECHA DE PAGO]]-PROVEEDORES[[#This Row],[FECHA DE FACTURACIÓN]])&gt;PROVEEDORES[[#This Row],[PLAZO Días]],"PAGO VENCIDO")</f>
        <v>PAGO VENCIDO</v>
      </c>
      <c r="C98" s="112">
        <f>+VLOOKUP(PROVEEDORES[[#This Row],[PROVEEDOR]],TERCEROS_INFO[#All],2,FALSE)</f>
        <v>30</v>
      </c>
      <c r="D98" s="113">
        <f>+SUMIFS(PROVEEDORES[Total],PROVEEDORES[PROVEEDOR],PROVEEDORES[[#This Row],[PROVEEDOR]],PROVEEDORES[FECHA DE PAGO],"")</f>
        <v>0</v>
      </c>
      <c r="E98" s="114"/>
      <c r="F98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98" s="115">
        <v>45628</v>
      </c>
      <c r="H98" s="116" t="s">
        <v>13</v>
      </c>
      <c r="I98" s="115">
        <v>45583</v>
      </c>
      <c r="J98" s="117" t="s">
        <v>747</v>
      </c>
      <c r="K98" s="117" t="s">
        <v>210</v>
      </c>
      <c r="L98" s="117" t="s">
        <v>259</v>
      </c>
      <c r="M98" s="118">
        <v>1407875</v>
      </c>
      <c r="N98" s="119">
        <v>267496.25</v>
      </c>
      <c r="O98" s="119">
        <v>0</v>
      </c>
      <c r="P98" s="120">
        <v>2.5000000000000001E-2</v>
      </c>
      <c r="Q98" s="119">
        <v>35196.875</v>
      </c>
      <c r="R98" s="121">
        <v>1640174.375</v>
      </c>
      <c r="S9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122">
        <f ca="1">+IF(PROVEEDORES[[#This Row],[FECHA DE PAGO]]=0,TODAY()-PROVEEDORES[[#This Row],[FECHA DE FACTURACIÓN]]-PROVEEDORES[[#This Row],[PLAZO Días]],0)</f>
        <v>0</v>
      </c>
      <c r="U98" s="122" t="str">
        <f>+VLOOKUP(PROVEEDORES[[#This Row],[PROVEEDOR]],Terceros!$A:$D,4,FALSE)</f>
        <v>2,5% con base</v>
      </c>
      <c r="V98" s="122">
        <f>+YEAR(PROVEEDORES[[#This Row],[FECHA DE FACTURACIÓN]])</f>
        <v>2024</v>
      </c>
      <c r="W98" s="122">
        <f>+MATCH(PROVEEDORES[[#This Row],[año facturado]],Retenciones!$1:$1,0)</f>
        <v>3</v>
      </c>
      <c r="X98" s="123">
        <f>+VLOOKUP(PROVEEDORES[[#This Row],[ID RETENCION]],Retenciones!$A$1:$K$25,PROVEEDORES[[#This Row],[indicador de columna]],FALSE)</f>
        <v>1271000</v>
      </c>
      <c r="Y98" s="124">
        <f>+VLOOKUP(PROVEEDORES[[#This Row],[ID RETENCION]],Retenciones!$A$1:$K$25,2,FALSE)</f>
        <v>2.5000000000000001E-2</v>
      </c>
      <c r="Z98" s="125" t="b">
        <f>+OR(COUNTIF(PROVEEDORES[[#This Row],[PROVEEDOR]],"*"&amp;'Palabra que no opera y Listas d'!$A$2&amp;"*"))</f>
        <v>0</v>
      </c>
    </row>
    <row r="99" spans="1:26" ht="27.75" customHeight="1" x14ac:dyDescent="0.25">
      <c r="A99" s="112" t="str">
        <f>+IF(PROVEEDORES[[#This Row],[FECHA DE PAGO]]=PROVEEDORES[[#This Row],[FECHA DE FACTURACIÓN]],"DE CONTADO","CRÉDITO")</f>
        <v>CRÉDITO</v>
      </c>
      <c r="B99" s="112" t="str">
        <f>+IF((PROVEEDORES[[#This Row],[FECHA DE PAGO]]-PROVEEDORES[[#This Row],[FECHA DE FACTURACIÓN]])&gt;PROVEEDORES[[#This Row],[PLAZO Días]],"PAGO VENCIDO")</f>
        <v>PAGO VENCIDO</v>
      </c>
      <c r="C99" s="112">
        <f>+VLOOKUP(PROVEEDORES[[#This Row],[PROVEEDOR]],TERCEROS_INFO[#All],2,FALSE)</f>
        <v>30</v>
      </c>
      <c r="D99" s="113">
        <f>+SUMIFS(PROVEEDORES[Total],PROVEEDORES[PROVEEDOR],PROVEEDORES[[#This Row],[PROVEEDOR]],PROVEEDORES[FECHA DE PAGO],"")</f>
        <v>11737128.02</v>
      </c>
      <c r="E99" s="114"/>
      <c r="F99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99" s="115">
        <v>45628</v>
      </c>
      <c r="H99" s="116" t="s">
        <v>536</v>
      </c>
      <c r="I99" s="115">
        <v>45587</v>
      </c>
      <c r="J99" s="117" t="s">
        <v>748</v>
      </c>
      <c r="K99" s="117" t="s">
        <v>256</v>
      </c>
      <c r="L99" s="117" t="s">
        <v>258</v>
      </c>
      <c r="M99" s="118">
        <v>3346554</v>
      </c>
      <c r="N99" s="119">
        <v>635845.26</v>
      </c>
      <c r="O99" s="119">
        <v>0</v>
      </c>
      <c r="P99" s="120">
        <v>2.5000000000000001E-2</v>
      </c>
      <c r="Q99" s="119">
        <v>83663.850000000006</v>
      </c>
      <c r="R99" s="121">
        <v>3898735.4099999997</v>
      </c>
      <c r="S9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122">
        <f ca="1">+IF(PROVEEDORES[[#This Row],[FECHA DE PAGO]]=0,TODAY()-PROVEEDORES[[#This Row],[FECHA DE FACTURACIÓN]]-PROVEEDORES[[#This Row],[PLAZO Días]],0)</f>
        <v>0</v>
      </c>
      <c r="U99" s="122" t="str">
        <f>+VLOOKUP(PROVEEDORES[[#This Row],[PROVEEDOR]],Terceros!$A:$D,4,FALSE)</f>
        <v>2,5% con base</v>
      </c>
      <c r="V99" s="122">
        <f>+YEAR(PROVEEDORES[[#This Row],[FECHA DE FACTURACIÓN]])</f>
        <v>2024</v>
      </c>
      <c r="W99" s="122">
        <f>+MATCH(PROVEEDORES[[#This Row],[año facturado]],Retenciones!$1:$1,0)</f>
        <v>3</v>
      </c>
      <c r="X99" s="123">
        <f>+VLOOKUP(PROVEEDORES[[#This Row],[ID RETENCION]],Retenciones!$A$1:$K$25,PROVEEDORES[[#This Row],[indicador de columna]],FALSE)</f>
        <v>1271000</v>
      </c>
      <c r="Y99" s="124">
        <f>+VLOOKUP(PROVEEDORES[[#This Row],[ID RETENCION]],Retenciones!$A$1:$K$25,2,FALSE)</f>
        <v>2.5000000000000001E-2</v>
      </c>
      <c r="Z99" s="125" t="b">
        <f>+OR(COUNTIF(PROVEEDORES[[#This Row],[PROVEEDOR]],"*"&amp;'Palabra que no opera y Listas d'!$A$2&amp;"*"))</f>
        <v>0</v>
      </c>
    </row>
    <row r="100" spans="1:26" ht="27.75" customHeight="1" x14ac:dyDescent="0.25">
      <c r="A100" s="112" t="str">
        <f>+IF(PROVEEDORES[[#This Row],[FECHA DE PAGO]]=PROVEEDORES[[#This Row],[FECHA DE FACTURACIÓN]],"DE CONTADO","CRÉDITO")</f>
        <v>CRÉDITO</v>
      </c>
      <c r="B100" s="112" t="str">
        <f>+IF((PROVEEDORES[[#This Row],[FECHA DE PAGO]]-PROVEEDORES[[#This Row],[FECHA DE FACTURACIÓN]])&gt;PROVEEDORES[[#This Row],[PLAZO Días]],"PAGO VENCIDO")</f>
        <v>PAGO VENCIDO</v>
      </c>
      <c r="C100" s="112">
        <f>+VLOOKUP(PROVEEDORES[[#This Row],[PROVEEDOR]],TERCEROS_INFO[#All],2,FALSE)</f>
        <v>30</v>
      </c>
      <c r="D100" s="113">
        <f>+SUMIFS(PROVEEDORES[Total],PROVEEDORES[PROVEEDOR],PROVEEDORES[[#This Row],[PROVEEDOR]],PROVEEDORES[FECHA DE PAGO],"")</f>
        <v>11737128.02</v>
      </c>
      <c r="E100" s="114"/>
      <c r="F100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100" s="115">
        <v>45628</v>
      </c>
      <c r="H100" s="116" t="s">
        <v>536</v>
      </c>
      <c r="I100" s="115">
        <v>45587</v>
      </c>
      <c r="J100" s="117" t="s">
        <v>749</v>
      </c>
      <c r="K100" s="117" t="s">
        <v>256</v>
      </c>
      <c r="L100" s="117" t="s">
        <v>258</v>
      </c>
      <c r="M100" s="118">
        <v>222857</v>
      </c>
      <c r="N100" s="119">
        <v>42342.83</v>
      </c>
      <c r="O100" s="119">
        <v>0</v>
      </c>
      <c r="P100" s="120">
        <v>0</v>
      </c>
      <c r="Q100" s="119">
        <v>0</v>
      </c>
      <c r="R100" s="121">
        <v>265199.83</v>
      </c>
      <c r="S10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122">
        <f ca="1">+IF(PROVEEDORES[[#This Row],[FECHA DE PAGO]]=0,TODAY()-PROVEEDORES[[#This Row],[FECHA DE FACTURACIÓN]]-PROVEEDORES[[#This Row],[PLAZO Días]],0)</f>
        <v>0</v>
      </c>
      <c r="U100" s="122" t="str">
        <f>+VLOOKUP(PROVEEDORES[[#This Row],[PROVEEDOR]],Terceros!$A:$D,4,FALSE)</f>
        <v>2,5% con base</v>
      </c>
      <c r="V100" s="122">
        <f>+YEAR(PROVEEDORES[[#This Row],[FECHA DE FACTURACIÓN]])</f>
        <v>2024</v>
      </c>
      <c r="W100" s="122">
        <f>+MATCH(PROVEEDORES[[#This Row],[año facturado]],Retenciones!$1:$1,0)</f>
        <v>3</v>
      </c>
      <c r="X100" s="123">
        <f>+VLOOKUP(PROVEEDORES[[#This Row],[ID RETENCION]],Retenciones!$A$1:$K$25,PROVEEDORES[[#This Row],[indicador de columna]],FALSE)</f>
        <v>1271000</v>
      </c>
      <c r="Y100" s="124">
        <f>+VLOOKUP(PROVEEDORES[[#This Row],[ID RETENCION]],Retenciones!$A$1:$K$25,2,FALSE)</f>
        <v>2.5000000000000001E-2</v>
      </c>
      <c r="Z100" s="125" t="b">
        <f>+OR(COUNTIF(PROVEEDORES[[#This Row],[PROVEEDOR]],"*"&amp;'Palabra que no opera y Listas d'!$A$2&amp;"*"))</f>
        <v>0</v>
      </c>
    </row>
    <row r="101" spans="1:26" ht="27.75" customHeight="1" x14ac:dyDescent="0.25">
      <c r="A101" s="112" t="str">
        <f>+IF(PROVEEDORES[[#This Row],[FECHA DE PAGO]]=PROVEEDORES[[#This Row],[FECHA DE FACTURACIÓN]],"DE CONTADO","CRÉDITO")</f>
        <v>CRÉDITO</v>
      </c>
      <c r="B101" s="112" t="str">
        <f>+IF((PROVEEDORES[[#This Row],[FECHA DE PAGO]]-PROVEEDORES[[#This Row],[FECHA DE FACTURACIÓN]])&gt;PROVEEDORES[[#This Row],[PLAZO Días]],"PAGO VENCIDO")</f>
        <v>PAGO VENCIDO</v>
      </c>
      <c r="C101" s="112">
        <f>+VLOOKUP(PROVEEDORES[[#This Row],[PROVEEDOR]],TERCEROS_INFO[#All],2,FALSE)</f>
        <v>30</v>
      </c>
      <c r="D101" s="113">
        <f>+SUMIFS(PROVEEDORES[Total],PROVEEDORES[PROVEEDOR],PROVEEDORES[[#This Row],[PROVEEDOR]],PROVEEDORES[FECHA DE PAGO],"")</f>
        <v>0</v>
      </c>
      <c r="E101" s="114"/>
      <c r="F101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101" s="115">
        <v>45628</v>
      </c>
      <c r="H101" s="116" t="s">
        <v>491</v>
      </c>
      <c r="I101" s="115">
        <v>45590</v>
      </c>
      <c r="J101" s="117" t="s">
        <v>750</v>
      </c>
      <c r="K101" s="117" t="s">
        <v>256</v>
      </c>
      <c r="L101" s="117" t="s">
        <v>258</v>
      </c>
      <c r="M101" s="118">
        <v>7781010</v>
      </c>
      <c r="N101" s="119">
        <v>1478391.9</v>
      </c>
      <c r="O101" s="119">
        <v>778101</v>
      </c>
      <c r="P101" s="120">
        <v>2.5000000000000001E-2</v>
      </c>
      <c r="Q101" s="119">
        <v>194525.25</v>
      </c>
      <c r="R101" s="121">
        <v>8286775.6500000004</v>
      </c>
      <c r="S10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122">
        <f ca="1">+IF(PROVEEDORES[[#This Row],[FECHA DE PAGO]]=0,TODAY()-PROVEEDORES[[#This Row],[FECHA DE FACTURACIÓN]]-PROVEEDORES[[#This Row],[PLAZO Días]],0)</f>
        <v>0</v>
      </c>
      <c r="U101" s="122" t="str">
        <f>+VLOOKUP(PROVEEDORES[[#This Row],[PROVEEDOR]],Terceros!$A:$D,4,FALSE)</f>
        <v>2,5% con base</v>
      </c>
      <c r="V101" s="122">
        <f>+YEAR(PROVEEDORES[[#This Row],[FECHA DE FACTURACIÓN]])</f>
        <v>2024</v>
      </c>
      <c r="W101" s="122">
        <f>+MATCH(PROVEEDORES[[#This Row],[año facturado]],Retenciones!$1:$1,0)</f>
        <v>3</v>
      </c>
      <c r="X101" s="123">
        <f>+VLOOKUP(PROVEEDORES[[#This Row],[ID RETENCION]],Retenciones!$A$1:$K$25,PROVEEDORES[[#This Row],[indicador de columna]],FALSE)</f>
        <v>1271000</v>
      </c>
      <c r="Y101" s="124">
        <f>+VLOOKUP(PROVEEDORES[[#This Row],[ID RETENCION]],Retenciones!$A$1:$K$25,2,FALSE)</f>
        <v>2.5000000000000001E-2</v>
      </c>
      <c r="Z101" s="125" t="b">
        <f>+OR(COUNTIF(PROVEEDORES[[#This Row],[PROVEEDOR]],"*"&amp;'Palabra que no opera y Listas d'!$A$2&amp;"*"))</f>
        <v>0</v>
      </c>
    </row>
    <row r="102" spans="1:26" ht="27.75" customHeight="1" x14ac:dyDescent="0.25">
      <c r="A102" s="112" t="str">
        <f>+IF(PROVEEDORES[[#This Row],[FECHA DE PAGO]]=PROVEEDORES[[#This Row],[FECHA DE FACTURACIÓN]],"DE CONTADO","CRÉDITO")</f>
        <v>CRÉDITO</v>
      </c>
      <c r="B102" s="112" t="b">
        <f>+IF((PROVEEDORES[[#This Row],[FECHA DE PAGO]]-PROVEEDORES[[#This Row],[FECHA DE FACTURACIÓN]])&gt;PROVEEDORES[[#This Row],[PLAZO Días]],"PAGO VENCIDO")</f>
        <v>0</v>
      </c>
      <c r="C102" s="112">
        <f>+VLOOKUP(PROVEEDORES[[#This Row],[PROVEEDOR]],TERCEROS_INFO[#All],2,FALSE)</f>
        <v>30</v>
      </c>
      <c r="D102" s="113">
        <f>+SUMIFS(PROVEEDORES[Total],PROVEEDORES[PROVEEDOR],PROVEEDORES[[#This Row],[PROVEEDOR]],PROVEEDORES[FECHA DE PAGO],"")</f>
        <v>0</v>
      </c>
      <c r="E102" s="114"/>
      <c r="F102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2" s="115">
        <v>45628</v>
      </c>
      <c r="H102" s="116" t="s">
        <v>93</v>
      </c>
      <c r="I102" s="115">
        <v>45622</v>
      </c>
      <c r="J102" s="117" t="s">
        <v>751</v>
      </c>
      <c r="K102" s="117" t="s">
        <v>210</v>
      </c>
      <c r="L102" s="117" t="s">
        <v>259</v>
      </c>
      <c r="M102" s="118">
        <v>5070090</v>
      </c>
      <c r="N102" s="119">
        <v>963317.1</v>
      </c>
      <c r="O102" s="119">
        <v>530867</v>
      </c>
      <c r="P102" s="120">
        <v>0</v>
      </c>
      <c r="Q102" s="119">
        <v>0</v>
      </c>
      <c r="R102" s="121">
        <v>5502540.0999999996</v>
      </c>
      <c r="S10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122">
        <f ca="1">+IF(PROVEEDORES[[#This Row],[FECHA DE PAGO]]=0,TODAY()-PROVEEDORES[[#This Row],[FECHA DE FACTURACIÓN]]-PROVEEDORES[[#This Row],[PLAZO Días]],0)</f>
        <v>0</v>
      </c>
      <c r="U102" s="122">
        <f>+VLOOKUP(PROVEEDORES[[#This Row],[PROVEEDOR]],Terceros!$A:$D,4,FALSE)</f>
        <v>0</v>
      </c>
      <c r="V102" s="122">
        <f>+YEAR(PROVEEDORES[[#This Row],[FECHA DE FACTURACIÓN]])</f>
        <v>2024</v>
      </c>
      <c r="W102" s="122">
        <f>+MATCH(PROVEEDORES[[#This Row],[año facturado]],Retenciones!$1:$1,0)</f>
        <v>3</v>
      </c>
      <c r="X102" s="123">
        <f>+VLOOKUP(PROVEEDORES[[#This Row],[ID RETENCION]],Retenciones!$A$1:$K$25,PROVEEDORES[[#This Row],[indicador de columna]],FALSE)</f>
        <v>0</v>
      </c>
      <c r="Y102" s="124">
        <f>+VLOOKUP(PROVEEDORES[[#This Row],[ID RETENCION]],Retenciones!$A$1:$K$25,2,FALSE)</f>
        <v>0</v>
      </c>
      <c r="Z102" s="125" t="b">
        <f>+OR(COUNTIF(PROVEEDORES[[#This Row],[PROVEEDOR]],"*"&amp;'Palabra que no opera y Listas d'!$A$2&amp;"*"))</f>
        <v>0</v>
      </c>
    </row>
    <row r="103" spans="1:26" ht="27.75" customHeight="1" x14ac:dyDescent="0.25">
      <c r="A103" s="112" t="str">
        <f>+IF(PROVEEDORES[[#This Row],[FECHA DE PAGO]]=PROVEEDORES[[#This Row],[FECHA DE FACTURACIÓN]],"DE CONTADO","CRÉDITO")</f>
        <v>CRÉDITO</v>
      </c>
      <c r="B103" s="112" t="b">
        <f>+IF((PROVEEDORES[[#This Row],[FECHA DE PAGO]]-PROVEEDORES[[#This Row],[FECHA DE FACTURACIÓN]])&gt;PROVEEDORES[[#This Row],[PLAZO Días]],"PAGO VENCIDO")</f>
        <v>0</v>
      </c>
      <c r="C103" s="112">
        <f>+VLOOKUP(PROVEEDORES[[#This Row],[PROVEEDOR]],TERCEROS_INFO[#All],2,FALSE)</f>
        <v>30</v>
      </c>
      <c r="D103" s="113">
        <f>+SUMIFS(PROVEEDORES[Total],PROVEEDORES[PROVEEDOR],PROVEEDORES[[#This Row],[PROVEEDOR]],PROVEEDORES[FECHA DE PAGO],"")</f>
        <v>0</v>
      </c>
      <c r="E103" s="114"/>
      <c r="F103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3" s="115">
        <v>45628</v>
      </c>
      <c r="H103" s="116" t="s">
        <v>93</v>
      </c>
      <c r="I103" s="115">
        <v>45622</v>
      </c>
      <c r="J103" s="117" t="s">
        <v>752</v>
      </c>
      <c r="K103" s="117" t="s">
        <v>210</v>
      </c>
      <c r="L103" s="117" t="s">
        <v>259</v>
      </c>
      <c r="M103" s="118">
        <v>13277789</v>
      </c>
      <c r="N103" s="119">
        <v>2522779.91</v>
      </c>
      <c r="O103" s="119">
        <v>1385026</v>
      </c>
      <c r="P103" s="120">
        <v>0</v>
      </c>
      <c r="Q103" s="119">
        <v>0</v>
      </c>
      <c r="R103" s="121">
        <v>14415542.91</v>
      </c>
      <c r="S10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122">
        <f ca="1">+IF(PROVEEDORES[[#This Row],[FECHA DE PAGO]]=0,TODAY()-PROVEEDORES[[#This Row],[FECHA DE FACTURACIÓN]]-PROVEEDORES[[#This Row],[PLAZO Días]],0)</f>
        <v>0</v>
      </c>
      <c r="U103" s="122">
        <f>+VLOOKUP(PROVEEDORES[[#This Row],[PROVEEDOR]],Terceros!$A:$D,4,FALSE)</f>
        <v>0</v>
      </c>
      <c r="V103" s="122">
        <f>+YEAR(PROVEEDORES[[#This Row],[FECHA DE FACTURACIÓN]])</f>
        <v>2024</v>
      </c>
      <c r="W103" s="122">
        <f>+MATCH(PROVEEDORES[[#This Row],[año facturado]],Retenciones!$1:$1,0)</f>
        <v>3</v>
      </c>
      <c r="X103" s="123">
        <f>+VLOOKUP(PROVEEDORES[[#This Row],[ID RETENCION]],Retenciones!$A$1:$K$25,PROVEEDORES[[#This Row],[indicador de columna]],FALSE)</f>
        <v>0</v>
      </c>
      <c r="Y103" s="124">
        <f>+VLOOKUP(PROVEEDORES[[#This Row],[ID RETENCION]],Retenciones!$A$1:$K$25,2,FALSE)</f>
        <v>0</v>
      </c>
      <c r="Z103" s="125" t="b">
        <f>+OR(COUNTIF(PROVEEDORES[[#This Row],[PROVEEDOR]],"*"&amp;'Palabra que no opera y Listas d'!$A$2&amp;"*"))</f>
        <v>0</v>
      </c>
    </row>
    <row r="104" spans="1:26" ht="27.75" customHeight="1" x14ac:dyDescent="0.25">
      <c r="A104" s="112" t="str">
        <f>+IF(PROVEEDORES[[#This Row],[FECHA DE PAGO]]=PROVEEDORES[[#This Row],[FECHA DE FACTURACIÓN]],"DE CONTADO","CRÉDITO")</f>
        <v>CRÉDITO</v>
      </c>
      <c r="B104" s="112" t="str">
        <f>+IF((PROVEEDORES[[#This Row],[FECHA DE PAGO]]-PROVEEDORES[[#This Row],[FECHA DE FACTURACIÓN]])&gt;PROVEEDORES[[#This Row],[PLAZO Días]],"PAGO VENCIDO")</f>
        <v>PAGO VENCIDO</v>
      </c>
      <c r="C104" s="112">
        <f>+VLOOKUP(PROVEEDORES[[#This Row],[PROVEEDOR]],TERCEROS_INFO[#All],2,FALSE)</f>
        <v>30</v>
      </c>
      <c r="D104" s="113">
        <f>+SUMIFS(PROVEEDORES[Total],PROVEEDORES[PROVEEDOR],PROVEEDORES[[#This Row],[PROVEEDOR]],PROVEEDORES[FECHA DE PAGO],"")</f>
        <v>2213383</v>
      </c>
      <c r="E104" s="114"/>
      <c r="F104" s="112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4" s="115">
        <v>45629</v>
      </c>
      <c r="H104" s="116" t="s">
        <v>192</v>
      </c>
      <c r="I104" s="115">
        <v>45567</v>
      </c>
      <c r="J104" s="117">
        <v>36185</v>
      </c>
      <c r="K104" s="117" t="s">
        <v>256</v>
      </c>
      <c r="L104" s="117" t="s">
        <v>261</v>
      </c>
      <c r="M104" s="118">
        <v>4116710</v>
      </c>
      <c r="N104" s="119">
        <v>782174.9</v>
      </c>
      <c r="O104" s="119">
        <v>316670</v>
      </c>
      <c r="P104" s="120">
        <v>2.5000000000000001E-2</v>
      </c>
      <c r="Q104" s="119">
        <v>95001</v>
      </c>
      <c r="R104" s="121">
        <v>4487213.9000000004</v>
      </c>
      <c r="S10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122">
        <f ca="1">+IF(PROVEEDORES[[#This Row],[FECHA DE PAGO]]=0,TODAY()-PROVEEDORES[[#This Row],[FECHA DE FACTURACIÓN]]-PROVEEDORES[[#This Row],[PLAZO Días]],0)</f>
        <v>0</v>
      </c>
      <c r="U104" s="122" t="str">
        <f>+VLOOKUP(PROVEEDORES[[#This Row],[PROVEEDOR]],Terceros!$A:$D,4,FALSE)</f>
        <v>2,5% con base</v>
      </c>
      <c r="V104" s="122">
        <f>+YEAR(PROVEEDORES[[#This Row],[FECHA DE FACTURACIÓN]])</f>
        <v>2024</v>
      </c>
      <c r="W104" s="122">
        <f>+MATCH(PROVEEDORES[[#This Row],[año facturado]],Retenciones!$1:$1,0)</f>
        <v>3</v>
      </c>
      <c r="X104" s="123">
        <f>+VLOOKUP(PROVEEDORES[[#This Row],[ID RETENCION]],Retenciones!$A$1:$K$25,PROVEEDORES[[#This Row],[indicador de columna]],FALSE)</f>
        <v>1271000</v>
      </c>
      <c r="Y104" s="124">
        <f>+VLOOKUP(PROVEEDORES[[#This Row],[ID RETENCION]],Retenciones!$A$1:$K$25,2,FALSE)</f>
        <v>2.5000000000000001E-2</v>
      </c>
      <c r="Z104" s="125" t="b">
        <f>+OR(COUNTIF(PROVEEDORES[[#This Row],[PROVEEDOR]],"*"&amp;'Palabra que no opera y Listas d'!$A$2&amp;"*"))</f>
        <v>0</v>
      </c>
    </row>
    <row r="105" spans="1:26" ht="27.75" customHeight="1" x14ac:dyDescent="0.25">
      <c r="A105" s="112" t="str">
        <f>+IF(PROVEEDORES[[#This Row],[FECHA DE PAGO]]=PROVEEDORES[[#This Row],[FECHA DE FACTURACIÓN]],"DE CONTADO","CRÉDITO")</f>
        <v>CRÉDITO</v>
      </c>
      <c r="B105" s="112" t="str">
        <f>+IF((PROVEEDORES[[#This Row],[FECHA DE PAGO]]-PROVEEDORES[[#This Row],[FECHA DE FACTURACIÓN]])&gt;PROVEEDORES[[#This Row],[PLAZO Días]],"PAGO VENCIDO")</f>
        <v>PAGO VENCIDO</v>
      </c>
      <c r="C105" s="112">
        <f>+VLOOKUP(PROVEEDORES[[#This Row],[PROVEEDOR]],TERCEROS_INFO[#All],2,FALSE)</f>
        <v>30</v>
      </c>
      <c r="D105" s="113">
        <f>+SUMIFS(PROVEEDORES[Total],PROVEEDORES[PROVEEDOR],PROVEEDORES[[#This Row],[PROVEEDOR]],PROVEEDORES[FECHA DE PAGO],"")</f>
        <v>630000.28</v>
      </c>
      <c r="E105" s="114"/>
      <c r="F105" s="112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5" s="115">
        <v>45629</v>
      </c>
      <c r="H105" s="116" t="s">
        <v>518</v>
      </c>
      <c r="I105" s="115">
        <v>45585</v>
      </c>
      <c r="J105" s="117" t="s">
        <v>753</v>
      </c>
      <c r="K105" s="117" t="s">
        <v>256</v>
      </c>
      <c r="L105" s="117" t="s">
        <v>258</v>
      </c>
      <c r="M105" s="118">
        <v>2191177</v>
      </c>
      <c r="N105" s="119">
        <v>416323.63</v>
      </c>
      <c r="O105" s="119">
        <v>0</v>
      </c>
      <c r="P105" s="120">
        <v>2.5000000000000001E-2</v>
      </c>
      <c r="Q105" s="119">
        <v>54779.425000000003</v>
      </c>
      <c r="R105" s="121">
        <v>2552721.2050000001</v>
      </c>
      <c r="S10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122">
        <f ca="1">+IF(PROVEEDORES[[#This Row],[FECHA DE PAGO]]=0,TODAY()-PROVEEDORES[[#This Row],[FECHA DE FACTURACIÓN]]-PROVEEDORES[[#This Row],[PLAZO Días]],0)</f>
        <v>0</v>
      </c>
      <c r="U105" s="122" t="str">
        <f>+VLOOKUP(PROVEEDORES[[#This Row],[PROVEEDOR]],Terceros!$A:$D,4,FALSE)</f>
        <v>2,5% con base</v>
      </c>
      <c r="V105" s="122">
        <f>+YEAR(PROVEEDORES[[#This Row],[FECHA DE FACTURACIÓN]])</f>
        <v>2024</v>
      </c>
      <c r="W105" s="122">
        <f>+MATCH(PROVEEDORES[[#This Row],[año facturado]],Retenciones!$1:$1,0)</f>
        <v>3</v>
      </c>
      <c r="X105" s="123">
        <f>+VLOOKUP(PROVEEDORES[[#This Row],[ID RETENCION]],Retenciones!$A$1:$K$25,PROVEEDORES[[#This Row],[indicador de columna]],FALSE)</f>
        <v>1271000</v>
      </c>
      <c r="Y105" s="124">
        <f>+VLOOKUP(PROVEEDORES[[#This Row],[ID RETENCION]],Retenciones!$A$1:$K$25,2,FALSE)</f>
        <v>2.5000000000000001E-2</v>
      </c>
      <c r="Z105" s="125" t="b">
        <f>+OR(COUNTIF(PROVEEDORES[[#This Row],[PROVEEDOR]],"*"&amp;'Palabra que no opera y Listas d'!$A$2&amp;"*"))</f>
        <v>0</v>
      </c>
    </row>
    <row r="106" spans="1:26" ht="27.75" customHeight="1" x14ac:dyDescent="0.25">
      <c r="A106" s="112" t="str">
        <f>+IF(PROVEEDORES[[#This Row],[FECHA DE PAGO]]=PROVEEDORES[[#This Row],[FECHA DE FACTURACIÓN]],"DE CONTADO","CRÉDITO")</f>
        <v>CRÉDITO</v>
      </c>
      <c r="B106" s="112" t="str">
        <f>+IF((PROVEEDORES[[#This Row],[FECHA DE PAGO]]-PROVEEDORES[[#This Row],[FECHA DE FACTURACIÓN]])&gt;PROVEEDORES[[#This Row],[PLAZO Días]],"PAGO VENCIDO")</f>
        <v>PAGO VENCIDO</v>
      </c>
      <c r="C106" s="112">
        <f>+VLOOKUP(PROVEEDORES[[#This Row],[PROVEEDOR]],TERCEROS_INFO[#All],2,FALSE)</f>
        <v>30</v>
      </c>
      <c r="D106" s="113">
        <f>+SUMIFS(PROVEEDORES[Total],PROVEEDORES[PROVEEDOR],PROVEEDORES[[#This Row],[PROVEEDOR]],PROVEEDORES[FECHA DE PAGO],"")</f>
        <v>0</v>
      </c>
      <c r="E106" s="114"/>
      <c r="F106" s="112" t="str">
        <f>+VLOOKUP(PROVEEDORES[[#This Row],[PROVEEDOR]],
                       Terceros!$A:$F,
                       5,
                       FALSE)</f>
        <v/>
      </c>
      <c r="G106" s="115">
        <v>45629</v>
      </c>
      <c r="H106" s="116" t="s">
        <v>661</v>
      </c>
      <c r="I106" s="115">
        <v>45587</v>
      </c>
      <c r="J106" s="117" t="s">
        <v>754</v>
      </c>
      <c r="K106" s="117" t="s">
        <v>256</v>
      </c>
      <c r="L106" s="117" t="s">
        <v>234</v>
      </c>
      <c r="M106" s="118">
        <v>1940000</v>
      </c>
      <c r="N106" s="119"/>
      <c r="O106" s="119">
        <v>0</v>
      </c>
      <c r="P106" s="120">
        <v>0</v>
      </c>
      <c r="Q106" s="119">
        <v>0</v>
      </c>
      <c r="R106" s="121">
        <v>1940000</v>
      </c>
      <c r="S10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122">
        <f ca="1">+IF(PROVEEDORES[[#This Row],[FECHA DE PAGO]]=0,TODAY()-PROVEEDORES[[#This Row],[FECHA DE FACTURACIÓN]]-PROVEEDORES[[#This Row],[PLAZO Días]],0)</f>
        <v>0</v>
      </c>
      <c r="U106" s="122">
        <f>+VLOOKUP(PROVEEDORES[[#This Row],[PROVEEDOR]],Terceros!$A:$D,4,FALSE)</f>
        <v>0</v>
      </c>
      <c r="V106" s="122">
        <f>+YEAR(PROVEEDORES[[#This Row],[FECHA DE FACTURACIÓN]])</f>
        <v>2024</v>
      </c>
      <c r="W106" s="122">
        <f>+MATCH(PROVEEDORES[[#This Row],[año facturado]],Retenciones!$1:$1,0)</f>
        <v>3</v>
      </c>
      <c r="X106" s="123">
        <f>+VLOOKUP(PROVEEDORES[[#This Row],[ID RETENCION]],Retenciones!$A$1:$K$25,PROVEEDORES[[#This Row],[indicador de columna]],FALSE)</f>
        <v>0</v>
      </c>
      <c r="Y106" s="124">
        <f>+VLOOKUP(PROVEEDORES[[#This Row],[ID RETENCION]],Retenciones!$A$1:$K$25,2,FALSE)</f>
        <v>0</v>
      </c>
      <c r="Z106" s="125" t="b">
        <f>+OR(COUNTIF(PROVEEDORES[[#This Row],[PROVEEDOR]],"*"&amp;'Palabra que no opera y Listas d'!$A$2&amp;"*"))</f>
        <v>0</v>
      </c>
    </row>
    <row r="107" spans="1:26" ht="27.75" customHeight="1" x14ac:dyDescent="0.25">
      <c r="A107" s="112" t="str">
        <f>+IF(PROVEEDORES[[#This Row],[FECHA DE PAGO]]=PROVEEDORES[[#This Row],[FECHA DE FACTURACIÓN]],"DE CONTADO","CRÉDITO")</f>
        <v>CRÉDITO</v>
      </c>
      <c r="B107" s="112" t="str">
        <f>+IF((PROVEEDORES[[#This Row],[FECHA DE PAGO]]-PROVEEDORES[[#This Row],[FECHA DE FACTURACIÓN]])&gt;PROVEEDORES[[#This Row],[PLAZO Días]],"PAGO VENCIDO")</f>
        <v>PAGO VENCIDO</v>
      </c>
      <c r="C107" s="112">
        <f>+VLOOKUP(PROVEEDORES[[#This Row],[PROVEEDOR]],TERCEROS_INFO[#All],2,FALSE)</f>
        <v>30</v>
      </c>
      <c r="D107" s="113">
        <f>+SUMIFS(PROVEEDORES[Total],PROVEEDORES[PROVEEDOR],PROVEEDORES[[#This Row],[PROVEEDOR]],PROVEEDORES[FECHA DE PAGO],"")</f>
        <v>10855078.560000001</v>
      </c>
      <c r="E107" s="114"/>
      <c r="F107" s="112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7" s="115">
        <v>45629</v>
      </c>
      <c r="H107" s="116" t="s">
        <v>10</v>
      </c>
      <c r="I107" s="115">
        <v>45587</v>
      </c>
      <c r="J107" s="117" t="s">
        <v>755</v>
      </c>
      <c r="K107" s="117" t="s">
        <v>256</v>
      </c>
      <c r="L107" s="117" t="s">
        <v>260</v>
      </c>
      <c r="M107" s="118">
        <v>6211776</v>
      </c>
      <c r="N107" s="119">
        <v>1180237.44</v>
      </c>
      <c r="O107" s="119">
        <v>0</v>
      </c>
      <c r="P107" s="120">
        <v>2.5000000000000001E-2</v>
      </c>
      <c r="Q107" s="119">
        <v>155294.39999999999</v>
      </c>
      <c r="R107" s="121">
        <v>7236719.0399999991</v>
      </c>
      <c r="S10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122">
        <f ca="1">+IF(PROVEEDORES[[#This Row],[FECHA DE PAGO]]=0,TODAY()-PROVEEDORES[[#This Row],[FECHA DE FACTURACIÓN]]-PROVEEDORES[[#This Row],[PLAZO Días]],0)</f>
        <v>0</v>
      </c>
      <c r="U107" s="122" t="str">
        <f>+VLOOKUP(PROVEEDORES[[#This Row],[PROVEEDOR]],Terceros!$A:$D,4,FALSE)</f>
        <v>2,5% con base</v>
      </c>
      <c r="V107" s="122">
        <f>+YEAR(PROVEEDORES[[#This Row],[FECHA DE FACTURACIÓN]])</f>
        <v>2024</v>
      </c>
      <c r="W107" s="122">
        <f>+MATCH(PROVEEDORES[[#This Row],[año facturado]],Retenciones!$1:$1,0)</f>
        <v>3</v>
      </c>
      <c r="X107" s="123">
        <f>+VLOOKUP(PROVEEDORES[[#This Row],[ID RETENCION]],Retenciones!$A$1:$K$25,PROVEEDORES[[#This Row],[indicador de columna]],FALSE)</f>
        <v>1271000</v>
      </c>
      <c r="Y107" s="124">
        <f>+VLOOKUP(PROVEEDORES[[#This Row],[ID RETENCION]],Retenciones!$A$1:$K$25,2,FALSE)</f>
        <v>2.5000000000000001E-2</v>
      </c>
      <c r="Z107" s="125" t="b">
        <f>+OR(COUNTIF(PROVEEDORES[[#This Row],[PROVEEDOR]],"*"&amp;'Palabra que no opera y Listas d'!$A$2&amp;"*"))</f>
        <v>0</v>
      </c>
    </row>
    <row r="108" spans="1:26" ht="27.75" customHeight="1" x14ac:dyDescent="0.25">
      <c r="A108" s="112" t="str">
        <f>+IF(PROVEEDORES[[#This Row],[FECHA DE PAGO]]=PROVEEDORES[[#This Row],[FECHA DE FACTURACIÓN]],"DE CONTADO","CRÉDITO")</f>
        <v>DE CONTADO</v>
      </c>
      <c r="B108" s="112" t="b">
        <f>+IF((PROVEEDORES[[#This Row],[FECHA DE PAGO]]-PROVEEDORES[[#This Row],[FECHA DE FACTURACIÓN]])&gt;PROVEEDORES[[#This Row],[PLAZO Días]],"PAGO VENCIDO")</f>
        <v>0</v>
      </c>
      <c r="C108" s="112">
        <f>+VLOOKUP(PROVEEDORES[[#This Row],[PROVEEDOR]],TERCEROS_INFO[#All],2,FALSE)</f>
        <v>30</v>
      </c>
      <c r="D108" s="113">
        <f>+SUMIFS(PROVEEDORES[Total],PROVEEDORES[PROVEEDOR],PROVEEDORES[[#This Row],[PROVEEDOR]],PROVEEDORES[FECHA DE PAGO],"")</f>
        <v>0</v>
      </c>
      <c r="E108" s="114"/>
      <c r="F108" s="112" t="str">
        <f>+VLOOKUP(PROVEEDORES[[#This Row],[PROVEEDOR]],
                       Terceros!$A:$F,
                       5,
                       FALSE)</f>
        <v/>
      </c>
      <c r="G108" s="115">
        <v>45629</v>
      </c>
      <c r="H108" s="116" t="s">
        <v>317</v>
      </c>
      <c r="I108" s="115">
        <v>45629</v>
      </c>
      <c r="J108" s="117" t="s">
        <v>756</v>
      </c>
      <c r="K108" s="117" t="s">
        <v>256</v>
      </c>
      <c r="L108" s="117" t="s">
        <v>234</v>
      </c>
      <c r="M108" s="118">
        <v>700000</v>
      </c>
      <c r="N108" s="119"/>
      <c r="O108" s="119">
        <v>0</v>
      </c>
      <c r="P108" s="120">
        <v>0</v>
      </c>
      <c r="Q108" s="119">
        <v>0</v>
      </c>
      <c r="R108" s="121">
        <v>700000</v>
      </c>
      <c r="S10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122">
        <f ca="1">+IF(PROVEEDORES[[#This Row],[FECHA DE PAGO]]=0,TODAY()-PROVEEDORES[[#This Row],[FECHA DE FACTURACIÓN]]-PROVEEDORES[[#This Row],[PLAZO Días]],0)</f>
        <v>0</v>
      </c>
      <c r="U108" s="122">
        <f>+VLOOKUP(PROVEEDORES[[#This Row],[PROVEEDOR]],Terceros!$A:$D,4,FALSE)</f>
        <v>0</v>
      </c>
      <c r="V108" s="122">
        <f>+YEAR(PROVEEDORES[[#This Row],[FECHA DE FACTURACIÓN]])</f>
        <v>2024</v>
      </c>
      <c r="W108" s="122">
        <f>+MATCH(PROVEEDORES[[#This Row],[año facturado]],Retenciones!$1:$1,0)</f>
        <v>3</v>
      </c>
      <c r="X108" s="123">
        <f>+VLOOKUP(PROVEEDORES[[#This Row],[ID RETENCION]],Retenciones!$A$1:$K$25,PROVEEDORES[[#This Row],[indicador de columna]],FALSE)</f>
        <v>0</v>
      </c>
      <c r="Y108" s="124">
        <f>+VLOOKUP(PROVEEDORES[[#This Row],[ID RETENCION]],Retenciones!$A$1:$K$25,2,FALSE)</f>
        <v>0</v>
      </c>
      <c r="Z108" s="125" t="b">
        <f>+OR(COUNTIF(PROVEEDORES[[#This Row],[PROVEEDOR]],"*"&amp;'Palabra que no opera y Listas d'!$A$2&amp;"*"))</f>
        <v>1</v>
      </c>
    </row>
    <row r="109" spans="1:26" ht="27.75" customHeight="1" x14ac:dyDescent="0.25">
      <c r="A109" s="112" t="str">
        <f>+IF(PROVEEDORES[[#This Row],[FECHA DE PAGO]]=PROVEEDORES[[#This Row],[FECHA DE FACTURACIÓN]],"DE CONTADO","CRÉDITO")</f>
        <v>CRÉDITO</v>
      </c>
      <c r="B109" s="112" t="b">
        <f>+IF((PROVEEDORES[[#This Row],[FECHA DE PAGO]]-PROVEEDORES[[#This Row],[FECHA DE FACTURACIÓN]])&gt;PROVEEDORES[[#This Row],[PLAZO Días]],"PAGO VENCIDO")</f>
        <v>0</v>
      </c>
      <c r="C109" s="112">
        <f>+VLOOKUP(PROVEEDORES[[#This Row],[PROVEEDOR]],TERCEROS_INFO[#All],2,FALSE)</f>
        <v>30</v>
      </c>
      <c r="D109" s="113">
        <f>+SUMIFS(PROVEEDORES[Total],PROVEEDORES[PROVEEDOR],PROVEEDORES[[#This Row],[PROVEEDOR]],PROVEEDORES[FECHA DE PAGO],"")</f>
        <v>0</v>
      </c>
      <c r="E109" s="114"/>
      <c r="F109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09" s="115">
        <v>45630</v>
      </c>
      <c r="H109" s="116" t="s">
        <v>93</v>
      </c>
      <c r="I109" s="115">
        <v>45615</v>
      </c>
      <c r="J109" s="117" t="s">
        <v>757</v>
      </c>
      <c r="K109" s="117" t="s">
        <v>256</v>
      </c>
      <c r="L109" s="117" t="s">
        <v>260</v>
      </c>
      <c r="M109" s="118">
        <v>2671578</v>
      </c>
      <c r="N109" s="119">
        <v>507599.82</v>
      </c>
      <c r="O109" s="119">
        <v>213726.24</v>
      </c>
      <c r="P109" s="120">
        <v>0</v>
      </c>
      <c r="Q109" s="119">
        <v>0</v>
      </c>
      <c r="R109" s="121">
        <v>2965451.58</v>
      </c>
      <c r="S10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122">
        <f ca="1">+IF(PROVEEDORES[[#This Row],[FECHA DE PAGO]]=0,TODAY()-PROVEEDORES[[#This Row],[FECHA DE FACTURACIÓN]]-PROVEEDORES[[#This Row],[PLAZO Días]],0)</f>
        <v>0</v>
      </c>
      <c r="U109" s="122">
        <f>+VLOOKUP(PROVEEDORES[[#This Row],[PROVEEDOR]],Terceros!$A:$D,4,FALSE)</f>
        <v>0</v>
      </c>
      <c r="V109" s="122">
        <f>+YEAR(PROVEEDORES[[#This Row],[FECHA DE FACTURACIÓN]])</f>
        <v>2024</v>
      </c>
      <c r="W109" s="122">
        <f>+MATCH(PROVEEDORES[[#This Row],[año facturado]],Retenciones!$1:$1,0)</f>
        <v>3</v>
      </c>
      <c r="X109" s="123">
        <f>+VLOOKUP(PROVEEDORES[[#This Row],[ID RETENCION]],Retenciones!$A$1:$K$25,PROVEEDORES[[#This Row],[indicador de columna]],FALSE)</f>
        <v>0</v>
      </c>
      <c r="Y109" s="124">
        <f>+VLOOKUP(PROVEEDORES[[#This Row],[ID RETENCION]],Retenciones!$A$1:$K$25,2,FALSE)</f>
        <v>0</v>
      </c>
      <c r="Z109" s="125" t="b">
        <f>+OR(COUNTIF(PROVEEDORES[[#This Row],[PROVEEDOR]],"*"&amp;'Palabra que no opera y Listas d'!$A$2&amp;"*"))</f>
        <v>0</v>
      </c>
    </row>
    <row r="110" spans="1:26" ht="27.75" customHeight="1" x14ac:dyDescent="0.25">
      <c r="A110" s="112" t="str">
        <f>+IF(PROVEEDORES[[#This Row],[FECHA DE PAGO]]=PROVEEDORES[[#This Row],[FECHA DE FACTURACIÓN]],"DE CONTADO","CRÉDITO")</f>
        <v>CRÉDITO</v>
      </c>
      <c r="B110" s="112" t="b">
        <f>+IF((PROVEEDORES[[#This Row],[FECHA DE PAGO]]-PROVEEDORES[[#This Row],[FECHA DE FACTURACIÓN]])&gt;PROVEEDORES[[#This Row],[PLAZO Días]],"PAGO VENCIDO")</f>
        <v>0</v>
      </c>
      <c r="C110" s="112">
        <f>+VLOOKUP(PROVEEDORES[[#This Row],[PROVEEDOR]],TERCEROS_INFO[#All],2,FALSE)</f>
        <v>60</v>
      </c>
      <c r="D110" s="113">
        <f>+SUMIFS(PROVEEDORES[Total],PROVEEDORES[PROVEEDOR],PROVEEDORES[[#This Row],[PROVEEDOR]],PROVEEDORES[FECHA DE PAGO],"")</f>
        <v>0</v>
      </c>
      <c r="E110" s="114"/>
      <c r="F110" s="112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0" s="115">
        <v>45631</v>
      </c>
      <c r="H110" s="116" t="s">
        <v>8</v>
      </c>
      <c r="I110" s="115">
        <v>45589</v>
      </c>
      <c r="J110" s="117" t="s">
        <v>758</v>
      </c>
      <c r="K110" s="117" t="s">
        <v>256</v>
      </c>
      <c r="L110" s="117" t="s">
        <v>258</v>
      </c>
      <c r="M110" s="118">
        <v>2230466</v>
      </c>
      <c r="N110" s="119">
        <v>423788.54</v>
      </c>
      <c r="O110" s="119">
        <v>223046.6</v>
      </c>
      <c r="P110" s="120">
        <v>2.5000000000000001E-2</v>
      </c>
      <c r="Q110" s="119">
        <v>55761.65</v>
      </c>
      <c r="R110" s="121">
        <v>2375446.29</v>
      </c>
      <c r="S11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122">
        <f ca="1">+IF(PROVEEDORES[[#This Row],[FECHA DE PAGO]]=0,TODAY()-PROVEEDORES[[#This Row],[FECHA DE FACTURACIÓN]]-PROVEEDORES[[#This Row],[PLAZO Días]],0)</f>
        <v>0</v>
      </c>
      <c r="U110" s="122" t="str">
        <f>+VLOOKUP(PROVEEDORES[[#This Row],[PROVEEDOR]],Terceros!$A:$D,4,FALSE)</f>
        <v>2,5% con base</v>
      </c>
      <c r="V110" s="122">
        <f>+YEAR(PROVEEDORES[[#This Row],[FECHA DE FACTURACIÓN]])</f>
        <v>2024</v>
      </c>
      <c r="W110" s="122">
        <f>+MATCH(PROVEEDORES[[#This Row],[año facturado]],Retenciones!$1:$1,0)</f>
        <v>3</v>
      </c>
      <c r="X110" s="123">
        <f>+VLOOKUP(PROVEEDORES[[#This Row],[ID RETENCION]],Retenciones!$A$1:$K$25,PROVEEDORES[[#This Row],[indicador de columna]],FALSE)</f>
        <v>1271000</v>
      </c>
      <c r="Y110" s="124">
        <f>+VLOOKUP(PROVEEDORES[[#This Row],[ID RETENCION]],Retenciones!$A$1:$K$25,2,FALSE)</f>
        <v>2.5000000000000001E-2</v>
      </c>
      <c r="Z110" s="125" t="b">
        <f>+OR(COUNTIF(PROVEEDORES[[#This Row],[PROVEEDOR]],"*"&amp;'Palabra que no opera y Listas d'!$A$2&amp;"*"))</f>
        <v>0</v>
      </c>
    </row>
    <row r="111" spans="1:26" ht="27.75" customHeight="1" x14ac:dyDescent="0.25">
      <c r="A111" s="112" t="str">
        <f>+IF(PROVEEDORES[[#This Row],[FECHA DE PAGO]]=PROVEEDORES[[#This Row],[FECHA DE FACTURACIÓN]],"DE CONTADO","CRÉDITO")</f>
        <v>CRÉDITO</v>
      </c>
      <c r="B111" s="112" t="str">
        <f>+IF((PROVEEDORES[[#This Row],[FECHA DE PAGO]]-PROVEEDORES[[#This Row],[FECHA DE FACTURACIÓN]])&gt;PROVEEDORES[[#This Row],[PLAZO Días]],"PAGO VENCIDO")</f>
        <v>PAGO VENCIDO</v>
      </c>
      <c r="C111" s="112">
        <f>+VLOOKUP(PROVEEDORES[[#This Row],[PROVEEDOR]],TERCEROS_INFO[#All],2,FALSE)</f>
        <v>30</v>
      </c>
      <c r="D111" s="113">
        <f>+SUMIFS(PROVEEDORES[Total],PROVEEDORES[PROVEEDOR],PROVEEDORES[[#This Row],[PROVEEDOR]],PROVEEDORES[FECHA DE PAGO],"")</f>
        <v>3837000</v>
      </c>
      <c r="E111" s="114"/>
      <c r="F111" s="112">
        <f>+VLOOKUP(PROVEEDORES[[#This Row],[PROVEEDOR]],
                       Terceros!$A:$F,
                       5,
                       FALSE)</f>
        <v>0</v>
      </c>
      <c r="G111" s="115">
        <v>45632</v>
      </c>
      <c r="H111" s="116" t="s">
        <v>663</v>
      </c>
      <c r="I111" s="115">
        <v>45580</v>
      </c>
      <c r="J111" s="117" t="s">
        <v>759</v>
      </c>
      <c r="K111" s="117" t="s">
        <v>256</v>
      </c>
      <c r="L111" s="117" t="s">
        <v>234</v>
      </c>
      <c r="M111" s="118">
        <v>1312000</v>
      </c>
      <c r="N111" s="119"/>
      <c r="O111" s="119">
        <v>0</v>
      </c>
      <c r="P111" s="120">
        <v>0</v>
      </c>
      <c r="Q111" s="119">
        <v>0</v>
      </c>
      <c r="R111" s="121">
        <v>1312000</v>
      </c>
      <c r="S11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122">
        <f ca="1">+IF(PROVEEDORES[[#This Row],[FECHA DE PAGO]]=0,TODAY()-PROVEEDORES[[#This Row],[FECHA DE FACTURACIÓN]]-PROVEEDORES[[#This Row],[PLAZO Días]],0)</f>
        <v>0</v>
      </c>
      <c r="U111" s="122">
        <f>+VLOOKUP(PROVEEDORES[[#This Row],[PROVEEDOR]],Terceros!$A:$D,4,FALSE)</f>
        <v>0</v>
      </c>
      <c r="V111" s="122">
        <f>+YEAR(PROVEEDORES[[#This Row],[FECHA DE FACTURACIÓN]])</f>
        <v>2024</v>
      </c>
      <c r="W111" s="122">
        <f>+MATCH(PROVEEDORES[[#This Row],[año facturado]],Retenciones!$1:$1,0)</f>
        <v>3</v>
      </c>
      <c r="X111" s="123">
        <f>+VLOOKUP(PROVEEDORES[[#This Row],[ID RETENCION]],Retenciones!$A$1:$K$25,PROVEEDORES[[#This Row],[indicador de columna]],FALSE)</f>
        <v>0</v>
      </c>
      <c r="Y111" s="124">
        <f>+VLOOKUP(PROVEEDORES[[#This Row],[ID RETENCION]],Retenciones!$A$1:$K$25,2,FALSE)</f>
        <v>0</v>
      </c>
      <c r="Z111" s="125" t="b">
        <f>+OR(COUNTIF(PROVEEDORES[[#This Row],[PROVEEDOR]],"*"&amp;'Palabra que no opera y Listas d'!$A$2&amp;"*"))</f>
        <v>0</v>
      </c>
    </row>
    <row r="112" spans="1:26" ht="27.75" customHeight="1" x14ac:dyDescent="0.25">
      <c r="A112" s="112" t="str">
        <f>+IF(PROVEEDORES[[#This Row],[FECHA DE PAGO]]=PROVEEDORES[[#This Row],[FECHA DE FACTURACIÓN]],"DE CONTADO","CRÉDITO")</f>
        <v>CRÉDITO</v>
      </c>
      <c r="B112" s="112" t="str">
        <f>+IF((PROVEEDORES[[#This Row],[FECHA DE PAGO]]-PROVEEDORES[[#This Row],[FECHA DE FACTURACIÓN]])&gt;PROVEEDORES[[#This Row],[PLAZO Días]],"PAGO VENCIDO")</f>
        <v>PAGO VENCIDO</v>
      </c>
      <c r="C112" s="112">
        <f>+VLOOKUP(PROVEEDORES[[#This Row],[PROVEEDOR]],TERCEROS_INFO[#All],2,FALSE)</f>
        <v>30</v>
      </c>
      <c r="D112" s="113">
        <f>+SUMIFS(PROVEEDORES[Total],PROVEEDORES[PROVEEDOR],PROVEEDORES[[#This Row],[PROVEEDOR]],PROVEEDORES[FECHA DE PAGO],"")</f>
        <v>0</v>
      </c>
      <c r="E112" s="114"/>
      <c r="F112" s="112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2" s="115">
        <v>45632</v>
      </c>
      <c r="H112" s="116" t="s">
        <v>667</v>
      </c>
      <c r="I112" s="115">
        <v>45588</v>
      </c>
      <c r="J112" s="117" t="s">
        <v>760</v>
      </c>
      <c r="K112" s="117" t="s">
        <v>256</v>
      </c>
      <c r="L112" s="117" t="s">
        <v>234</v>
      </c>
      <c r="M112" s="118">
        <v>1777000</v>
      </c>
      <c r="N112" s="119"/>
      <c r="O112" s="119">
        <v>0</v>
      </c>
      <c r="P112" s="120">
        <v>0</v>
      </c>
      <c r="Q112" s="119">
        <v>0</v>
      </c>
      <c r="R112" s="121">
        <v>1777000</v>
      </c>
      <c r="S11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122">
        <f ca="1">+IF(PROVEEDORES[[#This Row],[FECHA DE PAGO]]=0,TODAY()-PROVEEDORES[[#This Row],[FECHA DE FACTURACIÓN]]-PROVEEDORES[[#This Row],[PLAZO Días]],0)</f>
        <v>0</v>
      </c>
      <c r="U112" s="122">
        <f>+VLOOKUP(PROVEEDORES[[#This Row],[PROVEEDOR]],Terceros!$A:$D,4,FALSE)</f>
        <v>0</v>
      </c>
      <c r="V112" s="122">
        <f>+YEAR(PROVEEDORES[[#This Row],[FECHA DE FACTURACIÓN]])</f>
        <v>2024</v>
      </c>
      <c r="W112" s="122">
        <f>+MATCH(PROVEEDORES[[#This Row],[año facturado]],Retenciones!$1:$1,0)</f>
        <v>3</v>
      </c>
      <c r="X112" s="123">
        <f>+VLOOKUP(PROVEEDORES[[#This Row],[ID RETENCION]],Retenciones!$A$1:$K$25,PROVEEDORES[[#This Row],[indicador de columna]],FALSE)</f>
        <v>0</v>
      </c>
      <c r="Y112" s="124">
        <f>+VLOOKUP(PROVEEDORES[[#This Row],[ID RETENCION]],Retenciones!$A$1:$K$25,2,FALSE)</f>
        <v>0</v>
      </c>
      <c r="Z112" s="125" t="b">
        <f>+OR(COUNTIF(PROVEEDORES[[#This Row],[PROVEEDOR]],"*"&amp;'Palabra que no opera y Listas d'!$A$2&amp;"*"))</f>
        <v>0</v>
      </c>
    </row>
    <row r="113" spans="1:26" ht="27.75" customHeight="1" x14ac:dyDescent="0.25">
      <c r="A113" s="112" t="str">
        <f>+IF(PROVEEDORES[[#This Row],[FECHA DE PAGO]]=PROVEEDORES[[#This Row],[FECHA DE FACTURACIÓN]],"DE CONTADO","CRÉDITO")</f>
        <v>CRÉDITO</v>
      </c>
      <c r="B113" s="112" t="str">
        <f>+IF((PROVEEDORES[[#This Row],[FECHA DE PAGO]]-PROVEEDORES[[#This Row],[FECHA DE FACTURACIÓN]])&gt;PROVEEDORES[[#This Row],[PLAZO Días]],"PAGO VENCIDO")</f>
        <v>PAGO VENCIDO</v>
      </c>
      <c r="C113" s="112">
        <f>+VLOOKUP(PROVEEDORES[[#This Row],[PROVEEDOR]],TERCEROS_INFO[#All],2,FALSE)</f>
        <v>30</v>
      </c>
      <c r="D113" s="113">
        <f>+SUMIFS(PROVEEDORES[Total],PROVEEDORES[PROVEEDOR],PROVEEDORES[[#This Row],[PROVEEDOR]],PROVEEDORES[FECHA DE PAGO],"")</f>
        <v>3837000</v>
      </c>
      <c r="E113" s="114"/>
      <c r="F113" s="112">
        <f>+VLOOKUP(PROVEEDORES[[#This Row],[PROVEEDOR]],
                       Terceros!$A:$F,
                       5,
                       FALSE)</f>
        <v>0</v>
      </c>
      <c r="G113" s="115">
        <v>45632</v>
      </c>
      <c r="H113" s="116" t="s">
        <v>663</v>
      </c>
      <c r="I113" s="115">
        <v>45594</v>
      </c>
      <c r="J113" s="117" t="s">
        <v>761</v>
      </c>
      <c r="K113" s="117" t="s">
        <v>256</v>
      </c>
      <c r="L113" s="117" t="s">
        <v>234</v>
      </c>
      <c r="M113" s="118">
        <v>530000</v>
      </c>
      <c r="N113" s="119"/>
      <c r="O113" s="119">
        <v>0</v>
      </c>
      <c r="P113" s="120">
        <v>0</v>
      </c>
      <c r="Q113" s="119">
        <v>0</v>
      </c>
      <c r="R113" s="121">
        <v>530000</v>
      </c>
      <c r="S11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122">
        <f ca="1">+IF(PROVEEDORES[[#This Row],[FECHA DE PAGO]]=0,TODAY()-PROVEEDORES[[#This Row],[FECHA DE FACTURACIÓN]]-PROVEEDORES[[#This Row],[PLAZO Días]],0)</f>
        <v>0</v>
      </c>
      <c r="U113" s="122">
        <f>+VLOOKUP(PROVEEDORES[[#This Row],[PROVEEDOR]],Terceros!$A:$D,4,FALSE)</f>
        <v>0</v>
      </c>
      <c r="V113" s="122">
        <f>+YEAR(PROVEEDORES[[#This Row],[FECHA DE FACTURACIÓN]])</f>
        <v>2024</v>
      </c>
      <c r="W113" s="122">
        <f>+MATCH(PROVEEDORES[[#This Row],[año facturado]],Retenciones!$1:$1,0)</f>
        <v>3</v>
      </c>
      <c r="X113" s="123">
        <f>+VLOOKUP(PROVEEDORES[[#This Row],[ID RETENCION]],Retenciones!$A$1:$K$25,PROVEEDORES[[#This Row],[indicador de columna]],FALSE)</f>
        <v>0</v>
      </c>
      <c r="Y113" s="124">
        <f>+VLOOKUP(PROVEEDORES[[#This Row],[ID RETENCION]],Retenciones!$A$1:$K$25,2,FALSE)</f>
        <v>0</v>
      </c>
      <c r="Z113" s="125" t="b">
        <f>+OR(COUNTIF(PROVEEDORES[[#This Row],[PROVEEDOR]],"*"&amp;'Palabra que no opera y Listas d'!$A$2&amp;"*"))</f>
        <v>0</v>
      </c>
    </row>
    <row r="114" spans="1:26" ht="27.75" customHeight="1" x14ac:dyDescent="0.25">
      <c r="A114" s="112" t="str">
        <f>+IF(PROVEEDORES[[#This Row],[FECHA DE PAGO]]=PROVEEDORES[[#This Row],[FECHA DE FACTURACIÓN]],"DE CONTADO","CRÉDITO")</f>
        <v>DE CONTADO</v>
      </c>
      <c r="B114" s="112" t="b">
        <f>+IF((PROVEEDORES[[#This Row],[FECHA DE PAGO]]-PROVEEDORES[[#This Row],[FECHA DE FACTURACIÓN]])&gt;PROVEEDORES[[#This Row],[PLAZO Días]],"PAGO VENCIDO")</f>
        <v>0</v>
      </c>
      <c r="C114" s="112">
        <f>+VLOOKUP(PROVEEDORES[[#This Row],[PROVEEDOR]],TERCEROS_INFO[#All],2,FALSE)</f>
        <v>30</v>
      </c>
      <c r="D114" s="113">
        <f>+SUMIFS(PROVEEDORES[Total],PROVEEDORES[PROVEEDOR],PROVEEDORES[[#This Row],[PROVEEDOR]],PROVEEDORES[FECHA DE PAGO],"")</f>
        <v>0</v>
      </c>
      <c r="E114" s="114"/>
      <c r="F114" s="112" t="str">
        <f>+VLOOKUP(PROVEEDORES[[#This Row],[PROVEEDOR]],
                       Terceros!$A:$F,
                       5,
                       FALSE)</f>
        <v/>
      </c>
      <c r="G114" s="115">
        <v>45632</v>
      </c>
      <c r="H114" s="116" t="s">
        <v>317</v>
      </c>
      <c r="I114" s="115">
        <v>45632</v>
      </c>
      <c r="J114" s="117" t="s">
        <v>660</v>
      </c>
      <c r="K114" s="117" t="s">
        <v>256</v>
      </c>
      <c r="L114" s="117" t="s">
        <v>234</v>
      </c>
      <c r="M114" s="118">
        <v>1000000</v>
      </c>
      <c r="N114" s="119"/>
      <c r="O114" s="119">
        <v>0</v>
      </c>
      <c r="P114" s="120">
        <v>0</v>
      </c>
      <c r="Q114" s="119">
        <v>0</v>
      </c>
      <c r="R114" s="121">
        <v>1000000</v>
      </c>
      <c r="S11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122">
        <f ca="1">+IF(PROVEEDORES[[#This Row],[FECHA DE PAGO]]=0,TODAY()-PROVEEDORES[[#This Row],[FECHA DE FACTURACIÓN]]-PROVEEDORES[[#This Row],[PLAZO Días]],0)</f>
        <v>0</v>
      </c>
      <c r="U114" s="122">
        <f>+VLOOKUP(PROVEEDORES[[#This Row],[PROVEEDOR]],Terceros!$A:$D,4,FALSE)</f>
        <v>0</v>
      </c>
      <c r="V114" s="122">
        <f>+YEAR(PROVEEDORES[[#This Row],[FECHA DE FACTURACIÓN]])</f>
        <v>2024</v>
      </c>
      <c r="W114" s="122">
        <f>+MATCH(PROVEEDORES[[#This Row],[año facturado]],Retenciones!$1:$1,0)</f>
        <v>3</v>
      </c>
      <c r="X114" s="123">
        <f>+VLOOKUP(PROVEEDORES[[#This Row],[ID RETENCION]],Retenciones!$A$1:$K$25,PROVEEDORES[[#This Row],[indicador de columna]],FALSE)</f>
        <v>0</v>
      </c>
      <c r="Y114" s="124">
        <f>+VLOOKUP(PROVEEDORES[[#This Row],[ID RETENCION]],Retenciones!$A$1:$K$25,2,FALSE)</f>
        <v>0</v>
      </c>
      <c r="Z114" s="125" t="b">
        <f>+OR(COUNTIF(PROVEEDORES[[#This Row],[PROVEEDOR]],"*"&amp;'Palabra que no opera y Listas d'!$A$2&amp;"*"))</f>
        <v>1</v>
      </c>
    </row>
    <row r="115" spans="1:26" ht="27.75" customHeight="1" x14ac:dyDescent="0.25">
      <c r="A115" s="112" t="str">
        <f>+IF(PROVEEDORES[[#This Row],[FECHA DE PAGO]]=PROVEEDORES[[#This Row],[FECHA DE FACTURACIÓN]],"DE CONTADO","CRÉDITO")</f>
        <v>CRÉDITO</v>
      </c>
      <c r="B115" s="112" t="str">
        <f>+IF((PROVEEDORES[[#This Row],[FECHA DE PAGO]]-PROVEEDORES[[#This Row],[FECHA DE FACTURACIÓN]])&gt;PROVEEDORES[[#This Row],[PLAZO Días]],"PAGO VENCIDO")</f>
        <v>PAGO VENCIDO</v>
      </c>
      <c r="C115" s="112">
        <f>+VLOOKUP(PROVEEDORES[[#This Row],[PROVEEDOR]],TERCEROS_INFO[#All],2,FALSE)</f>
        <v>30</v>
      </c>
      <c r="D115" s="113">
        <f>+SUMIFS(PROVEEDORES[Total],PROVEEDORES[PROVEEDOR],PROVEEDORES[[#This Row],[PROVEEDOR]],PROVEEDORES[FECHA DE PAGO],"")</f>
        <v>0</v>
      </c>
      <c r="E115" s="114"/>
      <c r="F115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15" s="115">
        <v>45635</v>
      </c>
      <c r="H115" s="116" t="s">
        <v>13</v>
      </c>
      <c r="I115" s="115">
        <v>45595</v>
      </c>
      <c r="J115" s="117" t="s">
        <v>762</v>
      </c>
      <c r="K115" s="117" t="s">
        <v>210</v>
      </c>
      <c r="L115" s="117" t="s">
        <v>259</v>
      </c>
      <c r="M115" s="118">
        <v>2542651</v>
      </c>
      <c r="N115" s="119">
        <v>483103.69</v>
      </c>
      <c r="O115" s="119">
        <v>0</v>
      </c>
      <c r="P115" s="120">
        <v>2.5000000000000001E-2</v>
      </c>
      <c r="Q115" s="119">
        <v>63566.275000000001</v>
      </c>
      <c r="R115" s="121">
        <v>2962188.415</v>
      </c>
      <c r="S11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122">
        <f ca="1">+IF(PROVEEDORES[[#This Row],[FECHA DE PAGO]]=0,TODAY()-PROVEEDORES[[#This Row],[FECHA DE FACTURACIÓN]]-PROVEEDORES[[#This Row],[PLAZO Días]],0)</f>
        <v>0</v>
      </c>
      <c r="U115" s="122" t="str">
        <f>+VLOOKUP(PROVEEDORES[[#This Row],[PROVEEDOR]],Terceros!$A:$D,4,FALSE)</f>
        <v>2,5% con base</v>
      </c>
      <c r="V115" s="122">
        <f>+YEAR(PROVEEDORES[[#This Row],[FECHA DE FACTURACIÓN]])</f>
        <v>2024</v>
      </c>
      <c r="W115" s="122">
        <f>+MATCH(PROVEEDORES[[#This Row],[año facturado]],Retenciones!$1:$1,0)</f>
        <v>3</v>
      </c>
      <c r="X115" s="123">
        <f>+VLOOKUP(PROVEEDORES[[#This Row],[ID RETENCION]],Retenciones!$A$1:$K$25,PROVEEDORES[[#This Row],[indicador de columna]],FALSE)</f>
        <v>1271000</v>
      </c>
      <c r="Y115" s="124">
        <f>+VLOOKUP(PROVEEDORES[[#This Row],[ID RETENCION]],Retenciones!$A$1:$K$25,2,FALSE)</f>
        <v>2.5000000000000001E-2</v>
      </c>
      <c r="Z115" s="125" t="b">
        <f>+OR(COUNTIF(PROVEEDORES[[#This Row],[PROVEEDOR]],"*"&amp;'Palabra que no opera y Listas d'!$A$2&amp;"*"))</f>
        <v>0</v>
      </c>
    </row>
    <row r="116" spans="1:26" ht="27.75" customHeight="1" x14ac:dyDescent="0.25">
      <c r="A116" s="112" t="str">
        <f>+IF(PROVEEDORES[[#This Row],[FECHA DE PAGO]]=PROVEEDORES[[#This Row],[FECHA DE FACTURACIÓN]],"DE CONTADO","CRÉDITO")</f>
        <v>CRÉDITO</v>
      </c>
      <c r="B116" s="112" t="b">
        <f>+IF((PROVEEDORES[[#This Row],[FECHA DE PAGO]]-PROVEEDORES[[#This Row],[FECHA DE FACTURACIÓN]])&gt;PROVEEDORES[[#This Row],[PLAZO Días]],"PAGO VENCIDO")</f>
        <v>0</v>
      </c>
      <c r="C116" s="112">
        <f>+VLOOKUP(PROVEEDORES[[#This Row],[PROVEEDOR]],TERCEROS_INFO[#All],2,FALSE)</f>
        <v>30</v>
      </c>
      <c r="D116" s="113">
        <f>+SUMIFS(PROVEEDORES[Total],PROVEEDORES[PROVEEDOR],PROVEEDORES[[#This Row],[PROVEEDOR]],PROVEEDORES[FECHA DE PAGO],"")</f>
        <v>0</v>
      </c>
      <c r="E116" s="114"/>
      <c r="F116" s="112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6" s="115">
        <v>45635</v>
      </c>
      <c r="H116" s="116" t="s">
        <v>162</v>
      </c>
      <c r="I116" s="115">
        <v>45628</v>
      </c>
      <c r="J116" s="117" t="s">
        <v>763</v>
      </c>
      <c r="K116" s="117" t="s">
        <v>256</v>
      </c>
      <c r="L116" s="117" t="s">
        <v>258</v>
      </c>
      <c r="M116" s="118">
        <v>4220343</v>
      </c>
      <c r="N116" s="119">
        <v>801865.17</v>
      </c>
      <c r="O116" s="119">
        <v>0</v>
      </c>
      <c r="P116" s="120">
        <v>0</v>
      </c>
      <c r="Q116" s="119">
        <v>0</v>
      </c>
      <c r="R116" s="121">
        <v>5022208.17</v>
      </c>
      <c r="S11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122">
        <f ca="1">+IF(PROVEEDORES[[#This Row],[FECHA DE PAGO]]=0,TODAY()-PROVEEDORES[[#This Row],[FECHA DE FACTURACIÓN]]-PROVEEDORES[[#This Row],[PLAZO Días]],0)</f>
        <v>0</v>
      </c>
      <c r="U116" s="122">
        <f>+VLOOKUP(PROVEEDORES[[#This Row],[PROVEEDOR]],Terceros!$A:$D,4,FALSE)</f>
        <v>0</v>
      </c>
      <c r="V116" s="122">
        <f>+YEAR(PROVEEDORES[[#This Row],[FECHA DE FACTURACIÓN]])</f>
        <v>2024</v>
      </c>
      <c r="W116" s="122">
        <f>+MATCH(PROVEEDORES[[#This Row],[año facturado]],Retenciones!$1:$1,0)</f>
        <v>3</v>
      </c>
      <c r="X116" s="123">
        <f>+VLOOKUP(PROVEEDORES[[#This Row],[ID RETENCION]],Retenciones!$A$1:$K$25,PROVEEDORES[[#This Row],[indicador de columna]],FALSE)</f>
        <v>0</v>
      </c>
      <c r="Y116" s="124">
        <f>+VLOOKUP(PROVEEDORES[[#This Row],[ID RETENCION]],Retenciones!$A$1:$K$25,2,FALSE)</f>
        <v>0</v>
      </c>
      <c r="Z116" s="125" t="b">
        <f>+OR(COUNTIF(PROVEEDORES[[#This Row],[PROVEEDOR]],"*"&amp;'Palabra que no opera y Listas d'!$A$2&amp;"*"))</f>
        <v>1</v>
      </c>
    </row>
    <row r="117" spans="1:26" ht="27.75" customHeight="1" x14ac:dyDescent="0.25">
      <c r="A117" s="112" t="str">
        <f>+IF(PROVEEDORES[[#This Row],[FECHA DE PAGO]]=PROVEEDORES[[#This Row],[FECHA DE FACTURACIÓN]],"DE CONTADO","CRÉDITO")</f>
        <v>CRÉDITO</v>
      </c>
      <c r="B117" s="112" t="b">
        <f>+IF((PROVEEDORES[[#This Row],[FECHA DE PAGO]]-PROVEEDORES[[#This Row],[FECHA DE FACTURACIÓN]])&gt;PROVEEDORES[[#This Row],[PLAZO Días]],"PAGO VENCIDO")</f>
        <v>0</v>
      </c>
      <c r="C117" s="112">
        <f>+VLOOKUP(PROVEEDORES[[#This Row],[PROVEEDOR]],TERCEROS_INFO[#All],2,FALSE)</f>
        <v>30</v>
      </c>
      <c r="D117" s="113">
        <f>+SUMIFS(PROVEEDORES[Total],PROVEEDORES[PROVEEDOR],PROVEEDORES[[#This Row],[PROVEEDOR]],PROVEEDORES[FECHA DE PAGO],"")</f>
        <v>0</v>
      </c>
      <c r="E117" s="114"/>
      <c r="F117" s="112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7" s="115">
        <v>45635</v>
      </c>
      <c r="H117" s="116" t="s">
        <v>162</v>
      </c>
      <c r="I117" s="115">
        <v>45628</v>
      </c>
      <c r="J117" s="117" t="s">
        <v>764</v>
      </c>
      <c r="K117" s="117" t="s">
        <v>256</v>
      </c>
      <c r="L117" s="117" t="s">
        <v>258</v>
      </c>
      <c r="M117" s="118">
        <v>970836</v>
      </c>
      <c r="N117" s="119">
        <v>184458.84</v>
      </c>
      <c r="O117" s="119">
        <v>0</v>
      </c>
      <c r="P117" s="120">
        <v>0</v>
      </c>
      <c r="Q117" s="119">
        <v>38833</v>
      </c>
      <c r="R117" s="121">
        <v>1116461.8400000001</v>
      </c>
      <c r="S11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122">
        <f ca="1">+IF(PROVEEDORES[[#This Row],[FECHA DE PAGO]]=0,TODAY()-PROVEEDORES[[#This Row],[FECHA DE FACTURACIÓN]]-PROVEEDORES[[#This Row],[PLAZO Días]],0)</f>
        <v>0</v>
      </c>
      <c r="U117" s="122">
        <f>+VLOOKUP(PROVEEDORES[[#This Row],[PROVEEDOR]],Terceros!$A:$D,4,FALSE)</f>
        <v>0</v>
      </c>
      <c r="V117" s="122">
        <f>+YEAR(PROVEEDORES[[#This Row],[FECHA DE FACTURACIÓN]])</f>
        <v>2024</v>
      </c>
      <c r="W117" s="122">
        <f>+MATCH(PROVEEDORES[[#This Row],[año facturado]],Retenciones!$1:$1,0)</f>
        <v>3</v>
      </c>
      <c r="X117" s="123">
        <f>+VLOOKUP(PROVEEDORES[[#This Row],[ID RETENCION]],Retenciones!$A$1:$K$25,PROVEEDORES[[#This Row],[indicador de columna]],FALSE)</f>
        <v>0</v>
      </c>
      <c r="Y117" s="124">
        <f>+VLOOKUP(PROVEEDORES[[#This Row],[ID RETENCION]],Retenciones!$A$1:$K$25,2,FALSE)</f>
        <v>0</v>
      </c>
      <c r="Z117" s="125" t="b">
        <f>+OR(COUNTIF(PROVEEDORES[[#This Row],[PROVEEDOR]],"*"&amp;'Palabra que no opera y Listas d'!$A$2&amp;"*"))</f>
        <v>1</v>
      </c>
    </row>
    <row r="118" spans="1:26" ht="27.75" customHeight="1" x14ac:dyDescent="0.25">
      <c r="A118" s="112" t="str">
        <f>+IF(PROVEEDORES[[#This Row],[FECHA DE PAGO]]=PROVEEDORES[[#This Row],[FECHA DE FACTURACIÓN]],"DE CONTADO","CRÉDITO")</f>
        <v>CRÉDITO</v>
      </c>
      <c r="B118" s="112" t="b">
        <f>+IF((PROVEEDORES[[#This Row],[FECHA DE PAGO]]-PROVEEDORES[[#This Row],[FECHA DE FACTURACIÓN]])&gt;PROVEEDORES[[#This Row],[PLAZO Días]],"PAGO VENCIDO")</f>
        <v>0</v>
      </c>
      <c r="C118" s="112">
        <f>+VLOOKUP(PROVEEDORES[[#This Row],[PROVEEDOR]],TERCEROS_INFO[#All],2,FALSE)</f>
        <v>30</v>
      </c>
      <c r="D118" s="113">
        <f>+SUMIFS(PROVEEDORES[Total],PROVEEDORES[PROVEEDOR],PROVEEDORES[[#This Row],[PROVEEDOR]],PROVEEDORES[FECHA DE PAGO],"")</f>
        <v>0</v>
      </c>
      <c r="E118" s="114"/>
      <c r="F118" s="112" t="str">
        <f>+VLOOKUP(PROVEEDORES[[#This Row],[PROVEEDOR]],
                       Terceros!$A:$F,
                       5,
                       FALSE)</f>
        <v>facturacion@losmolinos.com.co</v>
      </c>
      <c r="G118" s="115">
        <v>45635</v>
      </c>
      <c r="H118" s="116" t="s">
        <v>165</v>
      </c>
      <c r="I118" s="115">
        <v>45628</v>
      </c>
      <c r="J118" s="117" t="s">
        <v>765</v>
      </c>
      <c r="K118" s="117" t="s">
        <v>256</v>
      </c>
      <c r="L118" s="117" t="s">
        <v>258</v>
      </c>
      <c r="M118" s="118">
        <v>400107</v>
      </c>
      <c r="N118" s="119">
        <v>76020.33</v>
      </c>
      <c r="O118" s="119">
        <v>65458</v>
      </c>
      <c r="P118" s="120">
        <v>0</v>
      </c>
      <c r="Q118" s="119">
        <v>0</v>
      </c>
      <c r="R118" s="121">
        <v>410669.33</v>
      </c>
      <c r="S11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122">
        <f ca="1">+IF(PROVEEDORES[[#This Row],[FECHA DE PAGO]]=0,TODAY()-PROVEEDORES[[#This Row],[FECHA DE FACTURACIÓN]]-PROVEEDORES[[#This Row],[PLAZO Días]],0)</f>
        <v>0</v>
      </c>
      <c r="U118" s="122">
        <f>+VLOOKUP(PROVEEDORES[[#This Row],[PROVEEDOR]],Terceros!$A:$D,4,FALSE)</f>
        <v>0</v>
      </c>
      <c r="V118" s="122">
        <f>+YEAR(PROVEEDORES[[#This Row],[FECHA DE FACTURACIÓN]])</f>
        <v>2024</v>
      </c>
      <c r="W118" s="122">
        <f>+MATCH(PROVEEDORES[[#This Row],[año facturado]],Retenciones!$1:$1,0)</f>
        <v>3</v>
      </c>
      <c r="X118" s="123">
        <f>+VLOOKUP(PROVEEDORES[[#This Row],[ID RETENCION]],Retenciones!$A$1:$K$25,PROVEEDORES[[#This Row],[indicador de columna]],FALSE)</f>
        <v>0</v>
      </c>
      <c r="Y118" s="124">
        <f>+VLOOKUP(PROVEEDORES[[#This Row],[ID RETENCION]],Retenciones!$A$1:$K$25,2,FALSE)</f>
        <v>0</v>
      </c>
      <c r="Z118" s="125" t="b">
        <f>+OR(COUNTIF(PROVEEDORES[[#This Row],[PROVEEDOR]],"*"&amp;'Palabra que no opera y Listas d'!$A$2&amp;"*"))</f>
        <v>1</v>
      </c>
    </row>
    <row r="119" spans="1:26" ht="27.75" customHeight="1" x14ac:dyDescent="0.25">
      <c r="A119" s="112" t="str">
        <f>+IF(PROVEEDORES[[#This Row],[FECHA DE PAGO]]=PROVEEDORES[[#This Row],[FECHA DE FACTURACIÓN]],"DE CONTADO","CRÉDITO")</f>
        <v>CRÉDITO</v>
      </c>
      <c r="B119" s="112" t="b">
        <f>+IF((PROVEEDORES[[#This Row],[FECHA DE PAGO]]-PROVEEDORES[[#This Row],[FECHA DE FACTURACIÓN]])&gt;PROVEEDORES[[#This Row],[PLAZO Días]],"PAGO VENCIDO")</f>
        <v>0</v>
      </c>
      <c r="C119" s="112">
        <f>+VLOOKUP(PROVEEDORES[[#This Row],[PROVEEDOR]],TERCEROS_INFO[#All],2,FALSE)</f>
        <v>10</v>
      </c>
      <c r="D119" s="113">
        <f>+SUMIFS(PROVEEDORES[Total],PROVEEDORES[PROVEEDOR],PROVEEDORES[[#This Row],[PROVEEDOR]],PROVEEDORES[FECHA DE PAGO],"")</f>
        <v>0</v>
      </c>
      <c r="E119" s="114"/>
      <c r="F119" s="112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19" s="115">
        <v>45635</v>
      </c>
      <c r="H119" s="116" t="s">
        <v>242</v>
      </c>
      <c r="I119" s="115">
        <v>45628</v>
      </c>
      <c r="J119" s="117" t="s">
        <v>766</v>
      </c>
      <c r="K119" s="117" t="s">
        <v>256</v>
      </c>
      <c r="L119" s="117" t="s">
        <v>258</v>
      </c>
      <c r="M119" s="118">
        <v>4878505</v>
      </c>
      <c r="N119" s="119">
        <v>926915.95</v>
      </c>
      <c r="O119" s="119">
        <v>0</v>
      </c>
      <c r="P119" s="120">
        <v>3.5000000000000003E-2</v>
      </c>
      <c r="Q119" s="119">
        <v>154203</v>
      </c>
      <c r="R119" s="121">
        <v>5651217.9500000002</v>
      </c>
      <c r="S11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122">
        <f ca="1">+IF(PROVEEDORES[[#This Row],[FECHA DE PAGO]]=0,TODAY()-PROVEEDORES[[#This Row],[FECHA DE FACTURACIÓN]]-PROVEEDORES[[#This Row],[PLAZO Días]],0)</f>
        <v>0</v>
      </c>
      <c r="U119" s="122" t="str">
        <f>+VLOOKUP(PROVEEDORES[[#This Row],[PROVEEDOR]],Terceros!$A:$D,4,FALSE)</f>
        <v>3,5% sin base</v>
      </c>
      <c r="V119" s="122">
        <f>+YEAR(PROVEEDORES[[#This Row],[FECHA DE FACTURACIÓN]])</f>
        <v>2024</v>
      </c>
      <c r="W119" s="122">
        <f>+MATCH(PROVEEDORES[[#This Row],[año facturado]],Retenciones!$1:$1,0)</f>
        <v>3</v>
      </c>
      <c r="X119" s="123">
        <f>+VLOOKUP(PROVEEDORES[[#This Row],[ID RETENCION]],Retenciones!$A$1:$K$25,PROVEEDORES[[#This Row],[indicador de columna]],FALSE)</f>
        <v>0</v>
      </c>
      <c r="Y119" s="124">
        <f>+VLOOKUP(PROVEEDORES[[#This Row],[ID RETENCION]],Retenciones!$A$1:$K$25,2,FALSE)</f>
        <v>3.5000000000000003E-2</v>
      </c>
      <c r="Z119" s="125" t="b">
        <f>+OR(COUNTIF(PROVEEDORES[[#This Row],[PROVEEDOR]],"*"&amp;'Palabra que no opera y Listas d'!$A$2&amp;"*"))</f>
        <v>1</v>
      </c>
    </row>
    <row r="120" spans="1:26" ht="27.75" customHeight="1" x14ac:dyDescent="0.25">
      <c r="A120" s="112" t="str">
        <f>+IF(PROVEEDORES[[#This Row],[FECHA DE PAGO]]=PROVEEDORES[[#This Row],[FECHA DE FACTURACIÓN]],"DE CONTADO","CRÉDITO")</f>
        <v>CRÉDITO</v>
      </c>
      <c r="B120" s="112" t="b">
        <f>+IF((PROVEEDORES[[#This Row],[FECHA DE PAGO]]-PROVEEDORES[[#This Row],[FECHA DE FACTURACIÓN]])&gt;PROVEEDORES[[#This Row],[PLAZO Días]],"PAGO VENCIDO")</f>
        <v>0</v>
      </c>
      <c r="C120" s="112">
        <f>+VLOOKUP(PROVEEDORES[[#This Row],[PROVEEDOR]],TERCEROS_INFO[#All],2,FALSE)</f>
        <v>10</v>
      </c>
      <c r="D120" s="113">
        <f>+SUMIFS(PROVEEDORES[Total],PROVEEDORES[PROVEEDOR],PROVEEDORES[[#This Row],[PROVEEDOR]],PROVEEDORES[FECHA DE PAGO],"")</f>
        <v>0</v>
      </c>
      <c r="E120" s="114"/>
      <c r="F120" s="112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0" s="115">
        <v>45635</v>
      </c>
      <c r="H120" s="116" t="s">
        <v>205</v>
      </c>
      <c r="I120" s="115">
        <v>45628</v>
      </c>
      <c r="J120" s="117" t="s">
        <v>767</v>
      </c>
      <c r="K120" s="117" t="s">
        <v>256</v>
      </c>
      <c r="L120" s="117" t="s">
        <v>261</v>
      </c>
      <c r="M120" s="118">
        <v>5866826</v>
      </c>
      <c r="N120" s="119">
        <v>1114696.94</v>
      </c>
      <c r="O120" s="119">
        <v>0</v>
      </c>
      <c r="P120" s="120">
        <v>0</v>
      </c>
      <c r="Q120" s="119">
        <v>0</v>
      </c>
      <c r="R120" s="121">
        <v>6981522.9399999995</v>
      </c>
      <c r="S12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122">
        <f ca="1">+IF(PROVEEDORES[[#This Row],[FECHA DE PAGO]]=0,TODAY()-PROVEEDORES[[#This Row],[FECHA DE FACTURACIÓN]]-PROVEEDORES[[#This Row],[PLAZO Días]],0)</f>
        <v>0</v>
      </c>
      <c r="U120" s="122">
        <f>+VLOOKUP(PROVEEDORES[[#This Row],[PROVEEDOR]],Terceros!$A:$D,4,FALSE)</f>
        <v>0</v>
      </c>
      <c r="V120" s="122">
        <f>+YEAR(PROVEEDORES[[#This Row],[FECHA DE FACTURACIÓN]])</f>
        <v>2024</v>
      </c>
      <c r="W120" s="122">
        <f>+MATCH(PROVEEDORES[[#This Row],[año facturado]],Retenciones!$1:$1,0)</f>
        <v>3</v>
      </c>
      <c r="X120" s="123">
        <f>+VLOOKUP(PROVEEDORES[[#This Row],[ID RETENCION]],Retenciones!$A$1:$K$25,PROVEEDORES[[#This Row],[indicador de columna]],FALSE)</f>
        <v>0</v>
      </c>
      <c r="Y120" s="124">
        <f>+VLOOKUP(PROVEEDORES[[#This Row],[ID RETENCION]],Retenciones!$A$1:$K$25,2,FALSE)</f>
        <v>0</v>
      </c>
      <c r="Z120" s="125" t="b">
        <f>+OR(COUNTIF(PROVEEDORES[[#This Row],[PROVEEDOR]],"*"&amp;'Palabra que no opera y Listas d'!$A$2&amp;"*"))</f>
        <v>1</v>
      </c>
    </row>
    <row r="121" spans="1:26" ht="27.75" customHeight="1" x14ac:dyDescent="0.25">
      <c r="A121" s="112" t="str">
        <f>+IF(PROVEEDORES[[#This Row],[FECHA DE PAGO]]=PROVEEDORES[[#This Row],[FECHA DE FACTURACIÓN]],"DE CONTADO","CRÉDITO")</f>
        <v>CRÉDITO</v>
      </c>
      <c r="B121" s="112" t="b">
        <f>+IF((PROVEEDORES[[#This Row],[FECHA DE PAGO]]-PROVEEDORES[[#This Row],[FECHA DE FACTURACIÓN]])&gt;PROVEEDORES[[#This Row],[PLAZO Días]],"PAGO VENCIDO")</f>
        <v>0</v>
      </c>
      <c r="C121" s="112">
        <f>+VLOOKUP(PROVEEDORES[[#This Row],[PROVEEDOR]],TERCEROS_INFO[#All],2,FALSE)</f>
        <v>30</v>
      </c>
      <c r="D121" s="113">
        <f>+SUMIFS(PROVEEDORES[Total],PROVEEDORES[PROVEEDOR],PROVEEDORES[[#This Row],[PROVEEDOR]],PROVEEDORES[FECHA DE PAGO],"")</f>
        <v>0</v>
      </c>
      <c r="E121" s="114"/>
      <c r="F121" s="112">
        <f>+VLOOKUP(PROVEEDORES[[#This Row],[PROVEEDOR]],
                       Terceros!$A:$F,
                       5,
                       FALSE)</f>
        <v>0</v>
      </c>
      <c r="G121" s="115">
        <v>45635</v>
      </c>
      <c r="H121" s="116" t="s">
        <v>723</v>
      </c>
      <c r="I121" s="115">
        <v>45633</v>
      </c>
      <c r="J121" s="117" t="s">
        <v>768</v>
      </c>
      <c r="K121" s="117" t="s">
        <v>256</v>
      </c>
      <c r="L121" s="117" t="s">
        <v>234</v>
      </c>
      <c r="M121" s="118">
        <v>560000</v>
      </c>
      <c r="N121" s="119"/>
      <c r="O121" s="119">
        <v>0</v>
      </c>
      <c r="P121" s="120">
        <v>0</v>
      </c>
      <c r="Q121" s="119">
        <v>0</v>
      </c>
      <c r="R121" s="121">
        <v>560000</v>
      </c>
      <c r="S12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122">
        <f ca="1">+IF(PROVEEDORES[[#This Row],[FECHA DE PAGO]]=0,TODAY()-PROVEEDORES[[#This Row],[FECHA DE FACTURACIÓN]]-PROVEEDORES[[#This Row],[PLAZO Días]],0)</f>
        <v>0</v>
      </c>
      <c r="U121" s="122">
        <f>+VLOOKUP(PROVEEDORES[[#This Row],[PROVEEDOR]],Terceros!$A:$D,4,FALSE)</f>
        <v>0</v>
      </c>
      <c r="V121" s="122">
        <f>+YEAR(PROVEEDORES[[#This Row],[FECHA DE FACTURACIÓN]])</f>
        <v>2024</v>
      </c>
      <c r="W121" s="122">
        <f>+MATCH(PROVEEDORES[[#This Row],[año facturado]],Retenciones!$1:$1,0)</f>
        <v>3</v>
      </c>
      <c r="X121" s="123">
        <f>+VLOOKUP(PROVEEDORES[[#This Row],[ID RETENCION]],Retenciones!$A$1:$K$25,PROVEEDORES[[#This Row],[indicador de columna]],FALSE)</f>
        <v>0</v>
      </c>
      <c r="Y121" s="124">
        <f>+VLOOKUP(PROVEEDORES[[#This Row],[ID RETENCION]],Retenciones!$A$1:$K$25,2,FALSE)</f>
        <v>0</v>
      </c>
      <c r="Z121" s="125" t="b">
        <f>+OR(COUNTIF(PROVEEDORES[[#This Row],[PROVEEDOR]],"*"&amp;'Palabra que no opera y Listas d'!$A$2&amp;"*"))</f>
        <v>0</v>
      </c>
    </row>
    <row r="122" spans="1:26" ht="27.75" customHeight="1" x14ac:dyDescent="0.25">
      <c r="A122" s="112" t="str">
        <f>+IF(PROVEEDORES[[#This Row],[FECHA DE PAGO]]=PROVEEDORES[[#This Row],[FECHA DE FACTURACIÓN]],"DE CONTADO","CRÉDITO")</f>
        <v>CRÉDITO</v>
      </c>
      <c r="B122" s="112" t="b">
        <f>+IF((PROVEEDORES[[#This Row],[FECHA DE PAGO]]-PROVEEDORES[[#This Row],[FECHA DE FACTURACIÓN]])&gt;PROVEEDORES[[#This Row],[PLAZO Días]],"PAGO VENCIDO")</f>
        <v>0</v>
      </c>
      <c r="C122" s="112">
        <f>+VLOOKUP(PROVEEDORES[[#This Row],[PROVEEDOR]],TERCEROS_INFO[#All],2,FALSE)</f>
        <v>30</v>
      </c>
      <c r="D122" s="113">
        <f>+SUMIFS(PROVEEDORES[Total],PROVEEDORES[PROVEEDOR],PROVEEDORES[[#This Row],[PROVEEDOR]],PROVEEDORES[FECHA DE PAGO],"")</f>
        <v>0</v>
      </c>
      <c r="E122" s="114"/>
      <c r="F122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22" s="115">
        <v>45636</v>
      </c>
      <c r="H122" s="116" t="s">
        <v>93</v>
      </c>
      <c r="I122" s="115">
        <v>45625</v>
      </c>
      <c r="J122" s="117" t="s">
        <v>769</v>
      </c>
      <c r="K122" s="117" t="s">
        <v>210</v>
      </c>
      <c r="L122" s="117" t="s">
        <v>259</v>
      </c>
      <c r="M122" s="118">
        <v>35094136</v>
      </c>
      <c r="N122" s="119">
        <v>6667885.8399999999</v>
      </c>
      <c r="O122" s="119">
        <v>3158533</v>
      </c>
      <c r="P122" s="120">
        <v>0</v>
      </c>
      <c r="Q122" s="119">
        <v>0</v>
      </c>
      <c r="R122" s="121">
        <v>38603488.840000004</v>
      </c>
      <c r="S12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122">
        <f ca="1">+IF(PROVEEDORES[[#This Row],[FECHA DE PAGO]]=0,TODAY()-PROVEEDORES[[#This Row],[FECHA DE FACTURACIÓN]]-PROVEEDORES[[#This Row],[PLAZO Días]],0)</f>
        <v>0</v>
      </c>
      <c r="U122" s="122">
        <f>+VLOOKUP(PROVEEDORES[[#This Row],[PROVEEDOR]],Terceros!$A:$D,4,FALSE)</f>
        <v>0</v>
      </c>
      <c r="V122" s="122">
        <f>+YEAR(PROVEEDORES[[#This Row],[FECHA DE FACTURACIÓN]])</f>
        <v>2024</v>
      </c>
      <c r="W122" s="122">
        <f>+MATCH(PROVEEDORES[[#This Row],[año facturado]],Retenciones!$1:$1,0)</f>
        <v>3</v>
      </c>
      <c r="X122" s="123">
        <f>+VLOOKUP(PROVEEDORES[[#This Row],[ID RETENCION]],Retenciones!$A$1:$K$25,PROVEEDORES[[#This Row],[indicador de columna]],FALSE)</f>
        <v>0</v>
      </c>
      <c r="Y122" s="124">
        <f>+VLOOKUP(PROVEEDORES[[#This Row],[ID RETENCION]],Retenciones!$A$1:$K$25,2,FALSE)</f>
        <v>0</v>
      </c>
      <c r="Z122" s="125" t="b">
        <f>+OR(COUNTIF(PROVEEDORES[[#This Row],[PROVEEDOR]],"*"&amp;'Palabra que no opera y Listas d'!$A$2&amp;"*"))</f>
        <v>0</v>
      </c>
    </row>
    <row r="123" spans="1:26" ht="27.75" customHeight="1" x14ac:dyDescent="0.25">
      <c r="A123" s="112" t="str">
        <f>+IF(PROVEEDORES[[#This Row],[FECHA DE PAGO]]=PROVEEDORES[[#This Row],[FECHA DE FACTURACIÓN]],"DE CONTADO","CRÉDITO")</f>
        <v>DE CONTADO</v>
      </c>
      <c r="B123" s="112" t="b">
        <f>+IF((PROVEEDORES[[#This Row],[FECHA DE PAGO]]-PROVEEDORES[[#This Row],[FECHA DE FACTURACIÓN]])&gt;PROVEEDORES[[#This Row],[PLAZO Días]],"PAGO VENCIDO")</f>
        <v>0</v>
      </c>
      <c r="C123" s="112">
        <f>+VLOOKUP(PROVEEDORES[[#This Row],[PROVEEDOR]],TERCEROS_INFO[#All],2,FALSE)</f>
        <v>0</v>
      </c>
      <c r="D123" s="113">
        <f>+SUMIFS(PROVEEDORES[Total],PROVEEDORES[PROVEEDOR],PROVEEDORES[[#This Row],[PROVEEDOR]],PROVEEDORES[FECHA DE PAGO],"")</f>
        <v>0</v>
      </c>
      <c r="E123" s="114"/>
      <c r="F123" s="112" t="str">
        <f>+VLOOKUP(PROVEEDORES[[#This Row],[PROVEEDOR]],
                       Terceros!$A:$F,
                       5,
                       FALSE)</f>
        <v>info@compomedica.com.co; girlesa.ruiz@servipilas.com;joriescobar64@gmail.com</v>
      </c>
      <c r="G123" s="115">
        <v>45636</v>
      </c>
      <c r="H123" s="116" t="s">
        <v>649</v>
      </c>
      <c r="I123" s="115">
        <v>45636</v>
      </c>
      <c r="J123" s="117" t="s">
        <v>770</v>
      </c>
      <c r="K123" s="117" t="s">
        <v>210</v>
      </c>
      <c r="L123" s="117" t="s">
        <v>259</v>
      </c>
      <c r="M123" s="118">
        <v>1644000</v>
      </c>
      <c r="N123" s="119">
        <v>312360</v>
      </c>
      <c r="O123" s="119">
        <v>0</v>
      </c>
      <c r="P123" s="120">
        <v>2.5000000000000001E-2</v>
      </c>
      <c r="Q123" s="119">
        <v>41100</v>
      </c>
      <c r="R123" s="121">
        <v>1915260</v>
      </c>
      <c r="S12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122">
        <f ca="1">+IF(PROVEEDORES[[#This Row],[FECHA DE PAGO]]=0,TODAY()-PROVEEDORES[[#This Row],[FECHA DE FACTURACIÓN]]-PROVEEDORES[[#This Row],[PLAZO Días]],0)</f>
        <v>0</v>
      </c>
      <c r="U123" s="122" t="str">
        <f>+VLOOKUP(PROVEEDORES[[#This Row],[PROVEEDOR]],Terceros!$A:$D,4,FALSE)</f>
        <v>2,5% con base</v>
      </c>
      <c r="V123" s="122">
        <f>+YEAR(PROVEEDORES[[#This Row],[FECHA DE FACTURACIÓN]])</f>
        <v>2024</v>
      </c>
      <c r="W123" s="122">
        <f>+MATCH(PROVEEDORES[[#This Row],[año facturado]],Retenciones!$1:$1,0)</f>
        <v>3</v>
      </c>
      <c r="X123" s="123">
        <f>+VLOOKUP(PROVEEDORES[[#This Row],[ID RETENCION]],Retenciones!$A$1:$K$25,PROVEEDORES[[#This Row],[indicador de columna]],FALSE)</f>
        <v>1271000</v>
      </c>
      <c r="Y123" s="124">
        <f>+VLOOKUP(PROVEEDORES[[#This Row],[ID RETENCION]],Retenciones!$A$1:$K$25,2,FALSE)</f>
        <v>2.5000000000000001E-2</v>
      </c>
      <c r="Z123" s="125" t="b">
        <f>+OR(COUNTIF(PROVEEDORES[[#This Row],[PROVEEDOR]],"*"&amp;'Palabra que no opera y Listas d'!$A$2&amp;"*"))</f>
        <v>0</v>
      </c>
    </row>
    <row r="124" spans="1:26" ht="27.75" customHeight="1" x14ac:dyDescent="0.25">
      <c r="A124" s="112" t="str">
        <f>+IF(PROVEEDORES[[#This Row],[FECHA DE PAGO]]=PROVEEDORES[[#This Row],[FECHA DE FACTURACIÓN]],"DE CONTADO","CRÉDITO")</f>
        <v>CRÉDITO</v>
      </c>
      <c r="B124" s="112" t="b">
        <f>+IF((PROVEEDORES[[#This Row],[FECHA DE PAGO]]-PROVEEDORES[[#This Row],[FECHA DE FACTURACIÓN]])&gt;PROVEEDORES[[#This Row],[PLAZO Días]],"PAGO VENCIDO")</f>
        <v>0</v>
      </c>
      <c r="C124" s="112">
        <f>+VLOOKUP(PROVEEDORES[[#This Row],[PROVEEDOR]],TERCEROS_INFO[#All],2,FALSE)</f>
        <v>60</v>
      </c>
      <c r="D124" s="113">
        <f>+SUMIFS(PROVEEDORES[Total],PROVEEDORES[PROVEEDOR],PROVEEDORES[[#This Row],[PROVEEDOR]],PROVEEDORES[FECHA DE PAGO],"")</f>
        <v>1468167.95</v>
      </c>
      <c r="E124" s="114"/>
      <c r="F124" s="112" t="str">
        <f>+VLOOKUP(PROVEEDORES[[#This Row],[PROVEEDOR]],
                       Terceros!$A:$F,
                       5,
                       FALSE)</f>
        <v>wruiz@tsqsa.com;girlesa.ruiz@servipilas.com;joriescobar64@gmail.com</v>
      </c>
      <c r="G124" s="115">
        <v>45637</v>
      </c>
      <c r="H124" s="116" t="s">
        <v>28</v>
      </c>
      <c r="I124" s="115">
        <v>45578</v>
      </c>
      <c r="J124" s="117" t="s">
        <v>771</v>
      </c>
      <c r="K124" s="117" t="s">
        <v>256</v>
      </c>
      <c r="L124" s="117" t="s">
        <v>260</v>
      </c>
      <c r="M124" s="118">
        <v>60727800</v>
      </c>
      <c r="N124" s="119">
        <v>11538282</v>
      </c>
      <c r="O124" s="119"/>
      <c r="P124" s="120">
        <v>2.5000000000000001E-2</v>
      </c>
      <c r="Q124" s="119">
        <v>1518195</v>
      </c>
      <c r="R124" s="121">
        <v>70747887</v>
      </c>
      <c r="S12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122">
        <f ca="1">+IF(PROVEEDORES[[#This Row],[FECHA DE PAGO]]=0,TODAY()-PROVEEDORES[[#This Row],[FECHA DE FACTURACIÓN]]-PROVEEDORES[[#This Row],[PLAZO Días]],0)</f>
        <v>0</v>
      </c>
      <c r="U124" s="122" t="str">
        <f>+VLOOKUP(PROVEEDORES[[#This Row],[PROVEEDOR]],Terceros!$A:$D,4,FALSE)</f>
        <v>2,5% con base</v>
      </c>
      <c r="V124" s="122">
        <f>+YEAR(PROVEEDORES[[#This Row],[FECHA DE FACTURACIÓN]])</f>
        <v>2024</v>
      </c>
      <c r="W124" s="122">
        <f>+MATCH(PROVEEDORES[[#This Row],[año facturado]],Retenciones!$1:$1,0)</f>
        <v>3</v>
      </c>
      <c r="X124" s="123">
        <f>+VLOOKUP(PROVEEDORES[[#This Row],[ID RETENCION]],Retenciones!$A$1:$K$25,PROVEEDORES[[#This Row],[indicador de columna]],FALSE)</f>
        <v>1271000</v>
      </c>
      <c r="Y124" s="124">
        <f>+VLOOKUP(PROVEEDORES[[#This Row],[ID RETENCION]],Retenciones!$A$1:$K$25,2,FALSE)</f>
        <v>2.5000000000000001E-2</v>
      </c>
      <c r="Z124" s="125" t="b">
        <f>+OR(COUNTIF(PROVEEDORES[[#This Row],[PROVEEDOR]],"*"&amp;'Palabra que no opera y Listas d'!$A$2&amp;"*"))</f>
        <v>0</v>
      </c>
    </row>
    <row r="125" spans="1:26" ht="27.75" customHeight="1" x14ac:dyDescent="0.25">
      <c r="A125" s="112" t="str">
        <f>+IF(PROVEEDORES[[#This Row],[FECHA DE PAGO]]=PROVEEDORES[[#This Row],[FECHA DE FACTURACIÓN]],"DE CONTADO","CRÉDITO")</f>
        <v>DE CONTADO</v>
      </c>
      <c r="B125" s="112" t="b">
        <f>+IF((PROVEEDORES[[#This Row],[FECHA DE PAGO]]-PROVEEDORES[[#This Row],[FECHA DE FACTURACIÓN]])&gt;PROVEEDORES[[#This Row],[PLAZO Días]],"PAGO VENCIDO")</f>
        <v>0</v>
      </c>
      <c r="C125" s="112">
        <f>+VLOOKUP(PROVEEDORES[[#This Row],[PROVEEDOR]],TERCEROS_INFO[#All],2,FALSE)</f>
        <v>0</v>
      </c>
      <c r="D125" s="113">
        <f>+SUMIFS(PROVEEDORES[Total],PROVEEDORES[PROVEEDOR],PROVEEDORES[[#This Row],[PROVEEDOR]],PROVEEDORES[FECHA DE PAGO],"")</f>
        <v>0</v>
      </c>
      <c r="E125" s="114"/>
      <c r="F125" s="112">
        <f>+VLOOKUP(PROVEEDORES[[#This Row],[PROVEEDOR]],
                       Terceros!$A:$F,
                       5,
                       FALSE)</f>
        <v>0</v>
      </c>
      <c r="G125" s="115">
        <v>45637</v>
      </c>
      <c r="H125" s="116" t="s">
        <v>595</v>
      </c>
      <c r="I125" s="115">
        <v>45637</v>
      </c>
      <c r="J125" s="117" t="s">
        <v>665</v>
      </c>
      <c r="K125" s="117" t="s">
        <v>210</v>
      </c>
      <c r="L125" s="117" t="s">
        <v>234</v>
      </c>
      <c r="M125" s="118">
        <v>500000</v>
      </c>
      <c r="N125" s="119"/>
      <c r="O125" s="119">
        <v>0</v>
      </c>
      <c r="P125" s="120">
        <v>0</v>
      </c>
      <c r="Q125" s="119">
        <v>0</v>
      </c>
      <c r="R125" s="121">
        <v>500000</v>
      </c>
      <c r="S12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122">
        <f ca="1">+IF(PROVEEDORES[[#This Row],[FECHA DE PAGO]]=0,TODAY()-PROVEEDORES[[#This Row],[FECHA DE FACTURACIÓN]]-PROVEEDORES[[#This Row],[PLAZO Días]],0)</f>
        <v>0</v>
      </c>
      <c r="U125" s="122">
        <f>+VLOOKUP(PROVEEDORES[[#This Row],[PROVEEDOR]],Terceros!$A:$D,4,FALSE)</f>
        <v>0</v>
      </c>
      <c r="V125" s="122">
        <f>+YEAR(PROVEEDORES[[#This Row],[FECHA DE FACTURACIÓN]])</f>
        <v>2024</v>
      </c>
      <c r="W125" s="122">
        <f>+MATCH(PROVEEDORES[[#This Row],[año facturado]],Retenciones!$1:$1,0)</f>
        <v>3</v>
      </c>
      <c r="X125" s="123">
        <f>+VLOOKUP(PROVEEDORES[[#This Row],[ID RETENCION]],Retenciones!$A$1:$K$25,PROVEEDORES[[#This Row],[indicador de columna]],FALSE)</f>
        <v>0</v>
      </c>
      <c r="Y125" s="124">
        <f>+VLOOKUP(PROVEEDORES[[#This Row],[ID RETENCION]],Retenciones!$A$1:$K$25,2,FALSE)</f>
        <v>0</v>
      </c>
      <c r="Z125" s="125" t="b">
        <f>+OR(COUNTIF(PROVEEDORES[[#This Row],[PROVEEDOR]],"*"&amp;'Palabra que no opera y Listas d'!$A$2&amp;"*"))</f>
        <v>1</v>
      </c>
    </row>
    <row r="126" spans="1:26" ht="27.75" customHeight="1" x14ac:dyDescent="0.25">
      <c r="A126" s="112" t="str">
        <f>+IF(PROVEEDORES[[#This Row],[FECHA DE PAGO]]=PROVEEDORES[[#This Row],[FECHA DE FACTURACIÓN]],"DE CONTADO","CRÉDITO")</f>
        <v>CRÉDITO</v>
      </c>
      <c r="B126" s="112" t="str">
        <f>+IF((PROVEEDORES[[#This Row],[FECHA DE PAGO]]-PROVEEDORES[[#This Row],[FECHA DE FACTURACIÓN]])&gt;PROVEEDORES[[#This Row],[PLAZO Días]],"PAGO VENCIDO")</f>
        <v>PAGO VENCIDO</v>
      </c>
      <c r="C126" s="112">
        <f>+VLOOKUP(PROVEEDORES[[#This Row],[PROVEEDOR]],TERCEROS_INFO[#All],2,FALSE)</f>
        <v>30</v>
      </c>
      <c r="D126" s="113">
        <f>+SUMIFS(PROVEEDORES[Total],PROVEEDORES[PROVEEDOR],PROVEEDORES[[#This Row],[PROVEEDOR]],PROVEEDORES[FECHA DE PAGO],"")</f>
        <v>0</v>
      </c>
      <c r="E126" s="114"/>
      <c r="F126" s="112" t="str">
        <f>+VLOOKUP(PROVEEDORES[[#This Row],[PROVEEDOR]],
                       Terceros!$A:$F,
                       5,
                       FALSE)</f>
        <v/>
      </c>
      <c r="G126" s="115">
        <v>45638</v>
      </c>
      <c r="H126" s="116" t="s">
        <v>772</v>
      </c>
      <c r="I126" s="115">
        <v>45591</v>
      </c>
      <c r="J126" s="117" t="s">
        <v>773</v>
      </c>
      <c r="K126" s="117" t="s">
        <v>256</v>
      </c>
      <c r="L126" s="117" t="s">
        <v>234</v>
      </c>
      <c r="M126" s="118">
        <v>3205000</v>
      </c>
      <c r="N126" s="119"/>
      <c r="O126" s="119">
        <v>0</v>
      </c>
      <c r="P126" s="120">
        <v>0</v>
      </c>
      <c r="Q126" s="119">
        <v>0</v>
      </c>
      <c r="R126" s="121">
        <v>3205000</v>
      </c>
      <c r="S12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122">
        <f ca="1">+IF(PROVEEDORES[[#This Row],[FECHA DE PAGO]]=0,TODAY()-PROVEEDORES[[#This Row],[FECHA DE FACTURACIÓN]]-PROVEEDORES[[#This Row],[PLAZO Días]],0)</f>
        <v>0</v>
      </c>
      <c r="U126" s="122">
        <f>+VLOOKUP(PROVEEDORES[[#This Row],[PROVEEDOR]],Terceros!$A:$D,4,FALSE)</f>
        <v>0</v>
      </c>
      <c r="V126" s="122">
        <f>+YEAR(PROVEEDORES[[#This Row],[FECHA DE FACTURACIÓN]])</f>
        <v>2024</v>
      </c>
      <c r="W126" s="122">
        <f>+MATCH(PROVEEDORES[[#This Row],[año facturado]],Retenciones!$1:$1,0)</f>
        <v>3</v>
      </c>
      <c r="X126" s="123">
        <f>+VLOOKUP(PROVEEDORES[[#This Row],[ID RETENCION]],Retenciones!$A$1:$K$25,PROVEEDORES[[#This Row],[indicador de columna]],FALSE)</f>
        <v>0</v>
      </c>
      <c r="Y126" s="124">
        <f>+VLOOKUP(PROVEEDORES[[#This Row],[ID RETENCION]],Retenciones!$A$1:$K$25,2,FALSE)</f>
        <v>0</v>
      </c>
      <c r="Z126" s="125" t="b">
        <f>+OR(COUNTIF(PROVEEDORES[[#This Row],[PROVEEDOR]],"*"&amp;'Palabra que no opera y Listas d'!$A$2&amp;"*"))</f>
        <v>0</v>
      </c>
    </row>
    <row r="127" spans="1:26" ht="27.75" customHeight="1" x14ac:dyDescent="0.25">
      <c r="A127" s="112" t="str">
        <f>+IF(PROVEEDORES[[#This Row],[FECHA DE PAGO]]=PROVEEDORES[[#This Row],[FECHA DE FACTURACIÓN]],"DE CONTADO","CRÉDITO")</f>
        <v>CRÉDITO</v>
      </c>
      <c r="B127" s="112" t="b">
        <f>+IF((PROVEEDORES[[#This Row],[FECHA DE PAGO]]-PROVEEDORES[[#This Row],[FECHA DE FACTURACIÓN]])&gt;PROVEEDORES[[#This Row],[PLAZO Días]],"PAGO VENCIDO")</f>
        <v>0</v>
      </c>
      <c r="C127" s="112">
        <f>+VLOOKUP(PROVEEDORES[[#This Row],[PROVEEDOR]],TERCEROS_INFO[#All],2,FALSE)</f>
        <v>30</v>
      </c>
      <c r="D127" s="113">
        <f>+SUMIFS(PROVEEDORES[Total],PROVEEDORES[PROVEEDOR],PROVEEDORES[[#This Row],[PROVEEDOR]],PROVEEDORES[FECHA DE PAGO],"")</f>
        <v>4701954.13</v>
      </c>
      <c r="E127" s="114"/>
      <c r="F127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7" s="115">
        <v>45638</v>
      </c>
      <c r="H127" s="116" t="s">
        <v>12</v>
      </c>
      <c r="I127" s="115">
        <v>45608</v>
      </c>
      <c r="J127" s="117" t="s">
        <v>774</v>
      </c>
      <c r="K127" s="117" t="s">
        <v>256</v>
      </c>
      <c r="L127" s="117" t="s">
        <v>258</v>
      </c>
      <c r="M127" s="118">
        <v>957910</v>
      </c>
      <c r="N127" s="119">
        <v>182002.9</v>
      </c>
      <c r="O127" s="119">
        <v>0</v>
      </c>
      <c r="P127" s="120">
        <v>0</v>
      </c>
      <c r="Q127" s="119">
        <v>0</v>
      </c>
      <c r="R127" s="121">
        <v>1139912.8999999999</v>
      </c>
      <c r="S12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122">
        <f ca="1">+IF(PROVEEDORES[[#This Row],[FECHA DE PAGO]]=0,TODAY()-PROVEEDORES[[#This Row],[FECHA DE FACTURACIÓN]]-PROVEEDORES[[#This Row],[PLAZO Días]],0)</f>
        <v>0</v>
      </c>
      <c r="U127" s="122">
        <f>+VLOOKUP(PROVEEDORES[[#This Row],[PROVEEDOR]],Terceros!$A:$D,4,FALSE)</f>
        <v>0</v>
      </c>
      <c r="V127" s="122">
        <f>+YEAR(PROVEEDORES[[#This Row],[FECHA DE FACTURACIÓN]])</f>
        <v>2024</v>
      </c>
      <c r="W127" s="122">
        <f>+MATCH(PROVEEDORES[[#This Row],[año facturado]],Retenciones!$1:$1,0)</f>
        <v>3</v>
      </c>
      <c r="X127" s="123">
        <f>+VLOOKUP(PROVEEDORES[[#This Row],[ID RETENCION]],Retenciones!$A$1:$K$25,PROVEEDORES[[#This Row],[indicador de columna]],FALSE)</f>
        <v>0</v>
      </c>
      <c r="Y127" s="124">
        <f>+VLOOKUP(PROVEEDORES[[#This Row],[ID RETENCION]],Retenciones!$A$1:$K$25,2,FALSE)</f>
        <v>0</v>
      </c>
      <c r="Z127" s="125" t="b">
        <f>+OR(COUNTIF(PROVEEDORES[[#This Row],[PROVEEDOR]],"*"&amp;'Palabra que no opera y Listas d'!$A$2&amp;"*"))</f>
        <v>0</v>
      </c>
    </row>
    <row r="128" spans="1:26" ht="27.75" customHeight="1" x14ac:dyDescent="0.25">
      <c r="A128" s="112" t="str">
        <f>+IF(PROVEEDORES[[#This Row],[FECHA DE PAGO]]=PROVEEDORES[[#This Row],[FECHA DE FACTURACIÓN]],"DE CONTADO","CRÉDITO")</f>
        <v>CRÉDITO</v>
      </c>
      <c r="B128" s="112" t="b">
        <f>+IF((PROVEEDORES[[#This Row],[FECHA DE PAGO]]-PROVEEDORES[[#This Row],[FECHA DE FACTURACIÓN]])&gt;PROVEEDORES[[#This Row],[PLAZO Días]],"PAGO VENCIDO")</f>
        <v>0</v>
      </c>
      <c r="C128" s="112">
        <f>+VLOOKUP(PROVEEDORES[[#This Row],[PROVEEDOR]],TERCEROS_INFO[#All],2,FALSE)</f>
        <v>30</v>
      </c>
      <c r="D128" s="113">
        <f>+SUMIFS(PROVEEDORES[Total],PROVEEDORES[PROVEEDOR],PROVEEDORES[[#This Row],[PROVEEDOR]],PROVEEDORES[FECHA DE PAGO],"")</f>
        <v>4701954.13</v>
      </c>
      <c r="E128" s="114"/>
      <c r="F128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8" s="115">
        <v>45638</v>
      </c>
      <c r="H128" s="116" t="s">
        <v>12</v>
      </c>
      <c r="I128" s="115">
        <v>45609</v>
      </c>
      <c r="J128" s="117" t="s">
        <v>775</v>
      </c>
      <c r="K128" s="117" t="s">
        <v>256</v>
      </c>
      <c r="L128" s="117" t="s">
        <v>258</v>
      </c>
      <c r="M128" s="118">
        <v>457885</v>
      </c>
      <c r="N128" s="119">
        <v>86998.15</v>
      </c>
      <c r="O128" s="119">
        <v>0</v>
      </c>
      <c r="P128" s="120">
        <v>0</v>
      </c>
      <c r="Q128" s="119">
        <v>0</v>
      </c>
      <c r="R128" s="121">
        <v>544883.15</v>
      </c>
      <c r="S12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122">
        <f ca="1">+IF(PROVEEDORES[[#This Row],[FECHA DE PAGO]]=0,TODAY()-PROVEEDORES[[#This Row],[FECHA DE FACTURACIÓN]]-PROVEEDORES[[#This Row],[PLAZO Días]],0)</f>
        <v>0</v>
      </c>
      <c r="U128" s="122">
        <f>+VLOOKUP(PROVEEDORES[[#This Row],[PROVEEDOR]],Terceros!$A:$D,4,FALSE)</f>
        <v>0</v>
      </c>
      <c r="V128" s="122">
        <f>+YEAR(PROVEEDORES[[#This Row],[FECHA DE FACTURACIÓN]])</f>
        <v>2024</v>
      </c>
      <c r="W128" s="122">
        <f>+MATCH(PROVEEDORES[[#This Row],[año facturado]],Retenciones!$1:$1,0)</f>
        <v>3</v>
      </c>
      <c r="X128" s="123">
        <f>+VLOOKUP(PROVEEDORES[[#This Row],[ID RETENCION]],Retenciones!$A$1:$K$25,PROVEEDORES[[#This Row],[indicador de columna]],FALSE)</f>
        <v>0</v>
      </c>
      <c r="Y128" s="124">
        <f>+VLOOKUP(PROVEEDORES[[#This Row],[ID RETENCION]],Retenciones!$A$1:$K$25,2,FALSE)</f>
        <v>0</v>
      </c>
      <c r="Z128" s="125" t="b">
        <f>+OR(COUNTIF(PROVEEDORES[[#This Row],[PROVEEDOR]],"*"&amp;'Palabra que no opera y Listas d'!$A$2&amp;"*"))</f>
        <v>0</v>
      </c>
    </row>
    <row r="129" spans="1:26" ht="27.75" customHeight="1" x14ac:dyDescent="0.25">
      <c r="A129" s="112" t="str">
        <f>+IF(PROVEEDORES[[#This Row],[FECHA DE PAGO]]=PROVEEDORES[[#This Row],[FECHA DE FACTURACIÓN]],"DE CONTADO","CRÉDITO")</f>
        <v>CRÉDITO</v>
      </c>
      <c r="B129" s="112" t="b">
        <f>+IF((PROVEEDORES[[#This Row],[FECHA DE PAGO]]-PROVEEDORES[[#This Row],[FECHA DE FACTURACIÓN]])&gt;PROVEEDORES[[#This Row],[PLAZO Días]],"PAGO VENCIDO")</f>
        <v>0</v>
      </c>
      <c r="C129" s="112">
        <f>+VLOOKUP(PROVEEDORES[[#This Row],[PROVEEDOR]],TERCEROS_INFO[#All],2,FALSE)</f>
        <v>20</v>
      </c>
      <c r="D129" s="113">
        <f>+SUMIFS(PROVEEDORES[Total],PROVEEDORES[PROVEEDOR],PROVEEDORES[[#This Row],[PROVEEDOR]],PROVEEDORES[FECHA DE PAGO],"")</f>
        <v>0</v>
      </c>
      <c r="E129" s="114"/>
      <c r="F129" s="112">
        <f>+VLOOKUP(PROVEEDORES[[#This Row],[PROVEEDOR]],
                       Terceros!$A:$F,
                       5,
                       FALSE)</f>
        <v>0</v>
      </c>
      <c r="G129" s="115">
        <v>45638</v>
      </c>
      <c r="H129" s="116" t="s">
        <v>677</v>
      </c>
      <c r="I129" s="115">
        <v>45621</v>
      </c>
      <c r="J129" s="117" t="s">
        <v>678</v>
      </c>
      <c r="K129" s="117" t="s">
        <v>210</v>
      </c>
      <c r="L129" s="117" t="s">
        <v>234</v>
      </c>
      <c r="M129" s="118">
        <v>938800</v>
      </c>
      <c r="N129" s="119"/>
      <c r="O129" s="119">
        <v>0</v>
      </c>
      <c r="P129" s="120">
        <v>0</v>
      </c>
      <c r="Q129" s="119">
        <v>0</v>
      </c>
      <c r="R129" s="121">
        <v>938800</v>
      </c>
      <c r="S12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122">
        <f ca="1">+IF(PROVEEDORES[[#This Row],[FECHA DE PAGO]]=0,TODAY()-PROVEEDORES[[#This Row],[FECHA DE FACTURACIÓN]]-PROVEEDORES[[#This Row],[PLAZO Días]],0)</f>
        <v>0</v>
      </c>
      <c r="U129" s="122">
        <f>+VLOOKUP(PROVEEDORES[[#This Row],[PROVEEDOR]],Terceros!$A:$D,4,FALSE)</f>
        <v>0</v>
      </c>
      <c r="V129" s="122">
        <f>+YEAR(PROVEEDORES[[#This Row],[FECHA DE FACTURACIÓN]])</f>
        <v>2024</v>
      </c>
      <c r="W129" s="122">
        <f>+MATCH(PROVEEDORES[[#This Row],[año facturado]],Retenciones!$1:$1,0)</f>
        <v>3</v>
      </c>
      <c r="X129" s="123">
        <f>+VLOOKUP(PROVEEDORES[[#This Row],[ID RETENCION]],Retenciones!$A$1:$K$25,PROVEEDORES[[#This Row],[indicador de columna]],FALSE)</f>
        <v>0</v>
      </c>
      <c r="Y129" s="124">
        <f>+VLOOKUP(PROVEEDORES[[#This Row],[ID RETENCION]],Retenciones!$A$1:$K$25,2,FALSE)</f>
        <v>0</v>
      </c>
      <c r="Z129" s="125" t="b">
        <f>+OR(COUNTIF(PROVEEDORES[[#This Row],[PROVEEDOR]],"*"&amp;'Palabra que no opera y Listas d'!$A$2&amp;"*"))</f>
        <v>0</v>
      </c>
    </row>
    <row r="130" spans="1:26" ht="27.75" customHeight="1" x14ac:dyDescent="0.25">
      <c r="A130" s="112" t="str">
        <f>+IF(PROVEEDORES[[#This Row],[FECHA DE PAGO]]=PROVEEDORES[[#This Row],[FECHA DE FACTURACIÓN]],"DE CONTADO","CRÉDITO")</f>
        <v>CRÉDITO</v>
      </c>
      <c r="B130" s="112" t="str">
        <f>+IF((PROVEEDORES[[#This Row],[FECHA DE PAGO]]-PROVEEDORES[[#This Row],[FECHA DE FACTURACIÓN]])&gt;PROVEEDORES[[#This Row],[PLAZO Días]],"PAGO VENCIDO")</f>
        <v>PAGO VENCIDO</v>
      </c>
      <c r="C130" s="112">
        <f>+VLOOKUP(PROVEEDORES[[#This Row],[PROVEEDOR]],TERCEROS_INFO[#All],2,FALSE)</f>
        <v>30</v>
      </c>
      <c r="D130" s="113">
        <f>+SUMIFS(PROVEEDORES[Total],PROVEEDORES[PROVEEDOR],PROVEEDORES[[#This Row],[PROVEEDOR]],PROVEEDORES[FECHA DE PAGO],"")</f>
        <v>0</v>
      </c>
      <c r="E130" s="114"/>
      <c r="F130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130" s="115">
        <v>45640</v>
      </c>
      <c r="H130" s="116" t="s">
        <v>651</v>
      </c>
      <c r="I130" s="115">
        <v>45590</v>
      </c>
      <c r="J130" s="117" t="s">
        <v>776</v>
      </c>
      <c r="K130" s="117" t="s">
        <v>256</v>
      </c>
      <c r="L130" s="117" t="s">
        <v>234</v>
      </c>
      <c r="M130" s="118">
        <v>39000</v>
      </c>
      <c r="N130" s="119"/>
      <c r="O130" s="119">
        <v>0</v>
      </c>
      <c r="P130" s="120">
        <v>0</v>
      </c>
      <c r="Q130" s="119">
        <v>0</v>
      </c>
      <c r="R130" s="121">
        <v>39000</v>
      </c>
      <c r="S13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122">
        <f ca="1">+IF(PROVEEDORES[[#This Row],[FECHA DE PAGO]]=0,TODAY()-PROVEEDORES[[#This Row],[FECHA DE FACTURACIÓN]]-PROVEEDORES[[#This Row],[PLAZO Días]],0)</f>
        <v>0</v>
      </c>
      <c r="U130" s="122">
        <f>+VLOOKUP(PROVEEDORES[[#This Row],[PROVEEDOR]],Terceros!$A:$D,4,FALSE)</f>
        <v>0</v>
      </c>
      <c r="V130" s="122">
        <f>+YEAR(PROVEEDORES[[#This Row],[FECHA DE FACTURACIÓN]])</f>
        <v>2024</v>
      </c>
      <c r="W130" s="122">
        <f>+MATCH(PROVEEDORES[[#This Row],[año facturado]],Retenciones!$1:$1,0)</f>
        <v>3</v>
      </c>
      <c r="X130" s="123">
        <f>+VLOOKUP(PROVEEDORES[[#This Row],[ID RETENCION]],Retenciones!$A$1:$K$25,PROVEEDORES[[#This Row],[indicador de columna]],FALSE)</f>
        <v>0</v>
      </c>
      <c r="Y130" s="124">
        <f>+VLOOKUP(PROVEEDORES[[#This Row],[ID RETENCION]],Retenciones!$A$1:$K$25,2,FALSE)</f>
        <v>0</v>
      </c>
      <c r="Z130" s="125" t="b">
        <f>+OR(COUNTIF(PROVEEDORES[[#This Row],[PROVEEDOR]],"*"&amp;'Palabra que no opera y Listas d'!$A$2&amp;"*"))</f>
        <v>0</v>
      </c>
    </row>
    <row r="131" spans="1:26" ht="27.75" customHeight="1" x14ac:dyDescent="0.25">
      <c r="A131" s="112" t="str">
        <f>+IF(PROVEEDORES[[#This Row],[FECHA DE PAGO]]=PROVEEDORES[[#This Row],[FECHA DE FACTURACIÓN]],"DE CONTADO","CRÉDITO")</f>
        <v>DE CONTADO</v>
      </c>
      <c r="B131" s="112" t="b">
        <f>+IF((PROVEEDORES[[#This Row],[FECHA DE PAGO]]-PROVEEDORES[[#This Row],[FECHA DE FACTURACIÓN]])&gt;PROVEEDORES[[#This Row],[PLAZO Días]],"PAGO VENCIDO")</f>
        <v>0</v>
      </c>
      <c r="C131" s="112">
        <f>+VLOOKUP(PROVEEDORES[[#This Row],[PROVEEDOR]],TERCEROS_INFO[#All],2,FALSE)</f>
        <v>30</v>
      </c>
      <c r="D131" s="113">
        <f>+SUMIFS(PROVEEDORES[Total],PROVEEDORES[PROVEEDOR],PROVEEDORES[[#This Row],[PROVEEDOR]],PROVEEDORES[FECHA DE PAGO],"")</f>
        <v>0</v>
      </c>
      <c r="E131" s="114"/>
      <c r="F131" s="112" t="str">
        <f>+VLOOKUP(PROVEEDORES[[#This Row],[PROVEEDOR]],
                       Terceros!$A:$F,
                       5,
                       FALSE)</f>
        <v/>
      </c>
      <c r="G131" s="115">
        <v>45640</v>
      </c>
      <c r="H131" s="116" t="s">
        <v>659</v>
      </c>
      <c r="I131" s="115">
        <v>45640</v>
      </c>
      <c r="J131" s="117" t="s">
        <v>777</v>
      </c>
      <c r="K131" s="117" t="s">
        <v>256</v>
      </c>
      <c r="L131" s="117" t="s">
        <v>234</v>
      </c>
      <c r="M131" s="118">
        <v>630000</v>
      </c>
      <c r="N131" s="119"/>
      <c r="O131" s="119">
        <v>0</v>
      </c>
      <c r="P131" s="120">
        <v>0</v>
      </c>
      <c r="Q131" s="119">
        <v>0</v>
      </c>
      <c r="R131" s="121">
        <v>630000</v>
      </c>
      <c r="S13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122">
        <f ca="1">+IF(PROVEEDORES[[#This Row],[FECHA DE PAGO]]=0,TODAY()-PROVEEDORES[[#This Row],[FECHA DE FACTURACIÓN]]-PROVEEDORES[[#This Row],[PLAZO Días]],0)</f>
        <v>0</v>
      </c>
      <c r="U131" s="122">
        <f>+VLOOKUP(PROVEEDORES[[#This Row],[PROVEEDOR]],Terceros!$A:$D,4,FALSE)</f>
        <v>0</v>
      </c>
      <c r="V131" s="122">
        <f>+YEAR(PROVEEDORES[[#This Row],[FECHA DE FACTURACIÓN]])</f>
        <v>2024</v>
      </c>
      <c r="W131" s="122">
        <f>+MATCH(PROVEEDORES[[#This Row],[año facturado]],Retenciones!$1:$1,0)</f>
        <v>3</v>
      </c>
      <c r="X131" s="123">
        <f>+VLOOKUP(PROVEEDORES[[#This Row],[ID RETENCION]],Retenciones!$A$1:$K$25,PROVEEDORES[[#This Row],[indicador de columna]],FALSE)</f>
        <v>0</v>
      </c>
      <c r="Y131" s="124">
        <f>+VLOOKUP(PROVEEDORES[[#This Row],[ID RETENCION]],Retenciones!$A$1:$K$25,2,FALSE)</f>
        <v>0</v>
      </c>
      <c r="Z131" s="125" t="b">
        <f>+OR(COUNTIF(PROVEEDORES[[#This Row],[PROVEEDOR]],"*"&amp;'Palabra que no opera y Listas d'!$A$2&amp;"*"))</f>
        <v>0</v>
      </c>
    </row>
    <row r="132" spans="1:26" ht="27.75" customHeight="1" x14ac:dyDescent="0.25">
      <c r="A132" s="112" t="str">
        <f>+IF(PROVEEDORES[[#This Row],[FECHA DE PAGO]]=PROVEEDORES[[#This Row],[FECHA DE FACTURACIÓN]],"DE CONTADO","CRÉDITO")</f>
        <v>CRÉDITO</v>
      </c>
      <c r="B132" s="112" t="str">
        <f>+IF((PROVEEDORES[[#This Row],[FECHA DE PAGO]]-PROVEEDORES[[#This Row],[FECHA DE FACTURACIÓN]])&gt;PROVEEDORES[[#This Row],[PLAZO Días]],"PAGO VENCIDO")</f>
        <v>PAGO VENCIDO</v>
      </c>
      <c r="C132" s="112">
        <f>+VLOOKUP(PROVEEDORES[[#This Row],[PROVEEDOR]],TERCEROS_INFO[#All],2,FALSE)</f>
        <v>45</v>
      </c>
      <c r="D132" s="113">
        <f>+SUMIFS(PROVEEDORES[Total],PROVEEDORES[PROVEEDOR],PROVEEDORES[[#This Row],[PROVEEDOR]],PROVEEDORES[FECHA DE PAGO],"")</f>
        <v>17682305.199999999</v>
      </c>
      <c r="E132" s="114"/>
      <c r="F132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2" s="115">
        <v>45642</v>
      </c>
      <c r="H132" s="116" t="s">
        <v>14</v>
      </c>
      <c r="I132" s="115">
        <v>45581</v>
      </c>
      <c r="J132" s="117" t="s">
        <v>778</v>
      </c>
      <c r="K132" s="117" t="s">
        <v>210</v>
      </c>
      <c r="L132" s="117" t="s">
        <v>259</v>
      </c>
      <c r="M132" s="118">
        <v>743017</v>
      </c>
      <c r="N132" s="119">
        <v>141173.23000000001</v>
      </c>
      <c r="O132" s="119">
        <v>0</v>
      </c>
      <c r="P132" s="120">
        <v>0</v>
      </c>
      <c r="Q132" s="119">
        <v>0</v>
      </c>
      <c r="R132" s="121">
        <v>884190.23</v>
      </c>
      <c r="S13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122">
        <f ca="1">+IF(PROVEEDORES[[#This Row],[FECHA DE PAGO]]=0,TODAY()-PROVEEDORES[[#This Row],[FECHA DE FACTURACIÓN]]-PROVEEDORES[[#This Row],[PLAZO Días]],0)</f>
        <v>0</v>
      </c>
      <c r="U132" s="122">
        <f>+VLOOKUP(PROVEEDORES[[#This Row],[PROVEEDOR]],Terceros!$A:$D,4,FALSE)</f>
        <v>0</v>
      </c>
      <c r="V132" s="122">
        <f>+YEAR(PROVEEDORES[[#This Row],[FECHA DE FACTURACIÓN]])</f>
        <v>2024</v>
      </c>
      <c r="W132" s="122">
        <f>+MATCH(PROVEEDORES[[#This Row],[año facturado]],Retenciones!$1:$1,0)</f>
        <v>3</v>
      </c>
      <c r="X132" s="123">
        <f>+VLOOKUP(PROVEEDORES[[#This Row],[ID RETENCION]],Retenciones!$A$1:$K$25,PROVEEDORES[[#This Row],[indicador de columna]],FALSE)</f>
        <v>0</v>
      </c>
      <c r="Y132" s="124">
        <f>+VLOOKUP(PROVEEDORES[[#This Row],[ID RETENCION]],Retenciones!$A$1:$K$25,2,FALSE)</f>
        <v>0</v>
      </c>
      <c r="Z132" s="125" t="b">
        <f>+OR(COUNTIF(PROVEEDORES[[#This Row],[PROVEEDOR]],"*"&amp;'Palabra que no opera y Listas d'!$A$2&amp;"*"))</f>
        <v>0</v>
      </c>
    </row>
    <row r="133" spans="1:26" ht="27.75" customHeight="1" x14ac:dyDescent="0.25">
      <c r="A133" s="112" t="str">
        <f>+IF(PROVEEDORES[[#This Row],[FECHA DE PAGO]]=PROVEEDORES[[#This Row],[FECHA DE FACTURACIÓN]],"DE CONTADO","CRÉDITO")</f>
        <v>CRÉDITO</v>
      </c>
      <c r="B133" s="112" t="str">
        <f>+IF((PROVEEDORES[[#This Row],[FECHA DE PAGO]]-PROVEEDORES[[#This Row],[FECHA DE FACTURACIÓN]])&gt;PROVEEDORES[[#This Row],[PLAZO Días]],"PAGO VENCIDO")</f>
        <v>PAGO VENCIDO</v>
      </c>
      <c r="C133" s="112">
        <f>+VLOOKUP(PROVEEDORES[[#This Row],[PROVEEDOR]],TERCEROS_INFO[#All],2,FALSE)</f>
        <v>45</v>
      </c>
      <c r="D133" s="113">
        <f>+SUMIFS(PROVEEDORES[Total],PROVEEDORES[PROVEEDOR],PROVEEDORES[[#This Row],[PROVEEDOR]],PROVEEDORES[FECHA DE PAGO],"")</f>
        <v>17682305.199999999</v>
      </c>
      <c r="E133" s="114"/>
      <c r="F133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3" s="115">
        <v>45642</v>
      </c>
      <c r="H133" s="116" t="s">
        <v>14</v>
      </c>
      <c r="I133" s="115">
        <v>45582</v>
      </c>
      <c r="J133" s="117" t="s">
        <v>779</v>
      </c>
      <c r="K133" s="117" t="s">
        <v>210</v>
      </c>
      <c r="L133" s="117" t="s">
        <v>259</v>
      </c>
      <c r="M133" s="118">
        <v>5196839</v>
      </c>
      <c r="N133" s="119"/>
      <c r="O133" s="119">
        <v>0</v>
      </c>
      <c r="P133" s="120">
        <v>0</v>
      </c>
      <c r="Q133" s="119">
        <v>0</v>
      </c>
      <c r="R133" s="121">
        <v>5196839</v>
      </c>
      <c r="S13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122">
        <f ca="1">+IF(PROVEEDORES[[#This Row],[FECHA DE PAGO]]=0,TODAY()-PROVEEDORES[[#This Row],[FECHA DE FACTURACIÓN]]-PROVEEDORES[[#This Row],[PLAZO Días]],0)</f>
        <v>0</v>
      </c>
      <c r="U133" s="122">
        <f>+VLOOKUP(PROVEEDORES[[#This Row],[PROVEEDOR]],Terceros!$A:$D,4,FALSE)</f>
        <v>0</v>
      </c>
      <c r="V133" s="122">
        <f>+YEAR(PROVEEDORES[[#This Row],[FECHA DE FACTURACIÓN]])</f>
        <v>2024</v>
      </c>
      <c r="W133" s="122">
        <f>+MATCH(PROVEEDORES[[#This Row],[año facturado]],Retenciones!$1:$1,0)</f>
        <v>3</v>
      </c>
      <c r="X133" s="123">
        <f>+VLOOKUP(PROVEEDORES[[#This Row],[ID RETENCION]],Retenciones!$A$1:$K$25,PROVEEDORES[[#This Row],[indicador de columna]],FALSE)</f>
        <v>0</v>
      </c>
      <c r="Y133" s="124">
        <f>+VLOOKUP(PROVEEDORES[[#This Row],[ID RETENCION]],Retenciones!$A$1:$K$25,2,FALSE)</f>
        <v>0</v>
      </c>
      <c r="Z133" s="125" t="b">
        <f>+OR(COUNTIF(PROVEEDORES[[#This Row],[PROVEEDOR]],"*"&amp;'Palabra que no opera y Listas d'!$A$2&amp;"*"))</f>
        <v>0</v>
      </c>
    </row>
    <row r="134" spans="1:26" ht="27.75" customHeight="1" x14ac:dyDescent="0.25">
      <c r="A134" s="112" t="str">
        <f>+IF(PROVEEDORES[[#This Row],[FECHA DE PAGO]]=PROVEEDORES[[#This Row],[FECHA DE FACTURACIÓN]],"DE CONTADO","CRÉDITO")</f>
        <v>CRÉDITO</v>
      </c>
      <c r="B134" s="112" t="str">
        <f>+IF((PROVEEDORES[[#This Row],[FECHA DE PAGO]]-PROVEEDORES[[#This Row],[FECHA DE FACTURACIÓN]])&gt;PROVEEDORES[[#This Row],[PLAZO Días]],"PAGO VENCIDO")</f>
        <v>PAGO VENCIDO</v>
      </c>
      <c r="C134" s="112">
        <f>+VLOOKUP(PROVEEDORES[[#This Row],[PROVEEDOR]],TERCEROS_INFO[#All],2,FALSE)</f>
        <v>45</v>
      </c>
      <c r="D134" s="113">
        <f>+SUMIFS(PROVEEDORES[Total],PROVEEDORES[PROVEEDOR],PROVEEDORES[[#This Row],[PROVEEDOR]],PROVEEDORES[FECHA DE PAGO],"")</f>
        <v>17682305.199999999</v>
      </c>
      <c r="E134" s="114"/>
      <c r="F134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4" s="115">
        <v>45642</v>
      </c>
      <c r="H134" s="116" t="s">
        <v>14</v>
      </c>
      <c r="I134" s="115">
        <v>45589</v>
      </c>
      <c r="J134" s="117" t="s">
        <v>780</v>
      </c>
      <c r="K134" s="117" t="s">
        <v>210</v>
      </c>
      <c r="L134" s="117" t="s">
        <v>259</v>
      </c>
      <c r="M134" s="118">
        <v>12399800</v>
      </c>
      <c r="N134" s="119"/>
      <c r="O134" s="119">
        <v>0</v>
      </c>
      <c r="P134" s="120">
        <v>0</v>
      </c>
      <c r="Q134" s="119">
        <v>0</v>
      </c>
      <c r="R134" s="121">
        <v>12399800</v>
      </c>
      <c r="S13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122">
        <f ca="1">+IF(PROVEEDORES[[#This Row],[FECHA DE PAGO]]=0,TODAY()-PROVEEDORES[[#This Row],[FECHA DE FACTURACIÓN]]-PROVEEDORES[[#This Row],[PLAZO Días]],0)</f>
        <v>0</v>
      </c>
      <c r="U134" s="122">
        <f>+VLOOKUP(PROVEEDORES[[#This Row],[PROVEEDOR]],Terceros!$A:$D,4,FALSE)</f>
        <v>0</v>
      </c>
      <c r="V134" s="122">
        <f>+YEAR(PROVEEDORES[[#This Row],[FECHA DE FACTURACIÓN]])</f>
        <v>2024</v>
      </c>
      <c r="W134" s="122">
        <f>+MATCH(PROVEEDORES[[#This Row],[año facturado]],Retenciones!$1:$1,0)</f>
        <v>3</v>
      </c>
      <c r="X134" s="123">
        <f>+VLOOKUP(PROVEEDORES[[#This Row],[ID RETENCION]],Retenciones!$A$1:$K$25,PROVEEDORES[[#This Row],[indicador de columna]],FALSE)</f>
        <v>0</v>
      </c>
      <c r="Y134" s="124">
        <f>+VLOOKUP(PROVEEDORES[[#This Row],[ID RETENCION]],Retenciones!$A$1:$K$25,2,FALSE)</f>
        <v>0</v>
      </c>
      <c r="Z134" s="125" t="b">
        <f>+OR(COUNTIF(PROVEEDORES[[#This Row],[PROVEEDOR]],"*"&amp;'Palabra que no opera y Listas d'!$A$2&amp;"*"))</f>
        <v>0</v>
      </c>
    </row>
    <row r="135" spans="1:26" ht="27.75" customHeight="1" x14ac:dyDescent="0.25">
      <c r="A135" s="112" t="str">
        <f>+IF(PROVEEDORES[[#This Row],[FECHA DE PAGO]]=PROVEEDORES[[#This Row],[FECHA DE FACTURACIÓN]],"DE CONTADO","CRÉDITO")</f>
        <v>CRÉDITO</v>
      </c>
      <c r="B135" s="112" t="str">
        <f>+IF((PROVEEDORES[[#This Row],[FECHA DE PAGO]]-PROVEEDORES[[#This Row],[FECHA DE FACTURACIÓN]])&gt;PROVEEDORES[[#This Row],[PLAZO Días]],"PAGO VENCIDO")</f>
        <v>PAGO VENCIDO</v>
      </c>
      <c r="C135" s="112">
        <f>+VLOOKUP(PROVEEDORES[[#This Row],[PROVEEDOR]],TERCEROS_INFO[#All],2,FALSE)</f>
        <v>30</v>
      </c>
      <c r="D135" s="113">
        <f>+SUMIFS(PROVEEDORES[Total],PROVEEDORES[PROVEEDOR],PROVEEDORES[[#This Row],[PROVEEDOR]],PROVEEDORES[FECHA DE PAGO],"")</f>
        <v>10958948</v>
      </c>
      <c r="E135" s="114"/>
      <c r="F135" s="112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35" s="115">
        <v>45642</v>
      </c>
      <c r="H135" s="116" t="s">
        <v>104</v>
      </c>
      <c r="I135" s="115">
        <v>45594</v>
      </c>
      <c r="J135" s="117" t="s">
        <v>781</v>
      </c>
      <c r="K135" s="117" t="s">
        <v>210</v>
      </c>
      <c r="L135" s="117" t="s">
        <v>259</v>
      </c>
      <c r="M135" s="118">
        <v>1874760</v>
      </c>
      <c r="N135" s="119"/>
      <c r="O135" s="119"/>
      <c r="P135" s="120">
        <v>0</v>
      </c>
      <c r="Q135" s="119">
        <v>0</v>
      </c>
      <c r="R135" s="121">
        <v>1874760</v>
      </c>
      <c r="S13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122">
        <f ca="1">+IF(PROVEEDORES[[#This Row],[FECHA DE PAGO]]=0,TODAY()-PROVEEDORES[[#This Row],[FECHA DE FACTURACIÓN]]-PROVEEDORES[[#This Row],[PLAZO Días]],0)</f>
        <v>0</v>
      </c>
      <c r="U135" s="122">
        <f>+VLOOKUP(PROVEEDORES[[#This Row],[PROVEEDOR]],Terceros!$A:$D,4,FALSE)</f>
        <v>0</v>
      </c>
      <c r="V135" s="122">
        <f>+YEAR(PROVEEDORES[[#This Row],[FECHA DE FACTURACIÓN]])</f>
        <v>2024</v>
      </c>
      <c r="W135" s="122">
        <f>+MATCH(PROVEEDORES[[#This Row],[año facturado]],Retenciones!$1:$1,0)</f>
        <v>3</v>
      </c>
      <c r="X135" s="123">
        <f>+VLOOKUP(PROVEEDORES[[#This Row],[ID RETENCION]],Retenciones!$A$1:$K$25,PROVEEDORES[[#This Row],[indicador de columna]],FALSE)</f>
        <v>0</v>
      </c>
      <c r="Y135" s="124">
        <f>+VLOOKUP(PROVEEDORES[[#This Row],[ID RETENCION]],Retenciones!$A$1:$K$25,2,FALSE)</f>
        <v>0</v>
      </c>
      <c r="Z135" s="125" t="b">
        <f>+OR(COUNTIF(PROVEEDORES[[#This Row],[PROVEEDOR]],"*"&amp;'Palabra que no opera y Listas d'!$A$2&amp;"*"))</f>
        <v>0</v>
      </c>
    </row>
    <row r="136" spans="1:26" ht="27.75" customHeight="1" x14ac:dyDescent="0.25">
      <c r="A136" s="112" t="str">
        <f>+IF(PROVEEDORES[[#This Row],[FECHA DE PAGO]]=PROVEEDORES[[#This Row],[FECHA DE FACTURACIÓN]],"DE CONTADO","CRÉDITO")</f>
        <v>CRÉDITO</v>
      </c>
      <c r="B136" s="112" t="str">
        <f>+IF((PROVEEDORES[[#This Row],[FECHA DE PAGO]]-PROVEEDORES[[#This Row],[FECHA DE FACTURACIÓN]])&gt;PROVEEDORES[[#This Row],[PLAZO Días]],"PAGO VENCIDO")</f>
        <v>PAGO VENCIDO</v>
      </c>
      <c r="C136" s="112">
        <f>+VLOOKUP(PROVEEDORES[[#This Row],[PROVEEDOR]],TERCEROS_INFO[#All],2,FALSE)</f>
        <v>45</v>
      </c>
      <c r="D136" s="113">
        <f>+SUMIFS(PROVEEDORES[Total],PROVEEDORES[PROVEEDOR],PROVEEDORES[[#This Row],[PROVEEDOR]],PROVEEDORES[FECHA DE PAGO],"")</f>
        <v>17682305.199999999</v>
      </c>
      <c r="E136" s="114"/>
      <c r="F136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6" s="115">
        <v>45642</v>
      </c>
      <c r="H136" s="116" t="s">
        <v>14</v>
      </c>
      <c r="I136" s="115">
        <v>45594</v>
      </c>
      <c r="J136" s="117" t="s">
        <v>782</v>
      </c>
      <c r="K136" s="117" t="s">
        <v>210</v>
      </c>
      <c r="L136" s="117" t="s">
        <v>259</v>
      </c>
      <c r="M136" s="118">
        <v>273836</v>
      </c>
      <c r="N136" s="119"/>
      <c r="O136" s="119">
        <v>0</v>
      </c>
      <c r="P136" s="120">
        <v>0</v>
      </c>
      <c r="Q136" s="119">
        <v>0</v>
      </c>
      <c r="R136" s="121">
        <v>273836</v>
      </c>
      <c r="S13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122">
        <f ca="1">+IF(PROVEEDORES[[#This Row],[FECHA DE PAGO]]=0,TODAY()-PROVEEDORES[[#This Row],[FECHA DE FACTURACIÓN]]-PROVEEDORES[[#This Row],[PLAZO Días]],0)</f>
        <v>0</v>
      </c>
      <c r="U136" s="122">
        <f>+VLOOKUP(PROVEEDORES[[#This Row],[PROVEEDOR]],Terceros!$A:$D,4,FALSE)</f>
        <v>0</v>
      </c>
      <c r="V136" s="122">
        <f>+YEAR(PROVEEDORES[[#This Row],[FECHA DE FACTURACIÓN]])</f>
        <v>2024</v>
      </c>
      <c r="W136" s="122">
        <f>+MATCH(PROVEEDORES[[#This Row],[año facturado]],Retenciones!$1:$1,0)</f>
        <v>3</v>
      </c>
      <c r="X136" s="123">
        <f>+VLOOKUP(PROVEEDORES[[#This Row],[ID RETENCION]],Retenciones!$A$1:$K$25,PROVEEDORES[[#This Row],[indicador de columna]],FALSE)</f>
        <v>0</v>
      </c>
      <c r="Y136" s="124">
        <f>+VLOOKUP(PROVEEDORES[[#This Row],[ID RETENCION]],Retenciones!$A$1:$K$25,2,FALSE)</f>
        <v>0</v>
      </c>
      <c r="Z136" s="125" t="b">
        <f>+OR(COUNTIF(PROVEEDORES[[#This Row],[PROVEEDOR]],"*"&amp;'Palabra que no opera y Listas d'!$A$2&amp;"*"))</f>
        <v>0</v>
      </c>
    </row>
    <row r="137" spans="1:26" ht="27.75" customHeight="1" x14ac:dyDescent="0.25">
      <c r="A137" s="112" t="str">
        <f>+IF(PROVEEDORES[[#This Row],[FECHA DE PAGO]]=PROVEEDORES[[#This Row],[FECHA DE FACTURACIÓN]],"DE CONTADO","CRÉDITO")</f>
        <v>CRÉDITO</v>
      </c>
      <c r="B137" s="112" t="str">
        <f>+IF((PROVEEDORES[[#This Row],[FECHA DE PAGO]]-PROVEEDORES[[#This Row],[FECHA DE FACTURACIÓN]])&gt;PROVEEDORES[[#This Row],[PLAZO Días]],"PAGO VENCIDO")</f>
        <v>PAGO VENCIDO</v>
      </c>
      <c r="C137" s="112">
        <f>+VLOOKUP(PROVEEDORES[[#This Row],[PROVEEDOR]],TERCEROS_INFO[#All],2,FALSE)</f>
        <v>30</v>
      </c>
      <c r="D137" s="113">
        <f>+SUMIFS(PROVEEDORES[Total],PROVEEDORES[PROVEEDOR],PROVEEDORES[[#This Row],[PROVEEDOR]],PROVEEDORES[FECHA DE PAGO],"")</f>
        <v>0</v>
      </c>
      <c r="E137" s="114"/>
      <c r="F137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37" s="115">
        <v>45642</v>
      </c>
      <c r="H137" s="116" t="s">
        <v>13</v>
      </c>
      <c r="I137" s="115">
        <v>45601</v>
      </c>
      <c r="J137" s="117" t="s">
        <v>783</v>
      </c>
      <c r="K137" s="117" t="s">
        <v>210</v>
      </c>
      <c r="L137" s="117" t="s">
        <v>259</v>
      </c>
      <c r="M137" s="118">
        <v>1757142</v>
      </c>
      <c r="N137" s="119"/>
      <c r="O137" s="119">
        <v>0</v>
      </c>
      <c r="P137" s="120">
        <v>2.5000000000000001E-2</v>
      </c>
      <c r="Q137" s="119">
        <v>43928.55</v>
      </c>
      <c r="R137" s="121">
        <v>1713213.45</v>
      </c>
      <c r="S13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122">
        <f ca="1">+IF(PROVEEDORES[[#This Row],[FECHA DE PAGO]]=0,TODAY()-PROVEEDORES[[#This Row],[FECHA DE FACTURACIÓN]]-PROVEEDORES[[#This Row],[PLAZO Días]],0)</f>
        <v>0</v>
      </c>
      <c r="U137" s="122" t="str">
        <f>+VLOOKUP(PROVEEDORES[[#This Row],[PROVEEDOR]],Terceros!$A:$D,4,FALSE)</f>
        <v>2,5% con base</v>
      </c>
      <c r="V137" s="122">
        <f>+YEAR(PROVEEDORES[[#This Row],[FECHA DE FACTURACIÓN]])</f>
        <v>2024</v>
      </c>
      <c r="W137" s="122">
        <f>+MATCH(PROVEEDORES[[#This Row],[año facturado]],Retenciones!$1:$1,0)</f>
        <v>3</v>
      </c>
      <c r="X137" s="123">
        <f>+VLOOKUP(PROVEEDORES[[#This Row],[ID RETENCION]],Retenciones!$A$1:$K$25,PROVEEDORES[[#This Row],[indicador de columna]],FALSE)</f>
        <v>1271000</v>
      </c>
      <c r="Y137" s="124">
        <f>+VLOOKUP(PROVEEDORES[[#This Row],[ID RETENCION]],Retenciones!$A$1:$K$25,2,FALSE)</f>
        <v>2.5000000000000001E-2</v>
      </c>
      <c r="Z137" s="125" t="b">
        <f>+OR(COUNTIF(PROVEEDORES[[#This Row],[PROVEEDOR]],"*"&amp;'Palabra que no opera y Listas d'!$A$2&amp;"*"))</f>
        <v>0</v>
      </c>
    </row>
    <row r="138" spans="1:26" ht="27.75" customHeight="1" x14ac:dyDescent="0.25">
      <c r="A138" s="112" t="str">
        <f>+IF(PROVEEDORES[[#This Row],[FECHA DE PAGO]]=PROVEEDORES[[#This Row],[FECHA DE FACTURACIÓN]],"DE CONTADO","CRÉDITO")</f>
        <v>CRÉDITO</v>
      </c>
      <c r="B138" s="112" t="str">
        <f>+IF((PROVEEDORES[[#This Row],[FECHA DE PAGO]]-PROVEEDORES[[#This Row],[FECHA DE FACTURACIÓN]])&gt;PROVEEDORES[[#This Row],[PLAZO Días]],"PAGO VENCIDO")</f>
        <v>PAGO VENCIDO</v>
      </c>
      <c r="C138" s="112">
        <f>+VLOOKUP(PROVEEDORES[[#This Row],[PROVEEDOR]],TERCEROS_INFO[#All],2,FALSE)</f>
        <v>30</v>
      </c>
      <c r="D138" s="113">
        <f>+SUMIFS(PROVEEDORES[Total],PROVEEDORES[PROVEEDOR],PROVEEDORES[[#This Row],[PROVEEDOR]],PROVEEDORES[FECHA DE PAGO],"")</f>
        <v>3651240.11</v>
      </c>
      <c r="E138" s="114"/>
      <c r="F138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8" s="115">
        <v>45642</v>
      </c>
      <c r="H138" s="116" t="s">
        <v>243</v>
      </c>
      <c r="I138" s="115">
        <v>45602</v>
      </c>
      <c r="J138" s="117" t="s">
        <v>784</v>
      </c>
      <c r="K138" s="117" t="s">
        <v>256</v>
      </c>
      <c r="L138" s="117" t="s">
        <v>261</v>
      </c>
      <c r="M138" s="118">
        <v>226200</v>
      </c>
      <c r="N138" s="119"/>
      <c r="O138" s="119">
        <v>0</v>
      </c>
      <c r="P138" s="120">
        <v>0</v>
      </c>
      <c r="Q138" s="119">
        <v>0</v>
      </c>
      <c r="R138" s="121">
        <v>226200</v>
      </c>
      <c r="S13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122">
        <f ca="1">+IF(PROVEEDORES[[#This Row],[FECHA DE PAGO]]=0,TODAY()-PROVEEDORES[[#This Row],[FECHA DE FACTURACIÓN]]-PROVEEDORES[[#This Row],[PLAZO Días]],0)</f>
        <v>0</v>
      </c>
      <c r="U138" s="122" t="str">
        <f>+VLOOKUP(PROVEEDORES[[#This Row],[PROVEEDOR]],Terceros!$A:$D,4,FALSE)</f>
        <v>2,5% con base</v>
      </c>
      <c r="V138" s="122">
        <f>+YEAR(PROVEEDORES[[#This Row],[FECHA DE FACTURACIÓN]])</f>
        <v>2024</v>
      </c>
      <c r="W138" s="122">
        <f>+MATCH(PROVEEDORES[[#This Row],[año facturado]],Retenciones!$1:$1,0)</f>
        <v>3</v>
      </c>
      <c r="X138" s="123">
        <f>+VLOOKUP(PROVEEDORES[[#This Row],[ID RETENCION]],Retenciones!$A$1:$K$25,PROVEEDORES[[#This Row],[indicador de columna]],FALSE)</f>
        <v>1271000</v>
      </c>
      <c r="Y138" s="124">
        <f>+VLOOKUP(PROVEEDORES[[#This Row],[ID RETENCION]],Retenciones!$A$1:$K$25,2,FALSE)</f>
        <v>2.5000000000000001E-2</v>
      </c>
      <c r="Z138" s="125" t="b">
        <f>+OR(COUNTIF(PROVEEDORES[[#This Row],[PROVEEDOR]],"*"&amp;'Palabra que no opera y Listas d'!$A$2&amp;"*"))</f>
        <v>0</v>
      </c>
    </row>
    <row r="139" spans="1:26" ht="27.75" customHeight="1" x14ac:dyDescent="0.25">
      <c r="A139" s="112" t="str">
        <f>+IF(PROVEEDORES[[#This Row],[FECHA DE PAGO]]=PROVEEDORES[[#This Row],[FECHA DE FACTURACIÓN]],"DE CONTADO","CRÉDITO")</f>
        <v>CRÉDITO</v>
      </c>
      <c r="B139" s="112" t="str">
        <f>+IF((PROVEEDORES[[#This Row],[FECHA DE PAGO]]-PROVEEDORES[[#This Row],[FECHA DE FACTURACIÓN]])&gt;PROVEEDORES[[#This Row],[PLAZO Días]],"PAGO VENCIDO")</f>
        <v>PAGO VENCIDO</v>
      </c>
      <c r="C139" s="112">
        <f>+VLOOKUP(PROVEEDORES[[#This Row],[PROVEEDOR]],TERCEROS_INFO[#All],2,FALSE)</f>
        <v>30</v>
      </c>
      <c r="D139" s="113">
        <f>+SUMIFS(PROVEEDORES[Total],PROVEEDORES[PROVEEDOR],PROVEEDORES[[#This Row],[PROVEEDOR]],PROVEEDORES[FECHA DE PAGO],"")</f>
        <v>3651240.11</v>
      </c>
      <c r="E139" s="114"/>
      <c r="F139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9" s="115">
        <v>45642</v>
      </c>
      <c r="H139" s="116" t="s">
        <v>243</v>
      </c>
      <c r="I139" s="115">
        <v>45604</v>
      </c>
      <c r="J139" s="117" t="s">
        <v>785</v>
      </c>
      <c r="K139" s="117" t="s">
        <v>256</v>
      </c>
      <c r="L139" s="117" t="s">
        <v>261</v>
      </c>
      <c r="M139" s="118">
        <v>1387000</v>
      </c>
      <c r="N139" s="119"/>
      <c r="O139" s="119">
        <v>0</v>
      </c>
      <c r="P139" s="120">
        <v>2.5000000000000001E-2</v>
      </c>
      <c r="Q139" s="119">
        <v>34675</v>
      </c>
      <c r="R139" s="121">
        <v>1352325</v>
      </c>
      <c r="S13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122">
        <f ca="1">+IF(PROVEEDORES[[#This Row],[FECHA DE PAGO]]=0,TODAY()-PROVEEDORES[[#This Row],[FECHA DE FACTURACIÓN]]-PROVEEDORES[[#This Row],[PLAZO Días]],0)</f>
        <v>0</v>
      </c>
      <c r="U139" s="122" t="str">
        <f>+VLOOKUP(PROVEEDORES[[#This Row],[PROVEEDOR]],Terceros!$A:$D,4,FALSE)</f>
        <v>2,5% con base</v>
      </c>
      <c r="V139" s="122">
        <f>+YEAR(PROVEEDORES[[#This Row],[FECHA DE FACTURACIÓN]])</f>
        <v>2024</v>
      </c>
      <c r="W139" s="122">
        <f>+MATCH(PROVEEDORES[[#This Row],[año facturado]],Retenciones!$1:$1,0)</f>
        <v>3</v>
      </c>
      <c r="X139" s="123">
        <f>+VLOOKUP(PROVEEDORES[[#This Row],[ID RETENCION]],Retenciones!$A$1:$K$25,PROVEEDORES[[#This Row],[indicador de columna]],FALSE)</f>
        <v>1271000</v>
      </c>
      <c r="Y139" s="124">
        <f>+VLOOKUP(PROVEEDORES[[#This Row],[ID RETENCION]],Retenciones!$A$1:$K$25,2,FALSE)</f>
        <v>2.5000000000000001E-2</v>
      </c>
      <c r="Z139" s="125" t="b">
        <f>+OR(COUNTIF(PROVEEDORES[[#This Row],[PROVEEDOR]],"*"&amp;'Palabra que no opera y Listas d'!$A$2&amp;"*"))</f>
        <v>0</v>
      </c>
    </row>
    <row r="140" spans="1:26" ht="27.75" customHeight="1" x14ac:dyDescent="0.25">
      <c r="A140" s="112" t="str">
        <f>+IF(PROVEEDORES[[#This Row],[FECHA DE PAGO]]=PROVEEDORES[[#This Row],[FECHA DE FACTURACIÓN]],"DE CONTADO","CRÉDITO")</f>
        <v>CRÉDITO</v>
      </c>
      <c r="B140" s="112" t="str">
        <f>+IF((PROVEEDORES[[#This Row],[FECHA DE PAGO]]-PROVEEDORES[[#This Row],[FECHA DE FACTURACIÓN]])&gt;PROVEEDORES[[#This Row],[PLAZO Días]],"PAGO VENCIDO")</f>
        <v>PAGO VENCIDO</v>
      </c>
      <c r="C140" s="112">
        <f>+VLOOKUP(PROVEEDORES[[#This Row],[PROVEEDOR]],TERCEROS_INFO[#All],2,FALSE)</f>
        <v>30</v>
      </c>
      <c r="D140" s="113">
        <f>+SUMIFS(PROVEEDORES[Total],PROVEEDORES[PROVEEDOR],PROVEEDORES[[#This Row],[PROVEEDOR]],PROVEEDORES[FECHA DE PAGO],"")</f>
        <v>0</v>
      </c>
      <c r="E140" s="114"/>
      <c r="F140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40" s="115">
        <v>45642</v>
      </c>
      <c r="H140" s="116" t="s">
        <v>13</v>
      </c>
      <c r="I140" s="115">
        <v>45604</v>
      </c>
      <c r="J140" s="117" t="s">
        <v>786</v>
      </c>
      <c r="K140" s="117" t="s">
        <v>210</v>
      </c>
      <c r="L140" s="117" t="s">
        <v>259</v>
      </c>
      <c r="M140" s="118">
        <v>1698984</v>
      </c>
      <c r="N140" s="119"/>
      <c r="O140" s="119">
        <v>0</v>
      </c>
      <c r="P140" s="120">
        <v>2.5000000000000001E-2</v>
      </c>
      <c r="Q140" s="119">
        <v>42474.600000000006</v>
      </c>
      <c r="R140" s="121">
        <v>1656509.4</v>
      </c>
      <c r="S14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122">
        <f ca="1">+IF(PROVEEDORES[[#This Row],[FECHA DE PAGO]]=0,TODAY()-PROVEEDORES[[#This Row],[FECHA DE FACTURACIÓN]]-PROVEEDORES[[#This Row],[PLAZO Días]],0)</f>
        <v>0</v>
      </c>
      <c r="U140" s="122" t="str">
        <f>+VLOOKUP(PROVEEDORES[[#This Row],[PROVEEDOR]],Terceros!$A:$D,4,FALSE)</f>
        <v>2,5% con base</v>
      </c>
      <c r="V140" s="122">
        <f>+YEAR(PROVEEDORES[[#This Row],[FECHA DE FACTURACIÓN]])</f>
        <v>2024</v>
      </c>
      <c r="W140" s="122">
        <f>+MATCH(PROVEEDORES[[#This Row],[año facturado]],Retenciones!$1:$1,0)</f>
        <v>3</v>
      </c>
      <c r="X140" s="123">
        <f>+VLOOKUP(PROVEEDORES[[#This Row],[ID RETENCION]],Retenciones!$A$1:$K$25,PROVEEDORES[[#This Row],[indicador de columna]],FALSE)</f>
        <v>1271000</v>
      </c>
      <c r="Y140" s="124">
        <f>+VLOOKUP(PROVEEDORES[[#This Row],[ID RETENCION]],Retenciones!$A$1:$K$25,2,FALSE)</f>
        <v>2.5000000000000001E-2</v>
      </c>
      <c r="Z140" s="125" t="b">
        <f>+OR(COUNTIF(PROVEEDORES[[#This Row],[PROVEEDOR]],"*"&amp;'Palabra que no opera y Listas d'!$A$2&amp;"*"))</f>
        <v>0</v>
      </c>
    </row>
    <row r="141" spans="1:26" ht="27.75" customHeight="1" x14ac:dyDescent="0.25">
      <c r="A141" s="112" t="str">
        <f>+IF(PROVEEDORES[[#This Row],[FECHA DE PAGO]]=PROVEEDORES[[#This Row],[FECHA DE FACTURACIÓN]],"DE CONTADO","CRÉDITO")</f>
        <v>CRÉDITO</v>
      </c>
      <c r="B141" s="112" t="str">
        <f>+IF((PROVEEDORES[[#This Row],[FECHA DE PAGO]]-PROVEEDORES[[#This Row],[FECHA DE FACTURACIÓN]])&gt;PROVEEDORES[[#This Row],[PLAZO Días]],"PAGO VENCIDO")</f>
        <v>PAGO VENCIDO</v>
      </c>
      <c r="C141" s="112">
        <f>+VLOOKUP(PROVEEDORES[[#This Row],[PROVEEDOR]],TERCEROS_INFO[#All],2,FALSE)</f>
        <v>30</v>
      </c>
      <c r="D141" s="113">
        <f>+SUMIFS(PROVEEDORES[Total],PROVEEDORES[PROVEEDOR],PROVEEDORES[[#This Row],[PROVEEDOR]],PROVEEDORES[FECHA DE PAGO],"")</f>
        <v>0</v>
      </c>
      <c r="E141" s="114"/>
      <c r="F141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41" s="115">
        <v>45642</v>
      </c>
      <c r="H141" s="116" t="s">
        <v>13</v>
      </c>
      <c r="I141" s="115">
        <v>45604</v>
      </c>
      <c r="J141" s="117" t="s">
        <v>787</v>
      </c>
      <c r="K141" s="117" t="s">
        <v>210</v>
      </c>
      <c r="L141" s="117" t="s">
        <v>259</v>
      </c>
      <c r="M141" s="118">
        <v>6375175</v>
      </c>
      <c r="N141" s="119"/>
      <c r="O141" s="119">
        <v>0</v>
      </c>
      <c r="P141" s="120">
        <v>2.5000000000000001E-2</v>
      </c>
      <c r="Q141" s="119">
        <v>159379.375</v>
      </c>
      <c r="R141" s="121">
        <v>6215795.625</v>
      </c>
      <c r="S14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122">
        <f ca="1">+IF(PROVEEDORES[[#This Row],[FECHA DE PAGO]]=0,TODAY()-PROVEEDORES[[#This Row],[FECHA DE FACTURACIÓN]]-PROVEEDORES[[#This Row],[PLAZO Días]],0)</f>
        <v>0</v>
      </c>
      <c r="U141" s="122" t="str">
        <f>+VLOOKUP(PROVEEDORES[[#This Row],[PROVEEDOR]],Terceros!$A:$D,4,FALSE)</f>
        <v>2,5% con base</v>
      </c>
      <c r="V141" s="122">
        <f>+YEAR(PROVEEDORES[[#This Row],[FECHA DE FACTURACIÓN]])</f>
        <v>2024</v>
      </c>
      <c r="W141" s="122">
        <f>+MATCH(PROVEEDORES[[#This Row],[año facturado]],Retenciones!$1:$1,0)</f>
        <v>3</v>
      </c>
      <c r="X141" s="123">
        <f>+VLOOKUP(PROVEEDORES[[#This Row],[ID RETENCION]],Retenciones!$A$1:$K$25,PROVEEDORES[[#This Row],[indicador de columna]],FALSE)</f>
        <v>1271000</v>
      </c>
      <c r="Y141" s="124">
        <f>+VLOOKUP(PROVEEDORES[[#This Row],[ID RETENCION]],Retenciones!$A$1:$K$25,2,FALSE)</f>
        <v>2.5000000000000001E-2</v>
      </c>
      <c r="Z141" s="125" t="b">
        <f>+OR(COUNTIF(PROVEEDORES[[#This Row],[PROVEEDOR]],"*"&amp;'Palabra que no opera y Listas d'!$A$2&amp;"*"))</f>
        <v>0</v>
      </c>
    </row>
    <row r="142" spans="1:26" ht="27.75" customHeight="1" x14ac:dyDescent="0.25">
      <c r="A142" s="112" t="str">
        <f>+IF(PROVEEDORES[[#This Row],[FECHA DE PAGO]]=PROVEEDORES[[#This Row],[FECHA DE FACTURACIÓN]],"DE CONTADO","CRÉDITO")</f>
        <v>CRÉDITO</v>
      </c>
      <c r="B142" s="112" t="b">
        <f>+IF((PROVEEDORES[[#This Row],[FECHA DE PAGO]]-PROVEEDORES[[#This Row],[FECHA DE FACTURACIÓN]])&gt;PROVEEDORES[[#This Row],[PLAZO Días]],"PAGO VENCIDO")</f>
        <v>0</v>
      </c>
      <c r="C142" s="112">
        <f>+VLOOKUP(PROVEEDORES[[#This Row],[PROVEEDOR]],TERCEROS_INFO[#All],2,FALSE)</f>
        <v>30</v>
      </c>
      <c r="D142" s="113">
        <f>+SUMIFS(PROVEEDORES[Total],PROVEEDORES[PROVEEDOR],PROVEEDORES[[#This Row],[PROVEEDOR]],PROVEEDORES[FECHA DE PAGO],"")</f>
        <v>0</v>
      </c>
      <c r="E142" s="114"/>
      <c r="F142" s="112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2" s="115">
        <v>45642</v>
      </c>
      <c r="H142" s="116" t="s">
        <v>672</v>
      </c>
      <c r="I142" s="115">
        <v>45615</v>
      </c>
      <c r="J142" s="117" t="s">
        <v>788</v>
      </c>
      <c r="K142" s="117" t="s">
        <v>256</v>
      </c>
      <c r="L142" s="117" t="s">
        <v>234</v>
      </c>
      <c r="M142" s="118">
        <v>1050000</v>
      </c>
      <c r="N142" s="119"/>
      <c r="O142" s="119">
        <v>0</v>
      </c>
      <c r="P142" s="120">
        <v>0</v>
      </c>
      <c r="Q142" s="119">
        <v>0</v>
      </c>
      <c r="R142" s="121">
        <v>1050000</v>
      </c>
      <c r="S14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122">
        <f ca="1">+IF(PROVEEDORES[[#This Row],[FECHA DE PAGO]]=0,TODAY()-PROVEEDORES[[#This Row],[FECHA DE FACTURACIÓN]]-PROVEEDORES[[#This Row],[PLAZO Días]],0)</f>
        <v>0</v>
      </c>
      <c r="U142" s="122">
        <f>+VLOOKUP(PROVEEDORES[[#This Row],[PROVEEDOR]],Terceros!$A:$D,4,FALSE)</f>
        <v>0</v>
      </c>
      <c r="V142" s="122">
        <f>+YEAR(PROVEEDORES[[#This Row],[FECHA DE FACTURACIÓN]])</f>
        <v>2024</v>
      </c>
      <c r="W142" s="122">
        <f>+MATCH(PROVEEDORES[[#This Row],[año facturado]],Retenciones!$1:$1,0)</f>
        <v>3</v>
      </c>
      <c r="X142" s="123">
        <f>+VLOOKUP(PROVEEDORES[[#This Row],[ID RETENCION]],Retenciones!$A$1:$K$25,PROVEEDORES[[#This Row],[indicador de columna]],FALSE)</f>
        <v>0</v>
      </c>
      <c r="Y142" s="124">
        <f>+VLOOKUP(PROVEEDORES[[#This Row],[ID RETENCION]],Retenciones!$A$1:$K$25,2,FALSE)</f>
        <v>0</v>
      </c>
      <c r="Z142" s="125" t="b">
        <f>+OR(COUNTIF(PROVEEDORES[[#This Row],[PROVEEDOR]],"*"&amp;'Palabra que no opera y Listas d'!$A$2&amp;"*"))</f>
        <v>0</v>
      </c>
    </row>
    <row r="143" spans="1:26" ht="27.75" customHeight="1" x14ac:dyDescent="0.25">
      <c r="A143" s="112" t="str">
        <f>+IF(PROVEEDORES[[#This Row],[FECHA DE PAGO]]=PROVEEDORES[[#This Row],[FECHA DE FACTURACIÓN]],"DE CONTADO","CRÉDITO")</f>
        <v>CRÉDITO</v>
      </c>
      <c r="B143" s="112" t="b">
        <f>+IF((PROVEEDORES[[#This Row],[FECHA DE PAGO]]-PROVEEDORES[[#This Row],[FECHA DE FACTURACIÓN]])&gt;PROVEEDORES[[#This Row],[PLAZO Días]],"PAGO VENCIDO")</f>
        <v>0</v>
      </c>
      <c r="C143" s="112">
        <f>+VLOOKUP(PROVEEDORES[[#This Row],[PROVEEDOR]],TERCEROS_INFO[#All],2,FALSE)</f>
        <v>30</v>
      </c>
      <c r="D143" s="113">
        <f>+SUMIFS(PROVEEDORES[Total],PROVEEDORES[PROVEEDOR],PROVEEDORES[[#This Row],[PROVEEDOR]],PROVEEDORES[FECHA DE PAGO],"")</f>
        <v>0</v>
      </c>
      <c r="E143" s="114"/>
      <c r="F143" s="112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3" s="115">
        <v>45642</v>
      </c>
      <c r="H143" s="116" t="s">
        <v>672</v>
      </c>
      <c r="I143" s="115">
        <v>45617</v>
      </c>
      <c r="J143" s="117" t="s">
        <v>789</v>
      </c>
      <c r="K143" s="117" t="s">
        <v>256</v>
      </c>
      <c r="L143" s="117" t="s">
        <v>234</v>
      </c>
      <c r="M143" s="118">
        <v>1560000</v>
      </c>
      <c r="N143" s="119"/>
      <c r="O143" s="119">
        <v>0</v>
      </c>
      <c r="P143" s="120">
        <v>0</v>
      </c>
      <c r="Q143" s="119">
        <v>0</v>
      </c>
      <c r="R143" s="121">
        <v>1560000</v>
      </c>
      <c r="S14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122">
        <f ca="1">+IF(PROVEEDORES[[#This Row],[FECHA DE PAGO]]=0,TODAY()-PROVEEDORES[[#This Row],[FECHA DE FACTURACIÓN]]-PROVEEDORES[[#This Row],[PLAZO Días]],0)</f>
        <v>0</v>
      </c>
      <c r="U143" s="122">
        <f>+VLOOKUP(PROVEEDORES[[#This Row],[PROVEEDOR]],Terceros!$A:$D,4,FALSE)</f>
        <v>0</v>
      </c>
      <c r="V143" s="122">
        <f>+YEAR(PROVEEDORES[[#This Row],[FECHA DE FACTURACIÓN]])</f>
        <v>2024</v>
      </c>
      <c r="W143" s="122">
        <f>+MATCH(PROVEEDORES[[#This Row],[año facturado]],Retenciones!$1:$1,0)</f>
        <v>3</v>
      </c>
      <c r="X143" s="123">
        <f>+VLOOKUP(PROVEEDORES[[#This Row],[ID RETENCION]],Retenciones!$A$1:$K$25,PROVEEDORES[[#This Row],[indicador de columna]],FALSE)</f>
        <v>0</v>
      </c>
      <c r="Y143" s="124">
        <f>+VLOOKUP(PROVEEDORES[[#This Row],[ID RETENCION]],Retenciones!$A$1:$K$25,2,FALSE)</f>
        <v>0</v>
      </c>
      <c r="Z143" s="125" t="b">
        <f>+OR(COUNTIF(PROVEEDORES[[#This Row],[PROVEEDOR]],"*"&amp;'Palabra que no opera y Listas d'!$A$2&amp;"*"))</f>
        <v>0</v>
      </c>
    </row>
    <row r="144" spans="1:26" ht="27.75" customHeight="1" x14ac:dyDescent="0.25">
      <c r="A144" s="112" t="str">
        <f>+IF(PROVEEDORES[[#This Row],[FECHA DE PAGO]]=PROVEEDORES[[#This Row],[FECHA DE FACTURACIÓN]],"DE CONTADO","CRÉDITO")</f>
        <v>CRÉDITO</v>
      </c>
      <c r="B144" s="112" t="str">
        <f>+IF((PROVEEDORES[[#This Row],[FECHA DE PAGO]]-PROVEEDORES[[#This Row],[FECHA DE FACTURACIÓN]])&gt;PROVEEDORES[[#This Row],[PLAZO Días]],"PAGO VENCIDO")</f>
        <v>PAGO VENCIDO</v>
      </c>
      <c r="C144" s="112">
        <f>+VLOOKUP(PROVEEDORES[[#This Row],[PROVEEDOR]],TERCEROS_INFO[#All],2,FALSE)</f>
        <v>13</v>
      </c>
      <c r="D144" s="113">
        <f>+SUMIFS(PROVEEDORES[Total],PROVEEDORES[PROVEEDOR],PROVEEDORES[[#This Row],[PROVEEDOR]],PROVEEDORES[FECHA DE PAGO],"")</f>
        <v>0</v>
      </c>
      <c r="E144" s="114"/>
      <c r="F144" s="112">
        <f>+VLOOKUP(PROVEEDORES[[#This Row],[PROVEEDOR]],
                       Terceros!$A:$F,
                       5,
                       FALSE)</f>
        <v>0</v>
      </c>
      <c r="G144" s="115">
        <v>45642</v>
      </c>
      <c r="H144" s="116" t="s">
        <v>170</v>
      </c>
      <c r="I144" s="115">
        <v>45627</v>
      </c>
      <c r="J144" s="117"/>
      <c r="K144" s="117" t="s">
        <v>256</v>
      </c>
      <c r="L144" s="117" t="s">
        <v>258</v>
      </c>
      <c r="M144" s="118">
        <v>1016038</v>
      </c>
      <c r="N144" s="119"/>
      <c r="O144" s="119">
        <v>0</v>
      </c>
      <c r="P144" s="120">
        <v>0</v>
      </c>
      <c r="Q144" s="119">
        <v>0</v>
      </c>
      <c r="R144" s="121">
        <v>1016038</v>
      </c>
      <c r="S14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122">
        <f ca="1">+IF(PROVEEDORES[[#This Row],[FECHA DE PAGO]]=0,TODAY()-PROVEEDORES[[#This Row],[FECHA DE FACTURACIÓN]]-PROVEEDORES[[#This Row],[PLAZO Días]],0)</f>
        <v>0</v>
      </c>
      <c r="U144" s="122">
        <f>+VLOOKUP(PROVEEDORES[[#This Row],[PROVEEDOR]],Terceros!$A:$D,4,FALSE)</f>
        <v>0</v>
      </c>
      <c r="V144" s="122">
        <f>+YEAR(PROVEEDORES[[#This Row],[FECHA DE FACTURACIÓN]])</f>
        <v>2024</v>
      </c>
      <c r="W144" s="122">
        <f>+MATCH(PROVEEDORES[[#This Row],[año facturado]],Retenciones!$1:$1,0)</f>
        <v>3</v>
      </c>
      <c r="X144" s="123">
        <f>+VLOOKUP(PROVEEDORES[[#This Row],[ID RETENCION]],Retenciones!$A$1:$K$25,PROVEEDORES[[#This Row],[indicador de columna]],FALSE)</f>
        <v>0</v>
      </c>
      <c r="Y144" s="124">
        <f>+VLOOKUP(PROVEEDORES[[#This Row],[ID RETENCION]],Retenciones!$A$1:$K$25,2,FALSE)</f>
        <v>0</v>
      </c>
      <c r="Z144" s="125" t="b">
        <f>+OR(COUNTIF(PROVEEDORES[[#This Row],[PROVEEDOR]],"*"&amp;'Palabra que no opera y Listas d'!$A$2&amp;"*"))</f>
        <v>1</v>
      </c>
    </row>
    <row r="145" spans="1:26" ht="27.75" customHeight="1" x14ac:dyDescent="0.25">
      <c r="A145" s="112" t="str">
        <f>+IF(PROVEEDORES[[#This Row],[FECHA DE PAGO]]=PROVEEDORES[[#This Row],[FECHA DE FACTURACIÓN]],"DE CONTADO","CRÉDITO")</f>
        <v>CRÉDITO</v>
      </c>
      <c r="B145" s="112" t="b">
        <f>+IF((PROVEEDORES[[#This Row],[FECHA DE PAGO]]-PROVEEDORES[[#This Row],[FECHA DE FACTURACIÓN]])&gt;PROVEEDORES[[#This Row],[PLAZO Días]],"PAGO VENCIDO")</f>
        <v>0</v>
      </c>
      <c r="C145" s="112">
        <f>+VLOOKUP(PROVEEDORES[[#This Row],[PROVEEDOR]],TERCEROS_INFO[#All],2,FALSE)</f>
        <v>30</v>
      </c>
      <c r="D145" s="113">
        <f>+SUMIFS(PROVEEDORES[Total],PROVEEDORES[PROVEEDOR],PROVEEDORES[[#This Row],[PROVEEDOR]],PROVEEDORES[FECHA DE PAGO],"")</f>
        <v>0</v>
      </c>
      <c r="E145" s="114"/>
      <c r="F145" s="112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45" s="115">
        <v>45642</v>
      </c>
      <c r="H145" s="116" t="s">
        <v>164</v>
      </c>
      <c r="I145" s="115">
        <v>45631</v>
      </c>
      <c r="J145" s="117" t="s">
        <v>790</v>
      </c>
      <c r="K145" s="117" t="s">
        <v>256</v>
      </c>
      <c r="L145" s="117" t="s">
        <v>258</v>
      </c>
      <c r="M145" s="118">
        <v>2020761</v>
      </c>
      <c r="N145" s="119"/>
      <c r="O145" s="119">
        <v>526847</v>
      </c>
      <c r="P145" s="120">
        <v>0</v>
      </c>
      <c r="Q145" s="119">
        <v>0</v>
      </c>
      <c r="R145" s="121">
        <v>1493914</v>
      </c>
      <c r="S14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122">
        <f ca="1">+IF(PROVEEDORES[[#This Row],[FECHA DE PAGO]]=0,TODAY()-PROVEEDORES[[#This Row],[FECHA DE FACTURACIÓN]]-PROVEEDORES[[#This Row],[PLAZO Días]],0)</f>
        <v>0</v>
      </c>
      <c r="U145" s="122">
        <f>+VLOOKUP(PROVEEDORES[[#This Row],[PROVEEDOR]],Terceros!$A:$D,4,FALSE)</f>
        <v>0</v>
      </c>
      <c r="V145" s="122">
        <f>+YEAR(PROVEEDORES[[#This Row],[FECHA DE FACTURACIÓN]])</f>
        <v>2024</v>
      </c>
      <c r="W145" s="122">
        <f>+MATCH(PROVEEDORES[[#This Row],[año facturado]],Retenciones!$1:$1,0)</f>
        <v>3</v>
      </c>
      <c r="X145" s="123">
        <f>+VLOOKUP(PROVEEDORES[[#This Row],[ID RETENCION]],Retenciones!$A$1:$K$25,PROVEEDORES[[#This Row],[indicador de columna]],FALSE)</f>
        <v>0</v>
      </c>
      <c r="Y145" s="124">
        <f>+VLOOKUP(PROVEEDORES[[#This Row],[ID RETENCION]],Retenciones!$A$1:$K$25,2,FALSE)</f>
        <v>0</v>
      </c>
      <c r="Z145" s="125" t="b">
        <f>+OR(COUNTIF(PROVEEDORES[[#This Row],[PROVEEDOR]],"*"&amp;'Palabra que no opera y Listas d'!$A$2&amp;"*"))</f>
        <v>1</v>
      </c>
    </row>
    <row r="146" spans="1:26" ht="27.75" customHeight="1" x14ac:dyDescent="0.25">
      <c r="A146" s="112" t="str">
        <f>+IF(PROVEEDORES[[#This Row],[FECHA DE PAGO]]=PROVEEDORES[[#This Row],[FECHA DE FACTURACIÓN]],"DE CONTADO","CRÉDITO")</f>
        <v>CRÉDITO</v>
      </c>
      <c r="B146" s="112" t="str">
        <f>+IF((PROVEEDORES[[#This Row],[FECHA DE PAGO]]-PROVEEDORES[[#This Row],[FECHA DE FACTURACIÓN]])&gt;PROVEEDORES[[#This Row],[PLAZO Días]],"PAGO VENCIDO")</f>
        <v>PAGO VENCIDO</v>
      </c>
      <c r="C146" s="112">
        <f>+VLOOKUP(PROVEEDORES[[#This Row],[PROVEEDOR]],TERCEROS_INFO[#All],2,FALSE)</f>
        <v>60</v>
      </c>
      <c r="D146" s="113">
        <f>+SUMIFS(PROVEEDORES[Total],PROVEEDORES[PROVEEDOR],PROVEEDORES[[#This Row],[PROVEEDOR]],PROVEEDORES[FECHA DE PAGO],"")</f>
        <v>1468167.95</v>
      </c>
      <c r="E146" s="114"/>
      <c r="F146" s="112" t="str">
        <f>+VLOOKUP(PROVEEDORES[[#This Row],[PROVEEDOR]],
                       Terceros!$A:$F,
                       5,
                       FALSE)</f>
        <v>wruiz@tsqsa.com;girlesa.ruiz@servipilas.com;joriescobar64@gmail.com</v>
      </c>
      <c r="G146" s="115">
        <v>45643</v>
      </c>
      <c r="H146" s="116" t="s">
        <v>28</v>
      </c>
      <c r="I146" s="115">
        <v>45580</v>
      </c>
      <c r="J146" s="117" t="s">
        <v>791</v>
      </c>
      <c r="K146" s="117" t="s">
        <v>256</v>
      </c>
      <c r="L146" s="117" t="s">
        <v>260</v>
      </c>
      <c r="M146" s="118">
        <v>5350800</v>
      </c>
      <c r="N146" s="119">
        <v>1016652</v>
      </c>
      <c r="O146" s="119">
        <v>0</v>
      </c>
      <c r="P146" s="120">
        <v>2.5000000000000001E-2</v>
      </c>
      <c r="Q146" s="119">
        <v>133770</v>
      </c>
      <c r="R146" s="121">
        <v>4260824</v>
      </c>
      <c r="S14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122">
        <f ca="1">+IF(PROVEEDORES[[#This Row],[FECHA DE PAGO]]=0,TODAY()-PROVEEDORES[[#This Row],[FECHA DE FACTURACIÓN]]-PROVEEDORES[[#This Row],[PLAZO Días]],0)</f>
        <v>0</v>
      </c>
      <c r="U146" s="122" t="str">
        <f>+VLOOKUP(PROVEEDORES[[#This Row],[PROVEEDOR]],Terceros!$A:$D,4,FALSE)</f>
        <v>2,5% con base</v>
      </c>
      <c r="V146" s="122">
        <f>+YEAR(PROVEEDORES[[#This Row],[FECHA DE FACTURACIÓN]])</f>
        <v>2024</v>
      </c>
      <c r="W146" s="122">
        <f>+MATCH(PROVEEDORES[[#This Row],[año facturado]],Retenciones!$1:$1,0)</f>
        <v>3</v>
      </c>
      <c r="X146" s="123">
        <f>+VLOOKUP(PROVEEDORES[[#This Row],[ID RETENCION]],Retenciones!$A$1:$K$25,PROVEEDORES[[#This Row],[indicador de columna]],FALSE)</f>
        <v>1271000</v>
      </c>
      <c r="Y146" s="124">
        <f>+VLOOKUP(PROVEEDORES[[#This Row],[ID RETENCION]],Retenciones!$A$1:$K$25,2,FALSE)</f>
        <v>2.5000000000000001E-2</v>
      </c>
      <c r="Z146" s="125" t="b">
        <f>+OR(COUNTIF(PROVEEDORES[[#This Row],[PROVEEDOR]],"*"&amp;'Palabra que no opera y Listas d'!$A$2&amp;"*"))</f>
        <v>0</v>
      </c>
    </row>
    <row r="147" spans="1:26" ht="27.75" customHeight="1" x14ac:dyDescent="0.25">
      <c r="A147" s="112" t="str">
        <f>+IF(PROVEEDORES[[#This Row],[FECHA DE PAGO]]=PROVEEDORES[[#This Row],[FECHA DE FACTURACIÓN]],"DE CONTADO","CRÉDITO")</f>
        <v>CRÉDITO</v>
      </c>
      <c r="B147" s="112" t="str">
        <f>+IF((PROVEEDORES[[#This Row],[FECHA DE PAGO]]-PROVEEDORES[[#This Row],[FECHA DE FACTURACIÓN]])&gt;PROVEEDORES[[#This Row],[PLAZO Días]],"PAGO VENCIDO")</f>
        <v>PAGO VENCIDO</v>
      </c>
      <c r="C147" s="112">
        <f>+VLOOKUP(PROVEEDORES[[#This Row],[PROVEEDOR]],TERCEROS_INFO[#All],2,FALSE)</f>
        <v>30</v>
      </c>
      <c r="D147" s="113">
        <f>+SUMIFS(PROVEEDORES[Total],PROVEEDORES[PROVEEDOR],PROVEEDORES[[#This Row],[PROVEEDOR]],PROVEEDORES[FECHA DE PAGO],"")</f>
        <v>2274598.13</v>
      </c>
      <c r="E147" s="114"/>
      <c r="F147" s="112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147" s="115">
        <v>45643</v>
      </c>
      <c r="H147" s="116" t="s">
        <v>102</v>
      </c>
      <c r="I147" s="115">
        <v>45598</v>
      </c>
      <c r="J147" s="117" t="s">
        <v>792</v>
      </c>
      <c r="K147" s="117" t="s">
        <v>256</v>
      </c>
      <c r="L147" s="117" t="s">
        <v>258</v>
      </c>
      <c r="M147" s="118">
        <v>1089579</v>
      </c>
      <c r="N147" s="119">
        <v>207020.01</v>
      </c>
      <c r="O147" s="119">
        <v>0</v>
      </c>
      <c r="P147" s="120">
        <v>0</v>
      </c>
      <c r="Q147" s="119">
        <v>0</v>
      </c>
      <c r="R147" s="121">
        <v>1296599.01</v>
      </c>
      <c r="S14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122">
        <f ca="1">+IF(PROVEEDORES[[#This Row],[FECHA DE PAGO]]=0,TODAY()-PROVEEDORES[[#This Row],[FECHA DE FACTURACIÓN]]-PROVEEDORES[[#This Row],[PLAZO Días]],0)</f>
        <v>0</v>
      </c>
      <c r="U147" s="122" t="str">
        <f>+VLOOKUP(PROVEEDORES[[#This Row],[PROVEEDOR]],Terceros!$A:$D,4,FALSE)</f>
        <v>2,5% con base</v>
      </c>
      <c r="V147" s="122">
        <f>+YEAR(PROVEEDORES[[#This Row],[FECHA DE FACTURACIÓN]])</f>
        <v>2024</v>
      </c>
      <c r="W147" s="122">
        <f>+MATCH(PROVEEDORES[[#This Row],[año facturado]],Retenciones!$1:$1,0)</f>
        <v>3</v>
      </c>
      <c r="X147" s="123">
        <f>+VLOOKUP(PROVEEDORES[[#This Row],[ID RETENCION]],Retenciones!$A$1:$K$25,PROVEEDORES[[#This Row],[indicador de columna]],FALSE)</f>
        <v>1271000</v>
      </c>
      <c r="Y147" s="124">
        <f>+VLOOKUP(PROVEEDORES[[#This Row],[ID RETENCION]],Retenciones!$A$1:$K$25,2,FALSE)</f>
        <v>2.5000000000000001E-2</v>
      </c>
      <c r="Z147" s="125" t="b">
        <f>+OR(COUNTIF(PROVEEDORES[[#This Row],[PROVEEDOR]],"*"&amp;'Palabra que no opera y Listas d'!$A$2&amp;"*"))</f>
        <v>0</v>
      </c>
    </row>
    <row r="148" spans="1:26" ht="27.75" customHeight="1" x14ac:dyDescent="0.25">
      <c r="A148" s="112" t="str">
        <f>+IF(PROVEEDORES[[#This Row],[FECHA DE PAGO]]=PROVEEDORES[[#This Row],[FECHA DE FACTURACIÓN]],"DE CONTADO","CRÉDITO")</f>
        <v>CRÉDITO</v>
      </c>
      <c r="B148" s="112" t="b">
        <f>+IF((PROVEEDORES[[#This Row],[FECHA DE PAGO]]-PROVEEDORES[[#This Row],[FECHA DE FACTURACIÓN]])&gt;PROVEEDORES[[#This Row],[PLAZO Días]],"PAGO VENCIDO")</f>
        <v>0</v>
      </c>
      <c r="C148" s="112">
        <f>+VLOOKUP(PROVEEDORES[[#This Row],[PROVEEDOR]],TERCEROS_INFO[#All],2,FALSE)</f>
        <v>30</v>
      </c>
      <c r="D148" s="113">
        <f>+SUMIFS(PROVEEDORES[Total],PROVEEDORES[PROVEEDOR],PROVEEDORES[[#This Row],[PROVEEDOR]],PROVEEDORES[FECHA DE PAGO],"")</f>
        <v>2274598.13</v>
      </c>
      <c r="E148" s="114"/>
      <c r="F148" s="112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148" s="115">
        <v>45643</v>
      </c>
      <c r="H148" s="116" t="s">
        <v>102</v>
      </c>
      <c r="I148" s="115">
        <v>45616</v>
      </c>
      <c r="J148" s="117" t="s">
        <v>793</v>
      </c>
      <c r="K148" s="117" t="s">
        <v>256</v>
      </c>
      <c r="L148" s="117" t="s">
        <v>258</v>
      </c>
      <c r="M148" s="118">
        <v>209747</v>
      </c>
      <c r="N148" s="119">
        <v>39851.93</v>
      </c>
      <c r="O148" s="119">
        <v>0</v>
      </c>
      <c r="P148" s="120">
        <v>0</v>
      </c>
      <c r="Q148" s="119">
        <v>0</v>
      </c>
      <c r="R148" s="121">
        <v>249598.93</v>
      </c>
      <c r="S14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122">
        <f ca="1">+IF(PROVEEDORES[[#This Row],[FECHA DE PAGO]]=0,TODAY()-PROVEEDORES[[#This Row],[FECHA DE FACTURACIÓN]]-PROVEEDORES[[#This Row],[PLAZO Días]],0)</f>
        <v>0</v>
      </c>
      <c r="U148" s="122" t="str">
        <f>+VLOOKUP(PROVEEDORES[[#This Row],[PROVEEDOR]],Terceros!$A:$D,4,FALSE)</f>
        <v>2,5% con base</v>
      </c>
      <c r="V148" s="122">
        <f>+YEAR(PROVEEDORES[[#This Row],[FECHA DE FACTURACIÓN]])</f>
        <v>2024</v>
      </c>
      <c r="W148" s="122">
        <f>+MATCH(PROVEEDORES[[#This Row],[año facturado]],Retenciones!$1:$1,0)</f>
        <v>3</v>
      </c>
      <c r="X148" s="123">
        <f>+VLOOKUP(PROVEEDORES[[#This Row],[ID RETENCION]],Retenciones!$A$1:$K$25,PROVEEDORES[[#This Row],[indicador de columna]],FALSE)</f>
        <v>1271000</v>
      </c>
      <c r="Y148" s="124">
        <f>+VLOOKUP(PROVEEDORES[[#This Row],[ID RETENCION]],Retenciones!$A$1:$K$25,2,FALSE)</f>
        <v>2.5000000000000001E-2</v>
      </c>
      <c r="Z148" s="125" t="b">
        <f>+OR(COUNTIF(PROVEEDORES[[#This Row],[PROVEEDOR]],"*"&amp;'Palabra que no opera y Listas d'!$A$2&amp;"*"))</f>
        <v>0</v>
      </c>
    </row>
    <row r="149" spans="1:26" ht="27.75" customHeight="1" x14ac:dyDescent="0.25">
      <c r="A149" s="112" t="str">
        <f>+IF(PROVEEDORES[[#This Row],[FECHA DE PAGO]]=PROVEEDORES[[#This Row],[FECHA DE FACTURACIÓN]],"DE CONTADO","CRÉDITO")</f>
        <v>DE CONTADO</v>
      </c>
      <c r="B149" s="112" t="b">
        <f>+IF((PROVEEDORES[[#This Row],[FECHA DE PAGO]]-PROVEEDORES[[#This Row],[FECHA DE FACTURACIÓN]])&gt;PROVEEDORES[[#This Row],[PLAZO Días]],"PAGO VENCIDO")</f>
        <v>0</v>
      </c>
      <c r="C149" s="112">
        <f>+VLOOKUP(PROVEEDORES[[#This Row],[PROVEEDOR]],TERCEROS_INFO[#All],2,FALSE)</f>
        <v>30</v>
      </c>
      <c r="D149" s="113">
        <f>+SUMIFS(PROVEEDORES[Total],PROVEEDORES[PROVEEDOR],PROVEEDORES[[#This Row],[PROVEEDOR]],PROVEEDORES[FECHA DE PAGO],"")</f>
        <v>0</v>
      </c>
      <c r="E149" s="114"/>
      <c r="F149" s="112" t="str">
        <f>+VLOOKUP(PROVEEDORES[[#This Row],[PROVEEDOR]],
                       Terceros!$A:$F,
                       5,
                       FALSE)</f>
        <v/>
      </c>
      <c r="G149" s="115">
        <v>45643</v>
      </c>
      <c r="H149" s="116" t="s">
        <v>317</v>
      </c>
      <c r="I149" s="115">
        <v>45643</v>
      </c>
      <c r="J149" s="117" t="s">
        <v>794</v>
      </c>
      <c r="K149" s="117" t="s">
        <v>256</v>
      </c>
      <c r="L149" s="117" t="s">
        <v>234</v>
      </c>
      <c r="M149" s="118">
        <v>911800</v>
      </c>
      <c r="N149" s="119"/>
      <c r="O149" s="119">
        <v>0</v>
      </c>
      <c r="P149" s="120">
        <v>0</v>
      </c>
      <c r="Q149" s="119">
        <v>0</v>
      </c>
      <c r="R149" s="121">
        <v>911800</v>
      </c>
      <c r="S14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122">
        <f ca="1">+IF(PROVEEDORES[[#This Row],[FECHA DE PAGO]]=0,TODAY()-PROVEEDORES[[#This Row],[FECHA DE FACTURACIÓN]]-PROVEEDORES[[#This Row],[PLAZO Días]],0)</f>
        <v>0</v>
      </c>
      <c r="U149" s="122">
        <f>+VLOOKUP(PROVEEDORES[[#This Row],[PROVEEDOR]],Terceros!$A:$D,4,FALSE)</f>
        <v>0</v>
      </c>
      <c r="V149" s="122">
        <f>+YEAR(PROVEEDORES[[#This Row],[FECHA DE FACTURACIÓN]])</f>
        <v>2024</v>
      </c>
      <c r="W149" s="122">
        <f>+MATCH(PROVEEDORES[[#This Row],[año facturado]],Retenciones!$1:$1,0)</f>
        <v>3</v>
      </c>
      <c r="X149" s="123">
        <f>+VLOOKUP(PROVEEDORES[[#This Row],[ID RETENCION]],Retenciones!$A$1:$K$25,PROVEEDORES[[#This Row],[indicador de columna]],FALSE)</f>
        <v>0</v>
      </c>
      <c r="Y149" s="124">
        <f>+VLOOKUP(PROVEEDORES[[#This Row],[ID RETENCION]],Retenciones!$A$1:$K$25,2,FALSE)</f>
        <v>0</v>
      </c>
      <c r="Z149" s="125" t="b">
        <f>+OR(COUNTIF(PROVEEDORES[[#This Row],[PROVEEDOR]],"*"&amp;'Palabra que no opera y Listas d'!$A$2&amp;"*"))</f>
        <v>1</v>
      </c>
    </row>
    <row r="150" spans="1:26" ht="27.75" customHeight="1" x14ac:dyDescent="0.25">
      <c r="A150" s="112" t="str">
        <f>+IF(PROVEEDORES[[#This Row],[FECHA DE PAGO]]=PROVEEDORES[[#This Row],[FECHA DE FACTURACIÓN]],"DE CONTADO","CRÉDITO")</f>
        <v>CRÉDITO</v>
      </c>
      <c r="B150" s="112" t="b">
        <f>+IF((PROVEEDORES[[#This Row],[FECHA DE PAGO]]-PROVEEDORES[[#This Row],[FECHA DE FACTURACIÓN]])&gt;PROVEEDORES[[#This Row],[PLAZO Días]],"PAGO VENCIDO")</f>
        <v>0</v>
      </c>
      <c r="C150" s="112">
        <f>+VLOOKUP(PROVEEDORES[[#This Row],[PROVEEDOR]],TERCEROS_INFO[#All],2,FALSE)</f>
        <v>30</v>
      </c>
      <c r="D150" s="113">
        <f>+SUMIFS(PROVEEDORES[Total],PROVEEDORES[PROVEEDOR],PROVEEDORES[[#This Row],[PROVEEDOR]],PROVEEDORES[FECHA DE PAGO],"")</f>
        <v>0</v>
      </c>
      <c r="E150" s="114"/>
      <c r="F150" s="112">
        <f>+VLOOKUP(PROVEEDORES[[#This Row],[PROVEEDOR]],
                       Terceros!$A:$F,
                       5,
                       FALSE)</f>
        <v>0</v>
      </c>
      <c r="G150" s="115">
        <v>45644</v>
      </c>
      <c r="H150" s="116" t="s">
        <v>407</v>
      </c>
      <c r="I150" s="115">
        <v>45643</v>
      </c>
      <c r="J150" s="117" t="s">
        <v>795</v>
      </c>
      <c r="K150" s="117" t="s">
        <v>210</v>
      </c>
      <c r="L150" s="117" t="s">
        <v>234</v>
      </c>
      <c r="M150" s="118">
        <v>438000</v>
      </c>
      <c r="N150" s="119"/>
      <c r="O150" s="119">
        <v>0</v>
      </c>
      <c r="P150" s="120">
        <v>0</v>
      </c>
      <c r="Q150" s="119">
        <v>0</v>
      </c>
      <c r="R150" s="121">
        <v>438000</v>
      </c>
      <c r="S15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122">
        <f ca="1">+IF(PROVEEDORES[[#This Row],[FECHA DE PAGO]]=0,TODAY()-PROVEEDORES[[#This Row],[FECHA DE FACTURACIÓN]]-PROVEEDORES[[#This Row],[PLAZO Días]],0)</f>
        <v>0</v>
      </c>
      <c r="U150" s="122">
        <f>+VLOOKUP(PROVEEDORES[[#This Row],[PROVEEDOR]],Terceros!$A:$D,4,FALSE)</f>
        <v>0</v>
      </c>
      <c r="V150" s="122">
        <f>+YEAR(PROVEEDORES[[#This Row],[FECHA DE FACTURACIÓN]])</f>
        <v>2024</v>
      </c>
      <c r="W150" s="122">
        <f>+MATCH(PROVEEDORES[[#This Row],[año facturado]],Retenciones!$1:$1,0)</f>
        <v>3</v>
      </c>
      <c r="X150" s="123">
        <f>+VLOOKUP(PROVEEDORES[[#This Row],[ID RETENCION]],Retenciones!$A$1:$K$25,PROVEEDORES[[#This Row],[indicador de columna]],FALSE)</f>
        <v>0</v>
      </c>
      <c r="Y150" s="124">
        <f>+VLOOKUP(PROVEEDORES[[#This Row],[ID RETENCION]],Retenciones!$A$1:$K$25,2,FALSE)</f>
        <v>0</v>
      </c>
      <c r="Z150" s="125" t="b">
        <f>+OR(COUNTIF(PROVEEDORES[[#This Row],[PROVEEDOR]],"*"&amp;'Palabra que no opera y Listas d'!$A$2&amp;"*"))</f>
        <v>1</v>
      </c>
    </row>
    <row r="151" spans="1:26" ht="27.75" customHeight="1" x14ac:dyDescent="0.25">
      <c r="A151" s="112" t="str">
        <f>+IF(PROVEEDORES[[#This Row],[FECHA DE PAGO]]=PROVEEDORES[[#This Row],[FECHA DE FACTURACIÓN]],"DE CONTADO","CRÉDITO")</f>
        <v>DE CONTADO</v>
      </c>
      <c r="B151" s="112" t="b">
        <f>+IF((PROVEEDORES[[#This Row],[FECHA DE PAGO]]-PROVEEDORES[[#This Row],[FECHA DE FACTURACIÓN]])&gt;PROVEEDORES[[#This Row],[PLAZO Días]],"PAGO VENCIDO")</f>
        <v>0</v>
      </c>
      <c r="C151" s="112">
        <f>+VLOOKUP(PROVEEDORES[[#This Row],[PROVEEDOR]],TERCEROS_INFO[#All],2,FALSE)</f>
        <v>30</v>
      </c>
      <c r="D151" s="113">
        <f>+SUMIFS(PROVEEDORES[Total],PROVEEDORES[PROVEEDOR],PROVEEDORES[[#This Row],[PROVEEDOR]],PROVEEDORES[FECHA DE PAGO],"")</f>
        <v>0</v>
      </c>
      <c r="E151" s="114"/>
      <c r="F151" s="112" t="str">
        <f>+VLOOKUP(PROVEEDORES[[#This Row],[PROVEEDOR]],
                       Terceros!$A:$F,
                       5,
                       FALSE)</f>
        <v/>
      </c>
      <c r="G151" s="115">
        <v>45644</v>
      </c>
      <c r="H151" s="116" t="s">
        <v>317</v>
      </c>
      <c r="I151" s="115">
        <v>45644</v>
      </c>
      <c r="J151" s="117" t="s">
        <v>796</v>
      </c>
      <c r="K151" s="117" t="s">
        <v>256</v>
      </c>
      <c r="L151" s="117" t="s">
        <v>234</v>
      </c>
      <c r="M151" s="118">
        <v>1000000</v>
      </c>
      <c r="N151" s="119"/>
      <c r="O151" s="119">
        <v>0</v>
      </c>
      <c r="P151" s="120">
        <v>0</v>
      </c>
      <c r="Q151" s="119">
        <v>0</v>
      </c>
      <c r="R151" s="121">
        <v>1000000</v>
      </c>
      <c r="S15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122">
        <f ca="1">+IF(PROVEEDORES[[#This Row],[FECHA DE PAGO]]=0,TODAY()-PROVEEDORES[[#This Row],[FECHA DE FACTURACIÓN]]-PROVEEDORES[[#This Row],[PLAZO Días]],0)</f>
        <v>0</v>
      </c>
      <c r="U151" s="122">
        <f>+VLOOKUP(PROVEEDORES[[#This Row],[PROVEEDOR]],Terceros!$A:$D,4,FALSE)</f>
        <v>0</v>
      </c>
      <c r="V151" s="122">
        <f>+YEAR(PROVEEDORES[[#This Row],[FECHA DE FACTURACIÓN]])</f>
        <v>2024</v>
      </c>
      <c r="W151" s="122">
        <f>+MATCH(PROVEEDORES[[#This Row],[año facturado]],Retenciones!$1:$1,0)</f>
        <v>3</v>
      </c>
      <c r="X151" s="123">
        <f>+VLOOKUP(PROVEEDORES[[#This Row],[ID RETENCION]],Retenciones!$A$1:$K$25,PROVEEDORES[[#This Row],[indicador de columna]],FALSE)</f>
        <v>0</v>
      </c>
      <c r="Y151" s="124">
        <f>+VLOOKUP(PROVEEDORES[[#This Row],[ID RETENCION]],Retenciones!$A$1:$K$25,2,FALSE)</f>
        <v>0</v>
      </c>
      <c r="Z151" s="125" t="b">
        <f>+OR(COUNTIF(PROVEEDORES[[#This Row],[PROVEEDOR]],"*"&amp;'Palabra que no opera y Listas d'!$A$2&amp;"*"))</f>
        <v>1</v>
      </c>
    </row>
    <row r="152" spans="1:26" ht="27.75" customHeight="1" x14ac:dyDescent="0.25">
      <c r="A152" s="112" t="str">
        <f>+IF(PROVEEDORES[[#This Row],[FECHA DE PAGO]]=PROVEEDORES[[#This Row],[FECHA DE FACTURACIÓN]],"DE CONTADO","CRÉDITO")</f>
        <v>CRÉDITO</v>
      </c>
      <c r="B152" s="112" t="str">
        <f>+IF((PROVEEDORES[[#This Row],[FECHA DE PAGO]]-PROVEEDORES[[#This Row],[FECHA DE FACTURACIÓN]])&gt;PROVEEDORES[[#This Row],[PLAZO Días]],"PAGO VENCIDO")</f>
        <v>PAGO VENCIDO</v>
      </c>
      <c r="C152" s="112">
        <f>+VLOOKUP(PROVEEDORES[[#This Row],[PROVEEDOR]],TERCEROS_INFO[#All],2,FALSE)</f>
        <v>30</v>
      </c>
      <c r="D152" s="113">
        <f>+SUMIFS(PROVEEDORES[Total],PROVEEDORES[PROVEEDOR],PROVEEDORES[[#This Row],[PROVEEDOR]],PROVEEDORES[FECHA DE PAGO],"")</f>
        <v>11737128.02</v>
      </c>
      <c r="E152" s="114"/>
      <c r="F152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152" s="115">
        <v>45645</v>
      </c>
      <c r="H152" s="116" t="s">
        <v>536</v>
      </c>
      <c r="I152" s="115">
        <v>45595</v>
      </c>
      <c r="J152" s="117" t="s">
        <v>797</v>
      </c>
      <c r="K152" s="117" t="s">
        <v>256</v>
      </c>
      <c r="L152" s="117" t="s">
        <v>258</v>
      </c>
      <c r="M152" s="118">
        <v>1520046</v>
      </c>
      <c r="N152" s="119">
        <v>288808.74</v>
      </c>
      <c r="O152" s="119">
        <v>0</v>
      </c>
      <c r="P152" s="120">
        <v>2.5000000000000001E-2</v>
      </c>
      <c r="Q152" s="119">
        <v>38001.15</v>
      </c>
      <c r="R152" s="121">
        <v>1770853.59</v>
      </c>
      <c r="S15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122">
        <f ca="1">+IF(PROVEEDORES[[#This Row],[FECHA DE PAGO]]=0,TODAY()-PROVEEDORES[[#This Row],[FECHA DE FACTURACIÓN]]-PROVEEDORES[[#This Row],[PLAZO Días]],0)</f>
        <v>0</v>
      </c>
      <c r="U152" s="122" t="str">
        <f>+VLOOKUP(PROVEEDORES[[#This Row],[PROVEEDOR]],Terceros!$A:$D,4,FALSE)</f>
        <v>2,5% con base</v>
      </c>
      <c r="V152" s="122">
        <f>+YEAR(PROVEEDORES[[#This Row],[FECHA DE FACTURACIÓN]])</f>
        <v>2024</v>
      </c>
      <c r="W152" s="122">
        <f>+MATCH(PROVEEDORES[[#This Row],[año facturado]],Retenciones!$1:$1,0)</f>
        <v>3</v>
      </c>
      <c r="X152" s="123">
        <f>+VLOOKUP(PROVEEDORES[[#This Row],[ID RETENCION]],Retenciones!$A$1:$K$25,PROVEEDORES[[#This Row],[indicador de columna]],FALSE)</f>
        <v>1271000</v>
      </c>
      <c r="Y152" s="124">
        <f>+VLOOKUP(PROVEEDORES[[#This Row],[ID RETENCION]],Retenciones!$A$1:$K$25,2,FALSE)</f>
        <v>2.5000000000000001E-2</v>
      </c>
      <c r="Z152" s="125" t="b">
        <f>+OR(COUNTIF(PROVEEDORES[[#This Row],[PROVEEDOR]],"*"&amp;'Palabra que no opera y Listas d'!$A$2&amp;"*"))</f>
        <v>0</v>
      </c>
    </row>
    <row r="153" spans="1:26" ht="27.75" customHeight="1" x14ac:dyDescent="0.25">
      <c r="A153" s="112" t="str">
        <f>+IF(PROVEEDORES[[#This Row],[FECHA DE PAGO]]=PROVEEDORES[[#This Row],[FECHA DE FACTURACIÓN]],"DE CONTADO","CRÉDITO")</f>
        <v>CRÉDITO</v>
      </c>
      <c r="B153" s="112" t="str">
        <f>+IF((PROVEEDORES[[#This Row],[FECHA DE PAGO]]-PROVEEDORES[[#This Row],[FECHA DE FACTURACIÓN]])&gt;PROVEEDORES[[#This Row],[PLAZO Días]],"PAGO VENCIDO")</f>
        <v>PAGO VENCIDO</v>
      </c>
      <c r="C153" s="112">
        <f>+VLOOKUP(PROVEEDORES[[#This Row],[PROVEEDOR]],TERCEROS_INFO[#All],2,FALSE)</f>
        <v>30</v>
      </c>
      <c r="D153" s="113">
        <f>+SUMIFS(PROVEEDORES[Total],PROVEEDORES[PROVEEDOR],PROVEEDORES[[#This Row],[PROVEEDOR]],PROVEEDORES[FECHA DE PAGO],"")</f>
        <v>11737128.02</v>
      </c>
      <c r="E153" s="114"/>
      <c r="F153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153" s="115">
        <v>45645</v>
      </c>
      <c r="H153" s="116" t="s">
        <v>536</v>
      </c>
      <c r="I153" s="115">
        <v>45609</v>
      </c>
      <c r="J153" s="117" t="s">
        <v>798</v>
      </c>
      <c r="K153" s="117" t="s">
        <v>256</v>
      </c>
      <c r="L153" s="117" t="s">
        <v>258</v>
      </c>
      <c r="M153" s="118">
        <v>655210</v>
      </c>
      <c r="N153" s="119">
        <v>124489.9</v>
      </c>
      <c r="O153" s="119">
        <v>0</v>
      </c>
      <c r="P153" s="120">
        <v>0</v>
      </c>
      <c r="Q153" s="119">
        <v>0</v>
      </c>
      <c r="R153" s="121">
        <v>779699.9</v>
      </c>
      <c r="S15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122">
        <f ca="1">+IF(PROVEEDORES[[#This Row],[FECHA DE PAGO]]=0,TODAY()-PROVEEDORES[[#This Row],[FECHA DE FACTURACIÓN]]-PROVEEDORES[[#This Row],[PLAZO Días]],0)</f>
        <v>0</v>
      </c>
      <c r="U153" s="122" t="str">
        <f>+VLOOKUP(PROVEEDORES[[#This Row],[PROVEEDOR]],Terceros!$A:$D,4,FALSE)</f>
        <v>2,5% con base</v>
      </c>
      <c r="V153" s="122">
        <f>+YEAR(PROVEEDORES[[#This Row],[FECHA DE FACTURACIÓN]])</f>
        <v>2024</v>
      </c>
      <c r="W153" s="122">
        <f>+MATCH(PROVEEDORES[[#This Row],[año facturado]],Retenciones!$1:$1,0)</f>
        <v>3</v>
      </c>
      <c r="X153" s="123">
        <f>+VLOOKUP(PROVEEDORES[[#This Row],[ID RETENCION]],Retenciones!$A$1:$K$25,PROVEEDORES[[#This Row],[indicador de columna]],FALSE)</f>
        <v>1271000</v>
      </c>
      <c r="Y153" s="124">
        <f>+VLOOKUP(PROVEEDORES[[#This Row],[ID RETENCION]],Retenciones!$A$1:$K$25,2,FALSE)</f>
        <v>2.5000000000000001E-2</v>
      </c>
      <c r="Z153" s="125" t="b">
        <f>+OR(COUNTIF(PROVEEDORES[[#This Row],[PROVEEDOR]],"*"&amp;'Palabra que no opera y Listas d'!$A$2&amp;"*"))</f>
        <v>0</v>
      </c>
    </row>
    <row r="154" spans="1:26" ht="27.75" customHeight="1" x14ac:dyDescent="0.25">
      <c r="A154" s="112" t="str">
        <f>+IF(PROVEEDORES[[#This Row],[FECHA DE PAGO]]=PROVEEDORES[[#This Row],[FECHA DE FACTURACIÓN]],"DE CONTADO","CRÉDITO")</f>
        <v>CRÉDITO</v>
      </c>
      <c r="B154" s="112" t="str">
        <f>+IF((PROVEEDORES[[#This Row],[FECHA DE PAGO]]-PROVEEDORES[[#This Row],[FECHA DE FACTURACIÓN]])&gt;PROVEEDORES[[#This Row],[PLAZO Días]],"PAGO VENCIDO")</f>
        <v>PAGO VENCIDO</v>
      </c>
      <c r="C154" s="112">
        <f>+VLOOKUP(PROVEEDORES[[#This Row],[PROVEEDOR]],TERCEROS_INFO[#All],2,FALSE)</f>
        <v>30</v>
      </c>
      <c r="D154" s="113">
        <f>+SUMIFS(PROVEEDORES[Total],PROVEEDORES[PROVEEDOR],PROVEEDORES[[#This Row],[PROVEEDOR]],PROVEEDORES[FECHA DE PAGO],"")</f>
        <v>2496429.5699999998</v>
      </c>
      <c r="E154" s="114"/>
      <c r="F154" s="112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4" s="115">
        <v>45645</v>
      </c>
      <c r="H154" s="116" t="s">
        <v>71</v>
      </c>
      <c r="I154" s="115">
        <v>45609</v>
      </c>
      <c r="J154" s="117" t="s">
        <v>799</v>
      </c>
      <c r="K154" s="117" t="s">
        <v>256</v>
      </c>
      <c r="L154" s="117" t="s">
        <v>260</v>
      </c>
      <c r="M154" s="118">
        <v>504202</v>
      </c>
      <c r="N154" s="119">
        <v>95798.38</v>
      </c>
      <c r="O154" s="119">
        <v>0</v>
      </c>
      <c r="P154" s="120">
        <v>0</v>
      </c>
      <c r="Q154" s="119">
        <v>0</v>
      </c>
      <c r="R154" s="121">
        <v>600000.38</v>
      </c>
      <c r="S15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122">
        <f ca="1">+IF(PROVEEDORES[[#This Row],[FECHA DE PAGO]]=0,TODAY()-PROVEEDORES[[#This Row],[FECHA DE FACTURACIÓN]]-PROVEEDORES[[#This Row],[PLAZO Días]],0)</f>
        <v>0</v>
      </c>
      <c r="U154" s="122" t="str">
        <f>+VLOOKUP(PROVEEDORES[[#This Row],[PROVEEDOR]],Terceros!$A:$D,4,FALSE)</f>
        <v>2,5% con base</v>
      </c>
      <c r="V154" s="122">
        <f>+YEAR(PROVEEDORES[[#This Row],[FECHA DE FACTURACIÓN]])</f>
        <v>2024</v>
      </c>
      <c r="W154" s="122">
        <f>+MATCH(PROVEEDORES[[#This Row],[año facturado]],Retenciones!$1:$1,0)</f>
        <v>3</v>
      </c>
      <c r="X154" s="123">
        <f>+VLOOKUP(PROVEEDORES[[#This Row],[ID RETENCION]],Retenciones!$A$1:$K$25,PROVEEDORES[[#This Row],[indicador de columna]],FALSE)</f>
        <v>1271000</v>
      </c>
      <c r="Y154" s="124">
        <f>+VLOOKUP(PROVEEDORES[[#This Row],[ID RETENCION]],Retenciones!$A$1:$K$25,2,FALSE)</f>
        <v>2.5000000000000001E-2</v>
      </c>
      <c r="Z154" s="125" t="b">
        <f>+OR(COUNTIF(PROVEEDORES[[#This Row],[PROVEEDOR]],"*"&amp;'Palabra que no opera y Listas d'!$A$2&amp;"*"))</f>
        <v>0</v>
      </c>
    </row>
    <row r="155" spans="1:26" ht="27.75" customHeight="1" x14ac:dyDescent="0.25">
      <c r="A155" s="112" t="str">
        <f>+IF(PROVEEDORES[[#This Row],[FECHA DE PAGO]]=PROVEEDORES[[#This Row],[FECHA DE FACTURACIÓN]],"DE CONTADO","CRÉDITO")</f>
        <v>CRÉDITO</v>
      </c>
      <c r="B155" s="112" t="str">
        <f>+IF((PROVEEDORES[[#This Row],[FECHA DE PAGO]]-PROVEEDORES[[#This Row],[FECHA DE FACTURACIÓN]])&gt;PROVEEDORES[[#This Row],[PLAZO Días]],"PAGO VENCIDO")</f>
        <v>PAGO VENCIDO</v>
      </c>
      <c r="C155" s="112">
        <f>+VLOOKUP(PROVEEDORES[[#This Row],[PROVEEDOR]],TERCEROS_INFO[#All],2,FALSE)</f>
        <v>30</v>
      </c>
      <c r="D155" s="113">
        <f>+SUMIFS(PROVEEDORES[Total],PROVEEDORES[PROVEEDOR],PROVEEDORES[[#This Row],[PROVEEDOR]],PROVEEDORES[FECHA DE PAGO],"")</f>
        <v>630000.28</v>
      </c>
      <c r="E155" s="114"/>
      <c r="F155" s="112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5" s="115">
        <v>45645</v>
      </c>
      <c r="H155" s="116" t="s">
        <v>518</v>
      </c>
      <c r="I155" s="115">
        <v>45611</v>
      </c>
      <c r="J155" s="117" t="s">
        <v>800</v>
      </c>
      <c r="K155" s="117" t="s">
        <v>256</v>
      </c>
      <c r="L155" s="117" t="s">
        <v>260</v>
      </c>
      <c r="M155" s="118">
        <v>4505379</v>
      </c>
      <c r="N155" s="119">
        <v>597622</v>
      </c>
      <c r="O155" s="119">
        <v>0</v>
      </c>
      <c r="P155" s="120">
        <v>2.5000000000000001E-2</v>
      </c>
      <c r="Q155" s="119">
        <v>112634.47500000001</v>
      </c>
      <c r="R155" s="121">
        <v>4990366.5250000004</v>
      </c>
      <c r="S15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122">
        <f ca="1">+IF(PROVEEDORES[[#This Row],[FECHA DE PAGO]]=0,TODAY()-PROVEEDORES[[#This Row],[FECHA DE FACTURACIÓN]]-PROVEEDORES[[#This Row],[PLAZO Días]],0)</f>
        <v>0</v>
      </c>
      <c r="U155" s="122" t="str">
        <f>+VLOOKUP(PROVEEDORES[[#This Row],[PROVEEDOR]],Terceros!$A:$D,4,FALSE)</f>
        <v>2,5% con base</v>
      </c>
      <c r="V155" s="122">
        <f>+YEAR(PROVEEDORES[[#This Row],[FECHA DE FACTURACIÓN]])</f>
        <v>2024</v>
      </c>
      <c r="W155" s="122">
        <f>+MATCH(PROVEEDORES[[#This Row],[año facturado]],Retenciones!$1:$1,0)</f>
        <v>3</v>
      </c>
      <c r="X155" s="123">
        <f>+VLOOKUP(PROVEEDORES[[#This Row],[ID RETENCION]],Retenciones!$A$1:$K$25,PROVEEDORES[[#This Row],[indicador de columna]],FALSE)</f>
        <v>1271000</v>
      </c>
      <c r="Y155" s="124">
        <f>+VLOOKUP(PROVEEDORES[[#This Row],[ID RETENCION]],Retenciones!$A$1:$K$25,2,FALSE)</f>
        <v>2.5000000000000001E-2</v>
      </c>
      <c r="Z155" s="125" t="b">
        <f>+OR(COUNTIF(PROVEEDORES[[#This Row],[PROVEEDOR]],"*"&amp;'Palabra que no opera y Listas d'!$A$2&amp;"*"))</f>
        <v>0</v>
      </c>
    </row>
    <row r="156" spans="1:26" ht="27.75" customHeight="1" x14ac:dyDescent="0.25">
      <c r="A156" s="112" t="str">
        <f>+IF(PROVEEDORES[[#This Row],[FECHA DE PAGO]]=PROVEEDORES[[#This Row],[FECHA DE FACTURACIÓN]],"DE CONTADO","CRÉDITO")</f>
        <v>CRÉDITO</v>
      </c>
      <c r="B156" s="112" t="str">
        <f>+IF((PROVEEDORES[[#This Row],[FECHA DE PAGO]]-PROVEEDORES[[#This Row],[FECHA DE FACTURACIÓN]])&gt;PROVEEDORES[[#This Row],[PLAZO Días]],"PAGO VENCIDO")</f>
        <v>PAGO VENCIDO</v>
      </c>
      <c r="C156" s="112">
        <f>+VLOOKUP(PROVEEDORES[[#This Row],[PROVEEDOR]],TERCEROS_INFO[#All],2,FALSE)</f>
        <v>30</v>
      </c>
      <c r="D156" s="113">
        <f>+SUMIFS(PROVEEDORES[Total],PROVEEDORES[PROVEEDOR],PROVEEDORES[[#This Row],[PROVEEDOR]],PROVEEDORES[FECHA DE PAGO],"")</f>
        <v>2496429.5699999998</v>
      </c>
      <c r="E156" s="114"/>
      <c r="F156" s="112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6" s="115">
        <v>45645</v>
      </c>
      <c r="H156" s="116" t="s">
        <v>71</v>
      </c>
      <c r="I156" s="115">
        <v>45611</v>
      </c>
      <c r="J156" s="117" t="s">
        <v>801</v>
      </c>
      <c r="K156" s="117" t="s">
        <v>256</v>
      </c>
      <c r="L156" s="117" t="s">
        <v>260</v>
      </c>
      <c r="M156" s="118">
        <v>2184876</v>
      </c>
      <c r="N156" s="119">
        <v>415126.44</v>
      </c>
      <c r="O156" s="119">
        <v>0</v>
      </c>
      <c r="P156" s="120">
        <v>2.5000000000000001E-2</v>
      </c>
      <c r="Q156" s="119">
        <v>54621.9</v>
      </c>
      <c r="R156" s="121">
        <v>2545380.54</v>
      </c>
      <c r="S15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122">
        <f ca="1">+IF(PROVEEDORES[[#This Row],[FECHA DE PAGO]]=0,TODAY()-PROVEEDORES[[#This Row],[FECHA DE FACTURACIÓN]]-PROVEEDORES[[#This Row],[PLAZO Días]],0)</f>
        <v>0</v>
      </c>
      <c r="U156" s="122" t="str">
        <f>+VLOOKUP(PROVEEDORES[[#This Row],[PROVEEDOR]],Terceros!$A:$D,4,FALSE)</f>
        <v>2,5% con base</v>
      </c>
      <c r="V156" s="122">
        <f>+YEAR(PROVEEDORES[[#This Row],[FECHA DE FACTURACIÓN]])</f>
        <v>2024</v>
      </c>
      <c r="W156" s="122">
        <f>+MATCH(PROVEEDORES[[#This Row],[año facturado]],Retenciones!$1:$1,0)</f>
        <v>3</v>
      </c>
      <c r="X156" s="123">
        <f>+VLOOKUP(PROVEEDORES[[#This Row],[ID RETENCION]],Retenciones!$A$1:$K$25,PROVEEDORES[[#This Row],[indicador de columna]],FALSE)</f>
        <v>1271000</v>
      </c>
      <c r="Y156" s="124">
        <f>+VLOOKUP(PROVEEDORES[[#This Row],[ID RETENCION]],Retenciones!$A$1:$K$25,2,FALSE)</f>
        <v>2.5000000000000001E-2</v>
      </c>
      <c r="Z156" s="125" t="b">
        <f>+OR(COUNTIF(PROVEEDORES[[#This Row],[PROVEEDOR]],"*"&amp;'Palabra que no opera y Listas d'!$A$2&amp;"*"))</f>
        <v>0</v>
      </c>
    </row>
    <row r="157" spans="1:26" ht="27.75" customHeight="1" x14ac:dyDescent="0.25">
      <c r="A157" s="112" t="str">
        <f>+IF(PROVEEDORES[[#This Row],[FECHA DE PAGO]]=PROVEEDORES[[#This Row],[FECHA DE FACTURACIÓN]],"DE CONTADO","CRÉDITO")</f>
        <v>CRÉDITO</v>
      </c>
      <c r="B157" s="112" t="str">
        <f>+IF((PROVEEDORES[[#This Row],[FECHA DE PAGO]]-PROVEEDORES[[#This Row],[FECHA DE FACTURACIÓN]])&gt;PROVEEDORES[[#This Row],[PLAZO Días]],"PAGO VENCIDO")</f>
        <v>PAGO VENCIDO</v>
      </c>
      <c r="C157" s="112">
        <f>+VLOOKUP(PROVEEDORES[[#This Row],[PROVEEDOR]],TERCEROS_INFO[#All],2,FALSE)</f>
        <v>30</v>
      </c>
      <c r="D157" s="113">
        <f>+SUMIFS(PROVEEDORES[Total],PROVEEDORES[PROVEEDOR],PROVEEDORES[[#This Row],[PROVEEDOR]],PROVEEDORES[FECHA DE PAGO],"")</f>
        <v>10855078.560000001</v>
      </c>
      <c r="E157" s="114"/>
      <c r="F157" s="112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7" s="115">
        <v>45645</v>
      </c>
      <c r="H157" s="116" t="s">
        <v>10</v>
      </c>
      <c r="I157" s="115">
        <v>45611</v>
      </c>
      <c r="J157" s="117" t="s">
        <v>802</v>
      </c>
      <c r="K157" s="117" t="s">
        <v>256</v>
      </c>
      <c r="L157" s="117" t="s">
        <v>260</v>
      </c>
      <c r="M157" s="118">
        <v>3105888</v>
      </c>
      <c r="N157" s="119">
        <v>590118.72</v>
      </c>
      <c r="O157" s="119">
        <v>0</v>
      </c>
      <c r="P157" s="120">
        <v>2.5000000000000001E-2</v>
      </c>
      <c r="Q157" s="119">
        <v>77647.199999999997</v>
      </c>
      <c r="R157" s="121">
        <v>3618359.5199999996</v>
      </c>
      <c r="S15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122">
        <f ca="1">+IF(PROVEEDORES[[#This Row],[FECHA DE PAGO]]=0,TODAY()-PROVEEDORES[[#This Row],[FECHA DE FACTURACIÓN]]-PROVEEDORES[[#This Row],[PLAZO Días]],0)</f>
        <v>0</v>
      </c>
      <c r="U157" s="122" t="str">
        <f>+VLOOKUP(PROVEEDORES[[#This Row],[PROVEEDOR]],Terceros!$A:$D,4,FALSE)</f>
        <v>2,5% con base</v>
      </c>
      <c r="V157" s="122">
        <f>+YEAR(PROVEEDORES[[#This Row],[FECHA DE FACTURACIÓN]])</f>
        <v>2024</v>
      </c>
      <c r="W157" s="122">
        <f>+MATCH(PROVEEDORES[[#This Row],[año facturado]],Retenciones!$1:$1,0)</f>
        <v>3</v>
      </c>
      <c r="X157" s="123">
        <f>+VLOOKUP(PROVEEDORES[[#This Row],[ID RETENCION]],Retenciones!$A$1:$K$25,PROVEEDORES[[#This Row],[indicador de columna]],FALSE)</f>
        <v>1271000</v>
      </c>
      <c r="Y157" s="124">
        <f>+VLOOKUP(PROVEEDORES[[#This Row],[ID RETENCION]],Retenciones!$A$1:$K$25,2,FALSE)</f>
        <v>2.5000000000000001E-2</v>
      </c>
      <c r="Z157" s="125" t="b">
        <f>+OR(COUNTIF(PROVEEDORES[[#This Row],[PROVEEDOR]],"*"&amp;'Palabra que no opera y Listas d'!$A$2&amp;"*"))</f>
        <v>0</v>
      </c>
    </row>
    <row r="158" spans="1:26" ht="27.75" customHeight="1" x14ac:dyDescent="0.25">
      <c r="A158" s="112" t="str">
        <f>+IF(PROVEEDORES[[#This Row],[FECHA DE PAGO]]=PROVEEDORES[[#This Row],[FECHA DE FACTURACIÓN]],"DE CONTADO","CRÉDITO")</f>
        <v>CRÉDITO</v>
      </c>
      <c r="B158" s="112" t="b">
        <f>+IF((PROVEEDORES[[#This Row],[FECHA DE PAGO]]-PROVEEDORES[[#This Row],[FECHA DE FACTURACIÓN]])&gt;PROVEEDORES[[#This Row],[PLAZO Días]],"PAGO VENCIDO")</f>
        <v>0</v>
      </c>
      <c r="C158" s="112">
        <f>+VLOOKUP(PROVEEDORES[[#This Row],[PROVEEDOR]],TERCEROS_INFO[#All],2,FALSE)</f>
        <v>30</v>
      </c>
      <c r="D158" s="113">
        <f>+SUMIFS(PROVEEDORES[Total],PROVEEDORES[PROVEEDOR],PROVEEDORES[[#This Row],[PROVEEDOR]],PROVEEDORES[FECHA DE PAGO],"")</f>
        <v>0</v>
      </c>
      <c r="E158" s="114"/>
      <c r="F158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58" s="115">
        <v>45645</v>
      </c>
      <c r="H158" s="116" t="s">
        <v>93</v>
      </c>
      <c r="I158" s="115">
        <v>45638</v>
      </c>
      <c r="J158" s="117" t="s">
        <v>803</v>
      </c>
      <c r="K158" s="117" t="s">
        <v>210</v>
      </c>
      <c r="L158" s="117" t="s">
        <v>259</v>
      </c>
      <c r="M158" s="118">
        <v>16872180</v>
      </c>
      <c r="N158" s="119">
        <v>3205714.2</v>
      </c>
      <c r="O158" s="119">
        <v>1518495.8</v>
      </c>
      <c r="P158" s="120">
        <v>0</v>
      </c>
      <c r="Q158" s="119">
        <v>0</v>
      </c>
      <c r="R158" s="121">
        <v>18559398.399999999</v>
      </c>
      <c r="S15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122">
        <f ca="1">+IF(PROVEEDORES[[#This Row],[FECHA DE PAGO]]=0,TODAY()-PROVEEDORES[[#This Row],[FECHA DE FACTURACIÓN]]-PROVEEDORES[[#This Row],[PLAZO Días]],0)</f>
        <v>0</v>
      </c>
      <c r="U158" s="122">
        <f>+VLOOKUP(PROVEEDORES[[#This Row],[PROVEEDOR]],Terceros!$A:$D,4,FALSE)</f>
        <v>0</v>
      </c>
      <c r="V158" s="122">
        <f>+YEAR(PROVEEDORES[[#This Row],[FECHA DE FACTURACIÓN]])</f>
        <v>2024</v>
      </c>
      <c r="W158" s="122">
        <f>+MATCH(PROVEEDORES[[#This Row],[año facturado]],Retenciones!$1:$1,0)</f>
        <v>3</v>
      </c>
      <c r="X158" s="123">
        <f>+VLOOKUP(PROVEEDORES[[#This Row],[ID RETENCION]],Retenciones!$A$1:$K$25,PROVEEDORES[[#This Row],[indicador de columna]],FALSE)</f>
        <v>0</v>
      </c>
      <c r="Y158" s="124">
        <f>+VLOOKUP(PROVEEDORES[[#This Row],[ID RETENCION]],Retenciones!$A$1:$K$25,2,FALSE)</f>
        <v>0</v>
      </c>
      <c r="Z158" s="125" t="b">
        <f>+OR(COUNTIF(PROVEEDORES[[#This Row],[PROVEEDOR]],"*"&amp;'Palabra que no opera y Listas d'!$A$2&amp;"*"))</f>
        <v>0</v>
      </c>
    </row>
    <row r="159" spans="1:26" ht="27.75" customHeight="1" x14ac:dyDescent="0.25">
      <c r="A159" s="112" t="str">
        <f>+IF(PROVEEDORES[[#This Row],[FECHA DE PAGO]]=PROVEEDORES[[#This Row],[FECHA DE FACTURACIÓN]],"DE CONTADO","CRÉDITO")</f>
        <v>CRÉDITO</v>
      </c>
      <c r="B159" s="112" t="b">
        <f>+IF((PROVEEDORES[[#This Row],[FECHA DE PAGO]]-PROVEEDORES[[#This Row],[FECHA DE FACTURACIÓN]])&gt;PROVEEDORES[[#This Row],[PLAZO Días]],"PAGO VENCIDO")</f>
        <v>0</v>
      </c>
      <c r="C159" s="112">
        <f>+VLOOKUP(PROVEEDORES[[#This Row],[PROVEEDOR]],TERCEROS_INFO[#All],2,FALSE)</f>
        <v>30</v>
      </c>
      <c r="D159" s="113">
        <f>+SUMIFS(PROVEEDORES[Total],PROVEEDORES[PROVEEDOR],PROVEEDORES[[#This Row],[PROVEEDOR]],PROVEEDORES[FECHA DE PAGO],"")</f>
        <v>0</v>
      </c>
      <c r="E159" s="114"/>
      <c r="F159" s="112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59" s="115">
        <v>45645</v>
      </c>
      <c r="H159" s="116" t="s">
        <v>231</v>
      </c>
      <c r="I159" s="115">
        <v>45642</v>
      </c>
      <c r="J159" s="117" t="s">
        <v>804</v>
      </c>
      <c r="K159" s="117" t="s">
        <v>256</v>
      </c>
      <c r="L159" s="117" t="s">
        <v>258</v>
      </c>
      <c r="M159" s="118">
        <v>1287394</v>
      </c>
      <c r="N159" s="119">
        <v>244604.86000000002</v>
      </c>
      <c r="O159" s="119">
        <v>0</v>
      </c>
      <c r="P159" s="120">
        <v>2.5000000000000001E-2</v>
      </c>
      <c r="Q159" s="119">
        <v>32184.850000000002</v>
      </c>
      <c r="R159" s="121">
        <v>1499814.01</v>
      </c>
      <c r="S15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122">
        <f ca="1">+IF(PROVEEDORES[[#This Row],[FECHA DE PAGO]]=0,TODAY()-PROVEEDORES[[#This Row],[FECHA DE FACTURACIÓN]]-PROVEEDORES[[#This Row],[PLAZO Días]],0)</f>
        <v>0</v>
      </c>
      <c r="U159" s="122" t="str">
        <f>+VLOOKUP(PROVEEDORES[[#This Row],[PROVEEDOR]],Terceros!$A:$D,4,FALSE)</f>
        <v>2,5% con base</v>
      </c>
      <c r="V159" s="122">
        <f>+YEAR(PROVEEDORES[[#This Row],[FECHA DE FACTURACIÓN]])</f>
        <v>2024</v>
      </c>
      <c r="W159" s="122">
        <f>+MATCH(PROVEEDORES[[#This Row],[año facturado]],Retenciones!$1:$1,0)</f>
        <v>3</v>
      </c>
      <c r="X159" s="123">
        <f>+VLOOKUP(PROVEEDORES[[#This Row],[ID RETENCION]],Retenciones!$A$1:$K$25,PROVEEDORES[[#This Row],[indicador de columna]],FALSE)</f>
        <v>1271000</v>
      </c>
      <c r="Y159" s="124">
        <f>+VLOOKUP(PROVEEDORES[[#This Row],[ID RETENCION]],Retenciones!$A$1:$K$25,2,FALSE)</f>
        <v>2.5000000000000001E-2</v>
      </c>
      <c r="Z159" s="125" t="b">
        <f>+OR(COUNTIF(PROVEEDORES[[#This Row],[PROVEEDOR]],"*"&amp;'Palabra que no opera y Listas d'!$A$2&amp;"*"))</f>
        <v>0</v>
      </c>
    </row>
    <row r="160" spans="1:26" ht="27.75" customHeight="1" x14ac:dyDescent="0.25">
      <c r="A160" s="112" t="str">
        <f>+IF(PROVEEDORES[[#This Row],[FECHA DE PAGO]]=PROVEEDORES[[#This Row],[FECHA DE FACTURACIÓN]],"DE CONTADO","CRÉDITO")</f>
        <v>DE CONTADO</v>
      </c>
      <c r="B160" s="112" t="b">
        <f>+IF((PROVEEDORES[[#This Row],[FECHA DE PAGO]]-PROVEEDORES[[#This Row],[FECHA DE FACTURACIÓN]])&gt;PROVEEDORES[[#This Row],[PLAZO Días]],"PAGO VENCIDO")</f>
        <v>0</v>
      </c>
      <c r="C160" s="112">
        <f>+VLOOKUP(PROVEEDORES[[#This Row],[PROVEEDOR]],TERCEROS_INFO[#All],2,FALSE)</f>
        <v>0</v>
      </c>
      <c r="D160" s="113">
        <f>+SUMIFS(PROVEEDORES[Total],PROVEEDORES[PROVEEDOR],PROVEEDORES[[#This Row],[PROVEEDOR]],PROVEEDORES[FECHA DE PAGO],"")</f>
        <v>0</v>
      </c>
      <c r="E160" s="114"/>
      <c r="F160" s="112">
        <f>+VLOOKUP(PROVEEDORES[[#This Row],[PROVEEDOR]],
                       Terceros!$A:$F,
                       5,
                       FALSE)</f>
        <v>0</v>
      </c>
      <c r="G160" s="115">
        <v>45645</v>
      </c>
      <c r="H160" s="116" t="s">
        <v>595</v>
      </c>
      <c r="I160" s="115">
        <v>45645</v>
      </c>
      <c r="J160" s="117" t="s">
        <v>665</v>
      </c>
      <c r="K160" s="117" t="s">
        <v>210</v>
      </c>
      <c r="L160" s="117" t="s">
        <v>234</v>
      </c>
      <c r="M160" s="118">
        <v>650000</v>
      </c>
      <c r="N160" s="119"/>
      <c r="O160" s="119">
        <v>0</v>
      </c>
      <c r="P160" s="120">
        <v>0</v>
      </c>
      <c r="Q160" s="119">
        <v>0</v>
      </c>
      <c r="R160" s="121">
        <v>650000</v>
      </c>
      <c r="S16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122">
        <f ca="1">+IF(PROVEEDORES[[#This Row],[FECHA DE PAGO]]=0,TODAY()-PROVEEDORES[[#This Row],[FECHA DE FACTURACIÓN]]-PROVEEDORES[[#This Row],[PLAZO Días]],0)</f>
        <v>0</v>
      </c>
      <c r="U160" s="122">
        <f>+VLOOKUP(PROVEEDORES[[#This Row],[PROVEEDOR]],Terceros!$A:$D,4,FALSE)</f>
        <v>0</v>
      </c>
      <c r="V160" s="122">
        <f>+YEAR(PROVEEDORES[[#This Row],[FECHA DE FACTURACIÓN]])</f>
        <v>2024</v>
      </c>
      <c r="W160" s="122">
        <f>+MATCH(PROVEEDORES[[#This Row],[año facturado]],Retenciones!$1:$1,0)</f>
        <v>3</v>
      </c>
      <c r="X160" s="123">
        <f>+VLOOKUP(PROVEEDORES[[#This Row],[ID RETENCION]],Retenciones!$A$1:$K$25,PROVEEDORES[[#This Row],[indicador de columna]],FALSE)</f>
        <v>0</v>
      </c>
      <c r="Y160" s="124">
        <f>+VLOOKUP(PROVEEDORES[[#This Row],[ID RETENCION]],Retenciones!$A$1:$K$25,2,FALSE)</f>
        <v>0</v>
      </c>
      <c r="Z160" s="125" t="b">
        <f>+OR(COUNTIF(PROVEEDORES[[#This Row],[PROVEEDOR]],"*"&amp;'Palabra que no opera y Listas d'!$A$2&amp;"*"))</f>
        <v>1</v>
      </c>
    </row>
    <row r="161" spans="1:26" ht="27.75" customHeight="1" x14ac:dyDescent="0.25">
      <c r="A161" s="112" t="str">
        <f>+IF(PROVEEDORES[[#This Row],[FECHA DE PAGO]]=PROVEEDORES[[#This Row],[FECHA DE FACTURACIÓN]],"DE CONTADO","CRÉDITO")</f>
        <v>DE CONTADO</v>
      </c>
      <c r="B161" s="112" t="b">
        <f>+IF((PROVEEDORES[[#This Row],[FECHA DE PAGO]]-PROVEEDORES[[#This Row],[FECHA DE FACTURACIÓN]])&gt;PROVEEDORES[[#This Row],[PLAZO Días]],"PAGO VENCIDO")</f>
        <v>0</v>
      </c>
      <c r="C161" s="112">
        <f>+VLOOKUP(PROVEEDORES[[#This Row],[PROVEEDOR]],TERCEROS_INFO[#All],2,FALSE)</f>
        <v>30</v>
      </c>
      <c r="D161" s="113">
        <f>+SUMIFS(PROVEEDORES[Total],PROVEEDORES[PROVEEDOR],PROVEEDORES[[#This Row],[PROVEEDOR]],PROVEEDORES[FECHA DE PAGO],"")</f>
        <v>0</v>
      </c>
      <c r="E161" s="114"/>
      <c r="F161" s="112" t="str">
        <f>+VLOOKUP(PROVEEDORES[[#This Row],[PROVEEDOR]],
                       Terceros!$A:$F,
                       5,
                       FALSE)</f>
        <v/>
      </c>
      <c r="G161" s="115">
        <v>45645</v>
      </c>
      <c r="H161" s="116" t="s">
        <v>662</v>
      </c>
      <c r="I161" s="115">
        <v>45645</v>
      </c>
      <c r="J161" s="117" t="s">
        <v>664</v>
      </c>
      <c r="K161" s="117" t="s">
        <v>210</v>
      </c>
      <c r="L161" s="117" t="s">
        <v>234</v>
      </c>
      <c r="M161" s="118">
        <v>400000</v>
      </c>
      <c r="N161" s="119"/>
      <c r="O161" s="119">
        <v>0</v>
      </c>
      <c r="P161" s="120">
        <v>0</v>
      </c>
      <c r="Q161" s="119">
        <v>0</v>
      </c>
      <c r="R161" s="121">
        <v>400000</v>
      </c>
      <c r="S16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122">
        <f ca="1">+IF(PROVEEDORES[[#This Row],[FECHA DE PAGO]]=0,TODAY()-PROVEEDORES[[#This Row],[FECHA DE FACTURACIÓN]]-PROVEEDORES[[#This Row],[PLAZO Días]],0)</f>
        <v>0</v>
      </c>
      <c r="U161" s="122">
        <f>+VLOOKUP(PROVEEDORES[[#This Row],[PROVEEDOR]],Terceros!$A:$D,4,FALSE)</f>
        <v>0</v>
      </c>
      <c r="V161" s="122">
        <f>+YEAR(PROVEEDORES[[#This Row],[FECHA DE FACTURACIÓN]])</f>
        <v>2024</v>
      </c>
      <c r="W161" s="122">
        <f>+MATCH(PROVEEDORES[[#This Row],[año facturado]],Retenciones!$1:$1,0)</f>
        <v>3</v>
      </c>
      <c r="X161" s="123">
        <f>+VLOOKUP(PROVEEDORES[[#This Row],[ID RETENCION]],Retenciones!$A$1:$K$25,PROVEEDORES[[#This Row],[indicador de columna]],FALSE)</f>
        <v>0</v>
      </c>
      <c r="Y161" s="124">
        <f>+VLOOKUP(PROVEEDORES[[#This Row],[ID RETENCION]],Retenciones!$A$1:$K$25,2,FALSE)</f>
        <v>0</v>
      </c>
      <c r="Z161" s="125" t="b">
        <f>+OR(COUNTIF(PROVEEDORES[[#This Row],[PROVEEDOR]],"*"&amp;'Palabra que no opera y Listas d'!$A$2&amp;"*"))</f>
        <v>0</v>
      </c>
    </row>
    <row r="162" spans="1:26" ht="27.75" customHeight="1" x14ac:dyDescent="0.25">
      <c r="A162" s="112" t="str">
        <f>+IF(PROVEEDORES[[#This Row],[FECHA DE PAGO]]=PROVEEDORES[[#This Row],[FECHA DE FACTURACIÓN]],"DE CONTADO","CRÉDITO")</f>
        <v>CRÉDITO</v>
      </c>
      <c r="B162" s="112" t="b">
        <f>+IF((PROVEEDORES[[#This Row],[FECHA DE PAGO]]-PROVEEDORES[[#This Row],[FECHA DE FACTURACIÓN]])&gt;PROVEEDORES[[#This Row],[PLAZO Días]],"PAGO VENCIDO")</f>
        <v>0</v>
      </c>
      <c r="C162" s="112">
        <f>+VLOOKUP(PROVEEDORES[[#This Row],[PROVEEDOR]],TERCEROS_INFO[#All],2,FALSE)</f>
        <v>45</v>
      </c>
      <c r="D162" s="113">
        <f>+SUMIFS(PROVEEDORES[Total],PROVEEDORES[PROVEEDOR],PROVEEDORES[[#This Row],[PROVEEDOR]],PROVEEDORES[FECHA DE PAGO],"")</f>
        <v>7217585.0800000001</v>
      </c>
      <c r="E162" s="114"/>
      <c r="F162" s="112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2" s="115">
        <v>45646</v>
      </c>
      <c r="H162" s="116" t="s">
        <v>9</v>
      </c>
      <c r="I162" s="115">
        <v>45602</v>
      </c>
      <c r="J162" s="117" t="s">
        <v>805</v>
      </c>
      <c r="K162" s="117" t="s">
        <v>210</v>
      </c>
      <c r="L162" s="117" t="s">
        <v>259</v>
      </c>
      <c r="M162" s="118">
        <v>2000000</v>
      </c>
      <c r="N162" s="119">
        <v>380000</v>
      </c>
      <c r="O162" s="119">
        <v>0</v>
      </c>
      <c r="P162" s="120">
        <v>2.5000000000000001E-2</v>
      </c>
      <c r="Q162" s="119">
        <v>50000</v>
      </c>
      <c r="R162" s="121">
        <v>2330000</v>
      </c>
      <c r="S16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122">
        <f ca="1">+IF(PROVEEDORES[[#This Row],[FECHA DE PAGO]]=0,TODAY()-PROVEEDORES[[#This Row],[FECHA DE FACTURACIÓN]]-PROVEEDORES[[#This Row],[PLAZO Días]],0)</f>
        <v>0</v>
      </c>
      <c r="U162" s="122" t="str">
        <f>+VLOOKUP(PROVEEDORES[[#This Row],[PROVEEDOR]],Terceros!$A:$D,4,FALSE)</f>
        <v>2,5% con base</v>
      </c>
      <c r="V162" s="122">
        <f>+YEAR(PROVEEDORES[[#This Row],[FECHA DE FACTURACIÓN]])</f>
        <v>2024</v>
      </c>
      <c r="W162" s="122">
        <f>+MATCH(PROVEEDORES[[#This Row],[año facturado]],Retenciones!$1:$1,0)</f>
        <v>3</v>
      </c>
      <c r="X162" s="123">
        <f>+VLOOKUP(PROVEEDORES[[#This Row],[ID RETENCION]],Retenciones!$A$1:$K$25,PROVEEDORES[[#This Row],[indicador de columna]],FALSE)</f>
        <v>1271000</v>
      </c>
      <c r="Y162" s="124">
        <f>+VLOOKUP(PROVEEDORES[[#This Row],[ID RETENCION]],Retenciones!$A$1:$K$25,2,FALSE)</f>
        <v>2.5000000000000001E-2</v>
      </c>
      <c r="Z162" s="125" t="b">
        <f>+OR(COUNTIF(PROVEEDORES[[#This Row],[PROVEEDOR]],"*"&amp;'Palabra que no opera y Listas d'!$A$2&amp;"*"))</f>
        <v>0</v>
      </c>
    </row>
    <row r="163" spans="1:26" ht="27.75" customHeight="1" x14ac:dyDescent="0.25">
      <c r="A163" s="112" t="str">
        <f>+IF(PROVEEDORES[[#This Row],[FECHA DE PAGO]]=PROVEEDORES[[#This Row],[FECHA DE FACTURACIÓN]],"DE CONTADO","CRÉDITO")</f>
        <v>CRÉDITO</v>
      </c>
      <c r="B163" s="112" t="b">
        <f>+IF((PROVEEDORES[[#This Row],[FECHA DE PAGO]]-PROVEEDORES[[#This Row],[FECHA DE FACTURACIÓN]])&gt;PROVEEDORES[[#This Row],[PLAZO Días]],"PAGO VENCIDO")</f>
        <v>0</v>
      </c>
      <c r="C163" s="112">
        <f>+VLOOKUP(PROVEEDORES[[#This Row],[PROVEEDOR]],TERCEROS_INFO[#All],2,FALSE)</f>
        <v>45</v>
      </c>
      <c r="D163" s="113">
        <f>+SUMIFS(PROVEEDORES[Total],PROVEEDORES[PROVEEDOR],PROVEEDORES[[#This Row],[PROVEEDOR]],PROVEEDORES[FECHA DE PAGO],"")</f>
        <v>7217585.0800000001</v>
      </c>
      <c r="E163" s="114"/>
      <c r="F163" s="112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3" s="115">
        <v>45646</v>
      </c>
      <c r="H163" s="116" t="s">
        <v>9</v>
      </c>
      <c r="I163" s="115">
        <v>45603</v>
      </c>
      <c r="J163" s="117" t="s">
        <v>806</v>
      </c>
      <c r="K163" s="117" t="s">
        <v>210</v>
      </c>
      <c r="L163" s="117" t="s">
        <v>259</v>
      </c>
      <c r="M163" s="118">
        <v>6840000</v>
      </c>
      <c r="N163" s="119">
        <v>1299600</v>
      </c>
      <c r="O163" s="119">
        <v>0</v>
      </c>
      <c r="P163" s="120">
        <v>2.5000000000000001E-2</v>
      </c>
      <c r="Q163" s="119">
        <v>171000</v>
      </c>
      <c r="R163" s="121">
        <v>7968600</v>
      </c>
      <c r="S16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122">
        <f ca="1">+IF(PROVEEDORES[[#This Row],[FECHA DE PAGO]]=0,TODAY()-PROVEEDORES[[#This Row],[FECHA DE FACTURACIÓN]]-PROVEEDORES[[#This Row],[PLAZO Días]],0)</f>
        <v>0</v>
      </c>
      <c r="U163" s="122" t="str">
        <f>+VLOOKUP(PROVEEDORES[[#This Row],[PROVEEDOR]],Terceros!$A:$D,4,FALSE)</f>
        <v>2,5% con base</v>
      </c>
      <c r="V163" s="122">
        <f>+YEAR(PROVEEDORES[[#This Row],[FECHA DE FACTURACIÓN]])</f>
        <v>2024</v>
      </c>
      <c r="W163" s="122">
        <f>+MATCH(PROVEEDORES[[#This Row],[año facturado]],Retenciones!$1:$1,0)</f>
        <v>3</v>
      </c>
      <c r="X163" s="123">
        <f>+VLOOKUP(PROVEEDORES[[#This Row],[ID RETENCION]],Retenciones!$A$1:$K$25,PROVEEDORES[[#This Row],[indicador de columna]],FALSE)</f>
        <v>1271000</v>
      </c>
      <c r="Y163" s="124">
        <f>+VLOOKUP(PROVEEDORES[[#This Row],[ID RETENCION]],Retenciones!$A$1:$K$25,2,FALSE)</f>
        <v>2.5000000000000001E-2</v>
      </c>
      <c r="Z163" s="125" t="b">
        <f>+OR(COUNTIF(PROVEEDORES[[#This Row],[PROVEEDOR]],"*"&amp;'Palabra que no opera y Listas d'!$A$2&amp;"*"))</f>
        <v>0</v>
      </c>
    </row>
    <row r="164" spans="1:26" ht="27.75" customHeight="1" x14ac:dyDescent="0.25">
      <c r="A164" s="112" t="str">
        <f>+IF(PROVEEDORES[[#This Row],[FECHA DE PAGO]]=PROVEEDORES[[#This Row],[FECHA DE FACTURACIÓN]],"DE CONTADO","CRÉDITO")</f>
        <v>CRÉDITO</v>
      </c>
      <c r="B164" s="112" t="b">
        <f>+IF((PROVEEDORES[[#This Row],[FECHA DE PAGO]]-PROVEEDORES[[#This Row],[FECHA DE FACTURACIÓN]])&gt;PROVEEDORES[[#This Row],[PLAZO Días]],"PAGO VENCIDO")</f>
        <v>0</v>
      </c>
      <c r="C164" s="112">
        <f>+VLOOKUP(PROVEEDORES[[#This Row],[PROVEEDOR]],TERCEROS_INFO[#All],2,FALSE)</f>
        <v>45</v>
      </c>
      <c r="D164" s="113">
        <f>+SUMIFS(PROVEEDORES[Total],PROVEEDORES[PROVEEDOR],PROVEEDORES[[#This Row],[PROVEEDOR]],PROVEEDORES[FECHA DE PAGO],"")</f>
        <v>7217585.0800000001</v>
      </c>
      <c r="E164" s="114"/>
      <c r="F164" s="112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4" s="115">
        <v>45646</v>
      </c>
      <c r="H164" s="116" t="s">
        <v>9</v>
      </c>
      <c r="I164" s="115">
        <v>45603</v>
      </c>
      <c r="J164" s="117" t="s">
        <v>807</v>
      </c>
      <c r="K164" s="117" t="s">
        <v>210</v>
      </c>
      <c r="L164" s="117" t="s">
        <v>259</v>
      </c>
      <c r="M164" s="118">
        <v>1300000</v>
      </c>
      <c r="N164" s="119">
        <v>247000</v>
      </c>
      <c r="O164" s="119">
        <v>0</v>
      </c>
      <c r="P164" s="120">
        <v>2.5000000000000001E-2</v>
      </c>
      <c r="Q164" s="119">
        <v>32500</v>
      </c>
      <c r="R164" s="121">
        <v>1514500</v>
      </c>
      <c r="S16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122">
        <f ca="1">+IF(PROVEEDORES[[#This Row],[FECHA DE PAGO]]=0,TODAY()-PROVEEDORES[[#This Row],[FECHA DE FACTURACIÓN]]-PROVEEDORES[[#This Row],[PLAZO Días]],0)</f>
        <v>0</v>
      </c>
      <c r="U164" s="122" t="str">
        <f>+VLOOKUP(PROVEEDORES[[#This Row],[PROVEEDOR]],Terceros!$A:$D,4,FALSE)</f>
        <v>2,5% con base</v>
      </c>
      <c r="V164" s="122">
        <f>+YEAR(PROVEEDORES[[#This Row],[FECHA DE FACTURACIÓN]])</f>
        <v>2024</v>
      </c>
      <c r="W164" s="122">
        <f>+MATCH(PROVEEDORES[[#This Row],[año facturado]],Retenciones!$1:$1,0)</f>
        <v>3</v>
      </c>
      <c r="X164" s="123">
        <f>+VLOOKUP(PROVEEDORES[[#This Row],[ID RETENCION]],Retenciones!$A$1:$K$25,PROVEEDORES[[#This Row],[indicador de columna]],FALSE)</f>
        <v>1271000</v>
      </c>
      <c r="Y164" s="124">
        <f>+VLOOKUP(PROVEEDORES[[#This Row],[ID RETENCION]],Retenciones!$A$1:$K$25,2,FALSE)</f>
        <v>2.5000000000000001E-2</v>
      </c>
      <c r="Z164" s="125" t="b">
        <f>+OR(COUNTIF(PROVEEDORES[[#This Row],[PROVEEDOR]],"*"&amp;'Palabra que no opera y Listas d'!$A$2&amp;"*"))</f>
        <v>0</v>
      </c>
    </row>
    <row r="165" spans="1:26" ht="27.75" customHeight="1" x14ac:dyDescent="0.25">
      <c r="A165" s="112" t="str">
        <f>+IF(PROVEEDORES[[#This Row],[FECHA DE PAGO]]=PROVEEDORES[[#This Row],[FECHA DE FACTURACIÓN]],"DE CONTADO","CRÉDITO")</f>
        <v>CRÉDITO</v>
      </c>
      <c r="B165" s="112" t="str">
        <f>+IF((PROVEEDORES[[#This Row],[FECHA DE PAGO]]-PROVEEDORES[[#This Row],[FECHA DE FACTURACIÓN]])&gt;PROVEEDORES[[#This Row],[PLAZO Días]],"PAGO VENCIDO")</f>
        <v>PAGO VENCIDO</v>
      </c>
      <c r="C165" s="112">
        <f>+VLOOKUP(PROVEEDORES[[#This Row],[PROVEEDOR]],TERCEROS_INFO[#All],2,FALSE)</f>
        <v>30</v>
      </c>
      <c r="D165" s="113">
        <f>+SUMIFS(PROVEEDORES[Total],PROVEEDORES[PROVEEDOR],PROVEEDORES[[#This Row],[PROVEEDOR]],PROVEEDORES[FECHA DE PAGO],"")</f>
        <v>3651240.11</v>
      </c>
      <c r="E165" s="114"/>
      <c r="F165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65" s="115">
        <v>45646</v>
      </c>
      <c r="H165" s="116" t="s">
        <v>243</v>
      </c>
      <c r="I165" s="115">
        <v>45611</v>
      </c>
      <c r="J165" s="117" t="s">
        <v>808</v>
      </c>
      <c r="K165" s="117" t="s">
        <v>256</v>
      </c>
      <c r="L165" s="117" t="s">
        <v>258</v>
      </c>
      <c r="M165" s="118">
        <v>4892</v>
      </c>
      <c r="N165" s="119">
        <v>929.48</v>
      </c>
      <c r="O165" s="119">
        <v>0</v>
      </c>
      <c r="P165" s="120">
        <v>0</v>
      </c>
      <c r="Q165" s="119">
        <v>0</v>
      </c>
      <c r="R165" s="121">
        <v>5821.48</v>
      </c>
      <c r="S16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122">
        <f ca="1">+IF(PROVEEDORES[[#This Row],[FECHA DE PAGO]]=0,TODAY()-PROVEEDORES[[#This Row],[FECHA DE FACTURACIÓN]]-PROVEEDORES[[#This Row],[PLAZO Días]],0)</f>
        <v>0</v>
      </c>
      <c r="U165" s="122" t="str">
        <f>+VLOOKUP(PROVEEDORES[[#This Row],[PROVEEDOR]],Terceros!$A:$D,4,FALSE)</f>
        <v>2,5% con base</v>
      </c>
      <c r="V165" s="122">
        <f>+YEAR(PROVEEDORES[[#This Row],[FECHA DE FACTURACIÓN]])</f>
        <v>2024</v>
      </c>
      <c r="W165" s="122">
        <f>+MATCH(PROVEEDORES[[#This Row],[año facturado]],Retenciones!$1:$1,0)</f>
        <v>3</v>
      </c>
      <c r="X165" s="123">
        <f>+VLOOKUP(PROVEEDORES[[#This Row],[ID RETENCION]],Retenciones!$A$1:$K$25,PROVEEDORES[[#This Row],[indicador de columna]],FALSE)</f>
        <v>1271000</v>
      </c>
      <c r="Y165" s="124">
        <f>+VLOOKUP(PROVEEDORES[[#This Row],[ID RETENCION]],Retenciones!$A$1:$K$25,2,FALSE)</f>
        <v>2.5000000000000001E-2</v>
      </c>
      <c r="Z165" s="125" t="b">
        <f>+OR(COUNTIF(PROVEEDORES[[#This Row],[PROVEEDOR]],"*"&amp;'Palabra que no opera y Listas d'!$A$2&amp;"*"))</f>
        <v>0</v>
      </c>
    </row>
    <row r="166" spans="1:26" ht="27.75" customHeight="1" x14ac:dyDescent="0.25">
      <c r="A166" s="112" t="str">
        <f>+IF(PROVEEDORES[[#This Row],[FECHA DE PAGO]]=PROVEEDORES[[#This Row],[FECHA DE FACTURACIÓN]],"DE CONTADO","CRÉDITO")</f>
        <v>CRÉDITO</v>
      </c>
      <c r="B166" s="112" t="b">
        <f>+IF((PROVEEDORES[[#This Row],[FECHA DE PAGO]]-PROVEEDORES[[#This Row],[FECHA DE FACTURACIÓN]])&gt;PROVEEDORES[[#This Row],[PLAZO Días]],"PAGO VENCIDO")</f>
        <v>0</v>
      </c>
      <c r="C166" s="112">
        <f>+VLOOKUP(PROVEEDORES[[#This Row],[PROVEEDOR]],TERCEROS_INFO[#All],2,FALSE)</f>
        <v>30</v>
      </c>
      <c r="D166" s="113">
        <f>+SUMIFS(PROVEEDORES[Total],PROVEEDORES[PROVEEDOR],PROVEEDORES[[#This Row],[PROVEEDOR]],PROVEEDORES[FECHA DE PAGO],"")</f>
        <v>3651240.11</v>
      </c>
      <c r="E166" s="114"/>
      <c r="F166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66" s="115">
        <v>45646</v>
      </c>
      <c r="H166" s="116" t="s">
        <v>243</v>
      </c>
      <c r="I166" s="115">
        <v>45621</v>
      </c>
      <c r="J166" s="117" t="s">
        <v>809</v>
      </c>
      <c r="K166" s="117" t="s">
        <v>256</v>
      </c>
      <c r="L166" s="117" t="s">
        <v>258</v>
      </c>
      <c r="M166" s="118">
        <v>81579</v>
      </c>
      <c r="N166" s="119">
        <v>15500.01</v>
      </c>
      <c r="O166" s="119">
        <v>4078.9500000000003</v>
      </c>
      <c r="P166" s="120">
        <v>0</v>
      </c>
      <c r="Q166" s="119">
        <v>0</v>
      </c>
      <c r="R166" s="121">
        <v>93000.06</v>
      </c>
      <c r="S16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122">
        <f ca="1">+IF(PROVEEDORES[[#This Row],[FECHA DE PAGO]]=0,TODAY()-PROVEEDORES[[#This Row],[FECHA DE FACTURACIÓN]]-PROVEEDORES[[#This Row],[PLAZO Días]],0)</f>
        <v>0</v>
      </c>
      <c r="U166" s="122" t="str">
        <f>+VLOOKUP(PROVEEDORES[[#This Row],[PROVEEDOR]],Terceros!$A:$D,4,FALSE)</f>
        <v>2,5% con base</v>
      </c>
      <c r="V166" s="122">
        <f>+YEAR(PROVEEDORES[[#This Row],[FECHA DE FACTURACIÓN]])</f>
        <v>2024</v>
      </c>
      <c r="W166" s="122">
        <f>+MATCH(PROVEEDORES[[#This Row],[año facturado]],Retenciones!$1:$1,0)</f>
        <v>3</v>
      </c>
      <c r="X166" s="123">
        <f>+VLOOKUP(PROVEEDORES[[#This Row],[ID RETENCION]],Retenciones!$A$1:$K$25,PROVEEDORES[[#This Row],[indicador de columna]],FALSE)</f>
        <v>1271000</v>
      </c>
      <c r="Y166" s="124">
        <f>+VLOOKUP(PROVEEDORES[[#This Row],[ID RETENCION]],Retenciones!$A$1:$K$25,2,FALSE)</f>
        <v>2.5000000000000001E-2</v>
      </c>
      <c r="Z166" s="125" t="b">
        <f>+OR(COUNTIF(PROVEEDORES[[#This Row],[PROVEEDOR]],"*"&amp;'Palabra que no opera y Listas d'!$A$2&amp;"*"))</f>
        <v>0</v>
      </c>
    </row>
    <row r="167" spans="1:26" ht="27.75" customHeight="1" x14ac:dyDescent="0.25">
      <c r="A167" s="112" t="str">
        <f>+IF(PROVEEDORES[[#This Row],[FECHA DE PAGO]]=PROVEEDORES[[#This Row],[FECHA DE FACTURACIÓN]],"DE CONTADO","CRÉDITO")</f>
        <v>CRÉDITO</v>
      </c>
      <c r="B167" s="112" t="b">
        <f>+IF((PROVEEDORES[[#This Row],[FECHA DE PAGO]]-PROVEEDORES[[#This Row],[FECHA DE FACTURACIÓN]])&gt;PROVEEDORES[[#This Row],[PLAZO Días]],"PAGO VENCIDO")</f>
        <v>0</v>
      </c>
      <c r="C167" s="112">
        <f>+VLOOKUP(PROVEEDORES[[#This Row],[PROVEEDOR]],TERCEROS_INFO[#All],2,FALSE)</f>
        <v>30</v>
      </c>
      <c r="D167" s="113">
        <f>+SUMIFS(PROVEEDORES[Total],PROVEEDORES[PROVEEDOR],PROVEEDORES[[#This Row],[PROVEEDOR]],PROVEEDORES[FECHA DE PAGO],"")</f>
        <v>3651240.11</v>
      </c>
      <c r="E167" s="114"/>
      <c r="F167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67" s="115">
        <v>45646</v>
      </c>
      <c r="H167" s="116" t="s">
        <v>243</v>
      </c>
      <c r="I167" s="115">
        <v>45621</v>
      </c>
      <c r="J167" s="117" t="s">
        <v>810</v>
      </c>
      <c r="K167" s="117" t="s">
        <v>256</v>
      </c>
      <c r="L167" s="117" t="s">
        <v>258</v>
      </c>
      <c r="M167" s="118">
        <v>6762776</v>
      </c>
      <c r="N167" s="119">
        <v>1284927.44</v>
      </c>
      <c r="O167" s="119">
        <v>338138.80000000005</v>
      </c>
      <c r="P167" s="120">
        <v>2.5000000000000001E-2</v>
      </c>
      <c r="Q167" s="119">
        <v>169069.40000000002</v>
      </c>
      <c r="R167" s="121">
        <v>7540495.2399999993</v>
      </c>
      <c r="S16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122">
        <f ca="1">+IF(PROVEEDORES[[#This Row],[FECHA DE PAGO]]=0,TODAY()-PROVEEDORES[[#This Row],[FECHA DE FACTURACIÓN]]-PROVEEDORES[[#This Row],[PLAZO Días]],0)</f>
        <v>0</v>
      </c>
      <c r="U167" s="122" t="str">
        <f>+VLOOKUP(PROVEEDORES[[#This Row],[PROVEEDOR]],Terceros!$A:$D,4,FALSE)</f>
        <v>2,5% con base</v>
      </c>
      <c r="V167" s="122">
        <f>+YEAR(PROVEEDORES[[#This Row],[FECHA DE FACTURACIÓN]])</f>
        <v>2024</v>
      </c>
      <c r="W167" s="122">
        <f>+MATCH(PROVEEDORES[[#This Row],[año facturado]],Retenciones!$1:$1,0)</f>
        <v>3</v>
      </c>
      <c r="X167" s="123">
        <f>+VLOOKUP(PROVEEDORES[[#This Row],[ID RETENCION]],Retenciones!$A$1:$K$25,PROVEEDORES[[#This Row],[indicador de columna]],FALSE)</f>
        <v>1271000</v>
      </c>
      <c r="Y167" s="124">
        <f>+VLOOKUP(PROVEEDORES[[#This Row],[ID RETENCION]],Retenciones!$A$1:$K$25,2,FALSE)</f>
        <v>2.5000000000000001E-2</v>
      </c>
      <c r="Z167" s="125" t="b">
        <f>+OR(COUNTIF(PROVEEDORES[[#This Row],[PROVEEDOR]],"*"&amp;'Palabra que no opera y Listas d'!$A$2&amp;"*"))</f>
        <v>0</v>
      </c>
    </row>
    <row r="168" spans="1:26" ht="27.75" customHeight="1" x14ac:dyDescent="0.25">
      <c r="A168" s="112" t="str">
        <f>+IF(PROVEEDORES[[#This Row],[FECHA DE PAGO]]=PROVEEDORES[[#This Row],[FECHA DE FACTURACIÓN]],"DE CONTADO","CRÉDITO")</f>
        <v>CRÉDITO</v>
      </c>
      <c r="B168" s="112" t="b">
        <f>+IF((PROVEEDORES[[#This Row],[FECHA DE PAGO]]-PROVEEDORES[[#This Row],[FECHA DE FACTURACIÓN]])&gt;PROVEEDORES[[#This Row],[PLAZO Días]],"PAGO VENCIDO")</f>
        <v>0</v>
      </c>
      <c r="C168" s="112">
        <f>+VLOOKUP(PROVEEDORES[[#This Row],[PROVEEDOR]],TERCEROS_INFO[#All],2,FALSE)</f>
        <v>30</v>
      </c>
      <c r="D168" s="113">
        <f>+SUMIFS(PROVEEDORES[Total],PROVEEDORES[PROVEEDOR],PROVEEDORES[[#This Row],[PROVEEDOR]],PROVEEDORES[FECHA DE PAGO],"")</f>
        <v>0</v>
      </c>
      <c r="E168" s="114"/>
      <c r="F168" s="112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8" s="115">
        <v>45646</v>
      </c>
      <c r="H168" s="116" t="s">
        <v>166</v>
      </c>
      <c r="I168" s="115">
        <v>45628</v>
      </c>
      <c r="J168" s="117" t="s">
        <v>811</v>
      </c>
      <c r="K168" s="117" t="s">
        <v>210</v>
      </c>
      <c r="L168" s="117" t="s">
        <v>259</v>
      </c>
      <c r="M168" s="118">
        <v>3847000</v>
      </c>
      <c r="N168" s="119"/>
      <c r="O168" s="119">
        <v>0</v>
      </c>
      <c r="P168" s="120">
        <v>3.5000000000000003E-2</v>
      </c>
      <c r="Q168" s="119">
        <v>134645</v>
      </c>
      <c r="R168" s="121">
        <v>3712355</v>
      </c>
      <c r="S16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122">
        <f ca="1">+IF(PROVEEDORES[[#This Row],[FECHA DE PAGO]]=0,TODAY()-PROVEEDORES[[#This Row],[FECHA DE FACTURACIÓN]]-PROVEEDORES[[#This Row],[PLAZO Días]],0)</f>
        <v>0</v>
      </c>
      <c r="U168" s="122" t="str">
        <f>+VLOOKUP(PROVEEDORES[[#This Row],[PROVEEDOR]],Terceros!$A:$D,4,FALSE)</f>
        <v>3,5% sin base</v>
      </c>
      <c r="V168" s="122">
        <f>+YEAR(PROVEEDORES[[#This Row],[FECHA DE FACTURACIÓN]])</f>
        <v>2024</v>
      </c>
      <c r="W168" s="122">
        <f>+MATCH(PROVEEDORES[[#This Row],[año facturado]],Retenciones!$1:$1,0)</f>
        <v>3</v>
      </c>
      <c r="X168" s="123">
        <f>+VLOOKUP(PROVEEDORES[[#This Row],[ID RETENCION]],Retenciones!$A$1:$K$25,PROVEEDORES[[#This Row],[indicador de columna]],FALSE)</f>
        <v>0</v>
      </c>
      <c r="Y168" s="124">
        <f>+VLOOKUP(PROVEEDORES[[#This Row],[ID RETENCION]],Retenciones!$A$1:$K$25,2,FALSE)</f>
        <v>3.5000000000000003E-2</v>
      </c>
      <c r="Z168" s="125" t="b">
        <f>+OR(COUNTIF(PROVEEDORES[[#This Row],[PROVEEDOR]],"*"&amp;'Palabra que no opera y Listas d'!$A$2&amp;"*"))</f>
        <v>1</v>
      </c>
    </row>
    <row r="169" spans="1:26" ht="27.75" customHeight="1" x14ac:dyDescent="0.25">
      <c r="A169" s="112" t="str">
        <f>+IF(PROVEEDORES[[#This Row],[FECHA DE PAGO]]=PROVEEDORES[[#This Row],[FECHA DE FACTURACIÓN]],"DE CONTADO","CRÉDITO")</f>
        <v>CRÉDITO</v>
      </c>
      <c r="B169" s="112" t="b">
        <f>+IF((PROVEEDORES[[#This Row],[FECHA DE PAGO]]-PROVEEDORES[[#This Row],[FECHA DE FACTURACIÓN]])&gt;PROVEEDORES[[#This Row],[PLAZO Días]],"PAGO VENCIDO")</f>
        <v>0</v>
      </c>
      <c r="C169" s="112">
        <f>+VLOOKUP(PROVEEDORES[[#This Row],[PROVEEDOR]],TERCEROS_INFO[#All],2,FALSE)</f>
        <v>30</v>
      </c>
      <c r="D169" s="113">
        <f>+SUMIFS(PROVEEDORES[Total],PROVEEDORES[PROVEEDOR],PROVEEDORES[[#This Row],[PROVEEDOR]],PROVEEDORES[FECHA DE PAGO],"")</f>
        <v>0</v>
      </c>
      <c r="E169" s="114"/>
      <c r="F169" s="112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9" s="115">
        <v>45646</v>
      </c>
      <c r="H169" s="116" t="s">
        <v>167</v>
      </c>
      <c r="I169" s="115">
        <v>45628</v>
      </c>
      <c r="J169" s="117" t="s">
        <v>812</v>
      </c>
      <c r="K169" s="117" t="s">
        <v>256</v>
      </c>
      <c r="L169" s="117" t="s">
        <v>258</v>
      </c>
      <c r="M169" s="118">
        <v>983591</v>
      </c>
      <c r="N169" s="119"/>
      <c r="O169" s="119">
        <v>0</v>
      </c>
      <c r="P169" s="120">
        <v>0</v>
      </c>
      <c r="Q169" s="119">
        <v>0</v>
      </c>
      <c r="R169" s="121">
        <v>983591</v>
      </c>
      <c r="S16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122">
        <f ca="1">+IF(PROVEEDORES[[#This Row],[FECHA DE PAGO]]=0,TODAY()-PROVEEDORES[[#This Row],[FECHA DE FACTURACIÓN]]-PROVEEDORES[[#This Row],[PLAZO Días]],0)</f>
        <v>0</v>
      </c>
      <c r="U169" s="122">
        <f>+VLOOKUP(PROVEEDORES[[#This Row],[PROVEEDOR]],Terceros!$A:$D,4,FALSE)</f>
        <v>0</v>
      </c>
      <c r="V169" s="122">
        <f>+YEAR(PROVEEDORES[[#This Row],[FECHA DE FACTURACIÓN]])</f>
        <v>2024</v>
      </c>
      <c r="W169" s="122">
        <f>+MATCH(PROVEEDORES[[#This Row],[año facturado]],Retenciones!$1:$1,0)</f>
        <v>3</v>
      </c>
      <c r="X169" s="123">
        <f>+VLOOKUP(PROVEEDORES[[#This Row],[ID RETENCION]],Retenciones!$A$1:$K$25,PROVEEDORES[[#This Row],[indicador de columna]],FALSE)</f>
        <v>0</v>
      </c>
      <c r="Y169" s="124">
        <f>+VLOOKUP(PROVEEDORES[[#This Row],[ID RETENCION]],Retenciones!$A$1:$K$25,2,FALSE)</f>
        <v>0</v>
      </c>
      <c r="Z169" s="125" t="b">
        <f>+OR(COUNTIF(PROVEEDORES[[#This Row],[PROVEEDOR]],"*"&amp;'Palabra que no opera y Listas d'!$A$2&amp;"*"))</f>
        <v>1</v>
      </c>
    </row>
    <row r="170" spans="1:26" ht="27.75" customHeight="1" x14ac:dyDescent="0.25">
      <c r="A170" s="112" t="str">
        <f>+IF(PROVEEDORES[[#This Row],[FECHA DE PAGO]]=PROVEEDORES[[#This Row],[FECHA DE FACTURACIÓN]],"DE CONTADO","CRÉDITO")</f>
        <v>CRÉDITO</v>
      </c>
      <c r="B170" s="112" t="b">
        <f>+IF((PROVEEDORES[[#This Row],[FECHA DE PAGO]]-PROVEEDORES[[#This Row],[FECHA DE FACTURACIÓN]])&gt;PROVEEDORES[[#This Row],[PLAZO Días]],"PAGO VENCIDO")</f>
        <v>0</v>
      </c>
      <c r="C170" s="112">
        <f>+VLOOKUP(PROVEEDORES[[#This Row],[PROVEEDOR]],TERCEROS_INFO[#All],2,FALSE)</f>
        <v>30</v>
      </c>
      <c r="D170" s="113">
        <f>+SUMIFS(PROVEEDORES[Total],PROVEEDORES[PROVEEDOR],PROVEEDORES[[#This Row],[PROVEEDOR]],PROVEEDORES[FECHA DE PAGO],"")</f>
        <v>0</v>
      </c>
      <c r="E170" s="114"/>
      <c r="F170" s="112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0" s="115">
        <v>45646</v>
      </c>
      <c r="H170" s="116" t="s">
        <v>167</v>
      </c>
      <c r="I170" s="115">
        <v>45628</v>
      </c>
      <c r="J170" s="117" t="s">
        <v>813</v>
      </c>
      <c r="K170" s="117" t="s">
        <v>256</v>
      </c>
      <c r="L170" s="117" t="s">
        <v>258</v>
      </c>
      <c r="M170" s="118">
        <v>1005481</v>
      </c>
      <c r="N170" s="119"/>
      <c r="O170" s="119">
        <v>0</v>
      </c>
      <c r="P170" s="120">
        <v>0</v>
      </c>
      <c r="Q170" s="119">
        <v>0</v>
      </c>
      <c r="R170" s="121">
        <v>1005481</v>
      </c>
      <c r="S17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122">
        <f ca="1">+IF(PROVEEDORES[[#This Row],[FECHA DE PAGO]]=0,TODAY()-PROVEEDORES[[#This Row],[FECHA DE FACTURACIÓN]]-PROVEEDORES[[#This Row],[PLAZO Días]],0)</f>
        <v>0</v>
      </c>
      <c r="U170" s="122">
        <f>+VLOOKUP(PROVEEDORES[[#This Row],[PROVEEDOR]],Terceros!$A:$D,4,FALSE)</f>
        <v>0</v>
      </c>
      <c r="V170" s="122">
        <f>+YEAR(PROVEEDORES[[#This Row],[FECHA DE FACTURACIÓN]])</f>
        <v>2024</v>
      </c>
      <c r="W170" s="122">
        <f>+MATCH(PROVEEDORES[[#This Row],[año facturado]],Retenciones!$1:$1,0)</f>
        <v>3</v>
      </c>
      <c r="X170" s="123">
        <f>+VLOOKUP(PROVEEDORES[[#This Row],[ID RETENCION]],Retenciones!$A$1:$K$25,PROVEEDORES[[#This Row],[indicador de columna]],FALSE)</f>
        <v>0</v>
      </c>
      <c r="Y170" s="124">
        <f>+VLOOKUP(PROVEEDORES[[#This Row],[ID RETENCION]],Retenciones!$A$1:$K$25,2,FALSE)</f>
        <v>0</v>
      </c>
      <c r="Z170" s="125" t="b">
        <f>+OR(COUNTIF(PROVEEDORES[[#This Row],[PROVEEDOR]],"*"&amp;'Palabra que no opera y Listas d'!$A$2&amp;"*"))</f>
        <v>1</v>
      </c>
    </row>
    <row r="171" spans="1:26" ht="27.75" customHeight="1" x14ac:dyDescent="0.25">
      <c r="A171" s="112" t="str">
        <f>+IF(PROVEEDORES[[#This Row],[FECHA DE PAGO]]=PROVEEDORES[[#This Row],[FECHA DE FACTURACIÓN]],"DE CONTADO","CRÉDITO")</f>
        <v>CRÉDITO</v>
      </c>
      <c r="B171" s="112" t="b">
        <f>+IF((PROVEEDORES[[#This Row],[FECHA DE PAGO]]-PROVEEDORES[[#This Row],[FECHA DE FACTURACIÓN]])&gt;PROVEEDORES[[#This Row],[PLAZO Días]],"PAGO VENCIDO")</f>
        <v>0</v>
      </c>
      <c r="C171" s="112">
        <f>+VLOOKUP(PROVEEDORES[[#This Row],[PROVEEDOR]],TERCEROS_INFO[#All],2,FALSE)</f>
        <v>30</v>
      </c>
      <c r="D171" s="113">
        <f>+SUMIFS(PROVEEDORES[Total],PROVEEDORES[PROVEEDOR],PROVEEDORES[[#This Row],[PROVEEDOR]],PROVEEDORES[FECHA DE PAGO],"")</f>
        <v>0</v>
      </c>
      <c r="E171" s="114"/>
      <c r="F171" s="112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71" s="115">
        <v>45646</v>
      </c>
      <c r="H171" s="116" t="s">
        <v>668</v>
      </c>
      <c r="I171" s="115">
        <v>45628</v>
      </c>
      <c r="J171" s="117" t="s">
        <v>814</v>
      </c>
      <c r="K171" s="117" t="s">
        <v>256</v>
      </c>
      <c r="L171" s="117" t="s">
        <v>258</v>
      </c>
      <c r="M171" s="118">
        <v>266218</v>
      </c>
      <c r="N171" s="119">
        <v>50581.42</v>
      </c>
      <c r="O171" s="119">
        <v>0</v>
      </c>
      <c r="P171" s="120">
        <v>3.5000000000000003E-2</v>
      </c>
      <c r="Q171" s="119">
        <v>9317.630000000001</v>
      </c>
      <c r="R171" s="121">
        <v>307481.78999999998</v>
      </c>
      <c r="S17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122">
        <f ca="1">+IF(PROVEEDORES[[#This Row],[FECHA DE PAGO]]=0,TODAY()-PROVEEDORES[[#This Row],[FECHA DE FACTURACIÓN]]-PROVEEDORES[[#This Row],[PLAZO Días]],0)</f>
        <v>0</v>
      </c>
      <c r="U171" s="122" t="str">
        <f>+VLOOKUP(PROVEEDORES[[#This Row],[PROVEEDOR]],Terceros!$A:$D,4,FALSE)</f>
        <v>3,5% sin base</v>
      </c>
      <c r="V171" s="122">
        <f>+YEAR(PROVEEDORES[[#This Row],[FECHA DE FACTURACIÓN]])</f>
        <v>2024</v>
      </c>
      <c r="W171" s="122">
        <f>+MATCH(PROVEEDORES[[#This Row],[año facturado]],Retenciones!$1:$1,0)</f>
        <v>3</v>
      </c>
      <c r="X171" s="123">
        <f>+VLOOKUP(PROVEEDORES[[#This Row],[ID RETENCION]],Retenciones!$A$1:$K$25,PROVEEDORES[[#This Row],[indicador de columna]],FALSE)</f>
        <v>0</v>
      </c>
      <c r="Y171" s="124">
        <f>+VLOOKUP(PROVEEDORES[[#This Row],[ID RETENCION]],Retenciones!$A$1:$K$25,2,FALSE)</f>
        <v>3.5000000000000003E-2</v>
      </c>
      <c r="Z171" s="125" t="b">
        <f>+OR(COUNTIF(PROVEEDORES[[#This Row],[PROVEEDOR]],"*"&amp;'Palabra que no opera y Listas d'!$A$2&amp;"*"))</f>
        <v>1</v>
      </c>
    </row>
    <row r="172" spans="1:26" ht="27.75" customHeight="1" x14ac:dyDescent="0.25">
      <c r="A172" s="112" t="str">
        <f>+IF(PROVEEDORES[[#This Row],[FECHA DE PAGO]]=PROVEEDORES[[#This Row],[FECHA DE FACTURACIÓN]],"DE CONTADO","CRÉDITO")</f>
        <v>CRÉDITO</v>
      </c>
      <c r="B172" s="112" t="b">
        <f>+IF((PROVEEDORES[[#This Row],[FECHA DE PAGO]]-PROVEEDORES[[#This Row],[FECHA DE FACTURACIÓN]])&gt;PROVEEDORES[[#This Row],[PLAZO Días]],"PAGO VENCIDO")</f>
        <v>0</v>
      </c>
      <c r="C172" s="112">
        <f>+VLOOKUP(PROVEEDORES[[#This Row],[PROVEEDOR]],TERCEROS_INFO[#All],2,FALSE)</f>
        <v>30</v>
      </c>
      <c r="D172" s="113">
        <f>+SUMIFS(PROVEEDORES[Total],PROVEEDORES[PROVEEDOR],PROVEEDORES[[#This Row],[PROVEEDOR]],PROVEEDORES[FECHA DE PAGO],"")</f>
        <v>0</v>
      </c>
      <c r="E172" s="114"/>
      <c r="F172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2" s="115">
        <v>45646</v>
      </c>
      <c r="H172" s="116" t="s">
        <v>93</v>
      </c>
      <c r="I172" s="115">
        <v>45637</v>
      </c>
      <c r="J172" s="117" t="s">
        <v>815</v>
      </c>
      <c r="K172" s="117" t="s">
        <v>210</v>
      </c>
      <c r="L172" s="117" t="s">
        <v>258</v>
      </c>
      <c r="M172" s="118">
        <v>1796750</v>
      </c>
      <c r="N172" s="119">
        <v>341382.5</v>
      </c>
      <c r="O172" s="119">
        <v>161703</v>
      </c>
      <c r="P172" s="120">
        <v>0</v>
      </c>
      <c r="Q172" s="119">
        <v>0</v>
      </c>
      <c r="R172" s="121">
        <v>1976429.5</v>
      </c>
      <c r="S17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122">
        <f ca="1">+IF(PROVEEDORES[[#This Row],[FECHA DE PAGO]]=0,TODAY()-PROVEEDORES[[#This Row],[FECHA DE FACTURACIÓN]]-PROVEEDORES[[#This Row],[PLAZO Días]],0)</f>
        <v>0</v>
      </c>
      <c r="U172" s="122">
        <f>+VLOOKUP(PROVEEDORES[[#This Row],[PROVEEDOR]],Terceros!$A:$D,4,FALSE)</f>
        <v>0</v>
      </c>
      <c r="V172" s="122">
        <f>+YEAR(PROVEEDORES[[#This Row],[FECHA DE FACTURACIÓN]])</f>
        <v>2024</v>
      </c>
      <c r="W172" s="122">
        <f>+MATCH(PROVEEDORES[[#This Row],[año facturado]],Retenciones!$1:$1,0)</f>
        <v>3</v>
      </c>
      <c r="X172" s="123">
        <f>+VLOOKUP(PROVEEDORES[[#This Row],[ID RETENCION]],Retenciones!$A$1:$K$25,PROVEEDORES[[#This Row],[indicador de columna]],FALSE)</f>
        <v>0</v>
      </c>
      <c r="Y172" s="124">
        <f>+VLOOKUP(PROVEEDORES[[#This Row],[ID RETENCION]],Retenciones!$A$1:$K$25,2,FALSE)</f>
        <v>0</v>
      </c>
      <c r="Z172" s="125" t="b">
        <f>+OR(COUNTIF(PROVEEDORES[[#This Row],[PROVEEDOR]],"*"&amp;'Palabra que no opera y Listas d'!$A$2&amp;"*"))</f>
        <v>0</v>
      </c>
    </row>
    <row r="173" spans="1:26" ht="27.75" customHeight="1" x14ac:dyDescent="0.25">
      <c r="A173" s="112" t="str">
        <f>+IF(PROVEEDORES[[#This Row],[FECHA DE PAGO]]=PROVEEDORES[[#This Row],[FECHA DE FACTURACIÓN]],"DE CONTADO","CRÉDITO")</f>
        <v>CRÉDITO</v>
      </c>
      <c r="B173" s="112" t="b">
        <f>+IF((PROVEEDORES[[#This Row],[FECHA DE PAGO]]-PROVEEDORES[[#This Row],[FECHA DE FACTURACIÓN]])&gt;PROVEEDORES[[#This Row],[PLAZO Días]],"PAGO VENCIDO")</f>
        <v>0</v>
      </c>
      <c r="C173" s="112">
        <f>+VLOOKUP(PROVEEDORES[[#This Row],[PROVEEDOR]],TERCEROS_INFO[#All],2,FALSE)</f>
        <v>30</v>
      </c>
      <c r="D173" s="113">
        <f>+SUMIFS(PROVEEDORES[Total],PROVEEDORES[PROVEEDOR],PROVEEDORES[[#This Row],[PROVEEDOR]],PROVEEDORES[FECHA DE PAGO],"")</f>
        <v>0</v>
      </c>
      <c r="E173" s="114"/>
      <c r="F173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3" s="115">
        <v>45646</v>
      </c>
      <c r="H173" s="116" t="s">
        <v>93</v>
      </c>
      <c r="I173" s="115">
        <v>45638</v>
      </c>
      <c r="J173" s="117" t="s">
        <v>816</v>
      </c>
      <c r="K173" s="117" t="s">
        <v>210</v>
      </c>
      <c r="L173" s="117" t="s">
        <v>259</v>
      </c>
      <c r="M173" s="118">
        <v>10798195</v>
      </c>
      <c r="N173" s="119">
        <v>2051657.05</v>
      </c>
      <c r="O173" s="119">
        <v>971822</v>
      </c>
      <c r="P173" s="120">
        <v>0</v>
      </c>
      <c r="Q173" s="119">
        <v>0</v>
      </c>
      <c r="R173" s="121">
        <v>11878030.050000001</v>
      </c>
      <c r="S17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122">
        <f ca="1">+IF(PROVEEDORES[[#This Row],[FECHA DE PAGO]]=0,TODAY()-PROVEEDORES[[#This Row],[FECHA DE FACTURACIÓN]]-PROVEEDORES[[#This Row],[PLAZO Días]],0)</f>
        <v>0</v>
      </c>
      <c r="U173" s="122">
        <f>+VLOOKUP(PROVEEDORES[[#This Row],[PROVEEDOR]],Terceros!$A:$D,4,FALSE)</f>
        <v>0</v>
      </c>
      <c r="V173" s="122">
        <f>+YEAR(PROVEEDORES[[#This Row],[FECHA DE FACTURACIÓN]])</f>
        <v>2024</v>
      </c>
      <c r="W173" s="122">
        <f>+MATCH(PROVEEDORES[[#This Row],[año facturado]],Retenciones!$1:$1,0)</f>
        <v>3</v>
      </c>
      <c r="X173" s="123">
        <f>+VLOOKUP(PROVEEDORES[[#This Row],[ID RETENCION]],Retenciones!$A$1:$K$25,PROVEEDORES[[#This Row],[indicador de columna]],FALSE)</f>
        <v>0</v>
      </c>
      <c r="Y173" s="124">
        <f>+VLOOKUP(PROVEEDORES[[#This Row],[ID RETENCION]],Retenciones!$A$1:$K$25,2,FALSE)</f>
        <v>0</v>
      </c>
      <c r="Z173" s="125" t="b">
        <f>+OR(COUNTIF(PROVEEDORES[[#This Row],[PROVEEDOR]],"*"&amp;'Palabra que no opera y Listas d'!$A$2&amp;"*"))</f>
        <v>0</v>
      </c>
    </row>
    <row r="174" spans="1:26" ht="27.75" customHeight="1" x14ac:dyDescent="0.25">
      <c r="A174" s="112" t="str">
        <f>+IF(PROVEEDORES[[#This Row],[FECHA DE PAGO]]=PROVEEDORES[[#This Row],[FECHA DE FACTURACIÓN]],"DE CONTADO","CRÉDITO")</f>
        <v>CRÉDITO</v>
      </c>
      <c r="B174" s="112" t="b">
        <f>+IF((PROVEEDORES[[#This Row],[FECHA DE PAGO]]-PROVEEDORES[[#This Row],[FECHA DE FACTURACIÓN]])&gt;PROVEEDORES[[#This Row],[PLAZO Días]],"PAGO VENCIDO")</f>
        <v>0</v>
      </c>
      <c r="C174" s="112">
        <f>+VLOOKUP(PROVEEDORES[[#This Row],[PROVEEDOR]],TERCEROS_INFO[#All],2,FALSE)</f>
        <v>30</v>
      </c>
      <c r="D174" s="113">
        <f>+SUMIFS(PROVEEDORES[Total],PROVEEDORES[PROVEEDOR],PROVEEDORES[[#This Row],[PROVEEDOR]],PROVEEDORES[FECHA DE PAGO],"")</f>
        <v>0</v>
      </c>
      <c r="E174" s="114"/>
      <c r="F174" s="112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4" s="115">
        <v>45646</v>
      </c>
      <c r="H174" s="116" t="s">
        <v>93</v>
      </c>
      <c r="I174" s="115">
        <v>45639</v>
      </c>
      <c r="J174" s="117" t="s">
        <v>817</v>
      </c>
      <c r="K174" s="117" t="s">
        <v>210</v>
      </c>
      <c r="L174" s="117" t="s">
        <v>259</v>
      </c>
      <c r="M174" s="118">
        <v>371188</v>
      </c>
      <c r="N174" s="119">
        <v>70525.72</v>
      </c>
      <c r="O174" s="119">
        <v>33406</v>
      </c>
      <c r="P174" s="120">
        <v>0</v>
      </c>
      <c r="Q174" s="119">
        <v>0</v>
      </c>
      <c r="R174" s="121">
        <v>408307.72</v>
      </c>
      <c r="S17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122">
        <f ca="1">+IF(PROVEEDORES[[#This Row],[FECHA DE PAGO]]=0,TODAY()-PROVEEDORES[[#This Row],[FECHA DE FACTURACIÓN]]-PROVEEDORES[[#This Row],[PLAZO Días]],0)</f>
        <v>0</v>
      </c>
      <c r="U174" s="122">
        <f>+VLOOKUP(PROVEEDORES[[#This Row],[PROVEEDOR]],Terceros!$A:$D,4,FALSE)</f>
        <v>0</v>
      </c>
      <c r="V174" s="122">
        <f>+YEAR(PROVEEDORES[[#This Row],[FECHA DE FACTURACIÓN]])</f>
        <v>2024</v>
      </c>
      <c r="W174" s="122">
        <f>+MATCH(PROVEEDORES[[#This Row],[año facturado]],Retenciones!$1:$1,0)</f>
        <v>3</v>
      </c>
      <c r="X174" s="123">
        <f>+VLOOKUP(PROVEEDORES[[#This Row],[ID RETENCION]],Retenciones!$A$1:$K$25,PROVEEDORES[[#This Row],[indicador de columna]],FALSE)</f>
        <v>0</v>
      </c>
      <c r="Y174" s="124">
        <f>+VLOOKUP(PROVEEDORES[[#This Row],[ID RETENCION]],Retenciones!$A$1:$K$25,2,FALSE)</f>
        <v>0</v>
      </c>
      <c r="Z174" s="125" t="b">
        <f>+OR(COUNTIF(PROVEEDORES[[#This Row],[PROVEEDOR]],"*"&amp;'Palabra que no opera y Listas d'!$A$2&amp;"*"))</f>
        <v>0</v>
      </c>
    </row>
    <row r="175" spans="1:26" ht="27.75" customHeight="1" x14ac:dyDescent="0.25">
      <c r="A175" s="112" t="str">
        <f>+IF(PROVEEDORES[[#This Row],[FECHA DE PAGO]]=PROVEEDORES[[#This Row],[FECHA DE FACTURACIÓN]],"DE CONTADO","CRÉDITO")</f>
        <v>DE CONTADO</v>
      </c>
      <c r="B175" s="112" t="b">
        <f>+IF((PROVEEDORES[[#This Row],[FECHA DE PAGO]]-PROVEEDORES[[#This Row],[FECHA DE FACTURACIÓN]])&gt;PROVEEDORES[[#This Row],[PLAZO Días]],"PAGO VENCIDO")</f>
        <v>0</v>
      </c>
      <c r="C175" s="112">
        <f>+VLOOKUP(PROVEEDORES[[#This Row],[PROVEEDOR]],TERCEROS_INFO[#All],2,FALSE)</f>
        <v>30</v>
      </c>
      <c r="D175" s="113">
        <f>+SUMIFS(PROVEEDORES[Total],PROVEEDORES[PROVEEDOR],PROVEEDORES[[#This Row],[PROVEEDOR]],PROVEEDORES[FECHA DE PAGO],"")</f>
        <v>10958948</v>
      </c>
      <c r="E175" s="114"/>
      <c r="F175" s="112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5" s="115">
        <v>45646</v>
      </c>
      <c r="H175" s="116" t="s">
        <v>104</v>
      </c>
      <c r="I175" s="115">
        <v>45646</v>
      </c>
      <c r="J175" s="117" t="s">
        <v>818</v>
      </c>
      <c r="K175" s="117" t="s">
        <v>210</v>
      </c>
      <c r="L175" s="117" t="s">
        <v>259</v>
      </c>
      <c r="M175" s="118">
        <v>356204</v>
      </c>
      <c r="N175" s="119"/>
      <c r="O175" s="119">
        <v>0</v>
      </c>
      <c r="P175" s="120">
        <v>0</v>
      </c>
      <c r="Q175" s="119">
        <v>0</v>
      </c>
      <c r="R175" s="121">
        <v>356204</v>
      </c>
      <c r="S17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122">
        <f ca="1">+IF(PROVEEDORES[[#This Row],[FECHA DE PAGO]]=0,TODAY()-PROVEEDORES[[#This Row],[FECHA DE FACTURACIÓN]]-PROVEEDORES[[#This Row],[PLAZO Días]],0)</f>
        <v>0</v>
      </c>
      <c r="U175" s="122">
        <f>+VLOOKUP(PROVEEDORES[[#This Row],[PROVEEDOR]],Terceros!$A:$D,4,FALSE)</f>
        <v>0</v>
      </c>
      <c r="V175" s="122">
        <f>+YEAR(PROVEEDORES[[#This Row],[FECHA DE FACTURACIÓN]])</f>
        <v>2024</v>
      </c>
      <c r="W175" s="122">
        <f>+MATCH(PROVEEDORES[[#This Row],[año facturado]],Retenciones!$1:$1,0)</f>
        <v>3</v>
      </c>
      <c r="X175" s="123">
        <f>+VLOOKUP(PROVEEDORES[[#This Row],[ID RETENCION]],Retenciones!$A$1:$K$25,PROVEEDORES[[#This Row],[indicador de columna]],FALSE)</f>
        <v>0</v>
      </c>
      <c r="Y175" s="124">
        <f>+VLOOKUP(PROVEEDORES[[#This Row],[ID RETENCION]],Retenciones!$A$1:$K$25,2,FALSE)</f>
        <v>0</v>
      </c>
      <c r="Z175" s="125" t="b">
        <f>+OR(COUNTIF(PROVEEDORES[[#This Row],[PROVEEDOR]],"*"&amp;'Palabra que no opera y Listas d'!$A$2&amp;"*"))</f>
        <v>0</v>
      </c>
    </row>
    <row r="176" spans="1:26" ht="27.75" customHeight="1" x14ac:dyDescent="0.25">
      <c r="A176" s="112" t="str">
        <f>+IF(PROVEEDORES[[#This Row],[FECHA DE PAGO]]=PROVEEDORES[[#This Row],[FECHA DE FACTURACIÓN]],"DE CONTADO","CRÉDITO")</f>
        <v>DE CONTADO</v>
      </c>
      <c r="B176" s="112" t="b">
        <f>+IF((PROVEEDORES[[#This Row],[FECHA DE PAGO]]-PROVEEDORES[[#This Row],[FECHA DE FACTURACIÓN]])&gt;PROVEEDORES[[#This Row],[PLAZO Días]],"PAGO VENCIDO")</f>
        <v>0</v>
      </c>
      <c r="C176" s="112">
        <f>+VLOOKUP(PROVEEDORES[[#This Row],[PROVEEDOR]],TERCEROS_INFO[#All],2,FALSE)</f>
        <v>30</v>
      </c>
      <c r="D176" s="113">
        <f>+SUMIFS(PROVEEDORES[Total],PROVEEDORES[PROVEEDOR],PROVEEDORES[[#This Row],[PROVEEDOR]],PROVEEDORES[FECHA DE PAGO],"")</f>
        <v>3651240.11</v>
      </c>
      <c r="E176" s="114"/>
      <c r="F176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76" s="115">
        <v>45646</v>
      </c>
      <c r="H176" s="116" t="s">
        <v>243</v>
      </c>
      <c r="I176" s="115">
        <v>45646</v>
      </c>
      <c r="J176" s="117" t="s">
        <v>818</v>
      </c>
      <c r="K176" s="117" t="s">
        <v>256</v>
      </c>
      <c r="L176" s="117" t="s">
        <v>258</v>
      </c>
      <c r="M176" s="118">
        <v>306508</v>
      </c>
      <c r="N176" s="119"/>
      <c r="O176" s="119">
        <v>0</v>
      </c>
      <c r="P176" s="120">
        <v>0</v>
      </c>
      <c r="Q176" s="119">
        <v>0</v>
      </c>
      <c r="R176" s="121">
        <v>306508</v>
      </c>
      <c r="S17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122">
        <f ca="1">+IF(PROVEEDORES[[#This Row],[FECHA DE PAGO]]=0,TODAY()-PROVEEDORES[[#This Row],[FECHA DE FACTURACIÓN]]-PROVEEDORES[[#This Row],[PLAZO Días]],0)</f>
        <v>0</v>
      </c>
      <c r="U176" s="122" t="str">
        <f>+VLOOKUP(PROVEEDORES[[#This Row],[PROVEEDOR]],Terceros!$A:$D,4,FALSE)</f>
        <v>2,5% con base</v>
      </c>
      <c r="V176" s="122">
        <f>+YEAR(PROVEEDORES[[#This Row],[FECHA DE FACTURACIÓN]])</f>
        <v>2024</v>
      </c>
      <c r="W176" s="122">
        <f>+MATCH(PROVEEDORES[[#This Row],[año facturado]],Retenciones!$1:$1,0)</f>
        <v>3</v>
      </c>
      <c r="X176" s="123">
        <f>+VLOOKUP(PROVEEDORES[[#This Row],[ID RETENCION]],Retenciones!$A$1:$K$25,PROVEEDORES[[#This Row],[indicador de columna]],FALSE)</f>
        <v>1271000</v>
      </c>
      <c r="Y176" s="124">
        <f>+VLOOKUP(PROVEEDORES[[#This Row],[ID RETENCION]],Retenciones!$A$1:$K$25,2,FALSE)</f>
        <v>2.5000000000000001E-2</v>
      </c>
      <c r="Z176" s="125" t="b">
        <f>+OR(COUNTIF(PROVEEDORES[[#This Row],[PROVEEDOR]],"*"&amp;'Palabra que no opera y Listas d'!$A$2&amp;"*"))</f>
        <v>0</v>
      </c>
    </row>
    <row r="177" spans="1:26" ht="27.75" customHeight="1" x14ac:dyDescent="0.25">
      <c r="A177" s="112" t="str">
        <f>+IF(PROVEEDORES[[#This Row],[FECHA DE PAGO]]=PROVEEDORES[[#This Row],[FECHA DE FACTURACIÓN]],"DE CONTADO","CRÉDITO")</f>
        <v>DE CONTADO</v>
      </c>
      <c r="B177" s="112" t="b">
        <f>+IF((PROVEEDORES[[#This Row],[FECHA DE PAGO]]-PROVEEDORES[[#This Row],[FECHA DE FACTURACIÓN]])&gt;PROVEEDORES[[#This Row],[PLAZO Días]],"PAGO VENCIDO")</f>
        <v>0</v>
      </c>
      <c r="C177" s="112">
        <f>+VLOOKUP(PROVEEDORES[[#This Row],[PROVEEDOR]],TERCEROS_INFO[#All],2,FALSE)</f>
        <v>30</v>
      </c>
      <c r="D177" s="113">
        <f>+SUMIFS(PROVEEDORES[Total],PROVEEDORES[PROVEEDOR],PROVEEDORES[[#This Row],[PROVEEDOR]],PROVEEDORES[FECHA DE PAGO],"")</f>
        <v>0</v>
      </c>
      <c r="E177" s="114"/>
      <c r="F177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77" s="115">
        <v>45646</v>
      </c>
      <c r="H177" s="116" t="s">
        <v>13</v>
      </c>
      <c r="I177" s="115">
        <v>45646</v>
      </c>
      <c r="J177" s="117" t="s">
        <v>818</v>
      </c>
      <c r="K177" s="117" t="s">
        <v>210</v>
      </c>
      <c r="L177" s="117" t="s">
        <v>259</v>
      </c>
      <c r="M177" s="118">
        <v>1867947</v>
      </c>
      <c r="N177" s="119"/>
      <c r="O177" s="119">
        <v>0</v>
      </c>
      <c r="P177" s="120">
        <v>2.5000000000000001E-2</v>
      </c>
      <c r="Q177" s="119"/>
      <c r="R177" s="121">
        <v>1867947</v>
      </c>
      <c r="S17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122">
        <f ca="1">+IF(PROVEEDORES[[#This Row],[FECHA DE PAGO]]=0,TODAY()-PROVEEDORES[[#This Row],[FECHA DE FACTURACIÓN]]-PROVEEDORES[[#This Row],[PLAZO Días]],0)</f>
        <v>0</v>
      </c>
      <c r="U177" s="122" t="str">
        <f>+VLOOKUP(PROVEEDORES[[#This Row],[PROVEEDOR]],Terceros!$A:$D,4,FALSE)</f>
        <v>2,5% con base</v>
      </c>
      <c r="V177" s="122">
        <f>+YEAR(PROVEEDORES[[#This Row],[FECHA DE FACTURACIÓN]])</f>
        <v>2024</v>
      </c>
      <c r="W177" s="122">
        <f>+MATCH(PROVEEDORES[[#This Row],[año facturado]],Retenciones!$1:$1,0)</f>
        <v>3</v>
      </c>
      <c r="X177" s="123">
        <f>+VLOOKUP(PROVEEDORES[[#This Row],[ID RETENCION]],Retenciones!$A$1:$K$25,PROVEEDORES[[#This Row],[indicador de columna]],FALSE)</f>
        <v>1271000</v>
      </c>
      <c r="Y177" s="124">
        <f>+VLOOKUP(PROVEEDORES[[#This Row],[ID RETENCION]],Retenciones!$A$1:$K$25,2,FALSE)</f>
        <v>2.5000000000000001E-2</v>
      </c>
      <c r="Z177" s="125" t="b">
        <f>+OR(COUNTIF(PROVEEDORES[[#This Row],[PROVEEDOR]],"*"&amp;'Palabra que no opera y Listas d'!$A$2&amp;"*"))</f>
        <v>0</v>
      </c>
    </row>
    <row r="178" spans="1:26" ht="27.75" customHeight="1" x14ac:dyDescent="0.25">
      <c r="A178" s="112" t="str">
        <f>+IF(PROVEEDORES[[#This Row],[FECHA DE PAGO]]=PROVEEDORES[[#This Row],[FECHA DE FACTURACIÓN]],"DE CONTADO","CRÉDITO")</f>
        <v>DE CONTADO</v>
      </c>
      <c r="B178" s="112" t="b">
        <f>+IF((PROVEEDORES[[#This Row],[FECHA DE PAGO]]-PROVEEDORES[[#This Row],[FECHA DE FACTURACIÓN]])&gt;PROVEEDORES[[#This Row],[PLAZO Días]],"PAGO VENCIDO")</f>
        <v>0</v>
      </c>
      <c r="C178" s="112">
        <f>+VLOOKUP(PROVEEDORES[[#This Row],[PROVEEDOR]],TERCEROS_INFO[#All],2,FALSE)</f>
        <v>30</v>
      </c>
      <c r="D178" s="113">
        <f>+SUMIFS(PROVEEDORES[Total],PROVEEDORES[PROVEEDOR],PROVEEDORES[[#This Row],[PROVEEDOR]],PROVEEDORES[FECHA DE PAGO],"")</f>
        <v>0</v>
      </c>
      <c r="E178" s="114"/>
      <c r="F178" s="112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78" s="115">
        <v>45646</v>
      </c>
      <c r="H178" s="116" t="s">
        <v>164</v>
      </c>
      <c r="I178" s="115">
        <v>45646</v>
      </c>
      <c r="J178" s="117" t="s">
        <v>819</v>
      </c>
      <c r="K178" s="117" t="s">
        <v>256</v>
      </c>
      <c r="L178" s="117" t="s">
        <v>258</v>
      </c>
      <c r="M178" s="118">
        <v>182000</v>
      </c>
      <c r="N178" s="119"/>
      <c r="O178" s="119">
        <v>0</v>
      </c>
      <c r="P178" s="120">
        <v>0</v>
      </c>
      <c r="Q178" s="119">
        <v>0</v>
      </c>
      <c r="R178" s="121">
        <v>182000</v>
      </c>
      <c r="S17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122">
        <f ca="1">+IF(PROVEEDORES[[#This Row],[FECHA DE PAGO]]=0,TODAY()-PROVEEDORES[[#This Row],[FECHA DE FACTURACIÓN]]-PROVEEDORES[[#This Row],[PLAZO Días]],0)</f>
        <v>0</v>
      </c>
      <c r="U178" s="122">
        <f>+VLOOKUP(PROVEEDORES[[#This Row],[PROVEEDOR]],Terceros!$A:$D,4,FALSE)</f>
        <v>0</v>
      </c>
      <c r="V178" s="122">
        <f>+YEAR(PROVEEDORES[[#This Row],[FECHA DE FACTURACIÓN]])</f>
        <v>2024</v>
      </c>
      <c r="W178" s="122">
        <f>+MATCH(PROVEEDORES[[#This Row],[año facturado]],Retenciones!$1:$1,0)</f>
        <v>3</v>
      </c>
      <c r="X178" s="123">
        <f>+VLOOKUP(PROVEEDORES[[#This Row],[ID RETENCION]],Retenciones!$A$1:$K$25,PROVEEDORES[[#This Row],[indicador de columna]],FALSE)</f>
        <v>0</v>
      </c>
      <c r="Y178" s="124">
        <f>+VLOOKUP(PROVEEDORES[[#This Row],[ID RETENCION]],Retenciones!$A$1:$K$25,2,FALSE)</f>
        <v>0</v>
      </c>
      <c r="Z178" s="125" t="b">
        <f>+OR(COUNTIF(PROVEEDORES[[#This Row],[PROVEEDOR]],"*"&amp;'Palabra que no opera y Listas d'!$A$2&amp;"*"))</f>
        <v>1</v>
      </c>
    </row>
    <row r="179" spans="1:26" ht="27.75" customHeight="1" x14ac:dyDescent="0.25">
      <c r="A179" s="112" t="str">
        <f>+IF(PROVEEDORES[[#This Row],[FECHA DE PAGO]]=PROVEEDORES[[#This Row],[FECHA DE FACTURACIÓN]],"DE CONTADO","CRÉDITO")</f>
        <v>DE CONTADO</v>
      </c>
      <c r="B179" s="112" t="b">
        <f>+IF((PROVEEDORES[[#This Row],[FECHA DE PAGO]]-PROVEEDORES[[#This Row],[FECHA DE FACTURACIÓN]])&gt;PROVEEDORES[[#This Row],[PLAZO Días]],"PAGO VENCIDO")</f>
        <v>0</v>
      </c>
      <c r="C179" s="112">
        <f>+VLOOKUP(PROVEEDORES[[#This Row],[PROVEEDOR]],TERCEROS_INFO[#All],2,FALSE)</f>
        <v>45</v>
      </c>
      <c r="D179" s="113">
        <f>+SUMIFS(PROVEEDORES[Total],PROVEEDORES[PROVEEDOR],PROVEEDORES[[#This Row],[PROVEEDOR]],PROVEEDORES[FECHA DE PAGO],"")</f>
        <v>17682305.199999999</v>
      </c>
      <c r="E179" s="114"/>
      <c r="F179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9" s="115">
        <v>45646</v>
      </c>
      <c r="H179" s="116" t="s">
        <v>14</v>
      </c>
      <c r="I179" s="115">
        <v>45646</v>
      </c>
      <c r="J179" s="117" t="s">
        <v>818</v>
      </c>
      <c r="K179" s="117" t="s">
        <v>210</v>
      </c>
      <c r="L179" s="117" t="s">
        <v>259</v>
      </c>
      <c r="M179" s="118">
        <v>3536563</v>
      </c>
      <c r="N179" s="119"/>
      <c r="O179" s="119">
        <v>0</v>
      </c>
      <c r="P179" s="120">
        <v>0</v>
      </c>
      <c r="Q179" s="119">
        <v>0</v>
      </c>
      <c r="R179" s="121">
        <v>3536563</v>
      </c>
      <c r="S17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122">
        <f ca="1">+IF(PROVEEDORES[[#This Row],[FECHA DE PAGO]]=0,TODAY()-PROVEEDORES[[#This Row],[FECHA DE FACTURACIÓN]]-PROVEEDORES[[#This Row],[PLAZO Días]],0)</f>
        <v>0</v>
      </c>
      <c r="U179" s="122">
        <f>+VLOOKUP(PROVEEDORES[[#This Row],[PROVEEDOR]],Terceros!$A:$D,4,FALSE)</f>
        <v>0</v>
      </c>
      <c r="V179" s="122">
        <f>+YEAR(PROVEEDORES[[#This Row],[FECHA DE FACTURACIÓN]])</f>
        <v>2024</v>
      </c>
      <c r="W179" s="122">
        <f>+MATCH(PROVEEDORES[[#This Row],[año facturado]],Retenciones!$1:$1,0)</f>
        <v>3</v>
      </c>
      <c r="X179" s="123">
        <f>+VLOOKUP(PROVEEDORES[[#This Row],[ID RETENCION]],Retenciones!$A$1:$K$25,PROVEEDORES[[#This Row],[indicador de columna]],FALSE)</f>
        <v>0</v>
      </c>
      <c r="Y179" s="124">
        <f>+VLOOKUP(PROVEEDORES[[#This Row],[ID RETENCION]],Retenciones!$A$1:$K$25,2,FALSE)</f>
        <v>0</v>
      </c>
      <c r="Z179" s="125" t="b">
        <f>+OR(COUNTIF(PROVEEDORES[[#This Row],[PROVEEDOR]],"*"&amp;'Palabra que no opera y Listas d'!$A$2&amp;"*"))</f>
        <v>0</v>
      </c>
    </row>
    <row r="180" spans="1:26" ht="27.75" customHeight="1" x14ac:dyDescent="0.25">
      <c r="A180" s="112" t="str">
        <f>+IF(PROVEEDORES[[#This Row],[FECHA DE PAGO]]=PROVEEDORES[[#This Row],[FECHA DE FACTURACIÓN]],"DE CONTADO","CRÉDITO")</f>
        <v>CRÉDITO</v>
      </c>
      <c r="B180" s="112" t="str">
        <f>+IF((PROVEEDORES[[#This Row],[FECHA DE PAGO]]-PROVEEDORES[[#This Row],[FECHA DE FACTURACIÓN]])&gt;PROVEEDORES[[#This Row],[PLAZO Días]],"PAGO VENCIDO")</f>
        <v>PAGO VENCIDO</v>
      </c>
      <c r="C180" s="112">
        <f>+VLOOKUP(PROVEEDORES[[#This Row],[PROVEEDOR]],TERCEROS_INFO[#All],2,FALSE)</f>
        <v>30</v>
      </c>
      <c r="D180" s="113">
        <f>+SUMIFS(PROVEEDORES[Total],PROVEEDORES[PROVEEDOR],PROVEEDORES[[#This Row],[PROVEEDOR]],PROVEEDORES[FECHA DE PAGO],"")</f>
        <v>0</v>
      </c>
      <c r="E180" s="114"/>
      <c r="F180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180" s="115">
        <v>45649</v>
      </c>
      <c r="H180" s="116" t="s">
        <v>491</v>
      </c>
      <c r="I180" s="115">
        <v>45604</v>
      </c>
      <c r="J180" s="117" t="s">
        <v>820</v>
      </c>
      <c r="K180" s="117" t="s">
        <v>256</v>
      </c>
      <c r="L180" s="117" t="s">
        <v>261</v>
      </c>
      <c r="M180" s="118">
        <v>787395</v>
      </c>
      <c r="N180" s="119">
        <v>149605.04999999999</v>
      </c>
      <c r="O180" s="119">
        <v>0</v>
      </c>
      <c r="P180" s="120">
        <v>0</v>
      </c>
      <c r="Q180" s="119">
        <v>0</v>
      </c>
      <c r="R180" s="121">
        <v>937000.05</v>
      </c>
      <c r="S18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122">
        <f ca="1">+IF(PROVEEDORES[[#This Row],[FECHA DE PAGO]]=0,TODAY()-PROVEEDORES[[#This Row],[FECHA DE FACTURACIÓN]]-PROVEEDORES[[#This Row],[PLAZO Días]],0)</f>
        <v>0</v>
      </c>
      <c r="U180" s="122" t="str">
        <f>+VLOOKUP(PROVEEDORES[[#This Row],[PROVEEDOR]],Terceros!$A:$D,4,FALSE)</f>
        <v>2,5% con base</v>
      </c>
      <c r="V180" s="122">
        <f>+YEAR(PROVEEDORES[[#This Row],[FECHA DE FACTURACIÓN]])</f>
        <v>2024</v>
      </c>
      <c r="W180" s="122">
        <f>+MATCH(PROVEEDORES[[#This Row],[año facturado]],Retenciones!$1:$1,0)</f>
        <v>3</v>
      </c>
      <c r="X180" s="123">
        <f>+VLOOKUP(PROVEEDORES[[#This Row],[ID RETENCION]],Retenciones!$A$1:$K$25,PROVEEDORES[[#This Row],[indicador de columna]],FALSE)</f>
        <v>1271000</v>
      </c>
      <c r="Y180" s="124">
        <f>+VLOOKUP(PROVEEDORES[[#This Row],[ID RETENCION]],Retenciones!$A$1:$K$25,2,FALSE)</f>
        <v>2.5000000000000001E-2</v>
      </c>
      <c r="Z180" s="125" t="b">
        <f>+OR(COUNTIF(PROVEEDORES[[#This Row],[PROVEEDOR]],"*"&amp;'Palabra que no opera y Listas d'!$A$2&amp;"*"))</f>
        <v>0</v>
      </c>
    </row>
    <row r="181" spans="1:26" ht="27.75" customHeight="1" x14ac:dyDescent="0.25">
      <c r="A181" s="112" t="str">
        <f>+IF(PROVEEDORES[[#This Row],[FECHA DE PAGO]]=PROVEEDORES[[#This Row],[FECHA DE FACTURACIÓN]],"DE CONTADO","CRÉDITO")</f>
        <v>CRÉDITO</v>
      </c>
      <c r="B181" s="112" t="str">
        <f>+IF((PROVEEDORES[[#This Row],[FECHA DE PAGO]]-PROVEEDORES[[#This Row],[FECHA DE FACTURACIÓN]])&gt;PROVEEDORES[[#This Row],[PLAZO Días]],"PAGO VENCIDO")</f>
        <v>PAGO VENCIDO</v>
      </c>
      <c r="C181" s="112">
        <f>+VLOOKUP(PROVEEDORES[[#This Row],[PROVEEDOR]],TERCEROS_INFO[#All],2,FALSE)</f>
        <v>30</v>
      </c>
      <c r="D181" s="113">
        <f>+SUMIFS(PROVEEDORES[Total],PROVEEDORES[PROVEEDOR],PROVEEDORES[[#This Row],[PROVEEDOR]],PROVEEDORES[FECHA DE PAGO],"")</f>
        <v>2213383</v>
      </c>
      <c r="E181" s="114"/>
      <c r="F181" s="112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1" s="115">
        <v>45649</v>
      </c>
      <c r="H181" s="116" t="s">
        <v>192</v>
      </c>
      <c r="I181" s="115">
        <v>45610</v>
      </c>
      <c r="J181" s="117">
        <v>36736</v>
      </c>
      <c r="K181" s="117" t="s">
        <v>256</v>
      </c>
      <c r="L181" s="117" t="s">
        <v>261</v>
      </c>
      <c r="M181" s="118">
        <v>1420000</v>
      </c>
      <c r="N181" s="119">
        <v>269800</v>
      </c>
      <c r="O181" s="119">
        <v>0</v>
      </c>
      <c r="P181" s="120">
        <v>2.5000000000000001E-2</v>
      </c>
      <c r="Q181" s="119">
        <v>35500</v>
      </c>
      <c r="R181" s="121">
        <v>1654300</v>
      </c>
      <c r="S18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122">
        <f ca="1">+IF(PROVEEDORES[[#This Row],[FECHA DE PAGO]]=0,TODAY()-PROVEEDORES[[#This Row],[FECHA DE FACTURACIÓN]]-PROVEEDORES[[#This Row],[PLAZO Días]],0)</f>
        <v>0</v>
      </c>
      <c r="U181" s="122" t="str">
        <f>+VLOOKUP(PROVEEDORES[[#This Row],[PROVEEDOR]],Terceros!$A:$D,4,FALSE)</f>
        <v>2,5% con base</v>
      </c>
      <c r="V181" s="122">
        <f>+YEAR(PROVEEDORES[[#This Row],[FECHA DE FACTURACIÓN]])</f>
        <v>2024</v>
      </c>
      <c r="W181" s="122">
        <f>+MATCH(PROVEEDORES[[#This Row],[año facturado]],Retenciones!$1:$1,0)</f>
        <v>3</v>
      </c>
      <c r="X181" s="123">
        <f>+VLOOKUP(PROVEEDORES[[#This Row],[ID RETENCION]],Retenciones!$A$1:$K$25,PROVEEDORES[[#This Row],[indicador de columna]],FALSE)</f>
        <v>1271000</v>
      </c>
      <c r="Y181" s="124">
        <f>+VLOOKUP(PROVEEDORES[[#This Row],[ID RETENCION]],Retenciones!$A$1:$K$25,2,FALSE)</f>
        <v>2.5000000000000001E-2</v>
      </c>
      <c r="Z181" s="125" t="b">
        <f>+OR(COUNTIF(PROVEEDORES[[#This Row],[PROVEEDOR]],"*"&amp;'Palabra que no opera y Listas d'!$A$2&amp;"*"))</f>
        <v>0</v>
      </c>
    </row>
    <row r="182" spans="1:26" ht="27.75" customHeight="1" x14ac:dyDescent="0.25">
      <c r="A182" s="112" t="str">
        <f>+IF(PROVEEDORES[[#This Row],[FECHA DE PAGO]]=PROVEEDORES[[#This Row],[FECHA DE FACTURACIÓN]],"DE CONTADO","CRÉDITO")</f>
        <v>CRÉDITO</v>
      </c>
      <c r="B182" s="112" t="str">
        <f>+IF((PROVEEDORES[[#This Row],[FECHA DE PAGO]]-PROVEEDORES[[#This Row],[FECHA DE FACTURACIÓN]])&gt;PROVEEDORES[[#This Row],[PLAZO Días]],"PAGO VENCIDO")</f>
        <v>PAGO VENCIDO</v>
      </c>
      <c r="C182" s="112">
        <f>+VLOOKUP(PROVEEDORES[[#This Row],[PROVEEDOR]],TERCEROS_INFO[#All],2,FALSE)</f>
        <v>30</v>
      </c>
      <c r="D182" s="113">
        <f>+SUMIFS(PROVEEDORES[Total],PROVEEDORES[PROVEEDOR],PROVEEDORES[[#This Row],[PROVEEDOR]],PROVEEDORES[FECHA DE PAGO],"")</f>
        <v>0</v>
      </c>
      <c r="E182" s="114"/>
      <c r="F182" s="112" t="str">
        <f>+VLOOKUP(PROVEEDORES[[#This Row],[PROVEEDOR]],
                       Terceros!$A:$F,
                       5,
                       FALSE)</f>
        <v>memoriasoriginales@gmail.com;girlesa.ruiz@servipilas.com;joriescobar64@gmail.com</v>
      </c>
      <c r="G182" s="115">
        <v>45649</v>
      </c>
      <c r="H182" s="116" t="s">
        <v>184</v>
      </c>
      <c r="I182" s="115">
        <v>45615</v>
      </c>
      <c r="J182" s="117" t="s">
        <v>821</v>
      </c>
      <c r="K182" s="117" t="s">
        <v>256</v>
      </c>
      <c r="L182" s="117" t="s">
        <v>261</v>
      </c>
      <c r="M182" s="118">
        <v>1160000</v>
      </c>
      <c r="N182" s="119">
        <v>220400</v>
      </c>
      <c r="O182" s="119">
        <v>0</v>
      </c>
      <c r="P182" s="120">
        <v>0</v>
      </c>
      <c r="Q182" s="119">
        <v>0</v>
      </c>
      <c r="R182" s="121">
        <v>1380400</v>
      </c>
      <c r="S18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122">
        <f ca="1">+IF(PROVEEDORES[[#This Row],[FECHA DE PAGO]]=0,TODAY()-PROVEEDORES[[#This Row],[FECHA DE FACTURACIÓN]]-PROVEEDORES[[#This Row],[PLAZO Días]],0)</f>
        <v>0</v>
      </c>
      <c r="U182" s="122" t="str">
        <f>+VLOOKUP(PROVEEDORES[[#This Row],[PROVEEDOR]],Terceros!$A:$D,4,FALSE)</f>
        <v>2,5% con base</v>
      </c>
      <c r="V182" s="122">
        <f>+YEAR(PROVEEDORES[[#This Row],[FECHA DE FACTURACIÓN]])</f>
        <v>2024</v>
      </c>
      <c r="W182" s="122">
        <f>+MATCH(PROVEEDORES[[#This Row],[año facturado]],Retenciones!$1:$1,0)</f>
        <v>3</v>
      </c>
      <c r="X182" s="123">
        <f>+VLOOKUP(PROVEEDORES[[#This Row],[ID RETENCION]],Retenciones!$A$1:$K$25,PROVEEDORES[[#This Row],[indicador de columna]],FALSE)</f>
        <v>1271000</v>
      </c>
      <c r="Y182" s="124">
        <f>+VLOOKUP(PROVEEDORES[[#This Row],[ID RETENCION]],Retenciones!$A$1:$K$25,2,FALSE)</f>
        <v>2.5000000000000001E-2</v>
      </c>
      <c r="Z182" s="125" t="b">
        <f>+OR(COUNTIF(PROVEEDORES[[#This Row],[PROVEEDOR]],"*"&amp;'Palabra que no opera y Listas d'!$A$2&amp;"*"))</f>
        <v>0</v>
      </c>
    </row>
    <row r="183" spans="1:26" ht="27.75" customHeight="1" x14ac:dyDescent="0.25">
      <c r="A183" s="112" t="str">
        <f>+IF(PROVEEDORES[[#This Row],[FECHA DE PAGO]]=PROVEEDORES[[#This Row],[FECHA DE FACTURACIÓN]],"DE CONTADO","CRÉDITO")</f>
        <v>CRÉDITO</v>
      </c>
      <c r="B183" s="112" t="str">
        <f>+IF((PROVEEDORES[[#This Row],[FECHA DE PAGO]]-PROVEEDORES[[#This Row],[FECHA DE FACTURACIÓN]])&gt;PROVEEDORES[[#This Row],[PLAZO Días]],"PAGO VENCIDO")</f>
        <v>PAGO VENCIDO</v>
      </c>
      <c r="C183" s="112">
        <f>+VLOOKUP(PROVEEDORES[[#This Row],[PROVEEDOR]],TERCEROS_INFO[#All],2,FALSE)</f>
        <v>30</v>
      </c>
      <c r="D183" s="113">
        <f>+SUMIFS(PROVEEDORES[Total],PROVEEDORES[PROVEEDOR],PROVEEDORES[[#This Row],[PROVEEDOR]],PROVEEDORES[FECHA DE PAGO],"")</f>
        <v>0</v>
      </c>
      <c r="E183" s="114"/>
      <c r="F183" s="112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83" s="115">
        <v>45649</v>
      </c>
      <c r="H183" s="116" t="s">
        <v>26</v>
      </c>
      <c r="I183" s="115">
        <v>45615</v>
      </c>
      <c r="J183" s="117" t="s">
        <v>822</v>
      </c>
      <c r="K183" s="117" t="s">
        <v>256</v>
      </c>
      <c r="L183" s="117" t="s">
        <v>261</v>
      </c>
      <c r="M183" s="118">
        <v>560700</v>
      </c>
      <c r="N183" s="119">
        <v>106533</v>
      </c>
      <c r="O183" s="119">
        <v>0</v>
      </c>
      <c r="P183" s="120">
        <v>0</v>
      </c>
      <c r="Q183" s="119">
        <v>0</v>
      </c>
      <c r="R183" s="121">
        <v>667233</v>
      </c>
      <c r="S18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122">
        <f ca="1">+IF(PROVEEDORES[[#This Row],[FECHA DE PAGO]]=0,TODAY()-PROVEEDORES[[#This Row],[FECHA DE FACTURACIÓN]]-PROVEEDORES[[#This Row],[PLAZO Días]],0)</f>
        <v>0</v>
      </c>
      <c r="U183" s="122" t="str">
        <f>+VLOOKUP(PROVEEDORES[[#This Row],[PROVEEDOR]],Terceros!$A:$D,4,FALSE)</f>
        <v>2,5% con base</v>
      </c>
      <c r="V183" s="122">
        <f>+YEAR(PROVEEDORES[[#This Row],[FECHA DE FACTURACIÓN]])</f>
        <v>2024</v>
      </c>
      <c r="W183" s="122">
        <f>+MATCH(PROVEEDORES[[#This Row],[año facturado]],Retenciones!$1:$1,0)</f>
        <v>3</v>
      </c>
      <c r="X183" s="123">
        <f>+VLOOKUP(PROVEEDORES[[#This Row],[ID RETENCION]],Retenciones!$A$1:$K$25,PROVEEDORES[[#This Row],[indicador de columna]],FALSE)</f>
        <v>1271000</v>
      </c>
      <c r="Y183" s="124">
        <f>+VLOOKUP(PROVEEDORES[[#This Row],[ID RETENCION]],Retenciones!$A$1:$K$25,2,FALSE)</f>
        <v>2.5000000000000001E-2</v>
      </c>
      <c r="Z183" s="125" t="b">
        <f>+OR(COUNTIF(PROVEEDORES[[#This Row],[PROVEEDOR]],"*"&amp;'Palabra que no opera y Listas d'!$A$2&amp;"*"))</f>
        <v>0</v>
      </c>
    </row>
    <row r="184" spans="1:26" ht="27.75" customHeight="1" x14ac:dyDescent="0.25">
      <c r="A184" s="112" t="str">
        <f>+IF(PROVEEDORES[[#This Row],[FECHA DE PAGO]]=PROVEEDORES[[#This Row],[FECHA DE FACTURACIÓN]],"DE CONTADO","CRÉDITO")</f>
        <v>CRÉDITO</v>
      </c>
      <c r="B184" s="112" t="str">
        <f>+IF((PROVEEDORES[[#This Row],[FECHA DE PAGO]]-PROVEEDORES[[#This Row],[FECHA DE FACTURACIÓN]])&gt;PROVEEDORES[[#This Row],[PLAZO Días]],"PAGO VENCIDO")</f>
        <v>PAGO VENCIDO</v>
      </c>
      <c r="C184" s="112">
        <f>+VLOOKUP(PROVEEDORES[[#This Row],[PROVEEDOR]],TERCEROS_INFO[#All],2,FALSE)</f>
        <v>30</v>
      </c>
      <c r="D184" s="113">
        <f>+SUMIFS(PROVEEDORES[Total],PROVEEDORES[PROVEEDOR],PROVEEDORES[[#This Row],[PROVEEDOR]],PROVEEDORES[FECHA DE PAGO],"")</f>
        <v>3823530</v>
      </c>
      <c r="E184" s="114"/>
      <c r="F184" s="112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84" s="115">
        <v>45649</v>
      </c>
      <c r="H184" s="116" t="s">
        <v>278</v>
      </c>
      <c r="I184" s="115">
        <v>45615</v>
      </c>
      <c r="J184" s="117" t="s">
        <v>823</v>
      </c>
      <c r="K184" s="117" t="s">
        <v>256</v>
      </c>
      <c r="L184" s="117" t="s">
        <v>261</v>
      </c>
      <c r="M184" s="118">
        <v>4700000</v>
      </c>
      <c r="N184" s="119">
        <v>893000</v>
      </c>
      <c r="O184" s="119">
        <v>0</v>
      </c>
      <c r="P184" s="120">
        <v>2.5000000000000001E-2</v>
      </c>
      <c r="Q184" s="119">
        <v>117500</v>
      </c>
      <c r="R184" s="121">
        <v>5475500</v>
      </c>
      <c r="S18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122">
        <f ca="1">+IF(PROVEEDORES[[#This Row],[FECHA DE PAGO]]=0,TODAY()-PROVEEDORES[[#This Row],[FECHA DE FACTURACIÓN]]-PROVEEDORES[[#This Row],[PLAZO Días]],0)</f>
        <v>0</v>
      </c>
      <c r="U184" s="122" t="str">
        <f>+VLOOKUP(PROVEEDORES[[#This Row],[PROVEEDOR]],Terceros!$A:$D,4,FALSE)</f>
        <v>2,5% con base</v>
      </c>
      <c r="V184" s="122">
        <f>+YEAR(PROVEEDORES[[#This Row],[FECHA DE FACTURACIÓN]])</f>
        <v>2024</v>
      </c>
      <c r="W184" s="122">
        <f>+MATCH(PROVEEDORES[[#This Row],[año facturado]],Retenciones!$1:$1,0)</f>
        <v>3</v>
      </c>
      <c r="X184" s="123">
        <f>+VLOOKUP(PROVEEDORES[[#This Row],[ID RETENCION]],Retenciones!$A$1:$K$25,PROVEEDORES[[#This Row],[indicador de columna]],FALSE)</f>
        <v>1271000</v>
      </c>
      <c r="Y184" s="124">
        <f>+VLOOKUP(PROVEEDORES[[#This Row],[ID RETENCION]],Retenciones!$A$1:$K$25,2,FALSE)</f>
        <v>2.5000000000000001E-2</v>
      </c>
      <c r="Z184" s="125" t="b">
        <f>+OR(COUNTIF(PROVEEDORES[[#This Row],[PROVEEDOR]],"*"&amp;'Palabra que no opera y Listas d'!$A$2&amp;"*"))</f>
        <v>0</v>
      </c>
    </row>
    <row r="185" spans="1:26" ht="27.75" customHeight="1" x14ac:dyDescent="0.25">
      <c r="A185" s="112" t="str">
        <f>+IF(PROVEEDORES[[#This Row],[FECHA DE PAGO]]=PROVEEDORES[[#This Row],[FECHA DE FACTURACIÓN]],"DE CONTADO","CRÉDITO")</f>
        <v>CRÉDITO</v>
      </c>
      <c r="B185" s="112" t="str">
        <f>+IF((PROVEEDORES[[#This Row],[FECHA DE PAGO]]-PROVEEDORES[[#This Row],[FECHA DE FACTURACIÓN]])&gt;PROVEEDORES[[#This Row],[PLAZO Días]],"PAGO VENCIDO")</f>
        <v>PAGO VENCIDO</v>
      </c>
      <c r="C185" s="112">
        <f>+VLOOKUP(PROVEEDORES[[#This Row],[PROVEEDOR]],TERCEROS_INFO[#All],2,FALSE)</f>
        <v>30</v>
      </c>
      <c r="D185" s="113">
        <f>+SUMIFS(PROVEEDORES[Total],PROVEEDORES[PROVEEDOR],PROVEEDORES[[#This Row],[PROVEEDOR]],PROVEEDORES[FECHA DE PAGO],"")</f>
        <v>0</v>
      </c>
      <c r="E185" s="114"/>
      <c r="F185" s="112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85" s="115">
        <v>45649</v>
      </c>
      <c r="H185" s="116" t="s">
        <v>108</v>
      </c>
      <c r="I185" s="115">
        <v>45617</v>
      </c>
      <c r="J185" s="117" t="s">
        <v>824</v>
      </c>
      <c r="K185" s="117" t="s">
        <v>256</v>
      </c>
      <c r="L185" s="117" t="s">
        <v>261</v>
      </c>
      <c r="M185" s="118">
        <v>1202474</v>
      </c>
      <c r="N185" s="119">
        <v>228470.06</v>
      </c>
      <c r="O185" s="119">
        <v>0</v>
      </c>
      <c r="P185" s="120">
        <v>0</v>
      </c>
      <c r="Q185" s="119">
        <v>0</v>
      </c>
      <c r="R185" s="121">
        <v>1430944.06</v>
      </c>
      <c r="S18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122">
        <f ca="1">+IF(PROVEEDORES[[#This Row],[FECHA DE PAGO]]=0,TODAY()-PROVEEDORES[[#This Row],[FECHA DE FACTURACIÓN]]-PROVEEDORES[[#This Row],[PLAZO Días]],0)</f>
        <v>0</v>
      </c>
      <c r="U185" s="122" t="str">
        <f>+VLOOKUP(PROVEEDORES[[#This Row],[PROVEEDOR]],Terceros!$A:$D,4,FALSE)</f>
        <v>2,5% con base</v>
      </c>
      <c r="V185" s="122">
        <f>+YEAR(PROVEEDORES[[#This Row],[FECHA DE FACTURACIÓN]])</f>
        <v>2024</v>
      </c>
      <c r="W185" s="122">
        <f>+MATCH(PROVEEDORES[[#This Row],[año facturado]],Retenciones!$1:$1,0)</f>
        <v>3</v>
      </c>
      <c r="X185" s="123">
        <f>+VLOOKUP(PROVEEDORES[[#This Row],[ID RETENCION]],Retenciones!$A$1:$K$25,PROVEEDORES[[#This Row],[indicador de columna]],FALSE)</f>
        <v>1271000</v>
      </c>
      <c r="Y185" s="124">
        <f>+VLOOKUP(PROVEEDORES[[#This Row],[ID RETENCION]],Retenciones!$A$1:$K$25,2,FALSE)</f>
        <v>2.5000000000000001E-2</v>
      </c>
      <c r="Z185" s="125" t="b">
        <f>+OR(COUNTIF(PROVEEDORES[[#This Row],[PROVEEDOR]],"*"&amp;'Palabra que no opera y Listas d'!$A$2&amp;"*"))</f>
        <v>0</v>
      </c>
    </row>
    <row r="186" spans="1:26" ht="27.75" customHeight="1" x14ac:dyDescent="0.25">
      <c r="A186" s="112" t="str">
        <f>+IF(PROVEEDORES[[#This Row],[FECHA DE PAGO]]=PROVEEDORES[[#This Row],[FECHA DE FACTURACIÓN]],"DE CONTADO","CRÉDITO")</f>
        <v>CRÉDITO</v>
      </c>
      <c r="B186" s="112" t="b">
        <f>+IF((PROVEEDORES[[#This Row],[FECHA DE PAGO]]-PROVEEDORES[[#This Row],[FECHA DE FACTURACIÓN]])&gt;PROVEEDORES[[#This Row],[PLAZO Días]],"PAGO VENCIDO")</f>
        <v>0</v>
      </c>
      <c r="C186" s="112">
        <f>+VLOOKUP(PROVEEDORES[[#This Row],[PROVEEDOR]],TERCEROS_INFO[#All],2,FALSE)</f>
        <v>60</v>
      </c>
      <c r="D186" s="113">
        <f>+SUMIFS(PROVEEDORES[Total],PROVEEDORES[PROVEEDOR],PROVEEDORES[[#This Row],[PROVEEDOR]],PROVEEDORES[FECHA DE PAGO],"")</f>
        <v>0</v>
      </c>
      <c r="E186" s="114"/>
      <c r="F186" s="112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86" s="115">
        <v>45649</v>
      </c>
      <c r="H186" s="116" t="s">
        <v>213</v>
      </c>
      <c r="I186" s="115">
        <v>45624</v>
      </c>
      <c r="J186" s="117" t="s">
        <v>825</v>
      </c>
      <c r="K186" s="117" t="s">
        <v>256</v>
      </c>
      <c r="L186" s="117" t="s">
        <v>261</v>
      </c>
      <c r="M186" s="118">
        <v>2365173</v>
      </c>
      <c r="N186" s="119">
        <v>449382.87</v>
      </c>
      <c r="O186" s="119">
        <v>0</v>
      </c>
      <c r="P186" s="120">
        <v>2.5000000000000001E-2</v>
      </c>
      <c r="Q186" s="119">
        <v>59129.325000000004</v>
      </c>
      <c r="R186" s="121">
        <v>2755426.5449999999</v>
      </c>
      <c r="S18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122">
        <f ca="1">+IF(PROVEEDORES[[#This Row],[FECHA DE PAGO]]=0,TODAY()-PROVEEDORES[[#This Row],[FECHA DE FACTURACIÓN]]-PROVEEDORES[[#This Row],[PLAZO Días]],0)</f>
        <v>0</v>
      </c>
      <c r="U186" s="122" t="str">
        <f>+VLOOKUP(PROVEEDORES[[#This Row],[PROVEEDOR]],Terceros!$A:$D,4,FALSE)</f>
        <v>2,5% con base</v>
      </c>
      <c r="V186" s="122">
        <f>+YEAR(PROVEEDORES[[#This Row],[FECHA DE FACTURACIÓN]])</f>
        <v>2024</v>
      </c>
      <c r="W186" s="122">
        <f>+MATCH(PROVEEDORES[[#This Row],[año facturado]],Retenciones!$1:$1,0)</f>
        <v>3</v>
      </c>
      <c r="X186" s="123">
        <f>+VLOOKUP(PROVEEDORES[[#This Row],[ID RETENCION]],Retenciones!$A$1:$K$25,PROVEEDORES[[#This Row],[indicador de columna]],FALSE)</f>
        <v>1271000</v>
      </c>
      <c r="Y186" s="124">
        <f>+VLOOKUP(PROVEEDORES[[#This Row],[ID RETENCION]],Retenciones!$A$1:$K$25,2,FALSE)</f>
        <v>2.5000000000000001E-2</v>
      </c>
      <c r="Z186" s="125" t="b">
        <f>+OR(COUNTIF(PROVEEDORES[[#This Row],[PROVEEDOR]],"*"&amp;'Palabra que no opera y Listas d'!$A$2&amp;"*"))</f>
        <v>0</v>
      </c>
    </row>
    <row r="187" spans="1:26" ht="27.75" customHeight="1" x14ac:dyDescent="0.25">
      <c r="A187" s="112" t="str">
        <f>+IF(PROVEEDORES[[#This Row],[FECHA DE PAGO]]=PROVEEDORES[[#This Row],[FECHA DE FACTURACIÓN]],"DE CONTADO","CRÉDITO")</f>
        <v>CRÉDITO</v>
      </c>
      <c r="B187" s="112" t="b">
        <f>+IF((PROVEEDORES[[#This Row],[FECHA DE PAGO]]-PROVEEDORES[[#This Row],[FECHA DE FACTURACIÓN]])&gt;PROVEEDORES[[#This Row],[PLAZO Días]],"PAGO VENCIDO")</f>
        <v>0</v>
      </c>
      <c r="C187" s="112">
        <f>+VLOOKUP(PROVEEDORES[[#This Row],[PROVEEDOR]],TERCEROS_INFO[#All],2,FALSE)</f>
        <v>30</v>
      </c>
      <c r="D187" s="113">
        <f>+SUMIFS(PROVEEDORES[Total],PROVEEDORES[PROVEEDOR],PROVEEDORES[[#This Row],[PROVEEDOR]],PROVEEDORES[FECHA DE PAGO],"")</f>
        <v>2213383</v>
      </c>
      <c r="E187" s="114"/>
      <c r="F187" s="112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7" s="115">
        <v>45649</v>
      </c>
      <c r="H187" s="116" t="s">
        <v>192</v>
      </c>
      <c r="I187" s="115">
        <v>45625</v>
      </c>
      <c r="J187" s="117">
        <v>36953</v>
      </c>
      <c r="K187" s="117" t="s">
        <v>256</v>
      </c>
      <c r="L187" s="117" t="s">
        <v>261</v>
      </c>
      <c r="M187" s="118">
        <v>4433380</v>
      </c>
      <c r="N187" s="119">
        <v>722008</v>
      </c>
      <c r="O187" s="119">
        <v>633340</v>
      </c>
      <c r="P187" s="120">
        <v>2.5000000000000001E-2</v>
      </c>
      <c r="Q187" s="119">
        <v>95001</v>
      </c>
      <c r="R187" s="121">
        <v>4427047</v>
      </c>
      <c r="S18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122">
        <f ca="1">+IF(PROVEEDORES[[#This Row],[FECHA DE PAGO]]=0,TODAY()-PROVEEDORES[[#This Row],[FECHA DE FACTURACIÓN]]-PROVEEDORES[[#This Row],[PLAZO Días]],0)</f>
        <v>0</v>
      </c>
      <c r="U187" s="122" t="str">
        <f>+VLOOKUP(PROVEEDORES[[#This Row],[PROVEEDOR]],Terceros!$A:$D,4,FALSE)</f>
        <v>2,5% con base</v>
      </c>
      <c r="V187" s="122">
        <f>+YEAR(PROVEEDORES[[#This Row],[FECHA DE FACTURACIÓN]])</f>
        <v>2024</v>
      </c>
      <c r="W187" s="122">
        <f>+MATCH(PROVEEDORES[[#This Row],[año facturado]],Retenciones!$1:$1,0)</f>
        <v>3</v>
      </c>
      <c r="X187" s="123">
        <f>+VLOOKUP(PROVEEDORES[[#This Row],[ID RETENCION]],Retenciones!$A$1:$K$25,PROVEEDORES[[#This Row],[indicador de columna]],FALSE)</f>
        <v>1271000</v>
      </c>
      <c r="Y187" s="124">
        <f>+VLOOKUP(PROVEEDORES[[#This Row],[ID RETENCION]],Retenciones!$A$1:$K$25,2,FALSE)</f>
        <v>2.5000000000000001E-2</v>
      </c>
      <c r="Z187" s="125" t="b">
        <f>+OR(COUNTIF(PROVEEDORES[[#This Row],[PROVEEDOR]],"*"&amp;'Palabra que no opera y Listas d'!$A$2&amp;"*"))</f>
        <v>0</v>
      </c>
    </row>
    <row r="188" spans="1:26" ht="27.75" customHeight="1" x14ac:dyDescent="0.25">
      <c r="A188" s="112" t="str">
        <f>+IF(PROVEEDORES[[#This Row],[FECHA DE PAGO]]=PROVEEDORES[[#This Row],[FECHA DE FACTURACIÓN]],"DE CONTADO","CRÉDITO")</f>
        <v>CRÉDITO</v>
      </c>
      <c r="B188" s="112" t="b">
        <f>+IF((PROVEEDORES[[#This Row],[FECHA DE PAGO]]-PROVEEDORES[[#This Row],[FECHA DE FACTURACIÓN]])&gt;PROVEEDORES[[#This Row],[PLAZO Días]],"PAGO VENCIDO")</f>
        <v>0</v>
      </c>
      <c r="C188" s="112">
        <f>+VLOOKUP(PROVEEDORES[[#This Row],[PROVEEDOR]],TERCEROS_INFO[#All],2,FALSE)</f>
        <v>30</v>
      </c>
      <c r="D188" s="113">
        <f>+SUMIFS(PROVEEDORES[Total],PROVEEDORES[PROVEEDOR],PROVEEDORES[[#This Row],[PROVEEDOR]],PROVEEDORES[FECHA DE PAGO],"")</f>
        <v>0</v>
      </c>
      <c r="E188" s="114"/>
      <c r="F188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188" s="115">
        <v>45649</v>
      </c>
      <c r="H188" s="116" t="s">
        <v>491</v>
      </c>
      <c r="I188" s="115">
        <v>45626</v>
      </c>
      <c r="J188" s="117" t="s">
        <v>826</v>
      </c>
      <c r="K188" s="117" t="s">
        <v>256</v>
      </c>
      <c r="L188" s="117" t="s">
        <v>261</v>
      </c>
      <c r="M188" s="118">
        <v>369748</v>
      </c>
      <c r="N188" s="119">
        <v>70252.12</v>
      </c>
      <c r="O188" s="119">
        <v>36974.800000000003</v>
      </c>
      <c r="P188" s="120">
        <v>0</v>
      </c>
      <c r="Q188" s="119">
        <v>0</v>
      </c>
      <c r="R188" s="121">
        <v>403025.32</v>
      </c>
      <c r="S18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122">
        <f ca="1">+IF(PROVEEDORES[[#This Row],[FECHA DE PAGO]]=0,TODAY()-PROVEEDORES[[#This Row],[FECHA DE FACTURACIÓN]]-PROVEEDORES[[#This Row],[PLAZO Días]],0)</f>
        <v>0</v>
      </c>
      <c r="U188" s="122" t="str">
        <f>+VLOOKUP(PROVEEDORES[[#This Row],[PROVEEDOR]],Terceros!$A:$D,4,FALSE)</f>
        <v>2,5% con base</v>
      </c>
      <c r="V188" s="122">
        <f>+YEAR(PROVEEDORES[[#This Row],[FECHA DE FACTURACIÓN]])</f>
        <v>2024</v>
      </c>
      <c r="W188" s="122">
        <f>+MATCH(PROVEEDORES[[#This Row],[año facturado]],Retenciones!$1:$1,0)</f>
        <v>3</v>
      </c>
      <c r="X188" s="123">
        <f>+VLOOKUP(PROVEEDORES[[#This Row],[ID RETENCION]],Retenciones!$A$1:$K$25,PROVEEDORES[[#This Row],[indicador de columna]],FALSE)</f>
        <v>1271000</v>
      </c>
      <c r="Y188" s="124">
        <f>+VLOOKUP(PROVEEDORES[[#This Row],[ID RETENCION]],Retenciones!$A$1:$K$25,2,FALSE)</f>
        <v>2.5000000000000001E-2</v>
      </c>
      <c r="Z188" s="125" t="b">
        <f>+OR(COUNTIF(PROVEEDORES[[#This Row],[PROVEEDOR]],"*"&amp;'Palabra que no opera y Listas d'!$A$2&amp;"*"))</f>
        <v>0</v>
      </c>
    </row>
    <row r="189" spans="1:26" ht="27.75" customHeight="1" x14ac:dyDescent="0.25">
      <c r="A189" s="112" t="str">
        <f>+IF(PROVEEDORES[[#This Row],[FECHA DE PAGO]]=PROVEEDORES[[#This Row],[FECHA DE FACTURACIÓN]],"DE CONTADO","CRÉDITO")</f>
        <v>CRÉDITO</v>
      </c>
      <c r="B189" s="112" t="b">
        <f>+IF((PROVEEDORES[[#This Row],[FECHA DE PAGO]]-PROVEEDORES[[#This Row],[FECHA DE FACTURACIÓN]])&gt;PROVEEDORES[[#This Row],[PLAZO Días]],"PAGO VENCIDO")</f>
        <v>0</v>
      </c>
      <c r="C189" s="112">
        <f>+VLOOKUP(PROVEEDORES[[#This Row],[PROVEEDOR]],TERCEROS_INFO[#All],2,FALSE)</f>
        <v>30</v>
      </c>
      <c r="D189" s="113">
        <f>+SUMIFS(PROVEEDORES[Total],PROVEEDORES[PROVEEDOR],PROVEEDORES[[#This Row],[PROVEEDOR]],PROVEEDORES[FECHA DE PAGO],"")</f>
        <v>0</v>
      </c>
      <c r="E189" s="114"/>
      <c r="F189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189" s="115">
        <v>45649</v>
      </c>
      <c r="H189" s="116" t="s">
        <v>491</v>
      </c>
      <c r="I189" s="115">
        <v>45626</v>
      </c>
      <c r="J189" s="117" t="s">
        <v>827</v>
      </c>
      <c r="K189" s="117" t="s">
        <v>256</v>
      </c>
      <c r="L189" s="117" t="s">
        <v>261</v>
      </c>
      <c r="M189" s="118">
        <v>-109999</v>
      </c>
      <c r="N189" s="119"/>
      <c r="O189" s="119">
        <v>0</v>
      </c>
      <c r="P189" s="120">
        <v>0</v>
      </c>
      <c r="Q189" s="119">
        <v>0</v>
      </c>
      <c r="R189" s="121">
        <v>-109999</v>
      </c>
      <c r="S18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122">
        <f ca="1">+IF(PROVEEDORES[[#This Row],[FECHA DE PAGO]]=0,TODAY()-PROVEEDORES[[#This Row],[FECHA DE FACTURACIÓN]]-PROVEEDORES[[#This Row],[PLAZO Días]],0)</f>
        <v>0</v>
      </c>
      <c r="U189" s="122" t="str">
        <f>+VLOOKUP(PROVEEDORES[[#This Row],[PROVEEDOR]],Terceros!$A:$D,4,FALSE)</f>
        <v>2,5% con base</v>
      </c>
      <c r="V189" s="122">
        <f>+YEAR(PROVEEDORES[[#This Row],[FECHA DE FACTURACIÓN]])</f>
        <v>2024</v>
      </c>
      <c r="W189" s="122">
        <f>+MATCH(PROVEEDORES[[#This Row],[año facturado]],Retenciones!$1:$1,0)</f>
        <v>3</v>
      </c>
      <c r="X189" s="123">
        <f>+VLOOKUP(PROVEEDORES[[#This Row],[ID RETENCION]],Retenciones!$A$1:$K$25,PROVEEDORES[[#This Row],[indicador de columna]],FALSE)</f>
        <v>1271000</v>
      </c>
      <c r="Y189" s="124">
        <f>+VLOOKUP(PROVEEDORES[[#This Row],[ID RETENCION]],Retenciones!$A$1:$K$25,2,FALSE)</f>
        <v>2.5000000000000001E-2</v>
      </c>
      <c r="Z189" s="125" t="b">
        <f>+OR(COUNTIF(PROVEEDORES[[#This Row],[PROVEEDOR]],"*"&amp;'Palabra que no opera y Listas d'!$A$2&amp;"*"))</f>
        <v>0</v>
      </c>
    </row>
    <row r="190" spans="1:26" ht="27.75" customHeight="1" x14ac:dyDescent="0.25">
      <c r="A190" s="112" t="str">
        <f>+IF(PROVEEDORES[[#This Row],[FECHA DE PAGO]]=PROVEEDORES[[#This Row],[FECHA DE FACTURACIÓN]],"DE CONTADO","CRÉDITO")</f>
        <v>CRÉDITO</v>
      </c>
      <c r="B190" s="112" t="b">
        <f>+IF((PROVEEDORES[[#This Row],[FECHA DE PAGO]]-PROVEEDORES[[#This Row],[FECHA DE FACTURACIÓN]])&gt;PROVEEDORES[[#This Row],[PLAZO Días]],"PAGO VENCIDO")</f>
        <v>0</v>
      </c>
      <c r="C190" s="112">
        <f>+VLOOKUP(PROVEEDORES[[#This Row],[PROVEEDOR]],TERCEROS_INFO[#All],2,FALSE)</f>
        <v>30</v>
      </c>
      <c r="D190" s="113">
        <f>+SUMIFS(PROVEEDORES[Total],PROVEEDORES[PROVEEDOR],PROVEEDORES[[#This Row],[PROVEEDOR]],PROVEEDORES[FECHA DE PAGO],"")</f>
        <v>3823530</v>
      </c>
      <c r="E190" s="114"/>
      <c r="F190" s="112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90" s="115">
        <v>45649</v>
      </c>
      <c r="H190" s="116" t="s">
        <v>278</v>
      </c>
      <c r="I190" s="115">
        <v>45630</v>
      </c>
      <c r="J190" s="117" t="s">
        <v>828</v>
      </c>
      <c r="K190" s="117" t="s">
        <v>210</v>
      </c>
      <c r="L190" s="117" t="s">
        <v>261</v>
      </c>
      <c r="M190" s="118">
        <v>280000</v>
      </c>
      <c r="N190" s="119">
        <v>53200</v>
      </c>
      <c r="O190" s="119">
        <v>0</v>
      </c>
      <c r="P190" s="120">
        <v>0</v>
      </c>
      <c r="Q190" s="119">
        <v>0</v>
      </c>
      <c r="R190" s="121">
        <v>333200</v>
      </c>
      <c r="S19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122">
        <f ca="1">+IF(PROVEEDORES[[#This Row],[FECHA DE PAGO]]=0,TODAY()-PROVEEDORES[[#This Row],[FECHA DE FACTURACIÓN]]-PROVEEDORES[[#This Row],[PLAZO Días]],0)</f>
        <v>0</v>
      </c>
      <c r="U190" s="122" t="str">
        <f>+VLOOKUP(PROVEEDORES[[#This Row],[PROVEEDOR]],Terceros!$A:$D,4,FALSE)</f>
        <v>2,5% con base</v>
      </c>
      <c r="V190" s="122">
        <f>+YEAR(PROVEEDORES[[#This Row],[FECHA DE FACTURACIÓN]])</f>
        <v>2024</v>
      </c>
      <c r="W190" s="122">
        <f>+MATCH(PROVEEDORES[[#This Row],[año facturado]],Retenciones!$1:$1,0)</f>
        <v>3</v>
      </c>
      <c r="X190" s="123">
        <f>+VLOOKUP(PROVEEDORES[[#This Row],[ID RETENCION]],Retenciones!$A$1:$K$25,PROVEEDORES[[#This Row],[indicador de columna]],FALSE)</f>
        <v>1271000</v>
      </c>
      <c r="Y190" s="124">
        <f>+VLOOKUP(PROVEEDORES[[#This Row],[ID RETENCION]],Retenciones!$A$1:$K$25,2,FALSE)</f>
        <v>2.5000000000000001E-2</v>
      </c>
      <c r="Z190" s="125" t="b">
        <f>+OR(COUNTIF(PROVEEDORES[[#This Row],[PROVEEDOR]],"*"&amp;'Palabra que no opera y Listas d'!$A$2&amp;"*"))</f>
        <v>0</v>
      </c>
    </row>
    <row r="191" spans="1:26" ht="27.75" customHeight="1" x14ac:dyDescent="0.25">
      <c r="A191" s="112" t="str">
        <f>+IF(PROVEEDORES[[#This Row],[FECHA DE PAGO]]=PROVEEDORES[[#This Row],[FECHA DE FACTURACIÓN]],"DE CONTADO","CRÉDITO")</f>
        <v>CRÉDITO</v>
      </c>
      <c r="B191" s="112" t="b">
        <f>+IF((PROVEEDORES[[#This Row],[FECHA DE PAGO]]-PROVEEDORES[[#This Row],[FECHA DE FACTURACIÓN]])&gt;PROVEEDORES[[#This Row],[PLAZO Días]],"PAGO VENCIDO")</f>
        <v>0</v>
      </c>
      <c r="C191" s="112">
        <f>+VLOOKUP(PROVEEDORES[[#This Row],[PROVEEDOR]],TERCEROS_INFO[#All],2,FALSE)</f>
        <v>30</v>
      </c>
      <c r="D191" s="113">
        <f>+SUMIFS(PROVEEDORES[Total],PROVEEDORES[PROVEEDOR],PROVEEDORES[[#This Row],[PROVEEDOR]],PROVEEDORES[FECHA DE PAGO],"")</f>
        <v>0</v>
      </c>
      <c r="E191" s="114"/>
      <c r="F191" s="112" t="str">
        <f>+VLOOKUP(PROVEEDORES[[#This Row],[PROVEEDOR]],
                       Terceros!$A:$F,
                       5,
                       FALSE)</f>
        <v>adtienda.facturacion@gmail.com; girlesa.ruiz@servipilas.com;joriescobar64@gmail.com</v>
      </c>
      <c r="G191" s="115">
        <v>45649</v>
      </c>
      <c r="H191" s="116" t="s">
        <v>491</v>
      </c>
      <c r="I191" s="115">
        <v>45630</v>
      </c>
      <c r="J191" s="117" t="s">
        <v>829</v>
      </c>
      <c r="K191" s="117" t="s">
        <v>256</v>
      </c>
      <c r="L191" s="117" t="s">
        <v>261</v>
      </c>
      <c r="M191" s="118">
        <v>257815</v>
      </c>
      <c r="N191" s="119">
        <v>48984.85</v>
      </c>
      <c r="O191" s="119">
        <v>25781.5</v>
      </c>
      <c r="P191" s="120">
        <v>0</v>
      </c>
      <c r="Q191" s="119">
        <v>0</v>
      </c>
      <c r="R191" s="121">
        <v>281018.34999999998</v>
      </c>
      <c r="S19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122">
        <f ca="1">+IF(PROVEEDORES[[#This Row],[FECHA DE PAGO]]=0,TODAY()-PROVEEDORES[[#This Row],[FECHA DE FACTURACIÓN]]-PROVEEDORES[[#This Row],[PLAZO Días]],0)</f>
        <v>0</v>
      </c>
      <c r="U191" s="122" t="str">
        <f>+VLOOKUP(PROVEEDORES[[#This Row],[PROVEEDOR]],Terceros!$A:$D,4,FALSE)</f>
        <v>2,5% con base</v>
      </c>
      <c r="V191" s="122">
        <f>+YEAR(PROVEEDORES[[#This Row],[FECHA DE FACTURACIÓN]])</f>
        <v>2024</v>
      </c>
      <c r="W191" s="122">
        <f>+MATCH(PROVEEDORES[[#This Row],[año facturado]],Retenciones!$1:$1,0)</f>
        <v>3</v>
      </c>
      <c r="X191" s="123">
        <f>+VLOOKUP(PROVEEDORES[[#This Row],[ID RETENCION]],Retenciones!$A$1:$K$25,PROVEEDORES[[#This Row],[indicador de columna]],FALSE)</f>
        <v>1271000</v>
      </c>
      <c r="Y191" s="124">
        <f>+VLOOKUP(PROVEEDORES[[#This Row],[ID RETENCION]],Retenciones!$A$1:$K$25,2,FALSE)</f>
        <v>2.5000000000000001E-2</v>
      </c>
      <c r="Z191" s="125" t="b">
        <f>+OR(COUNTIF(PROVEEDORES[[#This Row],[PROVEEDOR]],"*"&amp;'Palabra que no opera y Listas d'!$A$2&amp;"*"))</f>
        <v>0</v>
      </c>
    </row>
    <row r="192" spans="1:26" ht="27.75" customHeight="1" x14ac:dyDescent="0.25">
      <c r="A192" s="112" t="str">
        <f>+IF(PROVEEDORES[[#This Row],[FECHA DE PAGO]]=PROVEEDORES[[#This Row],[FECHA DE FACTURACIÓN]],"DE CONTADO","CRÉDITO")</f>
        <v>CRÉDITO</v>
      </c>
      <c r="B192" s="112" t="b">
        <f>+IF((PROVEEDORES[[#This Row],[FECHA DE PAGO]]-PROVEEDORES[[#This Row],[FECHA DE FACTURACIÓN]])&gt;PROVEEDORES[[#This Row],[PLAZO Días]],"PAGO VENCIDO")</f>
        <v>0</v>
      </c>
      <c r="C192" s="112">
        <f>+VLOOKUP(PROVEEDORES[[#This Row],[PROVEEDOR]],TERCEROS_INFO[#All],2,FALSE)</f>
        <v>60</v>
      </c>
      <c r="D192" s="113">
        <f>+SUMIFS(PROVEEDORES[Total],PROVEEDORES[PROVEEDOR],PROVEEDORES[[#This Row],[PROVEEDOR]],PROVEEDORES[FECHA DE PAGO],"")</f>
        <v>0</v>
      </c>
      <c r="E192" s="114"/>
      <c r="F192" s="112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2" s="115">
        <v>45649</v>
      </c>
      <c r="H192" s="116" t="s">
        <v>8</v>
      </c>
      <c r="I192" s="115">
        <v>45632</v>
      </c>
      <c r="J192" s="117" t="s">
        <v>830</v>
      </c>
      <c r="K192" s="117" t="s">
        <v>256</v>
      </c>
      <c r="L192" s="117" t="s">
        <v>260</v>
      </c>
      <c r="M192" s="118">
        <v>38925351</v>
      </c>
      <c r="N192" s="119">
        <v>7395816.6900000004</v>
      </c>
      <c r="O192" s="119">
        <v>3114028.08</v>
      </c>
      <c r="P192" s="120">
        <v>2.5000000000000001E-2</v>
      </c>
      <c r="Q192" s="119">
        <v>973133.77500000002</v>
      </c>
      <c r="R192" s="121">
        <v>42234005.835000001</v>
      </c>
      <c r="S19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122">
        <f ca="1">+IF(PROVEEDORES[[#This Row],[FECHA DE PAGO]]=0,TODAY()-PROVEEDORES[[#This Row],[FECHA DE FACTURACIÓN]]-PROVEEDORES[[#This Row],[PLAZO Días]],0)</f>
        <v>0</v>
      </c>
      <c r="U192" s="122" t="str">
        <f>+VLOOKUP(PROVEEDORES[[#This Row],[PROVEEDOR]],Terceros!$A:$D,4,FALSE)</f>
        <v>2,5% con base</v>
      </c>
      <c r="V192" s="122">
        <f>+YEAR(PROVEEDORES[[#This Row],[FECHA DE FACTURACIÓN]])</f>
        <v>2024</v>
      </c>
      <c r="W192" s="122">
        <f>+MATCH(PROVEEDORES[[#This Row],[año facturado]],Retenciones!$1:$1,0)</f>
        <v>3</v>
      </c>
      <c r="X192" s="123">
        <f>+VLOOKUP(PROVEEDORES[[#This Row],[ID RETENCION]],Retenciones!$A$1:$K$25,PROVEEDORES[[#This Row],[indicador de columna]],FALSE)</f>
        <v>1271000</v>
      </c>
      <c r="Y192" s="124">
        <f>+VLOOKUP(PROVEEDORES[[#This Row],[ID RETENCION]],Retenciones!$A$1:$K$25,2,FALSE)</f>
        <v>2.5000000000000001E-2</v>
      </c>
      <c r="Z192" s="125" t="b">
        <f>+OR(COUNTIF(PROVEEDORES[[#This Row],[PROVEEDOR]],"*"&amp;'Palabra que no opera y Listas d'!$A$2&amp;"*"))</f>
        <v>0</v>
      </c>
    </row>
    <row r="193" spans="1:26" ht="27.75" customHeight="1" x14ac:dyDescent="0.25">
      <c r="A193" s="112" t="str">
        <f>+IF(PROVEEDORES[[#This Row],[FECHA DE PAGO]]=PROVEEDORES[[#This Row],[FECHA DE FACTURACIÓN]],"DE CONTADO","CRÉDITO")</f>
        <v>CRÉDITO</v>
      </c>
      <c r="B193" s="112" t="b">
        <f>+IF((PROVEEDORES[[#This Row],[FECHA DE PAGO]]-PROVEEDORES[[#This Row],[FECHA DE FACTURACIÓN]])&gt;PROVEEDORES[[#This Row],[PLAZO Días]],"PAGO VENCIDO")</f>
        <v>0</v>
      </c>
      <c r="C193" s="112">
        <f>+VLOOKUP(PROVEEDORES[[#This Row],[PROVEEDOR]],TERCEROS_INFO[#All],2,FALSE)</f>
        <v>60</v>
      </c>
      <c r="D193" s="113">
        <f>+SUMIFS(PROVEEDORES[Total],PROVEEDORES[PROVEEDOR],PROVEEDORES[[#This Row],[PROVEEDOR]],PROVEEDORES[FECHA DE PAGO],"")</f>
        <v>0</v>
      </c>
      <c r="E193" s="114"/>
      <c r="F193" s="112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3" s="115">
        <v>45649</v>
      </c>
      <c r="H193" s="116" t="s">
        <v>8</v>
      </c>
      <c r="I193" s="115">
        <v>45632</v>
      </c>
      <c r="J193" s="117" t="s">
        <v>831</v>
      </c>
      <c r="K193" s="117" t="s">
        <v>256</v>
      </c>
      <c r="L193" s="117" t="s">
        <v>260</v>
      </c>
      <c r="M193" s="118">
        <v>3768269</v>
      </c>
      <c r="N193" s="119">
        <v>715971.11</v>
      </c>
      <c r="O193" s="119">
        <v>301461.52</v>
      </c>
      <c r="P193" s="120">
        <v>2.5000000000000001E-2</v>
      </c>
      <c r="Q193" s="119">
        <v>94206.725000000006</v>
      </c>
      <c r="R193" s="121">
        <v>4088571.8650000002</v>
      </c>
      <c r="S19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122">
        <f ca="1">+IF(PROVEEDORES[[#This Row],[FECHA DE PAGO]]=0,TODAY()-PROVEEDORES[[#This Row],[FECHA DE FACTURACIÓN]]-PROVEEDORES[[#This Row],[PLAZO Días]],0)</f>
        <v>0</v>
      </c>
      <c r="U193" s="122" t="str">
        <f>+VLOOKUP(PROVEEDORES[[#This Row],[PROVEEDOR]],Terceros!$A:$D,4,FALSE)</f>
        <v>2,5% con base</v>
      </c>
      <c r="V193" s="122">
        <f>+YEAR(PROVEEDORES[[#This Row],[FECHA DE FACTURACIÓN]])</f>
        <v>2024</v>
      </c>
      <c r="W193" s="122">
        <f>+MATCH(PROVEEDORES[[#This Row],[año facturado]],Retenciones!$1:$1,0)</f>
        <v>3</v>
      </c>
      <c r="X193" s="123">
        <f>+VLOOKUP(PROVEEDORES[[#This Row],[ID RETENCION]],Retenciones!$A$1:$K$25,PROVEEDORES[[#This Row],[indicador de columna]],FALSE)</f>
        <v>1271000</v>
      </c>
      <c r="Y193" s="124">
        <f>+VLOOKUP(PROVEEDORES[[#This Row],[ID RETENCION]],Retenciones!$A$1:$K$25,2,FALSE)</f>
        <v>2.5000000000000001E-2</v>
      </c>
      <c r="Z193" s="125" t="b">
        <f>+OR(COUNTIF(PROVEEDORES[[#This Row],[PROVEEDOR]],"*"&amp;'Palabra que no opera y Listas d'!$A$2&amp;"*"))</f>
        <v>0</v>
      </c>
    </row>
    <row r="194" spans="1:26" ht="27.75" customHeight="1" x14ac:dyDescent="0.25">
      <c r="A194" s="112" t="str">
        <f>+IF(PROVEEDORES[[#This Row],[FECHA DE PAGO]]=PROVEEDORES[[#This Row],[FECHA DE FACTURACIÓN]],"DE CONTADO","CRÉDITO")</f>
        <v>CRÉDITO</v>
      </c>
      <c r="B194" s="112" t="b">
        <f>+IF((PROVEEDORES[[#This Row],[FECHA DE PAGO]]-PROVEEDORES[[#This Row],[FECHA DE FACTURACIÓN]])&gt;PROVEEDORES[[#This Row],[PLAZO Días]],"PAGO VENCIDO")</f>
        <v>0</v>
      </c>
      <c r="C194" s="112">
        <f>+VLOOKUP(PROVEEDORES[[#This Row],[PROVEEDOR]],TERCEROS_INFO[#All],2,FALSE)</f>
        <v>60</v>
      </c>
      <c r="D194" s="113">
        <f>+SUMIFS(PROVEEDORES[Total],PROVEEDORES[PROVEEDOR],PROVEEDORES[[#This Row],[PROVEEDOR]],PROVEEDORES[FECHA DE PAGO],"")</f>
        <v>0</v>
      </c>
      <c r="E194" s="114"/>
      <c r="F194" s="112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4" s="115">
        <v>45649</v>
      </c>
      <c r="H194" s="116" t="s">
        <v>8</v>
      </c>
      <c r="I194" s="115">
        <v>45632</v>
      </c>
      <c r="J194" s="117" t="s">
        <v>832</v>
      </c>
      <c r="K194" s="117" t="s">
        <v>256</v>
      </c>
      <c r="L194" s="117" t="s">
        <v>260</v>
      </c>
      <c r="M194" s="118">
        <v>-223046</v>
      </c>
      <c r="N194" s="119"/>
      <c r="O194" s="119">
        <v>0</v>
      </c>
      <c r="P194" s="120">
        <v>0</v>
      </c>
      <c r="Q194" s="119">
        <v>0</v>
      </c>
      <c r="R194" s="121">
        <v>-223046</v>
      </c>
      <c r="S19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122">
        <f ca="1">+IF(PROVEEDORES[[#This Row],[FECHA DE PAGO]]=0,TODAY()-PROVEEDORES[[#This Row],[FECHA DE FACTURACIÓN]]-PROVEEDORES[[#This Row],[PLAZO Días]],0)</f>
        <v>0</v>
      </c>
      <c r="U194" s="122" t="str">
        <f>+VLOOKUP(PROVEEDORES[[#This Row],[PROVEEDOR]],Terceros!$A:$D,4,FALSE)</f>
        <v>2,5% con base</v>
      </c>
      <c r="V194" s="122">
        <f>+YEAR(PROVEEDORES[[#This Row],[FECHA DE FACTURACIÓN]])</f>
        <v>2024</v>
      </c>
      <c r="W194" s="122">
        <f>+MATCH(PROVEEDORES[[#This Row],[año facturado]],Retenciones!$1:$1,0)</f>
        <v>3</v>
      </c>
      <c r="X194" s="123">
        <f>+VLOOKUP(PROVEEDORES[[#This Row],[ID RETENCION]],Retenciones!$A$1:$K$25,PROVEEDORES[[#This Row],[indicador de columna]],FALSE)</f>
        <v>1271000</v>
      </c>
      <c r="Y194" s="124">
        <f>+VLOOKUP(PROVEEDORES[[#This Row],[ID RETENCION]],Retenciones!$A$1:$K$25,2,FALSE)</f>
        <v>2.5000000000000001E-2</v>
      </c>
      <c r="Z194" s="125" t="b">
        <f>+OR(COUNTIF(PROVEEDORES[[#This Row],[PROVEEDOR]],"*"&amp;'Palabra que no opera y Listas d'!$A$2&amp;"*"))</f>
        <v>0</v>
      </c>
    </row>
    <row r="195" spans="1:26" ht="27.75" customHeight="1" x14ac:dyDescent="0.25">
      <c r="A195" s="112" t="str">
        <f>+IF(PROVEEDORES[[#This Row],[FECHA DE PAGO]]=PROVEEDORES[[#This Row],[FECHA DE FACTURACIÓN]],"DE CONTADO","CRÉDITO")</f>
        <v>CRÉDITO</v>
      </c>
      <c r="B195" s="112" t="str">
        <f>+IF((PROVEEDORES[[#This Row],[FECHA DE PAGO]]-PROVEEDORES[[#This Row],[FECHA DE FACTURACIÓN]])&gt;PROVEEDORES[[#This Row],[PLAZO Días]],"PAGO VENCIDO")</f>
        <v>PAGO VENCIDO</v>
      </c>
      <c r="C195" s="112">
        <f>+VLOOKUP(PROVEEDORES[[#This Row],[PROVEEDOR]],TERCEROS_INFO[#All],2,FALSE)</f>
        <v>0</v>
      </c>
      <c r="D195" s="113">
        <f>+SUMIFS(PROVEEDORES[Total],PROVEEDORES[PROVEEDOR],PROVEEDORES[[#This Row],[PROVEEDOR]],PROVEEDORES[FECHA DE PAGO],"")</f>
        <v>0</v>
      </c>
      <c r="E195" s="114"/>
      <c r="F195" s="112" t="str">
        <f>+VLOOKUP(PROVEEDORES[[#This Row],[PROVEEDOR]],
                       Terceros!$A:$F,
                       5,
                       FALSE)</f>
        <v>contabilidadramirezasesores@impocarga.com; comercial@impocarga.com; girlesa.ruiz@servipilas.com;joriescobar64@gmail.com</v>
      </c>
      <c r="G195" s="115">
        <v>45649</v>
      </c>
      <c r="H195" s="116" t="s">
        <v>652</v>
      </c>
      <c r="I195" s="115">
        <v>45646</v>
      </c>
      <c r="J195" s="117" t="s">
        <v>833</v>
      </c>
      <c r="K195" s="117" t="s">
        <v>210</v>
      </c>
      <c r="L195" s="117" t="s">
        <v>259</v>
      </c>
      <c r="M195" s="118">
        <v>3137591</v>
      </c>
      <c r="N195" s="119">
        <v>457037</v>
      </c>
      <c r="O195" s="119">
        <v>0</v>
      </c>
      <c r="P195" s="120">
        <v>0.04</v>
      </c>
      <c r="Q195" s="119">
        <v>96218.400000000009</v>
      </c>
      <c r="R195" s="121">
        <v>3498409.6</v>
      </c>
      <c r="S19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122">
        <f ca="1">+IF(PROVEEDORES[[#This Row],[FECHA DE PAGO]]=0,TODAY()-PROVEEDORES[[#This Row],[FECHA DE FACTURACIÓN]]-PROVEEDORES[[#This Row],[PLAZO Días]],0)</f>
        <v>0</v>
      </c>
      <c r="U195" s="122" t="str">
        <f>+VLOOKUP(PROVEEDORES[[#This Row],[PROVEEDOR]],Terceros!$A:$D,4,FALSE)</f>
        <v>2,5% con base</v>
      </c>
      <c r="V195" s="122">
        <f>+YEAR(PROVEEDORES[[#This Row],[FECHA DE FACTURACIÓN]])</f>
        <v>2024</v>
      </c>
      <c r="W195" s="122">
        <f>+MATCH(PROVEEDORES[[#This Row],[año facturado]],Retenciones!$1:$1,0)</f>
        <v>3</v>
      </c>
      <c r="X195" s="123">
        <f>+VLOOKUP(PROVEEDORES[[#This Row],[ID RETENCION]],Retenciones!$A$1:$K$25,PROVEEDORES[[#This Row],[indicador de columna]],FALSE)</f>
        <v>1271000</v>
      </c>
      <c r="Y195" s="124">
        <f>+VLOOKUP(PROVEEDORES[[#This Row],[ID RETENCION]],Retenciones!$A$1:$K$25,2,FALSE)</f>
        <v>2.5000000000000001E-2</v>
      </c>
      <c r="Z195" s="125" t="b">
        <f>+OR(COUNTIF(PROVEEDORES[[#This Row],[PROVEEDOR]],"*"&amp;'Palabra que no opera y Listas d'!$A$2&amp;"*"))</f>
        <v>0</v>
      </c>
    </row>
    <row r="196" spans="1:26" ht="27.75" customHeight="1" x14ac:dyDescent="0.25">
      <c r="A196" s="112" t="str">
        <f>+IF(PROVEEDORES[[#This Row],[FECHA DE PAGO]]=PROVEEDORES[[#This Row],[FECHA DE FACTURACIÓN]],"DE CONTADO","CRÉDITO")</f>
        <v>CRÉDITO</v>
      </c>
      <c r="B196" s="112" t="str">
        <f>+IF((PROVEEDORES[[#This Row],[FECHA DE PAGO]]-PROVEEDORES[[#This Row],[FECHA DE FACTURACIÓN]])&gt;PROVEEDORES[[#This Row],[PLAZO Días]],"PAGO VENCIDO")</f>
        <v>PAGO VENCIDO</v>
      </c>
      <c r="C196" s="112">
        <f>+VLOOKUP(PROVEEDORES[[#This Row],[PROVEEDOR]],TERCEROS_INFO[#All],2,FALSE)</f>
        <v>0</v>
      </c>
      <c r="D196" s="113">
        <f>+SUMIFS(PROVEEDORES[Total],PROVEEDORES[PROVEEDOR],PROVEEDORES[[#This Row],[PROVEEDOR]],PROVEEDORES[FECHA DE PAGO],"")</f>
        <v>0</v>
      </c>
      <c r="E196" s="114"/>
      <c r="F196" s="112" t="str">
        <f>+VLOOKUP(PROVEEDORES[[#This Row],[PROVEEDOR]],
                       Terceros!$A:$F,
                       5,
                       FALSE)</f>
        <v>contabilidadramirezasesores@impocarga.com; comercial@impocarga.com; girlesa.ruiz@servipilas.com;joriescobar64@gmail.com</v>
      </c>
      <c r="G196" s="115">
        <v>45649</v>
      </c>
      <c r="H196" s="116" t="s">
        <v>652</v>
      </c>
      <c r="I196" s="115">
        <v>45646</v>
      </c>
      <c r="J196" s="117" t="s">
        <v>834</v>
      </c>
      <c r="K196" s="117" t="s">
        <v>210</v>
      </c>
      <c r="L196" s="117" t="s">
        <v>259</v>
      </c>
      <c r="M196" s="118">
        <v>2585700</v>
      </c>
      <c r="N196" s="119">
        <v>400777</v>
      </c>
      <c r="O196" s="119">
        <v>0</v>
      </c>
      <c r="P196" s="120">
        <v>0.04</v>
      </c>
      <c r="Q196" s="119">
        <v>84374</v>
      </c>
      <c r="R196" s="121">
        <v>2902103</v>
      </c>
      <c r="S19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122">
        <f ca="1">+IF(PROVEEDORES[[#This Row],[FECHA DE PAGO]]=0,TODAY()-PROVEEDORES[[#This Row],[FECHA DE FACTURACIÓN]]-PROVEEDORES[[#This Row],[PLAZO Días]],0)</f>
        <v>0</v>
      </c>
      <c r="U196" s="122" t="str">
        <f>+VLOOKUP(PROVEEDORES[[#This Row],[PROVEEDOR]],Terceros!$A:$D,4,FALSE)</f>
        <v>2,5% con base</v>
      </c>
      <c r="V196" s="122">
        <f>+YEAR(PROVEEDORES[[#This Row],[FECHA DE FACTURACIÓN]])</f>
        <v>2024</v>
      </c>
      <c r="W196" s="122">
        <f>+MATCH(PROVEEDORES[[#This Row],[año facturado]],Retenciones!$1:$1,0)</f>
        <v>3</v>
      </c>
      <c r="X196" s="123">
        <f>+VLOOKUP(PROVEEDORES[[#This Row],[ID RETENCION]],Retenciones!$A$1:$K$25,PROVEEDORES[[#This Row],[indicador de columna]],FALSE)</f>
        <v>1271000</v>
      </c>
      <c r="Y196" s="124">
        <f>+VLOOKUP(PROVEEDORES[[#This Row],[ID RETENCION]],Retenciones!$A$1:$K$25,2,FALSE)</f>
        <v>2.5000000000000001E-2</v>
      </c>
      <c r="Z196" s="125" t="b">
        <f>+OR(COUNTIF(PROVEEDORES[[#This Row],[PROVEEDOR]],"*"&amp;'Palabra que no opera y Listas d'!$A$2&amp;"*"))</f>
        <v>0</v>
      </c>
    </row>
    <row r="197" spans="1:26" ht="27.75" customHeight="1" x14ac:dyDescent="0.25">
      <c r="A197" s="112" t="str">
        <f>+IF(PROVEEDORES[[#This Row],[FECHA DE PAGO]]=PROVEEDORES[[#This Row],[FECHA DE FACTURACIÓN]],"DE CONTADO","CRÉDITO")</f>
        <v>DE CONTADO</v>
      </c>
      <c r="B197" s="112" t="b">
        <f>+IF((PROVEEDORES[[#This Row],[FECHA DE PAGO]]-PROVEEDORES[[#This Row],[FECHA DE FACTURACIÓN]])&gt;PROVEEDORES[[#This Row],[PLAZO Días]],"PAGO VENCIDO")</f>
        <v>0</v>
      </c>
      <c r="C197" s="112">
        <f>+VLOOKUP(PROVEEDORES[[#This Row],[PROVEEDOR]],TERCEROS_INFO[#All],2,FALSE)</f>
        <v>30</v>
      </c>
      <c r="D197" s="113">
        <f>+SUMIFS(PROVEEDORES[Total],PROVEEDORES[PROVEEDOR],PROVEEDORES[[#This Row],[PROVEEDOR]],PROVEEDORES[FECHA DE PAGO],"")</f>
        <v>0</v>
      </c>
      <c r="E197" s="114"/>
      <c r="F197" s="112" t="str">
        <f>+VLOOKUP(PROVEEDORES[[#This Row],[PROVEEDOR]],
                       Terceros!$A:$F,
                       5,
                       FALSE)</f>
        <v/>
      </c>
      <c r="G197" s="115">
        <v>45649</v>
      </c>
      <c r="H197" s="116" t="s">
        <v>659</v>
      </c>
      <c r="I197" s="115">
        <v>45649</v>
      </c>
      <c r="J197" s="117" t="s">
        <v>835</v>
      </c>
      <c r="K197" s="117" t="s">
        <v>256</v>
      </c>
      <c r="L197" s="117" t="s">
        <v>234</v>
      </c>
      <c r="M197" s="118">
        <v>440000</v>
      </c>
      <c r="N197" s="119"/>
      <c r="O197" s="119">
        <v>0</v>
      </c>
      <c r="P197" s="120">
        <v>0</v>
      </c>
      <c r="Q197" s="119">
        <v>0</v>
      </c>
      <c r="R197" s="121">
        <v>440000</v>
      </c>
      <c r="S19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122">
        <f ca="1">+IF(PROVEEDORES[[#This Row],[FECHA DE PAGO]]=0,TODAY()-PROVEEDORES[[#This Row],[FECHA DE FACTURACIÓN]]-PROVEEDORES[[#This Row],[PLAZO Días]],0)</f>
        <v>0</v>
      </c>
      <c r="U197" s="122">
        <f>+VLOOKUP(PROVEEDORES[[#This Row],[PROVEEDOR]],Terceros!$A:$D,4,FALSE)</f>
        <v>0</v>
      </c>
      <c r="V197" s="122">
        <f>+YEAR(PROVEEDORES[[#This Row],[FECHA DE FACTURACIÓN]])</f>
        <v>2024</v>
      </c>
      <c r="W197" s="122">
        <f>+MATCH(PROVEEDORES[[#This Row],[año facturado]],Retenciones!$1:$1,0)</f>
        <v>3</v>
      </c>
      <c r="X197" s="123">
        <f>+VLOOKUP(PROVEEDORES[[#This Row],[ID RETENCION]],Retenciones!$A$1:$K$25,PROVEEDORES[[#This Row],[indicador de columna]],FALSE)</f>
        <v>0</v>
      </c>
      <c r="Y197" s="124">
        <f>+VLOOKUP(PROVEEDORES[[#This Row],[ID RETENCION]],Retenciones!$A$1:$K$25,2,FALSE)</f>
        <v>0</v>
      </c>
      <c r="Z197" s="125" t="b">
        <f>+OR(COUNTIF(PROVEEDORES[[#This Row],[PROVEEDOR]],"*"&amp;'Palabra que no opera y Listas d'!$A$2&amp;"*"))</f>
        <v>0</v>
      </c>
    </row>
    <row r="198" spans="1:26" ht="27.75" customHeight="1" x14ac:dyDescent="0.25">
      <c r="A198" s="112" t="str">
        <f>+IF(PROVEEDORES[[#This Row],[FECHA DE PAGO]]=PROVEEDORES[[#This Row],[FECHA DE FACTURACIÓN]],"DE CONTADO","CRÉDITO")</f>
        <v>CRÉDITO</v>
      </c>
      <c r="B198" s="112" t="b">
        <f>+IF((PROVEEDORES[[#This Row],[FECHA DE PAGO]]-PROVEEDORES[[#This Row],[FECHA DE FACTURACIÓN]])&gt;PROVEEDORES[[#This Row],[PLAZO Días]],"PAGO VENCIDO")</f>
        <v>0</v>
      </c>
      <c r="C198" s="112">
        <f>+VLOOKUP(PROVEEDORES[[#This Row],[PROVEEDOR]],TERCEROS_INFO[#All],2,FALSE)</f>
        <v>30</v>
      </c>
      <c r="D198" s="113">
        <f>+SUMIFS(PROVEEDORES[Total],PROVEEDORES[PROVEEDOR],PROVEEDORES[[#This Row],[PROVEEDOR]],PROVEEDORES[FECHA DE PAGO],"")</f>
        <v>0</v>
      </c>
      <c r="E198" s="114"/>
      <c r="F198" s="112">
        <f>+VLOOKUP(PROVEEDORES[[#This Row],[PROVEEDOR]],
                       Terceros!$A:$F,
                       5,
                       FALSE)</f>
        <v>0</v>
      </c>
      <c r="G198" s="115">
        <v>45650</v>
      </c>
      <c r="H198" s="116" t="s">
        <v>723</v>
      </c>
      <c r="I198" s="115">
        <v>45641</v>
      </c>
      <c r="J198" s="117" t="s">
        <v>836</v>
      </c>
      <c r="K198" s="117" t="s">
        <v>256</v>
      </c>
      <c r="L198" s="117" t="s">
        <v>234</v>
      </c>
      <c r="M198" s="118">
        <v>980000</v>
      </c>
      <c r="N198" s="119"/>
      <c r="O198" s="119">
        <v>0</v>
      </c>
      <c r="P198" s="120">
        <v>0</v>
      </c>
      <c r="Q198" s="119">
        <v>0</v>
      </c>
      <c r="R198" s="121">
        <v>980000</v>
      </c>
      <c r="S19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122">
        <f ca="1">+IF(PROVEEDORES[[#This Row],[FECHA DE PAGO]]=0,TODAY()-PROVEEDORES[[#This Row],[FECHA DE FACTURACIÓN]]-PROVEEDORES[[#This Row],[PLAZO Días]],0)</f>
        <v>0</v>
      </c>
      <c r="U198" s="122">
        <f>+VLOOKUP(PROVEEDORES[[#This Row],[PROVEEDOR]],Terceros!$A:$D,4,FALSE)</f>
        <v>0</v>
      </c>
      <c r="V198" s="122">
        <f>+YEAR(PROVEEDORES[[#This Row],[FECHA DE FACTURACIÓN]])</f>
        <v>2024</v>
      </c>
      <c r="W198" s="122">
        <f>+MATCH(PROVEEDORES[[#This Row],[año facturado]],Retenciones!$1:$1,0)</f>
        <v>3</v>
      </c>
      <c r="X198" s="123">
        <f>+VLOOKUP(PROVEEDORES[[#This Row],[ID RETENCION]],Retenciones!$A$1:$K$25,PROVEEDORES[[#This Row],[indicador de columna]],FALSE)</f>
        <v>0</v>
      </c>
      <c r="Y198" s="124">
        <f>+VLOOKUP(PROVEEDORES[[#This Row],[ID RETENCION]],Retenciones!$A$1:$K$25,2,FALSE)</f>
        <v>0</v>
      </c>
      <c r="Z198" s="125" t="b">
        <f>+OR(COUNTIF(PROVEEDORES[[#This Row],[PROVEEDOR]],"*"&amp;'Palabra que no opera y Listas d'!$A$2&amp;"*"))</f>
        <v>0</v>
      </c>
    </row>
    <row r="199" spans="1:26" ht="27.75" customHeight="1" x14ac:dyDescent="0.25">
      <c r="A199" s="112" t="str">
        <f>+IF(PROVEEDORES[[#This Row],[FECHA DE PAGO]]=PROVEEDORES[[#This Row],[FECHA DE FACTURACIÓN]],"DE CONTADO","CRÉDITO")</f>
        <v>DE CONTADO</v>
      </c>
      <c r="B199" s="112" t="b">
        <f>+IF((PROVEEDORES[[#This Row],[FECHA DE PAGO]]-PROVEEDORES[[#This Row],[FECHA DE FACTURACIÓN]])&gt;PROVEEDORES[[#This Row],[PLAZO Días]],"PAGO VENCIDO")</f>
        <v>0</v>
      </c>
      <c r="C199" s="112">
        <f>+VLOOKUP(PROVEEDORES[[#This Row],[PROVEEDOR]],TERCEROS_INFO[#All],2,FALSE)</f>
        <v>30</v>
      </c>
      <c r="D199" s="113">
        <f>+SUMIFS(PROVEEDORES[Total],PROVEEDORES[PROVEEDOR],PROVEEDORES[[#This Row],[PROVEEDOR]],PROVEEDORES[FECHA DE PAGO],"")</f>
        <v>0</v>
      </c>
      <c r="E199" s="114"/>
      <c r="F199" s="112" t="str">
        <f>+VLOOKUP(PROVEEDORES[[#This Row],[PROVEEDOR]],
                       Terceros!$A:$F,
                       5,
                       FALSE)</f>
        <v/>
      </c>
      <c r="G199" s="115">
        <v>45650</v>
      </c>
      <c r="H199" s="116" t="s">
        <v>662</v>
      </c>
      <c r="I199" s="115">
        <v>45650</v>
      </c>
      <c r="J199" s="117" t="s">
        <v>837</v>
      </c>
      <c r="K199" s="117" t="s">
        <v>256</v>
      </c>
      <c r="L199" s="117" t="s">
        <v>234</v>
      </c>
      <c r="M199" s="118">
        <v>351840</v>
      </c>
      <c r="N199" s="119"/>
      <c r="O199" s="119">
        <v>0</v>
      </c>
      <c r="P199" s="120">
        <v>0</v>
      </c>
      <c r="Q199" s="119">
        <v>0</v>
      </c>
      <c r="R199" s="121">
        <v>351840</v>
      </c>
      <c r="S19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122">
        <f ca="1">+IF(PROVEEDORES[[#This Row],[FECHA DE PAGO]]=0,TODAY()-PROVEEDORES[[#This Row],[FECHA DE FACTURACIÓN]]-PROVEEDORES[[#This Row],[PLAZO Días]],0)</f>
        <v>0</v>
      </c>
      <c r="U199" s="122">
        <f>+VLOOKUP(PROVEEDORES[[#This Row],[PROVEEDOR]],Terceros!$A:$D,4,FALSE)</f>
        <v>0</v>
      </c>
      <c r="V199" s="122">
        <f>+YEAR(PROVEEDORES[[#This Row],[FECHA DE FACTURACIÓN]])</f>
        <v>2024</v>
      </c>
      <c r="W199" s="122">
        <f>+MATCH(PROVEEDORES[[#This Row],[año facturado]],Retenciones!$1:$1,0)</f>
        <v>3</v>
      </c>
      <c r="X199" s="123">
        <f>+VLOOKUP(PROVEEDORES[[#This Row],[ID RETENCION]],Retenciones!$A$1:$K$25,PROVEEDORES[[#This Row],[indicador de columna]],FALSE)</f>
        <v>0</v>
      </c>
      <c r="Y199" s="124">
        <f>+VLOOKUP(PROVEEDORES[[#This Row],[ID RETENCION]],Retenciones!$A$1:$K$25,2,FALSE)</f>
        <v>0</v>
      </c>
      <c r="Z199" s="125" t="b">
        <f>+OR(COUNTIF(PROVEEDORES[[#This Row],[PROVEEDOR]],"*"&amp;'Palabra que no opera y Listas d'!$A$2&amp;"*"))</f>
        <v>0</v>
      </c>
    </row>
    <row r="200" spans="1:26" ht="27.75" customHeight="1" x14ac:dyDescent="0.25">
      <c r="A200" s="112" t="str">
        <f>+IF(PROVEEDORES[[#This Row],[FECHA DE PAGO]]=PROVEEDORES[[#This Row],[FECHA DE FACTURACIÓN]],"DE CONTADO","CRÉDITO")</f>
        <v>DE CONTADO</v>
      </c>
      <c r="B200" s="112" t="b">
        <f>+IF((PROVEEDORES[[#This Row],[FECHA DE PAGO]]-PROVEEDORES[[#This Row],[FECHA DE FACTURACIÓN]])&gt;PROVEEDORES[[#This Row],[PLAZO Días]],"PAGO VENCIDO")</f>
        <v>0</v>
      </c>
      <c r="C200" s="112">
        <f>+VLOOKUP(PROVEEDORES[[#This Row],[PROVEEDOR]],TERCEROS_INFO[#All],2,FALSE)</f>
        <v>0</v>
      </c>
      <c r="D200" s="113">
        <f>+SUMIFS(PROVEEDORES[Total],PROVEEDORES[PROVEEDOR],PROVEEDORES[[#This Row],[PROVEEDOR]],PROVEEDORES[FECHA DE PAGO],"")</f>
        <v>0</v>
      </c>
      <c r="E200" s="114"/>
      <c r="F200" s="112">
        <f>+VLOOKUP(PROVEEDORES[[#This Row],[PROVEEDOR]],
                       Terceros!$A:$F,
                       5,
                       FALSE)</f>
        <v>0</v>
      </c>
      <c r="G200" s="115">
        <v>45650</v>
      </c>
      <c r="H200" s="116" t="s">
        <v>595</v>
      </c>
      <c r="I200" s="115">
        <v>45650</v>
      </c>
      <c r="J200" s="117" t="s">
        <v>665</v>
      </c>
      <c r="K200" s="117" t="s">
        <v>210</v>
      </c>
      <c r="L200" s="117" t="s">
        <v>234</v>
      </c>
      <c r="M200" s="118">
        <v>500000</v>
      </c>
      <c r="N200" s="119"/>
      <c r="O200" s="119">
        <v>0</v>
      </c>
      <c r="P200" s="120">
        <v>0</v>
      </c>
      <c r="Q200" s="119">
        <v>0</v>
      </c>
      <c r="R200" s="121">
        <v>500000</v>
      </c>
      <c r="S20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122">
        <f ca="1">+IF(PROVEEDORES[[#This Row],[FECHA DE PAGO]]=0,TODAY()-PROVEEDORES[[#This Row],[FECHA DE FACTURACIÓN]]-PROVEEDORES[[#This Row],[PLAZO Días]],0)</f>
        <v>0</v>
      </c>
      <c r="U200" s="122">
        <f>+VLOOKUP(PROVEEDORES[[#This Row],[PROVEEDOR]],Terceros!$A:$D,4,FALSE)</f>
        <v>0</v>
      </c>
      <c r="V200" s="122">
        <f>+YEAR(PROVEEDORES[[#This Row],[FECHA DE FACTURACIÓN]])</f>
        <v>2024</v>
      </c>
      <c r="W200" s="122">
        <f>+MATCH(PROVEEDORES[[#This Row],[año facturado]],Retenciones!$1:$1,0)</f>
        <v>3</v>
      </c>
      <c r="X200" s="123">
        <f>+VLOOKUP(PROVEEDORES[[#This Row],[ID RETENCION]],Retenciones!$A$1:$K$25,PROVEEDORES[[#This Row],[indicador de columna]],FALSE)</f>
        <v>0</v>
      </c>
      <c r="Y200" s="124">
        <f>+VLOOKUP(PROVEEDORES[[#This Row],[ID RETENCION]],Retenciones!$A$1:$K$25,2,FALSE)</f>
        <v>0</v>
      </c>
      <c r="Z200" s="125" t="b">
        <f>+OR(COUNTIF(PROVEEDORES[[#This Row],[PROVEEDOR]],"*"&amp;'Palabra que no opera y Listas d'!$A$2&amp;"*"))</f>
        <v>1</v>
      </c>
    </row>
    <row r="201" spans="1:26" ht="27.75" customHeight="1" x14ac:dyDescent="0.25">
      <c r="A201" s="112" t="str">
        <f>+IF(PROVEEDORES[[#This Row],[FECHA DE PAGO]]=PROVEEDORES[[#This Row],[FECHA DE FACTURACIÓN]],"DE CONTADO","CRÉDITO")</f>
        <v>CRÉDITO</v>
      </c>
      <c r="B201" s="112" t="b">
        <f>+IF((PROVEEDORES[[#This Row],[FECHA DE PAGO]]-PROVEEDORES[[#This Row],[FECHA DE FACTURACIÓN]])&gt;PROVEEDORES[[#This Row],[PLAZO Días]],"PAGO VENCIDO")</f>
        <v>0</v>
      </c>
      <c r="C201" s="112">
        <f>+VLOOKUP(PROVEEDORES[[#This Row],[PROVEEDOR]],TERCEROS_INFO[#All],2,FALSE)</f>
        <v>30</v>
      </c>
      <c r="D201" s="113">
        <f>+SUMIFS(PROVEEDORES[Total],PROVEEDORES[PROVEEDOR],PROVEEDORES[[#This Row],[PROVEEDOR]],PROVEEDORES[FECHA DE PAGO],"")</f>
        <v>0</v>
      </c>
      <c r="E201" s="114"/>
      <c r="F201" s="112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01" s="115">
        <v>45652</v>
      </c>
      <c r="H201" s="116" t="s">
        <v>131</v>
      </c>
      <c r="I201" s="115">
        <v>45639</v>
      </c>
      <c r="J201" s="117" t="s">
        <v>838</v>
      </c>
      <c r="K201" s="117" t="s">
        <v>256</v>
      </c>
      <c r="L201" s="117" t="s">
        <v>260</v>
      </c>
      <c r="M201" s="118">
        <v>1843697</v>
      </c>
      <c r="N201" s="119">
        <v>350302.43</v>
      </c>
      <c r="O201" s="119">
        <v>73747.88</v>
      </c>
      <c r="P201" s="120">
        <v>2.5000000000000001E-2</v>
      </c>
      <c r="Q201" s="119">
        <v>46092.425000000003</v>
      </c>
      <c r="R201" s="121">
        <v>2074159.1250000002</v>
      </c>
      <c r="S20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122">
        <f ca="1">+IF(PROVEEDORES[[#This Row],[FECHA DE PAGO]]=0,TODAY()-PROVEEDORES[[#This Row],[FECHA DE FACTURACIÓN]]-PROVEEDORES[[#This Row],[PLAZO Días]],0)</f>
        <v>0</v>
      </c>
      <c r="U201" s="122" t="str">
        <f>+VLOOKUP(PROVEEDORES[[#This Row],[PROVEEDOR]],Terceros!$A:$D,4,FALSE)</f>
        <v>2,5% con base</v>
      </c>
      <c r="V201" s="122">
        <f>+YEAR(PROVEEDORES[[#This Row],[FECHA DE FACTURACIÓN]])</f>
        <v>2024</v>
      </c>
      <c r="W201" s="122">
        <f>+MATCH(PROVEEDORES[[#This Row],[año facturado]],Retenciones!$1:$1,0)</f>
        <v>3</v>
      </c>
      <c r="X201" s="123">
        <f>+VLOOKUP(PROVEEDORES[[#This Row],[ID RETENCION]],Retenciones!$A$1:$K$25,PROVEEDORES[[#This Row],[indicador de columna]],FALSE)</f>
        <v>1271000</v>
      </c>
      <c r="Y201" s="124">
        <f>+VLOOKUP(PROVEEDORES[[#This Row],[ID RETENCION]],Retenciones!$A$1:$K$25,2,FALSE)</f>
        <v>2.5000000000000001E-2</v>
      </c>
      <c r="Z201" s="125" t="b">
        <f>+OR(COUNTIF(PROVEEDORES[[#This Row],[PROVEEDOR]],"*"&amp;'Palabra que no opera y Listas d'!$A$2&amp;"*"))</f>
        <v>0</v>
      </c>
    </row>
    <row r="202" spans="1:26" ht="27.75" customHeight="1" x14ac:dyDescent="0.25">
      <c r="A202" s="112" t="str">
        <f>+IF(PROVEEDORES[[#This Row],[FECHA DE PAGO]]=PROVEEDORES[[#This Row],[FECHA DE FACTURACIÓN]],"DE CONTADO","CRÉDITO")</f>
        <v>CRÉDITO</v>
      </c>
      <c r="B202" s="112" t="b">
        <f>+IF((PROVEEDORES[[#This Row],[FECHA DE PAGO]]-PROVEEDORES[[#This Row],[FECHA DE FACTURACIÓN]])&gt;PROVEEDORES[[#This Row],[PLAZO Días]],"PAGO VENCIDO")</f>
        <v>0</v>
      </c>
      <c r="C202" s="112">
        <f>+VLOOKUP(PROVEEDORES[[#This Row],[PROVEEDOR]],TERCEROS_INFO[#All],2,FALSE)</f>
        <v>30</v>
      </c>
      <c r="D202" s="113">
        <f>+SUMIFS(PROVEEDORES[Total],PROVEEDORES[PROVEEDOR],PROVEEDORES[[#This Row],[PROVEEDOR]],PROVEEDORES[FECHA DE PAGO],"")</f>
        <v>0</v>
      </c>
      <c r="E202" s="114"/>
      <c r="F202" s="112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02" s="115">
        <v>45652</v>
      </c>
      <c r="H202" s="116" t="s">
        <v>108</v>
      </c>
      <c r="I202" s="115">
        <v>45643</v>
      </c>
      <c r="J202" s="117" t="s">
        <v>839</v>
      </c>
      <c r="K202" s="117" t="s">
        <v>256</v>
      </c>
      <c r="L202" s="117" t="s">
        <v>260</v>
      </c>
      <c r="M202" s="118">
        <v>3557106</v>
      </c>
      <c r="N202" s="119">
        <v>675850.14</v>
      </c>
      <c r="O202" s="119">
        <v>177855.30000000002</v>
      </c>
      <c r="P202" s="120">
        <v>2.5000000000000001E-2</v>
      </c>
      <c r="Q202" s="119">
        <v>88927.650000000009</v>
      </c>
      <c r="R202" s="121">
        <v>3966173.19</v>
      </c>
      <c r="S20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122">
        <f ca="1">+IF(PROVEEDORES[[#This Row],[FECHA DE PAGO]]=0,TODAY()-PROVEEDORES[[#This Row],[FECHA DE FACTURACIÓN]]-PROVEEDORES[[#This Row],[PLAZO Días]],0)</f>
        <v>0</v>
      </c>
      <c r="U202" s="122" t="str">
        <f>+VLOOKUP(PROVEEDORES[[#This Row],[PROVEEDOR]],Terceros!$A:$D,4,FALSE)</f>
        <v>2,5% con base</v>
      </c>
      <c r="V202" s="122">
        <f>+YEAR(PROVEEDORES[[#This Row],[FECHA DE FACTURACIÓN]])</f>
        <v>2024</v>
      </c>
      <c r="W202" s="122">
        <f>+MATCH(PROVEEDORES[[#This Row],[año facturado]],Retenciones!$1:$1,0)</f>
        <v>3</v>
      </c>
      <c r="X202" s="123">
        <f>+VLOOKUP(PROVEEDORES[[#This Row],[ID RETENCION]],Retenciones!$A$1:$K$25,PROVEEDORES[[#This Row],[indicador de columna]],FALSE)</f>
        <v>1271000</v>
      </c>
      <c r="Y202" s="124">
        <f>+VLOOKUP(PROVEEDORES[[#This Row],[ID RETENCION]],Retenciones!$A$1:$K$25,2,FALSE)</f>
        <v>2.5000000000000001E-2</v>
      </c>
      <c r="Z202" s="125" t="b">
        <f>+OR(COUNTIF(PROVEEDORES[[#This Row],[PROVEEDOR]],"*"&amp;'Palabra que no opera y Listas d'!$A$2&amp;"*"))</f>
        <v>0</v>
      </c>
    </row>
    <row r="203" spans="1:26" ht="27.75" customHeight="1" x14ac:dyDescent="0.25">
      <c r="A203" s="112" t="str">
        <f>+IF(PROVEEDORES[[#This Row],[FECHA DE PAGO]]=PROVEEDORES[[#This Row],[FECHA DE FACTURACIÓN]],"DE CONTADO","CRÉDITO")</f>
        <v>CRÉDITO</v>
      </c>
      <c r="B203" s="112" t="b">
        <f>+IF((PROVEEDORES[[#This Row],[FECHA DE PAGO]]-PROVEEDORES[[#This Row],[FECHA DE FACTURACIÓN]])&gt;PROVEEDORES[[#This Row],[PLAZO Días]],"PAGO VENCIDO")</f>
        <v>0</v>
      </c>
      <c r="C203" s="112">
        <f>+VLOOKUP(PROVEEDORES[[#This Row],[PROVEEDOR]],TERCEROS_INFO[#All],2,FALSE)</f>
        <v>60</v>
      </c>
      <c r="D203" s="113">
        <f>+SUMIFS(PROVEEDORES[Total],PROVEEDORES[PROVEEDOR],PROVEEDORES[[#This Row],[PROVEEDOR]],PROVEEDORES[FECHA DE PAGO],"")</f>
        <v>0</v>
      </c>
      <c r="E203" s="114"/>
      <c r="F203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3" s="115">
        <v>45653</v>
      </c>
      <c r="H203" s="116" t="s">
        <v>106</v>
      </c>
      <c r="I203" s="115">
        <v>45617</v>
      </c>
      <c r="J203" s="117">
        <v>2213</v>
      </c>
      <c r="K203" s="117" t="s">
        <v>210</v>
      </c>
      <c r="L203" s="117" t="s">
        <v>258</v>
      </c>
      <c r="M203" s="118">
        <v>353176</v>
      </c>
      <c r="N203" s="119"/>
      <c r="O203" s="119">
        <v>0</v>
      </c>
      <c r="P203" s="120">
        <v>0</v>
      </c>
      <c r="Q203" s="119">
        <v>0</v>
      </c>
      <c r="R203" s="121">
        <v>353176</v>
      </c>
      <c r="S20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122">
        <f ca="1">+IF(PROVEEDORES[[#This Row],[FECHA DE PAGO]]=0,TODAY()-PROVEEDORES[[#This Row],[FECHA DE FACTURACIÓN]]-PROVEEDORES[[#This Row],[PLAZO Días]],0)</f>
        <v>0</v>
      </c>
      <c r="U203" s="122">
        <f>+VLOOKUP(PROVEEDORES[[#This Row],[PROVEEDOR]],Terceros!$A:$D,4,FALSE)</f>
        <v>0</v>
      </c>
      <c r="V203" s="122">
        <f>+YEAR(PROVEEDORES[[#This Row],[FECHA DE FACTURACIÓN]])</f>
        <v>2024</v>
      </c>
      <c r="W203" s="122">
        <f>+MATCH(PROVEEDORES[[#This Row],[año facturado]],Retenciones!$1:$1,0)</f>
        <v>3</v>
      </c>
      <c r="X203" s="123">
        <f>+VLOOKUP(PROVEEDORES[[#This Row],[ID RETENCION]],Retenciones!$A$1:$K$25,PROVEEDORES[[#This Row],[indicador de columna]],FALSE)</f>
        <v>0</v>
      </c>
      <c r="Y203" s="124">
        <f>+VLOOKUP(PROVEEDORES[[#This Row],[ID RETENCION]],Retenciones!$A$1:$K$25,2,FALSE)</f>
        <v>0</v>
      </c>
      <c r="Z203" s="125" t="b">
        <f>+OR(COUNTIF(PROVEEDORES[[#This Row],[PROVEEDOR]],"*"&amp;'Palabra que no opera y Listas d'!$A$2&amp;"*"))</f>
        <v>0</v>
      </c>
    </row>
    <row r="204" spans="1:26" ht="27.75" customHeight="1" x14ac:dyDescent="0.25">
      <c r="A204" s="112" t="str">
        <f>+IF(PROVEEDORES[[#This Row],[FECHA DE PAGO]]=PROVEEDORES[[#This Row],[FECHA DE FACTURACIÓN]],"DE CONTADO","CRÉDITO")</f>
        <v>CRÉDITO</v>
      </c>
      <c r="B204" s="112" t="b">
        <f>+IF((PROVEEDORES[[#This Row],[FECHA DE PAGO]]-PROVEEDORES[[#This Row],[FECHA DE FACTURACIÓN]])&gt;PROVEEDORES[[#This Row],[PLAZO Días]],"PAGO VENCIDO")</f>
        <v>0</v>
      </c>
      <c r="C204" s="112">
        <f>+VLOOKUP(PROVEEDORES[[#This Row],[PROVEEDOR]],TERCEROS_INFO[#All],2,FALSE)</f>
        <v>30</v>
      </c>
      <c r="D204" s="113">
        <f>+SUMIFS(PROVEEDORES[Total],PROVEEDORES[PROVEEDOR],PROVEEDORES[[#This Row],[PROVEEDOR]],PROVEEDORES[FECHA DE PAGO],"")</f>
        <v>0</v>
      </c>
      <c r="E204" s="114"/>
      <c r="F204" s="112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04" s="115">
        <v>45653</v>
      </c>
      <c r="H204" s="116" t="s">
        <v>15</v>
      </c>
      <c r="I204" s="115">
        <v>45629</v>
      </c>
      <c r="J204" s="117" t="s">
        <v>840</v>
      </c>
      <c r="K204" s="117" t="s">
        <v>256</v>
      </c>
      <c r="L204" s="117" t="s">
        <v>260</v>
      </c>
      <c r="M204" s="118">
        <v>614454</v>
      </c>
      <c r="N204" s="119">
        <v>116746.26</v>
      </c>
      <c r="O204" s="119">
        <v>18433.62</v>
      </c>
      <c r="P204" s="120">
        <v>0</v>
      </c>
      <c r="Q204" s="119">
        <v>0</v>
      </c>
      <c r="R204" s="121">
        <v>712766.64</v>
      </c>
      <c r="S20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122">
        <f ca="1">+IF(PROVEEDORES[[#This Row],[FECHA DE PAGO]]=0,TODAY()-PROVEEDORES[[#This Row],[FECHA DE FACTURACIÓN]]-PROVEEDORES[[#This Row],[PLAZO Días]],0)</f>
        <v>0</v>
      </c>
      <c r="U204" s="122" t="str">
        <f>+VLOOKUP(PROVEEDORES[[#This Row],[PROVEEDOR]],Terceros!$A:$D,4,FALSE)</f>
        <v>2,5% con base</v>
      </c>
      <c r="V204" s="122">
        <f>+YEAR(PROVEEDORES[[#This Row],[FECHA DE FACTURACIÓN]])</f>
        <v>2024</v>
      </c>
      <c r="W204" s="122">
        <f>+MATCH(PROVEEDORES[[#This Row],[año facturado]],Retenciones!$1:$1,0)</f>
        <v>3</v>
      </c>
      <c r="X204" s="123">
        <f>+VLOOKUP(PROVEEDORES[[#This Row],[ID RETENCION]],Retenciones!$A$1:$K$25,PROVEEDORES[[#This Row],[indicador de columna]],FALSE)</f>
        <v>1271000</v>
      </c>
      <c r="Y204" s="124">
        <f>+VLOOKUP(PROVEEDORES[[#This Row],[ID RETENCION]],Retenciones!$A$1:$K$25,2,FALSE)</f>
        <v>2.5000000000000001E-2</v>
      </c>
      <c r="Z204" s="125" t="b">
        <f>+OR(COUNTIF(PROVEEDORES[[#This Row],[PROVEEDOR]],"*"&amp;'Palabra que no opera y Listas d'!$A$2&amp;"*"))</f>
        <v>0</v>
      </c>
    </row>
    <row r="205" spans="1:26" ht="27.75" customHeight="1" x14ac:dyDescent="0.25">
      <c r="A205" s="112" t="str">
        <f>+IF(PROVEEDORES[[#This Row],[FECHA DE PAGO]]=PROVEEDORES[[#This Row],[FECHA DE FACTURACIÓN]],"DE CONTADO","CRÉDITO")</f>
        <v>CRÉDITO</v>
      </c>
      <c r="B205" s="112" t="b">
        <f>+IF((PROVEEDORES[[#This Row],[FECHA DE PAGO]]-PROVEEDORES[[#This Row],[FECHA DE FACTURACIÓN]])&gt;PROVEEDORES[[#This Row],[PLAZO Días]],"PAGO VENCIDO")</f>
        <v>0</v>
      </c>
      <c r="C205" s="112">
        <f>+VLOOKUP(PROVEEDORES[[#This Row],[PROVEEDOR]],TERCEROS_INFO[#All],2,FALSE)</f>
        <v>60</v>
      </c>
      <c r="D205" s="113">
        <f>+SUMIFS(PROVEEDORES[Total],PROVEEDORES[PROVEEDOR],PROVEEDORES[[#This Row],[PROVEEDOR]],PROVEEDORES[FECHA DE PAGO],"")</f>
        <v>0</v>
      </c>
      <c r="E205" s="114"/>
      <c r="F205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5" s="115">
        <v>45653</v>
      </c>
      <c r="H205" s="116" t="s">
        <v>106</v>
      </c>
      <c r="I205" s="115">
        <v>45631</v>
      </c>
      <c r="J205" s="117">
        <v>2232</v>
      </c>
      <c r="K205" s="117" t="s">
        <v>210</v>
      </c>
      <c r="L205" s="117" t="s">
        <v>258</v>
      </c>
      <c r="M205" s="118">
        <v>441470</v>
      </c>
      <c r="N205" s="119"/>
      <c r="O205" s="119">
        <v>0</v>
      </c>
      <c r="P205" s="120">
        <v>0</v>
      </c>
      <c r="Q205" s="119">
        <v>0</v>
      </c>
      <c r="R205" s="121">
        <v>441470</v>
      </c>
      <c r="S20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122">
        <f ca="1">+IF(PROVEEDORES[[#This Row],[FECHA DE PAGO]]=0,TODAY()-PROVEEDORES[[#This Row],[FECHA DE FACTURACIÓN]]-PROVEEDORES[[#This Row],[PLAZO Días]],0)</f>
        <v>0</v>
      </c>
      <c r="U205" s="122">
        <f>+VLOOKUP(PROVEEDORES[[#This Row],[PROVEEDOR]],Terceros!$A:$D,4,FALSE)</f>
        <v>0</v>
      </c>
      <c r="V205" s="122">
        <f>+YEAR(PROVEEDORES[[#This Row],[FECHA DE FACTURACIÓN]])</f>
        <v>2024</v>
      </c>
      <c r="W205" s="122">
        <f>+MATCH(PROVEEDORES[[#This Row],[año facturado]],Retenciones!$1:$1,0)</f>
        <v>3</v>
      </c>
      <c r="X205" s="123">
        <f>+VLOOKUP(PROVEEDORES[[#This Row],[ID RETENCION]],Retenciones!$A$1:$K$25,PROVEEDORES[[#This Row],[indicador de columna]],FALSE)</f>
        <v>0</v>
      </c>
      <c r="Y205" s="124">
        <f>+VLOOKUP(PROVEEDORES[[#This Row],[ID RETENCION]],Retenciones!$A$1:$K$25,2,FALSE)</f>
        <v>0</v>
      </c>
      <c r="Z205" s="125" t="b">
        <f>+OR(COUNTIF(PROVEEDORES[[#This Row],[PROVEEDOR]],"*"&amp;'Palabra que no opera y Listas d'!$A$2&amp;"*"))</f>
        <v>0</v>
      </c>
    </row>
    <row r="206" spans="1:26" ht="27.75" customHeight="1" x14ac:dyDescent="0.25">
      <c r="A206" s="112" t="str">
        <f>+IF(PROVEEDORES[[#This Row],[FECHA DE PAGO]]=PROVEEDORES[[#This Row],[FECHA DE FACTURACIÓN]],"DE CONTADO","CRÉDITO")</f>
        <v>CRÉDITO</v>
      </c>
      <c r="B206" s="112" t="b">
        <f>+IF((PROVEEDORES[[#This Row],[FECHA DE PAGO]]-PROVEEDORES[[#This Row],[FECHA DE FACTURACIÓN]])&gt;PROVEEDORES[[#This Row],[PLAZO Días]],"PAGO VENCIDO")</f>
        <v>0</v>
      </c>
      <c r="C206" s="112">
        <f>+VLOOKUP(PROVEEDORES[[#This Row],[PROVEEDOR]],TERCEROS_INFO[#All],2,FALSE)</f>
        <v>60</v>
      </c>
      <c r="D206" s="113">
        <f>+SUMIFS(PROVEEDORES[Total],PROVEEDORES[PROVEEDOR],PROVEEDORES[[#This Row],[PROVEEDOR]],PROVEEDORES[FECHA DE PAGO],"")</f>
        <v>0</v>
      </c>
      <c r="E206" s="114"/>
      <c r="F206" s="112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6" s="115">
        <v>45653</v>
      </c>
      <c r="H206" s="116" t="s">
        <v>8</v>
      </c>
      <c r="I206" s="115">
        <v>45632</v>
      </c>
      <c r="J206" s="117" t="s">
        <v>841</v>
      </c>
      <c r="K206" s="117" t="s">
        <v>256</v>
      </c>
      <c r="L206" s="117" t="s">
        <v>260</v>
      </c>
      <c r="M206" s="118">
        <v>223048</v>
      </c>
      <c r="N206" s="119"/>
      <c r="O206" s="119">
        <v>0</v>
      </c>
      <c r="P206" s="120">
        <v>0</v>
      </c>
      <c r="Q206" s="119">
        <v>0</v>
      </c>
      <c r="R206" s="121">
        <v>223048</v>
      </c>
      <c r="S20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122">
        <f ca="1">+IF(PROVEEDORES[[#This Row],[FECHA DE PAGO]]=0,TODAY()-PROVEEDORES[[#This Row],[FECHA DE FACTURACIÓN]]-PROVEEDORES[[#This Row],[PLAZO Días]],0)</f>
        <v>0</v>
      </c>
      <c r="U206" s="122" t="str">
        <f>+VLOOKUP(PROVEEDORES[[#This Row],[PROVEEDOR]],Terceros!$A:$D,4,FALSE)</f>
        <v>2,5% con base</v>
      </c>
      <c r="V206" s="122">
        <f>+YEAR(PROVEEDORES[[#This Row],[FECHA DE FACTURACIÓN]])</f>
        <v>2024</v>
      </c>
      <c r="W206" s="122">
        <f>+MATCH(PROVEEDORES[[#This Row],[año facturado]],Retenciones!$1:$1,0)</f>
        <v>3</v>
      </c>
      <c r="X206" s="123">
        <f>+VLOOKUP(PROVEEDORES[[#This Row],[ID RETENCION]],Retenciones!$A$1:$K$25,PROVEEDORES[[#This Row],[indicador de columna]],FALSE)</f>
        <v>1271000</v>
      </c>
      <c r="Y206" s="124">
        <f>+VLOOKUP(PROVEEDORES[[#This Row],[ID RETENCION]],Retenciones!$A$1:$K$25,2,FALSE)</f>
        <v>2.5000000000000001E-2</v>
      </c>
      <c r="Z206" s="125" t="b">
        <f>+OR(COUNTIF(PROVEEDORES[[#This Row],[PROVEEDOR]],"*"&amp;'Palabra que no opera y Listas d'!$A$2&amp;"*"))</f>
        <v>0</v>
      </c>
    </row>
    <row r="207" spans="1:26" ht="27.75" customHeight="1" x14ac:dyDescent="0.25">
      <c r="A207" s="112" t="str">
        <f>+IF(PROVEEDORES[[#This Row],[FECHA DE PAGO]]=PROVEEDORES[[#This Row],[FECHA DE FACTURACIÓN]],"DE CONTADO","CRÉDITO")</f>
        <v>CRÉDITO</v>
      </c>
      <c r="B207" s="112" t="b">
        <f>+IF((PROVEEDORES[[#This Row],[FECHA DE PAGO]]-PROVEEDORES[[#This Row],[FECHA DE FACTURACIÓN]])&gt;PROVEEDORES[[#This Row],[PLAZO Días]],"PAGO VENCIDO")</f>
        <v>0</v>
      </c>
      <c r="C207" s="112">
        <f>+VLOOKUP(PROVEEDORES[[#This Row],[PROVEEDOR]],TERCEROS_INFO[#All],2,FALSE)</f>
        <v>60</v>
      </c>
      <c r="D207" s="113">
        <f>+SUMIFS(PROVEEDORES[Total],PROVEEDORES[PROVEEDOR],PROVEEDORES[[#This Row],[PROVEEDOR]],PROVEEDORES[FECHA DE PAGO],"")</f>
        <v>0</v>
      </c>
      <c r="E207" s="114"/>
      <c r="F207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7" s="115">
        <v>45653</v>
      </c>
      <c r="H207" s="116" t="s">
        <v>106</v>
      </c>
      <c r="I207" s="115">
        <v>45637</v>
      </c>
      <c r="J207" s="117">
        <v>2237</v>
      </c>
      <c r="K207" s="117" t="s">
        <v>210</v>
      </c>
      <c r="L207" s="117" t="s">
        <v>258</v>
      </c>
      <c r="M207" s="118">
        <v>635717</v>
      </c>
      <c r="N207" s="119"/>
      <c r="O207" s="119">
        <v>0</v>
      </c>
      <c r="P207" s="120">
        <v>0</v>
      </c>
      <c r="Q207" s="119">
        <v>0</v>
      </c>
      <c r="R207" s="121">
        <v>635717</v>
      </c>
      <c r="S20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122">
        <f ca="1">+IF(PROVEEDORES[[#This Row],[FECHA DE PAGO]]=0,TODAY()-PROVEEDORES[[#This Row],[FECHA DE FACTURACIÓN]]-PROVEEDORES[[#This Row],[PLAZO Días]],0)</f>
        <v>0</v>
      </c>
      <c r="U207" s="122">
        <f>+VLOOKUP(PROVEEDORES[[#This Row],[PROVEEDOR]],Terceros!$A:$D,4,FALSE)</f>
        <v>0</v>
      </c>
      <c r="V207" s="122">
        <f>+YEAR(PROVEEDORES[[#This Row],[FECHA DE FACTURACIÓN]])</f>
        <v>2024</v>
      </c>
      <c r="W207" s="122">
        <f>+MATCH(PROVEEDORES[[#This Row],[año facturado]],Retenciones!$1:$1,0)</f>
        <v>3</v>
      </c>
      <c r="X207" s="123">
        <f>+VLOOKUP(PROVEEDORES[[#This Row],[ID RETENCION]],Retenciones!$A$1:$K$25,PROVEEDORES[[#This Row],[indicador de columna]],FALSE)</f>
        <v>0</v>
      </c>
      <c r="Y207" s="124">
        <f>+VLOOKUP(PROVEEDORES[[#This Row],[ID RETENCION]],Retenciones!$A$1:$K$25,2,FALSE)</f>
        <v>0</v>
      </c>
      <c r="Z207" s="125" t="b">
        <f>+OR(COUNTIF(PROVEEDORES[[#This Row],[PROVEEDOR]],"*"&amp;'Palabra que no opera y Listas d'!$A$2&amp;"*"))</f>
        <v>0</v>
      </c>
    </row>
    <row r="208" spans="1:26" ht="27.75" customHeight="1" x14ac:dyDescent="0.25">
      <c r="A208" s="112" t="str">
        <f>+IF(PROVEEDORES[[#This Row],[FECHA DE PAGO]]=PROVEEDORES[[#This Row],[FECHA DE FACTURACIÓN]],"DE CONTADO","CRÉDITO")</f>
        <v>CRÉDITO</v>
      </c>
      <c r="B208" s="112" t="b">
        <f>+IF((PROVEEDORES[[#This Row],[FECHA DE PAGO]]-PROVEEDORES[[#This Row],[FECHA DE FACTURACIÓN]])&gt;PROVEEDORES[[#This Row],[PLAZO Días]],"PAGO VENCIDO")</f>
        <v>0</v>
      </c>
      <c r="C208" s="112">
        <f>+VLOOKUP(PROVEEDORES[[#This Row],[PROVEEDOR]],TERCEROS_INFO[#All],2,FALSE)</f>
        <v>60</v>
      </c>
      <c r="D208" s="113">
        <f>+SUMIFS(PROVEEDORES[Total],PROVEEDORES[PROVEEDOR],PROVEEDORES[[#This Row],[PROVEEDOR]],PROVEEDORES[FECHA DE PAGO],"")</f>
        <v>0</v>
      </c>
      <c r="E208" s="114"/>
      <c r="F208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8" s="115">
        <v>45653</v>
      </c>
      <c r="H208" s="116" t="s">
        <v>106</v>
      </c>
      <c r="I208" s="115">
        <v>45646</v>
      </c>
      <c r="J208" s="117">
        <v>2244</v>
      </c>
      <c r="K208" s="117" t="s">
        <v>210</v>
      </c>
      <c r="L208" s="117" t="s">
        <v>258</v>
      </c>
      <c r="M208" s="118">
        <v>3818716</v>
      </c>
      <c r="N208" s="119"/>
      <c r="O208" s="119">
        <v>0</v>
      </c>
      <c r="P208" s="120">
        <v>0</v>
      </c>
      <c r="Q208" s="119">
        <v>0</v>
      </c>
      <c r="R208" s="121">
        <v>3818716</v>
      </c>
      <c r="S20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122">
        <f ca="1">+IF(PROVEEDORES[[#This Row],[FECHA DE PAGO]]=0,TODAY()-PROVEEDORES[[#This Row],[FECHA DE FACTURACIÓN]]-PROVEEDORES[[#This Row],[PLAZO Días]],0)</f>
        <v>0</v>
      </c>
      <c r="U208" s="122">
        <f>+VLOOKUP(PROVEEDORES[[#This Row],[PROVEEDOR]],Terceros!$A:$D,4,FALSE)</f>
        <v>0</v>
      </c>
      <c r="V208" s="122">
        <f>+YEAR(PROVEEDORES[[#This Row],[FECHA DE FACTURACIÓN]])</f>
        <v>2024</v>
      </c>
      <c r="W208" s="122">
        <f>+MATCH(PROVEEDORES[[#This Row],[año facturado]],Retenciones!$1:$1,0)</f>
        <v>3</v>
      </c>
      <c r="X208" s="123">
        <f>+VLOOKUP(PROVEEDORES[[#This Row],[ID RETENCION]],Retenciones!$A$1:$K$25,PROVEEDORES[[#This Row],[indicador de columna]],FALSE)</f>
        <v>0</v>
      </c>
      <c r="Y208" s="124">
        <f>+VLOOKUP(PROVEEDORES[[#This Row],[ID RETENCION]],Retenciones!$A$1:$K$25,2,FALSE)</f>
        <v>0</v>
      </c>
      <c r="Z208" s="125" t="b">
        <f>+OR(COUNTIF(PROVEEDORES[[#This Row],[PROVEEDOR]],"*"&amp;'Palabra que no opera y Listas d'!$A$2&amp;"*"))</f>
        <v>0</v>
      </c>
    </row>
    <row r="209" spans="1:26" ht="27.75" customHeight="1" x14ac:dyDescent="0.25">
      <c r="A209" s="112" t="str">
        <f>+IF(PROVEEDORES[[#This Row],[FECHA DE PAGO]]=PROVEEDORES[[#This Row],[FECHA DE FACTURACIÓN]],"DE CONTADO","CRÉDITO")</f>
        <v>CRÉDITO</v>
      </c>
      <c r="B209" s="112" t="b">
        <f>+IF((PROVEEDORES[[#This Row],[FECHA DE PAGO]]-PROVEEDORES[[#This Row],[FECHA DE FACTURACIÓN]])&gt;PROVEEDORES[[#This Row],[PLAZO Días]],"PAGO VENCIDO")</f>
        <v>0</v>
      </c>
      <c r="C209" s="112">
        <f>+VLOOKUP(PROVEEDORES[[#This Row],[PROVEEDOR]],TERCEROS_INFO[#All],2,FALSE)</f>
        <v>60</v>
      </c>
      <c r="D209" s="113">
        <f>+SUMIFS(PROVEEDORES[Total],PROVEEDORES[PROVEEDOR],PROVEEDORES[[#This Row],[PROVEEDOR]],PROVEEDORES[FECHA DE PAGO],"")</f>
        <v>0</v>
      </c>
      <c r="E209" s="114"/>
      <c r="F209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09" s="115">
        <v>45653</v>
      </c>
      <c r="H209" s="116" t="s">
        <v>106</v>
      </c>
      <c r="I209" s="115">
        <v>45646</v>
      </c>
      <c r="J209" s="117">
        <v>2245</v>
      </c>
      <c r="K209" s="117" t="s">
        <v>210</v>
      </c>
      <c r="L209" s="117" t="s">
        <v>258</v>
      </c>
      <c r="M209" s="118">
        <v>13271030</v>
      </c>
      <c r="N209" s="119"/>
      <c r="O209" s="119">
        <v>0</v>
      </c>
      <c r="P209" s="120">
        <v>0</v>
      </c>
      <c r="Q209" s="119">
        <v>0</v>
      </c>
      <c r="R209" s="121">
        <v>13271030</v>
      </c>
      <c r="S20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122">
        <f ca="1">+IF(PROVEEDORES[[#This Row],[FECHA DE PAGO]]=0,TODAY()-PROVEEDORES[[#This Row],[FECHA DE FACTURACIÓN]]-PROVEEDORES[[#This Row],[PLAZO Días]],0)</f>
        <v>0</v>
      </c>
      <c r="U209" s="122">
        <f>+VLOOKUP(PROVEEDORES[[#This Row],[PROVEEDOR]],Terceros!$A:$D,4,FALSE)</f>
        <v>0</v>
      </c>
      <c r="V209" s="122">
        <f>+YEAR(PROVEEDORES[[#This Row],[FECHA DE FACTURACIÓN]])</f>
        <v>2024</v>
      </c>
      <c r="W209" s="122">
        <f>+MATCH(PROVEEDORES[[#This Row],[año facturado]],Retenciones!$1:$1,0)</f>
        <v>3</v>
      </c>
      <c r="X209" s="123">
        <f>+VLOOKUP(PROVEEDORES[[#This Row],[ID RETENCION]],Retenciones!$A$1:$K$25,PROVEEDORES[[#This Row],[indicador de columna]],FALSE)</f>
        <v>0</v>
      </c>
      <c r="Y209" s="124">
        <f>+VLOOKUP(PROVEEDORES[[#This Row],[ID RETENCION]],Retenciones!$A$1:$K$25,2,FALSE)</f>
        <v>0</v>
      </c>
      <c r="Z209" s="125" t="b">
        <f>+OR(COUNTIF(PROVEEDORES[[#This Row],[PROVEEDOR]],"*"&amp;'Palabra que no opera y Listas d'!$A$2&amp;"*"))</f>
        <v>0</v>
      </c>
    </row>
    <row r="210" spans="1:26" ht="27.75" customHeight="1" x14ac:dyDescent="0.25">
      <c r="A210" s="112" t="str">
        <f>+IF(PROVEEDORES[[#This Row],[FECHA DE PAGO]]=PROVEEDORES[[#This Row],[FECHA DE FACTURACIÓN]],"DE CONTADO","CRÉDITO")</f>
        <v>CRÉDITO</v>
      </c>
      <c r="B210" s="112" t="b">
        <f>+IF((PROVEEDORES[[#This Row],[FECHA DE PAGO]]-PROVEEDORES[[#This Row],[FECHA DE FACTURACIÓN]])&gt;PROVEEDORES[[#This Row],[PLAZO Días]],"PAGO VENCIDO")</f>
        <v>0</v>
      </c>
      <c r="C210" s="112">
        <f>+VLOOKUP(PROVEEDORES[[#This Row],[PROVEEDOR]],TERCEROS_INFO[#All],2,FALSE)</f>
        <v>60</v>
      </c>
      <c r="D210" s="113">
        <f>+SUMIFS(PROVEEDORES[Total],PROVEEDORES[PROVEEDOR],PROVEEDORES[[#This Row],[PROVEEDOR]],PROVEEDORES[FECHA DE PAGO],"")</f>
        <v>0</v>
      </c>
      <c r="E210" s="114"/>
      <c r="F210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0" s="115">
        <v>45653</v>
      </c>
      <c r="H210" s="116" t="s">
        <v>106</v>
      </c>
      <c r="I210" s="115">
        <v>45652</v>
      </c>
      <c r="J210" s="117">
        <v>2249</v>
      </c>
      <c r="K210" s="117" t="s">
        <v>210</v>
      </c>
      <c r="L210" s="117" t="s">
        <v>258</v>
      </c>
      <c r="M210" s="118">
        <v>353176</v>
      </c>
      <c r="N210" s="119"/>
      <c r="O210" s="119">
        <v>0</v>
      </c>
      <c r="P210" s="120">
        <v>0</v>
      </c>
      <c r="Q210" s="119">
        <v>0</v>
      </c>
      <c r="R210" s="121">
        <v>353176</v>
      </c>
      <c r="S21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122">
        <f ca="1">+IF(PROVEEDORES[[#This Row],[FECHA DE PAGO]]=0,TODAY()-PROVEEDORES[[#This Row],[FECHA DE FACTURACIÓN]]-PROVEEDORES[[#This Row],[PLAZO Días]],0)</f>
        <v>0</v>
      </c>
      <c r="U210" s="122">
        <f>+VLOOKUP(PROVEEDORES[[#This Row],[PROVEEDOR]],Terceros!$A:$D,4,FALSE)</f>
        <v>0</v>
      </c>
      <c r="V210" s="122">
        <f>+YEAR(PROVEEDORES[[#This Row],[FECHA DE FACTURACIÓN]])</f>
        <v>2024</v>
      </c>
      <c r="W210" s="122">
        <f>+MATCH(PROVEEDORES[[#This Row],[año facturado]],Retenciones!$1:$1,0)</f>
        <v>3</v>
      </c>
      <c r="X210" s="123">
        <f>+VLOOKUP(PROVEEDORES[[#This Row],[ID RETENCION]],Retenciones!$A$1:$K$25,PROVEEDORES[[#This Row],[indicador de columna]],FALSE)</f>
        <v>0</v>
      </c>
      <c r="Y210" s="124">
        <f>+VLOOKUP(PROVEEDORES[[#This Row],[ID RETENCION]],Retenciones!$A$1:$K$25,2,FALSE)</f>
        <v>0</v>
      </c>
      <c r="Z210" s="125" t="b">
        <f>+OR(COUNTIF(PROVEEDORES[[#This Row],[PROVEEDOR]],"*"&amp;'Palabra que no opera y Listas d'!$A$2&amp;"*"))</f>
        <v>0</v>
      </c>
    </row>
    <row r="211" spans="1:26" ht="27.75" customHeight="1" x14ac:dyDescent="0.25">
      <c r="A211" s="112" t="str">
        <f>+IF(PROVEEDORES[[#This Row],[FECHA DE PAGO]]=PROVEEDORES[[#This Row],[FECHA DE FACTURACIÓN]],"DE CONTADO","CRÉDITO")</f>
        <v>CRÉDITO</v>
      </c>
      <c r="B211" s="112" t="b">
        <f>+IF((PROVEEDORES[[#This Row],[FECHA DE PAGO]]-PROVEEDORES[[#This Row],[FECHA DE FACTURACIÓN]])&gt;PROVEEDORES[[#This Row],[PLAZO Días]],"PAGO VENCIDO")</f>
        <v>0</v>
      </c>
      <c r="C211" s="112">
        <f>+VLOOKUP(PROVEEDORES[[#This Row],[PROVEEDOR]],TERCEROS_INFO[#All],2,FALSE)</f>
        <v>60</v>
      </c>
      <c r="D211" s="113">
        <f>+SUMIFS(PROVEEDORES[Total],PROVEEDORES[PROVEEDOR],PROVEEDORES[[#This Row],[PROVEEDOR]],PROVEEDORES[FECHA DE PAGO],"")</f>
        <v>0</v>
      </c>
      <c r="E211" s="114"/>
      <c r="F211" s="112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11" s="115">
        <v>45653</v>
      </c>
      <c r="H211" s="116" t="s">
        <v>106</v>
      </c>
      <c r="I211" s="115">
        <v>45652</v>
      </c>
      <c r="J211" s="117">
        <v>2250</v>
      </c>
      <c r="K211" s="117" t="s">
        <v>210</v>
      </c>
      <c r="L211" s="117" t="s">
        <v>258</v>
      </c>
      <c r="M211" s="118">
        <v>176586</v>
      </c>
      <c r="N211" s="119"/>
      <c r="O211" s="119">
        <v>0</v>
      </c>
      <c r="P211" s="120">
        <v>0</v>
      </c>
      <c r="Q211" s="119">
        <v>0</v>
      </c>
      <c r="R211" s="121">
        <v>176586</v>
      </c>
      <c r="S21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122">
        <f ca="1">+IF(PROVEEDORES[[#This Row],[FECHA DE PAGO]]=0,TODAY()-PROVEEDORES[[#This Row],[FECHA DE FACTURACIÓN]]-PROVEEDORES[[#This Row],[PLAZO Días]],0)</f>
        <v>0</v>
      </c>
      <c r="U211" s="122">
        <f>+VLOOKUP(PROVEEDORES[[#This Row],[PROVEEDOR]],Terceros!$A:$D,4,FALSE)</f>
        <v>0</v>
      </c>
      <c r="V211" s="122">
        <f>+YEAR(PROVEEDORES[[#This Row],[FECHA DE FACTURACIÓN]])</f>
        <v>2024</v>
      </c>
      <c r="W211" s="122">
        <f>+MATCH(PROVEEDORES[[#This Row],[año facturado]],Retenciones!$1:$1,0)</f>
        <v>3</v>
      </c>
      <c r="X211" s="123">
        <f>+VLOOKUP(PROVEEDORES[[#This Row],[ID RETENCION]],Retenciones!$A$1:$K$25,PROVEEDORES[[#This Row],[indicador de columna]],FALSE)</f>
        <v>0</v>
      </c>
      <c r="Y211" s="124">
        <f>+VLOOKUP(PROVEEDORES[[#This Row],[ID RETENCION]],Retenciones!$A$1:$K$25,2,FALSE)</f>
        <v>0</v>
      </c>
      <c r="Z211" s="125" t="b">
        <f>+OR(COUNTIF(PROVEEDORES[[#This Row],[PROVEEDOR]],"*"&amp;'Palabra que no opera y Listas d'!$A$2&amp;"*"))</f>
        <v>0</v>
      </c>
    </row>
    <row r="212" spans="1:26" ht="27.75" customHeight="1" x14ac:dyDescent="0.25">
      <c r="A212" s="112" t="str">
        <f>+IF(PROVEEDORES[[#This Row],[FECHA DE PAGO]]=PROVEEDORES[[#This Row],[FECHA DE FACTURACIÓN]],"DE CONTADO","CRÉDITO")</f>
        <v>DE CONTADO</v>
      </c>
      <c r="B212" s="112" t="b">
        <f>+IF((PROVEEDORES[[#This Row],[FECHA DE PAGO]]-PROVEEDORES[[#This Row],[FECHA DE FACTURACIÓN]])&gt;PROVEEDORES[[#This Row],[PLAZO Días]],"PAGO VENCIDO")</f>
        <v>0</v>
      </c>
      <c r="C212" s="112">
        <f>+VLOOKUP(PROVEEDORES[[#This Row],[PROVEEDOR]],TERCEROS_INFO[#All],2,FALSE)</f>
        <v>0</v>
      </c>
      <c r="D212" s="113">
        <f>+SUMIFS(PROVEEDORES[Total],PROVEEDORES[PROVEEDOR],PROVEEDORES[[#This Row],[PROVEEDOR]],PROVEEDORES[FECHA DE PAGO],"")</f>
        <v>0</v>
      </c>
      <c r="E212" s="114"/>
      <c r="F212" s="112">
        <f>+VLOOKUP(PROVEEDORES[[#This Row],[PROVEEDOR]],
                       Terceros!$A:$F,
                       5,
                       FALSE)</f>
        <v>0</v>
      </c>
      <c r="G212" s="115">
        <v>45653</v>
      </c>
      <c r="H212" s="116" t="s">
        <v>595</v>
      </c>
      <c r="I212" s="115">
        <v>45653</v>
      </c>
      <c r="J212" s="117" t="s">
        <v>665</v>
      </c>
      <c r="K212" s="117" t="s">
        <v>210</v>
      </c>
      <c r="L212" s="117" t="s">
        <v>234</v>
      </c>
      <c r="M212" s="118">
        <v>500000</v>
      </c>
      <c r="N212" s="119"/>
      <c r="O212" s="119">
        <v>0</v>
      </c>
      <c r="P212" s="120">
        <v>0</v>
      </c>
      <c r="Q212" s="119">
        <v>0</v>
      </c>
      <c r="R212" s="121">
        <v>500000</v>
      </c>
      <c r="S21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122">
        <f ca="1">+IF(PROVEEDORES[[#This Row],[FECHA DE PAGO]]=0,TODAY()-PROVEEDORES[[#This Row],[FECHA DE FACTURACIÓN]]-PROVEEDORES[[#This Row],[PLAZO Días]],0)</f>
        <v>0</v>
      </c>
      <c r="U212" s="122">
        <f>+VLOOKUP(PROVEEDORES[[#This Row],[PROVEEDOR]],Terceros!$A:$D,4,FALSE)</f>
        <v>0</v>
      </c>
      <c r="V212" s="122">
        <f>+YEAR(PROVEEDORES[[#This Row],[FECHA DE FACTURACIÓN]])</f>
        <v>2024</v>
      </c>
      <c r="W212" s="122">
        <f>+MATCH(PROVEEDORES[[#This Row],[año facturado]],Retenciones!$1:$1,0)</f>
        <v>3</v>
      </c>
      <c r="X212" s="123">
        <f>+VLOOKUP(PROVEEDORES[[#This Row],[ID RETENCION]],Retenciones!$A$1:$K$25,PROVEEDORES[[#This Row],[indicador de columna]],FALSE)</f>
        <v>0</v>
      </c>
      <c r="Y212" s="124">
        <f>+VLOOKUP(PROVEEDORES[[#This Row],[ID RETENCION]],Retenciones!$A$1:$K$25,2,FALSE)</f>
        <v>0</v>
      </c>
      <c r="Z212" s="125" t="b">
        <f>+OR(COUNTIF(PROVEEDORES[[#This Row],[PROVEEDOR]],"*"&amp;'Palabra que no opera y Listas d'!$A$2&amp;"*"))</f>
        <v>1</v>
      </c>
    </row>
    <row r="213" spans="1:26" ht="27.75" customHeight="1" x14ac:dyDescent="0.25">
      <c r="A213" s="112" t="str">
        <f>+IF(PROVEEDORES[[#This Row],[FECHA DE PAGO]]=PROVEEDORES[[#This Row],[FECHA DE FACTURACIÓN]],"DE CONTADO","CRÉDITO")</f>
        <v>DE CONTADO</v>
      </c>
      <c r="B213" s="112" t="b">
        <f>+IF((PROVEEDORES[[#This Row],[FECHA DE PAGO]]-PROVEEDORES[[#This Row],[FECHA DE FACTURACIÓN]])&gt;PROVEEDORES[[#This Row],[PLAZO Días]],"PAGO VENCIDO")</f>
        <v>0</v>
      </c>
      <c r="C213" s="112">
        <f>+VLOOKUP(PROVEEDORES[[#This Row],[PROVEEDOR]],TERCEROS_INFO[#All],2,FALSE)</f>
        <v>0</v>
      </c>
      <c r="D213" s="113">
        <f>+SUMIFS(PROVEEDORES[Total],PROVEEDORES[PROVEEDOR],PROVEEDORES[[#This Row],[PROVEEDOR]],PROVEEDORES[FECHA DE PAGO],"")</f>
        <v>0</v>
      </c>
      <c r="E213" s="114"/>
      <c r="F213" s="112">
        <f>+VLOOKUP(PROVEEDORES[[#This Row],[PROVEEDOR]],
                       Terceros!$A:$F,
                       5,
                       FALSE)</f>
        <v>0</v>
      </c>
      <c r="G213" s="115">
        <v>45654</v>
      </c>
      <c r="H213" s="116" t="s">
        <v>357</v>
      </c>
      <c r="I213" s="115">
        <v>45654</v>
      </c>
      <c r="J213" s="117" t="s">
        <v>842</v>
      </c>
      <c r="K213" s="117" t="s">
        <v>256</v>
      </c>
      <c r="L213" s="117" t="s">
        <v>234</v>
      </c>
      <c r="M213" s="118">
        <v>480000</v>
      </c>
      <c r="N213" s="119"/>
      <c r="O213" s="119">
        <v>0</v>
      </c>
      <c r="P213" s="120">
        <v>0</v>
      </c>
      <c r="Q213" s="119">
        <v>0</v>
      </c>
      <c r="R213" s="121">
        <v>480000</v>
      </c>
      <c r="S21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122">
        <f ca="1">+IF(PROVEEDORES[[#This Row],[FECHA DE PAGO]]=0,TODAY()-PROVEEDORES[[#This Row],[FECHA DE FACTURACIÓN]]-PROVEEDORES[[#This Row],[PLAZO Días]],0)</f>
        <v>0</v>
      </c>
      <c r="U213" s="122">
        <f>+VLOOKUP(PROVEEDORES[[#This Row],[PROVEEDOR]],Terceros!$A:$D,4,FALSE)</f>
        <v>0</v>
      </c>
      <c r="V213" s="122">
        <f>+YEAR(PROVEEDORES[[#This Row],[FECHA DE FACTURACIÓN]])</f>
        <v>2024</v>
      </c>
      <c r="W213" s="122">
        <f>+MATCH(PROVEEDORES[[#This Row],[año facturado]],Retenciones!$1:$1,0)</f>
        <v>3</v>
      </c>
      <c r="X213" s="123">
        <f>+VLOOKUP(PROVEEDORES[[#This Row],[ID RETENCION]],Retenciones!$A$1:$K$25,PROVEEDORES[[#This Row],[indicador de columna]],FALSE)</f>
        <v>0</v>
      </c>
      <c r="Y213" s="124">
        <f>+VLOOKUP(PROVEEDORES[[#This Row],[ID RETENCION]],Retenciones!$A$1:$K$25,2,FALSE)</f>
        <v>0</v>
      </c>
      <c r="Z213" s="125" t="b">
        <f>+OR(COUNTIF(PROVEEDORES[[#This Row],[PROVEEDOR]],"*"&amp;'Palabra que no opera y Listas d'!$A$2&amp;"*"))</f>
        <v>0</v>
      </c>
    </row>
    <row r="214" spans="1:26" ht="27.75" customHeight="1" x14ac:dyDescent="0.25">
      <c r="A214" s="112" t="str">
        <f>+IF(PROVEEDORES[[#This Row],[FECHA DE PAGO]]=PROVEEDORES[[#This Row],[FECHA DE FACTURACIÓN]],"DE CONTADO","CRÉDITO")</f>
        <v>CRÉDITO</v>
      </c>
      <c r="B214" s="112" t="b">
        <f>+IF((PROVEEDORES[[#This Row],[FECHA DE PAGO]]-PROVEEDORES[[#This Row],[FECHA DE FACTURACIÓN]])&gt;PROVEEDORES[[#This Row],[PLAZO Días]],"PAGO VENCIDO")</f>
        <v>0</v>
      </c>
      <c r="C214" s="112">
        <f>+VLOOKUP(PROVEEDORES[[#This Row],[PROVEEDOR]],TERCEROS_INFO[#All],2,FALSE)</f>
        <v>30</v>
      </c>
      <c r="D214" s="113">
        <f>+SUMIFS(PROVEEDORES[Total],PROVEEDORES[PROVEEDOR],PROVEEDORES[[#This Row],[PROVEEDOR]],PROVEEDORES[FECHA DE PAGO],"")</f>
        <v>1330000</v>
      </c>
      <c r="E214" s="114"/>
      <c r="F214" s="112">
        <f>+VLOOKUP(PROVEEDORES[[#This Row],[PROVEEDOR]],
                       Terceros!$A:$F,
                       5,
                       FALSE)</f>
        <v>0</v>
      </c>
      <c r="G214" s="115">
        <v>45656</v>
      </c>
      <c r="H214" s="116" t="s">
        <v>654</v>
      </c>
      <c r="I214" s="115">
        <v>45628</v>
      </c>
      <c r="J214" s="117" t="s">
        <v>843</v>
      </c>
      <c r="K214" s="117" t="s">
        <v>256</v>
      </c>
      <c r="L214" s="117" t="s">
        <v>234</v>
      </c>
      <c r="M214" s="118">
        <v>3105000</v>
      </c>
      <c r="N214" s="119"/>
      <c r="O214" s="119">
        <v>0</v>
      </c>
      <c r="P214" s="120">
        <v>0</v>
      </c>
      <c r="Q214" s="119">
        <v>0</v>
      </c>
      <c r="R214" s="121">
        <v>3105000</v>
      </c>
      <c r="S21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122">
        <f ca="1">+IF(PROVEEDORES[[#This Row],[FECHA DE PAGO]]=0,TODAY()-PROVEEDORES[[#This Row],[FECHA DE FACTURACIÓN]]-PROVEEDORES[[#This Row],[PLAZO Días]],0)</f>
        <v>0</v>
      </c>
      <c r="U214" s="122">
        <f>+VLOOKUP(PROVEEDORES[[#This Row],[PROVEEDOR]],Terceros!$A:$D,4,FALSE)</f>
        <v>0</v>
      </c>
      <c r="V214" s="122">
        <f>+YEAR(PROVEEDORES[[#This Row],[FECHA DE FACTURACIÓN]])</f>
        <v>2024</v>
      </c>
      <c r="W214" s="122">
        <f>+MATCH(PROVEEDORES[[#This Row],[año facturado]],Retenciones!$1:$1,0)</f>
        <v>3</v>
      </c>
      <c r="X214" s="123">
        <f>+VLOOKUP(PROVEEDORES[[#This Row],[ID RETENCION]],Retenciones!$A$1:$K$25,PROVEEDORES[[#This Row],[indicador de columna]],FALSE)</f>
        <v>0</v>
      </c>
      <c r="Y214" s="124">
        <f>+VLOOKUP(PROVEEDORES[[#This Row],[ID RETENCION]],Retenciones!$A$1:$K$25,2,FALSE)</f>
        <v>0</v>
      </c>
      <c r="Z214" s="125" t="b">
        <f>+OR(COUNTIF(PROVEEDORES[[#This Row],[PROVEEDOR]],"*"&amp;'Palabra que no opera y Listas d'!$A$2&amp;"*"))</f>
        <v>0</v>
      </c>
    </row>
    <row r="215" spans="1:26" ht="27.75" customHeight="1" x14ac:dyDescent="0.25">
      <c r="A215" s="112" t="str">
        <f>+IF(PROVEEDORES[[#This Row],[FECHA DE PAGO]]=PROVEEDORES[[#This Row],[FECHA DE FACTURACIÓN]],"DE CONTADO","CRÉDITO")</f>
        <v>CRÉDITO</v>
      </c>
      <c r="B215" s="112" t="b">
        <f>+IF((PROVEEDORES[[#This Row],[FECHA DE PAGO]]-PROVEEDORES[[#This Row],[FECHA DE FACTURACIÓN]])&gt;PROVEEDORES[[#This Row],[PLAZO Días]],"PAGO VENCIDO")</f>
        <v>0</v>
      </c>
      <c r="C215" s="112">
        <f>+VLOOKUP(PROVEEDORES[[#This Row],[PROVEEDOR]],TERCEROS_INFO[#All],2,FALSE)</f>
        <v>30</v>
      </c>
      <c r="D215" s="113">
        <f>+SUMIFS(PROVEEDORES[Total],PROVEEDORES[PROVEEDOR],PROVEEDORES[[#This Row],[PROVEEDOR]],PROVEEDORES[FECHA DE PAGO],"")</f>
        <v>0</v>
      </c>
      <c r="E215" s="114"/>
      <c r="F215" s="112" t="str">
        <f>+VLOOKUP(PROVEEDORES[[#This Row],[PROVEEDOR]],
                       Terceros!$A:$F,
                       5,
                       FALSE)</f>
        <v>PSE</v>
      </c>
      <c r="G215" s="115">
        <v>45656</v>
      </c>
      <c r="H215" s="116" t="s">
        <v>171</v>
      </c>
      <c r="I215" s="115">
        <v>45638</v>
      </c>
      <c r="J215" s="117"/>
      <c r="K215" s="117" t="s">
        <v>256</v>
      </c>
      <c r="L215" s="117" t="s">
        <v>258</v>
      </c>
      <c r="M215" s="118">
        <v>634637</v>
      </c>
      <c r="N215" s="119"/>
      <c r="O215" s="119">
        <v>0</v>
      </c>
      <c r="P215" s="120">
        <v>0</v>
      </c>
      <c r="Q215" s="119">
        <v>0</v>
      </c>
      <c r="R215" s="121">
        <v>634637</v>
      </c>
      <c r="S21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122">
        <f ca="1">+IF(PROVEEDORES[[#This Row],[FECHA DE PAGO]]=0,TODAY()-PROVEEDORES[[#This Row],[FECHA DE FACTURACIÓN]]-PROVEEDORES[[#This Row],[PLAZO Días]],0)</f>
        <v>0</v>
      </c>
      <c r="U215" s="122">
        <f>+VLOOKUP(PROVEEDORES[[#This Row],[PROVEEDOR]],Terceros!$A:$D,4,FALSE)</f>
        <v>0</v>
      </c>
      <c r="V215" s="122">
        <f>+YEAR(PROVEEDORES[[#This Row],[FECHA DE FACTURACIÓN]])</f>
        <v>2024</v>
      </c>
      <c r="W215" s="122">
        <f>+MATCH(PROVEEDORES[[#This Row],[año facturado]],Retenciones!$1:$1,0)</f>
        <v>3</v>
      </c>
      <c r="X215" s="123">
        <f>+VLOOKUP(PROVEEDORES[[#This Row],[ID RETENCION]],Retenciones!$A$1:$K$25,PROVEEDORES[[#This Row],[indicador de columna]],FALSE)</f>
        <v>0</v>
      </c>
      <c r="Y215" s="124">
        <f>+VLOOKUP(PROVEEDORES[[#This Row],[ID RETENCION]],Retenciones!$A$1:$K$25,2,FALSE)</f>
        <v>0</v>
      </c>
      <c r="Z215" s="125" t="b">
        <f>+OR(COUNTIF(PROVEEDORES[[#This Row],[PROVEEDOR]],"*"&amp;'Palabra que no opera y Listas d'!$A$2&amp;"*"))</f>
        <v>1</v>
      </c>
    </row>
    <row r="216" spans="1:26" ht="27.75" customHeight="1" x14ac:dyDescent="0.25">
      <c r="A216" s="112" t="str">
        <f>+IF(PROVEEDORES[[#This Row],[FECHA DE PAGO]]=PROVEEDORES[[#This Row],[FECHA DE FACTURACIÓN]],"DE CONTADO","CRÉDITO")</f>
        <v>DE CONTADO</v>
      </c>
      <c r="B216" s="112" t="b">
        <f>+IF((PROVEEDORES[[#This Row],[FECHA DE PAGO]]-PROVEEDORES[[#This Row],[FECHA DE FACTURACIÓN]])&gt;PROVEEDORES[[#This Row],[PLAZO Días]],"PAGO VENCIDO")</f>
        <v>0</v>
      </c>
      <c r="C216" s="112">
        <f>+VLOOKUP(PROVEEDORES[[#This Row],[PROVEEDOR]],TERCEROS_INFO[#All],2,FALSE)</f>
        <v>30</v>
      </c>
      <c r="D216" s="113">
        <f>+SUMIFS(PROVEEDORES[Total],PROVEEDORES[PROVEEDOR],PROVEEDORES[[#This Row],[PROVEEDOR]],PROVEEDORES[FECHA DE PAGO],"")</f>
        <v>0</v>
      </c>
      <c r="E216" s="114"/>
      <c r="F216" s="112">
        <f>+VLOOKUP(PROVEEDORES[[#This Row],[PROVEEDOR]],
                       Terceros!$A:$F,
                       5,
                       FALSE)</f>
        <v>0</v>
      </c>
      <c r="G216" s="115">
        <v>45656</v>
      </c>
      <c r="H216" s="116" t="s">
        <v>407</v>
      </c>
      <c r="I216" s="115">
        <v>45656</v>
      </c>
      <c r="J216" s="117" t="s">
        <v>844</v>
      </c>
      <c r="K216" s="117" t="s">
        <v>210</v>
      </c>
      <c r="L216" s="117" t="s">
        <v>234</v>
      </c>
      <c r="M216" s="118">
        <v>204000</v>
      </c>
      <c r="N216" s="119"/>
      <c r="O216" s="119">
        <v>0</v>
      </c>
      <c r="P216" s="120">
        <v>0</v>
      </c>
      <c r="Q216" s="119">
        <v>0</v>
      </c>
      <c r="R216" s="121">
        <v>204000</v>
      </c>
      <c r="S21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122">
        <f ca="1">+IF(PROVEEDORES[[#This Row],[FECHA DE PAGO]]=0,TODAY()-PROVEEDORES[[#This Row],[FECHA DE FACTURACIÓN]]-PROVEEDORES[[#This Row],[PLAZO Días]],0)</f>
        <v>0</v>
      </c>
      <c r="U216" s="122">
        <f>+VLOOKUP(PROVEEDORES[[#This Row],[PROVEEDOR]],Terceros!$A:$D,4,FALSE)</f>
        <v>0</v>
      </c>
      <c r="V216" s="122">
        <f>+YEAR(PROVEEDORES[[#This Row],[FECHA DE FACTURACIÓN]])</f>
        <v>2024</v>
      </c>
      <c r="W216" s="122">
        <f>+MATCH(PROVEEDORES[[#This Row],[año facturado]],Retenciones!$1:$1,0)</f>
        <v>3</v>
      </c>
      <c r="X216" s="123">
        <f>+VLOOKUP(PROVEEDORES[[#This Row],[ID RETENCION]],Retenciones!$A$1:$K$25,PROVEEDORES[[#This Row],[indicador de columna]],FALSE)</f>
        <v>0</v>
      </c>
      <c r="Y216" s="124">
        <f>+VLOOKUP(PROVEEDORES[[#This Row],[ID RETENCION]],Retenciones!$A$1:$K$25,2,FALSE)</f>
        <v>0</v>
      </c>
      <c r="Z216" s="125" t="b">
        <f>+OR(COUNTIF(PROVEEDORES[[#This Row],[PROVEEDOR]],"*"&amp;'Palabra que no opera y Listas d'!$A$2&amp;"*"))</f>
        <v>1</v>
      </c>
    </row>
    <row r="217" spans="1:26" ht="27.75" customHeight="1" x14ac:dyDescent="0.25">
      <c r="A217" s="112" t="str">
        <f>+IF(PROVEEDORES[[#This Row],[FECHA DE PAGO]]=PROVEEDORES[[#This Row],[FECHA DE FACTURACIÓN]],"DE CONTADO","CRÉDITO")</f>
        <v>DE CONTADO</v>
      </c>
      <c r="B217" s="112" t="b">
        <f>+IF((PROVEEDORES[[#This Row],[FECHA DE PAGO]]-PROVEEDORES[[#This Row],[FECHA DE FACTURACIÓN]])&gt;PROVEEDORES[[#This Row],[PLAZO Días]],"PAGO VENCIDO")</f>
        <v>0</v>
      </c>
      <c r="C217" s="112">
        <f>+VLOOKUP(PROVEEDORES[[#This Row],[PROVEEDOR]],TERCEROS_INFO[#All],2,FALSE)</f>
        <v>30</v>
      </c>
      <c r="D217" s="113">
        <f>+SUMIFS(PROVEEDORES[Total],PROVEEDORES[PROVEEDOR],PROVEEDORES[[#This Row],[PROVEEDOR]],PROVEEDORES[FECHA DE PAGO],"")</f>
        <v>0</v>
      </c>
      <c r="E217" s="114"/>
      <c r="F217" s="112" t="str">
        <f>+VLOOKUP(PROVEEDORES[[#This Row],[PROVEEDOR]],
                       Terceros!$A:$F,
                       5,
                       FALSE)</f>
        <v/>
      </c>
      <c r="G217" s="115">
        <v>45656</v>
      </c>
      <c r="H217" s="116" t="s">
        <v>317</v>
      </c>
      <c r="I217" s="115">
        <v>45656</v>
      </c>
      <c r="J217" s="117" t="s">
        <v>796</v>
      </c>
      <c r="K217" s="117" t="s">
        <v>256</v>
      </c>
      <c r="L217" s="117" t="s">
        <v>234</v>
      </c>
      <c r="M217" s="118">
        <v>350000</v>
      </c>
      <c r="N217" s="119"/>
      <c r="O217" s="119">
        <v>0</v>
      </c>
      <c r="P217" s="120">
        <v>0</v>
      </c>
      <c r="Q217" s="119">
        <v>0</v>
      </c>
      <c r="R217" s="121">
        <v>350000</v>
      </c>
      <c r="S21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122">
        <f ca="1">+IF(PROVEEDORES[[#This Row],[FECHA DE PAGO]]=0,TODAY()-PROVEEDORES[[#This Row],[FECHA DE FACTURACIÓN]]-PROVEEDORES[[#This Row],[PLAZO Días]],0)</f>
        <v>0</v>
      </c>
      <c r="U217" s="122">
        <f>+VLOOKUP(PROVEEDORES[[#This Row],[PROVEEDOR]],Terceros!$A:$D,4,FALSE)</f>
        <v>0</v>
      </c>
      <c r="V217" s="122">
        <f>+YEAR(PROVEEDORES[[#This Row],[FECHA DE FACTURACIÓN]])</f>
        <v>2024</v>
      </c>
      <c r="W217" s="122">
        <f>+MATCH(PROVEEDORES[[#This Row],[año facturado]],Retenciones!$1:$1,0)</f>
        <v>3</v>
      </c>
      <c r="X217" s="123">
        <f>+VLOOKUP(PROVEEDORES[[#This Row],[ID RETENCION]],Retenciones!$A$1:$K$25,PROVEEDORES[[#This Row],[indicador de columna]],FALSE)</f>
        <v>0</v>
      </c>
      <c r="Y217" s="124">
        <f>+VLOOKUP(PROVEEDORES[[#This Row],[ID RETENCION]],Retenciones!$A$1:$K$25,2,FALSE)</f>
        <v>0</v>
      </c>
      <c r="Z217" s="125" t="b">
        <f>+OR(COUNTIF(PROVEEDORES[[#This Row],[PROVEEDOR]],"*"&amp;'Palabra que no opera y Listas d'!$A$2&amp;"*"))</f>
        <v>1</v>
      </c>
    </row>
    <row r="218" spans="1:26" ht="27.75" customHeight="1" x14ac:dyDescent="0.25">
      <c r="A218" s="112" t="str">
        <f>+IF(PROVEEDORES[[#This Row],[FECHA DE PAGO]]=PROVEEDORES[[#This Row],[FECHA DE FACTURACIÓN]],"DE CONTADO","CRÉDITO")</f>
        <v>DE CONTADO</v>
      </c>
      <c r="B218" s="112" t="b">
        <f>+IF((PROVEEDORES[[#This Row],[FECHA DE PAGO]]-PROVEEDORES[[#This Row],[FECHA DE FACTURACIÓN]])&gt;PROVEEDORES[[#This Row],[PLAZO Días]],"PAGO VENCIDO")</f>
        <v>0</v>
      </c>
      <c r="C218" s="112">
        <f>+VLOOKUP(PROVEEDORES[[#This Row],[PROVEEDOR]],TERCEROS_INFO[#All],2,FALSE)</f>
        <v>30</v>
      </c>
      <c r="D218" s="113">
        <f>+SUMIFS(PROVEEDORES[Total],PROVEEDORES[PROVEEDOR],PROVEEDORES[[#This Row],[PROVEEDOR]],PROVEEDORES[FECHA DE PAGO],"")</f>
        <v>0</v>
      </c>
      <c r="E218" s="114"/>
      <c r="F218" s="112" t="str">
        <f>+VLOOKUP(PROVEEDORES[[#This Row],[PROVEEDOR]],
                       Terceros!$A:$F,
                       5,
                       FALSE)</f>
        <v/>
      </c>
      <c r="G218" s="115">
        <v>45656</v>
      </c>
      <c r="H218" s="116" t="s">
        <v>662</v>
      </c>
      <c r="I218" s="115">
        <v>45656</v>
      </c>
      <c r="J218" s="117" t="s">
        <v>845</v>
      </c>
      <c r="K218" s="117" t="s">
        <v>256</v>
      </c>
      <c r="L218" s="117" t="s">
        <v>234</v>
      </c>
      <c r="M218" s="118">
        <v>800000</v>
      </c>
      <c r="N218" s="119"/>
      <c r="O218" s="119">
        <v>0</v>
      </c>
      <c r="P218" s="120">
        <v>0</v>
      </c>
      <c r="Q218" s="119">
        <v>0</v>
      </c>
      <c r="R218" s="121">
        <v>800000</v>
      </c>
      <c r="S21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122">
        <f ca="1">+IF(PROVEEDORES[[#This Row],[FECHA DE PAGO]]=0,TODAY()-PROVEEDORES[[#This Row],[FECHA DE FACTURACIÓN]]-PROVEEDORES[[#This Row],[PLAZO Días]],0)</f>
        <v>0</v>
      </c>
      <c r="U218" s="122">
        <f>+VLOOKUP(PROVEEDORES[[#This Row],[PROVEEDOR]],Terceros!$A:$D,4,FALSE)</f>
        <v>0</v>
      </c>
      <c r="V218" s="122">
        <f>+YEAR(PROVEEDORES[[#This Row],[FECHA DE FACTURACIÓN]])</f>
        <v>2024</v>
      </c>
      <c r="W218" s="122">
        <f>+MATCH(PROVEEDORES[[#This Row],[año facturado]],Retenciones!$1:$1,0)</f>
        <v>3</v>
      </c>
      <c r="X218" s="123">
        <f>+VLOOKUP(PROVEEDORES[[#This Row],[ID RETENCION]],Retenciones!$A$1:$K$25,PROVEEDORES[[#This Row],[indicador de columna]],FALSE)</f>
        <v>0</v>
      </c>
      <c r="Y218" s="124">
        <f>+VLOOKUP(PROVEEDORES[[#This Row],[ID RETENCION]],Retenciones!$A$1:$K$25,2,FALSE)</f>
        <v>0</v>
      </c>
      <c r="Z218" s="125" t="b">
        <f>+OR(COUNTIF(PROVEEDORES[[#This Row],[PROVEEDOR]],"*"&amp;'Palabra que no opera y Listas d'!$A$2&amp;"*"))</f>
        <v>0</v>
      </c>
    </row>
    <row r="219" spans="1:26" ht="27.75" customHeight="1" x14ac:dyDescent="0.25">
      <c r="A219" s="112" t="str">
        <f>+IF(PROVEEDORES[[#This Row],[FECHA DE PAGO]]=PROVEEDORES[[#This Row],[FECHA DE FACTURACIÓN]],"DE CONTADO","CRÉDITO")</f>
        <v>DE CONTADO</v>
      </c>
      <c r="B219" s="112" t="b">
        <f>+IF((PROVEEDORES[[#This Row],[FECHA DE PAGO]]-PROVEEDORES[[#This Row],[FECHA DE FACTURACIÓN]])&gt;PROVEEDORES[[#This Row],[PLAZO Días]],"PAGO VENCIDO")</f>
        <v>0</v>
      </c>
      <c r="C219" s="112">
        <f>+VLOOKUP(PROVEEDORES[[#This Row],[PROVEEDOR]],TERCEROS_INFO[#All],2,FALSE)</f>
        <v>30</v>
      </c>
      <c r="D219" s="113">
        <f>+SUMIFS(PROVEEDORES[Total],PROVEEDORES[PROVEEDOR],PROVEEDORES[[#This Row],[PROVEEDOR]],PROVEEDORES[FECHA DE PAGO],"")</f>
        <v>0</v>
      </c>
      <c r="E219" s="114"/>
      <c r="F219" s="112" t="str">
        <f>+VLOOKUP(PROVEEDORES[[#This Row],[PROVEEDOR]],
                       Terceros!$A:$F,
                       5,
                       FALSE)</f>
        <v/>
      </c>
      <c r="G219" s="115">
        <v>45657</v>
      </c>
      <c r="H219" s="116" t="s">
        <v>317</v>
      </c>
      <c r="I219" s="115">
        <v>45657</v>
      </c>
      <c r="J219" s="117" t="s">
        <v>796</v>
      </c>
      <c r="K219" s="117" t="s">
        <v>256</v>
      </c>
      <c r="L219" s="117" t="s">
        <v>234</v>
      </c>
      <c r="M219" s="118">
        <v>1000000</v>
      </c>
      <c r="N219" s="119"/>
      <c r="O219" s="119">
        <v>0</v>
      </c>
      <c r="P219" s="120">
        <v>0</v>
      </c>
      <c r="Q219" s="119">
        <v>0</v>
      </c>
      <c r="R219" s="121">
        <v>1000000</v>
      </c>
      <c r="S219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122">
        <f ca="1">+IF(PROVEEDORES[[#This Row],[FECHA DE PAGO]]=0,TODAY()-PROVEEDORES[[#This Row],[FECHA DE FACTURACIÓN]]-PROVEEDORES[[#This Row],[PLAZO Días]],0)</f>
        <v>0</v>
      </c>
      <c r="U219" s="122">
        <f>+VLOOKUP(PROVEEDORES[[#This Row],[PROVEEDOR]],Terceros!$A:$D,4,FALSE)</f>
        <v>0</v>
      </c>
      <c r="V219" s="122">
        <f>+YEAR(PROVEEDORES[[#This Row],[FECHA DE FACTURACIÓN]])</f>
        <v>2024</v>
      </c>
      <c r="W219" s="122">
        <f>+MATCH(PROVEEDORES[[#This Row],[año facturado]],Retenciones!$1:$1,0)</f>
        <v>3</v>
      </c>
      <c r="X219" s="123">
        <f>+VLOOKUP(PROVEEDORES[[#This Row],[ID RETENCION]],Retenciones!$A$1:$K$25,PROVEEDORES[[#This Row],[indicador de columna]],FALSE)</f>
        <v>0</v>
      </c>
      <c r="Y219" s="124">
        <f>+VLOOKUP(PROVEEDORES[[#This Row],[ID RETENCION]],Retenciones!$A$1:$K$25,2,FALSE)</f>
        <v>0</v>
      </c>
      <c r="Z219" s="125" t="b">
        <f>+OR(COUNTIF(PROVEEDORES[[#This Row],[PROVEEDOR]],"*"&amp;'Palabra que no opera y Listas d'!$A$2&amp;"*"))</f>
        <v>1</v>
      </c>
    </row>
    <row r="220" spans="1:26" ht="27.75" customHeight="1" x14ac:dyDescent="0.25">
      <c r="A220" s="112" t="str">
        <f>+IF(PROVEEDORES[[#This Row],[FECHA DE PAGO]]=PROVEEDORES[[#This Row],[FECHA DE FACTURACIÓN]],"DE CONTADO","CRÉDITO")</f>
        <v>CRÉDITO</v>
      </c>
      <c r="B220" s="112" t="str">
        <f>+IF((PROVEEDORES[[#This Row],[FECHA DE PAGO]]-PROVEEDORES[[#This Row],[FECHA DE FACTURACIÓN]])&gt;PROVEEDORES[[#This Row],[PLAZO Días]],"PAGO VENCIDO")</f>
        <v>PAGO VENCIDO</v>
      </c>
      <c r="C220" s="112">
        <f>+VLOOKUP(PROVEEDORES[[#This Row],[PROVEEDOR]],TERCEROS_INFO[#All],2,FALSE)</f>
        <v>30</v>
      </c>
      <c r="D220" s="113">
        <f>+SUMIFS(PROVEEDORES[Total],PROVEEDORES[PROVEEDOR],PROVEEDORES[[#This Row],[PROVEEDOR]],PROVEEDORES[FECHA DE PAGO],"")</f>
        <v>0</v>
      </c>
      <c r="E220" s="114"/>
      <c r="F220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20" s="115">
        <v>45664</v>
      </c>
      <c r="H220" s="116" t="s">
        <v>13</v>
      </c>
      <c r="I220" s="115">
        <v>45615</v>
      </c>
      <c r="J220" s="117" t="s">
        <v>846</v>
      </c>
      <c r="K220" s="117" t="s">
        <v>210</v>
      </c>
      <c r="L220" s="117" t="s">
        <v>259</v>
      </c>
      <c r="M220" s="118">
        <v>2358364</v>
      </c>
      <c r="N220" s="119">
        <v>448089.16000000003</v>
      </c>
      <c r="O220" s="119">
        <v>0</v>
      </c>
      <c r="P220" s="120">
        <v>2.5000000000000001E-2</v>
      </c>
      <c r="Q220" s="119">
        <v>58959.100000000006</v>
      </c>
      <c r="R220" s="121">
        <v>2747494.06</v>
      </c>
      <c r="S220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122">
        <f ca="1">+IF(PROVEEDORES[[#This Row],[FECHA DE PAGO]]=0,TODAY()-PROVEEDORES[[#This Row],[FECHA DE FACTURACIÓN]]-PROVEEDORES[[#This Row],[PLAZO Días]],0)</f>
        <v>0</v>
      </c>
      <c r="U220" s="122" t="str">
        <f>+VLOOKUP(PROVEEDORES[[#This Row],[PROVEEDOR]],Terceros!$A:$D,4,FALSE)</f>
        <v>2,5% con base</v>
      </c>
      <c r="V220" s="122">
        <f>+YEAR(PROVEEDORES[[#This Row],[FECHA DE FACTURACIÓN]])</f>
        <v>2024</v>
      </c>
      <c r="W220" s="122">
        <f>+MATCH(PROVEEDORES[[#This Row],[año facturado]],Retenciones!$1:$1,0)</f>
        <v>3</v>
      </c>
      <c r="X220" s="123">
        <f>+VLOOKUP(PROVEEDORES[[#This Row],[ID RETENCION]],Retenciones!$A$1:$K$25,PROVEEDORES[[#This Row],[indicador de columna]],FALSE)</f>
        <v>1271000</v>
      </c>
      <c r="Y220" s="124">
        <f>+VLOOKUP(PROVEEDORES[[#This Row],[ID RETENCION]],Retenciones!$A$1:$K$25,2,FALSE)</f>
        <v>2.5000000000000001E-2</v>
      </c>
      <c r="Z220" s="125" t="b">
        <f>+OR(COUNTIF(PROVEEDORES[[#This Row],[PROVEEDOR]],"*"&amp;'Palabra que no opera y Listas d'!$A$2&amp;"*"))</f>
        <v>0</v>
      </c>
    </row>
    <row r="221" spans="1:26" ht="27.75" customHeight="1" x14ac:dyDescent="0.25">
      <c r="A221" s="112" t="str">
        <f>+IF(PROVEEDORES[[#This Row],[FECHA DE PAGO]]=PROVEEDORES[[#This Row],[FECHA DE FACTURACIÓN]],"DE CONTADO","CRÉDITO")</f>
        <v>CRÉDITO</v>
      </c>
      <c r="B221" s="112" t="str">
        <f>+IF((PROVEEDORES[[#This Row],[FECHA DE PAGO]]-PROVEEDORES[[#This Row],[FECHA DE FACTURACIÓN]])&gt;PROVEEDORES[[#This Row],[PLAZO Días]],"PAGO VENCIDO")</f>
        <v>PAGO VENCIDO</v>
      </c>
      <c r="C221" s="112">
        <f>+VLOOKUP(PROVEEDORES[[#This Row],[PROVEEDOR]],TERCEROS_INFO[#All],2,FALSE)</f>
        <v>30</v>
      </c>
      <c r="D221" s="113">
        <f>+SUMIFS(PROVEEDORES[Total],PROVEEDORES[PROVEEDOR],PROVEEDORES[[#This Row],[PROVEEDOR]],PROVEEDORES[FECHA DE PAGO],"")</f>
        <v>0</v>
      </c>
      <c r="E221" s="114"/>
      <c r="F221" s="112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221" s="115">
        <v>45664</v>
      </c>
      <c r="H221" s="116" t="s">
        <v>279</v>
      </c>
      <c r="I221" s="115">
        <v>45615</v>
      </c>
      <c r="J221" s="117" t="s">
        <v>847</v>
      </c>
      <c r="K221" s="117" t="s">
        <v>210</v>
      </c>
      <c r="L221" s="117" t="s">
        <v>259</v>
      </c>
      <c r="M221" s="118">
        <v>1472308</v>
      </c>
      <c r="N221" s="119">
        <v>279738.52</v>
      </c>
      <c r="O221" s="119">
        <v>0</v>
      </c>
      <c r="P221" s="120">
        <v>2.5000000000000001E-2</v>
      </c>
      <c r="Q221" s="119">
        <v>36807.700000000004</v>
      </c>
      <c r="R221" s="121">
        <v>1715238.82</v>
      </c>
      <c r="S221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122">
        <f ca="1">+IF(PROVEEDORES[[#This Row],[FECHA DE PAGO]]=0,TODAY()-PROVEEDORES[[#This Row],[FECHA DE FACTURACIÓN]]-PROVEEDORES[[#This Row],[PLAZO Días]],0)</f>
        <v>0</v>
      </c>
      <c r="U221" s="122" t="str">
        <f>+VLOOKUP(PROVEEDORES[[#This Row],[PROVEEDOR]],Terceros!$A:$D,4,FALSE)</f>
        <v>2,5% con base</v>
      </c>
      <c r="V221" s="122">
        <f>+YEAR(PROVEEDORES[[#This Row],[FECHA DE FACTURACIÓN]])</f>
        <v>2024</v>
      </c>
      <c r="W221" s="122">
        <f>+MATCH(PROVEEDORES[[#This Row],[año facturado]],Retenciones!$1:$1,0)</f>
        <v>3</v>
      </c>
      <c r="X221" s="123">
        <f>+VLOOKUP(PROVEEDORES[[#This Row],[ID RETENCION]],Retenciones!$A$1:$K$25,PROVEEDORES[[#This Row],[indicador de columna]],FALSE)</f>
        <v>1271000</v>
      </c>
      <c r="Y221" s="124">
        <f>+VLOOKUP(PROVEEDORES[[#This Row],[ID RETENCION]],Retenciones!$A$1:$K$25,2,FALSE)</f>
        <v>2.5000000000000001E-2</v>
      </c>
      <c r="Z221" s="125" t="b">
        <f>+OR(COUNTIF(PROVEEDORES[[#This Row],[PROVEEDOR]],"*"&amp;'Palabra que no opera y Listas d'!$A$2&amp;"*"))</f>
        <v>0</v>
      </c>
    </row>
    <row r="222" spans="1:26" ht="27.75" customHeight="1" x14ac:dyDescent="0.25">
      <c r="A222" s="112" t="str">
        <f>+IF(PROVEEDORES[[#This Row],[FECHA DE PAGO]]=PROVEEDORES[[#This Row],[FECHA DE FACTURACIÓN]],"DE CONTADO","CRÉDITO")</f>
        <v>CRÉDITO</v>
      </c>
      <c r="B222" s="112" t="str">
        <f>+IF((PROVEEDORES[[#This Row],[FECHA DE PAGO]]-PROVEEDORES[[#This Row],[FECHA DE FACTURACIÓN]])&gt;PROVEEDORES[[#This Row],[PLAZO Días]],"PAGO VENCIDO")</f>
        <v>PAGO VENCIDO</v>
      </c>
      <c r="C222" s="112">
        <f>+VLOOKUP(PROVEEDORES[[#This Row],[PROVEEDOR]],TERCEROS_INFO[#All],2,FALSE)</f>
        <v>30</v>
      </c>
      <c r="D222" s="113">
        <f>+SUMIFS(PROVEEDORES[Total],PROVEEDORES[PROVEEDOR],PROVEEDORES[[#This Row],[PROVEEDOR]],PROVEEDORES[FECHA DE PAGO],"")</f>
        <v>0</v>
      </c>
      <c r="E222" s="114"/>
      <c r="F222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22" s="115">
        <v>45664</v>
      </c>
      <c r="H222" s="116" t="s">
        <v>13</v>
      </c>
      <c r="I222" s="115">
        <v>45616</v>
      </c>
      <c r="J222" s="117" t="s">
        <v>848</v>
      </c>
      <c r="K222" s="117" t="s">
        <v>210</v>
      </c>
      <c r="L222" s="117" t="s">
        <v>259</v>
      </c>
      <c r="M222" s="118">
        <v>609703</v>
      </c>
      <c r="N222" s="119">
        <v>115843.57</v>
      </c>
      <c r="O222" s="119">
        <v>0</v>
      </c>
      <c r="P222" s="120">
        <v>0</v>
      </c>
      <c r="Q222" s="119">
        <v>0</v>
      </c>
      <c r="R222" s="121">
        <v>725546.57000000007</v>
      </c>
      <c r="S222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122">
        <f ca="1">+IF(PROVEEDORES[[#This Row],[FECHA DE PAGO]]=0,TODAY()-PROVEEDORES[[#This Row],[FECHA DE FACTURACIÓN]]-PROVEEDORES[[#This Row],[PLAZO Días]],0)</f>
        <v>0</v>
      </c>
      <c r="U222" s="122" t="str">
        <f>+VLOOKUP(PROVEEDORES[[#This Row],[PROVEEDOR]],Terceros!$A:$D,4,FALSE)</f>
        <v>2,5% con base</v>
      </c>
      <c r="V222" s="122">
        <f>+YEAR(PROVEEDORES[[#This Row],[FECHA DE FACTURACIÓN]])</f>
        <v>2024</v>
      </c>
      <c r="W222" s="122">
        <f>+MATCH(PROVEEDORES[[#This Row],[año facturado]],Retenciones!$1:$1,0)</f>
        <v>3</v>
      </c>
      <c r="X222" s="123">
        <f>+VLOOKUP(PROVEEDORES[[#This Row],[ID RETENCION]],Retenciones!$A$1:$K$25,PROVEEDORES[[#This Row],[indicador de columna]],FALSE)</f>
        <v>1271000</v>
      </c>
      <c r="Y222" s="124">
        <f>+VLOOKUP(PROVEEDORES[[#This Row],[ID RETENCION]],Retenciones!$A$1:$K$25,2,FALSE)</f>
        <v>2.5000000000000001E-2</v>
      </c>
      <c r="Z222" s="125" t="b">
        <f>+OR(COUNTIF(PROVEEDORES[[#This Row],[PROVEEDOR]],"*"&amp;'Palabra que no opera y Listas d'!$A$2&amp;"*"))</f>
        <v>0</v>
      </c>
    </row>
    <row r="223" spans="1:26" ht="27.75" customHeight="1" x14ac:dyDescent="0.25">
      <c r="A223" s="112" t="str">
        <f>+IF(PROVEEDORES[[#This Row],[FECHA DE PAGO]]=PROVEEDORES[[#This Row],[FECHA DE FACTURACIÓN]],"DE CONTADO","CRÉDITO")</f>
        <v>CRÉDITO</v>
      </c>
      <c r="B223" s="112" t="str">
        <f>+IF((PROVEEDORES[[#This Row],[FECHA DE PAGO]]-PROVEEDORES[[#This Row],[FECHA DE FACTURACIÓN]])&gt;PROVEEDORES[[#This Row],[PLAZO Días]],"PAGO VENCIDO")</f>
        <v>PAGO VENCIDO</v>
      </c>
      <c r="C223" s="112">
        <f>+VLOOKUP(PROVEEDORES[[#This Row],[PROVEEDOR]],TERCEROS_INFO[#All],2,FALSE)</f>
        <v>30</v>
      </c>
      <c r="D223" s="113">
        <f>+SUMIFS(PROVEEDORES[Total],PROVEEDORES[PROVEEDOR],PROVEEDORES[[#This Row],[PROVEEDOR]],PROVEEDORES[FECHA DE PAGO],"")</f>
        <v>776832</v>
      </c>
      <c r="E223" s="114"/>
      <c r="F223" s="112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23" s="115">
        <v>45664</v>
      </c>
      <c r="H223" s="116" t="s">
        <v>191</v>
      </c>
      <c r="I223" s="115">
        <v>45625</v>
      </c>
      <c r="J223" s="117" t="s">
        <v>849</v>
      </c>
      <c r="K223" s="117" t="s">
        <v>210</v>
      </c>
      <c r="L223" s="117" t="s">
        <v>259</v>
      </c>
      <c r="M223" s="118">
        <v>1254000</v>
      </c>
      <c r="N223" s="119">
        <v>238260</v>
      </c>
      <c r="O223" s="119">
        <v>0</v>
      </c>
      <c r="P223" s="120">
        <v>0</v>
      </c>
      <c r="Q223" s="119">
        <v>0</v>
      </c>
      <c r="R223" s="121">
        <v>1492260</v>
      </c>
      <c r="S223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122">
        <f ca="1">+IF(PROVEEDORES[[#This Row],[FECHA DE PAGO]]=0,TODAY()-PROVEEDORES[[#This Row],[FECHA DE FACTURACIÓN]]-PROVEEDORES[[#This Row],[PLAZO Días]],0)</f>
        <v>0</v>
      </c>
      <c r="U223" s="122">
        <f>+VLOOKUP(PROVEEDORES[[#This Row],[PROVEEDOR]],Terceros!$A:$D,4,FALSE)</f>
        <v>0</v>
      </c>
      <c r="V223" s="122">
        <f>+YEAR(PROVEEDORES[[#This Row],[FECHA DE FACTURACIÓN]])</f>
        <v>2024</v>
      </c>
      <c r="W223" s="122">
        <f>+MATCH(PROVEEDORES[[#This Row],[año facturado]],Retenciones!$1:$1,0)</f>
        <v>3</v>
      </c>
      <c r="X223" s="123">
        <f>+VLOOKUP(PROVEEDORES[[#This Row],[ID RETENCION]],Retenciones!$A$1:$K$25,PROVEEDORES[[#This Row],[indicador de columna]],FALSE)</f>
        <v>0</v>
      </c>
      <c r="Y223" s="124">
        <f>+VLOOKUP(PROVEEDORES[[#This Row],[ID RETENCION]],Retenciones!$A$1:$K$25,2,FALSE)</f>
        <v>0</v>
      </c>
      <c r="Z223" s="125" t="b">
        <f>+OR(COUNTIF(PROVEEDORES[[#This Row],[PROVEEDOR]],"*"&amp;'Palabra que no opera y Listas d'!$A$2&amp;"*"))</f>
        <v>0</v>
      </c>
    </row>
    <row r="224" spans="1:26" ht="27.75" customHeight="1" x14ac:dyDescent="0.25">
      <c r="A224" s="112" t="str">
        <f>+IF(PROVEEDORES[[#This Row],[FECHA DE PAGO]]=PROVEEDORES[[#This Row],[FECHA DE FACTURACIÓN]],"DE CONTADO","CRÉDITO")</f>
        <v>CRÉDITO</v>
      </c>
      <c r="B224" s="112" t="b">
        <f>+IF((PROVEEDORES[[#This Row],[FECHA DE PAGO]]-PROVEEDORES[[#This Row],[FECHA DE FACTURACIÓN]])&gt;PROVEEDORES[[#This Row],[PLAZO Días]],"PAGO VENCIDO")</f>
        <v>0</v>
      </c>
      <c r="C224" s="112">
        <f>+VLOOKUP(PROVEEDORES[[#This Row],[PROVEEDOR]],TERCEROS_INFO[#All],2,FALSE)</f>
        <v>45</v>
      </c>
      <c r="D224" s="113">
        <f>+SUMIFS(PROVEEDORES[Total],PROVEEDORES[PROVEEDOR],PROVEEDORES[[#This Row],[PROVEEDOR]],PROVEEDORES[FECHA DE PAGO],"")</f>
        <v>17682305.199999999</v>
      </c>
      <c r="E224" s="114"/>
      <c r="F224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24" s="115">
        <v>45664</v>
      </c>
      <c r="H224" s="116" t="s">
        <v>14</v>
      </c>
      <c r="I224" s="115">
        <v>45625</v>
      </c>
      <c r="J224" s="117" t="s">
        <v>850</v>
      </c>
      <c r="K224" s="117" t="s">
        <v>210</v>
      </c>
      <c r="L224" s="117" t="s">
        <v>259</v>
      </c>
      <c r="M224" s="118">
        <v>5366400</v>
      </c>
      <c r="N224" s="119">
        <v>1019616</v>
      </c>
      <c r="O224" s="119">
        <v>0</v>
      </c>
      <c r="P224" s="120">
        <v>0</v>
      </c>
      <c r="Q224" s="119">
        <v>0</v>
      </c>
      <c r="R224" s="121">
        <v>6386016</v>
      </c>
      <c r="S224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122">
        <f ca="1">+IF(PROVEEDORES[[#This Row],[FECHA DE PAGO]]=0,TODAY()-PROVEEDORES[[#This Row],[FECHA DE FACTURACIÓN]]-PROVEEDORES[[#This Row],[PLAZO Días]],0)</f>
        <v>0</v>
      </c>
      <c r="U224" s="122">
        <f>+VLOOKUP(PROVEEDORES[[#This Row],[PROVEEDOR]],Terceros!$A:$D,4,FALSE)</f>
        <v>0</v>
      </c>
      <c r="V224" s="122">
        <f>+YEAR(PROVEEDORES[[#This Row],[FECHA DE FACTURACIÓN]])</f>
        <v>2024</v>
      </c>
      <c r="W224" s="122">
        <f>+MATCH(PROVEEDORES[[#This Row],[año facturado]],Retenciones!$1:$1,0)</f>
        <v>3</v>
      </c>
      <c r="X224" s="123">
        <f>+VLOOKUP(PROVEEDORES[[#This Row],[ID RETENCION]],Retenciones!$A$1:$K$25,PROVEEDORES[[#This Row],[indicador de columna]],FALSE)</f>
        <v>0</v>
      </c>
      <c r="Y224" s="124">
        <f>+VLOOKUP(PROVEEDORES[[#This Row],[ID RETENCION]],Retenciones!$A$1:$K$25,2,FALSE)</f>
        <v>0</v>
      </c>
      <c r="Z224" s="125" t="b">
        <f>+OR(COUNTIF(PROVEEDORES[[#This Row],[PROVEEDOR]],"*"&amp;'Palabra que no opera y Listas d'!$A$2&amp;"*"))</f>
        <v>0</v>
      </c>
    </row>
    <row r="225" spans="1:26" ht="27.75" customHeight="1" x14ac:dyDescent="0.25">
      <c r="A225" s="112" t="str">
        <f>+IF(PROVEEDORES[[#This Row],[FECHA DE PAGO]]=PROVEEDORES[[#This Row],[FECHA DE FACTURACIÓN]],"DE CONTADO","CRÉDITO")</f>
        <v>CRÉDITO</v>
      </c>
      <c r="B225" s="112" t="str">
        <f>+IF((PROVEEDORES[[#This Row],[FECHA DE PAGO]]-PROVEEDORES[[#This Row],[FECHA DE FACTURACIÓN]])&gt;PROVEEDORES[[#This Row],[PLAZO Días]],"PAGO VENCIDO")</f>
        <v>PAGO VENCIDO</v>
      </c>
      <c r="C225" s="112">
        <f>+VLOOKUP(PROVEEDORES[[#This Row],[PROVEEDOR]],TERCEROS_INFO[#All],2,FALSE)</f>
        <v>30</v>
      </c>
      <c r="D225" s="113">
        <f>+SUMIFS(PROVEEDORES[Total],PROVEEDORES[PROVEEDOR],PROVEEDORES[[#This Row],[PROVEEDOR]],PROVEEDORES[FECHA DE PAGO],"")</f>
        <v>776832</v>
      </c>
      <c r="E225" s="114"/>
      <c r="F225" s="112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25" s="115">
        <v>45664</v>
      </c>
      <c r="H225" s="116" t="s">
        <v>191</v>
      </c>
      <c r="I225" s="115">
        <v>45628</v>
      </c>
      <c r="J225" s="117" t="s">
        <v>851</v>
      </c>
      <c r="K225" s="117" t="s">
        <v>210</v>
      </c>
      <c r="L225" s="117" t="s">
        <v>259</v>
      </c>
      <c r="M225" s="118">
        <v>1196000</v>
      </c>
      <c r="N225" s="119">
        <v>227240</v>
      </c>
      <c r="O225" s="119">
        <v>0</v>
      </c>
      <c r="P225" s="120">
        <v>0</v>
      </c>
      <c r="Q225" s="119">
        <v>0</v>
      </c>
      <c r="R225" s="121">
        <v>1423240</v>
      </c>
      <c r="S225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122">
        <f ca="1">+IF(PROVEEDORES[[#This Row],[FECHA DE PAGO]]=0,TODAY()-PROVEEDORES[[#This Row],[FECHA DE FACTURACIÓN]]-PROVEEDORES[[#This Row],[PLAZO Días]],0)</f>
        <v>0</v>
      </c>
      <c r="U225" s="122">
        <f>+VLOOKUP(PROVEEDORES[[#This Row],[PROVEEDOR]],Terceros!$A:$D,4,FALSE)</f>
        <v>0</v>
      </c>
      <c r="V225" s="122">
        <f>+YEAR(PROVEEDORES[[#This Row],[FECHA DE FACTURACIÓN]])</f>
        <v>2024</v>
      </c>
      <c r="W225" s="122">
        <f>+MATCH(PROVEEDORES[[#This Row],[año facturado]],Retenciones!$1:$1,0)</f>
        <v>3</v>
      </c>
      <c r="X225" s="123">
        <f>+VLOOKUP(PROVEEDORES[[#This Row],[ID RETENCION]],Retenciones!$A$1:$K$25,PROVEEDORES[[#This Row],[indicador de columna]],FALSE)</f>
        <v>0</v>
      </c>
      <c r="Y225" s="124">
        <f>+VLOOKUP(PROVEEDORES[[#This Row],[ID RETENCION]],Retenciones!$A$1:$K$25,2,FALSE)</f>
        <v>0</v>
      </c>
      <c r="Z225" s="125" t="b">
        <f>+OR(COUNTIF(PROVEEDORES[[#This Row],[PROVEEDOR]],"*"&amp;'Palabra que no opera y Listas d'!$A$2&amp;"*"))</f>
        <v>0</v>
      </c>
    </row>
    <row r="226" spans="1:26" ht="27.75" customHeight="1" x14ac:dyDescent="0.25">
      <c r="A226" s="112" t="str">
        <f>+IF(PROVEEDORES[[#This Row],[FECHA DE PAGO]]=PROVEEDORES[[#This Row],[FECHA DE FACTURACIÓN]],"DE CONTADO","CRÉDITO")</f>
        <v>CRÉDITO</v>
      </c>
      <c r="B226" s="112" t="str">
        <f>+IF((PROVEEDORES[[#This Row],[FECHA DE PAGO]]-PROVEEDORES[[#This Row],[FECHA DE FACTURACIÓN]])&gt;PROVEEDORES[[#This Row],[PLAZO Días]],"PAGO VENCIDO")</f>
        <v>PAGO VENCIDO</v>
      </c>
      <c r="C226" s="112">
        <f>+VLOOKUP(PROVEEDORES[[#This Row],[PROVEEDOR]],TERCEROS_INFO[#All],2,FALSE)</f>
        <v>30</v>
      </c>
      <c r="D226" s="113">
        <f>+SUMIFS(PROVEEDORES[Total],PROVEEDORES[PROVEEDOR],PROVEEDORES[[#This Row],[PROVEEDOR]],PROVEEDORES[FECHA DE PAGO],"")</f>
        <v>0</v>
      </c>
      <c r="E226" s="114"/>
      <c r="F226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26" s="115">
        <v>45664</v>
      </c>
      <c r="H226" s="116" t="s">
        <v>13</v>
      </c>
      <c r="I226" s="115">
        <v>45629</v>
      </c>
      <c r="J226" s="117" t="s">
        <v>852</v>
      </c>
      <c r="K226" s="117" t="s">
        <v>210</v>
      </c>
      <c r="L226" s="117" t="s">
        <v>259</v>
      </c>
      <c r="M226" s="118">
        <v>3900989</v>
      </c>
      <c r="N226" s="119">
        <v>741187.91</v>
      </c>
      <c r="O226" s="119">
        <v>0</v>
      </c>
      <c r="P226" s="120">
        <v>2.5000000000000001E-2</v>
      </c>
      <c r="Q226" s="119">
        <v>97524.725000000006</v>
      </c>
      <c r="R226" s="121">
        <v>4544652.1850000005</v>
      </c>
      <c r="S226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122">
        <f ca="1">+IF(PROVEEDORES[[#This Row],[FECHA DE PAGO]]=0,TODAY()-PROVEEDORES[[#This Row],[FECHA DE FACTURACIÓN]]-PROVEEDORES[[#This Row],[PLAZO Días]],0)</f>
        <v>0</v>
      </c>
      <c r="U226" s="122" t="str">
        <f>+VLOOKUP(PROVEEDORES[[#This Row],[PROVEEDOR]],Terceros!$A:$D,4,FALSE)</f>
        <v>2,5% con base</v>
      </c>
      <c r="V226" s="122">
        <f>+YEAR(PROVEEDORES[[#This Row],[FECHA DE FACTURACIÓN]])</f>
        <v>2024</v>
      </c>
      <c r="W226" s="122">
        <f>+MATCH(PROVEEDORES[[#This Row],[año facturado]],Retenciones!$1:$1,0)</f>
        <v>3</v>
      </c>
      <c r="X226" s="123">
        <f>+VLOOKUP(PROVEEDORES[[#This Row],[ID RETENCION]],Retenciones!$A$1:$K$25,PROVEEDORES[[#This Row],[indicador de columna]],FALSE)</f>
        <v>1271000</v>
      </c>
      <c r="Y226" s="124">
        <f>+VLOOKUP(PROVEEDORES[[#This Row],[ID RETENCION]],Retenciones!$A$1:$K$25,2,FALSE)</f>
        <v>2.5000000000000001E-2</v>
      </c>
      <c r="Z226" s="125" t="b">
        <f>+OR(COUNTIF(PROVEEDORES[[#This Row],[PROVEEDOR]],"*"&amp;'Palabra que no opera y Listas d'!$A$2&amp;"*"))</f>
        <v>0</v>
      </c>
    </row>
    <row r="227" spans="1:26" ht="27.75" customHeight="1" x14ac:dyDescent="0.25">
      <c r="A227" s="112" t="str">
        <f>+IF(PROVEEDORES[[#This Row],[FECHA DE PAGO]]=PROVEEDORES[[#This Row],[FECHA DE FACTURACIÓN]],"DE CONTADO","CRÉDITO")</f>
        <v>CRÉDITO</v>
      </c>
      <c r="B227" s="112" t="str">
        <f>+IF((PROVEEDORES[[#This Row],[FECHA DE PAGO]]-PROVEEDORES[[#This Row],[FECHA DE FACTURACIÓN]])&gt;PROVEEDORES[[#This Row],[PLAZO Días]],"PAGO VENCIDO")</f>
        <v>PAGO VENCIDO</v>
      </c>
      <c r="C227" s="112">
        <f>+VLOOKUP(PROVEEDORES[[#This Row],[PROVEEDOR]],TERCEROS_INFO[#All],2,FALSE)</f>
        <v>30</v>
      </c>
      <c r="D227" s="113">
        <f>+SUMIFS(PROVEEDORES[Total],PROVEEDORES[PROVEEDOR],PROVEEDORES[[#This Row],[PROVEEDOR]],PROVEEDORES[FECHA DE PAGO],"")</f>
        <v>0</v>
      </c>
      <c r="E227" s="114"/>
      <c r="F227" s="112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227" s="115">
        <v>45664</v>
      </c>
      <c r="H227" s="116" t="s">
        <v>279</v>
      </c>
      <c r="I227" s="115">
        <v>45630</v>
      </c>
      <c r="J227" s="117" t="s">
        <v>853</v>
      </c>
      <c r="K227" s="117" t="s">
        <v>210</v>
      </c>
      <c r="L227" s="117" t="s">
        <v>259</v>
      </c>
      <c r="M227" s="118">
        <v>1592937</v>
      </c>
      <c r="N227" s="119">
        <v>302658.03000000003</v>
      </c>
      <c r="O227" s="119">
        <v>0</v>
      </c>
      <c r="P227" s="120">
        <v>2.5000000000000001E-2</v>
      </c>
      <c r="Q227" s="119">
        <v>39823.425000000003</v>
      </c>
      <c r="R227" s="121">
        <v>1855771.605</v>
      </c>
      <c r="S227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122">
        <f ca="1">+IF(PROVEEDORES[[#This Row],[FECHA DE PAGO]]=0,TODAY()-PROVEEDORES[[#This Row],[FECHA DE FACTURACIÓN]]-PROVEEDORES[[#This Row],[PLAZO Días]],0)</f>
        <v>0</v>
      </c>
      <c r="U227" s="122" t="str">
        <f>+VLOOKUP(PROVEEDORES[[#This Row],[PROVEEDOR]],Terceros!$A:$D,4,FALSE)</f>
        <v>2,5% con base</v>
      </c>
      <c r="V227" s="122">
        <f>+YEAR(PROVEEDORES[[#This Row],[FECHA DE FACTURACIÓN]])</f>
        <v>2024</v>
      </c>
      <c r="W227" s="122">
        <f>+MATCH(PROVEEDORES[[#This Row],[año facturado]],Retenciones!$1:$1,0)</f>
        <v>3</v>
      </c>
      <c r="X227" s="123">
        <f>+VLOOKUP(PROVEEDORES[[#This Row],[ID RETENCION]],Retenciones!$A$1:$K$25,PROVEEDORES[[#This Row],[indicador de columna]],FALSE)</f>
        <v>1271000</v>
      </c>
      <c r="Y227" s="124">
        <f>+VLOOKUP(PROVEEDORES[[#This Row],[ID RETENCION]],Retenciones!$A$1:$K$25,2,FALSE)</f>
        <v>2.5000000000000001E-2</v>
      </c>
      <c r="Z227" s="125" t="b">
        <f>+OR(COUNTIF(PROVEEDORES[[#This Row],[PROVEEDOR]],"*"&amp;'Palabra que no opera y Listas d'!$A$2&amp;"*"))</f>
        <v>0</v>
      </c>
    </row>
    <row r="228" spans="1:26" ht="27.75" customHeight="1" x14ac:dyDescent="0.25">
      <c r="A228" s="112" t="str">
        <f>+IF(PROVEEDORES[[#This Row],[FECHA DE PAGO]]=PROVEEDORES[[#This Row],[FECHA DE FACTURACIÓN]],"DE CONTADO","CRÉDITO")</f>
        <v>CRÉDITO</v>
      </c>
      <c r="B228" s="112" t="str">
        <f>+IF((PROVEEDORES[[#This Row],[FECHA DE PAGO]]-PROVEEDORES[[#This Row],[FECHA DE FACTURACIÓN]])&gt;PROVEEDORES[[#This Row],[PLAZO Días]],"PAGO VENCIDO")</f>
        <v>PAGO VENCIDO</v>
      </c>
      <c r="C228" s="112">
        <f>+VLOOKUP(PROVEEDORES[[#This Row],[PROVEEDOR]],TERCEROS_INFO[#All],2,FALSE)</f>
        <v>30</v>
      </c>
      <c r="D228" s="113">
        <f>+SUMIFS(PROVEEDORES[Total],PROVEEDORES[PROVEEDOR],PROVEEDORES[[#This Row],[PROVEEDOR]],PROVEEDORES[FECHA DE PAGO],"")</f>
        <v>0</v>
      </c>
      <c r="E228" s="114"/>
      <c r="F228" s="112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28" s="115">
        <v>45664</v>
      </c>
      <c r="H228" s="116" t="s">
        <v>13</v>
      </c>
      <c r="I228" s="115">
        <v>45633</v>
      </c>
      <c r="J228" s="117" t="s">
        <v>854</v>
      </c>
      <c r="K228" s="117" t="s">
        <v>210</v>
      </c>
      <c r="L228" s="117" t="s">
        <v>259</v>
      </c>
      <c r="M228" s="118">
        <v>1608422</v>
      </c>
      <c r="N228" s="119">
        <v>305600.18</v>
      </c>
      <c r="O228" s="119">
        <v>0</v>
      </c>
      <c r="P228" s="120">
        <v>2.5000000000000001E-2</v>
      </c>
      <c r="Q228" s="119">
        <v>40210.550000000003</v>
      </c>
      <c r="R228" s="121">
        <v>1873811.63</v>
      </c>
      <c r="S228" s="122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122">
        <f ca="1">+IF(PROVEEDORES[[#This Row],[FECHA DE PAGO]]=0,TODAY()-PROVEEDORES[[#This Row],[FECHA DE FACTURACIÓN]]-PROVEEDORES[[#This Row],[PLAZO Días]],0)</f>
        <v>0</v>
      </c>
      <c r="U228" s="122" t="str">
        <f>+VLOOKUP(PROVEEDORES[[#This Row],[PROVEEDOR]],Terceros!$A:$D,4,FALSE)</f>
        <v>2,5% con base</v>
      </c>
      <c r="V228" s="122">
        <f>+YEAR(PROVEEDORES[[#This Row],[FECHA DE FACTURACIÓN]])</f>
        <v>2024</v>
      </c>
      <c r="W228" s="122">
        <f>+MATCH(PROVEEDORES[[#This Row],[año facturado]],Retenciones!$1:$1,0)</f>
        <v>3</v>
      </c>
      <c r="X228" s="123">
        <f>+VLOOKUP(PROVEEDORES[[#This Row],[ID RETENCION]],Retenciones!$A$1:$K$25,PROVEEDORES[[#This Row],[indicador de columna]],FALSE)</f>
        <v>1271000</v>
      </c>
      <c r="Y228" s="124">
        <f>+VLOOKUP(PROVEEDORES[[#This Row],[ID RETENCION]],Retenciones!$A$1:$K$25,2,FALSE)</f>
        <v>2.5000000000000001E-2</v>
      </c>
      <c r="Z228" s="125" t="b">
        <f>+OR(COUNTIF(PROVEEDORES[[#This Row],[PROVEEDOR]],"*"&amp;'Palabra que no opera y Listas d'!$A$2&amp;"*"))</f>
        <v>0</v>
      </c>
    </row>
    <row r="229" spans="1:26" ht="27.75" customHeight="1" x14ac:dyDescent="0.25">
      <c r="A229" s="112" t="str">
        <f>+IF(PROVEEDORES[[#This Row],[FECHA DE PAGO]]=PROVEEDORES[[#This Row],[FECHA DE FACTURACIÓN]],"DE CONTADO","CRÉDITO")</f>
        <v>CRÉDITO</v>
      </c>
      <c r="B229" s="112" t="b">
        <f>+IF((PROVEEDORES[[#This Row],[FECHA DE PAGO]]-PROVEEDORES[[#This Row],[FECHA DE FACTURACIÓN]])&gt;PROVEEDORES[[#This Row],[PLAZO Días]],"PAGO VENCIDO")</f>
        <v>0</v>
      </c>
      <c r="C229" s="112">
        <f>+VLOOKUP(PROVEEDORES[[#This Row],[PROVEEDOR]],TERCEROS_INFO[#All],2,FALSE)</f>
        <v>30</v>
      </c>
      <c r="D229" s="113">
        <f>+SUMIFS(PROVEEDORES[Total],PROVEEDORES[PROVEEDOR],PROVEEDORES[[#This Row],[PROVEEDOR]],PROVEEDORES[FECHA DE PAGO],"")</f>
        <v>179900</v>
      </c>
      <c r="E229" s="114"/>
      <c r="F229" s="112" t="str">
        <f>+VLOOKUP(PROVEEDORES[[#This Row],[PROVEEDOR]],
                       Terceros!$A:$F,
                       5,
                       FALSE)</f>
        <v/>
      </c>
      <c r="G229" s="115"/>
      <c r="H229" s="116" t="s">
        <v>855</v>
      </c>
      <c r="I229" s="115">
        <v>45542</v>
      </c>
      <c r="J229" s="117">
        <v>97</v>
      </c>
      <c r="K229" s="117" t="s">
        <v>256</v>
      </c>
      <c r="L229" s="117"/>
      <c r="M229" s="118">
        <v>30000</v>
      </c>
      <c r="N229" s="119"/>
      <c r="O229" s="119">
        <v>0</v>
      </c>
      <c r="P229" s="120">
        <v>0</v>
      </c>
      <c r="Q229" s="119">
        <v>0</v>
      </c>
      <c r="R229" s="121">
        <v>30000</v>
      </c>
      <c r="S229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29" s="122">
        <f ca="1">+IF(PROVEEDORES[[#This Row],[FECHA DE PAGO]]=0,TODAY()-PROVEEDORES[[#This Row],[FECHA DE FACTURACIÓN]]-PROVEEDORES[[#This Row],[PLAZO Días]],0)</f>
        <v>94</v>
      </c>
      <c r="U229" s="122">
        <f>+VLOOKUP(PROVEEDORES[[#This Row],[PROVEEDOR]],Terceros!$A:$D,4,FALSE)</f>
        <v>0</v>
      </c>
      <c r="V229" s="122">
        <f>+YEAR(PROVEEDORES[[#This Row],[FECHA DE FACTURACIÓN]])</f>
        <v>2024</v>
      </c>
      <c r="W229" s="122">
        <f>+MATCH(PROVEEDORES[[#This Row],[año facturado]],Retenciones!$1:$1,0)</f>
        <v>3</v>
      </c>
      <c r="X229" s="123">
        <f>+VLOOKUP(PROVEEDORES[[#This Row],[ID RETENCION]],Retenciones!$A$1:$K$25,PROVEEDORES[[#This Row],[indicador de columna]],FALSE)</f>
        <v>0</v>
      </c>
      <c r="Y229" s="124">
        <f>+VLOOKUP(PROVEEDORES[[#This Row],[ID RETENCION]],Retenciones!$A$1:$K$25,2,FALSE)</f>
        <v>0</v>
      </c>
      <c r="Z229" s="125" t="b">
        <f>+OR(COUNTIF(PROVEEDORES[[#This Row],[PROVEEDOR]],"*"&amp;'Palabra que no opera y Listas d'!$A$2&amp;"*"))</f>
        <v>0</v>
      </c>
    </row>
    <row r="230" spans="1:26" ht="27.75" customHeight="1" x14ac:dyDescent="0.25">
      <c r="A230" s="112" t="str">
        <f>+IF(PROVEEDORES[[#This Row],[FECHA DE PAGO]]=PROVEEDORES[[#This Row],[FECHA DE FACTURACIÓN]],"DE CONTADO","CRÉDITO")</f>
        <v>CRÉDITO</v>
      </c>
      <c r="B230" s="112" t="b">
        <f>+IF((PROVEEDORES[[#This Row],[FECHA DE PAGO]]-PROVEEDORES[[#This Row],[FECHA DE FACTURACIÓN]])&gt;PROVEEDORES[[#This Row],[PLAZO Días]],"PAGO VENCIDO")</f>
        <v>0</v>
      </c>
      <c r="C230" s="112">
        <f>+VLOOKUP(PROVEEDORES[[#This Row],[PROVEEDOR]],TERCEROS_INFO[#All],2,FALSE)</f>
        <v>30</v>
      </c>
      <c r="D230" s="113">
        <f>+SUMIFS(PROVEEDORES[Total],PROVEEDORES[PROVEEDOR],PROVEEDORES[[#This Row],[PROVEEDOR]],PROVEEDORES[FECHA DE PAGO],"")</f>
        <v>179900</v>
      </c>
      <c r="E230" s="114"/>
      <c r="F230" s="112" t="str">
        <f>+VLOOKUP(PROVEEDORES[[#This Row],[PROVEEDOR]],
                       Terceros!$A:$F,
                       5,
                       FALSE)</f>
        <v/>
      </c>
      <c r="G230" s="115"/>
      <c r="H230" s="116" t="s">
        <v>855</v>
      </c>
      <c r="I230" s="115">
        <v>45567</v>
      </c>
      <c r="J230" s="117">
        <v>102</v>
      </c>
      <c r="K230" s="117" t="s">
        <v>256</v>
      </c>
      <c r="L230" s="117"/>
      <c r="M230" s="118">
        <v>105500</v>
      </c>
      <c r="N230" s="119"/>
      <c r="O230" s="119">
        <v>0</v>
      </c>
      <c r="P230" s="120">
        <v>0</v>
      </c>
      <c r="Q230" s="119">
        <v>0</v>
      </c>
      <c r="R230" s="121">
        <v>105500</v>
      </c>
      <c r="S230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0" s="122">
        <f ca="1">+IF(PROVEEDORES[[#This Row],[FECHA DE PAGO]]=0,TODAY()-PROVEEDORES[[#This Row],[FECHA DE FACTURACIÓN]]-PROVEEDORES[[#This Row],[PLAZO Días]],0)</f>
        <v>69</v>
      </c>
      <c r="U230" s="122">
        <f>+VLOOKUP(PROVEEDORES[[#This Row],[PROVEEDOR]],Terceros!$A:$D,4,FALSE)</f>
        <v>0</v>
      </c>
      <c r="V230" s="122">
        <f>+YEAR(PROVEEDORES[[#This Row],[FECHA DE FACTURACIÓN]])</f>
        <v>2024</v>
      </c>
      <c r="W230" s="122">
        <f>+MATCH(PROVEEDORES[[#This Row],[año facturado]],Retenciones!$1:$1,0)</f>
        <v>3</v>
      </c>
      <c r="X230" s="123">
        <f>+VLOOKUP(PROVEEDORES[[#This Row],[ID RETENCION]],Retenciones!$A$1:$K$25,PROVEEDORES[[#This Row],[indicador de columna]],FALSE)</f>
        <v>0</v>
      </c>
      <c r="Y230" s="124">
        <f>+VLOOKUP(PROVEEDORES[[#This Row],[ID RETENCION]],Retenciones!$A$1:$K$25,2,FALSE)</f>
        <v>0</v>
      </c>
      <c r="Z230" s="125" t="b">
        <f>+OR(COUNTIF(PROVEEDORES[[#This Row],[PROVEEDOR]],"*"&amp;'Palabra que no opera y Listas d'!$A$2&amp;"*"))</f>
        <v>0</v>
      </c>
    </row>
    <row r="231" spans="1:26" ht="27.75" customHeight="1" x14ac:dyDescent="0.25">
      <c r="A231" s="112" t="str">
        <f>+IF(PROVEEDORES[[#This Row],[FECHA DE PAGO]]=PROVEEDORES[[#This Row],[FECHA DE FACTURACIÓN]],"DE CONTADO","CRÉDITO")</f>
        <v>CRÉDITO</v>
      </c>
      <c r="B231" s="112" t="b">
        <f>+IF((PROVEEDORES[[#This Row],[FECHA DE PAGO]]-PROVEEDORES[[#This Row],[FECHA DE FACTURACIÓN]])&gt;PROVEEDORES[[#This Row],[PLAZO Días]],"PAGO VENCIDO")</f>
        <v>0</v>
      </c>
      <c r="C231" s="112">
        <f>+VLOOKUP(PROVEEDORES[[#This Row],[PROVEEDOR]],TERCEROS_INFO[#All],2,FALSE)</f>
        <v>0</v>
      </c>
      <c r="D231" s="113">
        <f>+SUMIFS(PROVEEDORES[Total],PROVEEDORES[PROVEEDOR],PROVEEDORES[[#This Row],[PROVEEDOR]],PROVEEDORES[FECHA DE PAGO],"")</f>
        <v>14000000</v>
      </c>
      <c r="E231" s="114"/>
      <c r="F231" s="112">
        <f>+VLOOKUP(PROVEEDORES[[#This Row],[PROVEEDOR]],
                       Terceros!$A:$F,
                       5,
                       FALSE)</f>
        <v>0</v>
      </c>
      <c r="G231" s="115"/>
      <c r="H231" s="116" t="s">
        <v>402</v>
      </c>
      <c r="I231" s="115">
        <v>45575</v>
      </c>
      <c r="J231" s="117" t="s">
        <v>856</v>
      </c>
      <c r="K231" s="117"/>
      <c r="L231" s="117"/>
      <c r="M231" s="118">
        <v>14000000</v>
      </c>
      <c r="N231" s="119"/>
      <c r="O231" s="119">
        <v>0</v>
      </c>
      <c r="P231" s="120">
        <v>0</v>
      </c>
      <c r="Q231" s="119">
        <v>0</v>
      </c>
      <c r="R231" s="121">
        <v>14000000</v>
      </c>
      <c r="S231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1" s="122">
        <f ca="1">+IF(PROVEEDORES[[#This Row],[FECHA DE PAGO]]=0,TODAY()-PROVEEDORES[[#This Row],[FECHA DE FACTURACIÓN]]-PROVEEDORES[[#This Row],[PLAZO Días]],0)</f>
        <v>91</v>
      </c>
      <c r="U231" s="122">
        <f>+VLOOKUP(PROVEEDORES[[#This Row],[PROVEEDOR]],Terceros!$A:$D,4,FALSE)</f>
        <v>0</v>
      </c>
      <c r="V231" s="122">
        <f>+YEAR(PROVEEDORES[[#This Row],[FECHA DE FACTURACIÓN]])</f>
        <v>2024</v>
      </c>
      <c r="W231" s="122">
        <f>+MATCH(PROVEEDORES[[#This Row],[año facturado]],Retenciones!$1:$1,0)</f>
        <v>3</v>
      </c>
      <c r="X231" s="123">
        <f>+VLOOKUP(PROVEEDORES[[#This Row],[ID RETENCION]],Retenciones!$A$1:$K$25,PROVEEDORES[[#This Row],[indicador de columna]],FALSE)</f>
        <v>0</v>
      </c>
      <c r="Y231" s="124">
        <f>+VLOOKUP(PROVEEDORES[[#This Row],[ID RETENCION]],Retenciones!$A$1:$K$25,2,FALSE)</f>
        <v>0</v>
      </c>
      <c r="Z231" s="125" t="b">
        <f>+OR(COUNTIF(PROVEEDORES[[#This Row],[PROVEEDOR]],"*"&amp;'Palabra que no opera y Listas d'!$A$2&amp;"*"))</f>
        <v>1</v>
      </c>
    </row>
    <row r="232" spans="1:26" ht="27.75" customHeight="1" x14ac:dyDescent="0.25">
      <c r="A232" s="112" t="str">
        <f>+IF(PROVEEDORES[[#This Row],[FECHA DE PAGO]]=PROVEEDORES[[#This Row],[FECHA DE FACTURACIÓN]],"DE CONTADO","CRÉDITO")</f>
        <v>CRÉDITO</v>
      </c>
      <c r="B232" s="112" t="b">
        <f>+IF((PROVEEDORES[[#This Row],[FECHA DE PAGO]]-PROVEEDORES[[#This Row],[FECHA DE FACTURACIÓN]])&gt;PROVEEDORES[[#This Row],[PLAZO Días]],"PAGO VENCIDO")</f>
        <v>0</v>
      </c>
      <c r="C232" s="112">
        <f>+VLOOKUP(PROVEEDORES[[#This Row],[PROVEEDOR]],TERCEROS_INFO[#All],2,FALSE)</f>
        <v>60</v>
      </c>
      <c r="D232" s="113">
        <f>+SUMIFS(PROVEEDORES[Total],PROVEEDORES[PROVEEDOR],PROVEEDORES[[#This Row],[PROVEEDOR]],PROVEEDORES[FECHA DE PAGO],"")</f>
        <v>64983977.100000001</v>
      </c>
      <c r="E232" s="114"/>
      <c r="F232" s="112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32" s="115"/>
      <c r="H232" s="116" t="s">
        <v>18</v>
      </c>
      <c r="I232" s="115">
        <v>45593</v>
      </c>
      <c r="J232" s="117" t="s">
        <v>857</v>
      </c>
      <c r="K232" s="117" t="s">
        <v>256</v>
      </c>
      <c r="L232" s="117"/>
      <c r="M232" s="118">
        <v>-338562</v>
      </c>
      <c r="N232" s="119"/>
      <c r="O232" s="119">
        <v>0</v>
      </c>
      <c r="P232" s="120">
        <v>0</v>
      </c>
      <c r="Q232" s="119">
        <v>0</v>
      </c>
      <c r="R232" s="121">
        <v>-338562</v>
      </c>
      <c r="S232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2" s="122">
        <f ca="1">+IF(PROVEEDORES[[#This Row],[FECHA DE PAGO]]=0,TODAY()-PROVEEDORES[[#This Row],[FECHA DE FACTURACIÓN]]-PROVEEDORES[[#This Row],[PLAZO Días]],0)</f>
        <v>13</v>
      </c>
      <c r="U232" s="122">
        <f>+VLOOKUP(PROVEEDORES[[#This Row],[PROVEEDOR]],Terceros!$A:$D,4,FALSE)</f>
        <v>0</v>
      </c>
      <c r="V232" s="122">
        <f>+YEAR(PROVEEDORES[[#This Row],[FECHA DE FACTURACIÓN]])</f>
        <v>2024</v>
      </c>
      <c r="W232" s="122">
        <f>+MATCH(PROVEEDORES[[#This Row],[año facturado]],Retenciones!$1:$1,0)</f>
        <v>3</v>
      </c>
      <c r="X232" s="123">
        <f>+VLOOKUP(PROVEEDORES[[#This Row],[ID RETENCION]],Retenciones!$A$1:$K$25,PROVEEDORES[[#This Row],[indicador de columna]],FALSE)</f>
        <v>0</v>
      </c>
      <c r="Y232" s="124">
        <f>+VLOOKUP(PROVEEDORES[[#This Row],[ID RETENCION]],Retenciones!$A$1:$K$25,2,FALSE)</f>
        <v>0</v>
      </c>
      <c r="Z232" s="125" t="b">
        <f>+OR(COUNTIF(PROVEEDORES[[#This Row],[PROVEEDOR]],"*"&amp;'Palabra que no opera y Listas d'!$A$2&amp;"*"))</f>
        <v>0</v>
      </c>
    </row>
    <row r="233" spans="1:26" ht="27.75" customHeight="1" x14ac:dyDescent="0.25">
      <c r="A233" s="112" t="str">
        <f>+IF(PROVEEDORES[[#This Row],[FECHA DE PAGO]]=PROVEEDORES[[#This Row],[FECHA DE FACTURACIÓN]],"DE CONTADO","CRÉDITO")</f>
        <v>CRÉDITO</v>
      </c>
      <c r="B233" s="112" t="b">
        <f>+IF((PROVEEDORES[[#This Row],[FECHA DE PAGO]]-PROVEEDORES[[#This Row],[FECHA DE FACTURACIÓN]])&gt;PROVEEDORES[[#This Row],[PLAZO Días]],"PAGO VENCIDO")</f>
        <v>0</v>
      </c>
      <c r="C233" s="112">
        <f>+VLOOKUP(PROVEEDORES[[#This Row],[PROVEEDOR]],TERCEROS_INFO[#All],2,FALSE)</f>
        <v>60</v>
      </c>
      <c r="D233" s="113">
        <f>+SUMIFS(PROVEEDORES[Total],PROVEEDORES[PROVEEDOR],PROVEEDORES[[#This Row],[PROVEEDOR]],PROVEEDORES[FECHA DE PAGO],"")</f>
        <v>64983977.100000001</v>
      </c>
      <c r="E233" s="114"/>
      <c r="F233" s="112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33" s="115"/>
      <c r="H233" s="116" t="s">
        <v>18</v>
      </c>
      <c r="I233" s="115">
        <v>45602</v>
      </c>
      <c r="J233" s="117">
        <v>62972</v>
      </c>
      <c r="K233" s="117" t="s">
        <v>256</v>
      </c>
      <c r="L233" s="117"/>
      <c r="M233" s="118">
        <v>54892890</v>
      </c>
      <c r="N233" s="119">
        <v>10429649.1</v>
      </c>
      <c r="O233" s="119">
        <v>0</v>
      </c>
      <c r="P233" s="120">
        <v>0</v>
      </c>
      <c r="Q233" s="119">
        <v>0</v>
      </c>
      <c r="R233" s="121">
        <v>65322539.100000001</v>
      </c>
      <c r="S233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3" s="122">
        <f ca="1">+IF(PROVEEDORES[[#This Row],[FECHA DE PAGO]]=0,TODAY()-PROVEEDORES[[#This Row],[FECHA DE FACTURACIÓN]]-PROVEEDORES[[#This Row],[PLAZO Días]],0)</f>
        <v>4</v>
      </c>
      <c r="U233" s="122">
        <f>+VLOOKUP(PROVEEDORES[[#This Row],[PROVEEDOR]],Terceros!$A:$D,4,FALSE)</f>
        <v>0</v>
      </c>
      <c r="V233" s="122">
        <f>+YEAR(PROVEEDORES[[#This Row],[FECHA DE FACTURACIÓN]])</f>
        <v>2024</v>
      </c>
      <c r="W233" s="122">
        <f>+MATCH(PROVEEDORES[[#This Row],[año facturado]],Retenciones!$1:$1,0)</f>
        <v>3</v>
      </c>
      <c r="X233" s="123">
        <f>+VLOOKUP(PROVEEDORES[[#This Row],[ID RETENCION]],Retenciones!$A$1:$K$25,PROVEEDORES[[#This Row],[indicador de columna]],FALSE)</f>
        <v>0</v>
      </c>
      <c r="Y233" s="124">
        <f>+VLOOKUP(PROVEEDORES[[#This Row],[ID RETENCION]],Retenciones!$A$1:$K$25,2,FALSE)</f>
        <v>0</v>
      </c>
      <c r="Z233" s="125" t="b">
        <f>+OR(COUNTIF(PROVEEDORES[[#This Row],[PROVEEDOR]],"*"&amp;'Palabra que no opera y Listas d'!$A$2&amp;"*"))</f>
        <v>0</v>
      </c>
    </row>
    <row r="234" spans="1:26" ht="27.75" customHeight="1" x14ac:dyDescent="0.25">
      <c r="A234" s="112" t="str">
        <f>+IF(PROVEEDORES[[#This Row],[FECHA DE PAGO]]=PROVEEDORES[[#This Row],[FECHA DE FACTURACIÓN]],"DE CONTADO","CRÉDITO")</f>
        <v>CRÉDITO</v>
      </c>
      <c r="B234" s="112" t="b">
        <f>+IF((PROVEEDORES[[#This Row],[FECHA DE PAGO]]-PROVEEDORES[[#This Row],[FECHA DE FACTURACIÓN]])&gt;PROVEEDORES[[#This Row],[PLAZO Días]],"PAGO VENCIDO")</f>
        <v>0</v>
      </c>
      <c r="C234" s="112">
        <f>+VLOOKUP(PROVEEDORES[[#This Row],[PROVEEDOR]],TERCEROS_INFO[#All],2,FALSE)</f>
        <v>30</v>
      </c>
      <c r="D234" s="113">
        <f>+SUMIFS(PROVEEDORES[Total],PROVEEDORES[PROVEEDOR],PROVEEDORES[[#This Row],[PROVEEDOR]],PROVEEDORES[FECHA DE PAGO],"")</f>
        <v>10958948</v>
      </c>
      <c r="E234" s="114"/>
      <c r="F234" s="112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34" s="115"/>
      <c r="H234" s="116" t="s">
        <v>104</v>
      </c>
      <c r="I234" s="115">
        <v>45614</v>
      </c>
      <c r="J234" s="117" t="s">
        <v>858</v>
      </c>
      <c r="K234" s="117" t="s">
        <v>210</v>
      </c>
      <c r="L234" s="117"/>
      <c r="M234" s="118">
        <v>4604600</v>
      </c>
      <c r="N234" s="119">
        <v>874874</v>
      </c>
      <c r="O234" s="119">
        <v>0</v>
      </c>
      <c r="P234" s="120">
        <v>0</v>
      </c>
      <c r="Q234" s="119">
        <v>0</v>
      </c>
      <c r="R234" s="121">
        <v>5479474</v>
      </c>
      <c r="S234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4" s="122">
        <f ca="1">+IF(PROVEEDORES[[#This Row],[FECHA DE PAGO]]=0,TODAY()-PROVEEDORES[[#This Row],[FECHA DE FACTURACIÓN]]-PROVEEDORES[[#This Row],[PLAZO Días]],0)</f>
        <v>22</v>
      </c>
      <c r="U234" s="122">
        <f>+VLOOKUP(PROVEEDORES[[#This Row],[PROVEEDOR]],Terceros!$A:$D,4,FALSE)</f>
        <v>0</v>
      </c>
      <c r="V234" s="122">
        <f>+YEAR(PROVEEDORES[[#This Row],[FECHA DE FACTURACIÓN]])</f>
        <v>2024</v>
      </c>
      <c r="W234" s="122">
        <f>+MATCH(PROVEEDORES[[#This Row],[año facturado]],Retenciones!$1:$1,0)</f>
        <v>3</v>
      </c>
      <c r="X234" s="123">
        <f>+VLOOKUP(PROVEEDORES[[#This Row],[ID RETENCION]],Retenciones!$A$1:$K$25,PROVEEDORES[[#This Row],[indicador de columna]],FALSE)</f>
        <v>0</v>
      </c>
      <c r="Y234" s="124">
        <f>+VLOOKUP(PROVEEDORES[[#This Row],[ID RETENCION]],Retenciones!$A$1:$K$25,2,FALSE)</f>
        <v>0</v>
      </c>
      <c r="Z234" s="125" t="b">
        <f>+OR(COUNTIF(PROVEEDORES[[#This Row],[PROVEEDOR]],"*"&amp;'Palabra que no opera y Listas d'!$A$2&amp;"*"))</f>
        <v>0</v>
      </c>
    </row>
    <row r="235" spans="1:26" ht="27.75" customHeight="1" x14ac:dyDescent="0.25">
      <c r="A235" s="112" t="str">
        <f>+IF(PROVEEDORES[[#This Row],[FECHA DE PAGO]]=PROVEEDORES[[#This Row],[FECHA DE FACTURACIÓN]],"DE CONTADO","CRÉDITO")</f>
        <v>CRÉDITO</v>
      </c>
      <c r="B235" s="112" t="b">
        <f>+IF((PROVEEDORES[[#This Row],[FECHA DE PAGO]]-PROVEEDORES[[#This Row],[FECHA DE FACTURACIÓN]])&gt;PROVEEDORES[[#This Row],[PLAZO Días]],"PAGO VENCIDO")</f>
        <v>0</v>
      </c>
      <c r="C235" s="112">
        <f>+VLOOKUP(PROVEEDORES[[#This Row],[PROVEEDOR]],TERCEROS_INFO[#All],2,FALSE)</f>
        <v>30</v>
      </c>
      <c r="D235" s="113">
        <f>+SUMIFS(PROVEEDORES[Total],PROVEEDORES[PROVEEDOR],PROVEEDORES[[#This Row],[PROVEEDOR]],PROVEEDORES[FECHA DE PAGO],"")</f>
        <v>2274598.13</v>
      </c>
      <c r="E235" s="114"/>
      <c r="F235" s="112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235" s="115"/>
      <c r="H235" s="116" t="s">
        <v>102</v>
      </c>
      <c r="I235" s="115">
        <v>45618</v>
      </c>
      <c r="J235" s="117" t="s">
        <v>859</v>
      </c>
      <c r="K235" s="117" t="s">
        <v>256</v>
      </c>
      <c r="L235" s="117"/>
      <c r="M235" s="118">
        <v>-247059</v>
      </c>
      <c r="N235" s="119">
        <v>-46941.21</v>
      </c>
      <c r="O235" s="119">
        <v>0</v>
      </c>
      <c r="P235" s="120">
        <v>0</v>
      </c>
      <c r="Q235" s="119">
        <v>0</v>
      </c>
      <c r="R235" s="121">
        <v>-294000.21000000002</v>
      </c>
      <c r="S235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5" s="122">
        <f ca="1">+IF(PROVEEDORES[[#This Row],[FECHA DE PAGO]]=0,TODAY()-PROVEEDORES[[#This Row],[FECHA DE FACTURACIÓN]]-PROVEEDORES[[#This Row],[PLAZO Días]],0)</f>
        <v>18</v>
      </c>
      <c r="U235" s="122" t="str">
        <f>+VLOOKUP(PROVEEDORES[[#This Row],[PROVEEDOR]],Terceros!$A:$D,4,FALSE)</f>
        <v>2,5% con base</v>
      </c>
      <c r="V235" s="122">
        <f>+YEAR(PROVEEDORES[[#This Row],[FECHA DE FACTURACIÓN]])</f>
        <v>2024</v>
      </c>
      <c r="W235" s="122">
        <f>+MATCH(PROVEEDORES[[#This Row],[año facturado]],Retenciones!$1:$1,0)</f>
        <v>3</v>
      </c>
      <c r="X235" s="123">
        <f>+VLOOKUP(PROVEEDORES[[#This Row],[ID RETENCION]],Retenciones!$A$1:$K$25,PROVEEDORES[[#This Row],[indicador de columna]],FALSE)</f>
        <v>1271000</v>
      </c>
      <c r="Y235" s="124">
        <f>+VLOOKUP(PROVEEDORES[[#This Row],[ID RETENCION]],Retenciones!$A$1:$K$25,2,FALSE)</f>
        <v>2.5000000000000001E-2</v>
      </c>
      <c r="Z235" s="125" t="b">
        <f>+OR(COUNTIF(PROVEEDORES[[#This Row],[PROVEEDOR]],"*"&amp;'Palabra que no opera y Listas d'!$A$2&amp;"*"))</f>
        <v>0</v>
      </c>
    </row>
    <row r="236" spans="1:26" ht="27.75" customHeight="1" x14ac:dyDescent="0.25">
      <c r="A236" s="112" t="str">
        <f>+IF(PROVEEDORES[[#This Row],[FECHA DE PAGO]]=PROVEEDORES[[#This Row],[FECHA DE FACTURACIÓN]],"DE CONTADO","CRÉDITO")</f>
        <v>CRÉDITO</v>
      </c>
      <c r="B236" s="112" t="b">
        <f>+IF((PROVEEDORES[[#This Row],[FECHA DE PAGO]]-PROVEEDORES[[#This Row],[FECHA DE FACTURACIÓN]])&gt;PROVEEDORES[[#This Row],[PLAZO Días]],"PAGO VENCIDO")</f>
        <v>0</v>
      </c>
      <c r="C236" s="112">
        <f>+VLOOKUP(PROVEEDORES[[#This Row],[PROVEEDOR]],TERCEROS_INFO[#All],2,FALSE)</f>
        <v>30</v>
      </c>
      <c r="D236" s="113">
        <f>+SUMIFS(PROVEEDORES[Total],PROVEEDORES[PROVEEDOR],PROVEEDORES[[#This Row],[PROVEEDOR]],PROVEEDORES[FECHA DE PAGO],"")</f>
        <v>2274598.13</v>
      </c>
      <c r="E236" s="114"/>
      <c r="F236" s="112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236" s="115"/>
      <c r="H236" s="116" t="s">
        <v>102</v>
      </c>
      <c r="I236" s="115">
        <v>45618</v>
      </c>
      <c r="J236" s="117" t="s">
        <v>860</v>
      </c>
      <c r="K236" s="117" t="s">
        <v>256</v>
      </c>
      <c r="L236" s="117"/>
      <c r="M236" s="118">
        <v>-70588</v>
      </c>
      <c r="N236" s="119">
        <v>-13411.72</v>
      </c>
      <c r="O236" s="119">
        <v>0</v>
      </c>
      <c r="P236" s="120">
        <v>0</v>
      </c>
      <c r="Q236" s="119">
        <v>0</v>
      </c>
      <c r="R236" s="121">
        <v>-83999.72</v>
      </c>
      <c r="S236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6" s="122">
        <f ca="1">+IF(PROVEEDORES[[#This Row],[FECHA DE PAGO]]=0,TODAY()-PROVEEDORES[[#This Row],[FECHA DE FACTURACIÓN]]-PROVEEDORES[[#This Row],[PLAZO Días]],0)</f>
        <v>18</v>
      </c>
      <c r="U236" s="122" t="str">
        <f>+VLOOKUP(PROVEEDORES[[#This Row],[PROVEEDOR]],Terceros!$A:$D,4,FALSE)</f>
        <v>2,5% con base</v>
      </c>
      <c r="V236" s="122">
        <f>+YEAR(PROVEEDORES[[#This Row],[FECHA DE FACTURACIÓN]])</f>
        <v>2024</v>
      </c>
      <c r="W236" s="122">
        <f>+MATCH(PROVEEDORES[[#This Row],[año facturado]],Retenciones!$1:$1,0)</f>
        <v>3</v>
      </c>
      <c r="X236" s="123">
        <f>+VLOOKUP(PROVEEDORES[[#This Row],[ID RETENCION]],Retenciones!$A$1:$K$25,PROVEEDORES[[#This Row],[indicador de columna]],FALSE)</f>
        <v>1271000</v>
      </c>
      <c r="Y236" s="124">
        <f>+VLOOKUP(PROVEEDORES[[#This Row],[ID RETENCION]],Retenciones!$A$1:$K$25,2,FALSE)</f>
        <v>2.5000000000000001E-2</v>
      </c>
      <c r="Z236" s="125" t="b">
        <f>+OR(COUNTIF(PROVEEDORES[[#This Row],[PROVEEDOR]],"*"&amp;'Palabra que no opera y Listas d'!$A$2&amp;"*"))</f>
        <v>0</v>
      </c>
    </row>
    <row r="237" spans="1:26" ht="27.75" customHeight="1" x14ac:dyDescent="0.25">
      <c r="A237" s="112" t="str">
        <f>+IF(PROVEEDORES[[#This Row],[FECHA DE PAGO]]=PROVEEDORES[[#This Row],[FECHA DE FACTURACIÓN]],"DE CONTADO","CRÉDITO")</f>
        <v>CRÉDITO</v>
      </c>
      <c r="B237" s="112" t="b">
        <f>+IF((PROVEEDORES[[#This Row],[FECHA DE PAGO]]-PROVEEDORES[[#This Row],[FECHA DE FACTURACIÓN]])&gt;PROVEEDORES[[#This Row],[PLAZO Días]],"PAGO VENCIDO")</f>
        <v>0</v>
      </c>
      <c r="C237" s="112">
        <f>+VLOOKUP(PROVEEDORES[[#This Row],[PROVEEDOR]],TERCEROS_INFO[#All],2,FALSE)</f>
        <v>90</v>
      </c>
      <c r="D237" s="113">
        <f>+SUMIFS(PROVEEDORES[Total],PROVEEDORES[PROVEEDOR],PROVEEDORES[[#This Row],[PROVEEDOR]],PROVEEDORES[FECHA DE PAGO],"")</f>
        <v>40359904.675000004</v>
      </c>
      <c r="E237" s="114"/>
      <c r="F237" s="112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37" s="115"/>
      <c r="H237" s="116" t="s">
        <v>11</v>
      </c>
      <c r="I237" s="115">
        <v>45622</v>
      </c>
      <c r="J237" s="117" t="s">
        <v>861</v>
      </c>
      <c r="K237" s="117" t="s">
        <v>256</v>
      </c>
      <c r="L237" s="117"/>
      <c r="M237" s="118">
        <v>10100835</v>
      </c>
      <c r="N237" s="119">
        <v>1919158.65</v>
      </c>
      <c r="O237" s="119">
        <v>0</v>
      </c>
      <c r="P237" s="120">
        <v>2.5000000000000001E-2</v>
      </c>
      <c r="Q237" s="119">
        <v>252520.875</v>
      </c>
      <c r="R237" s="121">
        <v>11767472.775</v>
      </c>
      <c r="S237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7" s="122">
        <f ca="1">+IF(PROVEEDORES[[#This Row],[FECHA DE PAGO]]=0,TODAY()-PROVEEDORES[[#This Row],[FECHA DE FACTURACIÓN]]-PROVEEDORES[[#This Row],[PLAZO Días]],0)</f>
        <v>-46</v>
      </c>
      <c r="U237" s="122" t="str">
        <f>+VLOOKUP(PROVEEDORES[[#This Row],[PROVEEDOR]],Terceros!$A:$D,4,FALSE)</f>
        <v>2,5% con base</v>
      </c>
      <c r="V237" s="122">
        <f>+YEAR(PROVEEDORES[[#This Row],[FECHA DE FACTURACIÓN]])</f>
        <v>2024</v>
      </c>
      <c r="W237" s="122">
        <f>+MATCH(PROVEEDORES[[#This Row],[año facturado]],Retenciones!$1:$1,0)</f>
        <v>3</v>
      </c>
      <c r="X237" s="123">
        <f>+VLOOKUP(PROVEEDORES[[#This Row],[ID RETENCION]],Retenciones!$A$1:$K$25,PROVEEDORES[[#This Row],[indicador de columna]],FALSE)</f>
        <v>1271000</v>
      </c>
      <c r="Y237" s="124">
        <f>+VLOOKUP(PROVEEDORES[[#This Row],[ID RETENCION]],Retenciones!$A$1:$K$25,2,FALSE)</f>
        <v>2.5000000000000001E-2</v>
      </c>
      <c r="Z237" s="125" t="b">
        <f>+OR(COUNTIF(PROVEEDORES[[#This Row],[PROVEEDOR]],"*"&amp;'Palabra que no opera y Listas d'!$A$2&amp;"*"))</f>
        <v>0</v>
      </c>
    </row>
    <row r="238" spans="1:26" ht="27.75" customHeight="1" x14ac:dyDescent="0.25">
      <c r="A238" s="112" t="str">
        <f>+IF(PROVEEDORES[[#This Row],[FECHA DE PAGO]]=PROVEEDORES[[#This Row],[FECHA DE FACTURACIÓN]],"DE CONTADO","CRÉDITO")</f>
        <v>CRÉDITO</v>
      </c>
      <c r="B238" s="112" t="b">
        <f>+IF((PROVEEDORES[[#This Row],[FECHA DE PAGO]]-PROVEEDORES[[#This Row],[FECHA DE FACTURACIÓN]])&gt;PROVEEDORES[[#This Row],[PLAZO Días]],"PAGO VENCIDO")</f>
        <v>0</v>
      </c>
      <c r="C238" s="112">
        <f>+VLOOKUP(PROVEEDORES[[#This Row],[PROVEEDOR]],TERCEROS_INFO[#All],2,FALSE)</f>
        <v>90</v>
      </c>
      <c r="D238" s="113">
        <f>+SUMIFS(PROVEEDORES[Total],PROVEEDORES[PROVEEDOR],PROVEEDORES[[#This Row],[PROVEEDOR]],PROVEEDORES[FECHA DE PAGO],"")</f>
        <v>40359904.675000004</v>
      </c>
      <c r="E238" s="114"/>
      <c r="F238" s="112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38" s="115"/>
      <c r="H238" s="116" t="s">
        <v>11</v>
      </c>
      <c r="I238" s="115">
        <v>45622</v>
      </c>
      <c r="J238" s="117" t="s">
        <v>862</v>
      </c>
      <c r="K238" s="117" t="s">
        <v>256</v>
      </c>
      <c r="L238" s="117"/>
      <c r="M238" s="118">
        <v>21794961</v>
      </c>
      <c r="N238" s="119">
        <v>4141042.59</v>
      </c>
      <c r="O238" s="119">
        <v>0</v>
      </c>
      <c r="P238" s="120">
        <v>2.5000000000000001E-2</v>
      </c>
      <c r="Q238" s="119">
        <v>544874.02500000002</v>
      </c>
      <c r="R238" s="121">
        <v>25391129.565000001</v>
      </c>
      <c r="S238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38" s="122">
        <f ca="1">+IF(PROVEEDORES[[#This Row],[FECHA DE PAGO]]=0,TODAY()-PROVEEDORES[[#This Row],[FECHA DE FACTURACIÓN]]-PROVEEDORES[[#This Row],[PLAZO Días]],0)</f>
        <v>-46</v>
      </c>
      <c r="U238" s="122" t="str">
        <f>+VLOOKUP(PROVEEDORES[[#This Row],[PROVEEDOR]],Terceros!$A:$D,4,FALSE)</f>
        <v>2,5% con base</v>
      </c>
      <c r="V238" s="122">
        <f>+YEAR(PROVEEDORES[[#This Row],[FECHA DE FACTURACIÓN]])</f>
        <v>2024</v>
      </c>
      <c r="W238" s="122">
        <f>+MATCH(PROVEEDORES[[#This Row],[año facturado]],Retenciones!$1:$1,0)</f>
        <v>3</v>
      </c>
      <c r="X238" s="123">
        <f>+VLOOKUP(PROVEEDORES[[#This Row],[ID RETENCION]],Retenciones!$A$1:$K$25,PROVEEDORES[[#This Row],[indicador de columna]],FALSE)</f>
        <v>1271000</v>
      </c>
      <c r="Y238" s="124">
        <f>+VLOOKUP(PROVEEDORES[[#This Row],[ID RETENCION]],Retenciones!$A$1:$K$25,2,FALSE)</f>
        <v>2.5000000000000001E-2</v>
      </c>
      <c r="Z238" s="125" t="b">
        <f>+OR(COUNTIF(PROVEEDORES[[#This Row],[PROVEEDOR]],"*"&amp;'Palabra que no opera y Listas d'!$A$2&amp;"*"))</f>
        <v>0</v>
      </c>
    </row>
    <row r="239" spans="1:26" ht="27.75" customHeight="1" x14ac:dyDescent="0.25">
      <c r="A239" s="112" t="str">
        <f>+IF(PROVEEDORES[[#This Row],[FECHA DE PAGO]]=PROVEEDORES[[#This Row],[FECHA DE FACTURACIÓN]],"DE CONTADO","CRÉDITO")</f>
        <v>CRÉDITO</v>
      </c>
      <c r="B239" s="112" t="b">
        <f>+IF((PROVEEDORES[[#This Row],[FECHA DE PAGO]]-PROVEEDORES[[#This Row],[FECHA DE FACTURACIÓN]])&gt;PROVEEDORES[[#This Row],[PLAZO Días]],"PAGO VENCIDO")</f>
        <v>0</v>
      </c>
      <c r="C239" s="112">
        <f>+VLOOKUP(PROVEEDORES[[#This Row],[PROVEEDOR]],TERCEROS_INFO[#All],2,FALSE)</f>
        <v>30</v>
      </c>
      <c r="D239" s="113">
        <f>+SUMIFS(PROVEEDORES[Total],PROVEEDORES[PROVEEDOR],PROVEEDORES[[#This Row],[PROVEEDOR]],PROVEEDORES[FECHA DE PAGO],"")</f>
        <v>179900</v>
      </c>
      <c r="E239" s="114"/>
      <c r="F239" s="112" t="str">
        <f>+VLOOKUP(PROVEEDORES[[#This Row],[PROVEEDOR]],
                       Terceros!$A:$F,
                       5,
                       FALSE)</f>
        <v/>
      </c>
      <c r="G239" s="115"/>
      <c r="H239" s="116" t="s">
        <v>855</v>
      </c>
      <c r="I239" s="115">
        <v>45625</v>
      </c>
      <c r="J239" s="117">
        <v>103</v>
      </c>
      <c r="K239" s="117" t="s">
        <v>256</v>
      </c>
      <c r="L239" s="117"/>
      <c r="M239" s="118">
        <v>44400</v>
      </c>
      <c r="N239" s="119"/>
      <c r="O239" s="119">
        <v>0</v>
      </c>
      <c r="P239" s="120">
        <v>0</v>
      </c>
      <c r="Q239" s="119">
        <v>0</v>
      </c>
      <c r="R239" s="121">
        <v>44400</v>
      </c>
      <c r="S239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39" s="122">
        <f ca="1">+IF(PROVEEDORES[[#This Row],[FECHA DE PAGO]]=0,TODAY()-PROVEEDORES[[#This Row],[FECHA DE FACTURACIÓN]]-PROVEEDORES[[#This Row],[PLAZO Días]],0)</f>
        <v>11</v>
      </c>
      <c r="U239" s="122">
        <f>+VLOOKUP(PROVEEDORES[[#This Row],[PROVEEDOR]],Terceros!$A:$D,4,FALSE)</f>
        <v>0</v>
      </c>
      <c r="V239" s="122">
        <f>+YEAR(PROVEEDORES[[#This Row],[FECHA DE FACTURACIÓN]])</f>
        <v>2024</v>
      </c>
      <c r="W239" s="122">
        <f>+MATCH(PROVEEDORES[[#This Row],[año facturado]],Retenciones!$1:$1,0)</f>
        <v>3</v>
      </c>
      <c r="X239" s="123">
        <f>+VLOOKUP(PROVEEDORES[[#This Row],[ID RETENCION]],Retenciones!$A$1:$K$25,PROVEEDORES[[#This Row],[indicador de columna]],FALSE)</f>
        <v>0</v>
      </c>
      <c r="Y239" s="124">
        <f>+VLOOKUP(PROVEEDORES[[#This Row],[ID RETENCION]],Retenciones!$A$1:$K$25,2,FALSE)</f>
        <v>0</v>
      </c>
      <c r="Z239" s="125" t="b">
        <f>+OR(COUNTIF(PROVEEDORES[[#This Row],[PROVEEDOR]],"*"&amp;'Palabra que no opera y Listas d'!$A$2&amp;"*"))</f>
        <v>0</v>
      </c>
    </row>
    <row r="240" spans="1:26" ht="27.75" customHeight="1" x14ac:dyDescent="0.25">
      <c r="A240" s="112" t="str">
        <f>+IF(PROVEEDORES[[#This Row],[FECHA DE PAGO]]=PROVEEDORES[[#This Row],[FECHA DE FACTURACIÓN]],"DE CONTADO","CRÉDITO")</f>
        <v>CRÉDITO</v>
      </c>
      <c r="B240" s="112" t="b">
        <f>+IF((PROVEEDORES[[#This Row],[FECHA DE PAGO]]-PROVEEDORES[[#This Row],[FECHA DE FACTURACIÓN]])&gt;PROVEEDORES[[#This Row],[PLAZO Días]],"PAGO VENCIDO")</f>
        <v>0</v>
      </c>
      <c r="C240" s="112">
        <f>+VLOOKUP(PROVEEDORES[[#This Row],[PROVEEDOR]],TERCEROS_INFO[#All],2,FALSE)</f>
        <v>90</v>
      </c>
      <c r="D240" s="113">
        <f>+SUMIFS(PROVEEDORES[Total],PROVEEDORES[PROVEEDOR],PROVEEDORES[[#This Row],[PROVEEDOR]],PROVEEDORES[FECHA DE PAGO],"")</f>
        <v>11185165</v>
      </c>
      <c r="E240" s="114"/>
      <c r="F240" s="112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40" s="115"/>
      <c r="H240" s="116" t="s">
        <v>20</v>
      </c>
      <c r="I240" s="115">
        <v>45628</v>
      </c>
      <c r="J240" s="117" t="s">
        <v>863</v>
      </c>
      <c r="K240" s="117" t="s">
        <v>256</v>
      </c>
      <c r="L240" s="117"/>
      <c r="M240" s="118">
        <v>9601000</v>
      </c>
      <c r="N240" s="119">
        <v>1824190</v>
      </c>
      <c r="O240" s="119">
        <v>0</v>
      </c>
      <c r="P240" s="120">
        <v>2.5000000000000001E-2</v>
      </c>
      <c r="Q240" s="119">
        <v>240025</v>
      </c>
      <c r="R240" s="121">
        <v>11185165</v>
      </c>
      <c r="S240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0" s="122">
        <f ca="1">+IF(PROVEEDORES[[#This Row],[FECHA DE PAGO]]=0,TODAY()-PROVEEDORES[[#This Row],[FECHA DE FACTURACIÓN]]-PROVEEDORES[[#This Row],[PLAZO Días]],0)</f>
        <v>-52</v>
      </c>
      <c r="U240" s="122" t="str">
        <f>+VLOOKUP(PROVEEDORES[[#This Row],[PROVEEDOR]],Terceros!$A:$D,4,FALSE)</f>
        <v>2,5% con base</v>
      </c>
      <c r="V240" s="122">
        <f>+YEAR(PROVEEDORES[[#This Row],[FECHA DE FACTURACIÓN]])</f>
        <v>2024</v>
      </c>
      <c r="W240" s="122">
        <f>+MATCH(PROVEEDORES[[#This Row],[año facturado]],Retenciones!$1:$1,0)</f>
        <v>3</v>
      </c>
      <c r="X240" s="123">
        <f>+VLOOKUP(PROVEEDORES[[#This Row],[ID RETENCION]],Retenciones!$A$1:$K$25,PROVEEDORES[[#This Row],[indicador de columna]],FALSE)</f>
        <v>1271000</v>
      </c>
      <c r="Y240" s="124">
        <f>+VLOOKUP(PROVEEDORES[[#This Row],[ID RETENCION]],Retenciones!$A$1:$K$25,2,FALSE)</f>
        <v>2.5000000000000001E-2</v>
      </c>
      <c r="Z240" s="125" t="b">
        <f>+OR(COUNTIF(PROVEEDORES[[#This Row],[PROVEEDOR]],"*"&amp;'Palabra que no opera y Listas d'!$A$2&amp;"*"))</f>
        <v>0</v>
      </c>
    </row>
    <row r="241" spans="1:26" ht="27.75" customHeight="1" x14ac:dyDescent="0.25">
      <c r="A241" s="112" t="str">
        <f>+IF(PROVEEDORES[[#This Row],[FECHA DE PAGO]]=PROVEEDORES[[#This Row],[FECHA DE FACTURACIÓN]],"DE CONTADO","CRÉDITO")</f>
        <v>CRÉDITO</v>
      </c>
      <c r="B241" s="112" t="b">
        <f>+IF((PROVEEDORES[[#This Row],[FECHA DE PAGO]]-PROVEEDORES[[#This Row],[FECHA DE FACTURACIÓN]])&gt;PROVEEDORES[[#This Row],[PLAZO Días]],"PAGO VENCIDO")</f>
        <v>0</v>
      </c>
      <c r="C241" s="112">
        <f>+VLOOKUP(PROVEEDORES[[#This Row],[PROVEEDOR]],TERCEROS_INFO[#All],2,FALSE)</f>
        <v>45</v>
      </c>
      <c r="D241" s="113">
        <f>+SUMIFS(PROVEEDORES[Total],PROVEEDORES[PROVEEDOR],PROVEEDORES[[#This Row],[PROVEEDOR]],PROVEEDORES[FECHA DE PAGO],"")</f>
        <v>7217585.0800000001</v>
      </c>
      <c r="E241" s="114"/>
      <c r="F241" s="112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1" s="115"/>
      <c r="H241" s="116" t="s">
        <v>9</v>
      </c>
      <c r="I241" s="115">
        <v>45628</v>
      </c>
      <c r="J241" s="117" t="s">
        <v>864</v>
      </c>
      <c r="K241" s="117" t="s">
        <v>210</v>
      </c>
      <c r="L241" s="117"/>
      <c r="M241" s="118">
        <v>3300000</v>
      </c>
      <c r="N241" s="119">
        <v>627000</v>
      </c>
      <c r="O241" s="119">
        <v>0</v>
      </c>
      <c r="P241" s="120">
        <v>2.5000000000000001E-2</v>
      </c>
      <c r="Q241" s="119">
        <v>82500</v>
      </c>
      <c r="R241" s="121">
        <v>3844500</v>
      </c>
      <c r="S241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1" s="122">
        <f ca="1">+IF(PROVEEDORES[[#This Row],[FECHA DE PAGO]]=0,TODAY()-PROVEEDORES[[#This Row],[FECHA DE FACTURACIÓN]]-PROVEEDORES[[#This Row],[PLAZO Días]],0)</f>
        <v>-7</v>
      </c>
      <c r="U241" s="122" t="str">
        <f>+VLOOKUP(PROVEEDORES[[#This Row],[PROVEEDOR]],Terceros!$A:$D,4,FALSE)</f>
        <v>2,5% con base</v>
      </c>
      <c r="V241" s="122">
        <f>+YEAR(PROVEEDORES[[#This Row],[FECHA DE FACTURACIÓN]])</f>
        <v>2024</v>
      </c>
      <c r="W241" s="122">
        <f>+MATCH(PROVEEDORES[[#This Row],[año facturado]],Retenciones!$1:$1,0)</f>
        <v>3</v>
      </c>
      <c r="X241" s="123">
        <f>+VLOOKUP(PROVEEDORES[[#This Row],[ID RETENCION]],Retenciones!$A$1:$K$25,PROVEEDORES[[#This Row],[indicador de columna]],FALSE)</f>
        <v>1271000</v>
      </c>
      <c r="Y241" s="124">
        <f>+VLOOKUP(PROVEEDORES[[#This Row],[ID RETENCION]],Retenciones!$A$1:$K$25,2,FALSE)</f>
        <v>2.5000000000000001E-2</v>
      </c>
      <c r="Z241" s="125" t="b">
        <f>+OR(COUNTIF(PROVEEDORES[[#This Row],[PROVEEDOR]],"*"&amp;'Palabra que no opera y Listas d'!$A$2&amp;"*"))</f>
        <v>0</v>
      </c>
    </row>
    <row r="242" spans="1:26" ht="27.75" customHeight="1" x14ac:dyDescent="0.25">
      <c r="A242" s="112" t="str">
        <f>+IF(PROVEEDORES[[#This Row],[FECHA DE PAGO]]=PROVEEDORES[[#This Row],[FECHA DE FACTURACIÓN]],"DE CONTADO","CRÉDITO")</f>
        <v>CRÉDITO</v>
      </c>
      <c r="B242" s="112" t="b">
        <f>+IF((PROVEEDORES[[#This Row],[FECHA DE PAGO]]-PROVEEDORES[[#This Row],[FECHA DE FACTURACIÓN]])&gt;PROVEEDORES[[#This Row],[PLAZO Días]],"PAGO VENCIDO")</f>
        <v>0</v>
      </c>
      <c r="C242" s="112">
        <f>+VLOOKUP(PROVEEDORES[[#This Row],[PROVEEDOR]],TERCEROS_INFO[#All],2,FALSE)</f>
        <v>30</v>
      </c>
      <c r="D242" s="113">
        <f>+SUMIFS(PROVEEDORES[Total],PROVEEDORES[PROVEEDOR],PROVEEDORES[[#This Row],[PROVEEDOR]],PROVEEDORES[FECHA DE PAGO],"")</f>
        <v>3593214.1599999997</v>
      </c>
      <c r="E242" s="114"/>
      <c r="F242" s="112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42" s="115"/>
      <c r="H242" s="116" t="s">
        <v>16</v>
      </c>
      <c r="I242" s="115">
        <v>45629</v>
      </c>
      <c r="J242" s="117" t="s">
        <v>865</v>
      </c>
      <c r="K242" s="117" t="s">
        <v>210</v>
      </c>
      <c r="L242" s="117"/>
      <c r="M242" s="118">
        <v>3084304</v>
      </c>
      <c r="N242" s="119">
        <v>586017.76</v>
      </c>
      <c r="O242" s="119">
        <v>0</v>
      </c>
      <c r="P242" s="120">
        <v>2.5000000000000001E-2</v>
      </c>
      <c r="Q242" s="119">
        <v>77107.600000000006</v>
      </c>
      <c r="R242" s="121">
        <v>3593214.1599999997</v>
      </c>
      <c r="S242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2" s="122">
        <f ca="1">+IF(PROVEEDORES[[#This Row],[FECHA DE PAGO]]=0,TODAY()-PROVEEDORES[[#This Row],[FECHA DE FACTURACIÓN]]-PROVEEDORES[[#This Row],[PLAZO Días]],0)</f>
        <v>7</v>
      </c>
      <c r="U242" s="122" t="str">
        <f>+VLOOKUP(PROVEEDORES[[#This Row],[PROVEEDOR]],Terceros!$A:$D,4,FALSE)</f>
        <v>2,5% con base</v>
      </c>
      <c r="V242" s="122">
        <f>+YEAR(PROVEEDORES[[#This Row],[FECHA DE FACTURACIÓN]])</f>
        <v>2024</v>
      </c>
      <c r="W242" s="122">
        <f>+MATCH(PROVEEDORES[[#This Row],[año facturado]],Retenciones!$1:$1,0)</f>
        <v>3</v>
      </c>
      <c r="X242" s="123">
        <f>+VLOOKUP(PROVEEDORES[[#This Row],[ID RETENCION]],Retenciones!$A$1:$K$25,PROVEEDORES[[#This Row],[indicador de columna]],FALSE)</f>
        <v>1271000</v>
      </c>
      <c r="Y242" s="124">
        <f>+VLOOKUP(PROVEEDORES[[#This Row],[ID RETENCION]],Retenciones!$A$1:$K$25,2,FALSE)</f>
        <v>2.5000000000000001E-2</v>
      </c>
      <c r="Z242" s="125" t="b">
        <f>+OR(COUNTIF(PROVEEDORES[[#This Row],[PROVEEDOR]],"*"&amp;'Palabra que no opera y Listas d'!$A$2&amp;"*"))</f>
        <v>0</v>
      </c>
    </row>
    <row r="243" spans="1:26" ht="27.75" customHeight="1" x14ac:dyDescent="0.25">
      <c r="A243" s="112" t="str">
        <f>+IF(PROVEEDORES[[#This Row],[FECHA DE PAGO]]=PROVEEDORES[[#This Row],[FECHA DE FACTURACIÓN]],"DE CONTADO","CRÉDITO")</f>
        <v>CRÉDITO</v>
      </c>
      <c r="B243" s="112" t="b">
        <f>+IF((PROVEEDORES[[#This Row],[FECHA DE PAGO]]-PROVEEDORES[[#This Row],[FECHA DE FACTURACIÓN]])&gt;PROVEEDORES[[#This Row],[PLAZO Días]],"PAGO VENCIDO")</f>
        <v>0</v>
      </c>
      <c r="C243" s="112">
        <f>+VLOOKUP(PROVEEDORES[[#This Row],[PROVEEDOR]],TERCEROS_INFO[#All],2,FALSE)</f>
        <v>30</v>
      </c>
      <c r="D243" s="113">
        <f>+SUMIFS(PROVEEDORES[Total],PROVEEDORES[PROVEEDOR],PROVEEDORES[[#This Row],[PROVEEDOR]],PROVEEDORES[FECHA DE PAGO],"")</f>
        <v>11737128.02</v>
      </c>
      <c r="E243" s="114"/>
      <c r="F243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243" s="115"/>
      <c r="H243" s="116" t="s">
        <v>536</v>
      </c>
      <c r="I243" s="115">
        <v>45630</v>
      </c>
      <c r="J243" s="117" t="s">
        <v>866</v>
      </c>
      <c r="K243" s="117" t="s">
        <v>256</v>
      </c>
      <c r="L243" s="117"/>
      <c r="M243" s="118">
        <v>1573949</v>
      </c>
      <c r="N243" s="119">
        <v>299050.31</v>
      </c>
      <c r="O243" s="119">
        <v>0</v>
      </c>
      <c r="P243" s="120">
        <v>2.5000000000000001E-2</v>
      </c>
      <c r="Q243" s="119">
        <v>39348.725000000006</v>
      </c>
      <c r="R243" s="121">
        <v>1833650.585</v>
      </c>
      <c r="S243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3" s="122">
        <f ca="1">+IF(PROVEEDORES[[#This Row],[FECHA DE PAGO]]=0,TODAY()-PROVEEDORES[[#This Row],[FECHA DE FACTURACIÓN]]-PROVEEDORES[[#This Row],[PLAZO Días]],0)</f>
        <v>6</v>
      </c>
      <c r="U243" s="122" t="str">
        <f>+VLOOKUP(PROVEEDORES[[#This Row],[PROVEEDOR]],Terceros!$A:$D,4,FALSE)</f>
        <v>2,5% con base</v>
      </c>
      <c r="V243" s="122">
        <f>+YEAR(PROVEEDORES[[#This Row],[FECHA DE FACTURACIÓN]])</f>
        <v>2024</v>
      </c>
      <c r="W243" s="122">
        <f>+MATCH(PROVEEDORES[[#This Row],[año facturado]],Retenciones!$1:$1,0)</f>
        <v>3</v>
      </c>
      <c r="X243" s="123">
        <f>+VLOOKUP(PROVEEDORES[[#This Row],[ID RETENCION]],Retenciones!$A$1:$K$25,PROVEEDORES[[#This Row],[indicador de columna]],FALSE)</f>
        <v>1271000</v>
      </c>
      <c r="Y243" s="124">
        <f>+VLOOKUP(PROVEEDORES[[#This Row],[ID RETENCION]],Retenciones!$A$1:$K$25,2,FALSE)</f>
        <v>2.5000000000000001E-2</v>
      </c>
      <c r="Z243" s="125" t="b">
        <f>+OR(COUNTIF(PROVEEDORES[[#This Row],[PROVEEDOR]],"*"&amp;'Palabra que no opera y Listas d'!$A$2&amp;"*"))</f>
        <v>0</v>
      </c>
    </row>
    <row r="244" spans="1:26" ht="27.75" customHeight="1" x14ac:dyDescent="0.25">
      <c r="A244" s="112" t="str">
        <f>+IF(PROVEEDORES[[#This Row],[FECHA DE PAGO]]=PROVEEDORES[[#This Row],[FECHA DE FACTURACIÓN]],"DE CONTADO","CRÉDITO")</f>
        <v>CRÉDITO</v>
      </c>
      <c r="B244" s="112" t="b">
        <f>+IF((PROVEEDORES[[#This Row],[FECHA DE PAGO]]-PROVEEDORES[[#This Row],[FECHA DE FACTURACIÓN]])&gt;PROVEEDORES[[#This Row],[PLAZO Días]],"PAGO VENCIDO")</f>
        <v>0</v>
      </c>
      <c r="C244" s="112">
        <f>+VLOOKUP(PROVEEDORES[[#This Row],[PROVEEDOR]],TERCEROS_INFO[#All],2,FALSE)</f>
        <v>30</v>
      </c>
      <c r="D244" s="113">
        <f>+SUMIFS(PROVEEDORES[Total],PROVEEDORES[PROVEEDOR],PROVEEDORES[[#This Row],[PROVEEDOR]],PROVEEDORES[FECHA DE PAGO],"")</f>
        <v>44303735.700000003</v>
      </c>
      <c r="E244" s="114"/>
      <c r="F244" s="112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44" s="115"/>
      <c r="H244" s="116" t="s">
        <v>293</v>
      </c>
      <c r="I244" s="115">
        <v>45631</v>
      </c>
      <c r="J244" s="117" t="s">
        <v>867</v>
      </c>
      <c r="K244" s="117" t="s">
        <v>210</v>
      </c>
      <c r="L244" s="117"/>
      <c r="M244" s="118">
        <v>4414995</v>
      </c>
      <c r="N244" s="119">
        <v>838849.05</v>
      </c>
      <c r="O244" s="119">
        <v>0</v>
      </c>
      <c r="P244" s="120">
        <v>0</v>
      </c>
      <c r="Q244" s="119">
        <v>0</v>
      </c>
      <c r="R244" s="121">
        <v>5253844.05</v>
      </c>
      <c r="S244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4" s="122">
        <f ca="1">+IF(PROVEEDORES[[#This Row],[FECHA DE PAGO]]=0,TODAY()-PROVEEDORES[[#This Row],[FECHA DE FACTURACIÓN]]-PROVEEDORES[[#This Row],[PLAZO Días]],0)</f>
        <v>5</v>
      </c>
      <c r="U244" s="122">
        <f>+VLOOKUP(PROVEEDORES[[#This Row],[PROVEEDOR]],Terceros!$A:$D,4,FALSE)</f>
        <v>0</v>
      </c>
      <c r="V244" s="122">
        <f>+YEAR(PROVEEDORES[[#This Row],[FECHA DE FACTURACIÓN]])</f>
        <v>2024</v>
      </c>
      <c r="W244" s="122">
        <f>+MATCH(PROVEEDORES[[#This Row],[año facturado]],Retenciones!$1:$1,0)</f>
        <v>3</v>
      </c>
      <c r="X244" s="123">
        <f>+VLOOKUP(PROVEEDORES[[#This Row],[ID RETENCION]],Retenciones!$A$1:$K$25,PROVEEDORES[[#This Row],[indicador de columna]],FALSE)</f>
        <v>0</v>
      </c>
      <c r="Y244" s="124">
        <f>+VLOOKUP(PROVEEDORES[[#This Row],[ID RETENCION]],Retenciones!$A$1:$K$25,2,FALSE)</f>
        <v>0</v>
      </c>
      <c r="Z244" s="125" t="b">
        <f>+OR(COUNTIF(PROVEEDORES[[#This Row],[PROVEEDOR]],"*"&amp;'Palabra que no opera y Listas d'!$A$2&amp;"*"))</f>
        <v>0</v>
      </c>
    </row>
    <row r="245" spans="1:26" ht="27.75" customHeight="1" x14ac:dyDescent="0.25">
      <c r="A245" s="112" t="str">
        <f>+IF(PROVEEDORES[[#This Row],[FECHA DE PAGO]]=PROVEEDORES[[#This Row],[FECHA DE FACTURACIÓN]],"DE CONTADO","CRÉDITO")</f>
        <v>CRÉDITO</v>
      </c>
      <c r="B245" s="112" t="b">
        <f>+IF((PROVEEDORES[[#This Row],[FECHA DE PAGO]]-PROVEEDORES[[#This Row],[FECHA DE FACTURACIÓN]])&gt;PROVEEDORES[[#This Row],[PLAZO Días]],"PAGO VENCIDO")</f>
        <v>0</v>
      </c>
      <c r="C245" s="112">
        <f>+VLOOKUP(PROVEEDORES[[#This Row],[PROVEEDOR]],TERCEROS_INFO[#All],2,FALSE)</f>
        <v>30</v>
      </c>
      <c r="D245" s="113">
        <f>+SUMIFS(PROVEEDORES[Total],PROVEEDORES[PROVEEDOR],PROVEEDORES[[#This Row],[PROVEEDOR]],PROVEEDORES[FECHA DE PAGO],"")</f>
        <v>44303735.700000003</v>
      </c>
      <c r="E245" s="114"/>
      <c r="F245" s="112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45" s="115"/>
      <c r="H245" s="116" t="s">
        <v>293</v>
      </c>
      <c r="I245" s="115">
        <v>45631</v>
      </c>
      <c r="J245" s="117" t="s">
        <v>868</v>
      </c>
      <c r="K245" s="117" t="s">
        <v>210</v>
      </c>
      <c r="L245" s="117"/>
      <c r="M245" s="118">
        <v>18049725</v>
      </c>
      <c r="N245" s="119">
        <v>3429447.75</v>
      </c>
      <c r="O245" s="119">
        <v>0</v>
      </c>
      <c r="P245" s="120">
        <v>0</v>
      </c>
      <c r="Q245" s="119">
        <v>0</v>
      </c>
      <c r="R245" s="121">
        <v>21479172.75</v>
      </c>
      <c r="S245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5" s="122">
        <f ca="1">+IF(PROVEEDORES[[#This Row],[FECHA DE PAGO]]=0,TODAY()-PROVEEDORES[[#This Row],[FECHA DE FACTURACIÓN]]-PROVEEDORES[[#This Row],[PLAZO Días]],0)</f>
        <v>5</v>
      </c>
      <c r="U245" s="122">
        <f>+VLOOKUP(PROVEEDORES[[#This Row],[PROVEEDOR]],Terceros!$A:$D,4,FALSE)</f>
        <v>0</v>
      </c>
      <c r="V245" s="122">
        <f>+YEAR(PROVEEDORES[[#This Row],[FECHA DE FACTURACIÓN]])</f>
        <v>2024</v>
      </c>
      <c r="W245" s="122">
        <f>+MATCH(PROVEEDORES[[#This Row],[año facturado]],Retenciones!$1:$1,0)</f>
        <v>3</v>
      </c>
      <c r="X245" s="123">
        <f>+VLOOKUP(PROVEEDORES[[#This Row],[ID RETENCION]],Retenciones!$A$1:$K$25,PROVEEDORES[[#This Row],[indicador de columna]],FALSE)</f>
        <v>0</v>
      </c>
      <c r="Y245" s="124">
        <f>+VLOOKUP(PROVEEDORES[[#This Row],[ID RETENCION]],Retenciones!$A$1:$K$25,2,FALSE)</f>
        <v>0</v>
      </c>
      <c r="Z245" s="125" t="b">
        <f>+OR(COUNTIF(PROVEEDORES[[#This Row],[PROVEEDOR]],"*"&amp;'Palabra que no opera y Listas d'!$A$2&amp;"*"))</f>
        <v>0</v>
      </c>
    </row>
    <row r="246" spans="1:26" ht="27.75" customHeight="1" x14ac:dyDescent="0.25">
      <c r="A246" s="112" t="str">
        <f>+IF(PROVEEDORES[[#This Row],[FECHA DE PAGO]]=PROVEEDORES[[#This Row],[FECHA DE FACTURACIÓN]],"DE CONTADO","CRÉDITO")</f>
        <v>CRÉDITO</v>
      </c>
      <c r="B246" s="112" t="b">
        <f>+IF((PROVEEDORES[[#This Row],[FECHA DE PAGO]]-PROVEEDORES[[#This Row],[FECHA DE FACTURACIÓN]])&gt;PROVEEDORES[[#This Row],[PLAZO Días]],"PAGO VENCIDO")</f>
        <v>0</v>
      </c>
      <c r="C246" s="112">
        <f>+VLOOKUP(PROVEEDORES[[#This Row],[PROVEEDOR]],TERCEROS_INFO[#All],2,FALSE)</f>
        <v>30</v>
      </c>
      <c r="D246" s="113">
        <f>+SUMIFS(PROVEEDORES[Total],PROVEEDORES[PROVEEDOR],PROVEEDORES[[#This Row],[PROVEEDOR]],PROVEEDORES[FECHA DE PAGO],"")</f>
        <v>44303735.700000003</v>
      </c>
      <c r="E246" s="114"/>
      <c r="F246" s="112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46" s="115"/>
      <c r="H246" s="116" t="s">
        <v>293</v>
      </c>
      <c r="I246" s="115">
        <v>45631</v>
      </c>
      <c r="J246" s="117" t="s">
        <v>869</v>
      </c>
      <c r="K246" s="117" t="s">
        <v>210</v>
      </c>
      <c r="L246" s="117"/>
      <c r="M246" s="118">
        <v>11921310</v>
      </c>
      <c r="N246" s="119">
        <v>2265048.9</v>
      </c>
      <c r="O246" s="119">
        <v>0</v>
      </c>
      <c r="P246" s="120">
        <v>0</v>
      </c>
      <c r="Q246" s="119">
        <v>0</v>
      </c>
      <c r="R246" s="121">
        <v>14186358.9</v>
      </c>
      <c r="S246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6" s="122">
        <f ca="1">+IF(PROVEEDORES[[#This Row],[FECHA DE PAGO]]=0,TODAY()-PROVEEDORES[[#This Row],[FECHA DE FACTURACIÓN]]-PROVEEDORES[[#This Row],[PLAZO Días]],0)</f>
        <v>5</v>
      </c>
      <c r="U246" s="122">
        <f>+VLOOKUP(PROVEEDORES[[#This Row],[PROVEEDOR]],Terceros!$A:$D,4,FALSE)</f>
        <v>0</v>
      </c>
      <c r="V246" s="122">
        <f>+YEAR(PROVEEDORES[[#This Row],[FECHA DE FACTURACIÓN]])</f>
        <v>2024</v>
      </c>
      <c r="W246" s="122">
        <f>+MATCH(PROVEEDORES[[#This Row],[año facturado]],Retenciones!$1:$1,0)</f>
        <v>3</v>
      </c>
      <c r="X246" s="123">
        <f>+VLOOKUP(PROVEEDORES[[#This Row],[ID RETENCION]],Retenciones!$A$1:$K$25,PROVEEDORES[[#This Row],[indicador de columna]],FALSE)</f>
        <v>0</v>
      </c>
      <c r="Y246" s="124">
        <f>+VLOOKUP(PROVEEDORES[[#This Row],[ID RETENCION]],Retenciones!$A$1:$K$25,2,FALSE)</f>
        <v>0</v>
      </c>
      <c r="Z246" s="125" t="b">
        <f>+OR(COUNTIF(PROVEEDORES[[#This Row],[PROVEEDOR]],"*"&amp;'Palabra que no opera y Listas d'!$A$2&amp;"*"))</f>
        <v>0</v>
      </c>
    </row>
    <row r="247" spans="1:26" ht="27.75" customHeight="1" x14ac:dyDescent="0.25">
      <c r="A247" s="112" t="str">
        <f>+IF(PROVEEDORES[[#This Row],[FECHA DE PAGO]]=PROVEEDORES[[#This Row],[FECHA DE FACTURACIÓN]],"DE CONTADO","CRÉDITO")</f>
        <v>CRÉDITO</v>
      </c>
      <c r="B247" s="112" t="b">
        <f>+IF((PROVEEDORES[[#This Row],[FECHA DE PAGO]]-PROVEEDORES[[#This Row],[FECHA DE FACTURACIÓN]])&gt;PROVEEDORES[[#This Row],[PLAZO Días]],"PAGO VENCIDO")</f>
        <v>0</v>
      </c>
      <c r="C247" s="112">
        <f>+VLOOKUP(PROVEEDORES[[#This Row],[PROVEEDOR]],TERCEROS_INFO[#All],2,FALSE)</f>
        <v>30</v>
      </c>
      <c r="D247" s="113">
        <f>+SUMIFS(PROVEEDORES[Total],PROVEEDORES[PROVEEDOR],PROVEEDORES[[#This Row],[PROVEEDOR]],PROVEEDORES[FECHA DE PAGO],"")</f>
        <v>44303735.700000003</v>
      </c>
      <c r="E247" s="114"/>
      <c r="F247" s="112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47" s="115"/>
      <c r="H247" s="116" t="s">
        <v>293</v>
      </c>
      <c r="I247" s="115">
        <v>45631</v>
      </c>
      <c r="J247" s="117" t="s">
        <v>870</v>
      </c>
      <c r="K247" s="117" t="s">
        <v>210</v>
      </c>
      <c r="L247" s="117"/>
      <c r="M247" s="118">
        <v>2844000</v>
      </c>
      <c r="N247" s="119">
        <v>540360</v>
      </c>
      <c r="O247" s="119">
        <v>0</v>
      </c>
      <c r="P247" s="120">
        <v>0</v>
      </c>
      <c r="Q247" s="119">
        <v>0</v>
      </c>
      <c r="R247" s="121">
        <v>3384360</v>
      </c>
      <c r="S247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47" s="122">
        <f ca="1">+IF(PROVEEDORES[[#This Row],[FECHA DE PAGO]]=0,TODAY()-PROVEEDORES[[#This Row],[FECHA DE FACTURACIÓN]]-PROVEEDORES[[#This Row],[PLAZO Días]],0)</f>
        <v>5</v>
      </c>
      <c r="U247" s="122">
        <f>+VLOOKUP(PROVEEDORES[[#This Row],[PROVEEDOR]],Terceros!$A:$D,4,FALSE)</f>
        <v>0</v>
      </c>
      <c r="V247" s="122">
        <f>+YEAR(PROVEEDORES[[#This Row],[FECHA DE FACTURACIÓN]])</f>
        <v>2024</v>
      </c>
      <c r="W247" s="122">
        <f>+MATCH(PROVEEDORES[[#This Row],[año facturado]],Retenciones!$1:$1,0)</f>
        <v>3</v>
      </c>
      <c r="X247" s="123">
        <f>+VLOOKUP(PROVEEDORES[[#This Row],[ID RETENCION]],Retenciones!$A$1:$K$25,PROVEEDORES[[#This Row],[indicador de columna]],FALSE)</f>
        <v>0</v>
      </c>
      <c r="Y247" s="124">
        <f>+VLOOKUP(PROVEEDORES[[#This Row],[ID RETENCION]],Retenciones!$A$1:$K$25,2,FALSE)</f>
        <v>0</v>
      </c>
      <c r="Z247" s="125" t="b">
        <f>+OR(COUNTIF(PROVEEDORES[[#This Row],[PROVEEDOR]],"*"&amp;'Palabra que no opera y Listas d'!$A$2&amp;"*"))</f>
        <v>0</v>
      </c>
    </row>
    <row r="248" spans="1:26" ht="27.75" customHeight="1" x14ac:dyDescent="0.25">
      <c r="A248" s="112" t="str">
        <f>+IF(PROVEEDORES[[#This Row],[FECHA DE PAGO]]=PROVEEDORES[[#This Row],[FECHA DE FACTURACIÓN]],"DE CONTADO","CRÉDITO")</f>
        <v>CRÉDITO</v>
      </c>
      <c r="B248" s="112" t="b">
        <f>+IF((PROVEEDORES[[#This Row],[FECHA DE PAGO]]-PROVEEDORES[[#This Row],[FECHA DE FACTURACIÓN]])&gt;PROVEEDORES[[#This Row],[PLAZO Días]],"PAGO VENCIDO")</f>
        <v>0</v>
      </c>
      <c r="C248" s="112">
        <f>+VLOOKUP(PROVEEDORES[[#This Row],[PROVEEDOR]],TERCEROS_INFO[#All],2,FALSE)</f>
        <v>45</v>
      </c>
      <c r="D248" s="113">
        <f>+SUMIFS(PROVEEDORES[Total],PROVEEDORES[PROVEEDOR],PROVEEDORES[[#This Row],[PROVEEDOR]],PROVEEDORES[FECHA DE PAGO],"")</f>
        <v>7217585.0800000001</v>
      </c>
      <c r="E248" s="114"/>
      <c r="F248" s="112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8" s="115"/>
      <c r="H248" s="116" t="s">
        <v>9</v>
      </c>
      <c r="I248" s="115">
        <v>45631</v>
      </c>
      <c r="J248" s="117" t="s">
        <v>871</v>
      </c>
      <c r="K248" s="117" t="s">
        <v>210</v>
      </c>
      <c r="L248" s="117"/>
      <c r="M248" s="118">
        <v>2895352</v>
      </c>
      <c r="N248" s="119">
        <v>550116.88</v>
      </c>
      <c r="O248" s="119">
        <v>0</v>
      </c>
      <c r="P248" s="120">
        <v>2.5000000000000001E-2</v>
      </c>
      <c r="Q248" s="119">
        <v>72383.8</v>
      </c>
      <c r="R248" s="121">
        <v>3373085.08</v>
      </c>
      <c r="S248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8" s="122">
        <f ca="1">+IF(PROVEEDORES[[#This Row],[FECHA DE PAGO]]=0,TODAY()-PROVEEDORES[[#This Row],[FECHA DE FACTURACIÓN]]-PROVEEDORES[[#This Row],[PLAZO Días]],0)</f>
        <v>-10</v>
      </c>
      <c r="U248" s="122" t="str">
        <f>+VLOOKUP(PROVEEDORES[[#This Row],[PROVEEDOR]],Terceros!$A:$D,4,FALSE)</f>
        <v>2,5% con base</v>
      </c>
      <c r="V248" s="122">
        <f>+YEAR(PROVEEDORES[[#This Row],[FECHA DE FACTURACIÓN]])</f>
        <v>2024</v>
      </c>
      <c r="W248" s="122">
        <f>+MATCH(PROVEEDORES[[#This Row],[año facturado]],Retenciones!$1:$1,0)</f>
        <v>3</v>
      </c>
      <c r="X248" s="123">
        <f>+VLOOKUP(PROVEEDORES[[#This Row],[ID RETENCION]],Retenciones!$A$1:$K$25,PROVEEDORES[[#This Row],[indicador de columna]],FALSE)</f>
        <v>1271000</v>
      </c>
      <c r="Y248" s="124">
        <f>+VLOOKUP(PROVEEDORES[[#This Row],[ID RETENCION]],Retenciones!$A$1:$K$25,2,FALSE)</f>
        <v>2.5000000000000001E-2</v>
      </c>
      <c r="Z248" s="125" t="b">
        <f>+OR(COUNTIF(PROVEEDORES[[#This Row],[PROVEEDOR]],"*"&amp;'Palabra que no opera y Listas d'!$A$2&amp;"*"))</f>
        <v>0</v>
      </c>
    </row>
    <row r="249" spans="1:26" ht="27.75" customHeight="1" x14ac:dyDescent="0.25">
      <c r="A249" s="112" t="str">
        <f>+IF(PROVEEDORES[[#This Row],[FECHA DE PAGO]]=PROVEEDORES[[#This Row],[FECHA DE FACTURACIÓN]],"DE CONTADO","CRÉDITO")</f>
        <v>CRÉDITO</v>
      </c>
      <c r="B249" s="112" t="b">
        <f>+IF((PROVEEDORES[[#This Row],[FECHA DE PAGO]]-PROVEEDORES[[#This Row],[FECHA DE FACTURACIÓN]])&gt;PROVEEDORES[[#This Row],[PLAZO Días]],"PAGO VENCIDO")</f>
        <v>0</v>
      </c>
      <c r="C249" s="112">
        <f>+VLOOKUP(PROVEEDORES[[#This Row],[PROVEEDOR]],TERCEROS_INFO[#All],2,FALSE)</f>
        <v>90</v>
      </c>
      <c r="D249" s="113">
        <f>+SUMIFS(PROVEEDORES[Total],PROVEEDORES[PROVEEDOR],PROVEEDORES[[#This Row],[PROVEEDOR]],PROVEEDORES[FECHA DE PAGO],"")</f>
        <v>40359904.675000004</v>
      </c>
      <c r="E249" s="114"/>
      <c r="F249" s="112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49" s="115"/>
      <c r="H249" s="116" t="s">
        <v>11</v>
      </c>
      <c r="I249" s="115">
        <v>45634</v>
      </c>
      <c r="J249" s="117" t="s">
        <v>872</v>
      </c>
      <c r="K249" s="117" t="s">
        <v>256</v>
      </c>
      <c r="L249" s="117"/>
      <c r="M249" s="118">
        <v>2747899</v>
      </c>
      <c r="N249" s="119">
        <v>522100.81</v>
      </c>
      <c r="O249" s="119">
        <v>0</v>
      </c>
      <c r="P249" s="120">
        <v>2.5000000000000001E-2</v>
      </c>
      <c r="Q249" s="119">
        <v>68697.475000000006</v>
      </c>
      <c r="R249" s="121">
        <v>3201302.335</v>
      </c>
      <c r="S249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49" s="122">
        <f ca="1">+IF(PROVEEDORES[[#This Row],[FECHA DE PAGO]]=0,TODAY()-PROVEEDORES[[#This Row],[FECHA DE FACTURACIÓN]]-PROVEEDORES[[#This Row],[PLAZO Días]],0)</f>
        <v>-58</v>
      </c>
      <c r="U249" s="122" t="str">
        <f>+VLOOKUP(PROVEEDORES[[#This Row],[PROVEEDOR]],Terceros!$A:$D,4,FALSE)</f>
        <v>2,5% con base</v>
      </c>
      <c r="V249" s="122">
        <f>+YEAR(PROVEEDORES[[#This Row],[FECHA DE FACTURACIÓN]])</f>
        <v>2024</v>
      </c>
      <c r="W249" s="122">
        <f>+MATCH(PROVEEDORES[[#This Row],[año facturado]],Retenciones!$1:$1,0)</f>
        <v>3</v>
      </c>
      <c r="X249" s="123">
        <f>+VLOOKUP(PROVEEDORES[[#This Row],[ID RETENCION]],Retenciones!$A$1:$K$25,PROVEEDORES[[#This Row],[indicador de columna]],FALSE)</f>
        <v>1271000</v>
      </c>
      <c r="Y249" s="124">
        <f>+VLOOKUP(PROVEEDORES[[#This Row],[ID RETENCION]],Retenciones!$A$1:$K$25,2,FALSE)</f>
        <v>2.5000000000000001E-2</v>
      </c>
      <c r="Z249" s="125" t="b">
        <f>+OR(COUNTIF(PROVEEDORES[[#This Row],[PROVEEDOR]],"*"&amp;'Palabra que no opera y Listas d'!$A$2&amp;"*"))</f>
        <v>0</v>
      </c>
    </row>
    <row r="250" spans="1:26" ht="27.75" customHeight="1" x14ac:dyDescent="0.25">
      <c r="A250" s="112" t="str">
        <f>+IF(PROVEEDORES[[#This Row],[FECHA DE PAGO]]=PROVEEDORES[[#This Row],[FECHA DE FACTURACIÓN]],"DE CONTADO","CRÉDITO")</f>
        <v>CRÉDITO</v>
      </c>
      <c r="B250" s="112" t="b">
        <f>+IF((PROVEEDORES[[#This Row],[FECHA DE PAGO]]-PROVEEDORES[[#This Row],[FECHA DE FACTURACIÓN]])&gt;PROVEEDORES[[#This Row],[PLAZO Días]],"PAGO VENCIDO")</f>
        <v>0</v>
      </c>
      <c r="C250" s="112">
        <f>+VLOOKUP(PROVEEDORES[[#This Row],[PROVEEDOR]],TERCEROS_INFO[#All],2,FALSE)</f>
        <v>30</v>
      </c>
      <c r="D250" s="113">
        <f>+SUMIFS(PROVEEDORES[Total],PROVEEDORES[PROVEEDOR],PROVEEDORES[[#This Row],[PROVEEDOR]],PROVEEDORES[FECHA DE PAGO],"")</f>
        <v>3430600</v>
      </c>
      <c r="E250" s="114"/>
      <c r="F250" s="112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50" s="115"/>
      <c r="H250" s="116" t="s">
        <v>304</v>
      </c>
      <c r="I250" s="115">
        <v>45635</v>
      </c>
      <c r="J250" s="117" t="s">
        <v>873</v>
      </c>
      <c r="K250" s="117" t="s">
        <v>256</v>
      </c>
      <c r="L250" s="117"/>
      <c r="M250" s="118">
        <v>3997000</v>
      </c>
      <c r="N250" s="119"/>
      <c r="O250" s="119">
        <v>599550</v>
      </c>
      <c r="P250" s="120">
        <v>0</v>
      </c>
      <c r="Q250" s="119">
        <v>0</v>
      </c>
      <c r="R250" s="121">
        <v>3397450</v>
      </c>
      <c r="S250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50" s="122">
        <f ca="1">+IF(PROVEEDORES[[#This Row],[FECHA DE PAGO]]=0,TODAY()-PROVEEDORES[[#This Row],[FECHA DE FACTURACIÓN]]-PROVEEDORES[[#This Row],[PLAZO Días]],0)</f>
        <v>1</v>
      </c>
      <c r="U250" s="122">
        <f>+VLOOKUP(PROVEEDORES[[#This Row],[PROVEEDOR]],Terceros!$A:$D,4,FALSE)</f>
        <v>0</v>
      </c>
      <c r="V250" s="122">
        <f>+YEAR(PROVEEDORES[[#This Row],[FECHA DE FACTURACIÓN]])</f>
        <v>2024</v>
      </c>
      <c r="W250" s="122">
        <f>+MATCH(PROVEEDORES[[#This Row],[año facturado]],Retenciones!$1:$1,0)</f>
        <v>3</v>
      </c>
      <c r="X250" s="123">
        <f>+VLOOKUP(PROVEEDORES[[#This Row],[ID RETENCION]],Retenciones!$A$1:$K$25,PROVEEDORES[[#This Row],[indicador de columna]],FALSE)</f>
        <v>0</v>
      </c>
      <c r="Y250" s="124">
        <f>+VLOOKUP(PROVEEDORES[[#This Row],[ID RETENCION]],Retenciones!$A$1:$K$25,2,FALSE)</f>
        <v>0</v>
      </c>
      <c r="Z250" s="125" t="b">
        <f>+OR(COUNTIF(PROVEEDORES[[#This Row],[PROVEEDOR]],"*"&amp;'Palabra que no opera y Listas d'!$A$2&amp;"*"))</f>
        <v>0</v>
      </c>
    </row>
    <row r="251" spans="1:26" ht="27.75" customHeight="1" x14ac:dyDescent="0.25">
      <c r="A251" s="112" t="str">
        <f>+IF(PROVEEDORES[[#This Row],[FECHA DE PAGO]]=PROVEEDORES[[#This Row],[FECHA DE FACTURACIÓN]],"DE CONTADO","CRÉDITO")</f>
        <v>CRÉDITO</v>
      </c>
      <c r="B251" s="112" t="b">
        <f>+IF((PROVEEDORES[[#This Row],[FECHA DE PAGO]]-PROVEEDORES[[#This Row],[FECHA DE FACTURACIÓN]])&gt;PROVEEDORES[[#This Row],[PLAZO Días]],"PAGO VENCIDO")</f>
        <v>0</v>
      </c>
      <c r="C251" s="112">
        <f>+VLOOKUP(PROVEEDORES[[#This Row],[PROVEEDOR]],TERCEROS_INFO[#All],2,FALSE)</f>
        <v>30</v>
      </c>
      <c r="D251" s="113">
        <f>+SUMIFS(PROVEEDORES[Total],PROVEEDORES[PROVEEDOR],PROVEEDORES[[#This Row],[PROVEEDOR]],PROVEEDORES[FECHA DE PAGO],"")</f>
        <v>4701954.13</v>
      </c>
      <c r="E251" s="114"/>
      <c r="F251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51" s="115"/>
      <c r="H251" s="116" t="s">
        <v>12</v>
      </c>
      <c r="I251" s="115">
        <v>45635</v>
      </c>
      <c r="J251" s="117" t="s">
        <v>874</v>
      </c>
      <c r="K251" s="117" t="s">
        <v>256</v>
      </c>
      <c r="L251" s="117"/>
      <c r="M251" s="118">
        <v>324827</v>
      </c>
      <c r="N251" s="119">
        <v>2090</v>
      </c>
      <c r="O251" s="119">
        <v>0</v>
      </c>
      <c r="P251" s="120">
        <v>0</v>
      </c>
      <c r="Q251" s="119">
        <v>0</v>
      </c>
      <c r="R251" s="121">
        <v>326917</v>
      </c>
      <c r="S251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51" s="122">
        <f ca="1">+IF(PROVEEDORES[[#This Row],[FECHA DE PAGO]]=0,TODAY()-PROVEEDORES[[#This Row],[FECHA DE FACTURACIÓN]]-PROVEEDORES[[#This Row],[PLAZO Días]],0)</f>
        <v>1</v>
      </c>
      <c r="U251" s="122">
        <f>+VLOOKUP(PROVEEDORES[[#This Row],[PROVEEDOR]],Terceros!$A:$D,4,FALSE)</f>
        <v>0</v>
      </c>
      <c r="V251" s="122">
        <f>+YEAR(PROVEEDORES[[#This Row],[FECHA DE FACTURACIÓN]])</f>
        <v>2024</v>
      </c>
      <c r="W251" s="122">
        <f>+MATCH(PROVEEDORES[[#This Row],[año facturado]],Retenciones!$1:$1,0)</f>
        <v>3</v>
      </c>
      <c r="X251" s="123">
        <f>+VLOOKUP(PROVEEDORES[[#This Row],[ID RETENCION]],Retenciones!$A$1:$K$25,PROVEEDORES[[#This Row],[indicador de columna]],FALSE)</f>
        <v>0</v>
      </c>
      <c r="Y251" s="124">
        <f>+VLOOKUP(PROVEEDORES[[#This Row],[ID RETENCION]],Retenciones!$A$1:$K$25,2,FALSE)</f>
        <v>0</v>
      </c>
      <c r="Z251" s="125" t="b">
        <f>+OR(COUNTIF(PROVEEDORES[[#This Row],[PROVEEDOR]],"*"&amp;'Palabra que no opera y Listas d'!$A$2&amp;"*"))</f>
        <v>0</v>
      </c>
    </row>
    <row r="252" spans="1:26" ht="27.75" customHeight="1" x14ac:dyDescent="0.25">
      <c r="A252" s="112" t="str">
        <f>+IF(PROVEEDORES[[#This Row],[FECHA DE PAGO]]=PROVEEDORES[[#This Row],[FECHA DE FACTURACIÓN]],"DE CONTADO","CRÉDITO")</f>
        <v>CRÉDITO</v>
      </c>
      <c r="B252" s="112" t="b">
        <f>+IF((PROVEEDORES[[#This Row],[FECHA DE PAGO]]-PROVEEDORES[[#This Row],[FECHA DE FACTURACIÓN]])&gt;PROVEEDORES[[#This Row],[PLAZO Días]],"PAGO VENCIDO")</f>
        <v>0</v>
      </c>
      <c r="C252" s="112">
        <f>+VLOOKUP(PROVEEDORES[[#This Row],[PROVEEDOR]],TERCEROS_INFO[#All],2,FALSE)</f>
        <v>30</v>
      </c>
      <c r="D252" s="113">
        <f>+SUMIFS(PROVEEDORES[Total],PROVEEDORES[PROVEEDOR],PROVEEDORES[[#This Row],[PROVEEDOR]],PROVEEDORES[FECHA DE PAGO],"")</f>
        <v>990000</v>
      </c>
      <c r="E252" s="114"/>
      <c r="F252" s="112" t="str">
        <f>+VLOOKUP(PROVEEDORES[[#This Row],[PROVEEDOR]],
                       Terceros!$A:$F,
                       5,
                       FALSE)</f>
        <v/>
      </c>
      <c r="G252" s="115"/>
      <c r="H252" s="116" t="s">
        <v>397</v>
      </c>
      <c r="I252" s="115">
        <v>45636</v>
      </c>
      <c r="J252" s="117" t="s">
        <v>875</v>
      </c>
      <c r="K252" s="117" t="s">
        <v>256</v>
      </c>
      <c r="L252" s="117"/>
      <c r="M252" s="118">
        <v>990000</v>
      </c>
      <c r="N252" s="119"/>
      <c r="O252" s="119">
        <v>0</v>
      </c>
      <c r="P252" s="120">
        <v>0</v>
      </c>
      <c r="Q252" s="119">
        <v>0</v>
      </c>
      <c r="R252" s="121">
        <v>990000</v>
      </c>
      <c r="S252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2" s="122">
        <f ca="1">+IF(PROVEEDORES[[#This Row],[FECHA DE PAGO]]=0,TODAY()-PROVEEDORES[[#This Row],[FECHA DE FACTURACIÓN]]-PROVEEDORES[[#This Row],[PLAZO Días]],0)</f>
        <v>0</v>
      </c>
      <c r="U252" s="122">
        <f>+VLOOKUP(PROVEEDORES[[#This Row],[PROVEEDOR]],Terceros!$A:$D,4,FALSE)</f>
        <v>0</v>
      </c>
      <c r="V252" s="122">
        <f>+YEAR(PROVEEDORES[[#This Row],[FECHA DE FACTURACIÓN]])</f>
        <v>2024</v>
      </c>
      <c r="W252" s="122">
        <f>+MATCH(PROVEEDORES[[#This Row],[año facturado]],Retenciones!$1:$1,0)</f>
        <v>3</v>
      </c>
      <c r="X252" s="123">
        <f>+VLOOKUP(PROVEEDORES[[#This Row],[ID RETENCION]],Retenciones!$A$1:$K$25,PROVEEDORES[[#This Row],[indicador de columna]],FALSE)</f>
        <v>0</v>
      </c>
      <c r="Y252" s="124">
        <f>+VLOOKUP(PROVEEDORES[[#This Row],[ID RETENCION]],Retenciones!$A$1:$K$25,2,FALSE)</f>
        <v>0</v>
      </c>
      <c r="Z252" s="125" t="b">
        <f>+OR(COUNTIF(PROVEEDORES[[#This Row],[PROVEEDOR]],"*"&amp;'Palabra que no opera y Listas d'!$A$2&amp;"*"))</f>
        <v>0</v>
      </c>
    </row>
    <row r="253" spans="1:26" ht="27.75" customHeight="1" x14ac:dyDescent="0.25">
      <c r="A253" s="112" t="str">
        <f>+IF(PROVEEDORES[[#This Row],[FECHA DE PAGO]]=PROVEEDORES[[#This Row],[FECHA DE FACTURACIÓN]],"DE CONTADO","CRÉDITO")</f>
        <v>CRÉDITO</v>
      </c>
      <c r="B253" s="112" t="b">
        <f>+IF((PROVEEDORES[[#This Row],[FECHA DE PAGO]]-PROVEEDORES[[#This Row],[FECHA DE FACTURACIÓN]])&gt;PROVEEDORES[[#This Row],[PLAZO Días]],"PAGO VENCIDO")</f>
        <v>0</v>
      </c>
      <c r="C253" s="112">
        <f>+VLOOKUP(PROVEEDORES[[#This Row],[PROVEEDOR]],TERCEROS_INFO[#All],2,FALSE)</f>
        <v>30</v>
      </c>
      <c r="D253" s="113">
        <f>+SUMIFS(PROVEEDORES[Total],PROVEEDORES[PROVEEDOR],PROVEEDORES[[#This Row],[PROVEEDOR]],PROVEEDORES[FECHA DE PAGO],"")</f>
        <v>11737128.02</v>
      </c>
      <c r="E253" s="114"/>
      <c r="F253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253" s="115"/>
      <c r="H253" s="116" t="s">
        <v>536</v>
      </c>
      <c r="I253" s="115">
        <v>45636</v>
      </c>
      <c r="J253" s="117" t="s">
        <v>876</v>
      </c>
      <c r="K253" s="117" t="s">
        <v>256</v>
      </c>
      <c r="L253" s="117"/>
      <c r="M253" s="118">
        <v>2120000</v>
      </c>
      <c r="N253" s="119">
        <v>402800</v>
      </c>
      <c r="O253" s="119">
        <v>0</v>
      </c>
      <c r="P253" s="120">
        <v>2.5000000000000001E-2</v>
      </c>
      <c r="Q253" s="119">
        <v>53000</v>
      </c>
      <c r="R253" s="121">
        <v>2469800</v>
      </c>
      <c r="S253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3" s="122">
        <f ca="1">+IF(PROVEEDORES[[#This Row],[FECHA DE PAGO]]=0,TODAY()-PROVEEDORES[[#This Row],[FECHA DE FACTURACIÓN]]-PROVEEDORES[[#This Row],[PLAZO Días]],0)</f>
        <v>0</v>
      </c>
      <c r="U253" s="122" t="str">
        <f>+VLOOKUP(PROVEEDORES[[#This Row],[PROVEEDOR]],Terceros!$A:$D,4,FALSE)</f>
        <v>2,5% con base</v>
      </c>
      <c r="V253" s="122">
        <f>+YEAR(PROVEEDORES[[#This Row],[FECHA DE FACTURACIÓN]])</f>
        <v>2024</v>
      </c>
      <c r="W253" s="122">
        <f>+MATCH(PROVEEDORES[[#This Row],[año facturado]],Retenciones!$1:$1,0)</f>
        <v>3</v>
      </c>
      <c r="X253" s="123">
        <f>+VLOOKUP(PROVEEDORES[[#This Row],[ID RETENCION]],Retenciones!$A$1:$K$25,PROVEEDORES[[#This Row],[indicador de columna]],FALSE)</f>
        <v>1271000</v>
      </c>
      <c r="Y253" s="124">
        <f>+VLOOKUP(PROVEEDORES[[#This Row],[ID RETENCION]],Retenciones!$A$1:$K$25,2,FALSE)</f>
        <v>2.5000000000000001E-2</v>
      </c>
      <c r="Z253" s="125" t="b">
        <f>+OR(COUNTIF(PROVEEDORES[[#This Row],[PROVEEDOR]],"*"&amp;'Palabra que no opera y Listas d'!$A$2&amp;"*"))</f>
        <v>0</v>
      </c>
    </row>
    <row r="254" spans="1:26" ht="27.75" customHeight="1" x14ac:dyDescent="0.25">
      <c r="A254" s="112" t="str">
        <f>+IF(PROVEEDORES[[#This Row],[FECHA DE PAGO]]=PROVEEDORES[[#This Row],[FECHA DE FACTURACIÓN]],"DE CONTADO","CRÉDITO")</f>
        <v>CRÉDITO</v>
      </c>
      <c r="B254" s="112" t="b">
        <f>+IF((PROVEEDORES[[#This Row],[FECHA DE PAGO]]-PROVEEDORES[[#This Row],[FECHA DE FACTURACIÓN]])&gt;PROVEEDORES[[#This Row],[PLAZO Días]],"PAGO VENCIDO")</f>
        <v>0</v>
      </c>
      <c r="C254" s="112">
        <f>+VLOOKUP(PROVEEDORES[[#This Row],[PROVEEDOR]],TERCEROS_INFO[#All],2,FALSE)</f>
        <v>30</v>
      </c>
      <c r="D254" s="113">
        <f>+SUMIFS(PROVEEDORES[Total],PROVEEDORES[PROVEEDOR],PROVEEDORES[[#This Row],[PROVEEDOR]],PROVEEDORES[FECHA DE PAGO],"")</f>
        <v>4701954.13</v>
      </c>
      <c r="E254" s="114"/>
      <c r="F254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54" s="115"/>
      <c r="H254" s="116" t="s">
        <v>12</v>
      </c>
      <c r="I254" s="115">
        <v>45636</v>
      </c>
      <c r="J254" s="117" t="s">
        <v>877</v>
      </c>
      <c r="K254" s="117" t="s">
        <v>256</v>
      </c>
      <c r="L254" s="117"/>
      <c r="M254" s="118">
        <v>324827</v>
      </c>
      <c r="N254" s="119"/>
      <c r="O254" s="119">
        <v>0</v>
      </c>
      <c r="P254" s="120">
        <v>0</v>
      </c>
      <c r="Q254" s="119">
        <v>0</v>
      </c>
      <c r="R254" s="121">
        <v>324827</v>
      </c>
      <c r="S254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4" s="122">
        <f ca="1">+IF(PROVEEDORES[[#This Row],[FECHA DE PAGO]]=0,TODAY()-PROVEEDORES[[#This Row],[FECHA DE FACTURACIÓN]]-PROVEEDORES[[#This Row],[PLAZO Días]],0)</f>
        <v>0</v>
      </c>
      <c r="U254" s="122">
        <f>+VLOOKUP(PROVEEDORES[[#This Row],[PROVEEDOR]],Terceros!$A:$D,4,FALSE)</f>
        <v>0</v>
      </c>
      <c r="V254" s="122">
        <f>+YEAR(PROVEEDORES[[#This Row],[FECHA DE FACTURACIÓN]])</f>
        <v>2024</v>
      </c>
      <c r="W254" s="122">
        <f>+MATCH(PROVEEDORES[[#This Row],[año facturado]],Retenciones!$1:$1,0)</f>
        <v>3</v>
      </c>
      <c r="X254" s="123">
        <f>+VLOOKUP(PROVEEDORES[[#This Row],[ID RETENCION]],Retenciones!$A$1:$K$25,PROVEEDORES[[#This Row],[indicador de columna]],FALSE)</f>
        <v>0</v>
      </c>
      <c r="Y254" s="124">
        <f>+VLOOKUP(PROVEEDORES[[#This Row],[ID RETENCION]],Retenciones!$A$1:$K$25,2,FALSE)</f>
        <v>0</v>
      </c>
      <c r="Z254" s="125" t="b">
        <f>+OR(COUNTIF(PROVEEDORES[[#This Row],[PROVEEDOR]],"*"&amp;'Palabra que no opera y Listas d'!$A$2&amp;"*"))</f>
        <v>0</v>
      </c>
    </row>
    <row r="255" spans="1:26" ht="27.75" customHeight="1" x14ac:dyDescent="0.25">
      <c r="A255" s="112" t="str">
        <f>+IF(PROVEEDORES[[#This Row],[FECHA DE PAGO]]=PROVEEDORES[[#This Row],[FECHA DE FACTURACIÓN]],"DE CONTADO","CRÉDITO")</f>
        <v>CRÉDITO</v>
      </c>
      <c r="B255" s="112" t="b">
        <f>+IF((PROVEEDORES[[#This Row],[FECHA DE PAGO]]-PROVEEDORES[[#This Row],[FECHA DE FACTURACIÓN]])&gt;PROVEEDORES[[#This Row],[PLAZO Días]],"PAGO VENCIDO")</f>
        <v>0</v>
      </c>
      <c r="C255" s="112">
        <f>+VLOOKUP(PROVEEDORES[[#This Row],[PROVEEDOR]],TERCEROS_INFO[#All],2,FALSE)</f>
        <v>30</v>
      </c>
      <c r="D255" s="113">
        <f>+SUMIFS(PROVEEDORES[Total],PROVEEDORES[PROVEEDOR],PROVEEDORES[[#This Row],[PROVEEDOR]],PROVEEDORES[FECHA DE PAGO],"")</f>
        <v>4701954.13</v>
      </c>
      <c r="E255" s="114"/>
      <c r="F255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55" s="115"/>
      <c r="H255" s="116" t="s">
        <v>12</v>
      </c>
      <c r="I255" s="115">
        <v>45636</v>
      </c>
      <c r="J255" s="117" t="s">
        <v>878</v>
      </c>
      <c r="K255" s="117" t="s">
        <v>256</v>
      </c>
      <c r="L255" s="117"/>
      <c r="M255" s="118">
        <v>1002556</v>
      </c>
      <c r="N255" s="119">
        <v>190485.64</v>
      </c>
      <c r="O255" s="119">
        <v>0</v>
      </c>
      <c r="P255" s="120">
        <v>0</v>
      </c>
      <c r="Q255" s="119">
        <v>0</v>
      </c>
      <c r="R255" s="121">
        <v>1193041.6400000001</v>
      </c>
      <c r="S255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5" s="122">
        <f ca="1">+IF(PROVEEDORES[[#This Row],[FECHA DE PAGO]]=0,TODAY()-PROVEEDORES[[#This Row],[FECHA DE FACTURACIÓN]]-PROVEEDORES[[#This Row],[PLAZO Días]],0)</f>
        <v>0</v>
      </c>
      <c r="U255" s="122">
        <f>+VLOOKUP(PROVEEDORES[[#This Row],[PROVEEDOR]],Terceros!$A:$D,4,FALSE)</f>
        <v>0</v>
      </c>
      <c r="V255" s="122">
        <f>+YEAR(PROVEEDORES[[#This Row],[FECHA DE FACTURACIÓN]])</f>
        <v>2024</v>
      </c>
      <c r="W255" s="122">
        <f>+MATCH(PROVEEDORES[[#This Row],[año facturado]],Retenciones!$1:$1,0)</f>
        <v>3</v>
      </c>
      <c r="X255" s="123">
        <f>+VLOOKUP(PROVEEDORES[[#This Row],[ID RETENCION]],Retenciones!$A$1:$K$25,PROVEEDORES[[#This Row],[indicador de columna]],FALSE)</f>
        <v>0</v>
      </c>
      <c r="Y255" s="124">
        <f>+VLOOKUP(PROVEEDORES[[#This Row],[ID RETENCION]],Retenciones!$A$1:$K$25,2,FALSE)</f>
        <v>0</v>
      </c>
      <c r="Z255" s="125" t="b">
        <f>+OR(COUNTIF(PROVEEDORES[[#This Row],[PROVEEDOR]],"*"&amp;'Palabra que no opera y Listas d'!$A$2&amp;"*"))</f>
        <v>0</v>
      </c>
    </row>
    <row r="256" spans="1:26" ht="27.75" customHeight="1" x14ac:dyDescent="0.25">
      <c r="A256" s="112" t="str">
        <f>+IF(PROVEEDORES[[#This Row],[FECHA DE PAGO]]=PROVEEDORES[[#This Row],[FECHA DE FACTURACIÓN]],"DE CONTADO","CRÉDITO")</f>
        <v>CRÉDITO</v>
      </c>
      <c r="B256" s="112" t="b">
        <f>+IF((PROVEEDORES[[#This Row],[FECHA DE PAGO]]-PROVEEDORES[[#This Row],[FECHA DE FACTURACIÓN]])&gt;PROVEEDORES[[#This Row],[PLAZO Días]],"PAGO VENCIDO")</f>
        <v>0</v>
      </c>
      <c r="C256" s="112">
        <f>+VLOOKUP(PROVEEDORES[[#This Row],[PROVEEDOR]],TERCEROS_INFO[#All],2,FALSE)</f>
        <v>30</v>
      </c>
      <c r="D256" s="113">
        <f>+SUMIFS(PROVEEDORES[Total],PROVEEDORES[PROVEEDOR],PROVEEDORES[[#This Row],[PROVEEDOR]],PROVEEDORES[FECHA DE PAGO],"")</f>
        <v>10855078.560000001</v>
      </c>
      <c r="E256" s="114"/>
      <c r="F256" s="112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56" s="115"/>
      <c r="H256" s="116" t="s">
        <v>10</v>
      </c>
      <c r="I256" s="115">
        <v>45636</v>
      </c>
      <c r="J256" s="117" t="s">
        <v>879</v>
      </c>
      <c r="K256" s="117" t="s">
        <v>256</v>
      </c>
      <c r="L256" s="117"/>
      <c r="M256" s="118">
        <v>9317664</v>
      </c>
      <c r="N256" s="119">
        <v>1770356.16</v>
      </c>
      <c r="O256" s="119">
        <v>0</v>
      </c>
      <c r="P256" s="120">
        <v>2.5000000000000001E-2</v>
      </c>
      <c r="Q256" s="119">
        <v>232941.6</v>
      </c>
      <c r="R256" s="121">
        <v>10855078.560000001</v>
      </c>
      <c r="S256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6" s="122">
        <f ca="1">+IF(PROVEEDORES[[#This Row],[FECHA DE PAGO]]=0,TODAY()-PROVEEDORES[[#This Row],[FECHA DE FACTURACIÓN]]-PROVEEDORES[[#This Row],[PLAZO Días]],0)</f>
        <v>0</v>
      </c>
      <c r="U256" s="122" t="str">
        <f>+VLOOKUP(PROVEEDORES[[#This Row],[PROVEEDOR]],Terceros!$A:$D,4,FALSE)</f>
        <v>2,5% con base</v>
      </c>
      <c r="V256" s="122">
        <f>+YEAR(PROVEEDORES[[#This Row],[FECHA DE FACTURACIÓN]])</f>
        <v>2024</v>
      </c>
      <c r="W256" s="122">
        <f>+MATCH(PROVEEDORES[[#This Row],[año facturado]],Retenciones!$1:$1,0)</f>
        <v>3</v>
      </c>
      <c r="X256" s="123">
        <f>+VLOOKUP(PROVEEDORES[[#This Row],[ID RETENCION]],Retenciones!$A$1:$K$25,PROVEEDORES[[#This Row],[indicador de columna]],FALSE)</f>
        <v>1271000</v>
      </c>
      <c r="Y256" s="124">
        <f>+VLOOKUP(PROVEEDORES[[#This Row],[ID RETENCION]],Retenciones!$A$1:$K$25,2,FALSE)</f>
        <v>2.5000000000000001E-2</v>
      </c>
      <c r="Z256" s="125" t="b">
        <f>+OR(COUNTIF(PROVEEDORES[[#This Row],[PROVEEDOR]],"*"&amp;'Palabra que no opera y Listas d'!$A$2&amp;"*"))</f>
        <v>0</v>
      </c>
    </row>
    <row r="257" spans="1:26" ht="27.75" customHeight="1" x14ac:dyDescent="0.25">
      <c r="A257" s="112" t="str">
        <f>+IF(PROVEEDORES[[#This Row],[FECHA DE PAGO]]=PROVEEDORES[[#This Row],[FECHA DE FACTURACIÓN]],"DE CONTADO","CRÉDITO")</f>
        <v>CRÉDITO</v>
      </c>
      <c r="B257" s="112" t="b">
        <f>+IF((PROVEEDORES[[#This Row],[FECHA DE PAGO]]-PROVEEDORES[[#This Row],[FECHA DE FACTURACIÓN]])&gt;PROVEEDORES[[#This Row],[PLAZO Días]],"PAGO VENCIDO")</f>
        <v>0</v>
      </c>
      <c r="C257" s="112">
        <f>+VLOOKUP(PROVEEDORES[[#This Row],[PROVEEDOR]],TERCEROS_INFO[#All],2,FALSE)</f>
        <v>30</v>
      </c>
      <c r="D257" s="113">
        <f>+SUMIFS(PROVEEDORES[Total],PROVEEDORES[PROVEEDOR],PROVEEDORES[[#This Row],[PROVEEDOR]],PROVEEDORES[FECHA DE PAGO],"")</f>
        <v>3902750</v>
      </c>
      <c r="E257" s="114"/>
      <c r="F257" s="112">
        <f>+VLOOKUP(PROVEEDORES[[#This Row],[PROVEEDOR]],
                       Terceros!$A:$F,
                       5,
                       FALSE)</f>
        <v>0</v>
      </c>
      <c r="G257" s="115"/>
      <c r="H257" s="116" t="s">
        <v>630</v>
      </c>
      <c r="I257" s="115">
        <v>45637</v>
      </c>
      <c r="J257" s="117" t="s">
        <v>880</v>
      </c>
      <c r="K257" s="117" t="s">
        <v>210</v>
      </c>
      <c r="L257" s="117"/>
      <c r="M257" s="118">
        <v>3350000</v>
      </c>
      <c r="N257" s="119">
        <v>636500</v>
      </c>
      <c r="O257" s="119">
        <v>0</v>
      </c>
      <c r="P257" s="120">
        <v>2.5000000000000001E-2</v>
      </c>
      <c r="Q257" s="119">
        <v>83750</v>
      </c>
      <c r="R257" s="121">
        <v>3902750</v>
      </c>
      <c r="S257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7" s="122">
        <f ca="1">+IF(PROVEEDORES[[#This Row],[FECHA DE PAGO]]=0,TODAY()-PROVEEDORES[[#This Row],[FECHA DE FACTURACIÓN]]-PROVEEDORES[[#This Row],[PLAZO Días]],0)</f>
        <v>-1</v>
      </c>
      <c r="U257" s="122" t="str">
        <f>+VLOOKUP(PROVEEDORES[[#This Row],[PROVEEDOR]],Terceros!$A:$D,4,FALSE)</f>
        <v>2,5% con base</v>
      </c>
      <c r="V257" s="122">
        <f>+YEAR(PROVEEDORES[[#This Row],[FECHA DE FACTURACIÓN]])</f>
        <v>2024</v>
      </c>
      <c r="W257" s="122">
        <f>+MATCH(PROVEEDORES[[#This Row],[año facturado]],Retenciones!$1:$1,0)</f>
        <v>3</v>
      </c>
      <c r="X257" s="123">
        <f>+VLOOKUP(PROVEEDORES[[#This Row],[ID RETENCION]],Retenciones!$A$1:$K$25,PROVEEDORES[[#This Row],[indicador de columna]],FALSE)</f>
        <v>1271000</v>
      </c>
      <c r="Y257" s="124">
        <f>+VLOOKUP(PROVEEDORES[[#This Row],[ID RETENCION]],Retenciones!$A$1:$K$25,2,FALSE)</f>
        <v>2.5000000000000001E-2</v>
      </c>
      <c r="Z257" s="125" t="b">
        <f>+OR(COUNTIF(PROVEEDORES[[#This Row],[PROVEEDOR]],"*"&amp;'Palabra que no opera y Listas d'!$A$2&amp;"*"))</f>
        <v>0</v>
      </c>
    </row>
    <row r="258" spans="1:26" ht="27.75" customHeight="1" x14ac:dyDescent="0.25">
      <c r="A258" s="112" t="str">
        <f>+IF(PROVEEDORES[[#This Row],[FECHA DE PAGO]]=PROVEEDORES[[#This Row],[FECHA DE FACTURACIÓN]],"DE CONTADO","CRÉDITO")</f>
        <v>CRÉDITO</v>
      </c>
      <c r="B258" s="112" t="b">
        <f>+IF((PROVEEDORES[[#This Row],[FECHA DE PAGO]]-PROVEEDORES[[#This Row],[FECHA DE FACTURACIÓN]])&gt;PROVEEDORES[[#This Row],[PLAZO Días]],"PAGO VENCIDO")</f>
        <v>0</v>
      </c>
      <c r="C258" s="112">
        <f>+VLOOKUP(PROVEEDORES[[#This Row],[PROVEEDOR]],TERCEROS_INFO[#All],2,FALSE)</f>
        <v>45</v>
      </c>
      <c r="D258" s="113">
        <f>+SUMIFS(PROVEEDORES[Total],PROVEEDORES[PROVEEDOR],PROVEEDORES[[#This Row],[PROVEEDOR]],PROVEEDORES[FECHA DE PAGO],"")</f>
        <v>17682305.199999999</v>
      </c>
      <c r="E258" s="114"/>
      <c r="F258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58" s="115"/>
      <c r="H258" s="116" t="s">
        <v>14</v>
      </c>
      <c r="I258" s="115">
        <v>45639</v>
      </c>
      <c r="J258" s="117" t="s">
        <v>881</v>
      </c>
      <c r="K258" s="117" t="s">
        <v>210</v>
      </c>
      <c r="L258" s="117"/>
      <c r="M258" s="118">
        <v>9440904</v>
      </c>
      <c r="N258" s="119">
        <v>1793771.76</v>
      </c>
      <c r="O258" s="119">
        <v>0</v>
      </c>
      <c r="P258" s="120">
        <v>0</v>
      </c>
      <c r="Q258" s="119">
        <v>0</v>
      </c>
      <c r="R258" s="121">
        <v>11234675.76</v>
      </c>
      <c r="S258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8" s="122">
        <f ca="1">+IF(PROVEEDORES[[#This Row],[FECHA DE PAGO]]=0,TODAY()-PROVEEDORES[[#This Row],[FECHA DE FACTURACIÓN]]-PROVEEDORES[[#This Row],[PLAZO Días]],0)</f>
        <v>-18</v>
      </c>
      <c r="U258" s="122">
        <f>+VLOOKUP(PROVEEDORES[[#This Row],[PROVEEDOR]],Terceros!$A:$D,4,FALSE)</f>
        <v>0</v>
      </c>
      <c r="V258" s="122">
        <f>+YEAR(PROVEEDORES[[#This Row],[FECHA DE FACTURACIÓN]])</f>
        <v>2024</v>
      </c>
      <c r="W258" s="122">
        <f>+MATCH(PROVEEDORES[[#This Row],[año facturado]],Retenciones!$1:$1,0)</f>
        <v>3</v>
      </c>
      <c r="X258" s="123">
        <f>+VLOOKUP(PROVEEDORES[[#This Row],[ID RETENCION]],Retenciones!$A$1:$K$25,PROVEEDORES[[#This Row],[indicador de columna]],FALSE)</f>
        <v>0</v>
      </c>
      <c r="Y258" s="124">
        <f>+VLOOKUP(PROVEEDORES[[#This Row],[ID RETENCION]],Retenciones!$A$1:$K$25,2,FALSE)</f>
        <v>0</v>
      </c>
      <c r="Z258" s="125" t="b">
        <f>+OR(COUNTIF(PROVEEDORES[[#This Row],[PROVEEDOR]],"*"&amp;'Palabra que no opera y Listas d'!$A$2&amp;"*"))</f>
        <v>0</v>
      </c>
    </row>
    <row r="259" spans="1:26" ht="27.75" customHeight="1" x14ac:dyDescent="0.25">
      <c r="A259" s="112" t="str">
        <f>+IF(PROVEEDORES[[#This Row],[FECHA DE PAGO]]=PROVEEDORES[[#This Row],[FECHA DE FACTURACIÓN]],"DE CONTADO","CRÉDITO")</f>
        <v>CRÉDITO</v>
      </c>
      <c r="B259" s="112" t="b">
        <f>+IF((PROVEEDORES[[#This Row],[FECHA DE PAGO]]-PROVEEDORES[[#This Row],[FECHA DE FACTURACIÓN]])&gt;PROVEEDORES[[#This Row],[PLAZO Días]],"PAGO VENCIDO")</f>
        <v>0</v>
      </c>
      <c r="C259" s="112">
        <f>+VLOOKUP(PROVEEDORES[[#This Row],[PROVEEDOR]],TERCEROS_INFO[#All],2,FALSE)</f>
        <v>30</v>
      </c>
      <c r="D259" s="113">
        <f>+SUMIFS(PROVEEDORES[Total],PROVEEDORES[PROVEEDOR],PROVEEDORES[[#This Row],[PROVEEDOR]],PROVEEDORES[FECHA DE PAGO],"")</f>
        <v>2496429.5699999998</v>
      </c>
      <c r="E259" s="114"/>
      <c r="F259" s="112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59" s="115"/>
      <c r="H259" s="116" t="s">
        <v>71</v>
      </c>
      <c r="I259" s="115">
        <v>45639</v>
      </c>
      <c r="J259" s="117" t="s">
        <v>882</v>
      </c>
      <c r="K259" s="117" t="s">
        <v>256</v>
      </c>
      <c r="L259" s="117"/>
      <c r="M259" s="118">
        <v>2142858</v>
      </c>
      <c r="N259" s="119">
        <v>407143.02</v>
      </c>
      <c r="O259" s="119">
        <v>0</v>
      </c>
      <c r="P259" s="120">
        <v>2.5000000000000001E-2</v>
      </c>
      <c r="Q259" s="119">
        <v>53571.450000000004</v>
      </c>
      <c r="R259" s="121">
        <v>2496429.5699999998</v>
      </c>
      <c r="S259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59" s="122">
        <f ca="1">+IF(PROVEEDORES[[#This Row],[FECHA DE PAGO]]=0,TODAY()-PROVEEDORES[[#This Row],[FECHA DE FACTURACIÓN]]-PROVEEDORES[[#This Row],[PLAZO Días]],0)</f>
        <v>-3</v>
      </c>
      <c r="U259" s="122" t="str">
        <f>+VLOOKUP(PROVEEDORES[[#This Row],[PROVEEDOR]],Terceros!$A:$D,4,FALSE)</f>
        <v>2,5% con base</v>
      </c>
      <c r="V259" s="122">
        <f>+YEAR(PROVEEDORES[[#This Row],[FECHA DE FACTURACIÓN]])</f>
        <v>2024</v>
      </c>
      <c r="W259" s="122">
        <f>+MATCH(PROVEEDORES[[#This Row],[año facturado]],Retenciones!$1:$1,0)</f>
        <v>3</v>
      </c>
      <c r="X259" s="123">
        <f>+VLOOKUP(PROVEEDORES[[#This Row],[ID RETENCION]],Retenciones!$A$1:$K$25,PROVEEDORES[[#This Row],[indicador de columna]],FALSE)</f>
        <v>1271000</v>
      </c>
      <c r="Y259" s="124">
        <f>+VLOOKUP(PROVEEDORES[[#This Row],[ID RETENCION]],Retenciones!$A$1:$K$25,2,FALSE)</f>
        <v>2.5000000000000001E-2</v>
      </c>
      <c r="Z259" s="125" t="b">
        <f>+OR(COUNTIF(PROVEEDORES[[#This Row],[PROVEEDOR]],"*"&amp;'Palabra que no opera y Listas d'!$A$2&amp;"*"))</f>
        <v>0</v>
      </c>
    </row>
    <row r="260" spans="1:26" ht="27.75" customHeight="1" x14ac:dyDescent="0.25">
      <c r="A260" s="112" t="str">
        <f>+IF(PROVEEDORES[[#This Row],[FECHA DE PAGO]]=PROVEEDORES[[#This Row],[FECHA DE FACTURACIÓN]],"DE CONTADO","CRÉDITO")</f>
        <v>CRÉDITO</v>
      </c>
      <c r="B260" s="112" t="b">
        <f>+IF((PROVEEDORES[[#This Row],[FECHA DE PAGO]]-PROVEEDORES[[#This Row],[FECHA DE FACTURACIÓN]])&gt;PROVEEDORES[[#This Row],[PLAZO Días]],"PAGO VENCIDO")</f>
        <v>0</v>
      </c>
      <c r="C260" s="112">
        <f>+VLOOKUP(PROVEEDORES[[#This Row],[PROVEEDOR]],TERCEROS_INFO[#All],2,FALSE)</f>
        <v>30</v>
      </c>
      <c r="D260" s="113">
        <f>+SUMIFS(PROVEEDORES[Total],PROVEEDORES[PROVEEDOR],PROVEEDORES[[#This Row],[PROVEEDOR]],PROVEEDORES[FECHA DE PAGO],"")</f>
        <v>17328000</v>
      </c>
      <c r="E260" s="114"/>
      <c r="F260" s="112">
        <f>+VLOOKUP(PROVEEDORES[[#This Row],[PROVEEDOR]],
                       Terceros!$A:$F,
                       5,
                       FALSE)</f>
        <v>0</v>
      </c>
      <c r="G260" s="115"/>
      <c r="H260" s="116" t="s">
        <v>655</v>
      </c>
      <c r="I260" s="115">
        <v>45642</v>
      </c>
      <c r="J260" s="117" t="s">
        <v>883</v>
      </c>
      <c r="K260" s="117" t="s">
        <v>256</v>
      </c>
      <c r="L260" s="117"/>
      <c r="M260" s="118">
        <v>12932000</v>
      </c>
      <c r="N260" s="119"/>
      <c r="O260" s="119">
        <v>0</v>
      </c>
      <c r="P260" s="120">
        <v>0</v>
      </c>
      <c r="Q260" s="119">
        <v>0</v>
      </c>
      <c r="R260" s="121">
        <v>12932000</v>
      </c>
      <c r="S260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0" s="122">
        <f ca="1">+IF(PROVEEDORES[[#This Row],[FECHA DE PAGO]]=0,TODAY()-PROVEEDORES[[#This Row],[FECHA DE FACTURACIÓN]]-PROVEEDORES[[#This Row],[PLAZO Días]],0)</f>
        <v>-6</v>
      </c>
      <c r="U260" s="122">
        <f>+VLOOKUP(PROVEEDORES[[#This Row],[PROVEEDOR]],Terceros!$A:$D,4,FALSE)</f>
        <v>0</v>
      </c>
      <c r="V260" s="122">
        <f>+YEAR(PROVEEDORES[[#This Row],[FECHA DE FACTURACIÓN]])</f>
        <v>2024</v>
      </c>
      <c r="W260" s="122">
        <f>+MATCH(PROVEEDORES[[#This Row],[año facturado]],Retenciones!$1:$1,0)</f>
        <v>3</v>
      </c>
      <c r="X260" s="123">
        <f>+VLOOKUP(PROVEEDORES[[#This Row],[ID RETENCION]],Retenciones!$A$1:$K$25,PROVEEDORES[[#This Row],[indicador de columna]],FALSE)</f>
        <v>0</v>
      </c>
      <c r="Y260" s="124">
        <f>+VLOOKUP(PROVEEDORES[[#This Row],[ID RETENCION]],Retenciones!$A$1:$K$25,2,FALSE)</f>
        <v>0</v>
      </c>
      <c r="Z260" s="125" t="b">
        <f>+OR(COUNTIF(PROVEEDORES[[#This Row],[PROVEEDOR]],"*"&amp;'Palabra que no opera y Listas d'!$A$2&amp;"*"))</f>
        <v>0</v>
      </c>
    </row>
    <row r="261" spans="1:26" ht="27.75" customHeight="1" x14ac:dyDescent="0.25">
      <c r="A261" s="112" t="str">
        <f>+IF(PROVEEDORES[[#This Row],[FECHA DE PAGO]]=PROVEEDORES[[#This Row],[FECHA DE FACTURACIÓN]],"DE CONTADO","CRÉDITO")</f>
        <v>CRÉDITO</v>
      </c>
      <c r="B261" s="112" t="b">
        <f>+IF((PROVEEDORES[[#This Row],[FECHA DE PAGO]]-PROVEEDORES[[#This Row],[FECHA DE FACTURACIÓN]])&gt;PROVEEDORES[[#This Row],[PLAZO Días]],"PAGO VENCIDO")</f>
        <v>0</v>
      </c>
      <c r="C261" s="112">
        <f>+VLOOKUP(PROVEEDORES[[#This Row],[PROVEEDOR]],TERCEROS_INFO[#All],2,FALSE)</f>
        <v>60</v>
      </c>
      <c r="D261" s="113">
        <f>+SUMIFS(PROVEEDORES[Total],PROVEEDORES[PROVEEDOR],PROVEEDORES[[#This Row],[PROVEEDOR]],PROVEEDORES[FECHA DE PAGO],"")</f>
        <v>1468167.95</v>
      </c>
      <c r="E261" s="114"/>
      <c r="F261" s="112" t="str">
        <f>+VLOOKUP(PROVEEDORES[[#This Row],[PROVEEDOR]],
                       Terceros!$A:$F,
                       5,
                       FALSE)</f>
        <v>wruiz@tsqsa.com;girlesa.ruiz@servipilas.com;joriescobar64@gmail.com</v>
      </c>
      <c r="G261" s="115"/>
      <c r="H261" s="116" t="s">
        <v>28</v>
      </c>
      <c r="I261" s="115">
        <v>45642</v>
      </c>
      <c r="J261" s="117" t="s">
        <v>884</v>
      </c>
      <c r="K261" s="117" t="s">
        <v>256</v>
      </c>
      <c r="L261" s="117"/>
      <c r="M261" s="118">
        <v>1260230</v>
      </c>
      <c r="N261" s="119">
        <v>239443.7</v>
      </c>
      <c r="O261" s="119">
        <v>0</v>
      </c>
      <c r="P261" s="120">
        <v>0</v>
      </c>
      <c r="Q261" s="119">
        <v>31505.75</v>
      </c>
      <c r="R261" s="121">
        <v>1468167.95</v>
      </c>
      <c r="S261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1" s="122">
        <f ca="1">+IF(PROVEEDORES[[#This Row],[FECHA DE PAGO]]=0,TODAY()-PROVEEDORES[[#This Row],[FECHA DE FACTURACIÓN]]-PROVEEDORES[[#This Row],[PLAZO Días]],0)</f>
        <v>-36</v>
      </c>
      <c r="U261" s="122" t="str">
        <f>+VLOOKUP(PROVEEDORES[[#This Row],[PROVEEDOR]],Terceros!$A:$D,4,FALSE)</f>
        <v>2,5% con base</v>
      </c>
      <c r="V261" s="122">
        <f>+YEAR(PROVEEDORES[[#This Row],[FECHA DE FACTURACIÓN]])</f>
        <v>2024</v>
      </c>
      <c r="W261" s="122">
        <f>+MATCH(PROVEEDORES[[#This Row],[año facturado]],Retenciones!$1:$1,0)</f>
        <v>3</v>
      </c>
      <c r="X261" s="123">
        <f>+VLOOKUP(PROVEEDORES[[#This Row],[ID RETENCION]],Retenciones!$A$1:$K$25,PROVEEDORES[[#This Row],[indicador de columna]],FALSE)</f>
        <v>1271000</v>
      </c>
      <c r="Y261" s="124">
        <f>+VLOOKUP(PROVEEDORES[[#This Row],[ID RETENCION]],Retenciones!$A$1:$K$25,2,FALSE)</f>
        <v>2.5000000000000001E-2</v>
      </c>
      <c r="Z261" s="125" t="b">
        <f>+OR(COUNTIF(PROVEEDORES[[#This Row],[PROVEEDOR]],"*"&amp;'Palabra que no opera y Listas d'!$A$2&amp;"*"))</f>
        <v>0</v>
      </c>
    </row>
    <row r="262" spans="1:26" ht="27.75" customHeight="1" x14ac:dyDescent="0.25">
      <c r="A262" s="112" t="str">
        <f>+IF(PROVEEDORES[[#This Row],[FECHA DE PAGO]]=PROVEEDORES[[#This Row],[FECHA DE FACTURACIÓN]],"DE CONTADO","CRÉDITO")</f>
        <v>CRÉDITO</v>
      </c>
      <c r="B262" s="112" t="b">
        <f>+IF((PROVEEDORES[[#This Row],[FECHA DE PAGO]]-PROVEEDORES[[#This Row],[FECHA DE FACTURACIÓN]])&gt;PROVEEDORES[[#This Row],[PLAZO Días]],"PAGO VENCIDO")</f>
        <v>0</v>
      </c>
      <c r="C262" s="112">
        <f>+VLOOKUP(PROVEEDORES[[#This Row],[PROVEEDOR]],TERCEROS_INFO[#All],2,FALSE)</f>
        <v>30</v>
      </c>
      <c r="D262" s="113">
        <f>+SUMIFS(PROVEEDORES[Total],PROVEEDORES[PROVEEDOR],PROVEEDORES[[#This Row],[PROVEEDOR]],PROVEEDORES[FECHA DE PAGO],"")</f>
        <v>4701954.13</v>
      </c>
      <c r="E262" s="114"/>
      <c r="F262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62" s="115"/>
      <c r="H262" s="116" t="s">
        <v>12</v>
      </c>
      <c r="I262" s="115">
        <v>45642</v>
      </c>
      <c r="J262" s="117" t="s">
        <v>885</v>
      </c>
      <c r="K262" s="117" t="s">
        <v>256</v>
      </c>
      <c r="L262" s="117"/>
      <c r="M262" s="118">
        <v>330000</v>
      </c>
      <c r="N262" s="119"/>
      <c r="O262" s="119">
        <v>0</v>
      </c>
      <c r="P262" s="120">
        <v>0</v>
      </c>
      <c r="Q262" s="119">
        <v>0</v>
      </c>
      <c r="R262" s="121">
        <v>330000</v>
      </c>
      <c r="S262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2" s="122">
        <f ca="1">+IF(PROVEEDORES[[#This Row],[FECHA DE PAGO]]=0,TODAY()-PROVEEDORES[[#This Row],[FECHA DE FACTURACIÓN]]-PROVEEDORES[[#This Row],[PLAZO Días]],0)</f>
        <v>-6</v>
      </c>
      <c r="U262" s="122">
        <f>+VLOOKUP(PROVEEDORES[[#This Row],[PROVEEDOR]],Terceros!$A:$D,4,FALSE)</f>
        <v>0</v>
      </c>
      <c r="V262" s="122">
        <f>+YEAR(PROVEEDORES[[#This Row],[FECHA DE FACTURACIÓN]])</f>
        <v>2024</v>
      </c>
      <c r="W262" s="122">
        <f>+MATCH(PROVEEDORES[[#This Row],[año facturado]],Retenciones!$1:$1,0)</f>
        <v>3</v>
      </c>
      <c r="X262" s="123">
        <f>+VLOOKUP(PROVEEDORES[[#This Row],[ID RETENCION]],Retenciones!$A$1:$K$25,PROVEEDORES[[#This Row],[indicador de columna]],FALSE)</f>
        <v>0</v>
      </c>
      <c r="Y262" s="124">
        <f>+VLOOKUP(PROVEEDORES[[#This Row],[ID RETENCION]],Retenciones!$A$1:$K$25,2,FALSE)</f>
        <v>0</v>
      </c>
      <c r="Z262" s="125" t="b">
        <f>+OR(COUNTIF(PROVEEDORES[[#This Row],[PROVEEDOR]],"*"&amp;'Palabra que no opera y Listas d'!$A$2&amp;"*"))</f>
        <v>0</v>
      </c>
    </row>
    <row r="263" spans="1:26" ht="27.75" customHeight="1" x14ac:dyDescent="0.25">
      <c r="A263" s="112" t="str">
        <f>+IF(PROVEEDORES[[#This Row],[FECHA DE PAGO]]=PROVEEDORES[[#This Row],[FECHA DE FACTURACIÓN]],"DE CONTADO","CRÉDITO")</f>
        <v>CRÉDITO</v>
      </c>
      <c r="B263" s="112" t="b">
        <f>+IF((PROVEEDORES[[#This Row],[FECHA DE PAGO]]-PROVEEDORES[[#This Row],[FECHA DE FACTURACIÓN]])&gt;PROVEEDORES[[#This Row],[PLAZO Días]],"PAGO VENCIDO")</f>
        <v>0</v>
      </c>
      <c r="C263" s="112">
        <f>+VLOOKUP(PROVEEDORES[[#This Row],[PROVEEDOR]],TERCEROS_INFO[#All],2,FALSE)</f>
        <v>30</v>
      </c>
      <c r="D263" s="113">
        <f>+SUMIFS(PROVEEDORES[Total],PROVEEDORES[PROVEEDOR],PROVEEDORES[[#This Row],[PROVEEDOR]],PROVEEDORES[FECHA DE PAGO],"")</f>
        <v>4701954.13</v>
      </c>
      <c r="E263" s="114"/>
      <c r="F263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63" s="115"/>
      <c r="H263" s="116" t="s">
        <v>12</v>
      </c>
      <c r="I263" s="115">
        <v>45642</v>
      </c>
      <c r="J263" s="117" t="s">
        <v>886</v>
      </c>
      <c r="K263" s="117" t="s">
        <v>256</v>
      </c>
      <c r="L263" s="117"/>
      <c r="M263" s="118">
        <v>810671</v>
      </c>
      <c r="N263" s="119">
        <v>154027.49</v>
      </c>
      <c r="O263" s="119">
        <v>0</v>
      </c>
      <c r="P263" s="120">
        <v>0</v>
      </c>
      <c r="Q263" s="119">
        <v>0</v>
      </c>
      <c r="R263" s="121">
        <v>964698.49</v>
      </c>
      <c r="S263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3" s="122">
        <f ca="1">+IF(PROVEEDORES[[#This Row],[FECHA DE PAGO]]=0,TODAY()-PROVEEDORES[[#This Row],[FECHA DE FACTURACIÓN]]-PROVEEDORES[[#This Row],[PLAZO Días]],0)</f>
        <v>-6</v>
      </c>
      <c r="U263" s="122">
        <f>+VLOOKUP(PROVEEDORES[[#This Row],[PROVEEDOR]],Terceros!$A:$D,4,FALSE)</f>
        <v>0</v>
      </c>
      <c r="V263" s="122">
        <f>+YEAR(PROVEEDORES[[#This Row],[FECHA DE FACTURACIÓN]])</f>
        <v>2024</v>
      </c>
      <c r="W263" s="122">
        <f>+MATCH(PROVEEDORES[[#This Row],[año facturado]],Retenciones!$1:$1,0)</f>
        <v>3</v>
      </c>
      <c r="X263" s="123">
        <f>+VLOOKUP(PROVEEDORES[[#This Row],[ID RETENCION]],Retenciones!$A$1:$K$25,PROVEEDORES[[#This Row],[indicador de columna]],FALSE)</f>
        <v>0</v>
      </c>
      <c r="Y263" s="124">
        <f>+VLOOKUP(PROVEEDORES[[#This Row],[ID RETENCION]],Retenciones!$A$1:$K$25,2,FALSE)</f>
        <v>0</v>
      </c>
      <c r="Z263" s="125" t="b">
        <f>+OR(COUNTIF(PROVEEDORES[[#This Row],[PROVEEDOR]],"*"&amp;'Palabra que no opera y Listas d'!$A$2&amp;"*"))</f>
        <v>0</v>
      </c>
    </row>
    <row r="264" spans="1:26" ht="27.75" customHeight="1" x14ac:dyDescent="0.25">
      <c r="A264" s="112" t="str">
        <f>+IF(PROVEEDORES[[#This Row],[FECHA DE PAGO]]=PROVEEDORES[[#This Row],[FECHA DE FACTURACIÓN]],"DE CONTADO","CRÉDITO")</f>
        <v>CRÉDITO</v>
      </c>
      <c r="B264" s="112" t="b">
        <f>+IF((PROVEEDORES[[#This Row],[FECHA DE PAGO]]-PROVEEDORES[[#This Row],[FECHA DE FACTURACIÓN]])&gt;PROVEEDORES[[#This Row],[PLAZO Días]],"PAGO VENCIDO")</f>
        <v>0</v>
      </c>
      <c r="C264" s="112">
        <f>+VLOOKUP(PROVEEDORES[[#This Row],[PROVEEDOR]],TERCEROS_INFO[#All],2,FALSE)</f>
        <v>30</v>
      </c>
      <c r="D264" s="113">
        <f>+SUMIFS(PROVEEDORES[Total],PROVEEDORES[PROVEEDOR],PROVEEDORES[[#This Row],[PROVEEDOR]],PROVEEDORES[FECHA DE PAGO],"")</f>
        <v>10958948</v>
      </c>
      <c r="E264" s="114"/>
      <c r="F264" s="112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64" s="115"/>
      <c r="H264" s="116" t="s">
        <v>104</v>
      </c>
      <c r="I264" s="115">
        <v>45643</v>
      </c>
      <c r="J264" s="117" t="s">
        <v>887</v>
      </c>
      <c r="K264" s="117" t="s">
        <v>210</v>
      </c>
      <c r="L264" s="117"/>
      <c r="M264" s="118">
        <v>4604600</v>
      </c>
      <c r="N264" s="119">
        <v>874874</v>
      </c>
      <c r="O264" s="119">
        <v>0</v>
      </c>
      <c r="P264" s="120">
        <v>0</v>
      </c>
      <c r="Q264" s="119">
        <v>0</v>
      </c>
      <c r="R264" s="121">
        <v>5479474</v>
      </c>
      <c r="S264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4" s="122">
        <f ca="1">+IF(PROVEEDORES[[#This Row],[FECHA DE PAGO]]=0,TODAY()-PROVEEDORES[[#This Row],[FECHA DE FACTURACIÓN]]-PROVEEDORES[[#This Row],[PLAZO Días]],0)</f>
        <v>-7</v>
      </c>
      <c r="U264" s="122">
        <f>+VLOOKUP(PROVEEDORES[[#This Row],[PROVEEDOR]],Terceros!$A:$D,4,FALSE)</f>
        <v>0</v>
      </c>
      <c r="V264" s="122">
        <f>+YEAR(PROVEEDORES[[#This Row],[FECHA DE FACTURACIÓN]])</f>
        <v>2024</v>
      </c>
      <c r="W264" s="122">
        <f>+MATCH(PROVEEDORES[[#This Row],[año facturado]],Retenciones!$1:$1,0)</f>
        <v>3</v>
      </c>
      <c r="X264" s="123">
        <f>+VLOOKUP(PROVEEDORES[[#This Row],[ID RETENCION]],Retenciones!$A$1:$K$25,PROVEEDORES[[#This Row],[indicador de columna]],FALSE)</f>
        <v>0</v>
      </c>
      <c r="Y264" s="124">
        <f>+VLOOKUP(PROVEEDORES[[#This Row],[ID RETENCION]],Retenciones!$A$1:$K$25,2,FALSE)</f>
        <v>0</v>
      </c>
      <c r="Z264" s="125" t="b">
        <f>+OR(COUNTIF(PROVEEDORES[[#This Row],[PROVEEDOR]],"*"&amp;'Palabra que no opera y Listas d'!$A$2&amp;"*"))</f>
        <v>0</v>
      </c>
    </row>
    <row r="265" spans="1:26" ht="27.75" customHeight="1" x14ac:dyDescent="0.25">
      <c r="A265" s="112" t="str">
        <f>+IF(PROVEEDORES[[#This Row],[FECHA DE PAGO]]=PROVEEDORES[[#This Row],[FECHA DE FACTURACIÓN]],"DE CONTADO","CRÉDITO")</f>
        <v>CRÉDITO</v>
      </c>
      <c r="B265" s="112" t="b">
        <f>+IF((PROVEEDORES[[#This Row],[FECHA DE PAGO]]-PROVEEDORES[[#This Row],[FECHA DE FACTURACIÓN]])&gt;PROVEEDORES[[#This Row],[PLAZO Días]],"PAGO VENCIDO")</f>
        <v>0</v>
      </c>
      <c r="C265" s="112">
        <f>+VLOOKUP(PROVEEDORES[[#This Row],[PROVEEDOR]],TERCEROS_INFO[#All],2,FALSE)</f>
        <v>30</v>
      </c>
      <c r="D265" s="113">
        <f>+SUMIFS(PROVEEDORES[Total],PROVEEDORES[PROVEEDOR],PROVEEDORES[[#This Row],[PROVEEDOR]],PROVEEDORES[FECHA DE PAGO],"")</f>
        <v>3651240.11</v>
      </c>
      <c r="E265" s="114"/>
      <c r="F265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265" s="115"/>
      <c r="H265" s="116" t="s">
        <v>243</v>
      </c>
      <c r="I265" s="115">
        <v>45643</v>
      </c>
      <c r="J265" s="117" t="s">
        <v>888</v>
      </c>
      <c r="K265" s="117" t="s">
        <v>256</v>
      </c>
      <c r="L265" s="117"/>
      <c r="M265" s="118">
        <v>190719</v>
      </c>
      <c r="N265" s="119">
        <v>36236.61</v>
      </c>
      <c r="O265" s="119">
        <v>0</v>
      </c>
      <c r="P265" s="120">
        <v>0</v>
      </c>
      <c r="Q265" s="119">
        <v>0</v>
      </c>
      <c r="R265" s="121">
        <v>226955.61</v>
      </c>
      <c r="S265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5" s="122">
        <f ca="1">+IF(PROVEEDORES[[#This Row],[FECHA DE PAGO]]=0,TODAY()-PROVEEDORES[[#This Row],[FECHA DE FACTURACIÓN]]-PROVEEDORES[[#This Row],[PLAZO Días]],0)</f>
        <v>-7</v>
      </c>
      <c r="U265" s="122" t="str">
        <f>+VLOOKUP(PROVEEDORES[[#This Row],[PROVEEDOR]],Terceros!$A:$D,4,FALSE)</f>
        <v>2,5% con base</v>
      </c>
      <c r="V265" s="122">
        <f>+YEAR(PROVEEDORES[[#This Row],[FECHA DE FACTURACIÓN]])</f>
        <v>2024</v>
      </c>
      <c r="W265" s="122">
        <f>+MATCH(PROVEEDORES[[#This Row],[año facturado]],Retenciones!$1:$1,0)</f>
        <v>3</v>
      </c>
      <c r="X265" s="123">
        <f>+VLOOKUP(PROVEEDORES[[#This Row],[ID RETENCION]],Retenciones!$A$1:$K$25,PROVEEDORES[[#This Row],[indicador de columna]],FALSE)</f>
        <v>1271000</v>
      </c>
      <c r="Y265" s="124">
        <f>+VLOOKUP(PROVEEDORES[[#This Row],[ID RETENCION]],Retenciones!$A$1:$K$25,2,FALSE)</f>
        <v>2.5000000000000001E-2</v>
      </c>
      <c r="Z265" s="125" t="b">
        <f>+OR(COUNTIF(PROVEEDORES[[#This Row],[PROVEEDOR]],"*"&amp;'Palabra que no opera y Listas d'!$A$2&amp;"*"))</f>
        <v>0</v>
      </c>
    </row>
    <row r="266" spans="1:26" ht="27.75" customHeight="1" x14ac:dyDescent="0.25">
      <c r="A266" s="112" t="str">
        <f>+IF(PROVEEDORES[[#This Row],[FECHA DE PAGO]]=PROVEEDORES[[#This Row],[FECHA DE FACTURACIÓN]],"DE CONTADO","CRÉDITO")</f>
        <v>CRÉDITO</v>
      </c>
      <c r="B266" s="112" t="b">
        <f>+IF((PROVEEDORES[[#This Row],[FECHA DE PAGO]]-PROVEEDORES[[#This Row],[FECHA DE FACTURACIÓN]])&gt;PROVEEDORES[[#This Row],[PLAZO Días]],"PAGO VENCIDO")</f>
        <v>0</v>
      </c>
      <c r="C266" s="112">
        <f>+VLOOKUP(PROVEEDORES[[#This Row],[PROVEEDOR]],TERCEROS_INFO[#All],2,FALSE)</f>
        <v>30</v>
      </c>
      <c r="D266" s="113">
        <f>+SUMIFS(PROVEEDORES[Total],PROVEEDORES[PROVEEDOR],PROVEEDORES[[#This Row],[PROVEEDOR]],PROVEEDORES[FECHA DE PAGO],"")</f>
        <v>630000.28</v>
      </c>
      <c r="E266" s="114"/>
      <c r="F266" s="112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66" s="115"/>
      <c r="H266" s="116" t="s">
        <v>518</v>
      </c>
      <c r="I266" s="115">
        <v>45643</v>
      </c>
      <c r="J266" s="117" t="s">
        <v>889</v>
      </c>
      <c r="K266" s="117" t="s">
        <v>256</v>
      </c>
      <c r="L266" s="117"/>
      <c r="M266" s="118">
        <v>529412</v>
      </c>
      <c r="N266" s="119">
        <v>100588.28</v>
      </c>
      <c r="O266" s="119">
        <v>0</v>
      </c>
      <c r="P266" s="120">
        <v>0</v>
      </c>
      <c r="Q266" s="119">
        <v>0</v>
      </c>
      <c r="R266" s="121">
        <v>630000.28</v>
      </c>
      <c r="S266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6" s="122">
        <f ca="1">+IF(PROVEEDORES[[#This Row],[FECHA DE PAGO]]=0,TODAY()-PROVEEDORES[[#This Row],[FECHA DE FACTURACIÓN]]-PROVEEDORES[[#This Row],[PLAZO Días]],0)</f>
        <v>-7</v>
      </c>
      <c r="U266" s="122" t="str">
        <f>+VLOOKUP(PROVEEDORES[[#This Row],[PROVEEDOR]],Terceros!$A:$D,4,FALSE)</f>
        <v>2,5% con base</v>
      </c>
      <c r="V266" s="122">
        <f>+YEAR(PROVEEDORES[[#This Row],[FECHA DE FACTURACIÓN]])</f>
        <v>2024</v>
      </c>
      <c r="W266" s="122">
        <f>+MATCH(PROVEEDORES[[#This Row],[año facturado]],Retenciones!$1:$1,0)</f>
        <v>3</v>
      </c>
      <c r="X266" s="123">
        <f>+VLOOKUP(PROVEEDORES[[#This Row],[ID RETENCION]],Retenciones!$A$1:$K$25,PROVEEDORES[[#This Row],[indicador de columna]],FALSE)</f>
        <v>1271000</v>
      </c>
      <c r="Y266" s="124">
        <f>+VLOOKUP(PROVEEDORES[[#This Row],[ID RETENCION]],Retenciones!$A$1:$K$25,2,FALSE)</f>
        <v>2.5000000000000001E-2</v>
      </c>
      <c r="Z266" s="125" t="b">
        <f>+OR(COUNTIF(PROVEEDORES[[#This Row],[PROVEEDOR]],"*"&amp;'Palabra que no opera y Listas d'!$A$2&amp;"*"))</f>
        <v>0</v>
      </c>
    </row>
    <row r="267" spans="1:26" ht="27.75" customHeight="1" x14ac:dyDescent="0.25">
      <c r="A267" s="112" t="str">
        <f>+IF(PROVEEDORES[[#This Row],[FECHA DE PAGO]]=PROVEEDORES[[#This Row],[FECHA DE FACTURACIÓN]],"DE CONTADO","CRÉDITO")</f>
        <v>CRÉDITO</v>
      </c>
      <c r="B267" s="112" t="b">
        <f>+IF((PROVEEDORES[[#This Row],[FECHA DE PAGO]]-PROVEEDORES[[#This Row],[FECHA DE FACTURACIÓN]])&gt;PROVEEDORES[[#This Row],[PLAZO Días]],"PAGO VENCIDO")</f>
        <v>0</v>
      </c>
      <c r="C267" s="112">
        <f>+VLOOKUP(PROVEEDORES[[#This Row],[PROVEEDOR]],TERCEROS_INFO[#All],2,FALSE)</f>
        <v>0</v>
      </c>
      <c r="D267" s="113">
        <f>+SUMIFS(PROVEEDORES[Total],PROVEEDORES[PROVEEDOR],PROVEEDORES[[#This Row],[PROVEEDOR]],PROVEEDORES[FECHA DE PAGO],"")</f>
        <v>1643726.46</v>
      </c>
      <c r="E267" s="114"/>
      <c r="F267" s="112" t="str">
        <f>+VLOOKUP(PROVEEDORES[[#This Row],[PROVEEDOR]],
                       Terceros!$A:$F,
                       5,
                       FALSE)</f>
        <v>dilafajas2023@gmai.com; girlesa.ruiz@servipilas.com;joriescobar64@gmail.com</v>
      </c>
      <c r="G267" s="115"/>
      <c r="H267" s="116" t="s">
        <v>656</v>
      </c>
      <c r="I267" s="115">
        <v>45643</v>
      </c>
      <c r="J267" s="117" t="s">
        <v>890</v>
      </c>
      <c r="K267" s="117" t="s">
        <v>256</v>
      </c>
      <c r="L267" s="117"/>
      <c r="M267" s="118">
        <v>1410924</v>
      </c>
      <c r="N267" s="119">
        <v>268075.56</v>
      </c>
      <c r="O267" s="119">
        <v>0</v>
      </c>
      <c r="P267" s="120">
        <v>2.5000000000000001E-2</v>
      </c>
      <c r="Q267" s="119">
        <v>35273.1</v>
      </c>
      <c r="R267" s="121">
        <v>1643726.46</v>
      </c>
      <c r="S267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67" s="122">
        <f ca="1">+IF(PROVEEDORES[[#This Row],[FECHA DE PAGO]]=0,TODAY()-PROVEEDORES[[#This Row],[FECHA DE FACTURACIÓN]]-PROVEEDORES[[#This Row],[PLAZO Días]],0)</f>
        <v>23</v>
      </c>
      <c r="U267" s="122" t="str">
        <f>+VLOOKUP(PROVEEDORES[[#This Row],[PROVEEDOR]],Terceros!$A:$D,4,FALSE)</f>
        <v>2,5% con base</v>
      </c>
      <c r="V267" s="122">
        <f>+YEAR(PROVEEDORES[[#This Row],[FECHA DE FACTURACIÓN]])</f>
        <v>2024</v>
      </c>
      <c r="W267" s="122">
        <f>+MATCH(PROVEEDORES[[#This Row],[año facturado]],Retenciones!$1:$1,0)</f>
        <v>3</v>
      </c>
      <c r="X267" s="123">
        <f>+VLOOKUP(PROVEEDORES[[#This Row],[ID RETENCION]],Retenciones!$A$1:$K$25,PROVEEDORES[[#This Row],[indicador de columna]],FALSE)</f>
        <v>1271000</v>
      </c>
      <c r="Y267" s="124">
        <f>+VLOOKUP(PROVEEDORES[[#This Row],[ID RETENCION]],Retenciones!$A$1:$K$25,2,FALSE)</f>
        <v>2.5000000000000001E-2</v>
      </c>
      <c r="Z267" s="125" t="b">
        <f>+OR(COUNTIF(PROVEEDORES[[#This Row],[PROVEEDOR]],"*"&amp;'Palabra que no opera y Listas d'!$A$2&amp;"*"))</f>
        <v>0</v>
      </c>
    </row>
    <row r="268" spans="1:26" ht="27.75" customHeight="1" x14ac:dyDescent="0.25">
      <c r="A268" s="112" t="str">
        <f>+IF(PROVEEDORES[[#This Row],[FECHA DE PAGO]]=PROVEEDORES[[#This Row],[FECHA DE FACTURACIÓN]],"DE CONTADO","CRÉDITO")</f>
        <v>CRÉDITO</v>
      </c>
      <c r="B268" s="112" t="b">
        <f>+IF((PROVEEDORES[[#This Row],[FECHA DE PAGO]]-PROVEEDORES[[#This Row],[FECHA DE FACTURACIÓN]])&gt;PROVEEDORES[[#This Row],[PLAZO Días]],"PAGO VENCIDO")</f>
        <v>0</v>
      </c>
      <c r="C268" s="112">
        <f>+VLOOKUP(PROVEEDORES[[#This Row],[PROVEEDOR]],TERCEROS_INFO[#All],2,FALSE)</f>
        <v>30</v>
      </c>
      <c r="D268" s="113">
        <f>+SUMIFS(PROVEEDORES[Total],PROVEEDORES[PROVEEDOR],PROVEEDORES[[#This Row],[PROVEEDOR]],PROVEEDORES[FECHA DE PAGO],"")</f>
        <v>11737128.02</v>
      </c>
      <c r="E268" s="114"/>
      <c r="F268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268" s="115"/>
      <c r="H268" s="116" t="s">
        <v>536</v>
      </c>
      <c r="I268" s="115">
        <v>45643</v>
      </c>
      <c r="J268" s="117" t="s">
        <v>891</v>
      </c>
      <c r="K268" s="117" t="s">
        <v>256</v>
      </c>
      <c r="L268" s="117"/>
      <c r="M268" s="118">
        <v>1571260</v>
      </c>
      <c r="N268" s="119">
        <v>298539.40000000002</v>
      </c>
      <c r="O268" s="119">
        <v>0</v>
      </c>
      <c r="P268" s="120">
        <v>2.5000000000000001E-2</v>
      </c>
      <c r="Q268" s="119">
        <v>39281.5</v>
      </c>
      <c r="R268" s="121">
        <v>1830517.9</v>
      </c>
      <c r="S268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8" s="122">
        <f ca="1">+IF(PROVEEDORES[[#This Row],[FECHA DE PAGO]]=0,TODAY()-PROVEEDORES[[#This Row],[FECHA DE FACTURACIÓN]]-PROVEEDORES[[#This Row],[PLAZO Días]],0)</f>
        <v>-7</v>
      </c>
      <c r="U268" s="122" t="str">
        <f>+VLOOKUP(PROVEEDORES[[#This Row],[PROVEEDOR]],Terceros!$A:$D,4,FALSE)</f>
        <v>2,5% con base</v>
      </c>
      <c r="V268" s="122">
        <f>+YEAR(PROVEEDORES[[#This Row],[FECHA DE FACTURACIÓN]])</f>
        <v>2024</v>
      </c>
      <c r="W268" s="122">
        <f>+MATCH(PROVEEDORES[[#This Row],[año facturado]],Retenciones!$1:$1,0)</f>
        <v>3</v>
      </c>
      <c r="X268" s="123">
        <f>+VLOOKUP(PROVEEDORES[[#This Row],[ID RETENCION]],Retenciones!$A$1:$K$25,PROVEEDORES[[#This Row],[indicador de columna]],FALSE)</f>
        <v>1271000</v>
      </c>
      <c r="Y268" s="124">
        <f>+VLOOKUP(PROVEEDORES[[#This Row],[ID RETENCION]],Retenciones!$A$1:$K$25,2,FALSE)</f>
        <v>2.5000000000000001E-2</v>
      </c>
      <c r="Z268" s="125" t="b">
        <f>+OR(COUNTIF(PROVEEDORES[[#This Row],[PROVEEDOR]],"*"&amp;'Palabra que no opera y Listas d'!$A$2&amp;"*"))</f>
        <v>0</v>
      </c>
    </row>
    <row r="269" spans="1:26" ht="27.75" customHeight="1" x14ac:dyDescent="0.25">
      <c r="A269" s="112" t="str">
        <f>+IF(PROVEEDORES[[#This Row],[FECHA DE PAGO]]=PROVEEDORES[[#This Row],[FECHA DE FACTURACIÓN]],"DE CONTADO","CRÉDITO")</f>
        <v>CRÉDITO</v>
      </c>
      <c r="B269" s="112" t="b">
        <f>+IF((PROVEEDORES[[#This Row],[FECHA DE PAGO]]-PROVEEDORES[[#This Row],[FECHA DE FACTURACIÓN]])&gt;PROVEEDORES[[#This Row],[PLAZO Días]],"PAGO VENCIDO")</f>
        <v>0</v>
      </c>
      <c r="C269" s="112">
        <f>+VLOOKUP(PROVEEDORES[[#This Row],[PROVEEDOR]],TERCEROS_INFO[#All],2,FALSE)</f>
        <v>45</v>
      </c>
      <c r="D269" s="113">
        <f>+SUMIFS(PROVEEDORES[Total],PROVEEDORES[PROVEEDOR],PROVEEDORES[[#This Row],[PROVEEDOR]],PROVEEDORES[FECHA DE PAGO],"")</f>
        <v>17682305.199999999</v>
      </c>
      <c r="E269" s="114"/>
      <c r="F269" s="112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69" s="115"/>
      <c r="H269" s="116" t="s">
        <v>14</v>
      </c>
      <c r="I269" s="115">
        <v>45643</v>
      </c>
      <c r="J269" s="117" t="s">
        <v>892</v>
      </c>
      <c r="K269" s="117" t="s">
        <v>210</v>
      </c>
      <c r="L269" s="117"/>
      <c r="M269" s="118">
        <v>5418176</v>
      </c>
      <c r="N269" s="119">
        <v>1029453.4400000001</v>
      </c>
      <c r="O269" s="119">
        <v>0</v>
      </c>
      <c r="P269" s="120">
        <v>0</v>
      </c>
      <c r="Q269" s="119">
        <v>0</v>
      </c>
      <c r="R269" s="121">
        <v>6447629.4400000004</v>
      </c>
      <c r="S269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69" s="122">
        <f ca="1">+IF(PROVEEDORES[[#This Row],[FECHA DE PAGO]]=0,TODAY()-PROVEEDORES[[#This Row],[FECHA DE FACTURACIÓN]]-PROVEEDORES[[#This Row],[PLAZO Días]],0)</f>
        <v>-22</v>
      </c>
      <c r="U269" s="122">
        <f>+VLOOKUP(PROVEEDORES[[#This Row],[PROVEEDOR]],Terceros!$A:$D,4,FALSE)</f>
        <v>0</v>
      </c>
      <c r="V269" s="122">
        <f>+YEAR(PROVEEDORES[[#This Row],[FECHA DE FACTURACIÓN]])</f>
        <v>2024</v>
      </c>
      <c r="W269" s="122">
        <f>+MATCH(PROVEEDORES[[#This Row],[año facturado]],Retenciones!$1:$1,0)</f>
        <v>3</v>
      </c>
      <c r="X269" s="123">
        <f>+VLOOKUP(PROVEEDORES[[#This Row],[ID RETENCION]],Retenciones!$A$1:$K$25,PROVEEDORES[[#This Row],[indicador de columna]],FALSE)</f>
        <v>0</v>
      </c>
      <c r="Y269" s="124">
        <f>+VLOOKUP(PROVEEDORES[[#This Row],[ID RETENCION]],Retenciones!$A$1:$K$25,2,FALSE)</f>
        <v>0</v>
      </c>
      <c r="Z269" s="125" t="b">
        <f>+OR(COUNTIF(PROVEEDORES[[#This Row],[PROVEEDOR]],"*"&amp;'Palabra que no opera y Listas d'!$A$2&amp;"*"))</f>
        <v>0</v>
      </c>
    </row>
    <row r="270" spans="1:26" ht="27.75" customHeight="1" x14ac:dyDescent="0.25">
      <c r="A270" s="112" t="str">
        <f>+IF(PROVEEDORES[[#This Row],[FECHA DE PAGO]]=PROVEEDORES[[#This Row],[FECHA DE FACTURACIÓN]],"DE CONTADO","CRÉDITO")</f>
        <v>CRÉDITO</v>
      </c>
      <c r="B270" s="112" t="b">
        <f>+IF((PROVEEDORES[[#This Row],[FECHA DE PAGO]]-PROVEEDORES[[#This Row],[FECHA DE FACTURACIÓN]])&gt;PROVEEDORES[[#This Row],[PLAZO Días]],"PAGO VENCIDO")</f>
        <v>0</v>
      </c>
      <c r="C270" s="112">
        <f>+VLOOKUP(PROVEEDORES[[#This Row],[PROVEEDOR]],TERCEROS_INFO[#All],2,FALSE)</f>
        <v>30</v>
      </c>
      <c r="D270" s="113">
        <f>+SUMIFS(PROVEEDORES[Total],PROVEEDORES[PROVEEDOR],PROVEEDORES[[#This Row],[PROVEEDOR]],PROVEEDORES[FECHA DE PAGO],"")</f>
        <v>2213383</v>
      </c>
      <c r="E270" s="114"/>
      <c r="F270" s="112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270" s="115"/>
      <c r="H270" s="116" t="s">
        <v>192</v>
      </c>
      <c r="I270" s="115">
        <v>45644</v>
      </c>
      <c r="J270" s="117">
        <v>37249</v>
      </c>
      <c r="K270" s="117" t="s">
        <v>256</v>
      </c>
      <c r="L270" s="117"/>
      <c r="M270" s="118">
        <v>2058225</v>
      </c>
      <c r="N270" s="119">
        <v>360981</v>
      </c>
      <c r="O270" s="119">
        <v>158325</v>
      </c>
      <c r="P270" s="120">
        <v>2.5000000000000001E-2</v>
      </c>
      <c r="Q270" s="119">
        <v>47498</v>
      </c>
      <c r="R270" s="121">
        <v>2213383</v>
      </c>
      <c r="S270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0" s="122">
        <f ca="1">+IF(PROVEEDORES[[#This Row],[FECHA DE PAGO]]=0,TODAY()-PROVEEDORES[[#This Row],[FECHA DE FACTURACIÓN]]-PROVEEDORES[[#This Row],[PLAZO Días]],0)</f>
        <v>-8</v>
      </c>
      <c r="U270" s="122" t="str">
        <f>+VLOOKUP(PROVEEDORES[[#This Row],[PROVEEDOR]],Terceros!$A:$D,4,FALSE)</f>
        <v>2,5% con base</v>
      </c>
      <c r="V270" s="122">
        <f>+YEAR(PROVEEDORES[[#This Row],[FECHA DE FACTURACIÓN]])</f>
        <v>2024</v>
      </c>
      <c r="W270" s="122">
        <f>+MATCH(PROVEEDORES[[#This Row],[año facturado]],Retenciones!$1:$1,0)</f>
        <v>3</v>
      </c>
      <c r="X270" s="123">
        <f>+VLOOKUP(PROVEEDORES[[#This Row],[ID RETENCION]],Retenciones!$A$1:$K$25,PROVEEDORES[[#This Row],[indicador de columna]],FALSE)</f>
        <v>1271000</v>
      </c>
      <c r="Y270" s="124">
        <f>+VLOOKUP(PROVEEDORES[[#This Row],[ID RETENCION]],Retenciones!$A$1:$K$25,2,FALSE)</f>
        <v>2.5000000000000001E-2</v>
      </c>
      <c r="Z270" s="125" t="b">
        <f>+OR(COUNTIF(PROVEEDORES[[#This Row],[PROVEEDOR]],"*"&amp;'Palabra que no opera y Listas d'!$A$2&amp;"*"))</f>
        <v>0</v>
      </c>
    </row>
    <row r="271" spans="1:26" ht="27.75" customHeight="1" x14ac:dyDescent="0.25">
      <c r="A271" s="112" t="str">
        <f>+IF(PROVEEDORES[[#This Row],[FECHA DE PAGO]]=PROVEEDORES[[#This Row],[FECHA DE FACTURACIÓN]],"DE CONTADO","CRÉDITO")</f>
        <v>CRÉDITO</v>
      </c>
      <c r="B271" s="112" t="b">
        <f>+IF((PROVEEDORES[[#This Row],[FECHA DE PAGO]]-PROVEEDORES[[#This Row],[FECHA DE FACTURACIÓN]])&gt;PROVEEDORES[[#This Row],[PLAZO Días]],"PAGO VENCIDO")</f>
        <v>0</v>
      </c>
      <c r="C271" s="112">
        <f>+VLOOKUP(PROVEEDORES[[#This Row],[PROVEEDOR]],TERCEROS_INFO[#All],2,FALSE)</f>
        <v>30</v>
      </c>
      <c r="D271" s="113">
        <f>+SUMIFS(PROVEEDORES[Total],PROVEEDORES[PROVEEDOR],PROVEEDORES[[#This Row],[PROVEEDOR]],PROVEEDORES[FECHA DE PAGO],"")</f>
        <v>11737128.02</v>
      </c>
      <c r="E271" s="114"/>
      <c r="F271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271" s="115"/>
      <c r="H271" s="116" t="s">
        <v>536</v>
      </c>
      <c r="I271" s="115">
        <v>45645</v>
      </c>
      <c r="J271" s="117" t="s">
        <v>893</v>
      </c>
      <c r="K271" s="117" t="s">
        <v>256</v>
      </c>
      <c r="L271" s="117"/>
      <c r="M271" s="118">
        <v>2157899</v>
      </c>
      <c r="N271" s="119">
        <v>410000.81</v>
      </c>
      <c r="O271" s="119">
        <v>0</v>
      </c>
      <c r="P271" s="120">
        <v>2.5000000000000001E-2</v>
      </c>
      <c r="Q271" s="119">
        <v>53947.475000000006</v>
      </c>
      <c r="R271" s="121">
        <v>2513952.335</v>
      </c>
      <c r="S271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1" s="122">
        <f ca="1">+IF(PROVEEDORES[[#This Row],[FECHA DE PAGO]]=0,TODAY()-PROVEEDORES[[#This Row],[FECHA DE FACTURACIÓN]]-PROVEEDORES[[#This Row],[PLAZO Días]],0)</f>
        <v>-9</v>
      </c>
      <c r="U271" s="122" t="str">
        <f>+VLOOKUP(PROVEEDORES[[#This Row],[PROVEEDOR]],Terceros!$A:$D,4,FALSE)</f>
        <v>2,5% con base</v>
      </c>
      <c r="V271" s="122">
        <f>+YEAR(PROVEEDORES[[#This Row],[FECHA DE FACTURACIÓN]])</f>
        <v>2024</v>
      </c>
      <c r="W271" s="122">
        <f>+MATCH(PROVEEDORES[[#This Row],[año facturado]],Retenciones!$1:$1,0)</f>
        <v>3</v>
      </c>
      <c r="X271" s="123">
        <f>+VLOOKUP(PROVEEDORES[[#This Row],[ID RETENCION]],Retenciones!$A$1:$K$25,PROVEEDORES[[#This Row],[indicador de columna]],FALSE)</f>
        <v>1271000</v>
      </c>
      <c r="Y271" s="124">
        <f>+VLOOKUP(PROVEEDORES[[#This Row],[ID RETENCION]],Retenciones!$A$1:$K$25,2,FALSE)</f>
        <v>2.5000000000000001E-2</v>
      </c>
      <c r="Z271" s="125" t="b">
        <f>+OR(COUNTIF(PROVEEDORES[[#This Row],[PROVEEDOR]],"*"&amp;'Palabra que no opera y Listas d'!$A$2&amp;"*"))</f>
        <v>0</v>
      </c>
    </row>
    <row r="272" spans="1:26" ht="27.75" customHeight="1" x14ac:dyDescent="0.25">
      <c r="A272" s="112" t="str">
        <f>+IF(PROVEEDORES[[#This Row],[FECHA DE PAGO]]=PROVEEDORES[[#This Row],[FECHA DE FACTURACIÓN]],"DE CONTADO","CRÉDITO")</f>
        <v>CRÉDITO</v>
      </c>
      <c r="B272" s="112" t="b">
        <f>+IF((PROVEEDORES[[#This Row],[FECHA DE PAGO]]-PROVEEDORES[[#This Row],[FECHA DE FACTURACIÓN]])&gt;PROVEEDORES[[#This Row],[PLAZO Días]],"PAGO VENCIDO")</f>
        <v>0</v>
      </c>
      <c r="C272" s="112">
        <f>+VLOOKUP(PROVEEDORES[[#This Row],[PROVEEDOR]],TERCEROS_INFO[#All],2,FALSE)</f>
        <v>30</v>
      </c>
      <c r="D272" s="113">
        <f>+SUMIFS(PROVEEDORES[Total],PROVEEDORES[PROVEEDOR],PROVEEDORES[[#This Row],[PROVEEDOR]],PROVEEDORES[FECHA DE PAGO],"")</f>
        <v>2274598.13</v>
      </c>
      <c r="E272" s="114"/>
      <c r="F272" s="112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272" s="115"/>
      <c r="H272" s="116" t="s">
        <v>102</v>
      </c>
      <c r="I272" s="115">
        <v>45645</v>
      </c>
      <c r="J272" s="117" t="s">
        <v>894</v>
      </c>
      <c r="K272" s="117" t="s">
        <v>256</v>
      </c>
      <c r="L272" s="117"/>
      <c r="M272" s="118">
        <v>896806</v>
      </c>
      <c r="N272" s="119">
        <v>170393.14</v>
      </c>
      <c r="O272" s="119">
        <v>0</v>
      </c>
      <c r="P272" s="120">
        <v>0</v>
      </c>
      <c r="Q272" s="119">
        <v>0</v>
      </c>
      <c r="R272" s="121">
        <v>1067199.1400000001</v>
      </c>
      <c r="S272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2" s="122">
        <f ca="1">+IF(PROVEEDORES[[#This Row],[FECHA DE PAGO]]=0,TODAY()-PROVEEDORES[[#This Row],[FECHA DE FACTURACIÓN]]-PROVEEDORES[[#This Row],[PLAZO Días]],0)</f>
        <v>-9</v>
      </c>
      <c r="U272" s="122" t="str">
        <f>+VLOOKUP(PROVEEDORES[[#This Row],[PROVEEDOR]],Terceros!$A:$D,4,FALSE)</f>
        <v>2,5% con base</v>
      </c>
      <c r="V272" s="122">
        <f>+YEAR(PROVEEDORES[[#This Row],[FECHA DE FACTURACIÓN]])</f>
        <v>2024</v>
      </c>
      <c r="W272" s="122">
        <f>+MATCH(PROVEEDORES[[#This Row],[año facturado]],Retenciones!$1:$1,0)</f>
        <v>3</v>
      </c>
      <c r="X272" s="123">
        <f>+VLOOKUP(PROVEEDORES[[#This Row],[ID RETENCION]],Retenciones!$A$1:$K$25,PROVEEDORES[[#This Row],[indicador de columna]],FALSE)</f>
        <v>1271000</v>
      </c>
      <c r="Y272" s="124">
        <f>+VLOOKUP(PROVEEDORES[[#This Row],[ID RETENCION]],Retenciones!$A$1:$K$25,2,FALSE)</f>
        <v>2.5000000000000001E-2</v>
      </c>
      <c r="Z272" s="125" t="b">
        <f>+OR(COUNTIF(PROVEEDORES[[#This Row],[PROVEEDOR]],"*"&amp;'Palabra que no opera y Listas d'!$A$2&amp;"*"))</f>
        <v>0</v>
      </c>
    </row>
    <row r="273" spans="1:26" ht="27.75" customHeight="1" x14ac:dyDescent="0.25">
      <c r="A273" s="112" t="str">
        <f>+IF(PROVEEDORES[[#This Row],[FECHA DE PAGO]]=PROVEEDORES[[#This Row],[FECHA DE FACTURACIÓN]],"DE CONTADO","CRÉDITO")</f>
        <v>CRÉDITO</v>
      </c>
      <c r="B273" s="112" t="b">
        <f>+IF((PROVEEDORES[[#This Row],[FECHA DE PAGO]]-PROVEEDORES[[#This Row],[FECHA DE FACTURACIÓN]])&gt;PROVEEDORES[[#This Row],[PLAZO Días]],"PAGO VENCIDO")</f>
        <v>0</v>
      </c>
      <c r="C273" s="112">
        <f>+VLOOKUP(PROVEEDORES[[#This Row],[PROVEEDOR]],TERCEROS_INFO[#All],2,FALSE)</f>
        <v>30</v>
      </c>
      <c r="D273" s="113">
        <f>+SUMIFS(PROVEEDORES[Total],PROVEEDORES[PROVEEDOR],PROVEEDORES[[#This Row],[PROVEEDOR]],PROVEEDORES[FECHA DE PAGO],"")</f>
        <v>4224500</v>
      </c>
      <c r="E273" s="114"/>
      <c r="F273" s="112" t="str">
        <f>+VLOOKUP(PROVEEDORES[[#This Row],[PROVEEDOR]],
                       Terceros!$A:$F,
                       5,
                       FALSE)</f>
        <v/>
      </c>
      <c r="G273" s="115"/>
      <c r="H273" s="116" t="s">
        <v>666</v>
      </c>
      <c r="I273" s="115">
        <v>45646</v>
      </c>
      <c r="J273" s="117" t="s">
        <v>895</v>
      </c>
      <c r="K273" s="117" t="s">
        <v>256</v>
      </c>
      <c r="L273" s="117" t="s">
        <v>234</v>
      </c>
      <c r="M273" s="118">
        <v>5351500</v>
      </c>
      <c r="N273" s="119"/>
      <c r="O273" s="119">
        <v>0</v>
      </c>
      <c r="P273" s="120">
        <v>0</v>
      </c>
      <c r="Q273" s="119">
        <v>0</v>
      </c>
      <c r="R273" s="121">
        <v>1351500</v>
      </c>
      <c r="S273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3" s="122">
        <f ca="1">+IF(PROVEEDORES[[#This Row],[FECHA DE PAGO]]=0,TODAY()-PROVEEDORES[[#This Row],[FECHA DE FACTURACIÓN]]-PROVEEDORES[[#This Row],[PLAZO Días]],0)</f>
        <v>-10</v>
      </c>
      <c r="U273" s="122">
        <f>+VLOOKUP(PROVEEDORES[[#This Row],[PROVEEDOR]],Terceros!$A:$D,4,FALSE)</f>
        <v>0</v>
      </c>
      <c r="V273" s="122">
        <f>+YEAR(PROVEEDORES[[#This Row],[FECHA DE FACTURACIÓN]])</f>
        <v>2024</v>
      </c>
      <c r="W273" s="122">
        <f>+MATCH(PROVEEDORES[[#This Row],[año facturado]],Retenciones!$1:$1,0)</f>
        <v>3</v>
      </c>
      <c r="X273" s="123">
        <f>+VLOOKUP(PROVEEDORES[[#This Row],[ID RETENCION]],Retenciones!$A$1:$K$25,PROVEEDORES[[#This Row],[indicador de columna]],FALSE)</f>
        <v>0</v>
      </c>
      <c r="Y273" s="124">
        <f>+VLOOKUP(PROVEEDORES[[#This Row],[ID RETENCION]],Retenciones!$A$1:$K$25,2,FALSE)</f>
        <v>0</v>
      </c>
      <c r="Z273" s="125" t="b">
        <f>+OR(COUNTIF(PROVEEDORES[[#This Row],[PROVEEDOR]],"*"&amp;'Palabra que no opera y Listas d'!$A$2&amp;"*"))</f>
        <v>0</v>
      </c>
    </row>
    <row r="274" spans="1:26" ht="27.75" customHeight="1" x14ac:dyDescent="0.25">
      <c r="A274" s="112" t="str">
        <f>+IF(PROVEEDORES[[#This Row],[FECHA DE PAGO]]=PROVEEDORES[[#This Row],[FECHA DE FACTURACIÓN]],"DE CONTADO","CRÉDITO")</f>
        <v>CRÉDITO</v>
      </c>
      <c r="B274" s="112" t="b">
        <f>+IF((PROVEEDORES[[#This Row],[FECHA DE PAGO]]-PROVEEDORES[[#This Row],[FECHA DE FACTURACIÓN]])&gt;PROVEEDORES[[#This Row],[PLAZO Días]],"PAGO VENCIDO")</f>
        <v>0</v>
      </c>
      <c r="C274" s="112">
        <f>+VLOOKUP(PROVEEDORES[[#This Row],[PROVEEDOR]],TERCEROS_INFO[#All],2,FALSE)</f>
        <v>30</v>
      </c>
      <c r="D274" s="113">
        <f>+SUMIFS(PROVEEDORES[Total],PROVEEDORES[PROVEEDOR],PROVEEDORES[[#This Row],[PROVEEDOR]],PROVEEDORES[FECHA DE PAGO],"")</f>
        <v>776832</v>
      </c>
      <c r="E274" s="114"/>
      <c r="F274" s="112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74" s="115"/>
      <c r="H274" s="116" t="s">
        <v>191</v>
      </c>
      <c r="I274" s="115">
        <v>45646</v>
      </c>
      <c r="J274" s="117" t="s">
        <v>896</v>
      </c>
      <c r="K274" s="117" t="s">
        <v>210</v>
      </c>
      <c r="L274" s="117"/>
      <c r="M274" s="118">
        <v>652800</v>
      </c>
      <c r="N274" s="119">
        <v>124032</v>
      </c>
      <c r="O274" s="119">
        <v>0</v>
      </c>
      <c r="P274" s="120">
        <v>0</v>
      </c>
      <c r="Q274" s="119">
        <v>0</v>
      </c>
      <c r="R274" s="121">
        <v>776832</v>
      </c>
      <c r="S274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4" s="122">
        <f ca="1">+IF(PROVEEDORES[[#This Row],[FECHA DE PAGO]]=0,TODAY()-PROVEEDORES[[#This Row],[FECHA DE FACTURACIÓN]]-PROVEEDORES[[#This Row],[PLAZO Días]],0)</f>
        <v>-10</v>
      </c>
      <c r="U274" s="122">
        <f>+VLOOKUP(PROVEEDORES[[#This Row],[PROVEEDOR]],Terceros!$A:$D,4,FALSE)</f>
        <v>0</v>
      </c>
      <c r="V274" s="122">
        <f>+YEAR(PROVEEDORES[[#This Row],[FECHA DE FACTURACIÓN]])</f>
        <v>2024</v>
      </c>
      <c r="W274" s="122">
        <f>+MATCH(PROVEEDORES[[#This Row],[año facturado]],Retenciones!$1:$1,0)</f>
        <v>3</v>
      </c>
      <c r="X274" s="123">
        <f>+VLOOKUP(PROVEEDORES[[#This Row],[ID RETENCION]],Retenciones!$A$1:$K$25,PROVEEDORES[[#This Row],[indicador de columna]],FALSE)</f>
        <v>0</v>
      </c>
      <c r="Y274" s="124">
        <f>+VLOOKUP(PROVEEDORES[[#This Row],[ID RETENCION]],Retenciones!$A$1:$K$25,2,FALSE)</f>
        <v>0</v>
      </c>
      <c r="Z274" s="125" t="b">
        <f>+OR(COUNTIF(PROVEEDORES[[#This Row],[PROVEEDOR]],"*"&amp;'Palabra que no opera y Listas d'!$A$2&amp;"*"))</f>
        <v>0</v>
      </c>
    </row>
    <row r="275" spans="1:26" ht="27.75" customHeight="1" x14ac:dyDescent="0.25">
      <c r="A275" s="112" t="str">
        <f>+IF(PROVEEDORES[[#This Row],[FECHA DE PAGO]]=PROVEEDORES[[#This Row],[FECHA DE FACTURACIÓN]],"DE CONTADO","CRÉDITO")</f>
        <v>CRÉDITO</v>
      </c>
      <c r="B275" s="112" t="b">
        <f>+IF((PROVEEDORES[[#This Row],[FECHA DE PAGO]]-PROVEEDORES[[#This Row],[FECHA DE FACTURACIÓN]])&gt;PROVEEDORES[[#This Row],[PLAZO Días]],"PAGO VENCIDO")</f>
        <v>0</v>
      </c>
      <c r="C275" s="112">
        <f>+VLOOKUP(PROVEEDORES[[#This Row],[PROVEEDOR]],TERCEROS_INFO[#All],2,FALSE)</f>
        <v>30</v>
      </c>
      <c r="D275" s="113">
        <f>+SUMIFS(PROVEEDORES[Total],PROVEEDORES[PROVEEDOR],PROVEEDORES[[#This Row],[PROVEEDOR]],PROVEEDORES[FECHA DE PAGO],"")</f>
        <v>3837000</v>
      </c>
      <c r="E275" s="114"/>
      <c r="F275" s="112">
        <f>+VLOOKUP(PROVEEDORES[[#This Row],[PROVEEDOR]],
                       Terceros!$A:$F,
                       5,
                       FALSE)</f>
        <v>0</v>
      </c>
      <c r="G275" s="115"/>
      <c r="H275" s="116" t="s">
        <v>663</v>
      </c>
      <c r="I275" s="115">
        <v>45647</v>
      </c>
      <c r="J275" s="117" t="s">
        <v>897</v>
      </c>
      <c r="K275" s="117" t="s">
        <v>256</v>
      </c>
      <c r="L275" s="117"/>
      <c r="M275" s="118">
        <v>3837000</v>
      </c>
      <c r="N275" s="119"/>
      <c r="O275" s="119">
        <v>0</v>
      </c>
      <c r="P275" s="120">
        <v>0</v>
      </c>
      <c r="Q275" s="119">
        <v>0</v>
      </c>
      <c r="R275" s="121">
        <v>3837000</v>
      </c>
      <c r="S275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5" s="122">
        <f ca="1">+IF(PROVEEDORES[[#This Row],[FECHA DE PAGO]]=0,TODAY()-PROVEEDORES[[#This Row],[FECHA DE FACTURACIÓN]]-PROVEEDORES[[#This Row],[PLAZO Días]],0)</f>
        <v>-11</v>
      </c>
      <c r="U275" s="122">
        <f>+VLOOKUP(PROVEEDORES[[#This Row],[PROVEEDOR]],Terceros!$A:$D,4,FALSE)</f>
        <v>0</v>
      </c>
      <c r="V275" s="122">
        <f>+YEAR(PROVEEDORES[[#This Row],[FECHA DE FACTURACIÓN]])</f>
        <v>2024</v>
      </c>
      <c r="W275" s="122">
        <f>+MATCH(PROVEEDORES[[#This Row],[año facturado]],Retenciones!$1:$1,0)</f>
        <v>3</v>
      </c>
      <c r="X275" s="123">
        <f>+VLOOKUP(PROVEEDORES[[#This Row],[ID RETENCION]],Retenciones!$A$1:$K$25,PROVEEDORES[[#This Row],[indicador de columna]],FALSE)</f>
        <v>0</v>
      </c>
      <c r="Y275" s="124">
        <f>+VLOOKUP(PROVEEDORES[[#This Row],[ID RETENCION]],Retenciones!$A$1:$K$25,2,FALSE)</f>
        <v>0</v>
      </c>
      <c r="Z275" s="125" t="b">
        <f>+OR(COUNTIF(PROVEEDORES[[#This Row],[PROVEEDOR]],"*"&amp;'Palabra que no opera y Listas d'!$A$2&amp;"*"))</f>
        <v>0</v>
      </c>
    </row>
    <row r="276" spans="1:26" ht="27.75" customHeight="1" x14ac:dyDescent="0.25">
      <c r="A276" s="112" t="str">
        <f>+IF(PROVEEDORES[[#This Row],[FECHA DE PAGO]]=PROVEEDORES[[#This Row],[FECHA DE FACTURACIÓN]],"DE CONTADO","CRÉDITO")</f>
        <v>CRÉDITO</v>
      </c>
      <c r="B276" s="112" t="b">
        <f>+IF((PROVEEDORES[[#This Row],[FECHA DE PAGO]]-PROVEEDORES[[#This Row],[FECHA DE FACTURACIÓN]])&gt;PROVEEDORES[[#This Row],[PLAZO Días]],"PAGO VENCIDO")</f>
        <v>0</v>
      </c>
      <c r="C276" s="112">
        <f>+VLOOKUP(PROVEEDORES[[#This Row],[PROVEEDOR]],TERCEROS_INFO[#All],2,FALSE)</f>
        <v>30</v>
      </c>
      <c r="D276" s="113">
        <f>+SUMIFS(PROVEEDORES[Total],PROVEEDORES[PROVEEDOR],PROVEEDORES[[#This Row],[PROVEEDOR]],PROVEEDORES[FECHA DE PAGO],"")</f>
        <v>2274598.13</v>
      </c>
      <c r="E276" s="114"/>
      <c r="F276" s="112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276" s="115"/>
      <c r="H276" s="116" t="s">
        <v>102</v>
      </c>
      <c r="I276" s="115">
        <v>45647</v>
      </c>
      <c r="J276" s="117" t="s">
        <v>898</v>
      </c>
      <c r="K276" s="117" t="s">
        <v>256</v>
      </c>
      <c r="L276" s="117"/>
      <c r="M276" s="118">
        <v>211260</v>
      </c>
      <c r="N276" s="119">
        <v>40139.4</v>
      </c>
      <c r="O276" s="119">
        <v>0</v>
      </c>
      <c r="P276" s="120">
        <v>0</v>
      </c>
      <c r="Q276" s="119">
        <v>0</v>
      </c>
      <c r="R276" s="121">
        <v>251399.4</v>
      </c>
      <c r="S276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6" s="122">
        <f ca="1">+IF(PROVEEDORES[[#This Row],[FECHA DE PAGO]]=0,TODAY()-PROVEEDORES[[#This Row],[FECHA DE FACTURACIÓN]]-PROVEEDORES[[#This Row],[PLAZO Días]],0)</f>
        <v>-11</v>
      </c>
      <c r="U276" s="122" t="str">
        <f>+VLOOKUP(PROVEEDORES[[#This Row],[PROVEEDOR]],Terceros!$A:$D,4,FALSE)</f>
        <v>2,5% con base</v>
      </c>
      <c r="V276" s="122">
        <f>+YEAR(PROVEEDORES[[#This Row],[FECHA DE FACTURACIÓN]])</f>
        <v>2024</v>
      </c>
      <c r="W276" s="122">
        <f>+MATCH(PROVEEDORES[[#This Row],[año facturado]],Retenciones!$1:$1,0)</f>
        <v>3</v>
      </c>
      <c r="X276" s="123">
        <f>+VLOOKUP(PROVEEDORES[[#This Row],[ID RETENCION]],Retenciones!$A$1:$K$25,PROVEEDORES[[#This Row],[indicador de columna]],FALSE)</f>
        <v>1271000</v>
      </c>
      <c r="Y276" s="124">
        <f>+VLOOKUP(PROVEEDORES[[#This Row],[ID RETENCION]],Retenciones!$A$1:$K$25,2,FALSE)</f>
        <v>2.5000000000000001E-2</v>
      </c>
      <c r="Z276" s="125" t="b">
        <f>+OR(COUNTIF(PROVEEDORES[[#This Row],[PROVEEDOR]],"*"&amp;'Palabra que no opera y Listas d'!$A$2&amp;"*"))</f>
        <v>0</v>
      </c>
    </row>
    <row r="277" spans="1:26" ht="27.75" customHeight="1" x14ac:dyDescent="0.25">
      <c r="A277" s="112" t="str">
        <f>+IF(PROVEEDORES[[#This Row],[FECHA DE PAGO]]=PROVEEDORES[[#This Row],[FECHA DE FACTURACIÓN]],"DE CONTADO","CRÉDITO")</f>
        <v>CRÉDITO</v>
      </c>
      <c r="B277" s="112" t="b">
        <f>+IF((PROVEEDORES[[#This Row],[FECHA DE PAGO]]-PROVEEDORES[[#This Row],[FECHA DE FACTURACIÓN]])&gt;PROVEEDORES[[#This Row],[PLAZO Días]],"PAGO VENCIDO")</f>
        <v>0</v>
      </c>
      <c r="C277" s="112">
        <f>+VLOOKUP(PROVEEDORES[[#This Row],[PROVEEDOR]],TERCEROS_INFO[#All],2,FALSE)</f>
        <v>30</v>
      </c>
      <c r="D277" s="113">
        <f>+SUMIFS(PROVEEDORES[Total],PROVEEDORES[PROVEEDOR],PROVEEDORES[[#This Row],[PROVEEDOR]],PROVEEDORES[FECHA DE PAGO],"")</f>
        <v>4224500</v>
      </c>
      <c r="E277" s="114"/>
      <c r="F277" s="112" t="str">
        <f>+VLOOKUP(PROVEEDORES[[#This Row],[PROVEEDOR]],
                       Terceros!$A:$F,
                       5,
                       FALSE)</f>
        <v/>
      </c>
      <c r="G277" s="115"/>
      <c r="H277" s="116" t="s">
        <v>666</v>
      </c>
      <c r="I277" s="115">
        <v>45649</v>
      </c>
      <c r="J277" s="117" t="s">
        <v>899</v>
      </c>
      <c r="K277" s="117" t="s">
        <v>256</v>
      </c>
      <c r="L277" s="117" t="s">
        <v>234</v>
      </c>
      <c r="M277" s="118">
        <v>2873000</v>
      </c>
      <c r="N277" s="119"/>
      <c r="O277" s="119">
        <v>0</v>
      </c>
      <c r="P277" s="120">
        <v>0</v>
      </c>
      <c r="Q277" s="119">
        <v>0</v>
      </c>
      <c r="R277" s="121">
        <v>2873000</v>
      </c>
      <c r="S277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7" s="122">
        <f ca="1">+IF(PROVEEDORES[[#This Row],[FECHA DE PAGO]]=0,TODAY()-PROVEEDORES[[#This Row],[FECHA DE FACTURACIÓN]]-PROVEEDORES[[#This Row],[PLAZO Días]],0)</f>
        <v>-13</v>
      </c>
      <c r="U277" s="122">
        <f>+VLOOKUP(PROVEEDORES[[#This Row],[PROVEEDOR]],Terceros!$A:$D,4,FALSE)</f>
        <v>0</v>
      </c>
      <c r="V277" s="122">
        <f>+YEAR(PROVEEDORES[[#This Row],[FECHA DE FACTURACIÓN]])</f>
        <v>2024</v>
      </c>
      <c r="W277" s="122">
        <f>+MATCH(PROVEEDORES[[#This Row],[año facturado]],Retenciones!$1:$1,0)</f>
        <v>3</v>
      </c>
      <c r="X277" s="123">
        <f>+VLOOKUP(PROVEEDORES[[#This Row],[ID RETENCION]],Retenciones!$A$1:$K$25,PROVEEDORES[[#This Row],[indicador de columna]],FALSE)</f>
        <v>0</v>
      </c>
      <c r="Y277" s="124">
        <f>+VLOOKUP(PROVEEDORES[[#This Row],[ID RETENCION]],Retenciones!$A$1:$K$25,2,FALSE)</f>
        <v>0</v>
      </c>
      <c r="Z277" s="125" t="b">
        <f>+OR(COUNTIF(PROVEEDORES[[#This Row],[PROVEEDOR]],"*"&amp;'Palabra que no opera y Listas d'!$A$2&amp;"*"))</f>
        <v>0</v>
      </c>
    </row>
    <row r="278" spans="1:26" ht="27.75" customHeight="1" x14ac:dyDescent="0.25">
      <c r="A278" s="112" t="str">
        <f>+IF(PROVEEDORES[[#This Row],[FECHA DE PAGO]]=PROVEEDORES[[#This Row],[FECHA DE FACTURACIÓN]],"DE CONTADO","CRÉDITO")</f>
        <v>CRÉDITO</v>
      </c>
      <c r="B278" s="112" t="b">
        <f>+IF((PROVEEDORES[[#This Row],[FECHA DE PAGO]]-PROVEEDORES[[#This Row],[FECHA DE FACTURACIÓN]])&gt;PROVEEDORES[[#This Row],[PLAZO Días]],"PAGO VENCIDO")</f>
        <v>0</v>
      </c>
      <c r="C278" s="112">
        <f>+VLOOKUP(PROVEEDORES[[#This Row],[PROVEEDOR]],TERCEROS_INFO[#All],2,FALSE)</f>
        <v>30</v>
      </c>
      <c r="D278" s="113">
        <f>+SUMIFS(PROVEEDORES[Total],PROVEEDORES[PROVEEDOR],PROVEEDORES[[#This Row],[PROVEEDOR]],PROVEEDORES[FECHA DE PAGO],"")</f>
        <v>17328000</v>
      </c>
      <c r="E278" s="114"/>
      <c r="F278" s="112">
        <f>+VLOOKUP(PROVEEDORES[[#This Row],[PROVEEDOR]],
                       Terceros!$A:$F,
                       5,
                       FALSE)</f>
        <v>0</v>
      </c>
      <c r="G278" s="115"/>
      <c r="H278" s="116" t="s">
        <v>655</v>
      </c>
      <c r="I278" s="115">
        <v>45649</v>
      </c>
      <c r="J278" s="117" t="s">
        <v>900</v>
      </c>
      <c r="K278" s="117" t="s">
        <v>256</v>
      </c>
      <c r="L278" s="117"/>
      <c r="M278" s="118">
        <v>4396000</v>
      </c>
      <c r="N278" s="119"/>
      <c r="O278" s="119">
        <v>0</v>
      </c>
      <c r="P278" s="120">
        <v>0</v>
      </c>
      <c r="Q278" s="119">
        <v>0</v>
      </c>
      <c r="R278" s="121">
        <v>4396000</v>
      </c>
      <c r="S278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8" s="122">
        <f ca="1">+IF(PROVEEDORES[[#This Row],[FECHA DE PAGO]]=0,TODAY()-PROVEEDORES[[#This Row],[FECHA DE FACTURACIÓN]]-PROVEEDORES[[#This Row],[PLAZO Días]],0)</f>
        <v>-13</v>
      </c>
      <c r="U278" s="122">
        <f>+VLOOKUP(PROVEEDORES[[#This Row],[PROVEEDOR]],Terceros!$A:$D,4,FALSE)</f>
        <v>0</v>
      </c>
      <c r="V278" s="122">
        <f>+YEAR(PROVEEDORES[[#This Row],[FECHA DE FACTURACIÓN]])</f>
        <v>2024</v>
      </c>
      <c r="W278" s="122">
        <f>+MATCH(PROVEEDORES[[#This Row],[año facturado]],Retenciones!$1:$1,0)</f>
        <v>3</v>
      </c>
      <c r="X278" s="123">
        <f>+VLOOKUP(PROVEEDORES[[#This Row],[ID RETENCION]],Retenciones!$A$1:$K$25,PROVEEDORES[[#This Row],[indicador de columna]],FALSE)</f>
        <v>0</v>
      </c>
      <c r="Y278" s="124">
        <f>+VLOOKUP(PROVEEDORES[[#This Row],[ID RETENCION]],Retenciones!$A$1:$K$25,2,FALSE)</f>
        <v>0</v>
      </c>
      <c r="Z278" s="125" t="b">
        <f>+OR(COUNTIF(PROVEEDORES[[#This Row],[PROVEEDOR]],"*"&amp;'Palabra que no opera y Listas d'!$A$2&amp;"*"))</f>
        <v>0</v>
      </c>
    </row>
    <row r="279" spans="1:26" ht="27.75" customHeight="1" x14ac:dyDescent="0.25">
      <c r="A279" s="112" t="str">
        <f>+IF(PROVEEDORES[[#This Row],[FECHA DE PAGO]]=PROVEEDORES[[#This Row],[FECHA DE FACTURACIÓN]],"DE CONTADO","CRÉDITO")</f>
        <v>CRÉDITO</v>
      </c>
      <c r="B279" s="112" t="b">
        <f>+IF((PROVEEDORES[[#This Row],[FECHA DE PAGO]]-PROVEEDORES[[#This Row],[FECHA DE FACTURACIÓN]])&gt;PROVEEDORES[[#This Row],[PLAZO Días]],"PAGO VENCIDO")</f>
        <v>0</v>
      </c>
      <c r="C279" s="112">
        <f>+VLOOKUP(PROVEEDORES[[#This Row],[PROVEEDOR]],TERCEROS_INFO[#All],2,FALSE)</f>
        <v>30</v>
      </c>
      <c r="D279" s="113">
        <f>+SUMIFS(PROVEEDORES[Total],PROVEEDORES[PROVEEDOR],PROVEEDORES[[#This Row],[PROVEEDOR]],PROVEEDORES[FECHA DE PAGO],"")</f>
        <v>2274598.13</v>
      </c>
      <c r="E279" s="114"/>
      <c r="F279" s="112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279" s="115"/>
      <c r="H279" s="116" t="s">
        <v>102</v>
      </c>
      <c r="I279" s="115">
        <v>45649</v>
      </c>
      <c r="J279" s="117" t="s">
        <v>901</v>
      </c>
      <c r="K279" s="117" t="s">
        <v>256</v>
      </c>
      <c r="L279" s="117"/>
      <c r="M279" s="118">
        <v>1121008</v>
      </c>
      <c r="N279" s="119">
        <v>212991.52</v>
      </c>
      <c r="O279" s="119">
        <v>0</v>
      </c>
      <c r="P279" s="120">
        <v>0</v>
      </c>
      <c r="Q279" s="119">
        <v>0</v>
      </c>
      <c r="R279" s="121">
        <v>1333999.52</v>
      </c>
      <c r="S279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79" s="122">
        <f ca="1">+IF(PROVEEDORES[[#This Row],[FECHA DE PAGO]]=0,TODAY()-PROVEEDORES[[#This Row],[FECHA DE FACTURACIÓN]]-PROVEEDORES[[#This Row],[PLAZO Días]],0)</f>
        <v>-13</v>
      </c>
      <c r="U279" s="122" t="str">
        <f>+VLOOKUP(PROVEEDORES[[#This Row],[PROVEEDOR]],Terceros!$A:$D,4,FALSE)</f>
        <v>2,5% con base</v>
      </c>
      <c r="V279" s="122">
        <f>+YEAR(PROVEEDORES[[#This Row],[FECHA DE FACTURACIÓN]])</f>
        <v>2024</v>
      </c>
      <c r="W279" s="122">
        <f>+MATCH(PROVEEDORES[[#This Row],[año facturado]],Retenciones!$1:$1,0)</f>
        <v>3</v>
      </c>
      <c r="X279" s="123">
        <f>+VLOOKUP(PROVEEDORES[[#This Row],[ID RETENCION]],Retenciones!$A$1:$K$25,PROVEEDORES[[#This Row],[indicador de columna]],FALSE)</f>
        <v>1271000</v>
      </c>
      <c r="Y279" s="124">
        <f>+VLOOKUP(PROVEEDORES[[#This Row],[ID RETENCION]],Retenciones!$A$1:$K$25,2,FALSE)</f>
        <v>2.5000000000000001E-2</v>
      </c>
      <c r="Z279" s="125" t="b">
        <f>+OR(COUNTIF(PROVEEDORES[[#This Row],[PROVEEDOR]],"*"&amp;'Palabra que no opera y Listas d'!$A$2&amp;"*"))</f>
        <v>0</v>
      </c>
    </row>
    <row r="280" spans="1:26" ht="27.75" customHeight="1" x14ac:dyDescent="0.25">
      <c r="A280" s="112" t="str">
        <f>+IF(PROVEEDORES[[#This Row],[FECHA DE PAGO]]=PROVEEDORES[[#This Row],[FECHA DE FACTURACIÓN]],"DE CONTADO","CRÉDITO")</f>
        <v>CRÉDITO</v>
      </c>
      <c r="B280" s="112" t="b">
        <f>+IF((PROVEEDORES[[#This Row],[FECHA DE PAGO]]-PROVEEDORES[[#This Row],[FECHA DE FACTURACIÓN]])&gt;PROVEEDORES[[#This Row],[PLAZO Días]],"PAGO VENCIDO")</f>
        <v>0</v>
      </c>
      <c r="C280" s="112">
        <f>+VLOOKUP(PROVEEDORES[[#This Row],[PROVEEDOR]],TERCEROS_INFO[#All],2,FALSE)</f>
        <v>30</v>
      </c>
      <c r="D280" s="113">
        <f>+SUMIFS(PROVEEDORES[Total],PROVEEDORES[PROVEEDOR],PROVEEDORES[[#This Row],[PROVEEDOR]],PROVEEDORES[FECHA DE PAGO],"")</f>
        <v>4701954.13</v>
      </c>
      <c r="E280" s="114"/>
      <c r="F280" s="112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80" s="115"/>
      <c r="H280" s="116" t="s">
        <v>12</v>
      </c>
      <c r="I280" s="115">
        <v>45649</v>
      </c>
      <c r="J280" s="117" t="s">
        <v>902</v>
      </c>
      <c r="K280" s="117" t="s">
        <v>256</v>
      </c>
      <c r="L280" s="117"/>
      <c r="M280" s="118">
        <v>1313000</v>
      </c>
      <c r="N280" s="119">
        <v>249470</v>
      </c>
      <c r="O280" s="119">
        <v>0</v>
      </c>
      <c r="P280" s="120">
        <v>0</v>
      </c>
      <c r="Q280" s="119">
        <v>0</v>
      </c>
      <c r="R280" s="121">
        <v>1562470</v>
      </c>
      <c r="S280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80" s="122">
        <f ca="1">+IF(PROVEEDORES[[#This Row],[FECHA DE PAGO]]=0,TODAY()-PROVEEDORES[[#This Row],[FECHA DE FACTURACIÓN]]-PROVEEDORES[[#This Row],[PLAZO Días]],0)</f>
        <v>-13</v>
      </c>
      <c r="U280" s="122">
        <f>+VLOOKUP(PROVEEDORES[[#This Row],[PROVEEDOR]],Terceros!$A:$D,4,FALSE)</f>
        <v>0</v>
      </c>
      <c r="V280" s="122">
        <f>+YEAR(PROVEEDORES[[#This Row],[FECHA DE FACTURACIÓN]])</f>
        <v>2024</v>
      </c>
      <c r="W280" s="122">
        <f>+MATCH(PROVEEDORES[[#This Row],[año facturado]],Retenciones!$1:$1,0)</f>
        <v>3</v>
      </c>
      <c r="X280" s="123">
        <f>+VLOOKUP(PROVEEDORES[[#This Row],[ID RETENCION]],Retenciones!$A$1:$K$25,PROVEEDORES[[#This Row],[indicador de columna]],FALSE)</f>
        <v>0</v>
      </c>
      <c r="Y280" s="124">
        <f>+VLOOKUP(PROVEEDORES[[#This Row],[ID RETENCION]],Retenciones!$A$1:$K$25,2,FALSE)</f>
        <v>0</v>
      </c>
      <c r="Z280" s="125" t="b">
        <f>+OR(COUNTIF(PROVEEDORES[[#This Row],[PROVEEDOR]],"*"&amp;'Palabra que no opera y Listas d'!$A$2&amp;"*"))</f>
        <v>0</v>
      </c>
    </row>
    <row r="281" spans="1:26" ht="27.75" customHeight="1" x14ac:dyDescent="0.25">
      <c r="A281" s="112" t="str">
        <f>+IF(PROVEEDORES[[#This Row],[FECHA DE PAGO]]=PROVEEDORES[[#This Row],[FECHA DE FACTURACIÓN]],"DE CONTADO","CRÉDITO")</f>
        <v>CRÉDITO</v>
      </c>
      <c r="B281" s="112" t="b">
        <f>+IF((PROVEEDORES[[#This Row],[FECHA DE PAGO]]-PROVEEDORES[[#This Row],[FECHA DE FACTURACIÓN]])&gt;PROVEEDORES[[#This Row],[PLAZO Días]],"PAGO VENCIDO")</f>
        <v>0</v>
      </c>
      <c r="C281" s="112">
        <f>+VLOOKUP(PROVEEDORES[[#This Row],[PROVEEDOR]],TERCEROS_INFO[#All],2,FALSE)</f>
        <v>30</v>
      </c>
      <c r="D281" s="113">
        <f>+SUMIFS(PROVEEDORES[Total],PROVEEDORES[PROVEEDOR],PROVEEDORES[[#This Row],[PROVEEDOR]],PROVEEDORES[FECHA DE PAGO],"")</f>
        <v>3823530</v>
      </c>
      <c r="E281" s="114"/>
      <c r="F281" s="112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81" s="115"/>
      <c r="H281" s="116" t="s">
        <v>278</v>
      </c>
      <c r="I281" s="115">
        <v>45652</v>
      </c>
      <c r="J281" s="117" t="s">
        <v>903</v>
      </c>
      <c r="K281" s="117" t="s">
        <v>256</v>
      </c>
      <c r="L281" s="117"/>
      <c r="M281" s="118">
        <v>3282000</v>
      </c>
      <c r="N281" s="119">
        <v>623580</v>
      </c>
      <c r="O281" s="119">
        <v>0</v>
      </c>
      <c r="P281" s="120">
        <v>2.5000000000000001E-2</v>
      </c>
      <c r="Q281" s="119">
        <v>82050</v>
      </c>
      <c r="R281" s="121">
        <v>3823530</v>
      </c>
      <c r="S281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81" s="122">
        <f ca="1">+IF(PROVEEDORES[[#This Row],[FECHA DE PAGO]]=0,TODAY()-PROVEEDORES[[#This Row],[FECHA DE FACTURACIÓN]]-PROVEEDORES[[#This Row],[PLAZO Días]],0)</f>
        <v>-16</v>
      </c>
      <c r="U281" s="122" t="str">
        <f>+VLOOKUP(PROVEEDORES[[#This Row],[PROVEEDOR]],Terceros!$A:$D,4,FALSE)</f>
        <v>2,5% con base</v>
      </c>
      <c r="V281" s="122">
        <f>+YEAR(PROVEEDORES[[#This Row],[FECHA DE FACTURACIÓN]])</f>
        <v>2024</v>
      </c>
      <c r="W281" s="122">
        <f>+MATCH(PROVEEDORES[[#This Row],[año facturado]],Retenciones!$1:$1,0)</f>
        <v>3</v>
      </c>
      <c r="X281" s="123">
        <f>+VLOOKUP(PROVEEDORES[[#This Row],[ID RETENCION]],Retenciones!$A$1:$K$25,PROVEEDORES[[#This Row],[indicador de columna]],FALSE)</f>
        <v>1271000</v>
      </c>
      <c r="Y281" s="124">
        <f>+VLOOKUP(PROVEEDORES[[#This Row],[ID RETENCION]],Retenciones!$A$1:$K$25,2,FALSE)</f>
        <v>2.5000000000000001E-2</v>
      </c>
      <c r="Z281" s="125" t="b">
        <f>+OR(COUNTIF(PROVEEDORES[[#This Row],[PROVEEDOR]],"*"&amp;'Palabra que no opera y Listas d'!$A$2&amp;"*"))</f>
        <v>0</v>
      </c>
    </row>
    <row r="282" spans="1:26" ht="27.75" customHeight="1" x14ac:dyDescent="0.25">
      <c r="A282" s="112" t="str">
        <f>+IF(PROVEEDORES[[#This Row],[FECHA DE PAGO]]=PROVEEDORES[[#This Row],[FECHA DE FACTURACIÓN]],"DE CONTADO","CRÉDITO")</f>
        <v>CRÉDITO</v>
      </c>
      <c r="B282" s="112" t="b">
        <f>+IF((PROVEEDORES[[#This Row],[FECHA DE PAGO]]-PROVEEDORES[[#This Row],[FECHA DE FACTURACIÓN]])&gt;PROVEEDORES[[#This Row],[PLAZO Días]],"PAGO VENCIDO")</f>
        <v>0</v>
      </c>
      <c r="C282" s="112">
        <f>+VLOOKUP(PROVEEDORES[[#This Row],[PROVEEDOR]],TERCEROS_INFO[#All],2,FALSE)</f>
        <v>30</v>
      </c>
      <c r="D282" s="113">
        <f>+SUMIFS(PROVEEDORES[Total],PROVEEDORES[PROVEEDOR],PROVEEDORES[[#This Row],[PROVEEDOR]],PROVEEDORES[FECHA DE PAGO],"")</f>
        <v>1330000</v>
      </c>
      <c r="E282" s="114"/>
      <c r="F282" s="112">
        <f>+VLOOKUP(PROVEEDORES[[#This Row],[PROVEEDOR]],
                       Terceros!$A:$F,
                       5,
                       FALSE)</f>
        <v>0</v>
      </c>
      <c r="G282" s="115"/>
      <c r="H282" s="116" t="s">
        <v>654</v>
      </c>
      <c r="I282" s="115">
        <v>45653</v>
      </c>
      <c r="J282" s="117" t="s">
        <v>904</v>
      </c>
      <c r="K282" s="117" t="s">
        <v>256</v>
      </c>
      <c r="L282" s="117"/>
      <c r="M282" s="118">
        <v>1330000</v>
      </c>
      <c r="N282" s="119"/>
      <c r="O282" s="119">
        <v>0</v>
      </c>
      <c r="P282" s="120">
        <v>0</v>
      </c>
      <c r="Q282" s="119">
        <v>0</v>
      </c>
      <c r="R282" s="121">
        <v>1330000</v>
      </c>
      <c r="S282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82" s="122">
        <f ca="1">+IF(PROVEEDORES[[#This Row],[FECHA DE PAGO]]=0,TODAY()-PROVEEDORES[[#This Row],[FECHA DE FACTURACIÓN]]-PROVEEDORES[[#This Row],[PLAZO Días]],0)</f>
        <v>-17</v>
      </c>
      <c r="U282" s="122">
        <f>+VLOOKUP(PROVEEDORES[[#This Row],[PROVEEDOR]],Terceros!$A:$D,4,FALSE)</f>
        <v>0</v>
      </c>
      <c r="V282" s="122">
        <f>+YEAR(PROVEEDORES[[#This Row],[FECHA DE FACTURACIÓN]])</f>
        <v>2024</v>
      </c>
      <c r="W282" s="122">
        <f>+MATCH(PROVEEDORES[[#This Row],[año facturado]],Retenciones!$1:$1,0)</f>
        <v>3</v>
      </c>
      <c r="X282" s="123">
        <f>+VLOOKUP(PROVEEDORES[[#This Row],[ID RETENCION]],Retenciones!$A$1:$K$25,PROVEEDORES[[#This Row],[indicador de columna]],FALSE)</f>
        <v>0</v>
      </c>
      <c r="Y282" s="124">
        <f>+VLOOKUP(PROVEEDORES[[#This Row],[ID RETENCION]],Retenciones!$A$1:$K$25,2,FALSE)</f>
        <v>0</v>
      </c>
      <c r="Z282" s="125" t="b">
        <f>+OR(COUNTIF(PROVEEDORES[[#This Row],[PROVEEDOR]],"*"&amp;'Palabra que no opera y Listas d'!$A$2&amp;"*"))</f>
        <v>0</v>
      </c>
    </row>
    <row r="283" spans="1:26" ht="27.75" customHeight="1" x14ac:dyDescent="0.25">
      <c r="A283" s="112" t="str">
        <f>+IF(PROVEEDORES[[#This Row],[FECHA DE PAGO]]=PROVEEDORES[[#This Row],[FECHA DE FACTURACIÓN]],"DE CONTADO","CRÉDITO")</f>
        <v>CRÉDITO</v>
      </c>
      <c r="B283" s="112" t="b">
        <f>+IF((PROVEEDORES[[#This Row],[FECHA DE PAGO]]-PROVEEDORES[[#This Row],[FECHA DE FACTURACIÓN]])&gt;PROVEEDORES[[#This Row],[PLAZO Días]],"PAGO VENCIDO")</f>
        <v>0</v>
      </c>
      <c r="C283" s="112">
        <f>+VLOOKUP(PROVEEDORES[[#This Row],[PROVEEDOR]],TERCEROS_INFO[#All],2,FALSE)</f>
        <v>30</v>
      </c>
      <c r="D283" s="113">
        <f>+SUMIFS(PROVEEDORES[Total],PROVEEDORES[PROVEEDOR],PROVEEDORES[[#This Row],[PROVEEDOR]],PROVEEDORES[FECHA DE PAGO],"")</f>
        <v>11737128.02</v>
      </c>
      <c r="E283" s="114"/>
      <c r="F283" s="112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283" s="115"/>
      <c r="H283" s="116" t="s">
        <v>536</v>
      </c>
      <c r="I283" s="115">
        <v>45653</v>
      </c>
      <c r="J283" s="117" t="s">
        <v>905</v>
      </c>
      <c r="K283" s="117" t="s">
        <v>256</v>
      </c>
      <c r="L283" s="117"/>
      <c r="M283" s="118">
        <v>2651680</v>
      </c>
      <c r="N283" s="119">
        <v>503819.2</v>
      </c>
      <c r="O283" s="119">
        <v>0</v>
      </c>
      <c r="P283" s="120">
        <v>2.5000000000000001E-2</v>
      </c>
      <c r="Q283" s="119">
        <v>66292</v>
      </c>
      <c r="R283" s="121">
        <v>3089207.2</v>
      </c>
      <c r="S283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83" s="122">
        <f ca="1">+IF(PROVEEDORES[[#This Row],[FECHA DE PAGO]]=0,TODAY()-PROVEEDORES[[#This Row],[FECHA DE FACTURACIÓN]]-PROVEEDORES[[#This Row],[PLAZO Días]],0)</f>
        <v>-17</v>
      </c>
      <c r="U283" s="122" t="str">
        <f>+VLOOKUP(PROVEEDORES[[#This Row],[PROVEEDOR]],Terceros!$A:$D,4,FALSE)</f>
        <v>2,5% con base</v>
      </c>
      <c r="V283" s="122">
        <f>+YEAR(PROVEEDORES[[#This Row],[FECHA DE FACTURACIÓN]])</f>
        <v>2024</v>
      </c>
      <c r="W283" s="122">
        <f>+MATCH(PROVEEDORES[[#This Row],[año facturado]],Retenciones!$1:$1,0)</f>
        <v>3</v>
      </c>
      <c r="X283" s="123">
        <f>+VLOOKUP(PROVEEDORES[[#This Row],[ID RETENCION]],Retenciones!$A$1:$K$25,PROVEEDORES[[#This Row],[indicador de columna]],FALSE)</f>
        <v>1271000</v>
      </c>
      <c r="Y283" s="124">
        <f>+VLOOKUP(PROVEEDORES[[#This Row],[ID RETENCION]],Retenciones!$A$1:$K$25,2,FALSE)</f>
        <v>2.5000000000000001E-2</v>
      </c>
      <c r="Z283" s="125" t="b">
        <f>+OR(COUNTIF(PROVEEDORES[[#This Row],[PROVEEDOR]],"*"&amp;'Palabra que no opera y Listas d'!$A$2&amp;"*"))</f>
        <v>0</v>
      </c>
    </row>
    <row r="284" spans="1:26" ht="27.75" customHeight="1" x14ac:dyDescent="0.25">
      <c r="A284" s="112" t="str">
        <f>+IF(PROVEEDORES[[#This Row],[FECHA DE PAGO]]=PROVEEDORES[[#This Row],[FECHA DE FACTURACIÓN]],"DE CONTADO","CRÉDITO")</f>
        <v>CRÉDITO</v>
      </c>
      <c r="B284" s="112" t="b">
        <f>+IF((PROVEEDORES[[#This Row],[FECHA DE PAGO]]-PROVEEDORES[[#This Row],[FECHA DE FACTURACIÓN]])&gt;PROVEEDORES[[#This Row],[PLAZO Días]],"PAGO VENCIDO")</f>
        <v>0</v>
      </c>
      <c r="C284" s="112">
        <f>+VLOOKUP(PROVEEDORES[[#This Row],[PROVEEDOR]],TERCEROS_INFO[#All],2,FALSE)</f>
        <v>30</v>
      </c>
      <c r="D284" s="113">
        <f>+SUMIFS(PROVEEDORES[Total],PROVEEDORES[PROVEEDOR],PROVEEDORES[[#This Row],[PROVEEDOR]],PROVEEDORES[FECHA DE PAGO],"")</f>
        <v>3430600</v>
      </c>
      <c r="E284" s="114"/>
      <c r="F284" s="112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84" s="115"/>
      <c r="H284" s="116" t="s">
        <v>304</v>
      </c>
      <c r="I284" s="115">
        <v>45656</v>
      </c>
      <c r="J284" s="117">
        <v>5611</v>
      </c>
      <c r="K284" s="117" t="s">
        <v>256</v>
      </c>
      <c r="L284" s="117"/>
      <c r="M284" s="118">
        <v>39000</v>
      </c>
      <c r="N284" s="119"/>
      <c r="O284" s="119">
        <v>5850</v>
      </c>
      <c r="P284" s="120">
        <v>0</v>
      </c>
      <c r="Q284" s="119">
        <v>0</v>
      </c>
      <c r="R284" s="121">
        <v>33150</v>
      </c>
      <c r="S284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284" s="122">
        <f ca="1">+IF(PROVEEDORES[[#This Row],[FECHA DE PAGO]]=0,TODAY()-PROVEEDORES[[#This Row],[FECHA DE FACTURACIÓN]]-PROVEEDORES[[#This Row],[PLAZO Días]],0)</f>
        <v>-20</v>
      </c>
      <c r="U284" s="122">
        <f>+VLOOKUP(PROVEEDORES[[#This Row],[PROVEEDOR]],Terceros!$A:$D,4,FALSE)</f>
        <v>0</v>
      </c>
      <c r="V284" s="122">
        <f>+YEAR(PROVEEDORES[[#This Row],[FECHA DE FACTURACIÓN]])</f>
        <v>2024</v>
      </c>
      <c r="W284" s="122">
        <f>+MATCH(PROVEEDORES[[#This Row],[año facturado]],Retenciones!$1:$1,0)</f>
        <v>3</v>
      </c>
      <c r="X284" s="123">
        <f>+VLOOKUP(PROVEEDORES[[#This Row],[ID RETENCION]],Retenciones!$A$1:$K$25,PROVEEDORES[[#This Row],[indicador de columna]],FALSE)</f>
        <v>0</v>
      </c>
      <c r="Y284" s="124">
        <f>+VLOOKUP(PROVEEDORES[[#This Row],[ID RETENCION]],Retenciones!$A$1:$K$25,2,FALSE)</f>
        <v>0</v>
      </c>
      <c r="Z284" s="125" t="b">
        <f>+OR(COUNTIF(PROVEEDORES[[#This Row],[PROVEEDOR]],"*"&amp;'Palabra que no opera y Listas d'!$A$2&amp;"*"))</f>
        <v>0</v>
      </c>
    </row>
    <row r="285" spans="1:26" ht="27.75" customHeight="1" x14ac:dyDescent="0.25">
      <c r="A285" s="112" t="str">
        <f>+IF(PROVEEDORES[[#This Row],[FECHA DE PAGO]]=PROVEEDORES[[#This Row],[FECHA DE FACTURACIÓN]],"DE CONTADO","CRÉDITO")</f>
        <v>CRÉDITO</v>
      </c>
      <c r="B285" s="112" t="b">
        <f>+IF((PROVEEDORES[[#This Row],[FECHA DE PAGO]]-PROVEEDORES[[#This Row],[FECHA DE FACTURACIÓN]])&gt;PROVEEDORES[[#This Row],[PLAZO Días]],"PAGO VENCIDO")</f>
        <v>0</v>
      </c>
      <c r="C285" s="112">
        <f>+VLOOKUP(PROVEEDORES[[#This Row],[PROVEEDOR]],TERCEROS_INFO[#All],2,FALSE)</f>
        <v>30</v>
      </c>
      <c r="D285" s="113">
        <f>+SUMIFS(PROVEEDORES[Total],PROVEEDORES[PROVEEDOR],PROVEEDORES[[#This Row],[PROVEEDOR]],PROVEEDORES[FECHA DE PAGO],"")</f>
        <v>3651240.11</v>
      </c>
      <c r="E285" s="114"/>
      <c r="F285" s="112" t="str">
        <f>+VLOOKUP(PROVEEDORES[[#This Row],[PROVEEDOR]],
                       Terceros!$A:$F,
                       5,
                       FALSE)</f>
        <v>tecnopartes@ctof.co;girlesa.ruiz@servipilas.com;joriescobar64@gmail.com</v>
      </c>
      <c r="G285" s="115"/>
      <c r="H285" s="116" t="s">
        <v>243</v>
      </c>
      <c r="I285" s="115">
        <v>45294</v>
      </c>
      <c r="J285" s="117" t="s">
        <v>906</v>
      </c>
      <c r="K285" s="117" t="s">
        <v>256</v>
      </c>
      <c r="L285" s="117"/>
      <c r="M285" s="118">
        <v>2939300</v>
      </c>
      <c r="N285" s="119">
        <v>558467</v>
      </c>
      <c r="O285" s="119">
        <v>0</v>
      </c>
      <c r="P285" s="120">
        <v>2.5000000000000001E-2</v>
      </c>
      <c r="Q285" s="119">
        <v>73482.5</v>
      </c>
      <c r="R285" s="121">
        <v>3424284.5</v>
      </c>
      <c r="S285" s="122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85" s="122">
        <f ca="1">+IF(PROVEEDORES[[#This Row],[FECHA DE PAGO]]=0,TODAY()-PROVEEDORES[[#This Row],[FECHA DE FACTURACIÓN]]-PROVEEDORES[[#This Row],[PLAZO Días]],0)</f>
        <v>342</v>
      </c>
      <c r="U285" s="122" t="str">
        <f>+VLOOKUP(PROVEEDORES[[#This Row],[PROVEEDOR]],Terceros!$A:$D,4,FALSE)</f>
        <v>2,5% con base</v>
      </c>
      <c r="V285" s="122">
        <f>+YEAR(PROVEEDORES[[#This Row],[FECHA DE FACTURACIÓN]])</f>
        <v>2024</v>
      </c>
      <c r="W285" s="122">
        <f>+MATCH(PROVEEDORES[[#This Row],[año facturado]],Retenciones!$1:$1,0)</f>
        <v>3</v>
      </c>
      <c r="X285" s="123">
        <f>+VLOOKUP(PROVEEDORES[[#This Row],[ID RETENCION]],Retenciones!$A$1:$K$25,PROVEEDORES[[#This Row],[indicador de columna]],FALSE)</f>
        <v>1271000</v>
      </c>
      <c r="Y285" s="124">
        <f>+VLOOKUP(PROVEEDORES[[#This Row],[ID RETENCION]],Retenciones!$A$1:$K$25,2,FALSE)</f>
        <v>2.5000000000000001E-2</v>
      </c>
      <c r="Z285" s="125" t="b">
        <f>+OR(COUNTIF(PROVEEDORES[[#This Row],[PROVEEDOR]],"*"&amp;'Palabra que no opera y Listas d'!$A$2&amp;"*"))</f>
        <v>0</v>
      </c>
    </row>
  </sheetData>
  <conditionalFormatting sqref="A2:Z285">
    <cfRule type="expression" dxfId="11" priority="1" stopIfTrue="1">
      <formula>$S2="Por pagar"</formula>
    </cfRule>
    <cfRule type="expression" dxfId="10" priority="2" stopIfTrue="1">
      <formula>$S2="Vencida"</formula>
    </cfRule>
    <cfRule type="expression" dxfId="9" priority="3" stopIfTrue="1">
      <formula>$S2="Pagada"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7143C8-B87F-4D16-9219-C816E91C5623}">
          <x14:formula1>
            <xm:f>'Palabra que no opera y Listas d'!$C$2:$C$8</xm:f>
          </x14:formula1>
          <xm:sqref>L2:L285</xm:sqref>
        </x14:dataValidation>
        <x14:dataValidation type="list" allowBlank="1" showInputMessage="1" showErrorMessage="1" xr:uid="{FCFD8EA6-BE32-4B7B-BA43-91F139E684E1}">
          <x14:formula1>
            <xm:f>'Palabra que no opera y Listas d'!$B$2:$B$3</xm:f>
          </x14:formula1>
          <xm:sqref>K2:K285</xm:sqref>
        </x14:dataValidation>
        <x14:dataValidation type="list" allowBlank="1" showInputMessage="1" showErrorMessage="1" xr:uid="{E6D386C1-750F-4390-824C-1B6FB16C4390}">
          <x14:formula1>
            <xm:f>Terceros!$A:$A</xm:f>
          </x14:formula1>
          <xm:sqref>H2:H285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F17"/>
  <sheetViews>
    <sheetView topLeftCell="B1" zoomScaleNormal="100" workbookViewId="0">
      <selection activeCell="G1" sqref="G1:XFD1048576"/>
    </sheetView>
  </sheetViews>
  <sheetFormatPr defaultColWidth="0" defaultRowHeight="22.35" customHeight="1" x14ac:dyDescent="0.25"/>
  <cols>
    <col min="1" max="1" width="13.5703125" style="90" customWidth="1"/>
    <col min="2" max="2" width="39.42578125" style="59" customWidth="1"/>
    <col min="3" max="3" width="13.5703125" style="91" customWidth="1"/>
    <col min="4" max="4" width="17.42578125" style="91" customWidth="1"/>
    <col min="5" max="5" width="37.5703125" style="91" customWidth="1"/>
    <col min="6" max="6" width="14.42578125" style="92" customWidth="1"/>
    <col min="7" max="16384" width="13.5703125" hidden="1"/>
  </cols>
  <sheetData>
    <row r="1" spans="1:6" s="103" customFormat="1" ht="62.25" customHeight="1" x14ac:dyDescent="0.25">
      <c r="A1" s="75" t="s">
        <v>6</v>
      </c>
      <c r="B1" s="76" t="s">
        <v>3</v>
      </c>
      <c r="C1" s="89" t="s">
        <v>1</v>
      </c>
      <c r="D1" s="102" t="s">
        <v>2</v>
      </c>
      <c r="E1" s="76" t="s">
        <v>134</v>
      </c>
      <c r="F1" s="101" t="s">
        <v>147</v>
      </c>
    </row>
    <row r="2" spans="1:6" ht="22.35" customHeight="1" x14ac:dyDescent="0.25">
      <c r="A2" s="126"/>
      <c r="B2" s="127" t="s">
        <v>106</v>
      </c>
      <c r="C2" s="128">
        <v>45565</v>
      </c>
      <c r="D2" s="129">
        <v>2168</v>
      </c>
      <c r="E2" s="130">
        <v>44</v>
      </c>
      <c r="F2" s="131">
        <v>193248</v>
      </c>
    </row>
    <row r="3" spans="1:6" ht="22.35" customHeight="1" x14ac:dyDescent="0.25">
      <c r="A3" s="126"/>
      <c r="B3" s="127" t="s">
        <v>106</v>
      </c>
      <c r="C3" s="128">
        <v>45565</v>
      </c>
      <c r="D3" s="129">
        <v>2169</v>
      </c>
      <c r="E3" s="130">
        <v>296</v>
      </c>
      <c r="F3" s="131">
        <v>1300032</v>
      </c>
    </row>
    <row r="4" spans="1:6" ht="22.35" customHeight="1" x14ac:dyDescent="0.25">
      <c r="A4" s="126"/>
      <c r="B4" s="127" t="s">
        <v>106</v>
      </c>
      <c r="C4" s="128">
        <v>45566</v>
      </c>
      <c r="D4" s="129">
        <v>2177</v>
      </c>
      <c r="E4" s="130">
        <v>88</v>
      </c>
      <c r="F4" s="131">
        <v>386496</v>
      </c>
    </row>
    <row r="5" spans="1:6" ht="22.35" customHeight="1" x14ac:dyDescent="0.25">
      <c r="A5" s="126"/>
      <c r="B5" s="127" t="s">
        <v>106</v>
      </c>
      <c r="C5" s="128">
        <v>45569</v>
      </c>
      <c r="D5" s="129">
        <v>2173</v>
      </c>
      <c r="E5" s="130">
        <v>64</v>
      </c>
      <c r="F5" s="131">
        <v>281088</v>
      </c>
    </row>
    <row r="6" spans="1:6" ht="22.35" customHeight="1" x14ac:dyDescent="0.25">
      <c r="A6" s="126"/>
      <c r="B6" s="127" t="s">
        <v>106</v>
      </c>
      <c r="C6" s="128">
        <v>45576</v>
      </c>
      <c r="D6" s="129">
        <v>2183</v>
      </c>
      <c r="E6" s="130">
        <v>112</v>
      </c>
      <c r="F6" s="131">
        <v>491904</v>
      </c>
    </row>
    <row r="7" spans="1:6" ht="22.35" customHeight="1" x14ac:dyDescent="0.25">
      <c r="A7" s="126"/>
      <c r="B7" s="127" t="s">
        <v>106</v>
      </c>
      <c r="C7" s="128">
        <v>45576</v>
      </c>
      <c r="D7" s="129">
        <v>2184</v>
      </c>
      <c r="E7" s="130">
        <v>96</v>
      </c>
      <c r="F7" s="131">
        <v>421632</v>
      </c>
    </row>
    <row r="8" spans="1:6" ht="22.35" customHeight="1" x14ac:dyDescent="0.25">
      <c r="A8" s="126"/>
      <c r="B8" s="127" t="s">
        <v>106</v>
      </c>
      <c r="C8" s="128">
        <v>45589</v>
      </c>
      <c r="D8" s="129">
        <v>2194</v>
      </c>
      <c r="E8" s="130">
        <v>148</v>
      </c>
      <c r="F8" s="131">
        <v>650016</v>
      </c>
    </row>
    <row r="9" spans="1:6" ht="22.35" customHeight="1" x14ac:dyDescent="0.25">
      <c r="A9" s="126"/>
      <c r="B9" s="127" t="s">
        <v>106</v>
      </c>
      <c r="C9" s="128">
        <v>45589</v>
      </c>
      <c r="D9" s="129">
        <v>2196</v>
      </c>
      <c r="E9" s="130">
        <v>44</v>
      </c>
      <c r="F9" s="131">
        <v>193248</v>
      </c>
    </row>
    <row r="10" spans="1:6" ht="22.35" customHeight="1" x14ac:dyDescent="0.25">
      <c r="A10" s="126"/>
      <c r="B10" s="127" t="s">
        <v>106</v>
      </c>
      <c r="C10" s="128">
        <v>45616</v>
      </c>
      <c r="D10" s="129">
        <v>2209</v>
      </c>
      <c r="E10" s="130">
        <v>270</v>
      </c>
      <c r="F10" s="131">
        <v>1185840</v>
      </c>
    </row>
    <row r="11" spans="1:6" ht="22.35" customHeight="1" x14ac:dyDescent="0.25">
      <c r="A11" s="126"/>
      <c r="B11" s="127" t="s">
        <v>106</v>
      </c>
      <c r="C11" s="128">
        <v>45617</v>
      </c>
      <c r="D11" s="129">
        <v>2213</v>
      </c>
      <c r="E11" s="130">
        <v>80</v>
      </c>
      <c r="F11" s="131">
        <v>353176</v>
      </c>
    </row>
    <row r="12" spans="1:6" ht="22.35" customHeight="1" x14ac:dyDescent="0.25">
      <c r="A12" s="126"/>
      <c r="B12" s="127" t="s">
        <v>106</v>
      </c>
      <c r="C12" s="128">
        <v>45631</v>
      </c>
      <c r="D12" s="129">
        <v>2232</v>
      </c>
      <c r="E12" s="130">
        <v>100</v>
      </c>
      <c r="F12" s="131">
        <v>441470</v>
      </c>
    </row>
    <row r="13" spans="1:6" ht="22.35" customHeight="1" x14ac:dyDescent="0.25">
      <c r="A13" s="126"/>
      <c r="B13" s="127" t="s">
        <v>106</v>
      </c>
      <c r="C13" s="128">
        <v>45637</v>
      </c>
      <c r="D13" s="129">
        <v>2237</v>
      </c>
      <c r="E13" s="130">
        <v>144</v>
      </c>
      <c r="F13" s="131">
        <v>635716.79999999993</v>
      </c>
    </row>
    <row r="14" spans="1:6" ht="22.35" customHeight="1" x14ac:dyDescent="0.25">
      <c r="A14" s="126"/>
      <c r="B14" s="127" t="s">
        <v>106</v>
      </c>
      <c r="C14" s="128">
        <v>45646</v>
      </c>
      <c r="D14" s="129">
        <v>2244</v>
      </c>
      <c r="E14" s="130">
        <v>865</v>
      </c>
      <c r="F14" s="131">
        <v>3818715.5</v>
      </c>
    </row>
    <row r="15" spans="1:6" ht="22.35" customHeight="1" x14ac:dyDescent="0.25">
      <c r="A15" s="126"/>
      <c r="B15" s="127" t="s">
        <v>106</v>
      </c>
      <c r="C15" s="128">
        <v>45646</v>
      </c>
      <c r="D15" s="129">
        <v>2245</v>
      </c>
      <c r="E15" s="130">
        <v>3006.1</v>
      </c>
      <c r="F15" s="131">
        <v>13271029.67</v>
      </c>
    </row>
    <row r="16" spans="1:6" ht="22.35" customHeight="1" x14ac:dyDescent="0.25">
      <c r="A16" s="126"/>
      <c r="B16" s="127" t="s">
        <v>106</v>
      </c>
      <c r="C16" s="128">
        <v>45652</v>
      </c>
      <c r="D16" s="129">
        <v>2249</v>
      </c>
      <c r="E16" s="130">
        <v>80</v>
      </c>
      <c r="F16" s="131">
        <v>353176</v>
      </c>
    </row>
    <row r="17" spans="1:6" ht="22.35" customHeight="1" x14ac:dyDescent="0.25">
      <c r="A17" s="126"/>
      <c r="B17" s="127" t="s">
        <v>106</v>
      </c>
      <c r="C17" s="128">
        <v>45652</v>
      </c>
      <c r="D17" s="129">
        <v>2250</v>
      </c>
      <c r="E17" s="130">
        <v>40</v>
      </c>
      <c r="F17" s="131">
        <v>176588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1:F1">
    <cfRule type="expression" dxfId="8" priority="124">
      <formula>#REF!="Por pagar"</formula>
    </cfRule>
    <cfRule type="expression" dxfId="7" priority="125">
      <formula>#REF!="Vencida"</formula>
    </cfRule>
    <cfRule type="expression" dxfId="6" priority="126">
      <formula>#REF!="Pagada"</formula>
    </cfRule>
  </conditionalFormatting>
  <conditionalFormatting sqref="B2:D17">
    <cfRule type="expression" dxfId="5" priority="130" stopIfTrue="1">
      <formula>#REF!="Por pagar"</formula>
    </cfRule>
    <cfRule type="expression" dxfId="4" priority="131" stopIfTrue="1">
      <formula>#REF!="Vencida"</formula>
    </cfRule>
    <cfRule type="expression" dxfId="3" priority="132" stopIfTrue="1">
      <formula>#REF!="Pagada"</formula>
    </cfRule>
  </conditionalFormatting>
  <pageMargins left="1.085" right="0.7" top="0.75" bottom="0.75" header="0.3" footer="0.3"/>
  <pageSetup scale="3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23C873-C784-4801-B92B-758B19CF164C}">
          <x14:formula1>
            <xm:f>Terceros!$A:$A</xm:f>
          </x14:formula1>
          <xm:sqref>B2:B17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D29"/>
  <sheetViews>
    <sheetView topLeftCell="A12" zoomScaleNormal="100" workbookViewId="0">
      <pane xSplit="1" topLeftCell="B1" activePane="topRight" state="frozen"/>
      <selection activeCell="W4" sqref="W4"/>
      <selection pane="topRight" activeCell="D13" sqref="D13"/>
    </sheetView>
  </sheetViews>
  <sheetFormatPr defaultColWidth="14.42578125" defaultRowHeight="22.5" customHeight="1" x14ac:dyDescent="0.25"/>
  <cols>
    <col min="1" max="1" width="41.85546875" customWidth="1"/>
    <col min="2" max="2" width="18.7109375" customWidth="1"/>
    <col min="3" max="3" width="16.28515625" bestFit="1" customWidth="1"/>
  </cols>
  <sheetData>
    <row r="1" spans="1:4" ht="21.6" customHeight="1" x14ac:dyDescent="0.25">
      <c r="A1" s="77" t="s">
        <v>54</v>
      </c>
      <c r="B1" s="77">
        <v>45383</v>
      </c>
      <c r="C1" s="77">
        <v>45657</v>
      </c>
      <c r="D1" s="77">
        <v>45688</v>
      </c>
    </row>
    <row r="2" spans="1:4" ht="22.5" customHeight="1" x14ac:dyDescent="0.25">
      <c r="A2" s="40" t="s">
        <v>66</v>
      </c>
      <c r="B2" s="35"/>
      <c r="C2" s="35"/>
      <c r="D2" s="35"/>
    </row>
    <row r="3" spans="1:4" ht="22.5" customHeight="1" x14ac:dyDescent="0.25">
      <c r="A3" s="41" t="s">
        <v>67</v>
      </c>
      <c r="B3" s="36"/>
      <c r="C3" s="36"/>
      <c r="D3" s="36"/>
    </row>
    <row r="4" spans="1:4" ht="22.5" customHeight="1" x14ac:dyDescent="0.25">
      <c r="A4" s="40" t="s">
        <v>68</v>
      </c>
      <c r="B4" s="35"/>
      <c r="C4" s="35"/>
      <c r="D4" s="35"/>
    </row>
    <row r="5" spans="1:4" ht="22.5" customHeight="1" x14ac:dyDescent="0.25">
      <c r="A5" s="42" t="s">
        <v>50</v>
      </c>
      <c r="B5" s="37"/>
      <c r="C5" s="37"/>
      <c r="D5" s="37"/>
    </row>
    <row r="6" spans="1:4" ht="22.5" customHeight="1" x14ac:dyDescent="0.25">
      <c r="A6" s="40" t="s">
        <v>65</v>
      </c>
      <c r="B6" s="37"/>
      <c r="C6" s="37"/>
      <c r="D6" s="37"/>
    </row>
    <row r="7" spans="1:4" ht="28.5" customHeight="1" x14ac:dyDescent="0.25">
      <c r="A7" s="44" t="s">
        <v>56</v>
      </c>
      <c r="B7" s="38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58560498.480000004</v>
      </c>
      <c r="C7" s="38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1000000</v>
      </c>
      <c r="D7" s="38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0</v>
      </c>
    </row>
    <row r="8" spans="1:4" ht="22.5" customHeight="1" x14ac:dyDescent="0.25">
      <c r="A8" s="44" t="s">
        <v>43</v>
      </c>
      <c r="B8" s="39">
        <f>SUMIFS(PROVEEDORES[[#All],[Total]],
PROVEEDORES[[#All],[Total]],"&gt;0",
PROVEEDORES[[#All],[FECHA DE FACTURACIÓN]],"&gt;="&amp;B$1,
PROVEEDORES[[#All],[FECHA DE FACTURACIÓN]],"&lt;="&amp;EOMONTH(B$1,0),
PROVEEDORES[[#All],[a]],"De Contado")</f>
        <v>0</v>
      </c>
      <c r="C8" s="39">
        <f>SUMIFS(PROVEEDORES[[#All],[Total]],
PROVEEDORES[[#All],[Total]],"&gt;0",
PROVEEDORES[[#All],[FECHA DE FACTURACIÓN]],"&gt;="&amp;C$1,
PROVEEDORES[[#All],[FECHA DE FACTURACIÓN]],"&lt;="&amp;EOMONTH(C$1,0),
PROVEEDORES[[#All],[a]],"De Contado")</f>
        <v>1000000</v>
      </c>
      <c r="D8" s="39">
        <f>SUMIFS(PROVEEDORES[[#All],[Total]],
PROVEEDORES[[#All],[Total]],"&gt;0",
PROVEEDORES[[#All],[FECHA DE FACTURACIÓN]],"&gt;="&amp;D$1,
PROVEEDORES[[#All],[FECHA DE FACTURACIÓN]],"&lt;="&amp;EOMONTH(D$1,0),
PROVEEDORES[[#All],[a]],"De Contado")</f>
        <v>0</v>
      </c>
    </row>
    <row r="9" spans="1:4" ht="22.5" customHeight="1" x14ac:dyDescent="0.25">
      <c r="A9" s="43" t="s">
        <v>44</v>
      </c>
      <c r="B9" s="38">
        <f>SUMIFS(PROVEEDORES[[#All],[Total]],
PROVEEDORES[[#All],[Total]],"&gt;0",
PROVEEDORES[[#All],[FECHA DE FACTURACIÓN]],"&gt;="&amp;B$1,
PROVEEDORES[[#All],[FECHA DE FACTURACIÓN]],"&lt;="&amp;EOMONTH(B$1,0),
PROVEEDORES[[#All],[a]],"Crédito")</f>
        <v>0</v>
      </c>
      <c r="C9" s="38">
        <f>SUMIFS(PROVEEDORES[[#All],[Total]],
PROVEEDORES[[#All],[Total]],"&gt;0",
PROVEEDORES[[#All],[FECHA DE FACTURACIÓN]],"&gt;="&amp;C$1,
PROVEEDORES[[#All],[FECHA DE FACTURACIÓN]],"&lt;="&amp;EOMONTH(C$1,0),
PROVEEDORES[[#All],[a]],"Crédito")</f>
        <v>0</v>
      </c>
      <c r="D9" s="38">
        <f>SUMIFS(PROVEEDORES[[#All],[Total]],
PROVEEDORES[[#All],[Total]],"&gt;0",
PROVEEDORES[[#All],[FECHA DE FACTURACIÓN]],"&gt;="&amp;D$1,
PROVEEDORES[[#All],[FECHA DE FACTURACIÓN]],"&lt;="&amp;EOMONTH(D$1,0),
PROVEEDORES[[#All],[a]],"Crédito")</f>
        <v>0</v>
      </c>
    </row>
    <row r="10" spans="1:4" ht="22.5" customHeight="1" x14ac:dyDescent="0.25">
      <c r="A10" s="44" t="s">
        <v>45</v>
      </c>
      <c r="B10" s="39">
        <f>B8+B9</f>
        <v>0</v>
      </c>
      <c r="C10" s="39">
        <f>C8+C9</f>
        <v>1000000</v>
      </c>
      <c r="D10" s="39">
        <f>D8+D9</f>
        <v>0</v>
      </c>
    </row>
    <row r="11" spans="1:4" ht="22.5" customHeight="1" x14ac:dyDescent="0.25">
      <c r="A11" s="44" t="s">
        <v>48</v>
      </c>
      <c r="B11" s="39">
        <f>SUM(B22:B26)</f>
        <v>-10106201</v>
      </c>
      <c r="C11" s="39">
        <f>SUM(C22:C26)</f>
        <v>128732277</v>
      </c>
      <c r="D11" s="39">
        <f>SUM(D22:D26)</f>
        <v>0</v>
      </c>
    </row>
    <row r="12" spans="1:4" ht="22.5" customHeight="1" x14ac:dyDescent="0.25">
      <c r="A12" s="43" t="s">
        <v>49</v>
      </c>
      <c r="B12" s="38">
        <f>SUM(B22:B29)</f>
        <v>3517940</v>
      </c>
      <c r="C12" s="38">
        <f>SUM(C22:C29)</f>
        <v>149100867</v>
      </c>
      <c r="D12" s="38">
        <f>SUM(D22:D29)</f>
        <v>0</v>
      </c>
    </row>
    <row r="13" spans="1:4" ht="22.5" customHeight="1" x14ac:dyDescent="0.25">
      <c r="A13" s="43" t="s">
        <v>51</v>
      </c>
      <c r="B13" s="38">
        <f xml:space="preserve">
SUMIFS(PROVEEDORES[[#All],[Descuento
$]],
PROVEEDORES[[#All],[FECHA DE PAGO]],"&gt;="&amp;B$1,
PROVEEDORES[[#All],[FECHA DE PAGO]],"&lt;="&amp;EOMONTH(B$1,0))</f>
        <v>0</v>
      </c>
      <c r="C13" s="38">
        <f xml:space="preserve">
SUMIFS(PROVEEDORES[[#All],[Descuento
$]],
PROVEEDORES[[#All],[FECHA DE PAGO]],"&gt;="&amp;C$1,
PROVEEDORES[[#All],[FECHA DE PAGO]],"&lt;="&amp;EOMONTH(C$1,0))</f>
        <v>0</v>
      </c>
      <c r="D13" s="38">
        <f xml:space="preserve">
SUMIFS(PROVEEDORES[[#All],[Descuento
$]],
PROVEEDORES[[#All],[FECHA DE PAGO]],"&gt;="&amp;D$1,
PROVEEDORES[[#All],[FECHA DE PAGO]],"&lt;="&amp;EOMONTH(D$1,0))</f>
        <v>0</v>
      </c>
    </row>
    <row r="14" spans="1:4" ht="22.5" customHeight="1" x14ac:dyDescent="0.25">
      <c r="A14" s="43" t="s">
        <v>69</v>
      </c>
      <c r="B14" s="38">
        <f>SUMIFS(FINANCIACION[[#All],[$ INTERESES]],
FINANCIACION[[#All],[Fecha]],"&gt;="&amp;B$1,
FINANCIACION[[#All],[Fecha]],"&lt;="&amp;EOMONTH(B$1,0))</f>
        <v>12166808.43</v>
      </c>
      <c r="C14" s="38">
        <f>SUMIFS(FINANCIACION[[#All],[$ INTERESES]],
FINANCIACION[[#All],[Fecha]],"&gt;="&amp;C$1,
FINANCIACION[[#All],[Fecha]],"&lt;="&amp;EOMONTH(C$1,0))</f>
        <v>0</v>
      </c>
      <c r="D14" s="38">
        <f>SUMIFS(FINANCIACION[[#All],[$ INTERESES]],
FINANCIACION[[#All],[Fecha]],"&gt;="&amp;D$1,
FINANCIACION[[#All],[Fecha]],"&lt;="&amp;EOMONTH(D$1,0))</f>
        <v>0</v>
      </c>
    </row>
    <row r="15" spans="1:4" ht="22.5" customHeight="1" x14ac:dyDescent="0.25">
      <c r="A15" s="43" t="s">
        <v>58</v>
      </c>
      <c r="B15" s="38">
        <f>B18+B19</f>
        <v>1028288001.2944649</v>
      </c>
      <c r="C15" s="38">
        <f>C18+C19</f>
        <v>1604081612.8294644</v>
      </c>
      <c r="D15" s="38">
        <f>D18+D19</f>
        <v>1577089578.9594646</v>
      </c>
    </row>
    <row r="16" spans="1:4" ht="22.5" customHeight="1" x14ac:dyDescent="0.25">
      <c r="A16" s="44" t="s">
        <v>255</v>
      </c>
      <c r="B16" s="38">
        <f xml:space="preserve">
SUMIFS(PROVEEDORES[[#All],[Total]],
PROVEEDORES[[#All],[ALMA/INSTI]],"ALMACENES",
PROVEEDORES[[#All],[FECHA DE FACTURACIÓN]],"&lt;="&amp;EOMONTH(B$1,0),
PROVEEDORES[[#All],[FECHA DE PAGO]],"")
+
SUMIFS(PROVEEDORES[[#All],[Total]],
PROVEEDORES[[#All],[ALMA/INSTI]],"ALMACENES",
PROVEEDORES[[#All],[FECHA DE FACTURACIÓN]],"&lt;="&amp;EOMONTH(B$1,0),
PROVEEDORES[[#All],[FECHA DE PAGO]],"&gt;"&amp;EOMONTH(B$1,0))</f>
        <v>3424284.5</v>
      </c>
      <c r="C16" s="38">
        <f xml:space="preserve">
SUMIFS(PROVEEDORES[[#All],[Total]],
PROVEEDORES[[#All],[ALMA/INSTI]],"ALMACENES",
PROVEEDORES[[#All],[FECHA DE FACTURACIÓN]],"&lt;="&amp;EOMONTH(C$1,0),
PROVEEDORES[[#All],[FECHA DE PAGO]],"")
+
SUMIFS(PROVEEDORES[[#All],[Total]],
PROVEEDORES[[#All],[ALMA/INSTI]],"ALMACENES",
PROVEEDORES[[#All],[FECHA DE FACTURACIÓN]],"&lt;="&amp;EOMONTH(C$1,0),
PROVEEDORES[[#All],[FECHA DE PAGO]],"&gt;"&amp;EOMONTH(C$1,0))</f>
        <v>193344282.98500001</v>
      </c>
      <c r="D16" s="38">
        <f xml:space="preserve">
SUMIFS(PROVEEDORES[[#All],[Total]],
PROVEEDORES[[#All],[ALMA/INSTI]],"ALMACENES",
PROVEEDORES[[#All],[FECHA DE FACTURACIÓN]],"&lt;="&amp;EOMONTH(D$1,0),
PROVEEDORES[[#All],[FECHA DE PAGO]],"")
+
SUMIFS(PROVEEDORES[[#All],[Total]],
PROVEEDORES[[#All],[ALMA/INSTI]],"ALMACENES",
PROVEEDORES[[#All],[FECHA DE FACTURACIÓN]],"&lt;="&amp;EOMONTH(D$1,0),
PROVEEDORES[[#All],[FECHA DE PAGO]],"&gt;"&amp;EOMONTH(D$1,0))</f>
        <v>193344282.98500001</v>
      </c>
    </row>
    <row r="17" spans="1:4" ht="22.5" customHeight="1" x14ac:dyDescent="0.25">
      <c r="A17" s="44" t="s">
        <v>254</v>
      </c>
      <c r="B17" s="38">
        <f xml:space="preserve">
SUMIFS(PROVEEDORES[[#All],[Total]],
PROVEEDORES[[#All],[ALMA/INSTI]],"INSTITUCIONALES",
PROVEEDORES[[#All],[FECHA DE FACTURACIÓN]],"&lt;="&amp;EOMONTH(B$1,0),
PROVEEDORES[[#All],[FECHA DE PAGO]],"")
+
SUMIFS(PROVEEDORES[[#All],[Total]],
PROVEEDORES[[#All],[ALMA/INSTI]],"INSTITUCIONALES",
PROVEEDORES[[#All],[FECHA DE FACTURACIÓN]],"&lt;="&amp;EOMONTH(B$1,0),
PROVEEDORES[[#All],[FECHA DE PAGO]],"&gt;"&amp;EOMONTH(B$1,0))</f>
        <v>0</v>
      </c>
      <c r="C17" s="38">
        <f xml:space="preserve">
SUMIFS(PROVEEDORES[[#All],[Total]],
PROVEEDORES[[#All],[ALMA/INSTI]],"INSTITUCIONALES",
PROVEEDORES[[#All],[FECHA DE FACTURACIÓN]],"&lt;="&amp;EOMONTH(C$1,0),
PROVEEDORES[[#All],[FECHA DE PAGO]],"")
+
SUMIFS(PROVEEDORES[[#All],[Total]],
PROVEEDORES[[#All],[ALMA/INSTI]],"INSTITUCIONALES",
PROVEEDORES[[#All],[FECHA DE FACTURACIÓN]],"&lt;="&amp;EOMONTH(C$1,0),
PROVEEDORES[[#All],[FECHA DE PAGO]],"&gt;"&amp;EOMONTH(C$1,0))</f>
        <v>111199401.00999999</v>
      </c>
      <c r="D17" s="38">
        <f xml:space="preserve">
SUMIFS(PROVEEDORES[[#All],[Total]],
PROVEEDORES[[#All],[ALMA/INSTI]],"INSTITUCIONALES",
PROVEEDORES[[#All],[FECHA DE FACTURACIÓN]],"&lt;="&amp;EOMONTH(D$1,0),
PROVEEDORES[[#All],[FECHA DE PAGO]],"")
+
SUMIFS(PROVEEDORES[[#All],[Total]],
PROVEEDORES[[#All],[ALMA/INSTI]],"INSTITUCIONALES",
PROVEEDORES[[#All],[FECHA DE FACTURACIÓN]],"&lt;="&amp;EOMONTH(D$1,0),
PROVEEDORES[[#All],[FECHA DE PAGO]],"&gt;"&amp;EOMONTH(D$1,0))</f>
        <v>88435370.140000001</v>
      </c>
    </row>
    <row r="18" spans="1:4" ht="22.5" customHeight="1" x14ac:dyDescent="0.25">
      <c r="A18" s="44" t="s">
        <v>46</v>
      </c>
      <c r="B18" s="39">
        <f>+B16+B17</f>
        <v>3424284.5</v>
      </c>
      <c r="C18" s="39">
        <f>+C16+C17</f>
        <v>304543683.995</v>
      </c>
      <c r="D18" s="39">
        <f>+D16+D17</f>
        <v>281779653.125</v>
      </c>
    </row>
    <row r="19" spans="1:4" ht="22.5" customHeight="1" x14ac:dyDescent="0.25">
      <c r="A19" s="43" t="s">
        <v>47</v>
      </c>
      <c r="B19" s="38">
        <f>ABS(SUMIFS(FINANCIACION[$ CAPITAL],
FINANCIACION[Fecha],"&lt;="&amp;EOMONTH(B$1,0)))</f>
        <v>1024863716.7944649</v>
      </c>
      <c r="C19" s="38">
        <f>ABS(SUMIFS(FINANCIACION[$ CAPITAL],
FINANCIACION[Fecha],"&lt;="&amp;EOMONTH(C$1,0)))</f>
        <v>1299537928.8344646</v>
      </c>
      <c r="D19" s="38">
        <f>ABS(SUMIFS(FINANCIACION[$ CAPITAL],
FINANCIACION[Fecha],"&lt;="&amp;EOMONTH(D$1,0)))</f>
        <v>1295309925.8344646</v>
      </c>
    </row>
    <row r="20" spans="1:4" ht="22.5" customHeight="1" x14ac:dyDescent="0.25">
      <c r="A20" s="43" t="s">
        <v>53</v>
      </c>
      <c r="B20" s="38">
        <f>B18-B21</f>
        <v>-50641036.399999999</v>
      </c>
      <c r="C20" s="38">
        <f>C18-C21</f>
        <v>250478363.095</v>
      </c>
      <c r="D20" s="38">
        <f>D18-D21</f>
        <v>227714332.22499999</v>
      </c>
    </row>
    <row r="21" spans="1:4" ht="22.5" customHeight="1" x14ac:dyDescent="0.25">
      <c r="A21" s="34" t="s">
        <v>52</v>
      </c>
      <c r="B21" s="53">
        <v>54065320.899999999</v>
      </c>
      <c r="C21" s="53">
        <v>54065320.899999999</v>
      </c>
      <c r="D21" s="53">
        <v>54065320.899999999</v>
      </c>
    </row>
    <row r="22" spans="1:4" ht="22.5" customHeight="1" x14ac:dyDescent="0.25">
      <c r="A22" s="9" t="s">
        <v>99</v>
      </c>
      <c r="B22" s="52">
        <v>-709309</v>
      </c>
      <c r="C22" s="52">
        <v>108090494</v>
      </c>
      <c r="D22" s="52"/>
    </row>
    <row r="23" spans="1:4" ht="22.5" customHeight="1" x14ac:dyDescent="0.25">
      <c r="A23" s="9" t="s">
        <v>973</v>
      </c>
      <c r="B23" s="52">
        <v>629460</v>
      </c>
      <c r="C23" s="52">
        <v>632780</v>
      </c>
      <c r="D23" s="52"/>
    </row>
    <row r="24" spans="1:4" ht="22.5" customHeight="1" x14ac:dyDescent="0.25">
      <c r="A24" s="9" t="s">
        <v>975</v>
      </c>
      <c r="B24" s="52">
        <v>-8967499</v>
      </c>
      <c r="C24" s="52">
        <v>-4377258</v>
      </c>
      <c r="D24" s="52"/>
    </row>
    <row r="25" spans="1:4" ht="22.5" customHeight="1" x14ac:dyDescent="0.25">
      <c r="A25" s="9" t="s">
        <v>974</v>
      </c>
      <c r="B25" s="52">
        <v>408509</v>
      </c>
      <c r="C25" s="52">
        <v>410583</v>
      </c>
      <c r="D25" s="52"/>
    </row>
    <row r="26" spans="1:4" ht="22.5" customHeight="1" x14ac:dyDescent="0.25">
      <c r="A26" s="9" t="s">
        <v>976</v>
      </c>
      <c r="B26" s="52">
        <v>-1467362</v>
      </c>
      <c r="C26" s="52">
        <v>23975678</v>
      </c>
      <c r="D26" s="52"/>
    </row>
    <row r="27" spans="1:4" ht="22.5" customHeight="1" x14ac:dyDescent="0.25">
      <c r="A27" s="9" t="s">
        <v>55</v>
      </c>
      <c r="B27" s="52">
        <v>1231963</v>
      </c>
      <c r="C27" s="52">
        <v>378621</v>
      </c>
      <c r="D27" s="52"/>
    </row>
    <row r="28" spans="1:4" ht="22.5" customHeight="1" x14ac:dyDescent="0.25">
      <c r="A28" s="9" t="s">
        <v>175</v>
      </c>
      <c r="B28" s="52">
        <v>570620</v>
      </c>
      <c r="C28" s="52">
        <v>228683</v>
      </c>
      <c r="D28" s="52"/>
    </row>
    <row r="29" spans="1:4" ht="22.5" customHeight="1" x14ac:dyDescent="0.25">
      <c r="A29" s="9" t="s">
        <v>251</v>
      </c>
      <c r="B29" s="52">
        <v>11821558</v>
      </c>
      <c r="C29" s="52">
        <v>19761286</v>
      </c>
      <c r="D29" s="52"/>
    </row>
  </sheetData>
  <pageMargins left="0.7" right="0.7" top="0.75" bottom="0.75" header="0.3" footer="0.3"/>
  <pageSetup paperSize="9" orientation="landscape" r:id="rId1"/>
  <ignoredErrors>
    <ignoredError sqref="D11:D12 B11:C12" formulaRange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L781"/>
  <sheetViews>
    <sheetView zoomScaleNormal="100" workbookViewId="0">
      <pane xSplit="1" ySplit="1" topLeftCell="B776" activePane="bottomRight" state="frozen"/>
      <selection activeCell="W4" sqref="W4"/>
      <selection pane="topRight" activeCell="W4" sqref="W4"/>
      <selection pane="bottomLeft" activeCell="W4" sqref="W4"/>
      <selection pane="bottomRight" activeCell="C780" sqref="C780"/>
    </sheetView>
  </sheetViews>
  <sheetFormatPr defaultColWidth="0" defaultRowHeight="24" customHeight="1" x14ac:dyDescent="0.25"/>
  <cols>
    <col min="1" max="1" width="14.5703125" customWidth="1"/>
    <col min="2" max="2" width="35.5703125" customWidth="1"/>
    <col min="3" max="3" width="18.5703125" customWidth="1"/>
    <col min="4" max="4" width="16.42578125" customWidth="1"/>
    <col min="5" max="5" width="18.42578125" customWidth="1"/>
    <col min="6" max="7" width="15.5703125" customWidth="1"/>
    <col min="8" max="8" width="13.5703125" customWidth="1"/>
    <col min="9" max="9" width="16.85546875" bestFit="1" customWidth="1"/>
    <col min="10" max="10" width="18.42578125" hidden="1" customWidth="1"/>
    <col min="11" max="11" width="26.42578125" hidden="1" customWidth="1"/>
    <col min="12" max="12" width="43" hidden="1"/>
    <col min="13" max="13" width="16.42578125" hidden="1"/>
    <col min="14" max="14" width="13.5703125" hidden="1"/>
    <col min="15" max="15" width="14.5703125" hidden="1"/>
    <col min="16" max="16" width="28.5703125" hidden="1"/>
    <col min="17" max="17" width="15.5703125" hidden="1"/>
    <col min="18" max="18" width="14.42578125" hidden="1"/>
    <col min="19" max="19" width="28" hidden="1"/>
    <col min="20" max="20" width="12.42578125" hidden="1"/>
    <col min="21" max="21" width="8.42578125" hidden="1"/>
    <col min="22" max="22" width="28" hidden="1"/>
    <col min="23" max="23" width="13.42578125" hidden="1"/>
    <col min="24" max="24" width="18.42578125" hidden="1"/>
    <col min="25" max="25" width="19.5703125" hidden="1"/>
    <col min="26" max="26" width="5.42578125" hidden="1"/>
    <col min="27" max="27" width="9.42578125" hidden="1"/>
    <col min="28" max="28" width="14.42578125" hidden="1"/>
    <col min="29" max="29" width="16.5703125" hidden="1"/>
    <col min="30" max="30" width="9.5703125" hidden="1"/>
    <col min="31" max="35" width="12.5703125" hidden="1"/>
    <col min="36" max="36" width="11.42578125" hidden="1"/>
    <col min="37" max="37" width="16.42578125" hidden="1"/>
    <col min="38" max="38" width="14.42578125" hidden="1"/>
    <col min="39" max="16384" width="11.42578125" hidden="1"/>
  </cols>
  <sheetData>
    <row r="1" spans="1:11" ht="46.15" customHeight="1" x14ac:dyDescent="0.25">
      <c r="A1" s="132" t="s">
        <v>94</v>
      </c>
      <c r="B1" s="133" t="s">
        <v>70</v>
      </c>
      <c r="C1" s="133" t="s">
        <v>29</v>
      </c>
      <c r="D1" s="133" t="s">
        <v>22</v>
      </c>
      <c r="E1" s="133" t="s">
        <v>32</v>
      </c>
      <c r="F1" s="134" t="s">
        <v>30</v>
      </c>
      <c r="G1" s="135" t="s">
        <v>257</v>
      </c>
      <c r="H1" s="133" t="s">
        <v>31</v>
      </c>
      <c r="I1" s="136" t="s">
        <v>24</v>
      </c>
      <c r="J1" s="133" t="s">
        <v>21</v>
      </c>
      <c r="K1" s="137" t="s">
        <v>25</v>
      </c>
    </row>
    <row r="2" spans="1:11" ht="24" customHeight="1" x14ac:dyDescent="0.25">
      <c r="A2" s="138">
        <v>43074</v>
      </c>
      <c r="B2" s="139" t="s">
        <v>135</v>
      </c>
      <c r="C2" s="140">
        <v>-94935167</v>
      </c>
      <c r="D2" s="140"/>
      <c r="E2" s="140" t="str">
        <f>+IF(FINANCIACION[[#This Row],[$ CAPITAL]]&gt;=0,FINANCIACION[[#This Row],[$ CAPITAL]]+FINANCIACION[[#This Row],[$ INTERESES]],"")</f>
        <v/>
      </c>
      <c r="F2" s="140">
        <f>+SUMIFS(FINANCIACION[$ CAPITAL],FINANCIACION[Fecha],"&lt;="&amp;FINANCIACION[[#This Row],[Fecha]],FINANCIACION[PRESTAMO],FINANCIACION[[#This Row],[PRESTAMO]])</f>
        <v>-94935167</v>
      </c>
      <c r="G2" s="140"/>
      <c r="H2" s="141"/>
      <c r="I2" s="142"/>
      <c r="J2" s="140" t="b">
        <f>+IF(FINANCIACION[[#This Row],[$ CAPITAL]]&gt;0,FINANCIACION[[#This Row],[$ CAPITAL]])</f>
        <v>0</v>
      </c>
      <c r="K2" s="143">
        <f>+IF(FINANCIACION[[#This Row],[$ CAPITAL]]&gt;=0,FINANCIACION[[#This Row],[$ CAPITAL]]+FINANCIACION[[#This Row],[$ INTERESES]],0)</f>
        <v>0</v>
      </c>
    </row>
    <row r="3" spans="1:11" ht="24" customHeight="1" x14ac:dyDescent="0.25">
      <c r="A3" s="138">
        <v>43084</v>
      </c>
      <c r="B3" s="139" t="s">
        <v>136</v>
      </c>
      <c r="C3" s="140">
        <v>-61629154</v>
      </c>
      <c r="D3" s="140"/>
      <c r="E3" s="140" t="str">
        <f>+IF(FINANCIACION[[#This Row],[$ CAPITAL]]&gt;=0,FINANCIACION[[#This Row],[$ CAPITAL]]+FINANCIACION[[#This Row],[$ INTERESES]],"")</f>
        <v/>
      </c>
      <c r="F3" s="140">
        <f>+SUMIFS(FINANCIACION[$ CAPITAL],FINANCIACION[Fecha],"&lt;="&amp;FINANCIACION[[#This Row],[Fecha]],FINANCIACION[PRESTAMO],FINANCIACION[[#This Row],[PRESTAMO]])</f>
        <v>-61629154</v>
      </c>
      <c r="G3" s="140"/>
      <c r="H3" s="141"/>
      <c r="I3" s="142"/>
      <c r="J3" s="140" t="b">
        <f>+IF(FINANCIACION[[#This Row],[$ CAPITAL]]&gt;0,FINANCIACION[[#This Row],[$ CAPITAL]])</f>
        <v>0</v>
      </c>
      <c r="K3" s="143">
        <f>+IF(FINANCIACION[[#This Row],[$ CAPITAL]]&gt;=0,FINANCIACION[[#This Row],[$ CAPITAL]]+FINANCIACION[[#This Row],[$ INTERESES]],0)</f>
        <v>0</v>
      </c>
    </row>
    <row r="4" spans="1:11" ht="24" customHeight="1" x14ac:dyDescent="0.25">
      <c r="A4" s="138">
        <v>43118</v>
      </c>
      <c r="B4" s="139" t="s">
        <v>137</v>
      </c>
      <c r="C4" s="140">
        <v>-382491081</v>
      </c>
      <c r="D4" s="140"/>
      <c r="E4" s="140" t="str">
        <f>+IF(FINANCIACION[[#This Row],[$ CAPITAL]]&gt;=0,FINANCIACION[[#This Row],[$ CAPITAL]]+FINANCIACION[[#This Row],[$ INTERESES]],"")</f>
        <v/>
      </c>
      <c r="F4" s="140">
        <f>+SUMIFS(FINANCIACION[$ CAPITAL],FINANCIACION[Fecha],"&lt;="&amp;FINANCIACION[[#This Row],[Fecha]],FINANCIACION[PRESTAMO],FINANCIACION[[#This Row],[PRESTAMO]])</f>
        <v>-382491081</v>
      </c>
      <c r="G4" s="140"/>
      <c r="H4" s="141"/>
      <c r="I4" s="142"/>
      <c r="J4" s="140" t="b">
        <f>+IF(FINANCIACION[[#This Row],[$ CAPITAL]]&gt;0,FINANCIACION[[#This Row],[$ CAPITAL]])</f>
        <v>0</v>
      </c>
      <c r="K4" s="143">
        <f>+IF(FINANCIACION[[#This Row],[$ CAPITAL]]&gt;=0,FINANCIACION[[#This Row],[$ CAPITAL]]+FINANCIACION[[#This Row],[$ INTERESES]],0)</f>
        <v>0</v>
      </c>
    </row>
    <row r="5" spans="1:11" ht="24" customHeight="1" x14ac:dyDescent="0.25">
      <c r="A5" s="138">
        <v>43475</v>
      </c>
      <c r="B5" s="139" t="s">
        <v>135</v>
      </c>
      <c r="C5" s="140"/>
      <c r="D5" s="140">
        <v>950000</v>
      </c>
      <c r="E5" s="140">
        <f>+IF(FINANCIACION[[#This Row],[$ CAPITAL]]&gt;=0,FINANCIACION[[#This Row],[$ CAPITAL]]+FINANCIACION[[#This Row],[$ INTERESES]],"")</f>
        <v>950000</v>
      </c>
      <c r="F5" s="140">
        <f>+SUMIFS(FINANCIACION[$ CAPITAL],FINANCIACION[Fecha],"&lt;="&amp;FINANCIACION[[#This Row],[Fecha]],FINANCIACION[PRESTAMO],FINANCIACION[[#This Row],[PRESTAMO]])</f>
        <v>-94935167</v>
      </c>
      <c r="G5" s="140"/>
      <c r="H5" s="141"/>
      <c r="I5" s="142"/>
      <c r="J5" s="140" t="b">
        <f>+IF(FINANCIACION[[#This Row],[$ CAPITAL]]&gt;0,FINANCIACION[[#This Row],[$ CAPITAL]])</f>
        <v>0</v>
      </c>
      <c r="K5" s="143">
        <f>+IF(FINANCIACION[[#This Row],[$ CAPITAL]]&gt;=0,FINANCIACION[[#This Row],[$ CAPITAL]]+FINANCIACION[[#This Row],[$ INTERESES]],0)</f>
        <v>950000</v>
      </c>
    </row>
    <row r="6" spans="1:11" ht="24" customHeight="1" x14ac:dyDescent="0.25">
      <c r="A6" s="138">
        <v>43483</v>
      </c>
      <c r="B6" s="139" t="s">
        <v>137</v>
      </c>
      <c r="C6" s="140">
        <v>1268533</v>
      </c>
      <c r="D6" s="140">
        <v>12694590</v>
      </c>
      <c r="E6" s="140">
        <f>+IF(FINANCIACION[[#This Row],[$ CAPITAL]]&gt;=0,FINANCIACION[[#This Row],[$ CAPITAL]]+FINANCIACION[[#This Row],[$ INTERESES]],"")</f>
        <v>13963123</v>
      </c>
      <c r="F6" s="140">
        <f>+SUMIFS(FINANCIACION[$ CAPITAL],FINANCIACION[Fecha],"&lt;="&amp;FINANCIACION[[#This Row],[Fecha]],FINANCIACION[PRESTAMO],FINANCIACION[[#This Row],[PRESTAMO]])</f>
        <v>-381222548</v>
      </c>
      <c r="G6" s="140"/>
      <c r="H6" s="141"/>
      <c r="I6" s="142"/>
      <c r="J6" s="140">
        <f>+IF(FINANCIACION[[#This Row],[$ CAPITAL]]&gt;0,FINANCIACION[[#This Row],[$ CAPITAL]])</f>
        <v>1268533</v>
      </c>
      <c r="K6" s="143">
        <f>+IF(FINANCIACION[[#This Row],[$ CAPITAL]]&gt;=0,FINANCIACION[[#This Row],[$ CAPITAL]]+FINANCIACION[[#This Row],[$ INTERESES]],0)</f>
        <v>13963123</v>
      </c>
    </row>
    <row r="7" spans="1:11" ht="24" customHeight="1" x14ac:dyDescent="0.25">
      <c r="A7" s="138">
        <v>43485</v>
      </c>
      <c r="B7" s="139" t="s">
        <v>136</v>
      </c>
      <c r="C7" s="140">
        <v>260000</v>
      </c>
      <c r="D7" s="140">
        <v>740000</v>
      </c>
      <c r="E7" s="140">
        <f>+IF(FINANCIACION[[#This Row],[$ CAPITAL]]&gt;=0,FINANCIACION[[#This Row],[$ CAPITAL]]+FINANCIACION[[#This Row],[$ INTERESES]],"")</f>
        <v>1000000</v>
      </c>
      <c r="F7" s="140">
        <f>+SUMIFS(FINANCIACION[$ CAPITAL],FINANCIACION[Fecha],"&lt;="&amp;FINANCIACION[[#This Row],[Fecha]],FINANCIACION[PRESTAMO],FINANCIACION[[#This Row],[PRESTAMO]])</f>
        <v>-61369154</v>
      </c>
      <c r="G7" s="140"/>
      <c r="H7" s="141"/>
      <c r="I7" s="142"/>
      <c r="J7" s="140">
        <f>+IF(FINANCIACION[[#This Row],[$ CAPITAL]]&gt;0,FINANCIACION[[#This Row],[$ CAPITAL]])</f>
        <v>260000</v>
      </c>
      <c r="K7" s="143">
        <f>+IF(FINANCIACION[[#This Row],[$ CAPITAL]]&gt;=0,FINANCIACION[[#This Row],[$ CAPITAL]]+FINANCIACION[[#This Row],[$ INTERESES]],0)</f>
        <v>1000000</v>
      </c>
    </row>
    <row r="8" spans="1:11" ht="24" customHeight="1" x14ac:dyDescent="0.25">
      <c r="A8" s="138">
        <v>43485</v>
      </c>
      <c r="B8" s="139" t="s">
        <v>137</v>
      </c>
      <c r="C8" s="140">
        <v>1482486.9681818199</v>
      </c>
      <c r="D8" s="140">
        <v>4603361.0318181803</v>
      </c>
      <c r="E8" s="140">
        <f>+IF(FINANCIACION[[#This Row],[$ CAPITAL]]&gt;=0,FINANCIACION[[#This Row],[$ CAPITAL]]+FINANCIACION[[#This Row],[$ INTERESES]],"")</f>
        <v>6085848</v>
      </c>
      <c r="F8" s="140">
        <f>+SUMIFS(FINANCIACION[$ CAPITAL],FINANCIACION[Fecha],"&lt;="&amp;FINANCIACION[[#This Row],[Fecha]],FINANCIACION[PRESTAMO],FINANCIACION[[#This Row],[PRESTAMO]])</f>
        <v>-379740061.03181815</v>
      </c>
      <c r="G8" s="140"/>
      <c r="H8" s="141"/>
      <c r="I8" s="142"/>
      <c r="J8" s="140">
        <f>+IF(FINANCIACION[[#This Row],[$ CAPITAL]]&gt;0,FINANCIACION[[#This Row],[$ CAPITAL]])</f>
        <v>1482486.9681818199</v>
      </c>
      <c r="K8" s="143">
        <f>+IF(FINANCIACION[[#This Row],[$ CAPITAL]]&gt;=0,FINANCIACION[[#This Row],[$ CAPITAL]]+FINANCIACION[[#This Row],[$ INTERESES]],0)</f>
        <v>6085848</v>
      </c>
    </row>
    <row r="9" spans="1:11" ht="24" customHeight="1" x14ac:dyDescent="0.25">
      <c r="A9" s="138">
        <v>43506</v>
      </c>
      <c r="B9" s="139" t="s">
        <v>135</v>
      </c>
      <c r="C9" s="140"/>
      <c r="D9" s="140">
        <v>950000</v>
      </c>
      <c r="E9" s="140">
        <f>+IF(FINANCIACION[[#This Row],[$ CAPITAL]]&gt;=0,FINANCIACION[[#This Row],[$ CAPITAL]]+FINANCIACION[[#This Row],[$ INTERESES]],"")</f>
        <v>950000</v>
      </c>
      <c r="F9" s="140">
        <f>+SUMIFS(FINANCIACION[$ CAPITAL],FINANCIACION[Fecha],"&lt;="&amp;FINANCIACION[[#This Row],[Fecha]],FINANCIACION[PRESTAMO],FINANCIACION[[#This Row],[PRESTAMO]])</f>
        <v>-94935167</v>
      </c>
      <c r="G9" s="140"/>
      <c r="H9" s="141"/>
      <c r="I9" s="142"/>
      <c r="J9" s="140" t="b">
        <f>+IF(FINANCIACION[[#This Row],[$ CAPITAL]]&gt;0,FINANCIACION[[#This Row],[$ CAPITAL]])</f>
        <v>0</v>
      </c>
      <c r="K9" s="143">
        <f>+IF(FINANCIACION[[#This Row],[$ CAPITAL]]&gt;=0,FINANCIACION[[#This Row],[$ CAPITAL]]+FINANCIACION[[#This Row],[$ INTERESES]],0)</f>
        <v>950000</v>
      </c>
    </row>
    <row r="10" spans="1:11" ht="24" customHeight="1" x14ac:dyDescent="0.25">
      <c r="A10" s="138">
        <v>43514</v>
      </c>
      <c r="B10" s="139" t="s">
        <v>137</v>
      </c>
      <c r="C10" s="140">
        <v>1286844</v>
      </c>
      <c r="D10" s="140">
        <v>4795368</v>
      </c>
      <c r="E10" s="140">
        <f>+IF(FINANCIACION[[#This Row],[$ CAPITAL]]&gt;=0,FINANCIACION[[#This Row],[$ CAPITAL]]+FINANCIACION[[#This Row],[$ INTERESES]],"")</f>
        <v>6082212</v>
      </c>
      <c r="F10" s="140">
        <f>+SUMIFS(FINANCIACION[$ CAPITAL],FINANCIACION[Fecha],"&lt;="&amp;FINANCIACION[[#This Row],[Fecha]],FINANCIACION[PRESTAMO],FINANCIACION[[#This Row],[PRESTAMO]])</f>
        <v>-378453217.03181815</v>
      </c>
      <c r="G10" s="140"/>
      <c r="H10" s="141"/>
      <c r="I10" s="142"/>
      <c r="J10" s="140">
        <f>+IF(FINANCIACION[[#This Row],[$ CAPITAL]]&gt;0,FINANCIACION[[#This Row],[$ CAPITAL]])</f>
        <v>1286844</v>
      </c>
      <c r="K10" s="143">
        <f>+IF(FINANCIACION[[#This Row],[$ CAPITAL]]&gt;=0,FINANCIACION[[#This Row],[$ CAPITAL]]+FINANCIACION[[#This Row],[$ INTERESES]],0)</f>
        <v>6082212</v>
      </c>
    </row>
    <row r="11" spans="1:11" ht="24" customHeight="1" x14ac:dyDescent="0.25">
      <c r="A11" s="138">
        <v>43516</v>
      </c>
      <c r="B11" s="139" t="s">
        <v>136</v>
      </c>
      <c r="C11" s="140">
        <v>260000</v>
      </c>
      <c r="D11" s="140">
        <v>740000</v>
      </c>
      <c r="E11" s="140">
        <f>+IF(FINANCIACION[[#This Row],[$ CAPITAL]]&gt;=0,FINANCIACION[[#This Row],[$ CAPITAL]]+FINANCIACION[[#This Row],[$ INTERESES]],"")</f>
        <v>1000000</v>
      </c>
      <c r="F11" s="140">
        <f>+SUMIFS(FINANCIACION[$ CAPITAL],FINANCIACION[Fecha],"&lt;="&amp;FINANCIACION[[#This Row],[Fecha]],FINANCIACION[PRESTAMO],FINANCIACION[[#This Row],[PRESTAMO]])</f>
        <v>-61109154</v>
      </c>
      <c r="G11" s="140"/>
      <c r="H11" s="141"/>
      <c r="I11" s="142"/>
      <c r="J11" s="140">
        <f>+IF(FINANCIACION[[#This Row],[$ CAPITAL]]&gt;0,FINANCIACION[[#This Row],[$ CAPITAL]])</f>
        <v>260000</v>
      </c>
      <c r="K11" s="143">
        <f>+IF(FINANCIACION[[#This Row],[$ CAPITAL]]&gt;=0,FINANCIACION[[#This Row],[$ CAPITAL]]+FINANCIACION[[#This Row],[$ INTERESES]],0)</f>
        <v>1000000</v>
      </c>
    </row>
    <row r="12" spans="1:11" ht="24" customHeight="1" x14ac:dyDescent="0.25">
      <c r="A12" s="138">
        <v>43534</v>
      </c>
      <c r="B12" s="139" t="s">
        <v>135</v>
      </c>
      <c r="C12" s="140"/>
      <c r="D12" s="140">
        <v>950000</v>
      </c>
      <c r="E12" s="140">
        <f>+IF(FINANCIACION[[#This Row],[$ CAPITAL]]&gt;=0,FINANCIACION[[#This Row],[$ CAPITAL]]+FINANCIACION[[#This Row],[$ INTERESES]],"")</f>
        <v>950000</v>
      </c>
      <c r="F12" s="140">
        <f>+SUMIFS(FINANCIACION[$ CAPITAL],FINANCIACION[Fecha],"&lt;="&amp;FINANCIACION[[#This Row],[Fecha]],FINANCIACION[PRESTAMO],FINANCIACION[[#This Row],[PRESTAMO]])</f>
        <v>-94935167</v>
      </c>
      <c r="G12" s="140"/>
      <c r="H12" s="141"/>
      <c r="I12" s="142"/>
      <c r="J12" s="140" t="b">
        <f>+IF(FINANCIACION[[#This Row],[$ CAPITAL]]&gt;0,FINANCIACION[[#This Row],[$ CAPITAL]])</f>
        <v>0</v>
      </c>
      <c r="K12" s="143">
        <f>+IF(FINANCIACION[[#This Row],[$ CAPITAL]]&gt;=0,FINANCIACION[[#This Row],[$ CAPITAL]]+FINANCIACION[[#This Row],[$ INTERESES]],0)</f>
        <v>950000</v>
      </c>
    </row>
    <row r="13" spans="1:11" ht="24" customHeight="1" x14ac:dyDescent="0.25">
      <c r="A13" s="138">
        <v>43542</v>
      </c>
      <c r="B13" s="139" t="s">
        <v>137</v>
      </c>
      <c r="C13" s="140">
        <v>1302644</v>
      </c>
      <c r="D13" s="140">
        <v>4779568</v>
      </c>
      <c r="E13" s="140">
        <f>+IF(FINANCIACION[[#This Row],[$ CAPITAL]]&gt;=0,FINANCIACION[[#This Row],[$ CAPITAL]]+FINANCIACION[[#This Row],[$ INTERESES]],"")</f>
        <v>6082212</v>
      </c>
      <c r="F13" s="140">
        <f>+SUMIFS(FINANCIACION[$ CAPITAL],FINANCIACION[Fecha],"&lt;="&amp;FINANCIACION[[#This Row],[Fecha]],FINANCIACION[PRESTAMO],FINANCIACION[[#This Row],[PRESTAMO]])</f>
        <v>-377150573.03181815</v>
      </c>
      <c r="G13" s="140"/>
      <c r="H13" s="141"/>
      <c r="I13" s="142"/>
      <c r="J13" s="140">
        <f>+IF(FINANCIACION[[#This Row],[$ CAPITAL]]&gt;0,FINANCIACION[[#This Row],[$ CAPITAL]])</f>
        <v>1302644</v>
      </c>
      <c r="K13" s="143">
        <f>+IF(FINANCIACION[[#This Row],[$ CAPITAL]]&gt;=0,FINANCIACION[[#This Row],[$ CAPITAL]]+FINANCIACION[[#This Row],[$ INTERESES]],0)</f>
        <v>6082212</v>
      </c>
    </row>
    <row r="14" spans="1:11" ht="24" customHeight="1" x14ac:dyDescent="0.25">
      <c r="A14" s="138">
        <v>43544</v>
      </c>
      <c r="B14" s="139" t="s">
        <v>136</v>
      </c>
      <c r="C14" s="140">
        <v>260000</v>
      </c>
      <c r="D14" s="140">
        <v>740000</v>
      </c>
      <c r="E14" s="140">
        <f>+IF(FINANCIACION[[#This Row],[$ CAPITAL]]&gt;=0,FINANCIACION[[#This Row],[$ CAPITAL]]+FINANCIACION[[#This Row],[$ INTERESES]],"")</f>
        <v>1000000</v>
      </c>
      <c r="F14" s="140">
        <f>+SUMIFS(FINANCIACION[$ CAPITAL],FINANCIACION[Fecha],"&lt;="&amp;FINANCIACION[[#This Row],[Fecha]],FINANCIACION[PRESTAMO],FINANCIACION[[#This Row],[PRESTAMO]])</f>
        <v>-60849154</v>
      </c>
      <c r="G14" s="140"/>
      <c r="H14" s="141"/>
      <c r="I14" s="142"/>
      <c r="J14" s="140">
        <f>+IF(FINANCIACION[[#This Row],[$ CAPITAL]]&gt;0,FINANCIACION[[#This Row],[$ CAPITAL]])</f>
        <v>260000</v>
      </c>
      <c r="K14" s="143">
        <f>+IF(FINANCIACION[[#This Row],[$ CAPITAL]]&gt;=0,FINANCIACION[[#This Row],[$ CAPITAL]]+FINANCIACION[[#This Row],[$ INTERESES]],0)</f>
        <v>1000000</v>
      </c>
    </row>
    <row r="15" spans="1:11" ht="24" customHeight="1" x14ac:dyDescent="0.25">
      <c r="A15" s="138">
        <v>43565</v>
      </c>
      <c r="B15" s="139" t="s">
        <v>135</v>
      </c>
      <c r="C15" s="140"/>
      <c r="D15" s="140">
        <v>950000</v>
      </c>
      <c r="E15" s="140">
        <f>+IF(FINANCIACION[[#This Row],[$ CAPITAL]]&gt;=0,FINANCIACION[[#This Row],[$ CAPITAL]]+FINANCIACION[[#This Row],[$ INTERESES]],"")</f>
        <v>950000</v>
      </c>
      <c r="F15" s="140">
        <f>+SUMIFS(FINANCIACION[$ CAPITAL],FINANCIACION[Fecha],"&lt;="&amp;FINANCIACION[[#This Row],[Fecha]],FINANCIACION[PRESTAMO],FINANCIACION[[#This Row],[PRESTAMO]])</f>
        <v>-94935167</v>
      </c>
      <c r="G15" s="140"/>
      <c r="H15" s="141"/>
      <c r="I15" s="142"/>
      <c r="J15" s="140" t="b">
        <f>+IF(FINANCIACION[[#This Row],[$ CAPITAL]]&gt;0,FINANCIACION[[#This Row],[$ CAPITAL]])</f>
        <v>0</v>
      </c>
      <c r="K15" s="143">
        <f>+IF(FINANCIACION[[#This Row],[$ CAPITAL]]&gt;=0,FINANCIACION[[#This Row],[$ CAPITAL]]+FINANCIACION[[#This Row],[$ INTERESES]],0)</f>
        <v>950000</v>
      </c>
    </row>
    <row r="16" spans="1:11" ht="24" customHeight="1" x14ac:dyDescent="0.25">
      <c r="A16" s="138">
        <v>43575</v>
      </c>
      <c r="B16" s="139" t="s">
        <v>136</v>
      </c>
      <c r="C16" s="140">
        <v>260000</v>
      </c>
      <c r="D16" s="140">
        <v>740000</v>
      </c>
      <c r="E16" s="140">
        <f>+IF(FINANCIACION[[#This Row],[$ CAPITAL]]&gt;=0,FINANCIACION[[#This Row],[$ CAPITAL]]+FINANCIACION[[#This Row],[$ INTERESES]],"")</f>
        <v>1000000</v>
      </c>
      <c r="F16" s="140">
        <f>+SUMIFS(FINANCIACION[$ CAPITAL],FINANCIACION[Fecha],"&lt;="&amp;FINANCIACION[[#This Row],[Fecha]],FINANCIACION[PRESTAMO],FINANCIACION[[#This Row],[PRESTAMO]])</f>
        <v>-60589154</v>
      </c>
      <c r="G16" s="140"/>
      <c r="H16" s="141"/>
      <c r="I16" s="142"/>
      <c r="J16" s="140">
        <f>+IF(FINANCIACION[[#This Row],[$ CAPITAL]]&gt;0,FINANCIACION[[#This Row],[$ CAPITAL]])</f>
        <v>260000</v>
      </c>
      <c r="K16" s="143">
        <f>+IF(FINANCIACION[[#This Row],[$ CAPITAL]]&gt;=0,FINANCIACION[[#This Row],[$ CAPITAL]]+FINANCIACION[[#This Row],[$ INTERESES]],0)</f>
        <v>1000000</v>
      </c>
    </row>
    <row r="17" spans="1:11" ht="24" customHeight="1" x14ac:dyDescent="0.25">
      <c r="A17" s="138">
        <v>43577</v>
      </c>
      <c r="B17" s="139" t="s">
        <v>137</v>
      </c>
      <c r="C17" s="140">
        <v>1302644</v>
      </c>
      <c r="D17" s="140">
        <v>4779568</v>
      </c>
      <c r="E17" s="140">
        <f>+IF(FINANCIACION[[#This Row],[$ CAPITAL]]&gt;=0,FINANCIACION[[#This Row],[$ CAPITAL]]+FINANCIACION[[#This Row],[$ INTERESES]],"")</f>
        <v>6082212</v>
      </c>
      <c r="F17" s="140">
        <f>+SUMIFS(FINANCIACION[$ CAPITAL],FINANCIACION[Fecha],"&lt;="&amp;FINANCIACION[[#This Row],[Fecha]],FINANCIACION[PRESTAMO],FINANCIACION[[#This Row],[PRESTAMO]])</f>
        <v>-375847929.03181815</v>
      </c>
      <c r="G17" s="140"/>
      <c r="H17" s="141"/>
      <c r="I17" s="142"/>
      <c r="J17" s="140">
        <f>+IF(FINANCIACION[[#This Row],[$ CAPITAL]]&gt;0,FINANCIACION[[#This Row],[$ CAPITAL]])</f>
        <v>1302644</v>
      </c>
      <c r="K17" s="143">
        <f>+IF(FINANCIACION[[#This Row],[$ CAPITAL]]&gt;=0,FINANCIACION[[#This Row],[$ CAPITAL]]+FINANCIACION[[#This Row],[$ INTERESES]],0)</f>
        <v>6082212</v>
      </c>
    </row>
    <row r="18" spans="1:11" ht="24" customHeight="1" x14ac:dyDescent="0.25">
      <c r="A18" s="138">
        <v>43595</v>
      </c>
      <c r="B18" s="139" t="s">
        <v>135</v>
      </c>
      <c r="C18" s="140"/>
      <c r="D18" s="140">
        <v>950000</v>
      </c>
      <c r="E18" s="140">
        <f>+IF(FINANCIACION[[#This Row],[$ CAPITAL]]&gt;=0,FINANCIACION[[#This Row],[$ CAPITAL]]+FINANCIACION[[#This Row],[$ INTERESES]],"")</f>
        <v>950000</v>
      </c>
      <c r="F18" s="140">
        <f>+SUMIFS(FINANCIACION[$ CAPITAL],FINANCIACION[Fecha],"&lt;="&amp;FINANCIACION[[#This Row],[Fecha]],FINANCIACION[PRESTAMO],FINANCIACION[[#This Row],[PRESTAMO]])</f>
        <v>-94935167</v>
      </c>
      <c r="G18" s="140"/>
      <c r="H18" s="141"/>
      <c r="I18" s="142"/>
      <c r="J18" s="140" t="b">
        <f>+IF(FINANCIACION[[#This Row],[$ CAPITAL]]&gt;0,FINANCIACION[[#This Row],[$ CAPITAL]])</f>
        <v>0</v>
      </c>
      <c r="K18" s="143">
        <f>+IF(FINANCIACION[[#This Row],[$ CAPITAL]]&gt;=0,FINANCIACION[[#This Row],[$ CAPITAL]]+FINANCIACION[[#This Row],[$ INTERESES]],0)</f>
        <v>950000</v>
      </c>
    </row>
    <row r="19" spans="1:11" ht="24" customHeight="1" x14ac:dyDescent="0.25">
      <c r="A19" s="138">
        <v>43605</v>
      </c>
      <c r="B19" s="139" t="s">
        <v>136</v>
      </c>
      <c r="C19" s="140">
        <v>260000</v>
      </c>
      <c r="D19" s="140">
        <v>740000</v>
      </c>
      <c r="E19" s="140">
        <f>+IF(FINANCIACION[[#This Row],[$ CAPITAL]]&gt;=0,FINANCIACION[[#This Row],[$ CAPITAL]]+FINANCIACION[[#This Row],[$ INTERESES]],"")</f>
        <v>1000000</v>
      </c>
      <c r="F19" s="140">
        <f>+SUMIFS(FINANCIACION[$ CAPITAL],FINANCIACION[Fecha],"&lt;="&amp;FINANCIACION[[#This Row],[Fecha]],FINANCIACION[PRESTAMO],FINANCIACION[[#This Row],[PRESTAMO]])</f>
        <v>-60329154</v>
      </c>
      <c r="G19" s="140"/>
      <c r="H19" s="141"/>
      <c r="I19" s="142"/>
      <c r="J19" s="140">
        <f>+IF(FINANCIACION[[#This Row],[$ CAPITAL]]&gt;0,FINANCIACION[[#This Row],[$ CAPITAL]])</f>
        <v>260000</v>
      </c>
      <c r="K19" s="143">
        <f>+IF(FINANCIACION[[#This Row],[$ CAPITAL]]&gt;=0,FINANCIACION[[#This Row],[$ CAPITAL]]+FINANCIACION[[#This Row],[$ INTERESES]],0)</f>
        <v>1000000</v>
      </c>
    </row>
    <row r="20" spans="1:11" ht="24" customHeight="1" x14ac:dyDescent="0.25">
      <c r="A20" s="138">
        <v>43605</v>
      </c>
      <c r="B20" s="139" t="s">
        <v>137</v>
      </c>
      <c r="C20" s="140">
        <v>1334827</v>
      </c>
      <c r="D20" s="140">
        <v>4747385</v>
      </c>
      <c r="E20" s="140">
        <f>+IF(FINANCIACION[[#This Row],[$ CAPITAL]]&gt;=0,FINANCIACION[[#This Row],[$ CAPITAL]]+FINANCIACION[[#This Row],[$ INTERESES]],"")</f>
        <v>6082212</v>
      </c>
      <c r="F20" s="140">
        <f>+SUMIFS(FINANCIACION[$ CAPITAL],FINANCIACION[Fecha],"&lt;="&amp;FINANCIACION[[#This Row],[Fecha]],FINANCIACION[PRESTAMO],FINANCIACION[[#This Row],[PRESTAMO]])</f>
        <v>-374513102.03181815</v>
      </c>
      <c r="G20" s="140"/>
      <c r="H20" s="141"/>
      <c r="I20" s="142"/>
      <c r="J20" s="140">
        <f>+IF(FINANCIACION[[#This Row],[$ CAPITAL]]&gt;0,FINANCIACION[[#This Row],[$ CAPITAL]])</f>
        <v>1334827</v>
      </c>
      <c r="K20" s="143">
        <f>+IF(FINANCIACION[[#This Row],[$ CAPITAL]]&gt;=0,FINANCIACION[[#This Row],[$ CAPITAL]]+FINANCIACION[[#This Row],[$ INTERESES]],0)</f>
        <v>6082212</v>
      </c>
    </row>
    <row r="21" spans="1:11" ht="24" customHeight="1" x14ac:dyDescent="0.25">
      <c r="A21" s="138">
        <v>43626</v>
      </c>
      <c r="B21" s="139" t="s">
        <v>135</v>
      </c>
      <c r="C21" s="140"/>
      <c r="D21" s="140">
        <v>950000</v>
      </c>
      <c r="E21" s="140">
        <f>+IF(FINANCIACION[[#This Row],[$ CAPITAL]]&gt;=0,FINANCIACION[[#This Row],[$ CAPITAL]]+FINANCIACION[[#This Row],[$ INTERESES]],"")</f>
        <v>950000</v>
      </c>
      <c r="F21" s="140">
        <f>+SUMIFS(FINANCIACION[$ CAPITAL],FINANCIACION[Fecha],"&lt;="&amp;FINANCIACION[[#This Row],[Fecha]],FINANCIACION[PRESTAMO],FINANCIACION[[#This Row],[PRESTAMO]])</f>
        <v>-94935167</v>
      </c>
      <c r="G21" s="140"/>
      <c r="H21" s="141"/>
      <c r="I21" s="142"/>
      <c r="J21" s="140" t="b">
        <f>+IF(FINANCIACION[[#This Row],[$ CAPITAL]]&gt;0,FINANCIACION[[#This Row],[$ CAPITAL]])</f>
        <v>0</v>
      </c>
      <c r="K21" s="143">
        <f>+IF(FINANCIACION[[#This Row],[$ CAPITAL]]&gt;=0,FINANCIACION[[#This Row],[$ CAPITAL]]+FINANCIACION[[#This Row],[$ INTERESES]],0)</f>
        <v>950000</v>
      </c>
    </row>
    <row r="22" spans="1:11" ht="24" customHeight="1" x14ac:dyDescent="0.25">
      <c r="A22" s="138">
        <v>43634</v>
      </c>
      <c r="B22" s="139" t="s">
        <v>137</v>
      </c>
      <c r="C22" s="140">
        <v>1351215</v>
      </c>
      <c r="D22" s="140">
        <v>4730997</v>
      </c>
      <c r="E22" s="140">
        <f>+IF(FINANCIACION[[#This Row],[$ CAPITAL]]&gt;=0,FINANCIACION[[#This Row],[$ CAPITAL]]+FINANCIACION[[#This Row],[$ INTERESES]],"")</f>
        <v>6082212</v>
      </c>
      <c r="F22" s="140">
        <f>+SUMIFS(FINANCIACION[$ CAPITAL],FINANCIACION[Fecha],"&lt;="&amp;FINANCIACION[[#This Row],[Fecha]],FINANCIACION[PRESTAMO],FINANCIACION[[#This Row],[PRESTAMO]])</f>
        <v>-373161887.03181815</v>
      </c>
      <c r="G22" s="140"/>
      <c r="H22" s="141"/>
      <c r="I22" s="142"/>
      <c r="J22" s="140">
        <f>+IF(FINANCIACION[[#This Row],[$ CAPITAL]]&gt;0,FINANCIACION[[#This Row],[$ CAPITAL]])</f>
        <v>1351215</v>
      </c>
      <c r="K22" s="143">
        <f>+IF(FINANCIACION[[#This Row],[$ CAPITAL]]&gt;=0,FINANCIACION[[#This Row],[$ CAPITAL]]+FINANCIACION[[#This Row],[$ INTERESES]],0)</f>
        <v>6082212</v>
      </c>
    </row>
    <row r="23" spans="1:11" ht="24" customHeight="1" x14ac:dyDescent="0.25">
      <c r="A23" s="138">
        <v>43636</v>
      </c>
      <c r="B23" s="139" t="s">
        <v>136</v>
      </c>
      <c r="C23" s="140">
        <v>260000</v>
      </c>
      <c r="D23" s="140">
        <v>740000</v>
      </c>
      <c r="E23" s="140">
        <f>+IF(FINANCIACION[[#This Row],[$ CAPITAL]]&gt;=0,FINANCIACION[[#This Row],[$ CAPITAL]]+FINANCIACION[[#This Row],[$ INTERESES]],"")</f>
        <v>1000000</v>
      </c>
      <c r="F23" s="140">
        <f>+SUMIFS(FINANCIACION[$ CAPITAL],FINANCIACION[Fecha],"&lt;="&amp;FINANCIACION[[#This Row],[Fecha]],FINANCIACION[PRESTAMO],FINANCIACION[[#This Row],[PRESTAMO]])</f>
        <v>-60069154</v>
      </c>
      <c r="G23" s="140"/>
      <c r="H23" s="141"/>
      <c r="I23" s="142"/>
      <c r="J23" s="140">
        <f>+IF(FINANCIACION[[#This Row],[$ CAPITAL]]&gt;0,FINANCIACION[[#This Row],[$ CAPITAL]])</f>
        <v>260000</v>
      </c>
      <c r="K23" s="143">
        <f>+IF(FINANCIACION[[#This Row],[$ CAPITAL]]&gt;=0,FINANCIACION[[#This Row],[$ CAPITAL]]+FINANCIACION[[#This Row],[$ INTERESES]],0)</f>
        <v>1000000</v>
      </c>
    </row>
    <row r="24" spans="1:11" ht="24" customHeight="1" x14ac:dyDescent="0.25">
      <c r="A24" s="138">
        <v>43642</v>
      </c>
      <c r="B24" s="139" t="s">
        <v>138</v>
      </c>
      <c r="C24" s="140">
        <v>-28000000</v>
      </c>
      <c r="D24" s="140"/>
      <c r="E24" s="140" t="str">
        <f>+IF(FINANCIACION[[#This Row],[$ CAPITAL]]&gt;=0,FINANCIACION[[#This Row],[$ CAPITAL]]+FINANCIACION[[#This Row],[$ INTERESES]],"")</f>
        <v/>
      </c>
      <c r="F24" s="140">
        <f>+SUMIFS(FINANCIACION[$ CAPITAL],FINANCIACION[Fecha],"&lt;="&amp;FINANCIACION[[#This Row],[Fecha]],FINANCIACION[PRESTAMO],FINANCIACION[[#This Row],[PRESTAMO]])</f>
        <v>-28000000</v>
      </c>
      <c r="G24" s="140"/>
      <c r="H24" s="141"/>
      <c r="I24" s="142"/>
      <c r="J24" s="140" t="b">
        <f>+IF(FINANCIACION[[#This Row],[$ CAPITAL]]&gt;0,FINANCIACION[[#This Row],[$ CAPITAL]])</f>
        <v>0</v>
      </c>
      <c r="K24" s="143">
        <f>+IF(FINANCIACION[[#This Row],[$ CAPITAL]]&gt;=0,FINANCIACION[[#This Row],[$ CAPITAL]]+FINANCIACION[[#This Row],[$ INTERESES]],0)</f>
        <v>0</v>
      </c>
    </row>
    <row r="25" spans="1:11" ht="24" customHeight="1" x14ac:dyDescent="0.25">
      <c r="A25" s="138">
        <v>43643</v>
      </c>
      <c r="B25" s="139" t="s">
        <v>138</v>
      </c>
      <c r="C25" s="140">
        <v>-10000000</v>
      </c>
      <c r="D25" s="140"/>
      <c r="E25" s="140" t="str">
        <f>+IF(FINANCIACION[[#This Row],[$ CAPITAL]]&gt;=0,FINANCIACION[[#This Row],[$ CAPITAL]]+FINANCIACION[[#This Row],[$ INTERESES]],"")</f>
        <v/>
      </c>
      <c r="F25" s="140">
        <f>+SUMIFS(FINANCIACION[$ CAPITAL],FINANCIACION[Fecha],"&lt;="&amp;FINANCIACION[[#This Row],[Fecha]],FINANCIACION[PRESTAMO],FINANCIACION[[#This Row],[PRESTAMO]])</f>
        <v>-48000000</v>
      </c>
      <c r="G25" s="140"/>
      <c r="H25" s="141"/>
      <c r="I25" s="142"/>
      <c r="J25" s="140" t="b">
        <f>+IF(FINANCIACION[[#This Row],[$ CAPITAL]]&gt;0,FINANCIACION[[#This Row],[$ CAPITAL]])</f>
        <v>0</v>
      </c>
      <c r="K25" s="143">
        <f>+IF(FINANCIACION[[#This Row],[$ CAPITAL]]&gt;=0,FINANCIACION[[#This Row],[$ CAPITAL]]+FINANCIACION[[#This Row],[$ INTERESES]],0)</f>
        <v>0</v>
      </c>
    </row>
    <row r="26" spans="1:11" ht="24" customHeight="1" x14ac:dyDescent="0.25">
      <c r="A26" s="138">
        <v>43643</v>
      </c>
      <c r="B26" s="139" t="s">
        <v>138</v>
      </c>
      <c r="C26" s="140">
        <v>-5000000</v>
      </c>
      <c r="D26" s="140"/>
      <c r="E26" s="140" t="str">
        <f>+IF(FINANCIACION[[#This Row],[$ CAPITAL]]&gt;=0,FINANCIACION[[#This Row],[$ CAPITAL]]+FINANCIACION[[#This Row],[$ INTERESES]],"")</f>
        <v/>
      </c>
      <c r="F26" s="140">
        <f>+SUMIFS(FINANCIACION[$ CAPITAL],FINANCIACION[Fecha],"&lt;="&amp;FINANCIACION[[#This Row],[Fecha]],FINANCIACION[PRESTAMO],FINANCIACION[[#This Row],[PRESTAMO]])</f>
        <v>-48000000</v>
      </c>
      <c r="G26" s="140"/>
      <c r="H26" s="141"/>
      <c r="I26" s="142"/>
      <c r="J26" s="140" t="b">
        <f>+IF(FINANCIACION[[#This Row],[$ CAPITAL]]&gt;0,FINANCIACION[[#This Row],[$ CAPITAL]])</f>
        <v>0</v>
      </c>
      <c r="K26" s="143">
        <f>+IF(FINANCIACION[[#This Row],[$ CAPITAL]]&gt;=0,FINANCIACION[[#This Row],[$ CAPITAL]]+FINANCIACION[[#This Row],[$ INTERESES]],0)</f>
        <v>0</v>
      </c>
    </row>
    <row r="27" spans="1:11" ht="24" customHeight="1" x14ac:dyDescent="0.25">
      <c r="A27" s="138">
        <v>43643</v>
      </c>
      <c r="B27" s="139" t="s">
        <v>138</v>
      </c>
      <c r="C27" s="140">
        <v>-5000000</v>
      </c>
      <c r="D27" s="140"/>
      <c r="E27" s="140" t="str">
        <f>+IF(FINANCIACION[[#This Row],[$ CAPITAL]]&gt;=0,FINANCIACION[[#This Row],[$ CAPITAL]]+FINANCIACION[[#This Row],[$ INTERESES]],"")</f>
        <v/>
      </c>
      <c r="F27" s="140">
        <f>+SUMIFS(FINANCIACION[$ CAPITAL],FINANCIACION[Fecha],"&lt;="&amp;FINANCIACION[[#This Row],[Fecha]],FINANCIACION[PRESTAMO],FINANCIACION[[#This Row],[PRESTAMO]])</f>
        <v>-48000000</v>
      </c>
      <c r="G27" s="140"/>
      <c r="H27" s="141"/>
      <c r="I27" s="142"/>
      <c r="J27" s="140" t="b">
        <f>+IF(FINANCIACION[[#This Row],[$ CAPITAL]]&gt;0,FINANCIACION[[#This Row],[$ CAPITAL]])</f>
        <v>0</v>
      </c>
      <c r="K27" s="143">
        <f>+IF(FINANCIACION[[#This Row],[$ CAPITAL]]&gt;=0,FINANCIACION[[#This Row],[$ CAPITAL]]+FINANCIACION[[#This Row],[$ INTERESES]],0)</f>
        <v>0</v>
      </c>
    </row>
    <row r="28" spans="1:11" ht="24" customHeight="1" x14ac:dyDescent="0.25">
      <c r="A28" s="138">
        <v>43650</v>
      </c>
      <c r="B28" s="139" t="s">
        <v>138</v>
      </c>
      <c r="C28" s="140">
        <v>-3000000</v>
      </c>
      <c r="D28" s="140"/>
      <c r="E28" s="140" t="str">
        <f>+IF(FINANCIACION[[#This Row],[$ CAPITAL]]&gt;=0,FINANCIACION[[#This Row],[$ CAPITAL]]+FINANCIACION[[#This Row],[$ INTERESES]],"")</f>
        <v/>
      </c>
      <c r="F28" s="140">
        <f>+SUMIFS(FINANCIACION[$ CAPITAL],FINANCIACION[Fecha],"&lt;="&amp;FINANCIACION[[#This Row],[Fecha]],FINANCIACION[PRESTAMO],FINANCIACION[[#This Row],[PRESTAMO]])</f>
        <v>-51000000</v>
      </c>
      <c r="G28" s="140"/>
      <c r="H28" s="141"/>
      <c r="I28" s="142"/>
      <c r="J28" s="140" t="b">
        <f>+IF(FINANCIACION[[#This Row],[$ CAPITAL]]&gt;0,FINANCIACION[[#This Row],[$ CAPITAL]])</f>
        <v>0</v>
      </c>
      <c r="K28" s="143">
        <f>+IF(FINANCIACION[[#This Row],[$ CAPITAL]]&gt;=0,FINANCIACION[[#This Row],[$ CAPITAL]]+FINANCIACION[[#This Row],[$ INTERESES]],0)</f>
        <v>0</v>
      </c>
    </row>
    <row r="29" spans="1:11" ht="24" customHeight="1" x14ac:dyDescent="0.25">
      <c r="A29" s="138">
        <v>43651</v>
      </c>
      <c r="B29" s="139" t="s">
        <v>138</v>
      </c>
      <c r="C29" s="140">
        <v>-5000000</v>
      </c>
      <c r="D29" s="140"/>
      <c r="E29" s="140" t="str">
        <f>+IF(FINANCIACION[[#This Row],[$ CAPITAL]]&gt;=0,FINANCIACION[[#This Row],[$ CAPITAL]]+FINANCIACION[[#This Row],[$ INTERESES]],"")</f>
        <v/>
      </c>
      <c r="F29" s="140">
        <f>+SUMIFS(FINANCIACION[$ CAPITAL],FINANCIACION[Fecha],"&lt;="&amp;FINANCIACION[[#This Row],[Fecha]],FINANCIACION[PRESTAMO],FINANCIACION[[#This Row],[PRESTAMO]])</f>
        <v>-61000000</v>
      </c>
      <c r="G29" s="140"/>
      <c r="H29" s="141"/>
      <c r="I29" s="142"/>
      <c r="J29" s="140" t="b">
        <f>+IF(FINANCIACION[[#This Row],[$ CAPITAL]]&gt;0,FINANCIACION[[#This Row],[$ CAPITAL]])</f>
        <v>0</v>
      </c>
      <c r="K29" s="143">
        <f>+IF(FINANCIACION[[#This Row],[$ CAPITAL]]&gt;=0,FINANCIACION[[#This Row],[$ CAPITAL]]+FINANCIACION[[#This Row],[$ INTERESES]],0)</f>
        <v>0</v>
      </c>
    </row>
    <row r="30" spans="1:11" ht="24" customHeight="1" x14ac:dyDescent="0.25">
      <c r="A30" s="138">
        <v>43651</v>
      </c>
      <c r="B30" s="139" t="s">
        <v>138</v>
      </c>
      <c r="C30" s="140">
        <v>-5000000</v>
      </c>
      <c r="D30" s="140"/>
      <c r="E30" s="140" t="str">
        <f>+IF(FINANCIACION[[#This Row],[$ CAPITAL]]&gt;=0,FINANCIACION[[#This Row],[$ CAPITAL]]+FINANCIACION[[#This Row],[$ INTERESES]],"")</f>
        <v/>
      </c>
      <c r="F30" s="140">
        <f>+SUMIFS(FINANCIACION[$ CAPITAL],FINANCIACION[Fecha],"&lt;="&amp;FINANCIACION[[#This Row],[Fecha]],FINANCIACION[PRESTAMO],FINANCIACION[[#This Row],[PRESTAMO]])</f>
        <v>-61000000</v>
      </c>
      <c r="G30" s="140"/>
      <c r="H30" s="141"/>
      <c r="I30" s="142"/>
      <c r="J30" s="140" t="b">
        <f>+IF(FINANCIACION[[#This Row],[$ CAPITAL]]&gt;0,FINANCIACION[[#This Row],[$ CAPITAL]])</f>
        <v>0</v>
      </c>
      <c r="K30" s="143">
        <f>+IF(FINANCIACION[[#This Row],[$ CAPITAL]]&gt;=0,FINANCIACION[[#This Row],[$ CAPITAL]]+FINANCIACION[[#This Row],[$ INTERESES]],0)</f>
        <v>0</v>
      </c>
    </row>
    <row r="31" spans="1:11" ht="24" customHeight="1" x14ac:dyDescent="0.25">
      <c r="A31" s="138">
        <v>43654</v>
      </c>
      <c r="B31" s="139" t="s">
        <v>138</v>
      </c>
      <c r="C31" s="140">
        <v>-5000000</v>
      </c>
      <c r="D31" s="140"/>
      <c r="E31" s="140" t="str">
        <f>+IF(FINANCIACION[[#This Row],[$ CAPITAL]]&gt;=0,FINANCIACION[[#This Row],[$ CAPITAL]]+FINANCIACION[[#This Row],[$ INTERESES]],"")</f>
        <v/>
      </c>
      <c r="F31" s="140">
        <f>+SUMIFS(FINANCIACION[$ CAPITAL],FINANCIACION[Fecha],"&lt;="&amp;FINANCIACION[[#This Row],[Fecha]],FINANCIACION[PRESTAMO],FINANCIACION[[#This Row],[PRESTAMO]])</f>
        <v>-66000000</v>
      </c>
      <c r="G31" s="140"/>
      <c r="H31" s="141"/>
      <c r="I31" s="142"/>
      <c r="J31" s="140" t="b">
        <f>+IF(FINANCIACION[[#This Row],[$ CAPITAL]]&gt;0,FINANCIACION[[#This Row],[$ CAPITAL]])</f>
        <v>0</v>
      </c>
      <c r="K31" s="143">
        <f>+IF(FINANCIACION[[#This Row],[$ CAPITAL]]&gt;=0,FINANCIACION[[#This Row],[$ CAPITAL]]+FINANCIACION[[#This Row],[$ INTERESES]],0)</f>
        <v>0</v>
      </c>
    </row>
    <row r="32" spans="1:11" ht="24" customHeight="1" x14ac:dyDescent="0.25">
      <c r="A32" s="138">
        <v>43656</v>
      </c>
      <c r="B32" s="139" t="s">
        <v>135</v>
      </c>
      <c r="C32" s="140"/>
      <c r="D32" s="140">
        <v>950000</v>
      </c>
      <c r="E32" s="140">
        <f>+IF(FINANCIACION[[#This Row],[$ CAPITAL]]&gt;=0,FINANCIACION[[#This Row],[$ CAPITAL]]+FINANCIACION[[#This Row],[$ INTERESES]],"")</f>
        <v>950000</v>
      </c>
      <c r="F32" s="140">
        <f>+SUMIFS(FINANCIACION[$ CAPITAL],FINANCIACION[Fecha],"&lt;="&amp;FINANCIACION[[#This Row],[Fecha]],FINANCIACION[PRESTAMO],FINANCIACION[[#This Row],[PRESTAMO]])</f>
        <v>-94935167</v>
      </c>
      <c r="G32" s="140"/>
      <c r="H32" s="141"/>
      <c r="I32" s="142"/>
      <c r="J32" s="140" t="b">
        <f>+IF(FINANCIACION[[#This Row],[$ CAPITAL]]&gt;0,FINANCIACION[[#This Row],[$ CAPITAL]])</f>
        <v>0</v>
      </c>
      <c r="K32" s="143">
        <f>+IF(FINANCIACION[[#This Row],[$ CAPITAL]]&gt;=0,FINANCIACION[[#This Row],[$ CAPITAL]]+FINANCIACION[[#This Row],[$ INTERESES]],0)</f>
        <v>950000</v>
      </c>
    </row>
    <row r="33" spans="1:11" ht="24" customHeight="1" x14ac:dyDescent="0.25">
      <c r="A33" s="138">
        <v>43664</v>
      </c>
      <c r="B33" s="139" t="s">
        <v>137</v>
      </c>
      <c r="C33" s="140">
        <v>1367805</v>
      </c>
      <c r="D33" s="140">
        <v>4714407</v>
      </c>
      <c r="E33" s="140">
        <f>+IF(FINANCIACION[[#This Row],[$ CAPITAL]]&gt;=0,FINANCIACION[[#This Row],[$ CAPITAL]]+FINANCIACION[[#This Row],[$ INTERESES]],"")</f>
        <v>6082212</v>
      </c>
      <c r="F33" s="140">
        <f>+SUMIFS(FINANCIACION[$ CAPITAL],FINANCIACION[Fecha],"&lt;="&amp;FINANCIACION[[#This Row],[Fecha]],FINANCIACION[PRESTAMO],FINANCIACION[[#This Row],[PRESTAMO]])</f>
        <v>-371794082.03181815</v>
      </c>
      <c r="G33" s="140"/>
      <c r="H33" s="141"/>
      <c r="I33" s="142"/>
      <c r="J33" s="140">
        <f>+IF(FINANCIACION[[#This Row],[$ CAPITAL]]&gt;0,FINANCIACION[[#This Row],[$ CAPITAL]])</f>
        <v>1367805</v>
      </c>
      <c r="K33" s="143">
        <f>+IF(FINANCIACION[[#This Row],[$ CAPITAL]]&gt;=0,FINANCIACION[[#This Row],[$ CAPITAL]]+FINANCIACION[[#This Row],[$ INTERESES]],0)</f>
        <v>6082212</v>
      </c>
    </row>
    <row r="34" spans="1:11" ht="24" customHeight="1" x14ac:dyDescent="0.25">
      <c r="A34" s="138">
        <v>43666</v>
      </c>
      <c r="B34" s="139" t="s">
        <v>136</v>
      </c>
      <c r="C34" s="140">
        <v>260000</v>
      </c>
      <c r="D34" s="140">
        <v>740000</v>
      </c>
      <c r="E34" s="140">
        <f>+IF(FINANCIACION[[#This Row],[$ CAPITAL]]&gt;=0,FINANCIACION[[#This Row],[$ CAPITAL]]+FINANCIACION[[#This Row],[$ INTERESES]],"")</f>
        <v>1000000</v>
      </c>
      <c r="F34" s="140">
        <f>+SUMIFS(FINANCIACION[$ CAPITAL],FINANCIACION[Fecha],"&lt;="&amp;FINANCIACION[[#This Row],[Fecha]],FINANCIACION[PRESTAMO],FINANCIACION[[#This Row],[PRESTAMO]])</f>
        <v>-59809154</v>
      </c>
      <c r="G34" s="140"/>
      <c r="H34" s="141"/>
      <c r="I34" s="142"/>
      <c r="J34" s="140">
        <f>+IF(FINANCIACION[[#This Row],[$ CAPITAL]]&gt;0,FINANCIACION[[#This Row],[$ CAPITAL]])</f>
        <v>260000</v>
      </c>
      <c r="K34" s="143">
        <f>+IF(FINANCIACION[[#This Row],[$ CAPITAL]]&gt;=0,FINANCIACION[[#This Row],[$ CAPITAL]]+FINANCIACION[[#This Row],[$ INTERESES]],0)</f>
        <v>1000000</v>
      </c>
    </row>
    <row r="35" spans="1:11" ht="24" customHeight="1" x14ac:dyDescent="0.25">
      <c r="A35" s="138">
        <v>43677</v>
      </c>
      <c r="B35" s="139" t="s">
        <v>138</v>
      </c>
      <c r="C35" s="140">
        <v>-8000000</v>
      </c>
      <c r="D35" s="140"/>
      <c r="E35" s="140" t="str">
        <f>+IF(FINANCIACION[[#This Row],[$ CAPITAL]]&gt;=0,FINANCIACION[[#This Row],[$ CAPITAL]]+FINANCIACION[[#This Row],[$ INTERESES]],"")</f>
        <v/>
      </c>
      <c r="F35" s="140">
        <f>+SUMIFS(FINANCIACION[$ CAPITAL],FINANCIACION[Fecha],"&lt;="&amp;FINANCIACION[[#This Row],[Fecha]],FINANCIACION[PRESTAMO],FINANCIACION[[#This Row],[PRESTAMO]])</f>
        <v>-74000000</v>
      </c>
      <c r="G35" s="140"/>
      <c r="H35" s="141"/>
      <c r="I35" s="142"/>
      <c r="J35" s="140" t="b">
        <f>+IF(FINANCIACION[[#This Row],[$ CAPITAL]]&gt;0,FINANCIACION[[#This Row],[$ CAPITAL]])</f>
        <v>0</v>
      </c>
      <c r="K35" s="143">
        <f>+IF(FINANCIACION[[#This Row],[$ CAPITAL]]&gt;=0,FINANCIACION[[#This Row],[$ CAPITAL]]+FINANCIACION[[#This Row],[$ INTERESES]],0)</f>
        <v>0</v>
      </c>
    </row>
    <row r="36" spans="1:11" ht="24" customHeight="1" x14ac:dyDescent="0.25">
      <c r="A36" s="138">
        <v>43687</v>
      </c>
      <c r="B36" s="139" t="s">
        <v>135</v>
      </c>
      <c r="C36" s="140"/>
      <c r="D36" s="140">
        <v>950000</v>
      </c>
      <c r="E36" s="140">
        <f>+IF(FINANCIACION[[#This Row],[$ CAPITAL]]&gt;=0,FINANCIACION[[#This Row],[$ CAPITAL]]+FINANCIACION[[#This Row],[$ INTERESES]],"")</f>
        <v>950000</v>
      </c>
      <c r="F36" s="140">
        <f>+SUMIFS(FINANCIACION[$ CAPITAL],FINANCIACION[Fecha],"&lt;="&amp;FINANCIACION[[#This Row],[Fecha]],FINANCIACION[PRESTAMO],FINANCIACION[[#This Row],[PRESTAMO]])</f>
        <v>-94935167</v>
      </c>
      <c r="G36" s="140"/>
      <c r="H36" s="141"/>
      <c r="I36" s="142"/>
      <c r="J36" s="140" t="b">
        <f>+IF(FINANCIACION[[#This Row],[$ CAPITAL]]&gt;0,FINANCIACION[[#This Row],[$ CAPITAL]])</f>
        <v>0</v>
      </c>
      <c r="K36" s="143">
        <f>+IF(FINANCIACION[[#This Row],[$ CAPITAL]]&gt;=0,FINANCIACION[[#This Row],[$ CAPITAL]]+FINANCIACION[[#This Row],[$ INTERESES]],0)</f>
        <v>950000</v>
      </c>
    </row>
    <row r="37" spans="1:11" ht="24" customHeight="1" x14ac:dyDescent="0.25">
      <c r="A37" s="138">
        <v>43697</v>
      </c>
      <c r="B37" s="139" t="s">
        <v>136</v>
      </c>
      <c r="C37" s="140">
        <v>260000</v>
      </c>
      <c r="D37" s="140">
        <v>740000</v>
      </c>
      <c r="E37" s="140">
        <f>+IF(FINANCIACION[[#This Row],[$ CAPITAL]]&gt;=0,FINANCIACION[[#This Row],[$ CAPITAL]]+FINANCIACION[[#This Row],[$ INTERESES]],"")</f>
        <v>1000000</v>
      </c>
      <c r="F37" s="140">
        <f>+SUMIFS(FINANCIACION[$ CAPITAL],FINANCIACION[Fecha],"&lt;="&amp;FINANCIACION[[#This Row],[Fecha]],FINANCIACION[PRESTAMO],FINANCIACION[[#This Row],[PRESTAMO]])</f>
        <v>-59549154</v>
      </c>
      <c r="G37" s="140"/>
      <c r="H37" s="141"/>
      <c r="I37" s="142"/>
      <c r="J37" s="140">
        <f>+IF(FINANCIACION[[#This Row],[$ CAPITAL]]&gt;0,FINANCIACION[[#This Row],[$ CAPITAL]])</f>
        <v>260000</v>
      </c>
      <c r="K37" s="143">
        <f>+IF(FINANCIACION[[#This Row],[$ CAPITAL]]&gt;=0,FINANCIACION[[#This Row],[$ CAPITAL]]+FINANCIACION[[#This Row],[$ INTERESES]],0)</f>
        <v>1000000</v>
      </c>
    </row>
    <row r="38" spans="1:11" ht="24" customHeight="1" x14ac:dyDescent="0.25">
      <c r="A38" s="138">
        <v>43697</v>
      </c>
      <c r="B38" s="139" t="s">
        <v>137</v>
      </c>
      <c r="C38" s="140">
        <v>1392137</v>
      </c>
      <c r="D38" s="140">
        <v>4667683</v>
      </c>
      <c r="E38" s="140">
        <f>+IF(FINANCIACION[[#This Row],[$ CAPITAL]]&gt;=0,FINANCIACION[[#This Row],[$ CAPITAL]]+FINANCIACION[[#This Row],[$ INTERESES]],"")</f>
        <v>6059820</v>
      </c>
      <c r="F38" s="140">
        <f>+SUMIFS(FINANCIACION[$ CAPITAL],FINANCIACION[Fecha],"&lt;="&amp;FINANCIACION[[#This Row],[Fecha]],FINANCIACION[PRESTAMO],FINANCIACION[[#This Row],[PRESTAMO]])</f>
        <v>-370401945.03181815</v>
      </c>
      <c r="G38" s="140"/>
      <c r="H38" s="141"/>
      <c r="I38" s="142"/>
      <c r="J38" s="140">
        <f>+IF(FINANCIACION[[#This Row],[$ CAPITAL]]&gt;0,FINANCIACION[[#This Row],[$ CAPITAL]])</f>
        <v>1392137</v>
      </c>
      <c r="K38" s="143">
        <f>+IF(FINANCIACION[[#This Row],[$ CAPITAL]]&gt;=0,FINANCIACION[[#This Row],[$ CAPITAL]]+FINANCIACION[[#This Row],[$ INTERESES]],0)</f>
        <v>6059820</v>
      </c>
    </row>
    <row r="39" spans="1:11" ht="24" customHeight="1" x14ac:dyDescent="0.25">
      <c r="A39" s="138">
        <v>43705</v>
      </c>
      <c r="B39" s="139" t="s">
        <v>138</v>
      </c>
      <c r="C39" s="140"/>
      <c r="D39" s="140">
        <v>740000</v>
      </c>
      <c r="E39" s="140">
        <f>+IF(FINANCIACION[[#This Row],[$ CAPITAL]]&gt;=0,FINANCIACION[[#This Row],[$ CAPITAL]]+FINANCIACION[[#This Row],[$ INTERESES]],"")</f>
        <v>740000</v>
      </c>
      <c r="F39" s="140">
        <f>+SUMIFS(FINANCIACION[$ CAPITAL],FINANCIACION[Fecha],"&lt;="&amp;FINANCIACION[[#This Row],[Fecha]],FINANCIACION[PRESTAMO],FINANCIACION[[#This Row],[PRESTAMO]])</f>
        <v>-74000000</v>
      </c>
      <c r="G39" s="140"/>
      <c r="H39" s="141"/>
      <c r="I39" s="142"/>
      <c r="J39" s="140" t="b">
        <f>+IF(FINANCIACION[[#This Row],[$ CAPITAL]]&gt;0,FINANCIACION[[#This Row],[$ CAPITAL]])</f>
        <v>0</v>
      </c>
      <c r="K39" s="143">
        <f>+IF(FINANCIACION[[#This Row],[$ CAPITAL]]&gt;=0,FINANCIACION[[#This Row],[$ CAPITAL]]+FINANCIACION[[#This Row],[$ INTERESES]],0)</f>
        <v>740000</v>
      </c>
    </row>
    <row r="40" spans="1:11" ht="24" customHeight="1" x14ac:dyDescent="0.25">
      <c r="A40" s="138">
        <v>43717</v>
      </c>
      <c r="B40" s="139" t="s">
        <v>138</v>
      </c>
      <c r="C40" s="140">
        <v>-10000000</v>
      </c>
      <c r="D40" s="140"/>
      <c r="E40" s="140" t="str">
        <f>+IF(FINANCIACION[[#This Row],[$ CAPITAL]]&gt;=0,FINANCIACION[[#This Row],[$ CAPITAL]]+FINANCIACION[[#This Row],[$ INTERESES]],"")</f>
        <v/>
      </c>
      <c r="F40" s="140">
        <f>+SUMIFS(FINANCIACION[$ CAPITAL],FINANCIACION[Fecha],"&lt;="&amp;FINANCIACION[[#This Row],[Fecha]],FINANCIACION[PRESTAMO],FINANCIACION[[#This Row],[PRESTAMO]])</f>
        <v>-84000000</v>
      </c>
      <c r="G40" s="140"/>
      <c r="H40" s="141"/>
      <c r="I40" s="142"/>
      <c r="J40" s="140" t="b">
        <f>+IF(FINANCIACION[[#This Row],[$ CAPITAL]]&gt;0,FINANCIACION[[#This Row],[$ CAPITAL]])</f>
        <v>0</v>
      </c>
      <c r="K40" s="143">
        <f>+IF(FINANCIACION[[#This Row],[$ CAPITAL]]&gt;=0,FINANCIACION[[#This Row],[$ CAPITAL]]+FINANCIACION[[#This Row],[$ INTERESES]],0)</f>
        <v>0</v>
      </c>
    </row>
    <row r="41" spans="1:11" ht="24" customHeight="1" x14ac:dyDescent="0.25">
      <c r="A41" s="138">
        <v>43718</v>
      </c>
      <c r="B41" s="139" t="s">
        <v>135</v>
      </c>
      <c r="C41" s="140"/>
      <c r="D41" s="140">
        <v>950000</v>
      </c>
      <c r="E41" s="140">
        <f>+IF(FINANCIACION[[#This Row],[$ CAPITAL]]&gt;=0,FINANCIACION[[#This Row],[$ CAPITAL]]+FINANCIACION[[#This Row],[$ INTERESES]],"")</f>
        <v>950000</v>
      </c>
      <c r="F41" s="140">
        <f>+SUMIFS(FINANCIACION[$ CAPITAL],FINANCIACION[Fecha],"&lt;="&amp;FINANCIACION[[#This Row],[Fecha]],FINANCIACION[PRESTAMO],FINANCIACION[[#This Row],[PRESTAMO]])</f>
        <v>-94935167</v>
      </c>
      <c r="G41" s="140"/>
      <c r="H41" s="141"/>
      <c r="I41" s="142"/>
      <c r="J41" s="140" t="b">
        <f>+IF(FINANCIACION[[#This Row],[$ CAPITAL]]&gt;0,FINANCIACION[[#This Row],[$ CAPITAL]])</f>
        <v>0</v>
      </c>
      <c r="K41" s="143">
        <f>+IF(FINANCIACION[[#This Row],[$ CAPITAL]]&gt;=0,FINANCIACION[[#This Row],[$ CAPITAL]]+FINANCIACION[[#This Row],[$ INTERESES]],0)</f>
        <v>950000</v>
      </c>
    </row>
    <row r="42" spans="1:11" ht="24" customHeight="1" x14ac:dyDescent="0.25">
      <c r="A42" s="138">
        <v>43726</v>
      </c>
      <c r="B42" s="139" t="s">
        <v>137</v>
      </c>
      <c r="C42" s="140">
        <v>1409118</v>
      </c>
      <c r="D42" s="140">
        <v>4650702</v>
      </c>
      <c r="E42" s="140">
        <f>+IF(FINANCIACION[[#This Row],[$ CAPITAL]]&gt;=0,FINANCIACION[[#This Row],[$ CAPITAL]]+FINANCIACION[[#This Row],[$ INTERESES]],"")</f>
        <v>6059820</v>
      </c>
      <c r="F42" s="140">
        <f>+SUMIFS(FINANCIACION[$ CAPITAL],FINANCIACION[Fecha],"&lt;="&amp;FINANCIACION[[#This Row],[Fecha]],FINANCIACION[PRESTAMO],FINANCIACION[[#This Row],[PRESTAMO]])</f>
        <v>-368992827.03181815</v>
      </c>
      <c r="G42" s="140"/>
      <c r="H42" s="141"/>
      <c r="I42" s="142"/>
      <c r="J42" s="140">
        <f>+IF(FINANCIACION[[#This Row],[$ CAPITAL]]&gt;0,FINANCIACION[[#This Row],[$ CAPITAL]])</f>
        <v>1409118</v>
      </c>
      <c r="K42" s="143">
        <f>+IF(FINANCIACION[[#This Row],[$ CAPITAL]]&gt;=0,FINANCIACION[[#This Row],[$ CAPITAL]]+FINANCIACION[[#This Row],[$ INTERESES]],0)</f>
        <v>6059820</v>
      </c>
    </row>
    <row r="43" spans="1:11" ht="24" customHeight="1" x14ac:dyDescent="0.25">
      <c r="A43" s="138">
        <v>43728</v>
      </c>
      <c r="B43" s="139" t="s">
        <v>136</v>
      </c>
      <c r="C43" s="140">
        <v>260000</v>
      </c>
      <c r="D43" s="140">
        <v>740000</v>
      </c>
      <c r="E43" s="140">
        <f>+IF(FINANCIACION[[#This Row],[$ CAPITAL]]&gt;=0,FINANCIACION[[#This Row],[$ CAPITAL]]+FINANCIACION[[#This Row],[$ INTERESES]],"")</f>
        <v>1000000</v>
      </c>
      <c r="F43" s="140">
        <f>+SUMIFS(FINANCIACION[$ CAPITAL],FINANCIACION[Fecha],"&lt;="&amp;FINANCIACION[[#This Row],[Fecha]],FINANCIACION[PRESTAMO],FINANCIACION[[#This Row],[PRESTAMO]])</f>
        <v>-59289154</v>
      </c>
      <c r="G43" s="140"/>
      <c r="H43" s="141"/>
      <c r="I43" s="142"/>
      <c r="J43" s="140">
        <f>+IF(FINANCIACION[[#This Row],[$ CAPITAL]]&gt;0,FINANCIACION[[#This Row],[$ CAPITAL]])</f>
        <v>260000</v>
      </c>
      <c r="K43" s="143">
        <f>+IF(FINANCIACION[[#This Row],[$ CAPITAL]]&gt;=0,FINANCIACION[[#This Row],[$ CAPITAL]]+FINANCIACION[[#This Row],[$ INTERESES]],0)</f>
        <v>1000000</v>
      </c>
    </row>
    <row r="44" spans="1:11" ht="24" customHeight="1" x14ac:dyDescent="0.25">
      <c r="A44" s="138">
        <v>43748</v>
      </c>
      <c r="B44" s="139" t="s">
        <v>135</v>
      </c>
      <c r="C44" s="140"/>
      <c r="D44" s="140">
        <v>950000</v>
      </c>
      <c r="E44" s="140">
        <f>+IF(FINANCIACION[[#This Row],[$ CAPITAL]]&gt;=0,FINANCIACION[[#This Row],[$ CAPITAL]]+FINANCIACION[[#This Row],[$ INTERESES]],"")</f>
        <v>950000</v>
      </c>
      <c r="F44" s="140">
        <f>+SUMIFS(FINANCIACION[$ CAPITAL],FINANCIACION[Fecha],"&lt;="&amp;FINANCIACION[[#This Row],[Fecha]],FINANCIACION[PRESTAMO],FINANCIACION[[#This Row],[PRESTAMO]])</f>
        <v>-94935167</v>
      </c>
      <c r="G44" s="140"/>
      <c r="H44" s="141"/>
      <c r="I44" s="142"/>
      <c r="J44" s="140" t="b">
        <f>+IF(FINANCIACION[[#This Row],[$ CAPITAL]]&gt;0,FINANCIACION[[#This Row],[$ CAPITAL]])</f>
        <v>0</v>
      </c>
      <c r="K44" s="143">
        <f>+IF(FINANCIACION[[#This Row],[$ CAPITAL]]&gt;=0,FINANCIACION[[#This Row],[$ CAPITAL]]+FINANCIACION[[#This Row],[$ INTERESES]],0)</f>
        <v>950000</v>
      </c>
    </row>
    <row r="45" spans="1:11" ht="24" customHeight="1" x14ac:dyDescent="0.25">
      <c r="A45" s="138">
        <v>43756</v>
      </c>
      <c r="B45" s="139" t="s">
        <v>137</v>
      </c>
      <c r="C45" s="140">
        <v>1426306</v>
      </c>
      <c r="D45" s="140">
        <v>4592899</v>
      </c>
      <c r="E45" s="140">
        <f>+IF(FINANCIACION[[#This Row],[$ CAPITAL]]&gt;=0,FINANCIACION[[#This Row],[$ CAPITAL]]+FINANCIACION[[#This Row],[$ INTERESES]],"")</f>
        <v>6019205</v>
      </c>
      <c r="F45" s="140">
        <f>+SUMIFS(FINANCIACION[$ CAPITAL],FINANCIACION[Fecha],"&lt;="&amp;FINANCIACION[[#This Row],[Fecha]],FINANCIACION[PRESTAMO],FINANCIACION[[#This Row],[PRESTAMO]])</f>
        <v>-367566521.03181815</v>
      </c>
      <c r="G45" s="140"/>
      <c r="H45" s="141"/>
      <c r="I45" s="142"/>
      <c r="J45" s="140">
        <f>+IF(FINANCIACION[[#This Row],[$ CAPITAL]]&gt;0,FINANCIACION[[#This Row],[$ CAPITAL]])</f>
        <v>1426306</v>
      </c>
      <c r="K45" s="143">
        <f>+IF(FINANCIACION[[#This Row],[$ CAPITAL]]&gt;=0,FINANCIACION[[#This Row],[$ CAPITAL]]+FINANCIACION[[#This Row],[$ INTERESES]],0)</f>
        <v>6019205</v>
      </c>
    </row>
    <row r="46" spans="1:11" ht="24" customHeight="1" x14ac:dyDescent="0.25">
      <c r="A46" s="138">
        <v>43759</v>
      </c>
      <c r="B46" s="139" t="s">
        <v>136</v>
      </c>
      <c r="C46" s="140">
        <v>260000</v>
      </c>
      <c r="D46" s="140">
        <v>740000</v>
      </c>
      <c r="E46" s="140">
        <f>+IF(FINANCIACION[[#This Row],[$ CAPITAL]]&gt;=0,FINANCIACION[[#This Row],[$ CAPITAL]]+FINANCIACION[[#This Row],[$ INTERESES]],"")</f>
        <v>1000000</v>
      </c>
      <c r="F46" s="140">
        <f>+SUMIFS(FINANCIACION[$ CAPITAL],FINANCIACION[Fecha],"&lt;="&amp;FINANCIACION[[#This Row],[Fecha]],FINANCIACION[PRESTAMO],FINANCIACION[[#This Row],[PRESTAMO]])</f>
        <v>-59029154</v>
      </c>
      <c r="G46" s="140"/>
      <c r="H46" s="141"/>
      <c r="I46" s="142"/>
      <c r="J46" s="140">
        <f>+IF(FINANCIACION[[#This Row],[$ CAPITAL]]&gt;0,FINANCIACION[[#This Row],[$ CAPITAL]])</f>
        <v>260000</v>
      </c>
      <c r="K46" s="143">
        <f>+IF(FINANCIACION[[#This Row],[$ CAPITAL]]&gt;=0,FINANCIACION[[#This Row],[$ CAPITAL]]+FINANCIACION[[#This Row],[$ INTERESES]],0)</f>
        <v>1000000</v>
      </c>
    </row>
    <row r="47" spans="1:11" ht="24" customHeight="1" x14ac:dyDescent="0.25">
      <c r="A47" s="138">
        <v>43769</v>
      </c>
      <c r="B47" s="139" t="s">
        <v>138</v>
      </c>
      <c r="C47" s="140"/>
      <c r="D47" s="140">
        <v>840000</v>
      </c>
      <c r="E47" s="140">
        <f>+IF(FINANCIACION[[#This Row],[$ CAPITAL]]&gt;=0,FINANCIACION[[#This Row],[$ CAPITAL]]+FINANCIACION[[#This Row],[$ INTERESES]],"")</f>
        <v>840000</v>
      </c>
      <c r="F47" s="140">
        <f>+SUMIFS(FINANCIACION[$ CAPITAL],FINANCIACION[Fecha],"&lt;="&amp;FINANCIACION[[#This Row],[Fecha]],FINANCIACION[PRESTAMO],FINANCIACION[[#This Row],[PRESTAMO]])</f>
        <v>-84000000</v>
      </c>
      <c r="G47" s="140"/>
      <c r="H47" s="141"/>
      <c r="I47" s="142"/>
      <c r="J47" s="140" t="b">
        <f>+IF(FINANCIACION[[#This Row],[$ CAPITAL]]&gt;0,FINANCIACION[[#This Row],[$ CAPITAL]])</f>
        <v>0</v>
      </c>
      <c r="K47" s="143">
        <f>+IF(FINANCIACION[[#This Row],[$ CAPITAL]]&gt;=0,FINANCIACION[[#This Row],[$ CAPITAL]]+FINANCIACION[[#This Row],[$ INTERESES]],0)</f>
        <v>840000</v>
      </c>
    </row>
    <row r="48" spans="1:11" ht="24" customHeight="1" x14ac:dyDescent="0.25">
      <c r="A48" s="138">
        <v>43779</v>
      </c>
      <c r="B48" s="139" t="s">
        <v>135</v>
      </c>
      <c r="C48" s="140"/>
      <c r="D48" s="140">
        <v>950000</v>
      </c>
      <c r="E48" s="140">
        <f>+IF(FINANCIACION[[#This Row],[$ CAPITAL]]&gt;=0,FINANCIACION[[#This Row],[$ CAPITAL]]+FINANCIACION[[#This Row],[$ INTERESES]],"")</f>
        <v>950000</v>
      </c>
      <c r="F48" s="140">
        <f>+SUMIFS(FINANCIACION[$ CAPITAL],FINANCIACION[Fecha],"&lt;="&amp;FINANCIACION[[#This Row],[Fecha]],FINANCIACION[PRESTAMO],FINANCIACION[[#This Row],[PRESTAMO]])</f>
        <v>-94935167</v>
      </c>
      <c r="G48" s="140"/>
      <c r="H48" s="141"/>
      <c r="I48" s="142"/>
      <c r="J48" s="140" t="b">
        <f>+IF(FINANCIACION[[#This Row],[$ CAPITAL]]&gt;0,FINANCIACION[[#This Row],[$ CAPITAL]])</f>
        <v>0</v>
      </c>
      <c r="K48" s="143">
        <f>+IF(FINANCIACION[[#This Row],[$ CAPITAL]]&gt;=0,FINANCIACION[[#This Row],[$ CAPITAL]]+FINANCIACION[[#This Row],[$ INTERESES]],0)</f>
        <v>950000</v>
      </c>
    </row>
    <row r="49" spans="1:11" ht="24" customHeight="1" x14ac:dyDescent="0.25">
      <c r="A49" s="138">
        <v>43787</v>
      </c>
      <c r="B49" s="139" t="s">
        <v>137</v>
      </c>
      <c r="C49" s="140">
        <v>1442047.66666667</v>
      </c>
      <c r="D49" s="140">
        <v>4639789.3333333302</v>
      </c>
      <c r="E49" s="140">
        <f>+IF(FINANCIACION[[#This Row],[$ CAPITAL]]&gt;=0,FINANCIACION[[#This Row],[$ CAPITAL]]+FINANCIACION[[#This Row],[$ INTERESES]],"")</f>
        <v>6081837</v>
      </c>
      <c r="F49" s="140">
        <f>+SUMIFS(FINANCIACION[$ CAPITAL],FINANCIACION[Fecha],"&lt;="&amp;FINANCIACION[[#This Row],[Fecha]],FINANCIACION[PRESTAMO],FINANCIACION[[#This Row],[PRESTAMO]])</f>
        <v>-366124473.36515146</v>
      </c>
      <c r="G49" s="140"/>
      <c r="H49" s="141"/>
      <c r="I49" s="142"/>
      <c r="J49" s="140">
        <f>+IF(FINANCIACION[[#This Row],[$ CAPITAL]]&gt;0,FINANCIACION[[#This Row],[$ CAPITAL]])</f>
        <v>1442047.66666667</v>
      </c>
      <c r="K49" s="143">
        <f>+IF(FINANCIACION[[#This Row],[$ CAPITAL]]&gt;=0,FINANCIACION[[#This Row],[$ CAPITAL]]+FINANCIACION[[#This Row],[$ INTERESES]],0)</f>
        <v>6081837</v>
      </c>
    </row>
    <row r="50" spans="1:11" ht="24" customHeight="1" x14ac:dyDescent="0.25">
      <c r="A50" s="138">
        <v>43789</v>
      </c>
      <c r="B50" s="139" t="s">
        <v>136</v>
      </c>
      <c r="C50" s="140">
        <v>260000</v>
      </c>
      <c r="D50" s="140">
        <v>740000</v>
      </c>
      <c r="E50" s="140">
        <f>+IF(FINANCIACION[[#This Row],[$ CAPITAL]]&gt;=0,FINANCIACION[[#This Row],[$ CAPITAL]]+FINANCIACION[[#This Row],[$ INTERESES]],"")</f>
        <v>1000000</v>
      </c>
      <c r="F50" s="140">
        <f>+SUMIFS(FINANCIACION[$ CAPITAL],FINANCIACION[Fecha],"&lt;="&amp;FINANCIACION[[#This Row],[Fecha]],FINANCIACION[PRESTAMO],FINANCIACION[[#This Row],[PRESTAMO]])</f>
        <v>-58769154</v>
      </c>
      <c r="G50" s="140"/>
      <c r="H50" s="141"/>
      <c r="I50" s="142"/>
      <c r="J50" s="140">
        <f>+IF(FINANCIACION[[#This Row],[$ CAPITAL]]&gt;0,FINANCIACION[[#This Row],[$ CAPITAL]])</f>
        <v>260000</v>
      </c>
      <c r="K50" s="143">
        <f>+IF(FINANCIACION[[#This Row],[$ CAPITAL]]&gt;=0,FINANCIACION[[#This Row],[$ CAPITAL]]+FINANCIACION[[#This Row],[$ INTERESES]],0)</f>
        <v>1000000</v>
      </c>
    </row>
    <row r="51" spans="1:11" ht="24" customHeight="1" x14ac:dyDescent="0.25">
      <c r="A51" s="138">
        <v>43799</v>
      </c>
      <c r="B51" s="139" t="s">
        <v>138</v>
      </c>
      <c r="C51" s="140"/>
      <c r="D51" s="140">
        <v>840000</v>
      </c>
      <c r="E51" s="140">
        <f>+IF(FINANCIACION[[#This Row],[$ CAPITAL]]&gt;=0,FINANCIACION[[#This Row],[$ CAPITAL]]+FINANCIACION[[#This Row],[$ INTERESES]],"")</f>
        <v>840000</v>
      </c>
      <c r="F51" s="140">
        <f>+SUMIFS(FINANCIACION[$ CAPITAL],FINANCIACION[Fecha],"&lt;="&amp;FINANCIACION[[#This Row],[Fecha]],FINANCIACION[PRESTAMO],FINANCIACION[[#This Row],[PRESTAMO]])</f>
        <v>-84000000</v>
      </c>
      <c r="G51" s="140"/>
      <c r="H51" s="141"/>
      <c r="I51" s="142"/>
      <c r="J51" s="140" t="b">
        <f>+IF(FINANCIACION[[#This Row],[$ CAPITAL]]&gt;0,FINANCIACION[[#This Row],[$ CAPITAL]])</f>
        <v>0</v>
      </c>
      <c r="K51" s="143">
        <f>+IF(FINANCIACION[[#This Row],[$ CAPITAL]]&gt;=0,FINANCIACION[[#This Row],[$ CAPITAL]]+FINANCIACION[[#This Row],[$ INTERESES]],0)</f>
        <v>840000</v>
      </c>
    </row>
    <row r="52" spans="1:11" ht="24" customHeight="1" x14ac:dyDescent="0.25">
      <c r="A52" s="138">
        <v>43805</v>
      </c>
      <c r="B52" s="139" t="s">
        <v>136</v>
      </c>
      <c r="C52" s="140">
        <v>-9000000</v>
      </c>
      <c r="D52" s="140"/>
      <c r="E52" s="140" t="str">
        <f>+IF(FINANCIACION[[#This Row],[$ CAPITAL]]&gt;=0,FINANCIACION[[#This Row],[$ CAPITAL]]+FINANCIACION[[#This Row],[$ INTERESES]],"")</f>
        <v/>
      </c>
      <c r="F52" s="140">
        <f>+SUMIFS(FINANCIACION[$ CAPITAL],FINANCIACION[Fecha],"&lt;="&amp;FINANCIACION[[#This Row],[Fecha]],FINANCIACION[PRESTAMO],FINANCIACION[[#This Row],[PRESTAMO]])</f>
        <v>-67769154</v>
      </c>
      <c r="G52" s="140"/>
      <c r="H52" s="141"/>
      <c r="I52" s="142"/>
      <c r="J52" s="140" t="b">
        <f>+IF(FINANCIACION[[#This Row],[$ CAPITAL]]&gt;0,FINANCIACION[[#This Row],[$ CAPITAL]])</f>
        <v>0</v>
      </c>
      <c r="K52" s="143">
        <f>+IF(FINANCIACION[[#This Row],[$ CAPITAL]]&gt;=0,FINANCIACION[[#This Row],[$ CAPITAL]]+FINANCIACION[[#This Row],[$ INTERESES]],0)</f>
        <v>0</v>
      </c>
    </row>
    <row r="53" spans="1:11" ht="24" customHeight="1" x14ac:dyDescent="0.25">
      <c r="A53" s="138">
        <v>43809</v>
      </c>
      <c r="B53" s="139" t="s">
        <v>135</v>
      </c>
      <c r="C53" s="140"/>
      <c r="D53" s="140">
        <v>950000</v>
      </c>
      <c r="E53" s="140">
        <f>+IF(FINANCIACION[[#This Row],[$ CAPITAL]]&gt;=0,FINANCIACION[[#This Row],[$ CAPITAL]]+FINANCIACION[[#This Row],[$ INTERESES]],"")</f>
        <v>950000</v>
      </c>
      <c r="F53" s="140">
        <f>+SUMIFS(FINANCIACION[$ CAPITAL],FINANCIACION[Fecha],"&lt;="&amp;FINANCIACION[[#This Row],[Fecha]],FINANCIACION[PRESTAMO],FINANCIACION[[#This Row],[PRESTAMO]])</f>
        <v>-94935167</v>
      </c>
      <c r="G53" s="140"/>
      <c r="H53" s="141"/>
      <c r="I53" s="142"/>
      <c r="J53" s="140" t="b">
        <f>+IF(FINANCIACION[[#This Row],[$ CAPITAL]]&gt;0,FINANCIACION[[#This Row],[$ CAPITAL]])</f>
        <v>0</v>
      </c>
      <c r="K53" s="143">
        <f>+IF(FINANCIACION[[#This Row],[$ CAPITAL]]&gt;=0,FINANCIACION[[#This Row],[$ CAPITAL]]+FINANCIACION[[#This Row],[$ INTERESES]],0)</f>
        <v>950000</v>
      </c>
    </row>
    <row r="54" spans="1:11" ht="24" customHeight="1" x14ac:dyDescent="0.25">
      <c r="A54" s="138">
        <v>43817</v>
      </c>
      <c r="B54" s="139" t="s">
        <v>137</v>
      </c>
      <c r="C54" s="140">
        <v>1459836.82424242</v>
      </c>
      <c r="D54" s="140">
        <v>4622000.1757575795</v>
      </c>
      <c r="E54" s="140">
        <f>+IF(FINANCIACION[[#This Row],[$ CAPITAL]]&gt;=0,FINANCIACION[[#This Row],[$ CAPITAL]]+FINANCIACION[[#This Row],[$ INTERESES]],"")</f>
        <v>6081837</v>
      </c>
      <c r="F54" s="140">
        <f>+SUMIFS(FINANCIACION[$ CAPITAL],FINANCIACION[Fecha],"&lt;="&amp;FINANCIACION[[#This Row],[Fecha]],FINANCIACION[PRESTAMO],FINANCIACION[[#This Row],[PRESTAMO]])</f>
        <v>-364664636.54090905</v>
      </c>
      <c r="G54" s="140"/>
      <c r="H54" s="141"/>
      <c r="I54" s="142"/>
      <c r="J54" s="140">
        <f>+IF(FINANCIACION[[#This Row],[$ CAPITAL]]&gt;0,FINANCIACION[[#This Row],[$ CAPITAL]])</f>
        <v>1459836.82424242</v>
      </c>
      <c r="K54" s="143">
        <f>+IF(FINANCIACION[[#This Row],[$ CAPITAL]]&gt;=0,FINANCIACION[[#This Row],[$ CAPITAL]]+FINANCIACION[[#This Row],[$ INTERESES]],0)</f>
        <v>6081837</v>
      </c>
    </row>
    <row r="55" spans="1:11" ht="24" customHeight="1" x14ac:dyDescent="0.25">
      <c r="A55" s="138">
        <v>43819</v>
      </c>
      <c r="B55" s="139" t="s">
        <v>136</v>
      </c>
      <c r="C55" s="140">
        <v>260000</v>
      </c>
      <c r="D55" s="140">
        <v>740000</v>
      </c>
      <c r="E55" s="140">
        <f>+IF(FINANCIACION[[#This Row],[$ CAPITAL]]&gt;=0,FINANCIACION[[#This Row],[$ CAPITAL]]+FINANCIACION[[#This Row],[$ INTERESES]],"")</f>
        <v>1000000</v>
      </c>
      <c r="F55" s="140">
        <f>+SUMIFS(FINANCIACION[$ CAPITAL],FINANCIACION[Fecha],"&lt;="&amp;FINANCIACION[[#This Row],[Fecha]],FINANCIACION[PRESTAMO],FINANCIACION[[#This Row],[PRESTAMO]])</f>
        <v>-67509154</v>
      </c>
      <c r="G55" s="140"/>
      <c r="H55" s="141"/>
      <c r="I55" s="142"/>
      <c r="J55" s="140">
        <f>+IF(FINANCIACION[[#This Row],[$ CAPITAL]]&gt;0,FINANCIACION[[#This Row],[$ CAPITAL]])</f>
        <v>260000</v>
      </c>
      <c r="K55" s="143">
        <f>+IF(FINANCIACION[[#This Row],[$ CAPITAL]]&gt;=0,FINANCIACION[[#This Row],[$ CAPITAL]]+FINANCIACION[[#This Row],[$ INTERESES]],0)</f>
        <v>1000000</v>
      </c>
    </row>
    <row r="56" spans="1:11" ht="24" customHeight="1" x14ac:dyDescent="0.25">
      <c r="A56" s="138">
        <v>43829</v>
      </c>
      <c r="B56" s="139" t="s">
        <v>138</v>
      </c>
      <c r="C56" s="140"/>
      <c r="D56" s="140">
        <v>840000</v>
      </c>
      <c r="E56" s="140">
        <f>+IF(FINANCIACION[[#This Row],[$ CAPITAL]]&gt;=0,FINANCIACION[[#This Row],[$ CAPITAL]]+FINANCIACION[[#This Row],[$ INTERESES]],"")</f>
        <v>840000</v>
      </c>
      <c r="F56" s="140">
        <f>+SUMIFS(FINANCIACION[$ CAPITAL],FINANCIACION[Fecha],"&lt;="&amp;FINANCIACION[[#This Row],[Fecha]],FINANCIACION[PRESTAMO],FINANCIACION[[#This Row],[PRESTAMO]])</f>
        <v>-84000000</v>
      </c>
      <c r="G56" s="140"/>
      <c r="H56" s="141"/>
      <c r="I56" s="142"/>
      <c r="J56" s="140" t="b">
        <f>+IF(FINANCIACION[[#This Row],[$ CAPITAL]]&gt;0,FINANCIACION[[#This Row],[$ CAPITAL]])</f>
        <v>0</v>
      </c>
      <c r="K56" s="143">
        <f>+IF(FINANCIACION[[#This Row],[$ CAPITAL]]&gt;=0,FINANCIACION[[#This Row],[$ CAPITAL]]+FINANCIACION[[#This Row],[$ INTERESES]],0)</f>
        <v>840000</v>
      </c>
    </row>
    <row r="57" spans="1:11" ht="24" customHeight="1" x14ac:dyDescent="0.25">
      <c r="A57" s="138">
        <v>43830</v>
      </c>
      <c r="B57" s="139" t="s">
        <v>137</v>
      </c>
      <c r="C57" s="140">
        <v>-24464288.602231398</v>
      </c>
      <c r="D57" s="140"/>
      <c r="E57" s="140" t="str">
        <f>+IF(FINANCIACION[[#This Row],[$ CAPITAL]]&gt;=0,FINANCIACION[[#This Row],[$ CAPITAL]]+FINANCIACION[[#This Row],[$ INTERESES]],"")</f>
        <v/>
      </c>
      <c r="F57" s="140">
        <f>+SUMIFS(FINANCIACION[$ CAPITAL],FINANCIACION[Fecha],"&lt;="&amp;FINANCIACION[[#This Row],[Fecha]],FINANCIACION[PRESTAMO],FINANCIACION[[#This Row],[PRESTAMO]])</f>
        <v>-389128925.14314044</v>
      </c>
      <c r="G57" s="140"/>
      <c r="H57" s="141"/>
      <c r="I57" s="142"/>
      <c r="J57" s="140" t="b">
        <f>+IF(FINANCIACION[[#This Row],[$ CAPITAL]]&gt;0,FINANCIACION[[#This Row],[$ CAPITAL]])</f>
        <v>0</v>
      </c>
      <c r="K57" s="143">
        <f>+IF(FINANCIACION[[#This Row],[$ CAPITAL]]&gt;=0,FINANCIACION[[#This Row],[$ CAPITAL]]+FINANCIACION[[#This Row],[$ INTERESES]],0)</f>
        <v>0</v>
      </c>
    </row>
    <row r="58" spans="1:11" ht="24" customHeight="1" x14ac:dyDescent="0.25">
      <c r="A58" s="138">
        <v>43840</v>
      </c>
      <c r="B58" s="139" t="s">
        <v>135</v>
      </c>
      <c r="C58" s="140"/>
      <c r="D58" s="140">
        <v>950000</v>
      </c>
      <c r="E58" s="140">
        <f>+IF(FINANCIACION[[#This Row],[$ CAPITAL]]&gt;=0,FINANCIACION[[#This Row],[$ CAPITAL]]+FINANCIACION[[#This Row],[$ INTERESES]],"")</f>
        <v>950000</v>
      </c>
      <c r="F58" s="140">
        <f>+SUMIFS(FINANCIACION[$ CAPITAL],FINANCIACION[Fecha],"&lt;="&amp;FINANCIACION[[#This Row],[Fecha]],FINANCIACION[PRESTAMO],FINANCIACION[[#This Row],[PRESTAMO]])</f>
        <v>-94935167</v>
      </c>
      <c r="G58" s="140"/>
      <c r="H58" s="141"/>
      <c r="I58" s="142"/>
      <c r="J58" s="140" t="b">
        <f>+IF(FINANCIACION[[#This Row],[$ CAPITAL]]&gt;0,FINANCIACION[[#This Row],[$ CAPITAL]])</f>
        <v>0</v>
      </c>
      <c r="K58" s="143">
        <f>+IF(FINANCIACION[[#This Row],[$ CAPITAL]]&gt;=0,FINANCIACION[[#This Row],[$ CAPITAL]]+FINANCIACION[[#This Row],[$ INTERESES]],0)</f>
        <v>950000</v>
      </c>
    </row>
    <row r="59" spans="1:11" ht="24" customHeight="1" x14ac:dyDescent="0.25">
      <c r="A59" s="138">
        <v>43840</v>
      </c>
      <c r="B59" s="139" t="s">
        <v>138</v>
      </c>
      <c r="C59" s="140"/>
      <c r="D59" s="140">
        <v>200000</v>
      </c>
      <c r="E59" s="140">
        <f>+IF(FINANCIACION[[#This Row],[$ CAPITAL]]&gt;=0,FINANCIACION[[#This Row],[$ CAPITAL]]+FINANCIACION[[#This Row],[$ INTERESES]],"")</f>
        <v>200000</v>
      </c>
      <c r="F59" s="140">
        <f>+SUMIFS(FINANCIACION[$ CAPITAL],FINANCIACION[Fecha],"&lt;="&amp;FINANCIACION[[#This Row],[Fecha]],FINANCIACION[PRESTAMO],FINANCIACION[[#This Row],[PRESTAMO]])</f>
        <v>-84000000</v>
      </c>
      <c r="G59" s="140"/>
      <c r="H59" s="141"/>
      <c r="I59" s="142"/>
      <c r="J59" s="140" t="b">
        <f>+IF(FINANCIACION[[#This Row],[$ CAPITAL]]&gt;0,FINANCIACION[[#This Row],[$ CAPITAL]])</f>
        <v>0</v>
      </c>
      <c r="K59" s="143">
        <f>+IF(FINANCIACION[[#This Row],[$ CAPITAL]]&gt;=0,FINANCIACION[[#This Row],[$ CAPITAL]]+FINANCIACION[[#This Row],[$ INTERESES]],0)</f>
        <v>200000</v>
      </c>
    </row>
    <row r="60" spans="1:11" ht="24" customHeight="1" x14ac:dyDescent="0.25">
      <c r="A60" s="138">
        <v>43844</v>
      </c>
      <c r="B60" s="139" t="s">
        <v>136</v>
      </c>
      <c r="C60" s="140">
        <v>310000</v>
      </c>
      <c r="D60" s="140">
        <v>90000</v>
      </c>
      <c r="E60" s="140">
        <f>+IF(FINANCIACION[[#This Row],[$ CAPITAL]]&gt;=0,FINANCIACION[[#This Row],[$ CAPITAL]]+FINANCIACION[[#This Row],[$ INTERESES]],"")</f>
        <v>400000</v>
      </c>
      <c r="F60" s="140">
        <f>+SUMIFS(FINANCIACION[$ CAPITAL],FINANCIACION[Fecha],"&lt;="&amp;FINANCIACION[[#This Row],[Fecha]],FINANCIACION[PRESTAMO],FINANCIACION[[#This Row],[PRESTAMO]])</f>
        <v>-67199154</v>
      </c>
      <c r="G60" s="140"/>
      <c r="H60" s="141"/>
      <c r="I60" s="142"/>
      <c r="J60" s="140">
        <f>+IF(FINANCIACION[[#This Row],[$ CAPITAL]]&gt;0,FINANCIACION[[#This Row],[$ CAPITAL]])</f>
        <v>310000</v>
      </c>
      <c r="K60" s="143">
        <f>+IF(FINANCIACION[[#This Row],[$ CAPITAL]]&gt;=0,FINANCIACION[[#This Row],[$ CAPITAL]]+FINANCIACION[[#This Row],[$ INTERESES]],0)</f>
        <v>400000</v>
      </c>
    </row>
    <row r="61" spans="1:11" ht="24" customHeight="1" x14ac:dyDescent="0.25">
      <c r="A61" s="138">
        <v>43848</v>
      </c>
      <c r="B61" s="139" t="s">
        <v>137</v>
      </c>
      <c r="C61" s="140">
        <v>1471610</v>
      </c>
      <c r="D61" s="140">
        <v>4614238</v>
      </c>
      <c r="E61" s="140">
        <f>+IF(FINANCIACION[[#This Row],[$ CAPITAL]]&gt;=0,FINANCIACION[[#This Row],[$ CAPITAL]]+FINANCIACION[[#This Row],[$ INTERESES]],"")</f>
        <v>6085848</v>
      </c>
      <c r="F61" s="140">
        <f>+SUMIFS(FINANCIACION[$ CAPITAL],FINANCIACION[Fecha],"&lt;="&amp;FINANCIACION[[#This Row],[Fecha]],FINANCIACION[PRESTAMO],FINANCIACION[[#This Row],[PRESTAMO]])</f>
        <v>-387657315.14314044</v>
      </c>
      <c r="G61" s="140"/>
      <c r="H61" s="141"/>
      <c r="I61" s="142"/>
      <c r="J61" s="140">
        <f>+IF(FINANCIACION[[#This Row],[$ CAPITAL]]&gt;0,FINANCIACION[[#This Row],[$ CAPITAL]])</f>
        <v>1471610</v>
      </c>
      <c r="K61" s="143">
        <f>+IF(FINANCIACION[[#This Row],[$ CAPITAL]]&gt;=0,FINANCIACION[[#This Row],[$ CAPITAL]]+FINANCIACION[[#This Row],[$ INTERESES]],0)</f>
        <v>6085848</v>
      </c>
    </row>
    <row r="62" spans="1:11" ht="24" customHeight="1" x14ac:dyDescent="0.25">
      <c r="A62" s="138">
        <v>43850</v>
      </c>
      <c r="B62" s="139" t="s">
        <v>136</v>
      </c>
      <c r="C62" s="140">
        <v>260000</v>
      </c>
      <c r="D62" s="140">
        <v>740000</v>
      </c>
      <c r="E62" s="140">
        <f>+IF(FINANCIACION[[#This Row],[$ CAPITAL]]&gt;=0,FINANCIACION[[#This Row],[$ CAPITAL]]+FINANCIACION[[#This Row],[$ INTERESES]],"")</f>
        <v>1000000</v>
      </c>
      <c r="F62" s="140">
        <f>+SUMIFS(FINANCIACION[$ CAPITAL],FINANCIACION[Fecha],"&lt;="&amp;FINANCIACION[[#This Row],[Fecha]],FINANCIACION[PRESTAMO],FINANCIACION[[#This Row],[PRESTAMO]])</f>
        <v>-66939154</v>
      </c>
      <c r="G62" s="140"/>
      <c r="H62" s="141"/>
      <c r="I62" s="142"/>
      <c r="J62" s="140">
        <f>+IF(FINANCIACION[[#This Row],[$ CAPITAL]]&gt;0,FINANCIACION[[#This Row],[$ CAPITAL]])</f>
        <v>260000</v>
      </c>
      <c r="K62" s="143">
        <f>+IF(FINANCIACION[[#This Row],[$ CAPITAL]]&gt;=0,FINANCIACION[[#This Row],[$ CAPITAL]]+FINANCIACION[[#This Row],[$ INTERESES]],0)</f>
        <v>1000000</v>
      </c>
    </row>
    <row r="63" spans="1:11" ht="24" customHeight="1" x14ac:dyDescent="0.25">
      <c r="A63" s="138">
        <v>43858</v>
      </c>
      <c r="B63" s="139" t="s">
        <v>138</v>
      </c>
      <c r="C63" s="140"/>
      <c r="D63" s="140">
        <v>640000</v>
      </c>
      <c r="E63" s="140">
        <f>+IF(FINANCIACION[[#This Row],[$ CAPITAL]]&gt;=0,FINANCIACION[[#This Row],[$ CAPITAL]]+FINANCIACION[[#This Row],[$ INTERESES]],"")</f>
        <v>640000</v>
      </c>
      <c r="F63" s="140">
        <f>+SUMIFS(FINANCIACION[$ CAPITAL],FINANCIACION[Fecha],"&lt;="&amp;FINANCIACION[[#This Row],[Fecha]],FINANCIACION[PRESTAMO],FINANCIACION[[#This Row],[PRESTAMO]])</f>
        <v>-84000000</v>
      </c>
      <c r="G63" s="140"/>
      <c r="H63" s="141"/>
      <c r="I63" s="142"/>
      <c r="J63" s="140" t="b">
        <f>+IF(FINANCIACION[[#This Row],[$ CAPITAL]]&gt;0,FINANCIACION[[#This Row],[$ CAPITAL]])</f>
        <v>0</v>
      </c>
      <c r="K63" s="143">
        <f>+IF(FINANCIACION[[#This Row],[$ CAPITAL]]&gt;=0,FINANCIACION[[#This Row],[$ CAPITAL]]+FINANCIACION[[#This Row],[$ INTERESES]],0)</f>
        <v>640000</v>
      </c>
    </row>
    <row r="64" spans="1:11" ht="24" customHeight="1" x14ac:dyDescent="0.25">
      <c r="A64" s="138">
        <v>43871</v>
      </c>
      <c r="B64" s="139" t="s">
        <v>135</v>
      </c>
      <c r="C64" s="140"/>
      <c r="D64" s="140">
        <v>950000</v>
      </c>
      <c r="E64" s="140">
        <f>+IF(FINANCIACION[[#This Row],[$ CAPITAL]]&gt;=0,FINANCIACION[[#This Row],[$ CAPITAL]]+FINANCIACION[[#This Row],[$ INTERESES]],"")</f>
        <v>950000</v>
      </c>
      <c r="F64" s="140">
        <f>+SUMIFS(FINANCIACION[$ CAPITAL],FINANCIACION[Fecha],"&lt;="&amp;FINANCIACION[[#This Row],[Fecha]],FINANCIACION[PRESTAMO],FINANCIACION[[#This Row],[PRESTAMO]])</f>
        <v>-94935167</v>
      </c>
      <c r="G64" s="140"/>
      <c r="H64" s="141"/>
      <c r="I64" s="142"/>
      <c r="J64" s="140" t="b">
        <f>+IF(FINANCIACION[[#This Row],[$ CAPITAL]]&gt;0,FINANCIACION[[#This Row],[$ CAPITAL]])</f>
        <v>0</v>
      </c>
      <c r="K64" s="143">
        <f>+IF(FINANCIACION[[#This Row],[$ CAPITAL]]&gt;=0,FINANCIACION[[#This Row],[$ CAPITAL]]+FINANCIACION[[#This Row],[$ INTERESES]],0)</f>
        <v>950000</v>
      </c>
    </row>
    <row r="65" spans="1:11" ht="24" customHeight="1" x14ac:dyDescent="0.25">
      <c r="A65" s="138">
        <v>43879</v>
      </c>
      <c r="B65" s="139" t="s">
        <v>137</v>
      </c>
      <c r="C65" s="140">
        <v>1491748</v>
      </c>
      <c r="D65" s="140">
        <v>4588198</v>
      </c>
      <c r="E65" s="140">
        <f>+IF(FINANCIACION[[#This Row],[$ CAPITAL]]&gt;=0,FINANCIACION[[#This Row],[$ CAPITAL]]+FINANCIACION[[#This Row],[$ INTERESES]],"")</f>
        <v>6079946</v>
      </c>
      <c r="F65" s="140">
        <f>+SUMIFS(FINANCIACION[$ CAPITAL],FINANCIACION[Fecha],"&lt;="&amp;FINANCIACION[[#This Row],[Fecha]],FINANCIACION[PRESTAMO],FINANCIACION[[#This Row],[PRESTAMO]])</f>
        <v>-386165567.14314044</v>
      </c>
      <c r="G65" s="140"/>
      <c r="H65" s="141"/>
      <c r="I65" s="142"/>
      <c r="J65" s="140">
        <f>+IF(FINANCIACION[[#This Row],[$ CAPITAL]]&gt;0,FINANCIACION[[#This Row],[$ CAPITAL]])</f>
        <v>1491748</v>
      </c>
      <c r="K65" s="143">
        <f>+IF(FINANCIACION[[#This Row],[$ CAPITAL]]&gt;=0,FINANCIACION[[#This Row],[$ CAPITAL]]+FINANCIACION[[#This Row],[$ INTERESES]],0)</f>
        <v>6079946</v>
      </c>
    </row>
    <row r="66" spans="1:11" ht="24" customHeight="1" x14ac:dyDescent="0.25">
      <c r="A66" s="138">
        <v>43881</v>
      </c>
      <c r="B66" s="139" t="s">
        <v>136</v>
      </c>
      <c r="C66" s="140">
        <v>260000</v>
      </c>
      <c r="D66" s="140">
        <v>740000</v>
      </c>
      <c r="E66" s="140">
        <f>+IF(FINANCIACION[[#This Row],[$ CAPITAL]]&gt;=0,FINANCIACION[[#This Row],[$ CAPITAL]]+FINANCIACION[[#This Row],[$ INTERESES]],"")</f>
        <v>1000000</v>
      </c>
      <c r="F66" s="140">
        <f>+SUMIFS(FINANCIACION[$ CAPITAL],FINANCIACION[Fecha],"&lt;="&amp;FINANCIACION[[#This Row],[Fecha]],FINANCIACION[PRESTAMO],FINANCIACION[[#This Row],[PRESTAMO]])</f>
        <v>-66369154</v>
      </c>
      <c r="G66" s="140"/>
      <c r="H66" s="141"/>
      <c r="I66" s="142"/>
      <c r="J66" s="140">
        <f>+IF(FINANCIACION[[#This Row],[$ CAPITAL]]&gt;0,FINANCIACION[[#This Row],[$ CAPITAL]])</f>
        <v>260000</v>
      </c>
      <c r="K66" s="143">
        <f>+IF(FINANCIACION[[#This Row],[$ CAPITAL]]&gt;=0,FINANCIACION[[#This Row],[$ CAPITAL]]+FINANCIACION[[#This Row],[$ INTERESES]],0)</f>
        <v>1000000</v>
      </c>
    </row>
    <row r="67" spans="1:11" ht="24" customHeight="1" x14ac:dyDescent="0.25">
      <c r="A67" s="138">
        <v>43881</v>
      </c>
      <c r="B67" s="139" t="s">
        <v>136</v>
      </c>
      <c r="C67" s="140">
        <v>310000</v>
      </c>
      <c r="D67" s="140">
        <v>86900</v>
      </c>
      <c r="E67" s="140">
        <f>+IF(FINANCIACION[[#This Row],[$ CAPITAL]]&gt;=0,FINANCIACION[[#This Row],[$ CAPITAL]]+FINANCIACION[[#This Row],[$ INTERESES]],"")</f>
        <v>396900</v>
      </c>
      <c r="F67" s="140">
        <f>+SUMIFS(FINANCIACION[$ CAPITAL],FINANCIACION[Fecha],"&lt;="&amp;FINANCIACION[[#This Row],[Fecha]],FINANCIACION[PRESTAMO],FINANCIACION[[#This Row],[PRESTAMO]])</f>
        <v>-66369154</v>
      </c>
      <c r="G67" s="140"/>
      <c r="H67" s="141"/>
      <c r="I67" s="142"/>
      <c r="J67" s="140">
        <f>+IF(FINANCIACION[[#This Row],[$ CAPITAL]]&gt;0,FINANCIACION[[#This Row],[$ CAPITAL]])</f>
        <v>310000</v>
      </c>
      <c r="K67" s="143">
        <f>+IF(FINANCIACION[[#This Row],[$ CAPITAL]]&gt;=0,FINANCIACION[[#This Row],[$ CAPITAL]]+FINANCIACION[[#This Row],[$ INTERESES]],0)</f>
        <v>396900</v>
      </c>
    </row>
    <row r="68" spans="1:11" ht="24" customHeight="1" x14ac:dyDescent="0.25">
      <c r="A68" s="138">
        <v>43890</v>
      </c>
      <c r="B68" s="139" t="s">
        <v>138</v>
      </c>
      <c r="C68" s="140"/>
      <c r="D68" s="140">
        <v>840000</v>
      </c>
      <c r="E68" s="140">
        <f>+IF(FINANCIACION[[#This Row],[$ CAPITAL]]&gt;=0,FINANCIACION[[#This Row],[$ CAPITAL]]+FINANCIACION[[#This Row],[$ INTERESES]],"")</f>
        <v>840000</v>
      </c>
      <c r="F68" s="140">
        <f>+SUMIFS(FINANCIACION[$ CAPITAL],FINANCIACION[Fecha],"&lt;="&amp;FINANCIACION[[#This Row],[Fecha]],FINANCIACION[PRESTAMO],FINANCIACION[[#This Row],[PRESTAMO]])</f>
        <v>-84000000</v>
      </c>
      <c r="G68" s="140"/>
      <c r="H68" s="141"/>
      <c r="I68" s="142"/>
      <c r="J68" s="140" t="b">
        <f>+IF(FINANCIACION[[#This Row],[$ CAPITAL]]&gt;0,FINANCIACION[[#This Row],[$ CAPITAL]])</f>
        <v>0</v>
      </c>
      <c r="K68" s="143">
        <f>+IF(FINANCIACION[[#This Row],[$ CAPITAL]]&gt;=0,FINANCIACION[[#This Row],[$ CAPITAL]]+FINANCIACION[[#This Row],[$ INTERESES]],0)</f>
        <v>840000</v>
      </c>
    </row>
    <row r="69" spans="1:11" ht="24" customHeight="1" x14ac:dyDescent="0.25">
      <c r="A69" s="138">
        <v>43890</v>
      </c>
      <c r="B69" s="139" t="s">
        <v>136</v>
      </c>
      <c r="C69" s="140">
        <v>-829906</v>
      </c>
      <c r="D69" s="140"/>
      <c r="E69" s="140" t="str">
        <f>+IF(FINANCIACION[[#This Row],[$ CAPITAL]]&gt;=0,FINANCIACION[[#This Row],[$ CAPITAL]]+FINANCIACION[[#This Row],[$ INTERESES]],"")</f>
        <v/>
      </c>
      <c r="F69" s="140">
        <f>+SUMIFS(FINANCIACION[$ CAPITAL],FINANCIACION[Fecha],"&lt;="&amp;FINANCIACION[[#This Row],[Fecha]],FINANCIACION[PRESTAMO],FINANCIACION[[#This Row],[PRESTAMO]])</f>
        <v>-67199060</v>
      </c>
      <c r="G69" s="140"/>
      <c r="H69" s="141"/>
      <c r="I69" s="142"/>
      <c r="J69" s="140" t="b">
        <f>+IF(FINANCIACION[[#This Row],[$ CAPITAL]]&gt;0,FINANCIACION[[#This Row],[$ CAPITAL]])</f>
        <v>0</v>
      </c>
      <c r="K69" s="143">
        <f>+IF(FINANCIACION[[#This Row],[$ CAPITAL]]&gt;=0,FINANCIACION[[#This Row],[$ CAPITAL]]+FINANCIACION[[#This Row],[$ INTERESES]],0)</f>
        <v>0</v>
      </c>
    </row>
    <row r="70" spans="1:11" ht="24" customHeight="1" x14ac:dyDescent="0.25">
      <c r="A70" s="138">
        <v>43900</v>
      </c>
      <c r="B70" s="139" t="s">
        <v>139</v>
      </c>
      <c r="C70" s="140">
        <v>-75000000</v>
      </c>
      <c r="D70" s="140"/>
      <c r="E70" s="140" t="str">
        <f>+IF(FINANCIACION[[#This Row],[$ CAPITAL]]&gt;=0,FINANCIACION[[#This Row],[$ CAPITAL]]+FINANCIACION[[#This Row],[$ INTERESES]],"")</f>
        <v/>
      </c>
      <c r="F70" s="140">
        <f>+SUMIFS(FINANCIACION[$ CAPITAL],FINANCIACION[Fecha],"&lt;="&amp;FINANCIACION[[#This Row],[Fecha]],FINANCIACION[PRESTAMO],FINANCIACION[[#This Row],[PRESTAMO]])</f>
        <v>-75000000</v>
      </c>
      <c r="G70" s="140"/>
      <c r="H70" s="141"/>
      <c r="I70" s="142"/>
      <c r="J70" s="140" t="b">
        <f>+IF(FINANCIACION[[#This Row],[$ CAPITAL]]&gt;0,FINANCIACION[[#This Row],[$ CAPITAL]])</f>
        <v>0</v>
      </c>
      <c r="K70" s="143">
        <f>+IF(FINANCIACION[[#This Row],[$ CAPITAL]]&gt;=0,FINANCIACION[[#This Row],[$ CAPITAL]]+FINANCIACION[[#This Row],[$ INTERESES]],0)</f>
        <v>0</v>
      </c>
    </row>
    <row r="71" spans="1:11" ht="24" customHeight="1" x14ac:dyDescent="0.25">
      <c r="A71" s="138">
        <v>43908</v>
      </c>
      <c r="B71" s="139" t="s">
        <v>137</v>
      </c>
      <c r="C71" s="140">
        <v>1513636.1431404999</v>
      </c>
      <c r="D71" s="140">
        <v>4992178.8568594996</v>
      </c>
      <c r="E71" s="140">
        <f>+IF(FINANCIACION[[#This Row],[$ CAPITAL]]&gt;=0,FINANCIACION[[#This Row],[$ CAPITAL]]+FINANCIACION[[#This Row],[$ INTERESES]],"")</f>
        <v>6505815</v>
      </c>
      <c r="F71" s="140">
        <f>+SUMIFS(FINANCIACION[$ CAPITAL],FINANCIACION[Fecha],"&lt;="&amp;FINANCIACION[[#This Row],[Fecha]],FINANCIACION[PRESTAMO],FINANCIACION[[#This Row],[PRESTAMO]])</f>
        <v>-384651930.99999994</v>
      </c>
      <c r="G71" s="140"/>
      <c r="H71" s="141"/>
      <c r="I71" s="142"/>
      <c r="J71" s="140">
        <f>+IF(FINANCIACION[[#This Row],[$ CAPITAL]]&gt;0,FINANCIACION[[#This Row],[$ CAPITAL]])</f>
        <v>1513636.1431404999</v>
      </c>
      <c r="K71" s="143">
        <f>+IF(FINANCIACION[[#This Row],[$ CAPITAL]]&gt;=0,FINANCIACION[[#This Row],[$ CAPITAL]]+FINANCIACION[[#This Row],[$ INTERESES]],0)</f>
        <v>6505815</v>
      </c>
    </row>
    <row r="72" spans="1:11" ht="24" customHeight="1" x14ac:dyDescent="0.25">
      <c r="A72" s="138">
        <v>43971</v>
      </c>
      <c r="B72" s="139" t="s">
        <v>138</v>
      </c>
      <c r="C72" s="140"/>
      <c r="D72" s="140">
        <v>840000</v>
      </c>
      <c r="E72" s="140">
        <f>+IF(FINANCIACION[[#This Row],[$ CAPITAL]]&gt;=0,FINANCIACION[[#This Row],[$ CAPITAL]]+FINANCIACION[[#This Row],[$ INTERESES]],"")</f>
        <v>840000</v>
      </c>
      <c r="F72" s="140">
        <f>+SUMIFS(FINANCIACION[$ CAPITAL],FINANCIACION[Fecha],"&lt;="&amp;FINANCIACION[[#This Row],[Fecha]],FINANCIACION[PRESTAMO],FINANCIACION[[#This Row],[PRESTAMO]])</f>
        <v>-84000000</v>
      </c>
      <c r="G72" s="140"/>
      <c r="H72" s="141"/>
      <c r="I72" s="142"/>
      <c r="J72" s="140" t="b">
        <f>+IF(FINANCIACION[[#This Row],[$ CAPITAL]]&gt;0,FINANCIACION[[#This Row],[$ CAPITAL]])</f>
        <v>0</v>
      </c>
      <c r="K72" s="143">
        <f>+IF(FINANCIACION[[#This Row],[$ CAPITAL]]&gt;=0,FINANCIACION[[#This Row],[$ CAPITAL]]+FINANCIACION[[#This Row],[$ INTERESES]],0)</f>
        <v>840000</v>
      </c>
    </row>
    <row r="73" spans="1:11" ht="24" customHeight="1" x14ac:dyDescent="0.25">
      <c r="A73" s="138">
        <v>44000</v>
      </c>
      <c r="B73" s="139" t="s">
        <v>138</v>
      </c>
      <c r="C73" s="140"/>
      <c r="D73" s="140">
        <v>840000</v>
      </c>
      <c r="E73" s="140">
        <f>+IF(FINANCIACION[[#This Row],[$ CAPITAL]]&gt;=0,FINANCIACION[[#This Row],[$ CAPITAL]]+FINANCIACION[[#This Row],[$ INTERESES]],"")</f>
        <v>840000</v>
      </c>
      <c r="F73" s="140">
        <f>+SUMIFS(FINANCIACION[$ CAPITAL],FINANCIACION[Fecha],"&lt;="&amp;FINANCIACION[[#This Row],[Fecha]],FINANCIACION[PRESTAMO],FINANCIACION[[#This Row],[PRESTAMO]])</f>
        <v>-84000000</v>
      </c>
      <c r="G73" s="140"/>
      <c r="H73" s="141"/>
      <c r="I73" s="142"/>
      <c r="J73" s="140" t="b">
        <f>+IF(FINANCIACION[[#This Row],[$ CAPITAL]]&gt;0,FINANCIACION[[#This Row],[$ CAPITAL]])</f>
        <v>0</v>
      </c>
      <c r="K73" s="143">
        <f>+IF(FINANCIACION[[#This Row],[$ CAPITAL]]&gt;=0,FINANCIACION[[#This Row],[$ CAPITAL]]+FINANCIACION[[#This Row],[$ INTERESES]],0)</f>
        <v>840000</v>
      </c>
    </row>
    <row r="74" spans="1:11" ht="24" customHeight="1" x14ac:dyDescent="0.25">
      <c r="A74" s="138">
        <v>44000</v>
      </c>
      <c r="B74" s="139" t="s">
        <v>136</v>
      </c>
      <c r="C74" s="140">
        <v>260000</v>
      </c>
      <c r="D74" s="140">
        <v>740000</v>
      </c>
      <c r="E74" s="140">
        <f>+IF(FINANCIACION[[#This Row],[$ CAPITAL]]&gt;=0,FINANCIACION[[#This Row],[$ CAPITAL]]+FINANCIACION[[#This Row],[$ INTERESES]],"")</f>
        <v>1000000</v>
      </c>
      <c r="F74" s="140">
        <f>+SUMIFS(FINANCIACION[$ CAPITAL],FINANCIACION[Fecha],"&lt;="&amp;FINANCIACION[[#This Row],[Fecha]],FINANCIACION[PRESTAMO],FINANCIACION[[#This Row],[PRESTAMO]])</f>
        <v>-66939060</v>
      </c>
      <c r="G74" s="140"/>
      <c r="H74" s="141"/>
      <c r="I74" s="142"/>
      <c r="J74" s="140">
        <f>+IF(FINANCIACION[[#This Row],[$ CAPITAL]]&gt;0,FINANCIACION[[#This Row],[$ CAPITAL]])</f>
        <v>260000</v>
      </c>
      <c r="K74" s="143">
        <f>+IF(FINANCIACION[[#This Row],[$ CAPITAL]]&gt;=0,FINANCIACION[[#This Row],[$ CAPITAL]]+FINANCIACION[[#This Row],[$ INTERESES]],0)</f>
        <v>1000000</v>
      </c>
    </row>
    <row r="75" spans="1:11" ht="24" customHeight="1" x14ac:dyDescent="0.25">
      <c r="A75" s="138">
        <v>44013</v>
      </c>
      <c r="B75" s="139" t="s">
        <v>138</v>
      </c>
      <c r="C75" s="140">
        <v>69000000</v>
      </c>
      <c r="D75" s="140">
        <v>840000</v>
      </c>
      <c r="E75" s="140">
        <f>+IF(FINANCIACION[[#This Row],[$ CAPITAL]]&gt;=0,FINANCIACION[[#This Row],[$ CAPITAL]]+FINANCIACION[[#This Row],[$ INTERESES]],"")</f>
        <v>69840000</v>
      </c>
      <c r="F75" s="140">
        <f>+SUMIFS(FINANCIACION[$ CAPITAL],FINANCIACION[Fecha],"&lt;="&amp;FINANCIACION[[#This Row],[Fecha]],FINANCIACION[PRESTAMO],FINANCIACION[[#This Row],[PRESTAMO]])</f>
        <v>-15000000</v>
      </c>
      <c r="G75" s="140"/>
      <c r="H75" s="141"/>
      <c r="I75" s="142"/>
      <c r="J75" s="140">
        <f>+IF(FINANCIACION[[#This Row],[$ CAPITAL]]&gt;0,FINANCIACION[[#This Row],[$ CAPITAL]])</f>
        <v>69000000</v>
      </c>
      <c r="K75" s="143">
        <f>+IF(FINANCIACION[[#This Row],[$ CAPITAL]]&gt;=0,FINANCIACION[[#This Row],[$ CAPITAL]]+FINANCIACION[[#This Row],[$ INTERESES]],0)</f>
        <v>69840000</v>
      </c>
    </row>
    <row r="76" spans="1:11" ht="24" customHeight="1" x14ac:dyDescent="0.25">
      <c r="A76" s="138">
        <v>44041</v>
      </c>
      <c r="B76" s="139" t="s">
        <v>136</v>
      </c>
      <c r="C76" s="140">
        <v>360000</v>
      </c>
      <c r="D76" s="140">
        <v>740000</v>
      </c>
      <c r="E76" s="140">
        <f>+IF(FINANCIACION[[#This Row],[$ CAPITAL]]&gt;=0,FINANCIACION[[#This Row],[$ CAPITAL]]+FINANCIACION[[#This Row],[$ INTERESES]],"")</f>
        <v>1100000</v>
      </c>
      <c r="F76" s="140">
        <f>+SUMIFS(FINANCIACION[$ CAPITAL],FINANCIACION[Fecha],"&lt;="&amp;FINANCIACION[[#This Row],[Fecha]],FINANCIACION[PRESTAMO],FINANCIACION[[#This Row],[PRESTAMO]])</f>
        <v>-66579060</v>
      </c>
      <c r="G76" s="140"/>
      <c r="H76" s="141"/>
      <c r="I76" s="142"/>
      <c r="J76" s="140">
        <f>+IF(FINANCIACION[[#This Row],[$ CAPITAL]]&gt;0,FINANCIACION[[#This Row],[$ CAPITAL]])</f>
        <v>360000</v>
      </c>
      <c r="K76" s="143">
        <f>+IF(FINANCIACION[[#This Row],[$ CAPITAL]]&gt;=0,FINANCIACION[[#This Row],[$ CAPITAL]]+FINANCIACION[[#This Row],[$ INTERESES]],0)</f>
        <v>1100000</v>
      </c>
    </row>
    <row r="77" spans="1:11" ht="24" customHeight="1" x14ac:dyDescent="0.25">
      <c r="A77" s="138">
        <v>44043</v>
      </c>
      <c r="B77" s="139" t="s">
        <v>138</v>
      </c>
      <c r="C77" s="140"/>
      <c r="D77" s="140">
        <v>150000</v>
      </c>
      <c r="E77" s="140">
        <f>+IF(FINANCIACION[[#This Row],[$ CAPITAL]]&gt;=0,FINANCIACION[[#This Row],[$ CAPITAL]]+FINANCIACION[[#This Row],[$ INTERESES]],"")</f>
        <v>150000</v>
      </c>
      <c r="F77" s="140">
        <f>+SUMIFS(FINANCIACION[$ CAPITAL],FINANCIACION[Fecha],"&lt;="&amp;FINANCIACION[[#This Row],[Fecha]],FINANCIACION[PRESTAMO],FINANCIACION[[#This Row],[PRESTAMO]])</f>
        <v>-15000000</v>
      </c>
      <c r="G77" s="140"/>
      <c r="H77" s="141"/>
      <c r="I77" s="142"/>
      <c r="J77" s="140" t="b">
        <f>+IF(FINANCIACION[[#This Row],[$ CAPITAL]]&gt;0,FINANCIACION[[#This Row],[$ CAPITAL]])</f>
        <v>0</v>
      </c>
      <c r="K77" s="143">
        <f>+IF(FINANCIACION[[#This Row],[$ CAPITAL]]&gt;=0,FINANCIACION[[#This Row],[$ CAPITAL]]+FINANCIACION[[#This Row],[$ INTERESES]],0)</f>
        <v>150000</v>
      </c>
    </row>
    <row r="78" spans="1:11" ht="24" customHeight="1" x14ac:dyDescent="0.25">
      <c r="A78" s="138">
        <v>44043</v>
      </c>
      <c r="B78" s="139" t="s">
        <v>137</v>
      </c>
      <c r="C78" s="140">
        <v>-183255600</v>
      </c>
      <c r="D78" s="140"/>
      <c r="E78" s="140" t="str">
        <f>+IF(FINANCIACION[[#This Row],[$ CAPITAL]]&gt;=0,FINANCIACION[[#This Row],[$ CAPITAL]]+FINANCIACION[[#This Row],[$ INTERESES]],"")</f>
        <v/>
      </c>
      <c r="F78" s="140">
        <f>+SUMIFS(FINANCIACION[$ CAPITAL],FINANCIACION[Fecha],"&lt;="&amp;FINANCIACION[[#This Row],[Fecha]],FINANCIACION[PRESTAMO],FINANCIACION[[#This Row],[PRESTAMO]])</f>
        <v>-380443064</v>
      </c>
      <c r="G78" s="140"/>
      <c r="H78" s="141"/>
      <c r="I78" s="142"/>
      <c r="J78" s="140" t="b">
        <f>+IF(FINANCIACION[[#This Row],[$ CAPITAL]]&gt;0,FINANCIACION[[#This Row],[$ CAPITAL]])</f>
        <v>0</v>
      </c>
      <c r="K78" s="143">
        <f>+IF(FINANCIACION[[#This Row],[$ CAPITAL]]&gt;=0,FINANCIACION[[#This Row],[$ CAPITAL]]+FINANCIACION[[#This Row],[$ INTERESES]],0)</f>
        <v>0</v>
      </c>
    </row>
    <row r="79" spans="1:11" ht="24" customHeight="1" x14ac:dyDescent="0.25">
      <c r="A79" s="138">
        <v>44043</v>
      </c>
      <c r="B79" s="139" t="s">
        <v>137</v>
      </c>
      <c r="C79" s="140">
        <v>187464467</v>
      </c>
      <c r="D79" s="140"/>
      <c r="E79" s="140">
        <f>+IF(FINANCIACION[[#This Row],[$ CAPITAL]]&gt;=0,FINANCIACION[[#This Row],[$ CAPITAL]]+FINANCIACION[[#This Row],[$ INTERESES]],"")</f>
        <v>187464467</v>
      </c>
      <c r="F79" s="140">
        <f>+SUMIFS(FINANCIACION[$ CAPITAL],FINANCIACION[Fecha],"&lt;="&amp;FINANCIACION[[#This Row],[Fecha]],FINANCIACION[PRESTAMO],FINANCIACION[[#This Row],[PRESTAMO]])</f>
        <v>-380443064</v>
      </c>
      <c r="G79" s="140"/>
      <c r="H79" s="141"/>
      <c r="I79" s="142"/>
      <c r="J79" s="140">
        <f>+IF(FINANCIACION[[#This Row],[$ CAPITAL]]&gt;0,FINANCIACION[[#This Row],[$ CAPITAL]])</f>
        <v>187464467</v>
      </c>
      <c r="K79" s="143">
        <f>+IF(FINANCIACION[[#This Row],[$ CAPITAL]]&gt;=0,FINANCIACION[[#This Row],[$ CAPITAL]]+FINANCIACION[[#This Row],[$ INTERESES]],0)</f>
        <v>187464467</v>
      </c>
    </row>
    <row r="80" spans="1:11" ht="24" customHeight="1" x14ac:dyDescent="0.25">
      <c r="A80" s="138">
        <v>44073</v>
      </c>
      <c r="B80" s="139" t="s">
        <v>140</v>
      </c>
      <c r="C80" s="140">
        <v>-8000000</v>
      </c>
      <c r="D80" s="140"/>
      <c r="E80" s="140" t="str">
        <f>+IF(FINANCIACION[[#This Row],[$ CAPITAL]]&gt;=0,FINANCIACION[[#This Row],[$ CAPITAL]]+FINANCIACION[[#This Row],[$ INTERESES]],"")</f>
        <v/>
      </c>
      <c r="F80" s="140">
        <f>+SUMIFS(FINANCIACION[$ CAPITAL],FINANCIACION[Fecha],"&lt;="&amp;FINANCIACION[[#This Row],[Fecha]],FINANCIACION[PRESTAMO],FINANCIACION[[#This Row],[PRESTAMO]])</f>
        <v>-8000000</v>
      </c>
      <c r="G80" s="140"/>
      <c r="H80" s="141"/>
      <c r="I80" s="142"/>
      <c r="J80" s="140" t="b">
        <f>+IF(FINANCIACION[[#This Row],[$ CAPITAL]]&gt;0,FINANCIACION[[#This Row],[$ CAPITAL]])</f>
        <v>0</v>
      </c>
      <c r="K80" s="143">
        <f>+IF(FINANCIACION[[#This Row],[$ CAPITAL]]&gt;=0,FINANCIACION[[#This Row],[$ CAPITAL]]+FINANCIACION[[#This Row],[$ INTERESES]],0)</f>
        <v>0</v>
      </c>
    </row>
    <row r="81" spans="1:11" ht="24" customHeight="1" x14ac:dyDescent="0.25">
      <c r="A81" s="138">
        <v>44078</v>
      </c>
      <c r="B81" s="139" t="s">
        <v>138</v>
      </c>
      <c r="C81" s="140"/>
      <c r="D81" s="140">
        <v>150000</v>
      </c>
      <c r="E81" s="140">
        <f>+IF(FINANCIACION[[#This Row],[$ CAPITAL]]&gt;=0,FINANCIACION[[#This Row],[$ CAPITAL]]+FINANCIACION[[#This Row],[$ INTERESES]],"")</f>
        <v>150000</v>
      </c>
      <c r="F81" s="140">
        <f>+SUMIFS(FINANCIACION[$ CAPITAL],FINANCIACION[Fecha],"&lt;="&amp;FINANCIACION[[#This Row],[Fecha]],FINANCIACION[PRESTAMO],FINANCIACION[[#This Row],[PRESTAMO]])</f>
        <v>-15000000</v>
      </c>
      <c r="G81" s="140"/>
      <c r="H81" s="141"/>
      <c r="I81" s="142"/>
      <c r="J81" s="140" t="b">
        <f>+IF(FINANCIACION[[#This Row],[$ CAPITAL]]&gt;0,FINANCIACION[[#This Row],[$ CAPITAL]])</f>
        <v>0</v>
      </c>
      <c r="K81" s="143">
        <f>+IF(FINANCIACION[[#This Row],[$ CAPITAL]]&gt;=0,FINANCIACION[[#This Row],[$ CAPITAL]]+FINANCIACION[[#This Row],[$ INTERESES]],0)</f>
        <v>150000</v>
      </c>
    </row>
    <row r="82" spans="1:11" ht="24" customHeight="1" x14ac:dyDescent="0.25">
      <c r="A82" s="138">
        <v>44078</v>
      </c>
      <c r="B82" s="139" t="s">
        <v>136</v>
      </c>
      <c r="C82" s="140">
        <v>334200</v>
      </c>
      <c r="D82" s="140">
        <v>665800</v>
      </c>
      <c r="E82" s="140">
        <f>+IF(FINANCIACION[[#This Row],[$ CAPITAL]]&gt;=0,FINANCIACION[[#This Row],[$ CAPITAL]]+FINANCIACION[[#This Row],[$ INTERESES]],"")</f>
        <v>1000000</v>
      </c>
      <c r="F82" s="140">
        <f>+SUMIFS(FINANCIACION[$ CAPITAL],FINANCIACION[Fecha],"&lt;="&amp;FINANCIACION[[#This Row],[Fecha]],FINANCIACION[PRESTAMO],FINANCIACION[[#This Row],[PRESTAMO]])</f>
        <v>-66244860</v>
      </c>
      <c r="G82" s="140"/>
      <c r="H82" s="141"/>
      <c r="I82" s="142"/>
      <c r="J82" s="140">
        <f>+IF(FINANCIACION[[#This Row],[$ CAPITAL]]&gt;0,FINANCIACION[[#This Row],[$ CAPITAL]])</f>
        <v>334200</v>
      </c>
      <c r="K82" s="143">
        <f>+IF(FINANCIACION[[#This Row],[$ CAPITAL]]&gt;=0,FINANCIACION[[#This Row],[$ CAPITAL]]+FINANCIACION[[#This Row],[$ INTERESES]],0)</f>
        <v>1000000</v>
      </c>
    </row>
    <row r="83" spans="1:11" ht="24" customHeight="1" x14ac:dyDescent="0.25">
      <c r="A83" s="138">
        <v>44083</v>
      </c>
      <c r="B83" s="139" t="s">
        <v>135</v>
      </c>
      <c r="C83" s="140"/>
      <c r="D83" s="140">
        <v>950000</v>
      </c>
      <c r="E83" s="140">
        <f>+IF(FINANCIACION[[#This Row],[$ CAPITAL]]&gt;=0,FINANCIACION[[#This Row],[$ CAPITAL]]+FINANCIACION[[#This Row],[$ INTERESES]],"")</f>
        <v>950000</v>
      </c>
      <c r="F83" s="140">
        <f>+SUMIFS(FINANCIACION[$ CAPITAL],FINANCIACION[Fecha],"&lt;="&amp;FINANCIACION[[#This Row],[Fecha]],FINANCIACION[PRESTAMO],FINANCIACION[[#This Row],[PRESTAMO]])</f>
        <v>-94935167</v>
      </c>
      <c r="G83" s="140"/>
      <c r="H83" s="141"/>
      <c r="I83" s="142"/>
      <c r="J83" s="140" t="b">
        <f>+IF(FINANCIACION[[#This Row],[$ CAPITAL]]&gt;0,FINANCIACION[[#This Row],[$ CAPITAL]])</f>
        <v>0</v>
      </c>
      <c r="K83" s="143">
        <f>+IF(FINANCIACION[[#This Row],[$ CAPITAL]]&gt;=0,FINANCIACION[[#This Row],[$ CAPITAL]]+FINANCIACION[[#This Row],[$ INTERESES]],0)</f>
        <v>950000</v>
      </c>
    </row>
    <row r="84" spans="1:11" ht="24" customHeight="1" x14ac:dyDescent="0.25">
      <c r="A84" s="138">
        <v>44092</v>
      </c>
      <c r="B84" s="139" t="s">
        <v>137</v>
      </c>
      <c r="C84" s="140">
        <v>3000000</v>
      </c>
      <c r="D84" s="140"/>
      <c r="E84" s="140">
        <f>+IF(FINANCIACION[[#This Row],[$ CAPITAL]]&gt;=0,FINANCIACION[[#This Row],[$ CAPITAL]]+FINANCIACION[[#This Row],[$ INTERESES]],"")</f>
        <v>3000000</v>
      </c>
      <c r="F84" s="140">
        <f>+SUMIFS(FINANCIACION[$ CAPITAL],FINANCIACION[Fecha],"&lt;="&amp;FINANCIACION[[#This Row],[Fecha]],FINANCIACION[PRESTAMO],FINANCIACION[[#This Row],[PRESTAMO]])</f>
        <v>-377443064</v>
      </c>
      <c r="G84" s="140"/>
      <c r="H84" s="141"/>
      <c r="I84" s="142"/>
      <c r="J84" s="140">
        <f>+IF(FINANCIACION[[#This Row],[$ CAPITAL]]&gt;0,FINANCIACION[[#This Row],[$ CAPITAL]])</f>
        <v>3000000</v>
      </c>
      <c r="K84" s="143">
        <f>+IF(FINANCIACION[[#This Row],[$ CAPITAL]]&gt;=0,FINANCIACION[[#This Row],[$ CAPITAL]]+FINANCIACION[[#This Row],[$ INTERESES]],0)</f>
        <v>3000000</v>
      </c>
    </row>
    <row r="85" spans="1:11" ht="24" customHeight="1" x14ac:dyDescent="0.25">
      <c r="A85" s="138">
        <v>44104</v>
      </c>
      <c r="B85" s="139" t="s">
        <v>137</v>
      </c>
      <c r="C85" s="140">
        <v>-39568203</v>
      </c>
      <c r="D85" s="140"/>
      <c r="E85" s="140" t="str">
        <f>+IF(FINANCIACION[[#This Row],[$ CAPITAL]]&gt;=0,FINANCIACION[[#This Row],[$ CAPITAL]]+FINANCIACION[[#This Row],[$ INTERESES]],"")</f>
        <v/>
      </c>
      <c r="F85" s="140">
        <f>+SUMIFS(FINANCIACION[$ CAPITAL],FINANCIACION[Fecha],"&lt;="&amp;FINANCIACION[[#This Row],[Fecha]],FINANCIACION[PRESTAMO],FINANCIACION[[#This Row],[PRESTAMO]])</f>
        <v>-417011267</v>
      </c>
      <c r="G85" s="140"/>
      <c r="H85" s="141"/>
      <c r="I85" s="142"/>
      <c r="J85" s="140" t="b">
        <f>+IF(FINANCIACION[[#This Row],[$ CAPITAL]]&gt;0,FINANCIACION[[#This Row],[$ CAPITAL]])</f>
        <v>0</v>
      </c>
      <c r="K85" s="143">
        <f>+IF(FINANCIACION[[#This Row],[$ CAPITAL]]&gt;=0,FINANCIACION[[#This Row],[$ CAPITAL]]+FINANCIACION[[#This Row],[$ INTERESES]],0)</f>
        <v>0</v>
      </c>
    </row>
    <row r="86" spans="1:11" ht="24" customHeight="1" x14ac:dyDescent="0.25">
      <c r="A86" s="138">
        <v>44106</v>
      </c>
      <c r="B86" s="139" t="s">
        <v>138</v>
      </c>
      <c r="C86" s="140">
        <v>850000</v>
      </c>
      <c r="D86" s="140">
        <v>150000</v>
      </c>
      <c r="E86" s="140">
        <f>+IF(FINANCIACION[[#This Row],[$ CAPITAL]]&gt;=0,FINANCIACION[[#This Row],[$ CAPITAL]]+FINANCIACION[[#This Row],[$ INTERESES]],"")</f>
        <v>1000000</v>
      </c>
      <c r="F86" s="140">
        <f>+SUMIFS(FINANCIACION[$ CAPITAL],FINANCIACION[Fecha],"&lt;="&amp;FINANCIACION[[#This Row],[Fecha]],FINANCIACION[PRESTAMO],FINANCIACION[[#This Row],[PRESTAMO]])</f>
        <v>-14150000</v>
      </c>
      <c r="G86" s="140"/>
      <c r="H86" s="141"/>
      <c r="I86" s="142"/>
      <c r="J86" s="140">
        <f>+IF(FINANCIACION[[#This Row],[$ CAPITAL]]&gt;0,FINANCIACION[[#This Row],[$ CAPITAL]])</f>
        <v>850000</v>
      </c>
      <c r="K86" s="143">
        <f>+IF(FINANCIACION[[#This Row],[$ CAPITAL]]&gt;=0,FINANCIACION[[#This Row],[$ CAPITAL]]+FINANCIACION[[#This Row],[$ INTERESES]],0)</f>
        <v>1000000</v>
      </c>
    </row>
    <row r="87" spans="1:11" ht="24" customHeight="1" x14ac:dyDescent="0.25">
      <c r="A87" s="138">
        <v>44106</v>
      </c>
      <c r="B87" s="139" t="s">
        <v>136</v>
      </c>
      <c r="C87" s="140">
        <v>537550</v>
      </c>
      <c r="D87" s="140">
        <v>662450</v>
      </c>
      <c r="E87" s="140">
        <f>+IF(FINANCIACION[[#This Row],[$ CAPITAL]]&gt;=0,FINANCIACION[[#This Row],[$ CAPITAL]]+FINANCIACION[[#This Row],[$ INTERESES]],"")</f>
        <v>1200000</v>
      </c>
      <c r="F87" s="140">
        <f>+SUMIFS(FINANCIACION[$ CAPITAL],FINANCIACION[Fecha],"&lt;="&amp;FINANCIACION[[#This Row],[Fecha]],FINANCIACION[PRESTAMO],FINANCIACION[[#This Row],[PRESTAMO]])</f>
        <v>-65707310</v>
      </c>
      <c r="G87" s="140"/>
      <c r="H87" s="141"/>
      <c r="I87" s="142"/>
      <c r="J87" s="140">
        <f>+IF(FINANCIACION[[#This Row],[$ CAPITAL]]&gt;0,FINANCIACION[[#This Row],[$ CAPITAL]])</f>
        <v>537550</v>
      </c>
      <c r="K87" s="143">
        <f>+IF(FINANCIACION[[#This Row],[$ CAPITAL]]&gt;=0,FINANCIACION[[#This Row],[$ CAPITAL]]+FINANCIACION[[#This Row],[$ INTERESES]],0)</f>
        <v>1200000</v>
      </c>
    </row>
    <row r="88" spans="1:11" ht="24" customHeight="1" x14ac:dyDescent="0.25">
      <c r="A88" s="138">
        <v>44109</v>
      </c>
      <c r="B88" s="139" t="s">
        <v>135</v>
      </c>
      <c r="C88" s="140"/>
      <c r="D88" s="140">
        <v>950000</v>
      </c>
      <c r="E88" s="140">
        <f>+IF(FINANCIACION[[#This Row],[$ CAPITAL]]&gt;=0,FINANCIACION[[#This Row],[$ CAPITAL]]+FINANCIACION[[#This Row],[$ INTERESES]],"")</f>
        <v>950000</v>
      </c>
      <c r="F88" s="140">
        <f>+SUMIFS(FINANCIACION[$ CAPITAL],FINANCIACION[Fecha],"&lt;="&amp;FINANCIACION[[#This Row],[Fecha]],FINANCIACION[PRESTAMO],FINANCIACION[[#This Row],[PRESTAMO]])</f>
        <v>-94935167</v>
      </c>
      <c r="G88" s="140"/>
      <c r="H88" s="141"/>
      <c r="I88" s="142"/>
      <c r="J88" s="140" t="b">
        <f>+IF(FINANCIACION[[#This Row],[$ CAPITAL]]&gt;0,FINANCIACION[[#This Row],[$ CAPITAL]])</f>
        <v>0</v>
      </c>
      <c r="K88" s="143">
        <f>+IF(FINANCIACION[[#This Row],[$ CAPITAL]]&gt;=0,FINANCIACION[[#This Row],[$ CAPITAL]]+FINANCIACION[[#This Row],[$ INTERESES]],0)</f>
        <v>950000</v>
      </c>
    </row>
    <row r="89" spans="1:11" ht="24" customHeight="1" x14ac:dyDescent="0.25">
      <c r="A89" s="138">
        <v>44111</v>
      </c>
      <c r="B89" s="139" t="s">
        <v>137</v>
      </c>
      <c r="C89" s="140">
        <v>3000000</v>
      </c>
      <c r="D89" s="140"/>
      <c r="E89" s="140">
        <f>+IF(FINANCIACION[[#This Row],[$ CAPITAL]]&gt;=0,FINANCIACION[[#This Row],[$ CAPITAL]]+FINANCIACION[[#This Row],[$ INTERESES]],"")</f>
        <v>3000000</v>
      </c>
      <c r="F89" s="140">
        <f>+SUMIFS(FINANCIACION[$ CAPITAL],FINANCIACION[Fecha],"&lt;="&amp;FINANCIACION[[#This Row],[Fecha]],FINANCIACION[PRESTAMO],FINANCIACION[[#This Row],[PRESTAMO]])</f>
        <v>-414011267</v>
      </c>
      <c r="G89" s="140"/>
      <c r="H89" s="141"/>
      <c r="I89" s="142"/>
      <c r="J89" s="140">
        <f>+IF(FINANCIACION[[#This Row],[$ CAPITAL]]&gt;0,FINANCIACION[[#This Row],[$ CAPITAL]])</f>
        <v>3000000</v>
      </c>
      <c r="K89" s="143">
        <f>+IF(FINANCIACION[[#This Row],[$ CAPITAL]]&gt;=0,FINANCIACION[[#This Row],[$ CAPITAL]]+FINANCIACION[[#This Row],[$ INTERESES]],0)</f>
        <v>3000000</v>
      </c>
    </row>
    <row r="90" spans="1:11" ht="24" customHeight="1" x14ac:dyDescent="0.25">
      <c r="A90" s="138">
        <v>44131</v>
      </c>
      <c r="B90" s="139" t="s">
        <v>137</v>
      </c>
      <c r="C90" s="140">
        <v>5000000</v>
      </c>
      <c r="D90" s="140"/>
      <c r="E90" s="140">
        <f>+IF(FINANCIACION[[#This Row],[$ CAPITAL]]&gt;=0,FINANCIACION[[#This Row],[$ CAPITAL]]+FINANCIACION[[#This Row],[$ INTERESES]],"")</f>
        <v>5000000</v>
      </c>
      <c r="F90" s="140">
        <f>+SUMIFS(FINANCIACION[$ CAPITAL],FINANCIACION[Fecha],"&lt;="&amp;FINANCIACION[[#This Row],[Fecha]],FINANCIACION[PRESTAMO],FINANCIACION[[#This Row],[PRESTAMO]])</f>
        <v>-409011267</v>
      </c>
      <c r="G90" s="140"/>
      <c r="H90" s="141"/>
      <c r="I90" s="142"/>
      <c r="J90" s="140">
        <f>+IF(FINANCIACION[[#This Row],[$ CAPITAL]]&gt;0,FINANCIACION[[#This Row],[$ CAPITAL]])</f>
        <v>5000000</v>
      </c>
      <c r="K90" s="143">
        <f>+IF(FINANCIACION[[#This Row],[$ CAPITAL]]&gt;=0,FINANCIACION[[#This Row],[$ CAPITAL]]+FINANCIACION[[#This Row],[$ INTERESES]],0)</f>
        <v>5000000</v>
      </c>
    </row>
    <row r="91" spans="1:11" ht="24" customHeight="1" x14ac:dyDescent="0.25">
      <c r="A91" s="138">
        <v>44135</v>
      </c>
      <c r="B91" s="139" t="s">
        <v>137</v>
      </c>
      <c r="C91" s="140">
        <v>6521200</v>
      </c>
      <c r="D91" s="140"/>
      <c r="E91" s="140">
        <f>+IF(FINANCIACION[[#This Row],[$ CAPITAL]]&gt;=0,FINANCIACION[[#This Row],[$ CAPITAL]]+FINANCIACION[[#This Row],[$ INTERESES]],"")</f>
        <v>6521200</v>
      </c>
      <c r="F91" s="140">
        <f>+SUMIFS(FINANCIACION[$ CAPITAL],FINANCIACION[Fecha],"&lt;="&amp;FINANCIACION[[#This Row],[Fecha]],FINANCIACION[PRESTAMO],FINANCIACION[[#This Row],[PRESTAMO]])</f>
        <v>-402490067</v>
      </c>
      <c r="G91" s="140"/>
      <c r="H91" s="141"/>
      <c r="I91" s="142"/>
      <c r="J91" s="140">
        <f>+IF(FINANCIACION[[#This Row],[$ CAPITAL]]&gt;0,FINANCIACION[[#This Row],[$ CAPITAL]])</f>
        <v>6521200</v>
      </c>
      <c r="K91" s="143">
        <f>+IF(FINANCIACION[[#This Row],[$ CAPITAL]]&gt;=0,FINANCIACION[[#This Row],[$ CAPITAL]]+FINANCIACION[[#This Row],[$ INTERESES]],0)</f>
        <v>6521200</v>
      </c>
    </row>
    <row r="92" spans="1:11" ht="24" customHeight="1" x14ac:dyDescent="0.25">
      <c r="A92" s="138">
        <v>44142</v>
      </c>
      <c r="B92" s="139" t="s">
        <v>135</v>
      </c>
      <c r="C92" s="140"/>
      <c r="D92" s="140">
        <v>950000</v>
      </c>
      <c r="E92" s="140">
        <f>+IF(FINANCIACION[[#This Row],[$ CAPITAL]]&gt;=0,FINANCIACION[[#This Row],[$ CAPITAL]]+FINANCIACION[[#This Row],[$ INTERESES]],"")</f>
        <v>950000</v>
      </c>
      <c r="F92" s="140">
        <f>+SUMIFS(FINANCIACION[$ CAPITAL],FINANCIACION[Fecha],"&lt;="&amp;FINANCIACION[[#This Row],[Fecha]],FINANCIACION[PRESTAMO],FINANCIACION[[#This Row],[PRESTAMO]])</f>
        <v>-94935167</v>
      </c>
      <c r="G92" s="140"/>
      <c r="H92" s="141"/>
      <c r="I92" s="142"/>
      <c r="J92" s="140" t="b">
        <f>+IF(FINANCIACION[[#This Row],[$ CAPITAL]]&gt;0,FINANCIACION[[#This Row],[$ CAPITAL]])</f>
        <v>0</v>
      </c>
      <c r="K92" s="143">
        <f>+IF(FINANCIACION[[#This Row],[$ CAPITAL]]&gt;=0,FINANCIACION[[#This Row],[$ CAPITAL]]+FINANCIACION[[#This Row],[$ INTERESES]],0)</f>
        <v>950000</v>
      </c>
    </row>
    <row r="93" spans="1:11" ht="24" customHeight="1" x14ac:dyDescent="0.25">
      <c r="A93" s="138">
        <v>44142</v>
      </c>
      <c r="B93" s="139" t="s">
        <v>138</v>
      </c>
      <c r="C93" s="140">
        <v>858500</v>
      </c>
      <c r="D93" s="140">
        <v>141500</v>
      </c>
      <c r="E93" s="140">
        <f>+IF(FINANCIACION[[#This Row],[$ CAPITAL]]&gt;=0,FINANCIACION[[#This Row],[$ CAPITAL]]+FINANCIACION[[#This Row],[$ INTERESES]],"")</f>
        <v>1000000</v>
      </c>
      <c r="F93" s="140">
        <f>+SUMIFS(FINANCIACION[$ CAPITAL],FINANCIACION[Fecha],"&lt;="&amp;FINANCIACION[[#This Row],[Fecha]],FINANCIACION[PRESTAMO],FINANCIACION[[#This Row],[PRESTAMO]])</f>
        <v>-13291500</v>
      </c>
      <c r="G93" s="140"/>
      <c r="H93" s="141"/>
      <c r="I93" s="142"/>
      <c r="J93" s="140">
        <f>+IF(FINANCIACION[[#This Row],[$ CAPITAL]]&gt;0,FINANCIACION[[#This Row],[$ CAPITAL]])</f>
        <v>858500</v>
      </c>
      <c r="K93" s="143">
        <f>+IF(FINANCIACION[[#This Row],[$ CAPITAL]]&gt;=0,FINANCIACION[[#This Row],[$ CAPITAL]]+FINANCIACION[[#This Row],[$ INTERESES]],0)</f>
        <v>1000000</v>
      </c>
    </row>
    <row r="94" spans="1:11" ht="24" customHeight="1" x14ac:dyDescent="0.25">
      <c r="A94" s="138">
        <v>44142</v>
      </c>
      <c r="B94" s="139" t="s">
        <v>136</v>
      </c>
      <c r="C94" s="140">
        <v>542926.9</v>
      </c>
      <c r="D94" s="140">
        <v>657073.1</v>
      </c>
      <c r="E94" s="140">
        <f>+IF(FINANCIACION[[#This Row],[$ CAPITAL]]&gt;=0,FINANCIACION[[#This Row],[$ CAPITAL]]+FINANCIACION[[#This Row],[$ INTERESES]],"")</f>
        <v>1200000</v>
      </c>
      <c r="F94" s="140">
        <f>+SUMIFS(FINANCIACION[$ CAPITAL],FINANCIACION[Fecha],"&lt;="&amp;FINANCIACION[[#This Row],[Fecha]],FINANCIACION[PRESTAMO],FINANCIACION[[#This Row],[PRESTAMO]])</f>
        <v>-65164383.100000001</v>
      </c>
      <c r="G94" s="140"/>
      <c r="H94" s="141"/>
      <c r="I94" s="142"/>
      <c r="J94" s="140">
        <f>+IF(FINANCIACION[[#This Row],[$ CAPITAL]]&gt;0,FINANCIACION[[#This Row],[$ CAPITAL]])</f>
        <v>542926.9</v>
      </c>
      <c r="K94" s="143">
        <f>+IF(FINANCIACION[[#This Row],[$ CAPITAL]]&gt;=0,FINANCIACION[[#This Row],[$ CAPITAL]]+FINANCIACION[[#This Row],[$ INTERESES]],0)</f>
        <v>1200000</v>
      </c>
    </row>
    <row r="95" spans="1:11" ht="24" customHeight="1" x14ac:dyDescent="0.25">
      <c r="A95" s="138">
        <v>44144</v>
      </c>
      <c r="B95" s="139" t="s">
        <v>135</v>
      </c>
      <c r="C95" s="140">
        <v>3917000</v>
      </c>
      <c r="D95" s="140"/>
      <c r="E95" s="140">
        <f>+IF(FINANCIACION[[#This Row],[$ CAPITAL]]&gt;=0,FINANCIACION[[#This Row],[$ CAPITAL]]+FINANCIACION[[#This Row],[$ INTERESES]],"")</f>
        <v>3917000</v>
      </c>
      <c r="F95" s="140">
        <f>+SUMIFS(FINANCIACION[$ CAPITAL],FINANCIACION[Fecha],"&lt;="&amp;FINANCIACION[[#This Row],[Fecha]],FINANCIACION[PRESTAMO],FINANCIACION[[#This Row],[PRESTAMO]])</f>
        <v>-91018167</v>
      </c>
      <c r="G95" s="140"/>
      <c r="H95" s="141"/>
      <c r="I95" s="142"/>
      <c r="J95" s="140">
        <f>+IF(FINANCIACION[[#This Row],[$ CAPITAL]]&gt;0,FINANCIACION[[#This Row],[$ CAPITAL]])</f>
        <v>3917000</v>
      </c>
      <c r="K95" s="143">
        <f>+IF(FINANCIACION[[#This Row],[$ CAPITAL]]&gt;=0,FINANCIACION[[#This Row],[$ CAPITAL]]+FINANCIACION[[#This Row],[$ INTERESES]],0)</f>
        <v>3917000</v>
      </c>
    </row>
    <row r="96" spans="1:11" ht="24" customHeight="1" x14ac:dyDescent="0.25">
      <c r="A96" s="138">
        <v>44161</v>
      </c>
      <c r="B96" s="139" t="s">
        <v>137</v>
      </c>
      <c r="C96" s="140">
        <v>0</v>
      </c>
      <c r="D96" s="140">
        <v>2000000</v>
      </c>
      <c r="E96" s="140">
        <f>+IF(FINANCIACION[[#This Row],[$ CAPITAL]]&gt;=0,FINANCIACION[[#This Row],[$ CAPITAL]]+FINANCIACION[[#This Row],[$ INTERESES]],"")</f>
        <v>2000000</v>
      </c>
      <c r="F96" s="140">
        <f>+SUMIFS(FINANCIACION[$ CAPITAL],FINANCIACION[Fecha],"&lt;="&amp;FINANCIACION[[#This Row],[Fecha]],FINANCIACION[PRESTAMO],FINANCIACION[[#This Row],[PRESTAMO]])</f>
        <v>-402490067</v>
      </c>
      <c r="G96" s="140"/>
      <c r="H96" s="141"/>
      <c r="I96" s="142"/>
      <c r="J96" s="140" t="b">
        <f>+IF(FINANCIACION[[#This Row],[$ CAPITAL]]&gt;0,FINANCIACION[[#This Row],[$ CAPITAL]])</f>
        <v>0</v>
      </c>
      <c r="K96" s="143">
        <f>+IF(FINANCIACION[[#This Row],[$ CAPITAL]]&gt;=0,FINANCIACION[[#This Row],[$ CAPITAL]]+FINANCIACION[[#This Row],[$ INTERESES]],0)</f>
        <v>2000000</v>
      </c>
    </row>
    <row r="97" spans="1:11" ht="24" customHeight="1" x14ac:dyDescent="0.25">
      <c r="A97" s="138">
        <v>44165</v>
      </c>
      <c r="B97" s="139" t="s">
        <v>137</v>
      </c>
      <c r="C97" s="140">
        <v>5494197</v>
      </c>
      <c r="D97" s="140"/>
      <c r="E97" s="140">
        <f>+IF(FINANCIACION[[#This Row],[$ CAPITAL]]&gt;=0,FINANCIACION[[#This Row],[$ CAPITAL]]+FINANCIACION[[#This Row],[$ INTERESES]],"")</f>
        <v>5494197</v>
      </c>
      <c r="F97" s="140">
        <f>+SUMIFS(FINANCIACION[$ CAPITAL],FINANCIACION[Fecha],"&lt;="&amp;FINANCIACION[[#This Row],[Fecha]],FINANCIACION[PRESTAMO],FINANCIACION[[#This Row],[PRESTAMO]])</f>
        <v>-396995870</v>
      </c>
      <c r="G97" s="140"/>
      <c r="H97" s="141"/>
      <c r="I97" s="142"/>
      <c r="J97" s="140">
        <f>+IF(FINANCIACION[[#This Row],[$ CAPITAL]]&gt;0,FINANCIACION[[#This Row],[$ CAPITAL]])</f>
        <v>5494197</v>
      </c>
      <c r="K97" s="143">
        <f>+IF(FINANCIACION[[#This Row],[$ CAPITAL]]&gt;=0,FINANCIACION[[#This Row],[$ CAPITAL]]+FINANCIACION[[#This Row],[$ INTERESES]],0)</f>
        <v>5494197</v>
      </c>
    </row>
    <row r="98" spans="1:11" ht="24" customHeight="1" x14ac:dyDescent="0.25">
      <c r="A98" s="138">
        <v>44175</v>
      </c>
      <c r="B98" s="139" t="s">
        <v>135</v>
      </c>
      <c r="C98" s="140">
        <v>1655718.33</v>
      </c>
      <c r="D98" s="140">
        <v>910181.67</v>
      </c>
      <c r="E98" s="140">
        <f>+IF(FINANCIACION[[#This Row],[$ CAPITAL]]&gt;=0,FINANCIACION[[#This Row],[$ CAPITAL]]+FINANCIACION[[#This Row],[$ INTERESES]],"")</f>
        <v>2565900</v>
      </c>
      <c r="F98" s="140">
        <f>+SUMIFS(FINANCIACION[$ CAPITAL],FINANCIACION[Fecha],"&lt;="&amp;FINANCIACION[[#This Row],[Fecha]],FINANCIACION[PRESTAMO],FINANCIACION[[#This Row],[PRESTAMO]])</f>
        <v>-89362448.670000002</v>
      </c>
      <c r="G98" s="140"/>
      <c r="H98" s="141"/>
      <c r="I98" s="142"/>
      <c r="J98" s="140">
        <f>+IF(FINANCIACION[[#This Row],[$ CAPITAL]]&gt;0,FINANCIACION[[#This Row],[$ CAPITAL]])</f>
        <v>1655718.33</v>
      </c>
      <c r="K98" s="143">
        <f>+IF(FINANCIACION[[#This Row],[$ CAPITAL]]&gt;=0,FINANCIACION[[#This Row],[$ CAPITAL]]+FINANCIACION[[#This Row],[$ INTERESES]],0)</f>
        <v>2565900</v>
      </c>
    </row>
    <row r="99" spans="1:11" ht="24" customHeight="1" x14ac:dyDescent="0.25">
      <c r="A99" s="138">
        <v>44175</v>
      </c>
      <c r="B99" s="139" t="s">
        <v>138</v>
      </c>
      <c r="C99" s="140">
        <v>867085</v>
      </c>
      <c r="D99" s="140">
        <v>132915</v>
      </c>
      <c r="E99" s="140">
        <f>+IF(FINANCIACION[[#This Row],[$ CAPITAL]]&gt;=0,FINANCIACION[[#This Row],[$ CAPITAL]]+FINANCIACION[[#This Row],[$ INTERESES]],"")</f>
        <v>1000000</v>
      </c>
      <c r="F99" s="140">
        <f>+SUMIFS(FINANCIACION[$ CAPITAL],FINANCIACION[Fecha],"&lt;="&amp;FINANCIACION[[#This Row],[Fecha]],FINANCIACION[PRESTAMO],FINANCIACION[[#This Row],[PRESTAMO]])</f>
        <v>-12424415</v>
      </c>
      <c r="G99" s="140"/>
      <c r="H99" s="141"/>
      <c r="I99" s="142"/>
      <c r="J99" s="140">
        <f>+IF(FINANCIACION[[#This Row],[$ CAPITAL]]&gt;0,FINANCIACION[[#This Row],[$ CAPITAL]])</f>
        <v>867085</v>
      </c>
      <c r="K99" s="143">
        <f>+IF(FINANCIACION[[#This Row],[$ CAPITAL]]&gt;=0,FINANCIACION[[#This Row],[$ CAPITAL]]+FINANCIACION[[#This Row],[$ INTERESES]],0)</f>
        <v>1000000</v>
      </c>
    </row>
    <row r="100" spans="1:11" ht="24" customHeight="1" x14ac:dyDescent="0.25">
      <c r="A100" s="138">
        <v>44175</v>
      </c>
      <c r="B100" s="139" t="s">
        <v>136</v>
      </c>
      <c r="C100" s="140">
        <v>548356.17000000004</v>
      </c>
      <c r="D100" s="140">
        <v>651643.82999999996</v>
      </c>
      <c r="E100" s="140">
        <f>+IF(FINANCIACION[[#This Row],[$ CAPITAL]]&gt;=0,FINANCIACION[[#This Row],[$ CAPITAL]]+FINANCIACION[[#This Row],[$ INTERESES]],"")</f>
        <v>1200000</v>
      </c>
      <c r="F100" s="140">
        <f>+SUMIFS(FINANCIACION[$ CAPITAL],FINANCIACION[Fecha],"&lt;="&amp;FINANCIACION[[#This Row],[Fecha]],FINANCIACION[PRESTAMO],FINANCIACION[[#This Row],[PRESTAMO]])</f>
        <v>-64616026.93</v>
      </c>
      <c r="G100" s="140"/>
      <c r="H100" s="141"/>
      <c r="I100" s="142"/>
      <c r="J100" s="140">
        <f>+IF(FINANCIACION[[#This Row],[$ CAPITAL]]&gt;0,FINANCIACION[[#This Row],[$ CAPITAL]])</f>
        <v>548356.17000000004</v>
      </c>
      <c r="K100" s="143">
        <f>+IF(FINANCIACION[[#This Row],[$ CAPITAL]]&gt;=0,FINANCIACION[[#This Row],[$ CAPITAL]]+FINANCIACION[[#This Row],[$ INTERESES]],0)</f>
        <v>1200000</v>
      </c>
    </row>
    <row r="101" spans="1:11" ht="24" customHeight="1" x14ac:dyDescent="0.25">
      <c r="A101" s="138">
        <v>44187</v>
      </c>
      <c r="B101" s="139" t="s">
        <v>137</v>
      </c>
      <c r="C101" s="140">
        <v>5215587</v>
      </c>
      <c r="D101" s="140"/>
      <c r="E101" s="140">
        <f>+IF(FINANCIACION[[#This Row],[$ CAPITAL]]&gt;=0,FINANCIACION[[#This Row],[$ CAPITAL]]+FINANCIACION[[#This Row],[$ INTERESES]],"")</f>
        <v>5215587</v>
      </c>
      <c r="F101" s="140">
        <f>+SUMIFS(FINANCIACION[$ CAPITAL],FINANCIACION[Fecha],"&lt;="&amp;FINANCIACION[[#This Row],[Fecha]],FINANCIACION[PRESTAMO],FINANCIACION[[#This Row],[PRESTAMO]])</f>
        <v>-391780283</v>
      </c>
      <c r="G101" s="140"/>
      <c r="H101" s="141"/>
      <c r="I101" s="142"/>
      <c r="J101" s="140">
        <f>+IF(FINANCIACION[[#This Row],[$ CAPITAL]]&gt;0,FINANCIACION[[#This Row],[$ CAPITAL]])</f>
        <v>5215587</v>
      </c>
      <c r="K101" s="143">
        <f>+IF(FINANCIACION[[#This Row],[$ CAPITAL]]&gt;=0,FINANCIACION[[#This Row],[$ CAPITAL]]+FINANCIACION[[#This Row],[$ INTERESES]],0)</f>
        <v>5215587</v>
      </c>
    </row>
    <row r="102" spans="1:11" ht="24" customHeight="1" x14ac:dyDescent="0.25">
      <c r="A102" s="138">
        <v>44191</v>
      </c>
      <c r="B102" s="139" t="s">
        <v>139</v>
      </c>
      <c r="C102" s="140"/>
      <c r="D102" s="140">
        <v>6750000</v>
      </c>
      <c r="E102" s="140">
        <f>+IF(FINANCIACION[[#This Row],[$ CAPITAL]]&gt;=0,FINANCIACION[[#This Row],[$ CAPITAL]]+FINANCIACION[[#This Row],[$ INTERESES]],"")</f>
        <v>6750000</v>
      </c>
      <c r="F102" s="140">
        <f>+SUMIFS(FINANCIACION[$ CAPITAL],FINANCIACION[Fecha],"&lt;="&amp;FINANCIACION[[#This Row],[Fecha]],FINANCIACION[PRESTAMO],FINANCIACION[[#This Row],[PRESTAMO]])</f>
        <v>-75000000</v>
      </c>
      <c r="G102" s="140"/>
      <c r="H102" s="141"/>
      <c r="I102" s="142"/>
      <c r="J102" s="140" t="b">
        <f>+IF(FINANCIACION[[#This Row],[$ CAPITAL]]&gt;0,FINANCIACION[[#This Row],[$ CAPITAL]])</f>
        <v>0</v>
      </c>
      <c r="K102" s="143">
        <f>+IF(FINANCIACION[[#This Row],[$ CAPITAL]]&gt;=0,FINANCIACION[[#This Row],[$ CAPITAL]]+FINANCIACION[[#This Row],[$ INTERESES]],0)</f>
        <v>6750000</v>
      </c>
    </row>
    <row r="103" spans="1:11" ht="24" customHeight="1" x14ac:dyDescent="0.25">
      <c r="A103" s="138">
        <v>44196</v>
      </c>
      <c r="B103" s="139" t="s">
        <v>136</v>
      </c>
      <c r="C103" s="140">
        <v>-2349404.9287070036</v>
      </c>
      <c r="D103" s="140"/>
      <c r="E103" s="140" t="str">
        <f>+IF(FINANCIACION[[#This Row],[$ CAPITAL]]&gt;=0,FINANCIACION[[#This Row],[$ CAPITAL]]+FINANCIACION[[#This Row],[$ INTERESES]],"")</f>
        <v/>
      </c>
      <c r="F103" s="140">
        <f>+SUMIFS(FINANCIACION[$ CAPITAL],FINANCIACION[Fecha],"&lt;="&amp;FINANCIACION[[#This Row],[Fecha]],FINANCIACION[PRESTAMO],FINANCIACION[[#This Row],[PRESTAMO]])</f>
        <v>-66965431.858707003</v>
      </c>
      <c r="G103" s="140"/>
      <c r="H103" s="141" t="s">
        <v>929</v>
      </c>
      <c r="I103" s="142"/>
      <c r="J103" s="140" t="b">
        <f>+IF(FINANCIACION[[#This Row],[$ CAPITAL]]&gt;0,FINANCIACION[[#This Row],[$ CAPITAL]])</f>
        <v>0</v>
      </c>
      <c r="K103" s="143">
        <f>+IF(FINANCIACION[[#This Row],[$ CAPITAL]]&gt;=0,FINANCIACION[[#This Row],[$ CAPITAL]]+FINANCIACION[[#This Row],[$ INTERESES]],0)</f>
        <v>0</v>
      </c>
    </row>
    <row r="104" spans="1:11" ht="24" customHeight="1" x14ac:dyDescent="0.25">
      <c r="A104" s="138">
        <v>44196</v>
      </c>
      <c r="B104" s="139" t="s">
        <v>137</v>
      </c>
      <c r="C104" s="140">
        <v>36112485</v>
      </c>
      <c r="D104" s="140"/>
      <c r="E104" s="140">
        <f>+IF(FINANCIACION[[#This Row],[$ CAPITAL]]&gt;=0,FINANCIACION[[#This Row],[$ CAPITAL]]+FINANCIACION[[#This Row],[$ INTERESES]],"")</f>
        <v>36112485</v>
      </c>
      <c r="F104" s="140">
        <f>+SUMIFS(FINANCIACION[$ CAPITAL],FINANCIACION[Fecha],"&lt;="&amp;FINANCIACION[[#This Row],[Fecha]],FINANCIACION[PRESTAMO],FINANCIACION[[#This Row],[PRESTAMO]])</f>
        <v>-349958312</v>
      </c>
      <c r="G104" s="140"/>
      <c r="H104" s="141" t="s">
        <v>954</v>
      </c>
      <c r="I104" s="142"/>
      <c r="J104" s="140">
        <f>+IF(FINANCIACION[[#This Row],[$ CAPITAL]]&gt;0,FINANCIACION[[#This Row],[$ CAPITAL]])</f>
        <v>36112485</v>
      </c>
      <c r="K104" s="143">
        <f>+IF(FINANCIACION[[#This Row],[$ CAPITAL]]&gt;=0,FINANCIACION[[#This Row],[$ CAPITAL]]+FINANCIACION[[#This Row],[$ INTERESES]],0)</f>
        <v>36112485</v>
      </c>
    </row>
    <row r="105" spans="1:11" ht="24" customHeight="1" x14ac:dyDescent="0.25">
      <c r="A105" s="138">
        <v>44196</v>
      </c>
      <c r="B105" s="139" t="s">
        <v>137</v>
      </c>
      <c r="C105" s="140">
        <v>5709486</v>
      </c>
      <c r="D105" s="140"/>
      <c r="E105" s="140">
        <f>+IF(FINANCIACION[[#This Row],[$ CAPITAL]]&gt;=0,FINANCIACION[[#This Row],[$ CAPITAL]]+FINANCIACION[[#This Row],[$ INTERESES]],"")</f>
        <v>5709486</v>
      </c>
      <c r="F105" s="140">
        <f>+SUMIFS(FINANCIACION[$ CAPITAL],FINANCIACION[Fecha],"&lt;="&amp;FINANCIACION[[#This Row],[Fecha]],FINANCIACION[PRESTAMO],FINANCIACION[[#This Row],[PRESTAMO]])</f>
        <v>-349958312</v>
      </c>
      <c r="G105" s="140"/>
      <c r="H105" s="141"/>
      <c r="I105" s="142"/>
      <c r="J105" s="140">
        <f>+IF(FINANCIACION[[#This Row],[$ CAPITAL]]&gt;0,FINANCIACION[[#This Row],[$ CAPITAL]])</f>
        <v>5709486</v>
      </c>
      <c r="K105" s="143">
        <f>+IF(FINANCIACION[[#This Row],[$ CAPITAL]]&gt;=0,FINANCIACION[[#This Row],[$ CAPITAL]]+FINANCIACION[[#This Row],[$ INTERESES]],0)</f>
        <v>5709486</v>
      </c>
    </row>
    <row r="106" spans="1:11" ht="24" customHeight="1" x14ac:dyDescent="0.25">
      <c r="A106" s="138">
        <v>44197</v>
      </c>
      <c r="B106" s="139" t="s">
        <v>141</v>
      </c>
      <c r="C106" s="140">
        <v>-13000000</v>
      </c>
      <c r="D106" s="140"/>
      <c r="E106" s="140" t="str">
        <f>+IF(FINANCIACION[[#This Row],[$ CAPITAL]]&gt;=0,FINANCIACION[[#This Row],[$ CAPITAL]]+FINANCIACION[[#This Row],[$ INTERESES]],"")</f>
        <v/>
      </c>
      <c r="F106" s="140">
        <f>+SUMIFS(FINANCIACION[$ CAPITAL],FINANCIACION[Fecha],"&lt;="&amp;FINANCIACION[[#This Row],[Fecha]],FINANCIACION[PRESTAMO],FINANCIACION[[#This Row],[PRESTAMO]])</f>
        <v>-13000000</v>
      </c>
      <c r="G106" s="140"/>
      <c r="H106" s="141"/>
      <c r="I106" s="142"/>
      <c r="J106" s="140" t="b">
        <f>+IF(FINANCIACION[[#This Row],[$ CAPITAL]]&gt;0,FINANCIACION[[#This Row],[$ CAPITAL]])</f>
        <v>0</v>
      </c>
      <c r="K106" s="143">
        <f>+IF(FINANCIACION[[#This Row],[$ CAPITAL]]&gt;=0,FINANCIACION[[#This Row],[$ CAPITAL]]+FINANCIACION[[#This Row],[$ INTERESES]],0)</f>
        <v>0</v>
      </c>
    </row>
    <row r="107" spans="1:11" ht="24" customHeight="1" x14ac:dyDescent="0.25">
      <c r="A107" s="138">
        <v>44204</v>
      </c>
      <c r="B107" s="139" t="s">
        <v>135</v>
      </c>
      <c r="C107" s="140">
        <v>1672275.5133</v>
      </c>
      <c r="D107" s="140">
        <v>893624.48670000001</v>
      </c>
      <c r="E107" s="140">
        <f>+IF(FINANCIACION[[#This Row],[$ CAPITAL]]&gt;=0,FINANCIACION[[#This Row],[$ CAPITAL]]+FINANCIACION[[#This Row],[$ INTERESES]],"")</f>
        <v>2565900</v>
      </c>
      <c r="F107" s="140">
        <f>+SUMIFS(FINANCIACION[$ CAPITAL],FINANCIACION[Fecha],"&lt;="&amp;FINANCIACION[[#This Row],[Fecha]],FINANCIACION[PRESTAMO],FINANCIACION[[#This Row],[PRESTAMO]])</f>
        <v>-87690173.1567</v>
      </c>
      <c r="G107" s="140"/>
      <c r="H107" s="141"/>
      <c r="I107" s="142"/>
      <c r="J107" s="140">
        <f>+IF(FINANCIACION[[#This Row],[$ CAPITAL]]&gt;0,FINANCIACION[[#This Row],[$ CAPITAL]])</f>
        <v>1672275.5133</v>
      </c>
      <c r="K107" s="143">
        <f>+IF(FINANCIACION[[#This Row],[$ CAPITAL]]&gt;=0,FINANCIACION[[#This Row],[$ CAPITAL]]+FINANCIACION[[#This Row],[$ INTERESES]],0)</f>
        <v>2565900</v>
      </c>
    </row>
    <row r="108" spans="1:11" ht="24" customHeight="1" x14ac:dyDescent="0.25">
      <c r="A108" s="138">
        <v>44208</v>
      </c>
      <c r="B108" s="139" t="s">
        <v>138</v>
      </c>
      <c r="C108" s="140">
        <v>875755.85</v>
      </c>
      <c r="D108" s="140">
        <v>124244.15000000001</v>
      </c>
      <c r="E108" s="140">
        <f>+IF(FINANCIACION[[#This Row],[$ CAPITAL]]&gt;=0,FINANCIACION[[#This Row],[$ CAPITAL]]+FINANCIACION[[#This Row],[$ INTERESES]],"")</f>
        <v>1000000</v>
      </c>
      <c r="F108" s="140">
        <f>+SUMIFS(FINANCIACION[$ CAPITAL],FINANCIACION[Fecha],"&lt;="&amp;FINANCIACION[[#This Row],[Fecha]],FINANCIACION[PRESTAMO],FINANCIACION[[#This Row],[PRESTAMO]])</f>
        <v>-11548659.15</v>
      </c>
      <c r="G108" s="140"/>
      <c r="H108" s="141"/>
      <c r="I108" s="142"/>
      <c r="J108" s="140">
        <f>+IF(FINANCIACION[[#This Row],[$ CAPITAL]]&gt;0,FINANCIACION[[#This Row],[$ CAPITAL]])</f>
        <v>875755.85</v>
      </c>
      <c r="K108" s="143">
        <f>+IF(FINANCIACION[[#This Row],[$ CAPITAL]]&gt;=0,FINANCIACION[[#This Row],[$ CAPITAL]]+FINANCIACION[[#This Row],[$ INTERESES]],0)</f>
        <v>1000000</v>
      </c>
    </row>
    <row r="109" spans="1:11" ht="24" customHeight="1" x14ac:dyDescent="0.25">
      <c r="A109" s="138">
        <v>44208</v>
      </c>
      <c r="B109" s="139" t="s">
        <v>136</v>
      </c>
      <c r="C109" s="140">
        <v>553839.73069999996</v>
      </c>
      <c r="D109" s="140">
        <v>646160.26930000004</v>
      </c>
      <c r="E109" s="140">
        <f>+IF(FINANCIACION[[#This Row],[$ CAPITAL]]&gt;=0,FINANCIACION[[#This Row],[$ CAPITAL]]+FINANCIACION[[#This Row],[$ INTERESES]],"")</f>
        <v>1200000</v>
      </c>
      <c r="F109" s="140">
        <f>+SUMIFS(FINANCIACION[$ CAPITAL],FINANCIACION[Fecha],"&lt;="&amp;FINANCIACION[[#This Row],[Fecha]],FINANCIACION[PRESTAMO],FINANCIACION[[#This Row],[PRESTAMO]])</f>
        <v>-66411592.128007002</v>
      </c>
      <c r="G109" s="140"/>
      <c r="H109" s="141"/>
      <c r="I109" s="142"/>
      <c r="J109" s="140">
        <f>+IF(FINANCIACION[[#This Row],[$ CAPITAL]]&gt;0,FINANCIACION[[#This Row],[$ CAPITAL]])</f>
        <v>553839.73069999996</v>
      </c>
      <c r="K109" s="143">
        <f>+IF(FINANCIACION[[#This Row],[$ CAPITAL]]&gt;=0,FINANCIACION[[#This Row],[$ CAPITAL]]+FINANCIACION[[#This Row],[$ INTERESES]],0)</f>
        <v>1200000</v>
      </c>
    </row>
    <row r="110" spans="1:11" ht="24" customHeight="1" x14ac:dyDescent="0.25">
      <c r="A110" s="138">
        <v>44226</v>
      </c>
      <c r="B110" s="139" t="s">
        <v>236</v>
      </c>
      <c r="C110" s="140">
        <v>-7016439</v>
      </c>
      <c r="D110" s="140"/>
      <c r="E110" s="140" t="str">
        <f>+IF(FINANCIACION[[#This Row],[$ CAPITAL]]&gt;=0,FINANCIACION[[#This Row],[$ CAPITAL]]+FINANCIACION[[#This Row],[$ INTERESES]],"")</f>
        <v/>
      </c>
      <c r="F110" s="140">
        <f>+SUMIFS(FINANCIACION[$ CAPITAL],FINANCIACION[Fecha],"&lt;="&amp;FINANCIACION[[#This Row],[Fecha]],FINANCIACION[PRESTAMO],FINANCIACION[[#This Row],[PRESTAMO]])</f>
        <v>-7016439</v>
      </c>
      <c r="G110" s="140"/>
      <c r="H110" s="141" t="s">
        <v>72</v>
      </c>
      <c r="I110" s="142"/>
      <c r="J110" s="140" t="b">
        <f>+IF(FINANCIACION[[#This Row],[$ CAPITAL]]&gt;0,FINANCIACION[[#This Row],[$ CAPITAL]])</f>
        <v>0</v>
      </c>
      <c r="K110" s="143">
        <f>+IF(FINANCIACION[[#This Row],[$ CAPITAL]]&gt;=0,FINANCIACION[[#This Row],[$ CAPITAL]]+FINANCIACION[[#This Row],[$ INTERESES]],0)</f>
        <v>0</v>
      </c>
    </row>
    <row r="111" spans="1:11" ht="24" customHeight="1" x14ac:dyDescent="0.25">
      <c r="A111" s="138">
        <v>44237</v>
      </c>
      <c r="B111" s="139" t="s">
        <v>135</v>
      </c>
      <c r="C111" s="140">
        <v>1672275.5133</v>
      </c>
      <c r="D111" s="140">
        <v>893624.48670000001</v>
      </c>
      <c r="E111" s="140">
        <f>+IF(FINANCIACION[[#This Row],[$ CAPITAL]]&gt;=0,FINANCIACION[[#This Row],[$ CAPITAL]]+FINANCIACION[[#This Row],[$ INTERESES]],"")</f>
        <v>2565900</v>
      </c>
      <c r="F111" s="140">
        <f>+SUMIFS(FINANCIACION[$ CAPITAL],FINANCIACION[Fecha],"&lt;="&amp;FINANCIACION[[#This Row],[Fecha]],FINANCIACION[PRESTAMO],FINANCIACION[[#This Row],[PRESTAMO]])</f>
        <v>-86017897.643399999</v>
      </c>
      <c r="G111" s="140"/>
      <c r="H111" s="141"/>
      <c r="I111" s="142"/>
      <c r="J111" s="140">
        <f>+IF(FINANCIACION[[#This Row],[$ CAPITAL]]&gt;0,FINANCIACION[[#This Row],[$ CAPITAL]])</f>
        <v>1672275.5133</v>
      </c>
      <c r="K111" s="143">
        <f>+IF(FINANCIACION[[#This Row],[$ CAPITAL]]&gt;=0,FINANCIACION[[#This Row],[$ CAPITAL]]+FINANCIACION[[#This Row],[$ INTERESES]],0)</f>
        <v>2565900</v>
      </c>
    </row>
    <row r="112" spans="1:11" ht="24" customHeight="1" x14ac:dyDescent="0.25">
      <c r="A112" s="138">
        <v>44237</v>
      </c>
      <c r="B112" s="139" t="s">
        <v>138</v>
      </c>
      <c r="C112" s="140">
        <v>875755.85</v>
      </c>
      <c r="D112" s="140">
        <v>124244.15000000001</v>
      </c>
      <c r="E112" s="140">
        <f>+IF(FINANCIACION[[#This Row],[$ CAPITAL]]&gt;=0,FINANCIACION[[#This Row],[$ CAPITAL]]+FINANCIACION[[#This Row],[$ INTERESES]],"")</f>
        <v>1000000</v>
      </c>
      <c r="F112" s="140">
        <f>+SUMIFS(FINANCIACION[$ CAPITAL],FINANCIACION[Fecha],"&lt;="&amp;FINANCIACION[[#This Row],[Fecha]],FINANCIACION[PRESTAMO],FINANCIACION[[#This Row],[PRESTAMO]])</f>
        <v>-10672903.300000001</v>
      </c>
      <c r="G112" s="140"/>
      <c r="H112" s="141"/>
      <c r="I112" s="142"/>
      <c r="J112" s="140">
        <f>+IF(FINANCIACION[[#This Row],[$ CAPITAL]]&gt;0,FINANCIACION[[#This Row],[$ CAPITAL]])</f>
        <v>875755.85</v>
      </c>
      <c r="K112" s="143">
        <f>+IF(FINANCIACION[[#This Row],[$ CAPITAL]]&gt;=0,FINANCIACION[[#This Row],[$ CAPITAL]]+FINANCIACION[[#This Row],[$ INTERESES]],0)</f>
        <v>1000000</v>
      </c>
    </row>
    <row r="113" spans="1:11" ht="24" customHeight="1" x14ac:dyDescent="0.25">
      <c r="A113" s="138">
        <v>44237</v>
      </c>
      <c r="B113" s="139" t="s">
        <v>136</v>
      </c>
      <c r="C113" s="140">
        <v>559378.12800699996</v>
      </c>
      <c r="D113" s="140">
        <v>640621.87199300004</v>
      </c>
      <c r="E113" s="140">
        <f>+IF(FINANCIACION[[#This Row],[$ CAPITAL]]&gt;=0,FINANCIACION[[#This Row],[$ CAPITAL]]+FINANCIACION[[#This Row],[$ INTERESES]],"")</f>
        <v>1200000</v>
      </c>
      <c r="F113" s="140">
        <f>+SUMIFS(FINANCIACION[$ CAPITAL],FINANCIACION[Fecha],"&lt;="&amp;FINANCIACION[[#This Row],[Fecha]],FINANCIACION[PRESTAMO],FINANCIACION[[#This Row],[PRESTAMO]])</f>
        <v>-65852214</v>
      </c>
      <c r="G113" s="140"/>
      <c r="H113" s="141"/>
      <c r="I113" s="142"/>
      <c r="J113" s="140">
        <f>+IF(FINANCIACION[[#This Row],[$ CAPITAL]]&gt;0,FINANCIACION[[#This Row],[$ CAPITAL]])</f>
        <v>559378.12800699996</v>
      </c>
      <c r="K113" s="143">
        <f>+IF(FINANCIACION[[#This Row],[$ CAPITAL]]&gt;=0,FINANCIACION[[#This Row],[$ CAPITAL]]+FINANCIACION[[#This Row],[$ INTERESES]],0)</f>
        <v>1200000</v>
      </c>
    </row>
    <row r="114" spans="1:11" ht="24" customHeight="1" x14ac:dyDescent="0.25">
      <c r="A114" s="138">
        <v>44244</v>
      </c>
      <c r="B114" s="139" t="s">
        <v>137</v>
      </c>
      <c r="C114" s="140">
        <v>108181</v>
      </c>
      <c r="D114" s="140"/>
      <c r="E114" s="140">
        <f>+IF(FINANCIACION[[#This Row],[$ CAPITAL]]&gt;=0,FINANCIACION[[#This Row],[$ CAPITAL]]+FINANCIACION[[#This Row],[$ INTERESES]],"")</f>
        <v>108181</v>
      </c>
      <c r="F114" s="140">
        <f>+SUMIFS(FINANCIACION[$ CAPITAL],FINANCIACION[Fecha],"&lt;="&amp;FINANCIACION[[#This Row],[Fecha]],FINANCIACION[PRESTAMO],FINANCIACION[[#This Row],[PRESTAMO]])</f>
        <v>-346350131</v>
      </c>
      <c r="G114" s="140"/>
      <c r="H114" s="141"/>
      <c r="I114" s="142"/>
      <c r="J114" s="140">
        <f>+IF(FINANCIACION[[#This Row],[$ CAPITAL]]&gt;0,FINANCIACION[[#This Row],[$ CAPITAL]])</f>
        <v>108181</v>
      </c>
      <c r="K114" s="143">
        <f>+IF(FINANCIACION[[#This Row],[$ CAPITAL]]&gt;=0,FINANCIACION[[#This Row],[$ CAPITAL]]+FINANCIACION[[#This Row],[$ INTERESES]],0)</f>
        <v>108181</v>
      </c>
    </row>
    <row r="115" spans="1:11" ht="24" customHeight="1" x14ac:dyDescent="0.25">
      <c r="A115" s="138">
        <v>44244</v>
      </c>
      <c r="B115" s="139" t="s">
        <v>137</v>
      </c>
      <c r="C115" s="140">
        <v>3500000</v>
      </c>
      <c r="D115" s="140"/>
      <c r="E115" s="140">
        <f>+IF(FINANCIACION[[#This Row],[$ CAPITAL]]&gt;=0,FINANCIACION[[#This Row],[$ CAPITAL]]+FINANCIACION[[#This Row],[$ INTERESES]],"")</f>
        <v>3500000</v>
      </c>
      <c r="F115" s="140">
        <f>+SUMIFS(FINANCIACION[$ CAPITAL],FINANCIACION[Fecha],"&lt;="&amp;FINANCIACION[[#This Row],[Fecha]],FINANCIACION[PRESTAMO],FINANCIACION[[#This Row],[PRESTAMO]])</f>
        <v>-346350131</v>
      </c>
      <c r="G115" s="140"/>
      <c r="H115" s="141"/>
      <c r="I115" s="142"/>
      <c r="J115" s="140">
        <f>+IF(FINANCIACION[[#This Row],[$ CAPITAL]]&gt;0,FINANCIACION[[#This Row],[$ CAPITAL]])</f>
        <v>3500000</v>
      </c>
      <c r="K115" s="143">
        <f>+IF(FINANCIACION[[#This Row],[$ CAPITAL]]&gt;=0,FINANCIACION[[#This Row],[$ CAPITAL]]+FINANCIACION[[#This Row],[$ INTERESES]],0)</f>
        <v>3500000</v>
      </c>
    </row>
    <row r="116" spans="1:11" ht="24" customHeight="1" x14ac:dyDescent="0.25">
      <c r="A116" s="138">
        <v>44245</v>
      </c>
      <c r="B116" s="139" t="s">
        <v>138</v>
      </c>
      <c r="C116" s="140">
        <v>-50000000</v>
      </c>
      <c r="D116" s="140"/>
      <c r="E116" s="140" t="str">
        <f>+IF(FINANCIACION[[#This Row],[$ CAPITAL]]&gt;=0,FINANCIACION[[#This Row],[$ CAPITAL]]+FINANCIACION[[#This Row],[$ INTERESES]],"")</f>
        <v/>
      </c>
      <c r="F116" s="140">
        <f>+SUMIFS(FINANCIACION[$ CAPITAL],FINANCIACION[Fecha],"&lt;="&amp;FINANCIACION[[#This Row],[Fecha]],FINANCIACION[PRESTAMO],FINANCIACION[[#This Row],[PRESTAMO]])</f>
        <v>-60672903.299999997</v>
      </c>
      <c r="G116" s="140"/>
      <c r="H116" s="141"/>
      <c r="I116" s="142"/>
      <c r="J116" s="140" t="b">
        <f>+IF(FINANCIACION[[#This Row],[$ CAPITAL]]&gt;0,FINANCIACION[[#This Row],[$ CAPITAL]])</f>
        <v>0</v>
      </c>
      <c r="K116" s="143">
        <f>+IF(FINANCIACION[[#This Row],[$ CAPITAL]]&gt;=0,FINANCIACION[[#This Row],[$ CAPITAL]]+FINANCIACION[[#This Row],[$ INTERESES]],0)</f>
        <v>0</v>
      </c>
    </row>
    <row r="117" spans="1:11" ht="24" customHeight="1" x14ac:dyDescent="0.25">
      <c r="A117" s="138">
        <v>44247</v>
      </c>
      <c r="B117" s="139" t="s">
        <v>141</v>
      </c>
      <c r="C117" s="140"/>
      <c r="D117" s="140">
        <v>130000</v>
      </c>
      <c r="E117" s="140">
        <f>+IF(FINANCIACION[[#This Row],[$ CAPITAL]]&gt;=0,FINANCIACION[[#This Row],[$ CAPITAL]]+FINANCIACION[[#This Row],[$ INTERESES]],"")</f>
        <v>130000</v>
      </c>
      <c r="F117" s="140">
        <f>+SUMIFS(FINANCIACION[$ CAPITAL],FINANCIACION[Fecha],"&lt;="&amp;FINANCIACION[[#This Row],[Fecha]],FINANCIACION[PRESTAMO],FINANCIACION[[#This Row],[PRESTAMO]])</f>
        <v>-13000000</v>
      </c>
      <c r="G117" s="140"/>
      <c r="H117" s="141"/>
      <c r="I117" s="142"/>
      <c r="J117" s="140" t="b">
        <f>+IF(FINANCIACION[[#This Row],[$ CAPITAL]]&gt;0,FINANCIACION[[#This Row],[$ CAPITAL]])</f>
        <v>0</v>
      </c>
      <c r="K117" s="143">
        <f>+IF(FINANCIACION[[#This Row],[$ CAPITAL]]&gt;=0,FINANCIACION[[#This Row],[$ CAPITAL]]+FINANCIACION[[#This Row],[$ INTERESES]],0)</f>
        <v>130000</v>
      </c>
    </row>
    <row r="118" spans="1:11" ht="24" customHeight="1" x14ac:dyDescent="0.25">
      <c r="A118" s="138">
        <v>44248</v>
      </c>
      <c r="B118" s="139" t="s">
        <v>136</v>
      </c>
      <c r="C118" s="140">
        <v>-8879000</v>
      </c>
      <c r="D118" s="140"/>
      <c r="E118" s="140" t="str">
        <f>+IF(FINANCIACION[[#This Row],[$ CAPITAL]]&gt;=0,FINANCIACION[[#This Row],[$ CAPITAL]]+FINANCIACION[[#This Row],[$ INTERESES]],"")</f>
        <v/>
      </c>
      <c r="F118" s="140">
        <f>+SUMIFS(FINANCIACION[$ CAPITAL],FINANCIACION[Fecha],"&lt;="&amp;FINANCIACION[[#This Row],[Fecha]],FINANCIACION[PRESTAMO],FINANCIACION[[#This Row],[PRESTAMO]])</f>
        <v>-74731214</v>
      </c>
      <c r="G118" s="140"/>
      <c r="H118" s="141"/>
      <c r="I118" s="142"/>
      <c r="J118" s="140" t="b">
        <f>+IF(FINANCIACION[[#This Row],[$ CAPITAL]]&gt;0,FINANCIACION[[#This Row],[$ CAPITAL]])</f>
        <v>0</v>
      </c>
      <c r="K118" s="143">
        <f>+IF(FINANCIACION[[#This Row],[$ CAPITAL]]&gt;=0,FINANCIACION[[#This Row],[$ CAPITAL]]+FINANCIACION[[#This Row],[$ INTERESES]],0)</f>
        <v>0</v>
      </c>
    </row>
    <row r="119" spans="1:11" ht="24" customHeight="1" x14ac:dyDescent="0.25">
      <c r="A119" s="138">
        <v>44255</v>
      </c>
      <c r="B119" s="139" t="s">
        <v>137</v>
      </c>
      <c r="C119" s="140">
        <v>-8929573</v>
      </c>
      <c r="D119" s="140"/>
      <c r="E119" s="140" t="str">
        <f>+IF(FINANCIACION[[#This Row],[$ CAPITAL]]&gt;=0,FINANCIACION[[#This Row],[$ CAPITAL]]+FINANCIACION[[#This Row],[$ INTERESES]],"")</f>
        <v/>
      </c>
      <c r="F119" s="140">
        <f>+SUMIFS(FINANCIACION[$ CAPITAL],FINANCIACION[Fecha],"&lt;="&amp;FINANCIACION[[#This Row],[Fecha]],FINANCIACION[PRESTAMO],FINANCIACION[[#This Row],[PRESTAMO]])</f>
        <v>-355279704</v>
      </c>
      <c r="G119" s="140"/>
      <c r="H119" s="141" t="s">
        <v>72</v>
      </c>
      <c r="I119" s="142"/>
      <c r="J119" s="140" t="b">
        <f>+IF(FINANCIACION[[#This Row],[$ CAPITAL]]&gt;0,FINANCIACION[[#This Row],[$ CAPITAL]])</f>
        <v>0</v>
      </c>
      <c r="K119" s="143">
        <f>+IF(FINANCIACION[[#This Row],[$ CAPITAL]]&gt;=0,FINANCIACION[[#This Row],[$ CAPITAL]]+FINANCIACION[[#This Row],[$ INTERESES]],0)</f>
        <v>0</v>
      </c>
    </row>
    <row r="120" spans="1:11" ht="24" customHeight="1" x14ac:dyDescent="0.25">
      <c r="A120" s="138">
        <v>44255</v>
      </c>
      <c r="B120" s="139" t="s">
        <v>236</v>
      </c>
      <c r="C120" s="140">
        <v>-20437161</v>
      </c>
      <c r="D120" s="140"/>
      <c r="E120" s="140" t="str">
        <f>+IF(FINANCIACION[[#This Row],[$ CAPITAL]]&gt;=0,FINANCIACION[[#This Row],[$ CAPITAL]]+FINANCIACION[[#This Row],[$ INTERESES]],"")</f>
        <v/>
      </c>
      <c r="F120" s="140">
        <f>+SUMIFS(FINANCIACION[$ CAPITAL],FINANCIACION[Fecha],"&lt;="&amp;FINANCIACION[[#This Row],[Fecha]],FINANCIACION[PRESTAMO],FINANCIACION[[#This Row],[PRESTAMO]])</f>
        <v>-27453600</v>
      </c>
      <c r="G120" s="140"/>
      <c r="H120" s="141" t="s">
        <v>72</v>
      </c>
      <c r="I120" s="142"/>
      <c r="J120" s="140" t="b">
        <f>+IF(FINANCIACION[[#This Row],[$ CAPITAL]]&gt;0,FINANCIACION[[#This Row],[$ CAPITAL]])</f>
        <v>0</v>
      </c>
      <c r="K120" s="143">
        <f>+IF(FINANCIACION[[#This Row],[$ CAPITAL]]&gt;=0,FINANCIACION[[#This Row],[$ CAPITAL]]+FINANCIACION[[#This Row],[$ INTERESES]],0)</f>
        <v>0</v>
      </c>
    </row>
    <row r="121" spans="1:11" ht="24" customHeight="1" x14ac:dyDescent="0.25">
      <c r="A121" s="138">
        <v>44264</v>
      </c>
      <c r="B121" s="139" t="s">
        <v>135</v>
      </c>
      <c r="C121" s="140">
        <v>1705721.0235660002</v>
      </c>
      <c r="D121" s="140">
        <v>860178.97643399995</v>
      </c>
      <c r="E121" s="140">
        <f>+IF(FINANCIACION[[#This Row],[$ CAPITAL]]&gt;=0,FINANCIACION[[#This Row],[$ CAPITAL]]+FINANCIACION[[#This Row],[$ INTERESES]],"")</f>
        <v>2565900</v>
      </c>
      <c r="F121" s="140">
        <f>+SUMIFS(FINANCIACION[$ CAPITAL],FINANCIACION[Fecha],"&lt;="&amp;FINANCIACION[[#This Row],[Fecha]],FINANCIACION[PRESTAMO],FINANCIACION[[#This Row],[PRESTAMO]])</f>
        <v>-84312176.619834006</v>
      </c>
      <c r="G121" s="140"/>
      <c r="H121" s="141"/>
      <c r="I121" s="142"/>
      <c r="J121" s="140">
        <f>+IF(FINANCIACION[[#This Row],[$ CAPITAL]]&gt;0,FINANCIACION[[#This Row],[$ CAPITAL]])</f>
        <v>1705721.0235660002</v>
      </c>
      <c r="K121" s="143">
        <f>+IF(FINANCIACION[[#This Row],[$ CAPITAL]]&gt;=0,FINANCIACION[[#This Row],[$ CAPITAL]]+FINANCIACION[[#This Row],[$ INTERESES]],0)</f>
        <v>2565900</v>
      </c>
    </row>
    <row r="122" spans="1:11" ht="24" customHeight="1" x14ac:dyDescent="0.25">
      <c r="A122" s="138">
        <v>44265</v>
      </c>
      <c r="B122" s="139" t="s">
        <v>141</v>
      </c>
      <c r="C122" s="140"/>
      <c r="D122" s="140">
        <v>130000</v>
      </c>
      <c r="E122" s="140">
        <f>+IF(FINANCIACION[[#This Row],[$ CAPITAL]]&gt;=0,FINANCIACION[[#This Row],[$ CAPITAL]]+FINANCIACION[[#This Row],[$ INTERESES]],"")</f>
        <v>130000</v>
      </c>
      <c r="F122" s="140">
        <f>+SUMIFS(FINANCIACION[$ CAPITAL],FINANCIACION[Fecha],"&lt;="&amp;FINANCIACION[[#This Row],[Fecha]],FINANCIACION[PRESTAMO],FINANCIACION[[#This Row],[PRESTAMO]])</f>
        <v>-13000000</v>
      </c>
      <c r="G122" s="140"/>
      <c r="H122" s="141"/>
      <c r="I122" s="142"/>
      <c r="J122" s="140" t="b">
        <f>+IF(FINANCIACION[[#This Row],[$ CAPITAL]]&gt;0,FINANCIACION[[#This Row],[$ CAPITAL]])</f>
        <v>0</v>
      </c>
      <c r="K122" s="143">
        <f>+IF(FINANCIACION[[#This Row],[$ CAPITAL]]&gt;=0,FINANCIACION[[#This Row],[$ CAPITAL]]+FINANCIACION[[#This Row],[$ INTERESES]],0)</f>
        <v>130000</v>
      </c>
    </row>
    <row r="123" spans="1:11" ht="24" customHeight="1" x14ac:dyDescent="0.25">
      <c r="A123" s="138">
        <v>44265</v>
      </c>
      <c r="B123" s="139" t="s">
        <v>138</v>
      </c>
      <c r="C123" s="140">
        <v>277743.10809999995</v>
      </c>
      <c r="D123" s="140">
        <v>922256.89190000005</v>
      </c>
      <c r="E123" s="140">
        <f>+IF(FINANCIACION[[#This Row],[$ CAPITAL]]&gt;=0,FINANCIACION[[#This Row],[$ CAPITAL]]+FINANCIACION[[#This Row],[$ INTERESES]],"")</f>
        <v>1200000</v>
      </c>
      <c r="F123" s="140">
        <f>+SUMIFS(FINANCIACION[$ CAPITAL],FINANCIACION[Fecha],"&lt;="&amp;FINANCIACION[[#This Row],[Fecha]],FINANCIACION[PRESTAMO],FINANCIACION[[#This Row],[PRESTAMO]])</f>
        <v>-60395160.1919</v>
      </c>
      <c r="G123" s="140"/>
      <c r="H123" s="141"/>
      <c r="I123" s="142"/>
      <c r="J123" s="140">
        <f>+IF(FINANCIACION[[#This Row],[$ CAPITAL]]&gt;0,FINANCIACION[[#This Row],[$ CAPITAL]])</f>
        <v>277743.10809999995</v>
      </c>
      <c r="K123" s="143">
        <f>+IF(FINANCIACION[[#This Row],[$ CAPITAL]]&gt;=0,FINANCIACION[[#This Row],[$ CAPITAL]]+FINANCIACION[[#This Row],[$ INTERESES]],0)</f>
        <v>1200000</v>
      </c>
    </row>
    <row r="124" spans="1:11" ht="24" customHeight="1" x14ac:dyDescent="0.25">
      <c r="A124" s="138">
        <v>44265</v>
      </c>
      <c r="B124" s="139" t="s">
        <v>136</v>
      </c>
      <c r="C124" s="140">
        <v>552687.86</v>
      </c>
      <c r="D124" s="140">
        <v>747312.14</v>
      </c>
      <c r="E124" s="140">
        <f>+IF(FINANCIACION[[#This Row],[$ CAPITAL]]&gt;=0,FINANCIACION[[#This Row],[$ CAPITAL]]+FINANCIACION[[#This Row],[$ INTERESES]],"")</f>
        <v>1300000</v>
      </c>
      <c r="F124" s="140">
        <f>+SUMIFS(FINANCIACION[$ CAPITAL],FINANCIACION[Fecha],"&lt;="&amp;FINANCIACION[[#This Row],[Fecha]],FINANCIACION[PRESTAMO],FINANCIACION[[#This Row],[PRESTAMO]])</f>
        <v>-74349214</v>
      </c>
      <c r="G124" s="140"/>
      <c r="H124" s="141"/>
      <c r="I124" s="142"/>
      <c r="J124" s="140">
        <f>+IF(FINANCIACION[[#This Row],[$ CAPITAL]]&gt;0,FINANCIACION[[#This Row],[$ CAPITAL]])</f>
        <v>552687.86</v>
      </c>
      <c r="K124" s="143">
        <f>+IF(FINANCIACION[[#This Row],[$ CAPITAL]]&gt;=0,FINANCIACION[[#This Row],[$ CAPITAL]]+FINANCIACION[[#This Row],[$ INTERESES]],0)</f>
        <v>1300000</v>
      </c>
    </row>
    <row r="125" spans="1:11" ht="24" customHeight="1" x14ac:dyDescent="0.25">
      <c r="A125" s="138">
        <v>44265</v>
      </c>
      <c r="B125" s="139" t="s">
        <v>136</v>
      </c>
      <c r="C125" s="140">
        <v>-170687.859999999</v>
      </c>
      <c r="D125" s="140"/>
      <c r="E125" s="140" t="str">
        <f>+IF(FINANCIACION[[#This Row],[$ CAPITAL]]&gt;=0,FINANCIACION[[#This Row],[$ CAPITAL]]+FINANCIACION[[#This Row],[$ INTERESES]],"")</f>
        <v/>
      </c>
      <c r="F125" s="140">
        <f>+SUMIFS(FINANCIACION[$ CAPITAL],FINANCIACION[Fecha],"&lt;="&amp;FINANCIACION[[#This Row],[Fecha]],FINANCIACION[PRESTAMO],FINANCIACION[[#This Row],[PRESTAMO]])</f>
        <v>-74349214</v>
      </c>
      <c r="G125" s="140"/>
      <c r="H125" s="141" t="s">
        <v>930</v>
      </c>
      <c r="I125" s="142"/>
      <c r="J125" s="140" t="b">
        <f>+IF(FINANCIACION[[#This Row],[$ CAPITAL]]&gt;0,FINANCIACION[[#This Row],[$ CAPITAL]])</f>
        <v>0</v>
      </c>
      <c r="K125" s="143">
        <f>+IF(FINANCIACION[[#This Row],[$ CAPITAL]]&gt;=0,FINANCIACION[[#This Row],[$ CAPITAL]]+FINANCIACION[[#This Row],[$ INTERESES]],0)</f>
        <v>0</v>
      </c>
    </row>
    <row r="126" spans="1:11" ht="24" customHeight="1" x14ac:dyDescent="0.25">
      <c r="A126" s="138">
        <v>44266</v>
      </c>
      <c r="B126" s="139" t="s">
        <v>138</v>
      </c>
      <c r="C126" s="140">
        <v>315160.19189999998</v>
      </c>
      <c r="D126" s="140"/>
      <c r="E126" s="140">
        <f>+IF(FINANCIACION[[#This Row],[$ CAPITAL]]&gt;=0,FINANCIACION[[#This Row],[$ CAPITAL]]+FINANCIACION[[#This Row],[$ INTERESES]],"")</f>
        <v>315160.19189999998</v>
      </c>
      <c r="F126" s="140">
        <f>+SUMIFS(FINANCIACION[$ CAPITAL],FINANCIACION[Fecha],"&lt;="&amp;FINANCIACION[[#This Row],[Fecha]],FINANCIACION[PRESTAMO],FINANCIACION[[#This Row],[PRESTAMO]])</f>
        <v>-60080000</v>
      </c>
      <c r="G126" s="140"/>
      <c r="H126" s="141" t="s">
        <v>926</v>
      </c>
      <c r="I126" s="142"/>
      <c r="J126" s="140">
        <f>+IF(FINANCIACION[[#This Row],[$ CAPITAL]]&gt;0,FINANCIACION[[#This Row],[$ CAPITAL]])</f>
        <v>315160.19189999998</v>
      </c>
      <c r="K126" s="143">
        <f>+IF(FINANCIACION[[#This Row],[$ CAPITAL]]&gt;=0,FINANCIACION[[#This Row],[$ CAPITAL]]+FINANCIACION[[#This Row],[$ INTERESES]],0)</f>
        <v>315160.19189999998</v>
      </c>
    </row>
    <row r="127" spans="1:11" ht="24" customHeight="1" x14ac:dyDescent="0.25">
      <c r="A127" s="138">
        <v>44284</v>
      </c>
      <c r="B127" s="139" t="s">
        <v>137</v>
      </c>
      <c r="C127" s="140">
        <v>8286154</v>
      </c>
      <c r="D127" s="140">
        <v>120765</v>
      </c>
      <c r="E127" s="140">
        <f>+IF(FINANCIACION[[#This Row],[$ CAPITAL]]&gt;=0,FINANCIACION[[#This Row],[$ CAPITAL]]+FINANCIACION[[#This Row],[$ INTERESES]],"")</f>
        <v>8406919</v>
      </c>
      <c r="F127" s="140">
        <f>+SUMIFS(FINANCIACION[$ CAPITAL],FINANCIACION[Fecha],"&lt;="&amp;FINANCIACION[[#This Row],[Fecha]],FINANCIACION[PRESTAMO],FINANCIACION[[#This Row],[PRESTAMO]])</f>
        <v>-346993550</v>
      </c>
      <c r="G127" s="140"/>
      <c r="H127" s="141"/>
      <c r="I127" s="142"/>
      <c r="J127" s="140">
        <f>+IF(FINANCIACION[[#This Row],[$ CAPITAL]]&gt;0,FINANCIACION[[#This Row],[$ CAPITAL]])</f>
        <v>8286154</v>
      </c>
      <c r="K127" s="143">
        <f>+IF(FINANCIACION[[#This Row],[$ CAPITAL]]&gt;=0,FINANCIACION[[#This Row],[$ CAPITAL]]+FINANCIACION[[#This Row],[$ INTERESES]],0)</f>
        <v>8406919</v>
      </c>
    </row>
    <row r="128" spans="1:11" ht="24" customHeight="1" x14ac:dyDescent="0.25">
      <c r="A128" s="138">
        <v>44285</v>
      </c>
      <c r="B128" s="139" t="s">
        <v>236</v>
      </c>
      <c r="C128" s="140">
        <v>1068900</v>
      </c>
      <c r="D128" s="140"/>
      <c r="E128" s="140">
        <f>+IF(FINANCIACION[[#This Row],[$ CAPITAL]]&gt;=0,FINANCIACION[[#This Row],[$ CAPITAL]]+FINANCIACION[[#This Row],[$ INTERESES]],"")</f>
        <v>1068900</v>
      </c>
      <c r="F128" s="140">
        <f>+SUMIFS(FINANCIACION[$ CAPITAL],FINANCIACION[Fecha],"&lt;="&amp;FINANCIACION[[#This Row],[Fecha]],FINANCIACION[PRESTAMO],FINANCIACION[[#This Row],[PRESTAMO]])</f>
        <v>-26384700</v>
      </c>
      <c r="G128" s="140"/>
      <c r="H128" s="141" t="s">
        <v>72</v>
      </c>
      <c r="I128" s="142"/>
      <c r="J128" s="140">
        <f>+IF(FINANCIACION[[#This Row],[$ CAPITAL]]&gt;0,FINANCIACION[[#This Row],[$ CAPITAL]])</f>
        <v>1068900</v>
      </c>
      <c r="K128" s="143">
        <f>+IF(FINANCIACION[[#This Row],[$ CAPITAL]]&gt;=0,FINANCIACION[[#This Row],[$ CAPITAL]]+FINANCIACION[[#This Row],[$ INTERESES]],0)</f>
        <v>1068900</v>
      </c>
    </row>
    <row r="129" spans="1:11" ht="24" customHeight="1" x14ac:dyDescent="0.25">
      <c r="A129" s="138">
        <v>44286</v>
      </c>
      <c r="B129" s="139" t="s">
        <v>137</v>
      </c>
      <c r="C129" s="140">
        <v>-4128919</v>
      </c>
      <c r="D129" s="140"/>
      <c r="E129" s="140" t="str">
        <f>+IF(FINANCIACION[[#This Row],[$ CAPITAL]]&gt;=0,FINANCIACION[[#This Row],[$ CAPITAL]]+FINANCIACION[[#This Row],[$ INTERESES]],"")</f>
        <v/>
      </c>
      <c r="F129" s="140">
        <f>+SUMIFS(FINANCIACION[$ CAPITAL],FINANCIACION[Fecha],"&lt;="&amp;FINANCIACION[[#This Row],[Fecha]],FINANCIACION[PRESTAMO],FINANCIACION[[#This Row],[PRESTAMO]])</f>
        <v>-351122469</v>
      </c>
      <c r="G129" s="140"/>
      <c r="H129" s="141" t="s">
        <v>72</v>
      </c>
      <c r="I129" s="142"/>
      <c r="J129" s="140" t="b">
        <f>+IF(FINANCIACION[[#This Row],[$ CAPITAL]]&gt;0,FINANCIACION[[#This Row],[$ CAPITAL]])</f>
        <v>0</v>
      </c>
      <c r="K129" s="143">
        <f>+IF(FINANCIACION[[#This Row],[$ CAPITAL]]&gt;=0,FINANCIACION[[#This Row],[$ CAPITAL]]+FINANCIACION[[#This Row],[$ INTERESES]],0)</f>
        <v>0</v>
      </c>
    </row>
    <row r="130" spans="1:11" ht="24" customHeight="1" x14ac:dyDescent="0.25">
      <c r="A130" s="138">
        <v>44299</v>
      </c>
      <c r="B130" s="139" t="s">
        <v>135</v>
      </c>
      <c r="C130" s="140">
        <v>1722778.2338016599</v>
      </c>
      <c r="D130" s="140">
        <v>843121.7661983401</v>
      </c>
      <c r="E130" s="140">
        <f>+IF(FINANCIACION[[#This Row],[$ CAPITAL]]&gt;=0,FINANCIACION[[#This Row],[$ CAPITAL]]+FINANCIACION[[#This Row],[$ INTERESES]],"")</f>
        <v>2565900</v>
      </c>
      <c r="F130" s="140">
        <f>+SUMIFS(FINANCIACION[$ CAPITAL],FINANCIACION[Fecha],"&lt;="&amp;FINANCIACION[[#This Row],[Fecha]],FINANCIACION[PRESTAMO],FINANCIACION[[#This Row],[PRESTAMO]])</f>
        <v>-82589398.386032343</v>
      </c>
      <c r="G130" s="140"/>
      <c r="H130" s="141"/>
      <c r="I130" s="142"/>
      <c r="J130" s="140">
        <f>+IF(FINANCIACION[[#This Row],[$ CAPITAL]]&gt;0,FINANCIACION[[#This Row],[$ CAPITAL]])</f>
        <v>1722778.2338016599</v>
      </c>
      <c r="K130" s="143">
        <f>+IF(FINANCIACION[[#This Row],[$ CAPITAL]]&gt;=0,FINANCIACION[[#This Row],[$ CAPITAL]]+FINANCIACION[[#This Row],[$ INTERESES]],0)</f>
        <v>2565900</v>
      </c>
    </row>
    <row r="131" spans="1:11" ht="24" customHeight="1" x14ac:dyDescent="0.25">
      <c r="A131" s="138">
        <v>44299</v>
      </c>
      <c r="B131" s="139" t="s">
        <v>138</v>
      </c>
      <c r="C131" s="140">
        <v>699200</v>
      </c>
      <c r="D131" s="140">
        <v>600800</v>
      </c>
      <c r="E131" s="140">
        <f>+IF(FINANCIACION[[#This Row],[$ CAPITAL]]&gt;=0,FINANCIACION[[#This Row],[$ CAPITAL]]+FINANCIACION[[#This Row],[$ INTERESES]],"")</f>
        <v>1300000</v>
      </c>
      <c r="F131" s="140">
        <f>+SUMIFS(FINANCIACION[$ CAPITAL],FINANCIACION[Fecha],"&lt;="&amp;FINANCIACION[[#This Row],[Fecha]],FINANCIACION[PRESTAMO],FINANCIACION[[#This Row],[PRESTAMO]])</f>
        <v>-59380800</v>
      </c>
      <c r="G131" s="140"/>
      <c r="H131" s="141"/>
      <c r="I131" s="142"/>
      <c r="J131" s="140">
        <f>+IF(FINANCIACION[[#This Row],[$ CAPITAL]]&gt;0,FINANCIACION[[#This Row],[$ CAPITAL]])</f>
        <v>699200</v>
      </c>
      <c r="K131" s="143">
        <f>+IF(FINANCIACION[[#This Row],[$ CAPITAL]]&gt;=0,FINANCIACION[[#This Row],[$ CAPITAL]]+FINANCIACION[[#This Row],[$ INTERESES]],0)</f>
        <v>1300000</v>
      </c>
    </row>
    <row r="132" spans="1:11" ht="24" customHeight="1" x14ac:dyDescent="0.25">
      <c r="A132" s="138">
        <v>44316</v>
      </c>
      <c r="B132" s="139" t="s">
        <v>137</v>
      </c>
      <c r="C132" s="140">
        <v>-3722340</v>
      </c>
      <c r="D132" s="140"/>
      <c r="E132" s="140" t="str">
        <f>+IF(FINANCIACION[[#This Row],[$ CAPITAL]]&gt;=0,FINANCIACION[[#This Row],[$ CAPITAL]]+FINANCIACION[[#This Row],[$ INTERESES]],"")</f>
        <v/>
      </c>
      <c r="F132" s="140">
        <f>+SUMIFS(FINANCIACION[$ CAPITAL],FINANCIACION[Fecha],"&lt;="&amp;FINANCIACION[[#This Row],[Fecha]],FINANCIACION[PRESTAMO],FINANCIACION[[#This Row],[PRESTAMO]])</f>
        <v>-354844809</v>
      </c>
      <c r="G132" s="140"/>
      <c r="H132" s="141" t="s">
        <v>72</v>
      </c>
      <c r="I132" s="142"/>
      <c r="J132" s="140" t="b">
        <f>+IF(FINANCIACION[[#This Row],[$ CAPITAL]]&gt;0,FINANCIACION[[#This Row],[$ CAPITAL]])</f>
        <v>0</v>
      </c>
      <c r="K132" s="143">
        <f>+IF(FINANCIACION[[#This Row],[$ CAPITAL]]&gt;=0,FINANCIACION[[#This Row],[$ CAPITAL]]+FINANCIACION[[#This Row],[$ INTERESES]],0)</f>
        <v>0</v>
      </c>
    </row>
    <row r="133" spans="1:11" ht="24" customHeight="1" x14ac:dyDescent="0.25">
      <c r="A133" s="138">
        <v>44316</v>
      </c>
      <c r="B133" s="139" t="s">
        <v>236</v>
      </c>
      <c r="C133" s="140">
        <v>-7917900</v>
      </c>
      <c r="D133" s="140"/>
      <c r="E133" s="140" t="str">
        <f>+IF(FINANCIACION[[#This Row],[$ CAPITAL]]&gt;=0,FINANCIACION[[#This Row],[$ CAPITAL]]+FINANCIACION[[#This Row],[$ INTERESES]],"")</f>
        <v/>
      </c>
      <c r="F133" s="140">
        <f>+SUMIFS(FINANCIACION[$ CAPITAL],FINANCIACION[Fecha],"&lt;="&amp;FINANCIACION[[#This Row],[Fecha]],FINANCIACION[PRESTAMO],FINANCIACION[[#This Row],[PRESTAMO]])</f>
        <v>-34302600</v>
      </c>
      <c r="G133" s="140"/>
      <c r="H133" s="141" t="s">
        <v>72</v>
      </c>
      <c r="I133" s="142"/>
      <c r="J133" s="140" t="b">
        <f>+IF(FINANCIACION[[#This Row],[$ CAPITAL]]&gt;0,FINANCIACION[[#This Row],[$ CAPITAL]])</f>
        <v>0</v>
      </c>
      <c r="K133" s="143">
        <f>+IF(FINANCIACION[[#This Row],[$ CAPITAL]]&gt;=0,FINANCIACION[[#This Row],[$ CAPITAL]]+FINANCIACION[[#This Row],[$ INTERESES]],0)</f>
        <v>0</v>
      </c>
    </row>
    <row r="134" spans="1:11" ht="24" customHeight="1" x14ac:dyDescent="0.25">
      <c r="A134" s="138">
        <v>44320</v>
      </c>
      <c r="B134" s="139" t="s">
        <v>137</v>
      </c>
      <c r="C134" s="140">
        <v>5000000</v>
      </c>
      <c r="D134" s="140"/>
      <c r="E134" s="140">
        <f>+IF(FINANCIACION[[#This Row],[$ CAPITAL]]&gt;=0,FINANCIACION[[#This Row],[$ CAPITAL]]+FINANCIACION[[#This Row],[$ INTERESES]],"")</f>
        <v>5000000</v>
      </c>
      <c r="F134" s="140">
        <f>+SUMIFS(FINANCIACION[$ CAPITAL],FINANCIACION[Fecha],"&lt;="&amp;FINANCIACION[[#This Row],[Fecha]],FINANCIACION[PRESTAMO],FINANCIACION[[#This Row],[PRESTAMO]])</f>
        <v>-349844809</v>
      </c>
      <c r="G134" s="140"/>
      <c r="H134" s="141"/>
      <c r="I134" s="142"/>
      <c r="J134" s="140">
        <f>+IF(FINANCIACION[[#This Row],[$ CAPITAL]]&gt;0,FINANCIACION[[#This Row],[$ CAPITAL]])</f>
        <v>5000000</v>
      </c>
      <c r="K134" s="143">
        <f>+IF(FINANCIACION[[#This Row],[$ CAPITAL]]&gt;=0,FINANCIACION[[#This Row],[$ CAPITAL]]+FINANCIACION[[#This Row],[$ INTERESES]],0)</f>
        <v>5000000</v>
      </c>
    </row>
    <row r="135" spans="1:11" ht="24" customHeight="1" x14ac:dyDescent="0.25">
      <c r="A135" s="138">
        <v>44328</v>
      </c>
      <c r="B135" s="139" t="s">
        <v>137</v>
      </c>
      <c r="C135" s="140">
        <v>918187</v>
      </c>
      <c r="D135" s="140"/>
      <c r="E135" s="140">
        <f>+IF(FINANCIACION[[#This Row],[$ CAPITAL]]&gt;=0,FINANCIACION[[#This Row],[$ CAPITAL]]+FINANCIACION[[#This Row],[$ INTERESES]],"")</f>
        <v>918187</v>
      </c>
      <c r="F135" s="140">
        <f>+SUMIFS(FINANCIACION[$ CAPITAL],FINANCIACION[Fecha],"&lt;="&amp;FINANCIACION[[#This Row],[Fecha]],FINANCIACION[PRESTAMO],FINANCIACION[[#This Row],[PRESTAMO]])</f>
        <v>-348926622</v>
      </c>
      <c r="G135" s="140"/>
      <c r="H135" s="141"/>
      <c r="I135" s="142"/>
      <c r="J135" s="140">
        <f>+IF(FINANCIACION[[#This Row],[$ CAPITAL]]&gt;0,FINANCIACION[[#This Row],[$ CAPITAL]])</f>
        <v>918187</v>
      </c>
      <c r="K135" s="143">
        <f>+IF(FINANCIACION[[#This Row],[$ CAPITAL]]&gt;=0,FINANCIACION[[#This Row],[$ CAPITAL]]+FINANCIACION[[#This Row],[$ INTERESES]],0)</f>
        <v>918187</v>
      </c>
    </row>
    <row r="136" spans="1:11" ht="24" customHeight="1" x14ac:dyDescent="0.25">
      <c r="A136" s="138">
        <v>44340</v>
      </c>
      <c r="B136" s="139" t="s">
        <v>136</v>
      </c>
      <c r="C136" s="140">
        <v>458214.73859999992</v>
      </c>
      <c r="D136" s="140">
        <v>741785.26140000008</v>
      </c>
      <c r="E136" s="140">
        <f>+IF(FINANCIACION[[#This Row],[$ CAPITAL]]&gt;=0,FINANCIACION[[#This Row],[$ CAPITAL]]+FINANCIACION[[#This Row],[$ INTERESES]],"")</f>
        <v>1200000</v>
      </c>
      <c r="F136" s="140">
        <f>+SUMIFS(FINANCIACION[$ CAPITAL],FINANCIACION[Fecha],"&lt;="&amp;FINANCIACION[[#This Row],[Fecha]],FINANCIACION[PRESTAMO],FINANCIACION[[#This Row],[PRESTAMO]])</f>
        <v>-73890999.261399999</v>
      </c>
      <c r="G136" s="140"/>
      <c r="H136" s="141"/>
      <c r="I136" s="142"/>
      <c r="J136" s="140">
        <f>+IF(FINANCIACION[[#This Row],[$ CAPITAL]]&gt;0,FINANCIACION[[#This Row],[$ CAPITAL]])</f>
        <v>458214.73859999992</v>
      </c>
      <c r="K136" s="143">
        <f>+IF(FINANCIACION[[#This Row],[$ CAPITAL]]&gt;=0,FINANCIACION[[#This Row],[$ CAPITAL]]+FINANCIACION[[#This Row],[$ INTERESES]],0)</f>
        <v>1200000</v>
      </c>
    </row>
    <row r="137" spans="1:11" ht="24" customHeight="1" x14ac:dyDescent="0.25">
      <c r="A137" s="138">
        <v>44344</v>
      </c>
      <c r="B137" s="139" t="s">
        <v>138</v>
      </c>
      <c r="C137" s="140">
        <v>706192</v>
      </c>
      <c r="D137" s="140">
        <v>593808</v>
      </c>
      <c r="E137" s="140">
        <f>+IF(FINANCIACION[[#This Row],[$ CAPITAL]]&gt;=0,FINANCIACION[[#This Row],[$ CAPITAL]]+FINANCIACION[[#This Row],[$ INTERESES]],"")</f>
        <v>1300000</v>
      </c>
      <c r="F137" s="140">
        <f>+SUMIFS(FINANCIACION[$ CAPITAL],FINANCIACION[Fecha],"&lt;="&amp;FINANCIACION[[#This Row],[Fecha]],FINANCIACION[PRESTAMO],FINANCIACION[[#This Row],[PRESTAMO]])</f>
        <v>-58674608</v>
      </c>
      <c r="G137" s="140"/>
      <c r="H137" s="141"/>
      <c r="I137" s="142"/>
      <c r="J137" s="140">
        <f>+IF(FINANCIACION[[#This Row],[$ CAPITAL]]&gt;0,FINANCIACION[[#This Row],[$ CAPITAL]])</f>
        <v>706192</v>
      </c>
      <c r="K137" s="143">
        <f>+IF(FINANCIACION[[#This Row],[$ CAPITAL]]&gt;=0,FINANCIACION[[#This Row],[$ CAPITAL]]+FINANCIACION[[#This Row],[$ INTERESES]],0)</f>
        <v>1300000</v>
      </c>
    </row>
    <row r="138" spans="1:11" ht="24" customHeight="1" x14ac:dyDescent="0.25">
      <c r="A138" s="138">
        <v>44346</v>
      </c>
      <c r="B138" s="139" t="s">
        <v>137</v>
      </c>
      <c r="C138" s="140">
        <v>-7131410</v>
      </c>
      <c r="D138" s="140"/>
      <c r="E138" s="140" t="str">
        <f>+IF(FINANCIACION[[#This Row],[$ CAPITAL]]&gt;=0,FINANCIACION[[#This Row],[$ CAPITAL]]+FINANCIACION[[#This Row],[$ INTERESES]],"")</f>
        <v/>
      </c>
      <c r="F138" s="140">
        <f>+SUMIFS(FINANCIACION[$ CAPITAL],FINANCIACION[Fecha],"&lt;="&amp;FINANCIACION[[#This Row],[Fecha]],FINANCIACION[PRESTAMO],FINANCIACION[[#This Row],[PRESTAMO]])</f>
        <v>-356058032</v>
      </c>
      <c r="G138" s="140"/>
      <c r="H138" s="141" t="s">
        <v>72</v>
      </c>
      <c r="I138" s="142"/>
      <c r="J138" s="140" t="b">
        <f>+IF(FINANCIACION[[#This Row],[$ CAPITAL]]&gt;0,FINANCIACION[[#This Row],[$ CAPITAL]])</f>
        <v>0</v>
      </c>
      <c r="K138" s="143">
        <f>+IF(FINANCIACION[[#This Row],[$ CAPITAL]]&gt;=0,FINANCIACION[[#This Row],[$ CAPITAL]]+FINANCIACION[[#This Row],[$ INTERESES]],0)</f>
        <v>0</v>
      </c>
    </row>
    <row r="139" spans="1:11" ht="24" customHeight="1" x14ac:dyDescent="0.25">
      <c r="A139" s="138">
        <v>44346</v>
      </c>
      <c r="B139" s="139" t="s">
        <v>236</v>
      </c>
      <c r="C139" s="140">
        <v>936000</v>
      </c>
      <c r="D139" s="140"/>
      <c r="E139" s="140">
        <f>+IF(FINANCIACION[[#This Row],[$ CAPITAL]]&gt;=0,FINANCIACION[[#This Row],[$ CAPITAL]]+FINANCIACION[[#This Row],[$ INTERESES]],"")</f>
        <v>936000</v>
      </c>
      <c r="F139" s="140">
        <f>+SUMIFS(FINANCIACION[$ CAPITAL],FINANCIACION[Fecha],"&lt;="&amp;FINANCIACION[[#This Row],[Fecha]],FINANCIACION[PRESTAMO],FINANCIACION[[#This Row],[PRESTAMO]])</f>
        <v>-33366600</v>
      </c>
      <c r="G139" s="140"/>
      <c r="H139" s="141"/>
      <c r="I139" s="142"/>
      <c r="J139" s="140">
        <f>+IF(FINANCIACION[[#This Row],[$ CAPITAL]]&gt;0,FINANCIACION[[#This Row],[$ CAPITAL]])</f>
        <v>936000</v>
      </c>
      <c r="K139" s="143">
        <f>+IF(FINANCIACION[[#This Row],[$ CAPITAL]]&gt;=0,FINANCIACION[[#This Row],[$ CAPITAL]]+FINANCIACION[[#This Row],[$ INTERESES]],0)</f>
        <v>936000</v>
      </c>
    </row>
    <row r="140" spans="1:11" ht="24" customHeight="1" x14ac:dyDescent="0.25">
      <c r="A140" s="138">
        <v>44350</v>
      </c>
      <c r="B140" s="139" t="s">
        <v>236</v>
      </c>
      <c r="C140" s="140">
        <v>3642290</v>
      </c>
      <c r="D140" s="140"/>
      <c r="E140" s="140">
        <f>+IF(FINANCIACION[[#This Row],[$ CAPITAL]]&gt;=0,FINANCIACION[[#This Row],[$ CAPITAL]]+FINANCIACION[[#This Row],[$ INTERESES]],"")</f>
        <v>3642290</v>
      </c>
      <c r="F140" s="140">
        <f>+SUMIFS(FINANCIACION[$ CAPITAL],FINANCIACION[Fecha],"&lt;="&amp;FINANCIACION[[#This Row],[Fecha]],FINANCIACION[PRESTAMO],FINANCIACION[[#This Row],[PRESTAMO]])</f>
        <v>-29724310</v>
      </c>
      <c r="G140" s="140"/>
      <c r="H140" s="141"/>
      <c r="I140" s="142"/>
      <c r="J140" s="140">
        <f>+IF(FINANCIACION[[#This Row],[$ CAPITAL]]&gt;0,FINANCIACION[[#This Row],[$ CAPITAL]])</f>
        <v>3642290</v>
      </c>
      <c r="K140" s="143">
        <f>+IF(FINANCIACION[[#This Row],[$ CAPITAL]]&gt;=0,FINANCIACION[[#This Row],[$ CAPITAL]]+FINANCIACION[[#This Row],[$ INTERESES]],0)</f>
        <v>3642290</v>
      </c>
    </row>
    <row r="141" spans="1:11" ht="24" customHeight="1" x14ac:dyDescent="0.25">
      <c r="A141" s="138">
        <v>44357</v>
      </c>
      <c r="B141" s="139" t="s">
        <v>135</v>
      </c>
      <c r="C141" s="140">
        <v>1851506.0161396766</v>
      </c>
      <c r="D141" s="140">
        <v>825893.98386032344</v>
      </c>
      <c r="E141" s="140">
        <f>+IF(FINANCIACION[[#This Row],[$ CAPITAL]]&gt;=0,FINANCIACION[[#This Row],[$ CAPITAL]]+FINANCIACION[[#This Row],[$ INTERESES]],"")</f>
        <v>2677400</v>
      </c>
      <c r="F141" s="140">
        <f>+SUMIFS(FINANCIACION[$ CAPITAL],FINANCIACION[Fecha],"&lt;="&amp;FINANCIACION[[#This Row],[Fecha]],FINANCIACION[PRESTAMO],FINANCIACION[[#This Row],[PRESTAMO]])</f>
        <v>-80737892.369892672</v>
      </c>
      <c r="G141" s="140"/>
      <c r="H141" s="141"/>
      <c r="I141" s="142"/>
      <c r="J141" s="140">
        <f>+IF(FINANCIACION[[#This Row],[$ CAPITAL]]&gt;0,FINANCIACION[[#This Row],[$ CAPITAL]])</f>
        <v>1851506.0161396766</v>
      </c>
      <c r="K141" s="143">
        <f>+IF(FINANCIACION[[#This Row],[$ CAPITAL]]&gt;=0,FINANCIACION[[#This Row],[$ CAPITAL]]+FINANCIACION[[#This Row],[$ INTERESES]],0)</f>
        <v>2677400</v>
      </c>
    </row>
    <row r="142" spans="1:11" ht="24" customHeight="1" x14ac:dyDescent="0.25">
      <c r="A142" s="138">
        <v>44358</v>
      </c>
      <c r="B142" s="139" t="s">
        <v>138</v>
      </c>
      <c r="C142" s="140">
        <v>713253.92</v>
      </c>
      <c r="D142" s="140">
        <v>586746.07999999996</v>
      </c>
      <c r="E142" s="140">
        <f>+IF(FINANCIACION[[#This Row],[$ CAPITAL]]&gt;=0,FINANCIACION[[#This Row],[$ CAPITAL]]+FINANCIACION[[#This Row],[$ INTERESES]],"")</f>
        <v>1300000</v>
      </c>
      <c r="F142" s="140">
        <f>+SUMIFS(FINANCIACION[$ CAPITAL],FINANCIACION[Fecha],"&lt;="&amp;FINANCIACION[[#This Row],[Fecha]],FINANCIACION[PRESTAMO],FINANCIACION[[#This Row],[PRESTAMO]])</f>
        <v>-57961354.079999998</v>
      </c>
      <c r="G142" s="140"/>
      <c r="H142" s="141"/>
      <c r="I142" s="142"/>
      <c r="J142" s="140">
        <f>+IF(FINANCIACION[[#This Row],[$ CAPITAL]]&gt;0,FINANCIACION[[#This Row],[$ CAPITAL]])</f>
        <v>713253.92</v>
      </c>
      <c r="K142" s="143">
        <f>+IF(FINANCIACION[[#This Row],[$ CAPITAL]]&gt;=0,FINANCIACION[[#This Row],[$ CAPITAL]]+FINANCIACION[[#This Row],[$ INTERESES]],0)</f>
        <v>1300000</v>
      </c>
    </row>
    <row r="143" spans="1:11" ht="24" customHeight="1" x14ac:dyDescent="0.25">
      <c r="A143" s="138">
        <v>44358</v>
      </c>
      <c r="B143" s="139" t="s">
        <v>136</v>
      </c>
      <c r="C143" s="140">
        <v>462796.88598599995</v>
      </c>
      <c r="D143" s="140">
        <v>737203.11401400005</v>
      </c>
      <c r="E143" s="140">
        <f>+IF(FINANCIACION[[#This Row],[$ CAPITAL]]&gt;=0,FINANCIACION[[#This Row],[$ CAPITAL]]+FINANCIACION[[#This Row],[$ INTERESES]],"")</f>
        <v>1200000</v>
      </c>
      <c r="F143" s="140">
        <f>+SUMIFS(FINANCIACION[$ CAPITAL],FINANCIACION[Fecha],"&lt;="&amp;FINANCIACION[[#This Row],[Fecha]],FINANCIACION[PRESTAMO],FINANCIACION[[#This Row],[PRESTAMO]])</f>
        <v>-73428202.375413999</v>
      </c>
      <c r="G143" s="140"/>
      <c r="H143" s="141"/>
      <c r="I143" s="142"/>
      <c r="J143" s="140">
        <f>+IF(FINANCIACION[[#This Row],[$ CAPITAL]]&gt;0,FINANCIACION[[#This Row],[$ CAPITAL]])</f>
        <v>462796.88598599995</v>
      </c>
      <c r="K143" s="143">
        <f>+IF(FINANCIACION[[#This Row],[$ CAPITAL]]&gt;=0,FINANCIACION[[#This Row],[$ CAPITAL]]+FINANCIACION[[#This Row],[$ INTERESES]],0)</f>
        <v>1200000</v>
      </c>
    </row>
    <row r="144" spans="1:11" ht="24" customHeight="1" x14ac:dyDescent="0.25">
      <c r="A144" s="138">
        <v>44362</v>
      </c>
      <c r="B144" s="139" t="s">
        <v>136</v>
      </c>
      <c r="C144" s="140">
        <v>-3000000</v>
      </c>
      <c r="D144" s="140"/>
      <c r="E144" s="140" t="str">
        <f>+IF(FINANCIACION[[#This Row],[$ CAPITAL]]&gt;=0,FINANCIACION[[#This Row],[$ CAPITAL]]+FINANCIACION[[#This Row],[$ INTERESES]],"")</f>
        <v/>
      </c>
      <c r="F144" s="140">
        <f>+SUMIFS(FINANCIACION[$ CAPITAL],FINANCIACION[Fecha],"&lt;="&amp;FINANCIACION[[#This Row],[Fecha]],FINANCIACION[PRESTAMO],FINANCIACION[[#This Row],[PRESTAMO]])</f>
        <v>-76428202.375413999</v>
      </c>
      <c r="G144" s="140"/>
      <c r="H144" s="141" t="s">
        <v>931</v>
      </c>
      <c r="I144" s="142"/>
      <c r="J144" s="140" t="b">
        <f>+IF(FINANCIACION[[#This Row],[$ CAPITAL]]&gt;0,FINANCIACION[[#This Row],[$ CAPITAL]])</f>
        <v>0</v>
      </c>
      <c r="K144" s="143">
        <f>+IF(FINANCIACION[[#This Row],[$ CAPITAL]]&gt;=0,FINANCIACION[[#This Row],[$ CAPITAL]]+FINANCIACION[[#This Row],[$ INTERESES]],0)</f>
        <v>0</v>
      </c>
    </row>
    <row r="145" spans="1:11" ht="24" customHeight="1" x14ac:dyDescent="0.25">
      <c r="A145" s="138">
        <v>44363</v>
      </c>
      <c r="B145" s="139" t="s">
        <v>141</v>
      </c>
      <c r="C145" s="140"/>
      <c r="D145" s="140">
        <v>390000</v>
      </c>
      <c r="E145" s="140">
        <f>+IF(FINANCIACION[[#This Row],[$ CAPITAL]]&gt;=0,FINANCIACION[[#This Row],[$ CAPITAL]]+FINANCIACION[[#This Row],[$ INTERESES]],"")</f>
        <v>390000</v>
      </c>
      <c r="F145" s="140">
        <f>+SUMIFS(FINANCIACION[$ CAPITAL],FINANCIACION[Fecha],"&lt;="&amp;FINANCIACION[[#This Row],[Fecha]],FINANCIACION[PRESTAMO],FINANCIACION[[#This Row],[PRESTAMO]])</f>
        <v>-13000000</v>
      </c>
      <c r="G145" s="140"/>
      <c r="H145" s="141"/>
      <c r="I145" s="142"/>
      <c r="J145" s="140" t="b">
        <f>+IF(FINANCIACION[[#This Row],[$ CAPITAL]]&gt;0,FINANCIACION[[#This Row],[$ CAPITAL]])</f>
        <v>0</v>
      </c>
      <c r="K145" s="143">
        <f>+IF(FINANCIACION[[#This Row],[$ CAPITAL]]&gt;=0,FINANCIACION[[#This Row],[$ CAPITAL]]+FINANCIACION[[#This Row],[$ INTERESES]],0)</f>
        <v>390000</v>
      </c>
    </row>
    <row r="146" spans="1:11" ht="24" customHeight="1" x14ac:dyDescent="0.25">
      <c r="A146" s="138">
        <v>44365</v>
      </c>
      <c r="B146" s="139" t="s">
        <v>236</v>
      </c>
      <c r="C146" s="140">
        <v>5968720</v>
      </c>
      <c r="D146" s="140"/>
      <c r="E146" s="140">
        <f>+IF(FINANCIACION[[#This Row],[$ CAPITAL]]&gt;=0,FINANCIACION[[#This Row],[$ CAPITAL]]+FINANCIACION[[#This Row],[$ INTERESES]],"")</f>
        <v>5968720</v>
      </c>
      <c r="F146" s="140">
        <f>+SUMIFS(FINANCIACION[$ CAPITAL],FINANCIACION[Fecha],"&lt;="&amp;FINANCIACION[[#This Row],[Fecha]],FINANCIACION[PRESTAMO],FINANCIACION[[#This Row],[PRESTAMO]])</f>
        <v>-23755590</v>
      </c>
      <c r="G146" s="140"/>
      <c r="H146" s="141"/>
      <c r="I146" s="142"/>
      <c r="J146" s="140">
        <f>+IF(FINANCIACION[[#This Row],[$ CAPITAL]]&gt;0,FINANCIACION[[#This Row],[$ CAPITAL]])</f>
        <v>5968720</v>
      </c>
      <c r="K146" s="143">
        <f>+IF(FINANCIACION[[#This Row],[$ CAPITAL]]&gt;=0,FINANCIACION[[#This Row],[$ CAPITAL]]+FINANCIACION[[#This Row],[$ INTERESES]],0)</f>
        <v>5968720</v>
      </c>
    </row>
    <row r="147" spans="1:11" ht="24" customHeight="1" x14ac:dyDescent="0.25">
      <c r="A147" s="138">
        <v>44375</v>
      </c>
      <c r="B147" s="139" t="s">
        <v>137</v>
      </c>
      <c r="C147" s="140">
        <v>11613334</v>
      </c>
      <c r="D147" s="140">
        <v>235877</v>
      </c>
      <c r="E147" s="140">
        <f>+IF(FINANCIACION[[#This Row],[$ CAPITAL]]&gt;=0,FINANCIACION[[#This Row],[$ CAPITAL]]+FINANCIACION[[#This Row],[$ INTERESES]],"")</f>
        <v>11849211</v>
      </c>
      <c r="F147" s="140">
        <f>+SUMIFS(FINANCIACION[$ CAPITAL],FINANCIACION[Fecha],"&lt;="&amp;FINANCIACION[[#This Row],[Fecha]],FINANCIACION[PRESTAMO],FINANCIACION[[#This Row],[PRESTAMO]])</f>
        <v>-344444698</v>
      </c>
      <c r="G147" s="140"/>
      <c r="H147" s="141"/>
      <c r="I147" s="142"/>
      <c r="J147" s="140">
        <f>+IF(FINANCIACION[[#This Row],[$ CAPITAL]]&gt;0,FINANCIACION[[#This Row],[$ CAPITAL]])</f>
        <v>11613334</v>
      </c>
      <c r="K147" s="143">
        <f>+IF(FINANCIACION[[#This Row],[$ CAPITAL]]&gt;=0,FINANCIACION[[#This Row],[$ CAPITAL]]+FINANCIACION[[#This Row],[$ INTERESES]],0)</f>
        <v>11849211</v>
      </c>
    </row>
    <row r="148" spans="1:11" ht="24" customHeight="1" x14ac:dyDescent="0.25">
      <c r="A148" s="138">
        <v>44377</v>
      </c>
      <c r="B148" s="139" t="s">
        <v>236</v>
      </c>
      <c r="C148" s="140">
        <v>1790</v>
      </c>
      <c r="D148" s="140"/>
      <c r="E148" s="140">
        <f>+IF(FINANCIACION[[#This Row],[$ CAPITAL]]&gt;=0,FINANCIACION[[#This Row],[$ CAPITAL]]+FINANCIACION[[#This Row],[$ INTERESES]],"")</f>
        <v>1790</v>
      </c>
      <c r="F148" s="140">
        <f>+SUMIFS(FINANCIACION[$ CAPITAL],FINANCIACION[Fecha],"&lt;="&amp;FINANCIACION[[#This Row],[Fecha]],FINANCIACION[PRESTAMO],FINANCIACION[[#This Row],[PRESTAMO]])</f>
        <v>-23753800</v>
      </c>
      <c r="G148" s="140"/>
      <c r="H148" s="141" t="s">
        <v>72</v>
      </c>
      <c r="I148" s="142"/>
      <c r="J148" s="140">
        <f>+IF(FINANCIACION[[#This Row],[$ CAPITAL]]&gt;0,FINANCIACION[[#This Row],[$ CAPITAL]])</f>
        <v>1790</v>
      </c>
      <c r="K148" s="143">
        <f>+IF(FINANCIACION[[#This Row],[$ CAPITAL]]&gt;=0,FINANCIACION[[#This Row],[$ CAPITAL]]+FINANCIACION[[#This Row],[$ INTERESES]],0)</f>
        <v>1790</v>
      </c>
    </row>
    <row r="149" spans="1:11" ht="24" customHeight="1" x14ac:dyDescent="0.25">
      <c r="A149" s="138">
        <v>44389</v>
      </c>
      <c r="B149" s="139" t="s">
        <v>136</v>
      </c>
      <c r="C149" s="140">
        <v>3000000</v>
      </c>
      <c r="D149" s="140"/>
      <c r="E149" s="140">
        <f>+IF(FINANCIACION[[#This Row],[$ CAPITAL]]&gt;=0,FINANCIACION[[#This Row],[$ CAPITAL]]+FINANCIACION[[#This Row],[$ INTERESES]],"")</f>
        <v>3000000</v>
      </c>
      <c r="F149" s="140">
        <f>+SUMIFS(FINANCIACION[$ CAPITAL],FINANCIACION[Fecha],"&lt;="&amp;FINANCIACION[[#This Row],[Fecha]],FINANCIACION[PRESTAMO],FINANCIACION[[#This Row],[PRESTAMO]])</f>
        <v>-73428202.375413999</v>
      </c>
      <c r="G149" s="140"/>
      <c r="H149" s="141"/>
      <c r="I149" s="142"/>
      <c r="J149" s="140">
        <f>+IF(FINANCIACION[[#This Row],[$ CAPITAL]]&gt;0,FINANCIACION[[#This Row],[$ CAPITAL]])</f>
        <v>3000000</v>
      </c>
      <c r="K149" s="143">
        <f>+IF(FINANCIACION[[#This Row],[$ CAPITAL]]&gt;=0,FINANCIACION[[#This Row],[$ CAPITAL]]+FINANCIACION[[#This Row],[$ INTERESES]],0)</f>
        <v>3000000</v>
      </c>
    </row>
    <row r="150" spans="1:11" ht="24" customHeight="1" x14ac:dyDescent="0.25">
      <c r="A150" s="138">
        <v>44389</v>
      </c>
      <c r="B150" s="139" t="s">
        <v>236</v>
      </c>
      <c r="C150" s="140">
        <v>3829460</v>
      </c>
      <c r="D150" s="140"/>
      <c r="E150" s="140">
        <f>+IF(FINANCIACION[[#This Row],[$ CAPITAL]]&gt;=0,FINANCIACION[[#This Row],[$ CAPITAL]]+FINANCIACION[[#This Row],[$ INTERESES]],"")</f>
        <v>3829460</v>
      </c>
      <c r="F150" s="140">
        <f>+SUMIFS(FINANCIACION[$ CAPITAL],FINANCIACION[Fecha],"&lt;="&amp;FINANCIACION[[#This Row],[Fecha]],FINANCIACION[PRESTAMO],FINANCIACION[[#This Row],[PRESTAMO]])</f>
        <v>-19924340</v>
      </c>
      <c r="G150" s="140"/>
      <c r="H150" s="141"/>
      <c r="I150" s="142"/>
      <c r="J150" s="140">
        <f>+IF(FINANCIACION[[#This Row],[$ CAPITAL]]&gt;0,FINANCIACION[[#This Row],[$ CAPITAL]])</f>
        <v>3829460</v>
      </c>
      <c r="K150" s="143">
        <f>+IF(FINANCIACION[[#This Row],[$ CAPITAL]]&gt;=0,FINANCIACION[[#This Row],[$ CAPITAL]]+FINANCIACION[[#This Row],[$ INTERESES]],0)</f>
        <v>3829460</v>
      </c>
    </row>
    <row r="151" spans="1:11" ht="24" customHeight="1" x14ac:dyDescent="0.25">
      <c r="A151" s="138">
        <v>44390</v>
      </c>
      <c r="B151" s="139" t="s">
        <v>141</v>
      </c>
      <c r="C151" s="140"/>
      <c r="D151" s="140">
        <v>130000</v>
      </c>
      <c r="E151" s="140">
        <f>+IF(FINANCIACION[[#This Row],[$ CAPITAL]]&gt;=0,FINANCIACION[[#This Row],[$ CAPITAL]]+FINANCIACION[[#This Row],[$ INTERESES]],"")</f>
        <v>130000</v>
      </c>
      <c r="F151" s="140">
        <f>+SUMIFS(FINANCIACION[$ CAPITAL],FINANCIACION[Fecha],"&lt;="&amp;FINANCIACION[[#This Row],[Fecha]],FINANCIACION[PRESTAMO],FINANCIACION[[#This Row],[PRESTAMO]])</f>
        <v>-13000000</v>
      </c>
      <c r="G151" s="140"/>
      <c r="H151" s="141"/>
      <c r="I151" s="142"/>
      <c r="J151" s="140" t="b">
        <f>+IF(FINANCIACION[[#This Row],[$ CAPITAL]]&gt;0,FINANCIACION[[#This Row],[$ CAPITAL]])</f>
        <v>0</v>
      </c>
      <c r="K151" s="143">
        <f>+IF(FINANCIACION[[#This Row],[$ CAPITAL]]&gt;=0,FINANCIACION[[#This Row],[$ CAPITAL]]+FINANCIACION[[#This Row],[$ INTERESES]],0)</f>
        <v>130000</v>
      </c>
    </row>
    <row r="152" spans="1:11" ht="24" customHeight="1" x14ac:dyDescent="0.25">
      <c r="A152" s="138">
        <v>44390</v>
      </c>
      <c r="B152" s="139" t="s">
        <v>135</v>
      </c>
      <c r="C152" s="140">
        <v>1859999.0763010732</v>
      </c>
      <c r="D152" s="140">
        <v>807378.92369892669</v>
      </c>
      <c r="E152" s="140">
        <f>+IF(FINANCIACION[[#This Row],[$ CAPITAL]]&gt;=0,FINANCIACION[[#This Row],[$ CAPITAL]]+FINANCIACION[[#This Row],[$ INTERESES]],"")</f>
        <v>2667378</v>
      </c>
      <c r="F152" s="140">
        <f>+SUMIFS(FINANCIACION[$ CAPITAL],FINANCIACION[Fecha],"&lt;="&amp;FINANCIACION[[#This Row],[Fecha]],FINANCIACION[PRESTAMO],FINANCIACION[[#This Row],[PRESTAMO]])</f>
        <v>-78877893.293591604</v>
      </c>
      <c r="G152" s="140"/>
      <c r="H152" s="141"/>
      <c r="I152" s="142"/>
      <c r="J152" s="140">
        <f>+IF(FINANCIACION[[#This Row],[$ CAPITAL]]&gt;0,FINANCIACION[[#This Row],[$ CAPITAL]])</f>
        <v>1859999.0763010732</v>
      </c>
      <c r="K152" s="143">
        <f>+IF(FINANCIACION[[#This Row],[$ CAPITAL]]&gt;=0,FINANCIACION[[#This Row],[$ CAPITAL]]+FINANCIACION[[#This Row],[$ INTERESES]],0)</f>
        <v>2667378</v>
      </c>
    </row>
    <row r="153" spans="1:11" ht="24" customHeight="1" x14ac:dyDescent="0.25">
      <c r="A153" s="138">
        <v>44390</v>
      </c>
      <c r="B153" s="139" t="s">
        <v>138</v>
      </c>
      <c r="C153" s="140">
        <v>720386.45920000004</v>
      </c>
      <c r="D153" s="140">
        <v>579613.54079999996</v>
      </c>
      <c r="E153" s="140">
        <f>+IF(FINANCIACION[[#This Row],[$ CAPITAL]]&gt;=0,FINANCIACION[[#This Row],[$ CAPITAL]]+FINANCIACION[[#This Row],[$ INTERESES]],"")</f>
        <v>1300000</v>
      </c>
      <c r="F153" s="140">
        <f>+SUMIFS(FINANCIACION[$ CAPITAL],FINANCIACION[Fecha],"&lt;="&amp;FINANCIACION[[#This Row],[Fecha]],FINANCIACION[PRESTAMO],FINANCIACION[[#This Row],[PRESTAMO]])</f>
        <v>-57240967.620799996</v>
      </c>
      <c r="G153" s="140"/>
      <c r="H153" s="141"/>
      <c r="I153" s="142"/>
      <c r="J153" s="140">
        <f>+IF(FINANCIACION[[#This Row],[$ CAPITAL]]&gt;0,FINANCIACION[[#This Row],[$ CAPITAL]])</f>
        <v>720386.45920000004</v>
      </c>
      <c r="K153" s="143">
        <f>+IF(FINANCIACION[[#This Row],[$ CAPITAL]]&gt;=0,FINANCIACION[[#This Row],[$ CAPITAL]]+FINANCIACION[[#This Row],[$ INTERESES]],0)</f>
        <v>1300000</v>
      </c>
    </row>
    <row r="154" spans="1:11" ht="24" customHeight="1" x14ac:dyDescent="0.25">
      <c r="A154" s="138">
        <v>44390</v>
      </c>
      <c r="B154" s="139" t="s">
        <v>136</v>
      </c>
      <c r="C154" s="140">
        <v>467424.85484586004</v>
      </c>
      <c r="D154" s="140">
        <v>732575.14515413996</v>
      </c>
      <c r="E154" s="140">
        <f>+IF(FINANCIACION[[#This Row],[$ CAPITAL]]&gt;=0,FINANCIACION[[#This Row],[$ CAPITAL]]+FINANCIACION[[#This Row],[$ INTERESES]],"")</f>
        <v>1200000</v>
      </c>
      <c r="F154" s="140">
        <f>+SUMIFS(FINANCIACION[$ CAPITAL],FINANCIACION[Fecha],"&lt;="&amp;FINANCIACION[[#This Row],[Fecha]],FINANCIACION[PRESTAMO],FINANCIACION[[#This Row],[PRESTAMO]])</f>
        <v>-72960777.520568132</v>
      </c>
      <c r="G154" s="140"/>
      <c r="H154" s="141"/>
      <c r="I154" s="142"/>
      <c r="J154" s="140">
        <f>+IF(FINANCIACION[[#This Row],[$ CAPITAL]]&gt;0,FINANCIACION[[#This Row],[$ CAPITAL]])</f>
        <v>467424.85484586004</v>
      </c>
      <c r="K154" s="143">
        <f>+IF(FINANCIACION[[#This Row],[$ CAPITAL]]&gt;=0,FINANCIACION[[#This Row],[$ CAPITAL]]+FINANCIACION[[#This Row],[$ INTERESES]],0)</f>
        <v>1200000</v>
      </c>
    </row>
    <row r="155" spans="1:11" ht="24" customHeight="1" x14ac:dyDescent="0.25">
      <c r="A155" s="138">
        <v>44396</v>
      </c>
      <c r="B155" s="139" t="s">
        <v>236</v>
      </c>
      <c r="C155" s="140">
        <v>3808460</v>
      </c>
      <c r="D155" s="140"/>
      <c r="E155" s="140">
        <f>+IF(FINANCIACION[[#This Row],[$ CAPITAL]]&gt;=0,FINANCIACION[[#This Row],[$ CAPITAL]]+FINANCIACION[[#This Row],[$ INTERESES]],"")</f>
        <v>3808460</v>
      </c>
      <c r="F155" s="140">
        <f>+SUMIFS(FINANCIACION[$ CAPITAL],FINANCIACION[Fecha],"&lt;="&amp;FINANCIACION[[#This Row],[Fecha]],FINANCIACION[PRESTAMO],FINANCIACION[[#This Row],[PRESTAMO]])</f>
        <v>-16115880</v>
      </c>
      <c r="G155" s="140"/>
      <c r="H155" s="141"/>
      <c r="I155" s="142"/>
      <c r="J155" s="140">
        <f>+IF(FINANCIACION[[#This Row],[$ CAPITAL]]&gt;0,FINANCIACION[[#This Row],[$ CAPITAL]])</f>
        <v>3808460</v>
      </c>
      <c r="K155" s="143">
        <f>+IF(FINANCIACION[[#This Row],[$ CAPITAL]]&gt;=0,FINANCIACION[[#This Row],[$ CAPITAL]]+FINANCIACION[[#This Row],[$ INTERESES]],0)</f>
        <v>3808460</v>
      </c>
    </row>
    <row r="156" spans="1:11" ht="24" customHeight="1" x14ac:dyDescent="0.25">
      <c r="A156" s="138">
        <v>44408</v>
      </c>
      <c r="B156" s="139" t="s">
        <v>236</v>
      </c>
      <c r="C156" s="140">
        <v>-11578020</v>
      </c>
      <c r="D156" s="140"/>
      <c r="E156" s="140" t="str">
        <f>+IF(FINANCIACION[[#This Row],[$ CAPITAL]]&gt;=0,FINANCIACION[[#This Row],[$ CAPITAL]]+FINANCIACION[[#This Row],[$ INTERESES]],"")</f>
        <v/>
      </c>
      <c r="F156" s="140">
        <f>+SUMIFS(FINANCIACION[$ CAPITAL],FINANCIACION[Fecha],"&lt;="&amp;FINANCIACION[[#This Row],[Fecha]],FINANCIACION[PRESTAMO],FINANCIACION[[#This Row],[PRESTAMO]])</f>
        <v>-27693900</v>
      </c>
      <c r="G156" s="140"/>
      <c r="H156" s="141" t="s">
        <v>72</v>
      </c>
      <c r="I156" s="142"/>
      <c r="J156" s="140" t="b">
        <f>+IF(FINANCIACION[[#This Row],[$ CAPITAL]]&gt;0,FINANCIACION[[#This Row],[$ CAPITAL]])</f>
        <v>0</v>
      </c>
      <c r="K156" s="143">
        <f>+IF(FINANCIACION[[#This Row],[$ CAPITAL]]&gt;=0,FINANCIACION[[#This Row],[$ CAPITAL]]+FINANCIACION[[#This Row],[$ INTERESES]],0)</f>
        <v>0</v>
      </c>
    </row>
    <row r="157" spans="1:11" ht="24" customHeight="1" x14ac:dyDescent="0.25">
      <c r="A157" s="138">
        <v>44414</v>
      </c>
      <c r="B157" s="139" t="s">
        <v>236</v>
      </c>
      <c r="C157" s="140">
        <v>3910810</v>
      </c>
      <c r="D157" s="140"/>
      <c r="E157" s="140">
        <f>+IF(FINANCIACION[[#This Row],[$ CAPITAL]]&gt;=0,FINANCIACION[[#This Row],[$ CAPITAL]]+FINANCIACION[[#This Row],[$ INTERESES]],"")</f>
        <v>3910810</v>
      </c>
      <c r="F157" s="140">
        <f>+SUMIFS(FINANCIACION[$ CAPITAL],FINANCIACION[Fecha],"&lt;="&amp;FINANCIACION[[#This Row],[Fecha]],FINANCIACION[PRESTAMO],FINANCIACION[[#This Row],[PRESTAMO]])</f>
        <v>-23783090</v>
      </c>
      <c r="G157" s="140"/>
      <c r="H157" s="141"/>
      <c r="I157" s="142"/>
      <c r="J157" s="140">
        <f>+IF(FINANCIACION[[#This Row],[$ CAPITAL]]&gt;0,FINANCIACION[[#This Row],[$ CAPITAL]])</f>
        <v>3910810</v>
      </c>
      <c r="K157" s="143">
        <f>+IF(FINANCIACION[[#This Row],[$ CAPITAL]]&gt;=0,FINANCIACION[[#This Row],[$ CAPITAL]]+FINANCIACION[[#This Row],[$ INTERESES]],0)</f>
        <v>3910810</v>
      </c>
    </row>
    <row r="158" spans="1:11" ht="24" customHeight="1" x14ac:dyDescent="0.25">
      <c r="A158" s="138">
        <v>44420</v>
      </c>
      <c r="B158" s="139" t="s">
        <v>143</v>
      </c>
      <c r="C158" s="140">
        <v>-40000000</v>
      </c>
      <c r="D158" s="140"/>
      <c r="E158" s="140" t="str">
        <f>+IF(FINANCIACION[[#This Row],[$ CAPITAL]]&gt;=0,FINANCIACION[[#This Row],[$ CAPITAL]]+FINANCIACION[[#This Row],[$ INTERESES]],"")</f>
        <v/>
      </c>
      <c r="F158" s="140">
        <f>+SUMIFS(FINANCIACION[$ CAPITAL],FINANCIACION[Fecha],"&lt;="&amp;FINANCIACION[[#This Row],[Fecha]],FINANCIACION[PRESTAMO],FINANCIACION[[#This Row],[PRESTAMO]])</f>
        <v>-40000000</v>
      </c>
      <c r="G158" s="140"/>
      <c r="H158" s="141" t="s">
        <v>922</v>
      </c>
      <c r="I158" s="142"/>
      <c r="J158" s="140" t="b">
        <f>+IF(FINANCIACION[[#This Row],[$ CAPITAL]]&gt;0,FINANCIACION[[#This Row],[$ CAPITAL]])</f>
        <v>0</v>
      </c>
      <c r="K158" s="143">
        <f>+IF(FINANCIACION[[#This Row],[$ CAPITAL]]&gt;=0,FINANCIACION[[#This Row],[$ CAPITAL]]+FINANCIACION[[#This Row],[$ INTERESES]],0)</f>
        <v>0</v>
      </c>
    </row>
    <row r="159" spans="1:11" ht="24" customHeight="1" x14ac:dyDescent="0.25">
      <c r="A159" s="138">
        <v>44421</v>
      </c>
      <c r="B159" s="139" t="s">
        <v>236</v>
      </c>
      <c r="C159" s="140">
        <v>3887070</v>
      </c>
      <c r="D159" s="140"/>
      <c r="E159" s="140">
        <f>+IF(FINANCIACION[[#This Row],[$ CAPITAL]]&gt;=0,FINANCIACION[[#This Row],[$ CAPITAL]]+FINANCIACION[[#This Row],[$ INTERESES]],"")</f>
        <v>3887070</v>
      </c>
      <c r="F159" s="140">
        <f>+SUMIFS(FINANCIACION[$ CAPITAL],FINANCIACION[Fecha],"&lt;="&amp;FINANCIACION[[#This Row],[Fecha]],FINANCIACION[PRESTAMO],FINANCIACION[[#This Row],[PRESTAMO]])</f>
        <v>-19896020</v>
      </c>
      <c r="G159" s="140"/>
      <c r="H159" s="141"/>
      <c r="I159" s="142"/>
      <c r="J159" s="140">
        <f>+IF(FINANCIACION[[#This Row],[$ CAPITAL]]&gt;0,FINANCIACION[[#This Row],[$ CAPITAL]])</f>
        <v>3887070</v>
      </c>
      <c r="K159" s="143">
        <f>+IF(FINANCIACION[[#This Row],[$ CAPITAL]]&gt;=0,FINANCIACION[[#This Row],[$ CAPITAL]]+FINANCIACION[[#This Row],[$ INTERESES]],0)</f>
        <v>3887070</v>
      </c>
    </row>
    <row r="160" spans="1:11" ht="24" customHeight="1" x14ac:dyDescent="0.25">
      <c r="A160" s="138">
        <v>44422</v>
      </c>
      <c r="B160" s="139" t="s">
        <v>135</v>
      </c>
      <c r="C160" s="140">
        <v>1878599.0670640841</v>
      </c>
      <c r="D160" s="140">
        <v>788778.932935916</v>
      </c>
      <c r="E160" s="140">
        <f>+IF(FINANCIACION[[#This Row],[$ CAPITAL]]&gt;=0,FINANCIACION[[#This Row],[$ CAPITAL]]+FINANCIACION[[#This Row],[$ INTERESES]],"")</f>
        <v>2667378</v>
      </c>
      <c r="F160" s="140">
        <f>+SUMIFS(FINANCIACION[$ CAPITAL],FINANCIACION[Fecha],"&lt;="&amp;FINANCIACION[[#This Row],[Fecha]],FINANCIACION[PRESTAMO],FINANCIACION[[#This Row],[PRESTAMO]])</f>
        <v>-76999294.226527512</v>
      </c>
      <c r="G160" s="140"/>
      <c r="H160" s="141"/>
      <c r="I160" s="142"/>
      <c r="J160" s="140">
        <f>+IF(FINANCIACION[[#This Row],[$ CAPITAL]]&gt;0,FINANCIACION[[#This Row],[$ CAPITAL]])</f>
        <v>1878599.0670640841</v>
      </c>
      <c r="K160" s="143">
        <f>+IF(FINANCIACION[[#This Row],[$ CAPITAL]]&gt;=0,FINANCIACION[[#This Row],[$ CAPITAL]]+FINANCIACION[[#This Row],[$ INTERESES]],0)</f>
        <v>2667378</v>
      </c>
    </row>
    <row r="161" spans="1:11" ht="24" customHeight="1" x14ac:dyDescent="0.25">
      <c r="A161" s="138">
        <v>44425</v>
      </c>
      <c r="B161" s="139" t="s">
        <v>141</v>
      </c>
      <c r="C161" s="140"/>
      <c r="D161" s="140">
        <v>130000</v>
      </c>
      <c r="E161" s="140">
        <f>+IF(FINANCIACION[[#This Row],[$ CAPITAL]]&gt;=0,FINANCIACION[[#This Row],[$ CAPITAL]]+FINANCIACION[[#This Row],[$ INTERESES]],"")</f>
        <v>130000</v>
      </c>
      <c r="F161" s="140">
        <f>+SUMIFS(FINANCIACION[$ CAPITAL],FINANCIACION[Fecha],"&lt;="&amp;FINANCIACION[[#This Row],[Fecha]],FINANCIACION[PRESTAMO],FINANCIACION[[#This Row],[PRESTAMO]])</f>
        <v>-13000000</v>
      </c>
      <c r="G161" s="140"/>
      <c r="H161" s="141"/>
      <c r="I161" s="142"/>
      <c r="J161" s="140" t="b">
        <f>+IF(FINANCIACION[[#This Row],[$ CAPITAL]]&gt;0,FINANCIACION[[#This Row],[$ CAPITAL]])</f>
        <v>0</v>
      </c>
      <c r="K161" s="143">
        <f>+IF(FINANCIACION[[#This Row],[$ CAPITAL]]&gt;=0,FINANCIACION[[#This Row],[$ CAPITAL]]+FINANCIACION[[#This Row],[$ INTERESES]],0)</f>
        <v>130000</v>
      </c>
    </row>
    <row r="162" spans="1:11" ht="24" customHeight="1" x14ac:dyDescent="0.25">
      <c r="A162" s="138">
        <v>44425</v>
      </c>
      <c r="B162" s="139" t="s">
        <v>138</v>
      </c>
      <c r="C162" s="140">
        <v>727590.32379200007</v>
      </c>
      <c r="D162" s="140">
        <v>572409.67620799993</v>
      </c>
      <c r="E162" s="140">
        <f>+IF(FINANCIACION[[#This Row],[$ CAPITAL]]&gt;=0,FINANCIACION[[#This Row],[$ CAPITAL]]+FINANCIACION[[#This Row],[$ INTERESES]],"")</f>
        <v>1300000</v>
      </c>
      <c r="F162" s="140">
        <f>+SUMIFS(FINANCIACION[$ CAPITAL],FINANCIACION[Fecha],"&lt;="&amp;FINANCIACION[[#This Row],[Fecha]],FINANCIACION[PRESTAMO],FINANCIACION[[#This Row],[PRESTAMO]])</f>
        <v>-56513377.297007993</v>
      </c>
      <c r="G162" s="140"/>
      <c r="H162" s="141"/>
      <c r="I162" s="142"/>
      <c r="J162" s="140">
        <f>+IF(FINANCIACION[[#This Row],[$ CAPITAL]]&gt;0,FINANCIACION[[#This Row],[$ CAPITAL]])</f>
        <v>727590.32379200007</v>
      </c>
      <c r="K162" s="143">
        <f>+IF(FINANCIACION[[#This Row],[$ CAPITAL]]&gt;=0,FINANCIACION[[#This Row],[$ CAPITAL]]+FINANCIACION[[#This Row],[$ INTERESES]],0)</f>
        <v>1300000</v>
      </c>
    </row>
    <row r="163" spans="1:11" ht="24" customHeight="1" x14ac:dyDescent="0.25">
      <c r="A163" s="138">
        <v>44425</v>
      </c>
      <c r="B163" s="139" t="s">
        <v>136</v>
      </c>
      <c r="C163" s="140">
        <v>472099.1033943186</v>
      </c>
      <c r="D163" s="140">
        <v>727900.8966056814</v>
      </c>
      <c r="E163" s="140">
        <f>+IF(FINANCIACION[[#This Row],[$ CAPITAL]]&gt;=0,FINANCIACION[[#This Row],[$ CAPITAL]]+FINANCIACION[[#This Row],[$ INTERESES]],"")</f>
        <v>1200000</v>
      </c>
      <c r="F163" s="140">
        <f>+SUMIFS(FINANCIACION[$ CAPITAL],FINANCIACION[Fecha],"&lt;="&amp;FINANCIACION[[#This Row],[Fecha]],FINANCIACION[PRESTAMO],FINANCIACION[[#This Row],[PRESTAMO]])</f>
        <v>-72488678.417173818</v>
      </c>
      <c r="G163" s="140"/>
      <c r="H163" s="141"/>
      <c r="I163" s="142"/>
      <c r="J163" s="140">
        <f>+IF(FINANCIACION[[#This Row],[$ CAPITAL]]&gt;0,FINANCIACION[[#This Row],[$ CAPITAL]])</f>
        <v>472099.1033943186</v>
      </c>
      <c r="K163" s="143">
        <f>+IF(FINANCIACION[[#This Row],[$ CAPITAL]]&gt;=0,FINANCIACION[[#This Row],[$ CAPITAL]]+FINANCIACION[[#This Row],[$ INTERESES]],0)</f>
        <v>1200000</v>
      </c>
    </row>
    <row r="164" spans="1:11" ht="24" customHeight="1" x14ac:dyDescent="0.25">
      <c r="A164" s="138">
        <v>44426</v>
      </c>
      <c r="B164" s="139" t="s">
        <v>137</v>
      </c>
      <c r="C164" s="140">
        <v>5709486</v>
      </c>
      <c r="D164" s="140">
        <v>242086</v>
      </c>
      <c r="E164" s="140">
        <f>+IF(FINANCIACION[[#This Row],[$ CAPITAL]]&gt;=0,FINANCIACION[[#This Row],[$ CAPITAL]]+FINANCIACION[[#This Row],[$ INTERESES]],"")</f>
        <v>5951572</v>
      </c>
      <c r="F164" s="140">
        <f>+SUMIFS(FINANCIACION[$ CAPITAL],FINANCIACION[Fecha],"&lt;="&amp;FINANCIACION[[#This Row],[Fecha]],FINANCIACION[PRESTAMO],FINANCIACION[[#This Row],[PRESTAMO]])</f>
        <v>-338735212</v>
      </c>
      <c r="G164" s="140"/>
      <c r="H164" s="141"/>
      <c r="I164" s="142"/>
      <c r="J164" s="140">
        <f>+IF(FINANCIACION[[#This Row],[$ CAPITAL]]&gt;0,FINANCIACION[[#This Row],[$ CAPITAL]])</f>
        <v>5709486</v>
      </c>
      <c r="K164" s="143">
        <f>+IF(FINANCIACION[[#This Row],[$ CAPITAL]]&gt;=0,FINANCIACION[[#This Row],[$ CAPITAL]]+FINANCIACION[[#This Row],[$ INTERESES]],0)</f>
        <v>5951572</v>
      </c>
    </row>
    <row r="165" spans="1:11" ht="24" customHeight="1" x14ac:dyDescent="0.25">
      <c r="A165" s="138">
        <v>44426</v>
      </c>
      <c r="B165" s="139" t="s">
        <v>236</v>
      </c>
      <c r="C165" s="140">
        <v>3868410</v>
      </c>
      <c r="D165" s="140"/>
      <c r="E165" s="140">
        <f>+IF(FINANCIACION[[#This Row],[$ CAPITAL]]&gt;=0,FINANCIACION[[#This Row],[$ CAPITAL]]+FINANCIACION[[#This Row],[$ INTERESES]],"")</f>
        <v>3868410</v>
      </c>
      <c r="F165" s="140">
        <f>+SUMIFS(FINANCIACION[$ CAPITAL],FINANCIACION[Fecha],"&lt;="&amp;FINANCIACION[[#This Row],[Fecha]],FINANCIACION[PRESTAMO],FINANCIACION[[#This Row],[PRESTAMO]])</f>
        <v>-16027610</v>
      </c>
      <c r="G165" s="140"/>
      <c r="H165" s="141"/>
      <c r="I165" s="142"/>
      <c r="J165" s="140">
        <f>+IF(FINANCIACION[[#This Row],[$ CAPITAL]]&gt;0,FINANCIACION[[#This Row],[$ CAPITAL]])</f>
        <v>3868410</v>
      </c>
      <c r="K165" s="143">
        <f>+IF(FINANCIACION[[#This Row],[$ CAPITAL]]&gt;=0,FINANCIACION[[#This Row],[$ CAPITAL]]+FINANCIACION[[#This Row],[$ INTERESES]],0)</f>
        <v>3868410</v>
      </c>
    </row>
    <row r="166" spans="1:11" ht="24" customHeight="1" x14ac:dyDescent="0.25">
      <c r="A166" s="138">
        <v>44439</v>
      </c>
      <c r="B166" s="139" t="s">
        <v>236</v>
      </c>
      <c r="C166" s="140">
        <v>38068.699999999997</v>
      </c>
      <c r="D166" s="140"/>
      <c r="E166" s="140">
        <f>+IF(FINANCIACION[[#This Row],[$ CAPITAL]]&gt;=0,FINANCIACION[[#This Row],[$ CAPITAL]]+FINANCIACION[[#This Row],[$ INTERESES]],"")</f>
        <v>38068.699999999997</v>
      </c>
      <c r="F166" s="140">
        <f>+SUMIFS(FINANCIACION[$ CAPITAL],FINANCIACION[Fecha],"&lt;="&amp;FINANCIACION[[#This Row],[Fecha]],FINANCIACION[PRESTAMO],FINANCIACION[[#This Row],[PRESTAMO]])</f>
        <v>-31683600</v>
      </c>
      <c r="G166" s="140"/>
      <c r="H166" s="141"/>
      <c r="I166" s="142"/>
      <c r="J166" s="140">
        <f>+IF(FINANCIACION[[#This Row],[$ CAPITAL]]&gt;0,FINANCIACION[[#This Row],[$ CAPITAL]])</f>
        <v>38068.699999999997</v>
      </c>
      <c r="K166" s="143">
        <f>+IF(FINANCIACION[[#This Row],[$ CAPITAL]]&gt;=0,FINANCIACION[[#This Row],[$ CAPITAL]]+FINANCIACION[[#This Row],[$ INTERESES]],0)</f>
        <v>38068.699999999997</v>
      </c>
    </row>
    <row r="167" spans="1:11" ht="24" customHeight="1" x14ac:dyDescent="0.25">
      <c r="A167" s="138">
        <v>44439</v>
      </c>
      <c r="B167" s="139" t="s">
        <v>236</v>
      </c>
      <c r="C167" s="140">
        <v>-15694058.699999999</v>
      </c>
      <c r="D167" s="140"/>
      <c r="E167" s="140" t="str">
        <f>+IF(FINANCIACION[[#This Row],[$ CAPITAL]]&gt;=0,FINANCIACION[[#This Row],[$ CAPITAL]]+FINANCIACION[[#This Row],[$ INTERESES]],"")</f>
        <v/>
      </c>
      <c r="F167" s="140">
        <f>+SUMIFS(FINANCIACION[$ CAPITAL],FINANCIACION[Fecha],"&lt;="&amp;FINANCIACION[[#This Row],[Fecha]],FINANCIACION[PRESTAMO],FINANCIACION[[#This Row],[PRESTAMO]])</f>
        <v>-31683600</v>
      </c>
      <c r="G167" s="140"/>
      <c r="H167" s="141" t="s">
        <v>72</v>
      </c>
      <c r="I167" s="142"/>
      <c r="J167" s="140" t="b">
        <f>+IF(FINANCIACION[[#This Row],[$ CAPITAL]]&gt;0,FINANCIACION[[#This Row],[$ CAPITAL]])</f>
        <v>0</v>
      </c>
      <c r="K167" s="143">
        <f>+IF(FINANCIACION[[#This Row],[$ CAPITAL]]&gt;=0,FINANCIACION[[#This Row],[$ CAPITAL]]+FINANCIACION[[#This Row],[$ INTERESES]],0)</f>
        <v>0</v>
      </c>
    </row>
    <row r="168" spans="1:11" ht="24" customHeight="1" x14ac:dyDescent="0.25">
      <c r="A168" s="138">
        <v>44440</v>
      </c>
      <c r="B168" s="139" t="s">
        <v>236</v>
      </c>
      <c r="C168" s="140">
        <v>11300000</v>
      </c>
      <c r="D168" s="140"/>
      <c r="E168" s="140">
        <f>+IF(FINANCIACION[[#This Row],[$ CAPITAL]]&gt;=0,FINANCIACION[[#This Row],[$ CAPITAL]]+FINANCIACION[[#This Row],[$ INTERESES]],"")</f>
        <v>11300000</v>
      </c>
      <c r="F168" s="140">
        <f>+SUMIFS(FINANCIACION[$ CAPITAL],FINANCIACION[Fecha],"&lt;="&amp;FINANCIACION[[#This Row],[Fecha]],FINANCIACION[PRESTAMO],FINANCIACION[[#This Row],[PRESTAMO]])</f>
        <v>-20383600</v>
      </c>
      <c r="G168" s="140"/>
      <c r="H168" s="141"/>
      <c r="I168" s="142"/>
      <c r="J168" s="140">
        <f>+IF(FINANCIACION[[#This Row],[$ CAPITAL]]&gt;0,FINANCIACION[[#This Row],[$ CAPITAL]])</f>
        <v>11300000</v>
      </c>
      <c r="K168" s="143">
        <f>+IF(FINANCIACION[[#This Row],[$ CAPITAL]]&gt;=0,FINANCIACION[[#This Row],[$ CAPITAL]]+FINANCIACION[[#This Row],[$ INTERESES]],0)</f>
        <v>11300000</v>
      </c>
    </row>
    <row r="169" spans="1:11" ht="24" customHeight="1" x14ac:dyDescent="0.25">
      <c r="A169" s="138">
        <v>44450</v>
      </c>
      <c r="B169" s="139" t="s">
        <v>141</v>
      </c>
      <c r="C169" s="140"/>
      <c r="D169" s="140">
        <v>130000</v>
      </c>
      <c r="E169" s="140">
        <f>+IF(FINANCIACION[[#This Row],[$ CAPITAL]]&gt;=0,FINANCIACION[[#This Row],[$ CAPITAL]]+FINANCIACION[[#This Row],[$ INTERESES]],"")</f>
        <v>130000</v>
      </c>
      <c r="F169" s="140">
        <f>+SUMIFS(FINANCIACION[$ CAPITAL],FINANCIACION[Fecha],"&lt;="&amp;FINANCIACION[[#This Row],[Fecha]],FINANCIACION[PRESTAMO],FINANCIACION[[#This Row],[PRESTAMO]])</f>
        <v>-13000000</v>
      </c>
      <c r="G169" s="140"/>
      <c r="H169" s="141"/>
      <c r="I169" s="142"/>
      <c r="J169" s="140" t="b">
        <f>+IF(FINANCIACION[[#This Row],[$ CAPITAL]]&gt;0,FINANCIACION[[#This Row],[$ CAPITAL]])</f>
        <v>0</v>
      </c>
      <c r="K169" s="143">
        <f>+IF(FINANCIACION[[#This Row],[$ CAPITAL]]&gt;=0,FINANCIACION[[#This Row],[$ CAPITAL]]+FINANCIACION[[#This Row],[$ INTERESES]],0)</f>
        <v>130000</v>
      </c>
    </row>
    <row r="170" spans="1:11" ht="24" customHeight="1" x14ac:dyDescent="0.25">
      <c r="A170" s="138">
        <v>44450</v>
      </c>
      <c r="B170" s="139" t="s">
        <v>143</v>
      </c>
      <c r="C170" s="140"/>
      <c r="D170" s="140">
        <v>400000</v>
      </c>
      <c r="E170" s="140">
        <f>+IF(FINANCIACION[[#This Row],[$ CAPITAL]]&gt;=0,FINANCIACION[[#This Row],[$ CAPITAL]]+FINANCIACION[[#This Row],[$ INTERESES]],"")</f>
        <v>400000</v>
      </c>
      <c r="F170" s="140">
        <f>+SUMIFS(FINANCIACION[$ CAPITAL],FINANCIACION[Fecha],"&lt;="&amp;FINANCIACION[[#This Row],[Fecha]],FINANCIACION[PRESTAMO],FINANCIACION[[#This Row],[PRESTAMO]])</f>
        <v>-40000000</v>
      </c>
      <c r="G170" s="140"/>
      <c r="H170" s="141" t="s">
        <v>923</v>
      </c>
      <c r="I170" s="142"/>
      <c r="J170" s="140" t="b">
        <f>+IF(FINANCIACION[[#This Row],[$ CAPITAL]]&gt;0,FINANCIACION[[#This Row],[$ CAPITAL]])</f>
        <v>0</v>
      </c>
      <c r="K170" s="143">
        <f>+IF(FINANCIACION[[#This Row],[$ CAPITAL]]&gt;=0,FINANCIACION[[#This Row],[$ CAPITAL]]+FINANCIACION[[#This Row],[$ INTERESES]],0)</f>
        <v>400000</v>
      </c>
    </row>
    <row r="171" spans="1:11" ht="24" customHeight="1" x14ac:dyDescent="0.25">
      <c r="A171" s="138">
        <v>44450</v>
      </c>
      <c r="B171" s="139" t="s">
        <v>135</v>
      </c>
      <c r="C171" s="140">
        <v>1907385.0577347248</v>
      </c>
      <c r="D171" s="140">
        <v>769992.94226527517</v>
      </c>
      <c r="E171" s="140">
        <f>+IF(FINANCIACION[[#This Row],[$ CAPITAL]]&gt;=0,FINANCIACION[[#This Row],[$ CAPITAL]]+FINANCIACION[[#This Row],[$ INTERESES]],"")</f>
        <v>2677378</v>
      </c>
      <c r="F171" s="140">
        <f>+SUMIFS(FINANCIACION[$ CAPITAL],FINANCIACION[Fecha],"&lt;="&amp;FINANCIACION[[#This Row],[Fecha]],FINANCIACION[PRESTAMO],FINANCIACION[[#This Row],[PRESTAMO]])</f>
        <v>-75091909.168792784</v>
      </c>
      <c r="G171" s="140"/>
      <c r="H171" s="141"/>
      <c r="I171" s="142"/>
      <c r="J171" s="140">
        <f>+IF(FINANCIACION[[#This Row],[$ CAPITAL]]&gt;0,FINANCIACION[[#This Row],[$ CAPITAL]])</f>
        <v>1907385.0577347248</v>
      </c>
      <c r="K171" s="143">
        <f>+IF(FINANCIACION[[#This Row],[$ CAPITAL]]&gt;=0,FINANCIACION[[#This Row],[$ CAPITAL]]+FINANCIACION[[#This Row],[$ INTERESES]],0)</f>
        <v>2677378</v>
      </c>
    </row>
    <row r="172" spans="1:11" ht="24" customHeight="1" x14ac:dyDescent="0.25">
      <c r="A172" s="138">
        <v>44450</v>
      </c>
      <c r="B172" s="139" t="s">
        <v>138</v>
      </c>
      <c r="C172" s="140">
        <v>734866.22702992009</v>
      </c>
      <c r="D172" s="140">
        <v>565133.77297007991</v>
      </c>
      <c r="E172" s="140">
        <f>+IF(FINANCIACION[[#This Row],[$ CAPITAL]]&gt;=0,FINANCIACION[[#This Row],[$ CAPITAL]]+FINANCIACION[[#This Row],[$ INTERESES]],"")</f>
        <v>1300000</v>
      </c>
      <c r="F172" s="140">
        <f>+SUMIFS(FINANCIACION[$ CAPITAL],FINANCIACION[Fecha],"&lt;="&amp;FINANCIACION[[#This Row],[Fecha]],FINANCIACION[PRESTAMO],FINANCIACION[[#This Row],[PRESTAMO]])</f>
        <v>-55778511.069978073</v>
      </c>
      <c r="G172" s="140"/>
      <c r="H172" s="141"/>
      <c r="I172" s="142"/>
      <c r="J172" s="140">
        <f>+IF(FINANCIACION[[#This Row],[$ CAPITAL]]&gt;0,FINANCIACION[[#This Row],[$ CAPITAL]])</f>
        <v>734866.22702992009</v>
      </c>
      <c r="K172" s="143">
        <f>+IF(FINANCIACION[[#This Row],[$ CAPITAL]]&gt;=0,FINANCIACION[[#This Row],[$ CAPITAL]]+FINANCIACION[[#This Row],[$ INTERESES]],0)</f>
        <v>1300000</v>
      </c>
    </row>
    <row r="173" spans="1:11" ht="24" customHeight="1" x14ac:dyDescent="0.25">
      <c r="A173" s="138">
        <v>44450</v>
      </c>
      <c r="B173" s="139" t="s">
        <v>136</v>
      </c>
      <c r="C173" s="140">
        <v>476820.09442826186</v>
      </c>
      <c r="D173" s="140">
        <v>723179.90557173814</v>
      </c>
      <c r="E173" s="140">
        <f>+IF(FINANCIACION[[#This Row],[$ CAPITAL]]&gt;=0,FINANCIACION[[#This Row],[$ CAPITAL]]+FINANCIACION[[#This Row],[$ INTERESES]],"")</f>
        <v>1200000</v>
      </c>
      <c r="F173" s="140">
        <f>+SUMIFS(FINANCIACION[$ CAPITAL],FINANCIACION[Fecha],"&lt;="&amp;FINANCIACION[[#This Row],[Fecha]],FINANCIACION[PRESTAMO],FINANCIACION[[#This Row],[PRESTAMO]])</f>
        <v>-72011858.322745562</v>
      </c>
      <c r="G173" s="140"/>
      <c r="H173" s="141"/>
      <c r="I173" s="142"/>
      <c r="J173" s="140">
        <f>+IF(FINANCIACION[[#This Row],[$ CAPITAL]]&gt;0,FINANCIACION[[#This Row],[$ CAPITAL]])</f>
        <v>476820.09442826186</v>
      </c>
      <c r="K173" s="143">
        <f>+IF(FINANCIACION[[#This Row],[$ CAPITAL]]&gt;=0,FINANCIACION[[#This Row],[$ CAPITAL]]+FINANCIACION[[#This Row],[$ INTERESES]],0)</f>
        <v>1200000</v>
      </c>
    </row>
    <row r="174" spans="1:11" ht="24" customHeight="1" x14ac:dyDescent="0.25">
      <c r="A174" s="138">
        <v>44459</v>
      </c>
      <c r="B174" s="139" t="s">
        <v>137</v>
      </c>
      <c r="C174" s="140">
        <v>5238034</v>
      </c>
      <c r="D174" s="140">
        <v>713538</v>
      </c>
      <c r="E174" s="140">
        <f>+IF(FINANCIACION[[#This Row],[$ CAPITAL]]&gt;=0,FINANCIACION[[#This Row],[$ CAPITAL]]+FINANCIACION[[#This Row],[$ INTERESES]],"")</f>
        <v>5951572</v>
      </c>
      <c r="F174" s="140">
        <f>+SUMIFS(FINANCIACION[$ CAPITAL],FINANCIACION[Fecha],"&lt;="&amp;FINANCIACION[[#This Row],[Fecha]],FINANCIACION[PRESTAMO],FINANCIACION[[#This Row],[PRESTAMO]])</f>
        <v>-333497178</v>
      </c>
      <c r="G174" s="140"/>
      <c r="H174" s="141"/>
      <c r="I174" s="142"/>
      <c r="J174" s="140">
        <f>+IF(FINANCIACION[[#This Row],[$ CAPITAL]]&gt;0,FINANCIACION[[#This Row],[$ CAPITAL]])</f>
        <v>5238034</v>
      </c>
      <c r="K174" s="143">
        <f>+IF(FINANCIACION[[#This Row],[$ CAPITAL]]&gt;=0,FINANCIACION[[#This Row],[$ CAPITAL]]+FINANCIACION[[#This Row],[$ INTERESES]],0)</f>
        <v>5951572</v>
      </c>
    </row>
    <row r="175" spans="1:11" ht="24" customHeight="1" x14ac:dyDescent="0.25">
      <c r="A175" s="138">
        <v>44469</v>
      </c>
      <c r="B175" s="139" t="s">
        <v>236</v>
      </c>
      <c r="C175" s="140">
        <v>-13423250</v>
      </c>
      <c r="D175" s="140"/>
      <c r="E175" s="140" t="str">
        <f>+IF(FINANCIACION[[#This Row],[$ CAPITAL]]&gt;=0,FINANCIACION[[#This Row],[$ CAPITAL]]+FINANCIACION[[#This Row],[$ INTERESES]],"")</f>
        <v/>
      </c>
      <c r="F175" s="140">
        <f>+SUMIFS(FINANCIACION[$ CAPITAL],FINANCIACION[Fecha],"&lt;="&amp;FINANCIACION[[#This Row],[Fecha]],FINANCIACION[PRESTAMO],FINANCIACION[[#This Row],[PRESTAMO]])</f>
        <v>-33806850</v>
      </c>
      <c r="G175" s="140"/>
      <c r="H175" s="141" t="s">
        <v>72</v>
      </c>
      <c r="I175" s="142"/>
      <c r="J175" s="140" t="b">
        <f>+IF(FINANCIACION[[#This Row],[$ CAPITAL]]&gt;0,FINANCIACION[[#This Row],[$ CAPITAL]])</f>
        <v>0</v>
      </c>
      <c r="K175" s="143">
        <f>+IF(FINANCIACION[[#This Row],[$ CAPITAL]]&gt;=0,FINANCIACION[[#This Row],[$ CAPITAL]]+FINANCIACION[[#This Row],[$ INTERESES]],0)</f>
        <v>0</v>
      </c>
    </row>
    <row r="176" spans="1:11" ht="24" customHeight="1" x14ac:dyDescent="0.25">
      <c r="A176" s="138">
        <v>44475</v>
      </c>
      <c r="B176" s="139" t="s">
        <v>140</v>
      </c>
      <c r="C176" s="140"/>
      <c r="D176" s="140">
        <v>640000</v>
      </c>
      <c r="E176" s="140">
        <f>+IF(FINANCIACION[[#This Row],[$ CAPITAL]]&gt;=0,FINANCIACION[[#This Row],[$ CAPITAL]]+FINANCIACION[[#This Row],[$ INTERESES]],"")</f>
        <v>640000</v>
      </c>
      <c r="F176" s="140">
        <f>+SUMIFS(FINANCIACION[$ CAPITAL],FINANCIACION[Fecha],"&lt;="&amp;FINANCIACION[[#This Row],[Fecha]],FINANCIACION[PRESTAMO],FINANCIACION[[#This Row],[PRESTAMO]])</f>
        <v>-8000000</v>
      </c>
      <c r="G176" s="140"/>
      <c r="H176" s="141"/>
      <c r="I176" s="142"/>
      <c r="J176" s="140" t="b">
        <f>+IF(FINANCIACION[[#This Row],[$ CAPITAL]]&gt;0,FINANCIACION[[#This Row],[$ CAPITAL]])</f>
        <v>0</v>
      </c>
      <c r="K176" s="143">
        <f>+IF(FINANCIACION[[#This Row],[$ CAPITAL]]&gt;=0,FINANCIACION[[#This Row],[$ CAPITAL]]+FINANCIACION[[#This Row],[$ INTERESES]],0)</f>
        <v>640000</v>
      </c>
    </row>
    <row r="177" spans="1:11" ht="24" customHeight="1" x14ac:dyDescent="0.25">
      <c r="A177" s="138">
        <v>44476</v>
      </c>
      <c r="B177" s="139" t="s">
        <v>236</v>
      </c>
      <c r="C177" s="140">
        <v>3788030</v>
      </c>
      <c r="D177" s="140"/>
      <c r="E177" s="140">
        <f>+IF(FINANCIACION[[#This Row],[$ CAPITAL]]&gt;=0,FINANCIACION[[#This Row],[$ CAPITAL]]+FINANCIACION[[#This Row],[$ INTERESES]],"")</f>
        <v>3788030</v>
      </c>
      <c r="F177" s="140">
        <f>+SUMIFS(FINANCIACION[$ CAPITAL],FINANCIACION[Fecha],"&lt;="&amp;FINANCIACION[[#This Row],[Fecha]],FINANCIACION[PRESTAMO],FINANCIACION[[#This Row],[PRESTAMO]])</f>
        <v>-30018820</v>
      </c>
      <c r="G177" s="140"/>
      <c r="H177" s="141"/>
      <c r="I177" s="142"/>
      <c r="J177" s="140">
        <f>+IF(FINANCIACION[[#This Row],[$ CAPITAL]]&gt;0,FINANCIACION[[#This Row],[$ CAPITAL]])</f>
        <v>3788030</v>
      </c>
      <c r="K177" s="143">
        <f>+IF(FINANCIACION[[#This Row],[$ CAPITAL]]&gt;=0,FINANCIACION[[#This Row],[$ CAPITAL]]+FINANCIACION[[#This Row],[$ INTERESES]],0)</f>
        <v>3788030</v>
      </c>
    </row>
    <row r="178" spans="1:11" ht="24" customHeight="1" x14ac:dyDescent="0.25">
      <c r="A178" s="138">
        <v>44477</v>
      </c>
      <c r="B178" s="139" t="s">
        <v>135</v>
      </c>
      <c r="C178" s="140">
        <v>1926458.90831207</v>
      </c>
      <c r="D178" s="140">
        <v>750919.09168792795</v>
      </c>
      <c r="E178" s="140">
        <f>+IF(FINANCIACION[[#This Row],[$ CAPITAL]]&gt;=0,FINANCIACION[[#This Row],[$ CAPITAL]]+FINANCIACION[[#This Row],[$ INTERESES]],"")</f>
        <v>2677377.9999999981</v>
      </c>
      <c r="F178" s="140">
        <f>+SUMIFS(FINANCIACION[$ CAPITAL],FINANCIACION[Fecha],"&lt;="&amp;FINANCIACION[[#This Row],[Fecha]],FINANCIACION[PRESTAMO],FINANCIACION[[#This Row],[PRESTAMO]])</f>
        <v>-73165450.260480717</v>
      </c>
      <c r="G178" s="140"/>
      <c r="H178" s="141"/>
      <c r="I178" s="142"/>
      <c r="J178" s="140">
        <f>+IF(FINANCIACION[[#This Row],[$ CAPITAL]]&gt;0,FINANCIACION[[#This Row],[$ CAPITAL]])</f>
        <v>1926458.90831207</v>
      </c>
      <c r="K178" s="143">
        <f>+IF(FINANCIACION[[#This Row],[$ CAPITAL]]&gt;=0,FINANCIACION[[#This Row],[$ CAPITAL]]+FINANCIACION[[#This Row],[$ INTERESES]],0)</f>
        <v>2677377.9999999981</v>
      </c>
    </row>
    <row r="179" spans="1:11" ht="24" customHeight="1" x14ac:dyDescent="0.25">
      <c r="A179" s="138">
        <v>44480</v>
      </c>
      <c r="B179" s="139" t="s">
        <v>143</v>
      </c>
      <c r="C179" s="140"/>
      <c r="D179" s="140">
        <v>400000</v>
      </c>
      <c r="E179" s="140">
        <f>+IF(FINANCIACION[[#This Row],[$ CAPITAL]]&gt;=0,FINANCIACION[[#This Row],[$ CAPITAL]]+FINANCIACION[[#This Row],[$ INTERESES]],"")</f>
        <v>400000</v>
      </c>
      <c r="F179" s="140">
        <f>+SUMIFS(FINANCIACION[$ CAPITAL],FINANCIACION[Fecha],"&lt;="&amp;FINANCIACION[[#This Row],[Fecha]],FINANCIACION[PRESTAMO],FINANCIACION[[#This Row],[PRESTAMO]])</f>
        <v>-40000000</v>
      </c>
      <c r="G179" s="140"/>
      <c r="H179" s="141" t="s">
        <v>923</v>
      </c>
      <c r="I179" s="142"/>
      <c r="J179" s="140" t="b">
        <f>+IF(FINANCIACION[[#This Row],[$ CAPITAL]]&gt;0,FINANCIACION[[#This Row],[$ CAPITAL]])</f>
        <v>0</v>
      </c>
      <c r="K179" s="143">
        <f>+IF(FINANCIACION[[#This Row],[$ CAPITAL]]&gt;=0,FINANCIACION[[#This Row],[$ CAPITAL]]+FINANCIACION[[#This Row],[$ INTERESES]],0)</f>
        <v>400000</v>
      </c>
    </row>
    <row r="180" spans="1:11" ht="24" customHeight="1" x14ac:dyDescent="0.25">
      <c r="A180" s="138">
        <v>44480</v>
      </c>
      <c r="B180" s="139" t="s">
        <v>138</v>
      </c>
      <c r="C180" s="140">
        <v>742214.88930021925</v>
      </c>
      <c r="D180" s="140">
        <v>557785.11069978075</v>
      </c>
      <c r="E180" s="140">
        <f>+IF(FINANCIACION[[#This Row],[$ CAPITAL]]&gt;=0,FINANCIACION[[#This Row],[$ CAPITAL]]+FINANCIACION[[#This Row],[$ INTERESES]],"")</f>
        <v>1300000</v>
      </c>
      <c r="F180" s="140">
        <f>+SUMIFS(FINANCIACION[$ CAPITAL],FINANCIACION[Fecha],"&lt;="&amp;FINANCIACION[[#This Row],[Fecha]],FINANCIACION[PRESTAMO],FINANCIACION[[#This Row],[PRESTAMO]])</f>
        <v>-55036296.180677854</v>
      </c>
      <c r="G180" s="140"/>
      <c r="H180" s="141"/>
      <c r="I180" s="142"/>
      <c r="J180" s="140">
        <f>+IF(FINANCIACION[[#This Row],[$ CAPITAL]]&gt;0,FINANCIACION[[#This Row],[$ CAPITAL]])</f>
        <v>742214.88930021925</v>
      </c>
      <c r="K180" s="143">
        <f>+IF(FINANCIACION[[#This Row],[$ CAPITAL]]&gt;=0,FINANCIACION[[#This Row],[$ CAPITAL]]+FINANCIACION[[#This Row],[$ INTERESES]],0)</f>
        <v>1300000</v>
      </c>
    </row>
    <row r="181" spans="1:11" ht="24" customHeight="1" x14ac:dyDescent="0.25">
      <c r="A181" s="138">
        <v>44480</v>
      </c>
      <c r="B181" s="139" t="s">
        <v>136</v>
      </c>
      <c r="C181" s="140">
        <v>481588.29537254432</v>
      </c>
      <c r="D181" s="140">
        <v>718411.70462745568</v>
      </c>
      <c r="E181" s="140">
        <f>+IF(FINANCIACION[[#This Row],[$ CAPITAL]]&gt;=0,FINANCIACION[[#This Row],[$ CAPITAL]]+FINANCIACION[[#This Row],[$ INTERESES]],"")</f>
        <v>1200000</v>
      </c>
      <c r="F181" s="140">
        <f>+SUMIFS(FINANCIACION[$ CAPITAL],FINANCIACION[Fecha],"&lt;="&amp;FINANCIACION[[#This Row],[Fecha]],FINANCIACION[PRESTAMO],FINANCIACION[[#This Row],[PRESTAMO]])</f>
        <v>-71530270.027373016</v>
      </c>
      <c r="G181" s="140"/>
      <c r="H181" s="141"/>
      <c r="I181" s="142"/>
      <c r="J181" s="140">
        <f>+IF(FINANCIACION[[#This Row],[$ CAPITAL]]&gt;0,FINANCIACION[[#This Row],[$ CAPITAL]])</f>
        <v>481588.29537254432</v>
      </c>
      <c r="K181" s="143">
        <f>+IF(FINANCIACION[[#This Row],[$ CAPITAL]]&gt;=0,FINANCIACION[[#This Row],[$ CAPITAL]]+FINANCIACION[[#This Row],[$ INTERESES]],0)</f>
        <v>1200000</v>
      </c>
    </row>
    <row r="182" spans="1:11" ht="24" customHeight="1" x14ac:dyDescent="0.25">
      <c r="A182" s="138">
        <v>44480</v>
      </c>
      <c r="B182" s="139" t="s">
        <v>236</v>
      </c>
      <c r="C182" s="140">
        <v>3765800</v>
      </c>
      <c r="D182" s="140"/>
      <c r="E182" s="140">
        <f>+IF(FINANCIACION[[#This Row],[$ CAPITAL]]&gt;=0,FINANCIACION[[#This Row],[$ CAPITAL]]+FINANCIACION[[#This Row],[$ INTERESES]],"")</f>
        <v>3765800</v>
      </c>
      <c r="F182" s="140">
        <f>+SUMIFS(FINANCIACION[$ CAPITAL],FINANCIACION[Fecha],"&lt;="&amp;FINANCIACION[[#This Row],[Fecha]],FINANCIACION[PRESTAMO],FINANCIACION[[#This Row],[PRESTAMO]])</f>
        <v>-26253020</v>
      </c>
      <c r="G182" s="140"/>
      <c r="H182" s="141"/>
      <c r="I182" s="142"/>
      <c r="J182" s="140">
        <f>+IF(FINANCIACION[[#This Row],[$ CAPITAL]]&gt;0,FINANCIACION[[#This Row],[$ CAPITAL]])</f>
        <v>3765800</v>
      </c>
      <c r="K182" s="143">
        <f>+IF(FINANCIACION[[#This Row],[$ CAPITAL]]&gt;=0,FINANCIACION[[#This Row],[$ CAPITAL]]+FINANCIACION[[#This Row],[$ INTERESES]],0)</f>
        <v>3765800</v>
      </c>
    </row>
    <row r="183" spans="1:11" ht="24" customHeight="1" x14ac:dyDescent="0.25">
      <c r="A183" s="138">
        <v>44483</v>
      </c>
      <c r="B183" s="139" t="s">
        <v>236</v>
      </c>
      <c r="C183" s="140">
        <v>5607720</v>
      </c>
      <c r="D183" s="140"/>
      <c r="E183" s="140">
        <f>+IF(FINANCIACION[[#This Row],[$ CAPITAL]]&gt;=0,FINANCIACION[[#This Row],[$ CAPITAL]]+FINANCIACION[[#This Row],[$ INTERESES]],"")</f>
        <v>5607720</v>
      </c>
      <c r="F183" s="140">
        <f>+SUMIFS(FINANCIACION[$ CAPITAL],FINANCIACION[Fecha],"&lt;="&amp;FINANCIACION[[#This Row],[Fecha]],FINANCIACION[PRESTAMO],FINANCIACION[[#This Row],[PRESTAMO]])</f>
        <v>-5691380</v>
      </c>
      <c r="G183" s="140"/>
      <c r="H183" s="141"/>
      <c r="I183" s="142"/>
      <c r="J183" s="140">
        <f>+IF(FINANCIACION[[#This Row],[$ CAPITAL]]&gt;0,FINANCIACION[[#This Row],[$ CAPITAL]])</f>
        <v>5607720</v>
      </c>
      <c r="K183" s="143">
        <f>+IF(FINANCIACION[[#This Row],[$ CAPITAL]]&gt;=0,FINANCIACION[[#This Row],[$ CAPITAL]]+FINANCIACION[[#This Row],[$ INTERESES]],0)</f>
        <v>5607720</v>
      </c>
    </row>
    <row r="184" spans="1:11" ht="24" customHeight="1" x14ac:dyDescent="0.25">
      <c r="A184" s="138">
        <v>44483</v>
      </c>
      <c r="B184" s="139" t="s">
        <v>236</v>
      </c>
      <c r="C184" s="140">
        <v>14953920</v>
      </c>
      <c r="D184" s="140"/>
      <c r="E184" s="140">
        <f>+IF(FINANCIACION[[#This Row],[$ CAPITAL]]&gt;=0,FINANCIACION[[#This Row],[$ CAPITAL]]+FINANCIACION[[#This Row],[$ INTERESES]],"")</f>
        <v>14953920</v>
      </c>
      <c r="F184" s="140">
        <f>+SUMIFS(FINANCIACION[$ CAPITAL],FINANCIACION[Fecha],"&lt;="&amp;FINANCIACION[[#This Row],[Fecha]],FINANCIACION[PRESTAMO],FINANCIACION[[#This Row],[PRESTAMO]])</f>
        <v>-5691380</v>
      </c>
      <c r="G184" s="140"/>
      <c r="H184" s="141"/>
      <c r="I184" s="142"/>
      <c r="J184" s="140">
        <f>+IF(FINANCIACION[[#This Row],[$ CAPITAL]]&gt;0,FINANCIACION[[#This Row],[$ CAPITAL]])</f>
        <v>14953920</v>
      </c>
      <c r="K184" s="143">
        <f>+IF(FINANCIACION[[#This Row],[$ CAPITAL]]&gt;=0,FINANCIACION[[#This Row],[$ CAPITAL]]+FINANCIACION[[#This Row],[$ INTERESES]],0)</f>
        <v>14953920</v>
      </c>
    </row>
    <row r="185" spans="1:11" ht="24" customHeight="1" x14ac:dyDescent="0.25">
      <c r="A185" s="138">
        <v>44488</v>
      </c>
      <c r="B185" s="139" t="s">
        <v>137</v>
      </c>
      <c r="C185" s="140">
        <v>5238034</v>
      </c>
      <c r="D185" s="140">
        <v>683538</v>
      </c>
      <c r="E185" s="140">
        <f>+IF(FINANCIACION[[#This Row],[$ CAPITAL]]&gt;=0,FINANCIACION[[#This Row],[$ CAPITAL]]+FINANCIACION[[#This Row],[$ INTERESES]],"")</f>
        <v>5921572</v>
      </c>
      <c r="F185" s="140">
        <f>+SUMIFS(FINANCIACION[$ CAPITAL],FINANCIACION[Fecha],"&lt;="&amp;FINANCIACION[[#This Row],[Fecha]],FINANCIACION[PRESTAMO],FINANCIACION[[#This Row],[PRESTAMO]])</f>
        <v>-328259144</v>
      </c>
      <c r="G185" s="140"/>
      <c r="H185" s="141"/>
      <c r="I185" s="142"/>
      <c r="J185" s="140">
        <f>+IF(FINANCIACION[[#This Row],[$ CAPITAL]]&gt;0,FINANCIACION[[#This Row],[$ CAPITAL]])</f>
        <v>5238034</v>
      </c>
      <c r="K185" s="143">
        <f>+IF(FINANCIACION[[#This Row],[$ CAPITAL]]&gt;=0,FINANCIACION[[#This Row],[$ CAPITAL]]+FINANCIACION[[#This Row],[$ INTERESES]],0)</f>
        <v>5921572</v>
      </c>
    </row>
    <row r="186" spans="1:11" ht="24" customHeight="1" x14ac:dyDescent="0.25">
      <c r="A186" s="138">
        <v>44491</v>
      </c>
      <c r="B186" s="139" t="s">
        <v>236</v>
      </c>
      <c r="C186" s="140">
        <v>3783300</v>
      </c>
      <c r="D186" s="140"/>
      <c r="E186" s="140">
        <f>+IF(FINANCIACION[[#This Row],[$ CAPITAL]]&gt;=0,FINANCIACION[[#This Row],[$ CAPITAL]]+FINANCIACION[[#This Row],[$ INTERESES]],"")</f>
        <v>3783300</v>
      </c>
      <c r="F186" s="140">
        <f>+SUMIFS(FINANCIACION[$ CAPITAL],FINANCIACION[Fecha],"&lt;="&amp;FINANCIACION[[#This Row],[Fecha]],FINANCIACION[PRESTAMO],FINANCIACION[[#This Row],[PRESTAMO]])</f>
        <v>1875220</v>
      </c>
      <c r="G186" s="140"/>
      <c r="H186" s="141"/>
      <c r="I186" s="142"/>
      <c r="J186" s="140">
        <f>+IF(FINANCIACION[[#This Row],[$ CAPITAL]]&gt;0,FINANCIACION[[#This Row],[$ CAPITAL]])</f>
        <v>3783300</v>
      </c>
      <c r="K186" s="143">
        <f>+IF(FINANCIACION[[#This Row],[$ CAPITAL]]&gt;=0,FINANCIACION[[#This Row],[$ CAPITAL]]+FINANCIACION[[#This Row],[$ INTERESES]],0)</f>
        <v>3783300</v>
      </c>
    </row>
    <row r="187" spans="1:11" ht="24" customHeight="1" x14ac:dyDescent="0.25">
      <c r="A187" s="138">
        <v>44491</v>
      </c>
      <c r="B187" s="139" t="s">
        <v>236</v>
      </c>
      <c r="C187" s="140">
        <v>3783300</v>
      </c>
      <c r="D187" s="140"/>
      <c r="E187" s="140">
        <f>+IF(FINANCIACION[[#This Row],[$ CAPITAL]]&gt;=0,FINANCIACION[[#This Row],[$ CAPITAL]]+FINANCIACION[[#This Row],[$ INTERESES]],"")</f>
        <v>3783300</v>
      </c>
      <c r="F187" s="140">
        <f>+SUMIFS(FINANCIACION[$ CAPITAL],FINANCIACION[Fecha],"&lt;="&amp;FINANCIACION[[#This Row],[Fecha]],FINANCIACION[PRESTAMO],FINANCIACION[[#This Row],[PRESTAMO]])</f>
        <v>1875220</v>
      </c>
      <c r="G187" s="140"/>
      <c r="H187" s="141"/>
      <c r="I187" s="142"/>
      <c r="J187" s="140">
        <f>+IF(FINANCIACION[[#This Row],[$ CAPITAL]]&gt;0,FINANCIACION[[#This Row],[$ CAPITAL]])</f>
        <v>3783300</v>
      </c>
      <c r="K187" s="143">
        <f>+IF(FINANCIACION[[#This Row],[$ CAPITAL]]&gt;=0,FINANCIACION[[#This Row],[$ CAPITAL]]+FINANCIACION[[#This Row],[$ INTERESES]],0)</f>
        <v>3783300</v>
      </c>
    </row>
    <row r="188" spans="1:11" ht="24" customHeight="1" x14ac:dyDescent="0.25">
      <c r="A188" s="138">
        <v>44500</v>
      </c>
      <c r="B188" s="139" t="s">
        <v>236</v>
      </c>
      <c r="C188" s="140">
        <v>-1876641</v>
      </c>
      <c r="D188" s="140"/>
      <c r="E188" s="140" t="str">
        <f>+IF(FINANCIACION[[#This Row],[$ CAPITAL]]&gt;=0,FINANCIACION[[#This Row],[$ CAPITAL]]+FINANCIACION[[#This Row],[$ INTERESES]],"")</f>
        <v/>
      </c>
      <c r="F188" s="140">
        <f>+SUMIFS(FINANCIACION[$ CAPITAL],FINANCIACION[Fecha],"&lt;="&amp;FINANCIACION[[#This Row],[Fecha]],FINANCIACION[PRESTAMO],FINANCIACION[[#This Row],[PRESTAMO]])</f>
        <v>-1421</v>
      </c>
      <c r="G188" s="140"/>
      <c r="H188" s="141" t="s">
        <v>72</v>
      </c>
      <c r="I188" s="142"/>
      <c r="J188" s="140" t="b">
        <f>+IF(FINANCIACION[[#This Row],[$ CAPITAL]]&gt;0,FINANCIACION[[#This Row],[$ CAPITAL]])</f>
        <v>0</v>
      </c>
      <c r="K188" s="143">
        <f>+IF(FINANCIACION[[#This Row],[$ CAPITAL]]&gt;=0,FINANCIACION[[#This Row],[$ CAPITAL]]+FINANCIACION[[#This Row],[$ INTERESES]],0)</f>
        <v>0</v>
      </c>
    </row>
    <row r="189" spans="1:11" ht="24" customHeight="1" x14ac:dyDescent="0.25">
      <c r="A189" s="138">
        <v>44502</v>
      </c>
      <c r="B189" s="139" t="s">
        <v>236</v>
      </c>
      <c r="C189" s="140">
        <v>1892220</v>
      </c>
      <c r="D189" s="140"/>
      <c r="E189" s="140">
        <f>+IF(FINANCIACION[[#This Row],[$ CAPITAL]]&gt;=0,FINANCIACION[[#This Row],[$ CAPITAL]]+FINANCIACION[[#This Row],[$ INTERESES]],"")</f>
        <v>1892220</v>
      </c>
      <c r="F189" s="140">
        <f>+SUMIFS(FINANCIACION[$ CAPITAL],FINANCIACION[Fecha],"&lt;="&amp;FINANCIACION[[#This Row],[Fecha]],FINANCIACION[PRESTAMO],FINANCIACION[[#This Row],[PRESTAMO]])</f>
        <v>1890799</v>
      </c>
      <c r="G189" s="140"/>
      <c r="H189" s="141"/>
      <c r="I189" s="142"/>
      <c r="J189" s="140">
        <f>+IF(FINANCIACION[[#This Row],[$ CAPITAL]]&gt;0,FINANCIACION[[#This Row],[$ CAPITAL]])</f>
        <v>1892220</v>
      </c>
      <c r="K189" s="143">
        <f>+IF(FINANCIACION[[#This Row],[$ CAPITAL]]&gt;=0,FINANCIACION[[#This Row],[$ CAPITAL]]+FINANCIACION[[#This Row],[$ INTERESES]],0)</f>
        <v>1892220</v>
      </c>
    </row>
    <row r="190" spans="1:11" ht="24" customHeight="1" x14ac:dyDescent="0.25">
      <c r="A190" s="138">
        <v>44510</v>
      </c>
      <c r="B190" s="139" t="s">
        <v>141</v>
      </c>
      <c r="C190" s="140"/>
      <c r="D190" s="140">
        <v>130000</v>
      </c>
      <c r="E190" s="140">
        <f>+IF(FINANCIACION[[#This Row],[$ CAPITAL]]&gt;=0,FINANCIACION[[#This Row],[$ CAPITAL]]+FINANCIACION[[#This Row],[$ INTERESES]],"")</f>
        <v>130000</v>
      </c>
      <c r="F190" s="140">
        <f>+SUMIFS(FINANCIACION[$ CAPITAL],FINANCIACION[Fecha],"&lt;="&amp;FINANCIACION[[#This Row],[Fecha]],FINANCIACION[PRESTAMO],FINANCIACION[[#This Row],[PRESTAMO]])</f>
        <v>-13000000</v>
      </c>
      <c r="G190" s="140"/>
      <c r="H190" s="141"/>
      <c r="I190" s="142"/>
      <c r="J190" s="140" t="b">
        <f>+IF(FINANCIACION[[#This Row],[$ CAPITAL]]&gt;0,FINANCIACION[[#This Row],[$ CAPITAL]])</f>
        <v>0</v>
      </c>
      <c r="K190" s="143">
        <f>+IF(FINANCIACION[[#This Row],[$ CAPITAL]]&gt;=0,FINANCIACION[[#This Row],[$ CAPITAL]]+FINANCIACION[[#This Row],[$ INTERESES]],0)</f>
        <v>130000</v>
      </c>
    </row>
    <row r="191" spans="1:11" ht="24" customHeight="1" x14ac:dyDescent="0.25">
      <c r="A191" s="138">
        <v>44510</v>
      </c>
      <c r="B191" s="139" t="s">
        <v>143</v>
      </c>
      <c r="C191" s="140"/>
      <c r="D191" s="140">
        <v>400000</v>
      </c>
      <c r="E191" s="140">
        <f>+IF(FINANCIACION[[#This Row],[$ CAPITAL]]&gt;=0,FINANCIACION[[#This Row],[$ CAPITAL]]+FINANCIACION[[#This Row],[$ INTERESES]],"")</f>
        <v>400000</v>
      </c>
      <c r="F191" s="140">
        <f>+SUMIFS(FINANCIACION[$ CAPITAL],FINANCIACION[Fecha],"&lt;="&amp;FINANCIACION[[#This Row],[Fecha]],FINANCIACION[PRESTAMO],FINANCIACION[[#This Row],[PRESTAMO]])</f>
        <v>-40000000</v>
      </c>
      <c r="G191" s="140"/>
      <c r="H191" s="141"/>
      <c r="I191" s="142"/>
      <c r="J191" s="140" t="b">
        <f>+IF(FINANCIACION[[#This Row],[$ CAPITAL]]&gt;0,FINANCIACION[[#This Row],[$ CAPITAL]])</f>
        <v>0</v>
      </c>
      <c r="K191" s="143">
        <f>+IF(FINANCIACION[[#This Row],[$ CAPITAL]]&gt;=0,FINANCIACION[[#This Row],[$ CAPITAL]]+FINANCIACION[[#This Row],[$ INTERESES]],0)</f>
        <v>400000</v>
      </c>
    </row>
    <row r="192" spans="1:11" ht="24" customHeight="1" x14ac:dyDescent="0.25">
      <c r="A192" s="138">
        <v>44510</v>
      </c>
      <c r="B192" s="139" t="s">
        <v>135</v>
      </c>
      <c r="C192" s="140">
        <v>1945723.4973951909</v>
      </c>
      <c r="D192" s="140">
        <v>731654.50260480714</v>
      </c>
      <c r="E192" s="140">
        <f>+IF(FINANCIACION[[#This Row],[$ CAPITAL]]&gt;=0,FINANCIACION[[#This Row],[$ CAPITAL]]+FINANCIACION[[#This Row],[$ INTERESES]],"")</f>
        <v>2677377.9999999981</v>
      </c>
      <c r="F192" s="140">
        <f>+SUMIFS(FINANCIACION[$ CAPITAL],FINANCIACION[Fecha],"&lt;="&amp;FINANCIACION[[#This Row],[Fecha]],FINANCIACION[PRESTAMO],FINANCIACION[[#This Row],[PRESTAMO]])</f>
        <v>-71219726.763085529</v>
      </c>
      <c r="G192" s="140"/>
      <c r="H192" s="141"/>
      <c r="I192" s="142"/>
      <c r="J192" s="140">
        <f>+IF(FINANCIACION[[#This Row],[$ CAPITAL]]&gt;0,FINANCIACION[[#This Row],[$ CAPITAL]])</f>
        <v>1945723.4973951909</v>
      </c>
      <c r="K192" s="143">
        <f>+IF(FINANCIACION[[#This Row],[$ CAPITAL]]&gt;=0,FINANCIACION[[#This Row],[$ CAPITAL]]+FINANCIACION[[#This Row],[$ INTERESES]],0)</f>
        <v>2677377.9999999981</v>
      </c>
    </row>
    <row r="193" spans="1:11" ht="24" customHeight="1" x14ac:dyDescent="0.25">
      <c r="A193" s="138">
        <v>44510</v>
      </c>
      <c r="B193" s="139" t="s">
        <v>138</v>
      </c>
      <c r="C193" s="140">
        <v>749637</v>
      </c>
      <c r="D193" s="140">
        <v>550363</v>
      </c>
      <c r="E193" s="140">
        <f>+IF(FINANCIACION[[#This Row],[$ CAPITAL]]&gt;=0,FINANCIACION[[#This Row],[$ CAPITAL]]+FINANCIACION[[#This Row],[$ INTERESES]],"")</f>
        <v>1300000</v>
      </c>
      <c r="F193" s="140">
        <f>+SUMIFS(FINANCIACION[$ CAPITAL],FINANCIACION[Fecha],"&lt;="&amp;FINANCIACION[[#This Row],[Fecha]],FINANCIACION[PRESTAMO],FINANCIACION[[#This Row],[PRESTAMO]])</f>
        <v>-54286659.180677854</v>
      </c>
      <c r="G193" s="140"/>
      <c r="H193" s="141"/>
      <c r="I193" s="142"/>
      <c r="J193" s="140">
        <f>+IF(FINANCIACION[[#This Row],[$ CAPITAL]]&gt;0,FINANCIACION[[#This Row],[$ CAPITAL]])</f>
        <v>749637</v>
      </c>
      <c r="K193" s="143">
        <f>+IF(FINANCIACION[[#This Row],[$ CAPITAL]]&gt;=0,FINANCIACION[[#This Row],[$ CAPITAL]]+FINANCIACION[[#This Row],[$ INTERESES]],0)</f>
        <v>1300000</v>
      </c>
    </row>
    <row r="194" spans="1:11" ht="24" customHeight="1" x14ac:dyDescent="0.25">
      <c r="A194" s="138">
        <v>44510</v>
      </c>
      <c r="B194" s="139" t="s">
        <v>136</v>
      </c>
      <c r="C194" s="140">
        <v>486404.17832626984</v>
      </c>
      <c r="D194" s="140">
        <v>713595.82167373016</v>
      </c>
      <c r="E194" s="140">
        <f>+IF(FINANCIACION[[#This Row],[$ CAPITAL]]&gt;=0,FINANCIACION[[#This Row],[$ CAPITAL]]+FINANCIACION[[#This Row],[$ INTERESES]],"")</f>
        <v>1200000</v>
      </c>
      <c r="F194" s="140">
        <f>+SUMIFS(FINANCIACION[$ CAPITAL],FINANCIACION[Fecha],"&lt;="&amp;FINANCIACION[[#This Row],[Fecha]],FINANCIACION[PRESTAMO],FINANCIACION[[#This Row],[PRESTAMO]])</f>
        <v>-71043865.849046752</v>
      </c>
      <c r="G194" s="140"/>
      <c r="H194" s="141"/>
      <c r="I194" s="142"/>
      <c r="J194" s="140">
        <f>+IF(FINANCIACION[[#This Row],[$ CAPITAL]]&gt;0,FINANCIACION[[#This Row],[$ CAPITAL]])</f>
        <v>486404.17832626984</v>
      </c>
      <c r="K194" s="143">
        <f>+IF(FINANCIACION[[#This Row],[$ CAPITAL]]&gt;=0,FINANCIACION[[#This Row],[$ CAPITAL]]+FINANCIACION[[#This Row],[$ INTERESES]],0)</f>
        <v>1200000</v>
      </c>
    </row>
    <row r="195" spans="1:11" ht="24" customHeight="1" x14ac:dyDescent="0.25">
      <c r="A195" s="138">
        <v>44510</v>
      </c>
      <c r="B195" s="139" t="s">
        <v>236</v>
      </c>
      <c r="C195" s="140">
        <v>2713802</v>
      </c>
      <c r="D195" s="140"/>
      <c r="E195" s="140">
        <f>+IF(FINANCIACION[[#This Row],[$ CAPITAL]]&gt;=0,FINANCIACION[[#This Row],[$ CAPITAL]]+FINANCIACION[[#This Row],[$ INTERESES]],"")</f>
        <v>2713802</v>
      </c>
      <c r="F195" s="140">
        <f>+SUMIFS(FINANCIACION[$ CAPITAL],FINANCIACION[Fecha],"&lt;="&amp;FINANCIACION[[#This Row],[Fecha]],FINANCIACION[PRESTAMO],FINANCIACION[[#This Row],[PRESTAMO]])</f>
        <v>4604601</v>
      </c>
      <c r="G195" s="140"/>
      <c r="H195" s="141"/>
      <c r="I195" s="142"/>
      <c r="J195" s="140">
        <f>+IF(FINANCIACION[[#This Row],[$ CAPITAL]]&gt;0,FINANCIACION[[#This Row],[$ CAPITAL]])</f>
        <v>2713802</v>
      </c>
      <c r="K195" s="143">
        <f>+IF(FINANCIACION[[#This Row],[$ CAPITAL]]&gt;=0,FINANCIACION[[#This Row],[$ CAPITAL]]+FINANCIACION[[#This Row],[$ INTERESES]],0)</f>
        <v>2713802</v>
      </c>
    </row>
    <row r="196" spans="1:11" ht="24" customHeight="1" x14ac:dyDescent="0.25">
      <c r="A196" s="138">
        <v>44518</v>
      </c>
      <c r="B196" s="139" t="s">
        <v>137</v>
      </c>
      <c r="C196" s="140">
        <v>5143385</v>
      </c>
      <c r="D196" s="140">
        <v>835554</v>
      </c>
      <c r="E196" s="140">
        <f>+IF(FINANCIACION[[#This Row],[$ CAPITAL]]&gt;=0,FINANCIACION[[#This Row],[$ CAPITAL]]+FINANCIACION[[#This Row],[$ INTERESES]],"")</f>
        <v>5978939</v>
      </c>
      <c r="F196" s="140">
        <f>+SUMIFS(FINANCIACION[$ CAPITAL],FINANCIACION[Fecha],"&lt;="&amp;FINANCIACION[[#This Row],[Fecha]],FINANCIACION[PRESTAMO],FINANCIACION[[#This Row],[PRESTAMO]])</f>
        <v>-323115759</v>
      </c>
      <c r="G196" s="140"/>
      <c r="H196" s="141"/>
      <c r="I196" s="142"/>
      <c r="J196" s="140">
        <f>+IF(FINANCIACION[[#This Row],[$ CAPITAL]]&gt;0,FINANCIACION[[#This Row],[$ CAPITAL]])</f>
        <v>5143385</v>
      </c>
      <c r="K196" s="143">
        <f>+IF(FINANCIACION[[#This Row],[$ CAPITAL]]&gt;=0,FINANCIACION[[#This Row],[$ CAPITAL]]+FINANCIACION[[#This Row],[$ INTERESES]],0)</f>
        <v>5978939</v>
      </c>
    </row>
    <row r="197" spans="1:11" ht="24" customHeight="1" x14ac:dyDescent="0.25">
      <c r="A197" s="138">
        <v>44525</v>
      </c>
      <c r="B197" s="139" t="s">
        <v>239</v>
      </c>
      <c r="C197" s="140">
        <v>-80206729.879999995</v>
      </c>
      <c r="D197" s="140">
        <v>6148159.1900000004</v>
      </c>
      <c r="E197" s="140" t="str">
        <f>+IF(FINANCIACION[[#This Row],[$ CAPITAL]]&gt;=0,FINANCIACION[[#This Row],[$ CAPITAL]]+FINANCIACION[[#This Row],[$ INTERESES]],"")</f>
        <v/>
      </c>
      <c r="F197" s="140">
        <f>+SUMIFS(FINANCIACION[$ CAPITAL],FINANCIACION[Fecha],"&lt;="&amp;FINANCIACION[[#This Row],[Fecha]],FINANCIACION[PRESTAMO],FINANCIACION[[#This Row],[PRESTAMO]])</f>
        <v>-80206729.879999995</v>
      </c>
      <c r="G197" s="140"/>
      <c r="H197" s="141"/>
      <c r="I197" s="142"/>
      <c r="J197" s="140" t="b">
        <f>+IF(FINANCIACION[[#This Row],[$ CAPITAL]]&gt;0,FINANCIACION[[#This Row],[$ CAPITAL]])</f>
        <v>0</v>
      </c>
      <c r="K197" s="143">
        <f>+IF(FINANCIACION[[#This Row],[$ CAPITAL]]&gt;=0,FINANCIACION[[#This Row],[$ CAPITAL]]+FINANCIACION[[#This Row],[$ INTERESES]],0)</f>
        <v>0</v>
      </c>
    </row>
    <row r="198" spans="1:11" ht="24" customHeight="1" x14ac:dyDescent="0.25">
      <c r="A198" s="138">
        <v>44525</v>
      </c>
      <c r="B198" s="139" t="s">
        <v>236</v>
      </c>
      <c r="C198" s="140">
        <v>9244400</v>
      </c>
      <c r="D198" s="140"/>
      <c r="E198" s="140">
        <f>+IF(FINANCIACION[[#This Row],[$ CAPITAL]]&gt;=0,FINANCIACION[[#This Row],[$ CAPITAL]]+FINANCIACION[[#This Row],[$ INTERESES]],"")</f>
        <v>9244400</v>
      </c>
      <c r="F198" s="140">
        <f>+SUMIFS(FINANCIACION[$ CAPITAL],FINANCIACION[Fecha],"&lt;="&amp;FINANCIACION[[#This Row],[Fecha]],FINANCIACION[PRESTAMO],FINANCIACION[[#This Row],[PRESTAMO]])</f>
        <v>13849001</v>
      </c>
      <c r="G198" s="140"/>
      <c r="H198" s="141"/>
      <c r="I198" s="142"/>
      <c r="J198" s="140">
        <f>+IF(FINANCIACION[[#This Row],[$ CAPITAL]]&gt;0,FINANCIACION[[#This Row],[$ CAPITAL]])</f>
        <v>9244400</v>
      </c>
      <c r="K198" s="143">
        <f>+IF(FINANCIACION[[#This Row],[$ CAPITAL]]&gt;=0,FINANCIACION[[#This Row],[$ CAPITAL]]+FINANCIACION[[#This Row],[$ INTERESES]],0)</f>
        <v>9244400</v>
      </c>
    </row>
    <row r="199" spans="1:11" ht="24" customHeight="1" x14ac:dyDescent="0.25">
      <c r="A199" s="138">
        <v>44530</v>
      </c>
      <c r="B199" s="139" t="s">
        <v>236</v>
      </c>
      <c r="C199" s="140">
        <v>-42540986</v>
      </c>
      <c r="D199" s="140"/>
      <c r="E199" s="140" t="str">
        <f>+IF(FINANCIACION[[#This Row],[$ CAPITAL]]&gt;=0,FINANCIACION[[#This Row],[$ CAPITAL]]+FINANCIACION[[#This Row],[$ INTERESES]],"")</f>
        <v/>
      </c>
      <c r="F199" s="140">
        <f>+SUMIFS(FINANCIACION[$ CAPITAL],FINANCIACION[Fecha],"&lt;="&amp;FINANCIACION[[#This Row],[Fecha]],FINANCIACION[PRESTAMO],FINANCIACION[[#This Row],[PRESTAMO]])</f>
        <v>-28691985</v>
      </c>
      <c r="G199" s="140"/>
      <c r="H199" s="141" t="s">
        <v>72</v>
      </c>
      <c r="I199" s="142"/>
      <c r="J199" s="140" t="b">
        <f>+IF(FINANCIACION[[#This Row],[$ CAPITAL]]&gt;0,FINANCIACION[[#This Row],[$ CAPITAL]])</f>
        <v>0</v>
      </c>
      <c r="K199" s="143">
        <f>+IF(FINANCIACION[[#This Row],[$ CAPITAL]]&gt;=0,FINANCIACION[[#This Row],[$ CAPITAL]]+FINANCIACION[[#This Row],[$ INTERESES]],0)</f>
        <v>0</v>
      </c>
    </row>
    <row r="200" spans="1:11" ht="24" customHeight="1" x14ac:dyDescent="0.25">
      <c r="A200" s="138">
        <v>44536</v>
      </c>
      <c r="B200" s="139" t="s">
        <v>236</v>
      </c>
      <c r="C200" s="140">
        <v>11844990</v>
      </c>
      <c r="D200" s="140"/>
      <c r="E200" s="140">
        <f>+IF(FINANCIACION[[#This Row],[$ CAPITAL]]&gt;=0,FINANCIACION[[#This Row],[$ CAPITAL]]+FINANCIACION[[#This Row],[$ INTERESES]],"")</f>
        <v>11844990</v>
      </c>
      <c r="F200" s="140">
        <f>+SUMIFS(FINANCIACION[$ CAPITAL],FINANCIACION[Fecha],"&lt;="&amp;FINANCIACION[[#This Row],[Fecha]],FINANCIACION[PRESTAMO],FINANCIACION[[#This Row],[PRESTAMO]])</f>
        <v>-16846995</v>
      </c>
      <c r="G200" s="140"/>
      <c r="H200" s="141"/>
      <c r="I200" s="142"/>
      <c r="J200" s="140">
        <f>+IF(FINANCIACION[[#This Row],[$ CAPITAL]]&gt;0,FINANCIACION[[#This Row],[$ CAPITAL]])</f>
        <v>11844990</v>
      </c>
      <c r="K200" s="143">
        <f>+IF(FINANCIACION[[#This Row],[$ CAPITAL]]&gt;=0,FINANCIACION[[#This Row],[$ CAPITAL]]+FINANCIACION[[#This Row],[$ INTERESES]],0)</f>
        <v>11844990</v>
      </c>
    </row>
    <row r="201" spans="1:11" ht="24" customHeight="1" x14ac:dyDescent="0.25">
      <c r="A201" s="138">
        <v>44539</v>
      </c>
      <c r="B201" s="139" t="s">
        <v>141</v>
      </c>
      <c r="C201" s="140"/>
      <c r="D201" s="140">
        <v>130000</v>
      </c>
      <c r="E201" s="140">
        <f>+IF(FINANCIACION[[#This Row],[$ CAPITAL]]&gt;=0,FINANCIACION[[#This Row],[$ CAPITAL]]+FINANCIACION[[#This Row],[$ INTERESES]],"")</f>
        <v>130000</v>
      </c>
      <c r="F201" s="140">
        <f>+SUMIFS(FINANCIACION[$ CAPITAL],FINANCIACION[Fecha],"&lt;="&amp;FINANCIACION[[#This Row],[Fecha]],FINANCIACION[PRESTAMO],FINANCIACION[[#This Row],[PRESTAMO]])</f>
        <v>-13000000</v>
      </c>
      <c r="G201" s="140"/>
      <c r="H201" s="141"/>
      <c r="I201" s="142"/>
      <c r="J201" s="140" t="b">
        <f>+IF(FINANCIACION[[#This Row],[$ CAPITAL]]&gt;0,FINANCIACION[[#This Row],[$ CAPITAL]])</f>
        <v>0</v>
      </c>
      <c r="K201" s="143">
        <f>+IF(FINANCIACION[[#This Row],[$ CAPITAL]]&gt;=0,FINANCIACION[[#This Row],[$ CAPITAL]]+FINANCIACION[[#This Row],[$ INTERESES]],0)</f>
        <v>130000</v>
      </c>
    </row>
    <row r="202" spans="1:11" ht="24" customHeight="1" x14ac:dyDescent="0.25">
      <c r="A202" s="138">
        <v>44539</v>
      </c>
      <c r="B202" s="139" t="s">
        <v>143</v>
      </c>
      <c r="C202" s="140"/>
      <c r="D202" s="140">
        <v>400000</v>
      </c>
      <c r="E202" s="140">
        <f>+IF(FINANCIACION[[#This Row],[$ CAPITAL]]&gt;=0,FINANCIACION[[#This Row],[$ CAPITAL]]+FINANCIACION[[#This Row],[$ INTERESES]],"")</f>
        <v>400000</v>
      </c>
      <c r="F202" s="140">
        <f>+SUMIFS(FINANCIACION[$ CAPITAL],FINANCIACION[Fecha],"&lt;="&amp;FINANCIACION[[#This Row],[Fecha]],FINANCIACION[PRESTAMO],FINANCIACION[[#This Row],[PRESTAMO]])</f>
        <v>-40000000</v>
      </c>
      <c r="G202" s="140"/>
      <c r="H202" s="141"/>
      <c r="I202" s="142"/>
      <c r="J202" s="140" t="b">
        <f>+IF(FINANCIACION[[#This Row],[$ CAPITAL]]&gt;0,FINANCIACION[[#This Row],[$ CAPITAL]])</f>
        <v>0</v>
      </c>
      <c r="K202" s="143">
        <f>+IF(FINANCIACION[[#This Row],[$ CAPITAL]]&gt;=0,FINANCIACION[[#This Row],[$ CAPITAL]]+FINANCIACION[[#This Row],[$ INTERESES]],0)</f>
        <v>400000</v>
      </c>
    </row>
    <row r="203" spans="1:11" ht="24" customHeight="1" x14ac:dyDescent="0.25">
      <c r="A203" s="138">
        <v>44539</v>
      </c>
      <c r="B203" s="139" t="s">
        <v>135</v>
      </c>
      <c r="C203" s="140">
        <v>1965180.7323691447</v>
      </c>
      <c r="D203" s="140">
        <v>712197.26763085532</v>
      </c>
      <c r="E203" s="140">
        <f>+IF(FINANCIACION[[#This Row],[$ CAPITAL]]&gt;=0,FINANCIACION[[#This Row],[$ CAPITAL]]+FINANCIACION[[#This Row],[$ INTERESES]],"")</f>
        <v>2677378</v>
      </c>
      <c r="F203" s="140">
        <f>+SUMIFS(FINANCIACION[$ CAPITAL],FINANCIACION[Fecha],"&lt;="&amp;FINANCIACION[[#This Row],[Fecha]],FINANCIACION[PRESTAMO],FINANCIACION[[#This Row],[PRESTAMO]])</f>
        <v>-69254546.030716389</v>
      </c>
      <c r="G203" s="140"/>
      <c r="H203" s="141"/>
      <c r="I203" s="142"/>
      <c r="J203" s="140">
        <f>+IF(FINANCIACION[[#This Row],[$ CAPITAL]]&gt;0,FINANCIACION[[#This Row],[$ CAPITAL]])</f>
        <v>1965180.7323691447</v>
      </c>
      <c r="K203" s="143">
        <f>+IF(FINANCIACION[[#This Row],[$ CAPITAL]]&gt;=0,FINANCIACION[[#This Row],[$ CAPITAL]]+FINANCIACION[[#This Row],[$ INTERESES]],0)</f>
        <v>2677378</v>
      </c>
    </row>
    <row r="204" spans="1:11" ht="24" customHeight="1" x14ac:dyDescent="0.25">
      <c r="A204" s="138">
        <v>44539</v>
      </c>
      <c r="B204" s="139" t="s">
        <v>138</v>
      </c>
      <c r="C204" s="140">
        <v>757133.40857515368</v>
      </c>
      <c r="D204" s="140">
        <v>542866.59142484632</v>
      </c>
      <c r="E204" s="140">
        <f>+IF(FINANCIACION[[#This Row],[$ CAPITAL]]&gt;=0,FINANCIACION[[#This Row],[$ CAPITAL]]+FINANCIACION[[#This Row],[$ INTERESES]],"")</f>
        <v>1300000</v>
      </c>
      <c r="F204" s="140">
        <f>+SUMIFS(FINANCIACION[$ CAPITAL],FINANCIACION[Fecha],"&lt;="&amp;FINANCIACION[[#This Row],[Fecha]],FINANCIACION[PRESTAMO],FINANCIACION[[#This Row],[PRESTAMO]])</f>
        <v>-53529525.772102699</v>
      </c>
      <c r="G204" s="140"/>
      <c r="H204" s="141"/>
      <c r="I204" s="142"/>
      <c r="J204" s="140">
        <f>+IF(FINANCIACION[[#This Row],[$ CAPITAL]]&gt;0,FINANCIACION[[#This Row],[$ CAPITAL]])</f>
        <v>757133.40857515368</v>
      </c>
      <c r="K204" s="143">
        <f>+IF(FINANCIACION[[#This Row],[$ CAPITAL]]&gt;=0,FINANCIACION[[#This Row],[$ CAPITAL]]+FINANCIACION[[#This Row],[$ INTERESES]],0)</f>
        <v>1300000</v>
      </c>
    </row>
    <row r="205" spans="1:11" ht="24" customHeight="1" x14ac:dyDescent="0.25">
      <c r="A205" s="138">
        <v>44539</v>
      </c>
      <c r="B205" s="139" t="s">
        <v>136</v>
      </c>
      <c r="C205" s="140">
        <v>491268.22010953247</v>
      </c>
      <c r="D205" s="140">
        <v>708731.77989046753</v>
      </c>
      <c r="E205" s="140">
        <f>+IF(FINANCIACION[[#This Row],[$ CAPITAL]]&gt;=0,FINANCIACION[[#This Row],[$ CAPITAL]]+FINANCIACION[[#This Row],[$ INTERESES]],"")</f>
        <v>1200000</v>
      </c>
      <c r="F205" s="140">
        <f>+SUMIFS(FINANCIACION[$ CAPITAL],FINANCIACION[Fecha],"&lt;="&amp;FINANCIACION[[#This Row],[Fecha]],FINANCIACION[PRESTAMO],FINANCIACION[[#This Row],[PRESTAMO]])</f>
        <v>-70552597.628937215</v>
      </c>
      <c r="G205" s="140"/>
      <c r="H205" s="141"/>
      <c r="I205" s="142"/>
      <c r="J205" s="140">
        <f>+IF(FINANCIACION[[#This Row],[$ CAPITAL]]&gt;0,FINANCIACION[[#This Row],[$ CAPITAL]])</f>
        <v>491268.22010953247</v>
      </c>
      <c r="K205" s="143">
        <f>+IF(FINANCIACION[[#This Row],[$ CAPITAL]]&gt;=0,FINANCIACION[[#This Row],[$ CAPITAL]]+FINANCIACION[[#This Row],[$ INTERESES]],0)</f>
        <v>1200000</v>
      </c>
    </row>
    <row r="206" spans="1:11" ht="24" customHeight="1" x14ac:dyDescent="0.25">
      <c r="A206" s="138">
        <v>44544</v>
      </c>
      <c r="B206" s="139" t="s">
        <v>239</v>
      </c>
      <c r="C206" s="140">
        <v>345651.39999999106</v>
      </c>
      <c r="D206" s="140">
        <v>172348.60000000894</v>
      </c>
      <c r="E206" s="140">
        <f>+IF(FINANCIACION[[#This Row],[$ CAPITAL]]&gt;=0,FINANCIACION[[#This Row],[$ CAPITAL]]+FINANCIACION[[#This Row],[$ INTERESES]],"")</f>
        <v>518000</v>
      </c>
      <c r="F206" s="140">
        <f>+SUMIFS(FINANCIACION[$ CAPITAL],FINANCIACION[Fecha],"&lt;="&amp;FINANCIACION[[#This Row],[Fecha]],FINANCIACION[PRESTAMO],FINANCIACION[[#This Row],[PRESTAMO]])</f>
        <v>-79861078.480000004</v>
      </c>
      <c r="G206" s="140"/>
      <c r="H206" s="141"/>
      <c r="I206" s="142"/>
      <c r="J206" s="140">
        <f>+IF(FINANCIACION[[#This Row],[$ CAPITAL]]&gt;0,FINANCIACION[[#This Row],[$ CAPITAL]])</f>
        <v>345651.39999999106</v>
      </c>
      <c r="K206" s="143">
        <f>+IF(FINANCIACION[[#This Row],[$ CAPITAL]]&gt;=0,FINANCIACION[[#This Row],[$ CAPITAL]]+FINANCIACION[[#This Row],[$ INTERESES]],0)</f>
        <v>518000</v>
      </c>
    </row>
    <row r="207" spans="1:11" ht="24" customHeight="1" x14ac:dyDescent="0.25">
      <c r="A207" s="138">
        <v>44544</v>
      </c>
      <c r="B207" s="139" t="s">
        <v>137</v>
      </c>
      <c r="C207" s="140">
        <v>4796627</v>
      </c>
      <c r="D207" s="140">
        <v>1182312</v>
      </c>
      <c r="E207" s="140">
        <f>+IF(FINANCIACION[[#This Row],[$ CAPITAL]]&gt;=0,FINANCIACION[[#This Row],[$ CAPITAL]]+FINANCIACION[[#This Row],[$ INTERESES]],"")</f>
        <v>5978939</v>
      </c>
      <c r="F207" s="140">
        <f>+SUMIFS(FINANCIACION[$ CAPITAL],FINANCIACION[Fecha],"&lt;="&amp;FINANCIACION[[#This Row],[Fecha]],FINANCIACION[PRESTAMO],FINANCIACION[[#This Row],[PRESTAMO]])</f>
        <v>-318319132</v>
      </c>
      <c r="G207" s="140"/>
      <c r="H207" s="141"/>
      <c r="I207" s="142"/>
      <c r="J207" s="140">
        <f>+IF(FINANCIACION[[#This Row],[$ CAPITAL]]&gt;0,FINANCIACION[[#This Row],[$ CAPITAL]])</f>
        <v>4796627</v>
      </c>
      <c r="K207" s="143">
        <f>+IF(FINANCIACION[[#This Row],[$ CAPITAL]]&gt;=0,FINANCIACION[[#This Row],[$ CAPITAL]]+FINANCIACION[[#This Row],[$ INTERESES]],0)</f>
        <v>5978939</v>
      </c>
    </row>
    <row r="208" spans="1:11" ht="24" customHeight="1" x14ac:dyDescent="0.25">
      <c r="A208" s="138">
        <v>44554</v>
      </c>
      <c r="B208" s="139" t="s">
        <v>139</v>
      </c>
      <c r="C208" s="140"/>
      <c r="D208" s="140">
        <v>9000000</v>
      </c>
      <c r="E208" s="140">
        <f>+IF(FINANCIACION[[#This Row],[$ CAPITAL]]&gt;=0,FINANCIACION[[#This Row],[$ CAPITAL]]+FINANCIACION[[#This Row],[$ INTERESES]],"")</f>
        <v>9000000</v>
      </c>
      <c r="F208" s="140">
        <f>+SUMIFS(FINANCIACION[$ CAPITAL],FINANCIACION[Fecha],"&lt;="&amp;FINANCIACION[[#This Row],[Fecha]],FINANCIACION[PRESTAMO],FINANCIACION[[#This Row],[PRESTAMO]])</f>
        <v>-75000000</v>
      </c>
      <c r="G208" s="140"/>
      <c r="H208" s="141"/>
      <c r="I208" s="142"/>
      <c r="J208" s="140" t="b">
        <f>+IF(FINANCIACION[[#This Row],[$ CAPITAL]]&gt;0,FINANCIACION[[#This Row],[$ CAPITAL]])</f>
        <v>0</v>
      </c>
      <c r="K208" s="143">
        <f>+IF(FINANCIACION[[#This Row],[$ CAPITAL]]&gt;=0,FINANCIACION[[#This Row],[$ CAPITAL]]+FINANCIACION[[#This Row],[$ INTERESES]],0)</f>
        <v>9000000</v>
      </c>
    </row>
    <row r="209" spans="1:11" ht="24" customHeight="1" x14ac:dyDescent="0.25">
      <c r="A209" s="138">
        <v>44554</v>
      </c>
      <c r="B209" s="139" t="s">
        <v>236</v>
      </c>
      <c r="C209" s="140">
        <v>3997090</v>
      </c>
      <c r="D209" s="140"/>
      <c r="E209" s="140">
        <f>+IF(FINANCIACION[[#This Row],[$ CAPITAL]]&gt;=0,FINANCIACION[[#This Row],[$ CAPITAL]]+FINANCIACION[[#This Row],[$ INTERESES]],"")</f>
        <v>3997090</v>
      </c>
      <c r="F209" s="140">
        <f>+SUMIFS(FINANCIACION[$ CAPITAL],FINANCIACION[Fecha],"&lt;="&amp;FINANCIACION[[#This Row],[Fecha]],FINANCIACION[PRESTAMO],FINANCIACION[[#This Row],[PRESTAMO]])</f>
        <v>-12849905</v>
      </c>
      <c r="G209" s="140"/>
      <c r="H209" s="141"/>
      <c r="I209" s="142"/>
      <c r="J209" s="140">
        <f>+IF(FINANCIACION[[#This Row],[$ CAPITAL]]&gt;0,FINANCIACION[[#This Row],[$ CAPITAL]])</f>
        <v>3997090</v>
      </c>
      <c r="K209" s="143">
        <f>+IF(FINANCIACION[[#This Row],[$ CAPITAL]]&gt;=0,FINANCIACION[[#This Row],[$ CAPITAL]]+FINANCIACION[[#This Row],[$ INTERESES]],0)</f>
        <v>3997090</v>
      </c>
    </row>
    <row r="210" spans="1:11" ht="24" customHeight="1" x14ac:dyDescent="0.25">
      <c r="A210" s="138">
        <v>44557</v>
      </c>
      <c r="B210" s="139" t="s">
        <v>236</v>
      </c>
      <c r="C210" s="140">
        <v>3994150</v>
      </c>
      <c r="D210" s="140"/>
      <c r="E210" s="140">
        <f>+IF(FINANCIACION[[#This Row],[$ CAPITAL]]&gt;=0,FINANCIACION[[#This Row],[$ CAPITAL]]+FINANCIACION[[#This Row],[$ INTERESES]],"")</f>
        <v>3994150</v>
      </c>
      <c r="F210" s="140">
        <f>+SUMIFS(FINANCIACION[$ CAPITAL],FINANCIACION[Fecha],"&lt;="&amp;FINANCIACION[[#This Row],[Fecha]],FINANCIACION[PRESTAMO],FINANCIACION[[#This Row],[PRESTAMO]])</f>
        <v>-8855755</v>
      </c>
      <c r="G210" s="140"/>
      <c r="H210" s="141"/>
      <c r="I210" s="142"/>
      <c r="J210" s="140">
        <f>+IF(FINANCIACION[[#This Row],[$ CAPITAL]]&gt;0,FINANCIACION[[#This Row],[$ CAPITAL]])</f>
        <v>3994150</v>
      </c>
      <c r="K210" s="143">
        <f>+IF(FINANCIACION[[#This Row],[$ CAPITAL]]&gt;=0,FINANCIACION[[#This Row],[$ CAPITAL]]+FINANCIACION[[#This Row],[$ INTERESES]],0)</f>
        <v>3994150</v>
      </c>
    </row>
    <row r="211" spans="1:11" ht="24" customHeight="1" x14ac:dyDescent="0.25">
      <c r="A211" s="138">
        <v>44560</v>
      </c>
      <c r="B211" s="139" t="s">
        <v>236</v>
      </c>
      <c r="C211" s="140">
        <v>4023680</v>
      </c>
      <c r="D211" s="140"/>
      <c r="E211" s="140">
        <f>+IF(FINANCIACION[[#This Row],[$ CAPITAL]]&gt;=0,FINANCIACION[[#This Row],[$ CAPITAL]]+FINANCIACION[[#This Row],[$ INTERESES]],"")</f>
        <v>4023680</v>
      </c>
      <c r="F211" s="140">
        <f>+SUMIFS(FINANCIACION[$ CAPITAL],FINANCIACION[Fecha],"&lt;="&amp;FINANCIACION[[#This Row],[Fecha]],FINANCIACION[PRESTAMO],FINANCIACION[[#This Row],[PRESTAMO]])</f>
        <v>-4832075</v>
      </c>
      <c r="G211" s="140"/>
      <c r="H211" s="141"/>
      <c r="I211" s="142"/>
      <c r="J211" s="140">
        <f>+IF(FINANCIACION[[#This Row],[$ CAPITAL]]&gt;0,FINANCIACION[[#This Row],[$ CAPITAL]])</f>
        <v>4023680</v>
      </c>
      <c r="K211" s="143">
        <f>+IF(FINANCIACION[[#This Row],[$ CAPITAL]]&gt;=0,FINANCIACION[[#This Row],[$ CAPITAL]]+FINANCIACION[[#This Row],[$ INTERESES]],0)</f>
        <v>4023680</v>
      </c>
    </row>
    <row r="212" spans="1:11" ht="24" customHeight="1" x14ac:dyDescent="0.25">
      <c r="A212" s="138">
        <v>44561</v>
      </c>
      <c r="B212" s="139" t="s">
        <v>239</v>
      </c>
      <c r="C212" s="140">
        <v>-1661234.7599999905</v>
      </c>
      <c r="D212" s="140"/>
      <c r="E212" s="140" t="str">
        <f>+IF(FINANCIACION[[#This Row],[$ CAPITAL]]&gt;=0,FINANCIACION[[#This Row],[$ CAPITAL]]+FINANCIACION[[#This Row],[$ INTERESES]],"")</f>
        <v/>
      </c>
      <c r="F212" s="140">
        <f>+SUMIFS(FINANCIACION[$ CAPITAL],FINANCIACION[Fecha],"&lt;="&amp;FINANCIACION[[#This Row],[Fecha]],FINANCIACION[PRESTAMO],FINANCIACION[[#This Row],[PRESTAMO]])</f>
        <v>-82321407.039999992</v>
      </c>
      <c r="G212" s="140"/>
      <c r="H212" s="141"/>
      <c r="I212" s="142"/>
      <c r="J212" s="140" t="b">
        <f>+IF(FINANCIACION[[#This Row],[$ CAPITAL]]&gt;0,FINANCIACION[[#This Row],[$ CAPITAL]])</f>
        <v>0</v>
      </c>
      <c r="K212" s="143">
        <f>+IF(FINANCIACION[[#This Row],[$ CAPITAL]]&gt;=0,FINANCIACION[[#This Row],[$ CAPITAL]]+FINANCIACION[[#This Row],[$ INTERESES]],0)</f>
        <v>0</v>
      </c>
    </row>
    <row r="213" spans="1:11" ht="24" customHeight="1" x14ac:dyDescent="0.25">
      <c r="A213" s="138">
        <v>44561</v>
      </c>
      <c r="B213" s="139" t="s">
        <v>239</v>
      </c>
      <c r="C213" s="140">
        <v>-799093.79999999702</v>
      </c>
      <c r="D213" s="140"/>
      <c r="E213" s="140" t="str">
        <f>+IF(FINANCIACION[[#This Row],[$ CAPITAL]]&gt;=0,FINANCIACION[[#This Row],[$ CAPITAL]]+FINANCIACION[[#This Row],[$ INTERESES]],"")</f>
        <v/>
      </c>
      <c r="F213" s="140">
        <f>+SUMIFS(FINANCIACION[$ CAPITAL],FINANCIACION[Fecha],"&lt;="&amp;FINANCIACION[[#This Row],[Fecha]],FINANCIACION[PRESTAMO],FINANCIACION[[#This Row],[PRESTAMO]])</f>
        <v>-82321407.039999992</v>
      </c>
      <c r="G213" s="140"/>
      <c r="H213" s="141"/>
      <c r="I213" s="142"/>
      <c r="J213" s="140" t="b">
        <f>+IF(FINANCIACION[[#This Row],[$ CAPITAL]]&gt;0,FINANCIACION[[#This Row],[$ CAPITAL]])</f>
        <v>0</v>
      </c>
      <c r="K213" s="143">
        <f>+IF(FINANCIACION[[#This Row],[$ CAPITAL]]&gt;=0,FINANCIACION[[#This Row],[$ CAPITAL]]+FINANCIACION[[#This Row],[$ INTERESES]],0)</f>
        <v>0</v>
      </c>
    </row>
    <row r="214" spans="1:11" ht="24" customHeight="1" x14ac:dyDescent="0.25">
      <c r="A214" s="138">
        <v>44561</v>
      </c>
      <c r="B214" s="139" t="s">
        <v>137</v>
      </c>
      <c r="C214" s="140">
        <v>-18803895</v>
      </c>
      <c r="D214" s="140"/>
      <c r="E214" s="140" t="str">
        <f>+IF(FINANCIACION[[#This Row],[$ CAPITAL]]&gt;=0,FINANCIACION[[#This Row],[$ CAPITAL]]+FINANCIACION[[#This Row],[$ INTERESES]],"")</f>
        <v/>
      </c>
      <c r="F214" s="140">
        <f>+SUMIFS(FINANCIACION[$ CAPITAL],FINANCIACION[Fecha],"&lt;="&amp;FINANCIACION[[#This Row],[Fecha]],FINANCIACION[PRESTAMO],FINANCIACION[[#This Row],[PRESTAMO]])</f>
        <v>-388924522</v>
      </c>
      <c r="G214" s="140"/>
      <c r="H214" s="141" t="s">
        <v>72</v>
      </c>
      <c r="I214" s="142"/>
      <c r="J214" s="140" t="b">
        <f>+IF(FINANCIACION[[#This Row],[$ CAPITAL]]&gt;0,FINANCIACION[[#This Row],[$ CAPITAL]])</f>
        <v>0</v>
      </c>
      <c r="K214" s="143">
        <f>+IF(FINANCIACION[[#This Row],[$ CAPITAL]]&gt;=0,FINANCIACION[[#This Row],[$ CAPITAL]]+FINANCIACION[[#This Row],[$ INTERESES]],0)</f>
        <v>0</v>
      </c>
    </row>
    <row r="215" spans="1:11" ht="24" customHeight="1" x14ac:dyDescent="0.25">
      <c r="A215" s="138">
        <v>44561</v>
      </c>
      <c r="B215" s="139" t="s">
        <v>137</v>
      </c>
      <c r="C215" s="140">
        <v>-51801495</v>
      </c>
      <c r="D215" s="140"/>
      <c r="E215" s="140" t="str">
        <f>+IF(FINANCIACION[[#This Row],[$ CAPITAL]]&gt;=0,FINANCIACION[[#This Row],[$ CAPITAL]]+FINANCIACION[[#This Row],[$ INTERESES]],"")</f>
        <v/>
      </c>
      <c r="F215" s="140">
        <f>+SUMIFS(FINANCIACION[$ CAPITAL],FINANCIACION[Fecha],"&lt;="&amp;FINANCIACION[[#This Row],[Fecha]],FINANCIACION[PRESTAMO],FINANCIACION[[#This Row],[PRESTAMO]])</f>
        <v>-388924522</v>
      </c>
      <c r="G215" s="140"/>
      <c r="H215" s="141" t="s">
        <v>955</v>
      </c>
      <c r="I215" s="142"/>
      <c r="J215" s="140" t="b">
        <f>+IF(FINANCIACION[[#This Row],[$ CAPITAL]]&gt;0,FINANCIACION[[#This Row],[$ CAPITAL]])</f>
        <v>0</v>
      </c>
      <c r="K215" s="143">
        <f>+IF(FINANCIACION[[#This Row],[$ CAPITAL]]&gt;=0,FINANCIACION[[#This Row],[$ CAPITAL]]+FINANCIACION[[#This Row],[$ INTERESES]],0)</f>
        <v>0</v>
      </c>
    </row>
    <row r="216" spans="1:11" ht="24" customHeight="1" x14ac:dyDescent="0.25">
      <c r="A216" s="138">
        <v>44561</v>
      </c>
      <c r="B216" s="139" t="s">
        <v>236</v>
      </c>
      <c r="C216" s="140">
        <v>-15729425</v>
      </c>
      <c r="D216" s="140"/>
      <c r="E216" s="140" t="str">
        <f>+IF(FINANCIACION[[#This Row],[$ CAPITAL]]&gt;=0,FINANCIACION[[#This Row],[$ CAPITAL]]+FINANCIACION[[#This Row],[$ INTERESES]],"")</f>
        <v/>
      </c>
      <c r="F216" s="140">
        <f>+SUMIFS(FINANCIACION[$ CAPITAL],FINANCIACION[Fecha],"&lt;="&amp;FINANCIACION[[#This Row],[Fecha]],FINANCIACION[PRESTAMO],FINANCIACION[[#This Row],[PRESTAMO]])</f>
        <v>-20561500</v>
      </c>
      <c r="G216" s="140"/>
      <c r="H216" s="141"/>
      <c r="I216" s="142"/>
      <c r="J216" s="140" t="b">
        <f>+IF(FINANCIACION[[#This Row],[$ CAPITAL]]&gt;0,FINANCIACION[[#This Row],[$ CAPITAL]])</f>
        <v>0</v>
      </c>
      <c r="K216" s="143">
        <f>+IF(FINANCIACION[[#This Row],[$ CAPITAL]]&gt;=0,FINANCIACION[[#This Row],[$ CAPITAL]]+FINANCIACION[[#This Row],[$ INTERESES]],0)</f>
        <v>0</v>
      </c>
    </row>
    <row r="217" spans="1:11" ht="24" customHeight="1" x14ac:dyDescent="0.25">
      <c r="A217" s="138">
        <v>44572</v>
      </c>
      <c r="B217" s="139" t="s">
        <v>141</v>
      </c>
      <c r="C217" s="140"/>
      <c r="D217" s="140">
        <v>130000</v>
      </c>
      <c r="E217" s="140">
        <f>+IF(FINANCIACION[[#This Row],[$ CAPITAL]]&gt;=0,FINANCIACION[[#This Row],[$ CAPITAL]]+FINANCIACION[[#This Row],[$ INTERESES]],"")</f>
        <v>130000</v>
      </c>
      <c r="F217" s="140">
        <f>+SUMIFS(FINANCIACION[$ CAPITAL],FINANCIACION[Fecha],"&lt;="&amp;FINANCIACION[[#This Row],[Fecha]],FINANCIACION[PRESTAMO],FINANCIACION[[#This Row],[PRESTAMO]])</f>
        <v>-13000000</v>
      </c>
      <c r="G217" s="140"/>
      <c r="H217" s="141"/>
      <c r="I217" s="142"/>
      <c r="J217" s="140" t="b">
        <f>+IF(FINANCIACION[[#This Row],[$ CAPITAL]]&gt;0,FINANCIACION[[#This Row],[$ CAPITAL]])</f>
        <v>0</v>
      </c>
      <c r="K217" s="143">
        <f>+IF(FINANCIACION[[#This Row],[$ CAPITAL]]&gt;=0,FINANCIACION[[#This Row],[$ CAPITAL]]+FINANCIACION[[#This Row],[$ INTERESES]],0)</f>
        <v>130000</v>
      </c>
    </row>
    <row r="218" spans="1:11" ht="24" customHeight="1" x14ac:dyDescent="0.25">
      <c r="A218" s="138">
        <v>44572</v>
      </c>
      <c r="B218" s="139" t="s">
        <v>143</v>
      </c>
      <c r="C218" s="140"/>
      <c r="D218" s="140">
        <v>400000</v>
      </c>
      <c r="E218" s="140">
        <f>+IF(FINANCIACION[[#This Row],[$ CAPITAL]]&gt;=0,FINANCIACION[[#This Row],[$ CAPITAL]]+FINANCIACION[[#This Row],[$ INTERESES]],"")</f>
        <v>400000</v>
      </c>
      <c r="F218" s="140">
        <f>+SUMIFS(FINANCIACION[$ CAPITAL],FINANCIACION[Fecha],"&lt;="&amp;FINANCIACION[[#This Row],[Fecha]],FINANCIACION[PRESTAMO],FINANCIACION[[#This Row],[PRESTAMO]])</f>
        <v>-40000000</v>
      </c>
      <c r="G218" s="140"/>
      <c r="H218" s="141"/>
      <c r="I218" s="142"/>
      <c r="J218" s="140" t="b">
        <f>+IF(FINANCIACION[[#This Row],[$ CAPITAL]]&gt;0,FINANCIACION[[#This Row],[$ CAPITAL]])</f>
        <v>0</v>
      </c>
      <c r="K218" s="143">
        <f>+IF(FINANCIACION[[#This Row],[$ CAPITAL]]&gt;=0,FINANCIACION[[#This Row],[$ CAPITAL]]+FINANCIACION[[#This Row],[$ INTERESES]],0)</f>
        <v>400000</v>
      </c>
    </row>
    <row r="219" spans="1:11" ht="24" customHeight="1" x14ac:dyDescent="0.25">
      <c r="A219" s="138">
        <v>44572</v>
      </c>
      <c r="B219" s="139" t="s">
        <v>135</v>
      </c>
      <c r="C219" s="140">
        <v>1984832.5396928361</v>
      </c>
      <c r="D219" s="140">
        <v>692545.46030716388</v>
      </c>
      <c r="E219" s="140">
        <f>+IF(FINANCIACION[[#This Row],[$ CAPITAL]]&gt;=0,FINANCIACION[[#This Row],[$ CAPITAL]]+FINANCIACION[[#This Row],[$ INTERESES]],"")</f>
        <v>2677378</v>
      </c>
      <c r="F219" s="140">
        <f>+SUMIFS(FINANCIACION[$ CAPITAL],FINANCIACION[Fecha],"&lt;="&amp;FINANCIACION[[#This Row],[Fecha]],FINANCIACION[PRESTAMO],FINANCIACION[[#This Row],[PRESTAMO]])</f>
        <v>-67269713.491023555</v>
      </c>
      <c r="G219" s="140"/>
      <c r="H219" s="141"/>
      <c r="I219" s="142"/>
      <c r="J219" s="140">
        <f>+IF(FINANCIACION[[#This Row],[$ CAPITAL]]&gt;0,FINANCIACION[[#This Row],[$ CAPITAL]])</f>
        <v>1984832.5396928361</v>
      </c>
      <c r="K219" s="143">
        <f>+IF(FINANCIACION[[#This Row],[$ CAPITAL]]&gt;=0,FINANCIACION[[#This Row],[$ CAPITAL]]+FINANCIACION[[#This Row],[$ INTERESES]],0)</f>
        <v>2677378</v>
      </c>
    </row>
    <row r="220" spans="1:11" ht="24" customHeight="1" x14ac:dyDescent="0.25">
      <c r="A220" s="138">
        <v>44572</v>
      </c>
      <c r="B220" s="139" t="s">
        <v>138</v>
      </c>
      <c r="C220" s="140">
        <v>764704.74227897299</v>
      </c>
      <c r="D220" s="140">
        <v>535295.25772102701</v>
      </c>
      <c r="E220" s="140">
        <f>+IF(FINANCIACION[[#This Row],[$ CAPITAL]]&gt;=0,FINANCIACION[[#This Row],[$ CAPITAL]]+FINANCIACION[[#This Row],[$ INTERESES]],"")</f>
        <v>1300000</v>
      </c>
      <c r="F220" s="140">
        <f>+SUMIFS(FINANCIACION[$ CAPITAL],FINANCIACION[Fecha],"&lt;="&amp;FINANCIACION[[#This Row],[Fecha]],FINANCIACION[PRESTAMO],FINANCIACION[[#This Row],[PRESTAMO]])</f>
        <v>-52764821.029823728</v>
      </c>
      <c r="G220" s="140"/>
      <c r="H220" s="141"/>
      <c r="I220" s="142"/>
      <c r="J220" s="140">
        <f>+IF(FINANCIACION[[#This Row],[$ CAPITAL]]&gt;0,FINANCIACION[[#This Row],[$ CAPITAL]])</f>
        <v>764704.74227897299</v>
      </c>
      <c r="K220" s="143">
        <f>+IF(FINANCIACION[[#This Row],[$ CAPITAL]]&gt;=0,FINANCIACION[[#This Row],[$ CAPITAL]]+FINANCIACION[[#This Row],[$ INTERESES]],0)</f>
        <v>1300000</v>
      </c>
    </row>
    <row r="221" spans="1:11" ht="24" customHeight="1" x14ac:dyDescent="0.25">
      <c r="A221" s="138">
        <v>44572</v>
      </c>
      <c r="B221" s="139" t="s">
        <v>136</v>
      </c>
      <c r="C221" s="140">
        <v>496180.90231062786</v>
      </c>
      <c r="D221" s="140">
        <v>703819.09768937214</v>
      </c>
      <c r="E221" s="140">
        <f>+IF(FINANCIACION[[#This Row],[$ CAPITAL]]&gt;=0,FINANCIACION[[#This Row],[$ CAPITAL]]+FINANCIACION[[#This Row],[$ INTERESES]],"")</f>
        <v>1200000</v>
      </c>
      <c r="F221" s="140">
        <f>+SUMIFS(FINANCIACION[$ CAPITAL],FINANCIACION[Fecha],"&lt;="&amp;FINANCIACION[[#This Row],[Fecha]],FINANCIACION[PRESTAMO],FINANCIACION[[#This Row],[PRESTAMO]])</f>
        <v>-70056416.72662659</v>
      </c>
      <c r="G221" s="140"/>
      <c r="H221" s="141"/>
      <c r="I221" s="142"/>
      <c r="J221" s="140">
        <f>+IF(FINANCIACION[[#This Row],[$ CAPITAL]]&gt;0,FINANCIACION[[#This Row],[$ CAPITAL]])</f>
        <v>496180.90231062786</v>
      </c>
      <c r="K221" s="143">
        <f>+IF(FINANCIACION[[#This Row],[$ CAPITAL]]&gt;=0,FINANCIACION[[#This Row],[$ CAPITAL]]+FINANCIACION[[#This Row],[$ INTERESES]],0)</f>
        <v>1200000</v>
      </c>
    </row>
    <row r="222" spans="1:11" ht="24" customHeight="1" x14ac:dyDescent="0.25">
      <c r="A222" s="138">
        <v>44579</v>
      </c>
      <c r="B222" s="139" t="s">
        <v>239</v>
      </c>
      <c r="C222" s="140">
        <v>831.03</v>
      </c>
      <c r="D222" s="140">
        <v>541168.97</v>
      </c>
      <c r="E222" s="140">
        <f>+IF(FINANCIACION[[#This Row],[$ CAPITAL]]&gt;=0,FINANCIACION[[#This Row],[$ CAPITAL]]+FINANCIACION[[#This Row],[$ INTERESES]],"")</f>
        <v>542000</v>
      </c>
      <c r="F222" s="140">
        <f>+SUMIFS(FINANCIACION[$ CAPITAL],FINANCIACION[Fecha],"&lt;="&amp;FINANCIACION[[#This Row],[Fecha]],FINANCIACION[PRESTAMO],FINANCIACION[[#This Row],[PRESTAMO]])</f>
        <v>-82320576.00999999</v>
      </c>
      <c r="G222" s="140"/>
      <c r="H222" s="141"/>
      <c r="I222" s="142"/>
      <c r="J222" s="140">
        <f>+IF(FINANCIACION[[#This Row],[$ CAPITAL]]&gt;0,FINANCIACION[[#This Row],[$ CAPITAL]])</f>
        <v>831.03</v>
      </c>
      <c r="K222" s="143">
        <f>+IF(FINANCIACION[[#This Row],[$ CAPITAL]]&gt;=0,FINANCIACION[[#This Row],[$ CAPITAL]]+FINANCIACION[[#This Row],[$ INTERESES]],0)</f>
        <v>542000</v>
      </c>
    </row>
    <row r="223" spans="1:11" ht="24" customHeight="1" x14ac:dyDescent="0.25">
      <c r="A223" s="138">
        <v>44579</v>
      </c>
      <c r="B223" s="139" t="s">
        <v>137</v>
      </c>
      <c r="C223" s="140">
        <v>506866</v>
      </c>
      <c r="D223" s="140">
        <v>5475236</v>
      </c>
      <c r="E223" s="140">
        <f>+IF(FINANCIACION[[#This Row],[$ CAPITAL]]&gt;=0,FINANCIACION[[#This Row],[$ CAPITAL]]+FINANCIACION[[#This Row],[$ INTERESES]],"")</f>
        <v>5982102</v>
      </c>
      <c r="F223" s="140">
        <f>+SUMIFS(FINANCIACION[$ CAPITAL],FINANCIACION[Fecha],"&lt;="&amp;FINANCIACION[[#This Row],[Fecha]],FINANCIACION[PRESTAMO],FINANCIACION[[#This Row],[PRESTAMO]])</f>
        <v>-388417656</v>
      </c>
      <c r="G223" s="140"/>
      <c r="H223" s="141"/>
      <c r="I223" s="142"/>
      <c r="J223" s="140">
        <f>+IF(FINANCIACION[[#This Row],[$ CAPITAL]]&gt;0,FINANCIACION[[#This Row],[$ CAPITAL]])</f>
        <v>506866</v>
      </c>
      <c r="K223" s="143">
        <f>+IF(FINANCIACION[[#This Row],[$ CAPITAL]]&gt;=0,FINANCIACION[[#This Row],[$ CAPITAL]]+FINANCIACION[[#This Row],[$ INTERESES]],0)</f>
        <v>5982102</v>
      </c>
    </row>
    <row r="224" spans="1:11" ht="24" customHeight="1" x14ac:dyDescent="0.25">
      <c r="A224" s="138">
        <v>44581</v>
      </c>
      <c r="B224" s="139" t="s">
        <v>236</v>
      </c>
      <c r="C224" s="140">
        <v>2001975</v>
      </c>
      <c r="D224" s="140"/>
      <c r="E224" s="140">
        <f>+IF(FINANCIACION[[#This Row],[$ CAPITAL]]&gt;=0,FINANCIACION[[#This Row],[$ CAPITAL]]+FINANCIACION[[#This Row],[$ INTERESES]],"")</f>
        <v>2001975</v>
      </c>
      <c r="F224" s="140">
        <f>+SUMIFS(FINANCIACION[$ CAPITAL],FINANCIACION[Fecha],"&lt;="&amp;FINANCIACION[[#This Row],[Fecha]],FINANCIACION[PRESTAMO],FINANCIACION[[#This Row],[PRESTAMO]])</f>
        <v>-18559525</v>
      </c>
      <c r="G224" s="140"/>
      <c r="H224" s="141"/>
      <c r="I224" s="142"/>
      <c r="J224" s="140">
        <f>+IF(FINANCIACION[[#This Row],[$ CAPITAL]]&gt;0,FINANCIACION[[#This Row],[$ CAPITAL]])</f>
        <v>2001975</v>
      </c>
      <c r="K224" s="143">
        <f>+IF(FINANCIACION[[#This Row],[$ CAPITAL]]&gt;=0,FINANCIACION[[#This Row],[$ CAPITAL]]+FINANCIACION[[#This Row],[$ INTERESES]],0)</f>
        <v>2001975</v>
      </c>
    </row>
    <row r="225" spans="1:11" ht="24" customHeight="1" x14ac:dyDescent="0.25">
      <c r="A225" s="138">
        <v>44592</v>
      </c>
      <c r="B225" s="139" t="s">
        <v>236</v>
      </c>
      <c r="C225" s="140">
        <v>-11936475</v>
      </c>
      <c r="D225" s="140"/>
      <c r="E225" s="140" t="str">
        <f>+IF(FINANCIACION[[#This Row],[$ CAPITAL]]&gt;=0,FINANCIACION[[#This Row],[$ CAPITAL]]+FINANCIACION[[#This Row],[$ INTERESES]],"")</f>
        <v/>
      </c>
      <c r="F225" s="140">
        <f>+SUMIFS(FINANCIACION[$ CAPITAL],FINANCIACION[Fecha],"&lt;="&amp;FINANCIACION[[#This Row],[Fecha]],FINANCIACION[PRESTAMO],FINANCIACION[[#This Row],[PRESTAMO]])</f>
        <v>-30496000</v>
      </c>
      <c r="G225" s="140"/>
      <c r="H225" s="141"/>
      <c r="I225" s="142"/>
      <c r="J225" s="140" t="b">
        <f>+IF(FINANCIACION[[#This Row],[$ CAPITAL]]&gt;0,FINANCIACION[[#This Row],[$ CAPITAL]])</f>
        <v>0</v>
      </c>
      <c r="K225" s="143">
        <f>+IF(FINANCIACION[[#This Row],[$ CAPITAL]]&gt;=0,FINANCIACION[[#This Row],[$ CAPITAL]]+FINANCIACION[[#This Row],[$ INTERESES]],0)</f>
        <v>0</v>
      </c>
    </row>
    <row r="226" spans="1:11" ht="24" customHeight="1" x14ac:dyDescent="0.25">
      <c r="A226" s="138">
        <v>44602</v>
      </c>
      <c r="B226" s="139" t="s">
        <v>141</v>
      </c>
      <c r="C226" s="140"/>
      <c r="D226" s="140">
        <v>130000</v>
      </c>
      <c r="E226" s="140">
        <f>+IF(FINANCIACION[[#This Row],[$ CAPITAL]]&gt;=0,FINANCIACION[[#This Row],[$ CAPITAL]]+FINANCIACION[[#This Row],[$ INTERESES]],"")</f>
        <v>130000</v>
      </c>
      <c r="F226" s="140">
        <f>+SUMIFS(FINANCIACION[$ CAPITAL],FINANCIACION[Fecha],"&lt;="&amp;FINANCIACION[[#This Row],[Fecha]],FINANCIACION[PRESTAMO],FINANCIACION[[#This Row],[PRESTAMO]])</f>
        <v>-13000000</v>
      </c>
      <c r="G226" s="140"/>
      <c r="H226" s="141"/>
      <c r="I226" s="142"/>
      <c r="J226" s="140" t="b">
        <f>+IF(FINANCIACION[[#This Row],[$ CAPITAL]]&gt;0,FINANCIACION[[#This Row],[$ CAPITAL]])</f>
        <v>0</v>
      </c>
      <c r="K226" s="143">
        <f>+IF(FINANCIACION[[#This Row],[$ CAPITAL]]&gt;=0,FINANCIACION[[#This Row],[$ CAPITAL]]+FINANCIACION[[#This Row],[$ INTERESES]],0)</f>
        <v>130000</v>
      </c>
    </row>
    <row r="227" spans="1:11" ht="24" customHeight="1" x14ac:dyDescent="0.25">
      <c r="A227" s="138">
        <v>44602</v>
      </c>
      <c r="B227" s="139" t="s">
        <v>143</v>
      </c>
      <c r="C227" s="140"/>
      <c r="D227" s="140">
        <v>400000</v>
      </c>
      <c r="E227" s="140">
        <f>+IF(FINANCIACION[[#This Row],[$ CAPITAL]]&gt;=0,FINANCIACION[[#This Row],[$ CAPITAL]]+FINANCIACION[[#This Row],[$ INTERESES]],"")</f>
        <v>400000</v>
      </c>
      <c r="F227" s="140">
        <f>+SUMIFS(FINANCIACION[$ CAPITAL],FINANCIACION[Fecha],"&lt;="&amp;FINANCIACION[[#This Row],[Fecha]],FINANCIACION[PRESTAMO],FINANCIACION[[#This Row],[PRESTAMO]])</f>
        <v>-40000000</v>
      </c>
      <c r="G227" s="140"/>
      <c r="H227" s="141"/>
      <c r="I227" s="142"/>
      <c r="J227" s="140" t="b">
        <f>+IF(FINANCIACION[[#This Row],[$ CAPITAL]]&gt;0,FINANCIACION[[#This Row],[$ CAPITAL]])</f>
        <v>0</v>
      </c>
      <c r="K227" s="143">
        <f>+IF(FINANCIACION[[#This Row],[$ CAPITAL]]&gt;=0,FINANCIACION[[#This Row],[$ CAPITAL]]+FINANCIACION[[#This Row],[$ INTERESES]],0)</f>
        <v>400000</v>
      </c>
    </row>
    <row r="228" spans="1:11" ht="24" customHeight="1" x14ac:dyDescent="0.25">
      <c r="A228" s="138">
        <v>44602</v>
      </c>
      <c r="B228" s="139" t="s">
        <v>135</v>
      </c>
      <c r="C228" s="140">
        <v>2004680.8650897644</v>
      </c>
      <c r="D228" s="140">
        <v>672697.13491023553</v>
      </c>
      <c r="E228" s="140">
        <f>+IF(FINANCIACION[[#This Row],[$ CAPITAL]]&gt;=0,FINANCIACION[[#This Row],[$ CAPITAL]]+FINANCIACION[[#This Row],[$ INTERESES]],"")</f>
        <v>2677378</v>
      </c>
      <c r="F228" s="140">
        <f>+SUMIFS(FINANCIACION[$ CAPITAL],FINANCIACION[Fecha],"&lt;="&amp;FINANCIACION[[#This Row],[Fecha]],FINANCIACION[PRESTAMO],FINANCIACION[[#This Row],[PRESTAMO]])</f>
        <v>-65265032.625933789</v>
      </c>
      <c r="G228" s="140"/>
      <c r="H228" s="141"/>
      <c r="I228" s="142"/>
      <c r="J228" s="140">
        <f>+IF(FINANCIACION[[#This Row],[$ CAPITAL]]&gt;0,FINANCIACION[[#This Row],[$ CAPITAL]])</f>
        <v>2004680.8650897644</v>
      </c>
      <c r="K228" s="143">
        <f>+IF(FINANCIACION[[#This Row],[$ CAPITAL]]&gt;=0,FINANCIACION[[#This Row],[$ CAPITAL]]+FINANCIACION[[#This Row],[$ INTERESES]],0)</f>
        <v>2677378</v>
      </c>
    </row>
    <row r="229" spans="1:11" ht="24" customHeight="1" x14ac:dyDescent="0.25">
      <c r="A229" s="138">
        <v>44602</v>
      </c>
      <c r="B229" s="139" t="s">
        <v>138</v>
      </c>
      <c r="C229" s="140">
        <v>772351.78970176273</v>
      </c>
      <c r="D229" s="140">
        <v>527648.21029823727</v>
      </c>
      <c r="E229" s="140">
        <f>+IF(FINANCIACION[[#This Row],[$ CAPITAL]]&gt;=0,FINANCIACION[[#This Row],[$ CAPITAL]]+FINANCIACION[[#This Row],[$ INTERESES]],"")</f>
        <v>1300000</v>
      </c>
      <c r="F229" s="140">
        <f>+SUMIFS(FINANCIACION[$ CAPITAL],FINANCIACION[Fecha],"&lt;="&amp;FINANCIACION[[#This Row],[Fecha]],FINANCIACION[PRESTAMO],FINANCIACION[[#This Row],[PRESTAMO]])</f>
        <v>-51992469.240121968</v>
      </c>
      <c r="G229" s="140"/>
      <c r="H229" s="141"/>
      <c r="I229" s="142"/>
      <c r="J229" s="140">
        <f>+IF(FINANCIACION[[#This Row],[$ CAPITAL]]&gt;0,FINANCIACION[[#This Row],[$ CAPITAL]])</f>
        <v>772351.78970176273</v>
      </c>
      <c r="K229" s="143">
        <f>+IF(FINANCIACION[[#This Row],[$ CAPITAL]]&gt;=0,FINANCIACION[[#This Row],[$ CAPITAL]]+FINANCIACION[[#This Row],[$ INTERESES]],0)</f>
        <v>1300000</v>
      </c>
    </row>
    <row r="230" spans="1:11" ht="24" customHeight="1" x14ac:dyDescent="0.25">
      <c r="A230" s="138">
        <v>44602</v>
      </c>
      <c r="B230" s="139" t="s">
        <v>136</v>
      </c>
      <c r="C230" s="140">
        <v>501142.7113337341</v>
      </c>
      <c r="D230" s="140">
        <v>698857.2886662659</v>
      </c>
      <c r="E230" s="140">
        <f>+IF(FINANCIACION[[#This Row],[$ CAPITAL]]&gt;=0,FINANCIACION[[#This Row],[$ CAPITAL]]+FINANCIACION[[#This Row],[$ INTERESES]],"")</f>
        <v>1200000</v>
      </c>
      <c r="F230" s="140">
        <f>+SUMIFS(FINANCIACION[$ CAPITAL],FINANCIACION[Fecha],"&lt;="&amp;FINANCIACION[[#This Row],[Fecha]],FINANCIACION[PRESTAMO],FINANCIACION[[#This Row],[PRESTAMO]])</f>
        <v>-69555274.015292853</v>
      </c>
      <c r="G230" s="140"/>
      <c r="H230" s="141"/>
      <c r="I230" s="142"/>
      <c r="J230" s="140">
        <f>+IF(FINANCIACION[[#This Row],[$ CAPITAL]]&gt;0,FINANCIACION[[#This Row],[$ CAPITAL]])</f>
        <v>501142.7113337341</v>
      </c>
      <c r="K230" s="143">
        <f>+IF(FINANCIACION[[#This Row],[$ CAPITAL]]&gt;=0,FINANCIACION[[#This Row],[$ CAPITAL]]+FINANCIACION[[#This Row],[$ INTERESES]],0)</f>
        <v>1200000</v>
      </c>
    </row>
    <row r="231" spans="1:11" ht="24" customHeight="1" x14ac:dyDescent="0.25">
      <c r="A231" s="138">
        <v>44610</v>
      </c>
      <c r="B231" s="139" t="s">
        <v>239</v>
      </c>
      <c r="C231" s="140">
        <v>489945.29999999702</v>
      </c>
      <c r="D231" s="140">
        <v>72054.70000000298</v>
      </c>
      <c r="E231" s="140">
        <f>+IF(FINANCIACION[[#This Row],[$ CAPITAL]]&gt;=0,FINANCIACION[[#This Row],[$ CAPITAL]]+FINANCIACION[[#This Row],[$ INTERESES]],"")</f>
        <v>562000</v>
      </c>
      <c r="F231" s="140">
        <f>+SUMIFS(FINANCIACION[$ CAPITAL],FINANCIACION[Fecha],"&lt;="&amp;FINANCIACION[[#This Row],[Fecha]],FINANCIACION[PRESTAMO],FINANCIACION[[#This Row],[PRESTAMO]])</f>
        <v>-81830630.709999993</v>
      </c>
      <c r="G231" s="140"/>
      <c r="H231" s="141"/>
      <c r="I231" s="142"/>
      <c r="J231" s="140">
        <f>+IF(FINANCIACION[[#This Row],[$ CAPITAL]]&gt;0,FINANCIACION[[#This Row],[$ CAPITAL]])</f>
        <v>489945.29999999702</v>
      </c>
      <c r="K231" s="143">
        <f>+IF(FINANCIACION[[#This Row],[$ CAPITAL]]&gt;=0,FINANCIACION[[#This Row],[$ CAPITAL]]+FINANCIACION[[#This Row],[$ INTERESES]],0)</f>
        <v>562000</v>
      </c>
    </row>
    <row r="232" spans="1:11" ht="24" customHeight="1" x14ac:dyDescent="0.25">
      <c r="A232" s="138">
        <v>44610</v>
      </c>
      <c r="B232" s="139" t="s">
        <v>137</v>
      </c>
      <c r="C232" s="140">
        <v>5809351</v>
      </c>
      <c r="D232" s="140">
        <v>379619</v>
      </c>
      <c r="E232" s="140">
        <f>+IF(FINANCIACION[[#This Row],[$ CAPITAL]]&gt;=0,FINANCIACION[[#This Row],[$ CAPITAL]]+FINANCIACION[[#This Row],[$ INTERESES]],"")</f>
        <v>6188970</v>
      </c>
      <c r="F232" s="140">
        <f>+SUMIFS(FINANCIACION[$ CAPITAL],FINANCIACION[Fecha],"&lt;="&amp;FINANCIACION[[#This Row],[Fecha]],FINANCIACION[PRESTAMO],FINANCIACION[[#This Row],[PRESTAMO]])</f>
        <v>-382608305</v>
      </c>
      <c r="G232" s="140"/>
      <c r="H232" s="141"/>
      <c r="I232" s="142"/>
      <c r="J232" s="140">
        <f>+IF(FINANCIACION[[#This Row],[$ CAPITAL]]&gt;0,FINANCIACION[[#This Row],[$ CAPITAL]])</f>
        <v>5809351</v>
      </c>
      <c r="K232" s="143">
        <f>+IF(FINANCIACION[[#This Row],[$ CAPITAL]]&gt;=0,FINANCIACION[[#This Row],[$ CAPITAL]]+FINANCIACION[[#This Row],[$ INTERESES]],0)</f>
        <v>6188970</v>
      </c>
    </row>
    <row r="233" spans="1:11" ht="24" customHeight="1" x14ac:dyDescent="0.25">
      <c r="A233" s="138">
        <v>44620</v>
      </c>
      <c r="B233" s="139" t="s">
        <v>236</v>
      </c>
      <c r="C233" s="140">
        <v>-1113500</v>
      </c>
      <c r="D233" s="140"/>
      <c r="E233" s="140" t="str">
        <f>+IF(FINANCIACION[[#This Row],[$ CAPITAL]]&gt;=0,FINANCIACION[[#This Row],[$ CAPITAL]]+FINANCIACION[[#This Row],[$ INTERESES]],"")</f>
        <v/>
      </c>
      <c r="F233" s="140">
        <f>+SUMIFS(FINANCIACION[$ CAPITAL],FINANCIACION[Fecha],"&lt;="&amp;FINANCIACION[[#This Row],[Fecha]],FINANCIACION[PRESTAMO],FINANCIACION[[#This Row],[PRESTAMO]])</f>
        <v>-31609500</v>
      </c>
      <c r="G233" s="140"/>
      <c r="H233" s="141" t="s">
        <v>72</v>
      </c>
      <c r="I233" s="142"/>
      <c r="J233" s="140" t="b">
        <f>+IF(FINANCIACION[[#This Row],[$ CAPITAL]]&gt;0,FINANCIACION[[#This Row],[$ CAPITAL]])</f>
        <v>0</v>
      </c>
      <c r="K233" s="143">
        <f>+IF(FINANCIACION[[#This Row],[$ CAPITAL]]&gt;=0,FINANCIACION[[#This Row],[$ CAPITAL]]+FINANCIACION[[#This Row],[$ INTERESES]],0)</f>
        <v>0</v>
      </c>
    </row>
    <row r="234" spans="1:11" ht="24" customHeight="1" x14ac:dyDescent="0.25">
      <c r="A234" s="138">
        <v>44629</v>
      </c>
      <c r="B234" s="139" t="s">
        <v>141</v>
      </c>
      <c r="C234" s="140"/>
      <c r="D234" s="140">
        <v>130000</v>
      </c>
      <c r="E234" s="140">
        <f>+IF(FINANCIACION[[#This Row],[$ CAPITAL]]&gt;=0,FINANCIACION[[#This Row],[$ CAPITAL]]+FINANCIACION[[#This Row],[$ INTERESES]],"")</f>
        <v>130000</v>
      </c>
      <c r="F234" s="140">
        <f>+SUMIFS(FINANCIACION[$ CAPITAL],FINANCIACION[Fecha],"&lt;="&amp;FINANCIACION[[#This Row],[Fecha]],FINANCIACION[PRESTAMO],FINANCIACION[[#This Row],[PRESTAMO]])</f>
        <v>-13000000</v>
      </c>
      <c r="G234" s="140"/>
      <c r="H234" s="141"/>
      <c r="I234" s="142"/>
      <c r="J234" s="140" t="b">
        <f>+IF(FINANCIACION[[#This Row],[$ CAPITAL]]&gt;0,FINANCIACION[[#This Row],[$ CAPITAL]])</f>
        <v>0</v>
      </c>
      <c r="K234" s="143">
        <f>+IF(FINANCIACION[[#This Row],[$ CAPITAL]]&gt;=0,FINANCIACION[[#This Row],[$ CAPITAL]]+FINANCIACION[[#This Row],[$ INTERESES]],0)</f>
        <v>130000</v>
      </c>
    </row>
    <row r="235" spans="1:11" ht="24" customHeight="1" x14ac:dyDescent="0.25">
      <c r="A235" s="138">
        <v>44629</v>
      </c>
      <c r="B235" s="139" t="s">
        <v>143</v>
      </c>
      <c r="C235" s="140"/>
      <c r="D235" s="140">
        <v>400000</v>
      </c>
      <c r="E235" s="140">
        <f>+IF(FINANCIACION[[#This Row],[$ CAPITAL]]&gt;=0,FINANCIACION[[#This Row],[$ CAPITAL]]+FINANCIACION[[#This Row],[$ INTERESES]],"")</f>
        <v>400000</v>
      </c>
      <c r="F235" s="140">
        <f>+SUMIFS(FINANCIACION[$ CAPITAL],FINANCIACION[Fecha],"&lt;="&amp;FINANCIACION[[#This Row],[Fecha]],FINANCIACION[PRESTAMO],FINANCIACION[[#This Row],[PRESTAMO]])</f>
        <v>-40000000</v>
      </c>
      <c r="G235" s="140"/>
      <c r="H235" s="141"/>
      <c r="I235" s="142"/>
      <c r="J235" s="140" t="b">
        <f>+IF(FINANCIACION[[#This Row],[$ CAPITAL]]&gt;0,FINANCIACION[[#This Row],[$ CAPITAL]])</f>
        <v>0</v>
      </c>
      <c r="K235" s="143">
        <f>+IF(FINANCIACION[[#This Row],[$ CAPITAL]]&gt;=0,FINANCIACION[[#This Row],[$ CAPITAL]]+FINANCIACION[[#This Row],[$ INTERESES]],0)</f>
        <v>400000</v>
      </c>
    </row>
    <row r="236" spans="1:11" ht="24" customHeight="1" x14ac:dyDescent="0.25">
      <c r="A236" s="138">
        <v>44629</v>
      </c>
      <c r="B236" s="139" t="s">
        <v>138</v>
      </c>
      <c r="C236" s="140">
        <v>780075.30759878037</v>
      </c>
      <c r="D236" s="140">
        <v>519924.69240121968</v>
      </c>
      <c r="E236" s="140">
        <f>+IF(FINANCIACION[[#This Row],[$ CAPITAL]]&gt;=0,FINANCIACION[[#This Row],[$ CAPITAL]]+FINANCIACION[[#This Row],[$ INTERESES]],"")</f>
        <v>1300000</v>
      </c>
      <c r="F236" s="140">
        <f>+SUMIFS(FINANCIACION[$ CAPITAL],FINANCIACION[Fecha],"&lt;="&amp;FINANCIACION[[#This Row],[Fecha]],FINANCIACION[PRESTAMO],FINANCIACION[[#This Row],[PRESTAMO]])</f>
        <v>-51212393.932523191</v>
      </c>
      <c r="G236" s="140"/>
      <c r="H236" s="141"/>
      <c r="I236" s="142"/>
      <c r="J236" s="140">
        <f>+IF(FINANCIACION[[#This Row],[$ CAPITAL]]&gt;0,FINANCIACION[[#This Row],[$ CAPITAL]])</f>
        <v>780075.30759878037</v>
      </c>
      <c r="K236" s="143">
        <f>+IF(FINANCIACION[[#This Row],[$ CAPITAL]]&gt;=0,FINANCIACION[[#This Row],[$ CAPITAL]]+FINANCIACION[[#This Row],[$ INTERESES]],0)</f>
        <v>1300000</v>
      </c>
    </row>
    <row r="237" spans="1:11" ht="24" customHeight="1" x14ac:dyDescent="0.25">
      <c r="A237" s="138">
        <v>44629</v>
      </c>
      <c r="B237" s="139" t="s">
        <v>136</v>
      </c>
      <c r="C237" s="140">
        <v>506154.13844707143</v>
      </c>
      <c r="D237" s="140">
        <v>693845.86155292857</v>
      </c>
      <c r="E237" s="140">
        <f>+IF(FINANCIACION[[#This Row],[$ CAPITAL]]&gt;=0,FINANCIACION[[#This Row],[$ CAPITAL]]+FINANCIACION[[#This Row],[$ INTERESES]],"")</f>
        <v>1200000</v>
      </c>
      <c r="F237" s="140">
        <f>+SUMIFS(FINANCIACION[$ CAPITAL],FINANCIACION[Fecha],"&lt;="&amp;FINANCIACION[[#This Row],[Fecha]],FINANCIACION[PRESTAMO],FINANCIACION[[#This Row],[PRESTAMO]])</f>
        <v>-69049119.876845777</v>
      </c>
      <c r="G237" s="140"/>
      <c r="H237" s="141"/>
      <c r="I237" s="142"/>
      <c r="J237" s="140">
        <f>+IF(FINANCIACION[[#This Row],[$ CAPITAL]]&gt;0,FINANCIACION[[#This Row],[$ CAPITAL]])</f>
        <v>506154.13844707143</v>
      </c>
      <c r="K237" s="143">
        <f>+IF(FINANCIACION[[#This Row],[$ CAPITAL]]&gt;=0,FINANCIACION[[#This Row],[$ CAPITAL]]+FINANCIACION[[#This Row],[$ INTERESES]],0)</f>
        <v>1200000</v>
      </c>
    </row>
    <row r="238" spans="1:11" ht="24" customHeight="1" x14ac:dyDescent="0.25">
      <c r="A238" s="138">
        <v>44630</v>
      </c>
      <c r="B238" s="139" t="s">
        <v>135</v>
      </c>
      <c r="C238" s="140">
        <v>2024727.6737406622</v>
      </c>
      <c r="D238" s="140">
        <v>652650.32625933795</v>
      </c>
      <c r="E238" s="140">
        <f>+IF(FINANCIACION[[#This Row],[$ CAPITAL]]&gt;=0,FINANCIACION[[#This Row],[$ CAPITAL]]+FINANCIACION[[#This Row],[$ INTERESES]],"")</f>
        <v>2677378</v>
      </c>
      <c r="F238" s="140">
        <f>+SUMIFS(FINANCIACION[$ CAPITAL],FINANCIACION[Fecha],"&lt;="&amp;FINANCIACION[[#This Row],[Fecha]],FINANCIACION[PRESTAMO],FINANCIACION[[#This Row],[PRESTAMO]])</f>
        <v>-63240304.952193126</v>
      </c>
      <c r="G238" s="140"/>
      <c r="H238" s="141"/>
      <c r="I238" s="142"/>
      <c r="J238" s="140">
        <f>+IF(FINANCIACION[[#This Row],[$ CAPITAL]]&gt;0,FINANCIACION[[#This Row],[$ CAPITAL]])</f>
        <v>2024727.6737406622</v>
      </c>
      <c r="K238" s="143">
        <f>+IF(FINANCIACION[[#This Row],[$ CAPITAL]]&gt;=0,FINANCIACION[[#This Row],[$ CAPITAL]]+FINANCIACION[[#This Row],[$ INTERESES]],0)</f>
        <v>2677378</v>
      </c>
    </row>
    <row r="239" spans="1:11" ht="24" customHeight="1" x14ac:dyDescent="0.25">
      <c r="A239" s="138">
        <v>44638</v>
      </c>
      <c r="B239" s="139" t="s">
        <v>239</v>
      </c>
      <c r="C239" s="140">
        <v>519036.93999999762</v>
      </c>
      <c r="D239" s="140">
        <v>85963.060000002384</v>
      </c>
      <c r="E239" s="140">
        <f>+IF(FINANCIACION[[#This Row],[$ CAPITAL]]&gt;=0,FINANCIACION[[#This Row],[$ CAPITAL]]+FINANCIACION[[#This Row],[$ INTERESES]],"")</f>
        <v>605000</v>
      </c>
      <c r="F239" s="140">
        <f>+SUMIFS(FINANCIACION[$ CAPITAL],FINANCIACION[Fecha],"&lt;="&amp;FINANCIACION[[#This Row],[Fecha]],FINANCIACION[PRESTAMO],FINANCIACION[[#This Row],[PRESTAMO]])</f>
        <v>-81311593.769999996</v>
      </c>
      <c r="G239" s="140"/>
      <c r="H239" s="141"/>
      <c r="I239" s="142"/>
      <c r="J239" s="140">
        <f>+IF(FINANCIACION[[#This Row],[$ CAPITAL]]&gt;0,FINANCIACION[[#This Row],[$ CAPITAL]])</f>
        <v>519036.93999999762</v>
      </c>
      <c r="K239" s="143">
        <f>+IF(FINANCIACION[[#This Row],[$ CAPITAL]]&gt;=0,FINANCIACION[[#This Row],[$ CAPITAL]]+FINANCIACION[[#This Row],[$ INTERESES]],0)</f>
        <v>605000</v>
      </c>
    </row>
    <row r="240" spans="1:11" ht="24" customHeight="1" x14ac:dyDescent="0.25">
      <c r="A240" s="138">
        <v>44638</v>
      </c>
      <c r="B240" s="139" t="s">
        <v>137</v>
      </c>
      <c r="C240" s="140">
        <v>5497957</v>
      </c>
      <c r="D240" s="140">
        <v>252367</v>
      </c>
      <c r="E240" s="140">
        <f>+IF(FINANCIACION[[#This Row],[$ CAPITAL]]&gt;=0,FINANCIACION[[#This Row],[$ CAPITAL]]+FINANCIACION[[#This Row],[$ INTERESES]],"")</f>
        <v>5750324</v>
      </c>
      <c r="F240" s="140">
        <f>+SUMIFS(FINANCIACION[$ CAPITAL],FINANCIACION[Fecha],"&lt;="&amp;FINANCIACION[[#This Row],[Fecha]],FINANCIACION[PRESTAMO],FINANCIACION[[#This Row],[PRESTAMO]])</f>
        <v>-377110348</v>
      </c>
      <c r="G240" s="140"/>
      <c r="H240" s="141"/>
      <c r="I240" s="142"/>
      <c r="J240" s="140">
        <f>+IF(FINANCIACION[[#This Row],[$ CAPITAL]]&gt;0,FINANCIACION[[#This Row],[$ CAPITAL]])</f>
        <v>5497957</v>
      </c>
      <c r="K240" s="143">
        <f>+IF(FINANCIACION[[#This Row],[$ CAPITAL]]&gt;=0,FINANCIACION[[#This Row],[$ CAPITAL]]+FINANCIACION[[#This Row],[$ INTERESES]],0)</f>
        <v>5750324</v>
      </c>
    </row>
    <row r="241" spans="1:11" ht="24" customHeight="1" x14ac:dyDescent="0.25">
      <c r="A241" s="138">
        <v>44651</v>
      </c>
      <c r="B241" s="139" t="s">
        <v>236</v>
      </c>
      <c r="C241" s="140">
        <v>251900</v>
      </c>
      <c r="D241" s="140"/>
      <c r="E241" s="140">
        <f>+IF(FINANCIACION[[#This Row],[$ CAPITAL]]&gt;=0,FINANCIACION[[#This Row],[$ CAPITAL]]+FINANCIACION[[#This Row],[$ INTERESES]],"")</f>
        <v>251900</v>
      </c>
      <c r="F241" s="140">
        <f>+SUMIFS(FINANCIACION[$ CAPITAL],FINANCIACION[Fecha],"&lt;="&amp;FINANCIACION[[#This Row],[Fecha]],FINANCIACION[PRESTAMO],FINANCIACION[[#This Row],[PRESTAMO]])</f>
        <v>-31357600</v>
      </c>
      <c r="G241" s="140"/>
      <c r="H241" s="141"/>
      <c r="I241" s="142"/>
      <c r="J241" s="140">
        <f>+IF(FINANCIACION[[#This Row],[$ CAPITAL]]&gt;0,FINANCIACION[[#This Row],[$ CAPITAL]])</f>
        <v>251900</v>
      </c>
      <c r="K241" s="143">
        <f>+IF(FINANCIACION[[#This Row],[$ CAPITAL]]&gt;=0,FINANCIACION[[#This Row],[$ CAPITAL]]+FINANCIACION[[#This Row],[$ INTERESES]],0)</f>
        <v>251900</v>
      </c>
    </row>
    <row r="242" spans="1:11" ht="24" customHeight="1" x14ac:dyDescent="0.25">
      <c r="A242" s="138">
        <v>44662</v>
      </c>
      <c r="B242" s="139" t="s">
        <v>141</v>
      </c>
      <c r="C242" s="140"/>
      <c r="D242" s="140">
        <v>130000</v>
      </c>
      <c r="E242" s="140">
        <f>+IF(FINANCIACION[[#This Row],[$ CAPITAL]]&gt;=0,FINANCIACION[[#This Row],[$ CAPITAL]]+FINANCIACION[[#This Row],[$ INTERESES]],"")</f>
        <v>130000</v>
      </c>
      <c r="F242" s="140">
        <f>+SUMIFS(FINANCIACION[$ CAPITAL],FINANCIACION[Fecha],"&lt;="&amp;FINANCIACION[[#This Row],[Fecha]],FINANCIACION[PRESTAMO],FINANCIACION[[#This Row],[PRESTAMO]])</f>
        <v>-13000000</v>
      </c>
      <c r="G242" s="140"/>
      <c r="H242" s="141"/>
      <c r="I242" s="142"/>
      <c r="J242" s="140" t="b">
        <f>+IF(FINANCIACION[[#This Row],[$ CAPITAL]]&gt;0,FINANCIACION[[#This Row],[$ CAPITAL]])</f>
        <v>0</v>
      </c>
      <c r="K242" s="143">
        <f>+IF(FINANCIACION[[#This Row],[$ CAPITAL]]&gt;=0,FINANCIACION[[#This Row],[$ CAPITAL]]+FINANCIACION[[#This Row],[$ INTERESES]],0)</f>
        <v>130000</v>
      </c>
    </row>
    <row r="243" spans="1:11" ht="24" customHeight="1" x14ac:dyDescent="0.25">
      <c r="A243" s="138">
        <v>44663</v>
      </c>
      <c r="B243" s="139" t="s">
        <v>143</v>
      </c>
      <c r="C243" s="140"/>
      <c r="D243" s="140">
        <v>400000</v>
      </c>
      <c r="E243" s="140">
        <f>+IF(FINANCIACION[[#This Row],[$ CAPITAL]]&gt;=0,FINANCIACION[[#This Row],[$ CAPITAL]]+FINANCIACION[[#This Row],[$ INTERESES]],"")</f>
        <v>400000</v>
      </c>
      <c r="F243" s="140">
        <f>+SUMIFS(FINANCIACION[$ CAPITAL],FINANCIACION[Fecha],"&lt;="&amp;FINANCIACION[[#This Row],[Fecha]],FINANCIACION[PRESTAMO],FINANCIACION[[#This Row],[PRESTAMO]])</f>
        <v>-40000000</v>
      </c>
      <c r="G243" s="140"/>
      <c r="H243" s="141"/>
      <c r="I243" s="142"/>
      <c r="J243" s="140" t="b">
        <f>+IF(FINANCIACION[[#This Row],[$ CAPITAL]]&gt;0,FINANCIACION[[#This Row],[$ CAPITAL]])</f>
        <v>0</v>
      </c>
      <c r="K243" s="143">
        <f>+IF(FINANCIACION[[#This Row],[$ CAPITAL]]&gt;=0,FINANCIACION[[#This Row],[$ CAPITAL]]+FINANCIACION[[#This Row],[$ INTERESES]],0)</f>
        <v>400000</v>
      </c>
    </row>
    <row r="244" spans="1:11" ht="24" customHeight="1" x14ac:dyDescent="0.25">
      <c r="A244" s="138">
        <v>44664</v>
      </c>
      <c r="B244" s="139" t="s">
        <v>135</v>
      </c>
      <c r="C244" s="140">
        <v>2044974.9504780686</v>
      </c>
      <c r="D244" s="140">
        <v>632403.04952193133</v>
      </c>
      <c r="E244" s="140">
        <f>+IF(FINANCIACION[[#This Row],[$ CAPITAL]]&gt;=0,FINANCIACION[[#This Row],[$ CAPITAL]]+FINANCIACION[[#This Row],[$ INTERESES]],"")</f>
        <v>2677378</v>
      </c>
      <c r="F244" s="140">
        <f>+SUMIFS(FINANCIACION[$ CAPITAL],FINANCIACION[Fecha],"&lt;="&amp;FINANCIACION[[#This Row],[Fecha]],FINANCIACION[PRESTAMO],FINANCIACION[[#This Row],[PRESTAMO]])</f>
        <v>-61195330.001715057</v>
      </c>
      <c r="G244" s="140"/>
      <c r="H244" s="141"/>
      <c r="I244" s="142"/>
      <c r="J244" s="140">
        <f>+IF(FINANCIACION[[#This Row],[$ CAPITAL]]&gt;0,FINANCIACION[[#This Row],[$ CAPITAL]])</f>
        <v>2044974.9504780686</v>
      </c>
      <c r="K244" s="143">
        <f>+IF(FINANCIACION[[#This Row],[$ CAPITAL]]&gt;=0,FINANCIACION[[#This Row],[$ CAPITAL]]+FINANCIACION[[#This Row],[$ INTERESES]],0)</f>
        <v>2677378</v>
      </c>
    </row>
    <row r="245" spans="1:11" ht="24" customHeight="1" x14ac:dyDescent="0.25">
      <c r="A245" s="138">
        <v>44665</v>
      </c>
      <c r="B245" s="139" t="s">
        <v>138</v>
      </c>
      <c r="C245" s="140">
        <v>787876.06067476806</v>
      </c>
      <c r="D245" s="140">
        <v>512123.93932523194</v>
      </c>
      <c r="E245" s="140">
        <f>+IF(FINANCIACION[[#This Row],[$ CAPITAL]]&gt;=0,FINANCIACION[[#This Row],[$ CAPITAL]]+FINANCIACION[[#This Row],[$ INTERESES]],"")</f>
        <v>1300000</v>
      </c>
      <c r="F245" s="140">
        <f>+SUMIFS(FINANCIACION[$ CAPITAL],FINANCIACION[Fecha],"&lt;="&amp;FINANCIACION[[#This Row],[Fecha]],FINANCIACION[PRESTAMO],FINANCIACION[[#This Row],[PRESTAMO]])</f>
        <v>-50424517.871848419</v>
      </c>
      <c r="G245" s="140"/>
      <c r="H245" s="141"/>
      <c r="I245" s="142"/>
      <c r="J245" s="140">
        <f>+IF(FINANCIACION[[#This Row],[$ CAPITAL]]&gt;0,FINANCIACION[[#This Row],[$ CAPITAL]])</f>
        <v>787876.06067476806</v>
      </c>
      <c r="K245" s="143">
        <f>+IF(FINANCIACION[[#This Row],[$ CAPITAL]]&gt;=0,FINANCIACION[[#This Row],[$ CAPITAL]]+FINANCIACION[[#This Row],[$ INTERESES]],0)</f>
        <v>1300000</v>
      </c>
    </row>
    <row r="246" spans="1:11" ht="24" customHeight="1" x14ac:dyDescent="0.25">
      <c r="A246" s="138">
        <v>44666</v>
      </c>
      <c r="B246" s="139" t="s">
        <v>136</v>
      </c>
      <c r="C246" s="140">
        <v>511215.67983154219</v>
      </c>
      <c r="D246" s="140">
        <v>688784.32016845781</v>
      </c>
      <c r="E246" s="140">
        <f>+IF(FINANCIACION[[#This Row],[$ CAPITAL]]&gt;=0,FINANCIACION[[#This Row],[$ CAPITAL]]+FINANCIACION[[#This Row],[$ INTERESES]],"")</f>
        <v>1200000</v>
      </c>
      <c r="F246" s="140">
        <f>+SUMIFS(FINANCIACION[$ CAPITAL],FINANCIACION[Fecha],"&lt;="&amp;FINANCIACION[[#This Row],[Fecha]],FINANCIACION[PRESTAMO],FINANCIACION[[#This Row],[PRESTAMO]])</f>
        <v>-68537904.197014228</v>
      </c>
      <c r="G246" s="140"/>
      <c r="H246" s="141"/>
      <c r="I246" s="142"/>
      <c r="J246" s="140">
        <f>+IF(FINANCIACION[[#This Row],[$ CAPITAL]]&gt;0,FINANCIACION[[#This Row],[$ CAPITAL]])</f>
        <v>511215.67983154219</v>
      </c>
      <c r="K246" s="143">
        <f>+IF(FINANCIACION[[#This Row],[$ CAPITAL]]&gt;=0,FINANCIACION[[#This Row],[$ CAPITAL]]+FINANCIACION[[#This Row],[$ INTERESES]],0)</f>
        <v>1200000</v>
      </c>
    </row>
    <row r="247" spans="1:11" ht="24" customHeight="1" x14ac:dyDescent="0.25">
      <c r="A247" s="138">
        <v>44670</v>
      </c>
      <c r="B247" s="139" t="s">
        <v>239</v>
      </c>
      <c r="C247" s="140">
        <v>626870.95999999344</v>
      </c>
      <c r="D247" s="140">
        <v>43129.040000006557</v>
      </c>
      <c r="E247" s="140">
        <f>+IF(FINANCIACION[[#This Row],[$ CAPITAL]]&gt;=0,FINANCIACION[[#This Row],[$ CAPITAL]]+FINANCIACION[[#This Row],[$ INTERESES]],"")</f>
        <v>670000</v>
      </c>
      <c r="F247" s="140">
        <f>+SUMIFS(FINANCIACION[$ CAPITAL],FINANCIACION[Fecha],"&lt;="&amp;FINANCIACION[[#This Row],[Fecha]],FINANCIACION[PRESTAMO],FINANCIACION[[#This Row],[PRESTAMO]])</f>
        <v>-80684722.810000002</v>
      </c>
      <c r="G247" s="140"/>
      <c r="H247" s="141"/>
      <c r="I247" s="142"/>
      <c r="J247" s="140">
        <f>+IF(FINANCIACION[[#This Row],[$ CAPITAL]]&gt;0,FINANCIACION[[#This Row],[$ CAPITAL]])</f>
        <v>626870.95999999344</v>
      </c>
      <c r="K247" s="143">
        <f>+IF(FINANCIACION[[#This Row],[$ CAPITAL]]&gt;=0,FINANCIACION[[#This Row],[$ CAPITAL]]+FINANCIACION[[#This Row],[$ INTERESES]],0)</f>
        <v>670000</v>
      </c>
    </row>
    <row r="248" spans="1:11" ht="24" customHeight="1" x14ac:dyDescent="0.25">
      <c r="A248" s="138">
        <v>44670</v>
      </c>
      <c r="B248" s="139" t="s">
        <v>137</v>
      </c>
      <c r="C248" s="140">
        <v>4839732</v>
      </c>
      <c r="D248" s="140">
        <v>910592</v>
      </c>
      <c r="E248" s="140">
        <f>+IF(FINANCIACION[[#This Row],[$ CAPITAL]]&gt;=0,FINANCIACION[[#This Row],[$ CAPITAL]]+FINANCIACION[[#This Row],[$ INTERESES]],"")</f>
        <v>5750324</v>
      </c>
      <c r="F248" s="140">
        <f>+SUMIFS(FINANCIACION[$ CAPITAL],FINANCIACION[Fecha],"&lt;="&amp;FINANCIACION[[#This Row],[Fecha]],FINANCIACION[PRESTAMO],FINANCIACION[[#This Row],[PRESTAMO]])</f>
        <v>-372270616</v>
      </c>
      <c r="G248" s="140"/>
      <c r="H248" s="141"/>
      <c r="I248" s="142"/>
      <c r="J248" s="140">
        <f>+IF(FINANCIACION[[#This Row],[$ CAPITAL]]&gt;0,FINANCIACION[[#This Row],[$ CAPITAL]])</f>
        <v>4839732</v>
      </c>
      <c r="K248" s="143">
        <f>+IF(FINANCIACION[[#This Row],[$ CAPITAL]]&gt;=0,FINANCIACION[[#This Row],[$ CAPITAL]]+FINANCIACION[[#This Row],[$ INTERESES]],0)</f>
        <v>5750324</v>
      </c>
    </row>
    <row r="249" spans="1:11" ht="24" customHeight="1" x14ac:dyDescent="0.25">
      <c r="A249" s="138">
        <v>44681</v>
      </c>
      <c r="B249" s="139" t="s">
        <v>236</v>
      </c>
      <c r="C249" s="140">
        <v>-1502400</v>
      </c>
      <c r="D249" s="140"/>
      <c r="E249" s="140" t="str">
        <f>+IF(FINANCIACION[[#This Row],[$ CAPITAL]]&gt;=0,FINANCIACION[[#This Row],[$ CAPITAL]]+FINANCIACION[[#This Row],[$ INTERESES]],"")</f>
        <v/>
      </c>
      <c r="F249" s="140">
        <f>+SUMIFS(FINANCIACION[$ CAPITAL],FINANCIACION[Fecha],"&lt;="&amp;FINANCIACION[[#This Row],[Fecha]],FINANCIACION[PRESTAMO],FINANCIACION[[#This Row],[PRESTAMO]])</f>
        <v>-32860000</v>
      </c>
      <c r="G249" s="140"/>
      <c r="H249" s="141" t="s">
        <v>72</v>
      </c>
      <c r="I249" s="142"/>
      <c r="J249" s="140" t="b">
        <f>+IF(FINANCIACION[[#This Row],[$ CAPITAL]]&gt;0,FINANCIACION[[#This Row],[$ CAPITAL]])</f>
        <v>0</v>
      </c>
      <c r="K249" s="143">
        <f>+IF(FINANCIACION[[#This Row],[$ CAPITAL]]&gt;=0,FINANCIACION[[#This Row],[$ CAPITAL]]+FINANCIACION[[#This Row],[$ INTERESES]],0)</f>
        <v>0</v>
      </c>
    </row>
    <row r="250" spans="1:11" ht="24" customHeight="1" x14ac:dyDescent="0.25">
      <c r="A250" s="138">
        <v>44691</v>
      </c>
      <c r="B250" s="139" t="s">
        <v>141</v>
      </c>
      <c r="C250" s="140"/>
      <c r="D250" s="140">
        <v>130000</v>
      </c>
      <c r="E250" s="140">
        <f>+IF(FINANCIACION[[#This Row],[$ CAPITAL]]&gt;=0,FINANCIACION[[#This Row],[$ CAPITAL]]+FINANCIACION[[#This Row],[$ INTERESES]],"")</f>
        <v>130000</v>
      </c>
      <c r="F250" s="140">
        <f>+SUMIFS(FINANCIACION[$ CAPITAL],FINANCIACION[Fecha],"&lt;="&amp;FINANCIACION[[#This Row],[Fecha]],FINANCIACION[PRESTAMO],FINANCIACION[[#This Row],[PRESTAMO]])</f>
        <v>-13000000</v>
      </c>
      <c r="G250" s="140"/>
      <c r="H250" s="141"/>
      <c r="I250" s="142"/>
      <c r="J250" s="140" t="b">
        <f>+IF(FINANCIACION[[#This Row],[$ CAPITAL]]&gt;0,FINANCIACION[[#This Row],[$ CAPITAL]])</f>
        <v>0</v>
      </c>
      <c r="K250" s="143">
        <f>+IF(FINANCIACION[[#This Row],[$ CAPITAL]]&gt;=0,FINANCIACION[[#This Row],[$ CAPITAL]]+FINANCIACION[[#This Row],[$ INTERESES]],0)</f>
        <v>130000</v>
      </c>
    </row>
    <row r="251" spans="1:11" ht="24" customHeight="1" x14ac:dyDescent="0.25">
      <c r="A251" s="138">
        <v>44691</v>
      </c>
      <c r="B251" s="139" t="s">
        <v>143</v>
      </c>
      <c r="C251" s="140"/>
      <c r="D251" s="140">
        <v>400000</v>
      </c>
      <c r="E251" s="140">
        <f>+IF(FINANCIACION[[#This Row],[$ CAPITAL]]&gt;=0,FINANCIACION[[#This Row],[$ CAPITAL]]+FINANCIACION[[#This Row],[$ INTERESES]],"")</f>
        <v>400000</v>
      </c>
      <c r="F251" s="140">
        <f>+SUMIFS(FINANCIACION[$ CAPITAL],FINANCIACION[Fecha],"&lt;="&amp;FINANCIACION[[#This Row],[Fecha]],FINANCIACION[PRESTAMO],FINANCIACION[[#This Row],[PRESTAMO]])</f>
        <v>-40000000</v>
      </c>
      <c r="G251" s="140"/>
      <c r="H251" s="141"/>
      <c r="I251" s="142"/>
      <c r="J251" s="140" t="b">
        <f>+IF(FINANCIACION[[#This Row],[$ CAPITAL]]&gt;0,FINANCIACION[[#This Row],[$ CAPITAL]])</f>
        <v>0</v>
      </c>
      <c r="K251" s="143">
        <f>+IF(FINANCIACION[[#This Row],[$ CAPITAL]]&gt;=0,FINANCIACION[[#This Row],[$ CAPITAL]]+FINANCIACION[[#This Row],[$ INTERESES]],0)</f>
        <v>400000</v>
      </c>
    </row>
    <row r="252" spans="1:11" ht="24" customHeight="1" x14ac:dyDescent="0.25">
      <c r="A252" s="138">
        <v>44691</v>
      </c>
      <c r="B252" s="139" t="s">
        <v>135</v>
      </c>
      <c r="C252" s="140">
        <v>2065424.6999828494</v>
      </c>
      <c r="D252" s="140">
        <v>611953.30001715058</v>
      </c>
      <c r="E252" s="140">
        <f>+IF(FINANCIACION[[#This Row],[$ CAPITAL]]&gt;=0,FINANCIACION[[#This Row],[$ CAPITAL]]+FINANCIACION[[#This Row],[$ INTERESES]],"")</f>
        <v>2677378</v>
      </c>
      <c r="F252" s="140">
        <f>+SUMIFS(FINANCIACION[$ CAPITAL],FINANCIACION[Fecha],"&lt;="&amp;FINANCIACION[[#This Row],[Fecha]],FINANCIACION[PRESTAMO],FINANCIACION[[#This Row],[PRESTAMO]])</f>
        <v>-59129905.301732205</v>
      </c>
      <c r="G252" s="140"/>
      <c r="H252" s="141"/>
      <c r="I252" s="142"/>
      <c r="J252" s="140">
        <f>+IF(FINANCIACION[[#This Row],[$ CAPITAL]]&gt;0,FINANCIACION[[#This Row],[$ CAPITAL]])</f>
        <v>2065424.6999828494</v>
      </c>
      <c r="K252" s="143">
        <f>+IF(FINANCIACION[[#This Row],[$ CAPITAL]]&gt;=0,FINANCIACION[[#This Row],[$ CAPITAL]]+FINANCIACION[[#This Row],[$ INTERESES]],0)</f>
        <v>2677378</v>
      </c>
    </row>
    <row r="253" spans="1:11" ht="24" customHeight="1" x14ac:dyDescent="0.25">
      <c r="A253" s="138">
        <v>44691</v>
      </c>
      <c r="B253" s="139" t="s">
        <v>138</v>
      </c>
      <c r="C253" s="140">
        <v>795754.82128151576</v>
      </c>
      <c r="D253" s="140">
        <v>504245.17871848418</v>
      </c>
      <c r="E253" s="140">
        <f>+IF(FINANCIACION[[#This Row],[$ CAPITAL]]&gt;=0,FINANCIACION[[#This Row],[$ CAPITAL]]+FINANCIACION[[#This Row],[$ INTERESES]],"")</f>
        <v>1300000</v>
      </c>
      <c r="F253" s="140">
        <f>+SUMIFS(FINANCIACION[$ CAPITAL],FINANCIACION[Fecha],"&lt;="&amp;FINANCIACION[[#This Row],[Fecha]],FINANCIACION[PRESTAMO],FINANCIACION[[#This Row],[PRESTAMO]])</f>
        <v>-49628763.050566904</v>
      </c>
      <c r="G253" s="140"/>
      <c r="H253" s="141"/>
      <c r="I253" s="142"/>
      <c r="J253" s="140">
        <f>+IF(FINANCIACION[[#This Row],[$ CAPITAL]]&gt;0,FINANCIACION[[#This Row],[$ CAPITAL]])</f>
        <v>795754.82128151576</v>
      </c>
      <c r="K253" s="143">
        <f>+IF(FINANCIACION[[#This Row],[$ CAPITAL]]&gt;=0,FINANCIACION[[#This Row],[$ CAPITAL]]+FINANCIACION[[#This Row],[$ INTERESES]],0)</f>
        <v>1300000</v>
      </c>
    </row>
    <row r="254" spans="1:11" ht="24" customHeight="1" x14ac:dyDescent="0.25">
      <c r="A254" s="138">
        <v>44691</v>
      </c>
      <c r="B254" s="139" t="s">
        <v>136</v>
      </c>
      <c r="C254" s="140">
        <v>516327.83662985766</v>
      </c>
      <c r="D254" s="140">
        <v>683672.16337014234</v>
      </c>
      <c r="E254" s="140">
        <f>+IF(FINANCIACION[[#This Row],[$ CAPITAL]]&gt;=0,FINANCIACION[[#This Row],[$ CAPITAL]]+FINANCIACION[[#This Row],[$ INTERESES]],"")</f>
        <v>1200000</v>
      </c>
      <c r="F254" s="140">
        <f>+SUMIFS(FINANCIACION[$ CAPITAL],FINANCIACION[Fecha],"&lt;="&amp;FINANCIACION[[#This Row],[Fecha]],FINANCIACION[PRESTAMO],FINANCIACION[[#This Row],[PRESTAMO]])</f>
        <v>-68021576.360384375</v>
      </c>
      <c r="G254" s="140"/>
      <c r="H254" s="141"/>
      <c r="I254" s="142"/>
      <c r="J254" s="140">
        <f>+IF(FINANCIACION[[#This Row],[$ CAPITAL]]&gt;0,FINANCIACION[[#This Row],[$ CAPITAL]])</f>
        <v>516327.83662985766</v>
      </c>
      <c r="K254" s="143">
        <f>+IF(FINANCIACION[[#This Row],[$ CAPITAL]]&gt;=0,FINANCIACION[[#This Row],[$ CAPITAL]]+FINANCIACION[[#This Row],[$ INTERESES]],0)</f>
        <v>1200000</v>
      </c>
    </row>
    <row r="255" spans="1:11" ht="24" customHeight="1" x14ac:dyDescent="0.25">
      <c r="A255" s="138">
        <v>44699</v>
      </c>
      <c r="B255" s="139" t="s">
        <v>239</v>
      </c>
      <c r="C255" s="140">
        <v>693257.62999999523</v>
      </c>
      <c r="D255" s="140">
        <v>23742.370000004768</v>
      </c>
      <c r="E255" s="140">
        <f>+IF(FINANCIACION[[#This Row],[$ CAPITAL]]&gt;=0,FINANCIACION[[#This Row],[$ CAPITAL]]+FINANCIACION[[#This Row],[$ INTERESES]],"")</f>
        <v>717000</v>
      </c>
      <c r="F255" s="140">
        <f>+SUMIFS(FINANCIACION[$ CAPITAL],FINANCIACION[Fecha],"&lt;="&amp;FINANCIACION[[#This Row],[Fecha]],FINANCIACION[PRESTAMO],FINANCIACION[[#This Row],[PRESTAMO]])</f>
        <v>-79991465.180000007</v>
      </c>
      <c r="G255" s="140"/>
      <c r="H255" s="141"/>
      <c r="I255" s="142"/>
      <c r="J255" s="140">
        <f>+IF(FINANCIACION[[#This Row],[$ CAPITAL]]&gt;0,FINANCIACION[[#This Row],[$ CAPITAL]])</f>
        <v>693257.62999999523</v>
      </c>
      <c r="K255" s="143">
        <f>+IF(FINANCIACION[[#This Row],[$ CAPITAL]]&gt;=0,FINANCIACION[[#This Row],[$ CAPITAL]]+FINANCIACION[[#This Row],[$ INTERESES]],0)</f>
        <v>717000</v>
      </c>
    </row>
    <row r="256" spans="1:11" ht="24" customHeight="1" x14ac:dyDescent="0.25">
      <c r="A256" s="138">
        <v>44699</v>
      </c>
      <c r="B256" s="139" t="s">
        <v>137</v>
      </c>
      <c r="C256" s="140">
        <v>5828926</v>
      </c>
      <c r="D256" s="140">
        <v>266879</v>
      </c>
      <c r="E256" s="140">
        <f>+IF(FINANCIACION[[#This Row],[$ CAPITAL]]&gt;=0,FINANCIACION[[#This Row],[$ CAPITAL]]+FINANCIACION[[#This Row],[$ INTERESES]],"")</f>
        <v>6095805</v>
      </c>
      <c r="F256" s="140">
        <f>+SUMIFS(FINANCIACION[$ CAPITAL],FINANCIACION[Fecha],"&lt;="&amp;FINANCIACION[[#This Row],[Fecha]],FINANCIACION[PRESTAMO],FINANCIACION[[#This Row],[PRESTAMO]])</f>
        <v>-366441690</v>
      </c>
      <c r="G256" s="140"/>
      <c r="H256" s="141"/>
      <c r="I256" s="142"/>
      <c r="J256" s="140">
        <f>+IF(FINANCIACION[[#This Row],[$ CAPITAL]]&gt;0,FINANCIACION[[#This Row],[$ CAPITAL]])</f>
        <v>5828926</v>
      </c>
      <c r="K256" s="143">
        <f>+IF(FINANCIACION[[#This Row],[$ CAPITAL]]&gt;=0,FINANCIACION[[#This Row],[$ CAPITAL]]+FINANCIACION[[#This Row],[$ INTERESES]],0)</f>
        <v>6095805</v>
      </c>
    </row>
    <row r="257" spans="1:11" ht="24" customHeight="1" x14ac:dyDescent="0.25">
      <c r="A257" s="138">
        <v>44712</v>
      </c>
      <c r="B257" s="139" t="s">
        <v>236</v>
      </c>
      <c r="C257" s="140">
        <v>-773800</v>
      </c>
      <c r="D257" s="140"/>
      <c r="E257" s="140" t="str">
        <f>+IF(FINANCIACION[[#This Row],[$ CAPITAL]]&gt;=0,FINANCIACION[[#This Row],[$ CAPITAL]]+FINANCIACION[[#This Row],[$ INTERESES]],"")</f>
        <v/>
      </c>
      <c r="F257" s="140">
        <f>+SUMIFS(FINANCIACION[$ CAPITAL],FINANCIACION[Fecha],"&lt;="&amp;FINANCIACION[[#This Row],[Fecha]],FINANCIACION[PRESTAMO],FINANCIACION[[#This Row],[PRESTAMO]])</f>
        <v>-33633800</v>
      </c>
      <c r="G257" s="140"/>
      <c r="H257" s="141" t="s">
        <v>72</v>
      </c>
      <c r="I257" s="142"/>
      <c r="J257" s="140" t="b">
        <f>+IF(FINANCIACION[[#This Row],[$ CAPITAL]]&gt;0,FINANCIACION[[#This Row],[$ CAPITAL]])</f>
        <v>0</v>
      </c>
      <c r="K257" s="143">
        <f>+IF(FINANCIACION[[#This Row],[$ CAPITAL]]&gt;=0,FINANCIACION[[#This Row],[$ CAPITAL]]+FINANCIACION[[#This Row],[$ INTERESES]],0)</f>
        <v>0</v>
      </c>
    </row>
    <row r="258" spans="1:11" ht="24" customHeight="1" x14ac:dyDescent="0.25">
      <c r="A258" s="138">
        <v>44722</v>
      </c>
      <c r="B258" s="139" t="s">
        <v>143</v>
      </c>
      <c r="C258" s="140"/>
      <c r="D258" s="140">
        <v>400000</v>
      </c>
      <c r="E258" s="140">
        <f>+IF(FINANCIACION[[#This Row],[$ CAPITAL]]&gt;=0,FINANCIACION[[#This Row],[$ CAPITAL]]+FINANCIACION[[#This Row],[$ INTERESES]],"")</f>
        <v>400000</v>
      </c>
      <c r="F258" s="140">
        <f>+SUMIFS(FINANCIACION[$ CAPITAL],FINANCIACION[Fecha],"&lt;="&amp;FINANCIACION[[#This Row],[Fecha]],FINANCIACION[PRESTAMO],FINANCIACION[[#This Row],[PRESTAMO]])</f>
        <v>-40000000</v>
      </c>
      <c r="G258" s="140"/>
      <c r="H258" s="141"/>
      <c r="I258" s="142"/>
      <c r="J258" s="140" t="b">
        <f>+IF(FINANCIACION[[#This Row],[$ CAPITAL]]&gt;0,FINANCIACION[[#This Row],[$ CAPITAL]])</f>
        <v>0</v>
      </c>
      <c r="K258" s="143">
        <f>+IF(FINANCIACION[[#This Row],[$ CAPITAL]]&gt;=0,FINANCIACION[[#This Row],[$ CAPITAL]]+FINANCIACION[[#This Row],[$ INTERESES]],0)</f>
        <v>400000</v>
      </c>
    </row>
    <row r="259" spans="1:11" ht="24" customHeight="1" x14ac:dyDescent="0.25">
      <c r="A259" s="138">
        <v>44722</v>
      </c>
      <c r="B259" s="139" t="s">
        <v>138</v>
      </c>
      <c r="C259" s="140">
        <v>803712.36949433095</v>
      </c>
      <c r="D259" s="140">
        <v>496287.63050566905</v>
      </c>
      <c r="E259" s="140">
        <f>+IF(FINANCIACION[[#This Row],[$ CAPITAL]]&gt;=0,FINANCIACION[[#This Row],[$ CAPITAL]]+FINANCIACION[[#This Row],[$ INTERESES]],"")</f>
        <v>1300000</v>
      </c>
      <c r="F259" s="140">
        <f>+SUMIFS(FINANCIACION[$ CAPITAL],FINANCIACION[Fecha],"&lt;="&amp;FINANCIACION[[#This Row],[Fecha]],FINANCIACION[PRESTAMO],FINANCIACION[[#This Row],[PRESTAMO]])</f>
        <v>-48825050.68107257</v>
      </c>
      <c r="G259" s="140"/>
      <c r="H259" s="141"/>
      <c r="I259" s="142"/>
      <c r="J259" s="140">
        <f>+IF(FINANCIACION[[#This Row],[$ CAPITAL]]&gt;0,FINANCIACION[[#This Row],[$ CAPITAL]])</f>
        <v>803712.36949433095</v>
      </c>
      <c r="K259" s="143">
        <f>+IF(FINANCIACION[[#This Row],[$ CAPITAL]]&gt;=0,FINANCIACION[[#This Row],[$ CAPITAL]]+FINANCIACION[[#This Row],[$ INTERESES]],0)</f>
        <v>1300000</v>
      </c>
    </row>
    <row r="260" spans="1:11" ht="24" customHeight="1" x14ac:dyDescent="0.25">
      <c r="A260" s="138">
        <v>44722</v>
      </c>
      <c r="B260" s="139" t="s">
        <v>136</v>
      </c>
      <c r="C260" s="140">
        <v>1321491.1149961562</v>
      </c>
      <c r="D260" s="140">
        <v>678508.88500384381</v>
      </c>
      <c r="E260" s="140">
        <f>+IF(FINANCIACION[[#This Row],[$ CAPITAL]]&gt;=0,FINANCIACION[[#This Row],[$ CAPITAL]]+FINANCIACION[[#This Row],[$ INTERESES]],"")</f>
        <v>2000000</v>
      </c>
      <c r="F260" s="140">
        <f>+SUMIFS(FINANCIACION[$ CAPITAL],FINANCIACION[Fecha],"&lt;="&amp;FINANCIACION[[#This Row],[Fecha]],FINANCIACION[PRESTAMO],FINANCIACION[[#This Row],[PRESTAMO]])</f>
        <v>-66700085.245388217</v>
      </c>
      <c r="G260" s="140"/>
      <c r="H260" s="141"/>
      <c r="I260" s="142"/>
      <c r="J260" s="140">
        <f>+IF(FINANCIACION[[#This Row],[$ CAPITAL]]&gt;0,FINANCIACION[[#This Row],[$ CAPITAL]])</f>
        <v>1321491.1149961562</v>
      </c>
      <c r="K260" s="143">
        <f>+IF(FINANCIACION[[#This Row],[$ CAPITAL]]&gt;=0,FINANCIACION[[#This Row],[$ CAPITAL]]+FINANCIACION[[#This Row],[$ INTERESES]],0)</f>
        <v>2000000</v>
      </c>
    </row>
    <row r="261" spans="1:11" ht="24" customHeight="1" x14ac:dyDescent="0.25">
      <c r="A261" s="138">
        <v>44722</v>
      </c>
      <c r="B261" s="139" t="s">
        <v>140</v>
      </c>
      <c r="C261" s="140"/>
      <c r="D261" s="140">
        <v>960000</v>
      </c>
      <c r="E261" s="140">
        <f>+IF(FINANCIACION[[#This Row],[$ CAPITAL]]&gt;=0,FINANCIACION[[#This Row],[$ CAPITAL]]+FINANCIACION[[#This Row],[$ INTERESES]],"")</f>
        <v>960000</v>
      </c>
      <c r="F261" s="140">
        <f>+SUMIFS(FINANCIACION[$ CAPITAL],FINANCIACION[Fecha],"&lt;="&amp;FINANCIACION[[#This Row],[Fecha]],FINANCIACION[PRESTAMO],FINANCIACION[[#This Row],[PRESTAMO]])</f>
        <v>-8000000</v>
      </c>
      <c r="G261" s="140"/>
      <c r="H261" s="141"/>
      <c r="I261" s="142"/>
      <c r="J261" s="140" t="b">
        <f>+IF(FINANCIACION[[#This Row],[$ CAPITAL]]&gt;0,FINANCIACION[[#This Row],[$ CAPITAL]])</f>
        <v>0</v>
      </c>
      <c r="K261" s="143">
        <f>+IF(FINANCIACION[[#This Row],[$ CAPITAL]]&gt;=0,FINANCIACION[[#This Row],[$ CAPITAL]]+FINANCIACION[[#This Row],[$ INTERESES]],0)</f>
        <v>960000</v>
      </c>
    </row>
    <row r="262" spans="1:11" ht="24" customHeight="1" x14ac:dyDescent="0.25">
      <c r="A262" s="138">
        <v>44723</v>
      </c>
      <c r="B262" s="139" t="s">
        <v>135</v>
      </c>
      <c r="C262" s="140">
        <v>2086078.946982678</v>
      </c>
      <c r="D262" s="140">
        <v>591299.05301732209</v>
      </c>
      <c r="E262" s="140">
        <f>+IF(FINANCIACION[[#This Row],[$ CAPITAL]]&gt;=0,FINANCIACION[[#This Row],[$ CAPITAL]]+FINANCIACION[[#This Row],[$ INTERESES]],"")</f>
        <v>2677378</v>
      </c>
      <c r="F262" s="140">
        <f>+SUMIFS(FINANCIACION[$ CAPITAL],FINANCIACION[Fecha],"&lt;="&amp;FINANCIACION[[#This Row],[Fecha]],FINANCIACION[PRESTAMO],FINANCIACION[[#This Row],[PRESTAMO]])</f>
        <v>-57043826.354749531</v>
      </c>
      <c r="G262" s="140"/>
      <c r="H262" s="141"/>
      <c r="I262" s="142"/>
      <c r="J262" s="140">
        <f>+IF(FINANCIACION[[#This Row],[$ CAPITAL]]&gt;0,FINANCIACION[[#This Row],[$ CAPITAL]])</f>
        <v>2086078.946982678</v>
      </c>
      <c r="K262" s="143">
        <f>+IF(FINANCIACION[[#This Row],[$ CAPITAL]]&gt;=0,FINANCIACION[[#This Row],[$ CAPITAL]]+FINANCIACION[[#This Row],[$ INTERESES]],0)</f>
        <v>2677378</v>
      </c>
    </row>
    <row r="263" spans="1:11" ht="24" customHeight="1" x14ac:dyDescent="0.25">
      <c r="A263" s="138">
        <v>44729</v>
      </c>
      <c r="B263" s="139" t="s">
        <v>146</v>
      </c>
      <c r="C263" s="140">
        <v>-50000000</v>
      </c>
      <c r="D263" s="140"/>
      <c r="E263" s="140" t="str">
        <f>+IF(FINANCIACION[[#This Row],[$ CAPITAL]]&gt;=0,FINANCIACION[[#This Row],[$ CAPITAL]]+FINANCIACION[[#This Row],[$ INTERESES]],"")</f>
        <v/>
      </c>
      <c r="F263" s="140">
        <f>+SUMIFS(FINANCIACION[$ CAPITAL],FINANCIACION[Fecha],"&lt;="&amp;FINANCIACION[[#This Row],[Fecha]],FINANCIACION[PRESTAMO],FINANCIACION[[#This Row],[PRESTAMO]])</f>
        <v>-50000000</v>
      </c>
      <c r="G263" s="140"/>
      <c r="H263" s="141" t="s">
        <v>938</v>
      </c>
      <c r="I263" s="142"/>
      <c r="J263" s="140" t="b">
        <f>+IF(FINANCIACION[[#This Row],[$ CAPITAL]]&gt;0,FINANCIACION[[#This Row],[$ CAPITAL]])</f>
        <v>0</v>
      </c>
      <c r="K263" s="143">
        <f>+IF(FINANCIACION[[#This Row],[$ CAPITAL]]&gt;=0,FINANCIACION[[#This Row],[$ CAPITAL]]+FINANCIACION[[#This Row],[$ INTERESES]],0)</f>
        <v>0</v>
      </c>
    </row>
    <row r="264" spans="1:11" ht="24" customHeight="1" x14ac:dyDescent="0.25">
      <c r="A264" s="138">
        <v>44733</v>
      </c>
      <c r="B264" s="139" t="s">
        <v>239</v>
      </c>
      <c r="C264" s="140">
        <v>1482386.81</v>
      </c>
      <c r="D264" s="140">
        <v>783613.19</v>
      </c>
      <c r="E264" s="140">
        <f>+IF(FINANCIACION[[#This Row],[$ CAPITAL]]&gt;=0,FINANCIACION[[#This Row],[$ CAPITAL]]+FINANCIACION[[#This Row],[$ INTERESES]],"")</f>
        <v>2266000</v>
      </c>
      <c r="F264" s="140">
        <f>+SUMIFS(FINANCIACION[$ CAPITAL],FINANCIACION[Fecha],"&lt;="&amp;FINANCIACION[[#This Row],[Fecha]],FINANCIACION[PRESTAMO],FINANCIACION[[#This Row],[PRESTAMO]])</f>
        <v>-78509078.370000005</v>
      </c>
      <c r="G264" s="140"/>
      <c r="H264" s="141"/>
      <c r="I264" s="142"/>
      <c r="J264" s="140">
        <f>+IF(FINANCIACION[[#This Row],[$ CAPITAL]]&gt;0,FINANCIACION[[#This Row],[$ CAPITAL]])</f>
        <v>1482386.81</v>
      </c>
      <c r="K264" s="143">
        <f>+IF(FINANCIACION[[#This Row],[$ CAPITAL]]&gt;=0,FINANCIACION[[#This Row],[$ CAPITAL]]+FINANCIACION[[#This Row],[$ INTERESES]],0)</f>
        <v>2266000</v>
      </c>
    </row>
    <row r="265" spans="1:11" ht="24" customHeight="1" x14ac:dyDescent="0.25">
      <c r="A265" s="138">
        <v>44733</v>
      </c>
      <c r="B265" s="139" t="s">
        <v>137</v>
      </c>
      <c r="C265" s="140">
        <v>1384152</v>
      </c>
      <c r="D265" s="140">
        <v>4711653</v>
      </c>
      <c r="E265" s="140">
        <f>+IF(FINANCIACION[[#This Row],[$ CAPITAL]]&gt;=0,FINANCIACION[[#This Row],[$ CAPITAL]]+FINANCIACION[[#This Row],[$ INTERESES]],"")</f>
        <v>6095805</v>
      </c>
      <c r="F265" s="140">
        <f>+SUMIFS(FINANCIACION[$ CAPITAL],FINANCIACION[Fecha],"&lt;="&amp;FINANCIACION[[#This Row],[Fecha]],FINANCIACION[PRESTAMO],FINANCIACION[[#This Row],[PRESTAMO]])</f>
        <v>-365057538</v>
      </c>
      <c r="G265" s="140"/>
      <c r="H265" s="141"/>
      <c r="I265" s="142"/>
      <c r="J265" s="140">
        <f>+IF(FINANCIACION[[#This Row],[$ CAPITAL]]&gt;0,FINANCIACION[[#This Row],[$ CAPITAL]])</f>
        <v>1384152</v>
      </c>
      <c r="K265" s="143">
        <f>+IF(FINANCIACION[[#This Row],[$ CAPITAL]]&gt;=0,FINANCIACION[[#This Row],[$ CAPITAL]]+FINANCIACION[[#This Row],[$ INTERESES]],0)</f>
        <v>6095805</v>
      </c>
    </row>
    <row r="266" spans="1:11" ht="24" customHeight="1" x14ac:dyDescent="0.25">
      <c r="A266" s="138">
        <v>44742</v>
      </c>
      <c r="B266" s="139" t="s">
        <v>236</v>
      </c>
      <c r="C266" s="140">
        <v>11583800</v>
      </c>
      <c r="D266" s="140"/>
      <c r="E266" s="140">
        <f>+IF(FINANCIACION[[#This Row],[$ CAPITAL]]&gt;=0,FINANCIACION[[#This Row],[$ CAPITAL]]+FINANCIACION[[#This Row],[$ INTERESES]],"")</f>
        <v>11583800</v>
      </c>
      <c r="F266" s="140">
        <f>+SUMIFS(FINANCIACION[$ CAPITAL],FINANCIACION[Fecha],"&lt;="&amp;FINANCIACION[[#This Row],[Fecha]],FINANCIACION[PRESTAMO],FINANCIACION[[#This Row],[PRESTAMO]])</f>
        <v>-22050000</v>
      </c>
      <c r="G266" s="140"/>
      <c r="H266" s="141" t="s">
        <v>72</v>
      </c>
      <c r="I266" s="142"/>
      <c r="J266" s="140">
        <f>+IF(FINANCIACION[[#This Row],[$ CAPITAL]]&gt;0,FINANCIACION[[#This Row],[$ CAPITAL]])</f>
        <v>11583800</v>
      </c>
      <c r="K266" s="143">
        <f>+IF(FINANCIACION[[#This Row],[$ CAPITAL]]&gt;=0,FINANCIACION[[#This Row],[$ CAPITAL]]+FINANCIACION[[#This Row],[$ INTERESES]],0)</f>
        <v>11583800</v>
      </c>
    </row>
    <row r="267" spans="1:11" ht="24" customHeight="1" x14ac:dyDescent="0.25">
      <c r="A267" s="138">
        <v>44753</v>
      </c>
      <c r="B267" s="139" t="s">
        <v>141</v>
      </c>
      <c r="C267" s="140"/>
      <c r="D267" s="140">
        <v>130000</v>
      </c>
      <c r="E267" s="140">
        <f>+IF(FINANCIACION[[#This Row],[$ CAPITAL]]&gt;=0,FINANCIACION[[#This Row],[$ CAPITAL]]+FINANCIACION[[#This Row],[$ INTERESES]],"")</f>
        <v>130000</v>
      </c>
      <c r="F267" s="140">
        <f>+SUMIFS(FINANCIACION[$ CAPITAL],FINANCIACION[Fecha],"&lt;="&amp;FINANCIACION[[#This Row],[Fecha]],FINANCIACION[PRESTAMO],FINANCIACION[[#This Row],[PRESTAMO]])</f>
        <v>-13000000</v>
      </c>
      <c r="G267" s="140"/>
      <c r="H267" s="141"/>
      <c r="I267" s="142"/>
      <c r="J267" s="140" t="b">
        <f>+IF(FINANCIACION[[#This Row],[$ CAPITAL]]&gt;0,FINANCIACION[[#This Row],[$ CAPITAL]])</f>
        <v>0</v>
      </c>
      <c r="K267" s="143">
        <f>+IF(FINANCIACION[[#This Row],[$ CAPITAL]]&gt;=0,FINANCIACION[[#This Row],[$ CAPITAL]]+FINANCIACION[[#This Row],[$ INTERESES]],0)</f>
        <v>130000</v>
      </c>
    </row>
    <row r="268" spans="1:11" ht="24" customHeight="1" x14ac:dyDescent="0.25">
      <c r="A268" s="138">
        <v>44753</v>
      </c>
      <c r="B268" s="139" t="s">
        <v>143</v>
      </c>
      <c r="C268" s="140"/>
      <c r="D268" s="140">
        <v>400000</v>
      </c>
      <c r="E268" s="140">
        <f>+IF(FINANCIACION[[#This Row],[$ CAPITAL]]&gt;=0,FINANCIACION[[#This Row],[$ CAPITAL]]+FINANCIACION[[#This Row],[$ INTERESES]],"")</f>
        <v>400000</v>
      </c>
      <c r="F268" s="140">
        <f>+SUMIFS(FINANCIACION[$ CAPITAL],FINANCIACION[Fecha],"&lt;="&amp;FINANCIACION[[#This Row],[Fecha]],FINANCIACION[PRESTAMO],FINANCIACION[[#This Row],[PRESTAMO]])</f>
        <v>-40000000</v>
      </c>
      <c r="G268" s="140"/>
      <c r="H268" s="141"/>
      <c r="I268" s="142"/>
      <c r="J268" s="140" t="b">
        <f>+IF(FINANCIACION[[#This Row],[$ CAPITAL]]&gt;0,FINANCIACION[[#This Row],[$ CAPITAL]])</f>
        <v>0</v>
      </c>
      <c r="K268" s="143">
        <f>+IF(FINANCIACION[[#This Row],[$ CAPITAL]]&gt;=0,FINANCIACION[[#This Row],[$ CAPITAL]]+FINANCIACION[[#This Row],[$ INTERESES]],0)</f>
        <v>400000</v>
      </c>
    </row>
    <row r="269" spans="1:11" ht="24" customHeight="1" x14ac:dyDescent="0.25">
      <c r="A269" s="138">
        <v>44753</v>
      </c>
      <c r="B269" s="139" t="s">
        <v>135</v>
      </c>
      <c r="C269" s="140">
        <v>2096939.736452505</v>
      </c>
      <c r="D269" s="140">
        <v>570438.26354749501</v>
      </c>
      <c r="E269" s="140">
        <f>+IF(FINANCIACION[[#This Row],[$ CAPITAL]]&gt;=0,FINANCIACION[[#This Row],[$ CAPITAL]]+FINANCIACION[[#This Row],[$ INTERESES]],"")</f>
        <v>2667378</v>
      </c>
      <c r="F269" s="140">
        <f>+SUMIFS(FINANCIACION[$ CAPITAL],FINANCIACION[Fecha],"&lt;="&amp;FINANCIACION[[#This Row],[Fecha]],FINANCIACION[PRESTAMO],FINANCIACION[[#This Row],[PRESTAMO]])</f>
        <v>-54946886.618297026</v>
      </c>
      <c r="G269" s="140"/>
      <c r="H269" s="141"/>
      <c r="I269" s="142"/>
      <c r="J269" s="140">
        <f>+IF(FINANCIACION[[#This Row],[$ CAPITAL]]&gt;0,FINANCIACION[[#This Row],[$ CAPITAL]])</f>
        <v>2096939.736452505</v>
      </c>
      <c r="K269" s="143">
        <f>+IF(FINANCIACION[[#This Row],[$ CAPITAL]]&gt;=0,FINANCIACION[[#This Row],[$ CAPITAL]]+FINANCIACION[[#This Row],[$ INTERESES]],0)</f>
        <v>2667378</v>
      </c>
    </row>
    <row r="270" spans="1:11" ht="24" customHeight="1" x14ac:dyDescent="0.25">
      <c r="A270" s="138">
        <v>44753</v>
      </c>
      <c r="B270" s="139" t="s">
        <v>138</v>
      </c>
      <c r="C270" s="140">
        <v>811749.49318927398</v>
      </c>
      <c r="D270" s="140">
        <v>488250.50681072602</v>
      </c>
      <c r="E270" s="140">
        <f>+IF(FINANCIACION[[#This Row],[$ CAPITAL]]&gt;=0,FINANCIACION[[#This Row],[$ CAPITAL]]+FINANCIACION[[#This Row],[$ INTERESES]],"")</f>
        <v>1300000</v>
      </c>
      <c r="F270" s="140">
        <f>+SUMIFS(FINANCIACION[$ CAPITAL],FINANCIACION[Fecha],"&lt;="&amp;FINANCIACION[[#This Row],[Fecha]],FINANCIACION[PRESTAMO],FINANCIACION[[#This Row],[PRESTAMO]])</f>
        <v>-48013301.187883295</v>
      </c>
      <c r="G270" s="140"/>
      <c r="H270" s="141"/>
      <c r="I270" s="142"/>
      <c r="J270" s="140">
        <f>+IF(FINANCIACION[[#This Row],[$ CAPITAL]]&gt;0,FINANCIACION[[#This Row],[$ CAPITAL]])</f>
        <v>811749.49318927398</v>
      </c>
      <c r="K270" s="143">
        <f>+IF(FINANCIACION[[#This Row],[$ CAPITAL]]&gt;=0,FINANCIACION[[#This Row],[$ CAPITAL]]+FINANCIACION[[#This Row],[$ INTERESES]],0)</f>
        <v>1300000</v>
      </c>
    </row>
    <row r="271" spans="1:11" ht="24" customHeight="1" x14ac:dyDescent="0.25">
      <c r="A271" s="138">
        <v>44753</v>
      </c>
      <c r="B271" s="139" t="s">
        <v>136</v>
      </c>
      <c r="C271" s="140">
        <v>1334706.0261461178</v>
      </c>
      <c r="D271" s="140">
        <v>665293.97385388217</v>
      </c>
      <c r="E271" s="140">
        <f>+IF(FINANCIACION[[#This Row],[$ CAPITAL]]&gt;=0,FINANCIACION[[#This Row],[$ CAPITAL]]+FINANCIACION[[#This Row],[$ INTERESES]],"")</f>
        <v>2000000</v>
      </c>
      <c r="F271" s="140">
        <f>+SUMIFS(FINANCIACION[$ CAPITAL],FINANCIACION[Fecha],"&lt;="&amp;FINANCIACION[[#This Row],[Fecha]],FINANCIACION[PRESTAMO],FINANCIACION[[#This Row],[PRESTAMO]])</f>
        <v>-65365379.219242096</v>
      </c>
      <c r="G271" s="140"/>
      <c r="H271" s="141"/>
      <c r="I271" s="142"/>
      <c r="J271" s="140">
        <f>+IF(FINANCIACION[[#This Row],[$ CAPITAL]]&gt;0,FINANCIACION[[#This Row],[$ CAPITAL]])</f>
        <v>1334706.0261461178</v>
      </c>
      <c r="K271" s="143">
        <f>+IF(FINANCIACION[[#This Row],[$ CAPITAL]]&gt;=0,FINANCIACION[[#This Row],[$ CAPITAL]]+FINANCIACION[[#This Row],[$ INTERESES]],0)</f>
        <v>2000000</v>
      </c>
    </row>
    <row r="272" spans="1:11" ht="24" customHeight="1" x14ac:dyDescent="0.25">
      <c r="A272" s="138">
        <v>44761</v>
      </c>
      <c r="B272" s="139" t="s">
        <v>239</v>
      </c>
      <c r="C272" s="140">
        <v>1481481.48</v>
      </c>
      <c r="D272" s="140">
        <v>797518.52</v>
      </c>
      <c r="E272" s="140">
        <f>+IF(FINANCIACION[[#This Row],[$ CAPITAL]]&gt;=0,FINANCIACION[[#This Row],[$ CAPITAL]]+FINANCIACION[[#This Row],[$ INTERESES]],"")</f>
        <v>2279000</v>
      </c>
      <c r="F272" s="140">
        <f>+SUMIFS(FINANCIACION[$ CAPITAL],FINANCIACION[Fecha],"&lt;="&amp;FINANCIACION[[#This Row],[Fecha]],FINANCIACION[PRESTAMO],FINANCIACION[[#This Row],[PRESTAMO]])</f>
        <v>-77027596.890000001</v>
      </c>
      <c r="G272" s="140"/>
      <c r="H272" s="141"/>
      <c r="I272" s="142"/>
      <c r="J272" s="140">
        <f>+IF(FINANCIACION[[#This Row],[$ CAPITAL]]&gt;0,FINANCIACION[[#This Row],[$ CAPITAL]])</f>
        <v>1481481.48</v>
      </c>
      <c r="K272" s="143">
        <f>+IF(FINANCIACION[[#This Row],[$ CAPITAL]]&gt;=0,FINANCIACION[[#This Row],[$ CAPITAL]]+FINANCIACION[[#This Row],[$ INTERESES]],0)</f>
        <v>2279000</v>
      </c>
    </row>
    <row r="273" spans="1:11" ht="24" customHeight="1" x14ac:dyDescent="0.25">
      <c r="A273" s="138">
        <v>44761</v>
      </c>
      <c r="B273" s="139" t="s">
        <v>137</v>
      </c>
      <c r="C273" s="140">
        <v>1336670</v>
      </c>
      <c r="D273" s="140">
        <v>4759135</v>
      </c>
      <c r="E273" s="140">
        <f>+IF(FINANCIACION[[#This Row],[$ CAPITAL]]&gt;=0,FINANCIACION[[#This Row],[$ CAPITAL]]+FINANCIACION[[#This Row],[$ INTERESES]],"")</f>
        <v>6095805</v>
      </c>
      <c r="F273" s="140">
        <f>+SUMIFS(FINANCIACION[$ CAPITAL],FINANCIACION[Fecha],"&lt;="&amp;FINANCIACION[[#This Row],[Fecha]],FINANCIACION[PRESTAMO],FINANCIACION[[#This Row],[PRESTAMO]])</f>
        <v>-363720868</v>
      </c>
      <c r="G273" s="140"/>
      <c r="H273" s="141"/>
      <c r="I273" s="142"/>
      <c r="J273" s="140">
        <f>+IF(FINANCIACION[[#This Row],[$ CAPITAL]]&gt;0,FINANCIACION[[#This Row],[$ CAPITAL]])</f>
        <v>1336670</v>
      </c>
      <c r="K273" s="143">
        <f>+IF(FINANCIACION[[#This Row],[$ CAPITAL]]&gt;=0,FINANCIACION[[#This Row],[$ CAPITAL]]+FINANCIACION[[#This Row],[$ INTERESES]],0)</f>
        <v>6095805</v>
      </c>
    </row>
    <row r="274" spans="1:11" ht="24" customHeight="1" x14ac:dyDescent="0.25">
      <c r="A274" s="138">
        <v>44762</v>
      </c>
      <c r="B274" s="139" t="s">
        <v>146</v>
      </c>
      <c r="C274" s="140"/>
      <c r="D274" s="140">
        <v>500000</v>
      </c>
      <c r="E274" s="140">
        <f>+IF(FINANCIACION[[#This Row],[$ CAPITAL]]&gt;=0,FINANCIACION[[#This Row],[$ CAPITAL]]+FINANCIACION[[#This Row],[$ INTERESES]],"")</f>
        <v>500000</v>
      </c>
      <c r="F274" s="140">
        <f>+SUMIFS(FINANCIACION[$ CAPITAL],FINANCIACION[Fecha],"&lt;="&amp;FINANCIACION[[#This Row],[Fecha]],FINANCIACION[PRESTAMO],FINANCIACION[[#This Row],[PRESTAMO]])</f>
        <v>-50000000</v>
      </c>
      <c r="G274" s="140"/>
      <c r="H274" s="141"/>
      <c r="I274" s="142"/>
      <c r="J274" s="140" t="b">
        <f>+IF(FINANCIACION[[#This Row],[$ CAPITAL]]&gt;0,FINANCIACION[[#This Row],[$ CAPITAL]])</f>
        <v>0</v>
      </c>
      <c r="K274" s="143">
        <f>+IF(FINANCIACION[[#This Row],[$ CAPITAL]]&gt;=0,FINANCIACION[[#This Row],[$ CAPITAL]]+FINANCIACION[[#This Row],[$ INTERESES]],0)</f>
        <v>500000</v>
      </c>
    </row>
    <row r="275" spans="1:11" ht="24" customHeight="1" x14ac:dyDescent="0.25">
      <c r="A275" s="138">
        <v>44773</v>
      </c>
      <c r="B275" s="139" t="s">
        <v>236</v>
      </c>
      <c r="C275" s="140">
        <v>4909800</v>
      </c>
      <c r="D275" s="140"/>
      <c r="E275" s="140">
        <f>+IF(FINANCIACION[[#This Row],[$ CAPITAL]]&gt;=0,FINANCIACION[[#This Row],[$ CAPITAL]]+FINANCIACION[[#This Row],[$ INTERESES]],"")</f>
        <v>4909800</v>
      </c>
      <c r="F275" s="140">
        <f>+SUMIFS(FINANCIACION[$ CAPITAL],FINANCIACION[Fecha],"&lt;="&amp;FINANCIACION[[#This Row],[Fecha]],FINANCIACION[PRESTAMO],FINANCIACION[[#This Row],[PRESTAMO]])</f>
        <v>-17140200</v>
      </c>
      <c r="G275" s="140"/>
      <c r="H275" s="141" t="s">
        <v>72</v>
      </c>
      <c r="I275" s="142"/>
      <c r="J275" s="140">
        <f>+IF(FINANCIACION[[#This Row],[$ CAPITAL]]&gt;0,FINANCIACION[[#This Row],[$ CAPITAL]])</f>
        <v>4909800</v>
      </c>
      <c r="K275" s="143">
        <f>+IF(FINANCIACION[[#This Row],[$ CAPITAL]]&gt;=0,FINANCIACION[[#This Row],[$ CAPITAL]]+FINANCIACION[[#This Row],[$ INTERESES]],0)</f>
        <v>4909800</v>
      </c>
    </row>
    <row r="276" spans="1:11" ht="24" customHeight="1" x14ac:dyDescent="0.25">
      <c r="A276" s="138">
        <v>44777</v>
      </c>
      <c r="B276" s="139" t="s">
        <v>141</v>
      </c>
      <c r="C276" s="140">
        <v>-8000000</v>
      </c>
      <c r="D276" s="140"/>
      <c r="E276" s="140" t="str">
        <f>+IF(FINANCIACION[[#This Row],[$ CAPITAL]]&gt;=0,FINANCIACION[[#This Row],[$ CAPITAL]]+FINANCIACION[[#This Row],[$ INTERESES]],"")</f>
        <v/>
      </c>
      <c r="F276" s="140">
        <f>+SUMIFS(FINANCIACION[$ CAPITAL],FINANCIACION[Fecha],"&lt;="&amp;FINANCIACION[[#This Row],[Fecha]],FINANCIACION[PRESTAMO],FINANCIACION[[#This Row],[PRESTAMO]])</f>
        <v>-15347000</v>
      </c>
      <c r="G276" s="140"/>
      <c r="H276" s="141" t="s">
        <v>909</v>
      </c>
      <c r="I276" s="142"/>
      <c r="J276" s="140" t="b">
        <f>+IF(FINANCIACION[[#This Row],[$ CAPITAL]]&gt;0,FINANCIACION[[#This Row],[$ CAPITAL]])</f>
        <v>0</v>
      </c>
      <c r="K276" s="143">
        <f>+IF(FINANCIACION[[#This Row],[$ CAPITAL]]&gt;=0,FINANCIACION[[#This Row],[$ CAPITAL]]+FINANCIACION[[#This Row],[$ INTERESES]],0)</f>
        <v>0</v>
      </c>
    </row>
    <row r="277" spans="1:11" ht="24" customHeight="1" x14ac:dyDescent="0.25">
      <c r="A277" s="138">
        <v>44777</v>
      </c>
      <c r="B277" s="139" t="s">
        <v>141</v>
      </c>
      <c r="C277" s="140">
        <v>1530000</v>
      </c>
      <c r="D277" s="140"/>
      <c r="E277" s="140">
        <f>+IF(FINANCIACION[[#This Row],[$ CAPITAL]]&gt;=0,FINANCIACION[[#This Row],[$ CAPITAL]]+FINANCIACION[[#This Row],[$ INTERESES]],"")</f>
        <v>1530000</v>
      </c>
      <c r="F277" s="140">
        <f>+SUMIFS(FINANCIACION[$ CAPITAL],FINANCIACION[Fecha],"&lt;="&amp;FINANCIACION[[#This Row],[Fecha]],FINANCIACION[PRESTAMO],FINANCIACION[[#This Row],[PRESTAMO]])</f>
        <v>-15347000</v>
      </c>
      <c r="G277" s="140"/>
      <c r="H277" s="141" t="s">
        <v>909</v>
      </c>
      <c r="I277" s="142"/>
      <c r="J277" s="140">
        <f>+IF(FINANCIACION[[#This Row],[$ CAPITAL]]&gt;0,FINANCIACION[[#This Row],[$ CAPITAL]])</f>
        <v>1530000</v>
      </c>
      <c r="K277" s="143">
        <f>+IF(FINANCIACION[[#This Row],[$ CAPITAL]]&gt;=0,FINANCIACION[[#This Row],[$ CAPITAL]]+FINANCIACION[[#This Row],[$ INTERESES]],0)</f>
        <v>1530000</v>
      </c>
    </row>
    <row r="278" spans="1:11" ht="24" customHeight="1" x14ac:dyDescent="0.25">
      <c r="A278" s="138">
        <v>44777</v>
      </c>
      <c r="B278" s="139" t="s">
        <v>141</v>
      </c>
      <c r="C278" s="140">
        <v>3300000</v>
      </c>
      <c r="D278" s="140"/>
      <c r="E278" s="140">
        <f>+IF(FINANCIACION[[#This Row],[$ CAPITAL]]&gt;=0,FINANCIACION[[#This Row],[$ CAPITAL]]+FINANCIACION[[#This Row],[$ INTERESES]],"")</f>
        <v>3300000</v>
      </c>
      <c r="F278" s="140">
        <f>+SUMIFS(FINANCIACION[$ CAPITAL],FINANCIACION[Fecha],"&lt;="&amp;FINANCIACION[[#This Row],[Fecha]],FINANCIACION[PRESTAMO],FINANCIACION[[#This Row],[PRESTAMO]])</f>
        <v>-15347000</v>
      </c>
      <c r="G278" s="140"/>
      <c r="H278" s="141" t="s">
        <v>909</v>
      </c>
      <c r="I278" s="142"/>
      <c r="J278" s="140">
        <f>+IF(FINANCIACION[[#This Row],[$ CAPITAL]]&gt;0,FINANCIACION[[#This Row],[$ CAPITAL]])</f>
        <v>3300000</v>
      </c>
      <c r="K278" s="143">
        <f>+IF(FINANCIACION[[#This Row],[$ CAPITAL]]&gt;=0,FINANCIACION[[#This Row],[$ CAPITAL]]+FINANCIACION[[#This Row],[$ INTERESES]],0)</f>
        <v>3300000</v>
      </c>
    </row>
    <row r="279" spans="1:11" ht="24" customHeight="1" x14ac:dyDescent="0.25">
      <c r="A279" s="138">
        <v>44777</v>
      </c>
      <c r="B279" s="139" t="s">
        <v>141</v>
      </c>
      <c r="C279" s="140">
        <v>823000</v>
      </c>
      <c r="D279" s="140"/>
      <c r="E279" s="140">
        <f>+IF(FINANCIACION[[#This Row],[$ CAPITAL]]&gt;=0,FINANCIACION[[#This Row],[$ CAPITAL]]+FINANCIACION[[#This Row],[$ INTERESES]],"")</f>
        <v>823000</v>
      </c>
      <c r="F279" s="140">
        <f>+SUMIFS(FINANCIACION[$ CAPITAL],FINANCIACION[Fecha],"&lt;="&amp;FINANCIACION[[#This Row],[Fecha]],FINANCIACION[PRESTAMO],FINANCIACION[[#This Row],[PRESTAMO]])</f>
        <v>-15347000</v>
      </c>
      <c r="G279" s="140"/>
      <c r="H279" s="141" t="s">
        <v>909</v>
      </c>
      <c r="I279" s="142"/>
      <c r="J279" s="140">
        <f>+IF(FINANCIACION[[#This Row],[$ CAPITAL]]&gt;0,FINANCIACION[[#This Row],[$ CAPITAL]])</f>
        <v>823000</v>
      </c>
      <c r="K279" s="143">
        <f>+IF(FINANCIACION[[#This Row],[$ CAPITAL]]&gt;=0,FINANCIACION[[#This Row],[$ CAPITAL]]+FINANCIACION[[#This Row],[$ INTERESES]],0)</f>
        <v>823000</v>
      </c>
    </row>
    <row r="280" spans="1:11" ht="24" customHeight="1" x14ac:dyDescent="0.25">
      <c r="A280" s="138">
        <v>44781</v>
      </c>
      <c r="B280" s="139" t="s">
        <v>141</v>
      </c>
      <c r="C280" s="140">
        <v>2347000</v>
      </c>
      <c r="D280" s="140"/>
      <c r="E280" s="140">
        <f>+IF(FINANCIACION[[#This Row],[$ CAPITAL]]&gt;=0,FINANCIACION[[#This Row],[$ CAPITAL]]+FINANCIACION[[#This Row],[$ INTERESES]],"")</f>
        <v>2347000</v>
      </c>
      <c r="F280" s="140">
        <f>+SUMIFS(FINANCIACION[$ CAPITAL],FINANCIACION[Fecha],"&lt;="&amp;FINANCIACION[[#This Row],[Fecha]],FINANCIACION[PRESTAMO],FINANCIACION[[#This Row],[PRESTAMO]])</f>
        <v>-13000000</v>
      </c>
      <c r="G280" s="140"/>
      <c r="H280" s="141" t="s">
        <v>909</v>
      </c>
      <c r="I280" s="142"/>
      <c r="J280" s="140">
        <f>+IF(FINANCIACION[[#This Row],[$ CAPITAL]]&gt;0,FINANCIACION[[#This Row],[$ CAPITAL]])</f>
        <v>2347000</v>
      </c>
      <c r="K280" s="143">
        <f>+IF(FINANCIACION[[#This Row],[$ CAPITAL]]&gt;=0,FINANCIACION[[#This Row],[$ CAPITAL]]+FINANCIACION[[#This Row],[$ INTERESES]],0)</f>
        <v>2347000</v>
      </c>
    </row>
    <row r="281" spans="1:11" ht="24" customHeight="1" x14ac:dyDescent="0.25">
      <c r="A281" s="138">
        <v>44783</v>
      </c>
      <c r="B281" s="139" t="s">
        <v>146</v>
      </c>
      <c r="C281" s="140"/>
      <c r="D281" s="140">
        <v>500000</v>
      </c>
      <c r="E281" s="140">
        <f>+IF(FINANCIACION[[#This Row],[$ CAPITAL]]&gt;=0,FINANCIACION[[#This Row],[$ CAPITAL]]+FINANCIACION[[#This Row],[$ INTERESES]],"")</f>
        <v>500000</v>
      </c>
      <c r="F281" s="140">
        <f>+SUMIFS(FINANCIACION[$ CAPITAL],FINANCIACION[Fecha],"&lt;="&amp;FINANCIACION[[#This Row],[Fecha]],FINANCIACION[PRESTAMO],FINANCIACION[[#This Row],[PRESTAMO]])</f>
        <v>-50000000</v>
      </c>
      <c r="G281" s="140"/>
      <c r="H281" s="141"/>
      <c r="I281" s="142"/>
      <c r="J281" s="140" t="b">
        <f>+IF(FINANCIACION[[#This Row],[$ CAPITAL]]&gt;0,FINANCIACION[[#This Row],[$ CAPITAL]])</f>
        <v>0</v>
      </c>
      <c r="K281" s="143">
        <f>+IF(FINANCIACION[[#This Row],[$ CAPITAL]]&gt;=0,FINANCIACION[[#This Row],[$ CAPITAL]]+FINANCIACION[[#This Row],[$ INTERESES]],0)</f>
        <v>500000</v>
      </c>
    </row>
    <row r="282" spans="1:11" ht="24" customHeight="1" x14ac:dyDescent="0.25">
      <c r="A282" s="138">
        <v>44786</v>
      </c>
      <c r="B282" s="139" t="s">
        <v>141</v>
      </c>
      <c r="C282" s="140"/>
      <c r="D282" s="140">
        <v>130000</v>
      </c>
      <c r="E282" s="140">
        <f>+IF(FINANCIACION[[#This Row],[$ CAPITAL]]&gt;=0,FINANCIACION[[#This Row],[$ CAPITAL]]+FINANCIACION[[#This Row],[$ INTERESES]],"")</f>
        <v>130000</v>
      </c>
      <c r="F282" s="140">
        <f>+SUMIFS(FINANCIACION[$ CAPITAL],FINANCIACION[Fecha],"&lt;="&amp;FINANCIACION[[#This Row],[Fecha]],FINANCIACION[PRESTAMO],FINANCIACION[[#This Row],[PRESTAMO]])</f>
        <v>-13000000</v>
      </c>
      <c r="G282" s="140"/>
      <c r="H282" s="141"/>
      <c r="I282" s="142"/>
      <c r="J282" s="140" t="b">
        <f>+IF(FINANCIACION[[#This Row],[$ CAPITAL]]&gt;0,FINANCIACION[[#This Row],[$ CAPITAL]])</f>
        <v>0</v>
      </c>
      <c r="K282" s="143">
        <f>+IF(FINANCIACION[[#This Row],[$ CAPITAL]]&gt;=0,FINANCIACION[[#This Row],[$ CAPITAL]]+FINANCIACION[[#This Row],[$ INTERESES]],0)</f>
        <v>130000</v>
      </c>
    </row>
    <row r="283" spans="1:11" ht="24" customHeight="1" x14ac:dyDescent="0.25">
      <c r="A283" s="138">
        <v>44786</v>
      </c>
      <c r="B283" s="139" t="s">
        <v>143</v>
      </c>
      <c r="C283" s="140"/>
      <c r="D283" s="140">
        <v>400000</v>
      </c>
      <c r="E283" s="140">
        <f>+IF(FINANCIACION[[#This Row],[$ CAPITAL]]&gt;=0,FINANCIACION[[#This Row],[$ CAPITAL]]+FINANCIACION[[#This Row],[$ INTERESES]],"")</f>
        <v>400000</v>
      </c>
      <c r="F283" s="140">
        <f>+SUMIFS(FINANCIACION[$ CAPITAL],FINANCIACION[Fecha],"&lt;="&amp;FINANCIACION[[#This Row],[Fecha]],FINANCIACION[PRESTAMO],FINANCIACION[[#This Row],[PRESTAMO]])</f>
        <v>-40000000</v>
      </c>
      <c r="G283" s="140"/>
      <c r="H283" s="141"/>
      <c r="I283" s="142"/>
      <c r="J283" s="140" t="b">
        <f>+IF(FINANCIACION[[#This Row],[$ CAPITAL]]&gt;0,FINANCIACION[[#This Row],[$ CAPITAL]])</f>
        <v>0</v>
      </c>
      <c r="K283" s="143">
        <f>+IF(FINANCIACION[[#This Row],[$ CAPITAL]]&gt;=0,FINANCIACION[[#This Row],[$ CAPITAL]]+FINANCIACION[[#This Row],[$ INTERESES]],0)</f>
        <v>400000</v>
      </c>
    </row>
    <row r="284" spans="1:11" ht="24" customHeight="1" x14ac:dyDescent="0.25">
      <c r="A284" s="138">
        <v>44786</v>
      </c>
      <c r="B284" s="139" t="s">
        <v>135</v>
      </c>
      <c r="C284" s="140">
        <v>2127909.1338170301</v>
      </c>
      <c r="D284" s="140">
        <v>549468.86618297</v>
      </c>
      <c r="E284" s="140">
        <f>+IF(FINANCIACION[[#This Row],[$ CAPITAL]]&gt;=0,FINANCIACION[[#This Row],[$ CAPITAL]]+FINANCIACION[[#This Row],[$ INTERESES]],"")</f>
        <v>2677378</v>
      </c>
      <c r="F284" s="140">
        <f>+SUMIFS(FINANCIACION[$ CAPITAL],FINANCIACION[Fecha],"&lt;="&amp;FINANCIACION[[#This Row],[Fecha]],FINANCIACION[PRESTAMO],FINANCIACION[[#This Row],[PRESTAMO]])</f>
        <v>-52818977.484479994</v>
      </c>
      <c r="G284" s="140"/>
      <c r="H284" s="141"/>
      <c r="I284" s="142"/>
      <c r="J284" s="140">
        <f>+IF(FINANCIACION[[#This Row],[$ CAPITAL]]&gt;0,FINANCIACION[[#This Row],[$ CAPITAL]])</f>
        <v>2127909.1338170301</v>
      </c>
      <c r="K284" s="143">
        <f>+IF(FINANCIACION[[#This Row],[$ CAPITAL]]&gt;=0,FINANCIACION[[#This Row],[$ CAPITAL]]+FINANCIACION[[#This Row],[$ INTERESES]],0)</f>
        <v>2677378</v>
      </c>
    </row>
    <row r="285" spans="1:11" ht="24" customHeight="1" x14ac:dyDescent="0.25">
      <c r="A285" s="138">
        <v>44786</v>
      </c>
      <c r="B285" s="139" t="s">
        <v>138</v>
      </c>
      <c r="C285" s="140">
        <v>819866.98812116706</v>
      </c>
      <c r="D285" s="140">
        <v>480133.01187883294</v>
      </c>
      <c r="E285" s="140">
        <f>+IF(FINANCIACION[[#This Row],[$ CAPITAL]]&gt;=0,FINANCIACION[[#This Row],[$ CAPITAL]]+FINANCIACION[[#This Row],[$ INTERESES]],"")</f>
        <v>1300000</v>
      </c>
      <c r="F285" s="140">
        <f>+SUMIFS(FINANCIACION[$ CAPITAL],FINANCIACION[Fecha],"&lt;="&amp;FINANCIACION[[#This Row],[Fecha]],FINANCIACION[PRESTAMO],FINANCIACION[[#This Row],[PRESTAMO]])</f>
        <v>-47193434.199762128</v>
      </c>
      <c r="G285" s="140"/>
      <c r="H285" s="141"/>
      <c r="I285" s="142"/>
      <c r="J285" s="140">
        <f>+IF(FINANCIACION[[#This Row],[$ CAPITAL]]&gt;0,FINANCIACION[[#This Row],[$ CAPITAL]])</f>
        <v>819866.98812116706</v>
      </c>
      <c r="K285" s="143">
        <f>+IF(FINANCIACION[[#This Row],[$ CAPITAL]]&gt;=0,FINANCIACION[[#This Row],[$ CAPITAL]]+FINANCIACION[[#This Row],[$ INTERESES]],0)</f>
        <v>1300000</v>
      </c>
    </row>
    <row r="286" spans="1:11" ht="24" customHeight="1" x14ac:dyDescent="0.25">
      <c r="A286" s="138">
        <v>44786</v>
      </c>
      <c r="B286" s="139" t="s">
        <v>136</v>
      </c>
      <c r="C286" s="140">
        <v>1348053.086407579</v>
      </c>
      <c r="D286" s="140">
        <v>651946.91359242098</v>
      </c>
      <c r="E286" s="140">
        <f>+IF(FINANCIACION[[#This Row],[$ CAPITAL]]&gt;=0,FINANCIACION[[#This Row],[$ CAPITAL]]+FINANCIACION[[#This Row],[$ INTERESES]],"")</f>
        <v>2000000</v>
      </c>
      <c r="F286" s="140">
        <f>+SUMIFS(FINANCIACION[$ CAPITAL],FINANCIACION[Fecha],"&lt;="&amp;FINANCIACION[[#This Row],[Fecha]],FINANCIACION[PRESTAMO],FINANCIACION[[#This Row],[PRESTAMO]])</f>
        <v>-64017326.132834516</v>
      </c>
      <c r="G286" s="140"/>
      <c r="H286" s="141"/>
      <c r="I286" s="142"/>
      <c r="J286" s="140">
        <f>+IF(FINANCIACION[[#This Row],[$ CAPITAL]]&gt;0,FINANCIACION[[#This Row],[$ CAPITAL]])</f>
        <v>1348053.086407579</v>
      </c>
      <c r="K286" s="143">
        <f>+IF(FINANCIACION[[#This Row],[$ CAPITAL]]&gt;=0,FINANCIACION[[#This Row],[$ CAPITAL]]+FINANCIACION[[#This Row],[$ INTERESES]],0)</f>
        <v>2000000</v>
      </c>
    </row>
    <row r="287" spans="1:11" ht="24" customHeight="1" x14ac:dyDescent="0.25">
      <c r="A287" s="138">
        <v>44791</v>
      </c>
      <c r="B287" s="139" t="s">
        <v>239</v>
      </c>
      <c r="C287" s="140">
        <v>1481481.48</v>
      </c>
      <c r="D287" s="140">
        <v>884518.52</v>
      </c>
      <c r="E287" s="140">
        <f>+IF(FINANCIACION[[#This Row],[$ CAPITAL]]&gt;=0,FINANCIACION[[#This Row],[$ CAPITAL]]+FINANCIACION[[#This Row],[$ INTERESES]],"")</f>
        <v>2366000</v>
      </c>
      <c r="F287" s="140">
        <f>+SUMIFS(FINANCIACION[$ CAPITAL],FINANCIACION[Fecha],"&lt;="&amp;FINANCIACION[[#This Row],[Fecha]],FINANCIACION[PRESTAMO],FINANCIACION[[#This Row],[PRESTAMO]])</f>
        <v>-75546115.409999996</v>
      </c>
      <c r="G287" s="140"/>
      <c r="H287" s="141"/>
      <c r="I287" s="142"/>
      <c r="J287" s="140">
        <f>+IF(FINANCIACION[[#This Row],[$ CAPITAL]]&gt;0,FINANCIACION[[#This Row],[$ CAPITAL]])</f>
        <v>1481481.48</v>
      </c>
      <c r="K287" s="143">
        <f>+IF(FINANCIACION[[#This Row],[$ CAPITAL]]&gt;=0,FINANCIACION[[#This Row],[$ CAPITAL]]+FINANCIACION[[#This Row],[$ INTERESES]],0)</f>
        <v>2366000</v>
      </c>
    </row>
    <row r="288" spans="1:11" ht="24" customHeight="1" x14ac:dyDescent="0.25">
      <c r="A288" s="138">
        <v>44791</v>
      </c>
      <c r="B288" s="139" t="s">
        <v>137</v>
      </c>
      <c r="C288" s="140">
        <v>1264566</v>
      </c>
      <c r="D288" s="140">
        <v>5302748</v>
      </c>
      <c r="E288" s="140">
        <f>+IF(FINANCIACION[[#This Row],[$ CAPITAL]]&gt;=0,FINANCIACION[[#This Row],[$ CAPITAL]]+FINANCIACION[[#This Row],[$ INTERESES]],"")</f>
        <v>6567314</v>
      </c>
      <c r="F288" s="140">
        <f>+SUMIFS(FINANCIACION[$ CAPITAL],FINANCIACION[Fecha],"&lt;="&amp;FINANCIACION[[#This Row],[Fecha]],FINANCIACION[PRESTAMO],FINANCIACION[[#This Row],[PRESTAMO]])</f>
        <v>-362456302</v>
      </c>
      <c r="G288" s="140"/>
      <c r="H288" s="141"/>
      <c r="I288" s="142"/>
      <c r="J288" s="140">
        <f>+IF(FINANCIACION[[#This Row],[$ CAPITAL]]&gt;0,FINANCIACION[[#This Row],[$ CAPITAL]])</f>
        <v>1264566</v>
      </c>
      <c r="K288" s="143">
        <f>+IF(FINANCIACION[[#This Row],[$ CAPITAL]]&gt;=0,FINANCIACION[[#This Row],[$ CAPITAL]]+FINANCIACION[[#This Row],[$ INTERESES]],0)</f>
        <v>6567314</v>
      </c>
    </row>
    <row r="289" spans="1:11" ht="24" customHeight="1" x14ac:dyDescent="0.25">
      <c r="A289" s="138">
        <v>44804</v>
      </c>
      <c r="B289" s="139" t="s">
        <v>236</v>
      </c>
      <c r="C289" s="140">
        <v>-5300120</v>
      </c>
      <c r="D289" s="140"/>
      <c r="E289" s="140" t="str">
        <f>+IF(FINANCIACION[[#This Row],[$ CAPITAL]]&gt;=0,FINANCIACION[[#This Row],[$ CAPITAL]]+FINANCIACION[[#This Row],[$ INTERESES]],"")</f>
        <v/>
      </c>
      <c r="F289" s="140">
        <f>+SUMIFS(FINANCIACION[$ CAPITAL],FINANCIACION[Fecha],"&lt;="&amp;FINANCIACION[[#This Row],[Fecha]],FINANCIACION[PRESTAMO],FINANCIACION[[#This Row],[PRESTAMO]])</f>
        <v>-22440320</v>
      </c>
      <c r="G289" s="140"/>
      <c r="H289" s="141"/>
      <c r="I289" s="142"/>
      <c r="J289" s="140" t="b">
        <f>+IF(FINANCIACION[[#This Row],[$ CAPITAL]]&gt;0,FINANCIACION[[#This Row],[$ CAPITAL]])</f>
        <v>0</v>
      </c>
      <c r="K289" s="143">
        <f>+IF(FINANCIACION[[#This Row],[$ CAPITAL]]&gt;=0,FINANCIACION[[#This Row],[$ CAPITAL]]+FINANCIACION[[#This Row],[$ INTERESES]],0)</f>
        <v>0</v>
      </c>
    </row>
    <row r="290" spans="1:11" ht="24" customHeight="1" x14ac:dyDescent="0.25">
      <c r="A290" s="138">
        <v>44817</v>
      </c>
      <c r="B290" s="139" t="s">
        <v>141</v>
      </c>
      <c r="C290" s="140"/>
      <c r="D290" s="140">
        <v>130000</v>
      </c>
      <c r="E290" s="140">
        <f>+IF(FINANCIACION[[#This Row],[$ CAPITAL]]&gt;=0,FINANCIACION[[#This Row],[$ CAPITAL]]+FINANCIACION[[#This Row],[$ INTERESES]],"")</f>
        <v>130000</v>
      </c>
      <c r="F290" s="140">
        <f>+SUMIFS(FINANCIACION[$ CAPITAL],FINANCIACION[Fecha],"&lt;="&amp;FINANCIACION[[#This Row],[Fecha]],FINANCIACION[PRESTAMO],FINANCIACION[[#This Row],[PRESTAMO]])</f>
        <v>-13000000</v>
      </c>
      <c r="G290" s="140"/>
      <c r="H290" s="141"/>
      <c r="I290" s="142"/>
      <c r="J290" s="140" t="b">
        <f>+IF(FINANCIACION[[#This Row],[$ CAPITAL]]&gt;0,FINANCIACION[[#This Row],[$ CAPITAL]])</f>
        <v>0</v>
      </c>
      <c r="K290" s="143">
        <f>+IF(FINANCIACION[[#This Row],[$ CAPITAL]]&gt;=0,FINANCIACION[[#This Row],[$ CAPITAL]]+FINANCIACION[[#This Row],[$ INTERESES]],0)</f>
        <v>130000</v>
      </c>
    </row>
    <row r="291" spans="1:11" ht="24" customHeight="1" x14ac:dyDescent="0.25">
      <c r="A291" s="138">
        <v>44817</v>
      </c>
      <c r="B291" s="139" t="s">
        <v>143</v>
      </c>
      <c r="C291" s="140"/>
      <c r="D291" s="140">
        <v>400000</v>
      </c>
      <c r="E291" s="140">
        <f>+IF(FINANCIACION[[#This Row],[$ CAPITAL]]&gt;=0,FINANCIACION[[#This Row],[$ CAPITAL]]+FINANCIACION[[#This Row],[$ INTERESES]],"")</f>
        <v>400000</v>
      </c>
      <c r="F291" s="140">
        <f>+SUMIFS(FINANCIACION[$ CAPITAL],FINANCIACION[Fecha],"&lt;="&amp;FINANCIACION[[#This Row],[Fecha]],FINANCIACION[PRESTAMO],FINANCIACION[[#This Row],[PRESTAMO]])</f>
        <v>-40000000</v>
      </c>
      <c r="G291" s="140"/>
      <c r="H291" s="141"/>
      <c r="I291" s="142"/>
      <c r="J291" s="140" t="b">
        <f>+IF(FINANCIACION[[#This Row],[$ CAPITAL]]&gt;0,FINANCIACION[[#This Row],[$ CAPITAL]])</f>
        <v>0</v>
      </c>
      <c r="K291" s="143">
        <f>+IF(FINANCIACION[[#This Row],[$ CAPITAL]]&gt;=0,FINANCIACION[[#This Row],[$ CAPITAL]]+FINANCIACION[[#This Row],[$ INTERESES]],0)</f>
        <v>400000</v>
      </c>
    </row>
    <row r="292" spans="1:11" ht="24" customHeight="1" x14ac:dyDescent="0.25">
      <c r="A292" s="138">
        <v>44817</v>
      </c>
      <c r="B292" s="139" t="s">
        <v>138</v>
      </c>
      <c r="C292" s="140">
        <v>828066</v>
      </c>
      <c r="D292" s="140">
        <v>471934</v>
      </c>
      <c r="E292" s="140">
        <f>+IF(FINANCIACION[[#This Row],[$ CAPITAL]]&gt;=0,FINANCIACION[[#This Row],[$ CAPITAL]]+FINANCIACION[[#This Row],[$ INTERESES]],"")</f>
        <v>1300000</v>
      </c>
      <c r="F292" s="140">
        <f>+SUMIFS(FINANCIACION[$ CAPITAL],FINANCIACION[Fecha],"&lt;="&amp;FINANCIACION[[#This Row],[Fecha]],FINANCIACION[PRESTAMO],FINANCIACION[[#This Row],[PRESTAMO]])</f>
        <v>-46365368.199762128</v>
      </c>
      <c r="G292" s="140"/>
      <c r="H292" s="141"/>
      <c r="I292" s="142"/>
      <c r="J292" s="140">
        <f>+IF(FINANCIACION[[#This Row],[$ CAPITAL]]&gt;0,FINANCIACION[[#This Row],[$ CAPITAL]])</f>
        <v>828066</v>
      </c>
      <c r="K292" s="143">
        <f>+IF(FINANCIACION[[#This Row],[$ CAPITAL]]&gt;=0,FINANCIACION[[#This Row],[$ CAPITAL]]+FINANCIACION[[#This Row],[$ INTERESES]],0)</f>
        <v>1300000</v>
      </c>
    </row>
    <row r="293" spans="1:11" ht="24" customHeight="1" x14ac:dyDescent="0.25">
      <c r="A293" s="138">
        <v>44823</v>
      </c>
      <c r="B293" s="139" t="s">
        <v>135</v>
      </c>
      <c r="C293" s="140">
        <v>2149210</v>
      </c>
      <c r="D293" s="140">
        <v>528190</v>
      </c>
      <c r="E293" s="140">
        <f>+IF(FINANCIACION[[#This Row],[$ CAPITAL]]&gt;=0,FINANCIACION[[#This Row],[$ CAPITAL]]+FINANCIACION[[#This Row],[$ INTERESES]],"")</f>
        <v>2677400</v>
      </c>
      <c r="F293" s="140">
        <f>+SUMIFS(FINANCIACION[$ CAPITAL],FINANCIACION[Fecha],"&lt;="&amp;FINANCIACION[[#This Row],[Fecha]],FINANCIACION[PRESTAMO],FINANCIACION[[#This Row],[PRESTAMO]])</f>
        <v>-50669767.484479994</v>
      </c>
      <c r="G293" s="140"/>
      <c r="H293" s="141"/>
      <c r="I293" s="142"/>
      <c r="J293" s="140">
        <f>+IF(FINANCIACION[[#This Row],[$ CAPITAL]]&gt;0,FINANCIACION[[#This Row],[$ CAPITAL]])</f>
        <v>2149210</v>
      </c>
      <c r="K293" s="143">
        <f>+IF(FINANCIACION[[#This Row],[$ CAPITAL]]&gt;=0,FINANCIACION[[#This Row],[$ CAPITAL]]+FINANCIACION[[#This Row],[$ INTERESES]],0)</f>
        <v>2677400</v>
      </c>
    </row>
    <row r="294" spans="1:11" ht="24" customHeight="1" x14ac:dyDescent="0.25">
      <c r="A294" s="138">
        <v>44823</v>
      </c>
      <c r="B294" s="139" t="s">
        <v>136</v>
      </c>
      <c r="C294" s="140">
        <v>1359827</v>
      </c>
      <c r="D294" s="140">
        <v>640173</v>
      </c>
      <c r="E294" s="140">
        <f>+IF(FINANCIACION[[#This Row],[$ CAPITAL]]&gt;=0,FINANCIACION[[#This Row],[$ CAPITAL]]+FINANCIACION[[#This Row],[$ INTERESES]],"")</f>
        <v>2000000</v>
      </c>
      <c r="F294" s="140">
        <f>+SUMIFS(FINANCIACION[$ CAPITAL],FINANCIACION[Fecha],"&lt;="&amp;FINANCIACION[[#This Row],[Fecha]],FINANCIACION[PRESTAMO],FINANCIACION[[#This Row],[PRESTAMO]])</f>
        <v>-62657499.132834516</v>
      </c>
      <c r="G294" s="140"/>
      <c r="H294" s="141"/>
      <c r="I294" s="142"/>
      <c r="J294" s="140">
        <f>+IF(FINANCIACION[[#This Row],[$ CAPITAL]]&gt;0,FINANCIACION[[#This Row],[$ CAPITAL]])</f>
        <v>1359827</v>
      </c>
      <c r="K294" s="143">
        <f>+IF(FINANCIACION[[#This Row],[$ CAPITAL]]&gt;=0,FINANCIACION[[#This Row],[$ CAPITAL]]+FINANCIACION[[#This Row],[$ INTERESES]],0)</f>
        <v>2000000</v>
      </c>
    </row>
    <row r="295" spans="1:11" ht="24" customHeight="1" x14ac:dyDescent="0.25">
      <c r="A295" s="138">
        <v>44823</v>
      </c>
      <c r="B295" s="139" t="s">
        <v>146</v>
      </c>
      <c r="C295" s="140"/>
      <c r="D295" s="140">
        <v>500000</v>
      </c>
      <c r="E295" s="140">
        <f>+IF(FINANCIACION[[#This Row],[$ CAPITAL]]&gt;=0,FINANCIACION[[#This Row],[$ CAPITAL]]+FINANCIACION[[#This Row],[$ INTERESES]],"")</f>
        <v>500000</v>
      </c>
      <c r="F295" s="140">
        <f>+SUMIFS(FINANCIACION[$ CAPITAL],FINANCIACION[Fecha],"&lt;="&amp;FINANCIACION[[#This Row],[Fecha]],FINANCIACION[PRESTAMO],FINANCIACION[[#This Row],[PRESTAMO]])</f>
        <v>-50000000</v>
      </c>
      <c r="G295" s="140"/>
      <c r="H295" s="141"/>
      <c r="I295" s="142"/>
      <c r="J295" s="140" t="b">
        <f>+IF(FINANCIACION[[#This Row],[$ CAPITAL]]&gt;0,FINANCIACION[[#This Row],[$ CAPITAL]])</f>
        <v>0</v>
      </c>
      <c r="K295" s="143">
        <f>+IF(FINANCIACION[[#This Row],[$ CAPITAL]]&gt;=0,FINANCIACION[[#This Row],[$ CAPITAL]]+FINANCIACION[[#This Row],[$ INTERESES]],0)</f>
        <v>500000</v>
      </c>
    </row>
    <row r="296" spans="1:11" ht="24" customHeight="1" x14ac:dyDescent="0.25">
      <c r="A296" s="138">
        <v>44823</v>
      </c>
      <c r="B296" s="139" t="s">
        <v>137</v>
      </c>
      <c r="C296" s="140">
        <v>1283103</v>
      </c>
      <c r="D296" s="140">
        <v>4776103</v>
      </c>
      <c r="E296" s="140">
        <f>+IF(FINANCIACION[[#This Row],[$ CAPITAL]]&gt;=0,FINANCIACION[[#This Row],[$ CAPITAL]]+FINANCIACION[[#This Row],[$ INTERESES]],"")</f>
        <v>6059206</v>
      </c>
      <c r="F296" s="140">
        <f>+SUMIFS(FINANCIACION[$ CAPITAL],FINANCIACION[Fecha],"&lt;="&amp;FINANCIACION[[#This Row],[Fecha]],FINANCIACION[PRESTAMO],FINANCIACION[[#This Row],[PRESTAMO]])</f>
        <v>-361173199</v>
      </c>
      <c r="G296" s="140"/>
      <c r="H296" s="141"/>
      <c r="I296" s="142"/>
      <c r="J296" s="140">
        <f>+IF(FINANCIACION[[#This Row],[$ CAPITAL]]&gt;0,FINANCIACION[[#This Row],[$ CAPITAL]])</f>
        <v>1283103</v>
      </c>
      <c r="K296" s="143">
        <f>+IF(FINANCIACION[[#This Row],[$ CAPITAL]]&gt;=0,FINANCIACION[[#This Row],[$ CAPITAL]]+FINANCIACION[[#This Row],[$ INTERESES]],0)</f>
        <v>6059206</v>
      </c>
    </row>
    <row r="297" spans="1:11" ht="24" customHeight="1" x14ac:dyDescent="0.25">
      <c r="A297" s="138">
        <v>44830</v>
      </c>
      <c r="B297" s="139" t="s">
        <v>239</v>
      </c>
      <c r="C297" s="140">
        <v>1481481.48</v>
      </c>
      <c r="D297" s="140">
        <v>930667.62</v>
      </c>
      <c r="E297" s="140">
        <f>+IF(FINANCIACION[[#This Row],[$ CAPITAL]]&gt;=0,FINANCIACION[[#This Row],[$ CAPITAL]]+FINANCIACION[[#This Row],[$ INTERESES]],"")</f>
        <v>2412149.1</v>
      </c>
      <c r="F297" s="140">
        <f>+SUMIFS(FINANCIACION[$ CAPITAL],FINANCIACION[Fecha],"&lt;="&amp;FINANCIACION[[#This Row],[Fecha]],FINANCIACION[PRESTAMO],FINANCIACION[[#This Row],[PRESTAMO]])</f>
        <v>-74064633.929999992</v>
      </c>
      <c r="G297" s="140"/>
      <c r="H297" s="141"/>
      <c r="I297" s="142"/>
      <c r="J297" s="140">
        <f>+IF(FINANCIACION[[#This Row],[$ CAPITAL]]&gt;0,FINANCIACION[[#This Row],[$ CAPITAL]])</f>
        <v>1481481.48</v>
      </c>
      <c r="K297" s="143">
        <f>+IF(FINANCIACION[[#This Row],[$ CAPITAL]]&gt;=0,FINANCIACION[[#This Row],[$ CAPITAL]]+FINANCIACION[[#This Row],[$ INTERESES]],0)</f>
        <v>2412149.1</v>
      </c>
    </row>
    <row r="298" spans="1:11" ht="24" customHeight="1" x14ac:dyDescent="0.25">
      <c r="A298" s="138">
        <v>44834</v>
      </c>
      <c r="B298" s="139" t="s">
        <v>236</v>
      </c>
      <c r="C298" s="140">
        <v>1444150</v>
      </c>
      <c r="D298" s="140"/>
      <c r="E298" s="140">
        <f>+IF(FINANCIACION[[#This Row],[$ CAPITAL]]&gt;=0,FINANCIACION[[#This Row],[$ CAPITAL]]+FINANCIACION[[#This Row],[$ INTERESES]],"")</f>
        <v>1444150</v>
      </c>
      <c r="F298" s="140">
        <f>+SUMIFS(FINANCIACION[$ CAPITAL],FINANCIACION[Fecha],"&lt;="&amp;FINANCIACION[[#This Row],[Fecha]],FINANCIACION[PRESTAMO],FINANCIACION[[#This Row],[PRESTAMO]])</f>
        <v>-20996170</v>
      </c>
      <c r="G298" s="140"/>
      <c r="H298" s="141" t="s">
        <v>960</v>
      </c>
      <c r="I298" s="142"/>
      <c r="J298" s="140">
        <f>+IF(FINANCIACION[[#This Row],[$ CAPITAL]]&gt;0,FINANCIACION[[#This Row],[$ CAPITAL]])</f>
        <v>1444150</v>
      </c>
      <c r="K298" s="143">
        <f>+IF(FINANCIACION[[#This Row],[$ CAPITAL]]&gt;=0,FINANCIACION[[#This Row],[$ CAPITAL]]+FINANCIACION[[#This Row],[$ INTERESES]],0)</f>
        <v>1444150</v>
      </c>
    </row>
    <row r="299" spans="1:11" ht="24" customHeight="1" x14ac:dyDescent="0.25">
      <c r="A299" s="138">
        <v>44844</v>
      </c>
      <c r="B299" s="139" t="s">
        <v>146</v>
      </c>
      <c r="C299" s="140">
        <v>-25000000</v>
      </c>
      <c r="D299" s="140"/>
      <c r="E299" s="140" t="str">
        <f>+IF(FINANCIACION[[#This Row],[$ CAPITAL]]&gt;=0,FINANCIACION[[#This Row],[$ CAPITAL]]+FINANCIACION[[#This Row],[$ INTERESES]],"")</f>
        <v/>
      </c>
      <c r="F299" s="140">
        <f>+SUMIFS(FINANCIACION[$ CAPITAL],FINANCIACION[Fecha],"&lt;="&amp;FINANCIACION[[#This Row],[Fecha]],FINANCIACION[PRESTAMO],FINANCIACION[[#This Row],[PRESTAMO]])</f>
        <v>-75000000</v>
      </c>
      <c r="G299" s="140"/>
      <c r="H299" s="141" t="s">
        <v>939</v>
      </c>
      <c r="I299" s="142"/>
      <c r="J299" s="140" t="b">
        <f>+IF(FINANCIACION[[#This Row],[$ CAPITAL]]&gt;0,FINANCIACION[[#This Row],[$ CAPITAL]])</f>
        <v>0</v>
      </c>
      <c r="K299" s="143">
        <f>+IF(FINANCIACION[[#This Row],[$ CAPITAL]]&gt;=0,FINANCIACION[[#This Row],[$ CAPITAL]]+FINANCIACION[[#This Row],[$ INTERESES]],0)</f>
        <v>0</v>
      </c>
    </row>
    <row r="300" spans="1:11" ht="24" customHeight="1" x14ac:dyDescent="0.25">
      <c r="A300" s="138">
        <v>44846</v>
      </c>
      <c r="B300" s="139" t="s">
        <v>141</v>
      </c>
      <c r="C300" s="140"/>
      <c r="D300" s="140">
        <v>130000</v>
      </c>
      <c r="E300" s="140">
        <f>+IF(FINANCIACION[[#This Row],[$ CAPITAL]]&gt;=0,FINANCIACION[[#This Row],[$ CAPITAL]]+FINANCIACION[[#This Row],[$ INTERESES]],"")</f>
        <v>130000</v>
      </c>
      <c r="F300" s="140">
        <f>+SUMIFS(FINANCIACION[$ CAPITAL],FINANCIACION[Fecha],"&lt;="&amp;FINANCIACION[[#This Row],[Fecha]],FINANCIACION[PRESTAMO],FINANCIACION[[#This Row],[PRESTAMO]])</f>
        <v>-13000000</v>
      </c>
      <c r="G300" s="140"/>
      <c r="H300" s="141"/>
      <c r="I300" s="142"/>
      <c r="J300" s="140" t="b">
        <f>+IF(FINANCIACION[[#This Row],[$ CAPITAL]]&gt;0,FINANCIACION[[#This Row],[$ CAPITAL]])</f>
        <v>0</v>
      </c>
      <c r="K300" s="143">
        <f>+IF(FINANCIACION[[#This Row],[$ CAPITAL]]&gt;=0,FINANCIACION[[#This Row],[$ CAPITAL]]+FINANCIACION[[#This Row],[$ INTERESES]],0)</f>
        <v>130000</v>
      </c>
    </row>
    <row r="301" spans="1:11" ht="24" customHeight="1" x14ac:dyDescent="0.25">
      <c r="A301" s="138">
        <v>44846</v>
      </c>
      <c r="B301" s="139" t="s">
        <v>143</v>
      </c>
      <c r="C301" s="140"/>
      <c r="D301" s="140">
        <v>400000</v>
      </c>
      <c r="E301" s="140">
        <f>+IF(FINANCIACION[[#This Row],[$ CAPITAL]]&gt;=0,FINANCIACION[[#This Row],[$ CAPITAL]]+FINANCIACION[[#This Row],[$ INTERESES]],"")</f>
        <v>400000</v>
      </c>
      <c r="F301" s="140">
        <f>+SUMIFS(FINANCIACION[$ CAPITAL],FINANCIACION[Fecha],"&lt;="&amp;FINANCIACION[[#This Row],[Fecha]],FINANCIACION[PRESTAMO],FINANCIACION[[#This Row],[PRESTAMO]])</f>
        <v>-40000000</v>
      </c>
      <c r="G301" s="140"/>
      <c r="H301" s="141"/>
      <c r="I301" s="142"/>
      <c r="J301" s="140" t="b">
        <f>+IF(FINANCIACION[[#This Row],[$ CAPITAL]]&gt;0,FINANCIACION[[#This Row],[$ CAPITAL]])</f>
        <v>0</v>
      </c>
      <c r="K301" s="143">
        <f>+IF(FINANCIACION[[#This Row],[$ CAPITAL]]&gt;=0,FINANCIACION[[#This Row],[$ CAPITAL]]+FINANCIACION[[#This Row],[$ INTERESES]],0)</f>
        <v>400000</v>
      </c>
    </row>
    <row r="302" spans="1:11" ht="24" customHeight="1" x14ac:dyDescent="0.25">
      <c r="A302" s="138">
        <v>44846</v>
      </c>
      <c r="B302" s="139" t="s">
        <v>135</v>
      </c>
      <c r="C302" s="140">
        <v>2170702</v>
      </c>
      <c r="D302" s="140">
        <v>506698</v>
      </c>
      <c r="E302" s="140">
        <f>+IF(FINANCIACION[[#This Row],[$ CAPITAL]]&gt;=0,FINANCIACION[[#This Row],[$ CAPITAL]]+FINANCIACION[[#This Row],[$ INTERESES]],"")</f>
        <v>2677400</v>
      </c>
      <c r="F302" s="140">
        <f>+SUMIFS(FINANCIACION[$ CAPITAL],FINANCIACION[Fecha],"&lt;="&amp;FINANCIACION[[#This Row],[Fecha]],FINANCIACION[PRESTAMO],FINANCIACION[[#This Row],[PRESTAMO]])</f>
        <v>-48499065.484479994</v>
      </c>
      <c r="G302" s="140"/>
      <c r="H302" s="141"/>
      <c r="I302" s="142"/>
      <c r="J302" s="140">
        <f>+IF(FINANCIACION[[#This Row],[$ CAPITAL]]&gt;0,FINANCIACION[[#This Row],[$ CAPITAL]])</f>
        <v>2170702</v>
      </c>
      <c r="K302" s="143">
        <f>+IF(FINANCIACION[[#This Row],[$ CAPITAL]]&gt;=0,FINANCIACION[[#This Row],[$ CAPITAL]]+FINANCIACION[[#This Row],[$ INTERESES]],0)</f>
        <v>2677400</v>
      </c>
    </row>
    <row r="303" spans="1:11" ht="24" customHeight="1" x14ac:dyDescent="0.25">
      <c r="A303" s="138">
        <v>44846</v>
      </c>
      <c r="B303" s="139" t="s">
        <v>138</v>
      </c>
      <c r="C303" s="140">
        <v>836346</v>
      </c>
      <c r="D303" s="140">
        <v>463654</v>
      </c>
      <c r="E303" s="140">
        <f>+IF(FINANCIACION[[#This Row],[$ CAPITAL]]&gt;=0,FINANCIACION[[#This Row],[$ CAPITAL]]+FINANCIACION[[#This Row],[$ INTERESES]],"")</f>
        <v>1300000</v>
      </c>
      <c r="F303" s="140">
        <f>+SUMIFS(FINANCIACION[$ CAPITAL],FINANCIACION[Fecha],"&lt;="&amp;FINANCIACION[[#This Row],[Fecha]],FINANCIACION[PRESTAMO],FINANCIACION[[#This Row],[PRESTAMO]])</f>
        <v>-45529022.199762128</v>
      </c>
      <c r="G303" s="140"/>
      <c r="H303" s="141"/>
      <c r="I303" s="142"/>
      <c r="J303" s="140">
        <f>+IF(FINANCIACION[[#This Row],[$ CAPITAL]]&gt;0,FINANCIACION[[#This Row],[$ CAPITAL]])</f>
        <v>836346</v>
      </c>
      <c r="K303" s="143">
        <f>+IF(FINANCIACION[[#This Row],[$ CAPITAL]]&gt;=0,FINANCIACION[[#This Row],[$ CAPITAL]]+FINANCIACION[[#This Row],[$ INTERESES]],0)</f>
        <v>1300000</v>
      </c>
    </row>
    <row r="304" spans="1:11" ht="24" customHeight="1" x14ac:dyDescent="0.25">
      <c r="A304" s="138">
        <v>44846</v>
      </c>
      <c r="B304" s="139" t="s">
        <v>146</v>
      </c>
      <c r="C304" s="140"/>
      <c r="D304" s="140">
        <v>500000</v>
      </c>
      <c r="E304" s="140">
        <f>+IF(FINANCIACION[[#This Row],[$ CAPITAL]]&gt;=0,FINANCIACION[[#This Row],[$ CAPITAL]]+FINANCIACION[[#This Row],[$ INTERESES]],"")</f>
        <v>500000</v>
      </c>
      <c r="F304" s="140">
        <f>+SUMIFS(FINANCIACION[$ CAPITAL],FINANCIACION[Fecha],"&lt;="&amp;FINANCIACION[[#This Row],[Fecha]],FINANCIACION[PRESTAMO],FINANCIACION[[#This Row],[PRESTAMO]])</f>
        <v>-75000000</v>
      </c>
      <c r="G304" s="140"/>
      <c r="H304" s="141"/>
      <c r="I304" s="142"/>
      <c r="J304" s="140" t="b">
        <f>+IF(FINANCIACION[[#This Row],[$ CAPITAL]]&gt;0,FINANCIACION[[#This Row],[$ CAPITAL]])</f>
        <v>0</v>
      </c>
      <c r="K304" s="143">
        <f>+IF(FINANCIACION[[#This Row],[$ CAPITAL]]&gt;=0,FINANCIACION[[#This Row],[$ CAPITAL]]+FINANCIACION[[#This Row],[$ INTERESES]],0)</f>
        <v>500000</v>
      </c>
    </row>
    <row r="305" spans="1:11" ht="24" customHeight="1" x14ac:dyDescent="0.25">
      <c r="A305" s="138">
        <v>44853</v>
      </c>
      <c r="B305" s="139" t="s">
        <v>137</v>
      </c>
      <c r="C305" s="140">
        <v>1301911</v>
      </c>
      <c r="D305" s="140">
        <v>4884117</v>
      </c>
      <c r="E305" s="140">
        <f>+IF(FINANCIACION[[#This Row],[$ CAPITAL]]&gt;=0,FINANCIACION[[#This Row],[$ CAPITAL]]+FINANCIACION[[#This Row],[$ INTERESES]],"")</f>
        <v>6186028</v>
      </c>
      <c r="F305" s="140">
        <f>+SUMIFS(FINANCIACION[$ CAPITAL],FINANCIACION[Fecha],"&lt;="&amp;FINANCIACION[[#This Row],[Fecha]],FINANCIACION[PRESTAMO],FINANCIACION[[#This Row],[PRESTAMO]])</f>
        <v>-359871288</v>
      </c>
      <c r="G305" s="140"/>
      <c r="H305" s="141"/>
      <c r="I305" s="142"/>
      <c r="J305" s="140">
        <f>+IF(FINANCIACION[[#This Row],[$ CAPITAL]]&gt;0,FINANCIACION[[#This Row],[$ CAPITAL]])</f>
        <v>1301911</v>
      </c>
      <c r="K305" s="143">
        <f>+IF(FINANCIACION[[#This Row],[$ CAPITAL]]&gt;=0,FINANCIACION[[#This Row],[$ CAPITAL]]+FINANCIACION[[#This Row],[$ INTERESES]],0)</f>
        <v>6186028</v>
      </c>
    </row>
    <row r="306" spans="1:11" ht="24" customHeight="1" x14ac:dyDescent="0.25">
      <c r="A306" s="138">
        <v>44855</v>
      </c>
      <c r="B306" s="139" t="s">
        <v>136</v>
      </c>
      <c r="C306" s="140">
        <v>1373425</v>
      </c>
      <c r="D306" s="140">
        <v>626575</v>
      </c>
      <c r="E306" s="140">
        <f>+IF(FINANCIACION[[#This Row],[$ CAPITAL]]&gt;=0,FINANCIACION[[#This Row],[$ CAPITAL]]+FINANCIACION[[#This Row],[$ INTERESES]],"")</f>
        <v>2000000</v>
      </c>
      <c r="F306" s="140">
        <f>+SUMIFS(FINANCIACION[$ CAPITAL],FINANCIACION[Fecha],"&lt;="&amp;FINANCIACION[[#This Row],[Fecha]],FINANCIACION[PRESTAMO],FINANCIACION[[#This Row],[PRESTAMO]])</f>
        <v>-61284074.132834516</v>
      </c>
      <c r="G306" s="140"/>
      <c r="H306" s="141"/>
      <c r="I306" s="142"/>
      <c r="J306" s="140">
        <f>+IF(FINANCIACION[[#This Row],[$ CAPITAL]]&gt;0,FINANCIACION[[#This Row],[$ CAPITAL]])</f>
        <v>1373425</v>
      </c>
      <c r="K306" s="143">
        <f>+IF(FINANCIACION[[#This Row],[$ CAPITAL]]&gt;=0,FINANCIACION[[#This Row],[$ CAPITAL]]+FINANCIACION[[#This Row],[$ INTERESES]],0)</f>
        <v>2000000</v>
      </c>
    </row>
    <row r="307" spans="1:11" ht="24" customHeight="1" x14ac:dyDescent="0.25">
      <c r="A307" s="138">
        <v>44859</v>
      </c>
      <c r="B307" s="139" t="s">
        <v>239</v>
      </c>
      <c r="C307" s="140">
        <v>1481481.48</v>
      </c>
      <c r="D307" s="140">
        <v>926400.64</v>
      </c>
      <c r="E307" s="140">
        <f>+IF(FINANCIACION[[#This Row],[$ CAPITAL]]&gt;=0,FINANCIACION[[#This Row],[$ CAPITAL]]+FINANCIACION[[#This Row],[$ INTERESES]],"")</f>
        <v>2407882.12</v>
      </c>
      <c r="F307" s="140">
        <f>+SUMIFS(FINANCIACION[$ CAPITAL],FINANCIACION[Fecha],"&lt;="&amp;FINANCIACION[[#This Row],[Fecha]],FINANCIACION[PRESTAMO],FINANCIACION[[#This Row],[PRESTAMO]])</f>
        <v>-72583152.449999988</v>
      </c>
      <c r="G307" s="140"/>
      <c r="H307" s="141"/>
      <c r="I307" s="142"/>
      <c r="J307" s="140">
        <f>+IF(FINANCIACION[[#This Row],[$ CAPITAL]]&gt;0,FINANCIACION[[#This Row],[$ CAPITAL]])</f>
        <v>1481481.48</v>
      </c>
      <c r="K307" s="143">
        <f>+IF(FINANCIACION[[#This Row],[$ CAPITAL]]&gt;=0,FINANCIACION[[#This Row],[$ CAPITAL]]+FINANCIACION[[#This Row],[$ INTERESES]],0)</f>
        <v>2407882.12</v>
      </c>
    </row>
    <row r="308" spans="1:11" ht="24" customHeight="1" x14ac:dyDescent="0.25">
      <c r="A308" s="138">
        <v>44865</v>
      </c>
      <c r="B308" s="139" t="s">
        <v>236</v>
      </c>
      <c r="C308" s="140">
        <v>-2009330</v>
      </c>
      <c r="D308" s="140"/>
      <c r="E308" s="140" t="str">
        <f>+IF(FINANCIACION[[#This Row],[$ CAPITAL]]&gt;=0,FINANCIACION[[#This Row],[$ CAPITAL]]+FINANCIACION[[#This Row],[$ INTERESES]],"")</f>
        <v/>
      </c>
      <c r="F308" s="140">
        <f>+SUMIFS(FINANCIACION[$ CAPITAL],FINANCIACION[Fecha],"&lt;="&amp;FINANCIACION[[#This Row],[Fecha]],FINANCIACION[PRESTAMO],FINANCIACION[[#This Row],[PRESTAMO]])</f>
        <v>-23005500</v>
      </c>
      <c r="G308" s="140"/>
      <c r="H308" s="141" t="s">
        <v>961</v>
      </c>
      <c r="I308" s="142"/>
      <c r="J308" s="140" t="b">
        <f>+IF(FINANCIACION[[#This Row],[$ CAPITAL]]&gt;0,FINANCIACION[[#This Row],[$ CAPITAL]])</f>
        <v>0</v>
      </c>
      <c r="K308" s="143">
        <f>+IF(FINANCIACION[[#This Row],[$ CAPITAL]]&gt;=0,FINANCIACION[[#This Row],[$ CAPITAL]]+FINANCIACION[[#This Row],[$ INTERESES]],0)</f>
        <v>0</v>
      </c>
    </row>
    <row r="309" spans="1:11" ht="24" customHeight="1" x14ac:dyDescent="0.25">
      <c r="A309" s="138">
        <v>44876</v>
      </c>
      <c r="B309" s="139" t="s">
        <v>141</v>
      </c>
      <c r="C309" s="140"/>
      <c r="D309" s="140">
        <v>130000</v>
      </c>
      <c r="E309" s="140">
        <f>+IF(FINANCIACION[[#This Row],[$ CAPITAL]]&gt;=0,FINANCIACION[[#This Row],[$ CAPITAL]]+FINANCIACION[[#This Row],[$ INTERESES]],"")</f>
        <v>130000</v>
      </c>
      <c r="F309" s="140">
        <f>+SUMIFS(FINANCIACION[$ CAPITAL],FINANCIACION[Fecha],"&lt;="&amp;FINANCIACION[[#This Row],[Fecha]],FINANCIACION[PRESTAMO],FINANCIACION[[#This Row],[PRESTAMO]])</f>
        <v>-13000000</v>
      </c>
      <c r="G309" s="140"/>
      <c r="H309" s="141"/>
      <c r="I309" s="142"/>
      <c r="J309" s="140" t="b">
        <f>+IF(FINANCIACION[[#This Row],[$ CAPITAL]]&gt;0,FINANCIACION[[#This Row],[$ CAPITAL]])</f>
        <v>0</v>
      </c>
      <c r="K309" s="143">
        <f>+IF(FINANCIACION[[#This Row],[$ CAPITAL]]&gt;=0,FINANCIACION[[#This Row],[$ CAPITAL]]+FINANCIACION[[#This Row],[$ INTERESES]],0)</f>
        <v>130000</v>
      </c>
    </row>
    <row r="310" spans="1:11" ht="24" customHeight="1" x14ac:dyDescent="0.25">
      <c r="A310" s="138">
        <v>44876</v>
      </c>
      <c r="B310" s="139" t="s">
        <v>143</v>
      </c>
      <c r="C310" s="140"/>
      <c r="D310" s="140">
        <v>400000</v>
      </c>
      <c r="E310" s="140">
        <f>+IF(FINANCIACION[[#This Row],[$ CAPITAL]]&gt;=0,FINANCIACION[[#This Row],[$ CAPITAL]]+FINANCIACION[[#This Row],[$ INTERESES]],"")</f>
        <v>400000</v>
      </c>
      <c r="F310" s="140">
        <f>+SUMIFS(FINANCIACION[$ CAPITAL],FINANCIACION[Fecha],"&lt;="&amp;FINANCIACION[[#This Row],[Fecha]],FINANCIACION[PRESTAMO],FINANCIACION[[#This Row],[PRESTAMO]])</f>
        <v>-40000000</v>
      </c>
      <c r="G310" s="140"/>
      <c r="H310" s="141"/>
      <c r="I310" s="142"/>
      <c r="J310" s="140" t="b">
        <f>+IF(FINANCIACION[[#This Row],[$ CAPITAL]]&gt;0,FINANCIACION[[#This Row],[$ CAPITAL]])</f>
        <v>0</v>
      </c>
      <c r="K310" s="143">
        <f>+IF(FINANCIACION[[#This Row],[$ CAPITAL]]&gt;=0,FINANCIACION[[#This Row],[$ CAPITAL]]+FINANCIACION[[#This Row],[$ INTERESES]],0)</f>
        <v>400000</v>
      </c>
    </row>
    <row r="311" spans="1:11" ht="24" customHeight="1" x14ac:dyDescent="0.25">
      <c r="A311" s="138">
        <v>44876</v>
      </c>
      <c r="B311" s="139" t="s">
        <v>135</v>
      </c>
      <c r="C311" s="140">
        <v>2192387</v>
      </c>
      <c r="D311" s="140">
        <v>484991</v>
      </c>
      <c r="E311" s="140">
        <f>+IF(FINANCIACION[[#This Row],[$ CAPITAL]]&gt;=0,FINANCIACION[[#This Row],[$ CAPITAL]]+FINANCIACION[[#This Row],[$ INTERESES]],"")</f>
        <v>2677378</v>
      </c>
      <c r="F311" s="140">
        <f>+SUMIFS(FINANCIACION[$ CAPITAL],FINANCIACION[Fecha],"&lt;="&amp;FINANCIACION[[#This Row],[Fecha]],FINANCIACION[PRESTAMO],FINANCIACION[[#This Row],[PRESTAMO]])</f>
        <v>-46306678.484479994</v>
      </c>
      <c r="G311" s="140"/>
      <c r="H311" s="141"/>
      <c r="I311" s="142"/>
      <c r="J311" s="140">
        <f>+IF(FINANCIACION[[#This Row],[$ CAPITAL]]&gt;0,FINANCIACION[[#This Row],[$ CAPITAL]])</f>
        <v>2192387</v>
      </c>
      <c r="K311" s="143">
        <f>+IF(FINANCIACION[[#This Row],[$ CAPITAL]]&gt;=0,FINANCIACION[[#This Row],[$ CAPITAL]]+FINANCIACION[[#This Row],[$ INTERESES]],0)</f>
        <v>2677378</v>
      </c>
    </row>
    <row r="312" spans="1:11" ht="24" customHeight="1" x14ac:dyDescent="0.25">
      <c r="A312" s="138">
        <v>44876</v>
      </c>
      <c r="B312" s="139" t="s">
        <v>138</v>
      </c>
      <c r="C312" s="140">
        <v>845000</v>
      </c>
      <c r="D312" s="140">
        <v>455000</v>
      </c>
      <c r="E312" s="140">
        <f>+IF(FINANCIACION[[#This Row],[$ CAPITAL]]&gt;=0,FINANCIACION[[#This Row],[$ CAPITAL]]+FINANCIACION[[#This Row],[$ INTERESES]],"")</f>
        <v>1300000</v>
      </c>
      <c r="F312" s="140">
        <f>+SUMIFS(FINANCIACION[$ CAPITAL],FINANCIACION[Fecha],"&lt;="&amp;FINANCIACION[[#This Row],[Fecha]],FINANCIACION[PRESTAMO],FINANCIACION[[#This Row],[PRESTAMO]])</f>
        <v>-44684022.199762128</v>
      </c>
      <c r="G312" s="140"/>
      <c r="H312" s="141"/>
      <c r="I312" s="142"/>
      <c r="J312" s="140">
        <f>+IF(FINANCIACION[[#This Row],[$ CAPITAL]]&gt;0,FINANCIACION[[#This Row],[$ CAPITAL]])</f>
        <v>845000</v>
      </c>
      <c r="K312" s="143">
        <f>+IF(FINANCIACION[[#This Row],[$ CAPITAL]]&gt;=0,FINANCIACION[[#This Row],[$ CAPITAL]]+FINANCIACION[[#This Row],[$ INTERESES]],0)</f>
        <v>1300000</v>
      </c>
    </row>
    <row r="313" spans="1:11" ht="24" customHeight="1" x14ac:dyDescent="0.25">
      <c r="A313" s="138">
        <v>44876</v>
      </c>
      <c r="B313" s="139" t="s">
        <v>136</v>
      </c>
      <c r="C313" s="140">
        <v>1387159</v>
      </c>
      <c r="D313" s="140">
        <v>612841</v>
      </c>
      <c r="E313" s="140">
        <f>+IF(FINANCIACION[[#This Row],[$ CAPITAL]]&gt;=0,FINANCIACION[[#This Row],[$ CAPITAL]]+FINANCIACION[[#This Row],[$ INTERESES]],"")</f>
        <v>2000000</v>
      </c>
      <c r="F313" s="140">
        <f>+SUMIFS(FINANCIACION[$ CAPITAL],FINANCIACION[Fecha],"&lt;="&amp;FINANCIACION[[#This Row],[Fecha]],FINANCIACION[PRESTAMO],FINANCIACION[[#This Row],[PRESTAMO]])</f>
        <v>-59896915.132834516</v>
      </c>
      <c r="G313" s="140"/>
      <c r="H313" s="141"/>
      <c r="I313" s="142"/>
      <c r="J313" s="140">
        <f>+IF(FINANCIACION[[#This Row],[$ CAPITAL]]&gt;0,FINANCIACION[[#This Row],[$ CAPITAL]])</f>
        <v>1387159</v>
      </c>
      <c r="K313" s="143">
        <f>+IF(FINANCIACION[[#This Row],[$ CAPITAL]]&gt;=0,FINANCIACION[[#This Row],[$ CAPITAL]]+FINANCIACION[[#This Row],[$ INTERESES]],0)</f>
        <v>2000000</v>
      </c>
    </row>
    <row r="314" spans="1:11" ht="24" customHeight="1" x14ac:dyDescent="0.25">
      <c r="A314" s="138">
        <v>44876</v>
      </c>
      <c r="B314" s="139" t="s">
        <v>146</v>
      </c>
      <c r="C314" s="140"/>
      <c r="D314" s="140">
        <v>750000</v>
      </c>
      <c r="E314" s="140">
        <f>+IF(FINANCIACION[[#This Row],[$ CAPITAL]]&gt;=0,FINANCIACION[[#This Row],[$ CAPITAL]]+FINANCIACION[[#This Row],[$ INTERESES]],"")</f>
        <v>750000</v>
      </c>
      <c r="F314" s="140">
        <f>+SUMIFS(FINANCIACION[$ CAPITAL],FINANCIACION[Fecha],"&lt;="&amp;FINANCIACION[[#This Row],[Fecha]],FINANCIACION[PRESTAMO],FINANCIACION[[#This Row],[PRESTAMO]])</f>
        <v>-75000000</v>
      </c>
      <c r="G314" s="140"/>
      <c r="H314" s="141"/>
      <c r="I314" s="142"/>
      <c r="J314" s="140" t="b">
        <f>+IF(FINANCIACION[[#This Row],[$ CAPITAL]]&gt;0,FINANCIACION[[#This Row],[$ CAPITAL]])</f>
        <v>0</v>
      </c>
      <c r="K314" s="143">
        <f>+IF(FINANCIACION[[#This Row],[$ CAPITAL]]&gt;=0,FINANCIACION[[#This Row],[$ CAPITAL]]+FINANCIACION[[#This Row],[$ INTERESES]],0)</f>
        <v>750000</v>
      </c>
    </row>
    <row r="315" spans="1:11" ht="24" customHeight="1" x14ac:dyDescent="0.25">
      <c r="A315" s="138">
        <v>44884</v>
      </c>
      <c r="B315" s="139" t="s">
        <v>137</v>
      </c>
      <c r="C315" s="140">
        <v>1161336</v>
      </c>
      <c r="D315" s="140">
        <v>5945012</v>
      </c>
      <c r="E315" s="140">
        <f>+IF(FINANCIACION[[#This Row],[$ CAPITAL]]&gt;=0,FINANCIACION[[#This Row],[$ CAPITAL]]+FINANCIACION[[#This Row],[$ INTERESES]],"")</f>
        <v>7106348</v>
      </c>
      <c r="F315" s="140">
        <f>+SUMIFS(FINANCIACION[$ CAPITAL],FINANCIACION[Fecha],"&lt;="&amp;FINANCIACION[[#This Row],[Fecha]],FINANCIACION[PRESTAMO],FINANCIACION[[#This Row],[PRESTAMO]])</f>
        <v>-358709952</v>
      </c>
      <c r="G315" s="140"/>
      <c r="H315" s="141"/>
      <c r="I315" s="142"/>
      <c r="J315" s="140">
        <f>+IF(FINANCIACION[[#This Row],[$ CAPITAL]]&gt;0,FINANCIACION[[#This Row],[$ CAPITAL]])</f>
        <v>1161336</v>
      </c>
      <c r="K315" s="143">
        <f>+IF(FINANCIACION[[#This Row],[$ CAPITAL]]&gt;=0,FINANCIACION[[#This Row],[$ CAPITAL]]+FINANCIACION[[#This Row],[$ INTERESES]],0)</f>
        <v>7106348</v>
      </c>
    </row>
    <row r="316" spans="1:11" ht="24" customHeight="1" x14ac:dyDescent="0.25">
      <c r="A316" s="138">
        <v>44890</v>
      </c>
      <c r="B316" s="139" t="s">
        <v>239</v>
      </c>
      <c r="C316" s="140">
        <v>1481314</v>
      </c>
      <c r="D316" s="140">
        <v>944686</v>
      </c>
      <c r="E316" s="140">
        <f>+IF(FINANCIACION[[#This Row],[$ CAPITAL]]&gt;=0,FINANCIACION[[#This Row],[$ CAPITAL]]+FINANCIACION[[#This Row],[$ INTERESES]],"")</f>
        <v>2426000</v>
      </c>
      <c r="F316" s="140">
        <f>+SUMIFS(FINANCIACION[$ CAPITAL],FINANCIACION[Fecha],"&lt;="&amp;FINANCIACION[[#This Row],[Fecha]],FINANCIACION[PRESTAMO],FINANCIACION[[#This Row],[PRESTAMO]])</f>
        <v>-71101838.449999988</v>
      </c>
      <c r="G316" s="140"/>
      <c r="H316" s="141"/>
      <c r="I316" s="142"/>
      <c r="J316" s="140">
        <f>+IF(FINANCIACION[[#This Row],[$ CAPITAL]]&gt;0,FINANCIACION[[#This Row],[$ CAPITAL]])</f>
        <v>1481314</v>
      </c>
      <c r="K316" s="143">
        <f>+IF(FINANCIACION[[#This Row],[$ CAPITAL]]&gt;=0,FINANCIACION[[#This Row],[$ CAPITAL]]+FINANCIACION[[#This Row],[$ INTERESES]],0)</f>
        <v>2426000</v>
      </c>
    </row>
    <row r="317" spans="1:11" ht="24" customHeight="1" x14ac:dyDescent="0.25">
      <c r="A317" s="138">
        <v>44909</v>
      </c>
      <c r="B317" s="139" t="s">
        <v>141</v>
      </c>
      <c r="C317" s="140"/>
      <c r="D317" s="140">
        <v>130000</v>
      </c>
      <c r="E317" s="140">
        <f>+IF(FINANCIACION[[#This Row],[$ CAPITAL]]&gt;=0,FINANCIACION[[#This Row],[$ CAPITAL]]+FINANCIACION[[#This Row],[$ INTERESES]],"")</f>
        <v>130000</v>
      </c>
      <c r="F317" s="140">
        <f>+SUMIFS(FINANCIACION[$ CAPITAL],FINANCIACION[Fecha],"&lt;="&amp;FINANCIACION[[#This Row],[Fecha]],FINANCIACION[PRESTAMO],FINANCIACION[[#This Row],[PRESTAMO]])</f>
        <v>-13000000</v>
      </c>
      <c r="G317" s="140"/>
      <c r="H317" s="141"/>
      <c r="I317" s="142"/>
      <c r="J317" s="140" t="b">
        <f>+IF(FINANCIACION[[#This Row],[$ CAPITAL]]&gt;0,FINANCIACION[[#This Row],[$ CAPITAL]])</f>
        <v>0</v>
      </c>
      <c r="K317" s="143">
        <f>+IF(FINANCIACION[[#This Row],[$ CAPITAL]]&gt;=0,FINANCIACION[[#This Row],[$ CAPITAL]]+FINANCIACION[[#This Row],[$ INTERESES]],0)</f>
        <v>130000</v>
      </c>
    </row>
    <row r="318" spans="1:11" ht="24" customHeight="1" x14ac:dyDescent="0.25">
      <c r="A318" s="138">
        <v>44909</v>
      </c>
      <c r="B318" s="139" t="s">
        <v>143</v>
      </c>
      <c r="C318" s="140"/>
      <c r="D318" s="140">
        <v>400000</v>
      </c>
      <c r="E318" s="140">
        <f>+IF(FINANCIACION[[#This Row],[$ CAPITAL]]&gt;=0,FINANCIACION[[#This Row],[$ CAPITAL]]+FINANCIACION[[#This Row],[$ INTERESES]],"")</f>
        <v>400000</v>
      </c>
      <c r="F318" s="140">
        <f>+SUMIFS(FINANCIACION[$ CAPITAL],FINANCIACION[Fecha],"&lt;="&amp;FINANCIACION[[#This Row],[Fecha]],FINANCIACION[PRESTAMO],FINANCIACION[[#This Row],[PRESTAMO]])</f>
        <v>-40000000</v>
      </c>
      <c r="G318" s="140"/>
      <c r="H318" s="141"/>
      <c r="I318" s="142"/>
      <c r="J318" s="140" t="b">
        <f>+IF(FINANCIACION[[#This Row],[$ CAPITAL]]&gt;0,FINANCIACION[[#This Row],[$ CAPITAL]])</f>
        <v>0</v>
      </c>
      <c r="K318" s="143">
        <f>+IF(FINANCIACION[[#This Row],[$ CAPITAL]]&gt;=0,FINANCIACION[[#This Row],[$ CAPITAL]]+FINANCIACION[[#This Row],[$ INTERESES]],0)</f>
        <v>400000</v>
      </c>
    </row>
    <row r="319" spans="1:11" ht="24" customHeight="1" x14ac:dyDescent="0.25">
      <c r="A319" s="138">
        <v>44909</v>
      </c>
      <c r="B319" s="139" t="s">
        <v>135</v>
      </c>
      <c r="C319" s="140">
        <v>2214311</v>
      </c>
      <c r="D319" s="140">
        <v>463067</v>
      </c>
      <c r="E319" s="140">
        <f>+IF(FINANCIACION[[#This Row],[$ CAPITAL]]&gt;=0,FINANCIACION[[#This Row],[$ CAPITAL]]+FINANCIACION[[#This Row],[$ INTERESES]],"")</f>
        <v>2677378</v>
      </c>
      <c r="F319" s="140">
        <f>+SUMIFS(FINANCIACION[$ CAPITAL],FINANCIACION[Fecha],"&lt;="&amp;FINANCIACION[[#This Row],[Fecha]],FINANCIACION[PRESTAMO],FINANCIACION[[#This Row],[PRESTAMO]])</f>
        <v>-44092367.484479994</v>
      </c>
      <c r="G319" s="140"/>
      <c r="H319" s="141"/>
      <c r="I319" s="142"/>
      <c r="J319" s="140">
        <f>+IF(FINANCIACION[[#This Row],[$ CAPITAL]]&gt;0,FINANCIACION[[#This Row],[$ CAPITAL]])</f>
        <v>2214311</v>
      </c>
      <c r="K319" s="143">
        <f>+IF(FINANCIACION[[#This Row],[$ CAPITAL]]&gt;=0,FINANCIACION[[#This Row],[$ CAPITAL]]+FINANCIACION[[#This Row],[$ INTERESES]],0)</f>
        <v>2677378</v>
      </c>
    </row>
    <row r="320" spans="1:11" ht="24" customHeight="1" x14ac:dyDescent="0.25">
      <c r="A320" s="138">
        <v>44909</v>
      </c>
      <c r="B320" s="139" t="s">
        <v>138</v>
      </c>
      <c r="C320" s="140">
        <v>853160</v>
      </c>
      <c r="D320" s="140">
        <v>446840</v>
      </c>
      <c r="E320" s="140">
        <f>+IF(FINANCIACION[[#This Row],[$ CAPITAL]]&gt;=0,FINANCIACION[[#This Row],[$ CAPITAL]]+FINANCIACION[[#This Row],[$ INTERESES]],"")</f>
        <v>1300000</v>
      </c>
      <c r="F320" s="140">
        <f>+SUMIFS(FINANCIACION[$ CAPITAL],FINANCIACION[Fecha],"&lt;="&amp;FINANCIACION[[#This Row],[Fecha]],FINANCIACION[PRESTAMO],FINANCIACION[[#This Row],[PRESTAMO]])</f>
        <v>-43830862.199762128</v>
      </c>
      <c r="G320" s="140"/>
      <c r="H320" s="141"/>
      <c r="I320" s="142"/>
      <c r="J320" s="140">
        <f>+IF(FINANCIACION[[#This Row],[$ CAPITAL]]&gt;0,FINANCIACION[[#This Row],[$ CAPITAL]])</f>
        <v>853160</v>
      </c>
      <c r="K320" s="143">
        <f>+IF(FINANCIACION[[#This Row],[$ CAPITAL]]&gt;=0,FINANCIACION[[#This Row],[$ CAPITAL]]+FINANCIACION[[#This Row],[$ INTERESES]],0)</f>
        <v>1300000</v>
      </c>
    </row>
    <row r="321" spans="1:11" ht="24" customHeight="1" x14ac:dyDescent="0.25">
      <c r="A321" s="138">
        <v>44909</v>
      </c>
      <c r="B321" s="139" t="s">
        <v>136</v>
      </c>
      <c r="C321" s="140">
        <v>1401030</v>
      </c>
      <c r="D321" s="140">
        <v>598970</v>
      </c>
      <c r="E321" s="140">
        <f>+IF(FINANCIACION[[#This Row],[$ CAPITAL]]&gt;=0,FINANCIACION[[#This Row],[$ CAPITAL]]+FINANCIACION[[#This Row],[$ INTERESES]],"")</f>
        <v>2000000</v>
      </c>
      <c r="F321" s="140">
        <f>+SUMIFS(FINANCIACION[$ CAPITAL],FINANCIACION[Fecha],"&lt;="&amp;FINANCIACION[[#This Row],[Fecha]],FINANCIACION[PRESTAMO],FINANCIACION[[#This Row],[PRESTAMO]])</f>
        <v>-58495885.132834516</v>
      </c>
      <c r="G321" s="140"/>
      <c r="H321" s="141"/>
      <c r="I321" s="142"/>
      <c r="J321" s="140">
        <f>+IF(FINANCIACION[[#This Row],[$ CAPITAL]]&gt;0,FINANCIACION[[#This Row],[$ CAPITAL]])</f>
        <v>1401030</v>
      </c>
      <c r="K321" s="143">
        <f>+IF(FINANCIACION[[#This Row],[$ CAPITAL]]&gt;=0,FINANCIACION[[#This Row],[$ CAPITAL]]+FINANCIACION[[#This Row],[$ INTERESES]],0)</f>
        <v>2000000</v>
      </c>
    </row>
    <row r="322" spans="1:11" ht="24" customHeight="1" x14ac:dyDescent="0.25">
      <c r="A322" s="138">
        <v>44909</v>
      </c>
      <c r="B322" s="139" t="s">
        <v>146</v>
      </c>
      <c r="C322" s="140"/>
      <c r="D322" s="140">
        <v>750000</v>
      </c>
      <c r="E322" s="140">
        <f>+IF(FINANCIACION[[#This Row],[$ CAPITAL]]&gt;=0,FINANCIACION[[#This Row],[$ CAPITAL]]+FINANCIACION[[#This Row],[$ INTERESES]],"")</f>
        <v>750000</v>
      </c>
      <c r="F322" s="140">
        <f>+SUMIFS(FINANCIACION[$ CAPITAL],FINANCIACION[Fecha],"&lt;="&amp;FINANCIACION[[#This Row],[Fecha]],FINANCIACION[PRESTAMO],FINANCIACION[[#This Row],[PRESTAMO]])</f>
        <v>-75000000</v>
      </c>
      <c r="G322" s="140"/>
      <c r="H322" s="141"/>
      <c r="I322" s="142"/>
      <c r="J322" s="140" t="b">
        <f>+IF(FINANCIACION[[#This Row],[$ CAPITAL]]&gt;0,FINANCIACION[[#This Row],[$ CAPITAL]])</f>
        <v>0</v>
      </c>
      <c r="K322" s="143">
        <f>+IF(FINANCIACION[[#This Row],[$ CAPITAL]]&gt;=0,FINANCIACION[[#This Row],[$ CAPITAL]]+FINANCIACION[[#This Row],[$ INTERESES]],0)</f>
        <v>750000</v>
      </c>
    </row>
    <row r="323" spans="1:11" ht="24" customHeight="1" x14ac:dyDescent="0.25">
      <c r="A323" s="138">
        <v>44911</v>
      </c>
      <c r="B323" s="139" t="s">
        <v>137</v>
      </c>
      <c r="C323" s="140">
        <v>1179230</v>
      </c>
      <c r="D323" s="140">
        <v>4989908</v>
      </c>
      <c r="E323" s="140">
        <f>+IF(FINANCIACION[[#This Row],[$ CAPITAL]]&gt;=0,FINANCIACION[[#This Row],[$ CAPITAL]]+FINANCIACION[[#This Row],[$ INTERESES]],"")</f>
        <v>6169138</v>
      </c>
      <c r="F323" s="140">
        <f>+SUMIFS(FINANCIACION[$ CAPITAL],FINANCIACION[Fecha],"&lt;="&amp;FINANCIACION[[#This Row],[Fecha]],FINANCIACION[PRESTAMO],FINANCIACION[[#This Row],[PRESTAMO]])</f>
        <v>-357530722</v>
      </c>
      <c r="G323" s="140"/>
      <c r="H323" s="141"/>
      <c r="I323" s="142"/>
      <c r="J323" s="140">
        <f>+IF(FINANCIACION[[#This Row],[$ CAPITAL]]&gt;0,FINANCIACION[[#This Row],[$ CAPITAL]])</f>
        <v>1179230</v>
      </c>
      <c r="K323" s="143">
        <f>+IF(FINANCIACION[[#This Row],[$ CAPITAL]]&gt;=0,FINANCIACION[[#This Row],[$ CAPITAL]]+FINANCIACION[[#This Row],[$ INTERESES]],0)</f>
        <v>6169138</v>
      </c>
    </row>
    <row r="324" spans="1:11" ht="24" customHeight="1" x14ac:dyDescent="0.25">
      <c r="A324" s="138">
        <v>44915</v>
      </c>
      <c r="B324" s="139" t="s">
        <v>139</v>
      </c>
      <c r="C324" s="140"/>
      <c r="D324" s="140">
        <v>9000000</v>
      </c>
      <c r="E324" s="140">
        <f>+IF(FINANCIACION[[#This Row],[$ CAPITAL]]&gt;=0,FINANCIACION[[#This Row],[$ CAPITAL]]+FINANCIACION[[#This Row],[$ INTERESES]],"")</f>
        <v>9000000</v>
      </c>
      <c r="F324" s="140">
        <f>+SUMIFS(FINANCIACION[$ CAPITAL],FINANCIACION[Fecha],"&lt;="&amp;FINANCIACION[[#This Row],[Fecha]],FINANCIACION[PRESTAMO],FINANCIACION[[#This Row],[PRESTAMO]])</f>
        <v>-75000000</v>
      </c>
      <c r="G324" s="140"/>
      <c r="H324" s="141"/>
      <c r="I324" s="142"/>
      <c r="J324" s="140" t="b">
        <f>+IF(FINANCIACION[[#This Row],[$ CAPITAL]]&gt;0,FINANCIACION[[#This Row],[$ CAPITAL]])</f>
        <v>0</v>
      </c>
      <c r="K324" s="143">
        <f>+IF(FINANCIACION[[#This Row],[$ CAPITAL]]&gt;=0,FINANCIACION[[#This Row],[$ CAPITAL]]+FINANCIACION[[#This Row],[$ INTERESES]],0)</f>
        <v>9000000</v>
      </c>
    </row>
    <row r="325" spans="1:11" ht="24" customHeight="1" x14ac:dyDescent="0.25">
      <c r="A325" s="138">
        <v>44918</v>
      </c>
      <c r="B325" s="139" t="s">
        <v>239</v>
      </c>
      <c r="C325" s="140">
        <v>1536477</v>
      </c>
      <c r="D325" s="140">
        <v>932563</v>
      </c>
      <c r="E325" s="140">
        <f>+IF(FINANCIACION[[#This Row],[$ CAPITAL]]&gt;=0,FINANCIACION[[#This Row],[$ CAPITAL]]+FINANCIACION[[#This Row],[$ INTERESES]],"")</f>
        <v>2469040</v>
      </c>
      <c r="F325" s="140">
        <f>+SUMIFS(FINANCIACION[$ CAPITAL],FINANCIACION[Fecha],"&lt;="&amp;FINANCIACION[[#This Row],[Fecha]],FINANCIACION[PRESTAMO],FINANCIACION[[#This Row],[PRESTAMO]])</f>
        <v>-69565361.449999988</v>
      </c>
      <c r="G325" s="140"/>
      <c r="H325" s="141"/>
      <c r="I325" s="142"/>
      <c r="J325" s="140">
        <f>+IF(FINANCIACION[[#This Row],[$ CAPITAL]]&gt;0,FINANCIACION[[#This Row],[$ CAPITAL]])</f>
        <v>1536477</v>
      </c>
      <c r="K325" s="143">
        <f>+IF(FINANCIACION[[#This Row],[$ CAPITAL]]&gt;=0,FINANCIACION[[#This Row],[$ CAPITAL]]+FINANCIACION[[#This Row],[$ INTERESES]],0)</f>
        <v>2469040</v>
      </c>
    </row>
    <row r="326" spans="1:11" ht="24" customHeight="1" x14ac:dyDescent="0.25">
      <c r="A326" s="138">
        <v>44925</v>
      </c>
      <c r="B326" s="139" t="s">
        <v>136</v>
      </c>
      <c r="C326" s="140">
        <v>1415041</v>
      </c>
      <c r="D326" s="140">
        <v>584959</v>
      </c>
      <c r="E326" s="140">
        <f>+IF(FINANCIACION[[#This Row],[$ CAPITAL]]&gt;=0,FINANCIACION[[#This Row],[$ CAPITAL]]+FINANCIACION[[#This Row],[$ INTERESES]],"")</f>
        <v>2000000</v>
      </c>
      <c r="F326" s="140">
        <f>+SUMIFS(FINANCIACION[$ CAPITAL],FINANCIACION[Fecha],"&lt;="&amp;FINANCIACION[[#This Row],[Fecha]],FINANCIACION[PRESTAMO],FINANCIACION[[#This Row],[PRESTAMO]])</f>
        <v>-57080844.132834516</v>
      </c>
      <c r="G326" s="140"/>
      <c r="H326" s="141"/>
      <c r="I326" s="142"/>
      <c r="J326" s="140">
        <f>+IF(FINANCIACION[[#This Row],[$ CAPITAL]]&gt;0,FINANCIACION[[#This Row],[$ CAPITAL]])</f>
        <v>1415041</v>
      </c>
      <c r="K326" s="143">
        <f>+IF(FINANCIACION[[#This Row],[$ CAPITAL]]&gt;=0,FINANCIACION[[#This Row],[$ CAPITAL]]+FINANCIACION[[#This Row],[$ INTERESES]],0)</f>
        <v>2000000</v>
      </c>
    </row>
    <row r="327" spans="1:11" ht="24" customHeight="1" x14ac:dyDescent="0.25">
      <c r="A327" s="138">
        <v>44926</v>
      </c>
      <c r="B327" s="139" t="s">
        <v>236</v>
      </c>
      <c r="C327" s="140">
        <v>22192100</v>
      </c>
      <c r="D327" s="140"/>
      <c r="E327" s="140">
        <f>+IF(FINANCIACION[[#This Row],[$ CAPITAL]]&gt;=0,FINANCIACION[[#This Row],[$ CAPITAL]]+FINANCIACION[[#This Row],[$ INTERESES]],"")</f>
        <v>22192100</v>
      </c>
      <c r="F327" s="140">
        <f>+SUMIFS(FINANCIACION[$ CAPITAL],FINANCIACION[Fecha],"&lt;="&amp;FINANCIACION[[#This Row],[Fecha]],FINANCIACION[PRESTAMO],FINANCIACION[[#This Row],[PRESTAMO]])</f>
        <v>-813400</v>
      </c>
      <c r="G327" s="140"/>
      <c r="H327" s="141"/>
      <c r="I327" s="142"/>
      <c r="J327" s="140">
        <f>+IF(FINANCIACION[[#This Row],[$ CAPITAL]]&gt;0,FINANCIACION[[#This Row],[$ CAPITAL]])</f>
        <v>22192100</v>
      </c>
      <c r="K327" s="143">
        <f>+IF(FINANCIACION[[#This Row],[$ CAPITAL]]&gt;=0,FINANCIACION[[#This Row],[$ CAPITAL]]+FINANCIACION[[#This Row],[$ INTERESES]],0)</f>
        <v>22192100</v>
      </c>
    </row>
    <row r="328" spans="1:11" ht="24" customHeight="1" x14ac:dyDescent="0.25">
      <c r="A328" s="138">
        <v>44927</v>
      </c>
      <c r="B328" s="139" t="s">
        <v>238</v>
      </c>
      <c r="C328" s="140">
        <v>442515</v>
      </c>
      <c r="D328" s="140"/>
      <c r="E328" s="140">
        <f>+IF(FINANCIACION[[#This Row],[$ CAPITAL]]&gt;=0,FINANCIACION[[#This Row],[$ CAPITAL]]+FINANCIACION[[#This Row],[$ INTERESES]],"")</f>
        <v>442515</v>
      </c>
      <c r="F328" s="140">
        <f>+SUMIFS(FINANCIACION[$ CAPITAL],FINANCIACION[Fecha],"&lt;="&amp;FINANCIACION[[#This Row],[Fecha]],FINANCIACION[PRESTAMO],FINANCIACION[[#This Row],[PRESTAMO]])</f>
        <v>442515</v>
      </c>
      <c r="G328" s="140"/>
      <c r="H328" s="141" t="s">
        <v>72</v>
      </c>
      <c r="I328" s="142"/>
      <c r="J328" s="140">
        <f>+IF(FINANCIACION[[#This Row],[$ CAPITAL]]&gt;0,FINANCIACION[[#This Row],[$ CAPITAL]])</f>
        <v>442515</v>
      </c>
      <c r="K328" s="143">
        <f>+IF(FINANCIACION[[#This Row],[$ CAPITAL]]&gt;=0,FINANCIACION[[#This Row],[$ CAPITAL]]+FINANCIACION[[#This Row],[$ INTERESES]],0)</f>
        <v>442515</v>
      </c>
    </row>
    <row r="329" spans="1:11" ht="24" customHeight="1" x14ac:dyDescent="0.25">
      <c r="A329" s="138">
        <v>44927</v>
      </c>
      <c r="B329" s="139" t="s">
        <v>237</v>
      </c>
      <c r="C329" s="140">
        <v>-4645382</v>
      </c>
      <c r="D329" s="140"/>
      <c r="E329" s="140" t="str">
        <f>+IF(FINANCIACION[[#This Row],[$ CAPITAL]]&gt;=0,FINANCIACION[[#This Row],[$ CAPITAL]]+FINANCIACION[[#This Row],[$ INTERESES]],"")</f>
        <v/>
      </c>
      <c r="F329" s="140">
        <f>+SUMIFS(FINANCIACION[$ CAPITAL],FINANCIACION[Fecha],"&lt;="&amp;FINANCIACION[[#This Row],[Fecha]],FINANCIACION[PRESTAMO],FINANCIACION[[#This Row],[PRESTAMO]])</f>
        <v>-4645382</v>
      </c>
      <c r="G329" s="140"/>
      <c r="H329" s="141" t="s">
        <v>72</v>
      </c>
      <c r="I329" s="142"/>
      <c r="J329" s="140" t="b">
        <f>+IF(FINANCIACION[[#This Row],[$ CAPITAL]]&gt;0,FINANCIACION[[#This Row],[$ CAPITAL]])</f>
        <v>0</v>
      </c>
      <c r="K329" s="143">
        <f>+IF(FINANCIACION[[#This Row],[$ CAPITAL]]&gt;=0,FINANCIACION[[#This Row],[$ CAPITAL]]+FINANCIACION[[#This Row],[$ INTERESES]],0)</f>
        <v>0</v>
      </c>
    </row>
    <row r="330" spans="1:11" ht="24" customHeight="1" x14ac:dyDescent="0.25">
      <c r="A330" s="138">
        <v>44928</v>
      </c>
      <c r="B330" s="139" t="s">
        <v>139</v>
      </c>
      <c r="C330" s="140"/>
      <c r="D330" s="140">
        <v>197070</v>
      </c>
      <c r="E330" s="140">
        <f>+IF(FINANCIACION[[#This Row],[$ CAPITAL]]&gt;=0,FINANCIACION[[#This Row],[$ CAPITAL]]+FINANCIACION[[#This Row],[$ INTERESES]],"")</f>
        <v>197070</v>
      </c>
      <c r="F330" s="140">
        <f>+SUMIFS(FINANCIACION[$ CAPITAL],FINANCIACION[Fecha],"&lt;="&amp;FINANCIACION[[#This Row],[Fecha]],FINANCIACION[PRESTAMO],FINANCIACION[[#This Row],[PRESTAMO]])</f>
        <v>-75000000</v>
      </c>
      <c r="G330" s="140"/>
      <c r="H330" s="141" t="s">
        <v>917</v>
      </c>
      <c r="I330" s="142"/>
      <c r="J330" s="140" t="b">
        <f>+IF(FINANCIACION[[#This Row],[$ CAPITAL]]&gt;0,FINANCIACION[[#This Row],[$ CAPITAL]])</f>
        <v>0</v>
      </c>
      <c r="K330" s="143">
        <f>+IF(FINANCIACION[[#This Row],[$ CAPITAL]]&gt;=0,FINANCIACION[[#This Row],[$ CAPITAL]]+FINANCIACION[[#This Row],[$ INTERESES]],0)</f>
        <v>197070</v>
      </c>
    </row>
    <row r="331" spans="1:11" ht="24" customHeight="1" x14ac:dyDescent="0.25">
      <c r="A331" s="138">
        <v>44938</v>
      </c>
      <c r="B331" s="139" t="s">
        <v>141</v>
      </c>
      <c r="C331" s="140"/>
      <c r="D331" s="140">
        <v>130000</v>
      </c>
      <c r="E331" s="140">
        <f>+IF(FINANCIACION[[#This Row],[$ CAPITAL]]&gt;=0,FINANCIACION[[#This Row],[$ CAPITAL]]+FINANCIACION[[#This Row],[$ INTERESES]],"")</f>
        <v>130000</v>
      </c>
      <c r="F331" s="140">
        <f>+SUMIFS(FINANCIACION[$ CAPITAL],FINANCIACION[Fecha],"&lt;="&amp;FINANCIACION[[#This Row],[Fecha]],FINANCIACION[PRESTAMO],FINANCIACION[[#This Row],[PRESTAMO]])</f>
        <v>-13000000</v>
      </c>
      <c r="G331" s="140"/>
      <c r="H331" s="141"/>
      <c r="I331" s="142"/>
      <c r="J331" s="140" t="b">
        <f>+IF(FINANCIACION[[#This Row],[$ CAPITAL]]&gt;0,FINANCIACION[[#This Row],[$ CAPITAL]])</f>
        <v>0</v>
      </c>
      <c r="K331" s="143">
        <f>+IF(FINANCIACION[[#This Row],[$ CAPITAL]]&gt;=0,FINANCIACION[[#This Row],[$ CAPITAL]]+FINANCIACION[[#This Row],[$ INTERESES]],0)</f>
        <v>130000</v>
      </c>
    </row>
    <row r="332" spans="1:11" ht="24" customHeight="1" x14ac:dyDescent="0.25">
      <c r="A332" s="138">
        <v>44938</v>
      </c>
      <c r="B332" s="139" t="s">
        <v>143</v>
      </c>
      <c r="C332" s="140"/>
      <c r="D332" s="140">
        <v>400000</v>
      </c>
      <c r="E332" s="140">
        <f>+IF(FINANCIACION[[#This Row],[$ CAPITAL]]&gt;=0,FINANCIACION[[#This Row],[$ CAPITAL]]+FINANCIACION[[#This Row],[$ INTERESES]],"")</f>
        <v>400000</v>
      </c>
      <c r="F332" s="140">
        <f>+SUMIFS(FINANCIACION[$ CAPITAL],FINANCIACION[Fecha],"&lt;="&amp;FINANCIACION[[#This Row],[Fecha]],FINANCIACION[PRESTAMO],FINANCIACION[[#This Row],[PRESTAMO]])</f>
        <v>-40000000</v>
      </c>
      <c r="G332" s="140"/>
      <c r="H332" s="141"/>
      <c r="I332" s="142"/>
      <c r="J332" s="140" t="b">
        <f>+IF(FINANCIACION[[#This Row],[$ CAPITAL]]&gt;0,FINANCIACION[[#This Row],[$ CAPITAL]])</f>
        <v>0</v>
      </c>
      <c r="K332" s="143">
        <f>+IF(FINANCIACION[[#This Row],[$ CAPITAL]]&gt;=0,FINANCIACION[[#This Row],[$ CAPITAL]]+FINANCIACION[[#This Row],[$ INTERESES]],0)</f>
        <v>400000</v>
      </c>
    </row>
    <row r="333" spans="1:11" ht="24" customHeight="1" x14ac:dyDescent="0.25">
      <c r="A333" s="138">
        <v>44938</v>
      </c>
      <c r="B333" s="139" t="s">
        <v>135</v>
      </c>
      <c r="C333" s="140">
        <v>2236454</v>
      </c>
      <c r="D333" s="140">
        <v>440924</v>
      </c>
      <c r="E333" s="140">
        <f>+IF(FINANCIACION[[#This Row],[$ CAPITAL]]&gt;=0,FINANCIACION[[#This Row],[$ CAPITAL]]+FINANCIACION[[#This Row],[$ INTERESES]],"")</f>
        <v>2677378</v>
      </c>
      <c r="F333" s="140">
        <f>+SUMIFS(FINANCIACION[$ CAPITAL],FINANCIACION[Fecha],"&lt;="&amp;FINANCIACION[[#This Row],[Fecha]],FINANCIACION[PRESTAMO],FINANCIACION[[#This Row],[PRESTAMO]])</f>
        <v>-41855913.484479994</v>
      </c>
      <c r="G333" s="140"/>
      <c r="H333" s="141"/>
      <c r="I333" s="142"/>
      <c r="J333" s="140">
        <f>+IF(FINANCIACION[[#This Row],[$ CAPITAL]]&gt;0,FINANCIACION[[#This Row],[$ CAPITAL]])</f>
        <v>2236454</v>
      </c>
      <c r="K333" s="143">
        <f>+IF(FINANCIACION[[#This Row],[$ CAPITAL]]&gt;=0,FINANCIACION[[#This Row],[$ CAPITAL]]+FINANCIACION[[#This Row],[$ INTERESES]],0)</f>
        <v>2677378</v>
      </c>
    </row>
    <row r="334" spans="1:11" ht="24" customHeight="1" x14ac:dyDescent="0.25">
      <c r="A334" s="138">
        <v>44938</v>
      </c>
      <c r="B334" s="139" t="s">
        <v>138</v>
      </c>
      <c r="C334" s="140">
        <v>861691</v>
      </c>
      <c r="D334" s="140">
        <v>438309</v>
      </c>
      <c r="E334" s="140">
        <f>+IF(FINANCIACION[[#This Row],[$ CAPITAL]]&gt;=0,FINANCIACION[[#This Row],[$ CAPITAL]]+FINANCIACION[[#This Row],[$ INTERESES]],"")</f>
        <v>1300000</v>
      </c>
      <c r="F334" s="140">
        <f>+SUMIFS(FINANCIACION[$ CAPITAL],FINANCIACION[Fecha],"&lt;="&amp;FINANCIACION[[#This Row],[Fecha]],FINANCIACION[PRESTAMO],FINANCIACION[[#This Row],[PRESTAMO]])</f>
        <v>-42969171.199762128</v>
      </c>
      <c r="G334" s="140"/>
      <c r="H334" s="141"/>
      <c r="I334" s="142"/>
      <c r="J334" s="140">
        <f>+IF(FINANCIACION[[#This Row],[$ CAPITAL]]&gt;0,FINANCIACION[[#This Row],[$ CAPITAL]])</f>
        <v>861691</v>
      </c>
      <c r="K334" s="143">
        <f>+IF(FINANCIACION[[#This Row],[$ CAPITAL]]&gt;=0,FINANCIACION[[#This Row],[$ CAPITAL]]+FINANCIACION[[#This Row],[$ INTERESES]],0)</f>
        <v>1300000</v>
      </c>
    </row>
    <row r="335" spans="1:11" ht="24" customHeight="1" x14ac:dyDescent="0.25">
      <c r="A335" s="138">
        <v>44938</v>
      </c>
      <c r="B335" s="139" t="s">
        <v>136</v>
      </c>
      <c r="C335" s="140">
        <v>1429192</v>
      </c>
      <c r="D335" s="140">
        <v>570808</v>
      </c>
      <c r="E335" s="140">
        <f>+IF(FINANCIACION[[#This Row],[$ CAPITAL]]&gt;=0,FINANCIACION[[#This Row],[$ CAPITAL]]+FINANCIACION[[#This Row],[$ INTERESES]],"")</f>
        <v>2000000</v>
      </c>
      <c r="F335" s="140">
        <f>+SUMIFS(FINANCIACION[$ CAPITAL],FINANCIACION[Fecha],"&lt;="&amp;FINANCIACION[[#This Row],[Fecha]],FINANCIACION[PRESTAMO],FINANCIACION[[#This Row],[PRESTAMO]])</f>
        <v>-55651652.132834516</v>
      </c>
      <c r="G335" s="140"/>
      <c r="H335" s="141"/>
      <c r="I335" s="142"/>
      <c r="J335" s="140">
        <f>+IF(FINANCIACION[[#This Row],[$ CAPITAL]]&gt;0,FINANCIACION[[#This Row],[$ CAPITAL]])</f>
        <v>1429192</v>
      </c>
      <c r="K335" s="143">
        <f>+IF(FINANCIACION[[#This Row],[$ CAPITAL]]&gt;=0,FINANCIACION[[#This Row],[$ CAPITAL]]+FINANCIACION[[#This Row],[$ INTERESES]],0)</f>
        <v>2000000</v>
      </c>
    </row>
    <row r="336" spans="1:11" ht="24" customHeight="1" x14ac:dyDescent="0.25">
      <c r="A336" s="138">
        <v>44938</v>
      </c>
      <c r="B336" s="139" t="s">
        <v>146</v>
      </c>
      <c r="C336" s="140"/>
      <c r="D336" s="140">
        <v>750000</v>
      </c>
      <c r="E336" s="140">
        <f>+IF(FINANCIACION[[#This Row],[$ CAPITAL]]&gt;=0,FINANCIACION[[#This Row],[$ CAPITAL]]+FINANCIACION[[#This Row],[$ INTERESES]],"")</f>
        <v>750000</v>
      </c>
      <c r="F336" s="140">
        <f>+SUMIFS(FINANCIACION[$ CAPITAL],FINANCIACION[Fecha],"&lt;="&amp;FINANCIACION[[#This Row],[Fecha]],FINANCIACION[PRESTAMO],FINANCIACION[[#This Row],[PRESTAMO]])</f>
        <v>-75000000</v>
      </c>
      <c r="G336" s="140"/>
      <c r="H336" s="141"/>
      <c r="I336" s="142"/>
      <c r="J336" s="140" t="b">
        <f>+IF(FINANCIACION[[#This Row],[$ CAPITAL]]&gt;0,FINANCIACION[[#This Row],[$ CAPITAL]])</f>
        <v>0</v>
      </c>
      <c r="K336" s="143">
        <f>+IF(FINANCIACION[[#This Row],[$ CAPITAL]]&gt;=0,FINANCIACION[[#This Row],[$ CAPITAL]]+FINANCIACION[[#This Row],[$ INTERESES]],0)</f>
        <v>750000</v>
      </c>
    </row>
    <row r="337" spans="1:11" ht="24" customHeight="1" x14ac:dyDescent="0.25">
      <c r="A337" s="138">
        <v>44943</v>
      </c>
      <c r="B337" s="139" t="s">
        <v>137</v>
      </c>
      <c r="C337" s="140">
        <v>1200732</v>
      </c>
      <c r="D337" s="140">
        <v>5930311</v>
      </c>
      <c r="E337" s="140">
        <f>+IF(FINANCIACION[[#This Row],[$ CAPITAL]]&gt;=0,FINANCIACION[[#This Row],[$ CAPITAL]]+FINANCIACION[[#This Row],[$ INTERESES]],"")</f>
        <v>7131043</v>
      </c>
      <c r="F337" s="140">
        <f>+SUMIFS(FINANCIACION[$ CAPITAL],FINANCIACION[Fecha],"&lt;="&amp;FINANCIACION[[#This Row],[Fecha]],FINANCIACION[PRESTAMO],FINANCIACION[[#This Row],[PRESTAMO]])</f>
        <v>-356329990</v>
      </c>
      <c r="G337" s="140"/>
      <c r="H337" s="141"/>
      <c r="I337" s="142"/>
      <c r="J337" s="140">
        <f>+IF(FINANCIACION[[#This Row],[$ CAPITAL]]&gt;0,FINANCIACION[[#This Row],[$ CAPITAL]])</f>
        <v>1200732</v>
      </c>
      <c r="K337" s="143">
        <f>+IF(FINANCIACION[[#This Row],[$ CAPITAL]]&gt;=0,FINANCIACION[[#This Row],[$ CAPITAL]]+FINANCIACION[[#This Row],[$ INTERESES]],0)</f>
        <v>7131043</v>
      </c>
    </row>
    <row r="338" spans="1:11" ht="24" customHeight="1" x14ac:dyDescent="0.25">
      <c r="A338" s="138">
        <v>44946</v>
      </c>
      <c r="B338" s="139" t="s">
        <v>143</v>
      </c>
      <c r="C338" s="140">
        <v>5000000</v>
      </c>
      <c r="D338" s="140"/>
      <c r="E338" s="140">
        <f>+IF(FINANCIACION[[#This Row],[$ CAPITAL]]&gt;=0,FINANCIACION[[#This Row],[$ CAPITAL]]+FINANCIACION[[#This Row],[$ INTERESES]],"")</f>
        <v>5000000</v>
      </c>
      <c r="F338" s="140">
        <f>+SUMIFS(FINANCIACION[$ CAPITAL],FINANCIACION[Fecha],"&lt;="&amp;FINANCIACION[[#This Row],[Fecha]],FINANCIACION[PRESTAMO],FINANCIACION[[#This Row],[PRESTAMO]])</f>
        <v>-35000000</v>
      </c>
      <c r="G338" s="140"/>
      <c r="H338" s="141"/>
      <c r="I338" s="142"/>
      <c r="J338" s="140">
        <f>+IF(FINANCIACION[[#This Row],[$ CAPITAL]]&gt;0,FINANCIACION[[#This Row],[$ CAPITAL]])</f>
        <v>5000000</v>
      </c>
      <c r="K338" s="143">
        <f>+IF(FINANCIACION[[#This Row],[$ CAPITAL]]&gt;=0,FINANCIACION[[#This Row],[$ CAPITAL]]+FINANCIACION[[#This Row],[$ INTERESES]],0)</f>
        <v>5000000</v>
      </c>
    </row>
    <row r="339" spans="1:11" ht="24" customHeight="1" x14ac:dyDescent="0.25">
      <c r="A339" s="138">
        <v>44949</v>
      </c>
      <c r="B339" s="139" t="s">
        <v>239</v>
      </c>
      <c r="C339" s="140">
        <v>1481481</v>
      </c>
      <c r="D339" s="140">
        <v>985519</v>
      </c>
      <c r="E339" s="140">
        <f>+IF(FINANCIACION[[#This Row],[$ CAPITAL]]&gt;=0,FINANCIACION[[#This Row],[$ CAPITAL]]+FINANCIACION[[#This Row],[$ INTERESES]],"")</f>
        <v>2467000</v>
      </c>
      <c r="F339" s="140">
        <f>+SUMIFS(FINANCIACION[$ CAPITAL],FINANCIACION[Fecha],"&lt;="&amp;FINANCIACION[[#This Row],[Fecha]],FINANCIACION[PRESTAMO],FINANCIACION[[#This Row],[PRESTAMO]])</f>
        <v>-68083880.449999988</v>
      </c>
      <c r="G339" s="140"/>
      <c r="H339" s="141"/>
      <c r="I339" s="142"/>
      <c r="J339" s="140">
        <f>+IF(FINANCIACION[[#This Row],[$ CAPITAL]]&gt;0,FINANCIACION[[#This Row],[$ CAPITAL]])</f>
        <v>1481481</v>
      </c>
      <c r="K339" s="143">
        <f>+IF(FINANCIACION[[#This Row],[$ CAPITAL]]&gt;=0,FINANCIACION[[#This Row],[$ CAPITAL]]+FINANCIACION[[#This Row],[$ INTERESES]],0)</f>
        <v>2467000</v>
      </c>
    </row>
    <row r="340" spans="1:11" ht="24" customHeight="1" x14ac:dyDescent="0.25">
      <c r="A340" s="138">
        <v>44951</v>
      </c>
      <c r="B340" s="139" t="s">
        <v>138</v>
      </c>
      <c r="C340" s="140">
        <v>20000000</v>
      </c>
      <c r="D340" s="140"/>
      <c r="E340" s="140">
        <f>+IF(FINANCIACION[[#This Row],[$ CAPITAL]]&gt;=0,FINANCIACION[[#This Row],[$ CAPITAL]]+FINANCIACION[[#This Row],[$ INTERESES]],"")</f>
        <v>20000000</v>
      </c>
      <c r="F340" s="140">
        <f>+SUMIFS(FINANCIACION[$ CAPITAL],FINANCIACION[Fecha],"&lt;="&amp;FINANCIACION[[#This Row],[Fecha]],FINANCIACION[PRESTAMO],FINANCIACION[[#This Row],[PRESTAMO]])</f>
        <v>-22969171.199762128</v>
      </c>
      <c r="G340" s="140"/>
      <c r="H340" s="141"/>
      <c r="I340" s="142"/>
      <c r="J340" s="140">
        <f>+IF(FINANCIACION[[#This Row],[$ CAPITAL]]&gt;0,FINANCIACION[[#This Row],[$ CAPITAL]])</f>
        <v>20000000</v>
      </c>
      <c r="K340" s="143">
        <f>+IF(FINANCIACION[[#This Row],[$ CAPITAL]]&gt;=0,FINANCIACION[[#This Row],[$ CAPITAL]]+FINANCIACION[[#This Row],[$ INTERESES]],0)</f>
        <v>20000000</v>
      </c>
    </row>
    <row r="341" spans="1:11" ht="24" customHeight="1" x14ac:dyDescent="0.25">
      <c r="A341" s="138">
        <v>44957</v>
      </c>
      <c r="B341" s="139" t="s">
        <v>236</v>
      </c>
      <c r="C341" s="140">
        <v>-6645600</v>
      </c>
      <c r="D341" s="140"/>
      <c r="E341" s="140" t="str">
        <f>+IF(FINANCIACION[[#This Row],[$ CAPITAL]]&gt;=0,FINANCIACION[[#This Row],[$ CAPITAL]]+FINANCIACION[[#This Row],[$ INTERESES]],"")</f>
        <v/>
      </c>
      <c r="F341" s="140">
        <f>+SUMIFS(FINANCIACION[$ CAPITAL],FINANCIACION[Fecha],"&lt;="&amp;FINANCIACION[[#This Row],[Fecha]],FINANCIACION[PRESTAMO],FINANCIACION[[#This Row],[PRESTAMO]])</f>
        <v>-7459000</v>
      </c>
      <c r="G341" s="140"/>
      <c r="H341" s="141"/>
      <c r="I341" s="142"/>
      <c r="J341" s="140" t="b">
        <f>+IF(FINANCIACION[[#This Row],[$ CAPITAL]]&gt;0,FINANCIACION[[#This Row],[$ CAPITAL]])</f>
        <v>0</v>
      </c>
      <c r="K341" s="143">
        <f>+IF(FINANCIACION[[#This Row],[$ CAPITAL]]&gt;=0,FINANCIACION[[#This Row],[$ CAPITAL]]+FINANCIACION[[#This Row],[$ INTERESES]],0)</f>
        <v>0</v>
      </c>
    </row>
    <row r="342" spans="1:11" ht="24" customHeight="1" x14ac:dyDescent="0.25">
      <c r="A342" s="138">
        <v>44957</v>
      </c>
      <c r="B342" s="139" t="s">
        <v>238</v>
      </c>
      <c r="C342" s="140">
        <v>-442515</v>
      </c>
      <c r="D342" s="140"/>
      <c r="E342" s="140" t="str">
        <f>+IF(FINANCIACION[[#This Row],[$ CAPITAL]]&gt;=0,FINANCIACION[[#This Row],[$ CAPITAL]]+FINANCIACION[[#This Row],[$ INTERESES]],"")</f>
        <v/>
      </c>
      <c r="F342" s="140">
        <f>+SUMIFS(FINANCIACION[$ CAPITAL],FINANCIACION[Fecha],"&lt;="&amp;FINANCIACION[[#This Row],[Fecha]],FINANCIACION[PRESTAMO],FINANCIACION[[#This Row],[PRESTAMO]])</f>
        <v>0</v>
      </c>
      <c r="G342" s="140"/>
      <c r="H342" s="141"/>
      <c r="I342" s="142"/>
      <c r="J342" s="140" t="b">
        <f>+IF(FINANCIACION[[#This Row],[$ CAPITAL]]&gt;0,FINANCIACION[[#This Row],[$ CAPITAL]])</f>
        <v>0</v>
      </c>
      <c r="K342" s="143">
        <f>+IF(FINANCIACION[[#This Row],[$ CAPITAL]]&gt;=0,FINANCIACION[[#This Row],[$ CAPITAL]]+FINANCIACION[[#This Row],[$ INTERESES]],0)</f>
        <v>0</v>
      </c>
    </row>
    <row r="343" spans="1:11" ht="24" customHeight="1" x14ac:dyDescent="0.25">
      <c r="A343" s="138">
        <v>44957</v>
      </c>
      <c r="B343" s="139" t="s">
        <v>237</v>
      </c>
      <c r="C343" s="140">
        <v>-10016677</v>
      </c>
      <c r="D343" s="140"/>
      <c r="E343" s="140" t="str">
        <f>+IF(FINANCIACION[[#This Row],[$ CAPITAL]]&gt;=0,FINANCIACION[[#This Row],[$ CAPITAL]]+FINANCIACION[[#This Row],[$ INTERESES]],"")</f>
        <v/>
      </c>
      <c r="F343" s="140">
        <f>+SUMIFS(FINANCIACION[$ CAPITAL],FINANCIACION[Fecha],"&lt;="&amp;FINANCIACION[[#This Row],[Fecha]],FINANCIACION[PRESTAMO],FINANCIACION[[#This Row],[PRESTAMO]])</f>
        <v>-14662059</v>
      </c>
      <c r="G343" s="140"/>
      <c r="H343" s="141"/>
      <c r="I343" s="142"/>
      <c r="J343" s="140" t="b">
        <f>+IF(FINANCIACION[[#This Row],[$ CAPITAL]]&gt;0,FINANCIACION[[#This Row],[$ CAPITAL]])</f>
        <v>0</v>
      </c>
      <c r="K343" s="143">
        <f>+IF(FINANCIACION[[#This Row],[$ CAPITAL]]&gt;=0,FINANCIACION[[#This Row],[$ CAPITAL]]+FINANCIACION[[#This Row],[$ INTERESES]],0)</f>
        <v>0</v>
      </c>
    </row>
    <row r="344" spans="1:11" ht="24" customHeight="1" x14ac:dyDescent="0.25">
      <c r="A344" s="138">
        <v>44967</v>
      </c>
      <c r="B344" s="139" t="s">
        <v>216</v>
      </c>
      <c r="C344" s="140">
        <v>-60233450</v>
      </c>
      <c r="D344" s="140"/>
      <c r="E344" s="140" t="str">
        <f>+IF(FINANCIACION[[#This Row],[$ CAPITAL]]&gt;=0,FINANCIACION[[#This Row],[$ CAPITAL]]+FINANCIACION[[#This Row],[$ INTERESES]],"")</f>
        <v/>
      </c>
      <c r="F344" s="140">
        <f>+SUMIFS(FINANCIACION[$ CAPITAL],FINANCIACION[Fecha],"&lt;="&amp;FINANCIACION[[#This Row],[Fecha]],FINANCIACION[PRESTAMO],FINANCIACION[[#This Row],[PRESTAMO]])</f>
        <v>-60233450</v>
      </c>
      <c r="G344" s="140"/>
      <c r="H344" s="141" t="s">
        <v>942</v>
      </c>
      <c r="I344" s="142">
        <v>12342.92</v>
      </c>
      <c r="J344" s="140" t="b">
        <f>+IF(FINANCIACION[[#This Row],[$ CAPITAL]]&gt;0,FINANCIACION[[#This Row],[$ CAPITAL]])</f>
        <v>0</v>
      </c>
      <c r="K344" s="143">
        <f>+IF(FINANCIACION[[#This Row],[$ CAPITAL]]&gt;=0,FINANCIACION[[#This Row],[$ CAPITAL]]+FINANCIACION[[#This Row],[$ INTERESES]],0)</f>
        <v>0</v>
      </c>
    </row>
    <row r="345" spans="1:11" ht="24" customHeight="1" x14ac:dyDescent="0.25">
      <c r="A345" s="138">
        <v>44970</v>
      </c>
      <c r="B345" s="139" t="s">
        <v>141</v>
      </c>
      <c r="C345" s="140"/>
      <c r="D345" s="140">
        <v>130000</v>
      </c>
      <c r="E345" s="140">
        <f>+IF(FINANCIACION[[#This Row],[$ CAPITAL]]&gt;=0,FINANCIACION[[#This Row],[$ CAPITAL]]+FINANCIACION[[#This Row],[$ INTERESES]],"")</f>
        <v>130000</v>
      </c>
      <c r="F345" s="140">
        <f>+SUMIFS(FINANCIACION[$ CAPITAL],FINANCIACION[Fecha],"&lt;="&amp;FINANCIACION[[#This Row],[Fecha]],FINANCIACION[PRESTAMO],FINANCIACION[[#This Row],[PRESTAMO]])</f>
        <v>-13000000</v>
      </c>
      <c r="G345" s="140"/>
      <c r="H345" s="141"/>
      <c r="I345" s="142"/>
      <c r="J345" s="140" t="b">
        <f>+IF(FINANCIACION[[#This Row],[$ CAPITAL]]&gt;0,FINANCIACION[[#This Row],[$ CAPITAL]])</f>
        <v>0</v>
      </c>
      <c r="K345" s="143">
        <f>+IF(FINANCIACION[[#This Row],[$ CAPITAL]]&gt;=0,FINANCIACION[[#This Row],[$ CAPITAL]]+FINANCIACION[[#This Row],[$ INTERESES]],0)</f>
        <v>130000</v>
      </c>
    </row>
    <row r="346" spans="1:11" ht="24" customHeight="1" x14ac:dyDescent="0.25">
      <c r="A346" s="138">
        <v>44970</v>
      </c>
      <c r="B346" s="139" t="s">
        <v>143</v>
      </c>
      <c r="C346" s="140"/>
      <c r="D346" s="140">
        <v>400000</v>
      </c>
      <c r="E346" s="140">
        <f>+IF(FINANCIACION[[#This Row],[$ CAPITAL]]&gt;=0,FINANCIACION[[#This Row],[$ CAPITAL]]+FINANCIACION[[#This Row],[$ INTERESES]],"")</f>
        <v>400000</v>
      </c>
      <c r="F346" s="140">
        <f>+SUMIFS(FINANCIACION[$ CAPITAL],FINANCIACION[Fecha],"&lt;="&amp;FINANCIACION[[#This Row],[Fecha]],FINANCIACION[PRESTAMO],FINANCIACION[[#This Row],[PRESTAMO]])</f>
        <v>-35000000</v>
      </c>
      <c r="G346" s="140"/>
      <c r="H346" s="141"/>
      <c r="I346" s="142"/>
      <c r="J346" s="140" t="b">
        <f>+IF(FINANCIACION[[#This Row],[$ CAPITAL]]&gt;0,FINANCIACION[[#This Row],[$ CAPITAL]])</f>
        <v>0</v>
      </c>
      <c r="K346" s="143">
        <f>+IF(FINANCIACION[[#This Row],[$ CAPITAL]]&gt;=0,FINANCIACION[[#This Row],[$ CAPITAL]]+FINANCIACION[[#This Row],[$ INTERESES]],0)</f>
        <v>400000</v>
      </c>
    </row>
    <row r="347" spans="1:11" ht="24" customHeight="1" x14ac:dyDescent="0.25">
      <c r="A347" s="138">
        <v>44970</v>
      </c>
      <c r="B347" s="139" t="s">
        <v>135</v>
      </c>
      <c r="C347" s="140">
        <v>2258819</v>
      </c>
      <c r="D347" s="140">
        <v>418559</v>
      </c>
      <c r="E347" s="140">
        <f>+IF(FINANCIACION[[#This Row],[$ CAPITAL]]&gt;=0,FINANCIACION[[#This Row],[$ CAPITAL]]+FINANCIACION[[#This Row],[$ INTERESES]],"")</f>
        <v>2677378</v>
      </c>
      <c r="F347" s="140">
        <f>+SUMIFS(FINANCIACION[$ CAPITAL],FINANCIACION[Fecha],"&lt;="&amp;FINANCIACION[[#This Row],[Fecha]],FINANCIACION[PRESTAMO],FINANCIACION[[#This Row],[PRESTAMO]])</f>
        <v>-39597094.484479994</v>
      </c>
      <c r="G347" s="140"/>
      <c r="H347" s="141"/>
      <c r="I347" s="142"/>
      <c r="J347" s="140">
        <f>+IF(FINANCIACION[[#This Row],[$ CAPITAL]]&gt;0,FINANCIACION[[#This Row],[$ CAPITAL]])</f>
        <v>2258819</v>
      </c>
      <c r="K347" s="143">
        <f>+IF(FINANCIACION[[#This Row],[$ CAPITAL]]&gt;=0,FINANCIACION[[#This Row],[$ CAPITAL]]+FINANCIACION[[#This Row],[$ INTERESES]],0)</f>
        <v>2677378</v>
      </c>
    </row>
    <row r="348" spans="1:11" ht="24" customHeight="1" x14ac:dyDescent="0.25">
      <c r="A348" s="138">
        <v>44970</v>
      </c>
      <c r="B348" s="139" t="s">
        <v>138</v>
      </c>
      <c r="C348" s="140">
        <v>1070308.2880023788</v>
      </c>
      <c r="D348" s="140">
        <v>229691.71199762129</v>
      </c>
      <c r="E348" s="140">
        <f>+IF(FINANCIACION[[#This Row],[$ CAPITAL]]&gt;=0,FINANCIACION[[#This Row],[$ CAPITAL]]+FINANCIACION[[#This Row],[$ INTERESES]],"")</f>
        <v>1300000</v>
      </c>
      <c r="F348" s="140">
        <f>+SUMIFS(FINANCIACION[$ CAPITAL],FINANCIACION[Fecha],"&lt;="&amp;FINANCIACION[[#This Row],[Fecha]],FINANCIACION[PRESTAMO],FINANCIACION[[#This Row],[PRESTAMO]])</f>
        <v>-21898862.911759749</v>
      </c>
      <c r="G348" s="140"/>
      <c r="H348" s="141"/>
      <c r="I348" s="142"/>
      <c r="J348" s="140">
        <f>+IF(FINANCIACION[[#This Row],[$ CAPITAL]]&gt;0,FINANCIACION[[#This Row],[$ CAPITAL]])</f>
        <v>1070308.2880023788</v>
      </c>
      <c r="K348" s="143">
        <f>+IF(FINANCIACION[[#This Row],[$ CAPITAL]]&gt;=0,FINANCIACION[[#This Row],[$ CAPITAL]]+FINANCIACION[[#This Row],[$ INTERESES]],0)</f>
        <v>1300000</v>
      </c>
    </row>
    <row r="349" spans="1:11" ht="24" customHeight="1" x14ac:dyDescent="0.25">
      <c r="A349" s="138">
        <v>44970</v>
      </c>
      <c r="B349" s="139" t="s">
        <v>136</v>
      </c>
      <c r="C349" s="140">
        <v>1443483</v>
      </c>
      <c r="D349" s="140">
        <v>556517</v>
      </c>
      <c r="E349" s="140">
        <f>+IF(FINANCIACION[[#This Row],[$ CAPITAL]]&gt;=0,FINANCIACION[[#This Row],[$ CAPITAL]]+FINANCIACION[[#This Row],[$ INTERESES]],"")</f>
        <v>2000000</v>
      </c>
      <c r="F349" s="140">
        <f>+SUMIFS(FINANCIACION[$ CAPITAL],FINANCIACION[Fecha],"&lt;="&amp;FINANCIACION[[#This Row],[Fecha]],FINANCIACION[PRESTAMO],FINANCIACION[[#This Row],[PRESTAMO]])</f>
        <v>-54208169.132834516</v>
      </c>
      <c r="G349" s="140"/>
      <c r="H349" s="141"/>
      <c r="I349" s="142"/>
      <c r="J349" s="140">
        <f>+IF(FINANCIACION[[#This Row],[$ CAPITAL]]&gt;0,FINANCIACION[[#This Row],[$ CAPITAL]])</f>
        <v>1443483</v>
      </c>
      <c r="K349" s="143">
        <f>+IF(FINANCIACION[[#This Row],[$ CAPITAL]]&gt;=0,FINANCIACION[[#This Row],[$ CAPITAL]]+FINANCIACION[[#This Row],[$ INTERESES]],0)</f>
        <v>2000000</v>
      </c>
    </row>
    <row r="350" spans="1:11" ht="24" customHeight="1" x14ac:dyDescent="0.25">
      <c r="A350" s="138">
        <v>44970</v>
      </c>
      <c r="B350" s="139" t="s">
        <v>146</v>
      </c>
      <c r="C350" s="140"/>
      <c r="D350" s="140">
        <v>750000</v>
      </c>
      <c r="E350" s="140">
        <f>+IF(FINANCIACION[[#This Row],[$ CAPITAL]]&gt;=0,FINANCIACION[[#This Row],[$ CAPITAL]]+FINANCIACION[[#This Row],[$ INTERESES]],"")</f>
        <v>750000</v>
      </c>
      <c r="F350" s="140">
        <f>+SUMIFS(FINANCIACION[$ CAPITAL],FINANCIACION[Fecha],"&lt;="&amp;FINANCIACION[[#This Row],[Fecha]],FINANCIACION[PRESTAMO],FINANCIACION[[#This Row],[PRESTAMO]])</f>
        <v>-75000000</v>
      </c>
      <c r="G350" s="140"/>
      <c r="H350" s="141"/>
      <c r="I350" s="142"/>
      <c r="J350" s="140" t="b">
        <f>+IF(FINANCIACION[[#This Row],[$ CAPITAL]]&gt;0,FINANCIACION[[#This Row],[$ CAPITAL]])</f>
        <v>0</v>
      </c>
      <c r="K350" s="143">
        <f>+IF(FINANCIACION[[#This Row],[$ CAPITAL]]&gt;=0,FINANCIACION[[#This Row],[$ CAPITAL]]+FINANCIACION[[#This Row],[$ INTERESES]],0)</f>
        <v>750000</v>
      </c>
    </row>
    <row r="351" spans="1:11" ht="24" customHeight="1" x14ac:dyDescent="0.25">
      <c r="A351" s="138">
        <v>44978</v>
      </c>
      <c r="B351" s="139" t="s">
        <v>137</v>
      </c>
      <c r="C351" s="140">
        <v>1090811</v>
      </c>
      <c r="D351" s="140">
        <v>6525724</v>
      </c>
      <c r="E351" s="140">
        <f>+IF(FINANCIACION[[#This Row],[$ CAPITAL]]&gt;=0,FINANCIACION[[#This Row],[$ CAPITAL]]+FINANCIACION[[#This Row],[$ INTERESES]],"")</f>
        <v>7616535</v>
      </c>
      <c r="F351" s="140">
        <f>+SUMIFS(FINANCIACION[$ CAPITAL],FINANCIACION[Fecha],"&lt;="&amp;FINANCIACION[[#This Row],[Fecha]],FINANCIACION[PRESTAMO],FINANCIACION[[#This Row],[PRESTAMO]])</f>
        <v>-355239179</v>
      </c>
      <c r="G351" s="140"/>
      <c r="H351" s="141"/>
      <c r="I351" s="142"/>
      <c r="J351" s="140">
        <f>+IF(FINANCIACION[[#This Row],[$ CAPITAL]]&gt;0,FINANCIACION[[#This Row],[$ CAPITAL]])</f>
        <v>1090811</v>
      </c>
      <c r="K351" s="143">
        <f>+IF(FINANCIACION[[#This Row],[$ CAPITAL]]&gt;=0,FINANCIACION[[#This Row],[$ CAPITAL]]+FINANCIACION[[#This Row],[$ INTERESES]],0)</f>
        <v>7616535</v>
      </c>
    </row>
    <row r="352" spans="1:11" ht="24" customHeight="1" x14ac:dyDescent="0.25">
      <c r="A352" s="138">
        <v>44984</v>
      </c>
      <c r="B352" s="139" t="s">
        <v>239</v>
      </c>
      <c r="C352" s="140">
        <v>1481481</v>
      </c>
      <c r="D352" s="140">
        <v>1008519</v>
      </c>
      <c r="E352" s="140">
        <f>+IF(FINANCIACION[[#This Row],[$ CAPITAL]]&gt;=0,FINANCIACION[[#This Row],[$ CAPITAL]]+FINANCIACION[[#This Row],[$ INTERESES]],"")</f>
        <v>2490000</v>
      </c>
      <c r="F352" s="140">
        <f>+SUMIFS(FINANCIACION[$ CAPITAL],FINANCIACION[Fecha],"&lt;="&amp;FINANCIACION[[#This Row],[Fecha]],FINANCIACION[PRESTAMO],FINANCIACION[[#This Row],[PRESTAMO]])</f>
        <v>-66602399.449999988</v>
      </c>
      <c r="G352" s="140"/>
      <c r="H352" s="141"/>
      <c r="I352" s="142"/>
      <c r="J352" s="140">
        <f>+IF(FINANCIACION[[#This Row],[$ CAPITAL]]&gt;0,FINANCIACION[[#This Row],[$ CAPITAL]])</f>
        <v>1481481</v>
      </c>
      <c r="K352" s="143">
        <f>+IF(FINANCIACION[[#This Row],[$ CAPITAL]]&gt;=0,FINANCIACION[[#This Row],[$ CAPITAL]]+FINANCIACION[[#This Row],[$ INTERESES]],0)</f>
        <v>2490000</v>
      </c>
    </row>
    <row r="353" spans="1:11" ht="24" customHeight="1" x14ac:dyDescent="0.25">
      <c r="A353" s="138">
        <v>44985</v>
      </c>
      <c r="B353" s="139" t="s">
        <v>236</v>
      </c>
      <c r="C353" s="140">
        <v>-9419360</v>
      </c>
      <c r="D353" s="140"/>
      <c r="E353" s="140" t="str">
        <f>+IF(FINANCIACION[[#This Row],[$ CAPITAL]]&gt;=0,FINANCIACION[[#This Row],[$ CAPITAL]]+FINANCIACION[[#This Row],[$ INTERESES]],"")</f>
        <v/>
      </c>
      <c r="F353" s="140">
        <f>+SUMIFS(FINANCIACION[$ CAPITAL],FINANCIACION[Fecha],"&lt;="&amp;FINANCIACION[[#This Row],[Fecha]],FINANCIACION[PRESTAMO],FINANCIACION[[#This Row],[PRESTAMO]])</f>
        <v>-16878360</v>
      </c>
      <c r="G353" s="140"/>
      <c r="H353" s="141"/>
      <c r="I353" s="142"/>
      <c r="J353" s="140" t="b">
        <f>+IF(FINANCIACION[[#This Row],[$ CAPITAL]]&gt;0,FINANCIACION[[#This Row],[$ CAPITAL]])</f>
        <v>0</v>
      </c>
      <c r="K353" s="143">
        <f>+IF(FINANCIACION[[#This Row],[$ CAPITAL]]&gt;=0,FINANCIACION[[#This Row],[$ CAPITAL]]+FINANCIACION[[#This Row],[$ INTERESES]],0)</f>
        <v>0</v>
      </c>
    </row>
    <row r="354" spans="1:11" ht="24" customHeight="1" x14ac:dyDescent="0.25">
      <c r="A354" s="138">
        <v>44985</v>
      </c>
      <c r="B354" s="139" t="s">
        <v>238</v>
      </c>
      <c r="C354" s="140">
        <v>982925</v>
      </c>
      <c r="D354" s="140"/>
      <c r="E354" s="140">
        <f>+IF(FINANCIACION[[#This Row],[$ CAPITAL]]&gt;=0,FINANCIACION[[#This Row],[$ CAPITAL]]+FINANCIACION[[#This Row],[$ INTERESES]],"")</f>
        <v>982925</v>
      </c>
      <c r="F354" s="140">
        <f>+SUMIFS(FINANCIACION[$ CAPITAL],FINANCIACION[Fecha],"&lt;="&amp;FINANCIACION[[#This Row],[Fecha]],FINANCIACION[PRESTAMO],FINANCIACION[[#This Row],[PRESTAMO]])</f>
        <v>982925</v>
      </c>
      <c r="G354" s="140"/>
      <c r="H354" s="141"/>
      <c r="I354" s="142"/>
      <c r="J354" s="140">
        <f>+IF(FINANCIACION[[#This Row],[$ CAPITAL]]&gt;0,FINANCIACION[[#This Row],[$ CAPITAL]])</f>
        <v>982925</v>
      </c>
      <c r="K354" s="143">
        <f>+IF(FINANCIACION[[#This Row],[$ CAPITAL]]&gt;=0,FINANCIACION[[#This Row],[$ CAPITAL]]+FINANCIACION[[#This Row],[$ INTERESES]],0)</f>
        <v>982925</v>
      </c>
    </row>
    <row r="355" spans="1:11" ht="24" customHeight="1" x14ac:dyDescent="0.25">
      <c r="A355" s="138">
        <v>44985</v>
      </c>
      <c r="B355" s="139" t="s">
        <v>237</v>
      </c>
      <c r="C355" s="140">
        <v>7555577</v>
      </c>
      <c r="D355" s="140"/>
      <c r="E355" s="140">
        <f>+IF(FINANCIACION[[#This Row],[$ CAPITAL]]&gt;=0,FINANCIACION[[#This Row],[$ CAPITAL]]+FINANCIACION[[#This Row],[$ INTERESES]],"")</f>
        <v>7555577</v>
      </c>
      <c r="F355" s="140">
        <f>+SUMIFS(FINANCIACION[$ CAPITAL],FINANCIACION[Fecha],"&lt;="&amp;FINANCIACION[[#This Row],[Fecha]],FINANCIACION[PRESTAMO],FINANCIACION[[#This Row],[PRESTAMO]])</f>
        <v>-7106482</v>
      </c>
      <c r="G355" s="140"/>
      <c r="H355" s="141"/>
      <c r="I355" s="142"/>
      <c r="J355" s="140">
        <f>+IF(FINANCIACION[[#This Row],[$ CAPITAL]]&gt;0,FINANCIACION[[#This Row],[$ CAPITAL]])</f>
        <v>7555577</v>
      </c>
      <c r="K355" s="143">
        <f>+IF(FINANCIACION[[#This Row],[$ CAPITAL]]&gt;=0,FINANCIACION[[#This Row],[$ CAPITAL]]+FINANCIACION[[#This Row],[$ INTERESES]],0)</f>
        <v>7555577</v>
      </c>
    </row>
    <row r="356" spans="1:11" ht="24" customHeight="1" x14ac:dyDescent="0.25">
      <c r="A356" s="138">
        <v>44988</v>
      </c>
      <c r="B356" s="139" t="s">
        <v>218</v>
      </c>
      <c r="C356" s="140">
        <v>-140000000</v>
      </c>
      <c r="D356" s="140"/>
      <c r="E356" s="140" t="str">
        <f>+IF(FINANCIACION[[#This Row],[$ CAPITAL]]&gt;=0,FINANCIACION[[#This Row],[$ CAPITAL]]+FINANCIACION[[#This Row],[$ INTERESES]],"")</f>
        <v/>
      </c>
      <c r="F356" s="140">
        <f>+SUMIFS(FINANCIACION[$ CAPITAL],FINANCIACION[Fecha],"&lt;="&amp;FINANCIACION[[#This Row],[Fecha]],FINANCIACION[PRESTAMO],FINANCIACION[[#This Row],[PRESTAMO]])</f>
        <v>-140000000</v>
      </c>
      <c r="G356" s="140"/>
      <c r="H356" s="141"/>
      <c r="I356" s="142"/>
      <c r="J356" s="140" t="b">
        <f>+IF(FINANCIACION[[#This Row],[$ CAPITAL]]&gt;0,FINANCIACION[[#This Row],[$ CAPITAL]])</f>
        <v>0</v>
      </c>
      <c r="K356" s="143">
        <f>+IF(FINANCIACION[[#This Row],[$ CAPITAL]]&gt;=0,FINANCIACION[[#This Row],[$ CAPITAL]]+FINANCIACION[[#This Row],[$ INTERESES]],0)</f>
        <v>0</v>
      </c>
    </row>
    <row r="357" spans="1:11" ht="24" customHeight="1" x14ac:dyDescent="0.25">
      <c r="A357" s="138">
        <v>44998</v>
      </c>
      <c r="B357" s="139" t="s">
        <v>143</v>
      </c>
      <c r="C357" s="140"/>
      <c r="D357" s="140">
        <v>350000</v>
      </c>
      <c r="E357" s="140">
        <f>+IF(FINANCIACION[[#This Row],[$ CAPITAL]]&gt;=0,FINANCIACION[[#This Row],[$ CAPITAL]]+FINANCIACION[[#This Row],[$ INTERESES]],"")</f>
        <v>350000</v>
      </c>
      <c r="F357" s="140">
        <f>+SUMIFS(FINANCIACION[$ CAPITAL],FINANCIACION[Fecha],"&lt;="&amp;FINANCIACION[[#This Row],[Fecha]],FINANCIACION[PRESTAMO],FINANCIACION[[#This Row],[PRESTAMO]])</f>
        <v>-35000000</v>
      </c>
      <c r="G357" s="140"/>
      <c r="H357" s="141"/>
      <c r="I357" s="142"/>
      <c r="J357" s="140" t="b">
        <f>+IF(FINANCIACION[[#This Row],[$ CAPITAL]]&gt;0,FINANCIACION[[#This Row],[$ CAPITAL]])</f>
        <v>0</v>
      </c>
      <c r="K357" s="143">
        <f>+IF(FINANCIACION[[#This Row],[$ CAPITAL]]&gt;=0,FINANCIACION[[#This Row],[$ CAPITAL]]+FINANCIACION[[#This Row],[$ INTERESES]],0)</f>
        <v>350000</v>
      </c>
    </row>
    <row r="358" spans="1:11" ht="24" customHeight="1" x14ac:dyDescent="0.25">
      <c r="A358" s="138">
        <v>44999</v>
      </c>
      <c r="B358" s="139" t="s">
        <v>141</v>
      </c>
      <c r="C358" s="140"/>
      <c r="D358" s="140">
        <v>130000</v>
      </c>
      <c r="E358" s="140">
        <f>+IF(FINANCIACION[[#This Row],[$ CAPITAL]]&gt;=0,FINANCIACION[[#This Row],[$ CAPITAL]]+FINANCIACION[[#This Row],[$ INTERESES]],"")</f>
        <v>130000</v>
      </c>
      <c r="F358" s="140">
        <f>+SUMIFS(FINANCIACION[$ CAPITAL],FINANCIACION[Fecha],"&lt;="&amp;FINANCIACION[[#This Row],[Fecha]],FINANCIACION[PRESTAMO],FINANCIACION[[#This Row],[PRESTAMO]])</f>
        <v>-13000000</v>
      </c>
      <c r="G358" s="140"/>
      <c r="H358" s="141"/>
      <c r="I358" s="142"/>
      <c r="J358" s="140" t="b">
        <f>+IF(FINANCIACION[[#This Row],[$ CAPITAL]]&gt;0,FINANCIACION[[#This Row],[$ CAPITAL]])</f>
        <v>0</v>
      </c>
      <c r="K358" s="143">
        <f>+IF(FINANCIACION[[#This Row],[$ CAPITAL]]&gt;=0,FINANCIACION[[#This Row],[$ CAPITAL]]+FINANCIACION[[#This Row],[$ INTERESES]],0)</f>
        <v>130000</v>
      </c>
    </row>
    <row r="359" spans="1:11" ht="24" customHeight="1" x14ac:dyDescent="0.25">
      <c r="A359" s="138">
        <v>45000</v>
      </c>
      <c r="B359" s="139" t="s">
        <v>138</v>
      </c>
      <c r="C359" s="140">
        <v>1081011</v>
      </c>
      <c r="D359" s="140">
        <v>218989</v>
      </c>
      <c r="E359" s="140">
        <f>+IF(FINANCIACION[[#This Row],[$ CAPITAL]]&gt;=0,FINANCIACION[[#This Row],[$ CAPITAL]]+FINANCIACION[[#This Row],[$ INTERESES]],"")</f>
        <v>1300000</v>
      </c>
      <c r="F359" s="140">
        <f>+SUMIFS(FINANCIACION[$ CAPITAL],FINANCIACION[Fecha],"&lt;="&amp;FINANCIACION[[#This Row],[Fecha]],FINANCIACION[PRESTAMO],FINANCIACION[[#This Row],[PRESTAMO]])</f>
        <v>-21148999.911759749</v>
      </c>
      <c r="G359" s="140"/>
      <c r="H359" s="141"/>
      <c r="I359" s="142"/>
      <c r="J359" s="140">
        <f>+IF(FINANCIACION[[#This Row],[$ CAPITAL]]&gt;0,FINANCIACION[[#This Row],[$ CAPITAL]])</f>
        <v>1081011</v>
      </c>
      <c r="K359" s="143">
        <f>+IF(FINANCIACION[[#This Row],[$ CAPITAL]]&gt;=0,FINANCIACION[[#This Row],[$ CAPITAL]]+FINANCIACION[[#This Row],[$ INTERESES]],0)</f>
        <v>1300000</v>
      </c>
    </row>
    <row r="360" spans="1:11" ht="24" customHeight="1" x14ac:dyDescent="0.25">
      <c r="A360" s="138">
        <v>45000</v>
      </c>
      <c r="B360" s="139" t="s">
        <v>138</v>
      </c>
      <c r="C360" s="140">
        <v>-331148</v>
      </c>
      <c r="D360" s="140"/>
      <c r="E360" s="140" t="str">
        <f>+IF(FINANCIACION[[#This Row],[$ CAPITAL]]&gt;=0,FINANCIACION[[#This Row],[$ CAPITAL]]+FINANCIACION[[#This Row],[$ INTERESES]],"")</f>
        <v/>
      </c>
      <c r="F360" s="140">
        <f>+SUMIFS(FINANCIACION[$ CAPITAL],FINANCIACION[Fecha],"&lt;="&amp;FINANCIACION[[#This Row],[Fecha]],FINANCIACION[PRESTAMO],FINANCIACION[[#This Row],[PRESTAMO]])</f>
        <v>-21148999.911759749</v>
      </c>
      <c r="G360" s="140"/>
      <c r="H360" s="141" t="s">
        <v>927</v>
      </c>
      <c r="I360" s="142"/>
      <c r="J360" s="140" t="b">
        <f>+IF(FINANCIACION[[#This Row],[$ CAPITAL]]&gt;0,FINANCIACION[[#This Row],[$ CAPITAL]])</f>
        <v>0</v>
      </c>
      <c r="K360" s="143">
        <f>+IF(FINANCIACION[[#This Row],[$ CAPITAL]]&gt;=0,FINANCIACION[[#This Row],[$ CAPITAL]]+FINANCIACION[[#This Row],[$ INTERESES]],0)</f>
        <v>0</v>
      </c>
    </row>
    <row r="361" spans="1:11" ht="24" customHeight="1" x14ac:dyDescent="0.25">
      <c r="A361" s="138">
        <v>45006</v>
      </c>
      <c r="B361" s="139" t="s">
        <v>137</v>
      </c>
      <c r="C361" s="140">
        <v>1111000</v>
      </c>
      <c r="D361" s="140">
        <v>13053979</v>
      </c>
      <c r="E361" s="140">
        <f>+IF(FINANCIACION[[#This Row],[$ CAPITAL]]&gt;=0,FINANCIACION[[#This Row],[$ CAPITAL]]+FINANCIACION[[#This Row],[$ INTERESES]],"")</f>
        <v>14164979</v>
      </c>
      <c r="F361" s="140">
        <f>+SUMIFS(FINANCIACION[$ CAPITAL],FINANCIACION[Fecha],"&lt;="&amp;FINANCIACION[[#This Row],[Fecha]],FINANCIACION[PRESTAMO],FINANCIACION[[#This Row],[PRESTAMO]])</f>
        <v>-354128179</v>
      </c>
      <c r="G361" s="140"/>
      <c r="H361" s="141" t="s">
        <v>956</v>
      </c>
      <c r="I361" s="142"/>
      <c r="J361" s="140">
        <f>+IF(FINANCIACION[[#This Row],[$ CAPITAL]]&gt;0,FINANCIACION[[#This Row],[$ CAPITAL]])</f>
        <v>1111000</v>
      </c>
      <c r="K361" s="143">
        <f>+IF(FINANCIACION[[#This Row],[$ CAPITAL]]&gt;=0,FINANCIACION[[#This Row],[$ CAPITAL]]+FINANCIACION[[#This Row],[$ INTERESES]],0)</f>
        <v>14164979</v>
      </c>
    </row>
    <row r="362" spans="1:11" ht="24" customHeight="1" x14ac:dyDescent="0.25">
      <c r="A362" s="138">
        <v>45010</v>
      </c>
      <c r="B362" s="139" t="s">
        <v>219</v>
      </c>
      <c r="C362" s="140">
        <v>-20000000</v>
      </c>
      <c r="D362" s="140"/>
      <c r="E362" s="140" t="str">
        <f>+IF(FINANCIACION[[#This Row],[$ CAPITAL]]&gt;=0,FINANCIACION[[#This Row],[$ CAPITAL]]+FINANCIACION[[#This Row],[$ INTERESES]],"")</f>
        <v/>
      </c>
      <c r="F362" s="140">
        <f>+SUMIFS(FINANCIACION[$ CAPITAL],FINANCIACION[Fecha],"&lt;="&amp;FINANCIACION[[#This Row],[Fecha]],FINANCIACION[PRESTAMO],FINANCIACION[[#This Row],[PRESTAMO]])</f>
        <v>-20000000</v>
      </c>
      <c r="G362" s="140"/>
      <c r="H362" s="141"/>
      <c r="I362" s="142"/>
      <c r="J362" s="140" t="b">
        <f>+IF(FINANCIACION[[#This Row],[$ CAPITAL]]&gt;0,FINANCIACION[[#This Row],[$ CAPITAL]])</f>
        <v>0</v>
      </c>
      <c r="K362" s="143">
        <f>+IF(FINANCIACION[[#This Row],[$ CAPITAL]]&gt;=0,FINANCIACION[[#This Row],[$ CAPITAL]]+FINANCIACION[[#This Row],[$ INTERESES]],0)</f>
        <v>0</v>
      </c>
    </row>
    <row r="363" spans="1:11" ht="24" customHeight="1" x14ac:dyDescent="0.25">
      <c r="A363" s="138">
        <v>45012</v>
      </c>
      <c r="B363" s="139" t="s">
        <v>146</v>
      </c>
      <c r="C363" s="140"/>
      <c r="D363" s="140">
        <v>750000</v>
      </c>
      <c r="E363" s="140">
        <f>+IF(FINANCIACION[[#This Row],[$ CAPITAL]]&gt;=0,FINANCIACION[[#This Row],[$ CAPITAL]]+FINANCIACION[[#This Row],[$ INTERESES]],"")</f>
        <v>750000</v>
      </c>
      <c r="F363" s="140">
        <f>+SUMIFS(FINANCIACION[$ CAPITAL],FINANCIACION[Fecha],"&lt;="&amp;FINANCIACION[[#This Row],[Fecha]],FINANCIACION[PRESTAMO],FINANCIACION[[#This Row],[PRESTAMO]])</f>
        <v>-75000000</v>
      </c>
      <c r="G363" s="140"/>
      <c r="H363" s="141"/>
      <c r="I363" s="142"/>
      <c r="J363" s="140" t="b">
        <f>+IF(FINANCIACION[[#This Row],[$ CAPITAL]]&gt;0,FINANCIACION[[#This Row],[$ CAPITAL]])</f>
        <v>0</v>
      </c>
      <c r="K363" s="143">
        <f>+IF(FINANCIACION[[#This Row],[$ CAPITAL]]&gt;=0,FINANCIACION[[#This Row],[$ CAPITAL]]+FINANCIACION[[#This Row],[$ INTERESES]],0)</f>
        <v>750000</v>
      </c>
    </row>
    <row r="364" spans="1:11" ht="24" customHeight="1" x14ac:dyDescent="0.25">
      <c r="A364" s="138">
        <v>45012</v>
      </c>
      <c r="B364" s="139" t="s">
        <v>239</v>
      </c>
      <c r="C364" s="140">
        <v>1481000</v>
      </c>
      <c r="D364" s="140">
        <v>1009000</v>
      </c>
      <c r="E364" s="140">
        <f>+IF(FINANCIACION[[#This Row],[$ CAPITAL]]&gt;=0,FINANCIACION[[#This Row],[$ CAPITAL]]+FINANCIACION[[#This Row],[$ INTERESES]],"")</f>
        <v>2490000</v>
      </c>
      <c r="F364" s="140">
        <f>+SUMIFS(FINANCIACION[$ CAPITAL],FINANCIACION[Fecha],"&lt;="&amp;FINANCIACION[[#This Row],[Fecha]],FINANCIACION[PRESTAMO],FINANCIACION[[#This Row],[PRESTAMO]])</f>
        <v>-65121399.449999988</v>
      </c>
      <c r="G364" s="140"/>
      <c r="H364" s="141"/>
      <c r="I364" s="142"/>
      <c r="J364" s="140">
        <f>+IF(FINANCIACION[[#This Row],[$ CAPITAL]]&gt;0,FINANCIACION[[#This Row],[$ CAPITAL]])</f>
        <v>1481000</v>
      </c>
      <c r="K364" s="143">
        <f>+IF(FINANCIACION[[#This Row],[$ CAPITAL]]&gt;=0,FINANCIACION[[#This Row],[$ CAPITAL]]+FINANCIACION[[#This Row],[$ INTERESES]],0)</f>
        <v>2490000</v>
      </c>
    </row>
    <row r="365" spans="1:11" ht="24" customHeight="1" x14ac:dyDescent="0.25">
      <c r="A365" s="138">
        <v>45014</v>
      </c>
      <c r="B365" s="139" t="s">
        <v>135</v>
      </c>
      <c r="C365" s="140">
        <v>2281429</v>
      </c>
      <c r="D365" s="140">
        <v>395971</v>
      </c>
      <c r="E365" s="140">
        <f>+IF(FINANCIACION[[#This Row],[$ CAPITAL]]&gt;=0,FINANCIACION[[#This Row],[$ CAPITAL]]+FINANCIACION[[#This Row],[$ INTERESES]],"")</f>
        <v>2677400</v>
      </c>
      <c r="F365" s="140">
        <f>+SUMIFS(FINANCIACION[$ CAPITAL],FINANCIACION[Fecha],"&lt;="&amp;FINANCIACION[[#This Row],[Fecha]],FINANCIACION[PRESTAMO],FINANCIACION[[#This Row],[PRESTAMO]])</f>
        <v>-37315665.484479994</v>
      </c>
      <c r="G365" s="140"/>
      <c r="H365" s="141"/>
      <c r="I365" s="142"/>
      <c r="J365" s="140">
        <f>+IF(FINANCIACION[[#This Row],[$ CAPITAL]]&gt;0,FINANCIACION[[#This Row],[$ CAPITAL]])</f>
        <v>2281429</v>
      </c>
      <c r="K365" s="143">
        <f>+IF(FINANCIACION[[#This Row],[$ CAPITAL]]&gt;=0,FINANCIACION[[#This Row],[$ CAPITAL]]+FINANCIACION[[#This Row],[$ INTERESES]],0)</f>
        <v>2677400</v>
      </c>
    </row>
    <row r="366" spans="1:11" ht="24" customHeight="1" x14ac:dyDescent="0.25">
      <c r="A366" s="138">
        <v>45016</v>
      </c>
      <c r="B366" s="139" t="s">
        <v>136</v>
      </c>
      <c r="C366" s="140">
        <v>0</v>
      </c>
      <c r="D366" s="140">
        <v>0</v>
      </c>
      <c r="E366" s="140">
        <f>+IF(FINANCIACION[[#This Row],[$ CAPITAL]]&gt;=0,FINANCIACION[[#This Row],[$ CAPITAL]]+FINANCIACION[[#This Row],[$ INTERESES]],"")</f>
        <v>0</v>
      </c>
      <c r="F366" s="140">
        <f>+SUMIFS(FINANCIACION[$ CAPITAL],FINANCIACION[Fecha],"&lt;="&amp;FINANCIACION[[#This Row],[Fecha]],FINANCIACION[PRESTAMO],FINANCIACION[[#This Row],[PRESTAMO]])</f>
        <v>-54208169.132834516</v>
      </c>
      <c r="G366" s="140"/>
      <c r="H366" s="141"/>
      <c r="I366" s="142"/>
      <c r="J366" s="140" t="b">
        <f>+IF(FINANCIACION[[#This Row],[$ CAPITAL]]&gt;0,FINANCIACION[[#This Row],[$ CAPITAL]])</f>
        <v>0</v>
      </c>
      <c r="K366" s="143">
        <f>+IF(FINANCIACION[[#This Row],[$ CAPITAL]]&gt;=0,FINANCIACION[[#This Row],[$ CAPITAL]]+FINANCIACION[[#This Row],[$ INTERESES]],0)</f>
        <v>0</v>
      </c>
    </row>
    <row r="367" spans="1:11" ht="24" customHeight="1" x14ac:dyDescent="0.25">
      <c r="A367" s="138">
        <v>45016</v>
      </c>
      <c r="B367" s="139" t="s">
        <v>216</v>
      </c>
      <c r="C367" s="140">
        <v>2221726</v>
      </c>
      <c r="D367" s="140"/>
      <c r="E367" s="140">
        <f>+IF(FINANCIACION[[#This Row],[$ CAPITAL]]&gt;=0,FINANCIACION[[#This Row],[$ CAPITAL]]+FINANCIACION[[#This Row],[$ INTERESES]],"")</f>
        <v>2221726</v>
      </c>
      <c r="F367" s="140">
        <f>+SUMIFS(FINANCIACION[$ CAPITAL],FINANCIACION[Fecha],"&lt;="&amp;FINANCIACION[[#This Row],[Fecha]],FINANCIACION[PRESTAMO],FINANCIACION[[#This Row],[PRESTAMO]])</f>
        <v>-58011724</v>
      </c>
      <c r="G367" s="140"/>
      <c r="H367" s="141" t="s">
        <v>943</v>
      </c>
      <c r="I367" s="142"/>
      <c r="J367" s="140">
        <f>+IF(FINANCIACION[[#This Row],[$ CAPITAL]]&gt;0,FINANCIACION[[#This Row],[$ CAPITAL]])</f>
        <v>2221726</v>
      </c>
      <c r="K367" s="143">
        <f>+IF(FINANCIACION[[#This Row],[$ CAPITAL]]&gt;=0,FINANCIACION[[#This Row],[$ CAPITAL]]+FINANCIACION[[#This Row],[$ INTERESES]],0)</f>
        <v>2221726</v>
      </c>
    </row>
    <row r="368" spans="1:11" ht="24" customHeight="1" x14ac:dyDescent="0.25">
      <c r="A368" s="138">
        <v>45016</v>
      </c>
      <c r="B368" s="139" t="s">
        <v>236</v>
      </c>
      <c r="C368" s="140">
        <v>-1447240</v>
      </c>
      <c r="D368" s="140"/>
      <c r="E368" s="140" t="str">
        <f>+IF(FINANCIACION[[#This Row],[$ CAPITAL]]&gt;=0,FINANCIACION[[#This Row],[$ CAPITAL]]+FINANCIACION[[#This Row],[$ INTERESES]],"")</f>
        <v/>
      </c>
      <c r="F368" s="140">
        <f>+SUMIFS(FINANCIACION[$ CAPITAL],FINANCIACION[Fecha],"&lt;="&amp;FINANCIACION[[#This Row],[Fecha]],FINANCIACION[PRESTAMO],FINANCIACION[[#This Row],[PRESTAMO]])</f>
        <v>-18325600</v>
      </c>
      <c r="G368" s="140"/>
      <c r="H368" s="141"/>
      <c r="I368" s="142"/>
      <c r="J368" s="140" t="b">
        <f>+IF(FINANCIACION[[#This Row],[$ CAPITAL]]&gt;0,FINANCIACION[[#This Row],[$ CAPITAL]])</f>
        <v>0</v>
      </c>
      <c r="K368" s="143">
        <f>+IF(FINANCIACION[[#This Row],[$ CAPITAL]]&gt;=0,FINANCIACION[[#This Row],[$ CAPITAL]]+FINANCIACION[[#This Row],[$ INTERESES]],0)</f>
        <v>0</v>
      </c>
    </row>
    <row r="369" spans="1:11" ht="24" customHeight="1" x14ac:dyDescent="0.25">
      <c r="A369" s="138">
        <v>45016</v>
      </c>
      <c r="B369" s="139" t="s">
        <v>238</v>
      </c>
      <c r="C369" s="140">
        <v>-80343</v>
      </c>
      <c r="D369" s="140"/>
      <c r="E369" s="140" t="str">
        <f>+IF(FINANCIACION[[#This Row],[$ CAPITAL]]&gt;=0,FINANCIACION[[#This Row],[$ CAPITAL]]+FINANCIACION[[#This Row],[$ INTERESES]],"")</f>
        <v/>
      </c>
      <c r="F369" s="140">
        <f>+SUMIFS(FINANCIACION[$ CAPITAL],FINANCIACION[Fecha],"&lt;="&amp;FINANCIACION[[#This Row],[Fecha]],FINANCIACION[PRESTAMO],FINANCIACION[[#This Row],[PRESTAMO]])</f>
        <v>902582</v>
      </c>
      <c r="G369" s="140"/>
      <c r="H369" s="141"/>
      <c r="I369" s="142"/>
      <c r="J369" s="140" t="b">
        <f>+IF(FINANCIACION[[#This Row],[$ CAPITAL]]&gt;0,FINANCIACION[[#This Row],[$ CAPITAL]])</f>
        <v>0</v>
      </c>
      <c r="K369" s="143">
        <f>+IF(FINANCIACION[[#This Row],[$ CAPITAL]]&gt;=0,FINANCIACION[[#This Row],[$ CAPITAL]]+FINANCIACION[[#This Row],[$ INTERESES]],0)</f>
        <v>0</v>
      </c>
    </row>
    <row r="370" spans="1:11" ht="24" customHeight="1" x14ac:dyDescent="0.25">
      <c r="A370" s="138">
        <v>45016</v>
      </c>
      <c r="B370" s="139" t="s">
        <v>237</v>
      </c>
      <c r="C370" s="140">
        <v>-9795454</v>
      </c>
      <c r="D370" s="140"/>
      <c r="E370" s="140" t="str">
        <f>+IF(FINANCIACION[[#This Row],[$ CAPITAL]]&gt;=0,FINANCIACION[[#This Row],[$ CAPITAL]]+FINANCIACION[[#This Row],[$ INTERESES]],"")</f>
        <v/>
      </c>
      <c r="F370" s="140">
        <f>+SUMIFS(FINANCIACION[$ CAPITAL],FINANCIACION[Fecha],"&lt;="&amp;FINANCIACION[[#This Row],[Fecha]],FINANCIACION[PRESTAMO],FINANCIACION[[#This Row],[PRESTAMO]])</f>
        <v>-16901936</v>
      </c>
      <c r="G370" s="140"/>
      <c r="H370" s="141"/>
      <c r="I370" s="142"/>
      <c r="J370" s="140" t="b">
        <f>+IF(FINANCIACION[[#This Row],[$ CAPITAL]]&gt;0,FINANCIACION[[#This Row],[$ CAPITAL]])</f>
        <v>0</v>
      </c>
      <c r="K370" s="143">
        <f>+IF(FINANCIACION[[#This Row],[$ CAPITAL]]&gt;=0,FINANCIACION[[#This Row],[$ CAPITAL]]+FINANCIACION[[#This Row],[$ INTERESES]],0)</f>
        <v>0</v>
      </c>
    </row>
    <row r="371" spans="1:11" ht="24" customHeight="1" x14ac:dyDescent="0.25">
      <c r="A371" s="138">
        <v>45018</v>
      </c>
      <c r="B371" s="139" t="s">
        <v>218</v>
      </c>
      <c r="C371" s="140">
        <v>0</v>
      </c>
      <c r="D371" s="140">
        <v>0</v>
      </c>
      <c r="E371" s="140">
        <f>+IF(FINANCIACION[[#This Row],[$ CAPITAL]]&gt;=0,FINANCIACION[[#This Row],[$ CAPITAL]]+FINANCIACION[[#This Row],[$ INTERESES]],"")</f>
        <v>0</v>
      </c>
      <c r="F371" s="140">
        <f>+SUMIFS(FINANCIACION[$ CAPITAL],FINANCIACION[Fecha],"&lt;="&amp;FINANCIACION[[#This Row],[Fecha]],FINANCIACION[PRESTAMO],FINANCIACION[[#This Row],[PRESTAMO]])</f>
        <v>-140000000</v>
      </c>
      <c r="G371" s="140"/>
      <c r="H371" s="141"/>
      <c r="I371" s="142"/>
      <c r="J371" s="140" t="b">
        <f>+IF(FINANCIACION[[#This Row],[$ CAPITAL]]&gt;0,FINANCIACION[[#This Row],[$ CAPITAL]])</f>
        <v>0</v>
      </c>
      <c r="K371" s="143">
        <f>+IF(FINANCIACION[[#This Row],[$ CAPITAL]]&gt;=0,FINANCIACION[[#This Row],[$ CAPITAL]]+FINANCIACION[[#This Row],[$ INTERESES]],0)</f>
        <v>0</v>
      </c>
    </row>
    <row r="372" spans="1:11" ht="24" customHeight="1" x14ac:dyDescent="0.25">
      <c r="A372" s="138">
        <v>45020</v>
      </c>
      <c r="B372" s="139" t="s">
        <v>136</v>
      </c>
      <c r="C372" s="140">
        <v>1457918</v>
      </c>
      <c r="D372" s="140">
        <v>542082</v>
      </c>
      <c r="E372" s="140">
        <f>+IF(FINANCIACION[[#This Row],[$ CAPITAL]]&gt;=0,FINANCIACION[[#This Row],[$ CAPITAL]]+FINANCIACION[[#This Row],[$ INTERESES]],"")</f>
        <v>2000000</v>
      </c>
      <c r="F372" s="140">
        <f>+SUMIFS(FINANCIACION[$ CAPITAL],FINANCIACION[Fecha],"&lt;="&amp;FINANCIACION[[#This Row],[Fecha]],FINANCIACION[PRESTAMO],FINANCIACION[[#This Row],[PRESTAMO]])</f>
        <v>-52750251.132834516</v>
      </c>
      <c r="G372" s="140"/>
      <c r="H372" s="141" t="s">
        <v>932</v>
      </c>
      <c r="I372" s="142"/>
      <c r="J372" s="140">
        <f>+IF(FINANCIACION[[#This Row],[$ CAPITAL]]&gt;0,FINANCIACION[[#This Row],[$ CAPITAL]])</f>
        <v>1457918</v>
      </c>
      <c r="K372" s="143">
        <f>+IF(FINANCIACION[[#This Row],[$ CAPITAL]]&gt;=0,FINANCIACION[[#This Row],[$ CAPITAL]]+FINANCIACION[[#This Row],[$ INTERESES]],0)</f>
        <v>2000000</v>
      </c>
    </row>
    <row r="373" spans="1:11" ht="24" customHeight="1" x14ac:dyDescent="0.25">
      <c r="A373" s="138">
        <v>45026</v>
      </c>
      <c r="B373" s="139" t="s">
        <v>141</v>
      </c>
      <c r="C373" s="140"/>
      <c r="D373" s="140">
        <v>130000</v>
      </c>
      <c r="E373" s="140">
        <f>+IF(FINANCIACION[[#This Row],[$ CAPITAL]]&gt;=0,FINANCIACION[[#This Row],[$ CAPITAL]]+FINANCIACION[[#This Row],[$ INTERESES]],"")</f>
        <v>130000</v>
      </c>
      <c r="F373" s="140">
        <f>+SUMIFS(FINANCIACION[$ CAPITAL],FINANCIACION[Fecha],"&lt;="&amp;FINANCIACION[[#This Row],[Fecha]],FINANCIACION[PRESTAMO],FINANCIACION[[#This Row],[PRESTAMO]])</f>
        <v>-13000000</v>
      </c>
      <c r="G373" s="140"/>
      <c r="H373" s="141"/>
      <c r="I373" s="142"/>
      <c r="J373" s="140" t="b">
        <f>+IF(FINANCIACION[[#This Row],[$ CAPITAL]]&gt;0,FINANCIACION[[#This Row],[$ CAPITAL]])</f>
        <v>0</v>
      </c>
      <c r="K373" s="143">
        <f>+IF(FINANCIACION[[#This Row],[$ CAPITAL]]&gt;=0,FINANCIACION[[#This Row],[$ CAPITAL]]+FINANCIACION[[#This Row],[$ INTERESES]],0)</f>
        <v>130000</v>
      </c>
    </row>
    <row r="374" spans="1:11" ht="24" customHeight="1" x14ac:dyDescent="0.25">
      <c r="A374" s="138">
        <v>45026</v>
      </c>
      <c r="B374" s="139" t="s">
        <v>143</v>
      </c>
      <c r="C374" s="140"/>
      <c r="D374" s="140">
        <v>350000</v>
      </c>
      <c r="E374" s="140">
        <f>+IF(FINANCIACION[[#This Row],[$ CAPITAL]]&gt;=0,FINANCIACION[[#This Row],[$ CAPITAL]]+FINANCIACION[[#This Row],[$ INTERESES]],"")</f>
        <v>350000</v>
      </c>
      <c r="F374" s="140">
        <f>+SUMIFS(FINANCIACION[$ CAPITAL],FINANCIACION[Fecha],"&lt;="&amp;FINANCIACION[[#This Row],[Fecha]],FINANCIACION[PRESTAMO],FINANCIACION[[#This Row],[PRESTAMO]])</f>
        <v>-35000000</v>
      </c>
      <c r="G374" s="140"/>
      <c r="H374" s="141"/>
      <c r="I374" s="142"/>
      <c r="J374" s="140" t="b">
        <f>+IF(FINANCIACION[[#This Row],[$ CAPITAL]]&gt;0,FINANCIACION[[#This Row],[$ CAPITAL]])</f>
        <v>0</v>
      </c>
      <c r="K374" s="143">
        <f>+IF(FINANCIACION[[#This Row],[$ CAPITAL]]&gt;=0,FINANCIACION[[#This Row],[$ CAPITAL]]+FINANCIACION[[#This Row],[$ INTERESES]],0)</f>
        <v>350000</v>
      </c>
    </row>
    <row r="375" spans="1:11" ht="24" customHeight="1" x14ac:dyDescent="0.25">
      <c r="A375" s="138">
        <v>45026</v>
      </c>
      <c r="B375" s="139" t="s">
        <v>135</v>
      </c>
      <c r="C375" s="140">
        <v>2304243</v>
      </c>
      <c r="D375" s="140">
        <v>373157</v>
      </c>
      <c r="E375" s="140">
        <f>+IF(FINANCIACION[[#This Row],[$ CAPITAL]]&gt;=0,FINANCIACION[[#This Row],[$ CAPITAL]]+FINANCIACION[[#This Row],[$ INTERESES]],"")</f>
        <v>2677400</v>
      </c>
      <c r="F375" s="140">
        <f>+SUMIFS(FINANCIACION[$ CAPITAL],FINANCIACION[Fecha],"&lt;="&amp;FINANCIACION[[#This Row],[Fecha]],FINANCIACION[PRESTAMO],FINANCIACION[[#This Row],[PRESTAMO]])</f>
        <v>-35011422.484479994</v>
      </c>
      <c r="G375" s="140"/>
      <c r="H375" s="141"/>
      <c r="I375" s="142"/>
      <c r="J375" s="140">
        <f>+IF(FINANCIACION[[#This Row],[$ CAPITAL]]&gt;0,FINANCIACION[[#This Row],[$ CAPITAL]])</f>
        <v>2304243</v>
      </c>
      <c r="K375" s="143">
        <f>+IF(FINANCIACION[[#This Row],[$ CAPITAL]]&gt;=0,FINANCIACION[[#This Row],[$ CAPITAL]]+FINANCIACION[[#This Row],[$ INTERESES]],0)</f>
        <v>2677400</v>
      </c>
    </row>
    <row r="376" spans="1:11" ht="24" customHeight="1" x14ac:dyDescent="0.25">
      <c r="A376" s="138">
        <v>45026</v>
      </c>
      <c r="B376" s="139" t="s">
        <v>138</v>
      </c>
      <c r="C376" s="140">
        <v>1088510</v>
      </c>
      <c r="D376" s="140">
        <v>211490</v>
      </c>
      <c r="E376" s="140">
        <f>+IF(FINANCIACION[[#This Row],[$ CAPITAL]]&gt;=0,FINANCIACION[[#This Row],[$ CAPITAL]]+FINANCIACION[[#This Row],[$ INTERESES]],"")</f>
        <v>1300000</v>
      </c>
      <c r="F376" s="140">
        <f>+SUMIFS(FINANCIACION[$ CAPITAL],FINANCIACION[Fecha],"&lt;="&amp;FINANCIACION[[#This Row],[Fecha]],FINANCIACION[PRESTAMO],FINANCIACION[[#This Row],[PRESTAMO]])</f>
        <v>-20060489.911759749</v>
      </c>
      <c r="G376" s="140"/>
      <c r="H376" s="141"/>
      <c r="I376" s="142"/>
      <c r="J376" s="140">
        <f>+IF(FINANCIACION[[#This Row],[$ CAPITAL]]&gt;0,FINANCIACION[[#This Row],[$ CAPITAL]])</f>
        <v>1088510</v>
      </c>
      <c r="K376" s="143">
        <f>+IF(FINANCIACION[[#This Row],[$ CAPITAL]]&gt;=0,FINANCIACION[[#This Row],[$ CAPITAL]]+FINANCIACION[[#This Row],[$ INTERESES]],0)</f>
        <v>1300000</v>
      </c>
    </row>
    <row r="377" spans="1:11" ht="24" customHeight="1" x14ac:dyDescent="0.25">
      <c r="A377" s="138">
        <v>45026</v>
      </c>
      <c r="B377" s="139" t="s">
        <v>146</v>
      </c>
      <c r="C377" s="140"/>
      <c r="D377" s="140">
        <v>750000</v>
      </c>
      <c r="E377" s="140">
        <f>+IF(FINANCIACION[[#This Row],[$ CAPITAL]]&gt;=0,FINANCIACION[[#This Row],[$ CAPITAL]]+FINANCIACION[[#This Row],[$ INTERESES]],"")</f>
        <v>750000</v>
      </c>
      <c r="F377" s="140">
        <f>+SUMIFS(FINANCIACION[$ CAPITAL],FINANCIACION[Fecha],"&lt;="&amp;FINANCIACION[[#This Row],[Fecha]],FINANCIACION[PRESTAMO],FINANCIACION[[#This Row],[PRESTAMO]])</f>
        <v>-75000000</v>
      </c>
      <c r="G377" s="140"/>
      <c r="H377" s="141"/>
      <c r="I377" s="142"/>
      <c r="J377" s="140" t="b">
        <f>+IF(FINANCIACION[[#This Row],[$ CAPITAL]]&gt;0,FINANCIACION[[#This Row],[$ CAPITAL]])</f>
        <v>0</v>
      </c>
      <c r="K377" s="143">
        <f>+IF(FINANCIACION[[#This Row],[$ CAPITAL]]&gt;=0,FINANCIACION[[#This Row],[$ CAPITAL]]+FINANCIACION[[#This Row],[$ INTERESES]],0)</f>
        <v>750000</v>
      </c>
    </row>
    <row r="378" spans="1:11" ht="24" customHeight="1" x14ac:dyDescent="0.25">
      <c r="A378" s="138">
        <v>45033</v>
      </c>
      <c r="B378" s="139" t="s">
        <v>136</v>
      </c>
      <c r="C378" s="140">
        <v>1472497</v>
      </c>
      <c r="D378" s="140">
        <v>527503</v>
      </c>
      <c r="E378" s="140">
        <f>+IF(FINANCIACION[[#This Row],[$ CAPITAL]]&gt;=0,FINANCIACION[[#This Row],[$ CAPITAL]]+FINANCIACION[[#This Row],[$ INTERESES]],"")</f>
        <v>2000000</v>
      </c>
      <c r="F378" s="140">
        <f>+SUMIFS(FINANCIACION[$ CAPITAL],FINANCIACION[Fecha],"&lt;="&amp;FINANCIACION[[#This Row],[Fecha]],FINANCIACION[PRESTAMO],FINANCIACION[[#This Row],[PRESTAMO]])</f>
        <v>-51277754.132834516</v>
      </c>
      <c r="G378" s="140"/>
      <c r="H378" s="141"/>
      <c r="I378" s="142"/>
      <c r="J378" s="140">
        <f>+IF(FINANCIACION[[#This Row],[$ CAPITAL]]&gt;0,FINANCIACION[[#This Row],[$ CAPITAL]])</f>
        <v>1472497</v>
      </c>
      <c r="K378" s="143">
        <f>+IF(FINANCIACION[[#This Row],[$ CAPITAL]]&gt;=0,FINANCIACION[[#This Row],[$ CAPITAL]]+FINANCIACION[[#This Row],[$ INTERESES]],0)</f>
        <v>2000000</v>
      </c>
    </row>
    <row r="379" spans="1:11" ht="24" customHeight="1" x14ac:dyDescent="0.25">
      <c r="A379" s="138">
        <v>45034</v>
      </c>
      <c r="B379" s="139" t="s">
        <v>137</v>
      </c>
      <c r="C379" s="140">
        <v>1239164</v>
      </c>
      <c r="D379" s="140">
        <v>6376253</v>
      </c>
      <c r="E379" s="140">
        <f>+IF(FINANCIACION[[#This Row],[$ CAPITAL]]&gt;=0,FINANCIACION[[#This Row],[$ CAPITAL]]+FINANCIACION[[#This Row],[$ INTERESES]],"")</f>
        <v>7615417</v>
      </c>
      <c r="F379" s="140">
        <f>+SUMIFS(FINANCIACION[$ CAPITAL],FINANCIACION[Fecha],"&lt;="&amp;FINANCIACION[[#This Row],[Fecha]],FINANCIACION[PRESTAMO],FINANCIACION[[#This Row],[PRESTAMO]])</f>
        <v>-352889015</v>
      </c>
      <c r="G379" s="140"/>
      <c r="H379" s="141"/>
      <c r="I379" s="142"/>
      <c r="J379" s="140">
        <f>+IF(FINANCIACION[[#This Row],[$ CAPITAL]]&gt;0,FINANCIACION[[#This Row],[$ CAPITAL]])</f>
        <v>1239164</v>
      </c>
      <c r="K379" s="143">
        <f>+IF(FINANCIACION[[#This Row],[$ CAPITAL]]&gt;=0,FINANCIACION[[#This Row],[$ CAPITAL]]+FINANCIACION[[#This Row],[$ INTERESES]],0)</f>
        <v>7615417</v>
      </c>
    </row>
    <row r="380" spans="1:11" ht="24" customHeight="1" x14ac:dyDescent="0.25">
      <c r="A380" s="138">
        <v>45036</v>
      </c>
      <c r="B380" s="139" t="s">
        <v>219</v>
      </c>
      <c r="C380" s="140"/>
      <c r="D380" s="140">
        <v>200000</v>
      </c>
      <c r="E380" s="140">
        <f>+IF(FINANCIACION[[#This Row],[$ CAPITAL]]&gt;=0,FINANCIACION[[#This Row],[$ CAPITAL]]+FINANCIACION[[#This Row],[$ INTERESES]],"")</f>
        <v>200000</v>
      </c>
      <c r="F380" s="140">
        <f>+SUMIFS(FINANCIACION[$ CAPITAL],FINANCIACION[Fecha],"&lt;="&amp;FINANCIACION[[#This Row],[Fecha]],FINANCIACION[PRESTAMO],FINANCIACION[[#This Row],[PRESTAMO]])</f>
        <v>-20000000</v>
      </c>
      <c r="G380" s="140"/>
      <c r="H380" s="141"/>
      <c r="I380" s="142"/>
      <c r="J380" s="140" t="b">
        <f>+IF(FINANCIACION[[#This Row],[$ CAPITAL]]&gt;0,FINANCIACION[[#This Row],[$ CAPITAL]])</f>
        <v>0</v>
      </c>
      <c r="K380" s="143">
        <f>+IF(FINANCIACION[[#This Row],[$ CAPITAL]]&gt;=0,FINANCIACION[[#This Row],[$ CAPITAL]]+FINANCIACION[[#This Row],[$ INTERESES]],0)</f>
        <v>200000</v>
      </c>
    </row>
    <row r="381" spans="1:11" ht="24" customHeight="1" x14ac:dyDescent="0.25">
      <c r="A381" s="138">
        <v>45041</v>
      </c>
      <c r="B381" s="139" t="s">
        <v>239</v>
      </c>
      <c r="C381" s="140">
        <v>1481481</v>
      </c>
      <c r="D381" s="140">
        <v>933519</v>
      </c>
      <c r="E381" s="140">
        <f>+IF(FINANCIACION[[#This Row],[$ CAPITAL]]&gt;=0,FINANCIACION[[#This Row],[$ CAPITAL]]+FINANCIACION[[#This Row],[$ INTERESES]],"")</f>
        <v>2415000</v>
      </c>
      <c r="F381" s="140">
        <f>+SUMIFS(FINANCIACION[$ CAPITAL],FINANCIACION[Fecha],"&lt;="&amp;FINANCIACION[[#This Row],[Fecha]],FINANCIACION[PRESTAMO],FINANCIACION[[#This Row],[PRESTAMO]])</f>
        <v>-63639918.449999988</v>
      </c>
      <c r="G381" s="140"/>
      <c r="H381" s="141"/>
      <c r="I381" s="142"/>
      <c r="J381" s="140">
        <f>+IF(FINANCIACION[[#This Row],[$ CAPITAL]]&gt;0,FINANCIACION[[#This Row],[$ CAPITAL]])</f>
        <v>1481481</v>
      </c>
      <c r="K381" s="143">
        <f>+IF(FINANCIACION[[#This Row],[$ CAPITAL]]&gt;=0,FINANCIACION[[#This Row],[$ CAPITAL]]+FINANCIACION[[#This Row],[$ INTERESES]],0)</f>
        <v>2415000</v>
      </c>
    </row>
    <row r="382" spans="1:11" ht="24" customHeight="1" x14ac:dyDescent="0.25">
      <c r="A382" s="138">
        <v>45046</v>
      </c>
      <c r="B382" s="139" t="s">
        <v>216</v>
      </c>
      <c r="C382" s="140">
        <v>0</v>
      </c>
      <c r="D382" s="140"/>
      <c r="E382" s="140">
        <f>+IF(FINANCIACION[[#This Row],[$ CAPITAL]]&gt;=0,FINANCIACION[[#This Row],[$ CAPITAL]]+FINANCIACION[[#This Row],[$ INTERESES]],"")</f>
        <v>0</v>
      </c>
      <c r="F382" s="140">
        <f>+SUMIFS(FINANCIACION[$ CAPITAL],FINANCIACION[Fecha],"&lt;="&amp;FINANCIACION[[#This Row],[Fecha]],FINANCIACION[PRESTAMO],FINANCIACION[[#This Row],[PRESTAMO]])</f>
        <v>-58011724</v>
      </c>
      <c r="G382" s="140"/>
      <c r="H382" s="141" t="s">
        <v>944</v>
      </c>
      <c r="I382" s="142"/>
      <c r="J382" s="140" t="b">
        <f>+IF(FINANCIACION[[#This Row],[$ CAPITAL]]&gt;0,FINANCIACION[[#This Row],[$ CAPITAL]])</f>
        <v>0</v>
      </c>
      <c r="K382" s="143">
        <f>+IF(FINANCIACION[[#This Row],[$ CAPITAL]]&gt;=0,FINANCIACION[[#This Row],[$ CAPITAL]]+FINANCIACION[[#This Row],[$ INTERESES]],0)</f>
        <v>0</v>
      </c>
    </row>
    <row r="383" spans="1:11" ht="24" customHeight="1" x14ac:dyDescent="0.25">
      <c r="A383" s="138">
        <v>45046</v>
      </c>
      <c r="B383" s="139" t="s">
        <v>236</v>
      </c>
      <c r="C383" s="140">
        <v>-540500</v>
      </c>
      <c r="D383" s="140"/>
      <c r="E383" s="140" t="str">
        <f>+IF(FINANCIACION[[#This Row],[$ CAPITAL]]&gt;=0,FINANCIACION[[#This Row],[$ CAPITAL]]+FINANCIACION[[#This Row],[$ INTERESES]],"")</f>
        <v/>
      </c>
      <c r="F383" s="140">
        <f>+SUMIFS(FINANCIACION[$ CAPITAL],FINANCIACION[Fecha],"&lt;="&amp;FINANCIACION[[#This Row],[Fecha]],FINANCIACION[PRESTAMO],FINANCIACION[[#This Row],[PRESTAMO]])</f>
        <v>-18866100</v>
      </c>
      <c r="G383" s="140"/>
      <c r="H383" s="141"/>
      <c r="I383" s="142"/>
      <c r="J383" s="140" t="b">
        <f>+IF(FINANCIACION[[#This Row],[$ CAPITAL]]&gt;0,FINANCIACION[[#This Row],[$ CAPITAL]])</f>
        <v>0</v>
      </c>
      <c r="K383" s="143">
        <f>+IF(FINANCIACION[[#This Row],[$ CAPITAL]]&gt;=0,FINANCIACION[[#This Row],[$ CAPITAL]]+FINANCIACION[[#This Row],[$ INTERESES]],0)</f>
        <v>0</v>
      </c>
    </row>
    <row r="384" spans="1:11" ht="24" customHeight="1" x14ac:dyDescent="0.25">
      <c r="A384" s="138">
        <v>45046</v>
      </c>
      <c r="B384" s="139" t="s">
        <v>238</v>
      </c>
      <c r="C384" s="140">
        <v>2826258</v>
      </c>
      <c r="D384" s="140"/>
      <c r="E384" s="140">
        <f>+IF(FINANCIACION[[#This Row],[$ CAPITAL]]&gt;=0,FINANCIACION[[#This Row],[$ CAPITAL]]+FINANCIACION[[#This Row],[$ INTERESES]],"")</f>
        <v>2826258</v>
      </c>
      <c r="F384" s="140">
        <f>+SUMIFS(FINANCIACION[$ CAPITAL],FINANCIACION[Fecha],"&lt;="&amp;FINANCIACION[[#This Row],[Fecha]],FINANCIACION[PRESTAMO],FINANCIACION[[#This Row],[PRESTAMO]])</f>
        <v>3728840</v>
      </c>
      <c r="G384" s="140"/>
      <c r="H384" s="141"/>
      <c r="I384" s="142"/>
      <c r="J384" s="140">
        <f>+IF(FINANCIACION[[#This Row],[$ CAPITAL]]&gt;0,FINANCIACION[[#This Row],[$ CAPITAL]])</f>
        <v>2826258</v>
      </c>
      <c r="K384" s="143">
        <f>+IF(FINANCIACION[[#This Row],[$ CAPITAL]]&gt;=0,FINANCIACION[[#This Row],[$ CAPITAL]]+FINANCIACION[[#This Row],[$ INTERESES]],0)</f>
        <v>2826258</v>
      </c>
    </row>
    <row r="385" spans="1:11" ht="24" customHeight="1" x14ac:dyDescent="0.25">
      <c r="A385" s="138">
        <v>45046</v>
      </c>
      <c r="B385" s="139" t="s">
        <v>237</v>
      </c>
      <c r="C385" s="140">
        <v>-2011168</v>
      </c>
      <c r="D385" s="140"/>
      <c r="E385" s="140" t="str">
        <f>+IF(FINANCIACION[[#This Row],[$ CAPITAL]]&gt;=0,FINANCIACION[[#This Row],[$ CAPITAL]]+FINANCIACION[[#This Row],[$ INTERESES]],"")</f>
        <v/>
      </c>
      <c r="F385" s="140">
        <f>+SUMIFS(FINANCIACION[$ CAPITAL],FINANCIACION[Fecha],"&lt;="&amp;FINANCIACION[[#This Row],[Fecha]],FINANCIACION[PRESTAMO],FINANCIACION[[#This Row],[PRESTAMO]])</f>
        <v>-18913104</v>
      </c>
      <c r="G385" s="140"/>
      <c r="H385" s="141"/>
      <c r="I385" s="142"/>
      <c r="J385" s="140" t="b">
        <f>+IF(FINANCIACION[[#This Row],[$ CAPITAL]]&gt;0,FINANCIACION[[#This Row],[$ CAPITAL]])</f>
        <v>0</v>
      </c>
      <c r="K385" s="143">
        <f>+IF(FINANCIACION[[#This Row],[$ CAPITAL]]&gt;=0,FINANCIACION[[#This Row],[$ CAPITAL]]+FINANCIACION[[#This Row],[$ INTERESES]],0)</f>
        <v>0</v>
      </c>
    </row>
    <row r="386" spans="1:11" ht="24" customHeight="1" x14ac:dyDescent="0.25">
      <c r="A386" s="138">
        <v>45048</v>
      </c>
      <c r="B386" s="139" t="s">
        <v>218</v>
      </c>
      <c r="C386" s="140">
        <v>3315898</v>
      </c>
      <c r="D386" s="140">
        <v>6518092</v>
      </c>
      <c r="E386" s="140">
        <f>+IF(FINANCIACION[[#This Row],[$ CAPITAL]]&gt;=0,FINANCIACION[[#This Row],[$ CAPITAL]]+FINANCIACION[[#This Row],[$ INTERESES]],"")</f>
        <v>9833990</v>
      </c>
      <c r="F386" s="140">
        <f>+SUMIFS(FINANCIACION[$ CAPITAL],FINANCIACION[Fecha],"&lt;="&amp;FINANCIACION[[#This Row],[Fecha]],FINANCIACION[PRESTAMO],FINANCIACION[[#This Row],[PRESTAMO]])</f>
        <v>-136684102</v>
      </c>
      <c r="G386" s="140"/>
      <c r="H386" s="141"/>
      <c r="I386" s="142"/>
      <c r="J386" s="140">
        <f>+IF(FINANCIACION[[#This Row],[$ CAPITAL]]&gt;0,FINANCIACION[[#This Row],[$ CAPITAL]])</f>
        <v>3315898</v>
      </c>
      <c r="K386" s="143">
        <f>+IF(FINANCIACION[[#This Row],[$ CAPITAL]]&gt;=0,FINANCIACION[[#This Row],[$ CAPITAL]]+FINANCIACION[[#This Row],[$ INTERESES]],0)</f>
        <v>9833990</v>
      </c>
    </row>
    <row r="387" spans="1:11" ht="24" customHeight="1" x14ac:dyDescent="0.25">
      <c r="A387" s="138">
        <v>45054</v>
      </c>
      <c r="B387" s="139" t="s">
        <v>141</v>
      </c>
      <c r="C387" s="140"/>
      <c r="D387" s="140">
        <v>130000</v>
      </c>
      <c r="E387" s="140">
        <f>+IF(FINANCIACION[[#This Row],[$ CAPITAL]]&gt;=0,FINANCIACION[[#This Row],[$ CAPITAL]]+FINANCIACION[[#This Row],[$ INTERESES]],"")</f>
        <v>130000</v>
      </c>
      <c r="F387" s="140">
        <f>+SUMIFS(FINANCIACION[$ CAPITAL],FINANCIACION[Fecha],"&lt;="&amp;FINANCIACION[[#This Row],[Fecha]],FINANCIACION[PRESTAMO],FINANCIACION[[#This Row],[PRESTAMO]])</f>
        <v>-13000000</v>
      </c>
      <c r="G387" s="140"/>
      <c r="H387" s="141"/>
      <c r="I387" s="142"/>
      <c r="J387" s="140" t="b">
        <f>+IF(FINANCIACION[[#This Row],[$ CAPITAL]]&gt;0,FINANCIACION[[#This Row],[$ CAPITAL]])</f>
        <v>0</v>
      </c>
      <c r="K387" s="143">
        <f>+IF(FINANCIACION[[#This Row],[$ CAPITAL]]&gt;=0,FINANCIACION[[#This Row],[$ CAPITAL]]+FINANCIACION[[#This Row],[$ INTERESES]],0)</f>
        <v>130000</v>
      </c>
    </row>
    <row r="388" spans="1:11" ht="24" customHeight="1" x14ac:dyDescent="0.25">
      <c r="A388" s="138">
        <v>45054</v>
      </c>
      <c r="B388" s="139" t="s">
        <v>219</v>
      </c>
      <c r="C388" s="140"/>
      <c r="D388" s="140">
        <v>200000</v>
      </c>
      <c r="E388" s="140">
        <f>+IF(FINANCIACION[[#This Row],[$ CAPITAL]]&gt;=0,FINANCIACION[[#This Row],[$ CAPITAL]]+FINANCIACION[[#This Row],[$ INTERESES]],"")</f>
        <v>200000</v>
      </c>
      <c r="F388" s="140">
        <f>+SUMIFS(FINANCIACION[$ CAPITAL],FINANCIACION[Fecha],"&lt;="&amp;FINANCIACION[[#This Row],[Fecha]],FINANCIACION[PRESTAMO],FINANCIACION[[#This Row],[PRESTAMO]])</f>
        <v>-20000000</v>
      </c>
      <c r="G388" s="140"/>
      <c r="H388" s="141"/>
      <c r="I388" s="142"/>
      <c r="J388" s="140" t="b">
        <f>+IF(FINANCIACION[[#This Row],[$ CAPITAL]]&gt;0,FINANCIACION[[#This Row],[$ CAPITAL]])</f>
        <v>0</v>
      </c>
      <c r="K388" s="143">
        <f>+IF(FINANCIACION[[#This Row],[$ CAPITAL]]&gt;=0,FINANCIACION[[#This Row],[$ CAPITAL]]+FINANCIACION[[#This Row],[$ INTERESES]],0)</f>
        <v>200000</v>
      </c>
    </row>
    <row r="389" spans="1:11" ht="24" customHeight="1" x14ac:dyDescent="0.25">
      <c r="A389" s="138">
        <v>45054</v>
      </c>
      <c r="B389" s="139" t="s">
        <v>143</v>
      </c>
      <c r="C389" s="140"/>
      <c r="D389" s="140">
        <v>350000</v>
      </c>
      <c r="E389" s="140">
        <f>+IF(FINANCIACION[[#This Row],[$ CAPITAL]]&gt;=0,FINANCIACION[[#This Row],[$ CAPITAL]]+FINANCIACION[[#This Row],[$ INTERESES]],"")</f>
        <v>350000</v>
      </c>
      <c r="F389" s="140">
        <f>+SUMIFS(FINANCIACION[$ CAPITAL],FINANCIACION[Fecha],"&lt;="&amp;FINANCIACION[[#This Row],[Fecha]],FINANCIACION[PRESTAMO],FINANCIACION[[#This Row],[PRESTAMO]])</f>
        <v>-35000000</v>
      </c>
      <c r="G389" s="140"/>
      <c r="H389" s="141"/>
      <c r="I389" s="142"/>
      <c r="J389" s="140" t="b">
        <f>+IF(FINANCIACION[[#This Row],[$ CAPITAL]]&gt;0,FINANCIACION[[#This Row],[$ CAPITAL]])</f>
        <v>0</v>
      </c>
      <c r="K389" s="143">
        <f>+IF(FINANCIACION[[#This Row],[$ CAPITAL]]&gt;=0,FINANCIACION[[#This Row],[$ CAPITAL]]+FINANCIACION[[#This Row],[$ INTERESES]],0)</f>
        <v>350000</v>
      </c>
    </row>
    <row r="390" spans="1:11" ht="24" customHeight="1" x14ac:dyDescent="0.25">
      <c r="A390" s="138">
        <v>45054</v>
      </c>
      <c r="B390" s="139" t="s">
        <v>135</v>
      </c>
      <c r="C390" s="140">
        <v>649886</v>
      </c>
      <c r="D390" s="140">
        <v>350114</v>
      </c>
      <c r="E390" s="140">
        <f>+IF(FINANCIACION[[#This Row],[$ CAPITAL]]&gt;=0,FINANCIACION[[#This Row],[$ CAPITAL]]+FINANCIACION[[#This Row],[$ INTERESES]],"")</f>
        <v>1000000</v>
      </c>
      <c r="F390" s="140">
        <f>+SUMIFS(FINANCIACION[$ CAPITAL],FINANCIACION[Fecha],"&lt;="&amp;FINANCIACION[[#This Row],[Fecha]],FINANCIACION[PRESTAMO],FINANCIACION[[#This Row],[PRESTAMO]])</f>
        <v>-34361536.484479994</v>
      </c>
      <c r="G390" s="140"/>
      <c r="H390" s="141"/>
      <c r="I390" s="142"/>
      <c r="J390" s="140">
        <f>+IF(FINANCIACION[[#This Row],[$ CAPITAL]]&gt;0,FINANCIACION[[#This Row],[$ CAPITAL]])</f>
        <v>649886</v>
      </c>
      <c r="K390" s="143">
        <f>+IF(FINANCIACION[[#This Row],[$ CAPITAL]]&gt;=0,FINANCIACION[[#This Row],[$ CAPITAL]]+FINANCIACION[[#This Row],[$ INTERESES]],0)</f>
        <v>1000000</v>
      </c>
    </row>
    <row r="391" spans="1:11" ht="24" customHeight="1" x14ac:dyDescent="0.25">
      <c r="A391" s="138">
        <v>45054</v>
      </c>
      <c r="B391" s="139" t="s">
        <v>138</v>
      </c>
      <c r="C391" s="140">
        <v>1099395</v>
      </c>
      <c r="D391" s="140">
        <v>200605</v>
      </c>
      <c r="E391" s="140">
        <f>+IF(FINANCIACION[[#This Row],[$ CAPITAL]]&gt;=0,FINANCIACION[[#This Row],[$ CAPITAL]]+FINANCIACION[[#This Row],[$ INTERESES]],"")</f>
        <v>1300000</v>
      </c>
      <c r="F391" s="140">
        <f>+SUMIFS(FINANCIACION[$ CAPITAL],FINANCIACION[Fecha],"&lt;="&amp;FINANCIACION[[#This Row],[Fecha]],FINANCIACION[PRESTAMO],FINANCIACION[[#This Row],[PRESTAMO]])</f>
        <v>-18961094.911759749</v>
      </c>
      <c r="G391" s="140"/>
      <c r="H391" s="141"/>
      <c r="I391" s="142"/>
      <c r="J391" s="140">
        <f>+IF(FINANCIACION[[#This Row],[$ CAPITAL]]&gt;0,FINANCIACION[[#This Row],[$ CAPITAL]])</f>
        <v>1099395</v>
      </c>
      <c r="K391" s="143">
        <f>+IF(FINANCIACION[[#This Row],[$ CAPITAL]]&gt;=0,FINANCIACION[[#This Row],[$ CAPITAL]]+FINANCIACION[[#This Row],[$ INTERESES]],0)</f>
        <v>1300000</v>
      </c>
    </row>
    <row r="392" spans="1:11" ht="24" customHeight="1" x14ac:dyDescent="0.25">
      <c r="A392" s="138">
        <v>45054</v>
      </c>
      <c r="B392" s="139" t="s">
        <v>136</v>
      </c>
      <c r="C392" s="140">
        <v>1487222</v>
      </c>
      <c r="D392" s="140">
        <v>512778</v>
      </c>
      <c r="E392" s="140">
        <f>+IF(FINANCIACION[[#This Row],[$ CAPITAL]]&gt;=0,FINANCIACION[[#This Row],[$ CAPITAL]]+FINANCIACION[[#This Row],[$ INTERESES]],"")</f>
        <v>2000000</v>
      </c>
      <c r="F392" s="140">
        <f>+SUMIFS(FINANCIACION[$ CAPITAL],FINANCIACION[Fecha],"&lt;="&amp;FINANCIACION[[#This Row],[Fecha]],FINANCIACION[PRESTAMO],FINANCIACION[[#This Row],[PRESTAMO]])</f>
        <v>-49790532.132834516</v>
      </c>
      <c r="G392" s="140"/>
      <c r="H392" s="141"/>
      <c r="I392" s="142"/>
      <c r="J392" s="140">
        <f>+IF(FINANCIACION[[#This Row],[$ CAPITAL]]&gt;0,FINANCIACION[[#This Row],[$ CAPITAL]])</f>
        <v>1487222</v>
      </c>
      <c r="K392" s="143">
        <f>+IF(FINANCIACION[[#This Row],[$ CAPITAL]]&gt;=0,FINANCIACION[[#This Row],[$ CAPITAL]]+FINANCIACION[[#This Row],[$ INTERESES]],0)</f>
        <v>2000000</v>
      </c>
    </row>
    <row r="393" spans="1:11" ht="24" customHeight="1" x14ac:dyDescent="0.25">
      <c r="A393" s="138">
        <v>45055</v>
      </c>
      <c r="B393" s="139" t="s">
        <v>146</v>
      </c>
      <c r="C393" s="140"/>
      <c r="D393" s="140">
        <v>750000</v>
      </c>
      <c r="E393" s="140">
        <f>+IF(FINANCIACION[[#This Row],[$ CAPITAL]]&gt;=0,FINANCIACION[[#This Row],[$ CAPITAL]]+FINANCIACION[[#This Row],[$ INTERESES]],"")</f>
        <v>750000</v>
      </c>
      <c r="F393" s="140">
        <f>+SUMIFS(FINANCIACION[$ CAPITAL],FINANCIACION[Fecha],"&lt;="&amp;FINANCIACION[[#This Row],[Fecha]],FINANCIACION[PRESTAMO],FINANCIACION[[#This Row],[PRESTAMO]])</f>
        <v>-75000000</v>
      </c>
      <c r="G393" s="140"/>
      <c r="H393" s="141"/>
      <c r="I393" s="142"/>
      <c r="J393" s="140" t="b">
        <f>+IF(FINANCIACION[[#This Row],[$ CAPITAL]]&gt;0,FINANCIACION[[#This Row],[$ CAPITAL]])</f>
        <v>0</v>
      </c>
      <c r="K393" s="143">
        <f>+IF(FINANCIACION[[#This Row],[$ CAPITAL]]&gt;=0,FINANCIACION[[#This Row],[$ CAPITAL]]+FINANCIACION[[#This Row],[$ INTERESES]],0)</f>
        <v>750000</v>
      </c>
    </row>
    <row r="394" spans="1:11" ht="24" customHeight="1" x14ac:dyDescent="0.25">
      <c r="A394" s="138">
        <v>45064</v>
      </c>
      <c r="B394" s="139" t="s">
        <v>137</v>
      </c>
      <c r="C394" s="140">
        <v>1184963</v>
      </c>
      <c r="D394" s="140">
        <v>6311276</v>
      </c>
      <c r="E394" s="140">
        <f>+IF(FINANCIACION[[#This Row],[$ CAPITAL]]&gt;=0,FINANCIACION[[#This Row],[$ CAPITAL]]+FINANCIACION[[#This Row],[$ INTERESES]],"")</f>
        <v>7496239</v>
      </c>
      <c r="F394" s="140">
        <f>+SUMIFS(FINANCIACION[$ CAPITAL],FINANCIACION[Fecha],"&lt;="&amp;FINANCIACION[[#This Row],[Fecha]],FINANCIACION[PRESTAMO],FINANCIACION[[#This Row],[PRESTAMO]])</f>
        <v>-351704052</v>
      </c>
      <c r="G394" s="140"/>
      <c r="H394" s="141"/>
      <c r="I394" s="142"/>
      <c r="J394" s="140">
        <f>+IF(FINANCIACION[[#This Row],[$ CAPITAL]]&gt;0,FINANCIACION[[#This Row],[$ CAPITAL]])</f>
        <v>1184963</v>
      </c>
      <c r="K394" s="143">
        <f>+IF(FINANCIACION[[#This Row],[$ CAPITAL]]&gt;=0,FINANCIACION[[#This Row],[$ CAPITAL]]+FINANCIACION[[#This Row],[$ INTERESES]],0)</f>
        <v>7496239</v>
      </c>
    </row>
    <row r="395" spans="1:11" ht="24" customHeight="1" x14ac:dyDescent="0.25">
      <c r="A395" s="138">
        <v>45071</v>
      </c>
      <c r="B395" s="139" t="s">
        <v>239</v>
      </c>
      <c r="C395" s="140">
        <v>1481000</v>
      </c>
      <c r="D395" s="140">
        <v>873000</v>
      </c>
      <c r="E395" s="140">
        <f>+IF(FINANCIACION[[#This Row],[$ CAPITAL]]&gt;=0,FINANCIACION[[#This Row],[$ CAPITAL]]+FINANCIACION[[#This Row],[$ INTERESES]],"")</f>
        <v>2354000</v>
      </c>
      <c r="F395" s="140">
        <f>+SUMIFS(FINANCIACION[$ CAPITAL],FINANCIACION[Fecha],"&lt;="&amp;FINANCIACION[[#This Row],[Fecha]],FINANCIACION[PRESTAMO],FINANCIACION[[#This Row],[PRESTAMO]])</f>
        <v>-62158918.449999988</v>
      </c>
      <c r="G395" s="140"/>
      <c r="H395" s="141"/>
      <c r="I395" s="142"/>
      <c r="J395" s="140">
        <f>+IF(FINANCIACION[[#This Row],[$ CAPITAL]]&gt;0,FINANCIACION[[#This Row],[$ CAPITAL]])</f>
        <v>1481000</v>
      </c>
      <c r="K395" s="143">
        <f>+IF(FINANCIACION[[#This Row],[$ CAPITAL]]&gt;=0,FINANCIACION[[#This Row],[$ CAPITAL]]+FINANCIACION[[#This Row],[$ INTERESES]],0)</f>
        <v>2354000</v>
      </c>
    </row>
    <row r="396" spans="1:11" ht="24" customHeight="1" x14ac:dyDescent="0.25">
      <c r="A396" s="138">
        <v>45077</v>
      </c>
      <c r="B396" s="139" t="s">
        <v>216</v>
      </c>
      <c r="C396" s="140">
        <v>1728009</v>
      </c>
      <c r="D396" s="140"/>
      <c r="E396" s="140">
        <f>+IF(FINANCIACION[[#This Row],[$ CAPITAL]]&gt;=0,FINANCIACION[[#This Row],[$ CAPITAL]]+FINANCIACION[[#This Row],[$ INTERESES]],"")</f>
        <v>1728009</v>
      </c>
      <c r="F396" s="140">
        <f>+SUMIFS(FINANCIACION[$ CAPITAL],FINANCIACION[Fecha],"&lt;="&amp;FINANCIACION[[#This Row],[Fecha]],FINANCIACION[PRESTAMO],FINANCIACION[[#This Row],[PRESTAMO]])</f>
        <v>-56283715</v>
      </c>
      <c r="G396" s="140"/>
      <c r="H396" s="141"/>
      <c r="I396" s="142"/>
      <c r="J396" s="140">
        <f>+IF(FINANCIACION[[#This Row],[$ CAPITAL]]&gt;0,FINANCIACION[[#This Row],[$ CAPITAL]])</f>
        <v>1728009</v>
      </c>
      <c r="K396" s="143">
        <f>+IF(FINANCIACION[[#This Row],[$ CAPITAL]]&gt;=0,FINANCIACION[[#This Row],[$ CAPITAL]]+FINANCIACION[[#This Row],[$ INTERESES]],0)</f>
        <v>1728009</v>
      </c>
    </row>
    <row r="397" spans="1:11" ht="24" customHeight="1" x14ac:dyDescent="0.25">
      <c r="A397" s="138">
        <v>45077</v>
      </c>
      <c r="B397" s="139" t="s">
        <v>236</v>
      </c>
      <c r="C397" s="140">
        <v>-3557140</v>
      </c>
      <c r="D397" s="140"/>
      <c r="E397" s="140" t="str">
        <f>+IF(FINANCIACION[[#This Row],[$ CAPITAL]]&gt;=0,FINANCIACION[[#This Row],[$ CAPITAL]]+FINANCIACION[[#This Row],[$ INTERESES]],"")</f>
        <v/>
      </c>
      <c r="F397" s="140">
        <f>+SUMIFS(FINANCIACION[$ CAPITAL],FINANCIACION[Fecha],"&lt;="&amp;FINANCIACION[[#This Row],[Fecha]],FINANCIACION[PRESTAMO],FINANCIACION[[#This Row],[PRESTAMO]])</f>
        <v>-22423240</v>
      </c>
      <c r="G397" s="140"/>
      <c r="H397" s="141"/>
      <c r="I397" s="142"/>
      <c r="J397" s="140" t="b">
        <f>+IF(FINANCIACION[[#This Row],[$ CAPITAL]]&gt;0,FINANCIACION[[#This Row],[$ CAPITAL]])</f>
        <v>0</v>
      </c>
      <c r="K397" s="143">
        <f>+IF(FINANCIACION[[#This Row],[$ CAPITAL]]&gt;=0,FINANCIACION[[#This Row],[$ CAPITAL]]+FINANCIACION[[#This Row],[$ INTERESES]],0)</f>
        <v>0</v>
      </c>
    </row>
    <row r="398" spans="1:11" ht="24" customHeight="1" x14ac:dyDescent="0.25">
      <c r="A398" s="138">
        <v>45077</v>
      </c>
      <c r="B398" s="139" t="s">
        <v>238</v>
      </c>
      <c r="C398" s="140">
        <v>-4517238</v>
      </c>
      <c r="D398" s="140"/>
      <c r="E398" s="140" t="str">
        <f>+IF(FINANCIACION[[#This Row],[$ CAPITAL]]&gt;=0,FINANCIACION[[#This Row],[$ CAPITAL]]+FINANCIACION[[#This Row],[$ INTERESES]],"")</f>
        <v/>
      </c>
      <c r="F398" s="140">
        <f>+SUMIFS(FINANCIACION[$ CAPITAL],FINANCIACION[Fecha],"&lt;="&amp;FINANCIACION[[#This Row],[Fecha]],FINANCIACION[PRESTAMO],FINANCIACION[[#This Row],[PRESTAMO]])</f>
        <v>-788398</v>
      </c>
      <c r="G398" s="140"/>
      <c r="H398" s="141"/>
      <c r="I398" s="142"/>
      <c r="J398" s="140" t="b">
        <f>+IF(FINANCIACION[[#This Row],[$ CAPITAL]]&gt;0,FINANCIACION[[#This Row],[$ CAPITAL]])</f>
        <v>0</v>
      </c>
      <c r="K398" s="143">
        <f>+IF(FINANCIACION[[#This Row],[$ CAPITAL]]&gt;=0,FINANCIACION[[#This Row],[$ CAPITAL]]+FINANCIACION[[#This Row],[$ INTERESES]],0)</f>
        <v>0</v>
      </c>
    </row>
    <row r="399" spans="1:11" ht="24" customHeight="1" x14ac:dyDescent="0.25">
      <c r="A399" s="138">
        <v>45077</v>
      </c>
      <c r="B399" s="139" t="s">
        <v>237</v>
      </c>
      <c r="C399" s="140">
        <v>-446369</v>
      </c>
      <c r="D399" s="140"/>
      <c r="E399" s="140" t="str">
        <f>+IF(FINANCIACION[[#This Row],[$ CAPITAL]]&gt;=0,FINANCIACION[[#This Row],[$ CAPITAL]]+FINANCIACION[[#This Row],[$ INTERESES]],"")</f>
        <v/>
      </c>
      <c r="F399" s="140">
        <f>+SUMIFS(FINANCIACION[$ CAPITAL],FINANCIACION[Fecha],"&lt;="&amp;FINANCIACION[[#This Row],[Fecha]],FINANCIACION[PRESTAMO],FINANCIACION[[#This Row],[PRESTAMO]])</f>
        <v>-19359473</v>
      </c>
      <c r="G399" s="140"/>
      <c r="H399" s="141"/>
      <c r="I399" s="142"/>
      <c r="J399" s="140" t="b">
        <f>+IF(FINANCIACION[[#This Row],[$ CAPITAL]]&gt;0,FINANCIACION[[#This Row],[$ CAPITAL]])</f>
        <v>0</v>
      </c>
      <c r="K399" s="143">
        <f>+IF(FINANCIACION[[#This Row],[$ CAPITAL]]&gt;=0,FINANCIACION[[#This Row],[$ CAPITAL]]+FINANCIACION[[#This Row],[$ INTERESES]],0)</f>
        <v>0</v>
      </c>
    </row>
    <row r="400" spans="1:11" ht="24" customHeight="1" x14ac:dyDescent="0.25">
      <c r="A400" s="138">
        <v>45082</v>
      </c>
      <c r="B400" s="139" t="s">
        <v>218</v>
      </c>
      <c r="C400" s="140">
        <v>1586752</v>
      </c>
      <c r="D400" s="140">
        <v>5432950</v>
      </c>
      <c r="E400" s="140">
        <f>+IF(FINANCIACION[[#This Row],[$ CAPITAL]]&gt;=0,FINANCIACION[[#This Row],[$ CAPITAL]]+FINANCIACION[[#This Row],[$ INTERESES]],"")</f>
        <v>7019702</v>
      </c>
      <c r="F400" s="140">
        <f>+SUMIFS(FINANCIACION[$ CAPITAL],FINANCIACION[Fecha],"&lt;="&amp;FINANCIACION[[#This Row],[Fecha]],FINANCIACION[PRESTAMO],FINANCIACION[[#This Row],[PRESTAMO]])</f>
        <v>-135097350</v>
      </c>
      <c r="G400" s="140"/>
      <c r="H400" s="141"/>
      <c r="I400" s="142"/>
      <c r="J400" s="140">
        <f>+IF(FINANCIACION[[#This Row],[$ CAPITAL]]&gt;0,FINANCIACION[[#This Row],[$ CAPITAL]])</f>
        <v>1586752</v>
      </c>
      <c r="K400" s="143">
        <f>+IF(FINANCIACION[[#This Row],[$ CAPITAL]]&gt;=0,FINANCIACION[[#This Row],[$ CAPITAL]]+FINANCIACION[[#This Row],[$ INTERESES]],0)</f>
        <v>7019702</v>
      </c>
    </row>
    <row r="401" spans="1:11" ht="24" customHeight="1" x14ac:dyDescent="0.25">
      <c r="A401" s="138">
        <v>45090</v>
      </c>
      <c r="B401" s="139" t="s">
        <v>143</v>
      </c>
      <c r="C401" s="140"/>
      <c r="D401" s="140">
        <v>350000</v>
      </c>
      <c r="E401" s="140">
        <f>+IF(FINANCIACION[[#This Row],[$ CAPITAL]]&gt;=0,FINANCIACION[[#This Row],[$ CAPITAL]]+FINANCIACION[[#This Row],[$ INTERESES]],"")</f>
        <v>350000</v>
      </c>
      <c r="F401" s="140">
        <f>+SUMIFS(FINANCIACION[$ CAPITAL],FINANCIACION[Fecha],"&lt;="&amp;FINANCIACION[[#This Row],[Fecha]],FINANCIACION[PRESTAMO],FINANCIACION[[#This Row],[PRESTAMO]])</f>
        <v>-35000000</v>
      </c>
      <c r="G401" s="140"/>
      <c r="H401" s="141"/>
      <c r="I401" s="142"/>
      <c r="J401" s="140" t="b">
        <f>+IF(FINANCIACION[[#This Row],[$ CAPITAL]]&gt;0,FINANCIACION[[#This Row],[$ CAPITAL]])</f>
        <v>0</v>
      </c>
      <c r="K401" s="143">
        <f>+IF(FINANCIACION[[#This Row],[$ CAPITAL]]&gt;=0,FINANCIACION[[#This Row],[$ CAPITAL]]+FINANCIACION[[#This Row],[$ INTERESES]],0)</f>
        <v>350000</v>
      </c>
    </row>
    <row r="402" spans="1:11" ht="24" customHeight="1" x14ac:dyDescent="0.25">
      <c r="A402" s="138">
        <v>45090</v>
      </c>
      <c r="B402" s="139" t="s">
        <v>138</v>
      </c>
      <c r="C402" s="140">
        <v>1110389</v>
      </c>
      <c r="D402" s="140">
        <v>189611</v>
      </c>
      <c r="E402" s="140">
        <f>+IF(FINANCIACION[[#This Row],[$ CAPITAL]]&gt;=0,FINANCIACION[[#This Row],[$ CAPITAL]]+FINANCIACION[[#This Row],[$ INTERESES]],"")</f>
        <v>1300000</v>
      </c>
      <c r="F402" s="140">
        <f>+SUMIFS(FINANCIACION[$ CAPITAL],FINANCIACION[Fecha],"&lt;="&amp;FINANCIACION[[#This Row],[Fecha]],FINANCIACION[PRESTAMO],FINANCIACION[[#This Row],[PRESTAMO]])</f>
        <v>-17850705.911759749</v>
      </c>
      <c r="G402" s="140"/>
      <c r="H402" s="141"/>
      <c r="I402" s="142"/>
      <c r="J402" s="140">
        <f>+IF(FINANCIACION[[#This Row],[$ CAPITAL]]&gt;0,FINANCIACION[[#This Row],[$ CAPITAL]])</f>
        <v>1110389</v>
      </c>
      <c r="K402" s="143">
        <f>+IF(FINANCIACION[[#This Row],[$ CAPITAL]]&gt;=0,FINANCIACION[[#This Row],[$ CAPITAL]]+FINANCIACION[[#This Row],[$ INTERESES]],0)</f>
        <v>1300000</v>
      </c>
    </row>
    <row r="403" spans="1:11" ht="24" customHeight="1" x14ac:dyDescent="0.25">
      <c r="A403" s="138">
        <v>45091</v>
      </c>
      <c r="B403" s="139" t="s">
        <v>141</v>
      </c>
      <c r="C403" s="140"/>
      <c r="D403" s="140">
        <v>130000</v>
      </c>
      <c r="E403" s="140">
        <f>+IF(FINANCIACION[[#This Row],[$ CAPITAL]]&gt;=0,FINANCIACION[[#This Row],[$ CAPITAL]]+FINANCIACION[[#This Row],[$ INTERESES]],"")</f>
        <v>130000</v>
      </c>
      <c r="F403" s="140">
        <f>+SUMIFS(FINANCIACION[$ CAPITAL],FINANCIACION[Fecha],"&lt;="&amp;FINANCIACION[[#This Row],[Fecha]],FINANCIACION[PRESTAMO],FINANCIACION[[#This Row],[PRESTAMO]])</f>
        <v>-13000000</v>
      </c>
      <c r="G403" s="140"/>
      <c r="H403" s="141"/>
      <c r="I403" s="142"/>
      <c r="J403" s="140" t="b">
        <f>+IF(FINANCIACION[[#This Row],[$ CAPITAL]]&gt;0,FINANCIACION[[#This Row],[$ CAPITAL]])</f>
        <v>0</v>
      </c>
      <c r="K403" s="143">
        <f>+IF(FINANCIACION[[#This Row],[$ CAPITAL]]&gt;=0,FINANCIACION[[#This Row],[$ CAPITAL]]+FINANCIACION[[#This Row],[$ INTERESES]],0)</f>
        <v>130000</v>
      </c>
    </row>
    <row r="404" spans="1:11" ht="24" customHeight="1" x14ac:dyDescent="0.25">
      <c r="A404" s="138">
        <v>45091</v>
      </c>
      <c r="B404" s="139" t="s">
        <v>219</v>
      </c>
      <c r="C404" s="140"/>
      <c r="D404" s="140">
        <v>200000</v>
      </c>
      <c r="E404" s="140">
        <f>+IF(FINANCIACION[[#This Row],[$ CAPITAL]]&gt;=0,FINANCIACION[[#This Row],[$ CAPITAL]]+FINANCIACION[[#This Row],[$ INTERESES]],"")</f>
        <v>200000</v>
      </c>
      <c r="F404" s="140">
        <f>+SUMIFS(FINANCIACION[$ CAPITAL],FINANCIACION[Fecha],"&lt;="&amp;FINANCIACION[[#This Row],[Fecha]],FINANCIACION[PRESTAMO],FINANCIACION[[#This Row],[PRESTAMO]])</f>
        <v>-20000000</v>
      </c>
      <c r="G404" s="140"/>
      <c r="H404" s="141"/>
      <c r="I404" s="142"/>
      <c r="J404" s="140" t="b">
        <f>+IF(FINANCIACION[[#This Row],[$ CAPITAL]]&gt;0,FINANCIACION[[#This Row],[$ CAPITAL]])</f>
        <v>0</v>
      </c>
      <c r="K404" s="143">
        <f>+IF(FINANCIACION[[#This Row],[$ CAPITAL]]&gt;=0,FINANCIACION[[#This Row],[$ CAPITAL]]+FINANCIACION[[#This Row],[$ INTERESES]],0)</f>
        <v>200000</v>
      </c>
    </row>
    <row r="405" spans="1:11" ht="24" customHeight="1" x14ac:dyDescent="0.25">
      <c r="A405" s="138">
        <v>45097</v>
      </c>
      <c r="B405" s="139" t="s">
        <v>137</v>
      </c>
      <c r="C405" s="140">
        <v>1206607</v>
      </c>
      <c r="D405" s="140">
        <v>5908346</v>
      </c>
      <c r="E405" s="140">
        <f>+IF(FINANCIACION[[#This Row],[$ CAPITAL]]&gt;=0,FINANCIACION[[#This Row],[$ CAPITAL]]+FINANCIACION[[#This Row],[$ INTERESES]],"")</f>
        <v>7114953</v>
      </c>
      <c r="F405" s="140">
        <f>+SUMIFS(FINANCIACION[$ CAPITAL],FINANCIACION[Fecha],"&lt;="&amp;FINANCIACION[[#This Row],[Fecha]],FINANCIACION[PRESTAMO],FINANCIACION[[#This Row],[PRESTAMO]])</f>
        <v>-350497445</v>
      </c>
      <c r="G405" s="140"/>
      <c r="H405" s="141"/>
      <c r="I405" s="142"/>
      <c r="J405" s="140">
        <f>+IF(FINANCIACION[[#This Row],[$ CAPITAL]]&gt;0,FINANCIACION[[#This Row],[$ CAPITAL]])</f>
        <v>1206607</v>
      </c>
      <c r="K405" s="143">
        <f>+IF(FINANCIACION[[#This Row],[$ CAPITAL]]&gt;=0,FINANCIACION[[#This Row],[$ CAPITAL]]+FINANCIACION[[#This Row],[$ INTERESES]],0)</f>
        <v>7114953</v>
      </c>
    </row>
    <row r="406" spans="1:11" ht="24" customHeight="1" x14ac:dyDescent="0.25">
      <c r="A406" s="138">
        <v>45098</v>
      </c>
      <c r="B406" s="139" t="s">
        <v>135</v>
      </c>
      <c r="C406" s="140">
        <v>656384</v>
      </c>
      <c r="D406" s="140">
        <v>343616</v>
      </c>
      <c r="E406" s="140">
        <f>+IF(FINANCIACION[[#This Row],[$ CAPITAL]]&gt;=0,FINANCIACION[[#This Row],[$ CAPITAL]]+FINANCIACION[[#This Row],[$ INTERESES]],"")</f>
        <v>1000000</v>
      </c>
      <c r="F406" s="140">
        <f>+SUMIFS(FINANCIACION[$ CAPITAL],FINANCIACION[Fecha],"&lt;="&amp;FINANCIACION[[#This Row],[Fecha]],FINANCIACION[PRESTAMO],FINANCIACION[[#This Row],[PRESTAMO]])</f>
        <v>-33705152.484479994</v>
      </c>
      <c r="G406" s="140"/>
      <c r="H406" s="141"/>
      <c r="I406" s="142"/>
      <c r="J406" s="140">
        <f>+IF(FINANCIACION[[#This Row],[$ CAPITAL]]&gt;0,FINANCIACION[[#This Row],[$ CAPITAL]])</f>
        <v>656384</v>
      </c>
      <c r="K406" s="143">
        <f>+IF(FINANCIACION[[#This Row],[$ CAPITAL]]&gt;=0,FINANCIACION[[#This Row],[$ CAPITAL]]+FINANCIACION[[#This Row],[$ INTERESES]],0)</f>
        <v>1000000</v>
      </c>
    </row>
    <row r="407" spans="1:11" ht="24" customHeight="1" x14ac:dyDescent="0.25">
      <c r="A407" s="138">
        <v>45098</v>
      </c>
      <c r="B407" s="139" t="s">
        <v>136</v>
      </c>
      <c r="C407" s="140">
        <v>1502095</v>
      </c>
      <c r="D407" s="140">
        <v>497905</v>
      </c>
      <c r="E407" s="140">
        <f>+IF(FINANCIACION[[#This Row],[$ CAPITAL]]&gt;=0,FINANCIACION[[#This Row],[$ CAPITAL]]+FINANCIACION[[#This Row],[$ INTERESES]],"")</f>
        <v>2000000</v>
      </c>
      <c r="F407" s="140">
        <f>+SUMIFS(FINANCIACION[$ CAPITAL],FINANCIACION[Fecha],"&lt;="&amp;FINANCIACION[[#This Row],[Fecha]],FINANCIACION[PRESTAMO],FINANCIACION[[#This Row],[PRESTAMO]])</f>
        <v>-48288437.132834516</v>
      </c>
      <c r="G407" s="140"/>
      <c r="H407" s="141"/>
      <c r="I407" s="142"/>
      <c r="J407" s="140">
        <f>+IF(FINANCIACION[[#This Row],[$ CAPITAL]]&gt;0,FINANCIACION[[#This Row],[$ CAPITAL]])</f>
        <v>1502095</v>
      </c>
      <c r="K407" s="143">
        <f>+IF(FINANCIACION[[#This Row],[$ CAPITAL]]&gt;=0,FINANCIACION[[#This Row],[$ CAPITAL]]+FINANCIACION[[#This Row],[$ INTERESES]],0)</f>
        <v>2000000</v>
      </c>
    </row>
    <row r="408" spans="1:11" ht="24" customHeight="1" x14ac:dyDescent="0.25">
      <c r="A408" s="138">
        <v>45100</v>
      </c>
      <c r="B408" s="139" t="s">
        <v>146</v>
      </c>
      <c r="C408" s="140"/>
      <c r="D408" s="140">
        <v>750000</v>
      </c>
      <c r="E408" s="140">
        <f>+IF(FINANCIACION[[#This Row],[$ CAPITAL]]&gt;=0,FINANCIACION[[#This Row],[$ CAPITAL]]+FINANCIACION[[#This Row],[$ INTERESES]],"")</f>
        <v>750000</v>
      </c>
      <c r="F408" s="140">
        <f>+SUMIFS(FINANCIACION[$ CAPITAL],FINANCIACION[Fecha],"&lt;="&amp;FINANCIACION[[#This Row],[Fecha]],FINANCIACION[PRESTAMO],FINANCIACION[[#This Row],[PRESTAMO]])</f>
        <v>-75000000</v>
      </c>
      <c r="G408" s="140"/>
      <c r="H408" s="141"/>
      <c r="I408" s="142"/>
      <c r="J408" s="140" t="b">
        <f>+IF(FINANCIACION[[#This Row],[$ CAPITAL]]&gt;0,FINANCIACION[[#This Row],[$ CAPITAL]])</f>
        <v>0</v>
      </c>
      <c r="K408" s="143">
        <f>+IF(FINANCIACION[[#This Row],[$ CAPITAL]]&gt;=0,FINANCIACION[[#This Row],[$ CAPITAL]]+FINANCIACION[[#This Row],[$ INTERESES]],0)</f>
        <v>750000</v>
      </c>
    </row>
    <row r="409" spans="1:11" ht="24" customHeight="1" x14ac:dyDescent="0.25">
      <c r="A409" s="138">
        <v>45103</v>
      </c>
      <c r="B409" s="139" t="s">
        <v>239</v>
      </c>
      <c r="C409" s="140">
        <v>1481481</v>
      </c>
      <c r="D409" s="140">
        <v>852113</v>
      </c>
      <c r="E409" s="140">
        <f>+IF(FINANCIACION[[#This Row],[$ CAPITAL]]&gt;=0,FINANCIACION[[#This Row],[$ CAPITAL]]+FINANCIACION[[#This Row],[$ INTERESES]],"")</f>
        <v>2333594</v>
      </c>
      <c r="F409" s="140">
        <f>+SUMIFS(FINANCIACION[$ CAPITAL],FINANCIACION[Fecha],"&lt;="&amp;FINANCIACION[[#This Row],[Fecha]],FINANCIACION[PRESTAMO],FINANCIACION[[#This Row],[PRESTAMO]])</f>
        <v>-60677437.449999988</v>
      </c>
      <c r="G409" s="140"/>
      <c r="H409" s="141"/>
      <c r="I409" s="142"/>
      <c r="J409" s="140">
        <f>+IF(FINANCIACION[[#This Row],[$ CAPITAL]]&gt;0,FINANCIACION[[#This Row],[$ CAPITAL]])</f>
        <v>1481481</v>
      </c>
      <c r="K409" s="143">
        <f>+IF(FINANCIACION[[#This Row],[$ CAPITAL]]&gt;=0,FINANCIACION[[#This Row],[$ CAPITAL]]+FINANCIACION[[#This Row],[$ INTERESES]],0)</f>
        <v>2333594</v>
      </c>
    </row>
    <row r="410" spans="1:11" ht="24" customHeight="1" x14ac:dyDescent="0.25">
      <c r="A410" s="138">
        <v>45107</v>
      </c>
      <c r="B410" s="139" t="s">
        <v>136</v>
      </c>
      <c r="C410" s="140">
        <v>-1364220</v>
      </c>
      <c r="D410" s="140"/>
      <c r="E410" s="140" t="str">
        <f>+IF(FINANCIACION[[#This Row],[$ CAPITAL]]&gt;=0,FINANCIACION[[#This Row],[$ CAPITAL]]+FINANCIACION[[#This Row],[$ INTERESES]],"")</f>
        <v/>
      </c>
      <c r="F410" s="140">
        <f>+SUMIFS(FINANCIACION[$ CAPITAL],FINANCIACION[Fecha],"&lt;="&amp;FINANCIACION[[#This Row],[Fecha]],FINANCIACION[PRESTAMO],FINANCIACION[[#This Row],[PRESTAMO]])</f>
        <v>-49652657.132834516</v>
      </c>
      <c r="G410" s="140"/>
      <c r="H410" s="141" t="s">
        <v>933</v>
      </c>
      <c r="I410" s="142"/>
      <c r="J410" s="140" t="b">
        <f>+IF(FINANCIACION[[#This Row],[$ CAPITAL]]&gt;0,FINANCIACION[[#This Row],[$ CAPITAL]])</f>
        <v>0</v>
      </c>
      <c r="K410" s="143">
        <f>+IF(FINANCIACION[[#This Row],[$ CAPITAL]]&gt;=0,FINANCIACION[[#This Row],[$ CAPITAL]]+FINANCIACION[[#This Row],[$ INTERESES]],0)</f>
        <v>0</v>
      </c>
    </row>
    <row r="411" spans="1:11" ht="24" customHeight="1" x14ac:dyDescent="0.25">
      <c r="A411" s="138">
        <v>45107</v>
      </c>
      <c r="B411" s="139" t="s">
        <v>216</v>
      </c>
      <c r="C411" s="140">
        <v>2592013</v>
      </c>
      <c r="D411" s="140"/>
      <c r="E411" s="140">
        <f>+IF(FINANCIACION[[#This Row],[$ CAPITAL]]&gt;=0,FINANCIACION[[#This Row],[$ CAPITAL]]+FINANCIACION[[#This Row],[$ INTERESES]],"")</f>
        <v>2592013</v>
      </c>
      <c r="F411" s="140">
        <f>+SUMIFS(FINANCIACION[$ CAPITAL],FINANCIACION[Fecha],"&lt;="&amp;FINANCIACION[[#This Row],[Fecha]],FINANCIACION[PRESTAMO],FINANCIACION[[#This Row],[PRESTAMO]])</f>
        <v>-53691702</v>
      </c>
      <c r="G411" s="140"/>
      <c r="H411" s="141"/>
      <c r="I411" s="142"/>
      <c r="J411" s="140">
        <f>+IF(FINANCIACION[[#This Row],[$ CAPITAL]]&gt;0,FINANCIACION[[#This Row],[$ CAPITAL]])</f>
        <v>2592013</v>
      </c>
      <c r="K411" s="143">
        <f>+IF(FINANCIACION[[#This Row],[$ CAPITAL]]&gt;=0,FINANCIACION[[#This Row],[$ CAPITAL]]+FINANCIACION[[#This Row],[$ INTERESES]],0)</f>
        <v>2592013</v>
      </c>
    </row>
    <row r="412" spans="1:11" ht="24" customHeight="1" x14ac:dyDescent="0.25">
      <c r="A412" s="138">
        <v>45107</v>
      </c>
      <c r="B412" s="139" t="s">
        <v>239</v>
      </c>
      <c r="C412" s="140">
        <v>-172263</v>
      </c>
      <c r="D412" s="140"/>
      <c r="E412" s="140" t="str">
        <f>+IF(FINANCIACION[[#This Row],[$ CAPITAL]]&gt;=0,FINANCIACION[[#This Row],[$ CAPITAL]]+FINANCIACION[[#This Row],[$ INTERESES]],"")</f>
        <v/>
      </c>
      <c r="F412" s="140">
        <f>+SUMIFS(FINANCIACION[$ CAPITAL],FINANCIACION[Fecha],"&lt;="&amp;FINANCIACION[[#This Row],[Fecha]],FINANCIACION[PRESTAMO],FINANCIACION[[#This Row],[PRESTAMO]])</f>
        <v>-60849700.449999988</v>
      </c>
      <c r="G412" s="140"/>
      <c r="H412" s="141"/>
      <c r="I412" s="142"/>
      <c r="J412" s="140" t="b">
        <f>+IF(FINANCIACION[[#This Row],[$ CAPITAL]]&gt;0,FINANCIACION[[#This Row],[$ CAPITAL]])</f>
        <v>0</v>
      </c>
      <c r="K412" s="143">
        <f>+IF(FINANCIACION[[#This Row],[$ CAPITAL]]&gt;=0,FINANCIACION[[#This Row],[$ CAPITAL]]+FINANCIACION[[#This Row],[$ INTERESES]],0)</f>
        <v>0</v>
      </c>
    </row>
    <row r="413" spans="1:11" ht="24" customHeight="1" x14ac:dyDescent="0.25">
      <c r="A413" s="138">
        <v>45107</v>
      </c>
      <c r="B413" s="139" t="s">
        <v>137</v>
      </c>
      <c r="C413" s="140">
        <v>2089972</v>
      </c>
      <c r="D413" s="140"/>
      <c r="E413" s="140">
        <f>+IF(FINANCIACION[[#This Row],[$ CAPITAL]]&gt;=0,FINANCIACION[[#This Row],[$ CAPITAL]]+FINANCIACION[[#This Row],[$ INTERESES]],"")</f>
        <v>2089972</v>
      </c>
      <c r="F413" s="140">
        <f>+SUMIFS(FINANCIACION[$ CAPITAL],FINANCIACION[Fecha],"&lt;="&amp;FINANCIACION[[#This Row],[Fecha]],FINANCIACION[PRESTAMO],FINANCIACION[[#This Row],[PRESTAMO]])</f>
        <v>-348407473</v>
      </c>
      <c r="G413" s="140"/>
      <c r="H413" s="141" t="s">
        <v>933</v>
      </c>
      <c r="I413" s="142"/>
      <c r="J413" s="140">
        <f>+IF(FINANCIACION[[#This Row],[$ CAPITAL]]&gt;0,FINANCIACION[[#This Row],[$ CAPITAL]])</f>
        <v>2089972</v>
      </c>
      <c r="K413" s="143">
        <f>+IF(FINANCIACION[[#This Row],[$ CAPITAL]]&gt;=0,FINANCIACION[[#This Row],[$ CAPITAL]]+FINANCIACION[[#This Row],[$ INTERESES]],0)</f>
        <v>2089972</v>
      </c>
    </row>
    <row r="414" spans="1:11" ht="24" customHeight="1" x14ac:dyDescent="0.25">
      <c r="A414" s="138">
        <v>45107</v>
      </c>
      <c r="B414" s="139" t="s">
        <v>236</v>
      </c>
      <c r="C414" s="140">
        <v>629790</v>
      </c>
      <c r="D414" s="140"/>
      <c r="E414" s="140">
        <f>+IF(FINANCIACION[[#This Row],[$ CAPITAL]]&gt;=0,FINANCIACION[[#This Row],[$ CAPITAL]]+FINANCIACION[[#This Row],[$ INTERESES]],"")</f>
        <v>629790</v>
      </c>
      <c r="F414" s="140">
        <f>+SUMIFS(FINANCIACION[$ CAPITAL],FINANCIACION[Fecha],"&lt;="&amp;FINANCIACION[[#This Row],[Fecha]],FINANCIACION[PRESTAMO],FINANCIACION[[#This Row],[PRESTAMO]])</f>
        <v>-21793450</v>
      </c>
      <c r="G414" s="140"/>
      <c r="H414" s="141"/>
      <c r="I414" s="142"/>
      <c r="J414" s="140">
        <f>+IF(FINANCIACION[[#This Row],[$ CAPITAL]]&gt;0,FINANCIACION[[#This Row],[$ CAPITAL]])</f>
        <v>629790</v>
      </c>
      <c r="K414" s="143">
        <f>+IF(FINANCIACION[[#This Row],[$ CAPITAL]]&gt;=0,FINANCIACION[[#This Row],[$ CAPITAL]]+FINANCIACION[[#This Row],[$ INTERESES]],0)</f>
        <v>629790</v>
      </c>
    </row>
    <row r="415" spans="1:11" ht="24" customHeight="1" x14ac:dyDescent="0.25">
      <c r="A415" s="138">
        <v>45107</v>
      </c>
      <c r="B415" s="139" t="s">
        <v>238</v>
      </c>
      <c r="C415" s="140">
        <v>2026596</v>
      </c>
      <c r="D415" s="140"/>
      <c r="E415" s="140">
        <f>+IF(FINANCIACION[[#This Row],[$ CAPITAL]]&gt;=0,FINANCIACION[[#This Row],[$ CAPITAL]]+FINANCIACION[[#This Row],[$ INTERESES]],"")</f>
        <v>2026596</v>
      </c>
      <c r="F415" s="140">
        <f>+SUMIFS(FINANCIACION[$ CAPITAL],FINANCIACION[Fecha],"&lt;="&amp;FINANCIACION[[#This Row],[Fecha]],FINANCIACION[PRESTAMO],FINANCIACION[[#This Row],[PRESTAMO]])</f>
        <v>1238198</v>
      </c>
      <c r="G415" s="140"/>
      <c r="H415" s="141"/>
      <c r="I415" s="142"/>
      <c r="J415" s="140">
        <f>+IF(FINANCIACION[[#This Row],[$ CAPITAL]]&gt;0,FINANCIACION[[#This Row],[$ CAPITAL]])</f>
        <v>2026596</v>
      </c>
      <c r="K415" s="143">
        <f>+IF(FINANCIACION[[#This Row],[$ CAPITAL]]&gt;=0,FINANCIACION[[#This Row],[$ CAPITAL]]+FINANCIACION[[#This Row],[$ INTERESES]],0)</f>
        <v>2026596</v>
      </c>
    </row>
    <row r="416" spans="1:11" ht="24" customHeight="1" x14ac:dyDescent="0.25">
      <c r="A416" s="138">
        <v>45107</v>
      </c>
      <c r="B416" s="139" t="s">
        <v>237</v>
      </c>
      <c r="C416" s="140">
        <v>-862409</v>
      </c>
      <c r="D416" s="140"/>
      <c r="E416" s="140" t="str">
        <f>+IF(FINANCIACION[[#This Row],[$ CAPITAL]]&gt;=0,FINANCIACION[[#This Row],[$ CAPITAL]]+FINANCIACION[[#This Row],[$ INTERESES]],"")</f>
        <v/>
      </c>
      <c r="F416" s="140">
        <f>+SUMIFS(FINANCIACION[$ CAPITAL],FINANCIACION[Fecha],"&lt;="&amp;FINANCIACION[[#This Row],[Fecha]],FINANCIACION[PRESTAMO],FINANCIACION[[#This Row],[PRESTAMO]])</f>
        <v>-20221882</v>
      </c>
      <c r="G416" s="140"/>
      <c r="H416" s="141"/>
      <c r="I416" s="142"/>
      <c r="J416" s="140" t="b">
        <f>+IF(FINANCIACION[[#This Row],[$ CAPITAL]]&gt;0,FINANCIACION[[#This Row],[$ CAPITAL]])</f>
        <v>0</v>
      </c>
      <c r="K416" s="143">
        <f>+IF(FINANCIACION[[#This Row],[$ CAPITAL]]&gt;=0,FINANCIACION[[#This Row],[$ CAPITAL]]+FINANCIACION[[#This Row],[$ INTERESES]],0)</f>
        <v>0</v>
      </c>
    </row>
    <row r="417" spans="1:11" ht="24" customHeight="1" x14ac:dyDescent="0.25">
      <c r="A417" s="138">
        <v>45111</v>
      </c>
      <c r="B417" s="139" t="s">
        <v>218</v>
      </c>
      <c r="C417" s="140">
        <v>3794920</v>
      </c>
      <c r="D417" s="140">
        <v>3130802</v>
      </c>
      <c r="E417" s="140">
        <f>+IF(FINANCIACION[[#This Row],[$ CAPITAL]]&gt;=0,FINANCIACION[[#This Row],[$ CAPITAL]]+FINANCIACION[[#This Row],[$ INTERESES]],"")</f>
        <v>6925722</v>
      </c>
      <c r="F417" s="140">
        <f>+SUMIFS(FINANCIACION[$ CAPITAL],FINANCIACION[Fecha],"&lt;="&amp;FINANCIACION[[#This Row],[Fecha]],FINANCIACION[PRESTAMO],FINANCIACION[[#This Row],[PRESTAMO]])</f>
        <v>-131302430</v>
      </c>
      <c r="G417" s="140"/>
      <c r="H417" s="141"/>
      <c r="I417" s="142"/>
      <c r="J417" s="140">
        <f>+IF(FINANCIACION[[#This Row],[$ CAPITAL]]&gt;0,FINANCIACION[[#This Row],[$ CAPITAL]])</f>
        <v>3794920</v>
      </c>
      <c r="K417" s="143">
        <f>+IF(FINANCIACION[[#This Row],[$ CAPITAL]]&gt;=0,FINANCIACION[[#This Row],[$ CAPITAL]]+FINANCIACION[[#This Row],[$ INTERESES]],0)</f>
        <v>6925722</v>
      </c>
    </row>
    <row r="418" spans="1:11" ht="24" customHeight="1" x14ac:dyDescent="0.25">
      <c r="A418" s="138">
        <v>45118</v>
      </c>
      <c r="B418" s="139" t="s">
        <v>141</v>
      </c>
      <c r="C418" s="140"/>
      <c r="D418" s="140">
        <v>130000</v>
      </c>
      <c r="E418" s="140">
        <f>+IF(FINANCIACION[[#This Row],[$ CAPITAL]]&gt;=0,FINANCIACION[[#This Row],[$ CAPITAL]]+FINANCIACION[[#This Row],[$ INTERESES]],"")</f>
        <v>130000</v>
      </c>
      <c r="F418" s="140">
        <f>+SUMIFS(FINANCIACION[$ CAPITAL],FINANCIACION[Fecha],"&lt;="&amp;FINANCIACION[[#This Row],[Fecha]],FINANCIACION[PRESTAMO],FINANCIACION[[#This Row],[PRESTAMO]])</f>
        <v>-13000000</v>
      </c>
      <c r="G418" s="140"/>
      <c r="H418" s="141"/>
      <c r="I418" s="142"/>
      <c r="J418" s="140" t="b">
        <f>+IF(FINANCIACION[[#This Row],[$ CAPITAL]]&gt;0,FINANCIACION[[#This Row],[$ CAPITAL]])</f>
        <v>0</v>
      </c>
      <c r="K418" s="143">
        <f>+IF(FINANCIACION[[#This Row],[$ CAPITAL]]&gt;=0,FINANCIACION[[#This Row],[$ CAPITAL]]+FINANCIACION[[#This Row],[$ INTERESES]],0)</f>
        <v>130000</v>
      </c>
    </row>
    <row r="419" spans="1:11" ht="24" customHeight="1" x14ac:dyDescent="0.25">
      <c r="A419" s="138">
        <v>45118</v>
      </c>
      <c r="B419" s="139" t="s">
        <v>219</v>
      </c>
      <c r="C419" s="140"/>
      <c r="D419" s="140">
        <v>200000</v>
      </c>
      <c r="E419" s="140">
        <f>+IF(FINANCIACION[[#This Row],[$ CAPITAL]]&gt;=0,FINANCIACION[[#This Row],[$ CAPITAL]]+FINANCIACION[[#This Row],[$ INTERESES]],"")</f>
        <v>200000</v>
      </c>
      <c r="F419" s="140">
        <f>+SUMIFS(FINANCIACION[$ CAPITAL],FINANCIACION[Fecha],"&lt;="&amp;FINANCIACION[[#This Row],[Fecha]],FINANCIACION[PRESTAMO],FINANCIACION[[#This Row],[PRESTAMO]])</f>
        <v>-20000000</v>
      </c>
      <c r="G419" s="140"/>
      <c r="H419" s="141"/>
      <c r="I419" s="142"/>
      <c r="J419" s="140" t="b">
        <f>+IF(FINANCIACION[[#This Row],[$ CAPITAL]]&gt;0,FINANCIACION[[#This Row],[$ CAPITAL]])</f>
        <v>0</v>
      </c>
      <c r="K419" s="143">
        <f>+IF(FINANCIACION[[#This Row],[$ CAPITAL]]&gt;=0,FINANCIACION[[#This Row],[$ CAPITAL]]+FINANCIACION[[#This Row],[$ INTERESES]],0)</f>
        <v>200000</v>
      </c>
    </row>
    <row r="420" spans="1:11" ht="24" customHeight="1" x14ac:dyDescent="0.25">
      <c r="A420" s="138">
        <v>45118</v>
      </c>
      <c r="B420" s="139" t="s">
        <v>143</v>
      </c>
      <c r="C420" s="140"/>
      <c r="D420" s="140">
        <v>350000</v>
      </c>
      <c r="E420" s="140">
        <f>+IF(FINANCIACION[[#This Row],[$ CAPITAL]]&gt;=0,FINANCIACION[[#This Row],[$ CAPITAL]]+FINANCIACION[[#This Row],[$ INTERESES]],"")</f>
        <v>350000</v>
      </c>
      <c r="F420" s="140">
        <f>+SUMIFS(FINANCIACION[$ CAPITAL],FINANCIACION[Fecha],"&lt;="&amp;FINANCIACION[[#This Row],[Fecha]],FINANCIACION[PRESTAMO],FINANCIACION[[#This Row],[PRESTAMO]])</f>
        <v>-35000000</v>
      </c>
      <c r="G420" s="140"/>
      <c r="H420" s="141"/>
      <c r="I420" s="142"/>
      <c r="J420" s="140" t="b">
        <f>+IF(FINANCIACION[[#This Row],[$ CAPITAL]]&gt;0,FINANCIACION[[#This Row],[$ CAPITAL]])</f>
        <v>0</v>
      </c>
      <c r="K420" s="143">
        <f>+IF(FINANCIACION[[#This Row],[$ CAPITAL]]&gt;=0,FINANCIACION[[#This Row],[$ CAPITAL]]+FINANCIACION[[#This Row],[$ INTERESES]],0)</f>
        <v>350000</v>
      </c>
    </row>
    <row r="421" spans="1:11" ht="24" customHeight="1" x14ac:dyDescent="0.25">
      <c r="A421" s="138">
        <v>45118</v>
      </c>
      <c r="B421" s="139" t="s">
        <v>138</v>
      </c>
      <c r="C421" s="140">
        <v>1121492</v>
      </c>
      <c r="D421" s="140">
        <v>178508</v>
      </c>
      <c r="E421" s="140">
        <f>+IF(FINANCIACION[[#This Row],[$ CAPITAL]]&gt;=0,FINANCIACION[[#This Row],[$ CAPITAL]]+FINANCIACION[[#This Row],[$ INTERESES]],"")</f>
        <v>1300000</v>
      </c>
      <c r="F421" s="140">
        <f>+SUMIFS(FINANCIACION[$ CAPITAL],FINANCIACION[Fecha],"&lt;="&amp;FINANCIACION[[#This Row],[Fecha]],FINANCIACION[PRESTAMO],FINANCIACION[[#This Row],[PRESTAMO]])</f>
        <v>-16729213.911759749</v>
      </c>
      <c r="G421" s="140"/>
      <c r="H421" s="141"/>
      <c r="I421" s="142"/>
      <c r="J421" s="140">
        <f>+IF(FINANCIACION[[#This Row],[$ CAPITAL]]&gt;0,FINANCIACION[[#This Row],[$ CAPITAL]])</f>
        <v>1121492</v>
      </c>
      <c r="K421" s="143">
        <f>+IF(FINANCIACION[[#This Row],[$ CAPITAL]]&gt;=0,FINANCIACION[[#This Row],[$ CAPITAL]]+FINANCIACION[[#This Row],[$ INTERESES]],0)</f>
        <v>1300000</v>
      </c>
    </row>
    <row r="422" spans="1:11" ht="24" customHeight="1" x14ac:dyDescent="0.25">
      <c r="A422" s="138">
        <v>45120</v>
      </c>
      <c r="B422" s="139" t="s">
        <v>219</v>
      </c>
      <c r="C422" s="140">
        <v>-50000000</v>
      </c>
      <c r="D422" s="140"/>
      <c r="E422" s="140" t="str">
        <f>+IF(FINANCIACION[[#This Row],[$ CAPITAL]]&gt;=0,FINANCIACION[[#This Row],[$ CAPITAL]]+FINANCIACION[[#This Row],[$ INTERESES]],"")</f>
        <v/>
      </c>
      <c r="F422" s="140">
        <f>+SUMIFS(FINANCIACION[$ CAPITAL],FINANCIACION[Fecha],"&lt;="&amp;FINANCIACION[[#This Row],[Fecha]],FINANCIACION[PRESTAMO],FINANCIACION[[#This Row],[PRESTAMO]])</f>
        <v>-70000000</v>
      </c>
      <c r="G422" s="140"/>
      <c r="H422" s="141"/>
      <c r="I422" s="142"/>
      <c r="J422" s="140" t="b">
        <f>+IF(FINANCIACION[[#This Row],[$ CAPITAL]]&gt;0,FINANCIACION[[#This Row],[$ CAPITAL]])</f>
        <v>0</v>
      </c>
      <c r="K422" s="143">
        <f>+IF(FINANCIACION[[#This Row],[$ CAPITAL]]&gt;=0,FINANCIACION[[#This Row],[$ CAPITAL]]+FINANCIACION[[#This Row],[$ INTERESES]],0)</f>
        <v>0</v>
      </c>
    </row>
    <row r="423" spans="1:11" ht="24" customHeight="1" x14ac:dyDescent="0.25">
      <c r="A423" s="138">
        <v>45120</v>
      </c>
      <c r="B423" s="139" t="s">
        <v>218</v>
      </c>
      <c r="C423" s="140">
        <v>17000000</v>
      </c>
      <c r="D423" s="140">
        <v>3000000</v>
      </c>
      <c r="E423" s="140">
        <f>+IF(FINANCIACION[[#This Row],[$ CAPITAL]]&gt;=0,FINANCIACION[[#This Row],[$ CAPITAL]]+FINANCIACION[[#This Row],[$ INTERESES]],"")</f>
        <v>20000000</v>
      </c>
      <c r="F423" s="140">
        <f>+SUMIFS(FINANCIACION[$ CAPITAL],FINANCIACION[Fecha],"&lt;="&amp;FINANCIACION[[#This Row],[Fecha]],FINANCIACION[PRESTAMO],FINANCIACION[[#This Row],[PRESTAMO]])</f>
        <v>-114302430</v>
      </c>
      <c r="G423" s="140"/>
      <c r="H423" s="141"/>
      <c r="I423" s="142"/>
      <c r="J423" s="140">
        <f>+IF(FINANCIACION[[#This Row],[$ CAPITAL]]&gt;0,FINANCIACION[[#This Row],[$ CAPITAL]])</f>
        <v>17000000</v>
      </c>
      <c r="K423" s="143">
        <f>+IF(FINANCIACION[[#This Row],[$ CAPITAL]]&gt;=0,FINANCIACION[[#This Row],[$ CAPITAL]]+FINANCIACION[[#This Row],[$ INTERESES]],0)</f>
        <v>20000000</v>
      </c>
    </row>
    <row r="424" spans="1:11" ht="24" customHeight="1" x14ac:dyDescent="0.25">
      <c r="A424" s="138">
        <v>45121</v>
      </c>
      <c r="B424" s="139" t="s">
        <v>218</v>
      </c>
      <c r="C424" s="140">
        <v>30000000</v>
      </c>
      <c r="D424" s="140"/>
      <c r="E424" s="140">
        <f>+IF(FINANCIACION[[#This Row],[$ CAPITAL]]&gt;=0,FINANCIACION[[#This Row],[$ CAPITAL]]+FINANCIACION[[#This Row],[$ INTERESES]],"")</f>
        <v>30000000</v>
      </c>
      <c r="F424" s="140">
        <f>+SUMIFS(FINANCIACION[$ CAPITAL],FINANCIACION[Fecha],"&lt;="&amp;FINANCIACION[[#This Row],[Fecha]],FINANCIACION[PRESTAMO],FINANCIACION[[#This Row],[PRESTAMO]])</f>
        <v>-84302430</v>
      </c>
      <c r="G424" s="140"/>
      <c r="H424" s="141"/>
      <c r="I424" s="142"/>
      <c r="J424" s="140">
        <f>+IF(FINANCIACION[[#This Row],[$ CAPITAL]]&gt;0,FINANCIACION[[#This Row],[$ CAPITAL]])</f>
        <v>30000000</v>
      </c>
      <c r="K424" s="143">
        <f>+IF(FINANCIACION[[#This Row],[$ CAPITAL]]&gt;=0,FINANCIACION[[#This Row],[$ CAPITAL]]+FINANCIACION[[#This Row],[$ INTERESES]],0)</f>
        <v>30000000</v>
      </c>
    </row>
    <row r="425" spans="1:11" ht="24" customHeight="1" x14ac:dyDescent="0.25">
      <c r="A425" s="138">
        <v>45125</v>
      </c>
      <c r="B425" s="139" t="s">
        <v>146</v>
      </c>
      <c r="C425" s="140"/>
      <c r="D425" s="140">
        <v>750000</v>
      </c>
      <c r="E425" s="140">
        <f>+IF(FINANCIACION[[#This Row],[$ CAPITAL]]&gt;=0,FINANCIACION[[#This Row],[$ CAPITAL]]+FINANCIACION[[#This Row],[$ INTERESES]],"")</f>
        <v>750000</v>
      </c>
      <c r="F425" s="140">
        <f>+SUMIFS(FINANCIACION[$ CAPITAL],FINANCIACION[Fecha],"&lt;="&amp;FINANCIACION[[#This Row],[Fecha]],FINANCIACION[PRESTAMO],FINANCIACION[[#This Row],[PRESTAMO]])</f>
        <v>-75000000</v>
      </c>
      <c r="G425" s="140"/>
      <c r="H425" s="141"/>
      <c r="I425" s="142"/>
      <c r="J425" s="140" t="b">
        <f>+IF(FINANCIACION[[#This Row],[$ CAPITAL]]&gt;0,FINANCIACION[[#This Row],[$ CAPITAL]])</f>
        <v>0</v>
      </c>
      <c r="K425" s="143">
        <f>+IF(FINANCIACION[[#This Row],[$ CAPITAL]]&gt;=0,FINANCIACION[[#This Row],[$ CAPITAL]]+FINANCIACION[[#This Row],[$ INTERESES]],0)</f>
        <v>750000</v>
      </c>
    </row>
    <row r="426" spans="1:11" ht="24" customHeight="1" x14ac:dyDescent="0.25">
      <c r="A426" s="138">
        <v>45125</v>
      </c>
      <c r="B426" s="139" t="s">
        <v>137</v>
      </c>
      <c r="C426" s="140">
        <v>1228646</v>
      </c>
      <c r="D426" s="140">
        <v>6267593</v>
      </c>
      <c r="E426" s="140">
        <f>+IF(FINANCIACION[[#This Row],[$ CAPITAL]]&gt;=0,FINANCIACION[[#This Row],[$ CAPITAL]]+FINANCIACION[[#This Row],[$ INTERESES]],"")</f>
        <v>7496239</v>
      </c>
      <c r="F426" s="140">
        <f>+SUMIFS(FINANCIACION[$ CAPITAL],FINANCIACION[Fecha],"&lt;="&amp;FINANCIACION[[#This Row],[Fecha]],FINANCIACION[PRESTAMO],FINANCIACION[[#This Row],[PRESTAMO]])</f>
        <v>-347178827</v>
      </c>
      <c r="G426" s="140"/>
      <c r="H426" s="141"/>
      <c r="I426" s="142"/>
      <c r="J426" s="140">
        <f>+IF(FINANCIACION[[#This Row],[$ CAPITAL]]&gt;0,FINANCIACION[[#This Row],[$ CAPITAL]])</f>
        <v>1228646</v>
      </c>
      <c r="K426" s="143">
        <f>+IF(FINANCIACION[[#This Row],[$ CAPITAL]]&gt;=0,FINANCIACION[[#This Row],[$ CAPITAL]]+FINANCIACION[[#This Row],[$ INTERESES]],0)</f>
        <v>7496239</v>
      </c>
    </row>
    <row r="427" spans="1:11" ht="24" customHeight="1" x14ac:dyDescent="0.25">
      <c r="A427" s="138">
        <v>45126</v>
      </c>
      <c r="B427" s="139" t="s">
        <v>136</v>
      </c>
      <c r="C427" s="140">
        <v>1503473</v>
      </c>
      <c r="D427" s="140">
        <v>496527</v>
      </c>
      <c r="E427" s="140">
        <f>+IF(FINANCIACION[[#This Row],[$ CAPITAL]]&gt;=0,FINANCIACION[[#This Row],[$ CAPITAL]]+FINANCIACION[[#This Row],[$ INTERESES]],"")</f>
        <v>2000000</v>
      </c>
      <c r="F427" s="140">
        <f>+SUMIFS(FINANCIACION[$ CAPITAL],FINANCIACION[Fecha],"&lt;="&amp;FINANCIACION[[#This Row],[Fecha]],FINANCIACION[PRESTAMO],FINANCIACION[[#This Row],[PRESTAMO]])</f>
        <v>-48149184.132834516</v>
      </c>
      <c r="G427" s="140"/>
      <c r="H427" s="141"/>
      <c r="I427" s="142"/>
      <c r="J427" s="140">
        <f>+IF(FINANCIACION[[#This Row],[$ CAPITAL]]&gt;0,FINANCIACION[[#This Row],[$ CAPITAL]])</f>
        <v>1503473</v>
      </c>
      <c r="K427" s="143">
        <f>+IF(FINANCIACION[[#This Row],[$ CAPITAL]]&gt;=0,FINANCIACION[[#This Row],[$ CAPITAL]]+FINANCIACION[[#This Row],[$ INTERESES]],0)</f>
        <v>2000000</v>
      </c>
    </row>
    <row r="428" spans="1:11" ht="24" customHeight="1" x14ac:dyDescent="0.25">
      <c r="A428" s="138">
        <v>45128</v>
      </c>
      <c r="B428" s="139" t="s">
        <v>135</v>
      </c>
      <c r="C428" s="140">
        <v>662949</v>
      </c>
      <c r="D428" s="140">
        <v>337051</v>
      </c>
      <c r="E428" s="140">
        <f>+IF(FINANCIACION[[#This Row],[$ CAPITAL]]&gt;=0,FINANCIACION[[#This Row],[$ CAPITAL]]+FINANCIACION[[#This Row],[$ INTERESES]],"")</f>
        <v>1000000</v>
      </c>
      <c r="F428" s="140">
        <f>+SUMIFS(FINANCIACION[$ CAPITAL],FINANCIACION[Fecha],"&lt;="&amp;FINANCIACION[[#This Row],[Fecha]],FINANCIACION[PRESTAMO],FINANCIACION[[#This Row],[PRESTAMO]])</f>
        <v>-33042203.484479994</v>
      </c>
      <c r="G428" s="140"/>
      <c r="H428" s="141"/>
      <c r="I428" s="142"/>
      <c r="J428" s="140">
        <f>+IF(FINANCIACION[[#This Row],[$ CAPITAL]]&gt;0,FINANCIACION[[#This Row],[$ CAPITAL]])</f>
        <v>662949</v>
      </c>
      <c r="K428" s="143">
        <f>+IF(FINANCIACION[[#This Row],[$ CAPITAL]]&gt;=0,FINANCIACION[[#This Row],[$ CAPITAL]]+FINANCIACION[[#This Row],[$ INTERESES]],0)</f>
        <v>1000000</v>
      </c>
    </row>
    <row r="429" spans="1:11" ht="24" customHeight="1" x14ac:dyDescent="0.25">
      <c r="A429" s="138">
        <v>45131</v>
      </c>
      <c r="B429" s="139" t="s">
        <v>239</v>
      </c>
      <c r="C429" s="140">
        <v>1481482</v>
      </c>
      <c r="D429" s="140">
        <v>862214</v>
      </c>
      <c r="E429" s="140">
        <f>+IF(FINANCIACION[[#This Row],[$ CAPITAL]]&gt;=0,FINANCIACION[[#This Row],[$ CAPITAL]]+FINANCIACION[[#This Row],[$ INTERESES]],"")</f>
        <v>2343696</v>
      </c>
      <c r="F429" s="140">
        <f>+SUMIFS(FINANCIACION[$ CAPITAL],FINANCIACION[Fecha],"&lt;="&amp;FINANCIACION[[#This Row],[Fecha]],FINANCIACION[PRESTAMO],FINANCIACION[[#This Row],[PRESTAMO]])</f>
        <v>-59368218.449999988</v>
      </c>
      <c r="G429" s="140"/>
      <c r="H429" s="141"/>
      <c r="I429" s="142"/>
      <c r="J429" s="140">
        <f>+IF(FINANCIACION[[#This Row],[$ CAPITAL]]&gt;0,FINANCIACION[[#This Row],[$ CAPITAL]])</f>
        <v>1481482</v>
      </c>
      <c r="K429" s="143">
        <f>+IF(FINANCIACION[[#This Row],[$ CAPITAL]]&gt;=0,FINANCIACION[[#This Row],[$ CAPITAL]]+FINANCIACION[[#This Row],[$ INTERESES]],0)</f>
        <v>2343696</v>
      </c>
    </row>
    <row r="430" spans="1:11" ht="24" customHeight="1" x14ac:dyDescent="0.25">
      <c r="A430" s="138">
        <v>45138</v>
      </c>
      <c r="B430" s="139" t="s">
        <v>216</v>
      </c>
      <c r="C430" s="140">
        <v>0</v>
      </c>
      <c r="D430" s="140"/>
      <c r="E430" s="140">
        <f>+IF(FINANCIACION[[#This Row],[$ CAPITAL]]&gt;=0,FINANCIACION[[#This Row],[$ CAPITAL]]+FINANCIACION[[#This Row],[$ INTERESES]],"")</f>
        <v>0</v>
      </c>
      <c r="F430" s="140">
        <f>+SUMIFS(FINANCIACION[$ CAPITAL],FINANCIACION[Fecha],"&lt;="&amp;FINANCIACION[[#This Row],[Fecha]],FINANCIACION[PRESTAMO],FINANCIACION[[#This Row],[PRESTAMO]])</f>
        <v>-53691702</v>
      </c>
      <c r="G430" s="140"/>
      <c r="H430" s="141"/>
      <c r="I430" s="142"/>
      <c r="J430" s="140" t="b">
        <f>+IF(FINANCIACION[[#This Row],[$ CAPITAL]]&gt;0,FINANCIACION[[#This Row],[$ CAPITAL]])</f>
        <v>0</v>
      </c>
      <c r="K430" s="143">
        <f>+IF(FINANCIACION[[#This Row],[$ CAPITAL]]&gt;=0,FINANCIACION[[#This Row],[$ CAPITAL]]+FINANCIACION[[#This Row],[$ INTERESES]],0)</f>
        <v>0</v>
      </c>
    </row>
    <row r="431" spans="1:11" ht="24" customHeight="1" x14ac:dyDescent="0.25">
      <c r="A431" s="138">
        <v>45138</v>
      </c>
      <c r="B431" s="139" t="s">
        <v>236</v>
      </c>
      <c r="C431" s="140">
        <v>17952450</v>
      </c>
      <c r="D431" s="140"/>
      <c r="E431" s="140">
        <f>+IF(FINANCIACION[[#This Row],[$ CAPITAL]]&gt;=0,FINANCIACION[[#This Row],[$ CAPITAL]]+FINANCIACION[[#This Row],[$ INTERESES]],"")</f>
        <v>17952450</v>
      </c>
      <c r="F431" s="140">
        <f>+SUMIFS(FINANCIACION[$ CAPITAL],FINANCIACION[Fecha],"&lt;="&amp;FINANCIACION[[#This Row],[Fecha]],FINANCIACION[PRESTAMO],FINANCIACION[[#This Row],[PRESTAMO]])</f>
        <v>-3841000</v>
      </c>
      <c r="G431" s="140"/>
      <c r="H431" s="141"/>
      <c r="I431" s="142"/>
      <c r="J431" s="140">
        <f>+IF(FINANCIACION[[#This Row],[$ CAPITAL]]&gt;0,FINANCIACION[[#This Row],[$ CAPITAL]])</f>
        <v>17952450</v>
      </c>
      <c r="K431" s="143">
        <f>+IF(FINANCIACION[[#This Row],[$ CAPITAL]]&gt;=0,FINANCIACION[[#This Row],[$ CAPITAL]]+FINANCIACION[[#This Row],[$ INTERESES]],0)</f>
        <v>17952450</v>
      </c>
    </row>
    <row r="432" spans="1:11" ht="24" customHeight="1" x14ac:dyDescent="0.25">
      <c r="A432" s="138">
        <v>45138</v>
      </c>
      <c r="B432" s="139" t="s">
        <v>238</v>
      </c>
      <c r="C432" s="140">
        <v>373808</v>
      </c>
      <c r="D432" s="140"/>
      <c r="E432" s="140">
        <f>+IF(FINANCIACION[[#This Row],[$ CAPITAL]]&gt;=0,FINANCIACION[[#This Row],[$ CAPITAL]]+FINANCIACION[[#This Row],[$ INTERESES]],"")</f>
        <v>373808</v>
      </c>
      <c r="F432" s="140">
        <f>+SUMIFS(FINANCIACION[$ CAPITAL],FINANCIACION[Fecha],"&lt;="&amp;FINANCIACION[[#This Row],[Fecha]],FINANCIACION[PRESTAMO],FINANCIACION[[#This Row],[PRESTAMO]])</f>
        <v>1612006</v>
      </c>
      <c r="G432" s="140"/>
      <c r="H432" s="141"/>
      <c r="I432" s="142"/>
      <c r="J432" s="140">
        <f>+IF(FINANCIACION[[#This Row],[$ CAPITAL]]&gt;0,FINANCIACION[[#This Row],[$ CAPITAL]])</f>
        <v>373808</v>
      </c>
      <c r="K432" s="143">
        <f>+IF(FINANCIACION[[#This Row],[$ CAPITAL]]&gt;=0,FINANCIACION[[#This Row],[$ CAPITAL]]+FINANCIACION[[#This Row],[$ INTERESES]],0)</f>
        <v>373808</v>
      </c>
    </row>
    <row r="433" spans="1:11" ht="24" customHeight="1" x14ac:dyDescent="0.25">
      <c r="A433" s="138">
        <v>45138</v>
      </c>
      <c r="B433" s="139" t="s">
        <v>237</v>
      </c>
      <c r="C433" s="140">
        <v>-306722</v>
      </c>
      <c r="D433" s="140"/>
      <c r="E433" s="140" t="str">
        <f>+IF(FINANCIACION[[#This Row],[$ CAPITAL]]&gt;=0,FINANCIACION[[#This Row],[$ CAPITAL]]+FINANCIACION[[#This Row],[$ INTERESES]],"")</f>
        <v/>
      </c>
      <c r="F433" s="140">
        <f>+SUMIFS(FINANCIACION[$ CAPITAL],FINANCIACION[Fecha],"&lt;="&amp;FINANCIACION[[#This Row],[Fecha]],FINANCIACION[PRESTAMO],FINANCIACION[[#This Row],[PRESTAMO]])</f>
        <v>-20528604</v>
      </c>
      <c r="G433" s="140"/>
      <c r="H433" s="141"/>
      <c r="I433" s="142"/>
      <c r="J433" s="140" t="b">
        <f>+IF(FINANCIACION[[#This Row],[$ CAPITAL]]&gt;0,FINANCIACION[[#This Row],[$ CAPITAL]])</f>
        <v>0</v>
      </c>
      <c r="K433" s="143">
        <f>+IF(FINANCIACION[[#This Row],[$ CAPITAL]]&gt;=0,FINANCIACION[[#This Row],[$ CAPITAL]]+FINANCIACION[[#This Row],[$ INTERESES]],0)</f>
        <v>0</v>
      </c>
    </row>
    <row r="434" spans="1:11" ht="24" customHeight="1" x14ac:dyDescent="0.25">
      <c r="A434" s="138">
        <v>45140</v>
      </c>
      <c r="B434" s="139" t="s">
        <v>218</v>
      </c>
      <c r="C434" s="140">
        <v>0</v>
      </c>
      <c r="D434" s="140">
        <v>0</v>
      </c>
      <c r="E434" s="140">
        <f>+IF(FINANCIACION[[#This Row],[$ CAPITAL]]&gt;=0,FINANCIACION[[#This Row],[$ CAPITAL]]+FINANCIACION[[#This Row],[$ INTERESES]],"")</f>
        <v>0</v>
      </c>
      <c r="F434" s="140">
        <f>+SUMIFS(FINANCIACION[$ CAPITAL],FINANCIACION[Fecha],"&lt;="&amp;FINANCIACION[[#This Row],[Fecha]],FINANCIACION[PRESTAMO],FINANCIACION[[#This Row],[PRESTAMO]])</f>
        <v>-84302430</v>
      </c>
      <c r="G434" s="140"/>
      <c r="H434" s="141"/>
      <c r="I434" s="142"/>
      <c r="J434" s="140" t="b">
        <f>+IF(FINANCIACION[[#This Row],[$ CAPITAL]]&gt;0,FINANCIACION[[#This Row],[$ CAPITAL]])</f>
        <v>0</v>
      </c>
      <c r="K434" s="143">
        <f>+IF(FINANCIACION[[#This Row],[$ CAPITAL]]&gt;=0,FINANCIACION[[#This Row],[$ CAPITAL]]+FINANCIACION[[#This Row],[$ INTERESES]],0)</f>
        <v>0</v>
      </c>
    </row>
    <row r="435" spans="1:11" ht="24" customHeight="1" x14ac:dyDescent="0.25">
      <c r="A435" s="138">
        <v>45149</v>
      </c>
      <c r="B435" s="139" t="s">
        <v>141</v>
      </c>
      <c r="C435" s="140"/>
      <c r="D435" s="140">
        <v>130000</v>
      </c>
      <c r="E435" s="140">
        <f>+IF(FINANCIACION[[#This Row],[$ CAPITAL]]&gt;=0,FINANCIACION[[#This Row],[$ CAPITAL]]+FINANCIACION[[#This Row],[$ INTERESES]],"")</f>
        <v>130000</v>
      </c>
      <c r="F435" s="140">
        <f>+SUMIFS(FINANCIACION[$ CAPITAL],FINANCIACION[Fecha],"&lt;="&amp;FINANCIACION[[#This Row],[Fecha]],FINANCIACION[PRESTAMO],FINANCIACION[[#This Row],[PRESTAMO]])</f>
        <v>-13000000</v>
      </c>
      <c r="G435" s="140"/>
      <c r="H435" s="141"/>
      <c r="I435" s="142"/>
      <c r="J435" s="140" t="b">
        <f>+IF(FINANCIACION[[#This Row],[$ CAPITAL]]&gt;0,FINANCIACION[[#This Row],[$ CAPITAL]])</f>
        <v>0</v>
      </c>
      <c r="K435" s="143">
        <f>+IF(FINANCIACION[[#This Row],[$ CAPITAL]]&gt;=0,FINANCIACION[[#This Row],[$ CAPITAL]]+FINANCIACION[[#This Row],[$ INTERESES]],0)</f>
        <v>130000</v>
      </c>
    </row>
    <row r="436" spans="1:11" ht="24" customHeight="1" x14ac:dyDescent="0.25">
      <c r="A436" s="138">
        <v>45149</v>
      </c>
      <c r="B436" s="139" t="s">
        <v>219</v>
      </c>
      <c r="C436" s="140"/>
      <c r="D436" s="140">
        <v>700000</v>
      </c>
      <c r="E436" s="140">
        <f>+IF(FINANCIACION[[#This Row],[$ CAPITAL]]&gt;=0,FINANCIACION[[#This Row],[$ CAPITAL]]+FINANCIACION[[#This Row],[$ INTERESES]],"")</f>
        <v>700000</v>
      </c>
      <c r="F436" s="140">
        <f>+SUMIFS(FINANCIACION[$ CAPITAL],FINANCIACION[Fecha],"&lt;="&amp;FINANCIACION[[#This Row],[Fecha]],FINANCIACION[PRESTAMO],FINANCIACION[[#This Row],[PRESTAMO]])</f>
        <v>-70000000</v>
      </c>
      <c r="G436" s="140"/>
      <c r="H436" s="141"/>
      <c r="I436" s="142"/>
      <c r="J436" s="140" t="b">
        <f>+IF(FINANCIACION[[#This Row],[$ CAPITAL]]&gt;0,FINANCIACION[[#This Row],[$ CAPITAL]])</f>
        <v>0</v>
      </c>
      <c r="K436" s="143">
        <f>+IF(FINANCIACION[[#This Row],[$ CAPITAL]]&gt;=0,FINANCIACION[[#This Row],[$ CAPITAL]]+FINANCIACION[[#This Row],[$ INTERESES]],0)</f>
        <v>700000</v>
      </c>
    </row>
    <row r="437" spans="1:11" ht="24" customHeight="1" x14ac:dyDescent="0.25">
      <c r="A437" s="138">
        <v>45149</v>
      </c>
      <c r="B437" s="139" t="s">
        <v>143</v>
      </c>
      <c r="C437" s="140"/>
      <c r="D437" s="140">
        <v>350000</v>
      </c>
      <c r="E437" s="140">
        <f>+IF(FINANCIACION[[#This Row],[$ CAPITAL]]&gt;=0,FINANCIACION[[#This Row],[$ CAPITAL]]+FINANCIACION[[#This Row],[$ INTERESES]],"")</f>
        <v>350000</v>
      </c>
      <c r="F437" s="140">
        <f>+SUMIFS(FINANCIACION[$ CAPITAL],FINANCIACION[Fecha],"&lt;="&amp;FINANCIACION[[#This Row],[Fecha]],FINANCIACION[PRESTAMO],FINANCIACION[[#This Row],[PRESTAMO]])</f>
        <v>-35000000</v>
      </c>
      <c r="G437" s="140"/>
      <c r="H437" s="141"/>
      <c r="I437" s="142"/>
      <c r="J437" s="140" t="b">
        <f>+IF(FINANCIACION[[#This Row],[$ CAPITAL]]&gt;0,FINANCIACION[[#This Row],[$ CAPITAL]])</f>
        <v>0</v>
      </c>
      <c r="K437" s="143">
        <f>+IF(FINANCIACION[[#This Row],[$ CAPITAL]]&gt;=0,FINANCIACION[[#This Row],[$ CAPITAL]]+FINANCIACION[[#This Row],[$ INTERESES]],0)</f>
        <v>350000</v>
      </c>
    </row>
    <row r="438" spans="1:11" ht="24" customHeight="1" x14ac:dyDescent="0.25">
      <c r="A438" s="138">
        <v>45149</v>
      </c>
      <c r="B438" s="139" t="s">
        <v>138</v>
      </c>
      <c r="C438" s="140">
        <v>1132107.8600000001</v>
      </c>
      <c r="D438" s="140">
        <v>167892.14</v>
      </c>
      <c r="E438" s="140">
        <f>+IF(FINANCIACION[[#This Row],[$ CAPITAL]]&gt;=0,FINANCIACION[[#This Row],[$ CAPITAL]]+FINANCIACION[[#This Row],[$ INTERESES]],"")</f>
        <v>1300000</v>
      </c>
      <c r="F438" s="140">
        <f>+SUMIFS(FINANCIACION[$ CAPITAL],FINANCIACION[Fecha],"&lt;="&amp;FINANCIACION[[#This Row],[Fecha]],FINANCIACION[PRESTAMO],FINANCIACION[[#This Row],[PRESTAMO]])</f>
        <v>-15597106.05175975</v>
      </c>
      <c r="G438" s="140"/>
      <c r="H438" s="141"/>
      <c r="I438" s="142"/>
      <c r="J438" s="140">
        <f>+IF(FINANCIACION[[#This Row],[$ CAPITAL]]&gt;0,FINANCIACION[[#This Row],[$ CAPITAL]])</f>
        <v>1132107.8600000001</v>
      </c>
      <c r="K438" s="143">
        <f>+IF(FINANCIACION[[#This Row],[$ CAPITAL]]&gt;=0,FINANCIACION[[#This Row],[$ CAPITAL]]+FINANCIACION[[#This Row],[$ INTERESES]],0)</f>
        <v>1300000</v>
      </c>
    </row>
    <row r="439" spans="1:11" ht="24" customHeight="1" x14ac:dyDescent="0.25">
      <c r="A439" s="138">
        <v>45149</v>
      </c>
      <c r="B439" s="139" t="s">
        <v>140</v>
      </c>
      <c r="C439" s="140"/>
      <c r="D439" s="140">
        <v>960000</v>
      </c>
      <c r="E439" s="140">
        <f>+IF(FINANCIACION[[#This Row],[$ CAPITAL]]&gt;=0,FINANCIACION[[#This Row],[$ CAPITAL]]+FINANCIACION[[#This Row],[$ INTERESES]],"")</f>
        <v>960000</v>
      </c>
      <c r="F439" s="140">
        <f>+SUMIFS(FINANCIACION[$ CAPITAL],FINANCIACION[Fecha],"&lt;="&amp;FINANCIACION[[#This Row],[Fecha]],FINANCIACION[PRESTAMO],FINANCIACION[[#This Row],[PRESTAMO]])</f>
        <v>-8000000</v>
      </c>
      <c r="G439" s="140"/>
      <c r="H439" s="141" t="s">
        <v>940</v>
      </c>
      <c r="I439" s="142"/>
      <c r="J439" s="140" t="b">
        <f>+IF(FINANCIACION[[#This Row],[$ CAPITAL]]&gt;0,FINANCIACION[[#This Row],[$ CAPITAL]])</f>
        <v>0</v>
      </c>
      <c r="K439" s="143">
        <f>+IF(FINANCIACION[[#This Row],[$ CAPITAL]]&gt;=0,FINANCIACION[[#This Row],[$ CAPITAL]]+FINANCIACION[[#This Row],[$ INTERESES]],0)</f>
        <v>960000</v>
      </c>
    </row>
    <row r="440" spans="1:11" ht="24" customHeight="1" x14ac:dyDescent="0.25">
      <c r="A440" s="138">
        <v>45155</v>
      </c>
      <c r="B440" s="139" t="s">
        <v>135</v>
      </c>
      <c r="C440" s="140">
        <v>669577.97</v>
      </c>
      <c r="D440" s="140">
        <v>330422.03000000003</v>
      </c>
      <c r="E440" s="140">
        <f>+IF(FINANCIACION[[#This Row],[$ CAPITAL]]&gt;=0,FINANCIACION[[#This Row],[$ CAPITAL]]+FINANCIACION[[#This Row],[$ INTERESES]],"")</f>
        <v>1000000</v>
      </c>
      <c r="F440" s="140">
        <f>+SUMIFS(FINANCIACION[$ CAPITAL],FINANCIACION[Fecha],"&lt;="&amp;FINANCIACION[[#This Row],[Fecha]],FINANCIACION[PRESTAMO],FINANCIACION[[#This Row],[PRESTAMO]])</f>
        <v>-32372625.514479995</v>
      </c>
      <c r="G440" s="140"/>
      <c r="H440" s="141"/>
      <c r="I440" s="142"/>
      <c r="J440" s="140">
        <f>+IF(FINANCIACION[[#This Row],[$ CAPITAL]]&gt;0,FINANCIACION[[#This Row],[$ CAPITAL]])</f>
        <v>669577.97</v>
      </c>
      <c r="K440" s="143">
        <f>+IF(FINANCIACION[[#This Row],[$ CAPITAL]]&gt;=0,FINANCIACION[[#This Row],[$ CAPITAL]]+FINANCIACION[[#This Row],[$ INTERESES]],0)</f>
        <v>1000000</v>
      </c>
    </row>
    <row r="441" spans="1:11" ht="24" customHeight="1" x14ac:dyDescent="0.25">
      <c r="A441" s="138">
        <v>45155</v>
      </c>
      <c r="B441" s="139" t="s">
        <v>136</v>
      </c>
      <c r="C441" s="140">
        <v>1518508.16</v>
      </c>
      <c r="D441" s="140">
        <v>481491.84</v>
      </c>
      <c r="E441" s="140">
        <f>+IF(FINANCIACION[[#This Row],[$ CAPITAL]]&gt;=0,FINANCIACION[[#This Row],[$ CAPITAL]]+FINANCIACION[[#This Row],[$ INTERESES]],"")</f>
        <v>2000000</v>
      </c>
      <c r="F441" s="140">
        <f>+SUMIFS(FINANCIACION[$ CAPITAL],FINANCIACION[Fecha],"&lt;="&amp;FINANCIACION[[#This Row],[Fecha]],FINANCIACION[PRESTAMO],FINANCIACION[[#This Row],[PRESTAMO]])</f>
        <v>-46630675.97283452</v>
      </c>
      <c r="G441" s="140"/>
      <c r="H441" s="141"/>
      <c r="I441" s="142"/>
      <c r="J441" s="140">
        <f>+IF(FINANCIACION[[#This Row],[$ CAPITAL]]&gt;0,FINANCIACION[[#This Row],[$ CAPITAL]])</f>
        <v>1518508.16</v>
      </c>
      <c r="K441" s="143">
        <f>+IF(FINANCIACION[[#This Row],[$ CAPITAL]]&gt;=0,FINANCIACION[[#This Row],[$ CAPITAL]]+FINANCIACION[[#This Row],[$ INTERESES]],0)</f>
        <v>2000000</v>
      </c>
    </row>
    <row r="442" spans="1:11" ht="24" customHeight="1" x14ac:dyDescent="0.25">
      <c r="A442" s="138">
        <v>45155</v>
      </c>
      <c r="B442" s="139" t="s">
        <v>146</v>
      </c>
      <c r="C442" s="140"/>
      <c r="D442" s="140">
        <v>750000</v>
      </c>
      <c r="E442" s="140">
        <f>+IF(FINANCIACION[[#This Row],[$ CAPITAL]]&gt;=0,FINANCIACION[[#This Row],[$ CAPITAL]]+FINANCIACION[[#This Row],[$ INTERESES]],"")</f>
        <v>750000</v>
      </c>
      <c r="F442" s="140">
        <f>+SUMIFS(FINANCIACION[$ CAPITAL],FINANCIACION[Fecha],"&lt;="&amp;FINANCIACION[[#This Row],[Fecha]],FINANCIACION[PRESTAMO],FINANCIACION[[#This Row],[PRESTAMO]])</f>
        <v>-75000000</v>
      </c>
      <c r="G442" s="140"/>
      <c r="H442" s="141"/>
      <c r="I442" s="142"/>
      <c r="J442" s="140" t="b">
        <f>+IF(FINANCIACION[[#This Row],[$ CAPITAL]]&gt;0,FINANCIACION[[#This Row],[$ CAPITAL]])</f>
        <v>0</v>
      </c>
      <c r="K442" s="143">
        <f>+IF(FINANCIACION[[#This Row],[$ CAPITAL]]&gt;=0,FINANCIACION[[#This Row],[$ CAPITAL]]+FINANCIACION[[#This Row],[$ INTERESES]],0)</f>
        <v>750000</v>
      </c>
    </row>
    <row r="443" spans="1:11" ht="24" customHeight="1" x14ac:dyDescent="0.25">
      <c r="A443" s="138">
        <v>45156</v>
      </c>
      <c r="B443" s="139" t="s">
        <v>137</v>
      </c>
      <c r="C443" s="140">
        <v>1251087</v>
      </c>
      <c r="D443" s="140">
        <v>6245152</v>
      </c>
      <c r="E443" s="140">
        <f>+IF(FINANCIACION[[#This Row],[$ CAPITAL]]&gt;=0,FINANCIACION[[#This Row],[$ CAPITAL]]+FINANCIACION[[#This Row],[$ INTERESES]],"")</f>
        <v>7496239</v>
      </c>
      <c r="F443" s="140">
        <f>+SUMIFS(FINANCIACION[$ CAPITAL],FINANCIACION[Fecha],"&lt;="&amp;FINANCIACION[[#This Row],[Fecha]],FINANCIACION[PRESTAMO],FINANCIACION[[#This Row],[PRESTAMO]])</f>
        <v>-345927740</v>
      </c>
      <c r="G443" s="140"/>
      <c r="H443" s="141"/>
      <c r="I443" s="142"/>
      <c r="J443" s="140">
        <f>+IF(FINANCIACION[[#This Row],[$ CAPITAL]]&gt;0,FINANCIACION[[#This Row],[$ CAPITAL]])</f>
        <v>1251087</v>
      </c>
      <c r="K443" s="143">
        <f>+IF(FINANCIACION[[#This Row],[$ CAPITAL]]&gt;=0,FINANCIACION[[#This Row],[$ CAPITAL]]+FINANCIACION[[#This Row],[$ INTERESES]],0)</f>
        <v>7496239</v>
      </c>
    </row>
    <row r="444" spans="1:11" ht="24" customHeight="1" x14ac:dyDescent="0.25">
      <c r="A444" s="138">
        <v>45163</v>
      </c>
      <c r="B444" s="139" t="s">
        <v>239</v>
      </c>
      <c r="C444" s="140">
        <v>1481481</v>
      </c>
      <c r="D444" s="140">
        <v>860568</v>
      </c>
      <c r="E444" s="140">
        <f>+IF(FINANCIACION[[#This Row],[$ CAPITAL]]&gt;=0,FINANCIACION[[#This Row],[$ CAPITAL]]+FINANCIACION[[#This Row],[$ INTERESES]],"")</f>
        <v>2342049</v>
      </c>
      <c r="F444" s="140">
        <f>+SUMIFS(FINANCIACION[$ CAPITAL],FINANCIACION[Fecha],"&lt;="&amp;FINANCIACION[[#This Row],[Fecha]],FINANCIACION[PRESTAMO],FINANCIACION[[#This Row],[PRESTAMO]])</f>
        <v>-57886737.449999988</v>
      </c>
      <c r="G444" s="140"/>
      <c r="H444" s="141"/>
      <c r="I444" s="142"/>
      <c r="J444" s="140">
        <f>+IF(FINANCIACION[[#This Row],[$ CAPITAL]]&gt;0,FINANCIACION[[#This Row],[$ CAPITAL]])</f>
        <v>1481481</v>
      </c>
      <c r="K444" s="143">
        <f>+IF(FINANCIACION[[#This Row],[$ CAPITAL]]&gt;=0,FINANCIACION[[#This Row],[$ CAPITAL]]+FINANCIACION[[#This Row],[$ INTERESES]],0)</f>
        <v>2342049</v>
      </c>
    </row>
    <row r="445" spans="1:11" ht="24" customHeight="1" x14ac:dyDescent="0.25">
      <c r="A445" s="138">
        <v>45169</v>
      </c>
      <c r="B445" s="139" t="s">
        <v>216</v>
      </c>
      <c r="C445" s="140">
        <v>0</v>
      </c>
      <c r="D445" s="140">
        <v>0</v>
      </c>
      <c r="E445" s="140">
        <f>+IF(FINANCIACION[[#This Row],[$ CAPITAL]]&gt;=0,FINANCIACION[[#This Row],[$ CAPITAL]]+FINANCIACION[[#This Row],[$ INTERESES]],"")</f>
        <v>0</v>
      </c>
      <c r="F445" s="140">
        <f>+SUMIFS(FINANCIACION[$ CAPITAL],FINANCIACION[Fecha],"&lt;="&amp;FINANCIACION[[#This Row],[Fecha]],FINANCIACION[PRESTAMO],FINANCIACION[[#This Row],[PRESTAMO]])</f>
        <v>-53691702</v>
      </c>
      <c r="G445" s="140"/>
      <c r="H445" s="141"/>
      <c r="I445" s="142"/>
      <c r="J445" s="140" t="b">
        <f>+IF(FINANCIACION[[#This Row],[$ CAPITAL]]&gt;0,FINANCIACION[[#This Row],[$ CAPITAL]])</f>
        <v>0</v>
      </c>
      <c r="K445" s="143">
        <f>+IF(FINANCIACION[[#This Row],[$ CAPITAL]]&gt;=0,FINANCIACION[[#This Row],[$ CAPITAL]]+FINANCIACION[[#This Row],[$ INTERESES]],0)</f>
        <v>0</v>
      </c>
    </row>
    <row r="446" spans="1:11" ht="24" customHeight="1" x14ac:dyDescent="0.25">
      <c r="A446" s="138">
        <v>45169</v>
      </c>
      <c r="B446" s="139" t="s">
        <v>236</v>
      </c>
      <c r="C446" s="140">
        <v>-8247504</v>
      </c>
      <c r="D446" s="140"/>
      <c r="E446" s="140" t="str">
        <f>+IF(FINANCIACION[[#This Row],[$ CAPITAL]]&gt;=0,FINANCIACION[[#This Row],[$ CAPITAL]]+FINANCIACION[[#This Row],[$ INTERESES]],"")</f>
        <v/>
      </c>
      <c r="F446" s="140">
        <f>+SUMIFS(FINANCIACION[$ CAPITAL],FINANCIACION[Fecha],"&lt;="&amp;FINANCIACION[[#This Row],[Fecha]],FINANCIACION[PRESTAMO],FINANCIACION[[#This Row],[PRESTAMO]])</f>
        <v>-12088504</v>
      </c>
      <c r="G446" s="140"/>
      <c r="H446" s="141"/>
      <c r="I446" s="142"/>
      <c r="J446" s="140" t="b">
        <f>+IF(FINANCIACION[[#This Row],[$ CAPITAL]]&gt;0,FINANCIACION[[#This Row],[$ CAPITAL]])</f>
        <v>0</v>
      </c>
      <c r="K446" s="143">
        <f>+IF(FINANCIACION[[#This Row],[$ CAPITAL]]&gt;=0,FINANCIACION[[#This Row],[$ CAPITAL]]+FINANCIACION[[#This Row],[$ INTERESES]],0)</f>
        <v>0</v>
      </c>
    </row>
    <row r="447" spans="1:11" ht="24" customHeight="1" x14ac:dyDescent="0.25">
      <c r="A447" s="138">
        <v>45169</v>
      </c>
      <c r="B447" s="139" t="s">
        <v>238</v>
      </c>
      <c r="C447" s="140">
        <v>2206994</v>
      </c>
      <c r="D447" s="140"/>
      <c r="E447" s="140">
        <f>+IF(FINANCIACION[[#This Row],[$ CAPITAL]]&gt;=0,FINANCIACION[[#This Row],[$ CAPITAL]]+FINANCIACION[[#This Row],[$ INTERESES]],"")</f>
        <v>2206994</v>
      </c>
      <c r="F447" s="140">
        <f>+SUMIFS(FINANCIACION[$ CAPITAL],FINANCIACION[Fecha],"&lt;="&amp;FINANCIACION[[#This Row],[Fecha]],FINANCIACION[PRESTAMO],FINANCIACION[[#This Row],[PRESTAMO]])</f>
        <v>3819000</v>
      </c>
      <c r="G447" s="140"/>
      <c r="H447" s="141"/>
      <c r="I447" s="142"/>
      <c r="J447" s="140">
        <f>+IF(FINANCIACION[[#This Row],[$ CAPITAL]]&gt;0,FINANCIACION[[#This Row],[$ CAPITAL]])</f>
        <v>2206994</v>
      </c>
      <c r="K447" s="143">
        <f>+IF(FINANCIACION[[#This Row],[$ CAPITAL]]&gt;=0,FINANCIACION[[#This Row],[$ CAPITAL]]+FINANCIACION[[#This Row],[$ INTERESES]],0)</f>
        <v>2206994</v>
      </c>
    </row>
    <row r="448" spans="1:11" ht="24" customHeight="1" x14ac:dyDescent="0.25">
      <c r="A448" s="138">
        <v>45169</v>
      </c>
      <c r="B448" s="139" t="s">
        <v>237</v>
      </c>
      <c r="C448" s="140">
        <v>8669196</v>
      </c>
      <c r="D448" s="140"/>
      <c r="E448" s="140">
        <f>+IF(FINANCIACION[[#This Row],[$ CAPITAL]]&gt;=0,FINANCIACION[[#This Row],[$ CAPITAL]]+FINANCIACION[[#This Row],[$ INTERESES]],"")</f>
        <v>8669196</v>
      </c>
      <c r="F448" s="140">
        <f>+SUMIFS(FINANCIACION[$ CAPITAL],FINANCIACION[Fecha],"&lt;="&amp;FINANCIACION[[#This Row],[Fecha]],FINANCIACION[PRESTAMO],FINANCIACION[[#This Row],[PRESTAMO]])</f>
        <v>-11859408</v>
      </c>
      <c r="G448" s="140"/>
      <c r="H448" s="141"/>
      <c r="I448" s="142"/>
      <c r="J448" s="140">
        <f>+IF(FINANCIACION[[#This Row],[$ CAPITAL]]&gt;0,FINANCIACION[[#This Row],[$ CAPITAL]])</f>
        <v>8669196</v>
      </c>
      <c r="K448" s="143">
        <f>+IF(FINANCIACION[[#This Row],[$ CAPITAL]]&gt;=0,FINANCIACION[[#This Row],[$ CAPITAL]]+FINANCIACION[[#This Row],[$ INTERESES]],0)</f>
        <v>8669196</v>
      </c>
    </row>
    <row r="449" spans="1:11" ht="24" customHeight="1" x14ac:dyDescent="0.25">
      <c r="A449" s="138">
        <v>45170</v>
      </c>
      <c r="B449" s="139" t="s">
        <v>218</v>
      </c>
      <c r="C449" s="140">
        <v>3626885</v>
      </c>
      <c r="D449" s="140">
        <v>2172085</v>
      </c>
      <c r="E449" s="140">
        <f>+IF(FINANCIACION[[#This Row],[$ CAPITAL]]&gt;=0,FINANCIACION[[#This Row],[$ CAPITAL]]+FINANCIACION[[#This Row],[$ INTERESES]],"")</f>
        <v>5798970</v>
      </c>
      <c r="F449" s="140">
        <f>+SUMIFS(FINANCIACION[$ CAPITAL],FINANCIACION[Fecha],"&lt;="&amp;FINANCIACION[[#This Row],[Fecha]],FINANCIACION[PRESTAMO],FINANCIACION[[#This Row],[PRESTAMO]])</f>
        <v>-80675545</v>
      </c>
      <c r="G449" s="140"/>
      <c r="H449" s="141"/>
      <c r="I449" s="142"/>
      <c r="J449" s="140">
        <f>+IF(FINANCIACION[[#This Row],[$ CAPITAL]]&gt;0,FINANCIACION[[#This Row],[$ CAPITAL]])</f>
        <v>3626885</v>
      </c>
      <c r="K449" s="143">
        <f>+IF(FINANCIACION[[#This Row],[$ CAPITAL]]&gt;=0,FINANCIACION[[#This Row],[$ CAPITAL]]+FINANCIACION[[#This Row],[$ INTERESES]],0)</f>
        <v>5798970</v>
      </c>
    </row>
    <row r="450" spans="1:11" ht="24" customHeight="1" x14ac:dyDescent="0.25">
      <c r="A450" s="138">
        <v>45182</v>
      </c>
      <c r="B450" s="139" t="s">
        <v>138</v>
      </c>
      <c r="C450" s="140">
        <v>1144029</v>
      </c>
      <c r="D450" s="140">
        <v>155971</v>
      </c>
      <c r="E450" s="140">
        <f>+IF(FINANCIACION[[#This Row],[$ CAPITAL]]&gt;=0,FINANCIACION[[#This Row],[$ CAPITAL]]+FINANCIACION[[#This Row],[$ INTERESES]],"")</f>
        <v>1300000</v>
      </c>
      <c r="F450" s="140">
        <f>+SUMIFS(FINANCIACION[$ CAPITAL],FINANCIACION[Fecha],"&lt;="&amp;FINANCIACION[[#This Row],[Fecha]],FINANCIACION[PRESTAMO],FINANCIACION[[#This Row],[PRESTAMO]])</f>
        <v>-14453077.05175975</v>
      </c>
      <c r="G450" s="140"/>
      <c r="H450" s="141"/>
      <c r="I450" s="142"/>
      <c r="J450" s="140">
        <f>+IF(FINANCIACION[[#This Row],[$ CAPITAL]]&gt;0,FINANCIACION[[#This Row],[$ CAPITAL]])</f>
        <v>1144029</v>
      </c>
      <c r="K450" s="143">
        <f>+IF(FINANCIACION[[#This Row],[$ CAPITAL]]&gt;=0,FINANCIACION[[#This Row],[$ CAPITAL]]+FINANCIACION[[#This Row],[$ INTERESES]],0)</f>
        <v>1300000</v>
      </c>
    </row>
    <row r="451" spans="1:11" ht="24" customHeight="1" x14ac:dyDescent="0.25">
      <c r="A451" s="138">
        <v>45184</v>
      </c>
      <c r="B451" s="139" t="s">
        <v>143</v>
      </c>
      <c r="C451" s="140"/>
      <c r="D451" s="140">
        <v>350000</v>
      </c>
      <c r="E451" s="140">
        <f>+IF(FINANCIACION[[#This Row],[$ CAPITAL]]&gt;=0,FINANCIACION[[#This Row],[$ CAPITAL]]+FINANCIACION[[#This Row],[$ INTERESES]],"")</f>
        <v>350000</v>
      </c>
      <c r="F451" s="140">
        <f>+SUMIFS(FINANCIACION[$ CAPITAL],FINANCIACION[Fecha],"&lt;="&amp;FINANCIACION[[#This Row],[Fecha]],FINANCIACION[PRESTAMO],FINANCIACION[[#This Row],[PRESTAMO]])</f>
        <v>-35000000</v>
      </c>
      <c r="G451" s="140"/>
      <c r="H451" s="141"/>
      <c r="I451" s="142"/>
      <c r="J451" s="140" t="b">
        <f>+IF(FINANCIACION[[#This Row],[$ CAPITAL]]&gt;0,FINANCIACION[[#This Row],[$ CAPITAL]])</f>
        <v>0</v>
      </c>
      <c r="K451" s="143">
        <f>+IF(FINANCIACION[[#This Row],[$ CAPITAL]]&gt;=0,FINANCIACION[[#This Row],[$ CAPITAL]]+FINANCIACION[[#This Row],[$ INTERESES]],0)</f>
        <v>350000</v>
      </c>
    </row>
    <row r="452" spans="1:11" ht="24" customHeight="1" x14ac:dyDescent="0.25">
      <c r="A452" s="138">
        <v>45187</v>
      </c>
      <c r="B452" s="139" t="s">
        <v>141</v>
      </c>
      <c r="C452" s="140"/>
      <c r="D452" s="140">
        <v>130000</v>
      </c>
      <c r="E452" s="140">
        <f>+IF(FINANCIACION[[#This Row],[$ CAPITAL]]&gt;=0,FINANCIACION[[#This Row],[$ CAPITAL]]+FINANCIACION[[#This Row],[$ INTERESES]],"")</f>
        <v>130000</v>
      </c>
      <c r="F452" s="140">
        <f>+SUMIFS(FINANCIACION[$ CAPITAL],FINANCIACION[Fecha],"&lt;="&amp;FINANCIACION[[#This Row],[Fecha]],FINANCIACION[PRESTAMO],FINANCIACION[[#This Row],[PRESTAMO]])</f>
        <v>-13000000</v>
      </c>
      <c r="G452" s="140"/>
      <c r="H452" s="141"/>
      <c r="I452" s="142"/>
      <c r="J452" s="140" t="b">
        <f>+IF(FINANCIACION[[#This Row],[$ CAPITAL]]&gt;0,FINANCIACION[[#This Row],[$ CAPITAL]])</f>
        <v>0</v>
      </c>
      <c r="K452" s="143">
        <f>+IF(FINANCIACION[[#This Row],[$ CAPITAL]]&gt;=0,FINANCIACION[[#This Row],[$ CAPITAL]]+FINANCIACION[[#This Row],[$ INTERESES]],0)</f>
        <v>130000</v>
      </c>
    </row>
    <row r="453" spans="1:11" ht="24" customHeight="1" x14ac:dyDescent="0.25">
      <c r="A453" s="138">
        <v>45187</v>
      </c>
      <c r="B453" s="139" t="s">
        <v>219</v>
      </c>
      <c r="C453" s="140"/>
      <c r="D453" s="140">
        <v>700000</v>
      </c>
      <c r="E453" s="140">
        <f>+IF(FINANCIACION[[#This Row],[$ CAPITAL]]&gt;=0,FINANCIACION[[#This Row],[$ CAPITAL]]+FINANCIACION[[#This Row],[$ INTERESES]],"")</f>
        <v>700000</v>
      </c>
      <c r="F453" s="140">
        <f>+SUMIFS(FINANCIACION[$ CAPITAL],FINANCIACION[Fecha],"&lt;="&amp;FINANCIACION[[#This Row],[Fecha]],FINANCIACION[PRESTAMO],FINANCIACION[[#This Row],[PRESTAMO]])</f>
        <v>-70000000</v>
      </c>
      <c r="G453" s="140"/>
      <c r="H453" s="141"/>
      <c r="I453" s="142"/>
      <c r="J453" s="140" t="b">
        <f>+IF(FINANCIACION[[#This Row],[$ CAPITAL]]&gt;0,FINANCIACION[[#This Row],[$ CAPITAL]])</f>
        <v>0</v>
      </c>
      <c r="K453" s="143">
        <f>+IF(FINANCIACION[[#This Row],[$ CAPITAL]]&gt;=0,FINANCIACION[[#This Row],[$ CAPITAL]]+FINANCIACION[[#This Row],[$ INTERESES]],0)</f>
        <v>700000</v>
      </c>
    </row>
    <row r="454" spans="1:11" ht="24" customHeight="1" x14ac:dyDescent="0.25">
      <c r="A454" s="138">
        <v>45187</v>
      </c>
      <c r="B454" s="139" t="s">
        <v>137</v>
      </c>
      <c r="C454" s="140">
        <v>1273939</v>
      </c>
      <c r="D454" s="140">
        <v>6222300</v>
      </c>
      <c r="E454" s="140">
        <f>+IF(FINANCIACION[[#This Row],[$ CAPITAL]]&gt;=0,FINANCIACION[[#This Row],[$ CAPITAL]]+FINANCIACION[[#This Row],[$ INTERESES]],"")</f>
        <v>7496239</v>
      </c>
      <c r="F454" s="140">
        <f>+SUMIFS(FINANCIACION[$ CAPITAL],FINANCIACION[Fecha],"&lt;="&amp;FINANCIACION[[#This Row],[Fecha]],FINANCIACION[PRESTAMO],FINANCIACION[[#This Row],[PRESTAMO]])</f>
        <v>-344653801</v>
      </c>
      <c r="G454" s="140"/>
      <c r="H454" s="141"/>
      <c r="I454" s="142"/>
      <c r="J454" s="140">
        <f>+IF(FINANCIACION[[#This Row],[$ CAPITAL]]&gt;0,FINANCIACION[[#This Row],[$ CAPITAL]])</f>
        <v>1273939</v>
      </c>
      <c r="K454" s="143">
        <f>+IF(FINANCIACION[[#This Row],[$ CAPITAL]]&gt;=0,FINANCIACION[[#This Row],[$ CAPITAL]]+FINANCIACION[[#This Row],[$ INTERESES]],0)</f>
        <v>7496239</v>
      </c>
    </row>
    <row r="455" spans="1:11" ht="24" customHeight="1" x14ac:dyDescent="0.25">
      <c r="A455" s="138">
        <v>45190</v>
      </c>
      <c r="B455" s="139" t="s">
        <v>146</v>
      </c>
      <c r="C455" s="140"/>
      <c r="D455" s="140">
        <v>750000</v>
      </c>
      <c r="E455" s="140">
        <f>+IF(FINANCIACION[[#This Row],[$ CAPITAL]]&gt;=0,FINANCIACION[[#This Row],[$ CAPITAL]]+FINANCIACION[[#This Row],[$ INTERESES]],"")</f>
        <v>750000</v>
      </c>
      <c r="F455" s="140">
        <f>+SUMIFS(FINANCIACION[$ CAPITAL],FINANCIACION[Fecha],"&lt;="&amp;FINANCIACION[[#This Row],[Fecha]],FINANCIACION[PRESTAMO],FINANCIACION[[#This Row],[PRESTAMO]])</f>
        <v>-75000000</v>
      </c>
      <c r="G455" s="140"/>
      <c r="H455" s="141"/>
      <c r="I455" s="142"/>
      <c r="J455" s="140" t="b">
        <f>+IF(FINANCIACION[[#This Row],[$ CAPITAL]]&gt;0,FINANCIACION[[#This Row],[$ CAPITAL]])</f>
        <v>0</v>
      </c>
      <c r="K455" s="143">
        <f>+IF(FINANCIACION[[#This Row],[$ CAPITAL]]&gt;=0,FINANCIACION[[#This Row],[$ CAPITAL]]+FINANCIACION[[#This Row],[$ INTERESES]],0)</f>
        <v>750000</v>
      </c>
    </row>
    <row r="456" spans="1:11" ht="24" customHeight="1" x14ac:dyDescent="0.25">
      <c r="A456" s="138">
        <v>45194</v>
      </c>
      <c r="B456" s="139" t="s">
        <v>135</v>
      </c>
      <c r="C456" s="140">
        <v>676274</v>
      </c>
      <c r="D456" s="140">
        <v>323726</v>
      </c>
      <c r="E456" s="140">
        <f>+IF(FINANCIACION[[#This Row],[$ CAPITAL]]&gt;=0,FINANCIACION[[#This Row],[$ CAPITAL]]+FINANCIACION[[#This Row],[$ INTERESES]],"")</f>
        <v>1000000</v>
      </c>
      <c r="F456" s="140">
        <f>+SUMIFS(FINANCIACION[$ CAPITAL],FINANCIACION[Fecha],"&lt;="&amp;FINANCIACION[[#This Row],[Fecha]],FINANCIACION[PRESTAMO],FINANCIACION[[#This Row],[PRESTAMO]])</f>
        <v>-31696351.514479995</v>
      </c>
      <c r="G456" s="140"/>
      <c r="H456" s="141"/>
      <c r="I456" s="142"/>
      <c r="J456" s="140">
        <f>+IF(FINANCIACION[[#This Row],[$ CAPITAL]]&gt;0,FINANCIACION[[#This Row],[$ CAPITAL]])</f>
        <v>676274</v>
      </c>
      <c r="K456" s="143">
        <f>+IF(FINANCIACION[[#This Row],[$ CAPITAL]]&gt;=0,FINANCIACION[[#This Row],[$ CAPITAL]]+FINANCIACION[[#This Row],[$ INTERESES]],0)</f>
        <v>1000000</v>
      </c>
    </row>
    <row r="457" spans="1:11" ht="24" customHeight="1" x14ac:dyDescent="0.25">
      <c r="A457" s="138">
        <v>45194</v>
      </c>
      <c r="B457" s="139" t="s">
        <v>136</v>
      </c>
      <c r="C457" s="140">
        <v>1533693</v>
      </c>
      <c r="D457" s="140">
        <v>466307</v>
      </c>
      <c r="E457" s="140">
        <f>+IF(FINANCIACION[[#This Row],[$ CAPITAL]]&gt;=0,FINANCIACION[[#This Row],[$ CAPITAL]]+FINANCIACION[[#This Row],[$ INTERESES]],"")</f>
        <v>2000000</v>
      </c>
      <c r="F457" s="140">
        <f>+SUMIFS(FINANCIACION[$ CAPITAL],FINANCIACION[Fecha],"&lt;="&amp;FINANCIACION[[#This Row],[Fecha]],FINANCIACION[PRESTAMO],FINANCIACION[[#This Row],[PRESTAMO]])</f>
        <v>-45096982.97283452</v>
      </c>
      <c r="G457" s="140"/>
      <c r="H457" s="141"/>
      <c r="I457" s="142"/>
      <c r="J457" s="140">
        <f>+IF(FINANCIACION[[#This Row],[$ CAPITAL]]&gt;0,FINANCIACION[[#This Row],[$ CAPITAL]])</f>
        <v>1533693</v>
      </c>
      <c r="K457" s="143">
        <f>+IF(FINANCIACION[[#This Row],[$ CAPITAL]]&gt;=0,FINANCIACION[[#This Row],[$ CAPITAL]]+FINANCIACION[[#This Row],[$ INTERESES]],0)</f>
        <v>2000000</v>
      </c>
    </row>
    <row r="458" spans="1:11" ht="24" customHeight="1" x14ac:dyDescent="0.25">
      <c r="A458" s="138">
        <v>45194</v>
      </c>
      <c r="B458" s="139" t="s">
        <v>239</v>
      </c>
      <c r="C458" s="140">
        <v>1481481</v>
      </c>
      <c r="D458" s="140">
        <v>853352</v>
      </c>
      <c r="E458" s="140">
        <f>+IF(FINANCIACION[[#This Row],[$ CAPITAL]]&gt;=0,FINANCIACION[[#This Row],[$ CAPITAL]]+FINANCIACION[[#This Row],[$ INTERESES]],"")</f>
        <v>2334833</v>
      </c>
      <c r="F458" s="140">
        <f>+SUMIFS(FINANCIACION[$ CAPITAL],FINANCIACION[Fecha],"&lt;="&amp;FINANCIACION[[#This Row],[Fecha]],FINANCIACION[PRESTAMO],FINANCIACION[[#This Row],[PRESTAMO]])</f>
        <v>-56405256.449999988</v>
      </c>
      <c r="G458" s="140"/>
      <c r="H458" s="141"/>
      <c r="I458" s="142"/>
      <c r="J458" s="140">
        <f>+IF(FINANCIACION[[#This Row],[$ CAPITAL]]&gt;0,FINANCIACION[[#This Row],[$ CAPITAL]])</f>
        <v>1481481</v>
      </c>
      <c r="K458" s="143">
        <f>+IF(FINANCIACION[[#This Row],[$ CAPITAL]]&gt;=0,FINANCIACION[[#This Row],[$ CAPITAL]]+FINANCIACION[[#This Row],[$ INTERESES]],0)</f>
        <v>2334833</v>
      </c>
    </row>
    <row r="459" spans="1:11" ht="24" customHeight="1" x14ac:dyDescent="0.25">
      <c r="A459" s="138">
        <v>45197</v>
      </c>
      <c r="B459" s="139" t="s">
        <v>146</v>
      </c>
      <c r="C459" s="140">
        <v>-65000000</v>
      </c>
      <c r="D459" s="140"/>
      <c r="E459" s="140" t="str">
        <f>+IF(FINANCIACION[[#This Row],[$ CAPITAL]]&gt;=0,FINANCIACION[[#This Row],[$ CAPITAL]]+FINANCIACION[[#This Row],[$ INTERESES]],"")</f>
        <v/>
      </c>
      <c r="F459" s="140">
        <f>+SUMIFS(FINANCIACION[$ CAPITAL],FINANCIACION[Fecha],"&lt;="&amp;FINANCIACION[[#This Row],[Fecha]],FINANCIACION[PRESTAMO],FINANCIACION[[#This Row],[PRESTAMO]])</f>
        <v>-140000000</v>
      </c>
      <c r="G459" s="140"/>
      <c r="H459" s="141"/>
      <c r="I459" s="142"/>
      <c r="J459" s="140" t="b">
        <f>+IF(FINANCIACION[[#This Row],[$ CAPITAL]]&gt;0,FINANCIACION[[#This Row],[$ CAPITAL]])</f>
        <v>0</v>
      </c>
      <c r="K459" s="143">
        <f>+IF(FINANCIACION[[#This Row],[$ CAPITAL]]&gt;=0,FINANCIACION[[#This Row],[$ CAPITAL]]+FINANCIACION[[#This Row],[$ INTERESES]],0)</f>
        <v>0</v>
      </c>
    </row>
    <row r="460" spans="1:11" ht="24" customHeight="1" x14ac:dyDescent="0.25">
      <c r="A460" s="138">
        <v>45199</v>
      </c>
      <c r="B460" s="139" t="s">
        <v>216</v>
      </c>
      <c r="C460" s="140">
        <v>0</v>
      </c>
      <c r="D460" s="140">
        <v>0</v>
      </c>
      <c r="E460" s="140">
        <f>+IF(FINANCIACION[[#This Row],[$ CAPITAL]]&gt;=0,FINANCIACION[[#This Row],[$ CAPITAL]]+FINANCIACION[[#This Row],[$ INTERESES]],"")</f>
        <v>0</v>
      </c>
      <c r="F460" s="140">
        <f>+SUMIFS(FINANCIACION[$ CAPITAL],FINANCIACION[Fecha],"&lt;="&amp;FINANCIACION[[#This Row],[Fecha]],FINANCIACION[PRESTAMO],FINANCIACION[[#This Row],[PRESTAMO]])</f>
        <v>-53691702</v>
      </c>
      <c r="G460" s="140"/>
      <c r="H460" s="141"/>
      <c r="I460" s="142"/>
      <c r="J460" s="140" t="b">
        <f>+IF(FINANCIACION[[#This Row],[$ CAPITAL]]&gt;0,FINANCIACION[[#This Row],[$ CAPITAL]])</f>
        <v>0</v>
      </c>
      <c r="K460" s="143">
        <f>+IF(FINANCIACION[[#This Row],[$ CAPITAL]]&gt;=0,FINANCIACION[[#This Row],[$ CAPITAL]]+FINANCIACION[[#This Row],[$ INTERESES]],0)</f>
        <v>0</v>
      </c>
    </row>
    <row r="461" spans="1:11" ht="24" customHeight="1" x14ac:dyDescent="0.25">
      <c r="A461" s="138">
        <v>45199</v>
      </c>
      <c r="B461" s="139" t="s">
        <v>236</v>
      </c>
      <c r="C461" s="140">
        <v>-5702946</v>
      </c>
      <c r="D461" s="140"/>
      <c r="E461" s="140" t="str">
        <f>+IF(FINANCIACION[[#This Row],[$ CAPITAL]]&gt;=0,FINANCIACION[[#This Row],[$ CAPITAL]]+FINANCIACION[[#This Row],[$ INTERESES]],"")</f>
        <v/>
      </c>
      <c r="F461" s="140">
        <f>+SUMIFS(FINANCIACION[$ CAPITAL],FINANCIACION[Fecha],"&lt;="&amp;FINANCIACION[[#This Row],[Fecha]],FINANCIACION[PRESTAMO],FINANCIACION[[#This Row],[PRESTAMO]])</f>
        <v>-17791450</v>
      </c>
      <c r="G461" s="140"/>
      <c r="H461" s="141"/>
      <c r="I461" s="142"/>
      <c r="J461" s="140" t="b">
        <f>+IF(FINANCIACION[[#This Row],[$ CAPITAL]]&gt;0,FINANCIACION[[#This Row],[$ CAPITAL]])</f>
        <v>0</v>
      </c>
      <c r="K461" s="143">
        <f>+IF(FINANCIACION[[#This Row],[$ CAPITAL]]&gt;=0,FINANCIACION[[#This Row],[$ CAPITAL]]+FINANCIACION[[#This Row],[$ INTERESES]],0)</f>
        <v>0</v>
      </c>
    </row>
    <row r="462" spans="1:11" ht="24" customHeight="1" x14ac:dyDescent="0.25">
      <c r="A462" s="138">
        <v>45199</v>
      </c>
      <c r="B462" s="139" t="s">
        <v>238</v>
      </c>
      <c r="C462" s="140">
        <v>-2662251</v>
      </c>
      <c r="D462" s="140"/>
      <c r="E462" s="140" t="str">
        <f>+IF(FINANCIACION[[#This Row],[$ CAPITAL]]&gt;=0,FINANCIACION[[#This Row],[$ CAPITAL]]+FINANCIACION[[#This Row],[$ INTERESES]],"")</f>
        <v/>
      </c>
      <c r="F462" s="140">
        <f>+SUMIFS(FINANCIACION[$ CAPITAL],FINANCIACION[Fecha],"&lt;="&amp;FINANCIACION[[#This Row],[Fecha]],FINANCIACION[PRESTAMO],FINANCIACION[[#This Row],[PRESTAMO]])</f>
        <v>1156749</v>
      </c>
      <c r="G462" s="140"/>
      <c r="H462" s="141"/>
      <c r="I462" s="142"/>
      <c r="J462" s="140" t="b">
        <f>+IF(FINANCIACION[[#This Row],[$ CAPITAL]]&gt;0,FINANCIACION[[#This Row],[$ CAPITAL]])</f>
        <v>0</v>
      </c>
      <c r="K462" s="143">
        <f>+IF(FINANCIACION[[#This Row],[$ CAPITAL]]&gt;=0,FINANCIACION[[#This Row],[$ CAPITAL]]+FINANCIACION[[#This Row],[$ INTERESES]],0)</f>
        <v>0</v>
      </c>
    </row>
    <row r="463" spans="1:11" ht="24" customHeight="1" x14ac:dyDescent="0.25">
      <c r="A463" s="138">
        <v>45199</v>
      </c>
      <c r="B463" s="139" t="s">
        <v>237</v>
      </c>
      <c r="C463" s="140">
        <v>25180</v>
      </c>
      <c r="D463" s="140"/>
      <c r="E463" s="140">
        <f>+IF(FINANCIACION[[#This Row],[$ CAPITAL]]&gt;=0,FINANCIACION[[#This Row],[$ CAPITAL]]+FINANCIACION[[#This Row],[$ INTERESES]],"")</f>
        <v>25180</v>
      </c>
      <c r="F463" s="140">
        <f>+SUMIFS(FINANCIACION[$ CAPITAL],FINANCIACION[Fecha],"&lt;="&amp;FINANCIACION[[#This Row],[Fecha]],FINANCIACION[PRESTAMO],FINANCIACION[[#This Row],[PRESTAMO]])</f>
        <v>-11834228</v>
      </c>
      <c r="G463" s="140"/>
      <c r="H463" s="141"/>
      <c r="I463" s="142"/>
      <c r="J463" s="140">
        <f>+IF(FINANCIACION[[#This Row],[$ CAPITAL]]&gt;0,FINANCIACION[[#This Row],[$ CAPITAL]])</f>
        <v>25180</v>
      </c>
      <c r="K463" s="143">
        <f>+IF(FINANCIACION[[#This Row],[$ CAPITAL]]&gt;=0,FINANCIACION[[#This Row],[$ CAPITAL]]+FINANCIACION[[#This Row],[$ INTERESES]],0)</f>
        <v>25180</v>
      </c>
    </row>
    <row r="464" spans="1:11" ht="24" customHeight="1" x14ac:dyDescent="0.25">
      <c r="A464" s="138">
        <v>45201</v>
      </c>
      <c r="B464" s="139" t="s">
        <v>218</v>
      </c>
      <c r="C464" s="140">
        <v>3806000</v>
      </c>
      <c r="D464" s="140">
        <v>1888718</v>
      </c>
      <c r="E464" s="140">
        <f>+IF(FINANCIACION[[#This Row],[$ CAPITAL]]&gt;=0,FINANCIACION[[#This Row],[$ CAPITAL]]+FINANCIACION[[#This Row],[$ INTERESES]],"")</f>
        <v>5694718</v>
      </c>
      <c r="F464" s="140">
        <f>+SUMIFS(FINANCIACION[$ CAPITAL],FINANCIACION[Fecha],"&lt;="&amp;FINANCIACION[[#This Row],[Fecha]],FINANCIACION[PRESTAMO],FINANCIACION[[#This Row],[PRESTAMO]])</f>
        <v>-76869545</v>
      </c>
      <c r="G464" s="140"/>
      <c r="H464" s="141"/>
      <c r="I464" s="142"/>
      <c r="J464" s="140">
        <f>+IF(FINANCIACION[[#This Row],[$ CAPITAL]]&gt;0,FINANCIACION[[#This Row],[$ CAPITAL]])</f>
        <v>3806000</v>
      </c>
      <c r="K464" s="143">
        <f>+IF(FINANCIACION[[#This Row],[$ CAPITAL]]&gt;=0,FINANCIACION[[#This Row],[$ CAPITAL]]+FINANCIACION[[#This Row],[$ INTERESES]],0)</f>
        <v>5694718</v>
      </c>
    </row>
    <row r="465" spans="1:11" ht="24" customHeight="1" x14ac:dyDescent="0.25">
      <c r="A465" s="138">
        <v>45210</v>
      </c>
      <c r="B465" s="139" t="s">
        <v>141</v>
      </c>
      <c r="C465" s="140"/>
      <c r="D465" s="140">
        <v>130000</v>
      </c>
      <c r="E465" s="140">
        <f>+IF(FINANCIACION[[#This Row],[$ CAPITAL]]&gt;=0,FINANCIACION[[#This Row],[$ CAPITAL]]+FINANCIACION[[#This Row],[$ INTERESES]],"")</f>
        <v>130000</v>
      </c>
      <c r="F465" s="140">
        <f>+SUMIFS(FINANCIACION[$ CAPITAL],FINANCIACION[Fecha],"&lt;="&amp;FINANCIACION[[#This Row],[Fecha]],FINANCIACION[PRESTAMO],FINANCIACION[[#This Row],[PRESTAMO]])</f>
        <v>-13000000</v>
      </c>
      <c r="G465" s="140"/>
      <c r="H465" s="141"/>
      <c r="I465" s="142"/>
      <c r="J465" s="140" t="b">
        <f>+IF(FINANCIACION[[#This Row],[$ CAPITAL]]&gt;0,FINANCIACION[[#This Row],[$ CAPITAL]])</f>
        <v>0</v>
      </c>
      <c r="K465" s="143">
        <f>+IF(FINANCIACION[[#This Row],[$ CAPITAL]]&gt;=0,FINANCIACION[[#This Row],[$ CAPITAL]]+FINANCIACION[[#This Row],[$ INTERESES]],0)</f>
        <v>130000</v>
      </c>
    </row>
    <row r="466" spans="1:11" ht="24" customHeight="1" x14ac:dyDescent="0.25">
      <c r="A466" s="138">
        <v>45210</v>
      </c>
      <c r="B466" s="139" t="s">
        <v>143</v>
      </c>
      <c r="C466" s="140"/>
      <c r="D466" s="140">
        <v>350000</v>
      </c>
      <c r="E466" s="140">
        <f>+IF(FINANCIACION[[#This Row],[$ CAPITAL]]&gt;=0,FINANCIACION[[#This Row],[$ CAPITAL]]+FINANCIACION[[#This Row],[$ INTERESES]],"")</f>
        <v>350000</v>
      </c>
      <c r="F466" s="140">
        <f>+SUMIFS(FINANCIACION[$ CAPITAL],FINANCIACION[Fecha],"&lt;="&amp;FINANCIACION[[#This Row],[Fecha]],FINANCIACION[PRESTAMO],FINANCIACION[[#This Row],[PRESTAMO]])</f>
        <v>-35000000</v>
      </c>
      <c r="G466" s="140"/>
      <c r="H466" s="141"/>
      <c r="I466" s="142"/>
      <c r="J466" s="140" t="b">
        <f>+IF(FINANCIACION[[#This Row],[$ CAPITAL]]&gt;0,FINANCIACION[[#This Row],[$ CAPITAL]])</f>
        <v>0</v>
      </c>
      <c r="K466" s="143">
        <f>+IF(FINANCIACION[[#This Row],[$ CAPITAL]]&gt;=0,FINANCIACION[[#This Row],[$ CAPITAL]]+FINANCIACION[[#This Row],[$ INTERESES]],0)</f>
        <v>350000</v>
      </c>
    </row>
    <row r="467" spans="1:11" ht="24" customHeight="1" x14ac:dyDescent="0.25">
      <c r="A467" s="138">
        <v>45210</v>
      </c>
      <c r="B467" s="139" t="s">
        <v>138</v>
      </c>
      <c r="C467" s="140">
        <v>1155469</v>
      </c>
      <c r="D467" s="140">
        <v>144531</v>
      </c>
      <c r="E467" s="140">
        <f>+IF(FINANCIACION[[#This Row],[$ CAPITAL]]&gt;=0,FINANCIACION[[#This Row],[$ CAPITAL]]+FINANCIACION[[#This Row],[$ INTERESES]],"")</f>
        <v>1300000</v>
      </c>
      <c r="F467" s="140">
        <f>+SUMIFS(FINANCIACION[$ CAPITAL],FINANCIACION[Fecha],"&lt;="&amp;FINANCIACION[[#This Row],[Fecha]],FINANCIACION[PRESTAMO],FINANCIACION[[#This Row],[PRESTAMO]])</f>
        <v>-13297608.05175975</v>
      </c>
      <c r="G467" s="140"/>
      <c r="H467" s="141"/>
      <c r="I467" s="142"/>
      <c r="J467" s="140">
        <f>+IF(FINANCIACION[[#This Row],[$ CAPITAL]]&gt;0,FINANCIACION[[#This Row],[$ CAPITAL]])</f>
        <v>1155469</v>
      </c>
      <c r="K467" s="143">
        <f>+IF(FINANCIACION[[#This Row],[$ CAPITAL]]&gt;=0,FINANCIACION[[#This Row],[$ CAPITAL]]+FINANCIACION[[#This Row],[$ INTERESES]],0)</f>
        <v>1300000</v>
      </c>
    </row>
    <row r="468" spans="1:11" ht="24" customHeight="1" x14ac:dyDescent="0.25">
      <c r="A468" s="138">
        <v>45211</v>
      </c>
      <c r="B468" s="139" t="s">
        <v>219</v>
      </c>
      <c r="C468" s="140"/>
      <c r="D468" s="140">
        <v>700000</v>
      </c>
      <c r="E468" s="140">
        <f>+IF(FINANCIACION[[#This Row],[$ CAPITAL]]&gt;=0,FINANCIACION[[#This Row],[$ CAPITAL]]+FINANCIACION[[#This Row],[$ INTERESES]],"")</f>
        <v>700000</v>
      </c>
      <c r="F468" s="140">
        <f>+SUMIFS(FINANCIACION[$ CAPITAL],FINANCIACION[Fecha],"&lt;="&amp;FINANCIACION[[#This Row],[Fecha]],FINANCIACION[PRESTAMO],FINANCIACION[[#This Row],[PRESTAMO]])</f>
        <v>-70000000</v>
      </c>
      <c r="G468" s="140"/>
      <c r="H468" s="141"/>
      <c r="I468" s="142"/>
      <c r="J468" s="140" t="b">
        <f>+IF(FINANCIACION[[#This Row],[$ CAPITAL]]&gt;0,FINANCIACION[[#This Row],[$ CAPITAL]])</f>
        <v>0</v>
      </c>
      <c r="K468" s="143">
        <f>+IF(FINANCIACION[[#This Row],[$ CAPITAL]]&gt;=0,FINANCIACION[[#This Row],[$ CAPITAL]]+FINANCIACION[[#This Row],[$ INTERESES]],0)</f>
        <v>700000</v>
      </c>
    </row>
    <row r="469" spans="1:11" ht="24" customHeight="1" x14ac:dyDescent="0.25">
      <c r="A469" s="138">
        <v>45217</v>
      </c>
      <c r="B469" s="139" t="s">
        <v>137</v>
      </c>
      <c r="C469" s="140">
        <v>1297208</v>
      </c>
      <c r="D469" s="140">
        <v>6199031</v>
      </c>
      <c r="E469" s="140">
        <f>+IF(FINANCIACION[[#This Row],[$ CAPITAL]]&gt;=0,FINANCIACION[[#This Row],[$ CAPITAL]]+FINANCIACION[[#This Row],[$ INTERESES]],"")</f>
        <v>7496239</v>
      </c>
      <c r="F469" s="140">
        <f>+SUMIFS(FINANCIACION[$ CAPITAL],FINANCIACION[Fecha],"&lt;="&amp;FINANCIACION[[#This Row],[Fecha]],FINANCIACION[PRESTAMO],FINANCIACION[[#This Row],[PRESTAMO]])</f>
        <v>-343356593</v>
      </c>
      <c r="G469" s="140"/>
      <c r="H469" s="141"/>
      <c r="I469" s="142"/>
      <c r="J469" s="140">
        <f>+IF(FINANCIACION[[#This Row],[$ CAPITAL]]&gt;0,FINANCIACION[[#This Row],[$ CAPITAL]])</f>
        <v>1297208</v>
      </c>
      <c r="K469" s="143">
        <f>+IF(FINANCIACION[[#This Row],[$ CAPITAL]]&gt;=0,FINANCIACION[[#This Row],[$ CAPITAL]]+FINANCIACION[[#This Row],[$ INTERESES]],0)</f>
        <v>7496239</v>
      </c>
    </row>
    <row r="470" spans="1:11" ht="24" customHeight="1" x14ac:dyDescent="0.25">
      <c r="A470" s="138">
        <v>45220</v>
      </c>
      <c r="B470" s="139" t="s">
        <v>135</v>
      </c>
      <c r="C470" s="140">
        <v>683036</v>
      </c>
      <c r="D470" s="140">
        <v>316963</v>
      </c>
      <c r="E470" s="140">
        <f>+IF(FINANCIACION[[#This Row],[$ CAPITAL]]&gt;=0,FINANCIACION[[#This Row],[$ CAPITAL]]+FINANCIACION[[#This Row],[$ INTERESES]],"")</f>
        <v>999999</v>
      </c>
      <c r="F470" s="140">
        <f>+SUMIFS(FINANCIACION[$ CAPITAL],FINANCIACION[Fecha],"&lt;="&amp;FINANCIACION[[#This Row],[Fecha]],FINANCIACION[PRESTAMO],FINANCIACION[[#This Row],[PRESTAMO]])</f>
        <v>-31013315.514479995</v>
      </c>
      <c r="G470" s="140"/>
      <c r="H470" s="141"/>
      <c r="I470" s="142"/>
      <c r="J470" s="140">
        <f>+IF(FINANCIACION[[#This Row],[$ CAPITAL]]&gt;0,FINANCIACION[[#This Row],[$ CAPITAL]])</f>
        <v>683036</v>
      </c>
      <c r="K470" s="143">
        <f>+IF(FINANCIACION[[#This Row],[$ CAPITAL]]&gt;=0,FINANCIACION[[#This Row],[$ CAPITAL]]+FINANCIACION[[#This Row],[$ INTERESES]],0)</f>
        <v>999999</v>
      </c>
    </row>
    <row r="471" spans="1:11" ht="24" customHeight="1" x14ac:dyDescent="0.25">
      <c r="A471" s="138">
        <v>45220</v>
      </c>
      <c r="B471" s="139" t="s">
        <v>136</v>
      </c>
      <c r="C471" s="140">
        <v>1549030</v>
      </c>
      <c r="D471" s="140">
        <v>450970</v>
      </c>
      <c r="E471" s="140">
        <f>+IF(FINANCIACION[[#This Row],[$ CAPITAL]]&gt;=0,FINANCIACION[[#This Row],[$ CAPITAL]]+FINANCIACION[[#This Row],[$ INTERESES]],"")</f>
        <v>2000000</v>
      </c>
      <c r="F471" s="140">
        <f>+SUMIFS(FINANCIACION[$ CAPITAL],FINANCIACION[Fecha],"&lt;="&amp;FINANCIACION[[#This Row],[Fecha]],FINANCIACION[PRESTAMO],FINANCIACION[[#This Row],[PRESTAMO]])</f>
        <v>-43547952.97283452</v>
      </c>
      <c r="G471" s="140"/>
      <c r="H471" s="141"/>
      <c r="I471" s="142"/>
      <c r="J471" s="140">
        <f>+IF(FINANCIACION[[#This Row],[$ CAPITAL]]&gt;0,FINANCIACION[[#This Row],[$ CAPITAL]])</f>
        <v>1549030</v>
      </c>
      <c r="K471" s="143">
        <f>+IF(FINANCIACION[[#This Row],[$ CAPITAL]]&gt;=0,FINANCIACION[[#This Row],[$ CAPITAL]]+FINANCIACION[[#This Row],[$ INTERESES]],0)</f>
        <v>2000000</v>
      </c>
    </row>
    <row r="472" spans="1:11" ht="24" customHeight="1" x14ac:dyDescent="0.25">
      <c r="A472" s="138">
        <v>45222</v>
      </c>
      <c r="B472" s="139" t="s">
        <v>146</v>
      </c>
      <c r="C472" s="140"/>
      <c r="D472" s="140">
        <v>1400000</v>
      </c>
      <c r="E472" s="140">
        <f>+IF(FINANCIACION[[#This Row],[$ CAPITAL]]&gt;=0,FINANCIACION[[#This Row],[$ CAPITAL]]+FINANCIACION[[#This Row],[$ INTERESES]],"")</f>
        <v>1400000</v>
      </c>
      <c r="F472" s="140">
        <f>+SUMIFS(FINANCIACION[$ CAPITAL],FINANCIACION[Fecha],"&lt;="&amp;FINANCIACION[[#This Row],[Fecha]],FINANCIACION[PRESTAMO],FINANCIACION[[#This Row],[PRESTAMO]])</f>
        <v>-140000000</v>
      </c>
      <c r="G472" s="140"/>
      <c r="H472" s="141"/>
      <c r="I472" s="142"/>
      <c r="J472" s="140" t="b">
        <f>+IF(FINANCIACION[[#This Row],[$ CAPITAL]]&gt;0,FINANCIACION[[#This Row],[$ CAPITAL]])</f>
        <v>0</v>
      </c>
      <c r="K472" s="143">
        <f>+IF(FINANCIACION[[#This Row],[$ CAPITAL]]&gt;=0,FINANCIACION[[#This Row],[$ CAPITAL]]+FINANCIACION[[#This Row],[$ INTERESES]],0)</f>
        <v>1400000</v>
      </c>
    </row>
    <row r="473" spans="1:11" ht="24" customHeight="1" x14ac:dyDescent="0.25">
      <c r="A473" s="138">
        <v>45223</v>
      </c>
      <c r="B473" s="139" t="s">
        <v>239</v>
      </c>
      <c r="C473" s="140">
        <v>1482234</v>
      </c>
      <c r="D473" s="140">
        <v>797766</v>
      </c>
      <c r="E473" s="140">
        <f>+IF(FINANCIACION[[#This Row],[$ CAPITAL]]&gt;=0,FINANCIACION[[#This Row],[$ CAPITAL]]+FINANCIACION[[#This Row],[$ INTERESES]],"")</f>
        <v>2280000</v>
      </c>
      <c r="F473" s="140">
        <f>+SUMIFS(FINANCIACION[$ CAPITAL],FINANCIACION[Fecha],"&lt;="&amp;FINANCIACION[[#This Row],[Fecha]],FINANCIACION[PRESTAMO],FINANCIACION[[#This Row],[PRESTAMO]])</f>
        <v>-54923022.449999988</v>
      </c>
      <c r="G473" s="140"/>
      <c r="H473" s="141"/>
      <c r="I473" s="142"/>
      <c r="J473" s="140">
        <f>+IF(FINANCIACION[[#This Row],[$ CAPITAL]]&gt;0,FINANCIACION[[#This Row],[$ CAPITAL]])</f>
        <v>1482234</v>
      </c>
      <c r="K473" s="143">
        <f>+IF(FINANCIACION[[#This Row],[$ CAPITAL]]&gt;=0,FINANCIACION[[#This Row],[$ CAPITAL]]+FINANCIACION[[#This Row],[$ INTERESES]],0)</f>
        <v>2280000</v>
      </c>
    </row>
    <row r="474" spans="1:11" ht="24" customHeight="1" x14ac:dyDescent="0.25">
      <c r="A474" s="138">
        <v>45230</v>
      </c>
      <c r="B474" s="139" t="s">
        <v>216</v>
      </c>
      <c r="C474" s="140">
        <v>0</v>
      </c>
      <c r="D474" s="140"/>
      <c r="E474" s="140">
        <f>+IF(FINANCIACION[[#This Row],[$ CAPITAL]]&gt;=0,FINANCIACION[[#This Row],[$ CAPITAL]]+FINANCIACION[[#This Row],[$ INTERESES]],"")</f>
        <v>0</v>
      </c>
      <c r="F474" s="140">
        <f>+SUMIFS(FINANCIACION[$ CAPITAL],FINANCIACION[Fecha],"&lt;="&amp;FINANCIACION[[#This Row],[Fecha]],FINANCIACION[PRESTAMO],FINANCIACION[[#This Row],[PRESTAMO]])</f>
        <v>-53691702</v>
      </c>
      <c r="G474" s="140"/>
      <c r="H474" s="141"/>
      <c r="I474" s="142"/>
      <c r="J474" s="140" t="b">
        <f>+IF(FINANCIACION[[#This Row],[$ CAPITAL]]&gt;0,FINANCIACION[[#This Row],[$ CAPITAL]])</f>
        <v>0</v>
      </c>
      <c r="K474" s="143">
        <f>+IF(FINANCIACION[[#This Row],[$ CAPITAL]]&gt;=0,FINANCIACION[[#This Row],[$ CAPITAL]]+FINANCIACION[[#This Row],[$ INTERESES]],0)</f>
        <v>0</v>
      </c>
    </row>
    <row r="475" spans="1:11" ht="24" customHeight="1" x14ac:dyDescent="0.25">
      <c r="A475" s="138">
        <v>45230</v>
      </c>
      <c r="B475" s="139" t="s">
        <v>236</v>
      </c>
      <c r="C475" s="140">
        <v>769950</v>
      </c>
      <c r="D475" s="140"/>
      <c r="E475" s="140">
        <f>+IF(FINANCIACION[[#This Row],[$ CAPITAL]]&gt;=0,FINANCIACION[[#This Row],[$ CAPITAL]]+FINANCIACION[[#This Row],[$ INTERESES]],"")</f>
        <v>769950</v>
      </c>
      <c r="F475" s="140">
        <f>+SUMIFS(FINANCIACION[$ CAPITAL],FINANCIACION[Fecha],"&lt;="&amp;FINANCIACION[[#This Row],[Fecha]],FINANCIACION[PRESTAMO],FINANCIACION[[#This Row],[PRESTAMO]])</f>
        <v>-17021500</v>
      </c>
      <c r="G475" s="140"/>
      <c r="H475" s="141"/>
      <c r="I475" s="142"/>
      <c r="J475" s="140">
        <f>+IF(FINANCIACION[[#This Row],[$ CAPITAL]]&gt;0,FINANCIACION[[#This Row],[$ CAPITAL]])</f>
        <v>769950</v>
      </c>
      <c r="K475" s="143">
        <f>+IF(FINANCIACION[[#This Row],[$ CAPITAL]]&gt;=0,FINANCIACION[[#This Row],[$ CAPITAL]]+FINANCIACION[[#This Row],[$ INTERESES]],0)</f>
        <v>769950</v>
      </c>
    </row>
    <row r="476" spans="1:11" ht="24" customHeight="1" x14ac:dyDescent="0.25">
      <c r="A476" s="138">
        <v>45230</v>
      </c>
      <c r="B476" s="139" t="s">
        <v>238</v>
      </c>
      <c r="C476" s="140">
        <v>895339</v>
      </c>
      <c r="D476" s="140"/>
      <c r="E476" s="140">
        <f>+IF(FINANCIACION[[#This Row],[$ CAPITAL]]&gt;=0,FINANCIACION[[#This Row],[$ CAPITAL]]+FINANCIACION[[#This Row],[$ INTERESES]],"")</f>
        <v>895339</v>
      </c>
      <c r="F476" s="140">
        <f>+SUMIFS(FINANCIACION[$ CAPITAL],FINANCIACION[Fecha],"&lt;="&amp;FINANCIACION[[#This Row],[Fecha]],FINANCIACION[PRESTAMO],FINANCIACION[[#This Row],[PRESTAMO]])</f>
        <v>2052088</v>
      </c>
      <c r="G476" s="140"/>
      <c r="H476" s="141"/>
      <c r="I476" s="142"/>
      <c r="J476" s="140">
        <f>+IF(FINANCIACION[[#This Row],[$ CAPITAL]]&gt;0,FINANCIACION[[#This Row],[$ CAPITAL]])</f>
        <v>895339</v>
      </c>
      <c r="K476" s="143">
        <f>+IF(FINANCIACION[[#This Row],[$ CAPITAL]]&gt;=0,FINANCIACION[[#This Row],[$ CAPITAL]]+FINANCIACION[[#This Row],[$ INTERESES]],0)</f>
        <v>895339</v>
      </c>
    </row>
    <row r="477" spans="1:11" ht="24" customHeight="1" x14ac:dyDescent="0.25">
      <c r="A477" s="138">
        <v>45230</v>
      </c>
      <c r="B477" s="139" t="s">
        <v>237</v>
      </c>
      <c r="C477" s="140">
        <v>-3423159</v>
      </c>
      <c r="D477" s="140"/>
      <c r="E477" s="140" t="str">
        <f>+IF(FINANCIACION[[#This Row],[$ CAPITAL]]&gt;=0,FINANCIACION[[#This Row],[$ CAPITAL]]+FINANCIACION[[#This Row],[$ INTERESES]],"")</f>
        <v/>
      </c>
      <c r="F477" s="140">
        <f>+SUMIFS(FINANCIACION[$ CAPITAL],FINANCIACION[Fecha],"&lt;="&amp;FINANCIACION[[#This Row],[Fecha]],FINANCIACION[PRESTAMO],FINANCIACION[[#This Row],[PRESTAMO]])</f>
        <v>-15257387</v>
      </c>
      <c r="G477" s="140"/>
      <c r="H477" s="141"/>
      <c r="I477" s="142"/>
      <c r="J477" s="140" t="b">
        <f>+IF(FINANCIACION[[#This Row],[$ CAPITAL]]&gt;0,FINANCIACION[[#This Row],[$ CAPITAL]])</f>
        <v>0</v>
      </c>
      <c r="K477" s="143">
        <f>+IF(FINANCIACION[[#This Row],[$ CAPITAL]]&gt;=0,FINANCIACION[[#This Row],[$ CAPITAL]]+FINANCIACION[[#This Row],[$ INTERESES]],0)</f>
        <v>0</v>
      </c>
    </row>
    <row r="478" spans="1:11" ht="24" customHeight="1" x14ac:dyDescent="0.25">
      <c r="A478" s="138">
        <v>45232</v>
      </c>
      <c r="B478" s="139" t="s">
        <v>139</v>
      </c>
      <c r="C478" s="140"/>
      <c r="D478" s="140">
        <v>147293</v>
      </c>
      <c r="E478" s="140">
        <f>+IF(FINANCIACION[[#This Row],[$ CAPITAL]]&gt;=0,FINANCIACION[[#This Row],[$ CAPITAL]]+FINANCIACION[[#This Row],[$ INTERESES]],"")</f>
        <v>147293</v>
      </c>
      <c r="F478" s="140">
        <f>+SUMIFS(FINANCIACION[$ CAPITAL],FINANCIACION[Fecha],"&lt;="&amp;FINANCIACION[[#This Row],[Fecha]],FINANCIACION[PRESTAMO],FINANCIACION[[#This Row],[PRESTAMO]])</f>
        <v>-75000000</v>
      </c>
      <c r="G478" s="140"/>
      <c r="H478" s="141" t="s">
        <v>918</v>
      </c>
      <c r="I478" s="142"/>
      <c r="J478" s="140" t="b">
        <f>+IF(FINANCIACION[[#This Row],[$ CAPITAL]]&gt;0,FINANCIACION[[#This Row],[$ CAPITAL]])</f>
        <v>0</v>
      </c>
      <c r="K478" s="143">
        <f>+IF(FINANCIACION[[#This Row],[$ CAPITAL]]&gt;=0,FINANCIACION[[#This Row],[$ CAPITAL]]+FINANCIACION[[#This Row],[$ INTERESES]],0)</f>
        <v>147293</v>
      </c>
    </row>
    <row r="479" spans="1:11" ht="24" customHeight="1" x14ac:dyDescent="0.25">
      <c r="A479" s="138">
        <v>45232</v>
      </c>
      <c r="B479" s="139" t="s">
        <v>218</v>
      </c>
      <c r="C479" s="140">
        <v>3769874</v>
      </c>
      <c r="D479" s="140">
        <v>1787434</v>
      </c>
      <c r="E479" s="140">
        <f>+IF(FINANCIACION[[#This Row],[$ CAPITAL]]&gt;=0,FINANCIACION[[#This Row],[$ CAPITAL]]+FINANCIACION[[#This Row],[$ INTERESES]],"")</f>
        <v>5557308</v>
      </c>
      <c r="F479" s="140">
        <f>+SUMIFS(FINANCIACION[$ CAPITAL],FINANCIACION[Fecha],"&lt;="&amp;FINANCIACION[[#This Row],[Fecha]],FINANCIACION[PRESTAMO],FINANCIACION[[#This Row],[PRESTAMO]])</f>
        <v>-73099671</v>
      </c>
      <c r="G479" s="140"/>
      <c r="H479" s="141"/>
      <c r="I479" s="142"/>
      <c r="J479" s="140">
        <f>+IF(FINANCIACION[[#This Row],[$ CAPITAL]]&gt;0,FINANCIACION[[#This Row],[$ CAPITAL]])</f>
        <v>3769874</v>
      </c>
      <c r="K479" s="143">
        <f>+IF(FINANCIACION[[#This Row],[$ CAPITAL]]&gt;=0,FINANCIACION[[#This Row],[$ CAPITAL]]+FINANCIACION[[#This Row],[$ INTERESES]],0)</f>
        <v>5557308</v>
      </c>
    </row>
    <row r="480" spans="1:11" ht="24" customHeight="1" x14ac:dyDescent="0.25">
      <c r="A480" s="138">
        <v>45244</v>
      </c>
      <c r="B480" s="139" t="s">
        <v>141</v>
      </c>
      <c r="C480" s="140"/>
      <c r="D480" s="140">
        <v>130000</v>
      </c>
      <c r="E480" s="140">
        <f>+IF(FINANCIACION[[#This Row],[$ CAPITAL]]&gt;=0,FINANCIACION[[#This Row],[$ CAPITAL]]+FINANCIACION[[#This Row],[$ INTERESES]],"")</f>
        <v>130000</v>
      </c>
      <c r="F480" s="140">
        <f>+SUMIFS(FINANCIACION[$ CAPITAL],FINANCIACION[Fecha],"&lt;="&amp;FINANCIACION[[#This Row],[Fecha]],FINANCIACION[PRESTAMO],FINANCIACION[[#This Row],[PRESTAMO]])</f>
        <v>-13000000</v>
      </c>
      <c r="G480" s="140"/>
      <c r="H480" s="141"/>
      <c r="I480" s="142"/>
      <c r="J480" s="140" t="b">
        <f>+IF(FINANCIACION[[#This Row],[$ CAPITAL]]&gt;0,FINANCIACION[[#This Row],[$ CAPITAL]])</f>
        <v>0</v>
      </c>
      <c r="K480" s="143">
        <f>+IF(FINANCIACION[[#This Row],[$ CAPITAL]]&gt;=0,FINANCIACION[[#This Row],[$ CAPITAL]]+FINANCIACION[[#This Row],[$ INTERESES]],0)</f>
        <v>130000</v>
      </c>
    </row>
    <row r="481" spans="1:11" ht="24" customHeight="1" x14ac:dyDescent="0.25">
      <c r="A481" s="138">
        <v>45244</v>
      </c>
      <c r="B481" s="139" t="s">
        <v>219</v>
      </c>
      <c r="C481" s="140"/>
      <c r="D481" s="140">
        <v>700000</v>
      </c>
      <c r="E481" s="140">
        <f>+IF(FINANCIACION[[#This Row],[$ CAPITAL]]&gt;=0,FINANCIACION[[#This Row],[$ CAPITAL]]+FINANCIACION[[#This Row],[$ INTERESES]],"")</f>
        <v>700000</v>
      </c>
      <c r="F481" s="140">
        <f>+SUMIFS(FINANCIACION[$ CAPITAL],FINANCIACION[Fecha],"&lt;="&amp;FINANCIACION[[#This Row],[Fecha]],FINANCIACION[PRESTAMO],FINANCIACION[[#This Row],[PRESTAMO]])</f>
        <v>-70000000</v>
      </c>
      <c r="G481" s="140"/>
      <c r="H481" s="141"/>
      <c r="I481" s="142"/>
      <c r="J481" s="140" t="b">
        <f>+IF(FINANCIACION[[#This Row],[$ CAPITAL]]&gt;0,FINANCIACION[[#This Row],[$ CAPITAL]])</f>
        <v>0</v>
      </c>
      <c r="K481" s="143">
        <f>+IF(FINANCIACION[[#This Row],[$ CAPITAL]]&gt;=0,FINANCIACION[[#This Row],[$ CAPITAL]]+FINANCIACION[[#This Row],[$ INTERESES]],0)</f>
        <v>700000</v>
      </c>
    </row>
    <row r="482" spans="1:11" ht="24" customHeight="1" x14ac:dyDescent="0.25">
      <c r="A482" s="138">
        <v>45244</v>
      </c>
      <c r="B482" s="139" t="s">
        <v>143</v>
      </c>
      <c r="C482" s="140"/>
      <c r="D482" s="140">
        <v>350000</v>
      </c>
      <c r="E482" s="140">
        <f>+IF(FINANCIACION[[#This Row],[$ CAPITAL]]&gt;=0,FINANCIACION[[#This Row],[$ CAPITAL]]+FINANCIACION[[#This Row],[$ INTERESES]],"")</f>
        <v>350000</v>
      </c>
      <c r="F482" s="140">
        <f>+SUMIFS(FINANCIACION[$ CAPITAL],FINANCIACION[Fecha],"&lt;="&amp;FINANCIACION[[#This Row],[Fecha]],FINANCIACION[PRESTAMO],FINANCIACION[[#This Row],[PRESTAMO]])</f>
        <v>-35000000</v>
      </c>
      <c r="G482" s="140"/>
      <c r="H482" s="141"/>
      <c r="I482" s="142"/>
      <c r="J482" s="140" t="b">
        <f>+IF(FINANCIACION[[#This Row],[$ CAPITAL]]&gt;0,FINANCIACION[[#This Row],[$ CAPITAL]])</f>
        <v>0</v>
      </c>
      <c r="K482" s="143">
        <f>+IF(FINANCIACION[[#This Row],[$ CAPITAL]]&gt;=0,FINANCIACION[[#This Row],[$ CAPITAL]]+FINANCIACION[[#This Row],[$ INTERESES]],0)</f>
        <v>350000</v>
      </c>
    </row>
    <row r="483" spans="1:11" ht="24" customHeight="1" x14ac:dyDescent="0.25">
      <c r="A483" s="138">
        <v>45244</v>
      </c>
      <c r="B483" s="139" t="s">
        <v>135</v>
      </c>
      <c r="C483" s="140">
        <v>689864</v>
      </c>
      <c r="D483" s="140">
        <v>310136</v>
      </c>
      <c r="E483" s="140">
        <f>+IF(FINANCIACION[[#This Row],[$ CAPITAL]]&gt;=0,FINANCIACION[[#This Row],[$ CAPITAL]]+FINANCIACION[[#This Row],[$ INTERESES]],"")</f>
        <v>1000000</v>
      </c>
      <c r="F483" s="140">
        <f>+SUMIFS(FINANCIACION[$ CAPITAL],FINANCIACION[Fecha],"&lt;="&amp;FINANCIACION[[#This Row],[Fecha]],FINANCIACION[PRESTAMO],FINANCIACION[[#This Row],[PRESTAMO]])</f>
        <v>-30323451.514479995</v>
      </c>
      <c r="G483" s="140"/>
      <c r="H483" s="141"/>
      <c r="I483" s="142"/>
      <c r="J483" s="140">
        <f>+IF(FINANCIACION[[#This Row],[$ CAPITAL]]&gt;0,FINANCIACION[[#This Row],[$ CAPITAL]])</f>
        <v>689864</v>
      </c>
      <c r="K483" s="143">
        <f>+IF(FINANCIACION[[#This Row],[$ CAPITAL]]&gt;=0,FINANCIACION[[#This Row],[$ CAPITAL]]+FINANCIACION[[#This Row],[$ INTERESES]],0)</f>
        <v>1000000</v>
      </c>
    </row>
    <row r="484" spans="1:11" ht="24" customHeight="1" x14ac:dyDescent="0.25">
      <c r="A484" s="138">
        <v>45244</v>
      </c>
      <c r="B484" s="139" t="s">
        <v>138</v>
      </c>
      <c r="C484" s="140">
        <v>1167024</v>
      </c>
      <c r="D484" s="140">
        <v>132976</v>
      </c>
      <c r="E484" s="140">
        <f>+IF(FINANCIACION[[#This Row],[$ CAPITAL]]&gt;=0,FINANCIACION[[#This Row],[$ CAPITAL]]+FINANCIACION[[#This Row],[$ INTERESES]],"")</f>
        <v>1300000</v>
      </c>
      <c r="F484" s="140">
        <f>+SUMIFS(FINANCIACION[$ CAPITAL],FINANCIACION[Fecha],"&lt;="&amp;FINANCIACION[[#This Row],[Fecha]],FINANCIACION[PRESTAMO],FINANCIACION[[#This Row],[PRESTAMO]])</f>
        <v>-12130584.05175975</v>
      </c>
      <c r="G484" s="140"/>
      <c r="H484" s="141"/>
      <c r="I484" s="142"/>
      <c r="J484" s="140">
        <f>+IF(FINANCIACION[[#This Row],[$ CAPITAL]]&gt;0,FINANCIACION[[#This Row],[$ CAPITAL]])</f>
        <v>1167024</v>
      </c>
      <c r="K484" s="143">
        <f>+IF(FINANCIACION[[#This Row],[$ CAPITAL]]&gt;=0,FINANCIACION[[#This Row],[$ CAPITAL]]+FINANCIACION[[#This Row],[$ INTERESES]],0)</f>
        <v>1300000</v>
      </c>
    </row>
    <row r="485" spans="1:11" ht="24" customHeight="1" x14ac:dyDescent="0.25">
      <c r="A485" s="138">
        <v>45244</v>
      </c>
      <c r="B485" s="139" t="s">
        <v>136</v>
      </c>
      <c r="C485" s="140">
        <v>1564521</v>
      </c>
      <c r="D485" s="140">
        <v>435479</v>
      </c>
      <c r="E485" s="140">
        <f>+IF(FINANCIACION[[#This Row],[$ CAPITAL]]&gt;=0,FINANCIACION[[#This Row],[$ CAPITAL]]+FINANCIACION[[#This Row],[$ INTERESES]],"")</f>
        <v>2000000</v>
      </c>
      <c r="F485" s="140">
        <f>+SUMIFS(FINANCIACION[$ CAPITAL],FINANCIACION[Fecha],"&lt;="&amp;FINANCIACION[[#This Row],[Fecha]],FINANCIACION[PRESTAMO],FINANCIACION[[#This Row],[PRESTAMO]])</f>
        <v>-41983431.97283452</v>
      </c>
      <c r="G485" s="140"/>
      <c r="H485" s="141"/>
      <c r="I485" s="142"/>
      <c r="J485" s="140">
        <f>+IF(FINANCIACION[[#This Row],[$ CAPITAL]]&gt;0,FINANCIACION[[#This Row],[$ CAPITAL]])</f>
        <v>1564521</v>
      </c>
      <c r="K485" s="143">
        <f>+IF(FINANCIACION[[#This Row],[$ CAPITAL]]&gt;=0,FINANCIACION[[#This Row],[$ CAPITAL]]+FINANCIACION[[#This Row],[$ INTERESES]],0)</f>
        <v>2000000</v>
      </c>
    </row>
    <row r="486" spans="1:11" ht="24" customHeight="1" x14ac:dyDescent="0.25">
      <c r="A486" s="138">
        <v>45250</v>
      </c>
      <c r="B486" s="139" t="s">
        <v>137</v>
      </c>
      <c r="C486" s="140">
        <v>1320430</v>
      </c>
      <c r="D486" s="140">
        <v>6177447</v>
      </c>
      <c r="E486" s="140">
        <f>+IF(FINANCIACION[[#This Row],[$ CAPITAL]]&gt;=0,FINANCIACION[[#This Row],[$ CAPITAL]]+FINANCIACION[[#This Row],[$ INTERESES]],"")</f>
        <v>7497877</v>
      </c>
      <c r="F486" s="140">
        <f>+SUMIFS(FINANCIACION[$ CAPITAL],FINANCIACION[Fecha],"&lt;="&amp;FINANCIACION[[#This Row],[Fecha]],FINANCIACION[PRESTAMO],FINANCIACION[[#This Row],[PRESTAMO]])</f>
        <v>-342036163</v>
      </c>
      <c r="G486" s="140"/>
      <c r="H486" s="141"/>
      <c r="I486" s="142"/>
      <c r="J486" s="140">
        <f>+IF(FINANCIACION[[#This Row],[$ CAPITAL]]&gt;0,FINANCIACION[[#This Row],[$ CAPITAL]])</f>
        <v>1320430</v>
      </c>
      <c r="K486" s="143">
        <f>+IF(FINANCIACION[[#This Row],[$ CAPITAL]]&gt;=0,FINANCIACION[[#This Row],[$ CAPITAL]]+FINANCIACION[[#This Row],[$ INTERESES]],0)</f>
        <v>7497877</v>
      </c>
    </row>
    <row r="487" spans="1:11" ht="24" customHeight="1" x14ac:dyDescent="0.25">
      <c r="A487" s="138">
        <v>45251</v>
      </c>
      <c r="B487" s="139" t="s">
        <v>146</v>
      </c>
      <c r="C487" s="140"/>
      <c r="D487" s="140">
        <v>1400000</v>
      </c>
      <c r="E487" s="140">
        <f>+IF(FINANCIACION[[#This Row],[$ CAPITAL]]&gt;=0,FINANCIACION[[#This Row],[$ CAPITAL]]+FINANCIACION[[#This Row],[$ INTERESES]],"")</f>
        <v>1400000</v>
      </c>
      <c r="F487" s="140">
        <f>+SUMIFS(FINANCIACION[$ CAPITAL],FINANCIACION[Fecha],"&lt;="&amp;FINANCIACION[[#This Row],[Fecha]],FINANCIACION[PRESTAMO],FINANCIACION[[#This Row],[PRESTAMO]])</f>
        <v>-140000000</v>
      </c>
      <c r="G487" s="140"/>
      <c r="H487" s="141"/>
      <c r="I487" s="142"/>
      <c r="J487" s="140" t="b">
        <f>+IF(FINANCIACION[[#This Row],[$ CAPITAL]]&gt;0,FINANCIACION[[#This Row],[$ CAPITAL]])</f>
        <v>0</v>
      </c>
      <c r="K487" s="143">
        <f>+IF(FINANCIACION[[#This Row],[$ CAPITAL]]&gt;=0,FINANCIACION[[#This Row],[$ CAPITAL]]+FINANCIACION[[#This Row],[$ INTERESES]],0)</f>
        <v>1400000</v>
      </c>
    </row>
    <row r="488" spans="1:11" ht="24" customHeight="1" x14ac:dyDescent="0.25">
      <c r="A488" s="138">
        <v>45257</v>
      </c>
      <c r="B488" s="139" t="s">
        <v>239</v>
      </c>
      <c r="C488" s="140">
        <v>1481481</v>
      </c>
      <c r="D488" s="140">
        <v>777519</v>
      </c>
      <c r="E488" s="140">
        <f>+IF(FINANCIACION[[#This Row],[$ CAPITAL]]&gt;=0,FINANCIACION[[#This Row],[$ CAPITAL]]+FINANCIACION[[#This Row],[$ INTERESES]],"")</f>
        <v>2259000</v>
      </c>
      <c r="F488" s="140">
        <f>+SUMIFS(FINANCIACION[$ CAPITAL],FINANCIACION[Fecha],"&lt;="&amp;FINANCIACION[[#This Row],[Fecha]],FINANCIACION[PRESTAMO],FINANCIACION[[#This Row],[PRESTAMO]])</f>
        <v>-53441541.449999988</v>
      </c>
      <c r="G488" s="140"/>
      <c r="H488" s="141"/>
      <c r="I488" s="142"/>
      <c r="J488" s="140">
        <f>+IF(FINANCIACION[[#This Row],[$ CAPITAL]]&gt;0,FINANCIACION[[#This Row],[$ CAPITAL]])</f>
        <v>1481481</v>
      </c>
      <c r="K488" s="143">
        <f>+IF(FINANCIACION[[#This Row],[$ CAPITAL]]&gt;=0,FINANCIACION[[#This Row],[$ CAPITAL]]+FINANCIACION[[#This Row],[$ INTERESES]],0)</f>
        <v>2259000</v>
      </c>
    </row>
    <row r="489" spans="1:11" ht="24" customHeight="1" x14ac:dyDescent="0.25">
      <c r="A489" s="138">
        <v>45260</v>
      </c>
      <c r="B489" s="139" t="s">
        <v>216</v>
      </c>
      <c r="C489" s="140">
        <v>0</v>
      </c>
      <c r="D489" s="140"/>
      <c r="E489" s="140">
        <f>+IF(FINANCIACION[[#This Row],[$ CAPITAL]]&gt;=0,FINANCIACION[[#This Row],[$ CAPITAL]]+FINANCIACION[[#This Row],[$ INTERESES]],"")</f>
        <v>0</v>
      </c>
      <c r="F489" s="140">
        <f>+SUMIFS(FINANCIACION[$ CAPITAL],FINANCIACION[Fecha],"&lt;="&amp;FINANCIACION[[#This Row],[Fecha]],FINANCIACION[PRESTAMO],FINANCIACION[[#This Row],[PRESTAMO]])</f>
        <v>-53691702</v>
      </c>
      <c r="G489" s="140"/>
      <c r="H489" s="141"/>
      <c r="I489" s="142"/>
      <c r="J489" s="140" t="b">
        <f>+IF(FINANCIACION[[#This Row],[$ CAPITAL]]&gt;0,FINANCIACION[[#This Row],[$ CAPITAL]])</f>
        <v>0</v>
      </c>
      <c r="K489" s="143">
        <f>+IF(FINANCIACION[[#This Row],[$ CAPITAL]]&gt;=0,FINANCIACION[[#This Row],[$ CAPITAL]]+FINANCIACION[[#This Row],[$ INTERESES]],0)</f>
        <v>0</v>
      </c>
    </row>
    <row r="490" spans="1:11" ht="24" customHeight="1" x14ac:dyDescent="0.25">
      <c r="A490" s="138">
        <v>45260</v>
      </c>
      <c r="B490" s="139" t="s">
        <v>218</v>
      </c>
      <c r="C490" s="140">
        <v>50000000</v>
      </c>
      <c r="D490" s="140"/>
      <c r="E490" s="140">
        <f>+IF(FINANCIACION[[#This Row],[$ CAPITAL]]&gt;=0,FINANCIACION[[#This Row],[$ CAPITAL]]+FINANCIACION[[#This Row],[$ INTERESES]],"")</f>
        <v>50000000</v>
      </c>
      <c r="F490" s="140">
        <f>+SUMIFS(FINANCIACION[$ CAPITAL],FINANCIACION[Fecha],"&lt;="&amp;FINANCIACION[[#This Row],[Fecha]],FINANCIACION[PRESTAMO],FINANCIACION[[#This Row],[PRESTAMO]])</f>
        <v>-23099671</v>
      </c>
      <c r="G490" s="140"/>
      <c r="H490" s="141" t="s">
        <v>947</v>
      </c>
      <c r="I490" s="142"/>
      <c r="J490" s="140">
        <f>+IF(FINANCIACION[[#This Row],[$ CAPITAL]]&gt;0,FINANCIACION[[#This Row],[$ CAPITAL]])</f>
        <v>50000000</v>
      </c>
      <c r="K490" s="143">
        <f>+IF(FINANCIACION[[#This Row],[$ CAPITAL]]&gt;=0,FINANCIACION[[#This Row],[$ CAPITAL]]+FINANCIACION[[#This Row],[$ INTERESES]],0)</f>
        <v>50000000</v>
      </c>
    </row>
    <row r="491" spans="1:11" ht="24" customHeight="1" x14ac:dyDescent="0.25">
      <c r="A491" s="138">
        <v>45260</v>
      </c>
      <c r="B491" s="139" t="s">
        <v>236</v>
      </c>
      <c r="C491" s="140">
        <v>15576000</v>
      </c>
      <c r="D491" s="140"/>
      <c r="E491" s="140">
        <f>+IF(FINANCIACION[[#This Row],[$ CAPITAL]]&gt;=0,FINANCIACION[[#This Row],[$ CAPITAL]]+FINANCIACION[[#This Row],[$ INTERESES]],"")</f>
        <v>15576000</v>
      </c>
      <c r="F491" s="140">
        <f>+SUMIFS(FINANCIACION[$ CAPITAL],FINANCIACION[Fecha],"&lt;="&amp;FINANCIACION[[#This Row],[Fecha]],FINANCIACION[PRESTAMO],FINANCIACION[[#This Row],[PRESTAMO]])</f>
        <v>10603950</v>
      </c>
      <c r="G491" s="140"/>
      <c r="H491" s="141"/>
      <c r="I491" s="142"/>
      <c r="J491" s="140">
        <f>+IF(FINANCIACION[[#This Row],[$ CAPITAL]]&gt;0,FINANCIACION[[#This Row],[$ CAPITAL]])</f>
        <v>15576000</v>
      </c>
      <c r="K491" s="143">
        <f>+IF(FINANCIACION[[#This Row],[$ CAPITAL]]&gt;=0,FINANCIACION[[#This Row],[$ CAPITAL]]+FINANCIACION[[#This Row],[$ INTERESES]],0)</f>
        <v>15576000</v>
      </c>
    </row>
    <row r="492" spans="1:11" ht="24" customHeight="1" x14ac:dyDescent="0.25">
      <c r="A492" s="138">
        <v>45260</v>
      </c>
      <c r="B492" s="139" t="s">
        <v>236</v>
      </c>
      <c r="C492" s="140">
        <v>12049450</v>
      </c>
      <c r="D492" s="140"/>
      <c r="E492" s="140">
        <f>+IF(FINANCIACION[[#This Row],[$ CAPITAL]]&gt;=0,FINANCIACION[[#This Row],[$ CAPITAL]]+FINANCIACION[[#This Row],[$ INTERESES]],"")</f>
        <v>12049450</v>
      </c>
      <c r="F492" s="140">
        <f>+SUMIFS(FINANCIACION[$ CAPITAL],FINANCIACION[Fecha],"&lt;="&amp;FINANCIACION[[#This Row],[Fecha]],FINANCIACION[PRESTAMO],FINANCIACION[[#This Row],[PRESTAMO]])</f>
        <v>10603950</v>
      </c>
      <c r="G492" s="140"/>
      <c r="H492" s="141" t="s">
        <v>72</v>
      </c>
      <c r="I492" s="142"/>
      <c r="J492" s="140">
        <f>+IF(FINANCIACION[[#This Row],[$ CAPITAL]]&gt;0,FINANCIACION[[#This Row],[$ CAPITAL]])</f>
        <v>12049450</v>
      </c>
      <c r="K492" s="143">
        <f>+IF(FINANCIACION[[#This Row],[$ CAPITAL]]&gt;=0,FINANCIACION[[#This Row],[$ CAPITAL]]+FINANCIACION[[#This Row],[$ INTERESES]],0)</f>
        <v>12049450</v>
      </c>
    </row>
    <row r="493" spans="1:11" ht="24" customHeight="1" x14ac:dyDescent="0.25">
      <c r="A493" s="138">
        <v>45260</v>
      </c>
      <c r="B493" s="139" t="s">
        <v>238</v>
      </c>
      <c r="C493" s="140">
        <v>-2165488</v>
      </c>
      <c r="D493" s="140"/>
      <c r="E493" s="140" t="str">
        <f>+IF(FINANCIACION[[#This Row],[$ CAPITAL]]&gt;=0,FINANCIACION[[#This Row],[$ CAPITAL]]+FINANCIACION[[#This Row],[$ INTERESES]],"")</f>
        <v/>
      </c>
      <c r="F493" s="140">
        <f>+SUMIFS(FINANCIACION[$ CAPITAL],FINANCIACION[Fecha],"&lt;="&amp;FINANCIACION[[#This Row],[Fecha]],FINANCIACION[PRESTAMO],FINANCIACION[[#This Row],[PRESTAMO]])</f>
        <v>-3932437</v>
      </c>
      <c r="G493" s="140"/>
      <c r="H493" s="141"/>
      <c r="I493" s="142"/>
      <c r="J493" s="140" t="b">
        <f>+IF(FINANCIACION[[#This Row],[$ CAPITAL]]&gt;0,FINANCIACION[[#This Row],[$ CAPITAL]])</f>
        <v>0</v>
      </c>
      <c r="K493" s="143">
        <f>+IF(FINANCIACION[[#This Row],[$ CAPITAL]]&gt;=0,FINANCIACION[[#This Row],[$ CAPITAL]]+FINANCIACION[[#This Row],[$ INTERESES]],0)</f>
        <v>0</v>
      </c>
    </row>
    <row r="494" spans="1:11" ht="24" customHeight="1" x14ac:dyDescent="0.25">
      <c r="A494" s="138">
        <v>45260</v>
      </c>
      <c r="B494" s="139" t="s">
        <v>238</v>
      </c>
      <c r="C494" s="140">
        <v>-3819037</v>
      </c>
      <c r="D494" s="140"/>
      <c r="E494" s="140" t="str">
        <f>+IF(FINANCIACION[[#This Row],[$ CAPITAL]]&gt;=0,FINANCIACION[[#This Row],[$ CAPITAL]]+FINANCIACION[[#This Row],[$ INTERESES]],"")</f>
        <v/>
      </c>
      <c r="F494" s="140">
        <f>+SUMIFS(FINANCIACION[$ CAPITAL],FINANCIACION[Fecha],"&lt;="&amp;FINANCIACION[[#This Row],[Fecha]],FINANCIACION[PRESTAMO],FINANCIACION[[#This Row],[PRESTAMO]])</f>
        <v>-3932437</v>
      </c>
      <c r="G494" s="140"/>
      <c r="H494" s="141" t="s">
        <v>72</v>
      </c>
      <c r="I494" s="142"/>
      <c r="J494" s="140" t="b">
        <f>+IF(FINANCIACION[[#This Row],[$ CAPITAL]]&gt;0,FINANCIACION[[#This Row],[$ CAPITAL]])</f>
        <v>0</v>
      </c>
      <c r="K494" s="143">
        <f>+IF(FINANCIACION[[#This Row],[$ CAPITAL]]&gt;=0,FINANCIACION[[#This Row],[$ CAPITAL]]+FINANCIACION[[#This Row],[$ INTERESES]],0)</f>
        <v>0</v>
      </c>
    </row>
    <row r="495" spans="1:11" ht="24" customHeight="1" x14ac:dyDescent="0.25">
      <c r="A495" s="138">
        <v>45260</v>
      </c>
      <c r="B495" s="139" t="s">
        <v>237</v>
      </c>
      <c r="C495" s="140">
        <v>9815942</v>
      </c>
      <c r="D495" s="140"/>
      <c r="E495" s="140">
        <f>+IF(FINANCIACION[[#This Row],[$ CAPITAL]]&gt;=0,FINANCIACION[[#This Row],[$ CAPITAL]]+FINANCIACION[[#This Row],[$ INTERESES]],"")</f>
        <v>9815942</v>
      </c>
      <c r="F495" s="140">
        <f>+SUMIFS(FINANCIACION[$ CAPITAL],FINANCIACION[Fecha],"&lt;="&amp;FINANCIACION[[#This Row],[Fecha]],FINANCIACION[PRESTAMO],FINANCIACION[[#This Row],[PRESTAMO]])</f>
        <v>-17361280</v>
      </c>
      <c r="G495" s="140"/>
      <c r="H495" s="141"/>
      <c r="I495" s="142"/>
      <c r="J495" s="140">
        <f>+IF(FINANCIACION[[#This Row],[$ CAPITAL]]&gt;0,FINANCIACION[[#This Row],[$ CAPITAL]])</f>
        <v>9815942</v>
      </c>
      <c r="K495" s="143">
        <f>+IF(FINANCIACION[[#This Row],[$ CAPITAL]]&gt;=0,FINANCIACION[[#This Row],[$ CAPITAL]]+FINANCIACION[[#This Row],[$ INTERESES]],0)</f>
        <v>9815942</v>
      </c>
    </row>
    <row r="496" spans="1:11" ht="24" customHeight="1" x14ac:dyDescent="0.25">
      <c r="A496" s="138">
        <v>45260</v>
      </c>
      <c r="B496" s="139" t="s">
        <v>237</v>
      </c>
      <c r="C496" s="140">
        <v>-11919835</v>
      </c>
      <c r="D496" s="140"/>
      <c r="E496" s="140" t="str">
        <f>+IF(FINANCIACION[[#This Row],[$ CAPITAL]]&gt;=0,FINANCIACION[[#This Row],[$ CAPITAL]]+FINANCIACION[[#This Row],[$ INTERESES]],"")</f>
        <v/>
      </c>
      <c r="F496" s="140">
        <f>+SUMIFS(FINANCIACION[$ CAPITAL],FINANCIACION[Fecha],"&lt;="&amp;FINANCIACION[[#This Row],[Fecha]],FINANCIACION[PRESTAMO],FINANCIACION[[#This Row],[PRESTAMO]])</f>
        <v>-17361280</v>
      </c>
      <c r="G496" s="140"/>
      <c r="H496" s="141" t="s">
        <v>72</v>
      </c>
      <c r="I496" s="142"/>
      <c r="J496" s="140" t="b">
        <f>+IF(FINANCIACION[[#This Row],[$ CAPITAL]]&gt;0,FINANCIACION[[#This Row],[$ CAPITAL]])</f>
        <v>0</v>
      </c>
      <c r="K496" s="143">
        <f>+IF(FINANCIACION[[#This Row],[$ CAPITAL]]&gt;=0,FINANCIACION[[#This Row],[$ CAPITAL]]+FINANCIACION[[#This Row],[$ INTERESES]],0)</f>
        <v>0</v>
      </c>
    </row>
    <row r="497" spans="1:11" ht="24" customHeight="1" x14ac:dyDescent="0.25">
      <c r="A497" s="138">
        <v>45262</v>
      </c>
      <c r="B497" s="139" t="s">
        <v>218</v>
      </c>
      <c r="C497" s="140">
        <v>0</v>
      </c>
      <c r="D497" s="140">
        <v>0</v>
      </c>
      <c r="E497" s="140">
        <f>+IF(FINANCIACION[[#This Row],[$ CAPITAL]]&gt;=0,FINANCIACION[[#This Row],[$ CAPITAL]]+FINANCIACION[[#This Row],[$ INTERESES]],"")</f>
        <v>0</v>
      </c>
      <c r="F497" s="140">
        <f>+SUMIFS(FINANCIACION[$ CAPITAL],FINANCIACION[Fecha],"&lt;="&amp;FINANCIACION[[#This Row],[Fecha]],FINANCIACION[PRESTAMO],FINANCIACION[[#This Row],[PRESTAMO]])</f>
        <v>-23099671</v>
      </c>
      <c r="G497" s="140"/>
      <c r="H497" s="141"/>
      <c r="I497" s="142"/>
      <c r="J497" s="140" t="b">
        <f>+IF(FINANCIACION[[#This Row],[$ CAPITAL]]&gt;0,FINANCIACION[[#This Row],[$ CAPITAL]])</f>
        <v>0</v>
      </c>
      <c r="K497" s="143">
        <f>+IF(FINANCIACION[[#This Row],[$ CAPITAL]]&gt;=0,FINANCIACION[[#This Row],[$ CAPITAL]]+FINANCIACION[[#This Row],[$ INTERESES]],0)</f>
        <v>0</v>
      </c>
    </row>
    <row r="498" spans="1:11" ht="24" customHeight="1" x14ac:dyDescent="0.25">
      <c r="A498" s="138">
        <v>45263</v>
      </c>
      <c r="B498" s="139" t="s">
        <v>139</v>
      </c>
      <c r="C498" s="140"/>
      <c r="D498" s="140">
        <v>289402</v>
      </c>
      <c r="E498" s="140">
        <f>+IF(FINANCIACION[[#This Row],[$ CAPITAL]]&gt;=0,FINANCIACION[[#This Row],[$ CAPITAL]]+FINANCIACION[[#This Row],[$ INTERESES]],"")</f>
        <v>289402</v>
      </c>
      <c r="F498" s="140">
        <f>+SUMIFS(FINANCIACION[$ CAPITAL],FINANCIACION[Fecha],"&lt;="&amp;FINANCIACION[[#This Row],[Fecha]],FINANCIACION[PRESTAMO],FINANCIACION[[#This Row],[PRESTAMO]])</f>
        <v>-75000000</v>
      </c>
      <c r="G498" s="140"/>
      <c r="H498" s="141" t="s">
        <v>919</v>
      </c>
      <c r="I498" s="142"/>
      <c r="J498" s="140" t="b">
        <f>+IF(FINANCIACION[[#This Row],[$ CAPITAL]]&gt;0,FINANCIACION[[#This Row],[$ CAPITAL]])</f>
        <v>0</v>
      </c>
      <c r="K498" s="143">
        <f>+IF(FINANCIACION[[#This Row],[$ CAPITAL]]&gt;=0,FINANCIACION[[#This Row],[$ CAPITAL]]+FINANCIACION[[#This Row],[$ INTERESES]],0)</f>
        <v>289402</v>
      </c>
    </row>
    <row r="499" spans="1:11" ht="24" customHeight="1" x14ac:dyDescent="0.25">
      <c r="A499" s="138">
        <v>45270</v>
      </c>
      <c r="B499" s="139" t="s">
        <v>233</v>
      </c>
      <c r="C499" s="140">
        <v>-100000000</v>
      </c>
      <c r="D499" s="140"/>
      <c r="E499" s="140" t="str">
        <f>+IF(FINANCIACION[[#This Row],[$ CAPITAL]]&gt;=0,FINANCIACION[[#This Row],[$ CAPITAL]]+FINANCIACION[[#This Row],[$ INTERESES]],"")</f>
        <v/>
      </c>
      <c r="F499" s="140">
        <f>+SUMIFS(FINANCIACION[$ CAPITAL],FINANCIACION[Fecha],"&lt;="&amp;FINANCIACION[[#This Row],[Fecha]],FINANCIACION[PRESTAMO],FINANCIACION[[#This Row],[PRESTAMO]])</f>
        <v>-100000000</v>
      </c>
      <c r="G499" s="140"/>
      <c r="H499" s="141"/>
      <c r="I499" s="142"/>
      <c r="J499" s="140" t="b">
        <f>+IF(FINANCIACION[[#This Row],[$ CAPITAL]]&gt;0,FINANCIACION[[#This Row],[$ CAPITAL]])</f>
        <v>0</v>
      </c>
      <c r="K499" s="143">
        <f>+IF(FINANCIACION[[#This Row],[$ CAPITAL]]&gt;=0,FINANCIACION[[#This Row],[$ CAPITAL]]+FINANCIACION[[#This Row],[$ INTERESES]],0)</f>
        <v>0</v>
      </c>
    </row>
    <row r="500" spans="1:11" ht="24" customHeight="1" x14ac:dyDescent="0.25">
      <c r="A500" s="138">
        <v>45271</v>
      </c>
      <c r="B500" s="139" t="s">
        <v>141</v>
      </c>
      <c r="C500" s="140"/>
      <c r="D500" s="140">
        <v>130000</v>
      </c>
      <c r="E500" s="140">
        <f>+IF(FINANCIACION[[#This Row],[$ CAPITAL]]&gt;=0,FINANCIACION[[#This Row],[$ CAPITAL]]+FINANCIACION[[#This Row],[$ INTERESES]],"")</f>
        <v>130000</v>
      </c>
      <c r="F500" s="140">
        <f>+SUMIFS(FINANCIACION[$ CAPITAL],FINANCIACION[Fecha],"&lt;="&amp;FINANCIACION[[#This Row],[Fecha]],FINANCIACION[PRESTAMO],FINANCIACION[[#This Row],[PRESTAMO]])</f>
        <v>-13000000</v>
      </c>
      <c r="G500" s="140"/>
      <c r="H500" s="141"/>
      <c r="I500" s="142"/>
      <c r="J500" s="140" t="b">
        <f>+IF(FINANCIACION[[#This Row],[$ CAPITAL]]&gt;0,FINANCIACION[[#This Row],[$ CAPITAL]])</f>
        <v>0</v>
      </c>
      <c r="K500" s="143">
        <f>+IF(FINANCIACION[[#This Row],[$ CAPITAL]]&gt;=0,FINANCIACION[[#This Row],[$ CAPITAL]]+FINANCIACION[[#This Row],[$ INTERESES]],0)</f>
        <v>130000</v>
      </c>
    </row>
    <row r="501" spans="1:11" ht="24" customHeight="1" x14ac:dyDescent="0.25">
      <c r="A501" s="138">
        <v>45271</v>
      </c>
      <c r="B501" s="139" t="s">
        <v>219</v>
      </c>
      <c r="C501" s="140"/>
      <c r="D501" s="140">
        <v>700000</v>
      </c>
      <c r="E501" s="140">
        <f>+IF(FINANCIACION[[#This Row],[$ CAPITAL]]&gt;=0,FINANCIACION[[#This Row],[$ CAPITAL]]+FINANCIACION[[#This Row],[$ INTERESES]],"")</f>
        <v>700000</v>
      </c>
      <c r="F501" s="140">
        <f>+SUMIFS(FINANCIACION[$ CAPITAL],FINANCIACION[Fecha],"&lt;="&amp;FINANCIACION[[#This Row],[Fecha]],FINANCIACION[PRESTAMO],FINANCIACION[[#This Row],[PRESTAMO]])</f>
        <v>-70000000</v>
      </c>
      <c r="G501" s="140"/>
      <c r="H501" s="141"/>
      <c r="I501" s="142"/>
      <c r="J501" s="140" t="b">
        <f>+IF(FINANCIACION[[#This Row],[$ CAPITAL]]&gt;0,FINANCIACION[[#This Row],[$ CAPITAL]])</f>
        <v>0</v>
      </c>
      <c r="K501" s="143">
        <f>+IF(FINANCIACION[[#This Row],[$ CAPITAL]]&gt;=0,FINANCIACION[[#This Row],[$ CAPITAL]]+FINANCIACION[[#This Row],[$ INTERESES]],0)</f>
        <v>700000</v>
      </c>
    </row>
    <row r="502" spans="1:11" ht="24" customHeight="1" x14ac:dyDescent="0.25">
      <c r="A502" s="138">
        <v>45271</v>
      </c>
      <c r="B502" s="139" t="s">
        <v>139</v>
      </c>
      <c r="C502" s="140">
        <v>-5000000</v>
      </c>
      <c r="D502" s="140"/>
      <c r="E502" s="140" t="str">
        <f>+IF(FINANCIACION[[#This Row],[$ CAPITAL]]&gt;=0,FINANCIACION[[#This Row],[$ CAPITAL]]+FINANCIACION[[#This Row],[$ INTERESES]],"")</f>
        <v/>
      </c>
      <c r="F502" s="140">
        <f>+SUMIFS(FINANCIACION[$ CAPITAL],FINANCIACION[Fecha],"&lt;="&amp;FINANCIACION[[#This Row],[Fecha]],FINANCIACION[PRESTAMO],FINANCIACION[[#This Row],[PRESTAMO]])</f>
        <v>-80000000</v>
      </c>
      <c r="G502" s="140"/>
      <c r="H502" s="141"/>
      <c r="I502" s="142"/>
      <c r="J502" s="140" t="b">
        <f>+IF(FINANCIACION[[#This Row],[$ CAPITAL]]&gt;0,FINANCIACION[[#This Row],[$ CAPITAL]])</f>
        <v>0</v>
      </c>
      <c r="K502" s="143">
        <f>+IF(FINANCIACION[[#This Row],[$ CAPITAL]]&gt;=0,FINANCIACION[[#This Row],[$ CAPITAL]]+FINANCIACION[[#This Row],[$ INTERESES]],0)</f>
        <v>0</v>
      </c>
    </row>
    <row r="503" spans="1:11" ht="24" customHeight="1" x14ac:dyDescent="0.25">
      <c r="A503" s="138">
        <v>45271</v>
      </c>
      <c r="B503" s="139" t="s">
        <v>143</v>
      </c>
      <c r="C503" s="140"/>
      <c r="D503" s="140">
        <v>350000</v>
      </c>
      <c r="E503" s="140">
        <f>+IF(FINANCIACION[[#This Row],[$ CAPITAL]]&gt;=0,FINANCIACION[[#This Row],[$ CAPITAL]]+FINANCIACION[[#This Row],[$ INTERESES]],"")</f>
        <v>350000</v>
      </c>
      <c r="F503" s="140">
        <f>+SUMIFS(FINANCIACION[$ CAPITAL],FINANCIACION[Fecha],"&lt;="&amp;FINANCIACION[[#This Row],[Fecha]],FINANCIACION[PRESTAMO],FINANCIACION[[#This Row],[PRESTAMO]])</f>
        <v>-35000000</v>
      </c>
      <c r="G503" s="140"/>
      <c r="H503" s="141"/>
      <c r="I503" s="142"/>
      <c r="J503" s="140" t="b">
        <f>+IF(FINANCIACION[[#This Row],[$ CAPITAL]]&gt;0,FINANCIACION[[#This Row],[$ CAPITAL]])</f>
        <v>0</v>
      </c>
      <c r="K503" s="143">
        <f>+IF(FINANCIACION[[#This Row],[$ CAPITAL]]&gt;=0,FINANCIACION[[#This Row],[$ CAPITAL]]+FINANCIACION[[#This Row],[$ INTERESES]],0)</f>
        <v>350000</v>
      </c>
    </row>
    <row r="504" spans="1:11" ht="24" customHeight="1" x14ac:dyDescent="0.25">
      <c r="A504" s="138">
        <v>45271</v>
      </c>
      <c r="B504" s="139" t="s">
        <v>135</v>
      </c>
      <c r="C504" s="140">
        <v>696765</v>
      </c>
      <c r="D504" s="140">
        <v>303235</v>
      </c>
      <c r="E504" s="140">
        <f>+IF(FINANCIACION[[#This Row],[$ CAPITAL]]&gt;=0,FINANCIACION[[#This Row],[$ CAPITAL]]+FINANCIACION[[#This Row],[$ INTERESES]],"")</f>
        <v>1000000</v>
      </c>
      <c r="F504" s="140">
        <f>+SUMIFS(FINANCIACION[$ CAPITAL],FINANCIACION[Fecha],"&lt;="&amp;FINANCIACION[[#This Row],[Fecha]],FINANCIACION[PRESTAMO],FINANCIACION[[#This Row],[PRESTAMO]])</f>
        <v>-29626686.514479995</v>
      </c>
      <c r="G504" s="140"/>
      <c r="H504" s="141"/>
      <c r="I504" s="142"/>
      <c r="J504" s="140">
        <f>+IF(FINANCIACION[[#This Row],[$ CAPITAL]]&gt;0,FINANCIACION[[#This Row],[$ CAPITAL]])</f>
        <v>696765</v>
      </c>
      <c r="K504" s="143">
        <f>+IF(FINANCIACION[[#This Row],[$ CAPITAL]]&gt;=0,FINANCIACION[[#This Row],[$ CAPITAL]]+FINANCIACION[[#This Row],[$ INTERESES]],0)</f>
        <v>1000000</v>
      </c>
    </row>
    <row r="505" spans="1:11" ht="24" customHeight="1" x14ac:dyDescent="0.25">
      <c r="A505" s="138">
        <v>45271</v>
      </c>
      <c r="B505" s="139" t="s">
        <v>138</v>
      </c>
      <c r="C505" s="140">
        <v>1178694</v>
      </c>
      <c r="D505" s="140">
        <v>121306</v>
      </c>
      <c r="E505" s="140">
        <f>+IF(FINANCIACION[[#This Row],[$ CAPITAL]]&gt;=0,FINANCIACION[[#This Row],[$ CAPITAL]]+FINANCIACION[[#This Row],[$ INTERESES]],"")</f>
        <v>1300000</v>
      </c>
      <c r="F505" s="140">
        <f>+SUMIFS(FINANCIACION[$ CAPITAL],FINANCIACION[Fecha],"&lt;="&amp;FINANCIACION[[#This Row],[Fecha]],FINANCIACION[PRESTAMO],FINANCIACION[[#This Row],[PRESTAMO]])</f>
        <v>-10951890.05175975</v>
      </c>
      <c r="G505" s="140"/>
      <c r="H505" s="141"/>
      <c r="I505" s="142"/>
      <c r="J505" s="140">
        <f>+IF(FINANCIACION[[#This Row],[$ CAPITAL]]&gt;0,FINANCIACION[[#This Row],[$ CAPITAL]])</f>
        <v>1178694</v>
      </c>
      <c r="K505" s="143">
        <f>+IF(FINANCIACION[[#This Row],[$ CAPITAL]]&gt;=0,FINANCIACION[[#This Row],[$ CAPITAL]]+FINANCIACION[[#This Row],[$ INTERESES]],0)</f>
        <v>1300000</v>
      </c>
    </row>
    <row r="506" spans="1:11" ht="24" customHeight="1" x14ac:dyDescent="0.25">
      <c r="A506" s="138">
        <v>45271</v>
      </c>
      <c r="B506" s="139" t="s">
        <v>136</v>
      </c>
      <c r="C506" s="140">
        <v>1580166</v>
      </c>
      <c r="D506" s="140">
        <v>419834</v>
      </c>
      <c r="E506" s="140">
        <f>+IF(FINANCIACION[[#This Row],[$ CAPITAL]]&gt;=0,FINANCIACION[[#This Row],[$ CAPITAL]]+FINANCIACION[[#This Row],[$ INTERESES]],"")</f>
        <v>2000000</v>
      </c>
      <c r="F506" s="140">
        <f>+SUMIFS(FINANCIACION[$ CAPITAL],FINANCIACION[Fecha],"&lt;="&amp;FINANCIACION[[#This Row],[Fecha]],FINANCIACION[PRESTAMO],FINANCIACION[[#This Row],[PRESTAMO]])</f>
        <v>-40403265.97283452</v>
      </c>
      <c r="G506" s="140"/>
      <c r="H506" s="141"/>
      <c r="I506" s="142"/>
      <c r="J506" s="140">
        <f>+IF(FINANCIACION[[#This Row],[$ CAPITAL]]&gt;0,FINANCIACION[[#This Row],[$ CAPITAL]])</f>
        <v>1580166</v>
      </c>
      <c r="K506" s="143">
        <f>+IF(FINANCIACION[[#This Row],[$ CAPITAL]]&gt;=0,FINANCIACION[[#This Row],[$ CAPITAL]]+FINANCIACION[[#This Row],[$ INTERESES]],0)</f>
        <v>2000000</v>
      </c>
    </row>
    <row r="507" spans="1:11" ht="24" customHeight="1" x14ac:dyDescent="0.25">
      <c r="A507" s="138">
        <v>45272</v>
      </c>
      <c r="B507" s="139" t="s">
        <v>139</v>
      </c>
      <c r="C507" s="140"/>
      <c r="D507" s="140">
        <v>3563305</v>
      </c>
      <c r="E507" s="140">
        <f>+IF(FINANCIACION[[#This Row],[$ CAPITAL]]&gt;=0,FINANCIACION[[#This Row],[$ CAPITAL]]+FINANCIACION[[#This Row],[$ INTERESES]],"")</f>
        <v>3563305</v>
      </c>
      <c r="F507" s="140">
        <f>+SUMIFS(FINANCIACION[$ CAPITAL],FINANCIACION[Fecha],"&lt;="&amp;FINANCIACION[[#This Row],[Fecha]],FINANCIACION[PRESTAMO],FINANCIACION[[#This Row],[PRESTAMO]])</f>
        <v>-80000000</v>
      </c>
      <c r="G507" s="140"/>
      <c r="H507" s="141"/>
      <c r="I507" s="142"/>
      <c r="J507" s="140" t="b">
        <f>+IF(FINANCIACION[[#This Row],[$ CAPITAL]]&gt;0,FINANCIACION[[#This Row],[$ CAPITAL]])</f>
        <v>0</v>
      </c>
      <c r="K507" s="143">
        <f>+IF(FINANCIACION[[#This Row],[$ CAPITAL]]&gt;=0,FINANCIACION[[#This Row],[$ CAPITAL]]+FINANCIACION[[#This Row],[$ INTERESES]],0)</f>
        <v>3563305</v>
      </c>
    </row>
    <row r="508" spans="1:11" ht="24" customHeight="1" x14ac:dyDescent="0.25">
      <c r="A508" s="138">
        <v>45278</v>
      </c>
      <c r="B508" s="139" t="s">
        <v>137</v>
      </c>
      <c r="C508" s="140">
        <v>1344557</v>
      </c>
      <c r="D508" s="140">
        <v>6153320</v>
      </c>
      <c r="E508" s="140">
        <f>+IF(FINANCIACION[[#This Row],[$ CAPITAL]]&gt;=0,FINANCIACION[[#This Row],[$ CAPITAL]]+FINANCIACION[[#This Row],[$ INTERESES]],"")</f>
        <v>7497877</v>
      </c>
      <c r="F508" s="140">
        <f>+SUMIFS(FINANCIACION[$ CAPITAL],FINANCIACION[Fecha],"&lt;="&amp;FINANCIACION[[#This Row],[Fecha]],FINANCIACION[PRESTAMO],FINANCIACION[[#This Row],[PRESTAMO]])</f>
        <v>-340691606</v>
      </c>
      <c r="G508" s="140"/>
      <c r="H508" s="141"/>
      <c r="I508" s="142"/>
      <c r="J508" s="140">
        <f>+IF(FINANCIACION[[#This Row],[$ CAPITAL]]&gt;0,FINANCIACION[[#This Row],[$ CAPITAL]])</f>
        <v>1344557</v>
      </c>
      <c r="K508" s="143">
        <f>+IF(FINANCIACION[[#This Row],[$ CAPITAL]]&gt;=0,FINANCIACION[[#This Row],[$ CAPITAL]]+FINANCIACION[[#This Row],[$ INTERESES]],0)</f>
        <v>7497877</v>
      </c>
    </row>
    <row r="509" spans="1:11" ht="24" customHeight="1" x14ac:dyDescent="0.25">
      <c r="A509" s="138">
        <v>45280</v>
      </c>
      <c r="B509" s="139" t="s">
        <v>218</v>
      </c>
      <c r="C509" s="140">
        <v>20920810</v>
      </c>
      <c r="D509" s="140"/>
      <c r="E509" s="140">
        <f>+IF(FINANCIACION[[#This Row],[$ CAPITAL]]&gt;=0,FINANCIACION[[#This Row],[$ CAPITAL]]+FINANCIACION[[#This Row],[$ INTERESES]],"")</f>
        <v>20920810</v>
      </c>
      <c r="F509" s="140">
        <f>+SUMIFS(FINANCIACION[$ CAPITAL],FINANCIACION[Fecha],"&lt;="&amp;FINANCIACION[[#This Row],[Fecha]],FINANCIACION[PRESTAMO],FINANCIACION[[#This Row],[PRESTAMO]])</f>
        <v>-2178861</v>
      </c>
      <c r="G509" s="140"/>
      <c r="H509" s="141"/>
      <c r="I509" s="142"/>
      <c r="J509" s="140">
        <f>+IF(FINANCIACION[[#This Row],[$ CAPITAL]]&gt;0,FINANCIACION[[#This Row],[$ CAPITAL]])</f>
        <v>20920810</v>
      </c>
      <c r="K509" s="143">
        <f>+IF(FINANCIACION[[#This Row],[$ CAPITAL]]&gt;=0,FINANCIACION[[#This Row],[$ CAPITAL]]+FINANCIACION[[#This Row],[$ INTERESES]],0)</f>
        <v>20920810</v>
      </c>
    </row>
    <row r="510" spans="1:11" ht="24" customHeight="1" x14ac:dyDescent="0.25">
      <c r="A510" s="138">
        <v>45281</v>
      </c>
      <c r="B510" s="139" t="s">
        <v>146</v>
      </c>
      <c r="C510" s="140"/>
      <c r="D510" s="140">
        <v>1400000</v>
      </c>
      <c r="E510" s="140">
        <f>+IF(FINANCIACION[[#This Row],[$ CAPITAL]]&gt;=0,FINANCIACION[[#This Row],[$ CAPITAL]]+FINANCIACION[[#This Row],[$ INTERESES]],"")</f>
        <v>1400000</v>
      </c>
      <c r="F510" s="140">
        <f>+SUMIFS(FINANCIACION[$ CAPITAL],FINANCIACION[Fecha],"&lt;="&amp;FINANCIACION[[#This Row],[Fecha]],FINANCIACION[PRESTAMO],FINANCIACION[[#This Row],[PRESTAMO]])</f>
        <v>-140000000</v>
      </c>
      <c r="G510" s="140"/>
      <c r="H510" s="141"/>
      <c r="I510" s="142"/>
      <c r="J510" s="140" t="b">
        <f>+IF(FINANCIACION[[#This Row],[$ CAPITAL]]&gt;0,FINANCIACION[[#This Row],[$ CAPITAL]])</f>
        <v>0</v>
      </c>
      <c r="K510" s="143">
        <f>+IF(FINANCIACION[[#This Row],[$ CAPITAL]]&gt;=0,FINANCIACION[[#This Row],[$ CAPITAL]]+FINANCIACION[[#This Row],[$ INTERESES]],0)</f>
        <v>1400000</v>
      </c>
    </row>
    <row r="511" spans="1:11" ht="24" customHeight="1" x14ac:dyDescent="0.25">
      <c r="A511" s="138">
        <v>45286</v>
      </c>
      <c r="B511" s="139" t="s">
        <v>216</v>
      </c>
      <c r="C511" s="140">
        <v>47942987</v>
      </c>
      <c r="D511" s="140"/>
      <c r="E511" s="140">
        <f>+IF(FINANCIACION[[#This Row],[$ CAPITAL]]&gt;=0,FINANCIACION[[#This Row],[$ CAPITAL]]+FINANCIACION[[#This Row],[$ INTERESES]],"")</f>
        <v>47942987</v>
      </c>
      <c r="F511" s="140">
        <f>+SUMIFS(FINANCIACION[$ CAPITAL],FINANCIACION[Fecha],"&lt;="&amp;FINANCIACION[[#This Row],[Fecha]],FINANCIACION[PRESTAMO],FINANCIACION[[#This Row],[PRESTAMO]])</f>
        <v>-5748715</v>
      </c>
      <c r="G511" s="140"/>
      <c r="H511" s="141"/>
      <c r="I511" s="142"/>
      <c r="J511" s="140">
        <f>+IF(FINANCIACION[[#This Row],[$ CAPITAL]]&gt;0,FINANCIACION[[#This Row],[$ CAPITAL]])</f>
        <v>47942987</v>
      </c>
      <c r="K511" s="143">
        <f>+IF(FINANCIACION[[#This Row],[$ CAPITAL]]&gt;=0,FINANCIACION[[#This Row],[$ CAPITAL]]+FINANCIACION[[#This Row],[$ INTERESES]],0)</f>
        <v>47942987</v>
      </c>
    </row>
    <row r="512" spans="1:11" ht="24" customHeight="1" x14ac:dyDescent="0.25">
      <c r="A512" s="138">
        <v>45286</v>
      </c>
      <c r="B512" s="139" t="s">
        <v>239</v>
      </c>
      <c r="C512" s="140">
        <v>1484481</v>
      </c>
      <c r="D512" s="140">
        <v>744678</v>
      </c>
      <c r="E512" s="140">
        <f>+IF(FINANCIACION[[#This Row],[$ CAPITAL]]&gt;=0,FINANCIACION[[#This Row],[$ CAPITAL]]+FINANCIACION[[#This Row],[$ INTERESES]],"")</f>
        <v>2229159</v>
      </c>
      <c r="F512" s="140">
        <f>+SUMIFS(FINANCIACION[$ CAPITAL],FINANCIACION[Fecha],"&lt;="&amp;FINANCIACION[[#This Row],[Fecha]],FINANCIACION[PRESTAMO],FINANCIACION[[#This Row],[PRESTAMO]])</f>
        <v>-51957060.449999988</v>
      </c>
      <c r="G512" s="140"/>
      <c r="H512" s="141"/>
      <c r="I512" s="142"/>
      <c r="J512" s="140">
        <f>+IF(FINANCIACION[[#This Row],[$ CAPITAL]]&gt;0,FINANCIACION[[#This Row],[$ CAPITAL]])</f>
        <v>1484481</v>
      </c>
      <c r="K512" s="143">
        <f>+IF(FINANCIACION[[#This Row],[$ CAPITAL]]&gt;=0,FINANCIACION[[#This Row],[$ CAPITAL]]+FINANCIACION[[#This Row],[$ INTERESES]],0)</f>
        <v>2229159</v>
      </c>
    </row>
    <row r="513" spans="1:11" ht="24" customHeight="1" x14ac:dyDescent="0.25">
      <c r="A513" s="138">
        <v>45291</v>
      </c>
      <c r="B513" s="139" t="s">
        <v>216</v>
      </c>
      <c r="C513" s="140">
        <v>5748715</v>
      </c>
      <c r="D513" s="140"/>
      <c r="E513" s="140">
        <f>+IF(FINANCIACION[[#This Row],[$ CAPITAL]]&gt;=0,FINANCIACION[[#This Row],[$ CAPITAL]]+FINANCIACION[[#This Row],[$ INTERESES]],"")</f>
        <v>5748715</v>
      </c>
      <c r="F513" s="140">
        <f>+SUMIFS(FINANCIACION[$ CAPITAL],FINANCIACION[Fecha],"&lt;="&amp;FINANCIACION[[#This Row],[Fecha]],FINANCIACION[PRESTAMO],FINANCIACION[[#This Row],[PRESTAMO]])</f>
        <v>0</v>
      </c>
      <c r="G513" s="140"/>
      <c r="H513" s="141" t="s">
        <v>945</v>
      </c>
      <c r="I513" s="142"/>
      <c r="J513" s="140">
        <f>+IF(FINANCIACION[[#This Row],[$ CAPITAL]]&gt;0,FINANCIACION[[#This Row],[$ CAPITAL]])</f>
        <v>5748715</v>
      </c>
      <c r="K513" s="143">
        <f>+IF(FINANCIACION[[#This Row],[$ CAPITAL]]&gt;=0,FINANCIACION[[#This Row],[$ CAPITAL]]+FINANCIACION[[#This Row],[$ INTERESES]],0)</f>
        <v>5748715</v>
      </c>
    </row>
    <row r="514" spans="1:11" ht="24" customHeight="1" x14ac:dyDescent="0.25">
      <c r="A514" s="138">
        <v>45291</v>
      </c>
      <c r="B514" s="139" t="s">
        <v>218</v>
      </c>
      <c r="C514" s="140">
        <v>2178861</v>
      </c>
      <c r="D514" s="140"/>
      <c r="E514" s="140">
        <f>+IF(FINANCIACION[[#This Row],[$ CAPITAL]]&gt;=0,FINANCIACION[[#This Row],[$ CAPITAL]]+FINANCIACION[[#This Row],[$ INTERESES]],"")</f>
        <v>2178861</v>
      </c>
      <c r="F514" s="140">
        <f>+SUMIFS(FINANCIACION[$ CAPITAL],FINANCIACION[Fecha],"&lt;="&amp;FINANCIACION[[#This Row],[Fecha]],FINANCIACION[PRESTAMO],FINANCIACION[[#This Row],[PRESTAMO]])</f>
        <v>0</v>
      </c>
      <c r="G514" s="140"/>
      <c r="H514" s="141" t="s">
        <v>945</v>
      </c>
      <c r="I514" s="142"/>
      <c r="J514" s="140">
        <f>+IF(FINANCIACION[[#This Row],[$ CAPITAL]]&gt;0,FINANCIACION[[#This Row],[$ CAPITAL]])</f>
        <v>2178861</v>
      </c>
      <c r="K514" s="143">
        <f>+IF(FINANCIACION[[#This Row],[$ CAPITAL]]&gt;=0,FINANCIACION[[#This Row],[$ CAPITAL]]+FINANCIACION[[#This Row],[$ INTERESES]],0)</f>
        <v>2178861</v>
      </c>
    </row>
    <row r="515" spans="1:11" ht="24" customHeight="1" x14ac:dyDescent="0.25">
      <c r="A515" s="138">
        <v>45291</v>
      </c>
      <c r="B515" s="139" t="s">
        <v>137</v>
      </c>
      <c r="C515" s="140">
        <v>1200575</v>
      </c>
      <c r="D515" s="140"/>
      <c r="E515" s="140">
        <f>+IF(FINANCIACION[[#This Row],[$ CAPITAL]]&gt;=0,FINANCIACION[[#This Row],[$ CAPITAL]]+FINANCIACION[[#This Row],[$ INTERESES]],"")</f>
        <v>1200575</v>
      </c>
      <c r="F515" s="140">
        <f>+SUMIFS(FINANCIACION[$ CAPITAL],FINANCIACION[Fecha],"&lt;="&amp;FINANCIACION[[#This Row],[Fecha]],FINANCIACION[PRESTAMO],FINANCIACION[[#This Row],[PRESTAMO]])</f>
        <v>-318824853</v>
      </c>
      <c r="G515" s="140"/>
      <c r="H515" s="141" t="s">
        <v>933</v>
      </c>
      <c r="I515" s="142"/>
      <c r="J515" s="140">
        <f>+IF(FINANCIACION[[#This Row],[$ CAPITAL]]&gt;0,FINANCIACION[[#This Row],[$ CAPITAL]])</f>
        <v>1200575</v>
      </c>
      <c r="K515" s="143">
        <f>+IF(FINANCIACION[[#This Row],[$ CAPITAL]]&gt;=0,FINANCIACION[[#This Row],[$ CAPITAL]]+FINANCIACION[[#This Row],[$ INTERESES]],0)</f>
        <v>1200575</v>
      </c>
    </row>
    <row r="516" spans="1:11" ht="24" customHeight="1" x14ac:dyDescent="0.25">
      <c r="A516" s="138">
        <v>45291</v>
      </c>
      <c r="B516" s="139" t="s">
        <v>137</v>
      </c>
      <c r="C516" s="140">
        <v>20666178</v>
      </c>
      <c r="D516" s="140"/>
      <c r="E516" s="140">
        <f>+IF(FINANCIACION[[#This Row],[$ CAPITAL]]&gt;=0,FINANCIACION[[#This Row],[$ CAPITAL]]+FINANCIACION[[#This Row],[$ INTERESES]],"")</f>
        <v>20666178</v>
      </c>
      <c r="F516" s="140">
        <f>+SUMIFS(FINANCIACION[$ CAPITAL],FINANCIACION[Fecha],"&lt;="&amp;FINANCIACION[[#This Row],[Fecha]],FINANCIACION[PRESTAMO],FINANCIACION[[#This Row],[PRESTAMO]])</f>
        <v>-318824853</v>
      </c>
      <c r="G516" s="140"/>
      <c r="H516" s="141" t="s">
        <v>933</v>
      </c>
      <c r="I516" s="142"/>
      <c r="J516" s="140">
        <f>+IF(FINANCIACION[[#This Row],[$ CAPITAL]]&gt;0,FINANCIACION[[#This Row],[$ CAPITAL]])</f>
        <v>20666178</v>
      </c>
      <c r="K516" s="143">
        <f>+IF(FINANCIACION[[#This Row],[$ CAPITAL]]&gt;=0,FINANCIACION[[#This Row],[$ CAPITAL]]+FINANCIACION[[#This Row],[$ INTERESES]],0)</f>
        <v>20666178</v>
      </c>
    </row>
    <row r="517" spans="1:11" ht="24" customHeight="1" x14ac:dyDescent="0.25">
      <c r="A517" s="138">
        <v>45291</v>
      </c>
      <c r="B517" s="139" t="s">
        <v>236</v>
      </c>
      <c r="C517" s="140">
        <v>-10603950</v>
      </c>
      <c r="D517" s="140"/>
      <c r="E517" s="140" t="str">
        <f>+IF(FINANCIACION[[#This Row],[$ CAPITAL]]&gt;=0,FINANCIACION[[#This Row],[$ CAPITAL]]+FINANCIACION[[#This Row],[$ INTERESES]],"")</f>
        <v/>
      </c>
      <c r="F517" s="140">
        <f>+SUMIFS(FINANCIACION[$ CAPITAL],FINANCIACION[Fecha],"&lt;="&amp;FINANCIACION[[#This Row],[Fecha]],FINANCIACION[PRESTAMO],FINANCIACION[[#This Row],[PRESTAMO]])</f>
        <v>0</v>
      </c>
      <c r="G517" s="140"/>
      <c r="H517" s="141"/>
      <c r="I517" s="142"/>
      <c r="J517" s="140" t="b">
        <f>+IF(FINANCIACION[[#This Row],[$ CAPITAL]]&gt;0,FINANCIACION[[#This Row],[$ CAPITAL]])</f>
        <v>0</v>
      </c>
      <c r="K517" s="143">
        <f>+IF(FINANCIACION[[#This Row],[$ CAPITAL]]&gt;=0,FINANCIACION[[#This Row],[$ CAPITAL]]+FINANCIACION[[#This Row],[$ INTERESES]],0)</f>
        <v>0</v>
      </c>
    </row>
    <row r="518" spans="1:11" ht="24" customHeight="1" x14ac:dyDescent="0.25">
      <c r="A518" s="138">
        <v>45291</v>
      </c>
      <c r="B518" s="139" t="s">
        <v>238</v>
      </c>
      <c r="C518" s="140">
        <v>3816487</v>
      </c>
      <c r="D518" s="140"/>
      <c r="E518" s="140">
        <f>+IF(FINANCIACION[[#This Row],[$ CAPITAL]]&gt;=0,FINANCIACION[[#This Row],[$ CAPITAL]]+FINANCIACION[[#This Row],[$ INTERESES]],"")</f>
        <v>3816487</v>
      </c>
      <c r="F518" s="140">
        <f>+SUMIFS(FINANCIACION[$ CAPITAL],FINANCIACION[Fecha],"&lt;="&amp;FINANCIACION[[#This Row],[Fecha]],FINANCIACION[PRESTAMO],FINANCIACION[[#This Row],[PRESTAMO]])</f>
        <v>-115950</v>
      </c>
      <c r="G518" s="140"/>
      <c r="H518" s="141"/>
      <c r="I518" s="142"/>
      <c r="J518" s="140">
        <f>+IF(FINANCIACION[[#This Row],[$ CAPITAL]]&gt;0,FINANCIACION[[#This Row],[$ CAPITAL]])</f>
        <v>3816487</v>
      </c>
      <c r="K518" s="143">
        <f>+IF(FINANCIACION[[#This Row],[$ CAPITAL]]&gt;=0,FINANCIACION[[#This Row],[$ CAPITAL]]+FINANCIACION[[#This Row],[$ INTERESES]],0)</f>
        <v>3816487</v>
      </c>
    </row>
    <row r="519" spans="1:11" ht="24" customHeight="1" x14ac:dyDescent="0.25">
      <c r="A519" s="138">
        <v>45291</v>
      </c>
      <c r="B519" s="139" t="s">
        <v>237</v>
      </c>
      <c r="C519" s="140">
        <v>-2595310</v>
      </c>
      <c r="D519" s="140"/>
      <c r="E519" s="140" t="str">
        <f>+IF(FINANCIACION[[#This Row],[$ CAPITAL]]&gt;=0,FINANCIACION[[#This Row],[$ CAPITAL]]+FINANCIACION[[#This Row],[$ INTERESES]],"")</f>
        <v/>
      </c>
      <c r="F519" s="140">
        <f>+SUMIFS(FINANCIACION[$ CAPITAL],FINANCIACION[Fecha],"&lt;="&amp;FINANCIACION[[#This Row],[Fecha]],FINANCIACION[PRESTAMO],FINANCIACION[[#This Row],[PRESTAMO]])</f>
        <v>-19956590</v>
      </c>
      <c r="G519" s="140"/>
      <c r="H519" s="141"/>
      <c r="I519" s="142"/>
      <c r="J519" s="140" t="b">
        <f>+IF(FINANCIACION[[#This Row],[$ CAPITAL]]&gt;0,FINANCIACION[[#This Row],[$ CAPITAL]])</f>
        <v>0</v>
      </c>
      <c r="K519" s="143">
        <f>+IF(FINANCIACION[[#This Row],[$ CAPITAL]]&gt;=0,FINANCIACION[[#This Row],[$ CAPITAL]]+FINANCIACION[[#This Row],[$ INTERESES]],0)</f>
        <v>0</v>
      </c>
    </row>
    <row r="520" spans="1:11" ht="24" customHeight="1" x14ac:dyDescent="0.25">
      <c r="A520" s="138">
        <v>45293</v>
      </c>
      <c r="B520" s="139" t="s">
        <v>238</v>
      </c>
      <c r="C520" s="140">
        <v>115950</v>
      </c>
      <c r="D520" s="140"/>
      <c r="E520" s="140">
        <f>+IF(FINANCIACION[[#This Row],[$ CAPITAL]]&gt;=0,FINANCIACION[[#This Row],[$ CAPITAL]]+FINANCIACION[[#This Row],[$ INTERESES]],"")</f>
        <v>115950</v>
      </c>
      <c r="F520" s="140">
        <f>+SUMIFS(FINANCIACION[$ CAPITAL],FINANCIACION[Fecha],"&lt;="&amp;FINANCIACION[[#This Row],[Fecha]],FINANCIACION[PRESTAMO],FINANCIACION[[#This Row],[PRESTAMO]])</f>
        <v>0</v>
      </c>
      <c r="G520" s="140"/>
      <c r="H520" s="141"/>
      <c r="I520" s="142"/>
      <c r="J520" s="140">
        <f>+IF(FINANCIACION[[#This Row],[$ CAPITAL]]&gt;0,FINANCIACION[[#This Row],[$ CAPITAL]])</f>
        <v>115950</v>
      </c>
      <c r="K520" s="143">
        <f>+IF(FINANCIACION[[#This Row],[$ CAPITAL]]&gt;=0,FINANCIACION[[#This Row],[$ CAPITAL]]+FINANCIACION[[#This Row],[$ INTERESES]],0)</f>
        <v>115950</v>
      </c>
    </row>
    <row r="521" spans="1:11" ht="24" customHeight="1" x14ac:dyDescent="0.25">
      <c r="A521" s="138">
        <v>45302</v>
      </c>
      <c r="B521" s="139" t="s">
        <v>141</v>
      </c>
      <c r="C521" s="140">
        <v>0</v>
      </c>
      <c r="D521" s="140">
        <v>130000</v>
      </c>
      <c r="E521" s="140">
        <f>+IF(FINANCIACION[[#This Row],[$ CAPITAL]]&gt;=0,FINANCIACION[[#This Row],[$ CAPITAL]]+FINANCIACION[[#This Row],[$ INTERESES]],"")</f>
        <v>130000</v>
      </c>
      <c r="F521" s="140">
        <f>+SUMIFS(FINANCIACION[$ CAPITAL],FINANCIACION[Fecha],"&lt;="&amp;FINANCIACION[[#This Row],[Fecha]],FINANCIACION[PRESTAMO],FINANCIACION[[#This Row],[PRESTAMO]])</f>
        <v>-13000000</v>
      </c>
      <c r="G521" s="140"/>
      <c r="H521" s="141"/>
      <c r="I521" s="142"/>
      <c r="J521" s="140" t="b">
        <f>+IF(FINANCIACION[[#This Row],[$ CAPITAL]]&gt;0,FINANCIACION[[#This Row],[$ CAPITAL]])</f>
        <v>0</v>
      </c>
      <c r="K521" s="143">
        <f>+IF(FINANCIACION[[#This Row],[$ CAPITAL]]&gt;=0,FINANCIACION[[#This Row],[$ CAPITAL]]+FINANCIACION[[#This Row],[$ INTERESES]],0)</f>
        <v>130000</v>
      </c>
    </row>
    <row r="522" spans="1:11" ht="24" customHeight="1" x14ac:dyDescent="0.25">
      <c r="A522" s="138">
        <v>45302</v>
      </c>
      <c r="B522" s="139" t="s">
        <v>219</v>
      </c>
      <c r="C522" s="140">
        <v>0</v>
      </c>
      <c r="D522" s="140">
        <v>700000</v>
      </c>
      <c r="E522" s="140">
        <f>+IF(FINANCIACION[[#This Row],[$ CAPITAL]]&gt;=0,FINANCIACION[[#This Row],[$ CAPITAL]]+FINANCIACION[[#This Row],[$ INTERESES]],"")</f>
        <v>700000</v>
      </c>
      <c r="F522" s="140">
        <f>+SUMIFS(FINANCIACION[$ CAPITAL],FINANCIACION[Fecha],"&lt;="&amp;FINANCIACION[[#This Row],[Fecha]],FINANCIACION[PRESTAMO],FINANCIACION[[#This Row],[PRESTAMO]])</f>
        <v>-70000000</v>
      </c>
      <c r="G522" s="140"/>
      <c r="H522" s="141"/>
      <c r="I522" s="142"/>
      <c r="J522" s="140" t="b">
        <f>+IF(FINANCIACION[[#This Row],[$ CAPITAL]]&gt;0,FINANCIACION[[#This Row],[$ CAPITAL]])</f>
        <v>0</v>
      </c>
      <c r="K522" s="143">
        <f>+IF(FINANCIACION[[#This Row],[$ CAPITAL]]&gt;=0,FINANCIACION[[#This Row],[$ CAPITAL]]+FINANCIACION[[#This Row],[$ INTERESES]],0)</f>
        <v>700000</v>
      </c>
    </row>
    <row r="523" spans="1:11" ht="24" customHeight="1" x14ac:dyDescent="0.25">
      <c r="A523" s="138">
        <v>45302</v>
      </c>
      <c r="B523" s="139" t="s">
        <v>143</v>
      </c>
      <c r="C523" s="140">
        <v>0</v>
      </c>
      <c r="D523" s="140">
        <v>350000</v>
      </c>
      <c r="E523" s="140">
        <f>+IF(FINANCIACION[[#This Row],[$ CAPITAL]]&gt;=0,FINANCIACION[[#This Row],[$ CAPITAL]]+FINANCIACION[[#This Row],[$ INTERESES]],"")</f>
        <v>350000</v>
      </c>
      <c r="F523" s="140">
        <f>+SUMIFS(FINANCIACION[$ CAPITAL],FINANCIACION[Fecha],"&lt;="&amp;FINANCIACION[[#This Row],[Fecha]],FINANCIACION[PRESTAMO],FINANCIACION[[#This Row],[PRESTAMO]])</f>
        <v>-35000000</v>
      </c>
      <c r="G523" s="140"/>
      <c r="H523" s="141"/>
      <c r="I523" s="142"/>
      <c r="J523" s="140" t="b">
        <f>+IF(FINANCIACION[[#This Row],[$ CAPITAL]]&gt;0,FINANCIACION[[#This Row],[$ CAPITAL]])</f>
        <v>0</v>
      </c>
      <c r="K523" s="143">
        <f>+IF(FINANCIACION[[#This Row],[$ CAPITAL]]&gt;=0,FINANCIACION[[#This Row],[$ CAPITAL]]+FINANCIACION[[#This Row],[$ INTERESES]],0)</f>
        <v>350000</v>
      </c>
    </row>
    <row r="524" spans="1:11" ht="24" customHeight="1" x14ac:dyDescent="0.25">
      <c r="A524" s="138">
        <v>45302</v>
      </c>
      <c r="B524" s="139" t="s">
        <v>135</v>
      </c>
      <c r="C524" s="140">
        <v>703733.1348552003</v>
      </c>
      <c r="D524" s="140">
        <v>296266.86514479999</v>
      </c>
      <c r="E524" s="140">
        <f>+IF(FINANCIACION[[#This Row],[$ CAPITAL]]&gt;=0,FINANCIACION[[#This Row],[$ CAPITAL]]+FINANCIACION[[#This Row],[$ INTERESES]],"")</f>
        <v>1000000.0000000002</v>
      </c>
      <c r="F524" s="140">
        <f>+SUMIFS(FINANCIACION[$ CAPITAL],FINANCIACION[Fecha],"&lt;="&amp;FINANCIACION[[#This Row],[Fecha]],FINANCIACION[PRESTAMO],FINANCIACION[[#This Row],[PRESTAMO]])</f>
        <v>-28922953.379624795</v>
      </c>
      <c r="G524" s="140"/>
      <c r="H524" s="141"/>
      <c r="I524" s="142"/>
      <c r="J524" s="140">
        <f>+IF(FINANCIACION[[#This Row],[$ CAPITAL]]&gt;0,FINANCIACION[[#This Row],[$ CAPITAL]])</f>
        <v>703733.1348552003</v>
      </c>
      <c r="K524" s="143">
        <f>+IF(FINANCIACION[[#This Row],[$ CAPITAL]]&gt;=0,FINANCIACION[[#This Row],[$ CAPITAL]]+FINANCIACION[[#This Row],[$ INTERESES]],0)</f>
        <v>1000000.0000000002</v>
      </c>
    </row>
    <row r="525" spans="1:11" ht="24" customHeight="1" x14ac:dyDescent="0.25">
      <c r="A525" s="138">
        <v>45302</v>
      </c>
      <c r="B525" s="139" t="s">
        <v>138</v>
      </c>
      <c r="C525" s="140">
        <v>1190481.0994824022</v>
      </c>
      <c r="D525" s="140">
        <v>109518.90051759779</v>
      </c>
      <c r="E525" s="140">
        <f>+IF(FINANCIACION[[#This Row],[$ CAPITAL]]&gt;=0,FINANCIACION[[#This Row],[$ CAPITAL]]+FINANCIACION[[#This Row],[$ INTERESES]],"")</f>
        <v>1300000</v>
      </c>
      <c r="F525" s="140">
        <f>+SUMIFS(FINANCIACION[$ CAPITAL],FINANCIACION[Fecha],"&lt;="&amp;FINANCIACION[[#This Row],[Fecha]],FINANCIACION[PRESTAMO],FINANCIACION[[#This Row],[PRESTAMO]])</f>
        <v>-9761408.9522773474</v>
      </c>
      <c r="G525" s="140"/>
      <c r="H525" s="141"/>
      <c r="I525" s="142"/>
      <c r="J525" s="140">
        <f>+IF(FINANCIACION[[#This Row],[$ CAPITAL]]&gt;0,FINANCIACION[[#This Row],[$ CAPITAL]])</f>
        <v>1190481.0994824022</v>
      </c>
      <c r="K525" s="143">
        <f>+IF(FINANCIACION[[#This Row],[$ CAPITAL]]&gt;=0,FINANCIACION[[#This Row],[$ CAPITAL]]+FINANCIACION[[#This Row],[$ INTERESES]],0)</f>
        <v>1300000</v>
      </c>
    </row>
    <row r="526" spans="1:11" ht="24" customHeight="1" x14ac:dyDescent="0.25">
      <c r="A526" s="138">
        <v>45302</v>
      </c>
      <c r="B526" s="139" t="s">
        <v>136</v>
      </c>
      <c r="C526" s="140">
        <v>1595967.3402716548</v>
      </c>
      <c r="D526" s="140">
        <v>404032.65972834529</v>
      </c>
      <c r="E526" s="140">
        <f>+IF(FINANCIACION[[#This Row],[$ CAPITAL]]&gt;=0,FINANCIACION[[#This Row],[$ CAPITAL]]+FINANCIACION[[#This Row],[$ INTERESES]],"")</f>
        <v>2000000</v>
      </c>
      <c r="F526" s="140">
        <f>+SUMIFS(FINANCIACION[$ CAPITAL],FINANCIACION[Fecha],"&lt;="&amp;FINANCIACION[[#This Row],[Fecha]],FINANCIACION[PRESTAMO],FINANCIACION[[#This Row],[PRESTAMO]])</f>
        <v>-38807298.632562868</v>
      </c>
      <c r="G526" s="140"/>
      <c r="H526" s="141"/>
      <c r="I526" s="142"/>
      <c r="J526" s="140">
        <f>+IF(FINANCIACION[[#This Row],[$ CAPITAL]]&gt;0,FINANCIACION[[#This Row],[$ CAPITAL]])</f>
        <v>1595967.3402716548</v>
      </c>
      <c r="K526" s="143">
        <f>+IF(FINANCIACION[[#This Row],[$ CAPITAL]]&gt;=0,FINANCIACION[[#This Row],[$ CAPITAL]]+FINANCIACION[[#This Row],[$ INTERESES]],0)</f>
        <v>2000000</v>
      </c>
    </row>
    <row r="527" spans="1:11" ht="24" customHeight="1" x14ac:dyDescent="0.25">
      <c r="A527" s="138">
        <v>45307</v>
      </c>
      <c r="B527" s="139" t="s">
        <v>218</v>
      </c>
      <c r="C527" s="140">
        <v>-60000000</v>
      </c>
      <c r="D527" s="140"/>
      <c r="E527" s="140" t="str">
        <f>+IF(FINANCIACION[[#This Row],[$ CAPITAL]]&gt;=0,FINANCIACION[[#This Row],[$ CAPITAL]]+FINANCIACION[[#This Row],[$ INTERESES]],"")</f>
        <v/>
      </c>
      <c r="F527" s="140">
        <f>+SUMIFS(FINANCIACION[$ CAPITAL],FINANCIACION[Fecha],"&lt;="&amp;FINANCIACION[[#This Row],[Fecha]],FINANCIACION[PRESTAMO],FINANCIACION[[#This Row],[PRESTAMO]])</f>
        <v>-60000000</v>
      </c>
      <c r="G527" s="140"/>
      <c r="H527" s="141"/>
      <c r="I527" s="142"/>
      <c r="J527" s="140" t="b">
        <f>+IF(FINANCIACION[[#This Row],[$ CAPITAL]]&gt;0,FINANCIACION[[#This Row],[$ CAPITAL]])</f>
        <v>0</v>
      </c>
      <c r="K527" s="143">
        <f>+IF(FINANCIACION[[#This Row],[$ CAPITAL]]&gt;=0,FINANCIACION[[#This Row],[$ CAPITAL]]+FINANCIACION[[#This Row],[$ INTERESES]],0)</f>
        <v>0</v>
      </c>
    </row>
    <row r="528" spans="1:11" ht="24" customHeight="1" x14ac:dyDescent="0.25">
      <c r="A528" s="138">
        <v>45309</v>
      </c>
      <c r="B528" s="139" t="s">
        <v>137</v>
      </c>
      <c r="C528" s="140">
        <v>1369125</v>
      </c>
      <c r="D528" s="140">
        <v>5770941</v>
      </c>
      <c r="E528" s="140">
        <f>+IF(FINANCIACION[[#This Row],[$ CAPITAL]]&gt;=0,FINANCIACION[[#This Row],[$ CAPITAL]]+FINANCIACION[[#This Row],[$ INTERESES]],"")</f>
        <v>7140066</v>
      </c>
      <c r="F528" s="140">
        <f>+SUMIFS(FINANCIACION[$ CAPITAL],FINANCIACION[Fecha],"&lt;="&amp;FINANCIACION[[#This Row],[Fecha]],FINANCIACION[PRESTAMO],FINANCIACION[[#This Row],[PRESTAMO]])</f>
        <v>-317455728</v>
      </c>
      <c r="G528" s="140"/>
      <c r="H528" s="141"/>
      <c r="I528" s="142"/>
      <c r="J528" s="140">
        <f>+IF(FINANCIACION[[#This Row],[$ CAPITAL]]&gt;0,FINANCIACION[[#This Row],[$ CAPITAL]])</f>
        <v>1369125</v>
      </c>
      <c r="K528" s="143">
        <f>+IF(FINANCIACION[[#This Row],[$ CAPITAL]]&gt;=0,FINANCIACION[[#This Row],[$ CAPITAL]]+FINANCIACION[[#This Row],[$ INTERESES]],0)</f>
        <v>7140066</v>
      </c>
    </row>
    <row r="529" spans="1:11" ht="24" customHeight="1" x14ac:dyDescent="0.25">
      <c r="A529" s="138">
        <v>45309</v>
      </c>
      <c r="B529" s="139" t="s">
        <v>237</v>
      </c>
      <c r="C529" s="140">
        <v>782488.25</v>
      </c>
      <c r="D529" s="140"/>
      <c r="E529" s="140">
        <f>+IF(FINANCIACION[[#This Row],[$ CAPITAL]]&gt;=0,FINANCIACION[[#This Row],[$ CAPITAL]]+FINANCIACION[[#This Row],[$ INTERESES]],"")</f>
        <v>782488.25</v>
      </c>
      <c r="F529" s="140">
        <f>+SUMIFS(FINANCIACION[$ CAPITAL],FINANCIACION[Fecha],"&lt;="&amp;FINANCIACION[[#This Row],[Fecha]],FINANCIACION[PRESTAMO],FINANCIACION[[#This Row],[PRESTAMO]])</f>
        <v>-19174101.75</v>
      </c>
      <c r="G529" s="140"/>
      <c r="H529" s="141"/>
      <c r="I529" s="142"/>
      <c r="J529" s="140">
        <f>+IF(FINANCIACION[[#This Row],[$ CAPITAL]]&gt;0,FINANCIACION[[#This Row],[$ CAPITAL]])</f>
        <v>782488.25</v>
      </c>
      <c r="K529" s="143">
        <f>+IF(FINANCIACION[[#This Row],[$ CAPITAL]]&gt;=0,FINANCIACION[[#This Row],[$ CAPITAL]]+FINANCIACION[[#This Row],[$ INTERESES]],0)</f>
        <v>782488.25</v>
      </c>
    </row>
    <row r="530" spans="1:11" ht="24" customHeight="1" x14ac:dyDescent="0.25">
      <c r="A530" s="138">
        <v>45310</v>
      </c>
      <c r="B530" s="139" t="s">
        <v>233</v>
      </c>
      <c r="C530" s="140">
        <v>2778000</v>
      </c>
      <c r="D530" s="140">
        <v>1591385.2300000004</v>
      </c>
      <c r="E530" s="140">
        <f>+IF(FINANCIACION[[#This Row],[$ CAPITAL]]&gt;=0,FINANCIACION[[#This Row],[$ CAPITAL]]+FINANCIACION[[#This Row],[$ INTERESES]],"")</f>
        <v>4369385.2300000004</v>
      </c>
      <c r="F530" s="140">
        <f>+SUMIFS(FINANCIACION[$ CAPITAL],FINANCIACION[Fecha],"&lt;="&amp;FINANCIACION[[#This Row],[Fecha]],FINANCIACION[PRESTAMO],FINANCIACION[[#This Row],[PRESTAMO]])</f>
        <v>-97222000</v>
      </c>
      <c r="G530" s="140"/>
      <c r="H530" s="141"/>
      <c r="I530" s="142"/>
      <c r="J530" s="140">
        <f>+IF(FINANCIACION[[#This Row],[$ CAPITAL]]&gt;0,FINANCIACION[[#This Row],[$ CAPITAL]])</f>
        <v>2778000</v>
      </c>
      <c r="K530" s="143">
        <f>+IF(FINANCIACION[[#This Row],[$ CAPITAL]]&gt;=0,FINANCIACION[[#This Row],[$ CAPITAL]]+FINANCIACION[[#This Row],[$ INTERESES]],0)</f>
        <v>4369385.2300000004</v>
      </c>
    </row>
    <row r="531" spans="1:11" ht="24" customHeight="1" x14ac:dyDescent="0.25">
      <c r="A531" s="138">
        <v>45310</v>
      </c>
      <c r="B531" s="139" t="s">
        <v>237</v>
      </c>
      <c r="C531" s="140">
        <v>13879571</v>
      </c>
      <c r="D531" s="140"/>
      <c r="E531" s="140">
        <f>+IF(FINANCIACION[[#This Row],[$ CAPITAL]]&gt;=0,FINANCIACION[[#This Row],[$ CAPITAL]]+FINANCIACION[[#This Row],[$ INTERESES]],"")</f>
        <v>13879571</v>
      </c>
      <c r="F531" s="140">
        <f>+SUMIFS(FINANCIACION[$ CAPITAL],FINANCIACION[Fecha],"&lt;="&amp;FINANCIACION[[#This Row],[Fecha]],FINANCIACION[PRESTAMO],FINANCIACION[[#This Row],[PRESTAMO]])</f>
        <v>-5294530.75</v>
      </c>
      <c r="G531" s="140"/>
      <c r="H531" s="141"/>
      <c r="I531" s="142"/>
      <c r="J531" s="140">
        <f>+IF(FINANCIACION[[#This Row],[$ CAPITAL]]&gt;0,FINANCIACION[[#This Row],[$ CAPITAL]])</f>
        <v>13879571</v>
      </c>
      <c r="K531" s="143">
        <f>+IF(FINANCIACION[[#This Row],[$ CAPITAL]]&gt;=0,FINANCIACION[[#This Row],[$ CAPITAL]]+FINANCIACION[[#This Row],[$ INTERESES]],0)</f>
        <v>13879571</v>
      </c>
    </row>
    <row r="532" spans="1:11" ht="24" customHeight="1" x14ac:dyDescent="0.25">
      <c r="A532" s="138">
        <v>45316</v>
      </c>
      <c r="B532" s="139" t="s">
        <v>146</v>
      </c>
      <c r="C532" s="140"/>
      <c r="D532" s="140">
        <v>1400000</v>
      </c>
      <c r="E532" s="140">
        <f>+IF(FINANCIACION[[#This Row],[$ CAPITAL]]&gt;=0,FINANCIACION[[#This Row],[$ CAPITAL]]+FINANCIACION[[#This Row],[$ INTERESES]],"")</f>
        <v>1400000</v>
      </c>
      <c r="F532" s="140">
        <f>+SUMIFS(FINANCIACION[$ CAPITAL],FINANCIACION[Fecha],"&lt;="&amp;FINANCIACION[[#This Row],[Fecha]],FINANCIACION[PRESTAMO],FINANCIACION[[#This Row],[PRESTAMO]])</f>
        <v>-140000000</v>
      </c>
      <c r="G532" s="140"/>
      <c r="H532" s="141"/>
      <c r="I532" s="142"/>
      <c r="J532" s="140" t="b">
        <f>+IF(FINANCIACION[[#This Row],[$ CAPITAL]]&gt;0,FINANCIACION[[#This Row],[$ CAPITAL]])</f>
        <v>0</v>
      </c>
      <c r="K532" s="143">
        <f>+IF(FINANCIACION[[#This Row],[$ CAPITAL]]&gt;=0,FINANCIACION[[#This Row],[$ CAPITAL]]+FINANCIACION[[#This Row],[$ INTERESES]],0)</f>
        <v>1400000</v>
      </c>
    </row>
    <row r="533" spans="1:11" ht="24" customHeight="1" x14ac:dyDescent="0.25">
      <c r="A533" s="138">
        <v>45316</v>
      </c>
      <c r="B533" s="139" t="s">
        <v>239</v>
      </c>
      <c r="C533" s="140">
        <v>1481481.48</v>
      </c>
      <c r="D533" s="140">
        <v>723518.52</v>
      </c>
      <c r="E533" s="140">
        <f>+IF(FINANCIACION[[#This Row],[$ CAPITAL]]&gt;=0,FINANCIACION[[#This Row],[$ CAPITAL]]+FINANCIACION[[#This Row],[$ INTERESES]],"")</f>
        <v>2205000</v>
      </c>
      <c r="F533" s="140">
        <f>+SUMIFS(FINANCIACION[$ CAPITAL],FINANCIACION[Fecha],"&lt;="&amp;FINANCIACION[[#This Row],[Fecha]],FINANCIACION[PRESTAMO],FINANCIACION[[#This Row],[PRESTAMO]])</f>
        <v>-50475578.969999991</v>
      </c>
      <c r="G533" s="140"/>
      <c r="H533" s="141"/>
      <c r="I533" s="142"/>
      <c r="J533" s="140">
        <f>+IF(FINANCIACION[[#This Row],[$ CAPITAL]]&gt;0,FINANCIACION[[#This Row],[$ CAPITAL]])</f>
        <v>1481481.48</v>
      </c>
      <c r="K533" s="143">
        <f>+IF(FINANCIACION[[#This Row],[$ CAPITAL]]&gt;=0,FINANCIACION[[#This Row],[$ CAPITAL]]+FINANCIACION[[#This Row],[$ INTERESES]],0)</f>
        <v>2205000</v>
      </c>
    </row>
    <row r="534" spans="1:11" ht="24" customHeight="1" x14ac:dyDescent="0.25">
      <c r="A534" s="138">
        <v>45317</v>
      </c>
      <c r="B534" s="139" t="s">
        <v>239</v>
      </c>
      <c r="C534" s="140">
        <v>1481481.48</v>
      </c>
      <c r="D534" s="140">
        <v>662518.52</v>
      </c>
      <c r="E534" s="140">
        <f>+IF(FINANCIACION[[#This Row],[$ CAPITAL]]&gt;=0,FINANCIACION[[#This Row],[$ CAPITAL]]+FINANCIACION[[#This Row],[$ INTERESES]],"")</f>
        <v>2144000</v>
      </c>
      <c r="F534" s="140">
        <f>+SUMIFS(FINANCIACION[$ CAPITAL],FINANCIACION[Fecha],"&lt;="&amp;FINANCIACION[[#This Row],[Fecha]],FINANCIACION[PRESTAMO],FINANCIACION[[#This Row],[PRESTAMO]])</f>
        <v>-48994097.489999995</v>
      </c>
      <c r="G534" s="140"/>
      <c r="H534" s="141"/>
      <c r="I534" s="142"/>
      <c r="J534" s="140">
        <f>+IF(FINANCIACION[[#This Row],[$ CAPITAL]]&gt;0,FINANCIACION[[#This Row],[$ CAPITAL]])</f>
        <v>1481481.48</v>
      </c>
      <c r="K534" s="143">
        <f>+IF(FINANCIACION[[#This Row],[$ CAPITAL]]&gt;=0,FINANCIACION[[#This Row],[$ CAPITAL]]+FINANCIACION[[#This Row],[$ INTERESES]],0)</f>
        <v>2144000</v>
      </c>
    </row>
    <row r="535" spans="1:11" ht="24" customHeight="1" x14ac:dyDescent="0.25">
      <c r="A535" s="138">
        <v>45322</v>
      </c>
      <c r="B535" s="139" t="s">
        <v>236</v>
      </c>
      <c r="C535" s="140">
        <v>-16864000</v>
      </c>
      <c r="D535" s="140"/>
      <c r="E535" s="140" t="str">
        <f>+IF(FINANCIACION[[#This Row],[$ CAPITAL]]&gt;=0,FINANCIACION[[#This Row],[$ CAPITAL]]+FINANCIACION[[#This Row],[$ INTERESES]],"")</f>
        <v/>
      </c>
      <c r="F535" s="140">
        <f>+SUMIFS(FINANCIACION[$ CAPITAL],FINANCIACION[Fecha],"&lt;="&amp;FINANCIACION[[#This Row],[Fecha]],FINANCIACION[PRESTAMO],FINANCIACION[[#This Row],[PRESTAMO]])</f>
        <v>-16864000</v>
      </c>
      <c r="G535" s="140"/>
      <c r="H535" s="141"/>
      <c r="I535" s="142"/>
      <c r="J535" s="140" t="b">
        <f>+IF(FINANCIACION[[#This Row],[$ CAPITAL]]&gt;0,FINANCIACION[[#This Row],[$ CAPITAL]])</f>
        <v>0</v>
      </c>
      <c r="K535" s="143">
        <f>+IF(FINANCIACION[[#This Row],[$ CAPITAL]]&gt;=0,FINANCIACION[[#This Row],[$ CAPITAL]]+FINANCIACION[[#This Row],[$ INTERESES]],0)</f>
        <v>0</v>
      </c>
    </row>
    <row r="536" spans="1:11" ht="24" customHeight="1" x14ac:dyDescent="0.25">
      <c r="A536" s="138">
        <v>45322</v>
      </c>
      <c r="B536" s="139" t="s">
        <v>238</v>
      </c>
      <c r="C536" s="140">
        <v>-707640</v>
      </c>
      <c r="D536" s="140"/>
      <c r="E536" s="140" t="str">
        <f>+IF(FINANCIACION[[#This Row],[$ CAPITAL]]&gt;=0,FINANCIACION[[#This Row],[$ CAPITAL]]+FINANCIACION[[#This Row],[$ INTERESES]],"")</f>
        <v/>
      </c>
      <c r="F536" s="140">
        <f>+SUMIFS(FINANCIACION[$ CAPITAL],FINANCIACION[Fecha],"&lt;="&amp;FINANCIACION[[#This Row],[Fecha]],FINANCIACION[PRESTAMO],FINANCIACION[[#This Row],[PRESTAMO]])</f>
        <v>-707640</v>
      </c>
      <c r="G536" s="140"/>
      <c r="H536" s="141"/>
      <c r="I536" s="142"/>
      <c r="J536" s="140" t="b">
        <f>+IF(FINANCIACION[[#This Row],[$ CAPITAL]]&gt;0,FINANCIACION[[#This Row],[$ CAPITAL]])</f>
        <v>0</v>
      </c>
      <c r="K536" s="143">
        <f>+IF(FINANCIACION[[#This Row],[$ CAPITAL]]&gt;=0,FINANCIACION[[#This Row],[$ CAPITAL]]+FINANCIACION[[#This Row],[$ INTERESES]],0)</f>
        <v>0</v>
      </c>
    </row>
    <row r="537" spans="1:11" ht="24" customHeight="1" x14ac:dyDescent="0.25">
      <c r="A537" s="138">
        <v>45322</v>
      </c>
      <c r="B537" s="139" t="s">
        <v>237</v>
      </c>
      <c r="C537" s="140">
        <v>-6325215.25</v>
      </c>
      <c r="D537" s="140"/>
      <c r="E537" s="140" t="str">
        <f>+IF(FINANCIACION[[#This Row],[$ CAPITAL]]&gt;=0,FINANCIACION[[#This Row],[$ CAPITAL]]+FINANCIACION[[#This Row],[$ INTERESES]],"")</f>
        <v/>
      </c>
      <c r="F537" s="140">
        <f>+SUMIFS(FINANCIACION[$ CAPITAL],FINANCIACION[Fecha],"&lt;="&amp;FINANCIACION[[#This Row],[Fecha]],FINANCIACION[PRESTAMO],FINANCIACION[[#This Row],[PRESTAMO]])</f>
        <v>-11619746</v>
      </c>
      <c r="G537" s="140"/>
      <c r="H537" s="141"/>
      <c r="I537" s="142"/>
      <c r="J537" s="140" t="b">
        <f>+IF(FINANCIACION[[#This Row],[$ CAPITAL]]&gt;0,FINANCIACION[[#This Row],[$ CAPITAL]])</f>
        <v>0</v>
      </c>
      <c r="K537" s="143">
        <f>+IF(FINANCIACION[[#This Row],[$ CAPITAL]]&gt;=0,FINANCIACION[[#This Row],[$ CAPITAL]]+FINANCIACION[[#This Row],[$ INTERESES]],0)</f>
        <v>0</v>
      </c>
    </row>
    <row r="538" spans="1:11" ht="24" customHeight="1" x14ac:dyDescent="0.25">
      <c r="A538" s="138">
        <v>45323</v>
      </c>
      <c r="B538" s="139" t="s">
        <v>139</v>
      </c>
      <c r="C538" s="140">
        <v>-94000000</v>
      </c>
      <c r="D538" s="140"/>
      <c r="E538" s="140" t="str">
        <f>+IF(FINANCIACION[[#This Row],[$ CAPITAL]]&gt;=0,FINANCIACION[[#This Row],[$ CAPITAL]]+FINANCIACION[[#This Row],[$ INTERESES]],"")</f>
        <v/>
      </c>
      <c r="F538" s="140">
        <f>+SUMIFS(FINANCIACION[$ CAPITAL],FINANCIACION[Fecha],"&lt;="&amp;FINANCIACION[[#This Row],[Fecha]],FINANCIACION[PRESTAMO],FINANCIACION[[#This Row],[PRESTAMO]])</f>
        <v>-174000000</v>
      </c>
      <c r="G538" s="140"/>
      <c r="H538" s="141" t="s">
        <v>920</v>
      </c>
      <c r="I538" s="142"/>
      <c r="J538" s="140" t="b">
        <f>+IF(FINANCIACION[[#This Row],[$ CAPITAL]]&gt;0,FINANCIACION[[#This Row],[$ CAPITAL]])</f>
        <v>0</v>
      </c>
      <c r="K538" s="143">
        <f>+IF(FINANCIACION[[#This Row],[$ CAPITAL]]&gt;=0,FINANCIACION[[#This Row],[$ CAPITAL]]+FINANCIACION[[#This Row],[$ INTERESES]],0)</f>
        <v>0</v>
      </c>
    </row>
    <row r="539" spans="1:11" ht="24" customHeight="1" x14ac:dyDescent="0.25">
      <c r="A539" s="138">
        <v>45323</v>
      </c>
      <c r="B539" s="139" t="s">
        <v>250</v>
      </c>
      <c r="C539" s="140">
        <v>-50000000</v>
      </c>
      <c r="D539" s="140">
        <v>-2127940</v>
      </c>
      <c r="E539" s="140" t="str">
        <f>+IF(FINANCIACION[[#This Row],[$ CAPITAL]]&gt;=0,FINANCIACION[[#This Row],[$ CAPITAL]]+FINANCIACION[[#This Row],[$ INTERESES]],"")</f>
        <v/>
      </c>
      <c r="F539" s="140">
        <f>+SUMIFS(FINANCIACION[$ CAPITAL],FINANCIACION[Fecha],"&lt;="&amp;FINANCIACION[[#This Row],[Fecha]],FINANCIACION[PRESTAMO],FINANCIACION[[#This Row],[PRESTAMO]])</f>
        <v>-50000000</v>
      </c>
      <c r="G539" s="140"/>
      <c r="H539" s="141"/>
      <c r="I539" s="142"/>
      <c r="J539" s="140" t="b">
        <f>+IF(FINANCIACION[[#This Row],[$ CAPITAL]]&gt;0,FINANCIACION[[#This Row],[$ CAPITAL]])</f>
        <v>0</v>
      </c>
      <c r="K539" s="143">
        <f>+IF(FINANCIACION[[#This Row],[$ CAPITAL]]&gt;=0,FINANCIACION[[#This Row],[$ CAPITAL]]+FINANCIACION[[#This Row],[$ INTERESES]],0)</f>
        <v>0</v>
      </c>
    </row>
    <row r="540" spans="1:11" ht="24" customHeight="1" x14ac:dyDescent="0.25">
      <c r="A540" s="138">
        <v>45323</v>
      </c>
      <c r="B540" s="139" t="s">
        <v>137</v>
      </c>
      <c r="C540" s="140">
        <v>88320776</v>
      </c>
      <c r="D540" s="140">
        <v>5679224</v>
      </c>
      <c r="E540" s="140">
        <f>+IF(FINANCIACION[[#This Row],[$ CAPITAL]]&gt;=0,FINANCIACION[[#This Row],[$ CAPITAL]]+FINANCIACION[[#This Row],[$ INTERESES]],"")</f>
        <v>94000000</v>
      </c>
      <c r="F540" s="140">
        <f>+SUMIFS(FINANCIACION[$ CAPITAL],FINANCIACION[Fecha],"&lt;="&amp;FINANCIACION[[#This Row],[Fecha]],FINANCIACION[PRESTAMO],FINANCIACION[[#This Row],[PRESTAMO]])</f>
        <v>-229134952</v>
      </c>
      <c r="G540" s="140"/>
      <c r="H540" s="141"/>
      <c r="I540" s="142"/>
      <c r="J540" s="140">
        <f>+IF(FINANCIACION[[#This Row],[$ CAPITAL]]&gt;0,FINANCIACION[[#This Row],[$ CAPITAL]])</f>
        <v>88320776</v>
      </c>
      <c r="K540" s="143">
        <f>+IF(FINANCIACION[[#This Row],[$ CAPITAL]]&gt;=0,FINANCIACION[[#This Row],[$ CAPITAL]]+FINANCIACION[[#This Row],[$ INTERESES]],0)</f>
        <v>94000000</v>
      </c>
    </row>
    <row r="541" spans="1:11" ht="24" customHeight="1" x14ac:dyDescent="0.25">
      <c r="A541" s="138">
        <v>45324</v>
      </c>
      <c r="B541" s="139" t="s">
        <v>218</v>
      </c>
      <c r="C541" s="140">
        <v>-935858</v>
      </c>
      <c r="D541" s="140"/>
      <c r="E541" s="140" t="str">
        <f>+IF(FINANCIACION[[#This Row],[$ CAPITAL]]&gt;=0,FINANCIACION[[#This Row],[$ CAPITAL]]+FINANCIACION[[#This Row],[$ INTERESES]],"")</f>
        <v/>
      </c>
      <c r="F541" s="140">
        <f>+SUMIFS(FINANCIACION[$ CAPITAL],FINANCIACION[Fecha],"&lt;="&amp;FINANCIACION[[#This Row],[Fecha]],FINANCIACION[PRESTAMO],FINANCIACION[[#This Row],[PRESTAMO]])</f>
        <v>-60935858</v>
      </c>
      <c r="G541" s="140"/>
      <c r="H541" s="141" t="s">
        <v>948</v>
      </c>
      <c r="I541" s="142"/>
      <c r="J541" s="140" t="b">
        <f>+IF(FINANCIACION[[#This Row],[$ CAPITAL]]&gt;0,FINANCIACION[[#This Row],[$ CAPITAL]])</f>
        <v>0</v>
      </c>
      <c r="K541" s="143">
        <f>+IF(FINANCIACION[[#This Row],[$ CAPITAL]]&gt;=0,FINANCIACION[[#This Row],[$ CAPITAL]]+FINANCIACION[[#This Row],[$ INTERESES]],0)</f>
        <v>0</v>
      </c>
    </row>
    <row r="542" spans="1:11" ht="24" customHeight="1" x14ac:dyDescent="0.25">
      <c r="A542" s="138">
        <v>45334</v>
      </c>
      <c r="B542" s="139" t="s">
        <v>141</v>
      </c>
      <c r="C542" s="140"/>
      <c r="D542" s="140">
        <v>130000</v>
      </c>
      <c r="E542" s="140">
        <f>+IF(FINANCIACION[[#This Row],[$ CAPITAL]]&gt;=0,FINANCIACION[[#This Row],[$ CAPITAL]]+FINANCIACION[[#This Row],[$ INTERESES]],"")</f>
        <v>130000</v>
      </c>
      <c r="F542" s="140">
        <f>+SUMIFS(FINANCIACION[$ CAPITAL],FINANCIACION[Fecha],"&lt;="&amp;FINANCIACION[[#This Row],[Fecha]],FINANCIACION[PRESTAMO],FINANCIACION[[#This Row],[PRESTAMO]])</f>
        <v>-13000000</v>
      </c>
      <c r="G542" s="140"/>
      <c r="H542" s="141"/>
      <c r="I542" s="142"/>
      <c r="J542" s="140" t="b">
        <f>+IF(FINANCIACION[[#This Row],[$ CAPITAL]]&gt;0,FINANCIACION[[#This Row],[$ CAPITAL]])</f>
        <v>0</v>
      </c>
      <c r="K542" s="143">
        <f>+IF(FINANCIACION[[#This Row],[$ CAPITAL]]&gt;=0,FINANCIACION[[#This Row],[$ CAPITAL]]+FINANCIACION[[#This Row],[$ INTERESES]],0)</f>
        <v>130000</v>
      </c>
    </row>
    <row r="543" spans="1:11" ht="24" customHeight="1" x14ac:dyDescent="0.25">
      <c r="A543" s="138">
        <v>45334</v>
      </c>
      <c r="B543" s="139" t="s">
        <v>143</v>
      </c>
      <c r="C543" s="140"/>
      <c r="D543" s="140">
        <v>350000</v>
      </c>
      <c r="E543" s="140">
        <f>+IF(FINANCIACION[[#This Row],[$ CAPITAL]]&gt;=0,FINANCIACION[[#This Row],[$ CAPITAL]]+FINANCIACION[[#This Row],[$ INTERESES]],"")</f>
        <v>350000</v>
      </c>
      <c r="F543" s="140">
        <f>+SUMIFS(FINANCIACION[$ CAPITAL],FINANCIACION[Fecha],"&lt;="&amp;FINANCIACION[[#This Row],[Fecha]],FINANCIACION[PRESTAMO],FINANCIACION[[#This Row],[PRESTAMO]])</f>
        <v>-35000000</v>
      </c>
      <c r="G543" s="140"/>
      <c r="H543" s="141"/>
      <c r="I543" s="142"/>
      <c r="J543" s="140" t="b">
        <f>+IF(FINANCIACION[[#This Row],[$ CAPITAL]]&gt;0,FINANCIACION[[#This Row],[$ CAPITAL]])</f>
        <v>0</v>
      </c>
      <c r="K543" s="143">
        <f>+IF(FINANCIACION[[#This Row],[$ CAPITAL]]&gt;=0,FINANCIACION[[#This Row],[$ CAPITAL]]+FINANCIACION[[#This Row],[$ INTERESES]],0)</f>
        <v>350000</v>
      </c>
    </row>
    <row r="544" spans="1:11" ht="24" customHeight="1" x14ac:dyDescent="0.25">
      <c r="A544" s="138">
        <v>45334</v>
      </c>
      <c r="B544" s="139" t="s">
        <v>138</v>
      </c>
      <c r="C544" s="140">
        <v>1202385.9099999999</v>
      </c>
      <c r="D544" s="140">
        <v>97614.09</v>
      </c>
      <c r="E544" s="140">
        <f>+IF(FINANCIACION[[#This Row],[$ CAPITAL]]&gt;=0,FINANCIACION[[#This Row],[$ CAPITAL]]+FINANCIACION[[#This Row],[$ INTERESES]],"")</f>
        <v>1300000</v>
      </c>
      <c r="F544" s="140">
        <f>+SUMIFS(FINANCIACION[$ CAPITAL],FINANCIACION[Fecha],"&lt;="&amp;FINANCIACION[[#This Row],[Fecha]],FINANCIACION[PRESTAMO],FINANCIACION[[#This Row],[PRESTAMO]])</f>
        <v>-8559023.0422773473</v>
      </c>
      <c r="G544" s="140"/>
      <c r="H544" s="141"/>
      <c r="I544" s="142"/>
      <c r="J544" s="140">
        <f>+IF(FINANCIACION[[#This Row],[$ CAPITAL]]&gt;0,FINANCIACION[[#This Row],[$ CAPITAL]])</f>
        <v>1202385.9099999999</v>
      </c>
      <c r="K544" s="143">
        <f>+IF(FINANCIACION[[#This Row],[$ CAPITAL]]&gt;=0,FINANCIACION[[#This Row],[$ CAPITAL]]+FINANCIACION[[#This Row],[$ INTERESES]],0)</f>
        <v>1300000</v>
      </c>
    </row>
    <row r="545" spans="1:11" ht="24" customHeight="1" x14ac:dyDescent="0.25">
      <c r="A545" s="138">
        <v>45334</v>
      </c>
      <c r="B545" s="139" t="s">
        <v>136</v>
      </c>
      <c r="C545" s="140">
        <v>1611927.01</v>
      </c>
      <c r="D545" s="140">
        <v>388072.99</v>
      </c>
      <c r="E545" s="140">
        <f>+IF(FINANCIACION[[#This Row],[$ CAPITAL]]&gt;=0,FINANCIACION[[#This Row],[$ CAPITAL]]+FINANCIACION[[#This Row],[$ INTERESES]],"")</f>
        <v>2000000</v>
      </c>
      <c r="F545" s="140">
        <f>+SUMIFS(FINANCIACION[$ CAPITAL],FINANCIACION[Fecha],"&lt;="&amp;FINANCIACION[[#This Row],[Fecha]],FINANCIACION[PRESTAMO],FINANCIACION[[#This Row],[PRESTAMO]])</f>
        <v>-37195371.62256287</v>
      </c>
      <c r="G545" s="140"/>
      <c r="H545" s="141"/>
      <c r="I545" s="142"/>
      <c r="J545" s="140">
        <f>+IF(FINANCIACION[[#This Row],[$ CAPITAL]]&gt;0,FINANCIACION[[#This Row],[$ CAPITAL]])</f>
        <v>1611927.01</v>
      </c>
      <c r="K545" s="143">
        <f>+IF(FINANCIACION[[#This Row],[$ CAPITAL]]&gt;=0,FINANCIACION[[#This Row],[$ CAPITAL]]+FINANCIACION[[#This Row],[$ INTERESES]],0)</f>
        <v>2000000</v>
      </c>
    </row>
    <row r="546" spans="1:11" ht="24" customHeight="1" x14ac:dyDescent="0.25">
      <c r="A546" s="138">
        <v>45335</v>
      </c>
      <c r="B546" s="139" t="s">
        <v>219</v>
      </c>
      <c r="C546" s="140"/>
      <c r="D546" s="140">
        <v>700000</v>
      </c>
      <c r="E546" s="140">
        <f>+IF(FINANCIACION[[#This Row],[$ CAPITAL]]&gt;=0,FINANCIACION[[#This Row],[$ CAPITAL]]+FINANCIACION[[#This Row],[$ INTERESES]],"")</f>
        <v>700000</v>
      </c>
      <c r="F546" s="140">
        <f>+SUMIFS(FINANCIACION[$ CAPITAL],FINANCIACION[Fecha],"&lt;="&amp;FINANCIACION[[#This Row],[Fecha]],FINANCIACION[PRESTAMO],FINANCIACION[[#This Row],[PRESTAMO]])</f>
        <v>-70000000</v>
      </c>
      <c r="G546" s="140"/>
      <c r="H546" s="141"/>
      <c r="I546" s="142"/>
      <c r="J546" s="140" t="b">
        <f>+IF(FINANCIACION[[#This Row],[$ CAPITAL]]&gt;0,FINANCIACION[[#This Row],[$ CAPITAL]])</f>
        <v>0</v>
      </c>
      <c r="K546" s="143">
        <f>+IF(FINANCIACION[[#This Row],[$ CAPITAL]]&gt;=0,FINANCIACION[[#This Row],[$ CAPITAL]]+FINANCIACION[[#This Row],[$ INTERESES]],0)</f>
        <v>700000</v>
      </c>
    </row>
    <row r="547" spans="1:11" ht="24" customHeight="1" x14ac:dyDescent="0.25">
      <c r="A547" s="138">
        <v>45335</v>
      </c>
      <c r="B547" s="139" t="s">
        <v>135</v>
      </c>
      <c r="C547" s="140">
        <v>710770.47</v>
      </c>
      <c r="D547" s="140">
        <v>289229.53000000003</v>
      </c>
      <c r="E547" s="140">
        <f>+IF(FINANCIACION[[#This Row],[$ CAPITAL]]&gt;=0,FINANCIACION[[#This Row],[$ CAPITAL]]+FINANCIACION[[#This Row],[$ INTERESES]],"")</f>
        <v>1000000</v>
      </c>
      <c r="F547" s="140">
        <f>+SUMIFS(FINANCIACION[$ CAPITAL],FINANCIACION[Fecha],"&lt;="&amp;FINANCIACION[[#This Row],[Fecha]],FINANCIACION[PRESTAMO],FINANCIACION[[#This Row],[PRESTAMO]])</f>
        <v>-28212182.909624796</v>
      </c>
      <c r="G547" s="140"/>
      <c r="H547" s="141"/>
      <c r="I547" s="142"/>
      <c r="J547" s="140">
        <f>+IF(FINANCIACION[[#This Row],[$ CAPITAL]]&gt;0,FINANCIACION[[#This Row],[$ CAPITAL]])</f>
        <v>710770.47</v>
      </c>
      <c r="K547" s="143">
        <f>+IF(FINANCIACION[[#This Row],[$ CAPITAL]]&gt;=0,FINANCIACION[[#This Row],[$ CAPITAL]]+FINANCIACION[[#This Row],[$ INTERESES]],0)</f>
        <v>1000000</v>
      </c>
    </row>
    <row r="548" spans="1:11" ht="24" customHeight="1" x14ac:dyDescent="0.25">
      <c r="A548" s="138">
        <v>45342</v>
      </c>
      <c r="B548" s="139" t="s">
        <v>233</v>
      </c>
      <c r="C548" s="140">
        <v>2778000</v>
      </c>
      <c r="D548" s="140">
        <v>1491055.6300000001</v>
      </c>
      <c r="E548" s="140">
        <f>+IF(FINANCIACION[[#This Row],[$ CAPITAL]]&gt;=0,FINANCIACION[[#This Row],[$ CAPITAL]]+FINANCIACION[[#This Row],[$ INTERESES]],"")</f>
        <v>4269055.63</v>
      </c>
      <c r="F548" s="140">
        <f>+SUMIFS(FINANCIACION[$ CAPITAL],FINANCIACION[Fecha],"&lt;="&amp;FINANCIACION[[#This Row],[Fecha]],FINANCIACION[PRESTAMO],FINANCIACION[[#This Row],[PRESTAMO]])</f>
        <v>-94444000</v>
      </c>
      <c r="G548" s="140"/>
      <c r="H548" s="141"/>
      <c r="I548" s="142"/>
      <c r="J548" s="140">
        <f>+IF(FINANCIACION[[#This Row],[$ CAPITAL]]&gt;0,FINANCIACION[[#This Row],[$ CAPITAL]])</f>
        <v>2778000</v>
      </c>
      <c r="K548" s="143">
        <f>+IF(FINANCIACION[[#This Row],[$ CAPITAL]]&gt;=0,FINANCIACION[[#This Row],[$ CAPITAL]]+FINANCIACION[[#This Row],[$ INTERESES]],0)</f>
        <v>4269055.63</v>
      </c>
    </row>
    <row r="549" spans="1:11" ht="24" customHeight="1" x14ac:dyDescent="0.25">
      <c r="A549" s="138">
        <v>45348</v>
      </c>
      <c r="B549" s="139" t="s">
        <v>146</v>
      </c>
      <c r="C549" s="140"/>
      <c r="D549" s="140">
        <v>1400000</v>
      </c>
      <c r="E549" s="140">
        <f>+IF(FINANCIACION[[#This Row],[$ CAPITAL]]&gt;=0,FINANCIACION[[#This Row],[$ CAPITAL]]+FINANCIACION[[#This Row],[$ INTERESES]],"")</f>
        <v>1400000</v>
      </c>
      <c r="F549" s="140">
        <f>+SUMIFS(FINANCIACION[$ CAPITAL],FINANCIACION[Fecha],"&lt;="&amp;FINANCIACION[[#This Row],[Fecha]],FINANCIACION[PRESTAMO],FINANCIACION[[#This Row],[PRESTAMO]])</f>
        <v>-140000000</v>
      </c>
      <c r="G549" s="140"/>
      <c r="H549" s="141"/>
      <c r="I549" s="142"/>
      <c r="J549" s="140" t="b">
        <f>+IF(FINANCIACION[[#This Row],[$ CAPITAL]]&gt;0,FINANCIACION[[#This Row],[$ CAPITAL]])</f>
        <v>0</v>
      </c>
      <c r="K549" s="143">
        <f>+IF(FINANCIACION[[#This Row],[$ CAPITAL]]&gt;=0,FINANCIACION[[#This Row],[$ CAPITAL]]+FINANCIACION[[#This Row],[$ INTERESES]],0)</f>
        <v>1400000</v>
      </c>
    </row>
    <row r="550" spans="1:11" ht="24" customHeight="1" x14ac:dyDescent="0.25">
      <c r="A550" s="138">
        <v>45351</v>
      </c>
      <c r="B550" s="139" t="s">
        <v>237</v>
      </c>
      <c r="C550" s="140">
        <v>3208618</v>
      </c>
      <c r="D550" s="140"/>
      <c r="E550" s="140">
        <f>+IF(FINANCIACION[[#This Row],[$ CAPITAL]]&gt;=0,FINANCIACION[[#This Row],[$ CAPITAL]]+FINANCIACION[[#This Row],[$ INTERESES]],"")</f>
        <v>3208618</v>
      </c>
      <c r="F550" s="140">
        <f>+SUMIFS(FINANCIACION[$ CAPITAL],FINANCIACION[Fecha],"&lt;="&amp;FINANCIACION[[#This Row],[Fecha]],FINANCIACION[PRESTAMO],FINANCIACION[[#This Row],[PRESTAMO]])</f>
        <v>-8411128</v>
      </c>
      <c r="G550" s="140"/>
      <c r="H550" s="141" t="s">
        <v>72</v>
      </c>
      <c r="I550" s="142"/>
      <c r="J550" s="140">
        <f>+IF(FINANCIACION[[#This Row],[$ CAPITAL]]&gt;0,FINANCIACION[[#This Row],[$ CAPITAL]])</f>
        <v>3208618</v>
      </c>
      <c r="K550" s="143">
        <f>+IF(FINANCIACION[[#This Row],[$ CAPITAL]]&gt;=0,FINANCIACION[[#This Row],[$ CAPITAL]]+FINANCIACION[[#This Row],[$ INTERESES]],0)</f>
        <v>3208618</v>
      </c>
    </row>
    <row r="551" spans="1:11" ht="24" customHeight="1" x14ac:dyDescent="0.25">
      <c r="A551" s="138">
        <v>45357</v>
      </c>
      <c r="B551" s="139" t="s">
        <v>218</v>
      </c>
      <c r="C551" s="140">
        <v>2880460</v>
      </c>
      <c r="D551" s="140">
        <v>900000</v>
      </c>
      <c r="E551" s="140">
        <f>+IF(FINANCIACION[[#This Row],[$ CAPITAL]]&gt;=0,FINANCIACION[[#This Row],[$ CAPITAL]]+FINANCIACION[[#This Row],[$ INTERESES]],"")</f>
        <v>3780460</v>
      </c>
      <c r="F551" s="140">
        <f>+SUMIFS(FINANCIACION[$ CAPITAL],FINANCIACION[Fecha],"&lt;="&amp;FINANCIACION[[#This Row],[Fecha]],FINANCIACION[PRESTAMO],FINANCIACION[[#This Row],[PRESTAMO]])</f>
        <v>-58055398</v>
      </c>
      <c r="G551" s="140"/>
      <c r="H551" s="141"/>
      <c r="I551" s="142"/>
      <c r="J551" s="140">
        <f>+IF(FINANCIACION[[#This Row],[$ CAPITAL]]&gt;0,FINANCIACION[[#This Row],[$ CAPITAL]])</f>
        <v>2880460</v>
      </c>
      <c r="K551" s="143">
        <f>+IF(FINANCIACION[[#This Row],[$ CAPITAL]]&gt;=0,FINANCIACION[[#This Row],[$ CAPITAL]]+FINANCIACION[[#This Row],[$ INTERESES]],0)</f>
        <v>3780460</v>
      </c>
    </row>
    <row r="552" spans="1:11" ht="24" customHeight="1" x14ac:dyDescent="0.25">
      <c r="A552" s="138">
        <v>45363</v>
      </c>
      <c r="B552" s="139" t="s">
        <v>141</v>
      </c>
      <c r="C552" s="140"/>
      <c r="D552" s="140">
        <v>130000</v>
      </c>
      <c r="E552" s="140">
        <f>+IF(FINANCIACION[[#This Row],[$ CAPITAL]]&gt;=0,FINANCIACION[[#This Row],[$ CAPITAL]]+FINANCIACION[[#This Row],[$ INTERESES]],"")</f>
        <v>130000</v>
      </c>
      <c r="F552" s="140">
        <f>+SUMIFS(FINANCIACION[$ CAPITAL],FINANCIACION[Fecha],"&lt;="&amp;FINANCIACION[[#This Row],[Fecha]],FINANCIACION[PRESTAMO],FINANCIACION[[#This Row],[PRESTAMO]])</f>
        <v>-13000000</v>
      </c>
      <c r="G552" s="140"/>
      <c r="H552" s="141"/>
      <c r="I552" s="142"/>
      <c r="J552" s="140" t="b">
        <f>+IF(FINANCIACION[[#This Row],[$ CAPITAL]]&gt;0,FINANCIACION[[#This Row],[$ CAPITAL]])</f>
        <v>0</v>
      </c>
      <c r="K552" s="143">
        <f>+IF(FINANCIACION[[#This Row],[$ CAPITAL]]&gt;=0,FINANCIACION[[#This Row],[$ CAPITAL]]+FINANCIACION[[#This Row],[$ INTERESES]],0)</f>
        <v>130000</v>
      </c>
    </row>
    <row r="553" spans="1:11" ht="24" customHeight="1" x14ac:dyDescent="0.25">
      <c r="A553" s="138">
        <v>45363</v>
      </c>
      <c r="B553" s="139" t="s">
        <v>219</v>
      </c>
      <c r="C553" s="140"/>
      <c r="D553" s="140">
        <v>700000</v>
      </c>
      <c r="E553" s="140">
        <f>+IF(FINANCIACION[[#This Row],[$ CAPITAL]]&gt;=0,FINANCIACION[[#This Row],[$ CAPITAL]]+FINANCIACION[[#This Row],[$ INTERESES]],"")</f>
        <v>700000</v>
      </c>
      <c r="F553" s="140">
        <f>+SUMIFS(FINANCIACION[$ CAPITAL],FINANCIACION[Fecha],"&lt;="&amp;FINANCIACION[[#This Row],[Fecha]],FINANCIACION[PRESTAMO],FINANCIACION[[#This Row],[PRESTAMO]])</f>
        <v>-70000000</v>
      </c>
      <c r="G553" s="140"/>
      <c r="H553" s="141"/>
      <c r="I553" s="142"/>
      <c r="J553" s="140" t="b">
        <f>+IF(FINANCIACION[[#This Row],[$ CAPITAL]]&gt;0,FINANCIACION[[#This Row],[$ CAPITAL]])</f>
        <v>0</v>
      </c>
      <c r="K553" s="143">
        <f>+IF(FINANCIACION[[#This Row],[$ CAPITAL]]&gt;=0,FINANCIACION[[#This Row],[$ CAPITAL]]+FINANCIACION[[#This Row],[$ INTERESES]],0)</f>
        <v>700000</v>
      </c>
    </row>
    <row r="554" spans="1:11" ht="24" customHeight="1" x14ac:dyDescent="0.25">
      <c r="A554" s="138">
        <v>45363</v>
      </c>
      <c r="B554" s="139" t="s">
        <v>143</v>
      </c>
      <c r="C554" s="140"/>
      <c r="D554" s="140">
        <v>350000</v>
      </c>
      <c r="E554" s="140">
        <f>+IF(FINANCIACION[[#This Row],[$ CAPITAL]]&gt;=0,FINANCIACION[[#This Row],[$ CAPITAL]]+FINANCIACION[[#This Row],[$ INTERESES]],"")</f>
        <v>350000</v>
      </c>
      <c r="F554" s="140">
        <f>+SUMIFS(FINANCIACION[$ CAPITAL],FINANCIACION[Fecha],"&lt;="&amp;FINANCIACION[[#This Row],[Fecha]],FINANCIACION[PRESTAMO],FINANCIACION[[#This Row],[PRESTAMO]])</f>
        <v>-35000000</v>
      </c>
      <c r="G554" s="140"/>
      <c r="H554" s="141"/>
      <c r="I554" s="142"/>
      <c r="J554" s="140" t="b">
        <f>+IF(FINANCIACION[[#This Row],[$ CAPITAL]]&gt;0,FINANCIACION[[#This Row],[$ CAPITAL]])</f>
        <v>0</v>
      </c>
      <c r="K554" s="143">
        <f>+IF(FINANCIACION[[#This Row],[$ CAPITAL]]&gt;=0,FINANCIACION[[#This Row],[$ CAPITAL]]+FINANCIACION[[#This Row],[$ INTERESES]],0)</f>
        <v>350000</v>
      </c>
    </row>
    <row r="555" spans="1:11" ht="24" customHeight="1" x14ac:dyDescent="0.25">
      <c r="A555" s="138">
        <v>45363</v>
      </c>
      <c r="B555" s="139" t="s">
        <v>135</v>
      </c>
      <c r="C555" s="140">
        <v>717878.16999999993</v>
      </c>
      <c r="D555" s="140">
        <v>282121.83</v>
      </c>
      <c r="E555" s="140">
        <f>+IF(FINANCIACION[[#This Row],[$ CAPITAL]]&gt;=0,FINANCIACION[[#This Row],[$ CAPITAL]]+FINANCIACION[[#This Row],[$ INTERESES]],"")</f>
        <v>1000000</v>
      </c>
      <c r="F555" s="140">
        <f>+SUMIFS(FINANCIACION[$ CAPITAL],FINANCIACION[Fecha],"&lt;="&amp;FINANCIACION[[#This Row],[Fecha]],FINANCIACION[PRESTAMO],FINANCIACION[[#This Row],[PRESTAMO]])</f>
        <v>-27494304.739624798</v>
      </c>
      <c r="G555" s="140"/>
      <c r="H555" s="141"/>
      <c r="I555" s="142"/>
      <c r="J555" s="140">
        <f>+IF(FINANCIACION[[#This Row],[$ CAPITAL]]&gt;0,FINANCIACION[[#This Row],[$ CAPITAL]])</f>
        <v>717878.16999999993</v>
      </c>
      <c r="K555" s="143">
        <f>+IF(FINANCIACION[[#This Row],[$ CAPITAL]]&gt;=0,FINANCIACION[[#This Row],[$ CAPITAL]]+FINANCIACION[[#This Row],[$ INTERESES]],0)</f>
        <v>1000000</v>
      </c>
    </row>
    <row r="556" spans="1:11" ht="24" customHeight="1" x14ac:dyDescent="0.25">
      <c r="A556" s="138">
        <v>45363</v>
      </c>
      <c r="B556" s="139" t="s">
        <v>138</v>
      </c>
      <c r="C556" s="140">
        <v>1214409.77</v>
      </c>
      <c r="D556" s="140">
        <v>85590.23</v>
      </c>
      <c r="E556" s="140">
        <f>+IF(FINANCIACION[[#This Row],[$ CAPITAL]]&gt;=0,FINANCIACION[[#This Row],[$ CAPITAL]]+FINANCIACION[[#This Row],[$ INTERESES]],"")</f>
        <v>1300000</v>
      </c>
      <c r="F556" s="140">
        <f>+SUMIFS(FINANCIACION[$ CAPITAL],FINANCIACION[Fecha],"&lt;="&amp;FINANCIACION[[#This Row],[Fecha]],FINANCIACION[PRESTAMO],FINANCIACION[[#This Row],[PRESTAMO]])</f>
        <v>-7344613.2722773477</v>
      </c>
      <c r="G556" s="140"/>
      <c r="H556" s="141"/>
      <c r="I556" s="142"/>
      <c r="J556" s="140">
        <f>+IF(FINANCIACION[[#This Row],[$ CAPITAL]]&gt;0,FINANCIACION[[#This Row],[$ CAPITAL]])</f>
        <v>1214409.77</v>
      </c>
      <c r="K556" s="143">
        <f>+IF(FINANCIACION[[#This Row],[$ CAPITAL]]&gt;=0,FINANCIACION[[#This Row],[$ CAPITAL]]+FINANCIACION[[#This Row],[$ INTERESES]],0)</f>
        <v>1300000</v>
      </c>
    </row>
    <row r="557" spans="1:11" ht="24" customHeight="1" x14ac:dyDescent="0.25">
      <c r="A557" s="138">
        <v>45363</v>
      </c>
      <c r="B557" s="139" t="s">
        <v>136</v>
      </c>
      <c r="C557" s="140">
        <v>1628046.28</v>
      </c>
      <c r="D557" s="140">
        <v>371953.72000000003</v>
      </c>
      <c r="E557" s="140">
        <f>+IF(FINANCIACION[[#This Row],[$ CAPITAL]]&gt;=0,FINANCIACION[[#This Row],[$ CAPITAL]]+FINANCIACION[[#This Row],[$ INTERESES]],"")</f>
        <v>2000000</v>
      </c>
      <c r="F557" s="140">
        <f>+SUMIFS(FINANCIACION[$ CAPITAL],FINANCIACION[Fecha],"&lt;="&amp;FINANCIACION[[#This Row],[Fecha]],FINANCIACION[PRESTAMO],FINANCIACION[[#This Row],[PRESTAMO]])</f>
        <v>-35567325.342562869</v>
      </c>
      <c r="G557" s="140"/>
      <c r="H557" s="141"/>
      <c r="I557" s="142"/>
      <c r="J557" s="140">
        <f>+IF(FINANCIACION[[#This Row],[$ CAPITAL]]&gt;0,FINANCIACION[[#This Row],[$ CAPITAL]])</f>
        <v>1628046.28</v>
      </c>
      <c r="K557" s="143">
        <f>+IF(FINANCIACION[[#This Row],[$ CAPITAL]]&gt;=0,FINANCIACION[[#This Row],[$ CAPITAL]]+FINANCIACION[[#This Row],[$ INTERESES]],0)</f>
        <v>2000000</v>
      </c>
    </row>
    <row r="558" spans="1:11" ht="24" customHeight="1" x14ac:dyDescent="0.25">
      <c r="A558" s="138">
        <v>45369</v>
      </c>
      <c r="B558" s="139" t="s">
        <v>137</v>
      </c>
      <c r="C558" s="140">
        <v>2694368</v>
      </c>
      <c r="D558" s="140">
        <v>4472907</v>
      </c>
      <c r="E558" s="140">
        <f>+IF(FINANCIACION[[#This Row],[$ CAPITAL]]&gt;=0,FINANCIACION[[#This Row],[$ CAPITAL]]+FINANCIACION[[#This Row],[$ INTERESES]],"")</f>
        <v>7167275</v>
      </c>
      <c r="F558" s="140">
        <f>+SUMIFS(FINANCIACION[$ CAPITAL],FINANCIACION[Fecha],"&lt;="&amp;FINANCIACION[[#This Row],[Fecha]],FINANCIACION[PRESTAMO],FINANCIACION[[#This Row],[PRESTAMO]])</f>
        <v>-226440584</v>
      </c>
      <c r="G558" s="140" t="s">
        <v>260</v>
      </c>
      <c r="H558" s="141"/>
      <c r="I558" s="142"/>
      <c r="J558" s="140">
        <f>+IF(FINANCIACION[[#This Row],[$ CAPITAL]]&gt;0,FINANCIACION[[#This Row],[$ CAPITAL]])</f>
        <v>2694368</v>
      </c>
      <c r="K558" s="143">
        <f>+IF(FINANCIACION[[#This Row],[$ CAPITAL]]&gt;=0,FINANCIACION[[#This Row],[$ CAPITAL]]+FINANCIACION[[#This Row],[$ INTERESES]],0)</f>
        <v>7167275</v>
      </c>
    </row>
    <row r="559" spans="1:11" ht="24" customHeight="1" x14ac:dyDescent="0.25">
      <c r="A559" s="138">
        <v>45370</v>
      </c>
      <c r="B559" s="139" t="s">
        <v>139</v>
      </c>
      <c r="C559" s="140">
        <v>-26000000</v>
      </c>
      <c r="D559" s="140"/>
      <c r="E559" s="140" t="str">
        <f>+IF(FINANCIACION[[#This Row],[$ CAPITAL]]&gt;=0,FINANCIACION[[#This Row],[$ CAPITAL]]+FINANCIACION[[#This Row],[$ INTERESES]],"")</f>
        <v/>
      </c>
      <c r="F559" s="140">
        <f>+SUMIFS(FINANCIACION[$ CAPITAL],FINANCIACION[Fecha],"&lt;="&amp;FINANCIACION[[#This Row],[Fecha]],FINANCIACION[PRESTAMO],FINANCIACION[[#This Row],[PRESTAMO]])</f>
        <v>-200000000</v>
      </c>
      <c r="G559" s="140"/>
      <c r="H559" s="141" t="s">
        <v>920</v>
      </c>
      <c r="I559" s="142"/>
      <c r="J559" s="140" t="b">
        <f>+IF(FINANCIACION[[#This Row],[$ CAPITAL]]&gt;0,FINANCIACION[[#This Row],[$ CAPITAL]])</f>
        <v>0</v>
      </c>
      <c r="K559" s="143">
        <f>+IF(FINANCIACION[[#This Row],[$ CAPITAL]]&gt;=0,FINANCIACION[[#This Row],[$ CAPITAL]]+FINANCIACION[[#This Row],[$ INTERESES]],0)</f>
        <v>0</v>
      </c>
    </row>
    <row r="560" spans="1:11" ht="24" customHeight="1" x14ac:dyDescent="0.25">
      <c r="A560" s="138">
        <v>45371</v>
      </c>
      <c r="B560" s="139" t="s">
        <v>233</v>
      </c>
      <c r="C560" s="140">
        <v>2778000</v>
      </c>
      <c r="D560" s="140">
        <v>1400488.28</v>
      </c>
      <c r="E560" s="140">
        <f>+IF(FINANCIACION[[#This Row],[$ CAPITAL]]&gt;=0,FINANCIACION[[#This Row],[$ CAPITAL]]+FINANCIACION[[#This Row],[$ INTERESES]],"")</f>
        <v>4178488.2800000003</v>
      </c>
      <c r="F560" s="140">
        <f>+SUMIFS(FINANCIACION[$ CAPITAL],FINANCIACION[Fecha],"&lt;="&amp;FINANCIACION[[#This Row],[Fecha]],FINANCIACION[PRESTAMO],FINANCIACION[[#This Row],[PRESTAMO]])</f>
        <v>-91666000</v>
      </c>
      <c r="G560" s="140"/>
      <c r="H560" s="141"/>
      <c r="I560" s="142"/>
      <c r="J560" s="140">
        <f>+IF(FINANCIACION[[#This Row],[$ CAPITAL]]&gt;0,FINANCIACION[[#This Row],[$ CAPITAL]])</f>
        <v>2778000</v>
      </c>
      <c r="K560" s="143">
        <f>+IF(FINANCIACION[[#This Row],[$ CAPITAL]]&gt;=0,FINANCIACION[[#This Row],[$ CAPITAL]]+FINANCIACION[[#This Row],[$ INTERESES]],0)</f>
        <v>4178488.2800000003</v>
      </c>
    </row>
    <row r="561" spans="1:11" ht="24" customHeight="1" x14ac:dyDescent="0.25">
      <c r="A561" s="138">
        <v>45373</v>
      </c>
      <c r="B561" s="139" t="s">
        <v>146</v>
      </c>
      <c r="C561" s="140"/>
      <c r="D561" s="140">
        <v>1400000</v>
      </c>
      <c r="E561" s="140">
        <f>+IF(FINANCIACION[[#This Row],[$ CAPITAL]]&gt;=0,FINANCIACION[[#This Row],[$ CAPITAL]]+FINANCIACION[[#This Row],[$ INTERESES]],"")</f>
        <v>1400000</v>
      </c>
      <c r="F561" s="140">
        <f>+SUMIFS(FINANCIACION[$ CAPITAL],FINANCIACION[Fecha],"&lt;="&amp;FINANCIACION[[#This Row],[Fecha]],FINANCIACION[PRESTAMO],FINANCIACION[[#This Row],[PRESTAMO]])</f>
        <v>-140000000</v>
      </c>
      <c r="G561" s="140"/>
      <c r="H561" s="141"/>
      <c r="I561" s="142"/>
      <c r="J561" s="140" t="b">
        <f>+IF(FINANCIACION[[#This Row],[$ CAPITAL]]&gt;0,FINANCIACION[[#This Row],[$ CAPITAL]])</f>
        <v>0</v>
      </c>
      <c r="K561" s="143">
        <f>+IF(FINANCIACION[[#This Row],[$ CAPITAL]]&gt;=0,FINANCIACION[[#This Row],[$ CAPITAL]]+FINANCIACION[[#This Row],[$ INTERESES]],0)</f>
        <v>1400000</v>
      </c>
    </row>
    <row r="562" spans="1:11" ht="24" customHeight="1" x14ac:dyDescent="0.25">
      <c r="A562" s="138">
        <v>45376</v>
      </c>
      <c r="B562" s="139" t="s">
        <v>250</v>
      </c>
      <c r="C562" s="140">
        <v>4167000</v>
      </c>
      <c r="D562" s="140">
        <v>726147</v>
      </c>
      <c r="E562" s="140">
        <f>+IF(FINANCIACION[[#This Row],[$ CAPITAL]]&gt;=0,FINANCIACION[[#This Row],[$ CAPITAL]]+FINANCIACION[[#This Row],[$ INTERESES]],"")</f>
        <v>4893147</v>
      </c>
      <c r="F562" s="140">
        <f>+SUMIFS(FINANCIACION[$ CAPITAL],FINANCIACION[Fecha],"&lt;="&amp;FINANCIACION[[#This Row],[Fecha]],FINANCIACION[PRESTAMO],FINANCIACION[[#This Row],[PRESTAMO]])</f>
        <v>-45833000</v>
      </c>
      <c r="G562" s="140"/>
      <c r="H562" s="141"/>
      <c r="I562" s="142"/>
      <c r="J562" s="140">
        <f>+IF(FINANCIACION[[#This Row],[$ CAPITAL]]&gt;0,FINANCIACION[[#This Row],[$ CAPITAL]])</f>
        <v>4167000</v>
      </c>
      <c r="K562" s="143">
        <f>+IF(FINANCIACION[[#This Row],[$ CAPITAL]]&gt;=0,FINANCIACION[[#This Row],[$ CAPITAL]]+FINANCIACION[[#This Row],[$ INTERESES]],0)</f>
        <v>4893147</v>
      </c>
    </row>
    <row r="563" spans="1:11" ht="24" customHeight="1" x14ac:dyDescent="0.25">
      <c r="A563" s="138">
        <v>45381</v>
      </c>
      <c r="B563" s="139" t="s">
        <v>236</v>
      </c>
      <c r="C563" s="140">
        <v>16864000</v>
      </c>
      <c r="D563" s="140"/>
      <c r="E563" s="140">
        <f>+IF(FINANCIACION[[#This Row],[$ CAPITAL]]&gt;=0,FINANCIACION[[#This Row],[$ CAPITAL]]+FINANCIACION[[#This Row],[$ INTERESES]],"")</f>
        <v>16864000</v>
      </c>
      <c r="F563" s="140">
        <f>+SUMIFS(FINANCIACION[$ CAPITAL],FINANCIACION[Fecha],"&lt;="&amp;FINANCIACION[[#This Row],[Fecha]],FINANCIACION[PRESTAMO],FINANCIACION[[#This Row],[PRESTAMO]])</f>
        <v>0</v>
      </c>
      <c r="G563" s="140"/>
      <c r="H563" s="141"/>
      <c r="I563" s="142"/>
      <c r="J563" s="140">
        <f>+IF(FINANCIACION[[#This Row],[$ CAPITAL]]&gt;0,FINANCIACION[[#This Row],[$ CAPITAL]])</f>
        <v>16864000</v>
      </c>
      <c r="K563" s="143">
        <f>+IF(FINANCIACION[[#This Row],[$ CAPITAL]]&gt;=0,FINANCIACION[[#This Row],[$ CAPITAL]]+FINANCIACION[[#This Row],[$ INTERESES]],0)</f>
        <v>16864000</v>
      </c>
    </row>
    <row r="564" spans="1:11" ht="24" customHeight="1" x14ac:dyDescent="0.25">
      <c r="A564" s="138">
        <v>45381</v>
      </c>
      <c r="B564" s="139" t="s">
        <v>238</v>
      </c>
      <c r="C564" s="140">
        <v>-1874451</v>
      </c>
      <c r="D564" s="140"/>
      <c r="E564" s="140" t="str">
        <f>+IF(FINANCIACION[[#This Row],[$ CAPITAL]]&gt;=0,FINANCIACION[[#This Row],[$ CAPITAL]]+FINANCIACION[[#This Row],[$ INTERESES]],"")</f>
        <v/>
      </c>
      <c r="F564" s="140">
        <f>+SUMIFS(FINANCIACION[$ CAPITAL],FINANCIACION[Fecha],"&lt;="&amp;FINANCIACION[[#This Row],[Fecha]],FINANCIACION[PRESTAMO],FINANCIACION[[#This Row],[PRESTAMO]])</f>
        <v>-2582091</v>
      </c>
      <c r="G564" s="140"/>
      <c r="H564" s="141"/>
      <c r="I564" s="142"/>
      <c r="J564" s="140" t="b">
        <f>+IF(FINANCIACION[[#This Row],[$ CAPITAL]]&gt;0,FINANCIACION[[#This Row],[$ CAPITAL]])</f>
        <v>0</v>
      </c>
      <c r="K564" s="143">
        <f>+IF(FINANCIACION[[#This Row],[$ CAPITAL]]&gt;=0,FINANCIACION[[#This Row],[$ CAPITAL]]+FINANCIACION[[#This Row],[$ INTERESES]],0)</f>
        <v>0</v>
      </c>
    </row>
    <row r="565" spans="1:11" ht="24" customHeight="1" x14ac:dyDescent="0.25">
      <c r="A565" s="138">
        <v>45381</v>
      </c>
      <c r="B565" s="139" t="s">
        <v>237</v>
      </c>
      <c r="C565" s="140">
        <v>5291353</v>
      </c>
      <c r="D565" s="140"/>
      <c r="E565" s="140">
        <f>+IF(FINANCIACION[[#This Row],[$ CAPITAL]]&gt;=0,FINANCIACION[[#This Row],[$ CAPITAL]]+FINANCIACION[[#This Row],[$ INTERESES]],"")</f>
        <v>5291353</v>
      </c>
      <c r="F565" s="140">
        <f>+SUMIFS(FINANCIACION[$ CAPITAL],FINANCIACION[Fecha],"&lt;="&amp;FINANCIACION[[#This Row],[Fecha]],FINANCIACION[PRESTAMO],FINANCIACION[[#This Row],[PRESTAMO]])</f>
        <v>-3119775</v>
      </c>
      <c r="G565" s="140"/>
      <c r="H565" s="141" t="s">
        <v>72</v>
      </c>
      <c r="I565" s="142"/>
      <c r="J565" s="140">
        <f>+IF(FINANCIACION[[#This Row],[$ CAPITAL]]&gt;0,FINANCIACION[[#This Row],[$ CAPITAL]])</f>
        <v>5291353</v>
      </c>
      <c r="K565" s="143">
        <f>+IF(FINANCIACION[[#This Row],[$ CAPITAL]]&gt;=0,FINANCIACION[[#This Row],[$ CAPITAL]]+FINANCIACION[[#This Row],[$ INTERESES]],0)</f>
        <v>5291353</v>
      </c>
    </row>
    <row r="566" spans="1:11" ht="24" customHeight="1" x14ac:dyDescent="0.25">
      <c r="A566" s="138">
        <v>45385</v>
      </c>
      <c r="B566" s="139" t="s">
        <v>218</v>
      </c>
      <c r="C566" s="140">
        <v>1126394</v>
      </c>
      <c r="D566" s="140">
        <v>1384063</v>
      </c>
      <c r="E566" s="140">
        <f>+IF(FINANCIACION[[#This Row],[$ CAPITAL]]&gt;=0,FINANCIACION[[#This Row],[$ CAPITAL]]+FINANCIACION[[#This Row],[$ INTERESES]],"")</f>
        <v>2510457</v>
      </c>
      <c r="F566" s="140">
        <f>+SUMIFS(FINANCIACION[$ CAPITAL],FINANCIACION[Fecha],"&lt;="&amp;FINANCIACION[[#This Row],[Fecha]],FINANCIACION[PRESTAMO],FINANCIACION[[#This Row],[PRESTAMO]])</f>
        <v>-56929004</v>
      </c>
      <c r="G566" s="140"/>
      <c r="H566" s="141" t="s">
        <v>949</v>
      </c>
      <c r="I566" s="142"/>
      <c r="J566" s="140">
        <f>+IF(FINANCIACION[[#This Row],[$ CAPITAL]]&gt;0,FINANCIACION[[#This Row],[$ CAPITAL]])</f>
        <v>1126394</v>
      </c>
      <c r="K566" s="143">
        <f>+IF(FINANCIACION[[#This Row],[$ CAPITAL]]&gt;=0,FINANCIACION[[#This Row],[$ CAPITAL]]+FINANCIACION[[#This Row],[$ INTERESES]],0)</f>
        <v>2510457</v>
      </c>
    </row>
    <row r="567" spans="1:11" ht="24" customHeight="1" x14ac:dyDescent="0.25">
      <c r="A567" s="138">
        <v>45392</v>
      </c>
      <c r="B567" s="139" t="s">
        <v>137</v>
      </c>
      <c r="C567" s="140">
        <v>450000</v>
      </c>
      <c r="D567" s="140"/>
      <c r="E567" s="140">
        <f>+IF(FINANCIACION[[#This Row],[$ CAPITAL]]&gt;=0,FINANCIACION[[#This Row],[$ CAPITAL]]+FINANCIACION[[#This Row],[$ INTERESES]],"")</f>
        <v>450000</v>
      </c>
      <c r="F567" s="140">
        <f>+SUMIFS(FINANCIACION[$ CAPITAL],FINANCIACION[Fecha],"&lt;="&amp;FINANCIACION[[#This Row],[Fecha]],FINANCIACION[PRESTAMO],FINANCIACION[[#This Row],[PRESTAMO]])</f>
        <v>-225990584</v>
      </c>
      <c r="G567" s="140"/>
      <c r="H567" s="141"/>
      <c r="I567" s="142"/>
      <c r="J567" s="140">
        <f>+IF(FINANCIACION[[#This Row],[$ CAPITAL]]&gt;0,FINANCIACION[[#This Row],[$ CAPITAL]])</f>
        <v>450000</v>
      </c>
      <c r="K567" s="143">
        <f>+IF(FINANCIACION[[#This Row],[$ CAPITAL]]&gt;=0,FINANCIACION[[#This Row],[$ CAPITAL]]+FINANCIACION[[#This Row],[$ INTERESES]],0)</f>
        <v>450000</v>
      </c>
    </row>
    <row r="568" spans="1:11" ht="24" customHeight="1" x14ac:dyDescent="0.25">
      <c r="A568" s="138">
        <v>45393</v>
      </c>
      <c r="B568" s="139" t="s">
        <v>141</v>
      </c>
      <c r="C568" s="140"/>
      <c r="D568" s="140">
        <v>130000</v>
      </c>
      <c r="E568" s="140">
        <f>+IF(FINANCIACION[[#This Row],[$ CAPITAL]]&gt;=0,FINANCIACION[[#This Row],[$ CAPITAL]]+FINANCIACION[[#This Row],[$ INTERESES]],"")</f>
        <v>130000</v>
      </c>
      <c r="F568" s="140">
        <f>+SUMIFS(FINANCIACION[$ CAPITAL],FINANCIACION[Fecha],"&lt;="&amp;FINANCIACION[[#This Row],[Fecha]],FINANCIACION[PRESTAMO],FINANCIACION[[#This Row],[PRESTAMO]])</f>
        <v>-13000000</v>
      </c>
      <c r="G568" s="140"/>
      <c r="H568" s="141"/>
      <c r="I568" s="142"/>
      <c r="J568" s="140" t="b">
        <f>+IF(FINANCIACION[[#This Row],[$ CAPITAL]]&gt;0,FINANCIACION[[#This Row],[$ CAPITAL]])</f>
        <v>0</v>
      </c>
      <c r="K568" s="143">
        <f>+IF(FINANCIACION[[#This Row],[$ CAPITAL]]&gt;=0,FINANCIACION[[#This Row],[$ CAPITAL]]+FINANCIACION[[#This Row],[$ INTERESES]],0)</f>
        <v>130000</v>
      </c>
    </row>
    <row r="569" spans="1:11" ht="24" customHeight="1" x14ac:dyDescent="0.25">
      <c r="A569" s="138">
        <v>45393</v>
      </c>
      <c r="B569" s="139" t="s">
        <v>219</v>
      </c>
      <c r="C569" s="140"/>
      <c r="D569" s="140">
        <v>700000</v>
      </c>
      <c r="E569" s="140">
        <f>+IF(FINANCIACION[[#This Row],[$ CAPITAL]]&gt;=0,FINANCIACION[[#This Row],[$ CAPITAL]]+FINANCIACION[[#This Row],[$ INTERESES]],"")</f>
        <v>700000</v>
      </c>
      <c r="F569" s="140">
        <f>+SUMIFS(FINANCIACION[$ CAPITAL],FINANCIACION[Fecha],"&lt;="&amp;FINANCIACION[[#This Row],[Fecha]],FINANCIACION[PRESTAMO],FINANCIACION[[#This Row],[PRESTAMO]])</f>
        <v>-70000000</v>
      </c>
      <c r="G569" s="140"/>
      <c r="H569" s="141" t="s">
        <v>910</v>
      </c>
      <c r="I569" s="142"/>
      <c r="J569" s="140" t="b">
        <f>+IF(FINANCIACION[[#This Row],[$ CAPITAL]]&gt;0,FINANCIACION[[#This Row],[$ CAPITAL]])</f>
        <v>0</v>
      </c>
      <c r="K569" s="143">
        <f>+IF(FINANCIACION[[#This Row],[$ CAPITAL]]&gt;=0,FINANCIACION[[#This Row],[$ CAPITAL]]+FINANCIACION[[#This Row],[$ INTERESES]],0)</f>
        <v>700000</v>
      </c>
    </row>
    <row r="570" spans="1:11" ht="24" customHeight="1" x14ac:dyDescent="0.25">
      <c r="A570" s="138">
        <v>45393</v>
      </c>
      <c r="B570" s="139" t="s">
        <v>143</v>
      </c>
      <c r="C570" s="140"/>
      <c r="D570" s="140">
        <v>350000</v>
      </c>
      <c r="E570" s="140">
        <f>+IF(FINANCIACION[[#This Row],[$ CAPITAL]]&gt;=0,FINANCIACION[[#This Row],[$ CAPITAL]]+FINANCIACION[[#This Row],[$ INTERESES]],"")</f>
        <v>350000</v>
      </c>
      <c r="F570" s="140">
        <f>+SUMIFS(FINANCIACION[$ CAPITAL],FINANCIACION[Fecha],"&lt;="&amp;FINANCIACION[[#This Row],[Fecha]],FINANCIACION[PRESTAMO],FINANCIACION[[#This Row],[PRESTAMO]])</f>
        <v>-35000000</v>
      </c>
      <c r="G570" s="140"/>
      <c r="H570" s="141"/>
      <c r="I570" s="142"/>
      <c r="J570" s="140" t="b">
        <f>+IF(FINANCIACION[[#This Row],[$ CAPITAL]]&gt;0,FINANCIACION[[#This Row],[$ CAPITAL]])</f>
        <v>0</v>
      </c>
      <c r="K570" s="143">
        <f>+IF(FINANCIACION[[#This Row],[$ CAPITAL]]&gt;=0,FINANCIACION[[#This Row],[$ CAPITAL]]+FINANCIACION[[#This Row],[$ INTERESES]],0)</f>
        <v>350000</v>
      </c>
    </row>
    <row r="571" spans="1:11" ht="24" customHeight="1" x14ac:dyDescent="0.25">
      <c r="A571" s="138">
        <v>45393</v>
      </c>
      <c r="B571" s="139" t="s">
        <v>135</v>
      </c>
      <c r="C571" s="140">
        <v>725056.95</v>
      </c>
      <c r="D571" s="140">
        <v>274943.05</v>
      </c>
      <c r="E571" s="140">
        <f>+IF(FINANCIACION[[#This Row],[$ CAPITAL]]&gt;=0,FINANCIACION[[#This Row],[$ CAPITAL]]+FINANCIACION[[#This Row],[$ INTERESES]],"")</f>
        <v>1000000</v>
      </c>
      <c r="F571" s="140">
        <f>+SUMIFS(FINANCIACION[$ CAPITAL],FINANCIACION[Fecha],"&lt;="&amp;FINANCIACION[[#This Row],[Fecha]],FINANCIACION[PRESTAMO],FINANCIACION[[#This Row],[PRESTAMO]])</f>
        <v>-26769247.789624799</v>
      </c>
      <c r="G571" s="140"/>
      <c r="H571" s="141"/>
      <c r="I571" s="142"/>
      <c r="J571" s="140">
        <f>+IF(FINANCIACION[[#This Row],[$ CAPITAL]]&gt;0,FINANCIACION[[#This Row],[$ CAPITAL]])</f>
        <v>725056.95</v>
      </c>
      <c r="K571" s="143">
        <f>+IF(FINANCIACION[[#This Row],[$ CAPITAL]]&gt;=0,FINANCIACION[[#This Row],[$ CAPITAL]]+FINANCIACION[[#This Row],[$ INTERESES]],0)</f>
        <v>1000000</v>
      </c>
    </row>
    <row r="572" spans="1:11" ht="24" customHeight="1" x14ac:dyDescent="0.25">
      <c r="A572" s="138">
        <v>45393</v>
      </c>
      <c r="B572" s="139" t="s">
        <v>138</v>
      </c>
      <c r="C572" s="140">
        <v>1226553.8700000001</v>
      </c>
      <c r="D572" s="140">
        <v>73446.13</v>
      </c>
      <c r="E572" s="140">
        <f>+IF(FINANCIACION[[#This Row],[$ CAPITAL]]&gt;=0,FINANCIACION[[#This Row],[$ CAPITAL]]+FINANCIACION[[#This Row],[$ INTERESES]],"")</f>
        <v>1300000</v>
      </c>
      <c r="F572" s="140">
        <f>+SUMIFS(FINANCIACION[$ CAPITAL],FINANCIACION[Fecha],"&lt;="&amp;FINANCIACION[[#This Row],[Fecha]],FINANCIACION[PRESTAMO],FINANCIACION[[#This Row],[PRESTAMO]])</f>
        <v>-6118059.4022773476</v>
      </c>
      <c r="G572" s="140"/>
      <c r="H572" s="141"/>
      <c r="I572" s="142"/>
      <c r="J572" s="140">
        <f>+IF(FINANCIACION[[#This Row],[$ CAPITAL]]&gt;0,FINANCIACION[[#This Row],[$ CAPITAL]])</f>
        <v>1226553.8700000001</v>
      </c>
      <c r="K572" s="143">
        <f>+IF(FINANCIACION[[#This Row],[$ CAPITAL]]&gt;=0,FINANCIACION[[#This Row],[$ CAPITAL]]+FINANCIACION[[#This Row],[$ INTERESES]],0)</f>
        <v>1300000</v>
      </c>
    </row>
    <row r="573" spans="1:11" ht="24" customHeight="1" x14ac:dyDescent="0.25">
      <c r="A573" s="138">
        <v>45393</v>
      </c>
      <c r="B573" s="139" t="s">
        <v>136</v>
      </c>
      <c r="C573" s="140">
        <v>1644326.75</v>
      </c>
      <c r="D573" s="140">
        <v>355673.25</v>
      </c>
      <c r="E573" s="140">
        <f>+IF(FINANCIACION[[#This Row],[$ CAPITAL]]&gt;=0,FINANCIACION[[#This Row],[$ CAPITAL]]+FINANCIACION[[#This Row],[$ INTERESES]],"")</f>
        <v>2000000</v>
      </c>
      <c r="F573" s="140">
        <f>+SUMIFS(FINANCIACION[$ CAPITAL],FINANCIACION[Fecha],"&lt;="&amp;FINANCIACION[[#This Row],[Fecha]],FINANCIACION[PRESTAMO],FINANCIACION[[#This Row],[PRESTAMO]])</f>
        <v>-33922998.592562869</v>
      </c>
      <c r="G573" s="140"/>
      <c r="H573" s="141"/>
      <c r="I573" s="142"/>
      <c r="J573" s="140">
        <f>+IF(FINANCIACION[[#This Row],[$ CAPITAL]]&gt;0,FINANCIACION[[#This Row],[$ CAPITAL]])</f>
        <v>1644326.75</v>
      </c>
      <c r="K573" s="143">
        <f>+IF(FINANCIACION[[#This Row],[$ CAPITAL]]&gt;=0,FINANCIACION[[#This Row],[$ CAPITAL]]+FINANCIACION[[#This Row],[$ INTERESES]],0)</f>
        <v>2000000</v>
      </c>
    </row>
    <row r="574" spans="1:11" ht="24" customHeight="1" x14ac:dyDescent="0.25">
      <c r="A574" s="138">
        <v>45400</v>
      </c>
      <c r="B574" s="139" t="s">
        <v>137</v>
      </c>
      <c r="C574" s="140">
        <v>2861643</v>
      </c>
      <c r="D574" s="140">
        <v>4305632</v>
      </c>
      <c r="E574" s="140">
        <f>+IF(FINANCIACION[[#This Row],[$ CAPITAL]]&gt;=0,FINANCIACION[[#This Row],[$ CAPITAL]]+FINANCIACION[[#This Row],[$ INTERESES]],"")</f>
        <v>7167275</v>
      </c>
      <c r="F574" s="140">
        <f>+SUMIFS(FINANCIACION[$ CAPITAL],FINANCIACION[Fecha],"&lt;="&amp;FINANCIACION[[#This Row],[Fecha]],FINANCIACION[PRESTAMO],FINANCIACION[[#This Row],[PRESTAMO]])</f>
        <v>-223128941</v>
      </c>
      <c r="G574" s="140"/>
      <c r="H574" s="141"/>
      <c r="I574" s="142"/>
      <c r="J574" s="140">
        <f>+IF(FINANCIACION[[#This Row],[$ CAPITAL]]&gt;0,FINANCIACION[[#This Row],[$ CAPITAL]])</f>
        <v>2861643</v>
      </c>
      <c r="K574" s="143">
        <f>+IF(FINANCIACION[[#This Row],[$ CAPITAL]]&gt;=0,FINANCIACION[[#This Row],[$ CAPITAL]]+FINANCIACION[[#This Row],[$ INTERESES]],0)</f>
        <v>7167275</v>
      </c>
    </row>
    <row r="575" spans="1:11" ht="24" customHeight="1" x14ac:dyDescent="0.25">
      <c r="A575" s="138">
        <v>45402</v>
      </c>
      <c r="B575" s="139" t="s">
        <v>233</v>
      </c>
      <c r="C575" s="140">
        <v>2778000</v>
      </c>
      <c r="D575" s="140">
        <v>1343686</v>
      </c>
      <c r="E575" s="140">
        <f>+IF(FINANCIACION[[#This Row],[$ CAPITAL]]&gt;=0,FINANCIACION[[#This Row],[$ CAPITAL]]+FINANCIACION[[#This Row],[$ INTERESES]],"")</f>
        <v>4121686</v>
      </c>
      <c r="F575" s="140">
        <f>+SUMIFS(FINANCIACION[$ CAPITAL],FINANCIACION[Fecha],"&lt;="&amp;FINANCIACION[[#This Row],[Fecha]],FINANCIACION[PRESTAMO],FINANCIACION[[#This Row],[PRESTAMO]])</f>
        <v>-88888000</v>
      </c>
      <c r="G575" s="140"/>
      <c r="H575" s="141"/>
      <c r="I575" s="142"/>
      <c r="J575" s="140">
        <f>+IF(FINANCIACION[[#This Row],[$ CAPITAL]]&gt;0,FINANCIACION[[#This Row],[$ CAPITAL]])</f>
        <v>2778000</v>
      </c>
      <c r="K575" s="143">
        <f>+IF(FINANCIACION[[#This Row],[$ CAPITAL]]&gt;=0,FINANCIACION[[#This Row],[$ CAPITAL]]+FINANCIACION[[#This Row],[$ INTERESES]],0)</f>
        <v>4121686</v>
      </c>
    </row>
    <row r="576" spans="1:11" ht="24" customHeight="1" x14ac:dyDescent="0.25">
      <c r="A576" s="138">
        <v>45406</v>
      </c>
      <c r="B576" s="139" t="s">
        <v>236</v>
      </c>
      <c r="C576" s="140">
        <v>2125650</v>
      </c>
      <c r="D576" s="140"/>
      <c r="E576" s="140">
        <f>+IF(FINANCIACION[[#This Row],[$ CAPITAL]]&gt;=0,FINANCIACION[[#This Row],[$ CAPITAL]]+FINANCIACION[[#This Row],[$ INTERESES]],"")</f>
        <v>2125650</v>
      </c>
      <c r="F576" s="140">
        <f>+SUMIFS(FINANCIACION[$ CAPITAL],FINANCIACION[Fecha],"&lt;="&amp;FINANCIACION[[#This Row],[Fecha]],FINANCIACION[PRESTAMO],FINANCIACION[[#This Row],[PRESTAMO]])</f>
        <v>2125650</v>
      </c>
      <c r="G576" s="140"/>
      <c r="H576" s="141" t="s">
        <v>962</v>
      </c>
      <c r="I576" s="142"/>
      <c r="J576" s="140">
        <f>+IF(FINANCIACION[[#This Row],[$ CAPITAL]]&gt;0,FINANCIACION[[#This Row],[$ CAPITAL]])</f>
        <v>2125650</v>
      </c>
      <c r="K576" s="143">
        <f>+IF(FINANCIACION[[#This Row],[$ CAPITAL]]&gt;=0,FINANCIACION[[#This Row],[$ CAPITAL]]+FINANCIACION[[#This Row],[$ INTERESES]],0)</f>
        <v>2125650</v>
      </c>
    </row>
    <row r="577" spans="1:11" ht="24" customHeight="1" x14ac:dyDescent="0.25">
      <c r="A577" s="138">
        <v>45407</v>
      </c>
      <c r="B577" s="139" t="s">
        <v>146</v>
      </c>
      <c r="C577" s="140"/>
      <c r="D577" s="140">
        <v>1400000</v>
      </c>
      <c r="E577" s="140">
        <f>+IF(FINANCIACION[[#This Row],[$ CAPITAL]]&gt;=0,FINANCIACION[[#This Row],[$ CAPITAL]]+FINANCIACION[[#This Row],[$ INTERESES]],"")</f>
        <v>1400000</v>
      </c>
      <c r="F577" s="140">
        <f>+SUMIFS(FINANCIACION[$ CAPITAL],FINANCIACION[Fecha],"&lt;="&amp;FINANCIACION[[#This Row],[Fecha]],FINANCIACION[PRESTAMO],FINANCIACION[[#This Row],[PRESTAMO]])</f>
        <v>-140000000</v>
      </c>
      <c r="G577" s="140"/>
      <c r="H577" s="141"/>
      <c r="I577" s="142"/>
      <c r="J577" s="140" t="b">
        <f>+IF(FINANCIACION[[#This Row],[$ CAPITAL]]&gt;0,FINANCIACION[[#This Row],[$ CAPITAL]])</f>
        <v>0</v>
      </c>
      <c r="K577" s="143">
        <f>+IF(FINANCIACION[[#This Row],[$ CAPITAL]]&gt;=0,FINANCIACION[[#This Row],[$ CAPITAL]]+FINANCIACION[[#This Row],[$ INTERESES]],0)</f>
        <v>1400000</v>
      </c>
    </row>
    <row r="578" spans="1:11" ht="24" customHeight="1" x14ac:dyDescent="0.25">
      <c r="A578" s="138">
        <v>45407</v>
      </c>
      <c r="B578" s="139" t="s">
        <v>250</v>
      </c>
      <c r="C578" s="140">
        <v>4167000</v>
      </c>
      <c r="D578" s="140">
        <v>649327</v>
      </c>
      <c r="E578" s="140">
        <f>+IF(FINANCIACION[[#This Row],[$ CAPITAL]]&gt;=0,FINANCIACION[[#This Row],[$ CAPITAL]]+FINANCIACION[[#This Row],[$ INTERESES]],"")</f>
        <v>4816327</v>
      </c>
      <c r="F578" s="140">
        <f>+SUMIFS(FINANCIACION[$ CAPITAL],FINANCIACION[Fecha],"&lt;="&amp;FINANCIACION[[#This Row],[Fecha]],FINANCIACION[PRESTAMO],FINANCIACION[[#This Row],[PRESTAMO]])</f>
        <v>-41666000</v>
      </c>
      <c r="G578" s="140"/>
      <c r="H578" s="141"/>
      <c r="I578" s="142"/>
      <c r="J578" s="140">
        <f>+IF(FINANCIACION[[#This Row],[$ CAPITAL]]&gt;0,FINANCIACION[[#This Row],[$ CAPITAL]])</f>
        <v>4167000</v>
      </c>
      <c r="K578" s="143">
        <f>+IF(FINANCIACION[[#This Row],[$ CAPITAL]]&gt;=0,FINANCIACION[[#This Row],[$ CAPITAL]]+FINANCIACION[[#This Row],[$ INTERESES]],0)</f>
        <v>4816327</v>
      </c>
    </row>
    <row r="579" spans="1:11" ht="24" customHeight="1" x14ac:dyDescent="0.25">
      <c r="A579" s="138">
        <v>45407</v>
      </c>
      <c r="B579" s="139" t="s">
        <v>239</v>
      </c>
      <c r="C579" s="140">
        <v>1481481.48</v>
      </c>
      <c r="D579" s="140">
        <v>601519</v>
      </c>
      <c r="E579" s="140">
        <f>+IF(FINANCIACION[[#This Row],[$ CAPITAL]]&gt;=0,FINANCIACION[[#This Row],[$ CAPITAL]]+FINANCIACION[[#This Row],[$ INTERESES]],"")</f>
        <v>2083000.48</v>
      </c>
      <c r="F579" s="140">
        <f>+SUMIFS(FINANCIACION[$ CAPITAL],FINANCIACION[Fecha],"&lt;="&amp;FINANCIACION[[#This Row],[Fecha]],FINANCIACION[PRESTAMO],FINANCIACION[[#This Row],[PRESTAMO]])</f>
        <v>-47512616.009999998</v>
      </c>
      <c r="G579" s="140"/>
      <c r="H579" s="141"/>
      <c r="I579" s="142"/>
      <c r="J579" s="140">
        <f>+IF(FINANCIACION[[#This Row],[$ CAPITAL]]&gt;0,FINANCIACION[[#This Row],[$ CAPITAL]])</f>
        <v>1481481.48</v>
      </c>
      <c r="K579" s="143">
        <f>+IF(FINANCIACION[[#This Row],[$ CAPITAL]]&gt;=0,FINANCIACION[[#This Row],[$ CAPITAL]]+FINANCIACION[[#This Row],[$ INTERESES]],0)</f>
        <v>2083000.48</v>
      </c>
    </row>
    <row r="580" spans="1:11" ht="24" customHeight="1" x14ac:dyDescent="0.25">
      <c r="A580" s="138">
        <v>45412</v>
      </c>
      <c r="B580" s="139" t="s">
        <v>239</v>
      </c>
      <c r="C580" s="140">
        <v>1484481</v>
      </c>
      <c r="D580" s="140">
        <v>598519</v>
      </c>
      <c r="E580" s="140">
        <f>+IF(FINANCIACION[[#This Row],[$ CAPITAL]]&gt;=0,FINANCIACION[[#This Row],[$ CAPITAL]]+FINANCIACION[[#This Row],[$ INTERESES]],"")</f>
        <v>2083000</v>
      </c>
      <c r="F580" s="140">
        <f>+SUMIFS(FINANCIACION[$ CAPITAL],FINANCIACION[Fecha],"&lt;="&amp;FINANCIACION[[#This Row],[Fecha]],FINANCIACION[PRESTAMO],FINANCIACION[[#This Row],[PRESTAMO]])</f>
        <v>-46028135.009999998</v>
      </c>
      <c r="G580" s="140"/>
      <c r="H580" s="141"/>
      <c r="I580" s="142"/>
      <c r="J580" s="140">
        <f>+IF(FINANCIACION[[#This Row],[$ CAPITAL]]&gt;0,FINANCIACION[[#This Row],[$ CAPITAL]])</f>
        <v>1484481</v>
      </c>
      <c r="K580" s="143">
        <f>+IF(FINANCIACION[[#This Row],[$ CAPITAL]]&gt;=0,FINANCIACION[[#This Row],[$ CAPITAL]]+FINANCIACION[[#This Row],[$ INTERESES]],0)</f>
        <v>2083000</v>
      </c>
    </row>
    <row r="581" spans="1:11" ht="24" customHeight="1" x14ac:dyDescent="0.25">
      <c r="A581" s="138">
        <v>45412</v>
      </c>
      <c r="B581" s="139" t="s">
        <v>137</v>
      </c>
      <c r="C581" s="140">
        <v>26323103</v>
      </c>
      <c r="D581" s="140"/>
      <c r="E581" s="140">
        <f>+IF(FINANCIACION[[#This Row],[$ CAPITAL]]&gt;=0,FINANCIACION[[#This Row],[$ CAPITAL]]+FINANCIACION[[#This Row],[$ INTERESES]],"")</f>
        <v>26323103</v>
      </c>
      <c r="F581" s="140">
        <f>+SUMIFS(FINANCIACION[$ CAPITAL],FINANCIACION[Fecha],"&lt;="&amp;FINANCIACION[[#This Row],[Fecha]],FINANCIACION[PRESTAMO],FINANCIACION[[#This Row],[PRESTAMO]])</f>
        <v>-196805838</v>
      </c>
      <c r="G581" s="140"/>
      <c r="H581" s="141" t="s">
        <v>957</v>
      </c>
      <c r="I581" s="142"/>
      <c r="J581" s="140">
        <f>+IF(FINANCIACION[[#This Row],[$ CAPITAL]]&gt;0,FINANCIACION[[#This Row],[$ CAPITAL]])</f>
        <v>26323103</v>
      </c>
      <c r="K581" s="143">
        <f>+IF(FINANCIACION[[#This Row],[$ CAPITAL]]&gt;=0,FINANCIACION[[#This Row],[$ CAPITAL]]+FINANCIACION[[#This Row],[$ INTERESES]],0)</f>
        <v>26323103</v>
      </c>
    </row>
    <row r="582" spans="1:11" ht="24" customHeight="1" x14ac:dyDescent="0.25">
      <c r="A582" s="138">
        <v>45412</v>
      </c>
      <c r="B582" s="139" t="s">
        <v>236</v>
      </c>
      <c r="C582" s="140">
        <v>-34601950</v>
      </c>
      <c r="D582" s="140"/>
      <c r="E582" s="140" t="str">
        <f>+IF(FINANCIACION[[#This Row],[$ CAPITAL]]&gt;=0,FINANCIACION[[#This Row],[$ CAPITAL]]+FINANCIACION[[#This Row],[$ INTERESES]],"")</f>
        <v/>
      </c>
      <c r="F582" s="140">
        <f>+SUMIFS(FINANCIACION[$ CAPITAL],FINANCIACION[Fecha],"&lt;="&amp;FINANCIACION[[#This Row],[Fecha]],FINANCIACION[PRESTAMO],FINANCIACION[[#This Row],[PRESTAMO]])</f>
        <v>-32476300</v>
      </c>
      <c r="G582" s="140"/>
      <c r="H582" s="141" t="s">
        <v>72</v>
      </c>
      <c r="I582" s="142"/>
      <c r="J582" s="140" t="b">
        <f>+IF(FINANCIACION[[#This Row],[$ CAPITAL]]&gt;0,FINANCIACION[[#This Row],[$ CAPITAL]])</f>
        <v>0</v>
      </c>
      <c r="K582" s="143">
        <f>+IF(FINANCIACION[[#This Row],[$ CAPITAL]]&gt;=0,FINANCIACION[[#This Row],[$ CAPITAL]]+FINANCIACION[[#This Row],[$ INTERESES]],0)</f>
        <v>0</v>
      </c>
    </row>
    <row r="583" spans="1:11" ht="24" customHeight="1" x14ac:dyDescent="0.25">
      <c r="A583" s="138">
        <v>45412</v>
      </c>
      <c r="B583" s="139" t="s">
        <v>238</v>
      </c>
      <c r="C583" s="140">
        <v>-1271299</v>
      </c>
      <c r="D583" s="140"/>
      <c r="E583" s="140" t="str">
        <f>+IF(FINANCIACION[[#This Row],[$ CAPITAL]]&gt;=0,FINANCIACION[[#This Row],[$ CAPITAL]]+FINANCIACION[[#This Row],[$ INTERESES]],"")</f>
        <v/>
      </c>
      <c r="F583" s="140">
        <f>+SUMIFS(FINANCIACION[$ CAPITAL],FINANCIACION[Fecha],"&lt;="&amp;FINANCIACION[[#This Row],[Fecha]],FINANCIACION[PRESTAMO],FINANCIACION[[#This Row],[PRESTAMO]])</f>
        <v>-3853390</v>
      </c>
      <c r="G583" s="140"/>
      <c r="H583" s="141" t="s">
        <v>72</v>
      </c>
      <c r="I583" s="142"/>
      <c r="J583" s="140" t="b">
        <f>+IF(FINANCIACION[[#This Row],[$ CAPITAL]]&gt;0,FINANCIACION[[#This Row],[$ CAPITAL]])</f>
        <v>0</v>
      </c>
      <c r="K583" s="143">
        <f>+IF(FINANCIACION[[#This Row],[$ CAPITAL]]&gt;=0,FINANCIACION[[#This Row],[$ CAPITAL]]+FINANCIACION[[#This Row],[$ INTERESES]],0)</f>
        <v>0</v>
      </c>
    </row>
    <row r="584" spans="1:11" ht="24" customHeight="1" x14ac:dyDescent="0.25">
      <c r="A584" s="138">
        <v>45412</v>
      </c>
      <c r="B584" s="139" t="s">
        <v>237</v>
      </c>
      <c r="C584" s="140">
        <v>-22286969</v>
      </c>
      <c r="D584" s="140"/>
      <c r="E584" s="140" t="str">
        <f>+IF(FINANCIACION[[#This Row],[$ CAPITAL]]&gt;=0,FINANCIACION[[#This Row],[$ CAPITAL]]+FINANCIACION[[#This Row],[$ INTERESES]],"")</f>
        <v/>
      </c>
      <c r="F584" s="140">
        <f>+SUMIFS(FINANCIACION[$ CAPITAL],FINANCIACION[Fecha],"&lt;="&amp;FINANCIACION[[#This Row],[Fecha]],FINANCIACION[PRESTAMO],FINANCIACION[[#This Row],[PRESTAMO]])</f>
        <v>-25406744</v>
      </c>
      <c r="G584" s="140"/>
      <c r="H584" s="141"/>
      <c r="I584" s="142"/>
      <c r="J584" s="140" t="b">
        <f>+IF(FINANCIACION[[#This Row],[$ CAPITAL]]&gt;0,FINANCIACION[[#This Row],[$ CAPITAL]])</f>
        <v>0</v>
      </c>
      <c r="K584" s="143">
        <f>+IF(FINANCIACION[[#This Row],[$ CAPITAL]]&gt;=0,FINANCIACION[[#This Row],[$ CAPITAL]]+FINANCIACION[[#This Row],[$ INTERESES]],0)</f>
        <v>0</v>
      </c>
    </row>
    <row r="585" spans="1:11" ht="24" customHeight="1" x14ac:dyDescent="0.25">
      <c r="A585" s="138">
        <v>45421</v>
      </c>
      <c r="B585" s="139" t="s">
        <v>219</v>
      </c>
      <c r="C585" s="140">
        <v>-30000000</v>
      </c>
      <c r="D585" s="140"/>
      <c r="E585" s="140" t="str">
        <f>+IF(FINANCIACION[[#This Row],[$ CAPITAL]]&gt;=0,FINANCIACION[[#This Row],[$ CAPITAL]]+FINANCIACION[[#This Row],[$ INTERESES]],"")</f>
        <v/>
      </c>
      <c r="F585" s="140">
        <f>+SUMIFS(FINANCIACION[$ CAPITAL],FINANCIACION[Fecha],"&lt;="&amp;FINANCIACION[[#This Row],[Fecha]],FINANCIACION[PRESTAMO],FINANCIACION[[#This Row],[PRESTAMO]])</f>
        <v>-100000000</v>
      </c>
      <c r="G585" s="140"/>
      <c r="H585" s="141" t="s">
        <v>911</v>
      </c>
      <c r="I585" s="142"/>
      <c r="J585" s="140" t="b">
        <f>+IF(FINANCIACION[[#This Row],[$ CAPITAL]]&gt;0,FINANCIACION[[#This Row],[$ CAPITAL]])</f>
        <v>0</v>
      </c>
      <c r="K585" s="143">
        <f>+IF(FINANCIACION[[#This Row],[$ CAPITAL]]&gt;=0,FINANCIACION[[#This Row],[$ CAPITAL]]+FINANCIACION[[#This Row],[$ INTERESES]],0)</f>
        <v>0</v>
      </c>
    </row>
    <row r="586" spans="1:11" ht="24" customHeight="1" x14ac:dyDescent="0.25">
      <c r="A586" s="138">
        <v>45421</v>
      </c>
      <c r="B586" s="139" t="s">
        <v>137</v>
      </c>
      <c r="C586" s="140">
        <v>30000000</v>
      </c>
      <c r="D586" s="140"/>
      <c r="E586" s="140">
        <f>+IF(FINANCIACION[[#This Row],[$ CAPITAL]]&gt;=0,FINANCIACION[[#This Row],[$ CAPITAL]]+FINANCIACION[[#This Row],[$ INTERESES]],"")</f>
        <v>30000000</v>
      </c>
      <c r="F586" s="140">
        <f>+SUMIFS(FINANCIACION[$ CAPITAL],FINANCIACION[Fecha],"&lt;="&amp;FINANCIACION[[#This Row],[Fecha]],FINANCIACION[PRESTAMO],FINANCIACION[[#This Row],[PRESTAMO]])</f>
        <v>-166805838</v>
      </c>
      <c r="G586" s="140"/>
      <c r="H586" s="141"/>
      <c r="I586" s="142"/>
      <c r="J586" s="140">
        <f>+IF(FINANCIACION[[#This Row],[$ CAPITAL]]&gt;0,FINANCIACION[[#This Row],[$ CAPITAL]])</f>
        <v>30000000</v>
      </c>
      <c r="K586" s="143">
        <f>+IF(FINANCIACION[[#This Row],[$ CAPITAL]]&gt;=0,FINANCIACION[[#This Row],[$ CAPITAL]]+FINANCIACION[[#This Row],[$ INTERESES]],0)</f>
        <v>30000000</v>
      </c>
    </row>
    <row r="587" spans="1:11" ht="24" customHeight="1" x14ac:dyDescent="0.25">
      <c r="A587" s="138">
        <v>45426</v>
      </c>
      <c r="B587" s="139" t="s">
        <v>141</v>
      </c>
      <c r="C587" s="140"/>
      <c r="D587" s="140">
        <v>130000</v>
      </c>
      <c r="E587" s="140">
        <f>+IF(FINANCIACION[[#This Row],[$ CAPITAL]]&gt;=0,FINANCIACION[[#This Row],[$ CAPITAL]]+FINANCIACION[[#This Row],[$ INTERESES]],"")</f>
        <v>130000</v>
      </c>
      <c r="F587" s="140">
        <f>+SUMIFS(FINANCIACION[$ CAPITAL],FINANCIACION[Fecha],"&lt;="&amp;FINANCIACION[[#This Row],[Fecha]],FINANCIACION[PRESTAMO],FINANCIACION[[#This Row],[PRESTAMO]])</f>
        <v>-13000000</v>
      </c>
      <c r="G587" s="140"/>
      <c r="H587" s="141"/>
      <c r="I587" s="142"/>
      <c r="J587" s="140" t="b">
        <f>+IF(FINANCIACION[[#This Row],[$ CAPITAL]]&gt;0,FINANCIACION[[#This Row],[$ CAPITAL]])</f>
        <v>0</v>
      </c>
      <c r="K587" s="143">
        <f>+IF(FINANCIACION[[#This Row],[$ CAPITAL]]&gt;=0,FINANCIACION[[#This Row],[$ CAPITAL]]+FINANCIACION[[#This Row],[$ INTERESES]],0)</f>
        <v>130000</v>
      </c>
    </row>
    <row r="588" spans="1:11" ht="24" customHeight="1" x14ac:dyDescent="0.25">
      <c r="A588" s="138">
        <v>45426</v>
      </c>
      <c r="B588" s="139" t="s">
        <v>219</v>
      </c>
      <c r="C588" s="140"/>
      <c r="D588" s="140">
        <v>700000</v>
      </c>
      <c r="E588" s="140">
        <f>+IF(FINANCIACION[[#This Row],[$ CAPITAL]]&gt;=0,FINANCIACION[[#This Row],[$ CAPITAL]]+FINANCIACION[[#This Row],[$ INTERESES]],"")</f>
        <v>700000</v>
      </c>
      <c r="F588" s="140">
        <f>+SUMIFS(FINANCIACION[$ CAPITAL],FINANCIACION[Fecha],"&lt;="&amp;FINANCIACION[[#This Row],[Fecha]],FINANCIACION[PRESTAMO],FINANCIACION[[#This Row],[PRESTAMO]])</f>
        <v>-100000000</v>
      </c>
      <c r="G588" s="140"/>
      <c r="H588" s="141"/>
      <c r="I588" s="142"/>
      <c r="J588" s="140" t="b">
        <f>+IF(FINANCIACION[[#This Row],[$ CAPITAL]]&gt;0,FINANCIACION[[#This Row],[$ CAPITAL]])</f>
        <v>0</v>
      </c>
      <c r="K588" s="143">
        <f>+IF(FINANCIACION[[#This Row],[$ CAPITAL]]&gt;=0,FINANCIACION[[#This Row],[$ CAPITAL]]+FINANCIACION[[#This Row],[$ INTERESES]],0)</f>
        <v>700000</v>
      </c>
    </row>
    <row r="589" spans="1:11" ht="24" customHeight="1" x14ac:dyDescent="0.25">
      <c r="A589" s="138">
        <v>45426</v>
      </c>
      <c r="B589" s="139" t="s">
        <v>143</v>
      </c>
      <c r="C589" s="140"/>
      <c r="D589" s="140">
        <v>350000</v>
      </c>
      <c r="E589" s="140">
        <f>+IF(FINANCIACION[[#This Row],[$ CAPITAL]]&gt;=0,FINANCIACION[[#This Row],[$ CAPITAL]]+FINANCIACION[[#This Row],[$ INTERESES]],"")</f>
        <v>350000</v>
      </c>
      <c r="F589" s="140">
        <f>+SUMIFS(FINANCIACION[$ CAPITAL],FINANCIACION[Fecha],"&lt;="&amp;FINANCIACION[[#This Row],[Fecha]],FINANCIACION[PRESTAMO],FINANCIACION[[#This Row],[PRESTAMO]])</f>
        <v>-35000000</v>
      </c>
      <c r="G589" s="140"/>
      <c r="H589" s="141"/>
      <c r="I589" s="142"/>
      <c r="J589" s="140" t="b">
        <f>+IF(FINANCIACION[[#This Row],[$ CAPITAL]]&gt;0,FINANCIACION[[#This Row],[$ CAPITAL]])</f>
        <v>0</v>
      </c>
      <c r="K589" s="143">
        <f>+IF(FINANCIACION[[#This Row],[$ CAPITAL]]&gt;=0,FINANCIACION[[#This Row],[$ CAPITAL]]+FINANCIACION[[#This Row],[$ INTERESES]],0)</f>
        <v>350000</v>
      </c>
    </row>
    <row r="590" spans="1:11" ht="24" customHeight="1" x14ac:dyDescent="0.25">
      <c r="A590" s="138">
        <v>45426</v>
      </c>
      <c r="B590" s="139" t="s">
        <v>135</v>
      </c>
      <c r="C590" s="140">
        <v>732307.52</v>
      </c>
      <c r="D590" s="140">
        <v>267692.48</v>
      </c>
      <c r="E590" s="140">
        <f>+IF(FINANCIACION[[#This Row],[$ CAPITAL]]&gt;=0,FINANCIACION[[#This Row],[$ CAPITAL]]+FINANCIACION[[#This Row],[$ INTERESES]],"")</f>
        <v>1000000</v>
      </c>
      <c r="F590" s="140">
        <f>+SUMIFS(FINANCIACION[$ CAPITAL],FINANCIACION[Fecha],"&lt;="&amp;FINANCIACION[[#This Row],[Fecha]],FINANCIACION[PRESTAMO],FINANCIACION[[#This Row],[PRESTAMO]])</f>
        <v>-26036940.269624799</v>
      </c>
      <c r="G590" s="140"/>
      <c r="H590" s="141"/>
      <c r="I590" s="142"/>
      <c r="J590" s="140">
        <f>+IF(FINANCIACION[[#This Row],[$ CAPITAL]]&gt;0,FINANCIACION[[#This Row],[$ CAPITAL]])</f>
        <v>732307.52</v>
      </c>
      <c r="K590" s="143">
        <f>+IF(FINANCIACION[[#This Row],[$ CAPITAL]]&gt;=0,FINANCIACION[[#This Row],[$ CAPITAL]]+FINANCIACION[[#This Row],[$ INTERESES]],0)</f>
        <v>1000000</v>
      </c>
    </row>
    <row r="591" spans="1:11" ht="24" customHeight="1" x14ac:dyDescent="0.25">
      <c r="A591" s="138">
        <v>45426</v>
      </c>
      <c r="B591" s="139" t="s">
        <v>138</v>
      </c>
      <c r="C591" s="140">
        <v>1238819.4099999999</v>
      </c>
      <c r="D591" s="140">
        <v>61180.590000000004</v>
      </c>
      <c r="E591" s="140">
        <f>+IF(FINANCIACION[[#This Row],[$ CAPITAL]]&gt;=0,FINANCIACION[[#This Row],[$ CAPITAL]]+FINANCIACION[[#This Row],[$ INTERESES]],"")</f>
        <v>1300000</v>
      </c>
      <c r="F591" s="140">
        <f>+SUMIFS(FINANCIACION[$ CAPITAL],FINANCIACION[Fecha],"&lt;="&amp;FINANCIACION[[#This Row],[Fecha]],FINANCIACION[PRESTAMO],FINANCIACION[[#This Row],[PRESTAMO]])</f>
        <v>-4879239.9922773475</v>
      </c>
      <c r="G591" s="140"/>
      <c r="H591" s="141"/>
      <c r="I591" s="142"/>
      <c r="J591" s="140">
        <f>+IF(FINANCIACION[[#This Row],[$ CAPITAL]]&gt;0,FINANCIACION[[#This Row],[$ CAPITAL]])</f>
        <v>1238819.4099999999</v>
      </c>
      <c r="K591" s="143">
        <f>+IF(FINANCIACION[[#This Row],[$ CAPITAL]]&gt;=0,FINANCIACION[[#This Row],[$ CAPITAL]]+FINANCIACION[[#This Row],[$ INTERESES]],0)</f>
        <v>1300000</v>
      </c>
    </row>
    <row r="592" spans="1:11" ht="24" customHeight="1" x14ac:dyDescent="0.25">
      <c r="A592" s="138">
        <v>45426</v>
      </c>
      <c r="B592" s="139" t="s">
        <v>136</v>
      </c>
      <c r="C592" s="140">
        <v>1660770.01</v>
      </c>
      <c r="D592" s="140">
        <v>339229.99</v>
      </c>
      <c r="E592" s="140">
        <f>+IF(FINANCIACION[[#This Row],[$ CAPITAL]]&gt;=0,FINANCIACION[[#This Row],[$ CAPITAL]]+FINANCIACION[[#This Row],[$ INTERESES]],"")</f>
        <v>2000000</v>
      </c>
      <c r="F592" s="140">
        <f>+SUMIFS(FINANCIACION[$ CAPITAL],FINANCIACION[Fecha],"&lt;="&amp;FINANCIACION[[#This Row],[Fecha]],FINANCIACION[PRESTAMO],FINANCIACION[[#This Row],[PRESTAMO]])</f>
        <v>-32262228.582562868</v>
      </c>
      <c r="G592" s="140"/>
      <c r="H592" s="141"/>
      <c r="I592" s="142"/>
      <c r="J592" s="140">
        <f>+IF(FINANCIACION[[#This Row],[$ CAPITAL]]&gt;0,FINANCIACION[[#This Row],[$ CAPITAL]])</f>
        <v>1660770.01</v>
      </c>
      <c r="K592" s="143">
        <f>+IF(FINANCIACION[[#This Row],[$ CAPITAL]]&gt;=0,FINANCIACION[[#This Row],[$ CAPITAL]]+FINANCIACION[[#This Row],[$ INTERESES]],0)</f>
        <v>2000000</v>
      </c>
    </row>
    <row r="593" spans="1:11" ht="24" customHeight="1" x14ac:dyDescent="0.25">
      <c r="A593" s="138">
        <v>45429</v>
      </c>
      <c r="B593" s="139" t="s">
        <v>218</v>
      </c>
      <c r="C593" s="140">
        <v>-21000000</v>
      </c>
      <c r="D593" s="140"/>
      <c r="E593" s="140" t="str">
        <f>+IF(FINANCIACION[[#This Row],[$ CAPITAL]]&gt;=0,FINANCIACION[[#This Row],[$ CAPITAL]]+FINANCIACION[[#This Row],[$ INTERESES]],"")</f>
        <v/>
      </c>
      <c r="F593" s="140">
        <f>+SUMIFS(FINANCIACION[$ CAPITAL],FINANCIACION[Fecha],"&lt;="&amp;FINANCIACION[[#This Row],[Fecha]],FINANCIACION[PRESTAMO],FINANCIACION[[#This Row],[PRESTAMO]])</f>
        <v>-77929004</v>
      </c>
      <c r="G593" s="140"/>
      <c r="H593" s="141"/>
      <c r="I593" s="142"/>
      <c r="J593" s="140" t="b">
        <f>+IF(FINANCIACION[[#This Row],[$ CAPITAL]]&gt;0,FINANCIACION[[#This Row],[$ CAPITAL]])</f>
        <v>0</v>
      </c>
      <c r="K593" s="143">
        <f>+IF(FINANCIACION[[#This Row],[$ CAPITAL]]&gt;=0,FINANCIACION[[#This Row],[$ CAPITAL]]+FINANCIACION[[#This Row],[$ INTERESES]],0)</f>
        <v>0</v>
      </c>
    </row>
    <row r="594" spans="1:11" ht="24" customHeight="1" x14ac:dyDescent="0.25">
      <c r="A594" s="138">
        <v>45429</v>
      </c>
      <c r="B594" s="139" t="s">
        <v>137</v>
      </c>
      <c r="C594" s="140">
        <v>83341981</v>
      </c>
      <c r="D594" s="140">
        <v>3366519</v>
      </c>
      <c r="E594" s="140">
        <f>+IF(FINANCIACION[[#This Row],[$ CAPITAL]]&gt;=0,FINANCIACION[[#This Row],[$ CAPITAL]]+FINANCIACION[[#This Row],[$ INTERESES]],"")</f>
        <v>86708500</v>
      </c>
      <c r="F594" s="140">
        <f>+SUMIFS(FINANCIACION[$ CAPITAL],FINANCIACION[Fecha],"&lt;="&amp;FINANCIACION[[#This Row],[Fecha]],FINANCIACION[PRESTAMO],FINANCIACION[[#This Row],[PRESTAMO]])</f>
        <v>-83463857</v>
      </c>
      <c r="G594" s="140"/>
      <c r="H594" s="141"/>
      <c r="I594" s="142"/>
      <c r="J594" s="140">
        <f>+IF(FINANCIACION[[#This Row],[$ CAPITAL]]&gt;0,FINANCIACION[[#This Row],[$ CAPITAL]])</f>
        <v>83341981</v>
      </c>
      <c r="K594" s="143">
        <f>+IF(FINANCIACION[[#This Row],[$ CAPITAL]]&gt;=0,FINANCIACION[[#This Row],[$ CAPITAL]]+FINANCIACION[[#This Row],[$ INTERESES]],0)</f>
        <v>86708500</v>
      </c>
    </row>
    <row r="595" spans="1:11" ht="24" customHeight="1" x14ac:dyDescent="0.25">
      <c r="A595" s="138">
        <v>45432</v>
      </c>
      <c r="B595" s="139" t="s">
        <v>233</v>
      </c>
      <c r="C595" s="140">
        <v>2778000</v>
      </c>
      <c r="D595" s="140">
        <v>1282110</v>
      </c>
      <c r="E595" s="140">
        <f>+IF(FINANCIACION[[#This Row],[$ CAPITAL]]&gt;=0,FINANCIACION[[#This Row],[$ CAPITAL]]+FINANCIACION[[#This Row],[$ INTERESES]],"")</f>
        <v>4060110</v>
      </c>
      <c r="F595" s="140">
        <f>+SUMIFS(FINANCIACION[$ CAPITAL],FINANCIACION[Fecha],"&lt;="&amp;FINANCIACION[[#This Row],[Fecha]],FINANCIACION[PRESTAMO],FINANCIACION[[#This Row],[PRESTAMO]])</f>
        <v>-86110000</v>
      </c>
      <c r="G595" s="140"/>
      <c r="H595" s="141"/>
      <c r="I595" s="142"/>
      <c r="J595" s="140">
        <f>+IF(FINANCIACION[[#This Row],[$ CAPITAL]]&gt;0,FINANCIACION[[#This Row],[$ CAPITAL]])</f>
        <v>2778000</v>
      </c>
      <c r="K595" s="143">
        <f>+IF(FINANCIACION[[#This Row],[$ CAPITAL]]&gt;=0,FINANCIACION[[#This Row],[$ CAPITAL]]+FINANCIACION[[#This Row],[$ INTERESES]],0)</f>
        <v>4060110</v>
      </c>
    </row>
    <row r="596" spans="1:11" ht="24" customHeight="1" x14ac:dyDescent="0.25">
      <c r="A596" s="138">
        <v>45433</v>
      </c>
      <c r="B596" s="139" t="s">
        <v>146</v>
      </c>
      <c r="C596" s="140"/>
      <c r="D596" s="140">
        <v>1400000</v>
      </c>
      <c r="E596" s="140">
        <f>+IF(FINANCIACION[[#This Row],[$ CAPITAL]]&gt;=0,FINANCIACION[[#This Row],[$ CAPITAL]]+FINANCIACION[[#This Row],[$ INTERESES]],"")</f>
        <v>1400000</v>
      </c>
      <c r="F596" s="140">
        <f>+SUMIFS(FINANCIACION[$ CAPITAL],FINANCIACION[Fecha],"&lt;="&amp;FINANCIACION[[#This Row],[Fecha]],FINANCIACION[PRESTAMO],FINANCIACION[[#This Row],[PRESTAMO]])</f>
        <v>-140000000</v>
      </c>
      <c r="G596" s="140"/>
      <c r="H596" s="141"/>
      <c r="I596" s="142"/>
      <c r="J596" s="140" t="b">
        <f>+IF(FINANCIACION[[#This Row],[$ CAPITAL]]&gt;0,FINANCIACION[[#This Row],[$ CAPITAL]])</f>
        <v>0</v>
      </c>
      <c r="K596" s="143">
        <f>+IF(FINANCIACION[[#This Row],[$ CAPITAL]]&gt;=0,FINANCIACION[[#This Row],[$ CAPITAL]]+FINANCIACION[[#This Row],[$ INTERESES]],0)</f>
        <v>1400000</v>
      </c>
    </row>
    <row r="597" spans="1:11" ht="24" customHeight="1" x14ac:dyDescent="0.25">
      <c r="A597" s="138">
        <v>45435</v>
      </c>
      <c r="B597" s="139" t="s">
        <v>238</v>
      </c>
      <c r="C597" s="140">
        <v>3500000</v>
      </c>
      <c r="D597" s="140"/>
      <c r="E597" s="140">
        <f>+IF(FINANCIACION[[#This Row],[$ CAPITAL]]&gt;=0,FINANCIACION[[#This Row],[$ CAPITAL]]+FINANCIACION[[#This Row],[$ INTERESES]],"")</f>
        <v>3500000</v>
      </c>
      <c r="F597" s="140">
        <f>+SUMIFS(FINANCIACION[$ CAPITAL],FINANCIACION[Fecha],"&lt;="&amp;FINANCIACION[[#This Row],[Fecha]],FINANCIACION[PRESTAMO],FINANCIACION[[#This Row],[PRESTAMO]])</f>
        <v>-353390</v>
      </c>
      <c r="G597" s="140"/>
      <c r="H597" s="141" t="s">
        <v>970</v>
      </c>
      <c r="I597" s="142"/>
      <c r="J597" s="140">
        <f>+IF(FINANCIACION[[#This Row],[$ CAPITAL]]&gt;0,FINANCIACION[[#This Row],[$ CAPITAL]])</f>
        <v>3500000</v>
      </c>
      <c r="K597" s="143">
        <f>+IF(FINANCIACION[[#This Row],[$ CAPITAL]]&gt;=0,FINANCIACION[[#This Row],[$ CAPITAL]]+FINANCIACION[[#This Row],[$ INTERESES]],0)</f>
        <v>3500000</v>
      </c>
    </row>
    <row r="598" spans="1:11" ht="24" customHeight="1" x14ac:dyDescent="0.25">
      <c r="A598" s="138">
        <v>45436</v>
      </c>
      <c r="B598" s="139" t="s">
        <v>250</v>
      </c>
      <c r="C598" s="140">
        <v>4167000</v>
      </c>
      <c r="D598" s="140">
        <v>576884</v>
      </c>
      <c r="E598" s="140">
        <f>+IF(FINANCIACION[[#This Row],[$ CAPITAL]]&gt;=0,FINANCIACION[[#This Row],[$ CAPITAL]]+FINANCIACION[[#This Row],[$ INTERESES]],"")</f>
        <v>4743884</v>
      </c>
      <c r="F598" s="140">
        <f>+SUMIFS(FINANCIACION[$ CAPITAL],FINANCIACION[Fecha],"&lt;="&amp;FINANCIACION[[#This Row],[Fecha]],FINANCIACION[PRESTAMO],FINANCIACION[[#This Row],[PRESTAMO]])</f>
        <v>-37499000</v>
      </c>
      <c r="G598" s="140"/>
      <c r="H598" s="141"/>
      <c r="I598" s="142"/>
      <c r="J598" s="140">
        <f>+IF(FINANCIACION[[#This Row],[$ CAPITAL]]&gt;0,FINANCIACION[[#This Row],[$ CAPITAL]])</f>
        <v>4167000</v>
      </c>
      <c r="K598" s="143">
        <f>+IF(FINANCIACION[[#This Row],[$ CAPITAL]]&gt;=0,FINANCIACION[[#This Row],[$ CAPITAL]]+FINANCIACION[[#This Row],[$ INTERESES]],0)</f>
        <v>4743884</v>
      </c>
    </row>
    <row r="599" spans="1:11" ht="24" customHeight="1" x14ac:dyDescent="0.25">
      <c r="A599" s="138">
        <v>45436</v>
      </c>
      <c r="B599" s="139" t="s">
        <v>237</v>
      </c>
      <c r="C599" s="140">
        <v>24445225</v>
      </c>
      <c r="D599" s="140"/>
      <c r="E599" s="140">
        <f>+IF(FINANCIACION[[#This Row],[$ CAPITAL]]&gt;=0,FINANCIACION[[#This Row],[$ CAPITAL]]+FINANCIACION[[#This Row],[$ INTERESES]],"")</f>
        <v>24445225</v>
      </c>
      <c r="F599" s="140">
        <f>+SUMIFS(FINANCIACION[$ CAPITAL],FINANCIACION[Fecha],"&lt;="&amp;FINANCIACION[[#This Row],[Fecha]],FINANCIACION[PRESTAMO],FINANCIACION[[#This Row],[PRESTAMO]])</f>
        <v>-961519</v>
      </c>
      <c r="G599" s="140"/>
      <c r="H599" s="141" t="s">
        <v>970</v>
      </c>
      <c r="I599" s="142"/>
      <c r="J599" s="140">
        <f>+IF(FINANCIACION[[#This Row],[$ CAPITAL]]&gt;0,FINANCIACION[[#This Row],[$ CAPITAL]])</f>
        <v>24445225</v>
      </c>
      <c r="K599" s="143">
        <f>+IF(FINANCIACION[[#This Row],[$ CAPITAL]]&gt;=0,FINANCIACION[[#This Row],[$ CAPITAL]]+FINANCIACION[[#This Row],[$ INTERESES]],0)</f>
        <v>24445225</v>
      </c>
    </row>
    <row r="600" spans="1:11" ht="24" customHeight="1" x14ac:dyDescent="0.25">
      <c r="A600" s="138">
        <v>45439</v>
      </c>
      <c r="B600" s="139" t="s">
        <v>219</v>
      </c>
      <c r="C600" s="140">
        <v>-95000000</v>
      </c>
      <c r="D600" s="140"/>
      <c r="E600" s="140" t="str">
        <f>+IF(FINANCIACION[[#This Row],[$ CAPITAL]]&gt;=0,FINANCIACION[[#This Row],[$ CAPITAL]]+FINANCIACION[[#This Row],[$ INTERESES]],"")</f>
        <v/>
      </c>
      <c r="F600" s="140">
        <f>+SUMIFS(FINANCIACION[$ CAPITAL],FINANCIACION[Fecha],"&lt;="&amp;FINANCIACION[[#This Row],[Fecha]],FINANCIACION[PRESTAMO],FINANCIACION[[#This Row],[PRESTAMO]])</f>
        <v>-195000000</v>
      </c>
      <c r="G600" s="140"/>
      <c r="H600" s="141" t="s">
        <v>911</v>
      </c>
      <c r="I600" s="142"/>
      <c r="J600" s="140" t="b">
        <f>+IF(FINANCIACION[[#This Row],[$ CAPITAL]]&gt;0,FINANCIACION[[#This Row],[$ CAPITAL]])</f>
        <v>0</v>
      </c>
      <c r="K600" s="143">
        <f>+IF(FINANCIACION[[#This Row],[$ CAPITAL]]&gt;=0,FINANCIACION[[#This Row],[$ CAPITAL]]+FINANCIACION[[#This Row],[$ INTERESES]],0)</f>
        <v>0</v>
      </c>
    </row>
    <row r="601" spans="1:11" ht="24" customHeight="1" x14ac:dyDescent="0.25">
      <c r="A601" s="138">
        <v>45439</v>
      </c>
      <c r="B601" s="139" t="s">
        <v>239</v>
      </c>
      <c r="C601" s="140">
        <v>1481481.48</v>
      </c>
      <c r="D601" s="140">
        <v>566917.35</v>
      </c>
      <c r="E601" s="140">
        <f>+IF(FINANCIACION[[#This Row],[$ CAPITAL]]&gt;=0,FINANCIACION[[#This Row],[$ CAPITAL]]+FINANCIACION[[#This Row],[$ INTERESES]],"")</f>
        <v>2048398.83</v>
      </c>
      <c r="F601" s="140">
        <f>+SUMIFS(FINANCIACION[$ CAPITAL],FINANCIACION[Fecha],"&lt;="&amp;FINANCIACION[[#This Row],[Fecha]],FINANCIACION[PRESTAMO],FINANCIACION[[#This Row],[PRESTAMO]])</f>
        <v>-44546653.530000001</v>
      </c>
      <c r="G601" s="140"/>
      <c r="H601" s="141"/>
      <c r="I601" s="142"/>
      <c r="J601" s="140">
        <f>+IF(FINANCIACION[[#This Row],[$ CAPITAL]]&gt;0,FINANCIACION[[#This Row],[$ CAPITAL]])</f>
        <v>1481481.48</v>
      </c>
      <c r="K601" s="143">
        <f>+IF(FINANCIACION[[#This Row],[$ CAPITAL]]&gt;=0,FINANCIACION[[#This Row],[$ CAPITAL]]+FINANCIACION[[#This Row],[$ INTERESES]],0)</f>
        <v>2048398.83</v>
      </c>
    </row>
    <row r="602" spans="1:11" ht="24" customHeight="1" x14ac:dyDescent="0.25">
      <c r="A602" s="138">
        <v>45443</v>
      </c>
      <c r="B602" s="139" t="s">
        <v>236</v>
      </c>
      <c r="C602" s="140">
        <v>-5178200</v>
      </c>
      <c r="D602" s="140"/>
      <c r="E602" s="140" t="str">
        <f>+IF(FINANCIACION[[#This Row],[$ CAPITAL]]&gt;=0,FINANCIACION[[#This Row],[$ CAPITAL]]+FINANCIACION[[#This Row],[$ INTERESES]],"")</f>
        <v/>
      </c>
      <c r="F602" s="140">
        <f>+SUMIFS(FINANCIACION[$ CAPITAL],FINANCIACION[Fecha],"&lt;="&amp;FINANCIACION[[#This Row],[Fecha]],FINANCIACION[PRESTAMO],FINANCIACION[[#This Row],[PRESTAMO]])</f>
        <v>-37654500</v>
      </c>
      <c r="G602" s="140"/>
      <c r="H602" s="141"/>
      <c r="I602" s="142"/>
      <c r="J602" s="140" t="b">
        <f>+IF(FINANCIACION[[#This Row],[$ CAPITAL]]&gt;0,FINANCIACION[[#This Row],[$ CAPITAL]])</f>
        <v>0</v>
      </c>
      <c r="K602" s="143">
        <f>+IF(FINANCIACION[[#This Row],[$ CAPITAL]]&gt;=0,FINANCIACION[[#This Row],[$ CAPITAL]]+FINANCIACION[[#This Row],[$ INTERESES]],0)</f>
        <v>0</v>
      </c>
    </row>
    <row r="603" spans="1:11" ht="24" customHeight="1" x14ac:dyDescent="0.25">
      <c r="A603" s="138">
        <v>45443</v>
      </c>
      <c r="B603" s="139" t="s">
        <v>238</v>
      </c>
      <c r="C603" s="140">
        <v>-1427125</v>
      </c>
      <c r="D603" s="140"/>
      <c r="E603" s="140" t="str">
        <f>+IF(FINANCIACION[[#This Row],[$ CAPITAL]]&gt;=0,FINANCIACION[[#This Row],[$ CAPITAL]]+FINANCIACION[[#This Row],[$ INTERESES]],"")</f>
        <v/>
      </c>
      <c r="F603" s="140">
        <f>+SUMIFS(FINANCIACION[$ CAPITAL],FINANCIACION[Fecha],"&lt;="&amp;FINANCIACION[[#This Row],[Fecha]],FINANCIACION[PRESTAMO],FINANCIACION[[#This Row],[PRESTAMO]])</f>
        <v>-1780515</v>
      </c>
      <c r="G603" s="140"/>
      <c r="H603" s="141"/>
      <c r="I603" s="142"/>
      <c r="J603" s="140" t="b">
        <f>+IF(FINANCIACION[[#This Row],[$ CAPITAL]]&gt;0,FINANCIACION[[#This Row],[$ CAPITAL]])</f>
        <v>0</v>
      </c>
      <c r="K603" s="143">
        <f>+IF(FINANCIACION[[#This Row],[$ CAPITAL]]&gt;=0,FINANCIACION[[#This Row],[$ CAPITAL]]+FINANCIACION[[#This Row],[$ INTERESES]],0)</f>
        <v>0</v>
      </c>
    </row>
    <row r="604" spans="1:11" ht="24" customHeight="1" x14ac:dyDescent="0.25">
      <c r="A604" s="138">
        <v>45443</v>
      </c>
      <c r="B604" s="139" t="s">
        <v>237</v>
      </c>
      <c r="C604" s="140">
        <v>-34349211</v>
      </c>
      <c r="D604" s="140"/>
      <c r="E604" s="140" t="str">
        <f>+IF(FINANCIACION[[#This Row],[$ CAPITAL]]&gt;=0,FINANCIACION[[#This Row],[$ CAPITAL]]+FINANCIACION[[#This Row],[$ INTERESES]],"")</f>
        <v/>
      </c>
      <c r="F604" s="140">
        <f>+SUMIFS(FINANCIACION[$ CAPITAL],FINANCIACION[Fecha],"&lt;="&amp;FINANCIACION[[#This Row],[Fecha]],FINANCIACION[PRESTAMO],FINANCIACION[[#This Row],[PRESTAMO]])</f>
        <v>-35310730</v>
      </c>
      <c r="G604" s="140"/>
      <c r="H604" s="141"/>
      <c r="I604" s="142"/>
      <c r="J604" s="140" t="b">
        <f>+IF(FINANCIACION[[#This Row],[$ CAPITAL]]&gt;0,FINANCIACION[[#This Row],[$ CAPITAL]])</f>
        <v>0</v>
      </c>
      <c r="K604" s="143">
        <f>+IF(FINANCIACION[[#This Row],[$ CAPITAL]]&gt;=0,FINANCIACION[[#This Row],[$ CAPITAL]]+FINANCIACION[[#This Row],[$ INTERESES]],0)</f>
        <v>0</v>
      </c>
    </row>
    <row r="605" spans="1:11" ht="24" customHeight="1" x14ac:dyDescent="0.25">
      <c r="A605" s="138">
        <v>45447</v>
      </c>
      <c r="B605" s="139" t="s">
        <v>218</v>
      </c>
      <c r="C605" s="140">
        <v>1702836</v>
      </c>
      <c r="D605" s="140">
        <v>1254180</v>
      </c>
      <c r="E605" s="140">
        <f>+IF(FINANCIACION[[#This Row],[$ CAPITAL]]&gt;=0,FINANCIACION[[#This Row],[$ CAPITAL]]+FINANCIACION[[#This Row],[$ INTERESES]],"")</f>
        <v>2957016</v>
      </c>
      <c r="F605" s="140">
        <f>+SUMIFS(FINANCIACION[$ CAPITAL],FINANCIACION[Fecha],"&lt;="&amp;FINANCIACION[[#This Row],[Fecha]],FINANCIACION[PRESTAMO],FINANCIACION[[#This Row],[PRESTAMO]])</f>
        <v>-76226168</v>
      </c>
      <c r="G605" s="140"/>
      <c r="H605" s="141"/>
      <c r="I605" s="142"/>
      <c r="J605" s="140">
        <f>+IF(FINANCIACION[[#This Row],[$ CAPITAL]]&gt;0,FINANCIACION[[#This Row],[$ CAPITAL]])</f>
        <v>1702836</v>
      </c>
      <c r="K605" s="143">
        <f>+IF(FINANCIACION[[#This Row],[$ CAPITAL]]&gt;=0,FINANCIACION[[#This Row],[$ CAPITAL]]+FINANCIACION[[#This Row],[$ INTERESES]],0)</f>
        <v>2957016</v>
      </c>
    </row>
    <row r="606" spans="1:11" ht="24" customHeight="1" x14ac:dyDescent="0.25">
      <c r="A606" s="138">
        <v>45455</v>
      </c>
      <c r="B606" s="139" t="s">
        <v>135</v>
      </c>
      <c r="C606" s="140">
        <v>739630.6</v>
      </c>
      <c r="D606" s="140">
        <v>260369.4</v>
      </c>
      <c r="E606" s="140">
        <f>+IF(FINANCIACION[[#This Row],[$ CAPITAL]]&gt;=0,FINANCIACION[[#This Row],[$ CAPITAL]]+FINANCIACION[[#This Row],[$ INTERESES]],"")</f>
        <v>1000000</v>
      </c>
      <c r="F606" s="140">
        <f>+SUMIFS(FINANCIACION[$ CAPITAL],FINANCIACION[Fecha],"&lt;="&amp;FINANCIACION[[#This Row],[Fecha]],FINANCIACION[PRESTAMO],FINANCIACION[[#This Row],[PRESTAMO]])</f>
        <v>-25297309.669624798</v>
      </c>
      <c r="G606" s="140"/>
      <c r="H606" s="141"/>
      <c r="I606" s="142"/>
      <c r="J606" s="140">
        <f>+IF(FINANCIACION[[#This Row],[$ CAPITAL]]&gt;0,FINANCIACION[[#This Row],[$ CAPITAL]])</f>
        <v>739630.6</v>
      </c>
      <c r="K606" s="143">
        <f>+IF(FINANCIACION[[#This Row],[$ CAPITAL]]&gt;=0,FINANCIACION[[#This Row],[$ CAPITAL]]+FINANCIACION[[#This Row],[$ INTERESES]],0)</f>
        <v>1000000</v>
      </c>
    </row>
    <row r="607" spans="1:11" ht="24" customHeight="1" x14ac:dyDescent="0.25">
      <c r="A607" s="138">
        <v>45455</v>
      </c>
      <c r="B607" s="139" t="s">
        <v>138</v>
      </c>
      <c r="C607" s="140">
        <v>1251207.6000000001</v>
      </c>
      <c r="D607" s="140">
        <v>48792.4</v>
      </c>
      <c r="E607" s="140">
        <f>+IF(FINANCIACION[[#This Row],[$ CAPITAL]]&gt;=0,FINANCIACION[[#This Row],[$ CAPITAL]]+FINANCIACION[[#This Row],[$ INTERESES]],"")</f>
        <v>1300000</v>
      </c>
      <c r="F607" s="140">
        <f>+SUMIFS(FINANCIACION[$ CAPITAL],FINANCIACION[Fecha],"&lt;="&amp;FINANCIACION[[#This Row],[Fecha]],FINANCIACION[PRESTAMO],FINANCIACION[[#This Row],[PRESTAMO]])</f>
        <v>-3628032.3922773474</v>
      </c>
      <c r="G607" s="140"/>
      <c r="H607" s="141"/>
      <c r="I607" s="142"/>
      <c r="J607" s="140">
        <f>+IF(FINANCIACION[[#This Row],[$ CAPITAL]]&gt;0,FINANCIACION[[#This Row],[$ CAPITAL]])</f>
        <v>1251207.6000000001</v>
      </c>
      <c r="K607" s="143">
        <f>+IF(FINANCIACION[[#This Row],[$ CAPITAL]]&gt;=0,FINANCIACION[[#This Row],[$ CAPITAL]]+FINANCIACION[[#This Row],[$ INTERESES]],0)</f>
        <v>1300000</v>
      </c>
    </row>
    <row r="608" spans="1:11" ht="24" customHeight="1" x14ac:dyDescent="0.25">
      <c r="A608" s="138">
        <v>45456</v>
      </c>
      <c r="B608" s="139" t="s">
        <v>141</v>
      </c>
      <c r="C608" s="140"/>
      <c r="D608" s="140">
        <v>130000</v>
      </c>
      <c r="E608" s="140">
        <f>+IF(FINANCIACION[[#This Row],[$ CAPITAL]]&gt;=0,FINANCIACION[[#This Row],[$ CAPITAL]]+FINANCIACION[[#This Row],[$ INTERESES]],"")</f>
        <v>130000</v>
      </c>
      <c r="F608" s="140">
        <f>+SUMIFS(FINANCIACION[$ CAPITAL],FINANCIACION[Fecha],"&lt;="&amp;FINANCIACION[[#This Row],[Fecha]],FINANCIACION[PRESTAMO],FINANCIACION[[#This Row],[PRESTAMO]])</f>
        <v>-13000000</v>
      </c>
      <c r="G608" s="140"/>
      <c r="H608" s="141"/>
      <c r="I608" s="142"/>
      <c r="J608" s="140" t="b">
        <f>+IF(FINANCIACION[[#This Row],[$ CAPITAL]]&gt;0,FINANCIACION[[#This Row],[$ CAPITAL]])</f>
        <v>0</v>
      </c>
      <c r="K608" s="143">
        <f>+IF(FINANCIACION[[#This Row],[$ CAPITAL]]&gt;=0,FINANCIACION[[#This Row],[$ CAPITAL]]+FINANCIACION[[#This Row],[$ INTERESES]],0)</f>
        <v>130000</v>
      </c>
    </row>
    <row r="609" spans="1:11" ht="24" customHeight="1" x14ac:dyDescent="0.25">
      <c r="A609" s="138">
        <v>45456</v>
      </c>
      <c r="B609" s="139" t="s">
        <v>219</v>
      </c>
      <c r="C609" s="140"/>
      <c r="D609" s="140">
        <v>700000</v>
      </c>
      <c r="E609" s="140">
        <f>+IF(FINANCIACION[[#This Row],[$ CAPITAL]]&gt;=0,FINANCIACION[[#This Row],[$ CAPITAL]]+FINANCIACION[[#This Row],[$ INTERESES]],"")</f>
        <v>700000</v>
      </c>
      <c r="F609" s="140">
        <f>+SUMIFS(FINANCIACION[$ CAPITAL],FINANCIACION[Fecha],"&lt;="&amp;FINANCIACION[[#This Row],[Fecha]],FINANCIACION[PRESTAMO],FINANCIACION[[#This Row],[PRESTAMO]])</f>
        <v>-195000000</v>
      </c>
      <c r="G609" s="140"/>
      <c r="H609" s="141"/>
      <c r="I609" s="142"/>
      <c r="J609" s="140" t="b">
        <f>+IF(FINANCIACION[[#This Row],[$ CAPITAL]]&gt;0,FINANCIACION[[#This Row],[$ CAPITAL]])</f>
        <v>0</v>
      </c>
      <c r="K609" s="143">
        <f>+IF(FINANCIACION[[#This Row],[$ CAPITAL]]&gt;=0,FINANCIACION[[#This Row],[$ CAPITAL]]+FINANCIACION[[#This Row],[$ INTERESES]],0)</f>
        <v>700000</v>
      </c>
    </row>
    <row r="610" spans="1:11" ht="24" customHeight="1" x14ac:dyDescent="0.25">
      <c r="A610" s="138">
        <v>45456</v>
      </c>
      <c r="B610" s="139" t="s">
        <v>143</v>
      </c>
      <c r="C610" s="140"/>
      <c r="D610" s="140">
        <v>350000</v>
      </c>
      <c r="E610" s="140">
        <f>+IF(FINANCIACION[[#This Row],[$ CAPITAL]]&gt;=0,FINANCIACION[[#This Row],[$ CAPITAL]]+FINANCIACION[[#This Row],[$ INTERESES]],"")</f>
        <v>350000</v>
      </c>
      <c r="F610" s="140">
        <f>+SUMIFS(FINANCIACION[$ CAPITAL],FINANCIACION[Fecha],"&lt;="&amp;FINANCIACION[[#This Row],[Fecha]],FINANCIACION[PRESTAMO],FINANCIACION[[#This Row],[PRESTAMO]])</f>
        <v>-35000000</v>
      </c>
      <c r="G610" s="140"/>
      <c r="H610" s="141"/>
      <c r="I610" s="142"/>
      <c r="J610" s="140" t="b">
        <f>+IF(FINANCIACION[[#This Row],[$ CAPITAL]]&gt;0,FINANCIACION[[#This Row],[$ CAPITAL]])</f>
        <v>0</v>
      </c>
      <c r="K610" s="143">
        <f>+IF(FINANCIACION[[#This Row],[$ CAPITAL]]&gt;=0,FINANCIACION[[#This Row],[$ CAPITAL]]+FINANCIACION[[#This Row],[$ INTERESES]],0)</f>
        <v>350000</v>
      </c>
    </row>
    <row r="611" spans="1:11" ht="24" customHeight="1" x14ac:dyDescent="0.25">
      <c r="A611" s="138">
        <v>45460</v>
      </c>
      <c r="B611" s="139" t="s">
        <v>136</v>
      </c>
      <c r="C611" s="140">
        <v>1677377.71</v>
      </c>
      <c r="D611" s="140">
        <v>322622.28999999998</v>
      </c>
      <c r="E611" s="140">
        <f>+IF(FINANCIACION[[#This Row],[$ CAPITAL]]&gt;=0,FINANCIACION[[#This Row],[$ CAPITAL]]+FINANCIACION[[#This Row],[$ INTERESES]],"")</f>
        <v>2000000</v>
      </c>
      <c r="F611" s="140">
        <f>+SUMIFS(FINANCIACION[$ CAPITAL],FINANCIACION[Fecha],"&lt;="&amp;FINANCIACION[[#This Row],[Fecha]],FINANCIACION[PRESTAMO],FINANCIACION[[#This Row],[PRESTAMO]])</f>
        <v>-30584850.872562867</v>
      </c>
      <c r="G611" s="140"/>
      <c r="H611" s="141"/>
      <c r="I611" s="142"/>
      <c r="J611" s="140">
        <f>+IF(FINANCIACION[[#This Row],[$ CAPITAL]]&gt;0,FINANCIACION[[#This Row],[$ CAPITAL]])</f>
        <v>1677377.71</v>
      </c>
      <c r="K611" s="143">
        <f>+IF(FINANCIACION[[#This Row],[$ CAPITAL]]&gt;=0,FINANCIACION[[#This Row],[$ CAPITAL]]+FINANCIACION[[#This Row],[$ INTERESES]],0)</f>
        <v>2000000</v>
      </c>
    </row>
    <row r="612" spans="1:11" ht="24" customHeight="1" x14ac:dyDescent="0.25">
      <c r="A612" s="138">
        <v>45460</v>
      </c>
      <c r="B612" s="139" t="s">
        <v>137</v>
      </c>
      <c r="C612" s="140">
        <v>7000000</v>
      </c>
      <c r="D612" s="140"/>
      <c r="E612" s="140">
        <f>+IF(FINANCIACION[[#This Row],[$ CAPITAL]]&gt;=0,FINANCIACION[[#This Row],[$ CAPITAL]]+FINANCIACION[[#This Row],[$ INTERESES]],"")</f>
        <v>7000000</v>
      </c>
      <c r="F612" s="140">
        <f>+SUMIFS(FINANCIACION[$ CAPITAL],FINANCIACION[Fecha],"&lt;="&amp;FINANCIACION[[#This Row],[Fecha]],FINANCIACION[PRESTAMO],FINANCIACION[[#This Row],[PRESTAMO]])</f>
        <v>-76463857</v>
      </c>
      <c r="G612" s="140"/>
      <c r="H612" s="141" t="s">
        <v>953</v>
      </c>
      <c r="I612" s="142"/>
      <c r="J612" s="140">
        <f>+IF(FINANCIACION[[#This Row],[$ CAPITAL]]&gt;0,FINANCIACION[[#This Row],[$ CAPITAL]])</f>
        <v>7000000</v>
      </c>
      <c r="K612" s="143">
        <f>+IF(FINANCIACION[[#This Row],[$ CAPITAL]]&gt;=0,FINANCIACION[[#This Row],[$ CAPITAL]]+FINANCIACION[[#This Row],[$ INTERESES]],0)</f>
        <v>7000000</v>
      </c>
    </row>
    <row r="613" spans="1:11" ht="24" customHeight="1" x14ac:dyDescent="0.25">
      <c r="A613" s="138">
        <v>45461</v>
      </c>
      <c r="B613" s="139" t="s">
        <v>219</v>
      </c>
      <c r="C613" s="140"/>
      <c r="D613" s="140">
        <v>1500000</v>
      </c>
      <c r="E613" s="140">
        <f>+IF(FINANCIACION[[#This Row],[$ CAPITAL]]&gt;=0,FINANCIACION[[#This Row],[$ CAPITAL]]+FINANCIACION[[#This Row],[$ INTERESES]],"")</f>
        <v>1500000</v>
      </c>
      <c r="F613" s="140">
        <f>+SUMIFS(FINANCIACION[$ CAPITAL],FINANCIACION[Fecha],"&lt;="&amp;FINANCIACION[[#This Row],[Fecha]],FINANCIACION[PRESTAMO],FINANCIACION[[#This Row],[PRESTAMO]])</f>
        <v>-195000000</v>
      </c>
      <c r="G613" s="140"/>
      <c r="H613" s="141"/>
      <c r="I613" s="142"/>
      <c r="J613" s="140" t="b">
        <f>+IF(FINANCIACION[[#This Row],[$ CAPITAL]]&gt;0,FINANCIACION[[#This Row],[$ CAPITAL]])</f>
        <v>0</v>
      </c>
      <c r="K613" s="143">
        <f>+IF(FINANCIACION[[#This Row],[$ CAPITAL]]&gt;=0,FINANCIACION[[#This Row],[$ CAPITAL]]+FINANCIACION[[#This Row],[$ INTERESES]],0)</f>
        <v>1500000</v>
      </c>
    </row>
    <row r="614" spans="1:11" ht="24" customHeight="1" x14ac:dyDescent="0.25">
      <c r="A614" s="138">
        <v>45463</v>
      </c>
      <c r="B614" s="139" t="s">
        <v>233</v>
      </c>
      <c r="C614" s="140">
        <v>2778000</v>
      </c>
      <c r="D614" s="140">
        <v>1222401</v>
      </c>
      <c r="E614" s="140">
        <f>+IF(FINANCIACION[[#This Row],[$ CAPITAL]]&gt;=0,FINANCIACION[[#This Row],[$ CAPITAL]]+FINANCIACION[[#This Row],[$ INTERESES]],"")</f>
        <v>4000401</v>
      </c>
      <c r="F614" s="140">
        <f>+SUMIFS(FINANCIACION[$ CAPITAL],FINANCIACION[Fecha],"&lt;="&amp;FINANCIACION[[#This Row],[Fecha]],FINANCIACION[PRESTAMO],FINANCIACION[[#This Row],[PRESTAMO]])</f>
        <v>-83332000</v>
      </c>
      <c r="G614" s="140"/>
      <c r="H614" s="141"/>
      <c r="I614" s="142"/>
      <c r="J614" s="140">
        <f>+IF(FINANCIACION[[#This Row],[$ CAPITAL]]&gt;0,FINANCIACION[[#This Row],[$ CAPITAL]])</f>
        <v>2778000</v>
      </c>
      <c r="K614" s="143">
        <f>+IF(FINANCIACION[[#This Row],[$ CAPITAL]]&gt;=0,FINANCIACION[[#This Row],[$ CAPITAL]]+FINANCIACION[[#This Row],[$ INTERESES]],0)</f>
        <v>4000401</v>
      </c>
    </row>
    <row r="615" spans="1:11" ht="24" customHeight="1" x14ac:dyDescent="0.25">
      <c r="A615" s="138">
        <v>45464</v>
      </c>
      <c r="B615" s="139" t="s">
        <v>146</v>
      </c>
      <c r="C615" s="140"/>
      <c r="D615" s="140">
        <v>1400000</v>
      </c>
      <c r="E615" s="140">
        <f>+IF(FINANCIACION[[#This Row],[$ CAPITAL]]&gt;=0,FINANCIACION[[#This Row],[$ CAPITAL]]+FINANCIACION[[#This Row],[$ INTERESES]],"")</f>
        <v>1400000</v>
      </c>
      <c r="F615" s="140">
        <f>+SUMIFS(FINANCIACION[$ CAPITAL],FINANCIACION[Fecha],"&lt;="&amp;FINANCIACION[[#This Row],[Fecha]],FINANCIACION[PRESTAMO],FINANCIACION[[#This Row],[PRESTAMO]])</f>
        <v>-140000000</v>
      </c>
      <c r="G615" s="140"/>
      <c r="H615" s="141"/>
      <c r="I615" s="142"/>
      <c r="J615" s="140" t="b">
        <f>+IF(FINANCIACION[[#This Row],[$ CAPITAL]]&gt;0,FINANCIACION[[#This Row],[$ CAPITAL]])</f>
        <v>0</v>
      </c>
      <c r="K615" s="143">
        <f>+IF(FINANCIACION[[#This Row],[$ CAPITAL]]&gt;=0,FINANCIACION[[#This Row],[$ CAPITAL]]+FINANCIACION[[#This Row],[$ INTERESES]],0)</f>
        <v>1400000</v>
      </c>
    </row>
    <row r="616" spans="1:11" ht="24" customHeight="1" x14ac:dyDescent="0.25">
      <c r="A616" s="138">
        <v>45468</v>
      </c>
      <c r="B616" s="139" t="s">
        <v>250</v>
      </c>
      <c r="C616" s="140">
        <v>4167000</v>
      </c>
      <c r="D616" s="140">
        <v>510276</v>
      </c>
      <c r="E616" s="140">
        <f>+IF(FINANCIACION[[#This Row],[$ CAPITAL]]&gt;=0,FINANCIACION[[#This Row],[$ CAPITAL]]+FINANCIACION[[#This Row],[$ INTERESES]],"")</f>
        <v>4677276</v>
      </c>
      <c r="F616" s="140">
        <f>+SUMIFS(FINANCIACION[$ CAPITAL],FINANCIACION[Fecha],"&lt;="&amp;FINANCIACION[[#This Row],[Fecha]],FINANCIACION[PRESTAMO],FINANCIACION[[#This Row],[PRESTAMO]])</f>
        <v>-33332000</v>
      </c>
      <c r="G616" s="140"/>
      <c r="H616" s="141"/>
      <c r="I616" s="142"/>
      <c r="J616" s="140">
        <f>+IF(FINANCIACION[[#This Row],[$ CAPITAL]]&gt;0,FINANCIACION[[#This Row],[$ CAPITAL]])</f>
        <v>4167000</v>
      </c>
      <c r="K616" s="143">
        <f>+IF(FINANCIACION[[#This Row],[$ CAPITAL]]&gt;=0,FINANCIACION[[#This Row],[$ CAPITAL]]+FINANCIACION[[#This Row],[$ INTERESES]],0)</f>
        <v>4677276</v>
      </c>
    </row>
    <row r="617" spans="1:11" ht="24" customHeight="1" x14ac:dyDescent="0.25">
      <c r="A617" s="138">
        <v>45468</v>
      </c>
      <c r="B617" s="139" t="s">
        <v>239</v>
      </c>
      <c r="C617" s="140">
        <v>1481481.48</v>
      </c>
      <c r="D617" s="140">
        <v>540518.52</v>
      </c>
      <c r="E617" s="140">
        <f>+IF(FINANCIACION[[#This Row],[$ CAPITAL]]&gt;=0,FINANCIACION[[#This Row],[$ CAPITAL]]+FINANCIACION[[#This Row],[$ INTERESES]],"")</f>
        <v>2022000</v>
      </c>
      <c r="F617" s="140">
        <f>+SUMIFS(FINANCIACION[$ CAPITAL],FINANCIACION[Fecha],"&lt;="&amp;FINANCIACION[[#This Row],[Fecha]],FINANCIACION[PRESTAMO],FINANCIACION[[#This Row],[PRESTAMO]])</f>
        <v>-43065172.050000004</v>
      </c>
      <c r="G617" s="140"/>
      <c r="H617" s="141"/>
      <c r="I617" s="142"/>
      <c r="J617" s="140">
        <f>+IF(FINANCIACION[[#This Row],[$ CAPITAL]]&gt;0,FINANCIACION[[#This Row],[$ CAPITAL]])</f>
        <v>1481481.48</v>
      </c>
      <c r="K617" s="143">
        <f>+IF(FINANCIACION[[#This Row],[$ CAPITAL]]&gt;=0,FINANCIACION[[#This Row],[$ CAPITAL]]+FINANCIACION[[#This Row],[$ INTERESES]],0)</f>
        <v>2022000</v>
      </c>
    </row>
    <row r="618" spans="1:11" ht="24" customHeight="1" x14ac:dyDescent="0.25">
      <c r="A618" s="138">
        <v>45473</v>
      </c>
      <c r="B618" s="139" t="s">
        <v>236</v>
      </c>
      <c r="C618" s="140">
        <v>-434500</v>
      </c>
      <c r="D618" s="140"/>
      <c r="E618" s="140" t="str">
        <f>+IF(FINANCIACION[[#This Row],[$ CAPITAL]]&gt;=0,FINANCIACION[[#This Row],[$ CAPITAL]]+FINANCIACION[[#This Row],[$ INTERESES]],"")</f>
        <v/>
      </c>
      <c r="F618" s="140">
        <f>+SUMIFS(FINANCIACION[$ CAPITAL],FINANCIACION[Fecha],"&lt;="&amp;FINANCIACION[[#This Row],[Fecha]],FINANCIACION[PRESTAMO],FINANCIACION[[#This Row],[PRESTAMO]])</f>
        <v>-38089000</v>
      </c>
      <c r="G618" s="140"/>
      <c r="H618" s="141" t="s">
        <v>963</v>
      </c>
      <c r="I618" s="142"/>
      <c r="J618" s="140" t="b">
        <f>+IF(FINANCIACION[[#This Row],[$ CAPITAL]]&gt;0,FINANCIACION[[#This Row],[$ CAPITAL]])</f>
        <v>0</v>
      </c>
      <c r="K618" s="143">
        <f>+IF(FINANCIACION[[#This Row],[$ CAPITAL]]&gt;=0,FINANCIACION[[#This Row],[$ CAPITAL]]+FINANCIACION[[#This Row],[$ INTERESES]],0)</f>
        <v>0</v>
      </c>
    </row>
    <row r="619" spans="1:11" ht="24" customHeight="1" x14ac:dyDescent="0.25">
      <c r="A619" s="138">
        <v>45473</v>
      </c>
      <c r="B619" s="139" t="s">
        <v>238</v>
      </c>
      <c r="C619" s="140">
        <v>-91651</v>
      </c>
      <c r="D619" s="140"/>
      <c r="E619" s="140" t="str">
        <f>+IF(FINANCIACION[[#This Row],[$ CAPITAL]]&gt;=0,FINANCIACION[[#This Row],[$ CAPITAL]]+FINANCIACION[[#This Row],[$ INTERESES]],"")</f>
        <v/>
      </c>
      <c r="F619" s="140">
        <f>+SUMIFS(FINANCIACION[$ CAPITAL],FINANCIACION[Fecha],"&lt;="&amp;FINANCIACION[[#This Row],[Fecha]],FINANCIACION[PRESTAMO],FINANCIACION[[#This Row],[PRESTAMO]])</f>
        <v>-1872166</v>
      </c>
      <c r="G619" s="140"/>
      <c r="H619" s="141" t="s">
        <v>72</v>
      </c>
      <c r="I619" s="142"/>
      <c r="J619" s="140" t="b">
        <f>+IF(FINANCIACION[[#This Row],[$ CAPITAL]]&gt;0,FINANCIACION[[#This Row],[$ CAPITAL]])</f>
        <v>0</v>
      </c>
      <c r="K619" s="143">
        <f>+IF(FINANCIACION[[#This Row],[$ CAPITAL]]&gt;=0,FINANCIACION[[#This Row],[$ CAPITAL]]+FINANCIACION[[#This Row],[$ INTERESES]],0)</f>
        <v>0</v>
      </c>
    </row>
    <row r="620" spans="1:11" ht="24" customHeight="1" x14ac:dyDescent="0.25">
      <c r="A620" s="138">
        <v>45473</v>
      </c>
      <c r="B620" s="139" t="s">
        <v>237</v>
      </c>
      <c r="C620" s="140">
        <v>-20466613</v>
      </c>
      <c r="D620" s="140"/>
      <c r="E620" s="140" t="str">
        <f>+IF(FINANCIACION[[#This Row],[$ CAPITAL]]&gt;=0,FINANCIACION[[#This Row],[$ CAPITAL]]+FINANCIACION[[#This Row],[$ INTERESES]],"")</f>
        <v/>
      </c>
      <c r="F620" s="140">
        <f>+SUMIFS(FINANCIACION[$ CAPITAL],FINANCIACION[Fecha],"&lt;="&amp;FINANCIACION[[#This Row],[Fecha]],FINANCIACION[PRESTAMO],FINANCIACION[[#This Row],[PRESTAMO]])</f>
        <v>-55777343</v>
      </c>
      <c r="G620" s="140"/>
      <c r="H620" s="141" t="s">
        <v>72</v>
      </c>
      <c r="I620" s="142"/>
      <c r="J620" s="140" t="b">
        <f>+IF(FINANCIACION[[#This Row],[$ CAPITAL]]&gt;0,FINANCIACION[[#This Row],[$ CAPITAL]])</f>
        <v>0</v>
      </c>
      <c r="K620" s="143">
        <f>+IF(FINANCIACION[[#This Row],[$ CAPITAL]]&gt;=0,FINANCIACION[[#This Row],[$ CAPITAL]]+FINANCIACION[[#This Row],[$ INTERESES]],0)</f>
        <v>0</v>
      </c>
    </row>
    <row r="621" spans="1:11" ht="24" customHeight="1" x14ac:dyDescent="0.25">
      <c r="A621" s="138">
        <v>45475</v>
      </c>
      <c r="B621" s="139" t="s">
        <v>218</v>
      </c>
      <c r="C621" s="140">
        <v>3998742</v>
      </c>
      <c r="D621" s="140"/>
      <c r="E621" s="140">
        <f>+IF(FINANCIACION[[#This Row],[$ CAPITAL]]&gt;=0,FINANCIACION[[#This Row],[$ CAPITAL]]+FINANCIACION[[#This Row],[$ INTERESES]],"")</f>
        <v>3998742</v>
      </c>
      <c r="F621" s="140">
        <f>+SUMIFS(FINANCIACION[$ CAPITAL],FINANCIACION[Fecha],"&lt;="&amp;FINANCIACION[[#This Row],[Fecha]],FINANCIACION[PRESTAMO],FINANCIACION[[#This Row],[PRESTAMO]])</f>
        <v>-72227426</v>
      </c>
      <c r="G621" s="140"/>
      <c r="H621" s="141" t="s">
        <v>950</v>
      </c>
      <c r="I621" s="142"/>
      <c r="J621" s="140">
        <f>+IF(FINANCIACION[[#This Row],[$ CAPITAL]]&gt;0,FINANCIACION[[#This Row],[$ CAPITAL]])</f>
        <v>3998742</v>
      </c>
      <c r="K621" s="143">
        <f>+IF(FINANCIACION[[#This Row],[$ CAPITAL]]&gt;=0,FINANCIACION[[#This Row],[$ CAPITAL]]+FINANCIACION[[#This Row],[$ INTERESES]],0)</f>
        <v>3998742</v>
      </c>
    </row>
    <row r="622" spans="1:11" ht="24" customHeight="1" x14ac:dyDescent="0.25">
      <c r="A622" s="138">
        <v>45475</v>
      </c>
      <c r="B622" s="139" t="s">
        <v>237</v>
      </c>
      <c r="C622" s="140">
        <v>19000000</v>
      </c>
      <c r="D622" s="140"/>
      <c r="E622" s="140">
        <f>+IF(FINANCIACION[[#This Row],[$ CAPITAL]]&gt;=0,FINANCIACION[[#This Row],[$ CAPITAL]]+FINANCIACION[[#This Row],[$ INTERESES]],"")</f>
        <v>19000000</v>
      </c>
      <c r="F622" s="140">
        <f>+SUMIFS(FINANCIACION[$ CAPITAL],FINANCIACION[Fecha],"&lt;="&amp;FINANCIACION[[#This Row],[Fecha]],FINANCIACION[PRESTAMO],FINANCIACION[[#This Row],[PRESTAMO]])</f>
        <v>-36777343</v>
      </c>
      <c r="G622" s="140"/>
      <c r="H622" s="141"/>
      <c r="I622" s="142"/>
      <c r="J622" s="140">
        <f>+IF(FINANCIACION[[#This Row],[$ CAPITAL]]&gt;0,FINANCIACION[[#This Row],[$ CAPITAL]])</f>
        <v>19000000</v>
      </c>
      <c r="K622" s="143">
        <f>+IF(FINANCIACION[[#This Row],[$ CAPITAL]]&gt;=0,FINANCIACION[[#This Row],[$ CAPITAL]]+FINANCIACION[[#This Row],[$ INTERESES]],0)</f>
        <v>19000000</v>
      </c>
    </row>
    <row r="623" spans="1:11" ht="24" customHeight="1" x14ac:dyDescent="0.25">
      <c r="A623" s="138">
        <v>45476</v>
      </c>
      <c r="B623" s="139" t="s">
        <v>238</v>
      </c>
      <c r="C623" s="140">
        <v>112154</v>
      </c>
      <c r="D623" s="140"/>
      <c r="E623" s="140">
        <f>+IF(FINANCIACION[[#This Row],[$ CAPITAL]]&gt;=0,FINANCIACION[[#This Row],[$ CAPITAL]]+FINANCIACION[[#This Row],[$ INTERESES]],"")</f>
        <v>112154</v>
      </c>
      <c r="F623" s="140">
        <f>+SUMIFS(FINANCIACION[$ CAPITAL],FINANCIACION[Fecha],"&lt;="&amp;FINANCIACION[[#This Row],[Fecha]],FINANCIACION[PRESTAMO],FINANCIACION[[#This Row],[PRESTAMO]])</f>
        <v>-1760012</v>
      </c>
      <c r="G623" s="140"/>
      <c r="H623" s="141"/>
      <c r="I623" s="142"/>
      <c r="J623" s="140">
        <f>+IF(FINANCIACION[[#This Row],[$ CAPITAL]]&gt;0,FINANCIACION[[#This Row],[$ CAPITAL]])</f>
        <v>112154</v>
      </c>
      <c r="K623" s="143">
        <f>+IF(FINANCIACION[[#This Row],[$ CAPITAL]]&gt;=0,FINANCIACION[[#This Row],[$ CAPITAL]]+FINANCIACION[[#This Row],[$ INTERESES]],0)</f>
        <v>112154</v>
      </c>
    </row>
    <row r="624" spans="1:11" ht="24" customHeight="1" x14ac:dyDescent="0.25">
      <c r="A624" s="138">
        <v>45477</v>
      </c>
      <c r="B624" s="139" t="s">
        <v>236</v>
      </c>
      <c r="C624" s="140">
        <v>2867263</v>
      </c>
      <c r="D624" s="140"/>
      <c r="E624" s="140">
        <f>+IF(FINANCIACION[[#This Row],[$ CAPITAL]]&gt;=0,FINANCIACION[[#This Row],[$ CAPITAL]]+FINANCIACION[[#This Row],[$ INTERESES]],"")</f>
        <v>2867263</v>
      </c>
      <c r="F624" s="140">
        <f>+SUMIFS(FINANCIACION[$ CAPITAL],FINANCIACION[Fecha],"&lt;="&amp;FINANCIACION[[#This Row],[Fecha]],FINANCIACION[PRESTAMO],FINANCIACION[[#This Row],[PRESTAMO]])</f>
        <v>-35221737</v>
      </c>
      <c r="G624" s="140"/>
      <c r="H624" s="141"/>
      <c r="I624" s="142"/>
      <c r="J624" s="140">
        <f>+IF(FINANCIACION[[#This Row],[$ CAPITAL]]&gt;0,FINANCIACION[[#This Row],[$ CAPITAL]])</f>
        <v>2867263</v>
      </c>
      <c r="K624" s="143">
        <f>+IF(FINANCIACION[[#This Row],[$ CAPITAL]]&gt;=0,FINANCIACION[[#This Row],[$ CAPITAL]]+FINANCIACION[[#This Row],[$ INTERESES]],0)</f>
        <v>2867263</v>
      </c>
    </row>
    <row r="625" spans="1:11" ht="24" customHeight="1" x14ac:dyDescent="0.25">
      <c r="A625" s="138">
        <v>45478</v>
      </c>
      <c r="B625" s="139" t="s">
        <v>908</v>
      </c>
      <c r="C625" s="140">
        <v>-85867698</v>
      </c>
      <c r="D625" s="140"/>
      <c r="E625" s="140" t="str">
        <f>+IF(FINANCIACION[[#This Row],[$ CAPITAL]]&gt;=0,FINANCIACION[[#This Row],[$ CAPITAL]]+FINANCIACION[[#This Row],[$ INTERESES]],"")</f>
        <v/>
      </c>
      <c r="F625" s="140">
        <f>+SUMIFS(FINANCIACION[$ CAPITAL],FINANCIACION[Fecha],"&lt;="&amp;FINANCIACION[[#This Row],[Fecha]],FINANCIACION[PRESTAMO],FINANCIACION[[#This Row],[PRESTAMO]])</f>
        <v>-85867698</v>
      </c>
      <c r="G625" s="140"/>
      <c r="H625" s="141" t="s">
        <v>946</v>
      </c>
      <c r="I625" s="142">
        <v>20444.689999999999</v>
      </c>
      <c r="J625" s="140" t="b">
        <f>+IF(FINANCIACION[[#This Row],[$ CAPITAL]]&gt;0,FINANCIACION[[#This Row],[$ CAPITAL]])</f>
        <v>0</v>
      </c>
      <c r="K625" s="143">
        <f>+IF(FINANCIACION[[#This Row],[$ CAPITAL]]&gt;=0,FINANCIACION[[#This Row],[$ CAPITAL]]+FINANCIACION[[#This Row],[$ INTERESES]],0)</f>
        <v>0</v>
      </c>
    </row>
    <row r="626" spans="1:11" ht="24" customHeight="1" x14ac:dyDescent="0.25">
      <c r="A626" s="138">
        <v>45478</v>
      </c>
      <c r="B626" s="139" t="s">
        <v>218</v>
      </c>
      <c r="C626" s="140">
        <v>-50000000</v>
      </c>
      <c r="D626" s="140"/>
      <c r="E626" s="140" t="str">
        <f>+IF(FINANCIACION[[#This Row],[$ CAPITAL]]&gt;=0,FINANCIACION[[#This Row],[$ CAPITAL]]+FINANCIACION[[#This Row],[$ INTERESES]],"")</f>
        <v/>
      </c>
      <c r="F626" s="140">
        <f>+SUMIFS(FINANCIACION[$ CAPITAL],FINANCIACION[Fecha],"&lt;="&amp;FINANCIACION[[#This Row],[Fecha]],FINANCIACION[PRESTAMO],FINANCIACION[[#This Row],[PRESTAMO]])</f>
        <v>-122227426</v>
      </c>
      <c r="G626" s="140"/>
      <c r="H626" s="141" t="s">
        <v>951</v>
      </c>
      <c r="I626" s="142"/>
      <c r="J626" s="140" t="b">
        <f>+IF(FINANCIACION[[#This Row],[$ CAPITAL]]&gt;0,FINANCIACION[[#This Row],[$ CAPITAL]])</f>
        <v>0</v>
      </c>
      <c r="K626" s="143">
        <f>+IF(FINANCIACION[[#This Row],[$ CAPITAL]]&gt;=0,FINANCIACION[[#This Row],[$ CAPITAL]]+FINANCIACION[[#This Row],[$ INTERESES]],0)</f>
        <v>0</v>
      </c>
    </row>
    <row r="627" spans="1:11" ht="24" customHeight="1" x14ac:dyDescent="0.25">
      <c r="A627" s="138">
        <v>45481</v>
      </c>
      <c r="B627" s="139" t="s">
        <v>143</v>
      </c>
      <c r="C627" s="140">
        <v>15000000</v>
      </c>
      <c r="D627" s="140">
        <v>350000</v>
      </c>
      <c r="E627" s="140">
        <f>+IF(FINANCIACION[[#This Row],[$ CAPITAL]]&gt;=0,FINANCIACION[[#This Row],[$ CAPITAL]]+FINANCIACION[[#This Row],[$ INTERESES]],"")</f>
        <v>15350000</v>
      </c>
      <c r="F627" s="140">
        <f>+SUMIFS(FINANCIACION[$ CAPITAL],FINANCIACION[Fecha],"&lt;="&amp;FINANCIACION[[#This Row],[Fecha]],FINANCIACION[PRESTAMO],FINANCIACION[[#This Row],[PRESTAMO]])</f>
        <v>-20000000</v>
      </c>
      <c r="G627" s="140"/>
      <c r="H627" s="141" t="s">
        <v>924</v>
      </c>
      <c r="I627" s="142"/>
      <c r="J627" s="140">
        <f>+IF(FINANCIACION[[#This Row],[$ CAPITAL]]&gt;0,FINANCIACION[[#This Row],[$ CAPITAL]])</f>
        <v>15000000</v>
      </c>
      <c r="K627" s="143">
        <f>+IF(FINANCIACION[[#This Row],[$ CAPITAL]]&gt;=0,FINANCIACION[[#This Row],[$ CAPITAL]]+FINANCIACION[[#This Row],[$ INTERESES]],0)</f>
        <v>15350000</v>
      </c>
    </row>
    <row r="628" spans="1:11" ht="24" customHeight="1" x14ac:dyDescent="0.25">
      <c r="A628" s="138">
        <v>45482</v>
      </c>
      <c r="B628" s="139" t="s">
        <v>141</v>
      </c>
      <c r="C628" s="140"/>
      <c r="D628" s="140">
        <v>130000</v>
      </c>
      <c r="E628" s="140">
        <f>+IF(FINANCIACION[[#This Row],[$ CAPITAL]]&gt;=0,FINANCIACION[[#This Row],[$ CAPITAL]]+FINANCIACION[[#This Row],[$ INTERESES]],"")</f>
        <v>130000</v>
      </c>
      <c r="F628" s="140">
        <f>+SUMIFS(FINANCIACION[$ CAPITAL],FINANCIACION[Fecha],"&lt;="&amp;FINANCIACION[[#This Row],[Fecha]],FINANCIACION[PRESTAMO],FINANCIACION[[#This Row],[PRESTAMO]])</f>
        <v>-13000000</v>
      </c>
      <c r="G628" s="140"/>
      <c r="H628" s="141"/>
      <c r="I628" s="142"/>
      <c r="J628" s="140" t="b">
        <f>+IF(FINANCIACION[[#This Row],[$ CAPITAL]]&gt;0,FINANCIACION[[#This Row],[$ CAPITAL]])</f>
        <v>0</v>
      </c>
      <c r="K628" s="143">
        <f>+IF(FINANCIACION[[#This Row],[$ CAPITAL]]&gt;=0,FINANCIACION[[#This Row],[$ CAPITAL]]+FINANCIACION[[#This Row],[$ INTERESES]],0)</f>
        <v>130000</v>
      </c>
    </row>
    <row r="629" spans="1:11" ht="24" customHeight="1" x14ac:dyDescent="0.25">
      <c r="A629" s="138">
        <v>45482</v>
      </c>
      <c r="B629" s="139" t="s">
        <v>219</v>
      </c>
      <c r="C629" s="140"/>
      <c r="D629" s="140">
        <v>700000</v>
      </c>
      <c r="E629" s="140">
        <f>+IF(FINANCIACION[[#This Row],[$ CAPITAL]]&gt;=0,FINANCIACION[[#This Row],[$ CAPITAL]]+FINANCIACION[[#This Row],[$ INTERESES]],"")</f>
        <v>700000</v>
      </c>
      <c r="F629" s="140">
        <f>+SUMIFS(FINANCIACION[$ CAPITAL],FINANCIACION[Fecha],"&lt;="&amp;FINANCIACION[[#This Row],[Fecha]],FINANCIACION[PRESTAMO],FINANCIACION[[#This Row],[PRESTAMO]])</f>
        <v>-195000000</v>
      </c>
      <c r="G629" s="140"/>
      <c r="H629" s="141"/>
      <c r="I629" s="142"/>
      <c r="J629" s="140" t="b">
        <f>+IF(FINANCIACION[[#This Row],[$ CAPITAL]]&gt;0,FINANCIACION[[#This Row],[$ CAPITAL]])</f>
        <v>0</v>
      </c>
      <c r="K629" s="143">
        <f>+IF(FINANCIACION[[#This Row],[$ CAPITAL]]&gt;=0,FINANCIACION[[#This Row],[$ CAPITAL]]+FINANCIACION[[#This Row],[$ INTERESES]],0)</f>
        <v>700000</v>
      </c>
    </row>
    <row r="630" spans="1:11" ht="24" customHeight="1" x14ac:dyDescent="0.25">
      <c r="A630" s="138">
        <v>45482</v>
      </c>
      <c r="B630" s="139" t="s">
        <v>135</v>
      </c>
      <c r="C630" s="140">
        <v>747026.9</v>
      </c>
      <c r="D630" s="140">
        <v>252973.1</v>
      </c>
      <c r="E630" s="140">
        <f>+IF(FINANCIACION[[#This Row],[$ CAPITAL]]&gt;=0,FINANCIACION[[#This Row],[$ CAPITAL]]+FINANCIACION[[#This Row],[$ INTERESES]],"")</f>
        <v>1000000</v>
      </c>
      <c r="F630" s="140">
        <f>+SUMIFS(FINANCIACION[$ CAPITAL],FINANCIACION[Fecha],"&lt;="&amp;FINANCIACION[[#This Row],[Fecha]],FINANCIACION[PRESTAMO],FINANCIACION[[#This Row],[PRESTAMO]])</f>
        <v>-24550282.769624799</v>
      </c>
      <c r="G630" s="140"/>
      <c r="H630" s="141"/>
      <c r="I630" s="142"/>
      <c r="J630" s="140">
        <f>+IF(FINANCIACION[[#This Row],[$ CAPITAL]]&gt;0,FINANCIACION[[#This Row],[$ CAPITAL]])</f>
        <v>747026.9</v>
      </c>
      <c r="K630" s="143">
        <f>+IF(FINANCIACION[[#This Row],[$ CAPITAL]]&gt;=0,FINANCIACION[[#This Row],[$ CAPITAL]]+FINANCIACION[[#This Row],[$ INTERESES]],0)</f>
        <v>1000000</v>
      </c>
    </row>
    <row r="631" spans="1:11" ht="24" customHeight="1" x14ac:dyDescent="0.25">
      <c r="A631" s="138">
        <v>45482</v>
      </c>
      <c r="B631" s="139" t="s">
        <v>138</v>
      </c>
      <c r="C631" s="140">
        <v>1263719.68</v>
      </c>
      <c r="D631" s="140">
        <v>36280.32</v>
      </c>
      <c r="E631" s="140">
        <f>+IF(FINANCIACION[[#This Row],[$ CAPITAL]]&gt;=0,FINANCIACION[[#This Row],[$ CAPITAL]]+FINANCIACION[[#This Row],[$ INTERESES]],"")</f>
        <v>1300000</v>
      </c>
      <c r="F631" s="140">
        <f>+SUMIFS(FINANCIACION[$ CAPITAL],FINANCIACION[Fecha],"&lt;="&amp;FINANCIACION[[#This Row],[Fecha]],FINANCIACION[PRESTAMO],FINANCIACION[[#This Row],[PRESTAMO]])</f>
        <v>-2364312.7122773472</v>
      </c>
      <c r="G631" s="140"/>
      <c r="H631" s="141"/>
      <c r="I631" s="142"/>
      <c r="J631" s="140">
        <f>+IF(FINANCIACION[[#This Row],[$ CAPITAL]]&gt;0,FINANCIACION[[#This Row],[$ CAPITAL]])</f>
        <v>1263719.68</v>
      </c>
      <c r="K631" s="143">
        <f>+IF(FINANCIACION[[#This Row],[$ CAPITAL]]&gt;=0,FINANCIACION[[#This Row],[$ CAPITAL]]+FINANCIACION[[#This Row],[$ INTERESES]],0)</f>
        <v>1300000</v>
      </c>
    </row>
    <row r="632" spans="1:11" ht="24" customHeight="1" x14ac:dyDescent="0.25">
      <c r="A632" s="138">
        <v>45482</v>
      </c>
      <c r="B632" s="139" t="s">
        <v>136</v>
      </c>
      <c r="C632" s="140">
        <v>1694151.49</v>
      </c>
      <c r="D632" s="140">
        <v>305848.51</v>
      </c>
      <c r="E632" s="140">
        <f>+IF(FINANCIACION[[#This Row],[$ CAPITAL]]&gt;=0,FINANCIACION[[#This Row],[$ CAPITAL]]+FINANCIACION[[#This Row],[$ INTERESES]],"")</f>
        <v>2000000</v>
      </c>
      <c r="F632" s="140">
        <f>+SUMIFS(FINANCIACION[$ CAPITAL],FINANCIACION[Fecha],"&lt;="&amp;FINANCIACION[[#This Row],[Fecha]],FINANCIACION[PRESTAMO],FINANCIACION[[#This Row],[PRESTAMO]])</f>
        <v>-28890699.382562868</v>
      </c>
      <c r="G632" s="140"/>
      <c r="H632" s="141"/>
      <c r="I632" s="142"/>
      <c r="J632" s="140">
        <f>+IF(FINANCIACION[[#This Row],[$ CAPITAL]]&gt;0,FINANCIACION[[#This Row],[$ CAPITAL]])</f>
        <v>1694151.49</v>
      </c>
      <c r="K632" s="143">
        <f>+IF(FINANCIACION[[#This Row],[$ CAPITAL]]&gt;=0,FINANCIACION[[#This Row],[$ CAPITAL]]+FINANCIACION[[#This Row],[$ INTERESES]],0)</f>
        <v>2000000</v>
      </c>
    </row>
    <row r="633" spans="1:11" ht="24" customHeight="1" x14ac:dyDescent="0.25">
      <c r="A633" s="138">
        <v>45489</v>
      </c>
      <c r="B633" s="139" t="s">
        <v>236</v>
      </c>
      <c r="C633" s="140">
        <v>19742050</v>
      </c>
      <c r="D633" s="140"/>
      <c r="E633" s="140">
        <f>+IF(FINANCIACION[[#This Row],[$ CAPITAL]]&gt;=0,FINANCIACION[[#This Row],[$ CAPITAL]]+FINANCIACION[[#This Row],[$ INTERESES]],"")</f>
        <v>19742050</v>
      </c>
      <c r="F633" s="140">
        <f>+SUMIFS(FINANCIACION[$ CAPITAL],FINANCIACION[Fecha],"&lt;="&amp;FINANCIACION[[#This Row],[Fecha]],FINANCIACION[PRESTAMO],FINANCIACION[[#This Row],[PRESTAMO]])</f>
        <v>-15479687</v>
      </c>
      <c r="G633" s="140"/>
      <c r="H633" s="141" t="s">
        <v>964</v>
      </c>
      <c r="I633" s="142"/>
      <c r="J633" s="140">
        <f>+IF(FINANCIACION[[#This Row],[$ CAPITAL]]&gt;0,FINANCIACION[[#This Row],[$ CAPITAL]])</f>
        <v>19742050</v>
      </c>
      <c r="K633" s="143">
        <f>+IF(FINANCIACION[[#This Row],[$ CAPITAL]]&gt;=0,FINANCIACION[[#This Row],[$ CAPITAL]]+FINANCIACION[[#This Row],[$ INTERESES]],0)</f>
        <v>19742050</v>
      </c>
    </row>
    <row r="634" spans="1:11" ht="24" customHeight="1" x14ac:dyDescent="0.25">
      <c r="A634" s="138">
        <v>45491</v>
      </c>
      <c r="B634" s="139" t="s">
        <v>137</v>
      </c>
      <c r="C634" s="140">
        <v>5536827</v>
      </c>
      <c r="D634" s="140">
        <v>1463173</v>
      </c>
      <c r="E634" s="140">
        <f>+IF(FINANCIACION[[#This Row],[$ CAPITAL]]&gt;=0,FINANCIACION[[#This Row],[$ CAPITAL]]+FINANCIACION[[#This Row],[$ INTERESES]],"")</f>
        <v>7000000</v>
      </c>
      <c r="F634" s="140">
        <f>+SUMIFS(FINANCIACION[$ CAPITAL],FINANCIACION[Fecha],"&lt;="&amp;FINANCIACION[[#This Row],[Fecha]],FINANCIACION[PRESTAMO],FINANCIACION[[#This Row],[PRESTAMO]])</f>
        <v>-70927030</v>
      </c>
      <c r="G634" s="140"/>
      <c r="H634" s="141" t="s">
        <v>953</v>
      </c>
      <c r="I634" s="142"/>
      <c r="J634" s="140">
        <f>+IF(FINANCIACION[[#This Row],[$ CAPITAL]]&gt;0,FINANCIACION[[#This Row],[$ CAPITAL]])</f>
        <v>5536827</v>
      </c>
      <c r="K634" s="143">
        <f>+IF(FINANCIACION[[#This Row],[$ CAPITAL]]&gt;=0,FINANCIACION[[#This Row],[$ CAPITAL]]+FINANCIACION[[#This Row],[$ INTERESES]],0)</f>
        <v>7000000</v>
      </c>
    </row>
    <row r="635" spans="1:11" ht="24" customHeight="1" x14ac:dyDescent="0.25">
      <c r="A635" s="138">
        <v>45495</v>
      </c>
      <c r="B635" s="139" t="s">
        <v>219</v>
      </c>
      <c r="C635" s="140"/>
      <c r="D635" s="140">
        <v>1500000</v>
      </c>
      <c r="E635" s="140">
        <f>+IF(FINANCIACION[[#This Row],[$ CAPITAL]]&gt;=0,FINANCIACION[[#This Row],[$ CAPITAL]]+FINANCIACION[[#This Row],[$ INTERESES]],"")</f>
        <v>1500000</v>
      </c>
      <c r="F635" s="140">
        <f>+SUMIFS(FINANCIACION[$ CAPITAL],FINANCIACION[Fecha],"&lt;="&amp;FINANCIACION[[#This Row],[Fecha]],FINANCIACION[PRESTAMO],FINANCIACION[[#This Row],[PRESTAMO]])</f>
        <v>-195000000</v>
      </c>
      <c r="G635" s="140"/>
      <c r="H635" s="141"/>
      <c r="I635" s="142"/>
      <c r="J635" s="140" t="b">
        <f>+IF(FINANCIACION[[#This Row],[$ CAPITAL]]&gt;0,FINANCIACION[[#This Row],[$ CAPITAL]])</f>
        <v>0</v>
      </c>
      <c r="K635" s="143">
        <f>+IF(FINANCIACION[[#This Row],[$ CAPITAL]]&gt;=0,FINANCIACION[[#This Row],[$ CAPITAL]]+FINANCIACION[[#This Row],[$ INTERESES]],0)</f>
        <v>1500000</v>
      </c>
    </row>
    <row r="636" spans="1:11" ht="24" customHeight="1" x14ac:dyDescent="0.25">
      <c r="A636" s="138">
        <v>45495</v>
      </c>
      <c r="B636" s="139" t="s">
        <v>233</v>
      </c>
      <c r="C636" s="140">
        <v>2778000</v>
      </c>
      <c r="D636" s="140">
        <v>1178801</v>
      </c>
      <c r="E636" s="140">
        <f>+IF(FINANCIACION[[#This Row],[$ CAPITAL]]&gt;=0,FINANCIACION[[#This Row],[$ CAPITAL]]+FINANCIACION[[#This Row],[$ INTERESES]],"")</f>
        <v>3956801</v>
      </c>
      <c r="F636" s="140">
        <f>+SUMIFS(FINANCIACION[$ CAPITAL],FINANCIACION[Fecha],"&lt;="&amp;FINANCIACION[[#This Row],[Fecha]],FINANCIACION[PRESTAMO],FINANCIACION[[#This Row],[PRESTAMO]])</f>
        <v>-80554000</v>
      </c>
      <c r="G636" s="140"/>
      <c r="H636" s="141"/>
      <c r="I636" s="142"/>
      <c r="J636" s="140">
        <f>+IF(FINANCIACION[[#This Row],[$ CAPITAL]]&gt;0,FINANCIACION[[#This Row],[$ CAPITAL]])</f>
        <v>2778000</v>
      </c>
      <c r="K636" s="143">
        <f>+IF(FINANCIACION[[#This Row],[$ CAPITAL]]&gt;=0,FINANCIACION[[#This Row],[$ CAPITAL]]+FINANCIACION[[#This Row],[$ INTERESES]],0)</f>
        <v>3956801</v>
      </c>
    </row>
    <row r="637" spans="1:11" ht="24" customHeight="1" x14ac:dyDescent="0.25">
      <c r="A637" s="138">
        <v>45497</v>
      </c>
      <c r="B637" s="139" t="s">
        <v>146</v>
      </c>
      <c r="C637" s="140"/>
      <c r="D637" s="140">
        <v>1400000</v>
      </c>
      <c r="E637" s="140">
        <f>+IF(FINANCIACION[[#This Row],[$ CAPITAL]]&gt;=0,FINANCIACION[[#This Row],[$ CAPITAL]]+FINANCIACION[[#This Row],[$ INTERESES]],"")</f>
        <v>1400000</v>
      </c>
      <c r="F637" s="140">
        <f>+SUMIFS(FINANCIACION[$ CAPITAL],FINANCIACION[Fecha],"&lt;="&amp;FINANCIACION[[#This Row],[Fecha]],FINANCIACION[PRESTAMO],FINANCIACION[[#This Row],[PRESTAMO]])</f>
        <v>-140000000</v>
      </c>
      <c r="G637" s="140"/>
      <c r="H637" s="141"/>
      <c r="I637" s="142"/>
      <c r="J637" s="140" t="b">
        <f>+IF(FINANCIACION[[#This Row],[$ CAPITAL]]&gt;0,FINANCIACION[[#This Row],[$ CAPITAL]])</f>
        <v>0</v>
      </c>
      <c r="K637" s="143">
        <f>+IF(FINANCIACION[[#This Row],[$ CAPITAL]]&gt;=0,FINANCIACION[[#This Row],[$ CAPITAL]]+FINANCIACION[[#This Row],[$ INTERESES]],0)</f>
        <v>1400000</v>
      </c>
    </row>
    <row r="638" spans="1:11" ht="24" customHeight="1" x14ac:dyDescent="0.25">
      <c r="A638" s="138">
        <v>45498</v>
      </c>
      <c r="B638" s="139" t="s">
        <v>250</v>
      </c>
      <c r="C638" s="140">
        <v>4167000</v>
      </c>
      <c r="D638" s="140">
        <v>452888</v>
      </c>
      <c r="E638" s="140">
        <f>+IF(FINANCIACION[[#This Row],[$ CAPITAL]]&gt;=0,FINANCIACION[[#This Row],[$ CAPITAL]]+FINANCIACION[[#This Row],[$ INTERESES]],"")</f>
        <v>4619888</v>
      </c>
      <c r="F638" s="140">
        <f>+SUMIFS(FINANCIACION[$ CAPITAL],FINANCIACION[Fecha],"&lt;="&amp;FINANCIACION[[#This Row],[Fecha]],FINANCIACION[PRESTAMO],FINANCIACION[[#This Row],[PRESTAMO]])</f>
        <v>-29165000</v>
      </c>
      <c r="G638" s="140"/>
      <c r="H638" s="141"/>
      <c r="I638" s="142"/>
      <c r="J638" s="140">
        <f>+IF(FINANCIACION[[#This Row],[$ CAPITAL]]&gt;0,FINANCIACION[[#This Row],[$ CAPITAL]])</f>
        <v>4167000</v>
      </c>
      <c r="K638" s="143">
        <f>+IF(FINANCIACION[[#This Row],[$ CAPITAL]]&gt;=0,FINANCIACION[[#This Row],[$ CAPITAL]]+FINANCIACION[[#This Row],[$ INTERESES]],0)</f>
        <v>4619888</v>
      </c>
    </row>
    <row r="639" spans="1:11" ht="24" customHeight="1" x14ac:dyDescent="0.25">
      <c r="A639" s="138">
        <v>45498</v>
      </c>
      <c r="B639" s="139" t="s">
        <v>239</v>
      </c>
      <c r="C639" s="140">
        <v>1481481</v>
      </c>
      <c r="D639" s="140">
        <v>519519</v>
      </c>
      <c r="E639" s="140">
        <f>+IF(FINANCIACION[[#This Row],[$ CAPITAL]]&gt;=0,FINANCIACION[[#This Row],[$ CAPITAL]]+FINANCIACION[[#This Row],[$ INTERESES]],"")</f>
        <v>2001000</v>
      </c>
      <c r="F639" s="140">
        <f>+SUMIFS(FINANCIACION[$ CAPITAL],FINANCIACION[Fecha],"&lt;="&amp;FINANCIACION[[#This Row],[Fecha]],FINANCIACION[PRESTAMO],FINANCIACION[[#This Row],[PRESTAMO]])</f>
        <v>-41583691.050000004</v>
      </c>
      <c r="G639" s="140"/>
      <c r="H639" s="141"/>
      <c r="I639" s="142"/>
      <c r="J639" s="140">
        <f>+IF(FINANCIACION[[#This Row],[$ CAPITAL]]&gt;0,FINANCIACION[[#This Row],[$ CAPITAL]])</f>
        <v>1481481</v>
      </c>
      <c r="K639" s="143">
        <f>+IF(FINANCIACION[[#This Row],[$ CAPITAL]]&gt;=0,FINANCIACION[[#This Row],[$ CAPITAL]]+FINANCIACION[[#This Row],[$ INTERESES]],0)</f>
        <v>2001000</v>
      </c>
    </row>
    <row r="640" spans="1:11" ht="24" customHeight="1" x14ac:dyDescent="0.25">
      <c r="A640" s="138">
        <v>45503</v>
      </c>
      <c r="B640" s="139" t="s">
        <v>137</v>
      </c>
      <c r="C640" s="140">
        <v>-29552692</v>
      </c>
      <c r="D640" s="140"/>
      <c r="E640" s="140" t="str">
        <f>+IF(FINANCIACION[[#This Row],[$ CAPITAL]]&gt;=0,FINANCIACION[[#This Row],[$ CAPITAL]]+FINANCIACION[[#This Row],[$ INTERESES]],"")</f>
        <v/>
      </c>
      <c r="F640" s="140">
        <f>+SUMIFS(FINANCIACION[$ CAPITAL],FINANCIACION[Fecha],"&lt;="&amp;FINANCIACION[[#This Row],[Fecha]],FINANCIACION[PRESTAMO],FINANCIACION[[#This Row],[PRESTAMO]])</f>
        <v>-100479722</v>
      </c>
      <c r="G640" s="140"/>
      <c r="H640" s="141" t="s">
        <v>72</v>
      </c>
      <c r="I640" s="142"/>
      <c r="J640" s="140" t="b">
        <f>+IF(FINANCIACION[[#This Row],[$ CAPITAL]]&gt;0,FINANCIACION[[#This Row],[$ CAPITAL]])</f>
        <v>0</v>
      </c>
      <c r="K640" s="143">
        <f>+IF(FINANCIACION[[#This Row],[$ CAPITAL]]&gt;=0,FINANCIACION[[#This Row],[$ CAPITAL]]+FINANCIACION[[#This Row],[$ INTERESES]],0)</f>
        <v>0</v>
      </c>
    </row>
    <row r="641" spans="1:11" ht="24" customHeight="1" x14ac:dyDescent="0.25">
      <c r="A641" s="138">
        <v>45503</v>
      </c>
      <c r="B641" s="139" t="s">
        <v>236</v>
      </c>
      <c r="C641" s="140">
        <v>6901847</v>
      </c>
      <c r="D641" s="140"/>
      <c r="E641" s="140">
        <f>+IF(FINANCIACION[[#This Row],[$ CAPITAL]]&gt;=0,FINANCIACION[[#This Row],[$ CAPITAL]]+FINANCIACION[[#This Row],[$ INTERESES]],"")</f>
        <v>6901847</v>
      </c>
      <c r="F641" s="140">
        <f>+SUMIFS(FINANCIACION[$ CAPITAL],FINANCIACION[Fecha],"&lt;="&amp;FINANCIACION[[#This Row],[Fecha]],FINANCIACION[PRESTAMO],FINANCIACION[[#This Row],[PRESTAMO]])</f>
        <v>-8577840</v>
      </c>
      <c r="G641" s="140"/>
      <c r="H641" s="141" t="s">
        <v>965</v>
      </c>
      <c r="I641" s="142"/>
      <c r="J641" s="140">
        <f>+IF(FINANCIACION[[#This Row],[$ CAPITAL]]&gt;0,FINANCIACION[[#This Row],[$ CAPITAL]])</f>
        <v>6901847</v>
      </c>
      <c r="K641" s="143">
        <f>+IF(FINANCIACION[[#This Row],[$ CAPITAL]]&gt;=0,FINANCIACION[[#This Row],[$ CAPITAL]]+FINANCIACION[[#This Row],[$ INTERESES]],0)</f>
        <v>6901847</v>
      </c>
    </row>
    <row r="642" spans="1:11" ht="24" customHeight="1" x14ac:dyDescent="0.25">
      <c r="A642" s="138">
        <v>45504</v>
      </c>
      <c r="B642" s="139" t="s">
        <v>233</v>
      </c>
      <c r="C642" s="140">
        <v>-414820</v>
      </c>
      <c r="D642" s="140"/>
      <c r="E642" s="140" t="str">
        <f>+IF(FINANCIACION[[#This Row],[$ CAPITAL]]&gt;=0,FINANCIACION[[#This Row],[$ CAPITAL]]+FINANCIACION[[#This Row],[$ INTERESES]],"")</f>
        <v/>
      </c>
      <c r="F642" s="140">
        <f>+SUMIFS(FINANCIACION[$ CAPITAL],FINANCIACION[Fecha],"&lt;="&amp;FINANCIACION[[#This Row],[Fecha]],FINANCIACION[PRESTAMO],FINANCIACION[[#This Row],[PRESTAMO]])</f>
        <v>-80968820</v>
      </c>
      <c r="G642" s="140"/>
      <c r="H642" s="141" t="s">
        <v>72</v>
      </c>
      <c r="I642" s="142"/>
      <c r="J642" s="140" t="b">
        <f>+IF(FINANCIACION[[#This Row],[$ CAPITAL]]&gt;0,FINANCIACION[[#This Row],[$ CAPITAL]])</f>
        <v>0</v>
      </c>
      <c r="K642" s="143">
        <f>+IF(FINANCIACION[[#This Row],[$ CAPITAL]]&gt;=0,FINANCIACION[[#This Row],[$ CAPITAL]]+FINANCIACION[[#This Row],[$ INTERESES]],0)</f>
        <v>0</v>
      </c>
    </row>
    <row r="643" spans="1:11" ht="24" customHeight="1" x14ac:dyDescent="0.25">
      <c r="A643" s="138">
        <v>45504</v>
      </c>
      <c r="B643" s="139" t="s">
        <v>250</v>
      </c>
      <c r="C643" s="140">
        <v>-79002</v>
      </c>
      <c r="D643" s="140"/>
      <c r="E643" s="140" t="str">
        <f>+IF(FINANCIACION[[#This Row],[$ CAPITAL]]&gt;=0,FINANCIACION[[#This Row],[$ CAPITAL]]+FINANCIACION[[#This Row],[$ INTERESES]],"")</f>
        <v/>
      </c>
      <c r="F643" s="140">
        <f>+SUMIFS(FINANCIACION[$ CAPITAL],FINANCIACION[Fecha],"&lt;="&amp;FINANCIACION[[#This Row],[Fecha]],FINANCIACION[PRESTAMO],FINANCIACION[[#This Row],[PRESTAMO]])</f>
        <v>-29244002</v>
      </c>
      <c r="G643" s="140"/>
      <c r="H643" s="141" t="s">
        <v>72</v>
      </c>
      <c r="I643" s="142"/>
      <c r="J643" s="140" t="b">
        <f>+IF(FINANCIACION[[#This Row],[$ CAPITAL]]&gt;0,FINANCIACION[[#This Row],[$ CAPITAL]])</f>
        <v>0</v>
      </c>
      <c r="K643" s="143">
        <f>+IF(FINANCIACION[[#This Row],[$ CAPITAL]]&gt;=0,FINANCIACION[[#This Row],[$ CAPITAL]]+FINANCIACION[[#This Row],[$ INTERESES]],0)</f>
        <v>0</v>
      </c>
    </row>
    <row r="644" spans="1:11" ht="24" customHeight="1" x14ac:dyDescent="0.25">
      <c r="A644" s="138">
        <v>45504</v>
      </c>
      <c r="B644" s="139" t="s">
        <v>239</v>
      </c>
      <c r="C644" s="140">
        <v>69665</v>
      </c>
      <c r="D644" s="140"/>
      <c r="E644" s="140">
        <f>+IF(FINANCIACION[[#This Row],[$ CAPITAL]]&gt;=0,FINANCIACION[[#This Row],[$ CAPITAL]]+FINANCIACION[[#This Row],[$ INTERESES]],"")</f>
        <v>69665</v>
      </c>
      <c r="F644" s="140">
        <f>+SUMIFS(FINANCIACION[$ CAPITAL],FINANCIACION[Fecha],"&lt;="&amp;FINANCIACION[[#This Row],[Fecha]],FINANCIACION[PRESTAMO],FINANCIACION[[#This Row],[PRESTAMO]])</f>
        <v>-41514026.050000004</v>
      </c>
      <c r="G644" s="140"/>
      <c r="H644" s="141" t="s">
        <v>72</v>
      </c>
      <c r="I644" s="142"/>
      <c r="J644" s="140">
        <f>+IF(FINANCIACION[[#This Row],[$ CAPITAL]]&gt;0,FINANCIACION[[#This Row],[$ CAPITAL]])</f>
        <v>69665</v>
      </c>
      <c r="K644" s="143">
        <f>+IF(FINANCIACION[[#This Row],[$ CAPITAL]]&gt;=0,FINANCIACION[[#This Row],[$ CAPITAL]]+FINANCIACION[[#This Row],[$ INTERESES]],0)</f>
        <v>69665</v>
      </c>
    </row>
    <row r="645" spans="1:11" ht="24" customHeight="1" x14ac:dyDescent="0.25">
      <c r="A645" s="138">
        <v>45504</v>
      </c>
      <c r="B645" s="139" t="s">
        <v>218</v>
      </c>
      <c r="C645" s="140">
        <v>-2472110</v>
      </c>
      <c r="D645" s="140"/>
      <c r="E645" s="140" t="str">
        <f>+IF(FINANCIACION[[#This Row],[$ CAPITAL]]&gt;=0,FINANCIACION[[#This Row],[$ CAPITAL]]+FINANCIACION[[#This Row],[$ INTERESES]],"")</f>
        <v/>
      </c>
      <c r="F645" s="140">
        <f>+SUMIFS(FINANCIACION[$ CAPITAL],FINANCIACION[Fecha],"&lt;="&amp;FINANCIACION[[#This Row],[Fecha]],FINANCIACION[PRESTAMO],FINANCIACION[[#This Row],[PRESTAMO]])</f>
        <v>-124699536</v>
      </c>
      <c r="G645" s="140"/>
      <c r="H645" s="141" t="s">
        <v>72</v>
      </c>
      <c r="I645" s="142"/>
      <c r="J645" s="140" t="b">
        <f>+IF(FINANCIACION[[#This Row],[$ CAPITAL]]&gt;0,FINANCIACION[[#This Row],[$ CAPITAL]])</f>
        <v>0</v>
      </c>
      <c r="K645" s="143">
        <f>+IF(FINANCIACION[[#This Row],[$ CAPITAL]]&gt;=0,FINANCIACION[[#This Row],[$ CAPITAL]]+FINANCIACION[[#This Row],[$ INTERESES]],0)</f>
        <v>0</v>
      </c>
    </row>
    <row r="646" spans="1:11" ht="24" customHeight="1" x14ac:dyDescent="0.25">
      <c r="A646" s="138">
        <v>45504</v>
      </c>
      <c r="B646" s="139" t="s">
        <v>236</v>
      </c>
      <c r="C646" s="140">
        <v>-4518360</v>
      </c>
      <c r="D646" s="140">
        <v>779000</v>
      </c>
      <c r="E646" s="140" t="str">
        <f>+IF(FINANCIACION[[#This Row],[$ CAPITAL]]&gt;=0,FINANCIACION[[#This Row],[$ CAPITAL]]+FINANCIACION[[#This Row],[$ INTERESES]],"")</f>
        <v/>
      </c>
      <c r="F646" s="140">
        <f>+SUMIFS(FINANCIACION[$ CAPITAL],FINANCIACION[Fecha],"&lt;="&amp;FINANCIACION[[#This Row],[Fecha]],FINANCIACION[PRESTAMO],FINANCIACION[[#This Row],[PRESTAMO]])</f>
        <v>-13096200</v>
      </c>
      <c r="G646" s="140"/>
      <c r="H646" s="141" t="s">
        <v>72</v>
      </c>
      <c r="I646" s="142"/>
      <c r="J646" s="140" t="b">
        <f>+IF(FINANCIACION[[#This Row],[$ CAPITAL]]&gt;0,FINANCIACION[[#This Row],[$ CAPITAL]])</f>
        <v>0</v>
      </c>
      <c r="K646" s="143">
        <f>+IF(FINANCIACION[[#This Row],[$ CAPITAL]]&gt;=0,FINANCIACION[[#This Row],[$ CAPITAL]]+FINANCIACION[[#This Row],[$ INTERESES]],0)</f>
        <v>0</v>
      </c>
    </row>
    <row r="647" spans="1:11" ht="24" customHeight="1" x14ac:dyDescent="0.25">
      <c r="A647" s="138">
        <v>45504</v>
      </c>
      <c r="B647" s="139" t="s">
        <v>238</v>
      </c>
      <c r="C647" s="140">
        <v>-2401610</v>
      </c>
      <c r="D647" s="140">
        <v>63301</v>
      </c>
      <c r="E647" s="140" t="str">
        <f>+IF(FINANCIACION[[#This Row],[$ CAPITAL]]&gt;=0,FINANCIACION[[#This Row],[$ CAPITAL]]+FINANCIACION[[#This Row],[$ INTERESES]],"")</f>
        <v/>
      </c>
      <c r="F647" s="140">
        <f>+SUMIFS(FINANCIACION[$ CAPITAL],FINANCIACION[Fecha],"&lt;="&amp;FINANCIACION[[#This Row],[Fecha]],FINANCIACION[PRESTAMO],FINANCIACION[[#This Row],[PRESTAMO]])</f>
        <v>-4161622</v>
      </c>
      <c r="G647" s="140"/>
      <c r="H647" s="141" t="s">
        <v>72</v>
      </c>
      <c r="I647" s="142"/>
      <c r="J647" s="140" t="b">
        <f>+IF(FINANCIACION[[#This Row],[$ CAPITAL]]&gt;0,FINANCIACION[[#This Row],[$ CAPITAL]])</f>
        <v>0</v>
      </c>
      <c r="K647" s="143">
        <f>+IF(FINANCIACION[[#This Row],[$ CAPITAL]]&gt;=0,FINANCIACION[[#This Row],[$ CAPITAL]]+FINANCIACION[[#This Row],[$ INTERESES]],0)</f>
        <v>0</v>
      </c>
    </row>
    <row r="648" spans="1:11" ht="24" customHeight="1" x14ac:dyDescent="0.25">
      <c r="A648" s="138">
        <v>45504</v>
      </c>
      <c r="B648" s="139" t="s">
        <v>237</v>
      </c>
      <c r="C648" s="140">
        <v>-11355140</v>
      </c>
      <c r="D648" s="140">
        <v>975348</v>
      </c>
      <c r="E648" s="140" t="str">
        <f>+IF(FINANCIACION[[#This Row],[$ CAPITAL]]&gt;=0,FINANCIACION[[#This Row],[$ CAPITAL]]+FINANCIACION[[#This Row],[$ INTERESES]],"")</f>
        <v/>
      </c>
      <c r="F648" s="140">
        <f>+SUMIFS(FINANCIACION[$ CAPITAL],FINANCIACION[Fecha],"&lt;="&amp;FINANCIACION[[#This Row],[Fecha]],FINANCIACION[PRESTAMO],FINANCIACION[[#This Row],[PRESTAMO]])</f>
        <v>-48132483</v>
      </c>
      <c r="G648" s="140"/>
      <c r="H648" s="141" t="s">
        <v>72</v>
      </c>
      <c r="I648" s="142"/>
      <c r="J648" s="140" t="b">
        <f>+IF(FINANCIACION[[#This Row],[$ CAPITAL]]&gt;0,FINANCIACION[[#This Row],[$ CAPITAL]])</f>
        <v>0</v>
      </c>
      <c r="K648" s="143">
        <f>+IF(FINANCIACION[[#This Row],[$ CAPITAL]]&gt;=0,FINANCIACION[[#This Row],[$ CAPITAL]]+FINANCIACION[[#This Row],[$ INTERESES]],0)</f>
        <v>0</v>
      </c>
    </row>
    <row r="649" spans="1:11" ht="24" customHeight="1" x14ac:dyDescent="0.25">
      <c r="A649" s="138">
        <v>45506</v>
      </c>
      <c r="B649" s="139" t="s">
        <v>218</v>
      </c>
      <c r="C649" s="140">
        <v>2353275</v>
      </c>
      <c r="D649" s="140">
        <v>1384885</v>
      </c>
      <c r="E649" s="140">
        <f>+IF(FINANCIACION[[#This Row],[$ CAPITAL]]&gt;=0,FINANCIACION[[#This Row],[$ CAPITAL]]+FINANCIACION[[#This Row],[$ INTERESES]],"")</f>
        <v>3738160</v>
      </c>
      <c r="F649" s="140">
        <f>+SUMIFS(FINANCIACION[$ CAPITAL],FINANCIACION[Fecha],"&lt;="&amp;FINANCIACION[[#This Row],[Fecha]],FINANCIACION[PRESTAMO],FINANCIACION[[#This Row],[PRESTAMO]])</f>
        <v>-122346261</v>
      </c>
      <c r="G649" s="140"/>
      <c r="H649" s="141"/>
      <c r="I649" s="142"/>
      <c r="J649" s="140">
        <f>+IF(FINANCIACION[[#This Row],[$ CAPITAL]]&gt;0,FINANCIACION[[#This Row],[$ CAPITAL]])</f>
        <v>2353275</v>
      </c>
      <c r="K649" s="143">
        <f>+IF(FINANCIACION[[#This Row],[$ CAPITAL]]&gt;=0,FINANCIACION[[#This Row],[$ CAPITAL]]+FINANCIACION[[#This Row],[$ INTERESES]],0)</f>
        <v>3738160</v>
      </c>
    </row>
    <row r="650" spans="1:11" ht="24" customHeight="1" x14ac:dyDescent="0.25">
      <c r="A650" s="138">
        <v>45513</v>
      </c>
      <c r="B650" s="139" t="s">
        <v>238</v>
      </c>
      <c r="C650" s="140">
        <v>500000</v>
      </c>
      <c r="D650" s="140"/>
      <c r="E650" s="140">
        <f>+IF(FINANCIACION[[#This Row],[$ CAPITAL]]&gt;=0,FINANCIACION[[#This Row],[$ CAPITAL]]+FINANCIACION[[#This Row],[$ INTERESES]],"")</f>
        <v>500000</v>
      </c>
      <c r="F650" s="140">
        <f>+SUMIFS(FINANCIACION[$ CAPITAL],FINANCIACION[Fecha],"&lt;="&amp;FINANCIACION[[#This Row],[Fecha]],FINANCIACION[PRESTAMO],FINANCIACION[[#This Row],[PRESTAMO]])</f>
        <v>-3661622</v>
      </c>
      <c r="G650" s="140"/>
      <c r="H650" s="141"/>
      <c r="I650" s="142"/>
      <c r="J650" s="140">
        <f>+IF(FINANCIACION[[#This Row],[$ CAPITAL]]&gt;0,FINANCIACION[[#This Row],[$ CAPITAL]])</f>
        <v>500000</v>
      </c>
      <c r="K650" s="143">
        <f>+IF(FINANCIACION[[#This Row],[$ CAPITAL]]&gt;=0,FINANCIACION[[#This Row],[$ CAPITAL]]+FINANCIACION[[#This Row],[$ INTERESES]],0)</f>
        <v>500000</v>
      </c>
    </row>
    <row r="651" spans="1:11" ht="24" customHeight="1" x14ac:dyDescent="0.25">
      <c r="A651" s="138">
        <v>45516</v>
      </c>
      <c r="B651" s="139" t="s">
        <v>141</v>
      </c>
      <c r="C651" s="140"/>
      <c r="D651" s="140">
        <v>130000</v>
      </c>
      <c r="E651" s="140">
        <f>+IF(FINANCIACION[[#This Row],[$ CAPITAL]]&gt;=0,FINANCIACION[[#This Row],[$ CAPITAL]]+FINANCIACION[[#This Row],[$ INTERESES]],"")</f>
        <v>130000</v>
      </c>
      <c r="F651" s="140">
        <f>+SUMIFS(FINANCIACION[$ CAPITAL],FINANCIACION[Fecha],"&lt;="&amp;FINANCIACION[[#This Row],[Fecha]],FINANCIACION[PRESTAMO],FINANCIACION[[#This Row],[PRESTAMO]])</f>
        <v>-13000000</v>
      </c>
      <c r="G651" s="140"/>
      <c r="H651" s="141"/>
      <c r="I651" s="142"/>
      <c r="J651" s="140" t="b">
        <f>+IF(FINANCIACION[[#This Row],[$ CAPITAL]]&gt;0,FINANCIACION[[#This Row],[$ CAPITAL]])</f>
        <v>0</v>
      </c>
      <c r="K651" s="143">
        <f>+IF(FINANCIACION[[#This Row],[$ CAPITAL]]&gt;=0,FINANCIACION[[#This Row],[$ CAPITAL]]+FINANCIACION[[#This Row],[$ INTERESES]],0)</f>
        <v>130000</v>
      </c>
    </row>
    <row r="652" spans="1:11" ht="24" customHeight="1" x14ac:dyDescent="0.25">
      <c r="A652" s="138">
        <v>45516</v>
      </c>
      <c r="B652" s="139" t="s">
        <v>219</v>
      </c>
      <c r="C652" s="140"/>
      <c r="D652" s="140">
        <v>700000</v>
      </c>
      <c r="E652" s="140">
        <f>+IF(FINANCIACION[[#This Row],[$ CAPITAL]]&gt;=0,FINANCIACION[[#This Row],[$ CAPITAL]]+FINANCIACION[[#This Row],[$ INTERESES]],"")</f>
        <v>700000</v>
      </c>
      <c r="F652" s="140">
        <f>+SUMIFS(FINANCIACION[$ CAPITAL],FINANCIACION[Fecha],"&lt;="&amp;FINANCIACION[[#This Row],[Fecha]],FINANCIACION[PRESTAMO],FINANCIACION[[#This Row],[PRESTAMO]])</f>
        <v>-195000000</v>
      </c>
      <c r="G652" s="140"/>
      <c r="H652" s="141"/>
      <c r="I652" s="142"/>
      <c r="J652" s="140" t="b">
        <f>+IF(FINANCIACION[[#This Row],[$ CAPITAL]]&gt;0,FINANCIACION[[#This Row],[$ CAPITAL]])</f>
        <v>0</v>
      </c>
      <c r="K652" s="143">
        <f>+IF(FINANCIACION[[#This Row],[$ CAPITAL]]&gt;=0,FINANCIACION[[#This Row],[$ CAPITAL]]+FINANCIACION[[#This Row],[$ INTERESES]],0)</f>
        <v>700000</v>
      </c>
    </row>
    <row r="653" spans="1:11" ht="24" customHeight="1" x14ac:dyDescent="0.25">
      <c r="A653" s="138">
        <v>45516</v>
      </c>
      <c r="B653" s="139" t="s">
        <v>143</v>
      </c>
      <c r="C653" s="140"/>
      <c r="D653" s="140">
        <v>200000</v>
      </c>
      <c r="E653" s="140">
        <f>+IF(FINANCIACION[[#This Row],[$ CAPITAL]]&gt;=0,FINANCIACION[[#This Row],[$ CAPITAL]]+FINANCIACION[[#This Row],[$ INTERESES]],"")</f>
        <v>200000</v>
      </c>
      <c r="F653" s="140">
        <f>+SUMIFS(FINANCIACION[$ CAPITAL],FINANCIACION[Fecha],"&lt;="&amp;FINANCIACION[[#This Row],[Fecha]],FINANCIACION[PRESTAMO],FINANCIACION[[#This Row],[PRESTAMO]])</f>
        <v>-20000000</v>
      </c>
      <c r="G653" s="140"/>
      <c r="H653" s="141"/>
      <c r="I653" s="142"/>
      <c r="J653" s="140" t="b">
        <f>+IF(FINANCIACION[[#This Row],[$ CAPITAL]]&gt;0,FINANCIACION[[#This Row],[$ CAPITAL]])</f>
        <v>0</v>
      </c>
      <c r="K653" s="143">
        <f>+IF(FINANCIACION[[#This Row],[$ CAPITAL]]&gt;=0,FINANCIACION[[#This Row],[$ CAPITAL]]+FINANCIACION[[#This Row],[$ INTERESES]],0)</f>
        <v>200000</v>
      </c>
    </row>
    <row r="654" spans="1:11" ht="24" customHeight="1" x14ac:dyDescent="0.25">
      <c r="A654" s="138">
        <v>45516</v>
      </c>
      <c r="B654" s="139" t="s">
        <v>135</v>
      </c>
      <c r="C654" s="140">
        <v>754497.16999999993</v>
      </c>
      <c r="D654" s="140">
        <v>245502.83000000002</v>
      </c>
      <c r="E654" s="140">
        <f>+IF(FINANCIACION[[#This Row],[$ CAPITAL]]&gt;=0,FINANCIACION[[#This Row],[$ CAPITAL]]+FINANCIACION[[#This Row],[$ INTERESES]],"")</f>
        <v>1000000</v>
      </c>
      <c r="F654" s="140">
        <f>+SUMIFS(FINANCIACION[$ CAPITAL],FINANCIACION[Fecha],"&lt;="&amp;FINANCIACION[[#This Row],[Fecha]],FINANCIACION[PRESTAMO],FINANCIACION[[#This Row],[PRESTAMO]])</f>
        <v>-23795785.599624798</v>
      </c>
      <c r="G654" s="140"/>
      <c r="H654" s="141"/>
      <c r="I654" s="142"/>
      <c r="J654" s="140">
        <f>+IF(FINANCIACION[[#This Row],[$ CAPITAL]]&gt;0,FINANCIACION[[#This Row],[$ CAPITAL]])</f>
        <v>754497.16999999993</v>
      </c>
      <c r="K654" s="143">
        <f>+IF(FINANCIACION[[#This Row],[$ CAPITAL]]&gt;=0,FINANCIACION[[#This Row],[$ CAPITAL]]+FINANCIACION[[#This Row],[$ INTERESES]],0)</f>
        <v>1000000</v>
      </c>
    </row>
    <row r="655" spans="1:11" ht="24" customHeight="1" x14ac:dyDescent="0.25">
      <c r="A655" s="138">
        <v>45516</v>
      </c>
      <c r="B655" s="139" t="s">
        <v>138</v>
      </c>
      <c r="C655" s="140">
        <v>2364313</v>
      </c>
      <c r="D655" s="140">
        <v>24000</v>
      </c>
      <c r="E655" s="140">
        <f>+IF(FINANCIACION[[#This Row],[$ CAPITAL]]&gt;=0,FINANCIACION[[#This Row],[$ CAPITAL]]+FINANCIACION[[#This Row],[$ INTERESES]],"")</f>
        <v>2388313</v>
      </c>
      <c r="F655" s="140">
        <f>+SUMIFS(FINANCIACION[$ CAPITAL],FINANCIACION[Fecha],"&lt;="&amp;FINANCIACION[[#This Row],[Fecha]],FINANCIACION[PRESTAMO],FINANCIACION[[#This Row],[PRESTAMO]])</f>
        <v>0.28772265277802944</v>
      </c>
      <c r="G655" s="140"/>
      <c r="H655" s="141"/>
      <c r="I655" s="142"/>
      <c r="J655" s="140">
        <f>+IF(FINANCIACION[[#This Row],[$ CAPITAL]]&gt;0,FINANCIACION[[#This Row],[$ CAPITAL]])</f>
        <v>2364313</v>
      </c>
      <c r="K655" s="143">
        <f>+IF(FINANCIACION[[#This Row],[$ CAPITAL]]&gt;=0,FINANCIACION[[#This Row],[$ CAPITAL]]+FINANCIACION[[#This Row],[$ INTERESES]],0)</f>
        <v>2388313</v>
      </c>
    </row>
    <row r="656" spans="1:11" ht="24" customHeight="1" x14ac:dyDescent="0.25">
      <c r="A656" s="138">
        <v>45516</v>
      </c>
      <c r="B656" s="139" t="s">
        <v>136</v>
      </c>
      <c r="C656" s="140">
        <v>1711093.01</v>
      </c>
      <c r="D656" s="140">
        <v>288906.99</v>
      </c>
      <c r="E656" s="140">
        <f>+IF(FINANCIACION[[#This Row],[$ CAPITAL]]&gt;=0,FINANCIACION[[#This Row],[$ CAPITAL]]+FINANCIACION[[#This Row],[$ INTERESES]],"")</f>
        <v>2000000</v>
      </c>
      <c r="F656" s="140">
        <f>+SUMIFS(FINANCIACION[$ CAPITAL],FINANCIACION[Fecha],"&lt;="&amp;FINANCIACION[[#This Row],[Fecha]],FINANCIACION[PRESTAMO],FINANCIACION[[#This Row],[PRESTAMO]])</f>
        <v>-27179606.372562867</v>
      </c>
      <c r="G656" s="140"/>
      <c r="H656" s="141"/>
      <c r="I656" s="142"/>
      <c r="J656" s="140">
        <f>+IF(FINANCIACION[[#This Row],[$ CAPITAL]]&gt;0,FINANCIACION[[#This Row],[$ CAPITAL]])</f>
        <v>1711093.01</v>
      </c>
      <c r="K656" s="143">
        <f>+IF(FINANCIACION[[#This Row],[$ CAPITAL]]&gt;=0,FINANCIACION[[#This Row],[$ CAPITAL]]+FINANCIACION[[#This Row],[$ INTERESES]],0)</f>
        <v>2000000</v>
      </c>
    </row>
    <row r="657" spans="1:11" ht="24" customHeight="1" x14ac:dyDescent="0.25">
      <c r="A657" s="138">
        <v>45520</v>
      </c>
      <c r="B657" s="139" t="s">
        <v>218</v>
      </c>
      <c r="C657" s="140">
        <v>-40000000</v>
      </c>
      <c r="D657" s="140"/>
      <c r="E657" s="140" t="str">
        <f>+IF(FINANCIACION[[#This Row],[$ CAPITAL]]&gt;=0,FINANCIACION[[#This Row],[$ CAPITAL]]+FINANCIACION[[#This Row],[$ INTERESES]],"")</f>
        <v/>
      </c>
      <c r="F657" s="140">
        <f>+SUMIFS(FINANCIACION[$ CAPITAL],FINANCIACION[Fecha],"&lt;="&amp;FINANCIACION[[#This Row],[Fecha]],FINANCIACION[PRESTAMO],FINANCIACION[[#This Row],[PRESTAMO]])</f>
        <v>-162346261</v>
      </c>
      <c r="G657" s="140"/>
      <c r="H657" s="141" t="s">
        <v>952</v>
      </c>
      <c r="I657" s="142"/>
      <c r="J657" s="140" t="b">
        <f>+IF(FINANCIACION[[#This Row],[$ CAPITAL]]&gt;0,FINANCIACION[[#This Row],[$ CAPITAL]])</f>
        <v>0</v>
      </c>
      <c r="K657" s="143">
        <f>+IF(FINANCIACION[[#This Row],[$ CAPITAL]]&gt;=0,FINANCIACION[[#This Row],[$ CAPITAL]]+FINANCIACION[[#This Row],[$ INTERESES]],0)</f>
        <v>0</v>
      </c>
    </row>
    <row r="658" spans="1:11" ht="24" customHeight="1" x14ac:dyDescent="0.25">
      <c r="A658" s="138">
        <v>45524</v>
      </c>
      <c r="B658" s="139" t="s">
        <v>908</v>
      </c>
      <c r="C658" s="140"/>
      <c r="D658" s="140">
        <v>1056844</v>
      </c>
      <c r="E658" s="140">
        <f>+IF(FINANCIACION[[#This Row],[$ CAPITAL]]&gt;=0,FINANCIACION[[#This Row],[$ CAPITAL]]+FINANCIACION[[#This Row],[$ INTERESES]],"")</f>
        <v>1056844</v>
      </c>
      <c r="F658" s="140">
        <f>+SUMIFS(FINANCIACION[$ CAPITAL],FINANCIACION[Fecha],"&lt;="&amp;FINANCIACION[[#This Row],[Fecha]],FINANCIACION[PRESTAMO],FINANCIACION[[#This Row],[PRESTAMO]])</f>
        <v>-85867698</v>
      </c>
      <c r="G658" s="140"/>
      <c r="H658" s="141"/>
      <c r="I658" s="142"/>
      <c r="J658" s="140" t="b">
        <f>+IF(FINANCIACION[[#This Row],[$ CAPITAL]]&gt;0,FINANCIACION[[#This Row],[$ CAPITAL]])</f>
        <v>0</v>
      </c>
      <c r="K658" s="143">
        <f>+IF(FINANCIACION[[#This Row],[$ CAPITAL]]&gt;=0,FINANCIACION[[#This Row],[$ CAPITAL]]+FINANCIACION[[#This Row],[$ INTERESES]],0)</f>
        <v>1056844</v>
      </c>
    </row>
    <row r="659" spans="1:11" ht="24" customHeight="1" x14ac:dyDescent="0.25">
      <c r="A659" s="138">
        <v>45524</v>
      </c>
      <c r="B659" s="139" t="s">
        <v>233</v>
      </c>
      <c r="C659" s="140">
        <v>2778000</v>
      </c>
      <c r="D659" s="140">
        <v>1133591</v>
      </c>
      <c r="E659" s="140">
        <f>+IF(FINANCIACION[[#This Row],[$ CAPITAL]]&gt;=0,FINANCIACION[[#This Row],[$ CAPITAL]]+FINANCIACION[[#This Row],[$ INTERESES]],"")</f>
        <v>3911591</v>
      </c>
      <c r="F659" s="140">
        <f>+SUMIFS(FINANCIACION[$ CAPITAL],FINANCIACION[Fecha],"&lt;="&amp;FINANCIACION[[#This Row],[Fecha]],FINANCIACION[PRESTAMO],FINANCIACION[[#This Row],[PRESTAMO]])</f>
        <v>-78190820</v>
      </c>
      <c r="G659" s="140"/>
      <c r="H659" s="141"/>
      <c r="I659" s="142"/>
      <c r="J659" s="140">
        <f>+IF(FINANCIACION[[#This Row],[$ CAPITAL]]&gt;0,FINANCIACION[[#This Row],[$ CAPITAL]])</f>
        <v>2778000</v>
      </c>
      <c r="K659" s="143">
        <f>+IF(FINANCIACION[[#This Row],[$ CAPITAL]]&gt;=0,FINANCIACION[[#This Row],[$ CAPITAL]]+FINANCIACION[[#This Row],[$ INTERESES]],0)</f>
        <v>3911591</v>
      </c>
    </row>
    <row r="660" spans="1:11" ht="24" customHeight="1" x14ac:dyDescent="0.25">
      <c r="A660" s="138">
        <v>45524</v>
      </c>
      <c r="B660" s="139" t="s">
        <v>137</v>
      </c>
      <c r="C660" s="140">
        <v>5282575</v>
      </c>
      <c r="D660" s="140">
        <v>1717425</v>
      </c>
      <c r="E660" s="140">
        <f>+IF(FINANCIACION[[#This Row],[$ CAPITAL]]&gt;=0,FINANCIACION[[#This Row],[$ CAPITAL]]+FINANCIACION[[#This Row],[$ INTERESES]],"")</f>
        <v>7000000</v>
      </c>
      <c r="F660" s="140">
        <f>+SUMIFS(FINANCIACION[$ CAPITAL],FINANCIACION[Fecha],"&lt;="&amp;FINANCIACION[[#This Row],[Fecha]],FINANCIACION[PRESTAMO],FINANCIACION[[#This Row],[PRESTAMO]])</f>
        <v>-95197147</v>
      </c>
      <c r="G660" s="140"/>
      <c r="H660" s="141"/>
      <c r="I660" s="142"/>
      <c r="J660" s="140">
        <f>+IF(FINANCIACION[[#This Row],[$ CAPITAL]]&gt;0,FINANCIACION[[#This Row],[$ CAPITAL]])</f>
        <v>5282575</v>
      </c>
      <c r="K660" s="143">
        <f>+IF(FINANCIACION[[#This Row],[$ CAPITAL]]&gt;=0,FINANCIACION[[#This Row],[$ CAPITAL]]+FINANCIACION[[#This Row],[$ INTERESES]],0)</f>
        <v>7000000</v>
      </c>
    </row>
    <row r="661" spans="1:11" ht="24" customHeight="1" x14ac:dyDescent="0.25">
      <c r="A661" s="138">
        <v>45530</v>
      </c>
      <c r="B661" s="139" t="s">
        <v>146</v>
      </c>
      <c r="C661" s="140"/>
      <c r="D661" s="140">
        <v>1400000</v>
      </c>
      <c r="E661" s="140">
        <f>+IF(FINANCIACION[[#This Row],[$ CAPITAL]]&gt;=0,FINANCIACION[[#This Row],[$ CAPITAL]]+FINANCIACION[[#This Row],[$ INTERESES]],"")</f>
        <v>1400000</v>
      </c>
      <c r="F661" s="140">
        <f>+SUMIFS(FINANCIACION[$ CAPITAL],FINANCIACION[Fecha],"&lt;="&amp;FINANCIACION[[#This Row],[Fecha]],FINANCIACION[PRESTAMO],FINANCIACION[[#This Row],[PRESTAMO]])</f>
        <v>-140000000</v>
      </c>
      <c r="G661" s="140"/>
      <c r="H661" s="141"/>
      <c r="I661" s="142"/>
      <c r="J661" s="140" t="b">
        <f>+IF(FINANCIACION[[#This Row],[$ CAPITAL]]&gt;0,FINANCIACION[[#This Row],[$ CAPITAL]])</f>
        <v>0</v>
      </c>
      <c r="K661" s="143">
        <f>+IF(FINANCIACION[[#This Row],[$ CAPITAL]]&gt;=0,FINANCIACION[[#This Row],[$ CAPITAL]]+FINANCIACION[[#This Row],[$ INTERESES]],0)</f>
        <v>1400000</v>
      </c>
    </row>
    <row r="662" spans="1:11" ht="24" customHeight="1" x14ac:dyDescent="0.25">
      <c r="A662" s="138">
        <v>45530</v>
      </c>
      <c r="B662" s="139" t="s">
        <v>140</v>
      </c>
      <c r="C662" s="140"/>
      <c r="D662" s="140">
        <v>960000</v>
      </c>
      <c r="E662" s="140">
        <f>+IF(FINANCIACION[[#This Row],[$ CAPITAL]]&gt;=0,FINANCIACION[[#This Row],[$ CAPITAL]]+FINANCIACION[[#This Row],[$ INTERESES]],"")</f>
        <v>960000</v>
      </c>
      <c r="F662" s="140">
        <f>+SUMIFS(FINANCIACION[$ CAPITAL],FINANCIACION[Fecha],"&lt;="&amp;FINANCIACION[[#This Row],[Fecha]],FINANCIACION[PRESTAMO],FINANCIACION[[#This Row],[PRESTAMO]])</f>
        <v>-8000000</v>
      </c>
      <c r="G662" s="140"/>
      <c r="H662" s="141" t="s">
        <v>941</v>
      </c>
      <c r="I662" s="142"/>
      <c r="J662" s="140" t="b">
        <f>+IF(FINANCIACION[[#This Row],[$ CAPITAL]]&gt;0,FINANCIACION[[#This Row],[$ CAPITAL]])</f>
        <v>0</v>
      </c>
      <c r="K662" s="143">
        <f>+IF(FINANCIACION[[#This Row],[$ CAPITAL]]&gt;=0,FINANCIACION[[#This Row],[$ CAPITAL]]+FINANCIACION[[#This Row],[$ INTERESES]],0)</f>
        <v>960000</v>
      </c>
    </row>
    <row r="663" spans="1:11" ht="24" customHeight="1" x14ac:dyDescent="0.25">
      <c r="A663" s="138">
        <v>45530</v>
      </c>
      <c r="B663" s="139" t="s">
        <v>250</v>
      </c>
      <c r="C663" s="140">
        <v>4167000</v>
      </c>
      <c r="D663" s="140">
        <v>395013</v>
      </c>
      <c r="E663" s="140">
        <f>+IF(FINANCIACION[[#This Row],[$ CAPITAL]]&gt;=0,FINANCIACION[[#This Row],[$ CAPITAL]]+FINANCIACION[[#This Row],[$ INTERESES]],"")</f>
        <v>4562013</v>
      </c>
      <c r="F663" s="140">
        <f>+SUMIFS(FINANCIACION[$ CAPITAL],FINANCIACION[Fecha],"&lt;="&amp;FINANCIACION[[#This Row],[Fecha]],FINANCIACION[PRESTAMO],FINANCIACION[[#This Row],[PRESTAMO]])</f>
        <v>-25077002</v>
      </c>
      <c r="G663" s="140"/>
      <c r="H663" s="141"/>
      <c r="I663" s="142"/>
      <c r="J663" s="140">
        <f>+IF(FINANCIACION[[#This Row],[$ CAPITAL]]&gt;0,FINANCIACION[[#This Row],[$ CAPITAL]])</f>
        <v>4167000</v>
      </c>
      <c r="K663" s="143">
        <f>+IF(FINANCIACION[[#This Row],[$ CAPITAL]]&gt;=0,FINANCIACION[[#This Row],[$ CAPITAL]]+FINANCIACION[[#This Row],[$ INTERESES]],0)</f>
        <v>4562013</v>
      </c>
    </row>
    <row r="664" spans="1:11" ht="24" customHeight="1" x14ac:dyDescent="0.25">
      <c r="A664" s="138">
        <v>45530</v>
      </c>
      <c r="B664" s="139" t="s">
        <v>239</v>
      </c>
      <c r="C664" s="140">
        <v>1481481</v>
      </c>
      <c r="D664" s="140">
        <v>499519</v>
      </c>
      <c r="E664" s="140">
        <f>+IF(FINANCIACION[[#This Row],[$ CAPITAL]]&gt;=0,FINANCIACION[[#This Row],[$ CAPITAL]]+FINANCIACION[[#This Row],[$ INTERESES]],"")</f>
        <v>1981000</v>
      </c>
      <c r="F664" s="140">
        <f>+SUMIFS(FINANCIACION[$ CAPITAL],FINANCIACION[Fecha],"&lt;="&amp;FINANCIACION[[#This Row],[Fecha]],FINANCIACION[PRESTAMO],FINANCIACION[[#This Row],[PRESTAMO]])</f>
        <v>-40032545.050000004</v>
      </c>
      <c r="G664" s="140"/>
      <c r="H664" s="141"/>
      <c r="I664" s="142"/>
      <c r="J664" s="140">
        <f>+IF(FINANCIACION[[#This Row],[$ CAPITAL]]&gt;0,FINANCIACION[[#This Row],[$ CAPITAL]])</f>
        <v>1481481</v>
      </c>
      <c r="K664" s="143">
        <f>+IF(FINANCIACION[[#This Row],[$ CAPITAL]]&gt;=0,FINANCIACION[[#This Row],[$ CAPITAL]]+FINANCIACION[[#This Row],[$ INTERESES]],0)</f>
        <v>1981000</v>
      </c>
    </row>
    <row r="665" spans="1:11" ht="24" customHeight="1" x14ac:dyDescent="0.25">
      <c r="A665" s="138">
        <v>45532</v>
      </c>
      <c r="B665" s="139" t="s">
        <v>238</v>
      </c>
      <c r="C665" s="140">
        <v>1500000</v>
      </c>
      <c r="D665" s="140"/>
      <c r="E665" s="140">
        <f>+IF(FINANCIACION[[#This Row],[$ CAPITAL]]&gt;=0,FINANCIACION[[#This Row],[$ CAPITAL]]+FINANCIACION[[#This Row],[$ INTERESES]],"")</f>
        <v>1500000</v>
      </c>
      <c r="F665" s="140">
        <f>+SUMIFS(FINANCIACION[$ CAPITAL],FINANCIACION[Fecha],"&lt;="&amp;FINANCIACION[[#This Row],[Fecha]],FINANCIACION[PRESTAMO],FINANCIACION[[#This Row],[PRESTAMO]])</f>
        <v>-2161622</v>
      </c>
      <c r="G665" s="140"/>
      <c r="H665" s="141"/>
      <c r="I665" s="142"/>
      <c r="J665" s="140">
        <f>+IF(FINANCIACION[[#This Row],[$ CAPITAL]]&gt;0,FINANCIACION[[#This Row],[$ CAPITAL]])</f>
        <v>1500000</v>
      </c>
      <c r="K665" s="143">
        <f>+IF(FINANCIACION[[#This Row],[$ CAPITAL]]&gt;=0,FINANCIACION[[#This Row],[$ CAPITAL]]+FINANCIACION[[#This Row],[$ INTERESES]],0)</f>
        <v>1500000</v>
      </c>
    </row>
    <row r="666" spans="1:11" ht="24" customHeight="1" x14ac:dyDescent="0.25">
      <c r="A666" s="138">
        <v>45535</v>
      </c>
      <c r="B666" s="139" t="s">
        <v>233</v>
      </c>
      <c r="C666" s="140">
        <v>-20594</v>
      </c>
      <c r="D666" s="140"/>
      <c r="E666" s="140" t="str">
        <f>+IF(FINANCIACION[[#This Row],[$ CAPITAL]]&gt;=0,FINANCIACION[[#This Row],[$ CAPITAL]]+FINANCIACION[[#This Row],[$ INTERESES]],"")</f>
        <v/>
      </c>
      <c r="F666" s="140">
        <f>+SUMIFS(FINANCIACION[$ CAPITAL],FINANCIACION[Fecha],"&lt;="&amp;FINANCIACION[[#This Row],[Fecha]],FINANCIACION[PRESTAMO],FINANCIACION[[#This Row],[PRESTAMO]])</f>
        <v>-78211414</v>
      </c>
      <c r="G666" s="140"/>
      <c r="H666" s="141" t="s">
        <v>72</v>
      </c>
      <c r="I666" s="142"/>
      <c r="J666" s="140" t="b">
        <f>+IF(FINANCIACION[[#This Row],[$ CAPITAL]]&gt;0,FINANCIACION[[#This Row],[$ CAPITAL]])</f>
        <v>0</v>
      </c>
      <c r="K666" s="143">
        <f>+IF(FINANCIACION[[#This Row],[$ CAPITAL]]&gt;=0,FINANCIACION[[#This Row],[$ CAPITAL]]+FINANCIACION[[#This Row],[$ INTERESES]],0)</f>
        <v>0</v>
      </c>
    </row>
    <row r="667" spans="1:11" ht="24" customHeight="1" x14ac:dyDescent="0.25">
      <c r="A667" s="138">
        <v>45535</v>
      </c>
      <c r="B667" s="139" t="s">
        <v>250</v>
      </c>
      <c r="C667" s="140">
        <v>505</v>
      </c>
      <c r="D667" s="140"/>
      <c r="E667" s="140">
        <f>+IF(FINANCIACION[[#This Row],[$ CAPITAL]]&gt;=0,FINANCIACION[[#This Row],[$ CAPITAL]]+FINANCIACION[[#This Row],[$ INTERESES]],"")</f>
        <v>505</v>
      </c>
      <c r="F667" s="140">
        <f>+SUMIFS(FINANCIACION[$ CAPITAL],FINANCIACION[Fecha],"&lt;="&amp;FINANCIACION[[#This Row],[Fecha]],FINANCIACION[PRESTAMO],FINANCIACION[[#This Row],[PRESTAMO]])</f>
        <v>-25076497</v>
      </c>
      <c r="G667" s="140"/>
      <c r="H667" s="141" t="s">
        <v>72</v>
      </c>
      <c r="I667" s="142"/>
      <c r="J667" s="140">
        <f>+IF(FINANCIACION[[#This Row],[$ CAPITAL]]&gt;0,FINANCIACION[[#This Row],[$ CAPITAL]])</f>
        <v>505</v>
      </c>
      <c r="K667" s="143">
        <f>+IF(FINANCIACION[[#This Row],[$ CAPITAL]]&gt;=0,FINANCIACION[[#This Row],[$ CAPITAL]]+FINANCIACION[[#This Row],[$ INTERESES]],0)</f>
        <v>505</v>
      </c>
    </row>
    <row r="668" spans="1:11" ht="24" customHeight="1" x14ac:dyDescent="0.25">
      <c r="A668" s="138">
        <v>45535</v>
      </c>
      <c r="B668" s="139" t="s">
        <v>239</v>
      </c>
      <c r="C668" s="140">
        <v>-10914</v>
      </c>
      <c r="D668" s="140"/>
      <c r="E668" s="140" t="str">
        <f>+IF(FINANCIACION[[#This Row],[$ CAPITAL]]&gt;=0,FINANCIACION[[#This Row],[$ CAPITAL]]+FINANCIACION[[#This Row],[$ INTERESES]],"")</f>
        <v/>
      </c>
      <c r="F668" s="140">
        <f>+SUMIFS(FINANCIACION[$ CAPITAL],FINANCIACION[Fecha],"&lt;="&amp;FINANCIACION[[#This Row],[Fecha]],FINANCIACION[PRESTAMO],FINANCIACION[[#This Row],[PRESTAMO]])</f>
        <v>-40043459.050000004</v>
      </c>
      <c r="G668" s="140"/>
      <c r="H668" s="141" t="s">
        <v>72</v>
      </c>
      <c r="I668" s="142"/>
      <c r="J668" s="140" t="b">
        <f>+IF(FINANCIACION[[#This Row],[$ CAPITAL]]&gt;0,FINANCIACION[[#This Row],[$ CAPITAL]])</f>
        <v>0</v>
      </c>
      <c r="K668" s="143">
        <f>+IF(FINANCIACION[[#This Row],[$ CAPITAL]]&gt;=0,FINANCIACION[[#This Row],[$ CAPITAL]]+FINANCIACION[[#This Row],[$ INTERESES]],0)</f>
        <v>0</v>
      </c>
    </row>
    <row r="669" spans="1:11" ht="24" customHeight="1" x14ac:dyDescent="0.25">
      <c r="A669" s="138">
        <v>45535</v>
      </c>
      <c r="B669" s="139" t="s">
        <v>218</v>
      </c>
      <c r="C669" s="140">
        <v>-1860085</v>
      </c>
      <c r="D669" s="140"/>
      <c r="E669" s="140" t="str">
        <f>+IF(FINANCIACION[[#This Row],[$ CAPITAL]]&gt;=0,FINANCIACION[[#This Row],[$ CAPITAL]]+FINANCIACION[[#This Row],[$ INTERESES]],"")</f>
        <v/>
      </c>
      <c r="F669" s="140">
        <f>+SUMIFS(FINANCIACION[$ CAPITAL],FINANCIACION[Fecha],"&lt;="&amp;FINANCIACION[[#This Row],[Fecha]],FINANCIACION[PRESTAMO],FINANCIACION[[#This Row],[PRESTAMO]])</f>
        <v>-164206346</v>
      </c>
      <c r="G669" s="140"/>
      <c r="H669" s="141" t="s">
        <v>72</v>
      </c>
      <c r="I669" s="142"/>
      <c r="J669" s="140" t="b">
        <f>+IF(FINANCIACION[[#This Row],[$ CAPITAL]]&gt;0,FINANCIACION[[#This Row],[$ CAPITAL]])</f>
        <v>0</v>
      </c>
      <c r="K669" s="143">
        <f>+IF(FINANCIACION[[#This Row],[$ CAPITAL]]&gt;=0,FINANCIACION[[#This Row],[$ CAPITAL]]+FINANCIACION[[#This Row],[$ INTERESES]],0)</f>
        <v>0</v>
      </c>
    </row>
    <row r="670" spans="1:11" ht="24" customHeight="1" x14ac:dyDescent="0.25">
      <c r="A670" s="138">
        <v>45535</v>
      </c>
      <c r="B670" s="139" t="s">
        <v>137</v>
      </c>
      <c r="C670" s="140">
        <v>128471</v>
      </c>
      <c r="D670" s="140"/>
      <c r="E670" s="140">
        <f>+IF(FINANCIACION[[#This Row],[$ CAPITAL]]&gt;=0,FINANCIACION[[#This Row],[$ CAPITAL]]+FINANCIACION[[#This Row],[$ INTERESES]],"")</f>
        <v>128471</v>
      </c>
      <c r="F670" s="140">
        <f>+SUMIFS(FINANCIACION[$ CAPITAL],FINANCIACION[Fecha],"&lt;="&amp;FINANCIACION[[#This Row],[Fecha]],FINANCIACION[PRESTAMO],FINANCIACION[[#This Row],[PRESTAMO]])</f>
        <v>-95068676</v>
      </c>
      <c r="G670" s="140"/>
      <c r="H670" s="141" t="s">
        <v>72</v>
      </c>
      <c r="I670" s="142"/>
      <c r="J670" s="140">
        <f>+IF(FINANCIACION[[#This Row],[$ CAPITAL]]&gt;0,FINANCIACION[[#This Row],[$ CAPITAL]])</f>
        <v>128471</v>
      </c>
      <c r="K670" s="143">
        <f>+IF(FINANCIACION[[#This Row],[$ CAPITAL]]&gt;=0,FINANCIACION[[#This Row],[$ CAPITAL]]+FINANCIACION[[#This Row],[$ INTERESES]],0)</f>
        <v>128471</v>
      </c>
    </row>
    <row r="671" spans="1:11" ht="24" customHeight="1" x14ac:dyDescent="0.25">
      <c r="A671" s="138">
        <v>45535</v>
      </c>
      <c r="B671" s="139" t="s">
        <v>236</v>
      </c>
      <c r="C671" s="140">
        <v>-5322690</v>
      </c>
      <c r="D671" s="140">
        <v>260200</v>
      </c>
      <c r="E671" s="140" t="str">
        <f>+IF(FINANCIACION[[#This Row],[$ CAPITAL]]&gt;=0,FINANCIACION[[#This Row],[$ CAPITAL]]+FINANCIACION[[#This Row],[$ INTERESES]],"")</f>
        <v/>
      </c>
      <c r="F671" s="140">
        <f>+SUMIFS(FINANCIACION[$ CAPITAL],FINANCIACION[Fecha],"&lt;="&amp;FINANCIACION[[#This Row],[Fecha]],FINANCIACION[PRESTAMO],FINANCIACION[[#This Row],[PRESTAMO]])</f>
        <v>-18418890</v>
      </c>
      <c r="G671" s="140"/>
      <c r="H671" s="141" t="s">
        <v>72</v>
      </c>
      <c r="I671" s="142"/>
      <c r="J671" s="140" t="b">
        <f>+IF(FINANCIACION[[#This Row],[$ CAPITAL]]&gt;0,FINANCIACION[[#This Row],[$ CAPITAL]])</f>
        <v>0</v>
      </c>
      <c r="K671" s="143">
        <f>+IF(FINANCIACION[[#This Row],[$ CAPITAL]]&gt;=0,FINANCIACION[[#This Row],[$ CAPITAL]]+FINANCIACION[[#This Row],[$ INTERESES]],0)</f>
        <v>0</v>
      </c>
    </row>
    <row r="672" spans="1:11" ht="24" customHeight="1" x14ac:dyDescent="0.25">
      <c r="A672" s="138">
        <v>45535</v>
      </c>
      <c r="B672" s="139" t="s">
        <v>238</v>
      </c>
      <c r="C672" s="140">
        <v>172901</v>
      </c>
      <c r="D672" s="140">
        <v>44090</v>
      </c>
      <c r="E672" s="140">
        <f>+IF(FINANCIACION[[#This Row],[$ CAPITAL]]&gt;=0,FINANCIACION[[#This Row],[$ CAPITAL]]+FINANCIACION[[#This Row],[$ INTERESES]],"")</f>
        <v>216991</v>
      </c>
      <c r="F672" s="140">
        <f>+SUMIFS(FINANCIACION[$ CAPITAL],FINANCIACION[Fecha],"&lt;="&amp;FINANCIACION[[#This Row],[Fecha]],FINANCIACION[PRESTAMO],FINANCIACION[[#This Row],[PRESTAMO]])</f>
        <v>-1988721</v>
      </c>
      <c r="G672" s="140"/>
      <c r="H672" s="141" t="s">
        <v>72</v>
      </c>
      <c r="I672" s="142"/>
      <c r="J672" s="140">
        <f>+IF(FINANCIACION[[#This Row],[$ CAPITAL]]&gt;0,FINANCIACION[[#This Row],[$ CAPITAL]])</f>
        <v>172901</v>
      </c>
      <c r="K672" s="143">
        <f>+IF(FINANCIACION[[#This Row],[$ CAPITAL]]&gt;=0,FINANCIACION[[#This Row],[$ CAPITAL]]+FINANCIACION[[#This Row],[$ INTERESES]],0)</f>
        <v>216991</v>
      </c>
    </row>
    <row r="673" spans="1:11" ht="24" customHeight="1" x14ac:dyDescent="0.25">
      <c r="A673" s="138">
        <v>45535</v>
      </c>
      <c r="B673" s="139" t="s">
        <v>237</v>
      </c>
      <c r="C673" s="140">
        <v>-7640932</v>
      </c>
      <c r="D673" s="140">
        <v>1098942</v>
      </c>
      <c r="E673" s="140" t="str">
        <f>+IF(FINANCIACION[[#This Row],[$ CAPITAL]]&gt;=0,FINANCIACION[[#This Row],[$ CAPITAL]]+FINANCIACION[[#This Row],[$ INTERESES]],"")</f>
        <v/>
      </c>
      <c r="F673" s="140">
        <f>+SUMIFS(FINANCIACION[$ CAPITAL],FINANCIACION[Fecha],"&lt;="&amp;FINANCIACION[[#This Row],[Fecha]],FINANCIACION[PRESTAMO],FINANCIACION[[#This Row],[PRESTAMO]])</f>
        <v>-55773415</v>
      </c>
      <c r="G673" s="140"/>
      <c r="H673" s="141" t="s">
        <v>72</v>
      </c>
      <c r="I673" s="142"/>
      <c r="J673" s="140" t="b">
        <f>+IF(FINANCIACION[[#This Row],[$ CAPITAL]]&gt;0,FINANCIACION[[#This Row],[$ CAPITAL]])</f>
        <v>0</v>
      </c>
      <c r="K673" s="143">
        <f>+IF(FINANCIACION[[#This Row],[$ CAPITAL]]&gt;=0,FINANCIACION[[#This Row],[$ CAPITAL]]+FINANCIACION[[#This Row],[$ INTERESES]],0)</f>
        <v>0</v>
      </c>
    </row>
    <row r="674" spans="1:11" ht="24" customHeight="1" x14ac:dyDescent="0.25">
      <c r="A674" s="138">
        <v>45537</v>
      </c>
      <c r="B674" s="139" t="s">
        <v>218</v>
      </c>
      <c r="C674" s="140">
        <v>4791232</v>
      </c>
      <c r="D674" s="140">
        <v>2191398</v>
      </c>
      <c r="E674" s="140">
        <f>+IF(FINANCIACION[[#This Row],[$ CAPITAL]]&gt;=0,FINANCIACION[[#This Row],[$ CAPITAL]]+FINANCIACION[[#This Row],[$ INTERESES]],"")</f>
        <v>6982630</v>
      </c>
      <c r="F674" s="140">
        <f>+SUMIFS(FINANCIACION[$ CAPITAL],FINANCIACION[Fecha],"&lt;="&amp;FINANCIACION[[#This Row],[Fecha]],FINANCIACION[PRESTAMO],FINANCIACION[[#This Row],[PRESTAMO]])</f>
        <v>-159415114</v>
      </c>
      <c r="G674" s="140"/>
      <c r="H674" s="141"/>
      <c r="I674" s="142"/>
      <c r="J674" s="140">
        <f>+IF(FINANCIACION[[#This Row],[$ CAPITAL]]&gt;0,FINANCIACION[[#This Row],[$ CAPITAL]])</f>
        <v>4791232</v>
      </c>
      <c r="K674" s="143">
        <f>+IF(FINANCIACION[[#This Row],[$ CAPITAL]]&gt;=0,FINANCIACION[[#This Row],[$ CAPITAL]]+FINANCIACION[[#This Row],[$ INTERESES]],0)</f>
        <v>6982630</v>
      </c>
    </row>
    <row r="675" spans="1:11" ht="24" customHeight="1" x14ac:dyDescent="0.25">
      <c r="A675" s="138">
        <v>45537</v>
      </c>
      <c r="B675" s="139" t="s">
        <v>236</v>
      </c>
      <c r="C675" s="140">
        <v>282901</v>
      </c>
      <c r="D675" s="140"/>
      <c r="E675" s="140">
        <f>+IF(FINANCIACION[[#This Row],[$ CAPITAL]]&gt;=0,FINANCIACION[[#This Row],[$ CAPITAL]]+FINANCIACION[[#This Row],[$ INTERESES]],"")</f>
        <v>282901</v>
      </c>
      <c r="F675" s="140">
        <f>+SUMIFS(FINANCIACION[$ CAPITAL],FINANCIACION[Fecha],"&lt;="&amp;FINANCIACION[[#This Row],[Fecha]],FINANCIACION[PRESTAMO],FINANCIACION[[#This Row],[PRESTAMO]])</f>
        <v>-18135989</v>
      </c>
      <c r="G675" s="140"/>
      <c r="H675" s="141" t="s">
        <v>966</v>
      </c>
      <c r="I675" s="142"/>
      <c r="J675" s="140">
        <f>+IF(FINANCIACION[[#This Row],[$ CAPITAL]]&gt;0,FINANCIACION[[#This Row],[$ CAPITAL]])</f>
        <v>282901</v>
      </c>
      <c r="K675" s="143">
        <f>+IF(FINANCIACION[[#This Row],[$ CAPITAL]]&gt;=0,FINANCIACION[[#This Row],[$ CAPITAL]]+FINANCIACION[[#This Row],[$ INTERESES]],0)</f>
        <v>282901</v>
      </c>
    </row>
    <row r="676" spans="1:11" ht="24" customHeight="1" x14ac:dyDescent="0.25">
      <c r="A676" s="138">
        <v>45537</v>
      </c>
      <c r="B676" s="139" t="s">
        <v>238</v>
      </c>
      <c r="C676" s="140">
        <v>1400000</v>
      </c>
      <c r="D676" s="140"/>
      <c r="E676" s="140">
        <f>+IF(FINANCIACION[[#This Row],[$ CAPITAL]]&gt;=0,FINANCIACION[[#This Row],[$ CAPITAL]]+FINANCIACION[[#This Row],[$ INTERESES]],"")</f>
        <v>1400000</v>
      </c>
      <c r="F676" s="140">
        <f>+SUMIFS(FINANCIACION[$ CAPITAL],FINANCIACION[Fecha],"&lt;="&amp;FINANCIACION[[#This Row],[Fecha]],FINANCIACION[PRESTAMO],FINANCIACION[[#This Row],[PRESTAMO]])</f>
        <v>-588721</v>
      </c>
      <c r="G676" s="140"/>
      <c r="H676" s="141"/>
      <c r="I676" s="142"/>
      <c r="J676" s="140">
        <f>+IF(FINANCIACION[[#This Row],[$ CAPITAL]]&gt;0,FINANCIACION[[#This Row],[$ CAPITAL]])</f>
        <v>1400000</v>
      </c>
      <c r="K676" s="143">
        <f>+IF(FINANCIACION[[#This Row],[$ CAPITAL]]&gt;=0,FINANCIACION[[#This Row],[$ CAPITAL]]+FINANCIACION[[#This Row],[$ INTERESES]],0)</f>
        <v>1400000</v>
      </c>
    </row>
    <row r="677" spans="1:11" ht="24" customHeight="1" x14ac:dyDescent="0.25">
      <c r="A677" s="138">
        <v>45539</v>
      </c>
      <c r="B677" s="139" t="s">
        <v>219</v>
      </c>
      <c r="C677" s="140">
        <v>5000000</v>
      </c>
      <c r="D677" s="140"/>
      <c r="E677" s="140">
        <f>+IF(FINANCIACION[[#This Row],[$ CAPITAL]]&gt;=0,FINANCIACION[[#This Row],[$ CAPITAL]]+FINANCIACION[[#This Row],[$ INTERESES]],"")</f>
        <v>5000000</v>
      </c>
      <c r="F677" s="140">
        <f>+SUMIFS(FINANCIACION[$ CAPITAL],FINANCIACION[Fecha],"&lt;="&amp;FINANCIACION[[#This Row],[Fecha]],FINANCIACION[PRESTAMO],FINANCIACION[[#This Row],[PRESTAMO]])</f>
        <v>-190000000</v>
      </c>
      <c r="G677" s="140"/>
      <c r="H677" s="141" t="s">
        <v>912</v>
      </c>
      <c r="I677" s="142"/>
      <c r="J677" s="140">
        <f>+IF(FINANCIACION[[#This Row],[$ CAPITAL]]&gt;0,FINANCIACION[[#This Row],[$ CAPITAL]])</f>
        <v>5000000</v>
      </c>
      <c r="K677" s="143">
        <f>+IF(FINANCIACION[[#This Row],[$ CAPITAL]]&gt;=0,FINANCIACION[[#This Row],[$ CAPITAL]]+FINANCIACION[[#This Row],[$ INTERESES]],0)</f>
        <v>5000000</v>
      </c>
    </row>
    <row r="678" spans="1:11" ht="24" customHeight="1" x14ac:dyDescent="0.25">
      <c r="A678" s="138">
        <v>45540</v>
      </c>
      <c r="B678" s="139" t="s">
        <v>236</v>
      </c>
      <c r="C678" s="140">
        <v>4520000</v>
      </c>
      <c r="D678" s="140"/>
      <c r="E678" s="140">
        <f>+IF(FINANCIACION[[#This Row],[$ CAPITAL]]&gt;=0,FINANCIACION[[#This Row],[$ CAPITAL]]+FINANCIACION[[#This Row],[$ INTERESES]],"")</f>
        <v>4520000</v>
      </c>
      <c r="F678" s="140">
        <f>+SUMIFS(FINANCIACION[$ CAPITAL],FINANCIACION[Fecha],"&lt;="&amp;FINANCIACION[[#This Row],[Fecha]],FINANCIACION[PRESTAMO],FINANCIACION[[#This Row],[PRESTAMO]])</f>
        <v>-13615989</v>
      </c>
      <c r="G678" s="140"/>
      <c r="H678" s="141" t="s">
        <v>967</v>
      </c>
      <c r="I678" s="142"/>
      <c r="J678" s="140">
        <f>+IF(FINANCIACION[[#This Row],[$ CAPITAL]]&gt;0,FINANCIACION[[#This Row],[$ CAPITAL]])</f>
        <v>4520000</v>
      </c>
      <c r="K678" s="143">
        <f>+IF(FINANCIACION[[#This Row],[$ CAPITAL]]&gt;=0,FINANCIACION[[#This Row],[$ CAPITAL]]+FINANCIACION[[#This Row],[$ INTERESES]],0)</f>
        <v>4520000</v>
      </c>
    </row>
    <row r="679" spans="1:11" ht="24" customHeight="1" x14ac:dyDescent="0.25">
      <c r="A679" s="138">
        <v>45545</v>
      </c>
      <c r="B679" s="139" t="s">
        <v>141</v>
      </c>
      <c r="C679" s="140"/>
      <c r="D679" s="140">
        <v>130000</v>
      </c>
      <c r="E679" s="140">
        <f>+IF(FINANCIACION[[#This Row],[$ CAPITAL]]&gt;=0,FINANCIACION[[#This Row],[$ CAPITAL]]+FINANCIACION[[#This Row],[$ INTERESES]],"")</f>
        <v>130000</v>
      </c>
      <c r="F679" s="140">
        <f>+SUMIFS(FINANCIACION[$ CAPITAL],FINANCIACION[Fecha],"&lt;="&amp;FINANCIACION[[#This Row],[Fecha]],FINANCIACION[PRESTAMO],FINANCIACION[[#This Row],[PRESTAMO]])</f>
        <v>-13000000</v>
      </c>
      <c r="G679" s="140"/>
      <c r="H679" s="141"/>
      <c r="I679" s="142"/>
      <c r="J679" s="140" t="b">
        <f>+IF(FINANCIACION[[#This Row],[$ CAPITAL]]&gt;0,FINANCIACION[[#This Row],[$ CAPITAL]])</f>
        <v>0</v>
      </c>
      <c r="K679" s="143">
        <f>+IF(FINANCIACION[[#This Row],[$ CAPITAL]]&gt;=0,FINANCIACION[[#This Row],[$ CAPITAL]]+FINANCIACION[[#This Row],[$ INTERESES]],0)</f>
        <v>130000</v>
      </c>
    </row>
    <row r="680" spans="1:11" ht="24" customHeight="1" x14ac:dyDescent="0.25">
      <c r="A680" s="138">
        <v>45545</v>
      </c>
      <c r="B680" s="139" t="s">
        <v>219</v>
      </c>
      <c r="C680" s="140"/>
      <c r="D680" s="140">
        <v>700000</v>
      </c>
      <c r="E680" s="140">
        <f>+IF(FINANCIACION[[#This Row],[$ CAPITAL]]&gt;=0,FINANCIACION[[#This Row],[$ CAPITAL]]+FINANCIACION[[#This Row],[$ INTERESES]],"")</f>
        <v>700000</v>
      </c>
      <c r="F680" s="140">
        <f>+SUMIFS(FINANCIACION[$ CAPITAL],FINANCIACION[Fecha],"&lt;="&amp;FINANCIACION[[#This Row],[Fecha]],FINANCIACION[PRESTAMO],FINANCIACION[[#This Row],[PRESTAMO]])</f>
        <v>-190000000</v>
      </c>
      <c r="G680" s="140"/>
      <c r="H680" s="141" t="s">
        <v>913</v>
      </c>
      <c r="I680" s="142"/>
      <c r="J680" s="140" t="b">
        <f>+IF(FINANCIACION[[#This Row],[$ CAPITAL]]&gt;0,FINANCIACION[[#This Row],[$ CAPITAL]])</f>
        <v>0</v>
      </c>
      <c r="K680" s="143">
        <f>+IF(FINANCIACION[[#This Row],[$ CAPITAL]]&gt;=0,FINANCIACION[[#This Row],[$ CAPITAL]]+FINANCIACION[[#This Row],[$ INTERESES]],0)</f>
        <v>700000</v>
      </c>
    </row>
    <row r="681" spans="1:11" ht="24" customHeight="1" x14ac:dyDescent="0.25">
      <c r="A681" s="138">
        <v>45545</v>
      </c>
      <c r="B681" s="139" t="s">
        <v>143</v>
      </c>
      <c r="C681" s="140"/>
      <c r="D681" s="140">
        <v>200000</v>
      </c>
      <c r="E681" s="140">
        <f>+IF(FINANCIACION[[#This Row],[$ CAPITAL]]&gt;=0,FINANCIACION[[#This Row],[$ CAPITAL]]+FINANCIACION[[#This Row],[$ INTERESES]],"")</f>
        <v>200000</v>
      </c>
      <c r="F681" s="140">
        <f>+SUMIFS(FINANCIACION[$ CAPITAL],FINANCIACION[Fecha],"&lt;="&amp;FINANCIACION[[#This Row],[Fecha]],FINANCIACION[PRESTAMO],FINANCIACION[[#This Row],[PRESTAMO]])</f>
        <v>-20000000</v>
      </c>
      <c r="G681" s="140"/>
      <c r="H681" s="141"/>
      <c r="I681" s="142"/>
      <c r="J681" s="140" t="b">
        <f>+IF(FINANCIACION[[#This Row],[$ CAPITAL]]&gt;0,FINANCIACION[[#This Row],[$ CAPITAL]])</f>
        <v>0</v>
      </c>
      <c r="K681" s="143">
        <f>+IF(FINANCIACION[[#This Row],[$ CAPITAL]]&gt;=0,FINANCIACION[[#This Row],[$ CAPITAL]]+FINANCIACION[[#This Row],[$ INTERESES]],0)</f>
        <v>200000</v>
      </c>
    </row>
    <row r="682" spans="1:11" ht="24" customHeight="1" x14ac:dyDescent="0.25">
      <c r="A682" s="138">
        <v>45546</v>
      </c>
      <c r="B682" s="139" t="s">
        <v>135</v>
      </c>
      <c r="C682" s="140">
        <v>762042.14</v>
      </c>
      <c r="D682" s="140">
        <v>237957.86000000002</v>
      </c>
      <c r="E682" s="140">
        <f>+IF(FINANCIACION[[#This Row],[$ CAPITAL]]&gt;=0,FINANCIACION[[#This Row],[$ CAPITAL]]+FINANCIACION[[#This Row],[$ INTERESES]],"")</f>
        <v>1000000</v>
      </c>
      <c r="F682" s="140">
        <f>+SUMIFS(FINANCIACION[$ CAPITAL],FINANCIACION[Fecha],"&lt;="&amp;FINANCIACION[[#This Row],[Fecha]],FINANCIACION[PRESTAMO],FINANCIACION[[#This Row],[PRESTAMO]])</f>
        <v>-23033743.459624797</v>
      </c>
      <c r="G682" s="140"/>
      <c r="H682" s="141"/>
      <c r="I682" s="142"/>
      <c r="J682" s="140">
        <f>+IF(FINANCIACION[[#This Row],[$ CAPITAL]]&gt;0,FINANCIACION[[#This Row],[$ CAPITAL]])</f>
        <v>762042.14</v>
      </c>
      <c r="K682" s="143">
        <f>+IF(FINANCIACION[[#This Row],[$ CAPITAL]]&gt;=0,FINANCIACION[[#This Row],[$ CAPITAL]]+FINANCIACION[[#This Row],[$ INTERESES]],0)</f>
        <v>1000000</v>
      </c>
    </row>
    <row r="683" spans="1:11" ht="24" customHeight="1" x14ac:dyDescent="0.25">
      <c r="A683" s="138">
        <v>45551</v>
      </c>
      <c r="B683" s="139" t="s">
        <v>237</v>
      </c>
      <c r="C683" s="140">
        <v>5000000</v>
      </c>
      <c r="D683" s="140"/>
      <c r="E683" s="140">
        <f>+IF(FINANCIACION[[#This Row],[$ CAPITAL]]&gt;=0,FINANCIACION[[#This Row],[$ CAPITAL]]+FINANCIACION[[#This Row],[$ INTERESES]],"")</f>
        <v>5000000</v>
      </c>
      <c r="F683" s="140">
        <f>+SUMIFS(FINANCIACION[$ CAPITAL],FINANCIACION[Fecha],"&lt;="&amp;FINANCIACION[[#This Row],[Fecha]],FINANCIACION[PRESTAMO],FINANCIACION[[#This Row],[PRESTAMO]])</f>
        <v>-50773415</v>
      </c>
      <c r="G683" s="140"/>
      <c r="H683" s="141"/>
      <c r="I683" s="142"/>
      <c r="J683" s="140">
        <f>+IF(FINANCIACION[[#This Row],[$ CAPITAL]]&gt;0,FINANCIACION[[#This Row],[$ CAPITAL]])</f>
        <v>5000000</v>
      </c>
      <c r="K683" s="143">
        <f>+IF(FINANCIACION[[#This Row],[$ CAPITAL]]&gt;=0,FINANCIACION[[#This Row],[$ CAPITAL]]+FINANCIACION[[#This Row],[$ INTERESES]],0)</f>
        <v>5000000</v>
      </c>
    </row>
    <row r="684" spans="1:11" ht="24" customHeight="1" x14ac:dyDescent="0.25">
      <c r="A684" s="138">
        <v>45553</v>
      </c>
      <c r="B684" s="139" t="s">
        <v>137</v>
      </c>
      <c r="C684" s="140">
        <v>5282575</v>
      </c>
      <c r="D684" s="140">
        <v>1717425</v>
      </c>
      <c r="E684" s="140">
        <f>+IF(FINANCIACION[[#This Row],[$ CAPITAL]]&gt;=0,FINANCIACION[[#This Row],[$ CAPITAL]]+FINANCIACION[[#This Row],[$ INTERESES]],"")</f>
        <v>7000000</v>
      </c>
      <c r="F684" s="140">
        <f>+SUMIFS(FINANCIACION[$ CAPITAL],FINANCIACION[Fecha],"&lt;="&amp;FINANCIACION[[#This Row],[Fecha]],FINANCIACION[PRESTAMO],FINANCIACION[[#This Row],[PRESTAMO]])</f>
        <v>-89786101</v>
      </c>
      <c r="G684" s="140"/>
      <c r="H684" s="141" t="s">
        <v>958</v>
      </c>
      <c r="I684" s="142"/>
      <c r="J684" s="140">
        <f>+IF(FINANCIACION[[#This Row],[$ CAPITAL]]&gt;0,FINANCIACION[[#This Row],[$ CAPITAL]])</f>
        <v>5282575</v>
      </c>
      <c r="K684" s="143">
        <f>+IF(FINANCIACION[[#This Row],[$ CAPITAL]]&gt;=0,FINANCIACION[[#This Row],[$ CAPITAL]]+FINANCIACION[[#This Row],[$ INTERESES]],0)</f>
        <v>7000000</v>
      </c>
    </row>
    <row r="685" spans="1:11" ht="24" customHeight="1" x14ac:dyDescent="0.25">
      <c r="A685" s="138">
        <v>45554</v>
      </c>
      <c r="B685" s="139" t="s">
        <v>908</v>
      </c>
      <c r="C685" s="140"/>
      <c r="D685" s="140">
        <v>1099984</v>
      </c>
      <c r="E685" s="140">
        <f>+IF(FINANCIACION[[#This Row],[$ CAPITAL]]&gt;=0,FINANCIACION[[#This Row],[$ CAPITAL]]+FINANCIACION[[#This Row],[$ INTERESES]],"")</f>
        <v>1099984</v>
      </c>
      <c r="F685" s="140">
        <f>+SUMIFS(FINANCIACION[$ CAPITAL],FINANCIACION[Fecha],"&lt;="&amp;FINANCIACION[[#This Row],[Fecha]],FINANCIACION[PRESTAMO],FINANCIACION[[#This Row],[PRESTAMO]])</f>
        <v>-85867698</v>
      </c>
      <c r="G685" s="140"/>
      <c r="H685" s="141"/>
      <c r="I685" s="142"/>
      <c r="J685" s="140" t="b">
        <f>+IF(FINANCIACION[[#This Row],[$ CAPITAL]]&gt;0,FINANCIACION[[#This Row],[$ CAPITAL]])</f>
        <v>0</v>
      </c>
      <c r="K685" s="143">
        <f>+IF(FINANCIACION[[#This Row],[$ CAPITAL]]&gt;=0,FINANCIACION[[#This Row],[$ CAPITAL]]+FINANCIACION[[#This Row],[$ INTERESES]],0)</f>
        <v>1099984</v>
      </c>
    </row>
    <row r="686" spans="1:11" ht="24" customHeight="1" x14ac:dyDescent="0.25">
      <c r="A686" s="138">
        <v>45555</v>
      </c>
      <c r="B686" s="139" t="s">
        <v>233</v>
      </c>
      <c r="C686" s="140">
        <v>2778000</v>
      </c>
      <c r="D686" s="140">
        <v>1088535</v>
      </c>
      <c r="E686" s="140">
        <f>+IF(FINANCIACION[[#This Row],[$ CAPITAL]]&gt;=0,FINANCIACION[[#This Row],[$ CAPITAL]]+FINANCIACION[[#This Row],[$ INTERESES]],"")</f>
        <v>3866535</v>
      </c>
      <c r="F686" s="140">
        <f>+SUMIFS(FINANCIACION[$ CAPITAL],FINANCIACION[Fecha],"&lt;="&amp;FINANCIACION[[#This Row],[Fecha]],FINANCIACION[PRESTAMO],FINANCIACION[[#This Row],[PRESTAMO]])</f>
        <v>-75433414</v>
      </c>
      <c r="G686" s="140"/>
      <c r="H686" s="141"/>
      <c r="I686" s="142"/>
      <c r="J686" s="140">
        <f>+IF(FINANCIACION[[#This Row],[$ CAPITAL]]&gt;0,FINANCIACION[[#This Row],[$ CAPITAL]])</f>
        <v>2778000</v>
      </c>
      <c r="K686" s="143">
        <f>+IF(FINANCIACION[[#This Row],[$ CAPITAL]]&gt;=0,FINANCIACION[[#This Row],[$ CAPITAL]]+FINANCIACION[[#This Row],[$ INTERESES]],0)</f>
        <v>3866535</v>
      </c>
    </row>
    <row r="687" spans="1:11" ht="24" customHeight="1" x14ac:dyDescent="0.25">
      <c r="A687" s="138">
        <v>45558</v>
      </c>
      <c r="B687" s="139" t="s">
        <v>219</v>
      </c>
      <c r="C687" s="140"/>
      <c r="D687" s="140">
        <v>1500000</v>
      </c>
      <c r="E687" s="140">
        <f>+IF(FINANCIACION[[#This Row],[$ CAPITAL]]&gt;=0,FINANCIACION[[#This Row],[$ CAPITAL]]+FINANCIACION[[#This Row],[$ INTERESES]],"")</f>
        <v>1500000</v>
      </c>
      <c r="F687" s="140">
        <f>+SUMIFS(FINANCIACION[$ CAPITAL],FINANCIACION[Fecha],"&lt;="&amp;FINANCIACION[[#This Row],[Fecha]],FINANCIACION[PRESTAMO],FINANCIACION[[#This Row],[PRESTAMO]])</f>
        <v>-190000000</v>
      </c>
      <c r="G687" s="140"/>
      <c r="H687" s="141" t="s">
        <v>914</v>
      </c>
      <c r="I687" s="142"/>
      <c r="J687" s="140" t="b">
        <f>+IF(FINANCIACION[[#This Row],[$ CAPITAL]]&gt;0,FINANCIACION[[#This Row],[$ CAPITAL]])</f>
        <v>0</v>
      </c>
      <c r="K687" s="143">
        <f>+IF(FINANCIACION[[#This Row],[$ CAPITAL]]&gt;=0,FINANCIACION[[#This Row],[$ CAPITAL]]+FINANCIACION[[#This Row],[$ INTERESES]],0)</f>
        <v>1500000</v>
      </c>
    </row>
    <row r="688" spans="1:11" ht="24" customHeight="1" x14ac:dyDescent="0.25">
      <c r="A688" s="138">
        <v>45558</v>
      </c>
      <c r="B688" s="139" t="s">
        <v>146</v>
      </c>
      <c r="C688" s="140"/>
      <c r="D688" s="140">
        <v>1400000</v>
      </c>
      <c r="E688" s="140">
        <f>+IF(FINANCIACION[[#This Row],[$ CAPITAL]]&gt;=0,FINANCIACION[[#This Row],[$ CAPITAL]]+FINANCIACION[[#This Row],[$ INTERESES]],"")</f>
        <v>1400000</v>
      </c>
      <c r="F688" s="140">
        <f>+SUMIFS(FINANCIACION[$ CAPITAL],FINANCIACION[Fecha],"&lt;="&amp;FINANCIACION[[#This Row],[Fecha]],FINANCIACION[PRESTAMO],FINANCIACION[[#This Row],[PRESTAMO]])</f>
        <v>-140000000</v>
      </c>
      <c r="G688" s="140"/>
      <c r="H688" s="141"/>
      <c r="I688" s="142"/>
      <c r="J688" s="140" t="b">
        <f>+IF(FINANCIACION[[#This Row],[$ CAPITAL]]&gt;0,FINANCIACION[[#This Row],[$ CAPITAL]])</f>
        <v>0</v>
      </c>
      <c r="K688" s="143">
        <f>+IF(FINANCIACION[[#This Row],[$ CAPITAL]]&gt;=0,FINANCIACION[[#This Row],[$ CAPITAL]]+FINANCIACION[[#This Row],[$ INTERESES]],0)</f>
        <v>1400000</v>
      </c>
    </row>
    <row r="689" spans="1:11" ht="24" customHeight="1" x14ac:dyDescent="0.25">
      <c r="A689" s="138">
        <v>45560</v>
      </c>
      <c r="B689" s="139" t="s">
        <v>250</v>
      </c>
      <c r="C689" s="140">
        <v>4167000</v>
      </c>
      <c r="D689" s="140">
        <v>336418</v>
      </c>
      <c r="E689" s="140">
        <f>+IF(FINANCIACION[[#This Row],[$ CAPITAL]]&gt;=0,FINANCIACION[[#This Row],[$ CAPITAL]]+FINANCIACION[[#This Row],[$ INTERESES]],"")</f>
        <v>4503418</v>
      </c>
      <c r="F689" s="140">
        <f>+SUMIFS(FINANCIACION[$ CAPITAL],FINANCIACION[Fecha],"&lt;="&amp;FINANCIACION[[#This Row],[Fecha]],FINANCIACION[PRESTAMO],FINANCIACION[[#This Row],[PRESTAMO]])</f>
        <v>-20909497</v>
      </c>
      <c r="G689" s="140"/>
      <c r="H689" s="141"/>
      <c r="I689" s="142"/>
      <c r="J689" s="140">
        <f>+IF(FINANCIACION[[#This Row],[$ CAPITAL]]&gt;0,FINANCIACION[[#This Row],[$ CAPITAL]])</f>
        <v>4167000</v>
      </c>
      <c r="K689" s="143">
        <f>+IF(FINANCIACION[[#This Row],[$ CAPITAL]]&gt;=0,FINANCIACION[[#This Row],[$ CAPITAL]]+FINANCIACION[[#This Row],[$ INTERESES]],0)</f>
        <v>4503418</v>
      </c>
    </row>
    <row r="690" spans="1:11" ht="24" customHeight="1" x14ac:dyDescent="0.25">
      <c r="A690" s="138">
        <v>45560</v>
      </c>
      <c r="B690" s="139" t="s">
        <v>239</v>
      </c>
      <c r="C690" s="140">
        <v>1481481</v>
      </c>
      <c r="D690" s="140">
        <v>478519</v>
      </c>
      <c r="E690" s="140">
        <f>+IF(FINANCIACION[[#This Row],[$ CAPITAL]]&gt;=0,FINANCIACION[[#This Row],[$ CAPITAL]]+FINANCIACION[[#This Row],[$ INTERESES]],"")</f>
        <v>1960000</v>
      </c>
      <c r="F690" s="140">
        <f>+SUMIFS(FINANCIACION[$ CAPITAL],FINANCIACION[Fecha],"&lt;="&amp;FINANCIACION[[#This Row],[Fecha]],FINANCIACION[PRESTAMO],FINANCIACION[[#This Row],[PRESTAMO]])</f>
        <v>-38561978.050000004</v>
      </c>
      <c r="G690" s="140"/>
      <c r="H690" s="141"/>
      <c r="I690" s="142"/>
      <c r="J690" s="140">
        <f>+IF(FINANCIACION[[#This Row],[$ CAPITAL]]&gt;0,FINANCIACION[[#This Row],[$ CAPITAL]])</f>
        <v>1481481</v>
      </c>
      <c r="K690" s="143">
        <f>+IF(FINANCIACION[[#This Row],[$ CAPITAL]]&gt;=0,FINANCIACION[[#This Row],[$ CAPITAL]]+FINANCIACION[[#This Row],[$ INTERESES]],0)</f>
        <v>1960000</v>
      </c>
    </row>
    <row r="691" spans="1:11" ht="24" customHeight="1" x14ac:dyDescent="0.25">
      <c r="A691" s="138">
        <v>45565</v>
      </c>
      <c r="B691" s="139" t="s">
        <v>233</v>
      </c>
      <c r="C691" s="140">
        <v>89645</v>
      </c>
      <c r="D691" s="140"/>
      <c r="E691" s="140">
        <f>+IF(FINANCIACION[[#This Row],[$ CAPITAL]]&gt;=0,FINANCIACION[[#This Row],[$ CAPITAL]]+FINANCIACION[[#This Row],[$ INTERESES]],"")</f>
        <v>89645</v>
      </c>
      <c r="F691" s="140">
        <f>+SUMIFS(FINANCIACION[$ CAPITAL],FINANCIACION[Fecha],"&lt;="&amp;FINANCIACION[[#This Row],[Fecha]],FINANCIACION[PRESTAMO],FINANCIACION[[#This Row],[PRESTAMO]])</f>
        <v>-75343769</v>
      </c>
      <c r="G691" s="140"/>
      <c r="H691" s="141" t="s">
        <v>72</v>
      </c>
      <c r="I691" s="142"/>
      <c r="J691" s="140">
        <f>+IF(FINANCIACION[[#This Row],[$ CAPITAL]]&gt;0,FINANCIACION[[#This Row],[$ CAPITAL]])</f>
        <v>89645</v>
      </c>
      <c r="K691" s="143">
        <f>+IF(FINANCIACION[[#This Row],[$ CAPITAL]]&gt;=0,FINANCIACION[[#This Row],[$ CAPITAL]]+FINANCIACION[[#This Row],[$ INTERESES]],0)</f>
        <v>89645</v>
      </c>
    </row>
    <row r="692" spans="1:11" ht="24" customHeight="1" x14ac:dyDescent="0.25">
      <c r="A692" s="138">
        <v>45565</v>
      </c>
      <c r="B692" s="139" t="s">
        <v>250</v>
      </c>
      <c r="C692" s="140">
        <v>32574</v>
      </c>
      <c r="D692" s="140"/>
      <c r="E692" s="140">
        <f>+IF(FINANCIACION[[#This Row],[$ CAPITAL]]&gt;=0,FINANCIACION[[#This Row],[$ CAPITAL]]+FINANCIACION[[#This Row],[$ INTERESES]],"")</f>
        <v>32574</v>
      </c>
      <c r="F692" s="140">
        <f>+SUMIFS(FINANCIACION[$ CAPITAL],FINANCIACION[Fecha],"&lt;="&amp;FINANCIACION[[#This Row],[Fecha]],FINANCIACION[PRESTAMO],FINANCIACION[[#This Row],[PRESTAMO]])</f>
        <v>-20876923</v>
      </c>
      <c r="G692" s="140"/>
      <c r="H692" s="141" t="s">
        <v>72</v>
      </c>
      <c r="I692" s="142"/>
      <c r="J692" s="140">
        <f>+IF(FINANCIACION[[#This Row],[$ CAPITAL]]&gt;0,FINANCIACION[[#This Row],[$ CAPITAL]])</f>
        <v>32574</v>
      </c>
      <c r="K692" s="143">
        <f>+IF(FINANCIACION[[#This Row],[$ CAPITAL]]&gt;=0,FINANCIACION[[#This Row],[$ CAPITAL]]+FINANCIACION[[#This Row],[$ INTERESES]],0)</f>
        <v>32574</v>
      </c>
    </row>
    <row r="693" spans="1:11" ht="24" customHeight="1" x14ac:dyDescent="0.25">
      <c r="A693" s="138">
        <v>45565</v>
      </c>
      <c r="B693" s="139" t="s">
        <v>239</v>
      </c>
      <c r="C693" s="140">
        <v>48581</v>
      </c>
      <c r="D693" s="140"/>
      <c r="E693" s="140">
        <f>+IF(FINANCIACION[[#This Row],[$ CAPITAL]]&gt;=0,FINANCIACION[[#This Row],[$ CAPITAL]]+FINANCIACION[[#This Row],[$ INTERESES]],"")</f>
        <v>48581</v>
      </c>
      <c r="F693" s="140">
        <f>+SUMIFS(FINANCIACION[$ CAPITAL],FINANCIACION[Fecha],"&lt;="&amp;FINANCIACION[[#This Row],[Fecha]],FINANCIACION[PRESTAMO],FINANCIACION[[#This Row],[PRESTAMO]])</f>
        <v>-38513397.050000004</v>
      </c>
      <c r="G693" s="140"/>
      <c r="H693" s="141" t="s">
        <v>72</v>
      </c>
      <c r="I693" s="142"/>
      <c r="J693" s="140">
        <f>+IF(FINANCIACION[[#This Row],[$ CAPITAL]]&gt;0,FINANCIACION[[#This Row],[$ CAPITAL]])</f>
        <v>48581</v>
      </c>
      <c r="K693" s="143">
        <f>+IF(FINANCIACION[[#This Row],[$ CAPITAL]]&gt;=0,FINANCIACION[[#This Row],[$ CAPITAL]]+FINANCIACION[[#This Row],[$ INTERESES]],0)</f>
        <v>48581</v>
      </c>
    </row>
    <row r="694" spans="1:11" ht="24" customHeight="1" x14ac:dyDescent="0.25">
      <c r="A694" s="138">
        <v>45565</v>
      </c>
      <c r="B694" s="139" t="s">
        <v>218</v>
      </c>
      <c r="C694" s="140">
        <v>-1227097</v>
      </c>
      <c r="D694" s="140"/>
      <c r="E694" s="140" t="str">
        <f>+IF(FINANCIACION[[#This Row],[$ CAPITAL]]&gt;=0,FINANCIACION[[#This Row],[$ CAPITAL]]+FINANCIACION[[#This Row],[$ INTERESES]],"")</f>
        <v/>
      </c>
      <c r="F694" s="140">
        <f>+SUMIFS(FINANCIACION[$ CAPITAL],FINANCIACION[Fecha],"&lt;="&amp;FINANCIACION[[#This Row],[Fecha]],FINANCIACION[PRESTAMO],FINANCIACION[[#This Row],[PRESTAMO]])</f>
        <v>-160642211</v>
      </c>
      <c r="G694" s="140"/>
      <c r="H694" s="141" t="s">
        <v>72</v>
      </c>
      <c r="I694" s="142"/>
      <c r="J694" s="140" t="b">
        <f>+IF(FINANCIACION[[#This Row],[$ CAPITAL]]&gt;0,FINANCIACION[[#This Row],[$ CAPITAL]])</f>
        <v>0</v>
      </c>
      <c r="K694" s="143">
        <f>+IF(FINANCIACION[[#This Row],[$ CAPITAL]]&gt;=0,FINANCIACION[[#This Row],[$ CAPITAL]]+FINANCIACION[[#This Row],[$ INTERESES]],0)</f>
        <v>0</v>
      </c>
    </row>
    <row r="695" spans="1:11" ht="24" customHeight="1" x14ac:dyDescent="0.25">
      <c r="A695" s="138">
        <v>45565</v>
      </c>
      <c r="B695" s="139" t="s">
        <v>137</v>
      </c>
      <c r="C695" s="140">
        <v>2291383</v>
      </c>
      <c r="D695" s="140"/>
      <c r="E695" s="140">
        <f>+IF(FINANCIACION[[#This Row],[$ CAPITAL]]&gt;=0,FINANCIACION[[#This Row],[$ CAPITAL]]+FINANCIACION[[#This Row],[$ INTERESES]],"")</f>
        <v>2291383</v>
      </c>
      <c r="F695" s="140">
        <f>+SUMIFS(FINANCIACION[$ CAPITAL],FINANCIACION[Fecha],"&lt;="&amp;FINANCIACION[[#This Row],[Fecha]],FINANCIACION[PRESTAMO],FINANCIACION[[#This Row],[PRESTAMO]])</f>
        <v>-87494718</v>
      </c>
      <c r="G695" s="140"/>
      <c r="H695" s="141" t="s">
        <v>72</v>
      </c>
      <c r="I695" s="142"/>
      <c r="J695" s="140">
        <f>+IF(FINANCIACION[[#This Row],[$ CAPITAL]]&gt;0,FINANCIACION[[#This Row],[$ CAPITAL]])</f>
        <v>2291383</v>
      </c>
      <c r="K695" s="143">
        <f>+IF(FINANCIACION[[#This Row],[$ CAPITAL]]&gt;=0,FINANCIACION[[#This Row],[$ CAPITAL]]+FINANCIACION[[#This Row],[$ INTERESES]],0)</f>
        <v>2291383</v>
      </c>
    </row>
    <row r="696" spans="1:11" ht="24" customHeight="1" x14ac:dyDescent="0.25">
      <c r="A696" s="138">
        <v>45565</v>
      </c>
      <c r="B696" s="139" t="s">
        <v>236</v>
      </c>
      <c r="C696" s="140">
        <v>-4893210</v>
      </c>
      <c r="D696" s="140"/>
      <c r="E696" s="140" t="str">
        <f>+IF(FINANCIACION[[#This Row],[$ CAPITAL]]&gt;=0,FINANCIACION[[#This Row],[$ CAPITAL]]+FINANCIACION[[#This Row],[$ INTERESES]],"")</f>
        <v/>
      </c>
      <c r="F696" s="140">
        <f>+SUMIFS(FINANCIACION[$ CAPITAL],FINANCIACION[Fecha],"&lt;="&amp;FINANCIACION[[#This Row],[Fecha]],FINANCIACION[PRESTAMO],FINANCIACION[[#This Row],[PRESTAMO]])</f>
        <v>-18509199</v>
      </c>
      <c r="G696" s="140"/>
      <c r="H696" s="141" t="s">
        <v>72</v>
      </c>
      <c r="I696" s="142"/>
      <c r="J696" s="140" t="b">
        <f>+IF(FINANCIACION[[#This Row],[$ CAPITAL]]&gt;0,FINANCIACION[[#This Row],[$ CAPITAL]])</f>
        <v>0</v>
      </c>
      <c r="K696" s="143">
        <f>+IF(FINANCIACION[[#This Row],[$ CAPITAL]]&gt;=0,FINANCIACION[[#This Row],[$ CAPITAL]]+FINANCIACION[[#This Row],[$ INTERESES]],0)</f>
        <v>0</v>
      </c>
    </row>
    <row r="697" spans="1:11" ht="24" customHeight="1" x14ac:dyDescent="0.25">
      <c r="A697" s="138">
        <v>45565</v>
      </c>
      <c r="B697" s="139" t="s">
        <v>238</v>
      </c>
      <c r="C697" s="140">
        <v>-1665965</v>
      </c>
      <c r="D697" s="140">
        <v>85962</v>
      </c>
      <c r="E697" s="140" t="str">
        <f>+IF(FINANCIACION[[#This Row],[$ CAPITAL]]&gt;=0,FINANCIACION[[#This Row],[$ CAPITAL]]+FINANCIACION[[#This Row],[$ INTERESES]],"")</f>
        <v/>
      </c>
      <c r="F697" s="140">
        <f>+SUMIFS(FINANCIACION[$ CAPITAL],FINANCIACION[Fecha],"&lt;="&amp;FINANCIACION[[#This Row],[Fecha]],FINANCIACION[PRESTAMO],FINANCIACION[[#This Row],[PRESTAMO]])</f>
        <v>-2254686</v>
      </c>
      <c r="G697" s="140"/>
      <c r="H697" s="141" t="s">
        <v>72</v>
      </c>
      <c r="I697" s="142"/>
      <c r="J697" s="140" t="b">
        <f>+IF(FINANCIACION[[#This Row],[$ CAPITAL]]&gt;0,FINANCIACION[[#This Row],[$ CAPITAL]])</f>
        <v>0</v>
      </c>
      <c r="K697" s="143">
        <f>+IF(FINANCIACION[[#This Row],[$ CAPITAL]]&gt;=0,FINANCIACION[[#This Row],[$ CAPITAL]]+FINANCIACION[[#This Row],[$ INTERESES]],0)</f>
        <v>0</v>
      </c>
    </row>
    <row r="698" spans="1:11" ht="24" customHeight="1" x14ac:dyDescent="0.25">
      <c r="A698" s="138">
        <v>45565</v>
      </c>
      <c r="B698" s="139" t="s">
        <v>237</v>
      </c>
      <c r="C698" s="140">
        <v>-3581993</v>
      </c>
      <c r="D698" s="140">
        <v>1403073</v>
      </c>
      <c r="E698" s="140" t="str">
        <f>+IF(FINANCIACION[[#This Row],[$ CAPITAL]]&gt;=0,FINANCIACION[[#This Row],[$ CAPITAL]]+FINANCIACION[[#This Row],[$ INTERESES]],"")</f>
        <v/>
      </c>
      <c r="F698" s="140">
        <f>+SUMIFS(FINANCIACION[$ CAPITAL],FINANCIACION[Fecha],"&lt;="&amp;FINANCIACION[[#This Row],[Fecha]],FINANCIACION[PRESTAMO],FINANCIACION[[#This Row],[PRESTAMO]])</f>
        <v>-54355408</v>
      </c>
      <c r="G698" s="140"/>
      <c r="H698" s="141" t="s">
        <v>72</v>
      </c>
      <c r="I698" s="142"/>
      <c r="J698" s="140" t="b">
        <f>+IF(FINANCIACION[[#This Row],[$ CAPITAL]]&gt;0,FINANCIACION[[#This Row],[$ CAPITAL]])</f>
        <v>0</v>
      </c>
      <c r="K698" s="143">
        <f>+IF(FINANCIACION[[#This Row],[$ CAPITAL]]&gt;=0,FINANCIACION[[#This Row],[$ CAPITAL]]+FINANCIACION[[#This Row],[$ INTERESES]],0)</f>
        <v>0</v>
      </c>
    </row>
    <row r="699" spans="1:11" ht="24" customHeight="1" x14ac:dyDescent="0.25">
      <c r="A699" s="138">
        <v>45567</v>
      </c>
      <c r="B699" s="139" t="s">
        <v>218</v>
      </c>
      <c r="C699" s="140">
        <v>5734658</v>
      </c>
      <c r="D699" s="140">
        <v>2643119</v>
      </c>
      <c r="E699" s="140">
        <f>+IF(FINANCIACION[[#This Row],[$ CAPITAL]]&gt;=0,FINANCIACION[[#This Row],[$ CAPITAL]]+FINANCIACION[[#This Row],[$ INTERESES]],"")</f>
        <v>8377777</v>
      </c>
      <c r="F699" s="140">
        <f>+SUMIFS(FINANCIACION[$ CAPITAL],FINANCIACION[Fecha],"&lt;="&amp;FINANCIACION[[#This Row],[Fecha]],FINANCIACION[PRESTAMO],FINANCIACION[[#This Row],[PRESTAMO]])</f>
        <v>-154907553</v>
      </c>
      <c r="G699" s="140"/>
      <c r="H699" s="141"/>
      <c r="I699" s="142"/>
      <c r="J699" s="140">
        <f>+IF(FINANCIACION[[#This Row],[$ CAPITAL]]&gt;0,FINANCIACION[[#This Row],[$ CAPITAL]])</f>
        <v>5734658</v>
      </c>
      <c r="K699" s="143">
        <f>+IF(FINANCIACION[[#This Row],[$ CAPITAL]]&gt;=0,FINANCIACION[[#This Row],[$ CAPITAL]]+FINANCIACION[[#This Row],[$ INTERESES]],0)</f>
        <v>8377777</v>
      </c>
    </row>
    <row r="700" spans="1:11" ht="24" customHeight="1" x14ac:dyDescent="0.25">
      <c r="A700" s="138">
        <v>45567</v>
      </c>
      <c r="B700" s="139" t="s">
        <v>236</v>
      </c>
      <c r="C700" s="140">
        <v>2323315</v>
      </c>
      <c r="D700" s="140"/>
      <c r="E700" s="140">
        <f>+IF(FINANCIACION[[#This Row],[$ CAPITAL]]&gt;=0,FINANCIACION[[#This Row],[$ CAPITAL]]+FINANCIACION[[#This Row],[$ INTERESES]],"")</f>
        <v>2323315</v>
      </c>
      <c r="F700" s="140">
        <f>+SUMIFS(FINANCIACION[$ CAPITAL],FINANCIACION[Fecha],"&lt;="&amp;FINANCIACION[[#This Row],[Fecha]],FINANCIACION[PRESTAMO],FINANCIACION[[#This Row],[PRESTAMO]])</f>
        <v>-16185884</v>
      </c>
      <c r="G700" s="140"/>
      <c r="H700" s="141"/>
      <c r="I700" s="142"/>
      <c r="J700" s="140">
        <f>+IF(FINANCIACION[[#This Row],[$ CAPITAL]]&gt;0,FINANCIACION[[#This Row],[$ CAPITAL]])</f>
        <v>2323315</v>
      </c>
      <c r="K700" s="143">
        <f>+IF(FINANCIACION[[#This Row],[$ CAPITAL]]&gt;=0,FINANCIACION[[#This Row],[$ CAPITAL]]+FINANCIACION[[#This Row],[$ INTERESES]],0)</f>
        <v>2323315</v>
      </c>
    </row>
    <row r="701" spans="1:11" ht="24" customHeight="1" x14ac:dyDescent="0.25">
      <c r="A701" s="138">
        <v>45567</v>
      </c>
      <c r="B701" s="139" t="s">
        <v>238</v>
      </c>
      <c r="C701" s="140">
        <v>500000</v>
      </c>
      <c r="D701" s="140"/>
      <c r="E701" s="140">
        <f>+IF(FINANCIACION[[#This Row],[$ CAPITAL]]&gt;=0,FINANCIACION[[#This Row],[$ CAPITAL]]+FINANCIACION[[#This Row],[$ INTERESES]],"")</f>
        <v>500000</v>
      </c>
      <c r="F701" s="140">
        <f>+SUMIFS(FINANCIACION[$ CAPITAL],FINANCIACION[Fecha],"&lt;="&amp;FINANCIACION[[#This Row],[Fecha]],FINANCIACION[PRESTAMO],FINANCIACION[[#This Row],[PRESTAMO]])</f>
        <v>-1408636</v>
      </c>
      <c r="G701" s="140"/>
      <c r="H701" s="141" t="s">
        <v>971</v>
      </c>
      <c r="I701" s="142"/>
      <c r="J701" s="140">
        <f>+IF(FINANCIACION[[#This Row],[$ CAPITAL]]&gt;0,FINANCIACION[[#This Row],[$ CAPITAL]])</f>
        <v>500000</v>
      </c>
      <c r="K701" s="143">
        <f>+IF(FINANCIACION[[#This Row],[$ CAPITAL]]&gt;=0,FINANCIACION[[#This Row],[$ CAPITAL]]+FINANCIACION[[#This Row],[$ INTERESES]],0)</f>
        <v>500000</v>
      </c>
    </row>
    <row r="702" spans="1:11" ht="24" customHeight="1" x14ac:dyDescent="0.25">
      <c r="A702" s="138">
        <v>45567</v>
      </c>
      <c r="B702" s="139" t="s">
        <v>238</v>
      </c>
      <c r="C702" s="140">
        <v>346050</v>
      </c>
      <c r="D702" s="140"/>
      <c r="E702" s="140">
        <f>+IF(FINANCIACION[[#This Row],[$ CAPITAL]]&gt;=0,FINANCIACION[[#This Row],[$ CAPITAL]]+FINANCIACION[[#This Row],[$ INTERESES]],"")</f>
        <v>346050</v>
      </c>
      <c r="F702" s="140">
        <f>+SUMIFS(FINANCIACION[$ CAPITAL],FINANCIACION[Fecha],"&lt;="&amp;FINANCIACION[[#This Row],[Fecha]],FINANCIACION[PRESTAMO],FINANCIACION[[#This Row],[PRESTAMO]])</f>
        <v>-1408636</v>
      </c>
      <c r="G702" s="140"/>
      <c r="H702" s="141" t="s">
        <v>972</v>
      </c>
      <c r="I702" s="142"/>
      <c r="J702" s="140">
        <f>+IF(FINANCIACION[[#This Row],[$ CAPITAL]]&gt;0,FINANCIACION[[#This Row],[$ CAPITAL]])</f>
        <v>346050</v>
      </c>
      <c r="K702" s="143">
        <f>+IF(FINANCIACION[[#This Row],[$ CAPITAL]]&gt;=0,FINANCIACION[[#This Row],[$ CAPITAL]]+FINANCIACION[[#This Row],[$ INTERESES]],0)</f>
        <v>346050</v>
      </c>
    </row>
    <row r="703" spans="1:11" ht="24" customHeight="1" x14ac:dyDescent="0.25">
      <c r="A703" s="138">
        <v>45576</v>
      </c>
      <c r="B703" s="139" t="s">
        <v>141</v>
      </c>
      <c r="C703" s="140"/>
      <c r="D703" s="140">
        <v>130000</v>
      </c>
      <c r="E703" s="140">
        <f>+IF(FINANCIACION[[#This Row],[$ CAPITAL]]&gt;=0,FINANCIACION[[#This Row],[$ CAPITAL]]+FINANCIACION[[#This Row],[$ INTERESES]],"")</f>
        <v>130000</v>
      </c>
      <c r="F703" s="140">
        <f>+SUMIFS(FINANCIACION[$ CAPITAL],FINANCIACION[Fecha],"&lt;="&amp;FINANCIACION[[#This Row],[Fecha]],FINANCIACION[PRESTAMO],FINANCIACION[[#This Row],[PRESTAMO]])</f>
        <v>-13000000</v>
      </c>
      <c r="G703" s="140"/>
      <c r="H703" s="141"/>
      <c r="I703" s="142"/>
      <c r="J703" s="140" t="b">
        <f>+IF(FINANCIACION[[#This Row],[$ CAPITAL]]&gt;0,FINANCIACION[[#This Row],[$ CAPITAL]])</f>
        <v>0</v>
      </c>
      <c r="K703" s="143">
        <f>+IF(FINANCIACION[[#This Row],[$ CAPITAL]]&gt;=0,FINANCIACION[[#This Row],[$ CAPITAL]]+FINANCIACION[[#This Row],[$ INTERESES]],0)</f>
        <v>130000</v>
      </c>
    </row>
    <row r="704" spans="1:11" ht="24" customHeight="1" x14ac:dyDescent="0.25">
      <c r="A704" s="138">
        <v>45576</v>
      </c>
      <c r="B704" s="139" t="s">
        <v>219</v>
      </c>
      <c r="C704" s="140"/>
      <c r="D704" s="140">
        <v>700000</v>
      </c>
      <c r="E704" s="140">
        <f>+IF(FINANCIACION[[#This Row],[$ CAPITAL]]&gt;=0,FINANCIACION[[#This Row],[$ CAPITAL]]+FINANCIACION[[#This Row],[$ INTERESES]],"")</f>
        <v>700000</v>
      </c>
      <c r="F704" s="140">
        <f>+SUMIFS(FINANCIACION[$ CAPITAL],FINANCIACION[Fecha],"&lt;="&amp;FINANCIACION[[#This Row],[Fecha]],FINANCIACION[PRESTAMO],FINANCIACION[[#This Row],[PRESTAMO]])</f>
        <v>-190000000</v>
      </c>
      <c r="G704" s="140"/>
      <c r="H704" s="141"/>
      <c r="I704" s="142"/>
      <c r="J704" s="140" t="b">
        <f>+IF(FINANCIACION[[#This Row],[$ CAPITAL]]&gt;0,FINANCIACION[[#This Row],[$ CAPITAL]])</f>
        <v>0</v>
      </c>
      <c r="K704" s="143">
        <f>+IF(FINANCIACION[[#This Row],[$ CAPITAL]]&gt;=0,FINANCIACION[[#This Row],[$ CAPITAL]]+FINANCIACION[[#This Row],[$ INTERESES]],0)</f>
        <v>700000</v>
      </c>
    </row>
    <row r="705" spans="1:11" ht="24" customHeight="1" x14ac:dyDescent="0.25">
      <c r="A705" s="138">
        <v>45576</v>
      </c>
      <c r="B705" s="139" t="s">
        <v>143</v>
      </c>
      <c r="C705" s="140"/>
      <c r="D705" s="140">
        <v>200000</v>
      </c>
      <c r="E705" s="140">
        <f>+IF(FINANCIACION[[#This Row],[$ CAPITAL]]&gt;=0,FINANCIACION[[#This Row],[$ CAPITAL]]+FINANCIACION[[#This Row],[$ INTERESES]],"")</f>
        <v>200000</v>
      </c>
      <c r="F705" s="140">
        <f>+SUMIFS(FINANCIACION[$ CAPITAL],FINANCIACION[Fecha],"&lt;="&amp;FINANCIACION[[#This Row],[Fecha]],FINANCIACION[PRESTAMO],FINANCIACION[[#This Row],[PRESTAMO]])</f>
        <v>-20000000</v>
      </c>
      <c r="G705" s="140"/>
      <c r="H705" s="141"/>
      <c r="I705" s="142"/>
      <c r="J705" s="140" t="b">
        <f>+IF(FINANCIACION[[#This Row],[$ CAPITAL]]&gt;0,FINANCIACION[[#This Row],[$ CAPITAL]])</f>
        <v>0</v>
      </c>
      <c r="K705" s="143">
        <f>+IF(FINANCIACION[[#This Row],[$ CAPITAL]]&gt;=0,FINANCIACION[[#This Row],[$ CAPITAL]]+FINANCIACION[[#This Row],[$ INTERESES]],0)</f>
        <v>200000</v>
      </c>
    </row>
    <row r="706" spans="1:11" ht="24" customHeight="1" x14ac:dyDescent="0.25">
      <c r="A706" s="138">
        <v>45576</v>
      </c>
      <c r="B706" s="139" t="s">
        <v>135</v>
      </c>
      <c r="C706" s="140">
        <v>769662.57000000007</v>
      </c>
      <c r="D706" s="140">
        <v>230337.43</v>
      </c>
      <c r="E706" s="140">
        <f>+IF(FINANCIACION[[#This Row],[$ CAPITAL]]&gt;=0,FINANCIACION[[#This Row],[$ CAPITAL]]+FINANCIACION[[#This Row],[$ INTERESES]],"")</f>
        <v>1000000</v>
      </c>
      <c r="F706" s="140">
        <f>+SUMIFS(FINANCIACION[$ CAPITAL],FINANCIACION[Fecha],"&lt;="&amp;FINANCIACION[[#This Row],[Fecha]],FINANCIACION[PRESTAMO],FINANCIACION[[#This Row],[PRESTAMO]])</f>
        <v>-22264080.889624797</v>
      </c>
      <c r="G706" s="140"/>
      <c r="H706" s="141"/>
      <c r="I706" s="142"/>
      <c r="J706" s="140">
        <f>+IF(FINANCIACION[[#This Row],[$ CAPITAL]]&gt;0,FINANCIACION[[#This Row],[$ CAPITAL]])</f>
        <v>769662.57000000007</v>
      </c>
      <c r="K706" s="143">
        <f>+IF(FINANCIACION[[#This Row],[$ CAPITAL]]&gt;=0,FINANCIACION[[#This Row],[$ CAPITAL]]+FINANCIACION[[#This Row],[$ INTERESES]],0)</f>
        <v>1000000</v>
      </c>
    </row>
    <row r="707" spans="1:11" ht="24" customHeight="1" x14ac:dyDescent="0.25">
      <c r="A707" s="138">
        <v>45581</v>
      </c>
      <c r="B707" s="139" t="s">
        <v>237</v>
      </c>
      <c r="C707" s="140">
        <v>5000000</v>
      </c>
      <c r="D707" s="140"/>
      <c r="E707" s="140">
        <f>+IF(FINANCIACION[[#This Row],[$ CAPITAL]]&gt;=0,FINANCIACION[[#This Row],[$ CAPITAL]]+FINANCIACION[[#This Row],[$ INTERESES]],"")</f>
        <v>5000000</v>
      </c>
      <c r="F707" s="140">
        <f>+SUMIFS(FINANCIACION[$ CAPITAL],FINANCIACION[Fecha],"&lt;="&amp;FINANCIACION[[#This Row],[Fecha]],FINANCIACION[PRESTAMO],FINANCIACION[[#This Row],[PRESTAMO]])</f>
        <v>-49355408</v>
      </c>
      <c r="G707" s="140"/>
      <c r="H707" s="141"/>
      <c r="I707" s="142"/>
      <c r="J707" s="140">
        <f>+IF(FINANCIACION[[#This Row],[$ CAPITAL]]&gt;0,FINANCIACION[[#This Row],[$ CAPITAL]])</f>
        <v>5000000</v>
      </c>
      <c r="K707" s="143">
        <f>+IF(FINANCIACION[[#This Row],[$ CAPITAL]]&gt;=0,FINANCIACION[[#This Row],[$ CAPITAL]]+FINANCIACION[[#This Row],[$ INTERESES]],0)</f>
        <v>5000000</v>
      </c>
    </row>
    <row r="708" spans="1:11" ht="24" customHeight="1" x14ac:dyDescent="0.25">
      <c r="A708" s="138">
        <v>45582</v>
      </c>
      <c r="B708" s="139" t="s">
        <v>219</v>
      </c>
      <c r="C708" s="140">
        <v>-5000000</v>
      </c>
      <c r="D708" s="140"/>
      <c r="E708" s="140" t="str">
        <f>+IF(FINANCIACION[[#This Row],[$ CAPITAL]]&gt;=0,FINANCIACION[[#This Row],[$ CAPITAL]]+FINANCIACION[[#This Row],[$ INTERESES]],"")</f>
        <v/>
      </c>
      <c r="F708" s="140">
        <f>+SUMIFS(FINANCIACION[$ CAPITAL],FINANCIACION[Fecha],"&lt;="&amp;FINANCIACION[[#This Row],[Fecha]],FINANCIACION[PRESTAMO],FINANCIACION[[#This Row],[PRESTAMO]])</f>
        <v>-195000000</v>
      </c>
      <c r="G708" s="140"/>
      <c r="H708" s="141" t="s">
        <v>915</v>
      </c>
      <c r="I708" s="142"/>
      <c r="J708" s="140" t="b">
        <f>+IF(FINANCIACION[[#This Row],[$ CAPITAL]]&gt;0,FINANCIACION[[#This Row],[$ CAPITAL]])</f>
        <v>0</v>
      </c>
      <c r="K708" s="143">
        <f>+IF(FINANCIACION[[#This Row],[$ CAPITAL]]&gt;=0,FINANCIACION[[#This Row],[$ CAPITAL]]+FINANCIACION[[#This Row],[$ INTERESES]],0)</f>
        <v>0</v>
      </c>
    </row>
    <row r="709" spans="1:11" ht="24" customHeight="1" x14ac:dyDescent="0.25">
      <c r="A709" s="138">
        <v>45583</v>
      </c>
      <c r="B709" s="139" t="s">
        <v>137</v>
      </c>
      <c r="C709" s="140">
        <v>5456022</v>
      </c>
      <c r="D709" s="140">
        <v>1543978</v>
      </c>
      <c r="E709" s="140">
        <f>+IF(FINANCIACION[[#This Row],[$ CAPITAL]]&gt;=0,FINANCIACION[[#This Row],[$ CAPITAL]]+FINANCIACION[[#This Row],[$ INTERESES]],"")</f>
        <v>7000000</v>
      </c>
      <c r="F709" s="140">
        <f>+SUMIFS(FINANCIACION[$ CAPITAL],FINANCIACION[Fecha],"&lt;="&amp;FINANCIACION[[#This Row],[Fecha]],FINANCIACION[PRESTAMO],FINANCIACION[[#This Row],[PRESTAMO]])</f>
        <v>-82038696</v>
      </c>
      <c r="G709" s="140"/>
      <c r="H709" s="141"/>
      <c r="I709" s="142"/>
      <c r="J709" s="140">
        <f>+IF(FINANCIACION[[#This Row],[$ CAPITAL]]&gt;0,FINANCIACION[[#This Row],[$ CAPITAL]])</f>
        <v>5456022</v>
      </c>
      <c r="K709" s="143">
        <f>+IF(FINANCIACION[[#This Row],[$ CAPITAL]]&gt;=0,FINANCIACION[[#This Row],[$ CAPITAL]]+FINANCIACION[[#This Row],[$ INTERESES]],0)</f>
        <v>7000000</v>
      </c>
    </row>
    <row r="710" spans="1:11" ht="24" customHeight="1" x14ac:dyDescent="0.25">
      <c r="A710" s="138">
        <v>45586</v>
      </c>
      <c r="B710" s="139" t="s">
        <v>146</v>
      </c>
      <c r="C710" s="140"/>
      <c r="D710" s="140">
        <v>1400000</v>
      </c>
      <c r="E710" s="140">
        <f>+IF(FINANCIACION[[#This Row],[$ CAPITAL]]&gt;=0,FINANCIACION[[#This Row],[$ CAPITAL]]+FINANCIACION[[#This Row],[$ INTERESES]],"")</f>
        <v>1400000</v>
      </c>
      <c r="F710" s="140">
        <f>+SUMIFS(FINANCIACION[$ CAPITAL],FINANCIACION[Fecha],"&lt;="&amp;FINANCIACION[[#This Row],[Fecha]],FINANCIACION[PRESTAMO],FINANCIACION[[#This Row],[PRESTAMO]])</f>
        <v>-140000000</v>
      </c>
      <c r="G710" s="140"/>
      <c r="H710" s="141"/>
      <c r="I710" s="142"/>
      <c r="J710" s="140" t="b">
        <f>+IF(FINANCIACION[[#This Row],[$ CAPITAL]]&gt;0,FINANCIACION[[#This Row],[$ CAPITAL]])</f>
        <v>0</v>
      </c>
      <c r="K710" s="143">
        <f>+IF(FINANCIACION[[#This Row],[$ CAPITAL]]&gt;=0,FINANCIACION[[#This Row],[$ CAPITAL]]+FINANCIACION[[#This Row],[$ INTERESES]],0)</f>
        <v>1400000</v>
      </c>
    </row>
    <row r="711" spans="1:11" ht="24" customHeight="1" x14ac:dyDescent="0.25">
      <c r="A711" s="138">
        <v>45586</v>
      </c>
      <c r="B711" s="139" t="s">
        <v>908</v>
      </c>
      <c r="C711" s="140"/>
      <c r="D711" s="140">
        <v>1044285</v>
      </c>
      <c r="E711" s="140">
        <f>+IF(FINANCIACION[[#This Row],[$ CAPITAL]]&gt;=0,FINANCIACION[[#This Row],[$ CAPITAL]]+FINANCIACION[[#This Row],[$ INTERESES]],"")</f>
        <v>1044285</v>
      </c>
      <c r="F711" s="140">
        <f>+SUMIFS(FINANCIACION[$ CAPITAL],FINANCIACION[Fecha],"&lt;="&amp;FINANCIACION[[#This Row],[Fecha]],FINANCIACION[PRESTAMO],FINANCIACION[[#This Row],[PRESTAMO]])</f>
        <v>-85867698</v>
      </c>
      <c r="G711" s="140"/>
      <c r="H711" s="141"/>
      <c r="I711" s="142"/>
      <c r="J711" s="140" t="b">
        <f>+IF(FINANCIACION[[#This Row],[$ CAPITAL]]&gt;0,FINANCIACION[[#This Row],[$ CAPITAL]])</f>
        <v>0</v>
      </c>
      <c r="K711" s="143">
        <f>+IF(FINANCIACION[[#This Row],[$ CAPITAL]]&gt;=0,FINANCIACION[[#This Row],[$ CAPITAL]]+FINANCIACION[[#This Row],[$ INTERESES]],0)</f>
        <v>1044285</v>
      </c>
    </row>
    <row r="712" spans="1:11" ht="24" customHeight="1" x14ac:dyDescent="0.25">
      <c r="A712" s="138">
        <v>45586</v>
      </c>
      <c r="B712" s="139" t="s">
        <v>233</v>
      </c>
      <c r="C712" s="140">
        <v>2778000</v>
      </c>
      <c r="D712" s="140">
        <v>1037307</v>
      </c>
      <c r="E712" s="140">
        <f>+IF(FINANCIACION[[#This Row],[$ CAPITAL]]&gt;=0,FINANCIACION[[#This Row],[$ CAPITAL]]+FINANCIACION[[#This Row],[$ INTERESES]],"")</f>
        <v>3815307</v>
      </c>
      <c r="F712" s="140">
        <f>+SUMIFS(FINANCIACION[$ CAPITAL],FINANCIACION[Fecha],"&lt;="&amp;FINANCIACION[[#This Row],[Fecha]],FINANCIACION[PRESTAMO],FINANCIACION[[#This Row],[PRESTAMO]])</f>
        <v>-72565769</v>
      </c>
      <c r="G712" s="140"/>
      <c r="H712" s="141"/>
      <c r="I712" s="142"/>
      <c r="J712" s="140">
        <f>+IF(FINANCIACION[[#This Row],[$ CAPITAL]]&gt;0,FINANCIACION[[#This Row],[$ CAPITAL]])</f>
        <v>2778000</v>
      </c>
      <c r="K712" s="143">
        <f>+IF(FINANCIACION[[#This Row],[$ CAPITAL]]&gt;=0,FINANCIACION[[#This Row],[$ CAPITAL]]+FINANCIACION[[#This Row],[$ INTERESES]],0)</f>
        <v>3815307</v>
      </c>
    </row>
    <row r="713" spans="1:11" ht="24" customHeight="1" x14ac:dyDescent="0.25">
      <c r="A713" s="138">
        <v>45590</v>
      </c>
      <c r="B713" s="139" t="s">
        <v>250</v>
      </c>
      <c r="C713" s="140">
        <v>4167000</v>
      </c>
      <c r="D713" s="140">
        <v>275538</v>
      </c>
      <c r="E713" s="140">
        <f>+IF(FINANCIACION[[#This Row],[$ CAPITAL]]&gt;=0,FINANCIACION[[#This Row],[$ CAPITAL]]+FINANCIACION[[#This Row],[$ INTERESES]],"")</f>
        <v>4442538</v>
      </c>
      <c r="F713" s="140">
        <f>+SUMIFS(FINANCIACION[$ CAPITAL],FINANCIACION[Fecha],"&lt;="&amp;FINANCIACION[[#This Row],[Fecha]],FINANCIACION[PRESTAMO],FINANCIACION[[#This Row],[PRESTAMO]])</f>
        <v>-16709923</v>
      </c>
      <c r="G713" s="140"/>
      <c r="H713" s="141"/>
      <c r="I713" s="142"/>
      <c r="J713" s="140">
        <f>+IF(FINANCIACION[[#This Row],[$ CAPITAL]]&gt;0,FINANCIACION[[#This Row],[$ CAPITAL]])</f>
        <v>4167000</v>
      </c>
      <c r="K713" s="143">
        <f>+IF(FINANCIACION[[#This Row],[$ CAPITAL]]&gt;=0,FINANCIACION[[#This Row],[$ CAPITAL]]+FINANCIACION[[#This Row],[$ INTERESES]],0)</f>
        <v>4442538</v>
      </c>
    </row>
    <row r="714" spans="1:11" ht="24" customHeight="1" x14ac:dyDescent="0.25">
      <c r="A714" s="138">
        <v>45590</v>
      </c>
      <c r="B714" s="139" t="s">
        <v>239</v>
      </c>
      <c r="C714" s="140">
        <v>1481481</v>
      </c>
      <c r="D714" s="140">
        <v>451519</v>
      </c>
      <c r="E714" s="140">
        <f>+IF(FINANCIACION[[#This Row],[$ CAPITAL]]&gt;=0,FINANCIACION[[#This Row],[$ CAPITAL]]+FINANCIACION[[#This Row],[$ INTERESES]],"")</f>
        <v>1933000</v>
      </c>
      <c r="F714" s="140">
        <f>+SUMIFS(FINANCIACION[$ CAPITAL],FINANCIACION[Fecha],"&lt;="&amp;FINANCIACION[[#This Row],[Fecha]],FINANCIACION[PRESTAMO],FINANCIACION[[#This Row],[PRESTAMO]])</f>
        <v>-37031916.050000004</v>
      </c>
      <c r="G714" s="140"/>
      <c r="H714" s="141"/>
      <c r="I714" s="142"/>
      <c r="J714" s="140">
        <f>+IF(FINANCIACION[[#This Row],[$ CAPITAL]]&gt;0,FINANCIACION[[#This Row],[$ CAPITAL]])</f>
        <v>1481481</v>
      </c>
      <c r="K714" s="143">
        <f>+IF(FINANCIACION[[#This Row],[$ CAPITAL]]&gt;=0,FINANCIACION[[#This Row],[$ CAPITAL]]+FINANCIACION[[#This Row],[$ INTERESES]],0)</f>
        <v>1933000</v>
      </c>
    </row>
    <row r="715" spans="1:11" ht="24" customHeight="1" x14ac:dyDescent="0.25">
      <c r="A715" s="138">
        <v>45591</v>
      </c>
      <c r="B715" s="139" t="s">
        <v>136</v>
      </c>
      <c r="C715" s="140">
        <v>1728203.94</v>
      </c>
      <c r="D715" s="140">
        <v>271796.06</v>
      </c>
      <c r="E715" s="140">
        <f>+IF(FINANCIACION[[#This Row],[$ CAPITAL]]&gt;=0,FINANCIACION[[#This Row],[$ CAPITAL]]+FINANCIACION[[#This Row],[$ INTERESES]],"")</f>
        <v>2000000</v>
      </c>
      <c r="F715" s="140">
        <f>+SUMIFS(FINANCIACION[$ CAPITAL],FINANCIACION[Fecha],"&lt;="&amp;FINANCIACION[[#This Row],[Fecha]],FINANCIACION[PRESTAMO],FINANCIACION[[#This Row],[PRESTAMO]])</f>
        <v>-25451402.432562865</v>
      </c>
      <c r="G715" s="140"/>
      <c r="H715" s="141" t="s">
        <v>934</v>
      </c>
      <c r="I715" s="142"/>
      <c r="J715" s="140">
        <f>+IF(FINANCIACION[[#This Row],[$ CAPITAL]]&gt;0,FINANCIACION[[#This Row],[$ CAPITAL]])</f>
        <v>1728203.94</v>
      </c>
      <c r="K715" s="143">
        <f>+IF(FINANCIACION[[#This Row],[$ CAPITAL]]&gt;=0,FINANCIACION[[#This Row],[$ CAPITAL]]+FINANCIACION[[#This Row],[$ INTERESES]],0)</f>
        <v>2000000</v>
      </c>
    </row>
    <row r="716" spans="1:11" ht="24" customHeight="1" x14ac:dyDescent="0.25">
      <c r="A716" s="138">
        <v>45595</v>
      </c>
      <c r="B716" s="139" t="s">
        <v>219</v>
      </c>
      <c r="C716" s="140">
        <v>-100000000</v>
      </c>
      <c r="D716" s="140"/>
      <c r="E716" s="140" t="str">
        <f>+IF(FINANCIACION[[#This Row],[$ CAPITAL]]&gt;=0,FINANCIACION[[#This Row],[$ CAPITAL]]+FINANCIACION[[#This Row],[$ INTERESES]],"")</f>
        <v/>
      </c>
      <c r="F716" s="140">
        <f>+SUMIFS(FINANCIACION[$ CAPITAL],FINANCIACION[Fecha],"&lt;="&amp;FINANCIACION[[#This Row],[Fecha]],FINANCIACION[PRESTAMO],FINANCIACION[[#This Row],[PRESTAMO]])</f>
        <v>-295000000</v>
      </c>
      <c r="G716" s="140"/>
      <c r="H716" s="141" t="s">
        <v>916</v>
      </c>
      <c r="I716" s="142"/>
      <c r="J716" s="140" t="b">
        <f>+IF(FINANCIACION[[#This Row],[$ CAPITAL]]&gt;0,FINANCIACION[[#This Row],[$ CAPITAL]])</f>
        <v>0</v>
      </c>
      <c r="K716" s="143">
        <f>+IF(FINANCIACION[[#This Row],[$ CAPITAL]]&gt;=0,FINANCIACION[[#This Row],[$ CAPITAL]]+FINANCIACION[[#This Row],[$ INTERESES]],0)</f>
        <v>0</v>
      </c>
    </row>
    <row r="717" spans="1:11" ht="24" customHeight="1" x14ac:dyDescent="0.25">
      <c r="A717" s="138">
        <v>45595</v>
      </c>
      <c r="B717" s="139" t="s">
        <v>218</v>
      </c>
      <c r="C717" s="140">
        <v>58580000</v>
      </c>
      <c r="D717" s="140"/>
      <c r="E717" s="140">
        <f>+IF(FINANCIACION[[#This Row],[$ CAPITAL]]&gt;=0,FINANCIACION[[#This Row],[$ CAPITAL]]+FINANCIACION[[#This Row],[$ INTERESES]],"")</f>
        <v>58580000</v>
      </c>
      <c r="F717" s="140">
        <f>+SUMIFS(FINANCIACION[$ CAPITAL],FINANCIACION[Fecha],"&lt;="&amp;FINANCIACION[[#This Row],[Fecha]],FINANCIACION[PRESTAMO],FINANCIACION[[#This Row],[PRESTAMO]])</f>
        <v>-96327553</v>
      </c>
      <c r="G717" s="140"/>
      <c r="H717" s="141" t="s">
        <v>953</v>
      </c>
      <c r="I717" s="142"/>
      <c r="J717" s="140">
        <f>+IF(FINANCIACION[[#This Row],[$ CAPITAL]]&gt;0,FINANCIACION[[#This Row],[$ CAPITAL]])</f>
        <v>58580000</v>
      </c>
      <c r="K717" s="143">
        <f>+IF(FINANCIACION[[#This Row],[$ CAPITAL]]&gt;=0,FINANCIACION[[#This Row],[$ CAPITAL]]+FINANCIACION[[#This Row],[$ INTERESES]],0)</f>
        <v>58580000</v>
      </c>
    </row>
    <row r="718" spans="1:11" ht="24" customHeight="1" x14ac:dyDescent="0.25">
      <c r="A718" s="138">
        <v>45595</v>
      </c>
      <c r="B718" s="139" t="s">
        <v>236</v>
      </c>
      <c r="C718" s="140">
        <v>2183695</v>
      </c>
      <c r="D718" s="140"/>
      <c r="E718" s="140">
        <f>+IF(FINANCIACION[[#This Row],[$ CAPITAL]]&gt;=0,FINANCIACION[[#This Row],[$ CAPITAL]]+FINANCIACION[[#This Row],[$ INTERESES]],"")</f>
        <v>2183695</v>
      </c>
      <c r="F718" s="140">
        <f>+SUMIFS(FINANCIACION[$ CAPITAL],FINANCIACION[Fecha],"&lt;="&amp;FINANCIACION[[#This Row],[Fecha]],FINANCIACION[PRESTAMO],FINANCIACION[[#This Row],[PRESTAMO]])</f>
        <v>-14002189</v>
      </c>
      <c r="G718" s="140"/>
      <c r="H718" s="141"/>
      <c r="I718" s="142"/>
      <c r="J718" s="140">
        <f>+IF(FINANCIACION[[#This Row],[$ CAPITAL]]&gt;0,FINANCIACION[[#This Row],[$ CAPITAL]])</f>
        <v>2183695</v>
      </c>
      <c r="K718" s="143">
        <f>+IF(FINANCIACION[[#This Row],[$ CAPITAL]]&gt;=0,FINANCIACION[[#This Row],[$ CAPITAL]]+FINANCIACION[[#This Row],[$ INTERESES]],0)</f>
        <v>2183695</v>
      </c>
    </row>
    <row r="719" spans="1:11" ht="24" customHeight="1" x14ac:dyDescent="0.25">
      <c r="A719" s="138">
        <v>45595</v>
      </c>
      <c r="B719" s="139" t="s">
        <v>237</v>
      </c>
      <c r="C719" s="140">
        <v>10000000</v>
      </c>
      <c r="D719" s="140"/>
      <c r="E719" s="140">
        <f>+IF(FINANCIACION[[#This Row],[$ CAPITAL]]&gt;=0,FINANCIACION[[#This Row],[$ CAPITAL]]+FINANCIACION[[#This Row],[$ INTERESES]],"")</f>
        <v>10000000</v>
      </c>
      <c r="F719" s="140">
        <f>+SUMIFS(FINANCIACION[$ CAPITAL],FINANCIACION[Fecha],"&lt;="&amp;FINANCIACION[[#This Row],[Fecha]],FINANCIACION[PRESTAMO],FINANCIACION[[#This Row],[PRESTAMO]])</f>
        <v>-39355408</v>
      </c>
      <c r="G719" s="140"/>
      <c r="H719" s="141"/>
      <c r="I719" s="142"/>
      <c r="J719" s="140">
        <f>+IF(FINANCIACION[[#This Row],[$ CAPITAL]]&gt;0,FINANCIACION[[#This Row],[$ CAPITAL]])</f>
        <v>10000000</v>
      </c>
      <c r="K719" s="143">
        <f>+IF(FINANCIACION[[#This Row],[$ CAPITAL]]&gt;=0,FINANCIACION[[#This Row],[$ CAPITAL]]+FINANCIACION[[#This Row],[$ INTERESES]],0)</f>
        <v>10000000</v>
      </c>
    </row>
    <row r="720" spans="1:11" ht="24" customHeight="1" x14ac:dyDescent="0.25">
      <c r="A720" s="138">
        <v>45596</v>
      </c>
      <c r="B720" s="139" t="s">
        <v>233</v>
      </c>
      <c r="C720" s="140">
        <v>-15550</v>
      </c>
      <c r="D720" s="140"/>
      <c r="E720" s="140" t="str">
        <f>+IF(FINANCIACION[[#This Row],[$ CAPITAL]]&gt;=0,FINANCIACION[[#This Row],[$ CAPITAL]]+FINANCIACION[[#This Row],[$ INTERESES]],"")</f>
        <v/>
      </c>
      <c r="F720" s="140">
        <f>+SUMIFS(FINANCIACION[$ CAPITAL],FINANCIACION[Fecha],"&lt;="&amp;FINANCIACION[[#This Row],[Fecha]],FINANCIACION[PRESTAMO],FINANCIACION[[#This Row],[PRESTAMO]])</f>
        <v>-72581319</v>
      </c>
      <c r="G720" s="140"/>
      <c r="H720" s="141" t="s">
        <v>72</v>
      </c>
      <c r="I720" s="142"/>
      <c r="J720" s="140" t="b">
        <f>+IF(FINANCIACION[[#This Row],[$ CAPITAL]]&gt;0,FINANCIACION[[#This Row],[$ CAPITAL]])</f>
        <v>0</v>
      </c>
      <c r="K720" s="143">
        <f>+IF(FINANCIACION[[#This Row],[$ CAPITAL]]&gt;=0,FINANCIACION[[#This Row],[$ CAPITAL]]+FINANCIACION[[#This Row],[$ INTERESES]],0)</f>
        <v>0</v>
      </c>
    </row>
    <row r="721" spans="1:11" ht="24" customHeight="1" x14ac:dyDescent="0.25">
      <c r="A721" s="138">
        <v>45596</v>
      </c>
      <c r="B721" s="139" t="s">
        <v>250</v>
      </c>
      <c r="C721" s="140">
        <v>2272</v>
      </c>
      <c r="D721" s="140"/>
      <c r="E721" s="140">
        <f>+IF(FINANCIACION[[#This Row],[$ CAPITAL]]&gt;=0,FINANCIACION[[#This Row],[$ CAPITAL]]+FINANCIACION[[#This Row],[$ INTERESES]],"")</f>
        <v>2272</v>
      </c>
      <c r="F721" s="140">
        <f>+SUMIFS(FINANCIACION[$ CAPITAL],FINANCIACION[Fecha],"&lt;="&amp;FINANCIACION[[#This Row],[Fecha]],FINANCIACION[PRESTAMO],FINANCIACION[[#This Row],[PRESTAMO]])</f>
        <v>-16707651</v>
      </c>
      <c r="G721" s="140"/>
      <c r="H721" s="141" t="s">
        <v>72</v>
      </c>
      <c r="I721" s="142"/>
      <c r="J721" s="140">
        <f>+IF(FINANCIACION[[#This Row],[$ CAPITAL]]&gt;0,FINANCIACION[[#This Row],[$ CAPITAL]])</f>
        <v>2272</v>
      </c>
      <c r="K721" s="143">
        <f>+IF(FINANCIACION[[#This Row],[$ CAPITAL]]&gt;=0,FINANCIACION[[#This Row],[$ CAPITAL]]+FINANCIACION[[#This Row],[$ INTERESES]],0)</f>
        <v>2272</v>
      </c>
    </row>
    <row r="722" spans="1:11" ht="24" customHeight="1" x14ac:dyDescent="0.25">
      <c r="A722" s="138">
        <v>45596</v>
      </c>
      <c r="B722" s="139" t="s">
        <v>239</v>
      </c>
      <c r="C722" s="140">
        <v>-7426</v>
      </c>
      <c r="D722" s="140"/>
      <c r="E722" s="140" t="str">
        <f>+IF(FINANCIACION[[#This Row],[$ CAPITAL]]&gt;=0,FINANCIACION[[#This Row],[$ CAPITAL]]+FINANCIACION[[#This Row],[$ INTERESES]],"")</f>
        <v/>
      </c>
      <c r="F722" s="140">
        <f>+SUMIFS(FINANCIACION[$ CAPITAL],FINANCIACION[Fecha],"&lt;="&amp;FINANCIACION[[#This Row],[Fecha]],FINANCIACION[PRESTAMO],FINANCIACION[[#This Row],[PRESTAMO]])</f>
        <v>-37039342.050000004</v>
      </c>
      <c r="G722" s="140"/>
      <c r="H722" s="141" t="s">
        <v>72</v>
      </c>
      <c r="I722" s="142"/>
      <c r="J722" s="140" t="b">
        <f>+IF(FINANCIACION[[#This Row],[$ CAPITAL]]&gt;0,FINANCIACION[[#This Row],[$ CAPITAL]])</f>
        <v>0</v>
      </c>
      <c r="K722" s="143">
        <f>+IF(FINANCIACION[[#This Row],[$ CAPITAL]]&gt;=0,FINANCIACION[[#This Row],[$ CAPITAL]]+FINANCIACION[[#This Row],[$ INTERESES]],0)</f>
        <v>0</v>
      </c>
    </row>
    <row r="723" spans="1:11" ht="24" customHeight="1" x14ac:dyDescent="0.25">
      <c r="A723" s="138">
        <v>45596</v>
      </c>
      <c r="B723" s="139" t="s">
        <v>218</v>
      </c>
      <c r="C723" s="140">
        <v>-20975108</v>
      </c>
      <c r="D723" s="140"/>
      <c r="E723" s="140" t="str">
        <f>+IF(FINANCIACION[[#This Row],[$ CAPITAL]]&gt;=0,FINANCIACION[[#This Row],[$ CAPITAL]]+FINANCIACION[[#This Row],[$ INTERESES]],"")</f>
        <v/>
      </c>
      <c r="F723" s="140">
        <f>+SUMIFS(FINANCIACION[$ CAPITAL],FINANCIACION[Fecha],"&lt;="&amp;FINANCIACION[[#This Row],[Fecha]],FINANCIACION[PRESTAMO],FINANCIACION[[#This Row],[PRESTAMO]])</f>
        <v>-117302661</v>
      </c>
      <c r="G723" s="140"/>
      <c r="H723" s="141" t="s">
        <v>72</v>
      </c>
      <c r="I723" s="142"/>
      <c r="J723" s="140" t="b">
        <f>+IF(FINANCIACION[[#This Row],[$ CAPITAL]]&gt;0,FINANCIACION[[#This Row],[$ CAPITAL]])</f>
        <v>0</v>
      </c>
      <c r="K723" s="143">
        <f>+IF(FINANCIACION[[#This Row],[$ CAPITAL]]&gt;=0,FINANCIACION[[#This Row],[$ CAPITAL]]+FINANCIACION[[#This Row],[$ INTERESES]],0)</f>
        <v>0</v>
      </c>
    </row>
    <row r="724" spans="1:11" ht="24" customHeight="1" x14ac:dyDescent="0.25">
      <c r="A724" s="138">
        <v>45596</v>
      </c>
      <c r="B724" s="139" t="s">
        <v>137</v>
      </c>
      <c r="C724" s="140">
        <v>483651</v>
      </c>
      <c r="D724" s="140"/>
      <c r="E724" s="140">
        <f>+IF(FINANCIACION[[#This Row],[$ CAPITAL]]&gt;=0,FINANCIACION[[#This Row],[$ CAPITAL]]+FINANCIACION[[#This Row],[$ INTERESES]],"")</f>
        <v>483651</v>
      </c>
      <c r="F724" s="140">
        <f>+SUMIFS(FINANCIACION[$ CAPITAL],FINANCIACION[Fecha],"&lt;="&amp;FINANCIACION[[#This Row],[Fecha]],FINANCIACION[PRESTAMO],FINANCIACION[[#This Row],[PRESTAMO]])</f>
        <v>-81555045</v>
      </c>
      <c r="G724" s="140"/>
      <c r="H724" s="141" t="s">
        <v>72</v>
      </c>
      <c r="I724" s="142"/>
      <c r="J724" s="140">
        <f>+IF(FINANCIACION[[#This Row],[$ CAPITAL]]&gt;0,FINANCIACION[[#This Row],[$ CAPITAL]])</f>
        <v>483651</v>
      </c>
      <c r="K724" s="143">
        <f>+IF(FINANCIACION[[#This Row],[$ CAPITAL]]&gt;=0,FINANCIACION[[#This Row],[$ CAPITAL]]+FINANCIACION[[#This Row],[$ INTERESES]],0)</f>
        <v>483651</v>
      </c>
    </row>
    <row r="725" spans="1:11" ht="24" customHeight="1" x14ac:dyDescent="0.25">
      <c r="A725" s="138">
        <v>45596</v>
      </c>
      <c r="B725" s="139" t="s">
        <v>236</v>
      </c>
      <c r="C725" s="140">
        <v>-19731021</v>
      </c>
      <c r="D725" s="140">
        <v>655200</v>
      </c>
      <c r="E725" s="140" t="str">
        <f>+IF(FINANCIACION[[#This Row],[$ CAPITAL]]&gt;=0,FINANCIACION[[#This Row],[$ CAPITAL]]+FINANCIACION[[#This Row],[$ INTERESES]],"")</f>
        <v/>
      </c>
      <c r="F725" s="140">
        <f>+SUMIFS(FINANCIACION[$ CAPITAL],FINANCIACION[Fecha],"&lt;="&amp;FINANCIACION[[#This Row],[Fecha]],FINANCIACION[PRESTAMO],FINANCIACION[[#This Row],[PRESTAMO]])</f>
        <v>-33733210</v>
      </c>
      <c r="G725" s="140"/>
      <c r="H725" s="141" t="s">
        <v>72</v>
      </c>
      <c r="I725" s="142"/>
      <c r="J725" s="140" t="b">
        <f>+IF(FINANCIACION[[#This Row],[$ CAPITAL]]&gt;0,FINANCIACION[[#This Row],[$ CAPITAL]])</f>
        <v>0</v>
      </c>
      <c r="K725" s="143">
        <f>+IF(FINANCIACION[[#This Row],[$ CAPITAL]]&gt;=0,FINANCIACION[[#This Row],[$ CAPITAL]]+FINANCIACION[[#This Row],[$ INTERESES]],0)</f>
        <v>0</v>
      </c>
    </row>
    <row r="726" spans="1:11" ht="24" customHeight="1" x14ac:dyDescent="0.25">
      <c r="A726" s="138">
        <v>45596</v>
      </c>
      <c r="B726" s="139" t="s">
        <v>238</v>
      </c>
      <c r="C726" s="140">
        <v>-2020157</v>
      </c>
      <c r="D726" s="140">
        <v>53813</v>
      </c>
      <c r="E726" s="140" t="str">
        <f>+IF(FINANCIACION[[#This Row],[$ CAPITAL]]&gt;=0,FINANCIACION[[#This Row],[$ CAPITAL]]+FINANCIACION[[#This Row],[$ INTERESES]],"")</f>
        <v/>
      </c>
      <c r="F726" s="140">
        <f>+SUMIFS(FINANCIACION[$ CAPITAL],FINANCIACION[Fecha],"&lt;="&amp;FINANCIACION[[#This Row],[Fecha]],FINANCIACION[PRESTAMO],FINANCIACION[[#This Row],[PRESTAMO]])</f>
        <v>-3428793</v>
      </c>
      <c r="G726" s="140"/>
      <c r="H726" s="141" t="s">
        <v>72</v>
      </c>
      <c r="I726" s="142"/>
      <c r="J726" s="140" t="b">
        <f>+IF(FINANCIACION[[#This Row],[$ CAPITAL]]&gt;0,FINANCIACION[[#This Row],[$ CAPITAL]])</f>
        <v>0</v>
      </c>
      <c r="K726" s="143">
        <f>+IF(FINANCIACION[[#This Row],[$ CAPITAL]]&gt;=0,FINANCIACION[[#This Row],[$ CAPITAL]]+FINANCIACION[[#This Row],[$ INTERESES]],0)</f>
        <v>0</v>
      </c>
    </row>
    <row r="727" spans="1:11" ht="24" customHeight="1" x14ac:dyDescent="0.25">
      <c r="A727" s="138">
        <v>45596</v>
      </c>
      <c r="B727" s="139" t="s">
        <v>237</v>
      </c>
      <c r="C727" s="140">
        <v>-15547162</v>
      </c>
      <c r="D727" s="140">
        <v>1191355</v>
      </c>
      <c r="E727" s="140" t="str">
        <f>+IF(FINANCIACION[[#This Row],[$ CAPITAL]]&gt;=0,FINANCIACION[[#This Row],[$ CAPITAL]]+FINANCIACION[[#This Row],[$ INTERESES]],"")</f>
        <v/>
      </c>
      <c r="F727" s="140">
        <f>+SUMIFS(FINANCIACION[$ CAPITAL],FINANCIACION[Fecha],"&lt;="&amp;FINANCIACION[[#This Row],[Fecha]],FINANCIACION[PRESTAMO],FINANCIACION[[#This Row],[PRESTAMO]])</f>
        <v>-54902570</v>
      </c>
      <c r="G727" s="140"/>
      <c r="H727" s="141" t="s">
        <v>72</v>
      </c>
      <c r="I727" s="142"/>
      <c r="J727" s="140" t="b">
        <f>+IF(FINANCIACION[[#This Row],[$ CAPITAL]]&gt;0,FINANCIACION[[#This Row],[$ CAPITAL]])</f>
        <v>0</v>
      </c>
      <c r="K727" s="143">
        <f>+IF(FINANCIACION[[#This Row],[$ CAPITAL]]&gt;=0,FINANCIACION[[#This Row],[$ CAPITAL]]+FINANCIACION[[#This Row],[$ INTERESES]],0)</f>
        <v>0</v>
      </c>
    </row>
    <row r="728" spans="1:11" ht="24" customHeight="1" x14ac:dyDescent="0.25">
      <c r="A728" s="138">
        <v>45603</v>
      </c>
      <c r="B728" s="139" t="s">
        <v>237</v>
      </c>
      <c r="C728" s="140">
        <v>30000000</v>
      </c>
      <c r="D728" s="140"/>
      <c r="E728" s="140">
        <f>+IF(FINANCIACION[[#This Row],[$ CAPITAL]]&gt;=0,FINANCIACION[[#This Row],[$ CAPITAL]]+FINANCIACION[[#This Row],[$ INTERESES]],"")</f>
        <v>30000000</v>
      </c>
      <c r="F728" s="140">
        <f>+SUMIFS(FINANCIACION[$ CAPITAL],FINANCIACION[Fecha],"&lt;="&amp;FINANCIACION[[#This Row],[Fecha]],FINANCIACION[PRESTAMO],FINANCIACION[[#This Row],[PRESTAMO]])</f>
        <v>-24902570</v>
      </c>
      <c r="G728" s="140"/>
      <c r="H728" s="141"/>
      <c r="I728" s="142"/>
      <c r="J728" s="140">
        <f>+IF(FINANCIACION[[#This Row],[$ CAPITAL]]&gt;0,FINANCIACION[[#This Row],[$ CAPITAL]])</f>
        <v>30000000</v>
      </c>
      <c r="K728" s="143">
        <f>+IF(FINANCIACION[[#This Row],[$ CAPITAL]]&gt;=0,FINANCIACION[[#This Row],[$ CAPITAL]]+FINANCIACION[[#This Row],[$ INTERESES]],0)</f>
        <v>30000000</v>
      </c>
    </row>
    <row r="729" spans="1:11" ht="24" customHeight="1" x14ac:dyDescent="0.25">
      <c r="A729" s="138">
        <v>45604</v>
      </c>
      <c r="B729" s="139" t="s">
        <v>218</v>
      </c>
      <c r="C729" s="140">
        <v>4165213</v>
      </c>
      <c r="D729" s="140">
        <v>2852821</v>
      </c>
      <c r="E729" s="140">
        <f>+IF(FINANCIACION[[#This Row],[$ CAPITAL]]&gt;=0,FINANCIACION[[#This Row],[$ CAPITAL]]+FINANCIACION[[#This Row],[$ INTERESES]],"")</f>
        <v>7018034</v>
      </c>
      <c r="F729" s="140">
        <f>+SUMIFS(FINANCIACION[$ CAPITAL],FINANCIACION[Fecha],"&lt;="&amp;FINANCIACION[[#This Row],[Fecha]],FINANCIACION[PRESTAMO],FINANCIACION[[#This Row],[PRESTAMO]])</f>
        <v>-113137448</v>
      </c>
      <c r="G729" s="140"/>
      <c r="H729" s="141"/>
      <c r="I729" s="142"/>
      <c r="J729" s="140">
        <f>+IF(FINANCIACION[[#This Row],[$ CAPITAL]]&gt;0,FINANCIACION[[#This Row],[$ CAPITAL]])</f>
        <v>4165213</v>
      </c>
      <c r="K729" s="143">
        <f>+IF(FINANCIACION[[#This Row],[$ CAPITAL]]&gt;=0,FINANCIACION[[#This Row],[$ CAPITAL]]+FINANCIACION[[#This Row],[$ INTERESES]],0)</f>
        <v>7018034</v>
      </c>
    </row>
    <row r="730" spans="1:11" ht="24" customHeight="1" x14ac:dyDescent="0.25">
      <c r="A730" s="138">
        <v>45608</v>
      </c>
      <c r="B730" s="139" t="s">
        <v>141</v>
      </c>
      <c r="C730" s="140"/>
      <c r="D730" s="140">
        <v>130000</v>
      </c>
      <c r="E730" s="140">
        <f>+IF(FINANCIACION[[#This Row],[$ CAPITAL]]&gt;=0,FINANCIACION[[#This Row],[$ CAPITAL]]+FINANCIACION[[#This Row],[$ INTERESES]],"")</f>
        <v>130000</v>
      </c>
      <c r="F730" s="140">
        <f>+SUMIFS(FINANCIACION[$ CAPITAL],FINANCIACION[Fecha],"&lt;="&amp;FINANCIACION[[#This Row],[Fecha]],FINANCIACION[PRESTAMO],FINANCIACION[[#This Row],[PRESTAMO]])</f>
        <v>-13000000</v>
      </c>
      <c r="G730" s="140"/>
      <c r="H730" s="141"/>
      <c r="I730" s="142"/>
      <c r="J730" s="140" t="b">
        <f>+IF(FINANCIACION[[#This Row],[$ CAPITAL]]&gt;0,FINANCIACION[[#This Row],[$ CAPITAL]])</f>
        <v>0</v>
      </c>
      <c r="K730" s="143">
        <f>+IF(FINANCIACION[[#This Row],[$ CAPITAL]]&gt;=0,FINANCIACION[[#This Row],[$ CAPITAL]]+FINANCIACION[[#This Row],[$ INTERESES]],0)</f>
        <v>130000</v>
      </c>
    </row>
    <row r="731" spans="1:11" ht="24" customHeight="1" x14ac:dyDescent="0.25">
      <c r="A731" s="138">
        <v>45608</v>
      </c>
      <c r="B731" s="139" t="s">
        <v>219</v>
      </c>
      <c r="C731" s="140"/>
      <c r="D731" s="140">
        <v>3400000</v>
      </c>
      <c r="E731" s="140">
        <f>+IF(FINANCIACION[[#This Row],[$ CAPITAL]]&gt;=0,FINANCIACION[[#This Row],[$ CAPITAL]]+FINANCIACION[[#This Row],[$ INTERESES]],"")</f>
        <v>3400000</v>
      </c>
      <c r="F731" s="140">
        <f>+SUMIFS(FINANCIACION[$ CAPITAL],FINANCIACION[Fecha],"&lt;="&amp;FINANCIACION[[#This Row],[Fecha]],FINANCIACION[PRESTAMO],FINANCIACION[[#This Row],[PRESTAMO]])</f>
        <v>-295000000</v>
      </c>
      <c r="G731" s="140"/>
      <c r="H731" s="141"/>
      <c r="I731" s="142"/>
      <c r="J731" s="140" t="b">
        <f>+IF(FINANCIACION[[#This Row],[$ CAPITAL]]&gt;0,FINANCIACION[[#This Row],[$ CAPITAL]])</f>
        <v>0</v>
      </c>
      <c r="K731" s="143">
        <f>+IF(FINANCIACION[[#This Row],[$ CAPITAL]]&gt;=0,FINANCIACION[[#This Row],[$ CAPITAL]]+FINANCIACION[[#This Row],[$ INTERESES]],0)</f>
        <v>3400000</v>
      </c>
    </row>
    <row r="732" spans="1:11" ht="24" customHeight="1" x14ac:dyDescent="0.25">
      <c r="A732" s="138">
        <v>45608</v>
      </c>
      <c r="B732" s="139" t="s">
        <v>143</v>
      </c>
      <c r="C732" s="140"/>
      <c r="D732" s="140">
        <v>200000</v>
      </c>
      <c r="E732" s="140">
        <f>+IF(FINANCIACION[[#This Row],[$ CAPITAL]]&gt;=0,FINANCIACION[[#This Row],[$ CAPITAL]]+FINANCIACION[[#This Row],[$ INTERESES]],"")</f>
        <v>200000</v>
      </c>
      <c r="F732" s="140">
        <f>+SUMIFS(FINANCIACION[$ CAPITAL],FINANCIACION[Fecha],"&lt;="&amp;FINANCIACION[[#This Row],[Fecha]],FINANCIACION[PRESTAMO],FINANCIACION[[#This Row],[PRESTAMO]])</f>
        <v>-20000000</v>
      </c>
      <c r="G732" s="140"/>
      <c r="H732" s="141"/>
      <c r="I732" s="142"/>
      <c r="J732" s="140" t="b">
        <f>+IF(FINANCIACION[[#This Row],[$ CAPITAL]]&gt;0,FINANCIACION[[#This Row],[$ CAPITAL]])</f>
        <v>0</v>
      </c>
      <c r="K732" s="143">
        <f>+IF(FINANCIACION[[#This Row],[$ CAPITAL]]&gt;=0,FINANCIACION[[#This Row],[$ CAPITAL]]+FINANCIACION[[#This Row],[$ INTERESES]],0)</f>
        <v>200000</v>
      </c>
    </row>
    <row r="733" spans="1:11" ht="24" customHeight="1" x14ac:dyDescent="0.25">
      <c r="A733" s="138">
        <v>45608</v>
      </c>
      <c r="B733" s="139" t="s">
        <v>135</v>
      </c>
      <c r="C733" s="140">
        <v>777359.19</v>
      </c>
      <c r="D733" s="140">
        <v>222640.81</v>
      </c>
      <c r="E733" s="140">
        <f>+IF(FINANCIACION[[#This Row],[$ CAPITAL]]&gt;=0,FINANCIACION[[#This Row],[$ CAPITAL]]+FINANCIACION[[#This Row],[$ INTERESES]],"")</f>
        <v>1000000</v>
      </c>
      <c r="F733" s="140">
        <f>+SUMIFS(FINANCIACION[$ CAPITAL],FINANCIACION[Fecha],"&lt;="&amp;FINANCIACION[[#This Row],[Fecha]],FINANCIACION[PRESTAMO],FINANCIACION[[#This Row],[PRESTAMO]])</f>
        <v>-21486721.699624795</v>
      </c>
      <c r="G733" s="140"/>
      <c r="H733" s="141"/>
      <c r="I733" s="142"/>
      <c r="J733" s="140">
        <f>+IF(FINANCIACION[[#This Row],[$ CAPITAL]]&gt;0,FINANCIACION[[#This Row],[$ CAPITAL]])</f>
        <v>777359.19</v>
      </c>
      <c r="K733" s="143">
        <f>+IF(FINANCIACION[[#This Row],[$ CAPITAL]]&gt;=0,FINANCIACION[[#This Row],[$ CAPITAL]]+FINANCIACION[[#This Row],[$ INTERESES]],0)</f>
        <v>1000000</v>
      </c>
    </row>
    <row r="734" spans="1:11" ht="24" customHeight="1" x14ac:dyDescent="0.25">
      <c r="A734" s="138">
        <v>45608</v>
      </c>
      <c r="B734" s="139" t="s">
        <v>136</v>
      </c>
      <c r="C734" s="140">
        <v>1745485.98</v>
      </c>
      <c r="D734" s="140">
        <v>254514.02000000002</v>
      </c>
      <c r="E734" s="140">
        <f>+IF(FINANCIACION[[#This Row],[$ CAPITAL]]&gt;=0,FINANCIACION[[#This Row],[$ CAPITAL]]+FINANCIACION[[#This Row],[$ INTERESES]],"")</f>
        <v>2000000</v>
      </c>
      <c r="F734" s="140">
        <f>+SUMIFS(FINANCIACION[$ CAPITAL],FINANCIACION[Fecha],"&lt;="&amp;FINANCIACION[[#This Row],[Fecha]],FINANCIACION[PRESTAMO],FINANCIACION[[#This Row],[PRESTAMO]])</f>
        <v>-23705916.452562865</v>
      </c>
      <c r="G734" s="140"/>
      <c r="H734" s="141" t="s">
        <v>935</v>
      </c>
      <c r="I734" s="142"/>
      <c r="J734" s="140">
        <f>+IF(FINANCIACION[[#This Row],[$ CAPITAL]]&gt;0,FINANCIACION[[#This Row],[$ CAPITAL]])</f>
        <v>1745485.98</v>
      </c>
      <c r="K734" s="143">
        <f>+IF(FINANCIACION[[#This Row],[$ CAPITAL]]&gt;=0,FINANCIACION[[#This Row],[$ CAPITAL]]+FINANCIACION[[#This Row],[$ INTERESES]],0)</f>
        <v>2000000</v>
      </c>
    </row>
    <row r="735" spans="1:11" ht="24" customHeight="1" x14ac:dyDescent="0.25">
      <c r="A735" s="138">
        <v>45614</v>
      </c>
      <c r="B735" s="139" t="s">
        <v>137</v>
      </c>
      <c r="C735" s="140">
        <v>5566483</v>
      </c>
      <c r="D735" s="140">
        <v>1433517</v>
      </c>
      <c r="E735" s="140">
        <f>+IF(FINANCIACION[[#This Row],[$ CAPITAL]]&gt;=0,FINANCIACION[[#This Row],[$ CAPITAL]]+FINANCIACION[[#This Row],[$ INTERESES]],"")</f>
        <v>7000000</v>
      </c>
      <c r="F735" s="140">
        <f>+SUMIFS(FINANCIACION[$ CAPITAL],FINANCIACION[Fecha],"&lt;="&amp;FINANCIACION[[#This Row],[Fecha]],FINANCIACION[PRESTAMO],FINANCIACION[[#This Row],[PRESTAMO]])</f>
        <v>-75988562</v>
      </c>
      <c r="G735" s="140"/>
      <c r="H735" s="141"/>
      <c r="I735" s="142"/>
      <c r="J735" s="140">
        <f>+IF(FINANCIACION[[#This Row],[$ CAPITAL]]&gt;0,FINANCIACION[[#This Row],[$ CAPITAL]])</f>
        <v>5566483</v>
      </c>
      <c r="K735" s="143">
        <f>+IF(FINANCIACION[[#This Row],[$ CAPITAL]]&gt;=0,FINANCIACION[[#This Row],[$ CAPITAL]]+FINANCIACION[[#This Row],[$ INTERESES]],0)</f>
        <v>7000000</v>
      </c>
    </row>
    <row r="736" spans="1:11" ht="24" customHeight="1" x14ac:dyDescent="0.25">
      <c r="A736" s="138">
        <v>45614</v>
      </c>
      <c r="B736" s="139" t="s">
        <v>236</v>
      </c>
      <c r="C736" s="140">
        <v>1319400</v>
      </c>
      <c r="D736" s="140"/>
      <c r="E736" s="140">
        <f>+IF(FINANCIACION[[#This Row],[$ CAPITAL]]&gt;=0,FINANCIACION[[#This Row],[$ CAPITAL]]+FINANCIACION[[#This Row],[$ INTERESES]],"")</f>
        <v>1319400</v>
      </c>
      <c r="F736" s="140">
        <f>+SUMIFS(FINANCIACION[$ CAPITAL],FINANCIACION[Fecha],"&lt;="&amp;FINANCIACION[[#This Row],[Fecha]],FINANCIACION[PRESTAMO],FINANCIACION[[#This Row],[PRESTAMO]])</f>
        <v>-32413810</v>
      </c>
      <c r="G736" s="140"/>
      <c r="H736" s="141" t="s">
        <v>968</v>
      </c>
      <c r="I736" s="142"/>
      <c r="J736" s="140">
        <f>+IF(FINANCIACION[[#This Row],[$ CAPITAL]]&gt;0,FINANCIACION[[#This Row],[$ CAPITAL]])</f>
        <v>1319400</v>
      </c>
      <c r="K736" s="143">
        <f>+IF(FINANCIACION[[#This Row],[$ CAPITAL]]&gt;=0,FINANCIACION[[#This Row],[$ CAPITAL]]+FINANCIACION[[#This Row],[$ INTERESES]],0)</f>
        <v>1319400</v>
      </c>
    </row>
    <row r="737" spans="1:11" ht="24" customHeight="1" x14ac:dyDescent="0.25">
      <c r="A737" s="138">
        <v>45615</v>
      </c>
      <c r="B737" s="139" t="s">
        <v>908</v>
      </c>
      <c r="C737" s="140"/>
      <c r="D737" s="140">
        <v>1101888</v>
      </c>
      <c r="E737" s="140">
        <f>+IF(FINANCIACION[[#This Row],[$ CAPITAL]]&gt;=0,FINANCIACION[[#This Row],[$ CAPITAL]]+FINANCIACION[[#This Row],[$ INTERESES]],"")</f>
        <v>1101888</v>
      </c>
      <c r="F737" s="140">
        <f>+SUMIFS(FINANCIACION[$ CAPITAL],FINANCIACION[Fecha],"&lt;="&amp;FINANCIACION[[#This Row],[Fecha]],FINANCIACION[PRESTAMO],FINANCIACION[[#This Row],[PRESTAMO]])</f>
        <v>-85867698</v>
      </c>
      <c r="G737" s="140"/>
      <c r="H737" s="141"/>
      <c r="I737" s="142"/>
      <c r="J737" s="140" t="b">
        <f>+IF(FINANCIACION[[#This Row],[$ CAPITAL]]&gt;0,FINANCIACION[[#This Row],[$ CAPITAL]])</f>
        <v>0</v>
      </c>
      <c r="K737" s="143">
        <f>+IF(FINANCIACION[[#This Row],[$ CAPITAL]]&gt;=0,FINANCIACION[[#This Row],[$ CAPITAL]]+FINANCIACION[[#This Row],[$ INTERESES]],0)</f>
        <v>1101888</v>
      </c>
    </row>
    <row r="738" spans="1:11" ht="24" customHeight="1" x14ac:dyDescent="0.25">
      <c r="A738" s="138">
        <v>45616</v>
      </c>
      <c r="B738" s="139" t="s">
        <v>233</v>
      </c>
      <c r="C738" s="140">
        <v>2778000</v>
      </c>
      <c r="D738" s="140">
        <v>985417</v>
      </c>
      <c r="E738" s="140">
        <f>+IF(FINANCIACION[[#This Row],[$ CAPITAL]]&gt;=0,FINANCIACION[[#This Row],[$ CAPITAL]]+FINANCIACION[[#This Row],[$ INTERESES]],"")</f>
        <v>3763417</v>
      </c>
      <c r="F738" s="140">
        <f>+SUMIFS(FINANCIACION[$ CAPITAL],FINANCIACION[Fecha],"&lt;="&amp;FINANCIACION[[#This Row],[Fecha]],FINANCIACION[PRESTAMO],FINANCIACION[[#This Row],[PRESTAMO]])</f>
        <v>-69803319</v>
      </c>
      <c r="G738" s="140"/>
      <c r="H738" s="141"/>
      <c r="I738" s="142"/>
      <c r="J738" s="140">
        <f>+IF(FINANCIACION[[#This Row],[$ CAPITAL]]&gt;0,FINANCIACION[[#This Row],[$ CAPITAL]])</f>
        <v>2778000</v>
      </c>
      <c r="K738" s="143">
        <f>+IF(FINANCIACION[[#This Row],[$ CAPITAL]]&gt;=0,FINANCIACION[[#This Row],[$ CAPITAL]]+FINANCIACION[[#This Row],[$ INTERESES]],0)</f>
        <v>3763417</v>
      </c>
    </row>
    <row r="739" spans="1:11" ht="24" customHeight="1" x14ac:dyDescent="0.25">
      <c r="A739" s="138">
        <v>45617</v>
      </c>
      <c r="B739" s="139" t="s">
        <v>146</v>
      </c>
      <c r="C739" s="140"/>
      <c r="D739" s="140">
        <v>1400000</v>
      </c>
      <c r="E739" s="140">
        <f>+IF(FINANCIACION[[#This Row],[$ CAPITAL]]&gt;=0,FINANCIACION[[#This Row],[$ CAPITAL]]+FINANCIACION[[#This Row],[$ INTERESES]],"")</f>
        <v>1400000</v>
      </c>
      <c r="F739" s="140">
        <f>+SUMIFS(FINANCIACION[$ CAPITAL],FINANCIACION[Fecha],"&lt;="&amp;FINANCIACION[[#This Row],[Fecha]],FINANCIACION[PRESTAMO],FINANCIACION[[#This Row],[PRESTAMO]])</f>
        <v>-140000000</v>
      </c>
      <c r="G739" s="140"/>
      <c r="H739" s="141"/>
      <c r="I739" s="142"/>
      <c r="J739" s="140" t="b">
        <f>+IF(FINANCIACION[[#This Row],[$ CAPITAL]]&gt;0,FINANCIACION[[#This Row],[$ CAPITAL]])</f>
        <v>0</v>
      </c>
      <c r="K739" s="143">
        <f>+IF(FINANCIACION[[#This Row],[$ CAPITAL]]&gt;=0,FINANCIACION[[#This Row],[$ CAPITAL]]+FINANCIACION[[#This Row],[$ INTERESES]],0)</f>
        <v>1400000</v>
      </c>
    </row>
    <row r="740" spans="1:11" ht="24" customHeight="1" x14ac:dyDescent="0.25">
      <c r="A740" s="138">
        <v>45621</v>
      </c>
      <c r="B740" s="139" t="s">
        <v>250</v>
      </c>
      <c r="C740" s="140">
        <v>4167000</v>
      </c>
      <c r="D740" s="140">
        <v>218255</v>
      </c>
      <c r="E740" s="140">
        <f>+IF(FINANCIACION[[#This Row],[$ CAPITAL]]&gt;=0,FINANCIACION[[#This Row],[$ CAPITAL]]+FINANCIACION[[#This Row],[$ INTERESES]],"")</f>
        <v>4385255</v>
      </c>
      <c r="F740" s="140">
        <f>+SUMIFS(FINANCIACION[$ CAPITAL],FINANCIACION[Fecha],"&lt;="&amp;FINANCIACION[[#This Row],[Fecha]],FINANCIACION[PRESTAMO],FINANCIACION[[#This Row],[PRESTAMO]])</f>
        <v>-12540651</v>
      </c>
      <c r="G740" s="140"/>
      <c r="H740" s="141"/>
      <c r="I740" s="142"/>
      <c r="J740" s="140">
        <f>+IF(FINANCIACION[[#This Row],[$ CAPITAL]]&gt;0,FINANCIACION[[#This Row],[$ CAPITAL]])</f>
        <v>4167000</v>
      </c>
      <c r="K740" s="143">
        <f>+IF(FINANCIACION[[#This Row],[$ CAPITAL]]&gt;=0,FINANCIACION[[#This Row],[$ CAPITAL]]+FINANCIACION[[#This Row],[$ INTERESES]],0)</f>
        <v>4385255</v>
      </c>
    </row>
    <row r="741" spans="1:11" ht="24" customHeight="1" x14ac:dyDescent="0.25">
      <c r="A741" s="138">
        <v>45621</v>
      </c>
      <c r="B741" s="139" t="s">
        <v>239</v>
      </c>
      <c r="C741" s="140">
        <v>1481481</v>
      </c>
      <c r="D741" s="140">
        <v>429519</v>
      </c>
      <c r="E741" s="140">
        <f>+IF(FINANCIACION[[#This Row],[$ CAPITAL]]&gt;=0,FINANCIACION[[#This Row],[$ CAPITAL]]+FINANCIACION[[#This Row],[$ INTERESES]],"")</f>
        <v>1911000</v>
      </c>
      <c r="F741" s="140">
        <f>+SUMIFS(FINANCIACION[$ CAPITAL],FINANCIACION[Fecha],"&lt;="&amp;FINANCIACION[[#This Row],[Fecha]],FINANCIACION[PRESTAMO],FINANCIACION[[#This Row],[PRESTAMO]])</f>
        <v>-35557861.050000004</v>
      </c>
      <c r="G741" s="140"/>
      <c r="H741" s="141"/>
      <c r="I741" s="142"/>
      <c r="J741" s="140">
        <f>+IF(FINANCIACION[[#This Row],[$ CAPITAL]]&gt;0,FINANCIACION[[#This Row],[$ CAPITAL]])</f>
        <v>1481481</v>
      </c>
      <c r="K741" s="143">
        <f>+IF(FINANCIACION[[#This Row],[$ CAPITAL]]&gt;=0,FINANCIACION[[#This Row],[$ CAPITAL]]+FINANCIACION[[#This Row],[$ INTERESES]],0)</f>
        <v>1911000</v>
      </c>
    </row>
    <row r="742" spans="1:11" ht="24" customHeight="1" x14ac:dyDescent="0.25">
      <c r="A742" s="138">
        <v>45625</v>
      </c>
      <c r="B742" s="139" t="s">
        <v>236</v>
      </c>
      <c r="C742" s="140">
        <v>2643696</v>
      </c>
      <c r="D742" s="140"/>
      <c r="E742" s="140">
        <f>+IF(FINANCIACION[[#This Row],[$ CAPITAL]]&gt;=0,FINANCIACION[[#This Row],[$ CAPITAL]]+FINANCIACION[[#This Row],[$ INTERESES]],"")</f>
        <v>2643696</v>
      </c>
      <c r="F742" s="140">
        <f>+SUMIFS(FINANCIACION[$ CAPITAL],FINANCIACION[Fecha],"&lt;="&amp;FINANCIACION[[#This Row],[Fecha]],FINANCIACION[PRESTAMO],FINANCIACION[[#This Row],[PRESTAMO]])</f>
        <v>-29770114</v>
      </c>
      <c r="G742" s="140"/>
      <c r="H742" s="141"/>
      <c r="I742" s="142"/>
      <c r="J742" s="140">
        <f>+IF(FINANCIACION[[#This Row],[$ CAPITAL]]&gt;0,FINANCIACION[[#This Row],[$ CAPITAL]])</f>
        <v>2643696</v>
      </c>
      <c r="K742" s="143">
        <f>+IF(FINANCIACION[[#This Row],[$ CAPITAL]]&gt;=0,FINANCIACION[[#This Row],[$ CAPITAL]]+FINANCIACION[[#This Row],[$ INTERESES]],0)</f>
        <v>2643696</v>
      </c>
    </row>
    <row r="743" spans="1:11" ht="24" customHeight="1" x14ac:dyDescent="0.25">
      <c r="A743" s="138">
        <v>45626</v>
      </c>
      <c r="B743" s="139" t="s">
        <v>233</v>
      </c>
      <c r="C743" s="140">
        <v>49474</v>
      </c>
      <c r="D743" s="140"/>
      <c r="E743" s="140">
        <f>+IF(FINANCIACION[[#This Row],[$ CAPITAL]]&gt;=0,FINANCIACION[[#This Row],[$ CAPITAL]]+FINANCIACION[[#This Row],[$ INTERESES]],"")</f>
        <v>49474</v>
      </c>
      <c r="F743" s="140">
        <f>+SUMIFS(FINANCIACION[$ CAPITAL],FINANCIACION[Fecha],"&lt;="&amp;FINANCIACION[[#This Row],[Fecha]],FINANCIACION[PRESTAMO],FINANCIACION[[#This Row],[PRESTAMO]])</f>
        <v>-69753845</v>
      </c>
      <c r="G743" s="140"/>
      <c r="H743" s="141" t="s">
        <v>72</v>
      </c>
      <c r="I743" s="142"/>
      <c r="J743" s="140">
        <f>+IF(FINANCIACION[[#This Row],[$ CAPITAL]]&gt;0,FINANCIACION[[#This Row],[$ CAPITAL]])</f>
        <v>49474</v>
      </c>
      <c r="K743" s="143">
        <f>+IF(FINANCIACION[[#This Row],[$ CAPITAL]]&gt;=0,FINANCIACION[[#This Row],[$ CAPITAL]]+FINANCIACION[[#This Row],[$ INTERESES]],0)</f>
        <v>49474</v>
      </c>
    </row>
    <row r="744" spans="1:11" ht="24" customHeight="1" x14ac:dyDescent="0.25">
      <c r="A744" s="138">
        <v>45626</v>
      </c>
      <c r="B744" s="139" t="s">
        <v>250</v>
      </c>
      <c r="C744" s="140">
        <v>13629</v>
      </c>
      <c r="D744" s="140"/>
      <c r="E744" s="140">
        <f>+IF(FINANCIACION[[#This Row],[$ CAPITAL]]&gt;=0,FINANCIACION[[#This Row],[$ CAPITAL]]+FINANCIACION[[#This Row],[$ INTERESES]],"")</f>
        <v>13629</v>
      </c>
      <c r="F744" s="140">
        <f>+SUMIFS(FINANCIACION[$ CAPITAL],FINANCIACION[Fecha],"&lt;="&amp;FINANCIACION[[#This Row],[Fecha]],FINANCIACION[PRESTAMO],FINANCIACION[[#This Row],[PRESTAMO]])</f>
        <v>-12527022</v>
      </c>
      <c r="G744" s="140"/>
      <c r="H744" s="141" t="s">
        <v>72</v>
      </c>
      <c r="I744" s="142"/>
      <c r="J744" s="140">
        <f>+IF(FINANCIACION[[#This Row],[$ CAPITAL]]&gt;0,FINANCIACION[[#This Row],[$ CAPITAL]])</f>
        <v>13629</v>
      </c>
      <c r="K744" s="143">
        <f>+IF(FINANCIACION[[#This Row],[$ CAPITAL]]&gt;=0,FINANCIACION[[#This Row],[$ CAPITAL]]+FINANCIACION[[#This Row],[$ INTERESES]],0)</f>
        <v>13629</v>
      </c>
    </row>
    <row r="745" spans="1:11" ht="24" customHeight="1" x14ac:dyDescent="0.25">
      <c r="A745" s="138">
        <v>45626</v>
      </c>
      <c r="B745" s="139" t="s">
        <v>239</v>
      </c>
      <c r="C745" s="140">
        <v>29233</v>
      </c>
      <c r="D745" s="140"/>
      <c r="E745" s="140">
        <f>+IF(FINANCIACION[[#This Row],[$ CAPITAL]]&gt;=0,FINANCIACION[[#This Row],[$ CAPITAL]]+FINANCIACION[[#This Row],[$ INTERESES]],"")</f>
        <v>29233</v>
      </c>
      <c r="F745" s="140">
        <f>+SUMIFS(FINANCIACION[$ CAPITAL],FINANCIACION[Fecha],"&lt;="&amp;FINANCIACION[[#This Row],[Fecha]],FINANCIACION[PRESTAMO],FINANCIACION[[#This Row],[PRESTAMO]])</f>
        <v>-35528628.050000004</v>
      </c>
      <c r="G745" s="140"/>
      <c r="H745" s="141" t="s">
        <v>72</v>
      </c>
      <c r="I745" s="142"/>
      <c r="J745" s="140">
        <f>+IF(FINANCIACION[[#This Row],[$ CAPITAL]]&gt;0,FINANCIACION[[#This Row],[$ CAPITAL]])</f>
        <v>29233</v>
      </c>
      <c r="K745" s="143">
        <f>+IF(FINANCIACION[[#This Row],[$ CAPITAL]]&gt;=0,FINANCIACION[[#This Row],[$ CAPITAL]]+FINANCIACION[[#This Row],[$ INTERESES]],0)</f>
        <v>29233</v>
      </c>
    </row>
    <row r="746" spans="1:11" ht="24" customHeight="1" x14ac:dyDescent="0.25">
      <c r="A746" s="138">
        <v>45626</v>
      </c>
      <c r="B746" s="139" t="s">
        <v>218</v>
      </c>
      <c r="C746" s="140">
        <v>350297</v>
      </c>
      <c r="D746" s="140"/>
      <c r="E746" s="140">
        <f>+IF(FINANCIACION[[#This Row],[$ CAPITAL]]&gt;=0,FINANCIACION[[#This Row],[$ CAPITAL]]+FINANCIACION[[#This Row],[$ INTERESES]],"")</f>
        <v>350297</v>
      </c>
      <c r="F746" s="140">
        <f>+SUMIFS(FINANCIACION[$ CAPITAL],FINANCIACION[Fecha],"&lt;="&amp;FINANCIACION[[#This Row],[Fecha]],FINANCIACION[PRESTAMO],FINANCIACION[[#This Row],[PRESTAMO]])</f>
        <v>-112787151</v>
      </c>
      <c r="G746" s="140"/>
      <c r="H746" s="141" t="s">
        <v>72</v>
      </c>
      <c r="I746" s="142"/>
      <c r="J746" s="140">
        <f>+IF(FINANCIACION[[#This Row],[$ CAPITAL]]&gt;0,FINANCIACION[[#This Row],[$ CAPITAL]])</f>
        <v>350297</v>
      </c>
      <c r="K746" s="143">
        <f>+IF(FINANCIACION[[#This Row],[$ CAPITAL]]&gt;=0,FINANCIACION[[#This Row],[$ CAPITAL]]+FINANCIACION[[#This Row],[$ INTERESES]],0)</f>
        <v>350297</v>
      </c>
    </row>
    <row r="747" spans="1:11" ht="24" customHeight="1" x14ac:dyDescent="0.25">
      <c r="A747" s="138">
        <v>45626</v>
      </c>
      <c r="B747" s="139" t="s">
        <v>137</v>
      </c>
      <c r="C747" s="140">
        <v>384786</v>
      </c>
      <c r="D747" s="140"/>
      <c r="E747" s="140">
        <f>+IF(FINANCIACION[[#This Row],[$ CAPITAL]]&gt;=0,FINANCIACION[[#This Row],[$ CAPITAL]]+FINANCIACION[[#This Row],[$ INTERESES]],"")</f>
        <v>384786</v>
      </c>
      <c r="F747" s="140">
        <f>+SUMIFS(FINANCIACION[$ CAPITAL],FINANCIACION[Fecha],"&lt;="&amp;FINANCIACION[[#This Row],[Fecha]],FINANCIACION[PRESTAMO],FINANCIACION[[#This Row],[PRESTAMO]])</f>
        <v>-75603776</v>
      </c>
      <c r="G747" s="140"/>
      <c r="H747" s="141" t="s">
        <v>72</v>
      </c>
      <c r="I747" s="142"/>
      <c r="J747" s="140">
        <f>+IF(FINANCIACION[[#This Row],[$ CAPITAL]]&gt;0,FINANCIACION[[#This Row],[$ CAPITAL]])</f>
        <v>384786</v>
      </c>
      <c r="K747" s="143">
        <f>+IF(FINANCIACION[[#This Row],[$ CAPITAL]]&gt;=0,FINANCIACION[[#This Row],[$ CAPITAL]]+FINANCIACION[[#This Row],[$ INTERESES]],0)</f>
        <v>384786</v>
      </c>
    </row>
    <row r="748" spans="1:11" ht="24" customHeight="1" x14ac:dyDescent="0.25">
      <c r="A748" s="138">
        <v>45626</v>
      </c>
      <c r="B748" s="139" t="s">
        <v>236</v>
      </c>
      <c r="C748" s="140">
        <v>15504313</v>
      </c>
      <c r="D748" s="140">
        <v>979836</v>
      </c>
      <c r="E748" s="140">
        <f>+IF(FINANCIACION[[#This Row],[$ CAPITAL]]&gt;=0,FINANCIACION[[#This Row],[$ CAPITAL]]+FINANCIACION[[#This Row],[$ INTERESES]],"")</f>
        <v>16484149</v>
      </c>
      <c r="F748" s="140">
        <f>+SUMIFS(FINANCIACION[$ CAPITAL],FINANCIACION[Fecha],"&lt;="&amp;FINANCIACION[[#This Row],[Fecha]],FINANCIACION[PRESTAMO],FINANCIACION[[#This Row],[PRESTAMO]])</f>
        <v>-14265801</v>
      </c>
      <c r="G748" s="140"/>
      <c r="H748" s="141" t="s">
        <v>72</v>
      </c>
      <c r="I748" s="142"/>
      <c r="J748" s="140">
        <f>+IF(FINANCIACION[[#This Row],[$ CAPITAL]]&gt;0,FINANCIACION[[#This Row],[$ CAPITAL]])</f>
        <v>15504313</v>
      </c>
      <c r="K748" s="143">
        <f>+IF(FINANCIACION[[#This Row],[$ CAPITAL]]&gt;=0,FINANCIACION[[#This Row],[$ CAPITAL]]+FINANCIACION[[#This Row],[$ INTERESES]],0)</f>
        <v>16484149</v>
      </c>
    </row>
    <row r="749" spans="1:11" ht="24" customHeight="1" x14ac:dyDescent="0.25">
      <c r="A749" s="138">
        <v>45626</v>
      </c>
      <c r="B749" s="139" t="s">
        <v>238</v>
      </c>
      <c r="C749" s="140">
        <v>370755</v>
      </c>
      <c r="D749" s="140">
        <v>31571</v>
      </c>
      <c r="E749" s="140">
        <f>+IF(FINANCIACION[[#This Row],[$ CAPITAL]]&gt;=0,FINANCIACION[[#This Row],[$ CAPITAL]]+FINANCIACION[[#This Row],[$ INTERESES]],"")</f>
        <v>402326</v>
      </c>
      <c r="F749" s="140">
        <f>+SUMIFS(FINANCIACION[$ CAPITAL],FINANCIACION[Fecha],"&lt;="&amp;FINANCIACION[[#This Row],[Fecha]],FINANCIACION[PRESTAMO],FINANCIACION[[#This Row],[PRESTAMO]])</f>
        <v>-3058038</v>
      </c>
      <c r="G749" s="140"/>
      <c r="H749" s="141" t="s">
        <v>72</v>
      </c>
      <c r="I749" s="142"/>
      <c r="J749" s="140">
        <f>+IF(FINANCIACION[[#This Row],[$ CAPITAL]]&gt;0,FINANCIACION[[#This Row],[$ CAPITAL]])</f>
        <v>370755</v>
      </c>
      <c r="K749" s="143">
        <f>+IF(FINANCIACION[[#This Row],[$ CAPITAL]]&gt;=0,FINANCIACION[[#This Row],[$ CAPITAL]]+FINANCIACION[[#This Row],[$ INTERESES]],0)</f>
        <v>402326</v>
      </c>
    </row>
    <row r="750" spans="1:11" ht="24" customHeight="1" x14ac:dyDescent="0.25">
      <c r="A750" s="138">
        <v>45626</v>
      </c>
      <c r="B750" s="139" t="s">
        <v>237</v>
      </c>
      <c r="C750" s="140">
        <v>-13778479</v>
      </c>
      <c r="D750" s="140">
        <v>797924</v>
      </c>
      <c r="E750" s="140" t="str">
        <f>+IF(FINANCIACION[[#This Row],[$ CAPITAL]]&gt;=0,FINANCIACION[[#This Row],[$ CAPITAL]]+FINANCIACION[[#This Row],[$ INTERESES]],"")</f>
        <v/>
      </c>
      <c r="F750" s="140">
        <f>+SUMIFS(FINANCIACION[$ CAPITAL],FINANCIACION[Fecha],"&lt;="&amp;FINANCIACION[[#This Row],[Fecha]],FINANCIACION[PRESTAMO],FINANCIACION[[#This Row],[PRESTAMO]])</f>
        <v>-38681049</v>
      </c>
      <c r="G750" s="140"/>
      <c r="H750" s="141" t="s">
        <v>72</v>
      </c>
      <c r="I750" s="142"/>
      <c r="J750" s="140" t="b">
        <f>+IF(FINANCIACION[[#This Row],[$ CAPITAL]]&gt;0,FINANCIACION[[#This Row],[$ CAPITAL]])</f>
        <v>0</v>
      </c>
      <c r="K750" s="143">
        <f>+IF(FINANCIACION[[#This Row],[$ CAPITAL]]&gt;=0,FINANCIACION[[#This Row],[$ CAPITAL]]+FINANCIACION[[#This Row],[$ INTERESES]],0)</f>
        <v>0</v>
      </c>
    </row>
    <row r="751" spans="1:11" ht="24" customHeight="1" x14ac:dyDescent="0.25">
      <c r="A751" s="138">
        <v>45628</v>
      </c>
      <c r="B751" s="139" t="s">
        <v>218</v>
      </c>
      <c r="C751" s="140">
        <v>4165213</v>
      </c>
      <c r="D751" s="140">
        <v>2852820</v>
      </c>
      <c r="E751" s="140">
        <f>+IF(FINANCIACION[[#This Row],[$ CAPITAL]]&gt;=0,FINANCIACION[[#This Row],[$ CAPITAL]]+FINANCIACION[[#This Row],[$ INTERESES]],"")</f>
        <v>7018033</v>
      </c>
      <c r="F751" s="140">
        <f>+SUMIFS(FINANCIACION[$ CAPITAL],FINANCIACION[Fecha],"&lt;="&amp;FINANCIACION[[#This Row],[Fecha]],FINANCIACION[PRESTAMO],FINANCIACION[[#This Row],[PRESTAMO]])</f>
        <v>-108621938</v>
      </c>
      <c r="G751" s="140"/>
      <c r="H751" s="141"/>
      <c r="I751" s="142"/>
      <c r="J751" s="140">
        <f>+IF(FINANCIACION[[#This Row],[$ CAPITAL]]&gt;0,FINANCIACION[[#This Row],[$ CAPITAL]])</f>
        <v>4165213</v>
      </c>
      <c r="K751" s="143">
        <f>+IF(FINANCIACION[[#This Row],[$ CAPITAL]]&gt;=0,FINANCIACION[[#This Row],[$ CAPITAL]]+FINANCIACION[[#This Row],[$ INTERESES]],0)</f>
        <v>7018033</v>
      </c>
    </row>
    <row r="752" spans="1:11" ht="24" customHeight="1" x14ac:dyDescent="0.25">
      <c r="A752" s="138">
        <v>45628</v>
      </c>
      <c r="B752" s="139" t="s">
        <v>238</v>
      </c>
      <c r="C752" s="140">
        <v>2754350</v>
      </c>
      <c r="D752" s="140"/>
      <c r="E752" s="140">
        <f>+IF(FINANCIACION[[#This Row],[$ CAPITAL]]&gt;=0,FINANCIACION[[#This Row],[$ CAPITAL]]+FINANCIACION[[#This Row],[$ INTERESES]],"")</f>
        <v>2754350</v>
      </c>
      <c r="F752" s="140">
        <f>+SUMIFS(FINANCIACION[$ CAPITAL],FINANCIACION[Fecha],"&lt;="&amp;FINANCIACION[[#This Row],[Fecha]],FINANCIACION[PRESTAMO],FINANCIACION[[#This Row],[PRESTAMO]])</f>
        <v>-303688</v>
      </c>
      <c r="G752" s="140"/>
      <c r="H752" s="141"/>
      <c r="I752" s="142"/>
      <c r="J752" s="140">
        <f>+IF(FINANCIACION[[#This Row],[$ CAPITAL]]&gt;0,FINANCIACION[[#This Row],[$ CAPITAL]])</f>
        <v>2754350</v>
      </c>
      <c r="K752" s="143">
        <f>+IF(FINANCIACION[[#This Row],[$ CAPITAL]]&gt;=0,FINANCIACION[[#This Row],[$ CAPITAL]]+FINANCIACION[[#This Row],[$ INTERESES]],0)</f>
        <v>2754350</v>
      </c>
    </row>
    <row r="753" spans="1:11" ht="24" customHeight="1" x14ac:dyDescent="0.25">
      <c r="A753" s="138">
        <v>45629</v>
      </c>
      <c r="B753" s="139" t="s">
        <v>136</v>
      </c>
      <c r="C753" s="140">
        <v>1762940.84</v>
      </c>
      <c r="D753" s="140">
        <v>237059.16</v>
      </c>
      <c r="E753" s="140">
        <f>+IF(FINANCIACION[[#This Row],[$ CAPITAL]]&gt;=0,FINANCIACION[[#This Row],[$ CAPITAL]]+FINANCIACION[[#This Row],[$ INTERESES]],"")</f>
        <v>2000000</v>
      </c>
      <c r="F753" s="140">
        <f>+SUMIFS(FINANCIACION[$ CAPITAL],FINANCIACION[Fecha],"&lt;="&amp;FINANCIACION[[#This Row],[Fecha]],FINANCIACION[PRESTAMO],FINANCIACION[[#This Row],[PRESTAMO]])</f>
        <v>-21942975.612562865</v>
      </c>
      <c r="G753" s="140"/>
      <c r="H753" s="141" t="s">
        <v>936</v>
      </c>
      <c r="I753" s="142"/>
      <c r="J753" s="140">
        <f>+IF(FINANCIACION[[#This Row],[$ CAPITAL]]&gt;0,FINANCIACION[[#This Row],[$ CAPITAL]])</f>
        <v>1762940.84</v>
      </c>
      <c r="K753" s="143">
        <f>+IF(FINANCIACION[[#This Row],[$ CAPITAL]]&gt;=0,FINANCIACION[[#This Row],[$ CAPITAL]]+FINANCIACION[[#This Row],[$ INTERESES]],0)</f>
        <v>2000000</v>
      </c>
    </row>
    <row r="754" spans="1:11" ht="24" customHeight="1" x14ac:dyDescent="0.25">
      <c r="A754" s="138">
        <v>45629</v>
      </c>
      <c r="B754" s="139" t="s">
        <v>237</v>
      </c>
      <c r="C754" s="140">
        <v>10000000</v>
      </c>
      <c r="D754" s="140"/>
      <c r="E754" s="140">
        <f>+IF(FINANCIACION[[#This Row],[$ CAPITAL]]&gt;=0,FINANCIACION[[#This Row],[$ CAPITAL]]+FINANCIACION[[#This Row],[$ INTERESES]],"")</f>
        <v>10000000</v>
      </c>
      <c r="F754" s="140">
        <f>+SUMIFS(FINANCIACION[$ CAPITAL],FINANCIACION[Fecha],"&lt;="&amp;FINANCIACION[[#This Row],[Fecha]],FINANCIACION[PRESTAMO],FINANCIACION[[#This Row],[PRESTAMO]])</f>
        <v>-28681049</v>
      </c>
      <c r="G754" s="140"/>
      <c r="H754" s="141"/>
      <c r="I754" s="142"/>
      <c r="J754" s="140">
        <f>+IF(FINANCIACION[[#This Row],[$ CAPITAL]]&gt;0,FINANCIACION[[#This Row],[$ CAPITAL]])</f>
        <v>10000000</v>
      </c>
      <c r="K754" s="143">
        <f>+IF(FINANCIACION[[#This Row],[$ CAPITAL]]&gt;=0,FINANCIACION[[#This Row],[$ CAPITAL]]+FINANCIACION[[#This Row],[$ INTERESES]],0)</f>
        <v>10000000</v>
      </c>
    </row>
    <row r="755" spans="1:11" ht="24" customHeight="1" x14ac:dyDescent="0.25">
      <c r="A755" s="138">
        <v>45630</v>
      </c>
      <c r="B755" s="139" t="s">
        <v>139</v>
      </c>
      <c r="C755" s="140"/>
      <c r="D755" s="140">
        <v>22366667</v>
      </c>
      <c r="E755" s="140">
        <f>+IF(FINANCIACION[[#This Row],[$ CAPITAL]]&gt;=0,FINANCIACION[[#This Row],[$ CAPITAL]]+FINANCIACION[[#This Row],[$ INTERESES]],"")</f>
        <v>22366667</v>
      </c>
      <c r="F755" s="140">
        <f>+SUMIFS(FINANCIACION[$ CAPITAL],FINANCIACION[Fecha],"&lt;="&amp;FINANCIACION[[#This Row],[Fecha]],FINANCIACION[PRESTAMO],FINANCIACION[[#This Row],[PRESTAMO]])</f>
        <v>-200000000</v>
      </c>
      <c r="G755" s="140"/>
      <c r="H755" s="141" t="s">
        <v>921</v>
      </c>
      <c r="I755" s="142"/>
      <c r="J755" s="140" t="b">
        <f>+IF(FINANCIACION[[#This Row],[$ CAPITAL]]&gt;0,FINANCIACION[[#This Row],[$ CAPITAL]])</f>
        <v>0</v>
      </c>
      <c r="K755" s="143">
        <f>+IF(FINANCIACION[[#This Row],[$ CAPITAL]]&gt;=0,FINANCIACION[[#This Row],[$ CAPITAL]]+FINANCIACION[[#This Row],[$ INTERESES]],0)</f>
        <v>22366667</v>
      </c>
    </row>
    <row r="756" spans="1:11" ht="24" customHeight="1" x14ac:dyDescent="0.25">
      <c r="A756" s="138">
        <v>45636</v>
      </c>
      <c r="B756" s="139" t="s">
        <v>141</v>
      </c>
      <c r="C756" s="140"/>
      <c r="D756" s="140">
        <v>130000</v>
      </c>
      <c r="E756" s="140">
        <f>+IF(FINANCIACION[[#This Row],[$ CAPITAL]]&gt;=0,FINANCIACION[[#This Row],[$ CAPITAL]]+FINANCIACION[[#This Row],[$ INTERESES]],"")</f>
        <v>130000</v>
      </c>
      <c r="F756" s="140">
        <f>+SUMIFS(FINANCIACION[$ CAPITAL],FINANCIACION[Fecha],"&lt;="&amp;FINANCIACION[[#This Row],[Fecha]],FINANCIACION[PRESTAMO],FINANCIACION[[#This Row],[PRESTAMO]])</f>
        <v>-13000000</v>
      </c>
      <c r="G756" s="140"/>
      <c r="H756" s="141"/>
      <c r="I756" s="142"/>
      <c r="J756" s="140" t="b">
        <f>+IF(FINANCIACION[[#This Row],[$ CAPITAL]]&gt;0,FINANCIACION[[#This Row],[$ CAPITAL]])</f>
        <v>0</v>
      </c>
      <c r="K756" s="143">
        <f>+IF(FINANCIACION[[#This Row],[$ CAPITAL]]&gt;=0,FINANCIACION[[#This Row],[$ CAPITAL]]+FINANCIACION[[#This Row],[$ INTERESES]],0)</f>
        <v>130000</v>
      </c>
    </row>
    <row r="757" spans="1:11" ht="24" customHeight="1" x14ac:dyDescent="0.25">
      <c r="A757" s="138">
        <v>45636</v>
      </c>
      <c r="B757" s="139" t="s">
        <v>219</v>
      </c>
      <c r="C757" s="140"/>
      <c r="D757" s="140">
        <v>3400000</v>
      </c>
      <c r="E757" s="140">
        <f>+IF(FINANCIACION[[#This Row],[$ CAPITAL]]&gt;=0,FINANCIACION[[#This Row],[$ CAPITAL]]+FINANCIACION[[#This Row],[$ INTERESES]],"")</f>
        <v>3400000</v>
      </c>
      <c r="F757" s="140">
        <f>+SUMIFS(FINANCIACION[$ CAPITAL],FINANCIACION[Fecha],"&lt;="&amp;FINANCIACION[[#This Row],[Fecha]],FINANCIACION[PRESTAMO],FINANCIACION[[#This Row],[PRESTAMO]])</f>
        <v>-295000000</v>
      </c>
      <c r="G757" s="140"/>
      <c r="H757" s="141"/>
      <c r="I757" s="142"/>
      <c r="J757" s="140" t="b">
        <f>+IF(FINANCIACION[[#This Row],[$ CAPITAL]]&gt;0,FINANCIACION[[#This Row],[$ CAPITAL]])</f>
        <v>0</v>
      </c>
      <c r="K757" s="143">
        <f>+IF(FINANCIACION[[#This Row],[$ CAPITAL]]&gt;=0,FINANCIACION[[#This Row],[$ CAPITAL]]+FINANCIACION[[#This Row],[$ INTERESES]],0)</f>
        <v>3400000</v>
      </c>
    </row>
    <row r="758" spans="1:11" ht="24" customHeight="1" x14ac:dyDescent="0.25">
      <c r="A758" s="138">
        <v>45636</v>
      </c>
      <c r="B758" s="139" t="s">
        <v>143</v>
      </c>
      <c r="C758" s="140"/>
      <c r="D758" s="140">
        <v>200000</v>
      </c>
      <c r="E758" s="140">
        <f>+IF(FINANCIACION[[#This Row],[$ CAPITAL]]&gt;=0,FINANCIACION[[#This Row],[$ CAPITAL]]+FINANCIACION[[#This Row],[$ INTERESES]],"")</f>
        <v>200000</v>
      </c>
      <c r="F758" s="140">
        <f>+SUMIFS(FINANCIACION[$ CAPITAL],FINANCIACION[Fecha],"&lt;="&amp;FINANCIACION[[#This Row],[Fecha]],FINANCIACION[PRESTAMO],FINANCIACION[[#This Row],[PRESTAMO]])</f>
        <v>-20000000</v>
      </c>
      <c r="G758" s="140"/>
      <c r="H758" s="141"/>
      <c r="I758" s="142"/>
      <c r="J758" s="140" t="b">
        <f>+IF(FINANCIACION[[#This Row],[$ CAPITAL]]&gt;0,FINANCIACION[[#This Row],[$ CAPITAL]])</f>
        <v>0</v>
      </c>
      <c r="K758" s="143">
        <f>+IF(FINANCIACION[[#This Row],[$ CAPITAL]]&gt;=0,FINANCIACION[[#This Row],[$ CAPITAL]]+FINANCIACION[[#This Row],[$ INTERESES]],0)</f>
        <v>200000</v>
      </c>
    </row>
    <row r="759" spans="1:11" ht="24" customHeight="1" x14ac:dyDescent="0.25">
      <c r="A759" s="138">
        <v>45636</v>
      </c>
      <c r="B759" s="139" t="s">
        <v>135</v>
      </c>
      <c r="C759" s="140"/>
      <c r="D759" s="140">
        <v>222641</v>
      </c>
      <c r="E759" s="140">
        <f>+IF(FINANCIACION[[#This Row],[$ CAPITAL]]&gt;=0,FINANCIACION[[#This Row],[$ CAPITAL]]+FINANCIACION[[#This Row],[$ INTERESES]],"")</f>
        <v>222641</v>
      </c>
      <c r="F759" s="140">
        <f>+SUMIFS(FINANCIACION[$ CAPITAL],FINANCIACION[Fecha],"&lt;="&amp;FINANCIACION[[#This Row],[Fecha]],FINANCIACION[PRESTAMO],FINANCIACION[[#This Row],[PRESTAMO]])</f>
        <v>-21486721.699624795</v>
      </c>
      <c r="G759" s="140"/>
      <c r="H759" s="141" t="s">
        <v>925</v>
      </c>
      <c r="I759" s="142"/>
      <c r="J759" s="140" t="b">
        <f>+IF(FINANCIACION[[#This Row],[$ CAPITAL]]&gt;0,FINANCIACION[[#This Row],[$ CAPITAL]])</f>
        <v>0</v>
      </c>
      <c r="K759" s="143">
        <f>+IF(FINANCIACION[[#This Row],[$ CAPITAL]]&gt;=0,FINANCIACION[[#This Row],[$ CAPITAL]]+FINANCIACION[[#This Row],[$ INTERESES]],0)</f>
        <v>222641</v>
      </c>
    </row>
    <row r="760" spans="1:11" ht="24" customHeight="1" x14ac:dyDescent="0.25">
      <c r="A760" s="138">
        <v>45638</v>
      </c>
      <c r="B760" s="139" t="s">
        <v>135</v>
      </c>
      <c r="C760" s="140">
        <v>0</v>
      </c>
      <c r="D760" s="140">
        <v>222640.81</v>
      </c>
      <c r="E760" s="140">
        <f>+IF(FINANCIACION[[#This Row],[$ CAPITAL]]&gt;=0,FINANCIACION[[#This Row],[$ CAPITAL]]+FINANCIACION[[#This Row],[$ INTERESES]],"")</f>
        <v>222640.81</v>
      </c>
      <c r="F760" s="140">
        <f>+SUMIFS(FINANCIACION[$ CAPITAL],FINANCIACION[Fecha],"&lt;="&amp;FINANCIACION[[#This Row],[Fecha]],FINANCIACION[PRESTAMO],FINANCIACION[[#This Row],[PRESTAMO]])</f>
        <v>-21486721.699624795</v>
      </c>
      <c r="G760" s="140"/>
      <c r="H760" s="141"/>
      <c r="I760" s="142"/>
      <c r="J760" s="140" t="b">
        <f>+IF(FINANCIACION[[#This Row],[$ CAPITAL]]&gt;0,FINANCIACION[[#This Row],[$ CAPITAL]])</f>
        <v>0</v>
      </c>
      <c r="K760" s="143">
        <f>+IF(FINANCIACION[[#This Row],[$ CAPITAL]]&gt;=0,FINANCIACION[[#This Row],[$ CAPITAL]]+FINANCIACION[[#This Row],[$ INTERESES]],0)</f>
        <v>222640.81</v>
      </c>
    </row>
    <row r="761" spans="1:11" ht="24" customHeight="1" x14ac:dyDescent="0.25">
      <c r="A761" s="138">
        <v>45642</v>
      </c>
      <c r="B761" s="139" t="s">
        <v>237</v>
      </c>
      <c r="C761" s="140">
        <v>4000000</v>
      </c>
      <c r="D761" s="140"/>
      <c r="E761" s="140">
        <f>+IF(FINANCIACION[[#This Row],[$ CAPITAL]]&gt;=0,FINANCIACION[[#This Row],[$ CAPITAL]]+FINANCIACION[[#This Row],[$ INTERESES]],"")</f>
        <v>4000000</v>
      </c>
      <c r="F761" s="140">
        <f>+SUMIFS(FINANCIACION[$ CAPITAL],FINANCIACION[Fecha],"&lt;="&amp;FINANCIACION[[#This Row],[Fecha]],FINANCIACION[PRESTAMO],FINANCIACION[[#This Row],[PRESTAMO]])</f>
        <v>-24681049</v>
      </c>
      <c r="G761" s="140"/>
      <c r="H761" s="141"/>
      <c r="I761" s="142"/>
      <c r="J761" s="140">
        <f>+IF(FINANCIACION[[#This Row],[$ CAPITAL]]&gt;0,FINANCIACION[[#This Row],[$ CAPITAL]])</f>
        <v>4000000</v>
      </c>
      <c r="K761" s="143">
        <f>+IF(FINANCIACION[[#This Row],[$ CAPITAL]]&gt;=0,FINANCIACION[[#This Row],[$ CAPITAL]]+FINANCIACION[[#This Row],[$ INTERESES]],0)</f>
        <v>4000000</v>
      </c>
    </row>
    <row r="762" spans="1:11" ht="24" customHeight="1" x14ac:dyDescent="0.25">
      <c r="A762" s="138">
        <v>45644</v>
      </c>
      <c r="B762" s="139" t="s">
        <v>907</v>
      </c>
      <c r="C762" s="140">
        <v>-130000000</v>
      </c>
      <c r="D762" s="140"/>
      <c r="E762" s="140" t="str">
        <f>+IF(FINANCIACION[[#This Row],[$ CAPITAL]]&gt;=0,FINANCIACION[[#This Row],[$ CAPITAL]]+FINANCIACION[[#This Row],[$ INTERESES]],"")</f>
        <v/>
      </c>
      <c r="F762" s="140">
        <f>+SUMIFS(FINANCIACION[$ CAPITAL],FINANCIACION[Fecha],"&lt;="&amp;FINANCIACION[[#This Row],[Fecha]],FINANCIACION[PRESTAMO],FINANCIACION[[#This Row],[PRESTAMO]])</f>
        <v>-130000000</v>
      </c>
      <c r="G762" s="140"/>
      <c r="H762" s="141"/>
      <c r="I762" s="142"/>
      <c r="J762" s="140" t="b">
        <f>+IF(FINANCIACION[[#This Row],[$ CAPITAL]]&gt;0,FINANCIACION[[#This Row],[$ CAPITAL]])</f>
        <v>0</v>
      </c>
      <c r="K762" s="143">
        <f>+IF(FINANCIACION[[#This Row],[$ CAPITAL]]&gt;=0,FINANCIACION[[#This Row],[$ CAPITAL]]+FINANCIACION[[#This Row],[$ INTERESES]],0)</f>
        <v>0</v>
      </c>
    </row>
    <row r="763" spans="1:11" ht="24" customHeight="1" x14ac:dyDescent="0.25">
      <c r="A763" s="138">
        <v>45644</v>
      </c>
      <c r="B763" s="139" t="s">
        <v>137</v>
      </c>
      <c r="C763" s="140">
        <v>7000000</v>
      </c>
      <c r="D763" s="140"/>
      <c r="E763" s="140">
        <f>+IF(FINANCIACION[[#This Row],[$ CAPITAL]]&gt;=0,FINANCIACION[[#This Row],[$ CAPITAL]]+FINANCIACION[[#This Row],[$ INTERESES]],"")</f>
        <v>7000000</v>
      </c>
      <c r="F763" s="140">
        <f>+SUMIFS(FINANCIACION[$ CAPITAL],FINANCIACION[Fecha],"&lt;="&amp;FINANCIACION[[#This Row],[Fecha]],FINANCIACION[PRESTAMO],FINANCIACION[[#This Row],[PRESTAMO]])</f>
        <v>-68603776</v>
      </c>
      <c r="G763" s="140"/>
      <c r="H763" s="141" t="s">
        <v>959</v>
      </c>
      <c r="I763" s="142"/>
      <c r="J763" s="140">
        <f>+IF(FINANCIACION[[#This Row],[$ CAPITAL]]&gt;0,FINANCIACION[[#This Row],[$ CAPITAL]])</f>
        <v>7000000</v>
      </c>
      <c r="K763" s="143">
        <f>+IF(FINANCIACION[[#This Row],[$ CAPITAL]]&gt;=0,FINANCIACION[[#This Row],[$ CAPITAL]]+FINANCIACION[[#This Row],[$ INTERESES]],0)</f>
        <v>7000000</v>
      </c>
    </row>
    <row r="764" spans="1:11" ht="24" customHeight="1" x14ac:dyDescent="0.25">
      <c r="A764" s="138">
        <v>45645</v>
      </c>
      <c r="B764" s="139" t="s">
        <v>908</v>
      </c>
      <c r="C764" s="140"/>
      <c r="D764" s="140">
        <v>1024001</v>
      </c>
      <c r="E764" s="140">
        <f>+IF(FINANCIACION[[#This Row],[$ CAPITAL]]&gt;=0,FINANCIACION[[#This Row],[$ CAPITAL]]+FINANCIACION[[#This Row],[$ INTERESES]],"")</f>
        <v>1024001</v>
      </c>
      <c r="F764" s="140">
        <f>+SUMIFS(FINANCIACION[$ CAPITAL],FINANCIACION[Fecha],"&lt;="&amp;FINANCIACION[[#This Row],[Fecha]],FINANCIACION[PRESTAMO],FINANCIACION[[#This Row],[PRESTAMO]])</f>
        <v>-85867698</v>
      </c>
      <c r="G764" s="140"/>
      <c r="H764" s="141"/>
      <c r="I764" s="142"/>
      <c r="J764" s="140" t="b">
        <f>+IF(FINANCIACION[[#This Row],[$ CAPITAL]]&gt;0,FINANCIACION[[#This Row],[$ CAPITAL]])</f>
        <v>0</v>
      </c>
      <c r="K764" s="143">
        <f>+IF(FINANCIACION[[#This Row],[$ CAPITAL]]&gt;=0,FINANCIACION[[#This Row],[$ CAPITAL]]+FINANCIACION[[#This Row],[$ INTERESES]],0)</f>
        <v>1024001</v>
      </c>
    </row>
    <row r="765" spans="1:11" ht="24" customHeight="1" x14ac:dyDescent="0.25">
      <c r="A765" s="138">
        <v>45645</v>
      </c>
      <c r="B765" s="139" t="s">
        <v>236</v>
      </c>
      <c r="C765" s="140">
        <v>33957466</v>
      </c>
      <c r="D765" s="140"/>
      <c r="E765" s="140">
        <f>+IF(FINANCIACION[[#This Row],[$ CAPITAL]]&gt;=0,FINANCIACION[[#This Row],[$ CAPITAL]]+FINANCIACION[[#This Row],[$ INTERESES]],"")</f>
        <v>33957466</v>
      </c>
      <c r="F765" s="140">
        <f>+SUMIFS(FINANCIACION[$ CAPITAL],FINANCIACION[Fecha],"&lt;="&amp;FINANCIACION[[#This Row],[Fecha]],FINANCIACION[PRESTAMO],FINANCIACION[[#This Row],[PRESTAMO]])</f>
        <v>19691665</v>
      </c>
      <c r="G765" s="140"/>
      <c r="H765" s="141" t="s">
        <v>969</v>
      </c>
      <c r="I765" s="142"/>
      <c r="J765" s="140">
        <f>+IF(FINANCIACION[[#This Row],[$ CAPITAL]]&gt;0,FINANCIACION[[#This Row],[$ CAPITAL]])</f>
        <v>33957466</v>
      </c>
      <c r="K765" s="143">
        <f>+IF(FINANCIACION[[#This Row],[$ CAPITAL]]&gt;=0,FINANCIACION[[#This Row],[$ CAPITAL]]+FINANCIACION[[#This Row],[$ INTERESES]],0)</f>
        <v>33957466</v>
      </c>
    </row>
    <row r="766" spans="1:11" ht="24" customHeight="1" x14ac:dyDescent="0.25">
      <c r="A766" s="138">
        <v>45646</v>
      </c>
      <c r="B766" s="139" t="s">
        <v>138</v>
      </c>
      <c r="C766" s="140">
        <v>-80000000</v>
      </c>
      <c r="D766" s="140"/>
      <c r="E766" s="140" t="str">
        <f>+IF(FINANCIACION[[#This Row],[$ CAPITAL]]&gt;=0,FINANCIACION[[#This Row],[$ CAPITAL]]+FINANCIACION[[#This Row],[$ INTERESES]],"")</f>
        <v/>
      </c>
      <c r="F766" s="140">
        <f>+SUMIFS(FINANCIACION[$ CAPITAL],FINANCIACION[Fecha],"&lt;="&amp;FINANCIACION[[#This Row],[Fecha]],FINANCIACION[PRESTAMO],FINANCIACION[[#This Row],[PRESTAMO]])</f>
        <v>-79999999.712277353</v>
      </c>
      <c r="G766" s="140"/>
      <c r="H766" s="141" t="s">
        <v>928</v>
      </c>
      <c r="I766" s="142"/>
      <c r="J766" s="140" t="b">
        <f>+IF(FINANCIACION[[#This Row],[$ CAPITAL]]&gt;0,FINANCIACION[[#This Row],[$ CAPITAL]])</f>
        <v>0</v>
      </c>
      <c r="K766" s="143">
        <f>+IF(FINANCIACION[[#This Row],[$ CAPITAL]]&gt;=0,FINANCIACION[[#This Row],[$ CAPITAL]]+FINANCIACION[[#This Row],[$ INTERESES]],0)</f>
        <v>0</v>
      </c>
    </row>
    <row r="767" spans="1:11" ht="24" customHeight="1" x14ac:dyDescent="0.25">
      <c r="A767" s="138">
        <v>45646</v>
      </c>
      <c r="B767" s="139" t="s">
        <v>136</v>
      </c>
      <c r="C767" s="140">
        <v>1780570.24</v>
      </c>
      <c r="D767" s="140">
        <v>219429.76000000001</v>
      </c>
      <c r="E767" s="140">
        <f>+IF(FINANCIACION[[#This Row],[$ CAPITAL]]&gt;=0,FINANCIACION[[#This Row],[$ CAPITAL]]+FINANCIACION[[#This Row],[$ INTERESES]],"")</f>
        <v>2000000</v>
      </c>
      <c r="F767" s="140">
        <f>+SUMIFS(FINANCIACION[$ CAPITAL],FINANCIACION[Fecha],"&lt;="&amp;FINANCIACION[[#This Row],[Fecha]],FINANCIACION[PRESTAMO],FINANCIACION[[#This Row],[PRESTAMO]])</f>
        <v>-20162405.372562867</v>
      </c>
      <c r="G767" s="140"/>
      <c r="H767" s="141" t="s">
        <v>937</v>
      </c>
      <c r="I767" s="142"/>
      <c r="J767" s="140">
        <f>+IF(FINANCIACION[[#This Row],[$ CAPITAL]]&gt;0,FINANCIACION[[#This Row],[$ CAPITAL]])</f>
        <v>1780570.24</v>
      </c>
      <c r="K767" s="143">
        <f>+IF(FINANCIACION[[#This Row],[$ CAPITAL]]&gt;=0,FINANCIACION[[#This Row],[$ CAPITAL]]+FINANCIACION[[#This Row],[$ INTERESES]],0)</f>
        <v>2000000</v>
      </c>
    </row>
    <row r="768" spans="1:11" ht="24" customHeight="1" x14ac:dyDescent="0.25">
      <c r="A768" s="138">
        <v>45646</v>
      </c>
      <c r="B768" s="139" t="s">
        <v>233</v>
      </c>
      <c r="C768" s="140">
        <v>2778000</v>
      </c>
      <c r="D768" s="140">
        <v>3579887</v>
      </c>
      <c r="E768" s="140">
        <f>+IF(FINANCIACION[[#This Row],[$ CAPITAL]]&gt;=0,FINANCIACION[[#This Row],[$ CAPITAL]]+FINANCIACION[[#This Row],[$ INTERESES]],"")</f>
        <v>6357887</v>
      </c>
      <c r="F768" s="140">
        <f>+SUMIFS(FINANCIACION[$ CAPITAL],FINANCIACION[Fecha],"&lt;="&amp;FINANCIACION[[#This Row],[Fecha]],FINANCIACION[PRESTAMO],FINANCIACION[[#This Row],[PRESTAMO]])</f>
        <v>-66975845</v>
      </c>
      <c r="G768" s="140"/>
      <c r="H768" s="141"/>
      <c r="I768" s="142"/>
      <c r="J768" s="140">
        <f>+IF(FINANCIACION[[#This Row],[$ CAPITAL]]&gt;0,FINANCIACION[[#This Row],[$ CAPITAL]])</f>
        <v>2778000</v>
      </c>
      <c r="K768" s="143">
        <f>+IF(FINANCIACION[[#This Row],[$ CAPITAL]]&gt;=0,FINANCIACION[[#This Row],[$ CAPITAL]]+FINANCIACION[[#This Row],[$ INTERESES]],0)</f>
        <v>6357887</v>
      </c>
    </row>
    <row r="769" spans="1:11" ht="24" customHeight="1" x14ac:dyDescent="0.25">
      <c r="A769" s="138">
        <v>45646</v>
      </c>
      <c r="B769" s="139" t="s">
        <v>237</v>
      </c>
      <c r="C769" s="140">
        <v>61941964</v>
      </c>
      <c r="D769" s="140"/>
      <c r="E769" s="140">
        <f>+IF(FINANCIACION[[#This Row],[$ CAPITAL]]&gt;=0,FINANCIACION[[#This Row],[$ CAPITAL]]+FINANCIACION[[#This Row],[$ INTERESES]],"")</f>
        <v>61941964</v>
      </c>
      <c r="F769" s="140">
        <f>+SUMIFS(FINANCIACION[$ CAPITAL],FINANCIACION[Fecha],"&lt;="&amp;FINANCIACION[[#This Row],[Fecha]],FINANCIACION[PRESTAMO],FINANCIACION[[#This Row],[PRESTAMO]])</f>
        <v>37260915</v>
      </c>
      <c r="G769" s="140"/>
      <c r="H769" s="141"/>
      <c r="I769" s="142"/>
      <c r="J769" s="140">
        <f>+IF(FINANCIACION[[#This Row],[$ CAPITAL]]&gt;0,FINANCIACION[[#This Row],[$ CAPITAL]])</f>
        <v>61941964</v>
      </c>
      <c r="K769" s="143">
        <f>+IF(FINANCIACION[[#This Row],[$ CAPITAL]]&gt;=0,FINANCIACION[[#This Row],[$ CAPITAL]]+FINANCIACION[[#This Row],[$ INTERESES]],0)</f>
        <v>61941964</v>
      </c>
    </row>
    <row r="770" spans="1:11" ht="24" customHeight="1" x14ac:dyDescent="0.25">
      <c r="A770" s="138">
        <v>45647</v>
      </c>
      <c r="B770" s="139" t="s">
        <v>146</v>
      </c>
      <c r="C770" s="140"/>
      <c r="D770" s="140">
        <v>1400000</v>
      </c>
      <c r="E770" s="140">
        <f>+IF(FINANCIACION[[#This Row],[$ CAPITAL]]&gt;=0,FINANCIACION[[#This Row],[$ CAPITAL]]+FINANCIACION[[#This Row],[$ INTERESES]],"")</f>
        <v>1400000</v>
      </c>
      <c r="F770" s="140">
        <f>+SUMIFS(FINANCIACION[$ CAPITAL],FINANCIACION[Fecha],"&lt;="&amp;FINANCIACION[[#This Row],[Fecha]],FINANCIACION[PRESTAMO],FINANCIACION[[#This Row],[PRESTAMO]])</f>
        <v>-140000000</v>
      </c>
      <c r="G770" s="140"/>
      <c r="H770" s="141"/>
      <c r="I770" s="142"/>
      <c r="J770" s="140" t="b">
        <f>+IF(FINANCIACION[[#This Row],[$ CAPITAL]]&gt;0,FINANCIACION[[#This Row],[$ CAPITAL]])</f>
        <v>0</v>
      </c>
      <c r="K770" s="143">
        <f>+IF(FINANCIACION[[#This Row],[$ CAPITAL]]&gt;=0,FINANCIACION[[#This Row],[$ CAPITAL]]+FINANCIACION[[#This Row],[$ INTERESES]],0)</f>
        <v>1400000</v>
      </c>
    </row>
    <row r="771" spans="1:11" ht="24" customHeight="1" x14ac:dyDescent="0.25">
      <c r="A771" s="138">
        <v>45650</v>
      </c>
      <c r="B771" s="139" t="s">
        <v>250</v>
      </c>
      <c r="C771" s="140">
        <v>4169998</v>
      </c>
      <c r="D771" s="140">
        <v>162143</v>
      </c>
      <c r="E771" s="140">
        <f>+IF(FINANCIACION[[#This Row],[$ CAPITAL]]&gt;=0,FINANCIACION[[#This Row],[$ CAPITAL]]+FINANCIACION[[#This Row],[$ INTERESES]],"")</f>
        <v>4332141</v>
      </c>
      <c r="F771" s="140">
        <f>+SUMIFS(FINANCIACION[$ CAPITAL],FINANCIACION[Fecha],"&lt;="&amp;FINANCIACION[[#This Row],[Fecha]],FINANCIACION[PRESTAMO],FINANCIACION[[#This Row],[PRESTAMO]])</f>
        <v>-8357024</v>
      </c>
      <c r="G771" s="140"/>
      <c r="H771" s="141"/>
      <c r="I771" s="142"/>
      <c r="J771" s="140">
        <f>+IF(FINANCIACION[[#This Row],[$ CAPITAL]]&gt;0,FINANCIACION[[#This Row],[$ CAPITAL]])</f>
        <v>4169998</v>
      </c>
      <c r="K771" s="143">
        <f>+IF(FINANCIACION[[#This Row],[$ CAPITAL]]&gt;=0,FINANCIACION[[#This Row],[$ CAPITAL]]+FINANCIACION[[#This Row],[$ INTERESES]],0)</f>
        <v>4332141</v>
      </c>
    </row>
    <row r="772" spans="1:11" ht="24" customHeight="1" x14ac:dyDescent="0.25">
      <c r="A772" s="138">
        <v>45650</v>
      </c>
      <c r="B772" s="139" t="s">
        <v>239</v>
      </c>
      <c r="C772" s="140">
        <v>1481481</v>
      </c>
      <c r="D772" s="140">
        <v>407519</v>
      </c>
      <c r="E772" s="140">
        <f>+IF(FINANCIACION[[#This Row],[$ CAPITAL]]&gt;=0,FINANCIACION[[#This Row],[$ CAPITAL]]+FINANCIACION[[#This Row],[$ INTERESES]],"")</f>
        <v>1889000</v>
      </c>
      <c r="F772" s="140">
        <f>+SUMIFS(FINANCIACION[$ CAPITAL],FINANCIACION[Fecha],"&lt;="&amp;FINANCIACION[[#This Row],[Fecha]],FINANCIACION[PRESTAMO],FINANCIACION[[#This Row],[PRESTAMO]])</f>
        <v>-34047147.050000004</v>
      </c>
      <c r="G772" s="140"/>
      <c r="H772" s="141"/>
      <c r="I772" s="142"/>
      <c r="J772" s="140">
        <f>+IF(FINANCIACION[[#This Row],[$ CAPITAL]]&gt;0,FINANCIACION[[#This Row],[$ CAPITAL]])</f>
        <v>1481481</v>
      </c>
      <c r="K772" s="143">
        <f>+IF(FINANCIACION[[#This Row],[$ CAPITAL]]&gt;=0,FINANCIACION[[#This Row],[$ CAPITAL]]+FINANCIACION[[#This Row],[$ INTERESES]],0)</f>
        <v>1889000</v>
      </c>
    </row>
    <row r="773" spans="1:11" ht="24" customHeight="1" x14ac:dyDescent="0.25">
      <c r="A773" s="138">
        <v>45656</v>
      </c>
      <c r="B773" s="139" t="s">
        <v>233</v>
      </c>
      <c r="C773" s="140">
        <v>-47399</v>
      </c>
      <c r="D773" s="140"/>
      <c r="E773" s="140" t="str">
        <f>+IF(FINANCIACION[[#This Row],[$ CAPITAL]]&gt;=0,FINANCIACION[[#This Row],[$ CAPITAL]]+FINANCIACION[[#This Row],[$ INTERESES]],"")</f>
        <v/>
      </c>
      <c r="F773" s="140">
        <f>+SUMIFS(FINANCIACION[$ CAPITAL],FINANCIACION[Fecha],"&lt;="&amp;FINANCIACION[[#This Row],[Fecha]],FINANCIACION[PRESTAMO],FINANCIACION[[#This Row],[PRESTAMO]])</f>
        <v>-67023244</v>
      </c>
      <c r="G773" s="140"/>
      <c r="H773" s="141" t="s">
        <v>72</v>
      </c>
      <c r="I773" s="142"/>
      <c r="J773" s="140" t="b">
        <f>+IF(FINANCIACION[[#This Row],[$ CAPITAL]]&gt;0,FINANCIACION[[#This Row],[$ CAPITAL]])</f>
        <v>0</v>
      </c>
      <c r="K773" s="143">
        <f>+IF(FINANCIACION[[#This Row],[$ CAPITAL]]&gt;=0,FINANCIACION[[#This Row],[$ CAPITAL]]+FINANCIACION[[#This Row],[$ INTERESES]],0)</f>
        <v>0</v>
      </c>
    </row>
    <row r="774" spans="1:11" ht="24" customHeight="1" x14ac:dyDescent="0.25">
      <c r="A774" s="138">
        <v>45656</v>
      </c>
      <c r="B774" s="139" t="s">
        <v>250</v>
      </c>
      <c r="C774" s="140">
        <v>3721</v>
      </c>
      <c r="D774" s="140"/>
      <c r="E774" s="140">
        <f>+IF(FINANCIACION[[#This Row],[$ CAPITAL]]&gt;=0,FINANCIACION[[#This Row],[$ CAPITAL]]+FINANCIACION[[#This Row],[$ INTERESES]],"")</f>
        <v>3721</v>
      </c>
      <c r="F774" s="140">
        <f>+SUMIFS(FINANCIACION[$ CAPITAL],FINANCIACION[Fecha],"&lt;="&amp;FINANCIACION[[#This Row],[Fecha]],FINANCIACION[PRESTAMO],FINANCIACION[[#This Row],[PRESTAMO]])</f>
        <v>-8353303</v>
      </c>
      <c r="G774" s="140"/>
      <c r="H774" s="141" t="s">
        <v>72</v>
      </c>
      <c r="I774" s="142"/>
      <c r="J774" s="140">
        <f>+IF(FINANCIACION[[#This Row],[$ CAPITAL]]&gt;0,FINANCIACION[[#This Row],[$ CAPITAL]])</f>
        <v>3721</v>
      </c>
      <c r="K774" s="143">
        <f>+IF(FINANCIACION[[#This Row],[$ CAPITAL]]&gt;=0,FINANCIACION[[#This Row],[$ CAPITAL]]+FINANCIACION[[#This Row],[$ INTERESES]],0)</f>
        <v>3721</v>
      </c>
    </row>
    <row r="775" spans="1:11" ht="24" customHeight="1" x14ac:dyDescent="0.25">
      <c r="A775" s="138">
        <v>45656</v>
      </c>
      <c r="B775" s="139" t="s">
        <v>239</v>
      </c>
      <c r="C775" s="140">
        <v>-44745</v>
      </c>
      <c r="D775" s="140"/>
      <c r="E775" s="140" t="str">
        <f>+IF(FINANCIACION[[#This Row],[$ CAPITAL]]&gt;=0,FINANCIACION[[#This Row],[$ CAPITAL]]+FINANCIACION[[#This Row],[$ INTERESES]],"")</f>
        <v/>
      </c>
      <c r="F775" s="140">
        <f>+SUMIFS(FINANCIACION[$ CAPITAL],FINANCIACION[Fecha],"&lt;="&amp;FINANCIACION[[#This Row],[Fecha]],FINANCIACION[PRESTAMO],FINANCIACION[[#This Row],[PRESTAMO]])</f>
        <v>-34091892.050000004</v>
      </c>
      <c r="G775" s="140"/>
      <c r="H775" s="141" t="s">
        <v>72</v>
      </c>
      <c r="I775" s="142"/>
      <c r="J775" s="140" t="b">
        <f>+IF(FINANCIACION[[#This Row],[$ CAPITAL]]&gt;0,FINANCIACION[[#This Row],[$ CAPITAL]])</f>
        <v>0</v>
      </c>
      <c r="K775" s="143">
        <f>+IF(FINANCIACION[[#This Row],[$ CAPITAL]]&gt;=0,FINANCIACION[[#This Row],[$ CAPITAL]]+FINANCIACION[[#This Row],[$ INTERESES]],0)</f>
        <v>0</v>
      </c>
    </row>
    <row r="776" spans="1:11" ht="24" customHeight="1" x14ac:dyDescent="0.25">
      <c r="A776" s="138">
        <v>45656</v>
      </c>
      <c r="B776" s="139" t="s">
        <v>218</v>
      </c>
      <c r="C776" s="140">
        <v>264433</v>
      </c>
      <c r="D776" s="140"/>
      <c r="E776" s="140">
        <f>+IF(FINANCIACION[[#This Row],[$ CAPITAL]]&gt;=0,FINANCIACION[[#This Row],[$ CAPITAL]]+FINANCIACION[[#This Row],[$ INTERESES]],"")</f>
        <v>264433</v>
      </c>
      <c r="F776" s="140">
        <f>+SUMIFS(FINANCIACION[$ CAPITAL],FINANCIACION[Fecha],"&lt;="&amp;FINANCIACION[[#This Row],[Fecha]],FINANCIACION[PRESTAMO],FINANCIACION[[#This Row],[PRESTAMO]])</f>
        <v>-108357505</v>
      </c>
      <c r="G776" s="140"/>
      <c r="H776" s="141" t="s">
        <v>72</v>
      </c>
      <c r="I776" s="142"/>
      <c r="J776" s="140">
        <f>+IF(FINANCIACION[[#This Row],[$ CAPITAL]]&gt;0,FINANCIACION[[#This Row],[$ CAPITAL]])</f>
        <v>264433</v>
      </c>
      <c r="K776" s="143">
        <f>+IF(FINANCIACION[[#This Row],[$ CAPITAL]]&gt;=0,FINANCIACION[[#This Row],[$ CAPITAL]]+FINANCIACION[[#This Row],[$ INTERESES]],0)</f>
        <v>264433</v>
      </c>
    </row>
    <row r="777" spans="1:11" ht="24" customHeight="1" x14ac:dyDescent="0.25">
      <c r="A777" s="138">
        <v>45656</v>
      </c>
      <c r="B777" s="139" t="s">
        <v>137</v>
      </c>
      <c r="C777" s="140">
        <v>-1500199</v>
      </c>
      <c r="D777" s="140"/>
      <c r="E777" s="140" t="str">
        <f>+IF(FINANCIACION[[#This Row],[$ CAPITAL]]&gt;=0,FINANCIACION[[#This Row],[$ CAPITAL]]+FINANCIACION[[#This Row],[$ INTERESES]],"")</f>
        <v/>
      </c>
      <c r="F777" s="140">
        <f>+SUMIFS(FINANCIACION[$ CAPITAL],FINANCIACION[Fecha],"&lt;="&amp;FINANCIACION[[#This Row],[Fecha]],FINANCIACION[PRESTAMO],FINANCIACION[[#This Row],[PRESTAMO]])</f>
        <v>-70103975</v>
      </c>
      <c r="G777" s="140"/>
      <c r="H777" s="141" t="s">
        <v>72</v>
      </c>
      <c r="I777" s="142"/>
      <c r="J777" s="140" t="b">
        <f>+IF(FINANCIACION[[#This Row],[$ CAPITAL]]&gt;0,FINANCIACION[[#This Row],[$ CAPITAL]])</f>
        <v>0</v>
      </c>
      <c r="K777" s="143">
        <f>+IF(FINANCIACION[[#This Row],[$ CAPITAL]]&gt;=0,FINANCIACION[[#This Row],[$ CAPITAL]]+FINANCIACION[[#This Row],[$ INTERESES]],0)</f>
        <v>0</v>
      </c>
    </row>
    <row r="778" spans="1:11" ht="24" customHeight="1" x14ac:dyDescent="0.25">
      <c r="A778" s="138">
        <v>45656</v>
      </c>
      <c r="B778" s="139" t="s">
        <v>236</v>
      </c>
      <c r="C778" s="140">
        <v>-19691665</v>
      </c>
      <c r="D778" s="140">
        <v>661276</v>
      </c>
      <c r="E778" s="140" t="str">
        <f>+IF(FINANCIACION[[#This Row],[$ CAPITAL]]&gt;=0,FINANCIACION[[#This Row],[$ CAPITAL]]+FINANCIACION[[#This Row],[$ INTERESES]],"")</f>
        <v/>
      </c>
      <c r="F778" s="140">
        <f>+SUMIFS(FINANCIACION[$ CAPITAL],FINANCIACION[Fecha],"&lt;="&amp;FINANCIACION[[#This Row],[Fecha]],FINANCIACION[PRESTAMO],FINANCIACION[[#This Row],[PRESTAMO]])</f>
        <v>0</v>
      </c>
      <c r="G778" s="140"/>
      <c r="H778" s="141" t="s">
        <v>72</v>
      </c>
      <c r="I778" s="142"/>
      <c r="J778" s="140" t="b">
        <f>+IF(FINANCIACION[[#This Row],[$ CAPITAL]]&gt;0,FINANCIACION[[#This Row],[$ CAPITAL]])</f>
        <v>0</v>
      </c>
      <c r="K778" s="143">
        <f>+IF(FINANCIACION[[#This Row],[$ CAPITAL]]&gt;=0,FINANCIACION[[#This Row],[$ CAPITAL]]+FINANCIACION[[#This Row],[$ INTERESES]],0)</f>
        <v>0</v>
      </c>
    </row>
    <row r="779" spans="1:11" ht="24" customHeight="1" x14ac:dyDescent="0.25">
      <c r="A779" s="138">
        <v>45656</v>
      </c>
      <c r="B779" s="139" t="s">
        <v>238</v>
      </c>
      <c r="C779" s="140">
        <v>-6420</v>
      </c>
      <c r="D779" s="140">
        <v>7449</v>
      </c>
      <c r="E779" s="140" t="str">
        <f>+IF(FINANCIACION[[#This Row],[$ CAPITAL]]&gt;=0,FINANCIACION[[#This Row],[$ CAPITAL]]+FINANCIACION[[#This Row],[$ INTERESES]],"")</f>
        <v/>
      </c>
      <c r="F779" s="140">
        <f>+SUMIFS(FINANCIACION[$ CAPITAL],FINANCIACION[Fecha],"&lt;="&amp;FINANCIACION[[#This Row],[Fecha]],FINANCIACION[PRESTAMO],FINANCIACION[[#This Row],[PRESTAMO]])</f>
        <v>-310108</v>
      </c>
      <c r="G779" s="140"/>
      <c r="H779" s="141" t="s">
        <v>72</v>
      </c>
      <c r="I779" s="142"/>
      <c r="J779" s="140" t="b">
        <f>+IF(FINANCIACION[[#This Row],[$ CAPITAL]]&gt;0,FINANCIACION[[#This Row],[$ CAPITAL]])</f>
        <v>0</v>
      </c>
      <c r="K779" s="143">
        <f>+IF(FINANCIACION[[#This Row],[$ CAPITAL]]&gt;=0,FINANCIACION[[#This Row],[$ CAPITAL]]+FINANCIACION[[#This Row],[$ INTERESES]],0)</f>
        <v>0</v>
      </c>
    </row>
    <row r="780" spans="1:11" ht="24" customHeight="1" x14ac:dyDescent="0.25">
      <c r="A780" s="138">
        <v>45656</v>
      </c>
      <c r="B780" s="139" t="s">
        <v>237</v>
      </c>
      <c r="C780" s="140">
        <v>-35041992</v>
      </c>
      <c r="D780" s="140">
        <v>600731</v>
      </c>
      <c r="E780" s="140" t="str">
        <f>+IF(FINANCIACION[[#This Row],[$ CAPITAL]]&gt;=0,FINANCIACION[[#This Row],[$ CAPITAL]]+FINANCIACION[[#This Row],[$ INTERESES]],"")</f>
        <v/>
      </c>
      <c r="F780" s="140">
        <f>+SUMIFS(FINANCIACION[$ CAPITAL],FINANCIACION[Fecha],"&lt;="&amp;FINANCIACION[[#This Row],[Fecha]],FINANCIACION[PRESTAMO],FINANCIACION[[#This Row],[PRESTAMO]])</f>
        <v>2218923</v>
      </c>
      <c r="G780" s="140"/>
      <c r="H780" s="141" t="s">
        <v>72</v>
      </c>
      <c r="I780" s="142">
        <v>-35041992</v>
      </c>
      <c r="J780" s="140" t="b">
        <f>+IF(FINANCIACION[[#This Row],[$ CAPITAL]]&gt;0,FINANCIACION[[#This Row],[$ CAPITAL]])</f>
        <v>0</v>
      </c>
      <c r="K780" s="143">
        <f>+IF(FINANCIACION[[#This Row],[$ CAPITAL]]&gt;=0,FINANCIACION[[#This Row],[$ CAPITAL]]+FINANCIACION[[#This Row],[$ INTERESES]],0)</f>
        <v>0</v>
      </c>
    </row>
    <row r="781" spans="1:11" ht="24" customHeight="1" x14ac:dyDescent="0.25">
      <c r="A781" s="138">
        <v>45659</v>
      </c>
      <c r="B781" s="139" t="s">
        <v>218</v>
      </c>
      <c r="C781" s="140">
        <v>4228003</v>
      </c>
      <c r="D781" s="140">
        <v>2514807</v>
      </c>
      <c r="E781" s="140">
        <f>+IF(FINANCIACION[[#This Row],[$ CAPITAL]]&gt;=0,FINANCIACION[[#This Row],[$ CAPITAL]]+FINANCIACION[[#This Row],[$ INTERESES]],"")</f>
        <v>6742810</v>
      </c>
      <c r="F781" s="140">
        <f>+SUMIFS(FINANCIACION[$ CAPITAL],FINANCIACION[Fecha],"&lt;="&amp;FINANCIACION[[#This Row],[Fecha]],FINANCIACION[PRESTAMO],FINANCIACION[[#This Row],[PRESTAMO]])</f>
        <v>-104129502</v>
      </c>
      <c r="G781" s="140"/>
      <c r="H781" s="141"/>
      <c r="I781" s="142"/>
      <c r="J781" s="140">
        <f>+IF(FINANCIACION[[#This Row],[$ CAPITAL]]&gt;0,FINANCIACION[[#This Row],[$ CAPITAL]])</f>
        <v>4228003</v>
      </c>
      <c r="K781" s="143">
        <f>+IF(FINANCIACION[[#This Row],[$ CAPITAL]]&gt;=0,FINANCIACION[[#This Row],[$ CAPITAL]]+FINANCIACION[[#This Row],[$ INTERESES]],0)</f>
        <v>6742810</v>
      </c>
    </row>
  </sheetData>
  <phoneticPr fontId="2" type="noConversion"/>
  <dataValidations xWindow="542" yWindow="371" count="1">
    <dataValidation allowBlank="1" showInputMessage="1" showErrorMessage="1" error="Primero crea el proveedor en la hoja &quot;Proveedores&quot;." sqref="G1" xr:uid="{1BC871DF-9A62-4198-AC91-BE91A2569022}"/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B2B265E2-6663-4D51-9A21-5E882321D57D}">
          <x14:formula1>
            <xm:f>'Palabra que no opera y Listas d'!$C$2:$C$8</xm:f>
          </x14:formula1>
          <xm:sqref>G2:G781</xm:sqref>
        </x14:dataValidation>
        <x14:dataValidation type="list" allowBlank="1" showInputMessage="1" showErrorMessage="1" xr:uid="{016ED927-600B-4A1F-A49E-FB520E7C4029}">
          <x14:formula1>
            <xm:f>Financiadores!$A:$A</xm:f>
          </x14:formula1>
          <xm:sqref>B1:B781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D31"/>
  <sheetViews>
    <sheetView topLeftCell="A22" zoomScaleNormal="100" workbookViewId="0">
      <selection activeCell="B33" sqref="B33"/>
    </sheetView>
  </sheetViews>
  <sheetFormatPr defaultColWidth="13.42578125" defaultRowHeight="21.6" customHeight="1" x14ac:dyDescent="0.25"/>
  <cols>
    <col min="1" max="1" width="30.42578125" customWidth="1"/>
  </cols>
  <sheetData>
    <row r="1" spans="1:4" ht="21.6" customHeight="1" x14ac:dyDescent="0.25">
      <c r="A1" s="77" t="s">
        <v>70</v>
      </c>
      <c r="B1" s="77" t="s">
        <v>301</v>
      </c>
      <c r="C1" s="77" t="s">
        <v>314</v>
      </c>
      <c r="D1" s="77" t="s">
        <v>315</v>
      </c>
    </row>
    <row r="2" spans="1:4" ht="21.6" customHeight="1" x14ac:dyDescent="0.25">
      <c r="A2" s="6" t="s">
        <v>141</v>
      </c>
      <c r="B2" s="8">
        <f>-SUMIFS(FINANCIACION[$ CAPITAL],
FINANCIACION[Fecha],"&lt;="&amp;EOMONTH(B$1,0),
FINANCIACION[PRESTAMO],$A2)</f>
        <v>13000000</v>
      </c>
      <c r="C2" s="8">
        <f>-SUMIFS(FINANCIACION[$ CAPITAL],
FINANCIACION[Fecha],"&lt;="&amp;EOMONTH(C$1,0),
FINANCIACION[PRESTAMO],$A2)</f>
        <v>13000000</v>
      </c>
      <c r="D2" s="8">
        <f>-SUMIFS(FINANCIACION[$ CAPITAL],
FINANCIACION[Fecha],"&lt;="&amp;EOMONTH(D$1,0),
FINANCIACION[PRESTAMO],$A2)</f>
        <v>13000000</v>
      </c>
    </row>
    <row r="3" spans="1:4" ht="21.6" customHeight="1" x14ac:dyDescent="0.25">
      <c r="A3" s="6" t="s">
        <v>219</v>
      </c>
      <c r="B3" s="8">
        <f>-SUMIFS(FINANCIACION[$ CAPITAL],
FINANCIACION[Fecha],"&lt;="&amp;EOMONTH(B$1,0),
FINANCIACION[PRESTAMO],$A3)</f>
        <v>295000000</v>
      </c>
      <c r="C3" s="8">
        <f>-SUMIFS(FINANCIACION[$ CAPITAL],
FINANCIACION[Fecha],"&lt;="&amp;EOMONTH(C$1,0),
FINANCIACION[PRESTAMO],$A3)</f>
        <v>295000000</v>
      </c>
      <c r="D3" s="8">
        <f>-SUMIFS(FINANCIACION[$ CAPITAL],
FINANCIACION[Fecha],"&lt;="&amp;EOMONTH(D$1,0),
FINANCIACION[PRESTAMO],$A3)</f>
        <v>295000000</v>
      </c>
    </row>
    <row r="4" spans="1:4" ht="21.6" customHeight="1" x14ac:dyDescent="0.25">
      <c r="A4" s="6" t="s">
        <v>139</v>
      </c>
      <c r="B4" s="8">
        <f>-SUMIFS(FINANCIACION[$ CAPITAL],
FINANCIACION[Fecha],"&lt;="&amp;EOMONTH(B$1,0),
FINANCIACION[PRESTAMO],$A4)</f>
        <v>200000000</v>
      </c>
      <c r="C4" s="8">
        <f>-SUMIFS(FINANCIACION[$ CAPITAL],
FINANCIACION[Fecha],"&lt;="&amp;EOMONTH(C$1,0),
FINANCIACION[PRESTAMO],$A4)</f>
        <v>200000000</v>
      </c>
      <c r="D4" s="8">
        <f>-SUMIFS(FINANCIACION[$ CAPITAL],
FINANCIACION[Fecha],"&lt;="&amp;EOMONTH(D$1,0),
FINANCIACION[PRESTAMO],$A4)</f>
        <v>200000000</v>
      </c>
    </row>
    <row r="5" spans="1:4" ht="21.6" customHeight="1" x14ac:dyDescent="0.25">
      <c r="A5" s="6" t="s">
        <v>143</v>
      </c>
      <c r="B5" s="8">
        <f>-SUMIFS(FINANCIACION[$ CAPITAL],
FINANCIACION[Fecha],"&lt;="&amp;EOMONTH(B$1,0),
FINANCIACION[PRESTAMO],$A5)</f>
        <v>20000000</v>
      </c>
      <c r="C5" s="8">
        <f>-SUMIFS(FINANCIACION[$ CAPITAL],
FINANCIACION[Fecha],"&lt;="&amp;EOMONTH(C$1,0),
FINANCIACION[PRESTAMO],$A5)</f>
        <v>20000000</v>
      </c>
      <c r="D5" s="8">
        <f>-SUMIFS(FINANCIACION[$ CAPITAL],
FINANCIACION[Fecha],"&lt;="&amp;EOMONTH(D$1,0),
FINANCIACION[PRESTAMO],$A5)</f>
        <v>20000000</v>
      </c>
    </row>
    <row r="6" spans="1:4" ht="21.6" customHeight="1" x14ac:dyDescent="0.25">
      <c r="A6" s="6" t="s">
        <v>135</v>
      </c>
      <c r="B6" s="8">
        <f>-SUMIFS(FINANCIACION[$ CAPITAL],
FINANCIACION[Fecha],"&lt;="&amp;EOMONTH(B$1,0),
FINANCIACION[PRESTAMO],$A6)</f>
        <v>21486721.699624795</v>
      </c>
      <c r="C6" s="8">
        <f>-SUMIFS(FINANCIACION[$ CAPITAL],
FINANCIACION[Fecha],"&lt;="&amp;EOMONTH(C$1,0),
FINANCIACION[PRESTAMO],$A6)</f>
        <v>21486721.699624795</v>
      </c>
      <c r="D6" s="8">
        <f>-SUMIFS(FINANCIACION[$ CAPITAL],
FINANCIACION[Fecha],"&lt;="&amp;EOMONTH(D$1,0),
FINANCIACION[PRESTAMO],$A6)</f>
        <v>21486721.699624795</v>
      </c>
    </row>
    <row r="7" spans="1:4" ht="21.6" customHeight="1" x14ac:dyDescent="0.25">
      <c r="A7" s="6" t="s">
        <v>144</v>
      </c>
      <c r="B7" s="8">
        <f>-SUMIFS(FINANCIACION[$ CAPITAL],
FINANCIACION[Fecha],"&lt;="&amp;EOMONTH(B$1,0),
FINANCIACION[PRESTAMO],$A7)</f>
        <v>0</v>
      </c>
      <c r="C7" s="8">
        <f>-SUMIFS(FINANCIACION[$ CAPITAL],
FINANCIACION[Fecha],"&lt;="&amp;EOMONTH(C$1,0),
FINANCIACION[PRESTAMO],$A7)</f>
        <v>0</v>
      </c>
      <c r="D7" s="8">
        <f>-SUMIFS(FINANCIACION[$ CAPITAL],
FINANCIACION[Fecha],"&lt;="&amp;EOMONTH(D$1,0),
FINANCIACION[PRESTAMO],$A7)</f>
        <v>0</v>
      </c>
    </row>
    <row r="8" spans="1:4" ht="21.6" customHeight="1" x14ac:dyDescent="0.25">
      <c r="A8" s="6" t="s">
        <v>138</v>
      </c>
      <c r="B8" s="8">
        <f>-SUMIFS(FINANCIACION[$ CAPITAL],
FINANCIACION[Fecha],"&lt;="&amp;EOMONTH(B$1,0),
FINANCIACION[PRESTAMO],$A8)</f>
        <v>79999999.712277353</v>
      </c>
      <c r="C8" s="8">
        <f>-SUMIFS(FINANCIACION[$ CAPITAL],
FINANCIACION[Fecha],"&lt;="&amp;EOMONTH(C$1,0),
FINANCIACION[PRESTAMO],$A8)</f>
        <v>79999999.712277353</v>
      </c>
      <c r="D8" s="8">
        <f>-SUMIFS(FINANCIACION[$ CAPITAL],
FINANCIACION[Fecha],"&lt;="&amp;EOMONTH(D$1,0),
FINANCIACION[PRESTAMO],$A8)</f>
        <v>79999999.712277353</v>
      </c>
    </row>
    <row r="9" spans="1:4" ht="21.6" customHeight="1" x14ac:dyDescent="0.25">
      <c r="A9" s="6" t="s">
        <v>136</v>
      </c>
      <c r="B9" s="8">
        <f>-SUMIFS(FINANCIACION[$ CAPITAL],
FINANCIACION[Fecha],"&lt;="&amp;EOMONTH(B$1,0),
FINANCIACION[PRESTAMO],$A9)</f>
        <v>20162405.372562867</v>
      </c>
      <c r="C9" s="8">
        <f>-SUMIFS(FINANCIACION[$ CAPITAL],
FINANCIACION[Fecha],"&lt;="&amp;EOMONTH(C$1,0),
FINANCIACION[PRESTAMO],$A9)</f>
        <v>20162405.372562867</v>
      </c>
      <c r="D9" s="8">
        <f>-SUMIFS(FINANCIACION[$ CAPITAL],
FINANCIACION[Fecha],"&lt;="&amp;EOMONTH(D$1,0),
FINANCIACION[PRESTAMO],$A9)</f>
        <v>20162405.372562867</v>
      </c>
    </row>
    <row r="10" spans="1:4" ht="21.6" customHeight="1" x14ac:dyDescent="0.25">
      <c r="A10" s="6" t="s">
        <v>146</v>
      </c>
      <c r="B10" s="8">
        <f>-SUMIFS(FINANCIACION[$ CAPITAL],
FINANCIACION[Fecha],"&lt;="&amp;EOMONTH(B$1,0),
FINANCIACION[PRESTAMO],$A10)</f>
        <v>140000000</v>
      </c>
      <c r="C10" s="8">
        <f>-SUMIFS(FINANCIACION[$ CAPITAL],
FINANCIACION[Fecha],"&lt;="&amp;EOMONTH(C$1,0),
FINANCIACION[PRESTAMO],$A10)</f>
        <v>140000000</v>
      </c>
      <c r="D10" s="8">
        <f>-SUMIFS(FINANCIACION[$ CAPITAL],
FINANCIACION[Fecha],"&lt;="&amp;EOMONTH(D$1,0),
FINANCIACION[PRESTAMO],$A10)</f>
        <v>140000000</v>
      </c>
    </row>
    <row r="11" spans="1:4" ht="21.6" customHeight="1" x14ac:dyDescent="0.25">
      <c r="A11" s="6" t="s">
        <v>145</v>
      </c>
      <c r="B11" s="8">
        <f>-SUMIFS(FINANCIACION[$ CAPITAL],
FINANCIACION[Fecha],"&lt;="&amp;EOMONTH(B$1,0),
FINANCIACION[PRESTAMO],$A11)</f>
        <v>0</v>
      </c>
      <c r="C11" s="8">
        <f>-SUMIFS(FINANCIACION[$ CAPITAL],
FINANCIACION[Fecha],"&lt;="&amp;EOMONTH(C$1,0),
FINANCIACION[PRESTAMO],$A11)</f>
        <v>0</v>
      </c>
      <c r="D11" s="8">
        <f>-SUMIFS(FINANCIACION[$ CAPITAL],
FINANCIACION[Fecha],"&lt;="&amp;EOMONTH(D$1,0),
FINANCIACION[PRESTAMO],$A11)</f>
        <v>0</v>
      </c>
    </row>
    <row r="12" spans="1:4" ht="21.6" customHeight="1" x14ac:dyDescent="0.25">
      <c r="A12" s="6" t="s">
        <v>140</v>
      </c>
      <c r="B12" s="8">
        <f>-SUMIFS(FINANCIACION[$ CAPITAL],
FINANCIACION[Fecha],"&lt;="&amp;EOMONTH(B$1,0),
FINANCIACION[PRESTAMO],$A12)</f>
        <v>8000000</v>
      </c>
      <c r="C12" s="8">
        <f>-SUMIFS(FINANCIACION[$ CAPITAL],
FINANCIACION[Fecha],"&lt;="&amp;EOMONTH(C$1,0),
FINANCIACION[PRESTAMO],$A12)</f>
        <v>8000000</v>
      </c>
      <c r="D12" s="8">
        <f>-SUMIFS(FINANCIACION[$ CAPITAL],
FINANCIACION[Fecha],"&lt;="&amp;EOMONTH(D$1,0),
FINANCIACION[PRESTAMO],$A12)</f>
        <v>8000000</v>
      </c>
    </row>
    <row r="13" spans="1:4" ht="21.6" customHeight="1" x14ac:dyDescent="0.25">
      <c r="A13" s="6" t="s">
        <v>142</v>
      </c>
      <c r="B13" s="8">
        <f>-SUMIFS(FINANCIACION[$ CAPITAL],
FINANCIACION[Fecha],"&lt;="&amp;EOMONTH(B$1,0),
FINANCIACION[PRESTAMO],$A13)</f>
        <v>0</v>
      </c>
      <c r="C13" s="8">
        <f>-SUMIFS(FINANCIACION[$ CAPITAL],
FINANCIACION[Fecha],"&lt;="&amp;EOMONTH(C$1,0),
FINANCIACION[PRESTAMO],$A13)</f>
        <v>0</v>
      </c>
      <c r="D13" s="8">
        <f>-SUMIFS(FINANCIACION[$ CAPITAL],
FINANCIACION[Fecha],"&lt;="&amp;EOMONTH(D$1,0),
FINANCIACION[PRESTAMO],$A13)</f>
        <v>0</v>
      </c>
    </row>
    <row r="14" spans="1:4" ht="21.6" customHeight="1" x14ac:dyDescent="0.25">
      <c r="A14" s="6" t="s">
        <v>62</v>
      </c>
      <c r="B14" s="8">
        <f>-SUMIFS(FINANCIACION[$ CAPITAL],
FINANCIACION[Fecha],"&lt;="&amp;EOMONTH(B$1,0),
FINANCIACION[PRESTAMO],$A14)</f>
        <v>0</v>
      </c>
      <c r="C14" s="8">
        <f>-SUMIFS(FINANCIACION[$ CAPITAL],
FINANCIACION[Fecha],"&lt;="&amp;EOMONTH(C$1,0),
FINANCIACION[PRESTAMO],$A14)</f>
        <v>0</v>
      </c>
      <c r="D14" s="8">
        <f>-SUMIFS(FINANCIACION[$ CAPITAL],
FINANCIACION[Fecha],"&lt;="&amp;EOMONTH(D$1,0),
FINANCIACION[PRESTAMO],$A14)</f>
        <v>0</v>
      </c>
    </row>
    <row r="15" spans="1:4" ht="21.6" customHeight="1" x14ac:dyDescent="0.25">
      <c r="A15" s="6" t="s">
        <v>241</v>
      </c>
      <c r="B15" s="8">
        <f>-SUMIFS(FINANCIACION[$ CAPITAL],
FINANCIACION[Fecha],"&lt;="&amp;EOMONTH(B$1,0),
FINANCIACION[PRESTAMO],$A15)</f>
        <v>0</v>
      </c>
      <c r="C15" s="8">
        <f>-SUMIFS(FINANCIACION[$ CAPITAL],
FINANCIACION[Fecha],"&lt;="&amp;EOMONTH(C$1,0),
FINANCIACION[PRESTAMO],$A15)</f>
        <v>0</v>
      </c>
      <c r="D15" s="8">
        <f>-SUMIFS(FINANCIACION[$ CAPITAL],
FINANCIACION[Fecha],"&lt;="&amp;EOMONTH(D$1,0),
FINANCIACION[PRESTAMO],$A15)</f>
        <v>0</v>
      </c>
    </row>
    <row r="16" spans="1:4" ht="21.6" customHeight="1" x14ac:dyDescent="0.25">
      <c r="A16" s="6" t="s">
        <v>217</v>
      </c>
      <c r="B16" s="8">
        <f>-SUMIFS(FINANCIACION[$ CAPITAL],
FINANCIACION[Fecha],"&lt;="&amp;EOMONTH(B$1,0),
FINANCIACION[PRESTAMO],$A16)</f>
        <v>0</v>
      </c>
      <c r="C16" s="8">
        <f>-SUMIFS(FINANCIACION[$ CAPITAL],
FINANCIACION[Fecha],"&lt;="&amp;EOMONTH(C$1,0),
FINANCIACION[PRESTAMO],$A16)</f>
        <v>0</v>
      </c>
      <c r="D16" s="8">
        <f>-SUMIFS(FINANCIACION[$ CAPITAL],
FINANCIACION[Fecha],"&lt;="&amp;EOMONTH(D$1,0),
FINANCIACION[PRESTAMO],$A16)</f>
        <v>0</v>
      </c>
    </row>
    <row r="17" spans="1:4" ht="21.6" customHeight="1" x14ac:dyDescent="0.25">
      <c r="A17" s="6" t="s">
        <v>63</v>
      </c>
      <c r="B17" s="8">
        <f>-SUMIFS(FINANCIACION[$ CAPITAL],
FINANCIACION[Fecha],"&lt;="&amp;EOMONTH(B$1,0),
FINANCIACION[PRESTAMO],$A17)</f>
        <v>0</v>
      </c>
      <c r="C17" s="8">
        <f>-SUMIFS(FINANCIACION[$ CAPITAL],
FINANCIACION[Fecha],"&lt;="&amp;EOMONTH(C$1,0),
FINANCIACION[PRESTAMO],$A17)</f>
        <v>0</v>
      </c>
      <c r="D17" s="8">
        <f>-SUMIFS(FINANCIACION[$ CAPITAL],
FINANCIACION[Fecha],"&lt;="&amp;EOMONTH(D$1,0),
FINANCIACION[PRESTAMO],$A17)</f>
        <v>0</v>
      </c>
    </row>
    <row r="18" spans="1:4" ht="21.6" customHeight="1" x14ac:dyDescent="0.25">
      <c r="A18" s="6" t="s">
        <v>211</v>
      </c>
      <c r="B18" s="8">
        <f>-SUMIFS(FINANCIACION[$ CAPITAL],
FINANCIACION[Fecha],"&lt;="&amp;EOMONTH(B$1,0),
FINANCIACION[PRESTAMO],$A18)</f>
        <v>0</v>
      </c>
      <c r="C18" s="8">
        <f>-SUMIFS(FINANCIACION[$ CAPITAL],
FINANCIACION[Fecha],"&lt;="&amp;EOMONTH(C$1,0),
FINANCIACION[PRESTAMO],$A18)</f>
        <v>0</v>
      </c>
      <c r="D18" s="8">
        <f>-SUMIFS(FINANCIACION[$ CAPITAL],
FINANCIACION[Fecha],"&lt;="&amp;EOMONTH(D$1,0),
FINANCIACION[PRESTAMO],$A18)</f>
        <v>0</v>
      </c>
    </row>
    <row r="19" spans="1:4" ht="21.6" customHeight="1" x14ac:dyDescent="0.25">
      <c r="A19" s="6" t="s">
        <v>216</v>
      </c>
      <c r="B19" s="8">
        <f>-SUMIFS(FINANCIACION[$ CAPITAL],
FINANCIACION[Fecha],"&lt;="&amp;EOMONTH(B$1,0),
FINANCIACION[PRESTAMO],$A19)</f>
        <v>0</v>
      </c>
      <c r="C19" s="8">
        <f>-SUMIFS(FINANCIACION[$ CAPITAL],
FINANCIACION[Fecha],"&lt;="&amp;EOMONTH(C$1,0),
FINANCIACION[PRESTAMO],$A19)</f>
        <v>0</v>
      </c>
      <c r="D19" s="8">
        <f>-SUMIFS(FINANCIACION[$ CAPITAL],
FINANCIACION[Fecha],"&lt;="&amp;EOMONTH(D$1,0),
FINANCIACION[PRESTAMO],$A19)</f>
        <v>0</v>
      </c>
    </row>
    <row r="20" spans="1:4" ht="21.6" customHeight="1" x14ac:dyDescent="0.25">
      <c r="A20" s="6" t="s">
        <v>244</v>
      </c>
      <c r="B20" s="8">
        <f>-SUMIFS(FINANCIACION[$ CAPITAL],
FINANCIACION[Fecha],"&lt;="&amp;EOMONTH(B$1,0),
FINANCIACION[PRESTAMO],$A20)</f>
        <v>0</v>
      </c>
      <c r="C20" s="8">
        <f>-SUMIFS(FINANCIACION[$ CAPITAL],
FINANCIACION[Fecha],"&lt;="&amp;EOMONTH(C$1,0),
FINANCIACION[PRESTAMO],$A20)</f>
        <v>0</v>
      </c>
      <c r="D20" s="8">
        <f>-SUMIFS(FINANCIACION[$ CAPITAL],
FINANCIACION[Fecha],"&lt;="&amp;EOMONTH(D$1,0),
FINANCIACION[PRESTAMO],$A20)</f>
        <v>0</v>
      </c>
    </row>
    <row r="21" spans="1:4" ht="21.6" customHeight="1" x14ac:dyDescent="0.25">
      <c r="A21" s="6" t="s">
        <v>64</v>
      </c>
      <c r="B21" s="8">
        <f>-SUMIFS(FINANCIACION[$ CAPITAL],
FINANCIACION[Fecha],"&lt;="&amp;EOMONTH(B$1,0),
FINANCIACION[PRESTAMO],$A21)</f>
        <v>0</v>
      </c>
      <c r="C21" s="8">
        <f>-SUMIFS(FINANCIACION[$ CAPITAL],
FINANCIACION[Fecha],"&lt;="&amp;EOMONTH(C$1,0),
FINANCIACION[PRESTAMO],$A21)</f>
        <v>0</v>
      </c>
      <c r="D21" s="8">
        <f>-SUMIFS(FINANCIACION[$ CAPITAL],
FINANCIACION[Fecha],"&lt;="&amp;EOMONTH(D$1,0),
FINANCIACION[PRESTAMO],$A21)</f>
        <v>0</v>
      </c>
    </row>
    <row r="22" spans="1:4" ht="21.6" customHeight="1" x14ac:dyDescent="0.25">
      <c r="A22" s="6" t="s">
        <v>233</v>
      </c>
      <c r="B22" s="8">
        <f>-SUMIFS(FINANCIACION[$ CAPITAL],
FINANCIACION[Fecha],"&lt;="&amp;EOMONTH(B$1,0),
FINANCIACION[PRESTAMO],$A22)</f>
        <v>67023244</v>
      </c>
      <c r="C22" s="8">
        <f>-SUMIFS(FINANCIACION[$ CAPITAL],
FINANCIACION[Fecha],"&lt;="&amp;EOMONTH(C$1,0),
FINANCIACION[PRESTAMO],$A22)</f>
        <v>67023244</v>
      </c>
      <c r="D22" s="8">
        <f>-SUMIFS(FINANCIACION[$ CAPITAL],
FINANCIACION[Fecha],"&lt;="&amp;EOMONTH(D$1,0),
FINANCIACION[PRESTAMO],$A22)</f>
        <v>67023244</v>
      </c>
    </row>
    <row r="23" spans="1:4" ht="21.6" customHeight="1" x14ac:dyDescent="0.25">
      <c r="A23" s="6" t="s">
        <v>250</v>
      </c>
      <c r="B23" s="8">
        <f>-SUMIFS(FINANCIACION[$ CAPITAL],
FINANCIACION[Fecha],"&lt;="&amp;EOMONTH(B$1,0),
FINANCIACION[PRESTAMO],$A23)</f>
        <v>8353303</v>
      </c>
      <c r="C23" s="8">
        <f>-SUMIFS(FINANCIACION[$ CAPITAL],
FINANCIACION[Fecha],"&lt;="&amp;EOMONTH(C$1,0),
FINANCIACION[PRESTAMO],$A23)</f>
        <v>8353303</v>
      </c>
      <c r="D23" s="8">
        <f>-SUMIFS(FINANCIACION[$ CAPITAL],
FINANCIACION[Fecha],"&lt;="&amp;EOMONTH(D$1,0),
FINANCIACION[PRESTAMO],$A23)</f>
        <v>8353303</v>
      </c>
    </row>
    <row r="24" spans="1:4" ht="21.6" customHeight="1" x14ac:dyDescent="0.25">
      <c r="A24" s="6" t="s">
        <v>239</v>
      </c>
      <c r="B24" s="8">
        <f>-SUMIFS(FINANCIACION[$ CAPITAL],
FINANCIACION[Fecha],"&lt;="&amp;EOMONTH(B$1,0),
FINANCIACION[PRESTAMO],$A24)</f>
        <v>34091892.050000004</v>
      </c>
      <c r="C24" s="8">
        <f>-SUMIFS(FINANCIACION[$ CAPITAL],
FINANCIACION[Fecha],"&lt;="&amp;EOMONTH(C$1,0),
FINANCIACION[PRESTAMO],$A24)</f>
        <v>34091892.050000004</v>
      </c>
      <c r="D24" s="8">
        <f>-SUMIFS(FINANCIACION[$ CAPITAL],
FINANCIACION[Fecha],"&lt;="&amp;EOMONTH(D$1,0),
FINANCIACION[PRESTAMO],$A24)</f>
        <v>34091892.050000004</v>
      </c>
    </row>
    <row r="25" spans="1:4" ht="21.6" customHeight="1" x14ac:dyDescent="0.25">
      <c r="A25" s="6" t="s">
        <v>218</v>
      </c>
      <c r="B25" s="8">
        <f>-SUMIFS(FINANCIACION[$ CAPITAL],
FINANCIACION[Fecha],"&lt;="&amp;EOMONTH(B$1,0),
FINANCIACION[PRESTAMO],$A25)</f>
        <v>104129502</v>
      </c>
      <c r="C25" s="8">
        <f>-SUMIFS(FINANCIACION[$ CAPITAL],
FINANCIACION[Fecha],"&lt;="&amp;EOMONTH(C$1,0),
FINANCIACION[PRESTAMO],$A25)</f>
        <v>108357505</v>
      </c>
      <c r="D25" s="8">
        <f>-SUMIFS(FINANCIACION[$ CAPITAL],
FINANCIACION[Fecha],"&lt;="&amp;EOMONTH(D$1,0),
FINANCIACION[PRESTAMO],$A25)</f>
        <v>104129502</v>
      </c>
    </row>
    <row r="26" spans="1:4" ht="21.6" customHeight="1" x14ac:dyDescent="0.25">
      <c r="A26" s="6" t="s">
        <v>137</v>
      </c>
      <c r="B26" s="8">
        <f>-SUMIFS(FINANCIACION[$ CAPITAL],
FINANCIACION[Fecha],"&lt;="&amp;EOMONTH(B$1,0),
FINANCIACION[PRESTAMO],$A26)</f>
        <v>70103975</v>
      </c>
      <c r="C26" s="8">
        <f>-SUMIFS(FINANCIACION[$ CAPITAL],
FINANCIACION[Fecha],"&lt;="&amp;EOMONTH(C$1,0),
FINANCIACION[PRESTAMO],$A26)</f>
        <v>70103975</v>
      </c>
      <c r="D26" s="8">
        <f>-SUMIFS(FINANCIACION[$ CAPITAL],
FINANCIACION[Fecha],"&lt;="&amp;EOMONTH(D$1,0),
FINANCIACION[PRESTAMO],$A26)</f>
        <v>70103975</v>
      </c>
    </row>
    <row r="27" spans="1:4" ht="21.6" customHeight="1" x14ac:dyDescent="0.25">
      <c r="A27" s="6" t="s">
        <v>236</v>
      </c>
      <c r="B27" s="8">
        <f>-SUMIFS(FINANCIACION[$ CAPITAL],
FINANCIACION[Fecha],"&lt;="&amp;EOMONTH(B$1,0),
FINANCIACION[PRESTAMO],$A27)</f>
        <v>0</v>
      </c>
      <c r="C27" s="8">
        <f>-SUMIFS(FINANCIACION[$ CAPITAL],
FINANCIACION[Fecha],"&lt;="&amp;EOMONTH(C$1,0),
FINANCIACION[PRESTAMO],$A27)</f>
        <v>0</v>
      </c>
      <c r="D27" s="8">
        <f>-SUMIFS(FINANCIACION[$ CAPITAL],
FINANCIACION[Fecha],"&lt;="&amp;EOMONTH(D$1,0),
FINANCIACION[PRESTAMO],$A27)</f>
        <v>0</v>
      </c>
    </row>
    <row r="28" spans="1:4" ht="21.6" customHeight="1" x14ac:dyDescent="0.25">
      <c r="A28" s="6" t="s">
        <v>238</v>
      </c>
      <c r="B28" s="8">
        <f>-SUMIFS(FINANCIACION[$ CAPITAL],
FINANCIACION[Fecha],"&lt;="&amp;EOMONTH(B$1,0),
FINANCIACION[PRESTAMO],$A28)</f>
        <v>310108</v>
      </c>
      <c r="C28" s="8">
        <f>-SUMIFS(FINANCIACION[$ CAPITAL],
FINANCIACION[Fecha],"&lt;="&amp;EOMONTH(C$1,0),
FINANCIACION[PRESTAMO],$A28)</f>
        <v>310108</v>
      </c>
      <c r="D28" s="8">
        <f>-SUMIFS(FINANCIACION[$ CAPITAL],
FINANCIACION[Fecha],"&lt;="&amp;EOMONTH(D$1,0),
FINANCIACION[PRESTAMO],$A28)</f>
        <v>310108</v>
      </c>
    </row>
    <row r="29" spans="1:4" ht="21.6" customHeight="1" x14ac:dyDescent="0.25">
      <c r="A29" s="6" t="s">
        <v>237</v>
      </c>
      <c r="B29" s="8">
        <f>-SUMIFS(FINANCIACION[$ CAPITAL],
FINANCIACION[Fecha],"&lt;="&amp;EOMONTH(B$1,0),
FINANCIACION[PRESTAMO],$A29)</f>
        <v>-2218923</v>
      </c>
      <c r="C29" s="8">
        <f>-SUMIFS(FINANCIACION[$ CAPITAL],
FINANCIACION[Fecha],"&lt;="&amp;EOMONTH(C$1,0),
FINANCIACION[PRESTAMO],$A29)</f>
        <v>-2218923</v>
      </c>
      <c r="D29" s="8">
        <f>-SUMIFS(FINANCIACION[$ CAPITAL],
FINANCIACION[Fecha],"&lt;="&amp;EOMONTH(D$1,0),
FINANCIACION[PRESTAMO],$A29)</f>
        <v>-2218923</v>
      </c>
    </row>
    <row r="30" spans="1:4" ht="21.6" customHeight="1" x14ac:dyDescent="0.25">
      <c r="A30" s="6" t="s">
        <v>908</v>
      </c>
      <c r="B30" s="8">
        <f>-SUMIFS(FINANCIACION[$ CAPITAL],
FINANCIACION[Fecha],"&lt;="&amp;EOMONTH(B$1,0),
FINANCIACION[PRESTAMO],$A30)</f>
        <v>85867698</v>
      </c>
      <c r="C30" s="8">
        <f>-SUMIFS(FINANCIACION[$ CAPITAL],
FINANCIACION[Fecha],"&lt;="&amp;EOMONTH(C$1,0),
FINANCIACION[PRESTAMO],$A30)</f>
        <v>85867698</v>
      </c>
      <c r="D30" s="8">
        <f>-SUMIFS(FINANCIACION[$ CAPITAL],
FINANCIACION[Fecha],"&lt;="&amp;EOMONTH(D$1,0),
FINANCIACION[PRESTAMO],$A30)</f>
        <v>85867698</v>
      </c>
    </row>
    <row r="31" spans="1:4" ht="21.6" customHeight="1" x14ac:dyDescent="0.25">
      <c r="A31" s="6" t="s">
        <v>907</v>
      </c>
      <c r="B31" s="8">
        <f>-SUMIFS(FINANCIACION[$ CAPITAL],
FINANCIACION[Fecha],"&lt;="&amp;EOMONTH(B$1,0),
FINANCIACION[PRESTAMO],$A31)</f>
        <v>130000000</v>
      </c>
      <c r="C31" s="8">
        <f>-SUMIFS(FINANCIACION[$ CAPITAL],
FINANCIACION[Fecha],"&lt;="&amp;EOMONTH(C$1,0),
FINANCIACION[PRESTAMO],$A31)</f>
        <v>130000000</v>
      </c>
      <c r="D31" s="8">
        <f>-SUMIFS(FINANCIACION[$ CAPITAL],
FINANCIACION[Fecha],"&lt;="&amp;EOMONTH(D$1,0),
FINANCIACION[PRESTAMO],$A31)</f>
        <v>130000000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D7"/>
  <sheetViews>
    <sheetView topLeftCell="G1" zoomScaleNormal="100" workbookViewId="0">
      <selection activeCell="H15" sqref="H15"/>
    </sheetView>
  </sheetViews>
  <sheetFormatPr defaultColWidth="0" defaultRowHeight="19.5" customHeight="1" x14ac:dyDescent="0.25"/>
  <cols>
    <col min="1" max="3" width="13" hidden="1" customWidth="1"/>
    <col min="4" max="6" width="11.42578125" hidden="1" customWidth="1"/>
    <col min="7" max="7" width="17.42578125" customWidth="1"/>
    <col min="8" max="8" width="27.42578125" customWidth="1"/>
    <col min="9" max="9" width="24.5703125" customWidth="1"/>
    <col min="10" max="10" width="11.42578125" customWidth="1"/>
    <col min="11" max="13" width="11.42578125" hidden="1" customWidth="1"/>
    <col min="14" max="14" width="28.140625" hidden="1" customWidth="1"/>
    <col min="15" max="17" width="11.42578125" hidden="1" customWidth="1"/>
    <col min="18" max="18" width="15.5703125" customWidth="1"/>
    <col min="19" max="25" width="14.5703125" hidden="1" customWidth="1"/>
    <col min="26" max="26" width="12.42578125" hidden="1" customWidth="1"/>
    <col min="27" max="27" width="16.42578125" hidden="1" customWidth="1"/>
    <col min="28" max="28" width="11.5703125" hidden="1" customWidth="1"/>
    <col min="29" max="29" width="11.42578125" hidden="1" customWidth="1"/>
    <col min="30" max="30" width="19.28515625" customWidth="1"/>
    <col min="31" max="16384" width="11.5703125" hidden="1"/>
  </cols>
  <sheetData>
    <row r="1" spans="1:30" ht="19.5" customHeight="1" x14ac:dyDescent="0.25">
      <c r="A1" s="6"/>
      <c r="B1" s="6"/>
      <c r="C1" s="6"/>
      <c r="D1" s="64"/>
      <c r="E1" s="64"/>
      <c r="F1" s="64"/>
      <c r="G1" s="64" t="s">
        <v>310</v>
      </c>
      <c r="H1" s="64"/>
      <c r="I1" s="64"/>
      <c r="J1" s="64"/>
      <c r="K1" s="64"/>
      <c r="L1" s="64"/>
      <c r="M1" s="64"/>
      <c r="N1" s="65"/>
      <c r="O1" s="64"/>
      <c r="P1" s="64"/>
      <c r="Q1" s="64"/>
      <c r="R1" s="66"/>
      <c r="S1" s="66"/>
      <c r="T1" s="67"/>
      <c r="U1" s="67"/>
      <c r="V1" s="67"/>
      <c r="W1" s="67"/>
      <c r="X1" s="67"/>
      <c r="Y1" s="67"/>
      <c r="Z1" s="6"/>
      <c r="AA1" s="54"/>
      <c r="AB1" s="6"/>
      <c r="AC1" s="6"/>
      <c r="AD1" s="110" t="s">
        <v>176</v>
      </c>
    </row>
    <row r="2" spans="1:30" ht="19.5" customHeight="1" x14ac:dyDescent="0.25">
      <c r="A2" s="6"/>
      <c r="B2" s="6"/>
      <c r="C2" s="6"/>
      <c r="D2" s="64"/>
      <c r="E2" s="64"/>
      <c r="F2" s="64"/>
      <c r="G2" s="64" t="s">
        <v>222</v>
      </c>
      <c r="H2" s="64"/>
      <c r="I2" s="64"/>
      <c r="J2" s="64"/>
      <c r="K2" s="64"/>
      <c r="L2" s="64"/>
      <c r="M2" s="64"/>
      <c r="N2" s="65"/>
      <c r="O2" s="64"/>
      <c r="P2" s="64"/>
      <c r="Q2" s="64"/>
      <c r="R2" s="66"/>
      <c r="S2" s="66"/>
      <c r="T2" s="67"/>
      <c r="U2" s="67"/>
      <c r="V2" s="67"/>
      <c r="W2" s="67"/>
      <c r="X2" s="67"/>
      <c r="Y2" s="67"/>
      <c r="Z2" s="6"/>
      <c r="AA2" s="54"/>
      <c r="AB2" s="6"/>
      <c r="AC2" s="6"/>
      <c r="AD2" s="111"/>
    </row>
    <row r="3" spans="1:30" ht="19.5" customHeight="1" thickBot="1" x14ac:dyDescent="0.3">
      <c r="A3" s="6"/>
      <c r="B3" s="6"/>
      <c r="C3" s="6"/>
      <c r="D3" s="64"/>
      <c r="E3" s="64"/>
      <c r="F3" s="64"/>
      <c r="G3" s="64" t="s">
        <v>177</v>
      </c>
      <c r="H3" s="64"/>
      <c r="I3" s="64"/>
      <c r="J3" s="64"/>
      <c r="K3" s="64"/>
      <c r="L3" s="64"/>
      <c r="M3" s="64"/>
      <c r="N3" s="65"/>
      <c r="O3" s="64"/>
      <c r="P3" s="64"/>
      <c r="Q3" s="64"/>
      <c r="R3" s="66"/>
      <c r="S3" s="66"/>
      <c r="T3" s="67"/>
      <c r="U3" s="67"/>
      <c r="V3" s="67"/>
      <c r="W3" s="67"/>
      <c r="X3" s="67"/>
      <c r="Y3" s="67"/>
      <c r="Z3" s="6"/>
      <c r="AA3" s="54"/>
      <c r="AB3" s="6"/>
      <c r="AC3" s="6"/>
      <c r="AD3" s="27">
        <f>+SUMIFS(Tabla2[Total],Tabla2[VENCIDA],"vencida")</f>
        <v>0</v>
      </c>
    </row>
    <row r="4" spans="1:30" ht="19.5" customHeight="1" x14ac:dyDescent="0.25">
      <c r="A4" s="6"/>
      <c r="B4" s="6"/>
      <c r="C4" s="6"/>
      <c r="D4" s="64"/>
      <c r="E4" s="64"/>
      <c r="F4" s="64"/>
      <c r="G4" s="68" t="s">
        <v>180</v>
      </c>
      <c r="H4" s="68"/>
      <c r="I4" s="64"/>
      <c r="J4" s="64"/>
      <c r="K4" s="64"/>
      <c r="L4" s="64"/>
      <c r="M4" s="64"/>
      <c r="N4" s="65"/>
      <c r="O4" s="64"/>
      <c r="P4" s="64"/>
      <c r="Q4" s="64"/>
      <c r="R4" s="66"/>
      <c r="S4" s="66"/>
      <c r="T4" s="67"/>
      <c r="U4" s="67"/>
      <c r="V4" s="67"/>
      <c r="W4" s="67"/>
      <c r="X4" s="67"/>
      <c r="Y4" s="67"/>
      <c r="Z4" s="6"/>
      <c r="AA4" s="54"/>
      <c r="AB4" s="6"/>
      <c r="AC4" s="6"/>
      <c r="AD4" s="73" t="s">
        <v>312</v>
      </c>
    </row>
    <row r="5" spans="1:30" ht="19.5" customHeight="1" thickBot="1" x14ac:dyDescent="0.3">
      <c r="A5" s="6"/>
      <c r="B5" s="6"/>
      <c r="C5" s="6"/>
      <c r="D5" s="64"/>
      <c r="E5" s="64"/>
      <c r="F5" s="64"/>
      <c r="G5" s="69" t="s">
        <v>311</v>
      </c>
      <c r="H5" s="69"/>
      <c r="I5" s="64"/>
      <c r="J5" s="68"/>
      <c r="K5" s="68"/>
      <c r="L5" s="68"/>
      <c r="M5" s="68"/>
      <c r="N5" s="65"/>
      <c r="O5" s="64"/>
      <c r="P5" s="64"/>
      <c r="Q5" s="64"/>
      <c r="R5" s="66"/>
      <c r="S5" s="66"/>
      <c r="T5" s="67"/>
      <c r="U5" s="67"/>
      <c r="V5" s="67"/>
      <c r="W5" s="67"/>
      <c r="X5" s="67"/>
      <c r="Y5" s="67"/>
      <c r="Z5" s="6"/>
      <c r="AA5" s="54"/>
      <c r="AB5" s="6"/>
      <c r="AC5" s="6"/>
      <c r="AD5" s="63">
        <v>45412</v>
      </c>
    </row>
    <row r="6" spans="1:30" s="74" customFormat="1" ht="19.5" customHeight="1" x14ac:dyDescent="0.25">
      <c r="A6" s="93" t="s">
        <v>288</v>
      </c>
      <c r="B6" s="93" t="s">
        <v>61</v>
      </c>
      <c r="C6" s="93" t="s">
        <v>4</v>
      </c>
      <c r="D6" s="93" t="s">
        <v>60</v>
      </c>
      <c r="E6" s="93" t="s">
        <v>5</v>
      </c>
      <c r="F6" s="93" t="s">
        <v>39</v>
      </c>
      <c r="G6" s="77" t="s">
        <v>6</v>
      </c>
      <c r="H6" s="93" t="s">
        <v>3</v>
      </c>
      <c r="I6" s="77" t="s">
        <v>1</v>
      </c>
      <c r="J6" s="93" t="s">
        <v>2</v>
      </c>
      <c r="K6" s="93" t="s">
        <v>253</v>
      </c>
      <c r="L6" s="93" t="s">
        <v>257</v>
      </c>
      <c r="M6" s="93" t="s">
        <v>33</v>
      </c>
      <c r="N6" s="94" t="s">
        <v>34</v>
      </c>
      <c r="O6" s="93" t="s">
        <v>263</v>
      </c>
      <c r="P6" s="93" t="s">
        <v>267</v>
      </c>
      <c r="Q6" s="93" t="s">
        <v>264</v>
      </c>
      <c r="R6" s="95" t="s">
        <v>35</v>
      </c>
      <c r="S6" s="95" t="s">
        <v>7</v>
      </c>
      <c r="T6" s="96" t="s">
        <v>133</v>
      </c>
      <c r="U6" s="96" t="s">
        <v>148</v>
      </c>
      <c r="V6" s="96" t="s">
        <v>155</v>
      </c>
      <c r="W6" s="96" t="s">
        <v>157</v>
      </c>
      <c r="X6" s="96" t="s">
        <v>156</v>
      </c>
      <c r="Y6" s="96" t="s">
        <v>158</v>
      </c>
      <c r="Z6" s="97" t="s">
        <v>172</v>
      </c>
      <c r="AA6" s="98" t="s">
        <v>178</v>
      </c>
      <c r="AB6" s="99" t="s">
        <v>179</v>
      </c>
      <c r="AC6" s="99" t="s">
        <v>308</v>
      </c>
      <c r="AD6" s="100" t="s">
        <v>181</v>
      </c>
    </row>
    <row r="7" spans="1:30" ht="19.5" customHeight="1" x14ac:dyDescent="0.25">
      <c r="A7" s="3" t="s">
        <v>309</v>
      </c>
      <c r="B7" s="3" t="s">
        <v>313</v>
      </c>
      <c r="C7" s="3">
        <v>2</v>
      </c>
      <c r="D7" s="59">
        <v>0</v>
      </c>
      <c r="E7" s="59"/>
      <c r="F7" s="10">
        <v>0</v>
      </c>
      <c r="G7" s="13">
        <v>45383</v>
      </c>
      <c r="H7" s="31" t="s">
        <v>305</v>
      </c>
      <c r="I7" s="13">
        <v>45341</v>
      </c>
      <c r="J7" s="5" t="s">
        <v>281</v>
      </c>
      <c r="K7" s="4" t="s">
        <v>256</v>
      </c>
      <c r="L7" s="4" t="s">
        <v>234</v>
      </c>
      <c r="M7" s="60">
        <v>1249000</v>
      </c>
      <c r="N7" s="61">
        <v>0</v>
      </c>
      <c r="O7" s="60">
        <v>0</v>
      </c>
      <c r="P7" s="62">
        <v>0</v>
      </c>
      <c r="Q7" s="60">
        <v>0</v>
      </c>
      <c r="R7" s="4">
        <v>1249000</v>
      </c>
      <c r="S7" s="7" t="s">
        <v>307</v>
      </c>
      <c r="T7" s="54">
        <v>0</v>
      </c>
      <c r="U7" s="54">
        <v>0</v>
      </c>
      <c r="V7" s="54">
        <v>2024</v>
      </c>
      <c r="W7" s="54">
        <v>3</v>
      </c>
      <c r="X7" s="54">
        <v>0</v>
      </c>
      <c r="Y7" s="54">
        <v>0</v>
      </c>
      <c r="Z7" s="7" t="b">
        <v>0</v>
      </c>
      <c r="AA7" s="70">
        <f>+$AD$5-Tabla2[[#This Row],[FECHA DE FACTURACIÓN]]</f>
        <v>71</v>
      </c>
      <c r="AB7" s="71" t="str">
        <f>+IF(Tabla2[[#This Row],[dias de credito]]&gt;=Tabla2[[#This Row],[PLAZO Días]],"venc", "No venc")</f>
        <v>venc</v>
      </c>
      <c r="AC7" s="71" t="str">
        <f>+IF(Tabla2[[#This Row],[FECHA DE PAGO]]&gt;0,"pagada","por pagar")</f>
        <v>pagada</v>
      </c>
      <c r="AD7" s="72" t="str">
        <f>+IF(AND(Tabla2[[#This Row],[venc]]="venc",Tabla2[[#This Row],[estado pago]]="por pagar"),"vencida","no")</f>
        <v>no</v>
      </c>
    </row>
  </sheetData>
  <mergeCells count="1">
    <mergeCell ref="AD1:AD2"/>
  </mergeCells>
  <phoneticPr fontId="2" type="noConversion"/>
  <conditionalFormatting sqref="B7:R7">
    <cfRule type="expression" dxfId="2" priority="31" stopIfTrue="1">
      <formula>$Z7="Por pagar"</formula>
    </cfRule>
    <cfRule type="expression" dxfId="1" priority="32" stopIfTrue="1">
      <formula>$Z7="Vencida"</formula>
    </cfRule>
    <cfRule type="expression" dxfId="0" priority="33" stopIfTrue="1">
      <formula>$Z7="Pagada"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1A6544-30B3-475E-8A6F-B99F8B88570A}">
          <x14:formula1>
            <xm:f>Terceros!$A:$A</xm:f>
          </x14:formula1>
          <xm:sqref>H7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que no opera y Listas d</vt:lpstr>
      <vt:lpstr>F.Proveedores</vt:lpstr>
      <vt:lpstr>USD</vt:lpstr>
      <vt:lpstr>Reporte</vt:lpstr>
      <vt:lpstr>Financiación</vt:lpstr>
      <vt:lpstr>Financiadores</vt:lpstr>
      <vt:lpstr>F.Vencidas</vt:lpstr>
      <vt:lpstr>pagos!Extract</vt:lpstr>
      <vt:lpstr>info</vt:lpstr>
      <vt:lpstr>pagos!Print_Area</vt:lpstr>
      <vt:lpstr>Terceros!Print_Area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Escobar</cp:lastModifiedBy>
  <cp:lastPrinted>2025-01-09T23:10:20Z</cp:lastPrinted>
  <dcterms:created xsi:type="dcterms:W3CDTF">2019-09-20T14:37:58Z</dcterms:created>
  <dcterms:modified xsi:type="dcterms:W3CDTF">2025-01-09T23:11:14Z</dcterms:modified>
</cp:coreProperties>
</file>